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18.xml" ContentType="application/vnd.openxmlformats-officedocument.spreadsheetml.comments+xml"/>
  <Override PartName="/xl/comments17.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PENGATURAN" sheetId="2" state="visible" r:id="rId4"/>
    <sheet name="DASHBOARD" sheetId="3" state="visible" r:id="rId5"/>
    <sheet name="LABA RUGI" sheetId="4" state="visible" r:id="rId6"/>
    <sheet name="NERACA" sheetId="5" state="visible" r:id="rId7"/>
    <sheet name="ARUS KAS" sheetId="6" state="visible" r:id="rId8"/>
    <sheet name="PERUBAHAN EKUITAS" sheetId="7" state="visible" r:id="rId9"/>
    <sheet name="CALK" sheetId="8" state="visible" r:id="rId10"/>
    <sheet name="REVIEW" sheetId="9" state="visible" r:id="rId11"/>
    <sheet name="PAJAK" sheetId="10" state="visible" r:id="rId12"/>
    <sheet name="ANALISIS EVENT" sheetId="11" state="visible" r:id="rId13"/>
    <sheet name="REKAP OMZET" sheetId="12" state="visible" r:id="rId14"/>
    <sheet name="OMZET HARIAN" sheetId="13" state="visible" r:id="rId15"/>
    <sheet name="JURNAL" sheetId="14" state="visible" r:id="rId16"/>
    <sheet name="BUKU BESAR" sheetId="15" state="visible" r:id="rId17"/>
    <sheet name="NERACA SALDO" sheetId="16" state="visible" r:id="rId18"/>
    <sheet name="ASET TETAP" sheetId="17" state="visible" r:id="rId19"/>
    <sheet name="AKUN" sheetId="18" state="visible" r:id="rId20"/>
    <sheet name="MUTASI" sheetId="19" state="visible" r:id="rId21"/>
  </sheets>
  <definedNames>
    <definedName function="false" hidden="true" localSheetId="13" name="_xlnm._FilterDatabase" vbProcedure="false">JURNAL!$A$4:$R$3004</definedName>
    <definedName function="false" hidden="true" localSheetId="12" name="_xlnm._FilterDatabase" vbProcedure="false">'OMZET HARIAN'!$A$4:$U$369</definedName>
    <definedName function="false" hidden="false" name="AKRUAL" vbProcedure="false">PENGATURAN!$C$10</definedName>
    <definedName function="false" hidden="false" name="AK_BARIS" vbProcedure="false">AKUN!$G$6:$G$45</definedName>
    <definedName function="false" hidden="false" name="AK_KAT" vbProcedure="false">AKUN!$F$6:$F$45</definedName>
    <definedName function="false" hidden="false" name="AK_KEL" vbProcedure="false">AKUN!$C$6:$C$45</definedName>
    <definedName function="false" hidden="false" name="AK_KODE" vbProcedure="false">AKUN!$A$6:$A$45</definedName>
    <definedName function="false" hidden="false" name="AK_NAMA" vbProcedure="false">AKUN!$B$6:$B$45</definedName>
    <definedName function="false" hidden="false" name="AK_NORMAL" vbProcedure="false">AKUN!$E$6:$E$45</definedName>
    <definedName function="false" hidden="false" name="AK_POS" vbProcedure="false">AKUN!$D$6:$D$45</definedName>
    <definedName function="false" hidden="false" name="AK_SA" vbProcedure="false">AKUN!$H$6:$H$45</definedName>
    <definedName function="false" hidden="false" name="BB_AKUN" vbProcedure="false">'BUKU BESAR'!$C$3</definedName>
    <definedName function="false" hidden="false" name="BLN" vbProcedure="false">PENGATURAN!$C$6</definedName>
    <definedName function="false" hidden="false" name="INKL" vbProcedure="false">PENGATURAN!$C$9</definedName>
    <definedName function="false" hidden="false" name="J_BARIS" vbProcedure="false">JURNAL!$N$5:$N$3004</definedName>
    <definedName function="false" hidden="false" name="J_BB" vbProcedure="false">JURNAL!$Q$5:$Q$3004</definedName>
    <definedName function="false" hidden="false" name="J_BLN" vbProcedure="false">JURNAL!$J$5:$J$3004</definedName>
    <definedName function="false" hidden="false" name="J_CEK" vbProcedure="false">JURNAL!$R$5:$R$3004</definedName>
    <definedName function="false" hidden="false" name="J_DEB" vbProcedure="false">JURNAL!$C$5:$C$3004</definedName>
    <definedName function="false" hidden="false" name="J_KAS" vbProcedure="false">JURNAL!$M$5:$M$3004</definedName>
    <definedName function="false" hidden="false" name="J_KELD" vbProcedure="false">JURNAL!$O$5:$O$3004</definedName>
    <definedName function="false" hidden="false" name="J_KELK" vbProcedure="false">JURNAL!$P$5:$P$3004</definedName>
    <definedName function="false" hidden="false" name="J_KET" vbProcedure="false">JURNAL!$F$5:$F$3004</definedName>
    <definedName function="false" hidden="false" name="J_KRE" vbProcedure="false">JURNAL!$D$5:$D$3004</definedName>
    <definedName function="false" hidden="false" name="J_LAWAN" vbProcedure="false">JURNAL!$L$5:$L$3004</definedName>
    <definedName function="false" hidden="false" name="J_NO" vbProcedure="false">JURNAL!$A$5:$A$3004</definedName>
    <definedName function="false" hidden="false" name="J_NOM" vbProcedure="false">JURNAL!$E$5:$E$3004</definedName>
    <definedName function="false" hidden="false" name="J_SUB" vbProcedure="false">JURNAL!$H$5:$H$3004</definedName>
    <definedName function="false" hidden="false" name="J_TAG" vbProcedure="false">JURNAL!$G$5:$G$3004</definedName>
    <definedName function="false" hidden="false" name="J_TGL" vbProcedure="false">JURNAL!$B$5:$B$3004</definedName>
    <definedName function="false" hidden="false" name="J_THN" vbProcedure="false">JURNAL!$K$5:$K$3004</definedName>
    <definedName function="false" hidden="false" name="MN_NET" vbProcedure="false">PENGATURAN!$C$18</definedName>
    <definedName function="false" hidden="false" name="MX_FOOD" vbProcedure="false">PENGATURAN!$C$14</definedName>
    <definedName function="false" hidden="false" name="MX_PAY" vbProcedure="false">PENGATURAN!$C$15</definedName>
    <definedName function="false" hidden="false" name="MX_PRIME" vbProcedure="false">PENGATURAN!$C$17</definedName>
    <definedName function="false" hidden="false" name="MX_SEWA" vbProcedure="false">PENGATURAN!$C$16</definedName>
    <definedName function="false" hidden="false" name="NAMA_BLN" vbProcedure="false">PENGATURAN!$C$7</definedName>
    <definedName function="false" hidden="false" name="NAMA_USAHA" vbProcedure="false">PENGATURAN!$C$4</definedName>
    <definedName function="false" hidden="false" name="NM_BULAN" vbProcedure="false">PENGATURAN!$G$5:$G$16</definedName>
    <definedName function="false" hidden="false" name="OZ_BERSIH" vbProcedure="false">'OMZET HARIAN'!$Q$5:$Q$369</definedName>
    <definedName function="false" hidden="false" name="OZ_BLN" vbProcedure="false">'OMZET HARIAN'!$B$5:$B$369</definedName>
    <definedName function="false" hidden="false" name="OZ_TOTAL" vbProcedure="false">'OMZET HARIAN'!$E$5:$E$369</definedName>
    <definedName function="false" hidden="false" name="TAHUN" vbProcedure="false">PENGATURAN!$C$5</definedName>
    <definedName function="false" hidden="false" name="TARGET" vbProcedure="false">PENGATURAN!$C$12</definedName>
    <definedName function="false" hidden="false" name="TARIF" vbProcedure="false">PENGATURAN!$C$8</definedName>
  </definedNames>
  <calcPr iterateCount="100" refMode="A1" iterate="false" iterateDelta="0.0001"/>
  <extLst>
    <ext xmlns:loext="http://schemas.libreoffice.org/" uri="{7626C862-2A13-11E5-B345-FEFF819CDC9F}">
      <loext:extCalcPr stringRefSyntax="ExcelA1"/>
    </ext>
  </extLst>
</workbook>
</file>

<file path=xl/comments17.xml><?xml version="1.0" encoding="utf-8"?>
<comments xmlns="http://schemas.openxmlformats.org/spreadsheetml/2006/main" xmlns:xdr="http://schemas.openxmlformats.org/drawingml/2006/spreadsheetDrawing">
  <authors>
    <author>Unknown Author</author>
  </authors>
  <commentList>
    <comment ref="B24" authorId="0">
      <text>
        <r>
          <rPr>
            <sz val="10"/>
            <rFont val="Arial"/>
            <family val="2"/>
          </rPr>
          <t xml:space="preserve">Saldo awal Peralatan di file lama = 0, padahal cafe sudah beroperasi sejak 2025. Lakukan inventarisasi: daftar aset, harga beli, tanggal beli. Lalu isi juga saldo awal akun Peralatan &amp; Akumulasi Penyusutan di sheet AKUN.</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H21" authorId="0">
      <text>
        <r>
          <rPr>
            <sz val="10"/>
            <rFont val="Arial"/>
            <family val="2"/>
          </rPr>
          <t xml:space="preserve">Angka penyeimbang: total aset − liabilitas per 1 Jan 2026 (dari saldo awal file lama).</t>
        </r>
      </text>
    </comment>
  </commentList>
</comments>
</file>

<file path=xl/sharedStrings.xml><?xml version="1.0" encoding="utf-8"?>
<sst xmlns="http://schemas.openxmlformats.org/spreadsheetml/2006/main" count="7870" uniqueCount="2860">
  <si>
    <t xml:space="preserve">LAPORAN KEUANGAN</t>
  </si>
  <si>
    <t xml:space="preserve">DAFTAR ISI</t>
  </si>
  <si>
    <t xml:space="preserve">PENGATURAN</t>
  </si>
  <si>
    <t xml:space="preserve">Tahun, bulan tutup buku, tarif pajak, target</t>
  </si>
  <si>
    <t xml:space="preserve">DASHBOARD</t>
  </si>
  <si>
    <t xml:space="preserve">Ringkasan kinerja, grafik, cek kesehatan data</t>
  </si>
  <si>
    <t xml:space="preserve">LABA RUGI</t>
  </si>
  <si>
    <t xml:space="preserve">Laporan laba rugi bulanan (multi-step)</t>
  </si>
  <si>
    <t xml:space="preserve">NERACA</t>
  </si>
  <si>
    <t xml:space="preserve">Laporan posisi keuangan</t>
  </si>
  <si>
    <t xml:space="preserve">ARUS KAS</t>
  </si>
  <si>
    <t xml:space="preserve">Arus kas metode langsung</t>
  </si>
  <si>
    <t xml:space="preserve">PERUBAHAN EKUITAS</t>
  </si>
  <si>
    <t xml:space="preserve">Mutasi modal pemilik</t>
  </si>
  <si>
    <t xml:space="preserve">CALK</t>
  </si>
  <si>
    <t xml:space="preserve">Catatan atas laporan keuangan</t>
  </si>
  <si>
    <t xml:space="preserve">REVIEW</t>
  </si>
  <si>
    <t xml:space="preserve">Temuan review &amp; tindak lanjut</t>
  </si>
  <si>
    <t xml:space="preserve">PAJAK</t>
  </si>
  <si>
    <t xml:space="preserve">Rekonsiliasi pajak restoran (PBJT)</t>
  </si>
  <si>
    <t xml:space="preserve">ANALISIS EVENT</t>
  </si>
  <si>
    <t xml:space="preserve">Laba rugi per event</t>
  </si>
  <si>
    <t xml:space="preserve">REKAP OMZET</t>
  </si>
  <si>
    <t xml:space="preserve">Rekap omzet bulanan &amp; KPI penjualan</t>
  </si>
  <si>
    <t xml:space="preserve">OMZET HARIAN</t>
  </si>
  <si>
    <t xml:space="preserve">INPUT — omzet &amp; realisasi harian</t>
  </si>
  <si>
    <t xml:space="preserve">JURNAL</t>
  </si>
  <si>
    <t xml:space="preserve">INPUT — semua transaksi</t>
  </si>
  <si>
    <t xml:space="preserve">BUKU BESAR</t>
  </si>
  <si>
    <t xml:space="preserve">Mutasi per akun (pilih akun)</t>
  </si>
  <si>
    <t xml:space="preserve">NERACA SALDO</t>
  </si>
  <si>
    <t xml:space="preserve">Trial balance</t>
  </si>
  <si>
    <t xml:space="preserve">ASET TETAP</t>
  </si>
  <si>
    <t xml:space="preserve">Daftar aset &amp; penyusutan otomatis</t>
  </si>
  <si>
    <t xml:space="preserve">AKUN</t>
  </si>
  <si>
    <t xml:space="preserve">Daftar akun &amp; saldo awal</t>
  </si>
  <si>
    <t xml:space="preserve">MUTASI</t>
  </si>
  <si>
    <t xml:space="preserve">Sheet hitung (jangan diubah)</t>
  </si>
  <si>
    <t xml:space="preserve">CARA PAKAI</t>
  </si>
  <si>
    <t xml:space="preserve">1. Setiap hari: isi OMZET HARIAN (angka POS, lalu realisasi setoran H+1).</t>
  </si>
  <si>
    <t xml:space="preserve">2. Setiap transaksi: isi satu baris di JURNAL (tanggal, akun debet, akun kredit, nominal, keterangan, tag event bila ada).</t>
  </si>
  <si>
    <t xml:space="preserve">3. Akhir bulan: stok opname, cek kas opname, isi gaji &amp; sewa, lalu ubah "bulan tutup buku" di PENGATURAN.</t>
  </si>
  <si>
    <t xml:space="preserve">4. Buka DASHBOARD → pastikan semua cek kesehatan data ✔ sebelum laporan dibagikan.</t>
  </si>
  <si>
    <t xml:space="preserve">KODE WARNA</t>
  </si>
  <si>
    <t xml:space="preserve">Teks biru</t>
  </si>
  <si>
    <t xml:space="preserve">Data input manual</t>
  </si>
  <si>
    <t xml:space="preserve">Latar kuning</t>
  </si>
  <si>
    <t xml:space="preserve">Pengaturan / input penting</t>
  </si>
  <si>
    <t xml:space="preserve">Teks hitam</t>
  </si>
  <si>
    <t xml:space="preserve">Rumus — jangan ditimpa</t>
  </si>
  <si>
    <t xml:space="preserve">Latar abu-abu</t>
  </si>
  <si>
    <t xml:space="preserve">Kolom bantu rumus</t>
  </si>
  <si>
    <t xml:space="preserve">Baris coklat muda miring</t>
  </si>
  <si>
    <t xml:space="preserve">Jurnal otomatis / penyesuaian</t>
  </si>
  <si>
    <t xml:space="preserve">Disusun mengacu SAK EMKM. Dibuat ulang dari file KOPI_PARANG_FINANCIAL_REPORT_1.xlsx.</t>
  </si>
  <si>
    <t xml:space="preserve">Sel kuning = boleh diubah. Semua laporan otomatis menyesuaikan.</t>
  </si>
  <si>
    <t xml:space="preserve">Parameter</t>
  </si>
  <si>
    <t xml:space="preserve">Nilai</t>
  </si>
  <si>
    <t xml:space="preserve">Keterangan</t>
  </si>
  <si>
    <t xml:space="preserve">Nama usaha</t>
  </si>
  <si>
    <t xml:space="preserve">Kopi Parang</t>
  </si>
  <si>
    <t xml:space="preserve">Nama yang tampil di semua laporan</t>
  </si>
  <si>
    <t xml:space="preserve">No</t>
  </si>
  <si>
    <t xml:space="preserve">Bulan</t>
  </si>
  <si>
    <t xml:space="preserve">Tahun buku</t>
  </si>
  <si>
    <t xml:space="preserve">Tahun laporan</t>
  </si>
  <si>
    <t xml:space="preserve">Januari</t>
  </si>
  <si>
    <t xml:space="preserve">Bulan tutup buku terakhir (1–12)</t>
  </si>
  <si>
    <t xml:space="preserve">Laporan dihitung s.d. bulan ini. Oktober belum lengkap (gaji, sewa, pajak belum dicatat), jadi diset ke 9 = September.</t>
  </si>
  <si>
    <t xml:space="preserve">Februari</t>
  </si>
  <si>
    <t xml:space="preserve">Nama bulan tutup buku</t>
  </si>
  <si>
    <t xml:space="preserve">Otomatis</t>
  </si>
  <si>
    <t xml:space="preserve">Maret</t>
  </si>
  <si>
    <t xml:space="preserve">Tarif PBJT makanan &amp; minuman</t>
  </si>
  <si>
    <t xml:space="preserve">Pajak Barang &amp; Jasa Tertentu (pajak restoran) daerah</t>
  </si>
  <si>
    <t xml:space="preserve">April</t>
  </si>
  <si>
    <t xml:space="preserve">Harga menu sudah termasuk PBJT? (YA/TIDAK)</t>
  </si>
  <si>
    <t xml:space="preserve">YA</t>
  </si>
  <si>
    <t xml:space="preserve">YA = pajak dihitung 10/110 dari omzet; TIDAK = 10% dari omzet. Pastikan sesuai praktik di kasir.</t>
  </si>
  <si>
    <t xml:space="preserve">Mei</t>
  </si>
  <si>
    <t xml:space="preserve">Akui estimasi PBJT kurang bayar di laporan? (YA/TIDAK)</t>
  </si>
  <si>
    <t xml:space="preserve">Disarankan YA: laporan yang ditunjukkan ke pihak luar harus memuat kewajiban ini. Lihat sheet PAJAK &amp; REVIEW.</t>
  </si>
  <si>
    <t xml:space="preserve">Juni</t>
  </si>
  <si>
    <t xml:space="preserve">Juli</t>
  </si>
  <si>
    <t xml:space="preserve">Target omzet bulanan (Rp)</t>
  </si>
  <si>
    <t xml:space="preserve">CONTOH — ganti dengan target kamu sendiri</t>
  </si>
  <si>
    <t xml:space="preserve">Agustus</t>
  </si>
  <si>
    <t xml:space="preserve">September</t>
  </si>
  <si>
    <t xml:space="preserve">Batas food cost (HPP / pendapatan)</t>
  </si>
  <si>
    <t xml:space="preserve">Patokan umum F&amp;B 28–35%; sesuaikan</t>
  </si>
  <si>
    <t xml:space="preserve">Oktober</t>
  </si>
  <si>
    <t xml:space="preserve">Batas biaya gaji (payroll / pendapatan)</t>
  </si>
  <si>
    <t xml:space="preserve">Patokan umum F&amp;B 25–30%; sesuaikan</t>
  </si>
  <si>
    <t xml:space="preserve">November</t>
  </si>
  <si>
    <t xml:space="preserve">Batas sewa (occupancy / pendapatan)</t>
  </si>
  <si>
    <t xml:space="preserve">Patokan umum F&amp;B 6–10%; sesuaikan</t>
  </si>
  <si>
    <t xml:space="preserve">Desember</t>
  </si>
  <si>
    <t xml:space="preserve">Batas prime cost (HPP + gaji)</t>
  </si>
  <si>
    <t xml:space="preserve">Patokan umum F&amp;B 60–65%; sesuaikan</t>
  </si>
  <si>
    <t xml:space="preserve">Target net margin minimal</t>
  </si>
  <si>
    <t xml:space="preserve">Patokan umum cafe sehat 10–15%; sesuaikan</t>
  </si>
  <si>
    <t xml:space="preserve">Pendapatan Bersih</t>
  </si>
  <si>
    <t xml:space="preserve">Laba Kotor</t>
  </si>
  <si>
    <t xml:space="preserve">Laba (Rugi) Bersih</t>
  </si>
  <si>
    <t xml:space="preserve">Total Kas</t>
  </si>
  <si>
    <t xml:space="preserve">Omzet Bersih / Hari</t>
  </si>
  <si>
    <t xml:space="preserve">Rata-rata / Transaksi</t>
  </si>
  <si>
    <t xml:space="preserve">Food Cost</t>
  </si>
  <si>
    <t xml:space="preserve">Prime Cost</t>
  </si>
  <si>
    <t xml:space="preserve">KINERJA BULANAN</t>
  </si>
  <si>
    <t xml:space="preserve">Laba Bersih</t>
  </si>
  <si>
    <t xml:space="preserve">Payroll</t>
  </si>
  <si>
    <t xml:space="preserve">Kas Akhir</t>
  </si>
  <si>
    <t xml:space="preserve">Jan</t>
  </si>
  <si>
    <t xml:space="preserve">Feb</t>
  </si>
  <si>
    <t xml:space="preserve">Mar</t>
  </si>
  <si>
    <t xml:space="preserve">Apr</t>
  </si>
  <si>
    <t xml:space="preserve">Jun</t>
  </si>
  <si>
    <t xml:space="preserve">Jul</t>
  </si>
  <si>
    <t xml:space="preserve">Agu</t>
  </si>
  <si>
    <t xml:space="preserve">Sep</t>
  </si>
  <si>
    <t xml:space="preserve">Okt</t>
  </si>
  <si>
    <t xml:space="preserve">Nov</t>
  </si>
  <si>
    <t xml:space="preserve">Des</t>
  </si>
  <si>
    <t xml:space="preserve">STRUKTUR BIAYA (s.d. tutup buku)</t>
  </si>
  <si>
    <t xml:space="preserve">Pos</t>
  </si>
  <si>
    <t xml:space="preserve">Rupiah</t>
  </si>
  <si>
    <t xml:space="preserve">% Pendapatan</t>
  </si>
  <si>
    <t xml:space="preserve">HPP</t>
  </si>
  <si>
    <t xml:space="preserve">Gaji</t>
  </si>
  <si>
    <t xml:space="preserve">Sewa</t>
  </si>
  <si>
    <t xml:space="preserve">Marketing &amp; event</t>
  </si>
  <si>
    <t xml:space="preserve">Tagihan bulanan</t>
  </si>
  <si>
    <t xml:space="preserve">Beban lainnya</t>
  </si>
  <si>
    <t xml:space="preserve">Sisa (laba/rugi)</t>
  </si>
  <si>
    <t xml:space="preserve">CEK KESEHATAN DATA</t>
  </si>
  <si>
    <t xml:space="preserve">Neraca seimbang</t>
  </si>
  <si>
    <t xml:space="preserve">Neraca saldo seimbang</t>
  </si>
  <si>
    <t xml:space="preserve">Kas di arus kas = kas di neraca</t>
  </si>
  <si>
    <t xml:space="preserve">Ekuitas: laporan perubahan = neraca</t>
  </si>
  <si>
    <t xml:space="preserve">Daftar aset tetap = akun Peralatan</t>
  </si>
  <si>
    <t xml:space="preserve">Jurnal dengan akun tidak dikenal</t>
  </si>
  <si>
    <t xml:space="preserve">Hari omzet belum direalisasi / perlu cek</t>
  </si>
  <si>
    <t xml:space="preserve">Saldo awal aset tetap (pra-2026)</t>
  </si>
  <si>
    <t xml:space="preserve">Estimasi PBJT kurang bayar</t>
  </si>
  <si>
    <t xml:space="preserve">LAPORAN LABA RUGI</t>
  </si>
  <si>
    <t xml:space="preserve">% Pend.</t>
  </si>
  <si>
    <t xml:space="preserve">PENDAPATAN USAHA</t>
  </si>
  <si>
    <t xml:space="preserve">Penjualan cafe</t>
  </si>
  <si>
    <t xml:space="preserve">Pendapatan event &amp; non-cafe</t>
  </si>
  <si>
    <t xml:space="preserve">Pendapatan kotor</t>
  </si>
  <si>
    <t xml:space="preserve">Dikurangi: pajak restoran (PBJT)</t>
  </si>
  <si>
    <t xml:space="preserve">PENDAPATAN BERSIH</t>
  </si>
  <si>
    <t xml:space="preserve">BEBAN POKOK PENJUALAN</t>
  </si>
  <si>
    <t xml:space="preserve">Bahan baku</t>
  </si>
  <si>
    <t xml:space="preserve">Penyajian &amp; kemasan</t>
  </si>
  <si>
    <t xml:space="preserve">Total beban pokok penjualan</t>
  </si>
  <si>
    <t xml:space="preserve">LABA KOTOR</t>
  </si>
  <si>
    <t xml:space="preserve">Margin laba kotor</t>
  </si>
  <si>
    <t xml:space="preserve">BEBAN USAHA</t>
  </si>
  <si>
    <t xml:space="preserve">Gaji karyawan</t>
  </si>
  <si>
    <t xml:space="preserve">Sewa tempat</t>
  </si>
  <si>
    <t xml:space="preserve">Listrik, air, internet &amp; langganan</t>
  </si>
  <si>
    <t xml:space="preserve">Marketing, promosi &amp; event</t>
  </si>
  <si>
    <t xml:space="preserve">Perlengkapan</t>
  </si>
  <si>
    <t xml:space="preserve">Operasional harian</t>
  </si>
  <si>
    <t xml:space="preserve">Pemeliharaan</t>
  </si>
  <si>
    <t xml:space="preserve">Compliment</t>
  </si>
  <si>
    <t xml:space="preserve">Riset &amp; pengembangan menu</t>
  </si>
  <si>
    <t xml:space="preserve">Dana sosial &amp; CSR</t>
  </si>
  <si>
    <t xml:space="preserve">Penyusutan peralatan</t>
  </si>
  <si>
    <t xml:space="preserve">Total beban usaha</t>
  </si>
  <si>
    <t xml:space="preserve">LABA (RUGI) USAHA</t>
  </si>
  <si>
    <t xml:space="preserve">EBITDA (laba usaha + penyusutan)</t>
  </si>
  <si>
    <t xml:space="preserve">PENDAPATAN (BEBAN) LAIN-LAIN</t>
  </si>
  <si>
    <t xml:space="preserve">Pendapatan lain-lain</t>
  </si>
  <si>
    <t xml:space="preserve">Beban lain-lain (admin bank, denda)</t>
  </si>
  <si>
    <t xml:space="preserve">Total lain-lain bersih</t>
  </si>
  <si>
    <t xml:space="preserve">LABA (RUGI) BERSIH</t>
  </si>
  <si>
    <t xml:space="preserve">Margin laba bersih</t>
  </si>
  <si>
    <t xml:space="preserve">INDIKATOR BIAYA (terhadap pendapatan bersih)</t>
  </si>
  <si>
    <t xml:space="preserve">Food cost (HPP)</t>
  </si>
  <si>
    <t xml:space="preserve">Payroll (gaji)</t>
  </si>
  <si>
    <t xml:space="preserve">Occupancy (sewa)</t>
  </si>
  <si>
    <t xml:space="preserve">Prime cost (HPP + gaji)</t>
  </si>
  <si>
    <t xml:space="preserve">Catatan: belum termasuk PPh atas usaha (lihat CALK &amp; PAJAK). Bulan setelah tutup buku dikosongkan.</t>
  </si>
  <si>
    <t xml:space="preserve">LAPORAN POSISI KEUANGAN (NERACA)</t>
  </si>
  <si>
    <t xml:space="preserve">ASET</t>
  </si>
  <si>
    <t xml:space="preserve">Aset lancar</t>
  </si>
  <si>
    <t xml:space="preserve">Kas tunai</t>
  </si>
  <si>
    <t xml:space="preserve">Kas di bank</t>
  </si>
  <si>
    <t xml:space="preserve">Kas kecil (warung)</t>
  </si>
  <si>
    <t xml:space="preserve">Piutang usaha</t>
  </si>
  <si>
    <t xml:space="preserve">Piutang lain-lain</t>
  </si>
  <si>
    <t xml:space="preserve">Persediaan bahan baku</t>
  </si>
  <si>
    <t xml:space="preserve">Beban dibayar di muka</t>
  </si>
  <si>
    <t xml:space="preserve">Total aset lancar</t>
  </si>
  <si>
    <t xml:space="preserve">Aset tidak lancar</t>
  </si>
  <si>
    <t xml:space="preserve">Peralatan (harga perolehan)</t>
  </si>
  <si>
    <t xml:space="preserve">Akumulasi penyusutan</t>
  </si>
  <si>
    <t xml:space="preserve">Total aset tidak lancar</t>
  </si>
  <si>
    <t xml:space="preserve">TOTAL ASET</t>
  </si>
  <si>
    <t xml:space="preserve">LIABILITAS DAN EKUITAS</t>
  </si>
  <si>
    <t xml:space="preserve">Liabilitas jangka pendek</t>
  </si>
  <si>
    <t xml:space="preserve">Utang usaha</t>
  </si>
  <si>
    <t xml:space="preserve">Utang pajak daerah (PBJT)</t>
  </si>
  <si>
    <t xml:space="preserve">Utang lain-lain</t>
  </si>
  <si>
    <t xml:space="preserve">Total liabilitas jangka pendek</t>
  </si>
  <si>
    <t xml:space="preserve">Liabilitas jangka panjang</t>
  </si>
  <si>
    <t xml:space="preserve">Utang usaha jangka panjang</t>
  </si>
  <si>
    <t xml:space="preserve">TOTAL LIABILITAS</t>
  </si>
  <si>
    <t xml:space="preserve">Ekuitas</t>
  </si>
  <si>
    <t xml:space="preserve">Modal pemilik</t>
  </si>
  <si>
    <t xml:space="preserve">Prive (pengambilan pemilik)</t>
  </si>
  <si>
    <t xml:space="preserve">Laba (rugi) tahun berjalan</t>
  </si>
  <si>
    <t xml:space="preserve">TOTAL EKUITAS</t>
  </si>
  <si>
    <t xml:space="preserve">TOTAL LIABILITAS DAN EKUITAS</t>
  </si>
  <si>
    <t xml:space="preserve">Cek keseimbangan (harus 0)</t>
  </si>
  <si>
    <t xml:space="preserve">Lihat CALK untuk penjelasan pos-pos penting (saldo awal aset tetap, kewajiban pajak).</t>
  </si>
  <si>
    <t xml:space="preserve">LAPORAN ARUS KAS (METODE LANGSUNG)</t>
  </si>
  <si>
    <t xml:space="preserve">ARUS KAS DARI AKTIVITAS OPERASI</t>
  </si>
  <si>
    <t xml:space="preserve">Penerimaan dari pelanggan</t>
  </si>
  <si>
    <t xml:space="preserve">Penerimaan (pembayaran) lain-lain bersih</t>
  </si>
  <si>
    <t xml:space="preserve">Pembayaran bahan baku &amp; penyajian</t>
  </si>
  <si>
    <t xml:space="preserve">Pembayaran gaji</t>
  </si>
  <si>
    <t xml:space="preserve">Pembayaran sewa</t>
  </si>
  <si>
    <t xml:space="preserve">Pembayaran beban operasional lainnya</t>
  </si>
  <si>
    <t xml:space="preserve">Pembayaran pajak restoran (PBJT)</t>
  </si>
  <si>
    <t xml:space="preserve">Kas bersih dari aktivitas operasi</t>
  </si>
  <si>
    <t xml:space="preserve">ARUS KAS DARI AKTIVITAS INVESTASI</t>
  </si>
  <si>
    <t xml:space="preserve">Pembelian peralatan</t>
  </si>
  <si>
    <t xml:space="preserve">Kas bersih dari aktivitas investasi</t>
  </si>
  <si>
    <t xml:space="preserve">ARUS KAS DARI AKTIVITAS PENDANAAN</t>
  </si>
  <si>
    <t xml:space="preserve">Pengambilan pemilik (prive)</t>
  </si>
  <si>
    <t xml:space="preserve">Setoran modal pemilik</t>
  </si>
  <si>
    <t xml:space="preserve">Penerimaan (pembayaran) utang</t>
  </si>
  <si>
    <t xml:space="preserve">Kas bersih dari aktivitas pendanaan</t>
  </si>
  <si>
    <t xml:space="preserve">KENAIKAN (PENURUNAN) KAS BERSIH</t>
  </si>
  <si>
    <t xml:space="preserve">Kas awal periode</t>
  </si>
  <si>
    <t xml:space="preserve">KAS AKHIR PERIODE</t>
  </si>
  <si>
    <t xml:space="preserve">Cek vs saldo kas di buku besar (harus 0)</t>
  </si>
  <si>
    <t xml:space="preserve">Disusun dari setiap transaksi yang melibatkan akun kas (Kas Tunai, Kas Bank, Kas Warung) dan dikelompokkan menurut akun lawannya (kolom "Baris AK" di AKUN).</t>
  </si>
  <si>
    <t xml:space="preserve">LAPORAN PERUBAHAN EKUITAS</t>
  </si>
  <si>
    <t xml:space="preserve">Ekuitas awal</t>
  </si>
  <si>
    <t xml:space="preserve">Setoran modal</t>
  </si>
  <si>
    <t xml:space="preserve">Laba (rugi) bersih</t>
  </si>
  <si>
    <t xml:space="preserve">EKUITAS AKHIR</t>
  </si>
  <si>
    <t xml:space="preserve">Cek vs total ekuitas di NERACA (harus 0)</t>
  </si>
  <si>
    <t xml:space="preserve">CATATAN ATAS LAPORAN KEUANGAN (CALK)</t>
  </si>
  <si>
    <t xml:space="preserve">1</t>
  </si>
  <si>
    <t xml:space="preserve">UMUM</t>
  </si>
  <si>
    <t xml:space="preserve">Kopi Parang adalah usaha cafe &amp; kedai kopi yang juga menyelenggarakan event. Laporan ini disajikan dalam Rupiah penuh.</t>
  </si>
  <si>
    <t xml:space="preserve">2</t>
  </si>
  <si>
    <t xml:space="preserve">DASAR PENYUSUNAN</t>
  </si>
  <si>
    <t xml:space="preserve">Laporan disusun dengan basis akrual dan biaya historis, mengacu pada SAK EMKM (Standar Akuntansi Keuangan Entitas Mikro, Kecil, dan Menengah). Laporan arus kas dan perubahan ekuitas disajikan sebagai informasi tambahan.</t>
  </si>
  <si>
    <t xml:space="preserve">Periode yang dilaporkan dibatasi s.d. bulan tutup buku di PENGATURAN; bulan sesudahnya belum lengkap dan tidak disajikan.</t>
  </si>
  <si>
    <t xml:space="preserve">3</t>
  </si>
  <si>
    <t xml:space="preserve">KEBIJAKAN AKUNTANSI PENTING</t>
  </si>
  <si>
    <t xml:space="preserve">a. Pendapatan cafe diakui sebesar omzet bersih harian (omzet POS dikurangi selisih tunai yang tak terjelaskan dan selisih EDC). Konsumsi pemilik (bill owner) diperlakukan sebagai prive.</t>
  </si>
  <si>
    <t xml:space="preserve">b. Pajak restoran (PBJT) disajikan sebagai pengurang pendapatan. Estimasi kurang bayar diakui sebagai Utang Pajak Daerah bila diaktifkan di PENGATURAN.</t>
  </si>
  <si>
    <t xml:space="preserve">c. Persediaan: saat ini pembelian bahan baku langsung dibebankan. Mulai bulan berikutnya disarankan stok opname akhir bulan sehingga HPP = persediaan awal + pembelian − persediaan akhir.</t>
  </si>
  <si>
    <t xml:space="preserve">d. Aset tetap dicatat sebesar harga perolehan dan disusutkan garis lurus mulai bulan setelah perolehan. Masa manfaat: 4 tahun (peralatan &amp; perabot), 5 tahun (kulkas).</t>
  </si>
  <si>
    <t xml:space="preserve">4</t>
  </si>
  <si>
    <t xml:space="preserve">KAS DAN SETARA KAS</t>
  </si>
  <si>
    <t xml:space="preserve">5</t>
  </si>
  <si>
    <t xml:space="preserve">PIUTANG</t>
  </si>
  <si>
    <t xml:space="preserve">6</t>
  </si>
  <si>
    <t xml:space="preserve">7</t>
  </si>
  <si>
    <t xml:space="preserve">KEWAJIBAN PAJAK</t>
  </si>
  <si>
    <t xml:space="preserve">8</t>
  </si>
  <si>
    <t xml:space="preserve">EKUITAS</t>
  </si>
  <si>
    <t xml:space="preserve">9</t>
  </si>
  <si>
    <t xml:space="preserve">KEJADIAN PENTING</t>
  </si>
  <si>
    <t xml:space="preserve">HASIL REVIEW FILE LAMA &amp; TINDAKAN</t>
  </si>
  <si>
    <t xml:space="preserve">Prioritas: 🔴 kritis, 🟠 penting, 🟡 perbaikan. Kolom "Status" untuk dicentang tim keuangan.</t>
  </si>
  <si>
    <t xml:space="preserve">Prioritas</t>
  </si>
  <si>
    <t xml:space="preserve">Area</t>
  </si>
  <si>
    <t xml:space="preserve">Temuan di file lama</t>
  </si>
  <si>
    <t xml:space="preserve">Dampak</t>
  </si>
  <si>
    <t xml:space="preserve">Yang sudah dikerjakan di v2 / rekomendasi</t>
  </si>
  <si>
    <t xml:space="preserve">Status</t>
  </si>
  <si>
    <t xml:space="preserve">🔴</t>
  </si>
  <si>
    <t xml:space="preserve">Pajak</t>
  </si>
  <si>
    <t xml:space="preserve">Omzet yang dilaporkan ke Bapenda Jan–Sep Rp187,6 jt, padahal omzet tercatat di kasir Rp859 jt (±22%). Sheet27 berisi rumus pembagi omzet laporan ke harian.</t>
  </si>
  <si>
    <t xml:space="preserve">Potensi kurang bayar PBJT ±Rp59–67 jt + sanksi. Risiko hukum &amp; reputasi, apalagi kalau laporan ditunjukkan ke bank/investor.</t>
  </si>
  <si>
    <t xml:space="preserve">Sheet27 tidak dibawa. Sheet PAJAK menghitung PBJT dari omzet asli dan kurang bayarnya diakui sebagai utang (bisa diatur di PENGATURAN). Rekomendasi: konsultan pajak &amp; pembetulan SPTPD.</t>
  </si>
  <si>
    <t xml:space="preserve">Tidak ada pencatatan PPh atas usaha.</t>
  </si>
  <si>
    <t xml:space="preserve">Omzet 2026 &gt; Rp1 M → ada kewajiban PPh yang belum dicadangkan.</t>
  </si>
  <si>
    <t xml:space="preserve">Dicatat di CALK. Tentukan skema PPh bersama konsultan pajak lalu tambahkan akun Beban/Utang PPh.</t>
  </si>
  <si>
    <t xml:space="preserve">Profitabilitas</t>
  </si>
  <si>
    <t xml:space="preserve">Laba bersih Jan–Sep hanya ±Rp5,6 jt (0,6%) sebelum koreksi pajak. Event Maharia rugi ±Rp47 jt.</t>
  </si>
  <si>
    <t xml:space="preserve">Usaha praktis impas; satu event besar bisa menghapus laba 1 kuartal.</t>
  </si>
  <si>
    <t xml:space="preserve">Sheet ANALISIS EVENT untuk evaluasi per event; indikator biaya di LABA RUGI &amp; DASHBOARD.</t>
  </si>
  <si>
    <t xml:space="preserve">HPP / Persediaan</t>
  </si>
  <si>
    <t xml:space="preserve">Belanja bahan baku langsung dibebankan, tanpa stok opname. Sheet INVENTORI belum jalan (rumusnya hanya membaca baris 2–1001).</t>
  </si>
  <si>
    <t xml:space="preserve">Food cost loncat 24%–59% per bulan → laba bulanan tidak bisa dipercaya.</t>
  </si>
  <si>
    <t xml:space="preserve">Akun Inventori disiapkan. Rekomendasi: stok opname tiap akhir bulan, jurnal penyesuaian Inventori ↔ Biaya Bahan Baku.</t>
  </si>
  <si>
    <t xml:space="preserve">Aset Tetap</t>
  </si>
  <si>
    <t xml:space="preserve">Penyusutan hanya kulkas (Feb–Jul) karena bergantung centang "V" manual; ±Rp29 jt peralatan lain (termasuk grinder Rp12,8 jt) tidak disusutkan sama sekali. Saldo awal peralatan 0.</t>
  </si>
  <si>
    <t xml:space="preserve">Beban kurang saji, aset &amp; ekuitas tidak mencerminkan kondisi nyata.</t>
  </si>
  <si>
    <t xml:space="preserve">Sheet ASET TETAP: penyusutan garis lurus otomatis → jurnal otomatis. Baris khusus aset pra-2026 untuk diinventarisasi.</t>
  </si>
  <si>
    <t xml:space="preserve">Uang Pemilik</t>
  </si>
  <si>
    <t xml:space="preserve">Bill Owner Rp12,4 jt dicatat sebagai piutang; "Owner pinjam" Rp4 jt di Piutang Lainnya; sewa "diubah jadi prive"; "gaji direktur".</t>
  </si>
  <si>
    <t xml:space="preserve">Piutang fiktif menggelembungkan aset; batas uang usaha vs pribadi kabur.</t>
  </si>
  <si>
    <t xml:space="preserve">Bill Owner kini dicatat sebagai Prive. Rekomendasi: kebijakan tertulis — gaji owner (beban) atau prive, jangan dicampur; tagih/selesaikan pinjaman owner.</t>
  </si>
  <si>
    <t xml:space="preserve">🟠</t>
  </si>
  <si>
    <t xml:space="preserve">Arus Kas</t>
  </si>
  <si>
    <t xml:space="preserve">CASHFLOW hanya masuk/keluar per akun kas, termasuk pindah dana antar-kas (Rp205 jt Tunai→Bank dihitung dua kali).</t>
  </si>
  <si>
    <t xml:space="preserve">"Kas masuk" Rp1,25 M padahal pendapatan ±Rp0,9 M — menyesatkan.</t>
  </si>
  <si>
    <t xml:space="preserve">ARUS KAS metode langsung, 3 aktivitas (operasi/investasi/pendanaan), transfer antar-kas dikeluarkan, dicek ke neraca.</t>
  </si>
  <si>
    <t xml:space="preserve">Neraca</t>
  </si>
  <si>
    <t xml:space="preserve">Bentuk masih neraca saldo (debet/kredit), tidak dikelompokkan lancar/tidak lancar. Akumulasi penyusutan di sisi kredit.</t>
  </si>
  <si>
    <t xml:space="preserve">Tidak sesuai format laporan posisi keuangan standar.</t>
  </si>
  <si>
    <t xml:space="preserve">NERACA berklasifikasi dengan pembanding 1 Jan, akumulasi penyusutan sebagai pengurang aset, cek keseimbangan.</t>
  </si>
  <si>
    <t xml:space="preserve">Klasifikasi</t>
  </si>
  <si>
    <t xml:space="preserve">Pajak restoran &amp; pendapatan event di "Tambahan Laba (Rugi)", sementara biaya event di marketing. Utang FM Wood/grinder di jangka panjang.</t>
  </si>
  <si>
    <t xml:space="preserve">Margin usaha &amp; hasil event terdistorsi; utang jangka pendek tersembunyi.</t>
  </si>
  <si>
    <t xml:space="preserve">LABA RUGI multi-step: PBJT sebagai pengurang pendapatan, event di pendapatan usaha. Cek jatuh tempo utang FM Wood/grinder.</t>
  </si>
  <si>
    <t xml:space="preserve">Dashboard</t>
  </si>
  <si>
    <t xml:space="preserve">CEO: bulan berjalan (Okt) tampil untung 36% karena gaji/sewa belum dicatat; target kosong (error bagi nol); bulan "September" diketik manual.</t>
  </si>
  <si>
    <t xml:space="preserve">Keputusan bisa diambil dari angka yang salah.</t>
  </si>
  <si>
    <t xml:space="preserve">PENGATURAN "bulan tutup buku" mengunci semua laporan; DASHBOARD hanya menampilkan bulan yang sudah ditutup + cek kesehatan data.</t>
  </si>
  <si>
    <t xml:space="preserve">Omzet</t>
  </si>
  <si>
    <t xml:space="preserve">Realisasi tunai 9–11 Okt belum diisi sehingga dianggap "biaya selisih" Rp2,4 jt.</t>
  </si>
  <si>
    <t xml:space="preserve">Omzet bersih Okt kurang saji.</t>
  </si>
  <si>
    <t xml:space="preserve">OMZET HARIAN: bila realisasi belum diisi, selisih ditunda &amp; status "Belum direalisasi"; piutang tetap tercatat.</t>
  </si>
  <si>
    <t xml:space="preserve">Rumus</t>
  </si>
  <si>
    <t xml:space="preserve">Banyak fungsi khusus Google Sheets (LET, LAMBDA, BYCOL, FILTER, QUERY) dan range terkunci (1000, 1003, 1007, 979).</t>
  </si>
  <si>
    <t xml:space="preserve">Rusak/nilai mati bila dibuka di Excel; data baru di luar range tidak terbaca.</t>
  </si>
  <si>
    <t xml:space="preserve">Semua rumus v2 memakai fungsi standar (SUMIFS, INDEX/MATCH) yang jalan di Excel &amp; Google Sheets, dengan kapasitas 3.000 transaksi.</t>
  </si>
  <si>
    <t xml:space="preserve">Total GAJI Jul–Des menjumlah baris 5–19 saja (4 karyawan terakhir tidak ikut); rumus total Mei beda sendiri; kasbon ikut dijumlah padahal sudah masuk gaji.</t>
  </si>
  <si>
    <t xml:space="preserve">Beban gaji bisa salah saji.</t>
  </si>
  <si>
    <t xml:space="preserve">Sheet GAJI tidak dibawa ke file laporan (data pribadi karyawan). Perbaiki di file kerja: samakan rumus total &amp; range s.d. baris terakhir.</t>
  </si>
  <si>
    <t xml:space="preserve">🟡</t>
  </si>
  <si>
    <t xml:space="preserve">Data</t>
  </si>
  <si>
    <t xml:space="preserve">Sewa Juni tidak tercatat (Jan–Mei &amp; Jul–Sep ada). Beberapa transaksi "Juni" berketerangan "faktur Juli". Tagihan FM Wood 2025 dibebankan di 2026.</t>
  </si>
  <si>
    <t xml:space="preserve">Beban per bulan tidak akurat.</t>
  </si>
  <si>
    <t xml:space="preserve">Cek bukti sewa Juni; perbaiki tanggal transaksi; beban 2025 sebaiknya masuk saldo awal utang.</t>
  </si>
  <si>
    <t xml:space="preserve">Kas &amp; Bank</t>
  </si>
  <si>
    <t xml:space="preserve">Per 30 Sep, saldo Kas Bank di catatan MINUS ±Rp2,7 jt, sementara Kas Tunai ±Rp51,9 jt.</t>
  </si>
  <si>
    <t xml:space="preserve">Saldo rekening tidak mungkin negatif → ada setoran/transfer yang belum atau salah dicatat. Uang tunai sebesar itu juga berisiko.</t>
  </si>
  <si>
    <t xml:space="preserve">Rekonsiliasi bank tiap bulan dengan rekening koran; kas opname mingguan dengan berita acara; setor tunai ke bank secara rutin.</t>
  </si>
  <si>
    <t xml:space="preserve">Kadang dicatat aset, kadang beban; jurnal "pemakaian perlengkapan" selalu 0.</t>
  </si>
  <si>
    <t xml:space="preserve">Rp915 rb tertahan sebagai aset.</t>
  </si>
  <si>
    <t xml:space="preserve">Kebijakan: barang habis pakai langsung beban; aset tetap hanya ≥ Rp1 jt.</t>
  </si>
  <si>
    <t xml:space="preserve">Compliment dicatat sebagai pendapatan lalu dibebankan; selisih EDC (MDR) mengurangi omzet.</t>
  </si>
  <si>
    <t xml:space="preserve">Pendapatan &amp; beban sama-sama tergelembung tipis.</t>
  </si>
  <si>
    <t xml:space="preserve">Opsional: catat MDR sebagai beban administrasi bank agar terlihat.</t>
  </si>
  <si>
    <t xml:space="preserve">Struktur</t>
  </si>
  <si>
    <t xml:space="preserve">24 sheet, banyak duplikat (JURNAL UMUM, 5 buku besar serupa, R-OMZET, Sheet27, BELANJA, ribuan baris kosong).</t>
  </si>
  <si>
    <t xml:space="preserve">Berat, membingungkan, mudah rusak.</t>
  </si>
  <si>
    <t xml:space="preserve">v2: alur jelas INPUT (OMZET HARIAN, JURNAL) → PROSES (MUTASI, BUKU BESAR, NERACA SALDO) → LAPORAN.</t>
  </si>
  <si>
    <t xml:space="preserve">Transaksi yang diberi tag event otomatis di v2:</t>
  </si>
  <si>
    <t xml:space="preserve">12/01/2026 — Pemasukan penjualan tiket 12/01 event Maharia tgl 16/01  →  Event Maharia</t>
  </si>
  <si>
    <t xml:space="preserve">13/01/2026 — Pemasukan penjualan tiket 13/01 event Maharia tgl 16/01  →  Event Maharia</t>
  </si>
  <si>
    <t xml:space="preserve">14/01/2026 — Pembayaran transportasi tiket travel bus kru Iksan Skuter acara Maharia  →  Event Maharia</t>
  </si>
  <si>
    <t xml:space="preserve">25/04/2026 — Sponsor Artefac UNS  →  Event Artefac</t>
  </si>
  <si>
    <t xml:space="preserve">12/06/2026 — kupon &amp; golden tiket Artefact UNS  →  Event Artefac</t>
  </si>
  <si>
    <t xml:space="preserve">13/06/2026 — Biaya jalan/makan event artefack  →  Event Artefac</t>
  </si>
  <si>
    <t xml:space="preserve">REKONSILIASI PAJAK RESTORAN (PBJT)</t>
  </si>
  <si>
    <t xml:space="preserve">Membandingkan omzet asli (OMZET HARIAN) dengan omzet yang dilaporkan ke Bapenda. Angka dilaporkan diambil dari sheet TAX file lama.</t>
  </si>
  <si>
    <t xml:space="preserve">Omzet Tercatat (asli)</t>
  </si>
  <si>
    <t xml:space="preserve">Omzet Dilaporkan</t>
  </si>
  <si>
    <t xml:space="preserve">% Dilaporkan</t>
  </si>
  <si>
    <t xml:space="preserve">DPP Seharusnya</t>
  </si>
  <si>
    <t xml:space="preserve">PBJT Terutang</t>
  </si>
  <si>
    <t xml:space="preserve">PBJT Dibayar (SSPD)</t>
  </si>
  <si>
    <t xml:space="preserve">Selisih Omzet Tak Dilaporkan</t>
  </si>
  <si>
    <t xml:space="preserve">PBJT Kurang Bayar</t>
  </si>
  <si>
    <t xml:space="preserve">Dibayar menurut JURNAL</t>
  </si>
  <si>
    <t xml:space="preserve">Cocok?</t>
  </si>
  <si>
    <t xml:space="preserve">TOTAL</t>
  </si>
  <si>
    <t xml:space="preserve">Catatan:</t>
  </si>
  <si>
    <t xml:space="preserve">1. PBJT terutang dihitung dari omzet ASLI dengan tarif &amp; asumsi di PENGATURAN (harga termasuk pajak atau tidak).</t>
  </si>
  <si>
    <t xml:space="preserve">2. Kurang bayar BELUM termasuk sanksi administratif (bunga/denda) dari Bapenda.</t>
  </si>
  <si>
    <t xml:space="preserve">3. Bila PENGATURAN "Akui estimasi PBJT kurang bayar" = YA, kolom J otomatis dijurnal: Pajak Restoran (D) / Utang Pajak Daerah (K).</t>
  </si>
  <si>
    <t xml:space="preserve">4. Langkah yang disarankan: konsultasikan dengan konsultan pajak soal pembetulan SPTPD, lalu laporkan omzet sesuai data kasir mulai bulan berjalan.</t>
  </si>
  <si>
    <t xml:space="preserve">5. PPh atas usaha BELUM dicatat sama sekali. Omzet 2026 diperkirakan &gt; Rp1 miliar. Pastikan skema PPh (mis. PPh Final UMKM atau tarif umum) bersama konsultan pajak.</t>
  </si>
  <si>
    <t xml:space="preserve">ANALISIS LABA RUGI PER EVENT</t>
  </si>
  <si>
    <t xml:space="preserve">Berdasarkan kolom "Tag Event" di JURNAL (seluruh data). Biaya yang tidak diberi tag tidak ikut terhitung — biasakan selalu isi tag.</t>
  </si>
  <si>
    <t xml:space="preserve">Event</t>
  </si>
  <si>
    <t xml:space="preserve">Tanggal Pertama</t>
  </si>
  <si>
    <t xml:space="preserve">Pendapatan</t>
  </si>
  <si>
    <t xml:space="preserve">Biaya</t>
  </si>
  <si>
    <t xml:space="preserve">Laba (Rugi)</t>
  </si>
  <si>
    <t xml:space="preserve">Biaya per Rp1 Pendapatan</t>
  </si>
  <si>
    <t xml:space="preserve">Event Ragaria</t>
  </si>
  <si>
    <t xml:space="preserve">Event Maharia</t>
  </si>
  <si>
    <t xml:space="preserve">Biaya talent, orkestra &amp; sound besar; pemasukan tiket jauh di bawah biaya</t>
  </si>
  <si>
    <t xml:space="preserve">Event Artefac</t>
  </si>
  <si>
    <t xml:space="preserve">Event Yoga</t>
  </si>
  <si>
    <t xml:space="preserve">Event Solo Coffee Party</t>
  </si>
  <si>
    <t xml:space="preserve">Event Lokananta</t>
  </si>
  <si>
    <t xml:space="preserve">TOTAL EVENT</t>
  </si>
  <si>
    <t xml:space="preserve">Saran: buat anggaran per event sebelum jalan (target tiket/sponsor ≥ biaya), dan evaluasi dampak event ke omzet cafe di hari-hari setelahnya.</t>
  </si>
  <si>
    <t xml:space="preserve">6 transaksi yang keterangannya menyebut nama event tapi belum diberi tag, sudah diberi tag otomatis di versi ini.</t>
  </si>
  <si>
    <t xml:space="preserve">REKAP OMZET BULANAN</t>
  </si>
  <si>
    <t xml:space="preserve">Data operasional dari OMZET HARIAN (termasuk bulan berjalan).</t>
  </si>
  <si>
    <t xml:space="preserve">Total</t>
  </si>
  <si>
    <t xml:space="preserve">Omzet tercatat (POS)</t>
  </si>
  <si>
    <t xml:space="preserve">  Tunai</t>
  </si>
  <si>
    <t xml:space="preserve">  EDC / QRIS</t>
  </si>
  <si>
    <t xml:space="preserve">Realisasi masuk kas</t>
  </si>
  <si>
    <t xml:space="preserve">Selisih tunai</t>
  </si>
  <si>
    <t xml:space="preserve">  dijelaskan: bon karyawan</t>
  </si>
  <si>
    <t xml:space="preserve">  dijelaskan: compliment</t>
  </si>
  <si>
    <t xml:space="preserve">  dijelaskan: bill owner</t>
  </si>
  <si>
    <t xml:space="preserve">Selisih tunai tak terjelaskan</t>
  </si>
  <si>
    <t xml:space="preserve">Selisih EDC (MDR / settlement)</t>
  </si>
  <si>
    <t xml:space="preserve">OMZET BERSIH</t>
  </si>
  <si>
    <t xml:space="preserve">Hari buka</t>
  </si>
  <si>
    <t xml:space="preserve">Rata-rata omzet bersih / hari</t>
  </si>
  <si>
    <t xml:space="preserve">Jumlah transaksi</t>
  </si>
  <si>
    <t xml:space="preserve">Rata-rata nilai / transaksi (avg ticket)</t>
  </si>
  <si>
    <t xml:space="preserve">Produk terjual</t>
  </si>
  <si>
    <t xml:space="preserve">Target omzet</t>
  </si>
  <si>
    <t xml:space="preserve">Pencapaian target</t>
  </si>
  <si>
    <t xml:space="preserve">Pertumbuhan vs bulan lalu</t>
  </si>
  <si>
    <t xml:space="preserve">Hari belum direalisasi / perlu dicek</t>
  </si>
  <si>
    <t xml:space="preserve">Input harian dari kasir. Biru = isi manual, hitam = rumus. Realisasi tunai diisi saat setor H+1; kalau belum diisi, status "Belum direalisasi" dan selisih tidak dihitung dulu.</t>
  </si>
  <si>
    <t xml:space="preserve">Tanggal</t>
  </si>
  <si>
    <t xml:space="preserve">Bln</t>
  </si>
  <si>
    <t xml:space="preserve">Tunai (POS)</t>
  </si>
  <si>
    <t xml:space="preserve">EDC/QRIS (POS)</t>
  </si>
  <si>
    <t xml:space="preserve">Total Tercatat</t>
  </si>
  <si>
    <t xml:space="preserve">Real Tunai Shift 1</t>
  </si>
  <si>
    <t xml:space="preserve">Real Tunai Shift 2</t>
  </si>
  <si>
    <t xml:space="preserve">Real EDC (settle)</t>
  </si>
  <si>
    <t xml:space="preserve">Total Realisasi</t>
  </si>
  <si>
    <t xml:space="preserve">Selisih Tunai</t>
  </si>
  <si>
    <t xml:space="preserve">Selisih EDC</t>
  </si>
  <si>
    <t xml:space="preserve">Bon Karyawan</t>
  </si>
  <si>
    <t xml:space="preserve">Bill Owner</t>
  </si>
  <si>
    <t xml:space="preserve">Selisih Tunai Tak Terjelaskan</t>
  </si>
  <si>
    <t xml:space="preserve">Biaya Selisih</t>
  </si>
  <si>
    <t xml:space="preserve">Produk Terjual</t>
  </si>
  <si>
    <t xml:space="preserve">Jml Transaksi</t>
  </si>
  <si>
    <t xml:space="preserve">JURNAL TRANSAKSI</t>
  </si>
  <si>
    <t xml:space="preserve">Satu baris = satu transaksi (akun debet, akun kredit, nominal). Isi kolom A–I saja; kolom abu-abu adalah rumus bantu. Baris OTOMATIS/PENYESUAIAN jangan diubah.</t>
  </si>
  <si>
    <t xml:space="preserve">No. Bukti</t>
  </si>
  <si>
    <t xml:space="preserve">Akun Debet</t>
  </si>
  <si>
    <t xml:space="preserve">Akun Kredit</t>
  </si>
  <si>
    <t xml:space="preserve">Nominal</t>
  </si>
  <si>
    <t xml:space="preserve">Tag Event</t>
  </si>
  <si>
    <t xml:space="preserve">Sub Akun / Pihak</t>
  </si>
  <si>
    <t xml:space="preserve">Jenis</t>
  </si>
  <si>
    <t xml:space="preserve">Thn</t>
  </si>
  <si>
    <t xml:space="preserve">Akun Lawan Kas</t>
  </si>
  <si>
    <t xml:space="preserve">Arus Kas (+/−)</t>
  </si>
  <si>
    <t xml:space="preserve">Baris AK</t>
  </si>
  <si>
    <t xml:space="preserve">Kel. Debet</t>
  </si>
  <si>
    <t xml:space="preserve">Kel. Kredit</t>
  </si>
  <si>
    <t xml:space="preserve">BB#</t>
  </si>
  <si>
    <t xml:space="preserve">Cek</t>
  </si>
  <si>
    <t xml:space="preserve">JU-0001</t>
  </si>
  <si>
    <t xml:space="preserve">Biaya Pemeliharaan</t>
  </si>
  <si>
    <t xml:space="preserve">Utang Usaha Jangka Panjang</t>
  </si>
  <si>
    <t xml:space="preserve">Tagihan maintenance Kopi Parang dari FM Wood tahun 2025</t>
  </si>
  <si>
    <t xml:space="preserve">FM Wood Maintenance</t>
  </si>
  <si>
    <t xml:space="preserve">JU-0002</t>
  </si>
  <si>
    <t xml:space="preserve">Biaya Marketing &amp; Promosi</t>
  </si>
  <si>
    <t xml:space="preserve">Kas Bank</t>
  </si>
  <si>
    <t xml:space="preserve">Pembayaran promosi pengadaan acara gendut berlari acara tgl 11/01/26</t>
  </si>
  <si>
    <t xml:space="preserve">JU-0003</t>
  </si>
  <si>
    <t xml:space="preserve">Prive</t>
  </si>
  <si>
    <t xml:space="preserve">Setoran kepada Owner Januari</t>
  </si>
  <si>
    <t xml:space="preserve">JU-0004</t>
  </si>
  <si>
    <t xml:space="preserve">Dana Sosial &amp; CSR</t>
  </si>
  <si>
    <t xml:space="preserve">Pembayaran nasi gudeg berkah 50box</t>
  </si>
  <si>
    <t xml:space="preserve">JU-0005</t>
  </si>
  <si>
    <t xml:space="preserve">Biaya Bahan Baku</t>
  </si>
  <si>
    <t xml:space="preserve">Belanja tahu walik 50 pack dan ongkir</t>
  </si>
  <si>
    <t xml:space="preserve">JU-0006</t>
  </si>
  <si>
    <t xml:space="preserve">Belanja susu fresmilk gf 2 karton isi 24pcs</t>
  </si>
  <si>
    <t xml:space="preserve">JU-0007</t>
  </si>
  <si>
    <t xml:space="preserve">Kas Tunai</t>
  </si>
  <si>
    <t xml:space="preserve">Pindah dana Tunai - BCA</t>
  </si>
  <si>
    <t xml:space="preserve">JU-0008</t>
  </si>
  <si>
    <t xml:space="preserve">Biaya Penyajian</t>
  </si>
  <si>
    <t xml:space="preserve">Belanja tutup strawless PET 1 box isi 1000pcs</t>
  </si>
  <si>
    <t xml:space="preserve">JU-0009</t>
  </si>
  <si>
    <t xml:space="preserve">Pembayaran croissant buttersome batch 132-136 (25Des-4Jan) 67pcs</t>
  </si>
  <si>
    <t xml:space="preserve">JU-0010</t>
  </si>
  <si>
    <t xml:space="preserve">Membayar jasa print cetak stiker untuk botol kombucha event Ragaria 128pcs</t>
  </si>
  <si>
    <t xml:space="preserve">JU-0011</t>
  </si>
  <si>
    <t xml:space="preserve">Biaya Operasional Harian</t>
  </si>
  <si>
    <t xml:space="preserve">Kas Warung</t>
  </si>
  <si>
    <t xml:space="preserve">Belanja untuk acara bakar2 akhir tahun (31/12/25)</t>
  </si>
  <si>
    <t xml:space="preserve">JU-0012</t>
  </si>
  <si>
    <t xml:space="preserve">Belanja es batu 3 pack (1/01)</t>
  </si>
  <si>
    <t xml:space="preserve">JU-0013</t>
  </si>
  <si>
    <t xml:space="preserve">Belanja gas lpg 3kg (1/01)</t>
  </si>
  <si>
    <t xml:space="preserve">JU-0014</t>
  </si>
  <si>
    <t xml:space="preserve">Belanja sunlight 2 pack (1/01)</t>
  </si>
  <si>
    <t xml:space="preserve">JU-0015</t>
  </si>
  <si>
    <t xml:space="preserve">Belanja es batu 3 pack (2/01)</t>
  </si>
  <si>
    <t xml:space="preserve">JU-0016</t>
  </si>
  <si>
    <t xml:space="preserve">Membayar jasa print cetak pamflet untuk sponsorship event Maharia tgl 16 (3/01)</t>
  </si>
  <si>
    <t xml:space="preserve">JU-0017</t>
  </si>
  <si>
    <t xml:space="preserve">Belanja es batu 3 pack (3/01)</t>
  </si>
  <si>
    <t xml:space="preserve">JU-0018</t>
  </si>
  <si>
    <t xml:space="preserve">Belanja es batu 4 pack (5/01)</t>
  </si>
  <si>
    <t xml:space="preserve">JU-0019</t>
  </si>
  <si>
    <t xml:space="preserve">Membayar bensin untuk belanja (5/01)</t>
  </si>
  <si>
    <t xml:space="preserve">JU-0020</t>
  </si>
  <si>
    <t xml:space="preserve">Pindah dana tunai ke kas warung (keperluan darurat dan evt ragaria tgl 11)</t>
  </si>
  <si>
    <t xml:space="preserve">JU-0021</t>
  </si>
  <si>
    <t xml:space="preserve">Pindah dana kas warung ke tunai (kembalian lebih 9.5k sdg ditukar di laporan berikutnya)</t>
  </si>
  <si>
    <t xml:space="preserve">JU-0022</t>
  </si>
  <si>
    <t xml:space="preserve">Pendapatan non Cafe</t>
  </si>
  <si>
    <t xml:space="preserve">Pemasukan penjualan tiket 06/01 event Maharia tgl 16/01</t>
  </si>
  <si>
    <t xml:space="preserve">JU-0023</t>
  </si>
  <si>
    <t xml:space="preserve">Pembayaran bagel buttersome batch 4-5 41pcs</t>
  </si>
  <si>
    <t xml:space="preserve">JU-0024</t>
  </si>
  <si>
    <t xml:space="preserve">Belanja sabun cuci piring soume premium 5L x2</t>
  </si>
  <si>
    <t xml:space="preserve">JU-0025</t>
  </si>
  <si>
    <t xml:space="preserve">Membayar iklan di tik tok</t>
  </si>
  <si>
    <t xml:space="preserve">JU-0026</t>
  </si>
  <si>
    <t xml:space="preserve">Membayar DP Soloensis live performance at Maharia</t>
  </si>
  <si>
    <t xml:space="preserve">JU-0027</t>
  </si>
  <si>
    <t xml:space="preserve">Membayar DP orchestra vendor dan sound untuk event Maharia</t>
  </si>
  <si>
    <t xml:space="preserve">JU-0028</t>
  </si>
  <si>
    <t xml:space="preserve">Belanja biji kopi yantos kerinci natural 200gr x4 pack</t>
  </si>
  <si>
    <t xml:space="preserve">JU-0029</t>
  </si>
  <si>
    <t xml:space="preserve">Biaya Lainnya</t>
  </si>
  <si>
    <t xml:space="preserve">Biaya transfer flip</t>
  </si>
  <si>
    <t xml:space="preserve">JU-0030</t>
  </si>
  <si>
    <t xml:space="preserve">Membayar hosting website langganan 1 tahun</t>
  </si>
  <si>
    <t xml:space="preserve">JU-0031</t>
  </si>
  <si>
    <t xml:space="preserve">JU-0032</t>
  </si>
  <si>
    <t xml:space="preserve">Pemasukan penjualan tiket 07/01 event Maharia tgl 16/01</t>
  </si>
  <si>
    <t xml:space="preserve">JU-0033</t>
  </si>
  <si>
    <t xml:space="preserve">Belanja isi ulang galon unlock water x10 galon</t>
  </si>
  <si>
    <t xml:space="preserve">JU-0034</t>
  </si>
  <si>
    <t xml:space="preserve">Pemasukan penjualan tiket 08/01 event Maharia tgl 16/01</t>
  </si>
  <si>
    <t xml:space="preserve">JU-0035</t>
  </si>
  <si>
    <t xml:space="preserve">Membayar uang keamanan acara Maharia</t>
  </si>
  <si>
    <t xml:space="preserve">JU-0036</t>
  </si>
  <si>
    <t xml:space="preserve">Pindah dana tunai ke kas warung (keperluan darurat)</t>
  </si>
  <si>
    <t xml:space="preserve">JU-0037</t>
  </si>
  <si>
    <t xml:space="preserve">Pindah dana kas warung ke tunai</t>
  </si>
  <si>
    <t xml:space="preserve">JU-0038</t>
  </si>
  <si>
    <t xml:space="preserve">Belanja kebutuhan event bahan baku</t>
  </si>
  <si>
    <t xml:space="preserve">JU-0039</t>
  </si>
  <si>
    <t xml:space="preserve">Belanja kebutuhan event besar alat-alat</t>
  </si>
  <si>
    <t xml:space="preserve">JU-0040</t>
  </si>
  <si>
    <t xml:space="preserve">Belanja besar bahan baku</t>
  </si>
  <si>
    <t xml:space="preserve">JU-0041</t>
  </si>
  <si>
    <t xml:space="preserve">Beban Perlengkapan</t>
  </si>
  <si>
    <t xml:space="preserve">Belanja besar alat-alat</t>
  </si>
  <si>
    <t xml:space="preserve">JU-0042</t>
  </si>
  <si>
    <t xml:space="preserve">Belanja besar perlengkapan dan pemeliharaan restoran</t>
  </si>
  <si>
    <t xml:space="preserve">JU-0043</t>
  </si>
  <si>
    <t xml:space="preserve">Uang operasional belanja besar</t>
  </si>
  <si>
    <t xml:space="preserve">JU-0044</t>
  </si>
  <si>
    <t xml:space="preserve">Biaya pendukung belanja besar</t>
  </si>
  <si>
    <t xml:space="preserve">JU-0045</t>
  </si>
  <si>
    <t xml:space="preserve">Pendapatan Lainnya</t>
  </si>
  <si>
    <t xml:space="preserve">Kelebihan tunai</t>
  </si>
  <si>
    <t xml:space="preserve">JU-0046</t>
  </si>
  <si>
    <t xml:space="preserve">Pindah dana tunai ke BCA</t>
  </si>
  <si>
    <t xml:space="preserve">JU-0047</t>
  </si>
  <si>
    <t xml:space="preserve">Pemasukan penjualan tiket 09/01 event Maharia tgl 16/01</t>
  </si>
  <si>
    <t xml:space="preserve">JU-0048</t>
  </si>
  <si>
    <t xml:space="preserve">Pemasukan penjualan tiket 10/01 event Maharia tgl 16/01</t>
  </si>
  <si>
    <t xml:space="preserve">JU-0049</t>
  </si>
  <si>
    <t xml:space="preserve">Belanja susu freshmilk x2ctn, oatly milk x5pcs</t>
  </si>
  <si>
    <t xml:space="preserve">JU-0050</t>
  </si>
  <si>
    <t xml:space="preserve">Pemasukan penjualan tiket 12/01 event Maharia tgl 16/01</t>
  </si>
  <si>
    <t xml:space="preserve">JU-0051</t>
  </si>
  <si>
    <t xml:space="preserve">Pembelian spare part selang mesin kopi</t>
  </si>
  <si>
    <t xml:space="preserve">JU-0052</t>
  </si>
  <si>
    <t xml:space="preserve">Pembayaran titip jual event Ragaria gendut berlari Jersey GB Reg x3pcs</t>
  </si>
  <si>
    <t xml:space="preserve">JU-0053</t>
  </si>
  <si>
    <t xml:space="preserve">Pindah dana BCA ke tunai</t>
  </si>
  <si>
    <t xml:space="preserve">JU-0054</t>
  </si>
  <si>
    <t xml:space="preserve">Beban Gaji</t>
  </si>
  <si>
    <t xml:space="preserve">Membayar biaya part time x6 hari Sdr. Lutfi</t>
  </si>
  <si>
    <t xml:space="preserve">JU-0055</t>
  </si>
  <si>
    <t xml:space="preserve">Belanja Hario paper filter V60 100pcs x1</t>
  </si>
  <si>
    <t xml:space="preserve">JU-0056</t>
  </si>
  <si>
    <t xml:space="preserve">JU-0057</t>
  </si>
  <si>
    <t xml:space="preserve">JU-0058</t>
  </si>
  <si>
    <t xml:space="preserve">JU-0059</t>
  </si>
  <si>
    <t xml:space="preserve">JU-0060</t>
  </si>
  <si>
    <t xml:space="preserve">JU-0061</t>
  </si>
  <si>
    <t xml:space="preserve">JU-0062</t>
  </si>
  <si>
    <t xml:space="preserve">JU-0063</t>
  </si>
  <si>
    <t xml:space="preserve">Pemasukan penjualan tiket 13/01 event Maharia tgl 16/01</t>
  </si>
  <si>
    <t xml:space="preserve">JU-0064</t>
  </si>
  <si>
    <t xml:space="preserve">Belanja power supply reparasi alat mesin kopi</t>
  </si>
  <si>
    <t xml:space="preserve">JU-0065</t>
  </si>
  <si>
    <t xml:space="preserve">Belanja spare part untuk reparasi mesin kopi ?</t>
  </si>
  <si>
    <t xml:space="preserve">JU-0066</t>
  </si>
  <si>
    <t xml:space="preserve">Pemasukan penjualan tiket 14/01 event Maharia tgl 16/01</t>
  </si>
  <si>
    <t xml:space="preserve">JU-0067</t>
  </si>
  <si>
    <t xml:space="preserve">JU-0068</t>
  </si>
  <si>
    <t xml:space="preserve">JU-0069</t>
  </si>
  <si>
    <t xml:space="preserve">Pembayaran transportasi tiket travel bus kru Iksan Skuter acara Maharia</t>
  </si>
  <si>
    <t xml:space="preserve">JU-0070</t>
  </si>
  <si>
    <t xml:space="preserve">Belanja tahu walik isi 10 x100pack stok sebulan</t>
  </si>
  <si>
    <t xml:space="preserve">JU-0071</t>
  </si>
  <si>
    <t xml:space="preserve">Frozen food : (1zak : 2kg) straight 8zak, crinkle 4zak, champ 5kg, beef 6kg</t>
  </si>
  <si>
    <t xml:space="preserve">JU-0072</t>
  </si>
  <si>
    <t xml:space="preserve">Pemasukan penjualan tiket 15/01 event Maharia tgl 16/01</t>
  </si>
  <si>
    <t xml:space="preserve">JU-0073</t>
  </si>
  <si>
    <t xml:space="preserve">Reimbursment keperluan event (Alif)</t>
  </si>
  <si>
    <t xml:space="preserve">JU-0074</t>
  </si>
  <si>
    <t xml:space="preserve">JU-0075</t>
  </si>
  <si>
    <t xml:space="preserve">Belanja tutup cup strawless x2 box</t>
  </si>
  <si>
    <t xml:space="preserve">JU-0076</t>
  </si>
  <si>
    <t xml:space="preserve">Reimbursment keperluan event, perpanjang hotel artist (Alif)</t>
  </si>
  <si>
    <t xml:space="preserve">JU-0077</t>
  </si>
  <si>
    <t xml:space="preserve">JU-0078</t>
  </si>
  <si>
    <t xml:space="preserve">Pemasukan penjualan tiket 16/01 event Maharia tgl 16/01</t>
  </si>
  <si>
    <t xml:space="preserve">JU-0079</t>
  </si>
  <si>
    <t xml:space="preserve">Biaya admin bank BCA</t>
  </si>
  <si>
    <t xml:space="preserve">JU-0080</t>
  </si>
  <si>
    <t xml:space="preserve">JU-0081</t>
  </si>
  <si>
    <t xml:space="preserve">JU-0082</t>
  </si>
  <si>
    <t xml:space="preserve">JU-0083</t>
  </si>
  <si>
    <t xml:space="preserve">JU-0084</t>
  </si>
  <si>
    <t xml:space="preserve">Pindah dana tunai ke kas warung</t>
  </si>
  <si>
    <t xml:space="preserve">JU-0085</t>
  </si>
  <si>
    <t xml:space="preserve">Belanja simple syrup x1</t>
  </si>
  <si>
    <t xml:space="preserve">JU-0086</t>
  </si>
  <si>
    <t xml:space="preserve">Pelunasan orchestra dan sound</t>
  </si>
  <si>
    <t xml:space="preserve">JU-0087</t>
  </si>
  <si>
    <t xml:space="preserve">Pelunasan honorarium soloensis perform di Maharia vol.II</t>
  </si>
  <si>
    <t xml:space="preserve">JU-0088</t>
  </si>
  <si>
    <t xml:space="preserve">Membayar cicilan utang ke FM Wood (order)</t>
  </si>
  <si>
    <t xml:space="preserve">FM WOOD Order</t>
  </si>
  <si>
    <t xml:space="preserve">JU-0089</t>
  </si>
  <si>
    <t xml:space="preserve">Membayar cicilan utang ke FM Wood (maintenance)</t>
  </si>
  <si>
    <t xml:space="preserve">JU-0090</t>
  </si>
  <si>
    <t xml:space="preserve">Biaya transfer flip (TF reserve tgl 19/03)</t>
  </si>
  <si>
    <t xml:space="preserve">JU-0091</t>
  </si>
  <si>
    <t xml:space="preserve">Belanja cup 12oz x1000pcs (3/01) faktur 12334</t>
  </si>
  <si>
    <t xml:space="preserve">JU-0092</t>
  </si>
  <si>
    <t xml:space="preserve">Belanja cup 12oz x1000pcs (15/01) faktur 12335</t>
  </si>
  <si>
    <t xml:space="preserve">JU-0093</t>
  </si>
  <si>
    <t xml:space="preserve">Belanja susu freshmilk greenfield x12pcs</t>
  </si>
  <si>
    <t xml:space="preserve">JU-0094</t>
  </si>
  <si>
    <t xml:space="preserve">Pelunasan sound : tenda sarnavile &amp; baricade rowwing (susulan)</t>
  </si>
  <si>
    <t xml:space="preserve">JU-0095</t>
  </si>
  <si>
    <t xml:space="preserve">Pembayaran jasa service AC : overhoal, isi freon, vakum</t>
  </si>
  <si>
    <t xml:space="preserve">JU-0096</t>
  </si>
  <si>
    <t xml:space="preserve">Pembayaran langganan musik spotify</t>
  </si>
  <si>
    <t xml:space="preserve">JU-0097</t>
  </si>
  <si>
    <t xml:space="preserve">Biaya top up</t>
  </si>
  <si>
    <t xml:space="preserve">JU-0098</t>
  </si>
  <si>
    <t xml:space="preserve">Pelunasan reimbursment acara Maharia II</t>
  </si>
  <si>
    <t xml:space="preserve">JU-0099</t>
  </si>
  <si>
    <t xml:space="preserve">JU-0100</t>
  </si>
  <si>
    <t xml:space="preserve">JU-0101</t>
  </si>
  <si>
    <t xml:space="preserve">Belanja susu fresmilk gf x 2 ctn</t>
  </si>
  <si>
    <t xml:space="preserve">JU-0102</t>
  </si>
  <si>
    <t xml:space="preserve">Pembayaran fee Iksan Skuter acara Maharia II</t>
  </si>
  <si>
    <t xml:space="preserve">JU-0103</t>
  </si>
  <si>
    <t xml:space="preserve">JU-0104</t>
  </si>
  <si>
    <t xml:space="preserve">JU-0105</t>
  </si>
  <si>
    <t xml:space="preserve">Belanja unlock water x 8 galon (19/01)</t>
  </si>
  <si>
    <t xml:space="preserve">JU-0106</t>
  </si>
  <si>
    <t xml:space="preserve">Belanja churros x 300 pcs</t>
  </si>
  <si>
    <t xml:space="preserve">JU-0107</t>
  </si>
  <si>
    <t xml:space="preserve">Belanja unlock water x 10 galon (12/01)</t>
  </si>
  <si>
    <t xml:space="preserve">JU-0108</t>
  </si>
  <si>
    <t xml:space="preserve">Belanja refill spon pel x 2 pcs</t>
  </si>
  <si>
    <t xml:space="preserve">JU-0109</t>
  </si>
  <si>
    <t xml:space="preserve">Biaya Tagihan Bulanan</t>
  </si>
  <si>
    <t xml:space="preserve">Pembayaran langganan aplikasi Majoo</t>
  </si>
  <si>
    <t xml:space="preserve">JU-0110</t>
  </si>
  <si>
    <t xml:space="preserve">Peralatan</t>
  </si>
  <si>
    <t xml:space="preserve">Belanja kulkas (9/01)</t>
  </si>
  <si>
    <t xml:space="preserve">JU-0111</t>
  </si>
  <si>
    <t xml:space="preserve">JU-0112</t>
  </si>
  <si>
    <t xml:space="preserve">JU-0113</t>
  </si>
  <si>
    <t xml:space="preserve">JU-0114</t>
  </si>
  <si>
    <t xml:space="preserve">JU-0115</t>
  </si>
  <si>
    <t xml:space="preserve">Belanja tofico: 2greentea, 2matcha premium, vanilla, blue curacao. Dripp peach</t>
  </si>
  <si>
    <t xml:space="preserve">JU-0116</t>
  </si>
  <si>
    <t xml:space="preserve">Pembayaran croissant batch 137-141 x 49pcs</t>
  </si>
  <si>
    <t xml:space="preserve">JU-0117</t>
  </si>
  <si>
    <t xml:space="preserve">Pembayaran beli return croissant batch 132-141 x 9pcs</t>
  </si>
  <si>
    <t xml:space="preserve">JU-0118</t>
  </si>
  <si>
    <t xml:space="preserve">Pembayaran bagel batch 6 x 50pcs</t>
  </si>
  <si>
    <t xml:space="preserve">JU-0119</t>
  </si>
  <si>
    <t xml:space="preserve">Belanja chili oil x 1L</t>
  </si>
  <si>
    <t xml:space="preserve">JU-0120</t>
  </si>
  <si>
    <t xml:space="preserve">Belanja soda cola x 8 botol</t>
  </si>
  <si>
    <t xml:space="preserve">JU-0121</t>
  </si>
  <si>
    <t xml:space="preserve">Pembayaran ganti rugi tutup seal botol soda hilang x3 pcs</t>
  </si>
  <si>
    <t xml:space="preserve">JU-0122</t>
  </si>
  <si>
    <t xml:space="preserve">JU-0123</t>
  </si>
  <si>
    <t xml:space="preserve">Belanja oatside x 5 pcs</t>
  </si>
  <si>
    <t xml:space="preserve">JU-0124</t>
  </si>
  <si>
    <t xml:space="preserve">Belanja makanan berat 3 macam / macam 10 pcs</t>
  </si>
  <si>
    <t xml:space="preserve">JU-0125</t>
  </si>
  <si>
    <t xml:space="preserve">JU-0126</t>
  </si>
  <si>
    <t xml:space="preserve">JU-0127</t>
  </si>
  <si>
    <t xml:space="preserve">JU-0128</t>
  </si>
  <si>
    <t xml:space="preserve">JU-0129</t>
  </si>
  <si>
    <t xml:space="preserve">JU-0130</t>
  </si>
  <si>
    <t xml:space="preserve">JU-0131</t>
  </si>
  <si>
    <t xml:space="preserve">Pembayaran tambahan Linmas acara Maharia 16/01 (20/01)</t>
  </si>
  <si>
    <t xml:space="preserve">JU-0132</t>
  </si>
  <si>
    <t xml:space="preserve">Membayar biaya part time x3 hari Sdr. Lutfi (26/01)</t>
  </si>
  <si>
    <t xml:space="preserve">JU-0133</t>
  </si>
  <si>
    <t xml:space="preserve">Pembayaran dana kebersihan sampah Januari - Maret (22/01)</t>
  </si>
  <si>
    <t xml:space="preserve">JU-0134</t>
  </si>
  <si>
    <t xml:space="preserve">JU-0135</t>
  </si>
  <si>
    <t xml:space="preserve">JU-0136</t>
  </si>
  <si>
    <t xml:space="preserve">Tunai hilang (dituker dengan potong gaji)</t>
  </si>
  <si>
    <t xml:space="preserve">JU-0137</t>
  </si>
  <si>
    <t xml:space="preserve">JU-0138</t>
  </si>
  <si>
    <t xml:space="preserve">JU-0139</t>
  </si>
  <si>
    <t xml:space="preserve">Belanja unlock water for espresso x 10 galon</t>
  </si>
  <si>
    <t xml:space="preserve">JU-0140</t>
  </si>
  <si>
    <t xml:space="preserve">Piutang Lainnya</t>
  </si>
  <si>
    <t xml:space="preserve">Owner pinjam</t>
  </si>
  <si>
    <t xml:space="preserve">Piutang Pak Munir</t>
  </si>
  <si>
    <t xml:space="preserve">JU-0141</t>
  </si>
  <si>
    <t xml:space="preserve">Pemasukan lain (uang hilang dituker lewat potong gaji)</t>
  </si>
  <si>
    <t xml:space="preserve">JU-0142</t>
  </si>
  <si>
    <t xml:space="preserve">Membayar gaji pegawai</t>
  </si>
  <si>
    <t xml:space="preserve">JU-0143</t>
  </si>
  <si>
    <t xml:space="preserve">Membayar bonus pegawai</t>
  </si>
  <si>
    <t xml:space="preserve">JU-0144</t>
  </si>
  <si>
    <t xml:space="preserve">Biaya flip untuk transfer gaji</t>
  </si>
  <si>
    <t xml:space="preserve">JU-0145</t>
  </si>
  <si>
    <t xml:space="preserve">Biaya Sewa Tempat</t>
  </si>
  <si>
    <t xml:space="preserve">Talangan cicilan BRI jaminan Kopi Parang (biaya sewa tempat)</t>
  </si>
  <si>
    <t xml:space="preserve">JU-0146</t>
  </si>
  <si>
    <t xml:space="preserve">Belanja PO biji kopi Yantos 24kg untuk operasional menu kopi</t>
  </si>
  <si>
    <t xml:space="preserve">JU-0147</t>
  </si>
  <si>
    <t xml:space="preserve">JU-0148</t>
  </si>
  <si>
    <t xml:space="preserve">Pembayaran jasa cetak buku menu</t>
  </si>
  <si>
    <t xml:space="preserve">JU-0149</t>
  </si>
  <si>
    <t xml:space="preserve">JU-0150</t>
  </si>
  <si>
    <t xml:space="preserve">Belanja susu freshmilk gf x 3 ctn</t>
  </si>
  <si>
    <t xml:space="preserve">JU-0151</t>
  </si>
  <si>
    <t xml:space="preserve">Pembayaran DP kedua web develop TMS</t>
  </si>
  <si>
    <t xml:space="preserve">JU-0152</t>
  </si>
  <si>
    <t xml:space="preserve">Pembayaran sponsorship kerja sama dengan UNS</t>
  </si>
  <si>
    <t xml:space="preserve">JU-0153</t>
  </si>
  <si>
    <t xml:space="preserve">JU-0154</t>
  </si>
  <si>
    <t xml:space="preserve">Pembayaran tambahan Linmas acara Maharia 16/01 (17/01)</t>
  </si>
  <si>
    <t xml:space="preserve">JU-0155</t>
  </si>
  <si>
    <t xml:space="preserve">Pembayaran service printer</t>
  </si>
  <si>
    <t xml:space="preserve">JU-0156</t>
  </si>
  <si>
    <t xml:space="preserve">JU-0157</t>
  </si>
  <si>
    <t xml:space="preserve">JU-0158</t>
  </si>
  <si>
    <t xml:space="preserve">Pindah dana tunai ke kas warung (dana darurat)</t>
  </si>
  <si>
    <t xml:space="preserve">JU-0159</t>
  </si>
  <si>
    <t xml:space="preserve">Pindah dana tunai ke kas warung (brangkas pecah, nuker honor Linmas 17/01)</t>
  </si>
  <si>
    <t xml:space="preserve">JU-0160</t>
  </si>
  <si>
    <t xml:space="preserve">JU-0161</t>
  </si>
  <si>
    <t xml:space="preserve">JU-0162</t>
  </si>
  <si>
    <t xml:space="preserve">JU-0163</t>
  </si>
  <si>
    <t xml:space="preserve">JU-0164</t>
  </si>
  <si>
    <t xml:space="preserve">Belanja susu UHT  ultamilk x 2 ctn</t>
  </si>
  <si>
    <t xml:space="preserve">JU-0165</t>
  </si>
  <si>
    <t xml:space="preserve">Menerima pelunasan piutang Einstein</t>
  </si>
  <si>
    <t xml:space="preserve">Piutang Einstein</t>
  </si>
  <si>
    <t xml:space="preserve">JU-0166</t>
  </si>
  <si>
    <t xml:space="preserve">Piutang Usaha Cafe</t>
  </si>
  <si>
    <t xml:space="preserve">Menerima pelunasan piutang Einstein (Yantos)</t>
  </si>
  <si>
    <t xml:space="preserve">Yantos</t>
  </si>
  <si>
    <t xml:space="preserve">JU-0167</t>
  </si>
  <si>
    <t xml:space="preserve">Utang Usaha Lancar</t>
  </si>
  <si>
    <t xml:space="preserve">Gaji Januari Einstein tidak diambil</t>
  </si>
  <si>
    <t xml:space="preserve">Gaji Einstein</t>
  </si>
  <si>
    <t xml:space="preserve">JU-0168</t>
  </si>
  <si>
    <t xml:space="preserve">Pendapatan bunga rekening bank BCA</t>
  </si>
  <si>
    <t xml:space="preserve">JU-0169</t>
  </si>
  <si>
    <t xml:space="preserve">Pengeluaran pajak bunga rekening bank BCA</t>
  </si>
  <si>
    <t xml:space="preserve">JU-0170</t>
  </si>
  <si>
    <t xml:space="preserve">JU-0171</t>
  </si>
  <si>
    <t xml:space="preserve">Tagihan listrik Januari 2026</t>
  </si>
  <si>
    <t xml:space="preserve">JU-0172</t>
  </si>
  <si>
    <t xml:space="preserve">Tagihan telepon Januari 2026</t>
  </si>
  <si>
    <t xml:space="preserve">JU-0173</t>
  </si>
  <si>
    <t xml:space="preserve">Tagihan internet Januari 2026</t>
  </si>
  <si>
    <t xml:space="preserve">JU-0174</t>
  </si>
  <si>
    <t xml:space="preserve">Alokasi gaji Supervisor Januari</t>
  </si>
  <si>
    <t xml:space="preserve">Gaji Supervisor</t>
  </si>
  <si>
    <t xml:space="preserve">JU-0175</t>
  </si>
  <si>
    <t xml:space="preserve">Pajak Restoran</t>
  </si>
  <si>
    <t xml:space="preserve">Pajak daerah PBJT-CAFE ke Bank Jateng Bapenda</t>
  </si>
  <si>
    <t xml:space="preserve">JU-0176</t>
  </si>
  <si>
    <t xml:space="preserve">Denda terlambat pembayaran pajak daerah</t>
  </si>
  <si>
    <t xml:space="preserve">JU-0177</t>
  </si>
  <si>
    <t xml:space="preserve">Pendapatan Cafe</t>
  </si>
  <si>
    <t xml:space="preserve">Omzet bersih bulan Januari (dari OMZET HARIAN)</t>
  </si>
  <si>
    <t xml:space="preserve">OTOMATIS</t>
  </si>
  <si>
    <t xml:space="preserve">JU-0178</t>
  </si>
  <si>
    <t xml:space="preserve">Realisasi tunai omzet bulan Januari</t>
  </si>
  <si>
    <t xml:space="preserve">JU-0179</t>
  </si>
  <si>
    <t xml:space="preserve">Realisasi EDC/QRIS omzet bulan Januari</t>
  </si>
  <si>
    <t xml:space="preserve">JU-0180</t>
  </si>
  <si>
    <t xml:space="preserve">Bon karyawan bulan Januari</t>
  </si>
  <si>
    <t xml:space="preserve">JU-0181</t>
  </si>
  <si>
    <t xml:space="preserve">Biaya Compliment</t>
  </si>
  <si>
    <t xml:space="preserve">Compliment bulan Januari</t>
  </si>
  <si>
    <t xml:space="preserve">JU-0182</t>
  </si>
  <si>
    <t xml:space="preserve">Bill owner bulan Januari (dicatat sebagai Prive, bukan piutang)</t>
  </si>
  <si>
    <t xml:space="preserve">JU-0183</t>
  </si>
  <si>
    <t xml:space="preserve">Beban Penyusutan Peralatan</t>
  </si>
  <si>
    <t xml:space="preserve">Akumulasi Penyusutan Peralatan</t>
  </si>
  <si>
    <t xml:space="preserve">Penyusutan peralatan bulan Januari (dari ASET TETAP)</t>
  </si>
  <si>
    <t xml:space="preserve">JU-0184</t>
  </si>
  <si>
    <t xml:space="preserve">Utang Pajak Daerah (PBJT)</t>
  </si>
  <si>
    <t xml:space="preserve">Estimasi PBJT kurang bayar bulan Januari (lihat PAJAK)</t>
  </si>
  <si>
    <t xml:space="preserve">PENYESUAIAN</t>
  </si>
  <si>
    <t xml:space="preserve">JU-0185</t>
  </si>
  <si>
    <t xml:space="preserve">Belanja PO biji kopi Yantos 24kg untuk menu kopi susu/sandikala</t>
  </si>
  <si>
    <t xml:space="preserve">JU-0186</t>
  </si>
  <si>
    <t xml:space="preserve">Belanja PO biji kopi Yantos 3kg untuk menu exotic</t>
  </si>
  <si>
    <t xml:space="preserve">JU-0187</t>
  </si>
  <si>
    <t xml:space="preserve">Pengembalian saldo minimal dari BRI Bisnis</t>
  </si>
  <si>
    <t xml:space="preserve">BRI Bisnis</t>
  </si>
  <si>
    <t xml:space="preserve">JU-0188</t>
  </si>
  <si>
    <t xml:space="preserve">JU-0189</t>
  </si>
  <si>
    <t xml:space="preserve">Belanja bahan baku</t>
  </si>
  <si>
    <t xml:space="preserve">JU-0190</t>
  </si>
  <si>
    <t xml:space="preserve">Belanja alat</t>
  </si>
  <si>
    <t xml:space="preserve">JU-0191</t>
  </si>
  <si>
    <t xml:space="preserve">Belanja perlengkapan</t>
  </si>
  <si>
    <t xml:space="preserve">JU-0192</t>
  </si>
  <si>
    <t xml:space="preserve">JU-0193</t>
  </si>
  <si>
    <t xml:space="preserve">JU-0194</t>
  </si>
  <si>
    <t xml:space="preserve">Nasi box berkah x 50 porsi</t>
  </si>
  <si>
    <t xml:space="preserve">JU-0195</t>
  </si>
  <si>
    <t xml:space="preserve">Susu UHT ultramilk 5 karton isi 60 pack</t>
  </si>
  <si>
    <t xml:space="preserve">JU-0196</t>
  </si>
  <si>
    <t xml:space="preserve">Tissue 2 dus isi 24 pack</t>
  </si>
  <si>
    <t xml:space="preserve">JU-0197</t>
  </si>
  <si>
    <t xml:space="preserve">Susu UHT ultramilk 10 karton isi 120 pack</t>
  </si>
  <si>
    <t xml:space="preserve">JU-0198</t>
  </si>
  <si>
    <t xml:space="preserve">JU-0199</t>
  </si>
  <si>
    <t xml:space="preserve">JU-0200</t>
  </si>
  <si>
    <t xml:space="preserve">Frozen food : crinkle 2zak, sosis champ &amp; sosis beef @2kg/item</t>
  </si>
  <si>
    <t xml:space="preserve">JU-0201</t>
  </si>
  <si>
    <t xml:space="preserve">Susu Freshmilk greenfield 4 karton isi 48</t>
  </si>
  <si>
    <t xml:space="preserve">JU-0202</t>
  </si>
  <si>
    <t xml:space="preserve">Gaji Fabian 3 hari &amp; uang makan (29-31 Januari)</t>
  </si>
  <si>
    <t xml:space="preserve">JU-0203</t>
  </si>
  <si>
    <t xml:space="preserve">JU-0204</t>
  </si>
  <si>
    <t xml:space="preserve">Kertas HVS 70gr F4 1 Rim, kabel RCA fml-&gt;ml aux lts T2.A, lampu halogen spot 5W</t>
  </si>
  <si>
    <t xml:space="preserve">JU-0205</t>
  </si>
  <si>
    <t xml:space="preserve">Tutup cup plastik 2000pcs</t>
  </si>
  <si>
    <t xml:space="preserve">JU-0206</t>
  </si>
  <si>
    <t xml:space="preserve">Cup plastik 12oz 2000pcs faktur 12415 &amp; 12416</t>
  </si>
  <si>
    <t xml:space="preserve">JU-0207</t>
  </si>
  <si>
    <t xml:space="preserve">Biaya transfer beda bank. BCA ke Bank Jateng</t>
  </si>
  <si>
    <t xml:space="preserve">JU-0208</t>
  </si>
  <si>
    <t xml:space="preserve">JU-0209</t>
  </si>
  <si>
    <t xml:space="preserve">JU-0210</t>
  </si>
  <si>
    <t xml:space="preserve">JU-0211</t>
  </si>
  <si>
    <t xml:space="preserve">JU-0212</t>
  </si>
  <si>
    <t xml:space="preserve">JU-0213</t>
  </si>
  <si>
    <t xml:space="preserve">JU-0214</t>
  </si>
  <si>
    <t xml:space="preserve">Savis tea cold infusion refreshing 500g</t>
  </si>
  <si>
    <t xml:space="preserve">JU-0215</t>
  </si>
  <si>
    <t xml:space="preserve">JU-0216</t>
  </si>
  <si>
    <t xml:space="preserve">JU-0217</t>
  </si>
  <si>
    <t xml:space="preserve">JU-0218</t>
  </si>
  <si>
    <t xml:space="preserve">Pemasukan mencoba mesin EDC baru an. Aflaha AM</t>
  </si>
  <si>
    <t xml:space="preserve">JU-0219</t>
  </si>
  <si>
    <t xml:space="preserve">Pindah dana tunai ke kas warung (uang pecahan)</t>
  </si>
  <si>
    <t xml:space="preserve">JU-0220</t>
  </si>
  <si>
    <t xml:space="preserve">Pindah dana tunai ke BCA (Bu Munir)</t>
  </si>
  <si>
    <t xml:space="preserve">JU-0221</t>
  </si>
  <si>
    <t xml:space="preserve">DP 50% event Solo Voice</t>
  </si>
  <si>
    <t xml:space="preserve">JU-0222</t>
  </si>
  <si>
    <t xml:space="preserve">Event solo voice membayar man power angkat2 barang</t>
  </si>
  <si>
    <t xml:space="preserve">JU-0223</t>
  </si>
  <si>
    <t xml:space="preserve">Unlock water espresso x 10 galon</t>
  </si>
  <si>
    <t xml:space="preserve">JU-0224</t>
  </si>
  <si>
    <t xml:space="preserve">Belanja cairan untuk latihan latte art 30ml x 1 btl. JJ Latte art</t>
  </si>
  <si>
    <t xml:space="preserve">JU-0225</t>
  </si>
  <si>
    <t xml:space="preserve">Ready to meal Iga &amp; bebek x 15 pcs/item total 30 pcs</t>
  </si>
  <si>
    <t xml:space="preserve">JU-0226</t>
  </si>
  <si>
    <t xml:space="preserve">JU-0227</t>
  </si>
  <si>
    <t xml:space="preserve">JU-0228</t>
  </si>
  <si>
    <t xml:space="preserve">Pelunasan event Solo Voice</t>
  </si>
  <si>
    <t xml:space="preserve">JU-0229</t>
  </si>
  <si>
    <t xml:space="preserve">JU-0230</t>
  </si>
  <si>
    <t xml:space="preserve">Chili oil x 2L</t>
  </si>
  <si>
    <t xml:space="preserve">JU-0231</t>
  </si>
  <si>
    <t xml:space="preserve">Paper filter hario V60 x 1 pack</t>
  </si>
  <si>
    <t xml:space="preserve">JU-0232</t>
  </si>
  <si>
    <t xml:space="preserve">Tahu walik 30 pack isi 10 (isian menu pepakan ) &amp; 100 pack isi 9 (menu tahu walik)</t>
  </si>
  <si>
    <t xml:space="preserve">JU-0233</t>
  </si>
  <si>
    <t xml:space="preserve">Tenaga angkut2 event Solo Voice x 3 orang</t>
  </si>
  <si>
    <t xml:space="preserve">JU-0234</t>
  </si>
  <si>
    <t xml:space="preserve">Langganan aplikasi kasir Majoo</t>
  </si>
  <si>
    <t xml:space="preserve">JU-0235</t>
  </si>
  <si>
    <t xml:space="preserve">Tofico greentea 1 botol &amp; oatside 1 karton</t>
  </si>
  <si>
    <t xml:space="preserve">JU-0236</t>
  </si>
  <si>
    <t xml:space="preserve">Churros 2x kirim: 300pcs &amp; 200pcs</t>
  </si>
  <si>
    <t xml:space="preserve">JU-0237</t>
  </si>
  <si>
    <t xml:space="preserve">Pembayaran beli return batch 144-149 12pcs</t>
  </si>
  <si>
    <t xml:space="preserve">JU-0238</t>
  </si>
  <si>
    <t xml:space="preserve">Soda bluberi x 4 botol 500ml</t>
  </si>
  <si>
    <t xml:space="preserve">JU-0239</t>
  </si>
  <si>
    <t xml:space="preserve">JU-0240</t>
  </si>
  <si>
    <t xml:space="preserve">JU-0241</t>
  </si>
  <si>
    <t xml:space="preserve">JU-0242</t>
  </si>
  <si>
    <t xml:space="preserve">JU-0243</t>
  </si>
  <si>
    <t xml:space="preserve">Pindah dana BCA ke kas warung</t>
  </si>
  <si>
    <t xml:space="preserve">JU-0244</t>
  </si>
  <si>
    <t xml:space="preserve">JU-0245</t>
  </si>
  <si>
    <t xml:space="preserve">Biji kopi yantos 5 macam total 19 pack</t>
  </si>
  <si>
    <t xml:space="preserve">JU-0246</t>
  </si>
  <si>
    <t xml:space="preserve">JU-0247</t>
  </si>
  <si>
    <t xml:space="preserve">frozen food/100porsi : FF straight 8zak, crinkle 4z, champ 5kg, beef 5kg</t>
  </si>
  <si>
    <t xml:space="preserve">JU-0248</t>
  </si>
  <si>
    <t xml:space="preserve">Freshmilk gf x 3 ctn, simple syrup x 1 jrg</t>
  </si>
  <si>
    <t xml:space="preserve">JU-0249</t>
  </si>
  <si>
    <t xml:space="preserve">Croissant batch 142-149 89pcs Buttersome</t>
  </si>
  <si>
    <t xml:space="preserve">JU-0250</t>
  </si>
  <si>
    <t xml:space="preserve">Tutup cup x 1 box lid strawless PET</t>
  </si>
  <si>
    <t xml:space="preserve">JU-0251</t>
  </si>
  <si>
    <t xml:space="preserve">Print poster promosi makanan berat</t>
  </si>
  <si>
    <t xml:space="preserve">JU-0252</t>
  </si>
  <si>
    <t xml:space="preserve">Bayar parkir di gajah print</t>
  </si>
  <si>
    <t xml:space="preserve">JU-0253</t>
  </si>
  <si>
    <t xml:space="preserve">Pindah dana BCA ke Tunai (tuker pecah TJA)</t>
  </si>
  <si>
    <t xml:space="preserve">JU-0254</t>
  </si>
  <si>
    <t xml:space="preserve">JU-0255</t>
  </si>
  <si>
    <t xml:space="preserve">Pindah dana kas warung ke tunai (uang yg dipinjam)</t>
  </si>
  <si>
    <t xml:space="preserve">JU-0256</t>
  </si>
  <si>
    <t xml:space="preserve">Tisu wajah See-U facial tissue x 1 dus isi 40 pack isi 250lbr @6.8k/pack</t>
  </si>
  <si>
    <t xml:space="preserve">JU-0257</t>
  </si>
  <si>
    <t xml:space="preserve">Belanja besar bulanan bahan baku</t>
  </si>
  <si>
    <t xml:space="preserve">JU-0258</t>
  </si>
  <si>
    <t xml:space="preserve">Belanja besar bulanan alat</t>
  </si>
  <si>
    <t xml:space="preserve">JU-0259</t>
  </si>
  <si>
    <t xml:space="preserve">Belanja besar bulanan perlengkapan</t>
  </si>
  <si>
    <t xml:space="preserve">JU-0260</t>
  </si>
  <si>
    <t xml:space="preserve">Biaya promosi</t>
  </si>
  <si>
    <t xml:space="preserve">JU-0261</t>
  </si>
  <si>
    <t xml:space="preserve">JU-0262</t>
  </si>
  <si>
    <t xml:space="preserve">JU-0263</t>
  </si>
  <si>
    <t xml:space="preserve">JU-0264</t>
  </si>
  <si>
    <t xml:space="preserve">Gaji manager Einstein Januari jadi diambil</t>
  </si>
  <si>
    <t xml:space="preserve">JU-0265</t>
  </si>
  <si>
    <t xml:space="preserve">JU-0266</t>
  </si>
  <si>
    <t xml:space="preserve">JU-0267</t>
  </si>
  <si>
    <t xml:space="preserve">Tofico / 1 botol : vanila, romma, caramel, blue curacao</t>
  </si>
  <si>
    <t xml:space="preserve">JU-0268</t>
  </si>
  <si>
    <t xml:space="preserve">Einstein &amp; Yantos nitip beli</t>
  </si>
  <si>
    <t xml:space="preserve">JU-0269</t>
  </si>
  <si>
    <t xml:space="preserve">Cup plastik 12oz 2000pcs faktur 12441</t>
  </si>
  <si>
    <t xml:space="preserve">JU-0270</t>
  </si>
  <si>
    <t xml:space="preserve">Tissue roll toilet 10 pack nota 29/12/25</t>
  </si>
  <si>
    <t xml:space="preserve">JU-0271</t>
  </si>
  <si>
    <t xml:space="preserve">Pindah dana dari kas warung ke tunai</t>
  </si>
  <si>
    <t xml:space="preserve">JU-0272</t>
  </si>
  <si>
    <t xml:space="preserve">Pindah dana dari tunai ke kas warung</t>
  </si>
  <si>
    <t xml:space="preserve">JU-0273</t>
  </si>
  <si>
    <t xml:space="preserve">JU-0274</t>
  </si>
  <si>
    <t xml:space="preserve">JU-0275</t>
  </si>
  <si>
    <t xml:space="preserve">JU-0276</t>
  </si>
  <si>
    <t xml:space="preserve">JU-0277</t>
  </si>
  <si>
    <t xml:space="preserve">Print poster x 4 : heavy meal, mini game</t>
  </si>
  <si>
    <t xml:space="preserve">JU-0278</t>
  </si>
  <si>
    <t xml:space="preserve">5 isi tabung gas 12kg</t>
  </si>
  <si>
    <t xml:space="preserve">JU-0279</t>
  </si>
  <si>
    <t xml:space="preserve">JU-0280</t>
  </si>
  <si>
    <t xml:space="preserve">JU-0281</t>
  </si>
  <si>
    <t xml:space="preserve">JU-0282</t>
  </si>
  <si>
    <t xml:space="preserve">JU-0283</t>
  </si>
  <si>
    <t xml:space="preserve">JU-0284</t>
  </si>
  <si>
    <t xml:space="preserve">JU-0285</t>
  </si>
  <si>
    <t xml:space="preserve">JU-0286</t>
  </si>
  <si>
    <t xml:space="preserve">JU-0287</t>
  </si>
  <si>
    <t xml:space="preserve">Tagihan listrik Februari 2026</t>
  </si>
  <si>
    <t xml:space="preserve">JU-0288</t>
  </si>
  <si>
    <t xml:space="preserve">Tagihan telepon Februari 2026</t>
  </si>
  <si>
    <t xml:space="preserve">JU-0289</t>
  </si>
  <si>
    <t xml:space="preserve">Tagihan internet Februari 2026</t>
  </si>
  <si>
    <t xml:space="preserve">JU-0290</t>
  </si>
  <si>
    <t xml:space="preserve">JU-0291</t>
  </si>
  <si>
    <t xml:space="preserve">Menerima pelunasan piutang Einstein &amp; Yantos (nitip belanja barang)</t>
  </si>
  <si>
    <t xml:space="preserve">JU-0292</t>
  </si>
  <si>
    <t xml:space="preserve">JU-0293</t>
  </si>
  <si>
    <t xml:space="preserve">Alokasi gaji Supervisor Februari</t>
  </si>
  <si>
    <t xml:space="preserve">JU-0294</t>
  </si>
  <si>
    <t xml:space="preserve">Gaji direktur Kopi Parang</t>
  </si>
  <si>
    <t xml:space="preserve">JU-0295</t>
  </si>
  <si>
    <t xml:space="preserve">Biaya sewa tempat Februari (dialihkan sebagai prive karena sudah ada biaya sewa)</t>
  </si>
  <si>
    <t xml:space="preserve">JU-0296</t>
  </si>
  <si>
    <t xml:space="preserve">Iuran kampung Desember, Januari, Februari</t>
  </si>
  <si>
    <t xml:space="preserve">JU-0297</t>
  </si>
  <si>
    <t xml:space="preserve">Tagihan maintenance Kopi Parang dari FM Wood tahun Bulan Februari</t>
  </si>
  <si>
    <t xml:space="preserve">JU-0298</t>
  </si>
  <si>
    <t xml:space="preserve">JU-0299</t>
  </si>
  <si>
    <t xml:space="preserve">JU-0300</t>
  </si>
  <si>
    <t xml:space="preserve">Omzet bersih bulan Februari (dari OMZET HARIAN)</t>
  </si>
  <si>
    <t xml:space="preserve">JU-0301</t>
  </si>
  <si>
    <t xml:space="preserve">Realisasi tunai omzet bulan Februari</t>
  </si>
  <si>
    <t xml:space="preserve">JU-0302</t>
  </si>
  <si>
    <t xml:space="preserve">Realisasi EDC/QRIS omzet bulan Februari</t>
  </si>
  <si>
    <t xml:space="preserve">JU-0303</t>
  </si>
  <si>
    <t xml:space="preserve">Bon karyawan bulan Februari</t>
  </si>
  <si>
    <t xml:space="preserve">JU-0304</t>
  </si>
  <si>
    <t xml:space="preserve">Compliment bulan Februari</t>
  </si>
  <si>
    <t xml:space="preserve">JU-0305</t>
  </si>
  <si>
    <t xml:space="preserve">Bill owner bulan Februari (dicatat sebagai Prive, bukan piutang)</t>
  </si>
  <si>
    <t xml:space="preserve">JU-0306</t>
  </si>
  <si>
    <t xml:space="preserve">Penyusutan peralatan bulan Februari (dari ASET TETAP)</t>
  </si>
  <si>
    <t xml:space="preserve">JU-0307</t>
  </si>
  <si>
    <t xml:space="preserve">Estimasi PBJT kurang bayar bulan Februari (lihat PAJAK)</t>
  </si>
  <si>
    <t xml:space="preserve">JU-0308</t>
  </si>
  <si>
    <t xml:space="preserve">Ramadhan Takjil nasi liwet 120 porsi 26 Feb 2026</t>
  </si>
  <si>
    <t xml:space="preserve">JU-0309</t>
  </si>
  <si>
    <t xml:space="preserve">JU-0310</t>
  </si>
  <si>
    <t xml:space="preserve">JU-0311</t>
  </si>
  <si>
    <t xml:space="preserve">Koreksi pendapatan event tahun 2025, ada kelebihan bayar dari EO Mba Yuninngar</t>
  </si>
  <si>
    <t xml:space="preserve">JU-0312</t>
  </si>
  <si>
    <t xml:space="preserve">JU-0313</t>
  </si>
  <si>
    <t xml:space="preserve">Belanja lampu neon panjang x 1 pc</t>
  </si>
  <si>
    <t xml:space="preserve">JU-0314</t>
  </si>
  <si>
    <t xml:space="preserve">Pindah dana kas warung ke BCA</t>
  </si>
  <si>
    <t xml:space="preserve">JU-0315</t>
  </si>
  <si>
    <t xml:space="preserve">JU-0316</t>
  </si>
  <si>
    <t xml:space="preserve">JU-0317</t>
  </si>
  <si>
    <t xml:space="preserve">JU-0318</t>
  </si>
  <si>
    <t xml:space="preserve">JU-0319</t>
  </si>
  <si>
    <t xml:space="preserve">JU-0320</t>
  </si>
  <si>
    <t xml:space="preserve">Kelebihan kembalian belanja</t>
  </si>
  <si>
    <t xml:space="preserve">JU-0321</t>
  </si>
  <si>
    <t xml:space="preserve">JU-0322</t>
  </si>
  <si>
    <t xml:space="preserve">Belanja susu arummi cashew milk barista 1L x 2 karton/24pcs stok 2 bulan</t>
  </si>
  <si>
    <t xml:space="preserve">JU-0323</t>
  </si>
  <si>
    <t xml:space="preserve">susu UHT  ultramilk x 13 karton</t>
  </si>
  <si>
    <t xml:space="preserve">JU-0324</t>
  </si>
  <si>
    <t xml:space="preserve">Paper filter V60 Hario x 2 pack</t>
  </si>
  <si>
    <t xml:space="preserve">JU-0325</t>
  </si>
  <si>
    <t xml:space="preserve">Storage box hitam 35 L Onyx x 1 pcs</t>
  </si>
  <si>
    <t xml:space="preserve">JU-0326</t>
  </si>
  <si>
    <t xml:space="preserve">Keranjang hitam YTH 52 x 2 pcs</t>
  </si>
  <si>
    <t xml:space="preserve">JU-0327</t>
  </si>
  <si>
    <t xml:space="preserve">JU-0328</t>
  </si>
  <si>
    <t xml:space="preserve">Tong sampah bulat 1, kotak 1, tempat tisu 1</t>
  </si>
  <si>
    <t xml:space="preserve">JU-0329</t>
  </si>
  <si>
    <t xml:space="preserve">Ready to meal makanan berat : iga bakar x 15, bebek hitam x 25</t>
  </si>
  <si>
    <t xml:space="preserve">JU-0330</t>
  </si>
  <si>
    <t xml:space="preserve">Buttersome pembelian return croissant batch 150-157 x 13 pcs</t>
  </si>
  <si>
    <t xml:space="preserve">JU-0331</t>
  </si>
  <si>
    <t xml:space="preserve">JU-0332</t>
  </si>
  <si>
    <t xml:space="preserve">susu Freshmilk greenfield x 3 karton</t>
  </si>
  <si>
    <t xml:space="preserve">JU-0333</t>
  </si>
  <si>
    <t xml:space="preserve">Buttersome pembayaran croissant batch 150-157 x 85 pcs</t>
  </si>
  <si>
    <t xml:space="preserve">JU-0334</t>
  </si>
  <si>
    <t xml:space="preserve">Biaya menyerahkan kucing2 ke tempat adopsi / surrender fee</t>
  </si>
  <si>
    <t xml:space="preserve">JU-0335</t>
  </si>
  <si>
    <t xml:space="preserve">JU-0336</t>
  </si>
  <si>
    <t xml:space="preserve">Belanja gula pasir x 17 kg</t>
  </si>
  <si>
    <t xml:space="preserve">JU-0337</t>
  </si>
  <si>
    <t xml:space="preserve">Parcel hampers Ramadhan THR x 15 bungkus</t>
  </si>
  <si>
    <t xml:space="preserve">JU-0338</t>
  </si>
  <si>
    <t xml:space="preserve">soda bluberi refill x7</t>
  </si>
  <si>
    <t xml:space="preserve">JU-0339</t>
  </si>
  <si>
    <t xml:space="preserve">28/02/26 unlock water x 7 galon</t>
  </si>
  <si>
    <t xml:space="preserve">JU-0340</t>
  </si>
  <si>
    <t xml:space="preserve">01/03/26 unlock water x 10 galon</t>
  </si>
  <si>
    <t xml:space="preserve">JU-0341</t>
  </si>
  <si>
    <t xml:space="preserve">JU-0342</t>
  </si>
  <si>
    <t xml:space="preserve">Bayar servis AC x 3 unit</t>
  </si>
  <si>
    <t xml:space="preserve">JU-0343</t>
  </si>
  <si>
    <t xml:space="preserve">Bayar titip jual Quesillo penjualan periode 6-12 Maret x 20pcs</t>
  </si>
  <si>
    <t xml:space="preserve">JU-0344</t>
  </si>
  <si>
    <t xml:space="preserve">JU-0345</t>
  </si>
  <si>
    <t xml:space="preserve">JU-0346</t>
  </si>
  <si>
    <t xml:space="preserve">JU-0347</t>
  </si>
  <si>
    <t xml:space="preserve">JU-0348</t>
  </si>
  <si>
    <t xml:space="preserve">JU-0349</t>
  </si>
  <si>
    <t xml:space="preserve">JU-0350</t>
  </si>
  <si>
    <t xml:space="preserve">JU-0351</t>
  </si>
  <si>
    <t xml:space="preserve">Alat bill holder stainless 60 cm x 2 pcs</t>
  </si>
  <si>
    <t xml:space="preserve">JU-0352</t>
  </si>
  <si>
    <t xml:space="preserve">Takeaway cup x 3.500 pcs invoice ke-1/3 faktur 12455</t>
  </si>
  <si>
    <t xml:space="preserve">JU-0353</t>
  </si>
  <si>
    <t xml:space="preserve">Pre-order Yantos biji kopi pasuruhan natural x 24 kg</t>
  </si>
  <si>
    <t xml:space="preserve">JU-0354</t>
  </si>
  <si>
    <t xml:space="preserve">Bayar Yantos biji kopi 5 macam total 18 pack @200gr dan 2 kg</t>
  </si>
  <si>
    <t xml:space="preserve">JU-0355</t>
  </si>
  <si>
    <t xml:space="preserve">Tutup takeaway cup x 4.000 pcs invoice ke-1/2</t>
  </si>
  <si>
    <t xml:space="preserve">JU-0356</t>
  </si>
  <si>
    <t xml:space="preserve">Yantos pinjam untuk gosend biji kopi</t>
  </si>
  <si>
    <t xml:space="preserve">JU-0357</t>
  </si>
  <si>
    <t xml:space="preserve">JU-0358</t>
  </si>
  <si>
    <t xml:space="preserve">JU-0359</t>
  </si>
  <si>
    <t xml:space="preserve">JU-0360</t>
  </si>
  <si>
    <t xml:space="preserve">JU-0361</t>
  </si>
  <si>
    <t xml:space="preserve">JU-0362</t>
  </si>
  <si>
    <t xml:space="preserve">Soda bluberi 500ml x 5 botol</t>
  </si>
  <si>
    <t xml:space="preserve">JU-0363</t>
  </si>
  <si>
    <t xml:space="preserve">Butterscotch x 1 botol</t>
  </si>
  <si>
    <t xml:space="preserve">JU-0364</t>
  </si>
  <si>
    <t xml:space="preserve">Savis tea cold infusion refreshing 500gr x 2 pack</t>
  </si>
  <si>
    <t xml:space="preserve">JU-0365</t>
  </si>
  <si>
    <t xml:space="preserve">Clover klin : soume premium SCP 5L x 4pcs</t>
  </si>
  <si>
    <t xml:space="preserve">JU-0366</t>
  </si>
  <si>
    <t xml:space="preserve">Freshmilk x4, Tofico : greentea x1 vanilla x1, dripp peach x1, paper filter v60 x1, oatside x2</t>
  </si>
  <si>
    <t xml:space="preserve">JU-0367</t>
  </si>
  <si>
    <t xml:space="preserve">Bayar titip jual Quesillo penjualan periode 13-18 Maret x 16pcs</t>
  </si>
  <si>
    <t xml:space="preserve">JU-0368</t>
  </si>
  <si>
    <t xml:space="preserve">THR 2026 by tunai</t>
  </si>
  <si>
    <t xml:space="preserve">JU-0369</t>
  </si>
  <si>
    <t xml:space="preserve">THR 2026 by transfer</t>
  </si>
  <si>
    <t xml:space="preserve">JU-0370</t>
  </si>
  <si>
    <t xml:space="preserve">JU-0371</t>
  </si>
  <si>
    <t xml:space="preserve">Paperline amplop uk. 11x23 cm x 1 dus</t>
  </si>
  <si>
    <t xml:space="preserve">JU-0372</t>
  </si>
  <si>
    <t xml:space="preserve">Biaya admin BCA</t>
  </si>
  <si>
    <t xml:space="preserve">JU-0373</t>
  </si>
  <si>
    <t xml:space="preserve">JU-0374</t>
  </si>
  <si>
    <t xml:space="preserve">JU-0375</t>
  </si>
  <si>
    <t xml:space="preserve">Einstein pinjam uang karna masalah akun BRI miliknya</t>
  </si>
  <si>
    <t xml:space="preserve">JU-0376</t>
  </si>
  <si>
    <t xml:space="preserve">JU-0377</t>
  </si>
  <si>
    <t xml:space="preserve">Isi ulang galon unlock water for espresso x 7 gln</t>
  </si>
  <si>
    <t xml:space="preserve">JU-0378</t>
  </si>
  <si>
    <t xml:space="preserve">Membayar part time Sdr. Muslih 2 hari tgl 22&amp;23 ramai hari lebaran</t>
  </si>
  <si>
    <t xml:space="preserve">JU-0379</t>
  </si>
  <si>
    <t xml:space="preserve">Pemasukan pembayaran belanja tong sampah bulat dikembalikan karena dibatalkan penjual</t>
  </si>
  <si>
    <t xml:space="preserve">JU-0380</t>
  </si>
  <si>
    <t xml:space="preserve">JU-0381</t>
  </si>
  <si>
    <t xml:space="preserve">Membayar cicilan utang ke FM Wood (maintenance) &amp; tenaga FM Wood untuk Kopi Parang</t>
  </si>
  <si>
    <t xml:space="preserve">JU-0382</t>
  </si>
  <si>
    <t xml:space="preserve">Yantos nitip beli flat bottom packaging biji kopi</t>
  </si>
  <si>
    <t xml:space="preserve">JU-0383</t>
  </si>
  <si>
    <t xml:space="preserve">Membayar part time Sdr. Muslih 1 hari tgl 24 ramai hari lebaran</t>
  </si>
  <si>
    <t xml:space="preserve">JU-0384</t>
  </si>
  <si>
    <t xml:space="preserve">Belanja shopee lap microfiber 2 macam x 15pcs</t>
  </si>
  <si>
    <t xml:space="preserve">JU-0385</t>
  </si>
  <si>
    <t xml:space="preserve">Belanja shopee SKM dairy champ 2.5kg x 8 pcs (1dus)</t>
  </si>
  <si>
    <t xml:space="preserve">JU-0386</t>
  </si>
  <si>
    <t xml:space="preserve">Pindah dana kas warung ke tunai (kembalian belanja)</t>
  </si>
  <si>
    <t xml:space="preserve">JU-0387</t>
  </si>
  <si>
    <t xml:space="preserve">kurangan kembalian belanja</t>
  </si>
  <si>
    <t xml:space="preserve">JU-0388</t>
  </si>
  <si>
    <t xml:space="preserve">JU-0389</t>
  </si>
  <si>
    <t xml:space="preserve">JU-0390</t>
  </si>
  <si>
    <t xml:space="preserve">JU-0391</t>
  </si>
  <si>
    <t xml:space="preserve">JU-0392</t>
  </si>
  <si>
    <t xml:space="preserve">JU-0393</t>
  </si>
  <si>
    <t xml:space="preserve">JU-0394</t>
  </si>
  <si>
    <t xml:space="preserve">Buttersome pembayaran croissant batch 158-163 75 pcs</t>
  </si>
  <si>
    <t xml:space="preserve">JU-0395</t>
  </si>
  <si>
    <t xml:space="preserve">Buttersome pembelian return croissant batch 158-163 3 pcs</t>
  </si>
  <si>
    <t xml:space="preserve">JU-0396</t>
  </si>
  <si>
    <t xml:space="preserve">Belanja unlock water x 10 galon</t>
  </si>
  <si>
    <t xml:space="preserve">JU-0397</t>
  </si>
  <si>
    <t xml:space="preserve">Biaya transfer flip untuk reserve</t>
  </si>
  <si>
    <t xml:space="preserve">JU-0398</t>
  </si>
  <si>
    <t xml:space="preserve">Belanja asbak stainless steel anti karat warna gold x 30pcs (stok Kopar 15pcs)</t>
  </si>
  <si>
    <t xml:space="preserve">JU-0399</t>
  </si>
  <si>
    <t xml:space="preserve">JU-0400</t>
  </si>
  <si>
    <t xml:space="preserve">Belanja kursi trailtop lipat warna hijau lapis x 10 unit</t>
  </si>
  <si>
    <t xml:space="preserve">JU-0401</t>
  </si>
  <si>
    <t xml:space="preserve">Belanja frozen food : 5 crinkle, 8 straight, 6 champ, 6 beef breakfast</t>
  </si>
  <si>
    <t xml:space="preserve">JU-0402</t>
  </si>
  <si>
    <t xml:space="preserve">JU-0403</t>
  </si>
  <si>
    <t xml:space="preserve">JU-0404</t>
  </si>
  <si>
    <t xml:space="preserve">JU-0405</t>
  </si>
  <si>
    <t xml:space="preserve">Nilai parcel hampers Ramadhan x 4 orang diambil tunai</t>
  </si>
  <si>
    <t xml:space="preserve">JU-0406</t>
  </si>
  <si>
    <t xml:space="preserve">koreksi</t>
  </si>
  <si>
    <t xml:space="preserve">JU-0407</t>
  </si>
  <si>
    <t xml:space="preserve">Belanja cokelat java dark x 3 kg</t>
  </si>
  <si>
    <t xml:space="preserve">JU-0408</t>
  </si>
  <si>
    <t xml:space="preserve">Pembayaran DP pesan minyak bimoli 18L x 4 jerigen</t>
  </si>
  <si>
    <t xml:space="preserve">JU-0409</t>
  </si>
  <si>
    <t xml:space="preserve">Gaji direktur Kopi Parang Maret 2026</t>
  </si>
  <si>
    <t xml:space="preserve">JU-0410</t>
  </si>
  <si>
    <t xml:space="preserve">Biaya sewa tempat bulan Maret 2026 (diubah jadi prive)</t>
  </si>
  <si>
    <t xml:space="preserve">JU-0411</t>
  </si>
  <si>
    <t xml:space="preserve">Tagihan listrik Maret 2026</t>
  </si>
  <si>
    <t xml:space="preserve">JU-0412</t>
  </si>
  <si>
    <t xml:space="preserve">Tagihan telepon Maret 2026</t>
  </si>
  <si>
    <t xml:space="preserve">JU-0413</t>
  </si>
  <si>
    <t xml:space="preserve">Tagihan internet Maret 2026</t>
  </si>
  <si>
    <t xml:space="preserve">JU-0414</t>
  </si>
  <si>
    <t xml:space="preserve">Menerima pelunasan piutang Einstein tagihan nota Kopi Parang</t>
  </si>
  <si>
    <t xml:space="preserve">JU-0415</t>
  </si>
  <si>
    <t xml:space="preserve">Menerima pelunasan piutang Einstein pinjam (isi saldo norek BRI)</t>
  </si>
  <si>
    <t xml:space="preserve">JU-0416</t>
  </si>
  <si>
    <t xml:space="preserve">Menerima pelunasan piutang Yantos</t>
  </si>
  <si>
    <t xml:space="preserve">JU-0417</t>
  </si>
  <si>
    <t xml:space="preserve">Menerima pelunasan piutang Yantos (nitip belanja barang) x 30 pouch beans</t>
  </si>
  <si>
    <t xml:space="preserve">JU-0418</t>
  </si>
  <si>
    <t xml:space="preserve">Menerima pelunasan piutang Yantos (nitip gosend beans) tgl 15 Mar 2026</t>
  </si>
  <si>
    <t xml:space="preserve">JU-0419</t>
  </si>
  <si>
    <t xml:space="preserve">JU-0420</t>
  </si>
  <si>
    <t xml:space="preserve">JU-0421</t>
  </si>
  <si>
    <t xml:space="preserve">JU-0422</t>
  </si>
  <si>
    <t xml:space="preserve">JU-0423</t>
  </si>
  <si>
    <t xml:space="preserve">JU-0424</t>
  </si>
  <si>
    <t xml:space="preserve">JU-0425</t>
  </si>
  <si>
    <t xml:space="preserve">JU-0426</t>
  </si>
  <si>
    <t xml:space="preserve">koreksi pendapatan bunga rekening bank BCA</t>
  </si>
  <si>
    <t xml:space="preserve">JU-0427</t>
  </si>
  <si>
    <t xml:space="preserve">Alokasi gaji supervisor Maret</t>
  </si>
  <si>
    <t xml:space="preserve">JU-0428</t>
  </si>
  <si>
    <t xml:space="preserve">JU-0429</t>
  </si>
  <si>
    <t xml:space="preserve">JU-0430</t>
  </si>
  <si>
    <t xml:space="preserve">JU-0431</t>
  </si>
  <si>
    <t xml:space="preserve">Omzet bersih bulan Maret (dari OMZET HARIAN)</t>
  </si>
  <si>
    <t xml:space="preserve">JU-0432</t>
  </si>
  <si>
    <t xml:space="preserve">Realisasi tunai omzet bulan Maret</t>
  </si>
  <si>
    <t xml:space="preserve">JU-0433</t>
  </si>
  <si>
    <t xml:space="preserve">Realisasi EDC/QRIS omzet bulan Maret</t>
  </si>
  <si>
    <t xml:space="preserve">JU-0434</t>
  </si>
  <si>
    <t xml:space="preserve">Bon karyawan bulan Maret</t>
  </si>
  <si>
    <t xml:space="preserve">JU-0435</t>
  </si>
  <si>
    <t xml:space="preserve">Compliment bulan Maret</t>
  </si>
  <si>
    <t xml:space="preserve">JU-0436</t>
  </si>
  <si>
    <t xml:space="preserve">Bill owner bulan Maret (dicatat sebagai Prive, bukan piutang)</t>
  </si>
  <si>
    <t xml:space="preserve">JU-0437</t>
  </si>
  <si>
    <t xml:space="preserve">Penyusutan peralatan bulan Maret (dari ASET TETAP)</t>
  </si>
  <si>
    <t xml:space="preserve">JU-0438</t>
  </si>
  <si>
    <t xml:space="preserve">Estimasi PBJT kurang bayar bulan Maret (lihat PAJAK)</t>
  </si>
  <si>
    <t xml:space="preserve">JU-0439</t>
  </si>
  <si>
    <t xml:space="preserve">Pembayaran pelunasan pesan minyak bimoli 18L x 4 jerigen</t>
  </si>
  <si>
    <t xml:space="preserve">JU-0440</t>
  </si>
  <si>
    <t xml:space="preserve">JU-0441</t>
  </si>
  <si>
    <t xml:space="preserve">Pindah dana BCA ke tunai (tukar pecah TJA)</t>
  </si>
  <si>
    <t xml:space="preserve">JU-0442</t>
  </si>
  <si>
    <t xml:space="preserve">Pindah dana tunai ke BCA (setor tunai by Bank)</t>
  </si>
  <si>
    <t xml:space="preserve">JU-0443</t>
  </si>
  <si>
    <t xml:space="preserve">JU-0444</t>
  </si>
  <si>
    <t xml:space="preserve">Biaya angkut2 barang di luar jam kerja &amp; di saat istirahat (Om Dodo)</t>
  </si>
  <si>
    <t xml:space="preserve">JU-0445</t>
  </si>
  <si>
    <t xml:space="preserve">Belanja susu freshmilk gf x 3 karton</t>
  </si>
  <si>
    <t xml:space="preserve">JU-0446</t>
  </si>
  <si>
    <t xml:space="preserve">Membayar Manhattan Quesillo 2 batch 21 pcs</t>
  </si>
  <si>
    <t xml:space="preserve">JU-0447</t>
  </si>
  <si>
    <t xml:space="preserve">Pindah dana tunai ke BCA (tukar uang)</t>
  </si>
  <si>
    <t xml:space="preserve">JU-0448</t>
  </si>
  <si>
    <t xml:space="preserve">Belanja churros frozen x 400pcs</t>
  </si>
  <si>
    <t xml:space="preserve">JU-0449</t>
  </si>
  <si>
    <t xml:space="preserve">saldo Kopi Parang masuk rekening Einstein</t>
  </si>
  <si>
    <t xml:space="preserve">JU-0450</t>
  </si>
  <si>
    <t xml:space="preserve">Belanja alat tiang bracket display 1.5m x 8 pcs &amp; daun bracket kayu 40cm x 24 pcs</t>
  </si>
  <si>
    <t xml:space="preserve">JU-0451</t>
  </si>
  <si>
    <t xml:space="preserve">Belanja afur wastafel bibir saringan 1 1/2"</t>
  </si>
  <si>
    <t xml:space="preserve">JU-0452</t>
  </si>
  <si>
    <t xml:space="preserve">Einstein pinjam dulu sembari mengurus masalah akun BRI Bisnisnya</t>
  </si>
  <si>
    <t xml:space="preserve">JU-0453</t>
  </si>
  <si>
    <t xml:space="preserve">Biaya transfer</t>
  </si>
  <si>
    <t xml:space="preserve">JU-0454</t>
  </si>
  <si>
    <t xml:space="preserve">Belanja unlock water x 8 galon</t>
  </si>
  <si>
    <t xml:space="preserve">JU-0455</t>
  </si>
  <si>
    <t xml:space="preserve">Kembalian belanja olshop : storage box, kursi lipat, afur</t>
  </si>
  <si>
    <t xml:space="preserve">JU-0456</t>
  </si>
  <si>
    <t xml:space="preserve">JU-0457</t>
  </si>
  <si>
    <t xml:space="preserve">Belanja es batu x 4 pack (pakai setoran tgl 6 shift pagi)</t>
  </si>
  <si>
    <t xml:space="preserve">JU-0458</t>
  </si>
  <si>
    <t xml:space="preserve">JU-0459</t>
  </si>
  <si>
    <t xml:space="preserve">JU-0460</t>
  </si>
  <si>
    <t xml:space="preserve">JU-0461</t>
  </si>
  <si>
    <t xml:space="preserve">JU-0462</t>
  </si>
  <si>
    <t xml:space="preserve">JU-0463</t>
  </si>
  <si>
    <t xml:space="preserve">pembulatan belanja</t>
  </si>
  <si>
    <t xml:space="preserve">JU-0464</t>
  </si>
  <si>
    <t xml:space="preserve">Pindah dana tunai ke kas warung (dana belanja)</t>
  </si>
  <si>
    <t xml:space="preserve">JU-0465</t>
  </si>
  <si>
    <t xml:space="preserve">Pindah dana BCA ke tunai (penjualan Yantos diteruskan by transfer BCA)</t>
  </si>
  <si>
    <t xml:space="preserve">JU-0466</t>
  </si>
  <si>
    <t xml:space="preserve">JU-0467</t>
  </si>
  <si>
    <t xml:space="preserve">Belanja frother pengocok susu untuk menu montblanc by shopee</t>
  </si>
  <si>
    <t xml:space="preserve">JU-0468</t>
  </si>
  <si>
    <t xml:space="preserve">Pindah dana BCA ke kas warung (dana belanja) tambahan</t>
  </si>
  <si>
    <t xml:space="preserve">JU-0469</t>
  </si>
  <si>
    <t xml:space="preserve">JU-0470</t>
  </si>
  <si>
    <t xml:space="preserve">Belanja susu UHT ultramilk x 5 dus</t>
  </si>
  <si>
    <t xml:space="preserve">JU-0471</t>
  </si>
  <si>
    <t xml:space="preserve">JU-0472</t>
  </si>
  <si>
    <t xml:space="preserve">Belanja chili oil x 2L</t>
  </si>
  <si>
    <t xml:space="preserve">JU-0473</t>
  </si>
  <si>
    <t xml:space="preserve">JU-0474</t>
  </si>
  <si>
    <t xml:space="preserve">Pembayaran dana kebersihan sampah April - Juni</t>
  </si>
  <si>
    <t xml:space="preserve">JU-0475</t>
  </si>
  <si>
    <t xml:space="preserve">JU-0476</t>
  </si>
  <si>
    <t xml:space="preserve">JU-0477</t>
  </si>
  <si>
    <t xml:space="preserve">JU-0478</t>
  </si>
  <si>
    <t xml:space="preserve">JU-0479</t>
  </si>
  <si>
    <t xml:space="preserve">JU-0480</t>
  </si>
  <si>
    <t xml:space="preserve">JU-0481</t>
  </si>
  <si>
    <t xml:space="preserve">Simple syrup 100rb Hario V60 90k</t>
  </si>
  <si>
    <t xml:space="preserve">JU-0482</t>
  </si>
  <si>
    <t xml:space="preserve">Belanja biji kopi Yantos 5 jenis</t>
  </si>
  <si>
    <t xml:space="preserve">JU-0483</t>
  </si>
  <si>
    <t xml:space="preserve">Pindah dana tunai ke BCA (FM tukar uang)</t>
  </si>
  <si>
    <t xml:space="preserve">JU-0484</t>
  </si>
  <si>
    <t xml:space="preserve">Belanja tokped tramontina pisau set asahan</t>
  </si>
  <si>
    <t xml:space="preserve">JU-0485</t>
  </si>
  <si>
    <t xml:space="preserve">Pembayaran tiramisu batch 1-2 12 pcs</t>
  </si>
  <si>
    <t xml:space="preserve">JU-0486</t>
  </si>
  <si>
    <t xml:space="preserve">JU-0487</t>
  </si>
  <si>
    <t xml:space="preserve">JU-0488</t>
  </si>
  <si>
    <t xml:space="preserve">Pindah dana BCA ke kas warung (dana belanja) refill</t>
  </si>
  <si>
    <t xml:space="preserve">JU-0489</t>
  </si>
  <si>
    <t xml:space="preserve">JU-0490</t>
  </si>
  <si>
    <t xml:space="preserve">Belanja tahu walik isi 10 x 30 pack, isi 9 x 39 pack</t>
  </si>
  <si>
    <t xml:space="preserve">JU-0491</t>
  </si>
  <si>
    <t xml:space="preserve">kitchen towel tissue x 24pack</t>
  </si>
  <si>
    <t xml:space="preserve">JU-0492</t>
  </si>
  <si>
    <t xml:space="preserve">yantos biji kopi untuk manual brew 4 jenis total 14 pack</t>
  </si>
  <si>
    <t xml:space="preserve">JU-0493</t>
  </si>
  <si>
    <t xml:space="preserve">penjualan minyak jelantah 2 jrg (36L) atau 40L ? dijualkan oleh Bachtiar</t>
  </si>
  <si>
    <t xml:space="preserve">JU-0494</t>
  </si>
  <si>
    <t xml:space="preserve">JU-0495</t>
  </si>
  <si>
    <t xml:space="preserve">JU-0496</t>
  </si>
  <si>
    <t xml:space="preserve">JU-0497</t>
  </si>
  <si>
    <t xml:space="preserve">JU-0498</t>
  </si>
  <si>
    <t xml:space="preserve">JU-0499</t>
  </si>
  <si>
    <t xml:space="preserve">JU-0500</t>
  </si>
  <si>
    <t xml:space="preserve">JU-0501</t>
  </si>
  <si>
    <t xml:space="preserve">JU-0502</t>
  </si>
  <si>
    <t xml:space="preserve">JU-0503</t>
  </si>
  <si>
    <t xml:space="preserve">JU-0504</t>
  </si>
  <si>
    <t xml:space="preserve">JU-0505</t>
  </si>
  <si>
    <t xml:space="preserve">JU-0506</t>
  </si>
  <si>
    <t xml:space="preserve">Pindah dana tunai ke kas warung (dana belanja) refill</t>
  </si>
  <si>
    <t xml:space="preserve">JU-0507</t>
  </si>
  <si>
    <t xml:space="preserve">Penambahan brankas pecahan menjadi total 3 juta</t>
  </si>
  <si>
    <t xml:space="preserve">JU-0508</t>
  </si>
  <si>
    <t xml:space="preserve">Takeaway cup x 3.500 pcs invoice ke-2/3 faktur 12456</t>
  </si>
  <si>
    <t xml:space="preserve">JU-0509</t>
  </si>
  <si>
    <t xml:space="preserve">Tutup takeaway cup x 5.000 pcs invoice ke-2/2 lunas</t>
  </si>
  <si>
    <t xml:space="preserve">JU-0510</t>
  </si>
  <si>
    <t xml:space="preserve">Print poster promosi sarapan menu baru Arunika &amp; menu baru peremajaan (3lbr)</t>
  </si>
  <si>
    <t xml:space="preserve">JU-0511</t>
  </si>
  <si>
    <t xml:space="preserve">Pindah dana BCA ke tunai (tarik tunai pecahan)</t>
  </si>
  <si>
    <t xml:space="preserve">JU-0512</t>
  </si>
  <si>
    <t xml:space="preserve">JU-0513</t>
  </si>
  <si>
    <t xml:space="preserve">Belanja cairan untuk latihan latte art 30ml x 2 btl</t>
  </si>
  <si>
    <t xml:space="preserve">JU-0514</t>
  </si>
  <si>
    <t xml:space="preserve">DP beans Yantos kopsu 40kg &amp; espresso 24kg</t>
  </si>
  <si>
    <t xml:space="preserve">JU-0515</t>
  </si>
  <si>
    <t xml:space="preserve">JU-0516</t>
  </si>
  <si>
    <t xml:space="preserve">JU-0517</t>
  </si>
  <si>
    <t xml:space="preserve">JU-0518</t>
  </si>
  <si>
    <t xml:space="preserve">Belanja susu UHT ultramilk x 6 dus</t>
  </si>
  <si>
    <t xml:space="preserve">JU-0519</t>
  </si>
  <si>
    <t xml:space="preserve">Belanja alat deteksi uang palsu Joyko MD-100 x 1pc</t>
  </si>
  <si>
    <t xml:space="preserve">JU-0520</t>
  </si>
  <si>
    <t xml:space="preserve">JU-0521</t>
  </si>
  <si>
    <t xml:space="preserve">Pindah dana BCA ke kas warung (dana belanja besar 1/2)</t>
  </si>
  <si>
    <t xml:space="preserve">JU-0522</t>
  </si>
  <si>
    <t xml:space="preserve">JU-0523</t>
  </si>
  <si>
    <t xml:space="preserve">Membayar PBB tahun 2026</t>
  </si>
  <si>
    <t xml:space="preserve">JU-0524</t>
  </si>
  <si>
    <t xml:space="preserve">Biaya admin tokopedia</t>
  </si>
  <si>
    <t xml:space="preserve">JU-0525</t>
  </si>
  <si>
    <t xml:space="preserve">Takeaway cup x 3.000 pcs invoice ke-3/3 faktur 12457. Pelunasan 10rb pcs 12oz PET cup</t>
  </si>
  <si>
    <t xml:space="preserve">JU-0526</t>
  </si>
  <si>
    <t xml:space="preserve">JU-0527</t>
  </si>
  <si>
    <t xml:space="preserve">Refill gas 12kg x 2 tabung</t>
  </si>
  <si>
    <t xml:space="preserve">JU-0528</t>
  </si>
  <si>
    <t xml:space="preserve">Pindah dana BCA ke kas warung (dana belanja besar 2/2) (lewat Seabank)</t>
  </si>
  <si>
    <t xml:space="preserve">JU-0529</t>
  </si>
  <si>
    <t xml:space="preserve">JU-0530</t>
  </si>
  <si>
    <t xml:space="preserve">Einstein pinjam pesan nasi gudeg berkah 20box</t>
  </si>
  <si>
    <t xml:space="preserve">JU-0531</t>
  </si>
  <si>
    <t xml:space="preserve">Belanja frozen food : 9 straight, 4 crinkle, 6 champ, 8 beef breakfast</t>
  </si>
  <si>
    <t xml:space="preserve">JU-0532</t>
  </si>
  <si>
    <t xml:space="preserve">Pelunasan beans Yantos kopsu 40kg &amp; espresso 24kg</t>
  </si>
  <si>
    <t xml:space="preserve">JU-0533</t>
  </si>
  <si>
    <t xml:space="preserve">UHT ultramilk 15 karton</t>
  </si>
  <si>
    <t xml:space="preserve">JU-0534</t>
  </si>
  <si>
    <t xml:space="preserve">Jasa membuat mokup nasi food grade printing 1000pcs</t>
  </si>
  <si>
    <t xml:space="preserve">JU-0535</t>
  </si>
  <si>
    <t xml:space="preserve">7 soda bluberi &amp; 3 botol baru</t>
  </si>
  <si>
    <t xml:space="preserve">JU-0536</t>
  </si>
  <si>
    <t xml:space="preserve">3 botol baru soda</t>
  </si>
  <si>
    <t xml:space="preserve">JU-0537</t>
  </si>
  <si>
    <t xml:space="preserve">Pembayaran quesillo 8pcs &amp; 2 loyang tiramisu</t>
  </si>
  <si>
    <t xml:space="preserve">JU-0538</t>
  </si>
  <si>
    <t xml:space="preserve">Belanja es batu x2 pakai setoran tgl 22 sore</t>
  </si>
  <si>
    <t xml:space="preserve">JU-0539</t>
  </si>
  <si>
    <t xml:space="preserve">Pembayaran croissant batch 164-171 112pcs</t>
  </si>
  <si>
    <t xml:space="preserve">JU-0540</t>
  </si>
  <si>
    <t xml:space="preserve">Pembayaran buy return</t>
  </si>
  <si>
    <t xml:space="preserve">JU-0541</t>
  </si>
  <si>
    <t xml:space="preserve">JU-0542</t>
  </si>
  <si>
    <t xml:space="preserve">JU-0543</t>
  </si>
  <si>
    <t xml:space="preserve">JU-0544</t>
  </si>
  <si>
    <t xml:space="preserve">JU-0545</t>
  </si>
  <si>
    <t xml:space="preserve">JU-0546</t>
  </si>
  <si>
    <t xml:space="preserve">Pindah dana tunai ke BCA (Bu Istu tukar uang)</t>
  </si>
  <si>
    <t xml:space="preserve">JU-0547</t>
  </si>
  <si>
    <t xml:space="preserve">seasonal beans 1 pack &amp; 2 kg Aloha beli beans di Pinara</t>
  </si>
  <si>
    <t xml:space="preserve">JU-0548</t>
  </si>
  <si>
    <t xml:space="preserve">Hario v60 2pack kertas filter</t>
  </si>
  <si>
    <t xml:space="preserve">JU-0549</t>
  </si>
  <si>
    <t xml:space="preserve">Tofico matcha premium x 2btl</t>
  </si>
  <si>
    <t xml:space="preserve">JU-0550</t>
  </si>
  <si>
    <t xml:space="preserve">JU-0551</t>
  </si>
  <si>
    <t xml:space="preserve">JU-0552</t>
  </si>
  <si>
    <t xml:space="preserve">Sponsor Artefac UNS</t>
  </si>
  <si>
    <t xml:space="preserve">JU-0553</t>
  </si>
  <si>
    <t xml:space="preserve">Belanja es batu x5 pakai setoran tgl 25 pagi</t>
  </si>
  <si>
    <t xml:space="preserve">JU-0554</t>
  </si>
  <si>
    <t xml:space="preserve">Tahu walik isi 9 60pak isi 10 x45pak</t>
  </si>
  <si>
    <t xml:space="preserve">JU-0555</t>
  </si>
  <si>
    <t xml:space="preserve">Churros x 320pcs</t>
  </si>
  <si>
    <t xml:space="preserve">JU-0556</t>
  </si>
  <si>
    <t xml:space="preserve">selisih belanja</t>
  </si>
  <si>
    <t xml:space="preserve">JU-0557</t>
  </si>
  <si>
    <t xml:space="preserve">Gelas 245ml x 24pcs</t>
  </si>
  <si>
    <t xml:space="preserve">JU-0558</t>
  </si>
  <si>
    <t xml:space="preserve">Tatakan plastik x 30pcs</t>
  </si>
  <si>
    <t xml:space="preserve">JU-0559</t>
  </si>
  <si>
    <t xml:space="preserve">2 kg Aloha beli beans di Pinara</t>
  </si>
  <si>
    <t xml:space="preserve">JU-0560</t>
  </si>
  <si>
    <t xml:space="preserve">JU-0561</t>
  </si>
  <si>
    <t xml:space="preserve">JU-0562</t>
  </si>
  <si>
    <t xml:space="preserve">JU-0563</t>
  </si>
  <si>
    <t xml:space="preserve">JU-0564</t>
  </si>
  <si>
    <t xml:space="preserve">JU-0565</t>
  </si>
  <si>
    <t xml:space="preserve">JU-0566</t>
  </si>
  <si>
    <t xml:space="preserve">JU-0567</t>
  </si>
  <si>
    <t xml:space="preserve">JU-0568</t>
  </si>
  <si>
    <t xml:space="preserve">JU-0569</t>
  </si>
  <si>
    <t xml:space="preserve">JU-0570</t>
  </si>
  <si>
    <t xml:space="preserve">JU-0571</t>
  </si>
  <si>
    <t xml:space="preserve">JU-0572</t>
  </si>
  <si>
    <t xml:space="preserve">JU-0573</t>
  </si>
  <si>
    <t xml:space="preserve">JU-0574</t>
  </si>
  <si>
    <t xml:space="preserve">Belanja unlock water x 12 galon</t>
  </si>
  <si>
    <t xml:space="preserve">JU-0575</t>
  </si>
  <si>
    <t xml:space="preserve">Pindah dana tunai ke BCA (untuk gaji)</t>
  </si>
  <si>
    <t xml:space="preserve">JU-0576</t>
  </si>
  <si>
    <t xml:space="preserve">JU-0577</t>
  </si>
  <si>
    <t xml:space="preserve">Pendapatan bunga dari seabank</t>
  </si>
  <si>
    <t xml:space="preserve">JU-0578</t>
  </si>
  <si>
    <t xml:space="preserve">Gaji direktur Kopi Parang April 2026</t>
  </si>
  <si>
    <t xml:space="preserve">JU-0579</t>
  </si>
  <si>
    <t xml:space="preserve">Biaya sewa tempat bulan April 2026</t>
  </si>
  <si>
    <t xml:space="preserve">JU-0580</t>
  </si>
  <si>
    <t xml:space="preserve">JU-0581</t>
  </si>
  <si>
    <t xml:space="preserve">Menerima pelunasan piutang Einstein pinjam (saldo Kopi Parang untuk bonus karyawan H+lebaran)</t>
  </si>
  <si>
    <t xml:space="preserve">JU-0582</t>
  </si>
  <si>
    <t xml:space="preserve">JU-0583</t>
  </si>
  <si>
    <t xml:space="preserve">Tagihan listrik April 2026</t>
  </si>
  <si>
    <t xml:space="preserve">JU-0584</t>
  </si>
  <si>
    <t xml:space="preserve">Tagihan telepon April 2026</t>
  </si>
  <si>
    <t xml:space="preserve">JU-0585</t>
  </si>
  <si>
    <t xml:space="preserve">Tagihan internet April 2026</t>
  </si>
  <si>
    <t xml:space="preserve">JU-0586</t>
  </si>
  <si>
    <t xml:space="preserve">JU-0587</t>
  </si>
  <si>
    <t xml:space="preserve">JU-0588</t>
  </si>
  <si>
    <t xml:space="preserve">JU-0589</t>
  </si>
  <si>
    <t xml:space="preserve">Alokasi gaji supervisor April</t>
  </si>
  <si>
    <t xml:space="preserve">JU-0590</t>
  </si>
  <si>
    <t xml:space="preserve">JU-0591</t>
  </si>
  <si>
    <t xml:space="preserve">JU-0592</t>
  </si>
  <si>
    <t xml:space="preserve">Omzet bersih bulan April (dari OMZET HARIAN)</t>
  </si>
  <si>
    <t xml:space="preserve">JU-0593</t>
  </si>
  <si>
    <t xml:space="preserve">Realisasi tunai omzet bulan April</t>
  </si>
  <si>
    <t xml:space="preserve">JU-0594</t>
  </si>
  <si>
    <t xml:space="preserve">Realisasi EDC/QRIS omzet bulan April</t>
  </si>
  <si>
    <t xml:space="preserve">JU-0595</t>
  </si>
  <si>
    <t xml:space="preserve">Bon karyawan bulan April</t>
  </si>
  <si>
    <t xml:space="preserve">JU-0596</t>
  </si>
  <si>
    <t xml:space="preserve">Compliment bulan April</t>
  </si>
  <si>
    <t xml:space="preserve">JU-0597</t>
  </si>
  <si>
    <t xml:space="preserve">Bill owner bulan April (dicatat sebagai Prive, bukan piutang)</t>
  </si>
  <si>
    <t xml:space="preserve">JU-0598</t>
  </si>
  <si>
    <t xml:space="preserve">Penyusutan peralatan bulan April (dari ASET TETAP)</t>
  </si>
  <si>
    <t xml:space="preserve">JU-0599</t>
  </si>
  <si>
    <t xml:space="preserve">Estimasi PBJT kurang bayar bulan April (lihat PAJAK)</t>
  </si>
  <si>
    <t xml:space="preserve">JU-0600</t>
  </si>
  <si>
    <t xml:space="preserve">JU-0601</t>
  </si>
  <si>
    <t xml:space="preserve">Freshmilk GF x 3 karton</t>
  </si>
  <si>
    <t xml:space="preserve">JU-0602</t>
  </si>
  <si>
    <t xml:space="preserve">Unlock water x 11 galon</t>
  </si>
  <si>
    <t xml:space="preserve">JU-0603</t>
  </si>
  <si>
    <t xml:space="preserve">Bensin Serena ke event Artefak Karang Anyar</t>
  </si>
  <si>
    <t xml:space="preserve">JU-0604</t>
  </si>
  <si>
    <t xml:space="preserve">Uang bensin dan makan kru di event Artefak Karang Anyar 2 hari</t>
  </si>
  <si>
    <t xml:space="preserve">JU-0605</t>
  </si>
  <si>
    <t xml:space="preserve">Pindah dana tunai ke BCA (gaji mas hakim jasa parkir)</t>
  </si>
  <si>
    <t xml:space="preserve">JU-0606</t>
  </si>
  <si>
    <t xml:space="preserve">iuran kampung Maret, April, Mei</t>
  </si>
  <si>
    <t xml:space="preserve">JU-0607</t>
  </si>
  <si>
    <t xml:space="preserve">JU-0608</t>
  </si>
  <si>
    <t xml:space="preserve">JU-0609</t>
  </si>
  <si>
    <t xml:space="preserve">JU-0610</t>
  </si>
  <si>
    <t xml:space="preserve">JU-0611</t>
  </si>
  <si>
    <t xml:space="preserve">JU-0612</t>
  </si>
  <si>
    <t xml:space="preserve">JU-0613</t>
  </si>
  <si>
    <t xml:space="preserve">JU-0614</t>
  </si>
  <si>
    <t xml:space="preserve">Tiramisu 3 batch Rstk : Apr tgl 19&amp;24, Mei tgl 2 /batch 9pcs = 27pcs</t>
  </si>
  <si>
    <t xml:space="preserve">JU-0615</t>
  </si>
  <si>
    <t xml:space="preserve">Tisu wajah See-U facial tissue x 1 dus isi 40 pack isi 250lbr @7.250k/pack</t>
  </si>
  <si>
    <t xml:space="preserve">JU-0616</t>
  </si>
  <si>
    <t xml:space="preserve">Sponsorship fotografi</t>
  </si>
  <si>
    <t xml:space="preserve">JU-0617</t>
  </si>
  <si>
    <t xml:space="preserve">Penjualan di event artefak 2 hari di Karang Anyar by UNS</t>
  </si>
  <si>
    <t xml:space="preserve">JU-0618</t>
  </si>
  <si>
    <t xml:space="preserve">JU-0619</t>
  </si>
  <si>
    <t xml:space="preserve">Pindah dana tunai ke BCA(Afa tukar uang)</t>
  </si>
  <si>
    <t xml:space="preserve">JU-0620</t>
  </si>
  <si>
    <t xml:space="preserve">Yantos tukar bayar beli ember x5pcs acara fotografi</t>
  </si>
  <si>
    <t xml:space="preserve">JU-0621</t>
  </si>
  <si>
    <t xml:space="preserve">JU-0622</t>
  </si>
  <si>
    <t xml:space="preserve">Jasa angkut Pak Dodo</t>
  </si>
  <si>
    <t xml:space="preserve">JU-0623</t>
  </si>
  <si>
    <t xml:space="preserve">Es batu tgl 7 malam</t>
  </si>
  <si>
    <t xml:space="preserve">JU-0624</t>
  </si>
  <si>
    <t xml:space="preserve">lampu otomatis nyala x 4 pcs untuk rak kantor/gudang</t>
  </si>
  <si>
    <t xml:space="preserve">JU-0625</t>
  </si>
  <si>
    <t xml:space="preserve">Bon karyawan Sdr. Rangga diangsur selama 6 bulan Gaji Mei-Okt 2026</t>
  </si>
  <si>
    <t xml:space="preserve">Bon Rangga</t>
  </si>
  <si>
    <t xml:space="preserve">JU-0626</t>
  </si>
  <si>
    <t xml:space="preserve">JU-0627</t>
  </si>
  <si>
    <t xml:space="preserve">JU-0628</t>
  </si>
  <si>
    <t xml:space="preserve">JU-0629</t>
  </si>
  <si>
    <t xml:space="preserve">JU-0630</t>
  </si>
  <si>
    <t xml:space="preserve">JU-0631</t>
  </si>
  <si>
    <t xml:space="preserve">JU-0632</t>
  </si>
  <si>
    <t xml:space="preserve">JU-0633</t>
  </si>
  <si>
    <t xml:space="preserve">JU-0634</t>
  </si>
  <si>
    <t xml:space="preserve">Jar kombucha 11L x 3bj , 9L x 4biji</t>
  </si>
  <si>
    <t xml:space="preserve">JU-0635</t>
  </si>
  <si>
    <t xml:space="preserve">JU-0636</t>
  </si>
  <si>
    <t xml:space="preserve">Pendapatan event di karang anyar Artefak UNS tgl 2&amp;3</t>
  </si>
  <si>
    <t xml:space="preserve">JU-0637</t>
  </si>
  <si>
    <t xml:space="preserve">botol soda x1</t>
  </si>
  <si>
    <t xml:space="preserve">JU-0638</t>
  </si>
  <si>
    <t xml:space="preserve">Pindah dana tunai ke BCA (Afa tukar uang)</t>
  </si>
  <si>
    <t xml:space="preserve">JU-0639</t>
  </si>
  <si>
    <t xml:space="preserve">JU-0640</t>
  </si>
  <si>
    <t xml:space="preserve">unlock water x 10 galon</t>
  </si>
  <si>
    <t xml:space="preserve">JU-0641</t>
  </si>
  <si>
    <t xml:space="preserve">croissant pembayaran batch 172-179 102pcs</t>
  </si>
  <si>
    <t xml:space="preserve">JU-0642</t>
  </si>
  <si>
    <t xml:space="preserve">croissant pembayaran buy return</t>
  </si>
  <si>
    <t xml:space="preserve">JU-0643</t>
  </si>
  <si>
    <t xml:space="preserve">bayar quesillo 7pcs restock tgl 19 April</t>
  </si>
  <si>
    <t xml:space="preserve">JU-0644</t>
  </si>
  <si>
    <t xml:space="preserve">kabel colokan/olor extension anti air x2</t>
  </si>
  <si>
    <t xml:space="preserve">JU-0645</t>
  </si>
  <si>
    <t xml:space="preserve">biji kopi Yantos</t>
  </si>
  <si>
    <t xml:space="preserve">JU-0646</t>
  </si>
  <si>
    <t xml:space="preserve">paper leakproof 500pcs</t>
  </si>
  <si>
    <t xml:space="preserve">JU-0647</t>
  </si>
  <si>
    <t xml:space="preserve">almari besi loker 12 pintu</t>
  </si>
  <si>
    <t xml:space="preserve">JU-0648</t>
  </si>
  <si>
    <t xml:space="preserve">Yantos nitip beli kemasan biji kopi zipper valve 100pcs</t>
  </si>
  <si>
    <t xml:space="preserve">JU-0649</t>
  </si>
  <si>
    <t xml:space="preserve">paper hario v60 x 2 pack</t>
  </si>
  <si>
    <t xml:space="preserve">JU-0650</t>
  </si>
  <si>
    <t xml:space="preserve">susu freshmilk greenfield x 3 karton</t>
  </si>
  <si>
    <t xml:space="preserve">JU-0651</t>
  </si>
  <si>
    <t xml:space="preserve">Yantos nitip beli kemasan kaleng biji kopi 10pcs</t>
  </si>
  <si>
    <t xml:space="preserve">JU-0652</t>
  </si>
  <si>
    <t xml:space="preserve">JU-0653</t>
  </si>
  <si>
    <t xml:space="preserve">JU-0654</t>
  </si>
  <si>
    <t xml:space="preserve">JU-0655</t>
  </si>
  <si>
    <t xml:space="preserve">JU-0656</t>
  </si>
  <si>
    <t xml:space="preserve">Pindah dana reserve ke kas warung (pinjam untuk dana belanja)</t>
  </si>
  <si>
    <t xml:space="preserve">JU-0657</t>
  </si>
  <si>
    <t xml:space="preserve">JU-0658</t>
  </si>
  <si>
    <t xml:space="preserve">JU-0659</t>
  </si>
  <si>
    <t xml:space="preserve">JU-0660</t>
  </si>
  <si>
    <t xml:space="preserve">JU-0661</t>
  </si>
  <si>
    <t xml:space="preserve">Pindah dana tunai ke kas warung (dana belanja bulanan)</t>
  </si>
  <si>
    <t xml:space="preserve">JU-0662</t>
  </si>
  <si>
    <t xml:space="preserve">JU-0663</t>
  </si>
  <si>
    <t xml:space="preserve">JU-0664</t>
  </si>
  <si>
    <t xml:space="preserve">SKM dairy champ 2.5kg x 5pack total 12.5kg</t>
  </si>
  <si>
    <t xml:space="preserve">JU-0665</t>
  </si>
  <si>
    <t xml:space="preserve">Parama 10 barang qty 21pcs</t>
  </si>
  <si>
    <t xml:space="preserve">JU-0666</t>
  </si>
  <si>
    <t xml:space="preserve">100gr dried rose mawar</t>
  </si>
  <si>
    <t xml:space="preserve">JU-0667</t>
  </si>
  <si>
    <t xml:space="preserve">26pcs tiramisu x 3 batch tgl 6,9,17 Mei</t>
  </si>
  <si>
    <t xml:space="preserve">JU-0668</t>
  </si>
  <si>
    <t xml:space="preserve">servis AC 2 unit</t>
  </si>
  <si>
    <t xml:space="preserve">JU-0669</t>
  </si>
  <si>
    <t xml:space="preserve">JU-0670</t>
  </si>
  <si>
    <t xml:space="preserve">14 karton UHT ultamilk</t>
  </si>
  <si>
    <t xml:space="preserve">JU-0671</t>
  </si>
  <si>
    <t xml:space="preserve">10 galon unlock water tgl 16</t>
  </si>
  <si>
    <t xml:space="preserve">JU-0672</t>
  </si>
  <si>
    <t xml:space="preserve">JU-0673</t>
  </si>
  <si>
    <t xml:space="preserve">spare part kipas kulkas</t>
  </si>
  <si>
    <t xml:space="preserve">JU-0674</t>
  </si>
  <si>
    <t xml:space="preserve">Print cetak menu, stiker, pamflet total 8 nota dg 3 nota keliru karna miskom jd tdk terpakai</t>
  </si>
  <si>
    <t xml:space="preserve">JU-0675</t>
  </si>
  <si>
    <t xml:space="preserve">spons untuk pel cooger</t>
  </si>
  <si>
    <t xml:space="preserve">JU-0676</t>
  </si>
  <si>
    <t xml:space="preserve">perpanjang nomor kartu Kopi Parang Belanja 360 hari</t>
  </si>
  <si>
    <t xml:space="preserve">JU-0677</t>
  </si>
  <si>
    <t xml:space="preserve">admin dan pembulatan</t>
  </si>
  <si>
    <t xml:space="preserve">JU-0678</t>
  </si>
  <si>
    <t xml:space="preserve">menu french fries dan pepakan</t>
  </si>
  <si>
    <t xml:space="preserve">JU-0679</t>
  </si>
  <si>
    <t xml:space="preserve">chili oil 1 L</t>
  </si>
  <si>
    <t xml:space="preserve">JU-0680</t>
  </si>
  <si>
    <t xml:space="preserve">pel cooger dan 2 busa</t>
  </si>
  <si>
    <t xml:space="preserve">JU-0681</t>
  </si>
  <si>
    <t xml:space="preserve">JU-0682</t>
  </si>
  <si>
    <t xml:space="preserve">Tahu walik dan ongkir</t>
  </si>
  <si>
    <t xml:space="preserve">JU-0683</t>
  </si>
  <si>
    <t xml:space="preserve">15 galon unlock water tgl 23</t>
  </si>
  <si>
    <t xml:space="preserve">JU-0684</t>
  </si>
  <si>
    <t xml:space="preserve">JU-0685</t>
  </si>
  <si>
    <t xml:space="preserve">JU-0686</t>
  </si>
  <si>
    <t xml:space="preserve">JU-0687</t>
  </si>
  <si>
    <t xml:space="preserve">JU-0688</t>
  </si>
  <si>
    <t xml:space="preserve">JU-0689</t>
  </si>
  <si>
    <t xml:space="preserve">JU-0690</t>
  </si>
  <si>
    <t xml:space="preserve">JU-0691</t>
  </si>
  <si>
    <t xml:space="preserve">JU-0692</t>
  </si>
  <si>
    <t xml:space="preserve">Pindah dana tunai ke kas warung (dana darurat) refill</t>
  </si>
  <si>
    <t xml:space="preserve">JU-0693</t>
  </si>
  <si>
    <t xml:space="preserve">cairan pembersih : clover klin</t>
  </si>
  <si>
    <t xml:space="preserve">JU-0694</t>
  </si>
  <si>
    <t xml:space="preserve">JU-0695</t>
  </si>
  <si>
    <t xml:space="preserve">Pindah dana BCA ke tunai (Afa tukar uang)</t>
  </si>
  <si>
    <t xml:space="preserve">JU-0696</t>
  </si>
  <si>
    <t xml:space="preserve">Afa pinjam untuk transfer</t>
  </si>
  <si>
    <t xml:space="preserve">JU-0697</t>
  </si>
  <si>
    <t xml:space="preserve">Afa nuker</t>
  </si>
  <si>
    <t xml:space="preserve">JU-0698</t>
  </si>
  <si>
    <t xml:space="preserve">500 set papercup +ongkir</t>
  </si>
  <si>
    <t xml:space="preserve">JU-0699</t>
  </si>
  <si>
    <t xml:space="preserve">UHT 13 karton</t>
  </si>
  <si>
    <t xml:space="preserve">JU-0700</t>
  </si>
  <si>
    <t xml:space="preserve">Membayar gaji pegawai dan bonus</t>
  </si>
  <si>
    <t xml:space="preserve">JU-0701</t>
  </si>
  <si>
    <t xml:space="preserve">Cicilan kasbon rangga</t>
  </si>
  <si>
    <t xml:space="preserve">JU-0702</t>
  </si>
  <si>
    <t xml:space="preserve">JU-0703</t>
  </si>
  <si>
    <t xml:space="preserve">Gaji direktur Kopi Parang Mei 2026</t>
  </si>
  <si>
    <t xml:space="preserve">JU-0704</t>
  </si>
  <si>
    <t xml:space="preserve">Biaya sewa tempat bulan Mei 2026</t>
  </si>
  <si>
    <t xml:space="preserve">JU-0705</t>
  </si>
  <si>
    <t xml:space="preserve">pinjam saldo seabank nuker rangga belanja di super indo</t>
  </si>
  <si>
    <t xml:space="preserve">JU-0706</t>
  </si>
  <si>
    <t xml:space="preserve">JU-0707</t>
  </si>
  <si>
    <t xml:space="preserve">JU-0708</t>
  </si>
  <si>
    <t xml:space="preserve">JU-0709</t>
  </si>
  <si>
    <t xml:space="preserve">18pcs tiramisu 2 batch tgl 20 &amp; 24 Mei</t>
  </si>
  <si>
    <t xml:space="preserve">JU-0710</t>
  </si>
  <si>
    <t xml:space="preserve">silica gel untuk simpan dried</t>
  </si>
  <si>
    <t xml:space="preserve">JU-0711</t>
  </si>
  <si>
    <t xml:space="preserve">Jasa ilustrasi x 6 gambar</t>
  </si>
  <si>
    <t xml:space="preserve">JU-0712</t>
  </si>
  <si>
    <t xml:space="preserve">DP pemasangan turbin ventilator x 3 unit</t>
  </si>
  <si>
    <t xml:space="preserve">JU-0713</t>
  </si>
  <si>
    <t xml:space="preserve">cuci servis AC kantor x 1 unit</t>
  </si>
  <si>
    <t xml:space="preserve">JU-0714</t>
  </si>
  <si>
    <t xml:space="preserve">pembersih kit device 6in1</t>
  </si>
  <si>
    <t xml:space="preserve">JU-0715</t>
  </si>
  <si>
    <t xml:space="preserve">Buah dan chili flakes titipane Belicia</t>
  </si>
  <si>
    <t xml:space="preserve">JU-0716</t>
  </si>
  <si>
    <t xml:space="preserve">JU-0717</t>
  </si>
  <si>
    <t xml:space="preserve">JU-0718</t>
  </si>
  <si>
    <t xml:space="preserve">JU-0719</t>
  </si>
  <si>
    <t xml:space="preserve">JU-0720</t>
  </si>
  <si>
    <t xml:space="preserve">JU-0721</t>
  </si>
  <si>
    <t xml:space="preserve">JU-0722</t>
  </si>
  <si>
    <t xml:space="preserve">paper cup hot 8oz</t>
  </si>
  <si>
    <t xml:space="preserve">JU-0723</t>
  </si>
  <si>
    <t xml:space="preserve">JU-0724</t>
  </si>
  <si>
    <t xml:space="preserve">JU-0725</t>
  </si>
  <si>
    <t xml:space="preserve">JU-0726</t>
  </si>
  <si>
    <t xml:space="preserve">Menerima pelunasan piutang Einstein tagihan Mei nota Kopi Parang</t>
  </si>
  <si>
    <t xml:space="preserve">JU-0727</t>
  </si>
  <si>
    <t xml:space="preserve">Menerima pelunasan Einstein order nasi gudeg 20 box</t>
  </si>
  <si>
    <t xml:space="preserve">JU-0728</t>
  </si>
  <si>
    <t xml:space="preserve">Menerima pelunasan piutang Yantos (packing valve)</t>
  </si>
  <si>
    <t xml:space="preserve">JU-0729</t>
  </si>
  <si>
    <t xml:space="preserve">Menerima pelunasan piutang Yantos (kaleng beans)</t>
  </si>
  <si>
    <t xml:space="preserve">JU-0730</t>
  </si>
  <si>
    <t xml:space="preserve">Tagihan listrik Mei 2026</t>
  </si>
  <si>
    <t xml:space="preserve">JU-0731</t>
  </si>
  <si>
    <t xml:space="preserve">Tagihan telepon Mei 2026</t>
  </si>
  <si>
    <t xml:space="preserve">JU-0732</t>
  </si>
  <si>
    <t xml:space="preserve">Tagihan internet Mei 2026</t>
  </si>
  <si>
    <t xml:space="preserve">JU-0733</t>
  </si>
  <si>
    <t xml:space="preserve">Pembayaran pajak restoran bulan Mei</t>
  </si>
  <si>
    <t xml:space="preserve">JU-0734</t>
  </si>
  <si>
    <t xml:space="preserve">Tambahan biaya administrasi bank utk pembayaran pajak restoran</t>
  </si>
  <si>
    <t xml:space="preserve">JU-0735</t>
  </si>
  <si>
    <t xml:space="preserve">Alokasi gaji supervisor Mei</t>
  </si>
  <si>
    <t xml:space="preserve">JU-0736</t>
  </si>
  <si>
    <t xml:space="preserve">Omzet bersih bulan Mei (dari OMZET HARIAN)</t>
  </si>
  <si>
    <t xml:space="preserve">JU-0737</t>
  </si>
  <si>
    <t xml:space="preserve">Realisasi tunai omzet bulan Mei</t>
  </si>
  <si>
    <t xml:space="preserve">JU-0738</t>
  </si>
  <si>
    <t xml:space="preserve">Realisasi EDC/QRIS omzet bulan Mei</t>
  </si>
  <si>
    <t xml:space="preserve">JU-0739</t>
  </si>
  <si>
    <t xml:space="preserve">Bon karyawan bulan Mei</t>
  </si>
  <si>
    <t xml:space="preserve">JU-0740</t>
  </si>
  <si>
    <t xml:space="preserve">Compliment bulan Mei</t>
  </si>
  <si>
    <t xml:space="preserve">JU-0741</t>
  </si>
  <si>
    <t xml:space="preserve">Bill owner bulan Mei (dicatat sebagai Prive, bukan piutang)</t>
  </si>
  <si>
    <t xml:space="preserve">JU-0742</t>
  </si>
  <si>
    <t xml:space="preserve">Penyusutan peralatan bulan Mei (dari ASET TETAP)</t>
  </si>
  <si>
    <t xml:space="preserve">JU-0743</t>
  </si>
  <si>
    <t xml:space="preserve">Estimasi PBJT kurang bayar bulan Mei (lihat PAJAK)</t>
  </si>
  <si>
    <t xml:space="preserve">JU-0744</t>
  </si>
  <si>
    <t xml:space="preserve">JU-0745</t>
  </si>
  <si>
    <t xml:space="preserve">JU-0746</t>
  </si>
  <si>
    <t xml:space="preserve">cangkir 220ml Alicia x 1 pc</t>
  </si>
  <si>
    <t xml:space="preserve">JU-0747</t>
  </si>
  <si>
    <t xml:space="preserve">JU-0748</t>
  </si>
  <si>
    <t xml:space="preserve">Refill gas 12kg x 4 tabung</t>
  </si>
  <si>
    <t xml:space="preserve">JU-0749</t>
  </si>
  <si>
    <t xml:space="preserve">Pelunasan pemasangan turbin ventilator x 3 unit</t>
  </si>
  <si>
    <t xml:space="preserve">JU-0750</t>
  </si>
  <si>
    <t xml:space="preserve">JU-0751</t>
  </si>
  <si>
    <t xml:space="preserve">JU-0752</t>
  </si>
  <si>
    <t xml:space="preserve">PET botol takeaway 250ml</t>
  </si>
  <si>
    <t xml:space="preserve">JU-0753</t>
  </si>
  <si>
    <t xml:space="preserve">Churros frozen</t>
  </si>
  <si>
    <t xml:space="preserve">JU-0754</t>
  </si>
  <si>
    <t xml:space="preserve">Unlock water</t>
  </si>
  <si>
    <t xml:space="preserve">JU-0755</t>
  </si>
  <si>
    <t xml:space="preserve">Tiramisu 2 batch tgl 29 &amp; 31 Mei (18pcs)</t>
  </si>
  <si>
    <t xml:space="preserve">JU-0756</t>
  </si>
  <si>
    <t xml:space="preserve">Biji kopi/beans Yantos 8kg</t>
  </si>
  <si>
    <t xml:space="preserve">JU-0757</t>
  </si>
  <si>
    <t xml:space="preserve">Sirup playful pistachio</t>
  </si>
  <si>
    <t xml:space="preserve">JU-0758</t>
  </si>
  <si>
    <t xml:space="preserve">Spare part manometer mesin kopi</t>
  </si>
  <si>
    <t xml:space="preserve">JU-0759</t>
  </si>
  <si>
    <t xml:space="preserve">croissant pembayaran batch 180-187 97pcs</t>
  </si>
  <si>
    <t xml:space="preserve">JU-0760</t>
  </si>
  <si>
    <t xml:space="preserve">JU-0761</t>
  </si>
  <si>
    <t xml:space="preserve">Plastik gantungan baju 4pcs untuk display kaos</t>
  </si>
  <si>
    <t xml:space="preserve">JU-0762</t>
  </si>
  <si>
    <t xml:space="preserve">susu freshmilk greenfield</t>
  </si>
  <si>
    <t xml:space="preserve">JU-0763</t>
  </si>
  <si>
    <t xml:space="preserve">JU-0764</t>
  </si>
  <si>
    <t xml:space="preserve">JU-0765</t>
  </si>
  <si>
    <t xml:space="preserve">print MMT background booth</t>
  </si>
  <si>
    <t xml:space="preserve">JU-0766</t>
  </si>
  <si>
    <t xml:space="preserve">dosing cup portafilter wadah bubuk kopi espresso</t>
  </si>
  <si>
    <t xml:space="preserve">JU-0767</t>
  </si>
  <si>
    <t xml:space="preserve">Pindah dana BCA ke tunai (Beli tukar uang)</t>
  </si>
  <si>
    <t xml:space="preserve">JU-0768</t>
  </si>
  <si>
    <t xml:space="preserve">540pcs stiker botol 230ml - waterproof</t>
  </si>
  <si>
    <t xml:space="preserve">JU-0769</t>
  </si>
  <si>
    <t xml:space="preserve">kulkas showcase cooler 192L</t>
  </si>
  <si>
    <t xml:space="preserve">JU-0770</t>
  </si>
  <si>
    <t xml:space="preserve">JU-0771</t>
  </si>
  <si>
    <t xml:space="preserve">JU-0772</t>
  </si>
  <si>
    <t xml:space="preserve">JU-0773</t>
  </si>
  <si>
    <t xml:space="preserve">JU-0774</t>
  </si>
  <si>
    <t xml:space="preserve">JU-0775</t>
  </si>
  <si>
    <t xml:space="preserve">JU-0776</t>
  </si>
  <si>
    <t xml:space="preserve">JU-0777</t>
  </si>
  <si>
    <t xml:space="preserve">Takeaway cup 12oz+lid x 3.000 set faktur 12656</t>
  </si>
  <si>
    <t xml:space="preserve">JU-0778</t>
  </si>
  <si>
    <t xml:space="preserve">Takeaway cup+lid  8oz x 500 set faktur 12657</t>
  </si>
  <si>
    <t xml:space="preserve">JU-0779</t>
  </si>
  <si>
    <t xml:space="preserve">JU-0780</t>
  </si>
  <si>
    <t xml:space="preserve">poster menu UNS dan banner sold out</t>
  </si>
  <si>
    <t xml:space="preserve">JU-0781</t>
  </si>
  <si>
    <t xml:space="preserve">cremaer x 2 (creamer)</t>
  </si>
  <si>
    <t xml:space="preserve">JU-0782</t>
  </si>
  <si>
    <t xml:space="preserve">kupon &amp; golden tiket Artefact UNS</t>
  </si>
  <si>
    <t xml:space="preserve">JU-0783</t>
  </si>
  <si>
    <t xml:space="preserve">chili oil 2L</t>
  </si>
  <si>
    <t xml:space="preserve">JU-0784</t>
  </si>
  <si>
    <t xml:space="preserve">Jasa ilustrasi x 18 gambar</t>
  </si>
  <si>
    <t xml:space="preserve">JU-0785</t>
  </si>
  <si>
    <t xml:space="preserve">JU-0786</t>
  </si>
  <si>
    <t xml:space="preserve">JU-0787</t>
  </si>
  <si>
    <t xml:space="preserve">Biaya jalan/makan event artefack</t>
  </si>
  <si>
    <t xml:space="preserve">JU-0788</t>
  </si>
  <si>
    <t xml:space="preserve">Biaya ongkir kirim milac whipping cream</t>
  </si>
  <si>
    <t xml:space="preserve">JU-0789</t>
  </si>
  <si>
    <t xml:space="preserve">Biaya admin top up gopay bayar gosend</t>
  </si>
  <si>
    <t xml:space="preserve">JU-0790</t>
  </si>
  <si>
    <t xml:space="preserve">Milac whipping cream</t>
  </si>
  <si>
    <t xml:space="preserve">JU-0791</t>
  </si>
  <si>
    <t xml:space="preserve">JU-0792</t>
  </si>
  <si>
    <t xml:space="preserve">JU-0793</t>
  </si>
  <si>
    <t xml:space="preserve">JU-0794</t>
  </si>
  <si>
    <t xml:space="preserve">JU-0795</t>
  </si>
  <si>
    <t xml:space="preserve">JU-0796</t>
  </si>
  <si>
    <t xml:space="preserve">JU-0797</t>
  </si>
  <si>
    <t xml:space="preserve">JU-0798</t>
  </si>
  <si>
    <t xml:space="preserve">Tiramisu 2 batch tgl 04 &amp; 10 Jun (18pcs)</t>
  </si>
  <si>
    <t xml:space="preserve">JU-0799</t>
  </si>
  <si>
    <t xml:space="preserve">JU-0800</t>
  </si>
  <si>
    <t xml:space="preserve">JU-0801</t>
  </si>
  <si>
    <t xml:space="preserve">spare part blender</t>
  </si>
  <si>
    <t xml:space="preserve">JU-0802</t>
  </si>
  <si>
    <t xml:space="preserve">JU-0803</t>
  </si>
  <si>
    <t xml:space="preserve">Service show case kulkas dapur</t>
  </si>
  <si>
    <t xml:space="preserve">JU-0804</t>
  </si>
  <si>
    <t xml:space="preserve">Biji kopi/beans Yantos 24kg</t>
  </si>
  <si>
    <t xml:space="preserve">JU-0805</t>
  </si>
  <si>
    <t xml:space="preserve">Raket nyamuk</t>
  </si>
  <si>
    <t xml:space="preserve">JU-0806</t>
  </si>
  <si>
    <t xml:space="preserve">JU-0807</t>
  </si>
  <si>
    <t xml:space="preserve">JU-0808</t>
  </si>
  <si>
    <t xml:space="preserve">Pindah dana tunai ke kas warung (dana darurat &amp; belanja) refill</t>
  </si>
  <si>
    <t xml:space="preserve">JU-0809</t>
  </si>
  <si>
    <t xml:space="preserve">JU-0810</t>
  </si>
  <si>
    <t xml:space="preserve">JU-0811</t>
  </si>
  <si>
    <t xml:space="preserve">JU-0812</t>
  </si>
  <si>
    <t xml:space="preserve">JU-0813</t>
  </si>
  <si>
    <t xml:space="preserve">JU-0814</t>
  </si>
  <si>
    <t xml:space="preserve">Pindah dana tunai ke kas warung (tambahan belanja)</t>
  </si>
  <si>
    <t xml:space="preserve">JU-0815</t>
  </si>
  <si>
    <t xml:space="preserve">JU-0816</t>
  </si>
  <si>
    <t xml:space="preserve">JU-0817</t>
  </si>
  <si>
    <t xml:space="preserve">donat artefak</t>
  </si>
  <si>
    <t xml:space="preserve">JU-0818</t>
  </si>
  <si>
    <t xml:space="preserve">faktur 22 Juli 1 dus facial isi 40 pack</t>
  </si>
  <si>
    <t xml:space="preserve">JU-0819</t>
  </si>
  <si>
    <t xml:space="preserve">faktur 22 Juli kitchen towel 2 dus isi 24 pack</t>
  </si>
  <si>
    <t xml:space="preserve">JU-0820</t>
  </si>
  <si>
    <t xml:space="preserve">JU-0821</t>
  </si>
  <si>
    <t xml:space="preserve">Belanja alat di solo micro</t>
  </si>
  <si>
    <t xml:space="preserve">JU-0822</t>
  </si>
  <si>
    <t xml:space="preserve">JU-0823</t>
  </si>
  <si>
    <t xml:space="preserve">Cocoa : palm sugar, whipping cream, goldenfill</t>
  </si>
  <si>
    <t xml:space="preserve">JU-0824</t>
  </si>
  <si>
    <t xml:space="preserve">JU-0825</t>
  </si>
  <si>
    <t xml:space="preserve">susu UHT &amp; oat</t>
  </si>
  <si>
    <t xml:space="preserve">JU-0826</t>
  </si>
  <si>
    <t xml:space="preserve">Faktur 23 Juli Handsoap 1, Pel 1, Kaca 1</t>
  </si>
  <si>
    <t xml:space="preserve">JU-0827</t>
  </si>
  <si>
    <t xml:space="preserve">savis tea</t>
  </si>
  <si>
    <t xml:space="preserve">JU-0828</t>
  </si>
  <si>
    <t xml:space="preserve">Biji kopi/beans Yantos 25 pack</t>
  </si>
  <si>
    <t xml:space="preserve">JU-0829</t>
  </si>
  <si>
    <t xml:space="preserve">Tiramisu 2 batch tgl 16 &amp; 23 Jun (18pcs)</t>
  </si>
  <si>
    <t xml:space="preserve">JU-0830</t>
  </si>
  <si>
    <t xml:space="preserve">JU-0831</t>
  </si>
  <si>
    <t xml:space="preserve">JU-0832</t>
  </si>
  <si>
    <t xml:space="preserve">Buah</t>
  </si>
  <si>
    <t xml:space="preserve">JU-0833</t>
  </si>
  <si>
    <t xml:space="preserve">JU-0834</t>
  </si>
  <si>
    <t xml:space="preserve">Tofico, Dripp, Hario paper filter</t>
  </si>
  <si>
    <t xml:space="preserve">JU-0835</t>
  </si>
  <si>
    <t xml:space="preserve">Renew Logo Kopi Parang</t>
  </si>
  <si>
    <t xml:space="preserve">JU-0836</t>
  </si>
  <si>
    <t xml:space="preserve">JU-0837</t>
  </si>
  <si>
    <t xml:space="preserve">JU-0838</t>
  </si>
  <si>
    <t xml:space="preserve">JU-0839</t>
  </si>
  <si>
    <t xml:space="preserve">JU-0840</t>
  </si>
  <si>
    <t xml:space="preserve">Pindah dana kas warung ke BCA (kembalian belanja)</t>
  </si>
  <si>
    <t xml:space="preserve">JU-0841</t>
  </si>
  <si>
    <t xml:space="preserve">JU-0842</t>
  </si>
  <si>
    <t xml:space="preserve">JU-0843</t>
  </si>
  <si>
    <t xml:space="preserve">JU-0844</t>
  </si>
  <si>
    <t xml:space="preserve">JU-0845</t>
  </si>
  <si>
    <t xml:space="preserve">JU-0846</t>
  </si>
  <si>
    <t xml:space="preserve">JU-0847</t>
  </si>
  <si>
    <t xml:space="preserve">Buah strawberry</t>
  </si>
  <si>
    <t xml:space="preserve">JU-0848</t>
  </si>
  <si>
    <t xml:space="preserve">JU-0849</t>
  </si>
  <si>
    <t xml:space="preserve">JU-0850</t>
  </si>
  <si>
    <t xml:space="preserve">JU-0851</t>
  </si>
  <si>
    <t xml:space="preserve">JU-0852</t>
  </si>
  <si>
    <t xml:space="preserve">Gaji direktur Kopi Parang Juni 2026</t>
  </si>
  <si>
    <t xml:space="preserve">JU-0853</t>
  </si>
  <si>
    <t xml:space="preserve">Biaya sewa tempat bulan Juni 2026</t>
  </si>
  <si>
    <t xml:space="preserve">JU-0854</t>
  </si>
  <si>
    <t xml:space="preserve">JU-0855</t>
  </si>
  <si>
    <t xml:space="preserve">Pindah dana tunai ke BCA (Untuk bonus karyawan)</t>
  </si>
  <si>
    <t xml:space="preserve">JU-0856</t>
  </si>
  <si>
    <t xml:space="preserve">JU-0857</t>
  </si>
  <si>
    <t xml:space="preserve">croissant pembayaran batch 188-195 104pcs</t>
  </si>
  <si>
    <t xml:space="preserve">JU-0858</t>
  </si>
  <si>
    <t xml:space="preserve">JU-0859</t>
  </si>
  <si>
    <t xml:space="preserve">Tissue 2 dus isi 24 pack kitchen towel</t>
  </si>
  <si>
    <t xml:space="preserve">JU-0860</t>
  </si>
  <si>
    <t xml:space="preserve">Belanja simple syrup</t>
  </si>
  <si>
    <t xml:space="preserve">JU-0861</t>
  </si>
  <si>
    <t xml:space="preserve">Tagihan listrik Juni 2026</t>
  </si>
  <si>
    <t xml:space="preserve">JU-0862</t>
  </si>
  <si>
    <t xml:space="preserve">Tagihan telepon Juni 2026</t>
  </si>
  <si>
    <t xml:space="preserve">JU-0863</t>
  </si>
  <si>
    <t xml:space="preserve">Tagihan internet Juni 2026</t>
  </si>
  <si>
    <t xml:space="preserve">JU-0864</t>
  </si>
  <si>
    <t xml:space="preserve">Pembayaran pajak restoran bulan Juni</t>
  </si>
  <si>
    <t xml:space="preserve">JU-0865</t>
  </si>
  <si>
    <t xml:space="preserve">JU-0866</t>
  </si>
  <si>
    <t xml:space="preserve">JU-0867</t>
  </si>
  <si>
    <t xml:space="preserve">JU-0868</t>
  </si>
  <si>
    <t xml:space="preserve">JU-0869</t>
  </si>
  <si>
    <t xml:space="preserve">Menerima pelunasan piutang Einstein tagihan Juni nota Kopi Parang</t>
  </si>
  <si>
    <t xml:space="preserve">JU-0870</t>
  </si>
  <si>
    <t xml:space="preserve">Alokasi gaji supervisor Juni</t>
  </si>
  <si>
    <t xml:space="preserve">JU-0871</t>
  </si>
  <si>
    <t xml:space="preserve">Nasi gudeg x 50 porsi untuk jamaah Yasin</t>
  </si>
  <si>
    <t xml:space="preserve">JU-0872</t>
  </si>
  <si>
    <t xml:space="preserve">Omzet bersih bulan Juni (dari OMZET HARIAN)</t>
  </si>
  <si>
    <t xml:space="preserve">JU-0873</t>
  </si>
  <si>
    <t xml:space="preserve">Realisasi tunai omzet bulan Juni</t>
  </si>
  <si>
    <t xml:space="preserve">JU-0874</t>
  </si>
  <si>
    <t xml:space="preserve">Realisasi EDC/QRIS omzet bulan Juni</t>
  </si>
  <si>
    <t xml:space="preserve">JU-0875</t>
  </si>
  <si>
    <t xml:space="preserve">Bon karyawan bulan Juni</t>
  </si>
  <si>
    <t xml:space="preserve">JU-0876</t>
  </si>
  <si>
    <t xml:space="preserve">Compliment bulan Juni</t>
  </si>
  <si>
    <t xml:space="preserve">JU-0877</t>
  </si>
  <si>
    <t xml:space="preserve">Bill owner bulan Juni (dicatat sebagai Prive, bukan piutang)</t>
  </si>
  <si>
    <t xml:space="preserve">JU-0878</t>
  </si>
  <si>
    <t xml:space="preserve">Penyusutan peralatan bulan Juni (dari ASET TETAP)</t>
  </si>
  <si>
    <t xml:space="preserve">JU-0879</t>
  </si>
  <si>
    <t xml:space="preserve">Estimasi PBJT kurang bayar bulan Juni (lihat PAJAK)</t>
  </si>
  <si>
    <t xml:space="preserve">JU-0880</t>
  </si>
  <si>
    <t xml:space="preserve">JU-0881</t>
  </si>
  <si>
    <t xml:space="preserve">Pembayaran DP ketiga web develop TMS (termin IV)</t>
  </si>
  <si>
    <t xml:space="preserve">JU-0882</t>
  </si>
  <si>
    <t xml:space="preserve">JU-0883</t>
  </si>
  <si>
    <t xml:space="preserve">JU-0884</t>
  </si>
  <si>
    <t xml:space="preserve">botol kaca</t>
  </si>
  <si>
    <t xml:space="preserve">JU-0885</t>
  </si>
  <si>
    <t xml:space="preserve">JU-0886</t>
  </si>
  <si>
    <t xml:space="preserve">JU-0887</t>
  </si>
  <si>
    <t xml:space="preserve">JU-0888</t>
  </si>
  <si>
    <t xml:space="preserve">JU-0889</t>
  </si>
  <si>
    <t xml:space="preserve">JU-0890</t>
  </si>
  <si>
    <t xml:space="preserve">JU-0891</t>
  </si>
  <si>
    <t xml:space="preserve">JU-0892</t>
  </si>
  <si>
    <t xml:space="preserve">paper hario v60</t>
  </si>
  <si>
    <t xml:space="preserve">JU-0893</t>
  </si>
  <si>
    <t xml:space="preserve">JU-0894</t>
  </si>
  <si>
    <t xml:space="preserve">cangkir espresso Alicia x 1 pc</t>
  </si>
  <si>
    <t xml:space="preserve">JU-0895</t>
  </si>
  <si>
    <t xml:space="preserve">JU-0896</t>
  </si>
  <si>
    <t xml:space="preserve">Yantos pinjam untuk beli beans</t>
  </si>
  <si>
    <t xml:space="preserve">JU-0897</t>
  </si>
  <si>
    <t xml:space="preserve">JU-0898</t>
  </si>
  <si>
    <t xml:space="preserve">JU-0899</t>
  </si>
  <si>
    <t xml:space="preserve">PET botol tutup takeaway 1000ml</t>
  </si>
  <si>
    <t xml:space="preserve">JU-0900</t>
  </si>
  <si>
    <t xml:space="preserve">Menerima pelunasan Yantos pinjam uang untuk beli beans</t>
  </si>
  <si>
    <t xml:space="preserve">JU-0901</t>
  </si>
  <si>
    <t xml:space="preserve">Biji kopi/beans Yantos</t>
  </si>
  <si>
    <t xml:space="preserve">JU-0902</t>
  </si>
  <si>
    <t xml:space="preserve">JU-0903</t>
  </si>
  <si>
    <t xml:space="preserve">JU-0904</t>
  </si>
  <si>
    <t xml:space="preserve">JU-0905</t>
  </si>
  <si>
    <t xml:space="preserve">JU-0906</t>
  </si>
  <si>
    <t xml:space="preserve">Bayar Premium Claude AI</t>
  </si>
  <si>
    <t xml:space="preserve">JU-0907</t>
  </si>
  <si>
    <t xml:space="preserve">JU-0908</t>
  </si>
  <si>
    <t xml:space="preserve">JU-0909</t>
  </si>
  <si>
    <t xml:space="preserve">Pencairan gaji supervisor Januari-Juni 2026</t>
  </si>
  <si>
    <t xml:space="preserve">JU-0910</t>
  </si>
  <si>
    <t xml:space="preserve">Nasi Ayam goreng 18 porsi, Jamaah Yasin di kantor</t>
  </si>
  <si>
    <t xml:space="preserve">JU-0911</t>
  </si>
  <si>
    <t xml:space="preserve">JU-0912</t>
  </si>
  <si>
    <t xml:space="preserve">JU-0913</t>
  </si>
  <si>
    <t xml:space="preserve">JU-0914</t>
  </si>
  <si>
    <t xml:space="preserve">JU-0915</t>
  </si>
  <si>
    <t xml:space="preserve">JU-0916</t>
  </si>
  <si>
    <t xml:space="preserve">JU-0917</t>
  </si>
  <si>
    <t xml:space="preserve">JU-0918</t>
  </si>
  <si>
    <t xml:space="preserve">JU-0919</t>
  </si>
  <si>
    <t xml:space="preserve">Tiramisu 2 batch tgl 27 Jun &amp; 7 Jul</t>
  </si>
  <si>
    <t xml:space="preserve">JU-0920</t>
  </si>
  <si>
    <t xml:space="preserve">JU-0921</t>
  </si>
  <si>
    <t xml:space="preserve">lampu tembak joglo</t>
  </si>
  <si>
    <t xml:space="preserve">JU-0922</t>
  </si>
  <si>
    <t xml:space="preserve">Belanja meja lipat dinding warna hitam x 3 unit</t>
  </si>
  <si>
    <t xml:space="preserve">JU-0923</t>
  </si>
  <si>
    <t xml:space="preserve">Belanja dispenser sabun &amp; dispenser tissue</t>
  </si>
  <si>
    <t xml:space="preserve">JU-0924</t>
  </si>
  <si>
    <t xml:space="preserve">JU-0925</t>
  </si>
  <si>
    <t xml:space="preserve">servis AC</t>
  </si>
  <si>
    <t xml:space="preserve">JU-0926</t>
  </si>
  <si>
    <t xml:space="preserve">kabel colokan/olor extension 4 lubang 3M x 5pcs</t>
  </si>
  <si>
    <t xml:space="preserve">JU-0927</t>
  </si>
  <si>
    <t xml:space="preserve">stiker pitahaya</t>
  </si>
  <si>
    <t xml:space="preserve">JU-0928</t>
  </si>
  <si>
    <t xml:space="preserve">lampu meja event lukis</t>
  </si>
  <si>
    <t xml:space="preserve">JU-0929</t>
  </si>
  <si>
    <t xml:space="preserve">JU-0930</t>
  </si>
  <si>
    <t xml:space="preserve">JU-0931</t>
  </si>
  <si>
    <t xml:space="preserve">JU-0932</t>
  </si>
  <si>
    <t xml:space="preserve">JU-0933</t>
  </si>
  <si>
    <t xml:space="preserve">JU-0934</t>
  </si>
  <si>
    <t xml:space="preserve">JU-0935</t>
  </si>
  <si>
    <t xml:space="preserve">JU-0936</t>
  </si>
  <si>
    <t xml:space="preserve">Belanja sabun cuci piring soume premium 5L x4</t>
  </si>
  <si>
    <t xml:space="preserve">JU-0937</t>
  </si>
  <si>
    <t xml:space="preserve">Rak siku ambalan / penyangga</t>
  </si>
  <si>
    <t xml:space="preserve">JU-0938</t>
  </si>
  <si>
    <t xml:space="preserve">Dispenser spray + parfum ruangan &amp; wadah tissue</t>
  </si>
  <si>
    <t xml:space="preserve">JU-0939</t>
  </si>
  <si>
    <t xml:space="preserve">Finish ulang meja bar, restorasi</t>
  </si>
  <si>
    <t xml:space="preserve">JU-0940</t>
  </si>
  <si>
    <t xml:space="preserve">JU-0941</t>
  </si>
  <si>
    <t xml:space="preserve">JU-0942</t>
  </si>
  <si>
    <t xml:space="preserve">JU-0943</t>
  </si>
  <si>
    <t xml:space="preserve">JU-0944</t>
  </si>
  <si>
    <t xml:space="preserve">JU-0945</t>
  </si>
  <si>
    <t xml:space="preserve">croissant pembayaran batch 196-203 110pcs</t>
  </si>
  <si>
    <t xml:space="preserve">JU-0946</t>
  </si>
  <si>
    <t xml:space="preserve">JU-0947</t>
  </si>
  <si>
    <t xml:space="preserve">JU-0948</t>
  </si>
  <si>
    <t xml:space="preserve">JU-0949</t>
  </si>
  <si>
    <t xml:space="preserve">Biaya admin tarik tunai bank BSI</t>
  </si>
  <si>
    <t xml:space="preserve">JU-0950</t>
  </si>
  <si>
    <t xml:space="preserve">JU-0951</t>
  </si>
  <si>
    <t xml:space="preserve">Belanja di Parama</t>
  </si>
  <si>
    <t xml:space="preserve">JU-0952</t>
  </si>
  <si>
    <t xml:space="preserve">JU-0953</t>
  </si>
  <si>
    <t xml:space="preserve">servis printer</t>
  </si>
  <si>
    <t xml:space="preserve">JU-0954</t>
  </si>
  <si>
    <t xml:space="preserve">JU-0955</t>
  </si>
  <si>
    <t xml:space="preserve">JU-0956</t>
  </si>
  <si>
    <t xml:space="preserve">Pembuatan sistem</t>
  </si>
  <si>
    <t xml:space="preserve">JU-0957</t>
  </si>
  <si>
    <t xml:space="preserve">JU-0958</t>
  </si>
  <si>
    <t xml:space="preserve">Buah &amp; rempah</t>
  </si>
  <si>
    <t xml:space="preserve">JU-0959</t>
  </si>
  <si>
    <t xml:space="preserve">Menu snack (baru) ubi mochi, fried tape singkong</t>
  </si>
  <si>
    <t xml:space="preserve">JU-0960</t>
  </si>
  <si>
    <t xml:space="preserve">JU-0961</t>
  </si>
  <si>
    <t xml:space="preserve">Belanja dispenser tissue toilet</t>
  </si>
  <si>
    <t xml:space="preserve">JU-0962</t>
  </si>
  <si>
    <t xml:space="preserve">JU-0963</t>
  </si>
  <si>
    <t xml:space="preserve">JU-0964</t>
  </si>
  <si>
    <t xml:space="preserve">JU-0965</t>
  </si>
  <si>
    <t xml:space="preserve">JU-0966</t>
  </si>
  <si>
    <t xml:space="preserve">JU-0967</t>
  </si>
  <si>
    <t xml:space="preserve">JU-0968</t>
  </si>
  <si>
    <t xml:space="preserve">JU-0969</t>
  </si>
  <si>
    <t xml:space="preserve">JU-0970</t>
  </si>
  <si>
    <t xml:space="preserve">JU-0971</t>
  </si>
  <si>
    <t xml:space="preserve">JU-0972</t>
  </si>
  <si>
    <t xml:space="preserve">JU-0973</t>
  </si>
  <si>
    <t xml:space="preserve">Biaya sewa tempat bulan Juli 2026</t>
  </si>
  <si>
    <t xml:space="preserve">JU-0974</t>
  </si>
  <si>
    <t xml:space="preserve">Gaji direktur Kopi Parang 2026 *ralat penarikan laba by owner</t>
  </si>
  <si>
    <t xml:space="preserve">JU-0975</t>
  </si>
  <si>
    <t xml:space="preserve">nampan anyaman 24rb untuk event yoga tgl 2 &amp; ongkir next day 21rb</t>
  </si>
  <si>
    <t xml:space="preserve">JU-0976</t>
  </si>
  <si>
    <t xml:space="preserve">Susu freshmilk greenfield x 5 karton</t>
  </si>
  <si>
    <t xml:space="preserve">JU-0977</t>
  </si>
  <si>
    <t xml:space="preserve">JU-0978</t>
  </si>
  <si>
    <t xml:space="preserve">JU-0979</t>
  </si>
  <si>
    <t xml:space="preserve">JU-0980</t>
  </si>
  <si>
    <t xml:space="preserve">Tiramisu 3 batch 12, 18, 24 Juli 24pcs</t>
  </si>
  <si>
    <t xml:space="preserve">JU-0981</t>
  </si>
  <si>
    <t xml:space="preserve">Unlock water x 13 galon nota tgl 17/7</t>
  </si>
  <si>
    <t xml:space="preserve">JU-0982</t>
  </si>
  <si>
    <t xml:space="preserve">JU-0983</t>
  </si>
  <si>
    <t xml:space="preserve">JU-0984</t>
  </si>
  <si>
    <t xml:space="preserve">Menerima pelunasan piutang Einstein tagihan Juli nota Kopi Parang</t>
  </si>
  <si>
    <t xml:space="preserve">JU-0985</t>
  </si>
  <si>
    <t xml:space="preserve">Nasi gudeg 100 box @15rb/porsi</t>
  </si>
  <si>
    <t xml:space="preserve">JU-0986</t>
  </si>
  <si>
    <t xml:space="preserve">Tagihan listrik Juli 2026</t>
  </si>
  <si>
    <t xml:space="preserve">JU-0987</t>
  </si>
  <si>
    <t xml:space="preserve">Tagihan telepon Juli 2026</t>
  </si>
  <si>
    <t xml:space="preserve">JU-0988</t>
  </si>
  <si>
    <t xml:space="preserve">Tagihan internet Juli 2026</t>
  </si>
  <si>
    <t xml:space="preserve">JU-0989</t>
  </si>
  <si>
    <t xml:space="preserve">Pembayaran pajak restoran bulan Juli</t>
  </si>
  <si>
    <t xml:space="preserve">JU-0990</t>
  </si>
  <si>
    <t xml:space="preserve">JU-0991</t>
  </si>
  <si>
    <t xml:space="preserve">JU-0992</t>
  </si>
  <si>
    <t xml:space="preserve">botol kaca kombucha 330ml x 30 pcs dg ongkir 60k</t>
  </si>
  <si>
    <t xml:space="preserve">JU-0993</t>
  </si>
  <si>
    <t xml:space="preserve">Einstein pinjam untuk beli nasi box 100 porsi (CSR Yantos &amp; Eins)</t>
  </si>
  <si>
    <t xml:space="preserve">JU-0994</t>
  </si>
  <si>
    <t xml:space="preserve">Omzet bersih bulan Juli (dari OMZET HARIAN)</t>
  </si>
  <si>
    <t xml:space="preserve">JU-0995</t>
  </si>
  <si>
    <t xml:space="preserve">Realisasi tunai omzet bulan Juli</t>
  </si>
  <si>
    <t xml:space="preserve">JU-0996</t>
  </si>
  <si>
    <t xml:space="preserve">Realisasi EDC/QRIS omzet bulan Juli</t>
  </si>
  <si>
    <t xml:space="preserve">JU-0997</t>
  </si>
  <si>
    <t xml:space="preserve">Bon karyawan bulan Juli</t>
  </si>
  <si>
    <t xml:space="preserve">JU-0998</t>
  </si>
  <si>
    <t xml:space="preserve">Compliment bulan Juli</t>
  </si>
  <si>
    <t xml:space="preserve">JU-0999</t>
  </si>
  <si>
    <t xml:space="preserve">Bill owner bulan Juli (dicatat sebagai Prive, bukan piutang)</t>
  </si>
  <si>
    <t xml:space="preserve">JU-1000</t>
  </si>
  <si>
    <t xml:space="preserve">Penyusutan peralatan bulan Juli (dari ASET TETAP)</t>
  </si>
  <si>
    <t xml:space="preserve">JU-1001</t>
  </si>
  <si>
    <t xml:space="preserve">Estimasi PBJT kurang bayar bulan Juli (lihat PAJAK)</t>
  </si>
  <si>
    <t xml:space="preserve">JU-1002</t>
  </si>
  <si>
    <t xml:space="preserve">Pindah dana ke BCA dari tunai (FM tukar uang)</t>
  </si>
  <si>
    <t xml:space="preserve">JU-1003</t>
  </si>
  <si>
    <t xml:space="preserve">JU-1004</t>
  </si>
  <si>
    <t xml:space="preserve">Pendapatan dari pax event Yoga</t>
  </si>
  <si>
    <t xml:space="preserve">JU-1005</t>
  </si>
  <si>
    <t xml:space="preserve">Pembayaran aktifasi event dari brand OPPO (event Yoga tgl 2)</t>
  </si>
  <si>
    <t xml:space="preserve">JU-1006</t>
  </si>
  <si>
    <t xml:space="preserve">Pindah dana ke BCA dari tunai (Afa tukar uang)</t>
  </si>
  <si>
    <t xml:space="preserve">JU-1007</t>
  </si>
  <si>
    <t xml:space="preserve">Pembayaran DP snack kukusan event Yoga @2k x 30pcs</t>
  </si>
  <si>
    <t xml:space="preserve">JU-1008</t>
  </si>
  <si>
    <t xml:space="preserve">JU-1009</t>
  </si>
  <si>
    <t xml:space="preserve">Pindah dana ke tunai dari kas warung (kembalian belanja)</t>
  </si>
  <si>
    <t xml:space="preserve">JU-1010</t>
  </si>
  <si>
    <t xml:space="preserve">Pindah dana ke bank dari kas warung (kembalian belanja)</t>
  </si>
  <si>
    <t xml:space="preserve">JU-1011</t>
  </si>
  <si>
    <t xml:space="preserve">Pindah dana ke kas warung dari tunai (dana darurat) refill</t>
  </si>
  <si>
    <t xml:space="preserve">JU-1012</t>
  </si>
  <si>
    <t xml:space="preserve">Kipas pendingin ruangan air cooler 15L</t>
  </si>
  <si>
    <t xml:space="preserve">JU-1013</t>
  </si>
  <si>
    <t xml:space="preserve">Es, sirup, bumbu</t>
  </si>
  <si>
    <t xml:space="preserve">JU-1014</t>
  </si>
  <si>
    <t xml:space="preserve">Pelunasan snack kukusan event Yoga @2k x 30pcs &amp; keperluan eatery</t>
  </si>
  <si>
    <t xml:space="preserve">JU-1015</t>
  </si>
  <si>
    <t xml:space="preserve">Container</t>
  </si>
  <si>
    <t xml:space="preserve">JU-1016</t>
  </si>
  <si>
    <t xml:space="preserve">Saringan, serbet, gelas takar, sapu ijuk</t>
  </si>
  <si>
    <t xml:space="preserve">JU-1017</t>
  </si>
  <si>
    <t xml:space="preserve">Bensin</t>
  </si>
  <si>
    <t xml:space="preserve">JU-1018</t>
  </si>
  <si>
    <t xml:space="preserve">Iuran sampah 3 bulan (Juli-September) &amp; parkir belanja</t>
  </si>
  <si>
    <t xml:space="preserve">JU-1019</t>
  </si>
  <si>
    <t xml:space="preserve">Koreksi</t>
  </si>
  <si>
    <t xml:space="preserve">JU-1020</t>
  </si>
  <si>
    <t xml:space="preserve">UHT Ultramilk x 20 karton</t>
  </si>
  <si>
    <t xml:space="preserve">JU-1021</t>
  </si>
  <si>
    <t xml:space="preserve">Pemasukan transaksi lewat Grab Merchant</t>
  </si>
  <si>
    <t xml:space="preserve">JU-1022</t>
  </si>
  <si>
    <t xml:space="preserve">Papercup, kresek takeaway, tictas, saola</t>
  </si>
  <si>
    <t xml:space="preserve">JU-1023</t>
  </si>
  <si>
    <t xml:space="preserve">Pindah dana koreksi saldo</t>
  </si>
  <si>
    <t xml:space="preserve">JU-1024</t>
  </si>
  <si>
    <t xml:space="preserve">koreksi saldo kas bank</t>
  </si>
  <si>
    <t xml:space="preserve">JU-1025</t>
  </si>
  <si>
    <t xml:space="preserve">koreksi saldo kas tunai</t>
  </si>
  <si>
    <t xml:space="preserve">JU-1026</t>
  </si>
  <si>
    <t xml:space="preserve">HVS dan manual book cupping kopi</t>
  </si>
  <si>
    <t xml:space="preserve">JU-1027</t>
  </si>
  <si>
    <t xml:space="preserve">Pindah dana ke BCA dari tunai</t>
  </si>
  <si>
    <t xml:space="preserve">JU-1028</t>
  </si>
  <si>
    <t xml:space="preserve">JU-1029</t>
  </si>
  <si>
    <t xml:space="preserve">Pindah dana ke BCA dari tunai (Belicia tuker)</t>
  </si>
  <si>
    <t xml:space="preserve">JU-1030</t>
  </si>
  <si>
    <t xml:space="preserve">Einstein pinjam (tuker uang, blm TF)</t>
  </si>
  <si>
    <t xml:space="preserve">JU-1031</t>
  </si>
  <si>
    <t xml:space="preserve">JU-1032</t>
  </si>
  <si>
    <t xml:space="preserve">top up nomor gopay akun spotify</t>
  </si>
  <si>
    <t xml:space="preserve">JU-1033</t>
  </si>
  <si>
    <t xml:space="preserve">Pindah dana dari Bank ke Kas Warung ( refill dana darurat, beli regulator, duplikat kunci, tuker uang kasir )</t>
  </si>
  <si>
    <t xml:space="preserve">JU-1034</t>
  </si>
  <si>
    <t xml:space="preserve">JU-1035</t>
  </si>
  <si>
    <t xml:space="preserve">Toples kaca untuk display buah dried x 6 pcs</t>
  </si>
  <si>
    <t xml:space="preserve">JU-1036</t>
  </si>
  <si>
    <t xml:space="preserve">Iuran kampung dana acara HUT &amp; doorprize</t>
  </si>
  <si>
    <t xml:space="preserve">JU-1037</t>
  </si>
  <si>
    <t xml:space="preserve">Hario immersion dripper switch 02 V60 x 3 pcs</t>
  </si>
  <si>
    <t xml:space="preserve">JU-1038</t>
  </si>
  <si>
    <t xml:space="preserve">Es, lemon</t>
  </si>
  <si>
    <t xml:space="preserve">JU-1039</t>
  </si>
  <si>
    <t xml:space="preserve">Bendera, ATK</t>
  </si>
  <si>
    <t xml:space="preserve">JU-1040</t>
  </si>
  <si>
    <t xml:space="preserve">parkir belanja</t>
  </si>
  <si>
    <t xml:space="preserve">JU-1041</t>
  </si>
  <si>
    <t xml:space="preserve">kembalian lebih </t>
  </si>
  <si>
    <t xml:space="preserve">JU-1042</t>
  </si>
  <si>
    <t xml:space="preserve">Tiramisu 2 batch 29 Juli &amp; 3 Agustus (return 3) 15 pcs</t>
  </si>
  <si>
    <t xml:space="preserve">JU-1043</t>
  </si>
  <si>
    <t xml:space="preserve">Print poster menu "baru"</t>
  </si>
  <si>
    <t xml:space="preserve">JU-1044</t>
  </si>
  <si>
    <t xml:space="preserve">Spray pengusir tikus</t>
  </si>
  <si>
    <t xml:space="preserve">JU-1045</t>
  </si>
  <si>
    <t xml:space="preserve">JU-1046</t>
  </si>
  <si>
    <t xml:space="preserve">Tiramisu 2 batch 8 &amp; 14 Agustus (return 9) 9 pcs</t>
  </si>
  <si>
    <t xml:space="preserve">JU-1047</t>
  </si>
  <si>
    <t xml:space="preserve">JU-1048</t>
  </si>
  <si>
    <t xml:space="preserve">Pindah dana ke tunai dari BCA</t>
  </si>
  <si>
    <t xml:space="preserve">JU-1049</t>
  </si>
  <si>
    <t xml:space="preserve">Cliton alat frother susu elektrik x 1 pc</t>
  </si>
  <si>
    <t xml:space="preserve">JU-1050</t>
  </si>
  <si>
    <t xml:space="preserve">Penjepit kertas untuk admin</t>
  </si>
  <si>
    <t xml:space="preserve">JU-1051</t>
  </si>
  <si>
    <t xml:space="preserve">Bayar ojek antar jemput Pak Bani, Jamaah Yasin</t>
  </si>
  <si>
    <t xml:space="preserve">JU-1052</t>
  </si>
  <si>
    <t xml:space="preserve">JU-1053</t>
  </si>
  <si>
    <t xml:space="preserve">JU-1054</t>
  </si>
  <si>
    <t xml:space="preserve">Pembayaran bill tgl 27/7</t>
  </si>
  <si>
    <t xml:space="preserve">JU-1055</t>
  </si>
  <si>
    <t xml:space="preserve">Rak kulkas wadah snacks x 3 pcs</t>
  </si>
  <si>
    <t xml:space="preserve">JU-1056</t>
  </si>
  <si>
    <t xml:space="preserve">JU-1057</t>
  </si>
  <si>
    <t xml:space="preserve">Belanja frozen food : 5 zak straight, 3 zak crinkle, 3kg champ, 3kg beef breakfast</t>
  </si>
  <si>
    <t xml:space="preserve">JU-1058</t>
  </si>
  <si>
    <t xml:space="preserve">Chasen bambu 80 prongs, nampan saji, dispenser galon elektrik</t>
  </si>
  <si>
    <t xml:space="preserve">JU-1059</t>
  </si>
  <si>
    <t xml:space="preserve">Uang saku 3 orang anak magang </t>
  </si>
  <si>
    <t xml:space="preserve">JU-1060</t>
  </si>
  <si>
    <t xml:space="preserve">JU-1061</t>
  </si>
  <si>
    <t xml:space="preserve">JU-1062</t>
  </si>
  <si>
    <t xml:space="preserve">croissant pembayaran batch 204-211 97pcs</t>
  </si>
  <si>
    <t xml:space="preserve">JU-1063</t>
  </si>
  <si>
    <t xml:space="preserve">JU-1064</t>
  </si>
  <si>
    <t xml:space="preserve">Pemasukan penjualan dried lemon 100gr </t>
  </si>
  <si>
    <t xml:space="preserve">JU-1065</t>
  </si>
  <si>
    <t xml:space="preserve">JU-1066</t>
  </si>
  <si>
    <t xml:space="preserve">COD bunga melati belanda</t>
  </si>
  <si>
    <t xml:space="preserve">JU-1067</t>
  </si>
  <si>
    <t xml:space="preserve">es batu &amp; isi ulang air galon cleo</t>
  </si>
  <si>
    <t xml:space="preserve">JU-1068</t>
  </si>
  <si>
    <t xml:space="preserve">beras, regulator gas, duplikat kunci, papan akrilik sign</t>
  </si>
  <si>
    <t xml:space="preserve">JU-1069</t>
  </si>
  <si>
    <t xml:space="preserve">bensin dan part time Lutfi 4 hari</t>
  </si>
  <si>
    <t xml:space="preserve">JU-1070</t>
  </si>
  <si>
    <t xml:space="preserve">parkir</t>
  </si>
  <si>
    <t xml:space="preserve">JU-1071</t>
  </si>
  <si>
    <t xml:space="preserve">kelebihan dari belanja</t>
  </si>
  <si>
    <t xml:space="preserve">JU-1072</t>
  </si>
  <si>
    <t xml:space="preserve">JU-1073</t>
  </si>
  <si>
    <t xml:space="preserve">JU-1074</t>
  </si>
  <si>
    <t xml:space="preserve">JU-1075</t>
  </si>
  <si>
    <t xml:space="preserve">pembulatan</t>
  </si>
  <si>
    <t xml:space="preserve">JU-1076</t>
  </si>
  <si>
    <t xml:space="preserve">JU-1077</t>
  </si>
  <si>
    <t xml:space="preserve">Buah apel 3kg, nanas 4pcs</t>
  </si>
  <si>
    <t xml:space="preserve">JU-1078</t>
  </si>
  <si>
    <t xml:space="preserve">JU-1079</t>
  </si>
  <si>
    <t xml:space="preserve">Bonus Dylan lewat Einstein blm diberikan</t>
  </si>
  <si>
    <t xml:space="preserve">JU-1080</t>
  </si>
  <si>
    <t xml:space="preserve">JU-1081</t>
  </si>
  <si>
    <t xml:space="preserve">Biaya sewa tempat bulan Agustus 2026</t>
  </si>
  <si>
    <t xml:space="preserve">JU-1082</t>
  </si>
  <si>
    <t xml:space="preserve">Refill gas 12kg x 4 tabung nota tgl 22/8/26</t>
  </si>
  <si>
    <t xml:space="preserve">JU-1083</t>
  </si>
  <si>
    <t xml:space="preserve">JU-1084</t>
  </si>
  <si>
    <t xml:space="preserve">JU-1085</t>
  </si>
  <si>
    <t xml:space="preserve">JU-1086</t>
  </si>
  <si>
    <t xml:space="preserve">JU-1087</t>
  </si>
  <si>
    <t xml:space="preserve">Pindah dana bank ke kas warung (dana belanja bulanan)</t>
  </si>
  <si>
    <t xml:space="preserve">JU-1088</t>
  </si>
  <si>
    <t xml:space="preserve">JU-1089</t>
  </si>
  <si>
    <t xml:space="preserve">Cocoa : palm sugar, millac whipping cream, dairy champ</t>
  </si>
  <si>
    <t xml:space="preserve">JU-1090</t>
  </si>
  <si>
    <t xml:space="preserve">Rak kulkas wadah snacks x 1 pc</t>
  </si>
  <si>
    <t xml:space="preserve">JU-1091</t>
  </si>
  <si>
    <t xml:space="preserve">Parama : syrup vanilla, caramel, romma, greentea 2, gula cair, peach 3</t>
  </si>
  <si>
    <t xml:space="preserve">JU-1092</t>
  </si>
  <si>
    <t xml:space="preserve">JU-1093</t>
  </si>
  <si>
    <t xml:space="preserve">JU-1094</t>
  </si>
  <si>
    <t xml:space="preserve">lomba moctail di hotel Dharmawangsa</t>
  </si>
  <si>
    <t xml:space="preserve">JU-1095</t>
  </si>
  <si>
    <t xml:space="preserve">reimburse traktir makan kru </t>
  </si>
  <si>
    <t xml:space="preserve">JU-1096</t>
  </si>
  <si>
    <t xml:space="preserve">JU-1097</t>
  </si>
  <si>
    <t xml:space="preserve">JU-1098</t>
  </si>
  <si>
    <t xml:space="preserve">Takeaway cup+lid  12oz x 2000 INV 22/7/26</t>
  </si>
  <si>
    <t xml:space="preserve">JU-1099</t>
  </si>
  <si>
    <t xml:space="preserve">Takeaway cup+lid  12oz x 2000 INV 8/8/26</t>
  </si>
  <si>
    <t xml:space="preserve">JU-1100</t>
  </si>
  <si>
    <t xml:space="preserve">Nasi ingkung Yasinan 650k bagi 2 dengan Bu Munir</t>
  </si>
  <si>
    <t xml:space="preserve">JU-1101</t>
  </si>
  <si>
    <t xml:space="preserve">Alas anti slip x 5 pcs</t>
  </si>
  <si>
    <t xml:space="preserve">JU-1102</t>
  </si>
  <si>
    <t xml:space="preserve">JU-1103</t>
  </si>
  <si>
    <t xml:space="preserve">JU-1104</t>
  </si>
  <si>
    <t xml:space="preserve">JU-1105</t>
  </si>
  <si>
    <t xml:space="preserve">JU-1106</t>
  </si>
  <si>
    <t xml:space="preserve">Pindah dana bank ke kas warung (tambahan belanja)</t>
  </si>
  <si>
    <t xml:space="preserve">JU-1107</t>
  </si>
  <si>
    <t xml:space="preserve">JU-1108</t>
  </si>
  <si>
    <t xml:space="preserve">DP sewa booth tenant di SCP</t>
  </si>
  <si>
    <t xml:space="preserve">JU-1109</t>
  </si>
  <si>
    <t xml:space="preserve">Bachtiar menukar selisih kasir tgl 21 dg potong gaji</t>
  </si>
  <si>
    <t xml:space="preserve">JU-1110</t>
  </si>
  <si>
    <t xml:space="preserve">JU-1111</t>
  </si>
  <si>
    <t xml:space="preserve">Menerima pelunasan piutang Einstein tagihan nota Agustus 1-27, pinjam uang, nota hadiah tgl 27/7 Kopi Parang</t>
  </si>
  <si>
    <t xml:space="preserve">JU-1112</t>
  </si>
  <si>
    <t xml:space="preserve">Buah : naga 2kg, strawberry 5kg, sunkist 3kg</t>
  </si>
  <si>
    <t xml:space="preserve">JU-1113</t>
  </si>
  <si>
    <t xml:space="preserve">JU-1114</t>
  </si>
  <si>
    <t xml:space="preserve">Einstein pinjam uang</t>
  </si>
  <si>
    <t xml:space="preserve">JU-1115</t>
  </si>
  <si>
    <t xml:space="preserve">JU-1116</t>
  </si>
  <si>
    <t xml:space="preserve">JU-1117</t>
  </si>
  <si>
    <t xml:space="preserve">JU-1118</t>
  </si>
  <si>
    <t xml:space="preserve">Tagihan listrik Agustus 2026</t>
  </si>
  <si>
    <t xml:space="preserve">JU-1119</t>
  </si>
  <si>
    <t xml:space="preserve">Pembayaran pajak restoran bulan Agustus</t>
  </si>
  <si>
    <t xml:space="preserve">JU-1120</t>
  </si>
  <si>
    <t xml:space="preserve">JU-1121</t>
  </si>
  <si>
    <t xml:space="preserve">Tagihan internet Agustus 2026</t>
  </si>
  <si>
    <t xml:space="preserve">JU-1122</t>
  </si>
  <si>
    <t xml:space="preserve">Tagihan telepon Agustus 2026</t>
  </si>
  <si>
    <t xml:space="preserve">JU-1123</t>
  </si>
  <si>
    <t xml:space="preserve">Omzet bersih bulan Agustus (dari OMZET HARIAN)</t>
  </si>
  <si>
    <t xml:space="preserve">JU-1124</t>
  </si>
  <si>
    <t xml:space="preserve">Realisasi tunai omzet bulan Agustus</t>
  </si>
  <si>
    <t xml:space="preserve">JU-1125</t>
  </si>
  <si>
    <t xml:space="preserve">Realisasi EDC/QRIS omzet bulan Agustus</t>
  </si>
  <si>
    <t xml:space="preserve">JU-1126</t>
  </si>
  <si>
    <t xml:space="preserve">Bon karyawan bulan Agustus</t>
  </si>
  <si>
    <t xml:space="preserve">JU-1127</t>
  </si>
  <si>
    <t xml:space="preserve">Compliment bulan Agustus</t>
  </si>
  <si>
    <t xml:space="preserve">JU-1128</t>
  </si>
  <si>
    <t xml:space="preserve">Bill owner bulan Agustus (dicatat sebagai Prive, bukan piutang)</t>
  </si>
  <si>
    <t xml:space="preserve">JU-1129</t>
  </si>
  <si>
    <t xml:space="preserve">Penyusutan peralatan bulan Agustus (dari ASET TETAP)</t>
  </si>
  <si>
    <t xml:space="preserve">JU-1130</t>
  </si>
  <si>
    <t xml:space="preserve">Estimasi PBJT kurang bayar bulan Agustus (lihat PAJAK)</t>
  </si>
  <si>
    <t xml:space="preserve">JU-1131</t>
  </si>
  <si>
    <t xml:space="preserve">JU-1132</t>
  </si>
  <si>
    <t xml:space="preserve">Belanja frozen food : 3 zak straight, 4 zak crinkle, 4kg champ, 5kg beef breakfast</t>
  </si>
  <si>
    <t xml:space="preserve">JU-1133</t>
  </si>
  <si>
    <t xml:space="preserve">Pindah dana ke tunai dari BCA (Afa tukar)</t>
  </si>
  <si>
    <t xml:space="preserve">JU-1134</t>
  </si>
  <si>
    <t xml:space="preserve">JU-1135</t>
  </si>
  <si>
    <t xml:space="preserve">Pelunasan sewa booth tenant di SCP</t>
  </si>
  <si>
    <t xml:space="preserve">JU-1136</t>
  </si>
  <si>
    <t xml:space="preserve">Dosing cup portafilter 58mm x 1 pc</t>
  </si>
  <si>
    <t xml:space="preserve">JU-1137</t>
  </si>
  <si>
    <t xml:space="preserve">Sendok daun silver x 12 pcs</t>
  </si>
  <si>
    <t xml:space="preserve">JU-1138</t>
  </si>
  <si>
    <t xml:space="preserve">Air freshener x 4 pcs</t>
  </si>
  <si>
    <t xml:space="preserve">JU-1139</t>
  </si>
  <si>
    <t xml:space="preserve">Kemeja nolan dark grey uk. xl x 1 pc</t>
  </si>
  <si>
    <t xml:space="preserve">JU-1140</t>
  </si>
  <si>
    <t xml:space="preserve">Sendok kopi rose gold x 24 pcs</t>
  </si>
  <si>
    <t xml:space="preserve">JU-1141</t>
  </si>
  <si>
    <t xml:space="preserve">Timbangan kopi kapastitas 3kg x 3 unit</t>
  </si>
  <si>
    <t xml:space="preserve">JU-1142</t>
  </si>
  <si>
    <t xml:space="preserve">Kakagear raptor 350ml x 1</t>
  </si>
  <si>
    <t xml:space="preserve">JU-1143</t>
  </si>
  <si>
    <t xml:space="preserve">JU-1144</t>
  </si>
  <si>
    <t xml:space="preserve">Einstein pinjam untuk bayar COD tgl 21/8</t>
  </si>
  <si>
    <t xml:space="preserve">JU-1145</t>
  </si>
  <si>
    <t xml:space="preserve">es batu, sirup, teh, susu, juice, mayo, gula halus</t>
  </si>
  <si>
    <t xml:space="preserve">JU-1146</t>
  </si>
  <si>
    <t xml:space="preserve">atk, alat kebersihan, spare part, p3k</t>
  </si>
  <si>
    <t xml:space="preserve">JU-1147</t>
  </si>
  <si>
    <t xml:space="preserve">konsumsi GC, bensin dan part time Hakim GC</t>
  </si>
  <si>
    <t xml:space="preserve">JU-1148</t>
  </si>
  <si>
    <t xml:space="preserve">parkir &amp; pengamen</t>
  </si>
  <si>
    <t xml:space="preserve">JU-1149</t>
  </si>
  <si>
    <t xml:space="preserve">JU-1150</t>
  </si>
  <si>
    <t xml:space="preserve">Membayar biaya part time x5 hari Sdr. Lutfi (tgl 25,26,27,1,2)</t>
  </si>
  <si>
    <t xml:space="preserve">JU-1151</t>
  </si>
  <si>
    <t xml:space="preserve">JU-1152</t>
  </si>
  <si>
    <t xml:space="preserve">JU-1153</t>
  </si>
  <si>
    <t xml:space="preserve">JU-1154</t>
  </si>
  <si>
    <t xml:space="preserve">Sablon rompi vest 3 pcs</t>
  </si>
  <si>
    <t xml:space="preserve">JU-1155</t>
  </si>
  <si>
    <t xml:space="preserve">Clover klin : soume premium SCP 5L x 2pcs &amp; pembersih kaca 5L x 1</t>
  </si>
  <si>
    <t xml:space="preserve">JU-1156</t>
  </si>
  <si>
    <t xml:space="preserve">Pindah dana ke BCA dari tunai (setor)</t>
  </si>
  <si>
    <t xml:space="preserve">JU-1157</t>
  </si>
  <si>
    <t xml:space="preserve">Belanja churros x 300 pcs dan ongkir</t>
  </si>
  <si>
    <t xml:space="preserve">JU-1158</t>
  </si>
  <si>
    <t xml:space="preserve">JU-1159</t>
  </si>
  <si>
    <t xml:space="preserve">Sembako x 13 dan ongkir </t>
  </si>
  <si>
    <t xml:space="preserve">JU-1160</t>
  </si>
  <si>
    <t xml:space="preserve">Yantos pinjam untuk bayar print stiker</t>
  </si>
  <si>
    <t xml:space="preserve">JU-1161</t>
  </si>
  <si>
    <t xml:space="preserve">Print cetak menu 2 x (di Gajah terkendala cutting, jadi diulang di Natural)</t>
  </si>
  <si>
    <t xml:space="preserve">JU-1162</t>
  </si>
  <si>
    <t xml:space="preserve">Pindah dana bank ke kas warung (tambahan dana darurat untuk belanja)</t>
  </si>
  <si>
    <t xml:space="preserve">JU-1163</t>
  </si>
  <si>
    <t xml:space="preserve">JU-1164</t>
  </si>
  <si>
    <t xml:space="preserve">INV-20260827-0242 tissue facial 1 dus 40 pack</t>
  </si>
  <si>
    <t xml:space="preserve">JU-1165</t>
  </si>
  <si>
    <t xml:space="preserve">UHT Ultramilk x 17 karton</t>
  </si>
  <si>
    <t xml:space="preserve">JU-1166</t>
  </si>
  <si>
    <t xml:space="preserve">croissant pembayaran batch 212-219 96pcs</t>
  </si>
  <si>
    <t xml:space="preserve">JU-1167</t>
  </si>
  <si>
    <t xml:space="preserve">JU-1168</t>
  </si>
  <si>
    <t xml:space="preserve">JU-1169</t>
  </si>
  <si>
    <t xml:space="preserve">JU-1170</t>
  </si>
  <si>
    <t xml:space="preserve">ubi mochi ori 12 x 18, fried tape singkong cinnamon 6 x 22</t>
  </si>
  <si>
    <t xml:space="preserve">JU-1171</t>
  </si>
  <si>
    <t xml:space="preserve">ubi mochi mozza 3 x 22, fried tape singkong cinnamon 6 x 4</t>
  </si>
  <si>
    <t xml:space="preserve">JU-1172</t>
  </si>
  <si>
    <t xml:space="preserve">es batu, susu, yogurt, dairy, buah</t>
  </si>
  <si>
    <t xml:space="preserve">JU-1173</t>
  </si>
  <si>
    <t xml:space="preserve">paper cup, isolasi, plastik cetik</t>
  </si>
  <si>
    <t xml:space="preserve">JU-1174</t>
  </si>
  <si>
    <t xml:space="preserve">JU-1175</t>
  </si>
  <si>
    <t xml:space="preserve">JU-1176</t>
  </si>
  <si>
    <t xml:space="preserve">JU-1177</t>
  </si>
  <si>
    <t xml:space="preserve">kembalian belanja</t>
  </si>
  <si>
    <t xml:space="preserve">JU-1178</t>
  </si>
  <si>
    <t xml:space="preserve">JU-1179</t>
  </si>
  <si>
    <t xml:space="preserve">JU-1180</t>
  </si>
  <si>
    <t xml:space="preserve">JU-1181</t>
  </si>
  <si>
    <t xml:space="preserve">JU-1182</t>
  </si>
  <si>
    <t xml:space="preserve">JU-1183</t>
  </si>
  <si>
    <t xml:space="preserve">Belanja oatside x 1 karton</t>
  </si>
  <si>
    <t xml:space="preserve">JU-1184</t>
  </si>
  <si>
    <t xml:space="preserve">Print poster menu event dan keperluan booth lainnya</t>
  </si>
  <si>
    <t xml:space="preserve">JU-1185</t>
  </si>
  <si>
    <t xml:space="preserve">JU-1186</t>
  </si>
  <si>
    <t xml:space="preserve">JU-1187</t>
  </si>
  <si>
    <t xml:space="preserve">Penjualan booth tgl 12 Sept.</t>
  </si>
  <si>
    <t xml:space="preserve">JU-1188</t>
  </si>
  <si>
    <t xml:space="preserve">JU-1189</t>
  </si>
  <si>
    <t xml:space="preserve">Yantos pinjam</t>
  </si>
  <si>
    <t xml:space="preserve">JU-1190</t>
  </si>
  <si>
    <t xml:space="preserve">JU-1191</t>
  </si>
  <si>
    <t xml:space="preserve">Pindah dana bank ke kas warung (tambahan dana darurat untuk belanja / reimburse)</t>
  </si>
  <si>
    <t xml:space="preserve">JU-1192</t>
  </si>
  <si>
    <t xml:space="preserve">Pindah dana ke kas warung dari tunai (dana darurat / reimburse)</t>
  </si>
  <si>
    <t xml:space="preserve">JU-1193</t>
  </si>
  <si>
    <t xml:space="preserve">JU-1194</t>
  </si>
  <si>
    <t xml:space="preserve">JU-1195</t>
  </si>
  <si>
    <t xml:space="preserve">JU-1196</t>
  </si>
  <si>
    <t xml:space="preserve">Pemasukan dari diskon belanja sembako (kembalian)</t>
  </si>
  <si>
    <t xml:space="preserve">JU-1197</t>
  </si>
  <si>
    <t xml:space="preserve">Menukar biaya pasang spion. Spion motor pecah kena mangga pohon Kopi Parang</t>
  </si>
  <si>
    <t xml:space="preserve">JU-1198</t>
  </si>
  <si>
    <t xml:space="preserve">Payment sewa venue by Artefac</t>
  </si>
  <si>
    <t xml:space="preserve">JU-1199</t>
  </si>
  <si>
    <t xml:space="preserve">Tiramisu 2 batch 20 &amp; 29 Agustus (return 10) terjual 8 pcs</t>
  </si>
  <si>
    <t xml:space="preserve">JU-1200</t>
  </si>
  <si>
    <t xml:space="preserve">es kristal, cleo galon, madu, minyak, susu</t>
  </si>
  <si>
    <t xml:space="preserve">JU-1201</t>
  </si>
  <si>
    <t xml:space="preserve">kresek sampah</t>
  </si>
  <si>
    <t xml:space="preserve">JU-1202</t>
  </si>
  <si>
    <t xml:space="preserve">bensin</t>
  </si>
  <si>
    <t xml:space="preserve">JU-1203</t>
  </si>
  <si>
    <t xml:space="preserve">parkir, pengamen</t>
  </si>
  <si>
    <t xml:space="preserve">JU-1204</t>
  </si>
  <si>
    <t xml:space="preserve">sterofoam, sekop, id card, makan, </t>
  </si>
  <si>
    <t xml:space="preserve">JU-1205</t>
  </si>
  <si>
    <t xml:space="preserve">Tambah daya 5400Watt untuk 3 hari di booth SCP</t>
  </si>
  <si>
    <t xml:space="preserve">JU-1206</t>
  </si>
  <si>
    <t xml:space="preserve">Takeaway cup+lid  12oz x 2000 INV 1/9/26</t>
  </si>
  <si>
    <t xml:space="preserve">JU-1207</t>
  </si>
  <si>
    <t xml:space="preserve">Takeaway cup+lid  12oz x 2000 INV 10/9/26</t>
  </si>
  <si>
    <t xml:space="preserve">JU-1208</t>
  </si>
  <si>
    <t xml:space="preserve">Gelas kopi server kaca dan lid 400ml x 2</t>
  </si>
  <si>
    <t xml:space="preserve">JU-1209</t>
  </si>
  <si>
    <t xml:space="preserve">JU-1210</t>
  </si>
  <si>
    <t xml:space="preserve">JU-1211</t>
  </si>
  <si>
    <t xml:space="preserve">JU-1212</t>
  </si>
  <si>
    <t xml:space="preserve">Pindah dana tunai ke kas warung (tambahan dana untuk belanja)</t>
  </si>
  <si>
    <t xml:space="preserve">JU-1213</t>
  </si>
  <si>
    <t xml:space="preserve">JU-1214</t>
  </si>
  <si>
    <t xml:space="preserve">Tofico : 2 greentea, 1 matcha pr, 1 blue curacao, oarside 1 karton</t>
  </si>
  <si>
    <t xml:space="preserve">JU-1215</t>
  </si>
  <si>
    <t xml:space="preserve">hario paper filter v60 x 4</t>
  </si>
  <si>
    <t xml:space="preserve">JU-1216</t>
  </si>
  <si>
    <t xml:space="preserve">baling-baling kipas panasonic 16" x 2 pcs</t>
  </si>
  <si>
    <t xml:space="preserve">JU-1217</t>
  </si>
  <si>
    <t xml:space="preserve">biaya top up gopay bayar baling kipas</t>
  </si>
  <si>
    <t xml:space="preserve">JU-1218</t>
  </si>
  <si>
    <t xml:space="preserve">Pindah dana dari bank ke tunai</t>
  </si>
  <si>
    <t xml:space="preserve">JU-1219</t>
  </si>
  <si>
    <t xml:space="preserve">JU-1220</t>
  </si>
  <si>
    <t xml:space="preserve">Pindah dana bank ke kas warung (tambahan dana untuk belanja)</t>
  </si>
  <si>
    <t xml:space="preserve">JU-1221</t>
  </si>
  <si>
    <t xml:space="preserve">JU-1222</t>
  </si>
  <si>
    <t xml:space="preserve">JU-1223</t>
  </si>
  <si>
    <t xml:space="preserve">es kristal, minyak, susu, lemon, simple syrup</t>
  </si>
  <si>
    <t xml:space="preserve">JU-1224</t>
  </si>
  <si>
    <t xml:space="preserve">botol saus</t>
  </si>
  <si>
    <t xml:space="preserve">JU-1225</t>
  </si>
  <si>
    <t xml:space="preserve">bensin, part time</t>
  </si>
  <si>
    <t xml:space="preserve">JU-1226</t>
  </si>
  <si>
    <t xml:space="preserve">parkir, tambal ban</t>
  </si>
  <si>
    <t xml:space="preserve">JU-1227</t>
  </si>
  <si>
    <t xml:space="preserve">JU-1228</t>
  </si>
  <si>
    <t xml:space="preserve">JU-1229</t>
  </si>
  <si>
    <t xml:space="preserve">susu, teh, sirup, palm sugar, buah, coklat, cream</t>
  </si>
  <si>
    <t xml:space="preserve">JU-1230</t>
  </si>
  <si>
    <t xml:space="preserve">paperbowl, botol bulat</t>
  </si>
  <si>
    <t xml:space="preserve">JU-1231</t>
  </si>
  <si>
    <t xml:space="preserve">lap microfiber, sprayer</t>
  </si>
  <si>
    <t xml:space="preserve">JU-1232</t>
  </si>
  <si>
    <t xml:space="preserve">JU-1233</t>
  </si>
  <si>
    <t xml:space="preserve">JU-1234</t>
  </si>
  <si>
    <t xml:space="preserve">JU-1235</t>
  </si>
  <si>
    <t xml:space="preserve">Facial tissue 1 dus isi 40 pack INV-20260919-0053</t>
  </si>
  <si>
    <t xml:space="preserve">JU-1236</t>
  </si>
  <si>
    <t xml:space="preserve">Savis tea earl grey 500gr INV DFT 98223</t>
  </si>
  <si>
    <t xml:space="preserve">JU-1237</t>
  </si>
  <si>
    <t xml:space="preserve">freshmilk milklife x 5 karton</t>
  </si>
  <si>
    <t xml:space="preserve">JU-1238</t>
  </si>
  <si>
    <t xml:space="preserve">JU-1239</t>
  </si>
  <si>
    <t xml:space="preserve">Hutang bayar alat mesin grinder kopi</t>
  </si>
  <si>
    <t xml:space="preserve">JU-1240</t>
  </si>
  <si>
    <t xml:space="preserve">cicilan 1-12 Mesin kopi grinder</t>
  </si>
  <si>
    <t xml:space="preserve">JU-1241</t>
  </si>
  <si>
    <t xml:space="preserve">Yantos membayar hutang</t>
  </si>
  <si>
    <t xml:space="preserve">JU-1242</t>
  </si>
  <si>
    <t xml:space="preserve">Bayar servis cuci AC x 3 unit</t>
  </si>
  <si>
    <t xml:space="preserve">JU-1243</t>
  </si>
  <si>
    <t xml:space="preserve">INV-04.KP ubi mini ori 12 x 30, ubi mochi mozza 3 x 20, fried tape singkong cinnamon 6 x 20</t>
  </si>
  <si>
    <t xml:space="preserve">JU-1244</t>
  </si>
  <si>
    <t xml:space="preserve">lampu hias dinding warna putih dan bohlam x 2</t>
  </si>
  <si>
    <t xml:space="preserve">JU-1245</t>
  </si>
  <si>
    <t xml:space="preserve">StirUp syrup sirup pistachio x 2</t>
  </si>
  <si>
    <t xml:space="preserve">JU-1246</t>
  </si>
  <si>
    <t xml:space="preserve">JU-1247</t>
  </si>
  <si>
    <t xml:space="preserve">JU-1248</t>
  </si>
  <si>
    <t xml:space="preserve">JU-1249</t>
  </si>
  <si>
    <t xml:space="preserve">Rak besi susun adjustable </t>
  </si>
  <si>
    <t xml:space="preserve">JU-1250</t>
  </si>
  <si>
    <t xml:space="preserve">JU-1251</t>
  </si>
  <si>
    <t xml:space="preserve">Alat &amp; bahan membuat apron untuk event tgl 1-3</t>
  </si>
  <si>
    <t xml:space="preserve">JU-1252</t>
  </si>
  <si>
    <t xml:space="preserve">JU-1253</t>
  </si>
  <si>
    <t xml:space="preserve">lampu hias dinding warna putih dan bohlam x 2 (re-purchase ke 2)</t>
  </si>
  <si>
    <t xml:space="preserve">JU-1254</t>
  </si>
  <si>
    <t xml:space="preserve">silicone matt pad Rock</t>
  </si>
  <si>
    <t xml:space="preserve">JU-1255</t>
  </si>
  <si>
    <t xml:space="preserve">Belanja frozen food nota 28/9 : 3 zak straight, 2 zak crinkle, 2kg champ, 4kg beef breakfast</t>
  </si>
  <si>
    <t xml:space="preserve">JU-1256</t>
  </si>
  <si>
    <t xml:space="preserve">Part Time Lutfi 3 hari</t>
  </si>
  <si>
    <t xml:space="preserve">JU-1257</t>
  </si>
  <si>
    <t xml:space="preserve">JU-1258</t>
  </si>
  <si>
    <t xml:space="preserve">JU-1259</t>
  </si>
  <si>
    <t xml:space="preserve">es kristal, galon</t>
  </si>
  <si>
    <t xml:space="preserve">JU-1260</t>
  </si>
  <si>
    <t xml:space="preserve">paper cup putih</t>
  </si>
  <si>
    <t xml:space="preserve">JU-1261</t>
  </si>
  <si>
    <t xml:space="preserve">JU-1262</t>
  </si>
  <si>
    <t xml:space="preserve">Biaya sewa tempat bulan September 2026</t>
  </si>
  <si>
    <t xml:space="preserve">JU-1263</t>
  </si>
  <si>
    <t xml:space="preserve">Tiramisu 2 batch 6 &amp; 15 September terjual 18 pcs</t>
  </si>
  <si>
    <t xml:space="preserve">JU-1264</t>
  </si>
  <si>
    <t xml:space="preserve">JU-1265</t>
  </si>
  <si>
    <t xml:space="preserve">JU-1266</t>
  </si>
  <si>
    <t xml:space="preserve">JU-1267</t>
  </si>
  <si>
    <t xml:space="preserve">Fee event Tudju Yoga untuk Mas Haqi</t>
  </si>
  <si>
    <t xml:space="preserve">JU-1268</t>
  </si>
  <si>
    <t xml:space="preserve">Fee event Arterun untuk Mas Haqi </t>
  </si>
  <si>
    <t xml:space="preserve">JU-1269</t>
  </si>
  <si>
    <t xml:space="preserve">JU-1270</t>
  </si>
  <si>
    <t xml:space="preserve">Menerima pelunasan piutang Einstein tagihan nota Agustus 28 - September 27</t>
  </si>
  <si>
    <t xml:space="preserve">JU-1271</t>
  </si>
  <si>
    <t xml:space="preserve">Menerima pelunasan piutang Einstein pinjam uang tgl 30/8 &amp; bayar COD tgl 21/8</t>
  </si>
  <si>
    <t xml:space="preserve">JU-1272</t>
  </si>
  <si>
    <t xml:space="preserve">Menerima pelunasan piutang Yantos pinjam CSR 100 porsi &amp; bayar print stiker tgl 5/9 </t>
  </si>
  <si>
    <t xml:space="preserve">JU-1273</t>
  </si>
  <si>
    <t xml:space="preserve">sewa mesin jahit 6 jam membuat apron</t>
  </si>
  <si>
    <t xml:space="preserve">JU-1274</t>
  </si>
  <si>
    <t xml:space="preserve">Pindah dana ke tunai dari BCA (salary Pak Dodo yg dibayar tunai)</t>
  </si>
  <si>
    <t xml:space="preserve">JU-1275</t>
  </si>
  <si>
    <t xml:space="preserve">Simple syrup 5L x 2</t>
  </si>
  <si>
    <t xml:space="preserve">JU-1276</t>
  </si>
  <si>
    <t xml:space="preserve">Cup holder x 1 untuk event tgl 1 Okt</t>
  </si>
  <si>
    <t xml:space="preserve">JU-1277</t>
  </si>
  <si>
    <t xml:space="preserve">JU-1278</t>
  </si>
  <si>
    <t xml:space="preserve">Pindah dana ke BCA dari tunai (Afa tukar)</t>
  </si>
  <si>
    <t xml:space="preserve">JU-1279</t>
  </si>
  <si>
    <t xml:space="preserve">JU-1280</t>
  </si>
  <si>
    <t xml:space="preserve">uang makan lembur tgl 29/9</t>
  </si>
  <si>
    <t xml:space="preserve">JU-1281</t>
  </si>
  <si>
    <t xml:space="preserve">Tagihan listrik September 2026</t>
  </si>
  <si>
    <t xml:space="preserve">JU-1282</t>
  </si>
  <si>
    <t xml:space="preserve">Tagihan internet September 2026</t>
  </si>
  <si>
    <t xml:space="preserve">JU-1283</t>
  </si>
  <si>
    <t xml:space="preserve">Tagihan telepon September 2026</t>
  </si>
  <si>
    <t xml:space="preserve">JU-1284</t>
  </si>
  <si>
    <t xml:space="preserve">JU-1285</t>
  </si>
  <si>
    <t xml:space="preserve">JU-1286</t>
  </si>
  <si>
    <t xml:space="preserve">Pembayaran pajak restoran bulan September</t>
  </si>
  <si>
    <t xml:space="preserve">JU-1287</t>
  </si>
  <si>
    <t xml:space="preserve">JU-1288</t>
  </si>
  <si>
    <t xml:space="preserve">Omzet bersih bulan September (dari OMZET HARIAN)</t>
  </si>
  <si>
    <t xml:space="preserve">JU-1289</t>
  </si>
  <si>
    <t xml:space="preserve">Realisasi tunai omzet bulan September</t>
  </si>
  <si>
    <t xml:space="preserve">JU-1290</t>
  </si>
  <si>
    <t xml:space="preserve">Realisasi EDC/QRIS omzet bulan September</t>
  </si>
  <si>
    <t xml:space="preserve">JU-1291</t>
  </si>
  <si>
    <t xml:space="preserve">Bon karyawan bulan September</t>
  </si>
  <si>
    <t xml:space="preserve">JU-1292</t>
  </si>
  <si>
    <t xml:space="preserve">Compliment bulan September</t>
  </si>
  <si>
    <t xml:space="preserve">JU-1293</t>
  </si>
  <si>
    <t xml:space="preserve">Bill owner bulan September (dicatat sebagai Prive, bukan piutang)</t>
  </si>
  <si>
    <t xml:space="preserve">JU-1294</t>
  </si>
  <si>
    <t xml:space="preserve">Penyusutan peralatan bulan September (dari ASET TETAP)</t>
  </si>
  <si>
    <t xml:space="preserve">JU-1295</t>
  </si>
  <si>
    <t xml:space="preserve">Estimasi PBJT kurang bayar bulan September (lihat PAJAK)</t>
  </si>
  <si>
    <t xml:space="preserve">JU-1296</t>
  </si>
  <si>
    <t xml:space="preserve">biji kopi Yantos seasonal 2,820g INV/2026/9/32</t>
  </si>
  <si>
    <t xml:space="preserve">JU-1297</t>
  </si>
  <si>
    <t xml:space="preserve">biji kopi Yantos kopsu 12kg INV/2026/9/29</t>
  </si>
  <si>
    <t xml:space="preserve">JU-1298</t>
  </si>
  <si>
    <t xml:space="preserve">JU-1299</t>
  </si>
  <si>
    <t xml:space="preserve">JU-1300</t>
  </si>
  <si>
    <t xml:space="preserve">printer bluetooth acara SCP di Sriwedari</t>
  </si>
  <si>
    <t xml:space="preserve">JU-1301</t>
  </si>
  <si>
    <t xml:space="preserve">300pcs churros dan ongkir</t>
  </si>
  <si>
    <t xml:space="preserve">JU-1302</t>
  </si>
  <si>
    <t xml:space="preserve">Nasi Ayam goreng 15 porsi &amp; bakar 15 porsi. Jamaah Yasin di Kopi Parang</t>
  </si>
  <si>
    <t xml:space="preserve">JU-1303</t>
  </si>
  <si>
    <t xml:space="preserve">JU-1304</t>
  </si>
  <si>
    <t xml:space="preserve">Biaya transportasi mobil jamaah Yasin dari Ponggok</t>
  </si>
  <si>
    <t xml:space="preserve">JU-1305</t>
  </si>
  <si>
    <t xml:space="preserve">Obat kamar mandi x 2</t>
  </si>
  <si>
    <t xml:space="preserve">JU-1306</t>
  </si>
  <si>
    <t xml:space="preserve">Pindah dana ke Bank dari tunai (FM tukar uang)</t>
  </si>
  <si>
    <t xml:space="preserve">JU-1307</t>
  </si>
  <si>
    <t xml:space="preserve">JU-1308</t>
  </si>
  <si>
    <t xml:space="preserve">JJ Latte art 30ml x 1 btl</t>
  </si>
  <si>
    <t xml:space="preserve">JU-1309</t>
  </si>
  <si>
    <t xml:space="preserve">JU-1310</t>
  </si>
  <si>
    <t xml:space="preserve">JU-1311</t>
  </si>
  <si>
    <t xml:space="preserve">nota service AC 19/9 bongkar, pasang 2pk, isi freon full</t>
  </si>
  <si>
    <t xml:space="preserve">JU-1312</t>
  </si>
  <si>
    <t xml:space="preserve">JU-1313</t>
  </si>
  <si>
    <t xml:space="preserve">JU-1314</t>
  </si>
  <si>
    <t xml:space="preserve">JU-1315</t>
  </si>
  <si>
    <t xml:space="preserve">Biaya transfer bank, flip sedang trouble</t>
  </si>
  <si>
    <t xml:space="preserve">JU-1316</t>
  </si>
  <si>
    <t xml:space="preserve">Biaya ongkos kirim pengembalian sewa mesin Bezzera B2016 ke Jepara</t>
  </si>
  <si>
    <t xml:space="preserve">JU-1317</t>
  </si>
  <si>
    <t xml:space="preserve">Sewa mesin Bezzera B2016 3 hari</t>
  </si>
  <si>
    <t xml:space="preserve">JU-1318</t>
  </si>
  <si>
    <t xml:space="preserve">es kristal, lemon</t>
  </si>
  <si>
    <t xml:space="preserve">JU-1319</t>
  </si>
  <si>
    <t xml:space="preserve">bensin, sabun cuci</t>
  </si>
  <si>
    <t xml:space="preserve">JU-1320</t>
  </si>
  <si>
    <t xml:space="preserve">Es batu, dispenser cup, papercup, thinwall, dobletape, jatah makan, rokok, es teh</t>
  </si>
  <si>
    <t xml:space="preserve">JU-1321</t>
  </si>
  <si>
    <t xml:space="preserve">Pemasukan tunai event SCP</t>
  </si>
  <si>
    <t xml:space="preserve">JU-1322</t>
  </si>
  <si>
    <t xml:space="preserve">JU-1323</t>
  </si>
  <si>
    <t xml:space="preserve">Pindah dana ke tunai dari Bank (Afa tukar)</t>
  </si>
  <si>
    <t xml:space="preserve">JU-1324</t>
  </si>
  <si>
    <t xml:space="preserve">Pindah dana ke kas warung dari tunai (dana belanja. PJ Alif)</t>
  </si>
  <si>
    <t xml:space="preserve">JU-1325</t>
  </si>
  <si>
    <t xml:space="preserve">JU-1326</t>
  </si>
  <si>
    <t xml:space="preserve">Pemasukan transfer event SCP</t>
  </si>
  <si>
    <t xml:space="preserve">JU-1327</t>
  </si>
  <si>
    <t xml:space="preserve">Jasa Fotografer Event SCP</t>
  </si>
  <si>
    <t xml:space="preserve">JU-1328</t>
  </si>
  <si>
    <t xml:space="preserve">JU-1329</t>
  </si>
  <si>
    <t xml:space="preserve">JU-1330</t>
  </si>
  <si>
    <t xml:space="preserve">JU-1331</t>
  </si>
  <si>
    <t xml:space="preserve">biji kopi Yantos INV/2026/9/35,36,37</t>
  </si>
  <si>
    <t xml:space="preserve">JU-1332</t>
  </si>
  <si>
    <t xml:space="preserve">JU-1333</t>
  </si>
  <si>
    <t xml:space="preserve">bahan apron, parutan keju untuk lemon zest</t>
  </si>
  <si>
    <t xml:space="preserve">JU-1334</t>
  </si>
  <si>
    <t xml:space="preserve">Omzet bersih bulan Oktober (dari OMZET HARIAN)</t>
  </si>
  <si>
    <t xml:space="preserve">JU-1335</t>
  </si>
  <si>
    <t xml:space="preserve">Realisasi tunai omzet bulan Oktober</t>
  </si>
  <si>
    <t xml:space="preserve">JU-1336</t>
  </si>
  <si>
    <t xml:space="preserve">Realisasi EDC/QRIS omzet bulan Oktober</t>
  </si>
  <si>
    <t xml:space="preserve">JU-1337</t>
  </si>
  <si>
    <t xml:space="preserve">Bon karyawan bulan Oktober</t>
  </si>
  <si>
    <t xml:space="preserve">JU-1338</t>
  </si>
  <si>
    <t xml:space="preserve">Compliment bulan Oktober</t>
  </si>
  <si>
    <t xml:space="preserve">JU-1339</t>
  </si>
  <si>
    <t xml:space="preserve">Bill owner bulan Oktober (dicatat sebagai Prive, bukan piutang)</t>
  </si>
  <si>
    <t xml:space="preserve">JU-1340</t>
  </si>
  <si>
    <t xml:space="preserve">Penyusutan peralatan bulan Oktober (dari ASET TETAP)</t>
  </si>
  <si>
    <t xml:space="preserve">JU-1341</t>
  </si>
  <si>
    <t xml:space="preserve">Estimasi PBJT kurang bayar bulan Oktober (lihat PAJAK)</t>
  </si>
  <si>
    <t xml:space="preserve">JU-1342</t>
  </si>
  <si>
    <t xml:space="preserve">Omzet bersih bulan November (dari OMZET HARIAN)</t>
  </si>
  <si>
    <t xml:space="preserve">JU-1343</t>
  </si>
  <si>
    <t xml:space="preserve">Realisasi tunai omzet bulan November</t>
  </si>
  <si>
    <t xml:space="preserve">JU-1344</t>
  </si>
  <si>
    <t xml:space="preserve">Realisasi EDC/QRIS omzet bulan November</t>
  </si>
  <si>
    <t xml:space="preserve">JU-1345</t>
  </si>
  <si>
    <t xml:space="preserve">Bon karyawan bulan November</t>
  </si>
  <si>
    <t xml:space="preserve">JU-1346</t>
  </si>
  <si>
    <t xml:space="preserve">Compliment bulan November</t>
  </si>
  <si>
    <t xml:space="preserve">JU-1347</t>
  </si>
  <si>
    <t xml:space="preserve">Bill owner bulan November (dicatat sebagai Prive, bukan piutang)</t>
  </si>
  <si>
    <t xml:space="preserve">JU-1348</t>
  </si>
  <si>
    <t xml:space="preserve">Penyusutan peralatan bulan November (dari ASET TETAP)</t>
  </si>
  <si>
    <t xml:space="preserve">JU-1349</t>
  </si>
  <si>
    <t xml:space="preserve">Estimasi PBJT kurang bayar bulan November (lihat PAJAK)</t>
  </si>
  <si>
    <t xml:space="preserve">JU-1350</t>
  </si>
  <si>
    <t xml:space="preserve">Omzet bersih bulan Desember (dari OMZET HARIAN)</t>
  </si>
  <si>
    <t xml:space="preserve">JU-1351</t>
  </si>
  <si>
    <t xml:space="preserve">Realisasi tunai omzet bulan Desember</t>
  </si>
  <si>
    <t xml:space="preserve">JU-1352</t>
  </si>
  <si>
    <t xml:space="preserve">Realisasi EDC/QRIS omzet bulan Desember</t>
  </si>
  <si>
    <t xml:space="preserve">JU-1353</t>
  </si>
  <si>
    <t xml:space="preserve">Bon karyawan bulan Desember</t>
  </si>
  <si>
    <t xml:space="preserve">JU-1354</t>
  </si>
  <si>
    <t xml:space="preserve">Compliment bulan Desember</t>
  </si>
  <si>
    <t xml:space="preserve">JU-1355</t>
  </si>
  <si>
    <t xml:space="preserve">Bill owner bulan Desember (dicatat sebagai Prive, bukan piutang)</t>
  </si>
  <si>
    <t xml:space="preserve">JU-1356</t>
  </si>
  <si>
    <t xml:space="preserve">Penyusutan peralatan bulan Desember (dari ASET TETAP)</t>
  </si>
  <si>
    <t xml:space="preserve">JU-1357</t>
  </si>
  <si>
    <t xml:space="preserve">Estimasi PBJT kurang bayar bulan Desember (lihat PAJAK)</t>
  </si>
  <si>
    <t xml:space="preserve">Pilih akun di sel kuning. Menampilkan transaksi s.d. bulan tutup buku.</t>
  </si>
  <si>
    <t xml:space="preserve">Akun</t>
  </si>
  <si>
    <t xml:space="preserve">Total Debet</t>
  </si>
  <si>
    <t xml:space="preserve">Kode</t>
  </si>
  <si>
    <t xml:space="preserve">Total Kredit</t>
  </si>
  <si>
    <t xml:space="preserve">Saldo normal</t>
  </si>
  <si>
    <t xml:space="preserve">Saldo Akhir</t>
  </si>
  <si>
    <t xml:space="preserve">Periode</t>
  </si>
  <si>
    <t xml:space="preserve">Cek vs Neraca Saldo</t>
  </si>
  <si>
    <t xml:space="preserve">#</t>
  </si>
  <si>
    <t xml:space="preserve">Akun Lawan</t>
  </si>
  <si>
    <t xml:space="preserve">Debet</t>
  </si>
  <si>
    <t xml:space="preserve">Kredit</t>
  </si>
  <si>
    <t xml:space="preserve">Saldo</t>
  </si>
  <si>
    <t xml:space="preserve">Saldo awal 1 Januari</t>
  </si>
  <si>
    <t xml:space="preserve">NERACA SALDO (TRIAL BALANCE)</t>
  </si>
  <si>
    <t xml:space="preserve">Nama Akun</t>
  </si>
  <si>
    <t xml:space="preserve">Saldo Awal Debet</t>
  </si>
  <si>
    <t xml:space="preserve">Saldo Awal Kredit</t>
  </si>
  <si>
    <t xml:space="preserve">Mutasi Debet</t>
  </si>
  <si>
    <t xml:space="preserve">Mutasi Kredit</t>
  </si>
  <si>
    <t xml:space="preserve">Saldo Akhir Debet</t>
  </si>
  <si>
    <t xml:space="preserve">Saldo Akhir Kredit</t>
  </si>
  <si>
    <t xml:space="preserve">Selisih (harus 0)</t>
  </si>
  <si>
    <t xml:space="preserve">DAFTAR ASET TETAP &amp; PENYUSUTAN</t>
  </si>
  <si>
    <t xml:space="preserve">Metode garis lurus, mulai disusutkan bulan setelah perolehan. Masa manfaat (biru) boleh diubah. Penyusutan otomatis masuk JURNAL.</t>
  </si>
  <si>
    <t xml:space="preserve">Nama Aset</t>
  </si>
  <si>
    <t xml:space="preserve">Tgl Perolehan</t>
  </si>
  <si>
    <t xml:space="preserve">Harga Perolehan</t>
  </si>
  <si>
    <t xml:space="preserve">Masa Manfaat (thn)</t>
  </si>
  <si>
    <t xml:space="preserve">Mulai Susut</t>
  </si>
  <si>
    <t xml:space="preserve">Penyusutan / Bulan</t>
  </si>
  <si>
    <t xml:space="preserve">Akum. Awal Tahun</t>
  </si>
  <si>
    <t xml:space="preserve">Akum. s.d. Tutup Buku</t>
  </si>
  <si>
    <t xml:space="preserve">Nilai Buku</t>
  </si>
  <si>
    <t xml:space="preserve">Kulkas (9/01)</t>
  </si>
  <si>
    <t xml:space="preserve">Kursi trailtop lipat warna hijau lapis x 10 unit</t>
  </si>
  <si>
    <t xml:space="preserve">Tokped tramontina pisau set asahan</t>
  </si>
  <si>
    <t xml:space="preserve">Alat deteksi uang palsu Joyko MD-100 x 1pc</t>
  </si>
  <si>
    <t xml:space="preserve">Almari besi loker 12 pintu</t>
  </si>
  <si>
    <t xml:space="preserve">Kulkas showcase cooler 192L</t>
  </si>
  <si>
    <t xml:space="preserve">Lampu tembak joglo</t>
  </si>
  <si>
    <t xml:space="preserve">Meja lipat dinding warna hitam x 3 unit</t>
  </si>
  <si>
    <t xml:space="preserve">Lampu meja event lukis</t>
  </si>
  <si>
    <t xml:space="preserve">Rak besi susun adjustable</t>
  </si>
  <si>
    <t xml:space="preserve">Aset tetap sebelum 2026 (mesin kopi, furnitur, dll) — BELUM DIINVENTARISASI</t>
  </si>
  <si>
    <t xml:space="preserve">Cek: total harga perolehan vs saldo akun Peralatan</t>
  </si>
  <si>
    <t xml:space="preserve">Cek: akumulasi penyusutan vs saldo akun Akumulasi Penyusutan</t>
  </si>
  <si>
    <t xml:space="preserve">Kebijakan yang disarankan: barang &lt; Rp1.000.000 langsung dibebankan (Beban Perlengkapan), tidak dicatat sebagai aset tetap.</t>
  </si>
  <si>
    <t xml:space="preserve">DAFTAR AKUN (CHART OF ACCOUNTS) &amp; SALDO AWAL</t>
  </si>
  <si>
    <t xml:space="preserve">Nama akun harus sama persis dengan yang dipakai di JURNAL. Saldo awal diisi di sisi saldo normal (angka positif).</t>
  </si>
  <si>
    <t xml:space="preserve">Kelompok</t>
  </si>
  <si>
    <t xml:space="preserve">Pos Laporan</t>
  </si>
  <si>
    <t xml:space="preserve">Saldo Normal</t>
  </si>
  <si>
    <t xml:space="preserve">Kategori Arus Kas</t>
  </si>
  <si>
    <t xml:space="preserve">Saldo Awal 1 Jan</t>
  </si>
  <si>
    <t xml:space="preserve">1101</t>
  </si>
  <si>
    <t xml:space="preserve">Kas dan setara kas</t>
  </si>
  <si>
    <t xml:space="preserve">D</t>
  </si>
  <si>
    <t xml:space="preserve">KAS</t>
  </si>
  <si>
    <t xml:space="preserve">Kas besar / brankas</t>
  </si>
  <si>
    <t xml:space="preserve">1102</t>
  </si>
  <si>
    <t xml:space="preserve">Rekening bank usaha</t>
  </si>
  <si>
    <t xml:space="preserve">1103</t>
  </si>
  <si>
    <t xml:space="preserve">Kas kecil operasional</t>
  </si>
  <si>
    <t xml:space="preserve">1201</t>
  </si>
  <si>
    <t xml:space="preserve">OPERASI</t>
  </si>
  <si>
    <t xml:space="preserve">OP1</t>
  </si>
  <si>
    <t xml:space="preserve">Kliring omzet: omzet tercatat yang belum masuk kas (tunai H+1, settlement EDC)</t>
  </si>
  <si>
    <t xml:space="preserve">1202</t>
  </si>
  <si>
    <t xml:space="preserve">Piutang Usaha non Cafe</t>
  </si>
  <si>
    <t xml:space="preserve">Piutang dari penjualan di luar cafe (event, B2B)</t>
  </si>
  <si>
    <t xml:space="preserve">1203</t>
  </si>
  <si>
    <t xml:space="preserve">OP2</t>
  </si>
  <si>
    <t xml:space="preserve">Bon karyawan, pinjaman pihak lain</t>
  </si>
  <si>
    <t xml:space="preserve">1301</t>
  </si>
  <si>
    <t xml:space="preserve">Inventori</t>
  </si>
  <si>
    <t xml:space="preserve">Persediaan</t>
  </si>
  <si>
    <t xml:space="preserve">OP3</t>
  </si>
  <si>
    <t xml:space="preserve">Stok bahan baku (hasil stok opname akhir bulan)</t>
  </si>
  <si>
    <t xml:space="preserve">1302</t>
  </si>
  <si>
    <t xml:space="preserve">OP6</t>
  </si>
  <si>
    <t xml:space="preserve">Perlengkapan belum terpakai</t>
  </si>
  <si>
    <t xml:space="preserve">1303</t>
  </si>
  <si>
    <t xml:space="preserve">Beban Dibayar di Muka</t>
  </si>
  <si>
    <t xml:space="preserve">Sewa/langganan yang dibayar di depan</t>
  </si>
  <si>
    <t xml:space="preserve">1501</t>
  </si>
  <si>
    <t xml:space="preserve">INVESTASI</t>
  </si>
  <si>
    <t xml:space="preserve">IN1</t>
  </si>
  <si>
    <t xml:space="preserve">Lihat sheet ASET TETAP</t>
  </si>
  <si>
    <t xml:space="preserve">1502</t>
  </si>
  <si>
    <t xml:space="preserve">K</t>
  </si>
  <si>
    <t xml:space="preserve">NONKAS</t>
  </si>
  <si>
    <t xml:space="preserve">Akun pengurang aset (kontra)</t>
  </si>
  <si>
    <t xml:space="preserve">2101</t>
  </si>
  <si>
    <t xml:space="preserve">LIABILITAS</t>
  </si>
  <si>
    <t xml:space="preserve">Utang ke pemasok / gaji yang belum dibayar</t>
  </si>
  <si>
    <t xml:space="preserve">2102</t>
  </si>
  <si>
    <t xml:space="preserve">Utang pajak</t>
  </si>
  <si>
    <t xml:space="preserve">OP7</t>
  </si>
  <si>
    <t xml:space="preserve">Estimasi PBJT kurang bayar (akun BARU)</t>
  </si>
  <si>
    <t xml:space="preserve">2103</t>
  </si>
  <si>
    <t xml:space="preserve">Utang Lainnya</t>
  </si>
  <si>
    <t xml:space="preserve">PENDANAAN</t>
  </si>
  <si>
    <t xml:space="preserve">FN3</t>
  </si>
  <si>
    <t xml:space="preserve">Pinjaman pihak lain (Pak Munir)</t>
  </si>
  <si>
    <t xml:space="preserve">2201</t>
  </si>
  <si>
    <t xml:space="preserve">Utang jangka panjang</t>
  </si>
  <si>
    <t xml:space="preserve">Cicilan FM Wood &amp; grinder — cek jatuh tempo, bila &lt; 12 bulan pindahkan ke jangka pendek</t>
  </si>
  <si>
    <t xml:space="preserve">3101</t>
  </si>
  <si>
    <t xml:space="preserve">Ekuitas Kopi Parang</t>
  </si>
  <si>
    <t xml:space="preserve">FN2</t>
  </si>
  <si>
    <t xml:space="preserve">Saldo awal = total aset − total liabilitas per 1 Jan</t>
  </si>
  <si>
    <t xml:space="preserve">3102</t>
  </si>
  <si>
    <t xml:space="preserve">FN1</t>
  </si>
  <si>
    <t xml:space="preserve">Pengambilan pemilik (uang, barang, bill owner)</t>
  </si>
  <si>
    <t xml:space="preserve">4101</t>
  </si>
  <si>
    <t xml:space="preserve">PENDAPATAN</t>
  </si>
  <si>
    <t xml:space="preserve">Pendapatan usaha</t>
  </si>
  <si>
    <t xml:space="preserve">Omzet bersih cafe</t>
  </si>
  <si>
    <t xml:space="preserve">4102</t>
  </si>
  <si>
    <t xml:space="preserve">Tiket event, sponsor, penjualan luar</t>
  </si>
  <si>
    <t xml:space="preserve">4901</t>
  </si>
  <si>
    <t xml:space="preserve">Potongan pendapatan</t>
  </si>
  <si>
    <t xml:space="preserve">PBJT — disajikan sebagai pengurang pendapatan</t>
  </si>
  <si>
    <t xml:space="preserve">5101</t>
  </si>
  <si>
    <t xml:space="preserve">BEBAN</t>
  </si>
  <si>
    <t xml:space="preserve">Beban pokok penjualan</t>
  </si>
  <si>
    <t xml:space="preserve">5102</t>
  </si>
  <si>
    <t xml:space="preserve">Cup, kemasan, dll</t>
  </si>
  <si>
    <t xml:space="preserve">6101</t>
  </si>
  <si>
    <t xml:space="preserve">Beban usaha</t>
  </si>
  <si>
    <t xml:space="preserve">OP4</t>
  </si>
  <si>
    <t xml:space="preserve">6102</t>
  </si>
  <si>
    <t xml:space="preserve">OP5</t>
  </si>
  <si>
    <t xml:space="preserve">6103</t>
  </si>
  <si>
    <t xml:space="preserve">Listrik, air, internet, langganan</t>
  </si>
  <si>
    <t xml:space="preserve">6104</t>
  </si>
  <si>
    <t xml:space="preserve">Termasuk biaya event</t>
  </si>
  <si>
    <t xml:space="preserve">6105</t>
  </si>
  <si>
    <t xml:space="preserve">6106</t>
  </si>
  <si>
    <t xml:space="preserve">6107</t>
  </si>
  <si>
    <t xml:space="preserve">6108</t>
  </si>
  <si>
    <t xml:space="preserve">6109</t>
  </si>
  <si>
    <t xml:space="preserve">Biaya R&amp;D</t>
  </si>
  <si>
    <t xml:space="preserve">6110</t>
  </si>
  <si>
    <t xml:space="preserve">6111</t>
  </si>
  <si>
    <t xml:space="preserve">Otomatis dari sheet ASET TETAP</t>
  </si>
  <si>
    <t xml:space="preserve">7101</t>
  </si>
  <si>
    <t xml:space="preserve">Bunga bank, lain-lain</t>
  </si>
  <si>
    <t xml:space="preserve">7201</t>
  </si>
  <si>
    <t xml:space="preserve">Beban lain-lain</t>
  </si>
  <si>
    <t xml:space="preserve">Admin bank, denda, lain-lain</t>
  </si>
  <si>
    <t xml:space="preserve">Cek saldo awal (debet − kredit)</t>
  </si>
  <si>
    <t xml:space="preserve">Rincian saldo awal piutang &amp; utang (dari file lama):</t>
  </si>
  <si>
    <t xml:space="preserve">Utang Pak Munir</t>
  </si>
  <si>
    <t xml:space="preserve">Kategori arus kas: KAS = akun kas; OPERASI/INVESTASI/PENDANAAN = arah arus kas saat akun ini jadi lawan kas; NONKAS = tidak pernah melibatkan kas.</t>
  </si>
  <si>
    <t xml:space="preserve">MUTASI AKUN PER BULAN (sheet hitung)</t>
  </si>
  <si>
    <t xml:space="preserve">Angka bertanda debet (+) / kredit (−). Dipakai oleh semua laporan. Tidak perlu diubah.</t>
  </si>
  <si>
    <t xml:space="preserve">Normal</t>
  </si>
  <si>
    <t xml:space="preserve">Saldo Awal</t>
  </si>
  <si>
    <t xml:space="preserve">Mutasi s.d. Tutup Buku</t>
  </si>
  <si>
    <t xml:space="preserve">Kat. Kas</t>
  </si>
  <si>
    <t xml:space="preserve">TOTAL (harus 0)</t>
  </si>
</sst>
</file>

<file path=xl/styles.xml><?xml version="1.0" encoding="utf-8"?>
<styleSheet xmlns="http://schemas.openxmlformats.org/spreadsheetml/2006/main">
  <numFmts count="12">
    <numFmt numFmtId="164" formatCode="General"/>
    <numFmt numFmtId="165" formatCode="0"/>
    <numFmt numFmtId="166" formatCode="0%"/>
    <numFmt numFmtId="167" formatCode="#,##0;\(#,##0\);\-"/>
    <numFmt numFmtId="168" formatCode="0.0%;\(0.0%\);\-"/>
    <numFmt numFmtId="169" formatCode="#,##0,,&quot;jt&quot;"/>
    <numFmt numFmtId="170" formatCode="dd/mm/yyyy"/>
    <numFmt numFmtId="171" formatCode="0.00"/>
    <numFmt numFmtId="172" formatCode="#,##0"/>
    <numFmt numFmtId="173" formatCode="dd\ mmm\ yy"/>
    <numFmt numFmtId="174" formatCode="General"/>
    <numFmt numFmtId="175" formatCode="mmm\ yy"/>
  </numFmts>
  <fonts count="47">
    <font>
      <sz val="11"/>
      <color theme="1"/>
      <name val="Calibri"/>
      <family val="2"/>
      <charset val="1"/>
    </font>
    <font>
      <sz val="10"/>
      <name val="Arial"/>
      <family val="0"/>
    </font>
    <font>
      <sz val="10"/>
      <name val="Arial"/>
      <family val="0"/>
    </font>
    <font>
      <sz val="10"/>
      <name val="Arial"/>
      <family val="0"/>
    </font>
    <font>
      <sz val="11"/>
      <color theme="1"/>
      <name val="Arial"/>
      <family val="0"/>
      <charset val="1"/>
    </font>
    <font>
      <b val="true"/>
      <sz val="26"/>
      <color rgb="FFFFFFFF"/>
      <name val="Arial"/>
      <family val="0"/>
      <charset val="1"/>
    </font>
    <font>
      <b val="true"/>
      <sz val="14"/>
      <color rgb="FFD7CCC8"/>
      <name val="Arial"/>
      <family val="0"/>
      <charset val="1"/>
    </font>
    <font>
      <i val="true"/>
      <sz val="11"/>
      <color rgb="FFD7CCC8"/>
      <name val="Arial"/>
      <family val="0"/>
      <charset val="1"/>
    </font>
    <font>
      <b val="true"/>
      <sz val="12"/>
      <color rgb="FF3E2723"/>
      <name val="Arial"/>
      <family val="0"/>
      <charset val="1"/>
    </font>
    <font>
      <sz val="10"/>
      <color rgb="FFA1887F"/>
      <name val="Arial"/>
      <family val="0"/>
      <charset val="1"/>
    </font>
    <font>
      <b val="true"/>
      <u val="single"/>
      <sz val="11"/>
      <color rgb="FF1565C0"/>
      <name val="Arial"/>
      <family val="0"/>
      <charset val="1"/>
    </font>
    <font>
      <sz val="10"/>
      <color rgb="FF5D4037"/>
      <name val="Arial"/>
      <family val="0"/>
      <charset val="1"/>
    </font>
    <font>
      <sz val="10"/>
      <color rgb="FF000000"/>
      <name val="Arial"/>
      <family val="0"/>
      <charset val="1"/>
    </font>
    <font>
      <b val="true"/>
      <sz val="10"/>
      <color rgb="FF0000FF"/>
      <name val="Arial"/>
      <family val="0"/>
      <charset val="1"/>
    </font>
    <font>
      <b val="true"/>
      <sz val="10"/>
      <color rgb="FF000000"/>
      <name val="Arial"/>
      <family val="0"/>
      <charset val="1"/>
    </font>
    <font>
      <b val="true"/>
      <sz val="10"/>
      <color rgb="FF757575"/>
      <name val="Arial"/>
      <family val="0"/>
      <charset val="1"/>
    </font>
    <font>
      <b val="true"/>
      <sz val="10"/>
      <color rgb="FF6D4C41"/>
      <name val="Arial"/>
      <family val="0"/>
      <charset val="1"/>
    </font>
    <font>
      <i val="true"/>
      <sz val="8"/>
      <color rgb="FF9E9E9E"/>
      <name val="Arial"/>
      <family val="0"/>
      <charset val="1"/>
    </font>
    <font>
      <b val="true"/>
      <sz val="16"/>
      <color rgb="FF3E2723"/>
      <name val="Arial"/>
      <family val="0"/>
      <charset val="1"/>
    </font>
    <font>
      <i val="true"/>
      <sz val="10"/>
      <color rgb="FF6D4C41"/>
      <name val="Arial"/>
      <family val="0"/>
      <charset val="1"/>
    </font>
    <font>
      <b val="true"/>
      <sz val="10"/>
      <color rgb="FFFFFFFF"/>
      <name val="Arial"/>
      <family val="0"/>
      <charset val="1"/>
    </font>
    <font>
      <i val="true"/>
      <sz val="9"/>
      <color rgb="FF5D4037"/>
      <name val="Arial"/>
      <family val="0"/>
      <charset val="1"/>
    </font>
    <font>
      <b val="true"/>
      <sz val="18"/>
      <color rgb="FF3E2723"/>
      <name val="Arial"/>
      <family val="0"/>
      <charset val="1"/>
    </font>
    <font>
      <i val="true"/>
      <sz val="11"/>
      <color rgb="FF6D4C41"/>
      <name val="Arial"/>
      <family val="0"/>
      <charset val="1"/>
    </font>
    <font>
      <i val="true"/>
      <sz val="9"/>
      <color rgb="FF6D4C41"/>
      <name val="Arial"/>
      <family val="0"/>
      <charset val="1"/>
    </font>
    <font>
      <b val="true"/>
      <sz val="14"/>
      <color rgb="FF3E2723"/>
      <name val="Arial"/>
      <family val="0"/>
      <charset val="1"/>
    </font>
    <font>
      <b val="true"/>
      <sz val="11"/>
      <color rgb="FF3E2723"/>
      <name val="Arial"/>
      <family val="0"/>
      <charset val="1"/>
    </font>
    <font>
      <b val="true"/>
      <sz val="18"/>
      <color rgb="FF000000"/>
      <name val="Calibri"/>
      <family val="2"/>
    </font>
    <font>
      <sz val="10"/>
      <color rgb="FF000000"/>
      <name val="Calibri"/>
      <family val="2"/>
    </font>
    <font>
      <sz val="7"/>
      <color rgb="FFBDBDBD"/>
      <name val="Arial"/>
      <family val="0"/>
      <charset val="1"/>
    </font>
    <font>
      <b val="true"/>
      <sz val="10"/>
      <color rgb="FF3E2723"/>
      <name val="Arial"/>
      <family val="0"/>
      <charset val="1"/>
    </font>
    <font>
      <i val="true"/>
      <sz val="9"/>
      <color rgb="FF757575"/>
      <name val="Arial"/>
      <family val="0"/>
      <charset val="1"/>
    </font>
    <font>
      <b val="true"/>
      <i val="true"/>
      <sz val="10"/>
      <color rgb="FF6D4C41"/>
      <name val="Arial"/>
      <family val="0"/>
      <charset val="1"/>
    </font>
    <font>
      <sz val="9"/>
      <color rgb="FF000000"/>
      <name val="Arial"/>
      <family val="0"/>
      <charset val="1"/>
    </font>
    <font>
      <b val="true"/>
      <sz val="9"/>
      <color rgb="FF000000"/>
      <name val="Arial"/>
      <family val="0"/>
      <charset val="1"/>
    </font>
    <font>
      <i val="true"/>
      <sz val="9"/>
      <color rgb="FF000000"/>
      <name val="Arial"/>
      <family val="0"/>
      <charset val="1"/>
    </font>
    <font>
      <sz val="10"/>
      <color rgb="FF0000FF"/>
      <name val="Arial"/>
      <family val="0"/>
      <charset val="1"/>
    </font>
    <font>
      <b val="true"/>
      <sz val="9"/>
      <color rgb="FF3E2723"/>
      <name val="Arial"/>
      <family val="0"/>
      <charset val="1"/>
    </font>
    <font>
      <i val="true"/>
      <sz val="9"/>
      <color rgb="FF3E2723"/>
      <name val="Arial"/>
      <family val="0"/>
      <charset val="1"/>
    </font>
    <font>
      <sz val="8"/>
      <color rgb="FF9E9E9E"/>
      <name val="Arial"/>
      <family val="0"/>
      <charset val="1"/>
    </font>
    <font>
      <sz val="8"/>
      <color rgb="FF757575"/>
      <name val="Arial"/>
      <family val="0"/>
      <charset val="1"/>
    </font>
    <font>
      <b val="true"/>
      <sz val="8"/>
      <color rgb="FFC62828"/>
      <name val="Arial"/>
      <family val="0"/>
      <charset val="1"/>
    </font>
    <font>
      <sz val="7"/>
      <color rgb="FFFFFFFF"/>
      <name val="Arial"/>
      <family val="0"/>
      <charset val="1"/>
    </font>
    <font>
      <b val="true"/>
      <sz val="10"/>
      <color rgb="FFC62828"/>
      <name val="Arial"/>
      <family val="0"/>
      <charset val="1"/>
    </font>
    <font>
      <i val="true"/>
      <sz val="10"/>
      <color rgb="FF000000"/>
      <name val="Arial"/>
      <family val="0"/>
      <charset val="1"/>
    </font>
    <font>
      <i val="true"/>
      <sz val="10"/>
      <color rgb="FFC62828"/>
      <name val="Arial"/>
      <family val="0"/>
      <charset val="1"/>
    </font>
    <font>
      <sz val="10"/>
      <name val="Arial"/>
      <family val="2"/>
    </font>
  </fonts>
  <fills count="10">
    <fill>
      <patternFill patternType="none"/>
    </fill>
    <fill>
      <patternFill patternType="gray125"/>
    </fill>
    <fill>
      <patternFill patternType="solid">
        <fgColor rgb="FF3E2723"/>
        <bgColor rgb="FF5D4037"/>
      </patternFill>
    </fill>
    <fill>
      <patternFill patternType="solid">
        <fgColor rgb="FFFFF8E1"/>
        <bgColor rgb="FFF7F3F1"/>
      </patternFill>
    </fill>
    <fill>
      <patternFill patternType="solid">
        <fgColor rgb="FFF2F2F2"/>
        <bgColor rgb="FFF7F3F1"/>
      </patternFill>
    </fill>
    <fill>
      <patternFill patternType="solid">
        <fgColor rgb="FFEFEBE9"/>
        <bgColor rgb="FFF2F2F2"/>
      </patternFill>
    </fill>
    <fill>
      <patternFill patternType="solid">
        <fgColor rgb="FF6D4C41"/>
        <bgColor rgb="FF5D4037"/>
      </patternFill>
    </fill>
    <fill>
      <patternFill patternType="solid">
        <fgColor rgb="FFA1887F"/>
        <bgColor rgb="FF878787"/>
      </patternFill>
    </fill>
    <fill>
      <patternFill patternType="solid">
        <fgColor rgb="FFF7F3F1"/>
        <bgColor rgb="FFF2F2F2"/>
      </patternFill>
    </fill>
    <fill>
      <patternFill patternType="solid">
        <fgColor rgb="FF8D6E63"/>
        <bgColor rgb="FF757575"/>
      </patternFill>
    </fill>
  </fills>
  <borders count="4">
    <border diagonalUp="false" diagonalDown="false">
      <left/>
      <right/>
      <top/>
      <bottom/>
      <diagonal/>
    </border>
    <border diagonalUp="false" diagonalDown="false">
      <left style="thin">
        <color rgb="FFD7CCC8"/>
      </left>
      <right style="thin">
        <color rgb="FFD7CCC8"/>
      </right>
      <top style="thin">
        <color rgb="FFD7CCC8"/>
      </top>
      <bottom style="thin">
        <color rgb="FFD7CCC8"/>
      </bottom>
      <diagonal/>
    </border>
    <border diagonalUp="false" diagonalDown="false">
      <left/>
      <right/>
      <top style="thin">
        <color rgb="FFD7CCC8"/>
      </top>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true" applyProtection="false">
      <alignment horizontal="left"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5" fontId="13"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6" fontId="13" fillId="3" borderId="1" xfId="0" applyFont="true" applyBorder="true" applyAlignment="true" applyProtection="false">
      <alignment horizontal="center" vertical="center" textRotation="0" wrapText="true" indent="0" shrinkToFit="false"/>
      <protection locked="true" hidden="false"/>
    </xf>
    <xf numFmtId="167" fontId="13" fillId="3"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0" fillId="6" borderId="0" xfId="0" applyFont="true" applyBorder="true" applyAlignment="true" applyProtection="false">
      <alignment horizontal="center" vertical="center" textRotation="0" wrapText="true" indent="0" shrinkToFit="false"/>
      <protection locked="true" hidden="false"/>
    </xf>
    <xf numFmtId="167" fontId="18" fillId="5" borderId="0" xfId="0" applyFont="true" applyBorder="true" applyAlignment="true" applyProtection="false">
      <alignment horizontal="center" vertical="center" textRotation="0" wrapText="true" indent="0" shrinkToFit="false"/>
      <protection locked="true" hidden="false"/>
    </xf>
    <xf numFmtId="164" fontId="24" fillId="5" borderId="0" xfId="0" applyFont="true" applyBorder="true" applyAlignment="true" applyProtection="false">
      <alignment horizontal="center" vertical="center" textRotation="0" wrapText="true" indent="0" shrinkToFit="false"/>
      <protection locked="true" hidden="false"/>
    </xf>
    <xf numFmtId="164" fontId="20" fillId="7" borderId="0" xfId="0" applyFont="true" applyBorder="true" applyAlignment="true" applyProtection="false">
      <alignment horizontal="center" vertical="center" textRotation="0" wrapText="true" indent="0" shrinkToFit="false"/>
      <protection locked="true" hidden="false"/>
    </xf>
    <xf numFmtId="167" fontId="25" fillId="8" borderId="0" xfId="0" applyFont="true" applyBorder="true" applyAlignment="true" applyProtection="false">
      <alignment horizontal="center" vertical="center" textRotation="0" wrapText="true" indent="0" shrinkToFit="false"/>
      <protection locked="true" hidden="false"/>
    </xf>
    <xf numFmtId="168" fontId="25" fillId="8" borderId="0" xfId="0" applyFont="true" applyBorder="true" applyAlignment="true" applyProtection="false">
      <alignment horizontal="center" vertical="center" textRotation="0" wrapText="true" indent="0" shrinkToFit="false"/>
      <protection locked="true" hidden="false"/>
    </xf>
    <xf numFmtId="164" fontId="24" fillId="8" borderId="0"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4" fontId="12" fillId="8" borderId="1" xfId="0" applyFont="true" applyBorder="true" applyAlignment="false" applyProtection="false">
      <alignment horizontal="general" vertical="bottom" textRotation="0" wrapText="false" indent="0" shrinkToFit="false"/>
      <protection locked="true" hidden="false"/>
    </xf>
    <xf numFmtId="167" fontId="12" fillId="8" borderId="1" xfId="0" applyFont="true" applyBorder="true" applyAlignment="false" applyProtection="false">
      <alignment horizontal="general" vertical="bottom" textRotation="0" wrapText="false" indent="0" shrinkToFit="false"/>
      <protection locked="true" hidden="false"/>
    </xf>
    <xf numFmtId="168" fontId="12" fillId="8" borderId="1" xfId="0" applyFont="true" applyBorder="tru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center"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1"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7" fontId="14" fillId="0" borderId="2" xfId="0" applyFont="true" applyBorder="true" applyAlignment="false" applyProtection="false">
      <alignment horizontal="general" vertical="bottom" textRotation="0" wrapText="false" indent="0" shrinkToFit="false"/>
      <protection locked="true" hidden="false"/>
    </xf>
    <xf numFmtId="168" fontId="14" fillId="0" borderId="2" xfId="0" applyFont="true" applyBorder="true" applyAlignment="false" applyProtection="false">
      <alignment horizontal="general" vertical="bottom" textRotation="0" wrapText="false" indent="0" shrinkToFit="false"/>
      <protection locked="true" hidden="false"/>
    </xf>
    <xf numFmtId="164" fontId="30" fillId="5" borderId="2" xfId="0" applyFont="true" applyBorder="true" applyAlignment="false" applyProtection="false">
      <alignment horizontal="general" vertical="bottom" textRotation="0" wrapText="false" indent="0" shrinkToFit="false"/>
      <protection locked="true" hidden="false"/>
    </xf>
    <xf numFmtId="167" fontId="30" fillId="5" borderId="2" xfId="0" applyFont="true" applyBorder="true" applyAlignment="false" applyProtection="false">
      <alignment horizontal="general" vertical="bottom" textRotation="0" wrapText="false" indent="0" shrinkToFit="false"/>
      <protection locked="true" hidden="false"/>
    </xf>
    <xf numFmtId="168" fontId="30" fillId="5" borderId="2"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1" shrinkToFit="false"/>
      <protection locked="true" hidden="false"/>
    </xf>
    <xf numFmtId="168" fontId="21"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7" fontId="31" fillId="0" borderId="0" xfId="0" applyFont="true" applyBorder="false" applyAlignment="false" applyProtection="false">
      <alignment horizontal="general" vertical="bottom" textRotation="0" wrapText="false" indent="0" shrinkToFit="false"/>
      <protection locked="true" hidden="false"/>
    </xf>
    <xf numFmtId="168" fontId="31" fillId="0" borderId="0" xfId="0" applyFont="true" applyBorder="false" applyAlignment="false" applyProtection="false">
      <alignment horizontal="general" vertical="bottom" textRotation="0" wrapText="false" indent="0" shrinkToFit="false"/>
      <protection locked="true" hidden="false"/>
    </xf>
    <xf numFmtId="164" fontId="20" fillId="6" borderId="0" xfId="0" applyFont="true" applyBorder="false" applyAlignment="false" applyProtection="false">
      <alignment horizontal="general" vertical="bottom" textRotation="0" wrapText="false" indent="0" shrinkToFit="false"/>
      <protection locked="true" hidden="false"/>
    </xf>
    <xf numFmtId="167" fontId="20" fillId="6" borderId="0" xfId="0" applyFont="true" applyBorder="false" applyAlignment="false" applyProtection="false">
      <alignment horizontal="general" vertical="bottom" textRotation="0" wrapText="false" indent="0" shrinkToFit="false"/>
      <protection locked="true" hidden="false"/>
    </xf>
    <xf numFmtId="168" fontId="20" fillId="6"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30" fillId="5" borderId="0" xfId="0" applyFont="true" applyBorder="false" applyAlignment="false" applyProtection="false">
      <alignment horizontal="general" vertical="bottom" textRotation="0" wrapText="false" indent="0" shrinkToFit="false"/>
      <protection locked="true" hidden="false"/>
    </xf>
    <xf numFmtId="167" fontId="30" fillId="5"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33" fillId="0" borderId="1" xfId="0" applyFont="true" applyBorder="true" applyAlignment="true" applyProtection="false">
      <alignment horizontal="center" vertical="top" textRotation="0" wrapText="true" indent="0" shrinkToFit="false"/>
      <protection locked="true" hidden="false"/>
    </xf>
    <xf numFmtId="164" fontId="34" fillId="0" borderId="1" xfId="0" applyFont="true" applyBorder="true" applyAlignment="true" applyProtection="false">
      <alignment horizontal="left" vertical="top" textRotation="0" wrapText="true" indent="0" shrinkToFit="false"/>
      <protection locked="true" hidden="false"/>
    </xf>
    <xf numFmtId="164" fontId="33" fillId="0" borderId="1" xfId="0" applyFont="true" applyBorder="true" applyAlignment="true" applyProtection="false">
      <alignment horizontal="left" vertical="top" textRotation="0" wrapText="true" indent="0" shrinkToFit="false"/>
      <protection locked="true" hidden="false"/>
    </xf>
    <xf numFmtId="164" fontId="33" fillId="3" borderId="1" xfId="0" applyFont="true" applyBorder="true" applyAlignment="true" applyProtection="false">
      <alignment horizontal="left" vertical="top"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7" fontId="36" fillId="3"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7" fontId="14" fillId="0" borderId="3" xfId="0" applyFont="true" applyBorder="tru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67" fontId="14" fillId="5"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65" fontId="39"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73" fontId="12" fillId="8" borderId="0" xfId="0" applyFont="true" applyBorder="false" applyAlignment="false" applyProtection="false">
      <alignment horizontal="general" vertical="bottom" textRotation="0" wrapText="false" indent="0" shrinkToFit="false"/>
      <protection locked="true" hidden="false"/>
    </xf>
    <xf numFmtId="165" fontId="39" fillId="8" borderId="0" xfId="0" applyFont="true" applyBorder="false" applyAlignment="false" applyProtection="false">
      <alignment horizontal="general" vertical="bottom" textRotation="0" wrapText="false" indent="0" shrinkToFit="false"/>
      <protection locked="true" hidden="false"/>
    </xf>
    <xf numFmtId="167" fontId="36" fillId="8" borderId="0" xfId="0" applyFont="true" applyBorder="false" applyAlignment="false" applyProtection="false">
      <alignment horizontal="general" vertical="bottom" textRotation="0" wrapText="false" indent="0" shrinkToFit="false"/>
      <protection locked="true" hidden="false"/>
    </xf>
    <xf numFmtId="167" fontId="12" fillId="8" borderId="0" xfId="0" applyFont="true" applyBorder="false" applyAlignment="false" applyProtection="false">
      <alignment horizontal="general" vertical="bottom" textRotation="0" wrapText="false" indent="0" shrinkToFit="false"/>
      <protection locked="true" hidden="false"/>
    </xf>
    <xf numFmtId="167" fontId="14" fillId="8" borderId="0" xfId="0" applyFont="true" applyBorder="false" applyAlignment="false" applyProtection="false">
      <alignment horizontal="general" vertical="bottom" textRotation="0" wrapText="false" indent="0" shrinkToFit="false"/>
      <protection locked="true" hidden="false"/>
    </xf>
    <xf numFmtId="164" fontId="33" fillId="8" borderId="0" xfId="0" applyFont="true" applyBorder="false" applyAlignment="false" applyProtection="false">
      <alignment horizontal="general" vertical="bottom" textRotation="0" wrapText="false" indent="0" shrinkToFit="false"/>
      <protection locked="true" hidden="false"/>
    </xf>
    <xf numFmtId="164" fontId="20" fillId="9" borderId="1" xfId="0" applyFont="true" applyBorder="true" applyAlignment="true" applyProtection="false">
      <alignment horizontal="center" vertical="center" textRotation="0" wrapText="true" indent="0" shrinkToFit="false"/>
      <protection locked="true" hidden="false"/>
    </xf>
    <xf numFmtId="170" fontId="36" fillId="0" borderId="0" xfId="0" applyFont="true" applyBorder="false" applyAlignment="false" applyProtection="false">
      <alignment horizontal="general" vertical="bottom" textRotation="0" wrapText="false" indent="0" shrinkToFit="false"/>
      <protection locked="true" hidden="false"/>
    </xf>
    <xf numFmtId="174" fontId="40" fillId="4" borderId="0" xfId="0" applyFont="true" applyBorder="false" applyAlignment="false" applyProtection="false">
      <alignment horizontal="general" vertical="bottom" textRotation="0" wrapText="false" indent="0" shrinkToFit="false"/>
      <protection locked="true" hidden="false"/>
    </xf>
    <xf numFmtId="167" fontId="40" fillId="4" borderId="0" xfId="0" applyFont="true" applyBorder="false" applyAlignment="false" applyProtection="false">
      <alignment horizontal="general" vertical="bottom" textRotation="0" wrapText="false" indent="0" shrinkToFit="false"/>
      <protection locked="true" hidden="false"/>
    </xf>
    <xf numFmtId="164" fontId="41" fillId="4"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70" fontId="19" fillId="5" borderId="0" xfId="0" applyFont="true" applyBorder="false" applyAlignment="false" applyProtection="false">
      <alignment horizontal="general" vertical="bottom" textRotation="0" wrapText="false" indent="0" shrinkToFit="false"/>
      <protection locked="true" hidden="false"/>
    </xf>
    <xf numFmtId="167" fontId="19" fillId="5" borderId="0" xfId="0" applyFont="true" applyBorder="false" applyAlignment="false" applyProtection="false">
      <alignment horizontal="general" vertical="bottom" textRotation="0" wrapText="false" indent="0" shrinkToFit="false"/>
      <protection locked="true" hidden="false"/>
    </xf>
    <xf numFmtId="174" fontId="42"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7" fontId="4" fillId="8"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6" fillId="3" borderId="0" xfId="0" applyFont="true" applyBorder="false" applyAlignment="true" applyProtection="false">
      <alignment horizontal="center" vertical="bottom" textRotation="0" wrapText="false" indent="0" shrinkToFit="false"/>
      <protection locked="true" hidden="false"/>
    </xf>
    <xf numFmtId="175" fontId="4" fillId="0" borderId="0" xfId="0" applyFont="true" applyBorder="false" applyAlignment="false" applyProtection="fals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4" fontId="45" fillId="3"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7" fontId="36" fillId="3"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12" fillId="8" borderId="1" xfId="0" applyFont="true" applyBorder="true" applyAlignment="true" applyProtection="false">
      <alignment horizontal="center" vertical="bottom" textRotation="0" wrapText="false" indent="0" shrinkToFit="false"/>
      <protection locked="true" hidden="false"/>
    </xf>
    <xf numFmtId="164" fontId="21" fillId="8"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ont>
        <name val="Arial"/>
        <charset val="1"/>
        <family val="0"/>
        <b val="1"/>
        <color rgb="FFC62828"/>
        <sz val="16"/>
      </font>
    </dxf>
    <dxf>
      <font>
        <name val="Arial"/>
        <charset val="1"/>
        <family val="0"/>
        <b val="1"/>
        <color rgb="FFC62828"/>
        <sz val="14"/>
      </font>
    </dxf>
    <dxf>
      <font>
        <name val="Arial"/>
        <charset val="1"/>
        <family val="0"/>
        <b val="1"/>
        <color rgb="FFC62828"/>
      </font>
    </dxf>
    <dxf>
      <font>
        <name val="Arial"/>
        <charset val="1"/>
        <family val="0"/>
        <b val="1"/>
        <color rgb="FFC62828"/>
      </font>
      <fill>
        <patternFill>
          <bgColor rgb="FFFFEBEE"/>
        </patternFill>
      </fill>
    </dxf>
    <dxf>
      <font>
        <name val="Arial"/>
        <charset val="1"/>
        <family val="0"/>
        <b val="1"/>
        <color rgb="FF2E7D32"/>
      </font>
      <fill>
        <patternFill>
          <bgColor rgb="FFE8F5E9"/>
        </patternFill>
      </fill>
    </dxf>
    <dxf>
      <font>
        <name val="Arial"/>
        <charset val="1"/>
        <family val="0"/>
        <b val="1"/>
        <color rgb="FFFFCDD2"/>
      </font>
    </dxf>
    <dxf>
      <font>
        <name val="Arial"/>
        <charset val="1"/>
        <family val="0"/>
        <b val="1"/>
        <color rgb="FFE65100"/>
      </font>
      <fill>
        <patternFill>
          <bgColor rgb="FFFFE0B2"/>
        </patternFill>
      </fill>
    </dxf>
    <dxf>
      <fill>
        <patternFill patternType="solid">
          <fgColor rgb="FF3E2723"/>
          <bgColor rgb="FF000000"/>
        </patternFill>
      </fill>
    </dxf>
    <dxf>
      <fill>
        <patternFill patternType="solid">
          <fgColor rgb="FFF7F3F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9E9E9E"/>
          <bgColor rgb="FF000000"/>
        </patternFill>
      </fill>
    </dxf>
    <dxf>
      <fill>
        <patternFill patternType="solid">
          <fgColor rgb="FF0000FF"/>
          <bgColor rgb="FF000000"/>
        </patternFill>
      </fill>
    </dxf>
    <dxf>
      <fill>
        <patternFill patternType="solid">
          <fgColor rgb="FFFFE0B2"/>
          <bgColor rgb="FF000000"/>
        </patternFill>
      </fill>
    </dxf>
    <dxf>
      <fill>
        <patternFill patternType="solid">
          <fgColor rgb="FFE65100"/>
          <bgColor rgb="FF000000"/>
        </patternFill>
      </fill>
    </dxf>
    <dxf>
      <fill>
        <patternFill patternType="solid">
          <fgColor rgb="FFEFEBE9"/>
          <bgColor rgb="FF000000"/>
        </patternFill>
      </fill>
    </dxf>
    <dxf>
      <fill>
        <patternFill patternType="solid">
          <fgColor rgb="FF6D4C41"/>
          <bgColor rgb="FF000000"/>
        </patternFill>
      </fill>
    </dxf>
    <dxf>
      <fill>
        <patternFill patternType="solid">
          <fgColor rgb="FF8D6E63"/>
          <bgColor rgb="FF000000"/>
        </patternFill>
      </fill>
    </dxf>
    <dxf>
      <fill>
        <patternFill patternType="solid">
          <fgColor rgb="FFF2F2F2"/>
          <bgColor rgb="FF000000"/>
        </patternFill>
      </fill>
    </dxf>
    <dxf>
      <fill>
        <patternFill patternType="solid">
          <fgColor rgb="FF757575"/>
          <bgColor rgb="FF000000"/>
        </patternFill>
      </fill>
    </dxf>
    <dxf>
      <fill>
        <patternFill patternType="solid">
          <fgColor rgb="FFC62828"/>
          <bgColor rgb="FF000000"/>
        </patternFill>
      </fill>
    </dxf>
  </dxfs>
  <colors>
    <indexedColors>
      <rgbColor rgb="FF000000"/>
      <rgbColor rgb="FFFFFFFF"/>
      <rgbColor rgb="FFFF0000"/>
      <rgbColor rgb="FF00FF00"/>
      <rgbColor rgb="FF0000FF"/>
      <rgbColor rgb="FFF9F9F9"/>
      <rgbColor rgb="FFFF00FF"/>
      <rgbColor rgb="FF00FFFF"/>
      <rgbColor rgb="FF800000"/>
      <rgbColor rgb="FF008000"/>
      <rgbColor rgb="FF000080"/>
      <rgbColor rgb="FF8D6E63"/>
      <rgbColor rgb="FF800080"/>
      <rgbColor rgb="FF008080"/>
      <rgbColor rgb="FFBDBDBD"/>
      <rgbColor rgb="FF878787"/>
      <rgbColor rgb="FFA1887F"/>
      <rgbColor rgb="FFC0504D"/>
      <rgbColor rgb="FFFFF8E1"/>
      <rgbColor rgb="FFE8F5E9"/>
      <rgbColor rgb="FF660066"/>
      <rgbColor rgb="FFFF8080"/>
      <rgbColor rgb="FF1565C0"/>
      <rgbColor rgb="FFD9D9D9"/>
      <rgbColor rgb="FF000080"/>
      <rgbColor rgb="FFFF00FF"/>
      <rgbColor rgb="FFFFFF00"/>
      <rgbColor rgb="FF00FFFF"/>
      <rgbColor rgb="FF800080"/>
      <rgbColor rgb="FF800000"/>
      <rgbColor rgb="FF008080"/>
      <rgbColor rgb="FF0000FF"/>
      <rgbColor rgb="FF00CCFF"/>
      <rgbColor rgb="FFF2F2F2"/>
      <rgbColor rgb="FFEFEBE9"/>
      <rgbColor rgb="FFF7F3F1"/>
      <rgbColor rgb="FFD7CCC8"/>
      <rgbColor rgb="FFFFCDD2"/>
      <rgbColor rgb="FFFFEBEE"/>
      <rgbColor rgb="FFFFE0B2"/>
      <rgbColor rgb="FF4F81BD"/>
      <rgbColor rgb="FF4BACC6"/>
      <rgbColor rgb="FF9BBB59"/>
      <rgbColor rgb="FFFFB300"/>
      <rgbColor rgb="FFF79646"/>
      <rgbColor rgb="FFE65100"/>
      <rgbColor rgb="FF8064A2"/>
      <rgbColor rgb="FF9E9E9E"/>
      <rgbColor rgb="FF003366"/>
      <rgbColor rgb="FF2E7D32"/>
      <rgbColor rgb="FF003300"/>
      <rgbColor rgb="FF5D4037"/>
      <rgbColor rgb="FFC62828"/>
      <rgbColor rgb="FF6D4C41"/>
      <rgbColor rgb="FF757575"/>
      <rgbColor rgb="FF3E27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Pendapatan Bersih vs Laba Bersih</a:t>
            </a:r>
          </a:p>
        </c:rich>
      </c:tx>
      <c:overlay val="0"/>
      <c:spPr>
        <a:noFill/>
        <a:ln w="0">
          <a:noFill/>
        </a:ln>
      </c:spPr>
    </c:title>
    <c:autoTitleDeleted val="0"/>
    <c:plotArea>
      <c:barChart>
        <c:barDir val="col"/>
        <c:grouping val="clustered"/>
        <c:varyColors val="0"/>
        <c:ser>
          <c:idx val="0"/>
          <c:order val="0"/>
          <c:tx>
            <c:strRef>
              <c:f>DASHBOARD!C13</c:f>
              <c:strCache>
                <c:ptCount val="1"/>
                <c:pt idx="0">
                  <c:v>Pendapatan Bersih</c:v>
                </c:pt>
              </c:strCache>
            </c:strRef>
          </c:tx>
          <c:spPr>
            <a:solidFill>
              <a:srgbClr val="a1887f"/>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DASHBOARD!$B$14:$B$25</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DASHBOARD!$C$14:$C$25</c:f>
              <c:numCache>
                <c:formatCode>#,##0;\(#,##0\);\-</c:formatCode>
                <c:ptCount val="12"/>
                <c:pt idx="0">
                  <c:v>90280982</c:v>
                </c:pt>
                <c:pt idx="1">
                  <c:v>68311343</c:v>
                </c:pt>
                <c:pt idx="2">
                  <c:v>93204021</c:v>
                </c:pt>
                <c:pt idx="3">
                  <c:v>85954724</c:v>
                </c:pt>
                <c:pt idx="4">
                  <c:v>102494869</c:v>
                </c:pt>
                <c:pt idx="5">
                  <c:v>95817091</c:v>
                </c:pt>
                <c:pt idx="6">
                  <c:v>85381495</c:v>
                </c:pt>
                <c:pt idx="7">
                  <c:v>87841757</c:v>
                </c:pt>
                <c:pt idx="8">
                  <c:v>86219620</c:v>
                </c:pt>
                <c:pt idx="9">
                  <c:v>0</c:v>
                </c:pt>
                <c:pt idx="10">
                  <c:v>0</c:v>
                </c:pt>
                <c:pt idx="11">
                  <c:v>0</c:v>
                </c:pt>
              </c:numCache>
            </c:numRef>
          </c:val>
        </c:ser>
        <c:ser>
          <c:idx val="1"/>
          <c:order val="1"/>
          <c:tx>
            <c:strRef>
              <c:f>DASHBOARD!F13</c:f>
              <c:strCache>
                <c:ptCount val="1"/>
                <c:pt idx="0">
                  <c:v>Laba Bersih</c:v>
                </c:pt>
              </c:strCache>
            </c:strRef>
          </c:tx>
          <c:spPr>
            <a:solidFill>
              <a:srgbClr val="3e2723"/>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DASHBOARD!$B$14:$B$25</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DASHBOARD!$F$14:$F$25</c:f>
              <c:numCache>
                <c:formatCode>#,##0;\(#,##0\);\-</c:formatCode>
                <c:ptCount val="12"/>
                <c:pt idx="0">
                  <c:v>-51148041</c:v>
                </c:pt>
                <c:pt idx="1">
                  <c:v>-6212118</c:v>
                </c:pt>
                <c:pt idx="2">
                  <c:v>-3403297</c:v>
                </c:pt>
                <c:pt idx="3">
                  <c:v>-20407510</c:v>
                </c:pt>
                <c:pt idx="4">
                  <c:v>16080376</c:v>
                </c:pt>
                <c:pt idx="5">
                  <c:v>5382034</c:v>
                </c:pt>
                <c:pt idx="6">
                  <c:v>4796009</c:v>
                </c:pt>
                <c:pt idx="7">
                  <c:v>17725947</c:v>
                </c:pt>
                <c:pt idx="8">
                  <c:v>-17810102</c:v>
                </c:pt>
                <c:pt idx="9">
                  <c:v>0</c:v>
                </c:pt>
                <c:pt idx="10">
                  <c:v>0</c:v>
                </c:pt>
                <c:pt idx="11">
                  <c:v>0</c:v>
                </c:pt>
              </c:numCache>
            </c:numRef>
          </c:val>
        </c:ser>
        <c:gapWidth val="150"/>
        <c:overlap val="0"/>
        <c:axId val="22251170"/>
        <c:axId val="30321431"/>
      </c:barChart>
      <c:catAx>
        <c:axId val="222511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321431"/>
        <c:crosses val="autoZero"/>
        <c:auto val="1"/>
        <c:lblAlgn val="ctr"/>
        <c:lblOffset val="100"/>
        <c:noMultiLvlLbl val="0"/>
      </c:catAx>
      <c:valAx>
        <c:axId val="30321431"/>
        <c:scaling>
          <c:orientation val="minMax"/>
        </c:scaling>
        <c:delete val="0"/>
        <c:axPos val="l"/>
        <c:numFmt formatCode="#,##0,,&quot;jt&quot;"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25117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Food Cost &amp; Payroll (% pendapatan)</a:t>
            </a:r>
          </a:p>
        </c:rich>
      </c:tx>
      <c:overlay val="0"/>
      <c:spPr>
        <a:noFill/>
        <a:ln w="0">
          <a:noFill/>
        </a:ln>
      </c:spPr>
    </c:title>
    <c:autoTitleDeleted val="0"/>
    <c:plotArea>
      <c:barChart>
        <c:barDir val="col"/>
        <c:grouping val="clustered"/>
        <c:varyColors val="0"/>
        <c:ser>
          <c:idx val="0"/>
          <c:order val="0"/>
          <c:tx>
            <c:strRef>
              <c:f>DASHBOARD!H13</c:f>
              <c:strCache>
                <c:ptCount val="1"/>
                <c:pt idx="0">
                  <c:v>Food Cost</c:v>
                </c:pt>
              </c:strCache>
            </c:strRef>
          </c:tx>
          <c:spPr>
            <a:solidFill>
              <a:srgbClr val="c62828"/>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DASHBOARD!$B$14:$B$25</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DASHBOARD!$H$14:$H$25</c:f>
              <c:numCache>
                <c:formatCode>0.0%;\(0.0%\);\-</c:formatCode>
                <c:ptCount val="12"/>
                <c:pt idx="0">
                  <c:v>0.312007018266594</c:v>
                </c:pt>
                <c:pt idx="1">
                  <c:v>0.4572258226573</c:v>
                </c:pt>
                <c:pt idx="2">
                  <c:v>0.354460962580145</c:v>
                </c:pt>
                <c:pt idx="3">
                  <c:v>0.653469540545555</c:v>
                </c:pt>
                <c:pt idx="4">
                  <c:v>0.338799135398671</c:v>
                </c:pt>
                <c:pt idx="5">
                  <c:v>0.471069477573683</c:v>
                </c:pt>
                <c:pt idx="6">
                  <c:v>0.39725287077721</c:v>
                </c:pt>
                <c:pt idx="7">
                  <c:v>0.26289342095013</c:v>
                </c:pt>
                <c:pt idx="8">
                  <c:v>0.615855173103291</c:v>
                </c:pt>
              </c:numCache>
            </c:numRef>
          </c:val>
        </c:ser>
        <c:ser>
          <c:idx val="1"/>
          <c:order val="1"/>
          <c:tx>
            <c:strRef>
              <c:f>DASHBOARD!I13</c:f>
              <c:strCache>
                <c:ptCount val="1"/>
                <c:pt idx="0">
                  <c:v>Payroll</c:v>
                </c:pt>
              </c:strCache>
            </c:strRef>
          </c:tx>
          <c:spPr>
            <a:solidFill>
              <a:srgbClr val="a1887f"/>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DASHBOARD!$B$14:$B$25</c:f>
              <c:strCache>
                <c:ptCount val="12"/>
                <c:pt idx="0">
                  <c:v>Jan</c:v>
                </c:pt>
                <c:pt idx="1">
                  <c:v>Feb</c:v>
                </c:pt>
                <c:pt idx="2">
                  <c:v>Mar</c:v>
                </c:pt>
                <c:pt idx="3">
                  <c:v>Apr</c:v>
                </c:pt>
                <c:pt idx="4">
                  <c:v>Mei</c:v>
                </c:pt>
                <c:pt idx="5">
                  <c:v>Jun</c:v>
                </c:pt>
                <c:pt idx="6">
                  <c:v>Jul</c:v>
                </c:pt>
                <c:pt idx="7">
                  <c:v>Agu</c:v>
                </c:pt>
                <c:pt idx="8">
                  <c:v>Sep</c:v>
                </c:pt>
                <c:pt idx="9">
                  <c:v>Okt</c:v>
                </c:pt>
                <c:pt idx="10">
                  <c:v>Nov</c:v>
                </c:pt>
                <c:pt idx="11">
                  <c:v>Des</c:v>
                </c:pt>
              </c:strCache>
            </c:strRef>
          </c:cat>
          <c:val>
            <c:numRef>
              <c:f>DASHBOARD!$I$14:$I$25</c:f>
              <c:numCache>
                <c:formatCode>0.0%;\(0.0%\);\-</c:formatCode>
                <c:ptCount val="12"/>
                <c:pt idx="0">
                  <c:v>0.283891462323704</c:v>
                </c:pt>
                <c:pt idx="1">
                  <c:v>0.390776975355323</c:v>
                </c:pt>
                <c:pt idx="2">
                  <c:v>0.460302029243996</c:v>
                </c:pt>
                <c:pt idx="3">
                  <c:v>0.317213513477165</c:v>
                </c:pt>
                <c:pt idx="4">
                  <c:v>0.286895659137825</c:v>
                </c:pt>
                <c:pt idx="5">
                  <c:v>0.316157928443058</c:v>
                </c:pt>
                <c:pt idx="6">
                  <c:v>0.266583912591364</c:v>
                </c:pt>
                <c:pt idx="7">
                  <c:v>0.275146283788472</c:v>
                </c:pt>
                <c:pt idx="8">
                  <c:v>0.287548622923645</c:v>
                </c:pt>
              </c:numCache>
            </c:numRef>
          </c:val>
        </c:ser>
        <c:gapWidth val="150"/>
        <c:overlap val="0"/>
        <c:axId val="47103539"/>
        <c:axId val="40125037"/>
      </c:barChart>
      <c:catAx>
        <c:axId val="471035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125037"/>
        <c:crosses val="autoZero"/>
        <c:auto val="1"/>
        <c:lblAlgn val="ctr"/>
        <c:lblOffset val="100"/>
        <c:noMultiLvlLbl val="0"/>
      </c:catAx>
      <c:valAx>
        <c:axId val="40125037"/>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10353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Ke mana setiap Rp100 pendapatan pergi</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4"/>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5"/>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DASHBOARD!$B$47:$B$52</c:f>
              <c:strCache>
                <c:ptCount val="6"/>
                <c:pt idx="0">
                  <c:v>HPP</c:v>
                </c:pt>
                <c:pt idx="1">
                  <c:v>Gaji</c:v>
                </c:pt>
                <c:pt idx="2">
                  <c:v>Sewa</c:v>
                </c:pt>
                <c:pt idx="3">
                  <c:v>Marketing &amp; event</c:v>
                </c:pt>
                <c:pt idx="4">
                  <c:v>Tagihan bulanan</c:v>
                </c:pt>
                <c:pt idx="5">
                  <c:v>Beban lainnya</c:v>
                </c:pt>
              </c:strCache>
            </c:strRef>
          </c:cat>
          <c:val>
            <c:numRef>
              <c:f>DASHBOARD!$C$47:$C$52</c:f>
              <c:numCache>
                <c:formatCode>#,##0;\(#,##0\);\-</c:formatCode>
                <c:ptCount val="6"/>
                <c:pt idx="0">
                  <c:v>338579534</c:v>
                </c:pt>
                <c:pt idx="1">
                  <c:v>253914165</c:v>
                </c:pt>
                <c:pt idx="2">
                  <c:v>80000000</c:v>
                </c:pt>
                <c:pt idx="3">
                  <c:v>79193298</c:v>
                </c:pt>
                <c:pt idx="4">
                  <c:v>45436921</c:v>
                </c:pt>
                <c:pt idx="5">
                  <c:v>50765307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Laba (Rugi) per Event</a:t>
            </a:r>
          </a:p>
        </c:rich>
      </c:tx>
      <c:overlay val="0"/>
      <c:spPr>
        <a:noFill/>
        <a:ln w="0">
          <a:noFill/>
        </a:ln>
      </c:spPr>
    </c:title>
    <c:autoTitleDeleted val="0"/>
    <c:plotArea>
      <c:barChart>
        <c:barDir val="bar"/>
        <c:grouping val="clustered"/>
        <c:varyColors val="0"/>
        <c:ser>
          <c:idx val="0"/>
          <c:order val="0"/>
          <c:tx>
            <c:strRef>
              <c:f>'ANALISIS EVENT'!F4</c:f>
              <c:strCache>
                <c:ptCount val="1"/>
                <c:pt idx="0">
                  <c:v>Laba (Rugi)</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'ANALISIS EVENT'!$B$5:$B$10</c:f>
              <c:strCache>
                <c:ptCount val="6"/>
                <c:pt idx="0">
                  <c:v>Event Ragaria</c:v>
                </c:pt>
                <c:pt idx="1">
                  <c:v>Event Maharia</c:v>
                </c:pt>
                <c:pt idx="2">
                  <c:v>Event Artefac</c:v>
                </c:pt>
                <c:pt idx="3">
                  <c:v>Event Yoga</c:v>
                </c:pt>
                <c:pt idx="4">
                  <c:v>Event Solo Coffee Party</c:v>
                </c:pt>
                <c:pt idx="5">
                  <c:v>Event Lokananta</c:v>
                </c:pt>
              </c:strCache>
            </c:strRef>
          </c:cat>
          <c:val>
            <c:numRef>
              <c:f>'ANALISIS EVENT'!$F$5:$F$10</c:f>
              <c:numCache>
                <c:formatCode>#,##0;\(#,##0\);\-</c:formatCode>
                <c:ptCount val="6"/>
                <c:pt idx="0">
                  <c:v>-5630000</c:v>
                </c:pt>
                <c:pt idx="1">
                  <c:v>-46680054</c:v>
                </c:pt>
                <c:pt idx="2">
                  <c:v>-727601</c:v>
                </c:pt>
                <c:pt idx="3">
                  <c:v>1237000</c:v>
                </c:pt>
                <c:pt idx="4">
                  <c:v>-6878000</c:v>
                </c:pt>
                <c:pt idx="5">
                  <c:v>1394250</c:v>
                </c:pt>
              </c:numCache>
            </c:numRef>
          </c:val>
        </c:ser>
        <c:gapWidth val="150"/>
        <c:overlap val="0"/>
        <c:axId val="68708576"/>
        <c:axId val="64422406"/>
      </c:barChart>
      <c:catAx>
        <c:axId val="687085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22406"/>
        <c:crosses val="autoZero"/>
        <c:auto val="1"/>
        <c:lblAlgn val="ctr"/>
        <c:lblOffset val="100"/>
        <c:noMultiLvlLbl val="0"/>
      </c:catAx>
      <c:valAx>
        <c:axId val="64422406"/>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7085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2.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25</xdr:row>
      <xdr:rowOff>178920</xdr:rowOff>
    </xdr:from>
    <xdr:to>
      <xdr:col>5</xdr:col>
      <xdr:colOff>975600</xdr:colOff>
      <xdr:row>41</xdr:row>
      <xdr:rowOff>10800</xdr:rowOff>
    </xdr:to>
    <xdr:graphicFrame>
      <xdr:nvGraphicFramePr>
        <xdr:cNvPr id="0" name="Chart 1"/>
        <xdr:cNvGraphicFramePr/>
      </xdr:nvGraphicFramePr>
      <xdr:xfrm>
        <a:off x="141120" y="5467320"/>
        <a:ext cx="44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25</xdr:row>
      <xdr:rowOff>178920</xdr:rowOff>
    </xdr:from>
    <xdr:to>
      <xdr:col>11</xdr:col>
      <xdr:colOff>975240</xdr:colOff>
      <xdr:row>41</xdr:row>
      <xdr:rowOff>10800</xdr:rowOff>
    </xdr:to>
    <xdr:graphicFrame>
      <xdr:nvGraphicFramePr>
        <xdr:cNvPr id="1" name="Chart 2"/>
        <xdr:cNvGraphicFramePr/>
      </xdr:nvGraphicFramePr>
      <xdr:xfrm>
        <a:off x="4933800" y="5467320"/>
        <a:ext cx="44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42</xdr:row>
      <xdr:rowOff>178920</xdr:rowOff>
    </xdr:from>
    <xdr:to>
      <xdr:col>11</xdr:col>
      <xdr:colOff>795240</xdr:colOff>
      <xdr:row>58</xdr:row>
      <xdr:rowOff>10800</xdr:rowOff>
    </xdr:to>
    <xdr:graphicFrame>
      <xdr:nvGraphicFramePr>
        <xdr:cNvPr id="2" name="Chart 3"/>
        <xdr:cNvGraphicFramePr/>
      </xdr:nvGraphicFramePr>
      <xdr:xfrm>
        <a:off x="4933800" y="8705880"/>
        <a:ext cx="431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18720</xdr:rowOff>
    </xdr:from>
    <xdr:to>
      <xdr:col>5</xdr:col>
      <xdr:colOff>825480</xdr:colOff>
      <xdr:row>27</xdr:row>
      <xdr:rowOff>61560</xdr:rowOff>
    </xdr:to>
    <xdr:graphicFrame>
      <xdr:nvGraphicFramePr>
        <xdr:cNvPr id="3" name="Chart 1"/>
        <xdr:cNvGraphicFramePr/>
      </xdr:nvGraphicFramePr>
      <xdr:xfrm>
        <a:off x="211320" y="285768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KOPI_PARANG_LAPORAN_KEUANGAN_2026_v2.xlsx" TargetMode="External"/><Relationship Id="rId2" Type="http://schemas.openxmlformats.org/officeDocument/2006/relationships/hyperlink" Target="KOPI_PARANG_LAPORAN_KEUANGAN_2026_v2.xlsx" TargetMode="External"/><Relationship Id="rId3" Type="http://schemas.openxmlformats.org/officeDocument/2006/relationships/hyperlink" Target="KOPI_PARANG_LAPORAN_KEUANGAN_2026_v2.xlsx" TargetMode="External"/><Relationship Id="rId4" Type="http://schemas.openxmlformats.org/officeDocument/2006/relationships/hyperlink" Target="KOPI_PARANG_LAPORAN_KEUANGAN_2026_v2.xlsx" TargetMode="External"/><Relationship Id="rId5" Type="http://schemas.openxmlformats.org/officeDocument/2006/relationships/hyperlink" Target="KOPI_PARANG_LAPORAN_KEUANGAN_2026_v2.xlsx" TargetMode="External"/><Relationship Id="rId6" Type="http://schemas.openxmlformats.org/officeDocument/2006/relationships/hyperlink" Target="KOPI_PARANG_LAPORAN_KEUANGAN_2026_v2.xlsx" TargetMode="External"/><Relationship Id="rId7" Type="http://schemas.openxmlformats.org/officeDocument/2006/relationships/hyperlink" Target="KOPI_PARANG_LAPORAN_KEUANGAN_2026_v2.xlsx" TargetMode="External"/><Relationship Id="rId8" Type="http://schemas.openxmlformats.org/officeDocument/2006/relationships/hyperlink" Target="KOPI_PARANG_LAPORAN_KEUANGAN_2026_v2.xlsx" TargetMode="External"/><Relationship Id="rId9" Type="http://schemas.openxmlformats.org/officeDocument/2006/relationships/hyperlink" Target="KOPI_PARANG_LAPORAN_KEUANGAN_2026_v2.xlsx" TargetMode="External"/><Relationship Id="rId10" Type="http://schemas.openxmlformats.org/officeDocument/2006/relationships/hyperlink" Target="KOPI_PARANG_LAPORAN_KEUANGAN_2026_v2.xlsx" TargetMode="External"/><Relationship Id="rId11" Type="http://schemas.openxmlformats.org/officeDocument/2006/relationships/hyperlink" Target="KOPI_PARANG_LAPORAN_KEUANGAN_2026_v2.xlsx" TargetMode="External"/><Relationship Id="rId12" Type="http://schemas.openxmlformats.org/officeDocument/2006/relationships/hyperlink" Target="KOPI_PARANG_LAPORAN_KEUANGAN_2026_v2.xlsx" TargetMode="External"/><Relationship Id="rId13" Type="http://schemas.openxmlformats.org/officeDocument/2006/relationships/hyperlink" Target="KOPI_PARANG_LAPORAN_KEUANGAN_2026_v2.xlsx" TargetMode="External"/><Relationship Id="rId14" Type="http://schemas.openxmlformats.org/officeDocument/2006/relationships/hyperlink" Target="KOPI_PARANG_LAPORAN_KEUANGAN_2026_v2.xlsx" TargetMode="External"/><Relationship Id="rId15" Type="http://schemas.openxmlformats.org/officeDocument/2006/relationships/hyperlink" Target="KOPI_PARANG_LAPORAN_KEUANGAN_2026_v2.xlsx" TargetMode="External"/><Relationship Id="rId16" Type="http://schemas.openxmlformats.org/officeDocument/2006/relationships/hyperlink" Target="KOPI_PARANG_LAPORAN_KEUANGAN_2026_v2.xlsx" TargetMode="External"/><Relationship Id="rId17" Type="http://schemas.openxmlformats.org/officeDocument/2006/relationships/hyperlink" Target="KOPI_PARANG_LAPORAN_KEUANGAN_2026_v2.xlsx" TargetMode="External"/><Relationship Id="rId18" Type="http://schemas.openxmlformats.org/officeDocument/2006/relationships/hyperlink" Target="KOPI_PARANG_LAPORAN_KEUANGAN_2026_v2.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_rels/sheet13.xml.rels><?xml version="1.0" encoding="UTF-8"?>
<Relationships xmlns="http://schemas.openxmlformats.org/package/2006/relationships"><Relationship Id="rId1" Type="http://schemas.openxmlformats.org/officeDocument/2006/relationships/drawing" Target="../drawings/drawing3.xml"/>
</Relationships>
</file>

<file path=xl/worksheets/_rels/sheet14.xml.rels><?xml version="1.0" encoding="UTF-8"?>
<Relationships xmlns="http://schemas.openxmlformats.org/package/2006/relationships"><Relationship Id="rId1" Type="http://schemas.openxmlformats.org/officeDocument/2006/relationships/drawing" Target="../drawings/drawing4.x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E2723"/>
    <pageSetUpPr fitToPage="true"/>
  </sheetPr>
  <dimension ref="A1:E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30"/>
    <col collapsed="false" customWidth="true" hidden="false" outlineLevel="0" max="4" min="4" style="0" width="70"/>
  </cols>
  <sheetData>
    <row r="1" customFormat="false" ht="15" hidden="false" customHeight="false" outlineLevel="0" collapsed="false">
      <c r="A1" s="1"/>
      <c r="B1" s="1"/>
      <c r="C1" s="1"/>
      <c r="D1" s="1"/>
      <c r="E1" s="1"/>
    </row>
    <row r="2" customFormat="false" ht="15" hidden="false" customHeight="false" outlineLevel="0" collapsed="false">
      <c r="A2" s="1"/>
      <c r="B2" s="1"/>
      <c r="C2" s="1"/>
      <c r="D2" s="1"/>
      <c r="E2" s="1"/>
    </row>
    <row r="3" customFormat="false" ht="31.5" hidden="false" customHeight="false" outlineLevel="0" collapsed="false">
      <c r="A3" s="1"/>
      <c r="B3" s="1"/>
      <c r="C3" s="2" t="str">
        <f aca="false">UPPER(NAMA_USAHA)</f>
        <v>KOPI PARANG</v>
      </c>
      <c r="D3" s="1"/>
      <c r="E3" s="1"/>
    </row>
    <row r="4" customFormat="false" ht="15" hidden="false" customHeight="false" outlineLevel="0" collapsed="false">
      <c r="A4" s="1"/>
      <c r="B4" s="1"/>
      <c r="C4" s="1"/>
      <c r="D4" s="1"/>
      <c r="E4" s="1"/>
    </row>
    <row r="5" customFormat="false" ht="17.35" hidden="false" customHeight="false" outlineLevel="0" collapsed="false">
      <c r="A5" s="1"/>
      <c r="B5" s="1"/>
      <c r="C5" s="3" t="s">
        <v>0</v>
      </c>
      <c r="D5" s="1"/>
      <c r="E5" s="1"/>
    </row>
    <row r="6" customFormat="false" ht="15" hidden="false" customHeight="false" outlineLevel="0" collapsed="false">
      <c r="A6" s="1"/>
      <c r="B6" s="1"/>
      <c r="C6" s="4" t="str">
        <f aca="false">"Periode 1 Januari – "&amp;TEXT(DATE(TAHUN,BLN+1,0),"d")&amp;" "&amp;NAMA_BLN&amp;" "&amp;TAHUN</f>
        <v>Periode 1 Januari – 30 September 2026</v>
      </c>
      <c r="D6" s="1"/>
      <c r="E6" s="1"/>
    </row>
    <row r="7" customFormat="false" ht="15" hidden="false" customHeight="false" outlineLevel="0" collapsed="false">
      <c r="A7" s="1"/>
      <c r="B7" s="1"/>
      <c r="C7" s="1"/>
      <c r="D7" s="1"/>
      <c r="E7" s="1"/>
    </row>
    <row r="8" customFormat="false" ht="15" hidden="false" customHeight="false" outlineLevel="0" collapsed="false">
      <c r="A8" s="1"/>
      <c r="B8" s="1"/>
      <c r="C8" s="1"/>
      <c r="D8" s="1"/>
      <c r="E8" s="1"/>
    </row>
    <row r="9" customFormat="false" ht="15" hidden="false" customHeight="false" outlineLevel="0" collapsed="false">
      <c r="A9" s="5"/>
      <c r="B9" s="5"/>
      <c r="C9" s="5"/>
      <c r="D9" s="5"/>
      <c r="E9" s="5"/>
    </row>
    <row r="10" customFormat="false" ht="15" hidden="false" customHeight="false" outlineLevel="0" collapsed="false">
      <c r="A10" s="5"/>
      <c r="B10" s="5"/>
      <c r="C10" s="6" t="s">
        <v>1</v>
      </c>
      <c r="D10" s="5"/>
      <c r="E10" s="5"/>
    </row>
    <row r="11" customFormat="false" ht="15" hidden="false" customHeight="false" outlineLevel="0" collapsed="false">
      <c r="A11" s="5"/>
      <c r="B11" s="7" t="n">
        <v>1</v>
      </c>
      <c r="C11" s="8" t="s">
        <v>2</v>
      </c>
      <c r="D11" s="9" t="s">
        <v>3</v>
      </c>
      <c r="E11" s="5"/>
    </row>
    <row r="12" customFormat="false" ht="15" hidden="false" customHeight="false" outlineLevel="0" collapsed="false">
      <c r="A12" s="5"/>
      <c r="B12" s="7" t="n">
        <v>2</v>
      </c>
      <c r="C12" s="8" t="s">
        <v>4</v>
      </c>
      <c r="D12" s="9" t="s">
        <v>5</v>
      </c>
      <c r="E12" s="5"/>
    </row>
    <row r="13" customFormat="false" ht="15" hidden="false" customHeight="false" outlineLevel="0" collapsed="false">
      <c r="A13" s="5"/>
      <c r="B13" s="7" t="n">
        <v>3</v>
      </c>
      <c r="C13" s="8" t="s">
        <v>6</v>
      </c>
      <c r="D13" s="9" t="s">
        <v>7</v>
      </c>
      <c r="E13" s="5"/>
    </row>
    <row r="14" customFormat="false" ht="15" hidden="false" customHeight="false" outlineLevel="0" collapsed="false">
      <c r="A14" s="5"/>
      <c r="B14" s="7" t="n">
        <v>4</v>
      </c>
      <c r="C14" s="8" t="s">
        <v>8</v>
      </c>
      <c r="D14" s="9" t="s">
        <v>9</v>
      </c>
      <c r="E14" s="5"/>
    </row>
    <row r="15" customFormat="false" ht="15" hidden="false" customHeight="false" outlineLevel="0" collapsed="false">
      <c r="A15" s="5"/>
      <c r="B15" s="7" t="n">
        <v>5</v>
      </c>
      <c r="C15" s="8" t="s">
        <v>10</v>
      </c>
      <c r="D15" s="9" t="s">
        <v>11</v>
      </c>
      <c r="E15" s="5"/>
    </row>
    <row r="16" customFormat="false" ht="15" hidden="false" customHeight="false" outlineLevel="0" collapsed="false">
      <c r="A16" s="5"/>
      <c r="B16" s="7" t="n">
        <v>6</v>
      </c>
      <c r="C16" s="8" t="s">
        <v>12</v>
      </c>
      <c r="D16" s="9" t="s">
        <v>13</v>
      </c>
      <c r="E16" s="5"/>
    </row>
    <row r="17" customFormat="false" ht="15" hidden="false" customHeight="false" outlineLevel="0" collapsed="false">
      <c r="A17" s="5"/>
      <c r="B17" s="7" t="n">
        <v>7</v>
      </c>
      <c r="C17" s="8" t="s">
        <v>14</v>
      </c>
      <c r="D17" s="9" t="s">
        <v>15</v>
      </c>
      <c r="E17" s="5"/>
    </row>
    <row r="18" customFormat="false" ht="15" hidden="false" customHeight="false" outlineLevel="0" collapsed="false">
      <c r="A18" s="5"/>
      <c r="B18" s="7" t="n">
        <v>8</v>
      </c>
      <c r="C18" s="8" t="s">
        <v>16</v>
      </c>
      <c r="D18" s="9" t="s">
        <v>17</v>
      </c>
      <c r="E18" s="5"/>
    </row>
    <row r="19" customFormat="false" ht="15" hidden="false" customHeight="false" outlineLevel="0" collapsed="false">
      <c r="A19" s="5"/>
      <c r="B19" s="7" t="n">
        <v>9</v>
      </c>
      <c r="C19" s="8" t="s">
        <v>18</v>
      </c>
      <c r="D19" s="9" t="s">
        <v>19</v>
      </c>
      <c r="E19" s="5"/>
    </row>
    <row r="20" customFormat="false" ht="15" hidden="false" customHeight="false" outlineLevel="0" collapsed="false">
      <c r="A20" s="5"/>
      <c r="B20" s="7" t="n">
        <v>10</v>
      </c>
      <c r="C20" s="8" t="s">
        <v>20</v>
      </c>
      <c r="D20" s="9" t="s">
        <v>21</v>
      </c>
      <c r="E20" s="5"/>
    </row>
    <row r="21" customFormat="false" ht="15" hidden="false" customHeight="false" outlineLevel="0" collapsed="false">
      <c r="A21" s="5"/>
      <c r="B21" s="7" t="n">
        <v>11</v>
      </c>
      <c r="C21" s="8" t="s">
        <v>22</v>
      </c>
      <c r="D21" s="9" t="s">
        <v>23</v>
      </c>
      <c r="E21" s="5"/>
    </row>
    <row r="22" customFormat="false" ht="15" hidden="false" customHeight="false" outlineLevel="0" collapsed="false">
      <c r="A22" s="5"/>
      <c r="B22" s="7" t="n">
        <v>12</v>
      </c>
      <c r="C22" s="8" t="s">
        <v>24</v>
      </c>
      <c r="D22" s="9" t="s">
        <v>25</v>
      </c>
      <c r="E22" s="5"/>
    </row>
    <row r="23" customFormat="false" ht="15" hidden="false" customHeight="false" outlineLevel="0" collapsed="false">
      <c r="A23" s="5"/>
      <c r="B23" s="7" t="n">
        <v>13</v>
      </c>
      <c r="C23" s="8" t="s">
        <v>26</v>
      </c>
      <c r="D23" s="9" t="s">
        <v>27</v>
      </c>
      <c r="E23" s="5"/>
    </row>
    <row r="24" customFormat="false" ht="15" hidden="false" customHeight="false" outlineLevel="0" collapsed="false">
      <c r="A24" s="5"/>
      <c r="B24" s="7" t="n">
        <v>14</v>
      </c>
      <c r="C24" s="8" t="s">
        <v>28</v>
      </c>
      <c r="D24" s="9" t="s">
        <v>29</v>
      </c>
      <c r="E24" s="5"/>
    </row>
    <row r="25" customFormat="false" ht="15" hidden="false" customHeight="false" outlineLevel="0" collapsed="false">
      <c r="A25" s="5"/>
      <c r="B25" s="7" t="n">
        <v>15</v>
      </c>
      <c r="C25" s="8" t="s">
        <v>30</v>
      </c>
      <c r="D25" s="9" t="s">
        <v>31</v>
      </c>
      <c r="E25" s="5"/>
    </row>
    <row r="26" customFormat="false" ht="15" hidden="false" customHeight="false" outlineLevel="0" collapsed="false">
      <c r="A26" s="5"/>
      <c r="B26" s="7" t="n">
        <v>16</v>
      </c>
      <c r="C26" s="8" t="s">
        <v>32</v>
      </c>
      <c r="D26" s="9" t="s">
        <v>33</v>
      </c>
      <c r="E26" s="5"/>
    </row>
    <row r="27" customFormat="false" ht="15" hidden="false" customHeight="false" outlineLevel="0" collapsed="false">
      <c r="A27" s="5"/>
      <c r="B27" s="7" t="n">
        <v>17</v>
      </c>
      <c r="C27" s="8" t="s">
        <v>34</v>
      </c>
      <c r="D27" s="9" t="s">
        <v>35</v>
      </c>
      <c r="E27" s="5"/>
    </row>
    <row r="28" customFormat="false" ht="15" hidden="false" customHeight="false" outlineLevel="0" collapsed="false">
      <c r="A28" s="5"/>
      <c r="B28" s="7" t="n">
        <v>18</v>
      </c>
      <c r="C28" s="8" t="s">
        <v>36</v>
      </c>
      <c r="D28" s="9" t="s">
        <v>37</v>
      </c>
      <c r="E28" s="5"/>
    </row>
    <row r="29" customFormat="false" ht="15" hidden="false" customHeight="false" outlineLevel="0" collapsed="false">
      <c r="A29" s="5"/>
      <c r="B29" s="5"/>
      <c r="C29" s="5"/>
      <c r="D29" s="5"/>
      <c r="E29" s="5"/>
    </row>
    <row r="30" customFormat="false" ht="15" hidden="false" customHeight="false" outlineLevel="0" collapsed="false">
      <c r="A30" s="5"/>
      <c r="B30" s="5"/>
      <c r="C30" s="6" t="s">
        <v>38</v>
      </c>
      <c r="D30" s="5"/>
      <c r="E30" s="5"/>
    </row>
    <row r="31" customFormat="false" ht="15" hidden="false" customHeight="false" outlineLevel="0" collapsed="false">
      <c r="A31" s="5"/>
      <c r="B31" s="5"/>
      <c r="C31" s="10" t="s">
        <v>39</v>
      </c>
      <c r="D31" s="5"/>
      <c r="E31" s="5"/>
    </row>
    <row r="32" customFormat="false" ht="15" hidden="false" customHeight="false" outlineLevel="0" collapsed="false">
      <c r="A32" s="5"/>
      <c r="B32" s="5"/>
      <c r="C32" s="10" t="s">
        <v>40</v>
      </c>
      <c r="D32" s="5"/>
      <c r="E32" s="5"/>
    </row>
    <row r="33" customFormat="false" ht="15" hidden="false" customHeight="false" outlineLevel="0" collapsed="false">
      <c r="A33" s="5"/>
      <c r="B33" s="5"/>
      <c r="C33" s="10" t="s">
        <v>41</v>
      </c>
      <c r="D33" s="5"/>
      <c r="E33" s="5"/>
    </row>
    <row r="34" customFormat="false" ht="15" hidden="false" customHeight="false" outlineLevel="0" collapsed="false">
      <c r="A34" s="5"/>
      <c r="B34" s="5"/>
      <c r="C34" s="10" t="s">
        <v>42</v>
      </c>
      <c r="D34" s="5"/>
      <c r="E34" s="5"/>
    </row>
    <row r="35" customFormat="false" ht="15" hidden="false" customHeight="false" outlineLevel="0" collapsed="false">
      <c r="A35" s="5"/>
      <c r="B35" s="5"/>
      <c r="C35" s="5"/>
      <c r="D35" s="5"/>
      <c r="E35" s="5"/>
    </row>
    <row r="36" customFormat="false" ht="15" hidden="false" customHeight="false" outlineLevel="0" collapsed="false">
      <c r="A36" s="5"/>
      <c r="B36" s="5"/>
      <c r="C36" s="6" t="s">
        <v>43</v>
      </c>
      <c r="D36" s="5"/>
      <c r="E36" s="5"/>
    </row>
    <row r="37" customFormat="false" ht="15" hidden="false" customHeight="false" outlineLevel="0" collapsed="false">
      <c r="A37" s="5"/>
      <c r="B37" s="5"/>
      <c r="C37" s="11" t="s">
        <v>44</v>
      </c>
      <c r="D37" s="10" t="s">
        <v>45</v>
      </c>
      <c r="E37" s="5"/>
    </row>
    <row r="38" customFormat="false" ht="15" hidden="false" customHeight="false" outlineLevel="0" collapsed="false">
      <c r="A38" s="5"/>
      <c r="B38" s="5"/>
      <c r="C38" s="12" t="s">
        <v>46</v>
      </c>
      <c r="D38" s="10" t="s">
        <v>47</v>
      </c>
      <c r="E38" s="5"/>
    </row>
    <row r="39" customFormat="false" ht="15" hidden="false" customHeight="false" outlineLevel="0" collapsed="false">
      <c r="A39" s="5"/>
      <c r="B39" s="5"/>
      <c r="C39" s="13" t="s">
        <v>48</v>
      </c>
      <c r="D39" s="10" t="s">
        <v>49</v>
      </c>
      <c r="E39" s="5"/>
    </row>
    <row r="40" customFormat="false" ht="15" hidden="false" customHeight="false" outlineLevel="0" collapsed="false">
      <c r="A40" s="5"/>
      <c r="B40" s="5"/>
      <c r="C40" s="14" t="s">
        <v>50</v>
      </c>
      <c r="D40" s="10" t="s">
        <v>51</v>
      </c>
      <c r="E40" s="5"/>
    </row>
    <row r="41" customFormat="false" ht="15" hidden="false" customHeight="false" outlineLevel="0" collapsed="false">
      <c r="A41" s="5"/>
      <c r="B41" s="5"/>
      <c r="C41" s="15" t="s">
        <v>52</v>
      </c>
      <c r="D41" s="10" t="s">
        <v>53</v>
      </c>
      <c r="E41" s="5"/>
    </row>
    <row r="42" customFormat="false" ht="15" hidden="false" customHeight="false" outlineLevel="0" collapsed="false">
      <c r="A42" s="5"/>
      <c r="B42" s="5"/>
      <c r="C42" s="5"/>
      <c r="D42" s="5"/>
      <c r="E42" s="5"/>
    </row>
    <row r="43" customFormat="false" ht="15" hidden="false" customHeight="false" outlineLevel="0" collapsed="false">
      <c r="A43" s="5"/>
      <c r="B43" s="5"/>
      <c r="C43" s="5"/>
      <c r="D43" s="5"/>
      <c r="E43" s="5"/>
    </row>
    <row r="44" customFormat="false" ht="15" hidden="false" customHeight="false" outlineLevel="0" collapsed="false">
      <c r="A44" s="5"/>
      <c r="B44" s="5"/>
      <c r="C44" s="16" t="s">
        <v>54</v>
      </c>
      <c r="D44" s="5"/>
      <c r="E44" s="5"/>
    </row>
  </sheetData>
  <hyperlinks>
    <hyperlink ref="C11" r:id="rId1" location="'PENGATURAN'!A1" display="PENGATURAN"/>
    <hyperlink ref="C12" r:id="rId2" location="'DASHBOARD'!A1" display="DASHBOARD"/>
    <hyperlink ref="C13" r:id="rId3" location="'LABA%20RUGI'!A1" display="LABA RUGI"/>
    <hyperlink ref="C14" r:id="rId4" location="'NERACA'!A1" display="NERACA"/>
    <hyperlink ref="C15" r:id="rId5" location="'ARUS%20KAS'!A1" display="ARUS KAS"/>
    <hyperlink ref="C16" r:id="rId6" location="'PERUBAHAN%20EKUITAS'!A1" display="PERUBAHAN EKUITAS"/>
    <hyperlink ref="C17" r:id="rId7" location="'CALK'!A1" display="CALK"/>
    <hyperlink ref="C18" r:id="rId8" location="'REVIEW'!A1" display="REVIEW"/>
    <hyperlink ref="C19" r:id="rId9" location="'PAJAK'!A1" display="PAJAK"/>
    <hyperlink ref="C20" r:id="rId10" location="'ANALISIS%20EVENT'!A1" display="ANALISIS EVENT"/>
    <hyperlink ref="C21" r:id="rId11" location="'REKAP%20OMZET'!A1" display="REKAP OMZET"/>
    <hyperlink ref="C22" r:id="rId12" location="'OMZET%20HARIAN'!A1" display="OMZET HARIAN"/>
    <hyperlink ref="C23" r:id="rId13" location="'JURNAL'!A1" display="JURNAL"/>
    <hyperlink ref="C24" r:id="rId14" location="'BUKU%20BESAR'!A1" display="BUKU BESAR"/>
    <hyperlink ref="C25" r:id="rId15" location="'NERACA%20SALDO'!A1" display="NERACA SALDO"/>
    <hyperlink ref="C26" r:id="rId16" location="'ASET%20TETAP'!A1" display="ASET TETAP"/>
    <hyperlink ref="C27" r:id="rId17" location="'AKUN'!A1" display="AKUN"/>
    <hyperlink ref="C28" r:id="rId18" location="'MUTASI'!A1" display="MUTASI"/>
  </hyperlinks>
  <printOptions headings="false" gridLines="false" gridLinesSet="true" horizontalCentered="true" verticalCentered="false"/>
  <pageMargins left="0.4" right="0.4"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B300"/>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20"/>
    <col collapsed="false" customWidth="true" hidden="false" outlineLevel="0" max="4" min="4" style="0" width="60"/>
    <col collapsed="false" customWidth="true" hidden="false" outlineLevel="0" max="5" min="5" style="0" width="3"/>
    <col collapsed="false" customWidth="true" hidden="false" outlineLevel="0" max="6" min="6" style="0" width="8"/>
    <col collapsed="false" customWidth="true" hidden="false" outlineLevel="0" max="7" min="7" style="0" width="14"/>
  </cols>
  <sheetData>
    <row r="1" customFormat="false" ht="19.7" hidden="false" customHeight="false" outlineLevel="0" collapsed="false">
      <c r="A1" s="17" t="s">
        <v>2</v>
      </c>
      <c r="B1" s="5"/>
      <c r="C1" s="5"/>
      <c r="D1" s="5"/>
      <c r="E1" s="5"/>
      <c r="F1" s="5"/>
      <c r="G1" s="5"/>
    </row>
    <row r="2" customFormat="false" ht="15" hidden="false" customHeight="false" outlineLevel="0" collapsed="false">
      <c r="A2" s="18" t="s">
        <v>55</v>
      </c>
      <c r="B2" s="5"/>
      <c r="C2" s="5"/>
      <c r="D2" s="5"/>
      <c r="E2" s="5"/>
      <c r="F2" s="5"/>
      <c r="G2" s="5"/>
    </row>
    <row r="3" customFormat="false" ht="15" hidden="false" customHeight="false" outlineLevel="0" collapsed="false">
      <c r="A3" s="5"/>
      <c r="B3" s="19" t="s">
        <v>56</v>
      </c>
      <c r="C3" s="20" t="s">
        <v>57</v>
      </c>
      <c r="D3" s="19" t="s">
        <v>58</v>
      </c>
      <c r="E3" s="5"/>
      <c r="F3" s="5"/>
      <c r="G3" s="5"/>
    </row>
    <row r="4" customFormat="false" ht="15" hidden="false" customHeight="false" outlineLevel="0" collapsed="false">
      <c r="A4" s="5"/>
      <c r="B4" s="10" t="s">
        <v>59</v>
      </c>
      <c r="C4" s="21" t="s">
        <v>60</v>
      </c>
      <c r="D4" s="22" t="s">
        <v>61</v>
      </c>
      <c r="E4" s="5"/>
      <c r="F4" s="20" t="s">
        <v>62</v>
      </c>
      <c r="G4" s="20" t="s">
        <v>63</v>
      </c>
    </row>
    <row r="5" customFormat="false" ht="15" hidden="false" customHeight="false" outlineLevel="0" collapsed="false">
      <c r="A5" s="5"/>
      <c r="B5" s="10" t="s">
        <v>64</v>
      </c>
      <c r="C5" s="23" t="n">
        <v>2026</v>
      </c>
      <c r="D5" s="22" t="s">
        <v>65</v>
      </c>
      <c r="E5" s="5"/>
      <c r="F5" s="24" t="n">
        <v>1</v>
      </c>
      <c r="G5" s="10" t="s">
        <v>66</v>
      </c>
    </row>
    <row r="6" customFormat="false" ht="15" hidden="false" customHeight="false" outlineLevel="0" collapsed="false">
      <c r="A6" s="5"/>
      <c r="B6" s="10" t="s">
        <v>67</v>
      </c>
      <c r="C6" s="23" t="n">
        <v>9</v>
      </c>
      <c r="D6" s="22" t="s">
        <v>68</v>
      </c>
      <c r="E6" s="5"/>
      <c r="F6" s="24" t="n">
        <v>2</v>
      </c>
      <c r="G6" s="10" t="s">
        <v>69</v>
      </c>
    </row>
    <row r="7" customFormat="false" ht="15" hidden="false" customHeight="false" outlineLevel="0" collapsed="false">
      <c r="A7" s="5"/>
      <c r="B7" s="10" t="s">
        <v>70</v>
      </c>
      <c r="C7" s="25" t="str">
        <f aca="false">INDEX($G$5:$G$16,$C$6)</f>
        <v>September</v>
      </c>
      <c r="D7" s="22" t="s">
        <v>71</v>
      </c>
      <c r="E7" s="5"/>
      <c r="F7" s="24" t="n">
        <v>3</v>
      </c>
      <c r="G7" s="10" t="s">
        <v>72</v>
      </c>
    </row>
    <row r="8" customFormat="false" ht="15" hidden="false" customHeight="false" outlineLevel="0" collapsed="false">
      <c r="A8" s="5"/>
      <c r="B8" s="10" t="s">
        <v>73</v>
      </c>
      <c r="C8" s="26" t="n">
        <v>0.1</v>
      </c>
      <c r="D8" s="22" t="s">
        <v>74</v>
      </c>
      <c r="E8" s="5"/>
      <c r="F8" s="24" t="n">
        <v>4</v>
      </c>
      <c r="G8" s="10" t="s">
        <v>75</v>
      </c>
    </row>
    <row r="9" customFormat="false" ht="15" hidden="false" customHeight="false" outlineLevel="0" collapsed="false">
      <c r="A9" s="5"/>
      <c r="B9" s="10" t="s">
        <v>76</v>
      </c>
      <c r="C9" s="21" t="s">
        <v>77</v>
      </c>
      <c r="D9" s="22" t="s">
        <v>78</v>
      </c>
      <c r="E9" s="5"/>
      <c r="F9" s="24" t="n">
        <v>5</v>
      </c>
      <c r="G9" s="10" t="s">
        <v>79</v>
      </c>
    </row>
    <row r="10" customFormat="false" ht="15" hidden="false" customHeight="false" outlineLevel="0" collapsed="false">
      <c r="A10" s="5"/>
      <c r="B10" s="10" t="s">
        <v>80</v>
      </c>
      <c r="C10" s="21" t="s">
        <v>77</v>
      </c>
      <c r="D10" s="22" t="s">
        <v>81</v>
      </c>
      <c r="E10" s="5"/>
      <c r="F10" s="24" t="n">
        <v>6</v>
      </c>
      <c r="G10" s="10" t="s">
        <v>82</v>
      </c>
    </row>
    <row r="11" customFormat="false" ht="15" hidden="false" customHeight="false" outlineLevel="0" collapsed="false">
      <c r="A11" s="5"/>
      <c r="B11" s="5"/>
      <c r="C11" s="5"/>
      <c r="D11" s="5"/>
      <c r="E11" s="5"/>
      <c r="F11" s="24" t="n">
        <v>7</v>
      </c>
      <c r="G11" s="10" t="s">
        <v>83</v>
      </c>
    </row>
    <row r="12" customFormat="false" ht="15" hidden="false" customHeight="false" outlineLevel="0" collapsed="false">
      <c r="A12" s="5"/>
      <c r="B12" s="10" t="s">
        <v>84</v>
      </c>
      <c r="C12" s="27" t="n">
        <v>100000000</v>
      </c>
      <c r="D12" s="22" t="s">
        <v>85</v>
      </c>
      <c r="E12" s="5"/>
      <c r="F12" s="24" t="n">
        <v>8</v>
      </c>
      <c r="G12" s="10" t="s">
        <v>86</v>
      </c>
    </row>
    <row r="13" customFormat="false" ht="15" hidden="false" customHeight="false" outlineLevel="0" collapsed="false">
      <c r="A13" s="5"/>
      <c r="B13" s="5"/>
      <c r="C13" s="5"/>
      <c r="D13" s="5"/>
      <c r="E13" s="5"/>
      <c r="F13" s="24" t="n">
        <v>9</v>
      </c>
      <c r="G13" s="10" t="s">
        <v>87</v>
      </c>
    </row>
    <row r="14" customFormat="false" ht="15" hidden="false" customHeight="false" outlineLevel="0" collapsed="false">
      <c r="A14" s="5"/>
      <c r="B14" s="10" t="s">
        <v>88</v>
      </c>
      <c r="C14" s="26" t="n">
        <v>0.35</v>
      </c>
      <c r="D14" s="22" t="s">
        <v>89</v>
      </c>
      <c r="E14" s="5"/>
      <c r="F14" s="24" t="n">
        <v>10</v>
      </c>
      <c r="G14" s="10" t="s">
        <v>90</v>
      </c>
    </row>
    <row r="15" customFormat="false" ht="15" hidden="false" customHeight="false" outlineLevel="0" collapsed="false">
      <c r="A15" s="5"/>
      <c r="B15" s="10" t="s">
        <v>91</v>
      </c>
      <c r="C15" s="26" t="n">
        <v>0.3</v>
      </c>
      <c r="D15" s="22" t="s">
        <v>92</v>
      </c>
      <c r="E15" s="5"/>
      <c r="F15" s="24" t="n">
        <v>11</v>
      </c>
      <c r="G15" s="10" t="s">
        <v>93</v>
      </c>
    </row>
    <row r="16" customFormat="false" ht="15" hidden="false" customHeight="false" outlineLevel="0" collapsed="false">
      <c r="A16" s="5"/>
      <c r="B16" s="10" t="s">
        <v>94</v>
      </c>
      <c r="C16" s="26" t="n">
        <v>0.1</v>
      </c>
      <c r="D16" s="22" t="s">
        <v>95</v>
      </c>
      <c r="E16" s="5"/>
      <c r="F16" s="24" t="n">
        <v>12</v>
      </c>
      <c r="G16" s="10" t="s">
        <v>96</v>
      </c>
    </row>
    <row r="17" customFormat="false" ht="15" hidden="false" customHeight="false" outlineLevel="0" collapsed="false">
      <c r="A17" s="5"/>
      <c r="B17" s="10" t="s">
        <v>97</v>
      </c>
      <c r="C17" s="26" t="n">
        <v>0.65</v>
      </c>
      <c r="D17" s="22" t="s">
        <v>98</v>
      </c>
      <c r="E17" s="5"/>
      <c r="F17" s="5"/>
      <c r="G17" s="5"/>
    </row>
    <row r="18" customFormat="false" ht="15" hidden="false" customHeight="false" outlineLevel="0" collapsed="false">
      <c r="A18" s="5"/>
      <c r="B18" s="10" t="s">
        <v>99</v>
      </c>
      <c r="C18" s="26" t="n">
        <v>0.1</v>
      </c>
      <c r="D18" s="22" t="s">
        <v>100</v>
      </c>
      <c r="E18" s="5"/>
      <c r="F18" s="5"/>
      <c r="G18" s="5"/>
    </row>
  </sheetData>
  <dataValidations count="2">
    <dataValidation allowBlank="false" errorStyle="stop" operator="between" showDropDown="false" showErrorMessage="false" showInputMessage="false" sqref="C9:C10" type="list">
      <formula1>"YA,TIDAK"</formula1>
      <formula2>0</formula2>
    </dataValidation>
    <dataValidation allowBlank="false" errorStyle="stop" operator="between" showDropDown="false" showErrorMessage="false" showInputMessage="false" sqref="C6" type="whole">
      <formula1>1</formula1>
      <formula2>12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L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6"/>
    <col collapsed="false" customWidth="true" hidden="false" outlineLevel="0" max="4" min="4" style="0" width="2"/>
    <col collapsed="false" customWidth="true" hidden="false" outlineLevel="0" max="6" min="5" style="0" width="16"/>
    <col collapsed="false" customWidth="true" hidden="false" outlineLevel="0" max="7" min="7" style="0" width="2"/>
    <col collapsed="false" customWidth="true" hidden="false" outlineLevel="0" max="9" min="8" style="0" width="16"/>
    <col collapsed="false" customWidth="true" hidden="false" outlineLevel="0" max="10" min="10" style="0" width="2"/>
    <col collapsed="false" customWidth="true" hidden="false" outlineLevel="0" max="12" min="11" style="0" width="16"/>
    <col collapsed="false" customWidth="true" hidden="false" outlineLevel="0" max="13" min="13" style="0" width="2"/>
  </cols>
  <sheetData>
    <row r="1" customFormat="false" ht="22.05" hidden="false" customHeight="false" outlineLevel="0" collapsed="false">
      <c r="A1" s="17"/>
      <c r="B1" s="28" t="str">
        <f aca="false">UPPER(NAMA_USAHA)&amp;"  —  RINGKASAN KEUANGAN"</f>
        <v>KOPI PARANG  —  RINGKASAN KEUANGAN</v>
      </c>
      <c r="C1" s="5"/>
      <c r="D1" s="5"/>
      <c r="E1" s="5"/>
      <c r="F1" s="5"/>
      <c r="G1" s="5"/>
      <c r="H1" s="5"/>
      <c r="I1" s="5"/>
      <c r="J1" s="5"/>
      <c r="K1" s="5"/>
      <c r="L1" s="5"/>
    </row>
    <row r="2" customFormat="false" ht="15" hidden="false" customHeight="false" outlineLevel="0" collapsed="false">
      <c r="A2" s="5"/>
      <c r="B2" s="29" t="str">
        <f aca="false">"Periode 1 Januari – "&amp;TEXT(DATE(TAHUN,BLN+1,0),"d")&amp;" "&amp;NAMA_BLN&amp;" "&amp;TAHUN</f>
        <v>Periode 1 Januari – 30 September 2026</v>
      </c>
      <c r="C2" s="5"/>
      <c r="D2" s="5"/>
      <c r="E2" s="5"/>
      <c r="F2" s="5"/>
      <c r="G2" s="5"/>
      <c r="H2" s="5"/>
      <c r="I2" s="5"/>
      <c r="J2" s="5"/>
      <c r="K2" s="5"/>
      <c r="L2" s="5"/>
    </row>
    <row r="3" customFormat="false" ht="15" hidden="false" customHeight="false" outlineLevel="0" collapsed="false">
      <c r="A3" s="5"/>
      <c r="B3" s="5"/>
      <c r="C3" s="5"/>
      <c r="D3" s="5"/>
      <c r="E3" s="5"/>
      <c r="F3" s="5"/>
      <c r="G3" s="5"/>
      <c r="H3" s="5"/>
      <c r="I3" s="5"/>
      <c r="J3" s="5"/>
      <c r="K3" s="5"/>
      <c r="L3" s="5"/>
    </row>
    <row r="4" customFormat="false" ht="15" hidden="false" customHeight="true" outlineLevel="0" collapsed="false">
      <c r="A4" s="5"/>
      <c r="B4" s="30" t="s">
        <v>101</v>
      </c>
      <c r="C4" s="30"/>
      <c r="D4" s="5"/>
      <c r="E4" s="30" t="s">
        <v>102</v>
      </c>
      <c r="F4" s="30"/>
      <c r="G4" s="5"/>
      <c r="H4" s="30" t="s">
        <v>103</v>
      </c>
      <c r="I4" s="30"/>
      <c r="J4" s="5"/>
      <c r="K4" s="30" t="s">
        <v>104</v>
      </c>
      <c r="L4" s="30"/>
    </row>
    <row r="5" customFormat="false" ht="30" hidden="false" customHeight="true" outlineLevel="0" collapsed="false">
      <c r="A5" s="5"/>
      <c r="B5" s="31" t="n">
        <f aca="false">'LABA RUGI'!$O$11</f>
        <v>795505902</v>
      </c>
      <c r="C5" s="31"/>
      <c r="D5" s="5"/>
      <c r="E5" s="31" t="n">
        <f aca="false">'LABA RUGI'!$O$18</f>
        <v>456926368</v>
      </c>
      <c r="F5" s="31"/>
      <c r="G5" s="5"/>
      <c r="H5" s="31" t="n">
        <f aca="false">'LABA RUGI'!$O$43</f>
        <v>-54996702</v>
      </c>
      <c r="I5" s="31"/>
      <c r="J5" s="5"/>
      <c r="K5" s="31" t="n">
        <f aca="false">NERACA!D7+NERACA!D8+NERACA!D9</f>
        <v>53281608</v>
      </c>
      <c r="L5" s="31"/>
    </row>
    <row r="6" customFormat="false" ht="15" hidden="false" customHeight="false" outlineLevel="0" collapsed="false">
      <c r="A6" s="5"/>
      <c r="B6" s="32" t="str">
        <f aca="false">"Rata-rata "&amp;TEXT('LABA RUGI'!$O$11/BLN,"#,##0")&amp;" / bulan"</f>
        <v>Rata-rata 88,389,545 / bulan</v>
      </c>
      <c r="C6" s="32"/>
      <c r="D6" s="5"/>
      <c r="E6" s="32" t="str">
        <f aca="false">"Margin "&amp;TEXT('LABA RUGI'!$O$19,"0.0%")</f>
        <v>Margin 57.4%</v>
      </c>
      <c r="F6" s="32"/>
      <c r="G6" s="5"/>
      <c r="H6" s="32" t="str">
        <f aca="false">"Margin "&amp;TEXT('LABA RUGI'!$O$44,"0.0%")</f>
        <v>Margin -6.9%</v>
      </c>
      <c r="I6" s="32"/>
      <c r="J6" s="5"/>
      <c r="K6" s="32" t="str">
        <f aca="false">"Tunai "&amp;TEXT(NERACA!D7,"#,##0")</f>
        <v>Tunai 51,913,400</v>
      </c>
      <c r="L6" s="32"/>
    </row>
    <row r="7" customFormat="false" ht="15" hidden="false" customHeight="false" outlineLevel="0" collapsed="false">
      <c r="A7" s="5"/>
      <c r="B7" s="5"/>
      <c r="C7" s="5"/>
      <c r="D7" s="5"/>
      <c r="E7" s="5"/>
      <c r="F7" s="5"/>
      <c r="G7" s="5"/>
      <c r="H7" s="5"/>
      <c r="I7" s="5"/>
      <c r="J7" s="5"/>
      <c r="K7" s="5"/>
      <c r="L7" s="5"/>
    </row>
    <row r="8" customFormat="false" ht="15" hidden="false" customHeight="true" outlineLevel="0" collapsed="false">
      <c r="A8" s="5"/>
      <c r="B8" s="33" t="s">
        <v>105</v>
      </c>
      <c r="C8" s="33"/>
      <c r="D8" s="5"/>
      <c r="E8" s="33" t="s">
        <v>106</v>
      </c>
      <c r="F8" s="33"/>
      <c r="G8" s="5"/>
      <c r="H8" s="33" t="s">
        <v>107</v>
      </c>
      <c r="I8" s="33"/>
      <c r="J8" s="5"/>
      <c r="K8" s="33" t="s">
        <v>108</v>
      </c>
      <c r="L8" s="33"/>
    </row>
    <row r="9" customFormat="false" ht="25.5" hidden="false" customHeight="true" outlineLevel="0" collapsed="false">
      <c r="A9" s="5"/>
      <c r="B9" s="34" t="n">
        <f aca="false">IFERROR(SUMPRODUCT(('REKAP OMZET'!$C$5:$N$5&lt;=BLN)*'REKAP OMZET'!$C$16:$N$16)/SUMPRODUCT(('REKAP OMZET'!$C$5:$N$5&lt;=BLN)*'REKAP OMZET'!$C$18:$N$18),0)</f>
        <v>3179316.78888889</v>
      </c>
      <c r="C9" s="34"/>
      <c r="D9" s="5"/>
      <c r="E9" s="34" t="n">
        <f aca="false">IFERROR(SUMPRODUCT(('REKAP OMZET'!$C$5:$N$5&lt;=BLN)*'REKAP OMZET'!$C$16:$N$16)/SUMPRODUCT(('REKAP OMZET'!$C$5:$N$5&lt;=BLN)*'REKAP OMZET'!$C$20:$N$20),0)</f>
        <v>48707.1909328189</v>
      </c>
      <c r="F9" s="34"/>
      <c r="G9" s="5"/>
      <c r="H9" s="35" t="n">
        <f aca="false">'LABA RUGI'!$O$47</f>
        <v>0.425615363944842</v>
      </c>
      <c r="I9" s="35"/>
      <c r="J9" s="5"/>
      <c r="K9" s="35" t="n">
        <f aca="false">'LABA RUGI'!$O$50</f>
        <v>0.744801135366058</v>
      </c>
      <c r="L9" s="35"/>
    </row>
    <row r="10" customFormat="false" ht="15" hidden="false" customHeight="false" outlineLevel="0" collapsed="false">
      <c r="A10" s="5"/>
      <c r="B10" s="36" t="str">
        <f aca="false">"rata-rata hari buka"</f>
        <v>rata-rata hari buka</v>
      </c>
      <c r="C10" s="36"/>
      <c r="D10" s="5"/>
      <c r="E10" s="36" t="str">
        <f aca="false">"avg ticket"</f>
        <v>avg ticket</v>
      </c>
      <c r="F10" s="36"/>
      <c r="G10" s="5"/>
      <c r="H10" s="36" t="str">
        <f aca="false">"batas "&amp;TEXT(MX_FOOD,"0%")</f>
        <v>batas 35%</v>
      </c>
      <c r="I10" s="36"/>
      <c r="J10" s="5"/>
      <c r="K10" s="36" t="str">
        <f aca="false">"HPP + gaji, batas "&amp;TEXT(MX_PRIME,"0%")</f>
        <v>HPP + gaji, batas 65%</v>
      </c>
      <c r="L10" s="36"/>
    </row>
    <row r="11" customFormat="false" ht="15" hidden="false" customHeight="false" outlineLevel="0" collapsed="false">
      <c r="A11" s="5"/>
      <c r="B11" s="5"/>
      <c r="C11" s="5"/>
      <c r="D11" s="5"/>
      <c r="E11" s="5"/>
      <c r="F11" s="5"/>
      <c r="G11" s="5"/>
      <c r="H11" s="5"/>
      <c r="I11" s="5"/>
      <c r="J11" s="5"/>
      <c r="K11" s="5"/>
      <c r="L11" s="5"/>
    </row>
    <row r="12" customFormat="false" ht="15" hidden="false" customHeight="false" outlineLevel="0" collapsed="false">
      <c r="A12" s="5"/>
      <c r="B12" s="37" t="s">
        <v>109</v>
      </c>
      <c r="C12" s="5"/>
      <c r="D12" s="5"/>
      <c r="E12" s="5"/>
      <c r="F12" s="5"/>
      <c r="G12" s="5"/>
      <c r="H12" s="5"/>
      <c r="I12" s="5"/>
      <c r="J12" s="5"/>
      <c r="K12" s="5"/>
      <c r="L12" s="5"/>
    </row>
    <row r="13" customFormat="false" ht="23.85" hidden="false" customHeight="false" outlineLevel="0" collapsed="false">
      <c r="A13" s="5"/>
      <c r="B13" s="20" t="s">
        <v>63</v>
      </c>
      <c r="C13" s="20" t="s">
        <v>101</v>
      </c>
      <c r="D13" s="5"/>
      <c r="E13" s="20" t="s">
        <v>102</v>
      </c>
      <c r="F13" s="20" t="s">
        <v>110</v>
      </c>
      <c r="G13" s="5"/>
      <c r="H13" s="20" t="s">
        <v>107</v>
      </c>
      <c r="I13" s="20" t="s">
        <v>111</v>
      </c>
      <c r="J13" s="5"/>
      <c r="K13" s="20" t="s">
        <v>112</v>
      </c>
      <c r="L13" s="5"/>
    </row>
    <row r="14" customFormat="false" ht="15" hidden="false" customHeight="false" outlineLevel="0" collapsed="false">
      <c r="A14" s="5"/>
      <c r="B14" s="38" t="s">
        <v>113</v>
      </c>
      <c r="C14" s="39" t="n">
        <f aca="false">IF(1&gt;BLN,0,N('LABA RUGI'!C11))</f>
        <v>90280982</v>
      </c>
      <c r="D14" s="5"/>
      <c r="E14" s="39" t="n">
        <f aca="false">IF(1&gt;BLN,0,N('LABA RUGI'!C18))</f>
        <v>62112682</v>
      </c>
      <c r="F14" s="39" t="n">
        <f aca="false">IF(1&gt;BLN,0,N('LABA RUGI'!C43))</f>
        <v>-51148041</v>
      </c>
      <c r="G14" s="5"/>
      <c r="H14" s="40" t="n">
        <f aca="false">IF(1&gt;BLN,"",'LABA RUGI'!C47)</f>
        <v>0.312007018266594</v>
      </c>
      <c r="I14" s="40" t="n">
        <f aca="false">IF(1&gt;BLN,"",'LABA RUGI'!C48)</f>
        <v>0.283891462323704</v>
      </c>
      <c r="J14" s="5"/>
      <c r="K14" s="39" t="n">
        <f aca="false">IF(1&gt;BLN,"",'ARUS KAS'!C28)</f>
        <v>50335039</v>
      </c>
      <c r="L14" s="5"/>
    </row>
    <row r="15" customFormat="false" ht="15" hidden="false" customHeight="false" outlineLevel="0" collapsed="false">
      <c r="A15" s="5"/>
      <c r="B15" s="41" t="s">
        <v>114</v>
      </c>
      <c r="C15" s="42" t="n">
        <f aca="false">IF(2&gt;BLN,0,N('LABA RUGI'!D11))</f>
        <v>68311343</v>
      </c>
      <c r="D15" s="5"/>
      <c r="E15" s="42" t="n">
        <f aca="false">IF(2&gt;BLN,0,N('LABA RUGI'!D18))</f>
        <v>37077633</v>
      </c>
      <c r="F15" s="42" t="n">
        <f aca="false">IF(2&gt;BLN,0,N('LABA RUGI'!D43))</f>
        <v>-6212118</v>
      </c>
      <c r="G15" s="5"/>
      <c r="H15" s="43" t="n">
        <f aca="false">IF(2&gt;BLN,"",'LABA RUGI'!D47)</f>
        <v>0.4572258226573</v>
      </c>
      <c r="I15" s="43" t="n">
        <f aca="false">IF(2&gt;BLN,"",'LABA RUGI'!D48)</f>
        <v>0.390776975355323</v>
      </c>
      <c r="J15" s="5"/>
      <c r="K15" s="42" t="n">
        <f aca="false">IF(2&gt;BLN,"",'ARUS KAS'!D28)</f>
        <v>45123333</v>
      </c>
      <c r="L15" s="5"/>
    </row>
    <row r="16" customFormat="false" ht="15" hidden="false" customHeight="false" outlineLevel="0" collapsed="false">
      <c r="A16" s="5"/>
      <c r="B16" s="38" t="s">
        <v>115</v>
      </c>
      <c r="C16" s="39" t="n">
        <f aca="false">IF(3&gt;BLN,0,N('LABA RUGI'!E11))</f>
        <v>93204021</v>
      </c>
      <c r="D16" s="5"/>
      <c r="E16" s="39" t="n">
        <f aca="false">IF(3&gt;BLN,0,N('LABA RUGI'!E18))</f>
        <v>60166834</v>
      </c>
      <c r="F16" s="39" t="n">
        <f aca="false">IF(3&gt;BLN,0,N('LABA RUGI'!E43))</f>
        <v>-3403297</v>
      </c>
      <c r="G16" s="5"/>
      <c r="H16" s="40" t="n">
        <f aca="false">IF(3&gt;BLN,"",'LABA RUGI'!E47)</f>
        <v>0.354460962580145</v>
      </c>
      <c r="I16" s="40" t="n">
        <f aca="false">IF(3&gt;BLN,"",'LABA RUGI'!E48)</f>
        <v>0.460302029243996</v>
      </c>
      <c r="J16" s="5"/>
      <c r="K16" s="39" t="n">
        <f aca="false">IF(3&gt;BLN,"",'ARUS KAS'!E28)</f>
        <v>43724486</v>
      </c>
      <c r="L16" s="5"/>
    </row>
    <row r="17" customFormat="false" ht="15" hidden="false" customHeight="false" outlineLevel="0" collapsed="false">
      <c r="A17" s="5"/>
      <c r="B17" s="41" t="s">
        <v>116</v>
      </c>
      <c r="C17" s="42" t="n">
        <f aca="false">IF(4&gt;BLN,0,N('LABA RUGI'!F11))</f>
        <v>85954724</v>
      </c>
      <c r="D17" s="5"/>
      <c r="E17" s="42" t="n">
        <f aca="false">IF(4&gt;BLN,0,N('LABA RUGI'!F18))</f>
        <v>29785930</v>
      </c>
      <c r="F17" s="42" t="n">
        <f aca="false">IF(4&gt;BLN,0,N('LABA RUGI'!F43))</f>
        <v>-20407510</v>
      </c>
      <c r="G17" s="5"/>
      <c r="H17" s="43" t="n">
        <f aca="false">IF(4&gt;BLN,"",'LABA RUGI'!F47)</f>
        <v>0.653469540545555</v>
      </c>
      <c r="I17" s="43" t="n">
        <f aca="false">IF(4&gt;BLN,"",'LABA RUGI'!F48)</f>
        <v>0.317213513477165</v>
      </c>
      <c r="J17" s="5"/>
      <c r="K17" s="42" t="n">
        <f aca="false">IF(4&gt;BLN,"",'ARUS KAS'!F28)</f>
        <v>27358556</v>
      </c>
      <c r="L17" s="5"/>
    </row>
    <row r="18" customFormat="false" ht="15" hidden="false" customHeight="false" outlineLevel="0" collapsed="false">
      <c r="A18" s="5"/>
      <c r="B18" s="38" t="s">
        <v>79</v>
      </c>
      <c r="C18" s="39" t="n">
        <f aca="false">IF(5&gt;BLN,0,N('LABA RUGI'!G11))</f>
        <v>102494869</v>
      </c>
      <c r="D18" s="5"/>
      <c r="E18" s="39" t="n">
        <f aca="false">IF(5&gt;BLN,0,N('LABA RUGI'!G18))</f>
        <v>67769696</v>
      </c>
      <c r="F18" s="39" t="n">
        <f aca="false">IF(5&gt;BLN,0,N('LABA RUGI'!G43))</f>
        <v>16080376</v>
      </c>
      <c r="G18" s="5"/>
      <c r="H18" s="40" t="n">
        <f aca="false">IF(5&gt;BLN,"",'LABA RUGI'!G47)</f>
        <v>0.338799135398671</v>
      </c>
      <c r="I18" s="40" t="n">
        <f aca="false">IF(5&gt;BLN,"",'LABA RUGI'!G48)</f>
        <v>0.286895659137825</v>
      </c>
      <c r="J18" s="5"/>
      <c r="K18" s="39" t="n">
        <f aca="false">IF(5&gt;BLN,"",'ARUS KAS'!G28)</f>
        <v>45262022</v>
      </c>
      <c r="L18" s="5"/>
    </row>
    <row r="19" customFormat="false" ht="15" hidden="false" customHeight="false" outlineLevel="0" collapsed="false">
      <c r="A19" s="5"/>
      <c r="B19" s="41" t="s">
        <v>117</v>
      </c>
      <c r="C19" s="42" t="n">
        <f aca="false">IF(6&gt;BLN,0,N('LABA RUGI'!H11))</f>
        <v>95817091</v>
      </c>
      <c r="D19" s="5"/>
      <c r="E19" s="42" t="n">
        <f aca="false">IF(6&gt;BLN,0,N('LABA RUGI'!H18))</f>
        <v>50680584</v>
      </c>
      <c r="F19" s="42" t="n">
        <f aca="false">IF(6&gt;BLN,0,N('LABA RUGI'!H43))</f>
        <v>5382034</v>
      </c>
      <c r="G19" s="5"/>
      <c r="H19" s="43" t="n">
        <f aca="false">IF(6&gt;BLN,"",'LABA RUGI'!H47)</f>
        <v>0.471069477573683</v>
      </c>
      <c r="I19" s="43" t="n">
        <f aca="false">IF(6&gt;BLN,"",'LABA RUGI'!H48)</f>
        <v>0.316157928443058</v>
      </c>
      <c r="J19" s="5"/>
      <c r="K19" s="42" t="n">
        <f aca="false">IF(6&gt;BLN,"",'ARUS KAS'!H28)</f>
        <v>50562532</v>
      </c>
      <c r="L19" s="5"/>
    </row>
    <row r="20" customFormat="false" ht="15" hidden="false" customHeight="false" outlineLevel="0" collapsed="false">
      <c r="A20" s="5"/>
      <c r="B20" s="38" t="s">
        <v>118</v>
      </c>
      <c r="C20" s="39" t="n">
        <f aca="false">IF(7&gt;BLN,0,N('LABA RUGI'!I11))</f>
        <v>85381495</v>
      </c>
      <c r="D20" s="5"/>
      <c r="E20" s="39" t="n">
        <f aca="false">IF(7&gt;BLN,0,N('LABA RUGI'!I18))</f>
        <v>51463451</v>
      </c>
      <c r="F20" s="39" t="n">
        <f aca="false">IF(7&gt;BLN,0,N('LABA RUGI'!I43))</f>
        <v>4796009</v>
      </c>
      <c r="G20" s="5"/>
      <c r="H20" s="40" t="n">
        <f aca="false">IF(7&gt;BLN,"",'LABA RUGI'!I47)</f>
        <v>0.39725287077721</v>
      </c>
      <c r="I20" s="40" t="n">
        <f aca="false">IF(7&gt;BLN,"",'LABA RUGI'!I48)</f>
        <v>0.266583912591364</v>
      </c>
      <c r="J20" s="5"/>
      <c r="K20" s="39" t="n">
        <f aca="false">IF(7&gt;BLN,"",'ARUS KAS'!I28)</f>
        <v>48081893</v>
      </c>
      <c r="L20" s="5"/>
    </row>
    <row r="21" customFormat="false" ht="15" hidden="false" customHeight="false" outlineLevel="0" collapsed="false">
      <c r="A21" s="5"/>
      <c r="B21" s="41" t="s">
        <v>119</v>
      </c>
      <c r="C21" s="42" t="n">
        <f aca="false">IF(8&gt;BLN,0,N('LABA RUGI'!J11))</f>
        <v>87841757</v>
      </c>
      <c r="D21" s="5"/>
      <c r="E21" s="42" t="n">
        <f aca="false">IF(8&gt;BLN,0,N('LABA RUGI'!J18))</f>
        <v>64748737</v>
      </c>
      <c r="F21" s="42" t="n">
        <f aca="false">IF(8&gt;BLN,0,N('LABA RUGI'!J43))</f>
        <v>17725947</v>
      </c>
      <c r="G21" s="5"/>
      <c r="H21" s="43" t="n">
        <f aca="false">IF(8&gt;BLN,"",'LABA RUGI'!J47)</f>
        <v>0.26289342095013</v>
      </c>
      <c r="I21" s="43" t="n">
        <f aca="false">IF(8&gt;BLN,"",'LABA RUGI'!J48)</f>
        <v>0.275146283788472</v>
      </c>
      <c r="J21" s="5"/>
      <c r="K21" s="42" t="n">
        <f aca="false">IF(8&gt;BLN,"",'ARUS KAS'!J28)</f>
        <v>68054513</v>
      </c>
      <c r="L21" s="5"/>
    </row>
    <row r="22" customFormat="false" ht="15" hidden="false" customHeight="false" outlineLevel="0" collapsed="false">
      <c r="A22" s="5"/>
      <c r="B22" s="38" t="s">
        <v>120</v>
      </c>
      <c r="C22" s="39" t="n">
        <f aca="false">IF(9&gt;BLN,0,N('LABA RUGI'!K11))</f>
        <v>86219620</v>
      </c>
      <c r="D22" s="5"/>
      <c r="E22" s="39" t="n">
        <f aca="false">IF(9&gt;BLN,0,N('LABA RUGI'!K18))</f>
        <v>33120821</v>
      </c>
      <c r="F22" s="39" t="n">
        <f aca="false">IF(9&gt;BLN,0,N('LABA RUGI'!K43))</f>
        <v>-17810102</v>
      </c>
      <c r="G22" s="5"/>
      <c r="H22" s="40" t="n">
        <f aca="false">IF(9&gt;BLN,"",'LABA RUGI'!K47)</f>
        <v>0.615855173103291</v>
      </c>
      <c r="I22" s="40" t="n">
        <f aca="false">IF(9&gt;BLN,"",'LABA RUGI'!K48)</f>
        <v>0.287548622923645</v>
      </c>
      <c r="J22" s="5"/>
      <c r="K22" s="39" t="n">
        <f aca="false">IF(9&gt;BLN,"",'ARUS KAS'!K28)</f>
        <v>53281608</v>
      </c>
      <c r="L22" s="5"/>
    </row>
    <row r="23" customFormat="false" ht="15" hidden="false" customHeight="false" outlineLevel="0" collapsed="false">
      <c r="A23" s="5"/>
      <c r="B23" s="41" t="s">
        <v>121</v>
      </c>
      <c r="C23" s="42" t="n">
        <f aca="false">IF(10&gt;BLN,0,N('LABA RUGI'!L11))</f>
        <v>0</v>
      </c>
      <c r="D23" s="5"/>
      <c r="E23" s="42" t="n">
        <f aca="false">IF(10&gt;BLN,0,N('LABA RUGI'!L18))</f>
        <v>0</v>
      </c>
      <c r="F23" s="42" t="n">
        <f aca="false">IF(10&gt;BLN,0,N('LABA RUGI'!L43))</f>
        <v>0</v>
      </c>
      <c r="G23" s="5"/>
      <c r="H23" s="43" t="str">
        <f aca="false">IF(10&gt;BLN,"",'LABA RUGI'!L47)</f>
        <v/>
      </c>
      <c r="I23" s="43" t="str">
        <f aca="false">IF(10&gt;BLN,"",'LABA RUGI'!L48)</f>
        <v/>
      </c>
      <c r="J23" s="5"/>
      <c r="K23" s="42" t="str">
        <f aca="false">IF(10&gt;BLN,"",'ARUS KAS'!L28)</f>
        <v/>
      </c>
      <c r="L23" s="5"/>
    </row>
    <row r="24" customFormat="false" ht="15" hidden="false" customHeight="false" outlineLevel="0" collapsed="false">
      <c r="A24" s="5"/>
      <c r="B24" s="38" t="s">
        <v>122</v>
      </c>
      <c r="C24" s="39" t="n">
        <f aca="false">IF(11&gt;BLN,0,N('LABA RUGI'!M11))</f>
        <v>0</v>
      </c>
      <c r="D24" s="5"/>
      <c r="E24" s="39" t="n">
        <f aca="false">IF(11&gt;BLN,0,N('LABA RUGI'!M18))</f>
        <v>0</v>
      </c>
      <c r="F24" s="39" t="n">
        <f aca="false">IF(11&gt;BLN,0,N('LABA RUGI'!M43))</f>
        <v>0</v>
      </c>
      <c r="G24" s="5"/>
      <c r="H24" s="40" t="str">
        <f aca="false">IF(11&gt;BLN,"",'LABA RUGI'!M47)</f>
        <v/>
      </c>
      <c r="I24" s="40" t="str">
        <f aca="false">IF(11&gt;BLN,"",'LABA RUGI'!M48)</f>
        <v/>
      </c>
      <c r="J24" s="5"/>
      <c r="K24" s="39" t="str">
        <f aca="false">IF(11&gt;BLN,"",'ARUS KAS'!M28)</f>
        <v/>
      </c>
      <c r="L24" s="5"/>
    </row>
    <row r="25" customFormat="false" ht="15" hidden="false" customHeight="false" outlineLevel="0" collapsed="false">
      <c r="A25" s="5"/>
      <c r="B25" s="41" t="s">
        <v>123</v>
      </c>
      <c r="C25" s="42" t="n">
        <f aca="false">IF(12&gt;BLN,0,N('LABA RUGI'!N11))</f>
        <v>0</v>
      </c>
      <c r="D25" s="5"/>
      <c r="E25" s="42" t="n">
        <f aca="false">IF(12&gt;BLN,0,N('LABA RUGI'!N18))</f>
        <v>0</v>
      </c>
      <c r="F25" s="42" t="n">
        <f aca="false">IF(12&gt;BLN,0,N('LABA RUGI'!N43))</f>
        <v>0</v>
      </c>
      <c r="G25" s="5"/>
      <c r="H25" s="43" t="str">
        <f aca="false">IF(12&gt;BLN,"",'LABA RUGI'!N47)</f>
        <v/>
      </c>
      <c r="I25" s="43" t="str">
        <f aca="false">IF(12&gt;BLN,"",'LABA RUGI'!N48)</f>
        <v/>
      </c>
      <c r="J25" s="5"/>
      <c r="K25" s="42" t="str">
        <f aca="false">IF(12&gt;BLN,"",'ARUS KAS'!N28)</f>
        <v/>
      </c>
      <c r="L25" s="5"/>
    </row>
    <row r="26" customFormat="false" ht="15" hidden="false" customHeight="false" outlineLevel="0" collapsed="false">
      <c r="A26" s="5"/>
      <c r="B26" s="5"/>
      <c r="C26" s="5"/>
      <c r="D26" s="5"/>
      <c r="E26" s="5"/>
      <c r="F26" s="5"/>
      <c r="G26" s="5"/>
      <c r="H26" s="5"/>
      <c r="I26" s="5"/>
      <c r="J26" s="5"/>
      <c r="K26" s="5"/>
      <c r="L26" s="5"/>
    </row>
    <row r="27" customFormat="false" ht="15" hidden="false" customHeight="false" outlineLevel="0" collapsed="false">
      <c r="A27" s="5"/>
      <c r="B27" s="5"/>
      <c r="C27" s="5"/>
      <c r="D27" s="5"/>
      <c r="E27" s="5"/>
      <c r="F27" s="5"/>
      <c r="G27" s="5"/>
      <c r="H27" s="5"/>
      <c r="I27" s="5"/>
      <c r="J27" s="5"/>
      <c r="K27" s="5"/>
      <c r="L27" s="5"/>
    </row>
    <row r="28" customFormat="false" ht="15" hidden="false" customHeight="false" outlineLevel="0" collapsed="false">
      <c r="A28" s="5"/>
      <c r="B28" s="5"/>
      <c r="C28" s="5"/>
      <c r="D28" s="5"/>
      <c r="E28" s="5"/>
      <c r="F28" s="5"/>
      <c r="G28" s="5"/>
      <c r="H28" s="5"/>
      <c r="I28" s="5"/>
      <c r="J28" s="5"/>
      <c r="K28" s="5"/>
      <c r="L28" s="5"/>
    </row>
    <row r="29" customFormat="false" ht="15" hidden="false" customHeight="false" outlineLevel="0" collapsed="false">
      <c r="A29" s="5"/>
      <c r="B29" s="5"/>
      <c r="C29" s="5"/>
      <c r="D29" s="5"/>
      <c r="E29" s="5"/>
      <c r="F29" s="5"/>
      <c r="G29" s="5"/>
      <c r="H29" s="5"/>
      <c r="I29" s="5"/>
      <c r="J29" s="5"/>
      <c r="K29" s="5"/>
      <c r="L29" s="5"/>
    </row>
    <row r="30" customFormat="false" ht="15" hidden="false" customHeight="false" outlineLevel="0" collapsed="false">
      <c r="A30" s="5"/>
      <c r="B30" s="5"/>
      <c r="C30" s="5"/>
      <c r="D30" s="5"/>
      <c r="E30" s="5"/>
      <c r="F30" s="5"/>
      <c r="G30" s="5"/>
      <c r="H30" s="5"/>
      <c r="I30" s="5"/>
      <c r="J30" s="5"/>
      <c r="K30" s="5"/>
      <c r="L30" s="5"/>
    </row>
    <row r="31" customFormat="false" ht="15" hidden="false" customHeight="false" outlineLevel="0" collapsed="false">
      <c r="A31" s="5"/>
      <c r="B31" s="5"/>
      <c r="C31" s="5"/>
      <c r="D31" s="5"/>
      <c r="E31" s="5"/>
      <c r="F31" s="5"/>
      <c r="G31" s="5"/>
      <c r="H31" s="5"/>
      <c r="I31" s="5"/>
      <c r="J31" s="5"/>
      <c r="K31" s="5"/>
      <c r="L31" s="5"/>
    </row>
    <row r="32" customFormat="false" ht="15" hidden="false" customHeight="false" outlineLevel="0" collapsed="false">
      <c r="A32" s="5"/>
      <c r="B32" s="5"/>
      <c r="C32" s="5"/>
      <c r="D32" s="5"/>
      <c r="E32" s="5"/>
      <c r="F32" s="5"/>
      <c r="G32" s="5"/>
      <c r="H32" s="5"/>
      <c r="I32" s="5"/>
      <c r="J32" s="5"/>
      <c r="K32" s="5"/>
      <c r="L32" s="5"/>
    </row>
    <row r="33" customFormat="false" ht="15" hidden="false" customHeight="false" outlineLevel="0" collapsed="false">
      <c r="A33" s="5"/>
      <c r="B33" s="5"/>
      <c r="C33" s="5"/>
      <c r="D33" s="5"/>
      <c r="E33" s="5"/>
      <c r="F33" s="5"/>
      <c r="G33" s="5"/>
      <c r="H33" s="5"/>
      <c r="I33" s="5"/>
      <c r="J33" s="5"/>
      <c r="K33" s="5"/>
      <c r="L33" s="5"/>
    </row>
    <row r="34" customFormat="false" ht="15" hidden="false" customHeight="false" outlineLevel="0" collapsed="false">
      <c r="A34" s="5"/>
      <c r="B34" s="5"/>
      <c r="C34" s="5"/>
      <c r="D34" s="5"/>
      <c r="E34" s="5"/>
      <c r="F34" s="5"/>
      <c r="G34" s="5"/>
      <c r="H34" s="5"/>
      <c r="I34" s="5"/>
      <c r="J34" s="5"/>
      <c r="K34" s="5"/>
      <c r="L34" s="5"/>
    </row>
    <row r="35" customFormat="false" ht="15" hidden="false" customHeight="false" outlineLevel="0" collapsed="false">
      <c r="A35" s="5"/>
      <c r="B35" s="5"/>
      <c r="C35" s="5"/>
      <c r="D35" s="5"/>
      <c r="E35" s="5"/>
      <c r="F35" s="5"/>
      <c r="G35" s="5"/>
      <c r="H35" s="5"/>
      <c r="I35" s="5"/>
      <c r="J35" s="5"/>
      <c r="K35" s="5"/>
      <c r="L35" s="5"/>
    </row>
    <row r="36" customFormat="false" ht="15" hidden="false" customHeight="false" outlineLevel="0" collapsed="false">
      <c r="A36" s="5"/>
      <c r="B36" s="5"/>
      <c r="C36" s="5"/>
      <c r="D36" s="5"/>
      <c r="E36" s="5"/>
      <c r="F36" s="5"/>
      <c r="G36" s="5"/>
      <c r="H36" s="5"/>
      <c r="I36" s="5"/>
      <c r="J36" s="5"/>
      <c r="K36" s="5"/>
      <c r="L36" s="5"/>
    </row>
    <row r="37" customFormat="false" ht="15" hidden="false" customHeight="false" outlineLevel="0" collapsed="false">
      <c r="A37" s="5"/>
      <c r="B37" s="5"/>
      <c r="C37" s="5"/>
      <c r="D37" s="5"/>
      <c r="E37" s="5"/>
      <c r="F37" s="5"/>
      <c r="G37" s="5"/>
      <c r="H37" s="5"/>
      <c r="I37" s="5"/>
      <c r="J37" s="5"/>
      <c r="K37" s="5"/>
      <c r="L37" s="5"/>
    </row>
    <row r="38" customFormat="false" ht="15" hidden="false" customHeight="false" outlineLevel="0" collapsed="false">
      <c r="A38" s="5"/>
      <c r="B38" s="5"/>
      <c r="C38" s="5"/>
      <c r="D38" s="5"/>
      <c r="E38" s="5"/>
      <c r="F38" s="5"/>
      <c r="G38" s="5"/>
      <c r="H38" s="5"/>
      <c r="I38" s="5"/>
      <c r="J38" s="5"/>
      <c r="K38" s="5"/>
      <c r="L38" s="5"/>
    </row>
    <row r="39" customFormat="false" ht="15" hidden="false" customHeight="false" outlineLevel="0" collapsed="false">
      <c r="A39" s="5"/>
      <c r="B39" s="5"/>
      <c r="C39" s="5"/>
      <c r="D39" s="5"/>
      <c r="E39" s="5"/>
      <c r="F39" s="5"/>
      <c r="G39" s="5"/>
      <c r="H39" s="5"/>
      <c r="I39" s="5"/>
      <c r="J39" s="5"/>
      <c r="K39" s="5"/>
      <c r="L39" s="5"/>
    </row>
    <row r="40" customFormat="false" ht="15" hidden="false" customHeight="false" outlineLevel="0" collapsed="false">
      <c r="A40" s="5"/>
      <c r="B40" s="5"/>
      <c r="C40" s="5"/>
      <c r="D40" s="5"/>
      <c r="E40" s="5"/>
      <c r="F40" s="5"/>
      <c r="G40" s="5"/>
      <c r="H40" s="5"/>
      <c r="I40" s="5"/>
      <c r="J40" s="5"/>
      <c r="K40" s="5"/>
      <c r="L40" s="5"/>
    </row>
    <row r="41" customFormat="false" ht="15" hidden="false" customHeight="false" outlineLevel="0" collapsed="false">
      <c r="A41" s="5"/>
      <c r="B41" s="5"/>
      <c r="C41" s="5"/>
      <c r="D41" s="5"/>
      <c r="E41" s="5"/>
      <c r="F41" s="5"/>
      <c r="G41" s="5"/>
      <c r="H41" s="5"/>
      <c r="I41" s="5"/>
      <c r="J41" s="5"/>
      <c r="K41" s="5"/>
      <c r="L41" s="5"/>
    </row>
    <row r="42" customFormat="false" ht="15" hidden="false" customHeight="false" outlineLevel="0" collapsed="false">
      <c r="A42" s="5"/>
      <c r="B42" s="5"/>
      <c r="C42" s="5"/>
      <c r="D42" s="5"/>
      <c r="E42" s="5"/>
      <c r="F42" s="5"/>
      <c r="G42" s="5"/>
      <c r="H42" s="5"/>
      <c r="I42" s="5"/>
      <c r="J42" s="5"/>
      <c r="K42" s="5"/>
      <c r="L42" s="5"/>
    </row>
    <row r="43" customFormat="false" ht="15" hidden="false" customHeight="false" outlineLevel="0" collapsed="false">
      <c r="A43" s="5"/>
      <c r="B43" s="5"/>
      <c r="C43" s="5"/>
      <c r="D43" s="5"/>
      <c r="E43" s="5"/>
      <c r="F43" s="5"/>
      <c r="G43" s="5"/>
      <c r="H43" s="5"/>
      <c r="I43" s="5"/>
      <c r="J43" s="5"/>
      <c r="K43" s="5"/>
      <c r="L43" s="5"/>
    </row>
    <row r="44" customFormat="false" ht="15" hidden="false" customHeight="false" outlineLevel="0" collapsed="false">
      <c r="A44" s="5"/>
      <c r="B44" s="5"/>
      <c r="C44" s="5"/>
      <c r="D44" s="5"/>
      <c r="E44" s="5"/>
      <c r="F44" s="5"/>
      <c r="G44" s="5"/>
      <c r="H44" s="5"/>
      <c r="I44" s="5"/>
      <c r="J44" s="5"/>
      <c r="K44" s="5"/>
      <c r="L44" s="5"/>
    </row>
    <row r="45" customFormat="false" ht="15" hidden="false" customHeight="false" outlineLevel="0" collapsed="false">
      <c r="A45" s="5"/>
      <c r="B45" s="37" t="s">
        <v>124</v>
      </c>
      <c r="C45" s="5"/>
      <c r="D45" s="5"/>
      <c r="E45" s="5"/>
      <c r="F45" s="5"/>
      <c r="G45" s="5"/>
      <c r="H45" s="5"/>
      <c r="I45" s="5"/>
      <c r="J45" s="5"/>
      <c r="K45" s="5"/>
      <c r="L45" s="5"/>
    </row>
    <row r="46" customFormat="false" ht="15" hidden="false" customHeight="false" outlineLevel="0" collapsed="false">
      <c r="A46" s="5"/>
      <c r="B46" s="20" t="s">
        <v>125</v>
      </c>
      <c r="C46" s="20" t="s">
        <v>126</v>
      </c>
      <c r="D46" s="5"/>
      <c r="E46" s="20" t="s">
        <v>127</v>
      </c>
      <c r="F46" s="5"/>
      <c r="G46" s="5"/>
      <c r="H46" s="5"/>
      <c r="I46" s="5"/>
      <c r="J46" s="5"/>
      <c r="K46" s="5"/>
      <c r="L46" s="5"/>
    </row>
    <row r="47" customFormat="false" ht="15" hidden="false" customHeight="false" outlineLevel="0" collapsed="false">
      <c r="A47" s="5"/>
      <c r="B47" s="10" t="s">
        <v>128</v>
      </c>
      <c r="C47" s="44" t="n">
        <f aca="false">'LABA RUGI'!$O$16</f>
        <v>338579534</v>
      </c>
      <c r="D47" s="5"/>
      <c r="E47" s="45" t="n">
        <f aca="false">IFERROR(C47/'LABA RUGI'!$O$11,"")</f>
        <v>0.425615363944842</v>
      </c>
      <c r="F47" s="5"/>
      <c r="G47" s="5"/>
      <c r="H47" s="5"/>
      <c r="I47" s="5"/>
      <c r="J47" s="5"/>
      <c r="K47" s="5"/>
      <c r="L47" s="5"/>
    </row>
    <row r="48" customFormat="false" ht="15" hidden="false" customHeight="false" outlineLevel="0" collapsed="false">
      <c r="A48" s="5"/>
      <c r="B48" s="10" t="s">
        <v>129</v>
      </c>
      <c r="C48" s="44" t="n">
        <f aca="false">'LABA RUGI'!$O$22</f>
        <v>253914165</v>
      </c>
      <c r="D48" s="5"/>
      <c r="E48" s="45" t="n">
        <f aca="false">IFERROR(C48/'LABA RUGI'!$O$11,"")</f>
        <v>0.319185771421216</v>
      </c>
      <c r="F48" s="5"/>
      <c r="G48" s="5"/>
      <c r="H48" s="5"/>
      <c r="I48" s="5"/>
      <c r="J48" s="5"/>
      <c r="K48" s="5"/>
      <c r="L48" s="5"/>
    </row>
    <row r="49" customFormat="false" ht="15" hidden="false" customHeight="false" outlineLevel="0" collapsed="false">
      <c r="A49" s="5"/>
      <c r="B49" s="10" t="s">
        <v>130</v>
      </c>
      <c r="C49" s="44" t="n">
        <f aca="false">'LABA RUGI'!$O$23</f>
        <v>80000000</v>
      </c>
      <c r="D49" s="5"/>
      <c r="E49" s="45" t="n">
        <f aca="false">IFERROR(C49/'LABA RUGI'!$O$11,"")</f>
        <v>0.100564935846321</v>
      </c>
      <c r="F49" s="5"/>
      <c r="G49" s="5"/>
      <c r="H49" s="5"/>
      <c r="I49" s="5"/>
      <c r="J49" s="5"/>
      <c r="K49" s="5"/>
      <c r="L49" s="5"/>
    </row>
    <row r="50" customFormat="false" ht="15" hidden="false" customHeight="false" outlineLevel="0" collapsed="false">
      <c r="A50" s="5"/>
      <c r="B50" s="10" t="s">
        <v>131</v>
      </c>
      <c r="C50" s="44" t="n">
        <f aca="false">'LABA RUGI'!$O$25</f>
        <v>79193298</v>
      </c>
      <c r="D50" s="5"/>
      <c r="E50" s="45" t="n">
        <f aca="false">IFERROR(C50/'LABA RUGI'!$O$11,"")</f>
        <v>0.0995508616603576</v>
      </c>
      <c r="F50" s="5"/>
      <c r="G50" s="5"/>
      <c r="H50" s="5"/>
      <c r="I50" s="5"/>
      <c r="J50" s="5"/>
      <c r="K50" s="5"/>
      <c r="L50" s="5"/>
    </row>
    <row r="51" customFormat="false" ht="15" hidden="false" customHeight="false" outlineLevel="0" collapsed="false">
      <c r="A51" s="5"/>
      <c r="B51" s="10" t="s">
        <v>132</v>
      </c>
      <c r="C51" s="44" t="n">
        <f aca="false">'LABA RUGI'!$O$24</f>
        <v>45436921</v>
      </c>
      <c r="D51" s="5"/>
      <c r="E51" s="45" t="n">
        <f aca="false">IFERROR(C51/'LABA RUGI'!$O$11,"")</f>
        <v>0.0571170130677421</v>
      </c>
      <c r="F51" s="5"/>
      <c r="G51" s="5"/>
      <c r="H51" s="5"/>
      <c r="I51" s="5"/>
      <c r="J51" s="5"/>
      <c r="K51" s="5"/>
      <c r="L51" s="5"/>
    </row>
    <row r="52" customFormat="false" ht="15" hidden="false" customHeight="false" outlineLevel="0" collapsed="false">
      <c r="A52" s="5"/>
      <c r="B52" s="10" t="s">
        <v>133</v>
      </c>
      <c r="C52" s="44" t="n">
        <f aca="false">'LABA RUGI'!$O$33-'LABA RUGI'!$O$22-'LABA RUGI'!$O$23-'LABA RUGI'!$O$25-'LABA RUGI'!$O$24</f>
        <v>50765307</v>
      </c>
      <c r="D52" s="5"/>
      <c r="E52" s="45" t="n">
        <f aca="false">IFERROR(C52/'LABA RUGI'!$O$11,"")</f>
        <v>0.0638151230209226</v>
      </c>
      <c r="F52" s="5"/>
      <c r="G52" s="5"/>
      <c r="H52" s="5"/>
      <c r="I52" s="5"/>
      <c r="J52" s="5"/>
      <c r="K52" s="5"/>
      <c r="L52" s="5"/>
    </row>
    <row r="53" customFormat="false" ht="15" hidden="false" customHeight="false" outlineLevel="0" collapsed="false">
      <c r="A53" s="5"/>
      <c r="B53" s="10" t="s">
        <v>134</v>
      </c>
      <c r="C53" s="44" t="n">
        <f aca="false">'LABA RUGI'!$O$11-SUM(C47:C52)</f>
        <v>-52383323</v>
      </c>
      <c r="D53" s="5"/>
      <c r="E53" s="45" t="n">
        <f aca="false">IFERROR(C53/'LABA RUGI'!$O$11,"")</f>
        <v>-0.0658490689614016</v>
      </c>
      <c r="F53" s="5"/>
      <c r="G53" s="5"/>
      <c r="H53" s="5"/>
      <c r="I53" s="5"/>
      <c r="J53" s="5"/>
      <c r="K53" s="5"/>
      <c r="L53" s="5"/>
    </row>
    <row r="54" customFormat="false" ht="15" hidden="false" customHeight="false" outlineLevel="0" collapsed="false">
      <c r="A54" s="5"/>
      <c r="B54" s="5"/>
      <c r="C54" s="5"/>
      <c r="D54" s="5"/>
      <c r="E54" s="5"/>
      <c r="F54" s="5"/>
      <c r="G54" s="5"/>
      <c r="H54" s="5"/>
      <c r="I54" s="5"/>
      <c r="J54" s="5"/>
      <c r="K54" s="5"/>
      <c r="L54" s="5"/>
    </row>
    <row r="55" customFormat="false" ht="15" hidden="false" customHeight="false" outlineLevel="0" collapsed="false">
      <c r="A55" s="5"/>
      <c r="B55" s="5"/>
      <c r="C55" s="5"/>
      <c r="D55" s="5"/>
      <c r="E55" s="5"/>
      <c r="F55" s="5"/>
      <c r="G55" s="5"/>
      <c r="H55" s="5"/>
      <c r="I55" s="5"/>
      <c r="J55" s="5"/>
      <c r="K55" s="5"/>
      <c r="L55" s="5"/>
    </row>
    <row r="56" customFormat="false" ht="15" hidden="false" customHeight="false" outlineLevel="0" collapsed="false">
      <c r="A56" s="5"/>
      <c r="B56" s="37" t="s">
        <v>135</v>
      </c>
      <c r="C56" s="5"/>
      <c r="D56" s="5"/>
      <c r="E56" s="5"/>
      <c r="F56" s="5"/>
      <c r="G56" s="5"/>
      <c r="H56" s="5"/>
      <c r="I56" s="5"/>
      <c r="J56" s="5"/>
      <c r="K56" s="5"/>
      <c r="L56" s="5"/>
    </row>
    <row r="57" customFormat="false" ht="15" hidden="false" customHeight="false" outlineLevel="0" collapsed="false">
      <c r="A57" s="5"/>
      <c r="B57" s="46" t="s">
        <v>136</v>
      </c>
      <c r="C57" s="46"/>
      <c r="D57" s="46"/>
      <c r="E57" s="46"/>
      <c r="F57" s="47" t="str">
        <f aca="false">IF(NERACA!D38=0,"✔ OK","✘ Selisih "&amp;TEXT(NERACA!D38,"#,##0"))</f>
        <v>✔ OK</v>
      </c>
      <c r="G57" s="47"/>
      <c r="H57" s="47"/>
      <c r="I57" s="47"/>
      <c r="J57" s="5"/>
      <c r="K57" s="5"/>
      <c r="L57" s="5"/>
    </row>
    <row r="58" customFormat="false" ht="15" hidden="false" customHeight="false" outlineLevel="0" collapsed="false">
      <c r="A58" s="5"/>
      <c r="B58" s="46" t="s">
        <v>137</v>
      </c>
      <c r="C58" s="46"/>
      <c r="D58" s="46"/>
      <c r="E58" s="46"/>
      <c r="F58" s="47" t="str">
        <f aca="false">IF('NERACA SALDO'!G41=0,"✔ OK","✘ Tidak seimbang")</f>
        <v>✔ OK</v>
      </c>
      <c r="G58" s="47"/>
      <c r="H58" s="47"/>
      <c r="I58" s="47"/>
      <c r="J58" s="5"/>
      <c r="K58" s="5"/>
      <c r="L58" s="5"/>
    </row>
    <row r="59" customFormat="false" ht="15" hidden="false" customHeight="false" outlineLevel="0" collapsed="false">
      <c r="A59" s="5"/>
      <c r="B59" s="46" t="s">
        <v>138</v>
      </c>
      <c r="C59" s="46"/>
      <c r="D59" s="46"/>
      <c r="E59" s="46"/>
      <c r="F59" s="47" t="str">
        <f aca="false">IF('ARUS KAS'!O29=0,"✔ OK","✘ Selisih")</f>
        <v>✔ OK</v>
      </c>
      <c r="G59" s="47"/>
      <c r="H59" s="47"/>
      <c r="I59" s="47"/>
      <c r="J59" s="5"/>
      <c r="K59" s="5"/>
      <c r="L59" s="5"/>
    </row>
    <row r="60" customFormat="false" ht="15" hidden="false" customHeight="false" outlineLevel="0" collapsed="false">
      <c r="A60" s="5"/>
      <c r="B60" s="46" t="s">
        <v>139</v>
      </c>
      <c r="C60" s="46"/>
      <c r="D60" s="46"/>
      <c r="E60" s="46"/>
      <c r="F60" s="47" t="str">
        <f aca="false">IF('PERUBAHAN EKUITAS'!O12=0,"✔ OK","✘ Selisih")</f>
        <v>✔ OK</v>
      </c>
      <c r="G60" s="47"/>
      <c r="H60" s="47"/>
      <c r="I60" s="47"/>
      <c r="J60" s="5"/>
      <c r="K60" s="5"/>
      <c r="L60" s="5"/>
    </row>
    <row r="61" customFormat="false" ht="15" hidden="false" customHeight="false" outlineLevel="0" collapsed="false">
      <c r="A61" s="5"/>
      <c r="B61" s="46" t="s">
        <v>140</v>
      </c>
      <c r="C61" s="46"/>
      <c r="D61" s="46"/>
      <c r="E61" s="46"/>
      <c r="F61" s="47" t="str">
        <f aca="false">IF('ASET TETAP'!D27=0,"✔ OK","✘ Selisih")</f>
        <v>✔ OK</v>
      </c>
      <c r="G61" s="47"/>
      <c r="H61" s="47"/>
      <c r="I61" s="47"/>
      <c r="J61" s="5"/>
      <c r="K61" s="5"/>
      <c r="L61" s="5"/>
    </row>
    <row r="62" customFormat="false" ht="15" hidden="false" customHeight="false" outlineLevel="0" collapsed="false">
      <c r="A62" s="5"/>
      <c r="B62" s="46" t="s">
        <v>141</v>
      </c>
      <c r="C62" s="46"/>
      <c r="D62" s="46"/>
      <c r="E62" s="46"/>
      <c r="F62" s="47" t="str">
        <f aca="false">IF(COUNTIF(J_CEK,"⚠*")=0,"✔ Tidak ada",COUNTIF(J_CEK,"⚠*")&amp;" baris — cek kolom R JURNAL")</f>
        <v>✔ Tidak ada</v>
      </c>
      <c r="G62" s="47"/>
      <c r="H62" s="47"/>
      <c r="I62" s="47"/>
      <c r="J62" s="5"/>
      <c r="K62" s="5"/>
      <c r="L62" s="5"/>
    </row>
    <row r="63" customFormat="false" ht="15" hidden="false" customHeight="false" outlineLevel="0" collapsed="false">
      <c r="A63" s="5"/>
      <c r="B63" s="46" t="s">
        <v>142</v>
      </c>
      <c r="C63" s="46"/>
      <c r="D63" s="46"/>
      <c r="E63" s="46"/>
      <c r="F63" s="47" t="str">
        <f aca="false">IF('REKAP OMZET'!O26=0,"✔ Tidak ada",'REKAP OMZET'!O26&amp;" hari — cek OMZET HARIAN")</f>
        <v>12 hari — cek OMZET HARIAN</v>
      </c>
      <c r="G63" s="47"/>
      <c r="H63" s="47"/>
      <c r="I63" s="47"/>
      <c r="J63" s="5"/>
      <c r="K63" s="5"/>
      <c r="L63" s="5"/>
    </row>
    <row r="64" customFormat="false" ht="15" hidden="false" customHeight="false" outlineLevel="0" collapsed="false">
      <c r="A64" s="5"/>
      <c r="B64" s="46" t="s">
        <v>143</v>
      </c>
      <c r="C64" s="46"/>
      <c r="D64" s="46"/>
      <c r="E64" s="46"/>
      <c r="F64" s="47" t="str">
        <f aca="false">IF('ASET TETAP'!D24=0,"⚠ Belum diinventarisasi","✔ Terisi")</f>
        <v>⚠ Belum diinventarisasi</v>
      </c>
      <c r="G64" s="47"/>
      <c r="H64" s="47"/>
      <c r="I64" s="47"/>
      <c r="J64" s="5"/>
      <c r="K64" s="5"/>
      <c r="L64" s="5"/>
    </row>
    <row r="65" customFormat="false" ht="15" hidden="false" customHeight="false" outlineLevel="0" collapsed="false">
      <c r="A65" s="5"/>
      <c r="B65" s="46" t="s">
        <v>144</v>
      </c>
      <c r="C65" s="46"/>
      <c r="D65" s="46"/>
      <c r="E65" s="46"/>
      <c r="F65" s="47" t="str">
        <f aca="false">IF(PAJAK!J18&gt;0,"⚠ Rp "&amp;TEXT(PAJAK!J18,"#,##0")&amp;" — lihat PAJAK","✔ Tidak ada")</f>
        <v>⚠ Rp 59,326,181 — lihat PAJAK</v>
      </c>
      <c r="G65" s="47"/>
      <c r="H65" s="47"/>
      <c r="I65" s="47"/>
      <c r="J65" s="5"/>
      <c r="K65" s="5"/>
      <c r="L65" s="5"/>
    </row>
  </sheetData>
  <mergeCells count="42">
    <mergeCell ref="B4:C4"/>
    <mergeCell ref="E4:F4"/>
    <mergeCell ref="H4:I4"/>
    <mergeCell ref="K4:L4"/>
    <mergeCell ref="B5:C5"/>
    <mergeCell ref="E5:F5"/>
    <mergeCell ref="H5:I5"/>
    <mergeCell ref="K5:L5"/>
    <mergeCell ref="B6:C6"/>
    <mergeCell ref="E6:F6"/>
    <mergeCell ref="H6:I6"/>
    <mergeCell ref="K6:L6"/>
    <mergeCell ref="B8:C8"/>
    <mergeCell ref="E8:F8"/>
    <mergeCell ref="H8:I8"/>
    <mergeCell ref="K8:L8"/>
    <mergeCell ref="B9:C9"/>
    <mergeCell ref="E9:F9"/>
    <mergeCell ref="H9:I9"/>
    <mergeCell ref="K9:L9"/>
    <mergeCell ref="B10:C10"/>
    <mergeCell ref="E10:F10"/>
    <mergeCell ref="H10:I10"/>
    <mergeCell ref="K10:L10"/>
    <mergeCell ref="B57:E57"/>
    <mergeCell ref="F57:I57"/>
    <mergeCell ref="B58:E58"/>
    <mergeCell ref="F58:I58"/>
    <mergeCell ref="B59:E59"/>
    <mergeCell ref="F59:I59"/>
    <mergeCell ref="B60:E60"/>
    <mergeCell ref="F60:I60"/>
    <mergeCell ref="B61:E61"/>
    <mergeCell ref="F61:I61"/>
    <mergeCell ref="B62:E62"/>
    <mergeCell ref="F62:I62"/>
    <mergeCell ref="B63:E63"/>
    <mergeCell ref="F63:I63"/>
    <mergeCell ref="B64:E64"/>
    <mergeCell ref="F64:I64"/>
    <mergeCell ref="B65:E65"/>
    <mergeCell ref="F65:I65"/>
  </mergeCells>
  <conditionalFormatting sqref="H5">
    <cfRule type="cellIs" priority="2" operator="lessThan" aboveAverage="0" equalAverage="0" bottom="0" percent="0" rank="0" text="" dxfId="0">
      <formula>0</formula>
    </cfRule>
  </conditionalFormatting>
  <conditionalFormatting sqref="H9">
    <cfRule type="expression" priority="3" aboveAverage="0" equalAverage="0" bottom="0" percent="0" rank="0" text="" dxfId="1">
      <formula>H9&gt;MX_FOOD</formula>
    </cfRule>
  </conditionalFormatting>
  <conditionalFormatting sqref="K9">
    <cfRule type="expression" priority="4" aboveAverage="0" equalAverage="0" bottom="0" percent="0" rank="0" text="" dxfId="1">
      <formula>K9&gt;MX_PRIME</formula>
    </cfRule>
  </conditionalFormatting>
  <conditionalFormatting sqref="F14:F25">
    <cfRule type="cellIs" priority="5" operator="lessThan" aboveAverage="0" equalAverage="0" bottom="0" percent="0" rank="0" text="" dxfId="2">
      <formula>0</formula>
    </cfRule>
  </conditionalFormatting>
  <conditionalFormatting sqref="H14:H25">
    <cfRule type="expression" priority="6" aboveAverage="0" equalAverage="0" bottom="0" percent="0" rank="0" text="" dxfId="3">
      <formula>AND(ISNUMBER(H14),H14&gt;MX_FOOD)</formula>
    </cfRule>
  </conditionalFormatting>
  <conditionalFormatting sqref="I14:I25">
    <cfRule type="expression" priority="7" aboveAverage="0" equalAverage="0" bottom="0" percent="0" rank="0" text="" dxfId="3">
      <formula>AND(ISNUMBER(I14),I14&gt;MX_PAY)</formula>
    </cfRule>
  </conditionalFormatting>
  <conditionalFormatting sqref="F57:F65">
    <cfRule type="expression" priority="8" aboveAverage="0" equalAverage="0" bottom="0" percent="0" rank="0" text="" dxfId="4">
      <formula>LEFT(F57,1)="✔"</formula>
    </cfRule>
    <cfRule type="expression" priority="9" aboveAverage="0" equalAverage="0" bottom="0" percent="0" rank="0" text="" dxfId="3">
      <formula>LEFT(F57,1)&lt;&gt;"✔"</formula>
    </cfRule>
  </conditionalFormatting>
  <printOptions headings="false" gridLines="false" gridLinesSet="true" horizontalCentered="true" verticalCentered="false"/>
  <pageMargins left="0.4" right="0.4"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true"/>
  </sheetPr>
  <dimension ref="A1:P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14" min="3" style="0" width="12"/>
    <col collapsed="false" customWidth="true" hidden="false" outlineLevel="0" max="15" min="15" style="0" width="15"/>
    <col collapsed="false" customWidth="true" hidden="false" outlineLevel="0" max="16" min="16" style="0" width="9"/>
  </cols>
  <sheetData>
    <row r="1" customFormat="false" ht="19.7" hidden="false" customHeight="false" outlineLevel="0" collapsed="false">
      <c r="A1" s="17" t="s">
        <v>145</v>
      </c>
      <c r="B1" s="5"/>
      <c r="C1" s="5"/>
      <c r="D1" s="5"/>
      <c r="E1" s="5"/>
      <c r="F1" s="5"/>
      <c r="G1" s="5"/>
      <c r="H1" s="5"/>
      <c r="I1" s="5"/>
      <c r="J1" s="5"/>
      <c r="K1" s="5"/>
      <c r="L1" s="5"/>
      <c r="M1" s="5"/>
      <c r="N1" s="5"/>
      <c r="O1" s="5"/>
      <c r="P1" s="5"/>
    </row>
    <row r="2" customFormat="false" ht="15" hidden="false" customHeight="false" outlineLevel="0" collapsed="false">
      <c r="A2" s="18" t="str">
        <f aca="false">"KOPI PARANG  •  "&amp;"Periode 1 Januari – "&amp;TEXT(DATE(TAHUN,BLN+1,0),"d")&amp;" "&amp;NAMA_BLN&amp;" "&amp;TAHUN&amp;"  •  dalam Rupiah"</f>
        <v>KOPI PARANG  •  Periode 1 Januari – 30 September 2026  •  dalam Rupiah</v>
      </c>
      <c r="B2" s="5"/>
      <c r="C2" s="5"/>
      <c r="D2" s="5"/>
      <c r="E2" s="5"/>
      <c r="F2" s="5"/>
      <c r="G2" s="5"/>
      <c r="H2" s="5"/>
      <c r="I2" s="5"/>
      <c r="J2" s="5"/>
      <c r="K2" s="5"/>
      <c r="L2" s="5"/>
      <c r="M2" s="5"/>
      <c r="N2" s="5"/>
      <c r="O2" s="5"/>
      <c r="P2" s="5"/>
    </row>
    <row r="3" customFormat="false" ht="15" hidden="false" customHeight="false" outlineLevel="0" collapsed="false">
      <c r="A3" s="5"/>
      <c r="B3" s="5"/>
      <c r="C3" s="5"/>
      <c r="D3" s="5"/>
      <c r="E3" s="5"/>
      <c r="F3" s="5"/>
      <c r="G3" s="5"/>
      <c r="H3" s="5"/>
      <c r="I3" s="5"/>
      <c r="J3" s="5"/>
      <c r="K3" s="5"/>
      <c r="L3" s="5"/>
      <c r="M3" s="5"/>
      <c r="N3" s="5"/>
      <c r="O3" s="5"/>
      <c r="P3" s="5"/>
    </row>
    <row r="4" customFormat="false" ht="15" hidden="false" customHeight="false" outlineLevel="0" collapsed="false">
      <c r="A4" s="5"/>
      <c r="B4" s="19" t="s">
        <v>58</v>
      </c>
      <c r="C4" s="20" t="s">
        <v>113</v>
      </c>
      <c r="D4" s="20" t="s">
        <v>114</v>
      </c>
      <c r="E4" s="20" t="s">
        <v>115</v>
      </c>
      <c r="F4" s="20" t="s">
        <v>116</v>
      </c>
      <c r="G4" s="20" t="s">
        <v>79</v>
      </c>
      <c r="H4" s="20" t="s">
        <v>117</v>
      </c>
      <c r="I4" s="20" t="s">
        <v>118</v>
      </c>
      <c r="J4" s="20" t="s">
        <v>119</v>
      </c>
      <c r="K4" s="20" t="s">
        <v>120</v>
      </c>
      <c r="L4" s="20" t="s">
        <v>121</v>
      </c>
      <c r="M4" s="20" t="s">
        <v>122</v>
      </c>
      <c r="N4" s="20" t="s">
        <v>123</v>
      </c>
      <c r="O4" s="20" t="str">
        <f aca="false">"s.d. "&amp;LEFT(NAMA_BLN,3)&amp;" "&amp;TAHUN</f>
        <v>s.d. Sep 2026</v>
      </c>
      <c r="P4" s="20" t="s">
        <v>146</v>
      </c>
    </row>
    <row r="5" customFormat="false" ht="15" hidden="false" customHeight="false" outlineLevel="0" collapsed="false">
      <c r="A5" s="5"/>
      <c r="B5" s="5"/>
      <c r="C5" s="48" t="n">
        <v>1</v>
      </c>
      <c r="D5" s="48" t="n">
        <v>2</v>
      </c>
      <c r="E5" s="48" t="n">
        <v>3</v>
      </c>
      <c r="F5" s="48" t="n">
        <v>4</v>
      </c>
      <c r="G5" s="48" t="n">
        <v>5</v>
      </c>
      <c r="H5" s="48" t="n">
        <v>6</v>
      </c>
      <c r="I5" s="48" t="n">
        <v>7</v>
      </c>
      <c r="J5" s="48" t="n">
        <v>8</v>
      </c>
      <c r="K5" s="48" t="n">
        <v>9</v>
      </c>
      <c r="L5" s="48" t="n">
        <v>10</v>
      </c>
      <c r="M5" s="48" t="n">
        <v>11</v>
      </c>
      <c r="N5" s="48" t="n">
        <v>12</v>
      </c>
      <c r="O5" s="5"/>
      <c r="P5" s="5"/>
    </row>
    <row r="6" customFormat="false" ht="15" hidden="false" customHeight="false" outlineLevel="0" collapsed="false">
      <c r="A6" s="5"/>
      <c r="B6" s="49" t="s">
        <v>147</v>
      </c>
      <c r="C6" s="5"/>
      <c r="D6" s="5"/>
      <c r="E6" s="5"/>
      <c r="F6" s="5"/>
      <c r="G6" s="5"/>
      <c r="H6" s="5"/>
      <c r="I6" s="5"/>
      <c r="J6" s="5"/>
      <c r="K6" s="5"/>
      <c r="L6" s="5"/>
      <c r="M6" s="5"/>
      <c r="N6" s="5"/>
      <c r="O6" s="5"/>
      <c r="P6" s="5"/>
    </row>
    <row r="7" customFormat="false" ht="15" hidden="false" customHeight="false" outlineLevel="0" collapsed="false">
      <c r="A7" s="5"/>
      <c r="B7" s="50" t="s">
        <v>148</v>
      </c>
      <c r="C7" s="44" t="n">
        <f aca="false">IF(C$5&gt;BLN,"",-SUMIF(MUTASI!$B$6:$B$45,"Pendapatan Cafe",MUTASI!$E$6:$E$45))</f>
        <v>90683177</v>
      </c>
      <c r="D7" s="44" t="n">
        <f aca="false">IF(D$5&gt;BLN,"",-SUMIF(MUTASI!$B$6:$B$45,"Pendapatan Cafe",MUTASI!$F$6:$F$45))</f>
        <v>73106388</v>
      </c>
      <c r="E7" s="44" t="n">
        <f aca="false">IF(E$5&gt;BLN,"",-SUMIF(MUTASI!$B$6:$B$45,"Pendapatan Cafe",MUTASI!$G$6:$G$45))</f>
        <v>102509844</v>
      </c>
      <c r="F7" s="44" t="n">
        <f aca="false">IF(F$5&gt;BLN,"",-SUMIF(MUTASI!$B$6:$B$45,"Pendapatan Cafe",MUTASI!$H$6:$H$45))</f>
        <v>94551888</v>
      </c>
      <c r="G7" s="44" t="n">
        <f aca="false">IF(G$5&gt;BLN,"",-SUMIF(MUTASI!$B$6:$B$45,"Pendapatan Cafe",MUTASI!$I$6:$I$45))</f>
        <v>111312774</v>
      </c>
      <c r="H7" s="44" t="n">
        <f aca="false">IF(H$5&gt;BLN,"",-SUMIF(MUTASI!$B$6:$B$45,"Pendapatan Cafe",MUTASI!$J$6:$J$45))</f>
        <v>105398227</v>
      </c>
      <c r="I7" s="44" t="n">
        <f aca="false">IF(I$5&gt;BLN,"",-SUMIF(MUTASI!$B$6:$B$45,"Pendapatan Cafe",MUTASI!$K$6:$K$45))</f>
        <v>93923281</v>
      </c>
      <c r="J7" s="44" t="n">
        <f aca="false">IF(J$5&gt;BLN,"",-SUMIF(MUTASI!$B$6:$B$45,"Pendapatan Cafe",MUTASI!$L$6:$L$45))</f>
        <v>94790934</v>
      </c>
      <c r="K7" s="44" t="n">
        <f aca="false">IF(K$5&gt;BLN,"",-SUMIF(MUTASI!$B$6:$B$45,"Pendapatan Cafe",MUTASI!$M$6:$M$45))</f>
        <v>92214820</v>
      </c>
      <c r="L7" s="44" t="str">
        <f aca="false">IF(L$5&gt;BLN,"",-SUMIF(MUTASI!$B$6:$B$45,"Pendapatan Cafe",MUTASI!$N$6:$N$45))</f>
        <v/>
      </c>
      <c r="M7" s="44" t="str">
        <f aca="false">IF(M$5&gt;BLN,"",-SUMIF(MUTASI!$B$6:$B$45,"Pendapatan Cafe",MUTASI!$O$6:$O$45))</f>
        <v/>
      </c>
      <c r="N7" s="44" t="str">
        <f aca="false">IF(N$5&gt;BLN,"",-SUMIF(MUTASI!$B$6:$B$45,"Pendapatan Cafe",MUTASI!$P$6:$P$45))</f>
        <v/>
      </c>
      <c r="O7" s="44" t="n">
        <f aca="false">-SUMIF(MUTASI!$B$6:$B$45,"Pendapatan Cafe",MUTASI!$R$6:$R$45)</f>
        <v>858491333</v>
      </c>
      <c r="P7" s="45" t="n">
        <f aca="false">IFERROR(O7/O11,"")</f>
        <v>1.0791765728471</v>
      </c>
    </row>
    <row r="8" customFormat="false" ht="15" hidden="false" customHeight="false" outlineLevel="0" collapsed="false">
      <c r="A8" s="5"/>
      <c r="B8" s="50" t="s">
        <v>149</v>
      </c>
      <c r="C8" s="44" t="n">
        <f aca="false">IF(C$5&gt;BLN,"",-SUMIF(MUTASI!$B$6:$B$45,"Pendapatan non Cafe",MUTASI!$E$6:$E$45))</f>
        <v>7870000</v>
      </c>
      <c r="D8" s="44" t="n">
        <f aca="false">IF(D$5&gt;BLN,"",-SUMIF(MUTASI!$B$6:$B$45,"Pendapatan non Cafe",MUTASI!$F$6:$F$45))</f>
        <v>1860000</v>
      </c>
      <c r="E8" s="44" t="n">
        <f aca="false">IF(E$5&gt;BLN,"",-SUMIF(MUTASI!$B$6:$B$45,"Pendapatan non Cafe",MUTASI!$G$6:$G$45))</f>
        <v>-0</v>
      </c>
      <c r="F8" s="44" t="n">
        <f aca="false">IF(F$5&gt;BLN,"",-SUMIF(MUTASI!$B$6:$B$45,"Pendapatan non Cafe",MUTASI!$H$6:$H$45))</f>
        <v>-0</v>
      </c>
      <c r="G8" s="44" t="n">
        <f aca="false">IF(G$5&gt;BLN,"",-SUMIF(MUTASI!$B$6:$B$45,"Pendapatan non Cafe",MUTASI!$I$6:$I$45))</f>
        <v>1300000</v>
      </c>
      <c r="H8" s="44" t="n">
        <f aca="false">IF(H$5&gt;BLN,"",-SUMIF(MUTASI!$B$6:$B$45,"Pendapatan non Cafe",MUTASI!$J$6:$J$45))</f>
        <v>-0</v>
      </c>
      <c r="I8" s="44" t="n">
        <f aca="false">IF(I$5&gt;BLN,"",-SUMIF(MUTASI!$B$6:$B$45,"Pendapatan non Cafe",MUTASI!$K$6:$K$45))</f>
        <v>-0</v>
      </c>
      <c r="J8" s="44" t="n">
        <f aca="false">IF(J$5&gt;BLN,"",-SUMIF(MUTASI!$B$6:$B$45,"Pendapatan non Cafe",MUTASI!$L$6:$L$45))</f>
        <v>1678800</v>
      </c>
      <c r="K8" s="44" t="n">
        <f aca="false">IF(K$5&gt;BLN,"",-SUMIF(MUTASI!$B$6:$B$45,"Pendapatan non Cafe",MUTASI!$M$6:$M$45))</f>
        <v>2394250</v>
      </c>
      <c r="L8" s="44" t="str">
        <f aca="false">IF(L$5&gt;BLN,"",-SUMIF(MUTASI!$B$6:$B$45,"Pendapatan non Cafe",MUTASI!$N$6:$N$45))</f>
        <v/>
      </c>
      <c r="M8" s="44" t="str">
        <f aca="false">IF(M$5&gt;BLN,"",-SUMIF(MUTASI!$B$6:$B$45,"Pendapatan non Cafe",MUTASI!$O$6:$O$45))</f>
        <v/>
      </c>
      <c r="N8" s="44" t="str">
        <f aca="false">IF(N$5&gt;BLN,"",-SUMIF(MUTASI!$B$6:$B$45,"Pendapatan non Cafe",MUTASI!$P$6:$P$45))</f>
        <v/>
      </c>
      <c r="O8" s="44" t="n">
        <f aca="false">-SUMIF(MUTASI!$B$6:$B$45,"Pendapatan non Cafe",MUTASI!$R$6:$R$45)</f>
        <v>15103050</v>
      </c>
      <c r="P8" s="45" t="n">
        <f aca="false">IFERROR(O8/O11,"")</f>
        <v>0.0189854656791723</v>
      </c>
    </row>
    <row r="9" customFormat="false" ht="15" hidden="false" customHeight="false" outlineLevel="0" collapsed="false">
      <c r="A9" s="5"/>
      <c r="B9" s="51" t="s">
        <v>150</v>
      </c>
      <c r="C9" s="52" t="n">
        <f aca="false">IF(C$5&gt;BLN,"",N(C7)+N(C8))</f>
        <v>98553177</v>
      </c>
      <c r="D9" s="52" t="n">
        <f aca="false">IF(D$5&gt;BLN,"",N(D7)+N(D8))</f>
        <v>74966388</v>
      </c>
      <c r="E9" s="52" t="n">
        <f aca="false">IF(E$5&gt;BLN,"",N(E7)+N(E8))</f>
        <v>102509844</v>
      </c>
      <c r="F9" s="52" t="n">
        <f aca="false">IF(F$5&gt;BLN,"",N(F7)+N(F8))</f>
        <v>94551888</v>
      </c>
      <c r="G9" s="52" t="n">
        <f aca="false">IF(G$5&gt;BLN,"",N(G7)+N(G8))</f>
        <v>112612774</v>
      </c>
      <c r="H9" s="52" t="n">
        <f aca="false">IF(H$5&gt;BLN,"",N(H7)+N(H8))</f>
        <v>105398227</v>
      </c>
      <c r="I9" s="52" t="n">
        <f aca="false">IF(I$5&gt;BLN,"",N(I7)+N(I8))</f>
        <v>93923281</v>
      </c>
      <c r="J9" s="52" t="n">
        <f aca="false">IF(J$5&gt;BLN,"",N(J7)+N(J8))</f>
        <v>96469734</v>
      </c>
      <c r="K9" s="52" t="n">
        <f aca="false">IF(K$5&gt;BLN,"",N(K7)+N(K8))</f>
        <v>94609070</v>
      </c>
      <c r="L9" s="52" t="str">
        <f aca="false">IF(L$5&gt;BLN,"",N(L7)+N(L8))</f>
        <v/>
      </c>
      <c r="M9" s="52" t="str">
        <f aca="false">IF(M$5&gt;BLN,"",N(M7)+N(M8))</f>
        <v/>
      </c>
      <c r="N9" s="52" t="str">
        <f aca="false">IF(N$5&gt;BLN,"",N(N7)+N(N8))</f>
        <v/>
      </c>
      <c r="O9" s="52" t="n">
        <f aca="false">N(O7)+N(O8)</f>
        <v>873594383</v>
      </c>
      <c r="P9" s="53" t="n">
        <f aca="false">IFERROR(O9/O11,"")</f>
        <v>1.09816203852627</v>
      </c>
    </row>
    <row r="10" customFormat="false" ht="15" hidden="false" customHeight="false" outlineLevel="0" collapsed="false">
      <c r="A10" s="5"/>
      <c r="B10" s="50" t="s">
        <v>151</v>
      </c>
      <c r="C10" s="44" t="n">
        <f aca="false">IF(C$5&gt;BLN,"",SUMIF(MUTASI!$B$6:$B$45,"Pajak Restoran",MUTASI!$E$6:$E$45))</f>
        <v>8272195</v>
      </c>
      <c r="D10" s="44" t="n">
        <f aca="false">IF(D$5&gt;BLN,"",SUMIF(MUTASI!$B$6:$B$45,"Pajak Restoran",MUTASI!$F$6:$F$45))</f>
        <v>6655045</v>
      </c>
      <c r="E10" s="44" t="n">
        <f aca="false">IF(E$5&gt;BLN,"",SUMIF(MUTASI!$B$6:$B$45,"Pajak Restoran",MUTASI!$G$6:$G$45))</f>
        <v>9305823</v>
      </c>
      <c r="F10" s="44" t="n">
        <f aca="false">IF(F$5&gt;BLN,"",SUMIF(MUTASI!$B$6:$B$45,"Pajak Restoran",MUTASI!$H$6:$H$45))</f>
        <v>8597164</v>
      </c>
      <c r="G10" s="44" t="n">
        <f aca="false">IF(G$5&gt;BLN,"",SUMIF(MUTASI!$B$6:$B$45,"Pajak Restoran",MUTASI!$I$6:$I$45))</f>
        <v>10117905</v>
      </c>
      <c r="H10" s="44" t="n">
        <f aca="false">IF(H$5&gt;BLN,"",SUMIF(MUTASI!$B$6:$B$45,"Pajak Restoran",MUTASI!$J$6:$J$45))</f>
        <v>9581136</v>
      </c>
      <c r="I10" s="44" t="n">
        <f aca="false">IF(I$5&gt;BLN,"",SUMIF(MUTASI!$B$6:$B$45,"Pajak Restoran",MUTASI!$K$6:$K$45))</f>
        <v>8541786</v>
      </c>
      <c r="J10" s="44" t="n">
        <f aca="false">IF(J$5&gt;BLN,"",SUMIF(MUTASI!$B$6:$B$45,"Pajak Restoran",MUTASI!$L$6:$L$45))</f>
        <v>8627977</v>
      </c>
      <c r="K10" s="44" t="n">
        <f aca="false">IF(K$5&gt;BLN,"",SUMIF(MUTASI!$B$6:$B$45,"Pajak Restoran",MUTASI!$M$6:$M$45))</f>
        <v>8389450</v>
      </c>
      <c r="L10" s="44" t="str">
        <f aca="false">IF(L$5&gt;BLN,"",SUMIF(MUTASI!$B$6:$B$45,"Pajak Restoran",MUTASI!$N$6:$N$45))</f>
        <v/>
      </c>
      <c r="M10" s="44" t="str">
        <f aca="false">IF(M$5&gt;BLN,"",SUMIF(MUTASI!$B$6:$B$45,"Pajak Restoran",MUTASI!$O$6:$O$45))</f>
        <v/>
      </c>
      <c r="N10" s="44" t="str">
        <f aca="false">IF(N$5&gt;BLN,"",SUMIF(MUTASI!$B$6:$B$45,"Pajak Restoran",MUTASI!$P$6:$P$45))</f>
        <v/>
      </c>
      <c r="O10" s="44" t="n">
        <f aca="false">SUMIF(MUTASI!$B$6:$B$45,"Pajak Restoran",MUTASI!$R$6:$R$45)</f>
        <v>78088481</v>
      </c>
      <c r="P10" s="45" t="n">
        <f aca="false">IFERROR(O10/O11,"")</f>
        <v>0.0981620385262711</v>
      </c>
    </row>
    <row r="11" customFormat="false" ht="15" hidden="false" customHeight="false" outlineLevel="0" collapsed="false">
      <c r="A11" s="5"/>
      <c r="B11" s="54" t="s">
        <v>152</v>
      </c>
      <c r="C11" s="55" t="n">
        <f aca="false">IF(C$5&gt;BLN,"",N(C9)-N(C10))</f>
        <v>90280982</v>
      </c>
      <c r="D11" s="55" t="n">
        <f aca="false">IF(D$5&gt;BLN,"",N(D9)-N(D10))</f>
        <v>68311343</v>
      </c>
      <c r="E11" s="55" t="n">
        <f aca="false">IF(E$5&gt;BLN,"",N(E9)-N(E10))</f>
        <v>93204021</v>
      </c>
      <c r="F11" s="55" t="n">
        <f aca="false">IF(F$5&gt;BLN,"",N(F9)-N(F10))</f>
        <v>85954724</v>
      </c>
      <c r="G11" s="55" t="n">
        <f aca="false">IF(G$5&gt;BLN,"",N(G9)-N(G10))</f>
        <v>102494869</v>
      </c>
      <c r="H11" s="55" t="n">
        <f aca="false">IF(H$5&gt;BLN,"",N(H9)-N(H10))</f>
        <v>95817091</v>
      </c>
      <c r="I11" s="55" t="n">
        <f aca="false">IF(I$5&gt;BLN,"",N(I9)-N(I10))</f>
        <v>85381495</v>
      </c>
      <c r="J11" s="55" t="n">
        <f aca="false">IF(J$5&gt;BLN,"",N(J9)-N(J10))</f>
        <v>87841757</v>
      </c>
      <c r="K11" s="55" t="n">
        <f aca="false">IF(K$5&gt;BLN,"",N(K9)-N(K10))</f>
        <v>86219620</v>
      </c>
      <c r="L11" s="55" t="str">
        <f aca="false">IF(L$5&gt;BLN,"",N(L9)-N(L10))</f>
        <v/>
      </c>
      <c r="M11" s="55" t="str">
        <f aca="false">IF(M$5&gt;BLN,"",N(M9)-N(M10))</f>
        <v/>
      </c>
      <c r="N11" s="55" t="str">
        <f aca="false">IF(N$5&gt;BLN,"",N(N9)-N(N10))</f>
        <v/>
      </c>
      <c r="O11" s="55" t="n">
        <f aca="false">N(O9)-N(O10)</f>
        <v>795505902</v>
      </c>
      <c r="P11" s="56" t="n">
        <f aca="false">IFERROR(O11/O11,"")</f>
        <v>1</v>
      </c>
    </row>
    <row r="12" customFormat="false" ht="15" hidden="false" customHeight="false" outlineLevel="0" collapsed="false">
      <c r="A12" s="5"/>
      <c r="B12" s="5"/>
      <c r="C12" s="5"/>
      <c r="D12" s="5"/>
      <c r="E12" s="5"/>
      <c r="F12" s="5"/>
      <c r="G12" s="5"/>
      <c r="H12" s="5"/>
      <c r="I12" s="5"/>
      <c r="J12" s="5"/>
      <c r="K12" s="5"/>
      <c r="L12" s="5"/>
      <c r="M12" s="5"/>
      <c r="N12" s="5"/>
      <c r="O12" s="5"/>
      <c r="P12" s="5"/>
    </row>
    <row r="13" customFormat="false" ht="15" hidden="false" customHeight="false" outlineLevel="0" collapsed="false">
      <c r="A13" s="5"/>
      <c r="B13" s="49" t="s">
        <v>153</v>
      </c>
      <c r="C13" s="5"/>
      <c r="D13" s="5"/>
      <c r="E13" s="5"/>
      <c r="F13" s="5"/>
      <c r="G13" s="5"/>
      <c r="H13" s="5"/>
      <c r="I13" s="5"/>
      <c r="J13" s="5"/>
      <c r="K13" s="5"/>
      <c r="L13" s="5"/>
      <c r="M13" s="5"/>
      <c r="N13" s="5"/>
      <c r="O13" s="5"/>
      <c r="P13" s="5"/>
    </row>
    <row r="14" customFormat="false" ht="15" hidden="false" customHeight="false" outlineLevel="0" collapsed="false">
      <c r="A14" s="5"/>
      <c r="B14" s="50" t="s">
        <v>154</v>
      </c>
      <c r="C14" s="44" t="n">
        <f aca="false">IF(C$5&gt;BLN,"",SUMIF(MUTASI!$B$6:$B$45,"Biaya Bahan Baku",MUTASI!$E$6:$E$45))</f>
        <v>25310200</v>
      </c>
      <c r="D14" s="44" t="n">
        <f aca="false">IF(D$5&gt;BLN,"",SUMIF(MUTASI!$B$6:$B$45,"Biaya Bahan Baku",MUTASI!$F$6:$F$45))</f>
        <v>26953700</v>
      </c>
      <c r="E14" s="44" t="n">
        <f aca="false">IF(E$5&gt;BLN,"",SUMIF(MUTASI!$B$6:$B$45,"Biaya Bahan Baku",MUTASI!$G$6:$G$45))</f>
        <v>28284387</v>
      </c>
      <c r="F14" s="44" t="n">
        <f aca="false">IF(F$5&gt;BLN,"",SUMIF(MUTASI!$B$6:$B$45,"Biaya Bahan Baku",MUTASI!$H$6:$H$45))</f>
        <v>50730535</v>
      </c>
      <c r="G14" s="44" t="n">
        <f aca="false">IF(G$5&gt;BLN,"",SUMIF(MUTASI!$B$6:$B$45,"Biaya Bahan Baku",MUTASI!$I$6:$I$45))</f>
        <v>31404673</v>
      </c>
      <c r="H14" s="44" t="n">
        <f aca="false">IF(H$5&gt;BLN,"",SUMIF(MUTASI!$B$6:$B$45,"Biaya Bahan Baku",MUTASI!$J$6:$J$45))</f>
        <v>38670406</v>
      </c>
      <c r="I14" s="44" t="n">
        <f aca="false">IF(I$5&gt;BLN,"",SUMIF(MUTASI!$B$6:$B$45,"Biaya Bahan Baku",MUTASI!$K$6:$K$45))</f>
        <v>31812694</v>
      </c>
      <c r="J14" s="44" t="n">
        <f aca="false">IF(J$5&gt;BLN,"",SUMIF(MUTASI!$B$6:$B$45,"Biaya Bahan Baku",MUTASI!$L$6:$L$45))</f>
        <v>20123020</v>
      </c>
      <c r="K14" s="44" t="n">
        <f aca="false">IF(K$5&gt;BLN,"",SUMIF(MUTASI!$B$6:$B$45,"Biaya Bahan Baku",MUTASI!$M$6:$M$45))</f>
        <v>49298099</v>
      </c>
      <c r="L14" s="44" t="str">
        <f aca="false">IF(L$5&gt;BLN,"",SUMIF(MUTASI!$B$6:$B$45,"Biaya Bahan Baku",MUTASI!$N$6:$N$45))</f>
        <v/>
      </c>
      <c r="M14" s="44" t="str">
        <f aca="false">IF(M$5&gt;BLN,"",SUMIF(MUTASI!$B$6:$B$45,"Biaya Bahan Baku",MUTASI!$O$6:$O$45))</f>
        <v/>
      </c>
      <c r="N14" s="44" t="str">
        <f aca="false">IF(N$5&gt;BLN,"",SUMIF(MUTASI!$B$6:$B$45,"Biaya Bahan Baku",MUTASI!$P$6:$P$45))</f>
        <v/>
      </c>
      <c r="O14" s="44" t="n">
        <f aca="false">SUMIF(MUTASI!$B$6:$B$45,"Biaya Bahan Baku",MUTASI!$R$6:$R$45)</f>
        <v>302587714</v>
      </c>
      <c r="P14" s="45" t="n">
        <f aca="false">IFERROR(O14/O11,"")</f>
        <v>0.380371425578688</v>
      </c>
    </row>
    <row r="15" customFormat="false" ht="15" hidden="false" customHeight="false" outlineLevel="0" collapsed="false">
      <c r="A15" s="5"/>
      <c r="B15" s="50" t="s">
        <v>155</v>
      </c>
      <c r="C15" s="44" t="n">
        <f aca="false">IF(C$5&gt;BLN,"",SUMIF(MUTASI!$B$6:$B$45,"Biaya Penyajian",MUTASI!$E$6:$E$45))</f>
        <v>2858100</v>
      </c>
      <c r="D15" s="44" t="n">
        <f aca="false">IF(D$5&gt;BLN,"",SUMIF(MUTASI!$B$6:$B$45,"Biaya Penyajian",MUTASI!$F$6:$F$45))</f>
        <v>4280010</v>
      </c>
      <c r="E15" s="44" t="n">
        <f aca="false">IF(E$5&gt;BLN,"",SUMIF(MUTASI!$B$6:$B$45,"Biaya Penyajian",MUTASI!$G$6:$G$45))</f>
        <v>4752800</v>
      </c>
      <c r="F15" s="44" t="n">
        <f aca="false">IF(F$5&gt;BLN,"",SUMIF(MUTASI!$B$6:$B$45,"Biaya Penyajian",MUTASI!$H$6:$H$45))</f>
        <v>5438259</v>
      </c>
      <c r="G15" s="44" t="n">
        <f aca="false">IF(G$5&gt;BLN,"",SUMIF(MUTASI!$B$6:$B$45,"Biaya Penyajian",MUTASI!$I$6:$I$45))</f>
        <v>3320500</v>
      </c>
      <c r="H15" s="44" t="n">
        <f aca="false">IF(H$5&gt;BLN,"",SUMIF(MUTASI!$B$6:$B$45,"Biaya Penyajian",MUTASI!$J$6:$J$45))</f>
        <v>6466101</v>
      </c>
      <c r="I15" s="44" t="n">
        <f aca="false">IF(I$5&gt;BLN,"",SUMIF(MUTASI!$B$6:$B$45,"Biaya Penyajian",MUTASI!$K$6:$K$45))</f>
        <v>2105350</v>
      </c>
      <c r="J15" s="44" t="n">
        <f aca="false">IF(J$5&gt;BLN,"",SUMIF(MUTASI!$B$6:$B$45,"Biaya Penyajian",MUTASI!$L$6:$L$45))</f>
        <v>2970000</v>
      </c>
      <c r="K15" s="44" t="n">
        <f aca="false">IF(K$5&gt;BLN,"",SUMIF(MUTASI!$B$6:$B$45,"Biaya Penyajian",MUTASI!$M$6:$M$45))</f>
        <v>3800700</v>
      </c>
      <c r="L15" s="44" t="str">
        <f aca="false">IF(L$5&gt;BLN,"",SUMIF(MUTASI!$B$6:$B$45,"Biaya Penyajian",MUTASI!$N$6:$N$45))</f>
        <v/>
      </c>
      <c r="M15" s="44" t="str">
        <f aca="false">IF(M$5&gt;BLN,"",SUMIF(MUTASI!$B$6:$B$45,"Biaya Penyajian",MUTASI!$O$6:$O$45))</f>
        <v/>
      </c>
      <c r="N15" s="44" t="str">
        <f aca="false">IF(N$5&gt;BLN,"",SUMIF(MUTASI!$B$6:$B$45,"Biaya Penyajian",MUTASI!$P$6:$P$45))</f>
        <v/>
      </c>
      <c r="O15" s="44" t="n">
        <f aca="false">SUMIF(MUTASI!$B$6:$B$45,"Biaya Penyajian",MUTASI!$R$6:$R$45)</f>
        <v>35991820</v>
      </c>
      <c r="P15" s="45" t="n">
        <f aca="false">IFERROR(O15/O11,"")</f>
        <v>0.0452439383661543</v>
      </c>
    </row>
    <row r="16" customFormat="false" ht="15" hidden="false" customHeight="false" outlineLevel="0" collapsed="false">
      <c r="A16" s="5"/>
      <c r="B16" s="51" t="s">
        <v>156</v>
      </c>
      <c r="C16" s="52" t="n">
        <f aca="false">IF(C$5&gt;BLN,"",N(C14)+N(C15))</f>
        <v>28168300</v>
      </c>
      <c r="D16" s="52" t="n">
        <f aca="false">IF(D$5&gt;BLN,"",N(D14)+N(D15))</f>
        <v>31233710</v>
      </c>
      <c r="E16" s="52" t="n">
        <f aca="false">IF(E$5&gt;BLN,"",N(E14)+N(E15))</f>
        <v>33037187</v>
      </c>
      <c r="F16" s="52" t="n">
        <f aca="false">IF(F$5&gt;BLN,"",N(F14)+N(F15))</f>
        <v>56168794</v>
      </c>
      <c r="G16" s="52" t="n">
        <f aca="false">IF(G$5&gt;BLN,"",N(G14)+N(G15))</f>
        <v>34725173</v>
      </c>
      <c r="H16" s="52" t="n">
        <f aca="false">IF(H$5&gt;BLN,"",N(H14)+N(H15))</f>
        <v>45136507</v>
      </c>
      <c r="I16" s="52" t="n">
        <f aca="false">IF(I$5&gt;BLN,"",N(I14)+N(I15))</f>
        <v>33918044</v>
      </c>
      <c r="J16" s="52" t="n">
        <f aca="false">IF(J$5&gt;BLN,"",N(J14)+N(J15))</f>
        <v>23093020</v>
      </c>
      <c r="K16" s="52" t="n">
        <f aca="false">IF(K$5&gt;BLN,"",N(K14)+N(K15))</f>
        <v>53098799</v>
      </c>
      <c r="L16" s="52" t="str">
        <f aca="false">IF(L$5&gt;BLN,"",N(L14)+N(L15))</f>
        <v/>
      </c>
      <c r="M16" s="52" t="str">
        <f aca="false">IF(M$5&gt;BLN,"",N(M14)+N(M15))</f>
        <v/>
      </c>
      <c r="N16" s="52" t="str">
        <f aca="false">IF(N$5&gt;BLN,"",N(N14)+N(N15))</f>
        <v/>
      </c>
      <c r="O16" s="52" t="n">
        <f aca="false">N(O14)+N(O15)</f>
        <v>338579534</v>
      </c>
      <c r="P16" s="53" t="n">
        <f aca="false">IFERROR(O16/O11,"")</f>
        <v>0.425615363944842</v>
      </c>
    </row>
    <row r="17" customFormat="false" ht="15" hidden="false" customHeight="false" outlineLevel="0" collapsed="false">
      <c r="A17" s="5"/>
      <c r="B17" s="5"/>
      <c r="C17" s="5"/>
      <c r="D17" s="5"/>
      <c r="E17" s="5"/>
      <c r="F17" s="5"/>
      <c r="G17" s="5"/>
      <c r="H17" s="5"/>
      <c r="I17" s="5"/>
      <c r="J17" s="5"/>
      <c r="K17" s="5"/>
      <c r="L17" s="5"/>
      <c r="M17" s="5"/>
      <c r="N17" s="5"/>
      <c r="O17" s="5"/>
      <c r="P17" s="5"/>
    </row>
    <row r="18" customFormat="false" ht="15" hidden="false" customHeight="false" outlineLevel="0" collapsed="false">
      <c r="A18" s="5"/>
      <c r="B18" s="54" t="s">
        <v>157</v>
      </c>
      <c r="C18" s="55" t="n">
        <f aca="false">IF(C$5&gt;BLN,"",N(C11)-N(C16))</f>
        <v>62112682</v>
      </c>
      <c r="D18" s="55" t="n">
        <f aca="false">IF(D$5&gt;BLN,"",N(D11)-N(D16))</f>
        <v>37077633</v>
      </c>
      <c r="E18" s="55" t="n">
        <f aca="false">IF(E$5&gt;BLN,"",N(E11)-N(E16))</f>
        <v>60166834</v>
      </c>
      <c r="F18" s="55" t="n">
        <f aca="false">IF(F$5&gt;BLN,"",N(F11)-N(F16))</f>
        <v>29785930</v>
      </c>
      <c r="G18" s="55" t="n">
        <f aca="false">IF(G$5&gt;BLN,"",N(G11)-N(G16))</f>
        <v>67769696</v>
      </c>
      <c r="H18" s="55" t="n">
        <f aca="false">IF(H$5&gt;BLN,"",N(H11)-N(H16))</f>
        <v>50680584</v>
      </c>
      <c r="I18" s="55" t="n">
        <f aca="false">IF(I$5&gt;BLN,"",N(I11)-N(I16))</f>
        <v>51463451</v>
      </c>
      <c r="J18" s="55" t="n">
        <f aca="false">IF(J$5&gt;BLN,"",N(J11)-N(J16))</f>
        <v>64748737</v>
      </c>
      <c r="K18" s="55" t="n">
        <f aca="false">IF(K$5&gt;BLN,"",N(K11)-N(K16))</f>
        <v>33120821</v>
      </c>
      <c r="L18" s="55" t="str">
        <f aca="false">IF(L$5&gt;BLN,"",N(L11)-N(L16))</f>
        <v/>
      </c>
      <c r="M18" s="55" t="str">
        <f aca="false">IF(M$5&gt;BLN,"",N(M11)-N(M16))</f>
        <v/>
      </c>
      <c r="N18" s="55" t="str">
        <f aca="false">IF(N$5&gt;BLN,"",N(N11)-N(N16))</f>
        <v/>
      </c>
      <c r="O18" s="55" t="n">
        <f aca="false">N(O11)-N(O16)</f>
        <v>456926368</v>
      </c>
      <c r="P18" s="56" t="n">
        <f aca="false">IFERROR(O18/O11,"")</f>
        <v>0.574384636055158</v>
      </c>
    </row>
    <row r="19" customFormat="false" ht="15" hidden="false" customHeight="false" outlineLevel="0" collapsed="false">
      <c r="A19" s="5"/>
      <c r="B19" s="57" t="s">
        <v>158</v>
      </c>
      <c r="C19" s="58" t="n">
        <f aca="false">IF(C$5&gt;BLN,"",IFERROR((N(C18))/C11,""))</f>
        <v>0.687992981733407</v>
      </c>
      <c r="D19" s="58" t="n">
        <f aca="false">IF(D$5&gt;BLN,"",IFERROR((N(D18))/D11,""))</f>
        <v>0.5427741773427</v>
      </c>
      <c r="E19" s="58" t="n">
        <f aca="false">IF(E$5&gt;BLN,"",IFERROR((N(E18))/E11,""))</f>
        <v>0.645539037419856</v>
      </c>
      <c r="F19" s="58" t="n">
        <f aca="false">IF(F$5&gt;BLN,"",IFERROR((N(F18))/F11,""))</f>
        <v>0.346530459454445</v>
      </c>
      <c r="G19" s="58" t="n">
        <f aca="false">IF(G$5&gt;BLN,"",IFERROR((N(G18))/G11,""))</f>
        <v>0.661200864601329</v>
      </c>
      <c r="H19" s="58" t="n">
        <f aca="false">IF(H$5&gt;BLN,"",IFERROR((N(H18))/H11,""))</f>
        <v>0.528930522426317</v>
      </c>
      <c r="I19" s="58" t="n">
        <f aca="false">IF(I$5&gt;BLN,"",IFERROR((N(I18))/I11,""))</f>
        <v>0.60274712922279</v>
      </c>
      <c r="J19" s="58" t="n">
        <f aca="false">IF(J$5&gt;BLN,"",IFERROR((N(J18))/J11,""))</f>
        <v>0.73710657904987</v>
      </c>
      <c r="K19" s="58" t="n">
        <f aca="false">IF(K$5&gt;BLN,"",IFERROR((N(K18))/K11,""))</f>
        <v>0.384144826896709</v>
      </c>
      <c r="L19" s="58" t="str">
        <f aca="false">IF(L$5&gt;BLN,"",IFERROR((N(L18))/L11,""))</f>
        <v/>
      </c>
      <c r="M19" s="58" t="str">
        <f aca="false">IF(M$5&gt;BLN,"",IFERROR((N(M18))/M11,""))</f>
        <v/>
      </c>
      <c r="N19" s="58" t="str">
        <f aca="false">IF(N$5&gt;BLN,"",IFERROR((N(N18))/N11,""))</f>
        <v/>
      </c>
      <c r="O19" s="58" t="n">
        <f aca="false">IFERROR((N(O18))/O11,"")</f>
        <v>0.574384636055158</v>
      </c>
      <c r="P19" s="22"/>
    </row>
    <row r="20" customFormat="false" ht="15" hidden="false" customHeight="false" outlineLevel="0" collapsed="false">
      <c r="A20" s="5"/>
      <c r="B20" s="5"/>
      <c r="C20" s="5"/>
      <c r="D20" s="5"/>
      <c r="E20" s="5"/>
      <c r="F20" s="5"/>
      <c r="G20" s="5"/>
      <c r="H20" s="5"/>
      <c r="I20" s="5"/>
      <c r="J20" s="5"/>
      <c r="K20" s="5"/>
      <c r="L20" s="5"/>
      <c r="M20" s="5"/>
      <c r="N20" s="5"/>
      <c r="O20" s="5"/>
      <c r="P20" s="5"/>
    </row>
    <row r="21" customFormat="false" ht="15" hidden="false" customHeight="false" outlineLevel="0" collapsed="false">
      <c r="A21" s="5"/>
      <c r="B21" s="49" t="s">
        <v>159</v>
      </c>
      <c r="C21" s="5"/>
      <c r="D21" s="5"/>
      <c r="E21" s="5"/>
      <c r="F21" s="5"/>
      <c r="G21" s="5"/>
      <c r="H21" s="5"/>
      <c r="I21" s="5"/>
      <c r="J21" s="5"/>
      <c r="K21" s="5"/>
      <c r="L21" s="5"/>
      <c r="M21" s="5"/>
      <c r="N21" s="5"/>
      <c r="O21" s="5"/>
      <c r="P21" s="5"/>
    </row>
    <row r="22" customFormat="false" ht="15" hidden="false" customHeight="false" outlineLevel="0" collapsed="false">
      <c r="A22" s="5"/>
      <c r="B22" s="50" t="s">
        <v>160</v>
      </c>
      <c r="C22" s="44" t="n">
        <f aca="false">IF(C$5&gt;BLN,"",SUMIF(MUTASI!$B$6:$B$45,"Beban Gaji",MUTASI!$E$6:$E$45))</f>
        <v>25630000</v>
      </c>
      <c r="D22" s="44" t="n">
        <f aca="false">IF(D$5&gt;BLN,"",SUMIF(MUTASI!$B$6:$B$45,"Beban Gaji",MUTASI!$F$6:$F$45))</f>
        <v>26694500</v>
      </c>
      <c r="E22" s="44" t="n">
        <f aca="false">IF(E$5&gt;BLN,"",SUMIF(MUTASI!$B$6:$B$45,"Beban Gaji",MUTASI!$G$6:$G$45))</f>
        <v>42902000</v>
      </c>
      <c r="F22" s="44" t="n">
        <f aca="false">IF(F$5&gt;BLN,"",SUMIF(MUTASI!$B$6:$B$45,"Beban Gaji",MUTASI!$H$6:$H$45))</f>
        <v>27266000</v>
      </c>
      <c r="G22" s="44" t="n">
        <f aca="false">IF(G$5&gt;BLN,"",SUMIF(MUTASI!$B$6:$B$45,"Beban Gaji",MUTASI!$I$6:$I$45))</f>
        <v>29405333</v>
      </c>
      <c r="H22" s="44" t="n">
        <f aca="false">IF(H$5&gt;BLN,"",SUMIF(MUTASI!$B$6:$B$45,"Beban Gaji",MUTASI!$J$6:$J$45))</f>
        <v>30293333</v>
      </c>
      <c r="I22" s="44" t="n">
        <f aca="false">IF(I$5&gt;BLN,"",SUMIF(MUTASI!$B$6:$B$45,"Beban Gaji",MUTASI!$K$6:$K$45))</f>
        <v>22761333</v>
      </c>
      <c r="J22" s="44" t="n">
        <f aca="false">IF(J$5&gt;BLN,"",SUMIF(MUTASI!$B$6:$B$45,"Beban Gaji",MUTASI!$L$6:$L$45))</f>
        <v>24169333</v>
      </c>
      <c r="K22" s="44" t="n">
        <f aca="false">IF(K$5&gt;BLN,"",SUMIF(MUTASI!$B$6:$B$45,"Beban Gaji",MUTASI!$M$6:$M$45))</f>
        <v>24792333</v>
      </c>
      <c r="L22" s="44" t="str">
        <f aca="false">IF(L$5&gt;BLN,"",SUMIF(MUTASI!$B$6:$B$45,"Beban Gaji",MUTASI!$N$6:$N$45))</f>
        <v/>
      </c>
      <c r="M22" s="44" t="str">
        <f aca="false">IF(M$5&gt;BLN,"",SUMIF(MUTASI!$B$6:$B$45,"Beban Gaji",MUTASI!$O$6:$O$45))</f>
        <v/>
      </c>
      <c r="N22" s="44" t="str">
        <f aca="false">IF(N$5&gt;BLN,"",SUMIF(MUTASI!$B$6:$B$45,"Beban Gaji",MUTASI!$P$6:$P$45))</f>
        <v/>
      </c>
      <c r="O22" s="44" t="n">
        <f aca="false">SUMIF(MUTASI!$B$6:$B$45,"Beban Gaji",MUTASI!$R$6:$R$45)</f>
        <v>253914165</v>
      </c>
      <c r="P22" s="45" t="n">
        <f aca="false">IFERROR(O22/O11,"")</f>
        <v>0.319185771421216</v>
      </c>
    </row>
    <row r="23" customFormat="false" ht="15" hidden="false" customHeight="false" outlineLevel="0" collapsed="false">
      <c r="A23" s="5"/>
      <c r="B23" s="50" t="s">
        <v>161</v>
      </c>
      <c r="C23" s="44" t="n">
        <f aca="false">IF(C$5&gt;BLN,"",SUMIF(MUTASI!$B$6:$B$45,"Biaya Sewa Tempat",MUTASI!$E$6:$E$45))</f>
        <v>10000000</v>
      </c>
      <c r="D23" s="44" t="n">
        <f aca="false">IF(D$5&gt;BLN,"",SUMIF(MUTASI!$B$6:$B$45,"Biaya Sewa Tempat",MUTASI!$F$6:$F$45))</f>
        <v>10000000</v>
      </c>
      <c r="E23" s="44" t="n">
        <f aca="false">IF(E$5&gt;BLN,"",SUMIF(MUTASI!$B$6:$B$45,"Biaya Sewa Tempat",MUTASI!$G$6:$G$45))</f>
        <v>10000000</v>
      </c>
      <c r="F23" s="44" t="n">
        <f aca="false">IF(F$5&gt;BLN,"",SUMIF(MUTASI!$B$6:$B$45,"Biaya Sewa Tempat",MUTASI!$H$6:$H$45))</f>
        <v>10000000</v>
      </c>
      <c r="G23" s="44" t="n">
        <f aca="false">IF(G$5&gt;BLN,"",SUMIF(MUTASI!$B$6:$B$45,"Biaya Sewa Tempat",MUTASI!$I$6:$I$45))</f>
        <v>10000000</v>
      </c>
      <c r="H23" s="44" t="n">
        <f aca="false">IF(H$5&gt;BLN,"",SUMIF(MUTASI!$B$6:$B$45,"Biaya Sewa Tempat",MUTASI!$J$6:$J$45))</f>
        <v>0</v>
      </c>
      <c r="I23" s="44" t="n">
        <f aca="false">IF(I$5&gt;BLN,"",SUMIF(MUTASI!$B$6:$B$45,"Biaya Sewa Tempat",MUTASI!$K$6:$K$45))</f>
        <v>10000000</v>
      </c>
      <c r="J23" s="44" t="n">
        <f aca="false">IF(J$5&gt;BLN,"",SUMIF(MUTASI!$B$6:$B$45,"Biaya Sewa Tempat",MUTASI!$L$6:$L$45))</f>
        <v>10000000</v>
      </c>
      <c r="K23" s="44" t="n">
        <f aca="false">IF(K$5&gt;BLN,"",SUMIF(MUTASI!$B$6:$B$45,"Biaya Sewa Tempat",MUTASI!$M$6:$M$45))</f>
        <v>10000000</v>
      </c>
      <c r="L23" s="44" t="str">
        <f aca="false">IF(L$5&gt;BLN,"",SUMIF(MUTASI!$B$6:$B$45,"Biaya Sewa Tempat",MUTASI!$N$6:$N$45))</f>
        <v/>
      </c>
      <c r="M23" s="44" t="str">
        <f aca="false">IF(M$5&gt;BLN,"",SUMIF(MUTASI!$B$6:$B$45,"Biaya Sewa Tempat",MUTASI!$O$6:$O$45))</f>
        <v/>
      </c>
      <c r="N23" s="44" t="str">
        <f aca="false">IF(N$5&gt;BLN,"",SUMIF(MUTASI!$B$6:$B$45,"Biaya Sewa Tempat",MUTASI!$P$6:$P$45))</f>
        <v/>
      </c>
      <c r="O23" s="44" t="n">
        <f aca="false">SUMIF(MUTASI!$B$6:$B$45,"Biaya Sewa Tempat",MUTASI!$R$6:$R$45)</f>
        <v>80000000</v>
      </c>
      <c r="P23" s="45" t="n">
        <f aca="false">IFERROR(O23/O11,"")</f>
        <v>0.100564935846321</v>
      </c>
    </row>
    <row r="24" customFormat="false" ht="15" hidden="false" customHeight="false" outlineLevel="0" collapsed="false">
      <c r="A24" s="5"/>
      <c r="B24" s="50" t="s">
        <v>162</v>
      </c>
      <c r="C24" s="44" t="n">
        <f aca="false">IF(C$5&gt;BLN,"",SUMIF(MUTASI!$B$6:$B$45,"Biaya Tagihan Bulanan",MUTASI!$E$6:$E$45))</f>
        <v>4619448</v>
      </c>
      <c r="D24" s="44" t="n">
        <f aca="false">IF(D$5&gt;BLN,"",SUMIF(MUTASI!$B$6:$B$45,"Biaya Tagihan Bulanan",MUTASI!$F$6:$F$45))</f>
        <v>4511384</v>
      </c>
      <c r="E24" s="44" t="n">
        <f aca="false">IF(E$5&gt;BLN,"",SUMIF(MUTASI!$B$6:$B$45,"Biaya Tagihan Bulanan",MUTASI!$G$6:$G$45))</f>
        <v>4663782</v>
      </c>
      <c r="F24" s="44" t="n">
        <f aca="false">IF(F$5&gt;BLN,"",SUMIF(MUTASI!$B$6:$B$45,"Biaya Tagihan Bulanan",MUTASI!$H$6:$H$45))</f>
        <v>4957412</v>
      </c>
      <c r="G24" s="44" t="n">
        <f aca="false">IF(G$5&gt;BLN,"",SUMIF(MUTASI!$B$6:$B$45,"Biaya Tagihan Bulanan",MUTASI!$I$6:$I$45))</f>
        <v>5262141</v>
      </c>
      <c r="H24" s="44" t="n">
        <f aca="false">IF(H$5&gt;BLN,"",SUMIF(MUTASI!$B$6:$B$45,"Biaya Tagihan Bulanan",MUTASI!$J$6:$J$45))</f>
        <v>5146765</v>
      </c>
      <c r="I24" s="44" t="n">
        <f aca="false">IF(I$5&gt;BLN,"",SUMIF(MUTASI!$B$6:$B$45,"Biaya Tagihan Bulanan",MUTASI!$K$6:$K$45))</f>
        <v>5525230</v>
      </c>
      <c r="J24" s="44" t="n">
        <f aca="false">IF(J$5&gt;BLN,"",SUMIF(MUTASI!$B$6:$B$45,"Biaya Tagihan Bulanan",MUTASI!$L$6:$L$45))</f>
        <v>5414662</v>
      </c>
      <c r="K24" s="44" t="n">
        <f aca="false">IF(K$5&gt;BLN,"",SUMIF(MUTASI!$B$6:$B$45,"Biaya Tagihan Bulanan",MUTASI!$M$6:$M$45))</f>
        <v>5336097</v>
      </c>
      <c r="L24" s="44" t="str">
        <f aca="false">IF(L$5&gt;BLN,"",SUMIF(MUTASI!$B$6:$B$45,"Biaya Tagihan Bulanan",MUTASI!$N$6:$N$45))</f>
        <v/>
      </c>
      <c r="M24" s="44" t="str">
        <f aca="false">IF(M$5&gt;BLN,"",SUMIF(MUTASI!$B$6:$B$45,"Biaya Tagihan Bulanan",MUTASI!$O$6:$O$45))</f>
        <v/>
      </c>
      <c r="N24" s="44" t="str">
        <f aca="false">IF(N$5&gt;BLN,"",SUMIF(MUTASI!$B$6:$B$45,"Biaya Tagihan Bulanan",MUTASI!$P$6:$P$45))</f>
        <v/>
      </c>
      <c r="O24" s="44" t="n">
        <f aca="false">SUMIF(MUTASI!$B$6:$B$45,"Biaya Tagihan Bulanan",MUTASI!$R$6:$R$45)</f>
        <v>45436921</v>
      </c>
      <c r="P24" s="45" t="n">
        <f aca="false">IFERROR(O24/O11,"")</f>
        <v>0.0571170130677421</v>
      </c>
    </row>
    <row r="25" customFormat="false" ht="15" hidden="false" customHeight="false" outlineLevel="0" collapsed="false">
      <c r="A25" s="5"/>
      <c r="B25" s="50" t="s">
        <v>163</v>
      </c>
      <c r="C25" s="44" t="n">
        <f aca="false">IF(C$5&gt;BLN,"",SUMIF(MUTASI!$B$6:$B$45,"Biaya Marketing &amp; Promosi",MUTASI!$E$6:$E$45))</f>
        <v>64039154</v>
      </c>
      <c r="D25" s="44" t="n">
        <f aca="false">IF(D$5&gt;BLN,"",SUMIF(MUTASI!$B$6:$B$45,"Biaya Marketing &amp; Promosi",MUTASI!$F$6:$F$45))</f>
        <v>41301</v>
      </c>
      <c r="E25" s="44" t="n">
        <f aca="false">IF(E$5&gt;BLN,"",SUMIF(MUTASI!$B$6:$B$45,"Biaya Marketing &amp; Promosi",MUTASI!$G$6:$G$45))</f>
        <v>0</v>
      </c>
      <c r="F25" s="44" t="n">
        <f aca="false">IF(F$5&gt;BLN,"",SUMIF(MUTASI!$B$6:$B$45,"Biaya Marketing &amp; Promosi",MUTASI!$H$6:$H$45))</f>
        <v>2369540</v>
      </c>
      <c r="G25" s="44" t="n">
        <f aca="false">IF(G$5&gt;BLN,"",SUMIF(MUTASI!$B$6:$B$45,"Biaya Marketing &amp; Promosi",MUTASI!$I$6:$I$45))</f>
        <v>1047000</v>
      </c>
      <c r="H25" s="44" t="n">
        <f aca="false">IF(H$5&gt;BLN,"",SUMIF(MUTASI!$B$6:$B$45,"Biaya Marketing &amp; Promosi",MUTASI!$J$6:$J$45))</f>
        <v>2470003</v>
      </c>
      <c r="I25" s="44" t="n">
        <f aca="false">IF(I$5&gt;BLN,"",SUMIF(MUTASI!$B$6:$B$45,"Biaya Marketing &amp; Promosi",MUTASI!$K$6:$K$45))</f>
        <v>2546500</v>
      </c>
      <c r="J25" s="44" t="n">
        <f aca="false">IF(J$5&gt;BLN,"",SUMIF(MUTASI!$B$6:$B$45,"Biaya Marketing &amp; Promosi",MUTASI!$L$6:$L$45))</f>
        <v>1705000</v>
      </c>
      <c r="K25" s="44" t="n">
        <f aca="false">IF(K$5&gt;BLN,"",SUMIF(MUTASI!$B$6:$B$45,"Biaya Marketing &amp; Promosi",MUTASI!$M$6:$M$45))</f>
        <v>4974800</v>
      </c>
      <c r="L25" s="44" t="str">
        <f aca="false">IF(L$5&gt;BLN,"",SUMIF(MUTASI!$B$6:$B$45,"Biaya Marketing &amp; Promosi",MUTASI!$N$6:$N$45))</f>
        <v/>
      </c>
      <c r="M25" s="44" t="str">
        <f aca="false">IF(M$5&gt;BLN,"",SUMIF(MUTASI!$B$6:$B$45,"Biaya Marketing &amp; Promosi",MUTASI!$O$6:$O$45))</f>
        <v/>
      </c>
      <c r="N25" s="44" t="str">
        <f aca="false">IF(N$5&gt;BLN,"",SUMIF(MUTASI!$B$6:$B$45,"Biaya Marketing &amp; Promosi",MUTASI!$P$6:$P$45))</f>
        <v/>
      </c>
      <c r="O25" s="44" t="n">
        <f aca="false">SUMIF(MUTASI!$B$6:$B$45,"Biaya Marketing &amp; Promosi",MUTASI!$R$6:$R$45)</f>
        <v>79193298</v>
      </c>
      <c r="P25" s="45" t="n">
        <f aca="false">IFERROR(O25/O11,"")</f>
        <v>0.0995508616603576</v>
      </c>
    </row>
    <row r="26" customFormat="false" ht="15" hidden="false" customHeight="false" outlineLevel="0" collapsed="false">
      <c r="A26" s="5"/>
      <c r="B26" s="50" t="s">
        <v>164</v>
      </c>
      <c r="C26" s="44" t="n">
        <f aca="false">IF(C$5&gt;BLN,"",SUMIF(MUTASI!$B$6:$B$45,"Beban Perlengkapan",MUTASI!$E$6:$E$45))</f>
        <v>755900</v>
      </c>
      <c r="D26" s="44" t="n">
        <f aca="false">IF(D$5&gt;BLN,"",SUMIF(MUTASI!$B$6:$B$45,"Beban Perlengkapan",MUTASI!$F$6:$F$45))</f>
        <v>328832</v>
      </c>
      <c r="E26" s="44" t="n">
        <f aca="false">IF(E$5&gt;BLN,"",SUMIF(MUTASI!$B$6:$B$45,"Beban Perlengkapan",MUTASI!$G$6:$G$45))</f>
        <v>1468366</v>
      </c>
      <c r="F26" s="44" t="n">
        <f aca="false">IF(F$5&gt;BLN,"",SUMIF(MUTASI!$B$6:$B$45,"Beban Perlengkapan",MUTASI!$H$6:$H$45))</f>
        <v>2041399</v>
      </c>
      <c r="G26" s="44" t="n">
        <f aca="false">IF(G$5&gt;BLN,"",SUMIF(MUTASI!$B$6:$B$45,"Beban Perlengkapan",MUTASI!$I$6:$I$45))</f>
        <v>369584</v>
      </c>
      <c r="H26" s="44" t="n">
        <f aca="false">IF(H$5&gt;BLN,"",SUMIF(MUTASI!$B$6:$B$45,"Beban Perlengkapan",MUTASI!$J$6:$J$45))</f>
        <v>1179010</v>
      </c>
      <c r="I26" s="44" t="n">
        <f aca="false">IF(I$5&gt;BLN,"",SUMIF(MUTASI!$B$6:$B$45,"Beban Perlengkapan",MUTASI!$K$6:$K$45))</f>
        <v>1465476</v>
      </c>
      <c r="J26" s="44" t="n">
        <f aca="false">IF(J$5&gt;BLN,"",SUMIF(MUTASI!$B$6:$B$45,"Beban Perlengkapan",MUTASI!$L$6:$L$45))</f>
        <v>2645674</v>
      </c>
      <c r="K26" s="44" t="n">
        <f aca="false">IF(K$5&gt;BLN,"",SUMIF(MUTASI!$B$6:$B$45,"Beban Perlengkapan",MUTASI!$M$6:$M$45))</f>
        <v>3178772</v>
      </c>
      <c r="L26" s="44" t="str">
        <f aca="false">IF(L$5&gt;BLN,"",SUMIF(MUTASI!$B$6:$B$45,"Beban Perlengkapan",MUTASI!$N$6:$N$45))</f>
        <v/>
      </c>
      <c r="M26" s="44" t="str">
        <f aca="false">IF(M$5&gt;BLN,"",SUMIF(MUTASI!$B$6:$B$45,"Beban Perlengkapan",MUTASI!$O$6:$O$45))</f>
        <v/>
      </c>
      <c r="N26" s="44" t="str">
        <f aca="false">IF(N$5&gt;BLN,"",SUMIF(MUTASI!$B$6:$B$45,"Beban Perlengkapan",MUTASI!$P$6:$P$45))</f>
        <v/>
      </c>
      <c r="O26" s="44" t="n">
        <f aca="false">SUMIF(MUTASI!$B$6:$B$45,"Beban Perlengkapan",MUTASI!$R$6:$R$45)</f>
        <v>13433013</v>
      </c>
      <c r="P26" s="45" t="n">
        <f aca="false">IFERROR(O26/O11,"")</f>
        <v>0.0168861261320975</v>
      </c>
    </row>
    <row r="27" customFormat="false" ht="15" hidden="false" customHeight="false" outlineLevel="0" collapsed="false">
      <c r="A27" s="5"/>
      <c r="B27" s="50" t="s">
        <v>165</v>
      </c>
      <c r="C27" s="44" t="n">
        <f aca="false">IF(C$5&gt;BLN,"",SUMIF(MUTASI!$B$6:$B$45,"Biaya Operasional Harian",MUTASI!$E$6:$E$45))</f>
        <v>549900</v>
      </c>
      <c r="D27" s="44" t="n">
        <f aca="false">IF(D$5&gt;BLN,"",SUMIF(MUTASI!$B$6:$B$45,"Biaya Operasional Harian",MUTASI!$F$6:$F$45))</f>
        <v>75000</v>
      </c>
      <c r="E27" s="44" t="n">
        <f aca="false">IF(E$5&gt;BLN,"",SUMIF(MUTASI!$B$6:$B$45,"Biaya Operasional Harian",MUTASI!$G$6:$G$45))</f>
        <v>1282180</v>
      </c>
      <c r="F27" s="44" t="n">
        <f aca="false">IF(F$5&gt;BLN,"",SUMIF(MUTASI!$B$6:$B$45,"Biaya Operasional Harian",MUTASI!$H$6:$H$45))</f>
        <v>452500</v>
      </c>
      <c r="G27" s="44" t="n">
        <f aca="false">IF(G$5&gt;BLN,"",SUMIF(MUTASI!$B$6:$B$45,"Biaya Operasional Harian",MUTASI!$I$6:$I$45))</f>
        <v>634500</v>
      </c>
      <c r="H27" s="44" t="n">
        <f aca="false">IF(H$5&gt;BLN,"",SUMIF(MUTASI!$B$6:$B$45,"Biaya Operasional Harian",MUTASI!$J$6:$J$45))</f>
        <v>521500</v>
      </c>
      <c r="I27" s="44" t="n">
        <f aca="false">IF(I$5&gt;BLN,"",SUMIF(MUTASI!$B$6:$B$45,"Biaya Operasional Harian",MUTASI!$K$6:$K$45))</f>
        <v>450000</v>
      </c>
      <c r="J27" s="44" t="n">
        <f aca="false">IF(J$5&gt;BLN,"",SUMIF(MUTASI!$B$6:$B$45,"Biaya Operasional Harian",MUTASI!$L$6:$L$45))</f>
        <v>310000</v>
      </c>
      <c r="K27" s="44" t="n">
        <f aca="false">IF(K$5&gt;BLN,"",SUMIF(MUTASI!$B$6:$B$45,"Biaya Operasional Harian",MUTASI!$M$6:$M$45))</f>
        <v>620500</v>
      </c>
      <c r="L27" s="44" t="str">
        <f aca="false">IF(L$5&gt;BLN,"",SUMIF(MUTASI!$B$6:$B$45,"Biaya Operasional Harian",MUTASI!$N$6:$N$45))</f>
        <v/>
      </c>
      <c r="M27" s="44" t="str">
        <f aca="false">IF(M$5&gt;BLN,"",SUMIF(MUTASI!$B$6:$B$45,"Biaya Operasional Harian",MUTASI!$O$6:$O$45))</f>
        <v/>
      </c>
      <c r="N27" s="44" t="str">
        <f aca="false">IF(N$5&gt;BLN,"",SUMIF(MUTASI!$B$6:$B$45,"Biaya Operasional Harian",MUTASI!$P$6:$P$45))</f>
        <v/>
      </c>
      <c r="O27" s="44" t="n">
        <f aca="false">SUMIF(MUTASI!$B$6:$B$45,"Biaya Operasional Harian",MUTASI!$R$6:$R$45)</f>
        <v>4896080</v>
      </c>
      <c r="P27" s="45" t="n">
        <f aca="false">IFERROR(O27/O11,"")</f>
        <v>0.00615467463873071</v>
      </c>
    </row>
    <row r="28" customFormat="false" ht="15" hidden="false" customHeight="false" outlineLevel="0" collapsed="false">
      <c r="A28" s="5"/>
      <c r="B28" s="50" t="s">
        <v>166</v>
      </c>
      <c r="C28" s="44" t="n">
        <f aca="false">IF(C$5&gt;BLN,"",SUMIF(MUTASI!$B$6:$B$45,"Biaya Pemeliharaan",MUTASI!$E$6:$E$45))</f>
        <v>3059350</v>
      </c>
      <c r="D28" s="44" t="n">
        <f aca="false">IF(D$5&gt;BLN,"",SUMIF(MUTASI!$B$6:$B$45,"Biaya Pemeliharaan",MUTASI!$F$6:$F$45))</f>
        <v>78500</v>
      </c>
      <c r="E28" s="44" t="n">
        <f aca="false">IF(E$5&gt;BLN,"",SUMIF(MUTASI!$B$6:$B$45,"Biaya Pemeliharaan",MUTASI!$G$6:$G$45))</f>
        <v>446000</v>
      </c>
      <c r="F28" s="44" t="n">
        <f aca="false">IF(F$5&gt;BLN,"",SUMIF(MUTASI!$B$6:$B$45,"Biaya Pemeliharaan",MUTASI!$H$6:$H$45))</f>
        <v>536010</v>
      </c>
      <c r="G28" s="44" t="n">
        <f aca="false">IF(G$5&gt;BLN,"",SUMIF(MUTASI!$B$6:$B$45,"Biaya Pemeliharaan",MUTASI!$I$6:$I$45))</f>
        <v>3680848</v>
      </c>
      <c r="H28" s="44" t="n">
        <f aca="false">IF(H$5&gt;BLN,"",SUMIF(MUTASI!$B$6:$B$45,"Biaya Pemeliharaan",MUTASI!$J$6:$J$45))</f>
        <v>4333387</v>
      </c>
      <c r="I28" s="44" t="n">
        <f aca="false">IF(I$5&gt;BLN,"",SUMIF(MUTASI!$B$6:$B$45,"Biaya Pemeliharaan",MUTASI!$K$6:$K$45))</f>
        <v>1214000</v>
      </c>
      <c r="J28" s="44" t="n">
        <f aca="false">IF(J$5&gt;BLN,"",SUMIF(MUTASI!$B$6:$B$45,"Biaya Pemeliharaan",MUTASI!$L$6:$L$45))</f>
        <v>0</v>
      </c>
      <c r="K28" s="44" t="n">
        <f aca="false">IF(K$5&gt;BLN,"",SUMIF(MUTASI!$B$6:$B$45,"Biaya Pemeliharaan",MUTASI!$M$6:$M$45))</f>
        <v>210000</v>
      </c>
      <c r="L28" s="44" t="str">
        <f aca="false">IF(L$5&gt;BLN,"",SUMIF(MUTASI!$B$6:$B$45,"Biaya Pemeliharaan",MUTASI!$N$6:$N$45))</f>
        <v/>
      </c>
      <c r="M28" s="44" t="str">
        <f aca="false">IF(M$5&gt;BLN,"",SUMIF(MUTASI!$B$6:$B$45,"Biaya Pemeliharaan",MUTASI!$O$6:$O$45))</f>
        <v/>
      </c>
      <c r="N28" s="44" t="str">
        <f aca="false">IF(N$5&gt;BLN,"",SUMIF(MUTASI!$B$6:$B$45,"Biaya Pemeliharaan",MUTASI!$P$6:$P$45))</f>
        <v/>
      </c>
      <c r="O28" s="44" t="n">
        <f aca="false">SUMIF(MUTASI!$B$6:$B$45,"Biaya Pemeliharaan",MUTASI!$R$6:$R$45)</f>
        <v>13558095</v>
      </c>
      <c r="P28" s="45" t="n">
        <f aca="false">IFERROR(O28/O11,"")</f>
        <v>0.0170433619234166</v>
      </c>
    </row>
    <row r="29" customFormat="false" ht="15" hidden="false" customHeight="false" outlineLevel="0" collapsed="false">
      <c r="A29" s="5"/>
      <c r="B29" s="50" t="s">
        <v>167</v>
      </c>
      <c r="C29" s="44" t="n">
        <f aca="false">IF(C$5&gt;BLN,"",SUMIF(MUTASI!$B$6:$B$45,"Biaya Compliment",MUTASI!$E$6:$E$45))</f>
        <v>1220000</v>
      </c>
      <c r="D29" s="44" t="n">
        <f aca="false">IF(D$5&gt;BLN,"",SUMIF(MUTASI!$B$6:$B$45,"Biaya Compliment",MUTASI!$F$6:$F$45))</f>
        <v>339300</v>
      </c>
      <c r="E29" s="44" t="n">
        <f aca="false">IF(E$5&gt;BLN,"",SUMIF(MUTASI!$B$6:$B$45,"Biaya Compliment",MUTASI!$G$6:$G$45))</f>
        <v>282300</v>
      </c>
      <c r="F29" s="44" t="n">
        <f aca="false">IF(F$5&gt;BLN,"",SUMIF(MUTASI!$B$6:$B$45,"Biaya Compliment",MUTASI!$H$6:$H$45))</f>
        <v>986000</v>
      </c>
      <c r="G29" s="44" t="n">
        <f aca="false">IF(G$5&gt;BLN,"",SUMIF(MUTASI!$B$6:$B$45,"Biaya Compliment",MUTASI!$I$6:$I$45))</f>
        <v>96000</v>
      </c>
      <c r="H29" s="44" t="n">
        <f aca="false">IF(H$5&gt;BLN,"",SUMIF(MUTASI!$B$6:$B$45,"Biaya Compliment",MUTASI!$J$6:$J$45))</f>
        <v>166300</v>
      </c>
      <c r="I29" s="44" t="n">
        <f aca="false">IF(I$5&gt;BLN,"",SUMIF(MUTASI!$B$6:$B$45,"Biaya Compliment",MUTASI!$K$6:$K$45))</f>
        <v>432900</v>
      </c>
      <c r="J29" s="44" t="n">
        <f aca="false">IF(J$5&gt;BLN,"",SUMIF(MUTASI!$B$6:$B$45,"Biaya Compliment",MUTASI!$L$6:$L$45))</f>
        <v>642600</v>
      </c>
      <c r="K29" s="44" t="n">
        <f aca="false">IF(K$5&gt;BLN,"",SUMIF(MUTASI!$B$6:$B$45,"Biaya Compliment",MUTASI!$M$6:$M$45))</f>
        <v>314600</v>
      </c>
      <c r="L29" s="44" t="str">
        <f aca="false">IF(L$5&gt;BLN,"",SUMIF(MUTASI!$B$6:$B$45,"Biaya Compliment",MUTASI!$N$6:$N$45))</f>
        <v/>
      </c>
      <c r="M29" s="44" t="str">
        <f aca="false">IF(M$5&gt;BLN,"",SUMIF(MUTASI!$B$6:$B$45,"Biaya Compliment",MUTASI!$O$6:$O$45))</f>
        <v/>
      </c>
      <c r="N29" s="44" t="str">
        <f aca="false">IF(N$5&gt;BLN,"",SUMIF(MUTASI!$B$6:$B$45,"Biaya Compliment",MUTASI!$P$6:$P$45))</f>
        <v/>
      </c>
      <c r="O29" s="44" t="n">
        <f aca="false">SUMIF(MUTASI!$B$6:$B$45,"Biaya Compliment",MUTASI!$R$6:$R$45)</f>
        <v>4480000</v>
      </c>
      <c r="P29" s="45" t="n">
        <f aca="false">IFERROR(O29/O11,"")</f>
        <v>0.005631636407394</v>
      </c>
    </row>
    <row r="30" customFormat="false" ht="15" hidden="false" customHeight="false" outlineLevel="0" collapsed="false">
      <c r="A30" s="5"/>
      <c r="B30" s="50" t="s">
        <v>168</v>
      </c>
      <c r="C30" s="44" t="n">
        <f aca="false">IF(C$5&gt;BLN,"",SUMIF(MUTASI!$B$6:$B$45,"Biaya R&amp;D",MUTASI!$E$6:$E$45))</f>
        <v>0</v>
      </c>
      <c r="D30" s="44" t="n">
        <f aca="false">IF(D$5&gt;BLN,"",SUMIF(MUTASI!$B$6:$B$45,"Biaya R&amp;D",MUTASI!$F$6:$F$45))</f>
        <v>0</v>
      </c>
      <c r="E30" s="44" t="n">
        <f aca="false">IF(E$5&gt;BLN,"",SUMIF(MUTASI!$B$6:$B$45,"Biaya R&amp;D",MUTASI!$G$6:$G$45))</f>
        <v>0</v>
      </c>
      <c r="F30" s="44" t="n">
        <f aca="false">IF(F$5&gt;BLN,"",SUMIF(MUTASI!$B$6:$B$45,"Biaya R&amp;D",MUTASI!$H$6:$H$45))</f>
        <v>0</v>
      </c>
      <c r="G30" s="44" t="n">
        <f aca="false">IF(G$5&gt;BLN,"",SUMIF(MUTASI!$B$6:$B$45,"Biaya R&amp;D",MUTASI!$I$6:$I$45))</f>
        <v>0</v>
      </c>
      <c r="H30" s="44" t="n">
        <f aca="false">IF(H$5&gt;BLN,"",SUMIF(MUTASI!$B$6:$B$45,"Biaya R&amp;D",MUTASI!$J$6:$J$45))</f>
        <v>0</v>
      </c>
      <c r="I30" s="44" t="n">
        <f aca="false">IF(I$5&gt;BLN,"",SUMIF(MUTASI!$B$6:$B$45,"Biaya R&amp;D",MUTASI!$K$6:$K$45))</f>
        <v>0</v>
      </c>
      <c r="J30" s="44" t="n">
        <f aca="false">IF(J$5&gt;BLN,"",SUMIF(MUTASI!$B$6:$B$45,"Biaya R&amp;D",MUTASI!$L$6:$L$45))</f>
        <v>0</v>
      </c>
      <c r="K30" s="44" t="n">
        <f aca="false">IF(K$5&gt;BLN,"",SUMIF(MUTASI!$B$6:$B$45,"Biaya R&amp;D",MUTASI!$M$6:$M$45))</f>
        <v>0</v>
      </c>
      <c r="L30" s="44" t="str">
        <f aca="false">IF(L$5&gt;BLN,"",SUMIF(MUTASI!$B$6:$B$45,"Biaya R&amp;D",MUTASI!$N$6:$N$45))</f>
        <v/>
      </c>
      <c r="M30" s="44" t="str">
        <f aca="false">IF(M$5&gt;BLN,"",SUMIF(MUTASI!$B$6:$B$45,"Biaya R&amp;D",MUTASI!$O$6:$O$45))</f>
        <v/>
      </c>
      <c r="N30" s="44" t="str">
        <f aca="false">IF(N$5&gt;BLN,"",SUMIF(MUTASI!$B$6:$B$45,"Biaya R&amp;D",MUTASI!$P$6:$P$45))</f>
        <v/>
      </c>
      <c r="O30" s="44" t="n">
        <f aca="false">SUMIF(MUTASI!$B$6:$B$45,"Biaya R&amp;D",MUTASI!$R$6:$R$45)</f>
        <v>0</v>
      </c>
      <c r="P30" s="45" t="n">
        <f aca="false">IFERROR(O30/O11,"")</f>
        <v>0</v>
      </c>
    </row>
    <row r="31" customFormat="false" ht="15" hidden="false" customHeight="false" outlineLevel="0" collapsed="false">
      <c r="A31" s="5"/>
      <c r="B31" s="50" t="s">
        <v>169</v>
      </c>
      <c r="C31" s="44" t="n">
        <f aca="false">IF(C$5&gt;BLN,"",SUMIF(MUTASI!$B$6:$B$45,"Dana Sosial &amp; CSR",MUTASI!$E$6:$E$45))</f>
        <v>2800000</v>
      </c>
      <c r="D31" s="44" t="n">
        <f aca="false">IF(D$5&gt;BLN,"",SUMIF(MUTASI!$B$6:$B$45,"Dana Sosial &amp; CSR",MUTASI!$F$6:$F$45))</f>
        <v>980000</v>
      </c>
      <c r="E31" s="44" t="n">
        <f aca="false">IF(E$5&gt;BLN,"",SUMIF(MUTASI!$B$6:$B$45,"Dana Sosial &amp; CSR",MUTASI!$G$6:$G$45))</f>
        <v>1440000</v>
      </c>
      <c r="F31" s="44" t="n">
        <f aca="false">IF(F$5&gt;BLN,"",SUMIF(MUTASI!$B$6:$B$45,"Dana Sosial &amp; CSR",MUTASI!$H$6:$H$45))</f>
        <v>800000</v>
      </c>
      <c r="G31" s="44" t="n">
        <f aca="false">IF(G$5&gt;BLN,"",SUMIF(MUTASI!$B$6:$B$45,"Dana Sosial &amp; CSR",MUTASI!$I$6:$I$45))</f>
        <v>1030000</v>
      </c>
      <c r="H31" s="44" t="n">
        <f aca="false">IF(H$5&gt;BLN,"",SUMIF(MUTASI!$B$6:$B$45,"Dana Sosial &amp; CSR",MUTASI!$J$6:$J$45))</f>
        <v>850000</v>
      </c>
      <c r="I31" s="44" t="n">
        <f aca="false">IF(I$5&gt;BLN,"",SUMIF(MUTASI!$B$6:$B$45,"Dana Sosial &amp; CSR",MUTASI!$K$6:$K$45))</f>
        <v>1860000</v>
      </c>
      <c r="J31" s="44" t="n">
        <f aca="false">IF(J$5&gt;BLN,"",SUMIF(MUTASI!$B$6:$B$45,"Dana Sosial &amp; CSR",MUTASI!$L$6:$L$45))</f>
        <v>1235000</v>
      </c>
      <c r="K31" s="44" t="n">
        <f aca="false">IF(K$5&gt;BLN,"",SUMIF(MUTASI!$B$6:$B$45,"Dana Sosial &amp; CSR",MUTASI!$M$6:$M$45))</f>
        <v>839000</v>
      </c>
      <c r="L31" s="44" t="str">
        <f aca="false">IF(L$5&gt;BLN,"",SUMIF(MUTASI!$B$6:$B$45,"Dana Sosial &amp; CSR",MUTASI!$N$6:$N$45))</f>
        <v/>
      </c>
      <c r="M31" s="44" t="str">
        <f aca="false">IF(M$5&gt;BLN,"",SUMIF(MUTASI!$B$6:$B$45,"Dana Sosial &amp; CSR",MUTASI!$O$6:$O$45))</f>
        <v/>
      </c>
      <c r="N31" s="44" t="str">
        <f aca="false">IF(N$5&gt;BLN,"",SUMIF(MUTASI!$B$6:$B$45,"Dana Sosial &amp; CSR",MUTASI!$P$6:$P$45))</f>
        <v/>
      </c>
      <c r="O31" s="44" t="n">
        <f aca="false">SUMIF(MUTASI!$B$6:$B$45,"Dana Sosial &amp; CSR",MUTASI!$R$6:$R$45)</f>
        <v>11834000</v>
      </c>
      <c r="P31" s="45" t="n">
        <f aca="false">IFERROR(O31/O11,"")</f>
        <v>0.0148760681350671</v>
      </c>
    </row>
    <row r="32" customFormat="false" ht="15" hidden="false" customHeight="false" outlineLevel="0" collapsed="false">
      <c r="A32" s="5"/>
      <c r="B32" s="50" t="s">
        <v>170</v>
      </c>
      <c r="C32" s="44" t="n">
        <f aca="false">IF(C$5&gt;BLN,"",SUMIF(MUTASI!$B$6:$B$45,"Beban Penyusutan Peralatan",MUTASI!$E$6:$E$45))</f>
        <v>0</v>
      </c>
      <c r="D32" s="44" t="n">
        <f aca="false">IF(D$5&gt;BLN,"",SUMIF(MUTASI!$B$6:$B$45,"Beban Penyusutan Peralatan",MUTASI!$F$6:$F$45))</f>
        <v>216667</v>
      </c>
      <c r="E32" s="44" t="n">
        <f aca="false">IF(E$5&gt;BLN,"",SUMIF(MUTASI!$B$6:$B$45,"Beban Penyusutan Peralatan",MUTASI!$G$6:$G$45))</f>
        <v>216667</v>
      </c>
      <c r="F32" s="44" t="n">
        <f aca="false">IF(F$5&gt;BLN,"",SUMIF(MUTASI!$B$6:$B$45,"Beban Penyusutan Peralatan",MUTASI!$H$6:$H$45))</f>
        <v>252964</v>
      </c>
      <c r="G32" s="44" t="n">
        <f aca="false">IF(G$5&gt;BLN,"",SUMIF(MUTASI!$B$6:$B$45,"Beban Penyusutan Peralatan",MUTASI!$I$6:$I$45))</f>
        <v>260452</v>
      </c>
      <c r="H32" s="44" t="n">
        <f aca="false">IF(H$5&gt;BLN,"",SUMIF(MUTASI!$B$6:$B$45,"Beban Penyusutan Peralatan",MUTASI!$J$6:$J$45))</f>
        <v>297787</v>
      </c>
      <c r="I32" s="44" t="n">
        <f aca="false">IF(I$5&gt;BLN,"",SUMIF(MUTASI!$B$6:$B$45,"Beban Penyusutan Peralatan",MUTASI!$K$6:$K$45))</f>
        <v>399853</v>
      </c>
      <c r="J32" s="44" t="n">
        <f aca="false">IF(J$5&gt;BLN,"",SUMIF(MUTASI!$B$6:$B$45,"Beban Penyusutan Peralatan",MUTASI!$L$6:$L$45))</f>
        <v>426400</v>
      </c>
      <c r="K32" s="44" t="n">
        <f aca="false">IF(K$5&gt;BLN,"",SUMIF(MUTASI!$B$6:$B$45,"Beban Penyusutan Peralatan",MUTASI!$M$6:$M$45))</f>
        <v>493329</v>
      </c>
      <c r="L32" s="44" t="str">
        <f aca="false">IF(L$5&gt;BLN,"",SUMIF(MUTASI!$B$6:$B$45,"Beban Penyusutan Peralatan",MUTASI!$N$6:$N$45))</f>
        <v/>
      </c>
      <c r="M32" s="44" t="str">
        <f aca="false">IF(M$5&gt;BLN,"",SUMIF(MUTASI!$B$6:$B$45,"Beban Penyusutan Peralatan",MUTASI!$O$6:$O$45))</f>
        <v/>
      </c>
      <c r="N32" s="44" t="str">
        <f aca="false">IF(N$5&gt;BLN,"",SUMIF(MUTASI!$B$6:$B$45,"Beban Penyusutan Peralatan",MUTASI!$P$6:$P$45))</f>
        <v/>
      </c>
      <c r="O32" s="44" t="n">
        <f aca="false">SUMIF(MUTASI!$B$6:$B$45,"Beban Penyusutan Peralatan",MUTASI!$R$6:$R$45)</f>
        <v>2564119</v>
      </c>
      <c r="P32" s="45" t="n">
        <f aca="false">IFERROR(O32/O11,"")</f>
        <v>0.00322325578421667</v>
      </c>
    </row>
    <row r="33" customFormat="false" ht="15" hidden="false" customHeight="false" outlineLevel="0" collapsed="false">
      <c r="A33" s="5"/>
      <c r="B33" s="51" t="s">
        <v>171</v>
      </c>
      <c r="C33" s="52" t="n">
        <f aca="false">IF(C$5&gt;BLN,"",N(C22)+N(C23)+N(C24)+N(C25)+N(C26)+N(C27)+N(C28)+N(C29)+N(C30)+N(C31)+N(C32))</f>
        <v>112673752</v>
      </c>
      <c r="D33" s="52" t="n">
        <f aca="false">IF(D$5&gt;BLN,"",N(D22)+N(D23)+N(D24)+N(D25)+N(D26)+N(D27)+N(D28)+N(D29)+N(D30)+N(D31)+N(D32))</f>
        <v>43265484</v>
      </c>
      <c r="E33" s="52" t="n">
        <f aca="false">IF(E$5&gt;BLN,"",N(E22)+N(E23)+N(E24)+N(E25)+N(E26)+N(E27)+N(E28)+N(E29)+N(E30)+N(E31)+N(E32))</f>
        <v>62701295</v>
      </c>
      <c r="F33" s="52" t="n">
        <f aca="false">IF(F$5&gt;BLN,"",N(F22)+N(F23)+N(F24)+N(F25)+N(F26)+N(F27)+N(F28)+N(F29)+N(F30)+N(F31)+N(F32))</f>
        <v>49661825</v>
      </c>
      <c r="G33" s="52" t="n">
        <f aca="false">IF(G$5&gt;BLN,"",N(G22)+N(G23)+N(G24)+N(G25)+N(G26)+N(G27)+N(G28)+N(G29)+N(G30)+N(G31)+N(G32))</f>
        <v>51785858</v>
      </c>
      <c r="H33" s="52" t="n">
        <f aca="false">IF(H$5&gt;BLN,"",N(H22)+N(H23)+N(H24)+N(H25)+N(H26)+N(H27)+N(H28)+N(H29)+N(H30)+N(H31)+N(H32))</f>
        <v>45258085</v>
      </c>
      <c r="I33" s="52" t="n">
        <f aca="false">IF(I$5&gt;BLN,"",N(I22)+N(I23)+N(I24)+N(I25)+N(I26)+N(I27)+N(I28)+N(I29)+N(I30)+N(I31)+N(I32))</f>
        <v>46655292</v>
      </c>
      <c r="J33" s="52" t="n">
        <f aca="false">IF(J$5&gt;BLN,"",N(J22)+N(J23)+N(J24)+N(J25)+N(J26)+N(J27)+N(J28)+N(J29)+N(J30)+N(J31)+N(J32))</f>
        <v>46548669</v>
      </c>
      <c r="K33" s="52" t="n">
        <f aca="false">IF(K$5&gt;BLN,"",N(K22)+N(K23)+N(K24)+N(K25)+N(K26)+N(K27)+N(K28)+N(K29)+N(K30)+N(K31)+N(K32))</f>
        <v>50759431</v>
      </c>
      <c r="L33" s="52" t="str">
        <f aca="false">IF(L$5&gt;BLN,"",N(L22)+N(L23)+N(L24)+N(L25)+N(L26)+N(L27)+N(L28)+N(L29)+N(L30)+N(L31)+N(L32))</f>
        <v/>
      </c>
      <c r="M33" s="52" t="str">
        <f aca="false">IF(M$5&gt;BLN,"",N(M22)+N(M23)+N(M24)+N(M25)+N(M26)+N(M27)+N(M28)+N(M29)+N(M30)+N(M31)+N(M32))</f>
        <v/>
      </c>
      <c r="N33" s="52" t="str">
        <f aca="false">IF(N$5&gt;BLN,"",N(N22)+N(N23)+N(N24)+N(N25)+N(N26)+N(N27)+N(N28)+N(N29)+N(N30)+N(N31)+N(N32))</f>
        <v/>
      </c>
      <c r="O33" s="52" t="n">
        <f aca="false">N(O22)+N(O23)+N(O24)+N(O25)+N(O26)+N(O27)+N(O28)+N(O29)+N(O30)+N(O31)+N(O32)</f>
        <v>509309691</v>
      </c>
      <c r="P33" s="53" t="n">
        <f aca="false">IFERROR(O33/O11,"")</f>
        <v>0.640233705016559</v>
      </c>
    </row>
    <row r="34" customFormat="false" ht="15" hidden="false" customHeight="false" outlineLevel="0" collapsed="false">
      <c r="A34" s="5"/>
      <c r="B34" s="5"/>
      <c r="C34" s="5"/>
      <c r="D34" s="5"/>
      <c r="E34" s="5"/>
      <c r="F34" s="5"/>
      <c r="G34" s="5"/>
      <c r="H34" s="5"/>
      <c r="I34" s="5"/>
      <c r="J34" s="5"/>
      <c r="K34" s="5"/>
      <c r="L34" s="5"/>
      <c r="M34" s="5"/>
      <c r="N34" s="5"/>
      <c r="O34" s="5"/>
      <c r="P34" s="5"/>
    </row>
    <row r="35" customFormat="false" ht="15" hidden="false" customHeight="false" outlineLevel="0" collapsed="false">
      <c r="A35" s="5"/>
      <c r="B35" s="54" t="s">
        <v>172</v>
      </c>
      <c r="C35" s="55" t="n">
        <f aca="false">IF(C$5&gt;BLN,"",N(C18)-N(C33))</f>
        <v>-50561070</v>
      </c>
      <c r="D35" s="55" t="n">
        <f aca="false">IF(D$5&gt;BLN,"",N(D18)-N(D33))</f>
        <v>-6187851</v>
      </c>
      <c r="E35" s="55" t="n">
        <f aca="false">IF(E$5&gt;BLN,"",N(E18)-N(E33))</f>
        <v>-2534461</v>
      </c>
      <c r="F35" s="55" t="n">
        <f aca="false">IF(F$5&gt;BLN,"",N(F18)-N(F33))</f>
        <v>-19875895</v>
      </c>
      <c r="G35" s="55" t="n">
        <f aca="false">IF(G$5&gt;BLN,"",N(G18)-N(G33))</f>
        <v>15983838</v>
      </c>
      <c r="H35" s="55" t="n">
        <f aca="false">IF(H$5&gt;BLN,"",N(H18)-N(H33))</f>
        <v>5422499</v>
      </c>
      <c r="I35" s="55" t="n">
        <f aca="false">IF(I$5&gt;BLN,"",N(I18)-N(I33))</f>
        <v>4808159</v>
      </c>
      <c r="J35" s="55" t="n">
        <f aca="false">IF(J$5&gt;BLN,"",N(J18)-N(J33))</f>
        <v>18200068</v>
      </c>
      <c r="K35" s="55" t="n">
        <f aca="false">IF(K$5&gt;BLN,"",N(K18)-N(K33))</f>
        <v>-17638610</v>
      </c>
      <c r="L35" s="55" t="str">
        <f aca="false">IF(L$5&gt;BLN,"",N(L18)-N(L33))</f>
        <v/>
      </c>
      <c r="M35" s="55" t="str">
        <f aca="false">IF(M$5&gt;BLN,"",N(M18)-N(M33))</f>
        <v/>
      </c>
      <c r="N35" s="55" t="str">
        <f aca="false">IF(N$5&gt;BLN,"",N(N18)-N(N33))</f>
        <v/>
      </c>
      <c r="O35" s="55" t="n">
        <f aca="false">N(O18)-N(O33)</f>
        <v>-52383323</v>
      </c>
      <c r="P35" s="56" t="n">
        <f aca="false">IFERROR(O35/O11,"")</f>
        <v>-0.0658490689614016</v>
      </c>
    </row>
    <row r="36" customFormat="false" ht="15" hidden="false" customHeight="false" outlineLevel="0" collapsed="false">
      <c r="A36" s="5"/>
      <c r="B36" s="59" t="s">
        <v>173</v>
      </c>
      <c r="C36" s="60" t="n">
        <f aca="false">IF(C$5&gt;BLN,"",N(C35)+N(C32))</f>
        <v>-50561070</v>
      </c>
      <c r="D36" s="60" t="n">
        <f aca="false">IF(D$5&gt;BLN,"",N(D35)+N(D32))</f>
        <v>-5971184</v>
      </c>
      <c r="E36" s="60" t="n">
        <f aca="false">IF(E$5&gt;BLN,"",N(E35)+N(E32))</f>
        <v>-2317794</v>
      </c>
      <c r="F36" s="60" t="n">
        <f aca="false">IF(F$5&gt;BLN,"",N(F35)+N(F32))</f>
        <v>-19622931</v>
      </c>
      <c r="G36" s="60" t="n">
        <f aca="false">IF(G$5&gt;BLN,"",N(G35)+N(G32))</f>
        <v>16244290</v>
      </c>
      <c r="H36" s="60" t="n">
        <f aca="false">IF(H$5&gt;BLN,"",N(H35)+N(H32))</f>
        <v>5720286</v>
      </c>
      <c r="I36" s="60" t="n">
        <f aca="false">IF(I$5&gt;BLN,"",N(I35)+N(I32))</f>
        <v>5208012</v>
      </c>
      <c r="J36" s="60" t="n">
        <f aca="false">IF(J$5&gt;BLN,"",N(J35)+N(J32))</f>
        <v>18626468</v>
      </c>
      <c r="K36" s="60" t="n">
        <f aca="false">IF(K$5&gt;BLN,"",N(K35)+N(K32))</f>
        <v>-17145281</v>
      </c>
      <c r="L36" s="60" t="str">
        <f aca="false">IF(L$5&gt;BLN,"",N(L35)+N(L32))</f>
        <v/>
      </c>
      <c r="M36" s="60" t="str">
        <f aca="false">IF(M$5&gt;BLN,"",N(M35)+N(M32))</f>
        <v/>
      </c>
      <c r="N36" s="60" t="str">
        <f aca="false">IF(N$5&gt;BLN,"",N(N35)+N(N32))</f>
        <v/>
      </c>
      <c r="O36" s="60" t="n">
        <f aca="false">N(O35)+N(O32)</f>
        <v>-49819204</v>
      </c>
      <c r="P36" s="61" t="n">
        <f aca="false">IFERROR(O36/O11,"")</f>
        <v>-0.062625813177185</v>
      </c>
    </row>
    <row r="37" customFormat="false" ht="15" hidden="false" customHeight="false" outlineLevel="0" collapsed="false">
      <c r="A37" s="5"/>
      <c r="B37" s="5"/>
      <c r="C37" s="5"/>
      <c r="D37" s="5"/>
      <c r="E37" s="5"/>
      <c r="F37" s="5"/>
      <c r="G37" s="5"/>
      <c r="H37" s="5"/>
      <c r="I37" s="5"/>
      <c r="J37" s="5"/>
      <c r="K37" s="5"/>
      <c r="L37" s="5"/>
      <c r="M37" s="5"/>
      <c r="N37" s="5"/>
      <c r="O37" s="5"/>
      <c r="P37" s="5"/>
    </row>
    <row r="38" customFormat="false" ht="15" hidden="false" customHeight="false" outlineLevel="0" collapsed="false">
      <c r="A38" s="5"/>
      <c r="B38" s="49" t="s">
        <v>174</v>
      </c>
      <c r="C38" s="5"/>
      <c r="D38" s="5"/>
      <c r="E38" s="5"/>
      <c r="F38" s="5"/>
      <c r="G38" s="5"/>
      <c r="H38" s="5"/>
      <c r="I38" s="5"/>
      <c r="J38" s="5"/>
      <c r="K38" s="5"/>
      <c r="L38" s="5"/>
      <c r="M38" s="5"/>
      <c r="N38" s="5"/>
      <c r="O38" s="5"/>
      <c r="P38" s="5"/>
    </row>
    <row r="39" customFormat="false" ht="15" hidden="false" customHeight="false" outlineLevel="0" collapsed="false">
      <c r="A39" s="5"/>
      <c r="B39" s="50" t="s">
        <v>175</v>
      </c>
      <c r="C39" s="44" t="n">
        <f aca="false">IF(C$5&gt;BLN,"",-SUMIF(MUTASI!$B$6:$B$45,"Pendapatan Lainnya",MUTASI!$E$6:$E$45))</f>
        <v>104748</v>
      </c>
      <c r="D39" s="44" t="n">
        <f aca="false">IF(D$5&gt;BLN,"",-SUMIF(MUTASI!$B$6:$B$45,"Pendapatan Lainnya",MUTASI!$F$6:$F$45))</f>
        <v>165632</v>
      </c>
      <c r="E39" s="44" t="n">
        <f aca="false">IF(E$5&gt;BLN,"",-SUMIF(MUTASI!$B$6:$B$45,"Pendapatan Lainnya",MUTASI!$G$6:$G$45))</f>
        <v>219302</v>
      </c>
      <c r="F39" s="44" t="n">
        <f aca="false">IF(F$5&gt;BLN,"",-SUMIF(MUTASI!$B$6:$B$45,"Pendapatan Lainnya",MUTASI!$H$6:$H$45))</f>
        <v>447496</v>
      </c>
      <c r="G39" s="44" t="n">
        <f aca="false">IF(G$5&gt;BLN,"",-SUMIF(MUTASI!$B$6:$B$45,"Pendapatan Lainnya",MUTASI!$I$6:$I$45))</f>
        <v>133847</v>
      </c>
      <c r="H39" s="44" t="n">
        <f aca="false">IF(H$5&gt;BLN,"",-SUMIF(MUTASI!$B$6:$B$45,"Pendapatan Lainnya",MUTASI!$J$6:$J$45))</f>
        <v>1016</v>
      </c>
      <c r="I39" s="44" t="n">
        <f aca="false">IF(I$5&gt;BLN,"",-SUMIF(MUTASI!$B$6:$B$45,"Pendapatan Lainnya",MUTASI!$K$6:$K$45))</f>
        <v>26330</v>
      </c>
      <c r="J39" s="44" t="n">
        <f aca="false">IF(J$5&gt;BLN,"",-SUMIF(MUTASI!$B$6:$B$45,"Pendapatan Lainnya",MUTASI!$L$6:$L$45))</f>
        <v>104920</v>
      </c>
      <c r="K39" s="44" t="n">
        <f aca="false">IF(K$5&gt;BLN,"",-SUMIF(MUTASI!$B$6:$B$45,"Pendapatan Lainnya",MUTASI!$M$6:$M$45))</f>
        <v>13449</v>
      </c>
      <c r="L39" s="44" t="str">
        <f aca="false">IF(L$5&gt;BLN,"",-SUMIF(MUTASI!$B$6:$B$45,"Pendapatan Lainnya",MUTASI!$N$6:$N$45))</f>
        <v/>
      </c>
      <c r="M39" s="44" t="str">
        <f aca="false">IF(M$5&gt;BLN,"",-SUMIF(MUTASI!$B$6:$B$45,"Pendapatan Lainnya",MUTASI!$O$6:$O$45))</f>
        <v/>
      </c>
      <c r="N39" s="44" t="str">
        <f aca="false">IF(N$5&gt;BLN,"",-SUMIF(MUTASI!$B$6:$B$45,"Pendapatan Lainnya",MUTASI!$P$6:$P$45))</f>
        <v/>
      </c>
      <c r="O39" s="44" t="n">
        <f aca="false">-SUMIF(MUTASI!$B$6:$B$45,"Pendapatan Lainnya",MUTASI!$R$6:$R$45)</f>
        <v>1216740</v>
      </c>
      <c r="P39" s="45" t="n">
        <f aca="false">IFERROR(O39/O11,"")</f>
        <v>0.00152951725052066</v>
      </c>
    </row>
    <row r="40" customFormat="false" ht="15" hidden="false" customHeight="false" outlineLevel="0" collapsed="false">
      <c r="A40" s="5"/>
      <c r="B40" s="50" t="s">
        <v>176</v>
      </c>
      <c r="C40" s="44" t="n">
        <f aca="false">IF(C$5&gt;BLN,"",SUMIF(MUTASI!$B$6:$B$45,"Biaya Lainnya",MUTASI!$E$6:$E$45))</f>
        <v>691719</v>
      </c>
      <c r="D40" s="44" t="n">
        <f aca="false">IF(D$5&gt;BLN,"",SUMIF(MUTASI!$B$6:$B$45,"Biaya Lainnya",MUTASI!$F$6:$F$45))</f>
        <v>189899</v>
      </c>
      <c r="E40" s="44" t="n">
        <f aca="false">IF(E$5&gt;BLN,"",SUMIF(MUTASI!$B$6:$B$45,"Biaya Lainnya",MUTASI!$G$6:$G$45))</f>
        <v>1088138</v>
      </c>
      <c r="F40" s="44" t="n">
        <f aca="false">IF(F$5&gt;BLN,"",SUMIF(MUTASI!$B$6:$B$45,"Biaya Lainnya",MUTASI!$H$6:$H$45))</f>
        <v>979111</v>
      </c>
      <c r="G40" s="44" t="n">
        <f aca="false">IF(G$5&gt;BLN,"",SUMIF(MUTASI!$B$6:$B$45,"Biaya Lainnya",MUTASI!$I$6:$I$45))</f>
        <v>37309</v>
      </c>
      <c r="H40" s="44" t="n">
        <f aca="false">IF(H$5&gt;BLN,"",SUMIF(MUTASI!$B$6:$B$45,"Biaya Lainnya",MUTASI!$J$6:$J$45))</f>
        <v>41481</v>
      </c>
      <c r="I40" s="44" t="n">
        <f aca="false">IF(I$5&gt;BLN,"",SUMIF(MUTASI!$B$6:$B$45,"Biaya Lainnya",MUTASI!$K$6:$K$45))</f>
        <v>38480</v>
      </c>
      <c r="J40" s="44" t="n">
        <f aca="false">IF(J$5&gt;BLN,"",SUMIF(MUTASI!$B$6:$B$45,"Biaya Lainnya",MUTASI!$L$6:$L$45))</f>
        <v>579041</v>
      </c>
      <c r="K40" s="44" t="n">
        <f aca="false">IF(K$5&gt;BLN,"",SUMIF(MUTASI!$B$6:$B$45,"Biaya Lainnya",MUTASI!$M$6:$M$45))</f>
        <v>184941</v>
      </c>
      <c r="L40" s="44" t="str">
        <f aca="false">IF(L$5&gt;BLN,"",SUMIF(MUTASI!$B$6:$B$45,"Biaya Lainnya",MUTASI!$N$6:$N$45))</f>
        <v/>
      </c>
      <c r="M40" s="44" t="str">
        <f aca="false">IF(M$5&gt;BLN,"",SUMIF(MUTASI!$B$6:$B$45,"Biaya Lainnya",MUTASI!$O$6:$O$45))</f>
        <v/>
      </c>
      <c r="N40" s="44" t="str">
        <f aca="false">IF(N$5&gt;BLN,"",SUMIF(MUTASI!$B$6:$B$45,"Biaya Lainnya",MUTASI!$P$6:$P$45))</f>
        <v/>
      </c>
      <c r="O40" s="44" t="n">
        <f aca="false">SUMIF(MUTASI!$B$6:$B$45,"Biaya Lainnya",MUTASI!$R$6:$R$45)</f>
        <v>3830119</v>
      </c>
      <c r="P40" s="45" t="n">
        <f aca="false">IFERROR(O40/O11,"")</f>
        <v>0.00481469589398471</v>
      </c>
    </row>
    <row r="41" customFormat="false" ht="15" hidden="false" customHeight="false" outlineLevel="0" collapsed="false">
      <c r="A41" s="5"/>
      <c r="B41" s="51" t="s">
        <v>177</v>
      </c>
      <c r="C41" s="52" t="n">
        <f aca="false">IF(C$5&gt;BLN,"",N(C39)-N(C40))</f>
        <v>-586971</v>
      </c>
      <c r="D41" s="52" t="n">
        <f aca="false">IF(D$5&gt;BLN,"",N(D39)-N(D40))</f>
        <v>-24267</v>
      </c>
      <c r="E41" s="52" t="n">
        <f aca="false">IF(E$5&gt;BLN,"",N(E39)-N(E40))</f>
        <v>-868836</v>
      </c>
      <c r="F41" s="52" t="n">
        <f aca="false">IF(F$5&gt;BLN,"",N(F39)-N(F40))</f>
        <v>-531615</v>
      </c>
      <c r="G41" s="52" t="n">
        <f aca="false">IF(G$5&gt;BLN,"",N(G39)-N(G40))</f>
        <v>96538</v>
      </c>
      <c r="H41" s="52" t="n">
        <f aca="false">IF(H$5&gt;BLN,"",N(H39)-N(H40))</f>
        <v>-40465</v>
      </c>
      <c r="I41" s="52" t="n">
        <f aca="false">IF(I$5&gt;BLN,"",N(I39)-N(I40))</f>
        <v>-12150</v>
      </c>
      <c r="J41" s="52" t="n">
        <f aca="false">IF(J$5&gt;BLN,"",N(J39)-N(J40))</f>
        <v>-474121</v>
      </c>
      <c r="K41" s="52" t="n">
        <f aca="false">IF(K$5&gt;BLN,"",N(K39)-N(K40))</f>
        <v>-171492</v>
      </c>
      <c r="L41" s="52" t="str">
        <f aca="false">IF(L$5&gt;BLN,"",N(L39)-N(L40))</f>
        <v/>
      </c>
      <c r="M41" s="52" t="str">
        <f aca="false">IF(M$5&gt;BLN,"",N(M39)-N(M40))</f>
        <v/>
      </c>
      <c r="N41" s="52" t="str">
        <f aca="false">IF(N$5&gt;BLN,"",N(N39)-N(N40))</f>
        <v/>
      </c>
      <c r="O41" s="52" t="n">
        <f aca="false">N(O39)-N(O40)</f>
        <v>-2613379</v>
      </c>
      <c r="P41" s="53" t="n">
        <f aca="false">IFERROR(O41/O11,"")</f>
        <v>-0.00328517864346404</v>
      </c>
    </row>
    <row r="42" customFormat="false" ht="15" hidden="false" customHeight="false" outlineLevel="0" collapsed="false">
      <c r="A42" s="5"/>
      <c r="B42" s="5"/>
      <c r="C42" s="5"/>
      <c r="D42" s="5"/>
      <c r="E42" s="5"/>
      <c r="F42" s="5"/>
      <c r="G42" s="5"/>
      <c r="H42" s="5"/>
      <c r="I42" s="5"/>
      <c r="J42" s="5"/>
      <c r="K42" s="5"/>
      <c r="L42" s="5"/>
      <c r="M42" s="5"/>
      <c r="N42" s="5"/>
      <c r="O42" s="5"/>
      <c r="P42" s="5"/>
    </row>
    <row r="43" customFormat="false" ht="15" hidden="false" customHeight="false" outlineLevel="0" collapsed="false">
      <c r="A43" s="5"/>
      <c r="B43" s="62" t="s">
        <v>178</v>
      </c>
      <c r="C43" s="63" t="n">
        <f aca="false">IF(C$5&gt;BLN,"",N(C35)+N(C41))</f>
        <v>-51148041</v>
      </c>
      <c r="D43" s="63" t="n">
        <f aca="false">IF(D$5&gt;BLN,"",N(D35)+N(D41))</f>
        <v>-6212118</v>
      </c>
      <c r="E43" s="63" t="n">
        <f aca="false">IF(E$5&gt;BLN,"",N(E35)+N(E41))</f>
        <v>-3403297</v>
      </c>
      <c r="F43" s="63" t="n">
        <f aca="false">IF(F$5&gt;BLN,"",N(F35)+N(F41))</f>
        <v>-20407510</v>
      </c>
      <c r="G43" s="63" t="n">
        <f aca="false">IF(G$5&gt;BLN,"",N(G35)+N(G41))</f>
        <v>16080376</v>
      </c>
      <c r="H43" s="63" t="n">
        <f aca="false">IF(H$5&gt;BLN,"",N(H35)+N(H41))</f>
        <v>5382034</v>
      </c>
      <c r="I43" s="63" t="n">
        <f aca="false">IF(I$5&gt;BLN,"",N(I35)+N(I41))</f>
        <v>4796009</v>
      </c>
      <c r="J43" s="63" t="n">
        <f aca="false">IF(J$5&gt;BLN,"",N(J35)+N(J41))</f>
        <v>17725947</v>
      </c>
      <c r="K43" s="63" t="n">
        <f aca="false">IF(K$5&gt;BLN,"",N(K35)+N(K41))</f>
        <v>-17810102</v>
      </c>
      <c r="L43" s="63" t="str">
        <f aca="false">IF(L$5&gt;BLN,"",N(L35)+N(L41))</f>
        <v/>
      </c>
      <c r="M43" s="63" t="str">
        <f aca="false">IF(M$5&gt;BLN,"",N(M35)+N(M41))</f>
        <v/>
      </c>
      <c r="N43" s="63" t="str">
        <f aca="false">IF(N$5&gt;BLN,"",N(N35)+N(N41))</f>
        <v/>
      </c>
      <c r="O43" s="63" t="n">
        <f aca="false">N(O35)+N(O41)</f>
        <v>-54996702</v>
      </c>
      <c r="P43" s="64" t="n">
        <f aca="false">IFERROR(O43/O11,"")</f>
        <v>-0.0691342476048657</v>
      </c>
    </row>
    <row r="44" customFormat="false" ht="15" hidden="false" customHeight="false" outlineLevel="0" collapsed="false">
      <c r="A44" s="5"/>
      <c r="B44" s="57" t="s">
        <v>179</v>
      </c>
      <c r="C44" s="58" t="n">
        <f aca="false">IF(C$5&gt;BLN,"",IFERROR((N(C43))/C11,""))</f>
        <v>-0.566542807432024</v>
      </c>
      <c r="D44" s="58" t="n">
        <f aca="false">IF(D$5&gt;BLN,"",IFERROR((N(D43))/D11,""))</f>
        <v>-0.0909383087373937</v>
      </c>
      <c r="E44" s="58" t="n">
        <f aca="false">IF(E$5&gt;BLN,"",IFERROR((N(E43))/E11,""))</f>
        <v>-0.0365144868588878</v>
      </c>
      <c r="F44" s="58" t="n">
        <f aca="false">IF(F$5&gt;BLN,"",IFERROR((N(F43))/F11,""))</f>
        <v>-0.237421622108867</v>
      </c>
      <c r="G44" s="58" t="n">
        <f aca="false">IF(G$5&gt;BLN,"",IFERROR((N(G43))/G11,""))</f>
        <v>0.156889570735487</v>
      </c>
      <c r="H44" s="58" t="n">
        <f aca="false">IF(H$5&gt;BLN,"",IFERROR((N(H43))/H11,""))</f>
        <v>0.0561698747460409</v>
      </c>
      <c r="I44" s="58" t="n">
        <f aca="false">IF(I$5&gt;BLN,"",IFERROR((N(I43))/I11,""))</f>
        <v>0.0561715275657799</v>
      </c>
      <c r="J44" s="58" t="n">
        <f aca="false">IF(J$5&gt;BLN,"",IFERROR((N(J43))/J11,""))</f>
        <v>0.201794085243536</v>
      </c>
      <c r="K44" s="58" t="n">
        <f aca="false">IF(K$5&gt;BLN,"",IFERROR((N(K43))/K11,""))</f>
        <v>-0.206566695608262</v>
      </c>
      <c r="L44" s="58" t="str">
        <f aca="false">IF(L$5&gt;BLN,"",IFERROR((N(L43))/L11,""))</f>
        <v/>
      </c>
      <c r="M44" s="58" t="str">
        <f aca="false">IF(M$5&gt;BLN,"",IFERROR((N(M43))/M11,""))</f>
        <v/>
      </c>
      <c r="N44" s="58" t="str">
        <f aca="false">IF(N$5&gt;BLN,"",IFERROR((N(N43))/N11,""))</f>
        <v/>
      </c>
      <c r="O44" s="58" t="n">
        <f aca="false">IFERROR((N(O43))/O11,"")</f>
        <v>-0.0691342476048657</v>
      </c>
      <c r="P44" s="22"/>
    </row>
    <row r="45" customFormat="false" ht="15" hidden="false" customHeight="false" outlineLevel="0" collapsed="false">
      <c r="A45" s="5"/>
      <c r="B45" s="5"/>
      <c r="C45" s="5"/>
      <c r="D45" s="5"/>
      <c r="E45" s="5"/>
      <c r="F45" s="5"/>
      <c r="G45" s="5"/>
      <c r="H45" s="5"/>
      <c r="I45" s="5"/>
      <c r="J45" s="5"/>
      <c r="K45" s="5"/>
      <c r="L45" s="5"/>
      <c r="M45" s="5"/>
      <c r="N45" s="5"/>
      <c r="O45" s="5"/>
      <c r="P45" s="5"/>
    </row>
    <row r="46" customFormat="false" ht="15" hidden="false" customHeight="false" outlineLevel="0" collapsed="false">
      <c r="A46" s="5"/>
      <c r="B46" s="49" t="s">
        <v>180</v>
      </c>
      <c r="C46" s="5"/>
      <c r="D46" s="5"/>
      <c r="E46" s="5"/>
      <c r="F46" s="5"/>
      <c r="G46" s="5"/>
      <c r="H46" s="5"/>
      <c r="I46" s="5"/>
      <c r="J46" s="5"/>
      <c r="K46" s="5"/>
      <c r="L46" s="5"/>
      <c r="M46" s="5"/>
      <c r="N46" s="5"/>
      <c r="O46" s="5"/>
      <c r="P46" s="5"/>
    </row>
    <row r="47" customFormat="false" ht="15" hidden="false" customHeight="false" outlineLevel="0" collapsed="false">
      <c r="A47" s="5"/>
      <c r="B47" s="57" t="s">
        <v>181</v>
      </c>
      <c r="C47" s="58" t="n">
        <f aca="false">IF(C$5&gt;BLN,"",IFERROR((N(C16))/C11,""))</f>
        <v>0.312007018266594</v>
      </c>
      <c r="D47" s="58" t="n">
        <f aca="false">IF(D$5&gt;BLN,"",IFERROR((N(D16))/D11,""))</f>
        <v>0.4572258226573</v>
      </c>
      <c r="E47" s="58" t="n">
        <f aca="false">IF(E$5&gt;BLN,"",IFERROR((N(E16))/E11,""))</f>
        <v>0.354460962580145</v>
      </c>
      <c r="F47" s="58" t="n">
        <f aca="false">IF(F$5&gt;BLN,"",IFERROR((N(F16))/F11,""))</f>
        <v>0.653469540545555</v>
      </c>
      <c r="G47" s="58" t="n">
        <f aca="false">IF(G$5&gt;BLN,"",IFERROR((N(G16))/G11,""))</f>
        <v>0.338799135398671</v>
      </c>
      <c r="H47" s="58" t="n">
        <f aca="false">IF(H$5&gt;BLN,"",IFERROR((N(H16))/H11,""))</f>
        <v>0.471069477573683</v>
      </c>
      <c r="I47" s="58" t="n">
        <f aca="false">IF(I$5&gt;BLN,"",IFERROR((N(I16))/I11,""))</f>
        <v>0.39725287077721</v>
      </c>
      <c r="J47" s="58" t="n">
        <f aca="false">IF(J$5&gt;BLN,"",IFERROR((N(J16))/J11,""))</f>
        <v>0.26289342095013</v>
      </c>
      <c r="K47" s="58" t="n">
        <f aca="false">IF(K$5&gt;BLN,"",IFERROR((N(K16))/K11,""))</f>
        <v>0.615855173103291</v>
      </c>
      <c r="L47" s="58" t="str">
        <f aca="false">IF(L$5&gt;BLN,"",IFERROR((N(L16))/L11,""))</f>
        <v/>
      </c>
      <c r="M47" s="58" t="str">
        <f aca="false">IF(M$5&gt;BLN,"",IFERROR((N(M16))/M11,""))</f>
        <v/>
      </c>
      <c r="N47" s="58" t="str">
        <f aca="false">IF(N$5&gt;BLN,"",IFERROR((N(N16))/N11,""))</f>
        <v/>
      </c>
      <c r="O47" s="58" t="n">
        <f aca="false">IFERROR((N(O16))/O11,"")</f>
        <v>0.425615363944842</v>
      </c>
      <c r="P47" s="22"/>
    </row>
    <row r="48" customFormat="false" ht="15" hidden="false" customHeight="false" outlineLevel="0" collapsed="false">
      <c r="A48" s="5"/>
      <c r="B48" s="57" t="s">
        <v>182</v>
      </c>
      <c r="C48" s="58" t="n">
        <f aca="false">IF(C$5&gt;BLN,"",IFERROR((N(C22))/C11,""))</f>
        <v>0.283891462323704</v>
      </c>
      <c r="D48" s="58" t="n">
        <f aca="false">IF(D$5&gt;BLN,"",IFERROR((N(D22))/D11,""))</f>
        <v>0.390776975355323</v>
      </c>
      <c r="E48" s="58" t="n">
        <f aca="false">IF(E$5&gt;BLN,"",IFERROR((N(E22))/E11,""))</f>
        <v>0.460302029243996</v>
      </c>
      <c r="F48" s="58" t="n">
        <f aca="false">IF(F$5&gt;BLN,"",IFERROR((N(F22))/F11,""))</f>
        <v>0.317213513477165</v>
      </c>
      <c r="G48" s="58" t="n">
        <f aca="false">IF(G$5&gt;BLN,"",IFERROR((N(G22))/G11,""))</f>
        <v>0.286895659137825</v>
      </c>
      <c r="H48" s="58" t="n">
        <f aca="false">IF(H$5&gt;BLN,"",IFERROR((N(H22))/H11,""))</f>
        <v>0.316157928443058</v>
      </c>
      <c r="I48" s="58" t="n">
        <f aca="false">IF(I$5&gt;BLN,"",IFERROR((N(I22))/I11,""))</f>
        <v>0.266583912591364</v>
      </c>
      <c r="J48" s="58" t="n">
        <f aca="false">IF(J$5&gt;BLN,"",IFERROR((N(J22))/J11,""))</f>
        <v>0.275146283788472</v>
      </c>
      <c r="K48" s="58" t="n">
        <f aca="false">IF(K$5&gt;BLN,"",IFERROR((N(K22))/K11,""))</f>
        <v>0.287548622923645</v>
      </c>
      <c r="L48" s="58" t="str">
        <f aca="false">IF(L$5&gt;BLN,"",IFERROR((N(L22))/L11,""))</f>
        <v/>
      </c>
      <c r="M48" s="58" t="str">
        <f aca="false">IF(M$5&gt;BLN,"",IFERROR((N(M22))/M11,""))</f>
        <v/>
      </c>
      <c r="N48" s="58" t="str">
        <f aca="false">IF(N$5&gt;BLN,"",IFERROR((N(N22))/N11,""))</f>
        <v/>
      </c>
      <c r="O48" s="58" t="n">
        <f aca="false">IFERROR((N(O22))/O11,"")</f>
        <v>0.319185771421216</v>
      </c>
      <c r="P48" s="22"/>
    </row>
    <row r="49" customFormat="false" ht="15" hidden="false" customHeight="false" outlineLevel="0" collapsed="false">
      <c r="A49" s="5"/>
      <c r="B49" s="57" t="s">
        <v>183</v>
      </c>
      <c r="C49" s="58" t="n">
        <f aca="false">IF(C$5&gt;BLN,"",IFERROR((N(C23))/C11,""))</f>
        <v>0.11076529938498</v>
      </c>
      <c r="D49" s="58" t="n">
        <f aca="false">IF(D$5&gt;BLN,"",IFERROR((N(D23))/D11,""))</f>
        <v>0.146388572685506</v>
      </c>
      <c r="E49" s="58" t="n">
        <f aca="false">IF(E$5&gt;BLN,"",IFERROR((N(E23))/E11,""))</f>
        <v>0.107291508378163</v>
      </c>
      <c r="F49" s="58" t="n">
        <f aca="false">IF(F$5&gt;BLN,"",IFERROR((N(F23))/F11,""))</f>
        <v>0.116340318886953</v>
      </c>
      <c r="G49" s="58" t="n">
        <f aca="false">IF(G$5&gt;BLN,"",IFERROR((N(G23))/G11,""))</f>
        <v>0.0975658596139091</v>
      </c>
      <c r="H49" s="58" t="n">
        <f aca="false">IF(H$5&gt;BLN,"",IFERROR((N(H23))/H11,""))</f>
        <v>0</v>
      </c>
      <c r="I49" s="58" t="n">
        <f aca="false">IF(I$5&gt;BLN,"",IFERROR((N(I23))/I11,""))</f>
        <v>0.117121397323858</v>
      </c>
      <c r="J49" s="58" t="n">
        <f aca="false">IF(J$5&gt;BLN,"",IFERROR((N(J23))/J11,""))</f>
        <v>0.113841074467579</v>
      </c>
      <c r="K49" s="58" t="n">
        <f aca="false">IF(K$5&gt;BLN,"",IFERROR((N(K23))/K11,""))</f>
        <v>0.115982881854501</v>
      </c>
      <c r="L49" s="58" t="str">
        <f aca="false">IF(L$5&gt;BLN,"",IFERROR((N(L23))/L11,""))</f>
        <v/>
      </c>
      <c r="M49" s="58" t="str">
        <f aca="false">IF(M$5&gt;BLN,"",IFERROR((N(M23))/M11,""))</f>
        <v/>
      </c>
      <c r="N49" s="58" t="str">
        <f aca="false">IF(N$5&gt;BLN,"",IFERROR((N(N23))/N11,""))</f>
        <v/>
      </c>
      <c r="O49" s="58" t="n">
        <f aca="false">IFERROR((N(O23))/O11,"")</f>
        <v>0.100564935846321</v>
      </c>
      <c r="P49" s="22"/>
    </row>
    <row r="50" customFormat="false" ht="15" hidden="false" customHeight="false" outlineLevel="0" collapsed="false">
      <c r="A50" s="5"/>
      <c r="B50" s="57" t="s">
        <v>184</v>
      </c>
      <c r="C50" s="58" t="n">
        <f aca="false">IF(C$5&gt;BLN,"",IFERROR((N(C16)+N(C22))/C11,""))</f>
        <v>0.595898480590298</v>
      </c>
      <c r="D50" s="58" t="n">
        <f aca="false">IF(D$5&gt;BLN,"",IFERROR((N(D16)+N(D22))/D11,""))</f>
        <v>0.848002798012623</v>
      </c>
      <c r="E50" s="58" t="n">
        <f aca="false">IF(E$5&gt;BLN,"",IFERROR((N(E16)+N(E22))/E11,""))</f>
        <v>0.81476299182414</v>
      </c>
      <c r="F50" s="58" t="n">
        <f aca="false">IF(F$5&gt;BLN,"",IFERROR((N(F16)+N(F22))/F11,""))</f>
        <v>0.97068305402272</v>
      </c>
      <c r="G50" s="58" t="n">
        <f aca="false">IF(G$5&gt;BLN,"",IFERROR((N(G16)+N(G22))/G11,""))</f>
        <v>0.625694794536495</v>
      </c>
      <c r="H50" s="58" t="n">
        <f aca="false">IF(H$5&gt;BLN,"",IFERROR((N(H16)+N(H22))/H11,""))</f>
        <v>0.787227406016741</v>
      </c>
      <c r="I50" s="58" t="n">
        <f aca="false">IF(I$5&gt;BLN,"",IFERROR((N(I16)+N(I22))/I11,""))</f>
        <v>0.663836783368574</v>
      </c>
      <c r="J50" s="58" t="n">
        <f aca="false">IF(J$5&gt;BLN,"",IFERROR((N(J16)+N(J22))/J11,""))</f>
        <v>0.538039704738602</v>
      </c>
      <c r="K50" s="58" t="n">
        <f aca="false">IF(K$5&gt;BLN,"",IFERROR((N(K16)+N(K22))/K11,""))</f>
        <v>0.903403796026937</v>
      </c>
      <c r="L50" s="58" t="str">
        <f aca="false">IF(L$5&gt;BLN,"",IFERROR((N(L16)+N(L22))/L11,""))</f>
        <v/>
      </c>
      <c r="M50" s="58" t="str">
        <f aca="false">IF(M$5&gt;BLN,"",IFERROR((N(M16)+N(M22))/M11,""))</f>
        <v/>
      </c>
      <c r="N50" s="58" t="str">
        <f aca="false">IF(N$5&gt;BLN,"",IFERROR((N(N16)+N(N22))/N11,""))</f>
        <v/>
      </c>
      <c r="O50" s="58" t="n">
        <f aca="false">IFERROR((N(O16)+N(O22))/O11,"")</f>
        <v>0.744801135366058</v>
      </c>
      <c r="P50" s="22"/>
    </row>
    <row r="51" customFormat="false" ht="15" hidden="false" customHeight="false" outlineLevel="0" collapsed="false">
      <c r="A51" s="5"/>
      <c r="B51" s="57" t="s">
        <v>131</v>
      </c>
      <c r="C51" s="58" t="n">
        <f aca="false">IF(C$5&gt;BLN,"",IFERROR((N(C25))/C11,""))</f>
        <v>0.709331606517085</v>
      </c>
      <c r="D51" s="58" t="n">
        <f aca="false">IF(D$5&gt;BLN,"",IFERROR((N(D25))/D11,""))</f>
        <v>0.000604599444048406</v>
      </c>
      <c r="E51" s="58" t="n">
        <f aca="false">IF(E$5&gt;BLN,"",IFERROR((N(E25))/E11,""))</f>
        <v>0</v>
      </c>
      <c r="F51" s="58" t="n">
        <f aca="false">IF(F$5&gt;BLN,"",IFERROR((N(F25))/F11,""))</f>
        <v>0.027567303921539</v>
      </c>
      <c r="G51" s="58" t="n">
        <f aca="false">IF(G$5&gt;BLN,"",IFERROR((N(G25))/G11,""))</f>
        <v>0.0102151455015763</v>
      </c>
      <c r="H51" s="58" t="n">
        <f aca="false">IF(H$5&gt;BLN,"",IFERROR((N(H25))/H11,""))</f>
        <v>0.0257783133908751</v>
      </c>
      <c r="I51" s="58" t="n">
        <f aca="false">IF(I$5&gt;BLN,"",IFERROR((N(I25))/I11,""))</f>
        <v>0.0298249638285205</v>
      </c>
      <c r="J51" s="58" t="n">
        <f aca="false">IF(J$5&gt;BLN,"",IFERROR((N(J25))/J11,""))</f>
        <v>0.0194099031967223</v>
      </c>
      <c r="K51" s="58" t="n">
        <f aca="false">IF(K$5&gt;BLN,"",IFERROR((N(K25))/K11,""))</f>
        <v>0.0576991640649773</v>
      </c>
      <c r="L51" s="58" t="str">
        <f aca="false">IF(L$5&gt;BLN,"",IFERROR((N(L25))/L11,""))</f>
        <v/>
      </c>
      <c r="M51" s="58" t="str">
        <f aca="false">IF(M$5&gt;BLN,"",IFERROR((N(M25))/M11,""))</f>
        <v/>
      </c>
      <c r="N51" s="58" t="str">
        <f aca="false">IF(N$5&gt;BLN,"",IFERROR((N(N25))/N11,""))</f>
        <v/>
      </c>
      <c r="O51" s="58" t="n">
        <f aca="false">IFERROR((N(O25))/O11,"")</f>
        <v>0.0995508616603576</v>
      </c>
      <c r="P51" s="22"/>
    </row>
    <row r="52" customFormat="false" ht="15" hidden="false" customHeight="false" outlineLevel="0" collapsed="false">
      <c r="A52" s="5"/>
      <c r="B52" s="5"/>
      <c r="C52" s="5"/>
      <c r="D52" s="5"/>
      <c r="E52" s="5"/>
      <c r="F52" s="5"/>
      <c r="G52" s="5"/>
      <c r="H52" s="5"/>
      <c r="I52" s="5"/>
      <c r="J52" s="5"/>
      <c r="K52" s="5"/>
      <c r="L52" s="5"/>
      <c r="M52" s="5"/>
      <c r="N52" s="5"/>
      <c r="O52" s="5"/>
      <c r="P52" s="5"/>
    </row>
    <row r="53" customFormat="false" ht="15" hidden="false" customHeight="false" outlineLevel="0" collapsed="false">
      <c r="A53" s="5"/>
      <c r="B53" s="22" t="s">
        <v>185</v>
      </c>
      <c r="C53" s="5"/>
      <c r="D53" s="5"/>
      <c r="E53" s="5"/>
      <c r="F53" s="5"/>
      <c r="G53" s="5"/>
      <c r="H53" s="5"/>
      <c r="I53" s="5"/>
      <c r="J53" s="5"/>
      <c r="K53" s="5"/>
      <c r="L53" s="5"/>
      <c r="M53" s="5"/>
      <c r="N53" s="5"/>
      <c r="O53" s="5"/>
      <c r="P53" s="5"/>
    </row>
  </sheetData>
  <conditionalFormatting sqref="C43:O43">
    <cfRule type="cellIs" priority="2" operator="lessThan" aboveAverage="0" equalAverage="0" bottom="0" percent="0" rank="0" text="" dxfId="5">
      <formula>0</formula>
    </cfRule>
  </conditionalFormatting>
  <conditionalFormatting sqref="C47:O47">
    <cfRule type="expression" priority="3" aboveAverage="0" equalAverage="0" bottom="0" percent="0" rank="0" text="" dxfId="3">
      <formula>AND(ISNUMBER(C47),C47&gt;MX_FOOD)</formula>
    </cfRule>
  </conditionalFormatting>
  <conditionalFormatting sqref="C48:O48">
    <cfRule type="expression" priority="4" aboveAverage="0" equalAverage="0" bottom="0" percent="0" rank="0" text="" dxfId="3">
      <formula>AND(ISNUMBER(C48),C48&gt;MX_PAY)</formula>
    </cfRule>
  </conditionalFormatting>
  <conditionalFormatting sqref="C49:O49">
    <cfRule type="expression" priority="5" aboveAverage="0" equalAverage="0" bottom="0" percent="0" rank="0" text="" dxfId="3">
      <formula>AND(ISNUMBER(C49),C49&gt;MX_SEWA)</formula>
    </cfRule>
  </conditionalFormatting>
  <conditionalFormatting sqref="C50:O50">
    <cfRule type="expression" priority="6" aboveAverage="0" equalAverage="0" bottom="0" percent="0" rank="0" text="" dxfId="3">
      <formula>AND(ISNUMBER(C50),C50&gt;MX_PRIME)</formula>
    </cfRule>
  </conditionalFormatting>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true"/>
  </sheetPr>
  <dimension ref="A1:D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4" min="3" style="0" width="18"/>
  </cols>
  <sheetData>
    <row r="1" customFormat="false" ht="19.7" hidden="false" customHeight="false" outlineLevel="0" collapsed="false">
      <c r="A1" s="17" t="s">
        <v>186</v>
      </c>
      <c r="B1" s="5"/>
      <c r="C1" s="5"/>
      <c r="D1" s="5"/>
    </row>
    <row r="2" customFormat="false" ht="15" hidden="false" customHeight="false" outlineLevel="0" collapsed="false">
      <c r="A2" s="18" t="str">
        <f aca="false">"KOPI PARANG  •  dalam Rupiah"</f>
        <v>KOPI PARANG  •  dalam Rupiah</v>
      </c>
      <c r="B2" s="5"/>
      <c r="C2" s="5"/>
      <c r="D2" s="5"/>
    </row>
    <row r="3" customFormat="false" ht="15" hidden="false" customHeight="false" outlineLevel="0" collapsed="false">
      <c r="A3" s="5"/>
      <c r="B3" s="5"/>
      <c r="C3" s="5"/>
      <c r="D3" s="5"/>
    </row>
    <row r="4" customFormat="false" ht="15" hidden="false" customHeight="false" outlineLevel="0" collapsed="false">
      <c r="A4" s="5"/>
      <c r="B4" s="19" t="s">
        <v>58</v>
      </c>
      <c r="C4" s="20" t="str">
        <f aca="false">"1 Jan "&amp;TAHUN</f>
        <v>1 Jan 2026</v>
      </c>
      <c r="D4" s="20" t="str">
        <f aca="false">TEXT(DATE(TAHUN,BLN+1,0),"d")&amp;" "&amp;LEFT(NAMA_BLN,3)&amp;" "&amp;TAHUN</f>
        <v>30 Sep 2026</v>
      </c>
    </row>
    <row r="5" customFormat="false" ht="15" hidden="false" customHeight="false" outlineLevel="0" collapsed="false">
      <c r="A5" s="5"/>
      <c r="B5" s="37" t="s">
        <v>187</v>
      </c>
      <c r="C5" s="5"/>
      <c r="D5" s="5"/>
    </row>
    <row r="6" customFormat="false" ht="15" hidden="false" customHeight="false" outlineLevel="0" collapsed="false">
      <c r="A6" s="5"/>
      <c r="B6" s="65" t="s">
        <v>188</v>
      </c>
      <c r="C6" s="5"/>
      <c r="D6" s="5"/>
    </row>
    <row r="7" customFormat="false" ht="15" hidden="false" customHeight="false" outlineLevel="0" collapsed="false">
      <c r="A7" s="5"/>
      <c r="B7" s="50" t="s">
        <v>189</v>
      </c>
      <c r="C7" s="44" t="n">
        <f aca="false">SUMIF(MUTASI!$B$6:$B$45,"Kas Tunai",MUTASI!$Q$6:$Q$45)</f>
        <v>26605500</v>
      </c>
      <c r="D7" s="44" t="n">
        <f aca="false">SUMIF(MUTASI!$B$6:$B$45,"Kas Tunai",MUTASI!$S$6:$S$45)</f>
        <v>51913400</v>
      </c>
    </row>
    <row r="8" customFormat="false" ht="15" hidden="false" customHeight="false" outlineLevel="0" collapsed="false">
      <c r="A8" s="5"/>
      <c r="B8" s="50" t="s">
        <v>190</v>
      </c>
      <c r="C8" s="44" t="n">
        <f aca="false">SUMIF(MUTASI!$B$6:$B$45,"Kas Bank",MUTASI!$Q$6:$Q$45)</f>
        <v>81982785</v>
      </c>
      <c r="D8" s="44" t="n">
        <f aca="false">SUMIF(MUTASI!$B$6:$B$45,"Kas Bank",MUTASI!$S$6:$S$45)</f>
        <v>-2739792</v>
      </c>
    </row>
    <row r="9" customFormat="false" ht="15" hidden="false" customHeight="false" outlineLevel="0" collapsed="false">
      <c r="A9" s="5"/>
      <c r="B9" s="50" t="s">
        <v>191</v>
      </c>
      <c r="C9" s="44" t="n">
        <f aca="false">SUMIF(MUTASI!$B$6:$B$45,"Kas Warung",MUTASI!$Q$6:$Q$45)</f>
        <v>3000000</v>
      </c>
      <c r="D9" s="44" t="n">
        <f aca="false">SUMIF(MUTASI!$B$6:$B$45,"Kas Warung",MUTASI!$S$6:$S$45)</f>
        <v>4108000</v>
      </c>
    </row>
    <row r="10" customFormat="false" ht="15" hidden="false" customHeight="false" outlineLevel="0" collapsed="false">
      <c r="A10" s="5"/>
      <c r="B10" s="50" t="s">
        <v>192</v>
      </c>
      <c r="C10" s="44" t="n">
        <f aca="false">SUMIF(MUTASI!$B$6:$B$45,"Piutang Usaha Cafe",MUTASI!$Q$6:$Q$45)+SUMIF(MUTASI!$B$6:$B$45,"Piutang Usaha non Cafe",MUTASI!$Q$6:$Q$45)</f>
        <v>4500000</v>
      </c>
      <c r="D10" s="44" t="n">
        <f aca="false">SUMIF(MUTASI!$B$6:$B$45,"Piutang Usaha Cafe",MUTASI!$S$6:$S$45)+SUMIF(MUTASI!$B$6:$B$45,"Piutang Usaha non Cafe",MUTASI!$S$6:$S$45)</f>
        <v>0</v>
      </c>
    </row>
    <row r="11" customFormat="false" ht="15" hidden="false" customHeight="false" outlineLevel="0" collapsed="false">
      <c r="A11" s="5"/>
      <c r="B11" s="50" t="s">
        <v>193</v>
      </c>
      <c r="C11" s="44" t="n">
        <f aca="false">SUMIF(MUTASI!$B$6:$B$45,"Piutang Lainnya",MUTASI!$Q$6:$Q$45)</f>
        <v>3000000</v>
      </c>
      <c r="D11" s="44" t="n">
        <f aca="false">SUMIF(MUTASI!$B$6:$B$45,"Piutang Lainnya",MUTASI!$S$6:$S$45)</f>
        <v>8133335</v>
      </c>
    </row>
    <row r="12" customFormat="false" ht="15" hidden="false" customHeight="false" outlineLevel="0" collapsed="false">
      <c r="A12" s="5"/>
      <c r="B12" s="50" t="s">
        <v>194</v>
      </c>
      <c r="C12" s="44" t="n">
        <f aca="false">SUMIF(MUTASI!$B$6:$B$45,"Inventori",MUTASI!$Q$6:$Q$45)</f>
        <v>0</v>
      </c>
      <c r="D12" s="44" t="n">
        <f aca="false">SUMIF(MUTASI!$B$6:$B$45,"Inventori",MUTASI!$S$6:$S$45)</f>
        <v>0</v>
      </c>
    </row>
    <row r="13" customFormat="false" ht="15" hidden="false" customHeight="false" outlineLevel="0" collapsed="false">
      <c r="A13" s="5"/>
      <c r="B13" s="50" t="s">
        <v>164</v>
      </c>
      <c r="C13" s="44" t="n">
        <f aca="false">SUMIF(MUTASI!$B$6:$B$45,"Perlengkapan",MUTASI!$Q$6:$Q$45)</f>
        <v>0</v>
      </c>
      <c r="D13" s="44" t="n">
        <f aca="false">SUMIF(MUTASI!$B$6:$B$45,"Perlengkapan",MUTASI!$S$6:$S$45)</f>
        <v>864780</v>
      </c>
    </row>
    <row r="14" customFormat="false" ht="15" hidden="false" customHeight="false" outlineLevel="0" collapsed="false">
      <c r="A14" s="5"/>
      <c r="B14" s="50" t="s">
        <v>195</v>
      </c>
      <c r="C14" s="44" t="n">
        <f aca="false">SUMIF(MUTASI!$B$6:$B$45,"Beban Dibayar di Muka",MUTASI!$Q$6:$Q$45)</f>
        <v>0</v>
      </c>
      <c r="D14" s="44" t="n">
        <f aca="false">SUMIF(MUTASI!$B$6:$B$45,"Beban Dibayar di Muka",MUTASI!$S$6:$S$45)</f>
        <v>0</v>
      </c>
    </row>
    <row r="15" customFormat="false" ht="15" hidden="false" customHeight="false" outlineLevel="0" collapsed="false">
      <c r="A15" s="5"/>
      <c r="B15" s="51" t="s">
        <v>196</v>
      </c>
      <c r="C15" s="52" t="n">
        <f aca="false">C7+C8+C9+C10+C11+C12+C13+C14</f>
        <v>119088285</v>
      </c>
      <c r="D15" s="52" t="n">
        <f aca="false">D7+D8+D9+D10+D11+D12+D13+D14</f>
        <v>62279723</v>
      </c>
    </row>
    <row r="16" customFormat="false" ht="15" hidden="false" customHeight="false" outlineLevel="0" collapsed="false">
      <c r="A16" s="5"/>
      <c r="B16" s="65" t="s">
        <v>197</v>
      </c>
      <c r="C16" s="5"/>
      <c r="D16" s="5"/>
    </row>
    <row r="17" customFormat="false" ht="15" hidden="false" customHeight="false" outlineLevel="0" collapsed="false">
      <c r="A17" s="5"/>
      <c r="B17" s="50" t="s">
        <v>198</v>
      </c>
      <c r="C17" s="44" t="n">
        <f aca="false">SUMIF(MUTASI!$B$6:$B$45,"Peralatan",MUTASI!$Q$6:$Q$45)</f>
        <v>0</v>
      </c>
      <c r="D17" s="44" t="n">
        <f aca="false">SUMIF(MUTASI!$B$6:$B$45,"Peralatan",MUTASI!$S$6:$S$45)</f>
        <v>42023410</v>
      </c>
    </row>
    <row r="18" customFormat="false" ht="15" hidden="false" customHeight="false" outlineLevel="0" collapsed="false">
      <c r="A18" s="5"/>
      <c r="B18" s="50" t="s">
        <v>199</v>
      </c>
      <c r="C18" s="44" t="n">
        <f aca="false">SUMIF(MUTASI!$B$6:$B$45,"Akumulasi Penyusutan Peralatan",MUTASI!$Q$6:$Q$45)</f>
        <v>0</v>
      </c>
      <c r="D18" s="44" t="n">
        <f aca="false">SUMIF(MUTASI!$B$6:$B$45,"Akumulasi Penyusutan Peralatan",MUTASI!$S$6:$S$45)</f>
        <v>-2564119</v>
      </c>
    </row>
    <row r="19" customFormat="false" ht="15" hidden="false" customHeight="false" outlineLevel="0" collapsed="false">
      <c r="A19" s="5"/>
      <c r="B19" s="51" t="s">
        <v>200</v>
      </c>
      <c r="C19" s="52" t="n">
        <f aca="false">C17+C18</f>
        <v>0</v>
      </c>
      <c r="D19" s="52" t="n">
        <f aca="false">D17+D18</f>
        <v>39459291</v>
      </c>
    </row>
    <row r="20" customFormat="false" ht="15" hidden="false" customHeight="false" outlineLevel="0" collapsed="false">
      <c r="A20" s="5"/>
      <c r="B20" s="62" t="s">
        <v>201</v>
      </c>
      <c r="C20" s="63" t="n">
        <f aca="false">C15+C19</f>
        <v>119088285</v>
      </c>
      <c r="D20" s="63" t="n">
        <f aca="false">D15+D19</f>
        <v>101739014</v>
      </c>
    </row>
    <row r="21" customFormat="false" ht="15" hidden="false" customHeight="false" outlineLevel="0" collapsed="false">
      <c r="A21" s="5"/>
      <c r="B21" s="5"/>
      <c r="C21" s="5"/>
      <c r="D21" s="5"/>
    </row>
    <row r="22" customFormat="false" ht="15" hidden="false" customHeight="false" outlineLevel="0" collapsed="false">
      <c r="A22" s="5"/>
      <c r="B22" s="37" t="s">
        <v>202</v>
      </c>
      <c r="C22" s="5"/>
      <c r="D22" s="5"/>
    </row>
    <row r="23" customFormat="false" ht="15" hidden="false" customHeight="false" outlineLevel="0" collapsed="false">
      <c r="A23" s="5"/>
      <c r="B23" s="65" t="s">
        <v>203</v>
      </c>
      <c r="C23" s="5"/>
      <c r="D23" s="5"/>
    </row>
    <row r="24" customFormat="false" ht="15" hidden="false" customHeight="false" outlineLevel="0" collapsed="false">
      <c r="A24" s="5"/>
      <c r="B24" s="50" t="s">
        <v>204</v>
      </c>
      <c r="C24" s="44" t="n">
        <f aca="false">-SUMIF(MUTASI!$B$6:$B$45,"Utang Usaha Lancar",MUTASI!$Q$6:$Q$45)</f>
        <v>-0</v>
      </c>
      <c r="D24" s="44" t="n">
        <f aca="false">-SUMIF(MUTASI!$B$6:$B$45,"Utang Usaha Lancar",MUTASI!$S$6:$S$45)</f>
        <v>-0</v>
      </c>
    </row>
    <row r="25" customFormat="false" ht="15" hidden="false" customHeight="false" outlineLevel="0" collapsed="false">
      <c r="A25" s="5"/>
      <c r="B25" s="50" t="s">
        <v>205</v>
      </c>
      <c r="C25" s="44" t="n">
        <f aca="false">-SUMIF(MUTASI!$B$6:$B$45,"Utang Pajak Daerah (PBJT)",MUTASI!$Q$6:$Q$45)</f>
        <v>-0</v>
      </c>
      <c r="D25" s="44" t="n">
        <f aca="false">-SUMIF(MUTASI!$B$6:$B$45,"Utang Pajak Daerah (PBJT)",MUTASI!$S$6:$S$45)</f>
        <v>59326181</v>
      </c>
    </row>
    <row r="26" customFormat="false" ht="15" hidden="false" customHeight="false" outlineLevel="0" collapsed="false">
      <c r="A26" s="5"/>
      <c r="B26" s="50" t="s">
        <v>206</v>
      </c>
      <c r="C26" s="44" t="n">
        <f aca="false">-SUMIF(MUTASI!$B$6:$B$45,"Utang Lainnya",MUTASI!$Q$6:$Q$45)</f>
        <v>3567600</v>
      </c>
      <c r="D26" s="44" t="n">
        <f aca="false">-SUMIF(MUTASI!$B$6:$B$45,"Utang Lainnya",MUTASI!$S$6:$S$45)</f>
        <v>3567600</v>
      </c>
    </row>
    <row r="27" customFormat="false" ht="15" hidden="false" customHeight="false" outlineLevel="0" collapsed="false">
      <c r="A27" s="5"/>
      <c r="B27" s="51" t="s">
        <v>207</v>
      </c>
      <c r="C27" s="52" t="n">
        <f aca="false">C24+C25+C26</f>
        <v>3567600</v>
      </c>
      <c r="D27" s="52" t="n">
        <f aca="false">D24+D25+D26</f>
        <v>62893781</v>
      </c>
    </row>
    <row r="28" customFormat="false" ht="15" hidden="false" customHeight="false" outlineLevel="0" collapsed="false">
      <c r="A28" s="5"/>
      <c r="B28" s="65" t="s">
        <v>208</v>
      </c>
      <c r="C28" s="5"/>
      <c r="D28" s="5"/>
    </row>
    <row r="29" customFormat="false" ht="15" hidden="false" customHeight="false" outlineLevel="0" collapsed="false">
      <c r="A29" s="5"/>
      <c r="B29" s="50" t="s">
        <v>209</v>
      </c>
      <c r="C29" s="44" t="n">
        <f aca="false">-SUMIF(MUTASI!$B$6:$B$45,"Utang Usaha Jangka Panjang",MUTASI!$Q$6:$Q$45)</f>
        <v>2420000</v>
      </c>
      <c r="D29" s="44" t="n">
        <f aca="false">-SUMIF(MUTASI!$B$6:$B$45,"Utang Usaha Jangka Panjang",MUTASI!$S$6:$S$45)</f>
        <v>11726000</v>
      </c>
    </row>
    <row r="30" customFormat="false" ht="15" hidden="false" customHeight="false" outlineLevel="0" collapsed="false">
      <c r="A30" s="5"/>
      <c r="B30" s="54" t="s">
        <v>210</v>
      </c>
      <c r="C30" s="55" t="n">
        <f aca="false">C27+C29</f>
        <v>5987600</v>
      </c>
      <c r="D30" s="55" t="n">
        <f aca="false">D27+D29</f>
        <v>74619781</v>
      </c>
    </row>
    <row r="31" customFormat="false" ht="15" hidden="false" customHeight="false" outlineLevel="0" collapsed="false">
      <c r="A31" s="5"/>
      <c r="B31" s="65" t="s">
        <v>211</v>
      </c>
      <c r="C31" s="5"/>
      <c r="D31" s="5"/>
    </row>
    <row r="32" customFormat="false" ht="15" hidden="false" customHeight="false" outlineLevel="0" collapsed="false">
      <c r="A32" s="5"/>
      <c r="B32" s="50" t="s">
        <v>212</v>
      </c>
      <c r="C32" s="44" t="n">
        <f aca="false">-SUMIF(MUTASI!$B$6:$B$45,"Ekuitas Kopi Parang",MUTASI!$Q$6:$Q$45)</f>
        <v>113100685</v>
      </c>
      <c r="D32" s="44" t="n">
        <f aca="false">-SUMIF(MUTASI!$B$6:$B$45,"Ekuitas Kopi Parang",MUTASI!$S$6:$S$45)</f>
        <v>113100685</v>
      </c>
    </row>
    <row r="33" customFormat="false" ht="15" hidden="false" customHeight="false" outlineLevel="0" collapsed="false">
      <c r="A33" s="5"/>
      <c r="B33" s="50" t="s">
        <v>213</v>
      </c>
      <c r="C33" s="44" t="n">
        <f aca="false">-SUMIF(MUTASI!$B$6:$B$45,"Prive",MUTASI!$Q$6:$Q$45)</f>
        <v>-0</v>
      </c>
      <c r="D33" s="44" t="n">
        <f aca="false">-SUMIF(MUTASI!$B$6:$B$45,"Prive",MUTASI!$S$6:$S$45)</f>
        <v>-30984750</v>
      </c>
    </row>
    <row r="34" customFormat="false" ht="15" hidden="false" customHeight="false" outlineLevel="0" collapsed="false">
      <c r="A34" s="5"/>
      <c r="B34" s="50" t="s">
        <v>214</v>
      </c>
      <c r="C34" s="44" t="n">
        <f aca="false">0</f>
        <v>0</v>
      </c>
      <c r="D34" s="44" t="n">
        <f aca="false">-(SUMIF(MUTASI!$C$6:$C$45,"PENDAPATAN",MUTASI!$R$6:$R$45)+SUMIF(MUTASI!$C$6:$C$45,"BEBAN",MUTASI!$R$6:$R$45))</f>
        <v>-54996702</v>
      </c>
    </row>
    <row r="35" customFormat="false" ht="15" hidden="false" customHeight="false" outlineLevel="0" collapsed="false">
      <c r="A35" s="5"/>
      <c r="B35" s="54" t="s">
        <v>215</v>
      </c>
      <c r="C35" s="55" t="n">
        <f aca="false">C32+C33+C34</f>
        <v>113100685</v>
      </c>
      <c r="D35" s="55" t="n">
        <f aca="false">D32+D33+D34</f>
        <v>27119233</v>
      </c>
    </row>
    <row r="36" customFormat="false" ht="15" hidden="false" customHeight="false" outlineLevel="0" collapsed="false">
      <c r="A36" s="5"/>
      <c r="B36" s="62" t="s">
        <v>216</v>
      </c>
      <c r="C36" s="63" t="n">
        <f aca="false">C30+C35</f>
        <v>119088285</v>
      </c>
      <c r="D36" s="63" t="n">
        <f aca="false">D30+D35</f>
        <v>101739014</v>
      </c>
    </row>
    <row r="37" customFormat="false" ht="15" hidden="false" customHeight="false" outlineLevel="0" collapsed="false">
      <c r="A37" s="5"/>
      <c r="B37" s="5"/>
      <c r="C37" s="5"/>
      <c r="D37" s="5"/>
    </row>
    <row r="38" customFormat="false" ht="15" hidden="false" customHeight="false" outlineLevel="0" collapsed="false">
      <c r="A38" s="5"/>
      <c r="B38" s="59" t="s">
        <v>217</v>
      </c>
      <c r="C38" s="60" t="n">
        <f aca="false">ROUND(C20-C36,0)</f>
        <v>0</v>
      </c>
      <c r="D38" s="60" t="n">
        <f aca="false">ROUND(D20-D36,0)</f>
        <v>0</v>
      </c>
    </row>
    <row r="39" customFormat="false" ht="15" hidden="false" customHeight="false" outlineLevel="0" collapsed="false">
      <c r="A39" s="5"/>
      <c r="B39" s="5"/>
      <c r="C39" s="5"/>
      <c r="D39" s="5"/>
    </row>
    <row r="40" customFormat="false" ht="15" hidden="false" customHeight="false" outlineLevel="0" collapsed="false">
      <c r="A40" s="5"/>
      <c r="B40" s="22" t="s">
        <v>218</v>
      </c>
      <c r="C40" s="5"/>
      <c r="D40" s="5"/>
    </row>
  </sheetData>
  <conditionalFormatting sqref="C38:D38">
    <cfRule type="cellIs" priority="2" operator="notEqual" aboveAverage="0" equalAverage="0" bottom="0" percent="0" rank="0" text="" dxfId="3">
      <formula>0</formula>
    </cfRule>
  </conditionalFormatting>
  <printOptions headings="false" gridLines="false" gridLinesSet="true" horizontalCentered="true" verticalCentered="false"/>
  <pageMargins left="0.4" right="0.4"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true"/>
  </sheetPr>
  <dimension ref="A1:O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14" min="3" style="0" width="12"/>
    <col collapsed="false" customWidth="true" hidden="false" outlineLevel="0" max="15" min="15" style="0" width="15"/>
  </cols>
  <sheetData>
    <row r="1" customFormat="false" ht="19.7" hidden="false" customHeight="false" outlineLevel="0" collapsed="false">
      <c r="A1" s="17" t="s">
        <v>219</v>
      </c>
      <c r="B1" s="5"/>
      <c r="C1" s="5"/>
      <c r="D1" s="5"/>
      <c r="E1" s="5"/>
      <c r="F1" s="5"/>
      <c r="G1" s="5"/>
      <c r="H1" s="5"/>
      <c r="I1" s="5"/>
      <c r="J1" s="5"/>
      <c r="K1" s="5"/>
      <c r="L1" s="5"/>
      <c r="M1" s="5"/>
      <c r="N1" s="5"/>
      <c r="O1" s="5"/>
    </row>
    <row r="2" customFormat="false" ht="15" hidden="false" customHeight="false" outlineLevel="0" collapsed="false">
      <c r="A2" s="18" t="str">
        <f aca="false">"KOPI PARANG  •  "&amp;"Periode 1 Januari – "&amp;TEXT(DATE(TAHUN,BLN+1,0),"d")&amp;" "&amp;NAMA_BLN&amp;" "&amp;TAHUN&amp;"  •  pindah dana antar-kas tidak dihitung"</f>
        <v>KOPI PARANG  •  Periode 1 Januari – 30 September 2026  •  pindah dana antar-kas tidak dihitung</v>
      </c>
      <c r="B2" s="5"/>
      <c r="C2" s="5"/>
      <c r="D2" s="5"/>
      <c r="E2" s="5"/>
      <c r="F2" s="5"/>
      <c r="G2" s="5"/>
      <c r="H2" s="5"/>
      <c r="I2" s="5"/>
      <c r="J2" s="5"/>
      <c r="K2" s="5"/>
      <c r="L2" s="5"/>
      <c r="M2" s="5"/>
      <c r="N2" s="5"/>
      <c r="O2" s="5"/>
    </row>
    <row r="3" customFormat="false" ht="15" hidden="false" customHeight="false" outlineLevel="0" collapsed="false">
      <c r="A3" s="5"/>
      <c r="B3" s="5"/>
      <c r="C3" s="5"/>
      <c r="D3" s="5"/>
      <c r="E3" s="5"/>
      <c r="F3" s="5"/>
      <c r="G3" s="5"/>
      <c r="H3" s="5"/>
      <c r="I3" s="5"/>
      <c r="J3" s="5"/>
      <c r="K3" s="5"/>
      <c r="L3" s="5"/>
      <c r="M3" s="5"/>
      <c r="N3" s="5"/>
      <c r="O3" s="5"/>
    </row>
    <row r="4" customFormat="false" ht="15" hidden="false" customHeight="false" outlineLevel="0" collapsed="false">
      <c r="A4" s="5"/>
      <c r="B4" s="19" t="s">
        <v>58</v>
      </c>
      <c r="C4" s="20" t="s">
        <v>113</v>
      </c>
      <c r="D4" s="20" t="s">
        <v>114</v>
      </c>
      <c r="E4" s="20" t="s">
        <v>115</v>
      </c>
      <c r="F4" s="20" t="s">
        <v>116</v>
      </c>
      <c r="G4" s="20" t="s">
        <v>79</v>
      </c>
      <c r="H4" s="20" t="s">
        <v>117</v>
      </c>
      <c r="I4" s="20" t="s">
        <v>118</v>
      </c>
      <c r="J4" s="20" t="s">
        <v>119</v>
      </c>
      <c r="K4" s="20" t="s">
        <v>120</v>
      </c>
      <c r="L4" s="20" t="s">
        <v>121</v>
      </c>
      <c r="M4" s="20" t="s">
        <v>122</v>
      </c>
      <c r="N4" s="20" t="s">
        <v>123</v>
      </c>
      <c r="O4" s="20" t="str">
        <f aca="false">"s.d. "&amp;LEFT(NAMA_BLN,3)&amp;" "&amp;TAHUN</f>
        <v>s.d. Sep 2026</v>
      </c>
    </row>
    <row r="5" customFormat="false" ht="15" hidden="false" customHeight="false" outlineLevel="0" collapsed="false">
      <c r="A5" s="5"/>
      <c r="B5" s="5"/>
      <c r="C5" s="66" t="n">
        <v>1</v>
      </c>
      <c r="D5" s="66" t="n">
        <v>2</v>
      </c>
      <c r="E5" s="66" t="n">
        <v>3</v>
      </c>
      <c r="F5" s="66" t="n">
        <v>4</v>
      </c>
      <c r="G5" s="66" t="n">
        <v>5</v>
      </c>
      <c r="H5" s="66" t="n">
        <v>6</v>
      </c>
      <c r="I5" s="66" t="n">
        <v>7</v>
      </c>
      <c r="J5" s="66" t="n">
        <v>8</v>
      </c>
      <c r="K5" s="66" t="n">
        <v>9</v>
      </c>
      <c r="L5" s="66" t="n">
        <v>10</v>
      </c>
      <c r="M5" s="66" t="n">
        <v>11</v>
      </c>
      <c r="N5" s="66" t="n">
        <v>12</v>
      </c>
      <c r="O5" s="5"/>
    </row>
    <row r="6" customFormat="false" ht="15" hidden="false" customHeight="false" outlineLevel="0" collapsed="false">
      <c r="A6" s="5"/>
      <c r="B6" s="49" t="s">
        <v>220</v>
      </c>
      <c r="C6" s="5"/>
      <c r="D6" s="5"/>
      <c r="E6" s="5"/>
      <c r="F6" s="5"/>
      <c r="G6" s="5"/>
      <c r="H6" s="5"/>
      <c r="I6" s="5"/>
      <c r="J6" s="5"/>
      <c r="K6" s="5"/>
      <c r="L6" s="5"/>
      <c r="M6" s="5"/>
      <c r="N6" s="5"/>
      <c r="O6" s="5"/>
    </row>
    <row r="7" customFormat="false" ht="15" hidden="false" customHeight="false" outlineLevel="0" collapsed="false">
      <c r="A7" s="5"/>
      <c r="B7" s="50" t="s">
        <v>221</v>
      </c>
      <c r="C7" s="44" t="n">
        <f aca="false">IF(C$5&gt;BLN,"",SUMIFS(J_KAS,J_BARIS,"OP1",J_BLN,C$5,J_THN,TAHUN))</f>
        <v>97109977</v>
      </c>
      <c r="D7" s="44" t="n">
        <f aca="false">IF(D$5&gt;BLN,"",SUMIFS(J_KAS,J_BARIS,"OP1",J_BLN,D$5,J_THN,TAHUN))</f>
        <v>74780788</v>
      </c>
      <c r="E7" s="44" t="n">
        <f aca="false">IF(E$5&gt;BLN,"",SUMIFS(J_KAS,J_BARIS,"OP1",J_BLN,E$5,J_THN,TAHUN))</f>
        <v>101366744</v>
      </c>
      <c r="F7" s="44" t="n">
        <f aca="false">IF(F$5&gt;BLN,"",SUMIFS(J_KAS,J_BARIS,"OP1",J_BLN,F$5,J_THN,TAHUN))</f>
        <v>93542488</v>
      </c>
      <c r="G7" s="44" t="n">
        <f aca="false">IF(G$5&gt;BLN,"",SUMIFS(J_KAS,J_BARIS,"OP1",J_BLN,G$5,J_THN,TAHUN))</f>
        <v>110628974</v>
      </c>
      <c r="H7" s="44" t="n">
        <f aca="false">IF(H$5&gt;BLN,"",SUMIFS(J_KAS,J_BARIS,"OP1",J_BLN,H$5,J_THN,TAHUN))</f>
        <v>103966227</v>
      </c>
      <c r="I7" s="44" t="n">
        <f aca="false">IF(I$5&gt;BLN,"",SUMIFS(J_KAS,J_BARIS,"OP1",J_BLN,I$5,J_THN,TAHUN))</f>
        <v>91223181</v>
      </c>
      <c r="J7" s="44" t="n">
        <f aca="false">IF(J$5&gt;BLN,"",SUMIFS(J_KAS,J_BARIS,"OP1",J_BLN,J$5,J_THN,TAHUN))</f>
        <v>93754284</v>
      </c>
      <c r="K7" s="44" t="n">
        <f aca="false">IF(K$5&gt;BLN,"",SUMIFS(J_KAS,J_BARIS,"OP1",J_BLN,K$5,J_THN,TAHUN))</f>
        <v>92352870</v>
      </c>
      <c r="L7" s="44" t="str">
        <f aca="false">IF(L$5&gt;BLN,"",SUMIFS(J_KAS,J_BARIS,"OP1",J_BLN,L$5,J_THN,TAHUN))</f>
        <v/>
      </c>
      <c r="M7" s="44" t="str">
        <f aca="false">IF(M$5&gt;BLN,"",SUMIFS(J_KAS,J_BARIS,"OP1",J_BLN,M$5,J_THN,TAHUN))</f>
        <v/>
      </c>
      <c r="N7" s="44" t="str">
        <f aca="false">IF(N$5&gt;BLN,"",SUMIFS(J_KAS,J_BARIS,"OP1",J_BLN,N$5,J_THN,TAHUN))</f>
        <v/>
      </c>
      <c r="O7" s="44" t="n">
        <f aca="false">SUMIFS(J_KAS,J_BARIS,"OP1",J_THN,TAHUN,J_BLN,"&lt;="&amp;BLN)</f>
        <v>858725533</v>
      </c>
    </row>
    <row r="8" customFormat="false" ht="15" hidden="false" customHeight="false" outlineLevel="0" collapsed="false">
      <c r="A8" s="5"/>
      <c r="B8" s="50" t="s">
        <v>222</v>
      </c>
      <c r="C8" s="44" t="n">
        <f aca="false">IF(C$5&gt;BLN,"",SUMIFS(J_KAS,J_BARIS,"OP2",J_BLN,C$5,J_THN,TAHUN))</f>
        <v>-4274771</v>
      </c>
      <c r="D8" s="44" t="n">
        <f aca="false">IF(D$5&gt;BLN,"",SUMIFS(J_KAS,J_BARIS,"OP2",J_BLN,D$5,J_THN,TAHUN))</f>
        <v>246033</v>
      </c>
      <c r="E8" s="44" t="n">
        <f aca="false">IF(E$5&gt;BLN,"",SUMIFS(J_KAS,J_BARIS,"OP2",J_BLN,E$5,J_THN,TAHUN))</f>
        <v>-595336</v>
      </c>
      <c r="F8" s="44" t="n">
        <f aca="false">IF(F$5&gt;BLN,"",SUMIFS(J_KAS,J_BARIS,"OP2",J_BLN,F$5,J_THN,TAHUN))</f>
        <v>-1399315</v>
      </c>
      <c r="G8" s="44" t="n">
        <f aca="false">IF(G$5&gt;BLN,"",SUMIFS(J_KAS,J_BARIS,"OP2",J_BLN,G$5,J_THN,TAHUN))</f>
        <v>-1021829</v>
      </c>
      <c r="H8" s="44" t="n">
        <f aca="false">IF(H$5&gt;BLN,"",SUMIFS(J_KAS,J_BARIS,"OP2",J_BLN,H$5,J_THN,TAHUN))</f>
        <v>647768</v>
      </c>
      <c r="I8" s="44" t="n">
        <f aca="false">IF(I$5&gt;BLN,"",SUMIFS(J_KAS,J_BARIS,"OP2",J_BLN,I$5,J_THN,TAHUN))</f>
        <v>-595017</v>
      </c>
      <c r="J8" s="44" t="n">
        <f aca="false">IF(J$5&gt;BLN,"",SUMIFS(J_KAS,J_BARIS,"OP2",J_BLN,J$5,J_THN,TAHUN))</f>
        <v>-1288</v>
      </c>
      <c r="K8" s="44" t="n">
        <f aca="false">IF(K$5&gt;BLN,"",SUMIFS(J_KAS,J_BARIS,"OP2",J_BLN,K$5,J_THN,TAHUN))</f>
        <v>2151141</v>
      </c>
      <c r="L8" s="44" t="str">
        <f aca="false">IF(L$5&gt;BLN,"",SUMIFS(J_KAS,J_BARIS,"OP2",J_BLN,L$5,J_THN,TAHUN))</f>
        <v/>
      </c>
      <c r="M8" s="44" t="str">
        <f aca="false">IF(M$5&gt;BLN,"",SUMIFS(J_KAS,J_BARIS,"OP2",J_BLN,M$5,J_THN,TAHUN))</f>
        <v/>
      </c>
      <c r="N8" s="44" t="str">
        <f aca="false">IF(N$5&gt;BLN,"",SUMIFS(J_KAS,J_BARIS,"OP2",J_BLN,N$5,J_THN,TAHUN))</f>
        <v/>
      </c>
      <c r="O8" s="44" t="n">
        <f aca="false">SUMIFS(J_KAS,J_BARIS,"OP2",J_THN,TAHUN,J_BLN,"&lt;="&amp;BLN)</f>
        <v>-4842614</v>
      </c>
    </row>
    <row r="9" customFormat="false" ht="15" hidden="false" customHeight="false" outlineLevel="0" collapsed="false">
      <c r="A9" s="5"/>
      <c r="B9" s="50" t="s">
        <v>223</v>
      </c>
      <c r="C9" s="44" t="n">
        <f aca="false">IF(C$5&gt;BLN,"",SUMIFS(J_KAS,J_BARIS,"OP3",J_BLN,C$5,J_THN,TAHUN))</f>
        <v>-28168300</v>
      </c>
      <c r="D9" s="44" t="n">
        <f aca="false">IF(D$5&gt;BLN,"",SUMIFS(J_KAS,J_BARIS,"OP3",J_BLN,D$5,J_THN,TAHUN))</f>
        <v>-31233710</v>
      </c>
      <c r="E9" s="44" t="n">
        <f aca="false">IF(E$5&gt;BLN,"",SUMIFS(J_KAS,J_BARIS,"OP3",J_BLN,E$5,J_THN,TAHUN))</f>
        <v>-33037187</v>
      </c>
      <c r="F9" s="44" t="n">
        <f aca="false">IF(F$5&gt;BLN,"",SUMIFS(J_KAS,J_BARIS,"OP3",J_BLN,F$5,J_THN,TAHUN))</f>
        <v>-56168794</v>
      </c>
      <c r="G9" s="44" t="n">
        <f aca="false">IF(G$5&gt;BLN,"",SUMIFS(J_KAS,J_BARIS,"OP3",J_BLN,G$5,J_THN,TAHUN))</f>
        <v>-34725173</v>
      </c>
      <c r="H9" s="44" t="n">
        <f aca="false">IF(H$5&gt;BLN,"",SUMIFS(J_KAS,J_BARIS,"OP3",J_BLN,H$5,J_THN,TAHUN))</f>
        <v>-45136507</v>
      </c>
      <c r="I9" s="44" t="n">
        <f aca="false">IF(I$5&gt;BLN,"",SUMIFS(J_KAS,J_BARIS,"OP3",J_BLN,I$5,J_THN,TAHUN))</f>
        <v>-33918044</v>
      </c>
      <c r="J9" s="44" t="n">
        <f aca="false">IF(J$5&gt;BLN,"",SUMIFS(J_KAS,J_BARIS,"OP3",J_BLN,J$5,J_THN,TAHUN))</f>
        <v>-23093020</v>
      </c>
      <c r="K9" s="44" t="n">
        <f aca="false">IF(K$5&gt;BLN,"",SUMIFS(J_KAS,J_BARIS,"OP3",J_BLN,K$5,J_THN,TAHUN))</f>
        <v>-53098799</v>
      </c>
      <c r="L9" s="44" t="str">
        <f aca="false">IF(L$5&gt;BLN,"",SUMIFS(J_KAS,J_BARIS,"OP3",J_BLN,L$5,J_THN,TAHUN))</f>
        <v/>
      </c>
      <c r="M9" s="44" t="str">
        <f aca="false">IF(M$5&gt;BLN,"",SUMIFS(J_KAS,J_BARIS,"OP3",J_BLN,M$5,J_THN,TAHUN))</f>
        <v/>
      </c>
      <c r="N9" s="44" t="str">
        <f aca="false">IF(N$5&gt;BLN,"",SUMIFS(J_KAS,J_BARIS,"OP3",J_BLN,N$5,J_THN,TAHUN))</f>
        <v/>
      </c>
      <c r="O9" s="44" t="n">
        <f aca="false">SUMIFS(J_KAS,J_BARIS,"OP3",J_THN,TAHUN,J_BLN,"&lt;="&amp;BLN)</f>
        <v>-338579534</v>
      </c>
    </row>
    <row r="10" customFormat="false" ht="15" hidden="false" customHeight="false" outlineLevel="0" collapsed="false">
      <c r="A10" s="5"/>
      <c r="B10" s="50" t="s">
        <v>224</v>
      </c>
      <c r="C10" s="44" t="n">
        <f aca="false">IF(C$5&gt;BLN,"",SUMIFS(J_KAS,J_BARIS,"OP4",J_BLN,C$5,J_THN,TAHUN))</f>
        <v>-24630000</v>
      </c>
      <c r="D10" s="44" t="n">
        <f aca="false">IF(D$5&gt;BLN,"",SUMIFS(J_KAS,J_BARIS,"OP4",J_BLN,D$5,J_THN,TAHUN))</f>
        <v>-25694500</v>
      </c>
      <c r="E10" s="44" t="n">
        <f aca="false">IF(E$5&gt;BLN,"",SUMIFS(J_KAS,J_BARIS,"OP4",J_BLN,E$5,J_THN,TAHUN))</f>
        <v>-41902000</v>
      </c>
      <c r="F10" s="44" t="n">
        <f aca="false">IF(F$5&gt;BLN,"",SUMIFS(J_KAS,J_BARIS,"OP4",J_BLN,F$5,J_THN,TAHUN))</f>
        <v>-26266000</v>
      </c>
      <c r="G10" s="44" t="n">
        <f aca="false">IF(G$5&gt;BLN,"",SUMIFS(J_KAS,J_BARIS,"OP4",J_BLN,G$5,J_THN,TAHUN))</f>
        <v>-28405333</v>
      </c>
      <c r="H10" s="44" t="n">
        <f aca="false">IF(H$5&gt;BLN,"",SUMIFS(J_KAS,J_BARIS,"OP4",J_BLN,H$5,J_THN,TAHUN))</f>
        <v>-29293333</v>
      </c>
      <c r="I10" s="44" t="n">
        <f aca="false">IF(I$5&gt;BLN,"",SUMIFS(J_KAS,J_BARIS,"OP4",J_BLN,I$5,J_THN,TAHUN))</f>
        <v>-22761333</v>
      </c>
      <c r="J10" s="44" t="n">
        <f aca="false">IF(J$5&gt;BLN,"",SUMIFS(J_KAS,J_BARIS,"OP4",J_BLN,J$5,J_THN,TAHUN))</f>
        <v>-24169333</v>
      </c>
      <c r="K10" s="44" t="n">
        <f aca="false">IF(K$5&gt;BLN,"",SUMIFS(J_KAS,J_BARIS,"OP4",J_BLN,K$5,J_THN,TAHUN))</f>
        <v>-24792333</v>
      </c>
      <c r="L10" s="44" t="str">
        <f aca="false">IF(L$5&gt;BLN,"",SUMIFS(J_KAS,J_BARIS,"OP4",J_BLN,L$5,J_THN,TAHUN))</f>
        <v/>
      </c>
      <c r="M10" s="44" t="str">
        <f aca="false">IF(M$5&gt;BLN,"",SUMIFS(J_KAS,J_BARIS,"OP4",J_BLN,M$5,J_THN,TAHUN))</f>
        <v/>
      </c>
      <c r="N10" s="44" t="str">
        <f aca="false">IF(N$5&gt;BLN,"",SUMIFS(J_KAS,J_BARIS,"OP4",J_BLN,N$5,J_THN,TAHUN))</f>
        <v/>
      </c>
      <c r="O10" s="44" t="n">
        <f aca="false">SUMIFS(J_KAS,J_BARIS,"OP4",J_THN,TAHUN,J_BLN,"&lt;="&amp;BLN)</f>
        <v>-247914165</v>
      </c>
    </row>
    <row r="11" customFormat="false" ht="15" hidden="false" customHeight="false" outlineLevel="0" collapsed="false">
      <c r="A11" s="5"/>
      <c r="B11" s="50" t="s">
        <v>225</v>
      </c>
      <c r="C11" s="44" t="n">
        <f aca="false">IF(C$5&gt;BLN,"",SUMIFS(J_KAS,J_BARIS,"OP5",J_BLN,C$5,J_THN,TAHUN))</f>
        <v>-10000000</v>
      </c>
      <c r="D11" s="44" t="n">
        <f aca="false">IF(D$5&gt;BLN,"",SUMIFS(J_KAS,J_BARIS,"OP5",J_BLN,D$5,J_THN,TAHUN))</f>
        <v>-10000000</v>
      </c>
      <c r="E11" s="44" t="n">
        <f aca="false">IF(E$5&gt;BLN,"",SUMIFS(J_KAS,J_BARIS,"OP5",J_BLN,E$5,J_THN,TAHUN))</f>
        <v>-10000000</v>
      </c>
      <c r="F11" s="44" t="n">
        <f aca="false">IF(F$5&gt;BLN,"",SUMIFS(J_KAS,J_BARIS,"OP5",J_BLN,F$5,J_THN,TAHUN))</f>
        <v>-10000000</v>
      </c>
      <c r="G11" s="44" t="n">
        <f aca="false">IF(G$5&gt;BLN,"",SUMIFS(J_KAS,J_BARIS,"OP5",J_BLN,G$5,J_THN,TAHUN))</f>
        <v>-10000000</v>
      </c>
      <c r="H11" s="44" t="n">
        <f aca="false">IF(H$5&gt;BLN,"",SUMIFS(J_KAS,J_BARIS,"OP5",J_BLN,H$5,J_THN,TAHUN))</f>
        <v>0</v>
      </c>
      <c r="I11" s="44" t="n">
        <f aca="false">IF(I$5&gt;BLN,"",SUMIFS(J_KAS,J_BARIS,"OP5",J_BLN,I$5,J_THN,TAHUN))</f>
        <v>-10000000</v>
      </c>
      <c r="J11" s="44" t="n">
        <f aca="false">IF(J$5&gt;BLN,"",SUMIFS(J_KAS,J_BARIS,"OP5",J_BLN,J$5,J_THN,TAHUN))</f>
        <v>-10000000</v>
      </c>
      <c r="K11" s="44" t="n">
        <f aca="false">IF(K$5&gt;BLN,"",SUMIFS(J_KAS,J_BARIS,"OP5",J_BLN,K$5,J_THN,TAHUN))</f>
        <v>-10000000</v>
      </c>
      <c r="L11" s="44" t="str">
        <f aca="false">IF(L$5&gt;BLN,"",SUMIFS(J_KAS,J_BARIS,"OP5",J_BLN,L$5,J_THN,TAHUN))</f>
        <v/>
      </c>
      <c r="M11" s="44" t="str">
        <f aca="false">IF(M$5&gt;BLN,"",SUMIFS(J_KAS,J_BARIS,"OP5",J_BLN,M$5,J_THN,TAHUN))</f>
        <v/>
      </c>
      <c r="N11" s="44" t="str">
        <f aca="false">IF(N$5&gt;BLN,"",SUMIFS(J_KAS,J_BARIS,"OP5",J_BLN,N$5,J_THN,TAHUN))</f>
        <v/>
      </c>
      <c r="O11" s="44" t="n">
        <f aca="false">SUMIFS(J_KAS,J_BARIS,"OP5",J_THN,TAHUN,J_BLN,"&lt;="&amp;BLN)</f>
        <v>-80000000</v>
      </c>
    </row>
    <row r="12" customFormat="false" ht="15" hidden="false" customHeight="false" outlineLevel="0" collapsed="false">
      <c r="A12" s="5"/>
      <c r="B12" s="50" t="s">
        <v>226</v>
      </c>
      <c r="C12" s="44" t="n">
        <f aca="false">IF(C$5&gt;BLN,"",SUMIFS(J_KAS,J_BARIS,"OP6",J_BLN,C$5,J_THN,TAHUN))</f>
        <v>-71813952</v>
      </c>
      <c r="D12" s="44" t="n">
        <f aca="false">IF(D$5&gt;BLN,"",SUMIFS(J_KAS,J_BARIS,"OP6",J_BLN,D$5,J_THN,TAHUN))</f>
        <v>-8624317</v>
      </c>
      <c r="E12" s="44" t="n">
        <f aca="false">IF(E$5&gt;BLN,"",SUMIFS(J_KAS,J_BARIS,"OP6",J_BLN,E$5,J_THN,TAHUN))</f>
        <v>-9300328</v>
      </c>
      <c r="F12" s="44" t="n">
        <f aca="false">IF(F$5&gt;BLN,"",SUMIFS(J_KAS,J_BARIS,"OP6",J_BLN,F$5,J_THN,TAHUN))</f>
        <v>-11156861</v>
      </c>
      <c r="G12" s="44" t="n">
        <f aca="false">IF(G$5&gt;BLN,"",SUMIFS(J_KAS,J_BARIS,"OP6",J_BLN,G$5,J_THN,TAHUN))</f>
        <v>-12024073</v>
      </c>
      <c r="H12" s="44" t="n">
        <f aca="false">IF(H$5&gt;BLN,"",SUMIFS(J_KAS,J_BARIS,"OP6",J_BLN,H$5,J_THN,TAHUN))</f>
        <v>-14500665</v>
      </c>
      <c r="I12" s="44" t="n">
        <f aca="false">IF(I$5&gt;BLN,"",SUMIFS(J_KAS,J_BARIS,"OP6",J_BLN,I$5,J_THN,TAHUN))</f>
        <v>-19061206</v>
      </c>
      <c r="J12" s="44" t="n">
        <f aca="false">IF(J$5&gt;BLN,"",SUMIFS(J_KAS,J_BARIS,"OP6",J_BLN,J$5,J_THN,TAHUN))</f>
        <v>-11310336</v>
      </c>
      <c r="K12" s="44" t="n">
        <f aca="false">IF(K$5&gt;BLN,"",SUMIFS(J_KAS,J_BARIS,"OP6",J_BLN,K$5,J_THN,TAHUN))</f>
        <v>-16023949</v>
      </c>
      <c r="L12" s="44" t="str">
        <f aca="false">IF(L$5&gt;BLN,"",SUMIFS(J_KAS,J_BARIS,"OP6",J_BLN,L$5,J_THN,TAHUN))</f>
        <v/>
      </c>
      <c r="M12" s="44" t="str">
        <f aca="false">IF(M$5&gt;BLN,"",SUMIFS(J_KAS,J_BARIS,"OP6",J_BLN,M$5,J_THN,TAHUN))</f>
        <v/>
      </c>
      <c r="N12" s="44" t="str">
        <f aca="false">IF(N$5&gt;BLN,"",SUMIFS(J_KAS,J_BARIS,"OP6",J_BLN,N$5,J_THN,TAHUN))</f>
        <v/>
      </c>
      <c r="O12" s="44" t="n">
        <f aca="false">SUMIFS(J_KAS,J_BARIS,"OP6",J_THN,TAHUN,J_BLN,"&lt;="&amp;BLN)</f>
        <v>-173815687</v>
      </c>
    </row>
    <row r="13" customFormat="false" ht="15" hidden="false" customHeight="false" outlineLevel="0" collapsed="false">
      <c r="A13" s="5"/>
      <c r="B13" s="50" t="s">
        <v>227</v>
      </c>
      <c r="C13" s="44" t="n">
        <f aca="false">IF(C$5&gt;BLN,"",SUMIFS(J_KAS,J_BARIS,"OP7",J_BLN,C$5,J_THN,TAHUN))</f>
        <v>-2056200</v>
      </c>
      <c r="D13" s="44" t="n">
        <f aca="false">IF(D$5&gt;BLN,"",SUMIFS(J_KAS,J_BARIS,"OP7",J_BLN,D$5,J_THN,TAHUN))</f>
        <v>-1664000</v>
      </c>
      <c r="E13" s="44" t="n">
        <f aca="false">IF(E$5&gt;BLN,"",SUMIFS(J_KAS,J_BARIS,"OP7",J_BLN,E$5,J_THN,TAHUN))</f>
        <v>-2310000</v>
      </c>
      <c r="F13" s="44" t="n">
        <f aca="false">IF(F$5&gt;BLN,"",SUMIFS(J_KAS,J_BARIS,"OP7",J_BLN,F$5,J_THN,TAHUN))</f>
        <v>-2058000</v>
      </c>
      <c r="G13" s="44" t="n">
        <f aca="false">IF(G$5&gt;BLN,"",SUMIFS(J_KAS,J_BARIS,"OP7",J_BLN,G$5,J_THN,TAHUN))</f>
        <v>-2257000</v>
      </c>
      <c r="H13" s="44" t="n">
        <f aca="false">IF(H$5&gt;BLN,"",SUMIFS(J_KAS,J_BARIS,"OP7",J_BLN,H$5,J_THN,TAHUN))</f>
        <v>-2232000</v>
      </c>
      <c r="I13" s="44" t="n">
        <f aca="false">IF(I$5&gt;BLN,"",SUMIFS(J_KAS,J_BARIS,"OP7",J_BLN,I$5,J_THN,TAHUN))</f>
        <v>-2094000</v>
      </c>
      <c r="J13" s="44" t="n">
        <f aca="false">IF(J$5&gt;BLN,"",SUMIFS(J_KAS,J_BARIS,"OP7",J_BLN,J$5,J_THN,TAHUN))</f>
        <v>-1995100</v>
      </c>
      <c r="K13" s="44" t="n">
        <f aca="false">IF(K$5&gt;BLN,"",SUMIFS(J_KAS,J_BARIS,"OP7",J_BLN,K$5,J_THN,TAHUN))</f>
        <v>-2096000</v>
      </c>
      <c r="L13" s="44" t="str">
        <f aca="false">IF(L$5&gt;BLN,"",SUMIFS(J_KAS,J_BARIS,"OP7",J_BLN,L$5,J_THN,TAHUN))</f>
        <v/>
      </c>
      <c r="M13" s="44" t="str">
        <f aca="false">IF(M$5&gt;BLN,"",SUMIFS(J_KAS,J_BARIS,"OP7",J_BLN,M$5,J_THN,TAHUN))</f>
        <v/>
      </c>
      <c r="N13" s="44" t="str">
        <f aca="false">IF(N$5&gt;BLN,"",SUMIFS(J_KAS,J_BARIS,"OP7",J_BLN,N$5,J_THN,TAHUN))</f>
        <v/>
      </c>
      <c r="O13" s="44" t="n">
        <f aca="false">SUMIFS(J_KAS,J_BARIS,"OP7",J_THN,TAHUN,J_BLN,"&lt;="&amp;BLN)</f>
        <v>-18762300</v>
      </c>
    </row>
    <row r="14" customFormat="false" ht="15" hidden="false" customHeight="false" outlineLevel="0" collapsed="false">
      <c r="A14" s="5"/>
      <c r="B14" s="67" t="s">
        <v>228</v>
      </c>
      <c r="C14" s="68" t="n">
        <f aca="false">IF(C$5&gt;BLN,"",N(C7)+N(C8)+N(C9)+N(C10)+N(C11)+N(C12)+N(C13))</f>
        <v>-43833246</v>
      </c>
      <c r="D14" s="68" t="n">
        <f aca="false">IF(D$5&gt;BLN,"",N(D7)+N(D8)+N(D9)+N(D10)+N(D11)+N(D12)+N(D13))</f>
        <v>-2189706</v>
      </c>
      <c r="E14" s="68" t="n">
        <f aca="false">IF(E$5&gt;BLN,"",N(E7)+N(E8)+N(E9)+N(E10)+N(E11)+N(E12)+N(E13))</f>
        <v>4221893</v>
      </c>
      <c r="F14" s="68" t="n">
        <f aca="false">IF(F$5&gt;BLN,"",N(F7)+N(F8)+N(F9)+N(F10)+N(F11)+N(F12)+N(F13))</f>
        <v>-13506482</v>
      </c>
      <c r="G14" s="68" t="n">
        <f aca="false">IF(G$5&gt;BLN,"",N(G7)+N(G8)+N(G9)+N(G10)+N(G11)+N(G12)+N(G13))</f>
        <v>22195566</v>
      </c>
      <c r="H14" s="68" t="n">
        <f aca="false">IF(H$5&gt;BLN,"",N(H7)+N(H8)+N(H9)+N(H10)+N(H11)+N(H12)+N(H13))</f>
        <v>13451490</v>
      </c>
      <c r="I14" s="68" t="n">
        <f aca="false">IF(I$5&gt;BLN,"",N(I7)+N(I8)+N(I9)+N(I10)+N(I11)+N(I12)+N(I13))</f>
        <v>2793581</v>
      </c>
      <c r="J14" s="68" t="n">
        <f aca="false">IF(J$5&gt;BLN,"",N(J7)+N(J8)+N(J9)+N(J10)+N(J11)+N(J12)+N(J13))</f>
        <v>23185207</v>
      </c>
      <c r="K14" s="68" t="n">
        <f aca="false">IF(K$5&gt;BLN,"",N(K7)+N(K8)+N(K9)+N(K10)+N(K11)+N(K12)+N(K13))</f>
        <v>-11507070</v>
      </c>
      <c r="L14" s="68" t="str">
        <f aca="false">IF(L$5&gt;BLN,"",N(L7)+N(L8)+N(L9)+N(L10)+N(L11)+N(L12)+N(L13))</f>
        <v/>
      </c>
      <c r="M14" s="68" t="str">
        <f aca="false">IF(M$5&gt;BLN,"",N(M7)+N(M8)+N(M9)+N(M10)+N(M11)+N(M12)+N(M13))</f>
        <v/>
      </c>
      <c r="N14" s="68" t="str">
        <f aca="false">IF(N$5&gt;BLN,"",N(N7)+N(N8)+N(N9)+N(N10)+N(N11)+N(N12)+N(N13))</f>
        <v/>
      </c>
      <c r="O14" s="68" t="n">
        <f aca="false">N(O7)+N(O8)+N(O9)+N(O10)+N(O11)+N(O12)+N(O13)</f>
        <v>-5188767</v>
      </c>
    </row>
    <row r="15" customFormat="false" ht="15" hidden="false" customHeight="false" outlineLevel="0" collapsed="false">
      <c r="A15" s="5"/>
      <c r="B15" s="5"/>
      <c r="C15" s="5"/>
      <c r="D15" s="5"/>
      <c r="E15" s="5"/>
      <c r="F15" s="5"/>
      <c r="G15" s="5"/>
      <c r="H15" s="5"/>
      <c r="I15" s="5"/>
      <c r="J15" s="5"/>
      <c r="K15" s="5"/>
      <c r="L15" s="5"/>
      <c r="M15" s="5"/>
      <c r="N15" s="5"/>
      <c r="O15" s="5"/>
    </row>
    <row r="16" customFormat="false" ht="15" hidden="false" customHeight="false" outlineLevel="0" collapsed="false">
      <c r="A16" s="5"/>
      <c r="B16" s="49" t="s">
        <v>229</v>
      </c>
      <c r="C16" s="5"/>
      <c r="D16" s="5"/>
      <c r="E16" s="5"/>
      <c r="F16" s="5"/>
      <c r="G16" s="5"/>
      <c r="H16" s="5"/>
      <c r="I16" s="5"/>
      <c r="J16" s="5"/>
      <c r="K16" s="5"/>
      <c r="L16" s="5"/>
      <c r="M16" s="5"/>
      <c r="N16" s="5"/>
      <c r="O16" s="5"/>
    </row>
    <row r="17" customFormat="false" ht="15" hidden="false" customHeight="false" outlineLevel="0" collapsed="false">
      <c r="A17" s="5"/>
      <c r="B17" s="50" t="s">
        <v>230</v>
      </c>
      <c r="C17" s="44" t="n">
        <f aca="false">IF(C$5&gt;BLN,"",SUMIFS(J_KAS,J_BARIS,"IN1",J_BLN,C$5,J_THN,TAHUN))</f>
        <v>-13000000</v>
      </c>
      <c r="D17" s="44" t="n">
        <f aca="false">IF(D$5&gt;BLN,"",SUMIFS(J_KAS,J_BARIS,"IN1",J_BLN,D$5,J_THN,TAHUN))</f>
        <v>0</v>
      </c>
      <c r="E17" s="44" t="n">
        <f aca="false">IF(E$5&gt;BLN,"",SUMIFS(J_KAS,J_BARIS,"IN1",J_BLN,E$5,J_THN,TAHUN))</f>
        <v>-1742240</v>
      </c>
      <c r="F17" s="44" t="n">
        <f aca="false">IF(F$5&gt;BLN,"",SUMIFS(J_KAS,J_BARIS,"IN1",J_BLN,F$5,J_THN,TAHUN))</f>
        <v>-359448</v>
      </c>
      <c r="G17" s="44" t="n">
        <f aca="false">IF(G$5&gt;BLN,"",SUMIFS(J_KAS,J_BARIS,"IN1",J_BLN,G$5,J_THN,TAHUN))</f>
        <v>-1792100</v>
      </c>
      <c r="H17" s="44" t="n">
        <f aca="false">IF(H$5&gt;BLN,"",SUMIFS(J_KAS,J_BARIS,"IN1",J_BLN,H$5,J_THN,TAHUN))</f>
        <v>-5650980</v>
      </c>
      <c r="I17" s="44" t="n">
        <f aca="false">IF(I$5&gt;BLN,"",SUMIFS(J_KAS,J_BARIS,"IN1",J_BLN,I$5,J_THN,TAHUN))</f>
        <v>-1274220</v>
      </c>
      <c r="J17" s="44" t="n">
        <f aca="false">IF(J$5&gt;BLN,"",SUMIFS(J_KAS,J_BARIS,"IN1",J_BLN,J$5,J_THN,TAHUN))</f>
        <v>-3212587</v>
      </c>
      <c r="K17" s="44" t="n">
        <f aca="false">IF(K$5&gt;BLN,"",SUMIFS(J_KAS,J_BARIS,"IN1",J_BLN,K$5,J_THN,TAHUN))</f>
        <v>-2199835</v>
      </c>
      <c r="L17" s="44" t="str">
        <f aca="false">IF(L$5&gt;BLN,"",SUMIFS(J_KAS,J_BARIS,"IN1",J_BLN,L$5,J_THN,TAHUN))</f>
        <v/>
      </c>
      <c r="M17" s="44" t="str">
        <f aca="false">IF(M$5&gt;BLN,"",SUMIFS(J_KAS,J_BARIS,"IN1",J_BLN,M$5,J_THN,TAHUN))</f>
        <v/>
      </c>
      <c r="N17" s="44" t="str">
        <f aca="false">IF(N$5&gt;BLN,"",SUMIFS(J_KAS,J_BARIS,"IN1",J_BLN,N$5,J_THN,TAHUN))</f>
        <v/>
      </c>
      <c r="O17" s="44" t="n">
        <f aca="false">SUMIFS(J_KAS,J_BARIS,"IN1",J_THN,TAHUN,J_BLN,"&lt;="&amp;BLN)</f>
        <v>-29231410</v>
      </c>
    </row>
    <row r="18" customFormat="false" ht="15" hidden="false" customHeight="false" outlineLevel="0" collapsed="false">
      <c r="A18" s="5"/>
      <c r="B18" s="67" t="s">
        <v>231</v>
      </c>
      <c r="C18" s="68" t="n">
        <f aca="false">IF(C$5&gt;BLN,"",N(C17))</f>
        <v>-13000000</v>
      </c>
      <c r="D18" s="68" t="n">
        <f aca="false">IF(D$5&gt;BLN,"",N(D17))</f>
        <v>0</v>
      </c>
      <c r="E18" s="68" t="n">
        <f aca="false">IF(E$5&gt;BLN,"",N(E17))</f>
        <v>-1742240</v>
      </c>
      <c r="F18" s="68" t="n">
        <f aca="false">IF(F$5&gt;BLN,"",N(F17))</f>
        <v>-359448</v>
      </c>
      <c r="G18" s="68" t="n">
        <f aca="false">IF(G$5&gt;BLN,"",N(G17))</f>
        <v>-1792100</v>
      </c>
      <c r="H18" s="68" t="n">
        <f aca="false">IF(H$5&gt;BLN,"",N(H17))</f>
        <v>-5650980</v>
      </c>
      <c r="I18" s="68" t="n">
        <f aca="false">IF(I$5&gt;BLN,"",N(I17))</f>
        <v>-1274220</v>
      </c>
      <c r="J18" s="68" t="n">
        <f aca="false">IF(J$5&gt;BLN,"",N(J17))</f>
        <v>-3212587</v>
      </c>
      <c r="K18" s="68" t="n">
        <f aca="false">IF(K$5&gt;BLN,"",N(K17))</f>
        <v>-2199835</v>
      </c>
      <c r="L18" s="68" t="str">
        <f aca="false">IF(L$5&gt;BLN,"",N(L17))</f>
        <v/>
      </c>
      <c r="M18" s="68" t="str">
        <f aca="false">IF(M$5&gt;BLN,"",N(M17))</f>
        <v/>
      </c>
      <c r="N18" s="68" t="str">
        <f aca="false">IF(N$5&gt;BLN,"",N(N17))</f>
        <v/>
      </c>
      <c r="O18" s="68" t="n">
        <f aca="false">N(O17)</f>
        <v>-29231410</v>
      </c>
    </row>
    <row r="19" customFormat="false" ht="15" hidden="false" customHeight="false" outlineLevel="0" collapsed="false">
      <c r="A19" s="5"/>
      <c r="B19" s="5"/>
      <c r="C19" s="5"/>
      <c r="D19" s="5"/>
      <c r="E19" s="5"/>
      <c r="F19" s="5"/>
      <c r="G19" s="5"/>
      <c r="H19" s="5"/>
      <c r="I19" s="5"/>
      <c r="J19" s="5"/>
      <c r="K19" s="5"/>
      <c r="L19" s="5"/>
      <c r="M19" s="5"/>
      <c r="N19" s="5"/>
      <c r="O19" s="5"/>
    </row>
    <row r="20" customFormat="false" ht="15" hidden="false" customHeight="false" outlineLevel="0" collapsed="false">
      <c r="A20" s="5"/>
      <c r="B20" s="49" t="s">
        <v>232</v>
      </c>
      <c r="C20" s="5"/>
      <c r="D20" s="5"/>
      <c r="E20" s="5"/>
      <c r="F20" s="5"/>
      <c r="G20" s="5"/>
      <c r="H20" s="5"/>
      <c r="I20" s="5"/>
      <c r="J20" s="5"/>
      <c r="K20" s="5"/>
      <c r="L20" s="5"/>
      <c r="M20" s="5"/>
      <c r="N20" s="5"/>
      <c r="O20" s="5"/>
    </row>
    <row r="21" customFormat="false" ht="15" hidden="false" customHeight="false" outlineLevel="0" collapsed="false">
      <c r="A21" s="5"/>
      <c r="B21" s="50" t="s">
        <v>233</v>
      </c>
      <c r="C21" s="44" t="n">
        <f aca="false">IF(C$5&gt;BLN,"",SUMIFS(J_KAS,J_BARIS,"FN1",J_BLN,C$5,J_THN,TAHUN))</f>
        <v>-2500000</v>
      </c>
      <c r="D21" s="44" t="n">
        <f aca="false">IF(D$5&gt;BLN,"",SUMIFS(J_KAS,J_BARIS,"FN1",J_BLN,D$5,J_THN,TAHUN))</f>
        <v>-2500000</v>
      </c>
      <c r="E21" s="44" t="n">
        <f aca="false">IF(E$5&gt;BLN,"",SUMIFS(J_KAS,J_BARIS,"FN1",J_BLN,E$5,J_THN,TAHUN))</f>
        <v>-2500000</v>
      </c>
      <c r="F21" s="44" t="n">
        <f aca="false">IF(F$5&gt;BLN,"",SUMIFS(J_KAS,J_BARIS,"FN1",J_BLN,F$5,J_THN,TAHUN))</f>
        <v>-2500000</v>
      </c>
      <c r="G21" s="44" t="n">
        <f aca="false">IF(G$5&gt;BLN,"",SUMIFS(J_KAS,J_BARIS,"FN1",J_BLN,G$5,J_THN,TAHUN))</f>
        <v>-2500000</v>
      </c>
      <c r="H21" s="44" t="n">
        <f aca="false">IF(H$5&gt;BLN,"",SUMIFS(J_KAS,J_BARIS,"FN1",J_BLN,H$5,J_THN,TAHUN))</f>
        <v>-2500000</v>
      </c>
      <c r="I21" s="44" t="n">
        <f aca="false">IF(I$5&gt;BLN,"",SUMIFS(J_KAS,J_BARIS,"FN1",J_BLN,I$5,J_THN,TAHUN))</f>
        <v>-4000000</v>
      </c>
      <c r="J21" s="44" t="n">
        <f aca="false">IF(J$5&gt;BLN,"",SUMIFS(J_KAS,J_BARIS,"FN1",J_BLN,J$5,J_THN,TAHUN))</f>
        <v>0</v>
      </c>
      <c r="K21" s="44" t="n">
        <f aca="false">IF(K$5&gt;BLN,"",SUMIFS(J_KAS,J_BARIS,"FN1",J_BLN,K$5,J_THN,TAHUN))</f>
        <v>0</v>
      </c>
      <c r="L21" s="44" t="str">
        <f aca="false">IF(L$5&gt;BLN,"",SUMIFS(J_KAS,J_BARIS,"FN1",J_BLN,L$5,J_THN,TAHUN))</f>
        <v/>
      </c>
      <c r="M21" s="44" t="str">
        <f aca="false">IF(M$5&gt;BLN,"",SUMIFS(J_KAS,J_BARIS,"FN1",J_BLN,M$5,J_THN,TAHUN))</f>
        <v/>
      </c>
      <c r="N21" s="44" t="str">
        <f aca="false">IF(N$5&gt;BLN,"",SUMIFS(J_KAS,J_BARIS,"FN1",J_BLN,N$5,J_THN,TAHUN))</f>
        <v/>
      </c>
      <c r="O21" s="44" t="n">
        <f aca="false">SUMIFS(J_KAS,J_BARIS,"FN1",J_THN,TAHUN,J_BLN,"&lt;="&amp;BLN)</f>
        <v>-19000000</v>
      </c>
    </row>
    <row r="22" customFormat="false" ht="15" hidden="false" customHeight="false" outlineLevel="0" collapsed="false">
      <c r="A22" s="5"/>
      <c r="B22" s="50" t="s">
        <v>234</v>
      </c>
      <c r="C22" s="44" t="n">
        <f aca="false">IF(C$5&gt;BLN,"",SUMIFS(J_KAS,J_BARIS,"FN2",J_BLN,C$5,J_THN,TAHUN))</f>
        <v>0</v>
      </c>
      <c r="D22" s="44" t="n">
        <f aca="false">IF(D$5&gt;BLN,"",SUMIFS(J_KAS,J_BARIS,"FN2",J_BLN,D$5,J_THN,TAHUN))</f>
        <v>0</v>
      </c>
      <c r="E22" s="44" t="n">
        <f aca="false">IF(E$5&gt;BLN,"",SUMIFS(J_KAS,J_BARIS,"FN2",J_BLN,E$5,J_THN,TAHUN))</f>
        <v>0</v>
      </c>
      <c r="F22" s="44" t="n">
        <f aca="false">IF(F$5&gt;BLN,"",SUMIFS(J_KAS,J_BARIS,"FN2",J_BLN,F$5,J_THN,TAHUN))</f>
        <v>0</v>
      </c>
      <c r="G22" s="44" t="n">
        <f aca="false">IF(G$5&gt;BLN,"",SUMIFS(J_KAS,J_BARIS,"FN2",J_BLN,G$5,J_THN,TAHUN))</f>
        <v>0</v>
      </c>
      <c r="H22" s="44" t="n">
        <f aca="false">IF(H$5&gt;BLN,"",SUMIFS(J_KAS,J_BARIS,"FN2",J_BLN,H$5,J_THN,TAHUN))</f>
        <v>0</v>
      </c>
      <c r="I22" s="44" t="n">
        <f aca="false">IF(I$5&gt;BLN,"",SUMIFS(J_KAS,J_BARIS,"FN2",J_BLN,I$5,J_THN,TAHUN))</f>
        <v>0</v>
      </c>
      <c r="J22" s="44" t="n">
        <f aca="false">IF(J$5&gt;BLN,"",SUMIFS(J_KAS,J_BARIS,"FN2",J_BLN,J$5,J_THN,TAHUN))</f>
        <v>0</v>
      </c>
      <c r="K22" s="44" t="n">
        <f aca="false">IF(K$5&gt;BLN,"",SUMIFS(J_KAS,J_BARIS,"FN2",J_BLN,K$5,J_THN,TAHUN))</f>
        <v>0</v>
      </c>
      <c r="L22" s="44" t="str">
        <f aca="false">IF(L$5&gt;BLN,"",SUMIFS(J_KAS,J_BARIS,"FN2",J_BLN,L$5,J_THN,TAHUN))</f>
        <v/>
      </c>
      <c r="M22" s="44" t="str">
        <f aca="false">IF(M$5&gt;BLN,"",SUMIFS(J_KAS,J_BARIS,"FN2",J_BLN,M$5,J_THN,TAHUN))</f>
        <v/>
      </c>
      <c r="N22" s="44" t="str">
        <f aca="false">IF(N$5&gt;BLN,"",SUMIFS(J_KAS,J_BARIS,"FN2",J_BLN,N$5,J_THN,TAHUN))</f>
        <v/>
      </c>
      <c r="O22" s="44" t="n">
        <f aca="false">SUMIFS(J_KAS,J_BARIS,"FN2",J_THN,TAHUN,J_BLN,"&lt;="&amp;BLN)</f>
        <v>0</v>
      </c>
    </row>
    <row r="23" customFormat="false" ht="15" hidden="false" customHeight="false" outlineLevel="0" collapsed="false">
      <c r="A23" s="5"/>
      <c r="B23" s="50" t="s">
        <v>235</v>
      </c>
      <c r="C23" s="44" t="n">
        <f aca="false">IF(C$5&gt;BLN,"",SUMIFS(J_KAS,J_BARIS,"FN3",J_BLN,C$5,J_THN,TAHUN))</f>
        <v>-1920000</v>
      </c>
      <c r="D23" s="44" t="n">
        <f aca="false">IF(D$5&gt;BLN,"",SUMIFS(J_KAS,J_BARIS,"FN3",J_BLN,D$5,J_THN,TAHUN))</f>
        <v>-522000</v>
      </c>
      <c r="E23" s="44" t="n">
        <f aca="false">IF(E$5&gt;BLN,"",SUMIFS(J_KAS,J_BARIS,"FN3",J_BLN,E$5,J_THN,TAHUN))</f>
        <v>-1378500</v>
      </c>
      <c r="F23" s="44" t="n">
        <f aca="false">IF(F$5&gt;BLN,"",SUMIFS(J_KAS,J_BARIS,"FN3",J_BLN,F$5,J_THN,TAHUN))</f>
        <v>0</v>
      </c>
      <c r="G23" s="44" t="n">
        <f aca="false">IF(G$5&gt;BLN,"",SUMIFS(J_KAS,J_BARIS,"FN3",J_BLN,G$5,J_THN,TAHUN))</f>
        <v>0</v>
      </c>
      <c r="H23" s="44" t="n">
        <f aca="false">IF(H$5&gt;BLN,"",SUMIFS(J_KAS,J_BARIS,"FN3",J_BLN,H$5,J_THN,TAHUN))</f>
        <v>0</v>
      </c>
      <c r="I23" s="44" t="n">
        <f aca="false">IF(I$5&gt;BLN,"",SUMIFS(J_KAS,J_BARIS,"FN3",J_BLN,I$5,J_THN,TAHUN))</f>
        <v>0</v>
      </c>
      <c r="J23" s="44" t="n">
        <f aca="false">IF(J$5&gt;BLN,"",SUMIFS(J_KAS,J_BARIS,"FN3",J_BLN,J$5,J_THN,TAHUN))</f>
        <v>0</v>
      </c>
      <c r="K23" s="44" t="n">
        <f aca="false">IF(K$5&gt;BLN,"",SUMIFS(J_KAS,J_BARIS,"FN3",J_BLN,K$5,J_THN,TAHUN))</f>
        <v>-1066000</v>
      </c>
      <c r="L23" s="44" t="str">
        <f aca="false">IF(L$5&gt;BLN,"",SUMIFS(J_KAS,J_BARIS,"FN3",J_BLN,L$5,J_THN,TAHUN))</f>
        <v/>
      </c>
      <c r="M23" s="44" t="str">
        <f aca="false">IF(M$5&gt;BLN,"",SUMIFS(J_KAS,J_BARIS,"FN3",J_BLN,M$5,J_THN,TAHUN))</f>
        <v/>
      </c>
      <c r="N23" s="44" t="str">
        <f aca="false">IF(N$5&gt;BLN,"",SUMIFS(J_KAS,J_BARIS,"FN3",J_BLN,N$5,J_THN,TAHUN))</f>
        <v/>
      </c>
      <c r="O23" s="44" t="n">
        <f aca="false">SUMIFS(J_KAS,J_BARIS,"FN3",J_THN,TAHUN,J_BLN,"&lt;="&amp;BLN)</f>
        <v>-4886500</v>
      </c>
    </row>
    <row r="24" customFormat="false" ht="15" hidden="false" customHeight="false" outlineLevel="0" collapsed="false">
      <c r="A24" s="5"/>
      <c r="B24" s="67" t="s">
        <v>236</v>
      </c>
      <c r="C24" s="68" t="n">
        <f aca="false">IF(C$5&gt;BLN,"",N(C21)+N(C22)+N(C23))</f>
        <v>-4420000</v>
      </c>
      <c r="D24" s="68" t="n">
        <f aca="false">IF(D$5&gt;BLN,"",N(D21)+N(D22)+N(D23))</f>
        <v>-3022000</v>
      </c>
      <c r="E24" s="68" t="n">
        <f aca="false">IF(E$5&gt;BLN,"",N(E21)+N(E22)+N(E23))</f>
        <v>-3878500</v>
      </c>
      <c r="F24" s="68" t="n">
        <f aca="false">IF(F$5&gt;BLN,"",N(F21)+N(F22)+N(F23))</f>
        <v>-2500000</v>
      </c>
      <c r="G24" s="68" t="n">
        <f aca="false">IF(G$5&gt;BLN,"",N(G21)+N(G22)+N(G23))</f>
        <v>-2500000</v>
      </c>
      <c r="H24" s="68" t="n">
        <f aca="false">IF(H$5&gt;BLN,"",N(H21)+N(H22)+N(H23))</f>
        <v>-2500000</v>
      </c>
      <c r="I24" s="68" t="n">
        <f aca="false">IF(I$5&gt;BLN,"",N(I21)+N(I22)+N(I23))</f>
        <v>-4000000</v>
      </c>
      <c r="J24" s="68" t="n">
        <f aca="false">IF(J$5&gt;BLN,"",N(J21)+N(J22)+N(J23))</f>
        <v>0</v>
      </c>
      <c r="K24" s="68" t="n">
        <f aca="false">IF(K$5&gt;BLN,"",N(K21)+N(K22)+N(K23))</f>
        <v>-1066000</v>
      </c>
      <c r="L24" s="68" t="str">
        <f aca="false">IF(L$5&gt;BLN,"",N(L21)+N(L22)+N(L23))</f>
        <v/>
      </c>
      <c r="M24" s="68" t="str">
        <f aca="false">IF(M$5&gt;BLN,"",N(M21)+N(M22)+N(M23))</f>
        <v/>
      </c>
      <c r="N24" s="68" t="str">
        <f aca="false">IF(N$5&gt;BLN,"",N(N21)+N(N22)+N(N23))</f>
        <v/>
      </c>
      <c r="O24" s="68" t="n">
        <f aca="false">N(O21)+N(O22)+N(O23)</f>
        <v>-23886500</v>
      </c>
    </row>
    <row r="25" customFormat="false" ht="15" hidden="false" customHeight="false" outlineLevel="0" collapsed="false">
      <c r="A25" s="5"/>
      <c r="B25" s="5"/>
      <c r="C25" s="5"/>
      <c r="D25" s="5"/>
      <c r="E25" s="5"/>
      <c r="F25" s="5"/>
      <c r="G25" s="5"/>
      <c r="H25" s="5"/>
      <c r="I25" s="5"/>
      <c r="J25" s="5"/>
      <c r="K25" s="5"/>
      <c r="L25" s="5"/>
      <c r="M25" s="5"/>
      <c r="N25" s="5"/>
      <c r="O25" s="5"/>
    </row>
    <row r="26" customFormat="false" ht="15" hidden="false" customHeight="false" outlineLevel="0" collapsed="false">
      <c r="A26" s="5"/>
      <c r="B26" s="62" t="s">
        <v>237</v>
      </c>
      <c r="C26" s="63" t="n">
        <f aca="false">IF(C$5&gt;BLN,"",N(C14)+N(C18)+N(C24))</f>
        <v>-61253246</v>
      </c>
      <c r="D26" s="63" t="n">
        <f aca="false">IF(D$5&gt;BLN,"",N(D14)+N(D18)+N(D24))</f>
        <v>-5211706</v>
      </c>
      <c r="E26" s="63" t="n">
        <f aca="false">IF(E$5&gt;BLN,"",N(E14)+N(E18)+N(E24))</f>
        <v>-1398847</v>
      </c>
      <c r="F26" s="63" t="n">
        <f aca="false">IF(F$5&gt;BLN,"",N(F14)+N(F18)+N(F24))</f>
        <v>-16365930</v>
      </c>
      <c r="G26" s="63" t="n">
        <f aca="false">IF(G$5&gt;BLN,"",N(G14)+N(G18)+N(G24))</f>
        <v>17903466</v>
      </c>
      <c r="H26" s="63" t="n">
        <f aca="false">IF(H$5&gt;BLN,"",N(H14)+N(H18)+N(H24))</f>
        <v>5300510</v>
      </c>
      <c r="I26" s="63" t="n">
        <f aca="false">IF(I$5&gt;BLN,"",N(I14)+N(I18)+N(I24))</f>
        <v>-2480639</v>
      </c>
      <c r="J26" s="63" t="n">
        <f aca="false">IF(J$5&gt;BLN,"",N(J14)+N(J18)+N(J24))</f>
        <v>19972620</v>
      </c>
      <c r="K26" s="63" t="n">
        <f aca="false">IF(K$5&gt;BLN,"",N(K14)+N(K18)+N(K24))</f>
        <v>-14772905</v>
      </c>
      <c r="L26" s="63" t="str">
        <f aca="false">IF(L$5&gt;BLN,"",N(L14)+N(L18)+N(L24))</f>
        <v/>
      </c>
      <c r="M26" s="63" t="str">
        <f aca="false">IF(M$5&gt;BLN,"",N(M14)+N(M18)+N(M24))</f>
        <v/>
      </c>
      <c r="N26" s="63" t="str">
        <f aca="false">IF(N$5&gt;BLN,"",N(N14)+N(N18)+N(N24))</f>
        <v/>
      </c>
      <c r="O26" s="63" t="n">
        <f aca="false">N(O14)+N(O18)+N(O24)</f>
        <v>-58306677</v>
      </c>
    </row>
    <row r="27" customFormat="false" ht="15" hidden="false" customHeight="false" outlineLevel="0" collapsed="false">
      <c r="A27" s="5"/>
      <c r="B27" s="10" t="s">
        <v>238</v>
      </c>
      <c r="C27" s="44" t="n">
        <f aca="false">IF(C$5&gt;BLN,"",SUMIF(MUTASI!$T$6:$T$45,"KAS",MUTASI!$Q$6:$Q$45))</f>
        <v>111588285</v>
      </c>
      <c r="D27" s="44" t="n">
        <f aca="false">IF(D$5&gt;BLN,"",N(C28))</f>
        <v>50335039</v>
      </c>
      <c r="E27" s="44" t="n">
        <f aca="false">IF(E$5&gt;BLN,"",N(D28))</f>
        <v>45123333</v>
      </c>
      <c r="F27" s="44" t="n">
        <f aca="false">IF(F$5&gt;BLN,"",N(E28))</f>
        <v>43724486</v>
      </c>
      <c r="G27" s="44" t="n">
        <f aca="false">IF(G$5&gt;BLN,"",N(F28))</f>
        <v>27358556</v>
      </c>
      <c r="H27" s="44" t="n">
        <f aca="false">IF(H$5&gt;BLN,"",N(G28))</f>
        <v>45262022</v>
      </c>
      <c r="I27" s="44" t="n">
        <f aca="false">IF(I$5&gt;BLN,"",N(H28))</f>
        <v>50562532</v>
      </c>
      <c r="J27" s="44" t="n">
        <f aca="false">IF(J$5&gt;BLN,"",N(I28))</f>
        <v>48081893</v>
      </c>
      <c r="K27" s="44" t="n">
        <f aca="false">IF(K$5&gt;BLN,"",N(J28))</f>
        <v>68054513</v>
      </c>
      <c r="L27" s="44" t="str">
        <f aca="false">IF(L$5&gt;BLN,"",N(K28))</f>
        <v/>
      </c>
      <c r="M27" s="44" t="str">
        <f aca="false">IF(M$5&gt;BLN,"",N(L28))</f>
        <v/>
      </c>
      <c r="N27" s="44" t="str">
        <f aca="false">IF(N$5&gt;BLN,"",N(M28))</f>
        <v/>
      </c>
      <c r="O27" s="44" t="n">
        <f aca="false">SUMIF(MUTASI!$T$6:$T$45,"KAS",MUTASI!$Q$6:$Q$45)</f>
        <v>111588285</v>
      </c>
    </row>
    <row r="28" customFormat="false" ht="15" hidden="false" customHeight="false" outlineLevel="0" collapsed="false">
      <c r="A28" s="5"/>
      <c r="B28" s="67" t="s">
        <v>239</v>
      </c>
      <c r="C28" s="68" t="n">
        <f aca="false">IF(C$5&gt;BLN,"",N(C27)+N(C26))</f>
        <v>50335039</v>
      </c>
      <c r="D28" s="68" t="n">
        <f aca="false">IF(D$5&gt;BLN,"",N(D27)+N(D26))</f>
        <v>45123333</v>
      </c>
      <c r="E28" s="68" t="n">
        <f aca="false">IF(E$5&gt;BLN,"",N(E27)+N(E26))</f>
        <v>43724486</v>
      </c>
      <c r="F28" s="68" t="n">
        <f aca="false">IF(F$5&gt;BLN,"",N(F27)+N(F26))</f>
        <v>27358556</v>
      </c>
      <c r="G28" s="68" t="n">
        <f aca="false">IF(G$5&gt;BLN,"",N(G27)+N(G26))</f>
        <v>45262022</v>
      </c>
      <c r="H28" s="68" t="n">
        <f aca="false">IF(H$5&gt;BLN,"",N(H27)+N(H26))</f>
        <v>50562532</v>
      </c>
      <c r="I28" s="68" t="n">
        <f aca="false">IF(I$5&gt;BLN,"",N(I27)+N(I26))</f>
        <v>48081893</v>
      </c>
      <c r="J28" s="68" t="n">
        <f aca="false">IF(J$5&gt;BLN,"",N(J27)+N(J26))</f>
        <v>68054513</v>
      </c>
      <c r="K28" s="68" t="n">
        <f aca="false">IF(K$5&gt;BLN,"",N(K27)+N(K26))</f>
        <v>53281608</v>
      </c>
      <c r="L28" s="68" t="str">
        <f aca="false">IF(L$5&gt;BLN,"",N(L27)+N(L26))</f>
        <v/>
      </c>
      <c r="M28" s="68" t="str">
        <f aca="false">IF(M$5&gt;BLN,"",N(M27)+N(M26))</f>
        <v/>
      </c>
      <c r="N28" s="68" t="str">
        <f aca="false">IF(N$5&gt;BLN,"",N(N27)+N(N26))</f>
        <v/>
      </c>
      <c r="O28" s="68" t="n">
        <f aca="false">N(O27)+N(O26)</f>
        <v>53281608</v>
      </c>
    </row>
    <row r="29" customFormat="false" ht="15" hidden="false" customHeight="false" outlineLevel="0" collapsed="false">
      <c r="A29" s="5"/>
      <c r="B29" s="59" t="s">
        <v>240</v>
      </c>
      <c r="C29" s="60" t="n">
        <f aca="false">IF(C$5&gt;BLN,"",ROUND(N(C28)-SUMIF(MUTASI!$T$6:$T$45,"KAS",MUTASI!$Q$6:$Q$45)-SUMPRODUCT((MUTASI!$T$6:$T$45="KAS")*MUTASI!$E$6:$E$45),0))</f>
        <v>0</v>
      </c>
      <c r="D29" s="60" t="n">
        <f aca="false">IF(D$5&gt;BLN,"",ROUND(N(D28)-SUMIF(MUTASI!$T$6:$T$45,"KAS",MUTASI!$Q$6:$Q$45)-SUMPRODUCT((MUTASI!$T$6:$T$45="KAS")*MUTASI!$E$6:$F$45),0))</f>
        <v>0</v>
      </c>
      <c r="E29" s="60" t="n">
        <f aca="false">IF(E$5&gt;BLN,"",ROUND(N(E28)-SUMIF(MUTASI!$T$6:$T$45,"KAS",MUTASI!$Q$6:$Q$45)-SUMPRODUCT((MUTASI!$T$6:$T$45="KAS")*MUTASI!$E$6:$G$45),0))</f>
        <v>0</v>
      </c>
      <c r="F29" s="60" t="n">
        <f aca="false">IF(F$5&gt;BLN,"",ROUND(N(F28)-SUMIF(MUTASI!$T$6:$T$45,"KAS",MUTASI!$Q$6:$Q$45)-SUMPRODUCT((MUTASI!$T$6:$T$45="KAS")*MUTASI!$E$6:$H$45),0))</f>
        <v>0</v>
      </c>
      <c r="G29" s="60" t="n">
        <f aca="false">IF(G$5&gt;BLN,"",ROUND(N(G28)-SUMIF(MUTASI!$T$6:$T$45,"KAS",MUTASI!$Q$6:$Q$45)-SUMPRODUCT((MUTASI!$T$6:$T$45="KAS")*MUTASI!$E$6:$I$45),0))</f>
        <v>0</v>
      </c>
      <c r="H29" s="60" t="n">
        <f aca="false">IF(H$5&gt;BLN,"",ROUND(N(H28)-SUMIF(MUTASI!$T$6:$T$45,"KAS",MUTASI!$Q$6:$Q$45)-SUMPRODUCT((MUTASI!$T$6:$T$45="KAS")*MUTASI!$E$6:$J$45),0))</f>
        <v>0</v>
      </c>
      <c r="I29" s="60" t="n">
        <f aca="false">IF(I$5&gt;BLN,"",ROUND(N(I28)-SUMIF(MUTASI!$T$6:$T$45,"KAS",MUTASI!$Q$6:$Q$45)-SUMPRODUCT((MUTASI!$T$6:$T$45="KAS")*MUTASI!$E$6:$K$45),0))</f>
        <v>0</v>
      </c>
      <c r="J29" s="60" t="n">
        <f aca="false">IF(J$5&gt;BLN,"",ROUND(N(J28)-SUMIF(MUTASI!$T$6:$T$45,"KAS",MUTASI!$Q$6:$Q$45)-SUMPRODUCT((MUTASI!$T$6:$T$45="KAS")*MUTASI!$E$6:$L$45),0))</f>
        <v>0</v>
      </c>
      <c r="K29" s="60" t="n">
        <f aca="false">IF(K$5&gt;BLN,"",ROUND(N(K28)-SUMIF(MUTASI!$T$6:$T$45,"KAS",MUTASI!$Q$6:$Q$45)-SUMPRODUCT((MUTASI!$T$6:$T$45="KAS")*MUTASI!$E$6:$M$45),0))</f>
        <v>0</v>
      </c>
      <c r="L29" s="60" t="str">
        <f aca="false">IF(L$5&gt;BLN,"",ROUND(N(L28)-SUMIF(MUTASI!$T$6:$T$45,"KAS",MUTASI!$Q$6:$Q$45)-SUMPRODUCT((MUTASI!$T$6:$T$45="KAS")*MUTASI!$E$6:$N$45),0))</f>
        <v/>
      </c>
      <c r="M29" s="60" t="str">
        <f aca="false">IF(M$5&gt;BLN,"",ROUND(N(M28)-SUMIF(MUTASI!$T$6:$T$45,"KAS",MUTASI!$Q$6:$Q$45)-SUMPRODUCT((MUTASI!$T$6:$T$45="KAS")*MUTASI!$E$6:$O$45),0))</f>
        <v/>
      </c>
      <c r="N29" s="60" t="str">
        <f aca="false">IF(N$5&gt;BLN,"",ROUND(N(N28)-SUMIF(MUTASI!$T$6:$T$45,"KAS",MUTASI!$Q$6:$Q$45)-SUMPRODUCT((MUTASI!$T$6:$T$45="KAS")*MUTASI!$E$6:$P$45),0))</f>
        <v/>
      </c>
      <c r="O29" s="60" t="n">
        <f aca="false">ROUND(N(O28)-SUMIF(MUTASI!$T$6:$T$45,"KAS",MUTASI!$S$6:$S$45),0)</f>
        <v>0</v>
      </c>
    </row>
    <row r="30" customFormat="false" ht="15" hidden="false" customHeight="false" outlineLevel="0" collapsed="false">
      <c r="A30" s="5"/>
      <c r="B30" s="5"/>
      <c r="C30" s="5"/>
      <c r="D30" s="5"/>
      <c r="E30" s="5"/>
      <c r="F30" s="5"/>
      <c r="G30" s="5"/>
      <c r="H30" s="5"/>
      <c r="I30" s="5"/>
      <c r="J30" s="5"/>
      <c r="K30" s="5"/>
      <c r="L30" s="5"/>
      <c r="M30" s="5"/>
      <c r="N30" s="5"/>
      <c r="O30" s="5"/>
    </row>
    <row r="31" customFormat="false" ht="15" hidden="false" customHeight="false" outlineLevel="0" collapsed="false">
      <c r="A31" s="5"/>
      <c r="B31" s="22" t="s">
        <v>241</v>
      </c>
      <c r="C31" s="5"/>
      <c r="D31" s="5"/>
      <c r="E31" s="5"/>
      <c r="F31" s="5"/>
      <c r="G31" s="5"/>
      <c r="H31" s="5"/>
      <c r="I31" s="5"/>
      <c r="J31" s="5"/>
      <c r="K31" s="5"/>
      <c r="L31" s="5"/>
      <c r="M31" s="5"/>
      <c r="N31" s="5"/>
      <c r="O31" s="5"/>
    </row>
  </sheetData>
  <conditionalFormatting sqref="C29:O29">
    <cfRule type="expression" priority="2" aboveAverage="0" equalAverage="0" bottom="0" percent="0" rank="0" text="" dxfId="3">
      <formula>AND(ISNUMBER(C29),C29&lt;&gt;0)</formula>
    </cfRule>
  </conditionalFormatting>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true"/>
  </sheetPr>
  <dimension ref="A1:O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14" min="3" style="0" width="12"/>
    <col collapsed="false" customWidth="true" hidden="false" outlineLevel="0" max="15" min="15" style="0" width="15"/>
  </cols>
  <sheetData>
    <row r="1" customFormat="false" ht="19.7" hidden="false" customHeight="false" outlineLevel="0" collapsed="false">
      <c r="A1" s="17" t="s">
        <v>242</v>
      </c>
      <c r="B1" s="5"/>
      <c r="C1" s="5"/>
      <c r="D1" s="5"/>
      <c r="E1" s="5"/>
      <c r="F1" s="5"/>
      <c r="G1" s="5"/>
      <c r="H1" s="5"/>
      <c r="I1" s="5"/>
      <c r="J1" s="5"/>
      <c r="K1" s="5"/>
      <c r="L1" s="5"/>
      <c r="M1" s="5"/>
      <c r="N1" s="5"/>
      <c r="O1" s="5"/>
    </row>
    <row r="2" customFormat="false" ht="15" hidden="false" customHeight="false" outlineLevel="0" collapsed="false">
      <c r="A2" s="18" t="str">
        <f aca="false">"KOPI PARANG  •  "&amp;"Periode 1 Januari – "&amp;TEXT(DATE(TAHUN,BLN+1,0),"d")&amp;" "&amp;NAMA_BLN&amp;" "&amp;TAHUN</f>
        <v>KOPI PARANG  •  Periode 1 Januari – 30 September 2026</v>
      </c>
      <c r="B2" s="5"/>
      <c r="C2" s="5"/>
      <c r="D2" s="5"/>
      <c r="E2" s="5"/>
      <c r="F2" s="5"/>
      <c r="G2" s="5"/>
      <c r="H2" s="5"/>
      <c r="I2" s="5"/>
      <c r="J2" s="5"/>
      <c r="K2" s="5"/>
      <c r="L2" s="5"/>
      <c r="M2" s="5"/>
      <c r="N2" s="5"/>
      <c r="O2" s="5"/>
    </row>
    <row r="3" customFormat="false" ht="15" hidden="false" customHeight="false" outlineLevel="0" collapsed="false">
      <c r="A3" s="5"/>
      <c r="B3" s="5"/>
      <c r="C3" s="5"/>
      <c r="D3" s="5"/>
      <c r="E3" s="5"/>
      <c r="F3" s="5"/>
      <c r="G3" s="5"/>
      <c r="H3" s="5"/>
      <c r="I3" s="5"/>
      <c r="J3" s="5"/>
      <c r="K3" s="5"/>
      <c r="L3" s="5"/>
      <c r="M3" s="5"/>
      <c r="N3" s="5"/>
      <c r="O3" s="5"/>
    </row>
    <row r="4" customFormat="false" ht="15" hidden="false" customHeight="false" outlineLevel="0" collapsed="false">
      <c r="A4" s="5"/>
      <c r="B4" s="19" t="s">
        <v>58</v>
      </c>
      <c r="C4" s="20" t="s">
        <v>113</v>
      </c>
      <c r="D4" s="20" t="s">
        <v>114</v>
      </c>
      <c r="E4" s="20" t="s">
        <v>115</v>
      </c>
      <c r="F4" s="20" t="s">
        <v>116</v>
      </c>
      <c r="G4" s="20" t="s">
        <v>79</v>
      </c>
      <c r="H4" s="20" t="s">
        <v>117</v>
      </c>
      <c r="I4" s="20" t="s">
        <v>118</v>
      </c>
      <c r="J4" s="20" t="s">
        <v>119</v>
      </c>
      <c r="K4" s="20" t="s">
        <v>120</v>
      </c>
      <c r="L4" s="20" t="s">
        <v>121</v>
      </c>
      <c r="M4" s="20" t="s">
        <v>122</v>
      </c>
      <c r="N4" s="20" t="s">
        <v>123</v>
      </c>
      <c r="O4" s="20" t="str">
        <f aca="false">"s.d. "&amp;LEFT(NAMA_BLN,3)&amp;" "&amp;TAHUN</f>
        <v>s.d. Sep 2026</v>
      </c>
    </row>
    <row r="5" customFormat="false" ht="15" hidden="false" customHeight="false" outlineLevel="0" collapsed="false">
      <c r="A5" s="5"/>
      <c r="B5" s="5"/>
      <c r="C5" s="66" t="n">
        <v>1</v>
      </c>
      <c r="D5" s="66" t="n">
        <v>2</v>
      </c>
      <c r="E5" s="66" t="n">
        <v>3</v>
      </c>
      <c r="F5" s="66" t="n">
        <v>4</v>
      </c>
      <c r="G5" s="66" t="n">
        <v>5</v>
      </c>
      <c r="H5" s="66" t="n">
        <v>6</v>
      </c>
      <c r="I5" s="66" t="n">
        <v>7</v>
      </c>
      <c r="J5" s="66" t="n">
        <v>8</v>
      </c>
      <c r="K5" s="66" t="n">
        <v>9</v>
      </c>
      <c r="L5" s="66" t="n">
        <v>10</v>
      </c>
      <c r="M5" s="66" t="n">
        <v>11</v>
      </c>
      <c r="N5" s="66" t="n">
        <v>12</v>
      </c>
      <c r="O5" s="5"/>
    </row>
    <row r="6" customFormat="false" ht="15" hidden="false" customHeight="false" outlineLevel="0" collapsed="false">
      <c r="A6" s="5"/>
      <c r="B6" s="10" t="s">
        <v>243</v>
      </c>
      <c r="C6" s="44" t="n">
        <f aca="false">IF(C$5&gt;BLN,"",-SUMIF(MUTASI!$B$6:$B$45,"Ekuitas Kopi Parang",MUTASI!$Q$6:$Q$45)-SUMIF(MUTASI!$B$6:$B$45,"Prive",MUTASI!$Q$6:$Q$45))</f>
        <v>113100685</v>
      </c>
      <c r="D6" s="44" t="n">
        <f aca="false">IF(D$5&gt;BLN,"",N(C10))</f>
        <v>58541644</v>
      </c>
      <c r="E6" s="44" t="n">
        <f aca="false">IF(E$5&gt;BLN,"",N(D10))</f>
        <v>48753526</v>
      </c>
      <c r="F6" s="44" t="n">
        <f aca="false">IF(F$5&gt;BLN,"",N(E10))</f>
        <v>41262929</v>
      </c>
      <c r="G6" s="44" t="n">
        <f aca="false">IF(G$5&gt;BLN,"",N(F10))</f>
        <v>17584319</v>
      </c>
      <c r="H6" s="44" t="n">
        <f aca="false">IF(H$5&gt;BLN,"",N(G10))</f>
        <v>29505195</v>
      </c>
      <c r="I6" s="44" t="n">
        <f aca="false">IF(I$5&gt;BLN,"",N(H10))</f>
        <v>31476429</v>
      </c>
      <c r="J6" s="44" t="n">
        <f aca="false">IF(J$5&gt;BLN,"",N(I10))</f>
        <v>30616038</v>
      </c>
      <c r="K6" s="44" t="n">
        <f aca="false">IF(K$5&gt;BLN,"",N(J10))</f>
        <v>46561335</v>
      </c>
      <c r="L6" s="44" t="str">
        <f aca="false">IF(L$5&gt;BLN,"",N(K10))</f>
        <v/>
      </c>
      <c r="M6" s="44" t="str">
        <f aca="false">IF(M$5&gt;BLN,"",N(L10))</f>
        <v/>
      </c>
      <c r="N6" s="44" t="str">
        <f aca="false">IF(N$5&gt;BLN,"",N(M10))</f>
        <v/>
      </c>
      <c r="O6" s="44" t="n">
        <f aca="false">-SUMIF(MUTASI!$B$6:$B$45,"Ekuitas Kopi Parang",MUTASI!$Q$6:$Q$45)-SUMIF(MUTASI!$B$6:$B$45,"Prive",MUTASI!$Q$6:$Q$45)</f>
        <v>113100685</v>
      </c>
    </row>
    <row r="7" customFormat="false" ht="15" hidden="false" customHeight="false" outlineLevel="0" collapsed="false">
      <c r="A7" s="5"/>
      <c r="B7" s="10" t="s">
        <v>244</v>
      </c>
      <c r="C7" s="44" t="n">
        <f aca="false">IF(C$5&gt;BLN,"",-SUMIF(MUTASI!$B$6:$B$45,"Ekuitas Kopi Parang",MUTASI!$E$6:$E$45))</f>
        <v>-0</v>
      </c>
      <c r="D7" s="44" t="n">
        <f aca="false">IF(D$5&gt;BLN,"",-SUMIF(MUTASI!$B$6:$B$45,"Ekuitas Kopi Parang",MUTASI!$F$6:$F$45))</f>
        <v>-0</v>
      </c>
      <c r="E7" s="44" t="n">
        <f aca="false">IF(E$5&gt;BLN,"",-SUMIF(MUTASI!$B$6:$B$45,"Ekuitas Kopi Parang",MUTASI!$G$6:$G$45))</f>
        <v>-0</v>
      </c>
      <c r="F7" s="44" t="n">
        <f aca="false">IF(F$5&gt;BLN,"",-SUMIF(MUTASI!$B$6:$B$45,"Ekuitas Kopi Parang",MUTASI!$H$6:$H$45))</f>
        <v>-0</v>
      </c>
      <c r="G7" s="44" t="n">
        <f aca="false">IF(G$5&gt;BLN,"",-SUMIF(MUTASI!$B$6:$B$45,"Ekuitas Kopi Parang",MUTASI!$I$6:$I$45))</f>
        <v>-0</v>
      </c>
      <c r="H7" s="44" t="n">
        <f aca="false">IF(H$5&gt;BLN,"",-SUMIF(MUTASI!$B$6:$B$45,"Ekuitas Kopi Parang",MUTASI!$J$6:$J$45))</f>
        <v>-0</v>
      </c>
      <c r="I7" s="44" t="n">
        <f aca="false">IF(I$5&gt;BLN,"",-SUMIF(MUTASI!$B$6:$B$45,"Ekuitas Kopi Parang",MUTASI!$K$6:$K$45))</f>
        <v>-0</v>
      </c>
      <c r="J7" s="44" t="n">
        <f aca="false">IF(J$5&gt;BLN,"",-SUMIF(MUTASI!$B$6:$B$45,"Ekuitas Kopi Parang",MUTASI!$L$6:$L$45))</f>
        <v>-0</v>
      </c>
      <c r="K7" s="44" t="n">
        <f aca="false">IF(K$5&gt;BLN,"",-SUMIF(MUTASI!$B$6:$B$45,"Ekuitas Kopi Parang",MUTASI!$M$6:$M$45))</f>
        <v>-0</v>
      </c>
      <c r="L7" s="44" t="str">
        <f aca="false">IF(L$5&gt;BLN,"",-SUMIF(MUTASI!$B$6:$B$45,"Ekuitas Kopi Parang",MUTASI!$N$6:$N$45))</f>
        <v/>
      </c>
      <c r="M7" s="44" t="str">
        <f aca="false">IF(M$5&gt;BLN,"",-SUMIF(MUTASI!$B$6:$B$45,"Ekuitas Kopi Parang",MUTASI!$O$6:$O$45))</f>
        <v/>
      </c>
      <c r="N7" s="44" t="str">
        <f aca="false">IF(N$5&gt;BLN,"",-SUMIF(MUTASI!$B$6:$B$45,"Ekuitas Kopi Parang",MUTASI!$P$6:$P$45))</f>
        <v/>
      </c>
      <c r="O7" s="44" t="n">
        <f aca="false">-SUMIF(MUTASI!$B$6:$B$45,"Ekuitas Kopi Parang",MUTASI!$R$6:$R$45)</f>
        <v>-0</v>
      </c>
    </row>
    <row r="8" customFormat="false" ht="15" hidden="false" customHeight="false" outlineLevel="0" collapsed="false">
      <c r="A8" s="5"/>
      <c r="B8" s="10" t="s">
        <v>245</v>
      </c>
      <c r="C8" s="44" t="n">
        <f aca="false">IF(C$5&gt;BLN,"",N('LABA RUGI'!C43))</f>
        <v>-51148041</v>
      </c>
      <c r="D8" s="44" t="n">
        <f aca="false">IF(D$5&gt;BLN,"",N('LABA RUGI'!D43))</f>
        <v>-6212118</v>
      </c>
      <c r="E8" s="44" t="n">
        <f aca="false">IF(E$5&gt;BLN,"",N('LABA RUGI'!E43))</f>
        <v>-3403297</v>
      </c>
      <c r="F8" s="44" t="n">
        <f aca="false">IF(F$5&gt;BLN,"",N('LABA RUGI'!F43))</f>
        <v>-20407510</v>
      </c>
      <c r="G8" s="44" t="n">
        <f aca="false">IF(G$5&gt;BLN,"",N('LABA RUGI'!G43))</f>
        <v>16080376</v>
      </c>
      <c r="H8" s="44" t="n">
        <f aca="false">IF(H$5&gt;BLN,"",N('LABA RUGI'!H43))</f>
        <v>5382034</v>
      </c>
      <c r="I8" s="44" t="n">
        <f aca="false">IF(I$5&gt;BLN,"",N('LABA RUGI'!I43))</f>
        <v>4796009</v>
      </c>
      <c r="J8" s="44" t="n">
        <f aca="false">IF(J$5&gt;BLN,"",N('LABA RUGI'!J43))</f>
        <v>17725947</v>
      </c>
      <c r="K8" s="44" t="n">
        <f aca="false">IF(K$5&gt;BLN,"",N('LABA RUGI'!K43))</f>
        <v>-17810102</v>
      </c>
      <c r="L8" s="44" t="str">
        <f aca="false">IF(L$5&gt;BLN,"",N('LABA RUGI'!L43))</f>
        <v/>
      </c>
      <c r="M8" s="44" t="str">
        <f aca="false">IF(M$5&gt;BLN,"",N('LABA RUGI'!M43))</f>
        <v/>
      </c>
      <c r="N8" s="44" t="str">
        <f aca="false">IF(N$5&gt;BLN,"",N('LABA RUGI'!N43))</f>
        <v/>
      </c>
      <c r="O8" s="44" t="n">
        <f aca="false">N('LABA RUGI'!O43)</f>
        <v>-54996702</v>
      </c>
    </row>
    <row r="9" customFormat="false" ht="15" hidden="false" customHeight="false" outlineLevel="0" collapsed="false">
      <c r="A9" s="5"/>
      <c r="B9" s="10" t="s">
        <v>213</v>
      </c>
      <c r="C9" s="44" t="n">
        <f aca="false">IF(C$5&gt;BLN,"",-SUMIF(MUTASI!$B$6:$B$45,"Prive",MUTASI!$E$6:$E$45))</f>
        <v>-3411000</v>
      </c>
      <c r="D9" s="44" t="n">
        <f aca="false">IF(D$5&gt;BLN,"",-SUMIF(MUTASI!$B$6:$B$45,"Prive",MUTASI!$F$6:$F$45))</f>
        <v>-3576000</v>
      </c>
      <c r="E9" s="44" t="n">
        <f aca="false">IF(E$5&gt;BLN,"",-SUMIF(MUTASI!$B$6:$B$45,"Prive",MUTASI!$G$6:$G$45))</f>
        <v>-4087300</v>
      </c>
      <c r="F9" s="44" t="n">
        <f aca="false">IF(F$5&gt;BLN,"",-SUMIF(MUTASI!$B$6:$B$45,"Prive",MUTASI!$H$6:$H$45))</f>
        <v>-3271100</v>
      </c>
      <c r="G9" s="44" t="n">
        <f aca="false">IF(G$5&gt;BLN,"",-SUMIF(MUTASI!$B$6:$B$45,"Prive",MUTASI!$I$6:$I$45))</f>
        <v>-4159500</v>
      </c>
      <c r="H9" s="44" t="n">
        <f aca="false">IF(H$5&gt;BLN,"",-SUMIF(MUTASI!$B$6:$B$45,"Prive",MUTASI!$J$6:$J$45))</f>
        <v>-3410800</v>
      </c>
      <c r="I9" s="44" t="n">
        <f aca="false">IF(I$5&gt;BLN,"",-SUMIF(MUTASI!$B$6:$B$45,"Prive",MUTASI!$K$6:$K$45))</f>
        <v>-5656400</v>
      </c>
      <c r="J9" s="44" t="n">
        <f aca="false">IF(J$5&gt;BLN,"",-SUMIF(MUTASI!$B$6:$B$45,"Prive",MUTASI!$L$6:$L$45))</f>
        <v>-1780650</v>
      </c>
      <c r="K9" s="44" t="n">
        <f aca="false">IF(K$5&gt;BLN,"",-SUMIF(MUTASI!$B$6:$B$45,"Prive",MUTASI!$M$6:$M$45))</f>
        <v>-1632000</v>
      </c>
      <c r="L9" s="44" t="str">
        <f aca="false">IF(L$5&gt;BLN,"",-SUMIF(MUTASI!$B$6:$B$45,"Prive",MUTASI!$N$6:$N$45))</f>
        <v/>
      </c>
      <c r="M9" s="44" t="str">
        <f aca="false">IF(M$5&gt;BLN,"",-SUMIF(MUTASI!$B$6:$B$45,"Prive",MUTASI!$O$6:$O$45))</f>
        <v/>
      </c>
      <c r="N9" s="44" t="str">
        <f aca="false">IF(N$5&gt;BLN,"",-SUMIF(MUTASI!$B$6:$B$45,"Prive",MUTASI!$P$6:$P$45))</f>
        <v/>
      </c>
      <c r="O9" s="44" t="n">
        <f aca="false">-SUMIF(MUTASI!$B$6:$B$45,"Prive",MUTASI!$R$6:$R$45)</f>
        <v>-30984750</v>
      </c>
    </row>
    <row r="10" customFormat="false" ht="15" hidden="false" customHeight="false" outlineLevel="0" collapsed="false">
      <c r="A10" s="5"/>
      <c r="B10" s="62" t="s">
        <v>246</v>
      </c>
      <c r="C10" s="63" t="n">
        <f aca="false">IF(C$5&gt;BLN,"",N(C6)+N(C7)+N(C8)+N(C9))</f>
        <v>58541644</v>
      </c>
      <c r="D10" s="63" t="n">
        <f aca="false">IF(D$5&gt;BLN,"",N(D6)+N(D7)+N(D8)+N(D9))</f>
        <v>48753526</v>
      </c>
      <c r="E10" s="63" t="n">
        <f aca="false">IF(E$5&gt;BLN,"",N(E6)+N(E7)+N(E8)+N(E9))</f>
        <v>41262929</v>
      </c>
      <c r="F10" s="63" t="n">
        <f aca="false">IF(F$5&gt;BLN,"",N(F6)+N(F7)+N(F8)+N(F9))</f>
        <v>17584319</v>
      </c>
      <c r="G10" s="63" t="n">
        <f aca="false">IF(G$5&gt;BLN,"",N(G6)+N(G7)+N(G8)+N(G9))</f>
        <v>29505195</v>
      </c>
      <c r="H10" s="63" t="n">
        <f aca="false">IF(H$5&gt;BLN,"",N(H6)+N(H7)+N(H8)+N(H9))</f>
        <v>31476429</v>
      </c>
      <c r="I10" s="63" t="n">
        <f aca="false">IF(I$5&gt;BLN,"",N(I6)+N(I7)+N(I8)+N(I9))</f>
        <v>30616038</v>
      </c>
      <c r="J10" s="63" t="n">
        <f aca="false">IF(J$5&gt;BLN,"",N(J6)+N(J7)+N(J8)+N(J9))</f>
        <v>46561335</v>
      </c>
      <c r="K10" s="63" t="n">
        <f aca="false">IF(K$5&gt;BLN,"",N(K6)+N(K7)+N(K8)+N(K9))</f>
        <v>27119233</v>
      </c>
      <c r="L10" s="63" t="str">
        <f aca="false">IF(L$5&gt;BLN,"",N(L6)+N(L7)+N(L8)+N(L9))</f>
        <v/>
      </c>
      <c r="M10" s="63" t="str">
        <f aca="false">IF(M$5&gt;BLN,"",N(M6)+N(M7)+N(M8)+N(M9))</f>
        <v/>
      </c>
      <c r="N10" s="63" t="str">
        <f aca="false">IF(N$5&gt;BLN,"",N(N6)+N(N7)+N(N8)+N(N9))</f>
        <v/>
      </c>
      <c r="O10" s="63" t="n">
        <f aca="false">N(O6)+N(O7)+N(O8)+N(O9)</f>
        <v>27119233</v>
      </c>
    </row>
    <row r="11" customFormat="false" ht="15" hidden="false" customHeight="false" outlineLevel="0" collapsed="false">
      <c r="A11" s="5"/>
      <c r="B11" s="5"/>
      <c r="C11" s="5"/>
      <c r="D11" s="5"/>
      <c r="E11" s="5"/>
      <c r="F11" s="5"/>
      <c r="G11" s="5"/>
      <c r="H11" s="5"/>
      <c r="I11" s="5"/>
      <c r="J11" s="5"/>
      <c r="K11" s="5"/>
      <c r="L11" s="5"/>
      <c r="M11" s="5"/>
      <c r="N11" s="5"/>
      <c r="O11" s="5"/>
    </row>
    <row r="12" customFormat="false" ht="15" hidden="false" customHeight="false" outlineLevel="0" collapsed="false">
      <c r="A12" s="5"/>
      <c r="B12" s="59" t="s">
        <v>247</v>
      </c>
      <c r="C12" s="5"/>
      <c r="D12" s="5"/>
      <c r="E12" s="5"/>
      <c r="F12" s="5"/>
      <c r="G12" s="5"/>
      <c r="H12" s="5"/>
      <c r="I12" s="5"/>
      <c r="J12" s="5"/>
      <c r="K12" s="5"/>
      <c r="L12" s="5"/>
      <c r="M12" s="5"/>
      <c r="N12" s="5"/>
      <c r="O12" s="44" t="n">
        <f aca="false">ROUND(O10-NERACA!D35,0)</f>
        <v>0</v>
      </c>
    </row>
  </sheetData>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tru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110"/>
  </cols>
  <sheetData>
    <row r="1" customFormat="false" ht="19.7" hidden="false" customHeight="false" outlineLevel="0" collapsed="false">
      <c r="A1" s="17" t="s">
        <v>248</v>
      </c>
      <c r="B1" s="5"/>
      <c r="C1" s="5"/>
    </row>
    <row r="2" customFormat="false" ht="15" hidden="false" customHeight="false" outlineLevel="0" collapsed="false">
      <c r="A2" s="18" t="str">
        <f aca="false">"KOPI PARANG  •  "&amp;"Periode 1 Januari – "&amp;TEXT(DATE(TAHUN,BLN+1,0),"d")&amp;" "&amp;NAMA_BLN&amp;" "&amp;TAHUN</f>
        <v>KOPI PARANG  •  Periode 1 Januari – 30 September 2026</v>
      </c>
      <c r="B2" s="5"/>
      <c r="C2" s="5"/>
    </row>
    <row r="3" customFormat="false" ht="15" hidden="false" customHeight="false" outlineLevel="0" collapsed="false">
      <c r="A3" s="5"/>
      <c r="B3" s="5"/>
      <c r="C3" s="5"/>
    </row>
    <row r="4" customFormat="false" ht="15" hidden="false" customHeight="false" outlineLevel="0" collapsed="false">
      <c r="A4" s="5"/>
      <c r="B4" s="49" t="s">
        <v>249</v>
      </c>
      <c r="C4" s="49" t="s">
        <v>250</v>
      </c>
    </row>
    <row r="5" customFormat="false" ht="30" hidden="false" customHeight="true" outlineLevel="0" collapsed="false">
      <c r="A5" s="5"/>
      <c r="B5" s="5"/>
      <c r="C5" s="69" t="s">
        <v>251</v>
      </c>
    </row>
    <row r="6" customFormat="false" ht="15" hidden="false" customHeight="false" outlineLevel="0" collapsed="false">
      <c r="A6" s="5"/>
      <c r="B6" s="49" t="s">
        <v>252</v>
      </c>
      <c r="C6" s="49" t="s">
        <v>253</v>
      </c>
    </row>
    <row r="7" customFormat="false" ht="30" hidden="false" customHeight="true" outlineLevel="0" collapsed="false">
      <c r="A7" s="5"/>
      <c r="B7" s="5"/>
      <c r="C7" s="69" t="s">
        <v>254</v>
      </c>
    </row>
    <row r="8" customFormat="false" ht="30" hidden="false" customHeight="true" outlineLevel="0" collapsed="false">
      <c r="A8" s="5"/>
      <c r="B8" s="5"/>
      <c r="C8" s="69" t="s">
        <v>255</v>
      </c>
    </row>
    <row r="9" customFormat="false" ht="15" hidden="false" customHeight="false" outlineLevel="0" collapsed="false">
      <c r="A9" s="5"/>
      <c r="B9" s="49" t="s">
        <v>256</v>
      </c>
      <c r="C9" s="49" t="s">
        <v>257</v>
      </c>
    </row>
    <row r="10" customFormat="false" ht="30" hidden="false" customHeight="true" outlineLevel="0" collapsed="false">
      <c r="A10" s="5"/>
      <c r="B10" s="5"/>
      <c r="C10" s="69" t="s">
        <v>258</v>
      </c>
    </row>
    <row r="11" customFormat="false" ht="30" hidden="false" customHeight="true" outlineLevel="0" collapsed="false">
      <c r="A11" s="5"/>
      <c r="B11" s="5"/>
      <c r="C11" s="69" t="s">
        <v>259</v>
      </c>
    </row>
    <row r="12" customFormat="false" ht="30" hidden="false" customHeight="true" outlineLevel="0" collapsed="false">
      <c r="A12" s="5"/>
      <c r="B12" s="5"/>
      <c r="C12" s="69" t="s">
        <v>260</v>
      </c>
    </row>
    <row r="13" customFormat="false" ht="30" hidden="false" customHeight="true" outlineLevel="0" collapsed="false">
      <c r="A13" s="5"/>
      <c r="B13" s="5"/>
      <c r="C13" s="69" t="s">
        <v>261</v>
      </c>
    </row>
    <row r="14" customFormat="false" ht="15" hidden="false" customHeight="false" outlineLevel="0" collapsed="false">
      <c r="A14" s="5"/>
      <c r="B14" s="49" t="s">
        <v>262</v>
      </c>
      <c r="C14" s="49" t="s">
        <v>263</v>
      </c>
    </row>
    <row r="15" customFormat="false" ht="30" hidden="false" customHeight="true" outlineLevel="0" collapsed="false">
      <c r="A15" s="5"/>
      <c r="B15" s="5"/>
      <c r="C15" s="69" t="str">
        <f aca="false">"Saldo per tanggal laporan: Rp "&amp;TEXT(NERACA!D7+NERACA!D8+NERACA!D9,"#,##0")&amp;" (tunai Rp "&amp;TEXT(NERACA!D7,"#,##0")&amp;", bank Rp "&amp;TEXT(NERACA!D8,"#,##0")&amp;", kas kecil Rp "&amp;TEXT(NERACA!D9,"#,##0")&amp;"). Saldo kas tunai perlu didukung berita acara kas opname."&amp;IF(NERACA!D8&lt;0," Saldo bank menurut catatan negatif, sehingga wajib direkonsiliasi dengan rekening koran.","")</f>
        <v>Saldo per tanggal laporan: Rp 53,281,608 (tunai Rp 51,913,400, bank Rp -2,739,792, kas kecil Rp 4,108,000). Saldo kas tunai perlu didukung berita acara kas opname. Saldo bank menurut catatan negatif, sehingga wajib direkonsiliasi dengan rekening koran.</v>
      </c>
    </row>
    <row r="16" customFormat="false" ht="15" hidden="false" customHeight="false" outlineLevel="0" collapsed="false">
      <c r="A16" s="5"/>
      <c r="B16" s="49" t="s">
        <v>264</v>
      </c>
      <c r="C16" s="49" t="s">
        <v>265</v>
      </c>
    </row>
    <row r="17" customFormat="false" ht="30" hidden="false" customHeight="true" outlineLevel="0" collapsed="false">
      <c r="A17" s="5"/>
      <c r="B17" s="5"/>
      <c r="C17" s="69" t="str">
        <f aca="false">"Piutang usaha Rp "&amp;TEXT(NERACA!D10,"#,##0")&amp;" merupakan omzet yang belum diterima (setoran tunai H+1 / settlement EDC). Piutang lain-lain Rp "&amp;TEXT(NERACA!D11,"#,##0")&amp;" terdiri dari bon karyawan dan pinjaman pihak lain, termasuk pinjaman pemilik."</f>
        <v>Piutang usaha Rp 0 merupakan omzet yang belum diterima (setoran tunai H+1 / settlement EDC). Piutang lain-lain Rp 8,133,335 terdiri dari bon karyawan dan pinjaman pihak lain, termasuk pinjaman pemilik.</v>
      </c>
    </row>
    <row r="18" customFormat="false" ht="15" hidden="false" customHeight="false" outlineLevel="0" collapsed="false">
      <c r="A18" s="5"/>
      <c r="B18" s="49" t="s">
        <v>266</v>
      </c>
      <c r="C18" s="49" t="s">
        <v>32</v>
      </c>
    </row>
    <row r="19" customFormat="false" ht="30" hidden="false" customHeight="true" outlineLevel="0" collapsed="false">
      <c r="A19" s="5"/>
      <c r="B19" s="5"/>
      <c r="C19" s="69" t="str">
        <f aca="false">"Harga perolehan Rp "&amp;TEXT(NERACA!D17,"#,##0")&amp;", akumulasi penyusutan Rp "&amp;TEXT(-NERACA!D18,"#,##0")&amp;". Aset yang dimiliki sebelum 2026 belum diinventarisasi sehingga belum tercermin di laporan ini."</f>
        <v>Harga perolehan Rp 42,023,410, akumulasi penyusutan Rp 2,564,119. Aset yang dimiliki sebelum 2026 belum diinventarisasi sehingga belum tercermin di laporan ini.</v>
      </c>
    </row>
    <row r="20" customFormat="false" ht="15" hidden="false" customHeight="false" outlineLevel="0" collapsed="false">
      <c r="A20" s="5"/>
      <c r="B20" s="49" t="s">
        <v>267</v>
      </c>
      <c r="C20" s="49" t="s">
        <v>268</v>
      </c>
    </row>
    <row r="21" customFormat="false" ht="30" hidden="false" customHeight="true" outlineLevel="0" collapsed="false">
      <c r="A21" s="5"/>
      <c r="B21" s="5"/>
      <c r="C21" s="69" t="str">
        <f aca="false">"Omzet yang dilaporkan untuk PBJT lebih rendah dari omzet tercatat. Estimasi PBJT kurang bayar s.d. tanggal laporan Rp "&amp;TEXT(PAJAK!J18,"#,##0")&amp;" (belum termasuk sanksi). Kewajiban PPh atas usaha belum dicatat dan sedang ditelaah."</f>
        <v>Omzet yang dilaporkan untuk PBJT lebih rendah dari omzet tercatat. Estimasi PBJT kurang bayar s.d. tanggal laporan Rp 59,326,181 (belum termasuk sanksi). Kewajiban PPh atas usaha belum dicatat dan sedang ditelaah.</v>
      </c>
    </row>
    <row r="22" customFormat="false" ht="15" hidden="false" customHeight="false" outlineLevel="0" collapsed="false">
      <c r="A22" s="5"/>
      <c r="B22" s="49" t="s">
        <v>269</v>
      </c>
      <c r="C22" s="49" t="s">
        <v>270</v>
      </c>
    </row>
    <row r="23" customFormat="false" ht="30" hidden="false" customHeight="true" outlineLevel="0" collapsed="false">
      <c r="A23" s="5"/>
      <c r="B23" s="5"/>
      <c r="C23" s="69" t="str">
        <f aca="false">"Modal pemilik awal tahun ditetapkan sebagai selisih aset dan liabilitas per 1 Januari. Prive s.d. tanggal laporan Rp "&amp;TEXT(-NERACA!D33,"#,##0")&amp;"."</f>
        <v>Modal pemilik awal tahun ditetapkan sebagai selisih aset dan liabilitas per 1 Januari. Prive s.d. tanggal laporan Rp 30,984,750.</v>
      </c>
    </row>
    <row r="24" customFormat="false" ht="15" hidden="false" customHeight="false" outlineLevel="0" collapsed="false">
      <c r="A24" s="5"/>
      <c r="B24" s="49" t="s">
        <v>271</v>
      </c>
      <c r="C24" s="49" t="s">
        <v>272</v>
      </c>
    </row>
    <row r="25" customFormat="false" ht="30" hidden="false" customHeight="true" outlineLevel="0" collapsed="false">
      <c r="A25" s="5"/>
      <c r="B25" s="5"/>
      <c r="C25" s="69" t="str">
        <f aca="false">"Event Maharia (Januari) menghasilkan rugi Rp "&amp;TEXT(-SUMIFS('ANALISIS EVENT'!F:F,'ANALISIS EVENT'!B:B,"Event Maharia"),"#,##0")&amp;", yang menjadi penyebab utama rugi kuartal I."</f>
        <v>Event Maharia (Januari) menghasilkan rugi Rp 46,680,054, yang menjadi penyebab utama rugi kuartal I.</v>
      </c>
    </row>
  </sheetData>
  <printOptions headings="false" gridLines="false" gridLinesSet="true" horizontalCentered="true" verticalCentered="false"/>
  <pageMargins left="0.4" right="0.4"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2828"/>
    <pageSetUpPr fitToPage="tru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16"/>
    <col collapsed="false" customWidth="true" hidden="false" outlineLevel="0" max="4" min="4" style="0" width="60"/>
    <col collapsed="false" customWidth="true" hidden="false" outlineLevel="0" max="5" min="5" style="0" width="42"/>
    <col collapsed="false" customWidth="true" hidden="false" outlineLevel="0" max="6" min="6" style="0" width="62"/>
    <col collapsed="false" customWidth="true" hidden="false" outlineLevel="0" max="7" min="7" style="0" width="12"/>
  </cols>
  <sheetData>
    <row r="1" customFormat="false" ht="19.7" hidden="false" customHeight="false" outlineLevel="0" collapsed="false">
      <c r="A1" s="17" t="s">
        <v>273</v>
      </c>
      <c r="B1" s="5"/>
      <c r="C1" s="5"/>
      <c r="D1" s="5"/>
      <c r="E1" s="5"/>
      <c r="F1" s="5"/>
      <c r="G1" s="5"/>
    </row>
    <row r="2" customFormat="false" ht="15" hidden="false" customHeight="false" outlineLevel="0" collapsed="false">
      <c r="A2" s="18" t="s">
        <v>274</v>
      </c>
      <c r="B2" s="5"/>
      <c r="C2" s="5"/>
      <c r="D2" s="5"/>
      <c r="E2" s="5"/>
      <c r="F2" s="5"/>
      <c r="G2" s="5"/>
    </row>
    <row r="3" customFormat="false" ht="15" hidden="false" customHeight="false" outlineLevel="0" collapsed="false">
      <c r="A3" s="5"/>
      <c r="B3" s="5"/>
      <c r="C3" s="5"/>
      <c r="D3" s="5"/>
      <c r="E3" s="5"/>
      <c r="F3" s="5"/>
      <c r="G3" s="5"/>
    </row>
    <row r="4" customFormat="false" ht="15" hidden="false" customHeight="false" outlineLevel="0" collapsed="false">
      <c r="A4" s="20" t="s">
        <v>62</v>
      </c>
      <c r="B4" s="20" t="s">
        <v>275</v>
      </c>
      <c r="C4" s="20" t="s">
        <v>276</v>
      </c>
      <c r="D4" s="20" t="s">
        <v>277</v>
      </c>
      <c r="E4" s="20" t="s">
        <v>278</v>
      </c>
      <c r="F4" s="20" t="s">
        <v>279</v>
      </c>
      <c r="G4" s="20" t="s">
        <v>280</v>
      </c>
    </row>
    <row r="5" customFormat="false" ht="63.75" hidden="false" customHeight="true" outlineLevel="0" collapsed="false">
      <c r="A5" s="70" t="n">
        <v>1</v>
      </c>
      <c r="B5" s="70" t="s">
        <v>281</v>
      </c>
      <c r="C5" s="71" t="s">
        <v>282</v>
      </c>
      <c r="D5" s="72" t="s">
        <v>283</v>
      </c>
      <c r="E5" s="72" t="s">
        <v>284</v>
      </c>
      <c r="F5" s="72" t="s">
        <v>285</v>
      </c>
      <c r="G5" s="73"/>
    </row>
    <row r="6" customFormat="false" ht="63.75" hidden="false" customHeight="true" outlineLevel="0" collapsed="false">
      <c r="A6" s="70" t="n">
        <v>2</v>
      </c>
      <c r="B6" s="70" t="s">
        <v>281</v>
      </c>
      <c r="C6" s="71" t="s">
        <v>282</v>
      </c>
      <c r="D6" s="72" t="s">
        <v>286</v>
      </c>
      <c r="E6" s="72" t="s">
        <v>287</v>
      </c>
      <c r="F6" s="72" t="s">
        <v>288</v>
      </c>
      <c r="G6" s="73"/>
    </row>
    <row r="7" customFormat="false" ht="63.75" hidden="false" customHeight="true" outlineLevel="0" collapsed="false">
      <c r="A7" s="70" t="n">
        <v>3</v>
      </c>
      <c r="B7" s="70" t="s">
        <v>281</v>
      </c>
      <c r="C7" s="71" t="s">
        <v>289</v>
      </c>
      <c r="D7" s="72" t="s">
        <v>290</v>
      </c>
      <c r="E7" s="72" t="s">
        <v>291</v>
      </c>
      <c r="F7" s="72" t="s">
        <v>292</v>
      </c>
      <c r="G7" s="73"/>
    </row>
    <row r="8" customFormat="false" ht="63.75" hidden="false" customHeight="true" outlineLevel="0" collapsed="false">
      <c r="A8" s="70" t="n">
        <v>4</v>
      </c>
      <c r="B8" s="70" t="s">
        <v>281</v>
      </c>
      <c r="C8" s="71" t="s">
        <v>293</v>
      </c>
      <c r="D8" s="72" t="s">
        <v>294</v>
      </c>
      <c r="E8" s="72" t="s">
        <v>295</v>
      </c>
      <c r="F8" s="72" t="s">
        <v>296</v>
      </c>
      <c r="G8" s="73"/>
    </row>
    <row r="9" customFormat="false" ht="63.75" hidden="false" customHeight="true" outlineLevel="0" collapsed="false">
      <c r="A9" s="70" t="n">
        <v>5</v>
      </c>
      <c r="B9" s="70" t="s">
        <v>281</v>
      </c>
      <c r="C9" s="71" t="s">
        <v>297</v>
      </c>
      <c r="D9" s="72" t="s">
        <v>298</v>
      </c>
      <c r="E9" s="72" t="s">
        <v>299</v>
      </c>
      <c r="F9" s="72" t="s">
        <v>300</v>
      </c>
      <c r="G9" s="73"/>
    </row>
    <row r="10" customFormat="false" ht="63.75" hidden="false" customHeight="true" outlineLevel="0" collapsed="false">
      <c r="A10" s="70" t="n">
        <v>6</v>
      </c>
      <c r="B10" s="70" t="s">
        <v>281</v>
      </c>
      <c r="C10" s="71" t="s">
        <v>301</v>
      </c>
      <c r="D10" s="72" t="s">
        <v>302</v>
      </c>
      <c r="E10" s="72" t="s">
        <v>303</v>
      </c>
      <c r="F10" s="72" t="s">
        <v>304</v>
      </c>
      <c r="G10" s="73"/>
    </row>
    <row r="11" customFormat="false" ht="63.75" hidden="false" customHeight="true" outlineLevel="0" collapsed="false">
      <c r="A11" s="70" t="n">
        <v>7</v>
      </c>
      <c r="B11" s="70" t="s">
        <v>305</v>
      </c>
      <c r="C11" s="71" t="s">
        <v>306</v>
      </c>
      <c r="D11" s="72" t="s">
        <v>307</v>
      </c>
      <c r="E11" s="72" t="s">
        <v>308</v>
      </c>
      <c r="F11" s="72" t="s">
        <v>309</v>
      </c>
      <c r="G11" s="73"/>
    </row>
    <row r="12" customFormat="false" ht="63.75" hidden="false" customHeight="true" outlineLevel="0" collapsed="false">
      <c r="A12" s="70" t="n">
        <v>8</v>
      </c>
      <c r="B12" s="70" t="s">
        <v>305</v>
      </c>
      <c r="C12" s="71" t="s">
        <v>310</v>
      </c>
      <c r="D12" s="72" t="s">
        <v>311</v>
      </c>
      <c r="E12" s="72" t="s">
        <v>312</v>
      </c>
      <c r="F12" s="72" t="s">
        <v>313</v>
      </c>
      <c r="G12" s="73"/>
    </row>
    <row r="13" customFormat="false" ht="63.75" hidden="false" customHeight="true" outlineLevel="0" collapsed="false">
      <c r="A13" s="70" t="n">
        <v>9</v>
      </c>
      <c r="B13" s="70" t="s">
        <v>305</v>
      </c>
      <c r="C13" s="71" t="s">
        <v>314</v>
      </c>
      <c r="D13" s="72" t="s">
        <v>315</v>
      </c>
      <c r="E13" s="72" t="s">
        <v>316</v>
      </c>
      <c r="F13" s="72" t="s">
        <v>317</v>
      </c>
      <c r="G13" s="73"/>
    </row>
    <row r="14" customFormat="false" ht="63.75" hidden="false" customHeight="true" outlineLevel="0" collapsed="false">
      <c r="A14" s="70" t="n">
        <v>10</v>
      </c>
      <c r="B14" s="70" t="s">
        <v>305</v>
      </c>
      <c r="C14" s="71" t="s">
        <v>318</v>
      </c>
      <c r="D14" s="72" t="s">
        <v>319</v>
      </c>
      <c r="E14" s="72" t="s">
        <v>320</v>
      </c>
      <c r="F14" s="72" t="s">
        <v>321</v>
      </c>
      <c r="G14" s="73"/>
    </row>
    <row r="15" customFormat="false" ht="63.75" hidden="false" customHeight="true" outlineLevel="0" collapsed="false">
      <c r="A15" s="70" t="n">
        <v>11</v>
      </c>
      <c r="B15" s="70" t="s">
        <v>305</v>
      </c>
      <c r="C15" s="71" t="s">
        <v>322</v>
      </c>
      <c r="D15" s="72" t="s">
        <v>323</v>
      </c>
      <c r="E15" s="72" t="s">
        <v>324</v>
      </c>
      <c r="F15" s="72" t="s">
        <v>325</v>
      </c>
      <c r="G15" s="73"/>
    </row>
    <row r="16" customFormat="false" ht="63.75" hidden="false" customHeight="true" outlineLevel="0" collapsed="false">
      <c r="A16" s="70" t="n">
        <v>12</v>
      </c>
      <c r="B16" s="70" t="s">
        <v>305</v>
      </c>
      <c r="C16" s="71" t="s">
        <v>326</v>
      </c>
      <c r="D16" s="72" t="s">
        <v>327</v>
      </c>
      <c r="E16" s="72" t="s">
        <v>328</v>
      </c>
      <c r="F16" s="72" t="s">
        <v>329</v>
      </c>
      <c r="G16" s="73"/>
    </row>
    <row r="17" customFormat="false" ht="63.75" hidden="false" customHeight="true" outlineLevel="0" collapsed="false">
      <c r="A17" s="70" t="n">
        <v>13</v>
      </c>
      <c r="B17" s="70" t="s">
        <v>305</v>
      </c>
      <c r="C17" s="71" t="s">
        <v>129</v>
      </c>
      <c r="D17" s="72" t="s">
        <v>330</v>
      </c>
      <c r="E17" s="72" t="s">
        <v>331</v>
      </c>
      <c r="F17" s="72" t="s">
        <v>332</v>
      </c>
      <c r="G17" s="73"/>
    </row>
    <row r="18" customFormat="false" ht="63.75" hidden="false" customHeight="true" outlineLevel="0" collapsed="false">
      <c r="A18" s="70" t="n">
        <v>14</v>
      </c>
      <c r="B18" s="70" t="s">
        <v>333</v>
      </c>
      <c r="C18" s="71" t="s">
        <v>334</v>
      </c>
      <c r="D18" s="72" t="s">
        <v>335</v>
      </c>
      <c r="E18" s="72" t="s">
        <v>336</v>
      </c>
      <c r="F18" s="72" t="s">
        <v>337</v>
      </c>
      <c r="G18" s="73"/>
    </row>
    <row r="19" customFormat="false" ht="63.75" hidden="false" customHeight="true" outlineLevel="0" collapsed="false">
      <c r="A19" s="70" t="n">
        <v>15</v>
      </c>
      <c r="B19" s="70" t="s">
        <v>305</v>
      </c>
      <c r="C19" s="71" t="s">
        <v>338</v>
      </c>
      <c r="D19" s="72" t="s">
        <v>339</v>
      </c>
      <c r="E19" s="72" t="s">
        <v>340</v>
      </c>
      <c r="F19" s="72" t="s">
        <v>341</v>
      </c>
      <c r="G19" s="73"/>
    </row>
    <row r="20" customFormat="false" ht="63.75" hidden="false" customHeight="true" outlineLevel="0" collapsed="false">
      <c r="A20" s="70" t="n">
        <v>16</v>
      </c>
      <c r="B20" s="70" t="s">
        <v>333</v>
      </c>
      <c r="C20" s="71" t="s">
        <v>164</v>
      </c>
      <c r="D20" s="72" t="s">
        <v>342</v>
      </c>
      <c r="E20" s="72" t="s">
        <v>343</v>
      </c>
      <c r="F20" s="72" t="s">
        <v>344</v>
      </c>
      <c r="G20" s="73"/>
    </row>
    <row r="21" customFormat="false" ht="63.75" hidden="false" customHeight="true" outlineLevel="0" collapsed="false">
      <c r="A21" s="70" t="n">
        <v>17</v>
      </c>
      <c r="B21" s="70" t="s">
        <v>333</v>
      </c>
      <c r="C21" s="71" t="s">
        <v>322</v>
      </c>
      <c r="D21" s="72" t="s">
        <v>345</v>
      </c>
      <c r="E21" s="72" t="s">
        <v>346</v>
      </c>
      <c r="F21" s="72" t="s">
        <v>347</v>
      </c>
      <c r="G21" s="73"/>
    </row>
    <row r="22" customFormat="false" ht="63.75" hidden="false" customHeight="true" outlineLevel="0" collapsed="false">
      <c r="A22" s="70" t="n">
        <v>18</v>
      </c>
      <c r="B22" s="70" t="s">
        <v>333</v>
      </c>
      <c r="C22" s="71" t="s">
        <v>348</v>
      </c>
      <c r="D22" s="72" t="s">
        <v>349</v>
      </c>
      <c r="E22" s="72" t="s">
        <v>350</v>
      </c>
      <c r="F22" s="72" t="s">
        <v>351</v>
      </c>
      <c r="G22" s="73"/>
    </row>
    <row r="23" customFormat="false" ht="15" hidden="false" customHeight="false" outlineLevel="0" collapsed="false">
      <c r="A23" s="5"/>
      <c r="B23" s="5"/>
      <c r="C23" s="5"/>
      <c r="D23" s="5"/>
      <c r="E23" s="5"/>
      <c r="F23" s="5"/>
      <c r="G23" s="5"/>
    </row>
    <row r="24" customFormat="false" ht="15" hidden="false" customHeight="false" outlineLevel="0" collapsed="false">
      <c r="A24" s="5"/>
      <c r="B24" s="5"/>
      <c r="C24" s="5"/>
      <c r="D24" s="74" t="s">
        <v>352</v>
      </c>
      <c r="E24" s="5"/>
      <c r="F24" s="5"/>
      <c r="G24" s="5"/>
    </row>
    <row r="25" customFormat="false" ht="15" hidden="false" customHeight="false" outlineLevel="0" collapsed="false">
      <c r="A25" s="5"/>
      <c r="B25" s="5"/>
      <c r="C25" s="5"/>
      <c r="D25" s="75" t="s">
        <v>353</v>
      </c>
      <c r="E25" s="5"/>
      <c r="F25" s="5"/>
      <c r="G25" s="5"/>
    </row>
    <row r="26" customFormat="false" ht="15" hidden="false" customHeight="false" outlineLevel="0" collapsed="false">
      <c r="A26" s="5"/>
      <c r="B26" s="5"/>
      <c r="C26" s="5"/>
      <c r="D26" s="75" t="s">
        <v>354</v>
      </c>
      <c r="E26" s="5"/>
      <c r="F26" s="5"/>
      <c r="G26" s="5"/>
    </row>
    <row r="27" customFormat="false" ht="15" hidden="false" customHeight="false" outlineLevel="0" collapsed="false">
      <c r="A27" s="5"/>
      <c r="B27" s="5"/>
      <c r="C27" s="5"/>
      <c r="D27" s="75" t="s">
        <v>355</v>
      </c>
      <c r="E27" s="5"/>
      <c r="F27" s="5"/>
      <c r="G27" s="5"/>
    </row>
    <row r="28" customFormat="false" ht="15" hidden="false" customHeight="false" outlineLevel="0" collapsed="false">
      <c r="A28" s="5"/>
      <c r="B28" s="5"/>
      <c r="C28" s="5"/>
      <c r="D28" s="75" t="s">
        <v>356</v>
      </c>
      <c r="E28" s="5"/>
      <c r="F28" s="5"/>
      <c r="G28" s="5"/>
    </row>
    <row r="29" customFormat="false" ht="15" hidden="false" customHeight="false" outlineLevel="0" collapsed="false">
      <c r="A29" s="5"/>
      <c r="B29" s="5"/>
      <c r="C29" s="5"/>
      <c r="D29" s="75" t="s">
        <v>357</v>
      </c>
      <c r="E29" s="5"/>
      <c r="F29" s="5"/>
      <c r="G29" s="5"/>
    </row>
    <row r="30" customFormat="false" ht="15" hidden="false" customHeight="false" outlineLevel="0" collapsed="false">
      <c r="A30" s="5"/>
      <c r="B30" s="5"/>
      <c r="C30" s="5"/>
      <c r="D30" s="75" t="s">
        <v>358</v>
      </c>
      <c r="E30" s="5"/>
      <c r="F30" s="5"/>
      <c r="G30" s="5"/>
    </row>
  </sheetData>
  <dataValidations count="1">
    <dataValidation allowBlank="true" errorStyle="stop" operator="between" showDropDown="false" showErrorMessage="false" showInputMessage="false" sqref="G5:G22" type="list">
      <formula1>"Belum,Proses,Selesai"</formula1>
      <formula2>0</formula2>
    </dataValidation>
  </dataValidations>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tru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4" min="3" style="0" width="16"/>
    <col collapsed="false" customWidth="true" hidden="false" outlineLevel="0" max="5" min="5" style="0" width="11"/>
    <col collapsed="false" customWidth="true" hidden="false" outlineLevel="0" max="6" min="6" style="0" width="16"/>
    <col collapsed="false" customWidth="true" hidden="false" outlineLevel="0" max="8" min="7" style="0" width="15"/>
    <col collapsed="false" customWidth="true" hidden="false" outlineLevel="0" max="9" min="9" style="0" width="17"/>
    <col collapsed="false" customWidth="true" hidden="false" outlineLevel="0" max="10" min="10" style="0" width="16"/>
    <col collapsed="false" customWidth="true" hidden="false" outlineLevel="0" max="11" min="11" style="0" width="15"/>
    <col collapsed="false" customWidth="true" hidden="false" outlineLevel="0" max="12" min="12" style="0" width="9"/>
  </cols>
  <sheetData>
    <row r="1" customFormat="false" ht="19.7" hidden="false" customHeight="false" outlineLevel="0" collapsed="false">
      <c r="A1" s="17" t="s">
        <v>359</v>
      </c>
      <c r="B1" s="5"/>
      <c r="C1" s="5"/>
      <c r="D1" s="5"/>
      <c r="E1" s="5"/>
      <c r="F1" s="5"/>
      <c r="G1" s="5"/>
      <c r="H1" s="5"/>
      <c r="I1" s="5"/>
      <c r="J1" s="5"/>
      <c r="K1" s="5"/>
      <c r="L1" s="5"/>
    </row>
    <row r="2" customFormat="false" ht="15" hidden="false" customHeight="false" outlineLevel="0" collapsed="false">
      <c r="A2" s="18" t="s">
        <v>360</v>
      </c>
      <c r="B2" s="5"/>
      <c r="C2" s="5"/>
      <c r="D2" s="5"/>
      <c r="E2" s="5"/>
      <c r="F2" s="5"/>
      <c r="G2" s="5"/>
      <c r="H2" s="5"/>
      <c r="I2" s="5"/>
      <c r="J2" s="5"/>
      <c r="K2" s="5"/>
      <c r="L2" s="5"/>
    </row>
    <row r="3" customFormat="false" ht="15" hidden="false" customHeight="false" outlineLevel="0" collapsed="false">
      <c r="A3" s="5"/>
      <c r="B3" s="5"/>
      <c r="C3" s="5"/>
      <c r="D3" s="5"/>
      <c r="E3" s="5"/>
      <c r="F3" s="5"/>
      <c r="G3" s="5"/>
      <c r="H3" s="5"/>
      <c r="I3" s="5"/>
      <c r="J3" s="5"/>
      <c r="K3" s="5"/>
      <c r="L3" s="5"/>
    </row>
    <row r="4" customFormat="false" ht="15" hidden="false" customHeight="false" outlineLevel="0" collapsed="false">
      <c r="A4" s="5"/>
      <c r="B4" s="5"/>
      <c r="C4" s="5"/>
      <c r="D4" s="5"/>
      <c r="E4" s="5"/>
      <c r="F4" s="5"/>
      <c r="G4" s="5"/>
      <c r="H4" s="5"/>
      <c r="I4" s="5"/>
      <c r="J4" s="5"/>
      <c r="K4" s="5"/>
      <c r="L4" s="5"/>
    </row>
    <row r="5" customFormat="false" ht="31.5" hidden="false" customHeight="true" outlineLevel="0" collapsed="false">
      <c r="A5" s="20" t="s">
        <v>62</v>
      </c>
      <c r="B5" s="20" t="s">
        <v>63</v>
      </c>
      <c r="C5" s="20" t="s">
        <v>361</v>
      </c>
      <c r="D5" s="20" t="s">
        <v>362</v>
      </c>
      <c r="E5" s="20" t="s">
        <v>363</v>
      </c>
      <c r="F5" s="20" t="s">
        <v>364</v>
      </c>
      <c r="G5" s="20" t="s">
        <v>365</v>
      </c>
      <c r="H5" s="20" t="s">
        <v>366</v>
      </c>
      <c r="I5" s="20" t="s">
        <v>367</v>
      </c>
      <c r="J5" s="20" t="s">
        <v>368</v>
      </c>
      <c r="K5" s="20" t="s">
        <v>369</v>
      </c>
      <c r="L5" s="20" t="s">
        <v>370</v>
      </c>
    </row>
    <row r="6" customFormat="false" ht="15" hidden="false" customHeight="false" outlineLevel="0" collapsed="false">
      <c r="A6" s="5" t="n">
        <v>1</v>
      </c>
      <c r="B6" s="5" t="s">
        <v>66</v>
      </c>
      <c r="C6" s="44" t="n">
        <f aca="false">IF(A6&gt;BLN,"",SUMIFS(OZ_TOTAL,OZ_BLN,A6))</f>
        <v>90994150</v>
      </c>
      <c r="D6" s="76" t="n">
        <v>20562000</v>
      </c>
      <c r="E6" s="45" t="n">
        <f aca="false">IF(OR(A6&gt;BLN,N(C6)=0),"",N(D6)/C6)</f>
        <v>0.225970570635585</v>
      </c>
      <c r="F6" s="44" t="n">
        <f aca="false">IF(A6&gt;BLN,"",IF(INKL="YA",C6/(1+TARIF),C6))</f>
        <v>82721954.5454545</v>
      </c>
      <c r="G6" s="44" t="n">
        <f aca="false">IF(A6&gt;BLN,"",ROUND(F6*TARIF,0))</f>
        <v>8272195</v>
      </c>
      <c r="H6" s="76" t="n">
        <v>2056200</v>
      </c>
      <c r="I6" s="44" t="n">
        <f aca="false">IF(A6&gt;BLN,"",C6-N(D6))</f>
        <v>70432150</v>
      </c>
      <c r="J6" s="44" t="n">
        <f aca="false">IF(A6&gt;BLN,0,G6-H6)</f>
        <v>6215995</v>
      </c>
      <c r="K6" s="44" t="n">
        <f aca="false">IF(A6&gt;BLN,"",-SUMIFS(J_KAS,J_LAWAN,"Pajak Restoran",J_BLN,A6,J_THN,TAHUN))</f>
        <v>2056200</v>
      </c>
      <c r="L6" s="77" t="str">
        <f aca="false">IF(A6&gt;BLN,"",IF(ROUND(N(H6)-N(K6),0)=0,"✔","✘ beda"))</f>
        <v>✔</v>
      </c>
    </row>
    <row r="7" customFormat="false" ht="15" hidden="false" customHeight="false" outlineLevel="0" collapsed="false">
      <c r="A7" s="5" t="n">
        <v>2</v>
      </c>
      <c r="B7" s="5" t="s">
        <v>69</v>
      </c>
      <c r="C7" s="44" t="n">
        <f aca="false">IF(A7&gt;BLN,"",SUMIFS(OZ_TOTAL,OZ_BLN,A7))</f>
        <v>73205500</v>
      </c>
      <c r="D7" s="76" t="n">
        <v>16640000</v>
      </c>
      <c r="E7" s="45" t="n">
        <f aca="false">IF(OR(A7&gt;BLN,N(C7)=0),"",N(D7)/C7)</f>
        <v>0.227305325419538</v>
      </c>
      <c r="F7" s="44" t="n">
        <f aca="false">IF(A7&gt;BLN,"",IF(INKL="YA",C7/(1+TARIF),C7))</f>
        <v>66550454.5454545</v>
      </c>
      <c r="G7" s="44" t="n">
        <f aca="false">IF(A7&gt;BLN,"",ROUND(F7*TARIF,0))</f>
        <v>6655045</v>
      </c>
      <c r="H7" s="76" t="n">
        <v>1664000</v>
      </c>
      <c r="I7" s="44" t="n">
        <f aca="false">IF(A7&gt;BLN,"",C7-N(D7))</f>
        <v>56565500</v>
      </c>
      <c r="J7" s="44" t="n">
        <f aca="false">IF(A7&gt;BLN,0,G7-H7)</f>
        <v>4991045</v>
      </c>
      <c r="K7" s="44" t="n">
        <f aca="false">IF(A7&gt;BLN,"",-SUMIFS(J_KAS,J_LAWAN,"Pajak Restoran",J_BLN,A7,J_THN,TAHUN))</f>
        <v>1664000</v>
      </c>
      <c r="L7" s="77" t="str">
        <f aca="false">IF(A7&gt;BLN,"",IF(ROUND(N(H7)-N(K7),0)=0,"✔","✘ beda"))</f>
        <v>✔</v>
      </c>
    </row>
    <row r="8" customFormat="false" ht="15" hidden="false" customHeight="false" outlineLevel="0" collapsed="false">
      <c r="A8" s="5" t="n">
        <v>3</v>
      </c>
      <c r="B8" s="5" t="s">
        <v>72</v>
      </c>
      <c r="C8" s="44" t="n">
        <f aca="false">IF(A8&gt;BLN,"",SUMIFS(OZ_TOTAL,OZ_BLN,A8))</f>
        <v>102364050</v>
      </c>
      <c r="D8" s="76" t="n">
        <v>23100000</v>
      </c>
      <c r="E8" s="45" t="n">
        <f aca="false">IF(OR(A8&gt;BLN,N(C8)=0),"",N(D8)/C8)</f>
        <v>0.225665162720701</v>
      </c>
      <c r="F8" s="44" t="n">
        <f aca="false">IF(A8&gt;BLN,"",IF(INKL="YA",C8/(1+TARIF),C8))</f>
        <v>93058227.2727273</v>
      </c>
      <c r="G8" s="44" t="n">
        <f aca="false">IF(A8&gt;BLN,"",ROUND(F8*TARIF,0))</f>
        <v>9305823</v>
      </c>
      <c r="H8" s="76" t="n">
        <v>2310000</v>
      </c>
      <c r="I8" s="44" t="n">
        <f aca="false">IF(A8&gt;BLN,"",C8-N(D8))</f>
        <v>79264050</v>
      </c>
      <c r="J8" s="44" t="n">
        <f aca="false">IF(A8&gt;BLN,0,G8-H8)</f>
        <v>6995823</v>
      </c>
      <c r="K8" s="44" t="n">
        <f aca="false">IF(A8&gt;BLN,"",-SUMIFS(J_KAS,J_LAWAN,"Pajak Restoran",J_BLN,A8,J_THN,TAHUN))</f>
        <v>2310000</v>
      </c>
      <c r="L8" s="77" t="str">
        <f aca="false">IF(A8&gt;BLN,"",IF(ROUND(N(H8)-N(K8),0)=0,"✔","✘ beda"))</f>
        <v>✔</v>
      </c>
    </row>
    <row r="9" customFormat="false" ht="15" hidden="false" customHeight="false" outlineLevel="0" collapsed="false">
      <c r="A9" s="5" t="n">
        <v>4</v>
      </c>
      <c r="B9" s="5" t="s">
        <v>75</v>
      </c>
      <c r="C9" s="44" t="n">
        <f aca="false">IF(A9&gt;BLN,"",SUMIFS(OZ_TOTAL,OZ_BLN,A9))</f>
        <v>94568800</v>
      </c>
      <c r="D9" s="76" t="n">
        <v>20580000</v>
      </c>
      <c r="E9" s="45" t="n">
        <f aca="false">IF(OR(A9&gt;BLN,N(C9)=0),"",N(D9)/C9)</f>
        <v>0.21761934168563</v>
      </c>
      <c r="F9" s="44" t="n">
        <f aca="false">IF(A9&gt;BLN,"",IF(INKL="YA",C9/(1+TARIF),C9))</f>
        <v>85971636.3636364</v>
      </c>
      <c r="G9" s="44" t="n">
        <f aca="false">IF(A9&gt;BLN,"",ROUND(F9*TARIF,0))</f>
        <v>8597164</v>
      </c>
      <c r="H9" s="76" t="n">
        <v>2058000</v>
      </c>
      <c r="I9" s="44" t="n">
        <f aca="false">IF(A9&gt;BLN,"",C9-N(D9))</f>
        <v>73988800</v>
      </c>
      <c r="J9" s="44" t="n">
        <f aca="false">IF(A9&gt;BLN,0,G9-H9)</f>
        <v>6539164</v>
      </c>
      <c r="K9" s="44" t="n">
        <f aca="false">IF(A9&gt;BLN,"",-SUMIFS(J_KAS,J_LAWAN,"Pajak Restoran",J_BLN,A9,J_THN,TAHUN))</f>
        <v>2058000</v>
      </c>
      <c r="L9" s="77" t="str">
        <f aca="false">IF(A9&gt;BLN,"",IF(ROUND(N(H9)-N(K9),0)=0,"✔","✘ beda"))</f>
        <v>✔</v>
      </c>
    </row>
    <row r="10" customFormat="false" ht="15" hidden="false" customHeight="false" outlineLevel="0" collapsed="false">
      <c r="A10" s="5" t="n">
        <v>5</v>
      </c>
      <c r="B10" s="5" t="s">
        <v>79</v>
      </c>
      <c r="C10" s="44" t="n">
        <f aca="false">IF(A10&gt;BLN,"",SUMIFS(OZ_TOTAL,OZ_BLN,A10))</f>
        <v>111296950</v>
      </c>
      <c r="D10" s="76" t="n">
        <v>22570000</v>
      </c>
      <c r="E10" s="45" t="n">
        <f aca="false">IF(OR(A10&gt;BLN,N(C10)=0),"",N(D10)/C10)</f>
        <v>0.202790822210312</v>
      </c>
      <c r="F10" s="44" t="n">
        <f aca="false">IF(A10&gt;BLN,"",IF(INKL="YA",C10/(1+TARIF),C10))</f>
        <v>101179045.454545</v>
      </c>
      <c r="G10" s="44" t="n">
        <f aca="false">IF(A10&gt;BLN,"",ROUND(F10*TARIF,0))</f>
        <v>10117905</v>
      </c>
      <c r="H10" s="76" t="n">
        <v>2257000</v>
      </c>
      <c r="I10" s="44" t="n">
        <f aca="false">IF(A10&gt;BLN,"",C10-N(D10))</f>
        <v>88726950</v>
      </c>
      <c r="J10" s="44" t="n">
        <f aca="false">IF(A10&gt;BLN,0,G10-H10)</f>
        <v>7860905</v>
      </c>
      <c r="K10" s="44" t="n">
        <f aca="false">IF(A10&gt;BLN,"",-SUMIFS(J_KAS,J_LAWAN,"Pajak Restoran",J_BLN,A10,J_THN,TAHUN))</f>
        <v>2257000</v>
      </c>
      <c r="L10" s="77" t="str">
        <f aca="false">IF(A10&gt;BLN,"",IF(ROUND(N(H10)-N(K10),0)=0,"✔","✘ beda"))</f>
        <v>✔</v>
      </c>
    </row>
    <row r="11" customFormat="false" ht="15" hidden="false" customHeight="false" outlineLevel="0" collapsed="false">
      <c r="A11" s="5" t="n">
        <v>6</v>
      </c>
      <c r="B11" s="5" t="s">
        <v>82</v>
      </c>
      <c r="C11" s="44" t="n">
        <f aca="false">IF(A11&gt;BLN,"",SUMIFS(OZ_TOTAL,OZ_BLN,A11))</f>
        <v>105392500</v>
      </c>
      <c r="D11" s="76" t="n">
        <v>22320000</v>
      </c>
      <c r="E11" s="45" t="n">
        <f aca="false">IF(OR(A11&gt;BLN,N(C11)=0),"",N(D11)/C11)</f>
        <v>0.211779775600731</v>
      </c>
      <c r="F11" s="44" t="n">
        <f aca="false">IF(A11&gt;BLN,"",IF(INKL="YA",C11/(1+TARIF),C11))</f>
        <v>95811363.6363636</v>
      </c>
      <c r="G11" s="44" t="n">
        <f aca="false">IF(A11&gt;BLN,"",ROUND(F11*TARIF,0))</f>
        <v>9581136</v>
      </c>
      <c r="H11" s="76" t="n">
        <v>2232000</v>
      </c>
      <c r="I11" s="44" t="n">
        <f aca="false">IF(A11&gt;BLN,"",C11-N(D11))</f>
        <v>83072500</v>
      </c>
      <c r="J11" s="44" t="n">
        <f aca="false">IF(A11&gt;BLN,0,G11-H11)</f>
        <v>7349136</v>
      </c>
      <c r="K11" s="44" t="n">
        <f aca="false">IF(A11&gt;BLN,"",-SUMIFS(J_KAS,J_LAWAN,"Pajak Restoran",J_BLN,A11,J_THN,TAHUN))</f>
        <v>2232000</v>
      </c>
      <c r="L11" s="77" t="str">
        <f aca="false">IF(A11&gt;BLN,"",IF(ROUND(N(H11)-N(K11),0)=0,"✔","✘ beda"))</f>
        <v>✔</v>
      </c>
    </row>
    <row r="12" customFormat="false" ht="15" hidden="false" customHeight="false" outlineLevel="0" collapsed="false">
      <c r="A12" s="5" t="n">
        <v>7</v>
      </c>
      <c r="B12" s="5" t="s">
        <v>83</v>
      </c>
      <c r="C12" s="44" t="n">
        <f aca="false">IF(A12&gt;BLN,"",SUMIFS(OZ_TOTAL,OZ_BLN,A12))</f>
        <v>93959650</v>
      </c>
      <c r="D12" s="76" t="n">
        <v>20940000</v>
      </c>
      <c r="E12" s="45" t="n">
        <f aca="false">IF(OR(A12&gt;BLN,N(C12)=0),"",N(D12)/C12)</f>
        <v>0.222861621983479</v>
      </c>
      <c r="F12" s="44" t="n">
        <f aca="false">IF(A12&gt;BLN,"",IF(INKL="YA",C12/(1+TARIF),C12))</f>
        <v>85417863.6363636</v>
      </c>
      <c r="G12" s="44" t="n">
        <f aca="false">IF(A12&gt;BLN,"",ROUND(F12*TARIF,0))</f>
        <v>8541786</v>
      </c>
      <c r="H12" s="76" t="n">
        <v>2094000</v>
      </c>
      <c r="I12" s="44" t="n">
        <f aca="false">IF(A12&gt;BLN,"",C12-N(D12))</f>
        <v>73019650</v>
      </c>
      <c r="J12" s="44" t="n">
        <f aca="false">IF(A12&gt;BLN,0,G12-H12)</f>
        <v>6447786</v>
      </c>
      <c r="K12" s="44" t="n">
        <f aca="false">IF(A12&gt;BLN,"",-SUMIFS(J_KAS,J_LAWAN,"Pajak Restoran",J_BLN,A12,J_THN,TAHUN))</f>
        <v>2094000</v>
      </c>
      <c r="L12" s="77" t="str">
        <f aca="false">IF(A12&gt;BLN,"",IF(ROUND(N(H12)-N(K12),0)=0,"✔","✘ beda"))</f>
        <v>✔</v>
      </c>
    </row>
    <row r="13" customFormat="false" ht="15" hidden="false" customHeight="false" outlineLevel="0" collapsed="false">
      <c r="A13" s="5" t="n">
        <v>8</v>
      </c>
      <c r="B13" s="5" t="s">
        <v>86</v>
      </c>
      <c r="C13" s="44" t="n">
        <f aca="false">IF(A13&gt;BLN,"",SUMIFS(OZ_TOTAL,OZ_BLN,A13))</f>
        <v>94907750</v>
      </c>
      <c r="D13" s="76" t="n">
        <v>19951000</v>
      </c>
      <c r="E13" s="45" t="n">
        <f aca="false">IF(OR(A13&gt;BLN,N(C13)=0),"",N(D13)/C13)</f>
        <v>0.210214655810511</v>
      </c>
      <c r="F13" s="44" t="n">
        <f aca="false">IF(A13&gt;BLN,"",IF(INKL="YA",C13/(1+TARIF),C13))</f>
        <v>86279772.7272727</v>
      </c>
      <c r="G13" s="44" t="n">
        <f aca="false">IF(A13&gt;BLN,"",ROUND(F13*TARIF,0))</f>
        <v>8627977</v>
      </c>
      <c r="H13" s="76" t="n">
        <v>1995100</v>
      </c>
      <c r="I13" s="44" t="n">
        <f aca="false">IF(A13&gt;BLN,"",C13-N(D13))</f>
        <v>74956750</v>
      </c>
      <c r="J13" s="44" t="n">
        <f aca="false">IF(A13&gt;BLN,0,G13-H13)</f>
        <v>6632877</v>
      </c>
      <c r="K13" s="44" t="n">
        <f aca="false">IF(A13&gt;BLN,"",-SUMIFS(J_KAS,J_LAWAN,"Pajak Restoran",J_BLN,A13,J_THN,TAHUN))</f>
        <v>1995100</v>
      </c>
      <c r="L13" s="77" t="str">
        <f aca="false">IF(A13&gt;BLN,"",IF(ROUND(N(H13)-N(K13),0)=0,"✔","✘ beda"))</f>
        <v>✔</v>
      </c>
    </row>
    <row r="14" customFormat="false" ht="15" hidden="false" customHeight="false" outlineLevel="0" collapsed="false">
      <c r="A14" s="5" t="n">
        <v>9</v>
      </c>
      <c r="B14" s="5" t="s">
        <v>87</v>
      </c>
      <c r="C14" s="44" t="n">
        <f aca="false">IF(A14&gt;BLN,"",SUMIFS(OZ_TOTAL,OZ_BLN,A14))</f>
        <v>92283950</v>
      </c>
      <c r="D14" s="76" t="n">
        <v>20960000</v>
      </c>
      <c r="E14" s="45" t="n">
        <f aca="false">IF(OR(A14&gt;BLN,N(C14)=0),"",N(D14)/C14)</f>
        <v>0.227125085131271</v>
      </c>
      <c r="F14" s="44" t="n">
        <f aca="false">IF(A14&gt;BLN,"",IF(INKL="YA",C14/(1+TARIF),C14))</f>
        <v>83894500</v>
      </c>
      <c r="G14" s="44" t="n">
        <f aca="false">IF(A14&gt;BLN,"",ROUND(F14*TARIF,0))</f>
        <v>8389450</v>
      </c>
      <c r="H14" s="76" t="n">
        <v>2096000</v>
      </c>
      <c r="I14" s="44" t="n">
        <f aca="false">IF(A14&gt;BLN,"",C14-N(D14))</f>
        <v>71323950</v>
      </c>
      <c r="J14" s="44" t="n">
        <f aca="false">IF(A14&gt;BLN,0,G14-H14)</f>
        <v>6293450</v>
      </c>
      <c r="K14" s="44" t="n">
        <f aca="false">IF(A14&gt;BLN,"",-SUMIFS(J_KAS,J_LAWAN,"Pajak Restoran",J_BLN,A14,J_THN,TAHUN))</f>
        <v>2096000</v>
      </c>
      <c r="L14" s="77" t="str">
        <f aca="false">IF(A14&gt;BLN,"",IF(ROUND(N(H14)-N(K14),0)=0,"✔","✘ beda"))</f>
        <v>✔</v>
      </c>
    </row>
    <row r="15" customFormat="false" ht="15" hidden="false" customHeight="false" outlineLevel="0" collapsed="false">
      <c r="A15" s="5" t="n">
        <v>10</v>
      </c>
      <c r="B15" s="5" t="s">
        <v>90</v>
      </c>
      <c r="C15" s="44" t="str">
        <f aca="false">IF(A15&gt;BLN,"",SUMIFS(OZ_TOTAL,OZ_BLN,A15))</f>
        <v/>
      </c>
      <c r="D15" s="76"/>
      <c r="E15" s="45" t="str">
        <f aca="false">IF(OR(A15&gt;BLN,N(C15)=0),"",N(D15)/C15)</f>
        <v/>
      </c>
      <c r="F15" s="44" t="str">
        <f aca="false">IF(A15&gt;BLN,"",IF(INKL="YA",C15/(1+TARIF),C15))</f>
        <v/>
      </c>
      <c r="G15" s="44" t="str">
        <f aca="false">IF(A15&gt;BLN,"",ROUND(F15*TARIF,0))</f>
        <v/>
      </c>
      <c r="H15" s="76"/>
      <c r="I15" s="44" t="str">
        <f aca="false">IF(A15&gt;BLN,"",C15-N(D15))</f>
        <v/>
      </c>
      <c r="J15" s="44" t="n">
        <f aca="false">IF(A15&gt;BLN,0,G15-H15)</f>
        <v>0</v>
      </c>
      <c r="K15" s="44" t="str">
        <f aca="false">IF(A15&gt;BLN,"",-SUMIFS(J_KAS,J_LAWAN,"Pajak Restoran",J_BLN,A15,J_THN,TAHUN))</f>
        <v/>
      </c>
      <c r="L15" s="77" t="str">
        <f aca="false">IF(A15&gt;BLN,"",IF(ROUND(N(H15)-N(K15),0)=0,"✔","✘ beda"))</f>
        <v/>
      </c>
    </row>
    <row r="16" customFormat="false" ht="15" hidden="false" customHeight="false" outlineLevel="0" collapsed="false">
      <c r="A16" s="5" t="n">
        <v>11</v>
      </c>
      <c r="B16" s="5" t="s">
        <v>93</v>
      </c>
      <c r="C16" s="44" t="str">
        <f aca="false">IF(A16&gt;BLN,"",SUMIFS(OZ_TOTAL,OZ_BLN,A16))</f>
        <v/>
      </c>
      <c r="D16" s="76"/>
      <c r="E16" s="45" t="str">
        <f aca="false">IF(OR(A16&gt;BLN,N(C16)=0),"",N(D16)/C16)</f>
        <v/>
      </c>
      <c r="F16" s="44" t="str">
        <f aca="false">IF(A16&gt;BLN,"",IF(INKL="YA",C16/(1+TARIF),C16))</f>
        <v/>
      </c>
      <c r="G16" s="44" t="str">
        <f aca="false">IF(A16&gt;BLN,"",ROUND(F16*TARIF,0))</f>
        <v/>
      </c>
      <c r="H16" s="76"/>
      <c r="I16" s="44" t="str">
        <f aca="false">IF(A16&gt;BLN,"",C16-N(D16))</f>
        <v/>
      </c>
      <c r="J16" s="44" t="n">
        <f aca="false">IF(A16&gt;BLN,0,G16-H16)</f>
        <v>0</v>
      </c>
      <c r="K16" s="44" t="str">
        <f aca="false">IF(A16&gt;BLN,"",-SUMIFS(J_KAS,J_LAWAN,"Pajak Restoran",J_BLN,A16,J_THN,TAHUN))</f>
        <v/>
      </c>
      <c r="L16" s="77" t="str">
        <f aca="false">IF(A16&gt;BLN,"",IF(ROUND(N(H16)-N(K16),0)=0,"✔","✘ beda"))</f>
        <v/>
      </c>
    </row>
    <row r="17" customFormat="false" ht="15" hidden="false" customHeight="false" outlineLevel="0" collapsed="false">
      <c r="A17" s="5" t="n">
        <v>12</v>
      </c>
      <c r="B17" s="5" t="s">
        <v>96</v>
      </c>
      <c r="C17" s="44" t="str">
        <f aca="false">IF(A17&gt;BLN,"",SUMIFS(OZ_TOTAL,OZ_BLN,A17))</f>
        <v/>
      </c>
      <c r="D17" s="76"/>
      <c r="E17" s="45" t="str">
        <f aca="false">IF(OR(A17&gt;BLN,N(C17)=0),"",N(D17)/C17)</f>
        <v/>
      </c>
      <c r="F17" s="44" t="str">
        <f aca="false">IF(A17&gt;BLN,"",IF(INKL="YA",C17/(1+TARIF),C17))</f>
        <v/>
      </c>
      <c r="G17" s="44" t="str">
        <f aca="false">IF(A17&gt;BLN,"",ROUND(F17*TARIF,0))</f>
        <v/>
      </c>
      <c r="H17" s="76"/>
      <c r="I17" s="44" t="str">
        <f aca="false">IF(A17&gt;BLN,"",C17-N(D17))</f>
        <v/>
      </c>
      <c r="J17" s="44" t="n">
        <f aca="false">IF(A17&gt;BLN,0,G17-H17)</f>
        <v>0</v>
      </c>
      <c r="K17" s="44" t="str">
        <f aca="false">IF(A17&gt;BLN,"",-SUMIFS(J_KAS,J_LAWAN,"Pajak Restoran",J_BLN,A17,J_THN,TAHUN))</f>
        <v/>
      </c>
      <c r="L17" s="77" t="str">
        <f aca="false">IF(A17&gt;BLN,"",IF(ROUND(N(H17)-N(K17),0)=0,"✔","✘ beda"))</f>
        <v/>
      </c>
    </row>
    <row r="18" customFormat="false" ht="15" hidden="false" customHeight="false" outlineLevel="0" collapsed="false">
      <c r="A18" s="5"/>
      <c r="B18" s="13" t="s">
        <v>371</v>
      </c>
      <c r="C18" s="78" t="n">
        <f aca="false">SUMIFS(C6:C17,$A$6:$A$17,"&lt;="&amp;BLN)</f>
        <v>858973300</v>
      </c>
      <c r="D18" s="78" t="n">
        <f aca="false">SUMIFS(D6:D17,$A$6:$A$17,"&lt;="&amp;BLN)</f>
        <v>187623000</v>
      </c>
      <c r="E18" s="79" t="n">
        <f aca="false">IF(C18=0,"",D18/C18)</f>
        <v>0.218427045404089</v>
      </c>
      <c r="F18" s="78" t="n">
        <f aca="false">SUMIFS(F6:F17,$A$6:$A$17,"&lt;="&amp;BLN)</f>
        <v>780884818.181818</v>
      </c>
      <c r="G18" s="78" t="n">
        <f aca="false">SUMIFS(G6:G17,$A$6:$A$17,"&lt;="&amp;BLN)</f>
        <v>78088481</v>
      </c>
      <c r="H18" s="78" t="n">
        <f aca="false">SUMIFS(H6:H17,$A$6:$A$17,"&lt;="&amp;BLN)</f>
        <v>18762300</v>
      </c>
      <c r="I18" s="78" t="n">
        <f aca="false">SUMIFS(I6:I17,$A$6:$A$17,"&lt;="&amp;BLN)</f>
        <v>671350300</v>
      </c>
      <c r="J18" s="78" t="n">
        <f aca="false">SUMIFS(J6:J17,$A$6:$A$17,"&lt;="&amp;BLN)</f>
        <v>59326181</v>
      </c>
      <c r="K18" s="78" t="n">
        <f aca="false">SUMIFS(K6:K17,$A$6:$A$17,"&lt;="&amp;BLN)</f>
        <v>18762300</v>
      </c>
      <c r="L18" s="5"/>
    </row>
    <row r="19" customFormat="false" ht="15" hidden="false" customHeight="false" outlineLevel="0" collapsed="false">
      <c r="A19" s="5"/>
      <c r="B19" s="5"/>
      <c r="C19" s="5"/>
      <c r="D19" s="5"/>
      <c r="E19" s="5"/>
      <c r="F19" s="5"/>
      <c r="G19" s="5"/>
      <c r="H19" s="5"/>
      <c r="I19" s="5"/>
      <c r="J19" s="5"/>
      <c r="K19" s="5"/>
      <c r="L19" s="5"/>
    </row>
    <row r="20" customFormat="false" ht="15" hidden="false" customHeight="false" outlineLevel="0" collapsed="false">
      <c r="A20" s="5"/>
      <c r="B20" s="5"/>
      <c r="C20" s="5"/>
      <c r="D20" s="5"/>
      <c r="E20" s="5"/>
      <c r="F20" s="5"/>
      <c r="G20" s="5"/>
      <c r="H20" s="5"/>
      <c r="I20" s="5"/>
      <c r="J20" s="5"/>
      <c r="K20" s="5"/>
      <c r="L20" s="5"/>
    </row>
    <row r="21" customFormat="false" ht="15" hidden="false" customHeight="false" outlineLevel="0" collapsed="false">
      <c r="A21" s="5"/>
      <c r="B21" s="80" t="s">
        <v>372</v>
      </c>
      <c r="C21" s="5"/>
      <c r="D21" s="5"/>
      <c r="E21" s="5"/>
      <c r="F21" s="5"/>
      <c r="G21" s="5"/>
      <c r="H21" s="5"/>
      <c r="I21" s="5"/>
      <c r="J21" s="5"/>
      <c r="K21" s="5"/>
      <c r="L21" s="5"/>
    </row>
    <row r="22" customFormat="false" ht="15" hidden="false" customHeight="false" outlineLevel="0" collapsed="false">
      <c r="A22" s="5"/>
      <c r="B22" s="81" t="s">
        <v>373</v>
      </c>
      <c r="C22" s="5"/>
      <c r="D22" s="5"/>
      <c r="E22" s="5"/>
      <c r="F22" s="5"/>
      <c r="G22" s="5"/>
      <c r="H22" s="5"/>
      <c r="I22" s="5"/>
      <c r="J22" s="5"/>
      <c r="K22" s="5"/>
      <c r="L22" s="5"/>
    </row>
    <row r="23" customFormat="false" ht="15" hidden="false" customHeight="false" outlineLevel="0" collapsed="false">
      <c r="A23" s="5"/>
      <c r="B23" s="81" t="s">
        <v>374</v>
      </c>
      <c r="C23" s="5"/>
      <c r="D23" s="5"/>
      <c r="E23" s="5"/>
      <c r="F23" s="5"/>
      <c r="G23" s="5"/>
      <c r="H23" s="5"/>
      <c r="I23" s="5"/>
      <c r="J23" s="5"/>
      <c r="K23" s="5"/>
      <c r="L23" s="5"/>
    </row>
    <row r="24" customFormat="false" ht="15" hidden="false" customHeight="false" outlineLevel="0" collapsed="false">
      <c r="A24" s="5"/>
      <c r="B24" s="81" t="s">
        <v>375</v>
      </c>
      <c r="C24" s="5"/>
      <c r="D24" s="5"/>
      <c r="E24" s="5"/>
      <c r="F24" s="5"/>
      <c r="G24" s="5"/>
      <c r="H24" s="5"/>
      <c r="I24" s="5"/>
      <c r="J24" s="5"/>
      <c r="K24" s="5"/>
      <c r="L24" s="5"/>
    </row>
    <row r="25" customFormat="false" ht="15" hidden="false" customHeight="false" outlineLevel="0" collapsed="false">
      <c r="A25" s="5"/>
      <c r="B25" s="81" t="s">
        <v>376</v>
      </c>
      <c r="C25" s="5"/>
      <c r="D25" s="5"/>
      <c r="E25" s="5"/>
      <c r="F25" s="5"/>
      <c r="G25" s="5"/>
      <c r="H25" s="5"/>
      <c r="I25" s="5"/>
      <c r="J25" s="5"/>
      <c r="K25" s="5"/>
      <c r="L25" s="5"/>
    </row>
    <row r="26" customFormat="false" ht="15" hidden="false" customHeight="false" outlineLevel="0" collapsed="false">
      <c r="A26" s="5"/>
      <c r="B26" s="81" t="s">
        <v>377</v>
      </c>
      <c r="C26" s="5"/>
      <c r="D26" s="5"/>
      <c r="E26" s="5"/>
      <c r="F26" s="5"/>
      <c r="G26" s="5"/>
      <c r="H26" s="5"/>
      <c r="I26" s="5"/>
      <c r="J26" s="5"/>
      <c r="K26" s="5"/>
      <c r="L26" s="5"/>
    </row>
  </sheetData>
  <conditionalFormatting sqref="E6:E18">
    <cfRule type="cellIs" priority="2" operator="lessThan" aboveAverage="0" equalAverage="0" bottom="0" percent="0" rank="0" text="" dxfId="3">
      <formula>0.95</formula>
    </cfRule>
  </conditionalFormatting>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tru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4"/>
    <col collapsed="false" customWidth="true" hidden="false" outlineLevel="0" max="6" min="4" style="0" width="15"/>
    <col collapsed="false" customWidth="true" hidden="false" outlineLevel="0" max="7" min="7" style="0" width="14"/>
    <col collapsed="false" customWidth="true" hidden="false" outlineLevel="0" max="8" min="8" style="0" width="40"/>
  </cols>
  <sheetData>
    <row r="1" customFormat="false" ht="19.7" hidden="false" customHeight="false" outlineLevel="0" collapsed="false">
      <c r="A1" s="17" t="s">
        <v>378</v>
      </c>
      <c r="B1" s="5"/>
      <c r="C1" s="5"/>
      <c r="D1" s="5"/>
      <c r="E1" s="5"/>
      <c r="F1" s="5"/>
      <c r="G1" s="5"/>
      <c r="H1" s="5"/>
    </row>
    <row r="2" customFormat="false" ht="15" hidden="false" customHeight="false" outlineLevel="0" collapsed="false">
      <c r="A2" s="18" t="s">
        <v>379</v>
      </c>
      <c r="B2" s="5"/>
      <c r="C2" s="5"/>
      <c r="D2" s="5"/>
      <c r="E2" s="5"/>
      <c r="F2" s="5"/>
      <c r="G2" s="5"/>
      <c r="H2" s="5"/>
    </row>
    <row r="3" customFormat="false" ht="15" hidden="false" customHeight="false" outlineLevel="0" collapsed="false">
      <c r="A3" s="5"/>
      <c r="B3" s="5"/>
      <c r="C3" s="5"/>
      <c r="D3" s="5"/>
      <c r="E3" s="5"/>
      <c r="F3" s="5"/>
      <c r="G3" s="5"/>
      <c r="H3" s="5"/>
    </row>
    <row r="4" customFormat="false" ht="23.85" hidden="false" customHeight="false" outlineLevel="0" collapsed="false">
      <c r="A4" s="5"/>
      <c r="B4" s="20" t="s">
        <v>380</v>
      </c>
      <c r="C4" s="20" t="s">
        <v>381</v>
      </c>
      <c r="D4" s="20" t="s">
        <v>382</v>
      </c>
      <c r="E4" s="20" t="s">
        <v>383</v>
      </c>
      <c r="F4" s="20" t="s">
        <v>384</v>
      </c>
      <c r="G4" s="20" t="s">
        <v>385</v>
      </c>
      <c r="H4" s="20" t="s">
        <v>58</v>
      </c>
    </row>
    <row r="5" customFormat="false" ht="15" hidden="false" customHeight="false" outlineLevel="0" collapsed="false">
      <c r="A5" s="5"/>
      <c r="B5" s="82" t="s">
        <v>386</v>
      </c>
      <c r="C5" s="83" t="n">
        <f aca="false">_xlfn.MINIFS(J_TGL,J_TAG,B5)</f>
        <v>46024</v>
      </c>
      <c r="D5" s="44" t="n">
        <f aca="false">SUMIFS(J_NOM,J_TAG,B5,J_KELK,"PENDAPATAN")</f>
        <v>0</v>
      </c>
      <c r="E5" s="44" t="n">
        <f aca="false">SUMIFS(J_NOM,J_TAG,B5,J_KELD,"BEBAN")</f>
        <v>5630000</v>
      </c>
      <c r="F5" s="44" t="n">
        <f aca="false">D5-E5</f>
        <v>-5630000</v>
      </c>
      <c r="G5" s="84" t="str">
        <f aca="false">IF(D5=0,"",E5/D5)</f>
        <v/>
      </c>
      <c r="H5" s="5"/>
    </row>
    <row r="6" customFormat="false" ht="15" hidden="false" customHeight="false" outlineLevel="0" collapsed="false">
      <c r="A6" s="5"/>
      <c r="B6" s="82" t="s">
        <v>387</v>
      </c>
      <c r="C6" s="83" t="n">
        <f aca="false">_xlfn.MINIFS(J_TGL,J_TAG,B6)</f>
        <v>46027</v>
      </c>
      <c r="D6" s="44" t="n">
        <f aca="false">SUMIFS(J_NOM,J_TAG,B6,J_KELK,"PENDAPATAN")</f>
        <v>7870000</v>
      </c>
      <c r="E6" s="44" t="n">
        <f aca="false">SUMIFS(J_NOM,J_TAG,B6,J_KELD,"BEBAN")</f>
        <v>54550054</v>
      </c>
      <c r="F6" s="44" t="n">
        <f aca="false">D6-E6</f>
        <v>-46680054</v>
      </c>
      <c r="G6" s="84" t="n">
        <f aca="false">IF(D6=0,"",E6/D6)</f>
        <v>6.9313918678526</v>
      </c>
      <c r="H6" s="75" t="s">
        <v>388</v>
      </c>
    </row>
    <row r="7" customFormat="false" ht="15" hidden="false" customHeight="false" outlineLevel="0" collapsed="false">
      <c r="A7" s="5"/>
      <c r="B7" s="82" t="s">
        <v>389</v>
      </c>
      <c r="C7" s="83" t="n">
        <f aca="false">_xlfn.MINIFS(J_TGL,J_TAG,B7)</f>
        <v>46137</v>
      </c>
      <c r="D7" s="44" t="n">
        <f aca="false">SUMIFS(J_NOM,J_TAG,B7,J_KELK,"PENDAPATAN")</f>
        <v>1000000</v>
      </c>
      <c r="E7" s="44" t="n">
        <f aca="false">SUMIFS(J_NOM,J_TAG,B7,J_KELD,"BEBAN")</f>
        <v>1727601</v>
      </c>
      <c r="F7" s="44" t="n">
        <f aca="false">D7-E7</f>
        <v>-727601</v>
      </c>
      <c r="G7" s="84" t="n">
        <f aca="false">IF(D7=0,"",E7/D7)</f>
        <v>1.727601</v>
      </c>
      <c r="H7" s="5"/>
    </row>
    <row r="8" customFormat="false" ht="15" hidden="false" customHeight="false" outlineLevel="0" collapsed="false">
      <c r="A8" s="5"/>
      <c r="B8" s="82" t="s">
        <v>390</v>
      </c>
      <c r="C8" s="83" t="n">
        <f aca="false">_xlfn.MINIFS(J_TGL,J_TAG,B8)</f>
        <v>46233</v>
      </c>
      <c r="D8" s="44" t="n">
        <f aca="false">SUMIFS(J_NOM,J_TAG,B8,J_KELK,"PENDAPATAN")</f>
        <v>1610000</v>
      </c>
      <c r="E8" s="44" t="n">
        <f aca="false">SUMIFS(J_NOM,J_TAG,B8,J_KELD,"BEBAN")</f>
        <v>373000</v>
      </c>
      <c r="F8" s="44" t="n">
        <f aca="false">D8-E8</f>
        <v>1237000</v>
      </c>
      <c r="G8" s="84" t="n">
        <f aca="false">IF(D8=0,"",E8/D8)</f>
        <v>0.23167701863354</v>
      </c>
      <c r="H8" s="5"/>
    </row>
    <row r="9" customFormat="false" ht="15" hidden="false" customHeight="false" outlineLevel="0" collapsed="false">
      <c r="A9" s="5"/>
      <c r="B9" s="82" t="s">
        <v>391</v>
      </c>
      <c r="C9" s="83" t="n">
        <f aca="false">_xlfn.MINIFS(J_TGL,J_TAG,B9)</f>
        <v>46263</v>
      </c>
      <c r="D9" s="44" t="n">
        <f aca="false">SUMIFS(J_NOM,J_TAG,B9,J_KELK,"PENDAPATAN")</f>
        <v>1994000</v>
      </c>
      <c r="E9" s="44" t="n">
        <f aca="false">SUMIFS(J_NOM,J_TAG,B9,J_KELD,"BEBAN")</f>
        <v>8872000</v>
      </c>
      <c r="F9" s="44" t="n">
        <f aca="false">D9-E9</f>
        <v>-6878000</v>
      </c>
      <c r="G9" s="84" t="n">
        <f aca="false">IF(D9=0,"",E9/D9)</f>
        <v>4.4493480441324</v>
      </c>
      <c r="H9" s="5"/>
    </row>
    <row r="10" customFormat="false" ht="15" hidden="false" customHeight="false" outlineLevel="0" collapsed="false">
      <c r="A10" s="5"/>
      <c r="B10" s="82" t="s">
        <v>392</v>
      </c>
      <c r="C10" s="83" t="n">
        <f aca="false">_xlfn.MINIFS(J_TGL,J_TAG,B10)</f>
        <v>46278</v>
      </c>
      <c r="D10" s="44" t="n">
        <f aca="false">SUMIFS(J_NOM,J_TAG,B10,J_KELK,"PENDAPATAN")</f>
        <v>1394250</v>
      </c>
      <c r="E10" s="44" t="n">
        <f aca="false">SUMIFS(J_NOM,J_TAG,B10,J_KELD,"BEBAN")</f>
        <v>0</v>
      </c>
      <c r="F10" s="44" t="n">
        <f aca="false">D10-E10</f>
        <v>1394250</v>
      </c>
      <c r="G10" s="84" t="n">
        <f aca="false">IF(D10=0,"",E10/D10)</f>
        <v>0</v>
      </c>
      <c r="H10" s="5"/>
    </row>
    <row r="11" customFormat="false" ht="15" hidden="false" customHeight="false" outlineLevel="0" collapsed="false">
      <c r="A11" s="5"/>
      <c r="B11" s="13" t="s">
        <v>393</v>
      </c>
      <c r="C11" s="5"/>
      <c r="D11" s="78" t="n">
        <f aca="false">SUM(D5:D10)</f>
        <v>13868250</v>
      </c>
      <c r="E11" s="78" t="n">
        <f aca="false">SUM(E5:E10)</f>
        <v>71152655</v>
      </c>
      <c r="F11" s="78" t="n">
        <f aca="false">SUM(F5:F10)</f>
        <v>-57284405</v>
      </c>
      <c r="G11" s="5"/>
      <c r="H11" s="5"/>
    </row>
    <row r="12" customFormat="false" ht="15" hidden="false" customHeight="false" outlineLevel="0" collapsed="false">
      <c r="A12" s="5"/>
      <c r="B12" s="5"/>
      <c r="C12" s="5"/>
      <c r="D12" s="5"/>
      <c r="E12" s="5"/>
      <c r="F12" s="5"/>
      <c r="G12" s="5"/>
      <c r="H12" s="5"/>
    </row>
    <row r="13" customFormat="false" ht="15" hidden="false" customHeight="false" outlineLevel="0" collapsed="false">
      <c r="A13" s="5"/>
      <c r="B13" s="22" t="s">
        <v>394</v>
      </c>
      <c r="C13" s="5"/>
      <c r="D13" s="5"/>
      <c r="E13" s="5"/>
      <c r="F13" s="5"/>
      <c r="G13" s="5"/>
      <c r="H13" s="5"/>
    </row>
    <row r="14" customFormat="false" ht="15" hidden="false" customHeight="false" outlineLevel="0" collapsed="false">
      <c r="A14" s="5"/>
      <c r="B14" s="22" t="s">
        <v>395</v>
      </c>
      <c r="C14" s="5"/>
      <c r="D14" s="5"/>
      <c r="E14" s="5"/>
      <c r="F14" s="5"/>
      <c r="G14" s="5"/>
      <c r="H14" s="5"/>
    </row>
  </sheetData>
  <conditionalFormatting sqref="F5:F11">
    <cfRule type="cellIs" priority="2" operator="lessThan" aboveAverage="0" equalAverage="0" bottom="0" percent="0" rank="0" text="" dxfId="2">
      <formula>0</formula>
    </cfRule>
  </conditionalFormatting>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true"/>
  </sheetPr>
  <dimension ref="A1:O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4" min="3" style="0" width="12"/>
    <col collapsed="false" customWidth="true" hidden="false" outlineLevel="0" max="15" min="15" style="0" width="15"/>
  </cols>
  <sheetData>
    <row r="1" customFormat="false" ht="19.7" hidden="false" customHeight="false" outlineLevel="0" collapsed="false">
      <c r="A1" s="17" t="s">
        <v>396</v>
      </c>
      <c r="B1" s="5"/>
      <c r="C1" s="5"/>
      <c r="D1" s="5"/>
      <c r="E1" s="5"/>
      <c r="F1" s="5"/>
      <c r="G1" s="5"/>
      <c r="H1" s="5"/>
      <c r="I1" s="5"/>
      <c r="J1" s="5"/>
      <c r="K1" s="5"/>
      <c r="L1" s="5"/>
      <c r="M1" s="5"/>
      <c r="N1" s="5"/>
      <c r="O1" s="5"/>
    </row>
    <row r="2" customFormat="false" ht="15" hidden="false" customHeight="false" outlineLevel="0" collapsed="false">
      <c r="A2" s="18" t="s">
        <v>397</v>
      </c>
      <c r="B2" s="5"/>
      <c r="C2" s="5"/>
      <c r="D2" s="5"/>
      <c r="E2" s="5"/>
      <c r="F2" s="5"/>
      <c r="G2" s="5"/>
      <c r="H2" s="5"/>
      <c r="I2" s="5"/>
      <c r="J2" s="5"/>
      <c r="K2" s="5"/>
      <c r="L2" s="5"/>
      <c r="M2" s="5"/>
      <c r="N2" s="5"/>
      <c r="O2" s="5"/>
    </row>
    <row r="3" customFormat="false" ht="15" hidden="false" customHeight="false" outlineLevel="0" collapsed="false">
      <c r="A3" s="5"/>
      <c r="B3" s="5"/>
      <c r="C3" s="5"/>
      <c r="D3" s="5"/>
      <c r="E3" s="5"/>
      <c r="F3" s="5"/>
      <c r="G3" s="5"/>
      <c r="H3" s="5"/>
      <c r="I3" s="5"/>
      <c r="J3" s="5"/>
      <c r="K3" s="5"/>
      <c r="L3" s="5"/>
      <c r="M3" s="5"/>
      <c r="N3" s="5"/>
      <c r="O3" s="5"/>
    </row>
    <row r="4" customFormat="false" ht="15" hidden="false" customHeight="false" outlineLevel="0" collapsed="false">
      <c r="A4" s="5"/>
      <c r="B4" s="19" t="s">
        <v>58</v>
      </c>
      <c r="C4" s="20" t="s">
        <v>113</v>
      </c>
      <c r="D4" s="20" t="s">
        <v>114</v>
      </c>
      <c r="E4" s="20" t="s">
        <v>115</v>
      </c>
      <c r="F4" s="20" t="s">
        <v>116</v>
      </c>
      <c r="G4" s="20" t="s">
        <v>79</v>
      </c>
      <c r="H4" s="20" t="s">
        <v>117</v>
      </c>
      <c r="I4" s="20" t="s">
        <v>118</v>
      </c>
      <c r="J4" s="20" t="s">
        <v>119</v>
      </c>
      <c r="K4" s="20" t="s">
        <v>120</v>
      </c>
      <c r="L4" s="20" t="s">
        <v>121</v>
      </c>
      <c r="M4" s="20" t="s">
        <v>122</v>
      </c>
      <c r="N4" s="20" t="s">
        <v>123</v>
      </c>
      <c r="O4" s="20" t="s">
        <v>398</v>
      </c>
    </row>
    <row r="5" customFormat="false" ht="15" hidden="false" customHeight="false" outlineLevel="0" collapsed="false">
      <c r="A5" s="5"/>
      <c r="B5" s="5"/>
      <c r="C5" s="66" t="n">
        <v>1</v>
      </c>
      <c r="D5" s="66" t="n">
        <v>2</v>
      </c>
      <c r="E5" s="66" t="n">
        <v>3</v>
      </c>
      <c r="F5" s="66" t="n">
        <v>4</v>
      </c>
      <c r="G5" s="66" t="n">
        <v>5</v>
      </c>
      <c r="H5" s="66" t="n">
        <v>6</v>
      </c>
      <c r="I5" s="66" t="n">
        <v>7</v>
      </c>
      <c r="J5" s="66" t="n">
        <v>8</v>
      </c>
      <c r="K5" s="66" t="n">
        <v>9</v>
      </c>
      <c r="L5" s="66" t="n">
        <v>10</v>
      </c>
      <c r="M5" s="66" t="n">
        <v>11</v>
      </c>
      <c r="N5" s="66" t="n">
        <v>12</v>
      </c>
      <c r="O5" s="5"/>
    </row>
    <row r="6" customFormat="false" ht="15" hidden="false" customHeight="false" outlineLevel="0" collapsed="false">
      <c r="A6" s="5"/>
      <c r="B6" s="13" t="s">
        <v>399</v>
      </c>
      <c r="C6" s="85" t="n">
        <f aca="false">SUMIFS('OMZET HARIAN'!$E$5:$E$369,OZ_BLN,C$5)</f>
        <v>90994150</v>
      </c>
      <c r="D6" s="85" t="n">
        <f aca="false">SUMIFS('OMZET HARIAN'!$E$5:$E$369,OZ_BLN,D$5)</f>
        <v>73205500</v>
      </c>
      <c r="E6" s="85" t="n">
        <f aca="false">SUMIFS('OMZET HARIAN'!$E$5:$E$369,OZ_BLN,E$5)</f>
        <v>102364050</v>
      </c>
      <c r="F6" s="85" t="n">
        <f aca="false">SUMIFS('OMZET HARIAN'!$E$5:$E$369,OZ_BLN,F$5)</f>
        <v>94568800</v>
      </c>
      <c r="G6" s="85" t="n">
        <f aca="false">SUMIFS('OMZET HARIAN'!$E$5:$E$369,OZ_BLN,G$5)</f>
        <v>111296950</v>
      </c>
      <c r="H6" s="85" t="n">
        <f aca="false">SUMIFS('OMZET HARIAN'!$E$5:$E$369,OZ_BLN,H$5)</f>
        <v>105392500</v>
      </c>
      <c r="I6" s="85" t="n">
        <f aca="false">SUMIFS('OMZET HARIAN'!$E$5:$E$369,OZ_BLN,I$5)</f>
        <v>93959650</v>
      </c>
      <c r="J6" s="85" t="n">
        <f aca="false">SUMIFS('OMZET HARIAN'!$E$5:$E$369,OZ_BLN,J$5)</f>
        <v>94907750</v>
      </c>
      <c r="K6" s="85" t="n">
        <f aca="false">SUMIFS('OMZET HARIAN'!$E$5:$E$369,OZ_BLN,K$5)</f>
        <v>92283950</v>
      </c>
      <c r="L6" s="85" t="n">
        <f aca="false">SUMIFS('OMZET HARIAN'!$E$5:$E$369,OZ_BLN,L$5)</f>
        <v>33169900</v>
      </c>
      <c r="M6" s="85" t="n">
        <f aca="false">SUMIFS('OMZET HARIAN'!$E$5:$E$369,OZ_BLN,M$5)</f>
        <v>0</v>
      </c>
      <c r="N6" s="85" t="n">
        <f aca="false">SUMIFS('OMZET HARIAN'!$E$5:$E$369,OZ_BLN,N$5)</f>
        <v>0</v>
      </c>
      <c r="O6" s="85" t="n">
        <f aca="false">SUM(C6:N6)</f>
        <v>892143200</v>
      </c>
    </row>
    <row r="7" customFormat="false" ht="15" hidden="false" customHeight="false" outlineLevel="0" collapsed="false">
      <c r="A7" s="5"/>
      <c r="B7" s="10" t="s">
        <v>400</v>
      </c>
      <c r="C7" s="44" t="n">
        <f aca="false">SUMIFS('OMZET HARIAN'!$C$5:$C$369,OZ_BLN,C$5)</f>
        <v>25237450</v>
      </c>
      <c r="D7" s="44" t="n">
        <f aca="false">SUMIFS('OMZET HARIAN'!$C$5:$C$369,OZ_BLN,D$5)</f>
        <v>21958400</v>
      </c>
      <c r="E7" s="44" t="n">
        <f aca="false">SUMIFS('OMZET HARIAN'!$C$5:$C$369,OZ_BLN,E$5)</f>
        <v>32347300</v>
      </c>
      <c r="F7" s="44" t="n">
        <f aca="false">SUMIFS('OMZET HARIAN'!$C$5:$C$369,OZ_BLN,F$5)</f>
        <v>29245650</v>
      </c>
      <c r="G7" s="44" t="n">
        <f aca="false">SUMIFS('OMZET HARIAN'!$C$5:$C$369,OZ_BLN,G$5)</f>
        <v>32636000</v>
      </c>
      <c r="H7" s="44" t="n">
        <f aca="false">SUMIFS('OMZET HARIAN'!$C$5:$C$369,OZ_BLN,H$5)</f>
        <v>25968500</v>
      </c>
      <c r="I7" s="44" t="n">
        <f aca="false">SUMIFS('OMZET HARIAN'!$C$5:$C$369,OZ_BLN,I$5)</f>
        <v>24974000</v>
      </c>
      <c r="J7" s="44" t="n">
        <f aca="false">SUMIFS('OMZET HARIAN'!$C$5:$C$369,OZ_BLN,J$5)</f>
        <v>22426900</v>
      </c>
      <c r="K7" s="44" t="n">
        <f aca="false">SUMIFS('OMZET HARIAN'!$C$5:$C$369,OZ_BLN,K$5)</f>
        <v>22268600</v>
      </c>
      <c r="L7" s="44" t="n">
        <f aca="false">SUMIFS('OMZET HARIAN'!$C$5:$C$369,OZ_BLN,L$5)</f>
        <v>6965950</v>
      </c>
      <c r="M7" s="44" t="n">
        <f aca="false">SUMIFS('OMZET HARIAN'!$C$5:$C$369,OZ_BLN,M$5)</f>
        <v>0</v>
      </c>
      <c r="N7" s="44" t="n">
        <f aca="false">SUMIFS('OMZET HARIAN'!$C$5:$C$369,OZ_BLN,N$5)</f>
        <v>0</v>
      </c>
      <c r="O7" s="44" t="n">
        <f aca="false">SUM(C7:N7)</f>
        <v>244028750</v>
      </c>
    </row>
    <row r="8" customFormat="false" ht="15" hidden="false" customHeight="false" outlineLevel="0" collapsed="false">
      <c r="A8" s="5"/>
      <c r="B8" s="10" t="s">
        <v>401</v>
      </c>
      <c r="C8" s="44" t="n">
        <f aca="false">SUMIFS('OMZET HARIAN'!$D$5:$D$369,OZ_BLN,C$5)</f>
        <v>65756700</v>
      </c>
      <c r="D8" s="44" t="n">
        <f aca="false">SUMIFS('OMZET HARIAN'!$D$5:$D$369,OZ_BLN,D$5)</f>
        <v>51247100</v>
      </c>
      <c r="E8" s="44" t="n">
        <f aca="false">SUMIFS('OMZET HARIAN'!$D$5:$D$369,OZ_BLN,E$5)</f>
        <v>70016750</v>
      </c>
      <c r="F8" s="44" t="n">
        <f aca="false">SUMIFS('OMZET HARIAN'!$D$5:$D$369,OZ_BLN,F$5)</f>
        <v>65323150</v>
      </c>
      <c r="G8" s="44" t="n">
        <f aca="false">SUMIFS('OMZET HARIAN'!$D$5:$D$369,OZ_BLN,G$5)</f>
        <v>78660950</v>
      </c>
      <c r="H8" s="44" t="n">
        <f aca="false">SUMIFS('OMZET HARIAN'!$D$5:$D$369,OZ_BLN,H$5)</f>
        <v>79424000</v>
      </c>
      <c r="I8" s="44" t="n">
        <f aca="false">SUMIFS('OMZET HARIAN'!$D$5:$D$369,OZ_BLN,I$5)</f>
        <v>68985650</v>
      </c>
      <c r="J8" s="44" t="n">
        <f aca="false">SUMIFS('OMZET HARIAN'!$D$5:$D$369,OZ_BLN,J$5)</f>
        <v>72480850</v>
      </c>
      <c r="K8" s="44" t="n">
        <f aca="false">SUMIFS('OMZET HARIAN'!$D$5:$D$369,OZ_BLN,K$5)</f>
        <v>70015350</v>
      </c>
      <c r="L8" s="44" t="n">
        <f aca="false">SUMIFS('OMZET HARIAN'!$D$5:$D$369,OZ_BLN,L$5)</f>
        <v>26203950</v>
      </c>
      <c r="M8" s="44" t="n">
        <f aca="false">SUMIFS('OMZET HARIAN'!$D$5:$D$369,OZ_BLN,M$5)</f>
        <v>0</v>
      </c>
      <c r="N8" s="44" t="n">
        <f aca="false">SUMIFS('OMZET HARIAN'!$D$5:$D$369,OZ_BLN,N$5)</f>
        <v>0</v>
      </c>
      <c r="O8" s="44" t="n">
        <f aca="false">SUM(C8:N8)</f>
        <v>648114450</v>
      </c>
    </row>
    <row r="9" customFormat="false" ht="15" hidden="false" customHeight="false" outlineLevel="0" collapsed="false">
      <c r="A9" s="5"/>
      <c r="B9" s="10" t="s">
        <v>402</v>
      </c>
      <c r="C9" s="44" t="n">
        <f aca="false">SUMIFS('OMZET HARIAN'!$I$5:$I$369,OZ_BLN,C$5)</f>
        <v>88239977</v>
      </c>
      <c r="D9" s="44" t="n">
        <f aca="false">SUMIFS('OMZET HARIAN'!$I$5:$I$369,OZ_BLN,D$5)</f>
        <v>71420788</v>
      </c>
      <c r="E9" s="44" t="n">
        <f aca="false">SUMIFS('OMZET HARIAN'!$I$5:$I$369,OZ_BLN,E$5)</f>
        <v>100366744</v>
      </c>
      <c r="F9" s="44" t="n">
        <f aca="false">SUMIFS('OMZET HARIAN'!$I$5:$I$369,OZ_BLN,F$5)</f>
        <v>92542488</v>
      </c>
      <c r="G9" s="44" t="n">
        <f aca="false">SUMIFS('OMZET HARIAN'!$I$5:$I$369,OZ_BLN,G$5)</f>
        <v>109328974</v>
      </c>
      <c r="H9" s="44" t="n">
        <f aca="false">SUMIFS('OMZET HARIAN'!$I$5:$I$369,OZ_BLN,H$5)</f>
        <v>103966227</v>
      </c>
      <c r="I9" s="44" t="n">
        <f aca="false">SUMIFS('OMZET HARIAN'!$I$5:$I$369,OZ_BLN,I$5)</f>
        <v>91223181</v>
      </c>
      <c r="J9" s="44" t="n">
        <f aca="false">SUMIFS('OMZET HARIAN'!$I$5:$I$369,OZ_BLN,J$5)</f>
        <v>91999684</v>
      </c>
      <c r="K9" s="44" t="n">
        <f aca="false">SUMIFS('OMZET HARIAN'!$I$5:$I$369,OZ_BLN,K$5)</f>
        <v>89958620</v>
      </c>
      <c r="L9" s="44" t="n">
        <f aca="false">SUMIFS('OMZET HARIAN'!$I$5:$I$369,OZ_BLN,L$5)</f>
        <v>30181056</v>
      </c>
      <c r="M9" s="44" t="n">
        <f aca="false">SUMIFS('OMZET HARIAN'!$I$5:$I$369,OZ_BLN,M$5)</f>
        <v>0</v>
      </c>
      <c r="N9" s="44" t="n">
        <f aca="false">SUMIFS('OMZET HARIAN'!$I$5:$I$369,OZ_BLN,N$5)</f>
        <v>0</v>
      </c>
      <c r="O9" s="44" t="n">
        <f aca="false">SUM(C9:N9)</f>
        <v>869227739</v>
      </c>
    </row>
    <row r="10" customFormat="false" ht="15" hidden="false" customHeight="false" outlineLevel="0" collapsed="false">
      <c r="A10" s="5"/>
      <c r="B10" s="10" t="s">
        <v>403</v>
      </c>
      <c r="C10" s="44" t="n">
        <f aca="false">SUMIFS('OMZET HARIAN'!$J$5:$J$369,OZ_BLN,C$5)</f>
        <v>2443450</v>
      </c>
      <c r="D10" s="44" t="n">
        <f aca="false">SUMIFS('OMZET HARIAN'!$J$5:$J$369,OZ_BLN,D$5)</f>
        <v>1624900</v>
      </c>
      <c r="E10" s="44" t="n">
        <f aca="false">SUMIFS('OMZET HARIAN'!$J$5:$J$369,OZ_BLN,E$5)</f>
        <v>2112800</v>
      </c>
      <c r="F10" s="44" t="n">
        <f aca="false">SUMIFS('OMZET HARIAN'!$J$5:$J$369,OZ_BLN,F$5)</f>
        <v>2054650</v>
      </c>
      <c r="G10" s="44" t="n">
        <f aca="false">SUMIFS('OMZET HARIAN'!$J$5:$J$369,OZ_BLN,G$5)</f>
        <v>2008900</v>
      </c>
      <c r="H10" s="44" t="n">
        <f aca="false">SUMIFS('OMZET HARIAN'!$J$5:$J$369,OZ_BLN,H$5)</f>
        <v>1448500</v>
      </c>
      <c r="I10" s="44" t="n">
        <f aca="false">SUMIFS('OMZET HARIAN'!$J$5:$J$369,OZ_BLN,I$5)</f>
        <v>2789000</v>
      </c>
      <c r="J10" s="44" t="n">
        <f aca="false">SUMIFS('OMZET HARIAN'!$J$5:$J$369,OZ_BLN,J$5)</f>
        <v>2911400</v>
      </c>
      <c r="K10" s="44" t="n">
        <f aca="false">SUMIFS('OMZET HARIAN'!$J$5:$J$369,OZ_BLN,K$5)</f>
        <v>2481300</v>
      </c>
      <c r="L10" s="44" t="n">
        <f aca="false">SUMIFS('OMZET HARIAN'!$J$5:$J$369,OZ_BLN,L$5)</f>
        <v>814250</v>
      </c>
      <c r="M10" s="44" t="n">
        <f aca="false">SUMIFS('OMZET HARIAN'!$J$5:$J$369,OZ_BLN,M$5)</f>
        <v>0</v>
      </c>
      <c r="N10" s="44" t="n">
        <f aca="false">SUMIFS('OMZET HARIAN'!$J$5:$J$369,OZ_BLN,N$5)</f>
        <v>0</v>
      </c>
      <c r="O10" s="44" t="n">
        <f aca="false">SUM(C10:N10)</f>
        <v>20689150</v>
      </c>
    </row>
    <row r="11" customFormat="false" ht="15" hidden="false" customHeight="false" outlineLevel="0" collapsed="false">
      <c r="A11" s="5"/>
      <c r="B11" s="10" t="s">
        <v>404</v>
      </c>
      <c r="C11" s="44" t="n">
        <f aca="false">SUMIFS('OMZET HARIAN'!$L$5:$L$369,OZ_BLN,C$5)</f>
        <v>312200</v>
      </c>
      <c r="D11" s="44" t="n">
        <f aca="false">SUMIFS('OMZET HARIAN'!$L$5:$L$369,OZ_BLN,D$5)</f>
        <v>270300</v>
      </c>
      <c r="E11" s="44" t="n">
        <f aca="false">SUMIFS('OMZET HARIAN'!$L$5:$L$369,OZ_BLN,E$5)</f>
        <v>273500</v>
      </c>
      <c r="F11" s="44" t="n">
        <f aca="false">SUMIFS('OMZET HARIAN'!$L$5:$L$369,OZ_BLN,F$5)</f>
        <v>252300</v>
      </c>
      <c r="G11" s="44" t="n">
        <f aca="false">SUMIFS('OMZET HARIAN'!$L$5:$L$369,OZ_BLN,G$5)</f>
        <v>228300</v>
      </c>
      <c r="H11" s="44" t="n">
        <f aca="false">SUMIFS('OMZET HARIAN'!$L$5:$L$369,OZ_BLN,H$5)</f>
        <v>354900</v>
      </c>
      <c r="I11" s="44" t="n">
        <f aca="false">SUMIFS('OMZET HARIAN'!$L$5:$L$369,OZ_BLN,I$5)</f>
        <v>610800</v>
      </c>
      <c r="J11" s="44" t="n">
        <f aca="false">SUMIFS('OMZET HARIAN'!$L$5:$L$369,OZ_BLN,J$5)</f>
        <v>292200</v>
      </c>
      <c r="K11" s="44" t="n">
        <f aca="false">SUMIFS('OMZET HARIAN'!$L$5:$L$369,OZ_BLN,K$5)</f>
        <v>309600</v>
      </c>
      <c r="L11" s="44" t="n">
        <f aca="false">SUMIFS('OMZET HARIAN'!$L$5:$L$369,OZ_BLN,L$5)</f>
        <v>133500</v>
      </c>
      <c r="M11" s="44" t="n">
        <f aca="false">SUMIFS('OMZET HARIAN'!$L$5:$L$369,OZ_BLN,M$5)</f>
        <v>0</v>
      </c>
      <c r="N11" s="44" t="n">
        <f aca="false">SUMIFS('OMZET HARIAN'!$L$5:$L$369,OZ_BLN,N$5)</f>
        <v>0</v>
      </c>
      <c r="O11" s="44" t="n">
        <f aca="false">SUM(C11:N11)</f>
        <v>3037600</v>
      </c>
    </row>
    <row r="12" customFormat="false" ht="15" hidden="false" customHeight="false" outlineLevel="0" collapsed="false">
      <c r="A12" s="5"/>
      <c r="B12" s="10" t="s">
        <v>405</v>
      </c>
      <c r="C12" s="44" t="n">
        <f aca="false">SUMIFS('OMZET HARIAN'!$M$5:$M$369,OZ_BLN,C$5)</f>
        <v>1220000</v>
      </c>
      <c r="D12" s="44" t="n">
        <f aca="false">SUMIFS('OMZET HARIAN'!$M$5:$M$369,OZ_BLN,D$5)</f>
        <v>339300</v>
      </c>
      <c r="E12" s="44" t="n">
        <f aca="false">SUMIFS('OMZET HARIAN'!$M$5:$M$369,OZ_BLN,E$5)</f>
        <v>282300</v>
      </c>
      <c r="F12" s="44" t="n">
        <f aca="false">SUMIFS('OMZET HARIAN'!$M$5:$M$369,OZ_BLN,F$5)</f>
        <v>986000</v>
      </c>
      <c r="G12" s="44" t="n">
        <f aca="false">SUMIFS('OMZET HARIAN'!$M$5:$M$369,OZ_BLN,G$5)</f>
        <v>96000</v>
      </c>
      <c r="H12" s="44" t="n">
        <f aca="false">SUMIFS('OMZET HARIAN'!$M$5:$M$369,OZ_BLN,H$5)</f>
        <v>166300</v>
      </c>
      <c r="I12" s="44" t="n">
        <f aca="false">SUMIFS('OMZET HARIAN'!$M$5:$M$369,OZ_BLN,I$5)</f>
        <v>432900</v>
      </c>
      <c r="J12" s="44" t="n">
        <f aca="false">SUMIFS('OMZET HARIAN'!$M$5:$M$369,OZ_BLN,J$5)</f>
        <v>642600</v>
      </c>
      <c r="K12" s="44" t="n">
        <f aca="false">SUMIFS('OMZET HARIAN'!$M$5:$M$369,OZ_BLN,K$5)</f>
        <v>314600</v>
      </c>
      <c r="L12" s="44" t="n">
        <f aca="false">SUMIFS('OMZET HARIAN'!$M$5:$M$369,OZ_BLN,L$5)</f>
        <v>0</v>
      </c>
      <c r="M12" s="44" t="n">
        <f aca="false">SUMIFS('OMZET HARIAN'!$M$5:$M$369,OZ_BLN,M$5)</f>
        <v>0</v>
      </c>
      <c r="N12" s="44" t="n">
        <f aca="false">SUMIFS('OMZET HARIAN'!$M$5:$M$369,OZ_BLN,N$5)</f>
        <v>0</v>
      </c>
      <c r="O12" s="44" t="n">
        <f aca="false">SUM(C12:N12)</f>
        <v>4480000</v>
      </c>
    </row>
    <row r="13" customFormat="false" ht="15" hidden="false" customHeight="false" outlineLevel="0" collapsed="false">
      <c r="A13" s="5"/>
      <c r="B13" s="10" t="s">
        <v>406</v>
      </c>
      <c r="C13" s="44" t="n">
        <f aca="false">SUMIFS('OMZET HARIAN'!$N$5:$N$369,OZ_BLN,C$5)</f>
        <v>911000</v>
      </c>
      <c r="D13" s="44" t="n">
        <f aca="false">SUMIFS('OMZET HARIAN'!$N$5:$N$369,OZ_BLN,D$5)</f>
        <v>1076000</v>
      </c>
      <c r="E13" s="44" t="n">
        <f aca="false">SUMIFS('OMZET HARIAN'!$N$5:$N$369,OZ_BLN,E$5)</f>
        <v>1587300</v>
      </c>
      <c r="F13" s="44" t="n">
        <f aca="false">SUMIFS('OMZET HARIAN'!$N$5:$N$369,OZ_BLN,F$5)</f>
        <v>771100</v>
      </c>
      <c r="G13" s="44" t="n">
        <f aca="false">SUMIFS('OMZET HARIAN'!$N$5:$N$369,OZ_BLN,G$5)</f>
        <v>1659500</v>
      </c>
      <c r="H13" s="44" t="n">
        <f aca="false">SUMIFS('OMZET HARIAN'!$N$5:$N$369,OZ_BLN,H$5)</f>
        <v>910800</v>
      </c>
      <c r="I13" s="44" t="n">
        <f aca="false">SUMIFS('OMZET HARIAN'!$N$5:$N$369,OZ_BLN,I$5)</f>
        <v>1656400</v>
      </c>
      <c r="J13" s="44" t="n">
        <f aca="false">SUMIFS('OMZET HARIAN'!$N$5:$N$369,OZ_BLN,J$5)</f>
        <v>1780650</v>
      </c>
      <c r="K13" s="44" t="n">
        <f aca="false">SUMIFS('OMZET HARIAN'!$N$5:$N$369,OZ_BLN,K$5)</f>
        <v>1632000</v>
      </c>
      <c r="L13" s="44" t="n">
        <f aca="false">SUMIFS('OMZET HARIAN'!$N$5:$N$369,OZ_BLN,L$5)</f>
        <v>424200</v>
      </c>
      <c r="M13" s="44" t="n">
        <f aca="false">SUMIFS('OMZET HARIAN'!$N$5:$N$369,OZ_BLN,M$5)</f>
        <v>0</v>
      </c>
      <c r="N13" s="44" t="n">
        <f aca="false">SUMIFS('OMZET HARIAN'!$N$5:$N$369,OZ_BLN,N$5)</f>
        <v>0</v>
      </c>
      <c r="O13" s="44" t="n">
        <f aca="false">SUM(C13:N13)</f>
        <v>12408950</v>
      </c>
    </row>
    <row r="14" customFormat="false" ht="15" hidden="false" customHeight="false" outlineLevel="0" collapsed="false">
      <c r="A14" s="5"/>
      <c r="B14" s="10" t="s">
        <v>407</v>
      </c>
      <c r="C14" s="44" t="n">
        <f aca="false">SUMIFS('OMZET HARIAN'!$O$5:$O$369,OZ_BLN,C$5)</f>
        <v>250</v>
      </c>
      <c r="D14" s="44" t="n">
        <f aca="false">SUMIFS('OMZET HARIAN'!$O$5:$O$369,OZ_BLN,D$5)</f>
        <v>-60700</v>
      </c>
      <c r="E14" s="44" t="n">
        <f aca="false">SUMIFS('OMZET HARIAN'!$O$5:$O$369,OZ_BLN,E$5)</f>
        <v>-30300</v>
      </c>
      <c r="F14" s="44" t="n">
        <f aca="false">SUMIFS('OMZET HARIAN'!$O$5:$O$369,OZ_BLN,F$5)</f>
        <v>45250</v>
      </c>
      <c r="G14" s="44" t="n">
        <f aca="false">SUMIFS('OMZET HARIAN'!$O$5:$O$369,OZ_BLN,G$5)</f>
        <v>25100</v>
      </c>
      <c r="H14" s="44" t="n">
        <f aca="false">SUMIFS('OMZET HARIAN'!$O$5:$O$369,OZ_BLN,H$5)</f>
        <v>16500</v>
      </c>
      <c r="I14" s="44" t="n">
        <f aca="false">SUMIFS('OMZET HARIAN'!$O$5:$O$369,OZ_BLN,I$5)</f>
        <v>88900</v>
      </c>
      <c r="J14" s="44" t="n">
        <f aca="false">SUMIFS('OMZET HARIAN'!$O$5:$O$369,OZ_BLN,J$5)</f>
        <v>195950</v>
      </c>
      <c r="K14" s="44" t="n">
        <f aca="false">SUMIFS('OMZET HARIAN'!$O$5:$O$369,OZ_BLN,K$5)</f>
        <v>225100</v>
      </c>
      <c r="L14" s="44" t="n">
        <f aca="false">SUMIFS('OMZET HARIAN'!$O$5:$O$369,OZ_BLN,L$5)</f>
        <v>256550</v>
      </c>
      <c r="M14" s="44" t="n">
        <f aca="false">SUMIFS('OMZET HARIAN'!$O$5:$O$369,OZ_BLN,M$5)</f>
        <v>0</v>
      </c>
      <c r="N14" s="44" t="n">
        <f aca="false">SUMIFS('OMZET HARIAN'!$O$5:$O$369,OZ_BLN,N$5)</f>
        <v>0</v>
      </c>
      <c r="O14" s="44" t="n">
        <f aca="false">SUM(C14:N14)</f>
        <v>762600</v>
      </c>
    </row>
    <row r="15" customFormat="false" ht="15" hidden="false" customHeight="false" outlineLevel="0" collapsed="false">
      <c r="A15" s="5"/>
      <c r="B15" s="10" t="s">
        <v>408</v>
      </c>
      <c r="C15" s="44" t="n">
        <f aca="false">SUMIFS('OMZET HARIAN'!$K$5:$K$369,OZ_BLN,C$5)</f>
        <v>310723</v>
      </c>
      <c r="D15" s="44" t="n">
        <f aca="false">SUMIFS('OMZET HARIAN'!$K$5:$K$369,OZ_BLN,D$5)</f>
        <v>159812</v>
      </c>
      <c r="E15" s="44" t="n">
        <f aca="false">SUMIFS('OMZET HARIAN'!$K$5:$K$369,OZ_BLN,E$5)</f>
        <v>-115494</v>
      </c>
      <c r="F15" s="44" t="n">
        <f aca="false">SUMIFS('OMZET HARIAN'!$K$5:$K$369,OZ_BLN,F$5)</f>
        <v>-28338</v>
      </c>
      <c r="G15" s="44" t="n">
        <f aca="false">SUMIFS('OMZET HARIAN'!$K$5:$K$369,OZ_BLN,G$5)</f>
        <v>-40924</v>
      </c>
      <c r="H15" s="44" t="n">
        <f aca="false">SUMIFS('OMZET HARIAN'!$K$5:$K$369,OZ_BLN,H$5)</f>
        <v>-22227</v>
      </c>
      <c r="I15" s="44" t="n">
        <f aca="false">SUMIFS('OMZET HARIAN'!$K$5:$K$369,OZ_BLN,I$5)</f>
        <v>-52531</v>
      </c>
      <c r="J15" s="44" t="n">
        <f aca="false">SUMIFS('OMZET HARIAN'!$K$5:$K$369,OZ_BLN,J$5)</f>
        <v>-3334</v>
      </c>
      <c r="K15" s="44" t="n">
        <f aca="false">SUMIFS('OMZET HARIAN'!$K$5:$K$369,OZ_BLN,K$5)</f>
        <v>-155970</v>
      </c>
      <c r="L15" s="44" t="n">
        <f aca="false">SUMIFS('OMZET HARIAN'!$K$5:$K$369,OZ_BLN,L$5)</f>
        <v>77894</v>
      </c>
      <c r="M15" s="44" t="n">
        <f aca="false">SUMIFS('OMZET HARIAN'!$K$5:$K$369,OZ_BLN,M$5)</f>
        <v>0</v>
      </c>
      <c r="N15" s="44" t="n">
        <f aca="false">SUMIFS('OMZET HARIAN'!$K$5:$K$369,OZ_BLN,N$5)</f>
        <v>0</v>
      </c>
      <c r="O15" s="44" t="n">
        <f aca="false">SUM(C15:N15)</f>
        <v>129611</v>
      </c>
    </row>
    <row r="16" customFormat="false" ht="15" hidden="false" customHeight="false" outlineLevel="0" collapsed="false">
      <c r="A16" s="5"/>
      <c r="B16" s="86" t="s">
        <v>409</v>
      </c>
      <c r="C16" s="87" t="n">
        <f aca="false">SUMIFS('OMZET HARIAN'!$Q$5:$Q$369,OZ_BLN,C$5)</f>
        <v>90683177</v>
      </c>
      <c r="D16" s="87" t="n">
        <f aca="false">SUMIFS('OMZET HARIAN'!$Q$5:$Q$369,OZ_BLN,D$5)</f>
        <v>73106388</v>
      </c>
      <c r="E16" s="87" t="n">
        <f aca="false">SUMIFS('OMZET HARIAN'!$Q$5:$Q$369,OZ_BLN,E$5)</f>
        <v>102509844</v>
      </c>
      <c r="F16" s="87" t="n">
        <f aca="false">SUMIFS('OMZET HARIAN'!$Q$5:$Q$369,OZ_BLN,F$5)</f>
        <v>94551888</v>
      </c>
      <c r="G16" s="87" t="n">
        <f aca="false">SUMIFS('OMZET HARIAN'!$Q$5:$Q$369,OZ_BLN,G$5)</f>
        <v>111312774</v>
      </c>
      <c r="H16" s="87" t="n">
        <f aca="false">SUMIFS('OMZET HARIAN'!$Q$5:$Q$369,OZ_BLN,H$5)</f>
        <v>105398227</v>
      </c>
      <c r="I16" s="87" t="n">
        <f aca="false">SUMIFS('OMZET HARIAN'!$Q$5:$Q$369,OZ_BLN,I$5)</f>
        <v>93923281</v>
      </c>
      <c r="J16" s="87" t="n">
        <f aca="false">SUMIFS('OMZET HARIAN'!$Q$5:$Q$369,OZ_BLN,J$5)</f>
        <v>94715134</v>
      </c>
      <c r="K16" s="87" t="n">
        <f aca="false">SUMIFS('OMZET HARIAN'!$Q$5:$Q$369,OZ_BLN,K$5)</f>
        <v>92214820</v>
      </c>
      <c r="L16" s="87" t="n">
        <f aca="false">SUMIFS('OMZET HARIAN'!$Q$5:$Q$369,OZ_BLN,L$5)</f>
        <v>32835456</v>
      </c>
      <c r="M16" s="87" t="n">
        <f aca="false">SUMIFS('OMZET HARIAN'!$Q$5:$Q$369,OZ_BLN,M$5)</f>
        <v>0</v>
      </c>
      <c r="N16" s="87" t="n">
        <f aca="false">SUMIFS('OMZET HARIAN'!$Q$5:$Q$369,OZ_BLN,N$5)</f>
        <v>0</v>
      </c>
      <c r="O16" s="87" t="n">
        <f aca="false">SUM(C16:N16)</f>
        <v>891250989</v>
      </c>
    </row>
    <row r="17" customFormat="false" ht="15" hidden="false" customHeight="false" outlineLevel="0" collapsed="false">
      <c r="A17" s="5"/>
      <c r="B17" s="5"/>
      <c r="C17" s="5"/>
      <c r="D17" s="5"/>
      <c r="E17" s="5"/>
      <c r="F17" s="5"/>
      <c r="G17" s="5"/>
      <c r="H17" s="5"/>
      <c r="I17" s="5"/>
      <c r="J17" s="5"/>
      <c r="K17" s="5"/>
      <c r="L17" s="5"/>
      <c r="M17" s="5"/>
      <c r="N17" s="5"/>
      <c r="O17" s="5"/>
    </row>
    <row r="18" customFormat="false" ht="15" hidden="false" customHeight="false" outlineLevel="0" collapsed="false">
      <c r="A18" s="5"/>
      <c r="B18" s="10" t="s">
        <v>410</v>
      </c>
      <c r="C18" s="88" t="n">
        <f aca="false">COUNTIFS(OZ_BLN,C$5,OZ_TOTAL,"&gt;0")</f>
        <v>31</v>
      </c>
      <c r="D18" s="88" t="n">
        <f aca="false">COUNTIFS(OZ_BLN,D$5,OZ_TOTAL,"&gt;0")</f>
        <v>28</v>
      </c>
      <c r="E18" s="88" t="n">
        <f aca="false">COUNTIFS(OZ_BLN,E$5,OZ_TOTAL,"&gt;0")</f>
        <v>29</v>
      </c>
      <c r="F18" s="88" t="n">
        <f aca="false">COUNTIFS(OZ_BLN,F$5,OZ_TOTAL,"&gt;0")</f>
        <v>30</v>
      </c>
      <c r="G18" s="88" t="n">
        <f aca="false">COUNTIFS(OZ_BLN,G$5,OZ_TOTAL,"&gt;0")</f>
        <v>31</v>
      </c>
      <c r="H18" s="88" t="n">
        <f aca="false">COUNTIFS(OZ_BLN,H$5,OZ_TOTAL,"&gt;0")</f>
        <v>30</v>
      </c>
      <c r="I18" s="88" t="n">
        <f aca="false">COUNTIFS(OZ_BLN,I$5,OZ_TOTAL,"&gt;0")</f>
        <v>31</v>
      </c>
      <c r="J18" s="88" t="n">
        <f aca="false">COUNTIFS(OZ_BLN,J$5,OZ_TOTAL,"&gt;0")</f>
        <v>30</v>
      </c>
      <c r="K18" s="88" t="n">
        <f aca="false">COUNTIFS(OZ_BLN,K$5,OZ_TOTAL,"&gt;0")</f>
        <v>30</v>
      </c>
      <c r="L18" s="88" t="n">
        <f aca="false">COUNTIFS(OZ_BLN,L$5,OZ_TOTAL,"&gt;0")</f>
        <v>11</v>
      </c>
      <c r="M18" s="88" t="n">
        <f aca="false">COUNTIFS(OZ_BLN,M$5,OZ_TOTAL,"&gt;0")</f>
        <v>0</v>
      </c>
      <c r="N18" s="88" t="n">
        <f aca="false">COUNTIFS(OZ_BLN,N$5,OZ_TOTAL,"&gt;0")</f>
        <v>0</v>
      </c>
      <c r="O18" s="88" t="n">
        <f aca="false">SUM(C18:N18)</f>
        <v>281</v>
      </c>
    </row>
    <row r="19" customFormat="false" ht="15" hidden="false" customHeight="false" outlineLevel="0" collapsed="false">
      <c r="A19" s="5"/>
      <c r="B19" s="10" t="s">
        <v>411</v>
      </c>
      <c r="C19" s="44" t="n">
        <f aca="false">IFERROR(C16/C18,0)</f>
        <v>2925263.77419355</v>
      </c>
      <c r="D19" s="44" t="n">
        <f aca="false">IFERROR(D16/D18,0)</f>
        <v>2610942.42857143</v>
      </c>
      <c r="E19" s="44" t="n">
        <f aca="false">IFERROR(E16/E18,0)</f>
        <v>3534822.20689655</v>
      </c>
      <c r="F19" s="44" t="n">
        <f aca="false">IFERROR(F16/F18,0)</f>
        <v>3151729.6</v>
      </c>
      <c r="G19" s="44" t="n">
        <f aca="false">IFERROR(G16/G18,0)</f>
        <v>3590734.64516129</v>
      </c>
      <c r="H19" s="44" t="n">
        <f aca="false">IFERROR(H16/H18,0)</f>
        <v>3513274.23333333</v>
      </c>
      <c r="I19" s="44" t="n">
        <f aca="false">IFERROR(I16/I18,0)</f>
        <v>3029783.25806452</v>
      </c>
      <c r="J19" s="44" t="n">
        <f aca="false">IFERROR(J16/J18,0)</f>
        <v>3157171.13333333</v>
      </c>
      <c r="K19" s="44" t="n">
        <f aca="false">IFERROR(K16/K18,0)</f>
        <v>3073827.33333333</v>
      </c>
      <c r="L19" s="44" t="n">
        <f aca="false">IFERROR(L16/L18,0)</f>
        <v>2985041.45454545</v>
      </c>
      <c r="M19" s="44" t="n">
        <f aca="false">IFERROR(M16/M18,0)</f>
        <v>0</v>
      </c>
      <c r="N19" s="44" t="n">
        <f aca="false">IFERROR(N16/N18,0)</f>
        <v>0</v>
      </c>
      <c r="O19" s="44" t="n">
        <f aca="false">IFERROR(O16/O18,0)</f>
        <v>3171711.70462633</v>
      </c>
    </row>
    <row r="20" customFormat="false" ht="15" hidden="false" customHeight="false" outlineLevel="0" collapsed="false">
      <c r="A20" s="5"/>
      <c r="B20" s="10" t="s">
        <v>412</v>
      </c>
      <c r="C20" s="44" t="n">
        <f aca="false">SUMIFS('OMZET HARIAN'!$S$5:$S$369,OZ_BLN,C$5)</f>
        <v>1948</v>
      </c>
      <c r="D20" s="44" t="n">
        <f aca="false">SUMIFS('OMZET HARIAN'!$S$5:$S$369,OZ_BLN,D$5)</f>
        <v>1533</v>
      </c>
      <c r="E20" s="44" t="n">
        <f aca="false">SUMIFS('OMZET HARIAN'!$S$5:$S$369,OZ_BLN,E$5)</f>
        <v>2077</v>
      </c>
      <c r="F20" s="44" t="n">
        <f aca="false">SUMIFS('OMZET HARIAN'!$S$5:$S$369,OZ_BLN,F$5)</f>
        <v>1968</v>
      </c>
      <c r="G20" s="44" t="n">
        <f aca="false">SUMIFS('OMZET HARIAN'!$S$5:$S$369,OZ_BLN,G$5)</f>
        <v>2278</v>
      </c>
      <c r="H20" s="44" t="n">
        <f aca="false">SUMIFS('OMZET HARIAN'!$S$5:$S$369,OZ_BLN,H$5)</f>
        <v>2189</v>
      </c>
      <c r="I20" s="44" t="n">
        <f aca="false">SUMIFS('OMZET HARIAN'!$S$5:$S$369,OZ_BLN,I$5)</f>
        <v>1934</v>
      </c>
      <c r="J20" s="44" t="n">
        <f aca="false">SUMIFS('OMZET HARIAN'!$S$5:$S$369,OZ_BLN,J$5)</f>
        <v>1878</v>
      </c>
      <c r="K20" s="44" t="n">
        <f aca="false">SUMIFS('OMZET HARIAN'!$S$5:$S$369,OZ_BLN,K$5)</f>
        <v>1819</v>
      </c>
      <c r="L20" s="44" t="n">
        <f aca="false">SUMIFS('OMZET HARIAN'!$S$5:$S$369,OZ_BLN,L$5)</f>
        <v>423</v>
      </c>
      <c r="M20" s="44" t="n">
        <f aca="false">SUMIFS('OMZET HARIAN'!$S$5:$S$369,OZ_BLN,M$5)</f>
        <v>0</v>
      </c>
      <c r="N20" s="44" t="n">
        <f aca="false">SUMIFS('OMZET HARIAN'!$S$5:$S$369,OZ_BLN,N$5)</f>
        <v>0</v>
      </c>
      <c r="O20" s="44" t="n">
        <f aca="false">SUM(C20:N20)</f>
        <v>18047</v>
      </c>
    </row>
    <row r="21" customFormat="false" ht="15" hidden="false" customHeight="false" outlineLevel="0" collapsed="false">
      <c r="A21" s="5"/>
      <c r="B21" s="10" t="s">
        <v>413</v>
      </c>
      <c r="C21" s="44" t="n">
        <f aca="false">IFERROR(C16/C20,0)</f>
        <v>46551.9389117043</v>
      </c>
      <c r="D21" s="44" t="n">
        <f aca="false">IFERROR(D16/D20,0)</f>
        <v>47688.446183953</v>
      </c>
      <c r="E21" s="44" t="n">
        <f aca="false">IFERROR(E16/E20,0)</f>
        <v>49354.7636013481</v>
      </c>
      <c r="F21" s="44" t="n">
        <f aca="false">IFERROR(F16/F20,0)</f>
        <v>48044.6585365854</v>
      </c>
      <c r="G21" s="44" t="n">
        <f aca="false">IFERROR(G16/G20,0)</f>
        <v>48864.2554872695</v>
      </c>
      <c r="H21" s="44" t="n">
        <f aca="false">IFERROR(H16/H20,0)</f>
        <v>48149.0301507538</v>
      </c>
      <c r="I21" s="44" t="n">
        <f aca="false">IFERROR(I16/I20,0)</f>
        <v>48564.2611168563</v>
      </c>
      <c r="J21" s="44" t="n">
        <f aca="false">IFERROR(J16/J20,0)</f>
        <v>50434.0436634718</v>
      </c>
      <c r="K21" s="44" t="n">
        <f aca="false">IFERROR(K16/K20,0)</f>
        <v>50695.338097856</v>
      </c>
      <c r="L21" s="44" t="n">
        <f aca="false">IFERROR(L16/L20,0)</f>
        <v>77625.1914893617</v>
      </c>
      <c r="M21" s="44" t="n">
        <f aca="false">IFERROR(M16/M20,0)</f>
        <v>0</v>
      </c>
      <c r="N21" s="44" t="n">
        <f aca="false">IFERROR(N16/N20,0)</f>
        <v>0</v>
      </c>
      <c r="O21" s="44" t="n">
        <f aca="false">IFERROR(O16/O20,0)</f>
        <v>49384.9941264476</v>
      </c>
    </row>
    <row r="22" customFormat="false" ht="15" hidden="false" customHeight="false" outlineLevel="0" collapsed="false">
      <c r="A22" s="5"/>
      <c r="B22" s="10" t="s">
        <v>414</v>
      </c>
      <c r="C22" s="44" t="n">
        <f aca="false">SUMIFS('OMZET HARIAN'!$R$5:$R$369,OZ_BLN,C$5)</f>
        <v>3579</v>
      </c>
      <c r="D22" s="44" t="n">
        <f aca="false">SUMIFS('OMZET HARIAN'!$R$5:$R$369,OZ_BLN,D$5)</f>
        <v>2855</v>
      </c>
      <c r="E22" s="44" t="n">
        <f aca="false">SUMIFS('OMZET HARIAN'!$R$5:$R$369,OZ_BLN,E$5)</f>
        <v>3931</v>
      </c>
      <c r="F22" s="44" t="n">
        <f aca="false">SUMIFS('OMZET HARIAN'!$R$5:$R$369,OZ_BLN,F$5)</f>
        <v>3656</v>
      </c>
      <c r="G22" s="44" t="n">
        <f aca="false">SUMIFS('OMZET HARIAN'!$R$5:$R$369,OZ_BLN,G$5)</f>
        <v>4232</v>
      </c>
      <c r="H22" s="44" t="n">
        <f aca="false">SUMIFS('OMZET HARIAN'!$R$5:$R$369,OZ_BLN,H$5)</f>
        <v>3870</v>
      </c>
      <c r="I22" s="44" t="n">
        <f aca="false">SUMIFS('OMZET HARIAN'!$R$5:$R$369,OZ_BLN,I$5)</f>
        <v>3370</v>
      </c>
      <c r="J22" s="44" t="n">
        <f aca="false">SUMIFS('OMZET HARIAN'!$R$5:$R$369,OZ_BLN,J$5)</f>
        <v>3376</v>
      </c>
      <c r="K22" s="44" t="n">
        <f aca="false">SUMIFS('OMZET HARIAN'!$R$5:$R$369,OZ_BLN,K$5)</f>
        <v>3231</v>
      </c>
      <c r="L22" s="44" t="n">
        <f aca="false">SUMIFS('OMZET HARIAN'!$R$5:$R$369,OZ_BLN,L$5)</f>
        <v>639</v>
      </c>
      <c r="M22" s="44" t="n">
        <f aca="false">SUMIFS('OMZET HARIAN'!$R$5:$R$369,OZ_BLN,M$5)</f>
        <v>0</v>
      </c>
      <c r="N22" s="44" t="n">
        <f aca="false">SUMIFS('OMZET HARIAN'!$R$5:$R$369,OZ_BLN,N$5)</f>
        <v>0</v>
      </c>
      <c r="O22" s="44" t="n">
        <f aca="false">SUM(C22:N22)</f>
        <v>32739</v>
      </c>
    </row>
    <row r="23" customFormat="false" ht="15" hidden="false" customHeight="false" outlineLevel="0" collapsed="false">
      <c r="A23" s="5"/>
      <c r="B23" s="10" t="s">
        <v>415</v>
      </c>
      <c r="C23" s="44" t="n">
        <f aca="false">TARGET</f>
        <v>100000000</v>
      </c>
      <c r="D23" s="44" t="n">
        <f aca="false">TARGET</f>
        <v>100000000</v>
      </c>
      <c r="E23" s="44" t="n">
        <f aca="false">TARGET</f>
        <v>100000000</v>
      </c>
      <c r="F23" s="44" t="n">
        <f aca="false">TARGET</f>
        <v>100000000</v>
      </c>
      <c r="G23" s="44" t="n">
        <f aca="false">TARGET</f>
        <v>100000000</v>
      </c>
      <c r="H23" s="44" t="n">
        <f aca="false">TARGET</f>
        <v>100000000</v>
      </c>
      <c r="I23" s="44" t="n">
        <f aca="false">TARGET</f>
        <v>100000000</v>
      </c>
      <c r="J23" s="44" t="n">
        <f aca="false">TARGET</f>
        <v>100000000</v>
      </c>
      <c r="K23" s="44" t="n">
        <f aca="false">TARGET</f>
        <v>100000000</v>
      </c>
      <c r="L23" s="44" t="n">
        <f aca="false">TARGET</f>
        <v>100000000</v>
      </c>
      <c r="M23" s="44" t="n">
        <f aca="false">TARGET</f>
        <v>100000000</v>
      </c>
      <c r="N23" s="44" t="n">
        <f aca="false">TARGET</f>
        <v>100000000</v>
      </c>
      <c r="O23" s="44" t="n">
        <f aca="false">SUMPRODUCT((C16:N16&gt;0)*C23:N23)</f>
        <v>1000000000</v>
      </c>
    </row>
    <row r="24" customFormat="false" ht="15" hidden="false" customHeight="false" outlineLevel="0" collapsed="false">
      <c r="A24" s="5"/>
      <c r="B24" s="13" t="s">
        <v>416</v>
      </c>
      <c r="C24" s="79" t="n">
        <f aca="false">IF(C16=0,"",IFERROR(C16/C23,""))</f>
        <v>0.90683177</v>
      </c>
      <c r="D24" s="79" t="n">
        <f aca="false">IF(D16=0,"",IFERROR(D16/D23,""))</f>
        <v>0.73106388</v>
      </c>
      <c r="E24" s="79" t="n">
        <f aca="false">IF(E16=0,"",IFERROR(E16/E23,""))</f>
        <v>1.02509844</v>
      </c>
      <c r="F24" s="79" t="n">
        <f aca="false">IF(F16=0,"",IFERROR(F16/F23,""))</f>
        <v>0.94551888</v>
      </c>
      <c r="G24" s="79" t="n">
        <f aca="false">IF(G16=0,"",IFERROR(G16/G23,""))</f>
        <v>1.11312774</v>
      </c>
      <c r="H24" s="79" t="n">
        <f aca="false">IF(H16=0,"",IFERROR(H16/H23,""))</f>
        <v>1.05398227</v>
      </c>
      <c r="I24" s="79" t="n">
        <f aca="false">IF(I16=0,"",IFERROR(I16/I23,""))</f>
        <v>0.93923281</v>
      </c>
      <c r="J24" s="79" t="n">
        <f aca="false">IF(J16=0,"",IFERROR(J16/J23,""))</f>
        <v>0.94715134</v>
      </c>
      <c r="K24" s="79" t="n">
        <f aca="false">IF(K16=0,"",IFERROR(K16/K23,""))</f>
        <v>0.9221482</v>
      </c>
      <c r="L24" s="79" t="n">
        <f aca="false">IF(L16=0,"",IFERROR(L16/L23,""))</f>
        <v>0.32835456</v>
      </c>
      <c r="M24" s="79" t="str">
        <f aca="false">IF(M16=0,"",IFERROR(M16/M23,""))</f>
        <v/>
      </c>
      <c r="N24" s="79" t="str">
        <f aca="false">IF(N16=0,"",IFERROR(N16/N23,""))</f>
        <v/>
      </c>
      <c r="O24" s="79" t="n">
        <f aca="false">IFERROR(O16/O23,"")</f>
        <v>0.891250989</v>
      </c>
    </row>
    <row r="25" customFormat="false" ht="15" hidden="false" customHeight="false" outlineLevel="0" collapsed="false">
      <c r="A25" s="5"/>
      <c r="B25" s="10" t="s">
        <v>417</v>
      </c>
      <c r="C25" s="45" t="str">
        <f aca="false">""</f>
        <v/>
      </c>
      <c r="D25" s="45" t="n">
        <f aca="false">IF(OR(D16=0,C16=0),"",D16/C16-1)</f>
        <v>-0.193826347746948</v>
      </c>
      <c r="E25" s="45" t="n">
        <f aca="false">IF(OR(E16=0,D16=0),"",E16/D16-1)</f>
        <v>0.402200913003663</v>
      </c>
      <c r="F25" s="45" t="n">
        <f aca="false">IF(OR(F16=0,E16=0),"",F16/E16-1)</f>
        <v>-0.077631139503051</v>
      </c>
      <c r="G25" s="45" t="n">
        <f aca="false">IF(OR(G16=0,F16=0),"",G16/F16-1)</f>
        <v>0.17726653961685</v>
      </c>
      <c r="H25" s="45" t="n">
        <f aca="false">IF(OR(H16=0,G16=0),"",H16/G16-1)</f>
        <v>-0.0531344857149998</v>
      </c>
      <c r="I25" s="45" t="n">
        <f aca="false">IF(OR(I16=0,H16=0),"",I16/H16-1)</f>
        <v>-0.1088722868175</v>
      </c>
      <c r="J25" s="45" t="n">
        <f aca="false">IF(OR(J16=0,I16=0),"",J16/I16-1)</f>
        <v>0.0084308490032412</v>
      </c>
      <c r="K25" s="45" t="n">
        <f aca="false">IF(OR(K16=0,J16=0),"",K16/J16-1)</f>
        <v>-0.0263982522581872</v>
      </c>
      <c r="L25" s="45" t="n">
        <f aca="false">IF(OR(L16=0,K16=0),"",L16/K16-1)</f>
        <v>-0.643924306309984</v>
      </c>
      <c r="M25" s="45" t="str">
        <f aca="false">IF(OR(M16=0,L16=0),"",M16/L16-1)</f>
        <v/>
      </c>
      <c r="N25" s="45" t="str">
        <f aca="false">IF(OR(N16=0,M16=0),"",N16/M16-1)</f>
        <v/>
      </c>
      <c r="O25" s="45" t="str">
        <f aca="false">""</f>
        <v/>
      </c>
    </row>
    <row r="26" customFormat="false" ht="15" hidden="false" customHeight="false" outlineLevel="0" collapsed="false">
      <c r="A26" s="5"/>
      <c r="B26" s="10" t="s">
        <v>418</v>
      </c>
      <c r="C26" s="88" t="n">
        <f aca="false">COUNTIFS(OZ_BLN,C$5,'OMZET HARIAN'!$U$5:$U$369,"&lt;&gt;OK",OZ_TOTAL,"&gt;0")</f>
        <v>0</v>
      </c>
      <c r="D26" s="88" t="n">
        <f aca="false">COUNTIFS(OZ_BLN,D$5,'OMZET HARIAN'!$U$5:$U$369,"&lt;&gt;OK",OZ_TOTAL,"&gt;0")</f>
        <v>1</v>
      </c>
      <c r="E26" s="88" t="n">
        <f aca="false">COUNTIFS(OZ_BLN,E$5,'OMZET HARIAN'!$U$5:$U$369,"&lt;&gt;OK",OZ_TOTAL,"&gt;0")</f>
        <v>0</v>
      </c>
      <c r="F26" s="88" t="n">
        <f aca="false">COUNTIFS(OZ_BLN,F$5,'OMZET HARIAN'!$U$5:$U$369,"&lt;&gt;OK",OZ_TOTAL,"&gt;0")</f>
        <v>0</v>
      </c>
      <c r="G26" s="88" t="n">
        <f aca="false">COUNTIFS(OZ_BLN,G$5,'OMZET HARIAN'!$U$5:$U$369,"&lt;&gt;OK",OZ_TOTAL,"&gt;0")</f>
        <v>0</v>
      </c>
      <c r="H26" s="88" t="n">
        <f aca="false">COUNTIFS(OZ_BLN,H$5,'OMZET HARIAN'!$U$5:$U$369,"&lt;&gt;OK",OZ_TOTAL,"&gt;0")</f>
        <v>3</v>
      </c>
      <c r="I26" s="88" t="n">
        <f aca="false">COUNTIFS(OZ_BLN,I$5,'OMZET HARIAN'!$U$5:$U$369,"&lt;&gt;OK",OZ_TOTAL,"&gt;0")</f>
        <v>0</v>
      </c>
      <c r="J26" s="88" t="n">
        <f aca="false">COUNTIFS(OZ_BLN,J$5,'OMZET HARIAN'!$U$5:$U$369,"&lt;&gt;OK",OZ_TOTAL,"&gt;0")</f>
        <v>2</v>
      </c>
      <c r="K26" s="88" t="n">
        <f aca="false">COUNTIFS(OZ_BLN,K$5,'OMZET HARIAN'!$U$5:$U$369,"&lt;&gt;OK",OZ_TOTAL,"&gt;0")</f>
        <v>1</v>
      </c>
      <c r="L26" s="88" t="n">
        <f aca="false">COUNTIFS(OZ_BLN,L$5,'OMZET HARIAN'!$U$5:$U$369,"&lt;&gt;OK",OZ_TOTAL,"&gt;0")</f>
        <v>5</v>
      </c>
      <c r="M26" s="88" t="n">
        <f aca="false">COUNTIFS(OZ_BLN,M$5,'OMZET HARIAN'!$U$5:$U$369,"&lt;&gt;OK",OZ_TOTAL,"&gt;0")</f>
        <v>0</v>
      </c>
      <c r="N26" s="88" t="n">
        <f aca="false">COUNTIFS(OZ_BLN,N$5,'OMZET HARIAN'!$U$5:$U$369,"&lt;&gt;OK",OZ_TOTAL,"&gt;0")</f>
        <v>0</v>
      </c>
      <c r="O26" s="88" t="n">
        <f aca="false">SUM(C26:N26)</f>
        <v>12</v>
      </c>
    </row>
  </sheetData>
  <conditionalFormatting sqref="C26:O26">
    <cfRule type="cellIs" priority="2" operator="greaterThan" aboveAverage="0" equalAverage="0" bottom="0" percent="0" rank="0" text="" dxfId="6">
      <formula>0</formula>
    </cfRule>
  </conditionalFormatting>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887F"/>
    <pageSetUpPr fitToPage="false"/>
  </sheetPr>
  <dimension ref="A1:U3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
    <col collapsed="false" customWidth="true" hidden="false" outlineLevel="0" max="4" min="3"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14"/>
    <col collapsed="false" customWidth="true" hidden="false" outlineLevel="0" max="14" min="10" style="0" width="11"/>
    <col collapsed="false" customWidth="true" hidden="false" outlineLevel="0" max="15" min="15" style="0" width="13"/>
    <col collapsed="false" customWidth="true" hidden="false" outlineLevel="0" max="16" min="16" style="0" width="11"/>
    <col collapsed="false" customWidth="true" hidden="false" outlineLevel="0" max="17" min="17" style="0" width="14"/>
    <col collapsed="false" customWidth="true" hidden="false" outlineLevel="0" max="19" min="18" style="0" width="9"/>
    <col collapsed="false" customWidth="true" hidden="false" outlineLevel="0" max="20" min="20" style="0" width="11"/>
    <col collapsed="false" customWidth="true" hidden="false" outlineLevel="0" max="21" min="21" style="0" width="16"/>
  </cols>
  <sheetData>
    <row r="1" customFormat="false" ht="19.7" hidden="false" customHeight="false" outlineLevel="0" collapsed="false">
      <c r="A1" s="17" t="s">
        <v>24</v>
      </c>
      <c r="B1" s="5"/>
      <c r="C1" s="5"/>
      <c r="D1" s="5"/>
      <c r="E1" s="5"/>
      <c r="F1" s="5"/>
      <c r="G1" s="5"/>
      <c r="H1" s="5"/>
      <c r="I1" s="5"/>
      <c r="J1" s="5"/>
      <c r="K1" s="5"/>
      <c r="L1" s="5"/>
      <c r="M1" s="5"/>
      <c r="N1" s="5"/>
      <c r="O1" s="5"/>
      <c r="P1" s="5"/>
      <c r="Q1" s="5"/>
      <c r="R1" s="5"/>
      <c r="S1" s="5"/>
      <c r="T1" s="5"/>
      <c r="U1" s="5"/>
    </row>
    <row r="2" customFormat="false" ht="15" hidden="false" customHeight="false" outlineLevel="0" collapsed="false">
      <c r="A2" s="18" t="s">
        <v>419</v>
      </c>
      <c r="B2" s="5"/>
      <c r="C2" s="5"/>
      <c r="D2" s="5"/>
      <c r="E2" s="5"/>
      <c r="F2" s="5"/>
      <c r="G2" s="5"/>
      <c r="H2" s="5"/>
      <c r="I2" s="5"/>
      <c r="J2" s="5"/>
      <c r="K2" s="5"/>
      <c r="L2" s="5"/>
      <c r="M2" s="5"/>
      <c r="N2" s="5"/>
      <c r="O2" s="5"/>
      <c r="P2" s="5"/>
      <c r="Q2" s="5"/>
      <c r="R2" s="5"/>
      <c r="S2" s="5"/>
      <c r="T2" s="5"/>
      <c r="U2" s="5"/>
    </row>
    <row r="3" customFormat="false" ht="15" hidden="false" customHeight="false" outlineLevel="0" collapsed="false">
      <c r="A3" s="5"/>
      <c r="B3" s="5"/>
      <c r="C3" s="5"/>
      <c r="D3" s="5"/>
      <c r="E3" s="5"/>
      <c r="F3" s="5"/>
      <c r="G3" s="5"/>
      <c r="H3" s="5"/>
      <c r="I3" s="5"/>
      <c r="J3" s="5"/>
      <c r="K3" s="5"/>
      <c r="L3" s="5"/>
      <c r="M3" s="5"/>
      <c r="N3" s="5"/>
      <c r="O3" s="5"/>
      <c r="P3" s="5"/>
      <c r="Q3" s="5"/>
      <c r="R3" s="5"/>
      <c r="S3" s="5"/>
      <c r="T3" s="5"/>
      <c r="U3" s="5"/>
    </row>
    <row r="4" customFormat="false" ht="42" hidden="false" customHeight="true" outlineLevel="0" collapsed="false">
      <c r="A4" s="20" t="s">
        <v>420</v>
      </c>
      <c r="B4" s="20" t="s">
        <v>421</v>
      </c>
      <c r="C4" s="20" t="s">
        <v>422</v>
      </c>
      <c r="D4" s="20" t="s">
        <v>423</v>
      </c>
      <c r="E4" s="20" t="s">
        <v>424</v>
      </c>
      <c r="F4" s="20" t="s">
        <v>425</v>
      </c>
      <c r="G4" s="20" t="s">
        <v>426</v>
      </c>
      <c r="H4" s="20" t="s">
        <v>427</v>
      </c>
      <c r="I4" s="20" t="s">
        <v>428</v>
      </c>
      <c r="J4" s="20" t="s">
        <v>429</v>
      </c>
      <c r="K4" s="20" t="s">
        <v>430</v>
      </c>
      <c r="L4" s="20" t="s">
        <v>431</v>
      </c>
      <c r="M4" s="20" t="s">
        <v>167</v>
      </c>
      <c r="N4" s="20" t="s">
        <v>432</v>
      </c>
      <c r="O4" s="20" t="s">
        <v>433</v>
      </c>
      <c r="P4" s="20" t="s">
        <v>434</v>
      </c>
      <c r="Q4" s="20" t="s">
        <v>409</v>
      </c>
      <c r="R4" s="20" t="s">
        <v>435</v>
      </c>
      <c r="S4" s="20" t="s">
        <v>436</v>
      </c>
      <c r="T4" s="20" t="s">
        <v>106</v>
      </c>
      <c r="U4" s="20" t="s">
        <v>280</v>
      </c>
    </row>
    <row r="5" customFormat="false" ht="15" hidden="false" customHeight="false" outlineLevel="0" collapsed="false">
      <c r="A5" s="89" t="n">
        <v>46023</v>
      </c>
      <c r="B5" s="90" t="n">
        <f aca="false">MONTH(A5)</f>
        <v>1</v>
      </c>
      <c r="C5" s="91" t="n">
        <v>629200</v>
      </c>
      <c r="D5" s="91" t="n">
        <v>2447700</v>
      </c>
      <c r="E5" s="92" t="n">
        <f aca="false">N(C5)+N(D5)</f>
        <v>3076900</v>
      </c>
      <c r="F5" s="91" t="n">
        <v>125000</v>
      </c>
      <c r="G5" s="91" t="n">
        <v>385000</v>
      </c>
      <c r="H5" s="91" t="n">
        <v>2452908</v>
      </c>
      <c r="I5" s="92" t="n">
        <f aca="false">N(F5)+N(G5)+N(H5)</f>
        <v>2962908</v>
      </c>
      <c r="J5" s="92" t="n">
        <f aca="false">IF(AND(F5="",G5=""),0,N(C5)-N(F5)-N(G5))</f>
        <v>119200</v>
      </c>
      <c r="K5" s="92" t="n">
        <f aca="false">IF(H5="",0,N(D5)-N(H5))</f>
        <v>-5208</v>
      </c>
      <c r="L5" s="91" t="n">
        <v>0</v>
      </c>
      <c r="M5" s="91" t="n">
        <v>0</v>
      </c>
      <c r="N5" s="91" t="n">
        <v>119200</v>
      </c>
      <c r="O5" s="92" t="n">
        <f aca="false">IF(AND(F5="",G5=""),0,J5-N(L5)-N(M5)-N(N5))</f>
        <v>0</v>
      </c>
      <c r="P5" s="92" t="n">
        <f aca="false">K5+O5</f>
        <v>-5208</v>
      </c>
      <c r="Q5" s="85" t="n">
        <f aca="false">E5-P5</f>
        <v>3082108</v>
      </c>
      <c r="R5" s="91" t="n">
        <v>121</v>
      </c>
      <c r="S5" s="91" t="n">
        <v>70</v>
      </c>
      <c r="T5" s="92" t="n">
        <f aca="false">IF(N(S5)=0,"",Q5/S5)</f>
        <v>44030.1142857143</v>
      </c>
      <c r="U5" s="93" t="str">
        <f aca="false">IF(E5=0,"",IF(AND(N(C5)&gt;0,F5="",G5=""),"Belum direalisasi",IF(AND(N(D5)&gt;0,H5=""),"EDC belum settle",IF(ABS(O5)&gt;50000,"Cek selisih tunai","OK"))))</f>
        <v>OK</v>
      </c>
    </row>
    <row r="6" customFormat="false" ht="15" hidden="false" customHeight="false" outlineLevel="0" collapsed="false">
      <c r="A6" s="89" t="n">
        <v>46024</v>
      </c>
      <c r="B6" s="90" t="n">
        <f aca="false">MONTH(A6)</f>
        <v>1</v>
      </c>
      <c r="C6" s="91" t="n">
        <v>1148750</v>
      </c>
      <c r="D6" s="91" t="n">
        <v>3663100</v>
      </c>
      <c r="E6" s="92" t="n">
        <f aca="false">N(C6)+N(D6)</f>
        <v>4811850</v>
      </c>
      <c r="F6" s="91" t="n">
        <v>205000</v>
      </c>
      <c r="G6" s="91" t="n">
        <v>921000</v>
      </c>
      <c r="H6" s="91" t="n">
        <v>3637458</v>
      </c>
      <c r="I6" s="92" t="n">
        <f aca="false">N(F6)+N(G6)+N(H6)</f>
        <v>4763458</v>
      </c>
      <c r="J6" s="92" t="n">
        <f aca="false">IF(AND(F6="",G6=""),0,N(C6)-N(F6)-N(G6))</f>
        <v>22750</v>
      </c>
      <c r="K6" s="92" t="n">
        <f aca="false">IF(H6="",0,N(D6)-N(H6))</f>
        <v>25642</v>
      </c>
      <c r="L6" s="91" t="n">
        <v>22500</v>
      </c>
      <c r="M6" s="91" t="n">
        <v>0</v>
      </c>
      <c r="N6" s="91" t="n">
        <v>0</v>
      </c>
      <c r="O6" s="92" t="n">
        <f aca="false">IF(AND(F6="",G6=""),0,J6-N(L6)-N(M6)-N(N6))</f>
        <v>250</v>
      </c>
      <c r="P6" s="92" t="n">
        <f aca="false">K6+O6</f>
        <v>25892</v>
      </c>
      <c r="Q6" s="85" t="n">
        <f aca="false">E6-P6</f>
        <v>4785958</v>
      </c>
      <c r="R6" s="91" t="n">
        <v>189</v>
      </c>
      <c r="S6" s="91" t="n">
        <v>103</v>
      </c>
      <c r="T6" s="92" t="n">
        <f aca="false">IF(N(S6)=0,"",Q6/S6)</f>
        <v>46465.6116504854</v>
      </c>
      <c r="U6" s="93" t="str">
        <f aca="false">IF(E6=0,"",IF(AND(N(C6)&gt;0,F6="",G6=""),"Belum direalisasi",IF(AND(N(D6)&gt;0,H6=""),"EDC belum settle",IF(ABS(O6)&gt;50000,"Cek selisih tunai","OK"))))</f>
        <v>OK</v>
      </c>
    </row>
    <row r="7" customFormat="false" ht="15" hidden="false" customHeight="false" outlineLevel="0" collapsed="false">
      <c r="A7" s="89" t="n">
        <v>46025</v>
      </c>
      <c r="B7" s="90" t="n">
        <f aca="false">MONTH(A7)</f>
        <v>1</v>
      </c>
      <c r="C7" s="91" t="n">
        <v>1730900</v>
      </c>
      <c r="D7" s="91" t="n">
        <v>2510900</v>
      </c>
      <c r="E7" s="92" t="n">
        <f aca="false">N(C7)+N(D7)</f>
        <v>4241800</v>
      </c>
      <c r="F7" s="91" t="n">
        <v>666000</v>
      </c>
      <c r="G7" s="91" t="n">
        <v>973000</v>
      </c>
      <c r="H7" s="91" t="n">
        <v>2438708</v>
      </c>
      <c r="I7" s="92" t="n">
        <f aca="false">N(F7)+N(G7)+N(H7)</f>
        <v>4077708</v>
      </c>
      <c r="J7" s="92" t="n">
        <f aca="false">IF(AND(F7="",G7=""),0,N(C7)-N(F7)-N(G7))</f>
        <v>91900</v>
      </c>
      <c r="K7" s="92" t="n">
        <f aca="false">IF(H7="",0,N(D7)-N(H7))</f>
        <v>72192</v>
      </c>
      <c r="L7" s="91" t="n">
        <v>0</v>
      </c>
      <c r="M7" s="91" t="n">
        <v>0</v>
      </c>
      <c r="N7" s="91" t="n">
        <v>91300</v>
      </c>
      <c r="O7" s="92" t="n">
        <f aca="false">IF(AND(F7="",G7=""),0,J7-N(L7)-N(M7)-N(N7))</f>
        <v>600</v>
      </c>
      <c r="P7" s="92" t="n">
        <f aca="false">K7+O7</f>
        <v>72792</v>
      </c>
      <c r="Q7" s="85" t="n">
        <f aca="false">E7-P7</f>
        <v>4169008</v>
      </c>
      <c r="R7" s="91" t="n">
        <v>171</v>
      </c>
      <c r="S7" s="91" t="n">
        <v>93</v>
      </c>
      <c r="T7" s="92" t="n">
        <f aca="false">IF(N(S7)=0,"",Q7/S7)</f>
        <v>44828.0430107527</v>
      </c>
      <c r="U7" s="93" t="str">
        <f aca="false">IF(E7=0,"",IF(AND(N(C7)&gt;0,F7="",G7=""),"Belum direalisasi",IF(AND(N(D7)&gt;0,H7=""),"EDC belum settle",IF(ABS(O7)&gt;50000,"Cek selisih tunai","OK"))))</f>
        <v>OK</v>
      </c>
    </row>
    <row r="8" customFormat="false" ht="15" hidden="false" customHeight="false" outlineLevel="0" collapsed="false">
      <c r="A8" s="89" t="n">
        <v>46026</v>
      </c>
      <c r="B8" s="90" t="n">
        <f aca="false">MONTH(A8)</f>
        <v>1</v>
      </c>
      <c r="C8" s="91" t="n">
        <v>781200</v>
      </c>
      <c r="D8" s="91" t="n">
        <v>2342600</v>
      </c>
      <c r="E8" s="92" t="n">
        <f aca="false">N(C8)+N(D8)</f>
        <v>3123800</v>
      </c>
      <c r="F8" s="91" t="n">
        <v>202000</v>
      </c>
      <c r="G8" s="91" t="n">
        <v>455000</v>
      </c>
      <c r="H8" s="91" t="n">
        <v>2354307</v>
      </c>
      <c r="I8" s="92" t="n">
        <f aca="false">N(F8)+N(G8)+N(H8)</f>
        <v>3011307</v>
      </c>
      <c r="J8" s="92" t="n">
        <f aca="false">IF(AND(F8="",G8=""),0,N(C8)-N(F8)-N(G8))</f>
        <v>124200</v>
      </c>
      <c r="K8" s="92" t="n">
        <f aca="false">IF(H8="",0,N(D8)-N(H8))</f>
        <v>-11707</v>
      </c>
      <c r="L8" s="91" t="n">
        <v>74700</v>
      </c>
      <c r="M8" s="91" t="n">
        <v>0</v>
      </c>
      <c r="N8" s="91" t="n">
        <v>49300</v>
      </c>
      <c r="O8" s="92" t="n">
        <f aca="false">IF(AND(F8="",G8=""),0,J8-N(L8)-N(M8)-N(N8))</f>
        <v>200</v>
      </c>
      <c r="P8" s="92" t="n">
        <f aca="false">K8+O8</f>
        <v>-11507</v>
      </c>
      <c r="Q8" s="85" t="n">
        <f aca="false">E8-P8</f>
        <v>3135307</v>
      </c>
      <c r="R8" s="91" t="n">
        <v>125</v>
      </c>
      <c r="S8" s="91" t="n">
        <v>71</v>
      </c>
      <c r="T8" s="92" t="n">
        <f aca="false">IF(N(S8)=0,"",Q8/S8)</f>
        <v>44159.2535211268</v>
      </c>
      <c r="U8" s="93" t="str">
        <f aca="false">IF(E8=0,"",IF(AND(N(C8)&gt;0,F8="",G8=""),"Belum direalisasi",IF(AND(N(D8)&gt;0,H8=""),"EDC belum settle",IF(ABS(O8)&gt;50000,"Cek selisih tunai","OK"))))</f>
        <v>OK</v>
      </c>
    </row>
    <row r="9" customFormat="false" ht="15" hidden="false" customHeight="false" outlineLevel="0" collapsed="false">
      <c r="A9" s="89" t="n">
        <v>46027</v>
      </c>
      <c r="B9" s="90" t="n">
        <f aca="false">MONTH(A9)</f>
        <v>1</v>
      </c>
      <c r="C9" s="91" t="n">
        <v>1104500</v>
      </c>
      <c r="D9" s="91" t="n">
        <v>1648100</v>
      </c>
      <c r="E9" s="92" t="n">
        <f aca="false">N(C9)+N(D9)</f>
        <v>2752600</v>
      </c>
      <c r="F9" s="91" t="n">
        <v>390000</v>
      </c>
      <c r="G9" s="91" t="n">
        <v>715000</v>
      </c>
      <c r="H9" s="91" t="n">
        <v>1663293</v>
      </c>
      <c r="I9" s="92" t="n">
        <f aca="false">N(F9)+N(G9)+N(H9)</f>
        <v>2768293</v>
      </c>
      <c r="J9" s="92" t="n">
        <f aca="false">IF(AND(F9="",G9=""),0,N(C9)-N(F9)-N(G9))</f>
        <v>-500</v>
      </c>
      <c r="K9" s="92" t="n">
        <f aca="false">IF(H9="",0,N(D9)-N(H9))</f>
        <v>-15193</v>
      </c>
      <c r="L9" s="91" t="n">
        <v>0</v>
      </c>
      <c r="M9" s="91" t="n">
        <v>0</v>
      </c>
      <c r="N9" s="91" t="n">
        <v>0</v>
      </c>
      <c r="O9" s="92" t="n">
        <f aca="false">IF(AND(F9="",G9=""),0,J9-N(L9)-N(M9)-N(N9))</f>
        <v>-500</v>
      </c>
      <c r="P9" s="92" t="n">
        <f aca="false">K9+O9</f>
        <v>-15693</v>
      </c>
      <c r="Q9" s="85" t="n">
        <f aca="false">E9-P9</f>
        <v>2768293</v>
      </c>
      <c r="R9" s="91" t="n">
        <v>106</v>
      </c>
      <c r="S9" s="91" t="n">
        <v>55</v>
      </c>
      <c r="T9" s="92" t="n">
        <f aca="false">IF(N(S9)=0,"",Q9/S9)</f>
        <v>50332.6</v>
      </c>
      <c r="U9" s="93" t="str">
        <f aca="false">IF(E9=0,"",IF(AND(N(C9)&gt;0,F9="",G9=""),"Belum direalisasi",IF(AND(N(D9)&gt;0,H9=""),"EDC belum settle",IF(ABS(O9)&gt;50000,"Cek selisih tunai","OK"))))</f>
        <v>OK</v>
      </c>
    </row>
    <row r="10" customFormat="false" ht="15" hidden="false" customHeight="false" outlineLevel="0" collapsed="false">
      <c r="A10" s="89" t="n">
        <v>46028</v>
      </c>
      <c r="B10" s="90" t="n">
        <f aca="false">MONTH(A10)</f>
        <v>1</v>
      </c>
      <c r="C10" s="91" t="n">
        <v>860700</v>
      </c>
      <c r="D10" s="91" t="n">
        <v>2325050</v>
      </c>
      <c r="E10" s="92" t="n">
        <f aca="false">N(C10)+N(D10)</f>
        <v>3185750</v>
      </c>
      <c r="F10" s="91" t="n">
        <v>119000</v>
      </c>
      <c r="G10" s="91" t="n">
        <v>254000</v>
      </c>
      <c r="H10" s="91" t="n">
        <v>2120601</v>
      </c>
      <c r="I10" s="92" t="n">
        <f aca="false">N(F10)+N(G10)+N(H10)</f>
        <v>2493601</v>
      </c>
      <c r="J10" s="92" t="n">
        <f aca="false">IF(AND(F10="",G10=""),0,N(C10)-N(F10)-N(G10))</f>
        <v>487700</v>
      </c>
      <c r="K10" s="92" t="n">
        <f aca="false">IF(H10="",0,N(D10)-N(H10))</f>
        <v>204449</v>
      </c>
      <c r="L10" s="91" t="n">
        <v>0</v>
      </c>
      <c r="M10" s="91" t="n">
        <v>350000</v>
      </c>
      <c r="N10" s="91" t="n">
        <v>137700</v>
      </c>
      <c r="O10" s="92" t="n">
        <f aca="false">IF(AND(F10="",G10=""),0,J10-N(L10)-N(M10)-N(N10))</f>
        <v>0</v>
      </c>
      <c r="P10" s="92" t="n">
        <f aca="false">K10+O10</f>
        <v>204449</v>
      </c>
      <c r="Q10" s="85" t="n">
        <f aca="false">E10-P10</f>
        <v>2981301</v>
      </c>
      <c r="R10" s="91" t="n">
        <v>125</v>
      </c>
      <c r="S10" s="91" t="n">
        <v>54</v>
      </c>
      <c r="T10" s="92" t="n">
        <f aca="false">IF(N(S10)=0,"",Q10/S10)</f>
        <v>55209.2777777778</v>
      </c>
      <c r="U10" s="93" t="str">
        <f aca="false">IF(E10=0,"",IF(AND(N(C10)&gt;0,F10="",G10=""),"Belum direalisasi",IF(AND(N(D10)&gt;0,H10=""),"EDC belum settle",IF(ABS(O10)&gt;50000,"Cek selisih tunai","OK"))))</f>
        <v>OK</v>
      </c>
    </row>
    <row r="11" customFormat="false" ht="15" hidden="false" customHeight="false" outlineLevel="0" collapsed="false">
      <c r="A11" s="89" t="n">
        <v>46029</v>
      </c>
      <c r="B11" s="90" t="n">
        <f aca="false">MONTH(A11)</f>
        <v>1</v>
      </c>
      <c r="C11" s="91" t="n">
        <v>549000</v>
      </c>
      <c r="D11" s="91" t="n">
        <v>1839600</v>
      </c>
      <c r="E11" s="92" t="n">
        <f aca="false">N(C11)+N(D11)</f>
        <v>2388600</v>
      </c>
      <c r="F11" s="91" t="n">
        <v>50000</v>
      </c>
      <c r="G11" s="91" t="n">
        <v>374000</v>
      </c>
      <c r="H11" s="91" t="n">
        <v>2010432</v>
      </c>
      <c r="I11" s="92" t="n">
        <f aca="false">N(F11)+N(G11)+N(H11)</f>
        <v>2434432</v>
      </c>
      <c r="J11" s="92" t="n">
        <f aca="false">IF(AND(F11="",G11=""),0,N(C11)-N(F11)-N(G11))</f>
        <v>125000</v>
      </c>
      <c r="K11" s="92" t="n">
        <f aca="false">IF(H11="",0,N(D11)-N(H11))</f>
        <v>-170832</v>
      </c>
      <c r="L11" s="91" t="n">
        <v>0</v>
      </c>
      <c r="M11" s="91" t="n">
        <v>125000</v>
      </c>
      <c r="N11" s="91" t="n">
        <v>0</v>
      </c>
      <c r="O11" s="92" t="n">
        <f aca="false">IF(AND(F11="",G11=""),0,J11-N(L11)-N(M11)-N(N11))</f>
        <v>0</v>
      </c>
      <c r="P11" s="92" t="n">
        <f aca="false">K11+O11</f>
        <v>-170832</v>
      </c>
      <c r="Q11" s="85" t="n">
        <f aca="false">E11-P11</f>
        <v>2559432</v>
      </c>
      <c r="R11" s="91" t="n">
        <v>106</v>
      </c>
      <c r="S11" s="91" t="n">
        <v>51</v>
      </c>
      <c r="T11" s="92" t="n">
        <f aca="false">IF(N(S11)=0,"",Q11/S11)</f>
        <v>50184.9411764706</v>
      </c>
      <c r="U11" s="93" t="str">
        <f aca="false">IF(E11=0,"",IF(AND(N(C11)&gt;0,F11="",G11=""),"Belum direalisasi",IF(AND(N(D11)&gt;0,H11=""),"EDC belum settle",IF(ABS(O11)&gt;50000,"Cek selisih tunai","OK"))))</f>
        <v>OK</v>
      </c>
    </row>
    <row r="12" customFormat="false" ht="15" hidden="false" customHeight="false" outlineLevel="0" collapsed="false">
      <c r="A12" s="89" t="n">
        <v>46030</v>
      </c>
      <c r="B12" s="90" t="n">
        <f aca="false">MONTH(A12)</f>
        <v>1</v>
      </c>
      <c r="C12" s="91" t="n">
        <v>484300</v>
      </c>
      <c r="D12" s="91" t="n">
        <v>1499200</v>
      </c>
      <c r="E12" s="92" t="n">
        <f aca="false">N(C12)+N(D12)</f>
        <v>1983500</v>
      </c>
      <c r="F12" s="91" t="n">
        <v>25000</v>
      </c>
      <c r="G12" s="91" t="n">
        <v>210000</v>
      </c>
      <c r="H12" s="91" t="n">
        <v>1513530</v>
      </c>
      <c r="I12" s="92" t="n">
        <f aca="false">N(F12)+N(G12)+N(H12)</f>
        <v>1748530</v>
      </c>
      <c r="J12" s="92" t="n">
        <f aca="false">IF(AND(F12="",G12=""),0,N(C12)-N(F12)-N(G12))</f>
        <v>249300</v>
      </c>
      <c r="K12" s="92" t="n">
        <f aca="false">IF(H12="",0,N(D12)-N(H12))</f>
        <v>-14330</v>
      </c>
      <c r="L12" s="91" t="n">
        <v>0</v>
      </c>
      <c r="M12" s="91" t="n">
        <v>180000</v>
      </c>
      <c r="N12" s="91" t="n">
        <v>69300</v>
      </c>
      <c r="O12" s="92" t="n">
        <f aca="false">IF(AND(F12="",G12=""),0,J12-N(L12)-N(M12)-N(N12))</f>
        <v>0</v>
      </c>
      <c r="P12" s="92" t="n">
        <f aca="false">K12+O12</f>
        <v>-14330</v>
      </c>
      <c r="Q12" s="85" t="n">
        <f aca="false">E12-P12</f>
        <v>1997830</v>
      </c>
      <c r="R12" s="91" t="n">
        <v>78</v>
      </c>
      <c r="S12" s="91" t="n">
        <v>50</v>
      </c>
      <c r="T12" s="92" t="n">
        <f aca="false">IF(N(S12)=0,"",Q12/S12)</f>
        <v>39956.6</v>
      </c>
      <c r="U12" s="93" t="str">
        <f aca="false">IF(E12=0,"",IF(AND(N(C12)&gt;0,F12="",G12=""),"Belum direalisasi",IF(AND(N(D12)&gt;0,H12=""),"EDC belum settle",IF(ABS(O12)&gt;50000,"Cek selisih tunai","OK"))))</f>
        <v>OK</v>
      </c>
    </row>
    <row r="13" customFormat="false" ht="15" hidden="false" customHeight="false" outlineLevel="0" collapsed="false">
      <c r="A13" s="89" t="n">
        <v>46031</v>
      </c>
      <c r="B13" s="90" t="n">
        <f aca="false">MONTH(A13)</f>
        <v>1</v>
      </c>
      <c r="C13" s="91" t="n">
        <v>745000</v>
      </c>
      <c r="D13" s="91" t="n">
        <v>2292500</v>
      </c>
      <c r="E13" s="92" t="n">
        <f aca="false">N(C13)+N(D13)</f>
        <v>3037500</v>
      </c>
      <c r="F13" s="91" t="n">
        <v>50000</v>
      </c>
      <c r="G13" s="91" t="n">
        <v>700000</v>
      </c>
      <c r="H13" s="91" t="n">
        <v>2276452</v>
      </c>
      <c r="I13" s="92" t="n">
        <f aca="false">N(F13)+N(G13)+N(H13)</f>
        <v>3026452</v>
      </c>
      <c r="J13" s="92" t="n">
        <f aca="false">IF(AND(F13="",G13=""),0,N(C13)-N(F13)-N(G13))</f>
        <v>-5000</v>
      </c>
      <c r="K13" s="92" t="n">
        <f aca="false">IF(H13="",0,N(D13)-N(H13))</f>
        <v>16048</v>
      </c>
      <c r="L13" s="91" t="n">
        <v>0</v>
      </c>
      <c r="M13" s="91" t="n">
        <v>0</v>
      </c>
      <c r="N13" s="91" t="n">
        <v>0</v>
      </c>
      <c r="O13" s="92" t="n">
        <f aca="false">IF(AND(F13="",G13=""),0,J13-N(L13)-N(M13)-N(N13))</f>
        <v>-5000</v>
      </c>
      <c r="P13" s="92" t="n">
        <f aca="false">K13+O13</f>
        <v>11048</v>
      </c>
      <c r="Q13" s="85" t="n">
        <f aca="false">E13-P13</f>
        <v>3026452</v>
      </c>
      <c r="R13" s="91" t="n">
        <v>126</v>
      </c>
      <c r="S13" s="91" t="n">
        <v>64</v>
      </c>
      <c r="T13" s="92" t="n">
        <f aca="false">IF(N(S13)=0,"",Q13/S13)</f>
        <v>47288.3125</v>
      </c>
      <c r="U13" s="93" t="str">
        <f aca="false">IF(E13=0,"",IF(AND(N(C13)&gt;0,F13="",G13=""),"Belum direalisasi",IF(AND(N(D13)&gt;0,H13=""),"EDC belum settle",IF(ABS(O13)&gt;50000,"Cek selisih tunai","OK"))))</f>
        <v>OK</v>
      </c>
    </row>
    <row r="14" customFormat="false" ht="15" hidden="false" customHeight="false" outlineLevel="0" collapsed="false">
      <c r="A14" s="89" t="n">
        <v>46032</v>
      </c>
      <c r="B14" s="90" t="n">
        <f aca="false">MONTH(A14)</f>
        <v>1</v>
      </c>
      <c r="C14" s="91" t="n">
        <v>1519000</v>
      </c>
      <c r="D14" s="91" t="n">
        <v>3166500</v>
      </c>
      <c r="E14" s="92" t="n">
        <f aca="false">N(C14)+N(D14)</f>
        <v>4685500</v>
      </c>
      <c r="F14" s="91" t="n">
        <v>377000</v>
      </c>
      <c r="G14" s="91" t="n">
        <v>1137000</v>
      </c>
      <c r="H14" s="91" t="n">
        <v>3166677</v>
      </c>
      <c r="I14" s="92" t="n">
        <f aca="false">N(F14)+N(G14)+N(H14)</f>
        <v>4680677</v>
      </c>
      <c r="J14" s="92" t="n">
        <f aca="false">IF(AND(F14="",G14=""),0,N(C14)-N(F14)-N(G14))</f>
        <v>5000</v>
      </c>
      <c r="K14" s="92" t="n">
        <f aca="false">IF(H14="",0,N(D14)-N(H14))</f>
        <v>-177</v>
      </c>
      <c r="L14" s="91" t="n">
        <v>0</v>
      </c>
      <c r="M14" s="91" t="n">
        <v>0</v>
      </c>
      <c r="N14" s="91" t="n">
        <v>0</v>
      </c>
      <c r="O14" s="92" t="n">
        <f aca="false">IF(AND(F14="",G14=""),0,J14-N(L14)-N(M14)-N(N14))</f>
        <v>5000</v>
      </c>
      <c r="P14" s="92" t="n">
        <f aca="false">K14+O14</f>
        <v>4823</v>
      </c>
      <c r="Q14" s="85" t="n">
        <f aca="false">E14-P14</f>
        <v>4680677</v>
      </c>
      <c r="R14" s="91" t="n">
        <v>184</v>
      </c>
      <c r="S14" s="91" t="n">
        <v>94</v>
      </c>
      <c r="T14" s="92" t="n">
        <f aca="false">IF(N(S14)=0,"",Q14/S14)</f>
        <v>49794.4361702128</v>
      </c>
      <c r="U14" s="93" t="str">
        <f aca="false">IF(E14=0,"",IF(AND(N(C14)&gt;0,F14="",G14=""),"Belum direalisasi",IF(AND(N(D14)&gt;0,H14=""),"EDC belum settle",IF(ABS(O14)&gt;50000,"Cek selisih tunai","OK"))))</f>
        <v>OK</v>
      </c>
    </row>
    <row r="15" customFormat="false" ht="15" hidden="false" customHeight="false" outlineLevel="0" collapsed="false">
      <c r="A15" s="89" t="n">
        <v>46033</v>
      </c>
      <c r="B15" s="90" t="n">
        <f aca="false">MONTH(A15)</f>
        <v>1</v>
      </c>
      <c r="C15" s="91" t="n">
        <v>1125500</v>
      </c>
      <c r="D15" s="91" t="n">
        <v>2846650</v>
      </c>
      <c r="E15" s="92" t="n">
        <f aca="false">N(C15)+N(D15)</f>
        <v>3972150</v>
      </c>
      <c r="F15" s="91" t="n">
        <v>293000</v>
      </c>
      <c r="G15" s="91" t="n">
        <v>832000</v>
      </c>
      <c r="H15" s="91" t="n">
        <v>2775087</v>
      </c>
      <c r="I15" s="92" t="n">
        <f aca="false">N(F15)+N(G15)+N(H15)</f>
        <v>3900087</v>
      </c>
      <c r="J15" s="92" t="n">
        <f aca="false">IF(AND(F15="",G15=""),0,N(C15)-N(F15)-N(G15))</f>
        <v>500</v>
      </c>
      <c r="K15" s="92" t="n">
        <f aca="false">IF(H15="",0,N(D15)-N(H15))</f>
        <v>71563</v>
      </c>
      <c r="L15" s="91" t="n">
        <v>0</v>
      </c>
      <c r="M15" s="91" t="n">
        <v>0</v>
      </c>
      <c r="N15" s="91" t="n">
        <v>0</v>
      </c>
      <c r="O15" s="92" t="n">
        <f aca="false">IF(AND(F15="",G15=""),0,J15-N(L15)-N(M15)-N(N15))</f>
        <v>500</v>
      </c>
      <c r="P15" s="92" t="n">
        <f aca="false">K15+O15</f>
        <v>72063</v>
      </c>
      <c r="Q15" s="85" t="n">
        <f aca="false">E15-P15</f>
        <v>3900087</v>
      </c>
      <c r="R15" s="91" t="n">
        <v>135</v>
      </c>
      <c r="S15" s="91" t="n">
        <v>80</v>
      </c>
      <c r="T15" s="92" t="n">
        <f aca="false">IF(N(S15)=0,"",Q15/S15)</f>
        <v>48751.0875</v>
      </c>
      <c r="U15" s="93" t="str">
        <f aca="false">IF(E15=0,"",IF(AND(N(C15)&gt;0,F15="",G15=""),"Belum direalisasi",IF(AND(N(D15)&gt;0,H15=""),"EDC belum settle",IF(ABS(O15)&gt;50000,"Cek selisih tunai","OK"))))</f>
        <v>OK</v>
      </c>
    </row>
    <row r="16" customFormat="false" ht="15" hidden="false" customHeight="false" outlineLevel="0" collapsed="false">
      <c r="A16" s="89" t="n">
        <v>46034</v>
      </c>
      <c r="B16" s="90" t="n">
        <f aca="false">MONTH(A16)</f>
        <v>1</v>
      </c>
      <c r="C16" s="91" t="n">
        <v>700250</v>
      </c>
      <c r="D16" s="91" t="n">
        <v>2207900</v>
      </c>
      <c r="E16" s="92" t="n">
        <f aca="false">N(C16)+N(D16)</f>
        <v>2908150</v>
      </c>
      <c r="F16" s="91" t="n">
        <v>88000</v>
      </c>
      <c r="G16" s="91" t="n">
        <v>612000</v>
      </c>
      <c r="H16" s="91" t="n">
        <v>2244366</v>
      </c>
      <c r="I16" s="92" t="n">
        <f aca="false">N(F16)+N(G16)+N(H16)</f>
        <v>2944366</v>
      </c>
      <c r="J16" s="92" t="n">
        <f aca="false">IF(AND(F16="",G16=""),0,N(C16)-N(F16)-N(G16))</f>
        <v>250</v>
      </c>
      <c r="K16" s="92" t="n">
        <f aca="false">IF(H16="",0,N(D16)-N(H16))</f>
        <v>-36466</v>
      </c>
      <c r="L16" s="91" t="n">
        <v>0</v>
      </c>
      <c r="M16" s="91" t="n">
        <v>0</v>
      </c>
      <c r="N16" s="91" t="n">
        <v>0</v>
      </c>
      <c r="O16" s="92" t="n">
        <f aca="false">IF(AND(F16="",G16=""),0,J16-N(L16)-N(M16)-N(N16))</f>
        <v>250</v>
      </c>
      <c r="P16" s="92" t="n">
        <f aca="false">K16+O16</f>
        <v>-36216</v>
      </c>
      <c r="Q16" s="85" t="n">
        <f aca="false">E16-P16</f>
        <v>2944366</v>
      </c>
      <c r="R16" s="91" t="n">
        <v>114</v>
      </c>
      <c r="S16" s="91" t="n">
        <v>59</v>
      </c>
      <c r="T16" s="92" t="n">
        <f aca="false">IF(N(S16)=0,"",Q16/S16)</f>
        <v>49904.5084745763</v>
      </c>
      <c r="U16" s="93" t="str">
        <f aca="false">IF(E16=0,"",IF(AND(N(C16)&gt;0,F16="",G16=""),"Belum direalisasi",IF(AND(N(D16)&gt;0,H16=""),"EDC belum settle",IF(ABS(O16)&gt;50000,"Cek selisih tunai","OK"))))</f>
        <v>OK</v>
      </c>
    </row>
    <row r="17" customFormat="false" ht="15" hidden="false" customHeight="false" outlineLevel="0" collapsed="false">
      <c r="A17" s="89" t="n">
        <v>46035</v>
      </c>
      <c r="B17" s="90" t="n">
        <f aca="false">MONTH(A17)</f>
        <v>1</v>
      </c>
      <c r="C17" s="91" t="n">
        <v>1000500</v>
      </c>
      <c r="D17" s="91" t="n">
        <v>1965100</v>
      </c>
      <c r="E17" s="92" t="n">
        <f aca="false">N(C17)+N(D17)</f>
        <v>2965600</v>
      </c>
      <c r="F17" s="91" t="n">
        <v>400000</v>
      </c>
      <c r="G17" s="91" t="n">
        <v>479000</v>
      </c>
      <c r="H17" s="91" t="n">
        <v>1924533</v>
      </c>
      <c r="I17" s="92" t="n">
        <f aca="false">N(F17)+N(G17)+N(H17)</f>
        <v>2803533</v>
      </c>
      <c r="J17" s="92" t="n">
        <f aca="false">IF(AND(F17="",G17=""),0,N(C17)-N(F17)-N(G17))</f>
        <v>121500</v>
      </c>
      <c r="K17" s="92" t="n">
        <f aca="false">IF(H17="",0,N(D17)-N(H17))</f>
        <v>40567</v>
      </c>
      <c r="L17" s="91" t="n">
        <v>0</v>
      </c>
      <c r="M17" s="91" t="n">
        <v>122200</v>
      </c>
      <c r="N17" s="91" t="n">
        <v>0</v>
      </c>
      <c r="O17" s="92" t="n">
        <f aca="false">IF(AND(F17="",G17=""),0,J17-N(L17)-N(M17)-N(N17))</f>
        <v>-700</v>
      </c>
      <c r="P17" s="92" t="n">
        <f aca="false">K17+O17</f>
        <v>39867</v>
      </c>
      <c r="Q17" s="85" t="n">
        <f aca="false">E17-P17</f>
        <v>2925733</v>
      </c>
      <c r="R17" s="91" t="n">
        <v>121</v>
      </c>
      <c r="S17" s="91" t="n">
        <v>79</v>
      </c>
      <c r="T17" s="92" t="n">
        <f aca="false">IF(N(S17)=0,"",Q17/S17)</f>
        <v>37034.5949367089</v>
      </c>
      <c r="U17" s="93" t="str">
        <f aca="false">IF(E17=0,"",IF(AND(N(C17)&gt;0,F17="",G17=""),"Belum direalisasi",IF(AND(N(D17)&gt;0,H17=""),"EDC belum settle",IF(ABS(O17)&gt;50000,"Cek selisih tunai","OK"))))</f>
        <v>OK</v>
      </c>
    </row>
    <row r="18" customFormat="false" ht="15" hidden="false" customHeight="false" outlineLevel="0" collapsed="false">
      <c r="A18" s="89" t="n">
        <v>46036</v>
      </c>
      <c r="B18" s="90" t="n">
        <f aca="false">MONTH(A18)</f>
        <v>1</v>
      </c>
      <c r="C18" s="91" t="n">
        <v>593000</v>
      </c>
      <c r="D18" s="91" t="n">
        <v>1114100</v>
      </c>
      <c r="E18" s="92" t="n">
        <f aca="false">N(C18)+N(D18)</f>
        <v>1707100</v>
      </c>
      <c r="F18" s="91" t="n">
        <v>289000</v>
      </c>
      <c r="G18" s="91" t="n">
        <v>305000</v>
      </c>
      <c r="H18" s="91" t="n">
        <v>1133260</v>
      </c>
      <c r="I18" s="92" t="n">
        <f aca="false">N(F18)+N(G18)+N(H18)</f>
        <v>1727260</v>
      </c>
      <c r="J18" s="92" t="n">
        <f aca="false">IF(AND(F18="",G18=""),0,N(C18)-N(F18)-N(G18))</f>
        <v>-1000</v>
      </c>
      <c r="K18" s="92" t="n">
        <f aca="false">IF(H18="",0,N(D18)-N(H18))</f>
        <v>-19160</v>
      </c>
      <c r="L18" s="91" t="n">
        <v>0</v>
      </c>
      <c r="M18" s="91" t="n">
        <v>0</v>
      </c>
      <c r="N18" s="91" t="n">
        <v>0</v>
      </c>
      <c r="O18" s="92" t="n">
        <f aca="false">IF(AND(F18="",G18=""),0,J18-N(L18)-N(M18)-N(N18))</f>
        <v>-1000</v>
      </c>
      <c r="P18" s="92" t="n">
        <f aca="false">K18+O18</f>
        <v>-20160</v>
      </c>
      <c r="Q18" s="85" t="n">
        <f aca="false">E18-P18</f>
        <v>1727260</v>
      </c>
      <c r="R18" s="91" t="n">
        <v>69</v>
      </c>
      <c r="S18" s="91" t="n">
        <v>45</v>
      </c>
      <c r="T18" s="92" t="n">
        <f aca="false">IF(N(S18)=0,"",Q18/S18)</f>
        <v>38383.5555555556</v>
      </c>
      <c r="U18" s="93" t="str">
        <f aca="false">IF(E18=0,"",IF(AND(N(C18)&gt;0,F18="",G18=""),"Belum direalisasi",IF(AND(N(D18)&gt;0,H18=""),"EDC belum settle",IF(ABS(O18)&gt;50000,"Cek selisih tunai","OK"))))</f>
        <v>OK</v>
      </c>
    </row>
    <row r="19" customFormat="false" ht="15" hidden="false" customHeight="false" outlineLevel="0" collapsed="false">
      <c r="A19" s="89" t="n">
        <v>46037</v>
      </c>
      <c r="B19" s="90" t="n">
        <f aca="false">MONTH(A19)</f>
        <v>1</v>
      </c>
      <c r="C19" s="91" t="n">
        <v>4000</v>
      </c>
      <c r="D19" s="91" t="n">
        <v>0</v>
      </c>
      <c r="E19" s="92" t="n">
        <f aca="false">N(C19)+N(D19)</f>
        <v>4000</v>
      </c>
      <c r="F19" s="91" t="n">
        <v>0</v>
      </c>
      <c r="G19" s="91" t="n">
        <v>0</v>
      </c>
      <c r="H19" s="91" t="n">
        <v>0</v>
      </c>
      <c r="I19" s="92" t="n">
        <f aca="false">N(F19)+N(G19)+N(H19)</f>
        <v>0</v>
      </c>
      <c r="J19" s="92" t="n">
        <f aca="false">IF(AND(F19="",G19=""),0,N(C19)-N(F19)-N(G19))</f>
        <v>4000</v>
      </c>
      <c r="K19" s="92" t="n">
        <f aca="false">IF(H19="",0,N(D19)-N(H19))</f>
        <v>0</v>
      </c>
      <c r="L19" s="91" t="n">
        <v>0</v>
      </c>
      <c r="M19" s="91" t="n">
        <v>0</v>
      </c>
      <c r="N19" s="91" t="n">
        <v>0</v>
      </c>
      <c r="O19" s="92" t="n">
        <f aca="false">IF(AND(F19="",G19=""),0,J19-N(L19)-N(M19)-N(N19))</f>
        <v>4000</v>
      </c>
      <c r="P19" s="92" t="n">
        <f aca="false">K19+O19</f>
        <v>4000</v>
      </c>
      <c r="Q19" s="85" t="n">
        <f aca="false">E19-P19</f>
        <v>0</v>
      </c>
      <c r="R19" s="91" t="n">
        <v>2</v>
      </c>
      <c r="S19" s="91" t="n">
        <v>2</v>
      </c>
      <c r="T19" s="92" t="n">
        <f aca="false">IF(N(S19)=0,"",Q19/S19)</f>
        <v>0</v>
      </c>
      <c r="U19" s="93" t="str">
        <f aca="false">IF(E19=0,"",IF(AND(N(C19)&gt;0,F19="",G19=""),"Belum direalisasi",IF(AND(N(D19)&gt;0,H19=""),"EDC belum settle",IF(ABS(O19)&gt;50000,"Cek selisih tunai","OK"))))</f>
        <v>OK</v>
      </c>
    </row>
    <row r="20" customFormat="false" ht="15" hidden="false" customHeight="false" outlineLevel="0" collapsed="false">
      <c r="A20" s="89" t="n">
        <v>46038</v>
      </c>
      <c r="B20" s="90" t="n">
        <f aca="false">MONTH(A20)</f>
        <v>1</v>
      </c>
      <c r="C20" s="91" t="n">
        <v>0</v>
      </c>
      <c r="D20" s="91" t="n">
        <v>3217000</v>
      </c>
      <c r="E20" s="92" t="n">
        <f aca="false">N(C20)+N(D20)</f>
        <v>3217000</v>
      </c>
      <c r="F20" s="91" t="n">
        <v>0</v>
      </c>
      <c r="G20" s="91" t="n">
        <v>0</v>
      </c>
      <c r="H20" s="91" t="n">
        <v>2553474</v>
      </c>
      <c r="I20" s="92" t="n">
        <f aca="false">N(F20)+N(G20)+N(H20)</f>
        <v>2553474</v>
      </c>
      <c r="J20" s="92" t="n">
        <f aca="false">IF(AND(F20="",G20=""),0,N(C20)-N(F20)-N(G20))</f>
        <v>0</v>
      </c>
      <c r="K20" s="92" t="n">
        <f aca="false">IF(H20="",0,N(D20)-N(H20))</f>
        <v>663526</v>
      </c>
      <c r="L20" s="91" t="n">
        <v>0</v>
      </c>
      <c r="M20" s="91" t="n">
        <v>0</v>
      </c>
      <c r="N20" s="91" t="n">
        <v>0</v>
      </c>
      <c r="O20" s="92" t="n">
        <f aca="false">IF(AND(F20="",G20=""),0,J20-N(L20)-N(M20)-N(N20))</f>
        <v>0</v>
      </c>
      <c r="P20" s="92" t="n">
        <f aca="false">K20+O20</f>
        <v>663526</v>
      </c>
      <c r="Q20" s="85" t="n">
        <f aca="false">E20-P20</f>
        <v>2553474</v>
      </c>
      <c r="R20" s="91" t="n">
        <v>105</v>
      </c>
      <c r="S20" s="91" t="n">
        <v>49</v>
      </c>
      <c r="T20" s="92" t="n">
        <f aca="false">IF(N(S20)=0,"",Q20/S20)</f>
        <v>52111.7142857143</v>
      </c>
      <c r="U20" s="93" t="str">
        <f aca="false">IF(E20=0,"",IF(AND(N(C20)&gt;0,F20="",G20=""),"Belum direalisasi",IF(AND(N(D20)&gt;0,H20=""),"EDC belum settle",IF(ABS(O20)&gt;50000,"Cek selisih tunai","OK"))))</f>
        <v>OK</v>
      </c>
    </row>
    <row r="21" customFormat="false" ht="15" hidden="false" customHeight="false" outlineLevel="0" collapsed="false">
      <c r="A21" s="89" t="n">
        <v>46039</v>
      </c>
      <c r="B21" s="90" t="n">
        <f aca="false">MONTH(A21)</f>
        <v>1</v>
      </c>
      <c r="C21" s="91" t="n">
        <v>1182500</v>
      </c>
      <c r="D21" s="91" t="n">
        <v>1552400</v>
      </c>
      <c r="E21" s="92" t="n">
        <f aca="false">N(C21)+N(D21)</f>
        <v>2734900</v>
      </c>
      <c r="F21" s="91" t="n">
        <v>0</v>
      </c>
      <c r="G21" s="91" t="n">
        <v>1160000</v>
      </c>
      <c r="H21" s="91" t="n">
        <v>1931783</v>
      </c>
      <c r="I21" s="92" t="n">
        <f aca="false">N(F21)+N(G21)+N(H21)</f>
        <v>3091783</v>
      </c>
      <c r="J21" s="92" t="n">
        <f aca="false">IF(AND(F21="",G21=""),0,N(C21)-N(F21)-N(G21))</f>
        <v>22500</v>
      </c>
      <c r="K21" s="92" t="n">
        <f aca="false">IF(H21="",0,N(D21)-N(H21))</f>
        <v>-379383</v>
      </c>
      <c r="L21" s="91" t="n">
        <v>22500</v>
      </c>
      <c r="M21" s="91" t="n">
        <v>0</v>
      </c>
      <c r="N21" s="91" t="n">
        <v>0</v>
      </c>
      <c r="O21" s="92" t="n">
        <f aca="false">IF(AND(F21="",G21=""),0,J21-N(L21)-N(M21)-N(N21))</f>
        <v>0</v>
      </c>
      <c r="P21" s="92" t="n">
        <f aca="false">K21+O21</f>
        <v>-379383</v>
      </c>
      <c r="Q21" s="85" t="n">
        <f aca="false">E21-P21</f>
        <v>3114283</v>
      </c>
      <c r="R21" s="91" t="n">
        <v>109</v>
      </c>
      <c r="S21" s="91" t="n">
        <v>63</v>
      </c>
      <c r="T21" s="92" t="n">
        <f aca="false">IF(N(S21)=0,"",Q21/S21)</f>
        <v>49433.0634920635</v>
      </c>
      <c r="U21" s="93" t="str">
        <f aca="false">IF(E21=0,"",IF(AND(N(C21)&gt;0,F21="",G21=""),"Belum direalisasi",IF(AND(N(D21)&gt;0,H21=""),"EDC belum settle",IF(ABS(O21)&gt;50000,"Cek selisih tunai","OK"))))</f>
        <v>OK</v>
      </c>
    </row>
    <row r="22" customFormat="false" ht="15" hidden="false" customHeight="false" outlineLevel="0" collapsed="false">
      <c r="A22" s="89" t="n">
        <v>46040</v>
      </c>
      <c r="B22" s="90" t="n">
        <f aca="false">MONTH(A22)</f>
        <v>1</v>
      </c>
      <c r="C22" s="91" t="n">
        <v>1111750</v>
      </c>
      <c r="D22" s="91" t="n">
        <v>3155900</v>
      </c>
      <c r="E22" s="92" t="n">
        <f aca="false">N(C22)+N(D22)</f>
        <v>4267650</v>
      </c>
      <c r="F22" s="91" t="n">
        <v>282000</v>
      </c>
      <c r="G22" s="91" t="n">
        <v>782000</v>
      </c>
      <c r="H22" s="91" t="n">
        <v>1481563</v>
      </c>
      <c r="I22" s="92" t="n">
        <f aca="false">N(F22)+N(G22)+N(H22)</f>
        <v>2545563</v>
      </c>
      <c r="J22" s="92" t="n">
        <f aca="false">IF(AND(F22="",G22=""),0,N(C22)-N(F22)-N(G22))</f>
        <v>47750</v>
      </c>
      <c r="K22" s="92" t="n">
        <f aca="false">IF(H22="",0,N(D22)-N(H22))</f>
        <v>1674337</v>
      </c>
      <c r="L22" s="91" t="n">
        <v>47500</v>
      </c>
      <c r="M22" s="91" t="n">
        <v>0</v>
      </c>
      <c r="N22" s="91" t="n">
        <v>0</v>
      </c>
      <c r="O22" s="92" t="n">
        <f aca="false">IF(AND(F22="",G22=""),0,J22-N(L22)-N(M22)-N(N22))</f>
        <v>250</v>
      </c>
      <c r="P22" s="92" t="n">
        <f aca="false">K22+O22</f>
        <v>1674587</v>
      </c>
      <c r="Q22" s="85" t="n">
        <f aca="false">E22-P22</f>
        <v>2593063</v>
      </c>
      <c r="R22" s="91" t="n">
        <v>164</v>
      </c>
      <c r="S22" s="91" t="n">
        <v>66</v>
      </c>
      <c r="T22" s="92" t="n">
        <f aca="false">IF(N(S22)=0,"",Q22/S22)</f>
        <v>39288.8333333333</v>
      </c>
      <c r="U22" s="93" t="str">
        <f aca="false">IF(E22=0,"",IF(AND(N(C22)&gt;0,F22="",G22=""),"Belum direalisasi",IF(AND(N(D22)&gt;0,H22=""),"EDC belum settle",IF(ABS(O22)&gt;50000,"Cek selisih tunai","OK"))))</f>
        <v>OK</v>
      </c>
    </row>
    <row r="23" customFormat="false" ht="15" hidden="false" customHeight="false" outlineLevel="0" collapsed="false">
      <c r="A23" s="89" t="n">
        <v>46041</v>
      </c>
      <c r="B23" s="90" t="n">
        <f aca="false">MONTH(A23)</f>
        <v>1</v>
      </c>
      <c r="C23" s="91" t="n">
        <v>795000</v>
      </c>
      <c r="D23" s="91" t="n">
        <v>1772050</v>
      </c>
      <c r="E23" s="92" t="n">
        <f aca="false">N(C23)+N(D23)</f>
        <v>2567050</v>
      </c>
      <c r="F23" s="91" t="n">
        <v>174000</v>
      </c>
      <c r="G23" s="91" t="n">
        <v>500000</v>
      </c>
      <c r="H23" s="91" t="n">
        <v>3678147</v>
      </c>
      <c r="I23" s="92" t="n">
        <f aca="false">N(F23)+N(G23)+N(H23)</f>
        <v>4352147</v>
      </c>
      <c r="J23" s="92" t="n">
        <f aca="false">IF(AND(F23="",G23=""),0,N(C23)-N(F23)-N(G23))</f>
        <v>121000</v>
      </c>
      <c r="K23" s="92" t="n">
        <f aca="false">IF(H23="",0,N(D23)-N(H23))</f>
        <v>-1906097</v>
      </c>
      <c r="L23" s="91" t="n">
        <v>122500</v>
      </c>
      <c r="M23" s="91" t="n">
        <v>0</v>
      </c>
      <c r="N23" s="91" t="n">
        <v>0</v>
      </c>
      <c r="O23" s="92" t="n">
        <f aca="false">IF(AND(F23="",G23=""),0,J23-N(L23)-N(M23)-N(N23))</f>
        <v>-1500</v>
      </c>
      <c r="P23" s="92" t="n">
        <f aca="false">K23+O23</f>
        <v>-1907597</v>
      </c>
      <c r="Q23" s="85" t="n">
        <f aca="false">E23-P23</f>
        <v>4474647</v>
      </c>
      <c r="R23" s="91" t="n">
        <v>106</v>
      </c>
      <c r="S23" s="91" t="n">
        <v>59</v>
      </c>
      <c r="T23" s="92" t="n">
        <f aca="false">IF(N(S23)=0,"",Q23/S23)</f>
        <v>75841.4745762712</v>
      </c>
      <c r="U23" s="93" t="str">
        <f aca="false">IF(E23=0,"",IF(AND(N(C23)&gt;0,F23="",G23=""),"Belum direalisasi",IF(AND(N(D23)&gt;0,H23=""),"EDC belum settle",IF(ABS(O23)&gt;50000,"Cek selisih tunai","OK"))))</f>
        <v>OK</v>
      </c>
    </row>
    <row r="24" customFormat="false" ht="15" hidden="false" customHeight="false" outlineLevel="0" collapsed="false">
      <c r="A24" s="89" t="n">
        <v>46042</v>
      </c>
      <c r="B24" s="90" t="n">
        <f aca="false">MONTH(A24)</f>
        <v>1</v>
      </c>
      <c r="C24" s="91" t="n">
        <v>863100</v>
      </c>
      <c r="D24" s="91" t="n">
        <v>2003550</v>
      </c>
      <c r="E24" s="92" t="n">
        <f aca="false">N(C24)+N(D24)</f>
        <v>2866650</v>
      </c>
      <c r="F24" s="91" t="n">
        <v>85000</v>
      </c>
      <c r="G24" s="91" t="n">
        <v>687000</v>
      </c>
      <c r="H24" s="91" t="n">
        <v>1989525</v>
      </c>
      <c r="I24" s="92" t="n">
        <f aca="false">N(F24)+N(G24)+N(H24)</f>
        <v>2761525</v>
      </c>
      <c r="J24" s="92" t="n">
        <f aca="false">IF(AND(F24="",G24=""),0,N(C24)-N(F24)-N(G24))</f>
        <v>91100</v>
      </c>
      <c r="K24" s="92" t="n">
        <f aca="false">IF(H24="",0,N(D24)-N(H24))</f>
        <v>14025</v>
      </c>
      <c r="L24" s="91" t="n">
        <v>0</v>
      </c>
      <c r="M24" s="91" t="n">
        <v>91000</v>
      </c>
      <c r="N24" s="91" t="n">
        <v>0</v>
      </c>
      <c r="O24" s="92" t="n">
        <f aca="false">IF(AND(F24="",G24=""),0,J24-N(L24)-N(M24)-N(N24))</f>
        <v>100</v>
      </c>
      <c r="P24" s="92" t="n">
        <f aca="false">K24+O24</f>
        <v>14125</v>
      </c>
      <c r="Q24" s="85" t="n">
        <f aca="false">E24-P24</f>
        <v>2852525</v>
      </c>
      <c r="R24" s="91" t="n">
        <v>114</v>
      </c>
      <c r="S24" s="91" t="n">
        <v>62</v>
      </c>
      <c r="T24" s="92" t="n">
        <f aca="false">IF(N(S24)=0,"",Q24/S24)</f>
        <v>46008.4677419355</v>
      </c>
      <c r="U24" s="93" t="str">
        <f aca="false">IF(E24=0,"",IF(AND(N(C24)&gt;0,F24="",G24=""),"Belum direalisasi",IF(AND(N(D24)&gt;0,H24=""),"EDC belum settle",IF(ABS(O24)&gt;50000,"Cek selisih tunai","OK"))))</f>
        <v>OK</v>
      </c>
    </row>
    <row r="25" customFormat="false" ht="15" hidden="false" customHeight="false" outlineLevel="0" collapsed="false">
      <c r="A25" s="89" t="n">
        <v>46043</v>
      </c>
      <c r="B25" s="90" t="n">
        <f aca="false">MONTH(A25)</f>
        <v>1</v>
      </c>
      <c r="C25" s="91" t="n">
        <v>561400</v>
      </c>
      <c r="D25" s="91" t="n">
        <v>1719300</v>
      </c>
      <c r="E25" s="92" t="n">
        <f aca="false">N(C25)+N(D25)</f>
        <v>2280700</v>
      </c>
      <c r="F25" s="91" t="n">
        <v>104000</v>
      </c>
      <c r="G25" s="91" t="n">
        <v>338000</v>
      </c>
      <c r="H25" s="91" t="n">
        <v>1730388</v>
      </c>
      <c r="I25" s="92" t="n">
        <f aca="false">N(F25)+N(G25)+N(H25)</f>
        <v>2172388</v>
      </c>
      <c r="J25" s="92" t="n">
        <f aca="false">IF(AND(F25="",G25=""),0,N(C25)-N(F25)-N(G25))</f>
        <v>119400</v>
      </c>
      <c r="K25" s="92" t="n">
        <f aca="false">IF(H25="",0,N(D25)-N(H25))</f>
        <v>-11088</v>
      </c>
      <c r="L25" s="91" t="n">
        <v>0</v>
      </c>
      <c r="M25" s="91" t="n">
        <v>0</v>
      </c>
      <c r="N25" s="91" t="n">
        <v>119400</v>
      </c>
      <c r="O25" s="92" t="n">
        <f aca="false">IF(AND(F25="",G25=""),0,J25-N(L25)-N(M25)-N(N25))</f>
        <v>0</v>
      </c>
      <c r="P25" s="92" t="n">
        <f aca="false">K25+O25</f>
        <v>-11088</v>
      </c>
      <c r="Q25" s="85" t="n">
        <f aca="false">E25-P25</f>
        <v>2291788</v>
      </c>
      <c r="R25" s="91" t="n">
        <v>91</v>
      </c>
      <c r="S25" s="91" t="n">
        <v>48</v>
      </c>
      <c r="T25" s="92" t="n">
        <f aca="false">IF(N(S25)=0,"",Q25/S25)</f>
        <v>47745.5833333333</v>
      </c>
      <c r="U25" s="93" t="str">
        <f aca="false">IF(E25=0,"",IF(AND(N(C25)&gt;0,F25="",G25=""),"Belum direalisasi",IF(AND(N(D25)&gt;0,H25=""),"EDC belum settle",IF(ABS(O25)&gt;50000,"Cek selisih tunai","OK"))))</f>
        <v>OK</v>
      </c>
    </row>
    <row r="26" customFormat="false" ht="15" hidden="false" customHeight="false" outlineLevel="0" collapsed="false">
      <c r="A26" s="89" t="n">
        <v>46044</v>
      </c>
      <c r="B26" s="90" t="n">
        <f aca="false">MONTH(A26)</f>
        <v>1</v>
      </c>
      <c r="C26" s="91" t="n">
        <v>710700</v>
      </c>
      <c r="D26" s="91" t="n">
        <v>1509800</v>
      </c>
      <c r="E26" s="92" t="n">
        <f aca="false">N(C26)+N(D26)</f>
        <v>2220500</v>
      </c>
      <c r="F26" s="91" t="n">
        <v>139000</v>
      </c>
      <c r="G26" s="91" t="n">
        <v>525000</v>
      </c>
      <c r="H26" s="91" t="n">
        <v>1499231</v>
      </c>
      <c r="I26" s="92" t="n">
        <f aca="false">N(F26)+N(G26)+N(H26)</f>
        <v>2163231</v>
      </c>
      <c r="J26" s="92" t="n">
        <f aca="false">IF(AND(F26="",G26=""),0,N(C26)-N(F26)-N(G26))</f>
        <v>46700</v>
      </c>
      <c r="K26" s="92" t="n">
        <f aca="false">IF(H26="",0,N(D26)-N(H26))</f>
        <v>10569</v>
      </c>
      <c r="L26" s="91" t="n">
        <v>0</v>
      </c>
      <c r="M26" s="91" t="n">
        <v>46800</v>
      </c>
      <c r="N26" s="91" t="n">
        <v>0</v>
      </c>
      <c r="O26" s="92" t="n">
        <f aca="false">IF(AND(F26="",G26=""),0,J26-N(L26)-N(M26)-N(N26))</f>
        <v>-100</v>
      </c>
      <c r="P26" s="92" t="n">
        <f aca="false">K26+O26</f>
        <v>10469</v>
      </c>
      <c r="Q26" s="85" t="n">
        <f aca="false">E26-P26</f>
        <v>2210031</v>
      </c>
      <c r="R26" s="91" t="n">
        <v>87</v>
      </c>
      <c r="S26" s="91" t="n">
        <v>53</v>
      </c>
      <c r="T26" s="92" t="n">
        <f aca="false">IF(N(S26)=0,"",Q26/S26)</f>
        <v>41698.6981132075</v>
      </c>
      <c r="U26" s="93" t="str">
        <f aca="false">IF(E26=0,"",IF(AND(N(C26)&gt;0,F26="",G26=""),"Belum direalisasi",IF(AND(N(D26)&gt;0,H26=""),"EDC belum settle",IF(ABS(O26)&gt;50000,"Cek selisih tunai","OK"))))</f>
        <v>OK</v>
      </c>
    </row>
    <row r="27" customFormat="false" ht="15" hidden="false" customHeight="false" outlineLevel="0" collapsed="false">
      <c r="A27" s="89" t="n">
        <v>46045</v>
      </c>
      <c r="B27" s="90" t="n">
        <f aca="false">MONTH(A27)</f>
        <v>1</v>
      </c>
      <c r="C27" s="91" t="n">
        <v>484800</v>
      </c>
      <c r="D27" s="91" t="n">
        <v>1690650</v>
      </c>
      <c r="E27" s="92" t="n">
        <f aca="false">N(C27)+N(D27)</f>
        <v>2175450</v>
      </c>
      <c r="F27" s="91" t="n">
        <v>77000</v>
      </c>
      <c r="G27" s="91" t="n">
        <v>290000</v>
      </c>
      <c r="H27" s="91" t="n">
        <v>1725287</v>
      </c>
      <c r="I27" s="92" t="n">
        <f aca="false">N(F27)+N(G27)+N(H27)</f>
        <v>2092287</v>
      </c>
      <c r="J27" s="92" t="n">
        <f aca="false">IF(AND(F27="",G27=""),0,N(C27)-N(F27)-N(G27))</f>
        <v>117800</v>
      </c>
      <c r="K27" s="92" t="n">
        <f aca="false">IF(H27="",0,N(D27)-N(H27))</f>
        <v>-34637</v>
      </c>
      <c r="L27" s="91" t="n">
        <v>0</v>
      </c>
      <c r="M27" s="91" t="n">
        <v>95000</v>
      </c>
      <c r="N27" s="91" t="n">
        <v>22500</v>
      </c>
      <c r="O27" s="92" t="n">
        <f aca="false">IF(AND(F27="",G27=""),0,J27-N(L27)-N(M27)-N(N27))</f>
        <v>300</v>
      </c>
      <c r="P27" s="92" t="n">
        <f aca="false">K27+O27</f>
        <v>-34337</v>
      </c>
      <c r="Q27" s="85" t="n">
        <f aca="false">E27-P27</f>
        <v>2209787</v>
      </c>
      <c r="R27" s="91" t="n">
        <v>84</v>
      </c>
      <c r="S27" s="91" t="n">
        <v>48</v>
      </c>
      <c r="T27" s="92" t="n">
        <f aca="false">IF(N(S27)=0,"",Q27/S27)</f>
        <v>46037.2291666667</v>
      </c>
      <c r="U27" s="93" t="str">
        <f aca="false">IF(E27=0,"",IF(AND(N(C27)&gt;0,F27="",G27=""),"Belum direalisasi",IF(AND(N(D27)&gt;0,H27=""),"EDC belum settle",IF(ABS(O27)&gt;50000,"Cek selisih tunai","OK"))))</f>
        <v>OK</v>
      </c>
    </row>
    <row r="28" customFormat="false" ht="15" hidden="false" customHeight="false" outlineLevel="0" collapsed="false">
      <c r="A28" s="89" t="n">
        <v>46046</v>
      </c>
      <c r="B28" s="90" t="n">
        <f aca="false">MONTH(A28)</f>
        <v>1</v>
      </c>
      <c r="C28" s="91" t="n">
        <v>1145300</v>
      </c>
      <c r="D28" s="91" t="n">
        <v>2634900</v>
      </c>
      <c r="E28" s="92" t="n">
        <f aca="false">N(C28)+N(D28)</f>
        <v>3780200</v>
      </c>
      <c r="F28" s="91" t="n">
        <v>129000</v>
      </c>
      <c r="G28" s="91" t="n">
        <v>876000</v>
      </c>
      <c r="H28" s="91" t="n">
        <v>2616455</v>
      </c>
      <c r="I28" s="92" t="n">
        <f aca="false">N(F28)+N(G28)+N(H28)</f>
        <v>3621455</v>
      </c>
      <c r="J28" s="92" t="n">
        <f aca="false">IF(AND(F28="",G28=""),0,N(C28)-N(F28)-N(G28))</f>
        <v>140300</v>
      </c>
      <c r="K28" s="92" t="n">
        <f aca="false">IF(H28="",0,N(D28)-N(H28))</f>
        <v>18445</v>
      </c>
      <c r="L28" s="91" t="n">
        <v>0</v>
      </c>
      <c r="M28" s="91" t="n">
        <v>0</v>
      </c>
      <c r="N28" s="91" t="n">
        <v>140000</v>
      </c>
      <c r="O28" s="92" t="n">
        <f aca="false">IF(AND(F28="",G28=""),0,J28-N(L28)-N(M28)-N(N28))</f>
        <v>300</v>
      </c>
      <c r="P28" s="92" t="n">
        <f aca="false">K28+O28</f>
        <v>18745</v>
      </c>
      <c r="Q28" s="85" t="n">
        <f aca="false">E28-P28</f>
        <v>3761455</v>
      </c>
      <c r="R28" s="91" t="n">
        <v>143</v>
      </c>
      <c r="S28" s="91" t="n">
        <v>89</v>
      </c>
      <c r="T28" s="92" t="n">
        <f aca="false">IF(N(S28)=0,"",Q28/S28)</f>
        <v>42263.5393258427</v>
      </c>
      <c r="U28" s="93" t="str">
        <f aca="false">IF(E28=0,"",IF(AND(N(C28)&gt;0,F28="",G28=""),"Belum direalisasi",IF(AND(N(D28)&gt;0,H28=""),"EDC belum settle",IF(ABS(O28)&gt;50000,"Cek selisih tunai","OK"))))</f>
        <v>OK</v>
      </c>
    </row>
    <row r="29" customFormat="false" ht="15" hidden="false" customHeight="false" outlineLevel="0" collapsed="false">
      <c r="A29" s="89" t="n">
        <v>46047</v>
      </c>
      <c r="B29" s="90" t="n">
        <f aca="false">MONTH(A29)</f>
        <v>1</v>
      </c>
      <c r="C29" s="91" t="n">
        <v>699000</v>
      </c>
      <c r="D29" s="91" t="n">
        <v>2879050</v>
      </c>
      <c r="E29" s="92" t="n">
        <f aca="false">N(C29)+N(D29)</f>
        <v>3578050</v>
      </c>
      <c r="F29" s="91" t="n">
        <v>293000</v>
      </c>
      <c r="G29" s="91" t="n">
        <v>406000</v>
      </c>
      <c r="H29" s="91" t="n">
        <v>2881239</v>
      </c>
      <c r="I29" s="92" t="n">
        <f aca="false">N(F29)+N(G29)+N(H29)</f>
        <v>3580239</v>
      </c>
      <c r="J29" s="92" t="n">
        <f aca="false">IF(AND(F29="",G29=""),0,N(C29)-N(F29)-N(G29))</f>
        <v>0</v>
      </c>
      <c r="K29" s="92" t="n">
        <f aca="false">IF(H29="",0,N(D29)-N(H29))</f>
        <v>-2189</v>
      </c>
      <c r="L29" s="91" t="n">
        <v>0</v>
      </c>
      <c r="M29" s="91" t="n">
        <v>0</v>
      </c>
      <c r="N29" s="91" t="n">
        <v>0</v>
      </c>
      <c r="O29" s="92" t="n">
        <f aca="false">IF(AND(F29="",G29=""),0,J29-N(L29)-N(M29)-N(N29))</f>
        <v>0</v>
      </c>
      <c r="P29" s="92" t="n">
        <f aca="false">K29+O29</f>
        <v>-2189</v>
      </c>
      <c r="Q29" s="85" t="n">
        <f aca="false">E29-P29</f>
        <v>3580239</v>
      </c>
      <c r="R29" s="91" t="n">
        <v>140</v>
      </c>
      <c r="S29" s="91" t="n">
        <v>63</v>
      </c>
      <c r="T29" s="92" t="n">
        <f aca="false">IF(N(S29)=0,"",Q29/S29)</f>
        <v>56829.1904761905</v>
      </c>
      <c r="U29" s="93" t="str">
        <f aca="false">IF(E29=0,"",IF(AND(N(C29)&gt;0,F29="",G29=""),"Belum direalisasi",IF(AND(N(D29)&gt;0,H29=""),"EDC belum settle",IF(ABS(O29)&gt;50000,"Cek selisih tunai","OK"))))</f>
        <v>OK</v>
      </c>
    </row>
    <row r="30" customFormat="false" ht="15" hidden="false" customHeight="false" outlineLevel="0" collapsed="false">
      <c r="A30" s="89" t="n">
        <v>46048</v>
      </c>
      <c r="B30" s="90" t="n">
        <f aca="false">MONTH(A30)</f>
        <v>1</v>
      </c>
      <c r="C30" s="91" t="n">
        <v>608000</v>
      </c>
      <c r="D30" s="91" t="n">
        <v>2317800</v>
      </c>
      <c r="E30" s="92" t="n">
        <f aca="false">N(C30)+N(D30)</f>
        <v>2925800</v>
      </c>
      <c r="F30" s="91" t="n">
        <v>294000</v>
      </c>
      <c r="G30" s="91" t="n">
        <v>270000</v>
      </c>
      <c r="H30" s="91" t="n">
        <v>2301320</v>
      </c>
      <c r="I30" s="92" t="n">
        <f aca="false">N(F30)+N(G30)+N(H30)</f>
        <v>2865320</v>
      </c>
      <c r="J30" s="92" t="n">
        <f aca="false">IF(AND(F30="",G30=""),0,N(C30)-N(F30)-N(G30))</f>
        <v>44000</v>
      </c>
      <c r="K30" s="92" t="n">
        <f aca="false">IF(H30="",0,N(D30)-N(H30))</f>
        <v>16480</v>
      </c>
      <c r="L30" s="91" t="n">
        <v>0</v>
      </c>
      <c r="M30" s="91" t="n">
        <v>45000</v>
      </c>
      <c r="N30" s="91" t="n">
        <v>0</v>
      </c>
      <c r="O30" s="92" t="n">
        <f aca="false">IF(AND(F30="",G30=""),0,J30-N(L30)-N(M30)-N(N30))</f>
        <v>-1000</v>
      </c>
      <c r="P30" s="92" t="n">
        <f aca="false">K30+O30</f>
        <v>15480</v>
      </c>
      <c r="Q30" s="85" t="n">
        <f aca="false">E30-P30</f>
        <v>2910320</v>
      </c>
      <c r="R30" s="91" t="n">
        <v>117</v>
      </c>
      <c r="S30" s="91" t="n">
        <v>66</v>
      </c>
      <c r="T30" s="92" t="n">
        <f aca="false">IF(N(S30)=0,"",Q30/S30)</f>
        <v>44095.7575757576</v>
      </c>
      <c r="U30" s="93" t="str">
        <f aca="false">IF(E30=0,"",IF(AND(N(C30)&gt;0,F30="",G30=""),"Belum direalisasi",IF(AND(N(D30)&gt;0,H30=""),"EDC belum settle",IF(ABS(O30)&gt;50000,"Cek selisih tunai","OK"))))</f>
        <v>OK</v>
      </c>
    </row>
    <row r="31" customFormat="false" ht="15" hidden="false" customHeight="false" outlineLevel="0" collapsed="false">
      <c r="A31" s="89" t="n">
        <v>46049</v>
      </c>
      <c r="B31" s="90" t="n">
        <f aca="false">MONTH(A31)</f>
        <v>1</v>
      </c>
      <c r="C31" s="91" t="n">
        <v>1096000</v>
      </c>
      <c r="D31" s="91" t="n">
        <v>2021700</v>
      </c>
      <c r="E31" s="92" t="n">
        <f aca="false">N(C31)+N(D31)</f>
        <v>3117700</v>
      </c>
      <c r="F31" s="91" t="n">
        <v>0</v>
      </c>
      <c r="G31" s="91" t="n">
        <v>1051000</v>
      </c>
      <c r="H31" s="91" t="n">
        <v>2007548</v>
      </c>
      <c r="I31" s="92" t="n">
        <f aca="false">N(F31)+N(G31)+N(H31)</f>
        <v>3058548</v>
      </c>
      <c r="J31" s="92" t="n">
        <f aca="false">IF(AND(F31="",G31=""),0,N(C31)-N(F31)-N(G31))</f>
        <v>45000</v>
      </c>
      <c r="K31" s="92" t="n">
        <f aca="false">IF(H31="",0,N(D31)-N(H31))</f>
        <v>14152</v>
      </c>
      <c r="L31" s="91" t="n">
        <v>0</v>
      </c>
      <c r="M31" s="91" t="n">
        <v>45000</v>
      </c>
      <c r="N31" s="91" t="n">
        <v>0</v>
      </c>
      <c r="O31" s="92" t="n">
        <f aca="false">IF(AND(F31="",G31=""),0,J31-N(L31)-N(M31)-N(N31))</f>
        <v>0</v>
      </c>
      <c r="P31" s="92" t="n">
        <f aca="false">K31+O31</f>
        <v>14152</v>
      </c>
      <c r="Q31" s="85" t="n">
        <f aca="false">E31-P31</f>
        <v>3103548</v>
      </c>
      <c r="R31" s="91" t="n">
        <v>124</v>
      </c>
      <c r="S31" s="91" t="n">
        <v>61</v>
      </c>
      <c r="T31" s="92" t="n">
        <f aca="false">IF(N(S31)=0,"",Q31/S31)</f>
        <v>50877.8360655738</v>
      </c>
      <c r="U31" s="93" t="str">
        <f aca="false">IF(E31=0,"",IF(AND(N(C31)&gt;0,F31="",G31=""),"Belum direalisasi",IF(AND(N(D31)&gt;0,H31=""),"EDC belum settle",IF(ABS(O31)&gt;50000,"Cek selisih tunai","OK"))))</f>
        <v>OK</v>
      </c>
    </row>
    <row r="32" customFormat="false" ht="15" hidden="false" customHeight="false" outlineLevel="0" collapsed="false">
      <c r="A32" s="89" t="n">
        <v>46050</v>
      </c>
      <c r="B32" s="90" t="n">
        <f aca="false">MONTH(A32)</f>
        <v>1</v>
      </c>
      <c r="C32" s="91" t="n">
        <v>491000</v>
      </c>
      <c r="D32" s="91" t="n">
        <v>1545300</v>
      </c>
      <c r="E32" s="92" t="n">
        <f aca="false">N(C32)+N(D32)</f>
        <v>2036300</v>
      </c>
      <c r="F32" s="91" t="n">
        <v>23000</v>
      </c>
      <c r="G32" s="91" t="n">
        <v>446000</v>
      </c>
      <c r="H32" s="91" t="n">
        <v>1509657</v>
      </c>
      <c r="I32" s="92" t="n">
        <f aca="false">N(F32)+N(G32)+N(H32)</f>
        <v>1978657</v>
      </c>
      <c r="J32" s="92" t="n">
        <f aca="false">IF(AND(F32="",G32=""),0,N(C32)-N(F32)-N(G32))</f>
        <v>22000</v>
      </c>
      <c r="K32" s="92" t="n">
        <f aca="false">IF(H32="",0,N(D32)-N(H32))</f>
        <v>35643</v>
      </c>
      <c r="L32" s="91" t="n">
        <v>22500</v>
      </c>
      <c r="M32" s="91" t="n">
        <v>0</v>
      </c>
      <c r="N32" s="91" t="n">
        <v>0</v>
      </c>
      <c r="O32" s="92" t="n">
        <f aca="false">IF(AND(F32="",G32=""),0,J32-N(L32)-N(M32)-N(N32))</f>
        <v>-500</v>
      </c>
      <c r="P32" s="92" t="n">
        <f aca="false">K32+O32</f>
        <v>35143</v>
      </c>
      <c r="Q32" s="85" t="n">
        <f aca="false">E32-P32</f>
        <v>2001157</v>
      </c>
      <c r="R32" s="91" t="n">
        <v>80</v>
      </c>
      <c r="S32" s="91" t="n">
        <v>43</v>
      </c>
      <c r="T32" s="92" t="n">
        <f aca="false">IF(N(S32)=0,"",Q32/S32)</f>
        <v>46538.5348837209</v>
      </c>
      <c r="U32" s="93" t="str">
        <f aca="false">IF(E32=0,"",IF(AND(N(C32)&gt;0,F32="",G32=""),"Belum direalisasi",IF(AND(N(D32)&gt;0,H32=""),"EDC belum settle",IF(ABS(O32)&gt;50000,"Cek selisih tunai","OK"))))</f>
        <v>OK</v>
      </c>
    </row>
    <row r="33" customFormat="false" ht="15" hidden="false" customHeight="false" outlineLevel="0" collapsed="false">
      <c r="A33" s="89" t="n">
        <v>46051</v>
      </c>
      <c r="B33" s="90" t="n">
        <f aca="false">MONTH(A33)</f>
        <v>1</v>
      </c>
      <c r="C33" s="91" t="n">
        <v>505500</v>
      </c>
      <c r="D33" s="91" t="n">
        <v>1450550</v>
      </c>
      <c r="E33" s="92" t="n">
        <f aca="false">N(C33)+N(D33)</f>
        <v>1956050</v>
      </c>
      <c r="F33" s="91" t="n">
        <v>189000</v>
      </c>
      <c r="G33" s="91" t="n">
        <v>164000</v>
      </c>
      <c r="H33" s="91" t="n">
        <v>1475288</v>
      </c>
      <c r="I33" s="92" t="n">
        <f aca="false">N(F33)+N(G33)+N(H33)</f>
        <v>1828288</v>
      </c>
      <c r="J33" s="92" t="n">
        <f aca="false">IF(AND(F33="",G33=""),0,N(C33)-N(F33)-N(G33))</f>
        <v>152500</v>
      </c>
      <c r="K33" s="92" t="n">
        <f aca="false">IF(H33="",0,N(D33)-N(H33))</f>
        <v>-24738</v>
      </c>
      <c r="L33" s="91" t="n">
        <v>0</v>
      </c>
      <c r="M33" s="91" t="n">
        <v>60000</v>
      </c>
      <c r="N33" s="91" t="n">
        <v>92500</v>
      </c>
      <c r="O33" s="92" t="n">
        <f aca="false">IF(AND(F33="",G33=""),0,J33-N(L33)-N(M33)-N(N33))</f>
        <v>0</v>
      </c>
      <c r="P33" s="92" t="n">
        <f aca="false">K33+O33</f>
        <v>-24738</v>
      </c>
      <c r="Q33" s="85" t="n">
        <f aca="false">E33-P33</f>
        <v>1980788</v>
      </c>
      <c r="R33" s="91" t="n">
        <v>78</v>
      </c>
      <c r="S33" s="91" t="n">
        <v>52</v>
      </c>
      <c r="T33" s="92" t="n">
        <f aca="false">IF(N(S33)=0,"",Q33/S33)</f>
        <v>38092.0769230769</v>
      </c>
      <c r="U33" s="93" t="str">
        <f aca="false">IF(E33=0,"",IF(AND(N(C33)&gt;0,F33="",G33=""),"Belum direalisasi",IF(AND(N(D33)&gt;0,H33=""),"EDC belum settle",IF(ABS(O33)&gt;50000,"Cek selisih tunai","OK"))))</f>
        <v>OK</v>
      </c>
    </row>
    <row r="34" customFormat="false" ht="15" hidden="false" customHeight="false" outlineLevel="0" collapsed="false">
      <c r="A34" s="89" t="n">
        <v>46052</v>
      </c>
      <c r="B34" s="90" t="n">
        <f aca="false">MONTH(A34)</f>
        <v>1</v>
      </c>
      <c r="C34" s="91" t="n">
        <v>712300</v>
      </c>
      <c r="D34" s="91" t="n">
        <v>1886550</v>
      </c>
      <c r="E34" s="92" t="n">
        <f aca="false">N(C34)+N(D34)</f>
        <v>2598850</v>
      </c>
      <c r="F34" s="91" t="n">
        <v>73000</v>
      </c>
      <c r="G34" s="91" t="n">
        <v>580000</v>
      </c>
      <c r="H34" s="91" t="n">
        <v>1863414</v>
      </c>
      <c r="I34" s="92" t="n">
        <f aca="false">N(F34)+N(G34)+N(H34)</f>
        <v>2516414</v>
      </c>
      <c r="J34" s="92" t="n">
        <f aca="false">IF(AND(F34="",G34=""),0,N(C34)-N(F34)-N(G34))</f>
        <v>59300</v>
      </c>
      <c r="K34" s="92" t="n">
        <f aca="false">IF(H34="",0,N(D34)-N(H34))</f>
        <v>23136</v>
      </c>
      <c r="L34" s="91" t="n">
        <v>0</v>
      </c>
      <c r="M34" s="91" t="n">
        <v>60000</v>
      </c>
      <c r="N34" s="91" t="n">
        <v>0</v>
      </c>
      <c r="O34" s="92" t="n">
        <f aca="false">IF(AND(F34="",G34=""),0,J34-N(L34)-N(M34)-N(N34))</f>
        <v>-700</v>
      </c>
      <c r="P34" s="92" t="n">
        <f aca="false">K34+O34</f>
        <v>22436</v>
      </c>
      <c r="Q34" s="85" t="n">
        <f aca="false">E34-P34</f>
        <v>2576414</v>
      </c>
      <c r="R34" s="91" t="n">
        <v>102</v>
      </c>
      <c r="S34" s="91" t="n">
        <v>69</v>
      </c>
      <c r="T34" s="92" t="n">
        <f aca="false">IF(N(S34)=0,"",Q34/S34)</f>
        <v>37339.3333333333</v>
      </c>
      <c r="U34" s="93" t="str">
        <f aca="false">IF(E34=0,"",IF(AND(N(C34)&gt;0,F34="",G34=""),"Belum direalisasi",IF(AND(N(D34)&gt;0,H34=""),"EDC belum settle",IF(ABS(O34)&gt;50000,"Cek selisih tunai","OK"))))</f>
        <v>OK</v>
      </c>
    </row>
    <row r="35" customFormat="false" ht="15" hidden="false" customHeight="false" outlineLevel="0" collapsed="false">
      <c r="A35" s="89" t="n">
        <v>46053</v>
      </c>
      <c r="B35" s="90" t="n">
        <f aca="false">MONTH(A35)</f>
        <v>1</v>
      </c>
      <c r="C35" s="91" t="n">
        <v>1295300</v>
      </c>
      <c r="D35" s="91" t="n">
        <v>2531200</v>
      </c>
      <c r="E35" s="92" t="n">
        <f aca="false">N(C35)+N(D35)</f>
        <v>3826500</v>
      </c>
      <c r="F35" s="91" t="n">
        <v>301000</v>
      </c>
      <c r="G35" s="91" t="n">
        <v>925000</v>
      </c>
      <c r="H35" s="91" t="n">
        <v>2490046</v>
      </c>
      <c r="I35" s="92" t="n">
        <f aca="false">N(F35)+N(G35)+N(H35)</f>
        <v>3716046</v>
      </c>
      <c r="J35" s="92" t="n">
        <f aca="false">IF(AND(F35="",G35=""),0,N(C35)-N(F35)-N(G35))</f>
        <v>69300</v>
      </c>
      <c r="K35" s="92" t="n">
        <f aca="false">IF(H35="",0,N(D35)-N(H35))</f>
        <v>41154</v>
      </c>
      <c r="L35" s="91" t="n">
        <v>0</v>
      </c>
      <c r="M35" s="91" t="n">
        <v>0</v>
      </c>
      <c r="N35" s="91" t="n">
        <v>69800</v>
      </c>
      <c r="O35" s="92" t="n">
        <f aca="false">IF(AND(F35="",G35=""),0,J35-N(L35)-N(M35)-N(N35))</f>
        <v>-500</v>
      </c>
      <c r="P35" s="92" t="n">
        <f aca="false">K35+O35</f>
        <v>40654</v>
      </c>
      <c r="Q35" s="85" t="n">
        <f aca="false">E35-P35</f>
        <v>3785846</v>
      </c>
      <c r="R35" s="91" t="n">
        <v>163</v>
      </c>
      <c r="S35" s="91" t="n">
        <v>87</v>
      </c>
      <c r="T35" s="92" t="n">
        <f aca="false">IF(N(S35)=0,"",Q35/S35)</f>
        <v>43515.4712643678</v>
      </c>
      <c r="U35" s="93" t="str">
        <f aca="false">IF(E35=0,"",IF(AND(N(C35)&gt;0,F35="",G35=""),"Belum direalisasi",IF(AND(N(D35)&gt;0,H35=""),"EDC belum settle",IF(ABS(O35)&gt;50000,"Cek selisih tunai","OK"))))</f>
        <v>OK</v>
      </c>
    </row>
    <row r="36" customFormat="false" ht="15" hidden="false" customHeight="false" outlineLevel="0" collapsed="false">
      <c r="A36" s="94" t="n">
        <v>46054</v>
      </c>
      <c r="B36" s="95" t="n">
        <f aca="false">MONTH(A36)</f>
        <v>2</v>
      </c>
      <c r="C36" s="96" t="n">
        <v>454600</v>
      </c>
      <c r="D36" s="96" t="n">
        <v>2132400</v>
      </c>
      <c r="E36" s="97" t="n">
        <f aca="false">N(C36)+N(D36)</f>
        <v>2587000</v>
      </c>
      <c r="F36" s="96" t="n">
        <v>312000</v>
      </c>
      <c r="G36" s="96" t="n">
        <v>143000</v>
      </c>
      <c r="H36" s="96" t="n">
        <v>2060016</v>
      </c>
      <c r="I36" s="97" t="n">
        <f aca="false">N(F36)+N(G36)+N(H36)</f>
        <v>2515016</v>
      </c>
      <c r="J36" s="97" t="n">
        <f aca="false">IF(AND(F36="",G36=""),0,N(C36)-N(F36)-N(G36))</f>
        <v>-400</v>
      </c>
      <c r="K36" s="97" t="n">
        <f aca="false">IF(H36="",0,N(D36)-N(H36))</f>
        <v>72384</v>
      </c>
      <c r="L36" s="96" t="n">
        <v>0</v>
      </c>
      <c r="M36" s="96" t="n">
        <v>0</v>
      </c>
      <c r="N36" s="96" t="n">
        <v>0</v>
      </c>
      <c r="O36" s="97" t="n">
        <f aca="false">IF(AND(F36="",G36=""),0,J36-N(L36)-N(M36)-N(N36))</f>
        <v>-400</v>
      </c>
      <c r="P36" s="97" t="n">
        <f aca="false">K36+O36</f>
        <v>71984</v>
      </c>
      <c r="Q36" s="98" t="n">
        <f aca="false">E36-P36</f>
        <v>2515016</v>
      </c>
      <c r="R36" s="96" t="n">
        <v>102</v>
      </c>
      <c r="S36" s="96" t="n">
        <v>51</v>
      </c>
      <c r="T36" s="97" t="n">
        <f aca="false">IF(N(S36)=0,"",Q36/S36)</f>
        <v>49314.0392156863</v>
      </c>
      <c r="U36" s="99" t="str">
        <f aca="false">IF(E36=0,"",IF(AND(N(C36)&gt;0,F36="",G36=""),"Belum direalisasi",IF(AND(N(D36)&gt;0,H36=""),"EDC belum settle",IF(ABS(O36)&gt;50000,"Cek selisih tunai","OK"))))</f>
        <v>OK</v>
      </c>
    </row>
    <row r="37" customFormat="false" ht="15" hidden="false" customHeight="false" outlineLevel="0" collapsed="false">
      <c r="A37" s="94" t="n">
        <v>46055</v>
      </c>
      <c r="B37" s="95" t="n">
        <f aca="false">MONTH(A37)</f>
        <v>2</v>
      </c>
      <c r="C37" s="96" t="n">
        <v>993100</v>
      </c>
      <c r="D37" s="96" t="n">
        <v>2701150</v>
      </c>
      <c r="E37" s="97" t="n">
        <f aca="false">N(C37)+N(D37)</f>
        <v>3694250</v>
      </c>
      <c r="F37" s="96" t="n">
        <v>153000</v>
      </c>
      <c r="G37" s="96" t="n">
        <v>793000</v>
      </c>
      <c r="H37" s="96" t="n">
        <v>2739496</v>
      </c>
      <c r="I37" s="97" t="n">
        <f aca="false">N(F37)+N(G37)+N(H37)</f>
        <v>3685496</v>
      </c>
      <c r="J37" s="97" t="n">
        <f aca="false">IF(AND(F37="",G37=""),0,N(C37)-N(F37)-N(G37))</f>
        <v>47100</v>
      </c>
      <c r="K37" s="97" t="n">
        <f aca="false">IF(H37="",0,N(D37)-N(H37))</f>
        <v>-38346</v>
      </c>
      <c r="L37" s="96" t="n">
        <v>46800</v>
      </c>
      <c r="M37" s="96" t="n">
        <v>0</v>
      </c>
      <c r="N37" s="96" t="n">
        <v>0</v>
      </c>
      <c r="O37" s="97" t="n">
        <f aca="false">IF(AND(F37="",G37=""),0,J37-N(L37)-N(M37)-N(N37))</f>
        <v>300</v>
      </c>
      <c r="P37" s="97" t="n">
        <f aca="false">K37+O37</f>
        <v>-38046</v>
      </c>
      <c r="Q37" s="98" t="n">
        <f aca="false">E37-P37</f>
        <v>3732296</v>
      </c>
      <c r="R37" s="96" t="n">
        <v>148</v>
      </c>
      <c r="S37" s="96" t="n">
        <v>72</v>
      </c>
      <c r="T37" s="97" t="n">
        <f aca="false">IF(N(S37)=0,"",Q37/S37)</f>
        <v>51837.4444444444</v>
      </c>
      <c r="U37" s="99" t="str">
        <f aca="false">IF(E37=0,"",IF(AND(N(C37)&gt;0,F37="",G37=""),"Belum direalisasi",IF(AND(N(D37)&gt;0,H37=""),"EDC belum settle",IF(ABS(O37)&gt;50000,"Cek selisih tunai","OK"))))</f>
        <v>OK</v>
      </c>
    </row>
    <row r="38" customFormat="false" ht="15" hidden="false" customHeight="false" outlineLevel="0" collapsed="false">
      <c r="A38" s="94" t="n">
        <v>46056</v>
      </c>
      <c r="B38" s="95" t="n">
        <f aca="false">MONTH(A38)</f>
        <v>2</v>
      </c>
      <c r="C38" s="96" t="n">
        <v>500000</v>
      </c>
      <c r="D38" s="96" t="n">
        <v>2366850</v>
      </c>
      <c r="E38" s="97" t="n">
        <f aca="false">N(C38)+N(D38)</f>
        <v>2866850</v>
      </c>
      <c r="F38" s="96" t="n">
        <v>388000</v>
      </c>
      <c r="G38" s="96" t="n">
        <v>112000</v>
      </c>
      <c r="H38" s="96" t="n">
        <v>2267863</v>
      </c>
      <c r="I38" s="97" t="n">
        <f aca="false">N(F38)+N(G38)+N(H38)</f>
        <v>2767863</v>
      </c>
      <c r="J38" s="97" t="n">
        <f aca="false">IF(AND(F38="",G38=""),0,N(C38)-N(F38)-N(G38))</f>
        <v>0</v>
      </c>
      <c r="K38" s="97" t="n">
        <f aca="false">IF(H38="",0,N(D38)-N(H38))</f>
        <v>98987</v>
      </c>
      <c r="L38" s="96" t="n">
        <v>0</v>
      </c>
      <c r="M38" s="96" t="n">
        <v>0</v>
      </c>
      <c r="N38" s="96" t="n">
        <v>0</v>
      </c>
      <c r="O38" s="97" t="n">
        <f aca="false">IF(AND(F38="",G38=""),0,J38-N(L38)-N(M38)-N(N38))</f>
        <v>0</v>
      </c>
      <c r="P38" s="97" t="n">
        <f aca="false">K38+O38</f>
        <v>98987</v>
      </c>
      <c r="Q38" s="98" t="n">
        <f aca="false">E38-P38</f>
        <v>2767863</v>
      </c>
      <c r="R38" s="96" t="n">
        <v>114</v>
      </c>
      <c r="S38" s="96" t="n">
        <v>64</v>
      </c>
      <c r="T38" s="97" t="n">
        <f aca="false">IF(N(S38)=0,"",Q38/S38)</f>
        <v>43247.859375</v>
      </c>
      <c r="U38" s="99" t="str">
        <f aca="false">IF(E38=0,"",IF(AND(N(C38)&gt;0,F38="",G38=""),"Belum direalisasi",IF(AND(N(D38)&gt;0,H38=""),"EDC belum settle",IF(ABS(O38)&gt;50000,"Cek selisih tunai","OK"))))</f>
        <v>OK</v>
      </c>
    </row>
    <row r="39" customFormat="false" ht="15" hidden="false" customHeight="false" outlineLevel="0" collapsed="false">
      <c r="A39" s="94" t="n">
        <v>46057</v>
      </c>
      <c r="B39" s="95" t="n">
        <f aca="false">MONTH(A39)</f>
        <v>2</v>
      </c>
      <c r="C39" s="96" t="n">
        <v>581300</v>
      </c>
      <c r="D39" s="96" t="n">
        <v>1004600</v>
      </c>
      <c r="E39" s="97" t="n">
        <f aca="false">N(C39)+N(D39)</f>
        <v>1585900</v>
      </c>
      <c r="F39" s="96" t="n">
        <v>159000</v>
      </c>
      <c r="G39" s="96" t="n">
        <v>343000</v>
      </c>
      <c r="H39" s="96" t="n">
        <v>1079737</v>
      </c>
      <c r="I39" s="97" t="n">
        <f aca="false">N(F39)+N(G39)+N(H39)</f>
        <v>1581737</v>
      </c>
      <c r="J39" s="97" t="n">
        <f aca="false">IF(AND(F39="",G39=""),0,N(C39)-N(F39)-N(G39))</f>
        <v>79300</v>
      </c>
      <c r="K39" s="97" t="n">
        <f aca="false">IF(H39="",0,N(D39)-N(H39))</f>
        <v>-75137</v>
      </c>
      <c r="L39" s="96" t="n">
        <v>0</v>
      </c>
      <c r="M39" s="96" t="n">
        <v>0</v>
      </c>
      <c r="N39" s="96" t="n">
        <v>79300</v>
      </c>
      <c r="O39" s="97" t="n">
        <f aca="false">IF(AND(F39="",G39=""),0,J39-N(L39)-N(M39)-N(N39))</f>
        <v>0</v>
      </c>
      <c r="P39" s="97" t="n">
        <f aca="false">K39+O39</f>
        <v>-75137</v>
      </c>
      <c r="Q39" s="98" t="n">
        <f aca="false">E39-P39</f>
        <v>1661037</v>
      </c>
      <c r="R39" s="96" t="n">
        <v>61</v>
      </c>
      <c r="S39" s="96" t="n">
        <v>43</v>
      </c>
      <c r="T39" s="97" t="n">
        <f aca="false">IF(N(S39)=0,"",Q39/S39)</f>
        <v>38628.7674418605</v>
      </c>
      <c r="U39" s="99" t="str">
        <f aca="false">IF(E39=0,"",IF(AND(N(C39)&gt;0,F39="",G39=""),"Belum direalisasi",IF(AND(N(D39)&gt;0,H39=""),"EDC belum settle",IF(ABS(O39)&gt;50000,"Cek selisih tunai","OK"))))</f>
        <v>OK</v>
      </c>
    </row>
    <row r="40" customFormat="false" ht="15" hidden="false" customHeight="false" outlineLevel="0" collapsed="false">
      <c r="A40" s="94" t="n">
        <v>46058</v>
      </c>
      <c r="B40" s="95" t="n">
        <f aca="false">MONTH(A40)</f>
        <v>2</v>
      </c>
      <c r="C40" s="96" t="n">
        <v>418500</v>
      </c>
      <c r="D40" s="96" t="n">
        <v>1727000</v>
      </c>
      <c r="E40" s="97" t="n">
        <f aca="false">N(C40)+N(D40)</f>
        <v>2145500</v>
      </c>
      <c r="F40" s="96" t="n">
        <v>75000</v>
      </c>
      <c r="G40" s="96" t="n">
        <v>344000</v>
      </c>
      <c r="H40" s="96" t="n">
        <v>1715083</v>
      </c>
      <c r="I40" s="97" t="n">
        <f aca="false">N(F40)+N(G40)+N(H40)</f>
        <v>2134083</v>
      </c>
      <c r="J40" s="97" t="n">
        <f aca="false">IF(AND(F40="",G40=""),0,N(C40)-N(F40)-N(G40))</f>
        <v>-500</v>
      </c>
      <c r="K40" s="97" t="n">
        <f aca="false">IF(H40="",0,N(D40)-N(H40))</f>
        <v>11917</v>
      </c>
      <c r="L40" s="96" t="n">
        <v>0</v>
      </c>
      <c r="M40" s="96" t="n">
        <v>0</v>
      </c>
      <c r="N40" s="96" t="n">
        <v>0</v>
      </c>
      <c r="O40" s="97" t="n">
        <f aca="false">IF(AND(F40="",G40=""),0,J40-N(L40)-N(M40)-N(N40))</f>
        <v>-500</v>
      </c>
      <c r="P40" s="97" t="n">
        <f aca="false">K40+O40</f>
        <v>11417</v>
      </c>
      <c r="Q40" s="98" t="n">
        <f aca="false">E40-P40</f>
        <v>2134083</v>
      </c>
      <c r="R40" s="96" t="n">
        <v>82</v>
      </c>
      <c r="S40" s="96" t="n">
        <v>45</v>
      </c>
      <c r="T40" s="97" t="n">
        <f aca="false">IF(N(S40)=0,"",Q40/S40)</f>
        <v>47424.0666666667</v>
      </c>
      <c r="U40" s="99" t="str">
        <f aca="false">IF(E40=0,"",IF(AND(N(C40)&gt;0,F40="",G40=""),"Belum direalisasi",IF(AND(N(D40)&gt;0,H40=""),"EDC belum settle",IF(ABS(O40)&gt;50000,"Cek selisih tunai","OK"))))</f>
        <v>OK</v>
      </c>
    </row>
    <row r="41" customFormat="false" ht="15" hidden="false" customHeight="false" outlineLevel="0" collapsed="false">
      <c r="A41" s="94" t="n">
        <v>46059</v>
      </c>
      <c r="B41" s="95" t="n">
        <f aca="false">MONTH(A41)</f>
        <v>2</v>
      </c>
      <c r="C41" s="96" t="n">
        <v>826500</v>
      </c>
      <c r="D41" s="96" t="n">
        <v>1924400</v>
      </c>
      <c r="E41" s="97" t="n">
        <f aca="false">N(C41)+N(D41)</f>
        <v>2750900</v>
      </c>
      <c r="F41" s="96" t="n">
        <v>187000</v>
      </c>
      <c r="G41" s="96" t="n">
        <v>640000</v>
      </c>
      <c r="H41" s="96" t="n">
        <v>1914419</v>
      </c>
      <c r="I41" s="97" t="n">
        <f aca="false">N(F41)+N(G41)+N(H41)</f>
        <v>2741419</v>
      </c>
      <c r="J41" s="97" t="n">
        <f aca="false">IF(AND(F41="",G41=""),0,N(C41)-N(F41)-N(G41))</f>
        <v>-500</v>
      </c>
      <c r="K41" s="97" t="n">
        <f aca="false">IF(H41="",0,N(D41)-N(H41))</f>
        <v>9981</v>
      </c>
      <c r="L41" s="96" t="n">
        <v>0</v>
      </c>
      <c r="M41" s="96" t="n">
        <v>0</v>
      </c>
      <c r="N41" s="96" t="n">
        <v>0</v>
      </c>
      <c r="O41" s="97" t="n">
        <f aca="false">IF(AND(F41="",G41=""),0,J41-N(L41)-N(M41)-N(N41))</f>
        <v>-500</v>
      </c>
      <c r="P41" s="97" t="n">
        <f aca="false">K41+O41</f>
        <v>9481</v>
      </c>
      <c r="Q41" s="98" t="n">
        <f aca="false">E41-P41</f>
        <v>2741419</v>
      </c>
      <c r="R41" s="96" t="n">
        <v>104</v>
      </c>
      <c r="S41" s="96" t="n">
        <v>56</v>
      </c>
      <c r="T41" s="97" t="n">
        <f aca="false">IF(N(S41)=0,"",Q41/S41)</f>
        <v>48953.9107142857</v>
      </c>
      <c r="U41" s="99" t="str">
        <f aca="false">IF(E41=0,"",IF(AND(N(C41)&gt;0,F41="",G41=""),"Belum direalisasi",IF(AND(N(D41)&gt;0,H41=""),"EDC belum settle",IF(ABS(O41)&gt;50000,"Cek selisih tunai","OK"))))</f>
        <v>OK</v>
      </c>
    </row>
    <row r="42" customFormat="false" ht="15" hidden="false" customHeight="false" outlineLevel="0" collapsed="false">
      <c r="A42" s="94" t="n">
        <v>46060</v>
      </c>
      <c r="B42" s="95" t="n">
        <f aca="false">MONTH(A42)</f>
        <v>2</v>
      </c>
      <c r="C42" s="96" t="n">
        <v>1418800</v>
      </c>
      <c r="D42" s="96" t="n">
        <v>2558500</v>
      </c>
      <c r="E42" s="97" t="n">
        <f aca="false">N(C42)+N(D42)</f>
        <v>3977300</v>
      </c>
      <c r="F42" s="96" t="n">
        <v>400000</v>
      </c>
      <c r="G42" s="96" t="n">
        <v>927000</v>
      </c>
      <c r="H42" s="96" t="n">
        <v>2541876</v>
      </c>
      <c r="I42" s="97" t="n">
        <f aca="false">N(F42)+N(G42)+N(H42)</f>
        <v>3868876</v>
      </c>
      <c r="J42" s="97" t="n">
        <f aca="false">IF(AND(F42="",G42=""),0,N(C42)-N(F42)-N(G42))</f>
        <v>91800</v>
      </c>
      <c r="K42" s="97" t="n">
        <f aca="false">IF(H42="",0,N(D42)-N(H42))</f>
        <v>16624</v>
      </c>
      <c r="L42" s="96" t="n">
        <v>0</v>
      </c>
      <c r="M42" s="96" t="n">
        <v>91800</v>
      </c>
      <c r="N42" s="96" t="n">
        <v>0</v>
      </c>
      <c r="O42" s="97" t="n">
        <f aca="false">IF(AND(F42="",G42=""),0,J42-N(L42)-N(M42)-N(N42))</f>
        <v>0</v>
      </c>
      <c r="P42" s="97" t="n">
        <f aca="false">K42+O42</f>
        <v>16624</v>
      </c>
      <c r="Q42" s="98" t="n">
        <f aca="false">E42-P42</f>
        <v>3960676</v>
      </c>
      <c r="R42" s="96" t="n">
        <v>151</v>
      </c>
      <c r="S42" s="96" t="n">
        <v>77</v>
      </c>
      <c r="T42" s="97" t="n">
        <f aca="false">IF(N(S42)=0,"",Q42/S42)</f>
        <v>51437.3506493507</v>
      </c>
      <c r="U42" s="99" t="str">
        <f aca="false">IF(E42=0,"",IF(AND(N(C42)&gt;0,F42="",G42=""),"Belum direalisasi",IF(AND(N(D42)&gt;0,H42=""),"EDC belum settle",IF(ABS(O42)&gt;50000,"Cek selisih tunai","OK"))))</f>
        <v>OK</v>
      </c>
    </row>
    <row r="43" customFormat="false" ht="15" hidden="false" customHeight="false" outlineLevel="0" collapsed="false">
      <c r="A43" s="94" t="n">
        <v>46061</v>
      </c>
      <c r="B43" s="95" t="n">
        <f aca="false">MONTH(A43)</f>
        <v>2</v>
      </c>
      <c r="C43" s="96" t="n">
        <v>677000</v>
      </c>
      <c r="D43" s="96" t="n">
        <v>2577300</v>
      </c>
      <c r="E43" s="97" t="n">
        <f aca="false">N(C43)+N(D43)</f>
        <v>3254300</v>
      </c>
      <c r="F43" s="96" t="n">
        <v>282000</v>
      </c>
      <c r="G43" s="96" t="n">
        <v>395000</v>
      </c>
      <c r="H43" s="96" t="n">
        <v>2467605</v>
      </c>
      <c r="I43" s="97" t="n">
        <f aca="false">N(F43)+N(G43)+N(H43)</f>
        <v>3144605</v>
      </c>
      <c r="J43" s="97" t="n">
        <f aca="false">IF(AND(F43="",G43=""),0,N(C43)-N(F43)-N(G43))</f>
        <v>0</v>
      </c>
      <c r="K43" s="97" t="n">
        <f aca="false">IF(H43="",0,N(D43)-N(H43))</f>
        <v>109695</v>
      </c>
      <c r="L43" s="96" t="n">
        <v>0</v>
      </c>
      <c r="M43" s="96" t="n">
        <v>0</v>
      </c>
      <c r="N43" s="96" t="n">
        <v>0</v>
      </c>
      <c r="O43" s="97" t="n">
        <f aca="false">IF(AND(F43="",G43=""),0,J43-N(L43)-N(M43)-N(N43))</f>
        <v>0</v>
      </c>
      <c r="P43" s="97" t="n">
        <f aca="false">K43+O43</f>
        <v>109695</v>
      </c>
      <c r="Q43" s="98" t="n">
        <f aca="false">E43-P43</f>
        <v>3144605</v>
      </c>
      <c r="R43" s="96" t="n">
        <v>122</v>
      </c>
      <c r="S43" s="96" t="n">
        <v>67</v>
      </c>
      <c r="T43" s="97" t="n">
        <f aca="false">IF(N(S43)=0,"",Q43/S43)</f>
        <v>46934.4029850746</v>
      </c>
      <c r="U43" s="99" t="str">
        <f aca="false">IF(E43=0,"",IF(AND(N(C43)&gt;0,F43="",G43=""),"Belum direalisasi",IF(AND(N(D43)&gt;0,H43=""),"EDC belum settle",IF(ABS(O43)&gt;50000,"Cek selisih tunai","OK"))))</f>
        <v>OK</v>
      </c>
    </row>
    <row r="44" customFormat="false" ht="15" hidden="false" customHeight="false" outlineLevel="0" collapsed="false">
      <c r="A44" s="94" t="n">
        <v>46062</v>
      </c>
      <c r="B44" s="95" t="n">
        <f aca="false">MONTH(A44)</f>
        <v>2</v>
      </c>
      <c r="C44" s="96" t="n">
        <v>1133850</v>
      </c>
      <c r="D44" s="96" t="n">
        <v>1297450</v>
      </c>
      <c r="E44" s="97" t="n">
        <f aca="false">N(C44)+N(D44)</f>
        <v>2431300</v>
      </c>
      <c r="F44" s="96" t="n">
        <v>306000</v>
      </c>
      <c r="G44" s="96" t="n">
        <v>734000</v>
      </c>
      <c r="H44" s="96" t="n">
        <v>448280</v>
      </c>
      <c r="I44" s="97" t="n">
        <f aca="false">N(F44)+N(G44)+N(H44)</f>
        <v>1488280</v>
      </c>
      <c r="J44" s="97" t="n">
        <f aca="false">IF(AND(F44="",G44=""),0,N(C44)-N(F44)-N(G44))</f>
        <v>93850</v>
      </c>
      <c r="K44" s="97" t="n">
        <f aca="false">IF(H44="",0,N(D44)-N(H44))</f>
        <v>849170</v>
      </c>
      <c r="L44" s="96" t="n">
        <v>0</v>
      </c>
      <c r="M44" s="96" t="n">
        <v>0</v>
      </c>
      <c r="N44" s="96" t="n">
        <v>94300</v>
      </c>
      <c r="O44" s="97" t="n">
        <f aca="false">IF(AND(F44="",G44=""),0,J44-N(L44)-N(M44)-N(N44))</f>
        <v>-450</v>
      </c>
      <c r="P44" s="97" t="n">
        <f aca="false">K44+O44</f>
        <v>848720</v>
      </c>
      <c r="Q44" s="98" t="n">
        <f aca="false">E44-P44</f>
        <v>1582580</v>
      </c>
      <c r="R44" s="96" t="n">
        <v>94</v>
      </c>
      <c r="S44" s="96" t="n">
        <v>50</v>
      </c>
      <c r="T44" s="97" t="n">
        <f aca="false">IF(N(S44)=0,"",Q44/S44)</f>
        <v>31651.6</v>
      </c>
      <c r="U44" s="99" t="str">
        <f aca="false">IF(E44=0,"",IF(AND(N(C44)&gt;0,F44="",G44=""),"Belum direalisasi",IF(AND(N(D44)&gt;0,H44=""),"EDC belum settle",IF(ABS(O44)&gt;50000,"Cek selisih tunai","OK"))))</f>
        <v>OK</v>
      </c>
    </row>
    <row r="45" customFormat="false" ht="15" hidden="false" customHeight="false" outlineLevel="0" collapsed="false">
      <c r="A45" s="94" t="n">
        <v>46063</v>
      </c>
      <c r="B45" s="95" t="n">
        <f aca="false">MONTH(A45)</f>
        <v>2</v>
      </c>
      <c r="C45" s="96" t="n">
        <v>614900</v>
      </c>
      <c r="D45" s="96" t="n">
        <v>1240850</v>
      </c>
      <c r="E45" s="97" t="n">
        <f aca="false">N(C45)+N(D45)</f>
        <v>1855750</v>
      </c>
      <c r="F45" s="96" t="n">
        <v>25000</v>
      </c>
      <c r="G45" s="96" t="n">
        <v>447000</v>
      </c>
      <c r="H45" s="96" t="n">
        <v>2107592</v>
      </c>
      <c r="I45" s="97" t="n">
        <f aca="false">N(F45)+N(G45)+N(H45)</f>
        <v>2579592</v>
      </c>
      <c r="J45" s="97" t="n">
        <f aca="false">IF(AND(F45="",G45=""),0,N(C45)-N(F45)-N(G45))</f>
        <v>142900</v>
      </c>
      <c r="K45" s="97" t="n">
        <f aca="false">IF(H45="",0,N(D45)-N(H45))</f>
        <v>-866742</v>
      </c>
      <c r="L45" s="96" t="n">
        <v>66000</v>
      </c>
      <c r="M45" s="96" t="n">
        <v>0</v>
      </c>
      <c r="N45" s="96" t="n">
        <v>143200</v>
      </c>
      <c r="O45" s="97" t="n">
        <f aca="false">IF(AND(F45="",G45=""),0,J45-N(L45)-N(M45)-N(N45))</f>
        <v>-66300</v>
      </c>
      <c r="P45" s="97" t="n">
        <f aca="false">K45+O45</f>
        <v>-933042</v>
      </c>
      <c r="Q45" s="98" t="n">
        <f aca="false">E45-P45</f>
        <v>2788792</v>
      </c>
      <c r="R45" s="96" t="n">
        <v>67</v>
      </c>
      <c r="S45" s="96" t="n">
        <v>41</v>
      </c>
      <c r="T45" s="97" t="n">
        <f aca="false">IF(N(S45)=0,"",Q45/S45)</f>
        <v>68019.3170731707</v>
      </c>
      <c r="U45" s="99" t="str">
        <f aca="false">IF(E45=0,"",IF(AND(N(C45)&gt;0,F45="",G45=""),"Belum direalisasi",IF(AND(N(D45)&gt;0,H45=""),"EDC belum settle",IF(ABS(O45)&gt;50000,"Cek selisih tunai","OK"))))</f>
        <v>Cek selisih tunai</v>
      </c>
    </row>
    <row r="46" customFormat="false" ht="15" hidden="false" customHeight="false" outlineLevel="0" collapsed="false">
      <c r="A46" s="94" t="n">
        <v>46064</v>
      </c>
      <c r="B46" s="95" t="n">
        <f aca="false">MONTH(A46)</f>
        <v>2</v>
      </c>
      <c r="C46" s="96" t="n">
        <v>669300</v>
      </c>
      <c r="D46" s="96" t="n">
        <v>1044000</v>
      </c>
      <c r="E46" s="97" t="n">
        <f aca="false">N(C46)+N(D46)</f>
        <v>1713300</v>
      </c>
      <c r="F46" s="96" t="n">
        <v>223000</v>
      </c>
      <c r="G46" s="96" t="n">
        <v>287000</v>
      </c>
      <c r="H46" s="96" t="n">
        <v>933420</v>
      </c>
      <c r="I46" s="97" t="n">
        <f aca="false">N(F46)+N(G46)+N(H46)</f>
        <v>1443420</v>
      </c>
      <c r="J46" s="97" t="n">
        <f aca="false">IF(AND(F46="",G46=""),0,N(C46)-N(F46)-N(G46))</f>
        <v>159300</v>
      </c>
      <c r="K46" s="97" t="n">
        <f aca="false">IF(H46="",0,N(D46)-N(H46))</f>
        <v>110580</v>
      </c>
      <c r="L46" s="96" t="n">
        <v>0</v>
      </c>
      <c r="M46" s="96" t="n">
        <v>0</v>
      </c>
      <c r="N46" s="96" t="n">
        <v>159300</v>
      </c>
      <c r="O46" s="97" t="n">
        <f aca="false">IF(AND(F46="",G46=""),0,J46-N(L46)-N(M46)-N(N46))</f>
        <v>0</v>
      </c>
      <c r="P46" s="97" t="n">
        <f aca="false">K46+O46</f>
        <v>110580</v>
      </c>
      <c r="Q46" s="98" t="n">
        <f aca="false">E46-P46</f>
        <v>1602720</v>
      </c>
      <c r="R46" s="96" t="n">
        <v>70</v>
      </c>
      <c r="S46" s="96" t="n">
        <v>40</v>
      </c>
      <c r="T46" s="97" t="n">
        <f aca="false">IF(N(S46)=0,"",Q46/S46)</f>
        <v>40068</v>
      </c>
      <c r="U46" s="99" t="str">
        <f aca="false">IF(E46=0,"",IF(AND(N(C46)&gt;0,F46="",G46=""),"Belum direalisasi",IF(AND(N(D46)&gt;0,H46=""),"EDC belum settle",IF(ABS(O46)&gt;50000,"Cek selisih tunai","OK"))))</f>
        <v>OK</v>
      </c>
    </row>
    <row r="47" customFormat="false" ht="15" hidden="false" customHeight="false" outlineLevel="0" collapsed="false">
      <c r="A47" s="94" t="n">
        <v>46065</v>
      </c>
      <c r="B47" s="95" t="n">
        <f aca="false">MONTH(A47)</f>
        <v>2</v>
      </c>
      <c r="C47" s="96" t="n">
        <v>1228950</v>
      </c>
      <c r="D47" s="96" t="n">
        <v>2234700</v>
      </c>
      <c r="E47" s="97" t="n">
        <f aca="false">N(C47)+N(D47)</f>
        <v>3463650</v>
      </c>
      <c r="F47" s="96" t="n">
        <v>324000</v>
      </c>
      <c r="G47" s="96" t="n">
        <v>838000</v>
      </c>
      <c r="H47" s="96" t="n">
        <v>2333568</v>
      </c>
      <c r="I47" s="97" t="n">
        <f aca="false">N(F47)+N(G47)+N(H47)</f>
        <v>3495568</v>
      </c>
      <c r="J47" s="97" t="n">
        <f aca="false">IF(AND(F47="",G47=""),0,N(C47)-N(F47)-N(G47))</f>
        <v>66950</v>
      </c>
      <c r="K47" s="97" t="n">
        <f aca="false">IF(H47="",0,N(D47)-N(H47))</f>
        <v>-98868</v>
      </c>
      <c r="L47" s="96" t="n">
        <v>45000</v>
      </c>
      <c r="M47" s="96" t="n">
        <v>22500</v>
      </c>
      <c r="N47" s="96" t="n">
        <v>0</v>
      </c>
      <c r="O47" s="97" t="n">
        <f aca="false">IF(AND(F47="",G47=""),0,J47-N(L47)-N(M47)-N(N47))</f>
        <v>-550</v>
      </c>
      <c r="P47" s="97" t="n">
        <f aca="false">K47+O47</f>
        <v>-99418</v>
      </c>
      <c r="Q47" s="98" t="n">
        <f aca="false">E47-P47</f>
        <v>3563068</v>
      </c>
      <c r="R47" s="96" t="n">
        <v>137</v>
      </c>
      <c r="S47" s="96" t="n">
        <v>80</v>
      </c>
      <c r="T47" s="97" t="n">
        <f aca="false">IF(N(S47)=0,"",Q47/S47)</f>
        <v>44538.35</v>
      </c>
      <c r="U47" s="99" t="str">
        <f aca="false">IF(E47=0,"",IF(AND(N(C47)&gt;0,F47="",G47=""),"Belum direalisasi",IF(AND(N(D47)&gt;0,H47=""),"EDC belum settle",IF(ABS(O47)&gt;50000,"Cek selisih tunai","OK"))))</f>
        <v>OK</v>
      </c>
    </row>
    <row r="48" customFormat="false" ht="15" hidden="false" customHeight="false" outlineLevel="0" collapsed="false">
      <c r="A48" s="94" t="n">
        <v>46066</v>
      </c>
      <c r="B48" s="95" t="n">
        <f aca="false">MONTH(A48)</f>
        <v>2</v>
      </c>
      <c r="C48" s="96" t="n">
        <v>1213500</v>
      </c>
      <c r="D48" s="96" t="n">
        <v>2409800</v>
      </c>
      <c r="E48" s="97" t="n">
        <f aca="false">N(C48)+N(D48)</f>
        <v>3623300</v>
      </c>
      <c r="F48" s="96" t="n">
        <v>129000</v>
      </c>
      <c r="G48" s="96" t="n">
        <v>924500</v>
      </c>
      <c r="H48" s="96" t="n">
        <v>2081300</v>
      </c>
      <c r="I48" s="97" t="n">
        <f aca="false">N(F48)+N(G48)+N(H48)</f>
        <v>3134800</v>
      </c>
      <c r="J48" s="97" t="n">
        <f aca="false">IF(AND(F48="",G48=""),0,N(C48)-N(F48)-N(G48))</f>
        <v>160000</v>
      </c>
      <c r="K48" s="97" t="n">
        <f aca="false">IF(H48="",0,N(D48)-N(H48))</f>
        <v>328500</v>
      </c>
      <c r="L48" s="96" t="n">
        <v>0</v>
      </c>
      <c r="M48" s="96" t="n">
        <v>160000</v>
      </c>
      <c r="N48" s="96" t="n">
        <v>0</v>
      </c>
      <c r="O48" s="97" t="n">
        <f aca="false">IF(AND(F48="",G48=""),0,J48-N(L48)-N(M48)-N(N48))</f>
        <v>0</v>
      </c>
      <c r="P48" s="97" t="n">
        <f aca="false">K48+O48</f>
        <v>328500</v>
      </c>
      <c r="Q48" s="98" t="n">
        <f aca="false">E48-P48</f>
        <v>3294800</v>
      </c>
      <c r="R48" s="96" t="n">
        <v>144</v>
      </c>
      <c r="S48" s="96" t="n">
        <v>71</v>
      </c>
      <c r="T48" s="97" t="n">
        <f aca="false">IF(N(S48)=0,"",Q48/S48)</f>
        <v>46405.6338028169</v>
      </c>
      <c r="U48" s="99" t="str">
        <f aca="false">IF(E48=0,"",IF(AND(N(C48)&gt;0,F48="",G48=""),"Belum direalisasi",IF(AND(N(D48)&gt;0,H48=""),"EDC belum settle",IF(ABS(O48)&gt;50000,"Cek selisih tunai","OK"))))</f>
        <v>OK</v>
      </c>
    </row>
    <row r="49" customFormat="false" ht="15" hidden="false" customHeight="false" outlineLevel="0" collapsed="false">
      <c r="A49" s="94" t="n">
        <v>46067</v>
      </c>
      <c r="B49" s="95" t="n">
        <f aca="false">MONTH(A49)</f>
        <v>2</v>
      </c>
      <c r="C49" s="96" t="n">
        <v>1561600</v>
      </c>
      <c r="D49" s="96" t="n">
        <v>2227700</v>
      </c>
      <c r="E49" s="97" t="n">
        <f aca="false">N(C49)+N(D49)</f>
        <v>3789300</v>
      </c>
      <c r="F49" s="96" t="n">
        <v>55000</v>
      </c>
      <c r="G49" s="96" t="n">
        <v>1405000</v>
      </c>
      <c r="H49" s="96" t="n">
        <v>2446547</v>
      </c>
      <c r="I49" s="97" t="n">
        <f aca="false">N(F49)+N(G49)+N(H49)</f>
        <v>3906547</v>
      </c>
      <c r="J49" s="97" t="n">
        <f aca="false">IF(AND(F49="",G49=""),0,N(C49)-N(F49)-N(G49))</f>
        <v>101600</v>
      </c>
      <c r="K49" s="97" t="n">
        <f aca="false">IF(H49="",0,N(D49)-N(H49))</f>
        <v>-218847</v>
      </c>
      <c r="L49" s="96" t="n">
        <v>0</v>
      </c>
      <c r="M49" s="96" t="n">
        <v>0</v>
      </c>
      <c r="N49" s="96" t="n">
        <v>102000</v>
      </c>
      <c r="O49" s="97" t="n">
        <f aca="false">IF(AND(F49="",G49=""),0,J49-N(L49)-N(M49)-N(N49))</f>
        <v>-400</v>
      </c>
      <c r="P49" s="97" t="n">
        <f aca="false">K49+O49</f>
        <v>-219247</v>
      </c>
      <c r="Q49" s="98" t="n">
        <f aca="false">E49-P49</f>
        <v>4008547</v>
      </c>
      <c r="R49" s="96" t="n">
        <v>140</v>
      </c>
      <c r="S49" s="96" t="n">
        <v>60</v>
      </c>
      <c r="T49" s="97" t="n">
        <f aca="false">IF(N(S49)=0,"",Q49/S49)</f>
        <v>66809.1166666667</v>
      </c>
      <c r="U49" s="99" t="str">
        <f aca="false">IF(E49=0,"",IF(AND(N(C49)&gt;0,F49="",G49=""),"Belum direalisasi",IF(AND(N(D49)&gt;0,H49=""),"EDC belum settle",IF(ABS(O49)&gt;50000,"Cek selisih tunai","OK"))))</f>
        <v>OK</v>
      </c>
    </row>
    <row r="50" customFormat="false" ht="15" hidden="false" customHeight="false" outlineLevel="0" collapsed="false">
      <c r="A50" s="94" t="n">
        <v>46068</v>
      </c>
      <c r="B50" s="95" t="n">
        <f aca="false">MONTH(A50)</f>
        <v>2</v>
      </c>
      <c r="C50" s="96" t="n">
        <v>786000</v>
      </c>
      <c r="D50" s="96" t="n">
        <v>3526500</v>
      </c>
      <c r="E50" s="97" t="n">
        <f aca="false">N(C50)+N(D50)</f>
        <v>4312500</v>
      </c>
      <c r="F50" s="96" t="n">
        <v>290000</v>
      </c>
      <c r="G50" s="96" t="n">
        <v>484000</v>
      </c>
      <c r="H50" s="96" t="n">
        <v>3631110</v>
      </c>
      <c r="I50" s="97" t="n">
        <f aca="false">N(F50)+N(G50)+N(H50)</f>
        <v>4405110</v>
      </c>
      <c r="J50" s="97" t="n">
        <f aca="false">IF(AND(F50="",G50=""),0,N(C50)-N(F50)-N(G50))</f>
        <v>12000</v>
      </c>
      <c r="K50" s="97" t="n">
        <f aca="false">IF(H50="",0,N(D50)-N(H50))</f>
        <v>-104610</v>
      </c>
      <c r="L50" s="96" t="n">
        <v>0</v>
      </c>
      <c r="M50" s="96" t="n">
        <v>0</v>
      </c>
      <c r="N50" s="96" t="n">
        <v>0</v>
      </c>
      <c r="O50" s="97" t="n">
        <f aca="false">IF(AND(F50="",G50=""),0,J50-N(L50)-N(M50)-N(N50))</f>
        <v>12000</v>
      </c>
      <c r="P50" s="97" t="n">
        <f aca="false">K50+O50</f>
        <v>-92610</v>
      </c>
      <c r="Q50" s="98" t="n">
        <f aca="false">E50-P50</f>
        <v>4405110</v>
      </c>
      <c r="R50" s="96" t="n">
        <v>215</v>
      </c>
      <c r="S50" s="96" t="n">
        <v>92</v>
      </c>
      <c r="T50" s="97" t="n">
        <f aca="false">IF(N(S50)=0,"",Q50/S50)</f>
        <v>47881.6304347826</v>
      </c>
      <c r="U50" s="99" t="str">
        <f aca="false">IF(E50=0,"",IF(AND(N(C50)&gt;0,F50="",G50=""),"Belum direalisasi",IF(AND(N(D50)&gt;0,H50=""),"EDC belum settle",IF(ABS(O50)&gt;50000,"Cek selisih tunai","OK"))))</f>
        <v>OK</v>
      </c>
    </row>
    <row r="51" customFormat="false" ht="15" hidden="false" customHeight="false" outlineLevel="0" collapsed="false">
      <c r="A51" s="94" t="n">
        <v>46069</v>
      </c>
      <c r="B51" s="95" t="n">
        <f aca="false">MONTH(A51)</f>
        <v>2</v>
      </c>
      <c r="C51" s="96" t="n">
        <v>969200</v>
      </c>
      <c r="D51" s="96" t="n">
        <v>2739800</v>
      </c>
      <c r="E51" s="97" t="n">
        <f aca="false">N(C51)+N(D51)</f>
        <v>3709000</v>
      </c>
      <c r="F51" s="96" t="n">
        <v>335000</v>
      </c>
      <c r="G51" s="96" t="n">
        <v>482000</v>
      </c>
      <c r="H51" s="96" t="n">
        <v>2744800</v>
      </c>
      <c r="I51" s="97" t="n">
        <f aca="false">N(F51)+N(G51)+N(H51)</f>
        <v>3561800</v>
      </c>
      <c r="J51" s="97" t="n">
        <f aca="false">IF(AND(F51="",G51=""),0,N(C51)-N(F51)-N(G51))</f>
        <v>152200</v>
      </c>
      <c r="K51" s="97" t="n">
        <f aca="false">IF(H51="",0,N(D51)-N(H51))</f>
        <v>-5000</v>
      </c>
      <c r="L51" s="96" t="n">
        <v>52500</v>
      </c>
      <c r="M51" s="96" t="n">
        <v>65000</v>
      </c>
      <c r="N51" s="96" t="n">
        <v>35000</v>
      </c>
      <c r="O51" s="97" t="n">
        <f aca="false">IF(AND(F51="",G51=""),0,J51-N(L51)-N(M51)-N(N51))</f>
        <v>-300</v>
      </c>
      <c r="P51" s="97" t="n">
        <f aca="false">K51+O51</f>
        <v>-5300</v>
      </c>
      <c r="Q51" s="98" t="n">
        <f aca="false">E51-P51</f>
        <v>3714300</v>
      </c>
      <c r="R51" s="96" t="n">
        <v>139</v>
      </c>
      <c r="S51" s="96" t="n">
        <v>77</v>
      </c>
      <c r="T51" s="97" t="n">
        <f aca="false">IF(N(S51)=0,"",Q51/S51)</f>
        <v>48237.6623376623</v>
      </c>
      <c r="U51" s="99" t="str">
        <f aca="false">IF(E51=0,"",IF(AND(N(C51)&gt;0,F51="",G51=""),"Belum direalisasi",IF(AND(N(D51)&gt;0,H51=""),"EDC belum settle",IF(ABS(O51)&gt;50000,"Cek selisih tunai","OK"))))</f>
        <v>OK</v>
      </c>
    </row>
    <row r="52" customFormat="false" ht="15" hidden="false" customHeight="false" outlineLevel="0" collapsed="false">
      <c r="A52" s="94" t="n">
        <v>46070</v>
      </c>
      <c r="B52" s="95" t="n">
        <f aca="false">MONTH(A52)</f>
        <v>2</v>
      </c>
      <c r="C52" s="96" t="n">
        <v>1449900</v>
      </c>
      <c r="D52" s="96" t="n">
        <v>2345200</v>
      </c>
      <c r="E52" s="97" t="n">
        <f aca="false">N(C52)+N(D52)</f>
        <v>3795100</v>
      </c>
      <c r="F52" s="96" t="n">
        <v>450000</v>
      </c>
      <c r="G52" s="96" t="n">
        <v>765000</v>
      </c>
      <c r="H52" s="96" t="n">
        <v>2344680</v>
      </c>
      <c r="I52" s="97" t="n">
        <f aca="false">N(F52)+N(G52)+N(H52)</f>
        <v>3559680</v>
      </c>
      <c r="J52" s="97" t="n">
        <f aca="false">IF(AND(F52="",G52=""),0,N(C52)-N(F52)-N(G52))</f>
        <v>234900</v>
      </c>
      <c r="K52" s="97" t="n">
        <f aca="false">IF(H52="",0,N(D52)-N(H52))</f>
        <v>520</v>
      </c>
      <c r="L52" s="96" t="n">
        <v>0</v>
      </c>
      <c r="M52" s="96" t="n">
        <v>0</v>
      </c>
      <c r="N52" s="96" t="n">
        <v>235400</v>
      </c>
      <c r="O52" s="97" t="n">
        <f aca="false">IF(AND(F52="",G52=""),0,J52-N(L52)-N(M52)-N(N52))</f>
        <v>-500</v>
      </c>
      <c r="P52" s="97" t="n">
        <f aca="false">K52+O52</f>
        <v>20</v>
      </c>
      <c r="Q52" s="98" t="n">
        <f aca="false">E52-P52</f>
        <v>3795080</v>
      </c>
      <c r="R52" s="96" t="n">
        <v>143</v>
      </c>
      <c r="S52" s="96" t="n">
        <v>88</v>
      </c>
      <c r="T52" s="97" t="n">
        <f aca="false">IF(N(S52)=0,"",Q52/S52)</f>
        <v>43125.9090909091</v>
      </c>
      <c r="U52" s="99" t="str">
        <f aca="false">IF(E52=0,"",IF(AND(N(C52)&gt;0,F52="",G52=""),"Belum direalisasi",IF(AND(N(D52)&gt;0,H52=""),"EDC belum settle",IF(ABS(O52)&gt;50000,"Cek selisih tunai","OK"))))</f>
        <v>OK</v>
      </c>
    </row>
    <row r="53" customFormat="false" ht="15" hidden="false" customHeight="false" outlineLevel="0" collapsed="false">
      <c r="A53" s="94" t="n">
        <v>46071</v>
      </c>
      <c r="B53" s="95" t="n">
        <f aca="false">MONTH(A53)</f>
        <v>2</v>
      </c>
      <c r="C53" s="96" t="n">
        <v>830000</v>
      </c>
      <c r="D53" s="96" t="n">
        <v>2200300</v>
      </c>
      <c r="E53" s="97" t="n">
        <f aca="false">N(C53)+N(D53)</f>
        <v>3030300</v>
      </c>
      <c r="F53" s="96" t="n">
        <v>270000</v>
      </c>
      <c r="G53" s="96" t="n">
        <v>560000</v>
      </c>
      <c r="H53" s="96" t="n">
        <v>2199932</v>
      </c>
      <c r="I53" s="97" t="n">
        <f aca="false">N(F53)+N(G53)+N(H53)</f>
        <v>3029932</v>
      </c>
      <c r="J53" s="97" t="n">
        <f aca="false">IF(AND(F53="",G53=""),0,N(C53)-N(F53)-N(G53))</f>
        <v>0</v>
      </c>
      <c r="K53" s="97" t="n">
        <f aca="false">IF(H53="",0,N(D53)-N(H53))</f>
        <v>368</v>
      </c>
      <c r="L53" s="96" t="n">
        <v>0</v>
      </c>
      <c r="M53" s="96" t="n">
        <v>0</v>
      </c>
      <c r="N53" s="96" t="n">
        <v>0</v>
      </c>
      <c r="O53" s="97" t="n">
        <f aca="false">IF(AND(F53="",G53=""),0,J53-N(L53)-N(M53)-N(N53))</f>
        <v>0</v>
      </c>
      <c r="P53" s="97" t="n">
        <f aca="false">K53+O53</f>
        <v>368</v>
      </c>
      <c r="Q53" s="98" t="n">
        <f aca="false">E53-P53</f>
        <v>3029932</v>
      </c>
      <c r="R53" s="96" t="n">
        <v>113</v>
      </c>
      <c r="S53" s="96" t="n">
        <v>61</v>
      </c>
      <c r="T53" s="97" t="n">
        <f aca="false">IF(N(S53)=0,"",Q53/S53)</f>
        <v>49671.0163934426</v>
      </c>
      <c r="U53" s="99" t="str">
        <f aca="false">IF(E53=0,"",IF(AND(N(C53)&gt;0,F53="",G53=""),"Belum direalisasi",IF(AND(N(D53)&gt;0,H53=""),"EDC belum settle",IF(ABS(O53)&gt;50000,"Cek selisih tunai","OK"))))</f>
        <v>OK</v>
      </c>
    </row>
    <row r="54" customFormat="false" ht="15" hidden="false" customHeight="false" outlineLevel="0" collapsed="false">
      <c r="A54" s="94" t="n">
        <v>46072</v>
      </c>
      <c r="B54" s="95" t="n">
        <f aca="false">MONTH(A54)</f>
        <v>2</v>
      </c>
      <c r="C54" s="96" t="n">
        <v>368000</v>
      </c>
      <c r="D54" s="96" t="n">
        <v>778500</v>
      </c>
      <c r="E54" s="97" t="n">
        <f aca="false">N(C54)+N(D54)</f>
        <v>1146500</v>
      </c>
      <c r="F54" s="96" t="n">
        <v>40000</v>
      </c>
      <c r="G54" s="96" t="n">
        <v>280000</v>
      </c>
      <c r="H54" s="96" t="n">
        <v>756000</v>
      </c>
      <c r="I54" s="97" t="n">
        <f aca="false">N(F54)+N(G54)+N(H54)</f>
        <v>1076000</v>
      </c>
      <c r="J54" s="97" t="n">
        <f aca="false">IF(AND(F54="",G54=""),0,N(C54)-N(F54)-N(G54))</f>
        <v>48000</v>
      </c>
      <c r="K54" s="97" t="n">
        <f aca="false">IF(H54="",0,N(D54)-N(H54))</f>
        <v>22500</v>
      </c>
      <c r="L54" s="96" t="n">
        <v>50000</v>
      </c>
      <c r="M54" s="96" t="n">
        <v>0</v>
      </c>
      <c r="N54" s="96" t="n">
        <v>0</v>
      </c>
      <c r="O54" s="97" t="n">
        <f aca="false">IF(AND(F54="",G54=""),0,J54-N(L54)-N(M54)-N(N54))</f>
        <v>-2000</v>
      </c>
      <c r="P54" s="97" t="n">
        <f aca="false">K54+O54</f>
        <v>20500</v>
      </c>
      <c r="Q54" s="98" t="n">
        <f aca="false">E54-P54</f>
        <v>1126000</v>
      </c>
      <c r="R54" s="96" t="n">
        <v>42</v>
      </c>
      <c r="S54" s="96" t="n">
        <v>26</v>
      </c>
      <c r="T54" s="97" t="n">
        <f aca="false">IF(N(S54)=0,"",Q54/S54)</f>
        <v>43307.6923076923</v>
      </c>
      <c r="U54" s="99" t="str">
        <f aca="false">IF(E54=0,"",IF(AND(N(C54)&gt;0,F54="",G54=""),"Belum direalisasi",IF(AND(N(D54)&gt;0,H54=""),"EDC belum settle",IF(ABS(O54)&gt;50000,"Cek selisih tunai","OK"))))</f>
        <v>OK</v>
      </c>
    </row>
    <row r="55" customFormat="false" ht="15" hidden="false" customHeight="false" outlineLevel="0" collapsed="false">
      <c r="A55" s="94" t="n">
        <v>46073</v>
      </c>
      <c r="B55" s="95" t="n">
        <f aca="false">MONTH(A55)</f>
        <v>2</v>
      </c>
      <c r="C55" s="96" t="n">
        <v>546500</v>
      </c>
      <c r="D55" s="96" t="n">
        <v>583000</v>
      </c>
      <c r="E55" s="97" t="n">
        <f aca="false">N(C55)+N(D55)</f>
        <v>1129500</v>
      </c>
      <c r="F55" s="96" t="n">
        <v>52000</v>
      </c>
      <c r="G55" s="96" t="n">
        <v>382000</v>
      </c>
      <c r="H55" s="96" t="n">
        <v>605275</v>
      </c>
      <c r="I55" s="97" t="n">
        <f aca="false">N(F55)+N(G55)+N(H55)</f>
        <v>1039275</v>
      </c>
      <c r="J55" s="97" t="n">
        <f aca="false">IF(AND(F55="",G55=""),0,N(C55)-N(F55)-N(G55))</f>
        <v>112500</v>
      </c>
      <c r="K55" s="97" t="n">
        <f aca="false">IF(H55="",0,N(D55)-N(H55))</f>
        <v>-22275</v>
      </c>
      <c r="L55" s="96" t="n">
        <v>0</v>
      </c>
      <c r="M55" s="96" t="n">
        <v>0</v>
      </c>
      <c r="N55" s="96" t="n">
        <v>112500</v>
      </c>
      <c r="O55" s="97" t="n">
        <f aca="false">IF(AND(F55="",G55=""),0,J55-N(L55)-N(M55)-N(N55))</f>
        <v>0</v>
      </c>
      <c r="P55" s="97" t="n">
        <f aca="false">K55+O55</f>
        <v>-22275</v>
      </c>
      <c r="Q55" s="98" t="n">
        <f aca="false">E55-P55</f>
        <v>1151775</v>
      </c>
      <c r="R55" s="96" t="n">
        <v>43</v>
      </c>
      <c r="S55" s="96" t="n">
        <v>30</v>
      </c>
      <c r="T55" s="97" t="n">
        <f aca="false">IF(N(S55)=0,"",Q55/S55)</f>
        <v>38392.5</v>
      </c>
      <c r="U55" s="99" t="str">
        <f aca="false">IF(E55=0,"",IF(AND(N(C55)&gt;0,F55="",G55=""),"Belum direalisasi",IF(AND(N(D55)&gt;0,H55=""),"EDC belum settle",IF(ABS(O55)&gt;50000,"Cek selisih tunai","OK"))))</f>
        <v>OK</v>
      </c>
    </row>
    <row r="56" customFormat="false" ht="15" hidden="false" customHeight="false" outlineLevel="0" collapsed="false">
      <c r="A56" s="94" t="n">
        <v>46074</v>
      </c>
      <c r="B56" s="95" t="n">
        <f aca="false">MONTH(A56)</f>
        <v>2</v>
      </c>
      <c r="C56" s="96" t="n">
        <v>671000</v>
      </c>
      <c r="D56" s="96" t="n">
        <v>1236100</v>
      </c>
      <c r="E56" s="97" t="n">
        <f aca="false">N(C56)+N(D56)</f>
        <v>1907100</v>
      </c>
      <c r="F56" s="96" t="n">
        <v>119000</v>
      </c>
      <c r="G56" s="96" t="n">
        <v>553000</v>
      </c>
      <c r="H56" s="96" t="n">
        <v>1281100</v>
      </c>
      <c r="I56" s="97" t="n">
        <f aca="false">N(F56)+N(G56)+N(H56)</f>
        <v>1953100</v>
      </c>
      <c r="J56" s="97" t="n">
        <f aca="false">IF(AND(F56="",G56=""),0,N(C56)-N(F56)-N(G56))</f>
        <v>-1000</v>
      </c>
      <c r="K56" s="97" t="n">
        <f aca="false">IF(H56="",0,N(D56)-N(H56))</f>
        <v>-45000</v>
      </c>
      <c r="L56" s="96" t="n">
        <v>0</v>
      </c>
      <c r="M56" s="96" t="n">
        <v>0</v>
      </c>
      <c r="N56" s="96" t="n">
        <v>0</v>
      </c>
      <c r="O56" s="97" t="n">
        <f aca="false">IF(AND(F56="",G56=""),0,J56-N(L56)-N(M56)-N(N56))</f>
        <v>-1000</v>
      </c>
      <c r="P56" s="97" t="n">
        <f aca="false">K56+O56</f>
        <v>-46000</v>
      </c>
      <c r="Q56" s="98" t="n">
        <f aca="false">E56-P56</f>
        <v>1953100</v>
      </c>
      <c r="R56" s="96" t="n">
        <v>71</v>
      </c>
      <c r="S56" s="96" t="n">
        <v>40</v>
      </c>
      <c r="T56" s="97" t="n">
        <f aca="false">IF(N(S56)=0,"",Q56/S56)</f>
        <v>48827.5</v>
      </c>
      <c r="U56" s="99" t="str">
        <f aca="false">IF(E56=0,"",IF(AND(N(C56)&gt;0,F56="",G56=""),"Belum direalisasi",IF(AND(N(D56)&gt;0,H56=""),"EDC belum settle",IF(ABS(O56)&gt;50000,"Cek selisih tunai","OK"))))</f>
        <v>OK</v>
      </c>
    </row>
    <row r="57" customFormat="false" ht="15" hidden="false" customHeight="false" outlineLevel="0" collapsed="false">
      <c r="A57" s="94" t="n">
        <v>46075</v>
      </c>
      <c r="B57" s="95" t="n">
        <f aca="false">MONTH(A57)</f>
        <v>2</v>
      </c>
      <c r="C57" s="96" t="n">
        <v>356000</v>
      </c>
      <c r="D57" s="96" t="n">
        <v>995100</v>
      </c>
      <c r="E57" s="97" t="n">
        <f aca="false">N(C57)+N(D57)</f>
        <v>1351100</v>
      </c>
      <c r="F57" s="96" t="n">
        <v>33000</v>
      </c>
      <c r="G57" s="96" t="n">
        <v>323000</v>
      </c>
      <c r="H57" s="96" t="n">
        <v>995100</v>
      </c>
      <c r="I57" s="97" t="n">
        <f aca="false">N(F57)+N(G57)+N(H57)</f>
        <v>1351100</v>
      </c>
      <c r="J57" s="97" t="n">
        <f aca="false">IF(AND(F57="",G57=""),0,N(C57)-N(F57)-N(G57))</f>
        <v>0</v>
      </c>
      <c r="K57" s="97" t="n">
        <f aca="false">IF(H57="",0,N(D57)-N(H57))</f>
        <v>0</v>
      </c>
      <c r="L57" s="96" t="n">
        <v>0</v>
      </c>
      <c r="M57" s="96" t="n">
        <v>0</v>
      </c>
      <c r="N57" s="96" t="n">
        <v>0</v>
      </c>
      <c r="O57" s="97" t="n">
        <f aca="false">IF(AND(F57="",G57=""),0,J57-N(L57)-N(M57)-N(N57))</f>
        <v>0</v>
      </c>
      <c r="P57" s="97" t="n">
        <f aca="false">K57+O57</f>
        <v>0</v>
      </c>
      <c r="Q57" s="98" t="n">
        <f aca="false">E57-P57</f>
        <v>1351100</v>
      </c>
      <c r="R57" s="96" t="n">
        <v>49</v>
      </c>
      <c r="S57" s="96" t="n">
        <v>26</v>
      </c>
      <c r="T57" s="97" t="n">
        <f aca="false">IF(N(S57)=0,"",Q57/S57)</f>
        <v>51965.3846153846</v>
      </c>
      <c r="U57" s="99" t="str">
        <f aca="false">IF(E57=0,"",IF(AND(N(C57)&gt;0,F57="",G57=""),"Belum direalisasi",IF(AND(N(D57)&gt;0,H57=""),"EDC belum settle",IF(ABS(O57)&gt;50000,"Cek selisih tunai","OK"))))</f>
        <v>OK</v>
      </c>
    </row>
    <row r="58" customFormat="false" ht="15" hidden="false" customHeight="false" outlineLevel="0" collapsed="false">
      <c r="A58" s="94" t="n">
        <v>46076</v>
      </c>
      <c r="B58" s="95" t="n">
        <f aca="false">MONTH(A58)</f>
        <v>2</v>
      </c>
      <c r="C58" s="96" t="n">
        <v>590500</v>
      </c>
      <c r="D58" s="96" t="n">
        <v>620500</v>
      </c>
      <c r="E58" s="97" t="n">
        <f aca="false">N(C58)+N(D58)</f>
        <v>1211000</v>
      </c>
      <c r="F58" s="96" t="n">
        <v>135000</v>
      </c>
      <c r="G58" s="96" t="n">
        <v>456000</v>
      </c>
      <c r="H58" s="96" t="n">
        <v>620500</v>
      </c>
      <c r="I58" s="97" t="n">
        <f aca="false">N(F58)+N(G58)+N(H58)</f>
        <v>1211500</v>
      </c>
      <c r="J58" s="97" t="n">
        <f aca="false">IF(AND(F58="",G58=""),0,N(C58)-N(F58)-N(G58))</f>
        <v>-500</v>
      </c>
      <c r="K58" s="97" t="n">
        <f aca="false">IF(H58="",0,N(D58)-N(H58))</f>
        <v>0</v>
      </c>
      <c r="L58" s="96" t="n">
        <v>0</v>
      </c>
      <c r="M58" s="96" t="n">
        <v>0</v>
      </c>
      <c r="N58" s="96" t="n">
        <v>0</v>
      </c>
      <c r="O58" s="97" t="n">
        <f aca="false">IF(AND(F58="",G58=""),0,J58-N(L58)-N(M58)-N(N58))</f>
        <v>-500</v>
      </c>
      <c r="P58" s="97" t="n">
        <f aca="false">K58+O58</f>
        <v>-500</v>
      </c>
      <c r="Q58" s="98" t="n">
        <f aca="false">E58-P58</f>
        <v>1211500</v>
      </c>
      <c r="R58" s="96" t="n">
        <v>48</v>
      </c>
      <c r="S58" s="96" t="n">
        <v>31</v>
      </c>
      <c r="T58" s="97" t="n">
        <f aca="false">IF(N(S58)=0,"",Q58/S58)</f>
        <v>39080.6451612903</v>
      </c>
      <c r="U58" s="99" t="str">
        <f aca="false">IF(E58=0,"",IF(AND(N(C58)&gt;0,F58="",G58=""),"Belum direalisasi",IF(AND(N(D58)&gt;0,H58=""),"EDC belum settle",IF(ABS(O58)&gt;50000,"Cek selisih tunai","OK"))))</f>
        <v>OK</v>
      </c>
    </row>
    <row r="59" customFormat="false" ht="15" hidden="false" customHeight="false" outlineLevel="0" collapsed="false">
      <c r="A59" s="94" t="n">
        <v>46077</v>
      </c>
      <c r="B59" s="95" t="n">
        <f aca="false">MONTH(A59)</f>
        <v>2</v>
      </c>
      <c r="C59" s="96" t="n">
        <v>429600</v>
      </c>
      <c r="D59" s="96" t="n">
        <v>1567500</v>
      </c>
      <c r="E59" s="97" t="n">
        <f aca="false">N(C59)+N(D59)</f>
        <v>1997100</v>
      </c>
      <c r="F59" s="96" t="n">
        <v>126000</v>
      </c>
      <c r="G59" s="96" t="n">
        <v>303000</v>
      </c>
      <c r="H59" s="96" t="n">
        <v>1377500</v>
      </c>
      <c r="I59" s="97" t="n">
        <f aca="false">N(F59)+N(G59)+N(H59)</f>
        <v>1806500</v>
      </c>
      <c r="J59" s="97" t="n">
        <f aca="false">IF(AND(F59="",G59=""),0,N(C59)-N(F59)-N(G59))</f>
        <v>600</v>
      </c>
      <c r="K59" s="97" t="n">
        <f aca="false">IF(H59="",0,N(D59)-N(H59))</f>
        <v>190000</v>
      </c>
      <c r="L59" s="96" t="n">
        <v>0</v>
      </c>
      <c r="M59" s="96" t="n">
        <v>0</v>
      </c>
      <c r="N59" s="96" t="n">
        <v>0</v>
      </c>
      <c r="O59" s="97" t="n">
        <f aca="false">IF(AND(F59="",G59=""),0,J59-N(L59)-N(M59)-N(N59))</f>
        <v>600</v>
      </c>
      <c r="P59" s="97" t="n">
        <f aca="false">K59+O59</f>
        <v>190600</v>
      </c>
      <c r="Q59" s="98" t="n">
        <f aca="false">E59-P59</f>
        <v>1806500</v>
      </c>
      <c r="R59" s="96" t="n">
        <v>74</v>
      </c>
      <c r="S59" s="96" t="n">
        <v>47</v>
      </c>
      <c r="T59" s="97" t="n">
        <f aca="false">IF(N(S59)=0,"",Q59/S59)</f>
        <v>38436.170212766</v>
      </c>
      <c r="U59" s="99" t="str">
        <f aca="false">IF(E59=0,"",IF(AND(N(C59)&gt;0,F59="",G59=""),"Belum direalisasi",IF(AND(N(D59)&gt;0,H59=""),"EDC belum settle",IF(ABS(O59)&gt;50000,"Cek selisih tunai","OK"))))</f>
        <v>OK</v>
      </c>
    </row>
    <row r="60" customFormat="false" ht="15" hidden="false" customHeight="false" outlineLevel="0" collapsed="false">
      <c r="A60" s="94" t="n">
        <v>46078</v>
      </c>
      <c r="B60" s="95" t="n">
        <f aca="false">MONTH(A60)</f>
        <v>2</v>
      </c>
      <c r="C60" s="96" t="n">
        <v>662500</v>
      </c>
      <c r="D60" s="96" t="n">
        <v>1337000</v>
      </c>
      <c r="E60" s="97" t="n">
        <f aca="false">N(C60)+N(D60)</f>
        <v>1999500</v>
      </c>
      <c r="F60" s="96" t="n">
        <v>193000</v>
      </c>
      <c r="G60" s="96" t="n">
        <v>470000</v>
      </c>
      <c r="H60" s="96" t="n">
        <v>1525329</v>
      </c>
      <c r="I60" s="97" t="n">
        <f aca="false">N(F60)+N(G60)+N(H60)</f>
        <v>2188329</v>
      </c>
      <c r="J60" s="97" t="n">
        <f aca="false">IF(AND(F60="",G60=""),0,N(C60)-N(F60)-N(G60))</f>
        <v>-500</v>
      </c>
      <c r="K60" s="97" t="n">
        <f aca="false">IF(H60="",0,N(D60)-N(H60))</f>
        <v>-188329</v>
      </c>
      <c r="L60" s="96" t="n">
        <v>0</v>
      </c>
      <c r="M60" s="96" t="n">
        <v>0</v>
      </c>
      <c r="N60" s="96" t="n">
        <v>0</v>
      </c>
      <c r="O60" s="97" t="n">
        <f aca="false">IF(AND(F60="",G60=""),0,J60-N(L60)-N(M60)-N(N60))</f>
        <v>-500</v>
      </c>
      <c r="P60" s="97" t="n">
        <f aca="false">K60+O60</f>
        <v>-188829</v>
      </c>
      <c r="Q60" s="98" t="n">
        <f aca="false">E60-P60</f>
        <v>2188329</v>
      </c>
      <c r="R60" s="96" t="n">
        <v>81</v>
      </c>
      <c r="S60" s="96" t="n">
        <v>36</v>
      </c>
      <c r="T60" s="97" t="n">
        <f aca="false">IF(N(S60)=0,"",Q60/S60)</f>
        <v>60786.9166666667</v>
      </c>
      <c r="U60" s="99" t="str">
        <f aca="false">IF(E60=0,"",IF(AND(N(C60)&gt;0,F60="",G60=""),"Belum direalisasi",IF(AND(N(D60)&gt;0,H60=""),"EDC belum settle",IF(ABS(O60)&gt;50000,"Cek selisih tunai","OK"))))</f>
        <v>OK</v>
      </c>
    </row>
    <row r="61" customFormat="false" ht="15" hidden="false" customHeight="false" outlineLevel="0" collapsed="false">
      <c r="A61" s="94" t="n">
        <v>46079</v>
      </c>
      <c r="B61" s="95" t="n">
        <f aca="false">MONTH(A61)</f>
        <v>2</v>
      </c>
      <c r="C61" s="96" t="n">
        <v>519000</v>
      </c>
      <c r="D61" s="96" t="n">
        <v>1822600</v>
      </c>
      <c r="E61" s="97" t="n">
        <f aca="false">N(C61)+N(D61)</f>
        <v>2341600</v>
      </c>
      <c r="F61" s="96" t="n">
        <v>25000</v>
      </c>
      <c r="G61" s="96" t="n">
        <v>484000</v>
      </c>
      <c r="H61" s="96" t="n">
        <v>1820860</v>
      </c>
      <c r="I61" s="97" t="n">
        <f aca="false">N(F61)+N(G61)+N(H61)</f>
        <v>2329860</v>
      </c>
      <c r="J61" s="97" t="n">
        <f aca="false">IF(AND(F61="",G61=""),0,N(C61)-N(F61)-N(G61))</f>
        <v>10000</v>
      </c>
      <c r="K61" s="97" t="n">
        <f aca="false">IF(H61="",0,N(D61)-N(H61))</f>
        <v>1740</v>
      </c>
      <c r="L61" s="96" t="n">
        <v>10000</v>
      </c>
      <c r="M61" s="96" t="n">
        <v>0</v>
      </c>
      <c r="N61" s="96" t="n">
        <v>0</v>
      </c>
      <c r="O61" s="97" t="n">
        <f aca="false">IF(AND(F61="",G61=""),0,J61-N(L61)-N(M61)-N(N61))</f>
        <v>0</v>
      </c>
      <c r="P61" s="97" t="n">
        <f aca="false">K61+O61</f>
        <v>1740</v>
      </c>
      <c r="Q61" s="98" t="n">
        <f aca="false">E61-P61</f>
        <v>2339860</v>
      </c>
      <c r="R61" s="96" t="n">
        <v>93</v>
      </c>
      <c r="S61" s="96" t="n">
        <v>53</v>
      </c>
      <c r="T61" s="97" t="n">
        <f aca="false">IF(N(S61)=0,"",Q61/S61)</f>
        <v>44148.3018867925</v>
      </c>
      <c r="U61" s="99" t="str">
        <f aca="false">IF(E61=0,"",IF(AND(N(C61)&gt;0,F61="",G61=""),"Belum direalisasi",IF(AND(N(D61)&gt;0,H61=""),"EDC belum settle",IF(ABS(O61)&gt;50000,"Cek selisih tunai","OK"))))</f>
        <v>OK</v>
      </c>
    </row>
    <row r="62" customFormat="false" ht="15" hidden="false" customHeight="false" outlineLevel="0" collapsed="false">
      <c r="A62" s="94" t="n">
        <v>46080</v>
      </c>
      <c r="B62" s="95" t="n">
        <f aca="false">MONTH(A62)</f>
        <v>2</v>
      </c>
      <c r="C62" s="96" t="n">
        <v>857000</v>
      </c>
      <c r="D62" s="96" t="n">
        <v>1166800</v>
      </c>
      <c r="E62" s="97" t="n">
        <f aca="false">N(C62)+N(D62)</f>
        <v>2023800</v>
      </c>
      <c r="F62" s="96" t="n">
        <v>218000</v>
      </c>
      <c r="G62" s="96" t="n">
        <v>639000</v>
      </c>
      <c r="H62" s="96" t="n">
        <v>1166800</v>
      </c>
      <c r="I62" s="97" t="n">
        <f aca="false">N(F62)+N(G62)+N(H62)</f>
        <v>2023800</v>
      </c>
      <c r="J62" s="97" t="n">
        <f aca="false">IF(AND(F62="",G62=""),0,N(C62)-N(F62)-N(G62))</f>
        <v>0</v>
      </c>
      <c r="K62" s="97" t="n">
        <f aca="false">IF(H62="",0,N(D62)-N(H62))</f>
        <v>0</v>
      </c>
      <c r="L62" s="96" t="n">
        <v>0</v>
      </c>
      <c r="M62" s="96" t="n">
        <v>0</v>
      </c>
      <c r="N62" s="96" t="n">
        <v>0</v>
      </c>
      <c r="O62" s="97" t="n">
        <f aca="false">IF(AND(F62="",G62=""),0,J62-N(L62)-N(M62)-N(N62))</f>
        <v>0</v>
      </c>
      <c r="P62" s="97" t="n">
        <f aca="false">K62+O62</f>
        <v>0</v>
      </c>
      <c r="Q62" s="98" t="n">
        <f aca="false">E62-P62</f>
        <v>2023800</v>
      </c>
      <c r="R62" s="96" t="n">
        <v>74</v>
      </c>
      <c r="S62" s="96" t="n">
        <v>47</v>
      </c>
      <c r="T62" s="97" t="n">
        <f aca="false">IF(N(S62)=0,"",Q62/S62)</f>
        <v>43059.5744680851</v>
      </c>
      <c r="U62" s="99" t="str">
        <f aca="false">IF(E62=0,"",IF(AND(N(C62)&gt;0,F62="",G62=""),"Belum direalisasi",IF(AND(N(D62)&gt;0,H62=""),"EDC belum settle",IF(ABS(O62)&gt;50000,"Cek selisih tunai","OK"))))</f>
        <v>OK</v>
      </c>
    </row>
    <row r="63" customFormat="false" ht="15" hidden="false" customHeight="false" outlineLevel="0" collapsed="false">
      <c r="A63" s="94" t="n">
        <v>46081</v>
      </c>
      <c r="B63" s="95" t="n">
        <f aca="false">MONTH(A63)</f>
        <v>2</v>
      </c>
      <c r="C63" s="96" t="n">
        <v>631300</v>
      </c>
      <c r="D63" s="96" t="n">
        <v>2881500</v>
      </c>
      <c r="E63" s="97" t="n">
        <f aca="false">N(C63)+N(D63)</f>
        <v>3512800</v>
      </c>
      <c r="F63" s="96" t="n">
        <v>24000</v>
      </c>
      <c r="G63" s="96" t="n">
        <v>492000</v>
      </c>
      <c r="H63" s="96" t="n">
        <v>2881500</v>
      </c>
      <c r="I63" s="97" t="n">
        <f aca="false">N(F63)+N(G63)+N(H63)</f>
        <v>3397500</v>
      </c>
      <c r="J63" s="97" t="n">
        <f aca="false">IF(AND(F63="",G63=""),0,N(C63)-N(F63)-N(G63))</f>
        <v>115300</v>
      </c>
      <c r="K63" s="97" t="n">
        <f aca="false">IF(H63="",0,N(D63)-N(H63))</f>
        <v>0</v>
      </c>
      <c r="L63" s="96" t="n">
        <v>0</v>
      </c>
      <c r="M63" s="96" t="n">
        <v>0</v>
      </c>
      <c r="N63" s="96" t="n">
        <v>115000</v>
      </c>
      <c r="O63" s="97" t="n">
        <f aca="false">IF(AND(F63="",G63=""),0,J63-N(L63)-N(M63)-N(N63))</f>
        <v>300</v>
      </c>
      <c r="P63" s="97" t="n">
        <f aca="false">K63+O63</f>
        <v>300</v>
      </c>
      <c r="Q63" s="98" t="n">
        <f aca="false">E63-P63</f>
        <v>3512500</v>
      </c>
      <c r="R63" s="96" t="n">
        <v>134</v>
      </c>
      <c r="S63" s="96" t="n">
        <v>62</v>
      </c>
      <c r="T63" s="97" t="n">
        <f aca="false">IF(N(S63)=0,"",Q63/S63)</f>
        <v>56653.2258064516</v>
      </c>
      <c r="U63" s="99" t="str">
        <f aca="false">IF(E63=0,"",IF(AND(N(C63)&gt;0,F63="",G63=""),"Belum direalisasi",IF(AND(N(D63)&gt;0,H63=""),"EDC belum settle",IF(ABS(O63)&gt;50000,"Cek selisih tunai","OK"))))</f>
        <v>OK</v>
      </c>
    </row>
    <row r="64" customFormat="false" ht="15" hidden="false" customHeight="false" outlineLevel="0" collapsed="false">
      <c r="A64" s="89" t="n">
        <v>46082</v>
      </c>
      <c r="B64" s="90" t="n">
        <f aca="false">MONTH(A64)</f>
        <v>3</v>
      </c>
      <c r="C64" s="91" t="n">
        <v>783000</v>
      </c>
      <c r="D64" s="91" t="n">
        <v>2795050</v>
      </c>
      <c r="E64" s="92" t="n">
        <f aca="false">N(C64)+N(D64)</f>
        <v>3578050</v>
      </c>
      <c r="F64" s="91" t="n">
        <v>0</v>
      </c>
      <c r="G64" s="91" t="n">
        <v>783000</v>
      </c>
      <c r="H64" s="91" t="n">
        <v>2865050</v>
      </c>
      <c r="I64" s="92" t="n">
        <f aca="false">N(F64)+N(G64)+N(H64)</f>
        <v>3648050</v>
      </c>
      <c r="J64" s="92" t="n">
        <f aca="false">IF(AND(F64="",G64=""),0,N(C64)-N(F64)-N(G64))</f>
        <v>0</v>
      </c>
      <c r="K64" s="92" t="n">
        <f aca="false">IF(H64="",0,N(D64)-N(H64))</f>
        <v>-70000</v>
      </c>
      <c r="L64" s="91" t="n">
        <v>0</v>
      </c>
      <c r="M64" s="91" t="n">
        <v>0</v>
      </c>
      <c r="N64" s="91" t="n">
        <v>0</v>
      </c>
      <c r="O64" s="92" t="n">
        <f aca="false">IF(AND(F64="",G64=""),0,J64-N(L64)-N(M64)-N(N64))</f>
        <v>0</v>
      </c>
      <c r="P64" s="92" t="n">
        <f aca="false">K64+O64</f>
        <v>-70000</v>
      </c>
      <c r="Q64" s="85" t="n">
        <f aca="false">E64-P64</f>
        <v>3648050</v>
      </c>
      <c r="R64" s="91" t="n">
        <v>133</v>
      </c>
      <c r="S64" s="91" t="n">
        <v>66</v>
      </c>
      <c r="T64" s="92" t="n">
        <f aca="false">IF(N(S64)=0,"",Q64/S64)</f>
        <v>55273.4848484849</v>
      </c>
      <c r="U64" s="93" t="str">
        <f aca="false">IF(E64=0,"",IF(AND(N(C64)&gt;0,F64="",G64=""),"Belum direalisasi",IF(AND(N(D64)&gt;0,H64=""),"EDC belum settle",IF(ABS(O64)&gt;50000,"Cek selisih tunai","OK"))))</f>
        <v>OK</v>
      </c>
    </row>
    <row r="65" customFormat="false" ht="15" hidden="false" customHeight="false" outlineLevel="0" collapsed="false">
      <c r="A65" s="89" t="n">
        <v>46083</v>
      </c>
      <c r="B65" s="90" t="n">
        <f aca="false">MONTH(A65)</f>
        <v>3</v>
      </c>
      <c r="C65" s="91" t="n">
        <v>258000</v>
      </c>
      <c r="D65" s="91" t="n">
        <v>796750</v>
      </c>
      <c r="E65" s="92" t="n">
        <f aca="false">N(C65)+N(D65)</f>
        <v>1054750</v>
      </c>
      <c r="F65" s="91" t="n">
        <v>30000</v>
      </c>
      <c r="G65" s="91" t="n">
        <v>228000</v>
      </c>
      <c r="H65" s="91" t="n">
        <v>796750</v>
      </c>
      <c r="I65" s="92" t="n">
        <f aca="false">N(F65)+N(G65)+N(H65)</f>
        <v>1054750</v>
      </c>
      <c r="J65" s="92" t="n">
        <f aca="false">IF(AND(F65="",G65=""),0,N(C65)-N(F65)-N(G65))</f>
        <v>0</v>
      </c>
      <c r="K65" s="92" t="n">
        <f aca="false">IF(H65="",0,N(D65)-N(H65))</f>
        <v>0</v>
      </c>
      <c r="L65" s="91" t="n">
        <v>0</v>
      </c>
      <c r="M65" s="91" t="n">
        <v>0</v>
      </c>
      <c r="N65" s="91" t="n">
        <v>0</v>
      </c>
      <c r="O65" s="92" t="n">
        <f aca="false">IF(AND(F65="",G65=""),0,J65-N(L65)-N(M65)-N(N65))</f>
        <v>0</v>
      </c>
      <c r="P65" s="92" t="n">
        <f aca="false">K65+O65</f>
        <v>0</v>
      </c>
      <c r="Q65" s="85" t="n">
        <f aca="false">E65-P65</f>
        <v>1054750</v>
      </c>
      <c r="R65" s="91" t="n">
        <v>40</v>
      </c>
      <c r="S65" s="91" t="n">
        <v>23</v>
      </c>
      <c r="T65" s="92" t="n">
        <f aca="false">IF(N(S65)=0,"",Q65/S65)</f>
        <v>45858.6956521739</v>
      </c>
      <c r="U65" s="93" t="str">
        <f aca="false">IF(E65=0,"",IF(AND(N(C65)&gt;0,F65="",G65=""),"Belum direalisasi",IF(AND(N(D65)&gt;0,H65=""),"EDC belum settle",IF(ABS(O65)&gt;50000,"Cek selisih tunai","OK"))))</f>
        <v>OK</v>
      </c>
    </row>
    <row r="66" customFormat="false" ht="15" hidden="false" customHeight="false" outlineLevel="0" collapsed="false">
      <c r="A66" s="89" t="n">
        <v>46084</v>
      </c>
      <c r="B66" s="90" t="n">
        <f aca="false">MONTH(A66)</f>
        <v>3</v>
      </c>
      <c r="C66" s="91" t="n">
        <v>548100</v>
      </c>
      <c r="D66" s="91" t="n">
        <v>1600000</v>
      </c>
      <c r="E66" s="92" t="n">
        <f aca="false">N(C66)+N(D66)</f>
        <v>2148100</v>
      </c>
      <c r="F66" s="91" t="n">
        <v>133000</v>
      </c>
      <c r="G66" s="91" t="n">
        <v>169000</v>
      </c>
      <c r="H66" s="91" t="n">
        <v>1600000</v>
      </c>
      <c r="I66" s="92" t="n">
        <f aca="false">N(F66)+N(G66)+N(H66)</f>
        <v>1902000</v>
      </c>
      <c r="J66" s="92" t="n">
        <f aca="false">IF(AND(F66="",G66=""),0,N(C66)-N(F66)-N(G66))</f>
        <v>246100</v>
      </c>
      <c r="K66" s="92" t="n">
        <f aca="false">IF(H66="",0,N(D66)-N(H66))</f>
        <v>0</v>
      </c>
      <c r="L66" s="91" t="n">
        <v>24300</v>
      </c>
      <c r="M66" s="91" t="n">
        <v>0</v>
      </c>
      <c r="N66" s="91" t="n">
        <v>221800</v>
      </c>
      <c r="O66" s="92" t="n">
        <f aca="false">IF(AND(F66="",G66=""),0,J66-N(L66)-N(M66)-N(N66))</f>
        <v>0</v>
      </c>
      <c r="P66" s="92" t="n">
        <f aca="false">K66+O66</f>
        <v>0</v>
      </c>
      <c r="Q66" s="85" t="n">
        <f aca="false">E66-P66</f>
        <v>2148100</v>
      </c>
      <c r="R66" s="91" t="n">
        <v>81</v>
      </c>
      <c r="S66" s="91" t="n">
        <v>44</v>
      </c>
      <c r="T66" s="92" t="n">
        <f aca="false">IF(N(S66)=0,"",Q66/S66)</f>
        <v>48820.4545454545</v>
      </c>
      <c r="U66" s="93" t="str">
        <f aca="false">IF(E66=0,"",IF(AND(N(C66)&gt;0,F66="",G66=""),"Belum direalisasi",IF(AND(N(D66)&gt;0,H66=""),"EDC belum settle",IF(ABS(O66)&gt;50000,"Cek selisih tunai","OK"))))</f>
        <v>OK</v>
      </c>
    </row>
    <row r="67" customFormat="false" ht="15" hidden="false" customHeight="false" outlineLevel="0" collapsed="false">
      <c r="A67" s="89" t="n">
        <v>46085</v>
      </c>
      <c r="B67" s="90" t="n">
        <f aca="false">MONTH(A67)</f>
        <v>3</v>
      </c>
      <c r="C67" s="91" t="n">
        <v>1010100</v>
      </c>
      <c r="D67" s="91" t="n">
        <v>1765000</v>
      </c>
      <c r="E67" s="92" t="n">
        <f aca="false">N(C67)+N(D67)</f>
        <v>2775100</v>
      </c>
      <c r="F67" s="91" t="n">
        <v>205000</v>
      </c>
      <c r="G67" s="91" t="n">
        <v>734000</v>
      </c>
      <c r="H67" s="91" t="n">
        <v>1765000</v>
      </c>
      <c r="I67" s="92" t="n">
        <f aca="false">N(F67)+N(G67)+N(H67)</f>
        <v>2704000</v>
      </c>
      <c r="J67" s="92" t="n">
        <f aca="false">IF(AND(F67="",G67=""),0,N(C67)-N(F67)-N(G67))</f>
        <v>71100</v>
      </c>
      <c r="K67" s="92" t="n">
        <f aca="false">IF(H67="",0,N(D67)-N(H67))</f>
        <v>0</v>
      </c>
      <c r="L67" s="91" t="n">
        <v>0</v>
      </c>
      <c r="M67" s="91" t="n">
        <v>0</v>
      </c>
      <c r="N67" s="91" t="n">
        <v>71100</v>
      </c>
      <c r="O67" s="92" t="n">
        <f aca="false">IF(AND(F67="",G67=""),0,J67-N(L67)-N(M67)-N(N67))</f>
        <v>0</v>
      </c>
      <c r="P67" s="92" t="n">
        <f aca="false">K67+O67</f>
        <v>0</v>
      </c>
      <c r="Q67" s="85" t="n">
        <f aca="false">E67-P67</f>
        <v>2775100</v>
      </c>
      <c r="R67" s="91" t="n">
        <v>106</v>
      </c>
      <c r="S67" s="91" t="n">
        <v>68</v>
      </c>
      <c r="T67" s="92" t="n">
        <f aca="false">IF(N(S67)=0,"",Q67/S67)</f>
        <v>40810.2941176471</v>
      </c>
      <c r="U67" s="93" t="str">
        <f aca="false">IF(E67=0,"",IF(AND(N(C67)&gt;0,F67="",G67=""),"Belum direalisasi",IF(AND(N(D67)&gt;0,H67=""),"EDC belum settle",IF(ABS(O67)&gt;50000,"Cek selisih tunai","OK"))))</f>
        <v>OK</v>
      </c>
    </row>
    <row r="68" customFormat="false" ht="15" hidden="false" customHeight="false" outlineLevel="0" collapsed="false">
      <c r="A68" s="89" t="n">
        <v>46086</v>
      </c>
      <c r="B68" s="90" t="n">
        <f aca="false">MONTH(A68)</f>
        <v>3</v>
      </c>
      <c r="C68" s="91" t="n">
        <v>518000</v>
      </c>
      <c r="D68" s="91" t="n">
        <v>1566500</v>
      </c>
      <c r="E68" s="92" t="n">
        <f aca="false">N(C68)+N(D68)</f>
        <v>2084500</v>
      </c>
      <c r="F68" s="91" t="n">
        <v>79000</v>
      </c>
      <c r="G68" s="91" t="n">
        <v>439000</v>
      </c>
      <c r="H68" s="91" t="n">
        <v>1565500</v>
      </c>
      <c r="I68" s="92" t="n">
        <f aca="false">N(F68)+N(G68)+N(H68)</f>
        <v>2083500</v>
      </c>
      <c r="J68" s="92" t="n">
        <f aca="false">IF(AND(F68="",G68=""),0,N(C68)-N(F68)-N(G68))</f>
        <v>0</v>
      </c>
      <c r="K68" s="92" t="n">
        <f aca="false">IF(H68="",0,N(D68)-N(H68))</f>
        <v>1000</v>
      </c>
      <c r="L68" s="91" t="n">
        <v>0</v>
      </c>
      <c r="M68" s="91" t="n">
        <v>0</v>
      </c>
      <c r="N68" s="91" t="n">
        <v>0</v>
      </c>
      <c r="O68" s="92" t="n">
        <f aca="false">IF(AND(F68="",G68=""),0,J68-N(L68)-N(M68)-N(N68))</f>
        <v>0</v>
      </c>
      <c r="P68" s="92" t="n">
        <f aca="false">K68+O68</f>
        <v>1000</v>
      </c>
      <c r="Q68" s="85" t="n">
        <f aca="false">E68-P68</f>
        <v>2083500</v>
      </c>
      <c r="R68" s="91" t="n">
        <v>78</v>
      </c>
      <c r="S68" s="91" t="n">
        <v>50</v>
      </c>
      <c r="T68" s="92" t="n">
        <f aca="false">IF(N(S68)=0,"",Q68/S68)</f>
        <v>41670</v>
      </c>
      <c r="U68" s="93" t="str">
        <f aca="false">IF(E68=0,"",IF(AND(N(C68)&gt;0,F68="",G68=""),"Belum direalisasi",IF(AND(N(D68)&gt;0,H68=""),"EDC belum settle",IF(ABS(O68)&gt;50000,"Cek selisih tunai","OK"))))</f>
        <v>OK</v>
      </c>
    </row>
    <row r="69" customFormat="false" ht="15" hidden="false" customHeight="false" outlineLevel="0" collapsed="false">
      <c r="A69" s="89" t="n">
        <v>46087</v>
      </c>
      <c r="B69" s="90" t="n">
        <f aca="false">MONTH(A69)</f>
        <v>3</v>
      </c>
      <c r="C69" s="91" t="n">
        <v>1206350</v>
      </c>
      <c r="D69" s="91" t="n">
        <v>1650750</v>
      </c>
      <c r="E69" s="92" t="n">
        <f aca="false">N(C69)+N(D69)</f>
        <v>2857100</v>
      </c>
      <c r="F69" s="91" t="n">
        <v>327000</v>
      </c>
      <c r="G69" s="91" t="n">
        <v>742000</v>
      </c>
      <c r="H69" s="91" t="n">
        <v>1704210</v>
      </c>
      <c r="I69" s="92" t="n">
        <f aca="false">N(F69)+N(G69)+N(H69)</f>
        <v>2773210</v>
      </c>
      <c r="J69" s="92" t="n">
        <f aca="false">IF(AND(F69="",G69=""),0,N(C69)-N(F69)-N(G69))</f>
        <v>137350</v>
      </c>
      <c r="K69" s="92" t="n">
        <f aca="false">IF(H69="",0,N(D69)-N(H69))</f>
        <v>-53460</v>
      </c>
      <c r="L69" s="91" t="n">
        <v>0</v>
      </c>
      <c r="M69" s="91" t="n">
        <v>0</v>
      </c>
      <c r="N69" s="91" t="n">
        <v>137500</v>
      </c>
      <c r="O69" s="92" t="n">
        <f aca="false">IF(AND(F69="",G69=""),0,J69-N(L69)-N(M69)-N(N69))</f>
        <v>-150</v>
      </c>
      <c r="P69" s="92" t="n">
        <f aca="false">K69+O69</f>
        <v>-53610</v>
      </c>
      <c r="Q69" s="85" t="n">
        <f aca="false">E69-P69</f>
        <v>2910710</v>
      </c>
      <c r="R69" s="91" t="n">
        <v>112</v>
      </c>
      <c r="S69" s="91" t="n">
        <v>59</v>
      </c>
      <c r="T69" s="92" t="n">
        <f aca="false">IF(N(S69)=0,"",Q69/S69)</f>
        <v>49334.0677966102</v>
      </c>
      <c r="U69" s="93" t="str">
        <f aca="false">IF(E69=0,"",IF(AND(N(C69)&gt;0,F69="",G69=""),"Belum direalisasi",IF(AND(N(D69)&gt;0,H69=""),"EDC belum settle",IF(ABS(O69)&gt;50000,"Cek selisih tunai","OK"))))</f>
        <v>OK</v>
      </c>
    </row>
    <row r="70" customFormat="false" ht="15" hidden="false" customHeight="false" outlineLevel="0" collapsed="false">
      <c r="A70" s="89" t="n">
        <v>46088</v>
      </c>
      <c r="B70" s="90" t="n">
        <f aca="false">MONTH(A70)</f>
        <v>3</v>
      </c>
      <c r="C70" s="91" t="n">
        <v>718300</v>
      </c>
      <c r="D70" s="91" t="n">
        <v>3468650</v>
      </c>
      <c r="E70" s="92" t="n">
        <f aca="false">N(C70)+N(D70)</f>
        <v>4186950</v>
      </c>
      <c r="F70" s="91" t="n">
        <v>35000</v>
      </c>
      <c r="G70" s="91" t="n">
        <v>640000</v>
      </c>
      <c r="H70" s="91" t="n">
        <v>3468550</v>
      </c>
      <c r="I70" s="92" t="n">
        <f aca="false">N(F70)+N(G70)+N(H70)</f>
        <v>4143550</v>
      </c>
      <c r="J70" s="92" t="n">
        <f aca="false">IF(AND(F70="",G70=""),0,N(C70)-N(F70)-N(G70))</f>
        <v>43300</v>
      </c>
      <c r="K70" s="92" t="n">
        <f aca="false">IF(H70="",0,N(D70)-N(H70))</f>
        <v>100</v>
      </c>
      <c r="L70" s="91" t="n">
        <v>0</v>
      </c>
      <c r="M70" s="91" t="n">
        <v>19000</v>
      </c>
      <c r="N70" s="91" t="n">
        <v>24300</v>
      </c>
      <c r="O70" s="92" t="n">
        <f aca="false">IF(AND(F70="",G70=""),0,J70-N(L70)-N(M70)-N(N70))</f>
        <v>0</v>
      </c>
      <c r="P70" s="92" t="n">
        <f aca="false">K70+O70</f>
        <v>100</v>
      </c>
      <c r="Q70" s="85" t="n">
        <f aca="false">E70-P70</f>
        <v>4186850</v>
      </c>
      <c r="R70" s="91" t="n">
        <v>159</v>
      </c>
      <c r="S70" s="91" t="n">
        <v>88</v>
      </c>
      <c r="T70" s="92" t="n">
        <f aca="false">IF(N(S70)=0,"",Q70/S70)</f>
        <v>47577.8409090909</v>
      </c>
      <c r="U70" s="93" t="str">
        <f aca="false">IF(E70=0,"",IF(AND(N(C70)&gt;0,F70="",G70=""),"Belum direalisasi",IF(AND(N(D70)&gt;0,H70=""),"EDC belum settle",IF(ABS(O70)&gt;50000,"Cek selisih tunai","OK"))))</f>
        <v>OK</v>
      </c>
    </row>
    <row r="71" customFormat="false" ht="15" hidden="false" customHeight="false" outlineLevel="0" collapsed="false">
      <c r="A71" s="89" t="n">
        <v>46089</v>
      </c>
      <c r="B71" s="90" t="n">
        <f aca="false">MONTH(A71)</f>
        <v>3</v>
      </c>
      <c r="C71" s="91" t="n">
        <v>518500</v>
      </c>
      <c r="D71" s="91" t="n">
        <v>2122800</v>
      </c>
      <c r="E71" s="92" t="n">
        <f aca="false">N(C71)+N(D71)</f>
        <v>2641300</v>
      </c>
      <c r="F71" s="91" t="n">
        <v>75000</v>
      </c>
      <c r="G71" s="91" t="n">
        <v>444000</v>
      </c>
      <c r="H71" s="91" t="n">
        <v>2121490</v>
      </c>
      <c r="I71" s="92" t="n">
        <f aca="false">N(F71)+N(G71)+N(H71)</f>
        <v>2640490</v>
      </c>
      <c r="J71" s="92" t="n">
        <f aca="false">IF(AND(F71="",G71=""),0,N(C71)-N(F71)-N(G71))</f>
        <v>-500</v>
      </c>
      <c r="K71" s="92" t="n">
        <f aca="false">IF(H71="",0,N(D71)-N(H71))</f>
        <v>1310</v>
      </c>
      <c r="L71" s="91" t="n">
        <v>0</v>
      </c>
      <c r="M71" s="91" t="n">
        <v>0</v>
      </c>
      <c r="N71" s="91" t="n">
        <v>0</v>
      </c>
      <c r="O71" s="92" t="n">
        <f aca="false">IF(AND(F71="",G71=""),0,J71-N(L71)-N(M71)-N(N71))</f>
        <v>-500</v>
      </c>
      <c r="P71" s="92" t="n">
        <f aca="false">K71+O71</f>
        <v>810</v>
      </c>
      <c r="Q71" s="85" t="n">
        <f aca="false">E71-P71</f>
        <v>2640490</v>
      </c>
      <c r="R71" s="91" t="n">
        <v>107</v>
      </c>
      <c r="S71" s="91" t="n">
        <v>55</v>
      </c>
      <c r="T71" s="92" t="n">
        <f aca="false">IF(N(S71)=0,"",Q71/S71)</f>
        <v>48008.9090909091</v>
      </c>
      <c r="U71" s="93" t="str">
        <f aca="false">IF(E71=0,"",IF(AND(N(C71)&gt;0,F71="",G71=""),"Belum direalisasi",IF(AND(N(D71)&gt;0,H71=""),"EDC belum settle",IF(ABS(O71)&gt;50000,"Cek selisih tunai","OK"))))</f>
        <v>OK</v>
      </c>
    </row>
    <row r="72" customFormat="false" ht="15" hidden="false" customHeight="false" outlineLevel="0" collapsed="false">
      <c r="A72" s="89" t="n">
        <v>46090</v>
      </c>
      <c r="B72" s="90" t="n">
        <f aca="false">MONTH(A72)</f>
        <v>3</v>
      </c>
      <c r="C72" s="91" t="n">
        <v>806200</v>
      </c>
      <c r="D72" s="91" t="n">
        <v>1788300</v>
      </c>
      <c r="E72" s="92" t="n">
        <f aca="false">N(C72)+N(D72)</f>
        <v>2594500</v>
      </c>
      <c r="F72" s="91" t="n">
        <v>25000</v>
      </c>
      <c r="G72" s="91" t="n">
        <v>580500</v>
      </c>
      <c r="H72" s="91" t="n">
        <v>1788300</v>
      </c>
      <c r="I72" s="92" t="n">
        <f aca="false">N(F72)+N(G72)+N(H72)</f>
        <v>2393800</v>
      </c>
      <c r="J72" s="92" t="n">
        <f aca="false">IF(AND(F72="",G72=""),0,N(C72)-N(F72)-N(G72))</f>
        <v>200700</v>
      </c>
      <c r="K72" s="92" t="n">
        <f aca="false">IF(H72="",0,N(D72)-N(H72))</f>
        <v>0</v>
      </c>
      <c r="L72" s="91" t="n">
        <v>67500</v>
      </c>
      <c r="M72" s="91" t="n">
        <v>0</v>
      </c>
      <c r="N72" s="91" t="n">
        <v>133200</v>
      </c>
      <c r="O72" s="92" t="n">
        <f aca="false">IF(AND(F72="",G72=""),0,J72-N(L72)-N(M72)-N(N72))</f>
        <v>0</v>
      </c>
      <c r="P72" s="92" t="n">
        <f aca="false">K72+O72</f>
        <v>0</v>
      </c>
      <c r="Q72" s="85" t="n">
        <f aca="false">E72-P72</f>
        <v>2594500</v>
      </c>
      <c r="R72" s="91" t="n">
        <v>99</v>
      </c>
      <c r="S72" s="91" t="n">
        <v>58</v>
      </c>
      <c r="T72" s="92" t="n">
        <f aca="false">IF(N(S72)=0,"",Q72/S72)</f>
        <v>44732.7586206897</v>
      </c>
      <c r="U72" s="93" t="str">
        <f aca="false">IF(E72=0,"",IF(AND(N(C72)&gt;0,F72="",G72=""),"Belum direalisasi",IF(AND(N(D72)&gt;0,H72=""),"EDC belum settle",IF(ABS(O72)&gt;50000,"Cek selisih tunai","OK"))))</f>
        <v>OK</v>
      </c>
    </row>
    <row r="73" customFormat="false" ht="15" hidden="false" customHeight="false" outlineLevel="0" collapsed="false">
      <c r="A73" s="89" t="n">
        <v>46091</v>
      </c>
      <c r="B73" s="90" t="n">
        <f aca="false">MONTH(A73)</f>
        <v>3</v>
      </c>
      <c r="C73" s="91" t="n">
        <v>910100</v>
      </c>
      <c r="D73" s="91" t="n">
        <v>2772350</v>
      </c>
      <c r="E73" s="92" t="n">
        <f aca="false">N(C73)+N(D73)</f>
        <v>3682450</v>
      </c>
      <c r="F73" s="91" t="n">
        <v>95000</v>
      </c>
      <c r="G73" s="91" t="n">
        <v>649000</v>
      </c>
      <c r="H73" s="91" t="n">
        <v>2769966</v>
      </c>
      <c r="I73" s="92" t="n">
        <f aca="false">N(F73)+N(G73)+N(H73)</f>
        <v>3513966</v>
      </c>
      <c r="J73" s="92" t="n">
        <f aca="false">IF(AND(F73="",G73=""),0,N(C73)-N(F73)-N(G73))</f>
        <v>166100</v>
      </c>
      <c r="K73" s="92" t="n">
        <f aca="false">IF(H73="",0,N(D73)-N(H73))</f>
        <v>2384</v>
      </c>
      <c r="L73" s="91" t="n">
        <v>0</v>
      </c>
      <c r="M73" s="91" t="n">
        <v>0</v>
      </c>
      <c r="N73" s="91" t="n">
        <v>167300</v>
      </c>
      <c r="O73" s="92" t="n">
        <f aca="false">IF(AND(F73="",G73=""),0,J73-N(L73)-N(M73)-N(N73))</f>
        <v>-1200</v>
      </c>
      <c r="P73" s="92" t="n">
        <f aca="false">K73+O73</f>
        <v>1184</v>
      </c>
      <c r="Q73" s="85" t="n">
        <f aca="false">E73-P73</f>
        <v>3681266</v>
      </c>
      <c r="R73" s="91" t="n">
        <v>146</v>
      </c>
      <c r="S73" s="91" t="n">
        <v>81</v>
      </c>
      <c r="T73" s="92" t="n">
        <f aca="false">IF(N(S73)=0,"",Q73/S73)</f>
        <v>45447.7283950617</v>
      </c>
      <c r="U73" s="93" t="str">
        <f aca="false">IF(E73=0,"",IF(AND(N(C73)&gt;0,F73="",G73=""),"Belum direalisasi",IF(AND(N(D73)&gt;0,H73=""),"EDC belum settle",IF(ABS(O73)&gt;50000,"Cek selisih tunai","OK"))))</f>
        <v>OK</v>
      </c>
    </row>
    <row r="74" customFormat="false" ht="15" hidden="false" customHeight="false" outlineLevel="0" collapsed="false">
      <c r="A74" s="89" t="n">
        <v>46092</v>
      </c>
      <c r="B74" s="90" t="n">
        <f aca="false">MONTH(A74)</f>
        <v>3</v>
      </c>
      <c r="C74" s="91" t="n">
        <v>854250</v>
      </c>
      <c r="D74" s="91" t="n">
        <v>2608600</v>
      </c>
      <c r="E74" s="92" t="n">
        <f aca="false">N(C74)+N(D74)</f>
        <v>3462850</v>
      </c>
      <c r="F74" s="91" t="n">
        <v>83000</v>
      </c>
      <c r="G74" s="91" t="n">
        <v>752000</v>
      </c>
      <c r="H74" s="91" t="n">
        <v>2608600</v>
      </c>
      <c r="I74" s="92" t="n">
        <f aca="false">N(F74)+N(G74)+N(H74)</f>
        <v>3443600</v>
      </c>
      <c r="J74" s="92" t="n">
        <f aca="false">IF(AND(F74="",G74=""),0,N(C74)-N(F74)-N(G74))</f>
        <v>19250</v>
      </c>
      <c r="K74" s="92" t="n">
        <f aca="false">IF(H74="",0,N(D74)-N(H74))</f>
        <v>0</v>
      </c>
      <c r="L74" s="91" t="n">
        <v>0</v>
      </c>
      <c r="M74" s="91" t="n">
        <v>19000</v>
      </c>
      <c r="N74" s="91" t="n">
        <v>0</v>
      </c>
      <c r="O74" s="92" t="n">
        <f aca="false">IF(AND(F74="",G74=""),0,J74-N(L74)-N(M74)-N(N74))</f>
        <v>250</v>
      </c>
      <c r="P74" s="92" t="n">
        <f aca="false">K74+O74</f>
        <v>250</v>
      </c>
      <c r="Q74" s="85" t="n">
        <f aca="false">E74-P74</f>
        <v>3462600</v>
      </c>
      <c r="R74" s="91" t="n">
        <v>142</v>
      </c>
      <c r="S74" s="91" t="n">
        <v>68</v>
      </c>
      <c r="T74" s="92" t="n">
        <f aca="false">IF(N(S74)=0,"",Q74/S74)</f>
        <v>50920.5882352941</v>
      </c>
      <c r="U74" s="93" t="str">
        <f aca="false">IF(E74=0,"",IF(AND(N(C74)&gt;0,F74="",G74=""),"Belum direalisasi",IF(AND(N(D74)&gt;0,H74=""),"EDC belum settle",IF(ABS(O74)&gt;50000,"Cek selisih tunai","OK"))))</f>
        <v>OK</v>
      </c>
    </row>
    <row r="75" customFormat="false" ht="15" hidden="false" customHeight="false" outlineLevel="0" collapsed="false">
      <c r="A75" s="89" t="n">
        <v>46093</v>
      </c>
      <c r="B75" s="90" t="n">
        <f aca="false">MONTH(A75)</f>
        <v>3</v>
      </c>
      <c r="C75" s="91" t="n">
        <v>472500</v>
      </c>
      <c r="D75" s="91" t="n">
        <v>1887000</v>
      </c>
      <c r="E75" s="92" t="n">
        <f aca="false">N(C75)+N(D75)</f>
        <v>2359500</v>
      </c>
      <c r="F75" s="91" t="n">
        <v>146000</v>
      </c>
      <c r="G75" s="91" t="n">
        <v>328500</v>
      </c>
      <c r="H75" s="91" t="n">
        <v>1886962</v>
      </c>
      <c r="I75" s="92" t="n">
        <f aca="false">N(F75)+N(G75)+N(H75)</f>
        <v>2361462</v>
      </c>
      <c r="J75" s="92" t="n">
        <f aca="false">IF(AND(F75="",G75=""),0,N(C75)-N(F75)-N(G75))</f>
        <v>-2000</v>
      </c>
      <c r="K75" s="92" t="n">
        <f aca="false">IF(H75="",0,N(D75)-N(H75))</f>
        <v>38</v>
      </c>
      <c r="L75" s="91" t="n">
        <v>0</v>
      </c>
      <c r="M75" s="91" t="n">
        <v>0</v>
      </c>
      <c r="N75" s="91" t="n">
        <v>0</v>
      </c>
      <c r="O75" s="92" t="n">
        <f aca="false">IF(AND(F75="",G75=""),0,J75-N(L75)-N(M75)-N(N75))</f>
        <v>-2000</v>
      </c>
      <c r="P75" s="92" t="n">
        <f aca="false">K75+O75</f>
        <v>-1962</v>
      </c>
      <c r="Q75" s="85" t="n">
        <f aca="false">E75-P75</f>
        <v>2361462</v>
      </c>
      <c r="R75" s="91" t="n">
        <v>93</v>
      </c>
      <c r="S75" s="91" t="n">
        <v>44</v>
      </c>
      <c r="T75" s="92" t="n">
        <f aca="false">IF(N(S75)=0,"",Q75/S75)</f>
        <v>53669.5909090909</v>
      </c>
      <c r="U75" s="93" t="str">
        <f aca="false">IF(E75=0,"",IF(AND(N(C75)&gt;0,F75="",G75=""),"Belum direalisasi",IF(AND(N(D75)&gt;0,H75=""),"EDC belum settle",IF(ABS(O75)&gt;50000,"Cek selisih tunai","OK"))))</f>
        <v>OK</v>
      </c>
    </row>
    <row r="76" customFormat="false" ht="15" hidden="false" customHeight="false" outlineLevel="0" collapsed="false">
      <c r="A76" s="89" t="n">
        <v>46094</v>
      </c>
      <c r="B76" s="90" t="n">
        <f aca="false">MONTH(A76)</f>
        <v>3</v>
      </c>
      <c r="C76" s="91" t="n">
        <v>802700</v>
      </c>
      <c r="D76" s="91" t="n">
        <v>2931000</v>
      </c>
      <c r="E76" s="92" t="n">
        <f aca="false">N(C76)+N(D76)</f>
        <v>3733700</v>
      </c>
      <c r="F76" s="91" t="n">
        <v>85000</v>
      </c>
      <c r="G76" s="91" t="n">
        <v>494000</v>
      </c>
      <c r="H76" s="91" t="n">
        <v>2931000</v>
      </c>
      <c r="I76" s="92" t="n">
        <f aca="false">N(F76)+N(G76)+N(H76)</f>
        <v>3510000</v>
      </c>
      <c r="J76" s="92" t="n">
        <f aca="false">IF(AND(F76="",G76=""),0,N(C76)-N(F76)-N(G76))</f>
        <v>223700</v>
      </c>
      <c r="K76" s="92" t="n">
        <f aca="false">IF(H76="",0,N(D76)-N(H76))</f>
        <v>0</v>
      </c>
      <c r="L76" s="91" t="n">
        <v>0</v>
      </c>
      <c r="M76" s="91" t="n">
        <v>0</v>
      </c>
      <c r="N76" s="91" t="n">
        <v>223900</v>
      </c>
      <c r="O76" s="92" t="n">
        <f aca="false">IF(AND(F76="",G76=""),0,J76-N(L76)-N(M76)-N(N76))</f>
        <v>-200</v>
      </c>
      <c r="P76" s="92" t="n">
        <f aca="false">K76+O76</f>
        <v>-200</v>
      </c>
      <c r="Q76" s="85" t="n">
        <f aca="false">E76-P76</f>
        <v>3733900</v>
      </c>
      <c r="R76" s="91" t="n">
        <v>144</v>
      </c>
      <c r="S76" s="91" t="n">
        <v>72</v>
      </c>
      <c r="T76" s="92" t="n">
        <f aca="false">IF(N(S76)=0,"",Q76/S76)</f>
        <v>51859.7222222222</v>
      </c>
      <c r="U76" s="93" t="str">
        <f aca="false">IF(E76=0,"",IF(AND(N(C76)&gt;0,F76="",G76=""),"Belum direalisasi",IF(AND(N(D76)&gt;0,H76=""),"EDC belum settle",IF(ABS(O76)&gt;50000,"Cek selisih tunai","OK"))))</f>
        <v>OK</v>
      </c>
    </row>
    <row r="77" customFormat="false" ht="15" hidden="false" customHeight="false" outlineLevel="0" collapsed="false">
      <c r="A77" s="89" t="n">
        <v>46095</v>
      </c>
      <c r="B77" s="90" t="n">
        <f aca="false">MONTH(A77)</f>
        <v>3</v>
      </c>
      <c r="C77" s="91" t="n">
        <v>1126000</v>
      </c>
      <c r="D77" s="91" t="n">
        <v>2915500</v>
      </c>
      <c r="E77" s="92" t="n">
        <f aca="false">N(C77)+N(D77)</f>
        <v>4041500</v>
      </c>
      <c r="F77" s="91" t="n">
        <v>131000</v>
      </c>
      <c r="G77" s="91" t="n">
        <v>941000</v>
      </c>
      <c r="H77" s="91" t="n">
        <v>2915500</v>
      </c>
      <c r="I77" s="92" t="n">
        <f aca="false">N(F77)+N(G77)+N(H77)</f>
        <v>3987500</v>
      </c>
      <c r="J77" s="92" t="n">
        <f aca="false">IF(AND(F77="",G77=""),0,N(C77)-N(F77)-N(G77))</f>
        <v>54000</v>
      </c>
      <c r="K77" s="92" t="n">
        <f aca="false">IF(H77="",0,N(D77)-N(H77))</f>
        <v>0</v>
      </c>
      <c r="L77" s="91" t="n">
        <v>29700</v>
      </c>
      <c r="M77" s="91" t="n">
        <v>0</v>
      </c>
      <c r="N77" s="91" t="n">
        <v>24300</v>
      </c>
      <c r="O77" s="92" t="n">
        <f aca="false">IF(AND(F77="",G77=""),0,J77-N(L77)-N(M77)-N(N77))</f>
        <v>0</v>
      </c>
      <c r="P77" s="92" t="n">
        <f aca="false">K77+O77</f>
        <v>0</v>
      </c>
      <c r="Q77" s="85" t="n">
        <f aca="false">E77-P77</f>
        <v>4041500</v>
      </c>
      <c r="R77" s="91" t="n">
        <v>149</v>
      </c>
      <c r="S77" s="91" t="n">
        <v>84</v>
      </c>
      <c r="T77" s="92" t="n">
        <f aca="false">IF(N(S77)=0,"",Q77/S77)</f>
        <v>48113.0952380952</v>
      </c>
      <c r="U77" s="93" t="str">
        <f aca="false">IF(E77=0,"",IF(AND(N(C77)&gt;0,F77="",G77=""),"Belum direalisasi",IF(AND(N(D77)&gt;0,H77=""),"EDC belum settle",IF(ABS(O77)&gt;50000,"Cek selisih tunai","OK"))))</f>
        <v>OK</v>
      </c>
    </row>
    <row r="78" customFormat="false" ht="15" hidden="false" customHeight="false" outlineLevel="0" collapsed="false">
      <c r="A78" s="89" t="n">
        <v>46096</v>
      </c>
      <c r="B78" s="90" t="n">
        <f aca="false">MONTH(A78)</f>
        <v>3</v>
      </c>
      <c r="C78" s="91" t="n">
        <v>1392450</v>
      </c>
      <c r="D78" s="91" t="n">
        <v>2683300</v>
      </c>
      <c r="E78" s="92" t="n">
        <f aca="false">N(C78)+N(D78)</f>
        <v>4075750</v>
      </c>
      <c r="F78" s="91" t="n">
        <v>115000</v>
      </c>
      <c r="G78" s="91" t="n">
        <v>1277000</v>
      </c>
      <c r="H78" s="91" t="n">
        <v>2683173</v>
      </c>
      <c r="I78" s="92" t="n">
        <f aca="false">N(F78)+N(G78)+N(H78)</f>
        <v>4075173</v>
      </c>
      <c r="J78" s="92" t="n">
        <f aca="false">IF(AND(F78="",G78=""),0,N(C78)-N(F78)-N(G78))</f>
        <v>450</v>
      </c>
      <c r="K78" s="92" t="n">
        <f aca="false">IF(H78="",0,N(D78)-N(H78))</f>
        <v>127</v>
      </c>
      <c r="L78" s="91" t="n">
        <v>0</v>
      </c>
      <c r="M78" s="91" t="n">
        <v>0</v>
      </c>
      <c r="N78" s="91" t="n">
        <v>0</v>
      </c>
      <c r="O78" s="92" t="n">
        <f aca="false">IF(AND(F78="",G78=""),0,J78-N(L78)-N(M78)-N(N78))</f>
        <v>450</v>
      </c>
      <c r="P78" s="92" t="n">
        <f aca="false">K78+O78</f>
        <v>577</v>
      </c>
      <c r="Q78" s="85" t="n">
        <f aca="false">E78-P78</f>
        <v>4075173</v>
      </c>
      <c r="R78" s="91" t="n">
        <v>155</v>
      </c>
      <c r="S78" s="91" t="n">
        <v>89</v>
      </c>
      <c r="T78" s="92" t="n">
        <f aca="false">IF(N(S78)=0,"",Q78/S78)</f>
        <v>45788.4606741573</v>
      </c>
      <c r="U78" s="93" t="str">
        <f aca="false">IF(E78=0,"",IF(AND(N(C78)&gt;0,F78="",G78=""),"Belum direalisasi",IF(AND(N(D78)&gt;0,H78=""),"EDC belum settle",IF(ABS(O78)&gt;50000,"Cek selisih tunai","OK"))))</f>
        <v>OK</v>
      </c>
    </row>
    <row r="79" customFormat="false" ht="15" hidden="false" customHeight="false" outlineLevel="0" collapsed="false">
      <c r="A79" s="89" t="n">
        <v>46097</v>
      </c>
      <c r="B79" s="90" t="n">
        <f aca="false">MONTH(A79)</f>
        <v>3</v>
      </c>
      <c r="C79" s="91" t="n">
        <v>848700</v>
      </c>
      <c r="D79" s="91" t="n">
        <v>1920150</v>
      </c>
      <c r="E79" s="92" t="n">
        <f aca="false">N(C79)+N(D79)</f>
        <v>2768850</v>
      </c>
      <c r="F79" s="91" t="n">
        <v>51000</v>
      </c>
      <c r="G79" s="91" t="n">
        <v>729000</v>
      </c>
      <c r="H79" s="91" t="n">
        <v>1920118</v>
      </c>
      <c r="I79" s="92" t="n">
        <f aca="false">N(F79)+N(G79)+N(H79)</f>
        <v>2700118</v>
      </c>
      <c r="J79" s="92" t="n">
        <f aca="false">IF(AND(F79="",G79=""),0,N(C79)-N(F79)-N(G79))</f>
        <v>68700</v>
      </c>
      <c r="K79" s="92" t="n">
        <f aca="false">IF(H79="",0,N(D79)-N(H79))</f>
        <v>32</v>
      </c>
      <c r="L79" s="91" t="n">
        <v>48700</v>
      </c>
      <c r="M79" s="91" t="n">
        <v>0</v>
      </c>
      <c r="N79" s="91" t="n">
        <v>45000</v>
      </c>
      <c r="O79" s="92" t="n">
        <f aca="false">IF(AND(F79="",G79=""),0,J79-N(L79)-N(M79)-N(N79))</f>
        <v>-25000</v>
      </c>
      <c r="P79" s="92" t="n">
        <f aca="false">K79+O79</f>
        <v>-24968</v>
      </c>
      <c r="Q79" s="85" t="n">
        <f aca="false">E79-P79</f>
        <v>2793818</v>
      </c>
      <c r="R79" s="91" t="n">
        <v>105</v>
      </c>
      <c r="S79" s="91" t="n">
        <v>72</v>
      </c>
      <c r="T79" s="92" t="n">
        <f aca="false">IF(N(S79)=0,"",Q79/S79)</f>
        <v>38803.0277777778</v>
      </c>
      <c r="U79" s="93" t="str">
        <f aca="false">IF(E79=0,"",IF(AND(N(C79)&gt;0,F79="",G79=""),"Belum direalisasi",IF(AND(N(D79)&gt;0,H79=""),"EDC belum settle",IF(ABS(O79)&gt;50000,"Cek selisih tunai","OK"))))</f>
        <v>OK</v>
      </c>
    </row>
    <row r="80" customFormat="false" ht="15" hidden="false" customHeight="false" outlineLevel="0" collapsed="false">
      <c r="A80" s="89" t="n">
        <v>46098</v>
      </c>
      <c r="B80" s="90" t="n">
        <f aca="false">MONTH(A80)</f>
        <v>3</v>
      </c>
      <c r="C80" s="91" t="n">
        <v>1345800</v>
      </c>
      <c r="D80" s="91" t="n">
        <v>3483950</v>
      </c>
      <c r="E80" s="92" t="n">
        <f aca="false">N(C80)+N(D80)</f>
        <v>4829750</v>
      </c>
      <c r="F80" s="91" t="n">
        <v>0</v>
      </c>
      <c r="G80" s="91" t="n">
        <v>1124000</v>
      </c>
      <c r="H80" s="91" t="n">
        <v>3483950</v>
      </c>
      <c r="I80" s="92" t="n">
        <f aca="false">N(F80)+N(G80)+N(H80)</f>
        <v>4607950</v>
      </c>
      <c r="J80" s="92" t="n">
        <f aca="false">IF(AND(F80="",G80=""),0,N(C80)-N(F80)-N(G80))</f>
        <v>221800</v>
      </c>
      <c r="K80" s="92" t="n">
        <f aca="false">IF(H80="",0,N(D80)-N(H80))</f>
        <v>0</v>
      </c>
      <c r="L80" s="91" t="n">
        <v>0</v>
      </c>
      <c r="M80" s="91" t="n">
        <v>107500</v>
      </c>
      <c r="N80" s="91" t="n">
        <v>114300</v>
      </c>
      <c r="O80" s="92" t="n">
        <f aca="false">IF(AND(F80="",G80=""),0,J80-N(L80)-N(M80)-N(N80))</f>
        <v>0</v>
      </c>
      <c r="P80" s="92" t="n">
        <f aca="false">K80+O80</f>
        <v>0</v>
      </c>
      <c r="Q80" s="85" t="n">
        <f aca="false">E80-P80</f>
        <v>4829750</v>
      </c>
      <c r="R80" s="91" t="n">
        <v>191</v>
      </c>
      <c r="S80" s="91" t="n">
        <v>89</v>
      </c>
      <c r="T80" s="92" t="n">
        <f aca="false">IF(N(S80)=0,"",Q80/S80)</f>
        <v>54266.8539325843</v>
      </c>
      <c r="U80" s="93" t="str">
        <f aca="false">IF(E80=0,"",IF(AND(N(C80)&gt;0,F80="",G80=""),"Belum direalisasi",IF(AND(N(D80)&gt;0,H80=""),"EDC belum settle",IF(ABS(O80)&gt;50000,"Cek selisih tunai","OK"))))</f>
        <v>OK</v>
      </c>
    </row>
    <row r="81" customFormat="false" ht="15" hidden="false" customHeight="false" outlineLevel="0" collapsed="false">
      <c r="A81" s="89" t="n">
        <v>46099</v>
      </c>
      <c r="B81" s="90" t="n">
        <f aca="false">MONTH(A81)</f>
        <v>3</v>
      </c>
      <c r="C81" s="91" t="n">
        <v>1444000</v>
      </c>
      <c r="D81" s="91" t="n">
        <v>2539550</v>
      </c>
      <c r="E81" s="92" t="n">
        <f aca="false">N(C81)+N(D81)</f>
        <v>3983550</v>
      </c>
      <c r="F81" s="91" t="n">
        <v>37000</v>
      </c>
      <c r="G81" s="91" t="n">
        <v>1388000</v>
      </c>
      <c r="H81" s="91" t="n">
        <v>2538200</v>
      </c>
      <c r="I81" s="92" t="n">
        <f aca="false">N(F81)+N(G81)+N(H81)</f>
        <v>3963200</v>
      </c>
      <c r="J81" s="92" t="n">
        <f aca="false">IF(AND(F81="",G81=""),0,N(C81)-N(F81)-N(G81))</f>
        <v>19000</v>
      </c>
      <c r="K81" s="92" t="n">
        <f aca="false">IF(H81="",0,N(D81)-N(H81))</f>
        <v>1350</v>
      </c>
      <c r="L81" s="91" t="n">
        <v>19000</v>
      </c>
      <c r="M81" s="91" t="n">
        <v>0</v>
      </c>
      <c r="N81" s="91" t="n">
        <v>0</v>
      </c>
      <c r="O81" s="92" t="n">
        <f aca="false">IF(AND(F81="",G81=""),0,J81-N(L81)-N(M81)-N(N81))</f>
        <v>0</v>
      </c>
      <c r="P81" s="92" t="n">
        <f aca="false">K81+O81</f>
        <v>1350</v>
      </c>
      <c r="Q81" s="85" t="n">
        <f aca="false">E81-P81</f>
        <v>3982200</v>
      </c>
      <c r="R81" s="91" t="n">
        <v>149</v>
      </c>
      <c r="S81" s="91" t="n">
        <v>78</v>
      </c>
      <c r="T81" s="92" t="n">
        <f aca="false">IF(N(S81)=0,"",Q81/S81)</f>
        <v>51053.8461538462</v>
      </c>
      <c r="U81" s="93" t="str">
        <f aca="false">IF(E81=0,"",IF(AND(N(C81)&gt;0,F81="",G81=""),"Belum direalisasi",IF(AND(N(D81)&gt;0,H81=""),"EDC belum settle",IF(ABS(O81)&gt;50000,"Cek selisih tunai","OK"))))</f>
        <v>OK</v>
      </c>
    </row>
    <row r="82" customFormat="false" ht="15" hidden="false" customHeight="false" outlineLevel="0" collapsed="false">
      <c r="A82" s="89" t="n">
        <v>46100</v>
      </c>
      <c r="B82" s="90" t="n">
        <f aca="false">MONTH(A82)</f>
        <v>3</v>
      </c>
      <c r="C82" s="91" t="n">
        <v>1465200</v>
      </c>
      <c r="D82" s="91" t="n">
        <v>2058100</v>
      </c>
      <c r="E82" s="92" t="n">
        <f aca="false">N(C82)+N(D82)</f>
        <v>3523300</v>
      </c>
      <c r="F82" s="91" t="n">
        <v>10000</v>
      </c>
      <c r="G82" s="91" t="n">
        <v>1392000</v>
      </c>
      <c r="H82" s="91" t="n">
        <v>2058100</v>
      </c>
      <c r="I82" s="92" t="n">
        <f aca="false">N(F82)+N(G82)+N(H82)</f>
        <v>3460100</v>
      </c>
      <c r="J82" s="92" t="n">
        <f aca="false">IF(AND(F82="",G82=""),0,N(C82)-N(F82)-N(G82))</f>
        <v>63200</v>
      </c>
      <c r="K82" s="92" t="n">
        <f aca="false">IF(H82="",0,N(D82)-N(H82))</f>
        <v>0</v>
      </c>
      <c r="L82" s="91" t="n">
        <v>0</v>
      </c>
      <c r="M82" s="91" t="n">
        <v>0</v>
      </c>
      <c r="N82" s="91" t="n">
        <v>64000</v>
      </c>
      <c r="O82" s="92" t="n">
        <f aca="false">IF(AND(F82="",G82=""),0,J82-N(L82)-N(M82)-N(N82))</f>
        <v>-800</v>
      </c>
      <c r="P82" s="92" t="n">
        <f aca="false">K82+O82</f>
        <v>-800</v>
      </c>
      <c r="Q82" s="85" t="n">
        <f aca="false">E82-P82</f>
        <v>3524100</v>
      </c>
      <c r="R82" s="91" t="n">
        <v>140</v>
      </c>
      <c r="S82" s="91" t="n">
        <v>66</v>
      </c>
      <c r="T82" s="92" t="n">
        <f aca="false">IF(N(S82)=0,"",Q82/S82)</f>
        <v>53395.4545454545</v>
      </c>
      <c r="U82" s="93" t="str">
        <f aca="false">IF(E82=0,"",IF(AND(N(C82)&gt;0,F82="",G82=""),"Belum direalisasi",IF(AND(N(D82)&gt;0,H82=""),"EDC belum settle",IF(ABS(O82)&gt;50000,"Cek selisih tunai","OK"))))</f>
        <v>OK</v>
      </c>
    </row>
    <row r="83" customFormat="false" ht="15" hidden="false" customHeight="false" outlineLevel="0" collapsed="false">
      <c r="A83" s="89" t="n">
        <v>46101</v>
      </c>
      <c r="B83" s="90" t="n">
        <f aca="false">MONTH(A83)</f>
        <v>3</v>
      </c>
      <c r="C83" s="91" t="n">
        <v>0</v>
      </c>
      <c r="D83" s="91" t="n">
        <v>0</v>
      </c>
      <c r="E83" s="92" t="n">
        <f aca="false">N(C83)+N(D83)</f>
        <v>0</v>
      </c>
      <c r="F83" s="91" t="n">
        <v>0</v>
      </c>
      <c r="G83" s="91" t="n">
        <v>0</v>
      </c>
      <c r="H83" s="91" t="n">
        <v>0</v>
      </c>
      <c r="I83" s="92" t="n">
        <f aca="false">N(F83)+N(G83)+N(H83)</f>
        <v>0</v>
      </c>
      <c r="J83" s="92" t="n">
        <f aca="false">IF(AND(F83="",G83=""),0,N(C83)-N(F83)-N(G83))</f>
        <v>0</v>
      </c>
      <c r="K83" s="92" t="n">
        <f aca="false">IF(H83="",0,N(D83)-N(H83))</f>
        <v>0</v>
      </c>
      <c r="L83" s="91" t="n">
        <v>0</v>
      </c>
      <c r="M83" s="91" t="n">
        <v>0</v>
      </c>
      <c r="N83" s="91" t="n">
        <v>0</v>
      </c>
      <c r="O83" s="92" t="n">
        <f aca="false">IF(AND(F83="",G83=""),0,J83-N(L83)-N(M83)-N(N83))</f>
        <v>0</v>
      </c>
      <c r="P83" s="92" t="n">
        <f aca="false">K83+O83</f>
        <v>0</v>
      </c>
      <c r="Q83" s="85" t="n">
        <f aca="false">E83-P83</f>
        <v>0</v>
      </c>
      <c r="R83" s="91" t="n">
        <v>0</v>
      </c>
      <c r="S83" s="91" t="n">
        <v>0</v>
      </c>
      <c r="T83" s="92" t="str">
        <f aca="false">IF(N(S83)=0,"",Q83/S83)</f>
        <v/>
      </c>
      <c r="U83" s="93" t="str">
        <f aca="false">IF(E83=0,"",IF(AND(N(C83)&gt;0,F83="",G83=""),"Belum direalisasi",IF(AND(N(D83)&gt;0,H83=""),"EDC belum settle",IF(ABS(O83)&gt;50000,"Cek selisih tunai","OK"))))</f>
        <v/>
      </c>
    </row>
    <row r="84" customFormat="false" ht="15" hidden="false" customHeight="false" outlineLevel="0" collapsed="false">
      <c r="A84" s="89" t="n">
        <v>46102</v>
      </c>
      <c r="B84" s="90" t="n">
        <f aca="false">MONTH(A84)</f>
        <v>3</v>
      </c>
      <c r="C84" s="91" t="n">
        <v>0</v>
      </c>
      <c r="D84" s="91" t="n">
        <v>0</v>
      </c>
      <c r="E84" s="92" t="n">
        <f aca="false">N(C84)+N(D84)</f>
        <v>0</v>
      </c>
      <c r="F84" s="91" t="n">
        <v>0</v>
      </c>
      <c r="G84" s="91" t="n">
        <v>0</v>
      </c>
      <c r="H84" s="91" t="n">
        <v>0</v>
      </c>
      <c r="I84" s="92" t="n">
        <f aca="false">N(F84)+N(G84)+N(H84)</f>
        <v>0</v>
      </c>
      <c r="J84" s="92" t="n">
        <f aca="false">IF(AND(F84="",G84=""),0,N(C84)-N(F84)-N(G84))</f>
        <v>0</v>
      </c>
      <c r="K84" s="92" t="n">
        <f aca="false">IF(H84="",0,N(D84)-N(H84))</f>
        <v>0</v>
      </c>
      <c r="L84" s="91" t="n">
        <v>0</v>
      </c>
      <c r="M84" s="91" t="n">
        <v>0</v>
      </c>
      <c r="N84" s="91" t="n">
        <v>0</v>
      </c>
      <c r="O84" s="92" t="n">
        <f aca="false">IF(AND(F84="",G84=""),0,J84-N(L84)-N(M84)-N(N84))</f>
        <v>0</v>
      </c>
      <c r="P84" s="92" t="n">
        <f aca="false">K84+O84</f>
        <v>0</v>
      </c>
      <c r="Q84" s="85" t="n">
        <f aca="false">E84-P84</f>
        <v>0</v>
      </c>
      <c r="R84" s="91" t="n">
        <v>0</v>
      </c>
      <c r="S84" s="91" t="n">
        <v>0</v>
      </c>
      <c r="T84" s="92" t="str">
        <f aca="false">IF(N(S84)=0,"",Q84/S84)</f>
        <v/>
      </c>
      <c r="U84" s="93" t="str">
        <f aca="false">IF(E84=0,"",IF(AND(N(C84)&gt;0,F84="",G84=""),"Belum direalisasi",IF(AND(N(D84)&gt;0,H84=""),"EDC belum settle",IF(ABS(O84)&gt;50000,"Cek selisih tunai","OK"))))</f>
        <v/>
      </c>
    </row>
    <row r="85" customFormat="false" ht="15" hidden="false" customHeight="false" outlineLevel="0" collapsed="false">
      <c r="A85" s="89" t="n">
        <v>46103</v>
      </c>
      <c r="B85" s="90" t="n">
        <f aca="false">MONTH(A85)</f>
        <v>3</v>
      </c>
      <c r="C85" s="91" t="n">
        <v>1736000</v>
      </c>
      <c r="D85" s="91" t="n">
        <v>2514600</v>
      </c>
      <c r="E85" s="92" t="n">
        <f aca="false">N(C85)+N(D85)</f>
        <v>4250600</v>
      </c>
      <c r="F85" s="91" t="n">
        <v>0</v>
      </c>
      <c r="G85" s="91" t="n">
        <v>1736000</v>
      </c>
      <c r="H85" s="91" t="n">
        <v>2514600</v>
      </c>
      <c r="I85" s="92" t="n">
        <f aca="false">N(F85)+N(G85)+N(H85)</f>
        <v>4250600</v>
      </c>
      <c r="J85" s="92" t="n">
        <f aca="false">IF(AND(F85="",G85=""),0,N(C85)-N(F85)-N(G85))</f>
        <v>0</v>
      </c>
      <c r="K85" s="92" t="n">
        <f aca="false">IF(H85="",0,N(D85)-N(H85))</f>
        <v>0</v>
      </c>
      <c r="L85" s="91" t="n">
        <v>0</v>
      </c>
      <c r="M85" s="91" t="n">
        <v>0</v>
      </c>
      <c r="N85" s="91" t="n">
        <v>0</v>
      </c>
      <c r="O85" s="92" t="n">
        <f aca="false">IF(AND(F85="",G85=""),0,J85-N(L85)-N(M85)-N(N85))</f>
        <v>0</v>
      </c>
      <c r="P85" s="92" t="n">
        <f aca="false">K85+O85</f>
        <v>0</v>
      </c>
      <c r="Q85" s="85" t="n">
        <f aca="false">E85-P85</f>
        <v>4250600</v>
      </c>
      <c r="R85" s="91" t="n">
        <v>154</v>
      </c>
      <c r="S85" s="91" t="n">
        <v>79</v>
      </c>
      <c r="T85" s="92" t="n">
        <f aca="false">IF(N(S85)=0,"",Q85/S85)</f>
        <v>53805.0632911392</v>
      </c>
      <c r="U85" s="93" t="str">
        <f aca="false">IF(E85=0,"",IF(AND(N(C85)&gt;0,F85="",G85=""),"Belum direalisasi",IF(AND(N(D85)&gt;0,H85=""),"EDC belum settle",IF(ABS(O85)&gt;50000,"Cek selisih tunai","OK"))))</f>
        <v>OK</v>
      </c>
    </row>
    <row r="86" customFormat="false" ht="15" hidden="false" customHeight="false" outlineLevel="0" collapsed="false">
      <c r="A86" s="89" t="n">
        <v>46104</v>
      </c>
      <c r="B86" s="90" t="n">
        <f aca="false">MONTH(A86)</f>
        <v>3</v>
      </c>
      <c r="C86" s="91" t="n">
        <v>1685100</v>
      </c>
      <c r="D86" s="91" t="n">
        <v>3141100</v>
      </c>
      <c r="E86" s="92" t="n">
        <f aca="false">N(C86)+N(D86)</f>
        <v>4826200</v>
      </c>
      <c r="F86" s="91" t="n">
        <v>0</v>
      </c>
      <c r="G86" s="91" t="n">
        <v>1417000</v>
      </c>
      <c r="H86" s="91" t="n">
        <v>3140988</v>
      </c>
      <c r="I86" s="92" t="n">
        <f aca="false">N(F86)+N(G86)+N(H86)</f>
        <v>4557988</v>
      </c>
      <c r="J86" s="92" t="n">
        <f aca="false">IF(AND(F86="",G86=""),0,N(C86)-N(F86)-N(G86))</f>
        <v>268100</v>
      </c>
      <c r="K86" s="92" t="n">
        <f aca="false">IF(H86="",0,N(D86)-N(H86))</f>
        <v>112</v>
      </c>
      <c r="L86" s="91" t="n">
        <v>0</v>
      </c>
      <c r="M86" s="91" t="n">
        <v>0</v>
      </c>
      <c r="N86" s="91" t="n">
        <v>268100</v>
      </c>
      <c r="O86" s="92" t="n">
        <f aca="false">IF(AND(F86="",G86=""),0,J86-N(L86)-N(M86)-N(N86))</f>
        <v>0</v>
      </c>
      <c r="P86" s="92" t="n">
        <f aca="false">K86+O86</f>
        <v>112</v>
      </c>
      <c r="Q86" s="85" t="n">
        <f aca="false">E86-P86</f>
        <v>4826088</v>
      </c>
      <c r="R86" s="91" t="n">
        <v>186</v>
      </c>
      <c r="S86" s="91" t="n">
        <v>81</v>
      </c>
      <c r="T86" s="92" t="n">
        <f aca="false">IF(N(S86)=0,"",Q86/S86)</f>
        <v>59581.3333333333</v>
      </c>
      <c r="U86" s="93" t="str">
        <f aca="false">IF(E86=0,"",IF(AND(N(C86)&gt;0,F86="",G86=""),"Belum direalisasi",IF(AND(N(D86)&gt;0,H86=""),"EDC belum settle",IF(ABS(O86)&gt;50000,"Cek selisih tunai","OK"))))</f>
        <v>OK</v>
      </c>
    </row>
    <row r="87" customFormat="false" ht="15" hidden="false" customHeight="false" outlineLevel="0" collapsed="false">
      <c r="A87" s="89" t="n">
        <v>46105</v>
      </c>
      <c r="B87" s="90" t="n">
        <f aca="false">MONTH(A87)</f>
        <v>3</v>
      </c>
      <c r="C87" s="91" t="n">
        <v>2344900</v>
      </c>
      <c r="D87" s="91" t="n">
        <v>4708800</v>
      </c>
      <c r="E87" s="92" t="n">
        <f aca="false">N(C87)+N(D87)</f>
        <v>7053700</v>
      </c>
      <c r="F87" s="91" t="n">
        <v>291000</v>
      </c>
      <c r="G87" s="91" t="n">
        <v>2054000</v>
      </c>
      <c r="H87" s="91" t="n">
        <v>4708560</v>
      </c>
      <c r="I87" s="92" t="n">
        <f aca="false">N(F87)+N(G87)+N(H87)</f>
        <v>7053560</v>
      </c>
      <c r="J87" s="92" t="n">
        <f aca="false">IF(AND(F87="",G87=""),0,N(C87)-N(F87)-N(G87))</f>
        <v>-100</v>
      </c>
      <c r="K87" s="92" t="n">
        <f aca="false">IF(H87="",0,N(D87)-N(H87))</f>
        <v>240</v>
      </c>
      <c r="L87" s="91" t="n">
        <v>0</v>
      </c>
      <c r="M87" s="91" t="n">
        <v>0</v>
      </c>
      <c r="N87" s="91" t="n">
        <v>0</v>
      </c>
      <c r="O87" s="92" t="n">
        <f aca="false">IF(AND(F87="",G87=""),0,J87-N(L87)-N(M87)-N(N87))</f>
        <v>-100</v>
      </c>
      <c r="P87" s="92" t="n">
        <f aca="false">K87+O87</f>
        <v>140</v>
      </c>
      <c r="Q87" s="85" t="n">
        <f aca="false">E87-P87</f>
        <v>7053560</v>
      </c>
      <c r="R87" s="91" t="n">
        <v>268</v>
      </c>
      <c r="S87" s="91" t="n">
        <v>133</v>
      </c>
      <c r="T87" s="92" t="n">
        <f aca="false">IF(N(S87)=0,"",Q87/S87)</f>
        <v>53034.2857142857</v>
      </c>
      <c r="U87" s="93" t="str">
        <f aca="false">IF(E87=0,"",IF(AND(N(C87)&gt;0,F87="",G87=""),"Belum direalisasi",IF(AND(N(D87)&gt;0,H87=""),"EDC belum settle",IF(ABS(O87)&gt;50000,"Cek selisih tunai","OK"))))</f>
        <v>OK</v>
      </c>
    </row>
    <row r="88" customFormat="false" ht="15" hidden="false" customHeight="false" outlineLevel="0" collapsed="false">
      <c r="A88" s="89" t="n">
        <v>46106</v>
      </c>
      <c r="B88" s="90" t="n">
        <f aca="false">MONTH(A88)</f>
        <v>3</v>
      </c>
      <c r="C88" s="91" t="n">
        <v>1141000</v>
      </c>
      <c r="D88" s="91" t="n">
        <v>2064300</v>
      </c>
      <c r="E88" s="92" t="n">
        <f aca="false">N(C88)+N(D88)</f>
        <v>3205300</v>
      </c>
      <c r="F88" s="91" t="n">
        <v>559000</v>
      </c>
      <c r="G88" s="91" t="n">
        <v>582000</v>
      </c>
      <c r="H88" s="91" t="n">
        <v>2064300</v>
      </c>
      <c r="I88" s="92" t="n">
        <f aca="false">N(F88)+N(G88)+N(H88)</f>
        <v>3205300</v>
      </c>
      <c r="J88" s="92" t="n">
        <f aca="false">IF(AND(F88="",G88=""),0,N(C88)-N(F88)-N(G88))</f>
        <v>0</v>
      </c>
      <c r="K88" s="92" t="n">
        <f aca="false">IF(H88="",0,N(D88)-N(H88))</f>
        <v>0</v>
      </c>
      <c r="L88" s="91" t="n">
        <v>0</v>
      </c>
      <c r="M88" s="91" t="n">
        <v>0</v>
      </c>
      <c r="N88" s="91" t="n">
        <v>0</v>
      </c>
      <c r="O88" s="92" t="n">
        <f aca="false">IF(AND(F88="",G88=""),0,J88-N(L88)-N(M88)-N(N88))</f>
        <v>0</v>
      </c>
      <c r="P88" s="92" t="n">
        <f aca="false">K88+O88</f>
        <v>0</v>
      </c>
      <c r="Q88" s="85" t="n">
        <f aca="false">E88-P88</f>
        <v>3205300</v>
      </c>
      <c r="R88" s="91" t="n">
        <v>119</v>
      </c>
      <c r="S88" s="91" t="n">
        <v>65</v>
      </c>
      <c r="T88" s="92" t="n">
        <f aca="false">IF(N(S88)=0,"",Q88/S88)</f>
        <v>49312.3076923077</v>
      </c>
      <c r="U88" s="93" t="str">
        <f aca="false">IF(E88=0,"",IF(AND(N(C88)&gt;0,F88="",G88=""),"Belum direalisasi",IF(AND(N(D88)&gt;0,H88=""),"EDC belum settle",IF(ABS(O88)&gt;50000,"Cek selisih tunai","OK"))))</f>
        <v>OK</v>
      </c>
    </row>
    <row r="89" customFormat="false" ht="15" hidden="false" customHeight="false" outlineLevel="0" collapsed="false">
      <c r="A89" s="89" t="n">
        <v>46107</v>
      </c>
      <c r="B89" s="90" t="n">
        <f aca="false">MONTH(A89)</f>
        <v>3</v>
      </c>
      <c r="C89" s="91" t="n">
        <v>1225250</v>
      </c>
      <c r="D89" s="91" t="n">
        <v>2893000</v>
      </c>
      <c r="E89" s="92" t="n">
        <f aca="false">N(C89)+N(D89)</f>
        <v>4118250</v>
      </c>
      <c r="F89" s="91" t="n">
        <v>362500</v>
      </c>
      <c r="G89" s="91" t="n">
        <v>863000</v>
      </c>
      <c r="H89" s="91" t="n">
        <v>2893000</v>
      </c>
      <c r="I89" s="92" t="n">
        <f aca="false">N(F89)+N(G89)+N(H89)</f>
        <v>4118500</v>
      </c>
      <c r="J89" s="92" t="n">
        <f aca="false">IF(AND(F89="",G89=""),0,N(C89)-N(F89)-N(G89))</f>
        <v>-250</v>
      </c>
      <c r="K89" s="92" t="n">
        <f aca="false">IF(H89="",0,N(D89)-N(H89))</f>
        <v>0</v>
      </c>
      <c r="L89" s="91" t="n">
        <v>0</v>
      </c>
      <c r="M89" s="91" t="n">
        <v>0</v>
      </c>
      <c r="N89" s="91" t="n">
        <v>0</v>
      </c>
      <c r="O89" s="92" t="n">
        <f aca="false">IF(AND(F89="",G89=""),0,J89-N(L89)-N(M89)-N(N89))</f>
        <v>-250</v>
      </c>
      <c r="P89" s="92" t="n">
        <f aca="false">K89+O89</f>
        <v>-250</v>
      </c>
      <c r="Q89" s="85" t="n">
        <f aca="false">E89-P89</f>
        <v>4118500</v>
      </c>
      <c r="R89" s="91" t="n">
        <v>159</v>
      </c>
      <c r="S89" s="91" t="n">
        <v>76</v>
      </c>
      <c r="T89" s="92" t="n">
        <f aca="false">IF(N(S89)=0,"",Q89/S89)</f>
        <v>54190.7894736842</v>
      </c>
      <c r="U89" s="93" t="str">
        <f aca="false">IF(E89=0,"",IF(AND(N(C89)&gt;0,F89="",G89=""),"Belum direalisasi",IF(AND(N(D89)&gt;0,H89=""),"EDC belum settle",IF(ABS(O89)&gt;50000,"Cek selisih tunai","OK"))))</f>
        <v>OK</v>
      </c>
    </row>
    <row r="90" customFormat="false" ht="15" hidden="false" customHeight="false" outlineLevel="0" collapsed="false">
      <c r="A90" s="89" t="n">
        <v>46108</v>
      </c>
      <c r="B90" s="90" t="n">
        <f aca="false">MONTH(A90)</f>
        <v>3</v>
      </c>
      <c r="C90" s="91" t="n">
        <v>1857300</v>
      </c>
      <c r="D90" s="91" t="n">
        <v>2026100</v>
      </c>
      <c r="E90" s="92" t="n">
        <f aca="false">N(C90)+N(D90)</f>
        <v>3883400</v>
      </c>
      <c r="F90" s="91" t="n">
        <v>154000</v>
      </c>
      <c r="G90" s="91" t="n">
        <v>1544000</v>
      </c>
      <c r="H90" s="91" t="n">
        <v>2026100</v>
      </c>
      <c r="I90" s="92" t="n">
        <f aca="false">N(F90)+N(G90)+N(H90)</f>
        <v>3724100</v>
      </c>
      <c r="J90" s="92" t="n">
        <f aca="false">IF(AND(F90="",G90=""),0,N(C90)-N(F90)-N(G90))</f>
        <v>159300</v>
      </c>
      <c r="K90" s="92" t="n">
        <f aca="false">IF(H90="",0,N(D90)-N(H90))</f>
        <v>0</v>
      </c>
      <c r="L90" s="91" t="n">
        <v>0</v>
      </c>
      <c r="M90" s="91" t="n">
        <v>136800</v>
      </c>
      <c r="N90" s="91" t="n">
        <v>22500</v>
      </c>
      <c r="O90" s="92" t="n">
        <f aca="false">IF(AND(F90="",G90=""),0,J90-N(L90)-N(M90)-N(N90))</f>
        <v>0</v>
      </c>
      <c r="P90" s="92" t="n">
        <f aca="false">K90+O90</f>
        <v>0</v>
      </c>
      <c r="Q90" s="85" t="n">
        <f aca="false">E90-P90</f>
        <v>3883400</v>
      </c>
      <c r="R90" s="91" t="n">
        <v>146</v>
      </c>
      <c r="S90" s="91" t="n">
        <v>78</v>
      </c>
      <c r="T90" s="92" t="n">
        <f aca="false">IF(N(S90)=0,"",Q90/S90)</f>
        <v>49787.1794871795</v>
      </c>
      <c r="U90" s="93" t="str">
        <f aca="false">IF(E90=0,"",IF(AND(N(C90)&gt;0,F90="",G90=""),"Belum direalisasi",IF(AND(N(D90)&gt;0,H90=""),"EDC belum settle",IF(ABS(O90)&gt;50000,"Cek selisih tunai","OK"))))</f>
        <v>OK</v>
      </c>
    </row>
    <row r="91" customFormat="false" ht="15" hidden="false" customHeight="false" outlineLevel="0" collapsed="false">
      <c r="A91" s="89" t="n">
        <v>46109</v>
      </c>
      <c r="B91" s="90" t="n">
        <f aca="false">MONTH(A91)</f>
        <v>3</v>
      </c>
      <c r="C91" s="91" t="n">
        <v>1711100</v>
      </c>
      <c r="D91" s="91" t="n">
        <v>2557350</v>
      </c>
      <c r="E91" s="92" t="n">
        <f aca="false">N(C91)+N(D91)</f>
        <v>4268450</v>
      </c>
      <c r="F91" s="91" t="n">
        <v>188000</v>
      </c>
      <c r="G91" s="91" t="n">
        <v>1369000</v>
      </c>
      <c r="H91" s="91" t="n">
        <v>2557350</v>
      </c>
      <c r="I91" s="92" t="n">
        <f aca="false">N(F91)+N(G91)+N(H91)</f>
        <v>4114350</v>
      </c>
      <c r="J91" s="92" t="n">
        <f aca="false">IF(AND(F91="",G91=""),0,N(C91)-N(F91)-N(G91))</f>
        <v>154100</v>
      </c>
      <c r="K91" s="92" t="n">
        <f aca="false">IF(H91="",0,N(D91)-N(H91))</f>
        <v>0</v>
      </c>
      <c r="L91" s="91" t="n">
        <v>84300</v>
      </c>
      <c r="M91" s="91" t="n">
        <v>0</v>
      </c>
      <c r="N91" s="91" t="n">
        <v>70000</v>
      </c>
      <c r="O91" s="92" t="n">
        <f aca="false">IF(AND(F91="",G91=""),0,J91-N(L91)-N(M91)-N(N91))</f>
        <v>-200</v>
      </c>
      <c r="P91" s="92" t="n">
        <f aca="false">K91+O91</f>
        <v>-200</v>
      </c>
      <c r="Q91" s="85" t="n">
        <f aca="false">E91-P91</f>
        <v>4268650</v>
      </c>
      <c r="R91" s="91" t="n">
        <v>166</v>
      </c>
      <c r="S91" s="91" t="n">
        <v>97</v>
      </c>
      <c r="T91" s="92" t="n">
        <f aca="false">IF(N(S91)=0,"",Q91/S91)</f>
        <v>44006.7010309278</v>
      </c>
      <c r="U91" s="93" t="str">
        <f aca="false">IF(E91=0,"",IF(AND(N(C91)&gt;0,F91="",G91=""),"Belum direalisasi",IF(AND(N(D91)&gt;0,H91=""),"EDC belum settle",IF(ABS(O91)&gt;50000,"Cek selisih tunai","OK"))))</f>
        <v>OK</v>
      </c>
    </row>
    <row r="92" customFormat="false" ht="15" hidden="false" customHeight="false" outlineLevel="0" collapsed="false">
      <c r="A92" s="89" t="n">
        <v>46110</v>
      </c>
      <c r="B92" s="90" t="n">
        <f aca="false">MONTH(A92)</f>
        <v>3</v>
      </c>
      <c r="C92" s="91" t="n">
        <v>1312400</v>
      </c>
      <c r="D92" s="91" t="n">
        <v>2830200</v>
      </c>
      <c r="E92" s="92" t="n">
        <f aca="false">N(C92)+N(D92)</f>
        <v>4142600</v>
      </c>
      <c r="F92" s="91" t="n">
        <v>541000</v>
      </c>
      <c r="G92" s="91" t="n">
        <v>771500</v>
      </c>
      <c r="H92" s="91" t="n">
        <v>2830200</v>
      </c>
      <c r="I92" s="92" t="n">
        <f aca="false">N(F92)+N(G92)+N(H92)</f>
        <v>4142700</v>
      </c>
      <c r="J92" s="92" t="n">
        <f aca="false">IF(AND(F92="",G92=""),0,N(C92)-N(F92)-N(G92))</f>
        <v>-100</v>
      </c>
      <c r="K92" s="92" t="n">
        <f aca="false">IF(H92="",0,N(D92)-N(H92))</f>
        <v>0</v>
      </c>
      <c r="L92" s="91" t="n">
        <v>0</v>
      </c>
      <c r="M92" s="91" t="n">
        <v>0</v>
      </c>
      <c r="N92" s="91" t="n">
        <v>0</v>
      </c>
      <c r="O92" s="92" t="n">
        <f aca="false">IF(AND(F92="",G92=""),0,J92-N(L92)-N(M92)-N(N92))</f>
        <v>-100</v>
      </c>
      <c r="P92" s="92" t="n">
        <f aca="false">K92+O92</f>
        <v>-100</v>
      </c>
      <c r="Q92" s="85" t="n">
        <f aca="false">E92-P92</f>
        <v>4142700</v>
      </c>
      <c r="R92" s="91" t="n">
        <v>163</v>
      </c>
      <c r="S92" s="91" t="n">
        <v>87</v>
      </c>
      <c r="T92" s="92" t="n">
        <f aca="false">IF(N(S92)=0,"",Q92/S92)</f>
        <v>47617.2413793104</v>
      </c>
      <c r="U92" s="93" t="str">
        <f aca="false">IF(E92=0,"",IF(AND(N(C92)&gt;0,F92="",G92=""),"Belum direalisasi",IF(AND(N(D92)&gt;0,H92=""),"EDC belum settle",IF(ABS(O92)&gt;50000,"Cek selisih tunai","OK"))))</f>
        <v>OK</v>
      </c>
    </row>
    <row r="93" customFormat="false" ht="15" hidden="false" customHeight="false" outlineLevel="0" collapsed="false">
      <c r="A93" s="89" t="n">
        <v>46111</v>
      </c>
      <c r="B93" s="90" t="n">
        <f aca="false">MONTH(A93)</f>
        <v>3</v>
      </c>
      <c r="C93" s="91" t="n">
        <v>1577500</v>
      </c>
      <c r="D93" s="91" t="n">
        <v>2116600</v>
      </c>
      <c r="E93" s="92" t="n">
        <f aca="false">N(C93)+N(D93)</f>
        <v>3694100</v>
      </c>
      <c r="F93" s="91" t="n">
        <v>620000</v>
      </c>
      <c r="G93" s="91" t="n">
        <v>957500</v>
      </c>
      <c r="H93" s="91" t="n">
        <v>2013522</v>
      </c>
      <c r="I93" s="92" t="n">
        <f aca="false">N(F93)+N(G93)+N(H93)</f>
        <v>3591022</v>
      </c>
      <c r="J93" s="92" t="n">
        <f aca="false">IF(AND(F93="",G93=""),0,N(C93)-N(F93)-N(G93))</f>
        <v>0</v>
      </c>
      <c r="K93" s="92" t="n">
        <f aca="false">IF(H93="",0,N(D93)-N(H93))</f>
        <v>103078</v>
      </c>
      <c r="L93" s="91" t="n">
        <v>0</v>
      </c>
      <c r="M93" s="91" t="n">
        <v>0</v>
      </c>
      <c r="N93" s="91" t="n">
        <v>0</v>
      </c>
      <c r="O93" s="92" t="n">
        <f aca="false">IF(AND(F93="",G93=""),0,J93-N(L93)-N(M93)-N(N93))</f>
        <v>0</v>
      </c>
      <c r="P93" s="92" t="n">
        <f aca="false">K93+O93</f>
        <v>103078</v>
      </c>
      <c r="Q93" s="85" t="n">
        <f aca="false">E93-P93</f>
        <v>3591022</v>
      </c>
      <c r="R93" s="91" t="n">
        <v>146</v>
      </c>
      <c r="S93" s="91" t="n">
        <v>70</v>
      </c>
      <c r="T93" s="92" t="n">
        <f aca="false">IF(N(S93)=0,"",Q93/S93)</f>
        <v>51300.3142857143</v>
      </c>
      <c r="U93" s="93" t="str">
        <f aca="false">IF(E93=0,"",IF(AND(N(C93)&gt;0,F93="",G93=""),"Belum direalisasi",IF(AND(N(D93)&gt;0,H93=""),"EDC belum settle",IF(ABS(O93)&gt;50000,"Cek selisih tunai","OK"))))</f>
        <v>OK</v>
      </c>
    </row>
    <row r="94" customFormat="false" ht="15" hidden="false" customHeight="false" outlineLevel="0" collapsed="false">
      <c r="A94" s="89" t="n">
        <v>46112</v>
      </c>
      <c r="B94" s="90" t="n">
        <f aca="false">MONTH(A94)</f>
        <v>3</v>
      </c>
      <c r="C94" s="91" t="n">
        <v>728500</v>
      </c>
      <c r="D94" s="91" t="n">
        <v>1811400</v>
      </c>
      <c r="E94" s="92" t="n">
        <f aca="false">N(C94)+N(D94)</f>
        <v>2539900</v>
      </c>
      <c r="F94" s="91" t="n">
        <v>230000</v>
      </c>
      <c r="G94" s="91" t="n">
        <v>499000</v>
      </c>
      <c r="H94" s="91" t="n">
        <v>1913205</v>
      </c>
      <c r="I94" s="92" t="n">
        <f aca="false">N(F94)+N(G94)+N(H94)</f>
        <v>2642205</v>
      </c>
      <c r="J94" s="92" t="n">
        <f aca="false">IF(AND(F94="",G94=""),0,N(C94)-N(F94)-N(G94))</f>
        <v>-500</v>
      </c>
      <c r="K94" s="92" t="n">
        <f aca="false">IF(H94="",0,N(D94)-N(H94))</f>
        <v>-101805</v>
      </c>
      <c r="L94" s="91" t="n">
        <v>0</v>
      </c>
      <c r="M94" s="91" t="n">
        <v>0</v>
      </c>
      <c r="N94" s="91" t="n">
        <v>0</v>
      </c>
      <c r="O94" s="92" t="n">
        <f aca="false">IF(AND(F94="",G94=""),0,J94-N(L94)-N(M94)-N(N94))</f>
        <v>-500</v>
      </c>
      <c r="P94" s="92" t="n">
        <f aca="false">K94+O94</f>
        <v>-102305</v>
      </c>
      <c r="Q94" s="85" t="n">
        <f aca="false">E94-P94</f>
        <v>2642205</v>
      </c>
      <c r="R94" s="91" t="n">
        <v>95</v>
      </c>
      <c r="S94" s="91" t="n">
        <v>57</v>
      </c>
      <c r="T94" s="92" t="n">
        <f aca="false">IF(N(S94)=0,"",Q94/S94)</f>
        <v>46354.4736842105</v>
      </c>
      <c r="U94" s="93" t="str">
        <f aca="false">IF(E94=0,"",IF(AND(N(C94)&gt;0,F94="",G94=""),"Belum direalisasi",IF(AND(N(D94)&gt;0,H94=""),"EDC belum settle",IF(ABS(O94)&gt;50000,"Cek selisih tunai","OK"))))</f>
        <v>OK</v>
      </c>
    </row>
    <row r="95" customFormat="false" ht="15" hidden="false" customHeight="false" outlineLevel="0" collapsed="false">
      <c r="A95" s="94" t="n">
        <v>46113</v>
      </c>
      <c r="B95" s="95" t="n">
        <f aca="false">MONTH(A95)</f>
        <v>4</v>
      </c>
      <c r="C95" s="96" t="n">
        <v>2190500</v>
      </c>
      <c r="D95" s="96" t="n">
        <v>2633700</v>
      </c>
      <c r="E95" s="97" t="n">
        <f aca="false">N(C95)+N(D95)</f>
        <v>4824200</v>
      </c>
      <c r="F95" s="96" t="n">
        <v>670000</v>
      </c>
      <c r="G95" s="96" t="n">
        <v>1070000</v>
      </c>
      <c r="H95" s="96" t="n">
        <v>2633700</v>
      </c>
      <c r="I95" s="97" t="n">
        <f aca="false">N(F95)+N(G95)+N(H95)</f>
        <v>4373700</v>
      </c>
      <c r="J95" s="97" t="n">
        <f aca="false">IF(AND(F95="",G95=""),0,N(C95)-N(F95)-N(G95))</f>
        <v>450500</v>
      </c>
      <c r="K95" s="97" t="n">
        <f aca="false">IF(H95="",0,N(D95)-N(H95))</f>
        <v>0</v>
      </c>
      <c r="L95" s="96"/>
      <c r="M95" s="96" t="n">
        <v>427500</v>
      </c>
      <c r="N95" s="96"/>
      <c r="O95" s="97" t="n">
        <f aca="false">IF(AND(F95="",G95=""),0,J95-N(L95)-N(M95)-N(N95))</f>
        <v>23000</v>
      </c>
      <c r="P95" s="97" t="n">
        <f aca="false">K95+O95</f>
        <v>23000</v>
      </c>
      <c r="Q95" s="98" t="n">
        <f aca="false">E95-P95</f>
        <v>4801200</v>
      </c>
      <c r="R95" s="96" t="n">
        <v>194</v>
      </c>
      <c r="S95" s="96" t="n">
        <v>88</v>
      </c>
      <c r="T95" s="97" t="n">
        <f aca="false">IF(N(S95)=0,"",Q95/S95)</f>
        <v>54559.0909090909</v>
      </c>
      <c r="U95" s="99" t="str">
        <f aca="false">IF(E95=0,"",IF(AND(N(C95)&gt;0,F95="",G95=""),"Belum direalisasi",IF(AND(N(D95)&gt;0,H95=""),"EDC belum settle",IF(ABS(O95)&gt;50000,"Cek selisih tunai","OK"))))</f>
        <v>OK</v>
      </c>
    </row>
    <row r="96" customFormat="false" ht="15" hidden="false" customHeight="false" outlineLevel="0" collapsed="false">
      <c r="A96" s="94" t="n">
        <v>46114</v>
      </c>
      <c r="B96" s="95" t="n">
        <f aca="false">MONTH(A96)</f>
        <v>4</v>
      </c>
      <c r="C96" s="96" t="n">
        <v>1033000</v>
      </c>
      <c r="D96" s="96" t="n">
        <v>2253000</v>
      </c>
      <c r="E96" s="97" t="n">
        <f aca="false">N(C96)+N(D96)</f>
        <v>3286000</v>
      </c>
      <c r="F96" s="96" t="n">
        <v>235000</v>
      </c>
      <c r="G96" s="96" t="n">
        <v>752000</v>
      </c>
      <c r="H96" s="96" t="n">
        <v>2252037</v>
      </c>
      <c r="I96" s="97" t="n">
        <f aca="false">N(F96)+N(G96)+N(H96)</f>
        <v>3239037</v>
      </c>
      <c r="J96" s="97" t="n">
        <f aca="false">IF(AND(F96="",G96=""),0,N(C96)-N(F96)-N(G96))</f>
        <v>46000</v>
      </c>
      <c r="K96" s="97" t="n">
        <f aca="false">IF(H96="",0,N(D96)-N(H96))</f>
        <v>963</v>
      </c>
      <c r="L96" s="96"/>
      <c r="M96" s="96"/>
      <c r="N96" s="96" t="n">
        <v>45000</v>
      </c>
      <c r="O96" s="97" t="n">
        <f aca="false">IF(AND(F96="",G96=""),0,J96-N(L96)-N(M96)-N(N96))</f>
        <v>1000</v>
      </c>
      <c r="P96" s="97" t="n">
        <f aca="false">K96+O96</f>
        <v>1963</v>
      </c>
      <c r="Q96" s="98" t="n">
        <f aca="false">E96-P96</f>
        <v>3284037</v>
      </c>
      <c r="R96" s="96" t="n">
        <v>136</v>
      </c>
      <c r="S96" s="96" t="n">
        <v>75</v>
      </c>
      <c r="T96" s="97" t="n">
        <f aca="false">IF(N(S96)=0,"",Q96/S96)</f>
        <v>43787.16</v>
      </c>
      <c r="U96" s="99" t="str">
        <f aca="false">IF(E96=0,"",IF(AND(N(C96)&gt;0,F96="",G96=""),"Belum direalisasi",IF(AND(N(D96)&gt;0,H96=""),"EDC belum settle",IF(ABS(O96)&gt;50000,"Cek selisih tunai","OK"))))</f>
        <v>OK</v>
      </c>
    </row>
    <row r="97" customFormat="false" ht="15" hidden="false" customHeight="false" outlineLevel="0" collapsed="false">
      <c r="A97" s="94" t="n">
        <v>46115</v>
      </c>
      <c r="B97" s="95" t="n">
        <f aca="false">MONTH(A97)</f>
        <v>4</v>
      </c>
      <c r="C97" s="96" t="n">
        <v>1590600</v>
      </c>
      <c r="D97" s="96" t="n">
        <v>4565200</v>
      </c>
      <c r="E97" s="97" t="n">
        <f aca="false">N(C97)+N(D97)</f>
        <v>6155800</v>
      </c>
      <c r="F97" s="96" t="n">
        <v>365000</v>
      </c>
      <c r="G97" s="96" t="n">
        <v>1082000</v>
      </c>
      <c r="H97" s="96" t="n">
        <v>4565200</v>
      </c>
      <c r="I97" s="97" t="n">
        <f aca="false">N(F97)+N(G97)+N(H97)</f>
        <v>6012200</v>
      </c>
      <c r="J97" s="97" t="n">
        <f aca="false">IF(AND(F97="",G97=""),0,N(C97)-N(F97)-N(G97))</f>
        <v>143600</v>
      </c>
      <c r="K97" s="97" t="n">
        <f aca="false">IF(H97="",0,N(D97)-N(H97))</f>
        <v>0</v>
      </c>
      <c r="L97" s="96" t="n">
        <v>22500</v>
      </c>
      <c r="M97" s="96" t="n">
        <v>121500</v>
      </c>
      <c r="N97" s="96"/>
      <c r="O97" s="97" t="n">
        <f aca="false">IF(AND(F97="",G97=""),0,J97-N(L97)-N(M97)-N(N97))</f>
        <v>-400</v>
      </c>
      <c r="P97" s="97" t="n">
        <f aca="false">K97+O97</f>
        <v>-400</v>
      </c>
      <c r="Q97" s="98" t="n">
        <f aca="false">E97-P97</f>
        <v>6156200</v>
      </c>
      <c r="R97" s="96" t="n">
        <v>232</v>
      </c>
      <c r="S97" s="96" t="n">
        <v>109</v>
      </c>
      <c r="T97" s="97" t="n">
        <f aca="false">IF(N(S97)=0,"",Q97/S97)</f>
        <v>56478.8990825688</v>
      </c>
      <c r="U97" s="99" t="str">
        <f aca="false">IF(E97=0,"",IF(AND(N(C97)&gt;0,F97="",G97=""),"Belum direalisasi",IF(AND(N(D97)&gt;0,H97=""),"EDC belum settle",IF(ABS(O97)&gt;50000,"Cek selisih tunai","OK"))))</f>
        <v>OK</v>
      </c>
    </row>
    <row r="98" customFormat="false" ht="15" hidden="false" customHeight="false" outlineLevel="0" collapsed="false">
      <c r="A98" s="94" t="n">
        <v>46116</v>
      </c>
      <c r="B98" s="95" t="n">
        <f aca="false">MONTH(A98)</f>
        <v>4</v>
      </c>
      <c r="C98" s="96" t="n">
        <v>1224000</v>
      </c>
      <c r="D98" s="96" t="n">
        <v>3041450</v>
      </c>
      <c r="E98" s="97" t="n">
        <f aca="false">N(C98)+N(D98)</f>
        <v>4265450</v>
      </c>
      <c r="F98" s="96" t="n">
        <v>207000</v>
      </c>
      <c r="G98" s="96" t="n">
        <v>992000</v>
      </c>
      <c r="H98" s="96" t="n">
        <v>3040950</v>
      </c>
      <c r="I98" s="97" t="n">
        <f aca="false">N(F98)+N(G98)+N(H98)</f>
        <v>4239950</v>
      </c>
      <c r="J98" s="97" t="n">
        <f aca="false">IF(AND(F98="",G98=""),0,N(C98)-N(F98)-N(G98))</f>
        <v>25000</v>
      </c>
      <c r="K98" s="97" t="n">
        <f aca="false">IF(H98="",0,N(D98)-N(H98))</f>
        <v>500</v>
      </c>
      <c r="L98" s="96" t="n">
        <v>27000</v>
      </c>
      <c r="M98" s="96"/>
      <c r="N98" s="96"/>
      <c r="O98" s="97" t="n">
        <f aca="false">IF(AND(F98="",G98=""),0,J98-N(L98)-N(M98)-N(N98))</f>
        <v>-2000</v>
      </c>
      <c r="P98" s="97" t="n">
        <f aca="false">K98+O98</f>
        <v>-1500</v>
      </c>
      <c r="Q98" s="98" t="n">
        <f aca="false">E98-P98</f>
        <v>4266950</v>
      </c>
      <c r="R98" s="96" t="n">
        <v>163</v>
      </c>
      <c r="S98" s="96" t="n">
        <v>79</v>
      </c>
      <c r="T98" s="97" t="n">
        <f aca="false">IF(N(S98)=0,"",Q98/S98)</f>
        <v>54012.0253164557</v>
      </c>
      <c r="U98" s="99" t="str">
        <f aca="false">IF(E98=0,"",IF(AND(N(C98)&gt;0,F98="",G98=""),"Belum direalisasi",IF(AND(N(D98)&gt;0,H98=""),"EDC belum settle",IF(ABS(O98)&gt;50000,"Cek selisih tunai","OK"))))</f>
        <v>OK</v>
      </c>
    </row>
    <row r="99" customFormat="false" ht="15" hidden="false" customHeight="false" outlineLevel="0" collapsed="false">
      <c r="A99" s="94" t="n">
        <v>46117</v>
      </c>
      <c r="B99" s="95" t="n">
        <f aca="false">MONTH(A99)</f>
        <v>4</v>
      </c>
      <c r="C99" s="96" t="n">
        <v>1127400</v>
      </c>
      <c r="D99" s="96" t="n">
        <v>2474250</v>
      </c>
      <c r="E99" s="97" t="n">
        <f aca="false">N(C99)+N(D99)</f>
        <v>3601650</v>
      </c>
      <c r="F99" s="96" t="n">
        <v>154000</v>
      </c>
      <c r="G99" s="96" t="n">
        <v>887000</v>
      </c>
      <c r="H99" s="96" t="n">
        <v>2474250</v>
      </c>
      <c r="I99" s="97" t="n">
        <f aca="false">N(F99)+N(G99)+N(H99)</f>
        <v>3515250</v>
      </c>
      <c r="J99" s="97" t="n">
        <f aca="false">IF(AND(F99="",G99=""),0,N(C99)-N(F99)-N(G99))</f>
        <v>86400</v>
      </c>
      <c r="K99" s="97" t="n">
        <f aca="false">IF(H99="",0,N(D99)-N(H99))</f>
        <v>0</v>
      </c>
      <c r="L99" s="96"/>
      <c r="M99" s="96"/>
      <c r="N99" s="96" t="n">
        <v>86900</v>
      </c>
      <c r="O99" s="97" t="n">
        <f aca="false">IF(AND(F99="",G99=""),0,J99-N(L99)-N(M99)-N(N99))</f>
        <v>-500</v>
      </c>
      <c r="P99" s="97" t="n">
        <f aca="false">K99+O99</f>
        <v>-500</v>
      </c>
      <c r="Q99" s="98" t="n">
        <f aca="false">E99-P99</f>
        <v>3602150</v>
      </c>
      <c r="R99" s="96" t="n">
        <v>136</v>
      </c>
      <c r="S99" s="96" t="n">
        <v>86</v>
      </c>
      <c r="T99" s="97" t="n">
        <f aca="false">IF(N(S99)=0,"",Q99/S99)</f>
        <v>41885.4651162791</v>
      </c>
      <c r="U99" s="99" t="str">
        <f aca="false">IF(E99=0,"",IF(AND(N(C99)&gt;0,F99="",G99=""),"Belum direalisasi",IF(AND(N(D99)&gt;0,H99=""),"EDC belum settle",IF(ABS(O99)&gt;50000,"Cek selisih tunai","OK"))))</f>
        <v>OK</v>
      </c>
    </row>
    <row r="100" customFormat="false" ht="15" hidden="false" customHeight="false" outlineLevel="0" collapsed="false">
      <c r="A100" s="94" t="n">
        <v>46118</v>
      </c>
      <c r="B100" s="95" t="n">
        <f aca="false">MONTH(A100)</f>
        <v>4</v>
      </c>
      <c r="C100" s="96" t="n">
        <v>1296800</v>
      </c>
      <c r="D100" s="96" t="n">
        <v>2363500</v>
      </c>
      <c r="E100" s="97" t="n">
        <f aca="false">N(C100)+N(D100)</f>
        <v>3660300</v>
      </c>
      <c r="F100" s="96" t="n">
        <v>300000</v>
      </c>
      <c r="G100" s="96" t="n">
        <v>939000</v>
      </c>
      <c r="H100" s="96" t="n">
        <v>2363500</v>
      </c>
      <c r="I100" s="97" t="n">
        <f aca="false">N(F100)+N(G100)+N(H100)</f>
        <v>3602500</v>
      </c>
      <c r="J100" s="97" t="n">
        <f aca="false">IF(AND(F100="",G100=""),0,N(C100)-N(F100)-N(G100))</f>
        <v>57800</v>
      </c>
      <c r="K100" s="97" t="n">
        <f aca="false">IF(H100="",0,N(D100)-N(H100))</f>
        <v>0</v>
      </c>
      <c r="L100" s="96"/>
      <c r="M100" s="96" t="n">
        <v>57500</v>
      </c>
      <c r="N100" s="96"/>
      <c r="O100" s="97" t="n">
        <f aca="false">IF(AND(F100="",G100=""),0,J100-N(L100)-N(M100)-N(N100))</f>
        <v>300</v>
      </c>
      <c r="P100" s="97" t="n">
        <f aca="false">K100+O100</f>
        <v>300</v>
      </c>
      <c r="Q100" s="98" t="n">
        <f aca="false">E100-P100</f>
        <v>3660000</v>
      </c>
      <c r="R100" s="96" t="n">
        <v>136</v>
      </c>
      <c r="S100" s="96" t="n">
        <v>78</v>
      </c>
      <c r="T100" s="97" t="n">
        <f aca="false">IF(N(S100)=0,"",Q100/S100)</f>
        <v>46923.0769230769</v>
      </c>
      <c r="U100" s="99" t="str">
        <f aca="false">IF(E100=0,"",IF(AND(N(C100)&gt;0,F100="",G100=""),"Belum direalisasi",IF(AND(N(D100)&gt;0,H100=""),"EDC belum settle",IF(ABS(O100)&gt;50000,"Cek selisih tunai","OK"))))</f>
        <v>OK</v>
      </c>
    </row>
    <row r="101" customFormat="false" ht="15" hidden="false" customHeight="false" outlineLevel="0" collapsed="false">
      <c r="A101" s="94" t="n">
        <v>46119</v>
      </c>
      <c r="B101" s="95" t="n">
        <f aca="false">MONTH(A101)</f>
        <v>4</v>
      </c>
      <c r="C101" s="96" t="n">
        <v>462000</v>
      </c>
      <c r="D101" s="96" t="n">
        <v>1447100</v>
      </c>
      <c r="E101" s="97" t="n">
        <f aca="false">N(C101)+N(D101)</f>
        <v>1909100</v>
      </c>
      <c r="F101" s="96" t="n">
        <v>197000</v>
      </c>
      <c r="G101" s="96" t="n">
        <v>265000</v>
      </c>
      <c r="H101" s="96" t="n">
        <v>1447100</v>
      </c>
      <c r="I101" s="97" t="n">
        <f aca="false">N(F101)+N(G101)+N(H101)</f>
        <v>1909100</v>
      </c>
      <c r="J101" s="97" t="n">
        <f aca="false">IF(AND(F101="",G101=""),0,N(C101)-N(F101)-N(G101))</f>
        <v>0</v>
      </c>
      <c r="K101" s="97" t="n">
        <f aca="false">IF(H101="",0,N(D101)-N(H101))</f>
        <v>0</v>
      </c>
      <c r="L101" s="96"/>
      <c r="M101" s="96"/>
      <c r="N101" s="96"/>
      <c r="O101" s="97" t="n">
        <f aca="false">IF(AND(F101="",G101=""),0,J101-N(L101)-N(M101)-N(N101))</f>
        <v>0</v>
      </c>
      <c r="P101" s="97" t="n">
        <f aca="false">K101+O101</f>
        <v>0</v>
      </c>
      <c r="Q101" s="98" t="n">
        <f aca="false">E101-P101</f>
        <v>1909100</v>
      </c>
      <c r="R101" s="96" t="n">
        <v>71</v>
      </c>
      <c r="S101" s="96" t="n">
        <v>42</v>
      </c>
      <c r="T101" s="97" t="n">
        <f aca="false">IF(N(S101)=0,"",Q101/S101)</f>
        <v>45454.7619047619</v>
      </c>
      <c r="U101" s="99" t="str">
        <f aca="false">IF(E101=0,"",IF(AND(N(C101)&gt;0,F101="",G101=""),"Belum direalisasi",IF(AND(N(D101)&gt;0,H101=""),"EDC belum settle",IF(ABS(O101)&gt;50000,"Cek selisih tunai","OK"))))</f>
        <v>OK</v>
      </c>
    </row>
    <row r="102" customFormat="false" ht="15" hidden="false" customHeight="false" outlineLevel="0" collapsed="false">
      <c r="A102" s="94" t="n">
        <v>46120</v>
      </c>
      <c r="B102" s="95" t="n">
        <f aca="false">MONTH(A102)</f>
        <v>4</v>
      </c>
      <c r="C102" s="96" t="n">
        <v>837000</v>
      </c>
      <c r="D102" s="96" t="n">
        <v>1831100</v>
      </c>
      <c r="E102" s="97" t="n">
        <f aca="false">N(C102)+N(D102)</f>
        <v>2668100</v>
      </c>
      <c r="F102" s="96" t="n">
        <v>248000</v>
      </c>
      <c r="G102" s="96" t="n">
        <v>589000</v>
      </c>
      <c r="H102" s="96" t="n">
        <v>1831100</v>
      </c>
      <c r="I102" s="97" t="n">
        <f aca="false">N(F102)+N(G102)+N(H102)</f>
        <v>2668100</v>
      </c>
      <c r="J102" s="97" t="n">
        <f aca="false">IF(AND(F102="",G102=""),0,N(C102)-N(F102)-N(G102))</f>
        <v>0</v>
      </c>
      <c r="K102" s="97" t="n">
        <f aca="false">IF(H102="",0,N(D102)-N(H102))</f>
        <v>0</v>
      </c>
      <c r="L102" s="96"/>
      <c r="M102" s="96"/>
      <c r="N102" s="96"/>
      <c r="O102" s="97" t="n">
        <f aca="false">IF(AND(F102="",G102=""),0,J102-N(L102)-N(M102)-N(N102))</f>
        <v>0</v>
      </c>
      <c r="P102" s="97" t="n">
        <f aca="false">K102+O102</f>
        <v>0</v>
      </c>
      <c r="Q102" s="98" t="n">
        <f aca="false">E102-P102</f>
        <v>2668100</v>
      </c>
      <c r="R102" s="96" t="n">
        <v>103</v>
      </c>
      <c r="S102" s="96" t="n">
        <v>64</v>
      </c>
      <c r="T102" s="97" t="n">
        <f aca="false">IF(N(S102)=0,"",Q102/S102)</f>
        <v>41689.0625</v>
      </c>
      <c r="U102" s="99" t="str">
        <f aca="false">IF(E102=0,"",IF(AND(N(C102)&gt;0,F102="",G102=""),"Belum direalisasi",IF(AND(N(D102)&gt;0,H102=""),"EDC belum settle",IF(ABS(O102)&gt;50000,"Cek selisih tunai","OK"))))</f>
        <v>OK</v>
      </c>
    </row>
    <row r="103" customFormat="false" ht="15" hidden="false" customHeight="false" outlineLevel="0" collapsed="false">
      <c r="A103" s="94" t="n">
        <v>46121</v>
      </c>
      <c r="B103" s="95" t="n">
        <f aca="false">MONTH(A103)</f>
        <v>4</v>
      </c>
      <c r="C103" s="96" t="n">
        <v>936000</v>
      </c>
      <c r="D103" s="96" t="n">
        <v>2674900</v>
      </c>
      <c r="E103" s="97" t="n">
        <f aca="false">N(C103)+N(D103)</f>
        <v>3610900</v>
      </c>
      <c r="F103" s="96" t="n">
        <v>213000</v>
      </c>
      <c r="G103" s="96" t="n">
        <v>723000</v>
      </c>
      <c r="H103" s="96" t="n">
        <v>2673774</v>
      </c>
      <c r="I103" s="97" t="n">
        <f aca="false">N(F103)+N(G103)+N(H103)</f>
        <v>3609774</v>
      </c>
      <c r="J103" s="97" t="n">
        <f aca="false">IF(AND(F103="",G103=""),0,N(C103)-N(F103)-N(G103))</f>
        <v>0</v>
      </c>
      <c r="K103" s="97" t="n">
        <f aca="false">IF(H103="",0,N(D103)-N(H103))</f>
        <v>1126</v>
      </c>
      <c r="L103" s="96"/>
      <c r="M103" s="96"/>
      <c r="N103" s="96"/>
      <c r="O103" s="97" t="n">
        <f aca="false">IF(AND(F103="",G103=""),0,J103-N(L103)-N(M103)-N(N103))</f>
        <v>0</v>
      </c>
      <c r="P103" s="97" t="n">
        <f aca="false">K103+O103</f>
        <v>1126</v>
      </c>
      <c r="Q103" s="98" t="n">
        <f aca="false">E103-P103</f>
        <v>3609774</v>
      </c>
      <c r="R103" s="96" t="n">
        <v>144</v>
      </c>
      <c r="S103" s="96" t="n">
        <v>77</v>
      </c>
      <c r="T103" s="97" t="n">
        <f aca="false">IF(N(S103)=0,"",Q103/S103)</f>
        <v>46880.1818181818</v>
      </c>
      <c r="U103" s="99" t="str">
        <f aca="false">IF(E103=0,"",IF(AND(N(C103)&gt;0,F103="",G103=""),"Belum direalisasi",IF(AND(N(D103)&gt;0,H103=""),"EDC belum settle",IF(ABS(O103)&gt;50000,"Cek selisih tunai","OK"))))</f>
        <v>OK</v>
      </c>
    </row>
    <row r="104" customFormat="false" ht="15" hidden="false" customHeight="false" outlineLevel="0" collapsed="false">
      <c r="A104" s="94" t="n">
        <v>46122</v>
      </c>
      <c r="B104" s="95" t="n">
        <f aca="false">MONTH(A104)</f>
        <v>4</v>
      </c>
      <c r="C104" s="96" t="n">
        <v>964000</v>
      </c>
      <c r="D104" s="96" t="n">
        <v>2139650</v>
      </c>
      <c r="E104" s="97" t="n">
        <f aca="false">N(C104)+N(D104)</f>
        <v>3103650</v>
      </c>
      <c r="F104" s="96" t="n">
        <v>273000</v>
      </c>
      <c r="G104" s="96" t="n">
        <v>691000</v>
      </c>
      <c r="H104" s="96" t="n">
        <v>2139650</v>
      </c>
      <c r="I104" s="97" t="n">
        <f aca="false">N(F104)+N(G104)+N(H104)</f>
        <v>3103650</v>
      </c>
      <c r="J104" s="97" t="n">
        <f aca="false">IF(AND(F104="",G104=""),0,N(C104)-N(F104)-N(G104))</f>
        <v>0</v>
      </c>
      <c r="K104" s="97" t="n">
        <f aca="false">IF(H104="",0,N(D104)-N(H104))</f>
        <v>0</v>
      </c>
      <c r="L104" s="96"/>
      <c r="M104" s="96"/>
      <c r="N104" s="96"/>
      <c r="O104" s="97" t="n">
        <f aca="false">IF(AND(F104="",G104=""),0,J104-N(L104)-N(M104)-N(N104))</f>
        <v>0</v>
      </c>
      <c r="P104" s="97" t="n">
        <f aca="false">K104+O104</f>
        <v>0</v>
      </c>
      <c r="Q104" s="98" t="n">
        <f aca="false">E104-P104</f>
        <v>3103650</v>
      </c>
      <c r="R104" s="96" t="n">
        <v>124</v>
      </c>
      <c r="S104" s="96" t="n">
        <v>60</v>
      </c>
      <c r="T104" s="97" t="n">
        <f aca="false">IF(N(S104)=0,"",Q104/S104)</f>
        <v>51727.5</v>
      </c>
      <c r="U104" s="99" t="str">
        <f aca="false">IF(E104=0,"",IF(AND(N(C104)&gt;0,F104="",G104=""),"Belum direalisasi",IF(AND(N(D104)&gt;0,H104=""),"EDC belum settle",IF(ABS(O104)&gt;50000,"Cek selisih tunai","OK"))))</f>
        <v>OK</v>
      </c>
    </row>
    <row r="105" customFormat="false" ht="15" hidden="false" customHeight="false" outlineLevel="0" collapsed="false">
      <c r="A105" s="94" t="n">
        <v>46123</v>
      </c>
      <c r="B105" s="95" t="n">
        <f aca="false">MONTH(A105)</f>
        <v>4</v>
      </c>
      <c r="C105" s="96" t="n">
        <v>1297500</v>
      </c>
      <c r="D105" s="96" t="n">
        <v>2673900</v>
      </c>
      <c r="E105" s="97" t="n">
        <f aca="false">N(C105)+N(D105)</f>
        <v>3971400</v>
      </c>
      <c r="F105" s="96" t="n">
        <v>351000</v>
      </c>
      <c r="G105" s="96" t="n">
        <v>901500</v>
      </c>
      <c r="H105" s="96" t="n">
        <v>2673322</v>
      </c>
      <c r="I105" s="97" t="n">
        <f aca="false">N(F105)+N(G105)+N(H105)</f>
        <v>3925822</v>
      </c>
      <c r="J105" s="97" t="n">
        <f aca="false">IF(AND(F105="",G105=""),0,N(C105)-N(F105)-N(G105))</f>
        <v>45000</v>
      </c>
      <c r="K105" s="97" t="n">
        <f aca="false">IF(H105="",0,N(D105)-N(H105))</f>
        <v>578</v>
      </c>
      <c r="L105" s="96" t="n">
        <v>22500</v>
      </c>
      <c r="M105" s="96"/>
      <c r="N105" s="96" t="n">
        <v>22500</v>
      </c>
      <c r="O105" s="97" t="n">
        <f aca="false">IF(AND(F105="",G105=""),0,J105-N(L105)-N(M105)-N(N105))</f>
        <v>0</v>
      </c>
      <c r="P105" s="97" t="n">
        <f aca="false">K105+O105</f>
        <v>578</v>
      </c>
      <c r="Q105" s="98" t="n">
        <f aca="false">E105-P105</f>
        <v>3970822</v>
      </c>
      <c r="R105" s="96" t="n">
        <v>152</v>
      </c>
      <c r="S105" s="96" t="n">
        <v>87</v>
      </c>
      <c r="T105" s="97" t="n">
        <f aca="false">IF(N(S105)=0,"",Q105/S105)</f>
        <v>45641.6321839081</v>
      </c>
      <c r="U105" s="99" t="str">
        <f aca="false">IF(E105=0,"",IF(AND(N(C105)&gt;0,F105="",G105=""),"Belum direalisasi",IF(AND(N(D105)&gt;0,H105=""),"EDC belum settle",IF(ABS(O105)&gt;50000,"Cek selisih tunai","OK"))))</f>
        <v>OK</v>
      </c>
    </row>
    <row r="106" customFormat="false" ht="15" hidden="false" customHeight="false" outlineLevel="0" collapsed="false">
      <c r="A106" s="94" t="n">
        <v>46124</v>
      </c>
      <c r="B106" s="95" t="n">
        <f aca="false">MONTH(A106)</f>
        <v>4</v>
      </c>
      <c r="C106" s="96" t="n">
        <v>622500</v>
      </c>
      <c r="D106" s="96" t="n">
        <v>1896500</v>
      </c>
      <c r="E106" s="97" t="n">
        <f aca="false">N(C106)+N(D106)</f>
        <v>2519000</v>
      </c>
      <c r="F106" s="96" t="n">
        <v>575000</v>
      </c>
      <c r="G106" s="96" t="n">
        <v>25000</v>
      </c>
      <c r="H106" s="96" t="n">
        <v>1896500</v>
      </c>
      <c r="I106" s="97" t="n">
        <f aca="false">N(F106)+N(G106)+N(H106)</f>
        <v>2496500</v>
      </c>
      <c r="J106" s="97" t="n">
        <f aca="false">IF(AND(F106="",G106=""),0,N(C106)-N(F106)-N(G106))</f>
        <v>22500</v>
      </c>
      <c r="K106" s="97" t="n">
        <f aca="false">IF(H106="",0,N(D106)-N(H106))</f>
        <v>0</v>
      </c>
      <c r="L106" s="96" t="n">
        <v>22500</v>
      </c>
      <c r="M106" s="96"/>
      <c r="N106" s="96"/>
      <c r="O106" s="97" t="n">
        <f aca="false">IF(AND(F106="",G106=""),0,J106-N(L106)-N(M106)-N(N106))</f>
        <v>0</v>
      </c>
      <c r="P106" s="97" t="n">
        <f aca="false">K106+O106</f>
        <v>0</v>
      </c>
      <c r="Q106" s="98" t="n">
        <f aca="false">E106-P106</f>
        <v>2519000</v>
      </c>
      <c r="R106" s="96" t="n">
        <v>95</v>
      </c>
      <c r="S106" s="96" t="n">
        <v>44</v>
      </c>
      <c r="T106" s="97" t="n">
        <f aca="false">IF(N(S106)=0,"",Q106/S106)</f>
        <v>57250</v>
      </c>
      <c r="U106" s="99" t="str">
        <f aca="false">IF(E106=0,"",IF(AND(N(C106)&gt;0,F106="",G106=""),"Belum direalisasi",IF(AND(N(D106)&gt;0,H106=""),"EDC belum settle",IF(ABS(O106)&gt;50000,"Cek selisih tunai","OK"))))</f>
        <v>OK</v>
      </c>
    </row>
    <row r="107" customFormat="false" ht="15" hidden="false" customHeight="false" outlineLevel="0" collapsed="false">
      <c r="A107" s="94" t="n">
        <v>46125</v>
      </c>
      <c r="B107" s="95" t="n">
        <f aca="false">MONTH(A107)</f>
        <v>4</v>
      </c>
      <c r="C107" s="96" t="n">
        <v>575300</v>
      </c>
      <c r="D107" s="96" t="n">
        <v>1748900</v>
      </c>
      <c r="E107" s="97" t="n">
        <f aca="false">N(C107)+N(D107)</f>
        <v>2324200</v>
      </c>
      <c r="F107" s="96" t="n">
        <v>33000</v>
      </c>
      <c r="G107" s="96" t="n">
        <v>543000</v>
      </c>
      <c r="H107" s="96" t="n">
        <v>1748900</v>
      </c>
      <c r="I107" s="97" t="n">
        <f aca="false">N(F107)+N(G107)+N(H107)</f>
        <v>2324900</v>
      </c>
      <c r="J107" s="97" t="n">
        <f aca="false">IF(AND(F107="",G107=""),0,N(C107)-N(F107)-N(G107))</f>
        <v>-700</v>
      </c>
      <c r="K107" s="97" t="n">
        <f aca="false">IF(H107="",0,N(D107)-N(H107))</f>
        <v>0</v>
      </c>
      <c r="L107" s="96"/>
      <c r="M107" s="96"/>
      <c r="N107" s="96"/>
      <c r="O107" s="97" t="n">
        <f aca="false">IF(AND(F107="",G107=""),0,J107-N(L107)-N(M107)-N(N107))</f>
        <v>-700</v>
      </c>
      <c r="P107" s="97" t="n">
        <f aca="false">K107+O107</f>
        <v>-700</v>
      </c>
      <c r="Q107" s="98" t="n">
        <f aca="false">E107-P107</f>
        <v>2324900</v>
      </c>
      <c r="R107" s="96" t="n">
        <v>87</v>
      </c>
      <c r="S107" s="96" t="n">
        <v>53</v>
      </c>
      <c r="T107" s="97" t="n">
        <f aca="false">IF(N(S107)=0,"",Q107/S107)</f>
        <v>43866.0377358491</v>
      </c>
      <c r="U107" s="99" t="str">
        <f aca="false">IF(E107=0,"",IF(AND(N(C107)&gt;0,F107="",G107=""),"Belum direalisasi",IF(AND(N(D107)&gt;0,H107=""),"EDC belum settle",IF(ABS(O107)&gt;50000,"Cek selisih tunai","OK"))))</f>
        <v>OK</v>
      </c>
    </row>
    <row r="108" customFormat="false" ht="15" hidden="false" customHeight="false" outlineLevel="0" collapsed="false">
      <c r="A108" s="94" t="n">
        <v>46126</v>
      </c>
      <c r="B108" s="95" t="n">
        <f aca="false">MONTH(A108)</f>
        <v>4</v>
      </c>
      <c r="C108" s="96" t="n">
        <v>571000</v>
      </c>
      <c r="D108" s="96" t="n">
        <v>1398200</v>
      </c>
      <c r="E108" s="97" t="n">
        <f aca="false">N(C108)+N(D108)</f>
        <v>1969200</v>
      </c>
      <c r="F108" s="96" t="n">
        <v>251000</v>
      </c>
      <c r="G108" s="96" t="n">
        <v>320000</v>
      </c>
      <c r="H108" s="96" t="n">
        <v>1398200</v>
      </c>
      <c r="I108" s="97" t="n">
        <f aca="false">N(F108)+N(G108)+N(H108)</f>
        <v>1969200</v>
      </c>
      <c r="J108" s="97" t="n">
        <f aca="false">IF(AND(F108="",G108=""),0,N(C108)-N(F108)-N(G108))</f>
        <v>0</v>
      </c>
      <c r="K108" s="97" t="n">
        <f aca="false">IF(H108="",0,N(D108)-N(H108))</f>
        <v>0</v>
      </c>
      <c r="L108" s="96"/>
      <c r="M108" s="96"/>
      <c r="N108" s="96"/>
      <c r="O108" s="97" t="n">
        <f aca="false">IF(AND(F108="",G108=""),0,J108-N(L108)-N(M108)-N(N108))</f>
        <v>0</v>
      </c>
      <c r="P108" s="97" t="n">
        <f aca="false">K108+O108</f>
        <v>0</v>
      </c>
      <c r="Q108" s="98" t="n">
        <f aca="false">E108-P108</f>
        <v>1969200</v>
      </c>
      <c r="R108" s="96" t="n">
        <v>74</v>
      </c>
      <c r="S108" s="96" t="n">
        <v>46</v>
      </c>
      <c r="T108" s="97" t="n">
        <f aca="false">IF(N(S108)=0,"",Q108/S108)</f>
        <v>42808.6956521739</v>
      </c>
      <c r="U108" s="99" t="str">
        <f aca="false">IF(E108=0,"",IF(AND(N(C108)&gt;0,F108="",G108=""),"Belum direalisasi",IF(AND(N(D108)&gt;0,H108=""),"EDC belum settle",IF(ABS(O108)&gt;50000,"Cek selisih tunai","OK"))))</f>
        <v>OK</v>
      </c>
    </row>
    <row r="109" customFormat="false" ht="15" hidden="false" customHeight="false" outlineLevel="0" collapsed="false">
      <c r="A109" s="94" t="n">
        <v>46127</v>
      </c>
      <c r="B109" s="95" t="n">
        <f aca="false">MONTH(A109)</f>
        <v>4</v>
      </c>
      <c r="C109" s="96" t="n">
        <v>941000</v>
      </c>
      <c r="D109" s="96" t="n">
        <v>1663000</v>
      </c>
      <c r="E109" s="97" t="n">
        <f aca="false">N(C109)+N(D109)</f>
        <v>2604000</v>
      </c>
      <c r="F109" s="96" t="n">
        <v>418000</v>
      </c>
      <c r="G109" s="96" t="n">
        <v>522000</v>
      </c>
      <c r="H109" s="96" t="n">
        <v>1663000</v>
      </c>
      <c r="I109" s="97" t="n">
        <f aca="false">N(F109)+N(G109)+N(H109)</f>
        <v>2603000</v>
      </c>
      <c r="J109" s="97" t="n">
        <f aca="false">IF(AND(F109="",G109=""),0,N(C109)-N(F109)-N(G109))</f>
        <v>1000</v>
      </c>
      <c r="K109" s="97" t="n">
        <f aca="false">IF(H109="",0,N(D109)-N(H109))</f>
        <v>0</v>
      </c>
      <c r="L109" s="96"/>
      <c r="M109" s="96"/>
      <c r="N109" s="96"/>
      <c r="O109" s="97" t="n">
        <f aca="false">IF(AND(F109="",G109=""),0,J109-N(L109)-N(M109)-N(N109))</f>
        <v>1000</v>
      </c>
      <c r="P109" s="97" t="n">
        <f aca="false">K109+O109</f>
        <v>1000</v>
      </c>
      <c r="Q109" s="98" t="n">
        <f aca="false">E109-P109</f>
        <v>2603000</v>
      </c>
      <c r="R109" s="96" t="n">
        <v>98</v>
      </c>
      <c r="S109" s="96" t="n">
        <v>60</v>
      </c>
      <c r="T109" s="97" t="n">
        <f aca="false">IF(N(S109)=0,"",Q109/S109)</f>
        <v>43383.3333333333</v>
      </c>
      <c r="U109" s="99" t="str">
        <f aca="false">IF(E109=0,"",IF(AND(N(C109)&gt;0,F109="",G109=""),"Belum direalisasi",IF(AND(N(D109)&gt;0,H109=""),"EDC belum settle",IF(ABS(O109)&gt;50000,"Cek selisih tunai","OK"))))</f>
        <v>OK</v>
      </c>
    </row>
    <row r="110" customFormat="false" ht="15" hidden="false" customHeight="false" outlineLevel="0" collapsed="false">
      <c r="A110" s="94" t="n">
        <v>46128</v>
      </c>
      <c r="B110" s="95" t="n">
        <f aca="false">MONTH(A110)</f>
        <v>4</v>
      </c>
      <c r="C110" s="96" t="n">
        <v>1157000</v>
      </c>
      <c r="D110" s="96" t="n">
        <v>2008200</v>
      </c>
      <c r="E110" s="97" t="n">
        <f aca="false">N(C110)+N(D110)</f>
        <v>3165200</v>
      </c>
      <c r="F110" s="96" t="n">
        <v>262000</v>
      </c>
      <c r="G110" s="96" t="n">
        <v>895000</v>
      </c>
      <c r="H110" s="96" t="n">
        <v>2008200</v>
      </c>
      <c r="I110" s="97" t="n">
        <f aca="false">N(F110)+N(G110)+N(H110)</f>
        <v>3165200</v>
      </c>
      <c r="J110" s="97" t="n">
        <f aca="false">IF(AND(F110="",G110=""),0,N(C110)-N(F110)-N(G110))</f>
        <v>0</v>
      </c>
      <c r="K110" s="97" t="n">
        <f aca="false">IF(H110="",0,N(D110)-N(H110))</f>
        <v>0</v>
      </c>
      <c r="L110" s="96"/>
      <c r="M110" s="96"/>
      <c r="N110" s="96"/>
      <c r="O110" s="97" t="n">
        <f aca="false">IF(AND(F110="",G110=""),0,J110-N(L110)-N(M110)-N(N110))</f>
        <v>0</v>
      </c>
      <c r="P110" s="97" t="n">
        <f aca="false">K110+O110</f>
        <v>0</v>
      </c>
      <c r="Q110" s="98" t="n">
        <f aca="false">E110-P110</f>
        <v>3165200</v>
      </c>
      <c r="R110" s="96" t="n">
        <v>125</v>
      </c>
      <c r="S110" s="96" t="n">
        <v>61</v>
      </c>
      <c r="T110" s="97" t="n">
        <f aca="false">IF(N(S110)=0,"",Q110/S110)</f>
        <v>51888.5245901639</v>
      </c>
      <c r="U110" s="99" t="str">
        <f aca="false">IF(E110=0,"",IF(AND(N(C110)&gt;0,F110="",G110=""),"Belum direalisasi",IF(AND(N(D110)&gt;0,H110=""),"EDC belum settle",IF(ABS(O110)&gt;50000,"Cek selisih tunai","OK"))))</f>
        <v>OK</v>
      </c>
    </row>
    <row r="111" customFormat="false" ht="15" hidden="false" customHeight="false" outlineLevel="0" collapsed="false">
      <c r="A111" s="94" t="n">
        <v>46129</v>
      </c>
      <c r="B111" s="95" t="n">
        <f aca="false">MONTH(A111)</f>
        <v>4</v>
      </c>
      <c r="C111" s="96" t="n">
        <v>762000</v>
      </c>
      <c r="D111" s="96" t="n">
        <v>3035650</v>
      </c>
      <c r="E111" s="97" t="n">
        <f aca="false">N(C111)+N(D111)</f>
        <v>3797650</v>
      </c>
      <c r="F111" s="96" t="n">
        <v>80000</v>
      </c>
      <c r="G111" s="96" t="n">
        <v>682000</v>
      </c>
      <c r="H111" s="96" t="n">
        <v>3035650</v>
      </c>
      <c r="I111" s="97" t="n">
        <f aca="false">N(F111)+N(G111)+N(H111)</f>
        <v>3797650</v>
      </c>
      <c r="J111" s="97" t="n">
        <f aca="false">IF(AND(F111="",G111=""),0,N(C111)-N(F111)-N(G111))</f>
        <v>0</v>
      </c>
      <c r="K111" s="97" t="n">
        <f aca="false">IF(H111="",0,N(D111)-N(H111))</f>
        <v>0</v>
      </c>
      <c r="L111" s="96"/>
      <c r="M111" s="96"/>
      <c r="N111" s="96"/>
      <c r="O111" s="97" t="n">
        <f aca="false">IF(AND(F111="",G111=""),0,J111-N(L111)-N(M111)-N(N111))</f>
        <v>0</v>
      </c>
      <c r="P111" s="97" t="n">
        <f aca="false">K111+O111</f>
        <v>0</v>
      </c>
      <c r="Q111" s="98" t="n">
        <f aca="false">E111-P111</f>
        <v>3797650</v>
      </c>
      <c r="R111" s="96" t="n">
        <v>151</v>
      </c>
      <c r="S111" s="96" t="n">
        <v>88</v>
      </c>
      <c r="T111" s="97" t="n">
        <f aca="false">IF(N(S111)=0,"",Q111/S111)</f>
        <v>43155.1136363636</v>
      </c>
      <c r="U111" s="99" t="str">
        <f aca="false">IF(E111=0,"",IF(AND(N(C111)&gt;0,F111="",G111=""),"Belum direalisasi",IF(AND(N(D111)&gt;0,H111=""),"EDC belum settle",IF(ABS(O111)&gt;50000,"Cek selisih tunai","OK"))))</f>
        <v>OK</v>
      </c>
    </row>
    <row r="112" customFormat="false" ht="15" hidden="false" customHeight="false" outlineLevel="0" collapsed="false">
      <c r="A112" s="94" t="n">
        <v>46130</v>
      </c>
      <c r="B112" s="95" t="n">
        <f aca="false">MONTH(A112)</f>
        <v>4</v>
      </c>
      <c r="C112" s="96" t="n">
        <v>1717500</v>
      </c>
      <c r="D112" s="96" t="n">
        <v>3946200</v>
      </c>
      <c r="E112" s="97" t="n">
        <f aca="false">N(C112)+N(D112)</f>
        <v>5663700</v>
      </c>
      <c r="F112" s="96" t="n">
        <v>440000</v>
      </c>
      <c r="G112" s="96" t="n">
        <v>982000</v>
      </c>
      <c r="H112" s="96" t="n">
        <v>3946087</v>
      </c>
      <c r="I112" s="97" t="n">
        <f aca="false">N(F112)+N(G112)+N(H112)</f>
        <v>5368087</v>
      </c>
      <c r="J112" s="97" t="n">
        <f aca="false">IF(AND(F112="",G112=""),0,N(C112)-N(F112)-N(G112))</f>
        <v>295500</v>
      </c>
      <c r="K112" s="97" t="n">
        <f aca="false">IF(H112="",0,N(D112)-N(H112))</f>
        <v>113</v>
      </c>
      <c r="L112" s="96" t="n">
        <v>85800</v>
      </c>
      <c r="M112" s="96" t="n">
        <v>87000</v>
      </c>
      <c r="N112" s="96" t="n">
        <v>122700</v>
      </c>
      <c r="O112" s="97" t="n">
        <f aca="false">IF(AND(F112="",G112=""),0,J112-N(L112)-N(M112)-N(N112))</f>
        <v>0</v>
      </c>
      <c r="P112" s="97" t="n">
        <f aca="false">K112+O112</f>
        <v>113</v>
      </c>
      <c r="Q112" s="98" t="n">
        <f aca="false">E112-P112</f>
        <v>5663587</v>
      </c>
      <c r="R112" s="96" t="n">
        <v>218</v>
      </c>
      <c r="S112" s="96" t="n">
        <v>116</v>
      </c>
      <c r="T112" s="97" t="n">
        <f aca="false">IF(N(S112)=0,"",Q112/S112)</f>
        <v>48824.025862069</v>
      </c>
      <c r="U112" s="99" t="str">
        <f aca="false">IF(E112=0,"",IF(AND(N(C112)&gt;0,F112="",G112=""),"Belum direalisasi",IF(AND(N(D112)&gt;0,H112=""),"EDC belum settle",IF(ABS(O112)&gt;50000,"Cek selisih tunai","OK"))))</f>
        <v>OK</v>
      </c>
    </row>
    <row r="113" customFormat="false" ht="15" hidden="false" customHeight="false" outlineLevel="0" collapsed="false">
      <c r="A113" s="94" t="n">
        <v>46131</v>
      </c>
      <c r="B113" s="95" t="n">
        <f aca="false">MONTH(A113)</f>
        <v>4</v>
      </c>
      <c r="C113" s="96" t="n">
        <v>1250500</v>
      </c>
      <c r="D113" s="96" t="n">
        <v>2588800</v>
      </c>
      <c r="E113" s="97" t="n">
        <f aca="false">N(C113)+N(D113)</f>
        <v>3839300</v>
      </c>
      <c r="F113" s="96" t="n">
        <v>544000</v>
      </c>
      <c r="G113" s="96" t="n">
        <v>707000</v>
      </c>
      <c r="H113" s="96" t="n">
        <v>2588668</v>
      </c>
      <c r="I113" s="97" t="n">
        <f aca="false">N(F113)+N(G113)+N(H113)</f>
        <v>3839668</v>
      </c>
      <c r="J113" s="97" t="n">
        <f aca="false">IF(AND(F113="",G113=""),0,N(C113)-N(F113)-N(G113))</f>
        <v>-500</v>
      </c>
      <c r="K113" s="97" t="n">
        <f aca="false">IF(H113="",0,N(D113)-N(H113))</f>
        <v>132</v>
      </c>
      <c r="L113" s="96"/>
      <c r="M113" s="96"/>
      <c r="N113" s="96"/>
      <c r="O113" s="97" t="n">
        <f aca="false">IF(AND(F113="",G113=""),0,J113-N(L113)-N(M113)-N(N113))</f>
        <v>-500</v>
      </c>
      <c r="P113" s="97" t="n">
        <f aca="false">K113+O113</f>
        <v>-368</v>
      </c>
      <c r="Q113" s="98" t="n">
        <f aca="false">E113-P113</f>
        <v>3839668</v>
      </c>
      <c r="R113" s="96" t="n">
        <v>148</v>
      </c>
      <c r="S113" s="96" t="n">
        <v>73</v>
      </c>
      <c r="T113" s="97" t="n">
        <f aca="false">IF(N(S113)=0,"",Q113/S113)</f>
        <v>52598.1917808219</v>
      </c>
      <c r="U113" s="99" t="str">
        <f aca="false">IF(E113=0,"",IF(AND(N(C113)&gt;0,F113="",G113=""),"Belum direalisasi",IF(AND(N(D113)&gt;0,H113=""),"EDC belum settle",IF(ABS(O113)&gt;50000,"Cek selisih tunai","OK"))))</f>
        <v>OK</v>
      </c>
    </row>
    <row r="114" customFormat="false" ht="15" hidden="false" customHeight="false" outlineLevel="0" collapsed="false">
      <c r="A114" s="94" t="n">
        <v>46132</v>
      </c>
      <c r="B114" s="95" t="n">
        <f aca="false">MONTH(A114)</f>
        <v>4</v>
      </c>
      <c r="C114" s="96" t="n">
        <v>569000</v>
      </c>
      <c r="D114" s="96" t="n">
        <v>1257950</v>
      </c>
      <c r="E114" s="97" t="n">
        <f aca="false">N(C114)+N(D114)</f>
        <v>1826950</v>
      </c>
      <c r="F114" s="96" t="n">
        <v>50000</v>
      </c>
      <c r="G114" s="96" t="n">
        <v>494000</v>
      </c>
      <c r="H114" s="96" t="n">
        <v>1257950</v>
      </c>
      <c r="I114" s="97" t="n">
        <f aca="false">N(F114)+N(G114)+N(H114)</f>
        <v>1801950</v>
      </c>
      <c r="J114" s="97" t="n">
        <f aca="false">IF(AND(F114="",G114=""),0,N(C114)-N(F114)-N(G114))</f>
        <v>25000</v>
      </c>
      <c r="K114" s="97" t="n">
        <f aca="false">IF(H114="",0,N(D114)-N(H114))</f>
        <v>0</v>
      </c>
      <c r="L114" s="96"/>
      <c r="M114" s="96"/>
      <c r="N114" s="96"/>
      <c r="O114" s="97" t="n">
        <f aca="false">IF(AND(F114="",G114=""),0,J114-N(L114)-N(M114)-N(N114))</f>
        <v>25000</v>
      </c>
      <c r="P114" s="97" t="n">
        <f aca="false">K114+O114</f>
        <v>25000</v>
      </c>
      <c r="Q114" s="98" t="n">
        <f aca="false">E114-P114</f>
        <v>1801950</v>
      </c>
      <c r="R114" s="96" t="n">
        <v>71</v>
      </c>
      <c r="S114" s="96" t="n">
        <v>40</v>
      </c>
      <c r="T114" s="97" t="n">
        <f aca="false">IF(N(S114)=0,"",Q114/S114)</f>
        <v>45048.75</v>
      </c>
      <c r="U114" s="99" t="str">
        <f aca="false">IF(E114=0,"",IF(AND(N(C114)&gt;0,F114="",G114=""),"Belum direalisasi",IF(AND(N(D114)&gt;0,H114=""),"EDC belum settle",IF(ABS(O114)&gt;50000,"Cek selisih tunai","OK"))))</f>
        <v>OK</v>
      </c>
    </row>
    <row r="115" customFormat="false" ht="15" hidden="false" customHeight="false" outlineLevel="0" collapsed="false">
      <c r="A115" s="94" t="n">
        <v>46133</v>
      </c>
      <c r="B115" s="95" t="n">
        <f aca="false">MONTH(A115)</f>
        <v>4</v>
      </c>
      <c r="C115" s="96" t="n">
        <v>659300</v>
      </c>
      <c r="D115" s="96" t="n">
        <v>1350650</v>
      </c>
      <c r="E115" s="97" t="n">
        <f aca="false">N(C115)+N(D115)</f>
        <v>2009950</v>
      </c>
      <c r="F115" s="96" t="n">
        <v>72500</v>
      </c>
      <c r="G115" s="96" t="n">
        <v>430000</v>
      </c>
      <c r="H115" s="96" t="n">
        <v>1350618</v>
      </c>
      <c r="I115" s="97" t="n">
        <f aca="false">N(F115)+N(G115)+N(H115)</f>
        <v>1853118</v>
      </c>
      <c r="J115" s="97" t="n">
        <f aca="false">IF(AND(F115="",G115=""),0,N(C115)-N(F115)-N(G115))</f>
        <v>156800</v>
      </c>
      <c r="K115" s="97" t="n">
        <f aca="false">IF(H115="",0,N(D115)-N(H115))</f>
        <v>32</v>
      </c>
      <c r="L115" s="96" t="n">
        <v>22500</v>
      </c>
      <c r="M115" s="96" t="n">
        <v>90000</v>
      </c>
      <c r="N115" s="96" t="n">
        <v>45000</v>
      </c>
      <c r="O115" s="97" t="n">
        <f aca="false">IF(AND(F115="",G115=""),0,J115-N(L115)-N(M115)-N(N115))</f>
        <v>-700</v>
      </c>
      <c r="P115" s="97" t="n">
        <f aca="false">K115+O115</f>
        <v>-668</v>
      </c>
      <c r="Q115" s="98" t="n">
        <f aca="false">E115-P115</f>
        <v>2010618</v>
      </c>
      <c r="R115" s="96" t="n">
        <v>81</v>
      </c>
      <c r="S115" s="96" t="n">
        <v>44</v>
      </c>
      <c r="T115" s="97" t="n">
        <f aca="false">IF(N(S115)=0,"",Q115/S115)</f>
        <v>45695.8636363636</v>
      </c>
      <c r="U115" s="99" t="str">
        <f aca="false">IF(E115=0,"",IF(AND(N(C115)&gt;0,F115="",G115=""),"Belum direalisasi",IF(AND(N(D115)&gt;0,H115=""),"EDC belum settle",IF(ABS(O115)&gt;50000,"Cek selisih tunai","OK"))))</f>
        <v>OK</v>
      </c>
    </row>
    <row r="116" customFormat="false" ht="15" hidden="false" customHeight="false" outlineLevel="0" collapsed="false">
      <c r="A116" s="94" t="n">
        <v>46134</v>
      </c>
      <c r="B116" s="95" t="n">
        <f aca="false">MONTH(A116)</f>
        <v>4</v>
      </c>
      <c r="C116" s="96" t="n">
        <v>869200</v>
      </c>
      <c r="D116" s="96" t="n">
        <v>1602300</v>
      </c>
      <c r="E116" s="97" t="n">
        <f aca="false">N(C116)+N(D116)</f>
        <v>2471500</v>
      </c>
      <c r="F116" s="96" t="n">
        <v>85000</v>
      </c>
      <c r="G116" s="96" t="n">
        <v>530000</v>
      </c>
      <c r="H116" s="96" t="n">
        <v>1601991</v>
      </c>
      <c r="I116" s="97" t="n">
        <f aca="false">N(F116)+N(G116)+N(H116)</f>
        <v>2216991</v>
      </c>
      <c r="J116" s="97" t="n">
        <f aca="false">IF(AND(F116="",G116=""),0,N(C116)-N(F116)-N(G116))</f>
        <v>254200</v>
      </c>
      <c r="K116" s="97" t="n">
        <f aca="false">IF(H116="",0,N(D116)-N(H116))</f>
        <v>309</v>
      </c>
      <c r="L116" s="96"/>
      <c r="M116" s="96" t="n">
        <v>155000</v>
      </c>
      <c r="N116" s="96" t="n">
        <v>98200</v>
      </c>
      <c r="O116" s="97" t="n">
        <f aca="false">IF(AND(F116="",G116=""),0,J116-N(L116)-N(M116)-N(N116))</f>
        <v>1000</v>
      </c>
      <c r="P116" s="97" t="n">
        <f aca="false">K116+O116</f>
        <v>1309</v>
      </c>
      <c r="Q116" s="98" t="n">
        <f aca="false">E116-P116</f>
        <v>2470191</v>
      </c>
      <c r="R116" s="96" t="n">
        <v>93</v>
      </c>
      <c r="S116" s="96" t="n">
        <v>46</v>
      </c>
      <c r="T116" s="97" t="n">
        <f aca="false">IF(N(S116)=0,"",Q116/S116)</f>
        <v>53699.8043478261</v>
      </c>
      <c r="U116" s="99" t="str">
        <f aca="false">IF(E116=0,"",IF(AND(N(C116)&gt;0,F116="",G116=""),"Belum direalisasi",IF(AND(N(D116)&gt;0,H116=""),"EDC belum settle",IF(ABS(O116)&gt;50000,"Cek selisih tunai","OK"))))</f>
        <v>OK</v>
      </c>
    </row>
    <row r="117" customFormat="false" ht="15" hidden="false" customHeight="false" outlineLevel="0" collapsed="false">
      <c r="A117" s="94" t="n">
        <v>46135</v>
      </c>
      <c r="B117" s="95" t="n">
        <f aca="false">MONTH(A117)</f>
        <v>4</v>
      </c>
      <c r="C117" s="96" t="n">
        <v>622750</v>
      </c>
      <c r="D117" s="96" t="n">
        <v>1713900</v>
      </c>
      <c r="E117" s="97" t="n">
        <f aca="false">N(C117)+N(D117)</f>
        <v>2336650</v>
      </c>
      <c r="F117" s="96" t="n">
        <v>275000</v>
      </c>
      <c r="G117" s="96" t="n">
        <v>348000</v>
      </c>
      <c r="H117" s="96" t="n">
        <v>1718900</v>
      </c>
      <c r="I117" s="97" t="n">
        <f aca="false">N(F117)+N(G117)+N(H117)</f>
        <v>2341900</v>
      </c>
      <c r="J117" s="97" t="n">
        <f aca="false">IF(AND(F117="",G117=""),0,N(C117)-N(F117)-N(G117))</f>
        <v>-250</v>
      </c>
      <c r="K117" s="97" t="n">
        <f aca="false">IF(H117="",0,N(D117)-N(H117))</f>
        <v>-5000</v>
      </c>
      <c r="L117" s="96"/>
      <c r="M117" s="96"/>
      <c r="N117" s="96"/>
      <c r="O117" s="97" t="n">
        <f aca="false">IF(AND(F117="",G117=""),0,J117-N(L117)-N(M117)-N(N117))</f>
        <v>-250</v>
      </c>
      <c r="P117" s="97" t="n">
        <f aca="false">K117+O117</f>
        <v>-5250</v>
      </c>
      <c r="Q117" s="98" t="n">
        <f aca="false">E117-P117</f>
        <v>2341900</v>
      </c>
      <c r="R117" s="96" t="n">
        <v>91</v>
      </c>
      <c r="S117" s="96" t="n">
        <v>48</v>
      </c>
      <c r="T117" s="97" t="n">
        <f aca="false">IF(N(S117)=0,"",Q117/S117)</f>
        <v>48789.5833333333</v>
      </c>
      <c r="U117" s="99" t="str">
        <f aca="false">IF(E117=0,"",IF(AND(N(C117)&gt;0,F117="",G117=""),"Belum direalisasi",IF(AND(N(D117)&gt;0,H117=""),"EDC belum settle",IF(ABS(O117)&gt;50000,"Cek selisih tunai","OK"))))</f>
        <v>OK</v>
      </c>
    </row>
    <row r="118" customFormat="false" ht="15" hidden="false" customHeight="false" outlineLevel="0" collapsed="false">
      <c r="A118" s="94" t="n">
        <v>46136</v>
      </c>
      <c r="B118" s="95" t="n">
        <f aca="false">MONTH(A118)</f>
        <v>4</v>
      </c>
      <c r="C118" s="96" t="n">
        <v>813500</v>
      </c>
      <c r="D118" s="96" t="n">
        <v>1523000</v>
      </c>
      <c r="E118" s="97" t="n">
        <f aca="false">N(C118)+N(D118)</f>
        <v>2336500</v>
      </c>
      <c r="F118" s="96" t="n">
        <v>110000</v>
      </c>
      <c r="G118" s="96" t="n">
        <v>599000</v>
      </c>
      <c r="H118" s="96" t="n">
        <v>1550410</v>
      </c>
      <c r="I118" s="97" t="n">
        <f aca="false">N(F118)+N(G118)+N(H118)</f>
        <v>2259410</v>
      </c>
      <c r="J118" s="97" t="n">
        <f aca="false">IF(AND(F118="",G118=""),0,N(C118)-N(F118)-N(G118))</f>
        <v>104500</v>
      </c>
      <c r="K118" s="97" t="n">
        <f aca="false">IF(H118="",0,N(D118)-N(H118))</f>
        <v>-27410</v>
      </c>
      <c r="L118" s="96" t="n">
        <v>49500</v>
      </c>
      <c r="M118" s="96" t="n">
        <v>25000</v>
      </c>
      <c r="N118" s="96" t="n">
        <v>30000</v>
      </c>
      <c r="O118" s="97" t="n">
        <f aca="false">IF(AND(F118="",G118=""),0,J118-N(L118)-N(M118)-N(N118))</f>
        <v>0</v>
      </c>
      <c r="P118" s="97" t="n">
        <f aca="false">K118+O118</f>
        <v>-27410</v>
      </c>
      <c r="Q118" s="98" t="n">
        <f aca="false">E118-P118</f>
        <v>2363910</v>
      </c>
      <c r="R118" s="96" t="n">
        <v>91</v>
      </c>
      <c r="S118" s="96" t="n">
        <v>50</v>
      </c>
      <c r="T118" s="97" t="n">
        <f aca="false">IF(N(S118)=0,"",Q118/S118)</f>
        <v>47278.2</v>
      </c>
      <c r="U118" s="99" t="str">
        <f aca="false">IF(E118=0,"",IF(AND(N(C118)&gt;0,F118="",G118=""),"Belum direalisasi",IF(AND(N(D118)&gt;0,H118=""),"EDC belum settle",IF(ABS(O118)&gt;50000,"Cek selisih tunai","OK"))))</f>
        <v>OK</v>
      </c>
    </row>
    <row r="119" customFormat="false" ht="15" hidden="false" customHeight="false" outlineLevel="0" collapsed="false">
      <c r="A119" s="94" t="n">
        <v>46137</v>
      </c>
      <c r="B119" s="95" t="n">
        <f aca="false">MONTH(A119)</f>
        <v>4</v>
      </c>
      <c r="C119" s="96" t="n">
        <v>1873800</v>
      </c>
      <c r="D119" s="96" t="n">
        <v>2568700</v>
      </c>
      <c r="E119" s="97" t="n">
        <f aca="false">N(C119)+N(D119)</f>
        <v>4442500</v>
      </c>
      <c r="F119" s="96" t="n">
        <v>400000</v>
      </c>
      <c r="G119" s="96" t="n">
        <v>1361000</v>
      </c>
      <c r="H119" s="96" t="n">
        <v>2568662</v>
      </c>
      <c r="I119" s="97" t="n">
        <f aca="false">N(F119)+N(G119)+N(H119)</f>
        <v>4329662</v>
      </c>
      <c r="J119" s="97" t="n">
        <f aca="false">IF(AND(F119="",G119=""),0,N(C119)-N(F119)-N(G119))</f>
        <v>112800</v>
      </c>
      <c r="K119" s="97" t="n">
        <f aca="false">IF(H119="",0,N(D119)-N(H119))</f>
        <v>38</v>
      </c>
      <c r="L119" s="96"/>
      <c r="M119" s="96"/>
      <c r="N119" s="96" t="n">
        <v>113200</v>
      </c>
      <c r="O119" s="97" t="n">
        <f aca="false">IF(AND(F119="",G119=""),0,J119-N(L119)-N(M119)-N(N119))</f>
        <v>-400</v>
      </c>
      <c r="P119" s="97" t="n">
        <f aca="false">K119+O119</f>
        <v>-362</v>
      </c>
      <c r="Q119" s="98" t="n">
        <f aca="false">E119-P119</f>
        <v>4442862</v>
      </c>
      <c r="R119" s="96" t="n">
        <v>170</v>
      </c>
      <c r="S119" s="96" t="n">
        <v>92</v>
      </c>
      <c r="T119" s="97" t="n">
        <f aca="false">IF(N(S119)=0,"",Q119/S119)</f>
        <v>48291.9782608696</v>
      </c>
      <c r="U119" s="99" t="str">
        <f aca="false">IF(E119=0,"",IF(AND(N(C119)&gt;0,F119="",G119=""),"Belum direalisasi",IF(AND(N(D119)&gt;0,H119=""),"EDC belum settle",IF(ABS(O119)&gt;50000,"Cek selisih tunai","OK"))))</f>
        <v>OK</v>
      </c>
    </row>
    <row r="120" customFormat="false" ht="15" hidden="false" customHeight="false" outlineLevel="0" collapsed="false">
      <c r="A120" s="94" t="n">
        <v>46138</v>
      </c>
      <c r="B120" s="95" t="n">
        <f aca="false">MONTH(A120)</f>
        <v>4</v>
      </c>
      <c r="C120" s="96" t="n">
        <v>838700</v>
      </c>
      <c r="D120" s="96" t="n">
        <v>2306200</v>
      </c>
      <c r="E120" s="97" t="n">
        <f aca="false">N(C120)+N(D120)</f>
        <v>3144900</v>
      </c>
      <c r="F120" s="96" t="n">
        <v>329000</v>
      </c>
      <c r="G120" s="96" t="n">
        <v>510000</v>
      </c>
      <c r="H120" s="96" t="n">
        <v>2177200</v>
      </c>
      <c r="I120" s="97" t="n">
        <f aca="false">N(F120)+N(G120)+N(H120)</f>
        <v>3016200</v>
      </c>
      <c r="J120" s="97" t="n">
        <f aca="false">IF(AND(F120="",G120=""),0,N(C120)-N(F120)-N(G120))</f>
        <v>-300</v>
      </c>
      <c r="K120" s="97" t="n">
        <f aca="false">IF(H120="",0,N(D120)-N(H120))</f>
        <v>129000</v>
      </c>
      <c r="L120" s="96"/>
      <c r="M120" s="96"/>
      <c r="N120" s="96"/>
      <c r="O120" s="97" t="n">
        <f aca="false">IF(AND(F120="",G120=""),0,J120-N(L120)-N(M120)-N(N120))</f>
        <v>-300</v>
      </c>
      <c r="P120" s="97" t="n">
        <f aca="false">K120+O120</f>
        <v>128700</v>
      </c>
      <c r="Q120" s="98" t="n">
        <f aca="false">E120-P120</f>
        <v>3016200</v>
      </c>
      <c r="R120" s="96" t="n">
        <v>120</v>
      </c>
      <c r="S120" s="96" t="n">
        <v>72</v>
      </c>
      <c r="T120" s="97" t="n">
        <f aca="false">IF(N(S120)=0,"",Q120/S120)</f>
        <v>41891.6666666667</v>
      </c>
      <c r="U120" s="99" t="str">
        <f aca="false">IF(E120=0,"",IF(AND(N(C120)&gt;0,F120="",G120=""),"Belum direalisasi",IF(AND(N(D120)&gt;0,H120=""),"EDC belum settle",IF(ABS(O120)&gt;50000,"Cek selisih tunai","OK"))))</f>
        <v>OK</v>
      </c>
    </row>
    <row r="121" customFormat="false" ht="15" hidden="false" customHeight="false" outlineLevel="0" collapsed="false">
      <c r="A121" s="94" t="n">
        <v>46139</v>
      </c>
      <c r="B121" s="95" t="n">
        <f aca="false">MONTH(A121)</f>
        <v>4</v>
      </c>
      <c r="C121" s="96" t="n">
        <v>804000</v>
      </c>
      <c r="D121" s="96" t="n">
        <v>2379950</v>
      </c>
      <c r="E121" s="97" t="n">
        <f aca="false">N(C121)+N(D121)</f>
        <v>3183950</v>
      </c>
      <c r="F121" s="96" t="n">
        <v>50000</v>
      </c>
      <c r="G121" s="96" t="n">
        <v>754000</v>
      </c>
      <c r="H121" s="96" t="n">
        <v>2321950</v>
      </c>
      <c r="I121" s="97" t="n">
        <f aca="false">N(F121)+N(G121)+N(H121)</f>
        <v>3125950</v>
      </c>
      <c r="J121" s="97" t="n">
        <f aca="false">IF(AND(F121="",G121=""),0,N(C121)-N(F121)-N(G121))</f>
        <v>0</v>
      </c>
      <c r="K121" s="97" t="n">
        <f aca="false">IF(H121="",0,N(D121)-N(H121))</f>
        <v>58000</v>
      </c>
      <c r="L121" s="96"/>
      <c r="M121" s="96"/>
      <c r="N121" s="96"/>
      <c r="O121" s="97" t="n">
        <f aca="false">IF(AND(F121="",G121=""),0,J121-N(L121)-N(M121)-N(N121))</f>
        <v>0</v>
      </c>
      <c r="P121" s="97" t="n">
        <f aca="false">K121+O121</f>
        <v>58000</v>
      </c>
      <c r="Q121" s="98" t="n">
        <f aca="false">E121-P121</f>
        <v>3125950</v>
      </c>
      <c r="R121" s="96" t="n">
        <v>126</v>
      </c>
      <c r="S121" s="96" t="n">
        <v>62</v>
      </c>
      <c r="T121" s="97" t="n">
        <f aca="false">IF(N(S121)=0,"",Q121/S121)</f>
        <v>50418.5483870968</v>
      </c>
      <c r="U121" s="99" t="str">
        <f aca="false">IF(E121=0,"",IF(AND(N(C121)&gt;0,F121="",G121=""),"Belum direalisasi",IF(AND(N(D121)&gt;0,H121=""),"EDC belum settle",IF(ABS(O121)&gt;50000,"Cek selisih tunai","OK"))))</f>
        <v>OK</v>
      </c>
    </row>
    <row r="122" customFormat="false" ht="15" hidden="false" customHeight="false" outlineLevel="0" collapsed="false">
      <c r="A122" s="94" t="n">
        <v>46140</v>
      </c>
      <c r="B122" s="95" t="n">
        <f aca="false">MONTH(A122)</f>
        <v>4</v>
      </c>
      <c r="C122" s="96" t="n">
        <v>339600</v>
      </c>
      <c r="D122" s="96" t="n">
        <v>1665200</v>
      </c>
      <c r="E122" s="97" t="n">
        <f aca="false">N(C122)+N(D122)</f>
        <v>2004800</v>
      </c>
      <c r="F122" s="96" t="n">
        <v>47000</v>
      </c>
      <c r="G122" s="96" t="n">
        <v>197000</v>
      </c>
      <c r="H122" s="96" t="n">
        <v>1851919</v>
      </c>
      <c r="I122" s="97" t="n">
        <f aca="false">N(F122)+N(G122)+N(H122)</f>
        <v>2095919</v>
      </c>
      <c r="J122" s="97" t="n">
        <f aca="false">IF(AND(F122="",G122=""),0,N(C122)-N(F122)-N(G122))</f>
        <v>95600</v>
      </c>
      <c r="K122" s="97" t="n">
        <f aca="false">IF(H122="",0,N(D122)-N(H122))</f>
        <v>-186719</v>
      </c>
      <c r="L122" s="96"/>
      <c r="M122" s="96" t="n">
        <v>22500</v>
      </c>
      <c r="N122" s="96" t="n">
        <v>72900</v>
      </c>
      <c r="O122" s="97" t="n">
        <f aca="false">IF(AND(F122="",G122=""),0,J122-N(L122)-N(M122)-N(N122))</f>
        <v>200</v>
      </c>
      <c r="P122" s="97" t="n">
        <f aca="false">K122+O122</f>
        <v>-186519</v>
      </c>
      <c r="Q122" s="98" t="n">
        <f aca="false">E122-P122</f>
        <v>2191319</v>
      </c>
      <c r="R122" s="96" t="n">
        <v>79</v>
      </c>
      <c r="S122" s="96" t="n">
        <v>48</v>
      </c>
      <c r="T122" s="97" t="n">
        <f aca="false">IF(N(S122)=0,"",Q122/S122)</f>
        <v>45652.4791666667</v>
      </c>
      <c r="U122" s="99" t="str">
        <f aca="false">IF(E122=0,"",IF(AND(N(C122)&gt;0,F122="",G122=""),"Belum direalisasi",IF(AND(N(D122)&gt;0,H122=""),"EDC belum settle",IF(ABS(O122)&gt;50000,"Cek selisih tunai","OK"))))</f>
        <v>OK</v>
      </c>
    </row>
    <row r="123" customFormat="false" ht="15" hidden="false" customHeight="false" outlineLevel="0" collapsed="false">
      <c r="A123" s="94" t="n">
        <v>46141</v>
      </c>
      <c r="B123" s="95" t="n">
        <f aca="false">MONTH(A123)</f>
        <v>4</v>
      </c>
      <c r="C123" s="96" t="n">
        <v>834200</v>
      </c>
      <c r="D123" s="96" t="n">
        <v>1394000</v>
      </c>
      <c r="E123" s="97" t="n">
        <f aca="false">N(C123)+N(D123)</f>
        <v>2228200</v>
      </c>
      <c r="F123" s="96" t="n">
        <v>157000</v>
      </c>
      <c r="G123" s="96" t="n">
        <v>543000</v>
      </c>
      <c r="H123" s="96" t="n">
        <v>1394000</v>
      </c>
      <c r="I123" s="97" t="n">
        <f aca="false">N(F123)+N(G123)+N(H123)</f>
        <v>2094000</v>
      </c>
      <c r="J123" s="97" t="n">
        <f aca="false">IF(AND(F123="",G123=""),0,N(C123)-N(F123)-N(G123))</f>
        <v>134200</v>
      </c>
      <c r="K123" s="97" t="n">
        <f aca="false">IF(H123="",0,N(D123)-N(H123))</f>
        <v>0</v>
      </c>
      <c r="L123" s="96"/>
      <c r="M123" s="96"/>
      <c r="N123" s="96" t="n">
        <v>134700</v>
      </c>
      <c r="O123" s="97" t="n">
        <f aca="false">IF(AND(F123="",G123=""),0,J123-N(L123)-N(M123)-N(N123))</f>
        <v>-500</v>
      </c>
      <c r="P123" s="97" t="n">
        <f aca="false">K123+O123</f>
        <v>-500</v>
      </c>
      <c r="Q123" s="98" t="n">
        <f aca="false">E123-P123</f>
        <v>2228700</v>
      </c>
      <c r="R123" s="96" t="n">
        <v>86</v>
      </c>
      <c r="S123" s="96" t="n">
        <v>46</v>
      </c>
      <c r="T123" s="97" t="n">
        <f aca="false">IF(N(S123)=0,"",Q123/S123)</f>
        <v>48450</v>
      </c>
      <c r="U123" s="99" t="str">
        <f aca="false">IF(E123=0,"",IF(AND(N(C123)&gt;0,F123="",G123=""),"Belum direalisasi",IF(AND(N(D123)&gt;0,H123=""),"EDC belum settle",IF(ABS(O123)&gt;50000,"Cek selisih tunai","OK"))))</f>
        <v>OK</v>
      </c>
    </row>
    <row r="124" customFormat="false" ht="15" hidden="false" customHeight="false" outlineLevel="0" collapsed="false">
      <c r="A124" s="94" t="n">
        <v>46142</v>
      </c>
      <c r="B124" s="95" t="n">
        <f aca="false">MONTH(A124)</f>
        <v>4</v>
      </c>
      <c r="C124" s="96" t="n">
        <v>466000</v>
      </c>
      <c r="D124" s="96" t="n">
        <v>1178100</v>
      </c>
      <c r="E124" s="97" t="n">
        <f aca="false">N(C124)+N(D124)</f>
        <v>1644100</v>
      </c>
      <c r="F124" s="96" t="n">
        <v>100000</v>
      </c>
      <c r="G124" s="96" t="n">
        <v>366000</v>
      </c>
      <c r="H124" s="96" t="n">
        <v>1178100</v>
      </c>
      <c r="I124" s="97" t="n">
        <f aca="false">N(F124)+N(G124)+N(H124)</f>
        <v>1644100</v>
      </c>
      <c r="J124" s="97" t="n">
        <f aca="false">IF(AND(F124="",G124=""),0,N(C124)-N(F124)-N(G124))</f>
        <v>0</v>
      </c>
      <c r="K124" s="97" t="n">
        <f aca="false">IF(H124="",0,N(D124)-N(H124))</f>
        <v>0</v>
      </c>
      <c r="L124" s="96"/>
      <c r="M124" s="96"/>
      <c r="N124" s="96"/>
      <c r="O124" s="97" t="n">
        <f aca="false">IF(AND(F124="",G124=""),0,J124-N(L124)-N(M124)-N(N124))</f>
        <v>0</v>
      </c>
      <c r="P124" s="97" t="n">
        <f aca="false">K124+O124</f>
        <v>0</v>
      </c>
      <c r="Q124" s="98" t="n">
        <f aca="false">E124-P124</f>
        <v>1644100</v>
      </c>
      <c r="R124" s="96" t="n">
        <v>61</v>
      </c>
      <c r="S124" s="96" t="n">
        <v>34</v>
      </c>
      <c r="T124" s="97" t="n">
        <f aca="false">IF(N(S124)=0,"",Q124/S124)</f>
        <v>48355.8823529412</v>
      </c>
      <c r="U124" s="99" t="str">
        <f aca="false">IF(E124=0,"",IF(AND(N(C124)&gt;0,F124="",G124=""),"Belum direalisasi",IF(AND(N(D124)&gt;0,H124=""),"EDC belum settle",IF(ABS(O124)&gt;50000,"Cek selisih tunai","OK"))))</f>
        <v>OK</v>
      </c>
    </row>
    <row r="125" customFormat="false" ht="15" hidden="false" customHeight="false" outlineLevel="0" collapsed="false">
      <c r="A125" s="89" t="n">
        <v>46143</v>
      </c>
      <c r="B125" s="90" t="n">
        <f aca="false">MONTH(A125)</f>
        <v>5</v>
      </c>
      <c r="C125" s="91" t="n">
        <v>1649250</v>
      </c>
      <c r="D125" s="91" t="n">
        <v>3324900</v>
      </c>
      <c r="E125" s="92" t="n">
        <f aca="false">N(C125)+N(D125)</f>
        <v>4974150</v>
      </c>
      <c r="F125" s="91" t="n">
        <v>595000</v>
      </c>
      <c r="G125" s="91" t="n">
        <v>906000</v>
      </c>
      <c r="H125" s="91" t="n">
        <v>3324901</v>
      </c>
      <c r="I125" s="92" t="n">
        <f aca="false">N(F125)+N(G125)+N(H125)</f>
        <v>4825901</v>
      </c>
      <c r="J125" s="92" t="n">
        <f aca="false">IF(AND(F125="",G125=""),0,N(C125)-N(F125)-N(G125))</f>
        <v>148250</v>
      </c>
      <c r="K125" s="92" t="n">
        <f aca="false">IF(H125="",0,N(D125)-N(H125))</f>
        <v>-1</v>
      </c>
      <c r="L125" s="91" t="n">
        <v>126000</v>
      </c>
      <c r="M125" s="91" t="n">
        <v>22500</v>
      </c>
      <c r="N125" s="91"/>
      <c r="O125" s="92" t="n">
        <f aca="false">IF(AND(F125="",G125=""),0,J125-N(L125)-N(M125)-N(N125))</f>
        <v>-250</v>
      </c>
      <c r="P125" s="92" t="n">
        <f aca="false">K125+O125</f>
        <v>-251</v>
      </c>
      <c r="Q125" s="85" t="n">
        <f aca="false">E125-P125</f>
        <v>4974401</v>
      </c>
      <c r="R125" s="91" t="n">
        <v>195</v>
      </c>
      <c r="S125" s="91" t="n">
        <v>104</v>
      </c>
      <c r="T125" s="92" t="n">
        <f aca="false">IF(N(S125)=0,"",Q125/S125)</f>
        <v>47830.7788461538</v>
      </c>
      <c r="U125" s="93" t="str">
        <f aca="false">IF(E125=0,"",IF(AND(N(C125)&gt;0,F125="",G125=""),"Belum direalisasi",IF(AND(N(D125)&gt;0,H125=""),"EDC belum settle",IF(ABS(O125)&gt;50000,"Cek selisih tunai","OK"))))</f>
        <v>OK</v>
      </c>
    </row>
    <row r="126" customFormat="false" ht="15" hidden="false" customHeight="false" outlineLevel="0" collapsed="false">
      <c r="A126" s="89" t="n">
        <v>46144</v>
      </c>
      <c r="B126" s="90" t="n">
        <f aca="false">MONTH(A126)</f>
        <v>5</v>
      </c>
      <c r="C126" s="91" t="n">
        <v>1929700</v>
      </c>
      <c r="D126" s="91" t="n">
        <v>4069350</v>
      </c>
      <c r="E126" s="92" t="n">
        <f aca="false">N(C126)+N(D126)</f>
        <v>5999050</v>
      </c>
      <c r="F126" s="91" t="n">
        <v>792000</v>
      </c>
      <c r="G126" s="91" t="n">
        <v>994000</v>
      </c>
      <c r="H126" s="91" t="n">
        <v>4069250</v>
      </c>
      <c r="I126" s="92" t="n">
        <f aca="false">N(F126)+N(G126)+N(H126)</f>
        <v>5855250</v>
      </c>
      <c r="J126" s="92" t="n">
        <f aca="false">IF(AND(F126="",G126=""),0,N(C126)-N(F126)-N(G126))</f>
        <v>143700</v>
      </c>
      <c r="K126" s="92" t="n">
        <f aca="false">IF(H126="",0,N(D126)-N(H126))</f>
        <v>100</v>
      </c>
      <c r="L126" s="91"/>
      <c r="M126" s="91" t="n">
        <v>51000</v>
      </c>
      <c r="N126" s="91" t="n">
        <v>95400</v>
      </c>
      <c r="O126" s="92" t="n">
        <f aca="false">IF(AND(F126="",G126=""),0,J126-N(L126)-N(M126)-N(N126))</f>
        <v>-2700</v>
      </c>
      <c r="P126" s="92" t="n">
        <f aca="false">K126+O126</f>
        <v>-2600</v>
      </c>
      <c r="Q126" s="85" t="n">
        <f aca="false">E126-P126</f>
        <v>6001650</v>
      </c>
      <c r="R126" s="91" t="n">
        <v>248</v>
      </c>
      <c r="S126" s="91" t="n">
        <v>133</v>
      </c>
      <c r="T126" s="92" t="n">
        <f aca="false">IF(N(S126)=0,"",Q126/S126)</f>
        <v>45125.1879699248</v>
      </c>
      <c r="U126" s="93" t="str">
        <f aca="false">IF(E126=0,"",IF(AND(N(C126)&gt;0,F126="",G126=""),"Belum direalisasi",IF(AND(N(D126)&gt;0,H126=""),"EDC belum settle",IF(ABS(O126)&gt;50000,"Cek selisih tunai","OK"))))</f>
        <v>OK</v>
      </c>
    </row>
    <row r="127" customFormat="false" ht="15" hidden="false" customHeight="false" outlineLevel="0" collapsed="false">
      <c r="A127" s="89" t="n">
        <v>46145</v>
      </c>
      <c r="B127" s="90" t="n">
        <f aca="false">MONTH(A127)</f>
        <v>5</v>
      </c>
      <c r="C127" s="91" t="n">
        <v>1952550</v>
      </c>
      <c r="D127" s="91" t="n">
        <v>4792850</v>
      </c>
      <c r="E127" s="92" t="n">
        <f aca="false">N(C127)+N(D127)</f>
        <v>6745400</v>
      </c>
      <c r="F127" s="91" t="n">
        <v>855000</v>
      </c>
      <c r="G127" s="91" t="n">
        <v>983000</v>
      </c>
      <c r="H127" s="91" t="n">
        <v>4817600</v>
      </c>
      <c r="I127" s="92" t="n">
        <f aca="false">N(F127)+N(G127)+N(H127)</f>
        <v>6655600</v>
      </c>
      <c r="J127" s="92" t="n">
        <f aca="false">IF(AND(F127="",G127=""),0,N(C127)-N(F127)-N(G127))</f>
        <v>114550</v>
      </c>
      <c r="K127" s="92" t="n">
        <f aca="false">IF(H127="",0,N(D127)-N(H127))</f>
        <v>-24750</v>
      </c>
      <c r="L127" s="91"/>
      <c r="M127" s="91"/>
      <c r="N127" s="91" t="n">
        <v>114300</v>
      </c>
      <c r="O127" s="92" t="n">
        <f aca="false">IF(AND(F127="",G127=""),0,J127-N(L127)-N(M127)-N(N127))</f>
        <v>250</v>
      </c>
      <c r="P127" s="92" t="n">
        <f aca="false">K127+O127</f>
        <v>-24500</v>
      </c>
      <c r="Q127" s="85" t="n">
        <f aca="false">E127-P127</f>
        <v>6769900</v>
      </c>
      <c r="R127" s="91" t="n">
        <v>265</v>
      </c>
      <c r="S127" s="91" t="n">
        <v>142</v>
      </c>
      <c r="T127" s="92" t="n">
        <f aca="false">IF(N(S127)=0,"",Q127/S127)</f>
        <v>47675.3521126761</v>
      </c>
      <c r="U127" s="93" t="str">
        <f aca="false">IF(E127=0,"",IF(AND(N(C127)&gt;0,F127="",G127=""),"Belum direalisasi",IF(AND(N(D127)&gt;0,H127=""),"EDC belum settle",IF(ABS(O127)&gt;50000,"Cek selisih tunai","OK"))))</f>
        <v>OK</v>
      </c>
    </row>
    <row r="128" customFormat="false" ht="15" hidden="false" customHeight="false" outlineLevel="0" collapsed="false">
      <c r="A128" s="89" t="n">
        <v>46146</v>
      </c>
      <c r="B128" s="90" t="n">
        <f aca="false">MONTH(A128)</f>
        <v>5</v>
      </c>
      <c r="C128" s="91" t="n">
        <v>923500</v>
      </c>
      <c r="D128" s="91" t="n">
        <v>1898800</v>
      </c>
      <c r="E128" s="92" t="n">
        <f aca="false">N(C128)+N(D128)</f>
        <v>2822300</v>
      </c>
      <c r="F128" s="91" t="n">
        <v>365000</v>
      </c>
      <c r="G128" s="91" t="n">
        <v>296100</v>
      </c>
      <c r="H128" s="91" t="n">
        <v>1898723</v>
      </c>
      <c r="I128" s="92" t="n">
        <f aca="false">N(F128)+N(G128)+N(H128)</f>
        <v>2559823</v>
      </c>
      <c r="J128" s="92" t="n">
        <f aca="false">IF(AND(F128="",G128=""),0,N(C128)-N(F128)-N(G128))</f>
        <v>262400</v>
      </c>
      <c r="K128" s="92" t="n">
        <f aca="false">IF(H128="",0,N(D128)-N(H128))</f>
        <v>77</v>
      </c>
      <c r="L128" s="91" t="n">
        <v>31500</v>
      </c>
      <c r="M128" s="91"/>
      <c r="N128" s="91" t="n">
        <v>231400</v>
      </c>
      <c r="O128" s="92" t="n">
        <f aca="false">IF(AND(F128="",G128=""),0,J128-N(L128)-N(M128)-N(N128))</f>
        <v>-500</v>
      </c>
      <c r="P128" s="92" t="n">
        <f aca="false">K128+O128</f>
        <v>-423</v>
      </c>
      <c r="Q128" s="85" t="n">
        <f aca="false">E128-P128</f>
        <v>2822723</v>
      </c>
      <c r="R128" s="91" t="n">
        <v>107</v>
      </c>
      <c r="S128" s="91" t="n">
        <v>56</v>
      </c>
      <c r="T128" s="92" t="n">
        <f aca="false">IF(N(S128)=0,"",Q128/S128)</f>
        <v>50405.7678571429</v>
      </c>
      <c r="U128" s="93" t="str">
        <f aca="false">IF(E128=0,"",IF(AND(N(C128)&gt;0,F128="",G128=""),"Belum direalisasi",IF(AND(N(D128)&gt;0,H128=""),"EDC belum settle",IF(ABS(O128)&gt;50000,"Cek selisih tunai","OK"))))</f>
        <v>OK</v>
      </c>
    </row>
    <row r="129" customFormat="false" ht="15" hidden="false" customHeight="false" outlineLevel="0" collapsed="false">
      <c r="A129" s="89" t="n">
        <v>46147</v>
      </c>
      <c r="B129" s="90" t="n">
        <f aca="false">MONTH(A129)</f>
        <v>5</v>
      </c>
      <c r="C129" s="91" t="n">
        <v>1033000</v>
      </c>
      <c r="D129" s="91" t="n">
        <v>2113450</v>
      </c>
      <c r="E129" s="92" t="n">
        <f aca="false">N(C129)+N(D129)</f>
        <v>3146450</v>
      </c>
      <c r="F129" s="91" t="n">
        <v>127000</v>
      </c>
      <c r="G129" s="91" t="n">
        <v>884000</v>
      </c>
      <c r="H129" s="91" t="n">
        <v>2110330</v>
      </c>
      <c r="I129" s="92" t="n">
        <f aca="false">N(F129)+N(G129)+N(H129)</f>
        <v>3121330</v>
      </c>
      <c r="J129" s="92" t="n">
        <f aca="false">IF(AND(F129="",G129=""),0,N(C129)-N(F129)-N(G129))</f>
        <v>22000</v>
      </c>
      <c r="K129" s="92" t="n">
        <f aca="false">IF(H129="",0,N(D129)-N(H129))</f>
        <v>3120</v>
      </c>
      <c r="L129" s="91"/>
      <c r="M129" s="91" t="n">
        <v>22500</v>
      </c>
      <c r="N129" s="91"/>
      <c r="O129" s="92" t="n">
        <f aca="false">IF(AND(F129="",G129=""),0,J129-N(L129)-N(M129)-N(N129))</f>
        <v>-500</v>
      </c>
      <c r="P129" s="92" t="n">
        <f aca="false">K129+O129</f>
        <v>2620</v>
      </c>
      <c r="Q129" s="85" t="n">
        <f aca="false">E129-P129</f>
        <v>3143830</v>
      </c>
      <c r="R129" s="91" t="n">
        <v>122</v>
      </c>
      <c r="S129" s="91" t="n">
        <v>79</v>
      </c>
      <c r="T129" s="92" t="n">
        <f aca="false">IF(N(S129)=0,"",Q129/S129)</f>
        <v>39795.3164556962</v>
      </c>
      <c r="U129" s="93" t="str">
        <f aca="false">IF(E129=0,"",IF(AND(N(C129)&gt;0,F129="",G129=""),"Belum direalisasi",IF(AND(N(D129)&gt;0,H129=""),"EDC belum settle",IF(ABS(O129)&gt;50000,"Cek selisih tunai","OK"))))</f>
        <v>OK</v>
      </c>
    </row>
    <row r="130" customFormat="false" ht="15" hidden="false" customHeight="false" outlineLevel="0" collapsed="false">
      <c r="A130" s="89" t="n">
        <v>46148</v>
      </c>
      <c r="B130" s="90" t="n">
        <f aca="false">MONTH(A130)</f>
        <v>5</v>
      </c>
      <c r="C130" s="91" t="n">
        <v>572000</v>
      </c>
      <c r="D130" s="91" t="n">
        <v>2590750</v>
      </c>
      <c r="E130" s="92" t="n">
        <f aca="false">N(C130)+N(D130)</f>
        <v>3162750</v>
      </c>
      <c r="F130" s="91" t="n">
        <v>269000</v>
      </c>
      <c r="G130" s="91" t="n">
        <v>303000</v>
      </c>
      <c r="H130" s="91" t="n">
        <v>2589532</v>
      </c>
      <c r="I130" s="92" t="n">
        <f aca="false">N(F130)+N(G130)+N(H130)</f>
        <v>3161532</v>
      </c>
      <c r="J130" s="92" t="n">
        <f aca="false">IF(AND(F130="",G130=""),0,N(C130)-N(F130)-N(G130))</f>
        <v>0</v>
      </c>
      <c r="K130" s="92" t="n">
        <f aca="false">IF(H130="",0,N(D130)-N(H130))</f>
        <v>1218</v>
      </c>
      <c r="L130" s="91"/>
      <c r="M130" s="91"/>
      <c r="N130" s="91"/>
      <c r="O130" s="92" t="n">
        <f aca="false">IF(AND(F130="",G130=""),0,J130-N(L130)-N(M130)-N(N130))</f>
        <v>0</v>
      </c>
      <c r="P130" s="92" t="n">
        <f aca="false">K130+O130</f>
        <v>1218</v>
      </c>
      <c r="Q130" s="85" t="n">
        <f aca="false">E130-P130</f>
        <v>3161532</v>
      </c>
      <c r="R130" s="91" t="n">
        <v>123</v>
      </c>
      <c r="S130" s="91" t="n">
        <v>67</v>
      </c>
      <c r="T130" s="92" t="n">
        <f aca="false">IF(N(S130)=0,"",Q130/S130)</f>
        <v>47187.0447761194</v>
      </c>
      <c r="U130" s="93" t="str">
        <f aca="false">IF(E130=0,"",IF(AND(N(C130)&gt;0,F130="",G130=""),"Belum direalisasi",IF(AND(N(D130)&gt;0,H130=""),"EDC belum settle",IF(ABS(O130)&gt;50000,"Cek selisih tunai","OK"))))</f>
        <v>OK</v>
      </c>
    </row>
    <row r="131" customFormat="false" ht="15" hidden="false" customHeight="false" outlineLevel="0" collapsed="false">
      <c r="A131" s="89" t="n">
        <v>46149</v>
      </c>
      <c r="B131" s="90" t="n">
        <f aca="false">MONTH(A131)</f>
        <v>5</v>
      </c>
      <c r="C131" s="91" t="n">
        <v>737400</v>
      </c>
      <c r="D131" s="91" t="n">
        <v>814550</v>
      </c>
      <c r="E131" s="92" t="n">
        <f aca="false">N(C131)+N(D131)</f>
        <v>1551950</v>
      </c>
      <c r="F131" s="91" t="n">
        <v>50000</v>
      </c>
      <c r="G131" s="91" t="n">
        <v>654000</v>
      </c>
      <c r="H131" s="91" t="n">
        <v>841550</v>
      </c>
      <c r="I131" s="92" t="n">
        <f aca="false">N(F131)+N(G131)+N(H131)</f>
        <v>1545550</v>
      </c>
      <c r="J131" s="92" t="n">
        <f aca="false">IF(AND(F131="",G131=""),0,N(C131)-N(F131)-N(G131))</f>
        <v>33400</v>
      </c>
      <c r="K131" s="92" t="n">
        <f aca="false">IF(H131="",0,N(D131)-N(H131))</f>
        <v>-27000</v>
      </c>
      <c r="L131" s="91" t="n">
        <v>33000</v>
      </c>
      <c r="M131" s="91"/>
      <c r="N131" s="91"/>
      <c r="O131" s="92" t="n">
        <f aca="false">IF(AND(F131="",G131=""),0,J131-N(L131)-N(M131)-N(N131))</f>
        <v>400</v>
      </c>
      <c r="P131" s="92" t="n">
        <f aca="false">K131+O131</f>
        <v>-26600</v>
      </c>
      <c r="Q131" s="85" t="n">
        <f aca="false">E131-P131</f>
        <v>1578550</v>
      </c>
      <c r="R131" s="91" t="n">
        <v>68</v>
      </c>
      <c r="S131" s="91" t="n">
        <v>28</v>
      </c>
      <c r="T131" s="92" t="n">
        <f aca="false">IF(N(S131)=0,"",Q131/S131)</f>
        <v>56376.7857142857</v>
      </c>
      <c r="U131" s="93" t="str">
        <f aca="false">IF(E131=0,"",IF(AND(N(C131)&gt;0,F131="",G131=""),"Belum direalisasi",IF(AND(N(D131)&gt;0,H131=""),"EDC belum settle",IF(ABS(O131)&gt;50000,"Cek selisih tunai","OK"))))</f>
        <v>OK</v>
      </c>
    </row>
    <row r="132" customFormat="false" ht="15" hidden="false" customHeight="false" outlineLevel="0" collapsed="false">
      <c r="A132" s="89" t="n">
        <v>46150</v>
      </c>
      <c r="B132" s="90" t="n">
        <f aca="false">MONTH(A132)</f>
        <v>5</v>
      </c>
      <c r="C132" s="91" t="n">
        <v>1348050</v>
      </c>
      <c r="D132" s="91" t="n">
        <v>2251250</v>
      </c>
      <c r="E132" s="92" t="n">
        <f aca="false">N(C132)+N(D132)</f>
        <v>3599300</v>
      </c>
      <c r="F132" s="91" t="n">
        <v>226000</v>
      </c>
      <c r="G132" s="91" t="n">
        <v>1122000</v>
      </c>
      <c r="H132" s="91" t="n">
        <v>2251250</v>
      </c>
      <c r="I132" s="92" t="n">
        <f aca="false">N(F132)+N(G132)+N(H132)</f>
        <v>3599250</v>
      </c>
      <c r="J132" s="92" t="n">
        <f aca="false">IF(AND(F132="",G132=""),0,N(C132)-N(F132)-N(G132))</f>
        <v>50</v>
      </c>
      <c r="K132" s="92" t="n">
        <f aca="false">IF(H132="",0,N(D132)-N(H132))</f>
        <v>0</v>
      </c>
      <c r="L132" s="91"/>
      <c r="M132" s="91"/>
      <c r="N132" s="91"/>
      <c r="O132" s="92" t="n">
        <f aca="false">IF(AND(F132="",G132=""),0,J132-N(L132)-N(M132)-N(N132))</f>
        <v>50</v>
      </c>
      <c r="P132" s="92" t="n">
        <f aca="false">K132+O132</f>
        <v>50</v>
      </c>
      <c r="Q132" s="85" t="n">
        <f aca="false">E132-P132</f>
        <v>3599250</v>
      </c>
      <c r="R132" s="91" t="n">
        <v>139</v>
      </c>
      <c r="S132" s="91" t="n">
        <v>76</v>
      </c>
      <c r="T132" s="92" t="n">
        <f aca="false">IF(N(S132)=0,"",Q132/S132)</f>
        <v>47358.552631579</v>
      </c>
      <c r="U132" s="93" t="str">
        <f aca="false">IF(E132=0,"",IF(AND(N(C132)&gt;0,F132="",G132=""),"Belum direalisasi",IF(AND(N(D132)&gt;0,H132=""),"EDC belum settle",IF(ABS(O132)&gt;50000,"Cek selisih tunai","OK"))))</f>
        <v>OK</v>
      </c>
    </row>
    <row r="133" customFormat="false" ht="15" hidden="false" customHeight="false" outlineLevel="0" collapsed="false">
      <c r="A133" s="89" t="n">
        <v>46151</v>
      </c>
      <c r="B133" s="90" t="n">
        <f aca="false">MONTH(A133)</f>
        <v>5</v>
      </c>
      <c r="C133" s="91" t="n">
        <v>716950</v>
      </c>
      <c r="D133" s="91" t="n">
        <v>2296800</v>
      </c>
      <c r="E133" s="92" t="n">
        <f aca="false">N(C133)+N(D133)</f>
        <v>3013750</v>
      </c>
      <c r="F133" s="91" t="n">
        <v>185000</v>
      </c>
      <c r="G133" s="91" t="n">
        <v>532000</v>
      </c>
      <c r="H133" s="91" t="n">
        <v>2296716</v>
      </c>
      <c r="I133" s="92" t="n">
        <f aca="false">N(F133)+N(G133)+N(H133)</f>
        <v>3013716</v>
      </c>
      <c r="J133" s="92" t="n">
        <f aca="false">IF(AND(F133="",G133=""),0,N(C133)-N(F133)-N(G133))</f>
        <v>-50</v>
      </c>
      <c r="K133" s="92" t="n">
        <f aca="false">IF(H133="",0,N(D133)-N(H133))</f>
        <v>84</v>
      </c>
      <c r="L133" s="91"/>
      <c r="M133" s="91"/>
      <c r="N133" s="91"/>
      <c r="O133" s="92" t="n">
        <f aca="false">IF(AND(F133="",G133=""),0,J133-N(L133)-N(M133)-N(N133))</f>
        <v>-50</v>
      </c>
      <c r="P133" s="92" t="n">
        <f aca="false">K133+O133</f>
        <v>34</v>
      </c>
      <c r="Q133" s="85" t="n">
        <f aca="false">E133-P133</f>
        <v>3013716</v>
      </c>
      <c r="R133" s="91" t="n">
        <v>114</v>
      </c>
      <c r="S133" s="91" t="n">
        <v>66</v>
      </c>
      <c r="T133" s="92" t="n">
        <f aca="false">IF(N(S133)=0,"",Q133/S133)</f>
        <v>45662.3636363636</v>
      </c>
      <c r="U133" s="93" t="str">
        <f aca="false">IF(E133=0,"",IF(AND(N(C133)&gt;0,F133="",G133=""),"Belum direalisasi",IF(AND(N(D133)&gt;0,H133=""),"EDC belum settle",IF(ABS(O133)&gt;50000,"Cek selisih tunai","OK"))))</f>
        <v>OK</v>
      </c>
    </row>
    <row r="134" customFormat="false" ht="15" hidden="false" customHeight="false" outlineLevel="0" collapsed="false">
      <c r="A134" s="89" t="n">
        <v>46152</v>
      </c>
      <c r="B134" s="90" t="n">
        <f aca="false">MONTH(A134)</f>
        <v>5</v>
      </c>
      <c r="C134" s="91" t="n">
        <v>1491300</v>
      </c>
      <c r="D134" s="91" t="n">
        <v>2280100</v>
      </c>
      <c r="E134" s="92" t="n">
        <f aca="false">N(C134)+N(D134)</f>
        <v>3771400</v>
      </c>
      <c r="F134" s="91" t="n">
        <v>471000</v>
      </c>
      <c r="G134" s="91" t="n">
        <v>880000</v>
      </c>
      <c r="H134" s="91" t="n">
        <v>2280100</v>
      </c>
      <c r="I134" s="92" t="n">
        <f aca="false">N(F134)+N(G134)+N(H134)</f>
        <v>3631100</v>
      </c>
      <c r="J134" s="92" t="n">
        <f aca="false">IF(AND(F134="",G134=""),0,N(C134)-N(F134)-N(G134))</f>
        <v>140300</v>
      </c>
      <c r="K134" s="92" t="n">
        <f aca="false">IF(H134="",0,N(D134)-N(H134))</f>
        <v>0</v>
      </c>
      <c r="L134" s="91"/>
      <c r="M134" s="91"/>
      <c r="N134" s="91" t="n">
        <v>141300</v>
      </c>
      <c r="O134" s="92" t="n">
        <f aca="false">IF(AND(F134="",G134=""),0,J134-N(L134)-N(M134)-N(N134))</f>
        <v>-1000</v>
      </c>
      <c r="P134" s="92" t="n">
        <f aca="false">K134+O134</f>
        <v>-1000</v>
      </c>
      <c r="Q134" s="85" t="n">
        <f aca="false">E134-P134</f>
        <v>3772400</v>
      </c>
      <c r="R134" s="91" t="n">
        <v>151</v>
      </c>
      <c r="S134" s="91" t="n">
        <v>85</v>
      </c>
      <c r="T134" s="92" t="n">
        <f aca="false">IF(N(S134)=0,"",Q134/S134)</f>
        <v>44381.1764705882</v>
      </c>
      <c r="U134" s="93" t="str">
        <f aca="false">IF(E134=0,"",IF(AND(N(C134)&gt;0,F134="",G134=""),"Belum direalisasi",IF(AND(N(D134)&gt;0,H134=""),"EDC belum settle",IF(ABS(O134)&gt;50000,"Cek selisih tunai","OK"))))</f>
        <v>OK</v>
      </c>
    </row>
    <row r="135" customFormat="false" ht="15" hidden="false" customHeight="false" outlineLevel="0" collapsed="false">
      <c r="A135" s="89" t="n">
        <v>46153</v>
      </c>
      <c r="B135" s="90" t="n">
        <f aca="false">MONTH(A135)</f>
        <v>5</v>
      </c>
      <c r="C135" s="91" t="n">
        <v>350000</v>
      </c>
      <c r="D135" s="91" t="n">
        <v>1272600</v>
      </c>
      <c r="E135" s="92" t="n">
        <f aca="false">N(C135)+N(D135)</f>
        <v>1622600</v>
      </c>
      <c r="F135" s="91" t="n">
        <v>130000</v>
      </c>
      <c r="G135" s="91" t="n">
        <v>220000</v>
      </c>
      <c r="H135" s="91" t="n">
        <v>1271070</v>
      </c>
      <c r="I135" s="92" t="n">
        <f aca="false">N(F135)+N(G135)+N(H135)</f>
        <v>1621070</v>
      </c>
      <c r="J135" s="92" t="n">
        <f aca="false">IF(AND(F135="",G135=""),0,N(C135)-N(F135)-N(G135))</f>
        <v>0</v>
      </c>
      <c r="K135" s="92" t="n">
        <f aca="false">IF(H135="",0,N(D135)-N(H135))</f>
        <v>1530</v>
      </c>
      <c r="L135" s="91"/>
      <c r="M135" s="91"/>
      <c r="N135" s="91"/>
      <c r="O135" s="92" t="n">
        <f aca="false">IF(AND(F135="",G135=""),0,J135-N(L135)-N(M135)-N(N135))</f>
        <v>0</v>
      </c>
      <c r="P135" s="92" t="n">
        <f aca="false">K135+O135</f>
        <v>1530</v>
      </c>
      <c r="Q135" s="85" t="n">
        <f aca="false">E135-P135</f>
        <v>1621070</v>
      </c>
      <c r="R135" s="91" t="n">
        <v>67</v>
      </c>
      <c r="S135" s="91" t="n">
        <v>38</v>
      </c>
      <c r="T135" s="92" t="n">
        <f aca="false">IF(N(S135)=0,"",Q135/S135)</f>
        <v>42659.7368421053</v>
      </c>
      <c r="U135" s="93" t="str">
        <f aca="false">IF(E135=0,"",IF(AND(N(C135)&gt;0,F135="",G135=""),"Belum direalisasi",IF(AND(N(D135)&gt;0,H135=""),"EDC belum settle",IF(ABS(O135)&gt;50000,"Cek selisih tunai","OK"))))</f>
        <v>OK</v>
      </c>
    </row>
    <row r="136" customFormat="false" ht="15" hidden="false" customHeight="false" outlineLevel="0" collapsed="false">
      <c r="A136" s="89" t="n">
        <v>46154</v>
      </c>
      <c r="B136" s="90" t="n">
        <f aca="false">MONTH(A136)</f>
        <v>5</v>
      </c>
      <c r="C136" s="91" t="n">
        <v>471600</v>
      </c>
      <c r="D136" s="91" t="n">
        <v>1880600</v>
      </c>
      <c r="E136" s="92" t="n">
        <f aca="false">N(C136)+N(D136)</f>
        <v>2352200</v>
      </c>
      <c r="F136" s="91" t="n">
        <v>141000</v>
      </c>
      <c r="G136" s="91" t="n">
        <v>330000</v>
      </c>
      <c r="H136" s="91" t="n">
        <v>1880600</v>
      </c>
      <c r="I136" s="92" t="n">
        <f aca="false">N(F136)+N(G136)+N(H136)</f>
        <v>2351600</v>
      </c>
      <c r="J136" s="92" t="n">
        <f aca="false">IF(AND(F136="",G136=""),0,N(C136)-N(F136)-N(G136))</f>
        <v>600</v>
      </c>
      <c r="K136" s="92" t="n">
        <f aca="false">IF(H136="",0,N(D136)-N(H136))</f>
        <v>0</v>
      </c>
      <c r="L136" s="91"/>
      <c r="M136" s="91"/>
      <c r="N136" s="91"/>
      <c r="O136" s="92" t="n">
        <f aca="false">IF(AND(F136="",G136=""),0,J136-N(L136)-N(M136)-N(N136))</f>
        <v>600</v>
      </c>
      <c r="P136" s="92" t="n">
        <f aca="false">K136+O136</f>
        <v>600</v>
      </c>
      <c r="Q136" s="85" t="n">
        <f aca="false">E136-P136</f>
        <v>2351600</v>
      </c>
      <c r="R136" s="91" t="n">
        <v>95</v>
      </c>
      <c r="S136" s="91" t="n">
        <v>53</v>
      </c>
      <c r="T136" s="92" t="n">
        <f aca="false">IF(N(S136)=0,"",Q136/S136)</f>
        <v>44369.8113207547</v>
      </c>
      <c r="U136" s="93" t="str">
        <f aca="false">IF(E136=0,"",IF(AND(N(C136)&gt;0,F136="",G136=""),"Belum direalisasi",IF(AND(N(D136)&gt;0,H136=""),"EDC belum settle",IF(ABS(O136)&gt;50000,"Cek selisih tunai","OK"))))</f>
        <v>OK</v>
      </c>
    </row>
    <row r="137" customFormat="false" ht="15" hidden="false" customHeight="false" outlineLevel="0" collapsed="false">
      <c r="A137" s="89" t="n">
        <v>46155</v>
      </c>
      <c r="B137" s="90" t="n">
        <f aca="false">MONTH(A137)</f>
        <v>5</v>
      </c>
      <c r="C137" s="91" t="n">
        <v>613800</v>
      </c>
      <c r="D137" s="91" t="n">
        <v>1706350</v>
      </c>
      <c r="E137" s="92" t="n">
        <f aca="false">N(C137)+N(D137)</f>
        <v>2320150</v>
      </c>
      <c r="F137" s="91" t="n">
        <v>204000</v>
      </c>
      <c r="G137" s="91" t="n">
        <v>246000</v>
      </c>
      <c r="H137" s="91" t="n">
        <v>1705830</v>
      </c>
      <c r="I137" s="92" t="n">
        <f aca="false">N(F137)+N(G137)+N(H137)</f>
        <v>2155830</v>
      </c>
      <c r="J137" s="92" t="n">
        <f aca="false">IF(AND(F137="",G137=""),0,N(C137)-N(F137)-N(G137))</f>
        <v>163800</v>
      </c>
      <c r="K137" s="92" t="n">
        <f aca="false">IF(H137="",0,N(D137)-N(H137))</f>
        <v>520</v>
      </c>
      <c r="L137" s="91" t="n">
        <v>37800</v>
      </c>
      <c r="M137" s="91"/>
      <c r="N137" s="91" t="n">
        <v>126000</v>
      </c>
      <c r="O137" s="92" t="n">
        <f aca="false">IF(AND(F137="",G137=""),0,J137-N(L137)-N(M137)-N(N137))</f>
        <v>0</v>
      </c>
      <c r="P137" s="92" t="n">
        <f aca="false">K137+O137</f>
        <v>520</v>
      </c>
      <c r="Q137" s="85" t="n">
        <f aca="false">E137-P137</f>
        <v>2319630</v>
      </c>
      <c r="R137" s="91" t="n">
        <v>95</v>
      </c>
      <c r="S137" s="91" t="n">
        <v>52</v>
      </c>
      <c r="T137" s="92" t="n">
        <f aca="false">IF(N(S137)=0,"",Q137/S137)</f>
        <v>44608.2692307692</v>
      </c>
      <c r="U137" s="93" t="str">
        <f aca="false">IF(E137=0,"",IF(AND(N(C137)&gt;0,F137="",G137=""),"Belum direalisasi",IF(AND(N(D137)&gt;0,H137=""),"EDC belum settle",IF(ABS(O137)&gt;50000,"Cek selisih tunai","OK"))))</f>
        <v>OK</v>
      </c>
    </row>
    <row r="138" customFormat="false" ht="15" hidden="false" customHeight="false" outlineLevel="0" collapsed="false">
      <c r="A138" s="89" t="n">
        <v>46156</v>
      </c>
      <c r="B138" s="90" t="n">
        <f aca="false">MONTH(A138)</f>
        <v>5</v>
      </c>
      <c r="C138" s="91" t="n">
        <v>1206800</v>
      </c>
      <c r="D138" s="91" t="n">
        <v>2528900</v>
      </c>
      <c r="E138" s="92" t="n">
        <f aca="false">N(C138)+N(D138)</f>
        <v>3735700</v>
      </c>
      <c r="F138" s="91" t="n">
        <v>247500</v>
      </c>
      <c r="G138" s="91" t="n">
        <v>854000</v>
      </c>
      <c r="H138" s="91" t="n">
        <v>2493900</v>
      </c>
      <c r="I138" s="92" t="n">
        <f aca="false">N(F138)+N(G138)+N(H138)</f>
        <v>3595400</v>
      </c>
      <c r="J138" s="92" t="n">
        <f aca="false">IF(AND(F138="",G138=""),0,N(C138)-N(F138)-N(G138))</f>
        <v>105300</v>
      </c>
      <c r="K138" s="92" t="n">
        <f aca="false">IF(H138="",0,N(D138)-N(H138))</f>
        <v>35000</v>
      </c>
      <c r="L138" s="91"/>
      <c r="M138" s="91"/>
      <c r="N138" s="91" t="n">
        <v>105400</v>
      </c>
      <c r="O138" s="92" t="n">
        <f aca="false">IF(AND(F138="",G138=""),0,J138-N(L138)-N(M138)-N(N138))</f>
        <v>-100</v>
      </c>
      <c r="P138" s="92" t="n">
        <f aca="false">K138+O138</f>
        <v>34900</v>
      </c>
      <c r="Q138" s="85" t="n">
        <f aca="false">E138-P138</f>
        <v>3700800</v>
      </c>
      <c r="R138" s="91" t="n">
        <v>141</v>
      </c>
      <c r="S138" s="91" t="n">
        <v>78</v>
      </c>
      <c r="T138" s="92" t="n">
        <f aca="false">IF(N(S138)=0,"",Q138/S138)</f>
        <v>47446.1538461538</v>
      </c>
      <c r="U138" s="93" t="str">
        <f aca="false">IF(E138=0,"",IF(AND(N(C138)&gt;0,F138="",G138=""),"Belum direalisasi",IF(AND(N(D138)&gt;0,H138=""),"EDC belum settle",IF(ABS(O138)&gt;50000,"Cek selisih tunai","OK"))))</f>
        <v>OK</v>
      </c>
    </row>
    <row r="139" customFormat="false" ht="15" hidden="false" customHeight="false" outlineLevel="0" collapsed="false">
      <c r="A139" s="89" t="n">
        <v>46157</v>
      </c>
      <c r="B139" s="90" t="n">
        <f aca="false">MONTH(A139)</f>
        <v>5</v>
      </c>
      <c r="C139" s="91" t="n">
        <v>842500</v>
      </c>
      <c r="D139" s="91" t="n">
        <v>2958700</v>
      </c>
      <c r="E139" s="92" t="n">
        <f aca="false">N(C139)+N(D139)</f>
        <v>3801200</v>
      </c>
      <c r="F139" s="91" t="n">
        <v>117000</v>
      </c>
      <c r="G139" s="91" t="n">
        <v>725000</v>
      </c>
      <c r="H139" s="91" t="n">
        <v>2958524</v>
      </c>
      <c r="I139" s="92" t="n">
        <f aca="false">N(F139)+N(G139)+N(H139)</f>
        <v>3800524</v>
      </c>
      <c r="J139" s="92" t="n">
        <f aca="false">IF(AND(F139="",G139=""),0,N(C139)-N(F139)-N(G139))</f>
        <v>500</v>
      </c>
      <c r="K139" s="92" t="n">
        <f aca="false">IF(H139="",0,N(D139)-N(H139))</f>
        <v>176</v>
      </c>
      <c r="L139" s="91"/>
      <c r="M139" s="91"/>
      <c r="N139" s="91"/>
      <c r="O139" s="92" t="n">
        <f aca="false">IF(AND(F139="",G139=""),0,J139-N(L139)-N(M139)-N(N139))</f>
        <v>500</v>
      </c>
      <c r="P139" s="92" t="n">
        <f aca="false">K139+O139</f>
        <v>676</v>
      </c>
      <c r="Q139" s="85" t="n">
        <f aca="false">E139-P139</f>
        <v>3800524</v>
      </c>
      <c r="R139" s="91" t="n">
        <v>142</v>
      </c>
      <c r="S139" s="91" t="n">
        <v>68</v>
      </c>
      <c r="T139" s="92" t="n">
        <f aca="false">IF(N(S139)=0,"",Q139/S139)</f>
        <v>55890.0588235294</v>
      </c>
      <c r="U139" s="93" t="str">
        <f aca="false">IF(E139=0,"",IF(AND(N(C139)&gt;0,F139="",G139=""),"Belum direalisasi",IF(AND(N(D139)&gt;0,H139=""),"EDC belum settle",IF(ABS(O139)&gt;50000,"Cek selisih tunai","OK"))))</f>
        <v>OK</v>
      </c>
    </row>
    <row r="140" customFormat="false" ht="15" hidden="false" customHeight="false" outlineLevel="0" collapsed="false">
      <c r="A140" s="89" t="n">
        <v>46158</v>
      </c>
      <c r="B140" s="90" t="n">
        <f aca="false">MONTH(A140)</f>
        <v>5</v>
      </c>
      <c r="C140" s="91" t="n">
        <v>1265200</v>
      </c>
      <c r="D140" s="91" t="n">
        <v>3268950</v>
      </c>
      <c r="E140" s="92" t="n">
        <f aca="false">N(C140)+N(D140)</f>
        <v>4534150</v>
      </c>
      <c r="F140" s="91" t="n">
        <v>77000</v>
      </c>
      <c r="G140" s="91" t="n">
        <v>892500</v>
      </c>
      <c r="H140" s="91" t="n">
        <v>3267320</v>
      </c>
      <c r="I140" s="92" t="n">
        <f aca="false">N(F140)+N(G140)+N(H140)</f>
        <v>4236820</v>
      </c>
      <c r="J140" s="92" t="n">
        <f aca="false">IF(AND(F140="",G140=""),0,N(C140)-N(F140)-N(G140))</f>
        <v>295700</v>
      </c>
      <c r="K140" s="92" t="n">
        <f aca="false">IF(H140="",0,N(D140)-N(H140))</f>
        <v>1630</v>
      </c>
      <c r="L140" s="91"/>
      <c r="M140" s="91"/>
      <c r="N140" s="91" t="n">
        <v>295200</v>
      </c>
      <c r="O140" s="92" t="n">
        <f aca="false">IF(AND(F140="",G140=""),0,J140-N(L140)-N(M140)-N(N140))</f>
        <v>500</v>
      </c>
      <c r="P140" s="92" t="n">
        <f aca="false">K140+O140</f>
        <v>2130</v>
      </c>
      <c r="Q140" s="85" t="n">
        <f aca="false">E140-P140</f>
        <v>4532020</v>
      </c>
      <c r="R140" s="91" t="n">
        <v>176</v>
      </c>
      <c r="S140" s="91" t="n">
        <v>86</v>
      </c>
      <c r="T140" s="92" t="n">
        <f aca="false">IF(N(S140)=0,"",Q140/S140)</f>
        <v>52697.9069767442</v>
      </c>
      <c r="U140" s="93" t="str">
        <f aca="false">IF(E140=0,"",IF(AND(N(C140)&gt;0,F140="",G140=""),"Belum direalisasi",IF(AND(N(D140)&gt;0,H140=""),"EDC belum settle",IF(ABS(O140)&gt;50000,"Cek selisih tunai","OK"))))</f>
        <v>OK</v>
      </c>
    </row>
    <row r="141" customFormat="false" ht="15" hidden="false" customHeight="false" outlineLevel="0" collapsed="false">
      <c r="A141" s="89" t="n">
        <v>46159</v>
      </c>
      <c r="B141" s="90" t="n">
        <f aca="false">MONTH(A141)</f>
        <v>5</v>
      </c>
      <c r="C141" s="91" t="n">
        <v>692000</v>
      </c>
      <c r="D141" s="91" t="n">
        <v>2559250</v>
      </c>
      <c r="E141" s="92" t="n">
        <f aca="false">N(C141)+N(D141)</f>
        <v>3251250</v>
      </c>
      <c r="F141" s="91" t="n">
        <v>60000</v>
      </c>
      <c r="G141" s="91" t="n">
        <v>632000</v>
      </c>
      <c r="H141" s="91" t="n">
        <v>2559250</v>
      </c>
      <c r="I141" s="92" t="n">
        <f aca="false">N(F141)+N(G141)+N(H141)</f>
        <v>3251250</v>
      </c>
      <c r="J141" s="92" t="n">
        <f aca="false">IF(AND(F141="",G141=""),0,N(C141)-N(F141)-N(G141))</f>
        <v>0</v>
      </c>
      <c r="K141" s="92" t="n">
        <f aca="false">IF(H141="",0,N(D141)-N(H141))</f>
        <v>0</v>
      </c>
      <c r="L141" s="91"/>
      <c r="M141" s="91"/>
      <c r="N141" s="91"/>
      <c r="O141" s="92" t="n">
        <f aca="false">IF(AND(F141="",G141=""),0,J141-N(L141)-N(M141)-N(N141))</f>
        <v>0</v>
      </c>
      <c r="P141" s="92" t="n">
        <f aca="false">K141+O141</f>
        <v>0</v>
      </c>
      <c r="Q141" s="85" t="n">
        <f aca="false">E141-P141</f>
        <v>3251250</v>
      </c>
      <c r="R141" s="91" t="n">
        <v>116</v>
      </c>
      <c r="S141" s="91" t="n">
        <v>59</v>
      </c>
      <c r="T141" s="92" t="n">
        <f aca="false">IF(N(S141)=0,"",Q141/S141)</f>
        <v>55105.9322033898</v>
      </c>
      <c r="U141" s="93" t="str">
        <f aca="false">IF(E141=0,"",IF(AND(N(C141)&gt;0,F141="",G141=""),"Belum direalisasi",IF(AND(N(D141)&gt;0,H141=""),"EDC belum settle",IF(ABS(O141)&gt;50000,"Cek selisih tunai","OK"))))</f>
        <v>OK</v>
      </c>
    </row>
    <row r="142" customFormat="false" ht="15" hidden="false" customHeight="false" outlineLevel="0" collapsed="false">
      <c r="A142" s="89" t="n">
        <v>46160</v>
      </c>
      <c r="B142" s="90" t="n">
        <f aca="false">MONTH(A142)</f>
        <v>5</v>
      </c>
      <c r="C142" s="91" t="n">
        <v>634000</v>
      </c>
      <c r="D142" s="91" t="n">
        <v>3228200</v>
      </c>
      <c r="E142" s="92" t="n">
        <f aca="false">N(C142)+N(D142)</f>
        <v>3862200</v>
      </c>
      <c r="F142" s="91" t="n">
        <v>189000</v>
      </c>
      <c r="G142" s="91" t="n">
        <v>445000</v>
      </c>
      <c r="H142" s="91" t="n">
        <v>3227260</v>
      </c>
      <c r="I142" s="92" t="n">
        <f aca="false">N(F142)+N(G142)+N(H142)</f>
        <v>3861260</v>
      </c>
      <c r="J142" s="92" t="n">
        <f aca="false">IF(AND(F142="",G142=""),0,N(C142)-N(F142)-N(G142))</f>
        <v>0</v>
      </c>
      <c r="K142" s="92" t="n">
        <f aca="false">IF(H142="",0,N(D142)-N(H142))</f>
        <v>940</v>
      </c>
      <c r="L142" s="91"/>
      <c r="M142" s="91"/>
      <c r="N142" s="91"/>
      <c r="O142" s="92" t="n">
        <f aca="false">IF(AND(F142="",G142=""),0,J142-N(L142)-N(M142)-N(N142))</f>
        <v>0</v>
      </c>
      <c r="P142" s="92" t="n">
        <f aca="false">K142+O142</f>
        <v>940</v>
      </c>
      <c r="Q142" s="85" t="n">
        <f aca="false">E142-P142</f>
        <v>3861260</v>
      </c>
      <c r="R142" s="91" t="n">
        <v>146</v>
      </c>
      <c r="S142" s="91" t="n">
        <v>69</v>
      </c>
      <c r="T142" s="92" t="n">
        <f aca="false">IF(N(S142)=0,"",Q142/S142)</f>
        <v>55960.2898550725</v>
      </c>
      <c r="U142" s="93" t="str">
        <f aca="false">IF(E142=0,"",IF(AND(N(C142)&gt;0,F142="",G142=""),"Belum direalisasi",IF(AND(N(D142)&gt;0,H142=""),"EDC belum settle",IF(ABS(O142)&gt;50000,"Cek selisih tunai","OK"))))</f>
        <v>OK</v>
      </c>
    </row>
    <row r="143" customFormat="false" ht="15" hidden="false" customHeight="false" outlineLevel="0" collapsed="false">
      <c r="A143" s="89" t="n">
        <v>46161</v>
      </c>
      <c r="B143" s="90" t="n">
        <f aca="false">MONTH(A143)</f>
        <v>5</v>
      </c>
      <c r="C143" s="91" t="n">
        <v>712150</v>
      </c>
      <c r="D143" s="91" t="n">
        <v>2029500</v>
      </c>
      <c r="E143" s="92" t="n">
        <f aca="false">N(C143)+N(D143)</f>
        <v>2741650</v>
      </c>
      <c r="F143" s="91" t="n">
        <v>253000</v>
      </c>
      <c r="G143" s="91" t="n">
        <v>460000</v>
      </c>
      <c r="H143" s="91" t="n">
        <v>2029425</v>
      </c>
      <c r="I143" s="92" t="n">
        <f aca="false">N(F143)+N(G143)+N(H143)</f>
        <v>2742425</v>
      </c>
      <c r="J143" s="92" t="n">
        <f aca="false">IF(AND(F143="",G143=""),0,N(C143)-N(F143)-N(G143))</f>
        <v>-850</v>
      </c>
      <c r="K143" s="92" t="n">
        <f aca="false">IF(H143="",0,N(D143)-N(H143))</f>
        <v>75</v>
      </c>
      <c r="L143" s="91"/>
      <c r="M143" s="91"/>
      <c r="N143" s="91"/>
      <c r="O143" s="92" t="n">
        <f aca="false">IF(AND(F143="",G143=""),0,J143-N(L143)-N(M143)-N(N143))</f>
        <v>-850</v>
      </c>
      <c r="P143" s="92" t="n">
        <f aca="false">K143+O143</f>
        <v>-775</v>
      </c>
      <c r="Q143" s="85" t="n">
        <f aca="false">E143-P143</f>
        <v>2742425</v>
      </c>
      <c r="R143" s="91" t="n">
        <v>102</v>
      </c>
      <c r="S143" s="91" t="n">
        <v>66</v>
      </c>
      <c r="T143" s="92" t="n">
        <f aca="false">IF(N(S143)=0,"",Q143/S143)</f>
        <v>41551.8939393939</v>
      </c>
      <c r="U143" s="93" t="str">
        <f aca="false">IF(E143=0,"",IF(AND(N(C143)&gt;0,F143="",G143=""),"Belum direalisasi",IF(AND(N(D143)&gt;0,H143=""),"EDC belum settle",IF(ABS(O143)&gt;50000,"Cek selisih tunai","OK"))))</f>
        <v>OK</v>
      </c>
    </row>
    <row r="144" customFormat="false" ht="15" hidden="false" customHeight="false" outlineLevel="0" collapsed="false">
      <c r="A144" s="89" t="n">
        <v>46162</v>
      </c>
      <c r="B144" s="90" t="n">
        <f aca="false">MONTH(A144)</f>
        <v>5</v>
      </c>
      <c r="C144" s="91" t="n">
        <v>816000</v>
      </c>
      <c r="D144" s="91" t="n">
        <v>1565500</v>
      </c>
      <c r="E144" s="92" t="n">
        <f aca="false">N(C144)+N(D144)</f>
        <v>2381500</v>
      </c>
      <c r="F144" s="91" t="n">
        <v>361000</v>
      </c>
      <c r="G144" s="91" t="n">
        <v>455000</v>
      </c>
      <c r="H144" s="91" t="n">
        <v>1565230</v>
      </c>
      <c r="I144" s="92" t="n">
        <f aca="false">N(F144)+N(G144)+N(H144)</f>
        <v>2381230</v>
      </c>
      <c r="J144" s="92" t="n">
        <f aca="false">IF(AND(F144="",G144=""),0,N(C144)-N(F144)-N(G144))</f>
        <v>0</v>
      </c>
      <c r="K144" s="92" t="n">
        <f aca="false">IF(H144="",0,N(D144)-N(H144))</f>
        <v>270</v>
      </c>
      <c r="L144" s="91"/>
      <c r="M144" s="91"/>
      <c r="N144" s="91"/>
      <c r="O144" s="92" t="n">
        <f aca="false">IF(AND(F144="",G144=""),0,J144-N(L144)-N(M144)-N(N144))</f>
        <v>0</v>
      </c>
      <c r="P144" s="92" t="n">
        <f aca="false">K144+O144</f>
        <v>270</v>
      </c>
      <c r="Q144" s="85" t="n">
        <f aca="false">E144-P144</f>
        <v>2381230</v>
      </c>
      <c r="R144" s="91" t="n">
        <v>85</v>
      </c>
      <c r="S144" s="91" t="n">
        <v>49</v>
      </c>
      <c r="T144" s="92" t="n">
        <f aca="false">IF(N(S144)=0,"",Q144/S144)</f>
        <v>48596.5306122449</v>
      </c>
      <c r="U144" s="93" t="str">
        <f aca="false">IF(E144=0,"",IF(AND(N(C144)&gt;0,F144="",G144=""),"Belum direalisasi",IF(AND(N(D144)&gt;0,H144=""),"EDC belum settle",IF(ABS(O144)&gt;50000,"Cek selisih tunai","OK"))))</f>
        <v>OK</v>
      </c>
    </row>
    <row r="145" customFormat="false" ht="15" hidden="false" customHeight="false" outlineLevel="0" collapsed="false">
      <c r="A145" s="89" t="n">
        <v>46163</v>
      </c>
      <c r="B145" s="90" t="n">
        <f aca="false">MONTH(A145)</f>
        <v>5</v>
      </c>
      <c r="C145" s="91" t="n">
        <v>807000</v>
      </c>
      <c r="D145" s="91" t="n">
        <v>1331600</v>
      </c>
      <c r="E145" s="92" t="n">
        <f aca="false">N(C145)+N(D145)</f>
        <v>2138600</v>
      </c>
      <c r="F145" s="91" t="n">
        <v>260000</v>
      </c>
      <c r="G145" s="91" t="n">
        <v>547000</v>
      </c>
      <c r="H145" s="91" t="n">
        <v>1331600</v>
      </c>
      <c r="I145" s="92" t="n">
        <f aca="false">N(F145)+N(G145)+N(H145)</f>
        <v>2138600</v>
      </c>
      <c r="J145" s="92" t="n">
        <f aca="false">IF(AND(F145="",G145=""),0,N(C145)-N(F145)-N(G145))</f>
        <v>0</v>
      </c>
      <c r="K145" s="92" t="n">
        <f aca="false">IF(H145="",0,N(D145)-N(H145))</f>
        <v>0</v>
      </c>
      <c r="L145" s="91"/>
      <c r="M145" s="91"/>
      <c r="N145" s="91"/>
      <c r="O145" s="92" t="n">
        <f aca="false">IF(AND(F145="",G145=""),0,J145-N(L145)-N(M145)-N(N145))</f>
        <v>0</v>
      </c>
      <c r="P145" s="92" t="n">
        <f aca="false">K145+O145</f>
        <v>0</v>
      </c>
      <c r="Q145" s="85" t="n">
        <f aca="false">E145-P145</f>
        <v>2138600</v>
      </c>
      <c r="R145" s="91" t="n">
        <v>81</v>
      </c>
      <c r="S145" s="91" t="n">
        <v>52</v>
      </c>
      <c r="T145" s="92" t="n">
        <f aca="false">IF(N(S145)=0,"",Q145/S145)</f>
        <v>41126.9230769231</v>
      </c>
      <c r="U145" s="93" t="str">
        <f aca="false">IF(E145=0,"",IF(AND(N(C145)&gt;0,F145="",G145=""),"Belum direalisasi",IF(AND(N(D145)&gt;0,H145=""),"EDC belum settle",IF(ABS(O145)&gt;50000,"Cek selisih tunai","OK"))))</f>
        <v>OK</v>
      </c>
    </row>
    <row r="146" customFormat="false" ht="15" hidden="false" customHeight="false" outlineLevel="0" collapsed="false">
      <c r="A146" s="89" t="n">
        <v>46164</v>
      </c>
      <c r="B146" s="90" t="n">
        <f aca="false">MONTH(A146)</f>
        <v>5</v>
      </c>
      <c r="C146" s="91" t="n">
        <v>987000</v>
      </c>
      <c r="D146" s="91" t="n">
        <v>2656850</v>
      </c>
      <c r="E146" s="92" t="n">
        <f aca="false">N(C146)+N(D146)</f>
        <v>3643850</v>
      </c>
      <c r="F146" s="91" t="n">
        <v>188000</v>
      </c>
      <c r="G146" s="91" t="n">
        <v>800000</v>
      </c>
      <c r="H146" s="91" t="n">
        <v>2606670</v>
      </c>
      <c r="I146" s="92" t="n">
        <f aca="false">N(F146)+N(G146)+N(H146)</f>
        <v>3594670</v>
      </c>
      <c r="J146" s="92" t="n">
        <f aca="false">IF(AND(F146="",G146=""),0,N(C146)-N(F146)-N(G146))</f>
        <v>-1000</v>
      </c>
      <c r="K146" s="92" t="n">
        <f aca="false">IF(H146="",0,N(D146)-N(H146))</f>
        <v>50180</v>
      </c>
      <c r="L146" s="91"/>
      <c r="M146" s="91"/>
      <c r="N146" s="91"/>
      <c r="O146" s="92" t="n">
        <f aca="false">IF(AND(F146="",G146=""),0,J146-N(L146)-N(M146)-N(N146))</f>
        <v>-1000</v>
      </c>
      <c r="P146" s="92" t="n">
        <f aca="false">K146+O146</f>
        <v>49180</v>
      </c>
      <c r="Q146" s="85" t="n">
        <f aca="false">E146-P146</f>
        <v>3594670</v>
      </c>
      <c r="R146" s="91" t="n">
        <v>141</v>
      </c>
      <c r="S146" s="91" t="n">
        <v>81</v>
      </c>
      <c r="T146" s="92" t="n">
        <f aca="false">IF(N(S146)=0,"",Q146/S146)</f>
        <v>44378.6419753086</v>
      </c>
      <c r="U146" s="93" t="str">
        <f aca="false">IF(E146=0,"",IF(AND(N(C146)&gt;0,F146="",G146=""),"Belum direalisasi",IF(AND(N(D146)&gt;0,H146=""),"EDC belum settle",IF(ABS(O146)&gt;50000,"Cek selisih tunai","OK"))))</f>
        <v>OK</v>
      </c>
    </row>
    <row r="147" customFormat="false" ht="15" hidden="false" customHeight="false" outlineLevel="0" collapsed="false">
      <c r="A147" s="89" t="n">
        <v>46165</v>
      </c>
      <c r="B147" s="90" t="n">
        <f aca="false">MONTH(A147)</f>
        <v>5</v>
      </c>
      <c r="C147" s="91" t="n">
        <v>1558400</v>
      </c>
      <c r="D147" s="91" t="n">
        <v>3189000</v>
      </c>
      <c r="E147" s="92" t="n">
        <f aca="false">N(C147)+N(D147)</f>
        <v>4747400</v>
      </c>
      <c r="F147" s="91" t="n">
        <v>419000</v>
      </c>
      <c r="G147" s="91" t="n">
        <v>964000</v>
      </c>
      <c r="H147" s="91" t="n">
        <v>3297459</v>
      </c>
      <c r="I147" s="92" t="n">
        <f aca="false">N(F147)+N(G147)+N(H147)</f>
        <v>4680459</v>
      </c>
      <c r="J147" s="92" t="n">
        <f aca="false">IF(AND(F147="",G147=""),0,N(C147)-N(F147)-N(G147))</f>
        <v>175400</v>
      </c>
      <c r="K147" s="92" t="n">
        <f aca="false">IF(H147="",0,N(D147)-N(H147))</f>
        <v>-108459</v>
      </c>
      <c r="L147" s="91"/>
      <c r="M147" s="91"/>
      <c r="N147" s="91" t="n">
        <v>175800</v>
      </c>
      <c r="O147" s="92" t="n">
        <f aca="false">IF(AND(F147="",G147=""),0,J147-N(L147)-N(M147)-N(N147))</f>
        <v>-400</v>
      </c>
      <c r="P147" s="92" t="n">
        <f aca="false">K147+O147</f>
        <v>-108859</v>
      </c>
      <c r="Q147" s="85" t="n">
        <f aca="false">E147-P147</f>
        <v>4856259</v>
      </c>
      <c r="R147" s="91" t="n">
        <v>170</v>
      </c>
      <c r="S147" s="91" t="n">
        <v>79</v>
      </c>
      <c r="T147" s="92" t="n">
        <f aca="false">IF(N(S147)=0,"",Q147/S147)</f>
        <v>61471.6329113924</v>
      </c>
      <c r="U147" s="93" t="str">
        <f aca="false">IF(E147=0,"",IF(AND(N(C147)&gt;0,F147="",G147=""),"Belum direalisasi",IF(AND(N(D147)&gt;0,H147=""),"EDC belum settle",IF(ABS(O147)&gt;50000,"Cek selisih tunai","OK"))))</f>
        <v>OK</v>
      </c>
    </row>
    <row r="148" customFormat="false" ht="15" hidden="false" customHeight="false" outlineLevel="0" collapsed="false">
      <c r="A148" s="89" t="n">
        <v>46166</v>
      </c>
      <c r="B148" s="90" t="n">
        <f aca="false">MONTH(A148)</f>
        <v>5</v>
      </c>
      <c r="C148" s="91" t="n">
        <v>985200</v>
      </c>
      <c r="D148" s="91" t="n">
        <v>2749000</v>
      </c>
      <c r="E148" s="92" t="n">
        <f aca="false">N(C148)+N(D148)</f>
        <v>3734200</v>
      </c>
      <c r="F148" s="91" t="n">
        <v>223000</v>
      </c>
      <c r="G148" s="91" t="n">
        <v>762000</v>
      </c>
      <c r="H148" s="91" t="n">
        <v>2692000</v>
      </c>
      <c r="I148" s="92" t="n">
        <f aca="false">N(F148)+N(G148)+N(H148)</f>
        <v>3677000</v>
      </c>
      <c r="J148" s="92" t="n">
        <f aca="false">IF(AND(F148="",G148=""),0,N(C148)-N(F148)-N(G148))</f>
        <v>200</v>
      </c>
      <c r="K148" s="92" t="n">
        <f aca="false">IF(H148="",0,N(D148)-N(H148))</f>
        <v>57000</v>
      </c>
      <c r="L148" s="91"/>
      <c r="M148" s="91"/>
      <c r="N148" s="91"/>
      <c r="O148" s="92" t="n">
        <f aca="false">IF(AND(F148="",G148=""),0,J148-N(L148)-N(M148)-N(N148))</f>
        <v>200</v>
      </c>
      <c r="P148" s="92" t="n">
        <f aca="false">K148+O148</f>
        <v>57200</v>
      </c>
      <c r="Q148" s="85" t="n">
        <f aca="false">E148-P148</f>
        <v>3677000</v>
      </c>
      <c r="R148" s="91" t="n">
        <v>137</v>
      </c>
      <c r="S148" s="91" t="n">
        <v>79</v>
      </c>
      <c r="T148" s="92" t="n">
        <f aca="false">IF(N(S148)=0,"",Q148/S148)</f>
        <v>46544.3037974684</v>
      </c>
      <c r="U148" s="93" t="str">
        <f aca="false">IF(E148=0,"",IF(AND(N(C148)&gt;0,F148="",G148=""),"Belum direalisasi",IF(AND(N(D148)&gt;0,H148=""),"EDC belum settle",IF(ABS(O148)&gt;50000,"Cek selisih tunai","OK"))))</f>
        <v>OK</v>
      </c>
    </row>
    <row r="149" customFormat="false" ht="15" hidden="false" customHeight="false" outlineLevel="0" collapsed="false">
      <c r="A149" s="89" t="n">
        <v>46167</v>
      </c>
      <c r="B149" s="90" t="n">
        <f aca="false">MONTH(A149)</f>
        <v>5</v>
      </c>
      <c r="C149" s="91" t="n">
        <v>555650</v>
      </c>
      <c r="D149" s="91" t="n">
        <v>2437700</v>
      </c>
      <c r="E149" s="92" t="n">
        <f aca="false">N(C149)+N(D149)</f>
        <v>2993350</v>
      </c>
      <c r="F149" s="91" t="n">
        <v>0</v>
      </c>
      <c r="G149" s="91" t="n">
        <v>556000</v>
      </c>
      <c r="H149" s="91" t="n">
        <v>2437346</v>
      </c>
      <c r="I149" s="92" t="n">
        <f aca="false">N(F149)+N(G149)+N(H149)</f>
        <v>2993346</v>
      </c>
      <c r="J149" s="92" t="n">
        <f aca="false">IF(AND(F149="",G149=""),0,N(C149)-N(F149)-N(G149))</f>
        <v>-350</v>
      </c>
      <c r="K149" s="92" t="n">
        <f aca="false">IF(H149="",0,N(D149)-N(H149))</f>
        <v>354</v>
      </c>
      <c r="L149" s="91"/>
      <c r="M149" s="91"/>
      <c r="N149" s="91"/>
      <c r="O149" s="92" t="n">
        <f aca="false">IF(AND(F149="",G149=""),0,J149-N(L149)-N(M149)-N(N149))</f>
        <v>-350</v>
      </c>
      <c r="P149" s="92" t="n">
        <f aca="false">K149+O149</f>
        <v>4</v>
      </c>
      <c r="Q149" s="85" t="n">
        <f aca="false">E149-P149</f>
        <v>2993346</v>
      </c>
      <c r="R149" s="91" t="n">
        <v>111</v>
      </c>
      <c r="S149" s="91" t="n">
        <v>68</v>
      </c>
      <c r="T149" s="92" t="n">
        <f aca="false">IF(N(S149)=0,"",Q149/S149)</f>
        <v>44019.7941176471</v>
      </c>
      <c r="U149" s="93" t="str">
        <f aca="false">IF(E149=0,"",IF(AND(N(C149)&gt;0,F149="",G149=""),"Belum direalisasi",IF(AND(N(D149)&gt;0,H149=""),"EDC belum settle",IF(ABS(O149)&gt;50000,"Cek selisih tunai","OK"))))</f>
        <v>OK</v>
      </c>
    </row>
    <row r="150" customFormat="false" ht="15" hidden="false" customHeight="false" outlineLevel="0" collapsed="false">
      <c r="A150" s="89" t="n">
        <v>46168</v>
      </c>
      <c r="B150" s="90" t="n">
        <f aca="false">MONTH(A150)</f>
        <v>5</v>
      </c>
      <c r="C150" s="91" t="n">
        <v>1366550</v>
      </c>
      <c r="D150" s="91" t="n">
        <v>2481700</v>
      </c>
      <c r="E150" s="92" t="n">
        <f aca="false">N(C150)+N(D150)</f>
        <v>3848250</v>
      </c>
      <c r="F150" s="91" t="n">
        <v>229000</v>
      </c>
      <c r="G150" s="91" t="n">
        <v>953000</v>
      </c>
      <c r="H150" s="91" t="n">
        <v>2481700</v>
      </c>
      <c r="I150" s="92" t="n">
        <f aca="false">N(F150)+N(G150)+N(H150)</f>
        <v>3663700</v>
      </c>
      <c r="J150" s="92" t="n">
        <f aca="false">IF(AND(F150="",G150=""),0,N(C150)-N(F150)-N(G150))</f>
        <v>184550</v>
      </c>
      <c r="K150" s="92" t="n">
        <f aca="false">IF(H150="",0,N(D150)-N(H150))</f>
        <v>0</v>
      </c>
      <c r="L150" s="91"/>
      <c r="M150" s="91"/>
      <c r="N150" s="91" t="n">
        <v>184800</v>
      </c>
      <c r="O150" s="92" t="n">
        <f aca="false">IF(AND(F150="",G150=""),0,J150-N(L150)-N(M150)-N(N150))</f>
        <v>-250</v>
      </c>
      <c r="P150" s="92" t="n">
        <f aca="false">K150+O150</f>
        <v>-250</v>
      </c>
      <c r="Q150" s="85" t="n">
        <f aca="false">E150-P150</f>
        <v>3848500</v>
      </c>
      <c r="R150" s="91" t="n">
        <v>139</v>
      </c>
      <c r="S150" s="91" t="n">
        <v>77</v>
      </c>
      <c r="T150" s="92" t="n">
        <f aca="false">IF(N(S150)=0,"",Q150/S150)</f>
        <v>49980.5194805195</v>
      </c>
      <c r="U150" s="93" t="str">
        <f aca="false">IF(E150=0,"",IF(AND(N(C150)&gt;0,F150="",G150=""),"Belum direalisasi",IF(AND(N(D150)&gt;0,H150=""),"EDC belum settle",IF(ABS(O150)&gt;50000,"Cek selisih tunai","OK"))))</f>
        <v>OK</v>
      </c>
    </row>
    <row r="151" customFormat="false" ht="15" hidden="false" customHeight="false" outlineLevel="0" collapsed="false">
      <c r="A151" s="89" t="n">
        <v>46169</v>
      </c>
      <c r="B151" s="90" t="n">
        <f aca="false">MONTH(A151)</f>
        <v>5</v>
      </c>
      <c r="C151" s="91" t="n">
        <v>681000</v>
      </c>
      <c r="D151" s="91" t="n">
        <v>2417300</v>
      </c>
      <c r="E151" s="92" t="n">
        <f aca="false">N(C151)+N(D151)</f>
        <v>3098300</v>
      </c>
      <c r="F151" s="91" t="n">
        <v>0</v>
      </c>
      <c r="G151" s="91" t="n">
        <v>654000</v>
      </c>
      <c r="H151" s="91" t="n">
        <v>2446300</v>
      </c>
      <c r="I151" s="92" t="n">
        <f aca="false">N(F151)+N(G151)+N(H151)</f>
        <v>3100300</v>
      </c>
      <c r="J151" s="92" t="n">
        <f aca="false">IF(AND(F151="",G151=""),0,N(C151)-N(F151)-N(G151))</f>
        <v>27000</v>
      </c>
      <c r="K151" s="92" t="n">
        <f aca="false">IF(H151="",0,N(D151)-N(H151))</f>
        <v>-29000</v>
      </c>
      <c r="L151" s="91"/>
      <c r="M151" s="91"/>
      <c r="N151" s="91"/>
      <c r="O151" s="92" t="n">
        <f aca="false">IF(AND(F151="",G151=""),0,J151-N(L151)-N(M151)-N(N151))</f>
        <v>27000</v>
      </c>
      <c r="P151" s="92" t="n">
        <f aca="false">K151+O151</f>
        <v>-2000</v>
      </c>
      <c r="Q151" s="85" t="n">
        <f aca="false">E151-P151</f>
        <v>3100300</v>
      </c>
      <c r="R151" s="91" t="n">
        <v>112</v>
      </c>
      <c r="S151" s="91" t="n">
        <v>65</v>
      </c>
      <c r="T151" s="92" t="n">
        <f aca="false">IF(N(S151)=0,"",Q151/S151)</f>
        <v>47696.9230769231</v>
      </c>
      <c r="U151" s="93" t="str">
        <f aca="false">IF(E151=0,"",IF(AND(N(C151)&gt;0,F151="",G151=""),"Belum direalisasi",IF(AND(N(D151)&gt;0,H151=""),"EDC belum settle",IF(ABS(O151)&gt;50000,"Cek selisih tunai","OK"))))</f>
        <v>OK</v>
      </c>
    </row>
    <row r="152" customFormat="false" ht="15" hidden="false" customHeight="false" outlineLevel="0" collapsed="false">
      <c r="A152" s="89" t="n">
        <v>46170</v>
      </c>
      <c r="B152" s="90" t="n">
        <f aca="false">MONTH(A152)</f>
        <v>5</v>
      </c>
      <c r="C152" s="91" t="n">
        <v>1216700</v>
      </c>
      <c r="D152" s="91" t="n">
        <v>2864800</v>
      </c>
      <c r="E152" s="92" t="n">
        <f aca="false">N(C152)+N(D152)</f>
        <v>4081500</v>
      </c>
      <c r="F152" s="91" t="n">
        <v>87000</v>
      </c>
      <c r="G152" s="91" t="n">
        <v>1129000</v>
      </c>
      <c r="H152" s="91" t="n">
        <v>2864669</v>
      </c>
      <c r="I152" s="92" t="n">
        <f aca="false">N(F152)+N(G152)+N(H152)</f>
        <v>4080669</v>
      </c>
      <c r="J152" s="92" t="n">
        <f aca="false">IF(AND(F152="",G152=""),0,N(C152)-N(F152)-N(G152))</f>
        <v>700</v>
      </c>
      <c r="K152" s="92" t="n">
        <f aca="false">IF(H152="",0,N(D152)-N(H152))</f>
        <v>131</v>
      </c>
      <c r="L152" s="91"/>
      <c r="M152" s="91"/>
      <c r="N152" s="91"/>
      <c r="O152" s="92" t="n">
        <f aca="false">IF(AND(F152="",G152=""),0,J152-N(L152)-N(M152)-N(N152))</f>
        <v>700</v>
      </c>
      <c r="P152" s="92" t="n">
        <f aca="false">K152+O152</f>
        <v>831</v>
      </c>
      <c r="Q152" s="85" t="n">
        <f aca="false">E152-P152</f>
        <v>4080669</v>
      </c>
      <c r="R152" s="91" t="n">
        <v>151</v>
      </c>
      <c r="S152" s="91" t="n">
        <v>73</v>
      </c>
      <c r="T152" s="92" t="n">
        <f aca="false">IF(N(S152)=0,"",Q152/S152)</f>
        <v>55899.5753424658</v>
      </c>
      <c r="U152" s="93" t="str">
        <f aca="false">IF(E152=0,"",IF(AND(N(C152)&gt;0,F152="",G152=""),"Belum direalisasi",IF(AND(N(D152)&gt;0,H152=""),"EDC belum settle",IF(ABS(O152)&gt;50000,"Cek selisih tunai","OK"))))</f>
        <v>OK</v>
      </c>
    </row>
    <row r="153" customFormat="false" ht="15" hidden="false" customHeight="false" outlineLevel="0" collapsed="false">
      <c r="A153" s="89" t="n">
        <v>46171</v>
      </c>
      <c r="B153" s="90" t="n">
        <f aca="false">MONTH(A153)</f>
        <v>5</v>
      </c>
      <c r="C153" s="91" t="n">
        <v>986300</v>
      </c>
      <c r="D153" s="91" t="n">
        <v>3580600</v>
      </c>
      <c r="E153" s="92" t="n">
        <f aca="false">N(C153)+N(D153)</f>
        <v>4566900</v>
      </c>
      <c r="F153" s="91" t="n">
        <v>325000</v>
      </c>
      <c r="G153" s="91" t="n">
        <v>661000</v>
      </c>
      <c r="H153" s="91" t="n">
        <v>3584719</v>
      </c>
      <c r="I153" s="92" t="n">
        <f aca="false">N(F153)+N(G153)+N(H153)</f>
        <v>4570719</v>
      </c>
      <c r="J153" s="92" t="n">
        <f aca="false">IF(AND(F153="",G153=""),0,N(C153)-N(F153)-N(G153))</f>
        <v>300</v>
      </c>
      <c r="K153" s="92" t="n">
        <f aca="false">IF(H153="",0,N(D153)-N(H153))</f>
        <v>-4119</v>
      </c>
      <c r="L153" s="91"/>
      <c r="M153" s="91"/>
      <c r="N153" s="91"/>
      <c r="O153" s="92" t="n">
        <f aca="false">IF(AND(F153="",G153=""),0,J153-N(L153)-N(M153)-N(N153))</f>
        <v>300</v>
      </c>
      <c r="P153" s="92" t="n">
        <f aca="false">K153+O153</f>
        <v>-3819</v>
      </c>
      <c r="Q153" s="85" t="n">
        <f aca="false">E153-P153</f>
        <v>4570719</v>
      </c>
      <c r="R153" s="91" t="n">
        <v>165</v>
      </c>
      <c r="S153" s="91" t="n">
        <v>87</v>
      </c>
      <c r="T153" s="92" t="n">
        <f aca="false">IF(N(S153)=0,"",Q153/S153)</f>
        <v>52537</v>
      </c>
      <c r="U153" s="93" t="str">
        <f aca="false">IF(E153=0,"",IF(AND(N(C153)&gt;0,F153="",G153=""),"Belum direalisasi",IF(AND(N(D153)&gt;0,H153=""),"EDC belum settle",IF(ABS(O153)&gt;50000,"Cek selisih tunai","OK"))))</f>
        <v>OK</v>
      </c>
    </row>
    <row r="154" customFormat="false" ht="15" hidden="false" customHeight="false" outlineLevel="0" collapsed="false">
      <c r="A154" s="89" t="n">
        <v>46172</v>
      </c>
      <c r="B154" s="90" t="n">
        <f aca="false">MONTH(A154)</f>
        <v>5</v>
      </c>
      <c r="C154" s="91" t="n">
        <v>2203700</v>
      </c>
      <c r="D154" s="91" t="n">
        <v>2732250</v>
      </c>
      <c r="E154" s="92" t="n">
        <f aca="false">N(C154)+N(D154)</f>
        <v>4935950</v>
      </c>
      <c r="F154" s="91" t="n">
        <v>350000</v>
      </c>
      <c r="G154" s="91" t="n">
        <v>1685000</v>
      </c>
      <c r="H154" s="91" t="n">
        <v>2732250</v>
      </c>
      <c r="I154" s="92" t="n">
        <f aca="false">N(F154)+N(G154)+N(H154)</f>
        <v>4767250</v>
      </c>
      <c r="J154" s="92" t="n">
        <f aca="false">IF(AND(F154="",G154=""),0,N(C154)-N(F154)-N(G154))</f>
        <v>168700</v>
      </c>
      <c r="K154" s="92" t="n">
        <f aca="false">IF(H154="",0,N(D154)-N(H154))</f>
        <v>0</v>
      </c>
      <c r="L154" s="91"/>
      <c r="M154" s="91"/>
      <c r="N154" s="91" t="n">
        <v>167400</v>
      </c>
      <c r="O154" s="92" t="n">
        <f aca="false">IF(AND(F154="",G154=""),0,J154-N(L154)-N(M154)-N(N154))</f>
        <v>1300</v>
      </c>
      <c r="P154" s="92" t="n">
        <f aca="false">K154+O154</f>
        <v>1300</v>
      </c>
      <c r="Q154" s="85" t="n">
        <f aca="false">E154-P154</f>
        <v>4934650</v>
      </c>
      <c r="R154" s="91" t="n">
        <v>181</v>
      </c>
      <c r="S154" s="91" t="n">
        <v>87</v>
      </c>
      <c r="T154" s="92" t="n">
        <f aca="false">IF(N(S154)=0,"",Q154/S154)</f>
        <v>56720.1149425287</v>
      </c>
      <c r="U154" s="93" t="str">
        <f aca="false">IF(E154=0,"",IF(AND(N(C154)&gt;0,F154="",G154=""),"Belum direalisasi",IF(AND(N(D154)&gt;0,H154=""),"EDC belum settle",IF(ABS(O154)&gt;50000,"Cek selisih tunai","OK"))))</f>
        <v>OK</v>
      </c>
    </row>
    <row r="155" customFormat="false" ht="15" hidden="false" customHeight="false" outlineLevel="0" collapsed="false">
      <c r="A155" s="89" t="n">
        <v>46173</v>
      </c>
      <c r="B155" s="90" t="n">
        <f aca="false">MONTH(A155)</f>
        <v>5</v>
      </c>
      <c r="C155" s="91" t="n">
        <v>1330750</v>
      </c>
      <c r="D155" s="91" t="n">
        <v>2788800</v>
      </c>
      <c r="E155" s="92" t="n">
        <f aca="false">N(C155)+N(D155)</f>
        <v>4119550</v>
      </c>
      <c r="F155" s="91" t="n">
        <v>297000</v>
      </c>
      <c r="G155" s="91" t="n">
        <v>1010000</v>
      </c>
      <c r="H155" s="91" t="n">
        <v>2788800</v>
      </c>
      <c r="I155" s="92" t="n">
        <f aca="false">N(F155)+N(G155)+N(H155)</f>
        <v>4095800</v>
      </c>
      <c r="J155" s="92" t="n">
        <f aca="false">IF(AND(F155="",G155=""),0,N(C155)-N(F155)-N(G155))</f>
        <v>23750</v>
      </c>
      <c r="K155" s="92" t="n">
        <f aca="false">IF(H155="",0,N(D155)-N(H155))</f>
        <v>0</v>
      </c>
      <c r="L155" s="91"/>
      <c r="M155" s="91"/>
      <c r="N155" s="91" t="n">
        <v>22500</v>
      </c>
      <c r="O155" s="92" t="n">
        <f aca="false">IF(AND(F155="",G155=""),0,J155-N(L155)-N(M155)-N(N155))</f>
        <v>1250</v>
      </c>
      <c r="P155" s="92" t="n">
        <f aca="false">K155+O155</f>
        <v>1250</v>
      </c>
      <c r="Q155" s="85" t="n">
        <f aca="false">E155-P155</f>
        <v>4118300</v>
      </c>
      <c r="R155" s="91" t="n">
        <v>147</v>
      </c>
      <c r="S155" s="91" t="n">
        <v>76</v>
      </c>
      <c r="T155" s="92" t="n">
        <f aca="false">IF(N(S155)=0,"",Q155/S155)</f>
        <v>54188.1578947368</v>
      </c>
      <c r="U155" s="93" t="str">
        <f aca="false">IF(E155=0,"",IF(AND(N(C155)&gt;0,F155="",G155=""),"Belum direalisasi",IF(AND(N(D155)&gt;0,H155=""),"EDC belum settle",IF(ABS(O155)&gt;50000,"Cek selisih tunai","OK"))))</f>
        <v>OK</v>
      </c>
    </row>
    <row r="156" customFormat="false" ht="15" hidden="false" customHeight="false" outlineLevel="0" collapsed="false">
      <c r="A156" s="94" t="n">
        <v>46174</v>
      </c>
      <c r="B156" s="95" t="n">
        <f aca="false">MONTH(A156)</f>
        <v>6</v>
      </c>
      <c r="C156" s="96" t="n">
        <v>513000</v>
      </c>
      <c r="D156" s="96" t="n">
        <v>3298550</v>
      </c>
      <c r="E156" s="97" t="n">
        <f aca="false">N(C156)+N(D156)</f>
        <v>3811550</v>
      </c>
      <c r="F156" s="96" t="n">
        <v>84000</v>
      </c>
      <c r="G156" s="96" t="n">
        <v>385000</v>
      </c>
      <c r="H156" s="96" t="n">
        <v>3325424</v>
      </c>
      <c r="I156" s="97" t="n">
        <f aca="false">N(F156)+N(G156)+N(H156)</f>
        <v>3794424</v>
      </c>
      <c r="J156" s="97" t="n">
        <f aca="false">IF(AND(F156="",G156=""),0,N(C156)-N(F156)-N(G156))</f>
        <v>44000</v>
      </c>
      <c r="K156" s="97" t="n">
        <f aca="false">IF(H156="",0,N(D156)-N(H156))</f>
        <v>-26874</v>
      </c>
      <c r="L156" s="96" t="n">
        <v>22500</v>
      </c>
      <c r="M156" s="96" t="n">
        <v>22500</v>
      </c>
      <c r="N156" s="96"/>
      <c r="O156" s="97" t="n">
        <f aca="false">IF(AND(F156="",G156=""),0,J156-N(L156)-N(M156)-N(N156))</f>
        <v>-1000</v>
      </c>
      <c r="P156" s="97" t="n">
        <f aca="false">K156+O156</f>
        <v>-27874</v>
      </c>
      <c r="Q156" s="98" t="n">
        <f aca="false">E156-P156</f>
        <v>3839424</v>
      </c>
      <c r="R156" s="96" t="n">
        <v>145</v>
      </c>
      <c r="S156" s="96" t="n">
        <v>79</v>
      </c>
      <c r="T156" s="97" t="n">
        <f aca="false">IF(N(S156)=0,"",Q156/S156)</f>
        <v>48600.3037974684</v>
      </c>
      <c r="U156" s="99" t="str">
        <f aca="false">IF(E156=0,"",IF(AND(N(C156)&gt;0,F156="",G156=""),"Belum direalisasi",IF(AND(N(D156)&gt;0,H156=""),"EDC belum settle",IF(ABS(O156)&gt;50000,"Cek selisih tunai","OK"))))</f>
        <v>OK</v>
      </c>
    </row>
    <row r="157" customFormat="false" ht="15" hidden="false" customHeight="false" outlineLevel="0" collapsed="false">
      <c r="A157" s="94" t="n">
        <v>46175</v>
      </c>
      <c r="B157" s="95" t="n">
        <f aca="false">MONTH(A157)</f>
        <v>6</v>
      </c>
      <c r="C157" s="96" t="n">
        <v>435300</v>
      </c>
      <c r="D157" s="96" t="n">
        <v>2218600</v>
      </c>
      <c r="E157" s="97" t="n">
        <f aca="false">N(C157)+N(D157)</f>
        <v>2653900</v>
      </c>
      <c r="F157" s="96" t="n">
        <v>154000</v>
      </c>
      <c r="G157" s="96" t="n">
        <v>174000</v>
      </c>
      <c r="H157" s="96" t="n">
        <v>2218550</v>
      </c>
      <c r="I157" s="97" t="n">
        <f aca="false">N(F157)+N(G157)+N(H157)</f>
        <v>2546550</v>
      </c>
      <c r="J157" s="97" t="n">
        <f aca="false">IF(AND(F157="",G157=""),0,N(C157)-N(F157)-N(G157))</f>
        <v>107300</v>
      </c>
      <c r="K157" s="97" t="n">
        <f aca="false">IF(H157="",0,N(D157)-N(H157))</f>
        <v>50</v>
      </c>
      <c r="L157" s="96" t="n">
        <v>22500</v>
      </c>
      <c r="M157" s="96" t="n">
        <v>22500</v>
      </c>
      <c r="N157" s="96" t="n">
        <v>63000</v>
      </c>
      <c r="O157" s="97" t="n">
        <f aca="false">IF(AND(F157="",G157=""),0,J157-N(L157)-N(M157)-N(N157))</f>
        <v>-700</v>
      </c>
      <c r="P157" s="97" t="n">
        <f aca="false">K157+O157</f>
        <v>-650</v>
      </c>
      <c r="Q157" s="98" t="n">
        <f aca="false">E157-P157</f>
        <v>2654550</v>
      </c>
      <c r="R157" s="96" t="n">
        <v>100</v>
      </c>
      <c r="S157" s="96" t="n">
        <v>54</v>
      </c>
      <c r="T157" s="97" t="n">
        <f aca="false">IF(N(S157)=0,"",Q157/S157)</f>
        <v>49158.3333333333</v>
      </c>
      <c r="U157" s="99" t="str">
        <f aca="false">IF(E157=0,"",IF(AND(N(C157)&gt;0,F157="",G157=""),"Belum direalisasi",IF(AND(N(D157)&gt;0,H157=""),"EDC belum settle",IF(ABS(O157)&gt;50000,"Cek selisih tunai","OK"))))</f>
        <v>OK</v>
      </c>
    </row>
    <row r="158" customFormat="false" ht="15" hidden="false" customHeight="false" outlineLevel="0" collapsed="false">
      <c r="A158" s="94" t="n">
        <v>46176</v>
      </c>
      <c r="B158" s="95" t="n">
        <f aca="false">MONTH(A158)</f>
        <v>6</v>
      </c>
      <c r="C158" s="96" t="n">
        <v>475500</v>
      </c>
      <c r="D158" s="96" t="n">
        <v>2259000</v>
      </c>
      <c r="E158" s="97" t="n">
        <f aca="false">N(C158)+N(D158)</f>
        <v>2734500</v>
      </c>
      <c r="F158" s="96" t="n">
        <v>27000</v>
      </c>
      <c r="G158" s="96" t="n">
        <v>384000</v>
      </c>
      <c r="H158" s="96" t="n">
        <v>2199922</v>
      </c>
      <c r="I158" s="97" t="n">
        <f aca="false">N(F158)+N(G158)+N(H158)</f>
        <v>2610922</v>
      </c>
      <c r="J158" s="97" t="n">
        <f aca="false">IF(AND(F158="",G158=""),0,N(C158)-N(F158)-N(G158))</f>
        <v>64500</v>
      </c>
      <c r="K158" s="97" t="n">
        <f aca="false">IF(H158="",0,N(D158)-N(H158))</f>
        <v>59078</v>
      </c>
      <c r="L158" s="96" t="n">
        <v>64500</v>
      </c>
      <c r="M158" s="96"/>
      <c r="N158" s="96"/>
      <c r="O158" s="97" t="n">
        <f aca="false">IF(AND(F158="",G158=""),0,J158-N(L158)-N(M158)-N(N158))</f>
        <v>0</v>
      </c>
      <c r="P158" s="97" t="n">
        <f aca="false">K158+O158</f>
        <v>59078</v>
      </c>
      <c r="Q158" s="98" t="n">
        <f aca="false">E158-P158</f>
        <v>2675422</v>
      </c>
      <c r="R158" s="96" t="n">
        <v>97</v>
      </c>
      <c r="S158" s="96" t="n">
        <v>61</v>
      </c>
      <c r="T158" s="97" t="n">
        <f aca="false">IF(N(S158)=0,"",Q158/S158)</f>
        <v>43859.3770491803</v>
      </c>
      <c r="U158" s="99" t="str">
        <f aca="false">IF(E158=0,"",IF(AND(N(C158)&gt;0,F158="",G158=""),"Belum direalisasi",IF(AND(N(D158)&gt;0,H158=""),"EDC belum settle",IF(ABS(O158)&gt;50000,"Cek selisih tunai","OK"))))</f>
        <v>OK</v>
      </c>
    </row>
    <row r="159" customFormat="false" ht="15" hidden="false" customHeight="false" outlineLevel="0" collapsed="false">
      <c r="A159" s="94" t="n">
        <v>46177</v>
      </c>
      <c r="B159" s="95" t="n">
        <f aca="false">MONTH(A159)</f>
        <v>6</v>
      </c>
      <c r="C159" s="96" t="n">
        <v>762000</v>
      </c>
      <c r="D159" s="96" t="n">
        <v>3250100</v>
      </c>
      <c r="E159" s="97" t="n">
        <f aca="false">N(C159)+N(D159)</f>
        <v>4012100</v>
      </c>
      <c r="F159" s="96" t="n">
        <v>266000</v>
      </c>
      <c r="G159" s="96" t="n">
        <v>496000</v>
      </c>
      <c r="H159" s="96" t="n">
        <v>3288405</v>
      </c>
      <c r="I159" s="97" t="n">
        <f aca="false">N(F159)+N(G159)+N(H159)</f>
        <v>4050405</v>
      </c>
      <c r="J159" s="97" t="n">
        <f aca="false">IF(AND(F159="",G159=""),0,N(C159)-N(F159)-N(G159))</f>
        <v>0</v>
      </c>
      <c r="K159" s="97" t="n">
        <f aca="false">IF(H159="",0,N(D159)-N(H159))</f>
        <v>-38305</v>
      </c>
      <c r="L159" s="96"/>
      <c r="M159" s="96"/>
      <c r="N159" s="96"/>
      <c r="O159" s="97" t="n">
        <f aca="false">IF(AND(F159="",G159=""),0,J159-N(L159)-N(M159)-N(N159))</f>
        <v>0</v>
      </c>
      <c r="P159" s="97" t="n">
        <f aca="false">K159+O159</f>
        <v>-38305</v>
      </c>
      <c r="Q159" s="98" t="n">
        <f aca="false">E159-P159</f>
        <v>4050405</v>
      </c>
      <c r="R159" s="96" t="n">
        <v>142</v>
      </c>
      <c r="S159" s="96" t="n">
        <v>80</v>
      </c>
      <c r="T159" s="97" t="n">
        <f aca="false">IF(N(S159)=0,"",Q159/S159)</f>
        <v>50630.0625</v>
      </c>
      <c r="U159" s="99" t="str">
        <f aca="false">IF(E159=0,"",IF(AND(N(C159)&gt;0,F159="",G159=""),"Belum direalisasi",IF(AND(N(D159)&gt;0,H159=""),"EDC belum settle",IF(ABS(O159)&gt;50000,"Cek selisih tunai","OK"))))</f>
        <v>OK</v>
      </c>
    </row>
    <row r="160" customFormat="false" ht="15" hidden="false" customHeight="false" outlineLevel="0" collapsed="false">
      <c r="A160" s="94" t="n">
        <v>46178</v>
      </c>
      <c r="B160" s="95" t="n">
        <f aca="false">MONTH(A160)</f>
        <v>6</v>
      </c>
      <c r="C160" s="96" t="n">
        <v>428000</v>
      </c>
      <c r="D160" s="96" t="n">
        <v>2477600</v>
      </c>
      <c r="E160" s="97" t="n">
        <f aca="false">N(C160)+N(D160)</f>
        <v>2905600</v>
      </c>
      <c r="F160" s="96" t="n">
        <v>102000</v>
      </c>
      <c r="G160" s="96" t="n">
        <v>326000</v>
      </c>
      <c r="H160" s="96" t="n">
        <v>2477600</v>
      </c>
      <c r="I160" s="97" t="n">
        <f aca="false">N(F160)+N(G160)+N(H160)</f>
        <v>2905600</v>
      </c>
      <c r="J160" s="97" t="n">
        <f aca="false">IF(AND(F160="",G160=""),0,N(C160)-N(F160)-N(G160))</f>
        <v>0</v>
      </c>
      <c r="K160" s="97" t="n">
        <f aca="false">IF(H160="",0,N(D160)-N(H160))</f>
        <v>0</v>
      </c>
      <c r="L160" s="96"/>
      <c r="M160" s="96"/>
      <c r="N160" s="96"/>
      <c r="O160" s="97" t="n">
        <f aca="false">IF(AND(F160="",G160=""),0,J160-N(L160)-N(M160)-N(N160))</f>
        <v>0</v>
      </c>
      <c r="P160" s="97" t="n">
        <f aca="false">K160+O160</f>
        <v>0</v>
      </c>
      <c r="Q160" s="98" t="n">
        <f aca="false">E160-P160</f>
        <v>2905600</v>
      </c>
      <c r="R160" s="96" t="n">
        <v>107</v>
      </c>
      <c r="S160" s="96" t="n">
        <v>58</v>
      </c>
      <c r="T160" s="97" t="n">
        <f aca="false">IF(N(S160)=0,"",Q160/S160)</f>
        <v>50096.5517241379</v>
      </c>
      <c r="U160" s="99" t="str">
        <f aca="false">IF(E160=0,"",IF(AND(N(C160)&gt;0,F160="",G160=""),"Belum direalisasi",IF(AND(N(D160)&gt;0,H160=""),"EDC belum settle",IF(ABS(O160)&gt;50000,"Cek selisih tunai","OK"))))</f>
        <v>OK</v>
      </c>
    </row>
    <row r="161" customFormat="false" ht="15" hidden="false" customHeight="false" outlineLevel="0" collapsed="false">
      <c r="A161" s="94" t="n">
        <v>46179</v>
      </c>
      <c r="B161" s="95" t="n">
        <f aca="false">MONTH(A161)</f>
        <v>6</v>
      </c>
      <c r="C161" s="96" t="n">
        <v>669000</v>
      </c>
      <c r="D161" s="96" t="n">
        <v>3911550</v>
      </c>
      <c r="E161" s="97" t="n">
        <f aca="false">N(C161)+N(D161)</f>
        <v>4580550</v>
      </c>
      <c r="F161" s="96" t="n">
        <v>172000</v>
      </c>
      <c r="G161" s="96" t="n">
        <v>497000</v>
      </c>
      <c r="H161" s="96" t="n">
        <v>3911457</v>
      </c>
      <c r="I161" s="97" t="n">
        <f aca="false">N(F161)+N(G161)+N(H161)</f>
        <v>4580457</v>
      </c>
      <c r="J161" s="97" t="n">
        <f aca="false">IF(AND(F161="",G161=""),0,N(C161)-N(F161)-N(G161))</f>
        <v>0</v>
      </c>
      <c r="K161" s="97" t="n">
        <f aca="false">IF(H161="",0,N(D161)-N(H161))</f>
        <v>93</v>
      </c>
      <c r="L161" s="96"/>
      <c r="M161" s="96"/>
      <c r="N161" s="96"/>
      <c r="O161" s="97" t="n">
        <f aca="false">IF(AND(F161="",G161=""),0,J161-N(L161)-N(M161)-N(N161))</f>
        <v>0</v>
      </c>
      <c r="P161" s="97" t="n">
        <f aca="false">K161+O161</f>
        <v>93</v>
      </c>
      <c r="Q161" s="98" t="n">
        <f aca="false">E161-P161</f>
        <v>4580457</v>
      </c>
      <c r="R161" s="96" t="n">
        <v>171</v>
      </c>
      <c r="S161" s="96" t="n">
        <v>103</v>
      </c>
      <c r="T161" s="97" t="n">
        <f aca="false">IF(N(S161)=0,"",Q161/S161)</f>
        <v>44470.4563106796</v>
      </c>
      <c r="U161" s="99" t="str">
        <f aca="false">IF(E161=0,"",IF(AND(N(C161)&gt;0,F161="",G161=""),"Belum direalisasi",IF(AND(N(D161)&gt;0,H161=""),"EDC belum settle",IF(ABS(O161)&gt;50000,"Cek selisih tunai","OK"))))</f>
        <v>OK</v>
      </c>
    </row>
    <row r="162" customFormat="false" ht="15" hidden="false" customHeight="false" outlineLevel="0" collapsed="false">
      <c r="A162" s="94" t="n">
        <v>46180</v>
      </c>
      <c r="B162" s="95" t="n">
        <f aca="false">MONTH(A162)</f>
        <v>6</v>
      </c>
      <c r="C162" s="96" t="n">
        <v>993450</v>
      </c>
      <c r="D162" s="96" t="n">
        <v>2230750</v>
      </c>
      <c r="E162" s="97" t="n">
        <f aca="false">N(C162)+N(D162)</f>
        <v>3224200</v>
      </c>
      <c r="F162" s="96" t="n">
        <v>220000</v>
      </c>
      <c r="G162" s="96" t="n">
        <v>670000</v>
      </c>
      <c r="H162" s="96" t="n">
        <v>2230712</v>
      </c>
      <c r="I162" s="97" t="n">
        <f aca="false">N(F162)+N(G162)+N(H162)</f>
        <v>3120712</v>
      </c>
      <c r="J162" s="97" t="n">
        <f aca="false">IF(AND(F162="",G162=""),0,N(C162)-N(F162)-N(G162))</f>
        <v>103450</v>
      </c>
      <c r="K162" s="97" t="n">
        <f aca="false">IF(H162="",0,N(D162)-N(H162))</f>
        <v>38</v>
      </c>
      <c r="L162" s="96"/>
      <c r="M162" s="96"/>
      <c r="N162" s="96" t="n">
        <v>103500</v>
      </c>
      <c r="O162" s="97" t="n">
        <f aca="false">IF(AND(F162="",G162=""),0,J162-N(L162)-N(M162)-N(N162))</f>
        <v>-50</v>
      </c>
      <c r="P162" s="97" t="n">
        <f aca="false">K162+O162</f>
        <v>-12</v>
      </c>
      <c r="Q162" s="98" t="n">
        <f aca="false">E162-P162</f>
        <v>3224212</v>
      </c>
      <c r="R162" s="96" t="n">
        <v>119</v>
      </c>
      <c r="S162" s="96" t="n">
        <v>61</v>
      </c>
      <c r="T162" s="97" t="n">
        <f aca="false">IF(N(S162)=0,"",Q162/S162)</f>
        <v>52855.9344262295</v>
      </c>
      <c r="U162" s="99" t="str">
        <f aca="false">IF(E162=0,"",IF(AND(N(C162)&gt;0,F162="",G162=""),"Belum direalisasi",IF(AND(N(D162)&gt;0,H162=""),"EDC belum settle",IF(ABS(O162)&gt;50000,"Cek selisih tunai","OK"))))</f>
        <v>OK</v>
      </c>
    </row>
    <row r="163" customFormat="false" ht="15" hidden="false" customHeight="false" outlineLevel="0" collapsed="false">
      <c r="A163" s="94" t="n">
        <v>46181</v>
      </c>
      <c r="B163" s="95" t="n">
        <f aca="false">MONTH(A163)</f>
        <v>6</v>
      </c>
      <c r="C163" s="96" t="n">
        <v>999000</v>
      </c>
      <c r="D163" s="96" t="n">
        <v>2398800</v>
      </c>
      <c r="E163" s="97" t="n">
        <f aca="false">N(C163)+N(D163)</f>
        <v>3397800</v>
      </c>
      <c r="F163" s="96" t="n">
        <v>449000</v>
      </c>
      <c r="G163" s="96" t="n">
        <v>550000</v>
      </c>
      <c r="H163" s="96" t="n">
        <v>2398740</v>
      </c>
      <c r="I163" s="97" t="n">
        <f aca="false">N(F163)+N(G163)+N(H163)</f>
        <v>3397740</v>
      </c>
      <c r="J163" s="97" t="n">
        <f aca="false">IF(AND(F163="",G163=""),0,N(C163)-N(F163)-N(G163))</f>
        <v>0</v>
      </c>
      <c r="K163" s="97" t="n">
        <f aca="false">IF(H163="",0,N(D163)-N(H163))</f>
        <v>60</v>
      </c>
      <c r="L163" s="96"/>
      <c r="M163" s="96"/>
      <c r="N163" s="96"/>
      <c r="O163" s="97" t="n">
        <f aca="false">IF(AND(F163="",G163=""),0,J163-N(L163)-N(M163)-N(N163))</f>
        <v>0</v>
      </c>
      <c r="P163" s="97" t="n">
        <f aca="false">K163+O163</f>
        <v>60</v>
      </c>
      <c r="Q163" s="98" t="n">
        <f aca="false">E163-P163</f>
        <v>3397740</v>
      </c>
      <c r="R163" s="96" t="n">
        <v>128</v>
      </c>
      <c r="S163" s="96" t="n">
        <v>79</v>
      </c>
      <c r="T163" s="97" t="n">
        <f aca="false">IF(N(S163)=0,"",Q163/S163)</f>
        <v>43009.3670886076</v>
      </c>
      <c r="U163" s="99" t="str">
        <f aca="false">IF(E163=0,"",IF(AND(N(C163)&gt;0,F163="",G163=""),"Belum direalisasi",IF(AND(N(D163)&gt;0,H163=""),"EDC belum settle",IF(ABS(O163)&gt;50000,"Cek selisih tunai","OK"))))</f>
        <v>OK</v>
      </c>
    </row>
    <row r="164" customFormat="false" ht="15" hidden="false" customHeight="false" outlineLevel="0" collapsed="false">
      <c r="A164" s="94" t="n">
        <v>46182</v>
      </c>
      <c r="B164" s="95" t="n">
        <f aca="false">MONTH(A164)</f>
        <v>6</v>
      </c>
      <c r="C164" s="96" t="n">
        <v>687600</v>
      </c>
      <c r="D164" s="96" t="n">
        <v>2855950</v>
      </c>
      <c r="E164" s="97" t="n">
        <f aca="false">N(C164)+N(D164)</f>
        <v>3543550</v>
      </c>
      <c r="F164" s="96" t="n">
        <v>115000</v>
      </c>
      <c r="G164" s="96" t="n">
        <v>547000</v>
      </c>
      <c r="H164" s="96" t="n">
        <v>2855950</v>
      </c>
      <c r="I164" s="97" t="n">
        <f aca="false">N(F164)+N(G164)+N(H164)</f>
        <v>3517950</v>
      </c>
      <c r="J164" s="97" t="n">
        <f aca="false">IF(AND(F164="",G164=""),0,N(C164)-N(F164)-N(G164))</f>
        <v>25600</v>
      </c>
      <c r="K164" s="97" t="n">
        <f aca="false">IF(H164="",0,N(D164)-N(H164))</f>
        <v>0</v>
      </c>
      <c r="L164" s="96" t="n">
        <v>24300</v>
      </c>
      <c r="M164" s="96"/>
      <c r="N164" s="96"/>
      <c r="O164" s="97" t="n">
        <f aca="false">IF(AND(F164="",G164=""),0,J164-N(L164)-N(M164)-N(N164))</f>
        <v>1300</v>
      </c>
      <c r="P164" s="97" t="n">
        <f aca="false">K164+O164</f>
        <v>1300</v>
      </c>
      <c r="Q164" s="98" t="n">
        <f aca="false">E164-P164</f>
        <v>3542250</v>
      </c>
      <c r="R164" s="96" t="n">
        <v>134</v>
      </c>
      <c r="S164" s="96" t="n">
        <v>71</v>
      </c>
      <c r="T164" s="97" t="n">
        <f aca="false">IF(N(S164)=0,"",Q164/S164)</f>
        <v>49890.8450704225</v>
      </c>
      <c r="U164" s="99" t="str">
        <f aca="false">IF(E164=0,"",IF(AND(N(C164)&gt;0,F164="",G164=""),"Belum direalisasi",IF(AND(N(D164)&gt;0,H164=""),"EDC belum settle",IF(ABS(O164)&gt;50000,"Cek selisih tunai","OK"))))</f>
        <v>OK</v>
      </c>
    </row>
    <row r="165" customFormat="false" ht="15" hidden="false" customHeight="false" outlineLevel="0" collapsed="false">
      <c r="A165" s="94" t="n">
        <v>46183</v>
      </c>
      <c r="B165" s="95" t="n">
        <f aca="false">MONTH(A165)</f>
        <v>6</v>
      </c>
      <c r="C165" s="96" t="n">
        <v>691700</v>
      </c>
      <c r="D165" s="96" t="n">
        <v>1397550</v>
      </c>
      <c r="E165" s="97" t="n">
        <f aca="false">N(C165)+N(D165)</f>
        <v>2089250</v>
      </c>
      <c r="F165" s="96" t="n">
        <v>376000</v>
      </c>
      <c r="G165" s="96" t="n">
        <v>266000</v>
      </c>
      <c r="H165" s="96" t="n">
        <v>1396933</v>
      </c>
      <c r="I165" s="97" t="n">
        <f aca="false">N(F165)+N(G165)+N(H165)</f>
        <v>2038933</v>
      </c>
      <c r="J165" s="97" t="n">
        <f aca="false">IF(AND(F165="",G165=""),0,N(C165)-N(F165)-N(G165))</f>
        <v>49700</v>
      </c>
      <c r="K165" s="97" t="n">
        <f aca="false">IF(H165="",0,N(D165)-N(H165))</f>
        <v>617</v>
      </c>
      <c r="L165" s="96" t="n">
        <v>48600</v>
      </c>
      <c r="M165" s="96"/>
      <c r="N165" s="96"/>
      <c r="O165" s="97" t="n">
        <f aca="false">IF(AND(F165="",G165=""),0,J165-N(L165)-N(M165)-N(N165))</f>
        <v>1100</v>
      </c>
      <c r="P165" s="97" t="n">
        <f aca="false">K165+O165</f>
        <v>1717</v>
      </c>
      <c r="Q165" s="98" t="n">
        <f aca="false">E165-P165</f>
        <v>2087533</v>
      </c>
      <c r="R165" s="96" t="n">
        <v>78</v>
      </c>
      <c r="S165" s="96" t="n">
        <v>48</v>
      </c>
      <c r="T165" s="97" t="n">
        <f aca="false">IF(N(S165)=0,"",Q165/S165)</f>
        <v>43490.2708333333</v>
      </c>
      <c r="U165" s="99" t="str">
        <f aca="false">IF(E165=0,"",IF(AND(N(C165)&gt;0,F165="",G165=""),"Belum direalisasi",IF(AND(N(D165)&gt;0,H165=""),"EDC belum settle",IF(ABS(O165)&gt;50000,"Cek selisih tunai","OK"))))</f>
        <v>OK</v>
      </c>
    </row>
    <row r="166" customFormat="false" ht="15" hidden="false" customHeight="false" outlineLevel="0" collapsed="false">
      <c r="A166" s="94" t="n">
        <v>46184</v>
      </c>
      <c r="B166" s="95" t="n">
        <f aca="false">MONTH(A166)</f>
        <v>6</v>
      </c>
      <c r="C166" s="96" t="n">
        <v>958000</v>
      </c>
      <c r="D166" s="96" t="n">
        <v>2345150</v>
      </c>
      <c r="E166" s="97" t="n">
        <f aca="false">N(C166)+N(D166)</f>
        <v>3303150</v>
      </c>
      <c r="F166" s="96" t="n">
        <v>367000</v>
      </c>
      <c r="G166" s="96" t="n">
        <v>591000</v>
      </c>
      <c r="H166" s="96" t="n">
        <v>2312650</v>
      </c>
      <c r="I166" s="97" t="n">
        <f aca="false">N(F166)+N(G166)+N(H166)</f>
        <v>3270650</v>
      </c>
      <c r="J166" s="97" t="n">
        <f aca="false">IF(AND(F166="",G166=""),0,N(C166)-N(F166)-N(G166))</f>
        <v>0</v>
      </c>
      <c r="K166" s="97" t="n">
        <f aca="false">IF(H166="",0,N(D166)-N(H166))</f>
        <v>32500</v>
      </c>
      <c r="L166" s="96"/>
      <c r="M166" s="96"/>
      <c r="N166" s="96"/>
      <c r="O166" s="97" t="n">
        <f aca="false">IF(AND(F166="",G166=""),0,J166-N(L166)-N(M166)-N(N166))</f>
        <v>0</v>
      </c>
      <c r="P166" s="97" t="n">
        <f aca="false">K166+O166</f>
        <v>32500</v>
      </c>
      <c r="Q166" s="98" t="n">
        <f aca="false">E166-P166</f>
        <v>3270650</v>
      </c>
      <c r="R166" s="96" t="n">
        <v>119</v>
      </c>
      <c r="S166" s="96" t="n">
        <v>68</v>
      </c>
      <c r="T166" s="97" t="n">
        <f aca="false">IF(N(S166)=0,"",Q166/S166)</f>
        <v>48097.7941176471</v>
      </c>
      <c r="U166" s="99" t="str">
        <f aca="false">IF(E166=0,"",IF(AND(N(C166)&gt;0,F166="",G166=""),"Belum direalisasi",IF(AND(N(D166)&gt;0,H166=""),"EDC belum settle",IF(ABS(O166)&gt;50000,"Cek selisih tunai","OK"))))</f>
        <v>OK</v>
      </c>
    </row>
    <row r="167" customFormat="false" ht="15" hidden="false" customHeight="false" outlineLevel="0" collapsed="false">
      <c r="A167" s="94" t="n">
        <v>46185</v>
      </c>
      <c r="B167" s="95" t="n">
        <f aca="false">MONTH(A167)</f>
        <v>6</v>
      </c>
      <c r="C167" s="96" t="n">
        <v>1005000</v>
      </c>
      <c r="D167" s="96" t="n">
        <v>2823300</v>
      </c>
      <c r="E167" s="97" t="n">
        <f aca="false">N(C167)+N(D167)</f>
        <v>3828300</v>
      </c>
      <c r="F167" s="96" t="n">
        <v>655000</v>
      </c>
      <c r="G167" s="96" t="n">
        <v>394000</v>
      </c>
      <c r="H167" s="96" t="n">
        <v>2796300</v>
      </c>
      <c r="I167" s="97" t="n">
        <f aca="false">N(F167)+N(G167)+N(H167)</f>
        <v>3845300</v>
      </c>
      <c r="J167" s="97" t="n">
        <f aca="false">IF(AND(F167="",G167=""),0,N(C167)-N(F167)-N(G167))</f>
        <v>-44000</v>
      </c>
      <c r="K167" s="97" t="n">
        <f aca="false">IF(H167="",0,N(D167)-N(H167))</f>
        <v>27000</v>
      </c>
      <c r="L167" s="96"/>
      <c r="M167" s="96"/>
      <c r="N167" s="96"/>
      <c r="O167" s="97" t="n">
        <f aca="false">IF(AND(F167="",G167=""),0,J167-N(L167)-N(M167)-N(N167))</f>
        <v>-44000</v>
      </c>
      <c r="P167" s="97" t="n">
        <f aca="false">K167+O167</f>
        <v>-17000</v>
      </c>
      <c r="Q167" s="98" t="n">
        <f aca="false">E167-P167</f>
        <v>3845300</v>
      </c>
      <c r="R167" s="96" t="n">
        <v>151</v>
      </c>
      <c r="S167" s="96" t="n">
        <v>93</v>
      </c>
      <c r="T167" s="97" t="n">
        <f aca="false">IF(N(S167)=0,"",Q167/S167)</f>
        <v>41347.311827957</v>
      </c>
      <c r="U167" s="99" t="str">
        <f aca="false">IF(E167=0,"",IF(AND(N(C167)&gt;0,F167="",G167=""),"Belum direalisasi",IF(AND(N(D167)&gt;0,H167=""),"EDC belum settle",IF(ABS(O167)&gt;50000,"Cek selisih tunai","OK"))))</f>
        <v>OK</v>
      </c>
    </row>
    <row r="168" customFormat="false" ht="15" hidden="false" customHeight="false" outlineLevel="0" collapsed="false">
      <c r="A168" s="94" t="n">
        <v>46186</v>
      </c>
      <c r="B168" s="95" t="n">
        <f aca="false">MONTH(A168)</f>
        <v>6</v>
      </c>
      <c r="C168" s="96" t="n">
        <v>1762300</v>
      </c>
      <c r="D168" s="96" t="n">
        <v>4260800</v>
      </c>
      <c r="E168" s="97" t="n">
        <f aca="false">N(C168)+N(D168)</f>
        <v>6023100</v>
      </c>
      <c r="F168" s="96" t="n">
        <v>520000</v>
      </c>
      <c r="G168" s="96" t="n">
        <v>1037000</v>
      </c>
      <c r="H168" s="96" t="n">
        <v>4287714</v>
      </c>
      <c r="I168" s="97" t="n">
        <f aca="false">N(F168)+N(G168)+N(H168)</f>
        <v>5844714</v>
      </c>
      <c r="J168" s="97" t="n">
        <f aca="false">IF(AND(F168="",G168=""),0,N(C168)-N(F168)-N(G168))</f>
        <v>205300</v>
      </c>
      <c r="K168" s="97" t="n">
        <f aca="false">IF(H168="",0,N(D168)-N(H168))</f>
        <v>-26914</v>
      </c>
      <c r="L168" s="96"/>
      <c r="M168" s="96" t="n">
        <v>69300</v>
      </c>
      <c r="N168" s="96" t="n">
        <v>109000</v>
      </c>
      <c r="O168" s="97" t="n">
        <f aca="false">IF(AND(F168="",G168=""),0,J168-N(L168)-N(M168)-N(N168))</f>
        <v>27000</v>
      </c>
      <c r="P168" s="97" t="n">
        <f aca="false">K168+O168</f>
        <v>86</v>
      </c>
      <c r="Q168" s="98" t="n">
        <f aca="false">E168-P168</f>
        <v>6023014</v>
      </c>
      <c r="R168" s="96" t="n">
        <v>224</v>
      </c>
      <c r="S168" s="96" t="n">
        <v>121</v>
      </c>
      <c r="T168" s="97" t="n">
        <f aca="false">IF(N(S168)=0,"",Q168/S168)</f>
        <v>49776.9752066116</v>
      </c>
      <c r="U168" s="99" t="str">
        <f aca="false">IF(E168=0,"",IF(AND(N(C168)&gt;0,F168="",G168=""),"Belum direalisasi",IF(AND(N(D168)&gt;0,H168=""),"EDC belum settle",IF(ABS(O168)&gt;50000,"Cek selisih tunai","OK"))))</f>
        <v>OK</v>
      </c>
    </row>
    <row r="169" customFormat="false" ht="15" hidden="false" customHeight="false" outlineLevel="0" collapsed="false">
      <c r="A169" s="94" t="n">
        <v>46187</v>
      </c>
      <c r="B169" s="95" t="n">
        <f aca="false">MONTH(A169)</f>
        <v>6</v>
      </c>
      <c r="C169" s="96" t="n">
        <v>1168000</v>
      </c>
      <c r="D169" s="96" t="n">
        <v>3679100</v>
      </c>
      <c r="E169" s="97" t="n">
        <f aca="false">N(C169)+N(D169)</f>
        <v>4847100</v>
      </c>
      <c r="F169" s="96" t="n">
        <v>396000</v>
      </c>
      <c r="G169" s="96" t="n">
        <v>584000</v>
      </c>
      <c r="H169" s="96" t="n">
        <v>3679100</v>
      </c>
      <c r="I169" s="97" t="n">
        <f aca="false">N(F169)+N(G169)+N(H169)</f>
        <v>4659100</v>
      </c>
      <c r="J169" s="97" t="n">
        <f aca="false">IF(AND(F169="",G169=""),0,N(C169)-N(F169)-N(G169))</f>
        <v>188000</v>
      </c>
      <c r="K169" s="97" t="n">
        <f aca="false">IF(H169="",0,N(D169)-N(H169))</f>
        <v>0</v>
      </c>
      <c r="L169" s="96" t="n">
        <v>50000</v>
      </c>
      <c r="M169" s="96"/>
      <c r="N169" s="96"/>
      <c r="O169" s="97" t="n">
        <f aca="false">IF(AND(F169="",G169=""),0,J169-N(L169)-N(M169)-N(N169))</f>
        <v>138000</v>
      </c>
      <c r="P169" s="97" t="n">
        <f aca="false">K169+O169</f>
        <v>138000</v>
      </c>
      <c r="Q169" s="98" t="n">
        <f aca="false">E169-P169</f>
        <v>4709100</v>
      </c>
      <c r="R169" s="96" t="n">
        <v>183</v>
      </c>
      <c r="S169" s="96" t="n">
        <v>106</v>
      </c>
      <c r="T169" s="97" t="n">
        <f aca="false">IF(N(S169)=0,"",Q169/S169)</f>
        <v>44425.4716981132</v>
      </c>
      <c r="U169" s="99" t="str">
        <f aca="false">IF(E169=0,"",IF(AND(N(C169)&gt;0,F169="",G169=""),"Belum direalisasi",IF(AND(N(D169)&gt;0,H169=""),"EDC belum settle",IF(ABS(O169)&gt;50000,"Cek selisih tunai","OK"))))</f>
        <v>Cek selisih tunai</v>
      </c>
    </row>
    <row r="170" customFormat="false" ht="15" hidden="false" customHeight="false" outlineLevel="0" collapsed="false">
      <c r="A170" s="94" t="n">
        <v>46188</v>
      </c>
      <c r="B170" s="95" t="n">
        <f aca="false">MONTH(A170)</f>
        <v>6</v>
      </c>
      <c r="C170" s="96" t="n">
        <v>1425500</v>
      </c>
      <c r="D170" s="96" t="n">
        <v>2660800</v>
      </c>
      <c r="E170" s="97" t="n">
        <f aca="false">N(C170)+N(D170)</f>
        <v>4086300</v>
      </c>
      <c r="F170" s="96" t="n">
        <v>613000</v>
      </c>
      <c r="G170" s="96" t="n">
        <v>806000</v>
      </c>
      <c r="H170" s="96" t="n">
        <v>2660800</v>
      </c>
      <c r="I170" s="97" t="n">
        <f aca="false">N(F170)+N(G170)+N(H170)</f>
        <v>4079800</v>
      </c>
      <c r="J170" s="97" t="n">
        <f aca="false">IF(AND(F170="",G170=""),0,N(C170)-N(F170)-N(G170))</f>
        <v>6500</v>
      </c>
      <c r="K170" s="97" t="n">
        <f aca="false">IF(H170="",0,N(D170)-N(H170))</f>
        <v>0</v>
      </c>
      <c r="L170" s="96"/>
      <c r="M170" s="96" t="n">
        <v>25000</v>
      </c>
      <c r="N170" s="96" t="n">
        <v>119700</v>
      </c>
      <c r="O170" s="97" t="n">
        <f aca="false">IF(AND(F170="",G170=""),0,J170-N(L170)-N(M170)-N(N170))</f>
        <v>-138200</v>
      </c>
      <c r="P170" s="97" t="n">
        <f aca="false">K170+O170</f>
        <v>-138200</v>
      </c>
      <c r="Q170" s="98" t="n">
        <f aca="false">E170-P170</f>
        <v>4224500</v>
      </c>
      <c r="R170" s="96" t="n">
        <v>146</v>
      </c>
      <c r="S170" s="96" t="n">
        <v>77</v>
      </c>
      <c r="T170" s="97" t="n">
        <f aca="false">IF(N(S170)=0,"",Q170/S170)</f>
        <v>54863.6363636364</v>
      </c>
      <c r="U170" s="99" t="str">
        <f aca="false">IF(E170=0,"",IF(AND(N(C170)&gt;0,F170="",G170=""),"Belum direalisasi",IF(AND(N(D170)&gt;0,H170=""),"EDC belum settle",IF(ABS(O170)&gt;50000,"Cek selisih tunai","OK"))))</f>
        <v>Cek selisih tunai</v>
      </c>
    </row>
    <row r="171" customFormat="false" ht="15" hidden="false" customHeight="false" outlineLevel="0" collapsed="false">
      <c r="A171" s="94" t="n">
        <v>46189</v>
      </c>
      <c r="B171" s="95" t="n">
        <f aca="false">MONTH(A171)</f>
        <v>6</v>
      </c>
      <c r="C171" s="96" t="n">
        <v>1421100</v>
      </c>
      <c r="D171" s="96" t="n">
        <v>3261000</v>
      </c>
      <c r="E171" s="97" t="n">
        <f aca="false">N(C171)+N(D171)</f>
        <v>4682100</v>
      </c>
      <c r="F171" s="96" t="n">
        <v>726000</v>
      </c>
      <c r="G171" s="96" t="n">
        <v>640000</v>
      </c>
      <c r="H171" s="96" t="n">
        <v>3261300</v>
      </c>
      <c r="I171" s="97" t="n">
        <f aca="false">N(F171)+N(G171)+N(H171)</f>
        <v>4627300</v>
      </c>
      <c r="J171" s="97" t="n">
        <f aca="false">IF(AND(F171="",G171=""),0,N(C171)-N(F171)-N(G171))</f>
        <v>55100</v>
      </c>
      <c r="K171" s="97" t="n">
        <f aca="false">IF(H171="",0,N(D171)-N(H171))</f>
        <v>-300</v>
      </c>
      <c r="L171" s="96"/>
      <c r="M171" s="96"/>
      <c r="N171" s="96"/>
      <c r="O171" s="97" t="n">
        <f aca="false">IF(AND(F171="",G171=""),0,J171-N(L171)-N(M171)-N(N171))</f>
        <v>55100</v>
      </c>
      <c r="P171" s="97" t="n">
        <f aca="false">K171+O171</f>
        <v>54800</v>
      </c>
      <c r="Q171" s="98" t="n">
        <f aca="false">E171-P171</f>
        <v>4627300</v>
      </c>
      <c r="R171" s="96" t="n">
        <v>176</v>
      </c>
      <c r="S171" s="96" t="n">
        <v>102</v>
      </c>
      <c r="T171" s="97" t="n">
        <f aca="false">IF(N(S171)=0,"",Q171/S171)</f>
        <v>45365.6862745098</v>
      </c>
      <c r="U171" s="99" t="str">
        <f aca="false">IF(E171=0,"",IF(AND(N(C171)&gt;0,F171="",G171=""),"Belum direalisasi",IF(AND(N(D171)&gt;0,H171=""),"EDC belum settle",IF(ABS(O171)&gt;50000,"Cek selisih tunai","OK"))))</f>
        <v>Cek selisih tunai</v>
      </c>
    </row>
    <row r="172" customFormat="false" ht="15" hidden="false" customHeight="false" outlineLevel="0" collapsed="false">
      <c r="A172" s="94" t="n">
        <v>46190</v>
      </c>
      <c r="B172" s="95" t="n">
        <f aca="false">MONTH(A172)</f>
        <v>6</v>
      </c>
      <c r="C172" s="96" t="n">
        <v>861000</v>
      </c>
      <c r="D172" s="96" t="n">
        <v>2716550</v>
      </c>
      <c r="E172" s="97" t="n">
        <f aca="false">N(C172)+N(D172)</f>
        <v>3577550</v>
      </c>
      <c r="F172" s="96" t="n">
        <v>599000</v>
      </c>
      <c r="G172" s="96" t="n">
        <v>276000</v>
      </c>
      <c r="H172" s="96" t="n">
        <v>2719550</v>
      </c>
      <c r="I172" s="97" t="n">
        <f aca="false">N(F172)+N(G172)+N(H172)</f>
        <v>3594550</v>
      </c>
      <c r="J172" s="97" t="n">
        <f aca="false">IF(AND(F172="",G172=""),0,N(C172)-N(F172)-N(G172))</f>
        <v>-14000</v>
      </c>
      <c r="K172" s="97" t="n">
        <f aca="false">IF(H172="",0,N(D172)-N(H172))</f>
        <v>-3000</v>
      </c>
      <c r="L172" s="96" t="n">
        <v>8000</v>
      </c>
      <c r="M172" s="96"/>
      <c r="N172" s="96"/>
      <c r="O172" s="97" t="n">
        <f aca="false">IF(AND(F172="",G172=""),0,J172-N(L172)-N(M172)-N(N172))</f>
        <v>-22000</v>
      </c>
      <c r="P172" s="97" t="n">
        <f aca="false">K172+O172</f>
        <v>-25000</v>
      </c>
      <c r="Q172" s="98" t="n">
        <f aca="false">E172-P172</f>
        <v>3602550</v>
      </c>
      <c r="R172" s="96" t="n">
        <v>139</v>
      </c>
      <c r="S172" s="96" t="n">
        <v>90</v>
      </c>
      <c r="T172" s="97" t="n">
        <f aca="false">IF(N(S172)=0,"",Q172/S172)</f>
        <v>40028.3333333333</v>
      </c>
      <c r="U172" s="99" t="str">
        <f aca="false">IF(E172=0,"",IF(AND(N(C172)&gt;0,F172="",G172=""),"Belum direalisasi",IF(AND(N(D172)&gt;0,H172=""),"EDC belum settle",IF(ABS(O172)&gt;50000,"Cek selisih tunai","OK"))))</f>
        <v>OK</v>
      </c>
    </row>
    <row r="173" customFormat="false" ht="15" hidden="false" customHeight="false" outlineLevel="0" collapsed="false">
      <c r="A173" s="94" t="n">
        <v>46191</v>
      </c>
      <c r="B173" s="95" t="n">
        <f aca="false">MONTH(A173)</f>
        <v>6</v>
      </c>
      <c r="C173" s="96" t="n">
        <v>688600</v>
      </c>
      <c r="D173" s="96" t="n">
        <v>2158100</v>
      </c>
      <c r="E173" s="97" t="n">
        <f aca="false">N(C173)+N(D173)</f>
        <v>2846700</v>
      </c>
      <c r="F173" s="96" t="n">
        <v>60000</v>
      </c>
      <c r="G173" s="96" t="n">
        <v>589000</v>
      </c>
      <c r="H173" s="96" t="n">
        <v>2158059</v>
      </c>
      <c r="I173" s="97" t="n">
        <f aca="false">N(F173)+N(G173)+N(H173)</f>
        <v>2807059</v>
      </c>
      <c r="J173" s="97" t="n">
        <f aca="false">IF(AND(F173="",G173=""),0,N(C173)-N(F173)-N(G173))</f>
        <v>39600</v>
      </c>
      <c r="K173" s="97" t="n">
        <f aca="false">IF(H173="",0,N(D173)-N(H173))</f>
        <v>41</v>
      </c>
      <c r="L173" s="96" t="n">
        <v>39600</v>
      </c>
      <c r="M173" s="96"/>
      <c r="N173" s="96"/>
      <c r="O173" s="97" t="n">
        <f aca="false">IF(AND(F173="",G173=""),0,J173-N(L173)-N(M173)-N(N173))</f>
        <v>0</v>
      </c>
      <c r="P173" s="97" t="n">
        <f aca="false">K173+O173</f>
        <v>41</v>
      </c>
      <c r="Q173" s="98" t="n">
        <f aca="false">E173-P173</f>
        <v>2846659</v>
      </c>
      <c r="R173" s="96" t="n">
        <v>105</v>
      </c>
      <c r="S173" s="96" t="n">
        <v>61</v>
      </c>
      <c r="T173" s="97" t="n">
        <f aca="false">IF(N(S173)=0,"",Q173/S173)</f>
        <v>46666.5409836066</v>
      </c>
      <c r="U173" s="99" t="str">
        <f aca="false">IF(E173=0,"",IF(AND(N(C173)&gt;0,F173="",G173=""),"Belum direalisasi",IF(AND(N(D173)&gt;0,H173=""),"EDC belum settle",IF(ABS(O173)&gt;50000,"Cek selisih tunai","OK"))))</f>
        <v>OK</v>
      </c>
    </row>
    <row r="174" customFormat="false" ht="15" hidden="false" customHeight="false" outlineLevel="0" collapsed="false">
      <c r="A174" s="94" t="n">
        <v>46192</v>
      </c>
      <c r="B174" s="95" t="n">
        <f aca="false">MONTH(A174)</f>
        <v>6</v>
      </c>
      <c r="C174" s="96" t="n">
        <v>826500</v>
      </c>
      <c r="D174" s="96" t="n">
        <v>2837800</v>
      </c>
      <c r="E174" s="97" t="n">
        <f aca="false">N(C174)+N(D174)</f>
        <v>3664300</v>
      </c>
      <c r="F174" s="96" t="n">
        <v>302000</v>
      </c>
      <c r="G174" s="96" t="n">
        <v>525000</v>
      </c>
      <c r="H174" s="96" t="n">
        <v>2837800</v>
      </c>
      <c r="I174" s="97" t="n">
        <f aca="false">N(F174)+N(G174)+N(H174)</f>
        <v>3664800</v>
      </c>
      <c r="J174" s="97" t="n">
        <f aca="false">IF(AND(F174="",G174=""),0,N(C174)-N(F174)-N(G174))</f>
        <v>-500</v>
      </c>
      <c r="K174" s="97" t="n">
        <f aca="false">IF(H174="",0,N(D174)-N(H174))</f>
        <v>0</v>
      </c>
      <c r="L174" s="96"/>
      <c r="M174" s="96"/>
      <c r="N174" s="96"/>
      <c r="O174" s="97" t="n">
        <f aca="false">IF(AND(F174="",G174=""),0,J174-N(L174)-N(M174)-N(N174))</f>
        <v>-500</v>
      </c>
      <c r="P174" s="97" t="n">
        <f aca="false">K174+O174</f>
        <v>-500</v>
      </c>
      <c r="Q174" s="98" t="n">
        <f aca="false">E174-P174</f>
        <v>3664800</v>
      </c>
      <c r="R174" s="96" t="n">
        <v>130</v>
      </c>
      <c r="S174" s="96" t="n">
        <v>77</v>
      </c>
      <c r="T174" s="97" t="n">
        <f aca="false">IF(N(S174)=0,"",Q174/S174)</f>
        <v>47594.8051948052</v>
      </c>
      <c r="U174" s="99" t="str">
        <f aca="false">IF(E174=0,"",IF(AND(N(C174)&gt;0,F174="",G174=""),"Belum direalisasi",IF(AND(N(D174)&gt;0,H174=""),"EDC belum settle",IF(ABS(O174)&gt;50000,"Cek selisih tunai","OK"))))</f>
        <v>OK</v>
      </c>
    </row>
    <row r="175" customFormat="false" ht="15" hidden="false" customHeight="false" outlineLevel="0" collapsed="false">
      <c r="A175" s="94" t="n">
        <v>46193</v>
      </c>
      <c r="B175" s="95" t="n">
        <f aca="false">MONTH(A175)</f>
        <v>6</v>
      </c>
      <c r="C175" s="96" t="n">
        <v>1744800</v>
      </c>
      <c r="D175" s="96" t="n">
        <v>4108850</v>
      </c>
      <c r="E175" s="97" t="n">
        <f aca="false">N(C175)+N(D175)</f>
        <v>5853650</v>
      </c>
      <c r="F175" s="96" t="n">
        <v>522000</v>
      </c>
      <c r="G175" s="96" t="n">
        <v>1176000</v>
      </c>
      <c r="H175" s="96" t="n">
        <v>4108652</v>
      </c>
      <c r="I175" s="97" t="n">
        <f aca="false">N(F175)+N(G175)+N(H175)</f>
        <v>5806652</v>
      </c>
      <c r="J175" s="97" t="n">
        <f aca="false">IF(AND(F175="",G175=""),0,N(C175)-N(F175)-N(G175))</f>
        <v>46800</v>
      </c>
      <c r="K175" s="97" t="n">
        <f aca="false">IF(H175="",0,N(D175)-N(H175))</f>
        <v>198</v>
      </c>
      <c r="L175" s="96" t="n">
        <v>24500</v>
      </c>
      <c r="M175" s="96"/>
      <c r="N175" s="96" t="n">
        <v>22500</v>
      </c>
      <c r="O175" s="97" t="n">
        <f aca="false">IF(AND(F175="",G175=""),0,J175-N(L175)-N(M175)-N(N175))</f>
        <v>-200</v>
      </c>
      <c r="P175" s="97" t="n">
        <f aca="false">K175+O175</f>
        <v>-2</v>
      </c>
      <c r="Q175" s="98" t="n">
        <f aca="false">E175-P175</f>
        <v>5853652</v>
      </c>
      <c r="R175" s="96" t="n">
        <v>209</v>
      </c>
      <c r="S175" s="96" t="n">
        <v>120</v>
      </c>
      <c r="T175" s="97" t="n">
        <f aca="false">IF(N(S175)=0,"",Q175/S175)</f>
        <v>48780.4333333333</v>
      </c>
      <c r="U175" s="99" t="str">
        <f aca="false">IF(E175=0,"",IF(AND(N(C175)&gt;0,F175="",G175=""),"Belum direalisasi",IF(AND(N(D175)&gt;0,H175=""),"EDC belum settle",IF(ABS(O175)&gt;50000,"Cek selisih tunai","OK"))))</f>
        <v>OK</v>
      </c>
    </row>
    <row r="176" customFormat="false" ht="15" hidden="false" customHeight="false" outlineLevel="0" collapsed="false">
      <c r="A176" s="94" t="n">
        <v>46194</v>
      </c>
      <c r="B176" s="95" t="n">
        <f aca="false">MONTH(A176)</f>
        <v>6</v>
      </c>
      <c r="C176" s="96" t="n">
        <v>888950</v>
      </c>
      <c r="D176" s="96" t="n">
        <v>2132450</v>
      </c>
      <c r="E176" s="97" t="n">
        <f aca="false">N(C176)+N(D176)</f>
        <v>3021400</v>
      </c>
      <c r="F176" s="96" t="n">
        <v>291000</v>
      </c>
      <c r="G176" s="96" t="n">
        <v>501000</v>
      </c>
      <c r="H176" s="96" t="n">
        <v>2186955</v>
      </c>
      <c r="I176" s="97" t="n">
        <f aca="false">N(F176)+N(G176)+N(H176)</f>
        <v>2978955</v>
      </c>
      <c r="J176" s="97" t="n">
        <f aca="false">IF(AND(F176="",G176=""),0,N(C176)-N(F176)-N(G176))</f>
        <v>96950</v>
      </c>
      <c r="K176" s="97" t="n">
        <f aca="false">IF(H176="",0,N(D176)-N(H176))</f>
        <v>-54505</v>
      </c>
      <c r="L176" s="96" t="n">
        <v>50400</v>
      </c>
      <c r="M176" s="96"/>
      <c r="N176" s="96" t="n">
        <v>46800</v>
      </c>
      <c r="O176" s="97" t="n">
        <f aca="false">IF(AND(F176="",G176=""),0,J176-N(L176)-N(M176)-N(N176))</f>
        <v>-250</v>
      </c>
      <c r="P176" s="97" t="n">
        <f aca="false">K176+O176</f>
        <v>-54755</v>
      </c>
      <c r="Q176" s="98" t="n">
        <f aca="false">E176-P176</f>
        <v>3076155</v>
      </c>
      <c r="R176" s="96" t="n">
        <v>111</v>
      </c>
      <c r="S176" s="96" t="n">
        <v>64</v>
      </c>
      <c r="T176" s="97" t="n">
        <f aca="false">IF(N(S176)=0,"",Q176/S176)</f>
        <v>48064.921875</v>
      </c>
      <c r="U176" s="99" t="str">
        <f aca="false">IF(E176=0,"",IF(AND(N(C176)&gt;0,F176="",G176=""),"Belum direalisasi",IF(AND(N(D176)&gt;0,H176=""),"EDC belum settle",IF(ABS(O176)&gt;50000,"Cek selisih tunai","OK"))))</f>
        <v>OK</v>
      </c>
    </row>
    <row r="177" customFormat="false" ht="15" hidden="false" customHeight="false" outlineLevel="0" collapsed="false">
      <c r="A177" s="94" t="n">
        <v>46195</v>
      </c>
      <c r="B177" s="95" t="n">
        <f aca="false">MONTH(A177)</f>
        <v>6</v>
      </c>
      <c r="C177" s="96" t="n">
        <v>759000</v>
      </c>
      <c r="D177" s="96" t="n">
        <v>1307550</v>
      </c>
      <c r="E177" s="97" t="n">
        <f aca="false">N(C177)+N(D177)</f>
        <v>2066550</v>
      </c>
      <c r="F177" s="96" t="n">
        <v>200000</v>
      </c>
      <c r="G177" s="96" t="n">
        <v>422000</v>
      </c>
      <c r="H177" s="96" t="n">
        <v>1252550</v>
      </c>
      <c r="I177" s="97" t="n">
        <f aca="false">N(F177)+N(G177)+N(H177)</f>
        <v>1874550</v>
      </c>
      <c r="J177" s="97" t="n">
        <f aca="false">IF(AND(F177="",G177=""),0,N(C177)-N(F177)-N(G177))</f>
        <v>137000</v>
      </c>
      <c r="K177" s="97" t="n">
        <f aca="false">IF(H177="",0,N(D177)-N(H177))</f>
        <v>55000</v>
      </c>
      <c r="L177" s="96"/>
      <c r="M177" s="96"/>
      <c r="N177" s="96" t="n">
        <v>136000</v>
      </c>
      <c r="O177" s="97" t="n">
        <f aca="false">IF(AND(F177="",G177=""),0,J177-N(L177)-N(M177)-N(N177))</f>
        <v>1000</v>
      </c>
      <c r="P177" s="97" t="n">
        <f aca="false">K177+O177</f>
        <v>56000</v>
      </c>
      <c r="Q177" s="98" t="n">
        <f aca="false">E177-P177</f>
        <v>2010550</v>
      </c>
      <c r="R177" s="96" t="n">
        <v>76</v>
      </c>
      <c r="S177" s="96" t="n">
        <v>41</v>
      </c>
      <c r="T177" s="97" t="n">
        <f aca="false">IF(N(S177)=0,"",Q177/S177)</f>
        <v>49037.8048780488</v>
      </c>
      <c r="U177" s="99" t="str">
        <f aca="false">IF(E177=0,"",IF(AND(N(C177)&gt;0,F177="",G177=""),"Belum direalisasi",IF(AND(N(D177)&gt;0,H177=""),"EDC belum settle",IF(ABS(O177)&gt;50000,"Cek selisih tunai","OK"))))</f>
        <v>OK</v>
      </c>
    </row>
    <row r="178" customFormat="false" ht="15" hidden="false" customHeight="false" outlineLevel="0" collapsed="false">
      <c r="A178" s="94" t="n">
        <v>46196</v>
      </c>
      <c r="B178" s="95" t="n">
        <f aca="false">MONTH(A178)</f>
        <v>6</v>
      </c>
      <c r="C178" s="96" t="n">
        <v>671500</v>
      </c>
      <c r="D178" s="96" t="n">
        <v>1886300</v>
      </c>
      <c r="E178" s="97" t="n">
        <f aca="false">N(C178)+N(D178)</f>
        <v>2557800</v>
      </c>
      <c r="F178" s="96" t="n">
        <v>235000</v>
      </c>
      <c r="G178" s="96" t="n">
        <v>436500</v>
      </c>
      <c r="H178" s="96" t="n">
        <v>1886300</v>
      </c>
      <c r="I178" s="97" t="n">
        <f aca="false">N(F178)+N(G178)+N(H178)</f>
        <v>2557800</v>
      </c>
      <c r="J178" s="97" t="n">
        <f aca="false">IF(AND(F178="",G178=""),0,N(C178)-N(F178)-N(G178))</f>
        <v>0</v>
      </c>
      <c r="K178" s="97" t="n">
        <f aca="false">IF(H178="",0,N(D178)-N(H178))</f>
        <v>0</v>
      </c>
      <c r="L178" s="96"/>
      <c r="M178" s="96"/>
      <c r="N178" s="96"/>
      <c r="O178" s="97" t="n">
        <f aca="false">IF(AND(F178="",G178=""),0,J178-N(L178)-N(M178)-N(N178))</f>
        <v>0</v>
      </c>
      <c r="P178" s="97" t="n">
        <f aca="false">K178+O178</f>
        <v>0</v>
      </c>
      <c r="Q178" s="98" t="n">
        <f aca="false">E178-P178</f>
        <v>2557800</v>
      </c>
      <c r="R178" s="96" t="n">
        <v>90</v>
      </c>
      <c r="S178" s="96" t="n">
        <v>48</v>
      </c>
      <c r="T178" s="97" t="n">
        <f aca="false">IF(N(S178)=0,"",Q178/S178)</f>
        <v>53287.5</v>
      </c>
      <c r="U178" s="99" t="str">
        <f aca="false">IF(E178=0,"",IF(AND(N(C178)&gt;0,F178="",G178=""),"Belum direalisasi",IF(AND(N(D178)&gt;0,H178=""),"EDC belum settle",IF(ABS(O178)&gt;50000,"Cek selisih tunai","OK"))))</f>
        <v>OK</v>
      </c>
    </row>
    <row r="179" customFormat="false" ht="15" hidden="false" customHeight="false" outlineLevel="0" collapsed="false">
      <c r="A179" s="94" t="n">
        <v>46197</v>
      </c>
      <c r="B179" s="95" t="n">
        <f aca="false">MONTH(A179)</f>
        <v>6</v>
      </c>
      <c r="C179" s="96" t="n">
        <v>710500</v>
      </c>
      <c r="D179" s="96" t="n">
        <v>2451750</v>
      </c>
      <c r="E179" s="97" t="n">
        <f aca="false">N(C179)+N(D179)</f>
        <v>3162250</v>
      </c>
      <c r="F179" s="96" t="n">
        <v>416500</v>
      </c>
      <c r="G179" s="96" t="n">
        <v>294000</v>
      </c>
      <c r="H179" s="96" t="n">
        <v>2451750</v>
      </c>
      <c r="I179" s="97" t="n">
        <f aca="false">N(F179)+N(G179)+N(H179)</f>
        <v>3162250</v>
      </c>
      <c r="J179" s="97" t="n">
        <f aca="false">IF(AND(F179="",G179=""),0,N(C179)-N(F179)-N(G179))</f>
        <v>0</v>
      </c>
      <c r="K179" s="97" t="n">
        <f aca="false">IF(H179="",0,N(D179)-N(H179))</f>
        <v>0</v>
      </c>
      <c r="L179" s="96"/>
      <c r="M179" s="96"/>
      <c r="N179" s="96"/>
      <c r="O179" s="97" t="n">
        <f aca="false">IF(AND(F179="",G179=""),0,J179-N(L179)-N(M179)-N(N179))</f>
        <v>0</v>
      </c>
      <c r="P179" s="97" t="n">
        <f aca="false">K179+O179</f>
        <v>0</v>
      </c>
      <c r="Q179" s="98" t="n">
        <f aca="false">E179-P179</f>
        <v>3162250</v>
      </c>
      <c r="R179" s="96" t="n">
        <v>112</v>
      </c>
      <c r="S179" s="96" t="n">
        <v>62</v>
      </c>
      <c r="T179" s="97" t="n">
        <f aca="false">IF(N(S179)=0,"",Q179/S179)</f>
        <v>51004.0322580645</v>
      </c>
      <c r="U179" s="99" t="str">
        <f aca="false">IF(E179=0,"",IF(AND(N(C179)&gt;0,F179="",G179=""),"Belum direalisasi",IF(AND(N(D179)&gt;0,H179=""),"EDC belum settle",IF(ABS(O179)&gt;50000,"Cek selisih tunai","OK"))))</f>
        <v>OK</v>
      </c>
    </row>
    <row r="180" customFormat="false" ht="15" hidden="false" customHeight="false" outlineLevel="0" collapsed="false">
      <c r="A180" s="94" t="n">
        <v>46198</v>
      </c>
      <c r="B180" s="95" t="n">
        <f aca="false">MONTH(A180)</f>
        <v>6</v>
      </c>
      <c r="C180" s="96" t="n">
        <v>701000</v>
      </c>
      <c r="D180" s="96" t="n">
        <v>2175600</v>
      </c>
      <c r="E180" s="97" t="n">
        <f aca="false">N(C180)+N(D180)</f>
        <v>2876600</v>
      </c>
      <c r="F180" s="96" t="n">
        <v>117000</v>
      </c>
      <c r="G180" s="96" t="n">
        <v>477000</v>
      </c>
      <c r="H180" s="96" t="n">
        <v>2202600</v>
      </c>
      <c r="I180" s="97" t="n">
        <f aca="false">N(F180)+N(G180)+N(H180)</f>
        <v>2796600</v>
      </c>
      <c r="J180" s="97" t="n">
        <f aca="false">IF(AND(F180="",G180=""),0,N(C180)-N(F180)-N(G180))</f>
        <v>107000</v>
      </c>
      <c r="K180" s="97" t="n">
        <f aca="false">IF(H180="",0,N(D180)-N(H180))</f>
        <v>-27000</v>
      </c>
      <c r="L180" s="96"/>
      <c r="M180" s="96"/>
      <c r="N180" s="96" t="n">
        <v>107000</v>
      </c>
      <c r="O180" s="97" t="n">
        <f aca="false">IF(AND(F180="",G180=""),0,J180-N(L180)-N(M180)-N(N180))</f>
        <v>0</v>
      </c>
      <c r="P180" s="97" t="n">
        <f aca="false">K180+O180</f>
        <v>-27000</v>
      </c>
      <c r="Q180" s="98" t="n">
        <f aca="false">E180-P180</f>
        <v>2903600</v>
      </c>
      <c r="R180" s="96" t="n">
        <v>98</v>
      </c>
      <c r="S180" s="96" t="n">
        <v>52</v>
      </c>
      <c r="T180" s="97" t="n">
        <f aca="false">IF(N(S180)=0,"",Q180/S180)</f>
        <v>55838.4615384615</v>
      </c>
      <c r="U180" s="99" t="str">
        <f aca="false">IF(E180=0,"",IF(AND(N(C180)&gt;0,F180="",G180=""),"Belum direalisasi",IF(AND(N(D180)&gt;0,H180=""),"EDC belum settle",IF(ABS(O180)&gt;50000,"Cek selisih tunai","OK"))))</f>
        <v>OK</v>
      </c>
    </row>
    <row r="181" customFormat="false" ht="15" hidden="false" customHeight="false" outlineLevel="0" collapsed="false">
      <c r="A181" s="94" t="n">
        <v>46199</v>
      </c>
      <c r="B181" s="95" t="n">
        <f aca="false">MONTH(A181)</f>
        <v>6</v>
      </c>
      <c r="C181" s="96" t="n">
        <v>414000</v>
      </c>
      <c r="D181" s="96" t="n">
        <v>2104750</v>
      </c>
      <c r="E181" s="97" t="n">
        <f aca="false">N(C181)+N(D181)</f>
        <v>2518750</v>
      </c>
      <c r="F181" s="96" t="n">
        <v>196000</v>
      </c>
      <c r="G181" s="96" t="n">
        <v>218000</v>
      </c>
      <c r="H181" s="96" t="n">
        <v>2104750</v>
      </c>
      <c r="I181" s="97" t="n">
        <f aca="false">N(F181)+N(G181)+N(H181)</f>
        <v>2518750</v>
      </c>
      <c r="J181" s="97" t="n">
        <f aca="false">IF(AND(F181="",G181=""),0,N(C181)-N(F181)-N(G181))</f>
        <v>0</v>
      </c>
      <c r="K181" s="97" t="n">
        <f aca="false">IF(H181="",0,N(D181)-N(H181))</f>
        <v>0</v>
      </c>
      <c r="L181" s="96"/>
      <c r="M181" s="96"/>
      <c r="N181" s="96"/>
      <c r="O181" s="97" t="n">
        <f aca="false">IF(AND(F181="",G181=""),0,J181-N(L181)-N(M181)-N(N181))</f>
        <v>0</v>
      </c>
      <c r="P181" s="97" t="n">
        <f aca="false">K181+O181</f>
        <v>0</v>
      </c>
      <c r="Q181" s="98" t="n">
        <f aca="false">E181-P181</f>
        <v>2518750</v>
      </c>
      <c r="R181" s="96" t="n">
        <v>91</v>
      </c>
      <c r="S181" s="96" t="n">
        <v>50</v>
      </c>
      <c r="T181" s="97" t="n">
        <f aca="false">IF(N(S181)=0,"",Q181/S181)</f>
        <v>50375</v>
      </c>
      <c r="U181" s="99" t="str">
        <f aca="false">IF(E181=0,"",IF(AND(N(C181)&gt;0,F181="",G181=""),"Belum direalisasi",IF(AND(N(D181)&gt;0,H181=""),"EDC belum settle",IF(ABS(O181)&gt;50000,"Cek selisih tunai","OK"))))</f>
        <v>OK</v>
      </c>
    </row>
    <row r="182" customFormat="false" ht="15" hidden="false" customHeight="false" outlineLevel="0" collapsed="false">
      <c r="A182" s="94" t="n">
        <v>46200</v>
      </c>
      <c r="B182" s="95" t="n">
        <f aca="false">MONTH(A182)</f>
        <v>6</v>
      </c>
      <c r="C182" s="96" t="n">
        <v>949500</v>
      </c>
      <c r="D182" s="96" t="n">
        <v>2708300</v>
      </c>
      <c r="E182" s="97" t="n">
        <f aca="false">N(C182)+N(D182)</f>
        <v>3657800</v>
      </c>
      <c r="F182" s="96" t="n">
        <v>117000</v>
      </c>
      <c r="G182" s="96" t="n">
        <v>783000</v>
      </c>
      <c r="H182" s="96" t="n">
        <v>2708300</v>
      </c>
      <c r="I182" s="97" t="n">
        <f aca="false">N(F182)+N(G182)+N(H182)</f>
        <v>3608300</v>
      </c>
      <c r="J182" s="97" t="n">
        <f aca="false">IF(AND(F182="",G182=""),0,N(C182)-N(F182)-N(G182))</f>
        <v>49500</v>
      </c>
      <c r="K182" s="97" t="n">
        <f aca="false">IF(H182="",0,N(D182)-N(H182))</f>
        <v>0</v>
      </c>
      <c r="L182" s="96"/>
      <c r="M182" s="96" t="n">
        <v>27000</v>
      </c>
      <c r="N182" s="96" t="n">
        <v>22500</v>
      </c>
      <c r="O182" s="97" t="n">
        <f aca="false">IF(AND(F182="",G182=""),0,J182-N(L182)-N(M182)-N(N182))</f>
        <v>0</v>
      </c>
      <c r="P182" s="97" t="n">
        <f aca="false">K182+O182</f>
        <v>0</v>
      </c>
      <c r="Q182" s="98" t="n">
        <f aca="false">E182-P182</f>
        <v>3657800</v>
      </c>
      <c r="R182" s="96" t="n">
        <v>131</v>
      </c>
      <c r="S182" s="96" t="n">
        <v>70</v>
      </c>
      <c r="T182" s="97" t="n">
        <f aca="false">IF(N(S182)=0,"",Q182/S182)</f>
        <v>52254.2857142857</v>
      </c>
      <c r="U182" s="99" t="str">
        <f aca="false">IF(E182=0,"",IF(AND(N(C182)&gt;0,F182="",G182=""),"Belum direalisasi",IF(AND(N(D182)&gt;0,H182=""),"EDC belum settle",IF(ABS(O182)&gt;50000,"Cek selisih tunai","OK"))))</f>
        <v>OK</v>
      </c>
    </row>
    <row r="183" customFormat="false" ht="15" hidden="false" customHeight="false" outlineLevel="0" collapsed="false">
      <c r="A183" s="94" t="n">
        <v>46201</v>
      </c>
      <c r="B183" s="95" t="n">
        <f aca="false">MONTH(A183)</f>
        <v>6</v>
      </c>
      <c r="C183" s="96" t="n">
        <v>787000</v>
      </c>
      <c r="D183" s="96" t="n">
        <v>3671300</v>
      </c>
      <c r="E183" s="97" t="n">
        <f aca="false">N(C183)+N(D183)</f>
        <v>4458300</v>
      </c>
      <c r="F183" s="96" t="n">
        <v>400000</v>
      </c>
      <c r="G183" s="96" t="n">
        <v>387000</v>
      </c>
      <c r="H183" s="96" t="n">
        <v>3691800</v>
      </c>
      <c r="I183" s="97" t="n">
        <f aca="false">N(F183)+N(G183)+N(H183)</f>
        <v>4478800</v>
      </c>
      <c r="J183" s="97" t="n">
        <f aca="false">IF(AND(F183="",G183=""),0,N(C183)-N(F183)-N(G183))</f>
        <v>0</v>
      </c>
      <c r="K183" s="97" t="n">
        <f aca="false">IF(H183="",0,N(D183)-N(H183))</f>
        <v>-20500</v>
      </c>
      <c r="L183" s="96"/>
      <c r="M183" s="96"/>
      <c r="N183" s="96"/>
      <c r="O183" s="97" t="n">
        <f aca="false">IF(AND(F183="",G183=""),0,J183-N(L183)-N(M183)-N(N183))</f>
        <v>0</v>
      </c>
      <c r="P183" s="97" t="n">
        <f aca="false">K183+O183</f>
        <v>-20500</v>
      </c>
      <c r="Q183" s="98" t="n">
        <f aca="false">E183-P183</f>
        <v>4478800</v>
      </c>
      <c r="R183" s="96" t="n">
        <v>168</v>
      </c>
      <c r="S183" s="96" t="n">
        <v>89</v>
      </c>
      <c r="T183" s="97" t="n">
        <f aca="false">IF(N(S183)=0,"",Q183/S183)</f>
        <v>50323.595505618</v>
      </c>
      <c r="U183" s="99" t="str">
        <f aca="false">IF(E183=0,"",IF(AND(N(C183)&gt;0,F183="",G183=""),"Belum direalisasi",IF(AND(N(D183)&gt;0,H183=""),"EDC belum settle",IF(ABS(O183)&gt;50000,"Cek selisih tunai","OK"))))</f>
        <v>OK</v>
      </c>
    </row>
    <row r="184" customFormat="false" ht="15" hidden="false" customHeight="false" outlineLevel="0" collapsed="false">
      <c r="A184" s="94" t="n">
        <v>46202</v>
      </c>
      <c r="B184" s="95" t="n">
        <f aca="false">MONTH(A184)</f>
        <v>6</v>
      </c>
      <c r="C184" s="96" t="n">
        <v>619000</v>
      </c>
      <c r="D184" s="96" t="n">
        <v>2015300</v>
      </c>
      <c r="E184" s="97" t="n">
        <f aca="false">N(C184)+N(D184)</f>
        <v>2634300</v>
      </c>
      <c r="F184" s="96" t="n">
        <v>270000</v>
      </c>
      <c r="G184" s="96" t="n">
        <v>349000</v>
      </c>
      <c r="H184" s="96" t="n">
        <v>2014804</v>
      </c>
      <c r="I184" s="97" t="n">
        <f aca="false">N(F184)+N(G184)+N(H184)</f>
        <v>2633804</v>
      </c>
      <c r="J184" s="97" t="n">
        <f aca="false">IF(AND(F184="",G184=""),0,N(C184)-N(F184)-N(G184))</f>
        <v>0</v>
      </c>
      <c r="K184" s="97" t="n">
        <f aca="false">IF(H184="",0,N(D184)-N(H184))</f>
        <v>496</v>
      </c>
      <c r="L184" s="96"/>
      <c r="M184" s="96"/>
      <c r="N184" s="96"/>
      <c r="O184" s="97" t="n">
        <f aca="false">IF(AND(F184="",G184=""),0,J184-N(L184)-N(M184)-N(N184))</f>
        <v>0</v>
      </c>
      <c r="P184" s="97" t="n">
        <f aca="false">K184+O184</f>
        <v>496</v>
      </c>
      <c r="Q184" s="98" t="n">
        <f aca="false">E184-P184</f>
        <v>2633804</v>
      </c>
      <c r="R184" s="96" t="n">
        <v>91</v>
      </c>
      <c r="S184" s="96" t="n">
        <v>53</v>
      </c>
      <c r="T184" s="97" t="n">
        <f aca="false">IF(N(S184)=0,"",Q184/S184)</f>
        <v>49694.4150943396</v>
      </c>
      <c r="U184" s="99" t="str">
        <f aca="false">IF(E184=0,"",IF(AND(N(C184)&gt;0,F184="",G184=""),"Belum direalisasi",IF(AND(N(D184)&gt;0,H184=""),"EDC belum settle",IF(ABS(O184)&gt;50000,"Cek selisih tunai","OK"))))</f>
        <v>OK</v>
      </c>
    </row>
    <row r="185" customFormat="false" ht="15" hidden="false" customHeight="false" outlineLevel="0" collapsed="false">
      <c r="A185" s="94" t="n">
        <v>46203</v>
      </c>
      <c r="B185" s="95" t="n">
        <f aca="false">MONTH(A185)</f>
        <v>6</v>
      </c>
      <c r="C185" s="96" t="n">
        <v>952700</v>
      </c>
      <c r="D185" s="96" t="n">
        <v>1820800</v>
      </c>
      <c r="E185" s="97" t="n">
        <f aca="false">N(C185)+N(D185)</f>
        <v>2773500</v>
      </c>
      <c r="F185" s="96" t="n">
        <v>150000</v>
      </c>
      <c r="G185" s="96" t="n">
        <v>622000</v>
      </c>
      <c r="H185" s="96" t="n">
        <v>1820800</v>
      </c>
      <c r="I185" s="97" t="n">
        <f aca="false">N(F185)+N(G185)+N(H185)</f>
        <v>2592800</v>
      </c>
      <c r="J185" s="97" t="n">
        <f aca="false">IF(AND(F185="",G185=""),0,N(C185)-N(F185)-N(G185))</f>
        <v>180700</v>
      </c>
      <c r="K185" s="97" t="n">
        <f aca="false">IF(H185="",0,N(D185)-N(H185))</f>
        <v>0</v>
      </c>
      <c r="L185" s="96"/>
      <c r="M185" s="96"/>
      <c r="N185" s="96" t="n">
        <v>180800</v>
      </c>
      <c r="O185" s="97" t="n">
        <f aca="false">IF(AND(F185="",G185=""),0,J185-N(L185)-N(M185)-N(N185))</f>
        <v>-100</v>
      </c>
      <c r="P185" s="97" t="n">
        <f aca="false">K185+O185</f>
        <v>-100</v>
      </c>
      <c r="Q185" s="98" t="n">
        <f aca="false">E185-P185</f>
        <v>2773600</v>
      </c>
      <c r="R185" s="96" t="n">
        <v>99</v>
      </c>
      <c r="S185" s="96" t="n">
        <v>51</v>
      </c>
      <c r="T185" s="97" t="n">
        <f aca="false">IF(N(S185)=0,"",Q185/S185)</f>
        <v>54384.3137254902</v>
      </c>
      <c r="U185" s="99" t="str">
        <f aca="false">IF(E185=0,"",IF(AND(N(C185)&gt;0,F185="",G185=""),"Belum direalisasi",IF(AND(N(D185)&gt;0,H185=""),"EDC belum settle",IF(ABS(O185)&gt;50000,"Cek selisih tunai","OK"))))</f>
        <v>OK</v>
      </c>
    </row>
    <row r="186" customFormat="false" ht="15" hidden="false" customHeight="false" outlineLevel="0" collapsed="false">
      <c r="A186" s="89" t="n">
        <v>46204</v>
      </c>
      <c r="B186" s="90" t="n">
        <f aca="false">MONTH(A186)</f>
        <v>7</v>
      </c>
      <c r="C186" s="91" t="n">
        <v>1047500</v>
      </c>
      <c r="D186" s="91" t="n">
        <v>3269300</v>
      </c>
      <c r="E186" s="92" t="n">
        <f aca="false">N(C186)+N(D186)</f>
        <v>4316800</v>
      </c>
      <c r="F186" s="91" t="n">
        <v>229000</v>
      </c>
      <c r="G186" s="91" t="n">
        <v>818500</v>
      </c>
      <c r="H186" s="91" t="n">
        <v>3269300</v>
      </c>
      <c r="I186" s="92" t="n">
        <f aca="false">N(F186)+N(G186)+N(H186)</f>
        <v>4316800</v>
      </c>
      <c r="J186" s="92" t="n">
        <f aca="false">IF(AND(F186="",G186=""),0,N(C186)-N(F186)-N(G186))</f>
        <v>0</v>
      </c>
      <c r="K186" s="92" t="n">
        <f aca="false">IF(H186="",0,N(D186)-N(H186))</f>
        <v>0</v>
      </c>
      <c r="L186" s="91"/>
      <c r="M186" s="91"/>
      <c r="N186" s="91"/>
      <c r="O186" s="92" t="n">
        <f aca="false">IF(AND(F186="",G186=""),0,J186-N(L186)-N(M186)-N(N186))</f>
        <v>0</v>
      </c>
      <c r="P186" s="92" t="n">
        <f aca="false">K186+O186</f>
        <v>0</v>
      </c>
      <c r="Q186" s="85" t="n">
        <f aca="false">E186-P186</f>
        <v>4316800</v>
      </c>
      <c r="R186" s="91" t="n">
        <v>157</v>
      </c>
      <c r="S186" s="91" t="n">
        <v>81</v>
      </c>
      <c r="T186" s="92" t="n">
        <f aca="false">IF(N(S186)=0,"",Q186/S186)</f>
        <v>53293.8271604938</v>
      </c>
      <c r="U186" s="93" t="str">
        <f aca="false">IF(E186=0,"",IF(AND(N(C186)&gt;0,F186="",G186=""),"Belum direalisasi",IF(AND(N(D186)&gt;0,H186=""),"EDC belum settle",IF(ABS(O186)&gt;50000,"Cek selisih tunai","OK"))))</f>
        <v>OK</v>
      </c>
    </row>
    <row r="187" customFormat="false" ht="15" hidden="false" customHeight="false" outlineLevel="0" collapsed="false">
      <c r="A187" s="89" t="n">
        <v>46205</v>
      </c>
      <c r="B187" s="90" t="n">
        <f aca="false">MONTH(A187)</f>
        <v>7</v>
      </c>
      <c r="C187" s="91" t="n">
        <v>518750</v>
      </c>
      <c r="D187" s="91" t="n">
        <v>2825250</v>
      </c>
      <c r="E187" s="92" t="n">
        <f aca="false">N(C187)+N(D187)</f>
        <v>3344000</v>
      </c>
      <c r="F187" s="91" t="n">
        <v>81000</v>
      </c>
      <c r="G187" s="91" t="n">
        <v>346000</v>
      </c>
      <c r="H187" s="91" t="n">
        <v>2825250</v>
      </c>
      <c r="I187" s="92" t="n">
        <f aca="false">N(F187)+N(G187)+N(H187)</f>
        <v>3252250</v>
      </c>
      <c r="J187" s="92" t="n">
        <f aca="false">IF(AND(F187="",G187=""),0,N(C187)-N(F187)-N(G187))</f>
        <v>91750</v>
      </c>
      <c r="K187" s="92" t="n">
        <f aca="false">IF(H187="",0,N(D187)-N(H187))</f>
        <v>0</v>
      </c>
      <c r="L187" s="91"/>
      <c r="M187" s="91" t="n">
        <v>91800</v>
      </c>
      <c r="N187" s="91"/>
      <c r="O187" s="92" t="n">
        <f aca="false">IF(AND(F187="",G187=""),0,J187-N(L187)-N(M187)-N(N187))</f>
        <v>-50</v>
      </c>
      <c r="P187" s="92" t="n">
        <f aca="false">K187+O187</f>
        <v>-50</v>
      </c>
      <c r="Q187" s="85" t="n">
        <f aca="false">E187-P187</f>
        <v>3344050</v>
      </c>
      <c r="R187" s="91" t="n">
        <v>114</v>
      </c>
      <c r="S187" s="91" t="n">
        <v>73</v>
      </c>
      <c r="T187" s="92" t="n">
        <f aca="false">IF(N(S187)=0,"",Q187/S187)</f>
        <v>45808.904109589</v>
      </c>
      <c r="U187" s="93" t="str">
        <f aca="false">IF(E187=0,"",IF(AND(N(C187)&gt;0,F187="",G187=""),"Belum direalisasi",IF(AND(N(D187)&gt;0,H187=""),"EDC belum settle",IF(ABS(O187)&gt;50000,"Cek selisih tunai","OK"))))</f>
        <v>OK</v>
      </c>
    </row>
    <row r="188" customFormat="false" ht="15" hidden="false" customHeight="false" outlineLevel="0" collapsed="false">
      <c r="A188" s="89" t="n">
        <v>46206</v>
      </c>
      <c r="B188" s="90" t="n">
        <f aca="false">MONTH(A188)</f>
        <v>7</v>
      </c>
      <c r="C188" s="91" t="n">
        <v>958100</v>
      </c>
      <c r="D188" s="91" t="n">
        <v>2112400</v>
      </c>
      <c r="E188" s="92" t="n">
        <f aca="false">N(C188)+N(D188)</f>
        <v>3070500</v>
      </c>
      <c r="F188" s="91" t="n">
        <v>155000</v>
      </c>
      <c r="G188" s="91" t="n">
        <v>705000</v>
      </c>
      <c r="H188" s="91" t="n">
        <v>2035400</v>
      </c>
      <c r="I188" s="92" t="n">
        <f aca="false">N(F188)+N(G188)+N(H188)</f>
        <v>2895400</v>
      </c>
      <c r="J188" s="92" t="n">
        <f aca="false">IF(AND(F188="",G188=""),0,N(C188)-N(F188)-N(G188))</f>
        <v>98100</v>
      </c>
      <c r="K188" s="92" t="n">
        <f aca="false">IF(H188="",0,N(D188)-N(H188))</f>
        <v>77000</v>
      </c>
      <c r="L188" s="91"/>
      <c r="M188" s="91"/>
      <c r="N188" s="91" t="n">
        <v>98100</v>
      </c>
      <c r="O188" s="92" t="n">
        <f aca="false">IF(AND(F188="",G188=""),0,J188-N(L188)-N(M188)-N(N188))</f>
        <v>0</v>
      </c>
      <c r="P188" s="92" t="n">
        <f aca="false">K188+O188</f>
        <v>77000</v>
      </c>
      <c r="Q188" s="85" t="n">
        <f aca="false">E188-P188</f>
        <v>2993500</v>
      </c>
      <c r="R188" s="91" t="n">
        <v>106</v>
      </c>
      <c r="S188" s="91" t="n">
        <v>54</v>
      </c>
      <c r="T188" s="92" t="n">
        <f aca="false">IF(N(S188)=0,"",Q188/S188)</f>
        <v>55435.1851851852</v>
      </c>
      <c r="U188" s="93" t="str">
        <f aca="false">IF(E188=0,"",IF(AND(N(C188)&gt;0,F188="",G188=""),"Belum direalisasi",IF(AND(N(D188)&gt;0,H188=""),"EDC belum settle",IF(ABS(O188)&gt;50000,"Cek selisih tunai","OK"))))</f>
        <v>OK</v>
      </c>
    </row>
    <row r="189" customFormat="false" ht="15" hidden="false" customHeight="false" outlineLevel="0" collapsed="false">
      <c r="A189" s="89" t="n">
        <v>46207</v>
      </c>
      <c r="B189" s="90" t="n">
        <f aca="false">MONTH(A189)</f>
        <v>7</v>
      </c>
      <c r="C189" s="91" t="n">
        <v>714300</v>
      </c>
      <c r="D189" s="91" t="n">
        <v>2591500</v>
      </c>
      <c r="E189" s="92" t="n">
        <f aca="false">N(C189)+N(D189)</f>
        <v>3305800</v>
      </c>
      <c r="F189" s="91" t="n">
        <v>99000</v>
      </c>
      <c r="G189" s="91" t="n">
        <v>615000</v>
      </c>
      <c r="H189" s="91" t="n">
        <v>2667799</v>
      </c>
      <c r="I189" s="92" t="n">
        <f aca="false">N(F189)+N(G189)+N(H189)</f>
        <v>3381799</v>
      </c>
      <c r="J189" s="92" t="n">
        <f aca="false">IF(AND(F189="",G189=""),0,N(C189)-N(F189)-N(G189))</f>
        <v>300</v>
      </c>
      <c r="K189" s="92" t="n">
        <f aca="false">IF(H189="",0,N(D189)-N(H189))</f>
        <v>-76299</v>
      </c>
      <c r="L189" s="91"/>
      <c r="M189" s="91"/>
      <c r="N189" s="91"/>
      <c r="O189" s="92" t="n">
        <f aca="false">IF(AND(F189="",G189=""),0,J189-N(L189)-N(M189)-N(N189))</f>
        <v>300</v>
      </c>
      <c r="P189" s="92" t="n">
        <f aca="false">K189+O189</f>
        <v>-75999</v>
      </c>
      <c r="Q189" s="85" t="n">
        <f aca="false">E189-P189</f>
        <v>3381799</v>
      </c>
      <c r="R189" s="91" t="n">
        <v>117</v>
      </c>
      <c r="S189" s="91" t="n">
        <v>70</v>
      </c>
      <c r="T189" s="92" t="n">
        <f aca="false">IF(N(S189)=0,"",Q189/S189)</f>
        <v>48311.4142857143</v>
      </c>
      <c r="U189" s="93" t="str">
        <f aca="false">IF(E189=0,"",IF(AND(N(C189)&gt;0,F189="",G189=""),"Belum direalisasi",IF(AND(N(D189)&gt;0,H189=""),"EDC belum settle",IF(ABS(O189)&gt;50000,"Cek selisih tunai","OK"))))</f>
        <v>OK</v>
      </c>
    </row>
    <row r="190" customFormat="false" ht="15" hidden="false" customHeight="false" outlineLevel="0" collapsed="false">
      <c r="A190" s="89" t="n">
        <v>46208</v>
      </c>
      <c r="B190" s="90" t="n">
        <f aca="false">MONTH(A190)</f>
        <v>7</v>
      </c>
      <c r="C190" s="91" t="n">
        <v>1275850</v>
      </c>
      <c r="D190" s="91" t="n">
        <v>4315100</v>
      </c>
      <c r="E190" s="92" t="n">
        <f aca="false">N(C190)+N(D190)</f>
        <v>5590950</v>
      </c>
      <c r="F190" s="91" t="n">
        <v>505000</v>
      </c>
      <c r="G190" s="91" t="n">
        <v>771000</v>
      </c>
      <c r="H190" s="91" t="n">
        <v>4314780</v>
      </c>
      <c r="I190" s="92" t="n">
        <f aca="false">N(F190)+N(G190)+N(H190)</f>
        <v>5590780</v>
      </c>
      <c r="J190" s="92" t="n">
        <f aca="false">IF(AND(F190="",G190=""),0,N(C190)-N(F190)-N(G190))</f>
        <v>-150</v>
      </c>
      <c r="K190" s="92" t="n">
        <f aca="false">IF(H190="",0,N(D190)-N(H190))</f>
        <v>320</v>
      </c>
      <c r="L190" s="91"/>
      <c r="M190" s="91"/>
      <c r="N190" s="91"/>
      <c r="O190" s="92" t="n">
        <f aca="false">IF(AND(F190="",G190=""),0,J190-N(L190)-N(M190)-N(N190))</f>
        <v>-150</v>
      </c>
      <c r="P190" s="92" t="n">
        <f aca="false">K190+O190</f>
        <v>170</v>
      </c>
      <c r="Q190" s="85" t="n">
        <f aca="false">E190-P190</f>
        <v>5590780</v>
      </c>
      <c r="R190" s="91" t="n">
        <v>217</v>
      </c>
      <c r="S190" s="91" t="n">
        <v>114</v>
      </c>
      <c r="T190" s="92" t="n">
        <f aca="false">IF(N(S190)=0,"",Q190/S190)</f>
        <v>49041.9298245614</v>
      </c>
      <c r="U190" s="93" t="str">
        <f aca="false">IF(E190=0,"",IF(AND(N(C190)&gt;0,F190="",G190=""),"Belum direalisasi",IF(AND(N(D190)&gt;0,H190=""),"EDC belum settle",IF(ABS(O190)&gt;50000,"Cek selisih tunai","OK"))))</f>
        <v>OK</v>
      </c>
    </row>
    <row r="191" customFormat="false" ht="15" hidden="false" customHeight="false" outlineLevel="0" collapsed="false">
      <c r="A191" s="89" t="n">
        <v>46209</v>
      </c>
      <c r="B191" s="90" t="n">
        <f aca="false">MONTH(A191)</f>
        <v>7</v>
      </c>
      <c r="C191" s="91" t="n">
        <v>1277000</v>
      </c>
      <c r="D191" s="91" t="n">
        <v>1748600</v>
      </c>
      <c r="E191" s="92" t="n">
        <f aca="false">N(C191)+N(D191)</f>
        <v>3025600</v>
      </c>
      <c r="F191" s="91" t="n">
        <v>260000</v>
      </c>
      <c r="G191" s="91" t="n">
        <v>933000</v>
      </c>
      <c r="H191" s="91" t="n">
        <v>1748600</v>
      </c>
      <c r="I191" s="92" t="n">
        <f aca="false">N(F191)+N(G191)+N(H191)</f>
        <v>2941600</v>
      </c>
      <c r="J191" s="92" t="n">
        <f aca="false">IF(AND(F191="",G191=""),0,N(C191)-N(F191)-N(G191))</f>
        <v>84000</v>
      </c>
      <c r="K191" s="92" t="n">
        <f aca="false">IF(H191="",0,N(D191)-N(H191))</f>
        <v>0</v>
      </c>
      <c r="L191" s="91"/>
      <c r="M191" s="91"/>
      <c r="N191" s="91" t="n">
        <v>79000</v>
      </c>
      <c r="O191" s="92" t="n">
        <f aca="false">IF(AND(F191="",G191=""),0,J191-N(L191)-N(M191)-N(N191))</f>
        <v>5000</v>
      </c>
      <c r="P191" s="92" t="n">
        <f aca="false">K191+O191</f>
        <v>5000</v>
      </c>
      <c r="Q191" s="85" t="n">
        <f aca="false">E191-P191</f>
        <v>3020600</v>
      </c>
      <c r="R191" s="91" t="n">
        <v>109</v>
      </c>
      <c r="S191" s="91" t="n">
        <v>62</v>
      </c>
      <c r="T191" s="92" t="n">
        <f aca="false">IF(N(S191)=0,"",Q191/S191)</f>
        <v>48719.3548387097</v>
      </c>
      <c r="U191" s="93" t="str">
        <f aca="false">IF(E191=0,"",IF(AND(N(C191)&gt;0,F191="",G191=""),"Belum direalisasi",IF(AND(N(D191)&gt;0,H191=""),"EDC belum settle",IF(ABS(O191)&gt;50000,"Cek selisih tunai","OK"))))</f>
        <v>OK</v>
      </c>
    </row>
    <row r="192" customFormat="false" ht="15" hidden="false" customHeight="false" outlineLevel="0" collapsed="false">
      <c r="A192" s="89" t="n">
        <v>46210</v>
      </c>
      <c r="B192" s="90" t="n">
        <f aca="false">MONTH(A192)</f>
        <v>7</v>
      </c>
      <c r="C192" s="91" t="n">
        <v>974100</v>
      </c>
      <c r="D192" s="91" t="n">
        <v>1968300</v>
      </c>
      <c r="E192" s="92" t="n">
        <f aca="false">N(C192)+N(D192)</f>
        <v>2942400</v>
      </c>
      <c r="F192" s="91" t="n">
        <v>279000</v>
      </c>
      <c r="G192" s="91" t="n">
        <v>161000</v>
      </c>
      <c r="H192" s="91" t="n">
        <v>1968300</v>
      </c>
      <c r="I192" s="92" t="n">
        <f aca="false">N(F192)+N(G192)+N(H192)</f>
        <v>2408300</v>
      </c>
      <c r="J192" s="92" t="n">
        <f aca="false">IF(AND(F192="",G192=""),0,N(C192)-N(F192)-N(G192))</f>
        <v>534100</v>
      </c>
      <c r="K192" s="92" t="n">
        <f aca="false">IF(H192="",0,N(D192)-N(H192))</f>
        <v>0</v>
      </c>
      <c r="L192" s="91" t="n">
        <v>61300</v>
      </c>
      <c r="M192" s="91"/>
      <c r="N192" s="91" t="n">
        <v>472800</v>
      </c>
      <c r="O192" s="92" t="n">
        <f aca="false">IF(AND(F192="",G192=""),0,J192-N(L192)-N(M192)-N(N192))</f>
        <v>0</v>
      </c>
      <c r="P192" s="92" t="n">
        <f aca="false">K192+O192</f>
        <v>0</v>
      </c>
      <c r="Q192" s="85" t="n">
        <f aca="false">E192-P192</f>
        <v>2942400</v>
      </c>
      <c r="R192" s="91" t="n">
        <v>107</v>
      </c>
      <c r="S192" s="91" t="n">
        <v>56</v>
      </c>
      <c r="T192" s="92" t="n">
        <f aca="false">IF(N(S192)=0,"",Q192/S192)</f>
        <v>52542.8571428571</v>
      </c>
      <c r="U192" s="93" t="str">
        <f aca="false">IF(E192=0,"",IF(AND(N(C192)&gt;0,F192="",G192=""),"Belum direalisasi",IF(AND(N(D192)&gt;0,H192=""),"EDC belum settle",IF(ABS(O192)&gt;50000,"Cek selisih tunai","OK"))))</f>
        <v>OK</v>
      </c>
    </row>
    <row r="193" customFormat="false" ht="15" hidden="false" customHeight="false" outlineLevel="0" collapsed="false">
      <c r="A193" s="89" t="n">
        <v>46211</v>
      </c>
      <c r="B193" s="90" t="n">
        <f aca="false">MONTH(A193)</f>
        <v>7</v>
      </c>
      <c r="C193" s="91" t="n">
        <v>1154100</v>
      </c>
      <c r="D193" s="91" t="n">
        <v>1856700</v>
      </c>
      <c r="E193" s="92" t="n">
        <f aca="false">N(C193)+N(D193)</f>
        <v>3010800</v>
      </c>
      <c r="F193" s="91" t="n">
        <v>296000</v>
      </c>
      <c r="G193" s="91" t="n">
        <v>760000</v>
      </c>
      <c r="H193" s="91" t="n">
        <v>1856492</v>
      </c>
      <c r="I193" s="92" t="n">
        <f aca="false">N(F193)+N(G193)+N(H193)</f>
        <v>2912492</v>
      </c>
      <c r="J193" s="92" t="n">
        <f aca="false">IF(AND(F193="",G193=""),0,N(C193)-N(F193)-N(G193))</f>
        <v>98100</v>
      </c>
      <c r="K193" s="92" t="n">
        <f aca="false">IF(H193="",0,N(D193)-N(H193))</f>
        <v>208</v>
      </c>
      <c r="L193" s="91"/>
      <c r="M193" s="91"/>
      <c r="N193" s="91" t="n">
        <v>98100</v>
      </c>
      <c r="O193" s="92" t="n">
        <f aca="false">IF(AND(F193="",G193=""),0,J193-N(L193)-N(M193)-N(N193))</f>
        <v>0</v>
      </c>
      <c r="P193" s="92" t="n">
        <f aca="false">K193+O193</f>
        <v>208</v>
      </c>
      <c r="Q193" s="85" t="n">
        <f aca="false">E193-P193</f>
        <v>3010592</v>
      </c>
      <c r="R193" s="91" t="n">
        <v>107</v>
      </c>
      <c r="S193" s="91" t="n">
        <v>67</v>
      </c>
      <c r="T193" s="92" t="n">
        <f aca="false">IF(N(S193)=0,"",Q193/S193)</f>
        <v>44934.2089552239</v>
      </c>
      <c r="U193" s="93" t="str">
        <f aca="false">IF(E193=0,"",IF(AND(N(C193)&gt;0,F193="",G193=""),"Belum direalisasi",IF(AND(N(D193)&gt;0,H193=""),"EDC belum settle",IF(ABS(O193)&gt;50000,"Cek selisih tunai","OK"))))</f>
        <v>OK</v>
      </c>
    </row>
    <row r="194" customFormat="false" ht="15" hidden="false" customHeight="false" outlineLevel="0" collapsed="false">
      <c r="A194" s="89" t="n">
        <v>46212</v>
      </c>
      <c r="B194" s="90" t="n">
        <f aca="false">MONTH(A194)</f>
        <v>7</v>
      </c>
      <c r="C194" s="91" t="n">
        <v>805050</v>
      </c>
      <c r="D194" s="91" t="n">
        <v>1474300</v>
      </c>
      <c r="E194" s="92" t="n">
        <f aca="false">N(C194)+N(D194)</f>
        <v>2279350</v>
      </c>
      <c r="F194" s="91" t="n">
        <v>603000</v>
      </c>
      <c r="G194" s="91" t="n">
        <v>172000</v>
      </c>
      <c r="H194" s="91" t="n">
        <v>1474195</v>
      </c>
      <c r="I194" s="92" t="n">
        <f aca="false">N(F194)+N(G194)+N(H194)</f>
        <v>2249195</v>
      </c>
      <c r="J194" s="92" t="n">
        <f aca="false">IF(AND(F194="",G194=""),0,N(C194)-N(F194)-N(G194))</f>
        <v>30050</v>
      </c>
      <c r="K194" s="92" t="n">
        <f aca="false">IF(H194="",0,N(D194)-N(H194))</f>
        <v>105</v>
      </c>
      <c r="L194" s="91" t="n">
        <v>24300</v>
      </c>
      <c r="M194" s="91"/>
      <c r="N194" s="91"/>
      <c r="O194" s="92" t="n">
        <f aca="false">IF(AND(F194="",G194=""),0,J194-N(L194)-N(M194)-N(N194))</f>
        <v>5750</v>
      </c>
      <c r="P194" s="92" t="n">
        <f aca="false">K194+O194</f>
        <v>5855</v>
      </c>
      <c r="Q194" s="85" t="n">
        <f aca="false">E194-P194</f>
        <v>2273495</v>
      </c>
      <c r="R194" s="91" t="n">
        <v>77</v>
      </c>
      <c r="S194" s="91" t="n">
        <v>46</v>
      </c>
      <c r="T194" s="92" t="n">
        <f aca="false">IF(N(S194)=0,"",Q194/S194)</f>
        <v>49423.8043478261</v>
      </c>
      <c r="U194" s="93" t="str">
        <f aca="false">IF(E194=0,"",IF(AND(N(C194)&gt;0,F194="",G194=""),"Belum direalisasi",IF(AND(N(D194)&gt;0,H194=""),"EDC belum settle",IF(ABS(O194)&gt;50000,"Cek selisih tunai","OK"))))</f>
        <v>OK</v>
      </c>
    </row>
    <row r="195" customFormat="false" ht="15" hidden="false" customHeight="false" outlineLevel="0" collapsed="false">
      <c r="A195" s="89" t="n">
        <v>46213</v>
      </c>
      <c r="B195" s="90" t="n">
        <f aca="false">MONTH(A195)</f>
        <v>7</v>
      </c>
      <c r="C195" s="91" t="n">
        <v>870300</v>
      </c>
      <c r="D195" s="91" t="n">
        <v>1683900</v>
      </c>
      <c r="E195" s="92" t="n">
        <f aca="false">N(C195)+N(D195)</f>
        <v>2554200</v>
      </c>
      <c r="F195" s="91" t="n">
        <v>454000</v>
      </c>
      <c r="G195" s="91" t="n">
        <v>313000</v>
      </c>
      <c r="H195" s="91" t="n">
        <v>1708900</v>
      </c>
      <c r="I195" s="92" t="n">
        <f aca="false">N(F195)+N(G195)+N(H195)</f>
        <v>2475900</v>
      </c>
      <c r="J195" s="92" t="n">
        <f aca="false">IF(AND(F195="",G195=""),0,N(C195)-N(F195)-N(G195))</f>
        <v>103300</v>
      </c>
      <c r="K195" s="92" t="n">
        <f aca="false">IF(H195="",0,N(D195)-N(H195))</f>
        <v>-25000</v>
      </c>
      <c r="L195" s="91" t="n">
        <v>78300</v>
      </c>
      <c r="M195" s="91"/>
      <c r="N195" s="91"/>
      <c r="O195" s="92" t="n">
        <f aca="false">IF(AND(F195="",G195=""),0,J195-N(L195)-N(M195)-N(N195))</f>
        <v>25000</v>
      </c>
      <c r="P195" s="92" t="n">
        <f aca="false">K195+O195</f>
        <v>0</v>
      </c>
      <c r="Q195" s="85" t="n">
        <f aca="false">E195-P195</f>
        <v>2554200</v>
      </c>
      <c r="R195" s="91" t="n">
        <v>88</v>
      </c>
      <c r="S195" s="91" t="n">
        <v>53</v>
      </c>
      <c r="T195" s="92" t="n">
        <f aca="false">IF(N(S195)=0,"",Q195/S195)</f>
        <v>48192.4528301887</v>
      </c>
      <c r="U195" s="93" t="str">
        <f aca="false">IF(E195=0,"",IF(AND(N(C195)&gt;0,F195="",G195=""),"Belum direalisasi",IF(AND(N(D195)&gt;0,H195=""),"EDC belum settle",IF(ABS(O195)&gt;50000,"Cek selisih tunai","OK"))))</f>
        <v>OK</v>
      </c>
    </row>
    <row r="196" customFormat="false" ht="15" hidden="false" customHeight="false" outlineLevel="0" collapsed="false">
      <c r="A196" s="89" t="n">
        <v>46214</v>
      </c>
      <c r="B196" s="90" t="n">
        <f aca="false">MONTH(A196)</f>
        <v>7</v>
      </c>
      <c r="C196" s="91" t="n">
        <v>1102900</v>
      </c>
      <c r="D196" s="91" t="n">
        <v>2559450</v>
      </c>
      <c r="E196" s="92" t="n">
        <f aca="false">N(C196)+N(D196)</f>
        <v>3662350</v>
      </c>
      <c r="F196" s="91" t="n">
        <v>264000</v>
      </c>
      <c r="G196" s="91" t="n">
        <v>691000</v>
      </c>
      <c r="H196" s="91" t="n">
        <v>2559364</v>
      </c>
      <c r="I196" s="92" t="n">
        <f aca="false">N(F196)+N(G196)+N(H196)</f>
        <v>3514364</v>
      </c>
      <c r="J196" s="92" t="n">
        <f aca="false">IF(AND(F196="",G196=""),0,N(C196)-N(F196)-N(G196))</f>
        <v>147900</v>
      </c>
      <c r="K196" s="92" t="n">
        <f aca="false">IF(H196="",0,N(D196)-N(H196))</f>
        <v>86</v>
      </c>
      <c r="L196" s="91" t="n">
        <v>147600</v>
      </c>
      <c r="M196" s="91"/>
      <c r="N196" s="91"/>
      <c r="O196" s="92" t="n">
        <f aca="false">IF(AND(F196="",G196=""),0,J196-N(L196)-N(M196)-N(N196))</f>
        <v>300</v>
      </c>
      <c r="P196" s="92" t="n">
        <f aca="false">K196+O196</f>
        <v>386</v>
      </c>
      <c r="Q196" s="85" t="n">
        <f aca="false">E196-P196</f>
        <v>3661964</v>
      </c>
      <c r="R196" s="91" t="n">
        <v>130</v>
      </c>
      <c r="S196" s="91" t="n">
        <v>81</v>
      </c>
      <c r="T196" s="92" t="n">
        <f aca="false">IF(N(S196)=0,"",Q196/S196)</f>
        <v>45209.4320987654</v>
      </c>
      <c r="U196" s="93" t="str">
        <f aca="false">IF(E196=0,"",IF(AND(N(C196)&gt;0,F196="",G196=""),"Belum direalisasi",IF(AND(N(D196)&gt;0,H196=""),"EDC belum settle",IF(ABS(O196)&gt;50000,"Cek selisih tunai","OK"))))</f>
        <v>OK</v>
      </c>
    </row>
    <row r="197" customFormat="false" ht="15" hidden="false" customHeight="false" outlineLevel="0" collapsed="false">
      <c r="A197" s="89" t="n">
        <v>46215</v>
      </c>
      <c r="B197" s="90" t="n">
        <f aca="false">MONTH(A197)</f>
        <v>7</v>
      </c>
      <c r="C197" s="91" t="n">
        <v>1004200</v>
      </c>
      <c r="D197" s="91" t="n">
        <v>3267550</v>
      </c>
      <c r="E197" s="92" t="n">
        <f aca="false">N(C197)+N(D197)</f>
        <v>4271750</v>
      </c>
      <c r="F197" s="91" t="n">
        <v>212000</v>
      </c>
      <c r="G197" s="91" t="n">
        <v>640000</v>
      </c>
      <c r="H197" s="91" t="n">
        <v>3290500</v>
      </c>
      <c r="I197" s="92" t="n">
        <f aca="false">N(F197)+N(G197)+N(H197)</f>
        <v>4142500</v>
      </c>
      <c r="J197" s="92" t="n">
        <f aca="false">IF(AND(F197="",G197=""),0,N(C197)-N(F197)-N(G197))</f>
        <v>152200</v>
      </c>
      <c r="K197" s="92" t="n">
        <f aca="false">IF(H197="",0,N(D197)-N(H197))</f>
        <v>-22950</v>
      </c>
      <c r="L197" s="91"/>
      <c r="M197" s="91" t="n">
        <v>122400</v>
      </c>
      <c r="N197" s="91"/>
      <c r="O197" s="92" t="n">
        <f aca="false">IF(AND(F197="",G197=""),0,J197-N(L197)-N(M197)-N(N197))</f>
        <v>29800</v>
      </c>
      <c r="P197" s="92" t="n">
        <f aca="false">K197+O197</f>
        <v>6850</v>
      </c>
      <c r="Q197" s="85" t="n">
        <f aca="false">E197-P197</f>
        <v>4264900</v>
      </c>
      <c r="R197" s="91" t="n">
        <v>162</v>
      </c>
      <c r="S197" s="91" t="n">
        <v>96</v>
      </c>
      <c r="T197" s="92" t="n">
        <f aca="false">IF(N(S197)=0,"",Q197/S197)</f>
        <v>44426.0416666667</v>
      </c>
      <c r="U197" s="93" t="str">
        <f aca="false">IF(E197=0,"",IF(AND(N(C197)&gt;0,F197="",G197=""),"Belum direalisasi",IF(AND(N(D197)&gt;0,H197=""),"EDC belum settle",IF(ABS(O197)&gt;50000,"Cek selisih tunai","OK"))))</f>
        <v>OK</v>
      </c>
    </row>
    <row r="198" customFormat="false" ht="15" hidden="false" customHeight="false" outlineLevel="0" collapsed="false">
      <c r="A198" s="89" t="n">
        <v>46216</v>
      </c>
      <c r="B198" s="90" t="n">
        <f aca="false">MONTH(A198)</f>
        <v>7</v>
      </c>
      <c r="C198" s="91" t="n">
        <v>516500</v>
      </c>
      <c r="D198" s="91" t="n">
        <v>1939300</v>
      </c>
      <c r="E198" s="92" t="n">
        <f aca="false">N(C198)+N(D198)</f>
        <v>2455800</v>
      </c>
      <c r="F198" s="91" t="n">
        <v>113000</v>
      </c>
      <c r="G198" s="91" t="n">
        <v>404500</v>
      </c>
      <c r="H198" s="91" t="n">
        <v>1939300</v>
      </c>
      <c r="I198" s="92" t="n">
        <f aca="false">N(F198)+N(G198)+N(H198)</f>
        <v>2456800</v>
      </c>
      <c r="J198" s="92" t="n">
        <f aca="false">IF(AND(F198="",G198=""),0,N(C198)-N(F198)-N(G198))</f>
        <v>-1000</v>
      </c>
      <c r="K198" s="92" t="n">
        <f aca="false">IF(H198="",0,N(D198)-N(H198))</f>
        <v>0</v>
      </c>
      <c r="L198" s="91"/>
      <c r="M198" s="91"/>
      <c r="N198" s="91"/>
      <c r="O198" s="92" t="n">
        <f aca="false">IF(AND(F198="",G198=""),0,J198-N(L198)-N(M198)-N(N198))</f>
        <v>-1000</v>
      </c>
      <c r="P198" s="92" t="n">
        <f aca="false">K198+O198</f>
        <v>-1000</v>
      </c>
      <c r="Q198" s="85" t="n">
        <f aca="false">E198-P198</f>
        <v>2456800</v>
      </c>
      <c r="R198" s="91" t="n">
        <v>87</v>
      </c>
      <c r="S198" s="91" t="n">
        <v>53</v>
      </c>
      <c r="T198" s="92" t="n">
        <f aca="false">IF(N(S198)=0,"",Q198/S198)</f>
        <v>46354.7169811321</v>
      </c>
      <c r="U198" s="93" t="str">
        <f aca="false">IF(E198=0,"",IF(AND(N(C198)&gt;0,F198="",G198=""),"Belum direalisasi",IF(AND(N(D198)&gt;0,H198=""),"EDC belum settle",IF(ABS(O198)&gt;50000,"Cek selisih tunai","OK"))))</f>
        <v>OK</v>
      </c>
    </row>
    <row r="199" customFormat="false" ht="15" hidden="false" customHeight="false" outlineLevel="0" collapsed="false">
      <c r="A199" s="89" t="n">
        <v>46217</v>
      </c>
      <c r="B199" s="90" t="n">
        <f aca="false">MONTH(A199)</f>
        <v>7</v>
      </c>
      <c r="C199" s="91" t="n">
        <v>761900</v>
      </c>
      <c r="D199" s="91" t="n">
        <v>2992350</v>
      </c>
      <c r="E199" s="92" t="n">
        <f aca="false">N(C199)+N(D199)</f>
        <v>3754250</v>
      </c>
      <c r="F199" s="91" t="n">
        <v>49000</v>
      </c>
      <c r="G199" s="91" t="n">
        <v>297000</v>
      </c>
      <c r="H199" s="91" t="n">
        <v>2992350</v>
      </c>
      <c r="I199" s="92" t="n">
        <f aca="false">N(F199)+N(G199)+N(H199)</f>
        <v>3338350</v>
      </c>
      <c r="J199" s="92" t="n">
        <f aca="false">IF(AND(F199="",G199=""),0,N(C199)-N(F199)-N(G199))</f>
        <v>415900</v>
      </c>
      <c r="K199" s="92" t="n">
        <f aca="false">IF(H199="",0,N(D199)-N(H199))</f>
        <v>0</v>
      </c>
      <c r="L199" s="91"/>
      <c r="M199" s="91" t="n">
        <v>218700</v>
      </c>
      <c r="N199" s="91" t="n">
        <v>197300</v>
      </c>
      <c r="O199" s="92" t="n">
        <f aca="false">IF(AND(F199="",G199=""),0,J199-N(L199)-N(M199)-N(N199))</f>
        <v>-100</v>
      </c>
      <c r="P199" s="92" t="n">
        <f aca="false">K199+O199</f>
        <v>-100</v>
      </c>
      <c r="Q199" s="85" t="n">
        <f aca="false">E199-P199</f>
        <v>3754350</v>
      </c>
      <c r="R199" s="91" t="n">
        <v>136</v>
      </c>
      <c r="S199" s="91" t="n">
        <v>69</v>
      </c>
      <c r="T199" s="92" t="n">
        <f aca="false">IF(N(S199)=0,"",Q199/S199)</f>
        <v>54410.8695652174</v>
      </c>
      <c r="U199" s="93" t="str">
        <f aca="false">IF(E199=0,"",IF(AND(N(C199)&gt;0,F199="",G199=""),"Belum direalisasi",IF(AND(N(D199)&gt;0,H199=""),"EDC belum settle",IF(ABS(O199)&gt;50000,"Cek selisih tunai","OK"))))</f>
        <v>OK</v>
      </c>
    </row>
    <row r="200" customFormat="false" ht="15" hidden="false" customHeight="false" outlineLevel="0" collapsed="false">
      <c r="A200" s="89" t="n">
        <v>46218</v>
      </c>
      <c r="B200" s="90" t="n">
        <f aca="false">MONTH(A200)</f>
        <v>7</v>
      </c>
      <c r="C200" s="91" t="n">
        <v>601500</v>
      </c>
      <c r="D200" s="91" t="n">
        <v>1894400</v>
      </c>
      <c r="E200" s="92" t="n">
        <f aca="false">N(C200)+N(D200)</f>
        <v>2495900</v>
      </c>
      <c r="F200" s="91" t="n">
        <v>266500</v>
      </c>
      <c r="G200" s="91" t="n">
        <v>335500</v>
      </c>
      <c r="H200" s="91" t="n">
        <v>1894302</v>
      </c>
      <c r="I200" s="92" t="n">
        <f aca="false">N(F200)+N(G200)+N(H200)</f>
        <v>2496302</v>
      </c>
      <c r="J200" s="92" t="n">
        <f aca="false">IF(AND(F200="",G200=""),0,N(C200)-N(F200)-N(G200))</f>
        <v>-500</v>
      </c>
      <c r="K200" s="92" t="n">
        <f aca="false">IF(H200="",0,N(D200)-N(H200))</f>
        <v>98</v>
      </c>
      <c r="L200" s="91"/>
      <c r="M200" s="91"/>
      <c r="N200" s="91"/>
      <c r="O200" s="92" t="n">
        <f aca="false">IF(AND(F200="",G200=""),0,J200-N(L200)-N(M200)-N(N200))</f>
        <v>-500</v>
      </c>
      <c r="P200" s="92" t="n">
        <f aca="false">K200+O200</f>
        <v>-402</v>
      </c>
      <c r="Q200" s="85" t="n">
        <f aca="false">E200-P200</f>
        <v>2496302</v>
      </c>
      <c r="R200" s="91" t="n">
        <v>92</v>
      </c>
      <c r="S200" s="91" t="n">
        <v>46</v>
      </c>
      <c r="T200" s="92" t="n">
        <f aca="false">IF(N(S200)=0,"",Q200/S200)</f>
        <v>54267.4347826087</v>
      </c>
      <c r="U200" s="93" t="str">
        <f aca="false">IF(E200=0,"",IF(AND(N(C200)&gt;0,F200="",G200=""),"Belum direalisasi",IF(AND(N(D200)&gt;0,H200=""),"EDC belum settle",IF(ABS(O200)&gt;50000,"Cek selisih tunai","OK"))))</f>
        <v>OK</v>
      </c>
    </row>
    <row r="201" customFormat="false" ht="15" hidden="false" customHeight="false" outlineLevel="0" collapsed="false">
      <c r="A201" s="89" t="n">
        <v>46219</v>
      </c>
      <c r="B201" s="90" t="n">
        <f aca="false">MONTH(A201)</f>
        <v>7</v>
      </c>
      <c r="C201" s="91" t="n">
        <v>900800</v>
      </c>
      <c r="D201" s="91" t="n">
        <v>1854850</v>
      </c>
      <c r="E201" s="92" t="n">
        <f aca="false">N(C201)+N(D201)</f>
        <v>2755650</v>
      </c>
      <c r="F201" s="91" t="n">
        <v>228000</v>
      </c>
      <c r="G201" s="91" t="n">
        <v>672000</v>
      </c>
      <c r="H201" s="91" t="n">
        <v>1854850</v>
      </c>
      <c r="I201" s="92" t="n">
        <f aca="false">N(F201)+N(G201)+N(H201)</f>
        <v>2754850</v>
      </c>
      <c r="J201" s="92" t="n">
        <f aca="false">IF(AND(F201="",G201=""),0,N(C201)-N(F201)-N(G201))</f>
        <v>800</v>
      </c>
      <c r="K201" s="92" t="n">
        <f aca="false">IF(H201="",0,N(D201)-N(H201))</f>
        <v>0</v>
      </c>
      <c r="L201" s="91"/>
      <c r="M201" s="91"/>
      <c r="N201" s="91"/>
      <c r="O201" s="92" t="n">
        <f aca="false">IF(AND(F201="",G201=""),0,J201-N(L201)-N(M201)-N(N201))</f>
        <v>800</v>
      </c>
      <c r="P201" s="92" t="n">
        <f aca="false">K201+O201</f>
        <v>800</v>
      </c>
      <c r="Q201" s="85" t="n">
        <f aca="false">E201-P201</f>
        <v>2754850</v>
      </c>
      <c r="R201" s="91" t="n">
        <v>95</v>
      </c>
      <c r="S201" s="91" t="n">
        <v>66</v>
      </c>
      <c r="T201" s="92" t="n">
        <f aca="false">IF(N(S201)=0,"",Q201/S201)</f>
        <v>41740.1515151515</v>
      </c>
      <c r="U201" s="93" t="str">
        <f aca="false">IF(E201=0,"",IF(AND(N(C201)&gt;0,F201="",G201=""),"Belum direalisasi",IF(AND(N(D201)&gt;0,H201=""),"EDC belum settle",IF(ABS(O201)&gt;50000,"Cek selisih tunai","OK"))))</f>
        <v>OK</v>
      </c>
    </row>
    <row r="202" customFormat="false" ht="15" hidden="false" customHeight="false" outlineLevel="0" collapsed="false">
      <c r="A202" s="89" t="n">
        <v>46220</v>
      </c>
      <c r="B202" s="90" t="n">
        <f aca="false">MONTH(A202)</f>
        <v>7</v>
      </c>
      <c r="C202" s="91" t="n">
        <v>748050</v>
      </c>
      <c r="D202" s="91" t="n">
        <v>2032000</v>
      </c>
      <c r="E202" s="92" t="n">
        <f aca="false">N(C202)+N(D202)</f>
        <v>2780050</v>
      </c>
      <c r="F202" s="91" t="n">
        <v>180500</v>
      </c>
      <c r="G202" s="91" t="n">
        <v>434500</v>
      </c>
      <c r="H202" s="91" t="n">
        <v>1950000</v>
      </c>
      <c r="I202" s="92" t="n">
        <f aca="false">N(F202)+N(G202)+N(H202)</f>
        <v>2565000</v>
      </c>
      <c r="J202" s="92" t="n">
        <f aca="false">IF(AND(F202="",G202=""),0,N(C202)-N(F202)-N(G202))</f>
        <v>133050</v>
      </c>
      <c r="K202" s="92" t="n">
        <f aca="false">IF(H202="",0,N(D202)-N(H202))</f>
        <v>82000</v>
      </c>
      <c r="L202" s="91" t="n">
        <v>64300</v>
      </c>
      <c r="M202" s="91"/>
      <c r="N202" s="91" t="n">
        <v>69300</v>
      </c>
      <c r="O202" s="92" t="n">
        <f aca="false">IF(AND(F202="",G202=""),0,J202-N(L202)-N(M202)-N(N202))</f>
        <v>-550</v>
      </c>
      <c r="P202" s="92" t="n">
        <f aca="false">K202+O202</f>
        <v>81450</v>
      </c>
      <c r="Q202" s="85" t="n">
        <f aca="false">E202-P202</f>
        <v>2698600</v>
      </c>
      <c r="R202" s="91" t="n">
        <v>98</v>
      </c>
      <c r="S202" s="91" t="n">
        <v>52</v>
      </c>
      <c r="T202" s="92" t="n">
        <f aca="false">IF(N(S202)=0,"",Q202/S202)</f>
        <v>51896.1538461538</v>
      </c>
      <c r="U202" s="93" t="str">
        <f aca="false">IF(E202=0,"",IF(AND(N(C202)&gt;0,F202="",G202=""),"Belum direalisasi",IF(AND(N(D202)&gt;0,H202=""),"EDC belum settle",IF(ABS(O202)&gt;50000,"Cek selisih tunai","OK"))))</f>
        <v>OK</v>
      </c>
    </row>
    <row r="203" customFormat="false" ht="15" hidden="false" customHeight="false" outlineLevel="0" collapsed="false">
      <c r="A203" s="89" t="n">
        <v>46221</v>
      </c>
      <c r="B203" s="90" t="n">
        <f aca="false">MONTH(A203)</f>
        <v>7</v>
      </c>
      <c r="C203" s="91" t="n">
        <v>1197000</v>
      </c>
      <c r="D203" s="91" t="n">
        <v>2731900</v>
      </c>
      <c r="E203" s="92" t="n">
        <f aca="false">N(C203)+N(D203)</f>
        <v>3928900</v>
      </c>
      <c r="F203" s="91" t="n">
        <v>252000</v>
      </c>
      <c r="G203" s="91" t="n">
        <v>752000</v>
      </c>
      <c r="H203" s="91" t="n">
        <v>2816604</v>
      </c>
      <c r="I203" s="92" t="n">
        <f aca="false">N(F203)+N(G203)+N(H203)</f>
        <v>3820604</v>
      </c>
      <c r="J203" s="92" t="n">
        <f aca="false">IF(AND(F203="",G203=""),0,N(C203)-N(F203)-N(G203))</f>
        <v>193000</v>
      </c>
      <c r="K203" s="92" t="n">
        <f aca="false">IF(H203="",0,N(D203)-N(H203))</f>
        <v>-84704</v>
      </c>
      <c r="L203" s="91"/>
      <c r="M203" s="91"/>
      <c r="N203" s="91" t="n">
        <v>193300</v>
      </c>
      <c r="O203" s="92" t="n">
        <f aca="false">IF(AND(F203="",G203=""),0,J203-N(L203)-N(M203)-N(N203))</f>
        <v>-300</v>
      </c>
      <c r="P203" s="92" t="n">
        <f aca="false">K203+O203</f>
        <v>-85004</v>
      </c>
      <c r="Q203" s="85" t="n">
        <f aca="false">E203-P203</f>
        <v>4013904</v>
      </c>
      <c r="R203" s="91" t="n">
        <v>146</v>
      </c>
      <c r="S203" s="91" t="n">
        <v>83</v>
      </c>
      <c r="T203" s="92" t="n">
        <f aca="false">IF(N(S203)=0,"",Q203/S203)</f>
        <v>48360.2891566265</v>
      </c>
      <c r="U203" s="93" t="str">
        <f aca="false">IF(E203=0,"",IF(AND(N(C203)&gt;0,F203="",G203=""),"Belum direalisasi",IF(AND(N(D203)&gt;0,H203=""),"EDC belum settle",IF(ABS(O203)&gt;50000,"Cek selisih tunai","OK"))))</f>
        <v>OK</v>
      </c>
    </row>
    <row r="204" customFormat="false" ht="15" hidden="false" customHeight="false" outlineLevel="0" collapsed="false">
      <c r="A204" s="89" t="n">
        <v>46222</v>
      </c>
      <c r="B204" s="90" t="n">
        <f aca="false">MONTH(A204)</f>
        <v>7</v>
      </c>
      <c r="C204" s="91" t="n">
        <v>900100</v>
      </c>
      <c r="D204" s="91" t="n">
        <v>1787600</v>
      </c>
      <c r="E204" s="92" t="n">
        <f aca="false">N(C204)+N(D204)</f>
        <v>2687700</v>
      </c>
      <c r="F204" s="91" t="n">
        <v>249000</v>
      </c>
      <c r="G204" s="91" t="n">
        <v>572000</v>
      </c>
      <c r="H204" s="91" t="n">
        <v>1787600</v>
      </c>
      <c r="I204" s="92" t="n">
        <f aca="false">N(F204)+N(G204)+N(H204)</f>
        <v>2608600</v>
      </c>
      <c r="J204" s="92" t="n">
        <f aca="false">IF(AND(F204="",G204=""),0,N(C204)-N(F204)-N(G204))</f>
        <v>79100</v>
      </c>
      <c r="K204" s="92" t="n">
        <f aca="false">IF(H204="",0,N(D204)-N(H204))</f>
        <v>0</v>
      </c>
      <c r="L204" s="91"/>
      <c r="M204" s="91"/>
      <c r="N204" s="91" t="n">
        <v>79500</v>
      </c>
      <c r="O204" s="92" t="n">
        <f aca="false">IF(AND(F204="",G204=""),0,J204-N(L204)-N(M204)-N(N204))</f>
        <v>-400</v>
      </c>
      <c r="P204" s="92" t="n">
        <f aca="false">K204+O204</f>
        <v>-400</v>
      </c>
      <c r="Q204" s="85" t="n">
        <f aca="false">E204-P204</f>
        <v>2688100</v>
      </c>
      <c r="R204" s="91" t="n">
        <v>95</v>
      </c>
      <c r="S204" s="91" t="n">
        <v>50</v>
      </c>
      <c r="T204" s="92" t="n">
        <f aca="false">IF(N(S204)=0,"",Q204/S204)</f>
        <v>53762</v>
      </c>
      <c r="U204" s="93" t="str">
        <f aca="false">IF(E204=0,"",IF(AND(N(C204)&gt;0,F204="",G204=""),"Belum direalisasi",IF(AND(N(D204)&gt;0,H204=""),"EDC belum settle",IF(ABS(O204)&gt;50000,"Cek selisih tunai","OK"))))</f>
        <v>OK</v>
      </c>
    </row>
    <row r="205" customFormat="false" ht="15" hidden="false" customHeight="false" outlineLevel="0" collapsed="false">
      <c r="A205" s="89" t="n">
        <v>46223</v>
      </c>
      <c r="B205" s="90" t="n">
        <f aca="false">MONTH(A205)</f>
        <v>7</v>
      </c>
      <c r="C205" s="91" t="n">
        <v>498250</v>
      </c>
      <c r="D205" s="91" t="n">
        <v>1271300</v>
      </c>
      <c r="E205" s="92" t="n">
        <f aca="false">N(C205)+N(D205)</f>
        <v>1769550</v>
      </c>
      <c r="F205" s="91" t="n">
        <v>207000</v>
      </c>
      <c r="G205" s="91" t="n">
        <v>291500</v>
      </c>
      <c r="H205" s="91" t="n">
        <v>1271300</v>
      </c>
      <c r="I205" s="92" t="n">
        <f aca="false">N(F205)+N(G205)+N(H205)</f>
        <v>1769800</v>
      </c>
      <c r="J205" s="92" t="n">
        <f aca="false">IF(AND(F205="",G205=""),0,N(C205)-N(F205)-N(G205))</f>
        <v>-250</v>
      </c>
      <c r="K205" s="92" t="n">
        <f aca="false">IF(H205="",0,N(D205)-N(H205))</f>
        <v>0</v>
      </c>
      <c r="L205" s="91"/>
      <c r="M205" s="91"/>
      <c r="N205" s="91"/>
      <c r="O205" s="92" t="n">
        <f aca="false">IF(AND(F205="",G205=""),0,J205-N(L205)-N(M205)-N(N205))</f>
        <v>-250</v>
      </c>
      <c r="P205" s="92" t="n">
        <f aca="false">K205+O205</f>
        <v>-250</v>
      </c>
      <c r="Q205" s="85" t="n">
        <f aca="false">E205-P205</f>
        <v>1769800</v>
      </c>
      <c r="R205" s="91" t="n">
        <v>64</v>
      </c>
      <c r="S205" s="91" t="n">
        <v>39</v>
      </c>
      <c r="T205" s="92" t="n">
        <f aca="false">IF(N(S205)=0,"",Q205/S205)</f>
        <v>45379.4871794872</v>
      </c>
      <c r="U205" s="93" t="str">
        <f aca="false">IF(E205=0,"",IF(AND(N(C205)&gt;0,F205="",G205=""),"Belum direalisasi",IF(AND(N(D205)&gt;0,H205=""),"EDC belum settle",IF(ABS(O205)&gt;50000,"Cek selisih tunai","OK"))))</f>
        <v>OK</v>
      </c>
    </row>
    <row r="206" customFormat="false" ht="15" hidden="false" customHeight="false" outlineLevel="0" collapsed="false">
      <c r="A206" s="89" t="n">
        <v>46224</v>
      </c>
      <c r="B206" s="90" t="n">
        <f aca="false">MONTH(A206)</f>
        <v>7</v>
      </c>
      <c r="C206" s="91" t="n">
        <v>642300</v>
      </c>
      <c r="D206" s="91" t="n">
        <v>1518500</v>
      </c>
      <c r="E206" s="92" t="n">
        <f aca="false">N(C206)+N(D206)</f>
        <v>2160800</v>
      </c>
      <c r="F206" s="91" t="n">
        <v>119000</v>
      </c>
      <c r="G206" s="91" t="n">
        <v>499000</v>
      </c>
      <c r="H206" s="91" t="n">
        <v>1518500</v>
      </c>
      <c r="I206" s="92" t="n">
        <f aca="false">N(F206)+N(G206)+N(H206)</f>
        <v>2136500</v>
      </c>
      <c r="J206" s="92" t="n">
        <f aca="false">IF(AND(F206="",G206=""),0,N(C206)-N(F206)-N(G206))</f>
        <v>24300</v>
      </c>
      <c r="K206" s="92" t="n">
        <f aca="false">IF(H206="",0,N(D206)-N(H206))</f>
        <v>0</v>
      </c>
      <c r="L206" s="91"/>
      <c r="M206" s="91"/>
      <c r="N206" s="91" t="n">
        <v>24300</v>
      </c>
      <c r="O206" s="92" t="n">
        <f aca="false">IF(AND(F206="",G206=""),0,J206-N(L206)-N(M206)-N(N206))</f>
        <v>0</v>
      </c>
      <c r="P206" s="92" t="n">
        <f aca="false">K206+O206</f>
        <v>0</v>
      </c>
      <c r="Q206" s="85" t="n">
        <f aca="false">E206-P206</f>
        <v>2160800</v>
      </c>
      <c r="R206" s="91" t="n">
        <v>79</v>
      </c>
      <c r="S206" s="91" t="n">
        <v>46</v>
      </c>
      <c r="T206" s="92" t="n">
        <f aca="false">IF(N(S206)=0,"",Q206/S206)</f>
        <v>46973.9130434783</v>
      </c>
      <c r="U206" s="93" t="str">
        <f aca="false">IF(E206=0,"",IF(AND(N(C206)&gt;0,F206="",G206=""),"Belum direalisasi",IF(AND(N(D206)&gt;0,H206=""),"EDC belum settle",IF(ABS(O206)&gt;50000,"Cek selisih tunai","OK"))))</f>
        <v>OK</v>
      </c>
    </row>
    <row r="207" customFormat="false" ht="15" hidden="false" customHeight="false" outlineLevel="0" collapsed="false">
      <c r="A207" s="89" t="n">
        <v>46225</v>
      </c>
      <c r="B207" s="90" t="n">
        <f aca="false">MONTH(A207)</f>
        <v>7</v>
      </c>
      <c r="C207" s="91" t="n">
        <v>442000</v>
      </c>
      <c r="D207" s="91" t="n">
        <v>1544100</v>
      </c>
      <c r="E207" s="92" t="n">
        <f aca="false">N(C207)+N(D207)</f>
        <v>1986100</v>
      </c>
      <c r="F207" s="91" t="n">
        <v>131000</v>
      </c>
      <c r="G207" s="91" t="n">
        <v>281000</v>
      </c>
      <c r="H207" s="91" t="n">
        <v>1543750</v>
      </c>
      <c r="I207" s="92" t="n">
        <f aca="false">N(F207)+N(G207)+N(H207)</f>
        <v>1955750</v>
      </c>
      <c r="J207" s="92" t="n">
        <f aca="false">IF(AND(F207="",G207=""),0,N(C207)-N(F207)-N(G207))</f>
        <v>30000</v>
      </c>
      <c r="K207" s="92" t="n">
        <f aca="false">IF(H207="",0,N(D207)-N(H207))</f>
        <v>350</v>
      </c>
      <c r="L207" s="91" t="n">
        <v>30000</v>
      </c>
      <c r="M207" s="91"/>
      <c r="N207" s="91"/>
      <c r="O207" s="92" t="n">
        <f aca="false">IF(AND(F207="",G207=""),0,J207-N(L207)-N(M207)-N(N207))</f>
        <v>0</v>
      </c>
      <c r="P207" s="92" t="n">
        <f aca="false">K207+O207</f>
        <v>350</v>
      </c>
      <c r="Q207" s="85" t="n">
        <f aca="false">E207-P207</f>
        <v>1985750</v>
      </c>
      <c r="R207" s="91" t="n">
        <v>67</v>
      </c>
      <c r="S207" s="91" t="n">
        <v>43</v>
      </c>
      <c r="T207" s="92" t="n">
        <f aca="false">IF(N(S207)=0,"",Q207/S207)</f>
        <v>46180.2325581395</v>
      </c>
      <c r="U207" s="93" t="str">
        <f aca="false">IF(E207=0,"",IF(AND(N(C207)&gt;0,F207="",G207=""),"Belum direalisasi",IF(AND(N(D207)&gt;0,H207=""),"EDC belum settle",IF(ABS(O207)&gt;50000,"Cek selisih tunai","OK"))))</f>
        <v>OK</v>
      </c>
    </row>
    <row r="208" customFormat="false" ht="15" hidden="false" customHeight="false" outlineLevel="0" collapsed="false">
      <c r="A208" s="89" t="n">
        <v>46226</v>
      </c>
      <c r="B208" s="90" t="n">
        <f aca="false">MONTH(A208)</f>
        <v>7</v>
      </c>
      <c r="C208" s="91" t="n">
        <v>1041600</v>
      </c>
      <c r="D208" s="91" t="n">
        <v>2245700</v>
      </c>
      <c r="E208" s="92" t="n">
        <f aca="false">N(C208)+N(D208)</f>
        <v>3287300</v>
      </c>
      <c r="F208" s="91" t="n">
        <v>398000</v>
      </c>
      <c r="G208" s="91" t="n">
        <v>491500</v>
      </c>
      <c r="H208" s="91" t="n">
        <v>2235662</v>
      </c>
      <c r="I208" s="92" t="n">
        <f aca="false">N(F208)+N(G208)+N(H208)</f>
        <v>3125162</v>
      </c>
      <c r="J208" s="92" t="n">
        <f aca="false">IF(AND(F208="",G208=""),0,N(C208)-N(F208)-N(G208))</f>
        <v>152100</v>
      </c>
      <c r="K208" s="92" t="n">
        <f aca="false">IF(H208="",0,N(D208)-N(H208))</f>
        <v>10038</v>
      </c>
      <c r="L208" s="91" t="n">
        <v>151000</v>
      </c>
      <c r="M208" s="91"/>
      <c r="N208" s="91"/>
      <c r="O208" s="92" t="n">
        <f aca="false">IF(AND(F208="",G208=""),0,J208-N(L208)-N(M208)-N(N208))</f>
        <v>1100</v>
      </c>
      <c r="P208" s="92" t="n">
        <f aca="false">K208+O208</f>
        <v>11138</v>
      </c>
      <c r="Q208" s="85" t="n">
        <f aca="false">E208-P208</f>
        <v>3276162</v>
      </c>
      <c r="R208" s="91" t="n">
        <v>113</v>
      </c>
      <c r="S208" s="91" t="n">
        <v>69</v>
      </c>
      <c r="T208" s="92" t="n">
        <f aca="false">IF(N(S208)=0,"",Q208/S208)</f>
        <v>47480.6086956522</v>
      </c>
      <c r="U208" s="93" t="str">
        <f aca="false">IF(E208=0,"",IF(AND(N(C208)&gt;0,F208="",G208=""),"Belum direalisasi",IF(AND(N(D208)&gt;0,H208=""),"EDC belum settle",IF(ABS(O208)&gt;50000,"Cek selisih tunai","OK"))))</f>
        <v>OK</v>
      </c>
    </row>
    <row r="209" customFormat="false" ht="15" hidden="false" customHeight="false" outlineLevel="0" collapsed="false">
      <c r="A209" s="89" t="n">
        <v>46227</v>
      </c>
      <c r="B209" s="90" t="n">
        <f aca="false">MONTH(A209)</f>
        <v>7</v>
      </c>
      <c r="C209" s="91" t="n">
        <v>608300</v>
      </c>
      <c r="D209" s="91" t="n">
        <v>2002400</v>
      </c>
      <c r="E209" s="92" t="n">
        <f aca="false">N(C209)+N(D209)</f>
        <v>2610700</v>
      </c>
      <c r="F209" s="91" t="n">
        <v>178000</v>
      </c>
      <c r="G209" s="91" t="n">
        <v>430000</v>
      </c>
      <c r="H209" s="91" t="n">
        <v>1967347</v>
      </c>
      <c r="I209" s="92" t="n">
        <f aca="false">N(F209)+N(G209)+N(H209)</f>
        <v>2575347</v>
      </c>
      <c r="J209" s="92" t="n">
        <f aca="false">IF(AND(F209="",G209=""),0,N(C209)-N(F209)-N(G209))</f>
        <v>300</v>
      </c>
      <c r="K209" s="92" t="n">
        <f aca="false">IF(H209="",0,N(D209)-N(H209))</f>
        <v>35053</v>
      </c>
      <c r="L209" s="91"/>
      <c r="M209" s="91"/>
      <c r="N209" s="91"/>
      <c r="O209" s="92" t="n">
        <f aca="false">IF(AND(F209="",G209=""),0,J209-N(L209)-N(M209)-N(N209))</f>
        <v>300</v>
      </c>
      <c r="P209" s="92" t="n">
        <f aca="false">K209+O209</f>
        <v>35353</v>
      </c>
      <c r="Q209" s="85" t="n">
        <f aca="false">E209-P209</f>
        <v>2575347</v>
      </c>
      <c r="R209" s="91" t="n">
        <v>91</v>
      </c>
      <c r="S209" s="91" t="n">
        <v>60</v>
      </c>
      <c r="T209" s="92" t="n">
        <f aca="false">IF(N(S209)=0,"",Q209/S209)</f>
        <v>42922.45</v>
      </c>
      <c r="U209" s="93" t="str">
        <f aca="false">IF(E209=0,"",IF(AND(N(C209)&gt;0,F209="",G209=""),"Belum direalisasi",IF(AND(N(D209)&gt;0,H209=""),"EDC belum settle",IF(ABS(O209)&gt;50000,"Cek selisih tunai","OK"))))</f>
        <v>OK</v>
      </c>
    </row>
    <row r="210" customFormat="false" ht="15" hidden="false" customHeight="false" outlineLevel="0" collapsed="false">
      <c r="A210" s="89" t="n">
        <v>46228</v>
      </c>
      <c r="B210" s="90" t="n">
        <f aca="false">MONTH(A210)</f>
        <v>7</v>
      </c>
      <c r="C210" s="91" t="n">
        <v>1410400</v>
      </c>
      <c r="D210" s="91" t="n">
        <v>3198350</v>
      </c>
      <c r="E210" s="92" t="n">
        <f aca="false">N(C210)+N(D210)</f>
        <v>4608750</v>
      </c>
      <c r="F210" s="91" t="n">
        <v>302000</v>
      </c>
      <c r="G210" s="91" t="n">
        <v>912000</v>
      </c>
      <c r="H210" s="91" t="n">
        <v>3198350</v>
      </c>
      <c r="I210" s="92" t="n">
        <f aca="false">N(F210)+N(G210)+N(H210)</f>
        <v>4412350</v>
      </c>
      <c r="J210" s="92" t="n">
        <f aca="false">IF(AND(F210="",G210=""),0,N(C210)-N(F210)-N(G210))</f>
        <v>196400</v>
      </c>
      <c r="K210" s="92" t="n">
        <f aca="false">IF(H210="",0,N(D210)-N(H210))</f>
        <v>0</v>
      </c>
      <c r="L210" s="91"/>
      <c r="M210" s="91"/>
      <c r="N210" s="91" t="n">
        <v>197100</v>
      </c>
      <c r="O210" s="92" t="n">
        <f aca="false">IF(AND(F210="",G210=""),0,J210-N(L210)-N(M210)-N(N210))</f>
        <v>-700</v>
      </c>
      <c r="P210" s="92" t="n">
        <f aca="false">K210+O210</f>
        <v>-700</v>
      </c>
      <c r="Q210" s="85" t="n">
        <f aca="false">E210-P210</f>
        <v>4609450</v>
      </c>
      <c r="R210" s="91" t="n">
        <v>165</v>
      </c>
      <c r="S210" s="91" t="n">
        <v>100</v>
      </c>
      <c r="T210" s="92" t="n">
        <f aca="false">IF(N(S210)=0,"",Q210/S210)</f>
        <v>46094.5</v>
      </c>
      <c r="U210" s="93" t="str">
        <f aca="false">IF(E210=0,"",IF(AND(N(C210)&gt;0,F210="",G210=""),"Belum direalisasi",IF(AND(N(D210)&gt;0,H210=""),"EDC belum settle",IF(ABS(O210)&gt;50000,"Cek selisih tunai","OK"))))</f>
        <v>OK</v>
      </c>
    </row>
    <row r="211" customFormat="false" ht="15" hidden="false" customHeight="false" outlineLevel="0" collapsed="false">
      <c r="A211" s="89" t="n">
        <v>46229</v>
      </c>
      <c r="B211" s="90" t="n">
        <f aca="false">MONTH(A211)</f>
        <v>7</v>
      </c>
      <c r="C211" s="91" t="n">
        <v>326300</v>
      </c>
      <c r="D211" s="91" t="n">
        <v>2567500</v>
      </c>
      <c r="E211" s="92" t="n">
        <f aca="false">N(C211)+N(D211)</f>
        <v>2893800</v>
      </c>
      <c r="F211" s="91" t="n">
        <v>152000</v>
      </c>
      <c r="G211" s="91" t="n">
        <v>174000</v>
      </c>
      <c r="H211" s="91" t="n">
        <v>2567500</v>
      </c>
      <c r="I211" s="92" t="n">
        <f aca="false">N(F211)+N(G211)+N(H211)</f>
        <v>2893500</v>
      </c>
      <c r="J211" s="92" t="n">
        <f aca="false">IF(AND(F211="",G211=""),0,N(C211)-N(F211)-N(G211))</f>
        <v>300</v>
      </c>
      <c r="K211" s="92" t="n">
        <f aca="false">IF(H211="",0,N(D211)-N(H211))</f>
        <v>0</v>
      </c>
      <c r="L211" s="91"/>
      <c r="M211" s="91"/>
      <c r="N211" s="91"/>
      <c r="O211" s="92" t="n">
        <f aca="false">IF(AND(F211="",G211=""),0,J211-N(L211)-N(M211)-N(N211))</f>
        <v>300</v>
      </c>
      <c r="P211" s="92" t="n">
        <f aca="false">K211+O211</f>
        <v>300</v>
      </c>
      <c r="Q211" s="85" t="n">
        <f aca="false">E211-P211</f>
        <v>2893500</v>
      </c>
      <c r="R211" s="91" t="n">
        <v>100</v>
      </c>
      <c r="S211" s="91" t="n">
        <v>56</v>
      </c>
      <c r="T211" s="92" t="n">
        <f aca="false">IF(N(S211)=0,"",Q211/S211)</f>
        <v>51669.6428571429</v>
      </c>
      <c r="U211" s="93" t="str">
        <f aca="false">IF(E211=0,"",IF(AND(N(C211)&gt;0,F211="",G211=""),"Belum direalisasi",IF(AND(N(D211)&gt;0,H211=""),"EDC belum settle",IF(ABS(O211)&gt;50000,"Cek selisih tunai","OK"))))</f>
        <v>OK</v>
      </c>
    </row>
    <row r="212" customFormat="false" ht="15" hidden="false" customHeight="false" outlineLevel="0" collapsed="false">
      <c r="A212" s="89" t="n">
        <v>46230</v>
      </c>
      <c r="B212" s="90" t="n">
        <f aca="false">MONTH(A212)</f>
        <v>7</v>
      </c>
      <c r="C212" s="91" t="n">
        <v>715500</v>
      </c>
      <c r="D212" s="91" t="n">
        <v>1520750</v>
      </c>
      <c r="E212" s="92" t="n">
        <f aca="false">N(C212)+N(D212)</f>
        <v>2236250</v>
      </c>
      <c r="F212" s="91" t="n">
        <v>228000</v>
      </c>
      <c r="G212" s="91" t="n">
        <v>407000</v>
      </c>
      <c r="H212" s="91" t="n">
        <v>1520750</v>
      </c>
      <c r="I212" s="92" t="n">
        <f aca="false">N(F212)+N(G212)+N(H212)</f>
        <v>2155750</v>
      </c>
      <c r="J212" s="92" t="n">
        <f aca="false">IF(AND(F212="",G212=""),0,N(C212)-N(F212)-N(G212))</f>
        <v>80500</v>
      </c>
      <c r="K212" s="92" t="n">
        <f aca="false">IF(H212="",0,N(D212)-N(H212))</f>
        <v>0</v>
      </c>
      <c r="L212" s="91" t="n">
        <v>27000</v>
      </c>
      <c r="M212" s="91"/>
      <c r="N212" s="91" t="n">
        <v>27000</v>
      </c>
      <c r="O212" s="92" t="n">
        <f aca="false">IF(AND(F212="",G212=""),0,J212-N(L212)-N(M212)-N(N212))</f>
        <v>26500</v>
      </c>
      <c r="P212" s="92" t="n">
        <f aca="false">K212+O212</f>
        <v>26500</v>
      </c>
      <c r="Q212" s="85" t="n">
        <f aca="false">E212-P212</f>
        <v>2209750</v>
      </c>
      <c r="R212" s="91" t="n">
        <v>80</v>
      </c>
      <c r="S212" s="91" t="n">
        <v>48</v>
      </c>
      <c r="T212" s="92" t="n">
        <f aca="false">IF(N(S212)=0,"",Q212/S212)</f>
        <v>46036.4583333333</v>
      </c>
      <c r="U212" s="93" t="str">
        <f aca="false">IF(E212=0,"",IF(AND(N(C212)&gt;0,F212="",G212=""),"Belum direalisasi",IF(AND(N(D212)&gt;0,H212=""),"EDC belum settle",IF(ABS(O212)&gt;50000,"Cek selisih tunai","OK"))))</f>
        <v>OK</v>
      </c>
    </row>
    <row r="213" customFormat="false" ht="15" hidden="false" customHeight="false" outlineLevel="0" collapsed="false">
      <c r="A213" s="89" t="n">
        <v>46231</v>
      </c>
      <c r="B213" s="90" t="n">
        <f aca="false">MONTH(A213)</f>
        <v>7</v>
      </c>
      <c r="C213" s="91" t="n">
        <v>275300</v>
      </c>
      <c r="D213" s="91" t="n">
        <v>2102700</v>
      </c>
      <c r="E213" s="92" t="n">
        <f aca="false">N(C213)+N(D213)</f>
        <v>2378000</v>
      </c>
      <c r="F213" s="91" t="n">
        <v>152000</v>
      </c>
      <c r="G213" s="91" t="n">
        <v>124500</v>
      </c>
      <c r="H213" s="91" t="n">
        <v>2102700</v>
      </c>
      <c r="I213" s="92" t="n">
        <f aca="false">N(F213)+N(G213)+N(H213)</f>
        <v>2379200</v>
      </c>
      <c r="J213" s="92" t="n">
        <f aca="false">IF(AND(F213="",G213=""),0,N(C213)-N(F213)-N(G213))</f>
        <v>-1200</v>
      </c>
      <c r="K213" s="92" t="n">
        <f aca="false">IF(H213="",0,N(D213)-N(H213))</f>
        <v>0</v>
      </c>
      <c r="L213" s="91"/>
      <c r="M213" s="91"/>
      <c r="N213" s="91"/>
      <c r="O213" s="92" t="n">
        <f aca="false">IF(AND(F213="",G213=""),0,J213-N(L213)-N(M213)-N(N213))</f>
        <v>-1200</v>
      </c>
      <c r="P213" s="92" t="n">
        <f aca="false">K213+O213</f>
        <v>-1200</v>
      </c>
      <c r="Q213" s="85" t="n">
        <f aca="false">E213-P213</f>
        <v>2379200</v>
      </c>
      <c r="R213" s="91" t="n">
        <v>84</v>
      </c>
      <c r="S213" s="91" t="n">
        <v>40</v>
      </c>
      <c r="T213" s="92" t="n">
        <f aca="false">IF(N(S213)=0,"",Q213/S213)</f>
        <v>59480</v>
      </c>
      <c r="U213" s="93" t="str">
        <f aca="false">IF(E213=0,"",IF(AND(N(C213)&gt;0,F213="",G213=""),"Belum direalisasi",IF(AND(N(D213)&gt;0,H213=""),"EDC belum settle",IF(ABS(O213)&gt;50000,"Cek selisih tunai","OK"))))</f>
        <v>OK</v>
      </c>
    </row>
    <row r="214" customFormat="false" ht="15" hidden="false" customHeight="false" outlineLevel="0" collapsed="false">
      <c r="A214" s="89" t="n">
        <v>46232</v>
      </c>
      <c r="B214" s="90" t="n">
        <f aca="false">MONTH(A214)</f>
        <v>7</v>
      </c>
      <c r="C214" s="91" t="n">
        <v>731600</v>
      </c>
      <c r="D214" s="91" t="n">
        <v>1109550</v>
      </c>
      <c r="E214" s="92" t="n">
        <f aca="false">N(C214)+N(D214)</f>
        <v>1841150</v>
      </c>
      <c r="F214" s="91" t="n">
        <v>278000</v>
      </c>
      <c r="G214" s="91" t="n">
        <v>306000</v>
      </c>
      <c r="H214" s="91" t="n">
        <v>1156611</v>
      </c>
      <c r="I214" s="92" t="n">
        <f aca="false">N(F214)+N(G214)+N(H214)</f>
        <v>1740611</v>
      </c>
      <c r="J214" s="92" t="n">
        <f aca="false">IF(AND(F214="",G214=""),0,N(C214)-N(F214)-N(G214))</f>
        <v>147600</v>
      </c>
      <c r="K214" s="92" t="n">
        <f aca="false">IF(H214="",0,N(D214)-N(H214))</f>
        <v>-47061</v>
      </c>
      <c r="L214" s="91" t="n">
        <v>27000</v>
      </c>
      <c r="M214" s="91"/>
      <c r="N214" s="91" t="n">
        <v>120600</v>
      </c>
      <c r="O214" s="92" t="n">
        <f aca="false">IF(AND(F214="",G214=""),0,J214-N(L214)-N(M214)-N(N214))</f>
        <v>0</v>
      </c>
      <c r="P214" s="92" t="n">
        <f aca="false">K214+O214</f>
        <v>-47061</v>
      </c>
      <c r="Q214" s="85" t="n">
        <f aca="false">E214-P214</f>
        <v>1888211</v>
      </c>
      <c r="R214" s="91" t="n">
        <v>68</v>
      </c>
      <c r="S214" s="91" t="n">
        <v>41</v>
      </c>
      <c r="T214" s="92" t="n">
        <f aca="false">IF(N(S214)=0,"",Q214/S214)</f>
        <v>46053.9268292683</v>
      </c>
      <c r="U214" s="93" t="str">
        <f aca="false">IF(E214=0,"",IF(AND(N(C214)&gt;0,F214="",G214=""),"Belum direalisasi",IF(AND(N(D214)&gt;0,H214=""),"EDC belum settle",IF(ABS(O214)&gt;50000,"Cek selisih tunai","OK"))))</f>
        <v>OK</v>
      </c>
    </row>
    <row r="215" customFormat="false" ht="15" hidden="false" customHeight="false" outlineLevel="0" collapsed="false">
      <c r="A215" s="89" t="n">
        <v>46233</v>
      </c>
      <c r="B215" s="90" t="n">
        <f aca="false">MONTH(A215)</f>
        <v>7</v>
      </c>
      <c r="C215" s="91" t="n">
        <v>515000</v>
      </c>
      <c r="D215" s="91" t="n">
        <v>3225600</v>
      </c>
      <c r="E215" s="92" t="n">
        <f aca="false">N(C215)+N(D215)</f>
        <v>3740600</v>
      </c>
      <c r="F215" s="91" t="n">
        <v>82000</v>
      </c>
      <c r="G215" s="91" t="n">
        <v>434000</v>
      </c>
      <c r="H215" s="91" t="n">
        <v>3177000</v>
      </c>
      <c r="I215" s="92" t="n">
        <f aca="false">N(F215)+N(G215)+N(H215)</f>
        <v>3693000</v>
      </c>
      <c r="J215" s="92" t="n">
        <f aca="false">IF(AND(F215="",G215=""),0,N(C215)-N(F215)-N(G215))</f>
        <v>-1000</v>
      </c>
      <c r="K215" s="92" t="n">
        <f aca="false">IF(H215="",0,N(D215)-N(H215))</f>
        <v>48600</v>
      </c>
      <c r="L215" s="91"/>
      <c r="M215" s="91"/>
      <c r="N215" s="91"/>
      <c r="O215" s="92" t="n">
        <f aca="false">IF(AND(F215="",G215=""),0,J215-N(L215)-N(M215)-N(N215))</f>
        <v>-1000</v>
      </c>
      <c r="P215" s="92" t="n">
        <f aca="false">K215+O215</f>
        <v>47600</v>
      </c>
      <c r="Q215" s="85" t="n">
        <f aca="false">E215-P215</f>
        <v>3693000</v>
      </c>
      <c r="R215" s="91" t="n">
        <v>139</v>
      </c>
      <c r="S215" s="91" t="n">
        <v>68</v>
      </c>
      <c r="T215" s="92" t="n">
        <f aca="false">IF(N(S215)=0,"",Q215/S215)</f>
        <v>54308.8235294118</v>
      </c>
      <c r="U215" s="93" t="str">
        <f aca="false">IF(E215=0,"",IF(AND(N(C215)&gt;0,F215="",G215=""),"Belum direalisasi",IF(AND(N(D215)&gt;0,H215=""),"EDC belum settle",IF(ABS(O215)&gt;50000,"Cek selisih tunai","OK"))))</f>
        <v>OK</v>
      </c>
    </row>
    <row r="216" customFormat="false" ht="15" hidden="false" customHeight="false" outlineLevel="0" collapsed="false">
      <c r="A216" s="89" t="n">
        <v>46234</v>
      </c>
      <c r="B216" s="90" t="n">
        <f aca="false">MONTH(A216)</f>
        <v>7</v>
      </c>
      <c r="C216" s="91" t="n">
        <v>439450</v>
      </c>
      <c r="D216" s="91" t="n">
        <v>1774450</v>
      </c>
      <c r="E216" s="92" t="n">
        <f aca="false">N(C216)+N(D216)</f>
        <v>2213900</v>
      </c>
      <c r="F216" s="91" t="n">
        <v>77500</v>
      </c>
      <c r="G216" s="91" t="n">
        <v>362000</v>
      </c>
      <c r="H216" s="91" t="n">
        <v>1824825</v>
      </c>
      <c r="I216" s="92" t="n">
        <f aca="false">N(F216)+N(G216)+N(H216)</f>
        <v>2264325</v>
      </c>
      <c r="J216" s="92" t="n">
        <f aca="false">IF(AND(F216="",G216=""),0,N(C216)-N(F216)-N(G216))</f>
        <v>-50</v>
      </c>
      <c r="K216" s="92" t="n">
        <f aca="false">IF(H216="",0,N(D216)-N(H216))</f>
        <v>-50375</v>
      </c>
      <c r="L216" s="91"/>
      <c r="M216" s="91"/>
      <c r="N216" s="91"/>
      <c r="O216" s="92" t="n">
        <f aca="false">IF(AND(F216="",G216=""),0,J216-N(L216)-N(M216)-N(N216))</f>
        <v>-50</v>
      </c>
      <c r="P216" s="92" t="n">
        <f aca="false">K216+O216</f>
        <v>-50425</v>
      </c>
      <c r="Q216" s="85" t="n">
        <f aca="false">E216-P216</f>
        <v>2264325</v>
      </c>
      <c r="R216" s="91" t="n">
        <v>80</v>
      </c>
      <c r="S216" s="91" t="n">
        <v>52</v>
      </c>
      <c r="T216" s="92" t="n">
        <f aca="false">IF(N(S216)=0,"",Q216/S216)</f>
        <v>43544.7115384615</v>
      </c>
      <c r="U216" s="93" t="str">
        <f aca="false">IF(E216=0,"",IF(AND(N(C216)&gt;0,F216="",G216=""),"Belum direalisasi",IF(AND(N(D216)&gt;0,H216=""),"EDC belum settle",IF(ABS(O216)&gt;50000,"Cek selisih tunai","OK"))))</f>
        <v>OK</v>
      </c>
    </row>
    <row r="217" customFormat="false" ht="15" hidden="false" customHeight="false" outlineLevel="0" collapsed="false">
      <c r="A217" s="94" t="n">
        <v>46235</v>
      </c>
      <c r="B217" s="95" t="n">
        <f aca="false">MONTH(A217)</f>
        <v>8</v>
      </c>
      <c r="C217" s="96" t="n">
        <v>1247700</v>
      </c>
      <c r="D217" s="96" t="n">
        <v>2493150</v>
      </c>
      <c r="E217" s="97" t="n">
        <f aca="false">N(C217)+N(D217)</f>
        <v>3740850</v>
      </c>
      <c r="F217" s="96" t="n">
        <v>322000</v>
      </c>
      <c r="G217" s="96" t="n">
        <v>730500</v>
      </c>
      <c r="H217" s="96" t="n">
        <v>2493150</v>
      </c>
      <c r="I217" s="97" t="n">
        <f aca="false">N(F217)+N(G217)+N(H217)</f>
        <v>3545650</v>
      </c>
      <c r="J217" s="97" t="n">
        <f aca="false">IF(AND(F217="",G217=""),0,N(C217)-N(F217)-N(G217))</f>
        <v>195200</v>
      </c>
      <c r="K217" s="97" t="n">
        <f aca="false">IF(H217="",0,N(D217)-N(H217))</f>
        <v>0</v>
      </c>
      <c r="L217" s="96"/>
      <c r="M217" s="96"/>
      <c r="N217" s="96" t="n">
        <v>196200</v>
      </c>
      <c r="O217" s="97" t="n">
        <f aca="false">IF(AND(F217="",G217=""),0,J217-N(L217)-N(M217)-N(N217))</f>
        <v>-1000</v>
      </c>
      <c r="P217" s="97" t="n">
        <f aca="false">K217+O217</f>
        <v>-1000</v>
      </c>
      <c r="Q217" s="98" t="n">
        <f aca="false">E217-P217</f>
        <v>3741850</v>
      </c>
      <c r="R217" s="96" t="n">
        <v>132</v>
      </c>
      <c r="S217" s="96" t="n">
        <v>67</v>
      </c>
      <c r="T217" s="97" t="n">
        <f aca="false">IF(N(S217)=0,"",Q217/S217)</f>
        <v>55848.5074626866</v>
      </c>
      <c r="U217" s="99" t="str">
        <f aca="false">IF(E217=0,"",IF(AND(N(C217)&gt;0,F217="",G217=""),"Belum direalisasi",IF(AND(N(D217)&gt;0,H217=""),"EDC belum settle",IF(ABS(O217)&gt;50000,"Cek selisih tunai","OK"))))</f>
        <v>OK</v>
      </c>
    </row>
    <row r="218" customFormat="false" ht="15" hidden="false" customHeight="false" outlineLevel="0" collapsed="false">
      <c r="A218" s="94" t="n">
        <v>46236</v>
      </c>
      <c r="B218" s="95" t="n">
        <f aca="false">MONTH(A218)</f>
        <v>8</v>
      </c>
      <c r="C218" s="96" t="n">
        <v>505000</v>
      </c>
      <c r="D218" s="96" t="n">
        <v>2970100</v>
      </c>
      <c r="E218" s="97" t="n">
        <f aca="false">N(C218)+N(D218)</f>
        <v>3475100</v>
      </c>
      <c r="F218" s="96" t="n">
        <v>60000</v>
      </c>
      <c r="G218" s="96" t="n">
        <v>418000</v>
      </c>
      <c r="H218" s="96" t="n">
        <v>2969390</v>
      </c>
      <c r="I218" s="97" t="n">
        <f aca="false">N(F218)+N(G218)+N(H218)</f>
        <v>3447390</v>
      </c>
      <c r="J218" s="97" t="n">
        <f aca="false">IF(AND(F218="",G218=""),0,N(C218)-N(F218)-N(G218))</f>
        <v>27000</v>
      </c>
      <c r="K218" s="97" t="n">
        <f aca="false">IF(H218="",0,N(D218)-N(H218))</f>
        <v>710</v>
      </c>
      <c r="L218" s="96" t="n">
        <v>27000</v>
      </c>
      <c r="M218" s="96"/>
      <c r="N218" s="96"/>
      <c r="O218" s="97" t="n">
        <f aca="false">IF(AND(F218="",G218=""),0,J218-N(L218)-N(M218)-N(N218))</f>
        <v>0</v>
      </c>
      <c r="P218" s="97" t="n">
        <f aca="false">K218+O218</f>
        <v>710</v>
      </c>
      <c r="Q218" s="98" t="n">
        <f aca="false">E218-P218</f>
        <v>3474390</v>
      </c>
      <c r="R218" s="96" t="n">
        <v>127</v>
      </c>
      <c r="S218" s="96" t="n">
        <v>73</v>
      </c>
      <c r="T218" s="97" t="n">
        <f aca="false">IF(N(S218)=0,"",Q218/S218)</f>
        <v>47594.3835616438</v>
      </c>
      <c r="U218" s="99" t="str">
        <f aca="false">IF(E218=0,"",IF(AND(N(C218)&gt;0,F218="",G218=""),"Belum direalisasi",IF(AND(N(D218)&gt;0,H218=""),"EDC belum settle",IF(ABS(O218)&gt;50000,"Cek selisih tunai","OK"))))</f>
        <v>OK</v>
      </c>
    </row>
    <row r="219" customFormat="false" ht="15" hidden="false" customHeight="false" outlineLevel="0" collapsed="false">
      <c r="A219" s="94" t="n">
        <v>46237</v>
      </c>
      <c r="B219" s="95" t="n">
        <f aca="false">MONTH(A219)</f>
        <v>8</v>
      </c>
      <c r="C219" s="96" t="n">
        <v>647000</v>
      </c>
      <c r="D219" s="96" t="n">
        <v>1560550</v>
      </c>
      <c r="E219" s="97" t="n">
        <f aca="false">N(C219)+N(D219)</f>
        <v>2207550</v>
      </c>
      <c r="F219" s="96" t="n">
        <v>248000</v>
      </c>
      <c r="G219" s="96" t="n">
        <v>399000</v>
      </c>
      <c r="H219" s="96" t="n">
        <v>1560513</v>
      </c>
      <c r="I219" s="97" t="n">
        <f aca="false">N(F219)+N(G219)+N(H219)</f>
        <v>2207513</v>
      </c>
      <c r="J219" s="97" t="n">
        <f aca="false">IF(AND(F219="",G219=""),0,N(C219)-N(F219)-N(G219))</f>
        <v>0</v>
      </c>
      <c r="K219" s="97" t="n">
        <f aca="false">IF(H219="",0,N(D219)-N(H219))</f>
        <v>37</v>
      </c>
      <c r="L219" s="96"/>
      <c r="M219" s="96"/>
      <c r="N219" s="96"/>
      <c r="O219" s="97" t="n">
        <f aca="false">IF(AND(F219="",G219=""),0,J219-N(L219)-N(M219)-N(N219))</f>
        <v>0</v>
      </c>
      <c r="P219" s="97" t="n">
        <f aca="false">K219+O219</f>
        <v>37</v>
      </c>
      <c r="Q219" s="98" t="n">
        <f aca="false">E219-P219</f>
        <v>2207513</v>
      </c>
      <c r="R219" s="96" t="n">
        <v>83</v>
      </c>
      <c r="S219" s="96" t="n">
        <v>52</v>
      </c>
      <c r="T219" s="97" t="n">
        <f aca="false">IF(N(S219)=0,"",Q219/S219)</f>
        <v>42452.1730769231</v>
      </c>
      <c r="U219" s="99" t="str">
        <f aca="false">IF(E219=0,"",IF(AND(N(C219)&gt;0,F219="",G219=""),"Belum direalisasi",IF(AND(N(D219)&gt;0,H219=""),"EDC belum settle",IF(ABS(O219)&gt;50000,"Cek selisih tunai","OK"))))</f>
        <v>OK</v>
      </c>
    </row>
    <row r="220" customFormat="false" ht="15" hidden="false" customHeight="false" outlineLevel="0" collapsed="false">
      <c r="A220" s="94" t="n">
        <v>46238</v>
      </c>
      <c r="B220" s="95" t="n">
        <f aca="false">MONTH(A220)</f>
        <v>8</v>
      </c>
      <c r="C220" s="96" t="n">
        <v>825800</v>
      </c>
      <c r="D220" s="96" t="n">
        <v>2578300</v>
      </c>
      <c r="E220" s="97" t="n">
        <f aca="false">N(C220)+N(D220)</f>
        <v>3404100</v>
      </c>
      <c r="F220" s="96" t="n">
        <v>154000</v>
      </c>
      <c r="G220" s="96" t="n">
        <v>650000</v>
      </c>
      <c r="H220" s="96" t="n">
        <v>2578300</v>
      </c>
      <c r="I220" s="97" t="n">
        <f aca="false">N(F220)+N(G220)+N(H220)</f>
        <v>3382300</v>
      </c>
      <c r="J220" s="97" t="n">
        <f aca="false">IF(AND(F220="",G220=""),0,N(C220)-N(F220)-N(G220))</f>
        <v>21800</v>
      </c>
      <c r="K220" s="97" t="n">
        <f aca="false">IF(H220="",0,N(D220)-N(H220))</f>
        <v>0</v>
      </c>
      <c r="L220" s="96" t="n">
        <v>22500</v>
      </c>
      <c r="M220" s="96"/>
      <c r="N220" s="96"/>
      <c r="O220" s="97" t="n">
        <f aca="false">IF(AND(F220="",G220=""),0,J220-N(L220)-N(M220)-N(N220))</f>
        <v>-700</v>
      </c>
      <c r="P220" s="97" t="n">
        <f aca="false">K220+O220</f>
        <v>-700</v>
      </c>
      <c r="Q220" s="98" t="n">
        <f aca="false">E220-P220</f>
        <v>3404800</v>
      </c>
      <c r="R220" s="96" t="n">
        <v>120</v>
      </c>
      <c r="S220" s="96" t="n">
        <v>73</v>
      </c>
      <c r="T220" s="97" t="n">
        <f aca="false">IF(N(S220)=0,"",Q220/S220)</f>
        <v>46641.095890411</v>
      </c>
      <c r="U220" s="99" t="str">
        <f aca="false">IF(E220=0,"",IF(AND(N(C220)&gt;0,F220="",G220=""),"Belum direalisasi",IF(AND(N(D220)&gt;0,H220=""),"EDC belum settle",IF(ABS(O220)&gt;50000,"Cek selisih tunai","OK"))))</f>
        <v>OK</v>
      </c>
    </row>
    <row r="221" customFormat="false" ht="15" hidden="false" customHeight="false" outlineLevel="0" collapsed="false">
      <c r="A221" s="94" t="n">
        <v>46239</v>
      </c>
      <c r="B221" s="95" t="n">
        <f aca="false">MONTH(A221)</f>
        <v>8</v>
      </c>
      <c r="C221" s="96" t="n">
        <v>527000</v>
      </c>
      <c r="D221" s="96" t="n">
        <v>2476500</v>
      </c>
      <c r="E221" s="97" t="n">
        <f aca="false">N(C221)+N(D221)</f>
        <v>3003500</v>
      </c>
      <c r="F221" s="96" t="n">
        <v>35000</v>
      </c>
      <c r="G221" s="96" t="n">
        <v>385000</v>
      </c>
      <c r="H221" s="96" t="n">
        <v>2476500</v>
      </c>
      <c r="I221" s="97" t="n">
        <f aca="false">N(F221)+N(G221)+N(H221)</f>
        <v>2896500</v>
      </c>
      <c r="J221" s="97" t="n">
        <f aca="false">IF(AND(F221="",G221=""),0,N(C221)-N(F221)-N(G221))</f>
        <v>107000</v>
      </c>
      <c r="K221" s="97" t="n">
        <f aca="false">IF(H221="",0,N(D221)-N(H221))</f>
        <v>0</v>
      </c>
      <c r="L221" s="96" t="n">
        <v>27000</v>
      </c>
      <c r="M221" s="96"/>
      <c r="N221" s="96" t="n">
        <v>81000</v>
      </c>
      <c r="O221" s="97" t="n">
        <f aca="false">IF(AND(F221="",G221=""),0,J221-N(L221)-N(M221)-N(N221))</f>
        <v>-1000</v>
      </c>
      <c r="P221" s="97" t="n">
        <f aca="false">K221+O221</f>
        <v>-1000</v>
      </c>
      <c r="Q221" s="98" t="n">
        <f aca="false">E221-P221</f>
        <v>3004500</v>
      </c>
      <c r="R221" s="96" t="n">
        <v>104</v>
      </c>
      <c r="S221" s="96" t="n">
        <v>68</v>
      </c>
      <c r="T221" s="97" t="n">
        <f aca="false">IF(N(S221)=0,"",Q221/S221)</f>
        <v>44183.8235294118</v>
      </c>
      <c r="U221" s="99" t="str">
        <f aca="false">IF(E221=0,"",IF(AND(N(C221)&gt;0,F221="",G221=""),"Belum direalisasi",IF(AND(N(D221)&gt;0,H221=""),"EDC belum settle",IF(ABS(O221)&gt;50000,"Cek selisih tunai","OK"))))</f>
        <v>OK</v>
      </c>
    </row>
    <row r="222" customFormat="false" ht="15" hidden="false" customHeight="false" outlineLevel="0" collapsed="false">
      <c r="A222" s="94" t="n">
        <v>46240</v>
      </c>
      <c r="B222" s="95" t="n">
        <f aca="false">MONTH(A222)</f>
        <v>8</v>
      </c>
      <c r="C222" s="96" t="n">
        <v>516650</v>
      </c>
      <c r="D222" s="96" t="n">
        <v>1964000</v>
      </c>
      <c r="E222" s="97" t="n">
        <f aca="false">N(C222)+N(D222)</f>
        <v>2480650</v>
      </c>
      <c r="F222" s="96" t="n">
        <v>52000</v>
      </c>
      <c r="G222" s="96" t="n">
        <v>250000</v>
      </c>
      <c r="H222" s="96" t="n">
        <v>1962110</v>
      </c>
      <c r="I222" s="97" t="n">
        <f aca="false">N(F222)+N(G222)+N(H222)</f>
        <v>2264110</v>
      </c>
      <c r="J222" s="97" t="n">
        <f aca="false">IF(AND(F222="",G222=""),0,N(C222)-N(F222)-N(G222))</f>
        <v>214650</v>
      </c>
      <c r="K222" s="97" t="n">
        <f aca="false">IF(H222="",0,N(D222)-N(H222))</f>
        <v>1890</v>
      </c>
      <c r="L222" s="96"/>
      <c r="M222" s="96"/>
      <c r="N222" s="96" t="n">
        <v>216200</v>
      </c>
      <c r="O222" s="97" t="n">
        <f aca="false">IF(AND(F222="",G222=""),0,J222-N(L222)-N(M222)-N(N222))</f>
        <v>-1550</v>
      </c>
      <c r="P222" s="97" t="n">
        <f aca="false">K222+O222</f>
        <v>340</v>
      </c>
      <c r="Q222" s="98" t="n">
        <f aca="false">E222-P222</f>
        <v>2480310</v>
      </c>
      <c r="R222" s="96" t="n">
        <v>89</v>
      </c>
      <c r="S222" s="96" t="n">
        <v>50</v>
      </c>
      <c r="T222" s="97" t="n">
        <f aca="false">IF(N(S222)=0,"",Q222/S222)</f>
        <v>49606.2</v>
      </c>
      <c r="U222" s="99" t="str">
        <f aca="false">IF(E222=0,"",IF(AND(N(C222)&gt;0,F222="",G222=""),"Belum direalisasi",IF(AND(N(D222)&gt;0,H222=""),"EDC belum settle",IF(ABS(O222)&gt;50000,"Cek selisih tunai","OK"))))</f>
        <v>OK</v>
      </c>
    </row>
    <row r="223" customFormat="false" ht="15" hidden="false" customHeight="false" outlineLevel="0" collapsed="false">
      <c r="A223" s="94" t="n">
        <v>46241</v>
      </c>
      <c r="B223" s="95" t="n">
        <f aca="false">MONTH(A223)</f>
        <v>8</v>
      </c>
      <c r="C223" s="96" t="n">
        <v>619000</v>
      </c>
      <c r="D223" s="96" t="n">
        <v>2487800</v>
      </c>
      <c r="E223" s="97" t="n">
        <f aca="false">N(C223)+N(D223)</f>
        <v>3106800</v>
      </c>
      <c r="F223" s="96" t="n">
        <v>202000</v>
      </c>
      <c r="G223" s="96" t="n">
        <v>418000</v>
      </c>
      <c r="H223" s="96" t="n">
        <v>2487030</v>
      </c>
      <c r="I223" s="97" t="n">
        <f aca="false">N(F223)+N(G223)+N(H223)</f>
        <v>3107030</v>
      </c>
      <c r="J223" s="97" t="n">
        <f aca="false">IF(AND(F223="",G223=""),0,N(C223)-N(F223)-N(G223))</f>
        <v>-1000</v>
      </c>
      <c r="K223" s="97" t="n">
        <f aca="false">IF(H223="",0,N(D223)-N(H223))</f>
        <v>770</v>
      </c>
      <c r="L223" s="96"/>
      <c r="M223" s="96"/>
      <c r="N223" s="96"/>
      <c r="O223" s="97" t="n">
        <f aca="false">IF(AND(F223="",G223=""),0,J223-N(L223)-N(M223)-N(N223))</f>
        <v>-1000</v>
      </c>
      <c r="P223" s="97" t="n">
        <f aca="false">K223+O223</f>
        <v>-230</v>
      </c>
      <c r="Q223" s="98" t="n">
        <f aca="false">E223-P223</f>
        <v>3107030</v>
      </c>
      <c r="R223" s="96" t="n">
        <v>111</v>
      </c>
      <c r="S223" s="96" t="n">
        <v>62</v>
      </c>
      <c r="T223" s="97" t="n">
        <f aca="false">IF(N(S223)=0,"",Q223/S223)</f>
        <v>50113.3870967742</v>
      </c>
      <c r="U223" s="99" t="str">
        <f aca="false">IF(E223=0,"",IF(AND(N(C223)&gt;0,F223="",G223=""),"Belum direalisasi",IF(AND(N(D223)&gt;0,H223=""),"EDC belum settle",IF(ABS(O223)&gt;50000,"Cek selisih tunai","OK"))))</f>
        <v>OK</v>
      </c>
    </row>
    <row r="224" customFormat="false" ht="15" hidden="false" customHeight="false" outlineLevel="0" collapsed="false">
      <c r="A224" s="94" t="n">
        <v>46242</v>
      </c>
      <c r="B224" s="95" t="n">
        <f aca="false">MONTH(A224)</f>
        <v>8</v>
      </c>
      <c r="C224" s="96" t="n">
        <v>889500</v>
      </c>
      <c r="D224" s="96" t="n">
        <v>3648800</v>
      </c>
      <c r="E224" s="97" t="n">
        <f aca="false">N(C224)+N(D224)</f>
        <v>4538300</v>
      </c>
      <c r="F224" s="96" t="n">
        <v>300000</v>
      </c>
      <c r="G224" s="96" t="n">
        <v>558000</v>
      </c>
      <c r="H224" s="96" t="n">
        <v>3650759</v>
      </c>
      <c r="I224" s="97" t="n">
        <f aca="false">N(F224)+N(G224)+N(H224)</f>
        <v>4508759</v>
      </c>
      <c r="J224" s="97" t="n">
        <f aca="false">IF(AND(F224="",G224=""),0,N(C224)-N(F224)-N(G224))</f>
        <v>31500</v>
      </c>
      <c r="K224" s="97" t="n">
        <f aca="false">IF(H224="",0,N(D224)-N(H224))</f>
        <v>-1959</v>
      </c>
      <c r="L224" s="96" t="n">
        <v>31500</v>
      </c>
      <c r="M224" s="96"/>
      <c r="N224" s="96"/>
      <c r="O224" s="97" t="n">
        <f aca="false">IF(AND(F224="",G224=""),0,J224-N(L224)-N(M224)-N(N224))</f>
        <v>0</v>
      </c>
      <c r="P224" s="97" t="n">
        <f aca="false">K224+O224</f>
        <v>-1959</v>
      </c>
      <c r="Q224" s="98" t="n">
        <f aca="false">E224-P224</f>
        <v>4540259</v>
      </c>
      <c r="R224" s="96" t="n">
        <v>157</v>
      </c>
      <c r="S224" s="96" t="n">
        <v>81</v>
      </c>
      <c r="T224" s="97" t="n">
        <f aca="false">IF(N(S224)=0,"",Q224/S224)</f>
        <v>56052.5802469136</v>
      </c>
      <c r="U224" s="99" t="str">
        <f aca="false">IF(E224=0,"",IF(AND(N(C224)&gt;0,F224="",G224=""),"Belum direalisasi",IF(AND(N(D224)&gt;0,H224=""),"EDC belum settle",IF(ABS(O224)&gt;50000,"Cek selisih tunai","OK"))))</f>
        <v>OK</v>
      </c>
    </row>
    <row r="225" customFormat="false" ht="15" hidden="false" customHeight="false" outlineLevel="0" collapsed="false">
      <c r="A225" s="94" t="n">
        <v>46243</v>
      </c>
      <c r="B225" s="95" t="n">
        <f aca="false">MONTH(A225)</f>
        <v>8</v>
      </c>
      <c r="C225" s="96" t="n">
        <v>1491600</v>
      </c>
      <c r="D225" s="96" t="n">
        <v>2607300</v>
      </c>
      <c r="E225" s="97" t="n">
        <f aca="false">N(C225)+N(D225)</f>
        <v>4098900</v>
      </c>
      <c r="F225" s="96" t="n">
        <v>54000</v>
      </c>
      <c r="G225" s="96" t="n">
        <v>1187000</v>
      </c>
      <c r="H225" s="96" t="n">
        <v>2607300</v>
      </c>
      <c r="I225" s="97" t="n">
        <f aca="false">N(F225)+N(G225)+N(H225)</f>
        <v>3848300</v>
      </c>
      <c r="J225" s="97" t="n">
        <f aca="false">IF(AND(F225="",G225=""),0,N(C225)-N(F225)-N(G225))</f>
        <v>250600</v>
      </c>
      <c r="K225" s="97" t="n">
        <f aca="false">IF(H225="",0,N(D225)-N(H225))</f>
        <v>0</v>
      </c>
      <c r="L225" s="96" t="n">
        <v>57500</v>
      </c>
      <c r="M225" s="96" t="n">
        <v>27000</v>
      </c>
      <c r="N225" s="96" t="n">
        <v>166500</v>
      </c>
      <c r="O225" s="97" t="n">
        <f aca="false">IF(AND(F225="",G225=""),0,J225-N(L225)-N(M225)-N(N225))</f>
        <v>-400</v>
      </c>
      <c r="P225" s="97" t="n">
        <f aca="false">K225+O225</f>
        <v>-400</v>
      </c>
      <c r="Q225" s="98" t="n">
        <f aca="false">E225-P225</f>
        <v>4099300</v>
      </c>
      <c r="R225" s="96" t="n">
        <v>146</v>
      </c>
      <c r="S225" s="96" t="n">
        <v>66</v>
      </c>
      <c r="T225" s="97" t="n">
        <f aca="false">IF(N(S225)=0,"",Q225/S225)</f>
        <v>62110.6060606061</v>
      </c>
      <c r="U225" s="99" t="str">
        <f aca="false">IF(E225=0,"",IF(AND(N(C225)&gt;0,F225="",G225=""),"Belum direalisasi",IF(AND(N(D225)&gt;0,H225=""),"EDC belum settle",IF(ABS(O225)&gt;50000,"Cek selisih tunai","OK"))))</f>
        <v>OK</v>
      </c>
    </row>
    <row r="226" customFormat="false" ht="15" hidden="false" customHeight="false" outlineLevel="0" collapsed="false">
      <c r="A226" s="94" t="n">
        <v>46244</v>
      </c>
      <c r="B226" s="95" t="n">
        <f aca="false">MONTH(A226)</f>
        <v>8</v>
      </c>
      <c r="C226" s="96" t="n">
        <v>691500</v>
      </c>
      <c r="D226" s="96" t="n">
        <v>1848800</v>
      </c>
      <c r="E226" s="97" t="n">
        <f aca="false">N(C226)+N(D226)</f>
        <v>2540300</v>
      </c>
      <c r="F226" s="96" t="n">
        <v>172000</v>
      </c>
      <c r="G226" s="96" t="n">
        <v>444000</v>
      </c>
      <c r="H226" s="96" t="n">
        <v>1811800</v>
      </c>
      <c r="I226" s="97" t="n">
        <f aca="false">N(F226)+N(G226)+N(H226)</f>
        <v>2427800</v>
      </c>
      <c r="J226" s="97" t="n">
        <f aca="false">IF(AND(F226="",G226=""),0,N(C226)-N(F226)-N(G226))</f>
        <v>75500</v>
      </c>
      <c r="K226" s="97" t="n">
        <f aca="false">IF(H226="",0,N(D226)-N(H226))</f>
        <v>37000</v>
      </c>
      <c r="L226" s="96"/>
      <c r="M226" s="96" t="n">
        <v>25000</v>
      </c>
      <c r="N226" s="96" t="n">
        <v>52500</v>
      </c>
      <c r="O226" s="97" t="n">
        <f aca="false">IF(AND(F226="",G226=""),0,J226-N(L226)-N(M226)-N(N226))</f>
        <v>-2000</v>
      </c>
      <c r="P226" s="97" t="n">
        <f aca="false">K226+O226</f>
        <v>35000</v>
      </c>
      <c r="Q226" s="98" t="n">
        <f aca="false">E226-P226</f>
        <v>2505300</v>
      </c>
      <c r="R226" s="96" t="n">
        <v>90</v>
      </c>
      <c r="S226" s="96" t="n">
        <v>55</v>
      </c>
      <c r="T226" s="97" t="n">
        <f aca="false">IF(N(S226)=0,"",Q226/S226)</f>
        <v>45550.9090909091</v>
      </c>
      <c r="U226" s="99" t="str">
        <f aca="false">IF(E226=0,"",IF(AND(N(C226)&gt;0,F226="",G226=""),"Belum direalisasi",IF(AND(N(D226)&gt;0,H226=""),"EDC belum settle",IF(ABS(O226)&gt;50000,"Cek selisih tunai","OK"))))</f>
        <v>OK</v>
      </c>
    </row>
    <row r="227" customFormat="false" ht="15" hidden="false" customHeight="false" outlineLevel="0" collapsed="false">
      <c r="A227" s="94" t="n">
        <v>46245</v>
      </c>
      <c r="B227" s="95" t="n">
        <f aca="false">MONTH(A227)</f>
        <v>8</v>
      </c>
      <c r="C227" s="96" t="n">
        <v>1302050</v>
      </c>
      <c r="D227" s="96" t="n">
        <v>2155800</v>
      </c>
      <c r="E227" s="97" t="n">
        <f aca="false">N(C227)+N(D227)</f>
        <v>3457850</v>
      </c>
      <c r="F227" s="96" t="n">
        <v>353000</v>
      </c>
      <c r="G227" s="96" t="n">
        <v>778000</v>
      </c>
      <c r="H227" s="96" t="n">
        <v>2191602</v>
      </c>
      <c r="I227" s="97" t="n">
        <f aca="false">N(F227)+N(G227)+N(H227)</f>
        <v>3322602</v>
      </c>
      <c r="J227" s="97" t="n">
        <f aca="false">IF(AND(F227="",G227=""),0,N(C227)-N(F227)-N(G227))</f>
        <v>171050</v>
      </c>
      <c r="K227" s="97" t="n">
        <f aca="false">IF(H227="",0,N(D227)-N(H227))</f>
        <v>-35802</v>
      </c>
      <c r="L227" s="96"/>
      <c r="M227" s="96"/>
      <c r="N227" s="96" t="n">
        <v>170900</v>
      </c>
      <c r="O227" s="97" t="n">
        <f aca="false">IF(AND(F227="",G227=""),0,J227-N(L227)-N(M227)-N(N227))</f>
        <v>150</v>
      </c>
      <c r="P227" s="97" t="n">
        <f aca="false">K227+O227</f>
        <v>-35652</v>
      </c>
      <c r="Q227" s="98" t="n">
        <f aca="false">E227-P227</f>
        <v>3493502</v>
      </c>
      <c r="R227" s="96" t="n">
        <v>122</v>
      </c>
      <c r="S227" s="96" t="n">
        <v>73</v>
      </c>
      <c r="T227" s="97" t="n">
        <f aca="false">IF(N(S227)=0,"",Q227/S227)</f>
        <v>47856.1917808219</v>
      </c>
      <c r="U227" s="99" t="str">
        <f aca="false">IF(E227=0,"",IF(AND(N(C227)&gt;0,F227="",G227=""),"Belum direalisasi",IF(AND(N(D227)&gt;0,H227=""),"EDC belum settle",IF(ABS(O227)&gt;50000,"Cek selisih tunai","OK"))))</f>
        <v>OK</v>
      </c>
    </row>
    <row r="228" customFormat="false" ht="15" hidden="false" customHeight="false" outlineLevel="0" collapsed="false">
      <c r="A228" s="94" t="n">
        <v>46246</v>
      </c>
      <c r="B228" s="95" t="n">
        <f aca="false">MONTH(A228)</f>
        <v>8</v>
      </c>
      <c r="C228" s="96" t="n">
        <v>404900</v>
      </c>
      <c r="D228" s="96" t="n">
        <v>1655600</v>
      </c>
      <c r="E228" s="97" t="n">
        <f aca="false">N(C228)+N(D228)</f>
        <v>2060500</v>
      </c>
      <c r="F228" s="96" t="n">
        <v>152000</v>
      </c>
      <c r="G228" s="96" t="n">
        <v>253000</v>
      </c>
      <c r="H228" s="96" t="n">
        <v>1654610</v>
      </c>
      <c r="I228" s="97" t="n">
        <f aca="false">N(F228)+N(G228)+N(H228)</f>
        <v>2059610</v>
      </c>
      <c r="J228" s="97" t="n">
        <f aca="false">IF(AND(F228="",G228=""),0,N(C228)-N(F228)-N(G228))</f>
        <v>-100</v>
      </c>
      <c r="K228" s="97" t="n">
        <f aca="false">IF(H228="",0,N(D228)-N(H228))</f>
        <v>990</v>
      </c>
      <c r="L228" s="96"/>
      <c r="M228" s="96"/>
      <c r="N228" s="96"/>
      <c r="O228" s="97" t="n">
        <f aca="false">IF(AND(F228="",G228=""),0,J228-N(L228)-N(M228)-N(N228))</f>
        <v>-100</v>
      </c>
      <c r="P228" s="97" t="n">
        <f aca="false">K228+O228</f>
        <v>890</v>
      </c>
      <c r="Q228" s="98" t="n">
        <f aca="false">E228-P228</f>
        <v>2059610</v>
      </c>
      <c r="R228" s="96" t="n">
        <v>72</v>
      </c>
      <c r="S228" s="96" t="n">
        <v>43</v>
      </c>
      <c r="T228" s="97" t="n">
        <f aca="false">IF(N(S228)=0,"",Q228/S228)</f>
        <v>47897.9069767442</v>
      </c>
      <c r="U228" s="99" t="str">
        <f aca="false">IF(E228=0,"",IF(AND(N(C228)&gt;0,F228="",G228=""),"Belum direalisasi",IF(AND(N(D228)&gt;0,H228=""),"EDC belum settle",IF(ABS(O228)&gt;50000,"Cek selisih tunai","OK"))))</f>
        <v>OK</v>
      </c>
    </row>
    <row r="229" customFormat="false" ht="15" hidden="false" customHeight="false" outlineLevel="0" collapsed="false">
      <c r="A229" s="94" t="n">
        <v>46247</v>
      </c>
      <c r="B229" s="95" t="n">
        <f aca="false">MONTH(A229)</f>
        <v>8</v>
      </c>
      <c r="C229" s="96" t="n">
        <v>1045900</v>
      </c>
      <c r="D229" s="96" t="n">
        <v>2355700</v>
      </c>
      <c r="E229" s="97" t="n">
        <f aca="false">N(C229)+N(D229)</f>
        <v>3401600</v>
      </c>
      <c r="F229" s="96" t="n">
        <v>116000</v>
      </c>
      <c r="G229" s="96" t="n">
        <v>804000</v>
      </c>
      <c r="H229" s="96" t="n">
        <v>2355700</v>
      </c>
      <c r="I229" s="97" t="n">
        <f aca="false">N(F229)+N(G229)+N(H229)</f>
        <v>3275700</v>
      </c>
      <c r="J229" s="97" t="n">
        <f aca="false">IF(AND(F229="",G229=""),0,N(C229)-N(F229)-N(G229))</f>
        <v>125900</v>
      </c>
      <c r="K229" s="97" t="n">
        <f aca="false">IF(H229="",0,N(D229)-N(H229))</f>
        <v>0</v>
      </c>
      <c r="L229" s="96"/>
      <c r="M229" s="96"/>
      <c r="N229" s="96" t="n">
        <v>125800</v>
      </c>
      <c r="O229" s="97" t="n">
        <f aca="false">IF(AND(F229="",G229=""),0,J229-N(L229)-N(M229)-N(N229))</f>
        <v>100</v>
      </c>
      <c r="P229" s="97" t="n">
        <f aca="false">K229+O229</f>
        <v>100</v>
      </c>
      <c r="Q229" s="98" t="n">
        <f aca="false">E229-P229</f>
        <v>3401500</v>
      </c>
      <c r="R229" s="96" t="n">
        <v>126</v>
      </c>
      <c r="S229" s="96" t="n">
        <v>64</v>
      </c>
      <c r="T229" s="97" t="n">
        <f aca="false">IF(N(S229)=0,"",Q229/S229)</f>
        <v>53148.4375</v>
      </c>
      <c r="U229" s="99" t="str">
        <f aca="false">IF(E229=0,"",IF(AND(N(C229)&gt;0,F229="",G229=""),"Belum direalisasi",IF(AND(N(D229)&gt;0,H229=""),"EDC belum settle",IF(ABS(O229)&gt;50000,"Cek selisih tunai","OK"))))</f>
        <v>OK</v>
      </c>
    </row>
    <row r="230" customFormat="false" ht="15" hidden="false" customHeight="false" outlineLevel="0" collapsed="false">
      <c r="A230" s="94" t="n">
        <v>46248</v>
      </c>
      <c r="B230" s="95" t="n">
        <f aca="false">MONTH(A230)</f>
        <v>8</v>
      </c>
      <c r="C230" s="96" t="n">
        <v>716000</v>
      </c>
      <c r="D230" s="96" t="n">
        <v>1508900</v>
      </c>
      <c r="E230" s="97" t="n">
        <f aca="false">N(C230)+N(D230)</f>
        <v>2224900</v>
      </c>
      <c r="F230" s="96" t="n">
        <v>122000</v>
      </c>
      <c r="G230" s="96" t="n">
        <v>594000</v>
      </c>
      <c r="H230" s="96" t="n">
        <v>1508900</v>
      </c>
      <c r="I230" s="97" t="n">
        <f aca="false">N(F230)+N(G230)+N(H230)</f>
        <v>2224900</v>
      </c>
      <c r="J230" s="97" t="n">
        <f aca="false">IF(AND(F230="",G230=""),0,N(C230)-N(F230)-N(G230))</f>
        <v>0</v>
      </c>
      <c r="K230" s="97" t="n">
        <f aca="false">IF(H230="",0,N(D230)-N(H230))</f>
        <v>0</v>
      </c>
      <c r="L230" s="96"/>
      <c r="M230" s="96"/>
      <c r="N230" s="96"/>
      <c r="O230" s="97" t="n">
        <f aca="false">IF(AND(F230="",G230=""),0,J230-N(L230)-N(M230)-N(N230))</f>
        <v>0</v>
      </c>
      <c r="P230" s="97" t="n">
        <f aca="false">K230+O230</f>
        <v>0</v>
      </c>
      <c r="Q230" s="98" t="n">
        <f aca="false">E230-P230</f>
        <v>2224900</v>
      </c>
      <c r="R230" s="96" t="n">
        <v>79</v>
      </c>
      <c r="S230" s="96" t="n">
        <v>39</v>
      </c>
      <c r="T230" s="97" t="n">
        <f aca="false">IF(N(S230)=0,"",Q230/S230)</f>
        <v>57048.7179487179</v>
      </c>
      <c r="U230" s="99" t="str">
        <f aca="false">IF(E230=0,"",IF(AND(N(C230)&gt;0,F230="",G230=""),"Belum direalisasi",IF(AND(N(D230)&gt;0,H230=""),"EDC belum settle",IF(ABS(O230)&gt;50000,"Cek selisih tunai","OK"))))</f>
        <v>OK</v>
      </c>
    </row>
    <row r="231" customFormat="false" ht="15" hidden="false" customHeight="false" outlineLevel="0" collapsed="false">
      <c r="A231" s="94" t="n">
        <v>46249</v>
      </c>
      <c r="B231" s="95" t="n">
        <f aca="false">MONTH(A231)</f>
        <v>8</v>
      </c>
      <c r="C231" s="96" t="n">
        <v>945250</v>
      </c>
      <c r="D231" s="96" t="n">
        <v>3479350</v>
      </c>
      <c r="E231" s="97" t="n">
        <f aca="false">N(C231)+N(D231)</f>
        <v>4424600</v>
      </c>
      <c r="F231" s="96" t="n">
        <v>243000</v>
      </c>
      <c r="G231" s="96" t="n">
        <v>672000</v>
      </c>
      <c r="H231" s="96" t="n">
        <v>3477350</v>
      </c>
      <c r="I231" s="97" t="n">
        <f aca="false">N(F231)+N(G231)+N(H231)</f>
        <v>4392350</v>
      </c>
      <c r="J231" s="97" t="n">
        <f aca="false">IF(AND(F231="",G231=""),0,N(C231)-N(F231)-N(G231))</f>
        <v>30250</v>
      </c>
      <c r="K231" s="97" t="n">
        <f aca="false">IF(H231="",0,N(D231)-N(H231))</f>
        <v>2000</v>
      </c>
      <c r="L231" s="96"/>
      <c r="M231" s="96" t="n">
        <v>30000</v>
      </c>
      <c r="N231" s="96"/>
      <c r="O231" s="97" t="n">
        <f aca="false">IF(AND(F231="",G231=""),0,J231-N(L231)-N(M231)-N(N231))</f>
        <v>250</v>
      </c>
      <c r="P231" s="97" t="n">
        <f aca="false">K231+O231</f>
        <v>2250</v>
      </c>
      <c r="Q231" s="98" t="n">
        <f aca="false">E231-P231</f>
        <v>4422350</v>
      </c>
      <c r="R231" s="96" t="n">
        <v>158</v>
      </c>
      <c r="S231" s="96" t="n">
        <v>93</v>
      </c>
      <c r="T231" s="97" t="n">
        <f aca="false">IF(N(S231)=0,"",Q231/S231)</f>
        <v>47552.1505376344</v>
      </c>
      <c r="U231" s="99" t="str">
        <f aca="false">IF(E231=0,"",IF(AND(N(C231)&gt;0,F231="",G231=""),"Belum direalisasi",IF(AND(N(D231)&gt;0,H231=""),"EDC belum settle",IF(ABS(O231)&gt;50000,"Cek selisih tunai","OK"))))</f>
        <v>OK</v>
      </c>
    </row>
    <row r="232" customFormat="false" ht="15" hidden="false" customHeight="false" outlineLevel="0" collapsed="false">
      <c r="A232" s="94" t="n">
        <v>46250</v>
      </c>
      <c r="B232" s="95" t="n">
        <f aca="false">MONTH(A232)</f>
        <v>8</v>
      </c>
      <c r="C232" s="96" t="n">
        <v>700500</v>
      </c>
      <c r="D232" s="96" t="n">
        <v>2637900</v>
      </c>
      <c r="E232" s="97" t="n">
        <f aca="false">N(C232)+N(D232)</f>
        <v>3338400</v>
      </c>
      <c r="F232" s="96" t="n">
        <v>193500</v>
      </c>
      <c r="G232" s="96" t="n">
        <v>507000</v>
      </c>
      <c r="H232" s="96" t="n">
        <v>2637900</v>
      </c>
      <c r="I232" s="97" t="n">
        <f aca="false">N(F232)+N(G232)+N(H232)</f>
        <v>3338400</v>
      </c>
      <c r="J232" s="97" t="n">
        <f aca="false">IF(AND(F232="",G232=""),0,N(C232)-N(F232)-N(G232))</f>
        <v>0</v>
      </c>
      <c r="K232" s="97" t="n">
        <f aca="false">IF(H232="",0,N(D232)-N(H232))</f>
        <v>0</v>
      </c>
      <c r="L232" s="96"/>
      <c r="M232" s="96"/>
      <c r="N232" s="96"/>
      <c r="O232" s="97" t="n">
        <f aca="false">IF(AND(F232="",G232=""),0,J232-N(L232)-N(M232)-N(N232))</f>
        <v>0</v>
      </c>
      <c r="P232" s="97" t="n">
        <f aca="false">K232+O232</f>
        <v>0</v>
      </c>
      <c r="Q232" s="98" t="n">
        <f aca="false">E232-P232</f>
        <v>3338400</v>
      </c>
      <c r="R232" s="96" t="n">
        <v>120</v>
      </c>
      <c r="S232" s="96" t="n">
        <v>69</v>
      </c>
      <c r="T232" s="97" t="n">
        <f aca="false">IF(N(S232)=0,"",Q232/S232)</f>
        <v>48382.6086956522</v>
      </c>
      <c r="U232" s="99" t="str">
        <f aca="false">IF(E232=0,"",IF(AND(N(C232)&gt;0,F232="",G232=""),"Belum direalisasi",IF(AND(N(D232)&gt;0,H232=""),"EDC belum settle",IF(ABS(O232)&gt;50000,"Cek selisih tunai","OK"))))</f>
        <v>OK</v>
      </c>
    </row>
    <row r="233" customFormat="false" ht="15" hidden="false" customHeight="false" outlineLevel="0" collapsed="false">
      <c r="A233" s="94" t="n">
        <v>46251</v>
      </c>
      <c r="B233" s="95" t="n">
        <f aca="false">MONTH(A233)</f>
        <v>8</v>
      </c>
      <c r="C233" s="96" t="n">
        <v>1049750</v>
      </c>
      <c r="D233" s="96" t="n">
        <v>2961000</v>
      </c>
      <c r="E233" s="97" t="n">
        <f aca="false">N(C233)+N(D233)</f>
        <v>4010750</v>
      </c>
      <c r="F233" s="96" t="n">
        <v>422000</v>
      </c>
      <c r="G233" s="96" t="n">
        <v>414000</v>
      </c>
      <c r="H233" s="96" t="n">
        <v>2960962</v>
      </c>
      <c r="I233" s="97" t="n">
        <f aca="false">N(F233)+N(G233)+N(H233)</f>
        <v>3796962</v>
      </c>
      <c r="J233" s="97" t="n">
        <f aca="false">IF(AND(F233="",G233=""),0,N(C233)-N(F233)-N(G233))</f>
        <v>213750</v>
      </c>
      <c r="K233" s="97" t="n">
        <f aca="false">IF(H233="",0,N(D233)-N(H233))</f>
        <v>38</v>
      </c>
      <c r="L233" s="96" t="n">
        <v>97000</v>
      </c>
      <c r="M233" s="96"/>
      <c r="N233" s="96" t="n">
        <v>117000</v>
      </c>
      <c r="O233" s="97" t="n">
        <f aca="false">IF(AND(F233="",G233=""),0,J233-N(L233)-N(M233)-N(N233))</f>
        <v>-250</v>
      </c>
      <c r="P233" s="97" t="n">
        <f aca="false">K233+O233</f>
        <v>-212</v>
      </c>
      <c r="Q233" s="98" t="n">
        <f aca="false">E233-P233</f>
        <v>4010962</v>
      </c>
      <c r="R233" s="96" t="n">
        <v>137</v>
      </c>
      <c r="S233" s="96" t="n">
        <v>66</v>
      </c>
      <c r="T233" s="97" t="n">
        <f aca="false">IF(N(S233)=0,"",Q233/S233)</f>
        <v>60772.1515151515</v>
      </c>
      <c r="U233" s="99" t="str">
        <f aca="false">IF(E233=0,"",IF(AND(N(C233)&gt;0,F233="",G233=""),"Belum direalisasi",IF(AND(N(D233)&gt;0,H233=""),"EDC belum settle",IF(ABS(O233)&gt;50000,"Cek selisih tunai","OK"))))</f>
        <v>OK</v>
      </c>
    </row>
    <row r="234" customFormat="false" ht="15" hidden="false" customHeight="false" outlineLevel="0" collapsed="false">
      <c r="A234" s="94" t="n">
        <v>46252</v>
      </c>
      <c r="B234" s="95" t="n">
        <f aca="false">MONTH(A234)</f>
        <v>8</v>
      </c>
      <c r="C234" s="96" t="n">
        <v>328250</v>
      </c>
      <c r="D234" s="96" t="n">
        <v>2063700</v>
      </c>
      <c r="E234" s="97" t="n">
        <f aca="false">N(C234)+N(D234)</f>
        <v>2391950</v>
      </c>
      <c r="F234" s="96" t="n">
        <v>144000</v>
      </c>
      <c r="G234" s="96" t="n">
        <v>185000</v>
      </c>
      <c r="H234" s="96" t="n">
        <v>2063700</v>
      </c>
      <c r="I234" s="97" t="n">
        <f aca="false">N(F234)+N(G234)+N(H234)</f>
        <v>2392700</v>
      </c>
      <c r="J234" s="97" t="n">
        <f aca="false">IF(AND(F234="",G234=""),0,N(C234)-N(F234)-N(G234))</f>
        <v>-750</v>
      </c>
      <c r="K234" s="97" t="n">
        <f aca="false">IF(H234="",0,N(D234)-N(H234))</f>
        <v>0</v>
      </c>
      <c r="L234" s="96"/>
      <c r="M234" s="96"/>
      <c r="N234" s="96"/>
      <c r="O234" s="97" t="n">
        <f aca="false">IF(AND(F234="",G234=""),0,J234-N(L234)-N(M234)-N(N234))</f>
        <v>-750</v>
      </c>
      <c r="P234" s="97" t="n">
        <f aca="false">K234+O234</f>
        <v>-750</v>
      </c>
      <c r="Q234" s="98" t="n">
        <f aca="false">E234-P234</f>
        <v>2392700</v>
      </c>
      <c r="R234" s="96" t="n">
        <v>83</v>
      </c>
      <c r="S234" s="96" t="n">
        <v>56</v>
      </c>
      <c r="T234" s="97" t="n">
        <f aca="false">IF(N(S234)=0,"",Q234/S234)</f>
        <v>42726.7857142857</v>
      </c>
      <c r="U234" s="99" t="str">
        <f aca="false">IF(E234=0,"",IF(AND(N(C234)&gt;0,F234="",G234=""),"Belum direalisasi",IF(AND(N(D234)&gt;0,H234=""),"EDC belum settle",IF(ABS(O234)&gt;50000,"Cek selisih tunai","OK"))))</f>
        <v>OK</v>
      </c>
    </row>
    <row r="235" customFormat="false" ht="15" hidden="false" customHeight="false" outlineLevel="0" collapsed="false">
      <c r="A235" s="94" t="n">
        <v>46253</v>
      </c>
      <c r="B235" s="95" t="n">
        <f aca="false">MONTH(A235)</f>
        <v>8</v>
      </c>
      <c r="C235" s="96" t="n">
        <v>1012250</v>
      </c>
      <c r="D235" s="96" t="n">
        <v>1480350</v>
      </c>
      <c r="E235" s="97" t="n">
        <f aca="false">N(C235)+N(D235)</f>
        <v>2492600</v>
      </c>
      <c r="F235" s="96" t="n">
        <v>323500</v>
      </c>
      <c r="G235" s="96" t="n">
        <v>640000</v>
      </c>
      <c r="H235" s="96" t="n">
        <v>1480350</v>
      </c>
      <c r="I235" s="97" t="n">
        <f aca="false">N(F235)+N(G235)+N(H235)</f>
        <v>2443850</v>
      </c>
      <c r="J235" s="97" t="n">
        <f aca="false">IF(AND(F235="",G235=""),0,N(C235)-N(F235)-N(G235))</f>
        <v>48750</v>
      </c>
      <c r="K235" s="97" t="n">
        <f aca="false">IF(H235="",0,N(D235)-N(H235))</f>
        <v>0</v>
      </c>
      <c r="L235" s="96"/>
      <c r="M235" s="96"/>
      <c r="N235" s="96" t="n">
        <v>46350</v>
      </c>
      <c r="O235" s="97" t="n">
        <f aca="false">IF(AND(F235="",G235=""),0,J235-N(L235)-N(M235)-N(N235))</f>
        <v>2400</v>
      </c>
      <c r="P235" s="97" t="n">
        <f aca="false">K235+O235</f>
        <v>2400</v>
      </c>
      <c r="Q235" s="98" t="n">
        <f aca="false">E235-P235</f>
        <v>2490200</v>
      </c>
      <c r="R235" s="96" t="n">
        <v>97</v>
      </c>
      <c r="S235" s="96" t="n">
        <v>50</v>
      </c>
      <c r="T235" s="97" t="n">
        <f aca="false">IF(N(S235)=0,"",Q235/S235)</f>
        <v>49804</v>
      </c>
      <c r="U235" s="99" t="str">
        <f aca="false">IF(E235=0,"",IF(AND(N(C235)&gt;0,F235="",G235=""),"Belum direalisasi",IF(AND(N(D235)&gt;0,H235=""),"EDC belum settle",IF(ABS(O235)&gt;50000,"Cek selisih tunai","OK"))))</f>
        <v>OK</v>
      </c>
    </row>
    <row r="236" customFormat="false" ht="15" hidden="false" customHeight="false" outlineLevel="0" collapsed="false">
      <c r="A236" s="94" t="n">
        <v>46254</v>
      </c>
      <c r="B236" s="95" t="n">
        <f aca="false">MONTH(A236)</f>
        <v>8</v>
      </c>
      <c r="C236" s="96" t="n">
        <v>520700</v>
      </c>
      <c r="D236" s="96" t="n">
        <v>1257900</v>
      </c>
      <c r="E236" s="97" t="n">
        <f aca="false">N(C236)+N(D236)</f>
        <v>1778600</v>
      </c>
      <c r="F236" s="96" t="n">
        <v>95000</v>
      </c>
      <c r="G236" s="96" t="n">
        <v>324000</v>
      </c>
      <c r="H236" s="96" t="n">
        <v>1257630</v>
      </c>
      <c r="I236" s="97" t="n">
        <f aca="false">N(F236)+N(G236)+N(H236)</f>
        <v>1676630</v>
      </c>
      <c r="J236" s="97" t="n">
        <f aca="false">IF(AND(F236="",G236=""),0,N(C236)-N(F236)-N(G236))</f>
        <v>101700</v>
      </c>
      <c r="K236" s="97" t="n">
        <f aca="false">IF(H236="",0,N(D236)-N(H236))</f>
        <v>270</v>
      </c>
      <c r="L236" s="96"/>
      <c r="M236" s="96"/>
      <c r="N236" s="96" t="n">
        <v>101700</v>
      </c>
      <c r="O236" s="97" t="n">
        <f aca="false">IF(AND(F236="",G236=""),0,J236-N(L236)-N(M236)-N(N236))</f>
        <v>0</v>
      </c>
      <c r="P236" s="97" t="n">
        <f aca="false">K236+O236</f>
        <v>270</v>
      </c>
      <c r="Q236" s="98" t="n">
        <f aca="false">E236-P236</f>
        <v>1778330</v>
      </c>
      <c r="R236" s="96" t="n">
        <v>66</v>
      </c>
      <c r="S236" s="96" t="n">
        <v>39</v>
      </c>
      <c r="T236" s="97" t="n">
        <f aca="false">IF(N(S236)=0,"",Q236/S236)</f>
        <v>45598.2051282051</v>
      </c>
      <c r="U236" s="99" t="str">
        <f aca="false">IF(E236=0,"",IF(AND(N(C236)&gt;0,F236="",G236=""),"Belum direalisasi",IF(AND(N(D236)&gt;0,H236=""),"EDC belum settle",IF(ABS(O236)&gt;50000,"Cek selisih tunai","OK"))))</f>
        <v>OK</v>
      </c>
    </row>
    <row r="237" customFormat="false" ht="15" hidden="false" customHeight="false" outlineLevel="0" collapsed="false">
      <c r="A237" s="94" t="n">
        <v>46255</v>
      </c>
      <c r="B237" s="95" t="n">
        <f aca="false">MONTH(A237)</f>
        <v>8</v>
      </c>
      <c r="C237" s="96" t="n">
        <v>892900</v>
      </c>
      <c r="D237" s="96" t="n">
        <v>1988200</v>
      </c>
      <c r="E237" s="97" t="n">
        <f aca="false">N(C237)+N(D237)</f>
        <v>2881100</v>
      </c>
      <c r="F237" s="96" t="n">
        <v>25000</v>
      </c>
      <c r="G237" s="96" t="n">
        <v>652000</v>
      </c>
      <c r="H237" s="96" t="n">
        <v>1988200</v>
      </c>
      <c r="I237" s="97" t="n">
        <f aca="false">N(F237)+N(G237)+N(H237)</f>
        <v>2665200</v>
      </c>
      <c r="J237" s="97" t="n">
        <f aca="false">IF(AND(F237="",G237=""),0,N(C237)-N(F237)-N(G237))</f>
        <v>215900</v>
      </c>
      <c r="K237" s="97" t="n">
        <f aca="false">IF(H237="",0,N(D237)-N(H237))</f>
        <v>0</v>
      </c>
      <c r="L237" s="96"/>
      <c r="M237" s="96" t="n">
        <v>116100</v>
      </c>
      <c r="N237" s="96"/>
      <c r="O237" s="97" t="n">
        <f aca="false">IF(AND(F237="",G237=""),0,J237-N(L237)-N(M237)-N(N237))</f>
        <v>99800</v>
      </c>
      <c r="P237" s="97" t="n">
        <f aca="false">K237+O237</f>
        <v>99800</v>
      </c>
      <c r="Q237" s="98" t="n">
        <f aca="false">E237-P237</f>
        <v>2781300</v>
      </c>
      <c r="R237" s="96" t="n">
        <v>103</v>
      </c>
      <c r="S237" s="96" t="n">
        <v>59</v>
      </c>
      <c r="T237" s="97" t="n">
        <f aca="false">IF(N(S237)=0,"",Q237/S237)</f>
        <v>47140.6779661017</v>
      </c>
      <c r="U237" s="99" t="str">
        <f aca="false">IF(E237=0,"",IF(AND(N(C237)&gt;0,F237="",G237=""),"Belum direalisasi",IF(AND(N(D237)&gt;0,H237=""),"EDC belum settle",IF(ABS(O237)&gt;50000,"Cek selisih tunai","OK"))))</f>
        <v>Cek selisih tunai</v>
      </c>
    </row>
    <row r="238" customFormat="false" ht="15" hidden="false" customHeight="false" outlineLevel="0" collapsed="false">
      <c r="A238" s="94" t="n">
        <v>46256</v>
      </c>
      <c r="B238" s="95" t="n">
        <f aca="false">MONTH(A238)</f>
        <v>8</v>
      </c>
      <c r="C238" s="96" t="n">
        <v>467800</v>
      </c>
      <c r="D238" s="96" t="n">
        <v>3317200</v>
      </c>
      <c r="E238" s="97" t="n">
        <f aca="false">N(C238)+N(D238)</f>
        <v>3785000</v>
      </c>
      <c r="F238" s="96" t="n">
        <v>174000</v>
      </c>
      <c r="G238" s="96" t="n">
        <v>220000</v>
      </c>
      <c r="H238" s="96" t="n">
        <v>3113550</v>
      </c>
      <c r="I238" s="97" t="n">
        <f aca="false">N(F238)+N(G238)+N(H238)</f>
        <v>3507550</v>
      </c>
      <c r="J238" s="97" t="n">
        <f aca="false">IF(AND(F238="",G238=""),0,N(C238)-N(F238)-N(G238))</f>
        <v>73800</v>
      </c>
      <c r="K238" s="97" t="n">
        <f aca="false">IF(H238="",0,N(D238)-N(H238))</f>
        <v>203650</v>
      </c>
      <c r="L238" s="96"/>
      <c r="M238" s="96"/>
      <c r="N238" s="96" t="n">
        <v>73800</v>
      </c>
      <c r="O238" s="97" t="n">
        <f aca="false">IF(AND(F238="",G238=""),0,J238-N(L238)-N(M238)-N(N238))</f>
        <v>0</v>
      </c>
      <c r="P238" s="97" t="n">
        <f aca="false">K238+O238</f>
        <v>203650</v>
      </c>
      <c r="Q238" s="98" t="n">
        <f aca="false">E238-P238</f>
        <v>3581350</v>
      </c>
      <c r="R238" s="96" t="n">
        <v>131</v>
      </c>
      <c r="S238" s="96" t="n">
        <v>58</v>
      </c>
      <c r="T238" s="97" t="n">
        <f aca="false">IF(N(S238)=0,"",Q238/S238)</f>
        <v>61747.4137931035</v>
      </c>
      <c r="U238" s="99" t="str">
        <f aca="false">IF(E238=0,"",IF(AND(N(C238)&gt;0,F238="",G238=""),"Belum direalisasi",IF(AND(N(D238)&gt;0,H238=""),"EDC belum settle",IF(ABS(O238)&gt;50000,"Cek selisih tunai","OK"))))</f>
        <v>OK</v>
      </c>
    </row>
    <row r="239" customFormat="false" ht="15" hidden="false" customHeight="false" outlineLevel="0" collapsed="false">
      <c r="A239" s="94" t="n">
        <v>46257</v>
      </c>
      <c r="B239" s="95" t="n">
        <f aca="false">MONTH(A239)</f>
        <v>8</v>
      </c>
      <c r="C239" s="96" t="n">
        <v>971700</v>
      </c>
      <c r="D239" s="96" t="n">
        <v>2487800</v>
      </c>
      <c r="E239" s="97" t="n">
        <f aca="false">N(C239)+N(D239)</f>
        <v>3459500</v>
      </c>
      <c r="F239" s="96" t="n">
        <v>332000</v>
      </c>
      <c r="G239" s="96" t="n">
        <v>432000</v>
      </c>
      <c r="H239" s="96" t="n">
        <v>2690283</v>
      </c>
      <c r="I239" s="97" t="n">
        <f aca="false">N(F239)+N(G239)+N(H239)</f>
        <v>3454283</v>
      </c>
      <c r="J239" s="97" t="n">
        <f aca="false">IF(AND(F239="",G239=""),0,N(C239)-N(F239)-N(G239))</f>
        <v>207700</v>
      </c>
      <c r="K239" s="97" t="n">
        <f aca="false">IF(H239="",0,N(D239)-N(H239))</f>
        <v>-202483</v>
      </c>
      <c r="L239" s="96"/>
      <c r="M239" s="96" t="n">
        <v>207000</v>
      </c>
      <c r="N239" s="96"/>
      <c r="O239" s="97" t="n">
        <f aca="false">IF(AND(F239="",G239=""),0,J239-N(L239)-N(M239)-N(N239))</f>
        <v>700</v>
      </c>
      <c r="P239" s="97" t="n">
        <f aca="false">K239+O239</f>
        <v>-201783</v>
      </c>
      <c r="Q239" s="98" t="n">
        <f aca="false">E239-P239</f>
        <v>3661283</v>
      </c>
      <c r="R239" s="96" t="n">
        <v>121</v>
      </c>
      <c r="S239" s="96" t="n">
        <v>62</v>
      </c>
      <c r="T239" s="97" t="n">
        <f aca="false">IF(N(S239)=0,"",Q239/S239)</f>
        <v>59052.9516129032</v>
      </c>
      <c r="U239" s="99" t="str">
        <f aca="false">IF(E239=0,"",IF(AND(N(C239)&gt;0,F239="",G239=""),"Belum direalisasi",IF(AND(N(D239)&gt;0,H239=""),"EDC belum settle",IF(ABS(O239)&gt;50000,"Cek selisih tunai","OK"))))</f>
        <v>OK</v>
      </c>
    </row>
    <row r="240" customFormat="false" ht="15" hidden="false" customHeight="false" outlineLevel="0" collapsed="false">
      <c r="A240" s="94" t="n">
        <v>46258</v>
      </c>
      <c r="B240" s="95" t="n">
        <f aca="false">MONTH(A240)</f>
        <v>8</v>
      </c>
      <c r="C240" s="96" t="n">
        <v>726500</v>
      </c>
      <c r="D240" s="96" t="n">
        <v>2807800</v>
      </c>
      <c r="E240" s="97" t="n">
        <f aca="false">N(C240)+N(D240)</f>
        <v>3534300</v>
      </c>
      <c r="F240" s="96" t="n">
        <v>107000</v>
      </c>
      <c r="G240" s="96" t="n">
        <v>542000</v>
      </c>
      <c r="H240" s="96" t="n">
        <v>2807800</v>
      </c>
      <c r="I240" s="97" t="n">
        <f aca="false">N(F240)+N(G240)+N(H240)</f>
        <v>3456800</v>
      </c>
      <c r="J240" s="97" t="n">
        <f aca="false">IF(AND(F240="",G240=""),0,N(C240)-N(F240)-N(G240))</f>
        <v>77500</v>
      </c>
      <c r="K240" s="97" t="n">
        <f aca="false">IF(H240="",0,N(D240)-N(H240))</f>
        <v>0</v>
      </c>
      <c r="L240" s="96"/>
      <c r="M240" s="96"/>
      <c r="N240" s="96" t="n">
        <v>76500</v>
      </c>
      <c r="O240" s="97" t="n">
        <f aca="false">IF(AND(F240="",G240=""),0,J240-N(L240)-N(M240)-N(N240))</f>
        <v>1000</v>
      </c>
      <c r="P240" s="97" t="n">
        <f aca="false">K240+O240</f>
        <v>1000</v>
      </c>
      <c r="Q240" s="98" t="n">
        <f aca="false">E240-P240</f>
        <v>3533300</v>
      </c>
      <c r="R240" s="96" t="n">
        <v>125</v>
      </c>
      <c r="S240" s="96" t="n">
        <v>67</v>
      </c>
      <c r="T240" s="97" t="n">
        <f aca="false">IF(N(S240)=0,"",Q240/S240)</f>
        <v>52735.8208955224</v>
      </c>
      <c r="U240" s="99" t="str">
        <f aca="false">IF(E240=0,"",IF(AND(N(C240)&gt;0,F240="",G240=""),"Belum direalisasi",IF(AND(N(D240)&gt;0,H240=""),"EDC belum settle",IF(ABS(O240)&gt;50000,"Cek selisih tunai","OK"))))</f>
        <v>OK</v>
      </c>
    </row>
    <row r="241" customFormat="false" ht="15" hidden="false" customHeight="false" outlineLevel="0" collapsed="false">
      <c r="A241" s="94" t="n">
        <v>46259</v>
      </c>
      <c r="B241" s="95" t="n">
        <f aca="false">MONTH(A241)</f>
        <v>8</v>
      </c>
      <c r="C241" s="96" t="n">
        <v>763400</v>
      </c>
      <c r="D241" s="96" t="n">
        <v>2529100</v>
      </c>
      <c r="E241" s="97" t="n">
        <f aca="false">N(C241)+N(D241)</f>
        <v>3292500</v>
      </c>
      <c r="F241" s="96" t="n">
        <v>175000</v>
      </c>
      <c r="G241" s="96" t="n">
        <v>334000</v>
      </c>
      <c r="H241" s="96" t="n">
        <v>2504100</v>
      </c>
      <c r="I241" s="97" t="n">
        <f aca="false">N(F241)+N(G241)+N(H241)</f>
        <v>3013100</v>
      </c>
      <c r="J241" s="97" t="n">
        <f aca="false">IF(AND(F241="",G241=""),0,N(C241)-N(F241)-N(G241))</f>
        <v>254400</v>
      </c>
      <c r="K241" s="97" t="n">
        <f aca="false">IF(H241="",0,N(D241)-N(H241))</f>
        <v>25000</v>
      </c>
      <c r="L241" s="96"/>
      <c r="M241" s="96" t="n">
        <v>206000</v>
      </c>
      <c r="N241" s="96" t="n">
        <v>48600</v>
      </c>
      <c r="O241" s="97" t="n">
        <f aca="false">IF(AND(F241="",G241=""),0,J241-N(L241)-N(M241)-N(N241))</f>
        <v>-200</v>
      </c>
      <c r="P241" s="97" t="n">
        <f aca="false">K241+O241</f>
        <v>24800</v>
      </c>
      <c r="Q241" s="98" t="n">
        <f aca="false">E241-P241</f>
        <v>3267700</v>
      </c>
      <c r="R241" s="96" t="n">
        <v>118</v>
      </c>
      <c r="S241" s="96" t="n">
        <v>69</v>
      </c>
      <c r="T241" s="97" t="n">
        <f aca="false">IF(N(S241)=0,"",Q241/S241)</f>
        <v>47357.9710144928</v>
      </c>
      <c r="U241" s="99" t="str">
        <f aca="false">IF(E241=0,"",IF(AND(N(C241)&gt;0,F241="",G241=""),"Belum direalisasi",IF(AND(N(D241)&gt;0,H241=""),"EDC belum settle",IF(ABS(O241)&gt;50000,"Cek selisih tunai","OK"))))</f>
        <v>OK</v>
      </c>
    </row>
    <row r="242" customFormat="false" ht="15" hidden="false" customHeight="false" outlineLevel="0" collapsed="false">
      <c r="A242" s="94" t="n">
        <v>46260</v>
      </c>
      <c r="B242" s="95" t="n">
        <f aca="false">MONTH(A242)</f>
        <v>8</v>
      </c>
      <c r="C242" s="96" t="n">
        <v>358300</v>
      </c>
      <c r="D242" s="96" t="n">
        <v>2542900</v>
      </c>
      <c r="E242" s="97" t="n">
        <f aca="false">N(C242)+N(D242)</f>
        <v>2901200</v>
      </c>
      <c r="F242" s="96" t="n">
        <v>166000</v>
      </c>
      <c r="G242" s="96" t="n">
        <v>160000</v>
      </c>
      <c r="H242" s="96" t="n">
        <v>2577847</v>
      </c>
      <c r="I242" s="97" t="n">
        <f aca="false">N(F242)+N(G242)+N(H242)</f>
        <v>2903847</v>
      </c>
      <c r="J242" s="97" t="n">
        <f aca="false">IF(AND(F242="",G242=""),0,N(C242)-N(F242)-N(G242))</f>
        <v>32300</v>
      </c>
      <c r="K242" s="97" t="n">
        <f aca="false">IF(H242="",0,N(D242)-N(H242))</f>
        <v>-34947</v>
      </c>
      <c r="L242" s="96"/>
      <c r="M242" s="96" t="n">
        <v>31500</v>
      </c>
      <c r="N242" s="96"/>
      <c r="O242" s="97" t="n">
        <f aca="false">IF(AND(F242="",G242=""),0,J242-N(L242)-N(M242)-N(N242))</f>
        <v>800</v>
      </c>
      <c r="P242" s="97" t="n">
        <f aca="false">K242+O242</f>
        <v>-34147</v>
      </c>
      <c r="Q242" s="98" t="n">
        <f aca="false">E242-P242</f>
        <v>2935347</v>
      </c>
      <c r="R242" s="96" t="n">
        <v>102</v>
      </c>
      <c r="S242" s="96" t="n">
        <v>56</v>
      </c>
      <c r="T242" s="97" t="n">
        <f aca="false">IF(N(S242)=0,"",Q242/S242)</f>
        <v>52416.9107142857</v>
      </c>
      <c r="U242" s="99" t="str">
        <f aca="false">IF(E242=0,"",IF(AND(N(C242)&gt;0,F242="",G242=""),"Belum direalisasi",IF(AND(N(D242)&gt;0,H242=""),"EDC belum settle",IF(ABS(O242)&gt;50000,"Cek selisih tunai","OK"))))</f>
        <v>OK</v>
      </c>
    </row>
    <row r="243" customFormat="false" ht="15" hidden="false" customHeight="false" outlineLevel="0" collapsed="false">
      <c r="A243" s="94" t="n">
        <v>46261</v>
      </c>
      <c r="B243" s="95" t="n">
        <f aca="false">MONTH(A243)</f>
        <v>8</v>
      </c>
      <c r="C243" s="96" t="n">
        <v>0</v>
      </c>
      <c r="D243" s="96" t="n">
        <v>0</v>
      </c>
      <c r="E243" s="97" t="n">
        <f aca="false">N(C243)+N(D243)</f>
        <v>0</v>
      </c>
      <c r="F243" s="96" t="n">
        <v>0</v>
      </c>
      <c r="G243" s="96" t="n">
        <v>0</v>
      </c>
      <c r="H243" s="96" t="n">
        <v>0</v>
      </c>
      <c r="I243" s="97" t="n">
        <f aca="false">N(F243)+N(G243)+N(H243)</f>
        <v>0</v>
      </c>
      <c r="J243" s="97" t="n">
        <f aca="false">IF(AND(F243="",G243=""),0,N(C243)-N(F243)-N(G243))</f>
        <v>0</v>
      </c>
      <c r="K243" s="97" t="n">
        <f aca="false">IF(H243="",0,N(D243)-N(H243))</f>
        <v>0</v>
      </c>
      <c r="L243" s="96"/>
      <c r="M243" s="96"/>
      <c r="N243" s="96"/>
      <c r="O243" s="97" t="n">
        <f aca="false">IF(AND(F243="",G243=""),0,J243-N(L243)-N(M243)-N(N243))</f>
        <v>0</v>
      </c>
      <c r="P243" s="97" t="n">
        <f aca="false">K243+O243</f>
        <v>0</v>
      </c>
      <c r="Q243" s="98" t="n">
        <f aca="false">E243-P243</f>
        <v>0</v>
      </c>
      <c r="R243" s="96"/>
      <c r="S243" s="96"/>
      <c r="T243" s="97" t="str">
        <f aca="false">IF(N(S243)=0,"",Q243/S243)</f>
        <v/>
      </c>
      <c r="U243" s="99" t="str">
        <f aca="false">IF(E243=0,"",IF(AND(N(C243)&gt;0,F243="",G243=""),"Belum direalisasi",IF(AND(N(D243)&gt;0,H243=""),"EDC belum settle",IF(ABS(O243)&gt;50000,"Cek selisih tunai","OK"))))</f>
        <v/>
      </c>
    </row>
    <row r="244" customFormat="false" ht="15" hidden="false" customHeight="false" outlineLevel="0" collapsed="false">
      <c r="A244" s="94" t="n">
        <v>46262</v>
      </c>
      <c r="B244" s="95" t="n">
        <f aca="false">MONTH(A244)</f>
        <v>8</v>
      </c>
      <c r="C244" s="96" t="n">
        <v>314100</v>
      </c>
      <c r="D244" s="96" t="n">
        <v>2094250</v>
      </c>
      <c r="E244" s="97" t="n">
        <f aca="false">N(C244)+N(D244)</f>
        <v>2408350</v>
      </c>
      <c r="F244" s="96" t="n">
        <v>153000</v>
      </c>
      <c r="G244" s="96" t="n">
        <v>108000</v>
      </c>
      <c r="H244" s="96" t="n">
        <v>2093960</v>
      </c>
      <c r="I244" s="97" t="n">
        <f aca="false">N(F244)+N(G244)+N(H244)</f>
        <v>2354960</v>
      </c>
      <c r="J244" s="97" t="n">
        <f aca="false">IF(AND(F244="",G244=""),0,N(C244)-N(F244)-N(G244))</f>
        <v>53100</v>
      </c>
      <c r="K244" s="97" t="n">
        <f aca="false">IF(H244="",0,N(D244)-N(H244))</f>
        <v>290</v>
      </c>
      <c r="L244" s="96"/>
      <c r="M244" s="96"/>
      <c r="N244" s="96" t="n">
        <v>53100</v>
      </c>
      <c r="O244" s="97" t="n">
        <f aca="false">IF(AND(F244="",G244=""),0,J244-N(L244)-N(M244)-N(N244))</f>
        <v>0</v>
      </c>
      <c r="P244" s="97" t="n">
        <f aca="false">K244+O244</f>
        <v>290</v>
      </c>
      <c r="Q244" s="98" t="n">
        <f aca="false">E244-P244</f>
        <v>2408060</v>
      </c>
      <c r="R244" s="96" t="n">
        <v>88</v>
      </c>
      <c r="S244" s="96" t="n">
        <v>50</v>
      </c>
      <c r="T244" s="97" t="n">
        <f aca="false">IF(N(S244)=0,"",Q244/S244)</f>
        <v>48161.2</v>
      </c>
      <c r="U244" s="99" t="str">
        <f aca="false">IF(E244=0,"",IF(AND(N(C244)&gt;0,F244="",G244=""),"Belum direalisasi",IF(AND(N(D244)&gt;0,H244=""),"EDC belum settle",IF(ABS(O244)&gt;50000,"Cek selisih tunai","OK"))))</f>
        <v>OK</v>
      </c>
    </row>
    <row r="245" customFormat="false" ht="15" hidden="false" customHeight="false" outlineLevel="0" collapsed="false">
      <c r="A245" s="94" t="n">
        <v>46263</v>
      </c>
      <c r="B245" s="95" t="n">
        <f aca="false">MONTH(A245)</f>
        <v>8</v>
      </c>
      <c r="C245" s="96" t="n">
        <v>889500</v>
      </c>
      <c r="D245" s="96" t="n">
        <v>3858450</v>
      </c>
      <c r="E245" s="97" t="n">
        <f aca="false">N(C245)+N(D245)</f>
        <v>4747950</v>
      </c>
      <c r="F245" s="96" t="n">
        <v>215000</v>
      </c>
      <c r="G245" s="96" t="n">
        <v>456000</v>
      </c>
      <c r="H245" s="96" t="n">
        <v>3859316</v>
      </c>
      <c r="I245" s="97" t="n">
        <f aca="false">N(F245)+N(G245)+N(H245)</f>
        <v>4530316</v>
      </c>
      <c r="J245" s="97" t="n">
        <f aca="false">IF(AND(F245="",G245=""),0,N(C245)-N(F245)-N(G245))</f>
        <v>218500</v>
      </c>
      <c r="K245" s="97" t="n">
        <f aca="false">IF(H245="",0,N(D245)-N(H245))</f>
        <v>-866</v>
      </c>
      <c r="L245" s="96"/>
      <c r="M245" s="96"/>
      <c r="N245" s="96" t="n">
        <v>218500</v>
      </c>
      <c r="O245" s="97" t="n">
        <f aca="false">IF(AND(F245="",G245=""),0,J245-N(L245)-N(M245)-N(N245))</f>
        <v>0</v>
      </c>
      <c r="P245" s="97" t="n">
        <f aca="false">K245+O245</f>
        <v>-866</v>
      </c>
      <c r="Q245" s="98" t="n">
        <f aca="false">E245-P245</f>
        <v>4748816</v>
      </c>
      <c r="R245" s="96" t="n">
        <v>165</v>
      </c>
      <c r="S245" s="96" t="n">
        <v>95</v>
      </c>
      <c r="T245" s="97" t="n">
        <f aca="false">IF(N(S245)=0,"",Q245/S245)</f>
        <v>49987.5368421053</v>
      </c>
      <c r="U245" s="99" t="str">
        <f aca="false">IF(E245=0,"",IF(AND(N(C245)&gt;0,F245="",G245=""),"Belum direalisasi",IF(AND(N(D245)&gt;0,H245=""),"EDC belum settle",IF(ABS(O245)&gt;50000,"Cek selisih tunai","OK"))))</f>
        <v>OK</v>
      </c>
    </row>
    <row r="246" customFormat="false" ht="15" hidden="false" customHeight="false" outlineLevel="0" collapsed="false">
      <c r="A246" s="94" t="n">
        <v>46264</v>
      </c>
      <c r="B246" s="95" t="n">
        <f aca="false">MONTH(A246)</f>
        <v>8</v>
      </c>
      <c r="C246" s="96" t="n">
        <v>637700</v>
      </c>
      <c r="D246" s="96" t="n">
        <v>2828600</v>
      </c>
      <c r="E246" s="97" t="n">
        <f aca="false">N(C246)+N(D246)</f>
        <v>3466300</v>
      </c>
      <c r="F246" s="96" t="n">
        <v>430000</v>
      </c>
      <c r="G246" s="96" t="n">
        <v>144000</v>
      </c>
      <c r="H246" s="96" t="n">
        <v>2828522</v>
      </c>
      <c r="I246" s="97" t="n">
        <f aca="false">N(F246)+N(G246)+N(H246)</f>
        <v>3402522</v>
      </c>
      <c r="J246" s="97" t="n">
        <f aca="false">IF(AND(F246="",G246=""),0,N(C246)-N(F246)-N(G246))</f>
        <v>63700</v>
      </c>
      <c r="K246" s="97" t="n">
        <f aca="false">IF(H246="",0,N(D246)-N(H246))</f>
        <v>78</v>
      </c>
      <c r="L246" s="96" t="n">
        <v>29700</v>
      </c>
      <c r="M246" s="96"/>
      <c r="N246" s="96" t="n">
        <v>36000</v>
      </c>
      <c r="O246" s="97" t="n">
        <f aca="false">IF(AND(F246="",G246=""),0,J246-N(L246)-N(M246)-N(N246))</f>
        <v>-2000</v>
      </c>
      <c r="P246" s="97" t="n">
        <f aca="false">K246+O246</f>
        <v>-1922</v>
      </c>
      <c r="Q246" s="98" t="n">
        <f aca="false">E246-P246</f>
        <v>3468222</v>
      </c>
      <c r="R246" s="96" t="n">
        <v>121</v>
      </c>
      <c r="S246" s="96" t="n">
        <v>66</v>
      </c>
      <c r="T246" s="97" t="n">
        <f aca="false">IF(N(S246)=0,"",Q246/S246)</f>
        <v>52548.8181818182</v>
      </c>
      <c r="U246" s="99" t="str">
        <f aca="false">IF(E246=0,"",IF(AND(N(C246)&gt;0,F246="",G246=""),"Belum direalisasi",IF(AND(N(D246)&gt;0,H246=""),"EDC belum settle",IF(ABS(O246)&gt;50000,"Cek selisih tunai","OK"))))</f>
        <v>OK</v>
      </c>
    </row>
    <row r="247" customFormat="false" ht="15" hidden="false" customHeight="false" outlineLevel="0" collapsed="false">
      <c r="A247" s="94" t="n">
        <v>46265</v>
      </c>
      <c r="B247" s="95" t="n">
        <f aca="false">MONTH(A247)</f>
        <v>8</v>
      </c>
      <c r="C247" s="96" t="n">
        <v>418700</v>
      </c>
      <c r="D247" s="96" t="n">
        <v>1835050</v>
      </c>
      <c r="E247" s="97" t="n">
        <f aca="false">N(C247)+N(D247)</f>
        <v>2253750</v>
      </c>
      <c r="F247" s="96" t="n">
        <v>241000</v>
      </c>
      <c r="G247" s="96" t="n">
        <v>76000</v>
      </c>
      <c r="H247" s="96" t="n">
        <v>1835050</v>
      </c>
      <c r="I247" s="97" t="n">
        <f aca="false">N(F247)+N(G247)+N(H247)</f>
        <v>2152050</v>
      </c>
      <c r="J247" s="97" t="n">
        <f aca="false">IF(AND(F247="",G247=""),0,N(C247)-N(F247)-N(G247))</f>
        <v>101700</v>
      </c>
      <c r="K247" s="97" t="n">
        <f aca="false">IF(H247="",0,N(D247)-N(H247))</f>
        <v>0</v>
      </c>
      <c r="L247" s="96"/>
      <c r="M247" s="96"/>
      <c r="N247" s="96"/>
      <c r="O247" s="97" t="n">
        <f aca="false">IF(AND(F247="",G247=""),0,J247-N(L247)-N(M247)-N(N247))</f>
        <v>101700</v>
      </c>
      <c r="P247" s="97" t="n">
        <f aca="false">K247+O247</f>
        <v>101700</v>
      </c>
      <c r="Q247" s="98" t="n">
        <f aca="false">E247-P247</f>
        <v>2152050</v>
      </c>
      <c r="R247" s="96" t="n">
        <v>83</v>
      </c>
      <c r="S247" s="96" t="n">
        <v>57</v>
      </c>
      <c r="T247" s="97" t="n">
        <f aca="false">IF(N(S247)=0,"",Q247/S247)</f>
        <v>37755.2631578947</v>
      </c>
      <c r="U247" s="99" t="str">
        <f aca="false">IF(E247=0,"",IF(AND(N(C247)&gt;0,F247="",G247=""),"Belum direalisasi",IF(AND(N(D247)&gt;0,H247=""),"EDC belum settle",IF(ABS(O247)&gt;50000,"Cek selisih tunai","OK"))))</f>
        <v>Cek selisih tunai</v>
      </c>
    </row>
    <row r="248" customFormat="false" ht="15" hidden="false" customHeight="false" outlineLevel="0" collapsed="false">
      <c r="A248" s="89" t="n">
        <v>46266</v>
      </c>
      <c r="B248" s="90" t="n">
        <f aca="false">MONTH(A248)</f>
        <v>9</v>
      </c>
      <c r="C248" s="91" t="n">
        <v>979100</v>
      </c>
      <c r="D248" s="91" t="n">
        <v>2353950</v>
      </c>
      <c r="E248" s="92" t="n">
        <f aca="false">N(C248)+N(D248)</f>
        <v>3333050</v>
      </c>
      <c r="F248" s="91" t="n">
        <v>504000</v>
      </c>
      <c r="G248" s="91" t="n">
        <v>475100</v>
      </c>
      <c r="H248" s="91" t="n">
        <v>2138950</v>
      </c>
      <c r="I248" s="92" t="n">
        <f aca="false">N(F248)+N(G248)+N(H248)</f>
        <v>3118050</v>
      </c>
      <c r="J248" s="92" t="n">
        <f aca="false">IF(AND(F248="",G248=""),0,N(C248)-N(F248)-N(G248))</f>
        <v>0</v>
      </c>
      <c r="K248" s="92" t="n">
        <f aca="false">IF(H248="",0,N(D248)-N(H248))</f>
        <v>215000</v>
      </c>
      <c r="L248" s="91"/>
      <c r="M248" s="91"/>
      <c r="N248" s="91"/>
      <c r="O248" s="92" t="n">
        <f aca="false">IF(AND(F248="",G248=""),0,J248-N(L248)-N(M248)-N(N248))</f>
        <v>0</v>
      </c>
      <c r="P248" s="92" t="n">
        <f aca="false">K248+O248</f>
        <v>215000</v>
      </c>
      <c r="Q248" s="85" t="n">
        <f aca="false">E248-P248</f>
        <v>3118050</v>
      </c>
      <c r="R248" s="91"/>
      <c r="S248" s="91"/>
      <c r="T248" s="92" t="str">
        <f aca="false">IF(N(S248)=0,"",Q248/S248)</f>
        <v/>
      </c>
      <c r="U248" s="93" t="str">
        <f aca="false">IF(E248=0,"",IF(AND(N(C248)&gt;0,F248="",G248=""),"Belum direalisasi",IF(AND(N(D248)&gt;0,H248=""),"EDC belum settle",IF(ABS(O248)&gt;50000,"Cek selisih tunai","OK"))))</f>
        <v>OK</v>
      </c>
    </row>
    <row r="249" customFormat="false" ht="15" hidden="false" customHeight="false" outlineLevel="0" collapsed="false">
      <c r="A249" s="89" t="n">
        <v>46267</v>
      </c>
      <c r="B249" s="90" t="n">
        <f aca="false">MONTH(A249)</f>
        <v>9</v>
      </c>
      <c r="C249" s="91" t="n">
        <v>465800</v>
      </c>
      <c r="D249" s="91" t="n">
        <v>1897900</v>
      </c>
      <c r="E249" s="92" t="n">
        <f aca="false">N(C249)+N(D249)</f>
        <v>2363700</v>
      </c>
      <c r="F249" s="91" t="n">
        <v>115000</v>
      </c>
      <c r="G249" s="91" t="n">
        <v>323000</v>
      </c>
      <c r="H249" s="91" t="n">
        <v>2112050</v>
      </c>
      <c r="I249" s="92" t="n">
        <f aca="false">N(F249)+N(G249)+N(H249)</f>
        <v>2550050</v>
      </c>
      <c r="J249" s="92" t="n">
        <f aca="false">IF(AND(F249="",G249=""),0,N(C249)-N(F249)-N(G249))</f>
        <v>27800</v>
      </c>
      <c r="K249" s="92" t="n">
        <f aca="false">IF(H249="",0,N(D249)-N(H249))</f>
        <v>-214150</v>
      </c>
      <c r="L249" s="91" t="n">
        <v>27000</v>
      </c>
      <c r="M249" s="91"/>
      <c r="N249" s="91"/>
      <c r="O249" s="92" t="n">
        <f aca="false">IF(AND(F249="",G249=""),0,J249-N(L249)-N(M249)-N(N249))</f>
        <v>800</v>
      </c>
      <c r="P249" s="92" t="n">
        <f aca="false">K249+O249</f>
        <v>-213350</v>
      </c>
      <c r="Q249" s="85" t="n">
        <f aca="false">E249-P249</f>
        <v>2577050</v>
      </c>
      <c r="R249" s="91" t="n">
        <v>115</v>
      </c>
      <c r="S249" s="91" t="n">
        <v>72</v>
      </c>
      <c r="T249" s="92" t="n">
        <f aca="false">IF(N(S249)=0,"",Q249/S249)</f>
        <v>35792.3611111111</v>
      </c>
      <c r="U249" s="93" t="str">
        <f aca="false">IF(E249=0,"",IF(AND(N(C249)&gt;0,F249="",G249=""),"Belum direalisasi",IF(AND(N(D249)&gt;0,H249=""),"EDC belum settle",IF(ABS(O249)&gt;50000,"Cek selisih tunai","OK"))))</f>
        <v>OK</v>
      </c>
    </row>
    <row r="250" customFormat="false" ht="15" hidden="false" customHeight="false" outlineLevel="0" collapsed="false">
      <c r="A250" s="89" t="n">
        <v>46268</v>
      </c>
      <c r="B250" s="90" t="n">
        <f aca="false">MONTH(A250)</f>
        <v>9</v>
      </c>
      <c r="C250" s="91" t="n">
        <v>594000</v>
      </c>
      <c r="D250" s="91" t="n">
        <v>2220300</v>
      </c>
      <c r="E250" s="92" t="n">
        <f aca="false">N(C250)+N(D250)</f>
        <v>2814300</v>
      </c>
      <c r="F250" s="91" t="n">
        <v>0</v>
      </c>
      <c r="G250" s="91" t="n">
        <v>567000</v>
      </c>
      <c r="H250" s="91" t="n">
        <v>2220300</v>
      </c>
      <c r="I250" s="92" t="n">
        <f aca="false">N(F250)+N(G250)+N(H250)</f>
        <v>2787300</v>
      </c>
      <c r="J250" s="92" t="n">
        <f aca="false">IF(AND(F250="",G250=""),0,N(C250)-N(F250)-N(G250))</f>
        <v>27000</v>
      </c>
      <c r="K250" s="92" t="n">
        <f aca="false">IF(H250="",0,N(D250)-N(H250))</f>
        <v>0</v>
      </c>
      <c r="L250" s="91" t="n">
        <v>27000</v>
      </c>
      <c r="M250" s="91"/>
      <c r="N250" s="91"/>
      <c r="O250" s="92" t="n">
        <f aca="false">IF(AND(F250="",G250=""),0,J250-N(L250)-N(M250)-N(N250))</f>
        <v>0</v>
      </c>
      <c r="P250" s="92" t="n">
        <f aca="false">K250+O250</f>
        <v>0</v>
      </c>
      <c r="Q250" s="85" t="n">
        <f aca="false">E250-P250</f>
        <v>2814300</v>
      </c>
      <c r="R250" s="91" t="n">
        <v>82</v>
      </c>
      <c r="S250" s="91" t="n">
        <v>47</v>
      </c>
      <c r="T250" s="92" t="n">
        <f aca="false">IF(N(S250)=0,"",Q250/S250)</f>
        <v>59878.7234042553</v>
      </c>
      <c r="U250" s="93" t="str">
        <f aca="false">IF(E250=0,"",IF(AND(N(C250)&gt;0,F250="",G250=""),"Belum direalisasi",IF(AND(N(D250)&gt;0,H250=""),"EDC belum settle",IF(ABS(O250)&gt;50000,"Cek selisih tunai","OK"))))</f>
        <v>OK</v>
      </c>
    </row>
    <row r="251" customFormat="false" ht="15" hidden="false" customHeight="false" outlineLevel="0" collapsed="false">
      <c r="A251" s="89" t="n">
        <v>46269</v>
      </c>
      <c r="B251" s="90" t="n">
        <f aca="false">MONTH(A251)</f>
        <v>9</v>
      </c>
      <c r="C251" s="91" t="n">
        <v>848150</v>
      </c>
      <c r="D251" s="91" t="n">
        <v>3177900</v>
      </c>
      <c r="E251" s="92" t="n">
        <f aca="false">N(C251)+N(D251)</f>
        <v>4026050</v>
      </c>
      <c r="F251" s="91" t="n">
        <v>146000</v>
      </c>
      <c r="G251" s="91" t="n">
        <v>529000</v>
      </c>
      <c r="H251" s="91" t="n">
        <v>3177900</v>
      </c>
      <c r="I251" s="92" t="n">
        <f aca="false">N(F251)+N(G251)+N(H251)</f>
        <v>3852900</v>
      </c>
      <c r="J251" s="92" t="n">
        <f aca="false">IF(AND(F251="",G251=""),0,N(C251)-N(F251)-N(G251))</f>
        <v>173150</v>
      </c>
      <c r="K251" s="92" t="n">
        <f aca="false">IF(H251="",0,N(D251)-N(H251))</f>
        <v>0</v>
      </c>
      <c r="L251" s="91"/>
      <c r="M251" s="91"/>
      <c r="N251" s="91" t="n">
        <v>174200</v>
      </c>
      <c r="O251" s="92" t="n">
        <f aca="false">IF(AND(F251="",G251=""),0,J251-N(L251)-N(M251)-N(N251))</f>
        <v>-1050</v>
      </c>
      <c r="P251" s="92" t="n">
        <f aca="false">K251+O251</f>
        <v>-1050</v>
      </c>
      <c r="Q251" s="85" t="n">
        <f aca="false">E251-P251</f>
        <v>4027100</v>
      </c>
      <c r="R251" s="91" t="n">
        <v>103</v>
      </c>
      <c r="S251" s="91" t="n">
        <v>63</v>
      </c>
      <c r="T251" s="92" t="n">
        <f aca="false">IF(N(S251)=0,"",Q251/S251)</f>
        <v>63922.2222222222</v>
      </c>
      <c r="U251" s="93" t="str">
        <f aca="false">IF(E251=0,"",IF(AND(N(C251)&gt;0,F251="",G251=""),"Belum direalisasi",IF(AND(N(D251)&gt;0,H251=""),"EDC belum settle",IF(ABS(O251)&gt;50000,"Cek selisih tunai","OK"))))</f>
        <v>OK</v>
      </c>
    </row>
    <row r="252" customFormat="false" ht="15" hidden="false" customHeight="false" outlineLevel="0" collapsed="false">
      <c r="A252" s="89" t="n">
        <v>46270</v>
      </c>
      <c r="B252" s="90" t="n">
        <f aca="false">MONTH(A252)</f>
        <v>9</v>
      </c>
      <c r="C252" s="91" t="n">
        <v>759800</v>
      </c>
      <c r="D252" s="91" t="n">
        <v>2982000</v>
      </c>
      <c r="E252" s="92" t="n">
        <f aca="false">N(C252)+N(D252)</f>
        <v>3741800</v>
      </c>
      <c r="F252" s="91" t="n">
        <v>149000</v>
      </c>
      <c r="G252" s="91" t="n">
        <v>611000</v>
      </c>
      <c r="H252" s="91" t="n">
        <v>2982000</v>
      </c>
      <c r="I252" s="92" t="n">
        <f aca="false">N(F252)+N(G252)+N(H252)</f>
        <v>3742000</v>
      </c>
      <c r="J252" s="92" t="n">
        <f aca="false">IF(AND(F252="",G252=""),0,N(C252)-N(F252)-N(G252))</f>
        <v>-200</v>
      </c>
      <c r="K252" s="92" t="n">
        <f aca="false">IF(H252="",0,N(D252)-N(H252))</f>
        <v>0</v>
      </c>
      <c r="L252" s="91"/>
      <c r="M252" s="91"/>
      <c r="N252" s="91"/>
      <c r="O252" s="92" t="n">
        <f aca="false">IF(AND(F252="",G252=""),0,J252-N(L252)-N(M252)-N(N252))</f>
        <v>-200</v>
      </c>
      <c r="P252" s="92" t="n">
        <f aca="false">K252+O252</f>
        <v>-200</v>
      </c>
      <c r="Q252" s="85" t="n">
        <f aca="false">E252-P252</f>
        <v>3742000</v>
      </c>
      <c r="R252" s="91" t="n">
        <v>145</v>
      </c>
      <c r="S252" s="91" t="n">
        <v>75</v>
      </c>
      <c r="T252" s="92" t="n">
        <f aca="false">IF(N(S252)=0,"",Q252/S252)</f>
        <v>49893.3333333333</v>
      </c>
      <c r="U252" s="93" t="str">
        <f aca="false">IF(E252=0,"",IF(AND(N(C252)&gt;0,F252="",G252=""),"Belum direalisasi",IF(AND(N(D252)&gt;0,H252=""),"EDC belum settle",IF(ABS(O252)&gt;50000,"Cek selisih tunai","OK"))))</f>
        <v>OK</v>
      </c>
    </row>
    <row r="253" customFormat="false" ht="15" hidden="false" customHeight="false" outlineLevel="0" collapsed="false">
      <c r="A253" s="89" t="n">
        <v>46271</v>
      </c>
      <c r="B253" s="90" t="n">
        <f aca="false">MONTH(A253)</f>
        <v>9</v>
      </c>
      <c r="C253" s="91" t="n">
        <v>988300</v>
      </c>
      <c r="D253" s="91" t="n">
        <v>2887600</v>
      </c>
      <c r="E253" s="92" t="n">
        <f aca="false">N(C253)+N(D253)</f>
        <v>3875900</v>
      </c>
      <c r="F253" s="91" t="n">
        <v>228000</v>
      </c>
      <c r="G253" s="91" t="n">
        <v>615000</v>
      </c>
      <c r="H253" s="91" t="n">
        <v>2886792</v>
      </c>
      <c r="I253" s="92" t="n">
        <f aca="false">N(F253)+N(G253)+N(H253)</f>
        <v>3729792</v>
      </c>
      <c r="J253" s="92" t="n">
        <f aca="false">IF(AND(F253="",G253=""),0,N(C253)-N(F253)-N(G253))</f>
        <v>145300</v>
      </c>
      <c r="K253" s="92" t="n">
        <f aca="false">IF(H253="",0,N(D253)-N(H253))</f>
        <v>808</v>
      </c>
      <c r="L253" s="91"/>
      <c r="M253" s="91"/>
      <c r="N253" s="91" t="n">
        <v>145800</v>
      </c>
      <c r="O253" s="92" t="n">
        <f aca="false">IF(AND(F253="",G253=""),0,J253-N(L253)-N(M253)-N(N253))</f>
        <v>-500</v>
      </c>
      <c r="P253" s="92" t="n">
        <f aca="false">K253+O253</f>
        <v>308</v>
      </c>
      <c r="Q253" s="85" t="n">
        <f aca="false">E253-P253</f>
        <v>3875592</v>
      </c>
      <c r="R253" s="91" t="n">
        <v>134</v>
      </c>
      <c r="S253" s="91" t="n">
        <v>71</v>
      </c>
      <c r="T253" s="92" t="n">
        <f aca="false">IF(N(S253)=0,"",Q253/S253)</f>
        <v>54585.8028169014</v>
      </c>
      <c r="U253" s="93" t="str">
        <f aca="false">IF(E253=0,"",IF(AND(N(C253)&gt;0,F253="",G253=""),"Belum direalisasi",IF(AND(N(D253)&gt;0,H253=""),"EDC belum settle",IF(ABS(O253)&gt;50000,"Cek selisih tunai","OK"))))</f>
        <v>OK</v>
      </c>
    </row>
    <row r="254" customFormat="false" ht="15" hidden="false" customHeight="false" outlineLevel="0" collapsed="false">
      <c r="A254" s="89" t="n">
        <v>46272</v>
      </c>
      <c r="B254" s="90" t="n">
        <f aca="false">MONTH(A254)</f>
        <v>9</v>
      </c>
      <c r="C254" s="91" t="n">
        <v>407300</v>
      </c>
      <c r="D254" s="91" t="n">
        <v>3212250</v>
      </c>
      <c r="E254" s="92" t="n">
        <f aca="false">N(C254)+N(D254)</f>
        <v>3619550</v>
      </c>
      <c r="F254" s="91" t="n">
        <v>27000</v>
      </c>
      <c r="G254" s="91" t="n">
        <v>380500</v>
      </c>
      <c r="H254" s="91" t="n">
        <v>3287167</v>
      </c>
      <c r="I254" s="92" t="n">
        <f aca="false">N(F254)+N(G254)+N(H254)</f>
        <v>3694667</v>
      </c>
      <c r="J254" s="92" t="n">
        <f aca="false">IF(AND(F254="",G254=""),0,N(C254)-N(F254)-N(G254))</f>
        <v>-200</v>
      </c>
      <c r="K254" s="92" t="n">
        <f aca="false">IF(H254="",0,N(D254)-N(H254))</f>
        <v>-74917</v>
      </c>
      <c r="L254" s="91"/>
      <c r="M254" s="91"/>
      <c r="N254" s="91"/>
      <c r="O254" s="92" t="n">
        <f aca="false">IF(AND(F254="",G254=""),0,J254-N(L254)-N(M254)-N(N254))</f>
        <v>-200</v>
      </c>
      <c r="P254" s="92" t="n">
        <f aca="false">K254+O254</f>
        <v>-75117</v>
      </c>
      <c r="Q254" s="85" t="n">
        <f aca="false">E254-P254</f>
        <v>3694667</v>
      </c>
      <c r="R254" s="91" t="n">
        <v>136</v>
      </c>
      <c r="S254" s="91" t="n">
        <v>69</v>
      </c>
      <c r="T254" s="92" t="n">
        <f aca="false">IF(N(S254)=0,"",Q254/S254)</f>
        <v>53545.8985507246</v>
      </c>
      <c r="U254" s="93" t="str">
        <f aca="false">IF(E254=0,"",IF(AND(N(C254)&gt;0,F254="",G254=""),"Belum direalisasi",IF(AND(N(D254)&gt;0,H254=""),"EDC belum settle",IF(ABS(O254)&gt;50000,"Cek selisih tunai","OK"))))</f>
        <v>OK</v>
      </c>
    </row>
    <row r="255" customFormat="false" ht="15" hidden="false" customHeight="false" outlineLevel="0" collapsed="false">
      <c r="A255" s="89" t="n">
        <v>46273</v>
      </c>
      <c r="B255" s="90" t="n">
        <f aca="false">MONTH(A255)</f>
        <v>9</v>
      </c>
      <c r="C255" s="91" t="n">
        <v>415200</v>
      </c>
      <c r="D255" s="91" t="n">
        <v>1932100</v>
      </c>
      <c r="E255" s="92" t="n">
        <f aca="false">N(C255)+N(D255)</f>
        <v>2347300</v>
      </c>
      <c r="F255" s="91" t="n">
        <v>199000</v>
      </c>
      <c r="G255" s="91" t="n">
        <v>74000</v>
      </c>
      <c r="H255" s="91" t="n">
        <v>1932055</v>
      </c>
      <c r="I255" s="92" t="n">
        <f aca="false">N(F255)+N(G255)+N(H255)</f>
        <v>2205055</v>
      </c>
      <c r="J255" s="92" t="n">
        <f aca="false">IF(AND(F255="",G255=""),0,N(C255)-N(F255)-N(G255))</f>
        <v>142200</v>
      </c>
      <c r="K255" s="92" t="n">
        <f aca="false">IF(H255="",0,N(D255)-N(H255))</f>
        <v>45</v>
      </c>
      <c r="L255" s="91"/>
      <c r="M255" s="91"/>
      <c r="N255" s="91" t="n">
        <v>142600</v>
      </c>
      <c r="O255" s="92" t="n">
        <f aca="false">IF(AND(F255="",G255=""),0,J255-N(L255)-N(M255)-N(N255))</f>
        <v>-400</v>
      </c>
      <c r="P255" s="92" t="n">
        <f aca="false">K255+O255</f>
        <v>-355</v>
      </c>
      <c r="Q255" s="85" t="n">
        <f aca="false">E255-P255</f>
        <v>2347655</v>
      </c>
      <c r="R255" s="91" t="n">
        <v>126</v>
      </c>
      <c r="S255" s="91" t="n">
        <v>70</v>
      </c>
      <c r="T255" s="92" t="n">
        <f aca="false">IF(N(S255)=0,"",Q255/S255)</f>
        <v>33537.9285714286</v>
      </c>
      <c r="U255" s="93" t="str">
        <f aca="false">IF(E255=0,"",IF(AND(N(C255)&gt;0,F255="",G255=""),"Belum direalisasi",IF(AND(N(D255)&gt;0,H255=""),"EDC belum settle",IF(ABS(O255)&gt;50000,"Cek selisih tunai","OK"))))</f>
        <v>OK</v>
      </c>
    </row>
    <row r="256" customFormat="false" ht="15" hidden="false" customHeight="false" outlineLevel="0" collapsed="false">
      <c r="A256" s="89" t="n">
        <v>46274</v>
      </c>
      <c r="B256" s="90" t="n">
        <f aca="false">MONTH(A256)</f>
        <v>9</v>
      </c>
      <c r="C256" s="91" t="n">
        <v>705400</v>
      </c>
      <c r="D256" s="91" t="n">
        <v>2068500</v>
      </c>
      <c r="E256" s="92" t="n">
        <f aca="false">N(C256)+N(D256)</f>
        <v>2773900</v>
      </c>
      <c r="F256" s="91" t="n">
        <v>231000</v>
      </c>
      <c r="G256" s="91" t="n">
        <v>285000</v>
      </c>
      <c r="H256" s="91" t="n">
        <v>2067290</v>
      </c>
      <c r="I256" s="92" t="n">
        <f aca="false">N(F256)+N(G256)+N(H256)</f>
        <v>2583290</v>
      </c>
      <c r="J256" s="92" t="n">
        <f aca="false">IF(AND(F256="",G256=""),0,N(C256)-N(F256)-N(G256))</f>
        <v>189400</v>
      </c>
      <c r="K256" s="92" t="n">
        <f aca="false">IF(H256="",0,N(D256)-N(H256))</f>
        <v>1210</v>
      </c>
      <c r="L256" s="91" t="n">
        <v>22500</v>
      </c>
      <c r="M256" s="91"/>
      <c r="N256" s="91" t="n">
        <v>167400</v>
      </c>
      <c r="O256" s="92" t="n">
        <f aca="false">IF(AND(F256="",G256=""),0,J256-N(L256)-N(M256)-N(N256))</f>
        <v>-500</v>
      </c>
      <c r="P256" s="92" t="n">
        <f aca="false">K256+O256</f>
        <v>710</v>
      </c>
      <c r="Q256" s="85" t="n">
        <f aca="false">E256-P256</f>
        <v>2773190</v>
      </c>
      <c r="R256" s="91" t="n">
        <v>96</v>
      </c>
      <c r="S256" s="91" t="n">
        <v>54</v>
      </c>
      <c r="T256" s="92" t="n">
        <f aca="false">IF(N(S256)=0,"",Q256/S256)</f>
        <v>51355.3703703704</v>
      </c>
      <c r="U256" s="93" t="str">
        <f aca="false">IF(E256=0,"",IF(AND(N(C256)&gt;0,F256="",G256=""),"Belum direalisasi",IF(AND(N(D256)&gt;0,H256=""),"EDC belum settle",IF(ABS(O256)&gt;50000,"Cek selisih tunai","OK"))))</f>
        <v>OK</v>
      </c>
    </row>
    <row r="257" customFormat="false" ht="15" hidden="false" customHeight="false" outlineLevel="0" collapsed="false">
      <c r="A257" s="89" t="n">
        <v>46275</v>
      </c>
      <c r="B257" s="90" t="n">
        <f aca="false">MONTH(A257)</f>
        <v>9</v>
      </c>
      <c r="C257" s="91" t="n">
        <v>510500</v>
      </c>
      <c r="D257" s="91" t="n">
        <v>1976300</v>
      </c>
      <c r="E257" s="92" t="n">
        <f aca="false">N(C257)+N(D257)</f>
        <v>2486800</v>
      </c>
      <c r="F257" s="91" t="n">
        <v>55000</v>
      </c>
      <c r="G257" s="91" t="n">
        <v>456000</v>
      </c>
      <c r="H257" s="91" t="n">
        <v>2002669</v>
      </c>
      <c r="I257" s="92" t="n">
        <f aca="false">N(F257)+N(G257)+N(H257)</f>
        <v>2513669</v>
      </c>
      <c r="J257" s="92" t="n">
        <f aca="false">IF(AND(F257="",G257=""),0,N(C257)-N(F257)-N(G257))</f>
        <v>-500</v>
      </c>
      <c r="K257" s="92" t="n">
        <f aca="false">IF(H257="",0,N(D257)-N(H257))</f>
        <v>-26369</v>
      </c>
      <c r="L257" s="91"/>
      <c r="M257" s="91"/>
      <c r="N257" s="91"/>
      <c r="O257" s="92" t="n">
        <f aca="false">IF(AND(F257="",G257=""),0,J257-N(L257)-N(M257)-N(N257))</f>
        <v>-500</v>
      </c>
      <c r="P257" s="92" t="n">
        <f aca="false">K257+O257</f>
        <v>-26869</v>
      </c>
      <c r="Q257" s="85" t="n">
        <f aca="false">E257-P257</f>
        <v>2513669</v>
      </c>
      <c r="R257" s="91" t="n">
        <v>84</v>
      </c>
      <c r="S257" s="91" t="n">
        <v>49</v>
      </c>
      <c r="T257" s="92" t="n">
        <f aca="false">IF(N(S257)=0,"",Q257/S257)</f>
        <v>51299.3673469388</v>
      </c>
      <c r="U257" s="93" t="str">
        <f aca="false">IF(E257=0,"",IF(AND(N(C257)&gt;0,F257="",G257=""),"Belum direalisasi",IF(AND(N(D257)&gt;0,H257=""),"EDC belum settle",IF(ABS(O257)&gt;50000,"Cek selisih tunai","OK"))))</f>
        <v>OK</v>
      </c>
    </row>
    <row r="258" customFormat="false" ht="15" hidden="false" customHeight="false" outlineLevel="0" collapsed="false">
      <c r="A258" s="89" t="n">
        <v>46276</v>
      </c>
      <c r="B258" s="90" t="n">
        <f aca="false">MONTH(A258)</f>
        <v>9</v>
      </c>
      <c r="C258" s="91" t="n">
        <v>1016900</v>
      </c>
      <c r="D258" s="91" t="n">
        <v>4631800</v>
      </c>
      <c r="E258" s="92" t="n">
        <f aca="false">N(C258)+N(D258)</f>
        <v>5648700</v>
      </c>
      <c r="F258" s="91" t="n">
        <v>435500</v>
      </c>
      <c r="G258" s="91" t="n">
        <v>556000</v>
      </c>
      <c r="H258" s="91" t="n">
        <v>4604800</v>
      </c>
      <c r="I258" s="92" t="n">
        <f aca="false">N(F258)+N(G258)+N(H258)</f>
        <v>5596300</v>
      </c>
      <c r="J258" s="92" t="n">
        <f aca="false">IF(AND(F258="",G258=""),0,N(C258)-N(F258)-N(G258))</f>
        <v>25400</v>
      </c>
      <c r="K258" s="92" t="n">
        <f aca="false">IF(H258="",0,N(D258)-N(H258))</f>
        <v>27000</v>
      </c>
      <c r="L258" s="91"/>
      <c r="M258" s="91"/>
      <c r="N258" s="91" t="n">
        <v>24300</v>
      </c>
      <c r="O258" s="92" t="n">
        <f aca="false">IF(AND(F258="",G258=""),0,J258-N(L258)-N(M258)-N(N258))</f>
        <v>1100</v>
      </c>
      <c r="P258" s="92" t="n">
        <f aca="false">K258+O258</f>
        <v>28100</v>
      </c>
      <c r="Q258" s="85" t="n">
        <f aca="false">E258-P258</f>
        <v>5620600</v>
      </c>
      <c r="R258" s="91" t="n">
        <v>203</v>
      </c>
      <c r="S258" s="91" t="n">
        <v>92</v>
      </c>
      <c r="T258" s="92" t="n">
        <f aca="false">IF(N(S258)=0,"",Q258/S258)</f>
        <v>61093.4782608696</v>
      </c>
      <c r="U258" s="93" t="str">
        <f aca="false">IF(E258=0,"",IF(AND(N(C258)&gt;0,F258="",G258=""),"Belum direalisasi",IF(AND(N(D258)&gt;0,H258=""),"EDC belum settle",IF(ABS(O258)&gt;50000,"Cek selisih tunai","OK"))))</f>
        <v>OK</v>
      </c>
    </row>
    <row r="259" customFormat="false" ht="15" hidden="false" customHeight="false" outlineLevel="0" collapsed="false">
      <c r="A259" s="89" t="n">
        <v>46277</v>
      </c>
      <c r="B259" s="90" t="n">
        <f aca="false">MONTH(A259)</f>
        <v>9</v>
      </c>
      <c r="C259" s="91" t="n">
        <v>1143400</v>
      </c>
      <c r="D259" s="91" t="n">
        <v>3582200</v>
      </c>
      <c r="E259" s="92" t="n">
        <f aca="false">N(C259)+N(D259)</f>
        <v>4725600</v>
      </c>
      <c r="F259" s="91" t="n">
        <v>252000</v>
      </c>
      <c r="G259" s="91" t="n">
        <v>716000</v>
      </c>
      <c r="H259" s="91" t="n">
        <v>3608450</v>
      </c>
      <c r="I259" s="92" t="n">
        <f aca="false">N(F259)+N(G259)+N(H259)</f>
        <v>4576450</v>
      </c>
      <c r="J259" s="92" t="n">
        <f aca="false">IF(AND(F259="",G259=""),0,N(C259)-N(F259)-N(G259))</f>
        <v>175400</v>
      </c>
      <c r="K259" s="92" t="n">
        <f aca="false">IF(H259="",0,N(D259)-N(H259))</f>
        <v>-26250</v>
      </c>
      <c r="L259" s="91"/>
      <c r="M259" s="91" t="n">
        <v>24300</v>
      </c>
      <c r="N259" s="91" t="n">
        <v>125100</v>
      </c>
      <c r="O259" s="92" t="n">
        <f aca="false">IF(AND(F259="",G259=""),0,J259-N(L259)-N(M259)-N(N259))</f>
        <v>26000</v>
      </c>
      <c r="P259" s="92" t="n">
        <f aca="false">K259+O259</f>
        <v>-250</v>
      </c>
      <c r="Q259" s="85" t="n">
        <f aca="false">E259-P259</f>
        <v>4725850</v>
      </c>
      <c r="R259" s="91" t="n">
        <v>217</v>
      </c>
      <c r="S259" s="91" t="n">
        <v>139</v>
      </c>
      <c r="T259" s="92" t="n">
        <f aca="false">IF(N(S259)=0,"",Q259/S259)</f>
        <v>33998.9208633094</v>
      </c>
      <c r="U259" s="93" t="str">
        <f aca="false">IF(E259=0,"",IF(AND(N(C259)&gt;0,F259="",G259=""),"Belum direalisasi",IF(AND(N(D259)&gt;0,H259=""),"EDC belum settle",IF(ABS(O259)&gt;50000,"Cek selisih tunai","OK"))))</f>
        <v>OK</v>
      </c>
    </row>
    <row r="260" customFormat="false" ht="15" hidden="false" customHeight="false" outlineLevel="0" collapsed="false">
      <c r="A260" s="89" t="n">
        <v>46278</v>
      </c>
      <c r="B260" s="90" t="n">
        <f aca="false">MONTH(A260)</f>
        <v>9</v>
      </c>
      <c r="C260" s="91" t="n">
        <v>566800</v>
      </c>
      <c r="D260" s="91" t="n">
        <v>2445550</v>
      </c>
      <c r="E260" s="92" t="n">
        <f aca="false">N(C260)+N(D260)</f>
        <v>3012350</v>
      </c>
      <c r="F260" s="91" t="n">
        <v>250000</v>
      </c>
      <c r="G260" s="91" t="n">
        <v>285000</v>
      </c>
      <c r="H260" s="91" t="n">
        <v>2445550</v>
      </c>
      <c r="I260" s="92" t="n">
        <f aca="false">N(F260)+N(G260)+N(H260)</f>
        <v>2980550</v>
      </c>
      <c r="J260" s="92" t="n">
        <f aca="false">IF(AND(F260="",G260=""),0,N(C260)-N(F260)-N(G260))</f>
        <v>31800</v>
      </c>
      <c r="K260" s="92" t="n">
        <f aca="false">IF(H260="",0,N(D260)-N(H260))</f>
        <v>0</v>
      </c>
      <c r="L260" s="91" t="n">
        <v>31500</v>
      </c>
      <c r="M260" s="91"/>
      <c r="N260" s="91"/>
      <c r="O260" s="92" t="n">
        <f aca="false">IF(AND(F260="",G260=""),0,J260-N(L260)-N(M260)-N(N260))</f>
        <v>300</v>
      </c>
      <c r="P260" s="92" t="n">
        <f aca="false">K260+O260</f>
        <v>300</v>
      </c>
      <c r="Q260" s="85" t="n">
        <f aca="false">E260-P260</f>
        <v>3012050</v>
      </c>
      <c r="R260" s="91" t="n">
        <v>105</v>
      </c>
      <c r="S260" s="91" t="n">
        <v>65</v>
      </c>
      <c r="T260" s="92" t="n">
        <f aca="false">IF(N(S260)=0,"",Q260/S260)</f>
        <v>46339.2307692308</v>
      </c>
      <c r="U260" s="93" t="str">
        <f aca="false">IF(E260=0,"",IF(AND(N(C260)&gt;0,F260="",G260=""),"Belum direalisasi",IF(AND(N(D260)&gt;0,H260=""),"EDC belum settle",IF(ABS(O260)&gt;50000,"Cek selisih tunai","OK"))))</f>
        <v>OK</v>
      </c>
    </row>
    <row r="261" customFormat="false" ht="15" hidden="false" customHeight="false" outlineLevel="0" collapsed="false">
      <c r="A261" s="89" t="n">
        <v>46279</v>
      </c>
      <c r="B261" s="90" t="n">
        <f aca="false">MONTH(A261)</f>
        <v>9</v>
      </c>
      <c r="C261" s="91" t="n">
        <v>624000</v>
      </c>
      <c r="D261" s="91" t="n">
        <v>1797200</v>
      </c>
      <c r="E261" s="92" t="n">
        <f aca="false">N(C261)+N(D261)</f>
        <v>2421200</v>
      </c>
      <c r="F261" s="91" t="n">
        <v>314000</v>
      </c>
      <c r="G261" s="91" t="n">
        <v>256000</v>
      </c>
      <c r="H261" s="91" t="n">
        <v>1737110</v>
      </c>
      <c r="I261" s="92" t="n">
        <f aca="false">N(F261)+N(G261)+N(H261)</f>
        <v>2307110</v>
      </c>
      <c r="J261" s="92" t="n">
        <f aca="false">IF(AND(F261="",G261=""),0,N(C261)-N(F261)-N(G261))</f>
        <v>54000</v>
      </c>
      <c r="K261" s="92" t="n">
        <f aca="false">IF(H261="",0,N(D261)-N(H261))</f>
        <v>60090</v>
      </c>
      <c r="L261" s="91" t="n">
        <v>54000</v>
      </c>
      <c r="M261" s="91"/>
      <c r="N261" s="91"/>
      <c r="O261" s="92" t="n">
        <f aca="false">IF(AND(F261="",G261=""),0,J261-N(L261)-N(M261)-N(N261))</f>
        <v>0</v>
      </c>
      <c r="P261" s="92" t="n">
        <f aca="false">K261+O261</f>
        <v>60090</v>
      </c>
      <c r="Q261" s="85" t="n">
        <f aca="false">E261-P261</f>
        <v>2361110</v>
      </c>
      <c r="R261" s="91" t="n">
        <v>86</v>
      </c>
      <c r="S261" s="91" t="n">
        <v>46</v>
      </c>
      <c r="T261" s="92" t="n">
        <f aca="false">IF(N(S261)=0,"",Q261/S261)</f>
        <v>51328.4782608696</v>
      </c>
      <c r="U261" s="93" t="str">
        <f aca="false">IF(E261=0,"",IF(AND(N(C261)&gt;0,F261="",G261=""),"Belum direalisasi",IF(AND(N(D261)&gt;0,H261=""),"EDC belum settle",IF(ABS(O261)&gt;50000,"Cek selisih tunai","OK"))))</f>
        <v>OK</v>
      </c>
    </row>
    <row r="262" customFormat="false" ht="15" hidden="false" customHeight="false" outlineLevel="0" collapsed="false">
      <c r="A262" s="89" t="n">
        <v>46280</v>
      </c>
      <c r="B262" s="90" t="n">
        <f aca="false">MONTH(A262)</f>
        <v>9</v>
      </c>
      <c r="C262" s="91" t="n">
        <v>293500</v>
      </c>
      <c r="D262" s="91" t="n">
        <v>1819550</v>
      </c>
      <c r="E262" s="92" t="n">
        <f aca="false">N(C262)+N(D262)</f>
        <v>2113050</v>
      </c>
      <c r="F262" s="91" t="n">
        <v>165000</v>
      </c>
      <c r="G262" s="91" t="n">
        <v>106000</v>
      </c>
      <c r="H262" s="91" t="n">
        <v>1968527</v>
      </c>
      <c r="I262" s="92" t="n">
        <f aca="false">N(F262)+N(G262)+N(H262)</f>
        <v>2239527</v>
      </c>
      <c r="J262" s="92" t="n">
        <f aca="false">IF(AND(F262="",G262=""),0,N(C262)-N(F262)-N(G262))</f>
        <v>22500</v>
      </c>
      <c r="K262" s="92" t="n">
        <f aca="false">IF(H262="",0,N(D262)-N(H262))</f>
        <v>-148977</v>
      </c>
      <c r="L262" s="91"/>
      <c r="M262" s="91"/>
      <c r="N262" s="91" t="n">
        <v>22500</v>
      </c>
      <c r="O262" s="92" t="n">
        <f aca="false">IF(AND(F262="",G262=""),0,J262-N(L262)-N(M262)-N(N262))</f>
        <v>0</v>
      </c>
      <c r="P262" s="92" t="n">
        <f aca="false">K262+O262</f>
        <v>-148977</v>
      </c>
      <c r="Q262" s="85" t="n">
        <f aca="false">E262-P262</f>
        <v>2262027</v>
      </c>
      <c r="R262" s="91" t="n">
        <v>74</v>
      </c>
      <c r="S262" s="91" t="n">
        <v>46</v>
      </c>
      <c r="T262" s="92" t="n">
        <f aca="false">IF(N(S262)=0,"",Q262/S262)</f>
        <v>49174.5</v>
      </c>
      <c r="U262" s="93" t="str">
        <f aca="false">IF(E262=0,"",IF(AND(N(C262)&gt;0,F262="",G262=""),"Belum direalisasi",IF(AND(N(D262)&gt;0,H262=""),"EDC belum settle",IF(ABS(O262)&gt;50000,"Cek selisih tunai","OK"))))</f>
        <v>OK</v>
      </c>
    </row>
    <row r="263" customFormat="false" ht="15" hidden="false" customHeight="false" outlineLevel="0" collapsed="false">
      <c r="A263" s="89" t="n">
        <v>46281</v>
      </c>
      <c r="B263" s="90" t="n">
        <f aca="false">MONTH(A263)</f>
        <v>9</v>
      </c>
      <c r="C263" s="91" t="n">
        <v>751450</v>
      </c>
      <c r="D263" s="91" t="n">
        <v>1223200</v>
      </c>
      <c r="E263" s="92" t="n">
        <f aca="false">N(C263)+N(D263)</f>
        <v>1974650</v>
      </c>
      <c r="F263" s="91" t="n">
        <v>92000</v>
      </c>
      <c r="G263" s="91" t="n">
        <v>422000</v>
      </c>
      <c r="H263" s="91" t="n">
        <v>1223200</v>
      </c>
      <c r="I263" s="92" t="n">
        <f aca="false">N(F263)+N(G263)+N(H263)</f>
        <v>1737200</v>
      </c>
      <c r="J263" s="92" t="n">
        <f aca="false">IF(AND(F263="",G263=""),0,N(C263)-N(F263)-N(G263))</f>
        <v>237450</v>
      </c>
      <c r="K263" s="92" t="n">
        <f aca="false">IF(H263="",0,N(D263)-N(H263))</f>
        <v>0</v>
      </c>
      <c r="L263" s="91" t="n">
        <v>48600</v>
      </c>
      <c r="M263" s="91"/>
      <c r="N263" s="91" t="n">
        <v>189400</v>
      </c>
      <c r="O263" s="92" t="n">
        <f aca="false">IF(AND(F263="",G263=""),0,J263-N(L263)-N(M263)-N(N263))</f>
        <v>-550</v>
      </c>
      <c r="P263" s="92" t="n">
        <f aca="false">K263+O263</f>
        <v>-550</v>
      </c>
      <c r="Q263" s="85" t="n">
        <f aca="false">E263-P263</f>
        <v>1975200</v>
      </c>
      <c r="R263" s="91" t="n">
        <v>68</v>
      </c>
      <c r="S263" s="91" t="n">
        <v>41</v>
      </c>
      <c r="T263" s="92" t="n">
        <f aca="false">IF(N(S263)=0,"",Q263/S263)</f>
        <v>48175.6097560976</v>
      </c>
      <c r="U263" s="93" t="str">
        <f aca="false">IF(E263=0,"",IF(AND(N(C263)&gt;0,F263="",G263=""),"Belum direalisasi",IF(AND(N(D263)&gt;0,H263=""),"EDC belum settle",IF(ABS(O263)&gt;50000,"Cek selisih tunai","OK"))))</f>
        <v>OK</v>
      </c>
    </row>
    <row r="264" customFormat="false" ht="15" hidden="false" customHeight="false" outlineLevel="0" collapsed="false">
      <c r="A264" s="89" t="n">
        <v>46282</v>
      </c>
      <c r="B264" s="90" t="n">
        <f aca="false">MONTH(A264)</f>
        <v>9</v>
      </c>
      <c r="C264" s="91" t="n">
        <v>265250</v>
      </c>
      <c r="D264" s="91" t="n">
        <v>1775150</v>
      </c>
      <c r="E264" s="92" t="n">
        <f aca="false">N(C264)+N(D264)</f>
        <v>2040400</v>
      </c>
      <c r="F264" s="91" t="n">
        <v>79000</v>
      </c>
      <c r="G264" s="91" t="n">
        <v>187000</v>
      </c>
      <c r="H264" s="91" t="n">
        <v>1775150</v>
      </c>
      <c r="I264" s="92" t="n">
        <f aca="false">N(F264)+N(G264)+N(H264)</f>
        <v>2041150</v>
      </c>
      <c r="J264" s="92" t="n">
        <f aca="false">IF(AND(F264="",G264=""),0,N(C264)-N(F264)-N(G264))</f>
        <v>-750</v>
      </c>
      <c r="K264" s="92" t="n">
        <f aca="false">IF(H264="",0,N(D264)-N(H264))</f>
        <v>0</v>
      </c>
      <c r="L264" s="91"/>
      <c r="M264" s="91"/>
      <c r="N264" s="91"/>
      <c r="O264" s="92" t="n">
        <f aca="false">IF(AND(F264="",G264=""),0,J264-N(L264)-N(M264)-N(N264))</f>
        <v>-750</v>
      </c>
      <c r="P264" s="92" t="n">
        <f aca="false">K264+O264</f>
        <v>-750</v>
      </c>
      <c r="Q264" s="85" t="n">
        <f aca="false">E264-P264</f>
        <v>2041150</v>
      </c>
      <c r="R264" s="91" t="n">
        <v>72</v>
      </c>
      <c r="S264" s="91" t="n">
        <v>48</v>
      </c>
      <c r="T264" s="92" t="n">
        <f aca="false">IF(N(S264)=0,"",Q264/S264)</f>
        <v>42523.9583333333</v>
      </c>
      <c r="U264" s="93" t="str">
        <f aca="false">IF(E264=0,"",IF(AND(N(C264)&gt;0,F264="",G264=""),"Belum direalisasi",IF(AND(N(D264)&gt;0,H264=""),"EDC belum settle",IF(ABS(O264)&gt;50000,"Cek selisih tunai","OK"))))</f>
        <v>OK</v>
      </c>
    </row>
    <row r="265" customFormat="false" ht="15" hidden="false" customHeight="false" outlineLevel="0" collapsed="false">
      <c r="A265" s="89" t="n">
        <v>46283</v>
      </c>
      <c r="B265" s="90" t="n">
        <f aca="false">MONTH(A265)</f>
        <v>9</v>
      </c>
      <c r="C265" s="91" t="n">
        <v>903600</v>
      </c>
      <c r="D265" s="91" t="n">
        <v>2548700</v>
      </c>
      <c r="E265" s="92" t="n">
        <f aca="false">N(C265)+N(D265)</f>
        <v>3452300</v>
      </c>
      <c r="F265" s="91" t="n">
        <v>80000</v>
      </c>
      <c r="G265" s="91" t="n">
        <v>748000</v>
      </c>
      <c r="H265" s="91" t="n">
        <v>2208300</v>
      </c>
      <c r="I265" s="92" t="n">
        <f aca="false">N(F265)+N(G265)+N(H265)</f>
        <v>3036300</v>
      </c>
      <c r="J265" s="92" t="n">
        <f aca="false">IF(AND(F265="",G265=""),0,N(C265)-N(F265)-N(G265))</f>
        <v>75600</v>
      </c>
      <c r="K265" s="92" t="n">
        <f aca="false">IF(H265="",0,N(D265)-N(H265))</f>
        <v>340400</v>
      </c>
      <c r="L265" s="91"/>
      <c r="M265" s="91"/>
      <c r="N265" s="91" t="n">
        <v>75600</v>
      </c>
      <c r="O265" s="92" t="n">
        <f aca="false">IF(AND(F265="",G265=""),0,J265-N(L265)-N(M265)-N(N265))</f>
        <v>0</v>
      </c>
      <c r="P265" s="92" t="n">
        <f aca="false">K265+O265</f>
        <v>340400</v>
      </c>
      <c r="Q265" s="85" t="n">
        <f aca="false">E265-P265</f>
        <v>3111900</v>
      </c>
      <c r="R265" s="91" t="n">
        <v>120</v>
      </c>
      <c r="S265" s="91" t="n">
        <v>63</v>
      </c>
      <c r="T265" s="92" t="n">
        <f aca="false">IF(N(S265)=0,"",Q265/S265)</f>
        <v>49395.2380952381</v>
      </c>
      <c r="U265" s="93" t="str">
        <f aca="false">IF(E265=0,"",IF(AND(N(C265)&gt;0,F265="",G265=""),"Belum direalisasi",IF(AND(N(D265)&gt;0,H265=""),"EDC belum settle",IF(ABS(O265)&gt;50000,"Cek selisih tunai","OK"))))</f>
        <v>OK</v>
      </c>
    </row>
    <row r="266" customFormat="false" ht="15" hidden="false" customHeight="false" outlineLevel="0" collapsed="false">
      <c r="A266" s="89" t="n">
        <v>46284</v>
      </c>
      <c r="B266" s="90" t="n">
        <f aca="false">MONTH(A266)</f>
        <v>9</v>
      </c>
      <c r="C266" s="91" t="n">
        <v>2000450</v>
      </c>
      <c r="D266" s="91" t="n">
        <v>2876450</v>
      </c>
      <c r="E266" s="92" t="n">
        <f aca="false">N(C266)+N(D266)</f>
        <v>4876900</v>
      </c>
      <c r="F266" s="91" t="n">
        <v>376000</v>
      </c>
      <c r="G266" s="91" t="n">
        <v>1326000</v>
      </c>
      <c r="H266" s="91" t="n">
        <v>3189193</v>
      </c>
      <c r="I266" s="92" t="n">
        <f aca="false">N(F266)+N(G266)+N(H266)</f>
        <v>4891193</v>
      </c>
      <c r="J266" s="92" t="n">
        <f aca="false">IF(AND(F266="",G266=""),0,N(C266)-N(F266)-N(G266))</f>
        <v>298450</v>
      </c>
      <c r="K266" s="92" t="n">
        <f aca="false">IF(H266="",0,N(D266)-N(H266))</f>
        <v>-312743</v>
      </c>
      <c r="L266" s="91" t="n">
        <v>99000</v>
      </c>
      <c r="M266" s="91"/>
      <c r="N266" s="91" t="n">
        <v>199400</v>
      </c>
      <c r="O266" s="92" t="n">
        <f aca="false">IF(AND(F266="",G266=""),0,J266-N(L266)-N(M266)-N(N266))</f>
        <v>50</v>
      </c>
      <c r="P266" s="92" t="n">
        <f aca="false">K266+O266</f>
        <v>-312693</v>
      </c>
      <c r="Q266" s="85" t="n">
        <f aca="false">E266-P266</f>
        <v>5189593</v>
      </c>
      <c r="R266" s="91" t="n">
        <v>183</v>
      </c>
      <c r="S266" s="91" t="n">
        <v>91</v>
      </c>
      <c r="T266" s="92" t="n">
        <f aca="false">IF(N(S266)=0,"",Q266/S266)</f>
        <v>57028.4945054945</v>
      </c>
      <c r="U266" s="93" t="str">
        <f aca="false">IF(E266=0,"",IF(AND(N(C266)&gt;0,F266="",G266=""),"Belum direalisasi",IF(AND(N(D266)&gt;0,H266=""),"EDC belum settle",IF(ABS(O266)&gt;50000,"Cek selisih tunai","OK"))))</f>
        <v>OK</v>
      </c>
    </row>
    <row r="267" customFormat="false" ht="15" hidden="false" customHeight="false" outlineLevel="0" collapsed="false">
      <c r="A267" s="89" t="n">
        <v>46285</v>
      </c>
      <c r="B267" s="90" t="n">
        <f aca="false">MONTH(A267)</f>
        <v>9</v>
      </c>
      <c r="C267" s="91" t="n">
        <v>741250</v>
      </c>
      <c r="D267" s="91" t="n">
        <v>2448150</v>
      </c>
      <c r="E267" s="92" t="n">
        <f aca="false">N(C267)+N(D267)</f>
        <v>3189400</v>
      </c>
      <c r="F267" s="91" t="n">
        <v>90000</v>
      </c>
      <c r="G267" s="91" t="n">
        <v>533200</v>
      </c>
      <c r="H267" s="91" t="n">
        <v>2447220</v>
      </c>
      <c r="I267" s="92" t="n">
        <f aca="false">N(F267)+N(G267)+N(H267)</f>
        <v>3070420</v>
      </c>
      <c r="J267" s="92" t="n">
        <f aca="false">IF(AND(F267="",G267=""),0,N(C267)-N(F267)-N(G267))</f>
        <v>118050</v>
      </c>
      <c r="K267" s="92" t="n">
        <f aca="false">IF(H267="",0,N(D267)-N(H267))</f>
        <v>930</v>
      </c>
      <c r="L267" s="91"/>
      <c r="M267" s="91"/>
      <c r="N267" s="91" t="n">
        <v>117900</v>
      </c>
      <c r="O267" s="92" t="n">
        <f aca="false">IF(AND(F267="",G267=""),0,J267-N(L267)-N(M267)-N(N267))</f>
        <v>150</v>
      </c>
      <c r="P267" s="92" t="n">
        <f aca="false">K267+O267</f>
        <v>1080</v>
      </c>
      <c r="Q267" s="85" t="n">
        <f aca="false">E267-P267</f>
        <v>3188320</v>
      </c>
      <c r="R267" s="91" t="n">
        <v>113</v>
      </c>
      <c r="S267" s="91" t="n">
        <v>55</v>
      </c>
      <c r="T267" s="92" t="n">
        <f aca="false">IF(N(S267)=0,"",Q267/S267)</f>
        <v>57969.4545454545</v>
      </c>
      <c r="U267" s="93" t="str">
        <f aca="false">IF(E267=0,"",IF(AND(N(C267)&gt;0,F267="",G267=""),"Belum direalisasi",IF(AND(N(D267)&gt;0,H267=""),"EDC belum settle",IF(ABS(O267)&gt;50000,"Cek selisih tunai","OK"))))</f>
        <v>OK</v>
      </c>
    </row>
    <row r="268" customFormat="false" ht="15" hidden="false" customHeight="false" outlineLevel="0" collapsed="false">
      <c r="A268" s="89" t="n">
        <v>46286</v>
      </c>
      <c r="B268" s="90" t="n">
        <f aca="false">MONTH(A268)</f>
        <v>9</v>
      </c>
      <c r="C268" s="91" t="n">
        <v>780000</v>
      </c>
      <c r="D268" s="91" t="n">
        <v>1489100</v>
      </c>
      <c r="E268" s="92" t="n">
        <f aca="false">N(C268)+N(D268)</f>
        <v>2269100</v>
      </c>
      <c r="F268" s="91" t="n">
        <v>105000</v>
      </c>
      <c r="G268" s="91" t="n">
        <v>630000</v>
      </c>
      <c r="H268" s="91" t="n">
        <v>1393100</v>
      </c>
      <c r="I268" s="92" t="n">
        <f aca="false">N(F268)+N(G268)+N(H268)</f>
        <v>2128100</v>
      </c>
      <c r="J268" s="92" t="n">
        <f aca="false">IF(AND(F268="",G268=""),0,N(C268)-N(F268)-N(G268))</f>
        <v>45000</v>
      </c>
      <c r="K268" s="92" t="n">
        <f aca="false">IF(H268="",0,N(D268)-N(H268))</f>
        <v>96000</v>
      </c>
      <c r="L268" s="91"/>
      <c r="M268" s="91"/>
      <c r="N268" s="91" t="n">
        <v>45000</v>
      </c>
      <c r="O268" s="92" t="n">
        <f aca="false">IF(AND(F268="",G268=""),0,J268-N(L268)-N(M268)-N(N268))</f>
        <v>0</v>
      </c>
      <c r="P268" s="92" t="n">
        <f aca="false">K268+O268</f>
        <v>96000</v>
      </c>
      <c r="Q268" s="85" t="n">
        <f aca="false">E268-P268</f>
        <v>2173100</v>
      </c>
      <c r="R268" s="91" t="n">
        <v>81</v>
      </c>
      <c r="S268" s="91" t="n">
        <v>43</v>
      </c>
      <c r="T268" s="92" t="n">
        <f aca="false">IF(N(S268)=0,"",Q268/S268)</f>
        <v>50537.2093023256</v>
      </c>
      <c r="U268" s="93" t="str">
        <f aca="false">IF(E268=0,"",IF(AND(N(C268)&gt;0,F268="",G268=""),"Belum direalisasi",IF(AND(N(D268)&gt;0,H268=""),"EDC belum settle",IF(ABS(O268)&gt;50000,"Cek selisih tunai","OK"))))</f>
        <v>OK</v>
      </c>
    </row>
    <row r="269" customFormat="false" ht="15" hidden="false" customHeight="false" outlineLevel="0" collapsed="false">
      <c r="A269" s="89" t="n">
        <v>46287</v>
      </c>
      <c r="B269" s="90" t="n">
        <f aca="false">MONTH(A269)</f>
        <v>9</v>
      </c>
      <c r="C269" s="91" t="n">
        <v>883100</v>
      </c>
      <c r="D269" s="91" t="n">
        <v>2128300</v>
      </c>
      <c r="E269" s="92" t="n">
        <f aca="false">N(C269)+N(D269)</f>
        <v>3011400</v>
      </c>
      <c r="F269" s="91" t="n">
        <v>70000</v>
      </c>
      <c r="G269" s="91" t="n">
        <v>769000</v>
      </c>
      <c r="H269" s="91" t="n">
        <v>2224033</v>
      </c>
      <c r="I269" s="92" t="n">
        <f aca="false">N(F269)+N(G269)+N(H269)</f>
        <v>3063033</v>
      </c>
      <c r="J269" s="92" t="n">
        <f aca="false">IF(AND(F269="",G269=""),0,N(C269)-N(F269)-N(G269))</f>
        <v>44100</v>
      </c>
      <c r="K269" s="92" t="n">
        <f aca="false">IF(H269="",0,N(D269)-N(H269))</f>
        <v>-95733</v>
      </c>
      <c r="L269" s="91"/>
      <c r="M269" s="91"/>
      <c r="N269" s="91" t="n">
        <v>45000</v>
      </c>
      <c r="O269" s="92" t="n">
        <f aca="false">IF(AND(F269="",G269=""),0,J269-N(L269)-N(M269)-N(N269))</f>
        <v>-900</v>
      </c>
      <c r="P269" s="92" t="n">
        <f aca="false">K269+O269</f>
        <v>-96633</v>
      </c>
      <c r="Q269" s="85" t="n">
        <f aca="false">E269-P269</f>
        <v>3108033</v>
      </c>
      <c r="R269" s="91" t="n">
        <v>103</v>
      </c>
      <c r="S269" s="91" t="n">
        <v>57</v>
      </c>
      <c r="T269" s="92" t="n">
        <f aca="false">IF(N(S269)=0,"",Q269/S269)</f>
        <v>54526.8947368421</v>
      </c>
      <c r="U269" s="93" t="str">
        <f aca="false">IF(E269=0,"",IF(AND(N(C269)&gt;0,F269="",G269=""),"Belum direalisasi",IF(AND(N(D269)&gt;0,H269=""),"EDC belum settle",IF(ABS(O269)&gt;50000,"Cek selisih tunai","OK"))))</f>
        <v>OK</v>
      </c>
    </row>
    <row r="270" customFormat="false" ht="15" hidden="false" customHeight="false" outlineLevel="0" collapsed="false">
      <c r="A270" s="89" t="n">
        <v>46288</v>
      </c>
      <c r="B270" s="90" t="n">
        <f aca="false">MONTH(A270)</f>
        <v>9</v>
      </c>
      <c r="C270" s="91" t="n">
        <v>345250</v>
      </c>
      <c r="D270" s="91" t="n">
        <v>2345200</v>
      </c>
      <c r="E270" s="92" t="n">
        <f aca="false">N(C270)+N(D270)</f>
        <v>2690450</v>
      </c>
      <c r="F270" s="91" t="n">
        <v>270000</v>
      </c>
      <c r="G270" s="91" t="n">
        <v>75000</v>
      </c>
      <c r="H270" s="91" t="n">
        <v>2344900</v>
      </c>
      <c r="I270" s="92" t="n">
        <f aca="false">N(F270)+N(G270)+N(H270)</f>
        <v>2689900</v>
      </c>
      <c r="J270" s="92" t="n">
        <f aca="false">IF(AND(F270="",G270=""),0,N(C270)-N(F270)-N(G270))</f>
        <v>250</v>
      </c>
      <c r="K270" s="92" t="n">
        <f aca="false">IF(H270="",0,N(D270)-N(H270))</f>
        <v>300</v>
      </c>
      <c r="L270" s="91"/>
      <c r="M270" s="91"/>
      <c r="N270" s="91"/>
      <c r="O270" s="92" t="n">
        <f aca="false">IF(AND(F270="",G270=""),0,J270-N(L270)-N(M270)-N(N270))</f>
        <v>250</v>
      </c>
      <c r="P270" s="92" t="n">
        <f aca="false">K270+O270</f>
        <v>550</v>
      </c>
      <c r="Q270" s="85" t="n">
        <f aca="false">E270-P270</f>
        <v>2689900</v>
      </c>
      <c r="R270" s="91" t="n">
        <v>94</v>
      </c>
      <c r="S270" s="91" t="n">
        <v>58</v>
      </c>
      <c r="T270" s="92" t="n">
        <f aca="false">IF(N(S270)=0,"",Q270/S270)</f>
        <v>46377.5862068966</v>
      </c>
      <c r="U270" s="93" t="str">
        <f aca="false">IF(E270=0,"",IF(AND(N(C270)&gt;0,F270="",G270=""),"Belum direalisasi",IF(AND(N(D270)&gt;0,H270=""),"EDC belum settle",IF(ABS(O270)&gt;50000,"Cek selisih tunai","OK"))))</f>
        <v>OK</v>
      </c>
    </row>
    <row r="271" customFormat="false" ht="15" hidden="false" customHeight="false" outlineLevel="0" collapsed="false">
      <c r="A271" s="89" t="n">
        <v>46289</v>
      </c>
      <c r="B271" s="90" t="n">
        <f aca="false">MONTH(A271)</f>
        <v>9</v>
      </c>
      <c r="C271" s="91" t="n">
        <v>588000</v>
      </c>
      <c r="D271" s="91" t="n">
        <v>1571700</v>
      </c>
      <c r="E271" s="92" t="n">
        <f aca="false">N(C271)+N(D271)</f>
        <v>2159700</v>
      </c>
      <c r="F271" s="91" t="n">
        <v>237000</v>
      </c>
      <c r="G271" s="91" t="n">
        <v>295000</v>
      </c>
      <c r="H271" s="91" t="n">
        <v>1571700</v>
      </c>
      <c r="I271" s="92" t="n">
        <f aca="false">N(F271)+N(G271)+N(H271)</f>
        <v>2103700</v>
      </c>
      <c r="J271" s="92" t="n">
        <f aca="false">IF(AND(F271="",G271=""),0,N(C271)-N(F271)-N(G271))</f>
        <v>56000</v>
      </c>
      <c r="K271" s="92" t="n">
        <f aca="false">IF(H271="",0,N(D271)-N(H271))</f>
        <v>0</v>
      </c>
      <c r="L271" s="91"/>
      <c r="M271" s="91"/>
      <c r="N271" s="91" t="n">
        <v>57000</v>
      </c>
      <c r="O271" s="92" t="n">
        <f aca="false">IF(AND(F271="",G271=""),0,J271-N(L271)-N(M271)-N(N271))</f>
        <v>-1000</v>
      </c>
      <c r="P271" s="92" t="n">
        <f aca="false">K271+O271</f>
        <v>-1000</v>
      </c>
      <c r="Q271" s="85" t="n">
        <f aca="false">E271-P271</f>
        <v>2160700</v>
      </c>
      <c r="R271" s="91" t="n">
        <v>79</v>
      </c>
      <c r="S271" s="91" t="n">
        <v>51</v>
      </c>
      <c r="T271" s="92" t="n">
        <f aca="false">IF(N(S271)=0,"",Q271/S271)</f>
        <v>42366.6666666667</v>
      </c>
      <c r="U271" s="93" t="str">
        <f aca="false">IF(E271=0,"",IF(AND(N(C271)&gt;0,F271="",G271=""),"Belum direalisasi",IF(AND(N(D271)&gt;0,H271=""),"EDC belum settle",IF(ABS(O271)&gt;50000,"Cek selisih tunai","OK"))))</f>
        <v>OK</v>
      </c>
    </row>
    <row r="272" customFormat="false" ht="15" hidden="false" customHeight="false" outlineLevel="0" collapsed="false">
      <c r="A272" s="89" t="n">
        <v>46290</v>
      </c>
      <c r="B272" s="90" t="n">
        <f aca="false">MONTH(A272)</f>
        <v>9</v>
      </c>
      <c r="C272" s="91" t="n">
        <v>966300</v>
      </c>
      <c r="D272" s="91" t="n">
        <v>2105300</v>
      </c>
      <c r="E272" s="92" t="n">
        <f aca="false">N(C272)+N(D272)</f>
        <v>3071600</v>
      </c>
      <c r="F272" s="91" t="n">
        <v>224000</v>
      </c>
      <c r="G272" s="91" t="n">
        <v>504000</v>
      </c>
      <c r="H272" s="91" t="n">
        <v>2104220</v>
      </c>
      <c r="I272" s="92" t="n">
        <f aca="false">N(F272)+N(G272)+N(H272)</f>
        <v>2832220</v>
      </c>
      <c r="J272" s="92" t="n">
        <f aca="false">IF(AND(F272="",G272=""),0,N(C272)-N(F272)-N(G272))</f>
        <v>238300</v>
      </c>
      <c r="K272" s="92" t="n">
        <f aca="false">IF(H272="",0,N(D272)-N(H272))</f>
        <v>1080</v>
      </c>
      <c r="L272" s="91"/>
      <c r="M272" s="91" t="n">
        <v>240300</v>
      </c>
      <c r="N272" s="91"/>
      <c r="O272" s="92" t="n">
        <f aca="false">IF(AND(F272="",G272=""),0,J272-N(L272)-N(M272)-N(N272))</f>
        <v>-2000</v>
      </c>
      <c r="P272" s="92" t="n">
        <f aca="false">K272+O272</f>
        <v>-920</v>
      </c>
      <c r="Q272" s="85" t="n">
        <f aca="false">E272-P272</f>
        <v>3072520</v>
      </c>
      <c r="R272" s="91" t="n">
        <v>114</v>
      </c>
      <c r="S272" s="91" t="n">
        <v>59</v>
      </c>
      <c r="T272" s="92" t="n">
        <f aca="false">IF(N(S272)=0,"",Q272/S272)</f>
        <v>52076.6101694915</v>
      </c>
      <c r="U272" s="93" t="str">
        <f aca="false">IF(E272=0,"",IF(AND(N(C272)&gt;0,F272="",G272=""),"Belum direalisasi",IF(AND(N(D272)&gt;0,H272=""),"EDC belum settle",IF(ABS(O272)&gt;50000,"Cek selisih tunai","OK"))))</f>
        <v>OK</v>
      </c>
    </row>
    <row r="273" customFormat="false" ht="15" hidden="false" customHeight="false" outlineLevel="0" collapsed="false">
      <c r="A273" s="89" t="n">
        <v>46291</v>
      </c>
      <c r="B273" s="90" t="n">
        <f aca="false">MONTH(A273)</f>
        <v>9</v>
      </c>
      <c r="C273" s="91" t="n">
        <v>1170800</v>
      </c>
      <c r="D273" s="91" t="n">
        <v>3566250</v>
      </c>
      <c r="E273" s="92" t="n">
        <f aca="false">N(C273)+N(D273)</f>
        <v>4737050</v>
      </c>
      <c r="F273" s="91" t="n">
        <v>175000</v>
      </c>
      <c r="G273" s="91" t="n">
        <v>922000</v>
      </c>
      <c r="H273" s="91" t="n">
        <v>3566088</v>
      </c>
      <c r="I273" s="92" t="n">
        <f aca="false">N(F273)+N(G273)+N(H273)</f>
        <v>4663088</v>
      </c>
      <c r="J273" s="92" t="n">
        <f aca="false">IF(AND(F273="",G273=""),0,N(C273)-N(F273)-N(G273))</f>
        <v>73800</v>
      </c>
      <c r="K273" s="92" t="n">
        <f aca="false">IF(H273="",0,N(D273)-N(H273))</f>
        <v>162</v>
      </c>
      <c r="L273" s="91"/>
      <c r="M273" s="91"/>
      <c r="N273" s="91" t="n">
        <v>73800</v>
      </c>
      <c r="O273" s="92" t="n">
        <f aca="false">IF(AND(F273="",G273=""),0,J273-N(L273)-N(M273)-N(N273))</f>
        <v>0</v>
      </c>
      <c r="P273" s="92" t="n">
        <f aca="false">K273+O273</f>
        <v>162</v>
      </c>
      <c r="Q273" s="85" t="n">
        <f aca="false">E273-P273</f>
        <v>4736888</v>
      </c>
      <c r="R273" s="91" t="n">
        <v>163</v>
      </c>
      <c r="S273" s="91" t="n">
        <v>103</v>
      </c>
      <c r="T273" s="92" t="n">
        <f aca="false">IF(N(S273)=0,"",Q273/S273)</f>
        <v>45989.2038834951</v>
      </c>
      <c r="U273" s="93" t="str">
        <f aca="false">IF(E273=0,"",IF(AND(N(C273)&gt;0,F273="",G273=""),"Belum direalisasi",IF(AND(N(D273)&gt;0,H273=""),"EDC belum settle",IF(ABS(O273)&gt;50000,"Cek selisih tunai","OK"))))</f>
        <v>OK</v>
      </c>
    </row>
    <row r="274" customFormat="false" ht="15" hidden="false" customHeight="false" outlineLevel="0" collapsed="false">
      <c r="A274" s="89" t="n">
        <v>46292</v>
      </c>
      <c r="B274" s="90" t="n">
        <f aca="false">MONTH(A274)</f>
        <v>9</v>
      </c>
      <c r="C274" s="91" t="n">
        <v>928500</v>
      </c>
      <c r="D274" s="91" t="n">
        <v>1518750</v>
      </c>
      <c r="E274" s="92" t="n">
        <f aca="false">N(C274)+N(D274)</f>
        <v>2447250</v>
      </c>
      <c r="F274" s="91" t="n">
        <v>224000</v>
      </c>
      <c r="G274" s="91" t="n">
        <v>628000</v>
      </c>
      <c r="H274" s="91" t="n">
        <v>1518750</v>
      </c>
      <c r="I274" s="92" t="n">
        <f aca="false">N(F274)+N(G274)+N(H274)</f>
        <v>2370750</v>
      </c>
      <c r="J274" s="92" t="n">
        <f aca="false">IF(AND(F274="",G274=""),0,N(C274)-N(F274)-N(G274))</f>
        <v>76500</v>
      </c>
      <c r="K274" s="92" t="n">
        <f aca="false">IF(H274="",0,N(D274)-N(H274))</f>
        <v>0</v>
      </c>
      <c r="L274" s="91"/>
      <c r="M274" s="91" t="n">
        <v>50000</v>
      </c>
      <c r="N274" s="91" t="n">
        <v>27000</v>
      </c>
      <c r="O274" s="92" t="n">
        <f aca="false">IF(AND(F274="",G274=""),0,J274-N(L274)-N(M274)-N(N274))</f>
        <v>-500</v>
      </c>
      <c r="P274" s="92" t="n">
        <f aca="false">K274+O274</f>
        <v>-500</v>
      </c>
      <c r="Q274" s="85" t="n">
        <f aca="false">E274-P274</f>
        <v>2447750</v>
      </c>
      <c r="R274" s="91" t="n">
        <v>85</v>
      </c>
      <c r="S274" s="91" t="n">
        <v>53</v>
      </c>
      <c r="T274" s="92" t="n">
        <f aca="false">IF(N(S274)=0,"",Q274/S274)</f>
        <v>46183.9622641509</v>
      </c>
      <c r="U274" s="93" t="str">
        <f aca="false">IF(E274=0,"",IF(AND(N(C274)&gt;0,F274="",G274=""),"Belum direalisasi",IF(AND(N(D274)&gt;0,H274=""),"EDC belum settle",IF(ABS(O274)&gt;50000,"Cek selisih tunai","OK"))))</f>
        <v>OK</v>
      </c>
    </row>
    <row r="275" customFormat="false" ht="15" hidden="false" customHeight="false" outlineLevel="0" collapsed="false">
      <c r="A275" s="89" t="n">
        <v>46293</v>
      </c>
      <c r="B275" s="90" t="n">
        <f aca="false">MONTH(A275)</f>
        <v>9</v>
      </c>
      <c r="C275" s="91" t="n">
        <v>456000</v>
      </c>
      <c r="D275" s="91" t="n">
        <v>1188700</v>
      </c>
      <c r="E275" s="92" t="n">
        <f aca="false">N(C275)+N(D275)</f>
        <v>1644700</v>
      </c>
      <c r="F275" s="91" t="n">
        <v>57000</v>
      </c>
      <c r="G275" s="91" t="n">
        <v>399000</v>
      </c>
      <c r="H275" s="91" t="n">
        <v>1188556</v>
      </c>
      <c r="I275" s="92" t="n">
        <f aca="false">N(F275)+N(G275)+N(H275)</f>
        <v>1644556</v>
      </c>
      <c r="J275" s="92" t="n">
        <f aca="false">IF(AND(F275="",G275=""),0,N(C275)-N(F275)-N(G275))</f>
        <v>0</v>
      </c>
      <c r="K275" s="92" t="n">
        <f aca="false">IF(H275="",0,N(D275)-N(H275))</f>
        <v>144</v>
      </c>
      <c r="L275" s="91"/>
      <c r="M275" s="91"/>
      <c r="N275" s="91"/>
      <c r="O275" s="92" t="n">
        <f aca="false">IF(AND(F275="",G275=""),0,J275-N(L275)-N(M275)-N(N275))</f>
        <v>0</v>
      </c>
      <c r="P275" s="92" t="n">
        <f aca="false">K275+O275</f>
        <v>144</v>
      </c>
      <c r="Q275" s="85" t="n">
        <f aca="false">E275-P275</f>
        <v>1644556</v>
      </c>
      <c r="R275" s="91" t="n">
        <v>57</v>
      </c>
      <c r="S275" s="91" t="n">
        <v>36</v>
      </c>
      <c r="T275" s="92" t="n">
        <f aca="false">IF(N(S275)=0,"",Q275/S275)</f>
        <v>45682.1111111111</v>
      </c>
      <c r="U275" s="93" t="str">
        <f aca="false">IF(E275=0,"",IF(AND(N(C275)&gt;0,F275="",G275=""),"Belum direalisasi",IF(AND(N(D275)&gt;0,H275=""),"EDC belum settle",IF(ABS(O275)&gt;50000,"Cek selisih tunai","OK"))))</f>
        <v>OK</v>
      </c>
    </row>
    <row r="276" customFormat="false" ht="15" hidden="false" customHeight="false" outlineLevel="0" collapsed="false">
      <c r="A276" s="89" t="n">
        <v>46294</v>
      </c>
      <c r="B276" s="90" t="n">
        <f aca="false">MONTH(A276)</f>
        <v>9</v>
      </c>
      <c r="C276" s="91" t="n">
        <v>486900</v>
      </c>
      <c r="D276" s="91" t="n">
        <v>1740300</v>
      </c>
      <c r="E276" s="92" t="n">
        <f aca="false">N(C276)+N(D276)</f>
        <v>2227200</v>
      </c>
      <c r="F276" s="91" t="n">
        <v>208000</v>
      </c>
      <c r="G276" s="91" t="n">
        <v>280000</v>
      </c>
      <c r="H276" s="91" t="n">
        <v>1740300</v>
      </c>
      <c r="I276" s="92" t="n">
        <f aca="false">N(F276)+N(G276)+N(H276)</f>
        <v>2228300</v>
      </c>
      <c r="J276" s="92" t="n">
        <f aca="false">IF(AND(F276="",G276=""),0,N(C276)-N(F276)-N(G276))</f>
        <v>-1100</v>
      </c>
      <c r="K276" s="92" t="n">
        <f aca="false">IF(H276="",0,N(D276)-N(H276))</f>
        <v>0</v>
      </c>
      <c r="L276" s="91"/>
      <c r="M276" s="91"/>
      <c r="N276" s="91"/>
      <c r="O276" s="92" t="n">
        <f aca="false">IF(AND(F276="",G276=""),0,J276-N(L276)-N(M276)-N(N276))</f>
        <v>-1100</v>
      </c>
      <c r="P276" s="92" t="n">
        <f aca="false">K276+O276</f>
        <v>-1100</v>
      </c>
      <c r="Q276" s="85" t="n">
        <f aca="false">E276-P276</f>
        <v>2228300</v>
      </c>
      <c r="R276" s="91" t="n">
        <v>80</v>
      </c>
      <c r="S276" s="91" t="n">
        <v>39</v>
      </c>
      <c r="T276" s="92" t="n">
        <f aca="false">IF(N(S276)=0,"",Q276/S276)</f>
        <v>57135.8974358974</v>
      </c>
      <c r="U276" s="93" t="str">
        <f aca="false">IF(E276=0,"",IF(AND(N(C276)&gt;0,F276="",G276=""),"Belum direalisasi",IF(AND(N(D276)&gt;0,H276=""),"EDC belum settle",IF(ABS(O276)&gt;50000,"Cek selisih tunai","OK"))))</f>
        <v>OK</v>
      </c>
    </row>
    <row r="277" customFormat="false" ht="15" hidden="false" customHeight="false" outlineLevel="0" collapsed="false">
      <c r="A277" s="89" t="n">
        <v>46295</v>
      </c>
      <c r="B277" s="90" t="n">
        <f aca="false">MONTH(A277)</f>
        <v>9</v>
      </c>
      <c r="C277" s="91" t="n">
        <v>683600</v>
      </c>
      <c r="D277" s="91" t="n">
        <v>2505000</v>
      </c>
      <c r="E277" s="92" t="n">
        <f aca="false">N(C277)+N(D277)</f>
        <v>3188600</v>
      </c>
      <c r="F277" s="91" t="n">
        <v>110000</v>
      </c>
      <c r="G277" s="91" t="n">
        <v>367000</v>
      </c>
      <c r="H277" s="91" t="n">
        <v>2505000</v>
      </c>
      <c r="I277" s="92" t="n">
        <f aca="false">N(F277)+N(G277)+N(H277)</f>
        <v>2982000</v>
      </c>
      <c r="J277" s="92" t="n">
        <f aca="false">IF(AND(F277="",G277=""),0,N(C277)-N(F277)-N(G277))</f>
        <v>206600</v>
      </c>
      <c r="K277" s="92" t="n">
        <f aca="false">IF(H277="",0,N(D277)-N(H277))</f>
        <v>0</v>
      </c>
      <c r="L277" s="91"/>
      <c r="M277" s="91"/>
      <c r="N277" s="91"/>
      <c r="O277" s="92" t="n">
        <f aca="false">IF(AND(F277="",G277=""),0,J277-N(L277)-N(M277)-N(N277))</f>
        <v>206600</v>
      </c>
      <c r="P277" s="92" t="n">
        <f aca="false">K277+O277</f>
        <v>206600</v>
      </c>
      <c r="Q277" s="85" t="n">
        <f aca="false">E277-P277</f>
        <v>2982000</v>
      </c>
      <c r="R277" s="91" t="n">
        <v>113</v>
      </c>
      <c r="S277" s="91" t="n">
        <v>64</v>
      </c>
      <c r="T277" s="92" t="n">
        <f aca="false">IF(N(S277)=0,"",Q277/S277)</f>
        <v>46593.75</v>
      </c>
      <c r="U277" s="93" t="str">
        <f aca="false">IF(E277=0,"",IF(AND(N(C277)&gt;0,F277="",G277=""),"Belum direalisasi",IF(AND(N(D277)&gt;0,H277=""),"EDC belum settle",IF(ABS(O277)&gt;50000,"Cek selisih tunai","OK"))))</f>
        <v>Cek selisih tunai</v>
      </c>
    </row>
    <row r="278" customFormat="false" ht="15" hidden="false" customHeight="false" outlineLevel="0" collapsed="false">
      <c r="A278" s="94" t="n">
        <v>46296</v>
      </c>
      <c r="B278" s="95" t="n">
        <f aca="false">MONTH(A278)</f>
        <v>10</v>
      </c>
      <c r="C278" s="96" t="n">
        <v>700550</v>
      </c>
      <c r="D278" s="96" t="n">
        <v>1146300</v>
      </c>
      <c r="E278" s="97" t="n">
        <f aca="false">N(C278)+N(D278)</f>
        <v>1846850</v>
      </c>
      <c r="F278" s="96" t="n">
        <v>249000</v>
      </c>
      <c r="G278" s="96" t="n">
        <v>156000</v>
      </c>
      <c r="H278" s="96" t="n">
        <v>1146300</v>
      </c>
      <c r="I278" s="97" t="n">
        <f aca="false">N(F278)+N(G278)+N(H278)</f>
        <v>1551300</v>
      </c>
      <c r="J278" s="97" t="n">
        <f aca="false">IF(AND(F278="",G278=""),0,N(C278)-N(F278)-N(G278))</f>
        <v>295550</v>
      </c>
      <c r="K278" s="97" t="n">
        <f aca="false">IF(H278="",0,N(D278)-N(H278))</f>
        <v>0</v>
      </c>
      <c r="L278" s="96"/>
      <c r="M278" s="96"/>
      <c r="N278" s="96" t="n">
        <v>296100</v>
      </c>
      <c r="O278" s="97" t="n">
        <f aca="false">IF(AND(F278="",G278=""),0,J278-N(L278)-N(M278)-N(N278))</f>
        <v>-550</v>
      </c>
      <c r="P278" s="97" t="n">
        <f aca="false">K278+O278</f>
        <v>-550</v>
      </c>
      <c r="Q278" s="98" t="n">
        <f aca="false">E278-P278</f>
        <v>1847400</v>
      </c>
      <c r="R278" s="96" t="n">
        <v>68</v>
      </c>
      <c r="S278" s="96" t="n">
        <v>36</v>
      </c>
      <c r="T278" s="97" t="n">
        <f aca="false">IF(N(S278)=0,"",Q278/S278)</f>
        <v>51316.6666666667</v>
      </c>
      <c r="U278" s="99" t="str">
        <f aca="false">IF(E278=0,"",IF(AND(N(C278)&gt;0,F278="",G278=""),"Belum direalisasi",IF(AND(N(D278)&gt;0,H278=""),"EDC belum settle",IF(ABS(O278)&gt;50000,"Cek selisih tunai","OK"))))</f>
        <v>OK</v>
      </c>
    </row>
    <row r="279" customFormat="false" ht="15" hidden="false" customHeight="false" outlineLevel="0" collapsed="false">
      <c r="A279" s="94" t="n">
        <v>46297</v>
      </c>
      <c r="B279" s="95" t="n">
        <f aca="false">MONTH(A279)</f>
        <v>10</v>
      </c>
      <c r="C279" s="96" t="n">
        <v>763500</v>
      </c>
      <c r="D279" s="96" t="n">
        <v>2287800</v>
      </c>
      <c r="E279" s="97" t="n">
        <f aca="false">N(C279)+N(D279)</f>
        <v>3051300</v>
      </c>
      <c r="F279" s="96" t="n">
        <v>168000</v>
      </c>
      <c r="G279" s="96" t="n">
        <v>595000</v>
      </c>
      <c r="H279" s="96" t="n">
        <v>2287721</v>
      </c>
      <c r="I279" s="97" t="n">
        <f aca="false">N(F279)+N(G279)+N(H279)</f>
        <v>3050721</v>
      </c>
      <c r="J279" s="97" t="n">
        <f aca="false">IF(AND(F279="",G279=""),0,N(C279)-N(F279)-N(G279))</f>
        <v>500</v>
      </c>
      <c r="K279" s="97" t="n">
        <f aca="false">IF(H279="",0,N(D279)-N(H279))</f>
        <v>79</v>
      </c>
      <c r="L279" s="96"/>
      <c r="M279" s="96"/>
      <c r="N279" s="96"/>
      <c r="O279" s="97" t="n">
        <f aca="false">IF(AND(F279="",G279=""),0,J279-N(L279)-N(M279)-N(N279))</f>
        <v>500</v>
      </c>
      <c r="P279" s="97" t="n">
        <f aca="false">K279+O279</f>
        <v>579</v>
      </c>
      <c r="Q279" s="98" t="n">
        <f aca="false">E279-P279</f>
        <v>3050721</v>
      </c>
      <c r="R279" s="96" t="n">
        <v>145</v>
      </c>
      <c r="S279" s="96" t="n">
        <v>107</v>
      </c>
      <c r="T279" s="97" t="n">
        <f aca="false">IF(N(S279)=0,"",Q279/S279)</f>
        <v>28511.4112149533</v>
      </c>
      <c r="U279" s="99" t="str">
        <f aca="false">IF(E279=0,"",IF(AND(N(C279)&gt;0,F279="",G279=""),"Belum direalisasi",IF(AND(N(D279)&gt;0,H279=""),"EDC belum settle",IF(ABS(O279)&gt;50000,"Cek selisih tunai","OK"))))</f>
        <v>OK</v>
      </c>
    </row>
    <row r="280" customFormat="false" ht="15" hidden="false" customHeight="false" outlineLevel="0" collapsed="false">
      <c r="A280" s="94" t="n">
        <v>46298</v>
      </c>
      <c r="B280" s="95" t="n">
        <f aca="false">MONTH(A280)</f>
        <v>10</v>
      </c>
      <c r="C280" s="96" t="n">
        <v>1003500</v>
      </c>
      <c r="D280" s="96" t="n">
        <v>3387900</v>
      </c>
      <c r="E280" s="97" t="n">
        <f aca="false">N(C280)+N(D280)</f>
        <v>4391400</v>
      </c>
      <c r="F280" s="96" t="n">
        <v>170000</v>
      </c>
      <c r="G280" s="96" t="n">
        <v>700000</v>
      </c>
      <c r="H280" s="96" t="n">
        <v>3387900</v>
      </c>
      <c r="I280" s="97" t="n">
        <f aca="false">N(F280)+N(G280)+N(H280)</f>
        <v>4257900</v>
      </c>
      <c r="J280" s="97" t="n">
        <f aca="false">IF(AND(F280="",G280=""),0,N(C280)-N(F280)-N(G280))</f>
        <v>133500</v>
      </c>
      <c r="K280" s="97" t="n">
        <f aca="false">IF(H280="",0,N(D280)-N(H280))</f>
        <v>0</v>
      </c>
      <c r="L280" s="96" t="n">
        <v>133500</v>
      </c>
      <c r="M280" s="96"/>
      <c r="N280" s="96"/>
      <c r="O280" s="97" t="n">
        <f aca="false">IF(AND(F280="",G280=""),0,J280-N(L280)-N(M280)-N(N280))</f>
        <v>0</v>
      </c>
      <c r="P280" s="97" t="n">
        <f aca="false">K280+O280</f>
        <v>0</v>
      </c>
      <c r="Q280" s="98" t="n">
        <f aca="false">E280-P280</f>
        <v>4391400</v>
      </c>
      <c r="R280" s="96" t="n">
        <v>193</v>
      </c>
      <c r="S280" s="96" t="n">
        <v>132</v>
      </c>
      <c r="T280" s="97" t="n">
        <f aca="false">IF(N(S280)=0,"",Q280/S280)</f>
        <v>33268.1818181818</v>
      </c>
      <c r="U280" s="99" t="str">
        <f aca="false">IF(E280=0,"",IF(AND(N(C280)&gt;0,F280="",G280=""),"Belum direalisasi",IF(AND(N(D280)&gt;0,H280=""),"EDC belum settle",IF(ABS(O280)&gt;50000,"Cek selisih tunai","OK"))))</f>
        <v>OK</v>
      </c>
    </row>
    <row r="281" customFormat="false" ht="15" hidden="false" customHeight="false" outlineLevel="0" collapsed="false">
      <c r="A281" s="94" t="n">
        <v>46299</v>
      </c>
      <c r="B281" s="95" t="n">
        <f aca="false">MONTH(A281)</f>
        <v>10</v>
      </c>
      <c r="C281" s="96" t="n">
        <v>385000</v>
      </c>
      <c r="D281" s="96" t="n">
        <v>2380550</v>
      </c>
      <c r="E281" s="97" t="n">
        <f aca="false">N(C281)+N(D281)</f>
        <v>2765550</v>
      </c>
      <c r="F281" s="96" t="n">
        <v>84000</v>
      </c>
      <c r="G281" s="96" t="n">
        <v>302000</v>
      </c>
      <c r="H281" s="96" t="n">
        <v>2380550</v>
      </c>
      <c r="I281" s="97" t="n">
        <f aca="false">N(F281)+N(G281)+N(H281)</f>
        <v>2766550</v>
      </c>
      <c r="J281" s="97" t="n">
        <f aca="false">IF(AND(F281="",G281=""),0,N(C281)-N(F281)-N(G281))</f>
        <v>-1000</v>
      </c>
      <c r="K281" s="97" t="n">
        <f aca="false">IF(H281="",0,N(D281)-N(H281))</f>
        <v>0</v>
      </c>
      <c r="L281" s="96"/>
      <c r="M281" s="96"/>
      <c r="N281" s="96"/>
      <c r="O281" s="97" t="n">
        <f aca="false">IF(AND(F281="",G281=""),0,J281-N(L281)-N(M281)-N(N281))</f>
        <v>-1000</v>
      </c>
      <c r="P281" s="97" t="n">
        <f aca="false">K281+O281</f>
        <v>-1000</v>
      </c>
      <c r="Q281" s="98" t="n">
        <f aca="false">E281-P281</f>
        <v>2766550</v>
      </c>
      <c r="R281" s="96" t="n">
        <v>151</v>
      </c>
      <c r="S281" s="96" t="n">
        <v>102</v>
      </c>
      <c r="T281" s="97" t="n">
        <f aca="false">IF(N(S281)=0,"",Q281/S281)</f>
        <v>27123.0392156863</v>
      </c>
      <c r="U281" s="99" t="str">
        <f aca="false">IF(E281=0,"",IF(AND(N(C281)&gt;0,F281="",G281=""),"Belum direalisasi",IF(AND(N(D281)&gt;0,H281=""),"EDC belum settle",IF(ABS(O281)&gt;50000,"Cek selisih tunai","OK"))))</f>
        <v>OK</v>
      </c>
    </row>
    <row r="282" customFormat="false" ht="15" hidden="false" customHeight="false" outlineLevel="0" collapsed="false">
      <c r="A282" s="94" t="n">
        <v>46300</v>
      </c>
      <c r="B282" s="95" t="n">
        <f aca="false">MONTH(A282)</f>
        <v>10</v>
      </c>
      <c r="C282" s="96" t="n">
        <v>575800</v>
      </c>
      <c r="D282" s="96" t="n">
        <v>1758450</v>
      </c>
      <c r="E282" s="97" t="n">
        <f aca="false">N(C282)+N(D282)</f>
        <v>2334250</v>
      </c>
      <c r="F282" s="96" t="n">
        <v>0</v>
      </c>
      <c r="G282" s="96" t="n">
        <v>574000</v>
      </c>
      <c r="H282" s="96" t="n">
        <v>1733839</v>
      </c>
      <c r="I282" s="97" t="n">
        <f aca="false">N(F282)+N(G282)+N(H282)</f>
        <v>2307839</v>
      </c>
      <c r="J282" s="97" t="n">
        <f aca="false">IF(AND(F282="",G282=""),0,N(C282)-N(F282)-N(G282))</f>
        <v>1800</v>
      </c>
      <c r="K282" s="97" t="n">
        <f aca="false">IF(H282="",0,N(D282)-N(H282))</f>
        <v>24611</v>
      </c>
      <c r="L282" s="96"/>
      <c r="M282" s="96"/>
      <c r="N282" s="96" t="n">
        <v>24300</v>
      </c>
      <c r="O282" s="97" t="n">
        <f aca="false">IF(AND(F282="",G282=""),0,J282-N(L282)-N(M282)-N(N282))</f>
        <v>-22500</v>
      </c>
      <c r="P282" s="97" t="n">
        <f aca="false">K282+O282</f>
        <v>2111</v>
      </c>
      <c r="Q282" s="98" t="n">
        <f aca="false">E282-P282</f>
        <v>2332139</v>
      </c>
      <c r="R282" s="96" t="n">
        <v>82</v>
      </c>
      <c r="S282" s="96" t="n">
        <v>46</v>
      </c>
      <c r="T282" s="97" t="n">
        <f aca="false">IF(N(S282)=0,"",Q282/S282)</f>
        <v>50698.6739130435</v>
      </c>
      <c r="U282" s="99" t="str">
        <f aca="false">IF(E282=0,"",IF(AND(N(C282)&gt;0,F282="",G282=""),"Belum direalisasi",IF(AND(N(D282)&gt;0,H282=""),"EDC belum settle",IF(ABS(O282)&gt;50000,"Cek selisih tunai","OK"))))</f>
        <v>OK</v>
      </c>
    </row>
    <row r="283" customFormat="false" ht="15" hidden="false" customHeight="false" outlineLevel="0" collapsed="false">
      <c r="A283" s="94" t="n">
        <v>46301</v>
      </c>
      <c r="B283" s="95" t="n">
        <f aca="false">MONTH(A283)</f>
        <v>10</v>
      </c>
      <c r="C283" s="96" t="n">
        <v>378800</v>
      </c>
      <c r="D283" s="96" t="n">
        <v>2342800</v>
      </c>
      <c r="E283" s="97" t="n">
        <f aca="false">N(C283)+N(D283)</f>
        <v>2721600</v>
      </c>
      <c r="F283" s="96" t="n">
        <v>60000</v>
      </c>
      <c r="G283" s="96" t="n">
        <v>215000</v>
      </c>
      <c r="H283" s="96" t="n">
        <v>2273500</v>
      </c>
      <c r="I283" s="97" t="n">
        <f aca="false">N(F283)+N(G283)+N(H283)</f>
        <v>2548500</v>
      </c>
      <c r="J283" s="97" t="n">
        <f aca="false">IF(AND(F283="",G283=""),0,N(C283)-N(F283)-N(G283))</f>
        <v>103800</v>
      </c>
      <c r="K283" s="97" t="n">
        <f aca="false">IF(H283="",0,N(D283)-N(H283))</f>
        <v>69300</v>
      </c>
      <c r="L283" s="96"/>
      <c r="M283" s="96"/>
      <c r="N283" s="96" t="n">
        <v>103800</v>
      </c>
      <c r="O283" s="97" t="n">
        <f aca="false">IF(AND(F283="",G283=""),0,J283-N(L283)-N(M283)-N(N283))</f>
        <v>0</v>
      </c>
      <c r="P283" s="97" t="n">
        <f aca="false">K283+O283</f>
        <v>69300</v>
      </c>
      <c r="Q283" s="98" t="n">
        <f aca="false">E283-P283</f>
        <v>2652300</v>
      </c>
      <c r="R283" s="96"/>
      <c r="S283" s="96"/>
      <c r="T283" s="97" t="str">
        <f aca="false">IF(N(S283)=0,"",Q283/S283)</f>
        <v/>
      </c>
      <c r="U283" s="99" t="str">
        <f aca="false">IF(E283=0,"",IF(AND(N(C283)&gt;0,F283="",G283=""),"Belum direalisasi",IF(AND(N(D283)&gt;0,H283=""),"EDC belum settle",IF(ABS(O283)&gt;50000,"Cek selisih tunai","OK"))))</f>
        <v>OK</v>
      </c>
    </row>
    <row r="284" customFormat="false" ht="15" hidden="false" customHeight="false" outlineLevel="0" collapsed="false">
      <c r="A284" s="94" t="n">
        <v>46302</v>
      </c>
      <c r="B284" s="95" t="n">
        <f aca="false">MONTH(A284)</f>
        <v>10</v>
      </c>
      <c r="C284" s="96" t="n">
        <v>368100</v>
      </c>
      <c r="D284" s="96" t="n">
        <v>2643100</v>
      </c>
      <c r="E284" s="97" t="n">
        <f aca="false">N(C284)+N(D284)</f>
        <v>3011200</v>
      </c>
      <c r="F284" s="96"/>
      <c r="G284" s="96" t="n">
        <v>142000</v>
      </c>
      <c r="H284" s="96" t="n">
        <v>2712074</v>
      </c>
      <c r="I284" s="97" t="n">
        <f aca="false">N(F284)+N(G284)+N(H284)</f>
        <v>2854074</v>
      </c>
      <c r="J284" s="97" t="n">
        <f aca="false">IF(AND(F284="",G284=""),0,N(C284)-N(F284)-N(G284))</f>
        <v>226100</v>
      </c>
      <c r="K284" s="97" t="n">
        <f aca="false">IF(H284="",0,N(D284)-N(H284))</f>
        <v>-68974</v>
      </c>
      <c r="L284" s="96"/>
      <c r="M284" s="96"/>
      <c r="N284" s="96"/>
      <c r="O284" s="97" t="n">
        <f aca="false">IF(AND(F284="",G284=""),0,J284-N(L284)-N(M284)-N(N284))</f>
        <v>226100</v>
      </c>
      <c r="P284" s="97" t="n">
        <f aca="false">K284+O284</f>
        <v>157126</v>
      </c>
      <c r="Q284" s="98" t="n">
        <f aca="false">E284-P284</f>
        <v>2854074</v>
      </c>
      <c r="R284" s="96"/>
      <c r="S284" s="96"/>
      <c r="T284" s="97" t="str">
        <f aca="false">IF(N(S284)=0,"",Q284/S284)</f>
        <v/>
      </c>
      <c r="U284" s="99" t="str">
        <f aca="false">IF(E284=0,"",IF(AND(N(C284)&gt;0,F284="",G284=""),"Belum direalisasi",IF(AND(N(D284)&gt;0,H284=""),"EDC belum settle",IF(ABS(O284)&gt;50000,"Cek selisih tunai","OK"))))</f>
        <v>Cek selisih tunai</v>
      </c>
    </row>
    <row r="285" customFormat="false" ht="15" hidden="false" customHeight="false" outlineLevel="0" collapsed="false">
      <c r="A285" s="94" t="n">
        <v>46303</v>
      </c>
      <c r="B285" s="95" t="n">
        <f aca="false">MONTH(A285)</f>
        <v>10</v>
      </c>
      <c r="C285" s="96" t="n">
        <v>694000</v>
      </c>
      <c r="D285" s="96" t="n">
        <v>1484350</v>
      </c>
      <c r="E285" s="97" t="n">
        <f aca="false">N(C285)+N(D285)</f>
        <v>2178350</v>
      </c>
      <c r="F285" s="96" t="n">
        <v>30000</v>
      </c>
      <c r="G285" s="96" t="n">
        <v>610000</v>
      </c>
      <c r="H285" s="96" t="n">
        <v>1484350</v>
      </c>
      <c r="I285" s="97" t="n">
        <f aca="false">N(F285)+N(G285)+N(H285)</f>
        <v>2124350</v>
      </c>
      <c r="J285" s="97" t="n">
        <f aca="false">IF(AND(F285="",G285=""),0,N(C285)-N(F285)-N(G285))</f>
        <v>54000</v>
      </c>
      <c r="K285" s="97" t="n">
        <f aca="false">IF(H285="",0,N(D285)-N(H285))</f>
        <v>0</v>
      </c>
      <c r="L285" s="96"/>
      <c r="M285" s="96"/>
      <c r="N285" s="96"/>
      <c r="O285" s="97" t="n">
        <f aca="false">IF(AND(F285="",G285=""),0,J285-N(L285)-N(M285)-N(N285))</f>
        <v>54000</v>
      </c>
      <c r="P285" s="97" t="n">
        <f aca="false">K285+O285</f>
        <v>54000</v>
      </c>
      <c r="Q285" s="98" t="n">
        <f aca="false">E285-P285</f>
        <v>2124350</v>
      </c>
      <c r="R285" s="96"/>
      <c r="S285" s="96"/>
      <c r="T285" s="97" t="str">
        <f aca="false">IF(N(S285)=0,"",Q285/S285)</f>
        <v/>
      </c>
      <c r="U285" s="99" t="str">
        <f aca="false">IF(E285=0,"",IF(AND(N(C285)&gt;0,F285="",G285=""),"Belum direalisasi",IF(AND(N(D285)&gt;0,H285=""),"EDC belum settle",IF(ABS(O285)&gt;50000,"Cek selisih tunai","OK"))))</f>
        <v>Cek selisih tunai</v>
      </c>
    </row>
    <row r="286" customFormat="false" ht="15" hidden="false" customHeight="false" outlineLevel="0" collapsed="false">
      <c r="A286" s="94" t="n">
        <v>46304</v>
      </c>
      <c r="B286" s="95" t="n">
        <f aca="false">MONTH(A286)</f>
        <v>10</v>
      </c>
      <c r="C286" s="96" t="n">
        <v>782500</v>
      </c>
      <c r="D286" s="96" t="n">
        <v>2865550</v>
      </c>
      <c r="E286" s="97" t="n">
        <f aca="false">N(C286)+N(D286)</f>
        <v>3648050</v>
      </c>
      <c r="F286" s="96"/>
      <c r="G286" s="96"/>
      <c r="H286" s="96" t="n">
        <v>2865460</v>
      </c>
      <c r="I286" s="97" t="n">
        <f aca="false">N(F286)+N(G286)+N(H286)</f>
        <v>2865460</v>
      </c>
      <c r="J286" s="97" t="n">
        <f aca="false">IF(AND(F286="",G286=""),0,N(C286)-N(F286)-N(G286))</f>
        <v>0</v>
      </c>
      <c r="K286" s="97" t="n">
        <f aca="false">IF(H286="",0,N(D286)-N(H286))</f>
        <v>90</v>
      </c>
      <c r="L286" s="96"/>
      <c r="M286" s="96"/>
      <c r="N286" s="96"/>
      <c r="O286" s="97" t="n">
        <f aca="false">IF(AND(F286="",G286=""),0,J286-N(L286)-N(M286)-N(N286))</f>
        <v>0</v>
      </c>
      <c r="P286" s="97" t="n">
        <f aca="false">K286+O286</f>
        <v>90</v>
      </c>
      <c r="Q286" s="98" t="n">
        <f aca="false">E286-P286</f>
        <v>3647960</v>
      </c>
      <c r="R286" s="96"/>
      <c r="S286" s="96"/>
      <c r="T286" s="97" t="str">
        <f aca="false">IF(N(S286)=0,"",Q286/S286)</f>
        <v/>
      </c>
      <c r="U286" s="99" t="str">
        <f aca="false">IF(E286=0,"",IF(AND(N(C286)&gt;0,F286="",G286=""),"Belum direalisasi",IF(AND(N(D286)&gt;0,H286=""),"EDC belum settle",IF(ABS(O286)&gt;50000,"Cek selisih tunai","OK"))))</f>
        <v>Belum direalisasi</v>
      </c>
    </row>
    <row r="287" customFormat="false" ht="15" hidden="false" customHeight="false" outlineLevel="0" collapsed="false">
      <c r="A287" s="94" t="n">
        <v>46305</v>
      </c>
      <c r="B287" s="95" t="n">
        <f aca="false">MONTH(A287)</f>
        <v>10</v>
      </c>
      <c r="C287" s="96" t="n">
        <v>756400</v>
      </c>
      <c r="D287" s="96" t="n">
        <v>3572600</v>
      </c>
      <c r="E287" s="97" t="n">
        <f aca="false">N(C287)+N(D287)</f>
        <v>4329000</v>
      </c>
      <c r="F287" s="96"/>
      <c r="G287" s="96"/>
      <c r="H287" s="96" t="n">
        <v>3447600</v>
      </c>
      <c r="I287" s="97" t="n">
        <f aca="false">N(F287)+N(G287)+N(H287)</f>
        <v>3447600</v>
      </c>
      <c r="J287" s="97" t="n">
        <f aca="false">IF(AND(F287="",G287=""),0,N(C287)-N(F287)-N(G287))</f>
        <v>0</v>
      </c>
      <c r="K287" s="97" t="n">
        <f aca="false">IF(H287="",0,N(D287)-N(H287))</f>
        <v>125000</v>
      </c>
      <c r="L287" s="96"/>
      <c r="M287" s="96"/>
      <c r="N287" s="96"/>
      <c r="O287" s="97" t="n">
        <f aca="false">IF(AND(F287="",G287=""),0,J287-N(L287)-N(M287)-N(N287))</f>
        <v>0</v>
      </c>
      <c r="P287" s="97" t="n">
        <f aca="false">K287+O287</f>
        <v>125000</v>
      </c>
      <c r="Q287" s="98" t="n">
        <f aca="false">E287-P287</f>
        <v>4204000</v>
      </c>
      <c r="R287" s="96"/>
      <c r="S287" s="96"/>
      <c r="T287" s="97" t="str">
        <f aca="false">IF(N(S287)=0,"",Q287/S287)</f>
        <v/>
      </c>
      <c r="U287" s="99" t="str">
        <f aca="false">IF(E287=0,"",IF(AND(N(C287)&gt;0,F287="",G287=""),"Belum direalisasi",IF(AND(N(D287)&gt;0,H287=""),"EDC belum settle",IF(ABS(O287)&gt;50000,"Cek selisih tunai","OK"))))</f>
        <v>Belum direalisasi</v>
      </c>
    </row>
    <row r="288" customFormat="false" ht="15" hidden="false" customHeight="false" outlineLevel="0" collapsed="false">
      <c r="A288" s="94" t="n">
        <v>46306</v>
      </c>
      <c r="B288" s="95" t="n">
        <f aca="false">MONTH(A288)</f>
        <v>10</v>
      </c>
      <c r="C288" s="96" t="n">
        <v>557800</v>
      </c>
      <c r="D288" s="96" t="n">
        <v>2334550</v>
      </c>
      <c r="E288" s="97" t="n">
        <f aca="false">N(C288)+N(D288)</f>
        <v>2892350</v>
      </c>
      <c r="F288" s="96"/>
      <c r="G288" s="96"/>
      <c r="H288" s="96" t="n">
        <v>2406762</v>
      </c>
      <c r="I288" s="97" t="n">
        <f aca="false">N(F288)+N(G288)+N(H288)</f>
        <v>2406762</v>
      </c>
      <c r="J288" s="97" t="n">
        <f aca="false">IF(AND(F288="",G288=""),0,N(C288)-N(F288)-N(G288))</f>
        <v>0</v>
      </c>
      <c r="K288" s="97" t="n">
        <f aca="false">IF(H288="",0,N(D288)-N(H288))</f>
        <v>-72212</v>
      </c>
      <c r="L288" s="96"/>
      <c r="M288" s="96"/>
      <c r="N288" s="96"/>
      <c r="O288" s="97" t="n">
        <f aca="false">IF(AND(F288="",G288=""),0,J288-N(L288)-N(M288)-N(N288))</f>
        <v>0</v>
      </c>
      <c r="P288" s="97" t="n">
        <f aca="false">K288+O288</f>
        <v>-72212</v>
      </c>
      <c r="Q288" s="98" t="n">
        <f aca="false">E288-P288</f>
        <v>2964562</v>
      </c>
      <c r="R288" s="96"/>
      <c r="S288" s="96"/>
      <c r="T288" s="97" t="str">
        <f aca="false">IF(N(S288)=0,"",Q288/S288)</f>
        <v/>
      </c>
      <c r="U288" s="99" t="str">
        <f aca="false">IF(E288=0,"",IF(AND(N(C288)&gt;0,F288="",G288=""),"Belum direalisasi",IF(AND(N(D288)&gt;0,H288=""),"EDC belum settle",IF(ABS(O288)&gt;50000,"Cek selisih tunai","OK"))))</f>
        <v>Belum direalisasi</v>
      </c>
    </row>
    <row r="289" customFormat="false" ht="15" hidden="false" customHeight="false" outlineLevel="0" collapsed="false">
      <c r="A289" s="94" t="n">
        <v>46307</v>
      </c>
      <c r="B289" s="95" t="n">
        <f aca="false">MONTH(A289)</f>
        <v>10</v>
      </c>
      <c r="C289" s="96"/>
      <c r="D289" s="96"/>
      <c r="E289" s="97" t="n">
        <f aca="false">N(C289)+N(D289)</f>
        <v>0</v>
      </c>
      <c r="F289" s="96"/>
      <c r="G289" s="96"/>
      <c r="H289" s="96"/>
      <c r="I289" s="97" t="n">
        <f aca="false">N(F289)+N(G289)+N(H289)</f>
        <v>0</v>
      </c>
      <c r="J289" s="97" t="n">
        <f aca="false">IF(AND(F289="",G289=""),0,N(C289)-N(F289)-N(G289))</f>
        <v>0</v>
      </c>
      <c r="K289" s="97" t="n">
        <f aca="false">IF(H289="",0,N(D289)-N(H289))</f>
        <v>0</v>
      </c>
      <c r="L289" s="96"/>
      <c r="M289" s="96"/>
      <c r="N289" s="96"/>
      <c r="O289" s="97" t="n">
        <f aca="false">IF(AND(F289="",G289=""),0,J289-N(L289)-N(M289)-N(N289))</f>
        <v>0</v>
      </c>
      <c r="P289" s="97" t="n">
        <f aca="false">K289+O289</f>
        <v>0</v>
      </c>
      <c r="Q289" s="98" t="n">
        <f aca="false">E289-P289</f>
        <v>0</v>
      </c>
      <c r="R289" s="96"/>
      <c r="S289" s="96"/>
      <c r="T289" s="97" t="str">
        <f aca="false">IF(N(S289)=0,"",Q289/S289)</f>
        <v/>
      </c>
      <c r="U289" s="99" t="str">
        <f aca="false">IF(E289=0,"",IF(AND(N(C289)&gt;0,F289="",G289=""),"Belum direalisasi",IF(AND(N(D289)&gt;0,H289=""),"EDC belum settle",IF(ABS(O289)&gt;50000,"Cek selisih tunai","OK"))))</f>
        <v/>
      </c>
    </row>
    <row r="290" customFormat="false" ht="15" hidden="false" customHeight="false" outlineLevel="0" collapsed="false">
      <c r="A290" s="94" t="n">
        <v>46308</v>
      </c>
      <c r="B290" s="95" t="n">
        <f aca="false">MONTH(A290)</f>
        <v>10</v>
      </c>
      <c r="C290" s="96"/>
      <c r="D290" s="96"/>
      <c r="E290" s="97" t="n">
        <f aca="false">N(C290)+N(D290)</f>
        <v>0</v>
      </c>
      <c r="F290" s="96"/>
      <c r="G290" s="96"/>
      <c r="H290" s="96"/>
      <c r="I290" s="97" t="n">
        <f aca="false">N(F290)+N(G290)+N(H290)</f>
        <v>0</v>
      </c>
      <c r="J290" s="97" t="n">
        <f aca="false">IF(AND(F290="",G290=""),0,N(C290)-N(F290)-N(G290))</f>
        <v>0</v>
      </c>
      <c r="K290" s="97" t="n">
        <f aca="false">IF(H290="",0,N(D290)-N(H290))</f>
        <v>0</v>
      </c>
      <c r="L290" s="96"/>
      <c r="M290" s="96"/>
      <c r="N290" s="96"/>
      <c r="O290" s="97" t="n">
        <f aca="false">IF(AND(F290="",G290=""),0,J290-N(L290)-N(M290)-N(N290))</f>
        <v>0</v>
      </c>
      <c r="P290" s="97" t="n">
        <f aca="false">K290+O290</f>
        <v>0</v>
      </c>
      <c r="Q290" s="98" t="n">
        <f aca="false">E290-P290</f>
        <v>0</v>
      </c>
      <c r="R290" s="96"/>
      <c r="S290" s="96"/>
      <c r="T290" s="97" t="str">
        <f aca="false">IF(N(S290)=0,"",Q290/S290)</f>
        <v/>
      </c>
      <c r="U290" s="99" t="str">
        <f aca="false">IF(E290=0,"",IF(AND(N(C290)&gt;0,F290="",G290=""),"Belum direalisasi",IF(AND(N(D290)&gt;0,H290=""),"EDC belum settle",IF(ABS(O290)&gt;50000,"Cek selisih tunai","OK"))))</f>
        <v/>
      </c>
    </row>
    <row r="291" customFormat="false" ht="15" hidden="false" customHeight="false" outlineLevel="0" collapsed="false">
      <c r="A291" s="94" t="n">
        <v>46309</v>
      </c>
      <c r="B291" s="95" t="n">
        <f aca="false">MONTH(A291)</f>
        <v>10</v>
      </c>
      <c r="C291" s="96"/>
      <c r="D291" s="96"/>
      <c r="E291" s="97" t="n">
        <f aca="false">N(C291)+N(D291)</f>
        <v>0</v>
      </c>
      <c r="F291" s="96"/>
      <c r="G291" s="96"/>
      <c r="H291" s="96"/>
      <c r="I291" s="97" t="n">
        <f aca="false">N(F291)+N(G291)+N(H291)</f>
        <v>0</v>
      </c>
      <c r="J291" s="97" t="n">
        <f aca="false">IF(AND(F291="",G291=""),0,N(C291)-N(F291)-N(G291))</f>
        <v>0</v>
      </c>
      <c r="K291" s="97" t="n">
        <f aca="false">IF(H291="",0,N(D291)-N(H291))</f>
        <v>0</v>
      </c>
      <c r="L291" s="96"/>
      <c r="M291" s="96"/>
      <c r="N291" s="96"/>
      <c r="O291" s="97" t="n">
        <f aca="false">IF(AND(F291="",G291=""),0,J291-N(L291)-N(M291)-N(N291))</f>
        <v>0</v>
      </c>
      <c r="P291" s="97" t="n">
        <f aca="false">K291+O291</f>
        <v>0</v>
      </c>
      <c r="Q291" s="98" t="n">
        <f aca="false">E291-P291</f>
        <v>0</v>
      </c>
      <c r="R291" s="96"/>
      <c r="S291" s="96"/>
      <c r="T291" s="97" t="str">
        <f aca="false">IF(N(S291)=0,"",Q291/S291)</f>
        <v/>
      </c>
      <c r="U291" s="99" t="str">
        <f aca="false">IF(E291=0,"",IF(AND(N(C291)&gt;0,F291="",G291=""),"Belum direalisasi",IF(AND(N(D291)&gt;0,H291=""),"EDC belum settle",IF(ABS(O291)&gt;50000,"Cek selisih tunai","OK"))))</f>
        <v/>
      </c>
    </row>
    <row r="292" customFormat="false" ht="15" hidden="false" customHeight="false" outlineLevel="0" collapsed="false">
      <c r="A292" s="94" t="n">
        <v>46310</v>
      </c>
      <c r="B292" s="95" t="n">
        <f aca="false">MONTH(A292)</f>
        <v>10</v>
      </c>
      <c r="C292" s="96"/>
      <c r="D292" s="96"/>
      <c r="E292" s="97" t="n">
        <f aca="false">N(C292)+N(D292)</f>
        <v>0</v>
      </c>
      <c r="F292" s="96"/>
      <c r="G292" s="96"/>
      <c r="H292" s="96"/>
      <c r="I292" s="97" t="n">
        <f aca="false">N(F292)+N(G292)+N(H292)</f>
        <v>0</v>
      </c>
      <c r="J292" s="97" t="n">
        <f aca="false">IF(AND(F292="",G292=""),0,N(C292)-N(F292)-N(G292))</f>
        <v>0</v>
      </c>
      <c r="K292" s="97" t="n">
        <f aca="false">IF(H292="",0,N(D292)-N(H292))</f>
        <v>0</v>
      </c>
      <c r="L292" s="96"/>
      <c r="M292" s="96"/>
      <c r="N292" s="96"/>
      <c r="O292" s="97" t="n">
        <f aca="false">IF(AND(F292="",G292=""),0,J292-N(L292)-N(M292)-N(N292))</f>
        <v>0</v>
      </c>
      <c r="P292" s="97" t="n">
        <f aca="false">K292+O292</f>
        <v>0</v>
      </c>
      <c r="Q292" s="98" t="n">
        <f aca="false">E292-P292</f>
        <v>0</v>
      </c>
      <c r="R292" s="96"/>
      <c r="S292" s="96"/>
      <c r="T292" s="97" t="str">
        <f aca="false">IF(N(S292)=0,"",Q292/S292)</f>
        <v/>
      </c>
      <c r="U292" s="99" t="str">
        <f aca="false">IF(E292=0,"",IF(AND(N(C292)&gt;0,F292="",G292=""),"Belum direalisasi",IF(AND(N(D292)&gt;0,H292=""),"EDC belum settle",IF(ABS(O292)&gt;50000,"Cek selisih tunai","OK"))))</f>
        <v/>
      </c>
    </row>
    <row r="293" customFormat="false" ht="15" hidden="false" customHeight="false" outlineLevel="0" collapsed="false">
      <c r="A293" s="94" t="n">
        <v>46311</v>
      </c>
      <c r="B293" s="95" t="n">
        <f aca="false">MONTH(A293)</f>
        <v>10</v>
      </c>
      <c r="C293" s="96"/>
      <c r="D293" s="96"/>
      <c r="E293" s="97" t="n">
        <f aca="false">N(C293)+N(D293)</f>
        <v>0</v>
      </c>
      <c r="F293" s="96"/>
      <c r="G293" s="96"/>
      <c r="H293" s="96"/>
      <c r="I293" s="97" t="n">
        <f aca="false">N(F293)+N(G293)+N(H293)</f>
        <v>0</v>
      </c>
      <c r="J293" s="97" t="n">
        <f aca="false">IF(AND(F293="",G293=""),0,N(C293)-N(F293)-N(G293))</f>
        <v>0</v>
      </c>
      <c r="K293" s="97" t="n">
        <f aca="false">IF(H293="",0,N(D293)-N(H293))</f>
        <v>0</v>
      </c>
      <c r="L293" s="96"/>
      <c r="M293" s="96"/>
      <c r="N293" s="96"/>
      <c r="O293" s="97" t="n">
        <f aca="false">IF(AND(F293="",G293=""),0,J293-N(L293)-N(M293)-N(N293))</f>
        <v>0</v>
      </c>
      <c r="P293" s="97" t="n">
        <f aca="false">K293+O293</f>
        <v>0</v>
      </c>
      <c r="Q293" s="98" t="n">
        <f aca="false">E293-P293</f>
        <v>0</v>
      </c>
      <c r="R293" s="96"/>
      <c r="S293" s="96"/>
      <c r="T293" s="97" t="str">
        <f aca="false">IF(N(S293)=0,"",Q293/S293)</f>
        <v/>
      </c>
      <c r="U293" s="99" t="str">
        <f aca="false">IF(E293=0,"",IF(AND(N(C293)&gt;0,F293="",G293=""),"Belum direalisasi",IF(AND(N(D293)&gt;0,H293=""),"EDC belum settle",IF(ABS(O293)&gt;50000,"Cek selisih tunai","OK"))))</f>
        <v/>
      </c>
    </row>
    <row r="294" customFormat="false" ht="15" hidden="false" customHeight="false" outlineLevel="0" collapsed="false">
      <c r="A294" s="94" t="n">
        <v>46312</v>
      </c>
      <c r="B294" s="95" t="n">
        <f aca="false">MONTH(A294)</f>
        <v>10</v>
      </c>
      <c r="C294" s="96"/>
      <c r="D294" s="96"/>
      <c r="E294" s="97" t="n">
        <f aca="false">N(C294)+N(D294)</f>
        <v>0</v>
      </c>
      <c r="F294" s="96"/>
      <c r="G294" s="96"/>
      <c r="H294" s="96"/>
      <c r="I294" s="97" t="n">
        <f aca="false">N(F294)+N(G294)+N(H294)</f>
        <v>0</v>
      </c>
      <c r="J294" s="97" t="n">
        <f aca="false">IF(AND(F294="",G294=""),0,N(C294)-N(F294)-N(G294))</f>
        <v>0</v>
      </c>
      <c r="K294" s="97" t="n">
        <f aca="false">IF(H294="",0,N(D294)-N(H294))</f>
        <v>0</v>
      </c>
      <c r="L294" s="96"/>
      <c r="M294" s="96"/>
      <c r="N294" s="96"/>
      <c r="O294" s="97" t="n">
        <f aca="false">IF(AND(F294="",G294=""),0,J294-N(L294)-N(M294)-N(N294))</f>
        <v>0</v>
      </c>
      <c r="P294" s="97" t="n">
        <f aca="false">K294+O294</f>
        <v>0</v>
      </c>
      <c r="Q294" s="98" t="n">
        <f aca="false">E294-P294</f>
        <v>0</v>
      </c>
      <c r="R294" s="96"/>
      <c r="S294" s="96"/>
      <c r="T294" s="97" t="str">
        <f aca="false">IF(N(S294)=0,"",Q294/S294)</f>
        <v/>
      </c>
      <c r="U294" s="99" t="str">
        <f aca="false">IF(E294=0,"",IF(AND(N(C294)&gt;0,F294="",G294=""),"Belum direalisasi",IF(AND(N(D294)&gt;0,H294=""),"EDC belum settle",IF(ABS(O294)&gt;50000,"Cek selisih tunai","OK"))))</f>
        <v/>
      </c>
    </row>
    <row r="295" customFormat="false" ht="15" hidden="false" customHeight="false" outlineLevel="0" collapsed="false">
      <c r="A295" s="94" t="n">
        <v>46313</v>
      </c>
      <c r="B295" s="95" t="n">
        <f aca="false">MONTH(A295)</f>
        <v>10</v>
      </c>
      <c r="C295" s="96"/>
      <c r="D295" s="96"/>
      <c r="E295" s="97" t="n">
        <f aca="false">N(C295)+N(D295)</f>
        <v>0</v>
      </c>
      <c r="F295" s="96"/>
      <c r="G295" s="96"/>
      <c r="H295" s="96"/>
      <c r="I295" s="97" t="n">
        <f aca="false">N(F295)+N(G295)+N(H295)</f>
        <v>0</v>
      </c>
      <c r="J295" s="97" t="n">
        <f aca="false">IF(AND(F295="",G295=""),0,N(C295)-N(F295)-N(G295))</f>
        <v>0</v>
      </c>
      <c r="K295" s="97" t="n">
        <f aca="false">IF(H295="",0,N(D295)-N(H295))</f>
        <v>0</v>
      </c>
      <c r="L295" s="96"/>
      <c r="M295" s="96"/>
      <c r="N295" s="96"/>
      <c r="O295" s="97" t="n">
        <f aca="false">IF(AND(F295="",G295=""),0,J295-N(L295)-N(M295)-N(N295))</f>
        <v>0</v>
      </c>
      <c r="P295" s="97" t="n">
        <f aca="false">K295+O295</f>
        <v>0</v>
      </c>
      <c r="Q295" s="98" t="n">
        <f aca="false">E295-P295</f>
        <v>0</v>
      </c>
      <c r="R295" s="96"/>
      <c r="S295" s="96"/>
      <c r="T295" s="97" t="str">
        <f aca="false">IF(N(S295)=0,"",Q295/S295)</f>
        <v/>
      </c>
      <c r="U295" s="99" t="str">
        <f aca="false">IF(E295=0,"",IF(AND(N(C295)&gt;0,F295="",G295=""),"Belum direalisasi",IF(AND(N(D295)&gt;0,H295=""),"EDC belum settle",IF(ABS(O295)&gt;50000,"Cek selisih tunai","OK"))))</f>
        <v/>
      </c>
    </row>
    <row r="296" customFormat="false" ht="15" hidden="false" customHeight="false" outlineLevel="0" collapsed="false">
      <c r="A296" s="94" t="n">
        <v>46314</v>
      </c>
      <c r="B296" s="95" t="n">
        <f aca="false">MONTH(A296)</f>
        <v>10</v>
      </c>
      <c r="C296" s="96"/>
      <c r="D296" s="96"/>
      <c r="E296" s="97" t="n">
        <f aca="false">N(C296)+N(D296)</f>
        <v>0</v>
      </c>
      <c r="F296" s="96"/>
      <c r="G296" s="96"/>
      <c r="H296" s="96"/>
      <c r="I296" s="97" t="n">
        <f aca="false">N(F296)+N(G296)+N(H296)</f>
        <v>0</v>
      </c>
      <c r="J296" s="97" t="n">
        <f aca="false">IF(AND(F296="",G296=""),0,N(C296)-N(F296)-N(G296))</f>
        <v>0</v>
      </c>
      <c r="K296" s="97" t="n">
        <f aca="false">IF(H296="",0,N(D296)-N(H296))</f>
        <v>0</v>
      </c>
      <c r="L296" s="96"/>
      <c r="M296" s="96"/>
      <c r="N296" s="96"/>
      <c r="O296" s="97" t="n">
        <f aca="false">IF(AND(F296="",G296=""),0,J296-N(L296)-N(M296)-N(N296))</f>
        <v>0</v>
      </c>
      <c r="P296" s="97" t="n">
        <f aca="false">K296+O296</f>
        <v>0</v>
      </c>
      <c r="Q296" s="98" t="n">
        <f aca="false">E296-P296</f>
        <v>0</v>
      </c>
      <c r="R296" s="96"/>
      <c r="S296" s="96"/>
      <c r="T296" s="97" t="str">
        <f aca="false">IF(N(S296)=0,"",Q296/S296)</f>
        <v/>
      </c>
      <c r="U296" s="99" t="str">
        <f aca="false">IF(E296=0,"",IF(AND(N(C296)&gt;0,F296="",G296=""),"Belum direalisasi",IF(AND(N(D296)&gt;0,H296=""),"EDC belum settle",IF(ABS(O296)&gt;50000,"Cek selisih tunai","OK"))))</f>
        <v/>
      </c>
    </row>
    <row r="297" customFormat="false" ht="15" hidden="false" customHeight="false" outlineLevel="0" collapsed="false">
      <c r="A297" s="94" t="n">
        <v>46315</v>
      </c>
      <c r="B297" s="95" t="n">
        <f aca="false">MONTH(A297)</f>
        <v>10</v>
      </c>
      <c r="C297" s="96"/>
      <c r="D297" s="96"/>
      <c r="E297" s="97" t="n">
        <f aca="false">N(C297)+N(D297)</f>
        <v>0</v>
      </c>
      <c r="F297" s="96"/>
      <c r="G297" s="96"/>
      <c r="H297" s="96"/>
      <c r="I297" s="97" t="n">
        <f aca="false">N(F297)+N(G297)+N(H297)</f>
        <v>0</v>
      </c>
      <c r="J297" s="97" t="n">
        <f aca="false">IF(AND(F297="",G297=""),0,N(C297)-N(F297)-N(G297))</f>
        <v>0</v>
      </c>
      <c r="K297" s="97" t="n">
        <f aca="false">IF(H297="",0,N(D297)-N(H297))</f>
        <v>0</v>
      </c>
      <c r="L297" s="96"/>
      <c r="M297" s="96"/>
      <c r="N297" s="96"/>
      <c r="O297" s="97" t="n">
        <f aca="false">IF(AND(F297="",G297=""),0,J297-N(L297)-N(M297)-N(N297))</f>
        <v>0</v>
      </c>
      <c r="P297" s="97" t="n">
        <f aca="false">K297+O297</f>
        <v>0</v>
      </c>
      <c r="Q297" s="98" t="n">
        <f aca="false">E297-P297</f>
        <v>0</v>
      </c>
      <c r="R297" s="96"/>
      <c r="S297" s="96"/>
      <c r="T297" s="97" t="str">
        <f aca="false">IF(N(S297)=0,"",Q297/S297)</f>
        <v/>
      </c>
      <c r="U297" s="99" t="str">
        <f aca="false">IF(E297=0,"",IF(AND(N(C297)&gt;0,F297="",G297=""),"Belum direalisasi",IF(AND(N(D297)&gt;0,H297=""),"EDC belum settle",IF(ABS(O297)&gt;50000,"Cek selisih tunai","OK"))))</f>
        <v/>
      </c>
    </row>
    <row r="298" customFormat="false" ht="15" hidden="false" customHeight="false" outlineLevel="0" collapsed="false">
      <c r="A298" s="94" t="n">
        <v>46316</v>
      </c>
      <c r="B298" s="95" t="n">
        <f aca="false">MONTH(A298)</f>
        <v>10</v>
      </c>
      <c r="C298" s="96"/>
      <c r="D298" s="96"/>
      <c r="E298" s="97" t="n">
        <f aca="false">N(C298)+N(D298)</f>
        <v>0</v>
      </c>
      <c r="F298" s="96"/>
      <c r="G298" s="96"/>
      <c r="H298" s="96"/>
      <c r="I298" s="97" t="n">
        <f aca="false">N(F298)+N(G298)+N(H298)</f>
        <v>0</v>
      </c>
      <c r="J298" s="97" t="n">
        <f aca="false">IF(AND(F298="",G298=""),0,N(C298)-N(F298)-N(G298))</f>
        <v>0</v>
      </c>
      <c r="K298" s="97" t="n">
        <f aca="false">IF(H298="",0,N(D298)-N(H298))</f>
        <v>0</v>
      </c>
      <c r="L298" s="96"/>
      <c r="M298" s="96"/>
      <c r="N298" s="96"/>
      <c r="O298" s="97" t="n">
        <f aca="false">IF(AND(F298="",G298=""),0,J298-N(L298)-N(M298)-N(N298))</f>
        <v>0</v>
      </c>
      <c r="P298" s="97" t="n">
        <f aca="false">K298+O298</f>
        <v>0</v>
      </c>
      <c r="Q298" s="98" t="n">
        <f aca="false">E298-P298</f>
        <v>0</v>
      </c>
      <c r="R298" s="96"/>
      <c r="S298" s="96"/>
      <c r="T298" s="97" t="str">
        <f aca="false">IF(N(S298)=0,"",Q298/S298)</f>
        <v/>
      </c>
      <c r="U298" s="99" t="str">
        <f aca="false">IF(E298=0,"",IF(AND(N(C298)&gt;0,F298="",G298=""),"Belum direalisasi",IF(AND(N(D298)&gt;0,H298=""),"EDC belum settle",IF(ABS(O298)&gt;50000,"Cek selisih tunai","OK"))))</f>
        <v/>
      </c>
    </row>
    <row r="299" customFormat="false" ht="15" hidden="false" customHeight="false" outlineLevel="0" collapsed="false">
      <c r="A299" s="94" t="n">
        <v>46317</v>
      </c>
      <c r="B299" s="95" t="n">
        <f aca="false">MONTH(A299)</f>
        <v>10</v>
      </c>
      <c r="C299" s="96"/>
      <c r="D299" s="96"/>
      <c r="E299" s="97" t="n">
        <f aca="false">N(C299)+N(D299)</f>
        <v>0</v>
      </c>
      <c r="F299" s="96"/>
      <c r="G299" s="96"/>
      <c r="H299" s="96"/>
      <c r="I299" s="97" t="n">
        <f aca="false">N(F299)+N(G299)+N(H299)</f>
        <v>0</v>
      </c>
      <c r="J299" s="97" t="n">
        <f aca="false">IF(AND(F299="",G299=""),0,N(C299)-N(F299)-N(G299))</f>
        <v>0</v>
      </c>
      <c r="K299" s="97" t="n">
        <f aca="false">IF(H299="",0,N(D299)-N(H299))</f>
        <v>0</v>
      </c>
      <c r="L299" s="96"/>
      <c r="M299" s="96"/>
      <c r="N299" s="96"/>
      <c r="O299" s="97" t="n">
        <f aca="false">IF(AND(F299="",G299=""),0,J299-N(L299)-N(M299)-N(N299))</f>
        <v>0</v>
      </c>
      <c r="P299" s="97" t="n">
        <f aca="false">K299+O299</f>
        <v>0</v>
      </c>
      <c r="Q299" s="98" t="n">
        <f aca="false">E299-P299</f>
        <v>0</v>
      </c>
      <c r="R299" s="96"/>
      <c r="S299" s="96"/>
      <c r="T299" s="97" t="str">
        <f aca="false">IF(N(S299)=0,"",Q299/S299)</f>
        <v/>
      </c>
      <c r="U299" s="99" t="str">
        <f aca="false">IF(E299=0,"",IF(AND(N(C299)&gt;0,F299="",G299=""),"Belum direalisasi",IF(AND(N(D299)&gt;0,H299=""),"EDC belum settle",IF(ABS(O299)&gt;50000,"Cek selisih tunai","OK"))))</f>
        <v/>
      </c>
    </row>
    <row r="300" customFormat="false" ht="15" hidden="false" customHeight="false" outlineLevel="0" collapsed="false">
      <c r="A300" s="94" t="n">
        <v>46318</v>
      </c>
      <c r="B300" s="95" t="n">
        <f aca="false">MONTH(A300)</f>
        <v>10</v>
      </c>
      <c r="C300" s="96"/>
      <c r="D300" s="96"/>
      <c r="E300" s="97" t="n">
        <f aca="false">N(C300)+N(D300)</f>
        <v>0</v>
      </c>
      <c r="F300" s="96"/>
      <c r="G300" s="96"/>
      <c r="H300" s="96"/>
      <c r="I300" s="97" t="n">
        <f aca="false">N(F300)+N(G300)+N(H300)</f>
        <v>0</v>
      </c>
      <c r="J300" s="97" t="n">
        <f aca="false">IF(AND(F300="",G300=""),0,N(C300)-N(F300)-N(G300))</f>
        <v>0</v>
      </c>
      <c r="K300" s="97" t="n">
        <f aca="false">IF(H300="",0,N(D300)-N(H300))</f>
        <v>0</v>
      </c>
      <c r="L300" s="96"/>
      <c r="M300" s="96"/>
      <c r="N300" s="96"/>
      <c r="O300" s="97" t="n">
        <f aca="false">IF(AND(F300="",G300=""),0,J300-N(L300)-N(M300)-N(N300))</f>
        <v>0</v>
      </c>
      <c r="P300" s="97" t="n">
        <f aca="false">K300+O300</f>
        <v>0</v>
      </c>
      <c r="Q300" s="98" t="n">
        <f aca="false">E300-P300</f>
        <v>0</v>
      </c>
      <c r="R300" s="96"/>
      <c r="S300" s="96"/>
      <c r="T300" s="97" t="str">
        <f aca="false">IF(N(S300)=0,"",Q300/S300)</f>
        <v/>
      </c>
      <c r="U300" s="99" t="str">
        <f aca="false">IF(E300=0,"",IF(AND(N(C300)&gt;0,F300="",G300=""),"Belum direalisasi",IF(AND(N(D300)&gt;0,H300=""),"EDC belum settle",IF(ABS(O300)&gt;50000,"Cek selisih tunai","OK"))))</f>
        <v/>
      </c>
    </row>
    <row r="301" customFormat="false" ht="15" hidden="false" customHeight="false" outlineLevel="0" collapsed="false">
      <c r="A301" s="94" t="n">
        <v>46319</v>
      </c>
      <c r="B301" s="95" t="n">
        <f aca="false">MONTH(A301)</f>
        <v>10</v>
      </c>
      <c r="C301" s="96"/>
      <c r="D301" s="96"/>
      <c r="E301" s="97" t="n">
        <f aca="false">N(C301)+N(D301)</f>
        <v>0</v>
      </c>
      <c r="F301" s="96"/>
      <c r="G301" s="96"/>
      <c r="H301" s="96"/>
      <c r="I301" s="97" t="n">
        <f aca="false">N(F301)+N(G301)+N(H301)</f>
        <v>0</v>
      </c>
      <c r="J301" s="97" t="n">
        <f aca="false">IF(AND(F301="",G301=""),0,N(C301)-N(F301)-N(G301))</f>
        <v>0</v>
      </c>
      <c r="K301" s="97" t="n">
        <f aca="false">IF(H301="",0,N(D301)-N(H301))</f>
        <v>0</v>
      </c>
      <c r="L301" s="96"/>
      <c r="M301" s="96"/>
      <c r="N301" s="96"/>
      <c r="O301" s="97" t="n">
        <f aca="false">IF(AND(F301="",G301=""),0,J301-N(L301)-N(M301)-N(N301))</f>
        <v>0</v>
      </c>
      <c r="P301" s="97" t="n">
        <f aca="false">K301+O301</f>
        <v>0</v>
      </c>
      <c r="Q301" s="98" t="n">
        <f aca="false">E301-P301</f>
        <v>0</v>
      </c>
      <c r="R301" s="96"/>
      <c r="S301" s="96"/>
      <c r="T301" s="97" t="str">
        <f aca="false">IF(N(S301)=0,"",Q301/S301)</f>
        <v/>
      </c>
      <c r="U301" s="99" t="str">
        <f aca="false">IF(E301=0,"",IF(AND(N(C301)&gt;0,F301="",G301=""),"Belum direalisasi",IF(AND(N(D301)&gt;0,H301=""),"EDC belum settle",IF(ABS(O301)&gt;50000,"Cek selisih tunai","OK"))))</f>
        <v/>
      </c>
    </row>
    <row r="302" customFormat="false" ht="15" hidden="false" customHeight="false" outlineLevel="0" collapsed="false">
      <c r="A302" s="94" t="n">
        <v>46320</v>
      </c>
      <c r="B302" s="95" t="n">
        <f aca="false">MONTH(A302)</f>
        <v>10</v>
      </c>
      <c r="C302" s="96"/>
      <c r="D302" s="96"/>
      <c r="E302" s="97" t="n">
        <f aca="false">N(C302)+N(D302)</f>
        <v>0</v>
      </c>
      <c r="F302" s="96"/>
      <c r="G302" s="96"/>
      <c r="H302" s="96"/>
      <c r="I302" s="97" t="n">
        <f aca="false">N(F302)+N(G302)+N(H302)</f>
        <v>0</v>
      </c>
      <c r="J302" s="97" t="n">
        <f aca="false">IF(AND(F302="",G302=""),0,N(C302)-N(F302)-N(G302))</f>
        <v>0</v>
      </c>
      <c r="K302" s="97" t="n">
        <f aca="false">IF(H302="",0,N(D302)-N(H302))</f>
        <v>0</v>
      </c>
      <c r="L302" s="96"/>
      <c r="M302" s="96"/>
      <c r="N302" s="96"/>
      <c r="O302" s="97" t="n">
        <f aca="false">IF(AND(F302="",G302=""),0,J302-N(L302)-N(M302)-N(N302))</f>
        <v>0</v>
      </c>
      <c r="P302" s="97" t="n">
        <f aca="false">K302+O302</f>
        <v>0</v>
      </c>
      <c r="Q302" s="98" t="n">
        <f aca="false">E302-P302</f>
        <v>0</v>
      </c>
      <c r="R302" s="96"/>
      <c r="S302" s="96"/>
      <c r="T302" s="97" t="str">
        <f aca="false">IF(N(S302)=0,"",Q302/S302)</f>
        <v/>
      </c>
      <c r="U302" s="99" t="str">
        <f aca="false">IF(E302=0,"",IF(AND(N(C302)&gt;0,F302="",G302=""),"Belum direalisasi",IF(AND(N(D302)&gt;0,H302=""),"EDC belum settle",IF(ABS(O302)&gt;50000,"Cek selisih tunai","OK"))))</f>
        <v/>
      </c>
    </row>
    <row r="303" customFormat="false" ht="15" hidden="false" customHeight="false" outlineLevel="0" collapsed="false">
      <c r="A303" s="94" t="n">
        <v>46321</v>
      </c>
      <c r="B303" s="95" t="n">
        <f aca="false">MONTH(A303)</f>
        <v>10</v>
      </c>
      <c r="C303" s="96"/>
      <c r="D303" s="96"/>
      <c r="E303" s="97" t="n">
        <f aca="false">N(C303)+N(D303)</f>
        <v>0</v>
      </c>
      <c r="F303" s="96"/>
      <c r="G303" s="96"/>
      <c r="H303" s="96"/>
      <c r="I303" s="97" t="n">
        <f aca="false">N(F303)+N(G303)+N(H303)</f>
        <v>0</v>
      </c>
      <c r="J303" s="97" t="n">
        <f aca="false">IF(AND(F303="",G303=""),0,N(C303)-N(F303)-N(G303))</f>
        <v>0</v>
      </c>
      <c r="K303" s="97" t="n">
        <f aca="false">IF(H303="",0,N(D303)-N(H303))</f>
        <v>0</v>
      </c>
      <c r="L303" s="96"/>
      <c r="M303" s="96"/>
      <c r="N303" s="96"/>
      <c r="O303" s="97" t="n">
        <f aca="false">IF(AND(F303="",G303=""),0,J303-N(L303)-N(M303)-N(N303))</f>
        <v>0</v>
      </c>
      <c r="P303" s="97" t="n">
        <f aca="false">K303+O303</f>
        <v>0</v>
      </c>
      <c r="Q303" s="98" t="n">
        <f aca="false">E303-P303</f>
        <v>0</v>
      </c>
      <c r="R303" s="96"/>
      <c r="S303" s="96"/>
      <c r="T303" s="97" t="str">
        <f aca="false">IF(N(S303)=0,"",Q303/S303)</f>
        <v/>
      </c>
      <c r="U303" s="99" t="str">
        <f aca="false">IF(E303=0,"",IF(AND(N(C303)&gt;0,F303="",G303=""),"Belum direalisasi",IF(AND(N(D303)&gt;0,H303=""),"EDC belum settle",IF(ABS(O303)&gt;50000,"Cek selisih tunai","OK"))))</f>
        <v/>
      </c>
    </row>
    <row r="304" customFormat="false" ht="15" hidden="false" customHeight="false" outlineLevel="0" collapsed="false">
      <c r="A304" s="94" t="n">
        <v>46322</v>
      </c>
      <c r="B304" s="95" t="n">
        <f aca="false">MONTH(A304)</f>
        <v>10</v>
      </c>
      <c r="C304" s="96"/>
      <c r="D304" s="96"/>
      <c r="E304" s="97" t="n">
        <f aca="false">N(C304)+N(D304)</f>
        <v>0</v>
      </c>
      <c r="F304" s="96"/>
      <c r="G304" s="96"/>
      <c r="H304" s="96"/>
      <c r="I304" s="97" t="n">
        <f aca="false">N(F304)+N(G304)+N(H304)</f>
        <v>0</v>
      </c>
      <c r="J304" s="97" t="n">
        <f aca="false">IF(AND(F304="",G304=""),0,N(C304)-N(F304)-N(G304))</f>
        <v>0</v>
      </c>
      <c r="K304" s="97" t="n">
        <f aca="false">IF(H304="",0,N(D304)-N(H304))</f>
        <v>0</v>
      </c>
      <c r="L304" s="96"/>
      <c r="M304" s="96"/>
      <c r="N304" s="96"/>
      <c r="O304" s="97" t="n">
        <f aca="false">IF(AND(F304="",G304=""),0,J304-N(L304)-N(M304)-N(N304))</f>
        <v>0</v>
      </c>
      <c r="P304" s="97" t="n">
        <f aca="false">K304+O304</f>
        <v>0</v>
      </c>
      <c r="Q304" s="98" t="n">
        <f aca="false">E304-P304</f>
        <v>0</v>
      </c>
      <c r="R304" s="96"/>
      <c r="S304" s="96"/>
      <c r="T304" s="97" t="str">
        <f aca="false">IF(N(S304)=0,"",Q304/S304)</f>
        <v/>
      </c>
      <c r="U304" s="99" t="str">
        <f aca="false">IF(E304=0,"",IF(AND(N(C304)&gt;0,F304="",G304=""),"Belum direalisasi",IF(AND(N(D304)&gt;0,H304=""),"EDC belum settle",IF(ABS(O304)&gt;50000,"Cek selisih tunai","OK"))))</f>
        <v/>
      </c>
    </row>
    <row r="305" customFormat="false" ht="15" hidden="false" customHeight="false" outlineLevel="0" collapsed="false">
      <c r="A305" s="94" t="n">
        <v>46323</v>
      </c>
      <c r="B305" s="95" t="n">
        <f aca="false">MONTH(A305)</f>
        <v>10</v>
      </c>
      <c r="C305" s="96"/>
      <c r="D305" s="96"/>
      <c r="E305" s="97" t="n">
        <f aca="false">N(C305)+N(D305)</f>
        <v>0</v>
      </c>
      <c r="F305" s="96"/>
      <c r="G305" s="96"/>
      <c r="H305" s="96"/>
      <c r="I305" s="97" t="n">
        <f aca="false">N(F305)+N(G305)+N(H305)</f>
        <v>0</v>
      </c>
      <c r="J305" s="97" t="n">
        <f aca="false">IF(AND(F305="",G305=""),0,N(C305)-N(F305)-N(G305))</f>
        <v>0</v>
      </c>
      <c r="K305" s="97" t="n">
        <f aca="false">IF(H305="",0,N(D305)-N(H305))</f>
        <v>0</v>
      </c>
      <c r="L305" s="96"/>
      <c r="M305" s="96"/>
      <c r="N305" s="96"/>
      <c r="O305" s="97" t="n">
        <f aca="false">IF(AND(F305="",G305=""),0,J305-N(L305)-N(M305)-N(N305))</f>
        <v>0</v>
      </c>
      <c r="P305" s="97" t="n">
        <f aca="false">K305+O305</f>
        <v>0</v>
      </c>
      <c r="Q305" s="98" t="n">
        <f aca="false">E305-P305</f>
        <v>0</v>
      </c>
      <c r="R305" s="96"/>
      <c r="S305" s="96"/>
      <c r="T305" s="97" t="str">
        <f aca="false">IF(N(S305)=0,"",Q305/S305)</f>
        <v/>
      </c>
      <c r="U305" s="99" t="str">
        <f aca="false">IF(E305=0,"",IF(AND(N(C305)&gt;0,F305="",G305=""),"Belum direalisasi",IF(AND(N(D305)&gt;0,H305=""),"EDC belum settle",IF(ABS(O305)&gt;50000,"Cek selisih tunai","OK"))))</f>
        <v/>
      </c>
    </row>
    <row r="306" customFormat="false" ht="15" hidden="false" customHeight="false" outlineLevel="0" collapsed="false">
      <c r="A306" s="94" t="n">
        <v>46324</v>
      </c>
      <c r="B306" s="95" t="n">
        <f aca="false">MONTH(A306)</f>
        <v>10</v>
      </c>
      <c r="C306" s="96"/>
      <c r="D306" s="96"/>
      <c r="E306" s="97" t="n">
        <f aca="false">N(C306)+N(D306)</f>
        <v>0</v>
      </c>
      <c r="F306" s="96"/>
      <c r="G306" s="96"/>
      <c r="H306" s="96"/>
      <c r="I306" s="97" t="n">
        <f aca="false">N(F306)+N(G306)+N(H306)</f>
        <v>0</v>
      </c>
      <c r="J306" s="97" t="n">
        <f aca="false">IF(AND(F306="",G306=""),0,N(C306)-N(F306)-N(G306))</f>
        <v>0</v>
      </c>
      <c r="K306" s="97" t="n">
        <f aca="false">IF(H306="",0,N(D306)-N(H306))</f>
        <v>0</v>
      </c>
      <c r="L306" s="96"/>
      <c r="M306" s="96"/>
      <c r="N306" s="96"/>
      <c r="O306" s="97" t="n">
        <f aca="false">IF(AND(F306="",G306=""),0,J306-N(L306)-N(M306)-N(N306))</f>
        <v>0</v>
      </c>
      <c r="P306" s="97" t="n">
        <f aca="false">K306+O306</f>
        <v>0</v>
      </c>
      <c r="Q306" s="98" t="n">
        <f aca="false">E306-P306</f>
        <v>0</v>
      </c>
      <c r="R306" s="96"/>
      <c r="S306" s="96"/>
      <c r="T306" s="97" t="str">
        <f aca="false">IF(N(S306)=0,"",Q306/S306)</f>
        <v/>
      </c>
      <c r="U306" s="99" t="str">
        <f aca="false">IF(E306=0,"",IF(AND(N(C306)&gt;0,F306="",G306=""),"Belum direalisasi",IF(AND(N(D306)&gt;0,H306=""),"EDC belum settle",IF(ABS(O306)&gt;50000,"Cek selisih tunai","OK"))))</f>
        <v/>
      </c>
    </row>
    <row r="307" customFormat="false" ht="15" hidden="false" customHeight="false" outlineLevel="0" collapsed="false">
      <c r="A307" s="94" t="n">
        <v>46325</v>
      </c>
      <c r="B307" s="95" t="n">
        <f aca="false">MONTH(A307)</f>
        <v>10</v>
      </c>
      <c r="C307" s="96"/>
      <c r="D307" s="96"/>
      <c r="E307" s="97" t="n">
        <f aca="false">N(C307)+N(D307)</f>
        <v>0</v>
      </c>
      <c r="F307" s="96"/>
      <c r="G307" s="96"/>
      <c r="H307" s="96"/>
      <c r="I307" s="97" t="n">
        <f aca="false">N(F307)+N(G307)+N(H307)</f>
        <v>0</v>
      </c>
      <c r="J307" s="97" t="n">
        <f aca="false">IF(AND(F307="",G307=""),0,N(C307)-N(F307)-N(G307))</f>
        <v>0</v>
      </c>
      <c r="K307" s="97" t="n">
        <f aca="false">IF(H307="",0,N(D307)-N(H307))</f>
        <v>0</v>
      </c>
      <c r="L307" s="96"/>
      <c r="M307" s="96"/>
      <c r="N307" s="96"/>
      <c r="O307" s="97" t="n">
        <f aca="false">IF(AND(F307="",G307=""),0,J307-N(L307)-N(M307)-N(N307))</f>
        <v>0</v>
      </c>
      <c r="P307" s="97" t="n">
        <f aca="false">K307+O307</f>
        <v>0</v>
      </c>
      <c r="Q307" s="98" t="n">
        <f aca="false">E307-P307</f>
        <v>0</v>
      </c>
      <c r="R307" s="96"/>
      <c r="S307" s="96"/>
      <c r="T307" s="97" t="str">
        <f aca="false">IF(N(S307)=0,"",Q307/S307)</f>
        <v/>
      </c>
      <c r="U307" s="99" t="str">
        <f aca="false">IF(E307=0,"",IF(AND(N(C307)&gt;0,F307="",G307=""),"Belum direalisasi",IF(AND(N(D307)&gt;0,H307=""),"EDC belum settle",IF(ABS(O307)&gt;50000,"Cek selisih tunai","OK"))))</f>
        <v/>
      </c>
    </row>
    <row r="308" customFormat="false" ht="15" hidden="false" customHeight="false" outlineLevel="0" collapsed="false">
      <c r="A308" s="94" t="n">
        <v>46326</v>
      </c>
      <c r="B308" s="95" t="n">
        <f aca="false">MONTH(A308)</f>
        <v>10</v>
      </c>
      <c r="C308" s="96"/>
      <c r="D308" s="96"/>
      <c r="E308" s="97" t="n">
        <f aca="false">N(C308)+N(D308)</f>
        <v>0</v>
      </c>
      <c r="F308" s="96"/>
      <c r="G308" s="96"/>
      <c r="H308" s="96"/>
      <c r="I308" s="97" t="n">
        <f aca="false">N(F308)+N(G308)+N(H308)</f>
        <v>0</v>
      </c>
      <c r="J308" s="97" t="n">
        <f aca="false">IF(AND(F308="",G308=""),0,N(C308)-N(F308)-N(G308))</f>
        <v>0</v>
      </c>
      <c r="K308" s="97" t="n">
        <f aca="false">IF(H308="",0,N(D308)-N(H308))</f>
        <v>0</v>
      </c>
      <c r="L308" s="96"/>
      <c r="M308" s="96"/>
      <c r="N308" s="96"/>
      <c r="O308" s="97" t="n">
        <f aca="false">IF(AND(F308="",G308=""),0,J308-N(L308)-N(M308)-N(N308))</f>
        <v>0</v>
      </c>
      <c r="P308" s="97" t="n">
        <f aca="false">K308+O308</f>
        <v>0</v>
      </c>
      <c r="Q308" s="98" t="n">
        <f aca="false">E308-P308</f>
        <v>0</v>
      </c>
      <c r="R308" s="96"/>
      <c r="S308" s="96"/>
      <c r="T308" s="97" t="str">
        <f aca="false">IF(N(S308)=0,"",Q308/S308)</f>
        <v/>
      </c>
      <c r="U308" s="99" t="str">
        <f aca="false">IF(E308=0,"",IF(AND(N(C308)&gt;0,F308="",G308=""),"Belum direalisasi",IF(AND(N(D308)&gt;0,H308=""),"EDC belum settle",IF(ABS(O308)&gt;50000,"Cek selisih tunai","OK"))))</f>
        <v/>
      </c>
    </row>
    <row r="309" customFormat="false" ht="15" hidden="false" customHeight="false" outlineLevel="0" collapsed="false">
      <c r="A309" s="89" t="n">
        <v>46327</v>
      </c>
      <c r="B309" s="90" t="n">
        <f aca="false">MONTH(A309)</f>
        <v>11</v>
      </c>
      <c r="C309" s="91"/>
      <c r="D309" s="91"/>
      <c r="E309" s="92" t="n">
        <f aca="false">N(C309)+N(D309)</f>
        <v>0</v>
      </c>
      <c r="F309" s="91"/>
      <c r="G309" s="91"/>
      <c r="H309" s="91"/>
      <c r="I309" s="92" t="n">
        <f aca="false">N(F309)+N(G309)+N(H309)</f>
        <v>0</v>
      </c>
      <c r="J309" s="92" t="n">
        <f aca="false">IF(AND(F309="",G309=""),0,N(C309)-N(F309)-N(G309))</f>
        <v>0</v>
      </c>
      <c r="K309" s="92" t="n">
        <f aca="false">IF(H309="",0,N(D309)-N(H309))</f>
        <v>0</v>
      </c>
      <c r="L309" s="91"/>
      <c r="M309" s="91"/>
      <c r="N309" s="91"/>
      <c r="O309" s="92" t="n">
        <f aca="false">IF(AND(F309="",G309=""),0,J309-N(L309)-N(M309)-N(N309))</f>
        <v>0</v>
      </c>
      <c r="P309" s="92" t="n">
        <f aca="false">K309+O309</f>
        <v>0</v>
      </c>
      <c r="Q309" s="85" t="n">
        <f aca="false">E309-P309</f>
        <v>0</v>
      </c>
      <c r="R309" s="91"/>
      <c r="S309" s="91"/>
      <c r="T309" s="92" t="str">
        <f aca="false">IF(N(S309)=0,"",Q309/S309)</f>
        <v/>
      </c>
      <c r="U309" s="93" t="str">
        <f aca="false">IF(E309=0,"",IF(AND(N(C309)&gt;0,F309="",G309=""),"Belum direalisasi",IF(AND(N(D309)&gt;0,H309=""),"EDC belum settle",IF(ABS(O309)&gt;50000,"Cek selisih tunai","OK"))))</f>
        <v/>
      </c>
    </row>
    <row r="310" customFormat="false" ht="15" hidden="false" customHeight="false" outlineLevel="0" collapsed="false">
      <c r="A310" s="89" t="n">
        <v>46328</v>
      </c>
      <c r="B310" s="90" t="n">
        <f aca="false">MONTH(A310)</f>
        <v>11</v>
      </c>
      <c r="C310" s="91"/>
      <c r="D310" s="91"/>
      <c r="E310" s="92" t="n">
        <f aca="false">N(C310)+N(D310)</f>
        <v>0</v>
      </c>
      <c r="F310" s="91"/>
      <c r="G310" s="91"/>
      <c r="H310" s="91"/>
      <c r="I310" s="92" t="n">
        <f aca="false">N(F310)+N(G310)+N(H310)</f>
        <v>0</v>
      </c>
      <c r="J310" s="92" t="n">
        <f aca="false">IF(AND(F310="",G310=""),0,N(C310)-N(F310)-N(G310))</f>
        <v>0</v>
      </c>
      <c r="K310" s="92" t="n">
        <f aca="false">IF(H310="",0,N(D310)-N(H310))</f>
        <v>0</v>
      </c>
      <c r="L310" s="91"/>
      <c r="M310" s="91"/>
      <c r="N310" s="91"/>
      <c r="O310" s="92" t="n">
        <f aca="false">IF(AND(F310="",G310=""),0,J310-N(L310)-N(M310)-N(N310))</f>
        <v>0</v>
      </c>
      <c r="P310" s="92" t="n">
        <f aca="false">K310+O310</f>
        <v>0</v>
      </c>
      <c r="Q310" s="85" t="n">
        <f aca="false">E310-P310</f>
        <v>0</v>
      </c>
      <c r="R310" s="91"/>
      <c r="S310" s="91"/>
      <c r="T310" s="92" t="str">
        <f aca="false">IF(N(S310)=0,"",Q310/S310)</f>
        <v/>
      </c>
      <c r="U310" s="93" t="str">
        <f aca="false">IF(E310=0,"",IF(AND(N(C310)&gt;0,F310="",G310=""),"Belum direalisasi",IF(AND(N(D310)&gt;0,H310=""),"EDC belum settle",IF(ABS(O310)&gt;50000,"Cek selisih tunai","OK"))))</f>
        <v/>
      </c>
    </row>
    <row r="311" customFormat="false" ht="15" hidden="false" customHeight="false" outlineLevel="0" collapsed="false">
      <c r="A311" s="89" t="n">
        <v>46329</v>
      </c>
      <c r="B311" s="90" t="n">
        <f aca="false">MONTH(A311)</f>
        <v>11</v>
      </c>
      <c r="C311" s="91"/>
      <c r="D311" s="91"/>
      <c r="E311" s="92" t="n">
        <f aca="false">N(C311)+N(D311)</f>
        <v>0</v>
      </c>
      <c r="F311" s="91"/>
      <c r="G311" s="91"/>
      <c r="H311" s="91"/>
      <c r="I311" s="92" t="n">
        <f aca="false">N(F311)+N(G311)+N(H311)</f>
        <v>0</v>
      </c>
      <c r="J311" s="92" t="n">
        <f aca="false">IF(AND(F311="",G311=""),0,N(C311)-N(F311)-N(G311))</f>
        <v>0</v>
      </c>
      <c r="K311" s="92" t="n">
        <f aca="false">IF(H311="",0,N(D311)-N(H311))</f>
        <v>0</v>
      </c>
      <c r="L311" s="91"/>
      <c r="M311" s="91"/>
      <c r="N311" s="91"/>
      <c r="O311" s="92" t="n">
        <f aca="false">IF(AND(F311="",G311=""),0,J311-N(L311)-N(M311)-N(N311))</f>
        <v>0</v>
      </c>
      <c r="P311" s="92" t="n">
        <f aca="false">K311+O311</f>
        <v>0</v>
      </c>
      <c r="Q311" s="85" t="n">
        <f aca="false">E311-P311</f>
        <v>0</v>
      </c>
      <c r="R311" s="91"/>
      <c r="S311" s="91"/>
      <c r="T311" s="92" t="str">
        <f aca="false">IF(N(S311)=0,"",Q311/S311)</f>
        <v/>
      </c>
      <c r="U311" s="93" t="str">
        <f aca="false">IF(E311=0,"",IF(AND(N(C311)&gt;0,F311="",G311=""),"Belum direalisasi",IF(AND(N(D311)&gt;0,H311=""),"EDC belum settle",IF(ABS(O311)&gt;50000,"Cek selisih tunai","OK"))))</f>
        <v/>
      </c>
    </row>
    <row r="312" customFormat="false" ht="15" hidden="false" customHeight="false" outlineLevel="0" collapsed="false">
      <c r="A312" s="89" t="n">
        <v>46330</v>
      </c>
      <c r="B312" s="90" t="n">
        <f aca="false">MONTH(A312)</f>
        <v>11</v>
      </c>
      <c r="C312" s="91"/>
      <c r="D312" s="91"/>
      <c r="E312" s="92" t="n">
        <f aca="false">N(C312)+N(D312)</f>
        <v>0</v>
      </c>
      <c r="F312" s="91"/>
      <c r="G312" s="91"/>
      <c r="H312" s="91"/>
      <c r="I312" s="92" t="n">
        <f aca="false">N(F312)+N(G312)+N(H312)</f>
        <v>0</v>
      </c>
      <c r="J312" s="92" t="n">
        <f aca="false">IF(AND(F312="",G312=""),0,N(C312)-N(F312)-N(G312))</f>
        <v>0</v>
      </c>
      <c r="K312" s="92" t="n">
        <f aca="false">IF(H312="",0,N(D312)-N(H312))</f>
        <v>0</v>
      </c>
      <c r="L312" s="91"/>
      <c r="M312" s="91"/>
      <c r="N312" s="91"/>
      <c r="O312" s="92" t="n">
        <f aca="false">IF(AND(F312="",G312=""),0,J312-N(L312)-N(M312)-N(N312))</f>
        <v>0</v>
      </c>
      <c r="P312" s="92" t="n">
        <f aca="false">K312+O312</f>
        <v>0</v>
      </c>
      <c r="Q312" s="85" t="n">
        <f aca="false">E312-P312</f>
        <v>0</v>
      </c>
      <c r="R312" s="91"/>
      <c r="S312" s="91"/>
      <c r="T312" s="92" t="str">
        <f aca="false">IF(N(S312)=0,"",Q312/S312)</f>
        <v/>
      </c>
      <c r="U312" s="93" t="str">
        <f aca="false">IF(E312=0,"",IF(AND(N(C312)&gt;0,F312="",G312=""),"Belum direalisasi",IF(AND(N(D312)&gt;0,H312=""),"EDC belum settle",IF(ABS(O312)&gt;50000,"Cek selisih tunai","OK"))))</f>
        <v/>
      </c>
    </row>
    <row r="313" customFormat="false" ht="15" hidden="false" customHeight="false" outlineLevel="0" collapsed="false">
      <c r="A313" s="89" t="n">
        <v>46331</v>
      </c>
      <c r="B313" s="90" t="n">
        <f aca="false">MONTH(A313)</f>
        <v>11</v>
      </c>
      <c r="C313" s="91"/>
      <c r="D313" s="91"/>
      <c r="E313" s="92" t="n">
        <f aca="false">N(C313)+N(D313)</f>
        <v>0</v>
      </c>
      <c r="F313" s="91"/>
      <c r="G313" s="91"/>
      <c r="H313" s="91"/>
      <c r="I313" s="92" t="n">
        <f aca="false">N(F313)+N(G313)+N(H313)</f>
        <v>0</v>
      </c>
      <c r="J313" s="92" t="n">
        <f aca="false">IF(AND(F313="",G313=""),0,N(C313)-N(F313)-N(G313))</f>
        <v>0</v>
      </c>
      <c r="K313" s="92" t="n">
        <f aca="false">IF(H313="",0,N(D313)-N(H313))</f>
        <v>0</v>
      </c>
      <c r="L313" s="91"/>
      <c r="M313" s="91"/>
      <c r="N313" s="91"/>
      <c r="O313" s="92" t="n">
        <f aca="false">IF(AND(F313="",G313=""),0,J313-N(L313)-N(M313)-N(N313))</f>
        <v>0</v>
      </c>
      <c r="P313" s="92" t="n">
        <f aca="false">K313+O313</f>
        <v>0</v>
      </c>
      <c r="Q313" s="85" t="n">
        <f aca="false">E313-P313</f>
        <v>0</v>
      </c>
      <c r="R313" s="91"/>
      <c r="S313" s="91"/>
      <c r="T313" s="92" t="str">
        <f aca="false">IF(N(S313)=0,"",Q313/S313)</f>
        <v/>
      </c>
      <c r="U313" s="93" t="str">
        <f aca="false">IF(E313=0,"",IF(AND(N(C313)&gt;0,F313="",G313=""),"Belum direalisasi",IF(AND(N(D313)&gt;0,H313=""),"EDC belum settle",IF(ABS(O313)&gt;50000,"Cek selisih tunai","OK"))))</f>
        <v/>
      </c>
    </row>
    <row r="314" customFormat="false" ht="15" hidden="false" customHeight="false" outlineLevel="0" collapsed="false">
      <c r="A314" s="89" t="n">
        <v>46332</v>
      </c>
      <c r="B314" s="90" t="n">
        <f aca="false">MONTH(A314)</f>
        <v>11</v>
      </c>
      <c r="C314" s="91"/>
      <c r="D314" s="91"/>
      <c r="E314" s="92" t="n">
        <f aca="false">N(C314)+N(D314)</f>
        <v>0</v>
      </c>
      <c r="F314" s="91"/>
      <c r="G314" s="91"/>
      <c r="H314" s="91"/>
      <c r="I314" s="92" t="n">
        <f aca="false">N(F314)+N(G314)+N(H314)</f>
        <v>0</v>
      </c>
      <c r="J314" s="92" t="n">
        <f aca="false">IF(AND(F314="",G314=""),0,N(C314)-N(F314)-N(G314))</f>
        <v>0</v>
      </c>
      <c r="K314" s="92" t="n">
        <f aca="false">IF(H314="",0,N(D314)-N(H314))</f>
        <v>0</v>
      </c>
      <c r="L314" s="91"/>
      <c r="M314" s="91"/>
      <c r="N314" s="91"/>
      <c r="O314" s="92" t="n">
        <f aca="false">IF(AND(F314="",G314=""),0,J314-N(L314)-N(M314)-N(N314))</f>
        <v>0</v>
      </c>
      <c r="P314" s="92" t="n">
        <f aca="false">K314+O314</f>
        <v>0</v>
      </c>
      <c r="Q314" s="85" t="n">
        <f aca="false">E314-P314</f>
        <v>0</v>
      </c>
      <c r="R314" s="91"/>
      <c r="S314" s="91"/>
      <c r="T314" s="92" t="str">
        <f aca="false">IF(N(S314)=0,"",Q314/S314)</f>
        <v/>
      </c>
      <c r="U314" s="93" t="str">
        <f aca="false">IF(E314=0,"",IF(AND(N(C314)&gt;0,F314="",G314=""),"Belum direalisasi",IF(AND(N(D314)&gt;0,H314=""),"EDC belum settle",IF(ABS(O314)&gt;50000,"Cek selisih tunai","OK"))))</f>
        <v/>
      </c>
    </row>
    <row r="315" customFormat="false" ht="15" hidden="false" customHeight="false" outlineLevel="0" collapsed="false">
      <c r="A315" s="89" t="n">
        <v>46333</v>
      </c>
      <c r="B315" s="90" t="n">
        <f aca="false">MONTH(A315)</f>
        <v>11</v>
      </c>
      <c r="C315" s="91"/>
      <c r="D315" s="91"/>
      <c r="E315" s="92" t="n">
        <f aca="false">N(C315)+N(D315)</f>
        <v>0</v>
      </c>
      <c r="F315" s="91"/>
      <c r="G315" s="91"/>
      <c r="H315" s="91"/>
      <c r="I315" s="92" t="n">
        <f aca="false">N(F315)+N(G315)+N(H315)</f>
        <v>0</v>
      </c>
      <c r="J315" s="92" t="n">
        <f aca="false">IF(AND(F315="",G315=""),0,N(C315)-N(F315)-N(G315))</f>
        <v>0</v>
      </c>
      <c r="K315" s="92" t="n">
        <f aca="false">IF(H315="",0,N(D315)-N(H315))</f>
        <v>0</v>
      </c>
      <c r="L315" s="91"/>
      <c r="M315" s="91"/>
      <c r="N315" s="91"/>
      <c r="O315" s="92" t="n">
        <f aca="false">IF(AND(F315="",G315=""),0,J315-N(L315)-N(M315)-N(N315))</f>
        <v>0</v>
      </c>
      <c r="P315" s="92" t="n">
        <f aca="false">K315+O315</f>
        <v>0</v>
      </c>
      <c r="Q315" s="85" t="n">
        <f aca="false">E315-P315</f>
        <v>0</v>
      </c>
      <c r="R315" s="91"/>
      <c r="S315" s="91"/>
      <c r="T315" s="92" t="str">
        <f aca="false">IF(N(S315)=0,"",Q315/S315)</f>
        <v/>
      </c>
      <c r="U315" s="93" t="str">
        <f aca="false">IF(E315=0,"",IF(AND(N(C315)&gt;0,F315="",G315=""),"Belum direalisasi",IF(AND(N(D315)&gt;0,H315=""),"EDC belum settle",IF(ABS(O315)&gt;50000,"Cek selisih tunai","OK"))))</f>
        <v/>
      </c>
    </row>
    <row r="316" customFormat="false" ht="15" hidden="false" customHeight="false" outlineLevel="0" collapsed="false">
      <c r="A316" s="89" t="n">
        <v>46334</v>
      </c>
      <c r="B316" s="90" t="n">
        <f aca="false">MONTH(A316)</f>
        <v>11</v>
      </c>
      <c r="C316" s="91"/>
      <c r="D316" s="91"/>
      <c r="E316" s="92" t="n">
        <f aca="false">N(C316)+N(D316)</f>
        <v>0</v>
      </c>
      <c r="F316" s="91"/>
      <c r="G316" s="91"/>
      <c r="H316" s="91"/>
      <c r="I316" s="92" t="n">
        <f aca="false">N(F316)+N(G316)+N(H316)</f>
        <v>0</v>
      </c>
      <c r="J316" s="92" t="n">
        <f aca="false">IF(AND(F316="",G316=""),0,N(C316)-N(F316)-N(G316))</f>
        <v>0</v>
      </c>
      <c r="K316" s="92" t="n">
        <f aca="false">IF(H316="",0,N(D316)-N(H316))</f>
        <v>0</v>
      </c>
      <c r="L316" s="91"/>
      <c r="M316" s="91"/>
      <c r="N316" s="91"/>
      <c r="O316" s="92" t="n">
        <f aca="false">IF(AND(F316="",G316=""),0,J316-N(L316)-N(M316)-N(N316))</f>
        <v>0</v>
      </c>
      <c r="P316" s="92" t="n">
        <f aca="false">K316+O316</f>
        <v>0</v>
      </c>
      <c r="Q316" s="85" t="n">
        <f aca="false">E316-P316</f>
        <v>0</v>
      </c>
      <c r="R316" s="91"/>
      <c r="S316" s="91"/>
      <c r="T316" s="92" t="str">
        <f aca="false">IF(N(S316)=0,"",Q316/S316)</f>
        <v/>
      </c>
      <c r="U316" s="93" t="str">
        <f aca="false">IF(E316=0,"",IF(AND(N(C316)&gt;0,F316="",G316=""),"Belum direalisasi",IF(AND(N(D316)&gt;0,H316=""),"EDC belum settle",IF(ABS(O316)&gt;50000,"Cek selisih tunai","OK"))))</f>
        <v/>
      </c>
    </row>
    <row r="317" customFormat="false" ht="15" hidden="false" customHeight="false" outlineLevel="0" collapsed="false">
      <c r="A317" s="89" t="n">
        <v>46335</v>
      </c>
      <c r="B317" s="90" t="n">
        <f aca="false">MONTH(A317)</f>
        <v>11</v>
      </c>
      <c r="C317" s="91"/>
      <c r="D317" s="91"/>
      <c r="E317" s="92" t="n">
        <f aca="false">N(C317)+N(D317)</f>
        <v>0</v>
      </c>
      <c r="F317" s="91"/>
      <c r="G317" s="91"/>
      <c r="H317" s="91"/>
      <c r="I317" s="92" t="n">
        <f aca="false">N(F317)+N(G317)+N(H317)</f>
        <v>0</v>
      </c>
      <c r="J317" s="92" t="n">
        <f aca="false">IF(AND(F317="",G317=""),0,N(C317)-N(F317)-N(G317))</f>
        <v>0</v>
      </c>
      <c r="K317" s="92" t="n">
        <f aca="false">IF(H317="",0,N(D317)-N(H317))</f>
        <v>0</v>
      </c>
      <c r="L317" s="91"/>
      <c r="M317" s="91"/>
      <c r="N317" s="91"/>
      <c r="O317" s="92" t="n">
        <f aca="false">IF(AND(F317="",G317=""),0,J317-N(L317)-N(M317)-N(N317))</f>
        <v>0</v>
      </c>
      <c r="P317" s="92" t="n">
        <f aca="false">K317+O317</f>
        <v>0</v>
      </c>
      <c r="Q317" s="85" t="n">
        <f aca="false">E317-P317</f>
        <v>0</v>
      </c>
      <c r="R317" s="91"/>
      <c r="S317" s="91"/>
      <c r="T317" s="92" t="str">
        <f aca="false">IF(N(S317)=0,"",Q317/S317)</f>
        <v/>
      </c>
      <c r="U317" s="93" t="str">
        <f aca="false">IF(E317=0,"",IF(AND(N(C317)&gt;0,F317="",G317=""),"Belum direalisasi",IF(AND(N(D317)&gt;0,H317=""),"EDC belum settle",IF(ABS(O317)&gt;50000,"Cek selisih tunai","OK"))))</f>
        <v/>
      </c>
    </row>
    <row r="318" customFormat="false" ht="15" hidden="false" customHeight="false" outlineLevel="0" collapsed="false">
      <c r="A318" s="89" t="n">
        <v>46336</v>
      </c>
      <c r="B318" s="90" t="n">
        <f aca="false">MONTH(A318)</f>
        <v>11</v>
      </c>
      <c r="C318" s="91"/>
      <c r="D318" s="91"/>
      <c r="E318" s="92" t="n">
        <f aca="false">N(C318)+N(D318)</f>
        <v>0</v>
      </c>
      <c r="F318" s="91"/>
      <c r="G318" s="91"/>
      <c r="H318" s="91"/>
      <c r="I318" s="92" t="n">
        <f aca="false">N(F318)+N(G318)+N(H318)</f>
        <v>0</v>
      </c>
      <c r="J318" s="92" t="n">
        <f aca="false">IF(AND(F318="",G318=""),0,N(C318)-N(F318)-N(G318))</f>
        <v>0</v>
      </c>
      <c r="K318" s="92" t="n">
        <f aca="false">IF(H318="",0,N(D318)-N(H318))</f>
        <v>0</v>
      </c>
      <c r="L318" s="91"/>
      <c r="M318" s="91"/>
      <c r="N318" s="91"/>
      <c r="O318" s="92" t="n">
        <f aca="false">IF(AND(F318="",G318=""),0,J318-N(L318)-N(M318)-N(N318))</f>
        <v>0</v>
      </c>
      <c r="P318" s="92" t="n">
        <f aca="false">K318+O318</f>
        <v>0</v>
      </c>
      <c r="Q318" s="85" t="n">
        <f aca="false">E318-P318</f>
        <v>0</v>
      </c>
      <c r="R318" s="91"/>
      <c r="S318" s="91"/>
      <c r="T318" s="92" t="str">
        <f aca="false">IF(N(S318)=0,"",Q318/S318)</f>
        <v/>
      </c>
      <c r="U318" s="93" t="str">
        <f aca="false">IF(E318=0,"",IF(AND(N(C318)&gt;0,F318="",G318=""),"Belum direalisasi",IF(AND(N(D318)&gt;0,H318=""),"EDC belum settle",IF(ABS(O318)&gt;50000,"Cek selisih tunai","OK"))))</f>
        <v/>
      </c>
    </row>
    <row r="319" customFormat="false" ht="15" hidden="false" customHeight="false" outlineLevel="0" collapsed="false">
      <c r="A319" s="89" t="n">
        <v>46337</v>
      </c>
      <c r="B319" s="90" t="n">
        <f aca="false">MONTH(A319)</f>
        <v>11</v>
      </c>
      <c r="C319" s="91"/>
      <c r="D319" s="91"/>
      <c r="E319" s="92" t="n">
        <f aca="false">N(C319)+N(D319)</f>
        <v>0</v>
      </c>
      <c r="F319" s="91"/>
      <c r="G319" s="91"/>
      <c r="H319" s="91"/>
      <c r="I319" s="92" t="n">
        <f aca="false">N(F319)+N(G319)+N(H319)</f>
        <v>0</v>
      </c>
      <c r="J319" s="92" t="n">
        <f aca="false">IF(AND(F319="",G319=""),0,N(C319)-N(F319)-N(G319))</f>
        <v>0</v>
      </c>
      <c r="K319" s="92" t="n">
        <f aca="false">IF(H319="",0,N(D319)-N(H319))</f>
        <v>0</v>
      </c>
      <c r="L319" s="91"/>
      <c r="M319" s="91"/>
      <c r="N319" s="91"/>
      <c r="O319" s="92" t="n">
        <f aca="false">IF(AND(F319="",G319=""),0,J319-N(L319)-N(M319)-N(N319))</f>
        <v>0</v>
      </c>
      <c r="P319" s="92" t="n">
        <f aca="false">K319+O319</f>
        <v>0</v>
      </c>
      <c r="Q319" s="85" t="n">
        <f aca="false">E319-P319</f>
        <v>0</v>
      </c>
      <c r="R319" s="91"/>
      <c r="S319" s="91"/>
      <c r="T319" s="92" t="str">
        <f aca="false">IF(N(S319)=0,"",Q319/S319)</f>
        <v/>
      </c>
      <c r="U319" s="93" t="str">
        <f aca="false">IF(E319=0,"",IF(AND(N(C319)&gt;0,F319="",G319=""),"Belum direalisasi",IF(AND(N(D319)&gt;0,H319=""),"EDC belum settle",IF(ABS(O319)&gt;50000,"Cek selisih tunai","OK"))))</f>
        <v/>
      </c>
    </row>
    <row r="320" customFormat="false" ht="15" hidden="false" customHeight="false" outlineLevel="0" collapsed="false">
      <c r="A320" s="89" t="n">
        <v>46338</v>
      </c>
      <c r="B320" s="90" t="n">
        <f aca="false">MONTH(A320)</f>
        <v>11</v>
      </c>
      <c r="C320" s="91"/>
      <c r="D320" s="91"/>
      <c r="E320" s="92" t="n">
        <f aca="false">N(C320)+N(D320)</f>
        <v>0</v>
      </c>
      <c r="F320" s="91"/>
      <c r="G320" s="91"/>
      <c r="H320" s="91"/>
      <c r="I320" s="92" t="n">
        <f aca="false">N(F320)+N(G320)+N(H320)</f>
        <v>0</v>
      </c>
      <c r="J320" s="92" t="n">
        <f aca="false">IF(AND(F320="",G320=""),0,N(C320)-N(F320)-N(G320))</f>
        <v>0</v>
      </c>
      <c r="K320" s="92" t="n">
        <f aca="false">IF(H320="",0,N(D320)-N(H320))</f>
        <v>0</v>
      </c>
      <c r="L320" s="91"/>
      <c r="M320" s="91"/>
      <c r="N320" s="91"/>
      <c r="O320" s="92" t="n">
        <f aca="false">IF(AND(F320="",G320=""),0,J320-N(L320)-N(M320)-N(N320))</f>
        <v>0</v>
      </c>
      <c r="P320" s="92" t="n">
        <f aca="false">K320+O320</f>
        <v>0</v>
      </c>
      <c r="Q320" s="85" t="n">
        <f aca="false">E320-P320</f>
        <v>0</v>
      </c>
      <c r="R320" s="91"/>
      <c r="S320" s="91"/>
      <c r="T320" s="92" t="str">
        <f aca="false">IF(N(S320)=0,"",Q320/S320)</f>
        <v/>
      </c>
      <c r="U320" s="93" t="str">
        <f aca="false">IF(E320=0,"",IF(AND(N(C320)&gt;0,F320="",G320=""),"Belum direalisasi",IF(AND(N(D320)&gt;0,H320=""),"EDC belum settle",IF(ABS(O320)&gt;50000,"Cek selisih tunai","OK"))))</f>
        <v/>
      </c>
    </row>
    <row r="321" customFormat="false" ht="15" hidden="false" customHeight="false" outlineLevel="0" collapsed="false">
      <c r="A321" s="89" t="n">
        <v>46339</v>
      </c>
      <c r="B321" s="90" t="n">
        <f aca="false">MONTH(A321)</f>
        <v>11</v>
      </c>
      <c r="C321" s="91"/>
      <c r="D321" s="91"/>
      <c r="E321" s="92" t="n">
        <f aca="false">N(C321)+N(D321)</f>
        <v>0</v>
      </c>
      <c r="F321" s="91"/>
      <c r="G321" s="91"/>
      <c r="H321" s="91"/>
      <c r="I321" s="92" t="n">
        <f aca="false">N(F321)+N(G321)+N(H321)</f>
        <v>0</v>
      </c>
      <c r="J321" s="92" t="n">
        <f aca="false">IF(AND(F321="",G321=""),0,N(C321)-N(F321)-N(G321))</f>
        <v>0</v>
      </c>
      <c r="K321" s="92" t="n">
        <f aca="false">IF(H321="",0,N(D321)-N(H321))</f>
        <v>0</v>
      </c>
      <c r="L321" s="91"/>
      <c r="M321" s="91"/>
      <c r="N321" s="91"/>
      <c r="O321" s="92" t="n">
        <f aca="false">IF(AND(F321="",G321=""),0,J321-N(L321)-N(M321)-N(N321))</f>
        <v>0</v>
      </c>
      <c r="P321" s="92" t="n">
        <f aca="false">K321+O321</f>
        <v>0</v>
      </c>
      <c r="Q321" s="85" t="n">
        <f aca="false">E321-P321</f>
        <v>0</v>
      </c>
      <c r="R321" s="91"/>
      <c r="S321" s="91"/>
      <c r="T321" s="92" t="str">
        <f aca="false">IF(N(S321)=0,"",Q321/S321)</f>
        <v/>
      </c>
      <c r="U321" s="93" t="str">
        <f aca="false">IF(E321=0,"",IF(AND(N(C321)&gt;0,F321="",G321=""),"Belum direalisasi",IF(AND(N(D321)&gt;0,H321=""),"EDC belum settle",IF(ABS(O321)&gt;50000,"Cek selisih tunai","OK"))))</f>
        <v/>
      </c>
    </row>
    <row r="322" customFormat="false" ht="15" hidden="false" customHeight="false" outlineLevel="0" collapsed="false">
      <c r="A322" s="89" t="n">
        <v>46340</v>
      </c>
      <c r="B322" s="90" t="n">
        <f aca="false">MONTH(A322)</f>
        <v>11</v>
      </c>
      <c r="C322" s="91"/>
      <c r="D322" s="91"/>
      <c r="E322" s="92" t="n">
        <f aca="false">N(C322)+N(D322)</f>
        <v>0</v>
      </c>
      <c r="F322" s="91"/>
      <c r="G322" s="91"/>
      <c r="H322" s="91"/>
      <c r="I322" s="92" t="n">
        <f aca="false">N(F322)+N(G322)+N(H322)</f>
        <v>0</v>
      </c>
      <c r="J322" s="92" t="n">
        <f aca="false">IF(AND(F322="",G322=""),0,N(C322)-N(F322)-N(G322))</f>
        <v>0</v>
      </c>
      <c r="K322" s="92" t="n">
        <f aca="false">IF(H322="",0,N(D322)-N(H322))</f>
        <v>0</v>
      </c>
      <c r="L322" s="91"/>
      <c r="M322" s="91"/>
      <c r="N322" s="91"/>
      <c r="O322" s="92" t="n">
        <f aca="false">IF(AND(F322="",G322=""),0,J322-N(L322)-N(M322)-N(N322))</f>
        <v>0</v>
      </c>
      <c r="P322" s="92" t="n">
        <f aca="false">K322+O322</f>
        <v>0</v>
      </c>
      <c r="Q322" s="85" t="n">
        <f aca="false">E322-P322</f>
        <v>0</v>
      </c>
      <c r="R322" s="91"/>
      <c r="S322" s="91"/>
      <c r="T322" s="92" t="str">
        <f aca="false">IF(N(S322)=0,"",Q322/S322)</f>
        <v/>
      </c>
      <c r="U322" s="93" t="str">
        <f aca="false">IF(E322=0,"",IF(AND(N(C322)&gt;0,F322="",G322=""),"Belum direalisasi",IF(AND(N(D322)&gt;0,H322=""),"EDC belum settle",IF(ABS(O322)&gt;50000,"Cek selisih tunai","OK"))))</f>
        <v/>
      </c>
    </row>
    <row r="323" customFormat="false" ht="15" hidden="false" customHeight="false" outlineLevel="0" collapsed="false">
      <c r="A323" s="89" t="n">
        <v>46341</v>
      </c>
      <c r="B323" s="90" t="n">
        <f aca="false">MONTH(A323)</f>
        <v>11</v>
      </c>
      <c r="C323" s="91"/>
      <c r="D323" s="91"/>
      <c r="E323" s="92" t="n">
        <f aca="false">N(C323)+N(D323)</f>
        <v>0</v>
      </c>
      <c r="F323" s="91"/>
      <c r="G323" s="91"/>
      <c r="H323" s="91"/>
      <c r="I323" s="92" t="n">
        <f aca="false">N(F323)+N(G323)+N(H323)</f>
        <v>0</v>
      </c>
      <c r="J323" s="92" t="n">
        <f aca="false">IF(AND(F323="",G323=""),0,N(C323)-N(F323)-N(G323))</f>
        <v>0</v>
      </c>
      <c r="K323" s="92" t="n">
        <f aca="false">IF(H323="",0,N(D323)-N(H323))</f>
        <v>0</v>
      </c>
      <c r="L323" s="91"/>
      <c r="M323" s="91"/>
      <c r="N323" s="91"/>
      <c r="O323" s="92" t="n">
        <f aca="false">IF(AND(F323="",G323=""),0,J323-N(L323)-N(M323)-N(N323))</f>
        <v>0</v>
      </c>
      <c r="P323" s="92" t="n">
        <f aca="false">K323+O323</f>
        <v>0</v>
      </c>
      <c r="Q323" s="85" t="n">
        <f aca="false">E323-P323</f>
        <v>0</v>
      </c>
      <c r="R323" s="91"/>
      <c r="S323" s="91"/>
      <c r="T323" s="92" t="str">
        <f aca="false">IF(N(S323)=0,"",Q323/S323)</f>
        <v/>
      </c>
      <c r="U323" s="93" t="str">
        <f aca="false">IF(E323=0,"",IF(AND(N(C323)&gt;0,F323="",G323=""),"Belum direalisasi",IF(AND(N(D323)&gt;0,H323=""),"EDC belum settle",IF(ABS(O323)&gt;50000,"Cek selisih tunai","OK"))))</f>
        <v/>
      </c>
    </row>
    <row r="324" customFormat="false" ht="15" hidden="false" customHeight="false" outlineLevel="0" collapsed="false">
      <c r="A324" s="89" t="n">
        <v>46342</v>
      </c>
      <c r="B324" s="90" t="n">
        <f aca="false">MONTH(A324)</f>
        <v>11</v>
      </c>
      <c r="C324" s="91"/>
      <c r="D324" s="91"/>
      <c r="E324" s="92" t="n">
        <f aca="false">N(C324)+N(D324)</f>
        <v>0</v>
      </c>
      <c r="F324" s="91"/>
      <c r="G324" s="91"/>
      <c r="H324" s="91"/>
      <c r="I324" s="92" t="n">
        <f aca="false">N(F324)+N(G324)+N(H324)</f>
        <v>0</v>
      </c>
      <c r="J324" s="92" t="n">
        <f aca="false">IF(AND(F324="",G324=""),0,N(C324)-N(F324)-N(G324))</f>
        <v>0</v>
      </c>
      <c r="K324" s="92" t="n">
        <f aca="false">IF(H324="",0,N(D324)-N(H324))</f>
        <v>0</v>
      </c>
      <c r="L324" s="91"/>
      <c r="M324" s="91"/>
      <c r="N324" s="91"/>
      <c r="O324" s="92" t="n">
        <f aca="false">IF(AND(F324="",G324=""),0,J324-N(L324)-N(M324)-N(N324))</f>
        <v>0</v>
      </c>
      <c r="P324" s="92" t="n">
        <f aca="false">K324+O324</f>
        <v>0</v>
      </c>
      <c r="Q324" s="85" t="n">
        <f aca="false">E324-P324</f>
        <v>0</v>
      </c>
      <c r="R324" s="91"/>
      <c r="S324" s="91"/>
      <c r="T324" s="92" t="str">
        <f aca="false">IF(N(S324)=0,"",Q324/S324)</f>
        <v/>
      </c>
      <c r="U324" s="93" t="str">
        <f aca="false">IF(E324=0,"",IF(AND(N(C324)&gt;0,F324="",G324=""),"Belum direalisasi",IF(AND(N(D324)&gt;0,H324=""),"EDC belum settle",IF(ABS(O324)&gt;50000,"Cek selisih tunai","OK"))))</f>
        <v/>
      </c>
    </row>
    <row r="325" customFormat="false" ht="15" hidden="false" customHeight="false" outlineLevel="0" collapsed="false">
      <c r="A325" s="89" t="n">
        <v>46343</v>
      </c>
      <c r="B325" s="90" t="n">
        <f aca="false">MONTH(A325)</f>
        <v>11</v>
      </c>
      <c r="C325" s="91"/>
      <c r="D325" s="91"/>
      <c r="E325" s="92" t="n">
        <f aca="false">N(C325)+N(D325)</f>
        <v>0</v>
      </c>
      <c r="F325" s="91"/>
      <c r="G325" s="91"/>
      <c r="H325" s="91"/>
      <c r="I325" s="92" t="n">
        <f aca="false">N(F325)+N(G325)+N(H325)</f>
        <v>0</v>
      </c>
      <c r="J325" s="92" t="n">
        <f aca="false">IF(AND(F325="",G325=""),0,N(C325)-N(F325)-N(G325))</f>
        <v>0</v>
      </c>
      <c r="K325" s="92" t="n">
        <f aca="false">IF(H325="",0,N(D325)-N(H325))</f>
        <v>0</v>
      </c>
      <c r="L325" s="91"/>
      <c r="M325" s="91"/>
      <c r="N325" s="91"/>
      <c r="O325" s="92" t="n">
        <f aca="false">IF(AND(F325="",G325=""),0,J325-N(L325)-N(M325)-N(N325))</f>
        <v>0</v>
      </c>
      <c r="P325" s="92" t="n">
        <f aca="false">K325+O325</f>
        <v>0</v>
      </c>
      <c r="Q325" s="85" t="n">
        <f aca="false">E325-P325</f>
        <v>0</v>
      </c>
      <c r="R325" s="91"/>
      <c r="S325" s="91"/>
      <c r="T325" s="92" t="str">
        <f aca="false">IF(N(S325)=0,"",Q325/S325)</f>
        <v/>
      </c>
      <c r="U325" s="93" t="str">
        <f aca="false">IF(E325=0,"",IF(AND(N(C325)&gt;0,F325="",G325=""),"Belum direalisasi",IF(AND(N(D325)&gt;0,H325=""),"EDC belum settle",IF(ABS(O325)&gt;50000,"Cek selisih tunai","OK"))))</f>
        <v/>
      </c>
    </row>
    <row r="326" customFormat="false" ht="15" hidden="false" customHeight="false" outlineLevel="0" collapsed="false">
      <c r="A326" s="89" t="n">
        <v>46344</v>
      </c>
      <c r="B326" s="90" t="n">
        <f aca="false">MONTH(A326)</f>
        <v>11</v>
      </c>
      <c r="C326" s="91"/>
      <c r="D326" s="91"/>
      <c r="E326" s="92" t="n">
        <f aca="false">N(C326)+N(D326)</f>
        <v>0</v>
      </c>
      <c r="F326" s="91"/>
      <c r="G326" s="91"/>
      <c r="H326" s="91"/>
      <c r="I326" s="92" t="n">
        <f aca="false">N(F326)+N(G326)+N(H326)</f>
        <v>0</v>
      </c>
      <c r="J326" s="92" t="n">
        <f aca="false">IF(AND(F326="",G326=""),0,N(C326)-N(F326)-N(G326))</f>
        <v>0</v>
      </c>
      <c r="K326" s="92" t="n">
        <f aca="false">IF(H326="",0,N(D326)-N(H326))</f>
        <v>0</v>
      </c>
      <c r="L326" s="91"/>
      <c r="M326" s="91"/>
      <c r="N326" s="91"/>
      <c r="O326" s="92" t="n">
        <f aca="false">IF(AND(F326="",G326=""),0,J326-N(L326)-N(M326)-N(N326))</f>
        <v>0</v>
      </c>
      <c r="P326" s="92" t="n">
        <f aca="false">K326+O326</f>
        <v>0</v>
      </c>
      <c r="Q326" s="85" t="n">
        <f aca="false">E326-P326</f>
        <v>0</v>
      </c>
      <c r="R326" s="91"/>
      <c r="S326" s="91"/>
      <c r="T326" s="92" t="str">
        <f aca="false">IF(N(S326)=0,"",Q326/S326)</f>
        <v/>
      </c>
      <c r="U326" s="93" t="str">
        <f aca="false">IF(E326=0,"",IF(AND(N(C326)&gt;0,F326="",G326=""),"Belum direalisasi",IF(AND(N(D326)&gt;0,H326=""),"EDC belum settle",IF(ABS(O326)&gt;50000,"Cek selisih tunai","OK"))))</f>
        <v/>
      </c>
    </row>
    <row r="327" customFormat="false" ht="15" hidden="false" customHeight="false" outlineLevel="0" collapsed="false">
      <c r="A327" s="89" t="n">
        <v>46345</v>
      </c>
      <c r="B327" s="90" t="n">
        <f aca="false">MONTH(A327)</f>
        <v>11</v>
      </c>
      <c r="C327" s="91"/>
      <c r="D327" s="91"/>
      <c r="E327" s="92" t="n">
        <f aca="false">N(C327)+N(D327)</f>
        <v>0</v>
      </c>
      <c r="F327" s="91"/>
      <c r="G327" s="91"/>
      <c r="H327" s="91"/>
      <c r="I327" s="92" t="n">
        <f aca="false">N(F327)+N(G327)+N(H327)</f>
        <v>0</v>
      </c>
      <c r="J327" s="92" t="n">
        <f aca="false">IF(AND(F327="",G327=""),0,N(C327)-N(F327)-N(G327))</f>
        <v>0</v>
      </c>
      <c r="K327" s="92" t="n">
        <f aca="false">IF(H327="",0,N(D327)-N(H327))</f>
        <v>0</v>
      </c>
      <c r="L327" s="91"/>
      <c r="M327" s="91"/>
      <c r="N327" s="91"/>
      <c r="O327" s="92" t="n">
        <f aca="false">IF(AND(F327="",G327=""),0,J327-N(L327)-N(M327)-N(N327))</f>
        <v>0</v>
      </c>
      <c r="P327" s="92" t="n">
        <f aca="false">K327+O327</f>
        <v>0</v>
      </c>
      <c r="Q327" s="85" t="n">
        <f aca="false">E327-P327</f>
        <v>0</v>
      </c>
      <c r="R327" s="91"/>
      <c r="S327" s="91"/>
      <c r="T327" s="92" t="str">
        <f aca="false">IF(N(S327)=0,"",Q327/S327)</f>
        <v/>
      </c>
      <c r="U327" s="93" t="str">
        <f aca="false">IF(E327=0,"",IF(AND(N(C327)&gt;0,F327="",G327=""),"Belum direalisasi",IF(AND(N(D327)&gt;0,H327=""),"EDC belum settle",IF(ABS(O327)&gt;50000,"Cek selisih tunai","OK"))))</f>
        <v/>
      </c>
    </row>
    <row r="328" customFormat="false" ht="15" hidden="false" customHeight="false" outlineLevel="0" collapsed="false">
      <c r="A328" s="89" t="n">
        <v>46346</v>
      </c>
      <c r="B328" s="90" t="n">
        <f aca="false">MONTH(A328)</f>
        <v>11</v>
      </c>
      <c r="C328" s="91"/>
      <c r="D328" s="91"/>
      <c r="E328" s="92" t="n">
        <f aca="false">N(C328)+N(D328)</f>
        <v>0</v>
      </c>
      <c r="F328" s="91"/>
      <c r="G328" s="91"/>
      <c r="H328" s="91"/>
      <c r="I328" s="92" t="n">
        <f aca="false">N(F328)+N(G328)+N(H328)</f>
        <v>0</v>
      </c>
      <c r="J328" s="92" t="n">
        <f aca="false">IF(AND(F328="",G328=""),0,N(C328)-N(F328)-N(G328))</f>
        <v>0</v>
      </c>
      <c r="K328" s="92" t="n">
        <f aca="false">IF(H328="",0,N(D328)-N(H328))</f>
        <v>0</v>
      </c>
      <c r="L328" s="91"/>
      <c r="M328" s="91"/>
      <c r="N328" s="91"/>
      <c r="O328" s="92" t="n">
        <f aca="false">IF(AND(F328="",G328=""),0,J328-N(L328)-N(M328)-N(N328))</f>
        <v>0</v>
      </c>
      <c r="P328" s="92" t="n">
        <f aca="false">K328+O328</f>
        <v>0</v>
      </c>
      <c r="Q328" s="85" t="n">
        <f aca="false">E328-P328</f>
        <v>0</v>
      </c>
      <c r="R328" s="91"/>
      <c r="S328" s="91"/>
      <c r="T328" s="92" t="str">
        <f aca="false">IF(N(S328)=0,"",Q328/S328)</f>
        <v/>
      </c>
      <c r="U328" s="93" t="str">
        <f aca="false">IF(E328=0,"",IF(AND(N(C328)&gt;0,F328="",G328=""),"Belum direalisasi",IF(AND(N(D328)&gt;0,H328=""),"EDC belum settle",IF(ABS(O328)&gt;50000,"Cek selisih tunai","OK"))))</f>
        <v/>
      </c>
    </row>
    <row r="329" customFormat="false" ht="15" hidden="false" customHeight="false" outlineLevel="0" collapsed="false">
      <c r="A329" s="89" t="n">
        <v>46347</v>
      </c>
      <c r="B329" s="90" t="n">
        <f aca="false">MONTH(A329)</f>
        <v>11</v>
      </c>
      <c r="C329" s="91"/>
      <c r="D329" s="91"/>
      <c r="E329" s="92" t="n">
        <f aca="false">N(C329)+N(D329)</f>
        <v>0</v>
      </c>
      <c r="F329" s="91"/>
      <c r="G329" s="91"/>
      <c r="H329" s="91"/>
      <c r="I329" s="92" t="n">
        <f aca="false">N(F329)+N(G329)+N(H329)</f>
        <v>0</v>
      </c>
      <c r="J329" s="92" t="n">
        <f aca="false">IF(AND(F329="",G329=""),0,N(C329)-N(F329)-N(G329))</f>
        <v>0</v>
      </c>
      <c r="K329" s="92" t="n">
        <f aca="false">IF(H329="",0,N(D329)-N(H329))</f>
        <v>0</v>
      </c>
      <c r="L329" s="91"/>
      <c r="M329" s="91"/>
      <c r="N329" s="91"/>
      <c r="O329" s="92" t="n">
        <f aca="false">IF(AND(F329="",G329=""),0,J329-N(L329)-N(M329)-N(N329))</f>
        <v>0</v>
      </c>
      <c r="P329" s="92" t="n">
        <f aca="false">K329+O329</f>
        <v>0</v>
      </c>
      <c r="Q329" s="85" t="n">
        <f aca="false">E329-P329</f>
        <v>0</v>
      </c>
      <c r="R329" s="91"/>
      <c r="S329" s="91"/>
      <c r="T329" s="92" t="str">
        <f aca="false">IF(N(S329)=0,"",Q329/S329)</f>
        <v/>
      </c>
      <c r="U329" s="93" t="str">
        <f aca="false">IF(E329=0,"",IF(AND(N(C329)&gt;0,F329="",G329=""),"Belum direalisasi",IF(AND(N(D329)&gt;0,H329=""),"EDC belum settle",IF(ABS(O329)&gt;50000,"Cek selisih tunai","OK"))))</f>
        <v/>
      </c>
    </row>
    <row r="330" customFormat="false" ht="15" hidden="false" customHeight="false" outlineLevel="0" collapsed="false">
      <c r="A330" s="89" t="n">
        <v>46348</v>
      </c>
      <c r="B330" s="90" t="n">
        <f aca="false">MONTH(A330)</f>
        <v>11</v>
      </c>
      <c r="C330" s="91"/>
      <c r="D330" s="91"/>
      <c r="E330" s="92" t="n">
        <f aca="false">N(C330)+N(D330)</f>
        <v>0</v>
      </c>
      <c r="F330" s="91"/>
      <c r="G330" s="91"/>
      <c r="H330" s="91"/>
      <c r="I330" s="92" t="n">
        <f aca="false">N(F330)+N(G330)+N(H330)</f>
        <v>0</v>
      </c>
      <c r="J330" s="92" t="n">
        <f aca="false">IF(AND(F330="",G330=""),0,N(C330)-N(F330)-N(G330))</f>
        <v>0</v>
      </c>
      <c r="K330" s="92" t="n">
        <f aca="false">IF(H330="",0,N(D330)-N(H330))</f>
        <v>0</v>
      </c>
      <c r="L330" s="91"/>
      <c r="M330" s="91"/>
      <c r="N330" s="91"/>
      <c r="O330" s="92" t="n">
        <f aca="false">IF(AND(F330="",G330=""),0,J330-N(L330)-N(M330)-N(N330))</f>
        <v>0</v>
      </c>
      <c r="P330" s="92" t="n">
        <f aca="false">K330+O330</f>
        <v>0</v>
      </c>
      <c r="Q330" s="85" t="n">
        <f aca="false">E330-P330</f>
        <v>0</v>
      </c>
      <c r="R330" s="91"/>
      <c r="S330" s="91"/>
      <c r="T330" s="92" t="str">
        <f aca="false">IF(N(S330)=0,"",Q330/S330)</f>
        <v/>
      </c>
      <c r="U330" s="93" t="str">
        <f aca="false">IF(E330=0,"",IF(AND(N(C330)&gt;0,F330="",G330=""),"Belum direalisasi",IF(AND(N(D330)&gt;0,H330=""),"EDC belum settle",IF(ABS(O330)&gt;50000,"Cek selisih tunai","OK"))))</f>
        <v/>
      </c>
    </row>
    <row r="331" customFormat="false" ht="15" hidden="false" customHeight="false" outlineLevel="0" collapsed="false">
      <c r="A331" s="89" t="n">
        <v>46349</v>
      </c>
      <c r="B331" s="90" t="n">
        <f aca="false">MONTH(A331)</f>
        <v>11</v>
      </c>
      <c r="C331" s="91"/>
      <c r="D331" s="91"/>
      <c r="E331" s="92" t="n">
        <f aca="false">N(C331)+N(D331)</f>
        <v>0</v>
      </c>
      <c r="F331" s="91"/>
      <c r="G331" s="91"/>
      <c r="H331" s="91"/>
      <c r="I331" s="92" t="n">
        <f aca="false">N(F331)+N(G331)+N(H331)</f>
        <v>0</v>
      </c>
      <c r="J331" s="92" t="n">
        <f aca="false">IF(AND(F331="",G331=""),0,N(C331)-N(F331)-N(G331))</f>
        <v>0</v>
      </c>
      <c r="K331" s="92" t="n">
        <f aca="false">IF(H331="",0,N(D331)-N(H331))</f>
        <v>0</v>
      </c>
      <c r="L331" s="91"/>
      <c r="M331" s="91"/>
      <c r="N331" s="91"/>
      <c r="O331" s="92" t="n">
        <f aca="false">IF(AND(F331="",G331=""),0,J331-N(L331)-N(M331)-N(N331))</f>
        <v>0</v>
      </c>
      <c r="P331" s="92" t="n">
        <f aca="false">K331+O331</f>
        <v>0</v>
      </c>
      <c r="Q331" s="85" t="n">
        <f aca="false">E331-P331</f>
        <v>0</v>
      </c>
      <c r="R331" s="91"/>
      <c r="S331" s="91"/>
      <c r="T331" s="92" t="str">
        <f aca="false">IF(N(S331)=0,"",Q331/S331)</f>
        <v/>
      </c>
      <c r="U331" s="93" t="str">
        <f aca="false">IF(E331=0,"",IF(AND(N(C331)&gt;0,F331="",G331=""),"Belum direalisasi",IF(AND(N(D331)&gt;0,H331=""),"EDC belum settle",IF(ABS(O331)&gt;50000,"Cek selisih tunai","OK"))))</f>
        <v/>
      </c>
    </row>
    <row r="332" customFormat="false" ht="15" hidden="false" customHeight="false" outlineLevel="0" collapsed="false">
      <c r="A332" s="89" t="n">
        <v>46350</v>
      </c>
      <c r="B332" s="90" t="n">
        <f aca="false">MONTH(A332)</f>
        <v>11</v>
      </c>
      <c r="C332" s="91"/>
      <c r="D332" s="91"/>
      <c r="E332" s="92" t="n">
        <f aca="false">N(C332)+N(D332)</f>
        <v>0</v>
      </c>
      <c r="F332" s="91"/>
      <c r="G332" s="91"/>
      <c r="H332" s="91"/>
      <c r="I332" s="92" t="n">
        <f aca="false">N(F332)+N(G332)+N(H332)</f>
        <v>0</v>
      </c>
      <c r="J332" s="92" t="n">
        <f aca="false">IF(AND(F332="",G332=""),0,N(C332)-N(F332)-N(G332))</f>
        <v>0</v>
      </c>
      <c r="K332" s="92" t="n">
        <f aca="false">IF(H332="",0,N(D332)-N(H332))</f>
        <v>0</v>
      </c>
      <c r="L332" s="91"/>
      <c r="M332" s="91"/>
      <c r="N332" s="91"/>
      <c r="O332" s="92" t="n">
        <f aca="false">IF(AND(F332="",G332=""),0,J332-N(L332)-N(M332)-N(N332))</f>
        <v>0</v>
      </c>
      <c r="P332" s="92" t="n">
        <f aca="false">K332+O332</f>
        <v>0</v>
      </c>
      <c r="Q332" s="85" t="n">
        <f aca="false">E332-P332</f>
        <v>0</v>
      </c>
      <c r="R332" s="91"/>
      <c r="S332" s="91"/>
      <c r="T332" s="92" t="str">
        <f aca="false">IF(N(S332)=0,"",Q332/S332)</f>
        <v/>
      </c>
      <c r="U332" s="93" t="str">
        <f aca="false">IF(E332=0,"",IF(AND(N(C332)&gt;0,F332="",G332=""),"Belum direalisasi",IF(AND(N(D332)&gt;0,H332=""),"EDC belum settle",IF(ABS(O332)&gt;50000,"Cek selisih tunai","OK"))))</f>
        <v/>
      </c>
    </row>
    <row r="333" customFormat="false" ht="15" hidden="false" customHeight="false" outlineLevel="0" collapsed="false">
      <c r="A333" s="89" t="n">
        <v>46351</v>
      </c>
      <c r="B333" s="90" t="n">
        <f aca="false">MONTH(A333)</f>
        <v>11</v>
      </c>
      <c r="C333" s="91"/>
      <c r="D333" s="91"/>
      <c r="E333" s="92" t="n">
        <f aca="false">N(C333)+N(D333)</f>
        <v>0</v>
      </c>
      <c r="F333" s="91"/>
      <c r="G333" s="91"/>
      <c r="H333" s="91"/>
      <c r="I333" s="92" t="n">
        <f aca="false">N(F333)+N(G333)+N(H333)</f>
        <v>0</v>
      </c>
      <c r="J333" s="92" t="n">
        <f aca="false">IF(AND(F333="",G333=""),0,N(C333)-N(F333)-N(G333))</f>
        <v>0</v>
      </c>
      <c r="K333" s="92" t="n">
        <f aca="false">IF(H333="",0,N(D333)-N(H333))</f>
        <v>0</v>
      </c>
      <c r="L333" s="91"/>
      <c r="M333" s="91"/>
      <c r="N333" s="91"/>
      <c r="O333" s="92" t="n">
        <f aca="false">IF(AND(F333="",G333=""),0,J333-N(L333)-N(M333)-N(N333))</f>
        <v>0</v>
      </c>
      <c r="P333" s="92" t="n">
        <f aca="false">K333+O333</f>
        <v>0</v>
      </c>
      <c r="Q333" s="85" t="n">
        <f aca="false">E333-P333</f>
        <v>0</v>
      </c>
      <c r="R333" s="91"/>
      <c r="S333" s="91"/>
      <c r="T333" s="92" t="str">
        <f aca="false">IF(N(S333)=0,"",Q333/S333)</f>
        <v/>
      </c>
      <c r="U333" s="93" t="str">
        <f aca="false">IF(E333=0,"",IF(AND(N(C333)&gt;0,F333="",G333=""),"Belum direalisasi",IF(AND(N(D333)&gt;0,H333=""),"EDC belum settle",IF(ABS(O333)&gt;50000,"Cek selisih tunai","OK"))))</f>
        <v/>
      </c>
    </row>
    <row r="334" customFormat="false" ht="15" hidden="false" customHeight="false" outlineLevel="0" collapsed="false">
      <c r="A334" s="89" t="n">
        <v>46352</v>
      </c>
      <c r="B334" s="90" t="n">
        <f aca="false">MONTH(A334)</f>
        <v>11</v>
      </c>
      <c r="C334" s="91"/>
      <c r="D334" s="91"/>
      <c r="E334" s="92" t="n">
        <f aca="false">N(C334)+N(D334)</f>
        <v>0</v>
      </c>
      <c r="F334" s="91"/>
      <c r="G334" s="91"/>
      <c r="H334" s="91"/>
      <c r="I334" s="92" t="n">
        <f aca="false">N(F334)+N(G334)+N(H334)</f>
        <v>0</v>
      </c>
      <c r="J334" s="92" t="n">
        <f aca="false">IF(AND(F334="",G334=""),0,N(C334)-N(F334)-N(G334))</f>
        <v>0</v>
      </c>
      <c r="K334" s="92" t="n">
        <f aca="false">IF(H334="",0,N(D334)-N(H334))</f>
        <v>0</v>
      </c>
      <c r="L334" s="91"/>
      <c r="M334" s="91"/>
      <c r="N334" s="91"/>
      <c r="O334" s="92" t="n">
        <f aca="false">IF(AND(F334="",G334=""),0,J334-N(L334)-N(M334)-N(N334))</f>
        <v>0</v>
      </c>
      <c r="P334" s="92" t="n">
        <f aca="false">K334+O334</f>
        <v>0</v>
      </c>
      <c r="Q334" s="85" t="n">
        <f aca="false">E334-P334</f>
        <v>0</v>
      </c>
      <c r="R334" s="91"/>
      <c r="S334" s="91"/>
      <c r="T334" s="92" t="str">
        <f aca="false">IF(N(S334)=0,"",Q334/S334)</f>
        <v/>
      </c>
      <c r="U334" s="93" t="str">
        <f aca="false">IF(E334=0,"",IF(AND(N(C334)&gt;0,F334="",G334=""),"Belum direalisasi",IF(AND(N(D334)&gt;0,H334=""),"EDC belum settle",IF(ABS(O334)&gt;50000,"Cek selisih tunai","OK"))))</f>
        <v/>
      </c>
    </row>
    <row r="335" customFormat="false" ht="15" hidden="false" customHeight="false" outlineLevel="0" collapsed="false">
      <c r="A335" s="89" t="n">
        <v>46353</v>
      </c>
      <c r="B335" s="90" t="n">
        <f aca="false">MONTH(A335)</f>
        <v>11</v>
      </c>
      <c r="C335" s="91"/>
      <c r="D335" s="91"/>
      <c r="E335" s="92" t="n">
        <f aca="false">N(C335)+N(D335)</f>
        <v>0</v>
      </c>
      <c r="F335" s="91"/>
      <c r="G335" s="91"/>
      <c r="H335" s="91"/>
      <c r="I335" s="92" t="n">
        <f aca="false">N(F335)+N(G335)+N(H335)</f>
        <v>0</v>
      </c>
      <c r="J335" s="92" t="n">
        <f aca="false">IF(AND(F335="",G335=""),0,N(C335)-N(F335)-N(G335))</f>
        <v>0</v>
      </c>
      <c r="K335" s="92" t="n">
        <f aca="false">IF(H335="",0,N(D335)-N(H335))</f>
        <v>0</v>
      </c>
      <c r="L335" s="91"/>
      <c r="M335" s="91"/>
      <c r="N335" s="91"/>
      <c r="O335" s="92" t="n">
        <f aca="false">IF(AND(F335="",G335=""),0,J335-N(L335)-N(M335)-N(N335))</f>
        <v>0</v>
      </c>
      <c r="P335" s="92" t="n">
        <f aca="false">K335+O335</f>
        <v>0</v>
      </c>
      <c r="Q335" s="85" t="n">
        <f aca="false">E335-P335</f>
        <v>0</v>
      </c>
      <c r="R335" s="91"/>
      <c r="S335" s="91"/>
      <c r="T335" s="92" t="str">
        <f aca="false">IF(N(S335)=0,"",Q335/S335)</f>
        <v/>
      </c>
      <c r="U335" s="93" t="str">
        <f aca="false">IF(E335=0,"",IF(AND(N(C335)&gt;0,F335="",G335=""),"Belum direalisasi",IF(AND(N(D335)&gt;0,H335=""),"EDC belum settle",IF(ABS(O335)&gt;50000,"Cek selisih tunai","OK"))))</f>
        <v/>
      </c>
    </row>
    <row r="336" customFormat="false" ht="15" hidden="false" customHeight="false" outlineLevel="0" collapsed="false">
      <c r="A336" s="89" t="n">
        <v>46354</v>
      </c>
      <c r="B336" s="90" t="n">
        <f aca="false">MONTH(A336)</f>
        <v>11</v>
      </c>
      <c r="C336" s="91"/>
      <c r="D336" s="91"/>
      <c r="E336" s="92" t="n">
        <f aca="false">N(C336)+N(D336)</f>
        <v>0</v>
      </c>
      <c r="F336" s="91"/>
      <c r="G336" s="91"/>
      <c r="H336" s="91"/>
      <c r="I336" s="92" t="n">
        <f aca="false">N(F336)+N(G336)+N(H336)</f>
        <v>0</v>
      </c>
      <c r="J336" s="92" t="n">
        <f aca="false">IF(AND(F336="",G336=""),0,N(C336)-N(F336)-N(G336))</f>
        <v>0</v>
      </c>
      <c r="K336" s="92" t="n">
        <f aca="false">IF(H336="",0,N(D336)-N(H336))</f>
        <v>0</v>
      </c>
      <c r="L336" s="91"/>
      <c r="M336" s="91"/>
      <c r="N336" s="91"/>
      <c r="O336" s="92" t="n">
        <f aca="false">IF(AND(F336="",G336=""),0,J336-N(L336)-N(M336)-N(N336))</f>
        <v>0</v>
      </c>
      <c r="P336" s="92" t="n">
        <f aca="false">K336+O336</f>
        <v>0</v>
      </c>
      <c r="Q336" s="85" t="n">
        <f aca="false">E336-P336</f>
        <v>0</v>
      </c>
      <c r="R336" s="91"/>
      <c r="S336" s="91"/>
      <c r="T336" s="92" t="str">
        <f aca="false">IF(N(S336)=0,"",Q336/S336)</f>
        <v/>
      </c>
      <c r="U336" s="93" t="str">
        <f aca="false">IF(E336=0,"",IF(AND(N(C336)&gt;0,F336="",G336=""),"Belum direalisasi",IF(AND(N(D336)&gt;0,H336=""),"EDC belum settle",IF(ABS(O336)&gt;50000,"Cek selisih tunai","OK"))))</f>
        <v/>
      </c>
    </row>
    <row r="337" customFormat="false" ht="15" hidden="false" customHeight="false" outlineLevel="0" collapsed="false">
      <c r="A337" s="89" t="n">
        <v>46355</v>
      </c>
      <c r="B337" s="90" t="n">
        <f aca="false">MONTH(A337)</f>
        <v>11</v>
      </c>
      <c r="C337" s="91"/>
      <c r="D337" s="91"/>
      <c r="E337" s="92" t="n">
        <f aca="false">N(C337)+N(D337)</f>
        <v>0</v>
      </c>
      <c r="F337" s="91"/>
      <c r="G337" s="91"/>
      <c r="H337" s="91"/>
      <c r="I337" s="92" t="n">
        <f aca="false">N(F337)+N(G337)+N(H337)</f>
        <v>0</v>
      </c>
      <c r="J337" s="92" t="n">
        <f aca="false">IF(AND(F337="",G337=""),0,N(C337)-N(F337)-N(G337))</f>
        <v>0</v>
      </c>
      <c r="K337" s="92" t="n">
        <f aca="false">IF(H337="",0,N(D337)-N(H337))</f>
        <v>0</v>
      </c>
      <c r="L337" s="91"/>
      <c r="M337" s="91"/>
      <c r="N337" s="91"/>
      <c r="O337" s="92" t="n">
        <f aca="false">IF(AND(F337="",G337=""),0,J337-N(L337)-N(M337)-N(N337))</f>
        <v>0</v>
      </c>
      <c r="P337" s="92" t="n">
        <f aca="false">K337+O337</f>
        <v>0</v>
      </c>
      <c r="Q337" s="85" t="n">
        <f aca="false">E337-P337</f>
        <v>0</v>
      </c>
      <c r="R337" s="91"/>
      <c r="S337" s="91"/>
      <c r="T337" s="92" t="str">
        <f aca="false">IF(N(S337)=0,"",Q337/S337)</f>
        <v/>
      </c>
      <c r="U337" s="93" t="str">
        <f aca="false">IF(E337=0,"",IF(AND(N(C337)&gt;0,F337="",G337=""),"Belum direalisasi",IF(AND(N(D337)&gt;0,H337=""),"EDC belum settle",IF(ABS(O337)&gt;50000,"Cek selisih tunai","OK"))))</f>
        <v/>
      </c>
    </row>
    <row r="338" customFormat="false" ht="15" hidden="false" customHeight="false" outlineLevel="0" collapsed="false">
      <c r="A338" s="89" t="n">
        <v>46356</v>
      </c>
      <c r="B338" s="90" t="n">
        <f aca="false">MONTH(A338)</f>
        <v>11</v>
      </c>
      <c r="C338" s="91"/>
      <c r="D338" s="91"/>
      <c r="E338" s="92" t="n">
        <f aca="false">N(C338)+N(D338)</f>
        <v>0</v>
      </c>
      <c r="F338" s="91"/>
      <c r="G338" s="91"/>
      <c r="H338" s="91"/>
      <c r="I338" s="92" t="n">
        <f aca="false">N(F338)+N(G338)+N(H338)</f>
        <v>0</v>
      </c>
      <c r="J338" s="92" t="n">
        <f aca="false">IF(AND(F338="",G338=""),0,N(C338)-N(F338)-N(G338))</f>
        <v>0</v>
      </c>
      <c r="K338" s="92" t="n">
        <f aca="false">IF(H338="",0,N(D338)-N(H338))</f>
        <v>0</v>
      </c>
      <c r="L338" s="91"/>
      <c r="M338" s="91"/>
      <c r="N338" s="91"/>
      <c r="O338" s="92" t="n">
        <f aca="false">IF(AND(F338="",G338=""),0,J338-N(L338)-N(M338)-N(N338))</f>
        <v>0</v>
      </c>
      <c r="P338" s="92" t="n">
        <f aca="false">K338+O338</f>
        <v>0</v>
      </c>
      <c r="Q338" s="85" t="n">
        <f aca="false">E338-P338</f>
        <v>0</v>
      </c>
      <c r="R338" s="91"/>
      <c r="S338" s="91"/>
      <c r="T338" s="92" t="str">
        <f aca="false">IF(N(S338)=0,"",Q338/S338)</f>
        <v/>
      </c>
      <c r="U338" s="93" t="str">
        <f aca="false">IF(E338=0,"",IF(AND(N(C338)&gt;0,F338="",G338=""),"Belum direalisasi",IF(AND(N(D338)&gt;0,H338=""),"EDC belum settle",IF(ABS(O338)&gt;50000,"Cek selisih tunai","OK"))))</f>
        <v/>
      </c>
    </row>
    <row r="339" customFormat="false" ht="15" hidden="false" customHeight="false" outlineLevel="0" collapsed="false">
      <c r="A339" s="94" t="n">
        <v>46357</v>
      </c>
      <c r="B339" s="95" t="n">
        <f aca="false">MONTH(A339)</f>
        <v>12</v>
      </c>
      <c r="C339" s="96"/>
      <c r="D339" s="96"/>
      <c r="E339" s="97" t="n">
        <f aca="false">N(C339)+N(D339)</f>
        <v>0</v>
      </c>
      <c r="F339" s="96"/>
      <c r="G339" s="96"/>
      <c r="H339" s="96"/>
      <c r="I339" s="97" t="n">
        <f aca="false">N(F339)+N(G339)+N(H339)</f>
        <v>0</v>
      </c>
      <c r="J339" s="97" t="n">
        <f aca="false">IF(AND(F339="",G339=""),0,N(C339)-N(F339)-N(G339))</f>
        <v>0</v>
      </c>
      <c r="K339" s="97" t="n">
        <f aca="false">IF(H339="",0,N(D339)-N(H339))</f>
        <v>0</v>
      </c>
      <c r="L339" s="96"/>
      <c r="M339" s="96"/>
      <c r="N339" s="96"/>
      <c r="O339" s="97" t="n">
        <f aca="false">IF(AND(F339="",G339=""),0,J339-N(L339)-N(M339)-N(N339))</f>
        <v>0</v>
      </c>
      <c r="P339" s="97" t="n">
        <f aca="false">K339+O339</f>
        <v>0</v>
      </c>
      <c r="Q339" s="98" t="n">
        <f aca="false">E339-P339</f>
        <v>0</v>
      </c>
      <c r="R339" s="96"/>
      <c r="S339" s="96"/>
      <c r="T339" s="97" t="str">
        <f aca="false">IF(N(S339)=0,"",Q339/S339)</f>
        <v/>
      </c>
      <c r="U339" s="99" t="str">
        <f aca="false">IF(E339=0,"",IF(AND(N(C339)&gt;0,F339="",G339=""),"Belum direalisasi",IF(AND(N(D339)&gt;0,H339=""),"EDC belum settle",IF(ABS(O339)&gt;50000,"Cek selisih tunai","OK"))))</f>
        <v/>
      </c>
    </row>
    <row r="340" customFormat="false" ht="15" hidden="false" customHeight="false" outlineLevel="0" collapsed="false">
      <c r="A340" s="94" t="n">
        <v>46358</v>
      </c>
      <c r="B340" s="95" t="n">
        <f aca="false">MONTH(A340)</f>
        <v>12</v>
      </c>
      <c r="C340" s="96"/>
      <c r="D340" s="96"/>
      <c r="E340" s="97" t="n">
        <f aca="false">N(C340)+N(D340)</f>
        <v>0</v>
      </c>
      <c r="F340" s="96"/>
      <c r="G340" s="96"/>
      <c r="H340" s="96"/>
      <c r="I340" s="97" t="n">
        <f aca="false">N(F340)+N(G340)+N(H340)</f>
        <v>0</v>
      </c>
      <c r="J340" s="97" t="n">
        <f aca="false">IF(AND(F340="",G340=""),0,N(C340)-N(F340)-N(G340))</f>
        <v>0</v>
      </c>
      <c r="K340" s="97" t="n">
        <f aca="false">IF(H340="",0,N(D340)-N(H340))</f>
        <v>0</v>
      </c>
      <c r="L340" s="96"/>
      <c r="M340" s="96"/>
      <c r="N340" s="96"/>
      <c r="O340" s="97" t="n">
        <f aca="false">IF(AND(F340="",G340=""),0,J340-N(L340)-N(M340)-N(N340))</f>
        <v>0</v>
      </c>
      <c r="P340" s="97" t="n">
        <f aca="false">K340+O340</f>
        <v>0</v>
      </c>
      <c r="Q340" s="98" t="n">
        <f aca="false">E340-P340</f>
        <v>0</v>
      </c>
      <c r="R340" s="96"/>
      <c r="S340" s="96"/>
      <c r="T340" s="97" t="str">
        <f aca="false">IF(N(S340)=0,"",Q340/S340)</f>
        <v/>
      </c>
      <c r="U340" s="99" t="str">
        <f aca="false">IF(E340=0,"",IF(AND(N(C340)&gt;0,F340="",G340=""),"Belum direalisasi",IF(AND(N(D340)&gt;0,H340=""),"EDC belum settle",IF(ABS(O340)&gt;50000,"Cek selisih tunai","OK"))))</f>
        <v/>
      </c>
    </row>
    <row r="341" customFormat="false" ht="15" hidden="false" customHeight="false" outlineLevel="0" collapsed="false">
      <c r="A341" s="94" t="n">
        <v>46359</v>
      </c>
      <c r="B341" s="95" t="n">
        <f aca="false">MONTH(A341)</f>
        <v>12</v>
      </c>
      <c r="C341" s="96"/>
      <c r="D341" s="96"/>
      <c r="E341" s="97" t="n">
        <f aca="false">N(C341)+N(D341)</f>
        <v>0</v>
      </c>
      <c r="F341" s="96"/>
      <c r="G341" s="96"/>
      <c r="H341" s="96"/>
      <c r="I341" s="97" t="n">
        <f aca="false">N(F341)+N(G341)+N(H341)</f>
        <v>0</v>
      </c>
      <c r="J341" s="97" t="n">
        <f aca="false">IF(AND(F341="",G341=""),0,N(C341)-N(F341)-N(G341))</f>
        <v>0</v>
      </c>
      <c r="K341" s="97" t="n">
        <f aca="false">IF(H341="",0,N(D341)-N(H341))</f>
        <v>0</v>
      </c>
      <c r="L341" s="96"/>
      <c r="M341" s="96"/>
      <c r="N341" s="96"/>
      <c r="O341" s="97" t="n">
        <f aca="false">IF(AND(F341="",G341=""),0,J341-N(L341)-N(M341)-N(N341))</f>
        <v>0</v>
      </c>
      <c r="P341" s="97" t="n">
        <f aca="false">K341+O341</f>
        <v>0</v>
      </c>
      <c r="Q341" s="98" t="n">
        <f aca="false">E341-P341</f>
        <v>0</v>
      </c>
      <c r="R341" s="96"/>
      <c r="S341" s="96"/>
      <c r="T341" s="97" t="str">
        <f aca="false">IF(N(S341)=0,"",Q341/S341)</f>
        <v/>
      </c>
      <c r="U341" s="99" t="str">
        <f aca="false">IF(E341=0,"",IF(AND(N(C341)&gt;0,F341="",G341=""),"Belum direalisasi",IF(AND(N(D341)&gt;0,H341=""),"EDC belum settle",IF(ABS(O341)&gt;50000,"Cek selisih tunai","OK"))))</f>
        <v/>
      </c>
    </row>
    <row r="342" customFormat="false" ht="15" hidden="false" customHeight="false" outlineLevel="0" collapsed="false">
      <c r="A342" s="94" t="n">
        <v>46360</v>
      </c>
      <c r="B342" s="95" t="n">
        <f aca="false">MONTH(A342)</f>
        <v>12</v>
      </c>
      <c r="C342" s="96"/>
      <c r="D342" s="96"/>
      <c r="E342" s="97" t="n">
        <f aca="false">N(C342)+N(D342)</f>
        <v>0</v>
      </c>
      <c r="F342" s="96"/>
      <c r="G342" s="96"/>
      <c r="H342" s="96"/>
      <c r="I342" s="97" t="n">
        <f aca="false">N(F342)+N(G342)+N(H342)</f>
        <v>0</v>
      </c>
      <c r="J342" s="97" t="n">
        <f aca="false">IF(AND(F342="",G342=""),0,N(C342)-N(F342)-N(G342))</f>
        <v>0</v>
      </c>
      <c r="K342" s="97" t="n">
        <f aca="false">IF(H342="",0,N(D342)-N(H342))</f>
        <v>0</v>
      </c>
      <c r="L342" s="96"/>
      <c r="M342" s="96"/>
      <c r="N342" s="96"/>
      <c r="O342" s="97" t="n">
        <f aca="false">IF(AND(F342="",G342=""),0,J342-N(L342)-N(M342)-N(N342))</f>
        <v>0</v>
      </c>
      <c r="P342" s="97" t="n">
        <f aca="false">K342+O342</f>
        <v>0</v>
      </c>
      <c r="Q342" s="98" t="n">
        <f aca="false">E342-P342</f>
        <v>0</v>
      </c>
      <c r="R342" s="96"/>
      <c r="S342" s="96"/>
      <c r="T342" s="97" t="str">
        <f aca="false">IF(N(S342)=0,"",Q342/S342)</f>
        <v/>
      </c>
      <c r="U342" s="99" t="str">
        <f aca="false">IF(E342=0,"",IF(AND(N(C342)&gt;0,F342="",G342=""),"Belum direalisasi",IF(AND(N(D342)&gt;0,H342=""),"EDC belum settle",IF(ABS(O342)&gt;50000,"Cek selisih tunai","OK"))))</f>
        <v/>
      </c>
    </row>
    <row r="343" customFormat="false" ht="15" hidden="false" customHeight="false" outlineLevel="0" collapsed="false">
      <c r="A343" s="94" t="n">
        <v>46361</v>
      </c>
      <c r="B343" s="95" t="n">
        <f aca="false">MONTH(A343)</f>
        <v>12</v>
      </c>
      <c r="C343" s="96"/>
      <c r="D343" s="96"/>
      <c r="E343" s="97" t="n">
        <f aca="false">N(C343)+N(D343)</f>
        <v>0</v>
      </c>
      <c r="F343" s="96"/>
      <c r="G343" s="96"/>
      <c r="H343" s="96"/>
      <c r="I343" s="97" t="n">
        <f aca="false">N(F343)+N(G343)+N(H343)</f>
        <v>0</v>
      </c>
      <c r="J343" s="97" t="n">
        <f aca="false">IF(AND(F343="",G343=""),0,N(C343)-N(F343)-N(G343))</f>
        <v>0</v>
      </c>
      <c r="K343" s="97" t="n">
        <f aca="false">IF(H343="",0,N(D343)-N(H343))</f>
        <v>0</v>
      </c>
      <c r="L343" s="96"/>
      <c r="M343" s="96"/>
      <c r="N343" s="96"/>
      <c r="O343" s="97" t="n">
        <f aca="false">IF(AND(F343="",G343=""),0,J343-N(L343)-N(M343)-N(N343))</f>
        <v>0</v>
      </c>
      <c r="P343" s="97" t="n">
        <f aca="false">K343+O343</f>
        <v>0</v>
      </c>
      <c r="Q343" s="98" t="n">
        <f aca="false">E343-P343</f>
        <v>0</v>
      </c>
      <c r="R343" s="96"/>
      <c r="S343" s="96"/>
      <c r="T343" s="97" t="str">
        <f aca="false">IF(N(S343)=0,"",Q343/S343)</f>
        <v/>
      </c>
      <c r="U343" s="99" t="str">
        <f aca="false">IF(E343=0,"",IF(AND(N(C343)&gt;0,F343="",G343=""),"Belum direalisasi",IF(AND(N(D343)&gt;0,H343=""),"EDC belum settle",IF(ABS(O343)&gt;50000,"Cek selisih tunai","OK"))))</f>
        <v/>
      </c>
    </row>
    <row r="344" customFormat="false" ht="15" hidden="false" customHeight="false" outlineLevel="0" collapsed="false">
      <c r="A344" s="94" t="n">
        <v>46362</v>
      </c>
      <c r="B344" s="95" t="n">
        <f aca="false">MONTH(A344)</f>
        <v>12</v>
      </c>
      <c r="C344" s="96"/>
      <c r="D344" s="96"/>
      <c r="E344" s="97" t="n">
        <f aca="false">N(C344)+N(D344)</f>
        <v>0</v>
      </c>
      <c r="F344" s="96"/>
      <c r="G344" s="96"/>
      <c r="H344" s="96"/>
      <c r="I344" s="97" t="n">
        <f aca="false">N(F344)+N(G344)+N(H344)</f>
        <v>0</v>
      </c>
      <c r="J344" s="97" t="n">
        <f aca="false">IF(AND(F344="",G344=""),0,N(C344)-N(F344)-N(G344))</f>
        <v>0</v>
      </c>
      <c r="K344" s="97" t="n">
        <f aca="false">IF(H344="",0,N(D344)-N(H344))</f>
        <v>0</v>
      </c>
      <c r="L344" s="96"/>
      <c r="M344" s="96"/>
      <c r="N344" s="96"/>
      <c r="O344" s="97" t="n">
        <f aca="false">IF(AND(F344="",G344=""),0,J344-N(L344)-N(M344)-N(N344))</f>
        <v>0</v>
      </c>
      <c r="P344" s="97" t="n">
        <f aca="false">K344+O344</f>
        <v>0</v>
      </c>
      <c r="Q344" s="98" t="n">
        <f aca="false">E344-P344</f>
        <v>0</v>
      </c>
      <c r="R344" s="96"/>
      <c r="S344" s="96"/>
      <c r="T344" s="97" t="str">
        <f aca="false">IF(N(S344)=0,"",Q344/S344)</f>
        <v/>
      </c>
      <c r="U344" s="99" t="str">
        <f aca="false">IF(E344=0,"",IF(AND(N(C344)&gt;0,F344="",G344=""),"Belum direalisasi",IF(AND(N(D344)&gt;0,H344=""),"EDC belum settle",IF(ABS(O344)&gt;50000,"Cek selisih tunai","OK"))))</f>
        <v/>
      </c>
    </row>
    <row r="345" customFormat="false" ht="15" hidden="false" customHeight="false" outlineLevel="0" collapsed="false">
      <c r="A345" s="94" t="n">
        <v>46363</v>
      </c>
      <c r="B345" s="95" t="n">
        <f aca="false">MONTH(A345)</f>
        <v>12</v>
      </c>
      <c r="C345" s="96"/>
      <c r="D345" s="96"/>
      <c r="E345" s="97" t="n">
        <f aca="false">N(C345)+N(D345)</f>
        <v>0</v>
      </c>
      <c r="F345" s="96"/>
      <c r="G345" s="96"/>
      <c r="H345" s="96"/>
      <c r="I345" s="97" t="n">
        <f aca="false">N(F345)+N(G345)+N(H345)</f>
        <v>0</v>
      </c>
      <c r="J345" s="97" t="n">
        <f aca="false">IF(AND(F345="",G345=""),0,N(C345)-N(F345)-N(G345))</f>
        <v>0</v>
      </c>
      <c r="K345" s="97" t="n">
        <f aca="false">IF(H345="",0,N(D345)-N(H345))</f>
        <v>0</v>
      </c>
      <c r="L345" s="96"/>
      <c r="M345" s="96"/>
      <c r="N345" s="96"/>
      <c r="O345" s="97" t="n">
        <f aca="false">IF(AND(F345="",G345=""),0,J345-N(L345)-N(M345)-N(N345))</f>
        <v>0</v>
      </c>
      <c r="P345" s="97" t="n">
        <f aca="false">K345+O345</f>
        <v>0</v>
      </c>
      <c r="Q345" s="98" t="n">
        <f aca="false">E345-P345</f>
        <v>0</v>
      </c>
      <c r="R345" s="96"/>
      <c r="S345" s="96"/>
      <c r="T345" s="97" t="str">
        <f aca="false">IF(N(S345)=0,"",Q345/S345)</f>
        <v/>
      </c>
      <c r="U345" s="99" t="str">
        <f aca="false">IF(E345=0,"",IF(AND(N(C345)&gt;0,F345="",G345=""),"Belum direalisasi",IF(AND(N(D345)&gt;0,H345=""),"EDC belum settle",IF(ABS(O345)&gt;50000,"Cek selisih tunai","OK"))))</f>
        <v/>
      </c>
    </row>
    <row r="346" customFormat="false" ht="15" hidden="false" customHeight="false" outlineLevel="0" collapsed="false">
      <c r="A346" s="94" t="n">
        <v>46364</v>
      </c>
      <c r="B346" s="95" t="n">
        <f aca="false">MONTH(A346)</f>
        <v>12</v>
      </c>
      <c r="C346" s="96"/>
      <c r="D346" s="96"/>
      <c r="E346" s="97" t="n">
        <f aca="false">N(C346)+N(D346)</f>
        <v>0</v>
      </c>
      <c r="F346" s="96"/>
      <c r="G346" s="96"/>
      <c r="H346" s="96"/>
      <c r="I346" s="97" t="n">
        <f aca="false">N(F346)+N(G346)+N(H346)</f>
        <v>0</v>
      </c>
      <c r="J346" s="97" t="n">
        <f aca="false">IF(AND(F346="",G346=""),0,N(C346)-N(F346)-N(G346))</f>
        <v>0</v>
      </c>
      <c r="K346" s="97" t="n">
        <f aca="false">IF(H346="",0,N(D346)-N(H346))</f>
        <v>0</v>
      </c>
      <c r="L346" s="96"/>
      <c r="M346" s="96"/>
      <c r="N346" s="96"/>
      <c r="O346" s="97" t="n">
        <f aca="false">IF(AND(F346="",G346=""),0,J346-N(L346)-N(M346)-N(N346))</f>
        <v>0</v>
      </c>
      <c r="P346" s="97" t="n">
        <f aca="false">K346+O346</f>
        <v>0</v>
      </c>
      <c r="Q346" s="98" t="n">
        <f aca="false">E346-P346</f>
        <v>0</v>
      </c>
      <c r="R346" s="96"/>
      <c r="S346" s="96"/>
      <c r="T346" s="97" t="str">
        <f aca="false">IF(N(S346)=0,"",Q346/S346)</f>
        <v/>
      </c>
      <c r="U346" s="99" t="str">
        <f aca="false">IF(E346=0,"",IF(AND(N(C346)&gt;0,F346="",G346=""),"Belum direalisasi",IF(AND(N(D346)&gt;0,H346=""),"EDC belum settle",IF(ABS(O346)&gt;50000,"Cek selisih tunai","OK"))))</f>
        <v/>
      </c>
    </row>
    <row r="347" customFormat="false" ht="15" hidden="false" customHeight="false" outlineLevel="0" collapsed="false">
      <c r="A347" s="94" t="n">
        <v>46365</v>
      </c>
      <c r="B347" s="95" t="n">
        <f aca="false">MONTH(A347)</f>
        <v>12</v>
      </c>
      <c r="C347" s="96"/>
      <c r="D347" s="96"/>
      <c r="E347" s="97" t="n">
        <f aca="false">N(C347)+N(D347)</f>
        <v>0</v>
      </c>
      <c r="F347" s="96"/>
      <c r="G347" s="96"/>
      <c r="H347" s="96"/>
      <c r="I347" s="97" t="n">
        <f aca="false">N(F347)+N(G347)+N(H347)</f>
        <v>0</v>
      </c>
      <c r="J347" s="97" t="n">
        <f aca="false">IF(AND(F347="",G347=""),0,N(C347)-N(F347)-N(G347))</f>
        <v>0</v>
      </c>
      <c r="K347" s="97" t="n">
        <f aca="false">IF(H347="",0,N(D347)-N(H347))</f>
        <v>0</v>
      </c>
      <c r="L347" s="96"/>
      <c r="M347" s="96"/>
      <c r="N347" s="96"/>
      <c r="O347" s="97" t="n">
        <f aca="false">IF(AND(F347="",G347=""),0,J347-N(L347)-N(M347)-N(N347))</f>
        <v>0</v>
      </c>
      <c r="P347" s="97" t="n">
        <f aca="false">K347+O347</f>
        <v>0</v>
      </c>
      <c r="Q347" s="98" t="n">
        <f aca="false">E347-P347</f>
        <v>0</v>
      </c>
      <c r="R347" s="96"/>
      <c r="S347" s="96"/>
      <c r="T347" s="97" t="str">
        <f aca="false">IF(N(S347)=0,"",Q347/S347)</f>
        <v/>
      </c>
      <c r="U347" s="99" t="str">
        <f aca="false">IF(E347=0,"",IF(AND(N(C347)&gt;0,F347="",G347=""),"Belum direalisasi",IF(AND(N(D347)&gt;0,H347=""),"EDC belum settle",IF(ABS(O347)&gt;50000,"Cek selisih tunai","OK"))))</f>
        <v/>
      </c>
    </row>
    <row r="348" customFormat="false" ht="15" hidden="false" customHeight="false" outlineLevel="0" collapsed="false">
      <c r="A348" s="94" t="n">
        <v>46366</v>
      </c>
      <c r="B348" s="95" t="n">
        <f aca="false">MONTH(A348)</f>
        <v>12</v>
      </c>
      <c r="C348" s="96"/>
      <c r="D348" s="96"/>
      <c r="E348" s="97" t="n">
        <f aca="false">N(C348)+N(D348)</f>
        <v>0</v>
      </c>
      <c r="F348" s="96"/>
      <c r="G348" s="96"/>
      <c r="H348" s="96"/>
      <c r="I348" s="97" t="n">
        <f aca="false">N(F348)+N(G348)+N(H348)</f>
        <v>0</v>
      </c>
      <c r="J348" s="97" t="n">
        <f aca="false">IF(AND(F348="",G348=""),0,N(C348)-N(F348)-N(G348))</f>
        <v>0</v>
      </c>
      <c r="K348" s="97" t="n">
        <f aca="false">IF(H348="",0,N(D348)-N(H348))</f>
        <v>0</v>
      </c>
      <c r="L348" s="96"/>
      <c r="M348" s="96"/>
      <c r="N348" s="96"/>
      <c r="O348" s="97" t="n">
        <f aca="false">IF(AND(F348="",G348=""),0,J348-N(L348)-N(M348)-N(N348))</f>
        <v>0</v>
      </c>
      <c r="P348" s="97" t="n">
        <f aca="false">K348+O348</f>
        <v>0</v>
      </c>
      <c r="Q348" s="98" t="n">
        <f aca="false">E348-P348</f>
        <v>0</v>
      </c>
      <c r="R348" s="96"/>
      <c r="S348" s="96"/>
      <c r="T348" s="97" t="str">
        <f aca="false">IF(N(S348)=0,"",Q348/S348)</f>
        <v/>
      </c>
      <c r="U348" s="99" t="str">
        <f aca="false">IF(E348=0,"",IF(AND(N(C348)&gt;0,F348="",G348=""),"Belum direalisasi",IF(AND(N(D348)&gt;0,H348=""),"EDC belum settle",IF(ABS(O348)&gt;50000,"Cek selisih tunai","OK"))))</f>
        <v/>
      </c>
    </row>
    <row r="349" customFormat="false" ht="15" hidden="false" customHeight="false" outlineLevel="0" collapsed="false">
      <c r="A349" s="94" t="n">
        <v>46367</v>
      </c>
      <c r="B349" s="95" t="n">
        <f aca="false">MONTH(A349)</f>
        <v>12</v>
      </c>
      <c r="C349" s="96"/>
      <c r="D349" s="96"/>
      <c r="E349" s="97" t="n">
        <f aca="false">N(C349)+N(D349)</f>
        <v>0</v>
      </c>
      <c r="F349" s="96"/>
      <c r="G349" s="96"/>
      <c r="H349" s="96"/>
      <c r="I349" s="97" t="n">
        <f aca="false">N(F349)+N(G349)+N(H349)</f>
        <v>0</v>
      </c>
      <c r="J349" s="97" t="n">
        <f aca="false">IF(AND(F349="",G349=""),0,N(C349)-N(F349)-N(G349))</f>
        <v>0</v>
      </c>
      <c r="K349" s="97" t="n">
        <f aca="false">IF(H349="",0,N(D349)-N(H349))</f>
        <v>0</v>
      </c>
      <c r="L349" s="96"/>
      <c r="M349" s="96"/>
      <c r="N349" s="96"/>
      <c r="O349" s="97" t="n">
        <f aca="false">IF(AND(F349="",G349=""),0,J349-N(L349)-N(M349)-N(N349))</f>
        <v>0</v>
      </c>
      <c r="P349" s="97" t="n">
        <f aca="false">K349+O349</f>
        <v>0</v>
      </c>
      <c r="Q349" s="98" t="n">
        <f aca="false">E349-P349</f>
        <v>0</v>
      </c>
      <c r="R349" s="96"/>
      <c r="S349" s="96"/>
      <c r="T349" s="97" t="str">
        <f aca="false">IF(N(S349)=0,"",Q349/S349)</f>
        <v/>
      </c>
      <c r="U349" s="99" t="str">
        <f aca="false">IF(E349=0,"",IF(AND(N(C349)&gt;0,F349="",G349=""),"Belum direalisasi",IF(AND(N(D349)&gt;0,H349=""),"EDC belum settle",IF(ABS(O349)&gt;50000,"Cek selisih tunai","OK"))))</f>
        <v/>
      </c>
    </row>
    <row r="350" customFormat="false" ht="15" hidden="false" customHeight="false" outlineLevel="0" collapsed="false">
      <c r="A350" s="94" t="n">
        <v>46368</v>
      </c>
      <c r="B350" s="95" t="n">
        <f aca="false">MONTH(A350)</f>
        <v>12</v>
      </c>
      <c r="C350" s="96"/>
      <c r="D350" s="96"/>
      <c r="E350" s="97" t="n">
        <f aca="false">N(C350)+N(D350)</f>
        <v>0</v>
      </c>
      <c r="F350" s="96"/>
      <c r="G350" s="96"/>
      <c r="H350" s="96"/>
      <c r="I350" s="97" t="n">
        <f aca="false">N(F350)+N(G350)+N(H350)</f>
        <v>0</v>
      </c>
      <c r="J350" s="97" t="n">
        <f aca="false">IF(AND(F350="",G350=""),0,N(C350)-N(F350)-N(G350))</f>
        <v>0</v>
      </c>
      <c r="K350" s="97" t="n">
        <f aca="false">IF(H350="",0,N(D350)-N(H350))</f>
        <v>0</v>
      </c>
      <c r="L350" s="96"/>
      <c r="M350" s="96"/>
      <c r="N350" s="96"/>
      <c r="O350" s="97" t="n">
        <f aca="false">IF(AND(F350="",G350=""),0,J350-N(L350)-N(M350)-N(N350))</f>
        <v>0</v>
      </c>
      <c r="P350" s="97" t="n">
        <f aca="false">K350+O350</f>
        <v>0</v>
      </c>
      <c r="Q350" s="98" t="n">
        <f aca="false">E350-P350</f>
        <v>0</v>
      </c>
      <c r="R350" s="96"/>
      <c r="S350" s="96"/>
      <c r="T350" s="97" t="str">
        <f aca="false">IF(N(S350)=0,"",Q350/S350)</f>
        <v/>
      </c>
      <c r="U350" s="99" t="str">
        <f aca="false">IF(E350=0,"",IF(AND(N(C350)&gt;0,F350="",G350=""),"Belum direalisasi",IF(AND(N(D350)&gt;0,H350=""),"EDC belum settle",IF(ABS(O350)&gt;50000,"Cek selisih tunai","OK"))))</f>
        <v/>
      </c>
    </row>
    <row r="351" customFormat="false" ht="15" hidden="false" customHeight="false" outlineLevel="0" collapsed="false">
      <c r="A351" s="94" t="n">
        <v>46369</v>
      </c>
      <c r="B351" s="95" t="n">
        <f aca="false">MONTH(A351)</f>
        <v>12</v>
      </c>
      <c r="C351" s="96"/>
      <c r="D351" s="96"/>
      <c r="E351" s="97" t="n">
        <f aca="false">N(C351)+N(D351)</f>
        <v>0</v>
      </c>
      <c r="F351" s="96"/>
      <c r="G351" s="96"/>
      <c r="H351" s="96"/>
      <c r="I351" s="97" t="n">
        <f aca="false">N(F351)+N(G351)+N(H351)</f>
        <v>0</v>
      </c>
      <c r="J351" s="97" t="n">
        <f aca="false">IF(AND(F351="",G351=""),0,N(C351)-N(F351)-N(G351))</f>
        <v>0</v>
      </c>
      <c r="K351" s="97" t="n">
        <f aca="false">IF(H351="",0,N(D351)-N(H351))</f>
        <v>0</v>
      </c>
      <c r="L351" s="96"/>
      <c r="M351" s="96"/>
      <c r="N351" s="96"/>
      <c r="O351" s="97" t="n">
        <f aca="false">IF(AND(F351="",G351=""),0,J351-N(L351)-N(M351)-N(N351))</f>
        <v>0</v>
      </c>
      <c r="P351" s="97" t="n">
        <f aca="false">K351+O351</f>
        <v>0</v>
      </c>
      <c r="Q351" s="98" t="n">
        <f aca="false">E351-P351</f>
        <v>0</v>
      </c>
      <c r="R351" s="96"/>
      <c r="S351" s="96"/>
      <c r="T351" s="97" t="str">
        <f aca="false">IF(N(S351)=0,"",Q351/S351)</f>
        <v/>
      </c>
      <c r="U351" s="99" t="str">
        <f aca="false">IF(E351=0,"",IF(AND(N(C351)&gt;0,F351="",G351=""),"Belum direalisasi",IF(AND(N(D351)&gt;0,H351=""),"EDC belum settle",IF(ABS(O351)&gt;50000,"Cek selisih tunai","OK"))))</f>
        <v/>
      </c>
    </row>
    <row r="352" customFormat="false" ht="15" hidden="false" customHeight="false" outlineLevel="0" collapsed="false">
      <c r="A352" s="94" t="n">
        <v>46370</v>
      </c>
      <c r="B352" s="95" t="n">
        <f aca="false">MONTH(A352)</f>
        <v>12</v>
      </c>
      <c r="C352" s="96"/>
      <c r="D352" s="96"/>
      <c r="E352" s="97" t="n">
        <f aca="false">N(C352)+N(D352)</f>
        <v>0</v>
      </c>
      <c r="F352" s="96"/>
      <c r="G352" s="96"/>
      <c r="H352" s="96"/>
      <c r="I352" s="97" t="n">
        <f aca="false">N(F352)+N(G352)+N(H352)</f>
        <v>0</v>
      </c>
      <c r="J352" s="97" t="n">
        <f aca="false">IF(AND(F352="",G352=""),0,N(C352)-N(F352)-N(G352))</f>
        <v>0</v>
      </c>
      <c r="K352" s="97" t="n">
        <f aca="false">IF(H352="",0,N(D352)-N(H352))</f>
        <v>0</v>
      </c>
      <c r="L352" s="96"/>
      <c r="M352" s="96"/>
      <c r="N352" s="96"/>
      <c r="O352" s="97" t="n">
        <f aca="false">IF(AND(F352="",G352=""),0,J352-N(L352)-N(M352)-N(N352))</f>
        <v>0</v>
      </c>
      <c r="P352" s="97" t="n">
        <f aca="false">K352+O352</f>
        <v>0</v>
      </c>
      <c r="Q352" s="98" t="n">
        <f aca="false">E352-P352</f>
        <v>0</v>
      </c>
      <c r="R352" s="96"/>
      <c r="S352" s="96"/>
      <c r="T352" s="97" t="str">
        <f aca="false">IF(N(S352)=0,"",Q352/S352)</f>
        <v/>
      </c>
      <c r="U352" s="99" t="str">
        <f aca="false">IF(E352=0,"",IF(AND(N(C352)&gt;0,F352="",G352=""),"Belum direalisasi",IF(AND(N(D352)&gt;0,H352=""),"EDC belum settle",IF(ABS(O352)&gt;50000,"Cek selisih tunai","OK"))))</f>
        <v/>
      </c>
    </row>
    <row r="353" customFormat="false" ht="15" hidden="false" customHeight="false" outlineLevel="0" collapsed="false">
      <c r="A353" s="94" t="n">
        <v>46371</v>
      </c>
      <c r="B353" s="95" t="n">
        <f aca="false">MONTH(A353)</f>
        <v>12</v>
      </c>
      <c r="C353" s="96"/>
      <c r="D353" s="96"/>
      <c r="E353" s="97" t="n">
        <f aca="false">N(C353)+N(D353)</f>
        <v>0</v>
      </c>
      <c r="F353" s="96"/>
      <c r="G353" s="96"/>
      <c r="H353" s="96"/>
      <c r="I353" s="97" t="n">
        <f aca="false">N(F353)+N(G353)+N(H353)</f>
        <v>0</v>
      </c>
      <c r="J353" s="97" t="n">
        <f aca="false">IF(AND(F353="",G353=""),0,N(C353)-N(F353)-N(G353))</f>
        <v>0</v>
      </c>
      <c r="K353" s="97" t="n">
        <f aca="false">IF(H353="",0,N(D353)-N(H353))</f>
        <v>0</v>
      </c>
      <c r="L353" s="96"/>
      <c r="M353" s="96"/>
      <c r="N353" s="96"/>
      <c r="O353" s="97" t="n">
        <f aca="false">IF(AND(F353="",G353=""),0,J353-N(L353)-N(M353)-N(N353))</f>
        <v>0</v>
      </c>
      <c r="P353" s="97" t="n">
        <f aca="false">K353+O353</f>
        <v>0</v>
      </c>
      <c r="Q353" s="98" t="n">
        <f aca="false">E353-P353</f>
        <v>0</v>
      </c>
      <c r="R353" s="96"/>
      <c r="S353" s="96"/>
      <c r="T353" s="97" t="str">
        <f aca="false">IF(N(S353)=0,"",Q353/S353)</f>
        <v/>
      </c>
      <c r="U353" s="99" t="str">
        <f aca="false">IF(E353=0,"",IF(AND(N(C353)&gt;0,F353="",G353=""),"Belum direalisasi",IF(AND(N(D353)&gt;0,H353=""),"EDC belum settle",IF(ABS(O353)&gt;50000,"Cek selisih tunai","OK"))))</f>
        <v/>
      </c>
    </row>
    <row r="354" customFormat="false" ht="15" hidden="false" customHeight="false" outlineLevel="0" collapsed="false">
      <c r="A354" s="94" t="n">
        <v>46372</v>
      </c>
      <c r="B354" s="95" t="n">
        <f aca="false">MONTH(A354)</f>
        <v>12</v>
      </c>
      <c r="C354" s="96"/>
      <c r="D354" s="96"/>
      <c r="E354" s="97" t="n">
        <f aca="false">N(C354)+N(D354)</f>
        <v>0</v>
      </c>
      <c r="F354" s="96"/>
      <c r="G354" s="96"/>
      <c r="H354" s="96"/>
      <c r="I354" s="97" t="n">
        <f aca="false">N(F354)+N(G354)+N(H354)</f>
        <v>0</v>
      </c>
      <c r="J354" s="97" t="n">
        <f aca="false">IF(AND(F354="",G354=""),0,N(C354)-N(F354)-N(G354))</f>
        <v>0</v>
      </c>
      <c r="K354" s="97" t="n">
        <f aca="false">IF(H354="",0,N(D354)-N(H354))</f>
        <v>0</v>
      </c>
      <c r="L354" s="96"/>
      <c r="M354" s="96"/>
      <c r="N354" s="96"/>
      <c r="O354" s="97" t="n">
        <f aca="false">IF(AND(F354="",G354=""),0,J354-N(L354)-N(M354)-N(N354))</f>
        <v>0</v>
      </c>
      <c r="P354" s="97" t="n">
        <f aca="false">K354+O354</f>
        <v>0</v>
      </c>
      <c r="Q354" s="98" t="n">
        <f aca="false">E354-P354</f>
        <v>0</v>
      </c>
      <c r="R354" s="96"/>
      <c r="S354" s="96"/>
      <c r="T354" s="97" t="str">
        <f aca="false">IF(N(S354)=0,"",Q354/S354)</f>
        <v/>
      </c>
      <c r="U354" s="99" t="str">
        <f aca="false">IF(E354=0,"",IF(AND(N(C354)&gt;0,F354="",G354=""),"Belum direalisasi",IF(AND(N(D354)&gt;0,H354=""),"EDC belum settle",IF(ABS(O354)&gt;50000,"Cek selisih tunai","OK"))))</f>
        <v/>
      </c>
    </row>
    <row r="355" customFormat="false" ht="15" hidden="false" customHeight="false" outlineLevel="0" collapsed="false">
      <c r="A355" s="94" t="n">
        <v>46373</v>
      </c>
      <c r="B355" s="95" t="n">
        <f aca="false">MONTH(A355)</f>
        <v>12</v>
      </c>
      <c r="C355" s="96"/>
      <c r="D355" s="96"/>
      <c r="E355" s="97" t="n">
        <f aca="false">N(C355)+N(D355)</f>
        <v>0</v>
      </c>
      <c r="F355" s="96"/>
      <c r="G355" s="96"/>
      <c r="H355" s="96"/>
      <c r="I355" s="97" t="n">
        <f aca="false">N(F355)+N(G355)+N(H355)</f>
        <v>0</v>
      </c>
      <c r="J355" s="97" t="n">
        <f aca="false">IF(AND(F355="",G355=""),0,N(C355)-N(F355)-N(G355))</f>
        <v>0</v>
      </c>
      <c r="K355" s="97" t="n">
        <f aca="false">IF(H355="",0,N(D355)-N(H355))</f>
        <v>0</v>
      </c>
      <c r="L355" s="96"/>
      <c r="M355" s="96"/>
      <c r="N355" s="96"/>
      <c r="O355" s="97" t="n">
        <f aca="false">IF(AND(F355="",G355=""),0,J355-N(L355)-N(M355)-N(N355))</f>
        <v>0</v>
      </c>
      <c r="P355" s="97" t="n">
        <f aca="false">K355+O355</f>
        <v>0</v>
      </c>
      <c r="Q355" s="98" t="n">
        <f aca="false">E355-P355</f>
        <v>0</v>
      </c>
      <c r="R355" s="96"/>
      <c r="S355" s="96"/>
      <c r="T355" s="97" t="str">
        <f aca="false">IF(N(S355)=0,"",Q355/S355)</f>
        <v/>
      </c>
      <c r="U355" s="99" t="str">
        <f aca="false">IF(E355=0,"",IF(AND(N(C355)&gt;0,F355="",G355=""),"Belum direalisasi",IF(AND(N(D355)&gt;0,H355=""),"EDC belum settle",IF(ABS(O355)&gt;50000,"Cek selisih tunai","OK"))))</f>
        <v/>
      </c>
    </row>
    <row r="356" customFormat="false" ht="15" hidden="false" customHeight="false" outlineLevel="0" collapsed="false">
      <c r="A356" s="94" t="n">
        <v>46374</v>
      </c>
      <c r="B356" s="95" t="n">
        <f aca="false">MONTH(A356)</f>
        <v>12</v>
      </c>
      <c r="C356" s="96"/>
      <c r="D356" s="96"/>
      <c r="E356" s="97" t="n">
        <f aca="false">N(C356)+N(D356)</f>
        <v>0</v>
      </c>
      <c r="F356" s="96"/>
      <c r="G356" s="96"/>
      <c r="H356" s="96"/>
      <c r="I356" s="97" t="n">
        <f aca="false">N(F356)+N(G356)+N(H356)</f>
        <v>0</v>
      </c>
      <c r="J356" s="97" t="n">
        <f aca="false">IF(AND(F356="",G356=""),0,N(C356)-N(F356)-N(G356))</f>
        <v>0</v>
      </c>
      <c r="K356" s="97" t="n">
        <f aca="false">IF(H356="",0,N(D356)-N(H356))</f>
        <v>0</v>
      </c>
      <c r="L356" s="96"/>
      <c r="M356" s="96"/>
      <c r="N356" s="96"/>
      <c r="O356" s="97" t="n">
        <f aca="false">IF(AND(F356="",G356=""),0,J356-N(L356)-N(M356)-N(N356))</f>
        <v>0</v>
      </c>
      <c r="P356" s="97" t="n">
        <f aca="false">K356+O356</f>
        <v>0</v>
      </c>
      <c r="Q356" s="98" t="n">
        <f aca="false">E356-P356</f>
        <v>0</v>
      </c>
      <c r="R356" s="96"/>
      <c r="S356" s="96"/>
      <c r="T356" s="97" t="str">
        <f aca="false">IF(N(S356)=0,"",Q356/S356)</f>
        <v/>
      </c>
      <c r="U356" s="99" t="str">
        <f aca="false">IF(E356=0,"",IF(AND(N(C356)&gt;0,F356="",G356=""),"Belum direalisasi",IF(AND(N(D356)&gt;0,H356=""),"EDC belum settle",IF(ABS(O356)&gt;50000,"Cek selisih tunai","OK"))))</f>
        <v/>
      </c>
    </row>
    <row r="357" customFormat="false" ht="15" hidden="false" customHeight="false" outlineLevel="0" collapsed="false">
      <c r="A357" s="94" t="n">
        <v>46375</v>
      </c>
      <c r="B357" s="95" t="n">
        <f aca="false">MONTH(A357)</f>
        <v>12</v>
      </c>
      <c r="C357" s="96"/>
      <c r="D357" s="96"/>
      <c r="E357" s="97" t="n">
        <f aca="false">N(C357)+N(D357)</f>
        <v>0</v>
      </c>
      <c r="F357" s="96"/>
      <c r="G357" s="96"/>
      <c r="H357" s="96"/>
      <c r="I357" s="97" t="n">
        <f aca="false">N(F357)+N(G357)+N(H357)</f>
        <v>0</v>
      </c>
      <c r="J357" s="97" t="n">
        <f aca="false">IF(AND(F357="",G357=""),0,N(C357)-N(F357)-N(G357))</f>
        <v>0</v>
      </c>
      <c r="K357" s="97" t="n">
        <f aca="false">IF(H357="",0,N(D357)-N(H357))</f>
        <v>0</v>
      </c>
      <c r="L357" s="96"/>
      <c r="M357" s="96"/>
      <c r="N357" s="96"/>
      <c r="O357" s="97" t="n">
        <f aca="false">IF(AND(F357="",G357=""),0,J357-N(L357)-N(M357)-N(N357))</f>
        <v>0</v>
      </c>
      <c r="P357" s="97" t="n">
        <f aca="false">K357+O357</f>
        <v>0</v>
      </c>
      <c r="Q357" s="98" t="n">
        <f aca="false">E357-P357</f>
        <v>0</v>
      </c>
      <c r="R357" s="96"/>
      <c r="S357" s="96"/>
      <c r="T357" s="97" t="str">
        <f aca="false">IF(N(S357)=0,"",Q357/S357)</f>
        <v/>
      </c>
      <c r="U357" s="99" t="str">
        <f aca="false">IF(E357=0,"",IF(AND(N(C357)&gt;0,F357="",G357=""),"Belum direalisasi",IF(AND(N(D357)&gt;0,H357=""),"EDC belum settle",IF(ABS(O357)&gt;50000,"Cek selisih tunai","OK"))))</f>
        <v/>
      </c>
    </row>
    <row r="358" customFormat="false" ht="15" hidden="false" customHeight="false" outlineLevel="0" collapsed="false">
      <c r="A358" s="94" t="n">
        <v>46376</v>
      </c>
      <c r="B358" s="95" t="n">
        <f aca="false">MONTH(A358)</f>
        <v>12</v>
      </c>
      <c r="C358" s="96"/>
      <c r="D358" s="96"/>
      <c r="E358" s="97" t="n">
        <f aca="false">N(C358)+N(D358)</f>
        <v>0</v>
      </c>
      <c r="F358" s="96"/>
      <c r="G358" s="96"/>
      <c r="H358" s="96"/>
      <c r="I358" s="97" t="n">
        <f aca="false">N(F358)+N(G358)+N(H358)</f>
        <v>0</v>
      </c>
      <c r="J358" s="97" t="n">
        <f aca="false">IF(AND(F358="",G358=""),0,N(C358)-N(F358)-N(G358))</f>
        <v>0</v>
      </c>
      <c r="K358" s="97" t="n">
        <f aca="false">IF(H358="",0,N(D358)-N(H358))</f>
        <v>0</v>
      </c>
      <c r="L358" s="96"/>
      <c r="M358" s="96"/>
      <c r="N358" s="96"/>
      <c r="O358" s="97" t="n">
        <f aca="false">IF(AND(F358="",G358=""),0,J358-N(L358)-N(M358)-N(N358))</f>
        <v>0</v>
      </c>
      <c r="P358" s="97" t="n">
        <f aca="false">K358+O358</f>
        <v>0</v>
      </c>
      <c r="Q358" s="98" t="n">
        <f aca="false">E358-P358</f>
        <v>0</v>
      </c>
      <c r="R358" s="96"/>
      <c r="S358" s="96"/>
      <c r="T358" s="97" t="str">
        <f aca="false">IF(N(S358)=0,"",Q358/S358)</f>
        <v/>
      </c>
      <c r="U358" s="99" t="str">
        <f aca="false">IF(E358=0,"",IF(AND(N(C358)&gt;0,F358="",G358=""),"Belum direalisasi",IF(AND(N(D358)&gt;0,H358=""),"EDC belum settle",IF(ABS(O358)&gt;50000,"Cek selisih tunai","OK"))))</f>
        <v/>
      </c>
    </row>
    <row r="359" customFormat="false" ht="15" hidden="false" customHeight="false" outlineLevel="0" collapsed="false">
      <c r="A359" s="94" t="n">
        <v>46377</v>
      </c>
      <c r="B359" s="95" t="n">
        <f aca="false">MONTH(A359)</f>
        <v>12</v>
      </c>
      <c r="C359" s="96"/>
      <c r="D359" s="96"/>
      <c r="E359" s="97" t="n">
        <f aca="false">N(C359)+N(D359)</f>
        <v>0</v>
      </c>
      <c r="F359" s="96"/>
      <c r="G359" s="96"/>
      <c r="H359" s="96"/>
      <c r="I359" s="97" t="n">
        <f aca="false">N(F359)+N(G359)+N(H359)</f>
        <v>0</v>
      </c>
      <c r="J359" s="97" t="n">
        <f aca="false">IF(AND(F359="",G359=""),0,N(C359)-N(F359)-N(G359))</f>
        <v>0</v>
      </c>
      <c r="K359" s="97" t="n">
        <f aca="false">IF(H359="",0,N(D359)-N(H359))</f>
        <v>0</v>
      </c>
      <c r="L359" s="96"/>
      <c r="M359" s="96"/>
      <c r="N359" s="96"/>
      <c r="O359" s="97" t="n">
        <f aca="false">IF(AND(F359="",G359=""),0,J359-N(L359)-N(M359)-N(N359))</f>
        <v>0</v>
      </c>
      <c r="P359" s="97" t="n">
        <f aca="false">K359+O359</f>
        <v>0</v>
      </c>
      <c r="Q359" s="98" t="n">
        <f aca="false">E359-P359</f>
        <v>0</v>
      </c>
      <c r="R359" s="96"/>
      <c r="S359" s="96"/>
      <c r="T359" s="97" t="str">
        <f aca="false">IF(N(S359)=0,"",Q359/S359)</f>
        <v/>
      </c>
      <c r="U359" s="99" t="str">
        <f aca="false">IF(E359=0,"",IF(AND(N(C359)&gt;0,F359="",G359=""),"Belum direalisasi",IF(AND(N(D359)&gt;0,H359=""),"EDC belum settle",IF(ABS(O359)&gt;50000,"Cek selisih tunai","OK"))))</f>
        <v/>
      </c>
    </row>
    <row r="360" customFormat="false" ht="15" hidden="false" customHeight="false" outlineLevel="0" collapsed="false">
      <c r="A360" s="94" t="n">
        <v>46378</v>
      </c>
      <c r="B360" s="95" t="n">
        <f aca="false">MONTH(A360)</f>
        <v>12</v>
      </c>
      <c r="C360" s="96"/>
      <c r="D360" s="96"/>
      <c r="E360" s="97" t="n">
        <f aca="false">N(C360)+N(D360)</f>
        <v>0</v>
      </c>
      <c r="F360" s="96"/>
      <c r="G360" s="96"/>
      <c r="H360" s="96"/>
      <c r="I360" s="97" t="n">
        <f aca="false">N(F360)+N(G360)+N(H360)</f>
        <v>0</v>
      </c>
      <c r="J360" s="97" t="n">
        <f aca="false">IF(AND(F360="",G360=""),0,N(C360)-N(F360)-N(G360))</f>
        <v>0</v>
      </c>
      <c r="K360" s="97" t="n">
        <f aca="false">IF(H360="",0,N(D360)-N(H360))</f>
        <v>0</v>
      </c>
      <c r="L360" s="96"/>
      <c r="M360" s="96"/>
      <c r="N360" s="96"/>
      <c r="O360" s="97" t="n">
        <f aca="false">IF(AND(F360="",G360=""),0,J360-N(L360)-N(M360)-N(N360))</f>
        <v>0</v>
      </c>
      <c r="P360" s="97" t="n">
        <f aca="false">K360+O360</f>
        <v>0</v>
      </c>
      <c r="Q360" s="98" t="n">
        <f aca="false">E360-P360</f>
        <v>0</v>
      </c>
      <c r="R360" s="96"/>
      <c r="S360" s="96"/>
      <c r="T360" s="97" t="str">
        <f aca="false">IF(N(S360)=0,"",Q360/S360)</f>
        <v/>
      </c>
      <c r="U360" s="99" t="str">
        <f aca="false">IF(E360=0,"",IF(AND(N(C360)&gt;0,F360="",G360=""),"Belum direalisasi",IF(AND(N(D360)&gt;0,H360=""),"EDC belum settle",IF(ABS(O360)&gt;50000,"Cek selisih tunai","OK"))))</f>
        <v/>
      </c>
    </row>
    <row r="361" customFormat="false" ht="15" hidden="false" customHeight="false" outlineLevel="0" collapsed="false">
      <c r="A361" s="94" t="n">
        <v>46379</v>
      </c>
      <c r="B361" s="95" t="n">
        <f aca="false">MONTH(A361)</f>
        <v>12</v>
      </c>
      <c r="C361" s="96"/>
      <c r="D361" s="96"/>
      <c r="E361" s="97" t="n">
        <f aca="false">N(C361)+N(D361)</f>
        <v>0</v>
      </c>
      <c r="F361" s="96"/>
      <c r="G361" s="96"/>
      <c r="H361" s="96"/>
      <c r="I361" s="97" t="n">
        <f aca="false">N(F361)+N(G361)+N(H361)</f>
        <v>0</v>
      </c>
      <c r="J361" s="97" t="n">
        <f aca="false">IF(AND(F361="",G361=""),0,N(C361)-N(F361)-N(G361))</f>
        <v>0</v>
      </c>
      <c r="K361" s="97" t="n">
        <f aca="false">IF(H361="",0,N(D361)-N(H361))</f>
        <v>0</v>
      </c>
      <c r="L361" s="96"/>
      <c r="M361" s="96"/>
      <c r="N361" s="96"/>
      <c r="O361" s="97" t="n">
        <f aca="false">IF(AND(F361="",G361=""),0,J361-N(L361)-N(M361)-N(N361))</f>
        <v>0</v>
      </c>
      <c r="P361" s="97" t="n">
        <f aca="false">K361+O361</f>
        <v>0</v>
      </c>
      <c r="Q361" s="98" t="n">
        <f aca="false">E361-P361</f>
        <v>0</v>
      </c>
      <c r="R361" s="96"/>
      <c r="S361" s="96"/>
      <c r="T361" s="97" t="str">
        <f aca="false">IF(N(S361)=0,"",Q361/S361)</f>
        <v/>
      </c>
      <c r="U361" s="99" t="str">
        <f aca="false">IF(E361=0,"",IF(AND(N(C361)&gt;0,F361="",G361=""),"Belum direalisasi",IF(AND(N(D361)&gt;0,H361=""),"EDC belum settle",IF(ABS(O361)&gt;50000,"Cek selisih tunai","OK"))))</f>
        <v/>
      </c>
    </row>
    <row r="362" customFormat="false" ht="15" hidden="false" customHeight="false" outlineLevel="0" collapsed="false">
      <c r="A362" s="94" t="n">
        <v>46380</v>
      </c>
      <c r="B362" s="95" t="n">
        <f aca="false">MONTH(A362)</f>
        <v>12</v>
      </c>
      <c r="C362" s="96"/>
      <c r="D362" s="96"/>
      <c r="E362" s="97" t="n">
        <f aca="false">N(C362)+N(D362)</f>
        <v>0</v>
      </c>
      <c r="F362" s="96"/>
      <c r="G362" s="96"/>
      <c r="H362" s="96"/>
      <c r="I362" s="97" t="n">
        <f aca="false">N(F362)+N(G362)+N(H362)</f>
        <v>0</v>
      </c>
      <c r="J362" s="97" t="n">
        <f aca="false">IF(AND(F362="",G362=""),0,N(C362)-N(F362)-N(G362))</f>
        <v>0</v>
      </c>
      <c r="K362" s="97" t="n">
        <f aca="false">IF(H362="",0,N(D362)-N(H362))</f>
        <v>0</v>
      </c>
      <c r="L362" s="96"/>
      <c r="M362" s="96"/>
      <c r="N362" s="96"/>
      <c r="O362" s="97" t="n">
        <f aca="false">IF(AND(F362="",G362=""),0,J362-N(L362)-N(M362)-N(N362))</f>
        <v>0</v>
      </c>
      <c r="P362" s="97" t="n">
        <f aca="false">K362+O362</f>
        <v>0</v>
      </c>
      <c r="Q362" s="98" t="n">
        <f aca="false">E362-P362</f>
        <v>0</v>
      </c>
      <c r="R362" s="96"/>
      <c r="S362" s="96"/>
      <c r="T362" s="97" t="str">
        <f aca="false">IF(N(S362)=0,"",Q362/S362)</f>
        <v/>
      </c>
      <c r="U362" s="99" t="str">
        <f aca="false">IF(E362=0,"",IF(AND(N(C362)&gt;0,F362="",G362=""),"Belum direalisasi",IF(AND(N(D362)&gt;0,H362=""),"EDC belum settle",IF(ABS(O362)&gt;50000,"Cek selisih tunai","OK"))))</f>
        <v/>
      </c>
    </row>
    <row r="363" customFormat="false" ht="15" hidden="false" customHeight="false" outlineLevel="0" collapsed="false">
      <c r="A363" s="94" t="n">
        <v>46381</v>
      </c>
      <c r="B363" s="95" t="n">
        <f aca="false">MONTH(A363)</f>
        <v>12</v>
      </c>
      <c r="C363" s="96"/>
      <c r="D363" s="96"/>
      <c r="E363" s="97" t="n">
        <f aca="false">N(C363)+N(D363)</f>
        <v>0</v>
      </c>
      <c r="F363" s="96"/>
      <c r="G363" s="96"/>
      <c r="H363" s="96"/>
      <c r="I363" s="97" t="n">
        <f aca="false">N(F363)+N(G363)+N(H363)</f>
        <v>0</v>
      </c>
      <c r="J363" s="97" t="n">
        <f aca="false">IF(AND(F363="",G363=""),0,N(C363)-N(F363)-N(G363))</f>
        <v>0</v>
      </c>
      <c r="K363" s="97" t="n">
        <f aca="false">IF(H363="",0,N(D363)-N(H363))</f>
        <v>0</v>
      </c>
      <c r="L363" s="96"/>
      <c r="M363" s="96"/>
      <c r="N363" s="96"/>
      <c r="O363" s="97" t="n">
        <f aca="false">IF(AND(F363="",G363=""),0,J363-N(L363)-N(M363)-N(N363))</f>
        <v>0</v>
      </c>
      <c r="P363" s="97" t="n">
        <f aca="false">K363+O363</f>
        <v>0</v>
      </c>
      <c r="Q363" s="98" t="n">
        <f aca="false">E363-P363</f>
        <v>0</v>
      </c>
      <c r="R363" s="96"/>
      <c r="S363" s="96"/>
      <c r="T363" s="97" t="str">
        <f aca="false">IF(N(S363)=0,"",Q363/S363)</f>
        <v/>
      </c>
      <c r="U363" s="99" t="str">
        <f aca="false">IF(E363=0,"",IF(AND(N(C363)&gt;0,F363="",G363=""),"Belum direalisasi",IF(AND(N(D363)&gt;0,H363=""),"EDC belum settle",IF(ABS(O363)&gt;50000,"Cek selisih tunai","OK"))))</f>
        <v/>
      </c>
    </row>
    <row r="364" customFormat="false" ht="15" hidden="false" customHeight="false" outlineLevel="0" collapsed="false">
      <c r="A364" s="94" t="n">
        <v>46382</v>
      </c>
      <c r="B364" s="95" t="n">
        <f aca="false">MONTH(A364)</f>
        <v>12</v>
      </c>
      <c r="C364" s="96"/>
      <c r="D364" s="96"/>
      <c r="E364" s="97" t="n">
        <f aca="false">N(C364)+N(D364)</f>
        <v>0</v>
      </c>
      <c r="F364" s="96"/>
      <c r="G364" s="96"/>
      <c r="H364" s="96"/>
      <c r="I364" s="97" t="n">
        <f aca="false">N(F364)+N(G364)+N(H364)</f>
        <v>0</v>
      </c>
      <c r="J364" s="97" t="n">
        <f aca="false">IF(AND(F364="",G364=""),0,N(C364)-N(F364)-N(G364))</f>
        <v>0</v>
      </c>
      <c r="K364" s="97" t="n">
        <f aca="false">IF(H364="",0,N(D364)-N(H364))</f>
        <v>0</v>
      </c>
      <c r="L364" s="96"/>
      <c r="M364" s="96"/>
      <c r="N364" s="96"/>
      <c r="O364" s="97" t="n">
        <f aca="false">IF(AND(F364="",G364=""),0,J364-N(L364)-N(M364)-N(N364))</f>
        <v>0</v>
      </c>
      <c r="P364" s="97" t="n">
        <f aca="false">K364+O364</f>
        <v>0</v>
      </c>
      <c r="Q364" s="98" t="n">
        <f aca="false">E364-P364</f>
        <v>0</v>
      </c>
      <c r="R364" s="96"/>
      <c r="S364" s="96"/>
      <c r="T364" s="97" t="str">
        <f aca="false">IF(N(S364)=0,"",Q364/S364)</f>
        <v/>
      </c>
      <c r="U364" s="99" t="str">
        <f aca="false">IF(E364=0,"",IF(AND(N(C364)&gt;0,F364="",G364=""),"Belum direalisasi",IF(AND(N(D364)&gt;0,H364=""),"EDC belum settle",IF(ABS(O364)&gt;50000,"Cek selisih tunai","OK"))))</f>
        <v/>
      </c>
    </row>
    <row r="365" customFormat="false" ht="15" hidden="false" customHeight="false" outlineLevel="0" collapsed="false">
      <c r="A365" s="94" t="n">
        <v>46383</v>
      </c>
      <c r="B365" s="95" t="n">
        <f aca="false">MONTH(A365)</f>
        <v>12</v>
      </c>
      <c r="C365" s="96"/>
      <c r="D365" s="96"/>
      <c r="E365" s="97" t="n">
        <f aca="false">N(C365)+N(D365)</f>
        <v>0</v>
      </c>
      <c r="F365" s="96"/>
      <c r="G365" s="96"/>
      <c r="H365" s="96"/>
      <c r="I365" s="97" t="n">
        <f aca="false">N(F365)+N(G365)+N(H365)</f>
        <v>0</v>
      </c>
      <c r="J365" s="97" t="n">
        <f aca="false">IF(AND(F365="",G365=""),0,N(C365)-N(F365)-N(G365))</f>
        <v>0</v>
      </c>
      <c r="K365" s="97" t="n">
        <f aca="false">IF(H365="",0,N(D365)-N(H365))</f>
        <v>0</v>
      </c>
      <c r="L365" s="96"/>
      <c r="M365" s="96"/>
      <c r="N365" s="96"/>
      <c r="O365" s="97" t="n">
        <f aca="false">IF(AND(F365="",G365=""),0,J365-N(L365)-N(M365)-N(N365))</f>
        <v>0</v>
      </c>
      <c r="P365" s="97" t="n">
        <f aca="false">K365+O365</f>
        <v>0</v>
      </c>
      <c r="Q365" s="98" t="n">
        <f aca="false">E365-P365</f>
        <v>0</v>
      </c>
      <c r="R365" s="96"/>
      <c r="S365" s="96"/>
      <c r="T365" s="97" t="str">
        <f aca="false">IF(N(S365)=0,"",Q365/S365)</f>
        <v/>
      </c>
      <c r="U365" s="99" t="str">
        <f aca="false">IF(E365=0,"",IF(AND(N(C365)&gt;0,F365="",G365=""),"Belum direalisasi",IF(AND(N(D365)&gt;0,H365=""),"EDC belum settle",IF(ABS(O365)&gt;50000,"Cek selisih tunai","OK"))))</f>
        <v/>
      </c>
    </row>
    <row r="366" customFormat="false" ht="15" hidden="false" customHeight="false" outlineLevel="0" collapsed="false">
      <c r="A366" s="94" t="n">
        <v>46384</v>
      </c>
      <c r="B366" s="95" t="n">
        <f aca="false">MONTH(A366)</f>
        <v>12</v>
      </c>
      <c r="C366" s="96"/>
      <c r="D366" s="96"/>
      <c r="E366" s="97" t="n">
        <f aca="false">N(C366)+N(D366)</f>
        <v>0</v>
      </c>
      <c r="F366" s="96"/>
      <c r="G366" s="96"/>
      <c r="H366" s="96"/>
      <c r="I366" s="97" t="n">
        <f aca="false">N(F366)+N(G366)+N(H366)</f>
        <v>0</v>
      </c>
      <c r="J366" s="97" t="n">
        <f aca="false">IF(AND(F366="",G366=""),0,N(C366)-N(F366)-N(G366))</f>
        <v>0</v>
      </c>
      <c r="K366" s="97" t="n">
        <f aca="false">IF(H366="",0,N(D366)-N(H366))</f>
        <v>0</v>
      </c>
      <c r="L366" s="96"/>
      <c r="M366" s="96"/>
      <c r="N366" s="96"/>
      <c r="O366" s="97" t="n">
        <f aca="false">IF(AND(F366="",G366=""),0,J366-N(L366)-N(M366)-N(N366))</f>
        <v>0</v>
      </c>
      <c r="P366" s="97" t="n">
        <f aca="false">K366+O366</f>
        <v>0</v>
      </c>
      <c r="Q366" s="98" t="n">
        <f aca="false">E366-P366</f>
        <v>0</v>
      </c>
      <c r="R366" s="96"/>
      <c r="S366" s="96"/>
      <c r="T366" s="97" t="str">
        <f aca="false">IF(N(S366)=0,"",Q366/S366)</f>
        <v/>
      </c>
      <c r="U366" s="99" t="str">
        <f aca="false">IF(E366=0,"",IF(AND(N(C366)&gt;0,F366="",G366=""),"Belum direalisasi",IF(AND(N(D366)&gt;0,H366=""),"EDC belum settle",IF(ABS(O366)&gt;50000,"Cek selisih tunai","OK"))))</f>
        <v/>
      </c>
    </row>
    <row r="367" customFormat="false" ht="15" hidden="false" customHeight="false" outlineLevel="0" collapsed="false">
      <c r="A367" s="94" t="n">
        <v>46385</v>
      </c>
      <c r="B367" s="95" t="n">
        <f aca="false">MONTH(A367)</f>
        <v>12</v>
      </c>
      <c r="C367" s="96"/>
      <c r="D367" s="96"/>
      <c r="E367" s="97" t="n">
        <f aca="false">N(C367)+N(D367)</f>
        <v>0</v>
      </c>
      <c r="F367" s="96"/>
      <c r="G367" s="96"/>
      <c r="H367" s="96"/>
      <c r="I367" s="97" t="n">
        <f aca="false">N(F367)+N(G367)+N(H367)</f>
        <v>0</v>
      </c>
      <c r="J367" s="97" t="n">
        <f aca="false">IF(AND(F367="",G367=""),0,N(C367)-N(F367)-N(G367))</f>
        <v>0</v>
      </c>
      <c r="K367" s="97" t="n">
        <f aca="false">IF(H367="",0,N(D367)-N(H367))</f>
        <v>0</v>
      </c>
      <c r="L367" s="96"/>
      <c r="M367" s="96"/>
      <c r="N367" s="96"/>
      <c r="O367" s="97" t="n">
        <f aca="false">IF(AND(F367="",G367=""),0,J367-N(L367)-N(M367)-N(N367))</f>
        <v>0</v>
      </c>
      <c r="P367" s="97" t="n">
        <f aca="false">K367+O367</f>
        <v>0</v>
      </c>
      <c r="Q367" s="98" t="n">
        <f aca="false">E367-P367</f>
        <v>0</v>
      </c>
      <c r="R367" s="96"/>
      <c r="S367" s="96"/>
      <c r="T367" s="97" t="str">
        <f aca="false">IF(N(S367)=0,"",Q367/S367)</f>
        <v/>
      </c>
      <c r="U367" s="99" t="str">
        <f aca="false">IF(E367=0,"",IF(AND(N(C367)&gt;0,F367="",G367=""),"Belum direalisasi",IF(AND(N(D367)&gt;0,H367=""),"EDC belum settle",IF(ABS(O367)&gt;50000,"Cek selisih tunai","OK"))))</f>
        <v/>
      </c>
    </row>
    <row r="368" customFormat="false" ht="15" hidden="false" customHeight="false" outlineLevel="0" collapsed="false">
      <c r="A368" s="94" t="n">
        <v>46386</v>
      </c>
      <c r="B368" s="95" t="n">
        <f aca="false">MONTH(A368)</f>
        <v>12</v>
      </c>
      <c r="C368" s="96"/>
      <c r="D368" s="96"/>
      <c r="E368" s="97" t="n">
        <f aca="false">N(C368)+N(D368)</f>
        <v>0</v>
      </c>
      <c r="F368" s="96"/>
      <c r="G368" s="96"/>
      <c r="H368" s="96"/>
      <c r="I368" s="97" t="n">
        <f aca="false">N(F368)+N(G368)+N(H368)</f>
        <v>0</v>
      </c>
      <c r="J368" s="97" t="n">
        <f aca="false">IF(AND(F368="",G368=""),0,N(C368)-N(F368)-N(G368))</f>
        <v>0</v>
      </c>
      <c r="K368" s="97" t="n">
        <f aca="false">IF(H368="",0,N(D368)-N(H368))</f>
        <v>0</v>
      </c>
      <c r="L368" s="96"/>
      <c r="M368" s="96"/>
      <c r="N368" s="96"/>
      <c r="O368" s="97" t="n">
        <f aca="false">IF(AND(F368="",G368=""),0,J368-N(L368)-N(M368)-N(N368))</f>
        <v>0</v>
      </c>
      <c r="P368" s="97" t="n">
        <f aca="false">K368+O368</f>
        <v>0</v>
      </c>
      <c r="Q368" s="98" t="n">
        <f aca="false">E368-P368</f>
        <v>0</v>
      </c>
      <c r="R368" s="96"/>
      <c r="S368" s="96"/>
      <c r="T368" s="97" t="str">
        <f aca="false">IF(N(S368)=0,"",Q368/S368)</f>
        <v/>
      </c>
      <c r="U368" s="99" t="str">
        <f aca="false">IF(E368=0,"",IF(AND(N(C368)&gt;0,F368="",G368=""),"Belum direalisasi",IF(AND(N(D368)&gt;0,H368=""),"EDC belum settle",IF(ABS(O368)&gt;50000,"Cek selisih tunai","OK"))))</f>
        <v/>
      </c>
    </row>
    <row r="369" customFormat="false" ht="15" hidden="false" customHeight="false" outlineLevel="0" collapsed="false">
      <c r="A369" s="94" t="n">
        <v>46387</v>
      </c>
      <c r="B369" s="95" t="n">
        <f aca="false">MONTH(A369)</f>
        <v>12</v>
      </c>
      <c r="C369" s="96"/>
      <c r="D369" s="96"/>
      <c r="E369" s="97" t="n">
        <f aca="false">N(C369)+N(D369)</f>
        <v>0</v>
      </c>
      <c r="F369" s="96"/>
      <c r="G369" s="96"/>
      <c r="H369" s="96"/>
      <c r="I369" s="97" t="n">
        <f aca="false">N(F369)+N(G369)+N(H369)</f>
        <v>0</v>
      </c>
      <c r="J369" s="97" t="n">
        <f aca="false">IF(AND(F369="",G369=""),0,N(C369)-N(F369)-N(G369))</f>
        <v>0</v>
      </c>
      <c r="K369" s="97" t="n">
        <f aca="false">IF(H369="",0,N(D369)-N(H369))</f>
        <v>0</v>
      </c>
      <c r="L369" s="96"/>
      <c r="M369" s="96"/>
      <c r="N369" s="96"/>
      <c r="O369" s="97" t="n">
        <f aca="false">IF(AND(F369="",G369=""),0,J369-N(L369)-N(M369)-N(N369))</f>
        <v>0</v>
      </c>
      <c r="P369" s="97" t="n">
        <f aca="false">K369+O369</f>
        <v>0</v>
      </c>
      <c r="Q369" s="98" t="n">
        <f aca="false">E369-P369</f>
        <v>0</v>
      </c>
      <c r="R369" s="96"/>
      <c r="S369" s="96"/>
      <c r="T369" s="97" t="str">
        <f aca="false">IF(N(S369)=0,"",Q369/S369)</f>
        <v/>
      </c>
      <c r="U369" s="99" t="str">
        <f aca="false">IF(E369=0,"",IF(AND(N(C369)&gt;0,F369="",G369=""),"Belum direalisasi",IF(AND(N(D369)&gt;0,H369=""),"EDC belum settle",IF(ABS(O369)&gt;50000,"Cek selisih tunai","OK"))))</f>
        <v/>
      </c>
    </row>
  </sheetData>
  <autoFilter ref="A4:U369"/>
  <conditionalFormatting sqref="U5:U369">
    <cfRule type="expression" priority="2" aboveAverage="0" equalAverage="0" bottom="0" percent="0" rank="0" text="" dxfId="6">
      <formula>AND(U5&lt;&gt;"",U5&lt;&gt;"OK")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887F"/>
    <pageSetUpPr fitToPage="false"/>
  </sheetPr>
  <dimension ref="A1:R30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4" min="3" style="0" width="27"/>
    <col collapsed="false" customWidth="true" hidden="false" outlineLevel="0" max="5" min="5" style="0" width="14"/>
    <col collapsed="false" customWidth="true" hidden="false" outlineLevel="0" max="6" min="6" style="0" width="55"/>
    <col collapsed="false" customWidth="true" hidden="false" outlineLevel="0" max="7" min="7" style="0" width="18"/>
    <col collapsed="false" customWidth="true" hidden="false" outlineLevel="0" max="8" min="8" style="0" width="16"/>
    <col collapsed="false" customWidth="true" hidden="false" outlineLevel="0" max="9" min="9" style="0" width="13"/>
    <col collapsed="false" customWidth="true" hidden="false" outlineLevel="0" max="10" min="10" style="0" width="5"/>
    <col collapsed="false" customWidth="true" hidden="false" outlineLevel="0" max="11" min="11" style="0" width="6"/>
    <col collapsed="false" customWidth="true" hidden="false" outlineLevel="0" max="12" min="12" style="0" width="22"/>
    <col collapsed="false" customWidth="true" hidden="false" outlineLevel="0" max="13" min="13" style="0" width="13"/>
    <col collapsed="false" customWidth="true" hidden="false" outlineLevel="0" max="14" min="14" style="0" width="8"/>
    <col collapsed="false" customWidth="true" hidden="false" outlineLevel="0" max="16" min="15" style="0" width="11"/>
    <col collapsed="false" customWidth="true" hidden="false" outlineLevel="0" max="17" min="17" style="0" width="6"/>
    <col collapsed="false" customWidth="true" hidden="false" outlineLevel="0" max="18" min="18" style="0" width="18"/>
  </cols>
  <sheetData>
    <row r="1" customFormat="false" ht="19.7" hidden="false" customHeight="false" outlineLevel="0" collapsed="false">
      <c r="A1" s="17" t="s">
        <v>437</v>
      </c>
      <c r="B1" s="5"/>
      <c r="C1" s="5"/>
      <c r="D1" s="5"/>
      <c r="E1" s="5"/>
      <c r="F1" s="5"/>
      <c r="G1" s="5"/>
      <c r="H1" s="5"/>
      <c r="I1" s="5"/>
      <c r="J1" s="5"/>
      <c r="K1" s="5"/>
      <c r="L1" s="5"/>
      <c r="M1" s="5"/>
      <c r="N1" s="5"/>
      <c r="O1" s="5"/>
      <c r="P1" s="5"/>
      <c r="Q1" s="5"/>
      <c r="R1" s="5"/>
    </row>
    <row r="2" customFormat="false" ht="15" hidden="false" customHeight="false" outlineLevel="0" collapsed="false">
      <c r="A2" s="18" t="s">
        <v>438</v>
      </c>
      <c r="B2" s="5"/>
      <c r="C2" s="5"/>
      <c r="D2" s="5"/>
      <c r="E2" s="5"/>
      <c r="F2" s="5"/>
      <c r="G2" s="5"/>
      <c r="H2" s="5"/>
      <c r="I2" s="5"/>
      <c r="J2" s="5"/>
      <c r="K2" s="5"/>
      <c r="L2" s="5"/>
      <c r="M2" s="5"/>
      <c r="N2" s="5"/>
      <c r="O2" s="5"/>
      <c r="P2" s="5"/>
      <c r="Q2" s="5"/>
      <c r="R2" s="5"/>
    </row>
    <row r="3" customFormat="false" ht="15" hidden="false" customHeight="false" outlineLevel="0" collapsed="false">
      <c r="A3" s="5"/>
      <c r="B3" s="5"/>
      <c r="C3" s="5"/>
      <c r="D3" s="5"/>
      <c r="E3" s="5"/>
      <c r="F3" s="5"/>
      <c r="G3" s="5"/>
      <c r="H3" s="5"/>
      <c r="I3" s="5"/>
      <c r="J3" s="5"/>
      <c r="K3" s="5"/>
      <c r="L3" s="5"/>
      <c r="M3" s="5"/>
      <c r="N3" s="5"/>
      <c r="O3" s="5"/>
      <c r="P3" s="5"/>
      <c r="Q3" s="5"/>
      <c r="R3" s="5"/>
    </row>
    <row r="4" customFormat="false" ht="30" hidden="false" customHeight="true" outlineLevel="0" collapsed="false">
      <c r="A4" s="20" t="s">
        <v>439</v>
      </c>
      <c r="B4" s="20" t="s">
        <v>420</v>
      </c>
      <c r="C4" s="20" t="s">
        <v>440</v>
      </c>
      <c r="D4" s="20" t="s">
        <v>441</v>
      </c>
      <c r="E4" s="20" t="s">
        <v>442</v>
      </c>
      <c r="F4" s="20" t="s">
        <v>58</v>
      </c>
      <c r="G4" s="20" t="s">
        <v>443</v>
      </c>
      <c r="H4" s="20" t="s">
        <v>444</v>
      </c>
      <c r="I4" s="20" t="s">
        <v>445</v>
      </c>
      <c r="J4" s="100" t="s">
        <v>421</v>
      </c>
      <c r="K4" s="100" t="s">
        <v>446</v>
      </c>
      <c r="L4" s="100" t="s">
        <v>447</v>
      </c>
      <c r="M4" s="100" t="s">
        <v>448</v>
      </c>
      <c r="N4" s="100" t="s">
        <v>449</v>
      </c>
      <c r="O4" s="100" t="s">
        <v>450</v>
      </c>
      <c r="P4" s="100" t="s">
        <v>451</v>
      </c>
      <c r="Q4" s="100" t="s">
        <v>452</v>
      </c>
      <c r="R4" s="100" t="s">
        <v>453</v>
      </c>
    </row>
    <row r="5" customFormat="false" ht="15" hidden="false" customHeight="false" outlineLevel="0" collapsed="false">
      <c r="A5" s="82" t="s">
        <v>454</v>
      </c>
      <c r="B5" s="101" t="n">
        <v>46023</v>
      </c>
      <c r="C5" s="82" t="s">
        <v>455</v>
      </c>
      <c r="D5" s="82" t="s">
        <v>456</v>
      </c>
      <c r="E5" s="91" t="n">
        <v>1322000</v>
      </c>
      <c r="F5" s="82" t="s">
        <v>457</v>
      </c>
      <c r="G5" s="82"/>
      <c r="H5" s="82" t="s">
        <v>458</v>
      </c>
      <c r="I5" s="82" t="s">
        <v>250</v>
      </c>
      <c r="J5" s="102" t="n">
        <f aca="false">IF(B5="","",MONTH(B5))</f>
        <v>1</v>
      </c>
      <c r="K5" s="102" t="n">
        <f aca="false">IF(B5="","",YEAR(B5))</f>
        <v>2026</v>
      </c>
      <c r="L5" s="102" t="str">
        <f aca="false">IF(N(E5)=0,"",IF(COUNTIFS(AK_NAMA,C5,AK_KAT,"KAS")+COUNTIFS(AK_NAMA,D5,AK_KAT,"KAS")&lt;&gt;1,"",IF(COUNTIFS(AK_NAMA,C5,AK_KAT,"KAS")=1,D5,C5)))</f>
        <v/>
      </c>
      <c r="M5" s="103" t="n">
        <f aca="false">IF(L5="",0,IF(L5=D5,E5,-E5))</f>
        <v>0</v>
      </c>
      <c r="N5" s="102" t="str">
        <f aca="false">IF(L5="","",IFERROR(INDEX(AK_BARIS,MATCH(L5,AK_NAMA,0)),"?"))</f>
        <v/>
      </c>
      <c r="O5" s="102" t="str">
        <f aca="false">IF(C5="","",IFERROR(INDEX(AK_KEL,MATCH(C5,AK_NAMA,0)),"?"))</f>
        <v>BEBAN</v>
      </c>
      <c r="P5" s="102" t="str">
        <f aca="false">IF(D5="","",IFERROR(INDEX(AK_KEL,MATCH(D5,AK_NAMA,0)),"?"))</f>
        <v>LIABILITAS</v>
      </c>
      <c r="Q5" s="102" t="n">
        <f aca="false">N(Q4)+IF(AND(N(E5)&lt;&gt;0,K5=TAHUN,N(J5)&lt;=BLN,OR(C5=BB_AKUN,D5=BB_AKUN)),1,0)</f>
        <v>0</v>
      </c>
      <c r="R5" s="104" t="str">
        <f aca="false">IF(OR(C5&amp;D5="",N(E5)=0),"",IF(OR(O5="?",P5="?"),"⚠ akun tidak dikenal",IF(C5=D5,"⚠ debet = kredit","")))</f>
        <v/>
      </c>
    </row>
    <row r="6" customFormat="false" ht="15" hidden="false" customHeight="false" outlineLevel="0" collapsed="false">
      <c r="A6" s="82" t="s">
        <v>459</v>
      </c>
      <c r="B6" s="101" t="n">
        <v>46024</v>
      </c>
      <c r="C6" s="82" t="s">
        <v>460</v>
      </c>
      <c r="D6" s="82" t="s">
        <v>461</v>
      </c>
      <c r="E6" s="91" t="n">
        <v>5000000</v>
      </c>
      <c r="F6" s="82" t="s">
        <v>462</v>
      </c>
      <c r="G6" s="82" t="s">
        <v>386</v>
      </c>
      <c r="H6" s="82"/>
      <c r="I6" s="82" t="s">
        <v>250</v>
      </c>
      <c r="J6" s="102" t="n">
        <f aca="false">IF(B6="","",MONTH(B6))</f>
        <v>1</v>
      </c>
      <c r="K6" s="102" t="n">
        <f aca="false">IF(B6="","",YEAR(B6))</f>
        <v>2026</v>
      </c>
      <c r="L6" s="102" t="str">
        <f aca="false">IF(N(E6)=0,"",IF(COUNTIFS(AK_NAMA,C6,AK_KAT,"KAS")+COUNTIFS(AK_NAMA,D6,AK_KAT,"KAS")&lt;&gt;1,"",IF(COUNTIFS(AK_NAMA,C6,AK_KAT,"KAS")=1,D6,C6)))</f>
        <v>Biaya Marketing &amp; Promosi</v>
      </c>
      <c r="M6" s="103" t="n">
        <f aca="false">IF(L6="",0,IF(L6=D6,E6,-E6))</f>
        <v>-5000000</v>
      </c>
      <c r="N6" s="102" t="str">
        <f aca="false">IF(L6="","",IFERROR(INDEX(AK_BARIS,MATCH(L6,AK_NAMA,0)),"?"))</f>
        <v>OP6</v>
      </c>
      <c r="O6" s="102" t="str">
        <f aca="false">IF(C6="","",IFERROR(INDEX(AK_KEL,MATCH(C6,AK_NAMA,0)),"?"))</f>
        <v>BEBAN</v>
      </c>
      <c r="P6" s="102" t="str">
        <f aca="false">IF(D6="","",IFERROR(INDEX(AK_KEL,MATCH(D6,AK_NAMA,0)),"?"))</f>
        <v>ASET</v>
      </c>
      <c r="Q6" s="102" t="n">
        <f aca="false">N(Q5)+IF(AND(N(E6)&lt;&gt;0,K6=TAHUN,N(J6)&lt;=BLN,OR(C6=BB_AKUN,D6=BB_AKUN)),1,0)</f>
        <v>1</v>
      </c>
      <c r="R6" s="104" t="str">
        <f aca="false">IF(OR(C6&amp;D6="",N(E6)=0),"",IF(OR(O6="?",P6="?"),"⚠ akun tidak dikenal",IF(C6=D6,"⚠ debet = kredit","")))</f>
        <v/>
      </c>
    </row>
    <row r="7" customFormat="false" ht="15" hidden="false" customHeight="false" outlineLevel="0" collapsed="false">
      <c r="A7" s="82" t="s">
        <v>463</v>
      </c>
      <c r="B7" s="101" t="n">
        <v>46024</v>
      </c>
      <c r="C7" s="82" t="s">
        <v>464</v>
      </c>
      <c r="D7" s="82" t="s">
        <v>461</v>
      </c>
      <c r="E7" s="91" t="n">
        <v>2500000</v>
      </c>
      <c r="F7" s="82" t="s">
        <v>465</v>
      </c>
      <c r="G7" s="82"/>
      <c r="H7" s="82"/>
      <c r="I7" s="82" t="s">
        <v>250</v>
      </c>
      <c r="J7" s="102" t="n">
        <f aca="false">IF(B7="","",MONTH(B7))</f>
        <v>1</v>
      </c>
      <c r="K7" s="102" t="n">
        <f aca="false">IF(B7="","",YEAR(B7))</f>
        <v>2026</v>
      </c>
      <c r="L7" s="102" t="str">
        <f aca="false">IF(N(E7)=0,"",IF(COUNTIFS(AK_NAMA,C7,AK_KAT,"KAS")+COUNTIFS(AK_NAMA,D7,AK_KAT,"KAS")&lt;&gt;1,"",IF(COUNTIFS(AK_NAMA,C7,AK_KAT,"KAS")=1,D7,C7)))</f>
        <v>Prive</v>
      </c>
      <c r="M7" s="103" t="n">
        <f aca="false">IF(L7="",0,IF(L7=D7,E7,-E7))</f>
        <v>-2500000</v>
      </c>
      <c r="N7" s="102" t="str">
        <f aca="false">IF(L7="","",IFERROR(INDEX(AK_BARIS,MATCH(L7,AK_NAMA,0)),"?"))</f>
        <v>FN1</v>
      </c>
      <c r="O7" s="102" t="str">
        <f aca="false">IF(C7="","",IFERROR(INDEX(AK_KEL,MATCH(C7,AK_NAMA,0)),"?"))</f>
        <v>EKUITAS</v>
      </c>
      <c r="P7" s="102" t="str">
        <f aca="false">IF(D7="","",IFERROR(INDEX(AK_KEL,MATCH(D7,AK_NAMA,0)),"?"))</f>
        <v>ASET</v>
      </c>
      <c r="Q7" s="102" t="n">
        <f aca="false">N(Q6)+IF(AND(N(E7)&lt;&gt;0,K7=TAHUN,N(J7)&lt;=BLN,OR(C7=BB_AKUN,D7=BB_AKUN)),1,0)</f>
        <v>2</v>
      </c>
      <c r="R7" s="104" t="str">
        <f aca="false">IF(OR(C7&amp;D7="",N(E7)=0),"",IF(OR(O7="?",P7="?"),"⚠ akun tidak dikenal",IF(C7=D7,"⚠ debet = kredit","")))</f>
        <v/>
      </c>
    </row>
    <row r="8" customFormat="false" ht="15" hidden="false" customHeight="false" outlineLevel="0" collapsed="false">
      <c r="A8" s="82" t="s">
        <v>466</v>
      </c>
      <c r="B8" s="101" t="n">
        <v>46025</v>
      </c>
      <c r="C8" s="82" t="s">
        <v>467</v>
      </c>
      <c r="D8" s="82" t="s">
        <v>461</v>
      </c>
      <c r="E8" s="91" t="n">
        <v>800000</v>
      </c>
      <c r="F8" s="82" t="s">
        <v>468</v>
      </c>
      <c r="G8" s="82"/>
      <c r="H8" s="82"/>
      <c r="I8" s="82" t="s">
        <v>250</v>
      </c>
      <c r="J8" s="102" t="n">
        <f aca="false">IF(B8="","",MONTH(B8))</f>
        <v>1</v>
      </c>
      <c r="K8" s="102" t="n">
        <f aca="false">IF(B8="","",YEAR(B8))</f>
        <v>2026</v>
      </c>
      <c r="L8" s="102" t="str">
        <f aca="false">IF(N(E8)=0,"",IF(COUNTIFS(AK_NAMA,C8,AK_KAT,"KAS")+COUNTIFS(AK_NAMA,D8,AK_KAT,"KAS")&lt;&gt;1,"",IF(COUNTIFS(AK_NAMA,C8,AK_KAT,"KAS")=1,D8,C8)))</f>
        <v>Dana Sosial &amp; CSR</v>
      </c>
      <c r="M8" s="103" t="n">
        <f aca="false">IF(L8="",0,IF(L8=D8,E8,-E8))</f>
        <v>-800000</v>
      </c>
      <c r="N8" s="102" t="str">
        <f aca="false">IF(L8="","",IFERROR(INDEX(AK_BARIS,MATCH(L8,AK_NAMA,0)),"?"))</f>
        <v>OP6</v>
      </c>
      <c r="O8" s="102" t="str">
        <f aca="false">IF(C8="","",IFERROR(INDEX(AK_KEL,MATCH(C8,AK_NAMA,0)),"?"))</f>
        <v>BEBAN</v>
      </c>
      <c r="P8" s="102" t="str">
        <f aca="false">IF(D8="","",IFERROR(INDEX(AK_KEL,MATCH(D8,AK_NAMA,0)),"?"))</f>
        <v>ASET</v>
      </c>
      <c r="Q8" s="102" t="n">
        <f aca="false">N(Q7)+IF(AND(N(E8)&lt;&gt;0,K8=TAHUN,N(J8)&lt;=BLN,OR(C8=BB_AKUN,D8=BB_AKUN)),1,0)</f>
        <v>3</v>
      </c>
      <c r="R8" s="104" t="str">
        <f aca="false">IF(OR(C8&amp;D8="",N(E8)=0),"",IF(OR(O8="?",P8="?"),"⚠ akun tidak dikenal",IF(C8=D8,"⚠ debet = kredit","")))</f>
        <v/>
      </c>
    </row>
    <row r="9" customFormat="false" ht="15" hidden="false" customHeight="false" outlineLevel="0" collapsed="false">
      <c r="A9" s="82" t="s">
        <v>469</v>
      </c>
      <c r="B9" s="101" t="n">
        <v>46025</v>
      </c>
      <c r="C9" s="82" t="s">
        <v>470</v>
      </c>
      <c r="D9" s="82" t="s">
        <v>461</v>
      </c>
      <c r="E9" s="91" t="n">
        <v>442000</v>
      </c>
      <c r="F9" s="82" t="s">
        <v>471</v>
      </c>
      <c r="G9" s="82"/>
      <c r="H9" s="82"/>
      <c r="I9" s="82" t="s">
        <v>250</v>
      </c>
      <c r="J9" s="102" t="n">
        <f aca="false">IF(B9="","",MONTH(B9))</f>
        <v>1</v>
      </c>
      <c r="K9" s="102" t="n">
        <f aca="false">IF(B9="","",YEAR(B9))</f>
        <v>2026</v>
      </c>
      <c r="L9" s="102" t="str">
        <f aca="false">IF(N(E9)=0,"",IF(COUNTIFS(AK_NAMA,C9,AK_KAT,"KAS")+COUNTIFS(AK_NAMA,D9,AK_KAT,"KAS")&lt;&gt;1,"",IF(COUNTIFS(AK_NAMA,C9,AK_KAT,"KAS")=1,D9,C9)))</f>
        <v>Biaya Bahan Baku</v>
      </c>
      <c r="M9" s="103" t="n">
        <f aca="false">IF(L9="",0,IF(L9=D9,E9,-E9))</f>
        <v>-442000</v>
      </c>
      <c r="N9" s="102" t="str">
        <f aca="false">IF(L9="","",IFERROR(INDEX(AK_BARIS,MATCH(L9,AK_NAMA,0)),"?"))</f>
        <v>OP3</v>
      </c>
      <c r="O9" s="102" t="str">
        <f aca="false">IF(C9="","",IFERROR(INDEX(AK_KEL,MATCH(C9,AK_NAMA,0)),"?"))</f>
        <v>BEBAN</v>
      </c>
      <c r="P9" s="102" t="str">
        <f aca="false">IF(D9="","",IFERROR(INDEX(AK_KEL,MATCH(D9,AK_NAMA,0)),"?"))</f>
        <v>ASET</v>
      </c>
      <c r="Q9" s="102" t="n">
        <f aca="false">N(Q8)+IF(AND(N(E9)&lt;&gt;0,K9=TAHUN,N(J9)&lt;=BLN,OR(C9=BB_AKUN,D9=BB_AKUN)),1,0)</f>
        <v>4</v>
      </c>
      <c r="R9" s="104" t="str">
        <f aca="false">IF(OR(C9&amp;D9="",N(E9)=0),"",IF(OR(O9="?",P9="?"),"⚠ akun tidak dikenal",IF(C9=D9,"⚠ debet = kredit","")))</f>
        <v/>
      </c>
    </row>
    <row r="10" customFormat="false" ht="15" hidden="false" customHeight="false" outlineLevel="0" collapsed="false">
      <c r="A10" s="82" t="s">
        <v>472</v>
      </c>
      <c r="B10" s="101" t="n">
        <v>46025</v>
      </c>
      <c r="C10" s="82" t="s">
        <v>470</v>
      </c>
      <c r="D10" s="82" t="s">
        <v>461</v>
      </c>
      <c r="E10" s="91" t="n">
        <v>494000</v>
      </c>
      <c r="F10" s="82" t="s">
        <v>473</v>
      </c>
      <c r="G10" s="82"/>
      <c r="H10" s="82"/>
      <c r="I10" s="82" t="s">
        <v>250</v>
      </c>
      <c r="J10" s="102" t="n">
        <f aca="false">IF(B10="","",MONTH(B10))</f>
        <v>1</v>
      </c>
      <c r="K10" s="102" t="n">
        <f aca="false">IF(B10="","",YEAR(B10))</f>
        <v>2026</v>
      </c>
      <c r="L10" s="102" t="str">
        <f aca="false">IF(N(E10)=0,"",IF(COUNTIFS(AK_NAMA,C10,AK_KAT,"KAS")+COUNTIFS(AK_NAMA,D10,AK_KAT,"KAS")&lt;&gt;1,"",IF(COUNTIFS(AK_NAMA,C10,AK_KAT,"KAS")=1,D10,C10)))</f>
        <v>Biaya Bahan Baku</v>
      </c>
      <c r="M10" s="103" t="n">
        <f aca="false">IF(L10="",0,IF(L10=D10,E10,-E10))</f>
        <v>-494000</v>
      </c>
      <c r="N10" s="102" t="str">
        <f aca="false">IF(L10="","",IFERROR(INDEX(AK_BARIS,MATCH(L10,AK_NAMA,0)),"?"))</f>
        <v>OP3</v>
      </c>
      <c r="O10" s="102" t="str">
        <f aca="false">IF(C10="","",IFERROR(INDEX(AK_KEL,MATCH(C10,AK_NAMA,0)),"?"))</f>
        <v>BEBAN</v>
      </c>
      <c r="P10" s="102" t="str">
        <f aca="false">IF(D10="","",IFERROR(INDEX(AK_KEL,MATCH(D10,AK_NAMA,0)),"?"))</f>
        <v>ASET</v>
      </c>
      <c r="Q10" s="102" t="n">
        <f aca="false">N(Q9)+IF(AND(N(E10)&lt;&gt;0,K10=TAHUN,N(J10)&lt;=BLN,OR(C10=BB_AKUN,D10=BB_AKUN)),1,0)</f>
        <v>5</v>
      </c>
      <c r="R10" s="104" t="str">
        <f aca="false">IF(OR(C10&amp;D10="",N(E10)=0),"",IF(OR(O10="?",P10="?"),"⚠ akun tidak dikenal",IF(C10=D10,"⚠ debet = kredit","")))</f>
        <v/>
      </c>
    </row>
    <row r="11" customFormat="false" ht="15" hidden="false" customHeight="false" outlineLevel="0" collapsed="false">
      <c r="A11" s="82" t="s">
        <v>474</v>
      </c>
      <c r="B11" s="101" t="n">
        <v>46026</v>
      </c>
      <c r="C11" s="82" t="s">
        <v>461</v>
      </c>
      <c r="D11" s="82" t="s">
        <v>475</v>
      </c>
      <c r="E11" s="91" t="n">
        <v>1000000</v>
      </c>
      <c r="F11" s="82" t="s">
        <v>476</v>
      </c>
      <c r="G11" s="82"/>
      <c r="H11" s="82"/>
      <c r="I11" s="82" t="s">
        <v>250</v>
      </c>
      <c r="J11" s="102" t="n">
        <f aca="false">IF(B11="","",MONTH(B11))</f>
        <v>1</v>
      </c>
      <c r="K11" s="102" t="n">
        <f aca="false">IF(B11="","",YEAR(B11))</f>
        <v>2026</v>
      </c>
      <c r="L11" s="102" t="str">
        <f aca="false">IF(N(E11)=0,"",IF(COUNTIFS(AK_NAMA,C11,AK_KAT,"KAS")+COUNTIFS(AK_NAMA,D11,AK_KAT,"KAS")&lt;&gt;1,"",IF(COUNTIFS(AK_NAMA,C11,AK_KAT,"KAS")=1,D11,C11)))</f>
        <v/>
      </c>
      <c r="M11" s="103" t="n">
        <f aca="false">IF(L11="",0,IF(L11=D11,E11,-E11))</f>
        <v>0</v>
      </c>
      <c r="N11" s="102" t="str">
        <f aca="false">IF(L11="","",IFERROR(INDEX(AK_BARIS,MATCH(L11,AK_NAMA,0)),"?"))</f>
        <v/>
      </c>
      <c r="O11" s="102" t="str">
        <f aca="false">IF(C11="","",IFERROR(INDEX(AK_KEL,MATCH(C11,AK_NAMA,0)),"?"))</f>
        <v>ASET</v>
      </c>
      <c r="P11" s="102" t="str">
        <f aca="false">IF(D11="","",IFERROR(INDEX(AK_KEL,MATCH(D11,AK_NAMA,0)),"?"))</f>
        <v>ASET</v>
      </c>
      <c r="Q11" s="102" t="n">
        <f aca="false">N(Q10)+IF(AND(N(E11)&lt;&gt;0,K11=TAHUN,N(J11)&lt;=BLN,OR(C11=BB_AKUN,D11=BB_AKUN)),1,0)</f>
        <v>6</v>
      </c>
      <c r="R11" s="104" t="str">
        <f aca="false">IF(OR(C11&amp;D11="",N(E11)=0),"",IF(OR(O11="?",P11="?"),"⚠ akun tidak dikenal",IF(C11=D11,"⚠ debet = kredit","")))</f>
        <v/>
      </c>
    </row>
    <row r="12" customFormat="false" ht="15" hidden="false" customHeight="false" outlineLevel="0" collapsed="false">
      <c r="A12" s="82" t="s">
        <v>477</v>
      </c>
      <c r="B12" s="101" t="n">
        <v>46026</v>
      </c>
      <c r="C12" s="82" t="s">
        <v>478</v>
      </c>
      <c r="D12" s="82" t="s">
        <v>461</v>
      </c>
      <c r="E12" s="91" t="n">
        <v>190000</v>
      </c>
      <c r="F12" s="82" t="s">
        <v>479</v>
      </c>
      <c r="G12" s="82"/>
      <c r="H12" s="82"/>
      <c r="I12" s="82" t="s">
        <v>250</v>
      </c>
      <c r="J12" s="102" t="n">
        <f aca="false">IF(B12="","",MONTH(B12))</f>
        <v>1</v>
      </c>
      <c r="K12" s="102" t="n">
        <f aca="false">IF(B12="","",YEAR(B12))</f>
        <v>2026</v>
      </c>
      <c r="L12" s="102" t="str">
        <f aca="false">IF(N(E12)=0,"",IF(COUNTIFS(AK_NAMA,C12,AK_KAT,"KAS")+COUNTIFS(AK_NAMA,D12,AK_KAT,"KAS")&lt;&gt;1,"",IF(COUNTIFS(AK_NAMA,C12,AK_KAT,"KAS")=1,D12,C12)))</f>
        <v>Biaya Penyajian</v>
      </c>
      <c r="M12" s="103" t="n">
        <f aca="false">IF(L12="",0,IF(L12=D12,E12,-E12))</f>
        <v>-190000</v>
      </c>
      <c r="N12" s="102" t="str">
        <f aca="false">IF(L12="","",IFERROR(INDEX(AK_BARIS,MATCH(L12,AK_NAMA,0)),"?"))</f>
        <v>OP3</v>
      </c>
      <c r="O12" s="102" t="str">
        <f aca="false">IF(C12="","",IFERROR(INDEX(AK_KEL,MATCH(C12,AK_NAMA,0)),"?"))</f>
        <v>BEBAN</v>
      </c>
      <c r="P12" s="102" t="str">
        <f aca="false">IF(D12="","",IFERROR(INDEX(AK_KEL,MATCH(D12,AK_NAMA,0)),"?"))</f>
        <v>ASET</v>
      </c>
      <c r="Q12" s="102" t="n">
        <f aca="false">N(Q11)+IF(AND(N(E12)&lt;&gt;0,K12=TAHUN,N(J12)&lt;=BLN,OR(C12=BB_AKUN,D12=BB_AKUN)),1,0)</f>
        <v>7</v>
      </c>
      <c r="R12" s="104" t="str">
        <f aca="false">IF(OR(C12&amp;D12="",N(E12)=0),"",IF(OR(O12="?",P12="?"),"⚠ akun tidak dikenal",IF(C12=D12,"⚠ debet = kredit","")))</f>
        <v/>
      </c>
    </row>
    <row r="13" customFormat="false" ht="15" hidden="false" customHeight="false" outlineLevel="0" collapsed="false">
      <c r="A13" s="82" t="s">
        <v>480</v>
      </c>
      <c r="B13" s="101" t="n">
        <v>46027</v>
      </c>
      <c r="C13" s="82" t="s">
        <v>470</v>
      </c>
      <c r="D13" s="82" t="s">
        <v>461</v>
      </c>
      <c r="E13" s="91" t="n">
        <v>1496000</v>
      </c>
      <c r="F13" s="82" t="s">
        <v>481</v>
      </c>
      <c r="G13" s="82"/>
      <c r="H13" s="82"/>
      <c r="I13" s="82" t="s">
        <v>250</v>
      </c>
      <c r="J13" s="102" t="n">
        <f aca="false">IF(B13="","",MONTH(B13))</f>
        <v>1</v>
      </c>
      <c r="K13" s="102" t="n">
        <f aca="false">IF(B13="","",YEAR(B13))</f>
        <v>2026</v>
      </c>
      <c r="L13" s="102" t="str">
        <f aca="false">IF(N(E13)=0,"",IF(COUNTIFS(AK_NAMA,C13,AK_KAT,"KAS")+COUNTIFS(AK_NAMA,D13,AK_KAT,"KAS")&lt;&gt;1,"",IF(COUNTIFS(AK_NAMA,C13,AK_KAT,"KAS")=1,D13,C13)))</f>
        <v>Biaya Bahan Baku</v>
      </c>
      <c r="M13" s="103" t="n">
        <f aca="false">IF(L13="",0,IF(L13=D13,E13,-E13))</f>
        <v>-1496000</v>
      </c>
      <c r="N13" s="102" t="str">
        <f aca="false">IF(L13="","",IFERROR(INDEX(AK_BARIS,MATCH(L13,AK_NAMA,0)),"?"))</f>
        <v>OP3</v>
      </c>
      <c r="O13" s="102" t="str">
        <f aca="false">IF(C13="","",IFERROR(INDEX(AK_KEL,MATCH(C13,AK_NAMA,0)),"?"))</f>
        <v>BEBAN</v>
      </c>
      <c r="P13" s="102" t="str">
        <f aca="false">IF(D13="","",IFERROR(INDEX(AK_KEL,MATCH(D13,AK_NAMA,0)),"?"))</f>
        <v>ASET</v>
      </c>
      <c r="Q13" s="102" t="n">
        <f aca="false">N(Q12)+IF(AND(N(E13)&lt;&gt;0,K13=TAHUN,N(J13)&lt;=BLN,OR(C13=BB_AKUN,D13=BB_AKUN)),1,0)</f>
        <v>8</v>
      </c>
      <c r="R13" s="104" t="str">
        <f aca="false">IF(OR(C13&amp;D13="",N(E13)=0),"",IF(OR(O13="?",P13="?"),"⚠ akun tidak dikenal",IF(C13=D13,"⚠ debet = kredit","")))</f>
        <v/>
      </c>
    </row>
    <row r="14" customFormat="false" ht="15" hidden="false" customHeight="false" outlineLevel="0" collapsed="false">
      <c r="A14" s="82" t="s">
        <v>482</v>
      </c>
      <c r="B14" s="101" t="n">
        <v>46027</v>
      </c>
      <c r="C14" s="82" t="s">
        <v>460</v>
      </c>
      <c r="D14" s="82" t="s">
        <v>461</v>
      </c>
      <c r="E14" s="91" t="n">
        <v>90000</v>
      </c>
      <c r="F14" s="82" t="s">
        <v>483</v>
      </c>
      <c r="G14" s="82" t="s">
        <v>386</v>
      </c>
      <c r="H14" s="82"/>
      <c r="I14" s="82" t="s">
        <v>250</v>
      </c>
      <c r="J14" s="102" t="n">
        <f aca="false">IF(B14="","",MONTH(B14))</f>
        <v>1</v>
      </c>
      <c r="K14" s="102" t="n">
        <f aca="false">IF(B14="","",YEAR(B14))</f>
        <v>2026</v>
      </c>
      <c r="L14" s="102" t="str">
        <f aca="false">IF(N(E14)=0,"",IF(COUNTIFS(AK_NAMA,C14,AK_KAT,"KAS")+COUNTIFS(AK_NAMA,D14,AK_KAT,"KAS")&lt;&gt;1,"",IF(COUNTIFS(AK_NAMA,C14,AK_KAT,"KAS")=1,D14,C14)))</f>
        <v>Biaya Marketing &amp; Promosi</v>
      </c>
      <c r="M14" s="103" t="n">
        <f aca="false">IF(L14="",0,IF(L14=D14,E14,-E14))</f>
        <v>-90000</v>
      </c>
      <c r="N14" s="102" t="str">
        <f aca="false">IF(L14="","",IFERROR(INDEX(AK_BARIS,MATCH(L14,AK_NAMA,0)),"?"))</f>
        <v>OP6</v>
      </c>
      <c r="O14" s="102" t="str">
        <f aca="false">IF(C14="","",IFERROR(INDEX(AK_KEL,MATCH(C14,AK_NAMA,0)),"?"))</f>
        <v>BEBAN</v>
      </c>
      <c r="P14" s="102" t="str">
        <f aca="false">IF(D14="","",IFERROR(INDEX(AK_KEL,MATCH(D14,AK_NAMA,0)),"?"))</f>
        <v>ASET</v>
      </c>
      <c r="Q14" s="102" t="n">
        <f aca="false">N(Q13)+IF(AND(N(E14)&lt;&gt;0,K14=TAHUN,N(J14)&lt;=BLN,OR(C14=BB_AKUN,D14=BB_AKUN)),1,0)</f>
        <v>9</v>
      </c>
      <c r="R14" s="104" t="str">
        <f aca="false">IF(OR(C14&amp;D14="",N(E14)=0),"",IF(OR(O14="?",P14="?"),"⚠ akun tidak dikenal",IF(C14=D14,"⚠ debet = kredit","")))</f>
        <v/>
      </c>
    </row>
    <row r="15" customFormat="false" ht="15" hidden="false" customHeight="false" outlineLevel="0" collapsed="false">
      <c r="A15" s="82" t="s">
        <v>484</v>
      </c>
      <c r="B15" s="101" t="n">
        <v>46027</v>
      </c>
      <c r="C15" s="82" t="s">
        <v>485</v>
      </c>
      <c r="D15" s="82" t="s">
        <v>486</v>
      </c>
      <c r="E15" s="91" t="n">
        <v>200000</v>
      </c>
      <c r="F15" s="82" t="s">
        <v>487</v>
      </c>
      <c r="G15" s="82"/>
      <c r="H15" s="82"/>
      <c r="I15" s="82" t="s">
        <v>250</v>
      </c>
      <c r="J15" s="102" t="n">
        <f aca="false">IF(B15="","",MONTH(B15))</f>
        <v>1</v>
      </c>
      <c r="K15" s="102" t="n">
        <f aca="false">IF(B15="","",YEAR(B15))</f>
        <v>2026</v>
      </c>
      <c r="L15" s="102" t="str">
        <f aca="false">IF(N(E15)=0,"",IF(COUNTIFS(AK_NAMA,C15,AK_KAT,"KAS")+COUNTIFS(AK_NAMA,D15,AK_KAT,"KAS")&lt;&gt;1,"",IF(COUNTIFS(AK_NAMA,C15,AK_KAT,"KAS")=1,D15,C15)))</f>
        <v>Biaya Operasional Harian</v>
      </c>
      <c r="M15" s="103" t="n">
        <f aca="false">IF(L15="",0,IF(L15=D15,E15,-E15))</f>
        <v>-200000</v>
      </c>
      <c r="N15" s="102" t="str">
        <f aca="false">IF(L15="","",IFERROR(INDEX(AK_BARIS,MATCH(L15,AK_NAMA,0)),"?"))</f>
        <v>OP6</v>
      </c>
      <c r="O15" s="102" t="str">
        <f aca="false">IF(C15="","",IFERROR(INDEX(AK_KEL,MATCH(C15,AK_NAMA,0)),"?"))</f>
        <v>BEBAN</v>
      </c>
      <c r="P15" s="102" t="str">
        <f aca="false">IF(D15="","",IFERROR(INDEX(AK_KEL,MATCH(D15,AK_NAMA,0)),"?"))</f>
        <v>ASET</v>
      </c>
      <c r="Q15" s="102" t="n">
        <f aca="false">N(Q14)+IF(AND(N(E15)&lt;&gt;0,K15=TAHUN,N(J15)&lt;=BLN,OR(C15=BB_AKUN,D15=BB_AKUN)),1,0)</f>
        <v>9</v>
      </c>
      <c r="R15" s="104" t="str">
        <f aca="false">IF(OR(C15&amp;D15="",N(E15)=0),"",IF(OR(O15="?",P15="?"),"⚠ akun tidak dikenal",IF(C15=D15,"⚠ debet = kredit","")))</f>
        <v/>
      </c>
    </row>
    <row r="16" customFormat="false" ht="15" hidden="false" customHeight="false" outlineLevel="0" collapsed="false">
      <c r="A16" s="82" t="s">
        <v>488</v>
      </c>
      <c r="B16" s="101" t="n">
        <v>46027</v>
      </c>
      <c r="C16" s="82" t="s">
        <v>470</v>
      </c>
      <c r="D16" s="82" t="s">
        <v>486</v>
      </c>
      <c r="E16" s="91" t="n">
        <v>16000</v>
      </c>
      <c r="F16" s="82" t="s">
        <v>489</v>
      </c>
      <c r="G16" s="82"/>
      <c r="H16" s="82"/>
      <c r="I16" s="82" t="s">
        <v>250</v>
      </c>
      <c r="J16" s="102" t="n">
        <f aca="false">IF(B16="","",MONTH(B16))</f>
        <v>1</v>
      </c>
      <c r="K16" s="102" t="n">
        <f aca="false">IF(B16="","",YEAR(B16))</f>
        <v>2026</v>
      </c>
      <c r="L16" s="102" t="str">
        <f aca="false">IF(N(E16)=0,"",IF(COUNTIFS(AK_NAMA,C16,AK_KAT,"KAS")+COUNTIFS(AK_NAMA,D16,AK_KAT,"KAS")&lt;&gt;1,"",IF(COUNTIFS(AK_NAMA,C16,AK_KAT,"KAS")=1,D16,C16)))</f>
        <v>Biaya Bahan Baku</v>
      </c>
      <c r="M16" s="103" t="n">
        <f aca="false">IF(L16="",0,IF(L16=D16,E16,-E16))</f>
        <v>-16000</v>
      </c>
      <c r="N16" s="102" t="str">
        <f aca="false">IF(L16="","",IFERROR(INDEX(AK_BARIS,MATCH(L16,AK_NAMA,0)),"?"))</f>
        <v>OP3</v>
      </c>
      <c r="O16" s="102" t="str">
        <f aca="false">IF(C16="","",IFERROR(INDEX(AK_KEL,MATCH(C16,AK_NAMA,0)),"?"))</f>
        <v>BEBAN</v>
      </c>
      <c r="P16" s="102" t="str">
        <f aca="false">IF(D16="","",IFERROR(INDEX(AK_KEL,MATCH(D16,AK_NAMA,0)),"?"))</f>
        <v>ASET</v>
      </c>
      <c r="Q16" s="102" t="n">
        <f aca="false">N(Q15)+IF(AND(N(E16)&lt;&gt;0,K16=TAHUN,N(J16)&lt;=BLN,OR(C16=BB_AKUN,D16=BB_AKUN)),1,0)</f>
        <v>9</v>
      </c>
      <c r="R16" s="104" t="str">
        <f aca="false">IF(OR(C16&amp;D16="",N(E16)=0),"",IF(OR(O16="?",P16="?"),"⚠ akun tidak dikenal",IF(C16=D16,"⚠ debet = kredit","")))</f>
        <v/>
      </c>
    </row>
    <row r="17" customFormat="false" ht="15" hidden="false" customHeight="false" outlineLevel="0" collapsed="false">
      <c r="A17" s="82" t="s">
        <v>490</v>
      </c>
      <c r="B17" s="101" t="n">
        <v>46027</v>
      </c>
      <c r="C17" s="82" t="s">
        <v>470</v>
      </c>
      <c r="D17" s="82" t="s">
        <v>486</v>
      </c>
      <c r="E17" s="91" t="n">
        <v>22000</v>
      </c>
      <c r="F17" s="82" t="s">
        <v>491</v>
      </c>
      <c r="G17" s="82"/>
      <c r="H17" s="82"/>
      <c r="I17" s="82" t="s">
        <v>250</v>
      </c>
      <c r="J17" s="102" t="n">
        <f aca="false">IF(B17="","",MONTH(B17))</f>
        <v>1</v>
      </c>
      <c r="K17" s="102" t="n">
        <f aca="false">IF(B17="","",YEAR(B17))</f>
        <v>2026</v>
      </c>
      <c r="L17" s="102" t="str">
        <f aca="false">IF(N(E17)=0,"",IF(COUNTIFS(AK_NAMA,C17,AK_KAT,"KAS")+COUNTIFS(AK_NAMA,D17,AK_KAT,"KAS")&lt;&gt;1,"",IF(COUNTIFS(AK_NAMA,C17,AK_KAT,"KAS")=1,D17,C17)))</f>
        <v>Biaya Bahan Baku</v>
      </c>
      <c r="M17" s="103" t="n">
        <f aca="false">IF(L17="",0,IF(L17=D17,E17,-E17))</f>
        <v>-22000</v>
      </c>
      <c r="N17" s="102" t="str">
        <f aca="false">IF(L17="","",IFERROR(INDEX(AK_BARIS,MATCH(L17,AK_NAMA,0)),"?"))</f>
        <v>OP3</v>
      </c>
      <c r="O17" s="102" t="str">
        <f aca="false">IF(C17="","",IFERROR(INDEX(AK_KEL,MATCH(C17,AK_NAMA,0)),"?"))</f>
        <v>BEBAN</v>
      </c>
      <c r="P17" s="102" t="str">
        <f aca="false">IF(D17="","",IFERROR(INDEX(AK_KEL,MATCH(D17,AK_NAMA,0)),"?"))</f>
        <v>ASET</v>
      </c>
      <c r="Q17" s="102" t="n">
        <f aca="false">N(Q16)+IF(AND(N(E17)&lt;&gt;0,K17=TAHUN,N(J17)&lt;=BLN,OR(C17=BB_AKUN,D17=BB_AKUN)),1,0)</f>
        <v>9</v>
      </c>
      <c r="R17" s="104" t="str">
        <f aca="false">IF(OR(C17&amp;D17="",N(E17)=0),"",IF(OR(O17="?",P17="?"),"⚠ akun tidak dikenal",IF(C17=D17,"⚠ debet = kredit","")))</f>
        <v/>
      </c>
    </row>
    <row r="18" customFormat="false" ht="15" hidden="false" customHeight="false" outlineLevel="0" collapsed="false">
      <c r="A18" s="82" t="s">
        <v>492</v>
      </c>
      <c r="B18" s="101" t="n">
        <v>46027</v>
      </c>
      <c r="C18" s="82" t="s">
        <v>485</v>
      </c>
      <c r="D18" s="82" t="s">
        <v>486</v>
      </c>
      <c r="E18" s="91" t="n">
        <v>10000</v>
      </c>
      <c r="F18" s="82" t="s">
        <v>493</v>
      </c>
      <c r="G18" s="82"/>
      <c r="H18" s="82"/>
      <c r="I18" s="82" t="s">
        <v>250</v>
      </c>
      <c r="J18" s="102" t="n">
        <f aca="false">IF(B18="","",MONTH(B18))</f>
        <v>1</v>
      </c>
      <c r="K18" s="102" t="n">
        <f aca="false">IF(B18="","",YEAR(B18))</f>
        <v>2026</v>
      </c>
      <c r="L18" s="102" t="str">
        <f aca="false">IF(N(E18)=0,"",IF(COUNTIFS(AK_NAMA,C18,AK_KAT,"KAS")+COUNTIFS(AK_NAMA,D18,AK_KAT,"KAS")&lt;&gt;1,"",IF(COUNTIFS(AK_NAMA,C18,AK_KAT,"KAS")=1,D18,C18)))</f>
        <v>Biaya Operasional Harian</v>
      </c>
      <c r="M18" s="103" t="n">
        <f aca="false">IF(L18="",0,IF(L18=D18,E18,-E18))</f>
        <v>-10000</v>
      </c>
      <c r="N18" s="102" t="str">
        <f aca="false">IF(L18="","",IFERROR(INDEX(AK_BARIS,MATCH(L18,AK_NAMA,0)),"?"))</f>
        <v>OP6</v>
      </c>
      <c r="O18" s="102" t="str">
        <f aca="false">IF(C18="","",IFERROR(INDEX(AK_KEL,MATCH(C18,AK_NAMA,0)),"?"))</f>
        <v>BEBAN</v>
      </c>
      <c r="P18" s="102" t="str">
        <f aca="false">IF(D18="","",IFERROR(INDEX(AK_KEL,MATCH(D18,AK_NAMA,0)),"?"))</f>
        <v>ASET</v>
      </c>
      <c r="Q18" s="102" t="n">
        <f aca="false">N(Q17)+IF(AND(N(E18)&lt;&gt;0,K18=TAHUN,N(J18)&lt;=BLN,OR(C18=BB_AKUN,D18=BB_AKUN)),1,0)</f>
        <v>9</v>
      </c>
      <c r="R18" s="104" t="str">
        <f aca="false">IF(OR(C18&amp;D18="",N(E18)=0),"",IF(OR(O18="?",P18="?"),"⚠ akun tidak dikenal",IF(C18=D18,"⚠ debet = kredit","")))</f>
        <v/>
      </c>
    </row>
    <row r="19" customFormat="false" ht="15" hidden="false" customHeight="false" outlineLevel="0" collapsed="false">
      <c r="A19" s="82" t="s">
        <v>494</v>
      </c>
      <c r="B19" s="101" t="n">
        <v>46027</v>
      </c>
      <c r="C19" s="82" t="s">
        <v>470</v>
      </c>
      <c r="D19" s="82" t="s">
        <v>486</v>
      </c>
      <c r="E19" s="91" t="n">
        <v>30000</v>
      </c>
      <c r="F19" s="82" t="s">
        <v>495</v>
      </c>
      <c r="G19" s="82"/>
      <c r="H19" s="82"/>
      <c r="I19" s="82" t="s">
        <v>250</v>
      </c>
      <c r="J19" s="102" t="n">
        <f aca="false">IF(B19="","",MONTH(B19))</f>
        <v>1</v>
      </c>
      <c r="K19" s="102" t="n">
        <f aca="false">IF(B19="","",YEAR(B19))</f>
        <v>2026</v>
      </c>
      <c r="L19" s="102" t="str">
        <f aca="false">IF(N(E19)=0,"",IF(COUNTIFS(AK_NAMA,C19,AK_KAT,"KAS")+COUNTIFS(AK_NAMA,D19,AK_KAT,"KAS")&lt;&gt;1,"",IF(COUNTIFS(AK_NAMA,C19,AK_KAT,"KAS")=1,D19,C19)))</f>
        <v>Biaya Bahan Baku</v>
      </c>
      <c r="M19" s="103" t="n">
        <f aca="false">IF(L19="",0,IF(L19=D19,E19,-E19))</f>
        <v>-30000</v>
      </c>
      <c r="N19" s="102" t="str">
        <f aca="false">IF(L19="","",IFERROR(INDEX(AK_BARIS,MATCH(L19,AK_NAMA,0)),"?"))</f>
        <v>OP3</v>
      </c>
      <c r="O19" s="102" t="str">
        <f aca="false">IF(C19="","",IFERROR(INDEX(AK_KEL,MATCH(C19,AK_NAMA,0)),"?"))</f>
        <v>BEBAN</v>
      </c>
      <c r="P19" s="102" t="str">
        <f aca="false">IF(D19="","",IFERROR(INDEX(AK_KEL,MATCH(D19,AK_NAMA,0)),"?"))</f>
        <v>ASET</v>
      </c>
      <c r="Q19" s="102" t="n">
        <f aca="false">N(Q18)+IF(AND(N(E19)&lt;&gt;0,K19=TAHUN,N(J19)&lt;=BLN,OR(C19=BB_AKUN,D19=BB_AKUN)),1,0)</f>
        <v>9</v>
      </c>
      <c r="R19" s="104" t="str">
        <f aca="false">IF(OR(C19&amp;D19="",N(E19)=0),"",IF(OR(O19="?",P19="?"),"⚠ akun tidak dikenal",IF(C19=D19,"⚠ debet = kredit","")))</f>
        <v/>
      </c>
    </row>
    <row r="20" customFormat="false" ht="15" hidden="false" customHeight="false" outlineLevel="0" collapsed="false">
      <c r="A20" s="82" t="s">
        <v>496</v>
      </c>
      <c r="B20" s="101" t="n">
        <v>46027</v>
      </c>
      <c r="C20" s="82" t="s">
        <v>460</v>
      </c>
      <c r="D20" s="82" t="s">
        <v>486</v>
      </c>
      <c r="E20" s="91" t="n">
        <v>57500</v>
      </c>
      <c r="F20" s="82" t="s">
        <v>497</v>
      </c>
      <c r="G20" s="82" t="s">
        <v>387</v>
      </c>
      <c r="H20" s="82"/>
      <c r="I20" s="82" t="s">
        <v>250</v>
      </c>
      <c r="J20" s="102" t="n">
        <f aca="false">IF(B20="","",MONTH(B20))</f>
        <v>1</v>
      </c>
      <c r="K20" s="102" t="n">
        <f aca="false">IF(B20="","",YEAR(B20))</f>
        <v>2026</v>
      </c>
      <c r="L20" s="102" t="str">
        <f aca="false">IF(N(E20)=0,"",IF(COUNTIFS(AK_NAMA,C20,AK_KAT,"KAS")+COUNTIFS(AK_NAMA,D20,AK_KAT,"KAS")&lt;&gt;1,"",IF(COUNTIFS(AK_NAMA,C20,AK_KAT,"KAS")=1,D20,C20)))</f>
        <v>Biaya Marketing &amp; Promosi</v>
      </c>
      <c r="M20" s="103" t="n">
        <f aca="false">IF(L20="",0,IF(L20=D20,E20,-E20))</f>
        <v>-57500</v>
      </c>
      <c r="N20" s="102" t="str">
        <f aca="false">IF(L20="","",IFERROR(INDEX(AK_BARIS,MATCH(L20,AK_NAMA,0)),"?"))</f>
        <v>OP6</v>
      </c>
      <c r="O20" s="102" t="str">
        <f aca="false">IF(C20="","",IFERROR(INDEX(AK_KEL,MATCH(C20,AK_NAMA,0)),"?"))</f>
        <v>BEBAN</v>
      </c>
      <c r="P20" s="102" t="str">
        <f aca="false">IF(D20="","",IFERROR(INDEX(AK_KEL,MATCH(D20,AK_NAMA,0)),"?"))</f>
        <v>ASET</v>
      </c>
      <c r="Q20" s="102" t="n">
        <f aca="false">N(Q19)+IF(AND(N(E20)&lt;&gt;0,K20=TAHUN,N(J20)&lt;=BLN,OR(C20=BB_AKUN,D20=BB_AKUN)),1,0)</f>
        <v>9</v>
      </c>
      <c r="R20" s="104" t="str">
        <f aca="false">IF(OR(C20&amp;D20="",N(E20)=0),"",IF(OR(O20="?",P20="?"),"⚠ akun tidak dikenal",IF(C20=D20,"⚠ debet = kredit","")))</f>
        <v/>
      </c>
    </row>
    <row r="21" customFormat="false" ht="15" hidden="false" customHeight="false" outlineLevel="0" collapsed="false">
      <c r="A21" s="82" t="s">
        <v>498</v>
      </c>
      <c r="B21" s="101" t="n">
        <v>46027</v>
      </c>
      <c r="C21" s="82" t="s">
        <v>470</v>
      </c>
      <c r="D21" s="82" t="s">
        <v>486</v>
      </c>
      <c r="E21" s="91" t="n">
        <v>30000</v>
      </c>
      <c r="F21" s="82" t="s">
        <v>499</v>
      </c>
      <c r="G21" s="82"/>
      <c r="H21" s="82"/>
      <c r="I21" s="82" t="s">
        <v>250</v>
      </c>
      <c r="J21" s="102" t="n">
        <f aca="false">IF(B21="","",MONTH(B21))</f>
        <v>1</v>
      </c>
      <c r="K21" s="102" t="n">
        <f aca="false">IF(B21="","",YEAR(B21))</f>
        <v>2026</v>
      </c>
      <c r="L21" s="102" t="str">
        <f aca="false">IF(N(E21)=0,"",IF(COUNTIFS(AK_NAMA,C21,AK_KAT,"KAS")+COUNTIFS(AK_NAMA,D21,AK_KAT,"KAS")&lt;&gt;1,"",IF(COUNTIFS(AK_NAMA,C21,AK_KAT,"KAS")=1,D21,C21)))</f>
        <v>Biaya Bahan Baku</v>
      </c>
      <c r="M21" s="103" t="n">
        <f aca="false">IF(L21="",0,IF(L21=D21,E21,-E21))</f>
        <v>-30000</v>
      </c>
      <c r="N21" s="102" t="str">
        <f aca="false">IF(L21="","",IFERROR(INDEX(AK_BARIS,MATCH(L21,AK_NAMA,0)),"?"))</f>
        <v>OP3</v>
      </c>
      <c r="O21" s="102" t="str">
        <f aca="false">IF(C21="","",IFERROR(INDEX(AK_KEL,MATCH(C21,AK_NAMA,0)),"?"))</f>
        <v>BEBAN</v>
      </c>
      <c r="P21" s="102" t="str">
        <f aca="false">IF(D21="","",IFERROR(INDEX(AK_KEL,MATCH(D21,AK_NAMA,0)),"?"))</f>
        <v>ASET</v>
      </c>
      <c r="Q21" s="102" t="n">
        <f aca="false">N(Q20)+IF(AND(N(E21)&lt;&gt;0,K21=TAHUN,N(J21)&lt;=BLN,OR(C21=BB_AKUN,D21=BB_AKUN)),1,0)</f>
        <v>9</v>
      </c>
      <c r="R21" s="104" t="str">
        <f aca="false">IF(OR(C21&amp;D21="",N(E21)=0),"",IF(OR(O21="?",P21="?"),"⚠ akun tidak dikenal",IF(C21=D21,"⚠ debet = kredit","")))</f>
        <v/>
      </c>
    </row>
    <row r="22" customFormat="false" ht="15" hidden="false" customHeight="false" outlineLevel="0" collapsed="false">
      <c r="A22" s="82" t="s">
        <v>500</v>
      </c>
      <c r="B22" s="101" t="n">
        <v>46027</v>
      </c>
      <c r="C22" s="82" t="s">
        <v>470</v>
      </c>
      <c r="D22" s="82" t="s">
        <v>486</v>
      </c>
      <c r="E22" s="91" t="n">
        <v>36000</v>
      </c>
      <c r="F22" s="82" t="s">
        <v>501</v>
      </c>
      <c r="G22" s="82"/>
      <c r="H22" s="82"/>
      <c r="I22" s="82" t="s">
        <v>250</v>
      </c>
      <c r="J22" s="102" t="n">
        <f aca="false">IF(B22="","",MONTH(B22))</f>
        <v>1</v>
      </c>
      <c r="K22" s="102" t="n">
        <f aca="false">IF(B22="","",YEAR(B22))</f>
        <v>2026</v>
      </c>
      <c r="L22" s="102" t="str">
        <f aca="false">IF(N(E22)=0,"",IF(COUNTIFS(AK_NAMA,C22,AK_KAT,"KAS")+COUNTIFS(AK_NAMA,D22,AK_KAT,"KAS")&lt;&gt;1,"",IF(COUNTIFS(AK_NAMA,C22,AK_KAT,"KAS")=1,D22,C22)))</f>
        <v>Biaya Bahan Baku</v>
      </c>
      <c r="M22" s="103" t="n">
        <f aca="false">IF(L22="",0,IF(L22=D22,E22,-E22))</f>
        <v>-36000</v>
      </c>
      <c r="N22" s="102" t="str">
        <f aca="false">IF(L22="","",IFERROR(INDEX(AK_BARIS,MATCH(L22,AK_NAMA,0)),"?"))</f>
        <v>OP3</v>
      </c>
      <c r="O22" s="102" t="str">
        <f aca="false">IF(C22="","",IFERROR(INDEX(AK_KEL,MATCH(C22,AK_NAMA,0)),"?"))</f>
        <v>BEBAN</v>
      </c>
      <c r="P22" s="102" t="str">
        <f aca="false">IF(D22="","",IFERROR(INDEX(AK_KEL,MATCH(D22,AK_NAMA,0)),"?"))</f>
        <v>ASET</v>
      </c>
      <c r="Q22" s="102" t="n">
        <f aca="false">N(Q21)+IF(AND(N(E22)&lt;&gt;0,K22=TAHUN,N(J22)&lt;=BLN,OR(C22=BB_AKUN,D22=BB_AKUN)),1,0)</f>
        <v>9</v>
      </c>
      <c r="R22" s="104" t="str">
        <f aca="false">IF(OR(C22&amp;D22="",N(E22)=0),"",IF(OR(O22="?",P22="?"),"⚠ akun tidak dikenal",IF(C22=D22,"⚠ debet = kredit","")))</f>
        <v/>
      </c>
    </row>
    <row r="23" customFormat="false" ht="15" hidden="false" customHeight="false" outlineLevel="0" collapsed="false">
      <c r="A23" s="82" t="s">
        <v>502</v>
      </c>
      <c r="B23" s="101" t="n">
        <v>46027</v>
      </c>
      <c r="C23" s="82" t="s">
        <v>485</v>
      </c>
      <c r="D23" s="82" t="s">
        <v>486</v>
      </c>
      <c r="E23" s="91" t="n">
        <v>22000</v>
      </c>
      <c r="F23" s="82" t="s">
        <v>503</v>
      </c>
      <c r="G23" s="82"/>
      <c r="H23" s="82"/>
      <c r="I23" s="82" t="s">
        <v>250</v>
      </c>
      <c r="J23" s="102" t="n">
        <f aca="false">IF(B23="","",MONTH(B23))</f>
        <v>1</v>
      </c>
      <c r="K23" s="102" t="n">
        <f aca="false">IF(B23="","",YEAR(B23))</f>
        <v>2026</v>
      </c>
      <c r="L23" s="102" t="str">
        <f aca="false">IF(N(E23)=0,"",IF(COUNTIFS(AK_NAMA,C23,AK_KAT,"KAS")+COUNTIFS(AK_NAMA,D23,AK_KAT,"KAS")&lt;&gt;1,"",IF(COUNTIFS(AK_NAMA,C23,AK_KAT,"KAS")=1,D23,C23)))</f>
        <v>Biaya Operasional Harian</v>
      </c>
      <c r="M23" s="103" t="n">
        <f aca="false">IF(L23="",0,IF(L23=D23,E23,-E23))</f>
        <v>-22000</v>
      </c>
      <c r="N23" s="102" t="str">
        <f aca="false">IF(L23="","",IFERROR(INDEX(AK_BARIS,MATCH(L23,AK_NAMA,0)),"?"))</f>
        <v>OP6</v>
      </c>
      <c r="O23" s="102" t="str">
        <f aca="false">IF(C23="","",IFERROR(INDEX(AK_KEL,MATCH(C23,AK_NAMA,0)),"?"))</f>
        <v>BEBAN</v>
      </c>
      <c r="P23" s="102" t="str">
        <f aca="false">IF(D23="","",IFERROR(INDEX(AK_KEL,MATCH(D23,AK_NAMA,0)),"?"))</f>
        <v>ASET</v>
      </c>
      <c r="Q23" s="102" t="n">
        <f aca="false">N(Q22)+IF(AND(N(E23)&lt;&gt;0,K23=TAHUN,N(J23)&lt;=BLN,OR(C23=BB_AKUN,D23=BB_AKUN)),1,0)</f>
        <v>9</v>
      </c>
      <c r="R23" s="104" t="str">
        <f aca="false">IF(OR(C23&amp;D23="",N(E23)=0),"",IF(OR(O23="?",P23="?"),"⚠ akun tidak dikenal",IF(C23=D23,"⚠ debet = kredit","")))</f>
        <v/>
      </c>
    </row>
    <row r="24" customFormat="false" ht="15" hidden="false" customHeight="false" outlineLevel="0" collapsed="false">
      <c r="A24" s="82" t="s">
        <v>504</v>
      </c>
      <c r="B24" s="101" t="n">
        <v>46027</v>
      </c>
      <c r="C24" s="82" t="s">
        <v>486</v>
      </c>
      <c r="D24" s="82" t="s">
        <v>475</v>
      </c>
      <c r="E24" s="91" t="n">
        <v>1000000</v>
      </c>
      <c r="F24" s="82" t="s">
        <v>505</v>
      </c>
      <c r="G24" s="82"/>
      <c r="H24" s="82"/>
      <c r="I24" s="82" t="s">
        <v>250</v>
      </c>
      <c r="J24" s="102" t="n">
        <f aca="false">IF(B24="","",MONTH(B24))</f>
        <v>1</v>
      </c>
      <c r="K24" s="102" t="n">
        <f aca="false">IF(B24="","",YEAR(B24))</f>
        <v>2026</v>
      </c>
      <c r="L24" s="102" t="str">
        <f aca="false">IF(N(E24)=0,"",IF(COUNTIFS(AK_NAMA,C24,AK_KAT,"KAS")+COUNTIFS(AK_NAMA,D24,AK_KAT,"KAS")&lt;&gt;1,"",IF(COUNTIFS(AK_NAMA,C24,AK_KAT,"KAS")=1,D24,C24)))</f>
        <v/>
      </c>
      <c r="M24" s="103" t="n">
        <f aca="false">IF(L24="",0,IF(L24=D24,E24,-E24))</f>
        <v>0</v>
      </c>
      <c r="N24" s="102" t="str">
        <f aca="false">IF(L24="","",IFERROR(INDEX(AK_BARIS,MATCH(L24,AK_NAMA,0)),"?"))</f>
        <v/>
      </c>
      <c r="O24" s="102" t="str">
        <f aca="false">IF(C24="","",IFERROR(INDEX(AK_KEL,MATCH(C24,AK_NAMA,0)),"?"))</f>
        <v>ASET</v>
      </c>
      <c r="P24" s="102" t="str">
        <f aca="false">IF(D24="","",IFERROR(INDEX(AK_KEL,MATCH(D24,AK_NAMA,0)),"?"))</f>
        <v>ASET</v>
      </c>
      <c r="Q24" s="102" t="n">
        <f aca="false">N(Q23)+IF(AND(N(E24)&lt;&gt;0,K24=TAHUN,N(J24)&lt;=BLN,OR(C24=BB_AKUN,D24=BB_AKUN)),1,0)</f>
        <v>9</v>
      </c>
      <c r="R24" s="104" t="str">
        <f aca="false">IF(OR(C24&amp;D24="",N(E24)=0),"",IF(OR(O24="?",P24="?"),"⚠ akun tidak dikenal",IF(C24=D24,"⚠ debet = kredit","")))</f>
        <v/>
      </c>
    </row>
    <row r="25" customFormat="false" ht="15" hidden="false" customHeight="false" outlineLevel="0" collapsed="false">
      <c r="A25" s="82" t="s">
        <v>506</v>
      </c>
      <c r="B25" s="101" t="n">
        <v>46027</v>
      </c>
      <c r="C25" s="82" t="s">
        <v>475</v>
      </c>
      <c r="D25" s="82" t="s">
        <v>486</v>
      </c>
      <c r="E25" s="91" t="n">
        <v>86000</v>
      </c>
      <c r="F25" s="82" t="s">
        <v>507</v>
      </c>
      <c r="G25" s="82"/>
      <c r="H25" s="82"/>
      <c r="I25" s="82" t="s">
        <v>250</v>
      </c>
      <c r="J25" s="102" t="n">
        <f aca="false">IF(B25="","",MONTH(B25))</f>
        <v>1</v>
      </c>
      <c r="K25" s="102" t="n">
        <f aca="false">IF(B25="","",YEAR(B25))</f>
        <v>2026</v>
      </c>
      <c r="L25" s="102" t="str">
        <f aca="false">IF(N(E25)=0,"",IF(COUNTIFS(AK_NAMA,C25,AK_KAT,"KAS")+COUNTIFS(AK_NAMA,D25,AK_KAT,"KAS")&lt;&gt;1,"",IF(COUNTIFS(AK_NAMA,C25,AK_KAT,"KAS")=1,D25,C25)))</f>
        <v/>
      </c>
      <c r="M25" s="103" t="n">
        <f aca="false">IF(L25="",0,IF(L25=D25,E25,-E25))</f>
        <v>0</v>
      </c>
      <c r="N25" s="102" t="str">
        <f aca="false">IF(L25="","",IFERROR(INDEX(AK_BARIS,MATCH(L25,AK_NAMA,0)),"?"))</f>
        <v/>
      </c>
      <c r="O25" s="102" t="str">
        <f aca="false">IF(C25="","",IFERROR(INDEX(AK_KEL,MATCH(C25,AK_NAMA,0)),"?"))</f>
        <v>ASET</v>
      </c>
      <c r="P25" s="102" t="str">
        <f aca="false">IF(D25="","",IFERROR(INDEX(AK_KEL,MATCH(D25,AK_NAMA,0)),"?"))</f>
        <v>ASET</v>
      </c>
      <c r="Q25" s="102" t="n">
        <f aca="false">N(Q24)+IF(AND(N(E25)&lt;&gt;0,K25=TAHUN,N(J25)&lt;=BLN,OR(C25=BB_AKUN,D25=BB_AKUN)),1,0)</f>
        <v>9</v>
      </c>
      <c r="R25" s="104" t="str">
        <f aca="false">IF(OR(C25&amp;D25="",N(E25)=0),"",IF(OR(O25="?",P25="?"),"⚠ akun tidak dikenal",IF(C25=D25,"⚠ debet = kredit","")))</f>
        <v/>
      </c>
    </row>
    <row r="26" customFormat="false" ht="15" hidden="false" customHeight="false" outlineLevel="0" collapsed="false">
      <c r="A26" s="82" t="s">
        <v>508</v>
      </c>
      <c r="B26" s="101" t="n">
        <v>46028</v>
      </c>
      <c r="C26" s="82" t="s">
        <v>461</v>
      </c>
      <c r="D26" s="82" t="s">
        <v>509</v>
      </c>
      <c r="E26" s="91" t="n">
        <v>540000</v>
      </c>
      <c r="F26" s="82" t="s">
        <v>510</v>
      </c>
      <c r="G26" s="82" t="s">
        <v>387</v>
      </c>
      <c r="H26" s="82"/>
      <c r="I26" s="82" t="s">
        <v>250</v>
      </c>
      <c r="J26" s="102" t="n">
        <f aca="false">IF(B26="","",MONTH(B26))</f>
        <v>1</v>
      </c>
      <c r="K26" s="102" t="n">
        <f aca="false">IF(B26="","",YEAR(B26))</f>
        <v>2026</v>
      </c>
      <c r="L26" s="102" t="str">
        <f aca="false">IF(N(E26)=0,"",IF(COUNTIFS(AK_NAMA,C26,AK_KAT,"KAS")+COUNTIFS(AK_NAMA,D26,AK_KAT,"KAS")&lt;&gt;1,"",IF(COUNTIFS(AK_NAMA,C26,AK_KAT,"KAS")=1,D26,C26)))</f>
        <v>Pendapatan non Cafe</v>
      </c>
      <c r="M26" s="103" t="n">
        <f aca="false">IF(L26="",0,IF(L26=D26,E26,-E26))</f>
        <v>540000</v>
      </c>
      <c r="N26" s="102" t="str">
        <f aca="false">IF(L26="","",IFERROR(INDEX(AK_BARIS,MATCH(L26,AK_NAMA,0)),"?"))</f>
        <v>OP1</v>
      </c>
      <c r="O26" s="102" t="str">
        <f aca="false">IF(C26="","",IFERROR(INDEX(AK_KEL,MATCH(C26,AK_NAMA,0)),"?"))</f>
        <v>ASET</v>
      </c>
      <c r="P26" s="102" t="str">
        <f aca="false">IF(D26="","",IFERROR(INDEX(AK_KEL,MATCH(D26,AK_NAMA,0)),"?"))</f>
        <v>PENDAPATAN</v>
      </c>
      <c r="Q26" s="102" t="n">
        <f aca="false">N(Q25)+IF(AND(N(E26)&lt;&gt;0,K26=TAHUN,N(J26)&lt;=BLN,OR(C26=BB_AKUN,D26=BB_AKUN)),1,0)</f>
        <v>10</v>
      </c>
      <c r="R26" s="104" t="str">
        <f aca="false">IF(OR(C26&amp;D26="",N(E26)=0),"",IF(OR(O26="?",P26="?"),"⚠ akun tidak dikenal",IF(C26=D26,"⚠ debet = kredit","")))</f>
        <v/>
      </c>
    </row>
    <row r="27" customFormat="false" ht="15" hidden="false" customHeight="false" outlineLevel="0" collapsed="false">
      <c r="A27" s="82" t="s">
        <v>511</v>
      </c>
      <c r="B27" s="101" t="n">
        <v>46028</v>
      </c>
      <c r="C27" s="82" t="s">
        <v>470</v>
      </c>
      <c r="D27" s="82" t="s">
        <v>461</v>
      </c>
      <c r="E27" s="91" t="n">
        <v>521000</v>
      </c>
      <c r="F27" s="82" t="s">
        <v>512</v>
      </c>
      <c r="G27" s="82"/>
      <c r="H27" s="82"/>
      <c r="I27" s="82" t="s">
        <v>250</v>
      </c>
      <c r="J27" s="102" t="n">
        <f aca="false">IF(B27="","",MONTH(B27))</f>
        <v>1</v>
      </c>
      <c r="K27" s="102" t="n">
        <f aca="false">IF(B27="","",YEAR(B27))</f>
        <v>2026</v>
      </c>
      <c r="L27" s="102" t="str">
        <f aca="false">IF(N(E27)=0,"",IF(COUNTIFS(AK_NAMA,C27,AK_KAT,"KAS")+COUNTIFS(AK_NAMA,D27,AK_KAT,"KAS")&lt;&gt;1,"",IF(COUNTIFS(AK_NAMA,C27,AK_KAT,"KAS")=1,D27,C27)))</f>
        <v>Biaya Bahan Baku</v>
      </c>
      <c r="M27" s="103" t="n">
        <f aca="false">IF(L27="",0,IF(L27=D27,E27,-E27))</f>
        <v>-521000</v>
      </c>
      <c r="N27" s="102" t="str">
        <f aca="false">IF(L27="","",IFERROR(INDEX(AK_BARIS,MATCH(L27,AK_NAMA,0)),"?"))</f>
        <v>OP3</v>
      </c>
      <c r="O27" s="102" t="str">
        <f aca="false">IF(C27="","",IFERROR(INDEX(AK_KEL,MATCH(C27,AK_NAMA,0)),"?"))</f>
        <v>BEBAN</v>
      </c>
      <c r="P27" s="102" t="str">
        <f aca="false">IF(D27="","",IFERROR(INDEX(AK_KEL,MATCH(D27,AK_NAMA,0)),"?"))</f>
        <v>ASET</v>
      </c>
      <c r="Q27" s="102" t="n">
        <f aca="false">N(Q26)+IF(AND(N(E27)&lt;&gt;0,K27=TAHUN,N(J27)&lt;=BLN,OR(C27=BB_AKUN,D27=BB_AKUN)),1,0)</f>
        <v>11</v>
      </c>
      <c r="R27" s="104" t="str">
        <f aca="false">IF(OR(C27&amp;D27="",N(E27)=0),"",IF(OR(O27="?",P27="?"),"⚠ akun tidak dikenal",IF(C27=D27,"⚠ debet = kredit","")))</f>
        <v/>
      </c>
    </row>
    <row r="28" customFormat="false" ht="15" hidden="false" customHeight="false" outlineLevel="0" collapsed="false">
      <c r="A28" s="82" t="s">
        <v>513</v>
      </c>
      <c r="B28" s="101" t="n">
        <v>46028</v>
      </c>
      <c r="C28" s="82" t="s">
        <v>485</v>
      </c>
      <c r="D28" s="82" t="s">
        <v>461</v>
      </c>
      <c r="E28" s="91" t="n">
        <v>90000</v>
      </c>
      <c r="F28" s="82" t="s">
        <v>514</v>
      </c>
      <c r="G28" s="82"/>
      <c r="H28" s="82"/>
      <c r="I28" s="82" t="s">
        <v>250</v>
      </c>
      <c r="J28" s="102" t="n">
        <f aca="false">IF(B28="","",MONTH(B28))</f>
        <v>1</v>
      </c>
      <c r="K28" s="102" t="n">
        <f aca="false">IF(B28="","",YEAR(B28))</f>
        <v>2026</v>
      </c>
      <c r="L28" s="102" t="str">
        <f aca="false">IF(N(E28)=0,"",IF(COUNTIFS(AK_NAMA,C28,AK_KAT,"KAS")+COUNTIFS(AK_NAMA,D28,AK_KAT,"KAS")&lt;&gt;1,"",IF(COUNTIFS(AK_NAMA,C28,AK_KAT,"KAS")=1,D28,C28)))</f>
        <v>Biaya Operasional Harian</v>
      </c>
      <c r="M28" s="103" t="n">
        <f aca="false">IF(L28="",0,IF(L28=D28,E28,-E28))</f>
        <v>-90000</v>
      </c>
      <c r="N28" s="102" t="str">
        <f aca="false">IF(L28="","",IFERROR(INDEX(AK_BARIS,MATCH(L28,AK_NAMA,0)),"?"))</f>
        <v>OP6</v>
      </c>
      <c r="O28" s="102" t="str">
        <f aca="false">IF(C28="","",IFERROR(INDEX(AK_KEL,MATCH(C28,AK_NAMA,0)),"?"))</f>
        <v>BEBAN</v>
      </c>
      <c r="P28" s="102" t="str">
        <f aca="false">IF(D28="","",IFERROR(INDEX(AK_KEL,MATCH(D28,AK_NAMA,0)),"?"))</f>
        <v>ASET</v>
      </c>
      <c r="Q28" s="102" t="n">
        <f aca="false">N(Q27)+IF(AND(N(E28)&lt;&gt;0,K28=TAHUN,N(J28)&lt;=BLN,OR(C28=BB_AKUN,D28=BB_AKUN)),1,0)</f>
        <v>12</v>
      </c>
      <c r="R28" s="104" t="str">
        <f aca="false">IF(OR(C28&amp;D28="",N(E28)=0),"",IF(OR(O28="?",P28="?"),"⚠ akun tidak dikenal",IF(C28=D28,"⚠ debet = kredit","")))</f>
        <v/>
      </c>
    </row>
    <row r="29" customFormat="false" ht="15" hidden="false" customHeight="false" outlineLevel="0" collapsed="false">
      <c r="A29" s="82" t="s">
        <v>515</v>
      </c>
      <c r="B29" s="101" t="n">
        <v>46028</v>
      </c>
      <c r="C29" s="82" t="s">
        <v>460</v>
      </c>
      <c r="D29" s="82" t="s">
        <v>461</v>
      </c>
      <c r="E29" s="91" t="n">
        <v>50000</v>
      </c>
      <c r="F29" s="82" t="s">
        <v>516</v>
      </c>
      <c r="G29" s="82"/>
      <c r="H29" s="82"/>
      <c r="I29" s="82" t="s">
        <v>250</v>
      </c>
      <c r="J29" s="102" t="n">
        <f aca="false">IF(B29="","",MONTH(B29))</f>
        <v>1</v>
      </c>
      <c r="K29" s="102" t="n">
        <f aca="false">IF(B29="","",YEAR(B29))</f>
        <v>2026</v>
      </c>
      <c r="L29" s="102" t="str">
        <f aca="false">IF(N(E29)=0,"",IF(COUNTIFS(AK_NAMA,C29,AK_KAT,"KAS")+COUNTIFS(AK_NAMA,D29,AK_KAT,"KAS")&lt;&gt;1,"",IF(COUNTIFS(AK_NAMA,C29,AK_KAT,"KAS")=1,D29,C29)))</f>
        <v>Biaya Marketing &amp; Promosi</v>
      </c>
      <c r="M29" s="103" t="n">
        <f aca="false">IF(L29="",0,IF(L29=D29,E29,-E29))</f>
        <v>-50000</v>
      </c>
      <c r="N29" s="102" t="str">
        <f aca="false">IF(L29="","",IFERROR(INDEX(AK_BARIS,MATCH(L29,AK_NAMA,0)),"?"))</f>
        <v>OP6</v>
      </c>
      <c r="O29" s="102" t="str">
        <f aca="false">IF(C29="","",IFERROR(INDEX(AK_KEL,MATCH(C29,AK_NAMA,0)),"?"))</f>
        <v>BEBAN</v>
      </c>
      <c r="P29" s="102" t="str">
        <f aca="false">IF(D29="","",IFERROR(INDEX(AK_KEL,MATCH(D29,AK_NAMA,0)),"?"))</f>
        <v>ASET</v>
      </c>
      <c r="Q29" s="102" t="n">
        <f aca="false">N(Q28)+IF(AND(N(E29)&lt;&gt;0,K29=TAHUN,N(J29)&lt;=BLN,OR(C29=BB_AKUN,D29=BB_AKUN)),1,0)</f>
        <v>13</v>
      </c>
      <c r="R29" s="104" t="str">
        <f aca="false">IF(OR(C29&amp;D29="",N(E29)=0),"",IF(OR(O29="?",P29="?"),"⚠ akun tidak dikenal",IF(C29=D29,"⚠ debet = kredit","")))</f>
        <v/>
      </c>
    </row>
    <row r="30" customFormat="false" ht="15" hidden="false" customHeight="false" outlineLevel="0" collapsed="false">
      <c r="A30" s="82" t="s">
        <v>517</v>
      </c>
      <c r="B30" s="101" t="n">
        <v>46029</v>
      </c>
      <c r="C30" s="82" t="s">
        <v>460</v>
      </c>
      <c r="D30" s="82" t="s">
        <v>461</v>
      </c>
      <c r="E30" s="91" t="n">
        <v>4000000</v>
      </c>
      <c r="F30" s="82" t="s">
        <v>518</v>
      </c>
      <c r="G30" s="82" t="s">
        <v>387</v>
      </c>
      <c r="H30" s="82"/>
      <c r="I30" s="82" t="s">
        <v>250</v>
      </c>
      <c r="J30" s="102" t="n">
        <f aca="false">IF(B30="","",MONTH(B30))</f>
        <v>1</v>
      </c>
      <c r="K30" s="102" t="n">
        <f aca="false">IF(B30="","",YEAR(B30))</f>
        <v>2026</v>
      </c>
      <c r="L30" s="102" t="str">
        <f aca="false">IF(N(E30)=0,"",IF(COUNTIFS(AK_NAMA,C30,AK_KAT,"KAS")+COUNTIFS(AK_NAMA,D30,AK_KAT,"KAS")&lt;&gt;1,"",IF(COUNTIFS(AK_NAMA,C30,AK_KAT,"KAS")=1,D30,C30)))</f>
        <v>Biaya Marketing &amp; Promosi</v>
      </c>
      <c r="M30" s="103" t="n">
        <f aca="false">IF(L30="",0,IF(L30=D30,E30,-E30))</f>
        <v>-4000000</v>
      </c>
      <c r="N30" s="102" t="str">
        <f aca="false">IF(L30="","",IFERROR(INDEX(AK_BARIS,MATCH(L30,AK_NAMA,0)),"?"))</f>
        <v>OP6</v>
      </c>
      <c r="O30" s="102" t="str">
        <f aca="false">IF(C30="","",IFERROR(INDEX(AK_KEL,MATCH(C30,AK_NAMA,0)),"?"))</f>
        <v>BEBAN</v>
      </c>
      <c r="P30" s="102" t="str">
        <f aca="false">IF(D30="","",IFERROR(INDEX(AK_KEL,MATCH(D30,AK_NAMA,0)),"?"))</f>
        <v>ASET</v>
      </c>
      <c r="Q30" s="102" t="n">
        <f aca="false">N(Q29)+IF(AND(N(E30)&lt;&gt;0,K30=TAHUN,N(J30)&lt;=BLN,OR(C30=BB_AKUN,D30=BB_AKUN)),1,0)</f>
        <v>14</v>
      </c>
      <c r="R30" s="104" t="str">
        <f aca="false">IF(OR(C30&amp;D30="",N(E30)=0),"",IF(OR(O30="?",P30="?"),"⚠ akun tidak dikenal",IF(C30=D30,"⚠ debet = kredit","")))</f>
        <v/>
      </c>
    </row>
    <row r="31" customFormat="false" ht="15" hidden="false" customHeight="false" outlineLevel="0" collapsed="false">
      <c r="A31" s="82" t="s">
        <v>519</v>
      </c>
      <c r="B31" s="101" t="n">
        <v>46029</v>
      </c>
      <c r="C31" s="82" t="s">
        <v>460</v>
      </c>
      <c r="D31" s="82" t="s">
        <v>461</v>
      </c>
      <c r="E31" s="91" t="n">
        <v>13400000</v>
      </c>
      <c r="F31" s="82" t="s">
        <v>520</v>
      </c>
      <c r="G31" s="82" t="s">
        <v>387</v>
      </c>
      <c r="H31" s="82"/>
      <c r="I31" s="82" t="s">
        <v>250</v>
      </c>
      <c r="J31" s="102" t="n">
        <f aca="false">IF(B31="","",MONTH(B31))</f>
        <v>1</v>
      </c>
      <c r="K31" s="102" t="n">
        <f aca="false">IF(B31="","",YEAR(B31))</f>
        <v>2026</v>
      </c>
      <c r="L31" s="102" t="str">
        <f aca="false">IF(N(E31)=0,"",IF(COUNTIFS(AK_NAMA,C31,AK_KAT,"KAS")+COUNTIFS(AK_NAMA,D31,AK_KAT,"KAS")&lt;&gt;1,"",IF(COUNTIFS(AK_NAMA,C31,AK_KAT,"KAS")=1,D31,C31)))</f>
        <v>Biaya Marketing &amp; Promosi</v>
      </c>
      <c r="M31" s="103" t="n">
        <f aca="false">IF(L31="",0,IF(L31=D31,E31,-E31))</f>
        <v>-13400000</v>
      </c>
      <c r="N31" s="102" t="str">
        <f aca="false">IF(L31="","",IFERROR(INDEX(AK_BARIS,MATCH(L31,AK_NAMA,0)),"?"))</f>
        <v>OP6</v>
      </c>
      <c r="O31" s="102" t="str">
        <f aca="false">IF(C31="","",IFERROR(INDEX(AK_KEL,MATCH(C31,AK_NAMA,0)),"?"))</f>
        <v>BEBAN</v>
      </c>
      <c r="P31" s="102" t="str">
        <f aca="false">IF(D31="","",IFERROR(INDEX(AK_KEL,MATCH(D31,AK_NAMA,0)),"?"))</f>
        <v>ASET</v>
      </c>
      <c r="Q31" s="102" t="n">
        <f aca="false">N(Q30)+IF(AND(N(E31)&lt;&gt;0,K31=TAHUN,N(J31)&lt;=BLN,OR(C31=BB_AKUN,D31=BB_AKUN)),1,0)</f>
        <v>15</v>
      </c>
      <c r="R31" s="104" t="str">
        <f aca="false">IF(OR(C31&amp;D31="",N(E31)=0),"",IF(OR(O31="?",P31="?"),"⚠ akun tidak dikenal",IF(C31=D31,"⚠ debet = kredit","")))</f>
        <v/>
      </c>
    </row>
    <row r="32" customFormat="false" ht="15" hidden="false" customHeight="false" outlineLevel="0" collapsed="false">
      <c r="A32" s="82" t="s">
        <v>521</v>
      </c>
      <c r="B32" s="101" t="n">
        <v>46029</v>
      </c>
      <c r="C32" s="82" t="s">
        <v>470</v>
      </c>
      <c r="D32" s="82" t="s">
        <v>461</v>
      </c>
      <c r="E32" s="91" t="n">
        <v>500000</v>
      </c>
      <c r="F32" s="82" t="s">
        <v>522</v>
      </c>
      <c r="G32" s="82"/>
      <c r="H32" s="82"/>
      <c r="I32" s="82" t="s">
        <v>250</v>
      </c>
      <c r="J32" s="102" t="n">
        <f aca="false">IF(B32="","",MONTH(B32))</f>
        <v>1</v>
      </c>
      <c r="K32" s="102" t="n">
        <f aca="false">IF(B32="","",YEAR(B32))</f>
        <v>2026</v>
      </c>
      <c r="L32" s="102" t="str">
        <f aca="false">IF(N(E32)=0,"",IF(COUNTIFS(AK_NAMA,C32,AK_KAT,"KAS")+COUNTIFS(AK_NAMA,D32,AK_KAT,"KAS")&lt;&gt;1,"",IF(COUNTIFS(AK_NAMA,C32,AK_KAT,"KAS")=1,D32,C32)))</f>
        <v>Biaya Bahan Baku</v>
      </c>
      <c r="M32" s="103" t="n">
        <f aca="false">IF(L32="",0,IF(L32=D32,E32,-E32))</f>
        <v>-500000</v>
      </c>
      <c r="N32" s="102" t="str">
        <f aca="false">IF(L32="","",IFERROR(INDEX(AK_BARIS,MATCH(L32,AK_NAMA,0)),"?"))</f>
        <v>OP3</v>
      </c>
      <c r="O32" s="102" t="str">
        <f aca="false">IF(C32="","",IFERROR(INDEX(AK_KEL,MATCH(C32,AK_NAMA,0)),"?"))</f>
        <v>BEBAN</v>
      </c>
      <c r="P32" s="102" t="str">
        <f aca="false">IF(D32="","",IFERROR(INDEX(AK_KEL,MATCH(D32,AK_NAMA,0)),"?"))</f>
        <v>ASET</v>
      </c>
      <c r="Q32" s="102" t="n">
        <f aca="false">N(Q31)+IF(AND(N(E32)&lt;&gt;0,K32=TAHUN,N(J32)&lt;=BLN,OR(C32=BB_AKUN,D32=BB_AKUN)),1,0)</f>
        <v>16</v>
      </c>
      <c r="R32" s="104" t="str">
        <f aca="false">IF(OR(C32&amp;D32="",N(E32)=0),"",IF(OR(O32="?",P32="?"),"⚠ akun tidak dikenal",IF(C32=D32,"⚠ debet = kredit","")))</f>
        <v/>
      </c>
    </row>
    <row r="33" customFormat="false" ht="15" hidden="false" customHeight="false" outlineLevel="0" collapsed="false">
      <c r="A33" s="82" t="s">
        <v>523</v>
      </c>
      <c r="B33" s="101" t="n">
        <v>46029</v>
      </c>
      <c r="C33" s="82" t="s">
        <v>524</v>
      </c>
      <c r="D33" s="82" t="s">
        <v>461</v>
      </c>
      <c r="E33" s="91" t="n">
        <v>358</v>
      </c>
      <c r="F33" s="82" t="s">
        <v>525</v>
      </c>
      <c r="G33" s="82"/>
      <c r="H33" s="82"/>
      <c r="I33" s="82" t="s">
        <v>250</v>
      </c>
      <c r="J33" s="102" t="n">
        <f aca="false">IF(B33="","",MONTH(B33))</f>
        <v>1</v>
      </c>
      <c r="K33" s="102" t="n">
        <f aca="false">IF(B33="","",YEAR(B33))</f>
        <v>2026</v>
      </c>
      <c r="L33" s="102" t="str">
        <f aca="false">IF(N(E33)=0,"",IF(COUNTIFS(AK_NAMA,C33,AK_KAT,"KAS")+COUNTIFS(AK_NAMA,D33,AK_KAT,"KAS")&lt;&gt;1,"",IF(COUNTIFS(AK_NAMA,C33,AK_KAT,"KAS")=1,D33,C33)))</f>
        <v>Biaya Lainnya</v>
      </c>
      <c r="M33" s="103" t="n">
        <f aca="false">IF(L33="",0,IF(L33=D33,E33,-E33))</f>
        <v>-358</v>
      </c>
      <c r="N33" s="102" t="str">
        <f aca="false">IF(L33="","",IFERROR(INDEX(AK_BARIS,MATCH(L33,AK_NAMA,0)),"?"))</f>
        <v>OP2</v>
      </c>
      <c r="O33" s="102" t="str">
        <f aca="false">IF(C33="","",IFERROR(INDEX(AK_KEL,MATCH(C33,AK_NAMA,0)),"?"))</f>
        <v>BEBAN</v>
      </c>
      <c r="P33" s="102" t="str">
        <f aca="false">IF(D33="","",IFERROR(INDEX(AK_KEL,MATCH(D33,AK_NAMA,0)),"?"))</f>
        <v>ASET</v>
      </c>
      <c r="Q33" s="102" t="n">
        <f aca="false">N(Q32)+IF(AND(N(E33)&lt;&gt;0,K33=TAHUN,N(J33)&lt;=BLN,OR(C33=BB_AKUN,D33=BB_AKUN)),1,0)</f>
        <v>17</v>
      </c>
      <c r="R33" s="104" t="str">
        <f aca="false">IF(OR(C33&amp;D33="",N(E33)=0),"",IF(OR(O33="?",P33="?"),"⚠ akun tidak dikenal",IF(C33=D33,"⚠ debet = kredit","")))</f>
        <v/>
      </c>
    </row>
    <row r="34" customFormat="false" ht="15" hidden="false" customHeight="false" outlineLevel="0" collapsed="false">
      <c r="A34" s="82" t="s">
        <v>526</v>
      </c>
      <c r="B34" s="101" t="n">
        <v>46029</v>
      </c>
      <c r="C34" s="82" t="s">
        <v>460</v>
      </c>
      <c r="D34" s="82" t="s">
        <v>461</v>
      </c>
      <c r="E34" s="91" t="n">
        <v>233100</v>
      </c>
      <c r="F34" s="82" t="s">
        <v>527</v>
      </c>
      <c r="G34" s="82"/>
      <c r="H34" s="82"/>
      <c r="I34" s="82" t="s">
        <v>250</v>
      </c>
      <c r="J34" s="102" t="n">
        <f aca="false">IF(B34="","",MONTH(B34))</f>
        <v>1</v>
      </c>
      <c r="K34" s="102" t="n">
        <f aca="false">IF(B34="","",YEAR(B34))</f>
        <v>2026</v>
      </c>
      <c r="L34" s="102" t="str">
        <f aca="false">IF(N(E34)=0,"",IF(COUNTIFS(AK_NAMA,C34,AK_KAT,"KAS")+COUNTIFS(AK_NAMA,D34,AK_KAT,"KAS")&lt;&gt;1,"",IF(COUNTIFS(AK_NAMA,C34,AK_KAT,"KAS")=1,D34,C34)))</f>
        <v>Biaya Marketing &amp; Promosi</v>
      </c>
      <c r="M34" s="103" t="n">
        <f aca="false">IF(L34="",0,IF(L34=D34,E34,-E34))</f>
        <v>-233100</v>
      </c>
      <c r="N34" s="102" t="str">
        <f aca="false">IF(L34="","",IFERROR(INDEX(AK_BARIS,MATCH(L34,AK_NAMA,0)),"?"))</f>
        <v>OP6</v>
      </c>
      <c r="O34" s="102" t="str">
        <f aca="false">IF(C34="","",IFERROR(INDEX(AK_KEL,MATCH(C34,AK_NAMA,0)),"?"))</f>
        <v>BEBAN</v>
      </c>
      <c r="P34" s="102" t="str">
        <f aca="false">IF(D34="","",IFERROR(INDEX(AK_KEL,MATCH(D34,AK_NAMA,0)),"?"))</f>
        <v>ASET</v>
      </c>
      <c r="Q34" s="102" t="n">
        <f aca="false">N(Q33)+IF(AND(N(E34)&lt;&gt;0,K34=TAHUN,N(J34)&lt;=BLN,OR(C34=BB_AKUN,D34=BB_AKUN)),1,0)</f>
        <v>18</v>
      </c>
      <c r="R34" s="104" t="str">
        <f aca="false">IF(OR(C34&amp;D34="",N(E34)=0),"",IF(OR(O34="?",P34="?"),"⚠ akun tidak dikenal",IF(C34=D34,"⚠ debet = kredit","")))</f>
        <v/>
      </c>
    </row>
    <row r="35" customFormat="false" ht="15" hidden="false" customHeight="false" outlineLevel="0" collapsed="false">
      <c r="A35" s="82" t="s">
        <v>528</v>
      </c>
      <c r="B35" s="101" t="n">
        <v>46029</v>
      </c>
      <c r="C35" s="82" t="s">
        <v>524</v>
      </c>
      <c r="D35" s="82" t="s">
        <v>461</v>
      </c>
      <c r="E35" s="91" t="n">
        <v>325</v>
      </c>
      <c r="F35" s="82" t="s">
        <v>525</v>
      </c>
      <c r="G35" s="82"/>
      <c r="H35" s="82"/>
      <c r="I35" s="82" t="s">
        <v>250</v>
      </c>
      <c r="J35" s="102" t="n">
        <f aca="false">IF(B35="","",MONTH(B35))</f>
        <v>1</v>
      </c>
      <c r="K35" s="102" t="n">
        <f aca="false">IF(B35="","",YEAR(B35))</f>
        <v>2026</v>
      </c>
      <c r="L35" s="102" t="str">
        <f aca="false">IF(N(E35)=0,"",IF(COUNTIFS(AK_NAMA,C35,AK_KAT,"KAS")+COUNTIFS(AK_NAMA,D35,AK_KAT,"KAS")&lt;&gt;1,"",IF(COUNTIFS(AK_NAMA,C35,AK_KAT,"KAS")=1,D35,C35)))</f>
        <v>Biaya Lainnya</v>
      </c>
      <c r="M35" s="103" t="n">
        <f aca="false">IF(L35="",0,IF(L35=D35,E35,-E35))</f>
        <v>-325</v>
      </c>
      <c r="N35" s="102" t="str">
        <f aca="false">IF(L35="","",IFERROR(INDEX(AK_BARIS,MATCH(L35,AK_NAMA,0)),"?"))</f>
        <v>OP2</v>
      </c>
      <c r="O35" s="102" t="str">
        <f aca="false">IF(C35="","",IFERROR(INDEX(AK_KEL,MATCH(C35,AK_NAMA,0)),"?"))</f>
        <v>BEBAN</v>
      </c>
      <c r="P35" s="102" t="str">
        <f aca="false">IF(D35="","",IFERROR(INDEX(AK_KEL,MATCH(D35,AK_NAMA,0)),"?"))</f>
        <v>ASET</v>
      </c>
      <c r="Q35" s="102" t="n">
        <f aca="false">N(Q34)+IF(AND(N(E35)&lt;&gt;0,K35=TAHUN,N(J35)&lt;=BLN,OR(C35=BB_AKUN,D35=BB_AKUN)),1,0)</f>
        <v>19</v>
      </c>
      <c r="R35" s="104" t="str">
        <f aca="false">IF(OR(C35&amp;D35="",N(E35)=0),"",IF(OR(O35="?",P35="?"),"⚠ akun tidak dikenal",IF(C35=D35,"⚠ debet = kredit","")))</f>
        <v/>
      </c>
    </row>
    <row r="36" customFormat="false" ht="15" hidden="false" customHeight="false" outlineLevel="0" collapsed="false">
      <c r="A36" s="82" t="s">
        <v>529</v>
      </c>
      <c r="B36" s="101" t="n">
        <v>46029</v>
      </c>
      <c r="C36" s="82" t="s">
        <v>461</v>
      </c>
      <c r="D36" s="82" t="s">
        <v>509</v>
      </c>
      <c r="E36" s="91" t="n">
        <v>940000</v>
      </c>
      <c r="F36" s="82" t="s">
        <v>530</v>
      </c>
      <c r="G36" s="82" t="s">
        <v>387</v>
      </c>
      <c r="H36" s="82"/>
      <c r="I36" s="82" t="s">
        <v>250</v>
      </c>
      <c r="J36" s="102" t="n">
        <f aca="false">IF(B36="","",MONTH(B36))</f>
        <v>1</v>
      </c>
      <c r="K36" s="102" t="n">
        <f aca="false">IF(B36="","",YEAR(B36))</f>
        <v>2026</v>
      </c>
      <c r="L36" s="102" t="str">
        <f aca="false">IF(N(E36)=0,"",IF(COUNTIFS(AK_NAMA,C36,AK_KAT,"KAS")+COUNTIFS(AK_NAMA,D36,AK_KAT,"KAS")&lt;&gt;1,"",IF(COUNTIFS(AK_NAMA,C36,AK_KAT,"KAS")=1,D36,C36)))</f>
        <v>Pendapatan non Cafe</v>
      </c>
      <c r="M36" s="103" t="n">
        <f aca="false">IF(L36="",0,IF(L36=D36,E36,-E36))</f>
        <v>940000</v>
      </c>
      <c r="N36" s="102" t="str">
        <f aca="false">IF(L36="","",IFERROR(INDEX(AK_BARIS,MATCH(L36,AK_NAMA,0)),"?"))</f>
        <v>OP1</v>
      </c>
      <c r="O36" s="102" t="str">
        <f aca="false">IF(C36="","",IFERROR(INDEX(AK_KEL,MATCH(C36,AK_NAMA,0)),"?"))</f>
        <v>ASET</v>
      </c>
      <c r="P36" s="102" t="str">
        <f aca="false">IF(D36="","",IFERROR(INDEX(AK_KEL,MATCH(D36,AK_NAMA,0)),"?"))</f>
        <v>PENDAPATAN</v>
      </c>
      <c r="Q36" s="102" t="n">
        <f aca="false">N(Q35)+IF(AND(N(E36)&lt;&gt;0,K36=TAHUN,N(J36)&lt;=BLN,OR(C36=BB_AKUN,D36=BB_AKUN)),1,0)</f>
        <v>20</v>
      </c>
      <c r="R36" s="104" t="str">
        <f aca="false">IF(OR(C36&amp;D36="",N(E36)=0),"",IF(OR(O36="?",P36="?"),"⚠ akun tidak dikenal",IF(C36=D36,"⚠ debet = kredit","")))</f>
        <v/>
      </c>
    </row>
    <row r="37" customFormat="false" ht="15" hidden="false" customHeight="false" outlineLevel="0" collapsed="false">
      <c r="A37" s="82" t="s">
        <v>531</v>
      </c>
      <c r="B37" s="101" t="n">
        <v>46030</v>
      </c>
      <c r="C37" s="82" t="s">
        <v>470</v>
      </c>
      <c r="D37" s="82" t="s">
        <v>461</v>
      </c>
      <c r="E37" s="91" t="n">
        <v>180000</v>
      </c>
      <c r="F37" s="82" t="s">
        <v>532</v>
      </c>
      <c r="G37" s="82"/>
      <c r="H37" s="82"/>
      <c r="I37" s="82" t="s">
        <v>250</v>
      </c>
      <c r="J37" s="102" t="n">
        <f aca="false">IF(B37="","",MONTH(B37))</f>
        <v>1</v>
      </c>
      <c r="K37" s="102" t="n">
        <f aca="false">IF(B37="","",YEAR(B37))</f>
        <v>2026</v>
      </c>
      <c r="L37" s="102" t="str">
        <f aca="false">IF(N(E37)=0,"",IF(COUNTIFS(AK_NAMA,C37,AK_KAT,"KAS")+COUNTIFS(AK_NAMA,D37,AK_KAT,"KAS")&lt;&gt;1,"",IF(COUNTIFS(AK_NAMA,C37,AK_KAT,"KAS")=1,D37,C37)))</f>
        <v>Biaya Bahan Baku</v>
      </c>
      <c r="M37" s="103" t="n">
        <f aca="false">IF(L37="",0,IF(L37=D37,E37,-E37))</f>
        <v>-180000</v>
      </c>
      <c r="N37" s="102" t="str">
        <f aca="false">IF(L37="","",IFERROR(INDEX(AK_BARIS,MATCH(L37,AK_NAMA,0)),"?"))</f>
        <v>OP3</v>
      </c>
      <c r="O37" s="102" t="str">
        <f aca="false">IF(C37="","",IFERROR(INDEX(AK_KEL,MATCH(C37,AK_NAMA,0)),"?"))</f>
        <v>BEBAN</v>
      </c>
      <c r="P37" s="102" t="str">
        <f aca="false">IF(D37="","",IFERROR(INDEX(AK_KEL,MATCH(D37,AK_NAMA,0)),"?"))</f>
        <v>ASET</v>
      </c>
      <c r="Q37" s="102" t="n">
        <f aca="false">N(Q36)+IF(AND(N(E37)&lt;&gt;0,K37=TAHUN,N(J37)&lt;=BLN,OR(C37=BB_AKUN,D37=BB_AKUN)),1,0)</f>
        <v>21</v>
      </c>
      <c r="R37" s="104" t="str">
        <f aca="false">IF(OR(C37&amp;D37="",N(E37)=0),"",IF(OR(O37="?",P37="?"),"⚠ akun tidak dikenal",IF(C37=D37,"⚠ debet = kredit","")))</f>
        <v/>
      </c>
    </row>
    <row r="38" customFormat="false" ht="15" hidden="false" customHeight="false" outlineLevel="0" collapsed="false">
      <c r="A38" s="82" t="s">
        <v>533</v>
      </c>
      <c r="B38" s="101" t="n">
        <v>46030</v>
      </c>
      <c r="C38" s="82" t="s">
        <v>461</v>
      </c>
      <c r="D38" s="82" t="s">
        <v>509</v>
      </c>
      <c r="E38" s="91" t="n">
        <v>520000</v>
      </c>
      <c r="F38" s="82" t="s">
        <v>534</v>
      </c>
      <c r="G38" s="82" t="s">
        <v>387</v>
      </c>
      <c r="H38" s="82"/>
      <c r="I38" s="82" t="s">
        <v>250</v>
      </c>
      <c r="J38" s="102" t="n">
        <f aca="false">IF(B38="","",MONTH(B38))</f>
        <v>1</v>
      </c>
      <c r="K38" s="102" t="n">
        <f aca="false">IF(B38="","",YEAR(B38))</f>
        <v>2026</v>
      </c>
      <c r="L38" s="102" t="str">
        <f aca="false">IF(N(E38)=0,"",IF(COUNTIFS(AK_NAMA,C38,AK_KAT,"KAS")+COUNTIFS(AK_NAMA,D38,AK_KAT,"KAS")&lt;&gt;1,"",IF(COUNTIFS(AK_NAMA,C38,AK_KAT,"KAS")=1,D38,C38)))</f>
        <v>Pendapatan non Cafe</v>
      </c>
      <c r="M38" s="103" t="n">
        <f aca="false">IF(L38="",0,IF(L38=D38,E38,-E38))</f>
        <v>520000</v>
      </c>
      <c r="N38" s="102" t="str">
        <f aca="false">IF(L38="","",IFERROR(INDEX(AK_BARIS,MATCH(L38,AK_NAMA,0)),"?"))</f>
        <v>OP1</v>
      </c>
      <c r="O38" s="102" t="str">
        <f aca="false">IF(C38="","",IFERROR(INDEX(AK_KEL,MATCH(C38,AK_NAMA,0)),"?"))</f>
        <v>ASET</v>
      </c>
      <c r="P38" s="102" t="str">
        <f aca="false">IF(D38="","",IFERROR(INDEX(AK_KEL,MATCH(D38,AK_NAMA,0)),"?"))</f>
        <v>PENDAPATAN</v>
      </c>
      <c r="Q38" s="102" t="n">
        <f aca="false">N(Q37)+IF(AND(N(E38)&lt;&gt;0,K38=TAHUN,N(J38)&lt;=BLN,OR(C38=BB_AKUN,D38=BB_AKUN)),1,0)</f>
        <v>22</v>
      </c>
      <c r="R38" s="104" t="str">
        <f aca="false">IF(OR(C38&amp;D38="",N(E38)=0),"",IF(OR(O38="?",P38="?"),"⚠ akun tidak dikenal",IF(C38=D38,"⚠ debet = kredit","")))</f>
        <v/>
      </c>
    </row>
    <row r="39" customFormat="false" ht="15" hidden="false" customHeight="false" outlineLevel="0" collapsed="false">
      <c r="A39" s="82" t="s">
        <v>535</v>
      </c>
      <c r="B39" s="101" t="n">
        <v>46030</v>
      </c>
      <c r="C39" s="82" t="s">
        <v>460</v>
      </c>
      <c r="D39" s="82" t="s">
        <v>475</v>
      </c>
      <c r="E39" s="91" t="n">
        <v>500000</v>
      </c>
      <c r="F39" s="82" t="s">
        <v>536</v>
      </c>
      <c r="G39" s="82" t="s">
        <v>387</v>
      </c>
      <c r="H39" s="82"/>
      <c r="I39" s="82" t="s">
        <v>250</v>
      </c>
      <c r="J39" s="102" t="n">
        <f aca="false">IF(B39="","",MONTH(B39))</f>
        <v>1</v>
      </c>
      <c r="K39" s="102" t="n">
        <f aca="false">IF(B39="","",YEAR(B39))</f>
        <v>2026</v>
      </c>
      <c r="L39" s="102" t="str">
        <f aca="false">IF(N(E39)=0,"",IF(COUNTIFS(AK_NAMA,C39,AK_KAT,"KAS")+COUNTIFS(AK_NAMA,D39,AK_KAT,"KAS")&lt;&gt;1,"",IF(COUNTIFS(AK_NAMA,C39,AK_KAT,"KAS")=1,D39,C39)))</f>
        <v>Biaya Marketing &amp; Promosi</v>
      </c>
      <c r="M39" s="103" t="n">
        <f aca="false">IF(L39="",0,IF(L39=D39,E39,-E39))</f>
        <v>-500000</v>
      </c>
      <c r="N39" s="102" t="str">
        <f aca="false">IF(L39="","",IFERROR(INDEX(AK_BARIS,MATCH(L39,AK_NAMA,0)),"?"))</f>
        <v>OP6</v>
      </c>
      <c r="O39" s="102" t="str">
        <f aca="false">IF(C39="","",IFERROR(INDEX(AK_KEL,MATCH(C39,AK_NAMA,0)),"?"))</f>
        <v>BEBAN</v>
      </c>
      <c r="P39" s="102" t="str">
        <f aca="false">IF(D39="","",IFERROR(INDEX(AK_KEL,MATCH(D39,AK_NAMA,0)),"?"))</f>
        <v>ASET</v>
      </c>
      <c r="Q39" s="102" t="n">
        <f aca="false">N(Q38)+IF(AND(N(E39)&lt;&gt;0,K39=TAHUN,N(J39)&lt;=BLN,OR(C39=BB_AKUN,D39=BB_AKUN)),1,0)</f>
        <v>22</v>
      </c>
      <c r="R39" s="104" t="str">
        <f aca="false">IF(OR(C39&amp;D39="",N(E39)=0),"",IF(OR(O39="?",P39="?"),"⚠ akun tidak dikenal",IF(C39=D39,"⚠ debet = kredit","")))</f>
        <v/>
      </c>
    </row>
    <row r="40" customFormat="false" ht="15" hidden="false" customHeight="false" outlineLevel="0" collapsed="false">
      <c r="A40" s="82" t="s">
        <v>537</v>
      </c>
      <c r="B40" s="101" t="n">
        <v>46030</v>
      </c>
      <c r="C40" s="82" t="s">
        <v>486</v>
      </c>
      <c r="D40" s="82" t="s">
        <v>475</v>
      </c>
      <c r="E40" s="91" t="n">
        <v>500000</v>
      </c>
      <c r="F40" s="82" t="s">
        <v>538</v>
      </c>
      <c r="G40" s="82"/>
      <c r="H40" s="82"/>
      <c r="I40" s="82" t="s">
        <v>250</v>
      </c>
      <c r="J40" s="102" t="n">
        <f aca="false">IF(B40="","",MONTH(B40))</f>
        <v>1</v>
      </c>
      <c r="K40" s="102" t="n">
        <f aca="false">IF(B40="","",YEAR(B40))</f>
        <v>2026</v>
      </c>
      <c r="L40" s="102" t="str">
        <f aca="false">IF(N(E40)=0,"",IF(COUNTIFS(AK_NAMA,C40,AK_KAT,"KAS")+COUNTIFS(AK_NAMA,D40,AK_KAT,"KAS")&lt;&gt;1,"",IF(COUNTIFS(AK_NAMA,C40,AK_KAT,"KAS")=1,D40,C40)))</f>
        <v/>
      </c>
      <c r="M40" s="103" t="n">
        <f aca="false">IF(L40="",0,IF(L40=D40,E40,-E40))</f>
        <v>0</v>
      </c>
      <c r="N40" s="102" t="str">
        <f aca="false">IF(L40="","",IFERROR(INDEX(AK_BARIS,MATCH(L40,AK_NAMA,0)),"?"))</f>
        <v/>
      </c>
      <c r="O40" s="102" t="str">
        <f aca="false">IF(C40="","",IFERROR(INDEX(AK_KEL,MATCH(C40,AK_NAMA,0)),"?"))</f>
        <v>ASET</v>
      </c>
      <c r="P40" s="102" t="str">
        <f aca="false">IF(D40="","",IFERROR(INDEX(AK_KEL,MATCH(D40,AK_NAMA,0)),"?"))</f>
        <v>ASET</v>
      </c>
      <c r="Q40" s="102" t="n">
        <f aca="false">N(Q39)+IF(AND(N(E40)&lt;&gt;0,K40=TAHUN,N(J40)&lt;=BLN,OR(C40=BB_AKUN,D40=BB_AKUN)),1,0)</f>
        <v>22</v>
      </c>
      <c r="R40" s="104" t="str">
        <f aca="false">IF(OR(C40&amp;D40="",N(E40)=0),"",IF(OR(O40="?",P40="?"),"⚠ akun tidak dikenal",IF(C40=D40,"⚠ debet = kredit","")))</f>
        <v/>
      </c>
    </row>
    <row r="41" customFormat="false" ht="15" hidden="false" customHeight="false" outlineLevel="0" collapsed="false">
      <c r="A41" s="82" t="s">
        <v>539</v>
      </c>
      <c r="B41" s="101" t="n">
        <v>46030</v>
      </c>
      <c r="C41" s="82" t="s">
        <v>475</v>
      </c>
      <c r="D41" s="82" t="s">
        <v>486</v>
      </c>
      <c r="E41" s="91" t="n">
        <v>214000</v>
      </c>
      <c r="F41" s="82" t="s">
        <v>540</v>
      </c>
      <c r="G41" s="82"/>
      <c r="H41" s="82"/>
      <c r="I41" s="82" t="s">
        <v>250</v>
      </c>
      <c r="J41" s="102" t="n">
        <f aca="false">IF(B41="","",MONTH(B41))</f>
        <v>1</v>
      </c>
      <c r="K41" s="102" t="n">
        <f aca="false">IF(B41="","",YEAR(B41))</f>
        <v>2026</v>
      </c>
      <c r="L41" s="102" t="str">
        <f aca="false">IF(N(E41)=0,"",IF(COUNTIFS(AK_NAMA,C41,AK_KAT,"KAS")+COUNTIFS(AK_NAMA,D41,AK_KAT,"KAS")&lt;&gt;1,"",IF(COUNTIFS(AK_NAMA,C41,AK_KAT,"KAS")=1,D41,C41)))</f>
        <v/>
      </c>
      <c r="M41" s="103" t="n">
        <f aca="false">IF(L41="",0,IF(L41=D41,E41,-E41))</f>
        <v>0</v>
      </c>
      <c r="N41" s="102" t="str">
        <f aca="false">IF(L41="","",IFERROR(INDEX(AK_BARIS,MATCH(L41,AK_NAMA,0)),"?"))</f>
        <v/>
      </c>
      <c r="O41" s="102" t="str">
        <f aca="false">IF(C41="","",IFERROR(INDEX(AK_KEL,MATCH(C41,AK_NAMA,0)),"?"))</f>
        <v>ASET</v>
      </c>
      <c r="P41" s="102" t="str">
        <f aca="false">IF(D41="","",IFERROR(INDEX(AK_KEL,MATCH(D41,AK_NAMA,0)),"?"))</f>
        <v>ASET</v>
      </c>
      <c r="Q41" s="102" t="n">
        <f aca="false">N(Q40)+IF(AND(N(E41)&lt;&gt;0,K41=TAHUN,N(J41)&lt;=BLN,OR(C41=BB_AKUN,D41=BB_AKUN)),1,0)</f>
        <v>22</v>
      </c>
      <c r="R41" s="104" t="str">
        <f aca="false">IF(OR(C41&amp;D41="",N(E41)=0),"",IF(OR(O41="?",P41="?"),"⚠ akun tidak dikenal",IF(C41=D41,"⚠ debet = kredit","")))</f>
        <v/>
      </c>
    </row>
    <row r="42" customFormat="false" ht="15" hidden="false" customHeight="false" outlineLevel="0" collapsed="false">
      <c r="A42" s="82" t="s">
        <v>541</v>
      </c>
      <c r="B42" s="101" t="n">
        <v>46030</v>
      </c>
      <c r="C42" s="82" t="s">
        <v>460</v>
      </c>
      <c r="D42" s="82" t="s">
        <v>486</v>
      </c>
      <c r="E42" s="91" t="n">
        <v>65000</v>
      </c>
      <c r="F42" s="82" t="s">
        <v>542</v>
      </c>
      <c r="G42" s="82"/>
      <c r="H42" s="82"/>
      <c r="I42" s="82" t="s">
        <v>250</v>
      </c>
      <c r="J42" s="102" t="n">
        <f aca="false">IF(B42="","",MONTH(B42))</f>
        <v>1</v>
      </c>
      <c r="K42" s="102" t="n">
        <f aca="false">IF(B42="","",YEAR(B42))</f>
        <v>2026</v>
      </c>
      <c r="L42" s="102" t="str">
        <f aca="false">IF(N(E42)=0,"",IF(COUNTIFS(AK_NAMA,C42,AK_KAT,"KAS")+COUNTIFS(AK_NAMA,D42,AK_KAT,"KAS")&lt;&gt;1,"",IF(COUNTIFS(AK_NAMA,C42,AK_KAT,"KAS")=1,D42,C42)))</f>
        <v>Biaya Marketing &amp; Promosi</v>
      </c>
      <c r="M42" s="103" t="n">
        <f aca="false">IF(L42="",0,IF(L42=D42,E42,-E42))</f>
        <v>-65000</v>
      </c>
      <c r="N42" s="102" t="str">
        <f aca="false">IF(L42="","",IFERROR(INDEX(AK_BARIS,MATCH(L42,AK_NAMA,0)),"?"))</f>
        <v>OP6</v>
      </c>
      <c r="O42" s="102" t="str">
        <f aca="false">IF(C42="","",IFERROR(INDEX(AK_KEL,MATCH(C42,AK_NAMA,0)),"?"))</f>
        <v>BEBAN</v>
      </c>
      <c r="P42" s="102" t="str">
        <f aca="false">IF(D42="","",IFERROR(INDEX(AK_KEL,MATCH(D42,AK_NAMA,0)),"?"))</f>
        <v>ASET</v>
      </c>
      <c r="Q42" s="102" t="n">
        <f aca="false">N(Q41)+IF(AND(N(E42)&lt;&gt;0,K42=TAHUN,N(J42)&lt;=BLN,OR(C42=BB_AKUN,D42=BB_AKUN)),1,0)</f>
        <v>22</v>
      </c>
      <c r="R42" s="104" t="str">
        <f aca="false">IF(OR(C42&amp;D42="",N(E42)=0),"",IF(OR(O42="?",P42="?"),"⚠ akun tidak dikenal",IF(C42=D42,"⚠ debet = kredit","")))</f>
        <v/>
      </c>
    </row>
    <row r="43" customFormat="false" ht="15" hidden="false" customHeight="false" outlineLevel="0" collapsed="false">
      <c r="A43" s="82" t="s">
        <v>543</v>
      </c>
      <c r="B43" s="101" t="n">
        <v>46030</v>
      </c>
      <c r="C43" s="82" t="s">
        <v>460</v>
      </c>
      <c r="D43" s="82" t="s">
        <v>486</v>
      </c>
      <c r="E43" s="91" t="n">
        <v>211000</v>
      </c>
      <c r="F43" s="82" t="s">
        <v>544</v>
      </c>
      <c r="G43" s="82"/>
      <c r="H43" s="82"/>
      <c r="I43" s="82" t="s">
        <v>250</v>
      </c>
      <c r="J43" s="102" t="n">
        <f aca="false">IF(B43="","",MONTH(B43))</f>
        <v>1</v>
      </c>
      <c r="K43" s="102" t="n">
        <f aca="false">IF(B43="","",YEAR(B43))</f>
        <v>2026</v>
      </c>
      <c r="L43" s="102" t="str">
        <f aca="false">IF(N(E43)=0,"",IF(COUNTIFS(AK_NAMA,C43,AK_KAT,"KAS")+COUNTIFS(AK_NAMA,D43,AK_KAT,"KAS")&lt;&gt;1,"",IF(COUNTIFS(AK_NAMA,C43,AK_KAT,"KAS")=1,D43,C43)))</f>
        <v>Biaya Marketing &amp; Promosi</v>
      </c>
      <c r="M43" s="103" t="n">
        <f aca="false">IF(L43="",0,IF(L43=D43,E43,-E43))</f>
        <v>-211000</v>
      </c>
      <c r="N43" s="102" t="str">
        <f aca="false">IF(L43="","",IFERROR(INDEX(AK_BARIS,MATCH(L43,AK_NAMA,0)),"?"))</f>
        <v>OP6</v>
      </c>
      <c r="O43" s="102" t="str">
        <f aca="false">IF(C43="","",IFERROR(INDEX(AK_KEL,MATCH(C43,AK_NAMA,0)),"?"))</f>
        <v>BEBAN</v>
      </c>
      <c r="P43" s="102" t="str">
        <f aca="false">IF(D43="","",IFERROR(INDEX(AK_KEL,MATCH(D43,AK_NAMA,0)),"?"))</f>
        <v>ASET</v>
      </c>
      <c r="Q43" s="102" t="n">
        <f aca="false">N(Q42)+IF(AND(N(E43)&lt;&gt;0,K43=TAHUN,N(J43)&lt;=BLN,OR(C43=BB_AKUN,D43=BB_AKUN)),1,0)</f>
        <v>22</v>
      </c>
      <c r="R43" s="104" t="str">
        <f aca="false">IF(OR(C43&amp;D43="",N(E43)=0),"",IF(OR(O43="?",P43="?"),"⚠ akun tidak dikenal",IF(C43=D43,"⚠ debet = kredit","")))</f>
        <v/>
      </c>
    </row>
    <row r="44" customFormat="false" ht="15" hidden="false" customHeight="false" outlineLevel="0" collapsed="false">
      <c r="A44" s="82" t="s">
        <v>545</v>
      </c>
      <c r="B44" s="101" t="n">
        <v>46030</v>
      </c>
      <c r="C44" s="82" t="s">
        <v>470</v>
      </c>
      <c r="D44" s="82" t="s">
        <v>486</v>
      </c>
      <c r="E44" s="91" t="n">
        <v>350500</v>
      </c>
      <c r="F44" s="82" t="s">
        <v>546</v>
      </c>
      <c r="G44" s="82"/>
      <c r="H44" s="82"/>
      <c r="I44" s="82" t="s">
        <v>250</v>
      </c>
      <c r="J44" s="102" t="n">
        <f aca="false">IF(B44="","",MONTH(B44))</f>
        <v>1</v>
      </c>
      <c r="K44" s="102" t="n">
        <f aca="false">IF(B44="","",YEAR(B44))</f>
        <v>2026</v>
      </c>
      <c r="L44" s="102" t="str">
        <f aca="false">IF(N(E44)=0,"",IF(COUNTIFS(AK_NAMA,C44,AK_KAT,"KAS")+COUNTIFS(AK_NAMA,D44,AK_KAT,"KAS")&lt;&gt;1,"",IF(COUNTIFS(AK_NAMA,C44,AK_KAT,"KAS")=1,D44,C44)))</f>
        <v>Biaya Bahan Baku</v>
      </c>
      <c r="M44" s="103" t="n">
        <f aca="false">IF(L44="",0,IF(L44=D44,E44,-E44))</f>
        <v>-350500</v>
      </c>
      <c r="N44" s="102" t="str">
        <f aca="false">IF(L44="","",IFERROR(INDEX(AK_BARIS,MATCH(L44,AK_NAMA,0)),"?"))</f>
        <v>OP3</v>
      </c>
      <c r="O44" s="102" t="str">
        <f aca="false">IF(C44="","",IFERROR(INDEX(AK_KEL,MATCH(C44,AK_NAMA,0)),"?"))</f>
        <v>BEBAN</v>
      </c>
      <c r="P44" s="102" t="str">
        <f aca="false">IF(D44="","",IFERROR(INDEX(AK_KEL,MATCH(D44,AK_NAMA,0)),"?"))</f>
        <v>ASET</v>
      </c>
      <c r="Q44" s="102" t="n">
        <f aca="false">N(Q43)+IF(AND(N(E44)&lt;&gt;0,K44=TAHUN,N(J44)&lt;=BLN,OR(C44=BB_AKUN,D44=BB_AKUN)),1,0)</f>
        <v>22</v>
      </c>
      <c r="R44" s="104" t="str">
        <f aca="false">IF(OR(C44&amp;D44="",N(E44)=0),"",IF(OR(O44="?",P44="?"),"⚠ akun tidak dikenal",IF(C44=D44,"⚠ debet = kredit","")))</f>
        <v/>
      </c>
    </row>
    <row r="45" customFormat="false" ht="15" hidden="false" customHeight="false" outlineLevel="0" collapsed="false">
      <c r="A45" s="82" t="s">
        <v>547</v>
      </c>
      <c r="B45" s="101" t="n">
        <v>46030</v>
      </c>
      <c r="C45" s="82" t="s">
        <v>548</v>
      </c>
      <c r="D45" s="82" t="s">
        <v>486</v>
      </c>
      <c r="E45" s="91" t="n">
        <v>33500</v>
      </c>
      <c r="F45" s="82" t="s">
        <v>549</v>
      </c>
      <c r="G45" s="82"/>
      <c r="H45" s="82"/>
      <c r="I45" s="82" t="s">
        <v>250</v>
      </c>
      <c r="J45" s="102" t="n">
        <f aca="false">IF(B45="","",MONTH(B45))</f>
        <v>1</v>
      </c>
      <c r="K45" s="102" t="n">
        <f aca="false">IF(B45="","",YEAR(B45))</f>
        <v>2026</v>
      </c>
      <c r="L45" s="102" t="str">
        <f aca="false">IF(N(E45)=0,"",IF(COUNTIFS(AK_NAMA,C45,AK_KAT,"KAS")+COUNTIFS(AK_NAMA,D45,AK_KAT,"KAS")&lt;&gt;1,"",IF(COUNTIFS(AK_NAMA,C45,AK_KAT,"KAS")=1,D45,C45)))</f>
        <v>Beban Perlengkapan</v>
      </c>
      <c r="M45" s="103" t="n">
        <f aca="false">IF(L45="",0,IF(L45=D45,E45,-E45))</f>
        <v>-33500</v>
      </c>
      <c r="N45" s="102" t="str">
        <f aca="false">IF(L45="","",IFERROR(INDEX(AK_BARIS,MATCH(L45,AK_NAMA,0)),"?"))</f>
        <v>OP6</v>
      </c>
      <c r="O45" s="102" t="str">
        <f aca="false">IF(C45="","",IFERROR(INDEX(AK_KEL,MATCH(C45,AK_NAMA,0)),"?"))</f>
        <v>BEBAN</v>
      </c>
      <c r="P45" s="102" t="str">
        <f aca="false">IF(D45="","",IFERROR(INDEX(AK_KEL,MATCH(D45,AK_NAMA,0)),"?"))</f>
        <v>ASET</v>
      </c>
      <c r="Q45" s="102" t="n">
        <f aca="false">N(Q44)+IF(AND(N(E45)&lt;&gt;0,K45=TAHUN,N(J45)&lt;=BLN,OR(C45=BB_AKUN,D45=BB_AKUN)),1,0)</f>
        <v>22</v>
      </c>
      <c r="R45" s="104" t="str">
        <f aca="false">IF(OR(C45&amp;D45="",N(E45)=0),"",IF(OR(O45="?",P45="?"),"⚠ akun tidak dikenal",IF(C45=D45,"⚠ debet = kredit","")))</f>
        <v/>
      </c>
    </row>
    <row r="46" customFormat="false" ht="15" hidden="false" customHeight="false" outlineLevel="0" collapsed="false">
      <c r="A46" s="82" t="s">
        <v>550</v>
      </c>
      <c r="B46" s="101" t="n">
        <v>46030</v>
      </c>
      <c r="C46" s="82" t="s">
        <v>548</v>
      </c>
      <c r="D46" s="82" t="s">
        <v>486</v>
      </c>
      <c r="E46" s="91" t="n">
        <v>98000</v>
      </c>
      <c r="F46" s="82" t="s">
        <v>551</v>
      </c>
      <c r="G46" s="82"/>
      <c r="H46" s="82"/>
      <c r="I46" s="82" t="s">
        <v>250</v>
      </c>
      <c r="J46" s="102" t="n">
        <f aca="false">IF(B46="","",MONTH(B46))</f>
        <v>1</v>
      </c>
      <c r="K46" s="102" t="n">
        <f aca="false">IF(B46="","",YEAR(B46))</f>
        <v>2026</v>
      </c>
      <c r="L46" s="102" t="str">
        <f aca="false">IF(N(E46)=0,"",IF(COUNTIFS(AK_NAMA,C46,AK_KAT,"KAS")+COUNTIFS(AK_NAMA,D46,AK_KAT,"KAS")&lt;&gt;1,"",IF(COUNTIFS(AK_NAMA,C46,AK_KAT,"KAS")=1,D46,C46)))</f>
        <v>Beban Perlengkapan</v>
      </c>
      <c r="M46" s="103" t="n">
        <f aca="false">IF(L46="",0,IF(L46=D46,E46,-E46))</f>
        <v>-98000</v>
      </c>
      <c r="N46" s="102" t="str">
        <f aca="false">IF(L46="","",IFERROR(INDEX(AK_BARIS,MATCH(L46,AK_NAMA,0)),"?"))</f>
        <v>OP6</v>
      </c>
      <c r="O46" s="102" t="str">
        <f aca="false">IF(C46="","",IFERROR(INDEX(AK_KEL,MATCH(C46,AK_NAMA,0)),"?"))</f>
        <v>BEBAN</v>
      </c>
      <c r="P46" s="102" t="str">
        <f aca="false">IF(D46="","",IFERROR(INDEX(AK_KEL,MATCH(D46,AK_NAMA,0)),"?"))</f>
        <v>ASET</v>
      </c>
      <c r="Q46" s="102" t="n">
        <f aca="false">N(Q45)+IF(AND(N(E46)&lt;&gt;0,K46=TAHUN,N(J46)&lt;=BLN,OR(C46=BB_AKUN,D46=BB_AKUN)),1,0)</f>
        <v>22</v>
      </c>
      <c r="R46" s="104" t="str">
        <f aca="false">IF(OR(C46&amp;D46="",N(E46)=0),"",IF(OR(O46="?",P46="?"),"⚠ akun tidak dikenal",IF(C46=D46,"⚠ debet = kredit","")))</f>
        <v/>
      </c>
    </row>
    <row r="47" customFormat="false" ht="15" hidden="false" customHeight="false" outlineLevel="0" collapsed="false">
      <c r="A47" s="82" t="s">
        <v>552</v>
      </c>
      <c r="B47" s="101" t="n">
        <v>46030</v>
      </c>
      <c r="C47" s="82" t="s">
        <v>485</v>
      </c>
      <c r="D47" s="82" t="s">
        <v>486</v>
      </c>
      <c r="E47" s="91" t="n">
        <v>15000</v>
      </c>
      <c r="F47" s="82" t="s">
        <v>553</v>
      </c>
      <c r="G47" s="82"/>
      <c r="H47" s="82"/>
      <c r="I47" s="82" t="s">
        <v>250</v>
      </c>
      <c r="J47" s="102" t="n">
        <f aca="false">IF(B47="","",MONTH(B47))</f>
        <v>1</v>
      </c>
      <c r="K47" s="102" t="n">
        <f aca="false">IF(B47="","",YEAR(B47))</f>
        <v>2026</v>
      </c>
      <c r="L47" s="102" t="str">
        <f aca="false">IF(N(E47)=0,"",IF(COUNTIFS(AK_NAMA,C47,AK_KAT,"KAS")+COUNTIFS(AK_NAMA,D47,AK_KAT,"KAS")&lt;&gt;1,"",IF(COUNTIFS(AK_NAMA,C47,AK_KAT,"KAS")=1,D47,C47)))</f>
        <v>Biaya Operasional Harian</v>
      </c>
      <c r="M47" s="103" t="n">
        <f aca="false">IF(L47="",0,IF(L47=D47,E47,-E47))</f>
        <v>-15000</v>
      </c>
      <c r="N47" s="102" t="str">
        <f aca="false">IF(L47="","",IFERROR(INDEX(AK_BARIS,MATCH(L47,AK_NAMA,0)),"?"))</f>
        <v>OP6</v>
      </c>
      <c r="O47" s="102" t="str">
        <f aca="false">IF(C47="","",IFERROR(INDEX(AK_KEL,MATCH(C47,AK_NAMA,0)),"?"))</f>
        <v>BEBAN</v>
      </c>
      <c r="P47" s="102" t="str">
        <f aca="false">IF(D47="","",IFERROR(INDEX(AK_KEL,MATCH(D47,AK_NAMA,0)),"?"))</f>
        <v>ASET</v>
      </c>
      <c r="Q47" s="102" t="n">
        <f aca="false">N(Q46)+IF(AND(N(E47)&lt;&gt;0,K47=TAHUN,N(J47)&lt;=BLN,OR(C47=BB_AKUN,D47=BB_AKUN)),1,0)</f>
        <v>22</v>
      </c>
      <c r="R47" s="104" t="str">
        <f aca="false">IF(OR(C47&amp;D47="",N(E47)=0),"",IF(OR(O47="?",P47="?"),"⚠ akun tidak dikenal",IF(C47=D47,"⚠ debet = kredit","")))</f>
        <v/>
      </c>
    </row>
    <row r="48" customFormat="false" ht="15" hidden="false" customHeight="false" outlineLevel="0" collapsed="false">
      <c r="A48" s="82" t="s">
        <v>554</v>
      </c>
      <c r="B48" s="101" t="n">
        <v>46030</v>
      </c>
      <c r="C48" s="82" t="s">
        <v>524</v>
      </c>
      <c r="D48" s="82" t="s">
        <v>486</v>
      </c>
      <c r="E48" s="91" t="n">
        <v>6000</v>
      </c>
      <c r="F48" s="82" t="s">
        <v>555</v>
      </c>
      <c r="G48" s="82"/>
      <c r="H48" s="82"/>
      <c r="I48" s="82" t="s">
        <v>250</v>
      </c>
      <c r="J48" s="102" t="n">
        <f aca="false">IF(B48="","",MONTH(B48))</f>
        <v>1</v>
      </c>
      <c r="K48" s="102" t="n">
        <f aca="false">IF(B48="","",YEAR(B48))</f>
        <v>2026</v>
      </c>
      <c r="L48" s="102" t="str">
        <f aca="false">IF(N(E48)=0,"",IF(COUNTIFS(AK_NAMA,C48,AK_KAT,"KAS")+COUNTIFS(AK_NAMA,D48,AK_KAT,"KAS")&lt;&gt;1,"",IF(COUNTIFS(AK_NAMA,C48,AK_KAT,"KAS")=1,D48,C48)))</f>
        <v>Biaya Lainnya</v>
      </c>
      <c r="M48" s="103" t="n">
        <f aca="false">IF(L48="",0,IF(L48=D48,E48,-E48))</f>
        <v>-6000</v>
      </c>
      <c r="N48" s="102" t="str">
        <f aca="false">IF(L48="","",IFERROR(INDEX(AK_BARIS,MATCH(L48,AK_NAMA,0)),"?"))</f>
        <v>OP2</v>
      </c>
      <c r="O48" s="102" t="str">
        <f aca="false">IF(C48="","",IFERROR(INDEX(AK_KEL,MATCH(C48,AK_NAMA,0)),"?"))</f>
        <v>BEBAN</v>
      </c>
      <c r="P48" s="102" t="str">
        <f aca="false">IF(D48="","",IFERROR(INDEX(AK_KEL,MATCH(D48,AK_NAMA,0)),"?"))</f>
        <v>ASET</v>
      </c>
      <c r="Q48" s="102" t="n">
        <f aca="false">N(Q47)+IF(AND(N(E48)&lt;&gt;0,K48=TAHUN,N(J48)&lt;=BLN,OR(C48=BB_AKUN,D48=BB_AKUN)),1,0)</f>
        <v>22</v>
      </c>
      <c r="R48" s="104" t="str">
        <f aca="false">IF(OR(C48&amp;D48="",N(E48)=0),"",IF(OR(O48="?",P48="?"),"⚠ akun tidak dikenal",IF(C48=D48,"⚠ debet = kredit","")))</f>
        <v/>
      </c>
    </row>
    <row r="49" customFormat="false" ht="15" hidden="false" customHeight="false" outlineLevel="0" collapsed="false">
      <c r="A49" s="82" t="s">
        <v>556</v>
      </c>
      <c r="B49" s="101" t="n">
        <v>46030</v>
      </c>
      <c r="C49" s="82" t="s">
        <v>486</v>
      </c>
      <c r="D49" s="82" t="s">
        <v>557</v>
      </c>
      <c r="E49" s="91" t="n">
        <v>2500</v>
      </c>
      <c r="F49" s="82" t="s">
        <v>558</v>
      </c>
      <c r="G49" s="82"/>
      <c r="H49" s="82"/>
      <c r="I49" s="82" t="s">
        <v>250</v>
      </c>
      <c r="J49" s="102" t="n">
        <f aca="false">IF(B49="","",MONTH(B49))</f>
        <v>1</v>
      </c>
      <c r="K49" s="102" t="n">
        <f aca="false">IF(B49="","",YEAR(B49))</f>
        <v>2026</v>
      </c>
      <c r="L49" s="102" t="str">
        <f aca="false">IF(N(E49)=0,"",IF(COUNTIFS(AK_NAMA,C49,AK_KAT,"KAS")+COUNTIFS(AK_NAMA,D49,AK_KAT,"KAS")&lt;&gt;1,"",IF(COUNTIFS(AK_NAMA,C49,AK_KAT,"KAS")=1,D49,C49)))</f>
        <v>Pendapatan Lainnya</v>
      </c>
      <c r="M49" s="103" t="n">
        <f aca="false">IF(L49="",0,IF(L49=D49,E49,-E49))</f>
        <v>2500</v>
      </c>
      <c r="N49" s="102" t="str">
        <f aca="false">IF(L49="","",IFERROR(INDEX(AK_BARIS,MATCH(L49,AK_NAMA,0)),"?"))</f>
        <v>OP2</v>
      </c>
      <c r="O49" s="102" t="str">
        <f aca="false">IF(C49="","",IFERROR(INDEX(AK_KEL,MATCH(C49,AK_NAMA,0)),"?"))</f>
        <v>ASET</v>
      </c>
      <c r="P49" s="102" t="str">
        <f aca="false">IF(D49="","",IFERROR(INDEX(AK_KEL,MATCH(D49,AK_NAMA,0)),"?"))</f>
        <v>PENDAPATAN</v>
      </c>
      <c r="Q49" s="102" t="n">
        <f aca="false">N(Q48)+IF(AND(N(E49)&lt;&gt;0,K49=TAHUN,N(J49)&lt;=BLN,OR(C49=BB_AKUN,D49=BB_AKUN)),1,0)</f>
        <v>22</v>
      </c>
      <c r="R49" s="104" t="str">
        <f aca="false">IF(OR(C49&amp;D49="",N(E49)=0),"",IF(OR(O49="?",P49="?"),"⚠ akun tidak dikenal",IF(C49=D49,"⚠ debet = kredit","")))</f>
        <v/>
      </c>
    </row>
    <row r="50" customFormat="false" ht="15" hidden="false" customHeight="false" outlineLevel="0" collapsed="false">
      <c r="A50" s="82" t="s">
        <v>559</v>
      </c>
      <c r="B50" s="101" t="n">
        <v>46031</v>
      </c>
      <c r="C50" s="82" t="s">
        <v>461</v>
      </c>
      <c r="D50" s="82" t="s">
        <v>475</v>
      </c>
      <c r="E50" s="91" t="n">
        <v>14000000</v>
      </c>
      <c r="F50" s="82" t="s">
        <v>560</v>
      </c>
      <c r="G50" s="82"/>
      <c r="H50" s="82"/>
      <c r="I50" s="82" t="s">
        <v>250</v>
      </c>
      <c r="J50" s="102" t="n">
        <f aca="false">IF(B50="","",MONTH(B50))</f>
        <v>1</v>
      </c>
      <c r="K50" s="102" t="n">
        <f aca="false">IF(B50="","",YEAR(B50))</f>
        <v>2026</v>
      </c>
      <c r="L50" s="102" t="str">
        <f aca="false">IF(N(E50)=0,"",IF(COUNTIFS(AK_NAMA,C50,AK_KAT,"KAS")+COUNTIFS(AK_NAMA,D50,AK_KAT,"KAS")&lt;&gt;1,"",IF(COUNTIFS(AK_NAMA,C50,AK_KAT,"KAS")=1,D50,C50)))</f>
        <v/>
      </c>
      <c r="M50" s="103" t="n">
        <f aca="false">IF(L50="",0,IF(L50=D50,E50,-E50))</f>
        <v>0</v>
      </c>
      <c r="N50" s="102" t="str">
        <f aca="false">IF(L50="","",IFERROR(INDEX(AK_BARIS,MATCH(L50,AK_NAMA,0)),"?"))</f>
        <v/>
      </c>
      <c r="O50" s="102" t="str">
        <f aca="false">IF(C50="","",IFERROR(INDEX(AK_KEL,MATCH(C50,AK_NAMA,0)),"?"))</f>
        <v>ASET</v>
      </c>
      <c r="P50" s="102" t="str">
        <f aca="false">IF(D50="","",IFERROR(INDEX(AK_KEL,MATCH(D50,AK_NAMA,0)),"?"))</f>
        <v>ASET</v>
      </c>
      <c r="Q50" s="102" t="n">
        <f aca="false">N(Q49)+IF(AND(N(E50)&lt;&gt;0,K50=TAHUN,N(J50)&lt;=BLN,OR(C50=BB_AKUN,D50=BB_AKUN)),1,0)</f>
        <v>23</v>
      </c>
      <c r="R50" s="104" t="str">
        <f aca="false">IF(OR(C50&amp;D50="",N(E50)=0),"",IF(OR(O50="?",P50="?"),"⚠ akun tidak dikenal",IF(C50=D50,"⚠ debet = kredit","")))</f>
        <v/>
      </c>
    </row>
    <row r="51" customFormat="false" ht="15" hidden="false" customHeight="false" outlineLevel="0" collapsed="false">
      <c r="A51" s="82" t="s">
        <v>561</v>
      </c>
      <c r="B51" s="101" t="n">
        <v>46031</v>
      </c>
      <c r="C51" s="82" t="s">
        <v>461</v>
      </c>
      <c r="D51" s="82" t="s">
        <v>509</v>
      </c>
      <c r="E51" s="91" t="n">
        <v>420000</v>
      </c>
      <c r="F51" s="82" t="s">
        <v>562</v>
      </c>
      <c r="G51" s="82" t="s">
        <v>387</v>
      </c>
      <c r="H51" s="82"/>
      <c r="I51" s="82" t="s">
        <v>250</v>
      </c>
      <c r="J51" s="102" t="n">
        <f aca="false">IF(B51="","",MONTH(B51))</f>
        <v>1</v>
      </c>
      <c r="K51" s="102" t="n">
        <f aca="false">IF(B51="","",YEAR(B51))</f>
        <v>2026</v>
      </c>
      <c r="L51" s="102" t="str">
        <f aca="false">IF(N(E51)=0,"",IF(COUNTIFS(AK_NAMA,C51,AK_KAT,"KAS")+COUNTIFS(AK_NAMA,D51,AK_KAT,"KAS")&lt;&gt;1,"",IF(COUNTIFS(AK_NAMA,C51,AK_KAT,"KAS")=1,D51,C51)))</f>
        <v>Pendapatan non Cafe</v>
      </c>
      <c r="M51" s="103" t="n">
        <f aca="false">IF(L51="",0,IF(L51=D51,E51,-E51))</f>
        <v>420000</v>
      </c>
      <c r="N51" s="102" t="str">
        <f aca="false">IF(L51="","",IFERROR(INDEX(AK_BARIS,MATCH(L51,AK_NAMA,0)),"?"))</f>
        <v>OP1</v>
      </c>
      <c r="O51" s="102" t="str">
        <f aca="false">IF(C51="","",IFERROR(INDEX(AK_KEL,MATCH(C51,AK_NAMA,0)),"?"))</f>
        <v>ASET</v>
      </c>
      <c r="P51" s="102" t="str">
        <f aca="false">IF(D51="","",IFERROR(INDEX(AK_KEL,MATCH(D51,AK_NAMA,0)),"?"))</f>
        <v>PENDAPATAN</v>
      </c>
      <c r="Q51" s="102" t="n">
        <f aca="false">N(Q50)+IF(AND(N(E51)&lt;&gt;0,K51=TAHUN,N(J51)&lt;=BLN,OR(C51=BB_AKUN,D51=BB_AKUN)),1,0)</f>
        <v>24</v>
      </c>
      <c r="R51" s="104" t="str">
        <f aca="false">IF(OR(C51&amp;D51="",N(E51)=0),"",IF(OR(O51="?",P51="?"),"⚠ akun tidak dikenal",IF(C51=D51,"⚠ debet = kredit","")))</f>
        <v/>
      </c>
    </row>
    <row r="52" customFormat="false" ht="15" hidden="false" customHeight="false" outlineLevel="0" collapsed="false">
      <c r="A52" s="82" t="s">
        <v>563</v>
      </c>
      <c r="B52" s="101" t="n">
        <v>46032</v>
      </c>
      <c r="C52" s="82" t="s">
        <v>461</v>
      </c>
      <c r="D52" s="82" t="s">
        <v>509</v>
      </c>
      <c r="E52" s="91" t="n">
        <v>850000</v>
      </c>
      <c r="F52" s="82" t="s">
        <v>564</v>
      </c>
      <c r="G52" s="82" t="s">
        <v>387</v>
      </c>
      <c r="H52" s="82"/>
      <c r="I52" s="82" t="s">
        <v>250</v>
      </c>
      <c r="J52" s="102" t="n">
        <f aca="false">IF(B52="","",MONTH(B52))</f>
        <v>1</v>
      </c>
      <c r="K52" s="102" t="n">
        <f aca="false">IF(B52="","",YEAR(B52))</f>
        <v>2026</v>
      </c>
      <c r="L52" s="102" t="str">
        <f aca="false">IF(N(E52)=0,"",IF(COUNTIFS(AK_NAMA,C52,AK_KAT,"KAS")+COUNTIFS(AK_NAMA,D52,AK_KAT,"KAS")&lt;&gt;1,"",IF(COUNTIFS(AK_NAMA,C52,AK_KAT,"KAS")=1,D52,C52)))</f>
        <v>Pendapatan non Cafe</v>
      </c>
      <c r="M52" s="103" t="n">
        <f aca="false">IF(L52="",0,IF(L52=D52,E52,-E52))</f>
        <v>850000</v>
      </c>
      <c r="N52" s="102" t="str">
        <f aca="false">IF(L52="","",IFERROR(INDEX(AK_BARIS,MATCH(L52,AK_NAMA,0)),"?"))</f>
        <v>OP1</v>
      </c>
      <c r="O52" s="102" t="str">
        <f aca="false">IF(C52="","",IFERROR(INDEX(AK_KEL,MATCH(C52,AK_NAMA,0)),"?"))</f>
        <v>ASET</v>
      </c>
      <c r="P52" s="102" t="str">
        <f aca="false">IF(D52="","",IFERROR(INDEX(AK_KEL,MATCH(D52,AK_NAMA,0)),"?"))</f>
        <v>PENDAPATAN</v>
      </c>
      <c r="Q52" s="102" t="n">
        <f aca="false">N(Q51)+IF(AND(N(E52)&lt;&gt;0,K52=TAHUN,N(J52)&lt;=BLN,OR(C52=BB_AKUN,D52=BB_AKUN)),1,0)</f>
        <v>25</v>
      </c>
      <c r="R52" s="104" t="str">
        <f aca="false">IF(OR(C52&amp;D52="",N(E52)=0),"",IF(OR(O52="?",P52="?"),"⚠ akun tidak dikenal",IF(C52=D52,"⚠ debet = kredit","")))</f>
        <v/>
      </c>
    </row>
    <row r="53" customFormat="false" ht="15" hidden="false" customHeight="false" outlineLevel="0" collapsed="false">
      <c r="A53" s="82" t="s">
        <v>565</v>
      </c>
      <c r="B53" s="101" t="n">
        <v>46033</v>
      </c>
      <c r="C53" s="82" t="s">
        <v>470</v>
      </c>
      <c r="D53" s="82" t="s">
        <v>461</v>
      </c>
      <c r="E53" s="91" t="n">
        <v>819000</v>
      </c>
      <c r="F53" s="82" t="s">
        <v>566</v>
      </c>
      <c r="G53" s="82"/>
      <c r="H53" s="82"/>
      <c r="I53" s="82" t="s">
        <v>250</v>
      </c>
      <c r="J53" s="102" t="n">
        <f aca="false">IF(B53="","",MONTH(B53))</f>
        <v>1</v>
      </c>
      <c r="K53" s="102" t="n">
        <f aca="false">IF(B53="","",YEAR(B53))</f>
        <v>2026</v>
      </c>
      <c r="L53" s="102" t="str">
        <f aca="false">IF(N(E53)=0,"",IF(COUNTIFS(AK_NAMA,C53,AK_KAT,"KAS")+COUNTIFS(AK_NAMA,D53,AK_KAT,"KAS")&lt;&gt;1,"",IF(COUNTIFS(AK_NAMA,C53,AK_KAT,"KAS")=1,D53,C53)))</f>
        <v>Biaya Bahan Baku</v>
      </c>
      <c r="M53" s="103" t="n">
        <f aca="false">IF(L53="",0,IF(L53=D53,E53,-E53))</f>
        <v>-819000</v>
      </c>
      <c r="N53" s="102" t="str">
        <f aca="false">IF(L53="","",IFERROR(INDEX(AK_BARIS,MATCH(L53,AK_NAMA,0)),"?"))</f>
        <v>OP3</v>
      </c>
      <c r="O53" s="102" t="str">
        <f aca="false">IF(C53="","",IFERROR(INDEX(AK_KEL,MATCH(C53,AK_NAMA,0)),"?"))</f>
        <v>BEBAN</v>
      </c>
      <c r="P53" s="102" t="str">
        <f aca="false">IF(D53="","",IFERROR(INDEX(AK_KEL,MATCH(D53,AK_NAMA,0)),"?"))</f>
        <v>ASET</v>
      </c>
      <c r="Q53" s="102" t="n">
        <f aca="false">N(Q52)+IF(AND(N(E53)&lt;&gt;0,K53=TAHUN,N(J53)&lt;=BLN,OR(C53=BB_AKUN,D53=BB_AKUN)),1,0)</f>
        <v>26</v>
      </c>
      <c r="R53" s="104" t="str">
        <f aca="false">IF(OR(C53&amp;D53="",N(E53)=0),"",IF(OR(O53="?",P53="?"),"⚠ akun tidak dikenal",IF(C53=D53,"⚠ debet = kredit","")))</f>
        <v/>
      </c>
    </row>
    <row r="54" customFormat="false" ht="15" hidden="false" customHeight="false" outlineLevel="0" collapsed="false">
      <c r="A54" s="82" t="s">
        <v>567</v>
      </c>
      <c r="B54" s="101" t="n">
        <v>46034</v>
      </c>
      <c r="C54" s="82" t="s">
        <v>461</v>
      </c>
      <c r="D54" s="82" t="s">
        <v>509</v>
      </c>
      <c r="E54" s="91" t="n">
        <v>320000</v>
      </c>
      <c r="F54" s="82" t="s">
        <v>568</v>
      </c>
      <c r="G54" s="82" t="s">
        <v>387</v>
      </c>
      <c r="H54" s="82"/>
      <c r="I54" s="82" t="s">
        <v>250</v>
      </c>
      <c r="J54" s="102" t="n">
        <f aca="false">IF(B54="","",MONTH(B54))</f>
        <v>1</v>
      </c>
      <c r="K54" s="102" t="n">
        <f aca="false">IF(B54="","",YEAR(B54))</f>
        <v>2026</v>
      </c>
      <c r="L54" s="102" t="str">
        <f aca="false">IF(N(E54)=0,"",IF(COUNTIFS(AK_NAMA,C54,AK_KAT,"KAS")+COUNTIFS(AK_NAMA,D54,AK_KAT,"KAS")&lt;&gt;1,"",IF(COUNTIFS(AK_NAMA,C54,AK_KAT,"KAS")=1,D54,C54)))</f>
        <v>Pendapatan non Cafe</v>
      </c>
      <c r="M54" s="103" t="n">
        <f aca="false">IF(L54="",0,IF(L54=D54,E54,-E54))</f>
        <v>320000</v>
      </c>
      <c r="N54" s="102" t="str">
        <f aca="false">IF(L54="","",IFERROR(INDEX(AK_BARIS,MATCH(L54,AK_NAMA,0)),"?"))</f>
        <v>OP1</v>
      </c>
      <c r="O54" s="102" t="str">
        <f aca="false">IF(C54="","",IFERROR(INDEX(AK_KEL,MATCH(C54,AK_NAMA,0)),"?"))</f>
        <v>ASET</v>
      </c>
      <c r="P54" s="102" t="str">
        <f aca="false">IF(D54="","",IFERROR(INDEX(AK_KEL,MATCH(D54,AK_NAMA,0)),"?"))</f>
        <v>PENDAPATAN</v>
      </c>
      <c r="Q54" s="102" t="n">
        <f aca="false">N(Q53)+IF(AND(N(E54)&lt;&gt;0,K54=TAHUN,N(J54)&lt;=BLN,OR(C54=BB_AKUN,D54=BB_AKUN)),1,0)</f>
        <v>27</v>
      </c>
      <c r="R54" s="104" t="str">
        <f aca="false">IF(OR(C54&amp;D54="",N(E54)=0),"",IF(OR(O54="?",P54="?"),"⚠ akun tidak dikenal",IF(C54=D54,"⚠ debet = kredit","")))</f>
        <v/>
      </c>
    </row>
    <row r="55" customFormat="false" ht="15" hidden="false" customHeight="false" outlineLevel="0" collapsed="false">
      <c r="A55" s="82" t="s">
        <v>569</v>
      </c>
      <c r="B55" s="101" t="n">
        <v>46034</v>
      </c>
      <c r="C55" s="82" t="s">
        <v>524</v>
      </c>
      <c r="D55" s="82" t="s">
        <v>461</v>
      </c>
      <c r="E55" s="91" t="n">
        <v>350000</v>
      </c>
      <c r="F55" s="82" t="s">
        <v>570</v>
      </c>
      <c r="G55" s="82"/>
      <c r="H55" s="82"/>
      <c r="I55" s="82" t="s">
        <v>250</v>
      </c>
      <c r="J55" s="102" t="n">
        <f aca="false">IF(B55="","",MONTH(B55))</f>
        <v>1</v>
      </c>
      <c r="K55" s="102" t="n">
        <f aca="false">IF(B55="","",YEAR(B55))</f>
        <v>2026</v>
      </c>
      <c r="L55" s="102" t="str">
        <f aca="false">IF(N(E55)=0,"",IF(COUNTIFS(AK_NAMA,C55,AK_KAT,"KAS")+COUNTIFS(AK_NAMA,D55,AK_KAT,"KAS")&lt;&gt;1,"",IF(COUNTIFS(AK_NAMA,C55,AK_KAT,"KAS")=1,D55,C55)))</f>
        <v>Biaya Lainnya</v>
      </c>
      <c r="M55" s="103" t="n">
        <f aca="false">IF(L55="",0,IF(L55=D55,E55,-E55))</f>
        <v>-350000</v>
      </c>
      <c r="N55" s="102" t="str">
        <f aca="false">IF(L55="","",IFERROR(INDEX(AK_BARIS,MATCH(L55,AK_NAMA,0)),"?"))</f>
        <v>OP2</v>
      </c>
      <c r="O55" s="102" t="str">
        <f aca="false">IF(C55="","",IFERROR(INDEX(AK_KEL,MATCH(C55,AK_NAMA,0)),"?"))</f>
        <v>BEBAN</v>
      </c>
      <c r="P55" s="102" t="str">
        <f aca="false">IF(D55="","",IFERROR(INDEX(AK_KEL,MATCH(D55,AK_NAMA,0)),"?"))</f>
        <v>ASET</v>
      </c>
      <c r="Q55" s="102" t="n">
        <f aca="false">N(Q54)+IF(AND(N(E55)&lt;&gt;0,K55=TAHUN,N(J55)&lt;=BLN,OR(C55=BB_AKUN,D55=BB_AKUN)),1,0)</f>
        <v>28</v>
      </c>
      <c r="R55" s="104" t="str">
        <f aca="false">IF(OR(C55&amp;D55="",N(E55)=0),"",IF(OR(O55="?",P55="?"),"⚠ akun tidak dikenal",IF(C55=D55,"⚠ debet = kredit","")))</f>
        <v/>
      </c>
    </row>
    <row r="56" customFormat="false" ht="15" hidden="false" customHeight="false" outlineLevel="0" collapsed="false">
      <c r="A56" s="82" t="s">
        <v>571</v>
      </c>
      <c r="B56" s="101" t="n">
        <v>46034</v>
      </c>
      <c r="C56" s="82" t="s">
        <v>460</v>
      </c>
      <c r="D56" s="82" t="s">
        <v>461</v>
      </c>
      <c r="E56" s="91" t="n">
        <v>540000</v>
      </c>
      <c r="F56" s="82" t="s">
        <v>572</v>
      </c>
      <c r="G56" s="82" t="s">
        <v>386</v>
      </c>
      <c r="H56" s="82"/>
      <c r="I56" s="82" t="s">
        <v>250</v>
      </c>
      <c r="J56" s="102" t="n">
        <f aca="false">IF(B56="","",MONTH(B56))</f>
        <v>1</v>
      </c>
      <c r="K56" s="102" t="n">
        <f aca="false">IF(B56="","",YEAR(B56))</f>
        <v>2026</v>
      </c>
      <c r="L56" s="102" t="str">
        <f aca="false">IF(N(E56)=0,"",IF(COUNTIFS(AK_NAMA,C56,AK_KAT,"KAS")+COUNTIFS(AK_NAMA,D56,AK_KAT,"KAS")&lt;&gt;1,"",IF(COUNTIFS(AK_NAMA,C56,AK_KAT,"KAS")=1,D56,C56)))</f>
        <v>Biaya Marketing &amp; Promosi</v>
      </c>
      <c r="M56" s="103" t="n">
        <f aca="false">IF(L56="",0,IF(L56=D56,E56,-E56))</f>
        <v>-540000</v>
      </c>
      <c r="N56" s="102" t="str">
        <f aca="false">IF(L56="","",IFERROR(INDEX(AK_BARIS,MATCH(L56,AK_NAMA,0)),"?"))</f>
        <v>OP6</v>
      </c>
      <c r="O56" s="102" t="str">
        <f aca="false">IF(C56="","",IFERROR(INDEX(AK_KEL,MATCH(C56,AK_NAMA,0)),"?"))</f>
        <v>BEBAN</v>
      </c>
      <c r="P56" s="102" t="str">
        <f aca="false">IF(D56="","",IFERROR(INDEX(AK_KEL,MATCH(D56,AK_NAMA,0)),"?"))</f>
        <v>ASET</v>
      </c>
      <c r="Q56" s="102" t="n">
        <f aca="false">N(Q55)+IF(AND(N(E56)&lt;&gt;0,K56=TAHUN,N(J56)&lt;=BLN,OR(C56=BB_AKUN,D56=BB_AKUN)),1,0)</f>
        <v>29</v>
      </c>
      <c r="R56" s="104" t="str">
        <f aca="false">IF(OR(C56&amp;D56="",N(E56)=0),"",IF(OR(O56="?",P56="?"),"⚠ akun tidak dikenal",IF(C56=D56,"⚠ debet = kredit","")))</f>
        <v/>
      </c>
    </row>
    <row r="57" customFormat="false" ht="15" hidden="false" customHeight="false" outlineLevel="0" collapsed="false">
      <c r="A57" s="82" t="s">
        <v>573</v>
      </c>
      <c r="B57" s="101" t="n">
        <v>46034</v>
      </c>
      <c r="C57" s="82" t="s">
        <v>475</v>
      </c>
      <c r="D57" s="82" t="s">
        <v>461</v>
      </c>
      <c r="E57" s="91" t="n">
        <v>4800000</v>
      </c>
      <c r="F57" s="82" t="s">
        <v>574</v>
      </c>
      <c r="G57" s="82"/>
      <c r="H57" s="82"/>
      <c r="I57" s="82" t="s">
        <v>250</v>
      </c>
      <c r="J57" s="102" t="n">
        <f aca="false">IF(B57="","",MONTH(B57))</f>
        <v>1</v>
      </c>
      <c r="K57" s="102" t="n">
        <f aca="false">IF(B57="","",YEAR(B57))</f>
        <v>2026</v>
      </c>
      <c r="L57" s="102" t="str">
        <f aca="false">IF(N(E57)=0,"",IF(COUNTIFS(AK_NAMA,C57,AK_KAT,"KAS")+COUNTIFS(AK_NAMA,D57,AK_KAT,"KAS")&lt;&gt;1,"",IF(COUNTIFS(AK_NAMA,C57,AK_KAT,"KAS")=1,D57,C57)))</f>
        <v/>
      </c>
      <c r="M57" s="103" t="n">
        <f aca="false">IF(L57="",0,IF(L57=D57,E57,-E57))</f>
        <v>0</v>
      </c>
      <c r="N57" s="102" t="str">
        <f aca="false">IF(L57="","",IFERROR(INDEX(AK_BARIS,MATCH(L57,AK_NAMA,0)),"?"))</f>
        <v/>
      </c>
      <c r="O57" s="102" t="str">
        <f aca="false">IF(C57="","",IFERROR(INDEX(AK_KEL,MATCH(C57,AK_NAMA,0)),"?"))</f>
        <v>ASET</v>
      </c>
      <c r="P57" s="102" t="str">
        <f aca="false">IF(D57="","",IFERROR(INDEX(AK_KEL,MATCH(D57,AK_NAMA,0)),"?"))</f>
        <v>ASET</v>
      </c>
      <c r="Q57" s="102" t="n">
        <f aca="false">N(Q56)+IF(AND(N(E57)&lt;&gt;0,K57=TAHUN,N(J57)&lt;=BLN,OR(C57=BB_AKUN,D57=BB_AKUN)),1,0)</f>
        <v>30</v>
      </c>
      <c r="R57" s="104" t="str">
        <f aca="false">IF(OR(C57&amp;D57="",N(E57)=0),"",IF(OR(O57="?",P57="?"),"⚠ akun tidak dikenal",IF(C57=D57,"⚠ debet = kredit","")))</f>
        <v/>
      </c>
    </row>
    <row r="58" customFormat="false" ht="15" hidden="false" customHeight="false" outlineLevel="0" collapsed="false">
      <c r="A58" s="82" t="s">
        <v>575</v>
      </c>
      <c r="B58" s="101" t="n">
        <v>46034</v>
      </c>
      <c r="C58" s="82" t="s">
        <v>576</v>
      </c>
      <c r="D58" s="82" t="s">
        <v>475</v>
      </c>
      <c r="E58" s="91" t="n">
        <v>210000</v>
      </c>
      <c r="F58" s="82" t="s">
        <v>577</v>
      </c>
      <c r="G58" s="82"/>
      <c r="H58" s="82"/>
      <c r="I58" s="82" t="s">
        <v>250</v>
      </c>
      <c r="J58" s="102" t="n">
        <f aca="false">IF(B58="","",MONTH(B58))</f>
        <v>1</v>
      </c>
      <c r="K58" s="102" t="n">
        <f aca="false">IF(B58="","",YEAR(B58))</f>
        <v>2026</v>
      </c>
      <c r="L58" s="102" t="str">
        <f aca="false">IF(N(E58)=0,"",IF(COUNTIFS(AK_NAMA,C58,AK_KAT,"KAS")+COUNTIFS(AK_NAMA,D58,AK_KAT,"KAS")&lt;&gt;1,"",IF(COUNTIFS(AK_NAMA,C58,AK_KAT,"KAS")=1,D58,C58)))</f>
        <v>Beban Gaji</v>
      </c>
      <c r="M58" s="103" t="n">
        <f aca="false">IF(L58="",0,IF(L58=D58,E58,-E58))</f>
        <v>-210000</v>
      </c>
      <c r="N58" s="102" t="str">
        <f aca="false">IF(L58="","",IFERROR(INDEX(AK_BARIS,MATCH(L58,AK_NAMA,0)),"?"))</f>
        <v>OP4</v>
      </c>
      <c r="O58" s="102" t="str">
        <f aca="false">IF(C58="","",IFERROR(INDEX(AK_KEL,MATCH(C58,AK_NAMA,0)),"?"))</f>
        <v>BEBAN</v>
      </c>
      <c r="P58" s="102" t="str">
        <f aca="false">IF(D58="","",IFERROR(INDEX(AK_KEL,MATCH(D58,AK_NAMA,0)),"?"))</f>
        <v>ASET</v>
      </c>
      <c r="Q58" s="102" t="n">
        <f aca="false">N(Q57)+IF(AND(N(E58)&lt;&gt;0,K58=TAHUN,N(J58)&lt;=BLN,OR(C58=BB_AKUN,D58=BB_AKUN)),1,0)</f>
        <v>30</v>
      </c>
      <c r="R58" s="104" t="str">
        <f aca="false">IF(OR(C58&amp;D58="",N(E58)=0),"",IF(OR(O58="?",P58="?"),"⚠ akun tidak dikenal",IF(C58=D58,"⚠ debet = kredit","")))</f>
        <v/>
      </c>
    </row>
    <row r="59" customFormat="false" ht="15" hidden="false" customHeight="false" outlineLevel="0" collapsed="false">
      <c r="A59" s="82" t="s">
        <v>578</v>
      </c>
      <c r="B59" s="101" t="n">
        <v>46035</v>
      </c>
      <c r="C59" s="82" t="s">
        <v>478</v>
      </c>
      <c r="D59" s="82" t="s">
        <v>461</v>
      </c>
      <c r="E59" s="91" t="n">
        <v>90000</v>
      </c>
      <c r="F59" s="82" t="s">
        <v>579</v>
      </c>
      <c r="G59" s="82"/>
      <c r="H59" s="82"/>
      <c r="I59" s="82" t="s">
        <v>250</v>
      </c>
      <c r="J59" s="102" t="n">
        <f aca="false">IF(B59="","",MONTH(B59))</f>
        <v>1</v>
      </c>
      <c r="K59" s="102" t="n">
        <f aca="false">IF(B59="","",YEAR(B59))</f>
        <v>2026</v>
      </c>
      <c r="L59" s="102" t="str">
        <f aca="false">IF(N(E59)=0,"",IF(COUNTIFS(AK_NAMA,C59,AK_KAT,"KAS")+COUNTIFS(AK_NAMA,D59,AK_KAT,"KAS")&lt;&gt;1,"",IF(COUNTIFS(AK_NAMA,C59,AK_KAT,"KAS")=1,D59,C59)))</f>
        <v>Biaya Penyajian</v>
      </c>
      <c r="M59" s="103" t="n">
        <f aca="false">IF(L59="",0,IF(L59=D59,E59,-E59))</f>
        <v>-90000</v>
      </c>
      <c r="N59" s="102" t="str">
        <f aca="false">IF(L59="","",IFERROR(INDEX(AK_BARIS,MATCH(L59,AK_NAMA,0)),"?"))</f>
        <v>OP3</v>
      </c>
      <c r="O59" s="102" t="str">
        <f aca="false">IF(C59="","",IFERROR(INDEX(AK_KEL,MATCH(C59,AK_NAMA,0)),"?"))</f>
        <v>BEBAN</v>
      </c>
      <c r="P59" s="102" t="str">
        <f aca="false">IF(D59="","",IFERROR(INDEX(AK_KEL,MATCH(D59,AK_NAMA,0)),"?"))</f>
        <v>ASET</v>
      </c>
      <c r="Q59" s="102" t="n">
        <f aca="false">N(Q58)+IF(AND(N(E59)&lt;&gt;0,K59=TAHUN,N(J59)&lt;=BLN,OR(C59=BB_AKUN,D59=BB_AKUN)),1,0)</f>
        <v>31</v>
      </c>
      <c r="R59" s="104" t="str">
        <f aca="false">IF(OR(C59&amp;D59="",N(E59)=0),"",IF(OR(O59="?",P59="?"),"⚠ akun tidak dikenal",IF(C59=D59,"⚠ debet = kredit","")))</f>
        <v/>
      </c>
    </row>
    <row r="60" customFormat="false" ht="15" hidden="false" customHeight="false" outlineLevel="0" collapsed="false">
      <c r="A60" s="82" t="s">
        <v>580</v>
      </c>
      <c r="B60" s="101" t="n">
        <v>46035</v>
      </c>
      <c r="C60" s="82" t="s">
        <v>470</v>
      </c>
      <c r="D60" s="82" t="s">
        <v>486</v>
      </c>
      <c r="E60" s="91" t="n">
        <v>174000</v>
      </c>
      <c r="F60" s="82" t="s">
        <v>546</v>
      </c>
      <c r="G60" s="82"/>
      <c r="H60" s="82"/>
      <c r="I60" s="82" t="s">
        <v>250</v>
      </c>
      <c r="J60" s="102" t="n">
        <f aca="false">IF(B60="","",MONTH(B60))</f>
        <v>1</v>
      </c>
      <c r="K60" s="102" t="n">
        <f aca="false">IF(B60="","",YEAR(B60))</f>
        <v>2026</v>
      </c>
      <c r="L60" s="102" t="str">
        <f aca="false">IF(N(E60)=0,"",IF(COUNTIFS(AK_NAMA,C60,AK_KAT,"KAS")+COUNTIFS(AK_NAMA,D60,AK_KAT,"KAS")&lt;&gt;1,"",IF(COUNTIFS(AK_NAMA,C60,AK_KAT,"KAS")=1,D60,C60)))</f>
        <v>Biaya Bahan Baku</v>
      </c>
      <c r="M60" s="103" t="n">
        <f aca="false">IF(L60="",0,IF(L60=D60,E60,-E60))</f>
        <v>-174000</v>
      </c>
      <c r="N60" s="102" t="str">
        <f aca="false">IF(L60="","",IFERROR(INDEX(AK_BARIS,MATCH(L60,AK_NAMA,0)),"?"))</f>
        <v>OP3</v>
      </c>
      <c r="O60" s="102" t="str">
        <f aca="false">IF(C60="","",IFERROR(INDEX(AK_KEL,MATCH(C60,AK_NAMA,0)),"?"))</f>
        <v>BEBAN</v>
      </c>
      <c r="P60" s="102" t="str">
        <f aca="false">IF(D60="","",IFERROR(INDEX(AK_KEL,MATCH(D60,AK_NAMA,0)),"?"))</f>
        <v>ASET</v>
      </c>
      <c r="Q60" s="102" t="n">
        <f aca="false">N(Q59)+IF(AND(N(E60)&lt;&gt;0,K60=TAHUN,N(J60)&lt;=BLN,OR(C60=BB_AKUN,D60=BB_AKUN)),1,0)</f>
        <v>31</v>
      </c>
      <c r="R60" s="104" t="str">
        <f aca="false">IF(OR(C60&amp;D60="",N(E60)=0),"",IF(OR(O60="?",P60="?"),"⚠ akun tidak dikenal",IF(C60=D60,"⚠ debet = kredit","")))</f>
        <v/>
      </c>
    </row>
    <row r="61" customFormat="false" ht="15" hidden="false" customHeight="false" outlineLevel="0" collapsed="false">
      <c r="A61" s="82" t="s">
        <v>581</v>
      </c>
      <c r="B61" s="101" t="n">
        <v>46035</v>
      </c>
      <c r="C61" s="82" t="s">
        <v>478</v>
      </c>
      <c r="D61" s="82" t="s">
        <v>486</v>
      </c>
      <c r="E61" s="91" t="n">
        <v>55200</v>
      </c>
      <c r="F61" s="82" t="s">
        <v>549</v>
      </c>
      <c r="G61" s="82"/>
      <c r="H61" s="82"/>
      <c r="I61" s="82" t="s">
        <v>250</v>
      </c>
      <c r="J61" s="102" t="n">
        <f aca="false">IF(B61="","",MONTH(B61))</f>
        <v>1</v>
      </c>
      <c r="K61" s="102" t="n">
        <f aca="false">IF(B61="","",YEAR(B61))</f>
        <v>2026</v>
      </c>
      <c r="L61" s="102" t="str">
        <f aca="false">IF(N(E61)=0,"",IF(COUNTIFS(AK_NAMA,C61,AK_KAT,"KAS")+COUNTIFS(AK_NAMA,D61,AK_KAT,"KAS")&lt;&gt;1,"",IF(COUNTIFS(AK_NAMA,C61,AK_KAT,"KAS")=1,D61,C61)))</f>
        <v>Biaya Penyajian</v>
      </c>
      <c r="M61" s="103" t="n">
        <f aca="false">IF(L61="",0,IF(L61=D61,E61,-E61))</f>
        <v>-55200</v>
      </c>
      <c r="N61" s="102" t="str">
        <f aca="false">IF(L61="","",IFERROR(INDEX(AK_BARIS,MATCH(L61,AK_NAMA,0)),"?"))</f>
        <v>OP3</v>
      </c>
      <c r="O61" s="102" t="str">
        <f aca="false">IF(C61="","",IFERROR(INDEX(AK_KEL,MATCH(C61,AK_NAMA,0)),"?"))</f>
        <v>BEBAN</v>
      </c>
      <c r="P61" s="102" t="str">
        <f aca="false">IF(D61="","",IFERROR(INDEX(AK_KEL,MATCH(D61,AK_NAMA,0)),"?"))</f>
        <v>ASET</v>
      </c>
      <c r="Q61" s="102" t="n">
        <f aca="false">N(Q60)+IF(AND(N(E61)&lt;&gt;0,K61=TAHUN,N(J61)&lt;=BLN,OR(C61=BB_AKUN,D61=BB_AKUN)),1,0)</f>
        <v>31</v>
      </c>
      <c r="R61" s="104" t="str">
        <f aca="false">IF(OR(C61&amp;D61="",N(E61)=0),"",IF(OR(O61="?",P61="?"),"⚠ akun tidak dikenal",IF(C61=D61,"⚠ debet = kredit","")))</f>
        <v/>
      </c>
    </row>
    <row r="62" customFormat="false" ht="15" hidden="false" customHeight="false" outlineLevel="0" collapsed="false">
      <c r="A62" s="82" t="s">
        <v>582</v>
      </c>
      <c r="B62" s="101" t="n">
        <v>46035</v>
      </c>
      <c r="C62" s="82" t="s">
        <v>548</v>
      </c>
      <c r="D62" s="82" t="s">
        <v>486</v>
      </c>
      <c r="E62" s="91" t="n">
        <v>134000</v>
      </c>
      <c r="F62" s="82" t="s">
        <v>551</v>
      </c>
      <c r="G62" s="82"/>
      <c r="H62" s="82"/>
      <c r="I62" s="82" t="s">
        <v>250</v>
      </c>
      <c r="J62" s="102" t="n">
        <f aca="false">IF(B62="","",MONTH(B62))</f>
        <v>1</v>
      </c>
      <c r="K62" s="102" t="n">
        <f aca="false">IF(B62="","",YEAR(B62))</f>
        <v>2026</v>
      </c>
      <c r="L62" s="102" t="str">
        <f aca="false">IF(N(E62)=0,"",IF(COUNTIFS(AK_NAMA,C62,AK_KAT,"KAS")+COUNTIFS(AK_NAMA,D62,AK_KAT,"KAS")&lt;&gt;1,"",IF(COUNTIFS(AK_NAMA,C62,AK_KAT,"KAS")=1,D62,C62)))</f>
        <v>Beban Perlengkapan</v>
      </c>
      <c r="M62" s="103" t="n">
        <f aca="false">IF(L62="",0,IF(L62=D62,E62,-E62))</f>
        <v>-134000</v>
      </c>
      <c r="N62" s="102" t="str">
        <f aca="false">IF(L62="","",IFERROR(INDEX(AK_BARIS,MATCH(L62,AK_NAMA,0)),"?"))</f>
        <v>OP6</v>
      </c>
      <c r="O62" s="102" t="str">
        <f aca="false">IF(C62="","",IFERROR(INDEX(AK_KEL,MATCH(C62,AK_NAMA,0)),"?"))</f>
        <v>BEBAN</v>
      </c>
      <c r="P62" s="102" t="str">
        <f aca="false">IF(D62="","",IFERROR(INDEX(AK_KEL,MATCH(D62,AK_NAMA,0)),"?"))</f>
        <v>ASET</v>
      </c>
      <c r="Q62" s="102" t="n">
        <f aca="false">N(Q61)+IF(AND(N(E62)&lt;&gt;0,K62=TAHUN,N(J62)&lt;=BLN,OR(C62=BB_AKUN,D62=BB_AKUN)),1,0)</f>
        <v>31</v>
      </c>
      <c r="R62" s="104" t="str">
        <f aca="false">IF(OR(C62&amp;D62="",N(E62)=0),"",IF(OR(O62="?",P62="?"),"⚠ akun tidak dikenal",IF(C62=D62,"⚠ debet = kredit","")))</f>
        <v/>
      </c>
    </row>
    <row r="63" customFormat="false" ht="15" hidden="false" customHeight="false" outlineLevel="0" collapsed="false">
      <c r="A63" s="82" t="s">
        <v>583</v>
      </c>
      <c r="B63" s="101" t="n">
        <v>46035</v>
      </c>
      <c r="C63" s="82" t="s">
        <v>485</v>
      </c>
      <c r="D63" s="82" t="s">
        <v>486</v>
      </c>
      <c r="E63" s="91" t="n">
        <v>15000</v>
      </c>
      <c r="F63" s="82" t="s">
        <v>553</v>
      </c>
      <c r="G63" s="82"/>
      <c r="H63" s="82"/>
      <c r="I63" s="82" t="s">
        <v>250</v>
      </c>
      <c r="J63" s="102" t="n">
        <f aca="false">IF(B63="","",MONTH(B63))</f>
        <v>1</v>
      </c>
      <c r="K63" s="102" t="n">
        <f aca="false">IF(B63="","",YEAR(B63))</f>
        <v>2026</v>
      </c>
      <c r="L63" s="102" t="str">
        <f aca="false">IF(N(E63)=0,"",IF(COUNTIFS(AK_NAMA,C63,AK_KAT,"KAS")+COUNTIFS(AK_NAMA,D63,AK_KAT,"KAS")&lt;&gt;1,"",IF(COUNTIFS(AK_NAMA,C63,AK_KAT,"KAS")=1,D63,C63)))</f>
        <v>Biaya Operasional Harian</v>
      </c>
      <c r="M63" s="103" t="n">
        <f aca="false">IF(L63="",0,IF(L63=D63,E63,-E63))</f>
        <v>-15000</v>
      </c>
      <c r="N63" s="102" t="str">
        <f aca="false">IF(L63="","",IFERROR(INDEX(AK_BARIS,MATCH(L63,AK_NAMA,0)),"?"))</f>
        <v>OP6</v>
      </c>
      <c r="O63" s="102" t="str">
        <f aca="false">IF(C63="","",IFERROR(INDEX(AK_KEL,MATCH(C63,AK_NAMA,0)),"?"))</f>
        <v>BEBAN</v>
      </c>
      <c r="P63" s="102" t="str">
        <f aca="false">IF(D63="","",IFERROR(INDEX(AK_KEL,MATCH(D63,AK_NAMA,0)),"?"))</f>
        <v>ASET</v>
      </c>
      <c r="Q63" s="102" t="n">
        <f aca="false">N(Q62)+IF(AND(N(E63)&lt;&gt;0,K63=TAHUN,N(J63)&lt;=BLN,OR(C63=BB_AKUN,D63=BB_AKUN)),1,0)</f>
        <v>31</v>
      </c>
      <c r="R63" s="104" t="str">
        <f aca="false">IF(OR(C63&amp;D63="",N(E63)=0),"",IF(OR(O63="?",P63="?"),"⚠ akun tidak dikenal",IF(C63=D63,"⚠ debet = kredit","")))</f>
        <v/>
      </c>
    </row>
    <row r="64" customFormat="false" ht="15" hidden="false" customHeight="false" outlineLevel="0" collapsed="false">
      <c r="A64" s="82" t="s">
        <v>584</v>
      </c>
      <c r="B64" s="101" t="n">
        <v>46035</v>
      </c>
      <c r="C64" s="82" t="s">
        <v>475</v>
      </c>
      <c r="D64" s="82" t="s">
        <v>486</v>
      </c>
      <c r="E64" s="91" t="n">
        <v>123000</v>
      </c>
      <c r="F64" s="82" t="s">
        <v>540</v>
      </c>
      <c r="G64" s="82"/>
      <c r="H64" s="82"/>
      <c r="I64" s="82" t="s">
        <v>250</v>
      </c>
      <c r="J64" s="102" t="n">
        <f aca="false">IF(B64="","",MONTH(B64))</f>
        <v>1</v>
      </c>
      <c r="K64" s="102" t="n">
        <f aca="false">IF(B64="","",YEAR(B64))</f>
        <v>2026</v>
      </c>
      <c r="L64" s="102" t="str">
        <f aca="false">IF(N(E64)=0,"",IF(COUNTIFS(AK_NAMA,C64,AK_KAT,"KAS")+COUNTIFS(AK_NAMA,D64,AK_KAT,"KAS")&lt;&gt;1,"",IF(COUNTIFS(AK_NAMA,C64,AK_KAT,"KAS")=1,D64,C64)))</f>
        <v/>
      </c>
      <c r="M64" s="103" t="n">
        <f aca="false">IF(L64="",0,IF(L64=D64,E64,-E64))</f>
        <v>0</v>
      </c>
      <c r="N64" s="102" t="str">
        <f aca="false">IF(L64="","",IFERROR(INDEX(AK_BARIS,MATCH(L64,AK_NAMA,0)),"?"))</f>
        <v/>
      </c>
      <c r="O64" s="102" t="str">
        <f aca="false">IF(C64="","",IFERROR(INDEX(AK_KEL,MATCH(C64,AK_NAMA,0)),"?"))</f>
        <v>ASET</v>
      </c>
      <c r="P64" s="102" t="str">
        <f aca="false">IF(D64="","",IFERROR(INDEX(AK_KEL,MATCH(D64,AK_NAMA,0)),"?"))</f>
        <v>ASET</v>
      </c>
      <c r="Q64" s="102" t="n">
        <f aca="false">N(Q63)+IF(AND(N(E64)&lt;&gt;0,K64=TAHUN,N(J64)&lt;=BLN,OR(C64=BB_AKUN,D64=BB_AKUN)),1,0)</f>
        <v>31</v>
      </c>
      <c r="R64" s="104" t="str">
        <f aca="false">IF(OR(C64&amp;D64="",N(E64)=0),"",IF(OR(O64="?",P64="?"),"⚠ akun tidak dikenal",IF(C64=D64,"⚠ debet = kredit","")))</f>
        <v/>
      </c>
    </row>
    <row r="65" customFormat="false" ht="15" hidden="false" customHeight="false" outlineLevel="0" collapsed="false">
      <c r="A65" s="82" t="s">
        <v>585</v>
      </c>
      <c r="B65" s="101" t="n">
        <v>46035</v>
      </c>
      <c r="C65" s="82" t="s">
        <v>486</v>
      </c>
      <c r="D65" s="82" t="s">
        <v>475</v>
      </c>
      <c r="E65" s="91" t="n">
        <v>500000</v>
      </c>
      <c r="F65" s="82" t="s">
        <v>538</v>
      </c>
      <c r="G65" s="82"/>
      <c r="H65" s="82"/>
      <c r="I65" s="82" t="s">
        <v>250</v>
      </c>
      <c r="J65" s="102" t="n">
        <f aca="false">IF(B65="","",MONTH(B65))</f>
        <v>1</v>
      </c>
      <c r="K65" s="102" t="n">
        <f aca="false">IF(B65="","",YEAR(B65))</f>
        <v>2026</v>
      </c>
      <c r="L65" s="102" t="str">
        <f aca="false">IF(N(E65)=0,"",IF(COUNTIFS(AK_NAMA,C65,AK_KAT,"KAS")+COUNTIFS(AK_NAMA,D65,AK_KAT,"KAS")&lt;&gt;1,"",IF(COUNTIFS(AK_NAMA,C65,AK_KAT,"KAS")=1,D65,C65)))</f>
        <v/>
      </c>
      <c r="M65" s="103" t="n">
        <f aca="false">IF(L65="",0,IF(L65=D65,E65,-E65))</f>
        <v>0</v>
      </c>
      <c r="N65" s="102" t="str">
        <f aca="false">IF(L65="","",IFERROR(INDEX(AK_BARIS,MATCH(L65,AK_NAMA,0)),"?"))</f>
        <v/>
      </c>
      <c r="O65" s="102" t="str">
        <f aca="false">IF(C65="","",IFERROR(INDEX(AK_KEL,MATCH(C65,AK_NAMA,0)),"?"))</f>
        <v>ASET</v>
      </c>
      <c r="P65" s="102" t="str">
        <f aca="false">IF(D65="","",IFERROR(INDEX(AK_KEL,MATCH(D65,AK_NAMA,0)),"?"))</f>
        <v>ASET</v>
      </c>
      <c r="Q65" s="102" t="n">
        <f aca="false">N(Q64)+IF(AND(N(E65)&lt;&gt;0,K65=TAHUN,N(J65)&lt;=BLN,OR(C65=BB_AKUN,D65=BB_AKUN)),1,0)</f>
        <v>31</v>
      </c>
      <c r="R65" s="104" t="str">
        <f aca="false">IF(OR(C65&amp;D65="",N(E65)=0),"",IF(OR(O65="?",P65="?"),"⚠ akun tidak dikenal",IF(C65=D65,"⚠ debet = kredit","")))</f>
        <v/>
      </c>
    </row>
    <row r="66" customFormat="false" ht="15" hidden="false" customHeight="false" outlineLevel="0" collapsed="false">
      <c r="A66" s="82" t="s">
        <v>586</v>
      </c>
      <c r="B66" s="101" t="n">
        <v>46035</v>
      </c>
      <c r="C66" s="82" t="s">
        <v>486</v>
      </c>
      <c r="D66" s="82" t="s">
        <v>557</v>
      </c>
      <c r="E66" s="91" t="n">
        <v>1200</v>
      </c>
      <c r="F66" s="82" t="s">
        <v>558</v>
      </c>
      <c r="G66" s="82"/>
      <c r="H66" s="82"/>
      <c r="I66" s="82" t="s">
        <v>250</v>
      </c>
      <c r="J66" s="102" t="n">
        <f aca="false">IF(B66="","",MONTH(B66))</f>
        <v>1</v>
      </c>
      <c r="K66" s="102" t="n">
        <f aca="false">IF(B66="","",YEAR(B66))</f>
        <v>2026</v>
      </c>
      <c r="L66" s="102" t="str">
        <f aca="false">IF(N(E66)=0,"",IF(COUNTIFS(AK_NAMA,C66,AK_KAT,"KAS")+COUNTIFS(AK_NAMA,D66,AK_KAT,"KAS")&lt;&gt;1,"",IF(COUNTIFS(AK_NAMA,C66,AK_KAT,"KAS")=1,D66,C66)))</f>
        <v>Pendapatan Lainnya</v>
      </c>
      <c r="M66" s="103" t="n">
        <f aca="false">IF(L66="",0,IF(L66=D66,E66,-E66))</f>
        <v>1200</v>
      </c>
      <c r="N66" s="102" t="str">
        <f aca="false">IF(L66="","",IFERROR(INDEX(AK_BARIS,MATCH(L66,AK_NAMA,0)),"?"))</f>
        <v>OP2</v>
      </c>
      <c r="O66" s="102" t="str">
        <f aca="false">IF(C66="","",IFERROR(INDEX(AK_KEL,MATCH(C66,AK_NAMA,0)),"?"))</f>
        <v>ASET</v>
      </c>
      <c r="P66" s="102" t="str">
        <f aca="false">IF(D66="","",IFERROR(INDEX(AK_KEL,MATCH(D66,AK_NAMA,0)),"?"))</f>
        <v>PENDAPATAN</v>
      </c>
      <c r="Q66" s="102" t="n">
        <f aca="false">N(Q65)+IF(AND(N(E66)&lt;&gt;0,K66=TAHUN,N(J66)&lt;=BLN,OR(C66=BB_AKUN,D66=BB_AKUN)),1,0)</f>
        <v>31</v>
      </c>
      <c r="R66" s="104" t="str">
        <f aca="false">IF(OR(C66&amp;D66="",N(E66)=0),"",IF(OR(O66="?",P66="?"),"⚠ akun tidak dikenal",IF(C66=D66,"⚠ debet = kredit","")))</f>
        <v/>
      </c>
    </row>
    <row r="67" customFormat="false" ht="15" hidden="false" customHeight="false" outlineLevel="0" collapsed="false">
      <c r="A67" s="82" t="s">
        <v>587</v>
      </c>
      <c r="B67" s="101" t="n">
        <v>46035</v>
      </c>
      <c r="C67" s="82" t="s">
        <v>461</v>
      </c>
      <c r="D67" s="82" t="s">
        <v>509</v>
      </c>
      <c r="E67" s="91" t="n">
        <v>120000</v>
      </c>
      <c r="F67" s="82" t="s">
        <v>588</v>
      </c>
      <c r="G67" s="82" t="s">
        <v>387</v>
      </c>
      <c r="H67" s="82"/>
      <c r="I67" s="82" t="s">
        <v>250</v>
      </c>
      <c r="J67" s="102" t="n">
        <f aca="false">IF(B67="","",MONTH(B67))</f>
        <v>1</v>
      </c>
      <c r="K67" s="102" t="n">
        <f aca="false">IF(B67="","",YEAR(B67))</f>
        <v>2026</v>
      </c>
      <c r="L67" s="102" t="str">
        <f aca="false">IF(N(E67)=0,"",IF(COUNTIFS(AK_NAMA,C67,AK_KAT,"KAS")+COUNTIFS(AK_NAMA,D67,AK_KAT,"KAS")&lt;&gt;1,"",IF(COUNTIFS(AK_NAMA,C67,AK_KAT,"KAS")=1,D67,C67)))</f>
        <v>Pendapatan non Cafe</v>
      </c>
      <c r="M67" s="103" t="n">
        <f aca="false">IF(L67="",0,IF(L67=D67,E67,-E67))</f>
        <v>120000</v>
      </c>
      <c r="N67" s="102" t="str">
        <f aca="false">IF(L67="","",IFERROR(INDEX(AK_BARIS,MATCH(L67,AK_NAMA,0)),"?"))</f>
        <v>OP1</v>
      </c>
      <c r="O67" s="102" t="str">
        <f aca="false">IF(C67="","",IFERROR(INDEX(AK_KEL,MATCH(C67,AK_NAMA,0)),"?"))</f>
        <v>ASET</v>
      </c>
      <c r="P67" s="102" t="str">
        <f aca="false">IF(D67="","",IFERROR(INDEX(AK_KEL,MATCH(D67,AK_NAMA,0)),"?"))</f>
        <v>PENDAPATAN</v>
      </c>
      <c r="Q67" s="102" t="n">
        <f aca="false">N(Q66)+IF(AND(N(E67)&lt;&gt;0,K67=TAHUN,N(J67)&lt;=BLN,OR(C67=BB_AKUN,D67=BB_AKUN)),1,0)</f>
        <v>32</v>
      </c>
      <c r="R67" s="104" t="str">
        <f aca="false">IF(OR(C67&amp;D67="",N(E67)=0),"",IF(OR(O67="?",P67="?"),"⚠ akun tidak dikenal",IF(C67=D67,"⚠ debet = kredit","")))</f>
        <v/>
      </c>
    </row>
    <row r="68" customFormat="false" ht="15" hidden="false" customHeight="false" outlineLevel="0" collapsed="false">
      <c r="A68" s="82" t="s">
        <v>589</v>
      </c>
      <c r="B68" s="101" t="n">
        <v>46035</v>
      </c>
      <c r="C68" s="82" t="s">
        <v>455</v>
      </c>
      <c r="D68" s="82" t="s">
        <v>461</v>
      </c>
      <c r="E68" s="91" t="n">
        <v>238500</v>
      </c>
      <c r="F68" s="82" t="s">
        <v>590</v>
      </c>
      <c r="G68" s="82"/>
      <c r="H68" s="82"/>
      <c r="I68" s="82" t="s">
        <v>250</v>
      </c>
      <c r="J68" s="102" t="n">
        <f aca="false">IF(B68="","",MONTH(B68))</f>
        <v>1</v>
      </c>
      <c r="K68" s="102" t="n">
        <f aca="false">IF(B68="","",YEAR(B68))</f>
        <v>2026</v>
      </c>
      <c r="L68" s="102" t="str">
        <f aca="false">IF(N(E68)=0,"",IF(COUNTIFS(AK_NAMA,C68,AK_KAT,"KAS")+COUNTIFS(AK_NAMA,D68,AK_KAT,"KAS")&lt;&gt;1,"",IF(COUNTIFS(AK_NAMA,C68,AK_KAT,"KAS")=1,D68,C68)))</f>
        <v>Biaya Pemeliharaan</v>
      </c>
      <c r="M68" s="103" t="n">
        <f aca="false">IF(L68="",0,IF(L68=D68,E68,-E68))</f>
        <v>-238500</v>
      </c>
      <c r="N68" s="102" t="str">
        <f aca="false">IF(L68="","",IFERROR(INDEX(AK_BARIS,MATCH(L68,AK_NAMA,0)),"?"))</f>
        <v>OP6</v>
      </c>
      <c r="O68" s="102" t="str">
        <f aca="false">IF(C68="","",IFERROR(INDEX(AK_KEL,MATCH(C68,AK_NAMA,0)),"?"))</f>
        <v>BEBAN</v>
      </c>
      <c r="P68" s="102" t="str">
        <f aca="false">IF(D68="","",IFERROR(INDEX(AK_KEL,MATCH(D68,AK_NAMA,0)),"?"))</f>
        <v>ASET</v>
      </c>
      <c r="Q68" s="102" t="n">
        <f aca="false">N(Q67)+IF(AND(N(E68)&lt;&gt;0,K68=TAHUN,N(J68)&lt;=BLN,OR(C68=BB_AKUN,D68=BB_AKUN)),1,0)</f>
        <v>33</v>
      </c>
      <c r="R68" s="104" t="str">
        <f aca="false">IF(OR(C68&amp;D68="",N(E68)=0),"",IF(OR(O68="?",P68="?"),"⚠ akun tidak dikenal",IF(C68=D68,"⚠ debet = kredit","")))</f>
        <v/>
      </c>
    </row>
    <row r="69" customFormat="false" ht="15" hidden="false" customHeight="false" outlineLevel="0" collapsed="false">
      <c r="A69" s="82" t="s">
        <v>591</v>
      </c>
      <c r="B69" s="101" t="n">
        <v>46036</v>
      </c>
      <c r="C69" s="82" t="s">
        <v>455</v>
      </c>
      <c r="D69" s="82" t="s">
        <v>475</v>
      </c>
      <c r="E69" s="91" t="n">
        <v>16000</v>
      </c>
      <c r="F69" s="82" t="s">
        <v>592</v>
      </c>
      <c r="G69" s="82"/>
      <c r="H69" s="82"/>
      <c r="I69" s="82" t="s">
        <v>250</v>
      </c>
      <c r="J69" s="102" t="n">
        <f aca="false">IF(B69="","",MONTH(B69))</f>
        <v>1</v>
      </c>
      <c r="K69" s="102" t="n">
        <f aca="false">IF(B69="","",YEAR(B69))</f>
        <v>2026</v>
      </c>
      <c r="L69" s="102" t="str">
        <f aca="false">IF(N(E69)=0,"",IF(COUNTIFS(AK_NAMA,C69,AK_KAT,"KAS")+COUNTIFS(AK_NAMA,D69,AK_KAT,"KAS")&lt;&gt;1,"",IF(COUNTIFS(AK_NAMA,C69,AK_KAT,"KAS")=1,D69,C69)))</f>
        <v>Biaya Pemeliharaan</v>
      </c>
      <c r="M69" s="103" t="n">
        <f aca="false">IF(L69="",0,IF(L69=D69,E69,-E69))</f>
        <v>-16000</v>
      </c>
      <c r="N69" s="102" t="str">
        <f aca="false">IF(L69="","",IFERROR(INDEX(AK_BARIS,MATCH(L69,AK_NAMA,0)),"?"))</f>
        <v>OP6</v>
      </c>
      <c r="O69" s="102" t="str">
        <f aca="false">IF(C69="","",IFERROR(INDEX(AK_KEL,MATCH(C69,AK_NAMA,0)),"?"))</f>
        <v>BEBAN</v>
      </c>
      <c r="P69" s="102" t="str">
        <f aca="false">IF(D69="","",IFERROR(INDEX(AK_KEL,MATCH(D69,AK_NAMA,0)),"?"))</f>
        <v>ASET</v>
      </c>
      <c r="Q69" s="102" t="n">
        <f aca="false">N(Q68)+IF(AND(N(E69)&lt;&gt;0,K69=TAHUN,N(J69)&lt;=BLN,OR(C69=BB_AKUN,D69=BB_AKUN)),1,0)</f>
        <v>33</v>
      </c>
      <c r="R69" s="104" t="str">
        <f aca="false">IF(OR(C69&amp;D69="",N(E69)=0),"",IF(OR(O69="?",P69="?"),"⚠ akun tidak dikenal",IF(C69=D69,"⚠ debet = kredit","")))</f>
        <v/>
      </c>
    </row>
    <row r="70" customFormat="false" ht="15" hidden="false" customHeight="false" outlineLevel="0" collapsed="false">
      <c r="A70" s="82" t="s">
        <v>593</v>
      </c>
      <c r="B70" s="101" t="n">
        <v>46036</v>
      </c>
      <c r="C70" s="82" t="s">
        <v>461</v>
      </c>
      <c r="D70" s="82" t="s">
        <v>509</v>
      </c>
      <c r="E70" s="91" t="n">
        <v>1770000</v>
      </c>
      <c r="F70" s="82" t="s">
        <v>594</v>
      </c>
      <c r="G70" s="82" t="s">
        <v>387</v>
      </c>
      <c r="H70" s="82"/>
      <c r="I70" s="82" t="s">
        <v>250</v>
      </c>
      <c r="J70" s="102" t="n">
        <f aca="false">IF(B70="","",MONTH(B70))</f>
        <v>1</v>
      </c>
      <c r="K70" s="102" t="n">
        <f aca="false">IF(B70="","",YEAR(B70))</f>
        <v>2026</v>
      </c>
      <c r="L70" s="102" t="str">
        <f aca="false">IF(N(E70)=0,"",IF(COUNTIFS(AK_NAMA,C70,AK_KAT,"KAS")+COUNTIFS(AK_NAMA,D70,AK_KAT,"KAS")&lt;&gt;1,"",IF(COUNTIFS(AK_NAMA,C70,AK_KAT,"KAS")=1,D70,C70)))</f>
        <v>Pendapatan non Cafe</v>
      </c>
      <c r="M70" s="103" t="n">
        <f aca="false">IF(L70="",0,IF(L70=D70,E70,-E70))</f>
        <v>1770000</v>
      </c>
      <c r="N70" s="102" t="str">
        <f aca="false">IF(L70="","",IFERROR(INDEX(AK_BARIS,MATCH(L70,AK_NAMA,0)),"?"))</f>
        <v>OP1</v>
      </c>
      <c r="O70" s="102" t="str">
        <f aca="false">IF(C70="","",IFERROR(INDEX(AK_KEL,MATCH(C70,AK_NAMA,0)),"?"))</f>
        <v>ASET</v>
      </c>
      <c r="P70" s="102" t="str">
        <f aca="false">IF(D70="","",IFERROR(INDEX(AK_KEL,MATCH(D70,AK_NAMA,0)),"?"))</f>
        <v>PENDAPATAN</v>
      </c>
      <c r="Q70" s="102" t="n">
        <f aca="false">N(Q69)+IF(AND(N(E70)&lt;&gt;0,K70=TAHUN,N(J70)&lt;=BLN,OR(C70=BB_AKUN,D70=BB_AKUN)),1,0)</f>
        <v>34</v>
      </c>
      <c r="R70" s="104" t="str">
        <f aca="false">IF(OR(C70&amp;D70="",N(E70)=0),"",IF(OR(O70="?",P70="?"),"⚠ akun tidak dikenal",IF(C70=D70,"⚠ debet = kredit","")))</f>
        <v/>
      </c>
    </row>
    <row r="71" customFormat="false" ht="15" hidden="false" customHeight="false" outlineLevel="0" collapsed="false">
      <c r="A71" s="82" t="s">
        <v>595</v>
      </c>
      <c r="B71" s="101" t="n">
        <v>46036</v>
      </c>
      <c r="C71" s="82" t="s">
        <v>475</v>
      </c>
      <c r="D71" s="82" t="s">
        <v>461</v>
      </c>
      <c r="E71" s="91" t="n">
        <v>1100000</v>
      </c>
      <c r="F71" s="82" t="s">
        <v>574</v>
      </c>
      <c r="G71" s="82"/>
      <c r="H71" s="82"/>
      <c r="I71" s="82" t="s">
        <v>250</v>
      </c>
      <c r="J71" s="102" t="n">
        <f aca="false">IF(B71="","",MONTH(B71))</f>
        <v>1</v>
      </c>
      <c r="K71" s="102" t="n">
        <f aca="false">IF(B71="","",YEAR(B71))</f>
        <v>2026</v>
      </c>
      <c r="L71" s="102" t="str">
        <f aca="false">IF(N(E71)=0,"",IF(COUNTIFS(AK_NAMA,C71,AK_KAT,"KAS")+COUNTIFS(AK_NAMA,D71,AK_KAT,"KAS")&lt;&gt;1,"",IF(COUNTIFS(AK_NAMA,C71,AK_KAT,"KAS")=1,D71,C71)))</f>
        <v/>
      </c>
      <c r="M71" s="103" t="n">
        <f aca="false">IF(L71="",0,IF(L71=D71,E71,-E71))</f>
        <v>0</v>
      </c>
      <c r="N71" s="102" t="str">
        <f aca="false">IF(L71="","",IFERROR(INDEX(AK_BARIS,MATCH(L71,AK_NAMA,0)),"?"))</f>
        <v/>
      </c>
      <c r="O71" s="102" t="str">
        <f aca="false">IF(C71="","",IFERROR(INDEX(AK_KEL,MATCH(C71,AK_NAMA,0)),"?"))</f>
        <v>ASET</v>
      </c>
      <c r="P71" s="102" t="str">
        <f aca="false">IF(D71="","",IFERROR(INDEX(AK_KEL,MATCH(D71,AK_NAMA,0)),"?"))</f>
        <v>ASET</v>
      </c>
      <c r="Q71" s="102" t="n">
        <f aca="false">N(Q70)+IF(AND(N(E71)&lt;&gt;0,K71=TAHUN,N(J71)&lt;=BLN,OR(C71=BB_AKUN,D71=BB_AKUN)),1,0)</f>
        <v>35</v>
      </c>
      <c r="R71" s="104" t="str">
        <f aca="false">IF(OR(C71&amp;D71="",N(E71)=0),"",IF(OR(O71="?",P71="?"),"⚠ akun tidak dikenal",IF(C71=D71,"⚠ debet = kredit","")))</f>
        <v/>
      </c>
    </row>
    <row r="72" customFormat="false" ht="15" hidden="false" customHeight="false" outlineLevel="0" collapsed="false">
      <c r="A72" s="82" t="s">
        <v>596</v>
      </c>
      <c r="B72" s="101" t="n">
        <v>46036</v>
      </c>
      <c r="C72" s="82" t="s">
        <v>524</v>
      </c>
      <c r="D72" s="82" t="s">
        <v>461</v>
      </c>
      <c r="E72" s="91" t="n">
        <v>332</v>
      </c>
      <c r="F72" s="82" t="s">
        <v>525</v>
      </c>
      <c r="G72" s="82"/>
      <c r="H72" s="82"/>
      <c r="I72" s="82" t="s">
        <v>250</v>
      </c>
      <c r="J72" s="102" t="n">
        <f aca="false">IF(B72="","",MONTH(B72))</f>
        <v>1</v>
      </c>
      <c r="K72" s="102" t="n">
        <f aca="false">IF(B72="","",YEAR(B72))</f>
        <v>2026</v>
      </c>
      <c r="L72" s="102" t="str">
        <f aca="false">IF(N(E72)=0,"",IF(COUNTIFS(AK_NAMA,C72,AK_KAT,"KAS")+COUNTIFS(AK_NAMA,D72,AK_KAT,"KAS")&lt;&gt;1,"",IF(COUNTIFS(AK_NAMA,C72,AK_KAT,"KAS")=1,D72,C72)))</f>
        <v>Biaya Lainnya</v>
      </c>
      <c r="M72" s="103" t="n">
        <f aca="false">IF(L72="",0,IF(L72=D72,E72,-E72))</f>
        <v>-332</v>
      </c>
      <c r="N72" s="102" t="str">
        <f aca="false">IF(L72="","",IFERROR(INDEX(AK_BARIS,MATCH(L72,AK_NAMA,0)),"?"))</f>
        <v>OP2</v>
      </c>
      <c r="O72" s="102" t="str">
        <f aca="false">IF(C72="","",IFERROR(INDEX(AK_KEL,MATCH(C72,AK_NAMA,0)),"?"))</f>
        <v>BEBAN</v>
      </c>
      <c r="P72" s="102" t="str">
        <f aca="false">IF(D72="","",IFERROR(INDEX(AK_KEL,MATCH(D72,AK_NAMA,0)),"?"))</f>
        <v>ASET</v>
      </c>
      <c r="Q72" s="102" t="n">
        <f aca="false">N(Q71)+IF(AND(N(E72)&lt;&gt;0,K72=TAHUN,N(J72)&lt;=BLN,OR(C72=BB_AKUN,D72=BB_AKUN)),1,0)</f>
        <v>36</v>
      </c>
      <c r="R72" s="104" t="str">
        <f aca="false">IF(OR(C72&amp;D72="",N(E72)=0),"",IF(OR(O72="?",P72="?"),"⚠ akun tidak dikenal",IF(C72=D72,"⚠ debet = kredit","")))</f>
        <v/>
      </c>
    </row>
    <row r="73" customFormat="false" ht="15" hidden="false" customHeight="false" outlineLevel="0" collapsed="false">
      <c r="A73" s="82" t="s">
        <v>597</v>
      </c>
      <c r="B73" s="101" t="n">
        <v>46036</v>
      </c>
      <c r="C73" s="82" t="s">
        <v>460</v>
      </c>
      <c r="D73" s="82" t="s">
        <v>461</v>
      </c>
      <c r="E73" s="91" t="n">
        <v>436000</v>
      </c>
      <c r="F73" s="82" t="s">
        <v>598</v>
      </c>
      <c r="G73" s="82" t="s">
        <v>387</v>
      </c>
      <c r="H73" s="82"/>
      <c r="I73" s="82" t="s">
        <v>250</v>
      </c>
      <c r="J73" s="102" t="n">
        <f aca="false">IF(B73="","",MONTH(B73))</f>
        <v>1</v>
      </c>
      <c r="K73" s="102" t="n">
        <f aca="false">IF(B73="","",YEAR(B73))</f>
        <v>2026</v>
      </c>
      <c r="L73" s="102" t="str">
        <f aca="false">IF(N(E73)=0,"",IF(COUNTIFS(AK_NAMA,C73,AK_KAT,"KAS")+COUNTIFS(AK_NAMA,D73,AK_KAT,"KAS")&lt;&gt;1,"",IF(COUNTIFS(AK_NAMA,C73,AK_KAT,"KAS")=1,D73,C73)))</f>
        <v>Biaya Marketing &amp; Promosi</v>
      </c>
      <c r="M73" s="103" t="n">
        <f aca="false">IF(L73="",0,IF(L73=D73,E73,-E73))</f>
        <v>-436000</v>
      </c>
      <c r="N73" s="102" t="str">
        <f aca="false">IF(L73="","",IFERROR(INDEX(AK_BARIS,MATCH(L73,AK_NAMA,0)),"?"))</f>
        <v>OP6</v>
      </c>
      <c r="O73" s="102" t="str">
        <f aca="false">IF(C73="","",IFERROR(INDEX(AK_KEL,MATCH(C73,AK_NAMA,0)),"?"))</f>
        <v>BEBAN</v>
      </c>
      <c r="P73" s="102" t="str">
        <f aca="false">IF(D73="","",IFERROR(INDEX(AK_KEL,MATCH(D73,AK_NAMA,0)),"?"))</f>
        <v>ASET</v>
      </c>
      <c r="Q73" s="102" t="n">
        <f aca="false">N(Q72)+IF(AND(N(E73)&lt;&gt;0,K73=TAHUN,N(J73)&lt;=BLN,OR(C73=BB_AKUN,D73=BB_AKUN)),1,0)</f>
        <v>37</v>
      </c>
      <c r="R73" s="104" t="str">
        <f aca="false">IF(OR(C73&amp;D73="",N(E73)=0),"",IF(OR(O73="?",P73="?"),"⚠ akun tidak dikenal",IF(C73=D73,"⚠ debet = kredit","")))</f>
        <v/>
      </c>
    </row>
    <row r="74" customFormat="false" ht="15" hidden="false" customHeight="false" outlineLevel="0" collapsed="false">
      <c r="A74" s="82" t="s">
        <v>599</v>
      </c>
      <c r="B74" s="101" t="n">
        <v>46036</v>
      </c>
      <c r="C74" s="82" t="s">
        <v>470</v>
      </c>
      <c r="D74" s="82" t="s">
        <v>461</v>
      </c>
      <c r="E74" s="91" t="n">
        <v>930000</v>
      </c>
      <c r="F74" s="82" t="s">
        <v>600</v>
      </c>
      <c r="G74" s="82"/>
      <c r="H74" s="82"/>
      <c r="I74" s="82" t="s">
        <v>250</v>
      </c>
      <c r="J74" s="102" t="n">
        <f aca="false">IF(B74="","",MONTH(B74))</f>
        <v>1</v>
      </c>
      <c r="K74" s="102" t="n">
        <f aca="false">IF(B74="","",YEAR(B74))</f>
        <v>2026</v>
      </c>
      <c r="L74" s="102" t="str">
        <f aca="false">IF(N(E74)=0,"",IF(COUNTIFS(AK_NAMA,C74,AK_KAT,"KAS")+COUNTIFS(AK_NAMA,D74,AK_KAT,"KAS")&lt;&gt;1,"",IF(COUNTIFS(AK_NAMA,C74,AK_KAT,"KAS")=1,D74,C74)))</f>
        <v>Biaya Bahan Baku</v>
      </c>
      <c r="M74" s="103" t="n">
        <f aca="false">IF(L74="",0,IF(L74=D74,E74,-E74))</f>
        <v>-930000</v>
      </c>
      <c r="N74" s="102" t="str">
        <f aca="false">IF(L74="","",IFERROR(INDEX(AK_BARIS,MATCH(L74,AK_NAMA,0)),"?"))</f>
        <v>OP3</v>
      </c>
      <c r="O74" s="102" t="str">
        <f aca="false">IF(C74="","",IFERROR(INDEX(AK_KEL,MATCH(C74,AK_NAMA,0)),"?"))</f>
        <v>BEBAN</v>
      </c>
      <c r="P74" s="102" t="str">
        <f aca="false">IF(D74="","",IFERROR(INDEX(AK_KEL,MATCH(D74,AK_NAMA,0)),"?"))</f>
        <v>ASET</v>
      </c>
      <c r="Q74" s="102" t="n">
        <f aca="false">N(Q73)+IF(AND(N(E74)&lt;&gt;0,K74=TAHUN,N(J74)&lt;=BLN,OR(C74=BB_AKUN,D74=BB_AKUN)),1,0)</f>
        <v>38</v>
      </c>
      <c r="R74" s="104" t="str">
        <f aca="false">IF(OR(C74&amp;D74="",N(E74)=0),"",IF(OR(O74="?",P74="?"),"⚠ akun tidak dikenal",IF(C74=D74,"⚠ debet = kredit","")))</f>
        <v/>
      </c>
    </row>
    <row r="75" customFormat="false" ht="15" hidden="false" customHeight="false" outlineLevel="0" collapsed="false">
      <c r="A75" s="82" t="s">
        <v>601</v>
      </c>
      <c r="B75" s="101" t="n">
        <v>46036</v>
      </c>
      <c r="C75" s="82" t="s">
        <v>470</v>
      </c>
      <c r="D75" s="82" t="s">
        <v>461</v>
      </c>
      <c r="E75" s="91" t="n">
        <v>1395000</v>
      </c>
      <c r="F75" s="82" t="s">
        <v>602</v>
      </c>
      <c r="G75" s="82"/>
      <c r="H75" s="82"/>
      <c r="I75" s="82" t="s">
        <v>250</v>
      </c>
      <c r="J75" s="102" t="n">
        <f aca="false">IF(B75="","",MONTH(B75))</f>
        <v>1</v>
      </c>
      <c r="K75" s="102" t="n">
        <f aca="false">IF(B75="","",YEAR(B75))</f>
        <v>2026</v>
      </c>
      <c r="L75" s="102" t="str">
        <f aca="false">IF(N(E75)=0,"",IF(COUNTIFS(AK_NAMA,C75,AK_KAT,"KAS")+COUNTIFS(AK_NAMA,D75,AK_KAT,"KAS")&lt;&gt;1,"",IF(COUNTIFS(AK_NAMA,C75,AK_KAT,"KAS")=1,D75,C75)))</f>
        <v>Biaya Bahan Baku</v>
      </c>
      <c r="M75" s="103" t="n">
        <f aca="false">IF(L75="",0,IF(L75=D75,E75,-E75))</f>
        <v>-1395000</v>
      </c>
      <c r="N75" s="102" t="str">
        <f aca="false">IF(L75="","",IFERROR(INDEX(AK_BARIS,MATCH(L75,AK_NAMA,0)),"?"))</f>
        <v>OP3</v>
      </c>
      <c r="O75" s="102" t="str">
        <f aca="false">IF(C75="","",IFERROR(INDEX(AK_KEL,MATCH(C75,AK_NAMA,0)),"?"))</f>
        <v>BEBAN</v>
      </c>
      <c r="P75" s="102" t="str">
        <f aca="false">IF(D75="","",IFERROR(INDEX(AK_KEL,MATCH(D75,AK_NAMA,0)),"?"))</f>
        <v>ASET</v>
      </c>
      <c r="Q75" s="102" t="n">
        <f aca="false">N(Q74)+IF(AND(N(E75)&lt;&gt;0,K75=TAHUN,N(J75)&lt;=BLN,OR(C75=BB_AKUN,D75=BB_AKUN)),1,0)</f>
        <v>39</v>
      </c>
      <c r="R75" s="104" t="str">
        <f aca="false">IF(OR(C75&amp;D75="",N(E75)=0),"",IF(OR(O75="?",P75="?"),"⚠ akun tidak dikenal",IF(C75=D75,"⚠ debet = kredit","")))</f>
        <v/>
      </c>
    </row>
    <row r="76" customFormat="false" ht="15" hidden="false" customHeight="false" outlineLevel="0" collapsed="false">
      <c r="A76" s="82" t="s">
        <v>603</v>
      </c>
      <c r="B76" s="101" t="n">
        <v>46037</v>
      </c>
      <c r="C76" s="82" t="s">
        <v>461</v>
      </c>
      <c r="D76" s="82" t="s">
        <v>509</v>
      </c>
      <c r="E76" s="91" t="n">
        <v>550000</v>
      </c>
      <c r="F76" s="82" t="s">
        <v>604</v>
      </c>
      <c r="G76" s="82" t="s">
        <v>387</v>
      </c>
      <c r="H76" s="82"/>
      <c r="I76" s="82" t="s">
        <v>250</v>
      </c>
      <c r="J76" s="102" t="n">
        <f aca="false">IF(B76="","",MONTH(B76))</f>
        <v>1</v>
      </c>
      <c r="K76" s="102" t="n">
        <f aca="false">IF(B76="","",YEAR(B76))</f>
        <v>2026</v>
      </c>
      <c r="L76" s="102" t="str">
        <f aca="false">IF(N(E76)=0,"",IF(COUNTIFS(AK_NAMA,C76,AK_KAT,"KAS")+COUNTIFS(AK_NAMA,D76,AK_KAT,"KAS")&lt;&gt;1,"",IF(COUNTIFS(AK_NAMA,C76,AK_KAT,"KAS")=1,D76,C76)))</f>
        <v>Pendapatan non Cafe</v>
      </c>
      <c r="M76" s="103" t="n">
        <f aca="false">IF(L76="",0,IF(L76=D76,E76,-E76))</f>
        <v>550000</v>
      </c>
      <c r="N76" s="102" t="str">
        <f aca="false">IF(L76="","",IFERROR(INDEX(AK_BARIS,MATCH(L76,AK_NAMA,0)),"?"))</f>
        <v>OP1</v>
      </c>
      <c r="O76" s="102" t="str">
        <f aca="false">IF(C76="","",IFERROR(INDEX(AK_KEL,MATCH(C76,AK_NAMA,0)),"?"))</f>
        <v>ASET</v>
      </c>
      <c r="P76" s="102" t="str">
        <f aca="false">IF(D76="","",IFERROR(INDEX(AK_KEL,MATCH(D76,AK_NAMA,0)),"?"))</f>
        <v>PENDAPATAN</v>
      </c>
      <c r="Q76" s="102" t="n">
        <f aca="false">N(Q75)+IF(AND(N(E76)&lt;&gt;0,K76=TAHUN,N(J76)&lt;=BLN,OR(C76=BB_AKUN,D76=BB_AKUN)),1,0)</f>
        <v>40</v>
      </c>
      <c r="R76" s="104" t="str">
        <f aca="false">IF(OR(C76&amp;D76="",N(E76)=0),"",IF(OR(O76="?",P76="?"),"⚠ akun tidak dikenal",IF(C76=D76,"⚠ debet = kredit","")))</f>
        <v/>
      </c>
    </row>
    <row r="77" customFormat="false" ht="15" hidden="false" customHeight="false" outlineLevel="0" collapsed="false">
      <c r="A77" s="82" t="s">
        <v>605</v>
      </c>
      <c r="B77" s="101" t="n">
        <v>46037</v>
      </c>
      <c r="C77" s="82" t="s">
        <v>460</v>
      </c>
      <c r="D77" s="82" t="s">
        <v>461</v>
      </c>
      <c r="E77" s="91" t="n">
        <v>2055760</v>
      </c>
      <c r="F77" s="82" t="s">
        <v>606</v>
      </c>
      <c r="G77" s="82" t="s">
        <v>387</v>
      </c>
      <c r="H77" s="82"/>
      <c r="I77" s="82" t="s">
        <v>250</v>
      </c>
      <c r="J77" s="102" t="n">
        <f aca="false">IF(B77="","",MONTH(B77))</f>
        <v>1</v>
      </c>
      <c r="K77" s="102" t="n">
        <f aca="false">IF(B77="","",YEAR(B77))</f>
        <v>2026</v>
      </c>
      <c r="L77" s="102" t="str">
        <f aca="false">IF(N(E77)=0,"",IF(COUNTIFS(AK_NAMA,C77,AK_KAT,"KAS")+COUNTIFS(AK_NAMA,D77,AK_KAT,"KAS")&lt;&gt;1,"",IF(COUNTIFS(AK_NAMA,C77,AK_KAT,"KAS")=1,D77,C77)))</f>
        <v>Biaya Marketing &amp; Promosi</v>
      </c>
      <c r="M77" s="103" t="n">
        <f aca="false">IF(L77="",0,IF(L77=D77,E77,-E77))</f>
        <v>-2055760</v>
      </c>
      <c r="N77" s="102" t="str">
        <f aca="false">IF(L77="","",IFERROR(INDEX(AK_BARIS,MATCH(L77,AK_NAMA,0)),"?"))</f>
        <v>OP6</v>
      </c>
      <c r="O77" s="102" t="str">
        <f aca="false">IF(C77="","",IFERROR(INDEX(AK_KEL,MATCH(C77,AK_NAMA,0)),"?"))</f>
        <v>BEBAN</v>
      </c>
      <c r="P77" s="102" t="str">
        <f aca="false">IF(D77="","",IFERROR(INDEX(AK_KEL,MATCH(D77,AK_NAMA,0)),"?"))</f>
        <v>ASET</v>
      </c>
      <c r="Q77" s="102" t="n">
        <f aca="false">N(Q76)+IF(AND(N(E77)&lt;&gt;0,K77=TAHUN,N(J77)&lt;=BLN,OR(C77=BB_AKUN,D77=BB_AKUN)),1,0)</f>
        <v>41</v>
      </c>
      <c r="R77" s="104" t="str">
        <f aca="false">IF(OR(C77&amp;D77="",N(E77)=0),"",IF(OR(O77="?",P77="?"),"⚠ akun tidak dikenal",IF(C77=D77,"⚠ debet = kredit","")))</f>
        <v/>
      </c>
    </row>
    <row r="78" customFormat="false" ht="15" hidden="false" customHeight="false" outlineLevel="0" collapsed="false">
      <c r="A78" s="82" t="s">
        <v>607</v>
      </c>
      <c r="B78" s="101" t="n">
        <v>46037</v>
      </c>
      <c r="C78" s="82" t="s">
        <v>524</v>
      </c>
      <c r="D78" s="82" t="s">
        <v>461</v>
      </c>
      <c r="E78" s="91" t="n">
        <v>325</v>
      </c>
      <c r="F78" s="82" t="s">
        <v>525</v>
      </c>
      <c r="G78" s="82"/>
      <c r="H78" s="82"/>
      <c r="I78" s="82" t="s">
        <v>250</v>
      </c>
      <c r="J78" s="102" t="n">
        <f aca="false">IF(B78="","",MONTH(B78))</f>
        <v>1</v>
      </c>
      <c r="K78" s="102" t="n">
        <f aca="false">IF(B78="","",YEAR(B78))</f>
        <v>2026</v>
      </c>
      <c r="L78" s="102" t="str">
        <f aca="false">IF(N(E78)=0,"",IF(COUNTIFS(AK_NAMA,C78,AK_KAT,"KAS")+COUNTIFS(AK_NAMA,D78,AK_KAT,"KAS")&lt;&gt;1,"",IF(COUNTIFS(AK_NAMA,C78,AK_KAT,"KAS")=1,D78,C78)))</f>
        <v>Biaya Lainnya</v>
      </c>
      <c r="M78" s="103" t="n">
        <f aca="false">IF(L78="",0,IF(L78=D78,E78,-E78))</f>
        <v>-325</v>
      </c>
      <c r="N78" s="102" t="str">
        <f aca="false">IF(L78="","",IFERROR(INDEX(AK_BARIS,MATCH(L78,AK_NAMA,0)),"?"))</f>
        <v>OP2</v>
      </c>
      <c r="O78" s="102" t="str">
        <f aca="false">IF(C78="","",IFERROR(INDEX(AK_KEL,MATCH(C78,AK_NAMA,0)),"?"))</f>
        <v>BEBAN</v>
      </c>
      <c r="P78" s="102" t="str">
        <f aca="false">IF(D78="","",IFERROR(INDEX(AK_KEL,MATCH(D78,AK_NAMA,0)),"?"))</f>
        <v>ASET</v>
      </c>
      <c r="Q78" s="102" t="n">
        <f aca="false">N(Q77)+IF(AND(N(E78)&lt;&gt;0,K78=TAHUN,N(J78)&lt;=BLN,OR(C78=BB_AKUN,D78=BB_AKUN)),1,0)</f>
        <v>42</v>
      </c>
      <c r="R78" s="104" t="str">
        <f aca="false">IF(OR(C78&amp;D78="",N(E78)=0),"",IF(OR(O78="?",P78="?"),"⚠ akun tidak dikenal",IF(C78=D78,"⚠ debet = kredit","")))</f>
        <v/>
      </c>
    </row>
    <row r="79" customFormat="false" ht="15" hidden="false" customHeight="false" outlineLevel="0" collapsed="false">
      <c r="A79" s="82" t="s">
        <v>608</v>
      </c>
      <c r="B79" s="101" t="n">
        <v>46037</v>
      </c>
      <c r="C79" s="82" t="s">
        <v>478</v>
      </c>
      <c r="D79" s="82" t="s">
        <v>461</v>
      </c>
      <c r="E79" s="91" t="n">
        <v>380000</v>
      </c>
      <c r="F79" s="82" t="s">
        <v>609</v>
      </c>
      <c r="G79" s="82"/>
      <c r="H79" s="82"/>
      <c r="I79" s="82" t="s">
        <v>250</v>
      </c>
      <c r="J79" s="102" t="n">
        <f aca="false">IF(B79="","",MONTH(B79))</f>
        <v>1</v>
      </c>
      <c r="K79" s="102" t="n">
        <f aca="false">IF(B79="","",YEAR(B79))</f>
        <v>2026</v>
      </c>
      <c r="L79" s="102" t="str">
        <f aca="false">IF(N(E79)=0,"",IF(COUNTIFS(AK_NAMA,C79,AK_KAT,"KAS")+COUNTIFS(AK_NAMA,D79,AK_KAT,"KAS")&lt;&gt;1,"",IF(COUNTIFS(AK_NAMA,C79,AK_KAT,"KAS")=1,D79,C79)))</f>
        <v>Biaya Penyajian</v>
      </c>
      <c r="M79" s="103" t="n">
        <f aca="false">IF(L79="",0,IF(L79=D79,E79,-E79))</f>
        <v>-380000</v>
      </c>
      <c r="N79" s="102" t="str">
        <f aca="false">IF(L79="","",IFERROR(INDEX(AK_BARIS,MATCH(L79,AK_NAMA,0)),"?"))</f>
        <v>OP3</v>
      </c>
      <c r="O79" s="102" t="str">
        <f aca="false">IF(C79="","",IFERROR(INDEX(AK_KEL,MATCH(C79,AK_NAMA,0)),"?"))</f>
        <v>BEBAN</v>
      </c>
      <c r="P79" s="102" t="str">
        <f aca="false">IF(D79="","",IFERROR(INDEX(AK_KEL,MATCH(D79,AK_NAMA,0)),"?"))</f>
        <v>ASET</v>
      </c>
      <c r="Q79" s="102" t="n">
        <f aca="false">N(Q78)+IF(AND(N(E79)&lt;&gt;0,K79=TAHUN,N(J79)&lt;=BLN,OR(C79=BB_AKUN,D79=BB_AKUN)),1,0)</f>
        <v>43</v>
      </c>
      <c r="R79" s="104" t="str">
        <f aca="false">IF(OR(C79&amp;D79="",N(E79)=0),"",IF(OR(O79="?",P79="?"),"⚠ akun tidak dikenal",IF(C79=D79,"⚠ debet = kredit","")))</f>
        <v/>
      </c>
    </row>
    <row r="80" customFormat="false" ht="15" hidden="false" customHeight="false" outlineLevel="0" collapsed="false">
      <c r="A80" s="82" t="s">
        <v>610</v>
      </c>
      <c r="B80" s="101" t="n">
        <v>46038</v>
      </c>
      <c r="C80" s="82" t="s">
        <v>460</v>
      </c>
      <c r="D80" s="82" t="s">
        <v>461</v>
      </c>
      <c r="E80" s="91" t="n">
        <v>1208058</v>
      </c>
      <c r="F80" s="82" t="s">
        <v>611</v>
      </c>
      <c r="G80" s="82" t="s">
        <v>387</v>
      </c>
      <c r="H80" s="82"/>
      <c r="I80" s="82" t="s">
        <v>250</v>
      </c>
      <c r="J80" s="102" t="n">
        <f aca="false">IF(B80="","",MONTH(B80))</f>
        <v>1</v>
      </c>
      <c r="K80" s="102" t="n">
        <f aca="false">IF(B80="","",YEAR(B80))</f>
        <v>2026</v>
      </c>
      <c r="L80" s="102" t="str">
        <f aca="false">IF(N(E80)=0,"",IF(COUNTIFS(AK_NAMA,C80,AK_KAT,"KAS")+COUNTIFS(AK_NAMA,D80,AK_KAT,"KAS")&lt;&gt;1,"",IF(COUNTIFS(AK_NAMA,C80,AK_KAT,"KAS")=1,D80,C80)))</f>
        <v>Biaya Marketing &amp; Promosi</v>
      </c>
      <c r="M80" s="103" t="n">
        <f aca="false">IF(L80="",0,IF(L80=D80,E80,-E80))</f>
        <v>-1208058</v>
      </c>
      <c r="N80" s="102" t="str">
        <f aca="false">IF(L80="","",IFERROR(INDEX(AK_BARIS,MATCH(L80,AK_NAMA,0)),"?"))</f>
        <v>OP6</v>
      </c>
      <c r="O80" s="102" t="str">
        <f aca="false">IF(C80="","",IFERROR(INDEX(AK_KEL,MATCH(C80,AK_NAMA,0)),"?"))</f>
        <v>BEBAN</v>
      </c>
      <c r="P80" s="102" t="str">
        <f aca="false">IF(D80="","",IFERROR(INDEX(AK_KEL,MATCH(D80,AK_NAMA,0)),"?"))</f>
        <v>ASET</v>
      </c>
      <c r="Q80" s="102" t="n">
        <f aca="false">N(Q79)+IF(AND(N(E80)&lt;&gt;0,K80=TAHUN,N(J80)&lt;=BLN,OR(C80=BB_AKUN,D80=BB_AKUN)),1,0)</f>
        <v>44</v>
      </c>
      <c r="R80" s="104" t="str">
        <f aca="false">IF(OR(C80&amp;D80="",N(E80)=0),"",IF(OR(O80="?",P80="?"),"⚠ akun tidak dikenal",IF(C80=D80,"⚠ debet = kredit","")))</f>
        <v/>
      </c>
    </row>
    <row r="81" customFormat="false" ht="15" hidden="false" customHeight="false" outlineLevel="0" collapsed="false">
      <c r="A81" s="82" t="s">
        <v>612</v>
      </c>
      <c r="B81" s="101" t="n">
        <v>46038</v>
      </c>
      <c r="C81" s="82" t="s">
        <v>524</v>
      </c>
      <c r="D81" s="82" t="s">
        <v>461</v>
      </c>
      <c r="E81" s="91" t="n">
        <v>325</v>
      </c>
      <c r="F81" s="82" t="s">
        <v>525</v>
      </c>
      <c r="G81" s="82"/>
      <c r="H81" s="82"/>
      <c r="I81" s="82" t="s">
        <v>250</v>
      </c>
      <c r="J81" s="102" t="n">
        <f aca="false">IF(B81="","",MONTH(B81))</f>
        <v>1</v>
      </c>
      <c r="K81" s="102" t="n">
        <f aca="false">IF(B81="","",YEAR(B81))</f>
        <v>2026</v>
      </c>
      <c r="L81" s="102" t="str">
        <f aca="false">IF(N(E81)=0,"",IF(COUNTIFS(AK_NAMA,C81,AK_KAT,"KAS")+COUNTIFS(AK_NAMA,D81,AK_KAT,"KAS")&lt;&gt;1,"",IF(COUNTIFS(AK_NAMA,C81,AK_KAT,"KAS")=1,D81,C81)))</f>
        <v>Biaya Lainnya</v>
      </c>
      <c r="M81" s="103" t="n">
        <f aca="false">IF(L81="",0,IF(L81=D81,E81,-E81))</f>
        <v>-325</v>
      </c>
      <c r="N81" s="102" t="str">
        <f aca="false">IF(L81="","",IFERROR(INDEX(AK_BARIS,MATCH(L81,AK_NAMA,0)),"?"))</f>
        <v>OP2</v>
      </c>
      <c r="O81" s="102" t="str">
        <f aca="false">IF(C81="","",IFERROR(INDEX(AK_KEL,MATCH(C81,AK_NAMA,0)),"?"))</f>
        <v>BEBAN</v>
      </c>
      <c r="P81" s="102" t="str">
        <f aca="false">IF(D81="","",IFERROR(INDEX(AK_KEL,MATCH(D81,AK_NAMA,0)),"?"))</f>
        <v>ASET</v>
      </c>
      <c r="Q81" s="102" t="n">
        <f aca="false">N(Q80)+IF(AND(N(E81)&lt;&gt;0,K81=TAHUN,N(J81)&lt;=BLN,OR(C81=BB_AKUN,D81=BB_AKUN)),1,0)</f>
        <v>45</v>
      </c>
      <c r="R81" s="104" t="str">
        <f aca="false">IF(OR(C81&amp;D81="",N(E81)=0),"",IF(OR(O81="?",P81="?"),"⚠ akun tidak dikenal",IF(C81=D81,"⚠ debet = kredit","")))</f>
        <v/>
      </c>
    </row>
    <row r="82" customFormat="false" ht="15" hidden="false" customHeight="false" outlineLevel="0" collapsed="false">
      <c r="A82" s="82" t="s">
        <v>613</v>
      </c>
      <c r="B82" s="101" t="n">
        <v>46038</v>
      </c>
      <c r="C82" s="82" t="s">
        <v>461</v>
      </c>
      <c r="D82" s="82" t="s">
        <v>509</v>
      </c>
      <c r="E82" s="91" t="n">
        <v>1840000</v>
      </c>
      <c r="F82" s="82" t="s">
        <v>614</v>
      </c>
      <c r="G82" s="82" t="s">
        <v>387</v>
      </c>
      <c r="H82" s="82"/>
      <c r="I82" s="82" t="s">
        <v>250</v>
      </c>
      <c r="J82" s="102" t="n">
        <f aca="false">IF(B82="","",MONTH(B82))</f>
        <v>1</v>
      </c>
      <c r="K82" s="102" t="n">
        <f aca="false">IF(B82="","",YEAR(B82))</f>
        <v>2026</v>
      </c>
      <c r="L82" s="102" t="str">
        <f aca="false">IF(N(E82)=0,"",IF(COUNTIFS(AK_NAMA,C82,AK_KAT,"KAS")+COUNTIFS(AK_NAMA,D82,AK_KAT,"KAS")&lt;&gt;1,"",IF(COUNTIFS(AK_NAMA,C82,AK_KAT,"KAS")=1,D82,C82)))</f>
        <v>Pendapatan non Cafe</v>
      </c>
      <c r="M82" s="103" t="n">
        <f aca="false">IF(L82="",0,IF(L82=D82,E82,-E82))</f>
        <v>1840000</v>
      </c>
      <c r="N82" s="102" t="str">
        <f aca="false">IF(L82="","",IFERROR(INDEX(AK_BARIS,MATCH(L82,AK_NAMA,0)),"?"))</f>
        <v>OP1</v>
      </c>
      <c r="O82" s="102" t="str">
        <f aca="false">IF(C82="","",IFERROR(INDEX(AK_KEL,MATCH(C82,AK_NAMA,0)),"?"))</f>
        <v>ASET</v>
      </c>
      <c r="P82" s="102" t="str">
        <f aca="false">IF(D82="","",IFERROR(INDEX(AK_KEL,MATCH(D82,AK_NAMA,0)),"?"))</f>
        <v>PENDAPATAN</v>
      </c>
      <c r="Q82" s="102" t="n">
        <f aca="false">N(Q81)+IF(AND(N(E82)&lt;&gt;0,K82=TAHUN,N(J82)&lt;=BLN,OR(C82=BB_AKUN,D82=BB_AKUN)),1,0)</f>
        <v>46</v>
      </c>
      <c r="R82" s="104" t="str">
        <f aca="false">IF(OR(C82&amp;D82="",N(E82)=0),"",IF(OR(O82="?",P82="?"),"⚠ akun tidak dikenal",IF(C82=D82,"⚠ debet = kredit","")))</f>
        <v/>
      </c>
    </row>
    <row r="83" customFormat="false" ht="15" hidden="false" customHeight="false" outlineLevel="0" collapsed="false">
      <c r="A83" s="82" t="s">
        <v>615</v>
      </c>
      <c r="B83" s="101" t="n">
        <v>46038</v>
      </c>
      <c r="C83" s="82" t="s">
        <v>524</v>
      </c>
      <c r="D83" s="82" t="s">
        <v>461</v>
      </c>
      <c r="E83" s="91" t="n">
        <v>10000</v>
      </c>
      <c r="F83" s="82" t="s">
        <v>616</v>
      </c>
      <c r="G83" s="82"/>
      <c r="H83" s="82"/>
      <c r="I83" s="82" t="s">
        <v>250</v>
      </c>
      <c r="J83" s="102" t="n">
        <f aca="false">IF(B83="","",MONTH(B83))</f>
        <v>1</v>
      </c>
      <c r="K83" s="102" t="n">
        <f aca="false">IF(B83="","",YEAR(B83))</f>
        <v>2026</v>
      </c>
      <c r="L83" s="102" t="str">
        <f aca="false">IF(N(E83)=0,"",IF(COUNTIFS(AK_NAMA,C83,AK_KAT,"KAS")+COUNTIFS(AK_NAMA,D83,AK_KAT,"KAS")&lt;&gt;1,"",IF(COUNTIFS(AK_NAMA,C83,AK_KAT,"KAS")=1,D83,C83)))</f>
        <v>Biaya Lainnya</v>
      </c>
      <c r="M83" s="103" t="n">
        <f aca="false">IF(L83="",0,IF(L83=D83,E83,-E83))</f>
        <v>-10000</v>
      </c>
      <c r="N83" s="102" t="str">
        <f aca="false">IF(L83="","",IFERROR(INDEX(AK_BARIS,MATCH(L83,AK_NAMA,0)),"?"))</f>
        <v>OP2</v>
      </c>
      <c r="O83" s="102" t="str">
        <f aca="false">IF(C83="","",IFERROR(INDEX(AK_KEL,MATCH(C83,AK_NAMA,0)),"?"))</f>
        <v>BEBAN</v>
      </c>
      <c r="P83" s="102" t="str">
        <f aca="false">IF(D83="","",IFERROR(INDEX(AK_KEL,MATCH(D83,AK_NAMA,0)),"?"))</f>
        <v>ASET</v>
      </c>
      <c r="Q83" s="102" t="n">
        <f aca="false">N(Q82)+IF(AND(N(E83)&lt;&gt;0,K83=TAHUN,N(J83)&lt;=BLN,OR(C83=BB_AKUN,D83=BB_AKUN)),1,0)</f>
        <v>47</v>
      </c>
      <c r="R83" s="104" t="str">
        <f aca="false">IF(OR(C83&amp;D83="",N(E83)=0),"",IF(OR(O83="?",P83="?"),"⚠ akun tidak dikenal",IF(C83=D83,"⚠ debet = kredit","")))</f>
        <v/>
      </c>
    </row>
    <row r="84" customFormat="false" ht="15" hidden="false" customHeight="false" outlineLevel="0" collapsed="false">
      <c r="A84" s="82" t="s">
        <v>617</v>
      </c>
      <c r="B84" s="101" t="n">
        <v>46039</v>
      </c>
      <c r="C84" s="82" t="s">
        <v>470</v>
      </c>
      <c r="D84" s="82" t="s">
        <v>486</v>
      </c>
      <c r="E84" s="91" t="n">
        <v>240000</v>
      </c>
      <c r="F84" s="82" t="s">
        <v>546</v>
      </c>
      <c r="G84" s="82"/>
      <c r="H84" s="82"/>
      <c r="I84" s="82" t="s">
        <v>250</v>
      </c>
      <c r="J84" s="102" t="n">
        <f aca="false">IF(B84="","",MONTH(B84))</f>
        <v>1</v>
      </c>
      <c r="K84" s="102" t="n">
        <f aca="false">IF(B84="","",YEAR(B84))</f>
        <v>2026</v>
      </c>
      <c r="L84" s="102" t="str">
        <f aca="false">IF(N(E84)=0,"",IF(COUNTIFS(AK_NAMA,C84,AK_KAT,"KAS")+COUNTIFS(AK_NAMA,D84,AK_KAT,"KAS")&lt;&gt;1,"",IF(COUNTIFS(AK_NAMA,C84,AK_KAT,"KAS")=1,D84,C84)))</f>
        <v>Biaya Bahan Baku</v>
      </c>
      <c r="M84" s="103" t="n">
        <f aca="false">IF(L84="",0,IF(L84=D84,E84,-E84))</f>
        <v>-240000</v>
      </c>
      <c r="N84" s="102" t="str">
        <f aca="false">IF(L84="","",IFERROR(INDEX(AK_BARIS,MATCH(L84,AK_NAMA,0)),"?"))</f>
        <v>OP3</v>
      </c>
      <c r="O84" s="102" t="str">
        <f aca="false">IF(C84="","",IFERROR(INDEX(AK_KEL,MATCH(C84,AK_NAMA,0)),"?"))</f>
        <v>BEBAN</v>
      </c>
      <c r="P84" s="102" t="str">
        <f aca="false">IF(D84="","",IFERROR(INDEX(AK_KEL,MATCH(D84,AK_NAMA,0)),"?"))</f>
        <v>ASET</v>
      </c>
      <c r="Q84" s="102" t="n">
        <f aca="false">N(Q83)+IF(AND(N(E84)&lt;&gt;0,K84=TAHUN,N(J84)&lt;=BLN,OR(C84=BB_AKUN,D84=BB_AKUN)),1,0)</f>
        <v>47</v>
      </c>
      <c r="R84" s="104" t="str">
        <f aca="false">IF(OR(C84&amp;D84="",N(E84)=0),"",IF(OR(O84="?",P84="?"),"⚠ akun tidak dikenal",IF(C84=D84,"⚠ debet = kredit","")))</f>
        <v/>
      </c>
    </row>
    <row r="85" customFormat="false" ht="15" hidden="false" customHeight="false" outlineLevel="0" collapsed="false">
      <c r="A85" s="82" t="s">
        <v>618</v>
      </c>
      <c r="B85" s="101" t="n">
        <v>46039</v>
      </c>
      <c r="C85" s="82" t="s">
        <v>478</v>
      </c>
      <c r="D85" s="82" t="s">
        <v>486</v>
      </c>
      <c r="E85" s="91" t="n">
        <v>160000</v>
      </c>
      <c r="F85" s="82" t="s">
        <v>549</v>
      </c>
      <c r="G85" s="82"/>
      <c r="H85" s="82"/>
      <c r="I85" s="82" t="s">
        <v>250</v>
      </c>
      <c r="J85" s="102" t="n">
        <f aca="false">IF(B85="","",MONTH(B85))</f>
        <v>1</v>
      </c>
      <c r="K85" s="102" t="n">
        <f aca="false">IF(B85="","",YEAR(B85))</f>
        <v>2026</v>
      </c>
      <c r="L85" s="102" t="str">
        <f aca="false">IF(N(E85)=0,"",IF(COUNTIFS(AK_NAMA,C85,AK_KAT,"KAS")+COUNTIFS(AK_NAMA,D85,AK_KAT,"KAS")&lt;&gt;1,"",IF(COUNTIFS(AK_NAMA,C85,AK_KAT,"KAS")=1,D85,C85)))</f>
        <v>Biaya Penyajian</v>
      </c>
      <c r="M85" s="103" t="n">
        <f aca="false">IF(L85="",0,IF(L85=D85,E85,-E85))</f>
        <v>-160000</v>
      </c>
      <c r="N85" s="102" t="str">
        <f aca="false">IF(L85="","",IFERROR(INDEX(AK_BARIS,MATCH(L85,AK_NAMA,0)),"?"))</f>
        <v>OP3</v>
      </c>
      <c r="O85" s="102" t="str">
        <f aca="false">IF(C85="","",IFERROR(INDEX(AK_KEL,MATCH(C85,AK_NAMA,0)),"?"))</f>
        <v>BEBAN</v>
      </c>
      <c r="P85" s="102" t="str">
        <f aca="false">IF(D85="","",IFERROR(INDEX(AK_KEL,MATCH(D85,AK_NAMA,0)),"?"))</f>
        <v>ASET</v>
      </c>
      <c r="Q85" s="102" t="n">
        <f aca="false">N(Q84)+IF(AND(N(E85)&lt;&gt;0,K85=TAHUN,N(J85)&lt;=BLN,OR(C85=BB_AKUN,D85=BB_AKUN)),1,0)</f>
        <v>47</v>
      </c>
      <c r="R85" s="104" t="str">
        <f aca="false">IF(OR(C85&amp;D85="",N(E85)=0),"",IF(OR(O85="?",P85="?"),"⚠ akun tidak dikenal",IF(C85=D85,"⚠ debet = kredit","")))</f>
        <v/>
      </c>
    </row>
    <row r="86" customFormat="false" ht="15" hidden="false" customHeight="false" outlineLevel="0" collapsed="false">
      <c r="A86" s="82" t="s">
        <v>619</v>
      </c>
      <c r="B86" s="101" t="n">
        <v>46039</v>
      </c>
      <c r="C86" s="82" t="s">
        <v>548</v>
      </c>
      <c r="D86" s="82" t="s">
        <v>486</v>
      </c>
      <c r="E86" s="91" t="n">
        <v>100000</v>
      </c>
      <c r="F86" s="82" t="s">
        <v>551</v>
      </c>
      <c r="G86" s="82"/>
      <c r="H86" s="82"/>
      <c r="I86" s="82" t="s">
        <v>250</v>
      </c>
      <c r="J86" s="102" t="n">
        <f aca="false">IF(B86="","",MONTH(B86))</f>
        <v>1</v>
      </c>
      <c r="K86" s="102" t="n">
        <f aca="false">IF(B86="","",YEAR(B86))</f>
        <v>2026</v>
      </c>
      <c r="L86" s="102" t="str">
        <f aca="false">IF(N(E86)=0,"",IF(COUNTIFS(AK_NAMA,C86,AK_KAT,"KAS")+COUNTIFS(AK_NAMA,D86,AK_KAT,"KAS")&lt;&gt;1,"",IF(COUNTIFS(AK_NAMA,C86,AK_KAT,"KAS")=1,D86,C86)))</f>
        <v>Beban Perlengkapan</v>
      </c>
      <c r="M86" s="103" t="n">
        <f aca="false">IF(L86="",0,IF(L86=D86,E86,-E86))</f>
        <v>-100000</v>
      </c>
      <c r="N86" s="102" t="str">
        <f aca="false">IF(L86="","",IFERROR(INDEX(AK_BARIS,MATCH(L86,AK_NAMA,0)),"?"))</f>
        <v>OP6</v>
      </c>
      <c r="O86" s="102" t="str">
        <f aca="false">IF(C86="","",IFERROR(INDEX(AK_KEL,MATCH(C86,AK_NAMA,0)),"?"))</f>
        <v>BEBAN</v>
      </c>
      <c r="P86" s="102" t="str">
        <f aca="false">IF(D86="","",IFERROR(INDEX(AK_KEL,MATCH(D86,AK_NAMA,0)),"?"))</f>
        <v>ASET</v>
      </c>
      <c r="Q86" s="102" t="n">
        <f aca="false">N(Q85)+IF(AND(N(E86)&lt;&gt;0,K86=TAHUN,N(J86)&lt;=BLN,OR(C86=BB_AKUN,D86=BB_AKUN)),1,0)</f>
        <v>47</v>
      </c>
      <c r="R86" s="104" t="str">
        <f aca="false">IF(OR(C86&amp;D86="",N(E86)=0),"",IF(OR(O86="?",P86="?"),"⚠ akun tidak dikenal",IF(C86=D86,"⚠ debet = kredit","")))</f>
        <v/>
      </c>
    </row>
    <row r="87" customFormat="false" ht="15" hidden="false" customHeight="false" outlineLevel="0" collapsed="false">
      <c r="A87" s="82" t="s">
        <v>620</v>
      </c>
      <c r="B87" s="101" t="n">
        <v>46039</v>
      </c>
      <c r="C87" s="82" t="s">
        <v>461</v>
      </c>
      <c r="D87" s="82" t="s">
        <v>475</v>
      </c>
      <c r="E87" s="91" t="n">
        <v>14000000</v>
      </c>
      <c r="F87" s="82" t="s">
        <v>560</v>
      </c>
      <c r="G87" s="82"/>
      <c r="H87" s="82"/>
      <c r="I87" s="82" t="s">
        <v>250</v>
      </c>
      <c r="J87" s="102" t="n">
        <f aca="false">IF(B87="","",MONTH(B87))</f>
        <v>1</v>
      </c>
      <c r="K87" s="102" t="n">
        <f aca="false">IF(B87="","",YEAR(B87))</f>
        <v>2026</v>
      </c>
      <c r="L87" s="102" t="str">
        <f aca="false">IF(N(E87)=0,"",IF(COUNTIFS(AK_NAMA,C87,AK_KAT,"KAS")+COUNTIFS(AK_NAMA,D87,AK_KAT,"KAS")&lt;&gt;1,"",IF(COUNTIFS(AK_NAMA,C87,AK_KAT,"KAS")=1,D87,C87)))</f>
        <v/>
      </c>
      <c r="M87" s="103" t="n">
        <f aca="false">IF(L87="",0,IF(L87=D87,E87,-E87))</f>
        <v>0</v>
      </c>
      <c r="N87" s="102" t="str">
        <f aca="false">IF(L87="","",IFERROR(INDEX(AK_BARIS,MATCH(L87,AK_NAMA,0)),"?"))</f>
        <v/>
      </c>
      <c r="O87" s="102" t="str">
        <f aca="false">IF(C87="","",IFERROR(INDEX(AK_KEL,MATCH(C87,AK_NAMA,0)),"?"))</f>
        <v>ASET</v>
      </c>
      <c r="P87" s="102" t="str">
        <f aca="false">IF(D87="","",IFERROR(INDEX(AK_KEL,MATCH(D87,AK_NAMA,0)),"?"))</f>
        <v>ASET</v>
      </c>
      <c r="Q87" s="102" t="n">
        <f aca="false">N(Q86)+IF(AND(N(E87)&lt;&gt;0,K87=TAHUN,N(J87)&lt;=BLN,OR(C87=BB_AKUN,D87=BB_AKUN)),1,0)</f>
        <v>48</v>
      </c>
      <c r="R87" s="104" t="str">
        <f aca="false">IF(OR(C87&amp;D87="",N(E87)=0),"",IF(OR(O87="?",P87="?"),"⚠ akun tidak dikenal",IF(C87=D87,"⚠ debet = kredit","")))</f>
        <v/>
      </c>
    </row>
    <row r="88" customFormat="false" ht="15" hidden="false" customHeight="false" outlineLevel="0" collapsed="false">
      <c r="A88" s="82" t="s">
        <v>621</v>
      </c>
      <c r="B88" s="101" t="n">
        <v>46039</v>
      </c>
      <c r="C88" s="82" t="s">
        <v>486</v>
      </c>
      <c r="D88" s="82" t="s">
        <v>475</v>
      </c>
      <c r="E88" s="91" t="n">
        <v>4000000</v>
      </c>
      <c r="F88" s="82" t="s">
        <v>622</v>
      </c>
      <c r="G88" s="82"/>
      <c r="H88" s="82"/>
      <c r="I88" s="82" t="s">
        <v>250</v>
      </c>
      <c r="J88" s="102" t="n">
        <f aca="false">IF(B88="","",MONTH(B88))</f>
        <v>1</v>
      </c>
      <c r="K88" s="102" t="n">
        <f aca="false">IF(B88="","",YEAR(B88))</f>
        <v>2026</v>
      </c>
      <c r="L88" s="102" t="str">
        <f aca="false">IF(N(E88)=0,"",IF(COUNTIFS(AK_NAMA,C88,AK_KAT,"KAS")+COUNTIFS(AK_NAMA,D88,AK_KAT,"KAS")&lt;&gt;1,"",IF(COUNTIFS(AK_NAMA,C88,AK_KAT,"KAS")=1,D88,C88)))</f>
        <v/>
      </c>
      <c r="M88" s="103" t="n">
        <f aca="false">IF(L88="",0,IF(L88=D88,E88,-E88))</f>
        <v>0</v>
      </c>
      <c r="N88" s="102" t="str">
        <f aca="false">IF(L88="","",IFERROR(INDEX(AK_BARIS,MATCH(L88,AK_NAMA,0)),"?"))</f>
        <v/>
      </c>
      <c r="O88" s="102" t="str">
        <f aca="false">IF(C88="","",IFERROR(INDEX(AK_KEL,MATCH(C88,AK_NAMA,0)),"?"))</f>
        <v>ASET</v>
      </c>
      <c r="P88" s="102" t="str">
        <f aca="false">IF(D88="","",IFERROR(INDEX(AK_KEL,MATCH(D88,AK_NAMA,0)),"?"))</f>
        <v>ASET</v>
      </c>
      <c r="Q88" s="102" t="n">
        <f aca="false">N(Q87)+IF(AND(N(E88)&lt;&gt;0,K88=TAHUN,N(J88)&lt;=BLN,OR(C88=BB_AKUN,D88=BB_AKUN)),1,0)</f>
        <v>48</v>
      </c>
      <c r="R88" s="104" t="str">
        <f aca="false">IF(OR(C88&amp;D88="",N(E88)=0),"",IF(OR(O88="?",P88="?"),"⚠ akun tidak dikenal",IF(C88=D88,"⚠ debet = kredit","")))</f>
        <v/>
      </c>
    </row>
    <row r="89" customFormat="false" ht="15" hidden="false" customHeight="false" outlineLevel="0" collapsed="false">
      <c r="A89" s="82" t="s">
        <v>623</v>
      </c>
      <c r="B89" s="101" t="n">
        <v>46039</v>
      </c>
      <c r="C89" s="82" t="s">
        <v>470</v>
      </c>
      <c r="D89" s="82" t="s">
        <v>461</v>
      </c>
      <c r="E89" s="91" t="n">
        <v>100000</v>
      </c>
      <c r="F89" s="82" t="s">
        <v>624</v>
      </c>
      <c r="G89" s="82"/>
      <c r="H89" s="82"/>
      <c r="I89" s="82" t="s">
        <v>250</v>
      </c>
      <c r="J89" s="102" t="n">
        <f aca="false">IF(B89="","",MONTH(B89))</f>
        <v>1</v>
      </c>
      <c r="K89" s="102" t="n">
        <f aca="false">IF(B89="","",YEAR(B89))</f>
        <v>2026</v>
      </c>
      <c r="L89" s="102" t="str">
        <f aca="false">IF(N(E89)=0,"",IF(COUNTIFS(AK_NAMA,C89,AK_KAT,"KAS")+COUNTIFS(AK_NAMA,D89,AK_KAT,"KAS")&lt;&gt;1,"",IF(COUNTIFS(AK_NAMA,C89,AK_KAT,"KAS")=1,D89,C89)))</f>
        <v>Biaya Bahan Baku</v>
      </c>
      <c r="M89" s="103" t="n">
        <f aca="false">IF(L89="",0,IF(L89=D89,E89,-E89))</f>
        <v>-100000</v>
      </c>
      <c r="N89" s="102" t="str">
        <f aca="false">IF(L89="","",IFERROR(INDEX(AK_BARIS,MATCH(L89,AK_NAMA,0)),"?"))</f>
        <v>OP3</v>
      </c>
      <c r="O89" s="102" t="str">
        <f aca="false">IF(C89="","",IFERROR(INDEX(AK_KEL,MATCH(C89,AK_NAMA,0)),"?"))</f>
        <v>BEBAN</v>
      </c>
      <c r="P89" s="102" t="str">
        <f aca="false">IF(D89="","",IFERROR(INDEX(AK_KEL,MATCH(D89,AK_NAMA,0)),"?"))</f>
        <v>ASET</v>
      </c>
      <c r="Q89" s="102" t="n">
        <f aca="false">N(Q88)+IF(AND(N(E89)&lt;&gt;0,K89=TAHUN,N(J89)&lt;=BLN,OR(C89=BB_AKUN,D89=BB_AKUN)),1,0)</f>
        <v>49</v>
      </c>
      <c r="R89" s="104" t="str">
        <f aca="false">IF(OR(C89&amp;D89="",N(E89)=0),"",IF(OR(O89="?",P89="?"),"⚠ akun tidak dikenal",IF(C89=D89,"⚠ debet = kredit","")))</f>
        <v/>
      </c>
    </row>
    <row r="90" customFormat="false" ht="15" hidden="false" customHeight="false" outlineLevel="0" collapsed="false">
      <c r="A90" s="82" t="s">
        <v>625</v>
      </c>
      <c r="B90" s="101" t="n">
        <v>46040</v>
      </c>
      <c r="C90" s="82" t="s">
        <v>460</v>
      </c>
      <c r="D90" s="82" t="s">
        <v>461</v>
      </c>
      <c r="E90" s="91" t="n">
        <v>14400000</v>
      </c>
      <c r="F90" s="82" t="s">
        <v>626</v>
      </c>
      <c r="G90" s="82" t="s">
        <v>387</v>
      </c>
      <c r="H90" s="82"/>
      <c r="I90" s="82" t="s">
        <v>250</v>
      </c>
      <c r="J90" s="102" t="n">
        <f aca="false">IF(B90="","",MONTH(B90))</f>
        <v>1</v>
      </c>
      <c r="K90" s="102" t="n">
        <f aca="false">IF(B90="","",YEAR(B90))</f>
        <v>2026</v>
      </c>
      <c r="L90" s="102" t="str">
        <f aca="false">IF(N(E90)=0,"",IF(COUNTIFS(AK_NAMA,C90,AK_KAT,"KAS")+COUNTIFS(AK_NAMA,D90,AK_KAT,"KAS")&lt;&gt;1,"",IF(COUNTIFS(AK_NAMA,C90,AK_KAT,"KAS")=1,D90,C90)))</f>
        <v>Biaya Marketing &amp; Promosi</v>
      </c>
      <c r="M90" s="103" t="n">
        <f aca="false">IF(L90="",0,IF(L90=D90,E90,-E90))</f>
        <v>-14400000</v>
      </c>
      <c r="N90" s="102" t="str">
        <f aca="false">IF(L90="","",IFERROR(INDEX(AK_BARIS,MATCH(L90,AK_NAMA,0)),"?"))</f>
        <v>OP6</v>
      </c>
      <c r="O90" s="102" t="str">
        <f aca="false">IF(C90="","",IFERROR(INDEX(AK_KEL,MATCH(C90,AK_NAMA,0)),"?"))</f>
        <v>BEBAN</v>
      </c>
      <c r="P90" s="102" t="str">
        <f aca="false">IF(D90="","",IFERROR(INDEX(AK_KEL,MATCH(D90,AK_NAMA,0)),"?"))</f>
        <v>ASET</v>
      </c>
      <c r="Q90" s="102" t="n">
        <f aca="false">N(Q89)+IF(AND(N(E90)&lt;&gt;0,K90=TAHUN,N(J90)&lt;=BLN,OR(C90=BB_AKUN,D90=BB_AKUN)),1,0)</f>
        <v>50</v>
      </c>
      <c r="R90" s="104" t="str">
        <f aca="false">IF(OR(C90&amp;D90="",N(E90)=0),"",IF(OR(O90="?",P90="?"),"⚠ akun tidak dikenal",IF(C90=D90,"⚠ debet = kredit","")))</f>
        <v/>
      </c>
    </row>
    <row r="91" customFormat="false" ht="15" hidden="false" customHeight="false" outlineLevel="0" collapsed="false">
      <c r="A91" s="82" t="s">
        <v>627</v>
      </c>
      <c r="B91" s="101" t="n">
        <v>46040</v>
      </c>
      <c r="C91" s="82" t="s">
        <v>460</v>
      </c>
      <c r="D91" s="82" t="s">
        <v>461</v>
      </c>
      <c r="E91" s="91" t="n">
        <v>2500000</v>
      </c>
      <c r="F91" s="82" t="s">
        <v>628</v>
      </c>
      <c r="G91" s="82" t="s">
        <v>387</v>
      </c>
      <c r="H91" s="82"/>
      <c r="I91" s="82" t="s">
        <v>250</v>
      </c>
      <c r="J91" s="102" t="n">
        <f aca="false">IF(B91="","",MONTH(B91))</f>
        <v>1</v>
      </c>
      <c r="K91" s="102" t="n">
        <f aca="false">IF(B91="","",YEAR(B91))</f>
        <v>2026</v>
      </c>
      <c r="L91" s="102" t="str">
        <f aca="false">IF(N(E91)=0,"",IF(COUNTIFS(AK_NAMA,C91,AK_KAT,"KAS")+COUNTIFS(AK_NAMA,D91,AK_KAT,"KAS")&lt;&gt;1,"",IF(COUNTIFS(AK_NAMA,C91,AK_KAT,"KAS")=1,D91,C91)))</f>
        <v>Biaya Marketing &amp; Promosi</v>
      </c>
      <c r="M91" s="103" t="n">
        <f aca="false">IF(L91="",0,IF(L91=D91,E91,-E91))</f>
        <v>-2500000</v>
      </c>
      <c r="N91" s="102" t="str">
        <f aca="false">IF(L91="","",IFERROR(INDEX(AK_BARIS,MATCH(L91,AK_NAMA,0)),"?"))</f>
        <v>OP6</v>
      </c>
      <c r="O91" s="102" t="str">
        <f aca="false">IF(C91="","",IFERROR(INDEX(AK_KEL,MATCH(C91,AK_NAMA,0)),"?"))</f>
        <v>BEBAN</v>
      </c>
      <c r="P91" s="102" t="str">
        <f aca="false">IF(D91="","",IFERROR(INDEX(AK_KEL,MATCH(D91,AK_NAMA,0)),"?"))</f>
        <v>ASET</v>
      </c>
      <c r="Q91" s="102" t="n">
        <f aca="false">N(Q90)+IF(AND(N(E91)&lt;&gt;0,K91=TAHUN,N(J91)&lt;=BLN,OR(C91=BB_AKUN,D91=BB_AKUN)),1,0)</f>
        <v>51</v>
      </c>
      <c r="R91" s="104" t="str">
        <f aca="false">IF(OR(C91&amp;D91="",N(E91)=0),"",IF(OR(O91="?",P91="?"),"⚠ akun tidak dikenal",IF(C91=D91,"⚠ debet = kredit","")))</f>
        <v/>
      </c>
    </row>
    <row r="92" customFormat="false" ht="15" hidden="false" customHeight="false" outlineLevel="0" collapsed="false">
      <c r="A92" s="82" t="s">
        <v>629</v>
      </c>
      <c r="B92" s="101" t="n">
        <v>46041</v>
      </c>
      <c r="C92" s="82" t="s">
        <v>456</v>
      </c>
      <c r="D92" s="82" t="s">
        <v>461</v>
      </c>
      <c r="E92" s="91" t="n">
        <v>1420000</v>
      </c>
      <c r="F92" s="82" t="s">
        <v>630</v>
      </c>
      <c r="G92" s="82"/>
      <c r="H92" s="82" t="s">
        <v>631</v>
      </c>
      <c r="I92" s="82" t="s">
        <v>250</v>
      </c>
      <c r="J92" s="102" t="n">
        <f aca="false">IF(B92="","",MONTH(B92))</f>
        <v>1</v>
      </c>
      <c r="K92" s="102" t="n">
        <f aca="false">IF(B92="","",YEAR(B92))</f>
        <v>2026</v>
      </c>
      <c r="L92" s="102" t="str">
        <f aca="false">IF(N(E92)=0,"",IF(COUNTIFS(AK_NAMA,C92,AK_KAT,"KAS")+COUNTIFS(AK_NAMA,D92,AK_KAT,"KAS")&lt;&gt;1,"",IF(COUNTIFS(AK_NAMA,C92,AK_KAT,"KAS")=1,D92,C92)))</f>
        <v>Utang Usaha Jangka Panjang</v>
      </c>
      <c r="M92" s="103" t="n">
        <f aca="false">IF(L92="",0,IF(L92=D92,E92,-E92))</f>
        <v>-1420000</v>
      </c>
      <c r="N92" s="102" t="str">
        <f aca="false">IF(L92="","",IFERROR(INDEX(AK_BARIS,MATCH(L92,AK_NAMA,0)),"?"))</f>
        <v>FN3</v>
      </c>
      <c r="O92" s="102" t="str">
        <f aca="false">IF(C92="","",IFERROR(INDEX(AK_KEL,MATCH(C92,AK_NAMA,0)),"?"))</f>
        <v>LIABILITAS</v>
      </c>
      <c r="P92" s="102" t="str">
        <f aca="false">IF(D92="","",IFERROR(INDEX(AK_KEL,MATCH(D92,AK_NAMA,0)),"?"))</f>
        <v>ASET</v>
      </c>
      <c r="Q92" s="102" t="n">
        <f aca="false">N(Q91)+IF(AND(N(E92)&lt;&gt;0,K92=TAHUN,N(J92)&lt;=BLN,OR(C92=BB_AKUN,D92=BB_AKUN)),1,0)</f>
        <v>52</v>
      </c>
      <c r="R92" s="104" t="str">
        <f aca="false">IF(OR(C92&amp;D92="",N(E92)=0),"",IF(OR(O92="?",P92="?"),"⚠ akun tidak dikenal",IF(C92=D92,"⚠ debet = kredit","")))</f>
        <v/>
      </c>
    </row>
    <row r="93" customFormat="false" ht="15" hidden="false" customHeight="false" outlineLevel="0" collapsed="false">
      <c r="A93" s="82" t="s">
        <v>632</v>
      </c>
      <c r="B93" s="101" t="n">
        <v>46041</v>
      </c>
      <c r="C93" s="82" t="s">
        <v>456</v>
      </c>
      <c r="D93" s="82" t="s">
        <v>461</v>
      </c>
      <c r="E93" s="91" t="n">
        <v>500000</v>
      </c>
      <c r="F93" s="82" t="s">
        <v>633</v>
      </c>
      <c r="G93" s="82"/>
      <c r="H93" s="82" t="s">
        <v>458</v>
      </c>
      <c r="I93" s="82" t="s">
        <v>250</v>
      </c>
      <c r="J93" s="102" t="n">
        <f aca="false">IF(B93="","",MONTH(B93))</f>
        <v>1</v>
      </c>
      <c r="K93" s="102" t="n">
        <f aca="false">IF(B93="","",YEAR(B93))</f>
        <v>2026</v>
      </c>
      <c r="L93" s="102" t="str">
        <f aca="false">IF(N(E93)=0,"",IF(COUNTIFS(AK_NAMA,C93,AK_KAT,"KAS")+COUNTIFS(AK_NAMA,D93,AK_KAT,"KAS")&lt;&gt;1,"",IF(COUNTIFS(AK_NAMA,C93,AK_KAT,"KAS")=1,D93,C93)))</f>
        <v>Utang Usaha Jangka Panjang</v>
      </c>
      <c r="M93" s="103" t="n">
        <f aca="false">IF(L93="",0,IF(L93=D93,E93,-E93))</f>
        <v>-500000</v>
      </c>
      <c r="N93" s="102" t="str">
        <f aca="false">IF(L93="","",IFERROR(INDEX(AK_BARIS,MATCH(L93,AK_NAMA,0)),"?"))</f>
        <v>FN3</v>
      </c>
      <c r="O93" s="102" t="str">
        <f aca="false">IF(C93="","",IFERROR(INDEX(AK_KEL,MATCH(C93,AK_NAMA,0)),"?"))</f>
        <v>LIABILITAS</v>
      </c>
      <c r="P93" s="102" t="str">
        <f aca="false">IF(D93="","",IFERROR(INDEX(AK_KEL,MATCH(D93,AK_NAMA,0)),"?"))</f>
        <v>ASET</v>
      </c>
      <c r="Q93" s="102" t="n">
        <f aca="false">N(Q92)+IF(AND(N(E93)&lt;&gt;0,K93=TAHUN,N(J93)&lt;=BLN,OR(C93=BB_AKUN,D93=BB_AKUN)),1,0)</f>
        <v>53</v>
      </c>
      <c r="R93" s="104" t="str">
        <f aca="false">IF(OR(C93&amp;D93="",N(E93)=0),"",IF(OR(O93="?",P93="?"),"⚠ akun tidak dikenal",IF(C93=D93,"⚠ debet = kredit","")))</f>
        <v/>
      </c>
    </row>
    <row r="94" customFormat="false" ht="15" hidden="false" customHeight="false" outlineLevel="0" collapsed="false">
      <c r="A94" s="82" t="s">
        <v>634</v>
      </c>
      <c r="B94" s="101" t="n">
        <v>46041</v>
      </c>
      <c r="C94" s="82" t="s">
        <v>524</v>
      </c>
      <c r="D94" s="82" t="s">
        <v>461</v>
      </c>
      <c r="E94" s="91" t="n">
        <v>2326</v>
      </c>
      <c r="F94" s="82" t="s">
        <v>635</v>
      </c>
      <c r="G94" s="82"/>
      <c r="H94" s="82"/>
      <c r="I94" s="82" t="s">
        <v>250</v>
      </c>
      <c r="J94" s="102" t="n">
        <f aca="false">IF(B94="","",MONTH(B94))</f>
        <v>1</v>
      </c>
      <c r="K94" s="102" t="n">
        <f aca="false">IF(B94="","",YEAR(B94))</f>
        <v>2026</v>
      </c>
      <c r="L94" s="102" t="str">
        <f aca="false">IF(N(E94)=0,"",IF(COUNTIFS(AK_NAMA,C94,AK_KAT,"KAS")+COUNTIFS(AK_NAMA,D94,AK_KAT,"KAS")&lt;&gt;1,"",IF(COUNTIFS(AK_NAMA,C94,AK_KAT,"KAS")=1,D94,C94)))</f>
        <v>Biaya Lainnya</v>
      </c>
      <c r="M94" s="103" t="n">
        <f aca="false">IF(L94="",0,IF(L94=D94,E94,-E94))</f>
        <v>-2326</v>
      </c>
      <c r="N94" s="102" t="str">
        <f aca="false">IF(L94="","",IFERROR(INDEX(AK_BARIS,MATCH(L94,AK_NAMA,0)),"?"))</f>
        <v>OP2</v>
      </c>
      <c r="O94" s="102" t="str">
        <f aca="false">IF(C94="","",IFERROR(INDEX(AK_KEL,MATCH(C94,AK_NAMA,0)),"?"))</f>
        <v>BEBAN</v>
      </c>
      <c r="P94" s="102" t="str">
        <f aca="false">IF(D94="","",IFERROR(INDEX(AK_KEL,MATCH(D94,AK_NAMA,0)),"?"))</f>
        <v>ASET</v>
      </c>
      <c r="Q94" s="102" t="n">
        <f aca="false">N(Q93)+IF(AND(N(E94)&lt;&gt;0,K94=TAHUN,N(J94)&lt;=BLN,OR(C94=BB_AKUN,D94=BB_AKUN)),1,0)</f>
        <v>54</v>
      </c>
      <c r="R94" s="104" t="str">
        <f aca="false">IF(OR(C94&amp;D94="",N(E94)=0),"",IF(OR(O94="?",P94="?"),"⚠ akun tidak dikenal",IF(C94=D94,"⚠ debet = kredit","")))</f>
        <v/>
      </c>
    </row>
    <row r="95" customFormat="false" ht="15" hidden="false" customHeight="false" outlineLevel="0" collapsed="false">
      <c r="A95" s="82" t="s">
        <v>636</v>
      </c>
      <c r="B95" s="101" t="n">
        <v>46041</v>
      </c>
      <c r="C95" s="82" t="s">
        <v>478</v>
      </c>
      <c r="D95" s="82" t="s">
        <v>461</v>
      </c>
      <c r="E95" s="91" t="n">
        <v>500000</v>
      </c>
      <c r="F95" s="82" t="s">
        <v>637</v>
      </c>
      <c r="G95" s="82"/>
      <c r="H95" s="82"/>
      <c r="I95" s="82" t="s">
        <v>250</v>
      </c>
      <c r="J95" s="102" t="n">
        <f aca="false">IF(B95="","",MONTH(B95))</f>
        <v>1</v>
      </c>
      <c r="K95" s="102" t="n">
        <f aca="false">IF(B95="","",YEAR(B95))</f>
        <v>2026</v>
      </c>
      <c r="L95" s="102" t="str">
        <f aca="false">IF(N(E95)=0,"",IF(COUNTIFS(AK_NAMA,C95,AK_KAT,"KAS")+COUNTIFS(AK_NAMA,D95,AK_KAT,"KAS")&lt;&gt;1,"",IF(COUNTIFS(AK_NAMA,C95,AK_KAT,"KAS")=1,D95,C95)))</f>
        <v>Biaya Penyajian</v>
      </c>
      <c r="M95" s="103" t="n">
        <f aca="false">IF(L95="",0,IF(L95=D95,E95,-E95))</f>
        <v>-500000</v>
      </c>
      <c r="N95" s="102" t="str">
        <f aca="false">IF(L95="","",IFERROR(INDEX(AK_BARIS,MATCH(L95,AK_NAMA,0)),"?"))</f>
        <v>OP3</v>
      </c>
      <c r="O95" s="102" t="str">
        <f aca="false">IF(C95="","",IFERROR(INDEX(AK_KEL,MATCH(C95,AK_NAMA,0)),"?"))</f>
        <v>BEBAN</v>
      </c>
      <c r="P95" s="102" t="str">
        <f aca="false">IF(D95="","",IFERROR(INDEX(AK_KEL,MATCH(D95,AK_NAMA,0)),"?"))</f>
        <v>ASET</v>
      </c>
      <c r="Q95" s="102" t="n">
        <f aca="false">N(Q94)+IF(AND(N(E95)&lt;&gt;0,K95=TAHUN,N(J95)&lt;=BLN,OR(C95=BB_AKUN,D95=BB_AKUN)),1,0)</f>
        <v>55</v>
      </c>
      <c r="R95" s="104" t="str">
        <f aca="false">IF(OR(C95&amp;D95="",N(E95)=0),"",IF(OR(O95="?",P95="?"),"⚠ akun tidak dikenal",IF(C95=D95,"⚠ debet = kredit","")))</f>
        <v/>
      </c>
    </row>
    <row r="96" customFormat="false" ht="15" hidden="false" customHeight="false" outlineLevel="0" collapsed="false">
      <c r="A96" s="82" t="s">
        <v>638</v>
      </c>
      <c r="B96" s="101" t="n">
        <v>46041</v>
      </c>
      <c r="C96" s="82" t="s">
        <v>478</v>
      </c>
      <c r="D96" s="82" t="s">
        <v>461</v>
      </c>
      <c r="E96" s="91" t="n">
        <v>500000</v>
      </c>
      <c r="F96" s="82" t="s">
        <v>639</v>
      </c>
      <c r="G96" s="82"/>
      <c r="H96" s="82"/>
      <c r="I96" s="82" t="s">
        <v>250</v>
      </c>
      <c r="J96" s="102" t="n">
        <f aca="false">IF(B96="","",MONTH(B96))</f>
        <v>1</v>
      </c>
      <c r="K96" s="102" t="n">
        <f aca="false">IF(B96="","",YEAR(B96))</f>
        <v>2026</v>
      </c>
      <c r="L96" s="102" t="str">
        <f aca="false">IF(N(E96)=0,"",IF(COUNTIFS(AK_NAMA,C96,AK_KAT,"KAS")+COUNTIFS(AK_NAMA,D96,AK_KAT,"KAS")&lt;&gt;1,"",IF(COUNTIFS(AK_NAMA,C96,AK_KAT,"KAS")=1,D96,C96)))</f>
        <v>Biaya Penyajian</v>
      </c>
      <c r="M96" s="103" t="n">
        <f aca="false">IF(L96="",0,IF(L96=D96,E96,-E96))</f>
        <v>-500000</v>
      </c>
      <c r="N96" s="102" t="str">
        <f aca="false">IF(L96="","",IFERROR(INDEX(AK_BARIS,MATCH(L96,AK_NAMA,0)),"?"))</f>
        <v>OP3</v>
      </c>
      <c r="O96" s="102" t="str">
        <f aca="false">IF(C96="","",IFERROR(INDEX(AK_KEL,MATCH(C96,AK_NAMA,0)),"?"))</f>
        <v>BEBAN</v>
      </c>
      <c r="P96" s="102" t="str">
        <f aca="false">IF(D96="","",IFERROR(INDEX(AK_KEL,MATCH(D96,AK_NAMA,0)),"?"))</f>
        <v>ASET</v>
      </c>
      <c r="Q96" s="102" t="n">
        <f aca="false">N(Q95)+IF(AND(N(E96)&lt;&gt;0,K96=TAHUN,N(J96)&lt;=BLN,OR(C96=BB_AKUN,D96=BB_AKUN)),1,0)</f>
        <v>56</v>
      </c>
      <c r="R96" s="104" t="str">
        <f aca="false">IF(OR(C96&amp;D96="",N(E96)=0),"",IF(OR(O96="?",P96="?"),"⚠ akun tidak dikenal",IF(C96=D96,"⚠ debet = kredit","")))</f>
        <v/>
      </c>
    </row>
    <row r="97" customFormat="false" ht="15" hidden="false" customHeight="false" outlineLevel="0" collapsed="false">
      <c r="A97" s="82" t="s">
        <v>640</v>
      </c>
      <c r="B97" s="101" t="n">
        <v>46041</v>
      </c>
      <c r="C97" s="82" t="s">
        <v>470</v>
      </c>
      <c r="D97" s="82" t="s">
        <v>461</v>
      </c>
      <c r="E97" s="91" t="n">
        <v>246000</v>
      </c>
      <c r="F97" s="82" t="s">
        <v>641</v>
      </c>
      <c r="G97" s="82"/>
      <c r="H97" s="82"/>
      <c r="I97" s="82" t="s">
        <v>250</v>
      </c>
      <c r="J97" s="102" t="n">
        <f aca="false">IF(B97="","",MONTH(B97))</f>
        <v>1</v>
      </c>
      <c r="K97" s="102" t="n">
        <f aca="false">IF(B97="","",YEAR(B97))</f>
        <v>2026</v>
      </c>
      <c r="L97" s="102" t="str">
        <f aca="false">IF(N(E97)=0,"",IF(COUNTIFS(AK_NAMA,C97,AK_KAT,"KAS")+COUNTIFS(AK_NAMA,D97,AK_KAT,"KAS")&lt;&gt;1,"",IF(COUNTIFS(AK_NAMA,C97,AK_KAT,"KAS")=1,D97,C97)))</f>
        <v>Biaya Bahan Baku</v>
      </c>
      <c r="M97" s="103" t="n">
        <f aca="false">IF(L97="",0,IF(L97=D97,E97,-E97))</f>
        <v>-246000</v>
      </c>
      <c r="N97" s="102" t="str">
        <f aca="false">IF(L97="","",IFERROR(INDEX(AK_BARIS,MATCH(L97,AK_NAMA,0)),"?"))</f>
        <v>OP3</v>
      </c>
      <c r="O97" s="102" t="str">
        <f aca="false">IF(C97="","",IFERROR(INDEX(AK_KEL,MATCH(C97,AK_NAMA,0)),"?"))</f>
        <v>BEBAN</v>
      </c>
      <c r="P97" s="102" t="str">
        <f aca="false">IF(D97="","",IFERROR(INDEX(AK_KEL,MATCH(D97,AK_NAMA,0)),"?"))</f>
        <v>ASET</v>
      </c>
      <c r="Q97" s="102" t="n">
        <f aca="false">N(Q96)+IF(AND(N(E97)&lt;&gt;0,K97=TAHUN,N(J97)&lt;=BLN,OR(C97=BB_AKUN,D97=BB_AKUN)),1,0)</f>
        <v>57</v>
      </c>
      <c r="R97" s="104" t="str">
        <f aca="false">IF(OR(C97&amp;D97="",N(E97)=0),"",IF(OR(O97="?",P97="?"),"⚠ akun tidak dikenal",IF(C97=D97,"⚠ debet = kredit","")))</f>
        <v/>
      </c>
    </row>
    <row r="98" customFormat="false" ht="15" hidden="false" customHeight="false" outlineLevel="0" collapsed="false">
      <c r="A98" s="82" t="s">
        <v>642</v>
      </c>
      <c r="B98" s="101" t="n">
        <v>46041</v>
      </c>
      <c r="C98" s="82" t="s">
        <v>460</v>
      </c>
      <c r="D98" s="82" t="s">
        <v>461</v>
      </c>
      <c r="E98" s="91" t="n">
        <v>1250000</v>
      </c>
      <c r="F98" s="82" t="s">
        <v>643</v>
      </c>
      <c r="G98" s="82" t="s">
        <v>387</v>
      </c>
      <c r="H98" s="82"/>
      <c r="I98" s="82" t="s">
        <v>250</v>
      </c>
      <c r="J98" s="102" t="n">
        <f aca="false">IF(B98="","",MONTH(B98))</f>
        <v>1</v>
      </c>
      <c r="K98" s="102" t="n">
        <f aca="false">IF(B98="","",YEAR(B98))</f>
        <v>2026</v>
      </c>
      <c r="L98" s="102" t="str">
        <f aca="false">IF(N(E98)=0,"",IF(COUNTIFS(AK_NAMA,C98,AK_KAT,"KAS")+COUNTIFS(AK_NAMA,D98,AK_KAT,"KAS")&lt;&gt;1,"",IF(COUNTIFS(AK_NAMA,C98,AK_KAT,"KAS")=1,D98,C98)))</f>
        <v>Biaya Marketing &amp; Promosi</v>
      </c>
      <c r="M98" s="103" t="n">
        <f aca="false">IF(L98="",0,IF(L98=D98,E98,-E98))</f>
        <v>-1250000</v>
      </c>
      <c r="N98" s="102" t="str">
        <f aca="false">IF(L98="","",IFERROR(INDEX(AK_BARIS,MATCH(L98,AK_NAMA,0)),"?"))</f>
        <v>OP6</v>
      </c>
      <c r="O98" s="102" t="str">
        <f aca="false">IF(C98="","",IFERROR(INDEX(AK_KEL,MATCH(C98,AK_NAMA,0)),"?"))</f>
        <v>BEBAN</v>
      </c>
      <c r="P98" s="102" t="str">
        <f aca="false">IF(D98="","",IFERROR(INDEX(AK_KEL,MATCH(D98,AK_NAMA,0)),"?"))</f>
        <v>ASET</v>
      </c>
      <c r="Q98" s="102" t="n">
        <f aca="false">N(Q97)+IF(AND(N(E98)&lt;&gt;0,K98=TAHUN,N(J98)&lt;=BLN,OR(C98=BB_AKUN,D98=BB_AKUN)),1,0)</f>
        <v>58</v>
      </c>
      <c r="R98" s="104" t="str">
        <f aca="false">IF(OR(C98&amp;D98="",N(E98)=0),"",IF(OR(O98="?",P98="?"),"⚠ akun tidak dikenal",IF(C98=D98,"⚠ debet = kredit","")))</f>
        <v/>
      </c>
    </row>
    <row r="99" customFormat="false" ht="15" hidden="false" customHeight="false" outlineLevel="0" collapsed="false">
      <c r="A99" s="82" t="s">
        <v>644</v>
      </c>
      <c r="B99" s="101" t="n">
        <v>46042</v>
      </c>
      <c r="C99" s="82" t="s">
        <v>455</v>
      </c>
      <c r="D99" s="82" t="s">
        <v>461</v>
      </c>
      <c r="E99" s="91" t="n">
        <v>490000</v>
      </c>
      <c r="F99" s="82" t="s">
        <v>645</v>
      </c>
      <c r="G99" s="82"/>
      <c r="H99" s="82"/>
      <c r="I99" s="82" t="s">
        <v>250</v>
      </c>
      <c r="J99" s="102" t="n">
        <f aca="false">IF(B99="","",MONTH(B99))</f>
        <v>1</v>
      </c>
      <c r="K99" s="102" t="n">
        <f aca="false">IF(B99="","",YEAR(B99))</f>
        <v>2026</v>
      </c>
      <c r="L99" s="102" t="str">
        <f aca="false">IF(N(E99)=0,"",IF(COUNTIFS(AK_NAMA,C99,AK_KAT,"KAS")+COUNTIFS(AK_NAMA,D99,AK_KAT,"KAS")&lt;&gt;1,"",IF(COUNTIFS(AK_NAMA,C99,AK_KAT,"KAS")=1,D99,C99)))</f>
        <v>Biaya Pemeliharaan</v>
      </c>
      <c r="M99" s="103" t="n">
        <f aca="false">IF(L99="",0,IF(L99=D99,E99,-E99))</f>
        <v>-490000</v>
      </c>
      <c r="N99" s="102" t="str">
        <f aca="false">IF(L99="","",IFERROR(INDEX(AK_BARIS,MATCH(L99,AK_NAMA,0)),"?"))</f>
        <v>OP6</v>
      </c>
      <c r="O99" s="102" t="str">
        <f aca="false">IF(C99="","",IFERROR(INDEX(AK_KEL,MATCH(C99,AK_NAMA,0)),"?"))</f>
        <v>BEBAN</v>
      </c>
      <c r="P99" s="102" t="str">
        <f aca="false">IF(D99="","",IFERROR(INDEX(AK_KEL,MATCH(D99,AK_NAMA,0)),"?"))</f>
        <v>ASET</v>
      </c>
      <c r="Q99" s="102" t="n">
        <f aca="false">N(Q98)+IF(AND(N(E99)&lt;&gt;0,K99=TAHUN,N(J99)&lt;=BLN,OR(C99=BB_AKUN,D99=BB_AKUN)),1,0)</f>
        <v>59</v>
      </c>
      <c r="R99" s="104" t="str">
        <f aca="false">IF(OR(C99&amp;D99="",N(E99)=0),"",IF(OR(O99="?",P99="?"),"⚠ akun tidak dikenal",IF(C99=D99,"⚠ debet = kredit","")))</f>
        <v/>
      </c>
    </row>
    <row r="100" customFormat="false" ht="15" hidden="false" customHeight="false" outlineLevel="0" collapsed="false">
      <c r="A100" s="82" t="s">
        <v>646</v>
      </c>
      <c r="B100" s="101" t="n">
        <v>46042</v>
      </c>
      <c r="C100" s="82" t="s">
        <v>485</v>
      </c>
      <c r="D100" s="82" t="s">
        <v>461</v>
      </c>
      <c r="E100" s="91" t="n">
        <v>119900</v>
      </c>
      <c r="F100" s="82" t="s">
        <v>647</v>
      </c>
      <c r="G100" s="82"/>
      <c r="H100" s="82"/>
      <c r="I100" s="82" t="s">
        <v>250</v>
      </c>
      <c r="J100" s="102" t="n">
        <f aca="false">IF(B100="","",MONTH(B100))</f>
        <v>1</v>
      </c>
      <c r="K100" s="102" t="n">
        <f aca="false">IF(B100="","",YEAR(B100))</f>
        <v>2026</v>
      </c>
      <c r="L100" s="102" t="str">
        <f aca="false">IF(N(E100)=0,"",IF(COUNTIFS(AK_NAMA,C100,AK_KAT,"KAS")+COUNTIFS(AK_NAMA,D100,AK_KAT,"KAS")&lt;&gt;1,"",IF(COUNTIFS(AK_NAMA,C100,AK_KAT,"KAS")=1,D100,C100)))</f>
        <v>Biaya Operasional Harian</v>
      </c>
      <c r="M100" s="103" t="n">
        <f aca="false">IF(L100="",0,IF(L100=D100,E100,-E100))</f>
        <v>-119900</v>
      </c>
      <c r="N100" s="102" t="str">
        <f aca="false">IF(L100="","",IFERROR(INDEX(AK_BARIS,MATCH(L100,AK_NAMA,0)),"?"))</f>
        <v>OP6</v>
      </c>
      <c r="O100" s="102" t="str">
        <f aca="false">IF(C100="","",IFERROR(INDEX(AK_KEL,MATCH(C100,AK_NAMA,0)),"?"))</f>
        <v>BEBAN</v>
      </c>
      <c r="P100" s="102" t="str">
        <f aca="false">IF(D100="","",IFERROR(INDEX(AK_KEL,MATCH(D100,AK_NAMA,0)),"?"))</f>
        <v>ASET</v>
      </c>
      <c r="Q100" s="102" t="n">
        <f aca="false">N(Q99)+IF(AND(N(E100)&lt;&gt;0,K100=TAHUN,N(J100)&lt;=BLN,OR(C100=BB_AKUN,D100=BB_AKUN)),1,0)</f>
        <v>60</v>
      </c>
      <c r="R100" s="104" t="str">
        <f aca="false">IF(OR(C100&amp;D100="",N(E100)=0),"",IF(OR(O100="?",P100="?"),"⚠ akun tidak dikenal",IF(C100=D100,"⚠ debet = kredit","")))</f>
        <v/>
      </c>
    </row>
    <row r="101" customFormat="false" ht="15" hidden="false" customHeight="false" outlineLevel="0" collapsed="false">
      <c r="A101" s="82" t="s">
        <v>648</v>
      </c>
      <c r="B101" s="101" t="n">
        <v>46042</v>
      </c>
      <c r="C101" s="82" t="s">
        <v>524</v>
      </c>
      <c r="D101" s="82" t="s">
        <v>461</v>
      </c>
      <c r="E101" s="91" t="n">
        <v>1000</v>
      </c>
      <c r="F101" s="82" t="s">
        <v>649</v>
      </c>
      <c r="G101" s="82"/>
      <c r="H101" s="82"/>
      <c r="I101" s="82" t="s">
        <v>250</v>
      </c>
      <c r="J101" s="102" t="n">
        <f aca="false">IF(B101="","",MONTH(B101))</f>
        <v>1</v>
      </c>
      <c r="K101" s="102" t="n">
        <f aca="false">IF(B101="","",YEAR(B101))</f>
        <v>2026</v>
      </c>
      <c r="L101" s="102" t="str">
        <f aca="false">IF(N(E101)=0,"",IF(COUNTIFS(AK_NAMA,C101,AK_KAT,"KAS")+COUNTIFS(AK_NAMA,D101,AK_KAT,"KAS")&lt;&gt;1,"",IF(COUNTIFS(AK_NAMA,C101,AK_KAT,"KAS")=1,D101,C101)))</f>
        <v>Biaya Lainnya</v>
      </c>
      <c r="M101" s="103" t="n">
        <f aca="false">IF(L101="",0,IF(L101=D101,E101,-E101))</f>
        <v>-1000</v>
      </c>
      <c r="N101" s="102" t="str">
        <f aca="false">IF(L101="","",IFERROR(INDEX(AK_BARIS,MATCH(L101,AK_NAMA,0)),"?"))</f>
        <v>OP2</v>
      </c>
      <c r="O101" s="102" t="str">
        <f aca="false">IF(C101="","",IFERROR(INDEX(AK_KEL,MATCH(C101,AK_NAMA,0)),"?"))</f>
        <v>BEBAN</v>
      </c>
      <c r="P101" s="102" t="str">
        <f aca="false">IF(D101="","",IFERROR(INDEX(AK_KEL,MATCH(D101,AK_NAMA,0)),"?"))</f>
        <v>ASET</v>
      </c>
      <c r="Q101" s="102" t="n">
        <f aca="false">N(Q100)+IF(AND(N(E101)&lt;&gt;0,K101=TAHUN,N(J101)&lt;=BLN,OR(C101=BB_AKUN,D101=BB_AKUN)),1,0)</f>
        <v>61</v>
      </c>
      <c r="R101" s="104" t="str">
        <f aca="false">IF(OR(C101&amp;D101="",N(E101)=0),"",IF(OR(O101="?",P101="?"),"⚠ akun tidak dikenal",IF(C101=D101,"⚠ debet = kredit","")))</f>
        <v/>
      </c>
    </row>
    <row r="102" customFormat="false" ht="15" hidden="false" customHeight="false" outlineLevel="0" collapsed="false">
      <c r="A102" s="82" t="s">
        <v>650</v>
      </c>
      <c r="B102" s="101" t="n">
        <v>46042</v>
      </c>
      <c r="C102" s="82" t="s">
        <v>460</v>
      </c>
      <c r="D102" s="82" t="s">
        <v>461</v>
      </c>
      <c r="E102" s="91" t="n">
        <v>8642736</v>
      </c>
      <c r="F102" s="82" t="s">
        <v>651</v>
      </c>
      <c r="G102" s="82" t="s">
        <v>387</v>
      </c>
      <c r="H102" s="82"/>
      <c r="I102" s="82" t="s">
        <v>250</v>
      </c>
      <c r="J102" s="102" t="n">
        <f aca="false">IF(B102="","",MONTH(B102))</f>
        <v>1</v>
      </c>
      <c r="K102" s="102" t="n">
        <f aca="false">IF(B102="","",YEAR(B102))</f>
        <v>2026</v>
      </c>
      <c r="L102" s="102" t="str">
        <f aca="false">IF(N(E102)=0,"",IF(COUNTIFS(AK_NAMA,C102,AK_KAT,"KAS")+COUNTIFS(AK_NAMA,D102,AK_KAT,"KAS")&lt;&gt;1,"",IF(COUNTIFS(AK_NAMA,C102,AK_KAT,"KAS")=1,D102,C102)))</f>
        <v>Biaya Marketing &amp; Promosi</v>
      </c>
      <c r="M102" s="103" t="n">
        <f aca="false">IF(L102="",0,IF(L102=D102,E102,-E102))</f>
        <v>-8642736</v>
      </c>
      <c r="N102" s="102" t="str">
        <f aca="false">IF(L102="","",IFERROR(INDEX(AK_BARIS,MATCH(L102,AK_NAMA,0)),"?"))</f>
        <v>OP6</v>
      </c>
      <c r="O102" s="102" t="str">
        <f aca="false">IF(C102="","",IFERROR(INDEX(AK_KEL,MATCH(C102,AK_NAMA,0)),"?"))</f>
        <v>BEBAN</v>
      </c>
      <c r="P102" s="102" t="str">
        <f aca="false">IF(D102="","",IFERROR(INDEX(AK_KEL,MATCH(D102,AK_NAMA,0)),"?"))</f>
        <v>ASET</v>
      </c>
      <c r="Q102" s="102" t="n">
        <f aca="false">N(Q101)+IF(AND(N(E102)&lt;&gt;0,K102=TAHUN,N(J102)&lt;=BLN,OR(C102=BB_AKUN,D102=BB_AKUN)),1,0)</f>
        <v>62</v>
      </c>
      <c r="R102" s="104" t="str">
        <f aca="false">IF(OR(C102&amp;D102="",N(E102)=0),"",IF(OR(O102="?",P102="?"),"⚠ akun tidak dikenal",IF(C102=D102,"⚠ debet = kredit","")))</f>
        <v/>
      </c>
    </row>
    <row r="103" customFormat="false" ht="15" hidden="false" customHeight="false" outlineLevel="0" collapsed="false">
      <c r="A103" s="82" t="s">
        <v>652</v>
      </c>
      <c r="B103" s="101" t="n">
        <v>46042</v>
      </c>
      <c r="C103" s="82" t="s">
        <v>524</v>
      </c>
      <c r="D103" s="82" t="s">
        <v>461</v>
      </c>
      <c r="E103" s="91" t="n">
        <v>2325</v>
      </c>
      <c r="F103" s="82" t="s">
        <v>525</v>
      </c>
      <c r="G103" s="82"/>
      <c r="H103" s="82"/>
      <c r="I103" s="82" t="s">
        <v>250</v>
      </c>
      <c r="J103" s="102" t="n">
        <f aca="false">IF(B103="","",MONTH(B103))</f>
        <v>1</v>
      </c>
      <c r="K103" s="102" t="n">
        <f aca="false">IF(B103="","",YEAR(B103))</f>
        <v>2026</v>
      </c>
      <c r="L103" s="102" t="str">
        <f aca="false">IF(N(E103)=0,"",IF(COUNTIFS(AK_NAMA,C103,AK_KAT,"KAS")+COUNTIFS(AK_NAMA,D103,AK_KAT,"KAS")&lt;&gt;1,"",IF(COUNTIFS(AK_NAMA,C103,AK_KAT,"KAS")=1,D103,C103)))</f>
        <v>Biaya Lainnya</v>
      </c>
      <c r="M103" s="103" t="n">
        <f aca="false">IF(L103="",0,IF(L103=D103,E103,-E103))</f>
        <v>-2325</v>
      </c>
      <c r="N103" s="102" t="str">
        <f aca="false">IF(L103="","",IFERROR(INDEX(AK_BARIS,MATCH(L103,AK_NAMA,0)),"?"))</f>
        <v>OP2</v>
      </c>
      <c r="O103" s="102" t="str">
        <f aca="false">IF(C103="","",IFERROR(INDEX(AK_KEL,MATCH(C103,AK_NAMA,0)),"?"))</f>
        <v>BEBAN</v>
      </c>
      <c r="P103" s="102" t="str">
        <f aca="false">IF(D103="","",IFERROR(INDEX(AK_KEL,MATCH(D103,AK_NAMA,0)),"?"))</f>
        <v>ASET</v>
      </c>
      <c r="Q103" s="102" t="n">
        <f aca="false">N(Q102)+IF(AND(N(E103)&lt;&gt;0,K103=TAHUN,N(J103)&lt;=BLN,OR(C103=BB_AKUN,D103=BB_AKUN)),1,0)</f>
        <v>63</v>
      </c>
      <c r="R103" s="104" t="str">
        <f aca="false">IF(OR(C103&amp;D103="",N(E103)=0),"",IF(OR(O103="?",P103="?"),"⚠ akun tidak dikenal",IF(C103=D103,"⚠ debet = kredit","")))</f>
        <v/>
      </c>
    </row>
    <row r="104" customFormat="false" ht="15" hidden="false" customHeight="false" outlineLevel="0" collapsed="false">
      <c r="A104" s="82" t="s">
        <v>653</v>
      </c>
      <c r="B104" s="101" t="n">
        <v>46043</v>
      </c>
      <c r="C104" s="82" t="s">
        <v>461</v>
      </c>
      <c r="D104" s="82" t="s">
        <v>475</v>
      </c>
      <c r="E104" s="91" t="n">
        <v>1000000</v>
      </c>
      <c r="F104" s="82" t="s">
        <v>560</v>
      </c>
      <c r="G104" s="82"/>
      <c r="H104" s="82"/>
      <c r="I104" s="82" t="s">
        <v>250</v>
      </c>
      <c r="J104" s="102" t="n">
        <f aca="false">IF(B104="","",MONTH(B104))</f>
        <v>1</v>
      </c>
      <c r="K104" s="102" t="n">
        <f aca="false">IF(B104="","",YEAR(B104))</f>
        <v>2026</v>
      </c>
      <c r="L104" s="102" t="str">
        <f aca="false">IF(N(E104)=0,"",IF(COUNTIFS(AK_NAMA,C104,AK_KAT,"KAS")+COUNTIFS(AK_NAMA,D104,AK_KAT,"KAS")&lt;&gt;1,"",IF(COUNTIFS(AK_NAMA,C104,AK_KAT,"KAS")=1,D104,C104)))</f>
        <v/>
      </c>
      <c r="M104" s="103" t="n">
        <f aca="false">IF(L104="",0,IF(L104=D104,E104,-E104))</f>
        <v>0</v>
      </c>
      <c r="N104" s="102" t="str">
        <f aca="false">IF(L104="","",IFERROR(INDEX(AK_BARIS,MATCH(L104,AK_NAMA,0)),"?"))</f>
        <v/>
      </c>
      <c r="O104" s="102" t="str">
        <f aca="false">IF(C104="","",IFERROR(INDEX(AK_KEL,MATCH(C104,AK_NAMA,0)),"?"))</f>
        <v>ASET</v>
      </c>
      <c r="P104" s="102" t="str">
        <f aca="false">IF(D104="","",IFERROR(INDEX(AK_KEL,MATCH(D104,AK_NAMA,0)),"?"))</f>
        <v>ASET</v>
      </c>
      <c r="Q104" s="102" t="n">
        <f aca="false">N(Q103)+IF(AND(N(E104)&lt;&gt;0,K104=TAHUN,N(J104)&lt;=BLN,OR(C104=BB_AKUN,D104=BB_AKUN)),1,0)</f>
        <v>64</v>
      </c>
      <c r="R104" s="104" t="str">
        <f aca="false">IF(OR(C104&amp;D104="",N(E104)=0),"",IF(OR(O104="?",P104="?"),"⚠ akun tidak dikenal",IF(C104=D104,"⚠ debet = kredit","")))</f>
        <v/>
      </c>
    </row>
    <row r="105" customFormat="false" ht="15" hidden="false" customHeight="false" outlineLevel="0" collapsed="false">
      <c r="A105" s="82" t="s">
        <v>654</v>
      </c>
      <c r="B105" s="101" t="n">
        <v>46043</v>
      </c>
      <c r="C105" s="82" t="s">
        <v>470</v>
      </c>
      <c r="D105" s="82" t="s">
        <v>461</v>
      </c>
      <c r="E105" s="91" t="n">
        <v>494000</v>
      </c>
      <c r="F105" s="82" t="s">
        <v>655</v>
      </c>
      <c r="G105" s="82"/>
      <c r="H105" s="82"/>
      <c r="I105" s="82" t="s">
        <v>250</v>
      </c>
      <c r="J105" s="102" t="n">
        <f aca="false">IF(B105="","",MONTH(B105))</f>
        <v>1</v>
      </c>
      <c r="K105" s="102" t="n">
        <f aca="false">IF(B105="","",YEAR(B105))</f>
        <v>2026</v>
      </c>
      <c r="L105" s="102" t="str">
        <f aca="false">IF(N(E105)=0,"",IF(COUNTIFS(AK_NAMA,C105,AK_KAT,"KAS")+COUNTIFS(AK_NAMA,D105,AK_KAT,"KAS")&lt;&gt;1,"",IF(COUNTIFS(AK_NAMA,C105,AK_KAT,"KAS")=1,D105,C105)))</f>
        <v>Biaya Bahan Baku</v>
      </c>
      <c r="M105" s="103" t="n">
        <f aca="false">IF(L105="",0,IF(L105=D105,E105,-E105))</f>
        <v>-494000</v>
      </c>
      <c r="N105" s="102" t="str">
        <f aca="false">IF(L105="","",IFERROR(INDEX(AK_BARIS,MATCH(L105,AK_NAMA,0)),"?"))</f>
        <v>OP3</v>
      </c>
      <c r="O105" s="102" t="str">
        <f aca="false">IF(C105="","",IFERROR(INDEX(AK_KEL,MATCH(C105,AK_NAMA,0)),"?"))</f>
        <v>BEBAN</v>
      </c>
      <c r="P105" s="102" t="str">
        <f aca="false">IF(D105="","",IFERROR(INDEX(AK_KEL,MATCH(D105,AK_NAMA,0)),"?"))</f>
        <v>ASET</v>
      </c>
      <c r="Q105" s="102" t="n">
        <f aca="false">N(Q104)+IF(AND(N(E105)&lt;&gt;0,K105=TAHUN,N(J105)&lt;=BLN,OR(C105=BB_AKUN,D105=BB_AKUN)),1,0)</f>
        <v>65</v>
      </c>
      <c r="R105" s="104" t="str">
        <f aca="false">IF(OR(C105&amp;D105="",N(E105)=0),"",IF(OR(O105="?",P105="?"),"⚠ akun tidak dikenal",IF(C105=D105,"⚠ debet = kredit","")))</f>
        <v/>
      </c>
    </row>
    <row r="106" customFormat="false" ht="15" hidden="false" customHeight="false" outlineLevel="0" collapsed="false">
      <c r="A106" s="82" t="s">
        <v>656</v>
      </c>
      <c r="B106" s="101" t="n">
        <v>46043</v>
      </c>
      <c r="C106" s="82" t="s">
        <v>460</v>
      </c>
      <c r="D106" s="82" t="s">
        <v>461</v>
      </c>
      <c r="E106" s="91" t="n">
        <v>5800000</v>
      </c>
      <c r="F106" s="82" t="s">
        <v>657</v>
      </c>
      <c r="G106" s="82" t="s">
        <v>387</v>
      </c>
      <c r="H106" s="82"/>
      <c r="I106" s="82" t="s">
        <v>250</v>
      </c>
      <c r="J106" s="102" t="n">
        <f aca="false">IF(B106="","",MONTH(B106))</f>
        <v>1</v>
      </c>
      <c r="K106" s="102" t="n">
        <f aca="false">IF(B106="","",YEAR(B106))</f>
        <v>2026</v>
      </c>
      <c r="L106" s="102" t="str">
        <f aca="false">IF(N(E106)=0,"",IF(COUNTIFS(AK_NAMA,C106,AK_KAT,"KAS")+COUNTIFS(AK_NAMA,D106,AK_KAT,"KAS")&lt;&gt;1,"",IF(COUNTIFS(AK_NAMA,C106,AK_KAT,"KAS")=1,D106,C106)))</f>
        <v>Biaya Marketing &amp; Promosi</v>
      </c>
      <c r="M106" s="103" t="n">
        <f aca="false">IF(L106="",0,IF(L106=D106,E106,-E106))</f>
        <v>-5800000</v>
      </c>
      <c r="N106" s="102" t="str">
        <f aca="false">IF(L106="","",IFERROR(INDEX(AK_BARIS,MATCH(L106,AK_NAMA,0)),"?"))</f>
        <v>OP6</v>
      </c>
      <c r="O106" s="102" t="str">
        <f aca="false">IF(C106="","",IFERROR(INDEX(AK_KEL,MATCH(C106,AK_NAMA,0)),"?"))</f>
        <v>BEBAN</v>
      </c>
      <c r="P106" s="102" t="str">
        <f aca="false">IF(D106="","",IFERROR(INDEX(AK_KEL,MATCH(D106,AK_NAMA,0)),"?"))</f>
        <v>ASET</v>
      </c>
      <c r="Q106" s="102" t="n">
        <f aca="false">N(Q105)+IF(AND(N(E106)&lt;&gt;0,K106=TAHUN,N(J106)&lt;=BLN,OR(C106=BB_AKUN,D106=BB_AKUN)),1,0)</f>
        <v>66</v>
      </c>
      <c r="R106" s="104" t="str">
        <f aca="false">IF(OR(C106&amp;D106="",N(E106)=0),"",IF(OR(O106="?",P106="?"),"⚠ akun tidak dikenal",IF(C106=D106,"⚠ debet = kredit","")))</f>
        <v/>
      </c>
    </row>
    <row r="107" customFormat="false" ht="15" hidden="false" customHeight="false" outlineLevel="0" collapsed="false">
      <c r="A107" s="82" t="s">
        <v>658</v>
      </c>
      <c r="B107" s="101" t="n">
        <v>46043</v>
      </c>
      <c r="C107" s="82" t="s">
        <v>524</v>
      </c>
      <c r="D107" s="82" t="s">
        <v>461</v>
      </c>
      <c r="E107" s="91" t="n">
        <v>2326</v>
      </c>
      <c r="F107" s="82" t="s">
        <v>525</v>
      </c>
      <c r="G107" s="82"/>
      <c r="H107" s="82"/>
      <c r="I107" s="82" t="s">
        <v>250</v>
      </c>
      <c r="J107" s="102" t="n">
        <f aca="false">IF(B107="","",MONTH(B107))</f>
        <v>1</v>
      </c>
      <c r="K107" s="102" t="n">
        <f aca="false">IF(B107="","",YEAR(B107))</f>
        <v>2026</v>
      </c>
      <c r="L107" s="102" t="str">
        <f aca="false">IF(N(E107)=0,"",IF(COUNTIFS(AK_NAMA,C107,AK_KAT,"KAS")+COUNTIFS(AK_NAMA,D107,AK_KAT,"KAS")&lt;&gt;1,"",IF(COUNTIFS(AK_NAMA,C107,AK_KAT,"KAS")=1,D107,C107)))</f>
        <v>Biaya Lainnya</v>
      </c>
      <c r="M107" s="103" t="n">
        <f aca="false">IF(L107="",0,IF(L107=D107,E107,-E107))</f>
        <v>-2326</v>
      </c>
      <c r="N107" s="102" t="str">
        <f aca="false">IF(L107="","",IFERROR(INDEX(AK_BARIS,MATCH(L107,AK_NAMA,0)),"?"))</f>
        <v>OP2</v>
      </c>
      <c r="O107" s="102" t="str">
        <f aca="false">IF(C107="","",IFERROR(INDEX(AK_KEL,MATCH(C107,AK_NAMA,0)),"?"))</f>
        <v>BEBAN</v>
      </c>
      <c r="P107" s="102" t="str">
        <f aca="false">IF(D107="","",IFERROR(INDEX(AK_KEL,MATCH(D107,AK_NAMA,0)),"?"))</f>
        <v>ASET</v>
      </c>
      <c r="Q107" s="102" t="n">
        <f aca="false">N(Q106)+IF(AND(N(E107)&lt;&gt;0,K107=TAHUN,N(J107)&lt;=BLN,OR(C107=BB_AKUN,D107=BB_AKUN)),1,0)</f>
        <v>67</v>
      </c>
      <c r="R107" s="104" t="str">
        <f aca="false">IF(OR(C107&amp;D107="",N(E107)=0),"",IF(OR(O107="?",P107="?"),"⚠ akun tidak dikenal",IF(C107=D107,"⚠ debet = kredit","")))</f>
        <v/>
      </c>
    </row>
    <row r="108" customFormat="false" ht="15" hidden="false" customHeight="false" outlineLevel="0" collapsed="false">
      <c r="A108" s="82" t="s">
        <v>659</v>
      </c>
      <c r="B108" s="101" t="n">
        <v>46044</v>
      </c>
      <c r="C108" s="82" t="s">
        <v>461</v>
      </c>
      <c r="D108" s="82" t="s">
        <v>475</v>
      </c>
      <c r="E108" s="91" t="n">
        <v>500000</v>
      </c>
      <c r="F108" s="82" t="s">
        <v>560</v>
      </c>
      <c r="G108" s="82"/>
      <c r="H108" s="82"/>
      <c r="I108" s="82" t="s">
        <v>250</v>
      </c>
      <c r="J108" s="102" t="n">
        <f aca="false">IF(B108="","",MONTH(B108))</f>
        <v>1</v>
      </c>
      <c r="K108" s="102" t="n">
        <f aca="false">IF(B108="","",YEAR(B108))</f>
        <v>2026</v>
      </c>
      <c r="L108" s="102" t="str">
        <f aca="false">IF(N(E108)=0,"",IF(COUNTIFS(AK_NAMA,C108,AK_KAT,"KAS")+COUNTIFS(AK_NAMA,D108,AK_KAT,"KAS")&lt;&gt;1,"",IF(COUNTIFS(AK_NAMA,C108,AK_KAT,"KAS")=1,D108,C108)))</f>
        <v/>
      </c>
      <c r="M108" s="103" t="n">
        <f aca="false">IF(L108="",0,IF(L108=D108,E108,-E108))</f>
        <v>0</v>
      </c>
      <c r="N108" s="102" t="str">
        <f aca="false">IF(L108="","",IFERROR(INDEX(AK_BARIS,MATCH(L108,AK_NAMA,0)),"?"))</f>
        <v/>
      </c>
      <c r="O108" s="102" t="str">
        <f aca="false">IF(C108="","",IFERROR(INDEX(AK_KEL,MATCH(C108,AK_NAMA,0)),"?"))</f>
        <v>ASET</v>
      </c>
      <c r="P108" s="102" t="str">
        <f aca="false">IF(D108="","",IFERROR(INDEX(AK_KEL,MATCH(D108,AK_NAMA,0)),"?"))</f>
        <v>ASET</v>
      </c>
      <c r="Q108" s="102" t="n">
        <f aca="false">N(Q107)+IF(AND(N(E108)&lt;&gt;0,K108=TAHUN,N(J108)&lt;=BLN,OR(C108=BB_AKUN,D108=BB_AKUN)),1,0)</f>
        <v>68</v>
      </c>
      <c r="R108" s="104" t="str">
        <f aca="false">IF(OR(C108&amp;D108="",N(E108)=0),"",IF(OR(O108="?",P108="?"),"⚠ akun tidak dikenal",IF(C108=D108,"⚠ debet = kredit","")))</f>
        <v/>
      </c>
    </row>
    <row r="109" customFormat="false" ht="15" hidden="false" customHeight="false" outlineLevel="0" collapsed="false">
      <c r="A109" s="82" t="s">
        <v>660</v>
      </c>
      <c r="B109" s="101" t="n">
        <v>46044</v>
      </c>
      <c r="C109" s="82" t="s">
        <v>470</v>
      </c>
      <c r="D109" s="82" t="s">
        <v>461</v>
      </c>
      <c r="E109" s="91" t="n">
        <v>144000</v>
      </c>
      <c r="F109" s="82" t="s">
        <v>661</v>
      </c>
      <c r="G109" s="82"/>
      <c r="H109" s="82"/>
      <c r="I109" s="82" t="s">
        <v>250</v>
      </c>
      <c r="J109" s="102" t="n">
        <f aca="false">IF(B109="","",MONTH(B109))</f>
        <v>1</v>
      </c>
      <c r="K109" s="102" t="n">
        <f aca="false">IF(B109="","",YEAR(B109))</f>
        <v>2026</v>
      </c>
      <c r="L109" s="102" t="str">
        <f aca="false">IF(N(E109)=0,"",IF(COUNTIFS(AK_NAMA,C109,AK_KAT,"KAS")+COUNTIFS(AK_NAMA,D109,AK_KAT,"KAS")&lt;&gt;1,"",IF(COUNTIFS(AK_NAMA,C109,AK_KAT,"KAS")=1,D109,C109)))</f>
        <v>Biaya Bahan Baku</v>
      </c>
      <c r="M109" s="103" t="n">
        <f aca="false">IF(L109="",0,IF(L109=D109,E109,-E109))</f>
        <v>-144000</v>
      </c>
      <c r="N109" s="102" t="str">
        <f aca="false">IF(L109="","",IFERROR(INDEX(AK_BARIS,MATCH(L109,AK_NAMA,0)),"?"))</f>
        <v>OP3</v>
      </c>
      <c r="O109" s="102" t="str">
        <f aca="false">IF(C109="","",IFERROR(INDEX(AK_KEL,MATCH(C109,AK_NAMA,0)),"?"))</f>
        <v>BEBAN</v>
      </c>
      <c r="P109" s="102" t="str">
        <f aca="false">IF(D109="","",IFERROR(INDEX(AK_KEL,MATCH(D109,AK_NAMA,0)),"?"))</f>
        <v>ASET</v>
      </c>
      <c r="Q109" s="102" t="n">
        <f aca="false">N(Q108)+IF(AND(N(E109)&lt;&gt;0,K109=TAHUN,N(J109)&lt;=BLN,OR(C109=BB_AKUN,D109=BB_AKUN)),1,0)</f>
        <v>69</v>
      </c>
      <c r="R109" s="104" t="str">
        <f aca="false">IF(OR(C109&amp;D109="",N(E109)=0),"",IF(OR(O109="?",P109="?"),"⚠ akun tidak dikenal",IF(C109=D109,"⚠ debet = kredit","")))</f>
        <v/>
      </c>
    </row>
    <row r="110" customFormat="false" ht="15" hidden="false" customHeight="false" outlineLevel="0" collapsed="false">
      <c r="A110" s="82" t="s">
        <v>662</v>
      </c>
      <c r="B110" s="101" t="n">
        <v>46044</v>
      </c>
      <c r="C110" s="82" t="s">
        <v>470</v>
      </c>
      <c r="D110" s="82" t="s">
        <v>461</v>
      </c>
      <c r="E110" s="91" t="n">
        <v>360000</v>
      </c>
      <c r="F110" s="82" t="s">
        <v>663</v>
      </c>
      <c r="G110" s="82"/>
      <c r="H110" s="82"/>
      <c r="I110" s="82" t="s">
        <v>250</v>
      </c>
      <c r="J110" s="102" t="n">
        <f aca="false">IF(B110="","",MONTH(B110))</f>
        <v>1</v>
      </c>
      <c r="K110" s="102" t="n">
        <f aca="false">IF(B110="","",YEAR(B110))</f>
        <v>2026</v>
      </c>
      <c r="L110" s="102" t="str">
        <f aca="false">IF(N(E110)=0,"",IF(COUNTIFS(AK_NAMA,C110,AK_KAT,"KAS")+COUNTIFS(AK_NAMA,D110,AK_KAT,"KAS")&lt;&gt;1,"",IF(COUNTIFS(AK_NAMA,C110,AK_KAT,"KAS")=1,D110,C110)))</f>
        <v>Biaya Bahan Baku</v>
      </c>
      <c r="M110" s="103" t="n">
        <f aca="false">IF(L110="",0,IF(L110=D110,E110,-E110))</f>
        <v>-360000</v>
      </c>
      <c r="N110" s="102" t="str">
        <f aca="false">IF(L110="","",IFERROR(INDEX(AK_BARIS,MATCH(L110,AK_NAMA,0)),"?"))</f>
        <v>OP3</v>
      </c>
      <c r="O110" s="102" t="str">
        <f aca="false">IF(C110="","",IFERROR(INDEX(AK_KEL,MATCH(C110,AK_NAMA,0)),"?"))</f>
        <v>BEBAN</v>
      </c>
      <c r="P110" s="102" t="str">
        <f aca="false">IF(D110="","",IFERROR(INDEX(AK_KEL,MATCH(D110,AK_NAMA,0)),"?"))</f>
        <v>ASET</v>
      </c>
      <c r="Q110" s="102" t="n">
        <f aca="false">N(Q109)+IF(AND(N(E110)&lt;&gt;0,K110=TAHUN,N(J110)&lt;=BLN,OR(C110=BB_AKUN,D110=BB_AKUN)),1,0)</f>
        <v>70</v>
      </c>
      <c r="R110" s="104" t="str">
        <f aca="false">IF(OR(C110&amp;D110="",N(E110)=0),"",IF(OR(O110="?",P110="?"),"⚠ akun tidak dikenal",IF(C110=D110,"⚠ debet = kredit","")))</f>
        <v/>
      </c>
    </row>
    <row r="111" customFormat="false" ht="15" hidden="false" customHeight="false" outlineLevel="0" collapsed="false">
      <c r="A111" s="82" t="s">
        <v>664</v>
      </c>
      <c r="B111" s="101" t="n">
        <v>46044</v>
      </c>
      <c r="C111" s="82" t="s">
        <v>470</v>
      </c>
      <c r="D111" s="82" t="s">
        <v>461</v>
      </c>
      <c r="E111" s="91" t="n">
        <v>180000</v>
      </c>
      <c r="F111" s="82" t="s">
        <v>665</v>
      </c>
      <c r="G111" s="82"/>
      <c r="H111" s="82"/>
      <c r="I111" s="82" t="s">
        <v>250</v>
      </c>
      <c r="J111" s="102" t="n">
        <f aca="false">IF(B111="","",MONTH(B111))</f>
        <v>1</v>
      </c>
      <c r="K111" s="102" t="n">
        <f aca="false">IF(B111="","",YEAR(B111))</f>
        <v>2026</v>
      </c>
      <c r="L111" s="102" t="str">
        <f aca="false">IF(N(E111)=0,"",IF(COUNTIFS(AK_NAMA,C111,AK_KAT,"KAS")+COUNTIFS(AK_NAMA,D111,AK_KAT,"KAS")&lt;&gt;1,"",IF(COUNTIFS(AK_NAMA,C111,AK_KAT,"KAS")=1,D111,C111)))</f>
        <v>Biaya Bahan Baku</v>
      </c>
      <c r="M111" s="103" t="n">
        <f aca="false">IF(L111="",0,IF(L111=D111,E111,-E111))</f>
        <v>-180000</v>
      </c>
      <c r="N111" s="102" t="str">
        <f aca="false">IF(L111="","",IFERROR(INDEX(AK_BARIS,MATCH(L111,AK_NAMA,0)),"?"))</f>
        <v>OP3</v>
      </c>
      <c r="O111" s="102" t="str">
        <f aca="false">IF(C111="","",IFERROR(INDEX(AK_KEL,MATCH(C111,AK_NAMA,0)),"?"))</f>
        <v>BEBAN</v>
      </c>
      <c r="P111" s="102" t="str">
        <f aca="false">IF(D111="","",IFERROR(INDEX(AK_KEL,MATCH(D111,AK_NAMA,0)),"?"))</f>
        <v>ASET</v>
      </c>
      <c r="Q111" s="102" t="n">
        <f aca="false">N(Q110)+IF(AND(N(E111)&lt;&gt;0,K111=TAHUN,N(J111)&lt;=BLN,OR(C111=BB_AKUN,D111=BB_AKUN)),1,0)</f>
        <v>71</v>
      </c>
      <c r="R111" s="104" t="str">
        <f aca="false">IF(OR(C111&amp;D111="",N(E111)=0),"",IF(OR(O111="?",P111="?"),"⚠ akun tidak dikenal",IF(C111=D111,"⚠ debet = kredit","")))</f>
        <v/>
      </c>
    </row>
    <row r="112" customFormat="false" ht="15" hidden="false" customHeight="false" outlineLevel="0" collapsed="false">
      <c r="A112" s="82" t="s">
        <v>666</v>
      </c>
      <c r="B112" s="101" t="n">
        <v>46044</v>
      </c>
      <c r="C112" s="82" t="s">
        <v>455</v>
      </c>
      <c r="D112" s="82" t="s">
        <v>461</v>
      </c>
      <c r="E112" s="91" t="n">
        <v>42850</v>
      </c>
      <c r="F112" s="82" t="s">
        <v>667</v>
      </c>
      <c r="G112" s="82"/>
      <c r="H112" s="82"/>
      <c r="I112" s="82" t="s">
        <v>250</v>
      </c>
      <c r="J112" s="102" t="n">
        <f aca="false">IF(B112="","",MONTH(B112))</f>
        <v>1</v>
      </c>
      <c r="K112" s="102" t="n">
        <f aca="false">IF(B112="","",YEAR(B112))</f>
        <v>2026</v>
      </c>
      <c r="L112" s="102" t="str">
        <f aca="false">IF(N(E112)=0,"",IF(COUNTIFS(AK_NAMA,C112,AK_KAT,"KAS")+COUNTIFS(AK_NAMA,D112,AK_KAT,"KAS")&lt;&gt;1,"",IF(COUNTIFS(AK_NAMA,C112,AK_KAT,"KAS")=1,D112,C112)))</f>
        <v>Biaya Pemeliharaan</v>
      </c>
      <c r="M112" s="103" t="n">
        <f aca="false">IF(L112="",0,IF(L112=D112,E112,-E112))</f>
        <v>-42850</v>
      </c>
      <c r="N112" s="102" t="str">
        <f aca="false">IF(L112="","",IFERROR(INDEX(AK_BARIS,MATCH(L112,AK_NAMA,0)),"?"))</f>
        <v>OP6</v>
      </c>
      <c r="O112" s="102" t="str">
        <f aca="false">IF(C112="","",IFERROR(INDEX(AK_KEL,MATCH(C112,AK_NAMA,0)),"?"))</f>
        <v>BEBAN</v>
      </c>
      <c r="P112" s="102" t="str">
        <f aca="false">IF(D112="","",IFERROR(INDEX(AK_KEL,MATCH(D112,AK_NAMA,0)),"?"))</f>
        <v>ASET</v>
      </c>
      <c r="Q112" s="102" t="n">
        <f aca="false">N(Q111)+IF(AND(N(E112)&lt;&gt;0,K112=TAHUN,N(J112)&lt;=BLN,OR(C112=BB_AKUN,D112=BB_AKUN)),1,0)</f>
        <v>72</v>
      </c>
      <c r="R112" s="104" t="str">
        <f aca="false">IF(OR(C112&amp;D112="",N(E112)=0),"",IF(OR(O112="?",P112="?"),"⚠ akun tidak dikenal",IF(C112=D112,"⚠ debet = kredit","")))</f>
        <v/>
      </c>
    </row>
    <row r="113" customFormat="false" ht="15" hidden="false" customHeight="false" outlineLevel="0" collapsed="false">
      <c r="A113" s="82" t="s">
        <v>668</v>
      </c>
      <c r="B113" s="101" t="n">
        <v>46044</v>
      </c>
      <c r="C113" s="82" t="s">
        <v>669</v>
      </c>
      <c r="D113" s="82" t="s">
        <v>461</v>
      </c>
      <c r="E113" s="91" t="n">
        <v>287490</v>
      </c>
      <c r="F113" s="82" t="s">
        <v>670</v>
      </c>
      <c r="G113" s="82"/>
      <c r="H113" s="82"/>
      <c r="I113" s="82" t="s">
        <v>250</v>
      </c>
      <c r="J113" s="102" t="n">
        <f aca="false">IF(B113="","",MONTH(B113))</f>
        <v>1</v>
      </c>
      <c r="K113" s="102" t="n">
        <f aca="false">IF(B113="","",YEAR(B113))</f>
        <v>2026</v>
      </c>
      <c r="L113" s="102" t="str">
        <f aca="false">IF(N(E113)=0,"",IF(COUNTIFS(AK_NAMA,C113,AK_KAT,"KAS")+COUNTIFS(AK_NAMA,D113,AK_KAT,"KAS")&lt;&gt;1,"",IF(COUNTIFS(AK_NAMA,C113,AK_KAT,"KAS")=1,D113,C113)))</f>
        <v>Biaya Tagihan Bulanan</v>
      </c>
      <c r="M113" s="103" t="n">
        <f aca="false">IF(L113="",0,IF(L113=D113,E113,-E113))</f>
        <v>-287490</v>
      </c>
      <c r="N113" s="102" t="str">
        <f aca="false">IF(L113="","",IFERROR(INDEX(AK_BARIS,MATCH(L113,AK_NAMA,0)),"?"))</f>
        <v>OP6</v>
      </c>
      <c r="O113" s="102" t="str">
        <f aca="false">IF(C113="","",IFERROR(INDEX(AK_KEL,MATCH(C113,AK_NAMA,0)),"?"))</f>
        <v>BEBAN</v>
      </c>
      <c r="P113" s="102" t="str">
        <f aca="false">IF(D113="","",IFERROR(INDEX(AK_KEL,MATCH(D113,AK_NAMA,0)),"?"))</f>
        <v>ASET</v>
      </c>
      <c r="Q113" s="102" t="n">
        <f aca="false">N(Q112)+IF(AND(N(E113)&lt;&gt;0,K113=TAHUN,N(J113)&lt;=BLN,OR(C113=BB_AKUN,D113=BB_AKUN)),1,0)</f>
        <v>73</v>
      </c>
      <c r="R113" s="104" t="str">
        <f aca="false">IF(OR(C113&amp;D113="",N(E113)=0),"",IF(OR(O113="?",P113="?"),"⚠ akun tidak dikenal",IF(C113=D113,"⚠ debet = kredit","")))</f>
        <v/>
      </c>
    </row>
    <row r="114" customFormat="false" ht="15" hidden="false" customHeight="false" outlineLevel="0" collapsed="false">
      <c r="A114" s="82" t="s">
        <v>671</v>
      </c>
      <c r="B114" s="101" t="n">
        <v>46044</v>
      </c>
      <c r="C114" s="82" t="s">
        <v>672</v>
      </c>
      <c r="D114" s="82" t="s">
        <v>461</v>
      </c>
      <c r="E114" s="91" t="n">
        <v>13000000</v>
      </c>
      <c r="F114" s="82" t="s">
        <v>673</v>
      </c>
      <c r="G114" s="82"/>
      <c r="H114" s="82"/>
      <c r="I114" s="82" t="s">
        <v>250</v>
      </c>
      <c r="J114" s="102" t="n">
        <f aca="false">IF(B114="","",MONTH(B114))</f>
        <v>1</v>
      </c>
      <c r="K114" s="102" t="n">
        <f aca="false">IF(B114="","",YEAR(B114))</f>
        <v>2026</v>
      </c>
      <c r="L114" s="102" t="str">
        <f aca="false">IF(N(E114)=0,"",IF(COUNTIFS(AK_NAMA,C114,AK_KAT,"KAS")+COUNTIFS(AK_NAMA,D114,AK_KAT,"KAS")&lt;&gt;1,"",IF(COUNTIFS(AK_NAMA,C114,AK_KAT,"KAS")=1,D114,C114)))</f>
        <v>Peralatan</v>
      </c>
      <c r="M114" s="103" t="n">
        <f aca="false">IF(L114="",0,IF(L114=D114,E114,-E114))</f>
        <v>-13000000</v>
      </c>
      <c r="N114" s="102" t="str">
        <f aca="false">IF(L114="","",IFERROR(INDEX(AK_BARIS,MATCH(L114,AK_NAMA,0)),"?"))</f>
        <v>IN1</v>
      </c>
      <c r="O114" s="102" t="str">
        <f aca="false">IF(C114="","",IFERROR(INDEX(AK_KEL,MATCH(C114,AK_NAMA,0)),"?"))</f>
        <v>ASET</v>
      </c>
      <c r="P114" s="102" t="str">
        <f aca="false">IF(D114="","",IFERROR(INDEX(AK_KEL,MATCH(D114,AK_NAMA,0)),"?"))</f>
        <v>ASET</v>
      </c>
      <c r="Q114" s="102" t="n">
        <f aca="false">N(Q113)+IF(AND(N(E114)&lt;&gt;0,K114=TAHUN,N(J114)&lt;=BLN,OR(C114=BB_AKUN,D114=BB_AKUN)),1,0)</f>
        <v>74</v>
      </c>
      <c r="R114" s="104" t="str">
        <f aca="false">IF(OR(C114&amp;D114="",N(E114)=0),"",IF(OR(O114="?",P114="?"),"⚠ akun tidak dikenal",IF(C114=D114,"⚠ debet = kredit","")))</f>
        <v/>
      </c>
    </row>
    <row r="115" customFormat="false" ht="15" hidden="false" customHeight="false" outlineLevel="0" collapsed="false">
      <c r="A115" s="82" t="s">
        <v>674</v>
      </c>
      <c r="B115" s="101" t="n">
        <v>46044</v>
      </c>
      <c r="C115" s="82" t="s">
        <v>470</v>
      </c>
      <c r="D115" s="82" t="s">
        <v>461</v>
      </c>
      <c r="E115" s="91" t="n">
        <v>712500</v>
      </c>
      <c r="F115" s="82" t="s">
        <v>546</v>
      </c>
      <c r="G115" s="82"/>
      <c r="H115" s="82"/>
      <c r="I115" s="82" t="s">
        <v>250</v>
      </c>
      <c r="J115" s="102" t="n">
        <f aca="false">IF(B115="","",MONTH(B115))</f>
        <v>1</v>
      </c>
      <c r="K115" s="102" t="n">
        <f aca="false">IF(B115="","",YEAR(B115))</f>
        <v>2026</v>
      </c>
      <c r="L115" s="102" t="str">
        <f aca="false">IF(N(E115)=0,"",IF(COUNTIFS(AK_NAMA,C115,AK_KAT,"KAS")+COUNTIFS(AK_NAMA,D115,AK_KAT,"KAS")&lt;&gt;1,"",IF(COUNTIFS(AK_NAMA,C115,AK_KAT,"KAS")=1,D115,C115)))</f>
        <v>Biaya Bahan Baku</v>
      </c>
      <c r="M115" s="103" t="n">
        <f aca="false">IF(L115="",0,IF(L115=D115,E115,-E115))</f>
        <v>-712500</v>
      </c>
      <c r="N115" s="102" t="str">
        <f aca="false">IF(L115="","",IFERROR(INDEX(AK_BARIS,MATCH(L115,AK_NAMA,0)),"?"))</f>
        <v>OP3</v>
      </c>
      <c r="O115" s="102" t="str">
        <f aca="false">IF(C115="","",IFERROR(INDEX(AK_KEL,MATCH(C115,AK_NAMA,0)),"?"))</f>
        <v>BEBAN</v>
      </c>
      <c r="P115" s="102" t="str">
        <f aca="false">IF(D115="","",IFERROR(INDEX(AK_KEL,MATCH(D115,AK_NAMA,0)),"?"))</f>
        <v>ASET</v>
      </c>
      <c r="Q115" s="102" t="n">
        <f aca="false">N(Q114)+IF(AND(N(E115)&lt;&gt;0,K115=TAHUN,N(J115)&lt;=BLN,OR(C115=BB_AKUN,D115=BB_AKUN)),1,0)</f>
        <v>75</v>
      </c>
      <c r="R115" s="104" t="str">
        <f aca="false">IF(OR(C115&amp;D115="",N(E115)=0),"",IF(OR(O115="?",P115="?"),"⚠ akun tidak dikenal",IF(C115=D115,"⚠ debet = kredit","")))</f>
        <v/>
      </c>
    </row>
    <row r="116" customFormat="false" ht="15" hidden="false" customHeight="false" outlineLevel="0" collapsed="false">
      <c r="A116" s="82" t="s">
        <v>675</v>
      </c>
      <c r="B116" s="101" t="n">
        <v>46044</v>
      </c>
      <c r="C116" s="82" t="s">
        <v>478</v>
      </c>
      <c r="D116" s="82" t="s">
        <v>461</v>
      </c>
      <c r="E116" s="91" t="n">
        <v>264000</v>
      </c>
      <c r="F116" s="82" t="s">
        <v>549</v>
      </c>
      <c r="G116" s="82"/>
      <c r="H116" s="82"/>
      <c r="I116" s="82" t="s">
        <v>250</v>
      </c>
      <c r="J116" s="102" t="n">
        <f aca="false">IF(B116="","",MONTH(B116))</f>
        <v>1</v>
      </c>
      <c r="K116" s="102" t="n">
        <f aca="false">IF(B116="","",YEAR(B116))</f>
        <v>2026</v>
      </c>
      <c r="L116" s="102" t="str">
        <f aca="false">IF(N(E116)=0,"",IF(COUNTIFS(AK_NAMA,C116,AK_KAT,"KAS")+COUNTIFS(AK_NAMA,D116,AK_KAT,"KAS")&lt;&gt;1,"",IF(COUNTIFS(AK_NAMA,C116,AK_KAT,"KAS")=1,D116,C116)))</f>
        <v>Biaya Penyajian</v>
      </c>
      <c r="M116" s="103" t="n">
        <f aca="false">IF(L116="",0,IF(L116=D116,E116,-E116))</f>
        <v>-264000</v>
      </c>
      <c r="N116" s="102" t="str">
        <f aca="false">IF(L116="","",IFERROR(INDEX(AK_BARIS,MATCH(L116,AK_NAMA,0)),"?"))</f>
        <v>OP3</v>
      </c>
      <c r="O116" s="102" t="str">
        <f aca="false">IF(C116="","",IFERROR(INDEX(AK_KEL,MATCH(C116,AK_NAMA,0)),"?"))</f>
        <v>BEBAN</v>
      </c>
      <c r="P116" s="102" t="str">
        <f aca="false">IF(D116="","",IFERROR(INDEX(AK_KEL,MATCH(D116,AK_NAMA,0)),"?"))</f>
        <v>ASET</v>
      </c>
      <c r="Q116" s="102" t="n">
        <f aca="false">N(Q115)+IF(AND(N(E116)&lt;&gt;0,K116=TAHUN,N(J116)&lt;=BLN,OR(C116=BB_AKUN,D116=BB_AKUN)),1,0)</f>
        <v>76</v>
      </c>
      <c r="R116" s="104" t="str">
        <f aca="false">IF(OR(C116&amp;D116="",N(E116)=0),"",IF(OR(O116="?",P116="?"),"⚠ akun tidak dikenal",IF(C116=D116,"⚠ debet = kredit","")))</f>
        <v/>
      </c>
    </row>
    <row r="117" customFormat="false" ht="15" hidden="false" customHeight="false" outlineLevel="0" collapsed="false">
      <c r="A117" s="82" t="s">
        <v>676</v>
      </c>
      <c r="B117" s="101" t="n">
        <v>46044</v>
      </c>
      <c r="C117" s="82" t="s">
        <v>548</v>
      </c>
      <c r="D117" s="82" t="s">
        <v>461</v>
      </c>
      <c r="E117" s="91" t="n">
        <v>260400</v>
      </c>
      <c r="F117" s="82" t="s">
        <v>551</v>
      </c>
      <c r="G117" s="82"/>
      <c r="H117" s="82"/>
      <c r="I117" s="82" t="s">
        <v>250</v>
      </c>
      <c r="J117" s="102" t="n">
        <f aca="false">IF(B117="","",MONTH(B117))</f>
        <v>1</v>
      </c>
      <c r="K117" s="102" t="n">
        <f aca="false">IF(B117="","",YEAR(B117))</f>
        <v>2026</v>
      </c>
      <c r="L117" s="102" t="str">
        <f aca="false">IF(N(E117)=0,"",IF(COUNTIFS(AK_NAMA,C117,AK_KAT,"KAS")+COUNTIFS(AK_NAMA,D117,AK_KAT,"KAS")&lt;&gt;1,"",IF(COUNTIFS(AK_NAMA,C117,AK_KAT,"KAS")=1,D117,C117)))</f>
        <v>Beban Perlengkapan</v>
      </c>
      <c r="M117" s="103" t="n">
        <f aca="false">IF(L117="",0,IF(L117=D117,E117,-E117))</f>
        <v>-260400</v>
      </c>
      <c r="N117" s="102" t="str">
        <f aca="false">IF(L117="","",IFERROR(INDEX(AK_BARIS,MATCH(L117,AK_NAMA,0)),"?"))</f>
        <v>OP6</v>
      </c>
      <c r="O117" s="102" t="str">
        <f aca="false">IF(C117="","",IFERROR(INDEX(AK_KEL,MATCH(C117,AK_NAMA,0)),"?"))</f>
        <v>BEBAN</v>
      </c>
      <c r="P117" s="102" t="str">
        <f aca="false">IF(D117="","",IFERROR(INDEX(AK_KEL,MATCH(D117,AK_NAMA,0)),"?"))</f>
        <v>ASET</v>
      </c>
      <c r="Q117" s="102" t="n">
        <f aca="false">N(Q116)+IF(AND(N(E117)&lt;&gt;0,K117=TAHUN,N(J117)&lt;=BLN,OR(C117=BB_AKUN,D117=BB_AKUN)),1,0)</f>
        <v>77</v>
      </c>
      <c r="R117" s="104" t="str">
        <f aca="false">IF(OR(C117&amp;D117="",N(E117)=0),"",IF(OR(O117="?",P117="?"),"⚠ akun tidak dikenal",IF(C117=D117,"⚠ debet = kredit","")))</f>
        <v/>
      </c>
    </row>
    <row r="118" customFormat="false" ht="15" hidden="false" customHeight="false" outlineLevel="0" collapsed="false">
      <c r="A118" s="82" t="s">
        <v>677</v>
      </c>
      <c r="B118" s="101" t="n">
        <v>46044</v>
      </c>
      <c r="C118" s="82" t="s">
        <v>475</v>
      </c>
      <c r="D118" s="82" t="s">
        <v>461</v>
      </c>
      <c r="E118" s="91" t="n">
        <v>100000</v>
      </c>
      <c r="F118" s="82" t="s">
        <v>574</v>
      </c>
      <c r="G118" s="82"/>
      <c r="H118" s="82"/>
      <c r="I118" s="82" t="s">
        <v>250</v>
      </c>
      <c r="J118" s="102" t="n">
        <f aca="false">IF(B118="","",MONTH(B118))</f>
        <v>1</v>
      </c>
      <c r="K118" s="102" t="n">
        <f aca="false">IF(B118="","",YEAR(B118))</f>
        <v>2026</v>
      </c>
      <c r="L118" s="102" t="str">
        <f aca="false">IF(N(E118)=0,"",IF(COUNTIFS(AK_NAMA,C118,AK_KAT,"KAS")+COUNTIFS(AK_NAMA,D118,AK_KAT,"KAS")&lt;&gt;1,"",IF(COUNTIFS(AK_NAMA,C118,AK_KAT,"KAS")=1,D118,C118)))</f>
        <v/>
      </c>
      <c r="M118" s="103" t="n">
        <f aca="false">IF(L118="",0,IF(L118=D118,E118,-E118))</f>
        <v>0</v>
      </c>
      <c r="N118" s="102" t="str">
        <f aca="false">IF(L118="","",IFERROR(INDEX(AK_BARIS,MATCH(L118,AK_NAMA,0)),"?"))</f>
        <v/>
      </c>
      <c r="O118" s="102" t="str">
        <f aca="false">IF(C118="","",IFERROR(INDEX(AK_KEL,MATCH(C118,AK_NAMA,0)),"?"))</f>
        <v>ASET</v>
      </c>
      <c r="P118" s="102" t="str">
        <f aca="false">IF(D118="","",IFERROR(INDEX(AK_KEL,MATCH(D118,AK_NAMA,0)),"?"))</f>
        <v>ASET</v>
      </c>
      <c r="Q118" s="102" t="n">
        <f aca="false">N(Q117)+IF(AND(N(E118)&lt;&gt;0,K118=TAHUN,N(J118)&lt;=BLN,OR(C118=BB_AKUN,D118=BB_AKUN)),1,0)</f>
        <v>78</v>
      </c>
      <c r="R118" s="104" t="str">
        <f aca="false">IF(OR(C118&amp;D118="",N(E118)=0),"",IF(OR(O118="?",P118="?"),"⚠ akun tidak dikenal",IF(C118=D118,"⚠ debet = kredit","")))</f>
        <v/>
      </c>
    </row>
    <row r="119" customFormat="false" ht="15" hidden="false" customHeight="false" outlineLevel="0" collapsed="false">
      <c r="A119" s="82" t="s">
        <v>678</v>
      </c>
      <c r="B119" s="101" t="n">
        <v>46045</v>
      </c>
      <c r="C119" s="82" t="s">
        <v>470</v>
      </c>
      <c r="D119" s="82" t="s">
        <v>461</v>
      </c>
      <c r="E119" s="91" t="n">
        <v>1141000</v>
      </c>
      <c r="F119" s="82" t="s">
        <v>679</v>
      </c>
      <c r="G119" s="82"/>
      <c r="H119" s="82"/>
      <c r="I119" s="82" t="s">
        <v>250</v>
      </c>
      <c r="J119" s="102" t="n">
        <f aca="false">IF(B119="","",MONTH(B119))</f>
        <v>1</v>
      </c>
      <c r="K119" s="102" t="n">
        <f aca="false">IF(B119="","",YEAR(B119))</f>
        <v>2026</v>
      </c>
      <c r="L119" s="102" t="str">
        <f aca="false">IF(N(E119)=0,"",IF(COUNTIFS(AK_NAMA,C119,AK_KAT,"KAS")+COUNTIFS(AK_NAMA,D119,AK_KAT,"KAS")&lt;&gt;1,"",IF(COUNTIFS(AK_NAMA,C119,AK_KAT,"KAS")=1,D119,C119)))</f>
        <v>Biaya Bahan Baku</v>
      </c>
      <c r="M119" s="103" t="n">
        <f aca="false">IF(L119="",0,IF(L119=D119,E119,-E119))</f>
        <v>-1141000</v>
      </c>
      <c r="N119" s="102" t="str">
        <f aca="false">IF(L119="","",IFERROR(INDEX(AK_BARIS,MATCH(L119,AK_NAMA,0)),"?"))</f>
        <v>OP3</v>
      </c>
      <c r="O119" s="102" t="str">
        <f aca="false">IF(C119="","",IFERROR(INDEX(AK_KEL,MATCH(C119,AK_NAMA,0)),"?"))</f>
        <v>BEBAN</v>
      </c>
      <c r="P119" s="102" t="str">
        <f aca="false">IF(D119="","",IFERROR(INDEX(AK_KEL,MATCH(D119,AK_NAMA,0)),"?"))</f>
        <v>ASET</v>
      </c>
      <c r="Q119" s="102" t="n">
        <f aca="false">N(Q118)+IF(AND(N(E119)&lt;&gt;0,K119=TAHUN,N(J119)&lt;=BLN,OR(C119=BB_AKUN,D119=BB_AKUN)),1,0)</f>
        <v>79</v>
      </c>
      <c r="R119" s="104" t="str">
        <f aca="false">IF(OR(C119&amp;D119="",N(E119)=0),"",IF(OR(O119="?",P119="?"),"⚠ akun tidak dikenal",IF(C119=D119,"⚠ debet = kredit","")))</f>
        <v/>
      </c>
    </row>
    <row r="120" customFormat="false" ht="15" hidden="false" customHeight="false" outlineLevel="0" collapsed="false">
      <c r="A120" s="82" t="s">
        <v>680</v>
      </c>
      <c r="B120" s="101" t="n">
        <v>46045</v>
      </c>
      <c r="C120" s="82" t="s">
        <v>470</v>
      </c>
      <c r="D120" s="82" t="s">
        <v>461</v>
      </c>
      <c r="E120" s="91" t="n">
        <v>1075000</v>
      </c>
      <c r="F120" s="82" t="s">
        <v>681</v>
      </c>
      <c r="G120" s="82"/>
      <c r="H120" s="82"/>
      <c r="I120" s="82" t="s">
        <v>250</v>
      </c>
      <c r="J120" s="102" t="n">
        <f aca="false">IF(B120="","",MONTH(B120))</f>
        <v>1</v>
      </c>
      <c r="K120" s="102" t="n">
        <f aca="false">IF(B120="","",YEAR(B120))</f>
        <v>2026</v>
      </c>
      <c r="L120" s="102" t="str">
        <f aca="false">IF(N(E120)=0,"",IF(COUNTIFS(AK_NAMA,C120,AK_KAT,"KAS")+COUNTIFS(AK_NAMA,D120,AK_KAT,"KAS")&lt;&gt;1,"",IF(COUNTIFS(AK_NAMA,C120,AK_KAT,"KAS")=1,D120,C120)))</f>
        <v>Biaya Bahan Baku</v>
      </c>
      <c r="M120" s="103" t="n">
        <f aca="false">IF(L120="",0,IF(L120=D120,E120,-E120))</f>
        <v>-1075000</v>
      </c>
      <c r="N120" s="102" t="str">
        <f aca="false">IF(L120="","",IFERROR(INDEX(AK_BARIS,MATCH(L120,AK_NAMA,0)),"?"))</f>
        <v>OP3</v>
      </c>
      <c r="O120" s="102" t="str">
        <f aca="false">IF(C120="","",IFERROR(INDEX(AK_KEL,MATCH(C120,AK_NAMA,0)),"?"))</f>
        <v>BEBAN</v>
      </c>
      <c r="P120" s="102" t="str">
        <f aca="false">IF(D120="","",IFERROR(INDEX(AK_KEL,MATCH(D120,AK_NAMA,0)),"?"))</f>
        <v>ASET</v>
      </c>
      <c r="Q120" s="102" t="n">
        <f aca="false">N(Q119)+IF(AND(N(E120)&lt;&gt;0,K120=TAHUN,N(J120)&lt;=BLN,OR(C120=BB_AKUN,D120=BB_AKUN)),1,0)</f>
        <v>80</v>
      </c>
      <c r="R120" s="104" t="str">
        <f aca="false">IF(OR(C120&amp;D120="",N(E120)=0),"",IF(OR(O120="?",P120="?"),"⚠ akun tidak dikenal",IF(C120=D120,"⚠ debet = kredit","")))</f>
        <v/>
      </c>
    </row>
    <row r="121" customFormat="false" ht="15" hidden="false" customHeight="false" outlineLevel="0" collapsed="false">
      <c r="A121" s="82" t="s">
        <v>682</v>
      </c>
      <c r="B121" s="101" t="n">
        <v>46045</v>
      </c>
      <c r="C121" s="82" t="s">
        <v>470</v>
      </c>
      <c r="D121" s="82" t="s">
        <v>461</v>
      </c>
      <c r="E121" s="91" t="n">
        <v>90000</v>
      </c>
      <c r="F121" s="82" t="s">
        <v>683</v>
      </c>
      <c r="G121" s="82"/>
      <c r="H121" s="82"/>
      <c r="I121" s="82" t="s">
        <v>250</v>
      </c>
      <c r="J121" s="102" t="n">
        <f aca="false">IF(B121="","",MONTH(B121))</f>
        <v>1</v>
      </c>
      <c r="K121" s="102" t="n">
        <f aca="false">IF(B121="","",YEAR(B121))</f>
        <v>2026</v>
      </c>
      <c r="L121" s="102" t="str">
        <f aca="false">IF(N(E121)=0,"",IF(COUNTIFS(AK_NAMA,C121,AK_KAT,"KAS")+COUNTIFS(AK_NAMA,D121,AK_KAT,"KAS")&lt;&gt;1,"",IF(COUNTIFS(AK_NAMA,C121,AK_KAT,"KAS")=1,D121,C121)))</f>
        <v>Biaya Bahan Baku</v>
      </c>
      <c r="M121" s="103" t="n">
        <f aca="false">IF(L121="",0,IF(L121=D121,E121,-E121))</f>
        <v>-90000</v>
      </c>
      <c r="N121" s="102" t="str">
        <f aca="false">IF(L121="","",IFERROR(INDEX(AK_BARIS,MATCH(L121,AK_NAMA,0)),"?"))</f>
        <v>OP3</v>
      </c>
      <c r="O121" s="102" t="str">
        <f aca="false">IF(C121="","",IFERROR(INDEX(AK_KEL,MATCH(C121,AK_NAMA,0)),"?"))</f>
        <v>BEBAN</v>
      </c>
      <c r="P121" s="102" t="str">
        <f aca="false">IF(D121="","",IFERROR(INDEX(AK_KEL,MATCH(D121,AK_NAMA,0)),"?"))</f>
        <v>ASET</v>
      </c>
      <c r="Q121" s="102" t="n">
        <f aca="false">N(Q120)+IF(AND(N(E121)&lt;&gt;0,K121=TAHUN,N(J121)&lt;=BLN,OR(C121=BB_AKUN,D121=BB_AKUN)),1,0)</f>
        <v>81</v>
      </c>
      <c r="R121" s="104" t="str">
        <f aca="false">IF(OR(C121&amp;D121="",N(E121)=0),"",IF(OR(O121="?",P121="?"),"⚠ akun tidak dikenal",IF(C121=D121,"⚠ debet = kredit","")))</f>
        <v/>
      </c>
    </row>
    <row r="122" customFormat="false" ht="15" hidden="false" customHeight="false" outlineLevel="0" collapsed="false">
      <c r="A122" s="82" t="s">
        <v>684</v>
      </c>
      <c r="B122" s="101" t="n">
        <v>46045</v>
      </c>
      <c r="C122" s="82" t="s">
        <v>470</v>
      </c>
      <c r="D122" s="82" t="s">
        <v>461</v>
      </c>
      <c r="E122" s="91" t="n">
        <v>630000</v>
      </c>
      <c r="F122" s="82" t="s">
        <v>685</v>
      </c>
      <c r="G122" s="82"/>
      <c r="H122" s="82"/>
      <c r="I122" s="82" t="s">
        <v>250</v>
      </c>
      <c r="J122" s="102" t="n">
        <f aca="false">IF(B122="","",MONTH(B122))</f>
        <v>1</v>
      </c>
      <c r="K122" s="102" t="n">
        <f aca="false">IF(B122="","",YEAR(B122))</f>
        <v>2026</v>
      </c>
      <c r="L122" s="102" t="str">
        <f aca="false">IF(N(E122)=0,"",IF(COUNTIFS(AK_NAMA,C122,AK_KAT,"KAS")+COUNTIFS(AK_NAMA,D122,AK_KAT,"KAS")&lt;&gt;1,"",IF(COUNTIFS(AK_NAMA,C122,AK_KAT,"KAS")=1,D122,C122)))</f>
        <v>Biaya Bahan Baku</v>
      </c>
      <c r="M122" s="103" t="n">
        <f aca="false">IF(L122="",0,IF(L122=D122,E122,-E122))</f>
        <v>-630000</v>
      </c>
      <c r="N122" s="102" t="str">
        <f aca="false">IF(L122="","",IFERROR(INDEX(AK_BARIS,MATCH(L122,AK_NAMA,0)),"?"))</f>
        <v>OP3</v>
      </c>
      <c r="O122" s="102" t="str">
        <f aca="false">IF(C122="","",IFERROR(INDEX(AK_KEL,MATCH(C122,AK_NAMA,0)),"?"))</f>
        <v>BEBAN</v>
      </c>
      <c r="P122" s="102" t="str">
        <f aca="false">IF(D122="","",IFERROR(INDEX(AK_KEL,MATCH(D122,AK_NAMA,0)),"?"))</f>
        <v>ASET</v>
      </c>
      <c r="Q122" s="102" t="n">
        <f aca="false">N(Q121)+IF(AND(N(E122)&lt;&gt;0,K122=TAHUN,N(J122)&lt;=BLN,OR(C122=BB_AKUN,D122=BB_AKUN)),1,0)</f>
        <v>82</v>
      </c>
      <c r="R122" s="104" t="str">
        <f aca="false">IF(OR(C122&amp;D122="",N(E122)=0),"",IF(OR(O122="?",P122="?"),"⚠ akun tidak dikenal",IF(C122=D122,"⚠ debet = kredit","")))</f>
        <v/>
      </c>
    </row>
    <row r="123" customFormat="false" ht="15" hidden="false" customHeight="false" outlineLevel="0" collapsed="false">
      <c r="A123" s="82" t="s">
        <v>686</v>
      </c>
      <c r="B123" s="101" t="n">
        <v>46046</v>
      </c>
      <c r="C123" s="82" t="s">
        <v>470</v>
      </c>
      <c r="D123" s="82" t="s">
        <v>475</v>
      </c>
      <c r="E123" s="91" t="n">
        <v>135000</v>
      </c>
      <c r="F123" s="82" t="s">
        <v>687</v>
      </c>
      <c r="G123" s="82"/>
      <c r="H123" s="82"/>
      <c r="I123" s="82" t="s">
        <v>250</v>
      </c>
      <c r="J123" s="102" t="n">
        <f aca="false">IF(B123="","",MONTH(B123))</f>
        <v>1</v>
      </c>
      <c r="K123" s="102" t="n">
        <f aca="false">IF(B123="","",YEAR(B123))</f>
        <v>2026</v>
      </c>
      <c r="L123" s="102" t="str">
        <f aca="false">IF(N(E123)=0,"",IF(COUNTIFS(AK_NAMA,C123,AK_KAT,"KAS")+COUNTIFS(AK_NAMA,D123,AK_KAT,"KAS")&lt;&gt;1,"",IF(COUNTIFS(AK_NAMA,C123,AK_KAT,"KAS")=1,D123,C123)))</f>
        <v>Biaya Bahan Baku</v>
      </c>
      <c r="M123" s="103" t="n">
        <f aca="false">IF(L123="",0,IF(L123=D123,E123,-E123))</f>
        <v>-135000</v>
      </c>
      <c r="N123" s="102" t="str">
        <f aca="false">IF(L123="","",IFERROR(INDEX(AK_BARIS,MATCH(L123,AK_NAMA,0)),"?"))</f>
        <v>OP3</v>
      </c>
      <c r="O123" s="102" t="str">
        <f aca="false">IF(C123="","",IFERROR(INDEX(AK_KEL,MATCH(C123,AK_NAMA,0)),"?"))</f>
        <v>BEBAN</v>
      </c>
      <c r="P123" s="102" t="str">
        <f aca="false">IF(D123="","",IFERROR(INDEX(AK_KEL,MATCH(D123,AK_NAMA,0)),"?"))</f>
        <v>ASET</v>
      </c>
      <c r="Q123" s="102" t="n">
        <f aca="false">N(Q122)+IF(AND(N(E123)&lt;&gt;0,K123=TAHUN,N(J123)&lt;=BLN,OR(C123=BB_AKUN,D123=BB_AKUN)),1,0)</f>
        <v>82</v>
      </c>
      <c r="R123" s="104" t="str">
        <f aca="false">IF(OR(C123&amp;D123="",N(E123)=0),"",IF(OR(O123="?",P123="?"),"⚠ akun tidak dikenal",IF(C123=D123,"⚠ debet = kredit","")))</f>
        <v/>
      </c>
    </row>
    <row r="124" customFormat="false" ht="15" hidden="false" customHeight="false" outlineLevel="0" collapsed="false">
      <c r="A124" s="82" t="s">
        <v>688</v>
      </c>
      <c r="B124" s="101" t="n">
        <v>46047</v>
      </c>
      <c r="C124" s="82" t="s">
        <v>470</v>
      </c>
      <c r="D124" s="82" t="s">
        <v>461</v>
      </c>
      <c r="E124" s="91" t="n">
        <v>221600</v>
      </c>
      <c r="F124" s="82" t="s">
        <v>689</v>
      </c>
      <c r="G124" s="82"/>
      <c r="H124" s="82"/>
      <c r="I124" s="82" t="s">
        <v>250</v>
      </c>
      <c r="J124" s="102" t="n">
        <f aca="false">IF(B124="","",MONTH(B124))</f>
        <v>1</v>
      </c>
      <c r="K124" s="102" t="n">
        <f aca="false">IF(B124="","",YEAR(B124))</f>
        <v>2026</v>
      </c>
      <c r="L124" s="102" t="str">
        <f aca="false">IF(N(E124)=0,"",IF(COUNTIFS(AK_NAMA,C124,AK_KAT,"KAS")+COUNTIFS(AK_NAMA,D124,AK_KAT,"KAS")&lt;&gt;1,"",IF(COUNTIFS(AK_NAMA,C124,AK_KAT,"KAS")=1,D124,C124)))</f>
        <v>Biaya Bahan Baku</v>
      </c>
      <c r="M124" s="103" t="n">
        <f aca="false">IF(L124="",0,IF(L124=D124,E124,-E124))</f>
        <v>-221600</v>
      </c>
      <c r="N124" s="102" t="str">
        <f aca="false">IF(L124="","",IFERROR(INDEX(AK_BARIS,MATCH(L124,AK_NAMA,0)),"?"))</f>
        <v>OP3</v>
      </c>
      <c r="O124" s="102" t="str">
        <f aca="false">IF(C124="","",IFERROR(INDEX(AK_KEL,MATCH(C124,AK_NAMA,0)),"?"))</f>
        <v>BEBAN</v>
      </c>
      <c r="P124" s="102" t="str">
        <f aca="false">IF(D124="","",IFERROR(INDEX(AK_KEL,MATCH(D124,AK_NAMA,0)),"?"))</f>
        <v>ASET</v>
      </c>
      <c r="Q124" s="102" t="n">
        <f aca="false">N(Q123)+IF(AND(N(E124)&lt;&gt;0,K124=TAHUN,N(J124)&lt;=BLN,OR(C124=BB_AKUN,D124=BB_AKUN)),1,0)</f>
        <v>83</v>
      </c>
      <c r="R124" s="104" t="str">
        <f aca="false">IF(OR(C124&amp;D124="",N(E124)=0),"",IF(OR(O124="?",P124="?"),"⚠ akun tidak dikenal",IF(C124=D124,"⚠ debet = kredit","")))</f>
        <v/>
      </c>
    </row>
    <row r="125" customFormat="false" ht="15" hidden="false" customHeight="false" outlineLevel="0" collapsed="false">
      <c r="A125" s="82" t="s">
        <v>690</v>
      </c>
      <c r="B125" s="101" t="n">
        <v>46047</v>
      </c>
      <c r="C125" s="82" t="s">
        <v>524</v>
      </c>
      <c r="D125" s="82" t="s">
        <v>461</v>
      </c>
      <c r="E125" s="91" t="n">
        <v>18000</v>
      </c>
      <c r="F125" s="82" t="s">
        <v>691</v>
      </c>
      <c r="G125" s="82"/>
      <c r="H125" s="82"/>
      <c r="I125" s="82" t="s">
        <v>250</v>
      </c>
      <c r="J125" s="102" t="n">
        <f aca="false">IF(B125="","",MONTH(B125))</f>
        <v>1</v>
      </c>
      <c r="K125" s="102" t="n">
        <f aca="false">IF(B125="","",YEAR(B125))</f>
        <v>2026</v>
      </c>
      <c r="L125" s="102" t="str">
        <f aca="false">IF(N(E125)=0,"",IF(COUNTIFS(AK_NAMA,C125,AK_KAT,"KAS")+COUNTIFS(AK_NAMA,D125,AK_KAT,"KAS")&lt;&gt;1,"",IF(COUNTIFS(AK_NAMA,C125,AK_KAT,"KAS")=1,D125,C125)))</f>
        <v>Biaya Lainnya</v>
      </c>
      <c r="M125" s="103" t="n">
        <f aca="false">IF(L125="",0,IF(L125=D125,E125,-E125))</f>
        <v>-18000</v>
      </c>
      <c r="N125" s="102" t="str">
        <f aca="false">IF(L125="","",IFERROR(INDEX(AK_BARIS,MATCH(L125,AK_NAMA,0)),"?"))</f>
        <v>OP2</v>
      </c>
      <c r="O125" s="102" t="str">
        <f aca="false">IF(C125="","",IFERROR(INDEX(AK_KEL,MATCH(C125,AK_NAMA,0)),"?"))</f>
        <v>BEBAN</v>
      </c>
      <c r="P125" s="102" t="str">
        <f aca="false">IF(D125="","",IFERROR(INDEX(AK_KEL,MATCH(D125,AK_NAMA,0)),"?"))</f>
        <v>ASET</v>
      </c>
      <c r="Q125" s="102" t="n">
        <f aca="false">N(Q124)+IF(AND(N(E125)&lt;&gt;0,K125=TAHUN,N(J125)&lt;=BLN,OR(C125=BB_AKUN,D125=BB_AKUN)),1,0)</f>
        <v>84</v>
      </c>
      <c r="R125" s="104" t="str">
        <f aca="false">IF(OR(C125&amp;D125="",N(E125)=0),"",IF(OR(O125="?",P125="?"),"⚠ akun tidak dikenal",IF(C125=D125,"⚠ debet = kredit","")))</f>
        <v/>
      </c>
    </row>
    <row r="126" customFormat="false" ht="15" hidden="false" customHeight="false" outlineLevel="0" collapsed="false">
      <c r="A126" s="82" t="s">
        <v>692</v>
      </c>
      <c r="B126" s="101" t="n">
        <v>46047</v>
      </c>
      <c r="C126" s="82" t="s">
        <v>461</v>
      </c>
      <c r="D126" s="82" t="s">
        <v>475</v>
      </c>
      <c r="E126" s="91" t="n">
        <v>500000</v>
      </c>
      <c r="F126" s="82" t="s">
        <v>560</v>
      </c>
      <c r="G126" s="82"/>
      <c r="H126" s="82"/>
      <c r="I126" s="82" t="s">
        <v>250</v>
      </c>
      <c r="J126" s="102" t="n">
        <f aca="false">IF(B126="","",MONTH(B126))</f>
        <v>1</v>
      </c>
      <c r="K126" s="102" t="n">
        <f aca="false">IF(B126="","",YEAR(B126))</f>
        <v>2026</v>
      </c>
      <c r="L126" s="102" t="str">
        <f aca="false">IF(N(E126)=0,"",IF(COUNTIFS(AK_NAMA,C126,AK_KAT,"KAS")+COUNTIFS(AK_NAMA,D126,AK_KAT,"KAS")&lt;&gt;1,"",IF(COUNTIFS(AK_NAMA,C126,AK_KAT,"KAS")=1,D126,C126)))</f>
        <v/>
      </c>
      <c r="M126" s="103" t="n">
        <f aca="false">IF(L126="",0,IF(L126=D126,E126,-E126))</f>
        <v>0</v>
      </c>
      <c r="N126" s="102" t="str">
        <f aca="false">IF(L126="","",IFERROR(INDEX(AK_BARIS,MATCH(L126,AK_NAMA,0)),"?"))</f>
        <v/>
      </c>
      <c r="O126" s="102" t="str">
        <f aca="false">IF(C126="","",IFERROR(INDEX(AK_KEL,MATCH(C126,AK_NAMA,0)),"?"))</f>
        <v>ASET</v>
      </c>
      <c r="P126" s="102" t="str">
        <f aca="false">IF(D126="","",IFERROR(INDEX(AK_KEL,MATCH(D126,AK_NAMA,0)),"?"))</f>
        <v>ASET</v>
      </c>
      <c r="Q126" s="102" t="n">
        <f aca="false">N(Q125)+IF(AND(N(E126)&lt;&gt;0,K126=TAHUN,N(J126)&lt;=BLN,OR(C126=BB_AKUN,D126=BB_AKUN)),1,0)</f>
        <v>85</v>
      </c>
      <c r="R126" s="104" t="str">
        <f aca="false">IF(OR(C126&amp;D126="",N(E126)=0),"",IF(OR(O126="?",P126="?"),"⚠ akun tidak dikenal",IF(C126=D126,"⚠ debet = kredit","")))</f>
        <v/>
      </c>
    </row>
    <row r="127" customFormat="false" ht="15" hidden="false" customHeight="false" outlineLevel="0" collapsed="false">
      <c r="A127" s="82" t="s">
        <v>693</v>
      </c>
      <c r="B127" s="101" t="n">
        <v>46048</v>
      </c>
      <c r="C127" s="82" t="s">
        <v>470</v>
      </c>
      <c r="D127" s="82" t="s">
        <v>461</v>
      </c>
      <c r="E127" s="91" t="n">
        <v>200000</v>
      </c>
      <c r="F127" s="82" t="s">
        <v>694</v>
      </c>
      <c r="G127" s="82"/>
      <c r="H127" s="82"/>
      <c r="I127" s="82" t="s">
        <v>250</v>
      </c>
      <c r="J127" s="102" t="n">
        <f aca="false">IF(B127="","",MONTH(B127))</f>
        <v>1</v>
      </c>
      <c r="K127" s="102" t="n">
        <f aca="false">IF(B127="","",YEAR(B127))</f>
        <v>2026</v>
      </c>
      <c r="L127" s="102" t="str">
        <f aca="false">IF(N(E127)=0,"",IF(COUNTIFS(AK_NAMA,C127,AK_KAT,"KAS")+COUNTIFS(AK_NAMA,D127,AK_KAT,"KAS")&lt;&gt;1,"",IF(COUNTIFS(AK_NAMA,C127,AK_KAT,"KAS")=1,D127,C127)))</f>
        <v>Biaya Bahan Baku</v>
      </c>
      <c r="M127" s="103" t="n">
        <f aca="false">IF(L127="",0,IF(L127=D127,E127,-E127))</f>
        <v>-200000</v>
      </c>
      <c r="N127" s="102" t="str">
        <f aca="false">IF(L127="","",IFERROR(INDEX(AK_BARIS,MATCH(L127,AK_NAMA,0)),"?"))</f>
        <v>OP3</v>
      </c>
      <c r="O127" s="102" t="str">
        <f aca="false">IF(C127="","",IFERROR(INDEX(AK_KEL,MATCH(C127,AK_NAMA,0)),"?"))</f>
        <v>BEBAN</v>
      </c>
      <c r="P127" s="102" t="str">
        <f aca="false">IF(D127="","",IFERROR(INDEX(AK_KEL,MATCH(D127,AK_NAMA,0)),"?"))</f>
        <v>ASET</v>
      </c>
      <c r="Q127" s="102" t="n">
        <f aca="false">N(Q126)+IF(AND(N(E127)&lt;&gt;0,K127=TAHUN,N(J127)&lt;=BLN,OR(C127=BB_AKUN,D127=BB_AKUN)),1,0)</f>
        <v>86</v>
      </c>
      <c r="R127" s="104" t="str">
        <f aca="false">IF(OR(C127&amp;D127="",N(E127)=0),"",IF(OR(O127="?",P127="?"),"⚠ akun tidak dikenal",IF(C127=D127,"⚠ debet = kredit","")))</f>
        <v/>
      </c>
    </row>
    <row r="128" customFormat="false" ht="15" hidden="false" customHeight="false" outlineLevel="0" collapsed="false">
      <c r="A128" s="82" t="s">
        <v>695</v>
      </c>
      <c r="B128" s="101" t="n">
        <v>46048</v>
      </c>
      <c r="C128" s="82" t="s">
        <v>470</v>
      </c>
      <c r="D128" s="82" t="s">
        <v>461</v>
      </c>
      <c r="E128" s="91" t="n">
        <v>775000</v>
      </c>
      <c r="F128" s="82" t="s">
        <v>696</v>
      </c>
      <c r="G128" s="82"/>
      <c r="H128" s="82"/>
      <c r="I128" s="82" t="s">
        <v>250</v>
      </c>
      <c r="J128" s="102" t="n">
        <f aca="false">IF(B128="","",MONTH(B128))</f>
        <v>1</v>
      </c>
      <c r="K128" s="102" t="n">
        <f aca="false">IF(B128="","",YEAR(B128))</f>
        <v>2026</v>
      </c>
      <c r="L128" s="102" t="str">
        <f aca="false">IF(N(E128)=0,"",IF(COUNTIFS(AK_NAMA,C128,AK_KAT,"KAS")+COUNTIFS(AK_NAMA,D128,AK_KAT,"KAS")&lt;&gt;1,"",IF(COUNTIFS(AK_NAMA,C128,AK_KAT,"KAS")=1,D128,C128)))</f>
        <v>Biaya Bahan Baku</v>
      </c>
      <c r="M128" s="103" t="n">
        <f aca="false">IF(L128="",0,IF(L128=D128,E128,-E128))</f>
        <v>-775000</v>
      </c>
      <c r="N128" s="102" t="str">
        <f aca="false">IF(L128="","",IFERROR(INDEX(AK_BARIS,MATCH(L128,AK_NAMA,0)),"?"))</f>
        <v>OP3</v>
      </c>
      <c r="O128" s="102" t="str">
        <f aca="false">IF(C128="","",IFERROR(INDEX(AK_KEL,MATCH(C128,AK_NAMA,0)),"?"))</f>
        <v>BEBAN</v>
      </c>
      <c r="P128" s="102" t="str">
        <f aca="false">IF(D128="","",IFERROR(INDEX(AK_KEL,MATCH(D128,AK_NAMA,0)),"?"))</f>
        <v>ASET</v>
      </c>
      <c r="Q128" s="102" t="n">
        <f aca="false">N(Q127)+IF(AND(N(E128)&lt;&gt;0,K128=TAHUN,N(J128)&lt;=BLN,OR(C128=BB_AKUN,D128=BB_AKUN)),1,0)</f>
        <v>87</v>
      </c>
      <c r="R128" s="104" t="str">
        <f aca="false">IF(OR(C128&amp;D128="",N(E128)=0),"",IF(OR(O128="?",P128="?"),"⚠ akun tidak dikenal",IF(C128=D128,"⚠ debet = kredit","")))</f>
        <v/>
      </c>
    </row>
    <row r="129" customFormat="false" ht="15" hidden="false" customHeight="false" outlineLevel="0" collapsed="false">
      <c r="A129" s="82" t="s">
        <v>697</v>
      </c>
      <c r="B129" s="101" t="n">
        <v>46048</v>
      </c>
      <c r="C129" s="82" t="s">
        <v>524</v>
      </c>
      <c r="D129" s="82" t="s">
        <v>461</v>
      </c>
      <c r="E129" s="91" t="n">
        <v>325</v>
      </c>
      <c r="F129" s="82" t="s">
        <v>525</v>
      </c>
      <c r="G129" s="82"/>
      <c r="H129" s="82"/>
      <c r="I129" s="82" t="s">
        <v>250</v>
      </c>
      <c r="J129" s="102" t="n">
        <f aca="false">IF(B129="","",MONTH(B129))</f>
        <v>1</v>
      </c>
      <c r="K129" s="102" t="n">
        <f aca="false">IF(B129="","",YEAR(B129))</f>
        <v>2026</v>
      </c>
      <c r="L129" s="102" t="str">
        <f aca="false">IF(N(E129)=0,"",IF(COUNTIFS(AK_NAMA,C129,AK_KAT,"KAS")+COUNTIFS(AK_NAMA,D129,AK_KAT,"KAS")&lt;&gt;1,"",IF(COUNTIFS(AK_NAMA,C129,AK_KAT,"KAS")=1,D129,C129)))</f>
        <v>Biaya Lainnya</v>
      </c>
      <c r="M129" s="103" t="n">
        <f aca="false">IF(L129="",0,IF(L129=D129,E129,-E129))</f>
        <v>-325</v>
      </c>
      <c r="N129" s="102" t="str">
        <f aca="false">IF(L129="","",IFERROR(INDEX(AK_BARIS,MATCH(L129,AK_NAMA,0)),"?"))</f>
        <v>OP2</v>
      </c>
      <c r="O129" s="102" t="str">
        <f aca="false">IF(C129="","",IFERROR(INDEX(AK_KEL,MATCH(C129,AK_NAMA,0)),"?"))</f>
        <v>BEBAN</v>
      </c>
      <c r="P129" s="102" t="str">
        <f aca="false">IF(D129="","",IFERROR(INDEX(AK_KEL,MATCH(D129,AK_NAMA,0)),"?"))</f>
        <v>ASET</v>
      </c>
      <c r="Q129" s="102" t="n">
        <f aca="false">N(Q128)+IF(AND(N(E129)&lt;&gt;0,K129=TAHUN,N(J129)&lt;=BLN,OR(C129=BB_AKUN,D129=BB_AKUN)),1,0)</f>
        <v>88</v>
      </c>
      <c r="R129" s="104" t="str">
        <f aca="false">IF(OR(C129&amp;D129="",N(E129)=0),"",IF(OR(O129="?",P129="?"),"⚠ akun tidak dikenal",IF(C129=D129,"⚠ debet = kredit","")))</f>
        <v/>
      </c>
    </row>
    <row r="130" customFormat="false" ht="15" hidden="false" customHeight="false" outlineLevel="0" collapsed="false">
      <c r="A130" s="82" t="s">
        <v>698</v>
      </c>
      <c r="B130" s="101" t="n">
        <v>46050</v>
      </c>
      <c r="C130" s="82" t="s">
        <v>470</v>
      </c>
      <c r="D130" s="82" t="s">
        <v>486</v>
      </c>
      <c r="E130" s="91" t="n">
        <v>2715600</v>
      </c>
      <c r="F130" s="82" t="s">
        <v>546</v>
      </c>
      <c r="G130" s="82"/>
      <c r="H130" s="82"/>
      <c r="I130" s="82" t="s">
        <v>250</v>
      </c>
      <c r="J130" s="102" t="n">
        <f aca="false">IF(B130="","",MONTH(B130))</f>
        <v>1</v>
      </c>
      <c r="K130" s="102" t="n">
        <f aca="false">IF(B130="","",YEAR(B130))</f>
        <v>2026</v>
      </c>
      <c r="L130" s="102" t="str">
        <f aca="false">IF(N(E130)=0,"",IF(COUNTIFS(AK_NAMA,C130,AK_KAT,"KAS")+COUNTIFS(AK_NAMA,D130,AK_KAT,"KAS")&lt;&gt;1,"",IF(COUNTIFS(AK_NAMA,C130,AK_KAT,"KAS")=1,D130,C130)))</f>
        <v>Biaya Bahan Baku</v>
      </c>
      <c r="M130" s="103" t="n">
        <f aca="false">IF(L130="",0,IF(L130=D130,E130,-E130))</f>
        <v>-2715600</v>
      </c>
      <c r="N130" s="102" t="str">
        <f aca="false">IF(L130="","",IFERROR(INDEX(AK_BARIS,MATCH(L130,AK_NAMA,0)),"?"))</f>
        <v>OP3</v>
      </c>
      <c r="O130" s="102" t="str">
        <f aca="false">IF(C130="","",IFERROR(INDEX(AK_KEL,MATCH(C130,AK_NAMA,0)),"?"))</f>
        <v>BEBAN</v>
      </c>
      <c r="P130" s="102" t="str">
        <f aca="false">IF(D130="","",IFERROR(INDEX(AK_KEL,MATCH(D130,AK_NAMA,0)),"?"))</f>
        <v>ASET</v>
      </c>
      <c r="Q130" s="102" t="n">
        <f aca="false">N(Q129)+IF(AND(N(E130)&lt;&gt;0,K130=TAHUN,N(J130)&lt;=BLN,OR(C130=BB_AKUN,D130=BB_AKUN)),1,0)</f>
        <v>88</v>
      </c>
      <c r="R130" s="104" t="str">
        <f aca="false">IF(OR(C130&amp;D130="",N(E130)=0),"",IF(OR(O130="?",P130="?"),"⚠ akun tidak dikenal",IF(C130=D130,"⚠ debet = kredit","")))</f>
        <v/>
      </c>
    </row>
    <row r="131" customFormat="false" ht="15" hidden="false" customHeight="false" outlineLevel="0" collapsed="false">
      <c r="A131" s="82" t="s">
        <v>699</v>
      </c>
      <c r="B131" s="101" t="n">
        <v>46050</v>
      </c>
      <c r="C131" s="82" t="s">
        <v>478</v>
      </c>
      <c r="D131" s="82" t="s">
        <v>486</v>
      </c>
      <c r="E131" s="91" t="n">
        <v>637900</v>
      </c>
      <c r="F131" s="82" t="s">
        <v>549</v>
      </c>
      <c r="G131" s="82"/>
      <c r="H131" s="82"/>
      <c r="I131" s="82" t="s">
        <v>250</v>
      </c>
      <c r="J131" s="102" t="n">
        <f aca="false">IF(B131="","",MONTH(B131))</f>
        <v>1</v>
      </c>
      <c r="K131" s="102" t="n">
        <f aca="false">IF(B131="","",YEAR(B131))</f>
        <v>2026</v>
      </c>
      <c r="L131" s="102" t="str">
        <f aca="false">IF(N(E131)=0,"",IF(COUNTIFS(AK_NAMA,C131,AK_KAT,"KAS")+COUNTIFS(AK_NAMA,D131,AK_KAT,"KAS")&lt;&gt;1,"",IF(COUNTIFS(AK_NAMA,C131,AK_KAT,"KAS")=1,D131,C131)))</f>
        <v>Biaya Penyajian</v>
      </c>
      <c r="M131" s="103" t="n">
        <f aca="false">IF(L131="",0,IF(L131=D131,E131,-E131))</f>
        <v>-637900</v>
      </c>
      <c r="N131" s="102" t="str">
        <f aca="false">IF(L131="","",IFERROR(INDEX(AK_BARIS,MATCH(L131,AK_NAMA,0)),"?"))</f>
        <v>OP3</v>
      </c>
      <c r="O131" s="102" t="str">
        <f aca="false">IF(C131="","",IFERROR(INDEX(AK_KEL,MATCH(C131,AK_NAMA,0)),"?"))</f>
        <v>BEBAN</v>
      </c>
      <c r="P131" s="102" t="str">
        <f aca="false">IF(D131="","",IFERROR(INDEX(AK_KEL,MATCH(D131,AK_NAMA,0)),"?"))</f>
        <v>ASET</v>
      </c>
      <c r="Q131" s="102" t="n">
        <f aca="false">N(Q130)+IF(AND(N(E131)&lt;&gt;0,K131=TAHUN,N(J131)&lt;=BLN,OR(C131=BB_AKUN,D131=BB_AKUN)),1,0)</f>
        <v>88</v>
      </c>
      <c r="R131" s="104" t="str">
        <f aca="false">IF(OR(C131&amp;D131="",N(E131)=0),"",IF(OR(O131="?",P131="?"),"⚠ akun tidak dikenal",IF(C131=D131,"⚠ debet = kredit","")))</f>
        <v/>
      </c>
    </row>
    <row r="132" customFormat="false" ht="15" hidden="false" customHeight="false" outlineLevel="0" collapsed="false">
      <c r="A132" s="82" t="s">
        <v>700</v>
      </c>
      <c r="B132" s="101" t="n">
        <v>46050</v>
      </c>
      <c r="C132" s="82" t="s">
        <v>548</v>
      </c>
      <c r="D132" s="82" t="s">
        <v>486</v>
      </c>
      <c r="E132" s="91" t="n">
        <v>26000</v>
      </c>
      <c r="F132" s="82" t="s">
        <v>551</v>
      </c>
      <c r="G132" s="82"/>
      <c r="H132" s="82"/>
      <c r="I132" s="82" t="s">
        <v>250</v>
      </c>
      <c r="J132" s="102" t="n">
        <f aca="false">IF(B132="","",MONTH(B132))</f>
        <v>1</v>
      </c>
      <c r="K132" s="102" t="n">
        <f aca="false">IF(B132="","",YEAR(B132))</f>
        <v>2026</v>
      </c>
      <c r="L132" s="102" t="str">
        <f aca="false">IF(N(E132)=0,"",IF(COUNTIFS(AK_NAMA,C132,AK_KAT,"KAS")+COUNTIFS(AK_NAMA,D132,AK_KAT,"KAS")&lt;&gt;1,"",IF(COUNTIFS(AK_NAMA,C132,AK_KAT,"KAS")=1,D132,C132)))</f>
        <v>Beban Perlengkapan</v>
      </c>
      <c r="M132" s="103" t="n">
        <f aca="false">IF(L132="",0,IF(L132=D132,E132,-E132))</f>
        <v>-26000</v>
      </c>
      <c r="N132" s="102" t="str">
        <f aca="false">IF(L132="","",IFERROR(INDEX(AK_BARIS,MATCH(L132,AK_NAMA,0)),"?"))</f>
        <v>OP6</v>
      </c>
      <c r="O132" s="102" t="str">
        <f aca="false">IF(C132="","",IFERROR(INDEX(AK_KEL,MATCH(C132,AK_NAMA,0)),"?"))</f>
        <v>BEBAN</v>
      </c>
      <c r="P132" s="102" t="str">
        <f aca="false">IF(D132="","",IFERROR(INDEX(AK_KEL,MATCH(D132,AK_NAMA,0)),"?"))</f>
        <v>ASET</v>
      </c>
      <c r="Q132" s="102" t="n">
        <f aca="false">N(Q131)+IF(AND(N(E132)&lt;&gt;0,K132=TAHUN,N(J132)&lt;=BLN,OR(C132=BB_AKUN,D132=BB_AKUN)),1,0)</f>
        <v>88</v>
      </c>
      <c r="R132" s="104" t="str">
        <f aca="false">IF(OR(C132&amp;D132="",N(E132)=0),"",IF(OR(O132="?",P132="?"),"⚠ akun tidak dikenal",IF(C132=D132,"⚠ debet = kredit","")))</f>
        <v/>
      </c>
    </row>
    <row r="133" customFormat="false" ht="15" hidden="false" customHeight="false" outlineLevel="0" collapsed="false">
      <c r="A133" s="82" t="s">
        <v>701</v>
      </c>
      <c r="B133" s="101" t="n">
        <v>46050</v>
      </c>
      <c r="C133" s="82" t="s">
        <v>485</v>
      </c>
      <c r="D133" s="82" t="s">
        <v>486</v>
      </c>
      <c r="E133" s="91" t="n">
        <v>38000</v>
      </c>
      <c r="F133" s="82" t="s">
        <v>553</v>
      </c>
      <c r="G133" s="82"/>
      <c r="H133" s="82"/>
      <c r="I133" s="82" t="s">
        <v>250</v>
      </c>
      <c r="J133" s="102" t="n">
        <f aca="false">IF(B133="","",MONTH(B133))</f>
        <v>1</v>
      </c>
      <c r="K133" s="102" t="n">
        <f aca="false">IF(B133="","",YEAR(B133))</f>
        <v>2026</v>
      </c>
      <c r="L133" s="102" t="str">
        <f aca="false">IF(N(E133)=0,"",IF(COUNTIFS(AK_NAMA,C133,AK_KAT,"KAS")+COUNTIFS(AK_NAMA,D133,AK_KAT,"KAS")&lt;&gt;1,"",IF(COUNTIFS(AK_NAMA,C133,AK_KAT,"KAS")=1,D133,C133)))</f>
        <v>Biaya Operasional Harian</v>
      </c>
      <c r="M133" s="103" t="n">
        <f aca="false">IF(L133="",0,IF(L133=D133,E133,-E133))</f>
        <v>-38000</v>
      </c>
      <c r="N133" s="102" t="str">
        <f aca="false">IF(L133="","",IFERROR(INDEX(AK_BARIS,MATCH(L133,AK_NAMA,0)),"?"))</f>
        <v>OP6</v>
      </c>
      <c r="O133" s="102" t="str">
        <f aca="false">IF(C133="","",IFERROR(INDEX(AK_KEL,MATCH(C133,AK_NAMA,0)),"?"))</f>
        <v>BEBAN</v>
      </c>
      <c r="P133" s="102" t="str">
        <f aca="false">IF(D133="","",IFERROR(INDEX(AK_KEL,MATCH(D133,AK_NAMA,0)),"?"))</f>
        <v>ASET</v>
      </c>
      <c r="Q133" s="102" t="n">
        <f aca="false">N(Q132)+IF(AND(N(E133)&lt;&gt;0,K133=TAHUN,N(J133)&lt;=BLN,OR(C133=BB_AKUN,D133=BB_AKUN)),1,0)</f>
        <v>88</v>
      </c>
      <c r="R133" s="104" t="str">
        <f aca="false">IF(OR(C133&amp;D133="",N(E133)=0),"",IF(OR(O133="?",P133="?"),"⚠ akun tidak dikenal",IF(C133=D133,"⚠ debet = kredit","")))</f>
        <v/>
      </c>
    </row>
    <row r="134" customFormat="false" ht="15" hidden="false" customHeight="false" outlineLevel="0" collapsed="false">
      <c r="A134" s="82" t="s">
        <v>702</v>
      </c>
      <c r="B134" s="101" t="n">
        <v>46050</v>
      </c>
      <c r="C134" s="82" t="s">
        <v>485</v>
      </c>
      <c r="D134" s="82" t="s">
        <v>486</v>
      </c>
      <c r="E134" s="91" t="n">
        <v>20000</v>
      </c>
      <c r="F134" s="82" t="s">
        <v>555</v>
      </c>
      <c r="G134" s="82"/>
      <c r="H134" s="82"/>
      <c r="I134" s="82" t="s">
        <v>250</v>
      </c>
      <c r="J134" s="102" t="n">
        <f aca="false">IF(B134="","",MONTH(B134))</f>
        <v>1</v>
      </c>
      <c r="K134" s="102" t="n">
        <f aca="false">IF(B134="","",YEAR(B134))</f>
        <v>2026</v>
      </c>
      <c r="L134" s="102" t="str">
        <f aca="false">IF(N(E134)=0,"",IF(COUNTIFS(AK_NAMA,C134,AK_KAT,"KAS")+COUNTIFS(AK_NAMA,D134,AK_KAT,"KAS")&lt;&gt;1,"",IF(COUNTIFS(AK_NAMA,C134,AK_KAT,"KAS")=1,D134,C134)))</f>
        <v>Biaya Operasional Harian</v>
      </c>
      <c r="M134" s="103" t="n">
        <f aca="false">IF(L134="",0,IF(L134=D134,E134,-E134))</f>
        <v>-20000</v>
      </c>
      <c r="N134" s="102" t="str">
        <f aca="false">IF(L134="","",IFERROR(INDEX(AK_BARIS,MATCH(L134,AK_NAMA,0)),"?"))</f>
        <v>OP6</v>
      </c>
      <c r="O134" s="102" t="str">
        <f aca="false">IF(C134="","",IFERROR(INDEX(AK_KEL,MATCH(C134,AK_NAMA,0)),"?"))</f>
        <v>BEBAN</v>
      </c>
      <c r="P134" s="102" t="str">
        <f aca="false">IF(D134="","",IFERROR(INDEX(AK_KEL,MATCH(D134,AK_NAMA,0)),"?"))</f>
        <v>ASET</v>
      </c>
      <c r="Q134" s="102" t="n">
        <f aca="false">N(Q133)+IF(AND(N(E134)&lt;&gt;0,K134=TAHUN,N(J134)&lt;=BLN,OR(C134=BB_AKUN,D134=BB_AKUN)),1,0)</f>
        <v>88</v>
      </c>
      <c r="R134" s="104" t="str">
        <f aca="false">IF(OR(C134&amp;D134="",N(E134)=0),"",IF(OR(O134="?",P134="?"),"⚠ akun tidak dikenal",IF(C134=D134,"⚠ debet = kredit","")))</f>
        <v/>
      </c>
    </row>
    <row r="135" customFormat="false" ht="15" hidden="false" customHeight="false" outlineLevel="0" collapsed="false">
      <c r="A135" s="82" t="s">
        <v>703</v>
      </c>
      <c r="B135" s="101" t="n">
        <v>46050</v>
      </c>
      <c r="C135" s="82" t="s">
        <v>460</v>
      </c>
      <c r="D135" s="82" t="s">
        <v>486</v>
      </c>
      <c r="E135" s="91" t="n">
        <v>100000</v>
      </c>
      <c r="F135" s="82" t="s">
        <v>704</v>
      </c>
      <c r="G135" s="82" t="s">
        <v>387</v>
      </c>
      <c r="H135" s="82"/>
      <c r="I135" s="82" t="s">
        <v>250</v>
      </c>
      <c r="J135" s="102" t="n">
        <f aca="false">IF(B135="","",MONTH(B135))</f>
        <v>1</v>
      </c>
      <c r="K135" s="102" t="n">
        <f aca="false">IF(B135="","",YEAR(B135))</f>
        <v>2026</v>
      </c>
      <c r="L135" s="102" t="str">
        <f aca="false">IF(N(E135)=0,"",IF(COUNTIFS(AK_NAMA,C135,AK_KAT,"KAS")+COUNTIFS(AK_NAMA,D135,AK_KAT,"KAS")&lt;&gt;1,"",IF(COUNTIFS(AK_NAMA,C135,AK_KAT,"KAS")=1,D135,C135)))</f>
        <v>Biaya Marketing &amp; Promosi</v>
      </c>
      <c r="M135" s="103" t="n">
        <f aca="false">IF(L135="",0,IF(L135=D135,E135,-E135))</f>
        <v>-100000</v>
      </c>
      <c r="N135" s="102" t="str">
        <f aca="false">IF(L135="","",IFERROR(INDEX(AK_BARIS,MATCH(L135,AK_NAMA,0)),"?"))</f>
        <v>OP6</v>
      </c>
      <c r="O135" s="102" t="str">
        <f aca="false">IF(C135="","",IFERROR(INDEX(AK_KEL,MATCH(C135,AK_NAMA,0)),"?"))</f>
        <v>BEBAN</v>
      </c>
      <c r="P135" s="102" t="str">
        <f aca="false">IF(D135="","",IFERROR(INDEX(AK_KEL,MATCH(D135,AK_NAMA,0)),"?"))</f>
        <v>ASET</v>
      </c>
      <c r="Q135" s="102" t="n">
        <f aca="false">N(Q134)+IF(AND(N(E135)&lt;&gt;0,K135=TAHUN,N(J135)&lt;=BLN,OR(C135=BB_AKUN,D135=BB_AKUN)),1,0)</f>
        <v>88</v>
      </c>
      <c r="R135" s="104" t="str">
        <f aca="false">IF(OR(C135&amp;D135="",N(E135)=0),"",IF(OR(O135="?",P135="?"),"⚠ akun tidak dikenal",IF(C135=D135,"⚠ debet = kredit","")))</f>
        <v/>
      </c>
    </row>
    <row r="136" customFormat="false" ht="15" hidden="false" customHeight="false" outlineLevel="0" collapsed="false">
      <c r="A136" s="82" t="s">
        <v>705</v>
      </c>
      <c r="B136" s="101" t="n">
        <v>46050</v>
      </c>
      <c r="C136" s="82" t="s">
        <v>576</v>
      </c>
      <c r="D136" s="82" t="s">
        <v>486</v>
      </c>
      <c r="E136" s="91" t="n">
        <v>120000</v>
      </c>
      <c r="F136" s="82" t="s">
        <v>706</v>
      </c>
      <c r="G136" s="82"/>
      <c r="H136" s="82"/>
      <c r="I136" s="82" t="s">
        <v>250</v>
      </c>
      <c r="J136" s="102" t="n">
        <f aca="false">IF(B136="","",MONTH(B136))</f>
        <v>1</v>
      </c>
      <c r="K136" s="102" t="n">
        <f aca="false">IF(B136="","",YEAR(B136))</f>
        <v>2026</v>
      </c>
      <c r="L136" s="102" t="str">
        <f aca="false">IF(N(E136)=0,"",IF(COUNTIFS(AK_NAMA,C136,AK_KAT,"KAS")+COUNTIFS(AK_NAMA,D136,AK_KAT,"KAS")&lt;&gt;1,"",IF(COUNTIFS(AK_NAMA,C136,AK_KAT,"KAS")=1,D136,C136)))</f>
        <v>Beban Gaji</v>
      </c>
      <c r="M136" s="103" t="n">
        <f aca="false">IF(L136="",0,IF(L136=D136,E136,-E136))</f>
        <v>-120000</v>
      </c>
      <c r="N136" s="102" t="str">
        <f aca="false">IF(L136="","",IFERROR(INDEX(AK_BARIS,MATCH(L136,AK_NAMA,0)),"?"))</f>
        <v>OP4</v>
      </c>
      <c r="O136" s="102" t="str">
        <f aca="false">IF(C136="","",IFERROR(INDEX(AK_KEL,MATCH(C136,AK_NAMA,0)),"?"))</f>
        <v>BEBAN</v>
      </c>
      <c r="P136" s="102" t="str">
        <f aca="false">IF(D136="","",IFERROR(INDEX(AK_KEL,MATCH(D136,AK_NAMA,0)),"?"))</f>
        <v>ASET</v>
      </c>
      <c r="Q136" s="102" t="n">
        <f aca="false">N(Q135)+IF(AND(N(E136)&lt;&gt;0,K136=TAHUN,N(J136)&lt;=BLN,OR(C136=BB_AKUN,D136=BB_AKUN)),1,0)</f>
        <v>88</v>
      </c>
      <c r="R136" s="104" t="str">
        <f aca="false">IF(OR(C136&amp;D136="",N(E136)=0),"",IF(OR(O136="?",P136="?"),"⚠ akun tidak dikenal",IF(C136=D136,"⚠ debet = kredit","")))</f>
        <v/>
      </c>
    </row>
    <row r="137" customFormat="false" ht="15" hidden="false" customHeight="false" outlineLevel="0" collapsed="false">
      <c r="A137" s="82" t="s">
        <v>707</v>
      </c>
      <c r="B137" s="101" t="n">
        <v>46050</v>
      </c>
      <c r="C137" s="82" t="s">
        <v>524</v>
      </c>
      <c r="D137" s="82" t="s">
        <v>486</v>
      </c>
      <c r="E137" s="91" t="n">
        <v>150000</v>
      </c>
      <c r="F137" s="82" t="s">
        <v>708</v>
      </c>
      <c r="G137" s="82"/>
      <c r="H137" s="82"/>
      <c r="I137" s="82" t="s">
        <v>250</v>
      </c>
      <c r="J137" s="102" t="n">
        <f aca="false">IF(B137="","",MONTH(B137))</f>
        <v>1</v>
      </c>
      <c r="K137" s="102" t="n">
        <f aca="false">IF(B137="","",YEAR(B137))</f>
        <v>2026</v>
      </c>
      <c r="L137" s="102" t="str">
        <f aca="false">IF(N(E137)=0,"",IF(COUNTIFS(AK_NAMA,C137,AK_KAT,"KAS")+COUNTIFS(AK_NAMA,D137,AK_KAT,"KAS")&lt;&gt;1,"",IF(COUNTIFS(AK_NAMA,C137,AK_KAT,"KAS")=1,D137,C137)))</f>
        <v>Biaya Lainnya</v>
      </c>
      <c r="M137" s="103" t="n">
        <f aca="false">IF(L137="",0,IF(L137=D137,E137,-E137))</f>
        <v>-150000</v>
      </c>
      <c r="N137" s="102" t="str">
        <f aca="false">IF(L137="","",IFERROR(INDEX(AK_BARIS,MATCH(L137,AK_NAMA,0)),"?"))</f>
        <v>OP2</v>
      </c>
      <c r="O137" s="102" t="str">
        <f aca="false">IF(C137="","",IFERROR(INDEX(AK_KEL,MATCH(C137,AK_NAMA,0)),"?"))</f>
        <v>BEBAN</v>
      </c>
      <c r="P137" s="102" t="str">
        <f aca="false">IF(D137="","",IFERROR(INDEX(AK_KEL,MATCH(D137,AK_NAMA,0)),"?"))</f>
        <v>ASET</v>
      </c>
      <c r="Q137" s="102" t="n">
        <f aca="false">N(Q136)+IF(AND(N(E137)&lt;&gt;0,K137=TAHUN,N(J137)&lt;=BLN,OR(C137=BB_AKUN,D137=BB_AKUN)),1,0)</f>
        <v>88</v>
      </c>
      <c r="R137" s="104" t="str">
        <f aca="false">IF(OR(C137&amp;D137="",N(E137)=0),"",IF(OR(O137="?",P137="?"),"⚠ akun tidak dikenal",IF(C137=D137,"⚠ debet = kredit","")))</f>
        <v/>
      </c>
    </row>
    <row r="138" customFormat="false" ht="15" hidden="false" customHeight="false" outlineLevel="0" collapsed="false">
      <c r="A138" s="82" t="s">
        <v>709</v>
      </c>
      <c r="B138" s="101" t="n">
        <v>46050</v>
      </c>
      <c r="C138" s="82" t="s">
        <v>475</v>
      </c>
      <c r="D138" s="82" t="s">
        <v>486</v>
      </c>
      <c r="E138" s="91" t="n">
        <v>92600</v>
      </c>
      <c r="F138" s="82" t="s">
        <v>540</v>
      </c>
      <c r="G138" s="82"/>
      <c r="H138" s="82"/>
      <c r="I138" s="82" t="s">
        <v>250</v>
      </c>
      <c r="J138" s="102" t="n">
        <f aca="false">IF(B138="","",MONTH(B138))</f>
        <v>1</v>
      </c>
      <c r="K138" s="102" t="n">
        <f aca="false">IF(B138="","",YEAR(B138))</f>
        <v>2026</v>
      </c>
      <c r="L138" s="102" t="str">
        <f aca="false">IF(N(E138)=0,"",IF(COUNTIFS(AK_NAMA,C138,AK_KAT,"KAS")+COUNTIFS(AK_NAMA,D138,AK_KAT,"KAS")&lt;&gt;1,"",IF(COUNTIFS(AK_NAMA,C138,AK_KAT,"KAS")=1,D138,C138)))</f>
        <v/>
      </c>
      <c r="M138" s="103" t="n">
        <f aca="false">IF(L138="",0,IF(L138=D138,E138,-E138))</f>
        <v>0</v>
      </c>
      <c r="N138" s="102" t="str">
        <f aca="false">IF(L138="","",IFERROR(INDEX(AK_BARIS,MATCH(L138,AK_NAMA,0)),"?"))</f>
        <v/>
      </c>
      <c r="O138" s="102" t="str">
        <f aca="false">IF(C138="","",IFERROR(INDEX(AK_KEL,MATCH(C138,AK_NAMA,0)),"?"))</f>
        <v>ASET</v>
      </c>
      <c r="P138" s="102" t="str">
        <f aca="false">IF(D138="","",IFERROR(INDEX(AK_KEL,MATCH(D138,AK_NAMA,0)),"?"))</f>
        <v>ASET</v>
      </c>
      <c r="Q138" s="102" t="n">
        <f aca="false">N(Q137)+IF(AND(N(E138)&lt;&gt;0,K138=TAHUN,N(J138)&lt;=BLN,OR(C138=BB_AKUN,D138=BB_AKUN)),1,0)</f>
        <v>88</v>
      </c>
      <c r="R138" s="104" t="str">
        <f aca="false">IF(OR(C138&amp;D138="",N(E138)=0),"",IF(OR(O138="?",P138="?"),"⚠ akun tidak dikenal",IF(C138=D138,"⚠ debet = kredit","")))</f>
        <v/>
      </c>
    </row>
    <row r="139" customFormat="false" ht="15" hidden="false" customHeight="false" outlineLevel="0" collapsed="false">
      <c r="A139" s="82" t="s">
        <v>710</v>
      </c>
      <c r="B139" s="101" t="n">
        <v>46050</v>
      </c>
      <c r="C139" s="82" t="s">
        <v>486</v>
      </c>
      <c r="D139" s="82" t="s">
        <v>557</v>
      </c>
      <c r="E139" s="91" t="n">
        <v>100</v>
      </c>
      <c r="F139" s="82" t="s">
        <v>558</v>
      </c>
      <c r="G139" s="82"/>
      <c r="H139" s="82"/>
      <c r="I139" s="82" t="s">
        <v>250</v>
      </c>
      <c r="J139" s="102" t="n">
        <f aca="false">IF(B139="","",MONTH(B139))</f>
        <v>1</v>
      </c>
      <c r="K139" s="102" t="n">
        <f aca="false">IF(B139="","",YEAR(B139))</f>
        <v>2026</v>
      </c>
      <c r="L139" s="102" t="str">
        <f aca="false">IF(N(E139)=0,"",IF(COUNTIFS(AK_NAMA,C139,AK_KAT,"KAS")+COUNTIFS(AK_NAMA,D139,AK_KAT,"KAS")&lt;&gt;1,"",IF(COUNTIFS(AK_NAMA,C139,AK_KAT,"KAS")=1,D139,C139)))</f>
        <v>Pendapatan Lainnya</v>
      </c>
      <c r="M139" s="103" t="n">
        <f aca="false">IF(L139="",0,IF(L139=D139,E139,-E139))</f>
        <v>100</v>
      </c>
      <c r="N139" s="102" t="str">
        <f aca="false">IF(L139="","",IFERROR(INDEX(AK_BARIS,MATCH(L139,AK_NAMA,0)),"?"))</f>
        <v>OP2</v>
      </c>
      <c r="O139" s="102" t="str">
        <f aca="false">IF(C139="","",IFERROR(INDEX(AK_KEL,MATCH(C139,AK_NAMA,0)),"?"))</f>
        <v>ASET</v>
      </c>
      <c r="P139" s="102" t="str">
        <f aca="false">IF(D139="","",IFERROR(INDEX(AK_KEL,MATCH(D139,AK_NAMA,0)),"?"))</f>
        <v>PENDAPATAN</v>
      </c>
      <c r="Q139" s="102" t="n">
        <f aca="false">N(Q138)+IF(AND(N(E139)&lt;&gt;0,K139=TAHUN,N(J139)&lt;=BLN,OR(C139=BB_AKUN,D139=BB_AKUN)),1,0)</f>
        <v>88</v>
      </c>
      <c r="R139" s="104" t="str">
        <f aca="false">IF(OR(C139&amp;D139="",N(E139)=0),"",IF(OR(O139="?",P139="?"),"⚠ akun tidak dikenal",IF(C139=D139,"⚠ debet = kredit","")))</f>
        <v/>
      </c>
    </row>
    <row r="140" customFormat="false" ht="15" hidden="false" customHeight="false" outlineLevel="0" collapsed="false">
      <c r="A140" s="82" t="s">
        <v>711</v>
      </c>
      <c r="B140" s="101" t="n">
        <v>46050</v>
      </c>
      <c r="C140" s="82" t="s">
        <v>524</v>
      </c>
      <c r="D140" s="82" t="s">
        <v>486</v>
      </c>
      <c r="E140" s="91" t="n">
        <v>100000</v>
      </c>
      <c r="F140" s="82" t="s">
        <v>712</v>
      </c>
      <c r="G140" s="82"/>
      <c r="H140" s="82"/>
      <c r="I140" s="82" t="s">
        <v>250</v>
      </c>
      <c r="J140" s="102" t="n">
        <f aca="false">IF(B140="","",MONTH(B140))</f>
        <v>1</v>
      </c>
      <c r="K140" s="102" t="n">
        <f aca="false">IF(B140="","",YEAR(B140))</f>
        <v>2026</v>
      </c>
      <c r="L140" s="102" t="str">
        <f aca="false">IF(N(E140)=0,"",IF(COUNTIFS(AK_NAMA,C140,AK_KAT,"KAS")+COUNTIFS(AK_NAMA,D140,AK_KAT,"KAS")&lt;&gt;1,"",IF(COUNTIFS(AK_NAMA,C140,AK_KAT,"KAS")=1,D140,C140)))</f>
        <v>Biaya Lainnya</v>
      </c>
      <c r="M140" s="103" t="n">
        <f aca="false">IF(L140="",0,IF(L140=D140,E140,-E140))</f>
        <v>-100000</v>
      </c>
      <c r="N140" s="102" t="str">
        <f aca="false">IF(L140="","",IFERROR(INDEX(AK_BARIS,MATCH(L140,AK_NAMA,0)),"?"))</f>
        <v>OP2</v>
      </c>
      <c r="O140" s="102" t="str">
        <f aca="false">IF(C140="","",IFERROR(INDEX(AK_KEL,MATCH(C140,AK_NAMA,0)),"?"))</f>
        <v>BEBAN</v>
      </c>
      <c r="P140" s="102" t="str">
        <f aca="false">IF(D140="","",IFERROR(INDEX(AK_KEL,MATCH(D140,AK_NAMA,0)),"?"))</f>
        <v>ASET</v>
      </c>
      <c r="Q140" s="102" t="n">
        <f aca="false">N(Q139)+IF(AND(N(E140)&lt;&gt;0,K140=TAHUN,N(J140)&lt;=BLN,OR(C140=BB_AKUN,D140=BB_AKUN)),1,0)</f>
        <v>88</v>
      </c>
      <c r="R140" s="104" t="str">
        <f aca="false">IF(OR(C140&amp;D140="",N(E140)=0),"",IF(OR(O140="?",P140="?"),"⚠ akun tidak dikenal",IF(C140=D140,"⚠ debet = kredit","")))</f>
        <v/>
      </c>
    </row>
    <row r="141" customFormat="false" ht="15" hidden="false" customHeight="false" outlineLevel="0" collapsed="false">
      <c r="A141" s="82" t="s">
        <v>713</v>
      </c>
      <c r="B141" s="101" t="n">
        <v>46050</v>
      </c>
      <c r="C141" s="82" t="s">
        <v>486</v>
      </c>
      <c r="D141" s="82" t="s">
        <v>475</v>
      </c>
      <c r="E141" s="91" t="n">
        <v>1000000</v>
      </c>
      <c r="F141" s="82" t="s">
        <v>622</v>
      </c>
      <c r="G141" s="82"/>
      <c r="H141" s="82"/>
      <c r="I141" s="82" t="s">
        <v>250</v>
      </c>
      <c r="J141" s="102" t="n">
        <f aca="false">IF(B141="","",MONTH(B141))</f>
        <v>1</v>
      </c>
      <c r="K141" s="102" t="n">
        <f aca="false">IF(B141="","",YEAR(B141))</f>
        <v>2026</v>
      </c>
      <c r="L141" s="102" t="str">
        <f aca="false">IF(N(E141)=0,"",IF(COUNTIFS(AK_NAMA,C141,AK_KAT,"KAS")+COUNTIFS(AK_NAMA,D141,AK_KAT,"KAS")&lt;&gt;1,"",IF(COUNTIFS(AK_NAMA,C141,AK_KAT,"KAS")=1,D141,C141)))</f>
        <v/>
      </c>
      <c r="M141" s="103" t="n">
        <f aca="false">IF(L141="",0,IF(L141=D141,E141,-E141))</f>
        <v>0</v>
      </c>
      <c r="N141" s="102" t="str">
        <f aca="false">IF(L141="","",IFERROR(INDEX(AK_BARIS,MATCH(L141,AK_NAMA,0)),"?"))</f>
        <v/>
      </c>
      <c r="O141" s="102" t="str">
        <f aca="false">IF(C141="","",IFERROR(INDEX(AK_KEL,MATCH(C141,AK_NAMA,0)),"?"))</f>
        <v>ASET</v>
      </c>
      <c r="P141" s="102" t="str">
        <f aca="false">IF(D141="","",IFERROR(INDEX(AK_KEL,MATCH(D141,AK_NAMA,0)),"?"))</f>
        <v>ASET</v>
      </c>
      <c r="Q141" s="102" t="n">
        <f aca="false">N(Q140)+IF(AND(N(E141)&lt;&gt;0,K141=TAHUN,N(J141)&lt;=BLN,OR(C141=BB_AKUN,D141=BB_AKUN)),1,0)</f>
        <v>88</v>
      </c>
      <c r="R141" s="104" t="str">
        <f aca="false">IF(OR(C141&amp;D141="",N(E141)=0),"",IF(OR(O141="?",P141="?"),"⚠ akun tidak dikenal",IF(C141=D141,"⚠ debet = kredit","")))</f>
        <v/>
      </c>
    </row>
    <row r="142" customFormat="false" ht="15" hidden="false" customHeight="false" outlineLevel="0" collapsed="false">
      <c r="A142" s="82" t="s">
        <v>714</v>
      </c>
      <c r="B142" s="101" t="n">
        <v>46050</v>
      </c>
      <c r="C142" s="82" t="s">
        <v>475</v>
      </c>
      <c r="D142" s="82" t="s">
        <v>461</v>
      </c>
      <c r="E142" s="91" t="n">
        <v>2500000</v>
      </c>
      <c r="F142" s="82" t="s">
        <v>574</v>
      </c>
      <c r="G142" s="82"/>
      <c r="H142" s="82"/>
      <c r="I142" s="82" t="s">
        <v>250</v>
      </c>
      <c r="J142" s="102" t="n">
        <f aca="false">IF(B142="","",MONTH(B142))</f>
        <v>1</v>
      </c>
      <c r="K142" s="102" t="n">
        <f aca="false">IF(B142="","",YEAR(B142))</f>
        <v>2026</v>
      </c>
      <c r="L142" s="102" t="str">
        <f aca="false">IF(N(E142)=0,"",IF(COUNTIFS(AK_NAMA,C142,AK_KAT,"KAS")+COUNTIFS(AK_NAMA,D142,AK_KAT,"KAS")&lt;&gt;1,"",IF(COUNTIFS(AK_NAMA,C142,AK_KAT,"KAS")=1,D142,C142)))</f>
        <v/>
      </c>
      <c r="M142" s="103" t="n">
        <f aca="false">IF(L142="",0,IF(L142=D142,E142,-E142))</f>
        <v>0</v>
      </c>
      <c r="N142" s="102" t="str">
        <f aca="false">IF(L142="","",IFERROR(INDEX(AK_BARIS,MATCH(L142,AK_NAMA,0)),"?"))</f>
        <v/>
      </c>
      <c r="O142" s="102" t="str">
        <f aca="false">IF(C142="","",IFERROR(INDEX(AK_KEL,MATCH(C142,AK_NAMA,0)),"?"))</f>
        <v>ASET</v>
      </c>
      <c r="P142" s="102" t="str">
        <f aca="false">IF(D142="","",IFERROR(INDEX(AK_KEL,MATCH(D142,AK_NAMA,0)),"?"))</f>
        <v>ASET</v>
      </c>
      <c r="Q142" s="102" t="n">
        <f aca="false">N(Q141)+IF(AND(N(E142)&lt;&gt;0,K142=TAHUN,N(J142)&lt;=BLN,OR(C142=BB_AKUN,D142=BB_AKUN)),1,0)</f>
        <v>89</v>
      </c>
      <c r="R142" s="104" t="str">
        <f aca="false">IF(OR(C142&amp;D142="",N(E142)=0),"",IF(OR(O142="?",P142="?"),"⚠ akun tidak dikenal",IF(C142=D142,"⚠ debet = kredit","")))</f>
        <v/>
      </c>
    </row>
    <row r="143" customFormat="false" ht="15" hidden="false" customHeight="false" outlineLevel="0" collapsed="false">
      <c r="A143" s="82" t="s">
        <v>715</v>
      </c>
      <c r="B143" s="101" t="n">
        <v>46050</v>
      </c>
      <c r="C143" s="82" t="s">
        <v>470</v>
      </c>
      <c r="D143" s="82" t="s">
        <v>461</v>
      </c>
      <c r="E143" s="91" t="n">
        <v>180000</v>
      </c>
      <c r="F143" s="82" t="s">
        <v>716</v>
      </c>
      <c r="G143" s="82"/>
      <c r="H143" s="82"/>
      <c r="I143" s="82" t="s">
        <v>250</v>
      </c>
      <c r="J143" s="102" t="n">
        <f aca="false">IF(B143="","",MONTH(B143))</f>
        <v>1</v>
      </c>
      <c r="K143" s="102" t="n">
        <f aca="false">IF(B143="","",YEAR(B143))</f>
        <v>2026</v>
      </c>
      <c r="L143" s="102" t="str">
        <f aca="false">IF(N(E143)=0,"",IF(COUNTIFS(AK_NAMA,C143,AK_KAT,"KAS")+COUNTIFS(AK_NAMA,D143,AK_KAT,"KAS")&lt;&gt;1,"",IF(COUNTIFS(AK_NAMA,C143,AK_KAT,"KAS")=1,D143,C143)))</f>
        <v>Biaya Bahan Baku</v>
      </c>
      <c r="M143" s="103" t="n">
        <f aca="false">IF(L143="",0,IF(L143=D143,E143,-E143))</f>
        <v>-180000</v>
      </c>
      <c r="N143" s="102" t="str">
        <f aca="false">IF(L143="","",IFERROR(INDEX(AK_BARIS,MATCH(L143,AK_NAMA,0)),"?"))</f>
        <v>OP3</v>
      </c>
      <c r="O143" s="102" t="str">
        <f aca="false">IF(C143="","",IFERROR(INDEX(AK_KEL,MATCH(C143,AK_NAMA,0)),"?"))</f>
        <v>BEBAN</v>
      </c>
      <c r="P143" s="102" t="str">
        <f aca="false">IF(D143="","",IFERROR(INDEX(AK_KEL,MATCH(D143,AK_NAMA,0)),"?"))</f>
        <v>ASET</v>
      </c>
      <c r="Q143" s="102" t="n">
        <f aca="false">N(Q142)+IF(AND(N(E143)&lt;&gt;0,K143=TAHUN,N(J143)&lt;=BLN,OR(C143=BB_AKUN,D143=BB_AKUN)),1,0)</f>
        <v>90</v>
      </c>
      <c r="R143" s="104" t="str">
        <f aca="false">IF(OR(C143&amp;D143="",N(E143)=0),"",IF(OR(O143="?",P143="?"),"⚠ akun tidak dikenal",IF(C143=D143,"⚠ debet = kredit","")))</f>
        <v/>
      </c>
    </row>
    <row r="144" customFormat="false" ht="15" hidden="false" customHeight="false" outlineLevel="0" collapsed="false">
      <c r="A144" s="82" t="s">
        <v>717</v>
      </c>
      <c r="B144" s="101" t="n">
        <v>46050</v>
      </c>
      <c r="C144" s="82" t="s">
        <v>718</v>
      </c>
      <c r="D144" s="82" t="s">
        <v>461</v>
      </c>
      <c r="E144" s="91" t="n">
        <v>4000000</v>
      </c>
      <c r="F144" s="82" t="s">
        <v>719</v>
      </c>
      <c r="G144" s="82"/>
      <c r="H144" s="82" t="s">
        <v>720</v>
      </c>
      <c r="I144" s="82" t="s">
        <v>250</v>
      </c>
      <c r="J144" s="102" t="n">
        <f aca="false">IF(B144="","",MONTH(B144))</f>
        <v>1</v>
      </c>
      <c r="K144" s="102" t="n">
        <f aca="false">IF(B144="","",YEAR(B144))</f>
        <v>2026</v>
      </c>
      <c r="L144" s="102" t="str">
        <f aca="false">IF(N(E144)=0,"",IF(COUNTIFS(AK_NAMA,C144,AK_KAT,"KAS")+COUNTIFS(AK_NAMA,D144,AK_KAT,"KAS")&lt;&gt;1,"",IF(COUNTIFS(AK_NAMA,C144,AK_KAT,"KAS")=1,D144,C144)))</f>
        <v>Piutang Lainnya</v>
      </c>
      <c r="M144" s="103" t="n">
        <f aca="false">IF(L144="",0,IF(L144=D144,E144,-E144))</f>
        <v>-4000000</v>
      </c>
      <c r="N144" s="102" t="str">
        <f aca="false">IF(L144="","",IFERROR(INDEX(AK_BARIS,MATCH(L144,AK_NAMA,0)),"?"))</f>
        <v>OP2</v>
      </c>
      <c r="O144" s="102" t="str">
        <f aca="false">IF(C144="","",IFERROR(INDEX(AK_KEL,MATCH(C144,AK_NAMA,0)),"?"))</f>
        <v>ASET</v>
      </c>
      <c r="P144" s="102" t="str">
        <f aca="false">IF(D144="","",IFERROR(INDEX(AK_KEL,MATCH(D144,AK_NAMA,0)),"?"))</f>
        <v>ASET</v>
      </c>
      <c r="Q144" s="102" t="n">
        <f aca="false">N(Q143)+IF(AND(N(E144)&lt;&gt;0,K144=TAHUN,N(J144)&lt;=BLN,OR(C144=BB_AKUN,D144=BB_AKUN)),1,0)</f>
        <v>91</v>
      </c>
      <c r="R144" s="104" t="str">
        <f aca="false">IF(OR(C144&amp;D144="",N(E144)=0),"",IF(OR(O144="?",P144="?"),"⚠ akun tidak dikenal",IF(C144=D144,"⚠ debet = kredit","")))</f>
        <v/>
      </c>
    </row>
    <row r="145" customFormat="false" ht="15" hidden="false" customHeight="false" outlineLevel="0" collapsed="false">
      <c r="A145" s="82" t="s">
        <v>721</v>
      </c>
      <c r="B145" s="101" t="n">
        <v>46051</v>
      </c>
      <c r="C145" s="82" t="s">
        <v>461</v>
      </c>
      <c r="D145" s="82" t="s">
        <v>557</v>
      </c>
      <c r="E145" s="91" t="n">
        <v>100000</v>
      </c>
      <c r="F145" s="82" t="s">
        <v>722</v>
      </c>
      <c r="G145" s="82"/>
      <c r="H145" s="82"/>
      <c r="I145" s="82" t="s">
        <v>250</v>
      </c>
      <c r="J145" s="102" t="n">
        <f aca="false">IF(B145="","",MONTH(B145))</f>
        <v>1</v>
      </c>
      <c r="K145" s="102" t="n">
        <f aca="false">IF(B145="","",YEAR(B145))</f>
        <v>2026</v>
      </c>
      <c r="L145" s="102" t="str">
        <f aca="false">IF(N(E145)=0,"",IF(COUNTIFS(AK_NAMA,C145,AK_KAT,"KAS")+COUNTIFS(AK_NAMA,D145,AK_KAT,"KAS")&lt;&gt;1,"",IF(COUNTIFS(AK_NAMA,C145,AK_KAT,"KAS")=1,D145,C145)))</f>
        <v>Pendapatan Lainnya</v>
      </c>
      <c r="M145" s="103" t="n">
        <f aca="false">IF(L145="",0,IF(L145=D145,E145,-E145))</f>
        <v>100000</v>
      </c>
      <c r="N145" s="102" t="str">
        <f aca="false">IF(L145="","",IFERROR(INDEX(AK_BARIS,MATCH(L145,AK_NAMA,0)),"?"))</f>
        <v>OP2</v>
      </c>
      <c r="O145" s="102" t="str">
        <f aca="false">IF(C145="","",IFERROR(INDEX(AK_KEL,MATCH(C145,AK_NAMA,0)),"?"))</f>
        <v>ASET</v>
      </c>
      <c r="P145" s="102" t="str">
        <f aca="false">IF(D145="","",IFERROR(INDEX(AK_KEL,MATCH(D145,AK_NAMA,0)),"?"))</f>
        <v>PENDAPATAN</v>
      </c>
      <c r="Q145" s="102" t="n">
        <f aca="false">N(Q144)+IF(AND(N(E145)&lt;&gt;0,K145=TAHUN,N(J145)&lt;=BLN,OR(C145=BB_AKUN,D145=BB_AKUN)),1,0)</f>
        <v>92</v>
      </c>
      <c r="R145" s="104" t="str">
        <f aca="false">IF(OR(C145&amp;D145="",N(E145)=0),"",IF(OR(O145="?",P145="?"),"⚠ akun tidak dikenal",IF(C145=D145,"⚠ debet = kredit","")))</f>
        <v/>
      </c>
    </row>
    <row r="146" customFormat="false" ht="15" hidden="false" customHeight="false" outlineLevel="0" collapsed="false">
      <c r="A146" s="82" t="s">
        <v>723</v>
      </c>
      <c r="B146" s="101" t="n">
        <v>46051</v>
      </c>
      <c r="C146" s="82" t="s">
        <v>576</v>
      </c>
      <c r="D146" s="82" t="s">
        <v>461</v>
      </c>
      <c r="E146" s="91" t="n">
        <v>22300000</v>
      </c>
      <c r="F146" s="82" t="s">
        <v>724</v>
      </c>
      <c r="G146" s="82"/>
      <c r="H146" s="82"/>
      <c r="I146" s="82" t="s">
        <v>250</v>
      </c>
      <c r="J146" s="102" t="n">
        <f aca="false">IF(B146="","",MONTH(B146))</f>
        <v>1</v>
      </c>
      <c r="K146" s="102" t="n">
        <f aca="false">IF(B146="","",YEAR(B146))</f>
        <v>2026</v>
      </c>
      <c r="L146" s="102" t="str">
        <f aca="false">IF(N(E146)=0,"",IF(COUNTIFS(AK_NAMA,C146,AK_KAT,"KAS")+COUNTIFS(AK_NAMA,D146,AK_KAT,"KAS")&lt;&gt;1,"",IF(COUNTIFS(AK_NAMA,C146,AK_KAT,"KAS")=1,D146,C146)))</f>
        <v>Beban Gaji</v>
      </c>
      <c r="M146" s="103" t="n">
        <f aca="false">IF(L146="",0,IF(L146=D146,E146,-E146))</f>
        <v>-22300000</v>
      </c>
      <c r="N146" s="102" t="str">
        <f aca="false">IF(L146="","",IFERROR(INDEX(AK_BARIS,MATCH(L146,AK_NAMA,0)),"?"))</f>
        <v>OP4</v>
      </c>
      <c r="O146" s="102" t="str">
        <f aca="false">IF(C146="","",IFERROR(INDEX(AK_KEL,MATCH(C146,AK_NAMA,0)),"?"))</f>
        <v>BEBAN</v>
      </c>
      <c r="P146" s="102" t="str">
        <f aca="false">IF(D146="","",IFERROR(INDEX(AK_KEL,MATCH(D146,AK_NAMA,0)),"?"))</f>
        <v>ASET</v>
      </c>
      <c r="Q146" s="102" t="n">
        <f aca="false">N(Q145)+IF(AND(N(E146)&lt;&gt;0,K146=TAHUN,N(J146)&lt;=BLN,OR(C146=BB_AKUN,D146=BB_AKUN)),1,0)</f>
        <v>93</v>
      </c>
      <c r="R146" s="104" t="str">
        <f aca="false">IF(OR(C146&amp;D146="",N(E146)=0),"",IF(OR(O146="?",P146="?"),"⚠ akun tidak dikenal",IF(C146=D146,"⚠ debet = kredit","")))</f>
        <v/>
      </c>
    </row>
    <row r="147" customFormat="false" ht="15" hidden="false" customHeight="false" outlineLevel="0" collapsed="false">
      <c r="A147" s="82" t="s">
        <v>725</v>
      </c>
      <c r="B147" s="101" t="n">
        <v>46051</v>
      </c>
      <c r="C147" s="82" t="s">
        <v>576</v>
      </c>
      <c r="D147" s="82" t="s">
        <v>461</v>
      </c>
      <c r="E147" s="91" t="n">
        <v>2000000</v>
      </c>
      <c r="F147" s="82" t="s">
        <v>726</v>
      </c>
      <c r="G147" s="82"/>
      <c r="H147" s="82"/>
      <c r="I147" s="82" t="s">
        <v>250</v>
      </c>
      <c r="J147" s="102" t="n">
        <f aca="false">IF(B147="","",MONTH(B147))</f>
        <v>1</v>
      </c>
      <c r="K147" s="102" t="n">
        <f aca="false">IF(B147="","",YEAR(B147))</f>
        <v>2026</v>
      </c>
      <c r="L147" s="102" t="str">
        <f aca="false">IF(N(E147)=0,"",IF(COUNTIFS(AK_NAMA,C147,AK_KAT,"KAS")+COUNTIFS(AK_NAMA,D147,AK_KAT,"KAS")&lt;&gt;1,"",IF(COUNTIFS(AK_NAMA,C147,AK_KAT,"KAS")=1,D147,C147)))</f>
        <v>Beban Gaji</v>
      </c>
      <c r="M147" s="103" t="n">
        <f aca="false">IF(L147="",0,IF(L147=D147,E147,-E147))</f>
        <v>-2000000</v>
      </c>
      <c r="N147" s="102" t="str">
        <f aca="false">IF(L147="","",IFERROR(INDEX(AK_BARIS,MATCH(L147,AK_NAMA,0)),"?"))</f>
        <v>OP4</v>
      </c>
      <c r="O147" s="102" t="str">
        <f aca="false">IF(C147="","",IFERROR(INDEX(AK_KEL,MATCH(C147,AK_NAMA,0)),"?"))</f>
        <v>BEBAN</v>
      </c>
      <c r="P147" s="102" t="str">
        <f aca="false">IF(D147="","",IFERROR(INDEX(AK_KEL,MATCH(D147,AK_NAMA,0)),"?"))</f>
        <v>ASET</v>
      </c>
      <c r="Q147" s="102" t="n">
        <f aca="false">N(Q146)+IF(AND(N(E147)&lt;&gt;0,K147=TAHUN,N(J147)&lt;=BLN,OR(C147=BB_AKUN,D147=BB_AKUN)),1,0)</f>
        <v>94</v>
      </c>
      <c r="R147" s="104" t="str">
        <f aca="false">IF(OR(C147&amp;D147="",N(E147)=0),"",IF(OR(O147="?",P147="?"),"⚠ akun tidak dikenal",IF(C147=D147,"⚠ debet = kredit","")))</f>
        <v/>
      </c>
    </row>
    <row r="148" customFormat="false" ht="15" hidden="false" customHeight="false" outlineLevel="0" collapsed="false">
      <c r="A148" s="82" t="s">
        <v>727</v>
      </c>
      <c r="B148" s="101" t="n">
        <v>46051</v>
      </c>
      <c r="C148" s="82" t="s">
        <v>524</v>
      </c>
      <c r="D148" s="82" t="s">
        <v>461</v>
      </c>
      <c r="E148" s="91" t="n">
        <v>17651</v>
      </c>
      <c r="F148" s="82" t="s">
        <v>728</v>
      </c>
      <c r="G148" s="82"/>
      <c r="H148" s="82"/>
      <c r="I148" s="82" t="s">
        <v>250</v>
      </c>
      <c r="J148" s="102" t="n">
        <f aca="false">IF(B148="","",MONTH(B148))</f>
        <v>1</v>
      </c>
      <c r="K148" s="102" t="n">
        <f aca="false">IF(B148="","",YEAR(B148))</f>
        <v>2026</v>
      </c>
      <c r="L148" s="102" t="str">
        <f aca="false">IF(N(E148)=0,"",IF(COUNTIFS(AK_NAMA,C148,AK_KAT,"KAS")+COUNTIFS(AK_NAMA,D148,AK_KAT,"KAS")&lt;&gt;1,"",IF(COUNTIFS(AK_NAMA,C148,AK_KAT,"KAS")=1,D148,C148)))</f>
        <v>Biaya Lainnya</v>
      </c>
      <c r="M148" s="103" t="n">
        <f aca="false">IF(L148="",0,IF(L148=D148,E148,-E148))</f>
        <v>-17651</v>
      </c>
      <c r="N148" s="102" t="str">
        <f aca="false">IF(L148="","",IFERROR(INDEX(AK_BARIS,MATCH(L148,AK_NAMA,0)),"?"))</f>
        <v>OP2</v>
      </c>
      <c r="O148" s="102" t="str">
        <f aca="false">IF(C148="","",IFERROR(INDEX(AK_KEL,MATCH(C148,AK_NAMA,0)),"?"))</f>
        <v>BEBAN</v>
      </c>
      <c r="P148" s="102" t="str">
        <f aca="false">IF(D148="","",IFERROR(INDEX(AK_KEL,MATCH(D148,AK_NAMA,0)),"?"))</f>
        <v>ASET</v>
      </c>
      <c r="Q148" s="102" t="n">
        <f aca="false">N(Q147)+IF(AND(N(E148)&lt;&gt;0,K148=TAHUN,N(J148)&lt;=BLN,OR(C148=BB_AKUN,D148=BB_AKUN)),1,0)</f>
        <v>95</v>
      </c>
      <c r="R148" s="104" t="str">
        <f aca="false">IF(OR(C148&amp;D148="",N(E148)=0),"",IF(OR(O148="?",P148="?"),"⚠ akun tidak dikenal",IF(C148=D148,"⚠ debet = kredit","")))</f>
        <v/>
      </c>
    </row>
    <row r="149" customFormat="false" ht="15" hidden="false" customHeight="false" outlineLevel="0" collapsed="false">
      <c r="A149" s="82" t="s">
        <v>729</v>
      </c>
      <c r="B149" s="101" t="n">
        <v>46051</v>
      </c>
      <c r="C149" s="82" t="s">
        <v>730</v>
      </c>
      <c r="D149" s="82" t="s">
        <v>461</v>
      </c>
      <c r="E149" s="91" t="n">
        <v>10000000</v>
      </c>
      <c r="F149" s="82" t="s">
        <v>731</v>
      </c>
      <c r="G149" s="82"/>
      <c r="H149" s="82"/>
      <c r="I149" s="82" t="s">
        <v>250</v>
      </c>
      <c r="J149" s="102" t="n">
        <f aca="false">IF(B149="","",MONTH(B149))</f>
        <v>1</v>
      </c>
      <c r="K149" s="102" t="n">
        <f aca="false">IF(B149="","",YEAR(B149))</f>
        <v>2026</v>
      </c>
      <c r="L149" s="102" t="str">
        <f aca="false">IF(N(E149)=0,"",IF(COUNTIFS(AK_NAMA,C149,AK_KAT,"KAS")+COUNTIFS(AK_NAMA,D149,AK_KAT,"KAS")&lt;&gt;1,"",IF(COUNTIFS(AK_NAMA,C149,AK_KAT,"KAS")=1,D149,C149)))</f>
        <v>Biaya Sewa Tempat</v>
      </c>
      <c r="M149" s="103" t="n">
        <f aca="false">IF(L149="",0,IF(L149=D149,E149,-E149))</f>
        <v>-10000000</v>
      </c>
      <c r="N149" s="102" t="str">
        <f aca="false">IF(L149="","",IFERROR(INDEX(AK_BARIS,MATCH(L149,AK_NAMA,0)),"?"))</f>
        <v>OP5</v>
      </c>
      <c r="O149" s="102" t="str">
        <f aca="false">IF(C149="","",IFERROR(INDEX(AK_KEL,MATCH(C149,AK_NAMA,0)),"?"))</f>
        <v>BEBAN</v>
      </c>
      <c r="P149" s="102" t="str">
        <f aca="false">IF(D149="","",IFERROR(INDEX(AK_KEL,MATCH(D149,AK_NAMA,0)),"?"))</f>
        <v>ASET</v>
      </c>
      <c r="Q149" s="102" t="n">
        <f aca="false">N(Q148)+IF(AND(N(E149)&lt;&gt;0,K149=TAHUN,N(J149)&lt;=BLN,OR(C149=BB_AKUN,D149=BB_AKUN)),1,0)</f>
        <v>96</v>
      </c>
      <c r="R149" s="104" t="str">
        <f aca="false">IF(OR(C149&amp;D149="",N(E149)=0),"",IF(OR(O149="?",P149="?"),"⚠ akun tidak dikenal",IF(C149=D149,"⚠ debet = kredit","")))</f>
        <v/>
      </c>
    </row>
    <row r="150" customFormat="false" ht="15" hidden="false" customHeight="false" outlineLevel="0" collapsed="false">
      <c r="A150" s="82" t="s">
        <v>732</v>
      </c>
      <c r="B150" s="101" t="n">
        <v>46051</v>
      </c>
      <c r="C150" s="82" t="s">
        <v>470</v>
      </c>
      <c r="D150" s="82" t="s">
        <v>461</v>
      </c>
      <c r="E150" s="91" t="n">
        <v>6240000</v>
      </c>
      <c r="F150" s="82" t="s">
        <v>733</v>
      </c>
      <c r="G150" s="82"/>
      <c r="H150" s="82"/>
      <c r="I150" s="82" t="s">
        <v>250</v>
      </c>
      <c r="J150" s="102" t="n">
        <f aca="false">IF(B150="","",MONTH(B150))</f>
        <v>1</v>
      </c>
      <c r="K150" s="102" t="n">
        <f aca="false">IF(B150="","",YEAR(B150))</f>
        <v>2026</v>
      </c>
      <c r="L150" s="102" t="str">
        <f aca="false">IF(N(E150)=0,"",IF(COUNTIFS(AK_NAMA,C150,AK_KAT,"KAS")+COUNTIFS(AK_NAMA,D150,AK_KAT,"KAS")&lt;&gt;1,"",IF(COUNTIFS(AK_NAMA,C150,AK_KAT,"KAS")=1,D150,C150)))</f>
        <v>Biaya Bahan Baku</v>
      </c>
      <c r="M150" s="103" t="n">
        <f aca="false">IF(L150="",0,IF(L150=D150,E150,-E150))</f>
        <v>-6240000</v>
      </c>
      <c r="N150" s="102" t="str">
        <f aca="false">IF(L150="","",IFERROR(INDEX(AK_BARIS,MATCH(L150,AK_NAMA,0)),"?"))</f>
        <v>OP3</v>
      </c>
      <c r="O150" s="102" t="str">
        <f aca="false">IF(C150="","",IFERROR(INDEX(AK_KEL,MATCH(C150,AK_NAMA,0)),"?"))</f>
        <v>BEBAN</v>
      </c>
      <c r="P150" s="102" t="str">
        <f aca="false">IF(D150="","",IFERROR(INDEX(AK_KEL,MATCH(D150,AK_NAMA,0)),"?"))</f>
        <v>ASET</v>
      </c>
      <c r="Q150" s="102" t="n">
        <f aca="false">N(Q149)+IF(AND(N(E150)&lt;&gt;0,K150=TAHUN,N(J150)&lt;=BLN,OR(C150=BB_AKUN,D150=BB_AKUN)),1,0)</f>
        <v>97</v>
      </c>
      <c r="R150" s="104" t="str">
        <f aca="false">IF(OR(C150&amp;D150="",N(E150)=0),"",IF(OR(O150="?",P150="?"),"⚠ akun tidak dikenal",IF(C150=D150,"⚠ debet = kredit","")))</f>
        <v/>
      </c>
    </row>
    <row r="151" customFormat="false" ht="15" hidden="false" customHeight="false" outlineLevel="0" collapsed="false">
      <c r="A151" s="82" t="s">
        <v>734</v>
      </c>
      <c r="B151" s="101" t="n">
        <v>46051</v>
      </c>
      <c r="C151" s="82" t="s">
        <v>524</v>
      </c>
      <c r="D151" s="82" t="s">
        <v>461</v>
      </c>
      <c r="E151" s="91" t="n">
        <v>2325</v>
      </c>
      <c r="F151" s="82" t="s">
        <v>525</v>
      </c>
      <c r="G151" s="82"/>
      <c r="H151" s="82"/>
      <c r="I151" s="82" t="s">
        <v>250</v>
      </c>
      <c r="J151" s="102" t="n">
        <f aca="false">IF(B151="","",MONTH(B151))</f>
        <v>1</v>
      </c>
      <c r="K151" s="102" t="n">
        <f aca="false">IF(B151="","",YEAR(B151))</f>
        <v>2026</v>
      </c>
      <c r="L151" s="102" t="str">
        <f aca="false">IF(N(E151)=0,"",IF(COUNTIFS(AK_NAMA,C151,AK_KAT,"KAS")+COUNTIFS(AK_NAMA,D151,AK_KAT,"KAS")&lt;&gt;1,"",IF(COUNTIFS(AK_NAMA,C151,AK_KAT,"KAS")=1,D151,C151)))</f>
        <v>Biaya Lainnya</v>
      </c>
      <c r="M151" s="103" t="n">
        <f aca="false">IF(L151="",0,IF(L151=D151,E151,-E151))</f>
        <v>-2325</v>
      </c>
      <c r="N151" s="102" t="str">
        <f aca="false">IF(L151="","",IFERROR(INDEX(AK_BARIS,MATCH(L151,AK_NAMA,0)),"?"))</f>
        <v>OP2</v>
      </c>
      <c r="O151" s="102" t="str">
        <f aca="false">IF(C151="","",IFERROR(INDEX(AK_KEL,MATCH(C151,AK_NAMA,0)),"?"))</f>
        <v>BEBAN</v>
      </c>
      <c r="P151" s="102" t="str">
        <f aca="false">IF(D151="","",IFERROR(INDEX(AK_KEL,MATCH(D151,AK_NAMA,0)),"?"))</f>
        <v>ASET</v>
      </c>
      <c r="Q151" s="102" t="n">
        <f aca="false">N(Q150)+IF(AND(N(E151)&lt;&gt;0,K151=TAHUN,N(J151)&lt;=BLN,OR(C151=BB_AKUN,D151=BB_AKUN)),1,0)</f>
        <v>98</v>
      </c>
      <c r="R151" s="104" t="str">
        <f aca="false">IF(OR(C151&amp;D151="",N(E151)=0),"",IF(OR(O151="?",P151="?"),"⚠ akun tidak dikenal",IF(C151=D151,"⚠ debet = kredit","")))</f>
        <v/>
      </c>
    </row>
    <row r="152" customFormat="false" ht="15" hidden="false" customHeight="false" outlineLevel="0" collapsed="false">
      <c r="A152" s="82" t="s">
        <v>735</v>
      </c>
      <c r="B152" s="101" t="n">
        <v>46053</v>
      </c>
      <c r="C152" s="82" t="s">
        <v>460</v>
      </c>
      <c r="D152" s="82" t="s">
        <v>461</v>
      </c>
      <c r="E152" s="91" t="n">
        <v>150000</v>
      </c>
      <c r="F152" s="82" t="s">
        <v>736</v>
      </c>
      <c r="G152" s="82"/>
      <c r="H152" s="82"/>
      <c r="I152" s="82" t="s">
        <v>250</v>
      </c>
      <c r="J152" s="102" t="n">
        <f aca="false">IF(B152="","",MONTH(B152))</f>
        <v>1</v>
      </c>
      <c r="K152" s="102" t="n">
        <f aca="false">IF(B152="","",YEAR(B152))</f>
        <v>2026</v>
      </c>
      <c r="L152" s="102" t="str">
        <f aca="false">IF(N(E152)=0,"",IF(COUNTIFS(AK_NAMA,C152,AK_KAT,"KAS")+COUNTIFS(AK_NAMA,D152,AK_KAT,"KAS")&lt;&gt;1,"",IF(COUNTIFS(AK_NAMA,C152,AK_KAT,"KAS")=1,D152,C152)))</f>
        <v>Biaya Marketing &amp; Promosi</v>
      </c>
      <c r="M152" s="103" t="n">
        <f aca="false">IF(L152="",0,IF(L152=D152,E152,-E152))</f>
        <v>-150000</v>
      </c>
      <c r="N152" s="102" t="str">
        <f aca="false">IF(L152="","",IFERROR(INDEX(AK_BARIS,MATCH(L152,AK_NAMA,0)),"?"))</f>
        <v>OP6</v>
      </c>
      <c r="O152" s="102" t="str">
        <f aca="false">IF(C152="","",IFERROR(INDEX(AK_KEL,MATCH(C152,AK_NAMA,0)),"?"))</f>
        <v>BEBAN</v>
      </c>
      <c r="P152" s="102" t="str">
        <f aca="false">IF(D152="","",IFERROR(INDEX(AK_KEL,MATCH(D152,AK_NAMA,0)),"?"))</f>
        <v>ASET</v>
      </c>
      <c r="Q152" s="102" t="n">
        <f aca="false">N(Q151)+IF(AND(N(E152)&lt;&gt;0,K152=TAHUN,N(J152)&lt;=BLN,OR(C152=BB_AKUN,D152=BB_AKUN)),1,0)</f>
        <v>99</v>
      </c>
      <c r="R152" s="104" t="str">
        <f aca="false">IF(OR(C152&amp;D152="",N(E152)=0),"",IF(OR(O152="?",P152="?"),"⚠ akun tidak dikenal",IF(C152=D152,"⚠ debet = kredit","")))</f>
        <v/>
      </c>
    </row>
    <row r="153" customFormat="false" ht="15" hidden="false" customHeight="false" outlineLevel="0" collapsed="false">
      <c r="A153" s="82" t="s">
        <v>737</v>
      </c>
      <c r="B153" s="101" t="n">
        <v>46053</v>
      </c>
      <c r="C153" s="82" t="s">
        <v>524</v>
      </c>
      <c r="D153" s="82" t="s">
        <v>461</v>
      </c>
      <c r="E153" s="91" t="n">
        <v>1336</v>
      </c>
      <c r="F153" s="82" t="s">
        <v>525</v>
      </c>
      <c r="G153" s="82"/>
      <c r="H153" s="82"/>
      <c r="I153" s="82" t="s">
        <v>250</v>
      </c>
      <c r="J153" s="102" t="n">
        <f aca="false">IF(B153="","",MONTH(B153))</f>
        <v>1</v>
      </c>
      <c r="K153" s="102" t="n">
        <f aca="false">IF(B153="","",YEAR(B153))</f>
        <v>2026</v>
      </c>
      <c r="L153" s="102" t="str">
        <f aca="false">IF(N(E153)=0,"",IF(COUNTIFS(AK_NAMA,C153,AK_KAT,"KAS")+COUNTIFS(AK_NAMA,D153,AK_KAT,"KAS")&lt;&gt;1,"",IF(COUNTIFS(AK_NAMA,C153,AK_KAT,"KAS")=1,D153,C153)))</f>
        <v>Biaya Lainnya</v>
      </c>
      <c r="M153" s="103" t="n">
        <f aca="false">IF(L153="",0,IF(L153=D153,E153,-E153))</f>
        <v>-1336</v>
      </c>
      <c r="N153" s="102" t="str">
        <f aca="false">IF(L153="","",IFERROR(INDEX(AK_BARIS,MATCH(L153,AK_NAMA,0)),"?"))</f>
        <v>OP2</v>
      </c>
      <c r="O153" s="102" t="str">
        <f aca="false">IF(C153="","",IFERROR(INDEX(AK_KEL,MATCH(C153,AK_NAMA,0)),"?"))</f>
        <v>BEBAN</v>
      </c>
      <c r="P153" s="102" t="str">
        <f aca="false">IF(D153="","",IFERROR(INDEX(AK_KEL,MATCH(D153,AK_NAMA,0)),"?"))</f>
        <v>ASET</v>
      </c>
      <c r="Q153" s="102" t="n">
        <f aca="false">N(Q152)+IF(AND(N(E153)&lt;&gt;0,K153=TAHUN,N(J153)&lt;=BLN,OR(C153=BB_AKUN,D153=BB_AKUN)),1,0)</f>
        <v>100</v>
      </c>
      <c r="R153" s="104" t="str">
        <f aca="false">IF(OR(C153&amp;D153="",N(E153)=0),"",IF(OR(O153="?",P153="?"),"⚠ akun tidak dikenal",IF(C153=D153,"⚠ debet = kredit","")))</f>
        <v/>
      </c>
    </row>
    <row r="154" customFormat="false" ht="15" hidden="false" customHeight="false" outlineLevel="0" collapsed="false">
      <c r="A154" s="82" t="s">
        <v>738</v>
      </c>
      <c r="B154" s="101" t="n">
        <v>46053</v>
      </c>
      <c r="C154" s="82" t="s">
        <v>470</v>
      </c>
      <c r="D154" s="82" t="s">
        <v>461</v>
      </c>
      <c r="E154" s="91" t="n">
        <v>741000</v>
      </c>
      <c r="F154" s="82" t="s">
        <v>739</v>
      </c>
      <c r="G154" s="82"/>
      <c r="H154" s="82"/>
      <c r="I154" s="82" t="s">
        <v>250</v>
      </c>
      <c r="J154" s="102" t="n">
        <f aca="false">IF(B154="","",MONTH(B154))</f>
        <v>1</v>
      </c>
      <c r="K154" s="102" t="n">
        <f aca="false">IF(B154="","",YEAR(B154))</f>
        <v>2026</v>
      </c>
      <c r="L154" s="102" t="str">
        <f aca="false">IF(N(E154)=0,"",IF(COUNTIFS(AK_NAMA,C154,AK_KAT,"KAS")+COUNTIFS(AK_NAMA,D154,AK_KAT,"KAS")&lt;&gt;1,"",IF(COUNTIFS(AK_NAMA,C154,AK_KAT,"KAS")=1,D154,C154)))</f>
        <v>Biaya Bahan Baku</v>
      </c>
      <c r="M154" s="103" t="n">
        <f aca="false">IF(L154="",0,IF(L154=D154,E154,-E154))</f>
        <v>-741000</v>
      </c>
      <c r="N154" s="102" t="str">
        <f aca="false">IF(L154="","",IFERROR(INDEX(AK_BARIS,MATCH(L154,AK_NAMA,0)),"?"))</f>
        <v>OP3</v>
      </c>
      <c r="O154" s="102" t="str">
        <f aca="false">IF(C154="","",IFERROR(INDEX(AK_KEL,MATCH(C154,AK_NAMA,0)),"?"))</f>
        <v>BEBAN</v>
      </c>
      <c r="P154" s="102" t="str">
        <f aca="false">IF(D154="","",IFERROR(INDEX(AK_KEL,MATCH(D154,AK_NAMA,0)),"?"))</f>
        <v>ASET</v>
      </c>
      <c r="Q154" s="102" t="n">
        <f aca="false">N(Q153)+IF(AND(N(E154)&lt;&gt;0,K154=TAHUN,N(J154)&lt;=BLN,OR(C154=BB_AKUN,D154=BB_AKUN)),1,0)</f>
        <v>101</v>
      </c>
      <c r="R154" s="104" t="str">
        <f aca="false">IF(OR(C154&amp;D154="",N(E154)=0),"",IF(OR(O154="?",P154="?"),"⚠ akun tidak dikenal",IF(C154=D154,"⚠ debet = kredit","")))</f>
        <v/>
      </c>
    </row>
    <row r="155" customFormat="false" ht="15" hidden="false" customHeight="false" outlineLevel="0" collapsed="false">
      <c r="A155" s="82" t="s">
        <v>740</v>
      </c>
      <c r="B155" s="101" t="n">
        <v>46053</v>
      </c>
      <c r="C155" s="82" t="s">
        <v>460</v>
      </c>
      <c r="D155" s="82" t="s">
        <v>461</v>
      </c>
      <c r="E155" s="91" t="n">
        <v>3150000</v>
      </c>
      <c r="F155" s="82" t="s">
        <v>741</v>
      </c>
      <c r="G155" s="82"/>
      <c r="H155" s="82"/>
      <c r="I155" s="82" t="s">
        <v>250</v>
      </c>
      <c r="J155" s="102" t="n">
        <f aca="false">IF(B155="","",MONTH(B155))</f>
        <v>1</v>
      </c>
      <c r="K155" s="102" t="n">
        <f aca="false">IF(B155="","",YEAR(B155))</f>
        <v>2026</v>
      </c>
      <c r="L155" s="102" t="str">
        <f aca="false">IF(N(E155)=0,"",IF(COUNTIFS(AK_NAMA,C155,AK_KAT,"KAS")+COUNTIFS(AK_NAMA,D155,AK_KAT,"KAS")&lt;&gt;1,"",IF(COUNTIFS(AK_NAMA,C155,AK_KAT,"KAS")=1,D155,C155)))</f>
        <v>Biaya Marketing &amp; Promosi</v>
      </c>
      <c r="M155" s="103" t="n">
        <f aca="false">IF(L155="",0,IF(L155=D155,E155,-E155))</f>
        <v>-3150000</v>
      </c>
      <c r="N155" s="102" t="str">
        <f aca="false">IF(L155="","",IFERROR(INDEX(AK_BARIS,MATCH(L155,AK_NAMA,0)),"?"))</f>
        <v>OP6</v>
      </c>
      <c r="O155" s="102" t="str">
        <f aca="false">IF(C155="","",IFERROR(INDEX(AK_KEL,MATCH(C155,AK_NAMA,0)),"?"))</f>
        <v>BEBAN</v>
      </c>
      <c r="P155" s="102" t="str">
        <f aca="false">IF(D155="","",IFERROR(INDEX(AK_KEL,MATCH(D155,AK_NAMA,0)),"?"))</f>
        <v>ASET</v>
      </c>
      <c r="Q155" s="102" t="n">
        <f aca="false">N(Q154)+IF(AND(N(E155)&lt;&gt;0,K155=TAHUN,N(J155)&lt;=BLN,OR(C155=BB_AKUN,D155=BB_AKUN)),1,0)</f>
        <v>102</v>
      </c>
      <c r="R155" s="104" t="str">
        <f aca="false">IF(OR(C155&amp;D155="",N(E155)=0),"",IF(OR(O155="?",P155="?"),"⚠ akun tidak dikenal",IF(C155=D155,"⚠ debet = kredit","")))</f>
        <v/>
      </c>
    </row>
    <row r="156" customFormat="false" ht="15" hidden="false" customHeight="false" outlineLevel="0" collapsed="false">
      <c r="A156" s="82" t="s">
        <v>742</v>
      </c>
      <c r="B156" s="101" t="n">
        <v>46053</v>
      </c>
      <c r="C156" s="82" t="s">
        <v>467</v>
      </c>
      <c r="D156" s="82" t="s">
        <v>461</v>
      </c>
      <c r="E156" s="91" t="n">
        <v>2000000</v>
      </c>
      <c r="F156" s="82" t="s">
        <v>743</v>
      </c>
      <c r="G156" s="82"/>
      <c r="H156" s="82"/>
      <c r="I156" s="82" t="s">
        <v>250</v>
      </c>
      <c r="J156" s="102" t="n">
        <f aca="false">IF(B156="","",MONTH(B156))</f>
        <v>1</v>
      </c>
      <c r="K156" s="102" t="n">
        <f aca="false">IF(B156="","",YEAR(B156))</f>
        <v>2026</v>
      </c>
      <c r="L156" s="102" t="str">
        <f aca="false">IF(N(E156)=0,"",IF(COUNTIFS(AK_NAMA,C156,AK_KAT,"KAS")+COUNTIFS(AK_NAMA,D156,AK_KAT,"KAS")&lt;&gt;1,"",IF(COUNTIFS(AK_NAMA,C156,AK_KAT,"KAS")=1,D156,C156)))</f>
        <v>Dana Sosial &amp; CSR</v>
      </c>
      <c r="M156" s="103" t="n">
        <f aca="false">IF(L156="",0,IF(L156=D156,E156,-E156))</f>
        <v>-2000000</v>
      </c>
      <c r="N156" s="102" t="str">
        <f aca="false">IF(L156="","",IFERROR(INDEX(AK_BARIS,MATCH(L156,AK_NAMA,0)),"?"))</f>
        <v>OP6</v>
      </c>
      <c r="O156" s="102" t="str">
        <f aca="false">IF(C156="","",IFERROR(INDEX(AK_KEL,MATCH(C156,AK_NAMA,0)),"?"))</f>
        <v>BEBAN</v>
      </c>
      <c r="P156" s="102" t="str">
        <f aca="false">IF(D156="","",IFERROR(INDEX(AK_KEL,MATCH(D156,AK_NAMA,0)),"?"))</f>
        <v>ASET</v>
      </c>
      <c r="Q156" s="102" t="n">
        <f aca="false">N(Q155)+IF(AND(N(E156)&lt;&gt;0,K156=TAHUN,N(J156)&lt;=BLN,OR(C156=BB_AKUN,D156=BB_AKUN)),1,0)</f>
        <v>103</v>
      </c>
      <c r="R156" s="104" t="str">
        <f aca="false">IF(OR(C156&amp;D156="",N(E156)=0),"",IF(OR(O156="?",P156="?"),"⚠ akun tidak dikenal",IF(C156=D156,"⚠ debet = kredit","")))</f>
        <v/>
      </c>
    </row>
    <row r="157" customFormat="false" ht="15" hidden="false" customHeight="false" outlineLevel="0" collapsed="false">
      <c r="A157" s="82" t="s">
        <v>744</v>
      </c>
      <c r="B157" s="101" t="n">
        <v>46053</v>
      </c>
      <c r="C157" s="82" t="s">
        <v>524</v>
      </c>
      <c r="D157" s="82" t="s">
        <v>461</v>
      </c>
      <c r="E157" s="91" t="n">
        <v>3326</v>
      </c>
      <c r="F157" s="82" t="s">
        <v>525</v>
      </c>
      <c r="G157" s="82"/>
      <c r="H157" s="82"/>
      <c r="I157" s="82" t="s">
        <v>250</v>
      </c>
      <c r="J157" s="102" t="n">
        <f aca="false">IF(B157="","",MONTH(B157))</f>
        <v>1</v>
      </c>
      <c r="K157" s="102" t="n">
        <f aca="false">IF(B157="","",YEAR(B157))</f>
        <v>2026</v>
      </c>
      <c r="L157" s="102" t="str">
        <f aca="false">IF(N(E157)=0,"",IF(COUNTIFS(AK_NAMA,C157,AK_KAT,"KAS")+COUNTIFS(AK_NAMA,D157,AK_KAT,"KAS")&lt;&gt;1,"",IF(COUNTIFS(AK_NAMA,C157,AK_KAT,"KAS")=1,D157,C157)))</f>
        <v>Biaya Lainnya</v>
      </c>
      <c r="M157" s="103" t="n">
        <f aca="false">IF(L157="",0,IF(L157=D157,E157,-E157))</f>
        <v>-3326</v>
      </c>
      <c r="N157" s="102" t="str">
        <f aca="false">IF(L157="","",IFERROR(INDEX(AK_BARIS,MATCH(L157,AK_NAMA,0)),"?"))</f>
        <v>OP2</v>
      </c>
      <c r="O157" s="102" t="str">
        <f aca="false">IF(C157="","",IFERROR(INDEX(AK_KEL,MATCH(C157,AK_NAMA,0)),"?"))</f>
        <v>BEBAN</v>
      </c>
      <c r="P157" s="102" t="str">
        <f aca="false">IF(D157="","",IFERROR(INDEX(AK_KEL,MATCH(D157,AK_NAMA,0)),"?"))</f>
        <v>ASET</v>
      </c>
      <c r="Q157" s="102" t="n">
        <f aca="false">N(Q156)+IF(AND(N(E157)&lt;&gt;0,K157=TAHUN,N(J157)&lt;=BLN,OR(C157=BB_AKUN,D157=BB_AKUN)),1,0)</f>
        <v>104</v>
      </c>
      <c r="R157" s="104" t="str">
        <f aca="false">IF(OR(C157&amp;D157="",N(E157)=0),"",IF(OR(O157="?",P157="?"),"⚠ akun tidak dikenal",IF(C157=D157,"⚠ debet = kredit","")))</f>
        <v/>
      </c>
    </row>
    <row r="158" customFormat="false" ht="15" hidden="false" customHeight="false" outlineLevel="0" collapsed="false">
      <c r="A158" s="82" t="s">
        <v>745</v>
      </c>
      <c r="B158" s="101" t="n">
        <v>46053</v>
      </c>
      <c r="C158" s="82" t="s">
        <v>460</v>
      </c>
      <c r="D158" s="82" t="s">
        <v>486</v>
      </c>
      <c r="E158" s="91" t="n">
        <v>200000</v>
      </c>
      <c r="F158" s="82" t="s">
        <v>746</v>
      </c>
      <c r="G158" s="82" t="s">
        <v>387</v>
      </c>
      <c r="H158" s="82"/>
      <c r="I158" s="82" t="s">
        <v>250</v>
      </c>
      <c r="J158" s="102" t="n">
        <f aca="false">IF(B158="","",MONTH(B158))</f>
        <v>1</v>
      </c>
      <c r="K158" s="102" t="n">
        <f aca="false">IF(B158="","",YEAR(B158))</f>
        <v>2026</v>
      </c>
      <c r="L158" s="102" t="str">
        <f aca="false">IF(N(E158)=0,"",IF(COUNTIFS(AK_NAMA,C158,AK_KAT,"KAS")+COUNTIFS(AK_NAMA,D158,AK_KAT,"KAS")&lt;&gt;1,"",IF(COUNTIFS(AK_NAMA,C158,AK_KAT,"KAS")=1,D158,C158)))</f>
        <v>Biaya Marketing &amp; Promosi</v>
      </c>
      <c r="M158" s="103" t="n">
        <f aca="false">IF(L158="",0,IF(L158=D158,E158,-E158))</f>
        <v>-200000</v>
      </c>
      <c r="N158" s="102" t="str">
        <f aca="false">IF(L158="","",IFERROR(INDEX(AK_BARIS,MATCH(L158,AK_NAMA,0)),"?"))</f>
        <v>OP6</v>
      </c>
      <c r="O158" s="102" t="str">
        <f aca="false">IF(C158="","",IFERROR(INDEX(AK_KEL,MATCH(C158,AK_NAMA,0)),"?"))</f>
        <v>BEBAN</v>
      </c>
      <c r="P158" s="102" t="str">
        <f aca="false">IF(D158="","",IFERROR(INDEX(AK_KEL,MATCH(D158,AK_NAMA,0)),"?"))</f>
        <v>ASET</v>
      </c>
      <c r="Q158" s="102" t="n">
        <f aca="false">N(Q157)+IF(AND(N(E158)&lt;&gt;0,K158=TAHUN,N(J158)&lt;=BLN,OR(C158=BB_AKUN,D158=BB_AKUN)),1,0)</f>
        <v>104</v>
      </c>
      <c r="R158" s="104" t="str">
        <f aca="false">IF(OR(C158&amp;D158="",N(E158)=0),"",IF(OR(O158="?",P158="?"),"⚠ akun tidak dikenal",IF(C158=D158,"⚠ debet = kredit","")))</f>
        <v/>
      </c>
    </row>
    <row r="159" customFormat="false" ht="15" hidden="false" customHeight="false" outlineLevel="0" collapsed="false">
      <c r="A159" s="82" t="s">
        <v>747</v>
      </c>
      <c r="B159" s="101" t="n">
        <v>46053</v>
      </c>
      <c r="C159" s="82" t="s">
        <v>455</v>
      </c>
      <c r="D159" s="82" t="s">
        <v>461</v>
      </c>
      <c r="E159" s="91" t="n">
        <v>950000</v>
      </c>
      <c r="F159" s="82" t="s">
        <v>748</v>
      </c>
      <c r="G159" s="82"/>
      <c r="H159" s="82"/>
      <c r="I159" s="82" t="s">
        <v>250</v>
      </c>
      <c r="J159" s="102" t="n">
        <f aca="false">IF(B159="","",MONTH(B159))</f>
        <v>1</v>
      </c>
      <c r="K159" s="102" t="n">
        <f aca="false">IF(B159="","",YEAR(B159))</f>
        <v>2026</v>
      </c>
      <c r="L159" s="102" t="str">
        <f aca="false">IF(N(E159)=0,"",IF(COUNTIFS(AK_NAMA,C159,AK_KAT,"KAS")+COUNTIFS(AK_NAMA,D159,AK_KAT,"KAS")&lt;&gt;1,"",IF(COUNTIFS(AK_NAMA,C159,AK_KAT,"KAS")=1,D159,C159)))</f>
        <v>Biaya Pemeliharaan</v>
      </c>
      <c r="M159" s="103" t="n">
        <f aca="false">IF(L159="",0,IF(L159=D159,E159,-E159))</f>
        <v>-950000</v>
      </c>
      <c r="N159" s="102" t="str">
        <f aca="false">IF(L159="","",IFERROR(INDEX(AK_BARIS,MATCH(L159,AK_NAMA,0)),"?"))</f>
        <v>OP6</v>
      </c>
      <c r="O159" s="102" t="str">
        <f aca="false">IF(C159="","",IFERROR(INDEX(AK_KEL,MATCH(C159,AK_NAMA,0)),"?"))</f>
        <v>BEBAN</v>
      </c>
      <c r="P159" s="102" t="str">
        <f aca="false">IF(D159="","",IFERROR(INDEX(AK_KEL,MATCH(D159,AK_NAMA,0)),"?"))</f>
        <v>ASET</v>
      </c>
      <c r="Q159" s="102" t="n">
        <f aca="false">N(Q158)+IF(AND(N(E159)&lt;&gt;0,K159=TAHUN,N(J159)&lt;=BLN,OR(C159=BB_AKUN,D159=BB_AKUN)),1,0)</f>
        <v>105</v>
      </c>
      <c r="R159" s="104" t="str">
        <f aca="false">IF(OR(C159&amp;D159="",N(E159)=0),"",IF(OR(O159="?",P159="?"),"⚠ akun tidak dikenal",IF(C159=D159,"⚠ debet = kredit","")))</f>
        <v/>
      </c>
    </row>
    <row r="160" customFormat="false" ht="15" hidden="false" customHeight="false" outlineLevel="0" collapsed="false">
      <c r="A160" s="82" t="s">
        <v>749</v>
      </c>
      <c r="B160" s="101" t="n">
        <v>46053</v>
      </c>
      <c r="C160" s="82" t="s">
        <v>524</v>
      </c>
      <c r="D160" s="82" t="s">
        <v>461</v>
      </c>
      <c r="E160" s="91" t="n">
        <v>2325</v>
      </c>
      <c r="F160" s="82" t="s">
        <v>525</v>
      </c>
      <c r="G160" s="82"/>
      <c r="H160" s="82"/>
      <c r="I160" s="82" t="s">
        <v>250</v>
      </c>
      <c r="J160" s="102" t="n">
        <f aca="false">IF(B160="","",MONTH(B160))</f>
        <v>1</v>
      </c>
      <c r="K160" s="102" t="n">
        <f aca="false">IF(B160="","",YEAR(B160))</f>
        <v>2026</v>
      </c>
      <c r="L160" s="102" t="str">
        <f aca="false">IF(N(E160)=0,"",IF(COUNTIFS(AK_NAMA,C160,AK_KAT,"KAS")+COUNTIFS(AK_NAMA,D160,AK_KAT,"KAS")&lt;&gt;1,"",IF(COUNTIFS(AK_NAMA,C160,AK_KAT,"KAS")=1,D160,C160)))</f>
        <v>Biaya Lainnya</v>
      </c>
      <c r="M160" s="103" t="n">
        <f aca="false">IF(L160="",0,IF(L160=D160,E160,-E160))</f>
        <v>-2325</v>
      </c>
      <c r="N160" s="102" t="str">
        <f aca="false">IF(L160="","",IFERROR(INDEX(AK_BARIS,MATCH(L160,AK_NAMA,0)),"?"))</f>
        <v>OP2</v>
      </c>
      <c r="O160" s="102" t="str">
        <f aca="false">IF(C160="","",IFERROR(INDEX(AK_KEL,MATCH(C160,AK_NAMA,0)),"?"))</f>
        <v>BEBAN</v>
      </c>
      <c r="P160" s="102" t="str">
        <f aca="false">IF(D160="","",IFERROR(INDEX(AK_KEL,MATCH(D160,AK_NAMA,0)),"?"))</f>
        <v>ASET</v>
      </c>
      <c r="Q160" s="102" t="n">
        <f aca="false">N(Q159)+IF(AND(N(E160)&lt;&gt;0,K160=TAHUN,N(J160)&lt;=BLN,OR(C160=BB_AKUN,D160=BB_AKUN)),1,0)</f>
        <v>106</v>
      </c>
      <c r="R160" s="104" t="str">
        <f aca="false">IF(OR(C160&amp;D160="",N(E160)=0),"",IF(OR(O160="?",P160="?"),"⚠ akun tidak dikenal",IF(C160=D160,"⚠ debet = kredit","")))</f>
        <v/>
      </c>
    </row>
    <row r="161" customFormat="false" ht="15" hidden="false" customHeight="false" outlineLevel="0" collapsed="false">
      <c r="A161" s="82" t="s">
        <v>750</v>
      </c>
      <c r="B161" s="101" t="n">
        <v>46053</v>
      </c>
      <c r="C161" s="82" t="s">
        <v>475</v>
      </c>
      <c r="D161" s="82" t="s">
        <v>486</v>
      </c>
      <c r="E161" s="91" t="n">
        <v>141000</v>
      </c>
      <c r="F161" s="82" t="s">
        <v>540</v>
      </c>
      <c r="G161" s="82"/>
      <c r="H161" s="82"/>
      <c r="I161" s="82" t="s">
        <v>250</v>
      </c>
      <c r="J161" s="102" t="n">
        <f aca="false">IF(B161="","",MONTH(B161))</f>
        <v>1</v>
      </c>
      <c r="K161" s="102" t="n">
        <f aca="false">IF(B161="","",YEAR(B161))</f>
        <v>2026</v>
      </c>
      <c r="L161" s="102" t="str">
        <f aca="false">IF(N(E161)=0,"",IF(COUNTIFS(AK_NAMA,C161,AK_KAT,"KAS")+COUNTIFS(AK_NAMA,D161,AK_KAT,"KAS")&lt;&gt;1,"",IF(COUNTIFS(AK_NAMA,C161,AK_KAT,"KAS")=1,D161,C161)))</f>
        <v/>
      </c>
      <c r="M161" s="103" t="n">
        <f aca="false">IF(L161="",0,IF(L161=D161,E161,-E161))</f>
        <v>0</v>
      </c>
      <c r="N161" s="102" t="str">
        <f aca="false">IF(L161="","",IFERROR(INDEX(AK_BARIS,MATCH(L161,AK_NAMA,0)),"?"))</f>
        <v/>
      </c>
      <c r="O161" s="102" t="str">
        <f aca="false">IF(C161="","",IFERROR(INDEX(AK_KEL,MATCH(C161,AK_NAMA,0)),"?"))</f>
        <v>ASET</v>
      </c>
      <c r="P161" s="102" t="str">
        <f aca="false">IF(D161="","",IFERROR(INDEX(AK_KEL,MATCH(D161,AK_NAMA,0)),"?"))</f>
        <v>ASET</v>
      </c>
      <c r="Q161" s="102" t="n">
        <f aca="false">N(Q160)+IF(AND(N(E161)&lt;&gt;0,K161=TAHUN,N(J161)&lt;=BLN,OR(C161=BB_AKUN,D161=BB_AKUN)),1,0)</f>
        <v>106</v>
      </c>
      <c r="R161" s="104" t="str">
        <f aca="false">IF(OR(C161&amp;D161="",N(E161)=0),"",IF(OR(O161="?",P161="?"),"⚠ akun tidak dikenal",IF(C161=D161,"⚠ debet = kredit","")))</f>
        <v/>
      </c>
    </row>
    <row r="162" customFormat="false" ht="15" hidden="false" customHeight="false" outlineLevel="0" collapsed="false">
      <c r="A162" s="82" t="s">
        <v>751</v>
      </c>
      <c r="B162" s="101" t="n">
        <v>46053</v>
      </c>
      <c r="C162" s="82" t="s">
        <v>486</v>
      </c>
      <c r="D162" s="82" t="s">
        <v>475</v>
      </c>
      <c r="E162" s="91" t="n">
        <v>500000</v>
      </c>
      <c r="F162" s="82" t="s">
        <v>752</v>
      </c>
      <c r="G162" s="82"/>
      <c r="H162" s="82"/>
      <c r="I162" s="82" t="s">
        <v>250</v>
      </c>
      <c r="J162" s="102" t="n">
        <f aca="false">IF(B162="","",MONTH(B162))</f>
        <v>1</v>
      </c>
      <c r="K162" s="102" t="n">
        <f aca="false">IF(B162="","",YEAR(B162))</f>
        <v>2026</v>
      </c>
      <c r="L162" s="102" t="str">
        <f aca="false">IF(N(E162)=0,"",IF(COUNTIFS(AK_NAMA,C162,AK_KAT,"KAS")+COUNTIFS(AK_NAMA,D162,AK_KAT,"KAS")&lt;&gt;1,"",IF(COUNTIFS(AK_NAMA,C162,AK_KAT,"KAS")=1,D162,C162)))</f>
        <v/>
      </c>
      <c r="M162" s="103" t="n">
        <f aca="false">IF(L162="",0,IF(L162=D162,E162,-E162))</f>
        <v>0</v>
      </c>
      <c r="N162" s="102" t="str">
        <f aca="false">IF(L162="","",IFERROR(INDEX(AK_BARIS,MATCH(L162,AK_NAMA,0)),"?"))</f>
        <v/>
      </c>
      <c r="O162" s="102" t="str">
        <f aca="false">IF(C162="","",IFERROR(INDEX(AK_KEL,MATCH(C162,AK_NAMA,0)),"?"))</f>
        <v>ASET</v>
      </c>
      <c r="P162" s="102" t="str">
        <f aca="false">IF(D162="","",IFERROR(INDEX(AK_KEL,MATCH(D162,AK_NAMA,0)),"?"))</f>
        <v>ASET</v>
      </c>
      <c r="Q162" s="102" t="n">
        <f aca="false">N(Q161)+IF(AND(N(E162)&lt;&gt;0,K162=TAHUN,N(J162)&lt;=BLN,OR(C162=BB_AKUN,D162=BB_AKUN)),1,0)</f>
        <v>106</v>
      </c>
      <c r="R162" s="104" t="str">
        <f aca="false">IF(OR(C162&amp;D162="",N(E162)=0),"",IF(OR(O162="?",P162="?"),"⚠ akun tidak dikenal",IF(C162=D162,"⚠ debet = kredit","")))</f>
        <v/>
      </c>
    </row>
    <row r="163" customFormat="false" ht="15" hidden="false" customHeight="false" outlineLevel="0" collapsed="false">
      <c r="A163" s="82" t="s">
        <v>753</v>
      </c>
      <c r="B163" s="101" t="n">
        <v>46053</v>
      </c>
      <c r="C163" s="82" t="s">
        <v>486</v>
      </c>
      <c r="D163" s="82" t="s">
        <v>475</v>
      </c>
      <c r="E163" s="91" t="n">
        <v>200000</v>
      </c>
      <c r="F163" s="82" t="s">
        <v>754</v>
      </c>
      <c r="G163" s="82"/>
      <c r="H163" s="82"/>
      <c r="I163" s="82" t="s">
        <v>250</v>
      </c>
      <c r="J163" s="102" t="n">
        <f aca="false">IF(B163="","",MONTH(B163))</f>
        <v>1</v>
      </c>
      <c r="K163" s="102" t="n">
        <f aca="false">IF(B163="","",YEAR(B163))</f>
        <v>2026</v>
      </c>
      <c r="L163" s="102" t="str">
        <f aca="false">IF(N(E163)=0,"",IF(COUNTIFS(AK_NAMA,C163,AK_KAT,"KAS")+COUNTIFS(AK_NAMA,D163,AK_KAT,"KAS")&lt;&gt;1,"",IF(COUNTIFS(AK_NAMA,C163,AK_KAT,"KAS")=1,D163,C163)))</f>
        <v/>
      </c>
      <c r="M163" s="103" t="n">
        <f aca="false">IF(L163="",0,IF(L163=D163,E163,-E163))</f>
        <v>0</v>
      </c>
      <c r="N163" s="102" t="str">
        <f aca="false">IF(L163="","",IFERROR(INDEX(AK_BARIS,MATCH(L163,AK_NAMA,0)),"?"))</f>
        <v/>
      </c>
      <c r="O163" s="102" t="str">
        <f aca="false">IF(C163="","",IFERROR(INDEX(AK_KEL,MATCH(C163,AK_NAMA,0)),"?"))</f>
        <v>ASET</v>
      </c>
      <c r="P163" s="102" t="str">
        <f aca="false">IF(D163="","",IFERROR(INDEX(AK_KEL,MATCH(D163,AK_NAMA,0)),"?"))</f>
        <v>ASET</v>
      </c>
      <c r="Q163" s="102" t="n">
        <f aca="false">N(Q162)+IF(AND(N(E163)&lt;&gt;0,K163=TAHUN,N(J163)&lt;=BLN,OR(C163=BB_AKUN,D163=BB_AKUN)),1,0)</f>
        <v>106</v>
      </c>
      <c r="R163" s="104" t="str">
        <f aca="false">IF(OR(C163&amp;D163="",N(E163)=0),"",IF(OR(O163="?",P163="?"),"⚠ akun tidak dikenal",IF(C163=D163,"⚠ debet = kredit","")))</f>
        <v/>
      </c>
    </row>
    <row r="164" customFormat="false" ht="15" hidden="false" customHeight="false" outlineLevel="0" collapsed="false">
      <c r="A164" s="82" t="s">
        <v>755</v>
      </c>
      <c r="B164" s="101" t="n">
        <v>46053</v>
      </c>
      <c r="C164" s="82" t="s">
        <v>470</v>
      </c>
      <c r="D164" s="82" t="s">
        <v>486</v>
      </c>
      <c r="E164" s="91" t="n">
        <v>654000</v>
      </c>
      <c r="F164" s="82" t="s">
        <v>546</v>
      </c>
      <c r="G164" s="82"/>
      <c r="H164" s="82"/>
      <c r="I164" s="82" t="s">
        <v>250</v>
      </c>
      <c r="J164" s="102" t="n">
        <f aca="false">IF(B164="","",MONTH(B164))</f>
        <v>1</v>
      </c>
      <c r="K164" s="102" t="n">
        <f aca="false">IF(B164="","",YEAR(B164))</f>
        <v>2026</v>
      </c>
      <c r="L164" s="102" t="str">
        <f aca="false">IF(N(E164)=0,"",IF(COUNTIFS(AK_NAMA,C164,AK_KAT,"KAS")+COUNTIFS(AK_NAMA,D164,AK_KAT,"KAS")&lt;&gt;1,"",IF(COUNTIFS(AK_NAMA,C164,AK_KAT,"KAS")=1,D164,C164)))</f>
        <v>Biaya Bahan Baku</v>
      </c>
      <c r="M164" s="103" t="n">
        <f aca="false">IF(L164="",0,IF(L164=D164,E164,-E164))</f>
        <v>-654000</v>
      </c>
      <c r="N164" s="102" t="str">
        <f aca="false">IF(L164="","",IFERROR(INDEX(AK_BARIS,MATCH(L164,AK_NAMA,0)),"?"))</f>
        <v>OP3</v>
      </c>
      <c r="O164" s="102" t="str">
        <f aca="false">IF(C164="","",IFERROR(INDEX(AK_KEL,MATCH(C164,AK_NAMA,0)),"?"))</f>
        <v>BEBAN</v>
      </c>
      <c r="P164" s="102" t="str">
        <f aca="false">IF(D164="","",IFERROR(INDEX(AK_KEL,MATCH(D164,AK_NAMA,0)),"?"))</f>
        <v>ASET</v>
      </c>
      <c r="Q164" s="102" t="n">
        <f aca="false">N(Q163)+IF(AND(N(E164)&lt;&gt;0,K164=TAHUN,N(J164)&lt;=BLN,OR(C164=BB_AKUN,D164=BB_AKUN)),1,0)</f>
        <v>106</v>
      </c>
      <c r="R164" s="104" t="str">
        <f aca="false">IF(OR(C164&amp;D164="",N(E164)=0),"",IF(OR(O164="?",P164="?"),"⚠ akun tidak dikenal",IF(C164=D164,"⚠ debet = kredit","")))</f>
        <v/>
      </c>
    </row>
    <row r="165" customFormat="false" ht="15" hidden="false" customHeight="false" outlineLevel="0" collapsed="false">
      <c r="A165" s="82" t="s">
        <v>756</v>
      </c>
      <c r="B165" s="101" t="n">
        <v>46053</v>
      </c>
      <c r="C165" s="82" t="s">
        <v>478</v>
      </c>
      <c r="D165" s="82" t="s">
        <v>486</v>
      </c>
      <c r="E165" s="91" t="n">
        <v>81000</v>
      </c>
      <c r="F165" s="82" t="s">
        <v>549</v>
      </c>
      <c r="G165" s="82"/>
      <c r="H165" s="82"/>
      <c r="I165" s="82" t="s">
        <v>250</v>
      </c>
      <c r="J165" s="102" t="n">
        <f aca="false">IF(B165="","",MONTH(B165))</f>
        <v>1</v>
      </c>
      <c r="K165" s="102" t="n">
        <f aca="false">IF(B165="","",YEAR(B165))</f>
        <v>2026</v>
      </c>
      <c r="L165" s="102" t="str">
        <f aca="false">IF(N(E165)=0,"",IF(COUNTIFS(AK_NAMA,C165,AK_KAT,"KAS")+COUNTIFS(AK_NAMA,D165,AK_KAT,"KAS")&lt;&gt;1,"",IF(COUNTIFS(AK_NAMA,C165,AK_KAT,"KAS")=1,D165,C165)))</f>
        <v>Biaya Penyajian</v>
      </c>
      <c r="M165" s="103" t="n">
        <f aca="false">IF(L165="",0,IF(L165=D165,E165,-E165))</f>
        <v>-81000</v>
      </c>
      <c r="N165" s="102" t="str">
        <f aca="false">IF(L165="","",IFERROR(INDEX(AK_BARIS,MATCH(L165,AK_NAMA,0)),"?"))</f>
        <v>OP3</v>
      </c>
      <c r="O165" s="102" t="str">
        <f aca="false">IF(C165="","",IFERROR(INDEX(AK_KEL,MATCH(C165,AK_NAMA,0)),"?"))</f>
        <v>BEBAN</v>
      </c>
      <c r="P165" s="102" t="str">
        <f aca="false">IF(D165="","",IFERROR(INDEX(AK_KEL,MATCH(D165,AK_NAMA,0)),"?"))</f>
        <v>ASET</v>
      </c>
      <c r="Q165" s="102" t="n">
        <f aca="false">N(Q164)+IF(AND(N(E165)&lt;&gt;0,K165=TAHUN,N(J165)&lt;=BLN,OR(C165=BB_AKUN,D165=BB_AKUN)),1,0)</f>
        <v>106</v>
      </c>
      <c r="R165" s="104" t="str">
        <f aca="false">IF(OR(C165&amp;D165="",N(E165)=0),"",IF(OR(O165="?",P165="?"),"⚠ akun tidak dikenal",IF(C165=D165,"⚠ debet = kredit","")))</f>
        <v/>
      </c>
    </row>
    <row r="166" customFormat="false" ht="15" hidden="false" customHeight="false" outlineLevel="0" collapsed="false">
      <c r="A166" s="82" t="s">
        <v>757</v>
      </c>
      <c r="B166" s="101" t="n">
        <v>46053</v>
      </c>
      <c r="C166" s="82" t="s">
        <v>548</v>
      </c>
      <c r="D166" s="82" t="s">
        <v>486</v>
      </c>
      <c r="E166" s="91" t="n">
        <v>104000</v>
      </c>
      <c r="F166" s="82" t="s">
        <v>551</v>
      </c>
      <c r="G166" s="82"/>
      <c r="H166" s="82"/>
      <c r="I166" s="82" t="s">
        <v>250</v>
      </c>
      <c r="J166" s="102" t="n">
        <f aca="false">IF(B166="","",MONTH(B166))</f>
        <v>1</v>
      </c>
      <c r="K166" s="102" t="n">
        <f aca="false">IF(B166="","",YEAR(B166))</f>
        <v>2026</v>
      </c>
      <c r="L166" s="102" t="str">
        <f aca="false">IF(N(E166)=0,"",IF(COUNTIFS(AK_NAMA,C166,AK_KAT,"KAS")+COUNTIFS(AK_NAMA,D166,AK_KAT,"KAS")&lt;&gt;1,"",IF(COUNTIFS(AK_NAMA,C166,AK_KAT,"KAS")=1,D166,C166)))</f>
        <v>Beban Perlengkapan</v>
      </c>
      <c r="M166" s="103" t="n">
        <f aca="false">IF(L166="",0,IF(L166=D166,E166,-E166))</f>
        <v>-104000</v>
      </c>
      <c r="N166" s="102" t="str">
        <f aca="false">IF(L166="","",IFERROR(INDEX(AK_BARIS,MATCH(L166,AK_NAMA,0)),"?"))</f>
        <v>OP6</v>
      </c>
      <c r="O166" s="102" t="str">
        <f aca="false">IF(C166="","",IFERROR(INDEX(AK_KEL,MATCH(C166,AK_NAMA,0)),"?"))</f>
        <v>BEBAN</v>
      </c>
      <c r="P166" s="102" t="str">
        <f aca="false">IF(D166="","",IFERROR(INDEX(AK_KEL,MATCH(D166,AK_NAMA,0)),"?"))</f>
        <v>ASET</v>
      </c>
      <c r="Q166" s="102" t="n">
        <f aca="false">N(Q165)+IF(AND(N(E166)&lt;&gt;0,K166=TAHUN,N(J166)&lt;=BLN,OR(C166=BB_AKUN,D166=BB_AKUN)),1,0)</f>
        <v>106</v>
      </c>
      <c r="R166" s="104" t="str">
        <f aca="false">IF(OR(C166&amp;D166="",N(E166)=0),"",IF(OR(O166="?",P166="?"),"⚠ akun tidak dikenal",IF(C166=D166,"⚠ debet = kredit","")))</f>
        <v/>
      </c>
    </row>
    <row r="167" customFormat="false" ht="15" hidden="false" customHeight="false" outlineLevel="0" collapsed="false">
      <c r="A167" s="82" t="s">
        <v>758</v>
      </c>
      <c r="B167" s="101" t="n">
        <v>46053</v>
      </c>
      <c r="C167" s="82" t="s">
        <v>485</v>
      </c>
      <c r="D167" s="82" t="s">
        <v>486</v>
      </c>
      <c r="E167" s="91" t="n">
        <v>20000</v>
      </c>
      <c r="F167" s="82" t="s">
        <v>553</v>
      </c>
      <c r="G167" s="82"/>
      <c r="H167" s="82"/>
      <c r="I167" s="82" t="s">
        <v>250</v>
      </c>
      <c r="J167" s="102" t="n">
        <f aca="false">IF(B167="","",MONTH(B167))</f>
        <v>1</v>
      </c>
      <c r="K167" s="102" t="n">
        <f aca="false">IF(B167="","",YEAR(B167))</f>
        <v>2026</v>
      </c>
      <c r="L167" s="102" t="str">
        <f aca="false">IF(N(E167)=0,"",IF(COUNTIFS(AK_NAMA,C167,AK_KAT,"KAS")+COUNTIFS(AK_NAMA,D167,AK_KAT,"KAS")&lt;&gt;1,"",IF(COUNTIFS(AK_NAMA,C167,AK_KAT,"KAS")=1,D167,C167)))</f>
        <v>Biaya Operasional Harian</v>
      </c>
      <c r="M167" s="103" t="n">
        <f aca="false">IF(L167="",0,IF(L167=D167,E167,-E167))</f>
        <v>-20000</v>
      </c>
      <c r="N167" s="102" t="str">
        <f aca="false">IF(L167="","",IFERROR(INDEX(AK_BARIS,MATCH(L167,AK_NAMA,0)),"?"))</f>
        <v>OP6</v>
      </c>
      <c r="O167" s="102" t="str">
        <f aca="false">IF(C167="","",IFERROR(INDEX(AK_KEL,MATCH(C167,AK_NAMA,0)),"?"))</f>
        <v>BEBAN</v>
      </c>
      <c r="P167" s="102" t="str">
        <f aca="false">IF(D167="","",IFERROR(INDEX(AK_KEL,MATCH(D167,AK_NAMA,0)),"?"))</f>
        <v>ASET</v>
      </c>
      <c r="Q167" s="102" t="n">
        <f aca="false">N(Q166)+IF(AND(N(E167)&lt;&gt;0,K167=TAHUN,N(J167)&lt;=BLN,OR(C167=BB_AKUN,D167=BB_AKUN)),1,0)</f>
        <v>106</v>
      </c>
      <c r="R167" s="104" t="str">
        <f aca="false">IF(OR(C167&amp;D167="",N(E167)=0),"",IF(OR(O167="?",P167="?"),"⚠ akun tidak dikenal",IF(C167=D167,"⚠ debet = kredit","")))</f>
        <v/>
      </c>
    </row>
    <row r="168" customFormat="false" ht="15" hidden="false" customHeight="false" outlineLevel="0" collapsed="false">
      <c r="A168" s="82" t="s">
        <v>759</v>
      </c>
      <c r="B168" s="101" t="n">
        <v>46053</v>
      </c>
      <c r="C168" s="82" t="s">
        <v>470</v>
      </c>
      <c r="D168" s="82" t="s">
        <v>461</v>
      </c>
      <c r="E168" s="91" t="n">
        <v>600000</v>
      </c>
      <c r="F168" s="82" t="s">
        <v>760</v>
      </c>
      <c r="G168" s="82"/>
      <c r="H168" s="82"/>
      <c r="I168" s="82" t="s">
        <v>250</v>
      </c>
      <c r="J168" s="102" t="n">
        <f aca="false">IF(B168="","",MONTH(B168))</f>
        <v>1</v>
      </c>
      <c r="K168" s="102" t="n">
        <f aca="false">IF(B168="","",YEAR(B168))</f>
        <v>2026</v>
      </c>
      <c r="L168" s="102" t="str">
        <f aca="false">IF(N(E168)=0,"",IF(COUNTIFS(AK_NAMA,C168,AK_KAT,"KAS")+COUNTIFS(AK_NAMA,D168,AK_KAT,"KAS")&lt;&gt;1,"",IF(COUNTIFS(AK_NAMA,C168,AK_KAT,"KAS")=1,D168,C168)))</f>
        <v>Biaya Bahan Baku</v>
      </c>
      <c r="M168" s="103" t="n">
        <f aca="false">IF(L168="",0,IF(L168=D168,E168,-E168))</f>
        <v>-600000</v>
      </c>
      <c r="N168" s="102" t="str">
        <f aca="false">IF(L168="","",IFERROR(INDEX(AK_BARIS,MATCH(L168,AK_NAMA,0)),"?"))</f>
        <v>OP3</v>
      </c>
      <c r="O168" s="102" t="str">
        <f aca="false">IF(C168="","",IFERROR(INDEX(AK_KEL,MATCH(C168,AK_NAMA,0)),"?"))</f>
        <v>BEBAN</v>
      </c>
      <c r="P168" s="102" t="str">
        <f aca="false">IF(D168="","",IFERROR(INDEX(AK_KEL,MATCH(D168,AK_NAMA,0)),"?"))</f>
        <v>ASET</v>
      </c>
      <c r="Q168" s="102" t="n">
        <f aca="false">N(Q167)+IF(AND(N(E168)&lt;&gt;0,K168=TAHUN,N(J168)&lt;=BLN,OR(C168=BB_AKUN,D168=BB_AKUN)),1,0)</f>
        <v>107</v>
      </c>
      <c r="R168" s="104" t="str">
        <f aca="false">IF(OR(C168&amp;D168="",N(E168)=0),"",IF(OR(O168="?",P168="?"),"⚠ akun tidak dikenal",IF(C168=D168,"⚠ debet = kredit","")))</f>
        <v/>
      </c>
    </row>
    <row r="169" customFormat="false" ht="15" hidden="false" customHeight="false" outlineLevel="0" collapsed="false">
      <c r="A169" s="82" t="s">
        <v>761</v>
      </c>
      <c r="B169" s="101" t="n">
        <v>46053</v>
      </c>
      <c r="C169" s="82" t="s">
        <v>461</v>
      </c>
      <c r="D169" s="82" t="s">
        <v>718</v>
      </c>
      <c r="E169" s="91" t="n">
        <v>312200</v>
      </c>
      <c r="F169" s="82" t="s">
        <v>762</v>
      </c>
      <c r="G169" s="82"/>
      <c r="H169" s="82" t="s">
        <v>763</v>
      </c>
      <c r="I169" s="82" t="s">
        <v>250</v>
      </c>
      <c r="J169" s="102" t="n">
        <f aca="false">IF(B169="","",MONTH(B169))</f>
        <v>1</v>
      </c>
      <c r="K169" s="102" t="n">
        <f aca="false">IF(B169="","",YEAR(B169))</f>
        <v>2026</v>
      </c>
      <c r="L169" s="102" t="str">
        <f aca="false">IF(N(E169)=0,"",IF(COUNTIFS(AK_NAMA,C169,AK_KAT,"KAS")+COUNTIFS(AK_NAMA,D169,AK_KAT,"KAS")&lt;&gt;1,"",IF(COUNTIFS(AK_NAMA,C169,AK_KAT,"KAS")=1,D169,C169)))</f>
        <v>Piutang Lainnya</v>
      </c>
      <c r="M169" s="103" t="n">
        <f aca="false">IF(L169="",0,IF(L169=D169,E169,-E169))</f>
        <v>312200</v>
      </c>
      <c r="N169" s="102" t="str">
        <f aca="false">IF(L169="","",IFERROR(INDEX(AK_BARIS,MATCH(L169,AK_NAMA,0)),"?"))</f>
        <v>OP2</v>
      </c>
      <c r="O169" s="102" t="str">
        <f aca="false">IF(C169="","",IFERROR(INDEX(AK_KEL,MATCH(C169,AK_NAMA,0)),"?"))</f>
        <v>ASET</v>
      </c>
      <c r="P169" s="102" t="str">
        <f aca="false">IF(D169="","",IFERROR(INDEX(AK_KEL,MATCH(D169,AK_NAMA,0)),"?"))</f>
        <v>ASET</v>
      </c>
      <c r="Q169" s="102" t="n">
        <f aca="false">N(Q168)+IF(AND(N(E169)&lt;&gt;0,K169=TAHUN,N(J169)&lt;=BLN,OR(C169=BB_AKUN,D169=BB_AKUN)),1,0)</f>
        <v>108</v>
      </c>
      <c r="R169" s="104" t="str">
        <f aca="false">IF(OR(C169&amp;D169="",N(E169)=0),"",IF(OR(O169="?",P169="?"),"⚠ akun tidak dikenal",IF(C169=D169,"⚠ debet = kredit","")))</f>
        <v/>
      </c>
    </row>
    <row r="170" customFormat="false" ht="15" hidden="false" customHeight="false" outlineLevel="0" collapsed="false">
      <c r="A170" s="82" t="s">
        <v>764</v>
      </c>
      <c r="B170" s="101" t="n">
        <v>46053</v>
      </c>
      <c r="C170" s="82" t="s">
        <v>461</v>
      </c>
      <c r="D170" s="82" t="s">
        <v>765</v>
      </c>
      <c r="E170" s="91" t="n">
        <v>1000000</v>
      </c>
      <c r="F170" s="82" t="s">
        <v>766</v>
      </c>
      <c r="G170" s="82"/>
      <c r="H170" s="82" t="s">
        <v>767</v>
      </c>
      <c r="I170" s="82" t="s">
        <v>250</v>
      </c>
      <c r="J170" s="102" t="n">
        <f aca="false">IF(B170="","",MONTH(B170))</f>
        <v>1</v>
      </c>
      <c r="K170" s="102" t="n">
        <f aca="false">IF(B170="","",YEAR(B170))</f>
        <v>2026</v>
      </c>
      <c r="L170" s="102" t="str">
        <f aca="false">IF(N(E170)=0,"",IF(COUNTIFS(AK_NAMA,C170,AK_KAT,"KAS")+COUNTIFS(AK_NAMA,D170,AK_KAT,"KAS")&lt;&gt;1,"",IF(COUNTIFS(AK_NAMA,C170,AK_KAT,"KAS")=1,D170,C170)))</f>
        <v>Piutang Usaha Cafe</v>
      </c>
      <c r="M170" s="103" t="n">
        <f aca="false">IF(L170="",0,IF(L170=D170,E170,-E170))</f>
        <v>1000000</v>
      </c>
      <c r="N170" s="102" t="str">
        <f aca="false">IF(L170="","",IFERROR(INDEX(AK_BARIS,MATCH(L170,AK_NAMA,0)),"?"))</f>
        <v>OP1</v>
      </c>
      <c r="O170" s="102" t="str">
        <f aca="false">IF(C170="","",IFERROR(INDEX(AK_KEL,MATCH(C170,AK_NAMA,0)),"?"))</f>
        <v>ASET</v>
      </c>
      <c r="P170" s="102" t="str">
        <f aca="false">IF(D170="","",IFERROR(INDEX(AK_KEL,MATCH(D170,AK_NAMA,0)),"?"))</f>
        <v>ASET</v>
      </c>
      <c r="Q170" s="102" t="n">
        <f aca="false">N(Q169)+IF(AND(N(E170)&lt;&gt;0,K170=TAHUN,N(J170)&lt;=BLN,OR(C170=BB_AKUN,D170=BB_AKUN)),1,0)</f>
        <v>109</v>
      </c>
      <c r="R170" s="104" t="str">
        <f aca="false">IF(OR(C170&amp;D170="",N(E170)=0),"",IF(OR(O170="?",P170="?"),"⚠ akun tidak dikenal",IF(C170=D170,"⚠ debet = kredit","")))</f>
        <v/>
      </c>
    </row>
    <row r="171" customFormat="false" ht="15" hidden="false" customHeight="false" outlineLevel="0" collapsed="false">
      <c r="A171" s="82" t="s">
        <v>768</v>
      </c>
      <c r="B171" s="101" t="n">
        <v>46053</v>
      </c>
      <c r="C171" s="82" t="s">
        <v>461</v>
      </c>
      <c r="D171" s="82" t="s">
        <v>769</v>
      </c>
      <c r="E171" s="91" t="n">
        <v>2687800</v>
      </c>
      <c r="F171" s="82" t="s">
        <v>770</v>
      </c>
      <c r="G171" s="82"/>
      <c r="H171" s="82" t="s">
        <v>771</v>
      </c>
      <c r="I171" s="82" t="s">
        <v>250</v>
      </c>
      <c r="J171" s="102" t="n">
        <f aca="false">IF(B171="","",MONTH(B171))</f>
        <v>1</v>
      </c>
      <c r="K171" s="102" t="n">
        <f aca="false">IF(B171="","",YEAR(B171))</f>
        <v>2026</v>
      </c>
      <c r="L171" s="102" t="str">
        <f aca="false">IF(N(E171)=0,"",IF(COUNTIFS(AK_NAMA,C171,AK_KAT,"KAS")+COUNTIFS(AK_NAMA,D171,AK_KAT,"KAS")&lt;&gt;1,"",IF(COUNTIFS(AK_NAMA,C171,AK_KAT,"KAS")=1,D171,C171)))</f>
        <v>Utang Usaha Lancar</v>
      </c>
      <c r="M171" s="103" t="n">
        <f aca="false">IF(L171="",0,IF(L171=D171,E171,-E171))</f>
        <v>2687800</v>
      </c>
      <c r="N171" s="102" t="str">
        <f aca="false">IF(L171="","",IFERROR(INDEX(AK_BARIS,MATCH(L171,AK_NAMA,0)),"?"))</f>
        <v>OP6</v>
      </c>
      <c r="O171" s="102" t="str">
        <f aca="false">IF(C171="","",IFERROR(INDEX(AK_KEL,MATCH(C171,AK_NAMA,0)),"?"))</f>
        <v>ASET</v>
      </c>
      <c r="P171" s="102" t="str">
        <f aca="false">IF(D171="","",IFERROR(INDEX(AK_KEL,MATCH(D171,AK_NAMA,0)),"?"))</f>
        <v>LIABILITAS</v>
      </c>
      <c r="Q171" s="102" t="n">
        <f aca="false">N(Q170)+IF(AND(N(E171)&lt;&gt;0,K171=TAHUN,N(J171)&lt;=BLN,OR(C171=BB_AKUN,D171=BB_AKUN)),1,0)</f>
        <v>110</v>
      </c>
      <c r="R171" s="104" t="str">
        <f aca="false">IF(OR(C171&amp;D171="",N(E171)=0),"",IF(OR(O171="?",P171="?"),"⚠ akun tidak dikenal",IF(C171=D171,"⚠ debet = kredit","")))</f>
        <v/>
      </c>
    </row>
    <row r="172" customFormat="false" ht="15" hidden="false" customHeight="false" outlineLevel="0" collapsed="false">
      <c r="A172" s="82" t="s">
        <v>772</v>
      </c>
      <c r="B172" s="101" t="n">
        <v>46053</v>
      </c>
      <c r="C172" s="82" t="s">
        <v>461</v>
      </c>
      <c r="D172" s="82" t="s">
        <v>557</v>
      </c>
      <c r="E172" s="91" t="n">
        <v>948</v>
      </c>
      <c r="F172" s="82" t="s">
        <v>773</v>
      </c>
      <c r="G172" s="82"/>
      <c r="H172" s="82"/>
      <c r="I172" s="82" t="s">
        <v>250</v>
      </c>
      <c r="J172" s="102" t="n">
        <f aca="false">IF(B172="","",MONTH(B172))</f>
        <v>1</v>
      </c>
      <c r="K172" s="102" t="n">
        <f aca="false">IF(B172="","",YEAR(B172))</f>
        <v>2026</v>
      </c>
      <c r="L172" s="102" t="str">
        <f aca="false">IF(N(E172)=0,"",IF(COUNTIFS(AK_NAMA,C172,AK_KAT,"KAS")+COUNTIFS(AK_NAMA,D172,AK_KAT,"KAS")&lt;&gt;1,"",IF(COUNTIFS(AK_NAMA,C172,AK_KAT,"KAS")=1,D172,C172)))</f>
        <v>Pendapatan Lainnya</v>
      </c>
      <c r="M172" s="103" t="n">
        <f aca="false">IF(L172="",0,IF(L172=D172,E172,-E172))</f>
        <v>948</v>
      </c>
      <c r="N172" s="102" t="str">
        <f aca="false">IF(L172="","",IFERROR(INDEX(AK_BARIS,MATCH(L172,AK_NAMA,0)),"?"))</f>
        <v>OP2</v>
      </c>
      <c r="O172" s="102" t="str">
        <f aca="false">IF(C172="","",IFERROR(INDEX(AK_KEL,MATCH(C172,AK_NAMA,0)),"?"))</f>
        <v>ASET</v>
      </c>
      <c r="P172" s="102" t="str">
        <f aca="false">IF(D172="","",IFERROR(INDEX(AK_KEL,MATCH(D172,AK_NAMA,0)),"?"))</f>
        <v>PENDAPATAN</v>
      </c>
      <c r="Q172" s="102" t="n">
        <f aca="false">N(Q171)+IF(AND(N(E172)&lt;&gt;0,K172=TAHUN,N(J172)&lt;=BLN,OR(C172=BB_AKUN,D172=BB_AKUN)),1,0)</f>
        <v>111</v>
      </c>
      <c r="R172" s="104" t="str">
        <f aca="false">IF(OR(C172&amp;D172="",N(E172)=0),"",IF(OR(O172="?",P172="?"),"⚠ akun tidak dikenal",IF(C172=D172,"⚠ debet = kredit","")))</f>
        <v/>
      </c>
    </row>
    <row r="173" customFormat="false" ht="15" hidden="false" customHeight="false" outlineLevel="0" collapsed="false">
      <c r="A173" s="82" t="s">
        <v>774</v>
      </c>
      <c r="B173" s="101" t="n">
        <v>46053</v>
      </c>
      <c r="C173" s="82" t="s">
        <v>524</v>
      </c>
      <c r="D173" s="82" t="s">
        <v>461</v>
      </c>
      <c r="E173" s="91" t="n">
        <v>189</v>
      </c>
      <c r="F173" s="82" t="s">
        <v>775</v>
      </c>
      <c r="G173" s="82"/>
      <c r="H173" s="82"/>
      <c r="I173" s="82" t="s">
        <v>250</v>
      </c>
      <c r="J173" s="102" t="n">
        <f aca="false">IF(B173="","",MONTH(B173))</f>
        <v>1</v>
      </c>
      <c r="K173" s="102" t="n">
        <f aca="false">IF(B173="","",YEAR(B173))</f>
        <v>2026</v>
      </c>
      <c r="L173" s="102" t="str">
        <f aca="false">IF(N(E173)=0,"",IF(COUNTIFS(AK_NAMA,C173,AK_KAT,"KAS")+COUNTIFS(AK_NAMA,D173,AK_KAT,"KAS")&lt;&gt;1,"",IF(COUNTIFS(AK_NAMA,C173,AK_KAT,"KAS")=1,D173,C173)))</f>
        <v>Biaya Lainnya</v>
      </c>
      <c r="M173" s="103" t="n">
        <f aca="false">IF(L173="",0,IF(L173=D173,E173,-E173))</f>
        <v>-189</v>
      </c>
      <c r="N173" s="102" t="str">
        <f aca="false">IF(L173="","",IFERROR(INDEX(AK_BARIS,MATCH(L173,AK_NAMA,0)),"?"))</f>
        <v>OP2</v>
      </c>
      <c r="O173" s="102" t="str">
        <f aca="false">IF(C173="","",IFERROR(INDEX(AK_KEL,MATCH(C173,AK_NAMA,0)),"?"))</f>
        <v>BEBAN</v>
      </c>
      <c r="P173" s="102" t="str">
        <f aca="false">IF(D173="","",IFERROR(INDEX(AK_KEL,MATCH(D173,AK_NAMA,0)),"?"))</f>
        <v>ASET</v>
      </c>
      <c r="Q173" s="102" t="n">
        <f aca="false">N(Q172)+IF(AND(N(E173)&lt;&gt;0,K173=TAHUN,N(J173)&lt;=BLN,OR(C173=BB_AKUN,D173=BB_AKUN)),1,0)</f>
        <v>112</v>
      </c>
      <c r="R173" s="104" t="str">
        <f aca="false">IF(OR(C173&amp;D173="",N(E173)=0),"",IF(OR(O173="?",P173="?"),"⚠ akun tidak dikenal",IF(C173=D173,"⚠ debet = kredit","")))</f>
        <v/>
      </c>
    </row>
    <row r="174" customFormat="false" ht="15" hidden="false" customHeight="false" outlineLevel="0" collapsed="false">
      <c r="A174" s="82" t="s">
        <v>776</v>
      </c>
      <c r="B174" s="101" t="n">
        <v>46053</v>
      </c>
      <c r="C174" s="82" t="s">
        <v>461</v>
      </c>
      <c r="D174" s="82" t="s">
        <v>475</v>
      </c>
      <c r="E174" s="91" t="n">
        <v>6100000</v>
      </c>
      <c r="F174" s="82" t="s">
        <v>560</v>
      </c>
      <c r="G174" s="82"/>
      <c r="H174" s="82"/>
      <c r="I174" s="82" t="s">
        <v>250</v>
      </c>
      <c r="J174" s="102" t="n">
        <f aca="false">IF(B174="","",MONTH(B174))</f>
        <v>1</v>
      </c>
      <c r="K174" s="102" t="n">
        <f aca="false">IF(B174="","",YEAR(B174))</f>
        <v>2026</v>
      </c>
      <c r="L174" s="102" t="str">
        <f aca="false">IF(N(E174)=0,"",IF(COUNTIFS(AK_NAMA,C174,AK_KAT,"KAS")+COUNTIFS(AK_NAMA,D174,AK_KAT,"KAS")&lt;&gt;1,"",IF(COUNTIFS(AK_NAMA,C174,AK_KAT,"KAS")=1,D174,C174)))</f>
        <v/>
      </c>
      <c r="M174" s="103" t="n">
        <f aca="false">IF(L174="",0,IF(L174=D174,E174,-E174))</f>
        <v>0</v>
      </c>
      <c r="N174" s="102" t="str">
        <f aca="false">IF(L174="","",IFERROR(INDEX(AK_BARIS,MATCH(L174,AK_NAMA,0)),"?"))</f>
        <v/>
      </c>
      <c r="O174" s="102" t="str">
        <f aca="false">IF(C174="","",IFERROR(INDEX(AK_KEL,MATCH(C174,AK_NAMA,0)),"?"))</f>
        <v>ASET</v>
      </c>
      <c r="P174" s="102" t="str">
        <f aca="false">IF(D174="","",IFERROR(INDEX(AK_KEL,MATCH(D174,AK_NAMA,0)),"?"))</f>
        <v>ASET</v>
      </c>
      <c r="Q174" s="102" t="n">
        <f aca="false">N(Q173)+IF(AND(N(E174)&lt;&gt;0,K174=TAHUN,N(J174)&lt;=BLN,OR(C174=BB_AKUN,D174=BB_AKUN)),1,0)</f>
        <v>113</v>
      </c>
      <c r="R174" s="104" t="str">
        <f aca="false">IF(OR(C174&amp;D174="",N(E174)=0),"",IF(OR(O174="?",P174="?"),"⚠ akun tidak dikenal",IF(C174=D174,"⚠ debet = kredit","")))</f>
        <v/>
      </c>
    </row>
    <row r="175" customFormat="false" ht="15" hidden="false" customHeight="false" outlineLevel="0" collapsed="false">
      <c r="A175" s="82" t="s">
        <v>777</v>
      </c>
      <c r="B175" s="101" t="n">
        <v>46053</v>
      </c>
      <c r="C175" s="82" t="s">
        <v>669</v>
      </c>
      <c r="D175" s="82" t="s">
        <v>461</v>
      </c>
      <c r="E175" s="91" t="n">
        <v>3888617</v>
      </c>
      <c r="F175" s="82" t="s">
        <v>778</v>
      </c>
      <c r="G175" s="82"/>
      <c r="H175" s="82"/>
      <c r="I175" s="82" t="s">
        <v>250</v>
      </c>
      <c r="J175" s="102" t="n">
        <f aca="false">IF(B175="","",MONTH(B175))</f>
        <v>1</v>
      </c>
      <c r="K175" s="102" t="n">
        <f aca="false">IF(B175="","",YEAR(B175))</f>
        <v>2026</v>
      </c>
      <c r="L175" s="102" t="str">
        <f aca="false">IF(N(E175)=0,"",IF(COUNTIFS(AK_NAMA,C175,AK_KAT,"KAS")+COUNTIFS(AK_NAMA,D175,AK_KAT,"KAS")&lt;&gt;1,"",IF(COUNTIFS(AK_NAMA,C175,AK_KAT,"KAS")=1,D175,C175)))</f>
        <v>Biaya Tagihan Bulanan</v>
      </c>
      <c r="M175" s="103" t="n">
        <f aca="false">IF(L175="",0,IF(L175=D175,E175,-E175))</f>
        <v>-3888617</v>
      </c>
      <c r="N175" s="102" t="str">
        <f aca="false">IF(L175="","",IFERROR(INDEX(AK_BARIS,MATCH(L175,AK_NAMA,0)),"?"))</f>
        <v>OP6</v>
      </c>
      <c r="O175" s="102" t="str">
        <f aca="false">IF(C175="","",IFERROR(INDEX(AK_KEL,MATCH(C175,AK_NAMA,0)),"?"))</f>
        <v>BEBAN</v>
      </c>
      <c r="P175" s="102" t="str">
        <f aca="false">IF(D175="","",IFERROR(INDEX(AK_KEL,MATCH(D175,AK_NAMA,0)),"?"))</f>
        <v>ASET</v>
      </c>
      <c r="Q175" s="102" t="n">
        <f aca="false">N(Q174)+IF(AND(N(E175)&lt;&gt;0,K175=TAHUN,N(J175)&lt;=BLN,OR(C175=BB_AKUN,D175=BB_AKUN)),1,0)</f>
        <v>114</v>
      </c>
      <c r="R175" s="104" t="str">
        <f aca="false">IF(OR(C175&amp;D175="",N(E175)=0),"",IF(OR(O175="?",P175="?"),"⚠ akun tidak dikenal",IF(C175=D175,"⚠ debet = kredit","")))</f>
        <v/>
      </c>
    </row>
    <row r="176" customFormat="false" ht="15" hidden="false" customHeight="false" outlineLevel="0" collapsed="false">
      <c r="A176" s="82" t="s">
        <v>779</v>
      </c>
      <c r="B176" s="101" t="n">
        <v>46053</v>
      </c>
      <c r="C176" s="82" t="s">
        <v>669</v>
      </c>
      <c r="D176" s="82" t="s">
        <v>461</v>
      </c>
      <c r="E176" s="91" t="n">
        <v>56891</v>
      </c>
      <c r="F176" s="82" t="s">
        <v>780</v>
      </c>
      <c r="G176" s="82"/>
      <c r="H176" s="82"/>
      <c r="I176" s="82" t="s">
        <v>250</v>
      </c>
      <c r="J176" s="102" t="n">
        <f aca="false">IF(B176="","",MONTH(B176))</f>
        <v>1</v>
      </c>
      <c r="K176" s="102" t="n">
        <f aca="false">IF(B176="","",YEAR(B176))</f>
        <v>2026</v>
      </c>
      <c r="L176" s="102" t="str">
        <f aca="false">IF(N(E176)=0,"",IF(COUNTIFS(AK_NAMA,C176,AK_KAT,"KAS")+COUNTIFS(AK_NAMA,D176,AK_KAT,"KAS")&lt;&gt;1,"",IF(COUNTIFS(AK_NAMA,C176,AK_KAT,"KAS")=1,D176,C176)))</f>
        <v>Biaya Tagihan Bulanan</v>
      </c>
      <c r="M176" s="103" t="n">
        <f aca="false">IF(L176="",0,IF(L176=D176,E176,-E176))</f>
        <v>-56891</v>
      </c>
      <c r="N176" s="102" t="str">
        <f aca="false">IF(L176="","",IFERROR(INDEX(AK_BARIS,MATCH(L176,AK_NAMA,0)),"?"))</f>
        <v>OP6</v>
      </c>
      <c r="O176" s="102" t="str">
        <f aca="false">IF(C176="","",IFERROR(INDEX(AK_KEL,MATCH(C176,AK_NAMA,0)),"?"))</f>
        <v>BEBAN</v>
      </c>
      <c r="P176" s="102" t="str">
        <f aca="false">IF(D176="","",IFERROR(INDEX(AK_KEL,MATCH(D176,AK_NAMA,0)),"?"))</f>
        <v>ASET</v>
      </c>
      <c r="Q176" s="102" t="n">
        <f aca="false">N(Q175)+IF(AND(N(E176)&lt;&gt;0,K176=TAHUN,N(J176)&lt;=BLN,OR(C176=BB_AKUN,D176=BB_AKUN)),1,0)</f>
        <v>115</v>
      </c>
      <c r="R176" s="104" t="str">
        <f aca="false">IF(OR(C176&amp;D176="",N(E176)=0),"",IF(OR(O176="?",P176="?"),"⚠ akun tidak dikenal",IF(C176=D176,"⚠ debet = kredit","")))</f>
        <v/>
      </c>
    </row>
    <row r="177" customFormat="false" ht="15" hidden="false" customHeight="false" outlineLevel="0" collapsed="false">
      <c r="A177" s="82" t="s">
        <v>781</v>
      </c>
      <c r="B177" s="101" t="n">
        <v>46053</v>
      </c>
      <c r="C177" s="82" t="s">
        <v>669</v>
      </c>
      <c r="D177" s="82" t="s">
        <v>461</v>
      </c>
      <c r="E177" s="91" t="n">
        <v>386450</v>
      </c>
      <c r="F177" s="82" t="s">
        <v>782</v>
      </c>
      <c r="G177" s="82"/>
      <c r="H177" s="82"/>
      <c r="I177" s="82" t="s">
        <v>250</v>
      </c>
      <c r="J177" s="102" t="n">
        <f aca="false">IF(B177="","",MONTH(B177))</f>
        <v>1</v>
      </c>
      <c r="K177" s="102" t="n">
        <f aca="false">IF(B177="","",YEAR(B177))</f>
        <v>2026</v>
      </c>
      <c r="L177" s="102" t="str">
        <f aca="false">IF(N(E177)=0,"",IF(COUNTIFS(AK_NAMA,C177,AK_KAT,"KAS")+COUNTIFS(AK_NAMA,D177,AK_KAT,"KAS")&lt;&gt;1,"",IF(COUNTIFS(AK_NAMA,C177,AK_KAT,"KAS")=1,D177,C177)))</f>
        <v>Biaya Tagihan Bulanan</v>
      </c>
      <c r="M177" s="103" t="n">
        <f aca="false">IF(L177="",0,IF(L177=D177,E177,-E177))</f>
        <v>-386450</v>
      </c>
      <c r="N177" s="102" t="str">
        <f aca="false">IF(L177="","",IFERROR(INDEX(AK_BARIS,MATCH(L177,AK_NAMA,0)),"?"))</f>
        <v>OP6</v>
      </c>
      <c r="O177" s="102" t="str">
        <f aca="false">IF(C177="","",IFERROR(INDEX(AK_KEL,MATCH(C177,AK_NAMA,0)),"?"))</f>
        <v>BEBAN</v>
      </c>
      <c r="P177" s="102" t="str">
        <f aca="false">IF(D177="","",IFERROR(INDEX(AK_KEL,MATCH(D177,AK_NAMA,0)),"?"))</f>
        <v>ASET</v>
      </c>
      <c r="Q177" s="102" t="n">
        <f aca="false">N(Q176)+IF(AND(N(E177)&lt;&gt;0,K177=TAHUN,N(J177)&lt;=BLN,OR(C177=BB_AKUN,D177=BB_AKUN)),1,0)</f>
        <v>116</v>
      </c>
      <c r="R177" s="104" t="str">
        <f aca="false">IF(OR(C177&amp;D177="",N(E177)=0),"",IF(OR(O177="?",P177="?"),"⚠ akun tidak dikenal",IF(C177=D177,"⚠ debet = kredit","")))</f>
        <v/>
      </c>
    </row>
    <row r="178" customFormat="false" ht="15" hidden="false" customHeight="false" outlineLevel="0" collapsed="false">
      <c r="A178" s="82" t="s">
        <v>783</v>
      </c>
      <c r="B178" s="101" t="n">
        <v>46053</v>
      </c>
      <c r="C178" s="82" t="s">
        <v>576</v>
      </c>
      <c r="D178" s="82" t="s">
        <v>769</v>
      </c>
      <c r="E178" s="91" t="n">
        <v>1000000</v>
      </c>
      <c r="F178" s="82" t="s">
        <v>784</v>
      </c>
      <c r="G178" s="82"/>
      <c r="H178" s="82" t="s">
        <v>785</v>
      </c>
      <c r="I178" s="82" t="s">
        <v>250</v>
      </c>
      <c r="J178" s="102" t="n">
        <f aca="false">IF(B178="","",MONTH(B178))</f>
        <v>1</v>
      </c>
      <c r="K178" s="102" t="n">
        <f aca="false">IF(B178="","",YEAR(B178))</f>
        <v>2026</v>
      </c>
      <c r="L178" s="102" t="str">
        <f aca="false">IF(N(E178)=0,"",IF(COUNTIFS(AK_NAMA,C178,AK_KAT,"KAS")+COUNTIFS(AK_NAMA,D178,AK_KAT,"KAS")&lt;&gt;1,"",IF(COUNTIFS(AK_NAMA,C178,AK_KAT,"KAS")=1,D178,C178)))</f>
        <v/>
      </c>
      <c r="M178" s="103" t="n">
        <f aca="false">IF(L178="",0,IF(L178=D178,E178,-E178))</f>
        <v>0</v>
      </c>
      <c r="N178" s="102" t="str">
        <f aca="false">IF(L178="","",IFERROR(INDEX(AK_BARIS,MATCH(L178,AK_NAMA,0)),"?"))</f>
        <v/>
      </c>
      <c r="O178" s="102" t="str">
        <f aca="false">IF(C178="","",IFERROR(INDEX(AK_KEL,MATCH(C178,AK_NAMA,0)),"?"))</f>
        <v>BEBAN</v>
      </c>
      <c r="P178" s="102" t="str">
        <f aca="false">IF(D178="","",IFERROR(INDEX(AK_KEL,MATCH(D178,AK_NAMA,0)),"?"))</f>
        <v>LIABILITAS</v>
      </c>
      <c r="Q178" s="102" t="n">
        <f aca="false">N(Q177)+IF(AND(N(E178)&lt;&gt;0,K178=TAHUN,N(J178)&lt;=BLN,OR(C178=BB_AKUN,D178=BB_AKUN)),1,0)</f>
        <v>116</v>
      </c>
      <c r="R178" s="104" t="str">
        <f aca="false">IF(OR(C178&amp;D178="",N(E178)=0),"",IF(OR(O178="?",P178="?"),"⚠ akun tidak dikenal",IF(C178=D178,"⚠ debet = kredit","")))</f>
        <v/>
      </c>
    </row>
    <row r="179" customFormat="false" ht="15" hidden="false" customHeight="false" outlineLevel="0" collapsed="false">
      <c r="A179" s="82" t="s">
        <v>786</v>
      </c>
      <c r="B179" s="101" t="n">
        <v>46053</v>
      </c>
      <c r="C179" s="82" t="s">
        <v>787</v>
      </c>
      <c r="D179" s="82" t="s">
        <v>461</v>
      </c>
      <c r="E179" s="91" t="n">
        <v>2056200</v>
      </c>
      <c r="F179" s="82" t="s">
        <v>788</v>
      </c>
      <c r="G179" s="82"/>
      <c r="H179" s="82"/>
      <c r="I179" s="82" t="s">
        <v>250</v>
      </c>
      <c r="J179" s="102" t="n">
        <f aca="false">IF(B179="","",MONTH(B179))</f>
        <v>1</v>
      </c>
      <c r="K179" s="102" t="n">
        <f aca="false">IF(B179="","",YEAR(B179))</f>
        <v>2026</v>
      </c>
      <c r="L179" s="102" t="str">
        <f aca="false">IF(N(E179)=0,"",IF(COUNTIFS(AK_NAMA,C179,AK_KAT,"KAS")+COUNTIFS(AK_NAMA,D179,AK_KAT,"KAS")&lt;&gt;1,"",IF(COUNTIFS(AK_NAMA,C179,AK_KAT,"KAS")=1,D179,C179)))</f>
        <v>Pajak Restoran</v>
      </c>
      <c r="M179" s="103" t="n">
        <f aca="false">IF(L179="",0,IF(L179=D179,E179,-E179))</f>
        <v>-2056200</v>
      </c>
      <c r="N179" s="102" t="str">
        <f aca="false">IF(L179="","",IFERROR(INDEX(AK_BARIS,MATCH(L179,AK_NAMA,0)),"?"))</f>
        <v>OP7</v>
      </c>
      <c r="O179" s="102" t="str">
        <f aca="false">IF(C179="","",IFERROR(INDEX(AK_KEL,MATCH(C179,AK_NAMA,0)),"?"))</f>
        <v>PENDAPATAN</v>
      </c>
      <c r="P179" s="102" t="str">
        <f aca="false">IF(D179="","",IFERROR(INDEX(AK_KEL,MATCH(D179,AK_NAMA,0)),"?"))</f>
        <v>ASET</v>
      </c>
      <c r="Q179" s="102" t="n">
        <f aca="false">N(Q178)+IF(AND(N(E179)&lt;&gt;0,K179=TAHUN,N(J179)&lt;=BLN,OR(C179=BB_AKUN,D179=BB_AKUN)),1,0)</f>
        <v>117</v>
      </c>
      <c r="R179" s="104" t="str">
        <f aca="false">IF(OR(C179&amp;D179="",N(E179)=0),"",IF(OR(O179="?",P179="?"),"⚠ akun tidak dikenal",IF(C179=D179,"⚠ debet = kredit","")))</f>
        <v/>
      </c>
    </row>
    <row r="180" customFormat="false" ht="15" hidden="false" customHeight="false" outlineLevel="0" collapsed="false">
      <c r="A180" s="82" t="s">
        <v>789</v>
      </c>
      <c r="B180" s="101" t="n">
        <v>46053</v>
      </c>
      <c r="C180" s="82" t="s">
        <v>524</v>
      </c>
      <c r="D180" s="82" t="s">
        <v>461</v>
      </c>
      <c r="E180" s="91" t="n">
        <v>20600</v>
      </c>
      <c r="F180" s="82" t="s">
        <v>790</v>
      </c>
      <c r="G180" s="82"/>
      <c r="H180" s="82"/>
      <c r="I180" s="82" t="s">
        <v>250</v>
      </c>
      <c r="J180" s="102" t="n">
        <f aca="false">IF(B180="","",MONTH(B180))</f>
        <v>1</v>
      </c>
      <c r="K180" s="102" t="n">
        <f aca="false">IF(B180="","",YEAR(B180))</f>
        <v>2026</v>
      </c>
      <c r="L180" s="102" t="str">
        <f aca="false">IF(N(E180)=0,"",IF(COUNTIFS(AK_NAMA,C180,AK_KAT,"KAS")+COUNTIFS(AK_NAMA,D180,AK_KAT,"KAS")&lt;&gt;1,"",IF(COUNTIFS(AK_NAMA,C180,AK_KAT,"KAS")=1,D180,C180)))</f>
        <v>Biaya Lainnya</v>
      </c>
      <c r="M180" s="103" t="n">
        <f aca="false">IF(L180="",0,IF(L180=D180,E180,-E180))</f>
        <v>-20600</v>
      </c>
      <c r="N180" s="102" t="str">
        <f aca="false">IF(L180="","",IFERROR(INDEX(AK_BARIS,MATCH(L180,AK_NAMA,0)),"?"))</f>
        <v>OP2</v>
      </c>
      <c r="O180" s="102" t="str">
        <f aca="false">IF(C180="","",IFERROR(INDEX(AK_KEL,MATCH(C180,AK_NAMA,0)),"?"))</f>
        <v>BEBAN</v>
      </c>
      <c r="P180" s="102" t="str">
        <f aca="false">IF(D180="","",IFERROR(INDEX(AK_KEL,MATCH(D180,AK_NAMA,0)),"?"))</f>
        <v>ASET</v>
      </c>
      <c r="Q180" s="102" t="n">
        <f aca="false">N(Q179)+IF(AND(N(E180)&lt;&gt;0,K180=TAHUN,N(J180)&lt;=BLN,OR(C180=BB_AKUN,D180=BB_AKUN)),1,0)</f>
        <v>118</v>
      </c>
      <c r="R180" s="104" t="str">
        <f aca="false">IF(OR(C180&amp;D180="",N(E180)=0),"",IF(OR(O180="?",P180="?"),"⚠ akun tidak dikenal",IF(C180=D180,"⚠ debet = kredit","")))</f>
        <v/>
      </c>
    </row>
    <row r="181" customFormat="false" ht="15" hidden="false" customHeight="false" outlineLevel="0" collapsed="false">
      <c r="A181" s="105" t="s">
        <v>791</v>
      </c>
      <c r="B181" s="106" t="n">
        <v>46053</v>
      </c>
      <c r="C181" s="105" t="s">
        <v>765</v>
      </c>
      <c r="D181" s="105" t="s">
        <v>792</v>
      </c>
      <c r="E181" s="107" t="n">
        <f aca="false">SUMIFS('OMZET HARIAN'!$Q$5:$Q$369,'OMZET HARIAN'!$B$5:$B$369,J181)</f>
        <v>90683177</v>
      </c>
      <c r="F181" s="105" t="s">
        <v>793</v>
      </c>
      <c r="G181" s="105"/>
      <c r="H181" s="105"/>
      <c r="I181" s="105" t="s">
        <v>794</v>
      </c>
      <c r="J181" s="102" t="n">
        <f aca="false">IF(B181="","",MONTH(B181))</f>
        <v>1</v>
      </c>
      <c r="K181" s="102" t="n">
        <f aca="false">IF(B181="","",YEAR(B181))</f>
        <v>2026</v>
      </c>
      <c r="L181" s="102" t="str">
        <f aca="false">IF(N(E181)=0,"",IF(COUNTIFS(AK_NAMA,C181,AK_KAT,"KAS")+COUNTIFS(AK_NAMA,D181,AK_KAT,"KAS")&lt;&gt;1,"",IF(COUNTIFS(AK_NAMA,C181,AK_KAT,"KAS")=1,D181,C181)))</f>
        <v/>
      </c>
      <c r="M181" s="103" t="n">
        <f aca="false">IF(L181="",0,IF(L181=D181,E181,-E181))</f>
        <v>0</v>
      </c>
      <c r="N181" s="102" t="str">
        <f aca="false">IF(L181="","",IFERROR(INDEX(AK_BARIS,MATCH(L181,AK_NAMA,0)),"?"))</f>
        <v/>
      </c>
      <c r="O181" s="102" t="str">
        <f aca="false">IF(C181="","",IFERROR(INDEX(AK_KEL,MATCH(C181,AK_NAMA,0)),"?"))</f>
        <v>ASET</v>
      </c>
      <c r="P181" s="102" t="str">
        <f aca="false">IF(D181="","",IFERROR(INDEX(AK_KEL,MATCH(D181,AK_NAMA,0)),"?"))</f>
        <v>PENDAPATAN</v>
      </c>
      <c r="Q181" s="102" t="n">
        <f aca="false">N(Q180)+IF(AND(N(E181)&lt;&gt;0,K181=TAHUN,N(J181)&lt;=BLN,OR(C181=BB_AKUN,D181=BB_AKUN)),1,0)</f>
        <v>118</v>
      </c>
      <c r="R181" s="104" t="str">
        <f aca="false">IF(OR(C181&amp;D181="",N(E181)=0),"",IF(OR(O181="?",P181="?"),"⚠ akun tidak dikenal",IF(C181=D181,"⚠ debet = kredit","")))</f>
        <v/>
      </c>
    </row>
    <row r="182" customFormat="false" ht="15" hidden="false" customHeight="false" outlineLevel="0" collapsed="false">
      <c r="A182" s="105" t="s">
        <v>795</v>
      </c>
      <c r="B182" s="106" t="n">
        <v>46053</v>
      </c>
      <c r="C182" s="105" t="s">
        <v>475</v>
      </c>
      <c r="D182" s="105" t="s">
        <v>765</v>
      </c>
      <c r="E182" s="107" t="n">
        <f aca="false">SUMIFS('OMZET HARIAN'!$F$5:$F$369,'OMZET HARIAN'!$B$5:$B$369,J182)+SUMIFS('OMZET HARIAN'!$G$5:$G$369,'OMZET HARIAN'!$B$5:$B$369,J182)</f>
        <v>22794000</v>
      </c>
      <c r="F182" s="105" t="s">
        <v>796</v>
      </c>
      <c r="G182" s="105"/>
      <c r="H182" s="105"/>
      <c r="I182" s="105" t="s">
        <v>794</v>
      </c>
      <c r="J182" s="102" t="n">
        <f aca="false">IF(B182="","",MONTH(B182))</f>
        <v>1</v>
      </c>
      <c r="K182" s="102" t="n">
        <f aca="false">IF(B182="","",YEAR(B182))</f>
        <v>2026</v>
      </c>
      <c r="L182" s="102" t="str">
        <f aca="false">IF(N(E182)=0,"",IF(COUNTIFS(AK_NAMA,C182,AK_KAT,"KAS")+COUNTIFS(AK_NAMA,D182,AK_KAT,"KAS")&lt;&gt;1,"",IF(COUNTIFS(AK_NAMA,C182,AK_KAT,"KAS")=1,D182,C182)))</f>
        <v>Piutang Usaha Cafe</v>
      </c>
      <c r="M182" s="103" t="n">
        <f aca="false">IF(L182="",0,IF(L182=D182,E182,-E182))</f>
        <v>22794000</v>
      </c>
      <c r="N182" s="102" t="str">
        <f aca="false">IF(L182="","",IFERROR(INDEX(AK_BARIS,MATCH(L182,AK_NAMA,0)),"?"))</f>
        <v>OP1</v>
      </c>
      <c r="O182" s="102" t="str">
        <f aca="false">IF(C182="","",IFERROR(INDEX(AK_KEL,MATCH(C182,AK_NAMA,0)),"?"))</f>
        <v>ASET</v>
      </c>
      <c r="P182" s="102" t="str">
        <f aca="false">IF(D182="","",IFERROR(INDEX(AK_KEL,MATCH(D182,AK_NAMA,0)),"?"))</f>
        <v>ASET</v>
      </c>
      <c r="Q182" s="102" t="n">
        <f aca="false">N(Q181)+IF(AND(N(E182)&lt;&gt;0,K182=TAHUN,N(J182)&lt;=BLN,OR(C182=BB_AKUN,D182=BB_AKUN)),1,0)</f>
        <v>118</v>
      </c>
      <c r="R182" s="104" t="str">
        <f aca="false">IF(OR(C182&amp;D182="",N(E182)=0),"",IF(OR(O182="?",P182="?"),"⚠ akun tidak dikenal",IF(C182=D182,"⚠ debet = kredit","")))</f>
        <v/>
      </c>
    </row>
    <row r="183" customFormat="false" ht="15" hidden="false" customHeight="false" outlineLevel="0" collapsed="false">
      <c r="A183" s="105" t="s">
        <v>797</v>
      </c>
      <c r="B183" s="106" t="n">
        <v>46053</v>
      </c>
      <c r="C183" s="105" t="s">
        <v>461</v>
      </c>
      <c r="D183" s="105" t="s">
        <v>765</v>
      </c>
      <c r="E183" s="107" t="n">
        <f aca="false">SUMIFS('OMZET HARIAN'!$H$5:$H$369,'OMZET HARIAN'!$B$5:$B$369,J183)</f>
        <v>65445977</v>
      </c>
      <c r="F183" s="105" t="s">
        <v>798</v>
      </c>
      <c r="G183" s="105"/>
      <c r="H183" s="105"/>
      <c r="I183" s="105" t="s">
        <v>794</v>
      </c>
      <c r="J183" s="102" t="n">
        <f aca="false">IF(B183="","",MONTH(B183))</f>
        <v>1</v>
      </c>
      <c r="K183" s="102" t="n">
        <f aca="false">IF(B183="","",YEAR(B183))</f>
        <v>2026</v>
      </c>
      <c r="L183" s="102" t="str">
        <f aca="false">IF(N(E183)=0,"",IF(COUNTIFS(AK_NAMA,C183,AK_KAT,"KAS")+COUNTIFS(AK_NAMA,D183,AK_KAT,"KAS")&lt;&gt;1,"",IF(COUNTIFS(AK_NAMA,C183,AK_KAT,"KAS")=1,D183,C183)))</f>
        <v>Piutang Usaha Cafe</v>
      </c>
      <c r="M183" s="103" t="n">
        <f aca="false">IF(L183="",0,IF(L183=D183,E183,-E183))</f>
        <v>65445977</v>
      </c>
      <c r="N183" s="102" t="str">
        <f aca="false">IF(L183="","",IFERROR(INDEX(AK_BARIS,MATCH(L183,AK_NAMA,0)),"?"))</f>
        <v>OP1</v>
      </c>
      <c r="O183" s="102" t="str">
        <f aca="false">IF(C183="","",IFERROR(INDEX(AK_KEL,MATCH(C183,AK_NAMA,0)),"?"))</f>
        <v>ASET</v>
      </c>
      <c r="P183" s="102" t="str">
        <f aca="false">IF(D183="","",IFERROR(INDEX(AK_KEL,MATCH(D183,AK_NAMA,0)),"?"))</f>
        <v>ASET</v>
      </c>
      <c r="Q183" s="102" t="n">
        <f aca="false">N(Q182)+IF(AND(N(E183)&lt;&gt;0,K183=TAHUN,N(J183)&lt;=BLN,OR(C183=BB_AKUN,D183=BB_AKUN)),1,0)</f>
        <v>119</v>
      </c>
      <c r="R183" s="104" t="str">
        <f aca="false">IF(OR(C183&amp;D183="",N(E183)=0),"",IF(OR(O183="?",P183="?"),"⚠ akun tidak dikenal",IF(C183=D183,"⚠ debet = kredit","")))</f>
        <v/>
      </c>
    </row>
    <row r="184" customFormat="false" ht="15" hidden="false" customHeight="false" outlineLevel="0" collapsed="false">
      <c r="A184" s="105" t="s">
        <v>799</v>
      </c>
      <c r="B184" s="106" t="n">
        <v>46053</v>
      </c>
      <c r="C184" s="105" t="s">
        <v>718</v>
      </c>
      <c r="D184" s="105" t="s">
        <v>765</v>
      </c>
      <c r="E184" s="107" t="n">
        <f aca="false">SUMIFS('OMZET HARIAN'!$L$5:$L$369,'OMZET HARIAN'!$B$5:$B$369,J184)</f>
        <v>312200</v>
      </c>
      <c r="F184" s="105" t="s">
        <v>800</v>
      </c>
      <c r="G184" s="105"/>
      <c r="H184" s="105" t="s">
        <v>763</v>
      </c>
      <c r="I184" s="105" t="s">
        <v>794</v>
      </c>
      <c r="J184" s="102" t="n">
        <f aca="false">IF(B184="","",MONTH(B184))</f>
        <v>1</v>
      </c>
      <c r="K184" s="102" t="n">
        <f aca="false">IF(B184="","",YEAR(B184))</f>
        <v>2026</v>
      </c>
      <c r="L184" s="102" t="str">
        <f aca="false">IF(N(E184)=0,"",IF(COUNTIFS(AK_NAMA,C184,AK_KAT,"KAS")+COUNTIFS(AK_NAMA,D184,AK_KAT,"KAS")&lt;&gt;1,"",IF(COUNTIFS(AK_NAMA,C184,AK_KAT,"KAS")=1,D184,C184)))</f>
        <v/>
      </c>
      <c r="M184" s="103" t="n">
        <f aca="false">IF(L184="",0,IF(L184=D184,E184,-E184))</f>
        <v>0</v>
      </c>
      <c r="N184" s="102" t="str">
        <f aca="false">IF(L184="","",IFERROR(INDEX(AK_BARIS,MATCH(L184,AK_NAMA,0)),"?"))</f>
        <v/>
      </c>
      <c r="O184" s="102" t="str">
        <f aca="false">IF(C184="","",IFERROR(INDEX(AK_KEL,MATCH(C184,AK_NAMA,0)),"?"))</f>
        <v>ASET</v>
      </c>
      <c r="P184" s="102" t="str">
        <f aca="false">IF(D184="","",IFERROR(INDEX(AK_KEL,MATCH(D184,AK_NAMA,0)),"?"))</f>
        <v>ASET</v>
      </c>
      <c r="Q184" s="102" t="n">
        <f aca="false">N(Q183)+IF(AND(N(E184)&lt;&gt;0,K184=TAHUN,N(J184)&lt;=BLN,OR(C184=BB_AKUN,D184=BB_AKUN)),1,0)</f>
        <v>119</v>
      </c>
      <c r="R184" s="104" t="str">
        <f aca="false">IF(OR(C184&amp;D184="",N(E184)=0),"",IF(OR(O184="?",P184="?"),"⚠ akun tidak dikenal",IF(C184=D184,"⚠ debet = kredit","")))</f>
        <v/>
      </c>
    </row>
    <row r="185" customFormat="false" ht="15" hidden="false" customHeight="false" outlineLevel="0" collapsed="false">
      <c r="A185" s="105" t="s">
        <v>801</v>
      </c>
      <c r="B185" s="106" t="n">
        <v>46053</v>
      </c>
      <c r="C185" s="105" t="s">
        <v>802</v>
      </c>
      <c r="D185" s="105" t="s">
        <v>765</v>
      </c>
      <c r="E185" s="107" t="n">
        <f aca="false">SUMIFS('OMZET HARIAN'!$M$5:$M$369,'OMZET HARIAN'!$B$5:$B$369,J185)</f>
        <v>1220000</v>
      </c>
      <c r="F185" s="105" t="s">
        <v>803</v>
      </c>
      <c r="G185" s="105"/>
      <c r="H185" s="105"/>
      <c r="I185" s="105" t="s">
        <v>794</v>
      </c>
      <c r="J185" s="102" t="n">
        <f aca="false">IF(B185="","",MONTH(B185))</f>
        <v>1</v>
      </c>
      <c r="K185" s="102" t="n">
        <f aca="false">IF(B185="","",YEAR(B185))</f>
        <v>2026</v>
      </c>
      <c r="L185" s="102" t="str">
        <f aca="false">IF(N(E185)=0,"",IF(COUNTIFS(AK_NAMA,C185,AK_KAT,"KAS")+COUNTIFS(AK_NAMA,D185,AK_KAT,"KAS")&lt;&gt;1,"",IF(COUNTIFS(AK_NAMA,C185,AK_KAT,"KAS")=1,D185,C185)))</f>
        <v/>
      </c>
      <c r="M185" s="103" t="n">
        <f aca="false">IF(L185="",0,IF(L185=D185,E185,-E185))</f>
        <v>0</v>
      </c>
      <c r="N185" s="102" t="str">
        <f aca="false">IF(L185="","",IFERROR(INDEX(AK_BARIS,MATCH(L185,AK_NAMA,0)),"?"))</f>
        <v/>
      </c>
      <c r="O185" s="102" t="str">
        <f aca="false">IF(C185="","",IFERROR(INDEX(AK_KEL,MATCH(C185,AK_NAMA,0)),"?"))</f>
        <v>BEBAN</v>
      </c>
      <c r="P185" s="102" t="str">
        <f aca="false">IF(D185="","",IFERROR(INDEX(AK_KEL,MATCH(D185,AK_NAMA,0)),"?"))</f>
        <v>ASET</v>
      </c>
      <c r="Q185" s="102" t="n">
        <f aca="false">N(Q184)+IF(AND(N(E185)&lt;&gt;0,K185=TAHUN,N(J185)&lt;=BLN,OR(C185=BB_AKUN,D185=BB_AKUN)),1,0)</f>
        <v>119</v>
      </c>
      <c r="R185" s="104" t="str">
        <f aca="false">IF(OR(C185&amp;D185="",N(E185)=0),"",IF(OR(O185="?",P185="?"),"⚠ akun tidak dikenal",IF(C185=D185,"⚠ debet = kredit","")))</f>
        <v/>
      </c>
    </row>
    <row r="186" customFormat="false" ht="15" hidden="false" customHeight="false" outlineLevel="0" collapsed="false">
      <c r="A186" s="105" t="s">
        <v>804</v>
      </c>
      <c r="B186" s="106" t="n">
        <v>46053</v>
      </c>
      <c r="C186" s="105" t="s">
        <v>464</v>
      </c>
      <c r="D186" s="105" t="s">
        <v>765</v>
      </c>
      <c r="E186" s="107" t="n">
        <f aca="false">SUMIFS('OMZET HARIAN'!$N$5:$N$369,'OMZET HARIAN'!$B$5:$B$369,J186)</f>
        <v>911000</v>
      </c>
      <c r="F186" s="105" t="s">
        <v>805</v>
      </c>
      <c r="G186" s="105"/>
      <c r="H186" s="105" t="s">
        <v>432</v>
      </c>
      <c r="I186" s="105" t="s">
        <v>794</v>
      </c>
      <c r="J186" s="102" t="n">
        <f aca="false">IF(B186="","",MONTH(B186))</f>
        <v>1</v>
      </c>
      <c r="K186" s="102" t="n">
        <f aca="false">IF(B186="","",YEAR(B186))</f>
        <v>2026</v>
      </c>
      <c r="L186" s="102" t="str">
        <f aca="false">IF(N(E186)=0,"",IF(COUNTIFS(AK_NAMA,C186,AK_KAT,"KAS")+COUNTIFS(AK_NAMA,D186,AK_KAT,"KAS")&lt;&gt;1,"",IF(COUNTIFS(AK_NAMA,C186,AK_KAT,"KAS")=1,D186,C186)))</f>
        <v/>
      </c>
      <c r="M186" s="103" t="n">
        <f aca="false">IF(L186="",0,IF(L186=D186,E186,-E186))</f>
        <v>0</v>
      </c>
      <c r="N186" s="102" t="str">
        <f aca="false">IF(L186="","",IFERROR(INDEX(AK_BARIS,MATCH(L186,AK_NAMA,0)),"?"))</f>
        <v/>
      </c>
      <c r="O186" s="102" t="str">
        <f aca="false">IF(C186="","",IFERROR(INDEX(AK_KEL,MATCH(C186,AK_NAMA,0)),"?"))</f>
        <v>EKUITAS</v>
      </c>
      <c r="P186" s="102" t="str">
        <f aca="false">IF(D186="","",IFERROR(INDEX(AK_KEL,MATCH(D186,AK_NAMA,0)),"?"))</f>
        <v>ASET</v>
      </c>
      <c r="Q186" s="102" t="n">
        <f aca="false">N(Q185)+IF(AND(N(E186)&lt;&gt;0,K186=TAHUN,N(J186)&lt;=BLN,OR(C186=BB_AKUN,D186=BB_AKUN)),1,0)</f>
        <v>119</v>
      </c>
      <c r="R186" s="104" t="str">
        <f aca="false">IF(OR(C186&amp;D186="",N(E186)=0),"",IF(OR(O186="?",P186="?"),"⚠ akun tidak dikenal",IF(C186=D186,"⚠ debet = kredit","")))</f>
        <v/>
      </c>
    </row>
    <row r="187" customFormat="false" ht="15" hidden="false" customHeight="false" outlineLevel="0" collapsed="false">
      <c r="A187" s="105" t="s">
        <v>806</v>
      </c>
      <c r="B187" s="106" t="n">
        <v>46053</v>
      </c>
      <c r="C187" s="105" t="s">
        <v>807</v>
      </c>
      <c r="D187" s="105" t="s">
        <v>808</v>
      </c>
      <c r="E187" s="107" t="n">
        <f aca="false">INDEX('ASET TETAP'!$H$25:$S$25,J187)</f>
        <v>0</v>
      </c>
      <c r="F187" s="105" t="s">
        <v>809</v>
      </c>
      <c r="G187" s="105"/>
      <c r="H187" s="105"/>
      <c r="I187" s="105" t="s">
        <v>794</v>
      </c>
      <c r="J187" s="102" t="n">
        <f aca="false">IF(B187="","",MONTH(B187))</f>
        <v>1</v>
      </c>
      <c r="K187" s="102" t="n">
        <f aca="false">IF(B187="","",YEAR(B187))</f>
        <v>2026</v>
      </c>
      <c r="L187" s="102" t="str">
        <f aca="false">IF(N(E187)=0,"",IF(COUNTIFS(AK_NAMA,C187,AK_KAT,"KAS")+COUNTIFS(AK_NAMA,D187,AK_KAT,"KAS")&lt;&gt;1,"",IF(COUNTIFS(AK_NAMA,C187,AK_KAT,"KAS")=1,D187,C187)))</f>
        <v/>
      </c>
      <c r="M187" s="103" t="n">
        <f aca="false">IF(L187="",0,IF(L187=D187,E187,-E187))</f>
        <v>0</v>
      </c>
      <c r="N187" s="102" t="str">
        <f aca="false">IF(L187="","",IFERROR(INDEX(AK_BARIS,MATCH(L187,AK_NAMA,0)),"?"))</f>
        <v/>
      </c>
      <c r="O187" s="102" t="str">
        <f aca="false">IF(C187="","",IFERROR(INDEX(AK_KEL,MATCH(C187,AK_NAMA,0)),"?"))</f>
        <v>BEBAN</v>
      </c>
      <c r="P187" s="102" t="str">
        <f aca="false">IF(D187="","",IFERROR(INDEX(AK_KEL,MATCH(D187,AK_NAMA,0)),"?"))</f>
        <v>ASET</v>
      </c>
      <c r="Q187" s="102" t="n">
        <f aca="false">N(Q186)+IF(AND(N(E187)&lt;&gt;0,K187=TAHUN,N(J187)&lt;=BLN,OR(C187=BB_AKUN,D187=BB_AKUN)),1,0)</f>
        <v>119</v>
      </c>
      <c r="R187" s="104" t="str">
        <f aca="false">IF(OR(C187&amp;D187="",N(E187)=0),"",IF(OR(O187="?",P187="?"),"⚠ akun tidak dikenal",IF(C187=D187,"⚠ debet = kredit","")))</f>
        <v/>
      </c>
    </row>
    <row r="188" customFormat="false" ht="15" hidden="false" customHeight="false" outlineLevel="0" collapsed="false">
      <c r="A188" s="105" t="s">
        <v>810</v>
      </c>
      <c r="B188" s="106" t="n">
        <v>46053</v>
      </c>
      <c r="C188" s="105" t="s">
        <v>787</v>
      </c>
      <c r="D188" s="105" t="s">
        <v>811</v>
      </c>
      <c r="E188" s="107" t="n">
        <f aca="false">IF(AND(AKRUAL="YA",J188&lt;=BLN),MAX(0,INDEX(PAJAK!$J$6:$J$17,J188)),0)</f>
        <v>6215995</v>
      </c>
      <c r="F188" s="105" t="s">
        <v>812</v>
      </c>
      <c r="G188" s="105"/>
      <c r="H188" s="105"/>
      <c r="I188" s="105" t="s">
        <v>813</v>
      </c>
      <c r="J188" s="102" t="n">
        <f aca="false">IF(B188="","",MONTH(B188))</f>
        <v>1</v>
      </c>
      <c r="K188" s="102" t="n">
        <f aca="false">IF(B188="","",YEAR(B188))</f>
        <v>2026</v>
      </c>
      <c r="L188" s="102" t="str">
        <f aca="false">IF(N(E188)=0,"",IF(COUNTIFS(AK_NAMA,C188,AK_KAT,"KAS")+COUNTIFS(AK_NAMA,D188,AK_KAT,"KAS")&lt;&gt;1,"",IF(COUNTIFS(AK_NAMA,C188,AK_KAT,"KAS")=1,D188,C188)))</f>
        <v/>
      </c>
      <c r="M188" s="103" t="n">
        <f aca="false">IF(L188="",0,IF(L188=D188,E188,-E188))</f>
        <v>0</v>
      </c>
      <c r="N188" s="102" t="str">
        <f aca="false">IF(L188="","",IFERROR(INDEX(AK_BARIS,MATCH(L188,AK_NAMA,0)),"?"))</f>
        <v/>
      </c>
      <c r="O188" s="102" t="str">
        <f aca="false">IF(C188="","",IFERROR(INDEX(AK_KEL,MATCH(C188,AK_NAMA,0)),"?"))</f>
        <v>PENDAPATAN</v>
      </c>
      <c r="P188" s="102" t="str">
        <f aca="false">IF(D188="","",IFERROR(INDEX(AK_KEL,MATCH(D188,AK_NAMA,0)),"?"))</f>
        <v>LIABILITAS</v>
      </c>
      <c r="Q188" s="102" t="n">
        <f aca="false">N(Q187)+IF(AND(N(E188)&lt;&gt;0,K188=TAHUN,N(J188)&lt;=BLN,OR(C188=BB_AKUN,D188=BB_AKUN)),1,0)</f>
        <v>119</v>
      </c>
      <c r="R188" s="104" t="str">
        <f aca="false">IF(OR(C188&amp;D188="",N(E188)=0),"",IF(OR(O188="?",P188="?"),"⚠ akun tidak dikenal",IF(C188=D188,"⚠ debet = kredit","")))</f>
        <v/>
      </c>
    </row>
    <row r="189" customFormat="false" ht="15" hidden="false" customHeight="false" outlineLevel="0" collapsed="false">
      <c r="A189" s="82" t="s">
        <v>814</v>
      </c>
      <c r="B189" s="101" t="n">
        <v>46055</v>
      </c>
      <c r="C189" s="82" t="s">
        <v>470</v>
      </c>
      <c r="D189" s="82" t="s">
        <v>461</v>
      </c>
      <c r="E189" s="91" t="n">
        <v>5760000</v>
      </c>
      <c r="F189" s="82" t="s">
        <v>815</v>
      </c>
      <c r="G189" s="82"/>
      <c r="H189" s="82"/>
      <c r="I189" s="82" t="s">
        <v>250</v>
      </c>
      <c r="J189" s="102" t="n">
        <f aca="false">IF(B189="","",MONTH(B189))</f>
        <v>2</v>
      </c>
      <c r="K189" s="102" t="n">
        <f aca="false">IF(B189="","",YEAR(B189))</f>
        <v>2026</v>
      </c>
      <c r="L189" s="102" t="str">
        <f aca="false">IF(N(E189)=0,"",IF(COUNTIFS(AK_NAMA,C189,AK_KAT,"KAS")+COUNTIFS(AK_NAMA,D189,AK_KAT,"KAS")&lt;&gt;1,"",IF(COUNTIFS(AK_NAMA,C189,AK_KAT,"KAS")=1,D189,C189)))</f>
        <v>Biaya Bahan Baku</v>
      </c>
      <c r="M189" s="103" t="n">
        <f aca="false">IF(L189="",0,IF(L189=D189,E189,-E189))</f>
        <v>-5760000</v>
      </c>
      <c r="N189" s="102" t="str">
        <f aca="false">IF(L189="","",IFERROR(INDEX(AK_BARIS,MATCH(L189,AK_NAMA,0)),"?"))</f>
        <v>OP3</v>
      </c>
      <c r="O189" s="102" t="str">
        <f aca="false">IF(C189="","",IFERROR(INDEX(AK_KEL,MATCH(C189,AK_NAMA,0)),"?"))</f>
        <v>BEBAN</v>
      </c>
      <c r="P189" s="102" t="str">
        <f aca="false">IF(D189="","",IFERROR(INDEX(AK_KEL,MATCH(D189,AK_NAMA,0)),"?"))</f>
        <v>ASET</v>
      </c>
      <c r="Q189" s="102" t="n">
        <f aca="false">N(Q188)+IF(AND(N(E189)&lt;&gt;0,K189=TAHUN,N(J189)&lt;=BLN,OR(C189=BB_AKUN,D189=BB_AKUN)),1,0)</f>
        <v>120</v>
      </c>
      <c r="R189" s="104" t="str">
        <f aca="false">IF(OR(C189&amp;D189="",N(E189)=0),"",IF(OR(O189="?",P189="?"),"⚠ akun tidak dikenal",IF(C189=D189,"⚠ debet = kredit","")))</f>
        <v/>
      </c>
    </row>
    <row r="190" customFormat="false" ht="15" hidden="false" customHeight="false" outlineLevel="0" collapsed="false">
      <c r="A190" s="82" t="s">
        <v>816</v>
      </c>
      <c r="B190" s="101" t="n">
        <v>46055</v>
      </c>
      <c r="C190" s="82" t="s">
        <v>470</v>
      </c>
      <c r="D190" s="82" t="s">
        <v>461</v>
      </c>
      <c r="E190" s="91" t="n">
        <v>900000</v>
      </c>
      <c r="F190" s="82" t="s">
        <v>817</v>
      </c>
      <c r="G190" s="82"/>
      <c r="H190" s="82"/>
      <c r="I190" s="82" t="s">
        <v>250</v>
      </c>
      <c r="J190" s="102" t="n">
        <f aca="false">IF(B190="","",MONTH(B190))</f>
        <v>2</v>
      </c>
      <c r="K190" s="102" t="n">
        <f aca="false">IF(B190="","",YEAR(B190))</f>
        <v>2026</v>
      </c>
      <c r="L190" s="102" t="str">
        <f aca="false">IF(N(E190)=0,"",IF(COUNTIFS(AK_NAMA,C190,AK_KAT,"KAS")+COUNTIFS(AK_NAMA,D190,AK_KAT,"KAS")&lt;&gt;1,"",IF(COUNTIFS(AK_NAMA,C190,AK_KAT,"KAS")=1,D190,C190)))</f>
        <v>Biaya Bahan Baku</v>
      </c>
      <c r="M190" s="103" t="n">
        <f aca="false">IF(L190="",0,IF(L190=D190,E190,-E190))</f>
        <v>-900000</v>
      </c>
      <c r="N190" s="102" t="str">
        <f aca="false">IF(L190="","",IFERROR(INDEX(AK_BARIS,MATCH(L190,AK_NAMA,0)),"?"))</f>
        <v>OP3</v>
      </c>
      <c r="O190" s="102" t="str">
        <f aca="false">IF(C190="","",IFERROR(INDEX(AK_KEL,MATCH(C190,AK_NAMA,0)),"?"))</f>
        <v>BEBAN</v>
      </c>
      <c r="P190" s="102" t="str">
        <f aca="false">IF(D190="","",IFERROR(INDEX(AK_KEL,MATCH(D190,AK_NAMA,0)),"?"))</f>
        <v>ASET</v>
      </c>
      <c r="Q190" s="102" t="n">
        <f aca="false">N(Q189)+IF(AND(N(E190)&lt;&gt;0,K190=TAHUN,N(J190)&lt;=BLN,OR(C190=BB_AKUN,D190=BB_AKUN)),1,0)</f>
        <v>121</v>
      </c>
      <c r="R190" s="104" t="str">
        <f aca="false">IF(OR(C190&amp;D190="",N(E190)=0),"",IF(OR(O190="?",P190="?"),"⚠ akun tidak dikenal",IF(C190=D190,"⚠ debet = kredit","")))</f>
        <v/>
      </c>
    </row>
    <row r="191" customFormat="false" ht="15" hidden="false" customHeight="false" outlineLevel="0" collapsed="false">
      <c r="A191" s="82" t="s">
        <v>818</v>
      </c>
      <c r="B191" s="101" t="n">
        <v>46055</v>
      </c>
      <c r="C191" s="82" t="s">
        <v>461</v>
      </c>
      <c r="D191" s="82" t="s">
        <v>765</v>
      </c>
      <c r="E191" s="91" t="n">
        <v>500000</v>
      </c>
      <c r="F191" s="82" t="s">
        <v>819</v>
      </c>
      <c r="G191" s="82"/>
      <c r="H191" s="82" t="s">
        <v>820</v>
      </c>
      <c r="I191" s="82" t="s">
        <v>250</v>
      </c>
      <c r="J191" s="102" t="n">
        <f aca="false">IF(B191="","",MONTH(B191))</f>
        <v>2</v>
      </c>
      <c r="K191" s="102" t="n">
        <f aca="false">IF(B191="","",YEAR(B191))</f>
        <v>2026</v>
      </c>
      <c r="L191" s="102" t="str">
        <f aca="false">IF(N(E191)=0,"",IF(COUNTIFS(AK_NAMA,C191,AK_KAT,"KAS")+COUNTIFS(AK_NAMA,D191,AK_KAT,"KAS")&lt;&gt;1,"",IF(COUNTIFS(AK_NAMA,C191,AK_KAT,"KAS")=1,D191,C191)))</f>
        <v>Piutang Usaha Cafe</v>
      </c>
      <c r="M191" s="103" t="n">
        <f aca="false">IF(L191="",0,IF(L191=D191,E191,-E191))</f>
        <v>500000</v>
      </c>
      <c r="N191" s="102" t="str">
        <f aca="false">IF(L191="","",IFERROR(INDEX(AK_BARIS,MATCH(L191,AK_NAMA,0)),"?"))</f>
        <v>OP1</v>
      </c>
      <c r="O191" s="102" t="str">
        <f aca="false">IF(C191="","",IFERROR(INDEX(AK_KEL,MATCH(C191,AK_NAMA,0)),"?"))</f>
        <v>ASET</v>
      </c>
      <c r="P191" s="102" t="str">
        <f aca="false">IF(D191="","",IFERROR(INDEX(AK_KEL,MATCH(D191,AK_NAMA,0)),"?"))</f>
        <v>ASET</v>
      </c>
      <c r="Q191" s="102" t="n">
        <f aca="false">N(Q190)+IF(AND(N(E191)&lt;&gt;0,K191=TAHUN,N(J191)&lt;=BLN,OR(C191=BB_AKUN,D191=BB_AKUN)),1,0)</f>
        <v>122</v>
      </c>
      <c r="R191" s="104" t="str">
        <f aca="false">IF(OR(C191&amp;D191="",N(E191)=0),"",IF(OR(O191="?",P191="?"),"⚠ akun tidak dikenal",IF(C191=D191,"⚠ debet = kredit","")))</f>
        <v/>
      </c>
    </row>
    <row r="192" customFormat="false" ht="15" hidden="false" customHeight="false" outlineLevel="0" collapsed="false">
      <c r="A192" s="82" t="s">
        <v>821</v>
      </c>
      <c r="B192" s="101" t="n">
        <v>46055</v>
      </c>
      <c r="C192" s="82" t="s">
        <v>524</v>
      </c>
      <c r="D192" s="82" t="s">
        <v>461</v>
      </c>
      <c r="E192" s="91" t="n">
        <v>325</v>
      </c>
      <c r="F192" s="82" t="s">
        <v>525</v>
      </c>
      <c r="G192" s="82"/>
      <c r="H192" s="82"/>
      <c r="I192" s="82" t="s">
        <v>250</v>
      </c>
      <c r="J192" s="102" t="n">
        <f aca="false">IF(B192="","",MONTH(B192))</f>
        <v>2</v>
      </c>
      <c r="K192" s="102" t="n">
        <f aca="false">IF(B192="","",YEAR(B192))</f>
        <v>2026</v>
      </c>
      <c r="L192" s="102" t="str">
        <f aca="false">IF(N(E192)=0,"",IF(COUNTIFS(AK_NAMA,C192,AK_KAT,"KAS")+COUNTIFS(AK_NAMA,D192,AK_KAT,"KAS")&lt;&gt;1,"",IF(COUNTIFS(AK_NAMA,C192,AK_KAT,"KAS")=1,D192,C192)))</f>
        <v>Biaya Lainnya</v>
      </c>
      <c r="M192" s="103" t="n">
        <f aca="false">IF(L192="",0,IF(L192=D192,E192,-E192))</f>
        <v>-325</v>
      </c>
      <c r="N192" s="102" t="str">
        <f aca="false">IF(L192="","",IFERROR(INDEX(AK_BARIS,MATCH(L192,AK_NAMA,0)),"?"))</f>
        <v>OP2</v>
      </c>
      <c r="O192" s="102" t="str">
        <f aca="false">IF(C192="","",IFERROR(INDEX(AK_KEL,MATCH(C192,AK_NAMA,0)),"?"))</f>
        <v>BEBAN</v>
      </c>
      <c r="P192" s="102" t="str">
        <f aca="false">IF(D192="","",IFERROR(INDEX(AK_KEL,MATCH(D192,AK_NAMA,0)),"?"))</f>
        <v>ASET</v>
      </c>
      <c r="Q192" s="102" t="n">
        <f aca="false">N(Q191)+IF(AND(N(E192)&lt;&gt;0,K192=TAHUN,N(J192)&lt;=BLN,OR(C192=BB_AKUN,D192=BB_AKUN)),1,0)</f>
        <v>123</v>
      </c>
      <c r="R192" s="104" t="str">
        <f aca="false">IF(OR(C192&amp;D192="",N(E192)=0),"",IF(OR(O192="?",P192="?"),"⚠ akun tidak dikenal",IF(C192=D192,"⚠ debet = kredit","")))</f>
        <v/>
      </c>
    </row>
    <row r="193" customFormat="false" ht="15" hidden="false" customHeight="false" outlineLevel="0" collapsed="false">
      <c r="A193" s="82" t="s">
        <v>822</v>
      </c>
      <c r="B193" s="101" t="n">
        <v>46055</v>
      </c>
      <c r="C193" s="82" t="s">
        <v>470</v>
      </c>
      <c r="D193" s="82" t="s">
        <v>486</v>
      </c>
      <c r="E193" s="91" t="n">
        <v>108000</v>
      </c>
      <c r="F193" s="82" t="s">
        <v>823</v>
      </c>
      <c r="G193" s="82"/>
      <c r="H193" s="82"/>
      <c r="I193" s="82" t="s">
        <v>250</v>
      </c>
      <c r="J193" s="102" t="n">
        <f aca="false">IF(B193="","",MONTH(B193))</f>
        <v>2</v>
      </c>
      <c r="K193" s="102" t="n">
        <f aca="false">IF(B193="","",YEAR(B193))</f>
        <v>2026</v>
      </c>
      <c r="L193" s="102" t="str">
        <f aca="false">IF(N(E193)=0,"",IF(COUNTIFS(AK_NAMA,C193,AK_KAT,"KAS")+COUNTIFS(AK_NAMA,D193,AK_KAT,"KAS")&lt;&gt;1,"",IF(COUNTIFS(AK_NAMA,C193,AK_KAT,"KAS")=1,D193,C193)))</f>
        <v>Biaya Bahan Baku</v>
      </c>
      <c r="M193" s="103" t="n">
        <f aca="false">IF(L193="",0,IF(L193=D193,E193,-E193))</f>
        <v>-108000</v>
      </c>
      <c r="N193" s="102" t="str">
        <f aca="false">IF(L193="","",IFERROR(INDEX(AK_BARIS,MATCH(L193,AK_NAMA,0)),"?"))</f>
        <v>OP3</v>
      </c>
      <c r="O193" s="102" t="str">
        <f aca="false">IF(C193="","",IFERROR(INDEX(AK_KEL,MATCH(C193,AK_NAMA,0)),"?"))</f>
        <v>BEBAN</v>
      </c>
      <c r="P193" s="102" t="str">
        <f aca="false">IF(D193="","",IFERROR(INDEX(AK_KEL,MATCH(D193,AK_NAMA,0)),"?"))</f>
        <v>ASET</v>
      </c>
      <c r="Q193" s="102" t="n">
        <f aca="false">N(Q192)+IF(AND(N(E193)&lt;&gt;0,K193=TAHUN,N(J193)&lt;=BLN,OR(C193=BB_AKUN,D193=BB_AKUN)),1,0)</f>
        <v>123</v>
      </c>
      <c r="R193" s="104" t="str">
        <f aca="false">IF(OR(C193&amp;D193="",N(E193)=0),"",IF(OR(O193="?",P193="?"),"⚠ akun tidak dikenal",IF(C193=D193,"⚠ debet = kredit","")))</f>
        <v/>
      </c>
    </row>
    <row r="194" customFormat="false" ht="15" hidden="false" customHeight="false" outlineLevel="0" collapsed="false">
      <c r="A194" s="82" t="s">
        <v>824</v>
      </c>
      <c r="B194" s="101" t="n">
        <v>46055</v>
      </c>
      <c r="C194" s="82" t="s">
        <v>478</v>
      </c>
      <c r="D194" s="82" t="s">
        <v>486</v>
      </c>
      <c r="E194" s="91" t="n">
        <v>307500</v>
      </c>
      <c r="F194" s="82" t="s">
        <v>825</v>
      </c>
      <c r="G194" s="82"/>
      <c r="H194" s="82"/>
      <c r="I194" s="82" t="s">
        <v>250</v>
      </c>
      <c r="J194" s="102" t="n">
        <f aca="false">IF(B194="","",MONTH(B194))</f>
        <v>2</v>
      </c>
      <c r="K194" s="102" t="n">
        <f aca="false">IF(B194="","",YEAR(B194))</f>
        <v>2026</v>
      </c>
      <c r="L194" s="102" t="str">
        <f aca="false">IF(N(E194)=0,"",IF(COUNTIFS(AK_NAMA,C194,AK_KAT,"KAS")+COUNTIFS(AK_NAMA,D194,AK_KAT,"KAS")&lt;&gt;1,"",IF(COUNTIFS(AK_NAMA,C194,AK_KAT,"KAS")=1,D194,C194)))</f>
        <v>Biaya Penyajian</v>
      </c>
      <c r="M194" s="103" t="n">
        <f aca="false">IF(L194="",0,IF(L194=D194,E194,-E194))</f>
        <v>-307500</v>
      </c>
      <c r="N194" s="102" t="str">
        <f aca="false">IF(L194="","",IFERROR(INDEX(AK_BARIS,MATCH(L194,AK_NAMA,0)),"?"))</f>
        <v>OP3</v>
      </c>
      <c r="O194" s="102" t="str">
        <f aca="false">IF(C194="","",IFERROR(INDEX(AK_KEL,MATCH(C194,AK_NAMA,0)),"?"))</f>
        <v>BEBAN</v>
      </c>
      <c r="P194" s="102" t="str">
        <f aca="false">IF(D194="","",IFERROR(INDEX(AK_KEL,MATCH(D194,AK_NAMA,0)),"?"))</f>
        <v>ASET</v>
      </c>
      <c r="Q194" s="102" t="n">
        <f aca="false">N(Q193)+IF(AND(N(E194)&lt;&gt;0,K194=TAHUN,N(J194)&lt;=BLN,OR(C194=BB_AKUN,D194=BB_AKUN)),1,0)</f>
        <v>123</v>
      </c>
      <c r="R194" s="104" t="str">
        <f aca="false">IF(OR(C194&amp;D194="",N(E194)=0),"",IF(OR(O194="?",P194="?"),"⚠ akun tidak dikenal",IF(C194=D194,"⚠ debet = kredit","")))</f>
        <v/>
      </c>
    </row>
    <row r="195" customFormat="false" ht="15" hidden="false" customHeight="false" outlineLevel="0" collapsed="false">
      <c r="A195" s="82" t="s">
        <v>826</v>
      </c>
      <c r="B195" s="101" t="n">
        <v>46055</v>
      </c>
      <c r="C195" s="82" t="s">
        <v>548</v>
      </c>
      <c r="D195" s="82" t="s">
        <v>486</v>
      </c>
      <c r="E195" s="91" t="n">
        <v>4500</v>
      </c>
      <c r="F195" s="82" t="s">
        <v>827</v>
      </c>
      <c r="G195" s="82"/>
      <c r="H195" s="82"/>
      <c r="I195" s="82" t="s">
        <v>250</v>
      </c>
      <c r="J195" s="102" t="n">
        <f aca="false">IF(B195="","",MONTH(B195))</f>
        <v>2</v>
      </c>
      <c r="K195" s="102" t="n">
        <f aca="false">IF(B195="","",YEAR(B195))</f>
        <v>2026</v>
      </c>
      <c r="L195" s="102" t="str">
        <f aca="false">IF(N(E195)=0,"",IF(COUNTIFS(AK_NAMA,C195,AK_KAT,"KAS")+COUNTIFS(AK_NAMA,D195,AK_KAT,"KAS")&lt;&gt;1,"",IF(COUNTIFS(AK_NAMA,C195,AK_KAT,"KAS")=1,D195,C195)))</f>
        <v>Beban Perlengkapan</v>
      </c>
      <c r="M195" s="103" t="n">
        <f aca="false">IF(L195="",0,IF(L195=D195,E195,-E195))</f>
        <v>-4500</v>
      </c>
      <c r="N195" s="102" t="str">
        <f aca="false">IF(L195="","",IFERROR(INDEX(AK_BARIS,MATCH(L195,AK_NAMA,0)),"?"))</f>
        <v>OP6</v>
      </c>
      <c r="O195" s="102" t="str">
        <f aca="false">IF(C195="","",IFERROR(INDEX(AK_KEL,MATCH(C195,AK_NAMA,0)),"?"))</f>
        <v>BEBAN</v>
      </c>
      <c r="P195" s="102" t="str">
        <f aca="false">IF(D195="","",IFERROR(INDEX(AK_KEL,MATCH(D195,AK_NAMA,0)),"?"))</f>
        <v>ASET</v>
      </c>
      <c r="Q195" s="102" t="n">
        <f aca="false">N(Q194)+IF(AND(N(E195)&lt;&gt;0,K195=TAHUN,N(J195)&lt;=BLN,OR(C195=BB_AKUN,D195=BB_AKUN)),1,0)</f>
        <v>123</v>
      </c>
      <c r="R195" s="104" t="str">
        <f aca="false">IF(OR(C195&amp;D195="",N(E195)=0),"",IF(OR(O195="?",P195="?"),"⚠ akun tidak dikenal",IF(C195=D195,"⚠ debet = kredit","")))</f>
        <v/>
      </c>
    </row>
    <row r="196" customFormat="false" ht="15" hidden="false" customHeight="false" outlineLevel="0" collapsed="false">
      <c r="A196" s="82" t="s">
        <v>828</v>
      </c>
      <c r="B196" s="101" t="n">
        <v>46055</v>
      </c>
      <c r="C196" s="82" t="s">
        <v>475</v>
      </c>
      <c r="D196" s="82" t="s">
        <v>486</v>
      </c>
      <c r="E196" s="91" t="n">
        <v>80000</v>
      </c>
      <c r="F196" s="82" t="s">
        <v>540</v>
      </c>
      <c r="G196" s="82"/>
      <c r="H196" s="82"/>
      <c r="I196" s="82" t="s">
        <v>250</v>
      </c>
      <c r="J196" s="102" t="n">
        <f aca="false">IF(B196="","",MONTH(B196))</f>
        <v>2</v>
      </c>
      <c r="K196" s="102" t="n">
        <f aca="false">IF(B196="","",YEAR(B196))</f>
        <v>2026</v>
      </c>
      <c r="L196" s="102" t="str">
        <f aca="false">IF(N(E196)=0,"",IF(COUNTIFS(AK_NAMA,C196,AK_KAT,"KAS")+COUNTIFS(AK_NAMA,D196,AK_KAT,"KAS")&lt;&gt;1,"",IF(COUNTIFS(AK_NAMA,C196,AK_KAT,"KAS")=1,D196,C196)))</f>
        <v/>
      </c>
      <c r="M196" s="103" t="n">
        <f aca="false">IF(L196="",0,IF(L196=D196,E196,-E196))</f>
        <v>0</v>
      </c>
      <c r="N196" s="102" t="str">
        <f aca="false">IF(L196="","",IFERROR(INDEX(AK_BARIS,MATCH(L196,AK_NAMA,0)),"?"))</f>
        <v/>
      </c>
      <c r="O196" s="102" t="str">
        <f aca="false">IF(C196="","",IFERROR(INDEX(AK_KEL,MATCH(C196,AK_NAMA,0)),"?"))</f>
        <v>ASET</v>
      </c>
      <c r="P196" s="102" t="str">
        <f aca="false">IF(D196="","",IFERROR(INDEX(AK_KEL,MATCH(D196,AK_NAMA,0)),"?"))</f>
        <v>ASET</v>
      </c>
      <c r="Q196" s="102" t="n">
        <f aca="false">N(Q195)+IF(AND(N(E196)&lt;&gt;0,K196=TAHUN,N(J196)&lt;=BLN,OR(C196=BB_AKUN,D196=BB_AKUN)),1,0)</f>
        <v>123</v>
      </c>
      <c r="R196" s="104" t="str">
        <f aca="false">IF(OR(C196&amp;D196="",N(E196)=0),"",IF(OR(O196="?",P196="?"),"⚠ akun tidak dikenal",IF(C196=D196,"⚠ debet = kredit","")))</f>
        <v/>
      </c>
    </row>
    <row r="197" customFormat="false" ht="15" hidden="false" customHeight="false" outlineLevel="0" collapsed="false">
      <c r="A197" s="82" t="s">
        <v>829</v>
      </c>
      <c r="B197" s="101" t="n">
        <v>46055</v>
      </c>
      <c r="C197" s="82" t="s">
        <v>486</v>
      </c>
      <c r="D197" s="82" t="s">
        <v>475</v>
      </c>
      <c r="E197" s="91" t="n">
        <v>1000000</v>
      </c>
      <c r="F197" s="82" t="s">
        <v>622</v>
      </c>
      <c r="G197" s="82"/>
      <c r="H197" s="82"/>
      <c r="I197" s="82" t="s">
        <v>250</v>
      </c>
      <c r="J197" s="102" t="n">
        <f aca="false">IF(B197="","",MONTH(B197))</f>
        <v>2</v>
      </c>
      <c r="K197" s="102" t="n">
        <f aca="false">IF(B197="","",YEAR(B197))</f>
        <v>2026</v>
      </c>
      <c r="L197" s="102" t="str">
        <f aca="false">IF(N(E197)=0,"",IF(COUNTIFS(AK_NAMA,C197,AK_KAT,"KAS")+COUNTIFS(AK_NAMA,D197,AK_KAT,"KAS")&lt;&gt;1,"",IF(COUNTIFS(AK_NAMA,C197,AK_KAT,"KAS")=1,D197,C197)))</f>
        <v/>
      </c>
      <c r="M197" s="103" t="n">
        <f aca="false">IF(L197="",0,IF(L197=D197,E197,-E197))</f>
        <v>0</v>
      </c>
      <c r="N197" s="102" t="str">
        <f aca="false">IF(L197="","",IFERROR(INDEX(AK_BARIS,MATCH(L197,AK_NAMA,0)),"?"))</f>
        <v/>
      </c>
      <c r="O197" s="102" t="str">
        <f aca="false">IF(C197="","",IFERROR(INDEX(AK_KEL,MATCH(C197,AK_NAMA,0)),"?"))</f>
        <v>ASET</v>
      </c>
      <c r="P197" s="102" t="str">
        <f aca="false">IF(D197="","",IFERROR(INDEX(AK_KEL,MATCH(D197,AK_NAMA,0)),"?"))</f>
        <v>ASET</v>
      </c>
      <c r="Q197" s="102" t="n">
        <f aca="false">N(Q196)+IF(AND(N(E197)&lt;&gt;0,K197=TAHUN,N(J197)&lt;=BLN,OR(C197=BB_AKUN,D197=BB_AKUN)),1,0)</f>
        <v>123</v>
      </c>
      <c r="R197" s="104" t="str">
        <f aca="false">IF(OR(C197&amp;D197="",N(E197)=0),"",IF(OR(O197="?",P197="?"),"⚠ akun tidak dikenal",IF(C197=D197,"⚠ debet = kredit","")))</f>
        <v/>
      </c>
    </row>
    <row r="198" customFormat="false" ht="15" hidden="false" customHeight="false" outlineLevel="0" collapsed="false">
      <c r="A198" s="82" t="s">
        <v>830</v>
      </c>
      <c r="B198" s="101" t="n">
        <v>46056</v>
      </c>
      <c r="C198" s="82" t="s">
        <v>467</v>
      </c>
      <c r="D198" s="82" t="s">
        <v>461</v>
      </c>
      <c r="E198" s="91" t="n">
        <v>800000</v>
      </c>
      <c r="F198" s="82" t="s">
        <v>831</v>
      </c>
      <c r="G198" s="82"/>
      <c r="H198" s="82"/>
      <c r="I198" s="82" t="s">
        <v>250</v>
      </c>
      <c r="J198" s="102" t="n">
        <f aca="false">IF(B198="","",MONTH(B198))</f>
        <v>2</v>
      </c>
      <c r="K198" s="102" t="n">
        <f aca="false">IF(B198="","",YEAR(B198))</f>
        <v>2026</v>
      </c>
      <c r="L198" s="102" t="str">
        <f aca="false">IF(N(E198)=0,"",IF(COUNTIFS(AK_NAMA,C198,AK_KAT,"KAS")+COUNTIFS(AK_NAMA,D198,AK_KAT,"KAS")&lt;&gt;1,"",IF(COUNTIFS(AK_NAMA,C198,AK_KAT,"KAS")=1,D198,C198)))</f>
        <v>Dana Sosial &amp; CSR</v>
      </c>
      <c r="M198" s="103" t="n">
        <f aca="false">IF(L198="",0,IF(L198=D198,E198,-E198))</f>
        <v>-800000</v>
      </c>
      <c r="N198" s="102" t="str">
        <f aca="false">IF(L198="","",IFERROR(INDEX(AK_BARIS,MATCH(L198,AK_NAMA,0)),"?"))</f>
        <v>OP6</v>
      </c>
      <c r="O198" s="102" t="str">
        <f aca="false">IF(C198="","",IFERROR(INDEX(AK_KEL,MATCH(C198,AK_NAMA,0)),"?"))</f>
        <v>BEBAN</v>
      </c>
      <c r="P198" s="102" t="str">
        <f aca="false">IF(D198="","",IFERROR(INDEX(AK_KEL,MATCH(D198,AK_NAMA,0)),"?"))</f>
        <v>ASET</v>
      </c>
      <c r="Q198" s="102" t="n">
        <f aca="false">N(Q197)+IF(AND(N(E198)&lt;&gt;0,K198=TAHUN,N(J198)&lt;=BLN,OR(C198=BB_AKUN,D198=BB_AKUN)),1,0)</f>
        <v>124</v>
      </c>
      <c r="R198" s="104" t="str">
        <f aca="false">IF(OR(C198&amp;D198="",N(E198)=0),"",IF(OR(O198="?",P198="?"),"⚠ akun tidak dikenal",IF(C198=D198,"⚠ debet = kredit","")))</f>
        <v/>
      </c>
    </row>
    <row r="199" customFormat="false" ht="15" hidden="false" customHeight="false" outlineLevel="0" collapsed="false">
      <c r="A199" s="82" t="s">
        <v>832</v>
      </c>
      <c r="B199" s="101" t="n">
        <v>46057</v>
      </c>
      <c r="C199" s="82" t="s">
        <v>470</v>
      </c>
      <c r="D199" s="82" t="s">
        <v>461</v>
      </c>
      <c r="E199" s="91" t="n">
        <v>1100000</v>
      </c>
      <c r="F199" s="82" t="s">
        <v>833</v>
      </c>
      <c r="G199" s="82"/>
      <c r="H199" s="82"/>
      <c r="I199" s="82" t="s">
        <v>250</v>
      </c>
      <c r="J199" s="102" t="n">
        <f aca="false">IF(B199="","",MONTH(B199))</f>
        <v>2</v>
      </c>
      <c r="K199" s="102" t="n">
        <f aca="false">IF(B199="","",YEAR(B199))</f>
        <v>2026</v>
      </c>
      <c r="L199" s="102" t="str">
        <f aca="false">IF(N(E199)=0,"",IF(COUNTIFS(AK_NAMA,C199,AK_KAT,"KAS")+COUNTIFS(AK_NAMA,D199,AK_KAT,"KAS")&lt;&gt;1,"",IF(COUNTIFS(AK_NAMA,C199,AK_KAT,"KAS")=1,D199,C199)))</f>
        <v>Biaya Bahan Baku</v>
      </c>
      <c r="M199" s="103" t="n">
        <f aca="false">IF(L199="",0,IF(L199=D199,E199,-E199))</f>
        <v>-1100000</v>
      </c>
      <c r="N199" s="102" t="str">
        <f aca="false">IF(L199="","",IFERROR(INDEX(AK_BARIS,MATCH(L199,AK_NAMA,0)),"?"))</f>
        <v>OP3</v>
      </c>
      <c r="O199" s="102" t="str">
        <f aca="false">IF(C199="","",IFERROR(INDEX(AK_KEL,MATCH(C199,AK_NAMA,0)),"?"))</f>
        <v>BEBAN</v>
      </c>
      <c r="P199" s="102" t="str">
        <f aca="false">IF(D199="","",IFERROR(INDEX(AK_KEL,MATCH(D199,AK_NAMA,0)),"?"))</f>
        <v>ASET</v>
      </c>
      <c r="Q199" s="102" t="n">
        <f aca="false">N(Q198)+IF(AND(N(E199)&lt;&gt;0,K199=TAHUN,N(J199)&lt;=BLN,OR(C199=BB_AKUN,D199=BB_AKUN)),1,0)</f>
        <v>125</v>
      </c>
      <c r="R199" s="104" t="str">
        <f aca="false">IF(OR(C199&amp;D199="",N(E199)=0),"",IF(OR(O199="?",P199="?"),"⚠ akun tidak dikenal",IF(C199=D199,"⚠ debet = kredit","")))</f>
        <v/>
      </c>
    </row>
    <row r="200" customFormat="false" ht="15" hidden="false" customHeight="false" outlineLevel="0" collapsed="false">
      <c r="A200" s="82" t="s">
        <v>834</v>
      </c>
      <c r="B200" s="101" t="n">
        <v>46057</v>
      </c>
      <c r="C200" s="82" t="s">
        <v>478</v>
      </c>
      <c r="D200" s="82" t="s">
        <v>461</v>
      </c>
      <c r="E200" s="91" t="n">
        <v>336010</v>
      </c>
      <c r="F200" s="82" t="s">
        <v>835</v>
      </c>
      <c r="G200" s="82"/>
      <c r="H200" s="82"/>
      <c r="I200" s="82" t="s">
        <v>250</v>
      </c>
      <c r="J200" s="102" t="n">
        <f aca="false">IF(B200="","",MONTH(B200))</f>
        <v>2</v>
      </c>
      <c r="K200" s="102" t="n">
        <f aca="false">IF(B200="","",YEAR(B200))</f>
        <v>2026</v>
      </c>
      <c r="L200" s="102" t="str">
        <f aca="false">IF(N(E200)=0,"",IF(COUNTIFS(AK_NAMA,C200,AK_KAT,"KAS")+COUNTIFS(AK_NAMA,D200,AK_KAT,"KAS")&lt;&gt;1,"",IF(COUNTIFS(AK_NAMA,C200,AK_KAT,"KAS")=1,D200,C200)))</f>
        <v>Biaya Penyajian</v>
      </c>
      <c r="M200" s="103" t="n">
        <f aca="false">IF(L200="",0,IF(L200=D200,E200,-E200))</f>
        <v>-336010</v>
      </c>
      <c r="N200" s="102" t="str">
        <f aca="false">IF(L200="","",IFERROR(INDEX(AK_BARIS,MATCH(L200,AK_NAMA,0)),"?"))</f>
        <v>OP3</v>
      </c>
      <c r="O200" s="102" t="str">
        <f aca="false">IF(C200="","",IFERROR(INDEX(AK_KEL,MATCH(C200,AK_NAMA,0)),"?"))</f>
        <v>BEBAN</v>
      </c>
      <c r="P200" s="102" t="str">
        <f aca="false">IF(D200="","",IFERROR(INDEX(AK_KEL,MATCH(D200,AK_NAMA,0)),"?"))</f>
        <v>ASET</v>
      </c>
      <c r="Q200" s="102" t="n">
        <f aca="false">N(Q199)+IF(AND(N(E200)&lt;&gt;0,K200=TAHUN,N(J200)&lt;=BLN,OR(C200=BB_AKUN,D200=BB_AKUN)),1,0)</f>
        <v>126</v>
      </c>
      <c r="R200" s="104" t="str">
        <f aca="false">IF(OR(C200&amp;D200="",N(E200)=0),"",IF(OR(O200="?",P200="?"),"⚠ akun tidak dikenal",IF(C200=D200,"⚠ debet = kredit","")))</f>
        <v/>
      </c>
    </row>
    <row r="201" customFormat="false" ht="15" hidden="false" customHeight="false" outlineLevel="0" collapsed="false">
      <c r="A201" s="82" t="s">
        <v>836</v>
      </c>
      <c r="B201" s="101" t="n">
        <v>46058</v>
      </c>
      <c r="C201" s="82" t="s">
        <v>470</v>
      </c>
      <c r="D201" s="82" t="s">
        <v>461</v>
      </c>
      <c r="E201" s="91" t="n">
        <v>2200000</v>
      </c>
      <c r="F201" s="82" t="s">
        <v>837</v>
      </c>
      <c r="G201" s="82"/>
      <c r="H201" s="82"/>
      <c r="I201" s="82" t="s">
        <v>250</v>
      </c>
      <c r="J201" s="102" t="n">
        <f aca="false">IF(B201="","",MONTH(B201))</f>
        <v>2</v>
      </c>
      <c r="K201" s="102" t="n">
        <f aca="false">IF(B201="","",YEAR(B201))</f>
        <v>2026</v>
      </c>
      <c r="L201" s="102" t="str">
        <f aca="false">IF(N(E201)=0,"",IF(COUNTIFS(AK_NAMA,C201,AK_KAT,"KAS")+COUNTIFS(AK_NAMA,D201,AK_KAT,"KAS")&lt;&gt;1,"",IF(COUNTIFS(AK_NAMA,C201,AK_KAT,"KAS")=1,D201,C201)))</f>
        <v>Biaya Bahan Baku</v>
      </c>
      <c r="M201" s="103" t="n">
        <f aca="false">IF(L201="",0,IF(L201=D201,E201,-E201))</f>
        <v>-2200000</v>
      </c>
      <c r="N201" s="102" t="str">
        <f aca="false">IF(L201="","",IFERROR(INDEX(AK_BARIS,MATCH(L201,AK_NAMA,0)),"?"))</f>
        <v>OP3</v>
      </c>
      <c r="O201" s="102" t="str">
        <f aca="false">IF(C201="","",IFERROR(INDEX(AK_KEL,MATCH(C201,AK_NAMA,0)),"?"))</f>
        <v>BEBAN</v>
      </c>
      <c r="P201" s="102" t="str">
        <f aca="false">IF(D201="","",IFERROR(INDEX(AK_KEL,MATCH(D201,AK_NAMA,0)),"?"))</f>
        <v>ASET</v>
      </c>
      <c r="Q201" s="102" t="n">
        <f aca="false">N(Q200)+IF(AND(N(E201)&lt;&gt;0,K201=TAHUN,N(J201)&lt;=BLN,OR(C201=BB_AKUN,D201=BB_AKUN)),1,0)</f>
        <v>127</v>
      </c>
      <c r="R201" s="104" t="str">
        <f aca="false">IF(OR(C201&amp;D201="",N(E201)=0),"",IF(OR(O201="?",P201="?"),"⚠ akun tidak dikenal",IF(C201=D201,"⚠ debet = kredit","")))</f>
        <v/>
      </c>
    </row>
    <row r="202" customFormat="false" ht="15" hidden="false" customHeight="false" outlineLevel="0" collapsed="false">
      <c r="A202" s="82" t="s">
        <v>838</v>
      </c>
      <c r="B202" s="101" t="n">
        <v>46059</v>
      </c>
      <c r="C202" s="82" t="s">
        <v>461</v>
      </c>
      <c r="D202" s="82" t="s">
        <v>475</v>
      </c>
      <c r="E202" s="91" t="n">
        <v>7650000</v>
      </c>
      <c r="F202" s="82" t="s">
        <v>560</v>
      </c>
      <c r="G202" s="82"/>
      <c r="H202" s="82"/>
      <c r="I202" s="82" t="s">
        <v>250</v>
      </c>
      <c r="J202" s="102" t="n">
        <f aca="false">IF(B202="","",MONTH(B202))</f>
        <v>2</v>
      </c>
      <c r="K202" s="102" t="n">
        <f aca="false">IF(B202="","",YEAR(B202))</f>
        <v>2026</v>
      </c>
      <c r="L202" s="102" t="str">
        <f aca="false">IF(N(E202)=0,"",IF(COUNTIFS(AK_NAMA,C202,AK_KAT,"KAS")+COUNTIFS(AK_NAMA,D202,AK_KAT,"KAS")&lt;&gt;1,"",IF(COUNTIFS(AK_NAMA,C202,AK_KAT,"KAS")=1,D202,C202)))</f>
        <v/>
      </c>
      <c r="M202" s="103" t="n">
        <f aca="false">IF(L202="",0,IF(L202=D202,E202,-E202))</f>
        <v>0</v>
      </c>
      <c r="N202" s="102" t="str">
        <f aca="false">IF(L202="","",IFERROR(INDEX(AK_BARIS,MATCH(L202,AK_NAMA,0)),"?"))</f>
        <v/>
      </c>
      <c r="O202" s="102" t="str">
        <f aca="false">IF(C202="","",IFERROR(INDEX(AK_KEL,MATCH(C202,AK_NAMA,0)),"?"))</f>
        <v>ASET</v>
      </c>
      <c r="P202" s="102" t="str">
        <f aca="false">IF(D202="","",IFERROR(INDEX(AK_KEL,MATCH(D202,AK_NAMA,0)),"?"))</f>
        <v>ASET</v>
      </c>
      <c r="Q202" s="102" t="n">
        <f aca="false">N(Q201)+IF(AND(N(E202)&lt;&gt;0,K202=TAHUN,N(J202)&lt;=BLN,OR(C202=BB_AKUN,D202=BB_AKUN)),1,0)</f>
        <v>128</v>
      </c>
      <c r="R202" s="104" t="str">
        <f aca="false">IF(OR(C202&amp;D202="",N(E202)=0),"",IF(OR(O202="?",P202="?"),"⚠ akun tidak dikenal",IF(C202=D202,"⚠ debet = kredit","")))</f>
        <v/>
      </c>
    </row>
    <row r="203" customFormat="false" ht="15" hidden="false" customHeight="false" outlineLevel="0" collapsed="false">
      <c r="A203" s="82" t="s">
        <v>839</v>
      </c>
      <c r="B203" s="101" t="n">
        <v>46059</v>
      </c>
      <c r="C203" s="82" t="s">
        <v>524</v>
      </c>
      <c r="D203" s="82" t="s">
        <v>461</v>
      </c>
      <c r="E203" s="91" t="n">
        <v>370</v>
      </c>
      <c r="F203" s="82" t="s">
        <v>525</v>
      </c>
      <c r="G203" s="82"/>
      <c r="H203" s="82"/>
      <c r="I203" s="82" t="s">
        <v>250</v>
      </c>
      <c r="J203" s="102" t="n">
        <f aca="false">IF(B203="","",MONTH(B203))</f>
        <v>2</v>
      </c>
      <c r="K203" s="102" t="n">
        <f aca="false">IF(B203="","",YEAR(B203))</f>
        <v>2026</v>
      </c>
      <c r="L203" s="102" t="str">
        <f aca="false">IF(N(E203)=0,"",IF(COUNTIFS(AK_NAMA,C203,AK_KAT,"KAS")+COUNTIFS(AK_NAMA,D203,AK_KAT,"KAS")&lt;&gt;1,"",IF(COUNTIFS(AK_NAMA,C203,AK_KAT,"KAS")=1,D203,C203)))</f>
        <v>Biaya Lainnya</v>
      </c>
      <c r="M203" s="103" t="n">
        <f aca="false">IF(L203="",0,IF(L203=D203,E203,-E203))</f>
        <v>-370</v>
      </c>
      <c r="N203" s="102" t="str">
        <f aca="false">IF(L203="","",IFERROR(INDEX(AK_BARIS,MATCH(L203,AK_NAMA,0)),"?"))</f>
        <v>OP2</v>
      </c>
      <c r="O203" s="102" t="str">
        <f aca="false">IF(C203="","",IFERROR(INDEX(AK_KEL,MATCH(C203,AK_NAMA,0)),"?"))</f>
        <v>BEBAN</v>
      </c>
      <c r="P203" s="102" t="str">
        <f aca="false">IF(D203="","",IFERROR(INDEX(AK_KEL,MATCH(D203,AK_NAMA,0)),"?"))</f>
        <v>ASET</v>
      </c>
      <c r="Q203" s="102" t="n">
        <f aca="false">N(Q202)+IF(AND(N(E203)&lt;&gt;0,K203=TAHUN,N(J203)&lt;=BLN,OR(C203=BB_AKUN,D203=BB_AKUN)),1,0)</f>
        <v>129</v>
      </c>
      <c r="R203" s="104" t="str">
        <f aca="false">IF(OR(C203&amp;D203="",N(E203)=0),"",IF(OR(O203="?",P203="?"),"⚠ akun tidak dikenal",IF(C203=D203,"⚠ debet = kredit","")))</f>
        <v/>
      </c>
    </row>
    <row r="204" customFormat="false" ht="15" hidden="false" customHeight="false" outlineLevel="0" collapsed="false">
      <c r="A204" s="82" t="s">
        <v>840</v>
      </c>
      <c r="B204" s="101" t="n">
        <v>46061</v>
      </c>
      <c r="C204" s="82" t="s">
        <v>470</v>
      </c>
      <c r="D204" s="82" t="s">
        <v>461</v>
      </c>
      <c r="E204" s="91" t="n">
        <v>358500</v>
      </c>
      <c r="F204" s="82" t="s">
        <v>841</v>
      </c>
      <c r="G204" s="82"/>
      <c r="H204" s="82"/>
      <c r="I204" s="82" t="s">
        <v>250</v>
      </c>
      <c r="J204" s="102" t="n">
        <f aca="false">IF(B204="","",MONTH(B204))</f>
        <v>2</v>
      </c>
      <c r="K204" s="102" t="n">
        <f aca="false">IF(B204="","",YEAR(B204))</f>
        <v>2026</v>
      </c>
      <c r="L204" s="102" t="str">
        <f aca="false">IF(N(E204)=0,"",IF(COUNTIFS(AK_NAMA,C204,AK_KAT,"KAS")+COUNTIFS(AK_NAMA,D204,AK_KAT,"KAS")&lt;&gt;1,"",IF(COUNTIFS(AK_NAMA,C204,AK_KAT,"KAS")=1,D204,C204)))</f>
        <v>Biaya Bahan Baku</v>
      </c>
      <c r="M204" s="103" t="n">
        <f aca="false">IF(L204="",0,IF(L204=D204,E204,-E204))</f>
        <v>-358500</v>
      </c>
      <c r="N204" s="102" t="str">
        <f aca="false">IF(L204="","",IFERROR(INDEX(AK_BARIS,MATCH(L204,AK_NAMA,0)),"?"))</f>
        <v>OP3</v>
      </c>
      <c r="O204" s="102" t="str">
        <f aca="false">IF(C204="","",IFERROR(INDEX(AK_KEL,MATCH(C204,AK_NAMA,0)),"?"))</f>
        <v>BEBAN</v>
      </c>
      <c r="P204" s="102" t="str">
        <f aca="false">IF(D204="","",IFERROR(INDEX(AK_KEL,MATCH(D204,AK_NAMA,0)),"?"))</f>
        <v>ASET</v>
      </c>
      <c r="Q204" s="102" t="n">
        <f aca="false">N(Q203)+IF(AND(N(E204)&lt;&gt;0,K204=TAHUN,N(J204)&lt;=BLN,OR(C204=BB_AKUN,D204=BB_AKUN)),1,0)</f>
        <v>130</v>
      </c>
      <c r="R204" s="104" t="str">
        <f aca="false">IF(OR(C204&amp;D204="",N(E204)=0),"",IF(OR(O204="?",P204="?"),"⚠ akun tidak dikenal",IF(C204=D204,"⚠ debet = kredit","")))</f>
        <v/>
      </c>
    </row>
    <row r="205" customFormat="false" ht="15" hidden="false" customHeight="false" outlineLevel="0" collapsed="false">
      <c r="A205" s="82" t="s">
        <v>842</v>
      </c>
      <c r="B205" s="101" t="n">
        <v>46061</v>
      </c>
      <c r="C205" s="82" t="s">
        <v>470</v>
      </c>
      <c r="D205" s="82" t="s">
        <v>461</v>
      </c>
      <c r="E205" s="91" t="n">
        <v>988000</v>
      </c>
      <c r="F205" s="82" t="s">
        <v>843</v>
      </c>
      <c r="G205" s="82"/>
      <c r="H205" s="82"/>
      <c r="I205" s="82" t="s">
        <v>250</v>
      </c>
      <c r="J205" s="102" t="n">
        <f aca="false">IF(B205="","",MONTH(B205))</f>
        <v>2</v>
      </c>
      <c r="K205" s="102" t="n">
        <f aca="false">IF(B205="","",YEAR(B205))</f>
        <v>2026</v>
      </c>
      <c r="L205" s="102" t="str">
        <f aca="false">IF(N(E205)=0,"",IF(COUNTIFS(AK_NAMA,C205,AK_KAT,"KAS")+COUNTIFS(AK_NAMA,D205,AK_KAT,"KAS")&lt;&gt;1,"",IF(COUNTIFS(AK_NAMA,C205,AK_KAT,"KAS")=1,D205,C205)))</f>
        <v>Biaya Bahan Baku</v>
      </c>
      <c r="M205" s="103" t="n">
        <f aca="false">IF(L205="",0,IF(L205=D205,E205,-E205))</f>
        <v>-988000</v>
      </c>
      <c r="N205" s="102" t="str">
        <f aca="false">IF(L205="","",IFERROR(INDEX(AK_BARIS,MATCH(L205,AK_NAMA,0)),"?"))</f>
        <v>OP3</v>
      </c>
      <c r="O205" s="102" t="str">
        <f aca="false">IF(C205="","",IFERROR(INDEX(AK_KEL,MATCH(C205,AK_NAMA,0)),"?"))</f>
        <v>BEBAN</v>
      </c>
      <c r="P205" s="102" t="str">
        <f aca="false">IF(D205="","",IFERROR(INDEX(AK_KEL,MATCH(D205,AK_NAMA,0)),"?"))</f>
        <v>ASET</v>
      </c>
      <c r="Q205" s="102" t="n">
        <f aca="false">N(Q204)+IF(AND(N(E205)&lt;&gt;0,K205=TAHUN,N(J205)&lt;=BLN,OR(C205=BB_AKUN,D205=BB_AKUN)),1,0)</f>
        <v>131</v>
      </c>
      <c r="R205" s="104" t="str">
        <f aca="false">IF(OR(C205&amp;D205="",N(E205)=0),"",IF(OR(O205="?",P205="?"),"⚠ akun tidak dikenal",IF(C205=D205,"⚠ debet = kredit","")))</f>
        <v/>
      </c>
    </row>
    <row r="206" customFormat="false" ht="15" hidden="false" customHeight="false" outlineLevel="0" collapsed="false">
      <c r="A206" s="82" t="s">
        <v>844</v>
      </c>
      <c r="B206" s="101" t="n">
        <v>46062</v>
      </c>
      <c r="C206" s="82" t="s">
        <v>576</v>
      </c>
      <c r="D206" s="82" t="s">
        <v>461</v>
      </c>
      <c r="E206" s="91" t="n">
        <v>150000</v>
      </c>
      <c r="F206" s="82" t="s">
        <v>845</v>
      </c>
      <c r="G206" s="82"/>
      <c r="H206" s="82"/>
      <c r="I206" s="82" t="s">
        <v>250</v>
      </c>
      <c r="J206" s="102" t="n">
        <f aca="false">IF(B206="","",MONTH(B206))</f>
        <v>2</v>
      </c>
      <c r="K206" s="102" t="n">
        <f aca="false">IF(B206="","",YEAR(B206))</f>
        <v>2026</v>
      </c>
      <c r="L206" s="102" t="str">
        <f aca="false">IF(N(E206)=0,"",IF(COUNTIFS(AK_NAMA,C206,AK_KAT,"KAS")+COUNTIFS(AK_NAMA,D206,AK_KAT,"KAS")&lt;&gt;1,"",IF(COUNTIFS(AK_NAMA,C206,AK_KAT,"KAS")=1,D206,C206)))</f>
        <v>Beban Gaji</v>
      </c>
      <c r="M206" s="103" t="n">
        <f aca="false">IF(L206="",0,IF(L206=D206,E206,-E206))</f>
        <v>-150000</v>
      </c>
      <c r="N206" s="102" t="str">
        <f aca="false">IF(L206="","",IFERROR(INDEX(AK_BARIS,MATCH(L206,AK_NAMA,0)),"?"))</f>
        <v>OP4</v>
      </c>
      <c r="O206" s="102" t="str">
        <f aca="false">IF(C206="","",IFERROR(INDEX(AK_KEL,MATCH(C206,AK_NAMA,0)),"?"))</f>
        <v>BEBAN</v>
      </c>
      <c r="P206" s="102" t="str">
        <f aca="false">IF(D206="","",IFERROR(INDEX(AK_KEL,MATCH(D206,AK_NAMA,0)),"?"))</f>
        <v>ASET</v>
      </c>
      <c r="Q206" s="102" t="n">
        <f aca="false">N(Q205)+IF(AND(N(E206)&lt;&gt;0,K206=TAHUN,N(J206)&lt;=BLN,OR(C206=BB_AKUN,D206=BB_AKUN)),1,0)</f>
        <v>132</v>
      </c>
      <c r="R206" s="104" t="str">
        <f aca="false">IF(OR(C206&amp;D206="",N(E206)=0),"",IF(OR(O206="?",P206="?"),"⚠ akun tidak dikenal",IF(C206=D206,"⚠ debet = kredit","")))</f>
        <v/>
      </c>
    </row>
    <row r="207" customFormat="false" ht="15" hidden="false" customHeight="false" outlineLevel="0" collapsed="false">
      <c r="A207" s="82" t="s">
        <v>846</v>
      </c>
      <c r="B207" s="101" t="n">
        <v>46062</v>
      </c>
      <c r="C207" s="82" t="s">
        <v>524</v>
      </c>
      <c r="D207" s="82" t="s">
        <v>461</v>
      </c>
      <c r="E207" s="91" t="n">
        <v>830</v>
      </c>
      <c r="F207" s="82" t="s">
        <v>525</v>
      </c>
      <c r="G207" s="82"/>
      <c r="H207" s="82"/>
      <c r="I207" s="82" t="s">
        <v>250</v>
      </c>
      <c r="J207" s="102" t="n">
        <f aca="false">IF(B207="","",MONTH(B207))</f>
        <v>2</v>
      </c>
      <c r="K207" s="102" t="n">
        <f aca="false">IF(B207="","",YEAR(B207))</f>
        <v>2026</v>
      </c>
      <c r="L207" s="102" t="str">
        <f aca="false">IF(N(E207)=0,"",IF(COUNTIFS(AK_NAMA,C207,AK_KAT,"KAS")+COUNTIFS(AK_NAMA,D207,AK_KAT,"KAS")&lt;&gt;1,"",IF(COUNTIFS(AK_NAMA,C207,AK_KAT,"KAS")=1,D207,C207)))</f>
        <v>Biaya Lainnya</v>
      </c>
      <c r="M207" s="103" t="n">
        <f aca="false">IF(L207="",0,IF(L207=D207,E207,-E207))</f>
        <v>-830</v>
      </c>
      <c r="N207" s="102" t="str">
        <f aca="false">IF(L207="","",IFERROR(INDEX(AK_BARIS,MATCH(L207,AK_NAMA,0)),"?"))</f>
        <v>OP2</v>
      </c>
      <c r="O207" s="102" t="str">
        <f aca="false">IF(C207="","",IFERROR(INDEX(AK_KEL,MATCH(C207,AK_NAMA,0)),"?"))</f>
        <v>BEBAN</v>
      </c>
      <c r="P207" s="102" t="str">
        <f aca="false">IF(D207="","",IFERROR(INDEX(AK_KEL,MATCH(D207,AK_NAMA,0)),"?"))</f>
        <v>ASET</v>
      </c>
      <c r="Q207" s="102" t="n">
        <f aca="false">N(Q206)+IF(AND(N(E207)&lt;&gt;0,K207=TAHUN,N(J207)&lt;=BLN,OR(C207=BB_AKUN,D207=BB_AKUN)),1,0)</f>
        <v>133</v>
      </c>
      <c r="R207" s="104" t="str">
        <f aca="false">IF(OR(C207&amp;D207="",N(E207)=0),"",IF(OR(O207="?",P207="?"),"⚠ akun tidak dikenal",IF(C207=D207,"⚠ debet = kredit","")))</f>
        <v/>
      </c>
    </row>
    <row r="208" customFormat="false" ht="15" hidden="false" customHeight="false" outlineLevel="0" collapsed="false">
      <c r="A208" s="82" t="s">
        <v>847</v>
      </c>
      <c r="B208" s="101" t="n">
        <v>46062</v>
      </c>
      <c r="C208" s="82" t="s">
        <v>548</v>
      </c>
      <c r="D208" s="82" t="s">
        <v>461</v>
      </c>
      <c r="E208" s="91" t="n">
        <v>90832</v>
      </c>
      <c r="F208" s="82" t="s">
        <v>848</v>
      </c>
      <c r="G208" s="82"/>
      <c r="H208" s="82"/>
      <c r="I208" s="82" t="s">
        <v>250</v>
      </c>
      <c r="J208" s="102" t="n">
        <f aca="false">IF(B208="","",MONTH(B208))</f>
        <v>2</v>
      </c>
      <c r="K208" s="102" t="n">
        <f aca="false">IF(B208="","",YEAR(B208))</f>
        <v>2026</v>
      </c>
      <c r="L208" s="102" t="str">
        <f aca="false">IF(N(E208)=0,"",IF(COUNTIFS(AK_NAMA,C208,AK_KAT,"KAS")+COUNTIFS(AK_NAMA,D208,AK_KAT,"KAS")&lt;&gt;1,"",IF(COUNTIFS(AK_NAMA,C208,AK_KAT,"KAS")=1,D208,C208)))</f>
        <v>Beban Perlengkapan</v>
      </c>
      <c r="M208" s="103" t="n">
        <f aca="false">IF(L208="",0,IF(L208=D208,E208,-E208))</f>
        <v>-90832</v>
      </c>
      <c r="N208" s="102" t="str">
        <f aca="false">IF(L208="","",IFERROR(INDEX(AK_BARIS,MATCH(L208,AK_NAMA,0)),"?"))</f>
        <v>OP6</v>
      </c>
      <c r="O208" s="102" t="str">
        <f aca="false">IF(C208="","",IFERROR(INDEX(AK_KEL,MATCH(C208,AK_NAMA,0)),"?"))</f>
        <v>BEBAN</v>
      </c>
      <c r="P208" s="102" t="str">
        <f aca="false">IF(D208="","",IFERROR(INDEX(AK_KEL,MATCH(D208,AK_NAMA,0)),"?"))</f>
        <v>ASET</v>
      </c>
      <c r="Q208" s="102" t="n">
        <f aca="false">N(Q207)+IF(AND(N(E208)&lt;&gt;0,K208=TAHUN,N(J208)&lt;=BLN,OR(C208=BB_AKUN,D208=BB_AKUN)),1,0)</f>
        <v>134</v>
      </c>
      <c r="R208" s="104" t="str">
        <f aca="false">IF(OR(C208&amp;D208="",N(E208)=0),"",IF(OR(O208="?",P208="?"),"⚠ akun tidak dikenal",IF(C208=D208,"⚠ debet = kredit","")))</f>
        <v/>
      </c>
    </row>
    <row r="209" customFormat="false" ht="15" hidden="false" customHeight="false" outlineLevel="0" collapsed="false">
      <c r="A209" s="82" t="s">
        <v>849</v>
      </c>
      <c r="B209" s="101" t="n">
        <v>46063</v>
      </c>
      <c r="C209" s="82" t="s">
        <v>478</v>
      </c>
      <c r="D209" s="82" t="s">
        <v>461</v>
      </c>
      <c r="E209" s="91" t="n">
        <v>380000</v>
      </c>
      <c r="F209" s="82" t="s">
        <v>850</v>
      </c>
      <c r="G209" s="82"/>
      <c r="H209" s="82"/>
      <c r="I209" s="82" t="s">
        <v>250</v>
      </c>
      <c r="J209" s="102" t="n">
        <f aca="false">IF(B209="","",MONTH(B209))</f>
        <v>2</v>
      </c>
      <c r="K209" s="102" t="n">
        <f aca="false">IF(B209="","",YEAR(B209))</f>
        <v>2026</v>
      </c>
      <c r="L209" s="102" t="str">
        <f aca="false">IF(N(E209)=0,"",IF(COUNTIFS(AK_NAMA,C209,AK_KAT,"KAS")+COUNTIFS(AK_NAMA,D209,AK_KAT,"KAS")&lt;&gt;1,"",IF(COUNTIFS(AK_NAMA,C209,AK_KAT,"KAS")=1,D209,C209)))</f>
        <v>Biaya Penyajian</v>
      </c>
      <c r="M209" s="103" t="n">
        <f aca="false">IF(L209="",0,IF(L209=D209,E209,-E209))</f>
        <v>-380000</v>
      </c>
      <c r="N209" s="102" t="str">
        <f aca="false">IF(L209="","",IFERROR(INDEX(AK_BARIS,MATCH(L209,AK_NAMA,0)),"?"))</f>
        <v>OP3</v>
      </c>
      <c r="O209" s="102" t="str">
        <f aca="false">IF(C209="","",IFERROR(INDEX(AK_KEL,MATCH(C209,AK_NAMA,0)),"?"))</f>
        <v>BEBAN</v>
      </c>
      <c r="P209" s="102" t="str">
        <f aca="false">IF(D209="","",IFERROR(INDEX(AK_KEL,MATCH(D209,AK_NAMA,0)),"?"))</f>
        <v>ASET</v>
      </c>
      <c r="Q209" s="102" t="n">
        <f aca="false">N(Q208)+IF(AND(N(E209)&lt;&gt;0,K209=TAHUN,N(J209)&lt;=BLN,OR(C209=BB_AKUN,D209=BB_AKUN)),1,0)</f>
        <v>135</v>
      </c>
      <c r="R209" s="104" t="str">
        <f aca="false">IF(OR(C209&amp;D209="",N(E209)=0),"",IF(OR(O209="?",P209="?"),"⚠ akun tidak dikenal",IF(C209=D209,"⚠ debet = kredit","")))</f>
        <v/>
      </c>
    </row>
    <row r="210" customFormat="false" ht="15" hidden="false" customHeight="false" outlineLevel="0" collapsed="false">
      <c r="A210" s="82" t="s">
        <v>851</v>
      </c>
      <c r="B210" s="101" t="n">
        <v>46063</v>
      </c>
      <c r="C210" s="82" t="s">
        <v>478</v>
      </c>
      <c r="D210" s="82" t="s">
        <v>461</v>
      </c>
      <c r="E210" s="91" t="n">
        <v>1000000</v>
      </c>
      <c r="F210" s="82" t="s">
        <v>852</v>
      </c>
      <c r="G210" s="82"/>
      <c r="H210" s="82"/>
      <c r="I210" s="82" t="s">
        <v>250</v>
      </c>
      <c r="J210" s="102" t="n">
        <f aca="false">IF(B210="","",MONTH(B210))</f>
        <v>2</v>
      </c>
      <c r="K210" s="102" t="n">
        <f aca="false">IF(B210="","",YEAR(B210))</f>
        <v>2026</v>
      </c>
      <c r="L210" s="102" t="str">
        <f aca="false">IF(N(E210)=0,"",IF(COUNTIFS(AK_NAMA,C210,AK_KAT,"KAS")+COUNTIFS(AK_NAMA,D210,AK_KAT,"KAS")&lt;&gt;1,"",IF(COUNTIFS(AK_NAMA,C210,AK_KAT,"KAS")=1,D210,C210)))</f>
        <v>Biaya Penyajian</v>
      </c>
      <c r="M210" s="103" t="n">
        <f aca="false">IF(L210="",0,IF(L210=D210,E210,-E210))</f>
        <v>-1000000</v>
      </c>
      <c r="N210" s="102" t="str">
        <f aca="false">IF(L210="","",IFERROR(INDEX(AK_BARIS,MATCH(L210,AK_NAMA,0)),"?"))</f>
        <v>OP3</v>
      </c>
      <c r="O210" s="102" t="str">
        <f aca="false">IF(C210="","",IFERROR(INDEX(AK_KEL,MATCH(C210,AK_NAMA,0)),"?"))</f>
        <v>BEBAN</v>
      </c>
      <c r="P210" s="102" t="str">
        <f aca="false">IF(D210="","",IFERROR(INDEX(AK_KEL,MATCH(D210,AK_NAMA,0)),"?"))</f>
        <v>ASET</v>
      </c>
      <c r="Q210" s="102" t="n">
        <f aca="false">N(Q209)+IF(AND(N(E210)&lt;&gt;0,K210=TAHUN,N(J210)&lt;=BLN,OR(C210=BB_AKUN,D210=BB_AKUN)),1,0)</f>
        <v>136</v>
      </c>
      <c r="R210" s="104" t="str">
        <f aca="false">IF(OR(C210&amp;D210="",N(E210)=0),"",IF(OR(O210="?",P210="?"),"⚠ akun tidak dikenal",IF(C210=D210,"⚠ debet = kredit","")))</f>
        <v/>
      </c>
    </row>
    <row r="211" customFormat="false" ht="15" hidden="false" customHeight="false" outlineLevel="0" collapsed="false">
      <c r="A211" s="82" t="s">
        <v>853</v>
      </c>
      <c r="B211" s="101" t="n">
        <v>46064</v>
      </c>
      <c r="C211" s="82" t="s">
        <v>524</v>
      </c>
      <c r="D211" s="82" t="s">
        <v>461</v>
      </c>
      <c r="E211" s="91" t="n">
        <v>6500</v>
      </c>
      <c r="F211" s="82" t="s">
        <v>854</v>
      </c>
      <c r="G211" s="82"/>
      <c r="H211" s="82"/>
      <c r="I211" s="82" t="s">
        <v>250</v>
      </c>
      <c r="J211" s="102" t="n">
        <f aca="false">IF(B211="","",MONTH(B211))</f>
        <v>2</v>
      </c>
      <c r="K211" s="102" t="n">
        <f aca="false">IF(B211="","",YEAR(B211))</f>
        <v>2026</v>
      </c>
      <c r="L211" s="102" t="str">
        <f aca="false">IF(N(E211)=0,"",IF(COUNTIFS(AK_NAMA,C211,AK_KAT,"KAS")+COUNTIFS(AK_NAMA,D211,AK_KAT,"KAS")&lt;&gt;1,"",IF(COUNTIFS(AK_NAMA,C211,AK_KAT,"KAS")=1,D211,C211)))</f>
        <v>Biaya Lainnya</v>
      </c>
      <c r="M211" s="103" t="n">
        <f aca="false">IF(L211="",0,IF(L211=D211,E211,-E211))</f>
        <v>-6500</v>
      </c>
      <c r="N211" s="102" t="str">
        <f aca="false">IF(L211="","",IFERROR(INDEX(AK_BARIS,MATCH(L211,AK_NAMA,0)),"?"))</f>
        <v>OP2</v>
      </c>
      <c r="O211" s="102" t="str">
        <f aca="false">IF(C211="","",IFERROR(INDEX(AK_KEL,MATCH(C211,AK_NAMA,0)),"?"))</f>
        <v>BEBAN</v>
      </c>
      <c r="P211" s="102" t="str">
        <f aca="false">IF(D211="","",IFERROR(INDEX(AK_KEL,MATCH(D211,AK_NAMA,0)),"?"))</f>
        <v>ASET</v>
      </c>
      <c r="Q211" s="102" t="n">
        <f aca="false">N(Q210)+IF(AND(N(E211)&lt;&gt;0,K211=TAHUN,N(J211)&lt;=BLN,OR(C211=BB_AKUN,D211=BB_AKUN)),1,0)</f>
        <v>137</v>
      </c>
      <c r="R211" s="104" t="str">
        <f aca="false">IF(OR(C211&amp;D211="",N(E211)=0),"",IF(OR(O211="?",P211="?"),"⚠ akun tidak dikenal",IF(C211=D211,"⚠ debet = kredit","")))</f>
        <v/>
      </c>
    </row>
    <row r="212" customFormat="false" ht="15" hidden="false" customHeight="false" outlineLevel="0" collapsed="false">
      <c r="A212" s="82" t="s">
        <v>855</v>
      </c>
      <c r="B212" s="101" t="n">
        <v>46064</v>
      </c>
      <c r="C212" s="82" t="s">
        <v>470</v>
      </c>
      <c r="D212" s="82" t="s">
        <v>486</v>
      </c>
      <c r="E212" s="91" t="n">
        <v>566700</v>
      </c>
      <c r="F212" s="82" t="s">
        <v>823</v>
      </c>
      <c r="G212" s="82"/>
      <c r="H212" s="82"/>
      <c r="I212" s="82" t="s">
        <v>250</v>
      </c>
      <c r="J212" s="102" t="n">
        <f aca="false">IF(B212="","",MONTH(B212))</f>
        <v>2</v>
      </c>
      <c r="K212" s="102" t="n">
        <f aca="false">IF(B212="","",YEAR(B212))</f>
        <v>2026</v>
      </c>
      <c r="L212" s="102" t="str">
        <f aca="false">IF(N(E212)=0,"",IF(COUNTIFS(AK_NAMA,C212,AK_KAT,"KAS")+COUNTIFS(AK_NAMA,D212,AK_KAT,"KAS")&lt;&gt;1,"",IF(COUNTIFS(AK_NAMA,C212,AK_KAT,"KAS")=1,D212,C212)))</f>
        <v>Biaya Bahan Baku</v>
      </c>
      <c r="M212" s="103" t="n">
        <f aca="false">IF(L212="",0,IF(L212=D212,E212,-E212))</f>
        <v>-566700</v>
      </c>
      <c r="N212" s="102" t="str">
        <f aca="false">IF(L212="","",IFERROR(INDEX(AK_BARIS,MATCH(L212,AK_NAMA,0)),"?"))</f>
        <v>OP3</v>
      </c>
      <c r="O212" s="102" t="str">
        <f aca="false">IF(C212="","",IFERROR(INDEX(AK_KEL,MATCH(C212,AK_NAMA,0)),"?"))</f>
        <v>BEBAN</v>
      </c>
      <c r="P212" s="102" t="str">
        <f aca="false">IF(D212="","",IFERROR(INDEX(AK_KEL,MATCH(D212,AK_NAMA,0)),"?"))</f>
        <v>ASET</v>
      </c>
      <c r="Q212" s="102" t="n">
        <f aca="false">N(Q211)+IF(AND(N(E212)&lt;&gt;0,K212=TAHUN,N(J212)&lt;=BLN,OR(C212=BB_AKUN,D212=BB_AKUN)),1,0)</f>
        <v>137</v>
      </c>
      <c r="R212" s="104" t="str">
        <f aca="false">IF(OR(C212&amp;D212="",N(E212)=0),"",IF(OR(O212="?",P212="?"),"⚠ akun tidak dikenal",IF(C212=D212,"⚠ debet = kredit","")))</f>
        <v/>
      </c>
    </row>
    <row r="213" customFormat="false" ht="15" hidden="false" customHeight="false" outlineLevel="0" collapsed="false">
      <c r="A213" s="82" t="s">
        <v>856</v>
      </c>
      <c r="B213" s="101" t="n">
        <v>46064</v>
      </c>
      <c r="C213" s="82" t="s">
        <v>478</v>
      </c>
      <c r="D213" s="82" t="s">
        <v>486</v>
      </c>
      <c r="E213" s="91" t="n">
        <v>246500</v>
      </c>
      <c r="F213" s="82" t="s">
        <v>825</v>
      </c>
      <c r="G213" s="82"/>
      <c r="H213" s="82"/>
      <c r="I213" s="82" t="s">
        <v>250</v>
      </c>
      <c r="J213" s="102" t="n">
        <f aca="false">IF(B213="","",MONTH(B213))</f>
        <v>2</v>
      </c>
      <c r="K213" s="102" t="n">
        <f aca="false">IF(B213="","",YEAR(B213))</f>
        <v>2026</v>
      </c>
      <c r="L213" s="102" t="str">
        <f aca="false">IF(N(E213)=0,"",IF(COUNTIFS(AK_NAMA,C213,AK_KAT,"KAS")+COUNTIFS(AK_NAMA,D213,AK_KAT,"KAS")&lt;&gt;1,"",IF(COUNTIFS(AK_NAMA,C213,AK_KAT,"KAS")=1,D213,C213)))</f>
        <v>Biaya Penyajian</v>
      </c>
      <c r="M213" s="103" t="n">
        <f aca="false">IF(L213="",0,IF(L213=D213,E213,-E213))</f>
        <v>-246500</v>
      </c>
      <c r="N213" s="102" t="str">
        <f aca="false">IF(L213="","",IFERROR(INDEX(AK_BARIS,MATCH(L213,AK_NAMA,0)),"?"))</f>
        <v>OP3</v>
      </c>
      <c r="O213" s="102" t="str">
        <f aca="false">IF(C213="","",IFERROR(INDEX(AK_KEL,MATCH(C213,AK_NAMA,0)),"?"))</f>
        <v>BEBAN</v>
      </c>
      <c r="P213" s="102" t="str">
        <f aca="false">IF(D213="","",IFERROR(INDEX(AK_KEL,MATCH(D213,AK_NAMA,0)),"?"))</f>
        <v>ASET</v>
      </c>
      <c r="Q213" s="102" t="n">
        <f aca="false">N(Q212)+IF(AND(N(E213)&lt;&gt;0,K213=TAHUN,N(J213)&lt;=BLN,OR(C213=BB_AKUN,D213=BB_AKUN)),1,0)</f>
        <v>137</v>
      </c>
      <c r="R213" s="104" t="str">
        <f aca="false">IF(OR(C213&amp;D213="",N(E213)=0),"",IF(OR(O213="?",P213="?"),"⚠ akun tidak dikenal",IF(C213=D213,"⚠ debet = kredit","")))</f>
        <v/>
      </c>
    </row>
    <row r="214" customFormat="false" ht="15" hidden="false" customHeight="false" outlineLevel="0" collapsed="false">
      <c r="A214" s="82" t="s">
        <v>857</v>
      </c>
      <c r="B214" s="101" t="n">
        <v>46064</v>
      </c>
      <c r="C214" s="82" t="s">
        <v>548</v>
      </c>
      <c r="D214" s="82" t="s">
        <v>486</v>
      </c>
      <c r="E214" s="91" t="n">
        <v>59500</v>
      </c>
      <c r="F214" s="82" t="s">
        <v>827</v>
      </c>
      <c r="G214" s="82"/>
      <c r="H214" s="82"/>
      <c r="I214" s="82" t="s">
        <v>250</v>
      </c>
      <c r="J214" s="102" t="n">
        <f aca="false">IF(B214="","",MONTH(B214))</f>
        <v>2</v>
      </c>
      <c r="K214" s="102" t="n">
        <f aca="false">IF(B214="","",YEAR(B214))</f>
        <v>2026</v>
      </c>
      <c r="L214" s="102" t="str">
        <f aca="false">IF(N(E214)=0,"",IF(COUNTIFS(AK_NAMA,C214,AK_KAT,"KAS")+COUNTIFS(AK_NAMA,D214,AK_KAT,"KAS")&lt;&gt;1,"",IF(COUNTIFS(AK_NAMA,C214,AK_KAT,"KAS")=1,D214,C214)))</f>
        <v>Beban Perlengkapan</v>
      </c>
      <c r="M214" s="103" t="n">
        <f aca="false">IF(L214="",0,IF(L214=D214,E214,-E214))</f>
        <v>-59500</v>
      </c>
      <c r="N214" s="102" t="str">
        <f aca="false">IF(L214="","",IFERROR(INDEX(AK_BARIS,MATCH(L214,AK_NAMA,0)),"?"))</f>
        <v>OP6</v>
      </c>
      <c r="O214" s="102" t="str">
        <f aca="false">IF(C214="","",IFERROR(INDEX(AK_KEL,MATCH(C214,AK_NAMA,0)),"?"))</f>
        <v>BEBAN</v>
      </c>
      <c r="P214" s="102" t="str">
        <f aca="false">IF(D214="","",IFERROR(INDEX(AK_KEL,MATCH(D214,AK_NAMA,0)),"?"))</f>
        <v>ASET</v>
      </c>
      <c r="Q214" s="102" t="n">
        <f aca="false">N(Q213)+IF(AND(N(E214)&lt;&gt;0,K214=TAHUN,N(J214)&lt;=BLN,OR(C214=BB_AKUN,D214=BB_AKUN)),1,0)</f>
        <v>137</v>
      </c>
      <c r="R214" s="104" t="str">
        <f aca="false">IF(OR(C214&amp;D214="",N(E214)=0),"",IF(OR(O214="?",P214="?"),"⚠ akun tidak dikenal",IF(C214=D214,"⚠ debet = kredit","")))</f>
        <v/>
      </c>
    </row>
    <row r="215" customFormat="false" ht="15" hidden="false" customHeight="false" outlineLevel="0" collapsed="false">
      <c r="A215" s="82" t="s">
        <v>858</v>
      </c>
      <c r="B215" s="101" t="n">
        <v>46064</v>
      </c>
      <c r="C215" s="82" t="s">
        <v>485</v>
      </c>
      <c r="D215" s="82" t="s">
        <v>486</v>
      </c>
      <c r="E215" s="91" t="n">
        <v>4000</v>
      </c>
      <c r="F215" s="82" t="s">
        <v>555</v>
      </c>
      <c r="G215" s="82"/>
      <c r="H215" s="82"/>
      <c r="I215" s="82" t="s">
        <v>250</v>
      </c>
      <c r="J215" s="102" t="n">
        <f aca="false">IF(B215="","",MONTH(B215))</f>
        <v>2</v>
      </c>
      <c r="K215" s="102" t="n">
        <f aca="false">IF(B215="","",YEAR(B215))</f>
        <v>2026</v>
      </c>
      <c r="L215" s="102" t="str">
        <f aca="false">IF(N(E215)=0,"",IF(COUNTIFS(AK_NAMA,C215,AK_KAT,"KAS")+COUNTIFS(AK_NAMA,D215,AK_KAT,"KAS")&lt;&gt;1,"",IF(COUNTIFS(AK_NAMA,C215,AK_KAT,"KAS")=1,D215,C215)))</f>
        <v>Biaya Operasional Harian</v>
      </c>
      <c r="M215" s="103" t="n">
        <f aca="false">IF(L215="",0,IF(L215=D215,E215,-E215))</f>
        <v>-4000</v>
      </c>
      <c r="N215" s="102" t="str">
        <f aca="false">IF(L215="","",IFERROR(INDEX(AK_BARIS,MATCH(L215,AK_NAMA,0)),"?"))</f>
        <v>OP6</v>
      </c>
      <c r="O215" s="102" t="str">
        <f aca="false">IF(C215="","",IFERROR(INDEX(AK_KEL,MATCH(C215,AK_NAMA,0)),"?"))</f>
        <v>BEBAN</v>
      </c>
      <c r="P215" s="102" t="str">
        <f aca="false">IF(D215="","",IFERROR(INDEX(AK_KEL,MATCH(D215,AK_NAMA,0)),"?"))</f>
        <v>ASET</v>
      </c>
      <c r="Q215" s="102" t="n">
        <f aca="false">N(Q214)+IF(AND(N(E215)&lt;&gt;0,K215=TAHUN,N(J215)&lt;=BLN,OR(C215=BB_AKUN,D215=BB_AKUN)),1,0)</f>
        <v>137</v>
      </c>
      <c r="R215" s="104" t="str">
        <f aca="false">IF(OR(C215&amp;D215="",N(E215)=0),"",IF(OR(O215="?",P215="?"),"⚠ akun tidak dikenal",IF(C215=D215,"⚠ debet = kredit","")))</f>
        <v/>
      </c>
    </row>
    <row r="216" customFormat="false" ht="15" hidden="false" customHeight="false" outlineLevel="0" collapsed="false">
      <c r="A216" s="82" t="s">
        <v>859</v>
      </c>
      <c r="B216" s="101" t="n">
        <v>46064</v>
      </c>
      <c r="C216" s="82" t="s">
        <v>475</v>
      </c>
      <c r="D216" s="82" t="s">
        <v>486</v>
      </c>
      <c r="E216" s="91" t="n">
        <v>123300</v>
      </c>
      <c r="F216" s="82" t="s">
        <v>540</v>
      </c>
      <c r="G216" s="82"/>
      <c r="H216" s="82"/>
      <c r="I216" s="82" t="s">
        <v>250</v>
      </c>
      <c r="J216" s="102" t="n">
        <f aca="false">IF(B216="","",MONTH(B216))</f>
        <v>2</v>
      </c>
      <c r="K216" s="102" t="n">
        <f aca="false">IF(B216="","",YEAR(B216))</f>
        <v>2026</v>
      </c>
      <c r="L216" s="102" t="str">
        <f aca="false">IF(N(E216)=0,"",IF(COUNTIFS(AK_NAMA,C216,AK_KAT,"KAS")+COUNTIFS(AK_NAMA,D216,AK_KAT,"KAS")&lt;&gt;1,"",IF(COUNTIFS(AK_NAMA,C216,AK_KAT,"KAS")=1,D216,C216)))</f>
        <v/>
      </c>
      <c r="M216" s="103" t="n">
        <f aca="false">IF(L216="",0,IF(L216=D216,E216,-E216))</f>
        <v>0</v>
      </c>
      <c r="N216" s="102" t="str">
        <f aca="false">IF(L216="","",IFERROR(INDEX(AK_BARIS,MATCH(L216,AK_NAMA,0)),"?"))</f>
        <v/>
      </c>
      <c r="O216" s="102" t="str">
        <f aca="false">IF(C216="","",IFERROR(INDEX(AK_KEL,MATCH(C216,AK_NAMA,0)),"?"))</f>
        <v>ASET</v>
      </c>
      <c r="P216" s="102" t="str">
        <f aca="false">IF(D216="","",IFERROR(INDEX(AK_KEL,MATCH(D216,AK_NAMA,0)),"?"))</f>
        <v>ASET</v>
      </c>
      <c r="Q216" s="102" t="n">
        <f aca="false">N(Q215)+IF(AND(N(E216)&lt;&gt;0,K216=TAHUN,N(J216)&lt;=BLN,OR(C216=BB_AKUN,D216=BB_AKUN)),1,0)</f>
        <v>137</v>
      </c>
      <c r="R216" s="104" t="str">
        <f aca="false">IF(OR(C216&amp;D216="",N(E216)=0),"",IF(OR(O216="?",P216="?"),"⚠ akun tidak dikenal",IF(C216=D216,"⚠ debet = kredit","")))</f>
        <v/>
      </c>
    </row>
    <row r="217" customFormat="false" ht="15" hidden="false" customHeight="false" outlineLevel="0" collapsed="false">
      <c r="A217" s="82" t="s">
        <v>860</v>
      </c>
      <c r="B217" s="101" t="n">
        <v>46064</v>
      </c>
      <c r="C217" s="82" t="s">
        <v>486</v>
      </c>
      <c r="D217" s="82" t="s">
        <v>475</v>
      </c>
      <c r="E217" s="91" t="n">
        <v>500000</v>
      </c>
      <c r="F217" s="82" t="s">
        <v>622</v>
      </c>
      <c r="G217" s="82"/>
      <c r="H217" s="82"/>
      <c r="I217" s="82" t="s">
        <v>250</v>
      </c>
      <c r="J217" s="102" t="n">
        <f aca="false">IF(B217="","",MONTH(B217))</f>
        <v>2</v>
      </c>
      <c r="K217" s="102" t="n">
        <f aca="false">IF(B217="","",YEAR(B217))</f>
        <v>2026</v>
      </c>
      <c r="L217" s="102" t="str">
        <f aca="false">IF(N(E217)=0,"",IF(COUNTIFS(AK_NAMA,C217,AK_KAT,"KAS")+COUNTIFS(AK_NAMA,D217,AK_KAT,"KAS")&lt;&gt;1,"",IF(COUNTIFS(AK_NAMA,C217,AK_KAT,"KAS")=1,D217,C217)))</f>
        <v/>
      </c>
      <c r="M217" s="103" t="n">
        <f aca="false">IF(L217="",0,IF(L217=D217,E217,-E217))</f>
        <v>0</v>
      </c>
      <c r="N217" s="102" t="str">
        <f aca="false">IF(L217="","",IFERROR(INDEX(AK_BARIS,MATCH(L217,AK_NAMA,0)),"?"))</f>
        <v/>
      </c>
      <c r="O217" s="102" t="str">
        <f aca="false">IF(C217="","",IFERROR(INDEX(AK_KEL,MATCH(C217,AK_NAMA,0)),"?"))</f>
        <v>ASET</v>
      </c>
      <c r="P217" s="102" t="str">
        <f aca="false">IF(D217="","",IFERROR(INDEX(AK_KEL,MATCH(D217,AK_NAMA,0)),"?"))</f>
        <v>ASET</v>
      </c>
      <c r="Q217" s="102" t="n">
        <f aca="false">N(Q216)+IF(AND(N(E217)&lt;&gt;0,K217=TAHUN,N(J217)&lt;=BLN,OR(C217=BB_AKUN,D217=BB_AKUN)),1,0)</f>
        <v>137</v>
      </c>
      <c r="R217" s="104" t="str">
        <f aca="false">IF(OR(C217&amp;D217="",N(E217)=0),"",IF(OR(O217="?",P217="?"),"⚠ akun tidak dikenal",IF(C217=D217,"⚠ debet = kredit","")))</f>
        <v/>
      </c>
    </row>
    <row r="218" customFormat="false" ht="15" hidden="false" customHeight="false" outlineLevel="0" collapsed="false">
      <c r="A218" s="82" t="s">
        <v>861</v>
      </c>
      <c r="B218" s="101" t="n">
        <v>46064</v>
      </c>
      <c r="C218" s="82" t="s">
        <v>470</v>
      </c>
      <c r="D218" s="82" t="s">
        <v>461</v>
      </c>
      <c r="E218" s="91" t="n">
        <v>250000</v>
      </c>
      <c r="F218" s="82" t="s">
        <v>862</v>
      </c>
      <c r="G218" s="82"/>
      <c r="H218" s="82"/>
      <c r="I218" s="82" t="s">
        <v>250</v>
      </c>
      <c r="J218" s="102" t="n">
        <f aca="false">IF(B218="","",MONTH(B218))</f>
        <v>2</v>
      </c>
      <c r="K218" s="102" t="n">
        <f aca="false">IF(B218="","",YEAR(B218))</f>
        <v>2026</v>
      </c>
      <c r="L218" s="102" t="str">
        <f aca="false">IF(N(E218)=0,"",IF(COUNTIFS(AK_NAMA,C218,AK_KAT,"KAS")+COUNTIFS(AK_NAMA,D218,AK_KAT,"KAS")&lt;&gt;1,"",IF(COUNTIFS(AK_NAMA,C218,AK_KAT,"KAS")=1,D218,C218)))</f>
        <v>Biaya Bahan Baku</v>
      </c>
      <c r="M218" s="103" t="n">
        <f aca="false">IF(L218="",0,IF(L218=D218,E218,-E218))</f>
        <v>-250000</v>
      </c>
      <c r="N218" s="102" t="str">
        <f aca="false">IF(L218="","",IFERROR(INDEX(AK_BARIS,MATCH(L218,AK_NAMA,0)),"?"))</f>
        <v>OP3</v>
      </c>
      <c r="O218" s="102" t="str">
        <f aca="false">IF(C218="","",IFERROR(INDEX(AK_KEL,MATCH(C218,AK_NAMA,0)),"?"))</f>
        <v>BEBAN</v>
      </c>
      <c r="P218" s="102" t="str">
        <f aca="false">IF(D218="","",IFERROR(INDEX(AK_KEL,MATCH(D218,AK_NAMA,0)),"?"))</f>
        <v>ASET</v>
      </c>
      <c r="Q218" s="102" t="n">
        <f aca="false">N(Q217)+IF(AND(N(E218)&lt;&gt;0,K218=TAHUN,N(J218)&lt;=BLN,OR(C218=BB_AKUN,D218=BB_AKUN)),1,0)</f>
        <v>138</v>
      </c>
      <c r="R218" s="104" t="str">
        <f aca="false">IF(OR(C218&amp;D218="",N(E218)=0),"",IF(OR(O218="?",P218="?"),"⚠ akun tidak dikenal",IF(C218=D218,"⚠ debet = kredit","")))</f>
        <v/>
      </c>
    </row>
    <row r="219" customFormat="false" ht="15" hidden="false" customHeight="false" outlineLevel="0" collapsed="false">
      <c r="A219" s="82" t="s">
        <v>863</v>
      </c>
      <c r="B219" s="101" t="n">
        <v>46064</v>
      </c>
      <c r="C219" s="82" t="s">
        <v>478</v>
      </c>
      <c r="D219" s="82" t="s">
        <v>486</v>
      </c>
      <c r="E219" s="91" t="n">
        <v>258000</v>
      </c>
      <c r="F219" s="82" t="s">
        <v>549</v>
      </c>
      <c r="G219" s="82"/>
      <c r="H219" s="82"/>
      <c r="I219" s="82" t="s">
        <v>250</v>
      </c>
      <c r="J219" s="102" t="n">
        <f aca="false">IF(B219="","",MONTH(B219))</f>
        <v>2</v>
      </c>
      <c r="K219" s="102" t="n">
        <f aca="false">IF(B219="","",YEAR(B219))</f>
        <v>2026</v>
      </c>
      <c r="L219" s="102" t="str">
        <f aca="false">IF(N(E219)=0,"",IF(COUNTIFS(AK_NAMA,C219,AK_KAT,"KAS")+COUNTIFS(AK_NAMA,D219,AK_KAT,"KAS")&lt;&gt;1,"",IF(COUNTIFS(AK_NAMA,C219,AK_KAT,"KAS")=1,D219,C219)))</f>
        <v>Biaya Penyajian</v>
      </c>
      <c r="M219" s="103" t="n">
        <f aca="false">IF(L219="",0,IF(L219=D219,E219,-E219))</f>
        <v>-258000</v>
      </c>
      <c r="N219" s="102" t="str">
        <f aca="false">IF(L219="","",IFERROR(INDEX(AK_BARIS,MATCH(L219,AK_NAMA,0)),"?"))</f>
        <v>OP3</v>
      </c>
      <c r="O219" s="102" t="str">
        <f aca="false">IF(C219="","",IFERROR(INDEX(AK_KEL,MATCH(C219,AK_NAMA,0)),"?"))</f>
        <v>BEBAN</v>
      </c>
      <c r="P219" s="102" t="str">
        <f aca="false">IF(D219="","",IFERROR(INDEX(AK_KEL,MATCH(D219,AK_NAMA,0)),"?"))</f>
        <v>ASET</v>
      </c>
      <c r="Q219" s="102" t="n">
        <f aca="false">N(Q218)+IF(AND(N(E219)&lt;&gt;0,K219=TAHUN,N(J219)&lt;=BLN,OR(C219=BB_AKUN,D219=BB_AKUN)),1,0)</f>
        <v>138</v>
      </c>
      <c r="R219" s="104" t="str">
        <f aca="false">IF(OR(C219&amp;D219="",N(E219)=0),"",IF(OR(O219="?",P219="?"),"⚠ akun tidak dikenal",IF(C219=D219,"⚠ debet = kredit","")))</f>
        <v/>
      </c>
    </row>
    <row r="220" customFormat="false" ht="15" hidden="false" customHeight="false" outlineLevel="0" collapsed="false">
      <c r="A220" s="82" t="s">
        <v>864</v>
      </c>
      <c r="B220" s="101" t="n">
        <v>46064</v>
      </c>
      <c r="C220" s="82" t="s">
        <v>485</v>
      </c>
      <c r="D220" s="82" t="s">
        <v>486</v>
      </c>
      <c r="E220" s="91" t="n">
        <v>12000</v>
      </c>
      <c r="F220" s="82" t="s">
        <v>553</v>
      </c>
      <c r="G220" s="82"/>
      <c r="H220" s="82"/>
      <c r="I220" s="82" t="s">
        <v>250</v>
      </c>
      <c r="J220" s="102" t="n">
        <f aca="false">IF(B220="","",MONTH(B220))</f>
        <v>2</v>
      </c>
      <c r="K220" s="102" t="n">
        <f aca="false">IF(B220="","",YEAR(B220))</f>
        <v>2026</v>
      </c>
      <c r="L220" s="102" t="str">
        <f aca="false">IF(N(E220)=0,"",IF(COUNTIFS(AK_NAMA,C220,AK_KAT,"KAS")+COUNTIFS(AK_NAMA,D220,AK_KAT,"KAS")&lt;&gt;1,"",IF(COUNTIFS(AK_NAMA,C220,AK_KAT,"KAS")=1,D220,C220)))</f>
        <v>Biaya Operasional Harian</v>
      </c>
      <c r="M220" s="103" t="n">
        <f aca="false">IF(L220="",0,IF(L220=D220,E220,-E220))</f>
        <v>-12000</v>
      </c>
      <c r="N220" s="102" t="str">
        <f aca="false">IF(L220="","",IFERROR(INDEX(AK_BARIS,MATCH(L220,AK_NAMA,0)),"?"))</f>
        <v>OP6</v>
      </c>
      <c r="O220" s="102" t="str">
        <f aca="false">IF(C220="","",IFERROR(INDEX(AK_KEL,MATCH(C220,AK_NAMA,0)),"?"))</f>
        <v>BEBAN</v>
      </c>
      <c r="P220" s="102" t="str">
        <f aca="false">IF(D220="","",IFERROR(INDEX(AK_KEL,MATCH(D220,AK_NAMA,0)),"?"))</f>
        <v>ASET</v>
      </c>
      <c r="Q220" s="102" t="n">
        <f aca="false">N(Q219)+IF(AND(N(E220)&lt;&gt;0,K220=TAHUN,N(J220)&lt;=BLN,OR(C220=BB_AKUN,D220=BB_AKUN)),1,0)</f>
        <v>138</v>
      </c>
      <c r="R220" s="104" t="str">
        <f aca="false">IF(OR(C220&amp;D220="",N(E220)=0),"",IF(OR(O220="?",P220="?"),"⚠ akun tidak dikenal",IF(C220=D220,"⚠ debet = kredit","")))</f>
        <v/>
      </c>
    </row>
    <row r="221" customFormat="false" ht="15" hidden="false" customHeight="false" outlineLevel="0" collapsed="false">
      <c r="A221" s="82" t="s">
        <v>865</v>
      </c>
      <c r="B221" s="101" t="n">
        <v>46065</v>
      </c>
      <c r="C221" s="82" t="s">
        <v>461</v>
      </c>
      <c r="D221" s="82" t="s">
        <v>475</v>
      </c>
      <c r="E221" s="91" t="n">
        <v>5000000</v>
      </c>
      <c r="F221" s="82" t="s">
        <v>560</v>
      </c>
      <c r="G221" s="82"/>
      <c r="H221" s="82"/>
      <c r="I221" s="82" t="s">
        <v>250</v>
      </c>
      <c r="J221" s="102" t="n">
        <f aca="false">IF(B221="","",MONTH(B221))</f>
        <v>2</v>
      </c>
      <c r="K221" s="102" t="n">
        <f aca="false">IF(B221="","",YEAR(B221))</f>
        <v>2026</v>
      </c>
      <c r="L221" s="102" t="str">
        <f aca="false">IF(N(E221)=0,"",IF(COUNTIFS(AK_NAMA,C221,AK_KAT,"KAS")+COUNTIFS(AK_NAMA,D221,AK_KAT,"KAS")&lt;&gt;1,"",IF(COUNTIFS(AK_NAMA,C221,AK_KAT,"KAS")=1,D221,C221)))</f>
        <v/>
      </c>
      <c r="M221" s="103" t="n">
        <f aca="false">IF(L221="",0,IF(L221=D221,E221,-E221))</f>
        <v>0</v>
      </c>
      <c r="N221" s="102" t="str">
        <f aca="false">IF(L221="","",IFERROR(INDEX(AK_BARIS,MATCH(L221,AK_NAMA,0)),"?"))</f>
        <v/>
      </c>
      <c r="O221" s="102" t="str">
        <f aca="false">IF(C221="","",IFERROR(INDEX(AK_KEL,MATCH(C221,AK_NAMA,0)),"?"))</f>
        <v>ASET</v>
      </c>
      <c r="P221" s="102" t="str">
        <f aca="false">IF(D221="","",IFERROR(INDEX(AK_KEL,MATCH(D221,AK_NAMA,0)),"?"))</f>
        <v>ASET</v>
      </c>
      <c r="Q221" s="102" t="n">
        <f aca="false">N(Q220)+IF(AND(N(E221)&lt;&gt;0,K221=TAHUN,N(J221)&lt;=BLN,OR(C221=BB_AKUN,D221=BB_AKUN)),1,0)</f>
        <v>139</v>
      </c>
      <c r="R221" s="104" t="str">
        <f aca="false">IF(OR(C221&amp;D221="",N(E221)=0),"",IF(OR(O221="?",P221="?"),"⚠ akun tidak dikenal",IF(C221=D221,"⚠ debet = kredit","")))</f>
        <v/>
      </c>
    </row>
    <row r="222" customFormat="false" ht="15" hidden="false" customHeight="false" outlineLevel="0" collapsed="false">
      <c r="A222" s="82" t="s">
        <v>866</v>
      </c>
      <c r="B222" s="101" t="n">
        <v>46065</v>
      </c>
      <c r="C222" s="82" t="s">
        <v>461</v>
      </c>
      <c r="D222" s="82" t="s">
        <v>557</v>
      </c>
      <c r="E222" s="91" t="n">
        <v>5</v>
      </c>
      <c r="F222" s="82" t="s">
        <v>867</v>
      </c>
      <c r="G222" s="82"/>
      <c r="H222" s="82"/>
      <c r="I222" s="82" t="s">
        <v>250</v>
      </c>
      <c r="J222" s="102" t="n">
        <f aca="false">IF(B222="","",MONTH(B222))</f>
        <v>2</v>
      </c>
      <c r="K222" s="102" t="n">
        <f aca="false">IF(B222="","",YEAR(B222))</f>
        <v>2026</v>
      </c>
      <c r="L222" s="102" t="str">
        <f aca="false">IF(N(E222)=0,"",IF(COUNTIFS(AK_NAMA,C222,AK_KAT,"KAS")+COUNTIFS(AK_NAMA,D222,AK_KAT,"KAS")&lt;&gt;1,"",IF(COUNTIFS(AK_NAMA,C222,AK_KAT,"KAS")=1,D222,C222)))</f>
        <v>Pendapatan Lainnya</v>
      </c>
      <c r="M222" s="103" t="n">
        <f aca="false">IF(L222="",0,IF(L222=D222,E222,-E222))</f>
        <v>5</v>
      </c>
      <c r="N222" s="102" t="str">
        <f aca="false">IF(L222="","",IFERROR(INDEX(AK_BARIS,MATCH(L222,AK_NAMA,0)),"?"))</f>
        <v>OP2</v>
      </c>
      <c r="O222" s="102" t="str">
        <f aca="false">IF(C222="","",IFERROR(INDEX(AK_KEL,MATCH(C222,AK_NAMA,0)),"?"))</f>
        <v>ASET</v>
      </c>
      <c r="P222" s="102" t="str">
        <f aca="false">IF(D222="","",IFERROR(INDEX(AK_KEL,MATCH(D222,AK_NAMA,0)),"?"))</f>
        <v>PENDAPATAN</v>
      </c>
      <c r="Q222" s="102" t="n">
        <f aca="false">N(Q221)+IF(AND(N(E222)&lt;&gt;0,K222=TAHUN,N(J222)&lt;=BLN,OR(C222=BB_AKUN,D222=BB_AKUN)),1,0)</f>
        <v>140</v>
      </c>
      <c r="R222" s="104" t="str">
        <f aca="false">IF(OR(C222&amp;D222="",N(E222)=0),"",IF(OR(O222="?",P222="?"),"⚠ akun tidak dikenal",IF(C222=D222,"⚠ debet = kredit","")))</f>
        <v/>
      </c>
    </row>
    <row r="223" customFormat="false" ht="15" hidden="false" customHeight="false" outlineLevel="0" collapsed="false">
      <c r="A223" s="82" t="s">
        <v>868</v>
      </c>
      <c r="B223" s="101" t="n">
        <v>46066</v>
      </c>
      <c r="C223" s="82" t="s">
        <v>486</v>
      </c>
      <c r="D223" s="82" t="s">
        <v>475</v>
      </c>
      <c r="E223" s="91" t="n">
        <v>170000</v>
      </c>
      <c r="F223" s="82" t="s">
        <v>869</v>
      </c>
      <c r="G223" s="82"/>
      <c r="H223" s="82"/>
      <c r="I223" s="82" t="s">
        <v>250</v>
      </c>
      <c r="J223" s="102" t="n">
        <f aca="false">IF(B223="","",MONTH(B223))</f>
        <v>2</v>
      </c>
      <c r="K223" s="102" t="n">
        <f aca="false">IF(B223="","",YEAR(B223))</f>
        <v>2026</v>
      </c>
      <c r="L223" s="102" t="str">
        <f aca="false">IF(N(E223)=0,"",IF(COUNTIFS(AK_NAMA,C223,AK_KAT,"KAS")+COUNTIFS(AK_NAMA,D223,AK_KAT,"KAS")&lt;&gt;1,"",IF(COUNTIFS(AK_NAMA,C223,AK_KAT,"KAS")=1,D223,C223)))</f>
        <v/>
      </c>
      <c r="M223" s="103" t="n">
        <f aca="false">IF(L223="",0,IF(L223=D223,E223,-E223))</f>
        <v>0</v>
      </c>
      <c r="N223" s="102" t="str">
        <f aca="false">IF(L223="","",IFERROR(INDEX(AK_BARIS,MATCH(L223,AK_NAMA,0)),"?"))</f>
        <v/>
      </c>
      <c r="O223" s="102" t="str">
        <f aca="false">IF(C223="","",IFERROR(INDEX(AK_KEL,MATCH(C223,AK_NAMA,0)),"?"))</f>
        <v>ASET</v>
      </c>
      <c r="P223" s="102" t="str">
        <f aca="false">IF(D223="","",IFERROR(INDEX(AK_KEL,MATCH(D223,AK_NAMA,0)),"?"))</f>
        <v>ASET</v>
      </c>
      <c r="Q223" s="102" t="n">
        <f aca="false">N(Q222)+IF(AND(N(E223)&lt;&gt;0,K223=TAHUN,N(J223)&lt;=BLN,OR(C223=BB_AKUN,D223=BB_AKUN)),1,0)</f>
        <v>140</v>
      </c>
      <c r="R223" s="104" t="str">
        <f aca="false">IF(OR(C223&amp;D223="",N(E223)=0),"",IF(OR(O223="?",P223="?"),"⚠ akun tidak dikenal",IF(C223=D223,"⚠ debet = kredit","")))</f>
        <v/>
      </c>
    </row>
    <row r="224" customFormat="false" ht="15" hidden="false" customHeight="false" outlineLevel="0" collapsed="false">
      <c r="A224" s="82" t="s">
        <v>870</v>
      </c>
      <c r="B224" s="101" t="n">
        <v>46066</v>
      </c>
      <c r="C224" s="82" t="s">
        <v>461</v>
      </c>
      <c r="D224" s="82" t="s">
        <v>475</v>
      </c>
      <c r="E224" s="91" t="n">
        <v>500000</v>
      </c>
      <c r="F224" s="82" t="s">
        <v>871</v>
      </c>
      <c r="G224" s="82"/>
      <c r="H224" s="82"/>
      <c r="I224" s="82" t="s">
        <v>250</v>
      </c>
      <c r="J224" s="102" t="n">
        <f aca="false">IF(B224="","",MONTH(B224))</f>
        <v>2</v>
      </c>
      <c r="K224" s="102" t="n">
        <f aca="false">IF(B224="","",YEAR(B224))</f>
        <v>2026</v>
      </c>
      <c r="L224" s="102" t="str">
        <f aca="false">IF(N(E224)=0,"",IF(COUNTIFS(AK_NAMA,C224,AK_KAT,"KAS")+COUNTIFS(AK_NAMA,D224,AK_KAT,"KAS")&lt;&gt;1,"",IF(COUNTIFS(AK_NAMA,C224,AK_KAT,"KAS")=1,D224,C224)))</f>
        <v/>
      </c>
      <c r="M224" s="103" t="n">
        <f aca="false">IF(L224="",0,IF(L224=D224,E224,-E224))</f>
        <v>0</v>
      </c>
      <c r="N224" s="102" t="str">
        <f aca="false">IF(L224="","",IFERROR(INDEX(AK_BARIS,MATCH(L224,AK_NAMA,0)),"?"))</f>
        <v/>
      </c>
      <c r="O224" s="102" t="str">
        <f aca="false">IF(C224="","",IFERROR(INDEX(AK_KEL,MATCH(C224,AK_NAMA,0)),"?"))</f>
        <v>ASET</v>
      </c>
      <c r="P224" s="102" t="str">
        <f aca="false">IF(D224="","",IFERROR(INDEX(AK_KEL,MATCH(D224,AK_NAMA,0)),"?"))</f>
        <v>ASET</v>
      </c>
      <c r="Q224" s="102" t="n">
        <f aca="false">N(Q223)+IF(AND(N(E224)&lt;&gt;0,K224=TAHUN,N(J224)&lt;=BLN,OR(C224=BB_AKUN,D224=BB_AKUN)),1,0)</f>
        <v>141</v>
      </c>
      <c r="R224" s="104" t="str">
        <f aca="false">IF(OR(C224&amp;D224="",N(E224)=0),"",IF(OR(O224="?",P224="?"),"⚠ akun tidak dikenal",IF(C224=D224,"⚠ debet = kredit","")))</f>
        <v/>
      </c>
    </row>
    <row r="225" customFormat="false" ht="15" hidden="false" customHeight="false" outlineLevel="0" collapsed="false">
      <c r="A225" s="82" t="s">
        <v>872</v>
      </c>
      <c r="B225" s="101" t="n">
        <v>46067</v>
      </c>
      <c r="C225" s="82" t="s">
        <v>461</v>
      </c>
      <c r="D225" s="82" t="s">
        <v>509</v>
      </c>
      <c r="E225" s="91" t="n">
        <v>855000</v>
      </c>
      <c r="F225" s="82" t="s">
        <v>873</v>
      </c>
      <c r="G225" s="82"/>
      <c r="H225" s="82"/>
      <c r="I225" s="82" t="s">
        <v>250</v>
      </c>
      <c r="J225" s="102" t="n">
        <f aca="false">IF(B225="","",MONTH(B225))</f>
        <v>2</v>
      </c>
      <c r="K225" s="102" t="n">
        <f aca="false">IF(B225="","",YEAR(B225))</f>
        <v>2026</v>
      </c>
      <c r="L225" s="102" t="str">
        <f aca="false">IF(N(E225)=0,"",IF(COUNTIFS(AK_NAMA,C225,AK_KAT,"KAS")+COUNTIFS(AK_NAMA,D225,AK_KAT,"KAS")&lt;&gt;1,"",IF(COUNTIFS(AK_NAMA,C225,AK_KAT,"KAS")=1,D225,C225)))</f>
        <v>Pendapatan non Cafe</v>
      </c>
      <c r="M225" s="103" t="n">
        <f aca="false">IF(L225="",0,IF(L225=D225,E225,-E225))</f>
        <v>855000</v>
      </c>
      <c r="N225" s="102" t="str">
        <f aca="false">IF(L225="","",IFERROR(INDEX(AK_BARIS,MATCH(L225,AK_NAMA,0)),"?"))</f>
        <v>OP1</v>
      </c>
      <c r="O225" s="102" t="str">
        <f aca="false">IF(C225="","",IFERROR(INDEX(AK_KEL,MATCH(C225,AK_NAMA,0)),"?"))</f>
        <v>ASET</v>
      </c>
      <c r="P225" s="102" t="str">
        <f aca="false">IF(D225="","",IFERROR(INDEX(AK_KEL,MATCH(D225,AK_NAMA,0)),"?"))</f>
        <v>PENDAPATAN</v>
      </c>
      <c r="Q225" s="102" t="n">
        <f aca="false">N(Q224)+IF(AND(N(E225)&lt;&gt;0,K225=TAHUN,N(J225)&lt;=BLN,OR(C225=BB_AKUN,D225=BB_AKUN)),1,0)</f>
        <v>142</v>
      </c>
      <c r="R225" s="104" t="str">
        <f aca="false">IF(OR(C225&amp;D225="",N(E225)=0),"",IF(OR(O225="?",P225="?"),"⚠ akun tidak dikenal",IF(C225=D225,"⚠ debet = kredit","")))</f>
        <v/>
      </c>
    </row>
    <row r="226" customFormat="false" ht="15" hidden="false" customHeight="false" outlineLevel="0" collapsed="false">
      <c r="A226" s="82" t="s">
        <v>874</v>
      </c>
      <c r="B226" s="101" t="n">
        <v>46067</v>
      </c>
      <c r="C226" s="82" t="s">
        <v>461</v>
      </c>
      <c r="D226" s="82" t="s">
        <v>557</v>
      </c>
      <c r="E226" s="91" t="n">
        <v>165000</v>
      </c>
      <c r="F226" s="82" t="s">
        <v>875</v>
      </c>
      <c r="G226" s="82"/>
      <c r="H226" s="82"/>
      <c r="I226" s="82" t="s">
        <v>250</v>
      </c>
      <c r="J226" s="102" t="n">
        <f aca="false">IF(B226="","",MONTH(B226))</f>
        <v>2</v>
      </c>
      <c r="K226" s="102" t="n">
        <f aca="false">IF(B226="","",YEAR(B226))</f>
        <v>2026</v>
      </c>
      <c r="L226" s="102" t="str">
        <f aca="false">IF(N(E226)=0,"",IF(COUNTIFS(AK_NAMA,C226,AK_KAT,"KAS")+COUNTIFS(AK_NAMA,D226,AK_KAT,"KAS")&lt;&gt;1,"",IF(COUNTIFS(AK_NAMA,C226,AK_KAT,"KAS")=1,D226,C226)))</f>
        <v>Pendapatan Lainnya</v>
      </c>
      <c r="M226" s="103" t="n">
        <f aca="false">IF(L226="",0,IF(L226=D226,E226,-E226))</f>
        <v>165000</v>
      </c>
      <c r="N226" s="102" t="str">
        <f aca="false">IF(L226="","",IFERROR(INDEX(AK_BARIS,MATCH(L226,AK_NAMA,0)),"?"))</f>
        <v>OP2</v>
      </c>
      <c r="O226" s="102" t="str">
        <f aca="false">IF(C226="","",IFERROR(INDEX(AK_KEL,MATCH(C226,AK_NAMA,0)),"?"))</f>
        <v>ASET</v>
      </c>
      <c r="P226" s="102" t="str">
        <f aca="false">IF(D226="","",IFERROR(INDEX(AK_KEL,MATCH(D226,AK_NAMA,0)),"?"))</f>
        <v>PENDAPATAN</v>
      </c>
      <c r="Q226" s="102" t="n">
        <f aca="false">N(Q225)+IF(AND(N(E226)&lt;&gt;0,K226=TAHUN,N(J226)&lt;=BLN,OR(C226=BB_AKUN,D226=BB_AKUN)),1,0)</f>
        <v>143</v>
      </c>
      <c r="R226" s="104" t="str">
        <f aca="false">IF(OR(C226&amp;D226="",N(E226)=0),"",IF(OR(O226="?",P226="?"),"⚠ akun tidak dikenal",IF(C226=D226,"⚠ debet = kredit","")))</f>
        <v/>
      </c>
    </row>
    <row r="227" customFormat="false" ht="15" hidden="false" customHeight="false" outlineLevel="0" collapsed="false">
      <c r="A227" s="82" t="s">
        <v>876</v>
      </c>
      <c r="B227" s="101" t="n">
        <v>46067</v>
      </c>
      <c r="C227" s="82" t="s">
        <v>470</v>
      </c>
      <c r="D227" s="82" t="s">
        <v>461</v>
      </c>
      <c r="E227" s="91" t="n">
        <v>190000</v>
      </c>
      <c r="F227" s="82" t="s">
        <v>877</v>
      </c>
      <c r="G227" s="82"/>
      <c r="H227" s="82"/>
      <c r="I227" s="82" t="s">
        <v>250</v>
      </c>
      <c r="J227" s="102" t="n">
        <f aca="false">IF(B227="","",MONTH(B227))</f>
        <v>2</v>
      </c>
      <c r="K227" s="102" t="n">
        <f aca="false">IF(B227="","",YEAR(B227))</f>
        <v>2026</v>
      </c>
      <c r="L227" s="102" t="str">
        <f aca="false">IF(N(E227)=0,"",IF(COUNTIFS(AK_NAMA,C227,AK_KAT,"KAS")+COUNTIFS(AK_NAMA,D227,AK_KAT,"KAS")&lt;&gt;1,"",IF(COUNTIFS(AK_NAMA,C227,AK_KAT,"KAS")=1,D227,C227)))</f>
        <v>Biaya Bahan Baku</v>
      </c>
      <c r="M227" s="103" t="n">
        <f aca="false">IF(L227="",0,IF(L227=D227,E227,-E227))</f>
        <v>-190000</v>
      </c>
      <c r="N227" s="102" t="str">
        <f aca="false">IF(L227="","",IFERROR(INDEX(AK_BARIS,MATCH(L227,AK_NAMA,0)),"?"))</f>
        <v>OP3</v>
      </c>
      <c r="O227" s="102" t="str">
        <f aca="false">IF(C227="","",IFERROR(INDEX(AK_KEL,MATCH(C227,AK_NAMA,0)),"?"))</f>
        <v>BEBAN</v>
      </c>
      <c r="P227" s="102" t="str">
        <f aca="false">IF(D227="","",IFERROR(INDEX(AK_KEL,MATCH(D227,AK_NAMA,0)),"?"))</f>
        <v>ASET</v>
      </c>
      <c r="Q227" s="102" t="n">
        <f aca="false">N(Q226)+IF(AND(N(E227)&lt;&gt;0,K227=TAHUN,N(J227)&lt;=BLN,OR(C227=BB_AKUN,D227=BB_AKUN)),1,0)</f>
        <v>144</v>
      </c>
      <c r="R227" s="104" t="str">
        <f aca="false">IF(OR(C227&amp;D227="",N(E227)=0),"",IF(OR(O227="?",P227="?"),"⚠ akun tidak dikenal",IF(C227=D227,"⚠ debet = kredit","")))</f>
        <v/>
      </c>
    </row>
    <row r="228" customFormat="false" ht="15" hidden="false" customHeight="false" outlineLevel="0" collapsed="false">
      <c r="A228" s="82" t="s">
        <v>878</v>
      </c>
      <c r="B228" s="101" t="n">
        <v>46067</v>
      </c>
      <c r="C228" s="82" t="s">
        <v>470</v>
      </c>
      <c r="D228" s="82" t="s">
        <v>461</v>
      </c>
      <c r="E228" s="91" t="n">
        <v>102200</v>
      </c>
      <c r="F228" s="82" t="s">
        <v>879</v>
      </c>
      <c r="G228" s="82"/>
      <c r="H228" s="82"/>
      <c r="I228" s="82" t="s">
        <v>250</v>
      </c>
      <c r="J228" s="102" t="n">
        <f aca="false">IF(B228="","",MONTH(B228))</f>
        <v>2</v>
      </c>
      <c r="K228" s="102" t="n">
        <f aca="false">IF(B228="","",YEAR(B228))</f>
        <v>2026</v>
      </c>
      <c r="L228" s="102" t="str">
        <f aca="false">IF(N(E228)=0,"",IF(COUNTIFS(AK_NAMA,C228,AK_KAT,"KAS")+COUNTIFS(AK_NAMA,D228,AK_KAT,"KAS")&lt;&gt;1,"",IF(COUNTIFS(AK_NAMA,C228,AK_KAT,"KAS")=1,D228,C228)))</f>
        <v>Biaya Bahan Baku</v>
      </c>
      <c r="M228" s="103" t="n">
        <f aca="false">IF(L228="",0,IF(L228=D228,E228,-E228))</f>
        <v>-102200</v>
      </c>
      <c r="N228" s="102" t="str">
        <f aca="false">IF(L228="","",IFERROR(INDEX(AK_BARIS,MATCH(L228,AK_NAMA,0)),"?"))</f>
        <v>OP3</v>
      </c>
      <c r="O228" s="102" t="str">
        <f aca="false">IF(C228="","",IFERROR(INDEX(AK_KEL,MATCH(C228,AK_NAMA,0)),"?"))</f>
        <v>BEBAN</v>
      </c>
      <c r="P228" s="102" t="str">
        <f aca="false">IF(D228="","",IFERROR(INDEX(AK_KEL,MATCH(D228,AK_NAMA,0)),"?"))</f>
        <v>ASET</v>
      </c>
      <c r="Q228" s="102" t="n">
        <f aca="false">N(Q227)+IF(AND(N(E228)&lt;&gt;0,K228=TAHUN,N(J228)&lt;=BLN,OR(C228=BB_AKUN,D228=BB_AKUN)),1,0)</f>
        <v>145</v>
      </c>
      <c r="R228" s="104" t="str">
        <f aca="false">IF(OR(C228&amp;D228="",N(E228)=0),"",IF(OR(O228="?",P228="?"),"⚠ akun tidak dikenal",IF(C228=D228,"⚠ debet = kredit","")))</f>
        <v/>
      </c>
    </row>
    <row r="229" customFormat="false" ht="15" hidden="false" customHeight="false" outlineLevel="0" collapsed="false">
      <c r="A229" s="82" t="s">
        <v>880</v>
      </c>
      <c r="B229" s="101" t="n">
        <v>46068</v>
      </c>
      <c r="C229" s="82" t="s">
        <v>470</v>
      </c>
      <c r="D229" s="82" t="s">
        <v>461</v>
      </c>
      <c r="E229" s="91" t="n">
        <v>600000</v>
      </c>
      <c r="F229" s="82" t="s">
        <v>881</v>
      </c>
      <c r="G229" s="82"/>
      <c r="H229" s="82"/>
      <c r="I229" s="82" t="s">
        <v>250</v>
      </c>
      <c r="J229" s="102" t="n">
        <f aca="false">IF(B229="","",MONTH(B229))</f>
        <v>2</v>
      </c>
      <c r="K229" s="102" t="n">
        <f aca="false">IF(B229="","",YEAR(B229))</f>
        <v>2026</v>
      </c>
      <c r="L229" s="102" t="str">
        <f aca="false">IF(N(E229)=0,"",IF(COUNTIFS(AK_NAMA,C229,AK_KAT,"KAS")+COUNTIFS(AK_NAMA,D229,AK_KAT,"KAS")&lt;&gt;1,"",IF(COUNTIFS(AK_NAMA,C229,AK_KAT,"KAS")=1,D229,C229)))</f>
        <v>Biaya Bahan Baku</v>
      </c>
      <c r="M229" s="103" t="n">
        <f aca="false">IF(L229="",0,IF(L229=D229,E229,-E229))</f>
        <v>-600000</v>
      </c>
      <c r="N229" s="102" t="str">
        <f aca="false">IF(L229="","",IFERROR(INDEX(AK_BARIS,MATCH(L229,AK_NAMA,0)),"?"))</f>
        <v>OP3</v>
      </c>
      <c r="O229" s="102" t="str">
        <f aca="false">IF(C229="","",IFERROR(INDEX(AK_KEL,MATCH(C229,AK_NAMA,0)),"?"))</f>
        <v>BEBAN</v>
      </c>
      <c r="P229" s="102" t="str">
        <f aca="false">IF(D229="","",IFERROR(INDEX(AK_KEL,MATCH(D229,AK_NAMA,0)),"?"))</f>
        <v>ASET</v>
      </c>
      <c r="Q229" s="102" t="n">
        <f aca="false">N(Q228)+IF(AND(N(E229)&lt;&gt;0,K229=TAHUN,N(J229)&lt;=BLN,OR(C229=BB_AKUN,D229=BB_AKUN)),1,0)</f>
        <v>146</v>
      </c>
      <c r="R229" s="104" t="str">
        <f aca="false">IF(OR(C229&amp;D229="",N(E229)=0),"",IF(OR(O229="?",P229="?"),"⚠ akun tidak dikenal",IF(C229=D229,"⚠ debet = kredit","")))</f>
        <v/>
      </c>
    </row>
    <row r="230" customFormat="false" ht="15" hidden="false" customHeight="false" outlineLevel="0" collapsed="false">
      <c r="A230" s="82" t="s">
        <v>882</v>
      </c>
      <c r="B230" s="101" t="n">
        <v>46068</v>
      </c>
      <c r="C230" s="82" t="s">
        <v>524</v>
      </c>
      <c r="D230" s="82" t="s">
        <v>461</v>
      </c>
      <c r="E230" s="91" t="n">
        <v>325</v>
      </c>
      <c r="F230" s="82" t="s">
        <v>525</v>
      </c>
      <c r="G230" s="82"/>
      <c r="H230" s="82"/>
      <c r="I230" s="82" t="s">
        <v>250</v>
      </c>
      <c r="J230" s="102" t="n">
        <f aca="false">IF(B230="","",MONTH(B230))</f>
        <v>2</v>
      </c>
      <c r="K230" s="102" t="n">
        <f aca="false">IF(B230="","",YEAR(B230))</f>
        <v>2026</v>
      </c>
      <c r="L230" s="102" t="str">
        <f aca="false">IF(N(E230)=0,"",IF(COUNTIFS(AK_NAMA,C230,AK_KAT,"KAS")+COUNTIFS(AK_NAMA,D230,AK_KAT,"KAS")&lt;&gt;1,"",IF(COUNTIFS(AK_NAMA,C230,AK_KAT,"KAS")=1,D230,C230)))</f>
        <v>Biaya Lainnya</v>
      </c>
      <c r="M230" s="103" t="n">
        <f aca="false">IF(L230="",0,IF(L230=D230,E230,-E230))</f>
        <v>-325</v>
      </c>
      <c r="N230" s="102" t="str">
        <f aca="false">IF(L230="","",IFERROR(INDEX(AK_BARIS,MATCH(L230,AK_NAMA,0)),"?"))</f>
        <v>OP2</v>
      </c>
      <c r="O230" s="102" t="str">
        <f aca="false">IF(C230="","",IFERROR(INDEX(AK_KEL,MATCH(C230,AK_NAMA,0)),"?"))</f>
        <v>BEBAN</v>
      </c>
      <c r="P230" s="102" t="str">
        <f aca="false">IF(D230="","",IFERROR(INDEX(AK_KEL,MATCH(D230,AK_NAMA,0)),"?"))</f>
        <v>ASET</v>
      </c>
      <c r="Q230" s="102" t="n">
        <f aca="false">N(Q229)+IF(AND(N(E230)&lt;&gt;0,K230=TAHUN,N(J230)&lt;=BLN,OR(C230=BB_AKUN,D230=BB_AKUN)),1,0)</f>
        <v>147</v>
      </c>
      <c r="R230" s="104" t="str">
        <f aca="false">IF(OR(C230&amp;D230="",N(E230)=0),"",IF(OR(O230="?",P230="?"),"⚠ akun tidak dikenal",IF(C230=D230,"⚠ debet = kredit","")))</f>
        <v/>
      </c>
    </row>
    <row r="231" customFormat="false" ht="15" hidden="false" customHeight="false" outlineLevel="0" collapsed="false">
      <c r="A231" s="82" t="s">
        <v>883</v>
      </c>
      <c r="B231" s="101" t="n">
        <v>46068</v>
      </c>
      <c r="C231" s="82" t="s">
        <v>486</v>
      </c>
      <c r="D231" s="82" t="s">
        <v>475</v>
      </c>
      <c r="E231" s="91" t="n">
        <v>2500000</v>
      </c>
      <c r="F231" s="82" t="s">
        <v>622</v>
      </c>
      <c r="G231" s="82"/>
      <c r="H231" s="82"/>
      <c r="I231" s="82" t="s">
        <v>250</v>
      </c>
      <c r="J231" s="102" t="n">
        <f aca="false">IF(B231="","",MONTH(B231))</f>
        <v>2</v>
      </c>
      <c r="K231" s="102" t="n">
        <f aca="false">IF(B231="","",YEAR(B231))</f>
        <v>2026</v>
      </c>
      <c r="L231" s="102" t="str">
        <f aca="false">IF(N(E231)=0,"",IF(COUNTIFS(AK_NAMA,C231,AK_KAT,"KAS")+COUNTIFS(AK_NAMA,D231,AK_KAT,"KAS")&lt;&gt;1,"",IF(COUNTIFS(AK_NAMA,C231,AK_KAT,"KAS")=1,D231,C231)))</f>
        <v/>
      </c>
      <c r="M231" s="103" t="n">
        <f aca="false">IF(L231="",0,IF(L231=D231,E231,-E231))</f>
        <v>0</v>
      </c>
      <c r="N231" s="102" t="str">
        <f aca="false">IF(L231="","",IFERROR(INDEX(AK_BARIS,MATCH(L231,AK_NAMA,0)),"?"))</f>
        <v/>
      </c>
      <c r="O231" s="102" t="str">
        <f aca="false">IF(C231="","",IFERROR(INDEX(AK_KEL,MATCH(C231,AK_NAMA,0)),"?"))</f>
        <v>ASET</v>
      </c>
      <c r="P231" s="102" t="str">
        <f aca="false">IF(D231="","",IFERROR(INDEX(AK_KEL,MATCH(D231,AK_NAMA,0)),"?"))</f>
        <v>ASET</v>
      </c>
      <c r="Q231" s="102" t="n">
        <f aca="false">N(Q230)+IF(AND(N(E231)&lt;&gt;0,K231=TAHUN,N(J231)&lt;=BLN,OR(C231=BB_AKUN,D231=BB_AKUN)),1,0)</f>
        <v>147</v>
      </c>
      <c r="R231" s="104" t="str">
        <f aca="false">IF(OR(C231&amp;D231="",N(E231)=0),"",IF(OR(O231="?",P231="?"),"⚠ akun tidak dikenal",IF(C231=D231,"⚠ debet = kredit","")))</f>
        <v/>
      </c>
    </row>
    <row r="232" customFormat="false" ht="15" hidden="false" customHeight="false" outlineLevel="0" collapsed="false">
      <c r="A232" s="82" t="s">
        <v>884</v>
      </c>
      <c r="B232" s="101" t="n">
        <v>46069</v>
      </c>
      <c r="C232" s="82" t="s">
        <v>461</v>
      </c>
      <c r="D232" s="82" t="s">
        <v>509</v>
      </c>
      <c r="E232" s="91" t="n">
        <v>1005000</v>
      </c>
      <c r="F232" s="82" t="s">
        <v>885</v>
      </c>
      <c r="G232" s="82"/>
      <c r="H232" s="82"/>
      <c r="I232" s="82" t="s">
        <v>250</v>
      </c>
      <c r="J232" s="102" t="n">
        <f aca="false">IF(B232="","",MONTH(B232))</f>
        <v>2</v>
      </c>
      <c r="K232" s="102" t="n">
        <f aca="false">IF(B232="","",YEAR(B232))</f>
        <v>2026</v>
      </c>
      <c r="L232" s="102" t="str">
        <f aca="false">IF(N(E232)=0,"",IF(COUNTIFS(AK_NAMA,C232,AK_KAT,"KAS")+COUNTIFS(AK_NAMA,D232,AK_KAT,"KAS")&lt;&gt;1,"",IF(COUNTIFS(AK_NAMA,C232,AK_KAT,"KAS")=1,D232,C232)))</f>
        <v>Pendapatan non Cafe</v>
      </c>
      <c r="M232" s="103" t="n">
        <f aca="false">IF(L232="",0,IF(L232=D232,E232,-E232))</f>
        <v>1005000</v>
      </c>
      <c r="N232" s="102" t="str">
        <f aca="false">IF(L232="","",IFERROR(INDEX(AK_BARIS,MATCH(L232,AK_NAMA,0)),"?"))</f>
        <v>OP1</v>
      </c>
      <c r="O232" s="102" t="str">
        <f aca="false">IF(C232="","",IFERROR(INDEX(AK_KEL,MATCH(C232,AK_NAMA,0)),"?"))</f>
        <v>ASET</v>
      </c>
      <c r="P232" s="102" t="str">
        <f aca="false">IF(D232="","",IFERROR(INDEX(AK_KEL,MATCH(D232,AK_NAMA,0)),"?"))</f>
        <v>PENDAPATAN</v>
      </c>
      <c r="Q232" s="102" t="n">
        <f aca="false">N(Q231)+IF(AND(N(E232)&lt;&gt;0,K232=TAHUN,N(J232)&lt;=BLN,OR(C232=BB_AKUN,D232=BB_AKUN)),1,0)</f>
        <v>148</v>
      </c>
      <c r="R232" s="104" t="str">
        <f aca="false">IF(OR(C232&amp;D232="",N(E232)=0),"",IF(OR(O232="?",P232="?"),"⚠ akun tidak dikenal",IF(C232=D232,"⚠ debet = kredit","")))</f>
        <v/>
      </c>
    </row>
    <row r="233" customFormat="false" ht="15" hidden="false" customHeight="false" outlineLevel="0" collapsed="false">
      <c r="A233" s="82" t="s">
        <v>886</v>
      </c>
      <c r="B233" s="101" t="n">
        <v>46069</v>
      </c>
      <c r="C233" s="82" t="s">
        <v>456</v>
      </c>
      <c r="D233" s="82" t="s">
        <v>461</v>
      </c>
      <c r="E233" s="91" t="n">
        <v>522000</v>
      </c>
      <c r="F233" s="82" t="s">
        <v>633</v>
      </c>
      <c r="G233" s="82"/>
      <c r="H233" s="82" t="s">
        <v>458</v>
      </c>
      <c r="I233" s="82" t="s">
        <v>250</v>
      </c>
      <c r="J233" s="102" t="n">
        <f aca="false">IF(B233="","",MONTH(B233))</f>
        <v>2</v>
      </c>
      <c r="K233" s="102" t="n">
        <f aca="false">IF(B233="","",YEAR(B233))</f>
        <v>2026</v>
      </c>
      <c r="L233" s="102" t="str">
        <f aca="false">IF(N(E233)=0,"",IF(COUNTIFS(AK_NAMA,C233,AK_KAT,"KAS")+COUNTIFS(AK_NAMA,D233,AK_KAT,"KAS")&lt;&gt;1,"",IF(COUNTIFS(AK_NAMA,C233,AK_KAT,"KAS")=1,D233,C233)))</f>
        <v>Utang Usaha Jangka Panjang</v>
      </c>
      <c r="M233" s="103" t="n">
        <f aca="false">IF(L233="",0,IF(L233=D233,E233,-E233))</f>
        <v>-522000</v>
      </c>
      <c r="N233" s="102" t="str">
        <f aca="false">IF(L233="","",IFERROR(INDEX(AK_BARIS,MATCH(L233,AK_NAMA,0)),"?"))</f>
        <v>FN3</v>
      </c>
      <c r="O233" s="102" t="str">
        <f aca="false">IF(C233="","",IFERROR(INDEX(AK_KEL,MATCH(C233,AK_NAMA,0)),"?"))</f>
        <v>LIABILITAS</v>
      </c>
      <c r="P233" s="102" t="str">
        <f aca="false">IF(D233="","",IFERROR(INDEX(AK_KEL,MATCH(D233,AK_NAMA,0)),"?"))</f>
        <v>ASET</v>
      </c>
      <c r="Q233" s="102" t="n">
        <f aca="false">N(Q232)+IF(AND(N(E233)&lt;&gt;0,K233=TAHUN,N(J233)&lt;=BLN,OR(C233=BB_AKUN,D233=BB_AKUN)),1,0)</f>
        <v>149</v>
      </c>
      <c r="R233" s="104" t="str">
        <f aca="false">IF(OR(C233&amp;D233="",N(E233)=0),"",IF(OR(O233="?",P233="?"),"⚠ akun tidak dikenal",IF(C233=D233,"⚠ debet = kredit","")))</f>
        <v/>
      </c>
    </row>
    <row r="234" customFormat="false" ht="15" hidden="false" customHeight="false" outlineLevel="0" collapsed="false">
      <c r="A234" s="82" t="s">
        <v>887</v>
      </c>
      <c r="B234" s="101" t="n">
        <v>46070</v>
      </c>
      <c r="C234" s="82" t="s">
        <v>470</v>
      </c>
      <c r="D234" s="82" t="s">
        <v>475</v>
      </c>
      <c r="E234" s="91" t="n">
        <v>270000</v>
      </c>
      <c r="F234" s="82" t="s">
        <v>888</v>
      </c>
      <c r="G234" s="82"/>
      <c r="H234" s="82"/>
      <c r="I234" s="82" t="s">
        <v>250</v>
      </c>
      <c r="J234" s="102" t="n">
        <f aca="false">IF(B234="","",MONTH(B234))</f>
        <v>2</v>
      </c>
      <c r="K234" s="102" t="n">
        <f aca="false">IF(B234="","",YEAR(B234))</f>
        <v>2026</v>
      </c>
      <c r="L234" s="102" t="str">
        <f aca="false">IF(N(E234)=0,"",IF(COUNTIFS(AK_NAMA,C234,AK_KAT,"KAS")+COUNTIFS(AK_NAMA,D234,AK_KAT,"KAS")&lt;&gt;1,"",IF(COUNTIFS(AK_NAMA,C234,AK_KAT,"KAS")=1,D234,C234)))</f>
        <v>Biaya Bahan Baku</v>
      </c>
      <c r="M234" s="103" t="n">
        <f aca="false">IF(L234="",0,IF(L234=D234,E234,-E234))</f>
        <v>-270000</v>
      </c>
      <c r="N234" s="102" t="str">
        <f aca="false">IF(L234="","",IFERROR(INDEX(AK_BARIS,MATCH(L234,AK_NAMA,0)),"?"))</f>
        <v>OP3</v>
      </c>
      <c r="O234" s="102" t="str">
        <f aca="false">IF(C234="","",IFERROR(INDEX(AK_KEL,MATCH(C234,AK_NAMA,0)),"?"))</f>
        <v>BEBAN</v>
      </c>
      <c r="P234" s="102" t="str">
        <f aca="false">IF(D234="","",IFERROR(INDEX(AK_KEL,MATCH(D234,AK_NAMA,0)),"?"))</f>
        <v>ASET</v>
      </c>
      <c r="Q234" s="102" t="n">
        <f aca="false">N(Q233)+IF(AND(N(E234)&lt;&gt;0,K234=TAHUN,N(J234)&lt;=BLN,OR(C234=BB_AKUN,D234=BB_AKUN)),1,0)</f>
        <v>149</v>
      </c>
      <c r="R234" s="104" t="str">
        <f aca="false">IF(OR(C234&amp;D234="",N(E234)=0),"",IF(OR(O234="?",P234="?"),"⚠ akun tidak dikenal",IF(C234=D234,"⚠ debet = kredit","")))</f>
        <v/>
      </c>
    </row>
    <row r="235" customFormat="false" ht="15" hidden="false" customHeight="false" outlineLevel="0" collapsed="false">
      <c r="A235" s="82" t="s">
        <v>889</v>
      </c>
      <c r="B235" s="101" t="n">
        <v>46070</v>
      </c>
      <c r="C235" s="82" t="s">
        <v>478</v>
      </c>
      <c r="D235" s="82" t="s">
        <v>461</v>
      </c>
      <c r="E235" s="91" t="n">
        <v>90000</v>
      </c>
      <c r="F235" s="82" t="s">
        <v>890</v>
      </c>
      <c r="G235" s="82"/>
      <c r="H235" s="82"/>
      <c r="I235" s="82" t="s">
        <v>250</v>
      </c>
      <c r="J235" s="102" t="n">
        <f aca="false">IF(B235="","",MONTH(B235))</f>
        <v>2</v>
      </c>
      <c r="K235" s="102" t="n">
        <f aca="false">IF(B235="","",YEAR(B235))</f>
        <v>2026</v>
      </c>
      <c r="L235" s="102" t="str">
        <f aca="false">IF(N(E235)=0,"",IF(COUNTIFS(AK_NAMA,C235,AK_KAT,"KAS")+COUNTIFS(AK_NAMA,D235,AK_KAT,"KAS")&lt;&gt;1,"",IF(COUNTIFS(AK_NAMA,C235,AK_KAT,"KAS")=1,D235,C235)))</f>
        <v>Biaya Penyajian</v>
      </c>
      <c r="M235" s="103" t="n">
        <f aca="false">IF(L235="",0,IF(L235=D235,E235,-E235))</f>
        <v>-90000</v>
      </c>
      <c r="N235" s="102" t="str">
        <f aca="false">IF(L235="","",IFERROR(INDEX(AK_BARIS,MATCH(L235,AK_NAMA,0)),"?"))</f>
        <v>OP3</v>
      </c>
      <c r="O235" s="102" t="str">
        <f aca="false">IF(C235="","",IFERROR(INDEX(AK_KEL,MATCH(C235,AK_NAMA,0)),"?"))</f>
        <v>BEBAN</v>
      </c>
      <c r="P235" s="102" t="str">
        <f aca="false">IF(D235="","",IFERROR(INDEX(AK_KEL,MATCH(D235,AK_NAMA,0)),"?"))</f>
        <v>ASET</v>
      </c>
      <c r="Q235" s="102" t="n">
        <f aca="false">N(Q234)+IF(AND(N(E235)&lt;&gt;0,K235=TAHUN,N(J235)&lt;=BLN,OR(C235=BB_AKUN,D235=BB_AKUN)),1,0)</f>
        <v>150</v>
      </c>
      <c r="R235" s="104" t="str">
        <f aca="false">IF(OR(C235&amp;D235="",N(E235)=0),"",IF(OR(O235="?",P235="?"),"⚠ akun tidak dikenal",IF(C235=D235,"⚠ debet = kredit","")))</f>
        <v/>
      </c>
    </row>
    <row r="236" customFormat="false" ht="15" hidden="false" customHeight="false" outlineLevel="0" collapsed="false">
      <c r="A236" s="82" t="s">
        <v>891</v>
      </c>
      <c r="B236" s="101" t="n">
        <v>46071</v>
      </c>
      <c r="C236" s="82" t="s">
        <v>470</v>
      </c>
      <c r="D236" s="82" t="s">
        <v>461</v>
      </c>
      <c r="E236" s="91" t="n">
        <v>1135000</v>
      </c>
      <c r="F236" s="82" t="s">
        <v>892</v>
      </c>
      <c r="G236" s="82"/>
      <c r="H236" s="82"/>
      <c r="I236" s="82" t="s">
        <v>250</v>
      </c>
      <c r="J236" s="102" t="n">
        <f aca="false">IF(B236="","",MONTH(B236))</f>
        <v>2</v>
      </c>
      <c r="K236" s="102" t="n">
        <f aca="false">IF(B236="","",YEAR(B236))</f>
        <v>2026</v>
      </c>
      <c r="L236" s="102" t="str">
        <f aca="false">IF(N(E236)=0,"",IF(COUNTIFS(AK_NAMA,C236,AK_KAT,"KAS")+COUNTIFS(AK_NAMA,D236,AK_KAT,"KAS")&lt;&gt;1,"",IF(COUNTIFS(AK_NAMA,C236,AK_KAT,"KAS")=1,D236,C236)))</f>
        <v>Biaya Bahan Baku</v>
      </c>
      <c r="M236" s="103" t="n">
        <f aca="false">IF(L236="",0,IF(L236=D236,E236,-E236))</f>
        <v>-1135000</v>
      </c>
      <c r="N236" s="102" t="str">
        <f aca="false">IF(L236="","",IFERROR(INDEX(AK_BARIS,MATCH(L236,AK_NAMA,0)),"?"))</f>
        <v>OP3</v>
      </c>
      <c r="O236" s="102" t="str">
        <f aca="false">IF(C236="","",IFERROR(INDEX(AK_KEL,MATCH(C236,AK_NAMA,0)),"?"))</f>
        <v>BEBAN</v>
      </c>
      <c r="P236" s="102" t="str">
        <f aca="false">IF(D236="","",IFERROR(INDEX(AK_KEL,MATCH(D236,AK_NAMA,0)),"?"))</f>
        <v>ASET</v>
      </c>
      <c r="Q236" s="102" t="n">
        <f aca="false">N(Q235)+IF(AND(N(E236)&lt;&gt;0,K236=TAHUN,N(J236)&lt;=BLN,OR(C236=BB_AKUN,D236=BB_AKUN)),1,0)</f>
        <v>151</v>
      </c>
      <c r="R236" s="104" t="str">
        <f aca="false">IF(OR(C236&amp;D236="",N(E236)=0),"",IF(OR(O236="?",P236="?"),"⚠ akun tidak dikenal",IF(C236=D236,"⚠ debet = kredit","")))</f>
        <v/>
      </c>
    </row>
    <row r="237" customFormat="false" ht="15" hidden="false" customHeight="false" outlineLevel="0" collapsed="false">
      <c r="A237" s="82" t="s">
        <v>893</v>
      </c>
      <c r="B237" s="101" t="n">
        <v>46071</v>
      </c>
      <c r="C237" s="82" t="s">
        <v>524</v>
      </c>
      <c r="D237" s="82" t="s">
        <v>461</v>
      </c>
      <c r="E237" s="91" t="n">
        <v>150000</v>
      </c>
      <c r="F237" s="82" t="s">
        <v>894</v>
      </c>
      <c r="G237" s="82"/>
      <c r="H237" s="82"/>
      <c r="I237" s="82" t="s">
        <v>250</v>
      </c>
      <c r="J237" s="102" t="n">
        <f aca="false">IF(B237="","",MONTH(B237))</f>
        <v>2</v>
      </c>
      <c r="K237" s="102" t="n">
        <f aca="false">IF(B237="","",YEAR(B237))</f>
        <v>2026</v>
      </c>
      <c r="L237" s="102" t="str">
        <f aca="false">IF(N(E237)=0,"",IF(COUNTIFS(AK_NAMA,C237,AK_KAT,"KAS")+COUNTIFS(AK_NAMA,D237,AK_KAT,"KAS")&lt;&gt;1,"",IF(COUNTIFS(AK_NAMA,C237,AK_KAT,"KAS")=1,D237,C237)))</f>
        <v>Biaya Lainnya</v>
      </c>
      <c r="M237" s="103" t="n">
        <f aca="false">IF(L237="",0,IF(L237=D237,E237,-E237))</f>
        <v>-150000</v>
      </c>
      <c r="N237" s="102" t="str">
        <f aca="false">IF(L237="","",IFERROR(INDEX(AK_BARIS,MATCH(L237,AK_NAMA,0)),"?"))</f>
        <v>OP2</v>
      </c>
      <c r="O237" s="102" t="str">
        <f aca="false">IF(C237="","",IFERROR(INDEX(AK_KEL,MATCH(C237,AK_NAMA,0)),"?"))</f>
        <v>BEBAN</v>
      </c>
      <c r="P237" s="102" t="str">
        <f aca="false">IF(D237="","",IFERROR(INDEX(AK_KEL,MATCH(D237,AK_NAMA,0)),"?"))</f>
        <v>ASET</v>
      </c>
      <c r="Q237" s="102" t="n">
        <f aca="false">N(Q236)+IF(AND(N(E237)&lt;&gt;0,K237=TAHUN,N(J237)&lt;=BLN,OR(C237=BB_AKUN,D237=BB_AKUN)),1,0)</f>
        <v>152</v>
      </c>
      <c r="R237" s="104" t="str">
        <f aca="false">IF(OR(C237&amp;D237="",N(E237)=0),"",IF(OR(O237="?",P237="?"),"⚠ akun tidak dikenal",IF(C237=D237,"⚠ debet = kredit","")))</f>
        <v/>
      </c>
    </row>
    <row r="238" customFormat="false" ht="15" hidden="false" customHeight="false" outlineLevel="0" collapsed="false">
      <c r="A238" s="82" t="s">
        <v>895</v>
      </c>
      <c r="B238" s="101" t="n">
        <v>46071</v>
      </c>
      <c r="C238" s="82" t="s">
        <v>669</v>
      </c>
      <c r="D238" s="82" t="s">
        <v>461</v>
      </c>
      <c r="E238" s="91" t="n">
        <v>287490</v>
      </c>
      <c r="F238" s="82" t="s">
        <v>896</v>
      </c>
      <c r="G238" s="82"/>
      <c r="H238" s="82"/>
      <c r="I238" s="82" t="s">
        <v>250</v>
      </c>
      <c r="J238" s="102" t="n">
        <f aca="false">IF(B238="","",MONTH(B238))</f>
        <v>2</v>
      </c>
      <c r="K238" s="102" t="n">
        <f aca="false">IF(B238="","",YEAR(B238))</f>
        <v>2026</v>
      </c>
      <c r="L238" s="102" t="str">
        <f aca="false">IF(N(E238)=0,"",IF(COUNTIFS(AK_NAMA,C238,AK_KAT,"KAS")+COUNTIFS(AK_NAMA,D238,AK_KAT,"KAS")&lt;&gt;1,"",IF(COUNTIFS(AK_NAMA,C238,AK_KAT,"KAS")=1,D238,C238)))</f>
        <v>Biaya Tagihan Bulanan</v>
      </c>
      <c r="M238" s="103" t="n">
        <f aca="false">IF(L238="",0,IF(L238=D238,E238,-E238))</f>
        <v>-287490</v>
      </c>
      <c r="N238" s="102" t="str">
        <f aca="false">IF(L238="","",IFERROR(INDEX(AK_BARIS,MATCH(L238,AK_NAMA,0)),"?"))</f>
        <v>OP6</v>
      </c>
      <c r="O238" s="102" t="str">
        <f aca="false">IF(C238="","",IFERROR(INDEX(AK_KEL,MATCH(C238,AK_NAMA,0)),"?"))</f>
        <v>BEBAN</v>
      </c>
      <c r="P238" s="102" t="str">
        <f aca="false">IF(D238="","",IFERROR(INDEX(AK_KEL,MATCH(D238,AK_NAMA,0)),"?"))</f>
        <v>ASET</v>
      </c>
      <c r="Q238" s="102" t="n">
        <f aca="false">N(Q237)+IF(AND(N(E238)&lt;&gt;0,K238=TAHUN,N(J238)&lt;=BLN,OR(C238=BB_AKUN,D238=BB_AKUN)),1,0)</f>
        <v>153</v>
      </c>
      <c r="R238" s="104" t="str">
        <f aca="false">IF(OR(C238&amp;D238="",N(E238)=0),"",IF(OR(O238="?",P238="?"),"⚠ akun tidak dikenal",IF(C238=D238,"⚠ debet = kredit","")))</f>
        <v/>
      </c>
    </row>
    <row r="239" customFormat="false" ht="15" hidden="false" customHeight="false" outlineLevel="0" collapsed="false">
      <c r="A239" s="82" t="s">
        <v>897</v>
      </c>
      <c r="B239" s="101" t="n">
        <v>46071</v>
      </c>
      <c r="C239" s="82" t="s">
        <v>470</v>
      </c>
      <c r="D239" s="82" t="s">
        <v>461</v>
      </c>
      <c r="E239" s="91" t="n">
        <v>382000</v>
      </c>
      <c r="F239" s="82" t="s">
        <v>898</v>
      </c>
      <c r="G239" s="82"/>
      <c r="H239" s="82"/>
      <c r="I239" s="82" t="s">
        <v>250</v>
      </c>
      <c r="J239" s="102" t="n">
        <f aca="false">IF(B239="","",MONTH(B239))</f>
        <v>2</v>
      </c>
      <c r="K239" s="102" t="n">
        <f aca="false">IF(B239="","",YEAR(B239))</f>
        <v>2026</v>
      </c>
      <c r="L239" s="102" t="str">
        <f aca="false">IF(N(E239)=0,"",IF(COUNTIFS(AK_NAMA,C239,AK_KAT,"KAS")+COUNTIFS(AK_NAMA,D239,AK_KAT,"KAS")&lt;&gt;1,"",IF(COUNTIFS(AK_NAMA,C239,AK_KAT,"KAS")=1,D239,C239)))</f>
        <v>Biaya Bahan Baku</v>
      </c>
      <c r="M239" s="103" t="n">
        <f aca="false">IF(L239="",0,IF(L239=D239,E239,-E239))</f>
        <v>-382000</v>
      </c>
      <c r="N239" s="102" t="str">
        <f aca="false">IF(L239="","",IFERROR(INDEX(AK_BARIS,MATCH(L239,AK_NAMA,0)),"?"))</f>
        <v>OP3</v>
      </c>
      <c r="O239" s="102" t="str">
        <f aca="false">IF(C239="","",IFERROR(INDEX(AK_KEL,MATCH(C239,AK_NAMA,0)),"?"))</f>
        <v>BEBAN</v>
      </c>
      <c r="P239" s="102" t="str">
        <f aca="false">IF(D239="","",IFERROR(INDEX(AK_KEL,MATCH(D239,AK_NAMA,0)),"?"))</f>
        <v>ASET</v>
      </c>
      <c r="Q239" s="102" t="n">
        <f aca="false">N(Q238)+IF(AND(N(E239)&lt;&gt;0,K239=TAHUN,N(J239)&lt;=BLN,OR(C239=BB_AKUN,D239=BB_AKUN)),1,0)</f>
        <v>154</v>
      </c>
      <c r="R239" s="104" t="str">
        <f aca="false">IF(OR(C239&amp;D239="",N(E239)=0),"",IF(OR(O239="?",P239="?"),"⚠ akun tidak dikenal",IF(C239=D239,"⚠ debet = kredit","")))</f>
        <v/>
      </c>
    </row>
    <row r="240" customFormat="false" ht="15" hidden="false" customHeight="false" outlineLevel="0" collapsed="false">
      <c r="A240" s="82" t="s">
        <v>899</v>
      </c>
      <c r="B240" s="101" t="n">
        <v>46071</v>
      </c>
      <c r="C240" s="82" t="s">
        <v>470</v>
      </c>
      <c r="D240" s="82" t="s">
        <v>461</v>
      </c>
      <c r="E240" s="91" t="n">
        <v>600000</v>
      </c>
      <c r="F240" s="82" t="s">
        <v>900</v>
      </c>
      <c r="G240" s="82"/>
      <c r="H240" s="82"/>
      <c r="I240" s="82" t="s">
        <v>250</v>
      </c>
      <c r="J240" s="102" t="n">
        <f aca="false">IF(B240="","",MONTH(B240))</f>
        <v>2</v>
      </c>
      <c r="K240" s="102" t="n">
        <f aca="false">IF(B240="","",YEAR(B240))</f>
        <v>2026</v>
      </c>
      <c r="L240" s="102" t="str">
        <f aca="false">IF(N(E240)=0,"",IF(COUNTIFS(AK_NAMA,C240,AK_KAT,"KAS")+COUNTIFS(AK_NAMA,D240,AK_KAT,"KAS")&lt;&gt;1,"",IF(COUNTIFS(AK_NAMA,C240,AK_KAT,"KAS")=1,D240,C240)))</f>
        <v>Biaya Bahan Baku</v>
      </c>
      <c r="M240" s="103" t="n">
        <f aca="false">IF(L240="",0,IF(L240=D240,E240,-E240))</f>
        <v>-600000</v>
      </c>
      <c r="N240" s="102" t="str">
        <f aca="false">IF(L240="","",IFERROR(INDEX(AK_BARIS,MATCH(L240,AK_NAMA,0)),"?"))</f>
        <v>OP3</v>
      </c>
      <c r="O240" s="102" t="str">
        <f aca="false">IF(C240="","",IFERROR(INDEX(AK_KEL,MATCH(C240,AK_NAMA,0)),"?"))</f>
        <v>BEBAN</v>
      </c>
      <c r="P240" s="102" t="str">
        <f aca="false">IF(D240="","",IFERROR(INDEX(AK_KEL,MATCH(D240,AK_NAMA,0)),"?"))</f>
        <v>ASET</v>
      </c>
      <c r="Q240" s="102" t="n">
        <f aca="false">N(Q239)+IF(AND(N(E240)&lt;&gt;0,K240=TAHUN,N(J240)&lt;=BLN,OR(C240=BB_AKUN,D240=BB_AKUN)),1,0)</f>
        <v>155</v>
      </c>
      <c r="R240" s="104" t="str">
        <f aca="false">IF(OR(C240&amp;D240="",N(E240)=0),"",IF(OR(O240="?",P240="?"),"⚠ akun tidak dikenal",IF(C240=D240,"⚠ debet = kredit","")))</f>
        <v/>
      </c>
    </row>
    <row r="241" customFormat="false" ht="15" hidden="false" customHeight="false" outlineLevel="0" collapsed="false">
      <c r="A241" s="82" t="s">
        <v>901</v>
      </c>
      <c r="B241" s="101" t="n">
        <v>46072</v>
      </c>
      <c r="C241" s="82" t="s">
        <v>470</v>
      </c>
      <c r="D241" s="82" t="s">
        <v>461</v>
      </c>
      <c r="E241" s="91" t="n">
        <v>120000</v>
      </c>
      <c r="F241" s="82" t="s">
        <v>902</v>
      </c>
      <c r="G241" s="82"/>
      <c r="H241" s="82"/>
      <c r="I241" s="82" t="s">
        <v>250</v>
      </c>
      <c r="J241" s="102" t="n">
        <f aca="false">IF(B241="","",MONTH(B241))</f>
        <v>2</v>
      </c>
      <c r="K241" s="102" t="n">
        <f aca="false">IF(B241="","",YEAR(B241))</f>
        <v>2026</v>
      </c>
      <c r="L241" s="102" t="str">
        <f aca="false">IF(N(E241)=0,"",IF(COUNTIFS(AK_NAMA,C241,AK_KAT,"KAS")+COUNTIFS(AK_NAMA,D241,AK_KAT,"KAS")&lt;&gt;1,"",IF(COUNTIFS(AK_NAMA,C241,AK_KAT,"KAS")=1,D241,C241)))</f>
        <v>Biaya Bahan Baku</v>
      </c>
      <c r="M241" s="103" t="n">
        <f aca="false">IF(L241="",0,IF(L241=D241,E241,-E241))</f>
        <v>-120000</v>
      </c>
      <c r="N241" s="102" t="str">
        <f aca="false">IF(L241="","",IFERROR(INDEX(AK_BARIS,MATCH(L241,AK_NAMA,0)),"?"))</f>
        <v>OP3</v>
      </c>
      <c r="O241" s="102" t="str">
        <f aca="false">IF(C241="","",IFERROR(INDEX(AK_KEL,MATCH(C241,AK_NAMA,0)),"?"))</f>
        <v>BEBAN</v>
      </c>
      <c r="P241" s="102" t="str">
        <f aca="false">IF(D241="","",IFERROR(INDEX(AK_KEL,MATCH(D241,AK_NAMA,0)),"?"))</f>
        <v>ASET</v>
      </c>
      <c r="Q241" s="102" t="n">
        <f aca="false">N(Q240)+IF(AND(N(E241)&lt;&gt;0,K241=TAHUN,N(J241)&lt;=BLN,OR(C241=BB_AKUN,D241=BB_AKUN)),1,0)</f>
        <v>156</v>
      </c>
      <c r="R241" s="104" t="str">
        <f aca="false">IF(OR(C241&amp;D241="",N(E241)=0),"",IF(OR(O241="?",P241="?"),"⚠ akun tidak dikenal",IF(C241=D241,"⚠ debet = kredit","")))</f>
        <v/>
      </c>
    </row>
    <row r="242" customFormat="false" ht="15" hidden="false" customHeight="false" outlineLevel="0" collapsed="false">
      <c r="A242" s="82" t="s">
        <v>903</v>
      </c>
      <c r="B242" s="101" t="n">
        <v>46073</v>
      </c>
      <c r="C242" s="82" t="s">
        <v>470</v>
      </c>
      <c r="D242" s="82" t="s">
        <v>461</v>
      </c>
      <c r="E242" s="91" t="n">
        <v>84000</v>
      </c>
      <c r="F242" s="82" t="s">
        <v>904</v>
      </c>
      <c r="G242" s="82"/>
      <c r="H242" s="82"/>
      <c r="I242" s="82" t="s">
        <v>250</v>
      </c>
      <c r="J242" s="102" t="n">
        <f aca="false">IF(B242="","",MONTH(B242))</f>
        <v>2</v>
      </c>
      <c r="K242" s="102" t="n">
        <f aca="false">IF(B242="","",YEAR(B242))</f>
        <v>2026</v>
      </c>
      <c r="L242" s="102" t="str">
        <f aca="false">IF(N(E242)=0,"",IF(COUNTIFS(AK_NAMA,C242,AK_KAT,"KAS")+COUNTIFS(AK_NAMA,D242,AK_KAT,"KAS")&lt;&gt;1,"",IF(COUNTIFS(AK_NAMA,C242,AK_KAT,"KAS")=1,D242,C242)))</f>
        <v>Biaya Bahan Baku</v>
      </c>
      <c r="M242" s="103" t="n">
        <f aca="false">IF(L242="",0,IF(L242=D242,E242,-E242))</f>
        <v>-84000</v>
      </c>
      <c r="N242" s="102" t="str">
        <f aca="false">IF(L242="","",IFERROR(INDEX(AK_BARIS,MATCH(L242,AK_NAMA,0)),"?"))</f>
        <v>OP3</v>
      </c>
      <c r="O242" s="102" t="str">
        <f aca="false">IF(C242="","",IFERROR(INDEX(AK_KEL,MATCH(C242,AK_NAMA,0)),"?"))</f>
        <v>BEBAN</v>
      </c>
      <c r="P242" s="102" t="str">
        <f aca="false">IF(D242="","",IFERROR(INDEX(AK_KEL,MATCH(D242,AK_NAMA,0)),"?"))</f>
        <v>ASET</v>
      </c>
      <c r="Q242" s="102" t="n">
        <f aca="false">N(Q241)+IF(AND(N(E242)&lt;&gt;0,K242=TAHUN,N(J242)&lt;=BLN,OR(C242=BB_AKUN,D242=BB_AKUN)),1,0)</f>
        <v>157</v>
      </c>
      <c r="R242" s="104" t="str">
        <f aca="false">IF(OR(C242&amp;D242="",N(E242)=0),"",IF(OR(O242="?",P242="?"),"⚠ akun tidak dikenal",IF(C242=D242,"⚠ debet = kredit","")))</f>
        <v/>
      </c>
    </row>
    <row r="243" customFormat="false" ht="15" hidden="false" customHeight="false" outlineLevel="0" collapsed="false">
      <c r="A243" s="82" t="s">
        <v>905</v>
      </c>
      <c r="B243" s="101" t="n">
        <v>46073</v>
      </c>
      <c r="C243" s="82" t="s">
        <v>486</v>
      </c>
      <c r="D243" s="82" t="s">
        <v>475</v>
      </c>
      <c r="E243" s="91" t="n">
        <v>500000</v>
      </c>
      <c r="F243" s="82" t="s">
        <v>622</v>
      </c>
      <c r="G243" s="82"/>
      <c r="H243" s="82"/>
      <c r="I243" s="82" t="s">
        <v>250</v>
      </c>
      <c r="J243" s="102" t="n">
        <f aca="false">IF(B243="","",MONTH(B243))</f>
        <v>2</v>
      </c>
      <c r="K243" s="102" t="n">
        <f aca="false">IF(B243="","",YEAR(B243))</f>
        <v>2026</v>
      </c>
      <c r="L243" s="102" t="str">
        <f aca="false">IF(N(E243)=0,"",IF(COUNTIFS(AK_NAMA,C243,AK_KAT,"KAS")+COUNTIFS(AK_NAMA,D243,AK_KAT,"KAS")&lt;&gt;1,"",IF(COUNTIFS(AK_NAMA,C243,AK_KAT,"KAS")=1,D243,C243)))</f>
        <v/>
      </c>
      <c r="M243" s="103" t="n">
        <f aca="false">IF(L243="",0,IF(L243=D243,E243,-E243))</f>
        <v>0</v>
      </c>
      <c r="N243" s="102" t="str">
        <f aca="false">IF(L243="","",IFERROR(INDEX(AK_BARIS,MATCH(L243,AK_NAMA,0)),"?"))</f>
        <v/>
      </c>
      <c r="O243" s="102" t="str">
        <f aca="false">IF(C243="","",IFERROR(INDEX(AK_KEL,MATCH(C243,AK_NAMA,0)),"?"))</f>
        <v>ASET</v>
      </c>
      <c r="P243" s="102" t="str">
        <f aca="false">IF(D243="","",IFERROR(INDEX(AK_KEL,MATCH(D243,AK_NAMA,0)),"?"))</f>
        <v>ASET</v>
      </c>
      <c r="Q243" s="102" t="n">
        <f aca="false">N(Q242)+IF(AND(N(E243)&lt;&gt;0,K243=TAHUN,N(J243)&lt;=BLN,OR(C243=BB_AKUN,D243=BB_AKUN)),1,0)</f>
        <v>157</v>
      </c>
      <c r="R243" s="104" t="str">
        <f aca="false">IF(OR(C243&amp;D243="",N(E243)=0),"",IF(OR(O243="?",P243="?"),"⚠ akun tidak dikenal",IF(C243=D243,"⚠ debet = kredit","")))</f>
        <v/>
      </c>
    </row>
    <row r="244" customFormat="false" ht="15" hidden="false" customHeight="false" outlineLevel="0" collapsed="false">
      <c r="A244" s="82" t="s">
        <v>906</v>
      </c>
      <c r="B244" s="101" t="n">
        <v>46073</v>
      </c>
      <c r="C244" s="82" t="s">
        <v>524</v>
      </c>
      <c r="D244" s="82" t="s">
        <v>461</v>
      </c>
      <c r="E244" s="91" t="n">
        <v>325</v>
      </c>
      <c r="F244" s="82" t="s">
        <v>525</v>
      </c>
      <c r="G244" s="82"/>
      <c r="H244" s="82"/>
      <c r="I244" s="82" t="s">
        <v>250</v>
      </c>
      <c r="J244" s="102" t="n">
        <f aca="false">IF(B244="","",MONTH(B244))</f>
        <v>2</v>
      </c>
      <c r="K244" s="102" t="n">
        <f aca="false">IF(B244="","",YEAR(B244))</f>
        <v>2026</v>
      </c>
      <c r="L244" s="102" t="str">
        <f aca="false">IF(N(E244)=0,"",IF(COUNTIFS(AK_NAMA,C244,AK_KAT,"KAS")+COUNTIFS(AK_NAMA,D244,AK_KAT,"KAS")&lt;&gt;1,"",IF(COUNTIFS(AK_NAMA,C244,AK_KAT,"KAS")=1,D244,C244)))</f>
        <v>Biaya Lainnya</v>
      </c>
      <c r="M244" s="103" t="n">
        <f aca="false">IF(L244="",0,IF(L244=D244,E244,-E244))</f>
        <v>-325</v>
      </c>
      <c r="N244" s="102" t="str">
        <f aca="false">IF(L244="","",IFERROR(INDEX(AK_BARIS,MATCH(L244,AK_NAMA,0)),"?"))</f>
        <v>OP2</v>
      </c>
      <c r="O244" s="102" t="str">
        <f aca="false">IF(C244="","",IFERROR(INDEX(AK_KEL,MATCH(C244,AK_NAMA,0)),"?"))</f>
        <v>BEBAN</v>
      </c>
      <c r="P244" s="102" t="str">
        <f aca="false">IF(D244="","",IFERROR(INDEX(AK_KEL,MATCH(D244,AK_NAMA,0)),"?"))</f>
        <v>ASET</v>
      </c>
      <c r="Q244" s="102" t="n">
        <f aca="false">N(Q243)+IF(AND(N(E244)&lt;&gt;0,K244=TAHUN,N(J244)&lt;=BLN,OR(C244=BB_AKUN,D244=BB_AKUN)),1,0)</f>
        <v>158</v>
      </c>
      <c r="R244" s="104" t="str">
        <f aca="false">IF(OR(C244&amp;D244="",N(E244)=0),"",IF(OR(O244="?",P244="?"),"⚠ akun tidak dikenal",IF(C244=D244,"⚠ debet = kredit","")))</f>
        <v/>
      </c>
    </row>
    <row r="245" customFormat="false" ht="15" hidden="false" customHeight="false" outlineLevel="0" collapsed="false">
      <c r="A245" s="82" t="s">
        <v>907</v>
      </c>
      <c r="B245" s="101" t="n">
        <v>46073</v>
      </c>
      <c r="C245" s="82" t="s">
        <v>470</v>
      </c>
      <c r="D245" s="82" t="s">
        <v>461</v>
      </c>
      <c r="E245" s="91" t="n">
        <v>190000</v>
      </c>
      <c r="F245" s="82" t="s">
        <v>877</v>
      </c>
      <c r="G245" s="82"/>
      <c r="H245" s="82"/>
      <c r="I245" s="82" t="s">
        <v>250</v>
      </c>
      <c r="J245" s="102" t="n">
        <f aca="false">IF(B245="","",MONTH(B245))</f>
        <v>2</v>
      </c>
      <c r="K245" s="102" t="n">
        <f aca="false">IF(B245="","",YEAR(B245))</f>
        <v>2026</v>
      </c>
      <c r="L245" s="102" t="str">
        <f aca="false">IF(N(E245)=0,"",IF(COUNTIFS(AK_NAMA,C245,AK_KAT,"KAS")+COUNTIFS(AK_NAMA,D245,AK_KAT,"KAS")&lt;&gt;1,"",IF(COUNTIFS(AK_NAMA,C245,AK_KAT,"KAS")=1,D245,C245)))</f>
        <v>Biaya Bahan Baku</v>
      </c>
      <c r="M245" s="103" t="n">
        <f aca="false">IF(L245="",0,IF(L245=D245,E245,-E245))</f>
        <v>-190000</v>
      </c>
      <c r="N245" s="102" t="str">
        <f aca="false">IF(L245="","",IFERROR(INDEX(AK_BARIS,MATCH(L245,AK_NAMA,0)),"?"))</f>
        <v>OP3</v>
      </c>
      <c r="O245" s="102" t="str">
        <f aca="false">IF(C245="","",IFERROR(INDEX(AK_KEL,MATCH(C245,AK_NAMA,0)),"?"))</f>
        <v>BEBAN</v>
      </c>
      <c r="P245" s="102" t="str">
        <f aca="false">IF(D245="","",IFERROR(INDEX(AK_KEL,MATCH(D245,AK_NAMA,0)),"?"))</f>
        <v>ASET</v>
      </c>
      <c r="Q245" s="102" t="n">
        <f aca="false">N(Q244)+IF(AND(N(E245)&lt;&gt;0,K245=TAHUN,N(J245)&lt;=BLN,OR(C245=BB_AKUN,D245=BB_AKUN)),1,0)</f>
        <v>159</v>
      </c>
      <c r="R245" s="104" t="str">
        <f aca="false">IF(OR(C245&amp;D245="",N(E245)=0),"",IF(OR(O245="?",P245="?"),"⚠ akun tidak dikenal",IF(C245=D245,"⚠ debet = kredit","")))</f>
        <v/>
      </c>
    </row>
    <row r="246" customFormat="false" ht="15" hidden="false" customHeight="false" outlineLevel="0" collapsed="false">
      <c r="A246" s="82" t="s">
        <v>908</v>
      </c>
      <c r="B246" s="101" t="n">
        <v>46074</v>
      </c>
      <c r="C246" s="82" t="s">
        <v>524</v>
      </c>
      <c r="D246" s="82" t="s">
        <v>461</v>
      </c>
      <c r="E246" s="91" t="n">
        <v>10000</v>
      </c>
      <c r="F246" s="82" t="s">
        <v>616</v>
      </c>
      <c r="G246" s="82"/>
      <c r="H246" s="82"/>
      <c r="I246" s="82" t="s">
        <v>250</v>
      </c>
      <c r="J246" s="102" t="n">
        <f aca="false">IF(B246="","",MONTH(B246))</f>
        <v>2</v>
      </c>
      <c r="K246" s="102" t="n">
        <f aca="false">IF(B246="","",YEAR(B246))</f>
        <v>2026</v>
      </c>
      <c r="L246" s="102" t="str">
        <f aca="false">IF(N(E246)=0,"",IF(COUNTIFS(AK_NAMA,C246,AK_KAT,"KAS")+COUNTIFS(AK_NAMA,D246,AK_KAT,"KAS")&lt;&gt;1,"",IF(COUNTIFS(AK_NAMA,C246,AK_KAT,"KAS")=1,D246,C246)))</f>
        <v>Biaya Lainnya</v>
      </c>
      <c r="M246" s="103" t="n">
        <f aca="false">IF(L246="",0,IF(L246=D246,E246,-E246))</f>
        <v>-10000</v>
      </c>
      <c r="N246" s="102" t="str">
        <f aca="false">IF(L246="","",IFERROR(INDEX(AK_BARIS,MATCH(L246,AK_NAMA,0)),"?"))</f>
        <v>OP2</v>
      </c>
      <c r="O246" s="102" t="str">
        <f aca="false">IF(C246="","",IFERROR(INDEX(AK_KEL,MATCH(C246,AK_NAMA,0)),"?"))</f>
        <v>BEBAN</v>
      </c>
      <c r="P246" s="102" t="str">
        <f aca="false">IF(D246="","",IFERROR(INDEX(AK_KEL,MATCH(D246,AK_NAMA,0)),"?"))</f>
        <v>ASET</v>
      </c>
      <c r="Q246" s="102" t="n">
        <f aca="false">N(Q245)+IF(AND(N(E246)&lt;&gt;0,K246=TAHUN,N(J246)&lt;=BLN,OR(C246=BB_AKUN,D246=BB_AKUN)),1,0)</f>
        <v>160</v>
      </c>
      <c r="R246" s="104" t="str">
        <f aca="false">IF(OR(C246&amp;D246="",N(E246)=0),"",IF(OR(O246="?",P246="?"),"⚠ akun tidak dikenal",IF(C246=D246,"⚠ debet = kredit","")))</f>
        <v/>
      </c>
    </row>
    <row r="247" customFormat="false" ht="15" hidden="false" customHeight="false" outlineLevel="0" collapsed="false">
      <c r="A247" s="82" t="s">
        <v>909</v>
      </c>
      <c r="B247" s="101" t="n">
        <v>46074</v>
      </c>
      <c r="C247" s="82" t="s">
        <v>486</v>
      </c>
      <c r="D247" s="82" t="s">
        <v>461</v>
      </c>
      <c r="E247" s="91" t="n">
        <v>69300</v>
      </c>
      <c r="F247" s="82" t="s">
        <v>910</v>
      </c>
      <c r="G247" s="82"/>
      <c r="H247" s="82"/>
      <c r="I247" s="82" t="s">
        <v>250</v>
      </c>
      <c r="J247" s="102" t="n">
        <f aca="false">IF(B247="","",MONTH(B247))</f>
        <v>2</v>
      </c>
      <c r="K247" s="102" t="n">
        <f aca="false">IF(B247="","",YEAR(B247))</f>
        <v>2026</v>
      </c>
      <c r="L247" s="102" t="str">
        <f aca="false">IF(N(E247)=0,"",IF(COUNTIFS(AK_NAMA,C247,AK_KAT,"KAS")+COUNTIFS(AK_NAMA,D247,AK_KAT,"KAS")&lt;&gt;1,"",IF(COUNTIFS(AK_NAMA,C247,AK_KAT,"KAS")=1,D247,C247)))</f>
        <v/>
      </c>
      <c r="M247" s="103" t="n">
        <f aca="false">IF(L247="",0,IF(L247=D247,E247,-E247))</f>
        <v>0</v>
      </c>
      <c r="N247" s="102" t="str">
        <f aca="false">IF(L247="","",IFERROR(INDEX(AK_BARIS,MATCH(L247,AK_NAMA,0)),"?"))</f>
        <v/>
      </c>
      <c r="O247" s="102" t="str">
        <f aca="false">IF(C247="","",IFERROR(INDEX(AK_KEL,MATCH(C247,AK_NAMA,0)),"?"))</f>
        <v>ASET</v>
      </c>
      <c r="P247" s="102" t="str">
        <f aca="false">IF(D247="","",IFERROR(INDEX(AK_KEL,MATCH(D247,AK_NAMA,0)),"?"))</f>
        <v>ASET</v>
      </c>
      <c r="Q247" s="102" t="n">
        <f aca="false">N(Q246)+IF(AND(N(E247)&lt;&gt;0,K247=TAHUN,N(J247)&lt;=BLN,OR(C247=BB_AKUN,D247=BB_AKUN)),1,0)</f>
        <v>161</v>
      </c>
      <c r="R247" s="104" t="str">
        <f aca="false">IF(OR(C247&amp;D247="",N(E247)=0),"",IF(OR(O247="?",P247="?"),"⚠ akun tidak dikenal",IF(C247=D247,"⚠ debet = kredit","")))</f>
        <v/>
      </c>
    </row>
    <row r="248" customFormat="false" ht="15" hidden="false" customHeight="false" outlineLevel="0" collapsed="false">
      <c r="A248" s="82" t="s">
        <v>911</v>
      </c>
      <c r="B248" s="101" t="n">
        <v>46074</v>
      </c>
      <c r="C248" s="82" t="s">
        <v>524</v>
      </c>
      <c r="D248" s="82" t="s">
        <v>461</v>
      </c>
      <c r="E248" s="91" t="n">
        <v>325</v>
      </c>
      <c r="F248" s="82" t="s">
        <v>525</v>
      </c>
      <c r="G248" s="82"/>
      <c r="H248" s="82"/>
      <c r="I248" s="82" t="s">
        <v>250</v>
      </c>
      <c r="J248" s="102" t="n">
        <f aca="false">IF(B248="","",MONTH(B248))</f>
        <v>2</v>
      </c>
      <c r="K248" s="102" t="n">
        <f aca="false">IF(B248="","",YEAR(B248))</f>
        <v>2026</v>
      </c>
      <c r="L248" s="102" t="str">
        <f aca="false">IF(N(E248)=0,"",IF(COUNTIFS(AK_NAMA,C248,AK_KAT,"KAS")+COUNTIFS(AK_NAMA,D248,AK_KAT,"KAS")&lt;&gt;1,"",IF(COUNTIFS(AK_NAMA,C248,AK_KAT,"KAS")=1,D248,C248)))</f>
        <v>Biaya Lainnya</v>
      </c>
      <c r="M248" s="103" t="n">
        <f aca="false">IF(L248="",0,IF(L248=D248,E248,-E248))</f>
        <v>-325</v>
      </c>
      <c r="N248" s="102" t="str">
        <f aca="false">IF(L248="","",IFERROR(INDEX(AK_BARIS,MATCH(L248,AK_NAMA,0)),"?"))</f>
        <v>OP2</v>
      </c>
      <c r="O248" s="102" t="str">
        <f aca="false">IF(C248="","",IFERROR(INDEX(AK_KEL,MATCH(C248,AK_NAMA,0)),"?"))</f>
        <v>BEBAN</v>
      </c>
      <c r="P248" s="102" t="str">
        <f aca="false">IF(D248="","",IFERROR(INDEX(AK_KEL,MATCH(D248,AK_NAMA,0)),"?"))</f>
        <v>ASET</v>
      </c>
      <c r="Q248" s="102" t="n">
        <f aca="false">N(Q247)+IF(AND(N(E248)&lt;&gt;0,K248=TAHUN,N(J248)&lt;=BLN,OR(C248=BB_AKUN,D248=BB_AKUN)),1,0)</f>
        <v>162</v>
      </c>
      <c r="R248" s="104" t="str">
        <f aca="false">IF(OR(C248&amp;D248="",N(E248)=0),"",IF(OR(O248="?",P248="?"),"⚠ akun tidak dikenal",IF(C248=D248,"⚠ debet = kredit","")))</f>
        <v/>
      </c>
    </row>
    <row r="249" customFormat="false" ht="15" hidden="false" customHeight="false" outlineLevel="0" collapsed="false">
      <c r="A249" s="82" t="s">
        <v>912</v>
      </c>
      <c r="B249" s="101" t="n">
        <v>46074</v>
      </c>
      <c r="C249" s="82" t="s">
        <v>470</v>
      </c>
      <c r="D249" s="82" t="s">
        <v>461</v>
      </c>
      <c r="E249" s="91" t="n">
        <v>1845000</v>
      </c>
      <c r="F249" s="82" t="s">
        <v>913</v>
      </c>
      <c r="G249" s="82"/>
      <c r="H249" s="82"/>
      <c r="I249" s="82" t="s">
        <v>250</v>
      </c>
      <c r="J249" s="102" t="n">
        <f aca="false">IF(B249="","",MONTH(B249))</f>
        <v>2</v>
      </c>
      <c r="K249" s="102" t="n">
        <f aca="false">IF(B249="","",YEAR(B249))</f>
        <v>2026</v>
      </c>
      <c r="L249" s="102" t="str">
        <f aca="false">IF(N(E249)=0,"",IF(COUNTIFS(AK_NAMA,C249,AK_KAT,"KAS")+COUNTIFS(AK_NAMA,D249,AK_KAT,"KAS")&lt;&gt;1,"",IF(COUNTIFS(AK_NAMA,C249,AK_KAT,"KAS")=1,D249,C249)))</f>
        <v>Biaya Bahan Baku</v>
      </c>
      <c r="M249" s="103" t="n">
        <f aca="false">IF(L249="",0,IF(L249=D249,E249,-E249))</f>
        <v>-1845000</v>
      </c>
      <c r="N249" s="102" t="str">
        <f aca="false">IF(L249="","",IFERROR(INDEX(AK_BARIS,MATCH(L249,AK_NAMA,0)),"?"))</f>
        <v>OP3</v>
      </c>
      <c r="O249" s="102" t="str">
        <f aca="false">IF(C249="","",IFERROR(INDEX(AK_KEL,MATCH(C249,AK_NAMA,0)),"?"))</f>
        <v>BEBAN</v>
      </c>
      <c r="P249" s="102" t="str">
        <f aca="false">IF(D249="","",IFERROR(INDEX(AK_KEL,MATCH(D249,AK_NAMA,0)),"?"))</f>
        <v>ASET</v>
      </c>
      <c r="Q249" s="102" t="n">
        <f aca="false">N(Q248)+IF(AND(N(E249)&lt;&gt;0,K249=TAHUN,N(J249)&lt;=BLN,OR(C249=BB_AKUN,D249=BB_AKUN)),1,0)</f>
        <v>163</v>
      </c>
      <c r="R249" s="104" t="str">
        <f aca="false">IF(OR(C249&amp;D249="",N(E249)=0),"",IF(OR(O249="?",P249="?"),"⚠ akun tidak dikenal",IF(C249=D249,"⚠ debet = kredit","")))</f>
        <v/>
      </c>
    </row>
    <row r="250" customFormat="false" ht="15" hidden="false" customHeight="false" outlineLevel="0" collapsed="false">
      <c r="A250" s="82" t="s">
        <v>914</v>
      </c>
      <c r="B250" s="101" t="n">
        <v>46074</v>
      </c>
      <c r="C250" s="82" t="s">
        <v>524</v>
      </c>
      <c r="D250" s="82" t="s">
        <v>461</v>
      </c>
      <c r="E250" s="91" t="n">
        <v>325</v>
      </c>
      <c r="F250" s="82" t="s">
        <v>525</v>
      </c>
      <c r="G250" s="82"/>
      <c r="H250" s="82"/>
      <c r="I250" s="82" t="s">
        <v>250</v>
      </c>
      <c r="J250" s="102" t="n">
        <f aca="false">IF(B250="","",MONTH(B250))</f>
        <v>2</v>
      </c>
      <c r="K250" s="102" t="n">
        <f aca="false">IF(B250="","",YEAR(B250))</f>
        <v>2026</v>
      </c>
      <c r="L250" s="102" t="str">
        <f aca="false">IF(N(E250)=0,"",IF(COUNTIFS(AK_NAMA,C250,AK_KAT,"KAS")+COUNTIFS(AK_NAMA,D250,AK_KAT,"KAS")&lt;&gt;1,"",IF(COUNTIFS(AK_NAMA,C250,AK_KAT,"KAS")=1,D250,C250)))</f>
        <v>Biaya Lainnya</v>
      </c>
      <c r="M250" s="103" t="n">
        <f aca="false">IF(L250="",0,IF(L250=D250,E250,-E250))</f>
        <v>-325</v>
      </c>
      <c r="N250" s="102" t="str">
        <f aca="false">IF(L250="","",IFERROR(INDEX(AK_BARIS,MATCH(L250,AK_NAMA,0)),"?"))</f>
        <v>OP2</v>
      </c>
      <c r="O250" s="102" t="str">
        <f aca="false">IF(C250="","",IFERROR(INDEX(AK_KEL,MATCH(C250,AK_NAMA,0)),"?"))</f>
        <v>BEBAN</v>
      </c>
      <c r="P250" s="102" t="str">
        <f aca="false">IF(D250="","",IFERROR(INDEX(AK_KEL,MATCH(D250,AK_NAMA,0)),"?"))</f>
        <v>ASET</v>
      </c>
      <c r="Q250" s="102" t="n">
        <f aca="false">N(Q249)+IF(AND(N(E250)&lt;&gt;0,K250=TAHUN,N(J250)&lt;=BLN,OR(C250=BB_AKUN,D250=BB_AKUN)),1,0)</f>
        <v>164</v>
      </c>
      <c r="R250" s="104" t="str">
        <f aca="false">IF(OR(C250&amp;D250="",N(E250)=0),"",IF(OR(O250="?",P250="?"),"⚠ akun tidak dikenal",IF(C250=D250,"⚠ debet = kredit","")))</f>
        <v/>
      </c>
    </row>
    <row r="251" customFormat="false" ht="15" hidden="false" customHeight="false" outlineLevel="0" collapsed="false">
      <c r="A251" s="82" t="s">
        <v>915</v>
      </c>
      <c r="B251" s="101" t="n">
        <v>46074</v>
      </c>
      <c r="C251" s="82" t="s">
        <v>470</v>
      </c>
      <c r="D251" s="82" t="s">
        <v>461</v>
      </c>
      <c r="E251" s="91" t="n">
        <v>1339000</v>
      </c>
      <c r="F251" s="82" t="s">
        <v>916</v>
      </c>
      <c r="G251" s="82"/>
      <c r="H251" s="82"/>
      <c r="I251" s="82" t="s">
        <v>250</v>
      </c>
      <c r="J251" s="102" t="n">
        <f aca="false">IF(B251="","",MONTH(B251))</f>
        <v>2</v>
      </c>
      <c r="K251" s="102" t="n">
        <f aca="false">IF(B251="","",YEAR(B251))</f>
        <v>2026</v>
      </c>
      <c r="L251" s="102" t="str">
        <f aca="false">IF(N(E251)=0,"",IF(COUNTIFS(AK_NAMA,C251,AK_KAT,"KAS")+COUNTIFS(AK_NAMA,D251,AK_KAT,"KAS")&lt;&gt;1,"",IF(COUNTIFS(AK_NAMA,C251,AK_KAT,"KAS")=1,D251,C251)))</f>
        <v>Biaya Bahan Baku</v>
      </c>
      <c r="M251" s="103" t="n">
        <f aca="false">IF(L251="",0,IF(L251=D251,E251,-E251))</f>
        <v>-1339000</v>
      </c>
      <c r="N251" s="102" t="str">
        <f aca="false">IF(L251="","",IFERROR(INDEX(AK_BARIS,MATCH(L251,AK_NAMA,0)),"?"))</f>
        <v>OP3</v>
      </c>
      <c r="O251" s="102" t="str">
        <f aca="false">IF(C251="","",IFERROR(INDEX(AK_KEL,MATCH(C251,AK_NAMA,0)),"?"))</f>
        <v>BEBAN</v>
      </c>
      <c r="P251" s="102" t="str">
        <f aca="false">IF(D251="","",IFERROR(INDEX(AK_KEL,MATCH(D251,AK_NAMA,0)),"?"))</f>
        <v>ASET</v>
      </c>
      <c r="Q251" s="102" t="n">
        <f aca="false">N(Q250)+IF(AND(N(E251)&lt;&gt;0,K251=TAHUN,N(J251)&lt;=BLN,OR(C251=BB_AKUN,D251=BB_AKUN)),1,0)</f>
        <v>165</v>
      </c>
      <c r="R251" s="104" t="str">
        <f aca="false">IF(OR(C251&amp;D251="",N(E251)=0),"",IF(OR(O251="?",P251="?"),"⚠ akun tidak dikenal",IF(C251=D251,"⚠ debet = kredit","")))</f>
        <v/>
      </c>
    </row>
    <row r="252" customFormat="false" ht="15" hidden="false" customHeight="false" outlineLevel="0" collapsed="false">
      <c r="A252" s="82" t="s">
        <v>917</v>
      </c>
      <c r="B252" s="101" t="n">
        <v>46074</v>
      </c>
      <c r="C252" s="82" t="s">
        <v>470</v>
      </c>
      <c r="D252" s="82" t="s">
        <v>461</v>
      </c>
      <c r="E252" s="91" t="n">
        <v>841000</v>
      </c>
      <c r="F252" s="82" t="s">
        <v>918</v>
      </c>
      <c r="G252" s="82"/>
      <c r="H252" s="82"/>
      <c r="I252" s="82" t="s">
        <v>250</v>
      </c>
      <c r="J252" s="102" t="n">
        <f aca="false">IF(B252="","",MONTH(B252))</f>
        <v>2</v>
      </c>
      <c r="K252" s="102" t="n">
        <f aca="false">IF(B252="","",YEAR(B252))</f>
        <v>2026</v>
      </c>
      <c r="L252" s="102" t="str">
        <f aca="false">IF(N(E252)=0,"",IF(COUNTIFS(AK_NAMA,C252,AK_KAT,"KAS")+COUNTIFS(AK_NAMA,D252,AK_KAT,"KAS")&lt;&gt;1,"",IF(COUNTIFS(AK_NAMA,C252,AK_KAT,"KAS")=1,D252,C252)))</f>
        <v>Biaya Bahan Baku</v>
      </c>
      <c r="M252" s="103" t="n">
        <f aca="false">IF(L252="",0,IF(L252=D252,E252,-E252))</f>
        <v>-841000</v>
      </c>
      <c r="N252" s="102" t="str">
        <f aca="false">IF(L252="","",IFERROR(INDEX(AK_BARIS,MATCH(L252,AK_NAMA,0)),"?"))</f>
        <v>OP3</v>
      </c>
      <c r="O252" s="102" t="str">
        <f aca="false">IF(C252="","",IFERROR(INDEX(AK_KEL,MATCH(C252,AK_NAMA,0)),"?"))</f>
        <v>BEBAN</v>
      </c>
      <c r="P252" s="102" t="str">
        <f aca="false">IF(D252="","",IFERROR(INDEX(AK_KEL,MATCH(D252,AK_NAMA,0)),"?"))</f>
        <v>ASET</v>
      </c>
      <c r="Q252" s="102" t="n">
        <f aca="false">N(Q251)+IF(AND(N(E252)&lt;&gt;0,K252=TAHUN,N(J252)&lt;=BLN,OR(C252=BB_AKUN,D252=BB_AKUN)),1,0)</f>
        <v>166</v>
      </c>
      <c r="R252" s="104" t="str">
        <f aca="false">IF(OR(C252&amp;D252="",N(E252)=0),"",IF(OR(O252="?",P252="?"),"⚠ akun tidak dikenal",IF(C252=D252,"⚠ debet = kredit","")))</f>
        <v/>
      </c>
    </row>
    <row r="253" customFormat="false" ht="15" hidden="false" customHeight="false" outlineLevel="0" collapsed="false">
      <c r="A253" s="82" t="s">
        <v>919</v>
      </c>
      <c r="B253" s="101" t="n">
        <v>46074</v>
      </c>
      <c r="C253" s="82" t="s">
        <v>470</v>
      </c>
      <c r="D253" s="82" t="s">
        <v>461</v>
      </c>
      <c r="E253" s="91" t="n">
        <v>1945000</v>
      </c>
      <c r="F253" s="82" t="s">
        <v>920</v>
      </c>
      <c r="G253" s="82"/>
      <c r="H253" s="82"/>
      <c r="I253" s="82" t="s">
        <v>250</v>
      </c>
      <c r="J253" s="102" t="n">
        <f aca="false">IF(B253="","",MONTH(B253))</f>
        <v>2</v>
      </c>
      <c r="K253" s="102" t="n">
        <f aca="false">IF(B253="","",YEAR(B253))</f>
        <v>2026</v>
      </c>
      <c r="L253" s="102" t="str">
        <f aca="false">IF(N(E253)=0,"",IF(COUNTIFS(AK_NAMA,C253,AK_KAT,"KAS")+COUNTIFS(AK_NAMA,D253,AK_KAT,"KAS")&lt;&gt;1,"",IF(COUNTIFS(AK_NAMA,C253,AK_KAT,"KAS")=1,D253,C253)))</f>
        <v>Biaya Bahan Baku</v>
      </c>
      <c r="M253" s="103" t="n">
        <f aca="false">IF(L253="",0,IF(L253=D253,E253,-E253))</f>
        <v>-1945000</v>
      </c>
      <c r="N253" s="102" t="str">
        <f aca="false">IF(L253="","",IFERROR(INDEX(AK_BARIS,MATCH(L253,AK_NAMA,0)),"?"))</f>
        <v>OP3</v>
      </c>
      <c r="O253" s="102" t="str">
        <f aca="false">IF(C253="","",IFERROR(INDEX(AK_KEL,MATCH(C253,AK_NAMA,0)),"?"))</f>
        <v>BEBAN</v>
      </c>
      <c r="P253" s="102" t="str">
        <f aca="false">IF(D253="","",IFERROR(INDEX(AK_KEL,MATCH(D253,AK_NAMA,0)),"?"))</f>
        <v>ASET</v>
      </c>
      <c r="Q253" s="102" t="n">
        <f aca="false">N(Q252)+IF(AND(N(E253)&lt;&gt;0,K253=TAHUN,N(J253)&lt;=BLN,OR(C253=BB_AKUN,D253=BB_AKUN)),1,0)</f>
        <v>167</v>
      </c>
      <c r="R253" s="104" t="str">
        <f aca="false">IF(OR(C253&amp;D253="",N(E253)=0),"",IF(OR(O253="?",P253="?"),"⚠ akun tidak dikenal",IF(C253=D253,"⚠ debet = kredit","")))</f>
        <v/>
      </c>
    </row>
    <row r="254" customFormat="false" ht="15" hidden="false" customHeight="false" outlineLevel="0" collapsed="false">
      <c r="A254" s="82" t="s">
        <v>921</v>
      </c>
      <c r="B254" s="101" t="n">
        <v>46074</v>
      </c>
      <c r="C254" s="82" t="s">
        <v>478</v>
      </c>
      <c r="D254" s="82" t="s">
        <v>461</v>
      </c>
      <c r="E254" s="91" t="n">
        <v>190000</v>
      </c>
      <c r="F254" s="82" t="s">
        <v>922</v>
      </c>
      <c r="G254" s="82"/>
      <c r="H254" s="82"/>
      <c r="I254" s="82" t="s">
        <v>250</v>
      </c>
      <c r="J254" s="102" t="n">
        <f aca="false">IF(B254="","",MONTH(B254))</f>
        <v>2</v>
      </c>
      <c r="K254" s="102" t="n">
        <f aca="false">IF(B254="","",YEAR(B254))</f>
        <v>2026</v>
      </c>
      <c r="L254" s="102" t="str">
        <f aca="false">IF(N(E254)=0,"",IF(COUNTIFS(AK_NAMA,C254,AK_KAT,"KAS")+COUNTIFS(AK_NAMA,D254,AK_KAT,"KAS")&lt;&gt;1,"",IF(COUNTIFS(AK_NAMA,C254,AK_KAT,"KAS")=1,D254,C254)))</f>
        <v>Biaya Penyajian</v>
      </c>
      <c r="M254" s="103" t="n">
        <f aca="false">IF(L254="",0,IF(L254=D254,E254,-E254))</f>
        <v>-190000</v>
      </c>
      <c r="N254" s="102" t="str">
        <f aca="false">IF(L254="","",IFERROR(INDEX(AK_BARIS,MATCH(L254,AK_NAMA,0)),"?"))</f>
        <v>OP3</v>
      </c>
      <c r="O254" s="102" t="str">
        <f aca="false">IF(C254="","",IFERROR(INDEX(AK_KEL,MATCH(C254,AK_NAMA,0)),"?"))</f>
        <v>BEBAN</v>
      </c>
      <c r="P254" s="102" t="str">
        <f aca="false">IF(D254="","",IFERROR(INDEX(AK_KEL,MATCH(D254,AK_NAMA,0)),"?"))</f>
        <v>ASET</v>
      </c>
      <c r="Q254" s="102" t="n">
        <f aca="false">N(Q253)+IF(AND(N(E254)&lt;&gt;0,K254=TAHUN,N(J254)&lt;=BLN,OR(C254=BB_AKUN,D254=BB_AKUN)),1,0)</f>
        <v>168</v>
      </c>
      <c r="R254" s="104" t="str">
        <f aca="false">IF(OR(C254&amp;D254="",N(E254)=0),"",IF(OR(O254="?",P254="?"),"⚠ akun tidak dikenal",IF(C254=D254,"⚠ debet = kredit","")))</f>
        <v/>
      </c>
    </row>
    <row r="255" customFormat="false" ht="15" hidden="false" customHeight="false" outlineLevel="0" collapsed="false">
      <c r="A255" s="82" t="s">
        <v>923</v>
      </c>
      <c r="B255" s="101" t="n">
        <v>46074</v>
      </c>
      <c r="C255" s="82" t="s">
        <v>460</v>
      </c>
      <c r="D255" s="82" t="s">
        <v>461</v>
      </c>
      <c r="E255" s="91" t="n">
        <v>14500</v>
      </c>
      <c r="F255" s="82" t="s">
        <v>924</v>
      </c>
      <c r="G255" s="82"/>
      <c r="H255" s="82"/>
      <c r="I255" s="82" t="s">
        <v>250</v>
      </c>
      <c r="J255" s="102" t="n">
        <f aca="false">IF(B255="","",MONTH(B255))</f>
        <v>2</v>
      </c>
      <c r="K255" s="102" t="n">
        <f aca="false">IF(B255="","",YEAR(B255))</f>
        <v>2026</v>
      </c>
      <c r="L255" s="102" t="str">
        <f aca="false">IF(N(E255)=0,"",IF(COUNTIFS(AK_NAMA,C255,AK_KAT,"KAS")+COUNTIFS(AK_NAMA,D255,AK_KAT,"KAS")&lt;&gt;1,"",IF(COUNTIFS(AK_NAMA,C255,AK_KAT,"KAS")=1,D255,C255)))</f>
        <v>Biaya Marketing &amp; Promosi</v>
      </c>
      <c r="M255" s="103" t="n">
        <f aca="false">IF(L255="",0,IF(L255=D255,E255,-E255))</f>
        <v>-14500</v>
      </c>
      <c r="N255" s="102" t="str">
        <f aca="false">IF(L255="","",IFERROR(INDEX(AK_BARIS,MATCH(L255,AK_NAMA,0)),"?"))</f>
        <v>OP6</v>
      </c>
      <c r="O255" s="102" t="str">
        <f aca="false">IF(C255="","",IFERROR(INDEX(AK_KEL,MATCH(C255,AK_NAMA,0)),"?"))</f>
        <v>BEBAN</v>
      </c>
      <c r="P255" s="102" t="str">
        <f aca="false">IF(D255="","",IFERROR(INDEX(AK_KEL,MATCH(D255,AK_NAMA,0)),"?"))</f>
        <v>ASET</v>
      </c>
      <c r="Q255" s="102" t="n">
        <f aca="false">N(Q254)+IF(AND(N(E255)&lt;&gt;0,K255=TAHUN,N(J255)&lt;=BLN,OR(C255=BB_AKUN,D255=BB_AKUN)),1,0)</f>
        <v>169</v>
      </c>
      <c r="R255" s="104" t="str">
        <f aca="false">IF(OR(C255&amp;D255="",N(E255)=0),"",IF(OR(O255="?",P255="?"),"⚠ akun tidak dikenal",IF(C255=D255,"⚠ debet = kredit","")))</f>
        <v/>
      </c>
    </row>
    <row r="256" customFormat="false" ht="15" hidden="false" customHeight="false" outlineLevel="0" collapsed="false">
      <c r="A256" s="82" t="s">
        <v>925</v>
      </c>
      <c r="B256" s="101" t="n">
        <v>46074</v>
      </c>
      <c r="C256" s="82" t="s">
        <v>485</v>
      </c>
      <c r="D256" s="82" t="s">
        <v>461</v>
      </c>
      <c r="E256" s="91" t="n">
        <v>2000</v>
      </c>
      <c r="F256" s="82" t="s">
        <v>926</v>
      </c>
      <c r="G256" s="82"/>
      <c r="H256" s="82"/>
      <c r="I256" s="82" t="s">
        <v>250</v>
      </c>
      <c r="J256" s="102" t="n">
        <f aca="false">IF(B256="","",MONTH(B256))</f>
        <v>2</v>
      </c>
      <c r="K256" s="102" t="n">
        <f aca="false">IF(B256="","",YEAR(B256))</f>
        <v>2026</v>
      </c>
      <c r="L256" s="102" t="str">
        <f aca="false">IF(N(E256)=0,"",IF(COUNTIFS(AK_NAMA,C256,AK_KAT,"KAS")+COUNTIFS(AK_NAMA,D256,AK_KAT,"KAS")&lt;&gt;1,"",IF(COUNTIFS(AK_NAMA,C256,AK_KAT,"KAS")=1,D256,C256)))</f>
        <v>Biaya Operasional Harian</v>
      </c>
      <c r="M256" s="103" t="n">
        <f aca="false">IF(L256="",0,IF(L256=D256,E256,-E256))</f>
        <v>-2000</v>
      </c>
      <c r="N256" s="102" t="str">
        <f aca="false">IF(L256="","",IFERROR(INDEX(AK_BARIS,MATCH(L256,AK_NAMA,0)),"?"))</f>
        <v>OP6</v>
      </c>
      <c r="O256" s="102" t="str">
        <f aca="false">IF(C256="","",IFERROR(INDEX(AK_KEL,MATCH(C256,AK_NAMA,0)),"?"))</f>
        <v>BEBAN</v>
      </c>
      <c r="P256" s="102" t="str">
        <f aca="false">IF(D256="","",IFERROR(INDEX(AK_KEL,MATCH(D256,AK_NAMA,0)),"?"))</f>
        <v>ASET</v>
      </c>
      <c r="Q256" s="102" t="n">
        <f aca="false">N(Q255)+IF(AND(N(E256)&lt;&gt;0,K256=TAHUN,N(J256)&lt;=BLN,OR(C256=BB_AKUN,D256=BB_AKUN)),1,0)</f>
        <v>170</v>
      </c>
      <c r="R256" s="104" t="str">
        <f aca="false">IF(OR(C256&amp;D256="",N(E256)=0),"",IF(OR(O256="?",P256="?"),"⚠ akun tidak dikenal",IF(C256=D256,"⚠ debet = kredit","")))</f>
        <v/>
      </c>
    </row>
    <row r="257" customFormat="false" ht="15" hidden="false" customHeight="false" outlineLevel="0" collapsed="false">
      <c r="A257" s="82" t="s">
        <v>927</v>
      </c>
      <c r="B257" s="101" t="n">
        <v>46074</v>
      </c>
      <c r="C257" s="82" t="s">
        <v>475</v>
      </c>
      <c r="D257" s="82" t="s">
        <v>461</v>
      </c>
      <c r="E257" s="91" t="n">
        <v>3600000</v>
      </c>
      <c r="F257" s="82" t="s">
        <v>928</v>
      </c>
      <c r="G257" s="82"/>
      <c r="H257" s="82"/>
      <c r="I257" s="82" t="s">
        <v>250</v>
      </c>
      <c r="J257" s="102" t="n">
        <f aca="false">IF(B257="","",MONTH(B257))</f>
        <v>2</v>
      </c>
      <c r="K257" s="102" t="n">
        <f aca="false">IF(B257="","",YEAR(B257))</f>
        <v>2026</v>
      </c>
      <c r="L257" s="102" t="str">
        <f aca="false">IF(N(E257)=0,"",IF(COUNTIFS(AK_NAMA,C257,AK_KAT,"KAS")+COUNTIFS(AK_NAMA,D257,AK_KAT,"KAS")&lt;&gt;1,"",IF(COUNTIFS(AK_NAMA,C257,AK_KAT,"KAS")=1,D257,C257)))</f>
        <v/>
      </c>
      <c r="M257" s="103" t="n">
        <f aca="false">IF(L257="",0,IF(L257=D257,E257,-E257))</f>
        <v>0</v>
      </c>
      <c r="N257" s="102" t="str">
        <f aca="false">IF(L257="","",IFERROR(INDEX(AK_BARIS,MATCH(L257,AK_NAMA,0)),"?"))</f>
        <v/>
      </c>
      <c r="O257" s="102" t="str">
        <f aca="false">IF(C257="","",IFERROR(INDEX(AK_KEL,MATCH(C257,AK_NAMA,0)),"?"))</f>
        <v>ASET</v>
      </c>
      <c r="P257" s="102" t="str">
        <f aca="false">IF(D257="","",IFERROR(INDEX(AK_KEL,MATCH(D257,AK_NAMA,0)),"?"))</f>
        <v>ASET</v>
      </c>
      <c r="Q257" s="102" t="n">
        <f aca="false">N(Q256)+IF(AND(N(E257)&lt;&gt;0,K257=TAHUN,N(J257)&lt;=BLN,OR(C257=BB_AKUN,D257=BB_AKUN)),1,0)</f>
        <v>171</v>
      </c>
      <c r="R257" s="104" t="str">
        <f aca="false">IF(OR(C257&amp;D257="",N(E257)=0),"",IF(OR(O257="?",P257="?"),"⚠ akun tidak dikenal",IF(C257=D257,"⚠ debet = kredit","")))</f>
        <v/>
      </c>
    </row>
    <row r="258" customFormat="false" ht="15" hidden="false" customHeight="false" outlineLevel="0" collapsed="false">
      <c r="A258" s="82" t="s">
        <v>929</v>
      </c>
      <c r="B258" s="101" t="n">
        <v>46074</v>
      </c>
      <c r="C258" s="82" t="s">
        <v>486</v>
      </c>
      <c r="D258" s="82" t="s">
        <v>475</v>
      </c>
      <c r="E258" s="91" t="n">
        <v>1000000</v>
      </c>
      <c r="F258" s="82" t="s">
        <v>622</v>
      </c>
      <c r="G258" s="82"/>
      <c r="H258" s="82"/>
      <c r="I258" s="82" t="s">
        <v>250</v>
      </c>
      <c r="J258" s="102" t="n">
        <f aca="false">IF(B258="","",MONTH(B258))</f>
        <v>2</v>
      </c>
      <c r="K258" s="102" t="n">
        <f aca="false">IF(B258="","",YEAR(B258))</f>
        <v>2026</v>
      </c>
      <c r="L258" s="102" t="str">
        <f aca="false">IF(N(E258)=0,"",IF(COUNTIFS(AK_NAMA,C258,AK_KAT,"KAS")+COUNTIFS(AK_NAMA,D258,AK_KAT,"KAS")&lt;&gt;1,"",IF(COUNTIFS(AK_NAMA,C258,AK_KAT,"KAS")=1,D258,C258)))</f>
        <v/>
      </c>
      <c r="M258" s="103" t="n">
        <f aca="false">IF(L258="",0,IF(L258=D258,E258,-E258))</f>
        <v>0</v>
      </c>
      <c r="N258" s="102" t="str">
        <f aca="false">IF(L258="","",IFERROR(INDEX(AK_BARIS,MATCH(L258,AK_NAMA,0)),"?"))</f>
        <v/>
      </c>
      <c r="O258" s="102" t="str">
        <f aca="false">IF(C258="","",IFERROR(INDEX(AK_KEL,MATCH(C258,AK_NAMA,0)),"?"))</f>
        <v>ASET</v>
      </c>
      <c r="P258" s="102" t="str">
        <f aca="false">IF(D258="","",IFERROR(INDEX(AK_KEL,MATCH(D258,AK_NAMA,0)),"?"))</f>
        <v>ASET</v>
      </c>
      <c r="Q258" s="102" t="n">
        <f aca="false">N(Q257)+IF(AND(N(E258)&lt;&gt;0,K258=TAHUN,N(J258)&lt;=BLN,OR(C258=BB_AKUN,D258=BB_AKUN)),1,0)</f>
        <v>171</v>
      </c>
      <c r="R258" s="104" t="str">
        <f aca="false">IF(OR(C258&amp;D258="",N(E258)=0),"",IF(OR(O258="?",P258="?"),"⚠ akun tidak dikenal",IF(C258=D258,"⚠ debet = kredit","")))</f>
        <v/>
      </c>
    </row>
    <row r="259" customFormat="false" ht="15" hidden="false" customHeight="false" outlineLevel="0" collapsed="false">
      <c r="A259" s="82" t="s">
        <v>930</v>
      </c>
      <c r="B259" s="101" t="n">
        <v>46074</v>
      </c>
      <c r="C259" s="82" t="s">
        <v>475</v>
      </c>
      <c r="D259" s="82" t="s">
        <v>486</v>
      </c>
      <c r="E259" s="91" t="n">
        <v>200000</v>
      </c>
      <c r="F259" s="82" t="s">
        <v>931</v>
      </c>
      <c r="G259" s="82"/>
      <c r="H259" s="82"/>
      <c r="I259" s="82" t="s">
        <v>250</v>
      </c>
      <c r="J259" s="102" t="n">
        <f aca="false">IF(B259="","",MONTH(B259))</f>
        <v>2</v>
      </c>
      <c r="K259" s="102" t="n">
        <f aca="false">IF(B259="","",YEAR(B259))</f>
        <v>2026</v>
      </c>
      <c r="L259" s="102" t="str">
        <f aca="false">IF(N(E259)=0,"",IF(COUNTIFS(AK_NAMA,C259,AK_KAT,"KAS")+COUNTIFS(AK_NAMA,D259,AK_KAT,"KAS")&lt;&gt;1,"",IF(COUNTIFS(AK_NAMA,C259,AK_KAT,"KAS")=1,D259,C259)))</f>
        <v/>
      </c>
      <c r="M259" s="103" t="n">
        <f aca="false">IF(L259="",0,IF(L259=D259,E259,-E259))</f>
        <v>0</v>
      </c>
      <c r="N259" s="102" t="str">
        <f aca="false">IF(L259="","",IFERROR(INDEX(AK_BARIS,MATCH(L259,AK_NAMA,0)),"?"))</f>
        <v/>
      </c>
      <c r="O259" s="102" t="str">
        <f aca="false">IF(C259="","",IFERROR(INDEX(AK_KEL,MATCH(C259,AK_NAMA,0)),"?"))</f>
        <v>ASET</v>
      </c>
      <c r="P259" s="102" t="str">
        <f aca="false">IF(D259="","",IFERROR(INDEX(AK_KEL,MATCH(D259,AK_NAMA,0)),"?"))</f>
        <v>ASET</v>
      </c>
      <c r="Q259" s="102" t="n">
        <f aca="false">N(Q258)+IF(AND(N(E259)&lt;&gt;0,K259=TAHUN,N(J259)&lt;=BLN,OR(C259=BB_AKUN,D259=BB_AKUN)),1,0)</f>
        <v>171</v>
      </c>
      <c r="R259" s="104" t="str">
        <f aca="false">IF(OR(C259&amp;D259="",N(E259)=0),"",IF(OR(O259="?",P259="?"),"⚠ akun tidak dikenal",IF(C259=D259,"⚠ debet = kredit","")))</f>
        <v/>
      </c>
    </row>
    <row r="260" customFormat="false" ht="15" hidden="false" customHeight="false" outlineLevel="0" collapsed="false">
      <c r="A260" s="82" t="s">
        <v>932</v>
      </c>
      <c r="B260" s="101" t="n">
        <v>46074</v>
      </c>
      <c r="C260" s="82" t="s">
        <v>478</v>
      </c>
      <c r="D260" s="82" t="s">
        <v>461</v>
      </c>
      <c r="E260" s="91" t="n">
        <v>272000</v>
      </c>
      <c r="F260" s="82" t="s">
        <v>933</v>
      </c>
      <c r="G260" s="82"/>
      <c r="H260" s="82"/>
      <c r="I260" s="82" t="s">
        <v>250</v>
      </c>
      <c r="J260" s="102" t="n">
        <f aca="false">IF(B260="","",MONTH(B260))</f>
        <v>2</v>
      </c>
      <c r="K260" s="102" t="n">
        <f aca="false">IF(B260="","",YEAR(B260))</f>
        <v>2026</v>
      </c>
      <c r="L260" s="102" t="str">
        <f aca="false">IF(N(E260)=0,"",IF(COUNTIFS(AK_NAMA,C260,AK_KAT,"KAS")+COUNTIFS(AK_NAMA,D260,AK_KAT,"KAS")&lt;&gt;1,"",IF(COUNTIFS(AK_NAMA,C260,AK_KAT,"KAS")=1,D260,C260)))</f>
        <v>Biaya Penyajian</v>
      </c>
      <c r="M260" s="103" t="n">
        <f aca="false">IF(L260="",0,IF(L260=D260,E260,-E260))</f>
        <v>-272000</v>
      </c>
      <c r="N260" s="102" t="str">
        <f aca="false">IF(L260="","",IFERROR(INDEX(AK_BARIS,MATCH(L260,AK_NAMA,0)),"?"))</f>
        <v>OP3</v>
      </c>
      <c r="O260" s="102" t="str">
        <f aca="false">IF(C260="","",IFERROR(INDEX(AK_KEL,MATCH(C260,AK_NAMA,0)),"?"))</f>
        <v>BEBAN</v>
      </c>
      <c r="P260" s="102" t="str">
        <f aca="false">IF(D260="","",IFERROR(INDEX(AK_KEL,MATCH(D260,AK_NAMA,0)),"?"))</f>
        <v>ASET</v>
      </c>
      <c r="Q260" s="102" t="n">
        <f aca="false">N(Q259)+IF(AND(N(E260)&lt;&gt;0,K260=TAHUN,N(J260)&lt;=BLN,OR(C260=BB_AKUN,D260=BB_AKUN)),1,0)</f>
        <v>172</v>
      </c>
      <c r="R260" s="104" t="str">
        <f aca="false">IF(OR(C260&amp;D260="",N(E260)=0),"",IF(OR(O260="?",P260="?"),"⚠ akun tidak dikenal",IF(C260=D260,"⚠ debet = kredit","")))</f>
        <v/>
      </c>
    </row>
    <row r="261" customFormat="false" ht="15" hidden="false" customHeight="false" outlineLevel="0" collapsed="false">
      <c r="A261" s="82" t="s">
        <v>934</v>
      </c>
      <c r="B261" s="101" t="n">
        <v>46074</v>
      </c>
      <c r="C261" s="82" t="s">
        <v>470</v>
      </c>
      <c r="D261" s="82" t="s">
        <v>486</v>
      </c>
      <c r="E261" s="91" t="n">
        <v>2835300</v>
      </c>
      <c r="F261" s="82" t="s">
        <v>935</v>
      </c>
      <c r="G261" s="82"/>
      <c r="H261" s="82"/>
      <c r="I261" s="82" t="s">
        <v>250</v>
      </c>
      <c r="J261" s="102" t="n">
        <f aca="false">IF(B261="","",MONTH(B261))</f>
        <v>2</v>
      </c>
      <c r="K261" s="102" t="n">
        <f aca="false">IF(B261="","",YEAR(B261))</f>
        <v>2026</v>
      </c>
      <c r="L261" s="102" t="str">
        <f aca="false">IF(N(E261)=0,"",IF(COUNTIFS(AK_NAMA,C261,AK_KAT,"KAS")+COUNTIFS(AK_NAMA,D261,AK_KAT,"KAS")&lt;&gt;1,"",IF(COUNTIFS(AK_NAMA,C261,AK_KAT,"KAS")=1,D261,C261)))</f>
        <v>Biaya Bahan Baku</v>
      </c>
      <c r="M261" s="103" t="n">
        <f aca="false">IF(L261="",0,IF(L261=D261,E261,-E261))</f>
        <v>-2835300</v>
      </c>
      <c r="N261" s="102" t="str">
        <f aca="false">IF(L261="","",IFERROR(INDEX(AK_BARIS,MATCH(L261,AK_NAMA,0)),"?"))</f>
        <v>OP3</v>
      </c>
      <c r="O261" s="102" t="str">
        <f aca="false">IF(C261="","",IFERROR(INDEX(AK_KEL,MATCH(C261,AK_NAMA,0)),"?"))</f>
        <v>BEBAN</v>
      </c>
      <c r="P261" s="102" t="str">
        <f aca="false">IF(D261="","",IFERROR(INDEX(AK_KEL,MATCH(D261,AK_NAMA,0)),"?"))</f>
        <v>ASET</v>
      </c>
      <c r="Q261" s="102" t="n">
        <f aca="false">N(Q260)+IF(AND(N(E261)&lt;&gt;0,K261=TAHUN,N(J261)&lt;=BLN,OR(C261=BB_AKUN,D261=BB_AKUN)),1,0)</f>
        <v>172</v>
      </c>
      <c r="R261" s="104" t="str">
        <f aca="false">IF(OR(C261&amp;D261="",N(E261)=0),"",IF(OR(O261="?",P261="?"),"⚠ akun tidak dikenal",IF(C261=D261,"⚠ debet = kredit","")))</f>
        <v/>
      </c>
    </row>
    <row r="262" customFormat="false" ht="15" hidden="false" customHeight="false" outlineLevel="0" collapsed="false">
      <c r="A262" s="82" t="s">
        <v>936</v>
      </c>
      <c r="B262" s="101" t="n">
        <v>46074</v>
      </c>
      <c r="C262" s="82" t="s">
        <v>470</v>
      </c>
      <c r="D262" s="82" t="s">
        <v>486</v>
      </c>
      <c r="E262" s="91" t="n">
        <v>156000</v>
      </c>
      <c r="F262" s="82" t="s">
        <v>937</v>
      </c>
      <c r="G262" s="82"/>
      <c r="H262" s="82"/>
      <c r="I262" s="82" t="s">
        <v>250</v>
      </c>
      <c r="J262" s="102" t="n">
        <f aca="false">IF(B262="","",MONTH(B262))</f>
        <v>2</v>
      </c>
      <c r="K262" s="102" t="n">
        <f aca="false">IF(B262="","",YEAR(B262))</f>
        <v>2026</v>
      </c>
      <c r="L262" s="102" t="str">
        <f aca="false">IF(N(E262)=0,"",IF(COUNTIFS(AK_NAMA,C262,AK_KAT,"KAS")+COUNTIFS(AK_NAMA,D262,AK_KAT,"KAS")&lt;&gt;1,"",IF(COUNTIFS(AK_NAMA,C262,AK_KAT,"KAS")=1,D262,C262)))</f>
        <v>Biaya Bahan Baku</v>
      </c>
      <c r="M262" s="103" t="n">
        <f aca="false">IF(L262="",0,IF(L262=D262,E262,-E262))</f>
        <v>-156000</v>
      </c>
      <c r="N262" s="102" t="str">
        <f aca="false">IF(L262="","",IFERROR(INDEX(AK_BARIS,MATCH(L262,AK_NAMA,0)),"?"))</f>
        <v>OP3</v>
      </c>
      <c r="O262" s="102" t="str">
        <f aca="false">IF(C262="","",IFERROR(INDEX(AK_KEL,MATCH(C262,AK_NAMA,0)),"?"))</f>
        <v>BEBAN</v>
      </c>
      <c r="P262" s="102" t="str">
        <f aca="false">IF(D262="","",IFERROR(INDEX(AK_KEL,MATCH(D262,AK_NAMA,0)),"?"))</f>
        <v>ASET</v>
      </c>
      <c r="Q262" s="102" t="n">
        <f aca="false">N(Q261)+IF(AND(N(E262)&lt;&gt;0,K262=TAHUN,N(J262)&lt;=BLN,OR(C262=BB_AKUN,D262=BB_AKUN)),1,0)</f>
        <v>172</v>
      </c>
      <c r="R262" s="104" t="str">
        <f aca="false">IF(OR(C262&amp;D262="",N(E262)=0),"",IF(OR(O262="?",P262="?"),"⚠ akun tidak dikenal",IF(C262=D262,"⚠ debet = kredit","")))</f>
        <v/>
      </c>
    </row>
    <row r="263" customFormat="false" ht="15" hidden="false" customHeight="false" outlineLevel="0" collapsed="false">
      <c r="A263" s="82" t="s">
        <v>938</v>
      </c>
      <c r="B263" s="101" t="n">
        <v>46074</v>
      </c>
      <c r="C263" s="82" t="s">
        <v>478</v>
      </c>
      <c r="D263" s="82" t="s">
        <v>486</v>
      </c>
      <c r="E263" s="91" t="n">
        <v>200000</v>
      </c>
      <c r="F263" s="82" t="s">
        <v>939</v>
      </c>
      <c r="G263" s="82"/>
      <c r="H263" s="82"/>
      <c r="I263" s="82" t="s">
        <v>250</v>
      </c>
      <c r="J263" s="102" t="n">
        <f aca="false">IF(B263="","",MONTH(B263))</f>
        <v>2</v>
      </c>
      <c r="K263" s="102" t="n">
        <f aca="false">IF(B263="","",YEAR(B263))</f>
        <v>2026</v>
      </c>
      <c r="L263" s="102" t="str">
        <f aca="false">IF(N(E263)=0,"",IF(COUNTIFS(AK_NAMA,C263,AK_KAT,"KAS")+COUNTIFS(AK_NAMA,D263,AK_KAT,"KAS")&lt;&gt;1,"",IF(COUNTIFS(AK_NAMA,C263,AK_KAT,"KAS")=1,D263,C263)))</f>
        <v>Biaya Penyajian</v>
      </c>
      <c r="M263" s="103" t="n">
        <f aca="false">IF(L263="",0,IF(L263=D263,E263,-E263))</f>
        <v>-200000</v>
      </c>
      <c r="N263" s="102" t="str">
        <f aca="false">IF(L263="","",IFERROR(INDEX(AK_BARIS,MATCH(L263,AK_NAMA,0)),"?"))</f>
        <v>OP3</v>
      </c>
      <c r="O263" s="102" t="str">
        <f aca="false">IF(C263="","",IFERROR(INDEX(AK_KEL,MATCH(C263,AK_NAMA,0)),"?"))</f>
        <v>BEBAN</v>
      </c>
      <c r="P263" s="102" t="str">
        <f aca="false">IF(D263="","",IFERROR(INDEX(AK_KEL,MATCH(D263,AK_NAMA,0)),"?"))</f>
        <v>ASET</v>
      </c>
      <c r="Q263" s="102" t="n">
        <f aca="false">N(Q262)+IF(AND(N(E263)&lt;&gt;0,K263=TAHUN,N(J263)&lt;=BLN,OR(C263=BB_AKUN,D263=BB_AKUN)),1,0)</f>
        <v>172</v>
      </c>
      <c r="R263" s="104" t="str">
        <f aca="false">IF(OR(C263&amp;D263="",N(E263)=0),"",IF(OR(O263="?",P263="?"),"⚠ akun tidak dikenal",IF(C263=D263,"⚠ debet = kredit","")))</f>
        <v/>
      </c>
    </row>
    <row r="264" customFormat="false" ht="15" hidden="false" customHeight="false" outlineLevel="0" collapsed="false">
      <c r="A264" s="82" t="s">
        <v>940</v>
      </c>
      <c r="B264" s="101" t="n">
        <v>46074</v>
      </c>
      <c r="C264" s="82" t="s">
        <v>548</v>
      </c>
      <c r="D264" s="82" t="s">
        <v>486</v>
      </c>
      <c r="E264" s="91" t="n">
        <v>18000</v>
      </c>
      <c r="F264" s="82" t="s">
        <v>941</v>
      </c>
      <c r="G264" s="82"/>
      <c r="H264" s="82"/>
      <c r="I264" s="82" t="s">
        <v>250</v>
      </c>
      <c r="J264" s="102" t="n">
        <f aca="false">IF(B264="","",MONTH(B264))</f>
        <v>2</v>
      </c>
      <c r="K264" s="102" t="n">
        <f aca="false">IF(B264="","",YEAR(B264))</f>
        <v>2026</v>
      </c>
      <c r="L264" s="102" t="str">
        <f aca="false">IF(N(E264)=0,"",IF(COUNTIFS(AK_NAMA,C264,AK_KAT,"KAS")+COUNTIFS(AK_NAMA,D264,AK_KAT,"KAS")&lt;&gt;1,"",IF(COUNTIFS(AK_NAMA,C264,AK_KAT,"KAS")=1,D264,C264)))</f>
        <v>Beban Perlengkapan</v>
      </c>
      <c r="M264" s="103" t="n">
        <f aca="false">IF(L264="",0,IF(L264=D264,E264,-E264))</f>
        <v>-18000</v>
      </c>
      <c r="N264" s="102" t="str">
        <f aca="false">IF(L264="","",IFERROR(INDEX(AK_BARIS,MATCH(L264,AK_NAMA,0)),"?"))</f>
        <v>OP6</v>
      </c>
      <c r="O264" s="102" t="str">
        <f aca="false">IF(C264="","",IFERROR(INDEX(AK_KEL,MATCH(C264,AK_NAMA,0)),"?"))</f>
        <v>BEBAN</v>
      </c>
      <c r="P264" s="102" t="str">
        <f aca="false">IF(D264="","",IFERROR(INDEX(AK_KEL,MATCH(D264,AK_NAMA,0)),"?"))</f>
        <v>ASET</v>
      </c>
      <c r="Q264" s="102" t="n">
        <f aca="false">N(Q263)+IF(AND(N(E264)&lt;&gt;0,K264=TAHUN,N(J264)&lt;=BLN,OR(C264=BB_AKUN,D264=BB_AKUN)),1,0)</f>
        <v>172</v>
      </c>
      <c r="R264" s="104" t="str">
        <f aca="false">IF(OR(C264&amp;D264="",N(E264)=0),"",IF(OR(O264="?",P264="?"),"⚠ akun tidak dikenal",IF(C264=D264,"⚠ debet = kredit","")))</f>
        <v/>
      </c>
    </row>
    <row r="265" customFormat="false" ht="15" hidden="false" customHeight="false" outlineLevel="0" collapsed="false">
      <c r="A265" s="82" t="s">
        <v>942</v>
      </c>
      <c r="B265" s="101" t="n">
        <v>46074</v>
      </c>
      <c r="C265" s="82" t="s">
        <v>485</v>
      </c>
      <c r="D265" s="82" t="s">
        <v>486</v>
      </c>
      <c r="E265" s="91" t="n">
        <v>25000</v>
      </c>
      <c r="F265" s="82" t="s">
        <v>553</v>
      </c>
      <c r="G265" s="82"/>
      <c r="H265" s="82"/>
      <c r="I265" s="82" t="s">
        <v>250</v>
      </c>
      <c r="J265" s="102" t="n">
        <f aca="false">IF(B265="","",MONTH(B265))</f>
        <v>2</v>
      </c>
      <c r="K265" s="102" t="n">
        <f aca="false">IF(B265="","",YEAR(B265))</f>
        <v>2026</v>
      </c>
      <c r="L265" s="102" t="str">
        <f aca="false">IF(N(E265)=0,"",IF(COUNTIFS(AK_NAMA,C265,AK_KAT,"KAS")+COUNTIFS(AK_NAMA,D265,AK_KAT,"KAS")&lt;&gt;1,"",IF(COUNTIFS(AK_NAMA,C265,AK_KAT,"KAS")=1,D265,C265)))</f>
        <v>Biaya Operasional Harian</v>
      </c>
      <c r="M265" s="103" t="n">
        <f aca="false">IF(L265="",0,IF(L265=D265,E265,-E265))</f>
        <v>-25000</v>
      </c>
      <c r="N265" s="102" t="str">
        <f aca="false">IF(L265="","",IFERROR(INDEX(AK_BARIS,MATCH(L265,AK_NAMA,0)),"?"))</f>
        <v>OP6</v>
      </c>
      <c r="O265" s="102" t="str">
        <f aca="false">IF(C265="","",IFERROR(INDEX(AK_KEL,MATCH(C265,AK_NAMA,0)),"?"))</f>
        <v>BEBAN</v>
      </c>
      <c r="P265" s="102" t="str">
        <f aca="false">IF(D265="","",IFERROR(INDEX(AK_KEL,MATCH(D265,AK_NAMA,0)),"?"))</f>
        <v>ASET</v>
      </c>
      <c r="Q265" s="102" t="n">
        <f aca="false">N(Q264)+IF(AND(N(E265)&lt;&gt;0,K265=TAHUN,N(J265)&lt;=BLN,OR(C265=BB_AKUN,D265=BB_AKUN)),1,0)</f>
        <v>172</v>
      </c>
      <c r="R265" s="104" t="str">
        <f aca="false">IF(OR(C265&amp;D265="",N(E265)=0),"",IF(OR(O265="?",P265="?"),"⚠ akun tidak dikenal",IF(C265=D265,"⚠ debet = kredit","")))</f>
        <v/>
      </c>
    </row>
    <row r="266" customFormat="false" ht="15" hidden="false" customHeight="false" outlineLevel="0" collapsed="false">
      <c r="A266" s="82" t="s">
        <v>943</v>
      </c>
      <c r="B266" s="101" t="n">
        <v>46074</v>
      </c>
      <c r="C266" s="82" t="s">
        <v>485</v>
      </c>
      <c r="D266" s="82" t="s">
        <v>486</v>
      </c>
      <c r="E266" s="91" t="n">
        <v>28000</v>
      </c>
      <c r="F266" s="82" t="s">
        <v>555</v>
      </c>
      <c r="G266" s="82"/>
      <c r="H266" s="82"/>
      <c r="I266" s="82" t="s">
        <v>250</v>
      </c>
      <c r="J266" s="102" t="n">
        <f aca="false">IF(B266="","",MONTH(B266))</f>
        <v>2</v>
      </c>
      <c r="K266" s="102" t="n">
        <f aca="false">IF(B266="","",YEAR(B266))</f>
        <v>2026</v>
      </c>
      <c r="L266" s="102" t="str">
        <f aca="false">IF(N(E266)=0,"",IF(COUNTIFS(AK_NAMA,C266,AK_KAT,"KAS")+COUNTIFS(AK_NAMA,D266,AK_KAT,"KAS")&lt;&gt;1,"",IF(COUNTIFS(AK_NAMA,C266,AK_KAT,"KAS")=1,D266,C266)))</f>
        <v>Biaya Operasional Harian</v>
      </c>
      <c r="M266" s="103" t="n">
        <f aca="false">IF(L266="",0,IF(L266=D266,E266,-E266))</f>
        <v>-28000</v>
      </c>
      <c r="N266" s="102" t="str">
        <f aca="false">IF(L266="","",IFERROR(INDEX(AK_BARIS,MATCH(L266,AK_NAMA,0)),"?"))</f>
        <v>OP6</v>
      </c>
      <c r="O266" s="102" t="str">
        <f aca="false">IF(C266="","",IFERROR(INDEX(AK_KEL,MATCH(C266,AK_NAMA,0)),"?"))</f>
        <v>BEBAN</v>
      </c>
      <c r="P266" s="102" t="str">
        <f aca="false">IF(D266="","",IFERROR(INDEX(AK_KEL,MATCH(D266,AK_NAMA,0)),"?"))</f>
        <v>ASET</v>
      </c>
      <c r="Q266" s="102" t="n">
        <f aca="false">N(Q265)+IF(AND(N(E266)&lt;&gt;0,K266=TAHUN,N(J266)&lt;=BLN,OR(C266=BB_AKUN,D266=BB_AKUN)),1,0)</f>
        <v>172</v>
      </c>
      <c r="R266" s="104" t="str">
        <f aca="false">IF(OR(C266&amp;D266="",N(E266)=0),"",IF(OR(O266="?",P266="?"),"⚠ akun tidak dikenal",IF(C266=D266,"⚠ debet = kredit","")))</f>
        <v/>
      </c>
    </row>
    <row r="267" customFormat="false" ht="15" hidden="false" customHeight="false" outlineLevel="0" collapsed="false">
      <c r="A267" s="82" t="s">
        <v>944</v>
      </c>
      <c r="B267" s="101" t="n">
        <v>46074</v>
      </c>
      <c r="C267" s="82" t="s">
        <v>475</v>
      </c>
      <c r="D267" s="82" t="s">
        <v>486</v>
      </c>
      <c r="E267" s="91" t="n">
        <v>7000</v>
      </c>
      <c r="F267" s="82" t="s">
        <v>540</v>
      </c>
      <c r="G267" s="82"/>
      <c r="H267" s="82"/>
      <c r="I267" s="82" t="s">
        <v>250</v>
      </c>
      <c r="J267" s="102" t="n">
        <f aca="false">IF(B267="","",MONTH(B267))</f>
        <v>2</v>
      </c>
      <c r="K267" s="102" t="n">
        <f aca="false">IF(B267="","",YEAR(B267))</f>
        <v>2026</v>
      </c>
      <c r="L267" s="102" t="str">
        <f aca="false">IF(N(E267)=0,"",IF(COUNTIFS(AK_NAMA,C267,AK_KAT,"KAS")+COUNTIFS(AK_NAMA,D267,AK_KAT,"KAS")&lt;&gt;1,"",IF(COUNTIFS(AK_NAMA,C267,AK_KAT,"KAS")=1,D267,C267)))</f>
        <v/>
      </c>
      <c r="M267" s="103" t="n">
        <f aca="false">IF(L267="",0,IF(L267=D267,E267,-E267))</f>
        <v>0</v>
      </c>
      <c r="N267" s="102" t="str">
        <f aca="false">IF(L267="","",IFERROR(INDEX(AK_BARIS,MATCH(L267,AK_NAMA,0)),"?"))</f>
        <v/>
      </c>
      <c r="O267" s="102" t="str">
        <f aca="false">IF(C267="","",IFERROR(INDEX(AK_KEL,MATCH(C267,AK_NAMA,0)),"?"))</f>
        <v>ASET</v>
      </c>
      <c r="P267" s="102" t="str">
        <f aca="false">IF(D267="","",IFERROR(INDEX(AK_KEL,MATCH(D267,AK_NAMA,0)),"?"))</f>
        <v>ASET</v>
      </c>
      <c r="Q267" s="102" t="n">
        <f aca="false">N(Q266)+IF(AND(N(E267)&lt;&gt;0,K267=TAHUN,N(J267)&lt;=BLN,OR(C267=BB_AKUN,D267=BB_AKUN)),1,0)</f>
        <v>172</v>
      </c>
      <c r="R267" s="104" t="str">
        <f aca="false">IF(OR(C267&amp;D267="",N(E267)=0),"",IF(OR(O267="?",P267="?"),"⚠ akun tidak dikenal",IF(C267=D267,"⚠ debet = kredit","")))</f>
        <v/>
      </c>
    </row>
    <row r="268" customFormat="false" ht="15" hidden="false" customHeight="false" outlineLevel="0" collapsed="false">
      <c r="A268" s="82" t="s">
        <v>945</v>
      </c>
      <c r="B268" s="101" t="n">
        <v>46074</v>
      </c>
      <c r="C268" s="82" t="s">
        <v>769</v>
      </c>
      <c r="D268" s="82" t="s">
        <v>461</v>
      </c>
      <c r="E268" s="91" t="n">
        <v>2687800</v>
      </c>
      <c r="F268" s="82" t="s">
        <v>946</v>
      </c>
      <c r="G268" s="82"/>
      <c r="H268" s="82" t="s">
        <v>771</v>
      </c>
      <c r="I268" s="82" t="s">
        <v>250</v>
      </c>
      <c r="J268" s="102" t="n">
        <f aca="false">IF(B268="","",MONTH(B268))</f>
        <v>2</v>
      </c>
      <c r="K268" s="102" t="n">
        <f aca="false">IF(B268="","",YEAR(B268))</f>
        <v>2026</v>
      </c>
      <c r="L268" s="102" t="str">
        <f aca="false">IF(N(E268)=0,"",IF(COUNTIFS(AK_NAMA,C268,AK_KAT,"KAS")+COUNTIFS(AK_NAMA,D268,AK_KAT,"KAS")&lt;&gt;1,"",IF(COUNTIFS(AK_NAMA,C268,AK_KAT,"KAS")=1,D268,C268)))</f>
        <v>Utang Usaha Lancar</v>
      </c>
      <c r="M268" s="103" t="n">
        <f aca="false">IF(L268="",0,IF(L268=D268,E268,-E268))</f>
        <v>-2687800</v>
      </c>
      <c r="N268" s="102" t="str">
        <f aca="false">IF(L268="","",IFERROR(INDEX(AK_BARIS,MATCH(L268,AK_NAMA,0)),"?"))</f>
        <v>OP6</v>
      </c>
      <c r="O268" s="102" t="str">
        <f aca="false">IF(C268="","",IFERROR(INDEX(AK_KEL,MATCH(C268,AK_NAMA,0)),"?"))</f>
        <v>LIABILITAS</v>
      </c>
      <c r="P268" s="102" t="str">
        <f aca="false">IF(D268="","",IFERROR(INDEX(AK_KEL,MATCH(D268,AK_NAMA,0)),"?"))</f>
        <v>ASET</v>
      </c>
      <c r="Q268" s="102" t="n">
        <f aca="false">N(Q267)+IF(AND(N(E268)&lt;&gt;0,K268=TAHUN,N(J268)&lt;=BLN,OR(C268=BB_AKUN,D268=BB_AKUN)),1,0)</f>
        <v>173</v>
      </c>
      <c r="R268" s="104" t="str">
        <f aca="false">IF(OR(C268&amp;D268="",N(E268)=0),"",IF(OR(O268="?",P268="?"),"⚠ akun tidak dikenal",IF(C268=D268,"⚠ debet = kredit","")))</f>
        <v/>
      </c>
    </row>
    <row r="269" customFormat="false" ht="15" hidden="false" customHeight="false" outlineLevel="0" collapsed="false">
      <c r="A269" s="82" t="s">
        <v>947</v>
      </c>
      <c r="B269" s="101" t="n">
        <v>46074</v>
      </c>
      <c r="C269" s="82" t="s">
        <v>524</v>
      </c>
      <c r="D269" s="82" t="s">
        <v>461</v>
      </c>
      <c r="E269" s="91" t="n">
        <v>325</v>
      </c>
      <c r="F269" s="82" t="s">
        <v>525</v>
      </c>
      <c r="G269" s="82"/>
      <c r="H269" s="82"/>
      <c r="I269" s="82" t="s">
        <v>250</v>
      </c>
      <c r="J269" s="102" t="n">
        <f aca="false">IF(B269="","",MONTH(B269))</f>
        <v>2</v>
      </c>
      <c r="K269" s="102" t="n">
        <f aca="false">IF(B269="","",YEAR(B269))</f>
        <v>2026</v>
      </c>
      <c r="L269" s="102" t="str">
        <f aca="false">IF(N(E269)=0,"",IF(COUNTIFS(AK_NAMA,C269,AK_KAT,"KAS")+COUNTIFS(AK_NAMA,D269,AK_KAT,"KAS")&lt;&gt;1,"",IF(COUNTIFS(AK_NAMA,C269,AK_KAT,"KAS")=1,D269,C269)))</f>
        <v>Biaya Lainnya</v>
      </c>
      <c r="M269" s="103" t="n">
        <f aca="false">IF(L269="",0,IF(L269=D269,E269,-E269))</f>
        <v>-325</v>
      </c>
      <c r="N269" s="102" t="str">
        <f aca="false">IF(L269="","",IFERROR(INDEX(AK_BARIS,MATCH(L269,AK_NAMA,0)),"?"))</f>
        <v>OP2</v>
      </c>
      <c r="O269" s="102" t="str">
        <f aca="false">IF(C269="","",IFERROR(INDEX(AK_KEL,MATCH(C269,AK_NAMA,0)),"?"))</f>
        <v>BEBAN</v>
      </c>
      <c r="P269" s="102" t="str">
        <f aca="false">IF(D269="","",IFERROR(INDEX(AK_KEL,MATCH(D269,AK_NAMA,0)),"?"))</f>
        <v>ASET</v>
      </c>
      <c r="Q269" s="102" t="n">
        <f aca="false">N(Q268)+IF(AND(N(E269)&lt;&gt;0,K269=TAHUN,N(J269)&lt;=BLN,OR(C269=BB_AKUN,D269=BB_AKUN)),1,0)</f>
        <v>174</v>
      </c>
      <c r="R269" s="104" t="str">
        <f aca="false">IF(OR(C269&amp;D269="",N(E269)=0),"",IF(OR(O269="?",P269="?"),"⚠ akun tidak dikenal",IF(C269=D269,"⚠ debet = kredit","")))</f>
        <v/>
      </c>
    </row>
    <row r="270" customFormat="false" ht="15" hidden="false" customHeight="false" outlineLevel="0" collapsed="false">
      <c r="A270" s="82" t="s">
        <v>948</v>
      </c>
      <c r="B270" s="101" t="n">
        <v>46075</v>
      </c>
      <c r="C270" s="82" t="s">
        <v>461</v>
      </c>
      <c r="D270" s="82" t="s">
        <v>475</v>
      </c>
      <c r="E270" s="91" t="n">
        <v>5000000</v>
      </c>
      <c r="F270" s="82" t="s">
        <v>560</v>
      </c>
      <c r="G270" s="82"/>
      <c r="H270" s="82"/>
      <c r="I270" s="82" t="s">
        <v>250</v>
      </c>
      <c r="J270" s="102" t="n">
        <f aca="false">IF(B270="","",MONTH(B270))</f>
        <v>2</v>
      </c>
      <c r="K270" s="102" t="n">
        <f aca="false">IF(B270="","",YEAR(B270))</f>
        <v>2026</v>
      </c>
      <c r="L270" s="102" t="str">
        <f aca="false">IF(N(E270)=0,"",IF(COUNTIFS(AK_NAMA,C270,AK_KAT,"KAS")+COUNTIFS(AK_NAMA,D270,AK_KAT,"KAS")&lt;&gt;1,"",IF(COUNTIFS(AK_NAMA,C270,AK_KAT,"KAS")=1,D270,C270)))</f>
        <v/>
      </c>
      <c r="M270" s="103" t="n">
        <f aca="false">IF(L270="",0,IF(L270=D270,E270,-E270))</f>
        <v>0</v>
      </c>
      <c r="N270" s="102" t="str">
        <f aca="false">IF(L270="","",IFERROR(INDEX(AK_BARIS,MATCH(L270,AK_NAMA,0)),"?"))</f>
        <v/>
      </c>
      <c r="O270" s="102" t="str">
        <f aca="false">IF(C270="","",IFERROR(INDEX(AK_KEL,MATCH(C270,AK_NAMA,0)),"?"))</f>
        <v>ASET</v>
      </c>
      <c r="P270" s="102" t="str">
        <f aca="false">IF(D270="","",IFERROR(INDEX(AK_KEL,MATCH(D270,AK_NAMA,0)),"?"))</f>
        <v>ASET</v>
      </c>
      <c r="Q270" s="102" t="n">
        <f aca="false">N(Q269)+IF(AND(N(E270)&lt;&gt;0,K270=TAHUN,N(J270)&lt;=BLN,OR(C270=BB_AKUN,D270=BB_AKUN)),1,0)</f>
        <v>175</v>
      </c>
      <c r="R270" s="104" t="str">
        <f aca="false">IF(OR(C270&amp;D270="",N(E270)=0),"",IF(OR(O270="?",P270="?"),"⚠ akun tidak dikenal",IF(C270=D270,"⚠ debet = kredit","")))</f>
        <v/>
      </c>
    </row>
    <row r="271" customFormat="false" ht="15" hidden="false" customHeight="false" outlineLevel="0" collapsed="false">
      <c r="A271" s="82" t="s">
        <v>949</v>
      </c>
      <c r="B271" s="101" t="n">
        <v>46076</v>
      </c>
      <c r="C271" s="82" t="s">
        <v>470</v>
      </c>
      <c r="D271" s="82" t="s">
        <v>461</v>
      </c>
      <c r="E271" s="91" t="n">
        <v>440000</v>
      </c>
      <c r="F271" s="82" t="s">
        <v>950</v>
      </c>
      <c r="G271" s="82"/>
      <c r="H271" s="82"/>
      <c r="I271" s="82" t="s">
        <v>250</v>
      </c>
      <c r="J271" s="102" t="n">
        <f aca="false">IF(B271="","",MONTH(B271))</f>
        <v>2</v>
      </c>
      <c r="K271" s="102" t="n">
        <f aca="false">IF(B271="","",YEAR(B271))</f>
        <v>2026</v>
      </c>
      <c r="L271" s="102" t="str">
        <f aca="false">IF(N(E271)=0,"",IF(COUNTIFS(AK_NAMA,C271,AK_KAT,"KAS")+COUNTIFS(AK_NAMA,D271,AK_KAT,"KAS")&lt;&gt;1,"",IF(COUNTIFS(AK_NAMA,C271,AK_KAT,"KAS")=1,D271,C271)))</f>
        <v>Biaya Bahan Baku</v>
      </c>
      <c r="M271" s="103" t="n">
        <f aca="false">IF(L271="",0,IF(L271=D271,E271,-E271))</f>
        <v>-440000</v>
      </c>
      <c r="N271" s="102" t="str">
        <f aca="false">IF(L271="","",IFERROR(INDEX(AK_BARIS,MATCH(L271,AK_NAMA,0)),"?"))</f>
        <v>OP3</v>
      </c>
      <c r="O271" s="102" t="str">
        <f aca="false">IF(C271="","",IFERROR(INDEX(AK_KEL,MATCH(C271,AK_NAMA,0)),"?"))</f>
        <v>BEBAN</v>
      </c>
      <c r="P271" s="102" t="str">
        <f aca="false">IF(D271="","",IFERROR(INDEX(AK_KEL,MATCH(D271,AK_NAMA,0)),"?"))</f>
        <v>ASET</v>
      </c>
      <c r="Q271" s="102" t="n">
        <f aca="false">N(Q270)+IF(AND(N(E271)&lt;&gt;0,K271=TAHUN,N(J271)&lt;=BLN,OR(C271=BB_AKUN,D271=BB_AKUN)),1,0)</f>
        <v>176</v>
      </c>
      <c r="R271" s="104" t="str">
        <f aca="false">IF(OR(C271&amp;D271="",N(E271)=0),"",IF(OR(O271="?",P271="?"),"⚠ akun tidak dikenal",IF(C271=D271,"⚠ debet = kredit","")))</f>
        <v/>
      </c>
    </row>
    <row r="272" customFormat="false" ht="15" hidden="false" customHeight="false" outlineLevel="0" collapsed="false">
      <c r="A272" s="82" t="s">
        <v>951</v>
      </c>
      <c r="B272" s="101" t="n">
        <v>46076</v>
      </c>
      <c r="C272" s="82" t="s">
        <v>765</v>
      </c>
      <c r="D272" s="82" t="s">
        <v>486</v>
      </c>
      <c r="E272" s="91" t="n">
        <v>189000</v>
      </c>
      <c r="F272" s="82" t="s">
        <v>952</v>
      </c>
      <c r="G272" s="82"/>
      <c r="H272" s="82" t="s">
        <v>767</v>
      </c>
      <c r="I272" s="82" t="s">
        <v>250</v>
      </c>
      <c r="J272" s="102" t="n">
        <f aca="false">IF(B272="","",MONTH(B272))</f>
        <v>2</v>
      </c>
      <c r="K272" s="102" t="n">
        <f aca="false">IF(B272="","",YEAR(B272))</f>
        <v>2026</v>
      </c>
      <c r="L272" s="102" t="str">
        <f aca="false">IF(N(E272)=0,"",IF(COUNTIFS(AK_NAMA,C272,AK_KAT,"KAS")+COUNTIFS(AK_NAMA,D272,AK_KAT,"KAS")&lt;&gt;1,"",IF(COUNTIFS(AK_NAMA,C272,AK_KAT,"KAS")=1,D272,C272)))</f>
        <v>Piutang Usaha Cafe</v>
      </c>
      <c r="M272" s="103" t="n">
        <f aca="false">IF(L272="",0,IF(L272=D272,E272,-E272))</f>
        <v>-189000</v>
      </c>
      <c r="N272" s="102" t="str">
        <f aca="false">IF(L272="","",IFERROR(INDEX(AK_BARIS,MATCH(L272,AK_NAMA,0)),"?"))</f>
        <v>OP1</v>
      </c>
      <c r="O272" s="102" t="str">
        <f aca="false">IF(C272="","",IFERROR(INDEX(AK_KEL,MATCH(C272,AK_NAMA,0)),"?"))</f>
        <v>ASET</v>
      </c>
      <c r="P272" s="102" t="str">
        <f aca="false">IF(D272="","",IFERROR(INDEX(AK_KEL,MATCH(D272,AK_NAMA,0)),"?"))</f>
        <v>ASET</v>
      </c>
      <c r="Q272" s="102" t="n">
        <f aca="false">N(Q271)+IF(AND(N(E272)&lt;&gt;0,K272=TAHUN,N(J272)&lt;=BLN,OR(C272=BB_AKUN,D272=BB_AKUN)),1,0)</f>
        <v>176</v>
      </c>
      <c r="R272" s="104" t="str">
        <f aca="false">IF(OR(C272&amp;D272="",N(E272)=0),"",IF(OR(O272="?",P272="?"),"⚠ akun tidak dikenal",IF(C272=D272,"⚠ debet = kredit","")))</f>
        <v/>
      </c>
    </row>
    <row r="273" customFormat="false" ht="15" hidden="false" customHeight="false" outlineLevel="0" collapsed="false">
      <c r="A273" s="82" t="s">
        <v>953</v>
      </c>
      <c r="B273" s="101" t="n">
        <v>46077</v>
      </c>
      <c r="C273" s="82" t="s">
        <v>478</v>
      </c>
      <c r="D273" s="82" t="s">
        <v>461</v>
      </c>
      <c r="E273" s="91" t="n">
        <v>1000000</v>
      </c>
      <c r="F273" s="82" t="s">
        <v>954</v>
      </c>
      <c r="G273" s="82"/>
      <c r="H273" s="82"/>
      <c r="I273" s="82" t="s">
        <v>250</v>
      </c>
      <c r="J273" s="102" t="n">
        <f aca="false">IF(B273="","",MONTH(B273))</f>
        <v>2</v>
      </c>
      <c r="K273" s="102" t="n">
        <f aca="false">IF(B273="","",YEAR(B273))</f>
        <v>2026</v>
      </c>
      <c r="L273" s="102" t="str">
        <f aca="false">IF(N(E273)=0,"",IF(COUNTIFS(AK_NAMA,C273,AK_KAT,"KAS")+COUNTIFS(AK_NAMA,D273,AK_KAT,"KAS")&lt;&gt;1,"",IF(COUNTIFS(AK_NAMA,C273,AK_KAT,"KAS")=1,D273,C273)))</f>
        <v>Biaya Penyajian</v>
      </c>
      <c r="M273" s="103" t="n">
        <f aca="false">IF(L273="",0,IF(L273=D273,E273,-E273))</f>
        <v>-1000000</v>
      </c>
      <c r="N273" s="102" t="str">
        <f aca="false">IF(L273="","",IFERROR(INDEX(AK_BARIS,MATCH(L273,AK_NAMA,0)),"?"))</f>
        <v>OP3</v>
      </c>
      <c r="O273" s="102" t="str">
        <f aca="false">IF(C273="","",IFERROR(INDEX(AK_KEL,MATCH(C273,AK_NAMA,0)),"?"))</f>
        <v>BEBAN</v>
      </c>
      <c r="P273" s="102" t="str">
        <f aca="false">IF(D273="","",IFERROR(INDEX(AK_KEL,MATCH(D273,AK_NAMA,0)),"?"))</f>
        <v>ASET</v>
      </c>
      <c r="Q273" s="102" t="n">
        <f aca="false">N(Q272)+IF(AND(N(E273)&lt;&gt;0,K273=TAHUN,N(J273)&lt;=BLN,OR(C273=BB_AKUN,D273=BB_AKUN)),1,0)</f>
        <v>177</v>
      </c>
      <c r="R273" s="104" t="str">
        <f aca="false">IF(OR(C273&amp;D273="",N(E273)=0),"",IF(OR(O273="?",P273="?"),"⚠ akun tidak dikenal",IF(C273=D273,"⚠ debet = kredit","")))</f>
        <v/>
      </c>
    </row>
    <row r="274" customFormat="false" ht="15" hidden="false" customHeight="false" outlineLevel="0" collapsed="false">
      <c r="A274" s="82" t="s">
        <v>955</v>
      </c>
      <c r="B274" s="101" t="n">
        <v>46077</v>
      </c>
      <c r="C274" s="82" t="s">
        <v>548</v>
      </c>
      <c r="D274" s="82" t="s">
        <v>461</v>
      </c>
      <c r="E274" s="91" t="n">
        <v>156000</v>
      </c>
      <c r="F274" s="82" t="s">
        <v>956</v>
      </c>
      <c r="G274" s="82"/>
      <c r="H274" s="82"/>
      <c r="I274" s="82" t="s">
        <v>250</v>
      </c>
      <c r="J274" s="102" t="n">
        <f aca="false">IF(B274="","",MONTH(B274))</f>
        <v>2</v>
      </c>
      <c r="K274" s="102" t="n">
        <f aca="false">IF(B274="","",YEAR(B274))</f>
        <v>2026</v>
      </c>
      <c r="L274" s="102" t="str">
        <f aca="false">IF(N(E274)=0,"",IF(COUNTIFS(AK_NAMA,C274,AK_KAT,"KAS")+COUNTIFS(AK_NAMA,D274,AK_KAT,"KAS")&lt;&gt;1,"",IF(COUNTIFS(AK_NAMA,C274,AK_KAT,"KAS")=1,D274,C274)))</f>
        <v>Beban Perlengkapan</v>
      </c>
      <c r="M274" s="103" t="n">
        <f aca="false">IF(L274="",0,IF(L274=D274,E274,-E274))</f>
        <v>-156000</v>
      </c>
      <c r="N274" s="102" t="str">
        <f aca="false">IF(L274="","",IFERROR(INDEX(AK_BARIS,MATCH(L274,AK_NAMA,0)),"?"))</f>
        <v>OP6</v>
      </c>
      <c r="O274" s="102" t="str">
        <f aca="false">IF(C274="","",IFERROR(INDEX(AK_KEL,MATCH(C274,AK_NAMA,0)),"?"))</f>
        <v>BEBAN</v>
      </c>
      <c r="P274" s="102" t="str">
        <f aca="false">IF(D274="","",IFERROR(INDEX(AK_KEL,MATCH(D274,AK_NAMA,0)),"?"))</f>
        <v>ASET</v>
      </c>
      <c r="Q274" s="102" t="n">
        <f aca="false">N(Q273)+IF(AND(N(E274)&lt;&gt;0,K274=TAHUN,N(J274)&lt;=BLN,OR(C274=BB_AKUN,D274=BB_AKUN)),1,0)</f>
        <v>178</v>
      </c>
      <c r="R274" s="104" t="str">
        <f aca="false">IF(OR(C274&amp;D274="",N(E274)=0),"",IF(OR(O274="?",P274="?"),"⚠ akun tidak dikenal",IF(C274=D274,"⚠ debet = kredit","")))</f>
        <v/>
      </c>
    </row>
    <row r="275" customFormat="false" ht="15" hidden="false" customHeight="false" outlineLevel="0" collapsed="false">
      <c r="A275" s="82" t="s">
        <v>957</v>
      </c>
      <c r="B275" s="101" t="n">
        <v>46077</v>
      </c>
      <c r="C275" s="82" t="s">
        <v>475</v>
      </c>
      <c r="D275" s="82" t="s">
        <v>486</v>
      </c>
      <c r="E275" s="91" t="n">
        <v>109000</v>
      </c>
      <c r="F275" s="82" t="s">
        <v>958</v>
      </c>
      <c r="G275" s="82"/>
      <c r="H275" s="82"/>
      <c r="I275" s="82" t="s">
        <v>250</v>
      </c>
      <c r="J275" s="102" t="n">
        <f aca="false">IF(B275="","",MONTH(B275))</f>
        <v>2</v>
      </c>
      <c r="K275" s="102" t="n">
        <f aca="false">IF(B275="","",YEAR(B275))</f>
        <v>2026</v>
      </c>
      <c r="L275" s="102" t="str">
        <f aca="false">IF(N(E275)=0,"",IF(COUNTIFS(AK_NAMA,C275,AK_KAT,"KAS")+COUNTIFS(AK_NAMA,D275,AK_KAT,"KAS")&lt;&gt;1,"",IF(COUNTIFS(AK_NAMA,C275,AK_KAT,"KAS")=1,D275,C275)))</f>
        <v/>
      </c>
      <c r="M275" s="103" t="n">
        <f aca="false">IF(L275="",0,IF(L275=D275,E275,-E275))</f>
        <v>0</v>
      </c>
      <c r="N275" s="102" t="str">
        <f aca="false">IF(L275="","",IFERROR(INDEX(AK_BARIS,MATCH(L275,AK_NAMA,0)),"?"))</f>
        <v/>
      </c>
      <c r="O275" s="102" t="str">
        <f aca="false">IF(C275="","",IFERROR(INDEX(AK_KEL,MATCH(C275,AK_NAMA,0)),"?"))</f>
        <v>ASET</v>
      </c>
      <c r="P275" s="102" t="str">
        <f aca="false">IF(D275="","",IFERROR(INDEX(AK_KEL,MATCH(D275,AK_NAMA,0)),"?"))</f>
        <v>ASET</v>
      </c>
      <c r="Q275" s="102" t="n">
        <f aca="false">N(Q274)+IF(AND(N(E275)&lt;&gt;0,K275=TAHUN,N(J275)&lt;=BLN,OR(C275=BB_AKUN,D275=BB_AKUN)),1,0)</f>
        <v>178</v>
      </c>
      <c r="R275" s="104" t="str">
        <f aca="false">IF(OR(C275&amp;D275="",N(E275)=0),"",IF(OR(O275="?",P275="?"),"⚠ akun tidak dikenal",IF(C275=D275,"⚠ debet = kredit","")))</f>
        <v/>
      </c>
    </row>
    <row r="276" customFormat="false" ht="15" hidden="false" customHeight="false" outlineLevel="0" collapsed="false">
      <c r="A276" s="82" t="s">
        <v>959</v>
      </c>
      <c r="B276" s="101" t="n">
        <v>46077</v>
      </c>
      <c r="C276" s="82" t="s">
        <v>486</v>
      </c>
      <c r="D276" s="82" t="s">
        <v>475</v>
      </c>
      <c r="E276" s="91" t="n">
        <v>500000</v>
      </c>
      <c r="F276" s="82" t="s">
        <v>960</v>
      </c>
      <c r="G276" s="82"/>
      <c r="H276" s="82"/>
      <c r="I276" s="82" t="s">
        <v>250</v>
      </c>
      <c r="J276" s="102" t="n">
        <f aca="false">IF(B276="","",MONTH(B276))</f>
        <v>2</v>
      </c>
      <c r="K276" s="102" t="n">
        <f aca="false">IF(B276="","",YEAR(B276))</f>
        <v>2026</v>
      </c>
      <c r="L276" s="102" t="str">
        <f aca="false">IF(N(E276)=0,"",IF(COUNTIFS(AK_NAMA,C276,AK_KAT,"KAS")+COUNTIFS(AK_NAMA,D276,AK_KAT,"KAS")&lt;&gt;1,"",IF(COUNTIFS(AK_NAMA,C276,AK_KAT,"KAS")=1,D276,C276)))</f>
        <v/>
      </c>
      <c r="M276" s="103" t="n">
        <f aca="false">IF(L276="",0,IF(L276=D276,E276,-E276))</f>
        <v>0</v>
      </c>
      <c r="N276" s="102" t="str">
        <f aca="false">IF(L276="","",IFERROR(INDEX(AK_BARIS,MATCH(L276,AK_NAMA,0)),"?"))</f>
        <v/>
      </c>
      <c r="O276" s="102" t="str">
        <f aca="false">IF(C276="","",IFERROR(INDEX(AK_KEL,MATCH(C276,AK_NAMA,0)),"?"))</f>
        <v>ASET</v>
      </c>
      <c r="P276" s="102" t="str">
        <f aca="false">IF(D276="","",IFERROR(INDEX(AK_KEL,MATCH(D276,AK_NAMA,0)),"?"))</f>
        <v>ASET</v>
      </c>
      <c r="Q276" s="102" t="n">
        <f aca="false">N(Q275)+IF(AND(N(E276)&lt;&gt;0,K276=TAHUN,N(J276)&lt;=BLN,OR(C276=BB_AKUN,D276=BB_AKUN)),1,0)</f>
        <v>178</v>
      </c>
      <c r="R276" s="104" t="str">
        <f aca="false">IF(OR(C276&amp;D276="",N(E276)=0),"",IF(OR(O276="?",P276="?"),"⚠ akun tidak dikenal",IF(C276=D276,"⚠ debet = kredit","")))</f>
        <v/>
      </c>
    </row>
    <row r="277" customFormat="false" ht="15" hidden="false" customHeight="false" outlineLevel="0" collapsed="false">
      <c r="A277" s="82" t="s">
        <v>961</v>
      </c>
      <c r="B277" s="101" t="n">
        <v>46077</v>
      </c>
      <c r="C277" s="82" t="s">
        <v>470</v>
      </c>
      <c r="D277" s="82" t="s">
        <v>486</v>
      </c>
      <c r="E277" s="91" t="n">
        <v>558000</v>
      </c>
      <c r="F277" s="82" t="s">
        <v>935</v>
      </c>
      <c r="G277" s="82"/>
      <c r="H277" s="82"/>
      <c r="I277" s="82" t="s">
        <v>250</v>
      </c>
      <c r="J277" s="102" t="n">
        <f aca="false">IF(B277="","",MONTH(B277))</f>
        <v>2</v>
      </c>
      <c r="K277" s="102" t="n">
        <f aca="false">IF(B277="","",YEAR(B277))</f>
        <v>2026</v>
      </c>
      <c r="L277" s="102" t="str">
        <f aca="false">IF(N(E277)=0,"",IF(COUNTIFS(AK_NAMA,C277,AK_KAT,"KAS")+COUNTIFS(AK_NAMA,D277,AK_KAT,"KAS")&lt;&gt;1,"",IF(COUNTIFS(AK_NAMA,C277,AK_KAT,"KAS")=1,D277,C277)))</f>
        <v>Biaya Bahan Baku</v>
      </c>
      <c r="M277" s="103" t="n">
        <f aca="false">IF(L277="",0,IF(L277=D277,E277,-E277))</f>
        <v>-558000</v>
      </c>
      <c r="N277" s="102" t="str">
        <f aca="false">IF(L277="","",IFERROR(INDEX(AK_BARIS,MATCH(L277,AK_NAMA,0)),"?"))</f>
        <v>OP3</v>
      </c>
      <c r="O277" s="102" t="str">
        <f aca="false">IF(C277="","",IFERROR(INDEX(AK_KEL,MATCH(C277,AK_NAMA,0)),"?"))</f>
        <v>BEBAN</v>
      </c>
      <c r="P277" s="102" t="str">
        <f aca="false">IF(D277="","",IFERROR(INDEX(AK_KEL,MATCH(D277,AK_NAMA,0)),"?"))</f>
        <v>ASET</v>
      </c>
      <c r="Q277" s="102" t="n">
        <f aca="false">N(Q276)+IF(AND(N(E277)&lt;&gt;0,K277=TAHUN,N(J277)&lt;=BLN,OR(C277=BB_AKUN,D277=BB_AKUN)),1,0)</f>
        <v>178</v>
      </c>
      <c r="R277" s="104" t="str">
        <f aca="false">IF(OR(C277&amp;D277="",N(E277)=0),"",IF(OR(O277="?",P277="?"),"⚠ akun tidak dikenal",IF(C277=D277,"⚠ debet = kredit","")))</f>
        <v/>
      </c>
    </row>
    <row r="278" customFormat="false" ht="15" hidden="false" customHeight="false" outlineLevel="0" collapsed="false">
      <c r="A278" s="82" t="s">
        <v>962</v>
      </c>
      <c r="B278" s="101" t="n">
        <v>46077</v>
      </c>
      <c r="C278" s="82" t="s">
        <v>470</v>
      </c>
      <c r="D278" s="82" t="s">
        <v>486</v>
      </c>
      <c r="E278" s="91" t="n">
        <v>140000</v>
      </c>
      <c r="F278" s="82" t="s">
        <v>937</v>
      </c>
      <c r="G278" s="82"/>
      <c r="H278" s="82"/>
      <c r="I278" s="82" t="s">
        <v>250</v>
      </c>
      <c r="J278" s="102" t="n">
        <f aca="false">IF(B278="","",MONTH(B278))</f>
        <v>2</v>
      </c>
      <c r="K278" s="102" t="n">
        <f aca="false">IF(B278="","",YEAR(B278))</f>
        <v>2026</v>
      </c>
      <c r="L278" s="102" t="str">
        <f aca="false">IF(N(E278)=0,"",IF(COUNTIFS(AK_NAMA,C278,AK_KAT,"KAS")+COUNTIFS(AK_NAMA,D278,AK_KAT,"KAS")&lt;&gt;1,"",IF(COUNTIFS(AK_NAMA,C278,AK_KAT,"KAS")=1,D278,C278)))</f>
        <v>Biaya Bahan Baku</v>
      </c>
      <c r="M278" s="103" t="n">
        <f aca="false">IF(L278="",0,IF(L278=D278,E278,-E278))</f>
        <v>-140000</v>
      </c>
      <c r="N278" s="102" t="str">
        <f aca="false">IF(L278="","",IFERROR(INDEX(AK_BARIS,MATCH(L278,AK_NAMA,0)),"?"))</f>
        <v>OP3</v>
      </c>
      <c r="O278" s="102" t="str">
        <f aca="false">IF(C278="","",IFERROR(INDEX(AK_KEL,MATCH(C278,AK_NAMA,0)),"?"))</f>
        <v>BEBAN</v>
      </c>
      <c r="P278" s="102" t="str">
        <f aca="false">IF(D278="","",IFERROR(INDEX(AK_KEL,MATCH(D278,AK_NAMA,0)),"?"))</f>
        <v>ASET</v>
      </c>
      <c r="Q278" s="102" t="n">
        <f aca="false">N(Q277)+IF(AND(N(E278)&lt;&gt;0,K278=TAHUN,N(J278)&lt;=BLN,OR(C278=BB_AKUN,D278=BB_AKUN)),1,0)</f>
        <v>178</v>
      </c>
      <c r="R278" s="104" t="str">
        <f aca="false">IF(OR(C278&amp;D278="",N(E278)=0),"",IF(OR(O278="?",P278="?"),"⚠ akun tidak dikenal",IF(C278=D278,"⚠ debet = kredit","")))</f>
        <v/>
      </c>
    </row>
    <row r="279" customFormat="false" ht="15" hidden="false" customHeight="false" outlineLevel="0" collapsed="false">
      <c r="A279" s="82" t="s">
        <v>963</v>
      </c>
      <c r="B279" s="101" t="n">
        <v>46077</v>
      </c>
      <c r="C279" s="82" t="s">
        <v>485</v>
      </c>
      <c r="D279" s="82" t="s">
        <v>486</v>
      </c>
      <c r="E279" s="91" t="n">
        <v>4000</v>
      </c>
      <c r="F279" s="82" t="s">
        <v>555</v>
      </c>
      <c r="G279" s="82"/>
      <c r="H279" s="82"/>
      <c r="I279" s="82" t="s">
        <v>250</v>
      </c>
      <c r="J279" s="102" t="n">
        <f aca="false">IF(B279="","",MONTH(B279))</f>
        <v>2</v>
      </c>
      <c r="K279" s="102" t="n">
        <f aca="false">IF(B279="","",YEAR(B279))</f>
        <v>2026</v>
      </c>
      <c r="L279" s="102" t="str">
        <f aca="false">IF(N(E279)=0,"",IF(COUNTIFS(AK_NAMA,C279,AK_KAT,"KAS")+COUNTIFS(AK_NAMA,D279,AK_KAT,"KAS")&lt;&gt;1,"",IF(COUNTIFS(AK_NAMA,C279,AK_KAT,"KAS")=1,D279,C279)))</f>
        <v>Biaya Operasional Harian</v>
      </c>
      <c r="M279" s="103" t="n">
        <f aca="false">IF(L279="",0,IF(L279=D279,E279,-E279))</f>
        <v>-4000</v>
      </c>
      <c r="N279" s="102" t="str">
        <f aca="false">IF(L279="","",IFERROR(INDEX(AK_BARIS,MATCH(L279,AK_NAMA,0)),"?"))</f>
        <v>OP6</v>
      </c>
      <c r="O279" s="102" t="str">
        <f aca="false">IF(C279="","",IFERROR(INDEX(AK_KEL,MATCH(C279,AK_NAMA,0)),"?"))</f>
        <v>BEBAN</v>
      </c>
      <c r="P279" s="102" t="str">
        <f aca="false">IF(D279="","",IFERROR(INDEX(AK_KEL,MATCH(D279,AK_NAMA,0)),"?"))</f>
        <v>ASET</v>
      </c>
      <c r="Q279" s="102" t="n">
        <f aca="false">N(Q278)+IF(AND(N(E279)&lt;&gt;0,K279=TAHUN,N(J279)&lt;=BLN,OR(C279=BB_AKUN,D279=BB_AKUN)),1,0)</f>
        <v>178</v>
      </c>
      <c r="R279" s="104" t="str">
        <f aca="false">IF(OR(C279&amp;D279="",N(E279)=0),"",IF(OR(O279="?",P279="?"),"⚠ akun tidak dikenal",IF(C279=D279,"⚠ debet = kredit","")))</f>
        <v/>
      </c>
    </row>
    <row r="280" customFormat="false" ht="15" hidden="false" customHeight="false" outlineLevel="0" collapsed="false">
      <c r="A280" s="82" t="s">
        <v>964</v>
      </c>
      <c r="B280" s="101" t="n">
        <v>46077</v>
      </c>
      <c r="C280" s="82" t="s">
        <v>730</v>
      </c>
      <c r="D280" s="82" t="s">
        <v>461</v>
      </c>
      <c r="E280" s="91" t="n">
        <v>10000000</v>
      </c>
      <c r="F280" s="82" t="s">
        <v>731</v>
      </c>
      <c r="G280" s="82"/>
      <c r="H280" s="82"/>
      <c r="I280" s="82" t="s">
        <v>250</v>
      </c>
      <c r="J280" s="102" t="n">
        <f aca="false">IF(B280="","",MONTH(B280))</f>
        <v>2</v>
      </c>
      <c r="K280" s="102" t="n">
        <f aca="false">IF(B280="","",YEAR(B280))</f>
        <v>2026</v>
      </c>
      <c r="L280" s="102" t="str">
        <f aca="false">IF(N(E280)=0,"",IF(COUNTIFS(AK_NAMA,C280,AK_KAT,"KAS")+COUNTIFS(AK_NAMA,D280,AK_KAT,"KAS")&lt;&gt;1,"",IF(COUNTIFS(AK_NAMA,C280,AK_KAT,"KAS")=1,D280,C280)))</f>
        <v>Biaya Sewa Tempat</v>
      </c>
      <c r="M280" s="103" t="n">
        <f aca="false">IF(L280="",0,IF(L280=D280,E280,-E280))</f>
        <v>-10000000</v>
      </c>
      <c r="N280" s="102" t="str">
        <f aca="false">IF(L280="","",IFERROR(INDEX(AK_BARIS,MATCH(L280,AK_NAMA,0)),"?"))</f>
        <v>OP5</v>
      </c>
      <c r="O280" s="102" t="str">
        <f aca="false">IF(C280="","",IFERROR(INDEX(AK_KEL,MATCH(C280,AK_NAMA,0)),"?"))</f>
        <v>BEBAN</v>
      </c>
      <c r="P280" s="102" t="str">
        <f aca="false">IF(D280="","",IFERROR(INDEX(AK_KEL,MATCH(D280,AK_NAMA,0)),"?"))</f>
        <v>ASET</v>
      </c>
      <c r="Q280" s="102" t="n">
        <f aca="false">N(Q279)+IF(AND(N(E280)&lt;&gt;0,K280=TAHUN,N(J280)&lt;=BLN,OR(C280=BB_AKUN,D280=BB_AKUN)),1,0)</f>
        <v>179</v>
      </c>
      <c r="R280" s="104" t="str">
        <f aca="false">IF(OR(C280&amp;D280="",N(E280)=0),"",IF(OR(O280="?",P280="?"),"⚠ akun tidak dikenal",IF(C280=D280,"⚠ debet = kredit","")))</f>
        <v/>
      </c>
    </row>
    <row r="281" customFormat="false" ht="15" hidden="false" customHeight="false" outlineLevel="0" collapsed="false">
      <c r="A281" s="82" t="s">
        <v>965</v>
      </c>
      <c r="B281" s="101" t="n">
        <v>46079</v>
      </c>
      <c r="C281" s="82" t="s">
        <v>460</v>
      </c>
      <c r="D281" s="82" t="s">
        <v>461</v>
      </c>
      <c r="E281" s="91" t="n">
        <v>26801</v>
      </c>
      <c r="F281" s="82" t="s">
        <v>966</v>
      </c>
      <c r="G281" s="82"/>
      <c r="H281" s="82"/>
      <c r="I281" s="82" t="s">
        <v>250</v>
      </c>
      <c r="J281" s="102" t="n">
        <f aca="false">IF(B281="","",MONTH(B281))</f>
        <v>2</v>
      </c>
      <c r="K281" s="102" t="n">
        <f aca="false">IF(B281="","",YEAR(B281))</f>
        <v>2026</v>
      </c>
      <c r="L281" s="102" t="str">
        <f aca="false">IF(N(E281)=0,"",IF(COUNTIFS(AK_NAMA,C281,AK_KAT,"KAS")+COUNTIFS(AK_NAMA,D281,AK_KAT,"KAS")&lt;&gt;1,"",IF(COUNTIFS(AK_NAMA,C281,AK_KAT,"KAS")=1,D281,C281)))</f>
        <v>Biaya Marketing &amp; Promosi</v>
      </c>
      <c r="M281" s="103" t="n">
        <f aca="false">IF(L281="",0,IF(L281=D281,E281,-E281))</f>
        <v>-26801</v>
      </c>
      <c r="N281" s="102" t="str">
        <f aca="false">IF(L281="","",IFERROR(INDEX(AK_BARIS,MATCH(L281,AK_NAMA,0)),"?"))</f>
        <v>OP6</v>
      </c>
      <c r="O281" s="102" t="str">
        <f aca="false">IF(C281="","",IFERROR(INDEX(AK_KEL,MATCH(C281,AK_NAMA,0)),"?"))</f>
        <v>BEBAN</v>
      </c>
      <c r="P281" s="102" t="str">
        <f aca="false">IF(D281="","",IFERROR(INDEX(AK_KEL,MATCH(D281,AK_NAMA,0)),"?"))</f>
        <v>ASET</v>
      </c>
      <c r="Q281" s="102" t="n">
        <f aca="false">N(Q280)+IF(AND(N(E281)&lt;&gt;0,K281=TAHUN,N(J281)&lt;=BLN,OR(C281=BB_AKUN,D281=BB_AKUN)),1,0)</f>
        <v>180</v>
      </c>
      <c r="R281" s="104" t="str">
        <f aca="false">IF(OR(C281&amp;D281="",N(E281)=0),"",IF(OR(O281="?",P281="?"),"⚠ akun tidak dikenal",IF(C281=D281,"⚠ debet = kredit","")))</f>
        <v/>
      </c>
    </row>
    <row r="282" customFormat="false" ht="15" hidden="false" customHeight="false" outlineLevel="0" collapsed="false">
      <c r="A282" s="82" t="s">
        <v>967</v>
      </c>
      <c r="B282" s="101" t="n">
        <v>46079</v>
      </c>
      <c r="C282" s="82" t="s">
        <v>470</v>
      </c>
      <c r="D282" s="82" t="s">
        <v>461</v>
      </c>
      <c r="E282" s="91" t="n">
        <v>950000</v>
      </c>
      <c r="F282" s="82" t="s">
        <v>968</v>
      </c>
      <c r="G282" s="82"/>
      <c r="H282" s="82"/>
      <c r="I282" s="82" t="s">
        <v>250</v>
      </c>
      <c r="J282" s="102" t="n">
        <f aca="false">IF(B282="","",MONTH(B282))</f>
        <v>2</v>
      </c>
      <c r="K282" s="102" t="n">
        <f aca="false">IF(B282="","",YEAR(B282))</f>
        <v>2026</v>
      </c>
      <c r="L282" s="102" t="str">
        <f aca="false">IF(N(E282)=0,"",IF(COUNTIFS(AK_NAMA,C282,AK_KAT,"KAS")+COUNTIFS(AK_NAMA,D282,AK_KAT,"KAS")&lt;&gt;1,"",IF(COUNTIFS(AK_NAMA,C282,AK_KAT,"KAS")=1,D282,C282)))</f>
        <v>Biaya Bahan Baku</v>
      </c>
      <c r="M282" s="103" t="n">
        <f aca="false">IF(L282="",0,IF(L282=D282,E282,-E282))</f>
        <v>-950000</v>
      </c>
      <c r="N282" s="102" t="str">
        <f aca="false">IF(L282="","",IFERROR(INDEX(AK_BARIS,MATCH(L282,AK_NAMA,0)),"?"))</f>
        <v>OP3</v>
      </c>
      <c r="O282" s="102" t="str">
        <f aca="false">IF(C282="","",IFERROR(INDEX(AK_KEL,MATCH(C282,AK_NAMA,0)),"?"))</f>
        <v>BEBAN</v>
      </c>
      <c r="P282" s="102" t="str">
        <f aca="false">IF(D282="","",IFERROR(INDEX(AK_KEL,MATCH(D282,AK_NAMA,0)),"?"))</f>
        <v>ASET</v>
      </c>
      <c r="Q282" s="102" t="n">
        <f aca="false">N(Q281)+IF(AND(N(E282)&lt;&gt;0,K282=TAHUN,N(J282)&lt;=BLN,OR(C282=BB_AKUN,D282=BB_AKUN)),1,0)</f>
        <v>181</v>
      </c>
      <c r="R282" s="104" t="str">
        <f aca="false">IF(OR(C282&amp;D282="",N(E282)=0),"",IF(OR(O282="?",P282="?"),"⚠ akun tidak dikenal",IF(C282=D282,"⚠ debet = kredit","")))</f>
        <v/>
      </c>
    </row>
    <row r="283" customFormat="false" ht="15" hidden="false" customHeight="false" outlineLevel="0" collapsed="false">
      <c r="A283" s="82" t="s">
        <v>969</v>
      </c>
      <c r="B283" s="101" t="n">
        <v>46079</v>
      </c>
      <c r="C283" s="82" t="s">
        <v>486</v>
      </c>
      <c r="D283" s="82" t="s">
        <v>461</v>
      </c>
      <c r="E283" s="91" t="n">
        <v>500000</v>
      </c>
      <c r="F283" s="82" t="s">
        <v>910</v>
      </c>
      <c r="G283" s="82"/>
      <c r="H283" s="82"/>
      <c r="I283" s="82" t="s">
        <v>250</v>
      </c>
      <c r="J283" s="102" t="n">
        <f aca="false">IF(B283="","",MONTH(B283))</f>
        <v>2</v>
      </c>
      <c r="K283" s="102" t="n">
        <f aca="false">IF(B283="","",YEAR(B283))</f>
        <v>2026</v>
      </c>
      <c r="L283" s="102" t="str">
        <f aca="false">IF(N(E283)=0,"",IF(COUNTIFS(AK_NAMA,C283,AK_KAT,"KAS")+COUNTIFS(AK_NAMA,D283,AK_KAT,"KAS")&lt;&gt;1,"",IF(COUNTIFS(AK_NAMA,C283,AK_KAT,"KAS")=1,D283,C283)))</f>
        <v/>
      </c>
      <c r="M283" s="103" t="n">
        <f aca="false">IF(L283="",0,IF(L283=D283,E283,-E283))</f>
        <v>0</v>
      </c>
      <c r="N283" s="102" t="str">
        <f aca="false">IF(L283="","",IFERROR(INDEX(AK_BARIS,MATCH(L283,AK_NAMA,0)),"?"))</f>
        <v/>
      </c>
      <c r="O283" s="102" t="str">
        <f aca="false">IF(C283="","",IFERROR(INDEX(AK_KEL,MATCH(C283,AK_NAMA,0)),"?"))</f>
        <v>ASET</v>
      </c>
      <c r="P283" s="102" t="str">
        <f aca="false">IF(D283="","",IFERROR(INDEX(AK_KEL,MATCH(D283,AK_NAMA,0)),"?"))</f>
        <v>ASET</v>
      </c>
      <c r="Q283" s="102" t="n">
        <f aca="false">N(Q282)+IF(AND(N(E283)&lt;&gt;0,K283=TAHUN,N(J283)&lt;=BLN,OR(C283=BB_AKUN,D283=BB_AKUN)),1,0)</f>
        <v>182</v>
      </c>
      <c r="R283" s="104" t="str">
        <f aca="false">IF(OR(C283&amp;D283="",N(E283)=0),"",IF(OR(O283="?",P283="?"),"⚠ akun tidak dikenal",IF(C283=D283,"⚠ debet = kredit","")))</f>
        <v/>
      </c>
    </row>
    <row r="284" customFormat="false" ht="15" hidden="false" customHeight="false" outlineLevel="0" collapsed="false">
      <c r="A284" s="82" t="s">
        <v>970</v>
      </c>
      <c r="B284" s="101" t="n">
        <v>46079</v>
      </c>
      <c r="C284" s="82" t="s">
        <v>524</v>
      </c>
      <c r="D284" s="82" t="s">
        <v>461</v>
      </c>
      <c r="E284" s="91" t="n">
        <v>348</v>
      </c>
      <c r="F284" s="82" t="s">
        <v>525</v>
      </c>
      <c r="G284" s="82"/>
      <c r="H284" s="82"/>
      <c r="I284" s="82" t="s">
        <v>250</v>
      </c>
      <c r="J284" s="102" t="n">
        <f aca="false">IF(B284="","",MONTH(B284))</f>
        <v>2</v>
      </c>
      <c r="K284" s="102" t="n">
        <f aca="false">IF(B284="","",YEAR(B284))</f>
        <v>2026</v>
      </c>
      <c r="L284" s="102" t="str">
        <f aca="false">IF(N(E284)=0,"",IF(COUNTIFS(AK_NAMA,C284,AK_KAT,"KAS")+COUNTIFS(AK_NAMA,D284,AK_KAT,"KAS")&lt;&gt;1,"",IF(COUNTIFS(AK_NAMA,C284,AK_KAT,"KAS")=1,D284,C284)))</f>
        <v>Biaya Lainnya</v>
      </c>
      <c r="M284" s="103" t="n">
        <f aca="false">IF(L284="",0,IF(L284=D284,E284,-E284))</f>
        <v>-348</v>
      </c>
      <c r="N284" s="102" t="str">
        <f aca="false">IF(L284="","",IFERROR(INDEX(AK_BARIS,MATCH(L284,AK_NAMA,0)),"?"))</f>
        <v>OP2</v>
      </c>
      <c r="O284" s="102" t="str">
        <f aca="false">IF(C284="","",IFERROR(INDEX(AK_KEL,MATCH(C284,AK_NAMA,0)),"?"))</f>
        <v>BEBAN</v>
      </c>
      <c r="P284" s="102" t="str">
        <f aca="false">IF(D284="","",IFERROR(INDEX(AK_KEL,MATCH(D284,AK_NAMA,0)),"?"))</f>
        <v>ASET</v>
      </c>
      <c r="Q284" s="102" t="n">
        <f aca="false">N(Q283)+IF(AND(N(E284)&lt;&gt;0,K284=TAHUN,N(J284)&lt;=BLN,OR(C284=BB_AKUN,D284=BB_AKUN)),1,0)</f>
        <v>183</v>
      </c>
      <c r="R284" s="104" t="str">
        <f aca="false">IF(OR(C284&amp;D284="",N(E284)=0),"",IF(OR(O284="?",P284="?"),"⚠ akun tidak dikenal",IF(C284=D284,"⚠ debet = kredit","")))</f>
        <v/>
      </c>
    </row>
    <row r="285" customFormat="false" ht="15" hidden="false" customHeight="false" outlineLevel="0" collapsed="false">
      <c r="A285" s="82" t="s">
        <v>971</v>
      </c>
      <c r="B285" s="101" t="n">
        <v>46081</v>
      </c>
      <c r="C285" s="82" t="s">
        <v>461</v>
      </c>
      <c r="D285" s="82" t="s">
        <v>475</v>
      </c>
      <c r="E285" s="91" t="n">
        <v>200000</v>
      </c>
      <c r="F285" s="82" t="s">
        <v>560</v>
      </c>
      <c r="G285" s="82"/>
      <c r="H285" s="82"/>
      <c r="I285" s="82" t="s">
        <v>250</v>
      </c>
      <c r="J285" s="102" t="n">
        <f aca="false">IF(B285="","",MONTH(B285))</f>
        <v>2</v>
      </c>
      <c r="K285" s="102" t="n">
        <f aca="false">IF(B285="","",YEAR(B285))</f>
        <v>2026</v>
      </c>
      <c r="L285" s="102" t="str">
        <f aca="false">IF(N(E285)=0,"",IF(COUNTIFS(AK_NAMA,C285,AK_KAT,"KAS")+COUNTIFS(AK_NAMA,D285,AK_KAT,"KAS")&lt;&gt;1,"",IF(COUNTIFS(AK_NAMA,C285,AK_KAT,"KAS")=1,D285,C285)))</f>
        <v/>
      </c>
      <c r="M285" s="103" t="n">
        <f aca="false">IF(L285="",0,IF(L285=D285,E285,-E285))</f>
        <v>0</v>
      </c>
      <c r="N285" s="102" t="str">
        <f aca="false">IF(L285="","",IFERROR(INDEX(AK_BARIS,MATCH(L285,AK_NAMA,0)),"?"))</f>
        <v/>
      </c>
      <c r="O285" s="102" t="str">
        <f aca="false">IF(C285="","",IFERROR(INDEX(AK_KEL,MATCH(C285,AK_NAMA,0)),"?"))</f>
        <v>ASET</v>
      </c>
      <c r="P285" s="102" t="str">
        <f aca="false">IF(D285="","",IFERROR(INDEX(AK_KEL,MATCH(D285,AK_NAMA,0)),"?"))</f>
        <v>ASET</v>
      </c>
      <c r="Q285" s="102" t="n">
        <f aca="false">N(Q284)+IF(AND(N(E285)&lt;&gt;0,K285=TAHUN,N(J285)&lt;=BLN,OR(C285=BB_AKUN,D285=BB_AKUN)),1,0)</f>
        <v>184</v>
      </c>
      <c r="R285" s="104" t="str">
        <f aca="false">IF(OR(C285&amp;D285="",N(E285)=0),"",IF(OR(O285="?",P285="?"),"⚠ akun tidak dikenal",IF(C285=D285,"⚠ debet = kredit","")))</f>
        <v/>
      </c>
    </row>
    <row r="286" customFormat="false" ht="15" hidden="false" customHeight="false" outlineLevel="0" collapsed="false">
      <c r="A286" s="82" t="s">
        <v>972</v>
      </c>
      <c r="B286" s="101" t="n">
        <v>46081</v>
      </c>
      <c r="C286" s="82" t="s">
        <v>461</v>
      </c>
      <c r="D286" s="82" t="s">
        <v>557</v>
      </c>
      <c r="E286" s="91" t="n">
        <v>627</v>
      </c>
      <c r="F286" s="82" t="s">
        <v>773</v>
      </c>
      <c r="G286" s="82"/>
      <c r="H286" s="82"/>
      <c r="I286" s="82" t="s">
        <v>250</v>
      </c>
      <c r="J286" s="102" t="n">
        <f aca="false">IF(B286="","",MONTH(B286))</f>
        <v>2</v>
      </c>
      <c r="K286" s="102" t="n">
        <f aca="false">IF(B286="","",YEAR(B286))</f>
        <v>2026</v>
      </c>
      <c r="L286" s="102" t="str">
        <f aca="false">IF(N(E286)=0,"",IF(COUNTIFS(AK_NAMA,C286,AK_KAT,"KAS")+COUNTIFS(AK_NAMA,D286,AK_KAT,"KAS")&lt;&gt;1,"",IF(COUNTIFS(AK_NAMA,C286,AK_KAT,"KAS")=1,D286,C286)))</f>
        <v>Pendapatan Lainnya</v>
      </c>
      <c r="M286" s="103" t="n">
        <f aca="false">IF(L286="",0,IF(L286=D286,E286,-E286))</f>
        <v>627</v>
      </c>
      <c r="N286" s="102" t="str">
        <f aca="false">IF(L286="","",IFERROR(INDEX(AK_BARIS,MATCH(L286,AK_NAMA,0)),"?"))</f>
        <v>OP2</v>
      </c>
      <c r="O286" s="102" t="str">
        <f aca="false">IF(C286="","",IFERROR(INDEX(AK_KEL,MATCH(C286,AK_NAMA,0)),"?"))</f>
        <v>ASET</v>
      </c>
      <c r="P286" s="102" t="str">
        <f aca="false">IF(D286="","",IFERROR(INDEX(AK_KEL,MATCH(D286,AK_NAMA,0)),"?"))</f>
        <v>PENDAPATAN</v>
      </c>
      <c r="Q286" s="102" t="n">
        <f aca="false">N(Q285)+IF(AND(N(E286)&lt;&gt;0,K286=TAHUN,N(J286)&lt;=BLN,OR(C286=BB_AKUN,D286=BB_AKUN)),1,0)</f>
        <v>185</v>
      </c>
      <c r="R286" s="104" t="str">
        <f aca="false">IF(OR(C286&amp;D286="",N(E286)=0),"",IF(OR(O286="?",P286="?"),"⚠ akun tidak dikenal",IF(C286=D286,"⚠ debet = kredit","")))</f>
        <v/>
      </c>
    </row>
    <row r="287" customFormat="false" ht="15" hidden="false" customHeight="false" outlineLevel="0" collapsed="false">
      <c r="A287" s="82" t="s">
        <v>973</v>
      </c>
      <c r="B287" s="101" t="n">
        <v>46081</v>
      </c>
      <c r="C287" s="82" t="s">
        <v>524</v>
      </c>
      <c r="D287" s="82" t="s">
        <v>461</v>
      </c>
      <c r="E287" s="91" t="n">
        <v>125</v>
      </c>
      <c r="F287" s="82" t="s">
        <v>775</v>
      </c>
      <c r="G287" s="82"/>
      <c r="H287" s="82"/>
      <c r="I287" s="82" t="s">
        <v>250</v>
      </c>
      <c r="J287" s="102" t="n">
        <f aca="false">IF(B287="","",MONTH(B287))</f>
        <v>2</v>
      </c>
      <c r="K287" s="102" t="n">
        <f aca="false">IF(B287="","",YEAR(B287))</f>
        <v>2026</v>
      </c>
      <c r="L287" s="102" t="str">
        <f aca="false">IF(N(E287)=0,"",IF(COUNTIFS(AK_NAMA,C287,AK_KAT,"KAS")+COUNTIFS(AK_NAMA,D287,AK_KAT,"KAS")&lt;&gt;1,"",IF(COUNTIFS(AK_NAMA,C287,AK_KAT,"KAS")=1,D287,C287)))</f>
        <v>Biaya Lainnya</v>
      </c>
      <c r="M287" s="103" t="n">
        <f aca="false">IF(L287="",0,IF(L287=D287,E287,-E287))</f>
        <v>-125</v>
      </c>
      <c r="N287" s="102" t="str">
        <f aca="false">IF(L287="","",IFERROR(INDEX(AK_BARIS,MATCH(L287,AK_NAMA,0)),"?"))</f>
        <v>OP2</v>
      </c>
      <c r="O287" s="102" t="str">
        <f aca="false">IF(C287="","",IFERROR(INDEX(AK_KEL,MATCH(C287,AK_NAMA,0)),"?"))</f>
        <v>BEBAN</v>
      </c>
      <c r="P287" s="102" t="str">
        <f aca="false">IF(D287="","",IFERROR(INDEX(AK_KEL,MATCH(D287,AK_NAMA,0)),"?"))</f>
        <v>ASET</v>
      </c>
      <c r="Q287" s="102" t="n">
        <f aca="false">N(Q286)+IF(AND(N(E287)&lt;&gt;0,K287=TAHUN,N(J287)&lt;=BLN,OR(C287=BB_AKUN,D287=BB_AKUN)),1,0)</f>
        <v>186</v>
      </c>
      <c r="R287" s="104" t="str">
        <f aca="false">IF(OR(C287&amp;D287="",N(E287)=0),"",IF(OR(O287="?",P287="?"),"⚠ akun tidak dikenal",IF(C287=D287,"⚠ debet = kredit","")))</f>
        <v/>
      </c>
    </row>
    <row r="288" customFormat="false" ht="15" hidden="false" customHeight="false" outlineLevel="0" collapsed="false">
      <c r="A288" s="82" t="s">
        <v>974</v>
      </c>
      <c r="B288" s="101" t="n">
        <v>46081</v>
      </c>
      <c r="C288" s="82" t="s">
        <v>576</v>
      </c>
      <c r="D288" s="82" t="s">
        <v>461</v>
      </c>
      <c r="E288" s="91" t="n">
        <v>20544500</v>
      </c>
      <c r="F288" s="82" t="s">
        <v>724</v>
      </c>
      <c r="G288" s="82"/>
      <c r="H288" s="82"/>
      <c r="I288" s="82" t="s">
        <v>250</v>
      </c>
      <c r="J288" s="102" t="n">
        <f aca="false">IF(B288="","",MONTH(B288))</f>
        <v>2</v>
      </c>
      <c r="K288" s="102" t="n">
        <f aca="false">IF(B288="","",YEAR(B288))</f>
        <v>2026</v>
      </c>
      <c r="L288" s="102" t="str">
        <f aca="false">IF(N(E288)=0,"",IF(COUNTIFS(AK_NAMA,C288,AK_KAT,"KAS")+COUNTIFS(AK_NAMA,D288,AK_KAT,"KAS")&lt;&gt;1,"",IF(COUNTIFS(AK_NAMA,C288,AK_KAT,"KAS")=1,D288,C288)))</f>
        <v>Beban Gaji</v>
      </c>
      <c r="M288" s="103" t="n">
        <f aca="false">IF(L288="",0,IF(L288=D288,E288,-E288))</f>
        <v>-20544500</v>
      </c>
      <c r="N288" s="102" t="str">
        <f aca="false">IF(L288="","",IFERROR(INDEX(AK_BARIS,MATCH(L288,AK_NAMA,0)),"?"))</f>
        <v>OP4</v>
      </c>
      <c r="O288" s="102" t="str">
        <f aca="false">IF(C288="","",IFERROR(INDEX(AK_KEL,MATCH(C288,AK_NAMA,0)),"?"))</f>
        <v>BEBAN</v>
      </c>
      <c r="P288" s="102" t="str">
        <f aca="false">IF(D288="","",IFERROR(INDEX(AK_KEL,MATCH(D288,AK_NAMA,0)),"?"))</f>
        <v>ASET</v>
      </c>
      <c r="Q288" s="102" t="n">
        <f aca="false">N(Q287)+IF(AND(N(E288)&lt;&gt;0,K288=TAHUN,N(J288)&lt;=BLN,OR(C288=BB_AKUN,D288=BB_AKUN)),1,0)</f>
        <v>187</v>
      </c>
      <c r="R288" s="104" t="str">
        <f aca="false">IF(OR(C288&amp;D288="",N(E288)=0),"",IF(OR(O288="?",P288="?"),"⚠ akun tidak dikenal",IF(C288=D288,"⚠ debet = kredit","")))</f>
        <v/>
      </c>
    </row>
    <row r="289" customFormat="false" ht="15" hidden="false" customHeight="false" outlineLevel="0" collapsed="false">
      <c r="A289" s="82" t="s">
        <v>975</v>
      </c>
      <c r="B289" s="101" t="n">
        <v>46081</v>
      </c>
      <c r="C289" s="82" t="s">
        <v>576</v>
      </c>
      <c r="D289" s="82" t="s">
        <v>461</v>
      </c>
      <c r="E289" s="91" t="n">
        <v>1000000</v>
      </c>
      <c r="F289" s="82" t="s">
        <v>726</v>
      </c>
      <c r="G289" s="82"/>
      <c r="H289" s="82"/>
      <c r="I289" s="82" t="s">
        <v>250</v>
      </c>
      <c r="J289" s="102" t="n">
        <f aca="false">IF(B289="","",MONTH(B289))</f>
        <v>2</v>
      </c>
      <c r="K289" s="102" t="n">
        <f aca="false">IF(B289="","",YEAR(B289))</f>
        <v>2026</v>
      </c>
      <c r="L289" s="102" t="str">
        <f aca="false">IF(N(E289)=0,"",IF(COUNTIFS(AK_NAMA,C289,AK_KAT,"KAS")+COUNTIFS(AK_NAMA,D289,AK_KAT,"KAS")&lt;&gt;1,"",IF(COUNTIFS(AK_NAMA,C289,AK_KAT,"KAS")=1,D289,C289)))</f>
        <v>Beban Gaji</v>
      </c>
      <c r="M289" s="103" t="n">
        <f aca="false">IF(L289="",0,IF(L289=D289,E289,-E289))</f>
        <v>-1000000</v>
      </c>
      <c r="N289" s="102" t="str">
        <f aca="false">IF(L289="","",IFERROR(INDEX(AK_BARIS,MATCH(L289,AK_NAMA,0)),"?"))</f>
        <v>OP4</v>
      </c>
      <c r="O289" s="102" t="str">
        <f aca="false">IF(C289="","",IFERROR(INDEX(AK_KEL,MATCH(C289,AK_NAMA,0)),"?"))</f>
        <v>BEBAN</v>
      </c>
      <c r="P289" s="102" t="str">
        <f aca="false">IF(D289="","",IFERROR(INDEX(AK_KEL,MATCH(D289,AK_NAMA,0)),"?"))</f>
        <v>ASET</v>
      </c>
      <c r="Q289" s="102" t="n">
        <f aca="false">N(Q288)+IF(AND(N(E289)&lt;&gt;0,K289=TAHUN,N(J289)&lt;=BLN,OR(C289=BB_AKUN,D289=BB_AKUN)),1,0)</f>
        <v>188</v>
      </c>
      <c r="R289" s="104" t="str">
        <f aca="false">IF(OR(C289&amp;D289="",N(E289)=0),"",IF(OR(O289="?",P289="?"),"⚠ akun tidak dikenal",IF(C289=D289,"⚠ debet = kredit","")))</f>
        <v/>
      </c>
    </row>
    <row r="290" customFormat="false" ht="15" hidden="false" customHeight="false" outlineLevel="0" collapsed="false">
      <c r="A290" s="82" t="s">
        <v>976</v>
      </c>
      <c r="B290" s="101" t="n">
        <v>46081</v>
      </c>
      <c r="C290" s="82" t="s">
        <v>524</v>
      </c>
      <c r="D290" s="82" t="s">
        <v>461</v>
      </c>
      <c r="E290" s="91" t="n">
        <v>13276</v>
      </c>
      <c r="F290" s="82" t="s">
        <v>728</v>
      </c>
      <c r="G290" s="82"/>
      <c r="H290" s="82"/>
      <c r="I290" s="82" t="s">
        <v>250</v>
      </c>
      <c r="J290" s="102" t="n">
        <f aca="false">IF(B290="","",MONTH(B290))</f>
        <v>2</v>
      </c>
      <c r="K290" s="102" t="n">
        <f aca="false">IF(B290="","",YEAR(B290))</f>
        <v>2026</v>
      </c>
      <c r="L290" s="102" t="str">
        <f aca="false">IF(N(E290)=0,"",IF(COUNTIFS(AK_NAMA,C290,AK_KAT,"KAS")+COUNTIFS(AK_NAMA,D290,AK_KAT,"KAS")&lt;&gt;1,"",IF(COUNTIFS(AK_NAMA,C290,AK_KAT,"KAS")=1,D290,C290)))</f>
        <v>Biaya Lainnya</v>
      </c>
      <c r="M290" s="103" t="n">
        <f aca="false">IF(L290="",0,IF(L290=D290,E290,-E290))</f>
        <v>-13276</v>
      </c>
      <c r="N290" s="102" t="str">
        <f aca="false">IF(L290="","",IFERROR(INDEX(AK_BARIS,MATCH(L290,AK_NAMA,0)),"?"))</f>
        <v>OP2</v>
      </c>
      <c r="O290" s="102" t="str">
        <f aca="false">IF(C290="","",IFERROR(INDEX(AK_KEL,MATCH(C290,AK_NAMA,0)),"?"))</f>
        <v>BEBAN</v>
      </c>
      <c r="P290" s="102" t="str">
        <f aca="false">IF(D290="","",IFERROR(INDEX(AK_KEL,MATCH(D290,AK_NAMA,0)),"?"))</f>
        <v>ASET</v>
      </c>
      <c r="Q290" s="102" t="n">
        <f aca="false">N(Q289)+IF(AND(N(E290)&lt;&gt;0,K290=TAHUN,N(J290)&lt;=BLN,OR(C290=BB_AKUN,D290=BB_AKUN)),1,0)</f>
        <v>189</v>
      </c>
      <c r="R290" s="104" t="str">
        <f aca="false">IF(OR(C290&amp;D290="",N(E290)=0),"",IF(OR(O290="?",P290="?"),"⚠ akun tidak dikenal",IF(C290=D290,"⚠ debet = kredit","")))</f>
        <v/>
      </c>
    </row>
    <row r="291" customFormat="false" ht="15" hidden="false" customHeight="false" outlineLevel="0" collapsed="false">
      <c r="A291" s="82" t="s">
        <v>977</v>
      </c>
      <c r="B291" s="101" t="n">
        <v>46081</v>
      </c>
      <c r="C291" s="82" t="s">
        <v>669</v>
      </c>
      <c r="D291" s="82" t="s">
        <v>461</v>
      </c>
      <c r="E291" s="91" t="n">
        <v>3782053</v>
      </c>
      <c r="F291" s="82" t="s">
        <v>978</v>
      </c>
      <c r="G291" s="82"/>
      <c r="H291" s="82"/>
      <c r="I291" s="82" t="s">
        <v>250</v>
      </c>
      <c r="J291" s="102" t="n">
        <f aca="false">IF(B291="","",MONTH(B291))</f>
        <v>2</v>
      </c>
      <c r="K291" s="102" t="n">
        <f aca="false">IF(B291="","",YEAR(B291))</f>
        <v>2026</v>
      </c>
      <c r="L291" s="102" t="str">
        <f aca="false">IF(N(E291)=0,"",IF(COUNTIFS(AK_NAMA,C291,AK_KAT,"KAS")+COUNTIFS(AK_NAMA,D291,AK_KAT,"KAS")&lt;&gt;1,"",IF(COUNTIFS(AK_NAMA,C291,AK_KAT,"KAS")=1,D291,C291)))</f>
        <v>Biaya Tagihan Bulanan</v>
      </c>
      <c r="M291" s="103" t="n">
        <f aca="false">IF(L291="",0,IF(L291=D291,E291,-E291))</f>
        <v>-3782053</v>
      </c>
      <c r="N291" s="102" t="str">
        <f aca="false">IF(L291="","",IFERROR(INDEX(AK_BARIS,MATCH(L291,AK_NAMA,0)),"?"))</f>
        <v>OP6</v>
      </c>
      <c r="O291" s="102" t="str">
        <f aca="false">IF(C291="","",IFERROR(INDEX(AK_KEL,MATCH(C291,AK_NAMA,0)),"?"))</f>
        <v>BEBAN</v>
      </c>
      <c r="P291" s="102" t="str">
        <f aca="false">IF(D291="","",IFERROR(INDEX(AK_KEL,MATCH(D291,AK_NAMA,0)),"?"))</f>
        <v>ASET</v>
      </c>
      <c r="Q291" s="102" t="n">
        <f aca="false">N(Q290)+IF(AND(N(E291)&lt;&gt;0,K291=TAHUN,N(J291)&lt;=BLN,OR(C291=BB_AKUN,D291=BB_AKUN)),1,0)</f>
        <v>190</v>
      </c>
      <c r="R291" s="104" t="str">
        <f aca="false">IF(OR(C291&amp;D291="",N(E291)=0),"",IF(OR(O291="?",P291="?"),"⚠ akun tidak dikenal",IF(C291=D291,"⚠ debet = kredit","")))</f>
        <v/>
      </c>
    </row>
    <row r="292" customFormat="false" ht="15" hidden="false" customHeight="false" outlineLevel="0" collapsed="false">
      <c r="A292" s="82" t="s">
        <v>979</v>
      </c>
      <c r="B292" s="101" t="n">
        <v>46081</v>
      </c>
      <c r="C292" s="82" t="s">
        <v>669</v>
      </c>
      <c r="D292" s="82" t="s">
        <v>461</v>
      </c>
      <c r="E292" s="91" t="n">
        <v>56891</v>
      </c>
      <c r="F292" s="82" t="s">
        <v>980</v>
      </c>
      <c r="G292" s="82"/>
      <c r="H292" s="82"/>
      <c r="I292" s="82" t="s">
        <v>250</v>
      </c>
      <c r="J292" s="102" t="n">
        <f aca="false">IF(B292="","",MONTH(B292))</f>
        <v>2</v>
      </c>
      <c r="K292" s="102" t="n">
        <f aca="false">IF(B292="","",YEAR(B292))</f>
        <v>2026</v>
      </c>
      <c r="L292" s="102" t="str">
        <f aca="false">IF(N(E292)=0,"",IF(COUNTIFS(AK_NAMA,C292,AK_KAT,"KAS")+COUNTIFS(AK_NAMA,D292,AK_KAT,"KAS")&lt;&gt;1,"",IF(COUNTIFS(AK_NAMA,C292,AK_KAT,"KAS")=1,D292,C292)))</f>
        <v>Biaya Tagihan Bulanan</v>
      </c>
      <c r="M292" s="103" t="n">
        <f aca="false">IF(L292="",0,IF(L292=D292,E292,-E292))</f>
        <v>-56891</v>
      </c>
      <c r="N292" s="102" t="str">
        <f aca="false">IF(L292="","",IFERROR(INDEX(AK_BARIS,MATCH(L292,AK_NAMA,0)),"?"))</f>
        <v>OP6</v>
      </c>
      <c r="O292" s="102" t="str">
        <f aca="false">IF(C292="","",IFERROR(INDEX(AK_KEL,MATCH(C292,AK_NAMA,0)),"?"))</f>
        <v>BEBAN</v>
      </c>
      <c r="P292" s="102" t="str">
        <f aca="false">IF(D292="","",IFERROR(INDEX(AK_KEL,MATCH(D292,AK_NAMA,0)),"?"))</f>
        <v>ASET</v>
      </c>
      <c r="Q292" s="102" t="n">
        <f aca="false">N(Q291)+IF(AND(N(E292)&lt;&gt;0,K292=TAHUN,N(J292)&lt;=BLN,OR(C292=BB_AKUN,D292=BB_AKUN)),1,0)</f>
        <v>191</v>
      </c>
      <c r="R292" s="104" t="str">
        <f aca="false">IF(OR(C292&amp;D292="",N(E292)=0),"",IF(OR(O292="?",P292="?"),"⚠ akun tidak dikenal",IF(C292=D292,"⚠ debet = kredit","")))</f>
        <v/>
      </c>
    </row>
    <row r="293" customFormat="false" ht="15" hidden="false" customHeight="false" outlineLevel="0" collapsed="false">
      <c r="A293" s="82" t="s">
        <v>981</v>
      </c>
      <c r="B293" s="101" t="n">
        <v>46081</v>
      </c>
      <c r="C293" s="82" t="s">
        <v>669</v>
      </c>
      <c r="D293" s="82" t="s">
        <v>461</v>
      </c>
      <c r="E293" s="91" t="n">
        <v>384950</v>
      </c>
      <c r="F293" s="82" t="s">
        <v>982</v>
      </c>
      <c r="G293" s="82"/>
      <c r="H293" s="82"/>
      <c r="I293" s="82" t="s">
        <v>250</v>
      </c>
      <c r="J293" s="102" t="n">
        <f aca="false">IF(B293="","",MONTH(B293))</f>
        <v>2</v>
      </c>
      <c r="K293" s="102" t="n">
        <f aca="false">IF(B293="","",YEAR(B293))</f>
        <v>2026</v>
      </c>
      <c r="L293" s="102" t="str">
        <f aca="false">IF(N(E293)=0,"",IF(COUNTIFS(AK_NAMA,C293,AK_KAT,"KAS")+COUNTIFS(AK_NAMA,D293,AK_KAT,"KAS")&lt;&gt;1,"",IF(COUNTIFS(AK_NAMA,C293,AK_KAT,"KAS")=1,D293,C293)))</f>
        <v>Biaya Tagihan Bulanan</v>
      </c>
      <c r="M293" s="103" t="n">
        <f aca="false">IF(L293="",0,IF(L293=D293,E293,-E293))</f>
        <v>-384950</v>
      </c>
      <c r="N293" s="102" t="str">
        <f aca="false">IF(L293="","",IFERROR(INDEX(AK_BARIS,MATCH(L293,AK_NAMA,0)),"?"))</f>
        <v>OP6</v>
      </c>
      <c r="O293" s="102" t="str">
        <f aca="false">IF(C293="","",IFERROR(INDEX(AK_KEL,MATCH(C293,AK_NAMA,0)),"?"))</f>
        <v>BEBAN</v>
      </c>
      <c r="P293" s="102" t="str">
        <f aca="false">IF(D293="","",IFERROR(INDEX(AK_KEL,MATCH(D293,AK_NAMA,0)),"?"))</f>
        <v>ASET</v>
      </c>
      <c r="Q293" s="102" t="n">
        <f aca="false">N(Q292)+IF(AND(N(E293)&lt;&gt;0,K293=TAHUN,N(J293)&lt;=BLN,OR(C293=BB_AKUN,D293=BB_AKUN)),1,0)</f>
        <v>192</v>
      </c>
      <c r="R293" s="104" t="str">
        <f aca="false">IF(OR(C293&amp;D293="",N(E293)=0),"",IF(OR(O293="?",P293="?"),"⚠ akun tidak dikenal",IF(C293=D293,"⚠ debet = kredit","")))</f>
        <v/>
      </c>
    </row>
    <row r="294" customFormat="false" ht="15" hidden="false" customHeight="false" outlineLevel="0" collapsed="false">
      <c r="A294" s="82" t="s">
        <v>983</v>
      </c>
      <c r="B294" s="101" t="n">
        <v>46081</v>
      </c>
      <c r="C294" s="82" t="s">
        <v>461</v>
      </c>
      <c r="D294" s="82" t="s">
        <v>718</v>
      </c>
      <c r="E294" s="91" t="n">
        <v>270300</v>
      </c>
      <c r="F294" s="82" t="s">
        <v>762</v>
      </c>
      <c r="G294" s="82"/>
      <c r="H294" s="82" t="s">
        <v>763</v>
      </c>
      <c r="I294" s="82" t="s">
        <v>250</v>
      </c>
      <c r="J294" s="102" t="n">
        <f aca="false">IF(B294="","",MONTH(B294))</f>
        <v>2</v>
      </c>
      <c r="K294" s="102" t="n">
        <f aca="false">IF(B294="","",YEAR(B294))</f>
        <v>2026</v>
      </c>
      <c r="L294" s="102" t="str">
        <f aca="false">IF(N(E294)=0,"",IF(COUNTIFS(AK_NAMA,C294,AK_KAT,"KAS")+COUNTIFS(AK_NAMA,D294,AK_KAT,"KAS")&lt;&gt;1,"",IF(COUNTIFS(AK_NAMA,C294,AK_KAT,"KAS")=1,D294,C294)))</f>
        <v>Piutang Lainnya</v>
      </c>
      <c r="M294" s="103" t="n">
        <f aca="false">IF(L294="",0,IF(L294=D294,E294,-E294))</f>
        <v>270300</v>
      </c>
      <c r="N294" s="102" t="str">
        <f aca="false">IF(L294="","",IFERROR(INDEX(AK_BARIS,MATCH(L294,AK_NAMA,0)),"?"))</f>
        <v>OP2</v>
      </c>
      <c r="O294" s="102" t="str">
        <f aca="false">IF(C294="","",IFERROR(INDEX(AK_KEL,MATCH(C294,AK_NAMA,0)),"?"))</f>
        <v>ASET</v>
      </c>
      <c r="P294" s="102" t="str">
        <f aca="false">IF(D294="","",IFERROR(INDEX(AK_KEL,MATCH(D294,AK_NAMA,0)),"?"))</f>
        <v>ASET</v>
      </c>
      <c r="Q294" s="102" t="n">
        <f aca="false">N(Q293)+IF(AND(N(E294)&lt;&gt;0,K294=TAHUN,N(J294)&lt;=BLN,OR(C294=BB_AKUN,D294=BB_AKUN)),1,0)</f>
        <v>193</v>
      </c>
      <c r="R294" s="104" t="str">
        <f aca="false">IF(OR(C294&amp;D294="",N(E294)=0),"",IF(OR(O294="?",P294="?"),"⚠ akun tidak dikenal",IF(C294=D294,"⚠ debet = kredit","")))</f>
        <v/>
      </c>
    </row>
    <row r="295" customFormat="false" ht="15" hidden="false" customHeight="false" outlineLevel="0" collapsed="false">
      <c r="A295" s="82" t="s">
        <v>984</v>
      </c>
      <c r="B295" s="101" t="n">
        <v>46081</v>
      </c>
      <c r="C295" s="82" t="s">
        <v>461</v>
      </c>
      <c r="D295" s="82" t="s">
        <v>765</v>
      </c>
      <c r="E295" s="91" t="n">
        <v>189000</v>
      </c>
      <c r="F295" s="82" t="s">
        <v>985</v>
      </c>
      <c r="G295" s="82"/>
      <c r="H295" s="82" t="s">
        <v>767</v>
      </c>
      <c r="I295" s="82" t="s">
        <v>250</v>
      </c>
      <c r="J295" s="102" t="n">
        <f aca="false">IF(B295="","",MONTH(B295))</f>
        <v>2</v>
      </c>
      <c r="K295" s="102" t="n">
        <f aca="false">IF(B295="","",YEAR(B295))</f>
        <v>2026</v>
      </c>
      <c r="L295" s="102" t="str">
        <f aca="false">IF(N(E295)=0,"",IF(COUNTIFS(AK_NAMA,C295,AK_KAT,"KAS")+COUNTIFS(AK_NAMA,D295,AK_KAT,"KAS")&lt;&gt;1,"",IF(COUNTIFS(AK_NAMA,C295,AK_KAT,"KAS")=1,D295,C295)))</f>
        <v>Piutang Usaha Cafe</v>
      </c>
      <c r="M295" s="103" t="n">
        <f aca="false">IF(L295="",0,IF(L295=D295,E295,-E295))</f>
        <v>189000</v>
      </c>
      <c r="N295" s="102" t="str">
        <f aca="false">IF(L295="","",IFERROR(INDEX(AK_BARIS,MATCH(L295,AK_NAMA,0)),"?"))</f>
        <v>OP1</v>
      </c>
      <c r="O295" s="102" t="str">
        <f aca="false">IF(C295="","",IFERROR(INDEX(AK_KEL,MATCH(C295,AK_NAMA,0)),"?"))</f>
        <v>ASET</v>
      </c>
      <c r="P295" s="102" t="str">
        <f aca="false">IF(D295="","",IFERROR(INDEX(AK_KEL,MATCH(D295,AK_NAMA,0)),"?"))</f>
        <v>ASET</v>
      </c>
      <c r="Q295" s="102" t="n">
        <f aca="false">N(Q294)+IF(AND(N(E295)&lt;&gt;0,K295=TAHUN,N(J295)&lt;=BLN,OR(C295=BB_AKUN,D295=BB_AKUN)),1,0)</f>
        <v>194</v>
      </c>
      <c r="R295" s="104" t="str">
        <f aca="false">IF(OR(C295&amp;D295="",N(E295)=0),"",IF(OR(O295="?",P295="?"),"⚠ akun tidak dikenal",IF(C295=D295,"⚠ debet = kredit","")))</f>
        <v/>
      </c>
    </row>
    <row r="296" customFormat="false" ht="15" hidden="false" customHeight="false" outlineLevel="0" collapsed="false">
      <c r="A296" s="82" t="s">
        <v>986</v>
      </c>
      <c r="B296" s="101" t="n">
        <v>46081</v>
      </c>
      <c r="C296" s="82" t="s">
        <v>461</v>
      </c>
      <c r="D296" s="82" t="s">
        <v>765</v>
      </c>
      <c r="E296" s="91" t="n">
        <v>1000000</v>
      </c>
      <c r="F296" s="82" t="s">
        <v>766</v>
      </c>
      <c r="G296" s="82"/>
      <c r="H296" s="82" t="s">
        <v>767</v>
      </c>
      <c r="I296" s="82" t="s">
        <v>250</v>
      </c>
      <c r="J296" s="102" t="n">
        <f aca="false">IF(B296="","",MONTH(B296))</f>
        <v>2</v>
      </c>
      <c r="K296" s="102" t="n">
        <f aca="false">IF(B296="","",YEAR(B296))</f>
        <v>2026</v>
      </c>
      <c r="L296" s="102" t="str">
        <f aca="false">IF(N(E296)=0,"",IF(COUNTIFS(AK_NAMA,C296,AK_KAT,"KAS")+COUNTIFS(AK_NAMA,D296,AK_KAT,"KAS")&lt;&gt;1,"",IF(COUNTIFS(AK_NAMA,C296,AK_KAT,"KAS")=1,D296,C296)))</f>
        <v>Piutang Usaha Cafe</v>
      </c>
      <c r="M296" s="103" t="n">
        <f aca="false">IF(L296="",0,IF(L296=D296,E296,-E296))</f>
        <v>1000000</v>
      </c>
      <c r="N296" s="102" t="str">
        <f aca="false">IF(L296="","",IFERROR(INDEX(AK_BARIS,MATCH(L296,AK_NAMA,0)),"?"))</f>
        <v>OP1</v>
      </c>
      <c r="O296" s="102" t="str">
        <f aca="false">IF(C296="","",IFERROR(INDEX(AK_KEL,MATCH(C296,AK_NAMA,0)),"?"))</f>
        <v>ASET</v>
      </c>
      <c r="P296" s="102" t="str">
        <f aca="false">IF(D296="","",IFERROR(INDEX(AK_KEL,MATCH(D296,AK_NAMA,0)),"?"))</f>
        <v>ASET</v>
      </c>
      <c r="Q296" s="102" t="n">
        <f aca="false">N(Q295)+IF(AND(N(E296)&lt;&gt;0,K296=TAHUN,N(J296)&lt;=BLN,OR(C296=BB_AKUN,D296=BB_AKUN)),1,0)</f>
        <v>195</v>
      </c>
      <c r="R296" s="104" t="str">
        <f aca="false">IF(OR(C296&amp;D296="",N(E296)=0),"",IF(OR(O296="?",P296="?"),"⚠ akun tidak dikenal",IF(C296=D296,"⚠ debet = kredit","")))</f>
        <v/>
      </c>
    </row>
    <row r="297" customFormat="false" ht="15" hidden="false" customHeight="false" outlineLevel="0" collapsed="false">
      <c r="A297" s="82" t="s">
        <v>987</v>
      </c>
      <c r="B297" s="101" t="n">
        <v>46081</v>
      </c>
      <c r="C297" s="82" t="s">
        <v>576</v>
      </c>
      <c r="D297" s="82" t="s">
        <v>769</v>
      </c>
      <c r="E297" s="91" t="n">
        <v>1000000</v>
      </c>
      <c r="F297" s="82" t="s">
        <v>988</v>
      </c>
      <c r="G297" s="82"/>
      <c r="H297" s="82" t="s">
        <v>785</v>
      </c>
      <c r="I297" s="82" t="s">
        <v>250</v>
      </c>
      <c r="J297" s="102" t="n">
        <f aca="false">IF(B297="","",MONTH(B297))</f>
        <v>2</v>
      </c>
      <c r="K297" s="102" t="n">
        <f aca="false">IF(B297="","",YEAR(B297))</f>
        <v>2026</v>
      </c>
      <c r="L297" s="102" t="str">
        <f aca="false">IF(N(E297)=0,"",IF(COUNTIFS(AK_NAMA,C297,AK_KAT,"KAS")+COUNTIFS(AK_NAMA,D297,AK_KAT,"KAS")&lt;&gt;1,"",IF(COUNTIFS(AK_NAMA,C297,AK_KAT,"KAS")=1,D297,C297)))</f>
        <v/>
      </c>
      <c r="M297" s="103" t="n">
        <f aca="false">IF(L297="",0,IF(L297=D297,E297,-E297))</f>
        <v>0</v>
      </c>
      <c r="N297" s="102" t="str">
        <f aca="false">IF(L297="","",IFERROR(INDEX(AK_BARIS,MATCH(L297,AK_NAMA,0)),"?"))</f>
        <v/>
      </c>
      <c r="O297" s="102" t="str">
        <f aca="false">IF(C297="","",IFERROR(INDEX(AK_KEL,MATCH(C297,AK_NAMA,0)),"?"))</f>
        <v>BEBAN</v>
      </c>
      <c r="P297" s="102" t="str">
        <f aca="false">IF(D297="","",IFERROR(INDEX(AK_KEL,MATCH(D297,AK_NAMA,0)),"?"))</f>
        <v>LIABILITAS</v>
      </c>
      <c r="Q297" s="102" t="n">
        <f aca="false">N(Q296)+IF(AND(N(E297)&lt;&gt;0,K297=TAHUN,N(J297)&lt;=BLN,OR(C297=BB_AKUN,D297=BB_AKUN)),1,0)</f>
        <v>195</v>
      </c>
      <c r="R297" s="104" t="str">
        <f aca="false">IF(OR(C297&amp;D297="",N(E297)=0),"",IF(OR(O297="?",P297="?"),"⚠ akun tidak dikenal",IF(C297=D297,"⚠ debet = kredit","")))</f>
        <v/>
      </c>
    </row>
    <row r="298" customFormat="false" ht="15" hidden="false" customHeight="false" outlineLevel="0" collapsed="false">
      <c r="A298" s="82" t="s">
        <v>989</v>
      </c>
      <c r="B298" s="101" t="n">
        <v>46081</v>
      </c>
      <c r="C298" s="82" t="s">
        <v>576</v>
      </c>
      <c r="D298" s="82" t="s">
        <v>461</v>
      </c>
      <c r="E298" s="91" t="n">
        <v>4000000</v>
      </c>
      <c r="F298" s="82" t="s">
        <v>990</v>
      </c>
      <c r="G298" s="82"/>
      <c r="H298" s="82"/>
      <c r="I298" s="82" t="s">
        <v>250</v>
      </c>
      <c r="J298" s="102" t="n">
        <f aca="false">IF(B298="","",MONTH(B298))</f>
        <v>2</v>
      </c>
      <c r="K298" s="102" t="n">
        <f aca="false">IF(B298="","",YEAR(B298))</f>
        <v>2026</v>
      </c>
      <c r="L298" s="102" t="str">
        <f aca="false">IF(N(E298)=0,"",IF(COUNTIFS(AK_NAMA,C298,AK_KAT,"KAS")+COUNTIFS(AK_NAMA,D298,AK_KAT,"KAS")&lt;&gt;1,"",IF(COUNTIFS(AK_NAMA,C298,AK_KAT,"KAS")=1,D298,C298)))</f>
        <v>Beban Gaji</v>
      </c>
      <c r="M298" s="103" t="n">
        <f aca="false">IF(L298="",0,IF(L298=D298,E298,-E298))</f>
        <v>-4000000</v>
      </c>
      <c r="N298" s="102" t="str">
        <f aca="false">IF(L298="","",IFERROR(INDEX(AK_BARIS,MATCH(L298,AK_NAMA,0)),"?"))</f>
        <v>OP4</v>
      </c>
      <c r="O298" s="102" t="str">
        <f aca="false">IF(C298="","",IFERROR(INDEX(AK_KEL,MATCH(C298,AK_NAMA,0)),"?"))</f>
        <v>BEBAN</v>
      </c>
      <c r="P298" s="102" t="str">
        <f aca="false">IF(D298="","",IFERROR(INDEX(AK_KEL,MATCH(D298,AK_NAMA,0)),"?"))</f>
        <v>ASET</v>
      </c>
      <c r="Q298" s="102" t="n">
        <f aca="false">N(Q297)+IF(AND(N(E298)&lt;&gt;0,K298=TAHUN,N(J298)&lt;=BLN,OR(C298=BB_AKUN,D298=BB_AKUN)),1,0)</f>
        <v>196</v>
      </c>
      <c r="R298" s="104" t="str">
        <f aca="false">IF(OR(C298&amp;D298="",N(E298)=0),"",IF(OR(O298="?",P298="?"),"⚠ akun tidak dikenal",IF(C298=D298,"⚠ debet = kredit","")))</f>
        <v/>
      </c>
    </row>
    <row r="299" customFormat="false" ht="15" hidden="false" customHeight="false" outlineLevel="0" collapsed="false">
      <c r="A299" s="82" t="s">
        <v>991</v>
      </c>
      <c r="B299" s="101" t="n">
        <v>46081</v>
      </c>
      <c r="C299" s="82" t="s">
        <v>464</v>
      </c>
      <c r="D299" s="82" t="s">
        <v>461</v>
      </c>
      <c r="E299" s="91" t="n">
        <v>2500000</v>
      </c>
      <c r="F299" s="82" t="s">
        <v>992</v>
      </c>
      <c r="G299" s="82"/>
      <c r="H299" s="82"/>
      <c r="I299" s="82" t="s">
        <v>250</v>
      </c>
      <c r="J299" s="102" t="n">
        <f aca="false">IF(B299="","",MONTH(B299))</f>
        <v>2</v>
      </c>
      <c r="K299" s="102" t="n">
        <f aca="false">IF(B299="","",YEAR(B299))</f>
        <v>2026</v>
      </c>
      <c r="L299" s="102" t="str">
        <f aca="false">IF(N(E299)=0,"",IF(COUNTIFS(AK_NAMA,C299,AK_KAT,"KAS")+COUNTIFS(AK_NAMA,D299,AK_KAT,"KAS")&lt;&gt;1,"",IF(COUNTIFS(AK_NAMA,C299,AK_KAT,"KAS")=1,D299,C299)))</f>
        <v>Prive</v>
      </c>
      <c r="M299" s="103" t="n">
        <f aca="false">IF(L299="",0,IF(L299=D299,E299,-E299))</f>
        <v>-2500000</v>
      </c>
      <c r="N299" s="102" t="str">
        <f aca="false">IF(L299="","",IFERROR(INDEX(AK_BARIS,MATCH(L299,AK_NAMA,0)),"?"))</f>
        <v>FN1</v>
      </c>
      <c r="O299" s="102" t="str">
        <f aca="false">IF(C299="","",IFERROR(INDEX(AK_KEL,MATCH(C299,AK_NAMA,0)),"?"))</f>
        <v>EKUITAS</v>
      </c>
      <c r="P299" s="102" t="str">
        <f aca="false">IF(D299="","",IFERROR(INDEX(AK_KEL,MATCH(D299,AK_NAMA,0)),"?"))</f>
        <v>ASET</v>
      </c>
      <c r="Q299" s="102" t="n">
        <f aca="false">N(Q298)+IF(AND(N(E299)&lt;&gt;0,K299=TAHUN,N(J299)&lt;=BLN,OR(C299=BB_AKUN,D299=BB_AKUN)),1,0)</f>
        <v>197</v>
      </c>
      <c r="R299" s="104" t="str">
        <f aca="false">IF(OR(C299&amp;D299="",N(E299)=0),"",IF(OR(O299="?",P299="?"),"⚠ akun tidak dikenal",IF(C299=D299,"⚠ debet = kredit","")))</f>
        <v/>
      </c>
    </row>
    <row r="300" customFormat="false" ht="15" hidden="false" customHeight="false" outlineLevel="0" collapsed="false">
      <c r="A300" s="82" t="s">
        <v>993</v>
      </c>
      <c r="B300" s="101" t="n">
        <v>46081</v>
      </c>
      <c r="C300" s="82" t="s">
        <v>467</v>
      </c>
      <c r="D300" s="82" t="s">
        <v>475</v>
      </c>
      <c r="E300" s="91" t="n">
        <v>180000</v>
      </c>
      <c r="F300" s="82" t="s">
        <v>994</v>
      </c>
      <c r="G300" s="82"/>
      <c r="H300" s="82"/>
      <c r="I300" s="82" t="s">
        <v>250</v>
      </c>
      <c r="J300" s="102" t="n">
        <f aca="false">IF(B300="","",MONTH(B300))</f>
        <v>2</v>
      </c>
      <c r="K300" s="102" t="n">
        <f aca="false">IF(B300="","",YEAR(B300))</f>
        <v>2026</v>
      </c>
      <c r="L300" s="102" t="str">
        <f aca="false">IF(N(E300)=0,"",IF(COUNTIFS(AK_NAMA,C300,AK_KAT,"KAS")+COUNTIFS(AK_NAMA,D300,AK_KAT,"KAS")&lt;&gt;1,"",IF(COUNTIFS(AK_NAMA,C300,AK_KAT,"KAS")=1,D300,C300)))</f>
        <v>Dana Sosial &amp; CSR</v>
      </c>
      <c r="M300" s="103" t="n">
        <f aca="false">IF(L300="",0,IF(L300=D300,E300,-E300))</f>
        <v>-180000</v>
      </c>
      <c r="N300" s="102" t="str">
        <f aca="false">IF(L300="","",IFERROR(INDEX(AK_BARIS,MATCH(L300,AK_NAMA,0)),"?"))</f>
        <v>OP6</v>
      </c>
      <c r="O300" s="102" t="str">
        <f aca="false">IF(C300="","",IFERROR(INDEX(AK_KEL,MATCH(C300,AK_NAMA,0)),"?"))</f>
        <v>BEBAN</v>
      </c>
      <c r="P300" s="102" t="str">
        <f aca="false">IF(D300="","",IFERROR(INDEX(AK_KEL,MATCH(D300,AK_NAMA,0)),"?"))</f>
        <v>ASET</v>
      </c>
      <c r="Q300" s="102" t="n">
        <f aca="false">N(Q299)+IF(AND(N(E300)&lt;&gt;0,K300=TAHUN,N(J300)&lt;=BLN,OR(C300=BB_AKUN,D300=BB_AKUN)),1,0)</f>
        <v>197</v>
      </c>
      <c r="R300" s="104" t="str">
        <f aca="false">IF(OR(C300&amp;D300="",N(E300)=0),"",IF(OR(O300="?",P300="?"),"⚠ akun tidak dikenal",IF(C300=D300,"⚠ debet = kredit","")))</f>
        <v/>
      </c>
    </row>
    <row r="301" customFormat="false" ht="15" hidden="false" customHeight="false" outlineLevel="0" collapsed="false">
      <c r="A301" s="82" t="s">
        <v>995</v>
      </c>
      <c r="B301" s="101" t="n">
        <v>46081</v>
      </c>
      <c r="C301" s="82" t="s">
        <v>455</v>
      </c>
      <c r="D301" s="82" t="s">
        <v>456</v>
      </c>
      <c r="E301" s="91" t="n">
        <v>78500</v>
      </c>
      <c r="F301" s="82" t="s">
        <v>996</v>
      </c>
      <c r="G301" s="82"/>
      <c r="H301" s="82" t="s">
        <v>458</v>
      </c>
      <c r="I301" s="82" t="s">
        <v>250</v>
      </c>
      <c r="J301" s="102" t="n">
        <f aca="false">IF(B301="","",MONTH(B301))</f>
        <v>2</v>
      </c>
      <c r="K301" s="102" t="n">
        <f aca="false">IF(B301="","",YEAR(B301))</f>
        <v>2026</v>
      </c>
      <c r="L301" s="102" t="str">
        <f aca="false">IF(N(E301)=0,"",IF(COUNTIFS(AK_NAMA,C301,AK_KAT,"KAS")+COUNTIFS(AK_NAMA,D301,AK_KAT,"KAS")&lt;&gt;1,"",IF(COUNTIFS(AK_NAMA,C301,AK_KAT,"KAS")=1,D301,C301)))</f>
        <v/>
      </c>
      <c r="M301" s="103" t="n">
        <f aca="false">IF(L301="",0,IF(L301=D301,E301,-E301))</f>
        <v>0</v>
      </c>
      <c r="N301" s="102" t="str">
        <f aca="false">IF(L301="","",IFERROR(INDEX(AK_BARIS,MATCH(L301,AK_NAMA,0)),"?"))</f>
        <v/>
      </c>
      <c r="O301" s="102" t="str">
        <f aca="false">IF(C301="","",IFERROR(INDEX(AK_KEL,MATCH(C301,AK_NAMA,0)),"?"))</f>
        <v>BEBAN</v>
      </c>
      <c r="P301" s="102" t="str">
        <f aca="false">IF(D301="","",IFERROR(INDEX(AK_KEL,MATCH(D301,AK_NAMA,0)),"?"))</f>
        <v>LIABILITAS</v>
      </c>
      <c r="Q301" s="102" t="n">
        <f aca="false">N(Q300)+IF(AND(N(E301)&lt;&gt;0,K301=TAHUN,N(J301)&lt;=BLN,OR(C301=BB_AKUN,D301=BB_AKUN)),1,0)</f>
        <v>197</v>
      </c>
      <c r="R301" s="104" t="str">
        <f aca="false">IF(OR(C301&amp;D301="",N(E301)=0),"",IF(OR(O301="?",P301="?"),"⚠ akun tidak dikenal",IF(C301=D301,"⚠ debet = kredit","")))</f>
        <v/>
      </c>
    </row>
    <row r="302" customFormat="false" ht="15" hidden="false" customHeight="false" outlineLevel="0" collapsed="false">
      <c r="A302" s="82" t="s">
        <v>997</v>
      </c>
      <c r="B302" s="101" t="n">
        <v>46081</v>
      </c>
      <c r="C302" s="82" t="s">
        <v>787</v>
      </c>
      <c r="D302" s="82" t="s">
        <v>461</v>
      </c>
      <c r="E302" s="91" t="n">
        <v>1664000</v>
      </c>
      <c r="F302" s="82" t="s">
        <v>788</v>
      </c>
      <c r="G302" s="82"/>
      <c r="H302" s="82"/>
      <c r="I302" s="82" t="s">
        <v>250</v>
      </c>
      <c r="J302" s="102" t="n">
        <f aca="false">IF(B302="","",MONTH(B302))</f>
        <v>2</v>
      </c>
      <c r="K302" s="102" t="n">
        <f aca="false">IF(B302="","",YEAR(B302))</f>
        <v>2026</v>
      </c>
      <c r="L302" s="102" t="str">
        <f aca="false">IF(N(E302)=0,"",IF(COUNTIFS(AK_NAMA,C302,AK_KAT,"KAS")+COUNTIFS(AK_NAMA,D302,AK_KAT,"KAS")&lt;&gt;1,"",IF(COUNTIFS(AK_NAMA,C302,AK_KAT,"KAS")=1,D302,C302)))</f>
        <v>Pajak Restoran</v>
      </c>
      <c r="M302" s="103" t="n">
        <f aca="false">IF(L302="",0,IF(L302=D302,E302,-E302))</f>
        <v>-1664000</v>
      </c>
      <c r="N302" s="102" t="str">
        <f aca="false">IF(L302="","",IFERROR(INDEX(AK_BARIS,MATCH(L302,AK_NAMA,0)),"?"))</f>
        <v>OP7</v>
      </c>
      <c r="O302" s="102" t="str">
        <f aca="false">IF(C302="","",IFERROR(INDEX(AK_KEL,MATCH(C302,AK_NAMA,0)),"?"))</f>
        <v>PENDAPATAN</v>
      </c>
      <c r="P302" s="102" t="str">
        <f aca="false">IF(D302="","",IFERROR(INDEX(AK_KEL,MATCH(D302,AK_NAMA,0)),"?"))</f>
        <v>ASET</v>
      </c>
      <c r="Q302" s="102" t="n">
        <f aca="false">N(Q301)+IF(AND(N(E302)&lt;&gt;0,K302=TAHUN,N(J302)&lt;=BLN,OR(C302=BB_AKUN,D302=BB_AKUN)),1,0)</f>
        <v>198</v>
      </c>
      <c r="R302" s="104" t="str">
        <f aca="false">IF(OR(C302&amp;D302="",N(E302)=0),"",IF(OR(O302="?",P302="?"),"⚠ akun tidak dikenal",IF(C302=D302,"⚠ debet = kredit","")))</f>
        <v/>
      </c>
    </row>
    <row r="303" customFormat="false" ht="15" hidden="false" customHeight="false" outlineLevel="0" collapsed="false">
      <c r="A303" s="82" t="s">
        <v>998</v>
      </c>
      <c r="B303" s="101" t="n">
        <v>46081</v>
      </c>
      <c r="C303" s="82" t="s">
        <v>524</v>
      </c>
      <c r="D303" s="82" t="s">
        <v>461</v>
      </c>
      <c r="E303" s="91" t="n">
        <v>6500</v>
      </c>
      <c r="F303" s="82" t="s">
        <v>854</v>
      </c>
      <c r="G303" s="82"/>
      <c r="H303" s="82"/>
      <c r="I303" s="82" t="s">
        <v>250</v>
      </c>
      <c r="J303" s="102" t="n">
        <f aca="false">IF(B303="","",MONTH(B303))</f>
        <v>2</v>
      </c>
      <c r="K303" s="102" t="n">
        <f aca="false">IF(B303="","",YEAR(B303))</f>
        <v>2026</v>
      </c>
      <c r="L303" s="102" t="str">
        <f aca="false">IF(N(E303)=0,"",IF(COUNTIFS(AK_NAMA,C303,AK_KAT,"KAS")+COUNTIFS(AK_NAMA,D303,AK_KAT,"KAS")&lt;&gt;1,"",IF(COUNTIFS(AK_NAMA,C303,AK_KAT,"KAS")=1,D303,C303)))</f>
        <v>Biaya Lainnya</v>
      </c>
      <c r="M303" s="103" t="n">
        <f aca="false">IF(L303="",0,IF(L303=D303,E303,-E303))</f>
        <v>-6500</v>
      </c>
      <c r="N303" s="102" t="str">
        <f aca="false">IF(L303="","",IFERROR(INDEX(AK_BARIS,MATCH(L303,AK_NAMA,0)),"?"))</f>
        <v>OP2</v>
      </c>
      <c r="O303" s="102" t="str">
        <f aca="false">IF(C303="","",IFERROR(INDEX(AK_KEL,MATCH(C303,AK_NAMA,0)),"?"))</f>
        <v>BEBAN</v>
      </c>
      <c r="P303" s="102" t="str">
        <f aca="false">IF(D303="","",IFERROR(INDEX(AK_KEL,MATCH(D303,AK_NAMA,0)),"?"))</f>
        <v>ASET</v>
      </c>
      <c r="Q303" s="102" t="n">
        <f aca="false">N(Q302)+IF(AND(N(E303)&lt;&gt;0,K303=TAHUN,N(J303)&lt;=BLN,OR(C303=BB_AKUN,D303=BB_AKUN)),1,0)</f>
        <v>199</v>
      </c>
      <c r="R303" s="104" t="str">
        <f aca="false">IF(OR(C303&amp;D303="",N(E303)=0),"",IF(OR(O303="?",P303="?"),"⚠ akun tidak dikenal",IF(C303=D303,"⚠ debet = kredit","")))</f>
        <v/>
      </c>
    </row>
    <row r="304" customFormat="false" ht="15" hidden="false" customHeight="false" outlineLevel="0" collapsed="false">
      <c r="A304" s="105" t="s">
        <v>999</v>
      </c>
      <c r="B304" s="106" t="n">
        <v>46081</v>
      </c>
      <c r="C304" s="105" t="s">
        <v>765</v>
      </c>
      <c r="D304" s="105" t="s">
        <v>792</v>
      </c>
      <c r="E304" s="107" t="n">
        <f aca="false">SUMIFS('OMZET HARIAN'!$Q$5:$Q$369,'OMZET HARIAN'!$B$5:$B$369,J304)</f>
        <v>73106388</v>
      </c>
      <c r="F304" s="105" t="s">
        <v>1000</v>
      </c>
      <c r="G304" s="105"/>
      <c r="H304" s="105"/>
      <c r="I304" s="105" t="s">
        <v>794</v>
      </c>
      <c r="J304" s="102" t="n">
        <f aca="false">IF(B304="","",MONTH(B304))</f>
        <v>2</v>
      </c>
      <c r="K304" s="102" t="n">
        <f aca="false">IF(B304="","",YEAR(B304))</f>
        <v>2026</v>
      </c>
      <c r="L304" s="102" t="str">
        <f aca="false">IF(N(E304)=0,"",IF(COUNTIFS(AK_NAMA,C304,AK_KAT,"KAS")+COUNTIFS(AK_NAMA,D304,AK_KAT,"KAS")&lt;&gt;1,"",IF(COUNTIFS(AK_NAMA,C304,AK_KAT,"KAS")=1,D304,C304)))</f>
        <v/>
      </c>
      <c r="M304" s="103" t="n">
        <f aca="false">IF(L304="",0,IF(L304=D304,E304,-E304))</f>
        <v>0</v>
      </c>
      <c r="N304" s="102" t="str">
        <f aca="false">IF(L304="","",IFERROR(INDEX(AK_BARIS,MATCH(L304,AK_NAMA,0)),"?"))</f>
        <v/>
      </c>
      <c r="O304" s="102" t="str">
        <f aca="false">IF(C304="","",IFERROR(INDEX(AK_KEL,MATCH(C304,AK_NAMA,0)),"?"))</f>
        <v>ASET</v>
      </c>
      <c r="P304" s="102" t="str">
        <f aca="false">IF(D304="","",IFERROR(INDEX(AK_KEL,MATCH(D304,AK_NAMA,0)),"?"))</f>
        <v>PENDAPATAN</v>
      </c>
      <c r="Q304" s="102" t="n">
        <f aca="false">N(Q303)+IF(AND(N(E304)&lt;&gt;0,K304=TAHUN,N(J304)&lt;=BLN,OR(C304=BB_AKUN,D304=BB_AKUN)),1,0)</f>
        <v>199</v>
      </c>
      <c r="R304" s="104" t="str">
        <f aca="false">IF(OR(C304&amp;D304="",N(E304)=0),"",IF(OR(O304="?",P304="?"),"⚠ akun tidak dikenal",IF(C304=D304,"⚠ debet = kredit","")))</f>
        <v/>
      </c>
    </row>
    <row r="305" customFormat="false" ht="15" hidden="false" customHeight="false" outlineLevel="0" collapsed="false">
      <c r="A305" s="105" t="s">
        <v>1001</v>
      </c>
      <c r="B305" s="106" t="n">
        <v>46081</v>
      </c>
      <c r="C305" s="105" t="s">
        <v>475</v>
      </c>
      <c r="D305" s="105" t="s">
        <v>765</v>
      </c>
      <c r="E305" s="107" t="n">
        <f aca="false">SUMIFS('OMZET HARIAN'!$F$5:$F$369,'OMZET HARIAN'!$B$5:$B$369,J305)+SUMIFS('OMZET HARIAN'!$G$5:$G$369,'OMZET HARIAN'!$B$5:$B$369,J305)</f>
        <v>20333500</v>
      </c>
      <c r="F305" s="105" t="s">
        <v>1002</v>
      </c>
      <c r="G305" s="105"/>
      <c r="H305" s="105"/>
      <c r="I305" s="105" t="s">
        <v>794</v>
      </c>
      <c r="J305" s="102" t="n">
        <f aca="false">IF(B305="","",MONTH(B305))</f>
        <v>2</v>
      </c>
      <c r="K305" s="102" t="n">
        <f aca="false">IF(B305="","",YEAR(B305))</f>
        <v>2026</v>
      </c>
      <c r="L305" s="102" t="str">
        <f aca="false">IF(N(E305)=0,"",IF(COUNTIFS(AK_NAMA,C305,AK_KAT,"KAS")+COUNTIFS(AK_NAMA,D305,AK_KAT,"KAS")&lt;&gt;1,"",IF(COUNTIFS(AK_NAMA,C305,AK_KAT,"KAS")=1,D305,C305)))</f>
        <v>Piutang Usaha Cafe</v>
      </c>
      <c r="M305" s="103" t="n">
        <f aca="false">IF(L305="",0,IF(L305=D305,E305,-E305))</f>
        <v>20333500</v>
      </c>
      <c r="N305" s="102" t="str">
        <f aca="false">IF(L305="","",IFERROR(INDEX(AK_BARIS,MATCH(L305,AK_NAMA,0)),"?"))</f>
        <v>OP1</v>
      </c>
      <c r="O305" s="102" t="str">
        <f aca="false">IF(C305="","",IFERROR(INDEX(AK_KEL,MATCH(C305,AK_NAMA,0)),"?"))</f>
        <v>ASET</v>
      </c>
      <c r="P305" s="102" t="str">
        <f aca="false">IF(D305="","",IFERROR(INDEX(AK_KEL,MATCH(D305,AK_NAMA,0)),"?"))</f>
        <v>ASET</v>
      </c>
      <c r="Q305" s="102" t="n">
        <f aca="false">N(Q304)+IF(AND(N(E305)&lt;&gt;0,K305=TAHUN,N(J305)&lt;=BLN,OR(C305=BB_AKUN,D305=BB_AKUN)),1,0)</f>
        <v>199</v>
      </c>
      <c r="R305" s="104" t="str">
        <f aca="false">IF(OR(C305&amp;D305="",N(E305)=0),"",IF(OR(O305="?",P305="?"),"⚠ akun tidak dikenal",IF(C305=D305,"⚠ debet = kredit","")))</f>
        <v/>
      </c>
    </row>
    <row r="306" customFormat="false" ht="15" hidden="false" customHeight="false" outlineLevel="0" collapsed="false">
      <c r="A306" s="105" t="s">
        <v>1003</v>
      </c>
      <c r="B306" s="106" t="n">
        <v>46081</v>
      </c>
      <c r="C306" s="105" t="s">
        <v>461</v>
      </c>
      <c r="D306" s="105" t="s">
        <v>765</v>
      </c>
      <c r="E306" s="107" t="n">
        <f aca="false">SUMIFS('OMZET HARIAN'!$H$5:$H$369,'OMZET HARIAN'!$B$5:$B$369,J306)</f>
        <v>51087288</v>
      </c>
      <c r="F306" s="105" t="s">
        <v>1004</v>
      </c>
      <c r="G306" s="105"/>
      <c r="H306" s="105"/>
      <c r="I306" s="105" t="s">
        <v>794</v>
      </c>
      <c r="J306" s="102" t="n">
        <f aca="false">IF(B306="","",MONTH(B306))</f>
        <v>2</v>
      </c>
      <c r="K306" s="102" t="n">
        <f aca="false">IF(B306="","",YEAR(B306))</f>
        <v>2026</v>
      </c>
      <c r="L306" s="102" t="str">
        <f aca="false">IF(N(E306)=0,"",IF(COUNTIFS(AK_NAMA,C306,AK_KAT,"KAS")+COUNTIFS(AK_NAMA,D306,AK_KAT,"KAS")&lt;&gt;1,"",IF(COUNTIFS(AK_NAMA,C306,AK_KAT,"KAS")=1,D306,C306)))</f>
        <v>Piutang Usaha Cafe</v>
      </c>
      <c r="M306" s="103" t="n">
        <f aca="false">IF(L306="",0,IF(L306=D306,E306,-E306))</f>
        <v>51087288</v>
      </c>
      <c r="N306" s="102" t="str">
        <f aca="false">IF(L306="","",IFERROR(INDEX(AK_BARIS,MATCH(L306,AK_NAMA,0)),"?"))</f>
        <v>OP1</v>
      </c>
      <c r="O306" s="102" t="str">
        <f aca="false">IF(C306="","",IFERROR(INDEX(AK_KEL,MATCH(C306,AK_NAMA,0)),"?"))</f>
        <v>ASET</v>
      </c>
      <c r="P306" s="102" t="str">
        <f aca="false">IF(D306="","",IFERROR(INDEX(AK_KEL,MATCH(D306,AK_NAMA,0)),"?"))</f>
        <v>ASET</v>
      </c>
      <c r="Q306" s="102" t="n">
        <f aca="false">N(Q305)+IF(AND(N(E306)&lt;&gt;0,K306=TAHUN,N(J306)&lt;=BLN,OR(C306=BB_AKUN,D306=BB_AKUN)),1,0)</f>
        <v>200</v>
      </c>
      <c r="R306" s="104" t="str">
        <f aca="false">IF(OR(C306&amp;D306="",N(E306)=0),"",IF(OR(O306="?",P306="?"),"⚠ akun tidak dikenal",IF(C306=D306,"⚠ debet = kredit","")))</f>
        <v/>
      </c>
    </row>
    <row r="307" customFormat="false" ht="15" hidden="false" customHeight="false" outlineLevel="0" collapsed="false">
      <c r="A307" s="105" t="s">
        <v>1005</v>
      </c>
      <c r="B307" s="106" t="n">
        <v>46081</v>
      </c>
      <c r="C307" s="105" t="s">
        <v>718</v>
      </c>
      <c r="D307" s="105" t="s">
        <v>765</v>
      </c>
      <c r="E307" s="107" t="n">
        <f aca="false">SUMIFS('OMZET HARIAN'!$L$5:$L$369,'OMZET HARIAN'!$B$5:$B$369,J307)</f>
        <v>270300</v>
      </c>
      <c r="F307" s="105" t="s">
        <v>1006</v>
      </c>
      <c r="G307" s="105"/>
      <c r="H307" s="105" t="s">
        <v>763</v>
      </c>
      <c r="I307" s="105" t="s">
        <v>794</v>
      </c>
      <c r="J307" s="102" t="n">
        <f aca="false">IF(B307="","",MONTH(B307))</f>
        <v>2</v>
      </c>
      <c r="K307" s="102" t="n">
        <f aca="false">IF(B307="","",YEAR(B307))</f>
        <v>2026</v>
      </c>
      <c r="L307" s="102" t="str">
        <f aca="false">IF(N(E307)=0,"",IF(COUNTIFS(AK_NAMA,C307,AK_KAT,"KAS")+COUNTIFS(AK_NAMA,D307,AK_KAT,"KAS")&lt;&gt;1,"",IF(COUNTIFS(AK_NAMA,C307,AK_KAT,"KAS")=1,D307,C307)))</f>
        <v/>
      </c>
      <c r="M307" s="103" t="n">
        <f aca="false">IF(L307="",0,IF(L307=D307,E307,-E307))</f>
        <v>0</v>
      </c>
      <c r="N307" s="102" t="str">
        <f aca="false">IF(L307="","",IFERROR(INDEX(AK_BARIS,MATCH(L307,AK_NAMA,0)),"?"))</f>
        <v/>
      </c>
      <c r="O307" s="102" t="str">
        <f aca="false">IF(C307="","",IFERROR(INDEX(AK_KEL,MATCH(C307,AK_NAMA,0)),"?"))</f>
        <v>ASET</v>
      </c>
      <c r="P307" s="102" t="str">
        <f aca="false">IF(D307="","",IFERROR(INDEX(AK_KEL,MATCH(D307,AK_NAMA,0)),"?"))</f>
        <v>ASET</v>
      </c>
      <c r="Q307" s="102" t="n">
        <f aca="false">N(Q306)+IF(AND(N(E307)&lt;&gt;0,K307=TAHUN,N(J307)&lt;=BLN,OR(C307=BB_AKUN,D307=BB_AKUN)),1,0)</f>
        <v>200</v>
      </c>
      <c r="R307" s="104" t="str">
        <f aca="false">IF(OR(C307&amp;D307="",N(E307)=0),"",IF(OR(O307="?",P307="?"),"⚠ akun tidak dikenal",IF(C307=D307,"⚠ debet = kredit","")))</f>
        <v/>
      </c>
    </row>
    <row r="308" customFormat="false" ht="15" hidden="false" customHeight="false" outlineLevel="0" collapsed="false">
      <c r="A308" s="105" t="s">
        <v>1007</v>
      </c>
      <c r="B308" s="106" t="n">
        <v>46081</v>
      </c>
      <c r="C308" s="105" t="s">
        <v>802</v>
      </c>
      <c r="D308" s="105" t="s">
        <v>765</v>
      </c>
      <c r="E308" s="107" t="n">
        <f aca="false">SUMIFS('OMZET HARIAN'!$M$5:$M$369,'OMZET HARIAN'!$B$5:$B$369,J308)</f>
        <v>339300</v>
      </c>
      <c r="F308" s="105" t="s">
        <v>1008</v>
      </c>
      <c r="G308" s="105"/>
      <c r="H308" s="105"/>
      <c r="I308" s="105" t="s">
        <v>794</v>
      </c>
      <c r="J308" s="102" t="n">
        <f aca="false">IF(B308="","",MONTH(B308))</f>
        <v>2</v>
      </c>
      <c r="K308" s="102" t="n">
        <f aca="false">IF(B308="","",YEAR(B308))</f>
        <v>2026</v>
      </c>
      <c r="L308" s="102" t="str">
        <f aca="false">IF(N(E308)=0,"",IF(COUNTIFS(AK_NAMA,C308,AK_KAT,"KAS")+COUNTIFS(AK_NAMA,D308,AK_KAT,"KAS")&lt;&gt;1,"",IF(COUNTIFS(AK_NAMA,C308,AK_KAT,"KAS")=1,D308,C308)))</f>
        <v/>
      </c>
      <c r="M308" s="103" t="n">
        <f aca="false">IF(L308="",0,IF(L308=D308,E308,-E308))</f>
        <v>0</v>
      </c>
      <c r="N308" s="102" t="str">
        <f aca="false">IF(L308="","",IFERROR(INDEX(AK_BARIS,MATCH(L308,AK_NAMA,0)),"?"))</f>
        <v/>
      </c>
      <c r="O308" s="102" t="str">
        <f aca="false">IF(C308="","",IFERROR(INDEX(AK_KEL,MATCH(C308,AK_NAMA,0)),"?"))</f>
        <v>BEBAN</v>
      </c>
      <c r="P308" s="102" t="str">
        <f aca="false">IF(D308="","",IFERROR(INDEX(AK_KEL,MATCH(D308,AK_NAMA,0)),"?"))</f>
        <v>ASET</v>
      </c>
      <c r="Q308" s="102" t="n">
        <f aca="false">N(Q307)+IF(AND(N(E308)&lt;&gt;0,K308=TAHUN,N(J308)&lt;=BLN,OR(C308=BB_AKUN,D308=BB_AKUN)),1,0)</f>
        <v>200</v>
      </c>
      <c r="R308" s="104" t="str">
        <f aca="false">IF(OR(C308&amp;D308="",N(E308)=0),"",IF(OR(O308="?",P308="?"),"⚠ akun tidak dikenal",IF(C308=D308,"⚠ debet = kredit","")))</f>
        <v/>
      </c>
    </row>
    <row r="309" customFormat="false" ht="15" hidden="false" customHeight="false" outlineLevel="0" collapsed="false">
      <c r="A309" s="105" t="s">
        <v>1009</v>
      </c>
      <c r="B309" s="106" t="n">
        <v>46081</v>
      </c>
      <c r="C309" s="105" t="s">
        <v>464</v>
      </c>
      <c r="D309" s="105" t="s">
        <v>765</v>
      </c>
      <c r="E309" s="107" t="n">
        <f aca="false">SUMIFS('OMZET HARIAN'!$N$5:$N$369,'OMZET HARIAN'!$B$5:$B$369,J309)</f>
        <v>1076000</v>
      </c>
      <c r="F309" s="105" t="s">
        <v>1010</v>
      </c>
      <c r="G309" s="105"/>
      <c r="H309" s="105" t="s">
        <v>432</v>
      </c>
      <c r="I309" s="105" t="s">
        <v>794</v>
      </c>
      <c r="J309" s="102" t="n">
        <f aca="false">IF(B309="","",MONTH(B309))</f>
        <v>2</v>
      </c>
      <c r="K309" s="102" t="n">
        <f aca="false">IF(B309="","",YEAR(B309))</f>
        <v>2026</v>
      </c>
      <c r="L309" s="102" t="str">
        <f aca="false">IF(N(E309)=0,"",IF(COUNTIFS(AK_NAMA,C309,AK_KAT,"KAS")+COUNTIFS(AK_NAMA,D309,AK_KAT,"KAS")&lt;&gt;1,"",IF(COUNTIFS(AK_NAMA,C309,AK_KAT,"KAS")=1,D309,C309)))</f>
        <v/>
      </c>
      <c r="M309" s="103" t="n">
        <f aca="false">IF(L309="",0,IF(L309=D309,E309,-E309))</f>
        <v>0</v>
      </c>
      <c r="N309" s="102" t="str">
        <f aca="false">IF(L309="","",IFERROR(INDEX(AK_BARIS,MATCH(L309,AK_NAMA,0)),"?"))</f>
        <v/>
      </c>
      <c r="O309" s="102" t="str">
        <f aca="false">IF(C309="","",IFERROR(INDEX(AK_KEL,MATCH(C309,AK_NAMA,0)),"?"))</f>
        <v>EKUITAS</v>
      </c>
      <c r="P309" s="102" t="str">
        <f aca="false">IF(D309="","",IFERROR(INDEX(AK_KEL,MATCH(D309,AK_NAMA,0)),"?"))</f>
        <v>ASET</v>
      </c>
      <c r="Q309" s="102" t="n">
        <f aca="false">N(Q308)+IF(AND(N(E309)&lt;&gt;0,K309=TAHUN,N(J309)&lt;=BLN,OR(C309=BB_AKUN,D309=BB_AKUN)),1,0)</f>
        <v>200</v>
      </c>
      <c r="R309" s="104" t="str">
        <f aca="false">IF(OR(C309&amp;D309="",N(E309)=0),"",IF(OR(O309="?",P309="?"),"⚠ akun tidak dikenal",IF(C309=D309,"⚠ debet = kredit","")))</f>
        <v/>
      </c>
    </row>
    <row r="310" customFormat="false" ht="15" hidden="false" customHeight="false" outlineLevel="0" collapsed="false">
      <c r="A310" s="105" t="s">
        <v>1011</v>
      </c>
      <c r="B310" s="106" t="n">
        <v>46081</v>
      </c>
      <c r="C310" s="105" t="s">
        <v>807</v>
      </c>
      <c r="D310" s="105" t="s">
        <v>808</v>
      </c>
      <c r="E310" s="107" t="n">
        <f aca="false">INDEX('ASET TETAP'!$H$25:$S$25,J310)</f>
        <v>216667</v>
      </c>
      <c r="F310" s="105" t="s">
        <v>1012</v>
      </c>
      <c r="G310" s="105"/>
      <c r="H310" s="105"/>
      <c r="I310" s="105" t="s">
        <v>794</v>
      </c>
      <c r="J310" s="102" t="n">
        <f aca="false">IF(B310="","",MONTH(B310))</f>
        <v>2</v>
      </c>
      <c r="K310" s="102" t="n">
        <f aca="false">IF(B310="","",YEAR(B310))</f>
        <v>2026</v>
      </c>
      <c r="L310" s="102" t="str">
        <f aca="false">IF(N(E310)=0,"",IF(COUNTIFS(AK_NAMA,C310,AK_KAT,"KAS")+COUNTIFS(AK_NAMA,D310,AK_KAT,"KAS")&lt;&gt;1,"",IF(COUNTIFS(AK_NAMA,C310,AK_KAT,"KAS")=1,D310,C310)))</f>
        <v/>
      </c>
      <c r="M310" s="103" t="n">
        <f aca="false">IF(L310="",0,IF(L310=D310,E310,-E310))</f>
        <v>0</v>
      </c>
      <c r="N310" s="102" t="str">
        <f aca="false">IF(L310="","",IFERROR(INDEX(AK_BARIS,MATCH(L310,AK_NAMA,0)),"?"))</f>
        <v/>
      </c>
      <c r="O310" s="102" t="str">
        <f aca="false">IF(C310="","",IFERROR(INDEX(AK_KEL,MATCH(C310,AK_NAMA,0)),"?"))</f>
        <v>BEBAN</v>
      </c>
      <c r="P310" s="102" t="str">
        <f aca="false">IF(D310="","",IFERROR(INDEX(AK_KEL,MATCH(D310,AK_NAMA,0)),"?"))</f>
        <v>ASET</v>
      </c>
      <c r="Q310" s="102" t="n">
        <f aca="false">N(Q309)+IF(AND(N(E310)&lt;&gt;0,K310=TAHUN,N(J310)&lt;=BLN,OR(C310=BB_AKUN,D310=BB_AKUN)),1,0)</f>
        <v>200</v>
      </c>
      <c r="R310" s="104" t="str">
        <f aca="false">IF(OR(C310&amp;D310="",N(E310)=0),"",IF(OR(O310="?",P310="?"),"⚠ akun tidak dikenal",IF(C310=D310,"⚠ debet = kredit","")))</f>
        <v/>
      </c>
    </row>
    <row r="311" customFormat="false" ht="15" hidden="false" customHeight="false" outlineLevel="0" collapsed="false">
      <c r="A311" s="105" t="s">
        <v>1013</v>
      </c>
      <c r="B311" s="106" t="n">
        <v>46081</v>
      </c>
      <c r="C311" s="105" t="s">
        <v>787</v>
      </c>
      <c r="D311" s="105" t="s">
        <v>811</v>
      </c>
      <c r="E311" s="107" t="n">
        <f aca="false">IF(AND(AKRUAL="YA",J311&lt;=BLN),MAX(0,INDEX(PAJAK!$J$6:$J$17,J311)),0)</f>
        <v>4991045</v>
      </c>
      <c r="F311" s="105" t="s">
        <v>1014</v>
      </c>
      <c r="G311" s="105"/>
      <c r="H311" s="105"/>
      <c r="I311" s="105" t="s">
        <v>813</v>
      </c>
      <c r="J311" s="102" t="n">
        <f aca="false">IF(B311="","",MONTH(B311))</f>
        <v>2</v>
      </c>
      <c r="K311" s="102" t="n">
        <f aca="false">IF(B311="","",YEAR(B311))</f>
        <v>2026</v>
      </c>
      <c r="L311" s="102" t="str">
        <f aca="false">IF(N(E311)=0,"",IF(COUNTIFS(AK_NAMA,C311,AK_KAT,"KAS")+COUNTIFS(AK_NAMA,D311,AK_KAT,"KAS")&lt;&gt;1,"",IF(COUNTIFS(AK_NAMA,C311,AK_KAT,"KAS")=1,D311,C311)))</f>
        <v/>
      </c>
      <c r="M311" s="103" t="n">
        <f aca="false">IF(L311="",0,IF(L311=D311,E311,-E311))</f>
        <v>0</v>
      </c>
      <c r="N311" s="102" t="str">
        <f aca="false">IF(L311="","",IFERROR(INDEX(AK_BARIS,MATCH(L311,AK_NAMA,0)),"?"))</f>
        <v/>
      </c>
      <c r="O311" s="102" t="str">
        <f aca="false">IF(C311="","",IFERROR(INDEX(AK_KEL,MATCH(C311,AK_NAMA,0)),"?"))</f>
        <v>PENDAPATAN</v>
      </c>
      <c r="P311" s="102" t="str">
        <f aca="false">IF(D311="","",IFERROR(INDEX(AK_KEL,MATCH(D311,AK_NAMA,0)),"?"))</f>
        <v>LIABILITAS</v>
      </c>
      <c r="Q311" s="102" t="n">
        <f aca="false">N(Q310)+IF(AND(N(E311)&lt;&gt;0,K311=TAHUN,N(J311)&lt;=BLN,OR(C311=BB_AKUN,D311=BB_AKUN)),1,0)</f>
        <v>200</v>
      </c>
      <c r="R311" s="104" t="str">
        <f aca="false">IF(OR(C311&amp;D311="",N(E311)=0),"",IF(OR(O311="?",P311="?"),"⚠ akun tidak dikenal",IF(C311=D311,"⚠ debet = kredit","")))</f>
        <v/>
      </c>
    </row>
    <row r="312" customFormat="false" ht="15" hidden="false" customHeight="false" outlineLevel="0" collapsed="false">
      <c r="A312" s="82" t="s">
        <v>1015</v>
      </c>
      <c r="B312" s="101" t="n">
        <v>46082</v>
      </c>
      <c r="C312" s="82" t="s">
        <v>467</v>
      </c>
      <c r="D312" s="82" t="s">
        <v>461</v>
      </c>
      <c r="E312" s="91" t="n">
        <v>1440000</v>
      </c>
      <c r="F312" s="82" t="s">
        <v>1016</v>
      </c>
      <c r="G312" s="82"/>
      <c r="H312" s="82"/>
      <c r="I312" s="82" t="s">
        <v>250</v>
      </c>
      <c r="J312" s="102" t="n">
        <f aca="false">IF(B312="","",MONTH(B312))</f>
        <v>3</v>
      </c>
      <c r="K312" s="102" t="n">
        <f aca="false">IF(B312="","",YEAR(B312))</f>
        <v>2026</v>
      </c>
      <c r="L312" s="102" t="str">
        <f aca="false">IF(N(E312)=0,"",IF(COUNTIFS(AK_NAMA,C312,AK_KAT,"KAS")+COUNTIFS(AK_NAMA,D312,AK_KAT,"KAS")&lt;&gt;1,"",IF(COUNTIFS(AK_NAMA,C312,AK_KAT,"KAS")=1,D312,C312)))</f>
        <v>Dana Sosial &amp; CSR</v>
      </c>
      <c r="M312" s="103" t="n">
        <f aca="false">IF(L312="",0,IF(L312=D312,E312,-E312))</f>
        <v>-1440000</v>
      </c>
      <c r="N312" s="102" t="str">
        <f aca="false">IF(L312="","",IFERROR(INDEX(AK_BARIS,MATCH(L312,AK_NAMA,0)),"?"))</f>
        <v>OP6</v>
      </c>
      <c r="O312" s="102" t="str">
        <f aca="false">IF(C312="","",IFERROR(INDEX(AK_KEL,MATCH(C312,AK_NAMA,0)),"?"))</f>
        <v>BEBAN</v>
      </c>
      <c r="P312" s="102" t="str">
        <f aca="false">IF(D312="","",IFERROR(INDEX(AK_KEL,MATCH(D312,AK_NAMA,0)),"?"))</f>
        <v>ASET</v>
      </c>
      <c r="Q312" s="102" t="n">
        <f aca="false">N(Q311)+IF(AND(N(E312)&lt;&gt;0,K312=TAHUN,N(J312)&lt;=BLN,OR(C312=BB_AKUN,D312=BB_AKUN)),1,0)</f>
        <v>201</v>
      </c>
      <c r="R312" s="104" t="str">
        <f aca="false">IF(OR(C312&amp;D312="",N(E312)=0),"",IF(OR(O312="?",P312="?"),"⚠ akun tidak dikenal",IF(C312=D312,"⚠ debet = kredit","")))</f>
        <v/>
      </c>
    </row>
    <row r="313" customFormat="false" ht="15" hidden="false" customHeight="false" outlineLevel="0" collapsed="false">
      <c r="A313" s="82" t="s">
        <v>1017</v>
      </c>
      <c r="B313" s="101" t="n">
        <v>46082</v>
      </c>
      <c r="C313" s="82" t="s">
        <v>461</v>
      </c>
      <c r="D313" s="82" t="s">
        <v>475</v>
      </c>
      <c r="E313" s="91" t="n">
        <v>2100000</v>
      </c>
      <c r="F313" s="82" t="s">
        <v>560</v>
      </c>
      <c r="G313" s="82"/>
      <c r="H313" s="82"/>
      <c r="I313" s="82" t="s">
        <v>250</v>
      </c>
      <c r="J313" s="102" t="n">
        <f aca="false">IF(B313="","",MONTH(B313))</f>
        <v>3</v>
      </c>
      <c r="K313" s="102" t="n">
        <f aca="false">IF(B313="","",YEAR(B313))</f>
        <v>2026</v>
      </c>
      <c r="L313" s="102" t="str">
        <f aca="false">IF(N(E313)=0,"",IF(COUNTIFS(AK_NAMA,C313,AK_KAT,"KAS")+COUNTIFS(AK_NAMA,D313,AK_KAT,"KAS")&lt;&gt;1,"",IF(COUNTIFS(AK_NAMA,C313,AK_KAT,"KAS")=1,D313,C313)))</f>
        <v/>
      </c>
      <c r="M313" s="103" t="n">
        <f aca="false">IF(L313="",0,IF(L313=D313,E313,-E313))</f>
        <v>0</v>
      </c>
      <c r="N313" s="102" t="str">
        <f aca="false">IF(L313="","",IFERROR(INDEX(AK_BARIS,MATCH(L313,AK_NAMA,0)),"?"))</f>
        <v/>
      </c>
      <c r="O313" s="102" t="str">
        <f aca="false">IF(C313="","",IFERROR(INDEX(AK_KEL,MATCH(C313,AK_NAMA,0)),"?"))</f>
        <v>ASET</v>
      </c>
      <c r="P313" s="102" t="str">
        <f aca="false">IF(D313="","",IFERROR(INDEX(AK_KEL,MATCH(D313,AK_NAMA,0)),"?"))</f>
        <v>ASET</v>
      </c>
      <c r="Q313" s="102" t="n">
        <f aca="false">N(Q312)+IF(AND(N(E313)&lt;&gt;0,K313=TAHUN,N(J313)&lt;=BLN,OR(C313=BB_AKUN,D313=BB_AKUN)),1,0)</f>
        <v>202</v>
      </c>
      <c r="R313" s="104" t="str">
        <f aca="false">IF(OR(C313&amp;D313="",N(E313)=0),"",IF(OR(O313="?",P313="?"),"⚠ akun tidak dikenal",IF(C313=D313,"⚠ debet = kredit","")))</f>
        <v/>
      </c>
    </row>
    <row r="314" customFormat="false" ht="15" hidden="false" customHeight="false" outlineLevel="0" collapsed="false">
      <c r="A314" s="82" t="s">
        <v>1018</v>
      </c>
      <c r="B314" s="101" t="n">
        <v>46082</v>
      </c>
      <c r="C314" s="82" t="s">
        <v>524</v>
      </c>
      <c r="D314" s="82" t="s">
        <v>461</v>
      </c>
      <c r="E314" s="91" t="n">
        <v>423</v>
      </c>
      <c r="F314" s="82" t="s">
        <v>525</v>
      </c>
      <c r="G314" s="82"/>
      <c r="H314" s="82"/>
      <c r="I314" s="82" t="s">
        <v>250</v>
      </c>
      <c r="J314" s="102" t="n">
        <f aca="false">IF(B314="","",MONTH(B314))</f>
        <v>3</v>
      </c>
      <c r="K314" s="102" t="n">
        <f aca="false">IF(B314="","",YEAR(B314))</f>
        <v>2026</v>
      </c>
      <c r="L314" s="102" t="str">
        <f aca="false">IF(N(E314)=0,"",IF(COUNTIFS(AK_NAMA,C314,AK_KAT,"KAS")+COUNTIFS(AK_NAMA,D314,AK_KAT,"KAS")&lt;&gt;1,"",IF(COUNTIFS(AK_NAMA,C314,AK_KAT,"KAS")=1,D314,C314)))</f>
        <v>Biaya Lainnya</v>
      </c>
      <c r="M314" s="103" t="n">
        <f aca="false">IF(L314="",0,IF(L314=D314,E314,-E314))</f>
        <v>-423</v>
      </c>
      <c r="N314" s="102" t="str">
        <f aca="false">IF(L314="","",IFERROR(INDEX(AK_BARIS,MATCH(L314,AK_NAMA,0)),"?"))</f>
        <v>OP2</v>
      </c>
      <c r="O314" s="102" t="str">
        <f aca="false">IF(C314="","",IFERROR(INDEX(AK_KEL,MATCH(C314,AK_NAMA,0)),"?"))</f>
        <v>BEBAN</v>
      </c>
      <c r="P314" s="102" t="str">
        <f aca="false">IF(D314="","",IFERROR(INDEX(AK_KEL,MATCH(D314,AK_NAMA,0)),"?"))</f>
        <v>ASET</v>
      </c>
      <c r="Q314" s="102" t="n">
        <f aca="false">N(Q313)+IF(AND(N(E314)&lt;&gt;0,K314=TAHUN,N(J314)&lt;=BLN,OR(C314=BB_AKUN,D314=BB_AKUN)),1,0)</f>
        <v>203</v>
      </c>
      <c r="R314" s="104" t="str">
        <f aca="false">IF(OR(C314&amp;D314="",N(E314)=0),"",IF(OR(O314="?",P314="?"),"⚠ akun tidak dikenal",IF(C314=D314,"⚠ debet = kredit","")))</f>
        <v/>
      </c>
    </row>
    <row r="315" customFormat="false" ht="15" hidden="false" customHeight="false" outlineLevel="0" collapsed="false">
      <c r="A315" s="82" t="s">
        <v>1019</v>
      </c>
      <c r="B315" s="101" t="n">
        <v>46083</v>
      </c>
      <c r="C315" s="82" t="s">
        <v>524</v>
      </c>
      <c r="D315" s="82" t="s">
        <v>461</v>
      </c>
      <c r="E315" s="91" t="n">
        <v>577000</v>
      </c>
      <c r="F315" s="82" t="s">
        <v>1020</v>
      </c>
      <c r="G315" s="82"/>
      <c r="H315" s="82"/>
      <c r="I315" s="82" t="s">
        <v>250</v>
      </c>
      <c r="J315" s="102" t="n">
        <f aca="false">IF(B315="","",MONTH(B315))</f>
        <v>3</v>
      </c>
      <c r="K315" s="102" t="n">
        <f aca="false">IF(B315="","",YEAR(B315))</f>
        <v>2026</v>
      </c>
      <c r="L315" s="102" t="str">
        <f aca="false">IF(N(E315)=0,"",IF(COUNTIFS(AK_NAMA,C315,AK_KAT,"KAS")+COUNTIFS(AK_NAMA,D315,AK_KAT,"KAS")&lt;&gt;1,"",IF(COUNTIFS(AK_NAMA,C315,AK_KAT,"KAS")=1,D315,C315)))</f>
        <v>Biaya Lainnya</v>
      </c>
      <c r="M315" s="103" t="n">
        <f aca="false">IF(L315="",0,IF(L315=D315,E315,-E315))</f>
        <v>-577000</v>
      </c>
      <c r="N315" s="102" t="str">
        <f aca="false">IF(L315="","",IFERROR(INDEX(AK_BARIS,MATCH(L315,AK_NAMA,0)),"?"))</f>
        <v>OP2</v>
      </c>
      <c r="O315" s="102" t="str">
        <f aca="false">IF(C315="","",IFERROR(INDEX(AK_KEL,MATCH(C315,AK_NAMA,0)),"?"))</f>
        <v>BEBAN</v>
      </c>
      <c r="P315" s="102" t="str">
        <f aca="false">IF(D315="","",IFERROR(INDEX(AK_KEL,MATCH(D315,AK_NAMA,0)),"?"))</f>
        <v>ASET</v>
      </c>
      <c r="Q315" s="102" t="n">
        <f aca="false">N(Q314)+IF(AND(N(E315)&lt;&gt;0,K315=TAHUN,N(J315)&lt;=BLN,OR(C315=BB_AKUN,D315=BB_AKUN)),1,0)</f>
        <v>204</v>
      </c>
      <c r="R315" s="104" t="str">
        <f aca="false">IF(OR(C315&amp;D315="",N(E315)=0),"",IF(OR(O315="?",P315="?"),"⚠ akun tidak dikenal",IF(C315=D315,"⚠ debet = kredit","")))</f>
        <v/>
      </c>
    </row>
    <row r="316" customFormat="false" ht="15" hidden="false" customHeight="false" outlineLevel="0" collapsed="false">
      <c r="A316" s="82" t="s">
        <v>1021</v>
      </c>
      <c r="B316" s="101" t="n">
        <v>46083</v>
      </c>
      <c r="C316" s="82" t="s">
        <v>524</v>
      </c>
      <c r="D316" s="82" t="s">
        <v>461</v>
      </c>
      <c r="E316" s="91" t="n">
        <v>325</v>
      </c>
      <c r="F316" s="82" t="s">
        <v>525</v>
      </c>
      <c r="G316" s="82"/>
      <c r="H316" s="82"/>
      <c r="I316" s="82" t="s">
        <v>250</v>
      </c>
      <c r="J316" s="102" t="n">
        <f aca="false">IF(B316="","",MONTH(B316))</f>
        <v>3</v>
      </c>
      <c r="K316" s="102" t="n">
        <f aca="false">IF(B316="","",YEAR(B316))</f>
        <v>2026</v>
      </c>
      <c r="L316" s="102" t="str">
        <f aca="false">IF(N(E316)=0,"",IF(COUNTIFS(AK_NAMA,C316,AK_KAT,"KAS")+COUNTIFS(AK_NAMA,D316,AK_KAT,"KAS")&lt;&gt;1,"",IF(COUNTIFS(AK_NAMA,C316,AK_KAT,"KAS")=1,D316,C316)))</f>
        <v>Biaya Lainnya</v>
      </c>
      <c r="M316" s="103" t="n">
        <f aca="false">IF(L316="",0,IF(L316=D316,E316,-E316))</f>
        <v>-325</v>
      </c>
      <c r="N316" s="102" t="str">
        <f aca="false">IF(L316="","",IFERROR(INDEX(AK_BARIS,MATCH(L316,AK_NAMA,0)),"?"))</f>
        <v>OP2</v>
      </c>
      <c r="O316" s="102" t="str">
        <f aca="false">IF(C316="","",IFERROR(INDEX(AK_KEL,MATCH(C316,AK_NAMA,0)),"?"))</f>
        <v>BEBAN</v>
      </c>
      <c r="P316" s="102" t="str">
        <f aca="false">IF(D316="","",IFERROR(INDEX(AK_KEL,MATCH(D316,AK_NAMA,0)),"?"))</f>
        <v>ASET</v>
      </c>
      <c r="Q316" s="102" t="n">
        <f aca="false">N(Q315)+IF(AND(N(E316)&lt;&gt;0,K316=TAHUN,N(J316)&lt;=BLN,OR(C316=BB_AKUN,D316=BB_AKUN)),1,0)</f>
        <v>205</v>
      </c>
      <c r="R316" s="104" t="str">
        <f aca="false">IF(OR(C316&amp;D316="",N(E316)=0),"",IF(OR(O316="?",P316="?"),"⚠ akun tidak dikenal",IF(C316=D316,"⚠ debet = kredit","")))</f>
        <v/>
      </c>
    </row>
    <row r="317" customFormat="false" ht="15" hidden="false" customHeight="false" outlineLevel="0" collapsed="false">
      <c r="A317" s="82" t="s">
        <v>1022</v>
      </c>
      <c r="B317" s="101" t="n">
        <v>46084</v>
      </c>
      <c r="C317" s="82" t="s">
        <v>455</v>
      </c>
      <c r="D317" s="82" t="s">
        <v>486</v>
      </c>
      <c r="E317" s="91" t="n">
        <v>56000</v>
      </c>
      <c r="F317" s="82" t="s">
        <v>1023</v>
      </c>
      <c r="G317" s="82"/>
      <c r="H317" s="82"/>
      <c r="I317" s="82" t="s">
        <v>250</v>
      </c>
      <c r="J317" s="102" t="n">
        <f aca="false">IF(B317="","",MONTH(B317))</f>
        <v>3</v>
      </c>
      <c r="K317" s="102" t="n">
        <f aca="false">IF(B317="","",YEAR(B317))</f>
        <v>2026</v>
      </c>
      <c r="L317" s="102" t="str">
        <f aca="false">IF(N(E317)=0,"",IF(COUNTIFS(AK_NAMA,C317,AK_KAT,"KAS")+COUNTIFS(AK_NAMA,D317,AK_KAT,"KAS")&lt;&gt;1,"",IF(COUNTIFS(AK_NAMA,C317,AK_KAT,"KAS")=1,D317,C317)))</f>
        <v>Biaya Pemeliharaan</v>
      </c>
      <c r="M317" s="103" t="n">
        <f aca="false">IF(L317="",0,IF(L317=D317,E317,-E317))</f>
        <v>-56000</v>
      </c>
      <c r="N317" s="102" t="str">
        <f aca="false">IF(L317="","",IFERROR(INDEX(AK_BARIS,MATCH(L317,AK_NAMA,0)),"?"))</f>
        <v>OP6</v>
      </c>
      <c r="O317" s="102" t="str">
        <f aca="false">IF(C317="","",IFERROR(INDEX(AK_KEL,MATCH(C317,AK_NAMA,0)),"?"))</f>
        <v>BEBAN</v>
      </c>
      <c r="P317" s="102" t="str">
        <f aca="false">IF(D317="","",IFERROR(INDEX(AK_KEL,MATCH(D317,AK_NAMA,0)),"?"))</f>
        <v>ASET</v>
      </c>
      <c r="Q317" s="102" t="n">
        <f aca="false">N(Q316)+IF(AND(N(E317)&lt;&gt;0,K317=TAHUN,N(J317)&lt;=BLN,OR(C317=BB_AKUN,D317=BB_AKUN)),1,0)</f>
        <v>205</v>
      </c>
      <c r="R317" s="104" t="str">
        <f aca="false">IF(OR(C317&amp;D317="",N(E317)=0),"",IF(OR(O317="?",P317="?"),"⚠ akun tidak dikenal",IF(C317=D317,"⚠ debet = kredit","")))</f>
        <v/>
      </c>
    </row>
    <row r="318" customFormat="false" ht="15" hidden="false" customHeight="false" outlineLevel="0" collapsed="false">
      <c r="A318" s="82" t="s">
        <v>1024</v>
      </c>
      <c r="B318" s="101" t="n">
        <v>46084</v>
      </c>
      <c r="C318" s="82" t="s">
        <v>461</v>
      </c>
      <c r="D318" s="82" t="s">
        <v>486</v>
      </c>
      <c r="E318" s="91" t="n">
        <v>444000</v>
      </c>
      <c r="F318" s="82" t="s">
        <v>1025</v>
      </c>
      <c r="G318" s="82"/>
      <c r="H318" s="82"/>
      <c r="I318" s="82" t="s">
        <v>250</v>
      </c>
      <c r="J318" s="102" t="n">
        <f aca="false">IF(B318="","",MONTH(B318))</f>
        <v>3</v>
      </c>
      <c r="K318" s="102" t="n">
        <f aca="false">IF(B318="","",YEAR(B318))</f>
        <v>2026</v>
      </c>
      <c r="L318" s="102" t="str">
        <f aca="false">IF(N(E318)=0,"",IF(COUNTIFS(AK_NAMA,C318,AK_KAT,"KAS")+COUNTIFS(AK_NAMA,D318,AK_KAT,"KAS")&lt;&gt;1,"",IF(COUNTIFS(AK_NAMA,C318,AK_KAT,"KAS")=1,D318,C318)))</f>
        <v/>
      </c>
      <c r="M318" s="103" t="n">
        <f aca="false">IF(L318="",0,IF(L318=D318,E318,-E318))</f>
        <v>0</v>
      </c>
      <c r="N318" s="102" t="str">
        <f aca="false">IF(L318="","",IFERROR(INDEX(AK_BARIS,MATCH(L318,AK_NAMA,0)),"?"))</f>
        <v/>
      </c>
      <c r="O318" s="102" t="str">
        <f aca="false">IF(C318="","",IFERROR(INDEX(AK_KEL,MATCH(C318,AK_NAMA,0)),"?"))</f>
        <v>ASET</v>
      </c>
      <c r="P318" s="102" t="str">
        <f aca="false">IF(D318="","",IFERROR(INDEX(AK_KEL,MATCH(D318,AK_NAMA,0)),"?"))</f>
        <v>ASET</v>
      </c>
      <c r="Q318" s="102" t="n">
        <f aca="false">N(Q317)+IF(AND(N(E318)&lt;&gt;0,K318=TAHUN,N(J318)&lt;=BLN,OR(C318=BB_AKUN,D318=BB_AKUN)),1,0)</f>
        <v>206</v>
      </c>
      <c r="R318" s="104" t="str">
        <f aca="false">IF(OR(C318&amp;D318="",N(E318)=0),"",IF(OR(O318="?",P318="?"),"⚠ akun tidak dikenal",IF(C318=D318,"⚠ debet = kredit","")))</f>
        <v/>
      </c>
    </row>
    <row r="319" customFormat="false" ht="15" hidden="false" customHeight="false" outlineLevel="0" collapsed="false">
      <c r="A319" s="82" t="s">
        <v>1026</v>
      </c>
      <c r="B319" s="101" t="n">
        <v>46084</v>
      </c>
      <c r="C319" s="82" t="s">
        <v>470</v>
      </c>
      <c r="D319" s="82" t="s">
        <v>486</v>
      </c>
      <c r="E319" s="91" t="n">
        <v>115000</v>
      </c>
      <c r="F319" s="82" t="s">
        <v>935</v>
      </c>
      <c r="G319" s="82"/>
      <c r="H319" s="82"/>
      <c r="I319" s="82" t="s">
        <v>250</v>
      </c>
      <c r="J319" s="102" t="n">
        <f aca="false">IF(B319="","",MONTH(B319))</f>
        <v>3</v>
      </c>
      <c r="K319" s="102" t="n">
        <f aca="false">IF(B319="","",YEAR(B319))</f>
        <v>2026</v>
      </c>
      <c r="L319" s="102" t="str">
        <f aca="false">IF(N(E319)=0,"",IF(COUNTIFS(AK_NAMA,C319,AK_KAT,"KAS")+COUNTIFS(AK_NAMA,D319,AK_KAT,"KAS")&lt;&gt;1,"",IF(COUNTIFS(AK_NAMA,C319,AK_KAT,"KAS")=1,D319,C319)))</f>
        <v>Biaya Bahan Baku</v>
      </c>
      <c r="M319" s="103" t="n">
        <f aca="false">IF(L319="",0,IF(L319=D319,E319,-E319))</f>
        <v>-115000</v>
      </c>
      <c r="N319" s="102" t="str">
        <f aca="false">IF(L319="","",IFERROR(INDEX(AK_BARIS,MATCH(L319,AK_NAMA,0)),"?"))</f>
        <v>OP3</v>
      </c>
      <c r="O319" s="102" t="str">
        <f aca="false">IF(C319="","",IFERROR(INDEX(AK_KEL,MATCH(C319,AK_NAMA,0)),"?"))</f>
        <v>BEBAN</v>
      </c>
      <c r="P319" s="102" t="str">
        <f aca="false">IF(D319="","",IFERROR(INDEX(AK_KEL,MATCH(D319,AK_NAMA,0)),"?"))</f>
        <v>ASET</v>
      </c>
      <c r="Q319" s="102" t="n">
        <f aca="false">N(Q318)+IF(AND(N(E319)&lt;&gt;0,K319=TAHUN,N(J319)&lt;=BLN,OR(C319=BB_AKUN,D319=BB_AKUN)),1,0)</f>
        <v>206</v>
      </c>
      <c r="R319" s="104" t="str">
        <f aca="false">IF(OR(C319&amp;D319="",N(E319)=0),"",IF(OR(O319="?",P319="?"),"⚠ akun tidak dikenal",IF(C319=D319,"⚠ debet = kredit","")))</f>
        <v/>
      </c>
    </row>
    <row r="320" customFormat="false" ht="15" hidden="false" customHeight="false" outlineLevel="0" collapsed="false">
      <c r="A320" s="82" t="s">
        <v>1027</v>
      </c>
      <c r="B320" s="101" t="n">
        <v>46084</v>
      </c>
      <c r="C320" s="82" t="s">
        <v>478</v>
      </c>
      <c r="D320" s="82" t="s">
        <v>486</v>
      </c>
      <c r="E320" s="91" t="n">
        <v>327600</v>
      </c>
      <c r="F320" s="82" t="s">
        <v>937</v>
      </c>
      <c r="G320" s="82"/>
      <c r="H320" s="82"/>
      <c r="I320" s="82" t="s">
        <v>250</v>
      </c>
      <c r="J320" s="102" t="n">
        <f aca="false">IF(B320="","",MONTH(B320))</f>
        <v>3</v>
      </c>
      <c r="K320" s="102" t="n">
        <f aca="false">IF(B320="","",YEAR(B320))</f>
        <v>2026</v>
      </c>
      <c r="L320" s="102" t="str">
        <f aca="false">IF(N(E320)=0,"",IF(COUNTIFS(AK_NAMA,C320,AK_KAT,"KAS")+COUNTIFS(AK_NAMA,D320,AK_KAT,"KAS")&lt;&gt;1,"",IF(COUNTIFS(AK_NAMA,C320,AK_KAT,"KAS")=1,D320,C320)))</f>
        <v>Biaya Penyajian</v>
      </c>
      <c r="M320" s="103" t="n">
        <f aca="false">IF(L320="",0,IF(L320=D320,E320,-E320))</f>
        <v>-327600</v>
      </c>
      <c r="N320" s="102" t="str">
        <f aca="false">IF(L320="","",IFERROR(INDEX(AK_BARIS,MATCH(L320,AK_NAMA,0)),"?"))</f>
        <v>OP3</v>
      </c>
      <c r="O320" s="102" t="str">
        <f aca="false">IF(C320="","",IFERROR(INDEX(AK_KEL,MATCH(C320,AK_NAMA,0)),"?"))</f>
        <v>BEBAN</v>
      </c>
      <c r="P320" s="102" t="str">
        <f aca="false">IF(D320="","",IFERROR(INDEX(AK_KEL,MATCH(D320,AK_NAMA,0)),"?"))</f>
        <v>ASET</v>
      </c>
      <c r="Q320" s="102" t="n">
        <f aca="false">N(Q319)+IF(AND(N(E320)&lt;&gt;0,K320=TAHUN,N(J320)&lt;=BLN,OR(C320=BB_AKUN,D320=BB_AKUN)),1,0)</f>
        <v>206</v>
      </c>
      <c r="R320" s="104" t="str">
        <f aca="false">IF(OR(C320&amp;D320="",N(E320)=0),"",IF(OR(O320="?",P320="?"),"⚠ akun tidak dikenal",IF(C320=D320,"⚠ debet = kredit","")))</f>
        <v/>
      </c>
    </row>
    <row r="321" customFormat="false" ht="15" hidden="false" customHeight="false" outlineLevel="0" collapsed="false">
      <c r="A321" s="82" t="s">
        <v>1028</v>
      </c>
      <c r="B321" s="101" t="n">
        <v>46084</v>
      </c>
      <c r="C321" s="82" t="s">
        <v>485</v>
      </c>
      <c r="D321" s="82" t="s">
        <v>486</v>
      </c>
      <c r="E321" s="91" t="n">
        <v>20000</v>
      </c>
      <c r="F321" s="82" t="s">
        <v>553</v>
      </c>
      <c r="G321" s="82"/>
      <c r="H321" s="82"/>
      <c r="I321" s="82" t="s">
        <v>250</v>
      </c>
      <c r="J321" s="102" t="n">
        <f aca="false">IF(B321="","",MONTH(B321))</f>
        <v>3</v>
      </c>
      <c r="K321" s="102" t="n">
        <f aca="false">IF(B321="","",YEAR(B321))</f>
        <v>2026</v>
      </c>
      <c r="L321" s="102" t="str">
        <f aca="false">IF(N(E321)=0,"",IF(COUNTIFS(AK_NAMA,C321,AK_KAT,"KAS")+COUNTIFS(AK_NAMA,D321,AK_KAT,"KAS")&lt;&gt;1,"",IF(COUNTIFS(AK_NAMA,C321,AK_KAT,"KAS")=1,D321,C321)))</f>
        <v>Biaya Operasional Harian</v>
      </c>
      <c r="M321" s="103" t="n">
        <f aca="false">IF(L321="",0,IF(L321=D321,E321,-E321))</f>
        <v>-20000</v>
      </c>
      <c r="N321" s="102" t="str">
        <f aca="false">IF(L321="","",IFERROR(INDEX(AK_BARIS,MATCH(L321,AK_NAMA,0)),"?"))</f>
        <v>OP6</v>
      </c>
      <c r="O321" s="102" t="str">
        <f aca="false">IF(C321="","",IFERROR(INDEX(AK_KEL,MATCH(C321,AK_NAMA,0)),"?"))</f>
        <v>BEBAN</v>
      </c>
      <c r="P321" s="102" t="str">
        <f aca="false">IF(D321="","",IFERROR(INDEX(AK_KEL,MATCH(D321,AK_NAMA,0)),"?"))</f>
        <v>ASET</v>
      </c>
      <c r="Q321" s="102" t="n">
        <f aca="false">N(Q320)+IF(AND(N(E321)&lt;&gt;0,K321=TAHUN,N(J321)&lt;=BLN,OR(C321=BB_AKUN,D321=BB_AKUN)),1,0)</f>
        <v>206</v>
      </c>
      <c r="R321" s="104" t="str">
        <f aca="false">IF(OR(C321&amp;D321="",N(E321)=0),"",IF(OR(O321="?",P321="?"),"⚠ akun tidak dikenal",IF(C321=D321,"⚠ debet = kredit","")))</f>
        <v/>
      </c>
    </row>
    <row r="322" customFormat="false" ht="15" hidden="false" customHeight="false" outlineLevel="0" collapsed="false">
      <c r="A322" s="82" t="s">
        <v>1029</v>
      </c>
      <c r="B322" s="101" t="n">
        <v>46084</v>
      </c>
      <c r="C322" s="82" t="s">
        <v>485</v>
      </c>
      <c r="D322" s="82" t="s">
        <v>486</v>
      </c>
      <c r="E322" s="91" t="n">
        <v>6000</v>
      </c>
      <c r="F322" s="82" t="s">
        <v>555</v>
      </c>
      <c r="G322" s="82"/>
      <c r="H322" s="82"/>
      <c r="I322" s="82" t="s">
        <v>250</v>
      </c>
      <c r="J322" s="102" t="n">
        <f aca="false">IF(B322="","",MONTH(B322))</f>
        <v>3</v>
      </c>
      <c r="K322" s="102" t="n">
        <f aca="false">IF(B322="","",YEAR(B322))</f>
        <v>2026</v>
      </c>
      <c r="L322" s="102" t="str">
        <f aca="false">IF(N(E322)=0,"",IF(COUNTIFS(AK_NAMA,C322,AK_KAT,"KAS")+COUNTIFS(AK_NAMA,D322,AK_KAT,"KAS")&lt;&gt;1,"",IF(COUNTIFS(AK_NAMA,C322,AK_KAT,"KAS")=1,D322,C322)))</f>
        <v>Biaya Operasional Harian</v>
      </c>
      <c r="M322" s="103" t="n">
        <f aca="false">IF(L322="",0,IF(L322=D322,E322,-E322))</f>
        <v>-6000</v>
      </c>
      <c r="N322" s="102" t="str">
        <f aca="false">IF(L322="","",IFERROR(INDEX(AK_BARIS,MATCH(L322,AK_NAMA,0)),"?"))</f>
        <v>OP6</v>
      </c>
      <c r="O322" s="102" t="str">
        <f aca="false">IF(C322="","",IFERROR(INDEX(AK_KEL,MATCH(C322,AK_NAMA,0)),"?"))</f>
        <v>BEBAN</v>
      </c>
      <c r="P322" s="102" t="str">
        <f aca="false">IF(D322="","",IFERROR(INDEX(AK_KEL,MATCH(D322,AK_NAMA,0)),"?"))</f>
        <v>ASET</v>
      </c>
      <c r="Q322" s="102" t="n">
        <f aca="false">N(Q321)+IF(AND(N(E322)&lt;&gt;0,K322=TAHUN,N(J322)&lt;=BLN,OR(C322=BB_AKUN,D322=BB_AKUN)),1,0)</f>
        <v>206</v>
      </c>
      <c r="R322" s="104" t="str">
        <f aca="false">IF(OR(C322&amp;D322="",N(E322)=0),"",IF(OR(O322="?",P322="?"),"⚠ akun tidak dikenal",IF(C322=D322,"⚠ debet = kredit","")))</f>
        <v/>
      </c>
    </row>
    <row r="323" customFormat="false" ht="15" hidden="false" customHeight="false" outlineLevel="0" collapsed="false">
      <c r="A323" s="82" t="s">
        <v>1030</v>
      </c>
      <c r="B323" s="101" t="n">
        <v>46084</v>
      </c>
      <c r="C323" s="82" t="s">
        <v>475</v>
      </c>
      <c r="D323" s="82" t="s">
        <v>486</v>
      </c>
      <c r="E323" s="91" t="n">
        <v>32000</v>
      </c>
      <c r="F323" s="82" t="s">
        <v>540</v>
      </c>
      <c r="G323" s="82"/>
      <c r="H323" s="82"/>
      <c r="I323" s="82" t="s">
        <v>250</v>
      </c>
      <c r="J323" s="102" t="n">
        <f aca="false">IF(B323="","",MONTH(B323))</f>
        <v>3</v>
      </c>
      <c r="K323" s="102" t="n">
        <f aca="false">IF(B323="","",YEAR(B323))</f>
        <v>2026</v>
      </c>
      <c r="L323" s="102" t="str">
        <f aca="false">IF(N(E323)=0,"",IF(COUNTIFS(AK_NAMA,C323,AK_KAT,"KAS")+COUNTIFS(AK_NAMA,D323,AK_KAT,"KAS")&lt;&gt;1,"",IF(COUNTIFS(AK_NAMA,C323,AK_KAT,"KAS")=1,D323,C323)))</f>
        <v/>
      </c>
      <c r="M323" s="103" t="n">
        <f aca="false">IF(L323="",0,IF(L323=D323,E323,-E323))</f>
        <v>0</v>
      </c>
      <c r="N323" s="102" t="str">
        <f aca="false">IF(L323="","",IFERROR(INDEX(AK_BARIS,MATCH(L323,AK_NAMA,0)),"?"))</f>
        <v/>
      </c>
      <c r="O323" s="102" t="str">
        <f aca="false">IF(C323="","",IFERROR(INDEX(AK_KEL,MATCH(C323,AK_NAMA,0)),"?"))</f>
        <v>ASET</v>
      </c>
      <c r="P323" s="102" t="str">
        <f aca="false">IF(D323="","",IFERROR(INDEX(AK_KEL,MATCH(D323,AK_NAMA,0)),"?"))</f>
        <v>ASET</v>
      </c>
      <c r="Q323" s="102" t="n">
        <f aca="false">N(Q322)+IF(AND(N(E323)&lt;&gt;0,K323=TAHUN,N(J323)&lt;=BLN,OR(C323=BB_AKUN,D323=BB_AKUN)),1,0)</f>
        <v>206</v>
      </c>
      <c r="R323" s="104" t="str">
        <f aca="false">IF(OR(C323&amp;D323="",N(E323)=0),"",IF(OR(O323="?",P323="?"),"⚠ akun tidak dikenal",IF(C323=D323,"⚠ debet = kredit","")))</f>
        <v/>
      </c>
    </row>
    <row r="324" customFormat="false" ht="15" hidden="false" customHeight="false" outlineLevel="0" collapsed="false">
      <c r="A324" s="82" t="s">
        <v>1031</v>
      </c>
      <c r="B324" s="101" t="n">
        <v>46084</v>
      </c>
      <c r="C324" s="82" t="s">
        <v>486</v>
      </c>
      <c r="D324" s="82" t="s">
        <v>557</v>
      </c>
      <c r="E324" s="91" t="n">
        <v>600</v>
      </c>
      <c r="F324" s="82" t="s">
        <v>1032</v>
      </c>
      <c r="G324" s="82"/>
      <c r="H324" s="82"/>
      <c r="I324" s="82" t="s">
        <v>250</v>
      </c>
      <c r="J324" s="102" t="n">
        <f aca="false">IF(B324="","",MONTH(B324))</f>
        <v>3</v>
      </c>
      <c r="K324" s="102" t="n">
        <f aca="false">IF(B324="","",YEAR(B324))</f>
        <v>2026</v>
      </c>
      <c r="L324" s="102" t="str">
        <f aca="false">IF(N(E324)=0,"",IF(COUNTIFS(AK_NAMA,C324,AK_KAT,"KAS")+COUNTIFS(AK_NAMA,D324,AK_KAT,"KAS")&lt;&gt;1,"",IF(COUNTIFS(AK_NAMA,C324,AK_KAT,"KAS")=1,D324,C324)))</f>
        <v>Pendapatan Lainnya</v>
      </c>
      <c r="M324" s="103" t="n">
        <f aca="false">IF(L324="",0,IF(L324=D324,E324,-E324))</f>
        <v>600</v>
      </c>
      <c r="N324" s="102" t="str">
        <f aca="false">IF(L324="","",IFERROR(INDEX(AK_BARIS,MATCH(L324,AK_NAMA,0)),"?"))</f>
        <v>OP2</v>
      </c>
      <c r="O324" s="102" t="str">
        <f aca="false">IF(C324="","",IFERROR(INDEX(AK_KEL,MATCH(C324,AK_NAMA,0)),"?"))</f>
        <v>ASET</v>
      </c>
      <c r="P324" s="102" t="str">
        <f aca="false">IF(D324="","",IFERROR(INDEX(AK_KEL,MATCH(D324,AK_NAMA,0)),"?"))</f>
        <v>PENDAPATAN</v>
      </c>
      <c r="Q324" s="102" t="n">
        <f aca="false">N(Q323)+IF(AND(N(E324)&lt;&gt;0,K324=TAHUN,N(J324)&lt;=BLN,OR(C324=BB_AKUN,D324=BB_AKUN)),1,0)</f>
        <v>206</v>
      </c>
      <c r="R324" s="104" t="str">
        <f aca="false">IF(OR(C324&amp;D324="",N(E324)=0),"",IF(OR(O324="?",P324="?"),"⚠ akun tidak dikenal",IF(C324=D324,"⚠ debet = kredit","")))</f>
        <v/>
      </c>
    </row>
    <row r="325" customFormat="false" ht="15" hidden="false" customHeight="false" outlineLevel="0" collapsed="false">
      <c r="A325" s="82" t="s">
        <v>1033</v>
      </c>
      <c r="B325" s="101" t="n">
        <v>46084</v>
      </c>
      <c r="C325" s="82" t="s">
        <v>486</v>
      </c>
      <c r="D325" s="82" t="s">
        <v>475</v>
      </c>
      <c r="E325" s="91" t="n">
        <v>500000</v>
      </c>
      <c r="F325" s="82" t="s">
        <v>622</v>
      </c>
      <c r="G325" s="82"/>
      <c r="H325" s="82"/>
      <c r="I325" s="82" t="s">
        <v>250</v>
      </c>
      <c r="J325" s="102" t="n">
        <f aca="false">IF(B325="","",MONTH(B325))</f>
        <v>3</v>
      </c>
      <c r="K325" s="102" t="n">
        <f aca="false">IF(B325="","",YEAR(B325))</f>
        <v>2026</v>
      </c>
      <c r="L325" s="102" t="str">
        <f aca="false">IF(N(E325)=0,"",IF(COUNTIFS(AK_NAMA,C325,AK_KAT,"KAS")+COUNTIFS(AK_NAMA,D325,AK_KAT,"KAS")&lt;&gt;1,"",IF(COUNTIFS(AK_NAMA,C325,AK_KAT,"KAS")=1,D325,C325)))</f>
        <v/>
      </c>
      <c r="M325" s="103" t="n">
        <f aca="false">IF(L325="",0,IF(L325=D325,E325,-E325))</f>
        <v>0</v>
      </c>
      <c r="N325" s="102" t="str">
        <f aca="false">IF(L325="","",IFERROR(INDEX(AK_BARIS,MATCH(L325,AK_NAMA,0)),"?"))</f>
        <v/>
      </c>
      <c r="O325" s="102" t="str">
        <f aca="false">IF(C325="","",IFERROR(INDEX(AK_KEL,MATCH(C325,AK_NAMA,0)),"?"))</f>
        <v>ASET</v>
      </c>
      <c r="P325" s="102" t="str">
        <f aca="false">IF(D325="","",IFERROR(INDEX(AK_KEL,MATCH(D325,AK_NAMA,0)),"?"))</f>
        <v>ASET</v>
      </c>
      <c r="Q325" s="102" t="n">
        <f aca="false">N(Q324)+IF(AND(N(E325)&lt;&gt;0,K325=TAHUN,N(J325)&lt;=BLN,OR(C325=BB_AKUN,D325=BB_AKUN)),1,0)</f>
        <v>206</v>
      </c>
      <c r="R325" s="104" t="str">
        <f aca="false">IF(OR(C325&amp;D325="",N(E325)=0),"",IF(OR(O325="?",P325="?"),"⚠ akun tidak dikenal",IF(C325=D325,"⚠ debet = kredit","")))</f>
        <v/>
      </c>
    </row>
    <row r="326" customFormat="false" ht="15" hidden="false" customHeight="false" outlineLevel="0" collapsed="false">
      <c r="A326" s="82" t="s">
        <v>1034</v>
      </c>
      <c r="B326" s="101" t="n">
        <v>46086</v>
      </c>
      <c r="C326" s="82" t="s">
        <v>470</v>
      </c>
      <c r="D326" s="82" t="s">
        <v>461</v>
      </c>
      <c r="E326" s="91" t="n">
        <v>755764</v>
      </c>
      <c r="F326" s="82" t="s">
        <v>1035</v>
      </c>
      <c r="G326" s="82"/>
      <c r="H326" s="82"/>
      <c r="I326" s="82" t="s">
        <v>250</v>
      </c>
      <c r="J326" s="102" t="n">
        <f aca="false">IF(B326="","",MONTH(B326))</f>
        <v>3</v>
      </c>
      <c r="K326" s="102" t="n">
        <f aca="false">IF(B326="","",YEAR(B326))</f>
        <v>2026</v>
      </c>
      <c r="L326" s="102" t="str">
        <f aca="false">IF(N(E326)=0,"",IF(COUNTIFS(AK_NAMA,C326,AK_KAT,"KAS")+COUNTIFS(AK_NAMA,D326,AK_KAT,"KAS")&lt;&gt;1,"",IF(COUNTIFS(AK_NAMA,C326,AK_KAT,"KAS")=1,D326,C326)))</f>
        <v>Biaya Bahan Baku</v>
      </c>
      <c r="M326" s="103" t="n">
        <f aca="false">IF(L326="",0,IF(L326=D326,E326,-E326))</f>
        <v>-755764</v>
      </c>
      <c r="N326" s="102" t="str">
        <f aca="false">IF(L326="","",IFERROR(INDEX(AK_BARIS,MATCH(L326,AK_NAMA,0)),"?"))</f>
        <v>OP3</v>
      </c>
      <c r="O326" s="102" t="str">
        <f aca="false">IF(C326="","",IFERROR(INDEX(AK_KEL,MATCH(C326,AK_NAMA,0)),"?"))</f>
        <v>BEBAN</v>
      </c>
      <c r="P326" s="102" t="str">
        <f aca="false">IF(D326="","",IFERROR(INDEX(AK_KEL,MATCH(D326,AK_NAMA,0)),"?"))</f>
        <v>ASET</v>
      </c>
      <c r="Q326" s="102" t="n">
        <f aca="false">N(Q325)+IF(AND(N(E326)&lt;&gt;0,K326=TAHUN,N(J326)&lt;=BLN,OR(C326=BB_AKUN,D326=BB_AKUN)),1,0)</f>
        <v>207</v>
      </c>
      <c r="R326" s="104" t="str">
        <f aca="false">IF(OR(C326&amp;D326="",N(E326)=0),"",IF(OR(O326="?",P326="?"),"⚠ akun tidak dikenal",IF(C326=D326,"⚠ debet = kredit","")))</f>
        <v/>
      </c>
    </row>
    <row r="327" customFormat="false" ht="15" hidden="false" customHeight="false" outlineLevel="0" collapsed="false">
      <c r="A327" s="82" t="s">
        <v>1036</v>
      </c>
      <c r="B327" s="101" t="n">
        <v>46088</v>
      </c>
      <c r="C327" s="82" t="s">
        <v>470</v>
      </c>
      <c r="D327" s="82" t="s">
        <v>461</v>
      </c>
      <c r="E327" s="91" t="n">
        <v>2899000</v>
      </c>
      <c r="F327" s="82" t="s">
        <v>1037</v>
      </c>
      <c r="G327" s="82"/>
      <c r="H327" s="82"/>
      <c r="I327" s="82" t="s">
        <v>250</v>
      </c>
      <c r="J327" s="102" t="n">
        <f aca="false">IF(B327="","",MONTH(B327))</f>
        <v>3</v>
      </c>
      <c r="K327" s="102" t="n">
        <f aca="false">IF(B327="","",YEAR(B327))</f>
        <v>2026</v>
      </c>
      <c r="L327" s="102" t="str">
        <f aca="false">IF(N(E327)=0,"",IF(COUNTIFS(AK_NAMA,C327,AK_KAT,"KAS")+COUNTIFS(AK_NAMA,D327,AK_KAT,"KAS")&lt;&gt;1,"",IF(COUNTIFS(AK_NAMA,C327,AK_KAT,"KAS")=1,D327,C327)))</f>
        <v>Biaya Bahan Baku</v>
      </c>
      <c r="M327" s="103" t="n">
        <f aca="false">IF(L327="",0,IF(L327=D327,E327,-E327))</f>
        <v>-2899000</v>
      </c>
      <c r="N327" s="102" t="str">
        <f aca="false">IF(L327="","",IFERROR(INDEX(AK_BARIS,MATCH(L327,AK_NAMA,0)),"?"))</f>
        <v>OP3</v>
      </c>
      <c r="O327" s="102" t="str">
        <f aca="false">IF(C327="","",IFERROR(INDEX(AK_KEL,MATCH(C327,AK_NAMA,0)),"?"))</f>
        <v>BEBAN</v>
      </c>
      <c r="P327" s="102" t="str">
        <f aca="false">IF(D327="","",IFERROR(INDEX(AK_KEL,MATCH(D327,AK_NAMA,0)),"?"))</f>
        <v>ASET</v>
      </c>
      <c r="Q327" s="102" t="n">
        <f aca="false">N(Q326)+IF(AND(N(E327)&lt;&gt;0,K327=TAHUN,N(J327)&lt;=BLN,OR(C327=BB_AKUN,D327=BB_AKUN)),1,0)</f>
        <v>208</v>
      </c>
      <c r="R327" s="104" t="str">
        <f aca="false">IF(OR(C327&amp;D327="",N(E327)=0),"",IF(OR(O327="?",P327="?"),"⚠ akun tidak dikenal",IF(C327=D327,"⚠ debet = kredit","")))</f>
        <v/>
      </c>
    </row>
    <row r="328" customFormat="false" ht="15" hidden="false" customHeight="false" outlineLevel="0" collapsed="false">
      <c r="A328" s="82" t="s">
        <v>1038</v>
      </c>
      <c r="B328" s="101" t="n">
        <v>46088</v>
      </c>
      <c r="C328" s="82" t="s">
        <v>478</v>
      </c>
      <c r="D328" s="82" t="s">
        <v>461</v>
      </c>
      <c r="E328" s="91" t="n">
        <v>180000</v>
      </c>
      <c r="F328" s="82" t="s">
        <v>1039</v>
      </c>
      <c r="G328" s="82"/>
      <c r="H328" s="82"/>
      <c r="I328" s="82" t="s">
        <v>250</v>
      </c>
      <c r="J328" s="102" t="n">
        <f aca="false">IF(B328="","",MONTH(B328))</f>
        <v>3</v>
      </c>
      <c r="K328" s="102" t="n">
        <f aca="false">IF(B328="","",YEAR(B328))</f>
        <v>2026</v>
      </c>
      <c r="L328" s="102" t="str">
        <f aca="false">IF(N(E328)=0,"",IF(COUNTIFS(AK_NAMA,C328,AK_KAT,"KAS")+COUNTIFS(AK_NAMA,D328,AK_KAT,"KAS")&lt;&gt;1,"",IF(COUNTIFS(AK_NAMA,C328,AK_KAT,"KAS")=1,D328,C328)))</f>
        <v>Biaya Penyajian</v>
      </c>
      <c r="M328" s="103" t="n">
        <f aca="false">IF(L328="",0,IF(L328=D328,E328,-E328))</f>
        <v>-180000</v>
      </c>
      <c r="N328" s="102" t="str">
        <f aca="false">IF(L328="","",IFERROR(INDEX(AK_BARIS,MATCH(L328,AK_NAMA,0)),"?"))</f>
        <v>OP3</v>
      </c>
      <c r="O328" s="102" t="str">
        <f aca="false">IF(C328="","",IFERROR(INDEX(AK_KEL,MATCH(C328,AK_NAMA,0)),"?"))</f>
        <v>BEBAN</v>
      </c>
      <c r="P328" s="102" t="str">
        <f aca="false">IF(D328="","",IFERROR(INDEX(AK_KEL,MATCH(D328,AK_NAMA,0)),"?"))</f>
        <v>ASET</v>
      </c>
      <c r="Q328" s="102" t="n">
        <f aca="false">N(Q327)+IF(AND(N(E328)&lt;&gt;0,K328=TAHUN,N(J328)&lt;=BLN,OR(C328=BB_AKUN,D328=BB_AKUN)),1,0)</f>
        <v>209</v>
      </c>
      <c r="R328" s="104" t="str">
        <f aca="false">IF(OR(C328&amp;D328="",N(E328)=0),"",IF(OR(O328="?",P328="?"),"⚠ akun tidak dikenal",IF(C328=D328,"⚠ debet = kredit","")))</f>
        <v/>
      </c>
    </row>
    <row r="329" customFormat="false" ht="15" hidden="false" customHeight="false" outlineLevel="0" collapsed="false">
      <c r="A329" s="82" t="s">
        <v>1040</v>
      </c>
      <c r="B329" s="101" t="n">
        <v>46088</v>
      </c>
      <c r="C329" s="82" t="s">
        <v>548</v>
      </c>
      <c r="D329" s="82" t="s">
        <v>461</v>
      </c>
      <c r="E329" s="91" t="n">
        <v>72100</v>
      </c>
      <c r="F329" s="82" t="s">
        <v>1041</v>
      </c>
      <c r="G329" s="82"/>
      <c r="H329" s="82"/>
      <c r="I329" s="82" t="s">
        <v>250</v>
      </c>
      <c r="J329" s="102" t="n">
        <f aca="false">IF(B329="","",MONTH(B329))</f>
        <v>3</v>
      </c>
      <c r="K329" s="102" t="n">
        <f aca="false">IF(B329="","",YEAR(B329))</f>
        <v>2026</v>
      </c>
      <c r="L329" s="102" t="str">
        <f aca="false">IF(N(E329)=0,"",IF(COUNTIFS(AK_NAMA,C329,AK_KAT,"KAS")+COUNTIFS(AK_NAMA,D329,AK_KAT,"KAS")&lt;&gt;1,"",IF(COUNTIFS(AK_NAMA,C329,AK_KAT,"KAS")=1,D329,C329)))</f>
        <v>Beban Perlengkapan</v>
      </c>
      <c r="M329" s="103" t="n">
        <f aca="false">IF(L329="",0,IF(L329=D329,E329,-E329))</f>
        <v>-72100</v>
      </c>
      <c r="N329" s="102" t="str">
        <f aca="false">IF(L329="","",IFERROR(INDEX(AK_BARIS,MATCH(L329,AK_NAMA,0)),"?"))</f>
        <v>OP6</v>
      </c>
      <c r="O329" s="102" t="str">
        <f aca="false">IF(C329="","",IFERROR(INDEX(AK_KEL,MATCH(C329,AK_NAMA,0)),"?"))</f>
        <v>BEBAN</v>
      </c>
      <c r="P329" s="102" t="str">
        <f aca="false">IF(D329="","",IFERROR(INDEX(AK_KEL,MATCH(D329,AK_NAMA,0)),"?"))</f>
        <v>ASET</v>
      </c>
      <c r="Q329" s="102" t="n">
        <f aca="false">N(Q328)+IF(AND(N(E329)&lt;&gt;0,K329=TAHUN,N(J329)&lt;=BLN,OR(C329=BB_AKUN,D329=BB_AKUN)),1,0)</f>
        <v>210</v>
      </c>
      <c r="R329" s="104" t="str">
        <f aca="false">IF(OR(C329&amp;D329="",N(E329)=0),"",IF(OR(O329="?",P329="?"),"⚠ akun tidak dikenal",IF(C329=D329,"⚠ debet = kredit","")))</f>
        <v/>
      </c>
    </row>
    <row r="330" customFormat="false" ht="15" hidden="false" customHeight="false" outlineLevel="0" collapsed="false">
      <c r="A330" s="82" t="s">
        <v>1042</v>
      </c>
      <c r="B330" s="101" t="n">
        <v>46088</v>
      </c>
      <c r="C330" s="82" t="s">
        <v>548</v>
      </c>
      <c r="D330" s="82" t="s">
        <v>461</v>
      </c>
      <c r="E330" s="91" t="n">
        <v>117700</v>
      </c>
      <c r="F330" s="82" t="s">
        <v>1043</v>
      </c>
      <c r="G330" s="82"/>
      <c r="H330" s="82"/>
      <c r="I330" s="82" t="s">
        <v>250</v>
      </c>
      <c r="J330" s="102" t="n">
        <f aca="false">IF(B330="","",MONTH(B330))</f>
        <v>3</v>
      </c>
      <c r="K330" s="102" t="n">
        <f aca="false">IF(B330="","",YEAR(B330))</f>
        <v>2026</v>
      </c>
      <c r="L330" s="102" t="str">
        <f aca="false">IF(N(E330)=0,"",IF(COUNTIFS(AK_NAMA,C330,AK_KAT,"KAS")+COUNTIFS(AK_NAMA,D330,AK_KAT,"KAS")&lt;&gt;1,"",IF(COUNTIFS(AK_NAMA,C330,AK_KAT,"KAS")=1,D330,C330)))</f>
        <v>Beban Perlengkapan</v>
      </c>
      <c r="M330" s="103" t="n">
        <f aca="false">IF(L330="",0,IF(L330=D330,E330,-E330))</f>
        <v>-117700</v>
      </c>
      <c r="N330" s="102" t="str">
        <f aca="false">IF(L330="","",IFERROR(INDEX(AK_BARIS,MATCH(L330,AK_NAMA,0)),"?"))</f>
        <v>OP6</v>
      </c>
      <c r="O330" s="102" t="str">
        <f aca="false">IF(C330="","",IFERROR(INDEX(AK_KEL,MATCH(C330,AK_NAMA,0)),"?"))</f>
        <v>BEBAN</v>
      </c>
      <c r="P330" s="102" t="str">
        <f aca="false">IF(D330="","",IFERROR(INDEX(AK_KEL,MATCH(D330,AK_NAMA,0)),"?"))</f>
        <v>ASET</v>
      </c>
      <c r="Q330" s="102" t="n">
        <f aca="false">N(Q329)+IF(AND(N(E330)&lt;&gt;0,K330=TAHUN,N(J330)&lt;=BLN,OR(C330=BB_AKUN,D330=BB_AKUN)),1,0)</f>
        <v>211</v>
      </c>
      <c r="R330" s="104" t="str">
        <f aca="false">IF(OR(C330&amp;D330="",N(E330)=0),"",IF(OR(O330="?",P330="?"),"⚠ akun tidak dikenal",IF(C330=D330,"⚠ debet = kredit","")))</f>
        <v/>
      </c>
    </row>
    <row r="331" customFormat="false" ht="15" hidden="false" customHeight="false" outlineLevel="0" collapsed="false">
      <c r="A331" s="82" t="s">
        <v>1044</v>
      </c>
      <c r="B331" s="101" t="n">
        <v>46089</v>
      </c>
      <c r="C331" s="82" t="s">
        <v>461</v>
      </c>
      <c r="D331" s="82" t="s">
        <v>475</v>
      </c>
      <c r="E331" s="91" t="n">
        <v>370000</v>
      </c>
      <c r="F331" s="82" t="s">
        <v>560</v>
      </c>
      <c r="G331" s="82"/>
      <c r="H331" s="82"/>
      <c r="I331" s="82" t="s">
        <v>250</v>
      </c>
      <c r="J331" s="102" t="n">
        <f aca="false">IF(B331="","",MONTH(B331))</f>
        <v>3</v>
      </c>
      <c r="K331" s="102" t="n">
        <f aca="false">IF(B331="","",YEAR(B331))</f>
        <v>2026</v>
      </c>
      <c r="L331" s="102" t="str">
        <f aca="false">IF(N(E331)=0,"",IF(COUNTIFS(AK_NAMA,C331,AK_KAT,"KAS")+COUNTIFS(AK_NAMA,D331,AK_KAT,"KAS")&lt;&gt;1,"",IF(COUNTIFS(AK_NAMA,C331,AK_KAT,"KAS")=1,D331,C331)))</f>
        <v/>
      </c>
      <c r="M331" s="103" t="n">
        <f aca="false">IF(L331="",0,IF(L331=D331,E331,-E331))</f>
        <v>0</v>
      </c>
      <c r="N331" s="102" t="str">
        <f aca="false">IF(L331="","",IFERROR(INDEX(AK_BARIS,MATCH(L331,AK_NAMA,0)),"?"))</f>
        <v/>
      </c>
      <c r="O331" s="102" t="str">
        <f aca="false">IF(C331="","",IFERROR(INDEX(AK_KEL,MATCH(C331,AK_NAMA,0)),"?"))</f>
        <v>ASET</v>
      </c>
      <c r="P331" s="102" t="str">
        <f aca="false">IF(D331="","",IFERROR(INDEX(AK_KEL,MATCH(D331,AK_NAMA,0)),"?"))</f>
        <v>ASET</v>
      </c>
      <c r="Q331" s="102" t="n">
        <f aca="false">N(Q330)+IF(AND(N(E331)&lt;&gt;0,K331=TAHUN,N(J331)&lt;=BLN,OR(C331=BB_AKUN,D331=BB_AKUN)),1,0)</f>
        <v>212</v>
      </c>
      <c r="R331" s="104" t="str">
        <f aca="false">IF(OR(C331&amp;D331="",N(E331)=0),"",IF(OR(O331="?",P331="?"),"⚠ akun tidak dikenal",IF(C331=D331,"⚠ debet = kredit","")))</f>
        <v/>
      </c>
    </row>
    <row r="332" customFormat="false" ht="15" hidden="false" customHeight="false" outlineLevel="0" collapsed="false">
      <c r="A332" s="82" t="s">
        <v>1045</v>
      </c>
      <c r="B332" s="101" t="n">
        <v>46090</v>
      </c>
      <c r="C332" s="82" t="s">
        <v>548</v>
      </c>
      <c r="D332" s="82" t="s">
        <v>461</v>
      </c>
      <c r="E332" s="91" t="n">
        <v>633400</v>
      </c>
      <c r="F332" s="82" t="s">
        <v>1046</v>
      </c>
      <c r="G332" s="82"/>
      <c r="H332" s="82"/>
      <c r="I332" s="82" t="s">
        <v>250</v>
      </c>
      <c r="J332" s="102" t="n">
        <f aca="false">IF(B332="","",MONTH(B332))</f>
        <v>3</v>
      </c>
      <c r="K332" s="102" t="n">
        <f aca="false">IF(B332="","",YEAR(B332))</f>
        <v>2026</v>
      </c>
      <c r="L332" s="102" t="str">
        <f aca="false">IF(N(E332)=0,"",IF(COUNTIFS(AK_NAMA,C332,AK_KAT,"KAS")+COUNTIFS(AK_NAMA,D332,AK_KAT,"KAS")&lt;&gt;1,"",IF(COUNTIFS(AK_NAMA,C332,AK_KAT,"KAS")=1,D332,C332)))</f>
        <v>Beban Perlengkapan</v>
      </c>
      <c r="M332" s="103" t="n">
        <f aca="false">IF(L332="",0,IF(L332=D332,E332,-E332))</f>
        <v>-633400</v>
      </c>
      <c r="N332" s="102" t="str">
        <f aca="false">IF(L332="","",IFERROR(INDEX(AK_BARIS,MATCH(L332,AK_NAMA,0)),"?"))</f>
        <v>OP6</v>
      </c>
      <c r="O332" s="102" t="str">
        <f aca="false">IF(C332="","",IFERROR(INDEX(AK_KEL,MATCH(C332,AK_NAMA,0)),"?"))</f>
        <v>BEBAN</v>
      </c>
      <c r="P332" s="102" t="str">
        <f aca="false">IF(D332="","",IFERROR(INDEX(AK_KEL,MATCH(D332,AK_NAMA,0)),"?"))</f>
        <v>ASET</v>
      </c>
      <c r="Q332" s="102" t="n">
        <f aca="false">N(Q331)+IF(AND(N(E332)&lt;&gt;0,K332=TAHUN,N(J332)&lt;=BLN,OR(C332=BB_AKUN,D332=BB_AKUN)),1,0)</f>
        <v>213</v>
      </c>
      <c r="R332" s="104" t="str">
        <f aca="false">IF(OR(C332&amp;D332="",N(E332)=0),"",IF(OR(O332="?",P332="?"),"⚠ akun tidak dikenal",IF(C332=D332,"⚠ debet = kredit","")))</f>
        <v/>
      </c>
    </row>
    <row r="333" customFormat="false" ht="15" hidden="false" customHeight="false" outlineLevel="0" collapsed="false">
      <c r="A333" s="82" t="s">
        <v>1047</v>
      </c>
      <c r="B333" s="101" t="n">
        <v>46090</v>
      </c>
      <c r="C333" s="82" t="s">
        <v>470</v>
      </c>
      <c r="D333" s="82" t="s">
        <v>461</v>
      </c>
      <c r="E333" s="91" t="n">
        <v>750000</v>
      </c>
      <c r="F333" s="82" t="s">
        <v>1048</v>
      </c>
      <c r="G333" s="82"/>
      <c r="H333" s="82"/>
      <c r="I333" s="82" t="s">
        <v>250</v>
      </c>
      <c r="J333" s="102" t="n">
        <f aca="false">IF(B333="","",MONTH(B333))</f>
        <v>3</v>
      </c>
      <c r="K333" s="102" t="n">
        <f aca="false">IF(B333="","",YEAR(B333))</f>
        <v>2026</v>
      </c>
      <c r="L333" s="102" t="str">
        <f aca="false">IF(N(E333)=0,"",IF(COUNTIFS(AK_NAMA,C333,AK_KAT,"KAS")+COUNTIFS(AK_NAMA,D333,AK_KAT,"KAS")&lt;&gt;1,"",IF(COUNTIFS(AK_NAMA,C333,AK_KAT,"KAS")=1,D333,C333)))</f>
        <v>Biaya Bahan Baku</v>
      </c>
      <c r="M333" s="103" t="n">
        <f aca="false">IF(L333="",0,IF(L333=D333,E333,-E333))</f>
        <v>-750000</v>
      </c>
      <c r="N333" s="102" t="str">
        <f aca="false">IF(L333="","",IFERROR(INDEX(AK_BARIS,MATCH(L333,AK_NAMA,0)),"?"))</f>
        <v>OP3</v>
      </c>
      <c r="O333" s="102" t="str">
        <f aca="false">IF(C333="","",IFERROR(INDEX(AK_KEL,MATCH(C333,AK_NAMA,0)),"?"))</f>
        <v>BEBAN</v>
      </c>
      <c r="P333" s="102" t="str">
        <f aca="false">IF(D333="","",IFERROR(INDEX(AK_KEL,MATCH(D333,AK_NAMA,0)),"?"))</f>
        <v>ASET</v>
      </c>
      <c r="Q333" s="102" t="n">
        <f aca="false">N(Q332)+IF(AND(N(E333)&lt;&gt;0,K333=TAHUN,N(J333)&lt;=BLN,OR(C333=BB_AKUN,D333=BB_AKUN)),1,0)</f>
        <v>214</v>
      </c>
      <c r="R333" s="104" t="str">
        <f aca="false">IF(OR(C333&amp;D333="",N(E333)=0),"",IF(OR(O333="?",P333="?"),"⚠ akun tidak dikenal",IF(C333=D333,"⚠ debet = kredit","")))</f>
        <v/>
      </c>
    </row>
    <row r="334" customFormat="false" ht="15" hidden="false" customHeight="false" outlineLevel="0" collapsed="false">
      <c r="A334" s="82" t="s">
        <v>1049</v>
      </c>
      <c r="B334" s="101" t="n">
        <v>46090</v>
      </c>
      <c r="C334" s="82" t="s">
        <v>470</v>
      </c>
      <c r="D334" s="82" t="s">
        <v>461</v>
      </c>
      <c r="E334" s="91" t="n">
        <v>130000</v>
      </c>
      <c r="F334" s="82" t="s">
        <v>1050</v>
      </c>
      <c r="G334" s="82"/>
      <c r="H334" s="82"/>
      <c r="I334" s="82" t="s">
        <v>250</v>
      </c>
      <c r="J334" s="102" t="n">
        <f aca="false">IF(B334="","",MONTH(B334))</f>
        <v>3</v>
      </c>
      <c r="K334" s="102" t="n">
        <f aca="false">IF(B334="","",YEAR(B334))</f>
        <v>2026</v>
      </c>
      <c r="L334" s="102" t="str">
        <f aca="false">IF(N(E334)=0,"",IF(COUNTIFS(AK_NAMA,C334,AK_KAT,"KAS")+COUNTIFS(AK_NAMA,D334,AK_KAT,"KAS")&lt;&gt;1,"",IF(COUNTIFS(AK_NAMA,C334,AK_KAT,"KAS")=1,D334,C334)))</f>
        <v>Biaya Bahan Baku</v>
      </c>
      <c r="M334" s="103" t="n">
        <f aca="false">IF(L334="",0,IF(L334=D334,E334,-E334))</f>
        <v>-130000</v>
      </c>
      <c r="N334" s="102" t="str">
        <f aca="false">IF(L334="","",IFERROR(INDEX(AK_BARIS,MATCH(L334,AK_NAMA,0)),"?"))</f>
        <v>OP3</v>
      </c>
      <c r="O334" s="102" t="str">
        <f aca="false">IF(C334="","",IFERROR(INDEX(AK_KEL,MATCH(C334,AK_NAMA,0)),"?"))</f>
        <v>BEBAN</v>
      </c>
      <c r="P334" s="102" t="str">
        <f aca="false">IF(D334="","",IFERROR(INDEX(AK_KEL,MATCH(D334,AK_NAMA,0)),"?"))</f>
        <v>ASET</v>
      </c>
      <c r="Q334" s="102" t="n">
        <f aca="false">N(Q333)+IF(AND(N(E334)&lt;&gt;0,K334=TAHUN,N(J334)&lt;=BLN,OR(C334=BB_AKUN,D334=BB_AKUN)),1,0)</f>
        <v>215</v>
      </c>
      <c r="R334" s="104" t="str">
        <f aca="false">IF(OR(C334&amp;D334="",N(E334)=0),"",IF(OR(O334="?",P334="?"),"⚠ akun tidak dikenal",IF(C334=D334,"⚠ debet = kredit","")))</f>
        <v/>
      </c>
    </row>
    <row r="335" customFormat="false" ht="15" hidden="false" customHeight="false" outlineLevel="0" collapsed="false">
      <c r="A335" s="82" t="s">
        <v>1051</v>
      </c>
      <c r="B335" s="101" t="n">
        <v>46090</v>
      </c>
      <c r="C335" s="82" t="s">
        <v>524</v>
      </c>
      <c r="D335" s="82" t="s">
        <v>461</v>
      </c>
      <c r="E335" s="91" t="n">
        <v>443</v>
      </c>
      <c r="F335" s="82" t="s">
        <v>525</v>
      </c>
      <c r="G335" s="82"/>
      <c r="H335" s="82"/>
      <c r="I335" s="82" t="s">
        <v>250</v>
      </c>
      <c r="J335" s="102" t="n">
        <f aca="false">IF(B335="","",MONTH(B335))</f>
        <v>3</v>
      </c>
      <c r="K335" s="102" t="n">
        <f aca="false">IF(B335="","",YEAR(B335))</f>
        <v>2026</v>
      </c>
      <c r="L335" s="102" t="str">
        <f aca="false">IF(N(E335)=0,"",IF(COUNTIFS(AK_NAMA,C335,AK_KAT,"KAS")+COUNTIFS(AK_NAMA,D335,AK_KAT,"KAS")&lt;&gt;1,"",IF(COUNTIFS(AK_NAMA,C335,AK_KAT,"KAS")=1,D335,C335)))</f>
        <v>Biaya Lainnya</v>
      </c>
      <c r="M335" s="103" t="n">
        <f aca="false">IF(L335="",0,IF(L335=D335,E335,-E335))</f>
        <v>-443</v>
      </c>
      <c r="N335" s="102" t="str">
        <f aca="false">IF(L335="","",IFERROR(INDEX(AK_BARIS,MATCH(L335,AK_NAMA,0)),"?"))</f>
        <v>OP2</v>
      </c>
      <c r="O335" s="102" t="str">
        <f aca="false">IF(C335="","",IFERROR(INDEX(AK_KEL,MATCH(C335,AK_NAMA,0)),"?"))</f>
        <v>BEBAN</v>
      </c>
      <c r="P335" s="102" t="str">
        <f aca="false">IF(D335="","",IFERROR(INDEX(AK_KEL,MATCH(D335,AK_NAMA,0)),"?"))</f>
        <v>ASET</v>
      </c>
      <c r="Q335" s="102" t="n">
        <f aca="false">N(Q334)+IF(AND(N(E335)&lt;&gt;0,K335=TAHUN,N(J335)&lt;=BLN,OR(C335=BB_AKUN,D335=BB_AKUN)),1,0)</f>
        <v>216</v>
      </c>
      <c r="R335" s="104" t="str">
        <f aca="false">IF(OR(C335&amp;D335="",N(E335)=0),"",IF(OR(O335="?",P335="?"),"⚠ akun tidak dikenal",IF(C335=D335,"⚠ debet = kredit","")))</f>
        <v/>
      </c>
    </row>
    <row r="336" customFormat="false" ht="15" hidden="false" customHeight="false" outlineLevel="0" collapsed="false">
      <c r="A336" s="82" t="s">
        <v>1052</v>
      </c>
      <c r="B336" s="101" t="n">
        <v>46090</v>
      </c>
      <c r="C336" s="82" t="s">
        <v>470</v>
      </c>
      <c r="D336" s="82" t="s">
        <v>461</v>
      </c>
      <c r="E336" s="91" t="n">
        <v>741000</v>
      </c>
      <c r="F336" s="82" t="s">
        <v>1053</v>
      </c>
      <c r="G336" s="82"/>
      <c r="H336" s="82"/>
      <c r="I336" s="82" t="s">
        <v>250</v>
      </c>
      <c r="J336" s="102" t="n">
        <f aca="false">IF(B336="","",MONTH(B336))</f>
        <v>3</v>
      </c>
      <c r="K336" s="102" t="n">
        <f aca="false">IF(B336="","",YEAR(B336))</f>
        <v>2026</v>
      </c>
      <c r="L336" s="102" t="str">
        <f aca="false">IF(N(E336)=0,"",IF(COUNTIFS(AK_NAMA,C336,AK_KAT,"KAS")+COUNTIFS(AK_NAMA,D336,AK_KAT,"KAS")&lt;&gt;1,"",IF(COUNTIFS(AK_NAMA,C336,AK_KAT,"KAS")=1,D336,C336)))</f>
        <v>Biaya Bahan Baku</v>
      </c>
      <c r="M336" s="103" t="n">
        <f aca="false">IF(L336="",0,IF(L336=D336,E336,-E336))</f>
        <v>-741000</v>
      </c>
      <c r="N336" s="102" t="str">
        <f aca="false">IF(L336="","",IFERROR(INDEX(AK_BARIS,MATCH(L336,AK_NAMA,0)),"?"))</f>
        <v>OP3</v>
      </c>
      <c r="O336" s="102" t="str">
        <f aca="false">IF(C336="","",IFERROR(INDEX(AK_KEL,MATCH(C336,AK_NAMA,0)),"?"))</f>
        <v>BEBAN</v>
      </c>
      <c r="P336" s="102" t="str">
        <f aca="false">IF(D336="","",IFERROR(INDEX(AK_KEL,MATCH(D336,AK_NAMA,0)),"?"))</f>
        <v>ASET</v>
      </c>
      <c r="Q336" s="102" t="n">
        <f aca="false">N(Q335)+IF(AND(N(E336)&lt;&gt;0,K336=TAHUN,N(J336)&lt;=BLN,OR(C336=BB_AKUN,D336=BB_AKUN)),1,0)</f>
        <v>217</v>
      </c>
      <c r="R336" s="104" t="str">
        <f aca="false">IF(OR(C336&amp;D336="",N(E336)=0),"",IF(OR(O336="?",P336="?"),"⚠ akun tidak dikenal",IF(C336=D336,"⚠ debet = kredit","")))</f>
        <v/>
      </c>
    </row>
    <row r="337" customFormat="false" ht="15" hidden="false" customHeight="false" outlineLevel="0" collapsed="false">
      <c r="A337" s="82" t="s">
        <v>1054</v>
      </c>
      <c r="B337" s="101" t="n">
        <v>46091</v>
      </c>
      <c r="C337" s="82" t="s">
        <v>470</v>
      </c>
      <c r="D337" s="82" t="s">
        <v>461</v>
      </c>
      <c r="E337" s="91" t="n">
        <v>1877000</v>
      </c>
      <c r="F337" s="82" t="s">
        <v>1055</v>
      </c>
      <c r="G337" s="82"/>
      <c r="H337" s="82"/>
      <c r="I337" s="82" t="s">
        <v>250</v>
      </c>
      <c r="J337" s="102" t="n">
        <f aca="false">IF(B337="","",MONTH(B337))</f>
        <v>3</v>
      </c>
      <c r="K337" s="102" t="n">
        <f aca="false">IF(B337="","",YEAR(B337))</f>
        <v>2026</v>
      </c>
      <c r="L337" s="102" t="str">
        <f aca="false">IF(N(E337)=0,"",IF(COUNTIFS(AK_NAMA,C337,AK_KAT,"KAS")+COUNTIFS(AK_NAMA,D337,AK_KAT,"KAS")&lt;&gt;1,"",IF(COUNTIFS(AK_NAMA,C337,AK_KAT,"KAS")=1,D337,C337)))</f>
        <v>Biaya Bahan Baku</v>
      </c>
      <c r="M337" s="103" t="n">
        <f aca="false">IF(L337="",0,IF(L337=D337,E337,-E337))</f>
        <v>-1877000</v>
      </c>
      <c r="N337" s="102" t="str">
        <f aca="false">IF(L337="","",IFERROR(INDEX(AK_BARIS,MATCH(L337,AK_NAMA,0)),"?"))</f>
        <v>OP3</v>
      </c>
      <c r="O337" s="102" t="str">
        <f aca="false">IF(C337="","",IFERROR(INDEX(AK_KEL,MATCH(C337,AK_NAMA,0)),"?"))</f>
        <v>BEBAN</v>
      </c>
      <c r="P337" s="102" t="str">
        <f aca="false">IF(D337="","",IFERROR(INDEX(AK_KEL,MATCH(D337,AK_NAMA,0)),"?"))</f>
        <v>ASET</v>
      </c>
      <c r="Q337" s="102" t="n">
        <f aca="false">N(Q336)+IF(AND(N(E337)&lt;&gt;0,K337=TAHUN,N(J337)&lt;=BLN,OR(C337=BB_AKUN,D337=BB_AKUN)),1,0)</f>
        <v>218</v>
      </c>
      <c r="R337" s="104" t="str">
        <f aca="false">IF(OR(C337&amp;D337="",N(E337)=0),"",IF(OR(O337="?",P337="?"),"⚠ akun tidak dikenal",IF(C337=D337,"⚠ debet = kredit","")))</f>
        <v/>
      </c>
    </row>
    <row r="338" customFormat="false" ht="15" hidden="false" customHeight="false" outlineLevel="0" collapsed="false">
      <c r="A338" s="82" t="s">
        <v>1056</v>
      </c>
      <c r="B338" s="101" t="n">
        <v>46091</v>
      </c>
      <c r="C338" s="82" t="s">
        <v>524</v>
      </c>
      <c r="D338" s="82" t="s">
        <v>461</v>
      </c>
      <c r="E338" s="91" t="n">
        <v>450000</v>
      </c>
      <c r="F338" s="82" t="s">
        <v>1057</v>
      </c>
      <c r="G338" s="82"/>
      <c r="H338" s="82"/>
      <c r="I338" s="82" t="s">
        <v>250</v>
      </c>
      <c r="J338" s="102" t="n">
        <f aca="false">IF(B338="","",MONTH(B338))</f>
        <v>3</v>
      </c>
      <c r="K338" s="102" t="n">
        <f aca="false">IF(B338="","",YEAR(B338))</f>
        <v>2026</v>
      </c>
      <c r="L338" s="102" t="str">
        <f aca="false">IF(N(E338)=0,"",IF(COUNTIFS(AK_NAMA,C338,AK_KAT,"KAS")+COUNTIFS(AK_NAMA,D338,AK_KAT,"KAS")&lt;&gt;1,"",IF(COUNTIFS(AK_NAMA,C338,AK_KAT,"KAS")=1,D338,C338)))</f>
        <v>Biaya Lainnya</v>
      </c>
      <c r="M338" s="103" t="n">
        <f aca="false">IF(L338="",0,IF(L338=D338,E338,-E338))</f>
        <v>-450000</v>
      </c>
      <c r="N338" s="102" t="str">
        <f aca="false">IF(L338="","",IFERROR(INDEX(AK_BARIS,MATCH(L338,AK_NAMA,0)),"?"))</f>
        <v>OP2</v>
      </c>
      <c r="O338" s="102" t="str">
        <f aca="false">IF(C338="","",IFERROR(INDEX(AK_KEL,MATCH(C338,AK_NAMA,0)),"?"))</f>
        <v>BEBAN</v>
      </c>
      <c r="P338" s="102" t="str">
        <f aca="false">IF(D338="","",IFERROR(INDEX(AK_KEL,MATCH(D338,AK_NAMA,0)),"?"))</f>
        <v>ASET</v>
      </c>
      <c r="Q338" s="102" t="n">
        <f aca="false">N(Q337)+IF(AND(N(E338)&lt;&gt;0,K338=TAHUN,N(J338)&lt;=BLN,OR(C338=BB_AKUN,D338=BB_AKUN)),1,0)</f>
        <v>219</v>
      </c>
      <c r="R338" s="104" t="str">
        <f aca="false">IF(OR(C338&amp;D338="",N(E338)=0),"",IF(OR(O338="?",P338="?"),"⚠ akun tidak dikenal",IF(C338=D338,"⚠ debet = kredit","")))</f>
        <v/>
      </c>
    </row>
    <row r="339" customFormat="false" ht="15" hidden="false" customHeight="false" outlineLevel="0" collapsed="false">
      <c r="A339" s="82" t="s">
        <v>1058</v>
      </c>
      <c r="B339" s="101" t="n">
        <v>46091</v>
      </c>
      <c r="C339" s="82" t="s">
        <v>524</v>
      </c>
      <c r="D339" s="82" t="s">
        <v>461</v>
      </c>
      <c r="E339" s="91" t="n">
        <v>337</v>
      </c>
      <c r="F339" s="82" t="s">
        <v>525</v>
      </c>
      <c r="G339" s="82"/>
      <c r="H339" s="82"/>
      <c r="I339" s="82" t="s">
        <v>250</v>
      </c>
      <c r="J339" s="102" t="n">
        <f aca="false">IF(B339="","",MONTH(B339))</f>
        <v>3</v>
      </c>
      <c r="K339" s="102" t="n">
        <f aca="false">IF(B339="","",YEAR(B339))</f>
        <v>2026</v>
      </c>
      <c r="L339" s="102" t="str">
        <f aca="false">IF(N(E339)=0,"",IF(COUNTIFS(AK_NAMA,C339,AK_KAT,"KAS")+COUNTIFS(AK_NAMA,D339,AK_KAT,"KAS")&lt;&gt;1,"",IF(COUNTIFS(AK_NAMA,C339,AK_KAT,"KAS")=1,D339,C339)))</f>
        <v>Biaya Lainnya</v>
      </c>
      <c r="M339" s="103" t="n">
        <f aca="false">IF(L339="",0,IF(L339=D339,E339,-E339))</f>
        <v>-337</v>
      </c>
      <c r="N339" s="102" t="str">
        <f aca="false">IF(L339="","",IFERROR(INDEX(AK_BARIS,MATCH(L339,AK_NAMA,0)),"?"))</f>
        <v>OP2</v>
      </c>
      <c r="O339" s="102" t="str">
        <f aca="false">IF(C339="","",IFERROR(INDEX(AK_KEL,MATCH(C339,AK_NAMA,0)),"?"))</f>
        <v>BEBAN</v>
      </c>
      <c r="P339" s="102" t="str">
        <f aca="false">IF(D339="","",IFERROR(INDEX(AK_KEL,MATCH(D339,AK_NAMA,0)),"?"))</f>
        <v>ASET</v>
      </c>
      <c r="Q339" s="102" t="n">
        <f aca="false">N(Q338)+IF(AND(N(E339)&lt;&gt;0,K339=TAHUN,N(J339)&lt;=BLN,OR(C339=BB_AKUN,D339=BB_AKUN)),1,0)</f>
        <v>220</v>
      </c>
      <c r="R339" s="104" t="str">
        <f aca="false">IF(OR(C339&amp;D339="",N(E339)=0),"",IF(OR(O339="?",P339="?"),"⚠ akun tidak dikenal",IF(C339=D339,"⚠ debet = kredit","")))</f>
        <v/>
      </c>
    </row>
    <row r="340" customFormat="false" ht="15" hidden="false" customHeight="false" outlineLevel="0" collapsed="false">
      <c r="A340" s="82" t="s">
        <v>1059</v>
      </c>
      <c r="B340" s="101" t="n">
        <v>46091</v>
      </c>
      <c r="C340" s="82" t="s">
        <v>470</v>
      </c>
      <c r="D340" s="82" t="s">
        <v>461</v>
      </c>
      <c r="E340" s="91" t="n">
        <v>302600</v>
      </c>
      <c r="F340" s="82" t="s">
        <v>1060</v>
      </c>
      <c r="G340" s="82"/>
      <c r="H340" s="82"/>
      <c r="I340" s="82" t="s">
        <v>250</v>
      </c>
      <c r="J340" s="102" t="n">
        <f aca="false">IF(B340="","",MONTH(B340))</f>
        <v>3</v>
      </c>
      <c r="K340" s="102" t="n">
        <f aca="false">IF(B340="","",YEAR(B340))</f>
        <v>2026</v>
      </c>
      <c r="L340" s="102" t="str">
        <f aca="false">IF(N(E340)=0,"",IF(COUNTIFS(AK_NAMA,C340,AK_KAT,"KAS")+COUNTIFS(AK_NAMA,D340,AK_KAT,"KAS")&lt;&gt;1,"",IF(COUNTIFS(AK_NAMA,C340,AK_KAT,"KAS")=1,D340,C340)))</f>
        <v>Biaya Bahan Baku</v>
      </c>
      <c r="M340" s="103" t="n">
        <f aca="false">IF(L340="",0,IF(L340=D340,E340,-E340))</f>
        <v>-302600</v>
      </c>
      <c r="N340" s="102" t="str">
        <f aca="false">IF(L340="","",IFERROR(INDEX(AK_BARIS,MATCH(L340,AK_NAMA,0)),"?"))</f>
        <v>OP3</v>
      </c>
      <c r="O340" s="102" t="str">
        <f aca="false">IF(C340="","",IFERROR(INDEX(AK_KEL,MATCH(C340,AK_NAMA,0)),"?"))</f>
        <v>BEBAN</v>
      </c>
      <c r="P340" s="102" t="str">
        <f aca="false">IF(D340="","",IFERROR(INDEX(AK_KEL,MATCH(D340,AK_NAMA,0)),"?"))</f>
        <v>ASET</v>
      </c>
      <c r="Q340" s="102" t="n">
        <f aca="false">N(Q339)+IF(AND(N(E340)&lt;&gt;0,K340=TAHUN,N(J340)&lt;=BLN,OR(C340=BB_AKUN,D340=BB_AKUN)),1,0)</f>
        <v>221</v>
      </c>
      <c r="R340" s="104" t="str">
        <f aca="false">IF(OR(C340&amp;D340="",N(E340)=0),"",IF(OR(O340="?",P340="?"),"⚠ akun tidak dikenal",IF(C340=D340,"⚠ debet = kredit","")))</f>
        <v/>
      </c>
    </row>
    <row r="341" customFormat="false" ht="15" hidden="false" customHeight="false" outlineLevel="0" collapsed="false">
      <c r="A341" s="82" t="s">
        <v>1061</v>
      </c>
      <c r="B341" s="101" t="n">
        <v>46091</v>
      </c>
      <c r="C341" s="82" t="s">
        <v>576</v>
      </c>
      <c r="D341" s="82" t="s">
        <v>461</v>
      </c>
      <c r="E341" s="91" t="n">
        <v>1350000</v>
      </c>
      <c r="F341" s="82" t="s">
        <v>1062</v>
      </c>
      <c r="G341" s="82"/>
      <c r="H341" s="82"/>
      <c r="I341" s="82" t="s">
        <v>250</v>
      </c>
      <c r="J341" s="102" t="n">
        <f aca="false">IF(B341="","",MONTH(B341))</f>
        <v>3</v>
      </c>
      <c r="K341" s="102" t="n">
        <f aca="false">IF(B341="","",YEAR(B341))</f>
        <v>2026</v>
      </c>
      <c r="L341" s="102" t="str">
        <f aca="false">IF(N(E341)=0,"",IF(COUNTIFS(AK_NAMA,C341,AK_KAT,"KAS")+COUNTIFS(AK_NAMA,D341,AK_KAT,"KAS")&lt;&gt;1,"",IF(COUNTIFS(AK_NAMA,C341,AK_KAT,"KAS")=1,D341,C341)))</f>
        <v>Beban Gaji</v>
      </c>
      <c r="M341" s="103" t="n">
        <f aca="false">IF(L341="",0,IF(L341=D341,E341,-E341))</f>
        <v>-1350000</v>
      </c>
      <c r="N341" s="102" t="str">
        <f aca="false">IF(L341="","",IFERROR(INDEX(AK_BARIS,MATCH(L341,AK_NAMA,0)),"?"))</f>
        <v>OP4</v>
      </c>
      <c r="O341" s="102" t="str">
        <f aca="false">IF(C341="","",IFERROR(INDEX(AK_KEL,MATCH(C341,AK_NAMA,0)),"?"))</f>
        <v>BEBAN</v>
      </c>
      <c r="P341" s="102" t="str">
        <f aca="false">IF(D341="","",IFERROR(INDEX(AK_KEL,MATCH(D341,AK_NAMA,0)),"?"))</f>
        <v>ASET</v>
      </c>
      <c r="Q341" s="102" t="n">
        <f aca="false">N(Q340)+IF(AND(N(E341)&lt;&gt;0,K341=TAHUN,N(J341)&lt;=BLN,OR(C341=BB_AKUN,D341=BB_AKUN)),1,0)</f>
        <v>222</v>
      </c>
      <c r="R341" s="104" t="str">
        <f aca="false">IF(OR(C341&amp;D341="",N(E341)=0),"",IF(OR(O341="?",P341="?"),"⚠ akun tidak dikenal",IF(C341=D341,"⚠ debet = kredit","")))</f>
        <v/>
      </c>
    </row>
    <row r="342" customFormat="false" ht="15" hidden="false" customHeight="false" outlineLevel="0" collapsed="false">
      <c r="A342" s="82" t="s">
        <v>1063</v>
      </c>
      <c r="B342" s="101" t="n">
        <v>46091</v>
      </c>
      <c r="C342" s="82" t="s">
        <v>470</v>
      </c>
      <c r="D342" s="82" t="s">
        <v>461</v>
      </c>
      <c r="E342" s="91" t="n">
        <v>150500</v>
      </c>
      <c r="F342" s="82" t="s">
        <v>1064</v>
      </c>
      <c r="G342" s="82"/>
      <c r="H342" s="82"/>
      <c r="I342" s="82" t="s">
        <v>250</v>
      </c>
      <c r="J342" s="102" t="n">
        <f aca="false">IF(B342="","",MONTH(B342))</f>
        <v>3</v>
      </c>
      <c r="K342" s="102" t="n">
        <f aca="false">IF(B342="","",YEAR(B342))</f>
        <v>2026</v>
      </c>
      <c r="L342" s="102" t="str">
        <f aca="false">IF(N(E342)=0,"",IF(COUNTIFS(AK_NAMA,C342,AK_KAT,"KAS")+COUNTIFS(AK_NAMA,D342,AK_KAT,"KAS")&lt;&gt;1,"",IF(COUNTIFS(AK_NAMA,C342,AK_KAT,"KAS")=1,D342,C342)))</f>
        <v>Biaya Bahan Baku</v>
      </c>
      <c r="M342" s="103" t="n">
        <f aca="false">IF(L342="",0,IF(L342=D342,E342,-E342))</f>
        <v>-150500</v>
      </c>
      <c r="N342" s="102" t="str">
        <f aca="false">IF(L342="","",IFERROR(INDEX(AK_BARIS,MATCH(L342,AK_NAMA,0)),"?"))</f>
        <v>OP3</v>
      </c>
      <c r="O342" s="102" t="str">
        <f aca="false">IF(C342="","",IFERROR(INDEX(AK_KEL,MATCH(C342,AK_NAMA,0)),"?"))</f>
        <v>BEBAN</v>
      </c>
      <c r="P342" s="102" t="str">
        <f aca="false">IF(D342="","",IFERROR(INDEX(AK_KEL,MATCH(D342,AK_NAMA,0)),"?"))</f>
        <v>ASET</v>
      </c>
      <c r="Q342" s="102" t="n">
        <f aca="false">N(Q341)+IF(AND(N(E342)&lt;&gt;0,K342=TAHUN,N(J342)&lt;=BLN,OR(C342=BB_AKUN,D342=BB_AKUN)),1,0)</f>
        <v>223</v>
      </c>
      <c r="R342" s="104" t="str">
        <f aca="false">IF(OR(C342&amp;D342="",N(E342)=0),"",IF(OR(O342="?",P342="?"),"⚠ akun tidak dikenal",IF(C342=D342,"⚠ debet = kredit","")))</f>
        <v/>
      </c>
    </row>
    <row r="343" customFormat="false" ht="15" hidden="false" customHeight="false" outlineLevel="0" collapsed="false">
      <c r="A343" s="82" t="s">
        <v>1065</v>
      </c>
      <c r="B343" s="101" t="n">
        <v>46092</v>
      </c>
      <c r="C343" s="82" t="s">
        <v>470</v>
      </c>
      <c r="D343" s="82" t="s">
        <v>461</v>
      </c>
      <c r="E343" s="91" t="n">
        <v>133000</v>
      </c>
      <c r="F343" s="82" t="s">
        <v>1066</v>
      </c>
      <c r="G343" s="82"/>
      <c r="H343" s="82"/>
      <c r="I343" s="82" t="s">
        <v>250</v>
      </c>
      <c r="J343" s="102" t="n">
        <f aca="false">IF(B343="","",MONTH(B343))</f>
        <v>3</v>
      </c>
      <c r="K343" s="102" t="n">
        <f aca="false">IF(B343="","",YEAR(B343))</f>
        <v>2026</v>
      </c>
      <c r="L343" s="102" t="str">
        <f aca="false">IF(N(E343)=0,"",IF(COUNTIFS(AK_NAMA,C343,AK_KAT,"KAS")+COUNTIFS(AK_NAMA,D343,AK_KAT,"KAS")&lt;&gt;1,"",IF(COUNTIFS(AK_NAMA,C343,AK_KAT,"KAS")=1,D343,C343)))</f>
        <v>Biaya Bahan Baku</v>
      </c>
      <c r="M343" s="103" t="n">
        <f aca="false">IF(L343="",0,IF(L343=D343,E343,-E343))</f>
        <v>-133000</v>
      </c>
      <c r="N343" s="102" t="str">
        <f aca="false">IF(L343="","",IFERROR(INDEX(AK_BARIS,MATCH(L343,AK_NAMA,0)),"?"))</f>
        <v>OP3</v>
      </c>
      <c r="O343" s="102" t="str">
        <f aca="false">IF(C343="","",IFERROR(INDEX(AK_KEL,MATCH(C343,AK_NAMA,0)),"?"))</f>
        <v>BEBAN</v>
      </c>
      <c r="P343" s="102" t="str">
        <f aca="false">IF(D343="","",IFERROR(INDEX(AK_KEL,MATCH(D343,AK_NAMA,0)),"?"))</f>
        <v>ASET</v>
      </c>
      <c r="Q343" s="102" t="n">
        <f aca="false">N(Q342)+IF(AND(N(E343)&lt;&gt;0,K343=TAHUN,N(J343)&lt;=BLN,OR(C343=BB_AKUN,D343=BB_AKUN)),1,0)</f>
        <v>224</v>
      </c>
      <c r="R343" s="104" t="str">
        <f aca="false">IF(OR(C343&amp;D343="",N(E343)=0),"",IF(OR(O343="?",P343="?"),"⚠ akun tidak dikenal",IF(C343=D343,"⚠ debet = kredit","")))</f>
        <v/>
      </c>
    </row>
    <row r="344" customFormat="false" ht="15" hidden="false" customHeight="false" outlineLevel="0" collapsed="false">
      <c r="A344" s="82" t="s">
        <v>1067</v>
      </c>
      <c r="B344" s="101" t="n">
        <v>46092</v>
      </c>
      <c r="C344" s="82" t="s">
        <v>470</v>
      </c>
      <c r="D344" s="82" t="s">
        <v>461</v>
      </c>
      <c r="E344" s="91" t="n">
        <v>190000</v>
      </c>
      <c r="F344" s="82" t="s">
        <v>1068</v>
      </c>
      <c r="G344" s="82"/>
      <c r="H344" s="82"/>
      <c r="I344" s="82" t="s">
        <v>250</v>
      </c>
      <c r="J344" s="102" t="n">
        <f aca="false">IF(B344="","",MONTH(B344))</f>
        <v>3</v>
      </c>
      <c r="K344" s="102" t="n">
        <f aca="false">IF(B344="","",YEAR(B344))</f>
        <v>2026</v>
      </c>
      <c r="L344" s="102" t="str">
        <f aca="false">IF(N(E344)=0,"",IF(COUNTIFS(AK_NAMA,C344,AK_KAT,"KAS")+COUNTIFS(AK_NAMA,D344,AK_KAT,"KAS")&lt;&gt;1,"",IF(COUNTIFS(AK_NAMA,C344,AK_KAT,"KAS")=1,D344,C344)))</f>
        <v>Biaya Bahan Baku</v>
      </c>
      <c r="M344" s="103" t="n">
        <f aca="false">IF(L344="",0,IF(L344=D344,E344,-E344))</f>
        <v>-190000</v>
      </c>
      <c r="N344" s="102" t="str">
        <f aca="false">IF(L344="","",IFERROR(INDEX(AK_BARIS,MATCH(L344,AK_NAMA,0)),"?"))</f>
        <v>OP3</v>
      </c>
      <c r="O344" s="102" t="str">
        <f aca="false">IF(C344="","",IFERROR(INDEX(AK_KEL,MATCH(C344,AK_NAMA,0)),"?"))</f>
        <v>BEBAN</v>
      </c>
      <c r="P344" s="102" t="str">
        <f aca="false">IF(D344="","",IFERROR(INDEX(AK_KEL,MATCH(D344,AK_NAMA,0)),"?"))</f>
        <v>ASET</v>
      </c>
      <c r="Q344" s="102" t="n">
        <f aca="false">N(Q343)+IF(AND(N(E344)&lt;&gt;0,K344=TAHUN,N(J344)&lt;=BLN,OR(C344=BB_AKUN,D344=BB_AKUN)),1,0)</f>
        <v>225</v>
      </c>
      <c r="R344" s="104" t="str">
        <f aca="false">IF(OR(C344&amp;D344="",N(E344)=0),"",IF(OR(O344="?",P344="?"),"⚠ akun tidak dikenal",IF(C344=D344,"⚠ debet = kredit","")))</f>
        <v/>
      </c>
    </row>
    <row r="345" customFormat="false" ht="15" hidden="false" customHeight="false" outlineLevel="0" collapsed="false">
      <c r="A345" s="82" t="s">
        <v>1069</v>
      </c>
      <c r="B345" s="101" t="n">
        <v>46093</v>
      </c>
      <c r="C345" s="82" t="s">
        <v>475</v>
      </c>
      <c r="D345" s="82" t="s">
        <v>461</v>
      </c>
      <c r="E345" s="91" t="n">
        <v>500000</v>
      </c>
      <c r="F345" s="82" t="s">
        <v>574</v>
      </c>
      <c r="G345" s="82"/>
      <c r="H345" s="82"/>
      <c r="I345" s="82" t="s">
        <v>250</v>
      </c>
      <c r="J345" s="102" t="n">
        <f aca="false">IF(B345="","",MONTH(B345))</f>
        <v>3</v>
      </c>
      <c r="K345" s="102" t="n">
        <f aca="false">IF(B345="","",YEAR(B345))</f>
        <v>2026</v>
      </c>
      <c r="L345" s="102" t="str">
        <f aca="false">IF(N(E345)=0,"",IF(COUNTIFS(AK_NAMA,C345,AK_KAT,"KAS")+COUNTIFS(AK_NAMA,D345,AK_KAT,"KAS")&lt;&gt;1,"",IF(COUNTIFS(AK_NAMA,C345,AK_KAT,"KAS")=1,D345,C345)))</f>
        <v/>
      </c>
      <c r="M345" s="103" t="n">
        <f aca="false">IF(L345="",0,IF(L345=D345,E345,-E345))</f>
        <v>0</v>
      </c>
      <c r="N345" s="102" t="str">
        <f aca="false">IF(L345="","",IFERROR(INDEX(AK_BARIS,MATCH(L345,AK_NAMA,0)),"?"))</f>
        <v/>
      </c>
      <c r="O345" s="102" t="str">
        <f aca="false">IF(C345="","",IFERROR(INDEX(AK_KEL,MATCH(C345,AK_NAMA,0)),"?"))</f>
        <v>ASET</v>
      </c>
      <c r="P345" s="102" t="str">
        <f aca="false">IF(D345="","",IFERROR(INDEX(AK_KEL,MATCH(D345,AK_NAMA,0)),"?"))</f>
        <v>ASET</v>
      </c>
      <c r="Q345" s="102" t="n">
        <f aca="false">N(Q344)+IF(AND(N(E345)&lt;&gt;0,K345=TAHUN,N(J345)&lt;=BLN,OR(C345=BB_AKUN,D345=BB_AKUN)),1,0)</f>
        <v>226</v>
      </c>
      <c r="R345" s="104" t="str">
        <f aca="false">IF(OR(C345&amp;D345="",N(E345)=0),"",IF(OR(O345="?",P345="?"),"⚠ akun tidak dikenal",IF(C345=D345,"⚠ debet = kredit","")))</f>
        <v/>
      </c>
    </row>
    <row r="346" customFormat="false" ht="15" hidden="false" customHeight="false" outlineLevel="0" collapsed="false">
      <c r="A346" s="82" t="s">
        <v>1070</v>
      </c>
      <c r="B346" s="101" t="n">
        <v>46093</v>
      </c>
      <c r="C346" s="82" t="s">
        <v>455</v>
      </c>
      <c r="D346" s="82" t="s">
        <v>461</v>
      </c>
      <c r="E346" s="91" t="n">
        <v>210000</v>
      </c>
      <c r="F346" s="82" t="s">
        <v>1071</v>
      </c>
      <c r="G346" s="82"/>
      <c r="H346" s="82"/>
      <c r="I346" s="82" t="s">
        <v>250</v>
      </c>
      <c r="J346" s="102" t="n">
        <f aca="false">IF(B346="","",MONTH(B346))</f>
        <v>3</v>
      </c>
      <c r="K346" s="102" t="n">
        <f aca="false">IF(B346="","",YEAR(B346))</f>
        <v>2026</v>
      </c>
      <c r="L346" s="102" t="str">
        <f aca="false">IF(N(E346)=0,"",IF(COUNTIFS(AK_NAMA,C346,AK_KAT,"KAS")+COUNTIFS(AK_NAMA,D346,AK_KAT,"KAS")&lt;&gt;1,"",IF(COUNTIFS(AK_NAMA,C346,AK_KAT,"KAS")=1,D346,C346)))</f>
        <v>Biaya Pemeliharaan</v>
      </c>
      <c r="M346" s="103" t="n">
        <f aca="false">IF(L346="",0,IF(L346=D346,E346,-E346))</f>
        <v>-210000</v>
      </c>
      <c r="N346" s="102" t="str">
        <f aca="false">IF(L346="","",IFERROR(INDEX(AK_BARIS,MATCH(L346,AK_NAMA,0)),"?"))</f>
        <v>OP6</v>
      </c>
      <c r="O346" s="102" t="str">
        <f aca="false">IF(C346="","",IFERROR(INDEX(AK_KEL,MATCH(C346,AK_NAMA,0)),"?"))</f>
        <v>BEBAN</v>
      </c>
      <c r="P346" s="102" t="str">
        <f aca="false">IF(D346="","",IFERROR(INDEX(AK_KEL,MATCH(D346,AK_NAMA,0)),"?"))</f>
        <v>ASET</v>
      </c>
      <c r="Q346" s="102" t="n">
        <f aca="false">N(Q345)+IF(AND(N(E346)&lt;&gt;0,K346=TAHUN,N(J346)&lt;=BLN,OR(C346=BB_AKUN,D346=BB_AKUN)),1,0)</f>
        <v>227</v>
      </c>
      <c r="R346" s="104" t="str">
        <f aca="false">IF(OR(C346&amp;D346="",N(E346)=0),"",IF(OR(O346="?",P346="?"),"⚠ akun tidak dikenal",IF(C346=D346,"⚠ debet = kredit","")))</f>
        <v/>
      </c>
    </row>
    <row r="347" customFormat="false" ht="15" hidden="false" customHeight="false" outlineLevel="0" collapsed="false">
      <c r="A347" s="82" t="s">
        <v>1072</v>
      </c>
      <c r="B347" s="101" t="n">
        <v>46093</v>
      </c>
      <c r="C347" s="82" t="s">
        <v>485</v>
      </c>
      <c r="D347" s="82" t="s">
        <v>461</v>
      </c>
      <c r="E347" s="91" t="n">
        <v>380000</v>
      </c>
      <c r="F347" s="82" t="s">
        <v>1073</v>
      </c>
      <c r="G347" s="82"/>
      <c r="H347" s="82"/>
      <c r="I347" s="82" t="s">
        <v>250</v>
      </c>
      <c r="J347" s="102" t="n">
        <f aca="false">IF(B347="","",MONTH(B347))</f>
        <v>3</v>
      </c>
      <c r="K347" s="102" t="n">
        <f aca="false">IF(B347="","",YEAR(B347))</f>
        <v>2026</v>
      </c>
      <c r="L347" s="102" t="str">
        <f aca="false">IF(N(E347)=0,"",IF(COUNTIFS(AK_NAMA,C347,AK_KAT,"KAS")+COUNTIFS(AK_NAMA,D347,AK_KAT,"KAS")&lt;&gt;1,"",IF(COUNTIFS(AK_NAMA,C347,AK_KAT,"KAS")=1,D347,C347)))</f>
        <v>Biaya Operasional Harian</v>
      </c>
      <c r="M347" s="103" t="n">
        <f aca="false">IF(L347="",0,IF(L347=D347,E347,-E347))</f>
        <v>-380000</v>
      </c>
      <c r="N347" s="102" t="str">
        <f aca="false">IF(L347="","",IFERROR(INDEX(AK_BARIS,MATCH(L347,AK_NAMA,0)),"?"))</f>
        <v>OP6</v>
      </c>
      <c r="O347" s="102" t="str">
        <f aca="false">IF(C347="","",IFERROR(INDEX(AK_KEL,MATCH(C347,AK_NAMA,0)),"?"))</f>
        <v>BEBAN</v>
      </c>
      <c r="P347" s="102" t="str">
        <f aca="false">IF(D347="","",IFERROR(INDEX(AK_KEL,MATCH(D347,AK_NAMA,0)),"?"))</f>
        <v>ASET</v>
      </c>
      <c r="Q347" s="102" t="n">
        <f aca="false">N(Q346)+IF(AND(N(E347)&lt;&gt;0,K347=TAHUN,N(J347)&lt;=BLN,OR(C347=BB_AKUN,D347=BB_AKUN)),1,0)</f>
        <v>228</v>
      </c>
      <c r="R347" s="104" t="str">
        <f aca="false">IF(OR(C347&amp;D347="",N(E347)=0),"",IF(OR(O347="?",P347="?"),"⚠ akun tidak dikenal",IF(C347=D347,"⚠ debet = kredit","")))</f>
        <v/>
      </c>
    </row>
    <row r="348" customFormat="false" ht="15" hidden="false" customHeight="false" outlineLevel="0" collapsed="false">
      <c r="A348" s="82" t="s">
        <v>1074</v>
      </c>
      <c r="B348" s="101" t="n">
        <v>46094</v>
      </c>
      <c r="C348" s="82" t="s">
        <v>470</v>
      </c>
      <c r="D348" s="82" t="s">
        <v>486</v>
      </c>
      <c r="E348" s="91" t="n">
        <v>387000</v>
      </c>
      <c r="F348" s="82" t="s">
        <v>935</v>
      </c>
      <c r="G348" s="82"/>
      <c r="H348" s="82"/>
      <c r="I348" s="82" t="s">
        <v>250</v>
      </c>
      <c r="J348" s="102" t="n">
        <f aca="false">IF(B348="","",MONTH(B348))</f>
        <v>3</v>
      </c>
      <c r="K348" s="102" t="n">
        <f aca="false">IF(B348="","",YEAR(B348))</f>
        <v>2026</v>
      </c>
      <c r="L348" s="102" t="str">
        <f aca="false">IF(N(E348)=0,"",IF(COUNTIFS(AK_NAMA,C348,AK_KAT,"KAS")+COUNTIFS(AK_NAMA,D348,AK_KAT,"KAS")&lt;&gt;1,"",IF(COUNTIFS(AK_NAMA,C348,AK_KAT,"KAS")=1,D348,C348)))</f>
        <v>Biaya Bahan Baku</v>
      </c>
      <c r="M348" s="103" t="n">
        <f aca="false">IF(L348="",0,IF(L348=D348,E348,-E348))</f>
        <v>-387000</v>
      </c>
      <c r="N348" s="102" t="str">
        <f aca="false">IF(L348="","",IFERROR(INDEX(AK_BARIS,MATCH(L348,AK_NAMA,0)),"?"))</f>
        <v>OP3</v>
      </c>
      <c r="O348" s="102" t="str">
        <f aca="false">IF(C348="","",IFERROR(INDEX(AK_KEL,MATCH(C348,AK_NAMA,0)),"?"))</f>
        <v>BEBAN</v>
      </c>
      <c r="P348" s="102" t="str">
        <f aca="false">IF(D348="","",IFERROR(INDEX(AK_KEL,MATCH(D348,AK_NAMA,0)),"?"))</f>
        <v>ASET</v>
      </c>
      <c r="Q348" s="102" t="n">
        <f aca="false">N(Q347)+IF(AND(N(E348)&lt;&gt;0,K348=TAHUN,N(J348)&lt;=BLN,OR(C348=BB_AKUN,D348=BB_AKUN)),1,0)</f>
        <v>228</v>
      </c>
      <c r="R348" s="104" t="str">
        <f aca="false">IF(OR(C348&amp;D348="",N(E348)=0),"",IF(OR(O348="?",P348="?"),"⚠ akun tidak dikenal",IF(C348=D348,"⚠ debet = kredit","")))</f>
        <v/>
      </c>
    </row>
    <row r="349" customFormat="false" ht="15" hidden="false" customHeight="false" outlineLevel="0" collapsed="false">
      <c r="A349" s="82" t="s">
        <v>1075</v>
      </c>
      <c r="B349" s="101" t="n">
        <v>46094</v>
      </c>
      <c r="C349" s="82" t="s">
        <v>478</v>
      </c>
      <c r="D349" s="82" t="s">
        <v>486</v>
      </c>
      <c r="E349" s="91" t="n">
        <v>70000</v>
      </c>
      <c r="F349" s="82" t="s">
        <v>937</v>
      </c>
      <c r="G349" s="82"/>
      <c r="H349" s="82"/>
      <c r="I349" s="82" t="s">
        <v>250</v>
      </c>
      <c r="J349" s="102" t="n">
        <f aca="false">IF(B349="","",MONTH(B349))</f>
        <v>3</v>
      </c>
      <c r="K349" s="102" t="n">
        <f aca="false">IF(B349="","",YEAR(B349))</f>
        <v>2026</v>
      </c>
      <c r="L349" s="102" t="str">
        <f aca="false">IF(N(E349)=0,"",IF(COUNTIFS(AK_NAMA,C349,AK_KAT,"KAS")+COUNTIFS(AK_NAMA,D349,AK_KAT,"KAS")&lt;&gt;1,"",IF(COUNTIFS(AK_NAMA,C349,AK_KAT,"KAS")=1,D349,C349)))</f>
        <v>Biaya Penyajian</v>
      </c>
      <c r="M349" s="103" t="n">
        <f aca="false">IF(L349="",0,IF(L349=D349,E349,-E349))</f>
        <v>-70000</v>
      </c>
      <c r="N349" s="102" t="str">
        <f aca="false">IF(L349="","",IFERROR(INDEX(AK_BARIS,MATCH(L349,AK_NAMA,0)),"?"))</f>
        <v>OP3</v>
      </c>
      <c r="O349" s="102" t="str">
        <f aca="false">IF(C349="","",IFERROR(INDEX(AK_KEL,MATCH(C349,AK_NAMA,0)),"?"))</f>
        <v>BEBAN</v>
      </c>
      <c r="P349" s="102" t="str">
        <f aca="false">IF(D349="","",IFERROR(INDEX(AK_KEL,MATCH(D349,AK_NAMA,0)),"?"))</f>
        <v>ASET</v>
      </c>
      <c r="Q349" s="102" t="n">
        <f aca="false">N(Q348)+IF(AND(N(E349)&lt;&gt;0,K349=TAHUN,N(J349)&lt;=BLN,OR(C349=BB_AKUN,D349=BB_AKUN)),1,0)</f>
        <v>228</v>
      </c>
      <c r="R349" s="104" t="str">
        <f aca="false">IF(OR(C349&amp;D349="",N(E349)=0),"",IF(OR(O349="?",P349="?"),"⚠ akun tidak dikenal",IF(C349=D349,"⚠ debet = kredit","")))</f>
        <v/>
      </c>
    </row>
    <row r="350" customFormat="false" ht="15" hidden="false" customHeight="false" outlineLevel="0" collapsed="false">
      <c r="A350" s="82" t="s">
        <v>1076</v>
      </c>
      <c r="B350" s="101" t="n">
        <v>46094</v>
      </c>
      <c r="C350" s="82" t="s">
        <v>548</v>
      </c>
      <c r="D350" s="82" t="s">
        <v>486</v>
      </c>
      <c r="E350" s="91" t="n">
        <v>10000</v>
      </c>
      <c r="F350" s="82" t="s">
        <v>939</v>
      </c>
      <c r="G350" s="82"/>
      <c r="H350" s="82"/>
      <c r="I350" s="82" t="s">
        <v>250</v>
      </c>
      <c r="J350" s="102" t="n">
        <f aca="false">IF(B350="","",MONTH(B350))</f>
        <v>3</v>
      </c>
      <c r="K350" s="102" t="n">
        <f aca="false">IF(B350="","",YEAR(B350))</f>
        <v>2026</v>
      </c>
      <c r="L350" s="102" t="str">
        <f aca="false">IF(N(E350)=0,"",IF(COUNTIFS(AK_NAMA,C350,AK_KAT,"KAS")+COUNTIFS(AK_NAMA,D350,AK_KAT,"KAS")&lt;&gt;1,"",IF(COUNTIFS(AK_NAMA,C350,AK_KAT,"KAS")=1,D350,C350)))</f>
        <v>Beban Perlengkapan</v>
      </c>
      <c r="M350" s="103" t="n">
        <f aca="false">IF(L350="",0,IF(L350=D350,E350,-E350))</f>
        <v>-10000</v>
      </c>
      <c r="N350" s="102" t="str">
        <f aca="false">IF(L350="","",IFERROR(INDEX(AK_BARIS,MATCH(L350,AK_NAMA,0)),"?"))</f>
        <v>OP6</v>
      </c>
      <c r="O350" s="102" t="str">
        <f aca="false">IF(C350="","",IFERROR(INDEX(AK_KEL,MATCH(C350,AK_NAMA,0)),"?"))</f>
        <v>BEBAN</v>
      </c>
      <c r="P350" s="102" t="str">
        <f aca="false">IF(D350="","",IFERROR(INDEX(AK_KEL,MATCH(D350,AK_NAMA,0)),"?"))</f>
        <v>ASET</v>
      </c>
      <c r="Q350" s="102" t="n">
        <f aca="false">N(Q349)+IF(AND(N(E350)&lt;&gt;0,K350=TAHUN,N(J350)&lt;=BLN,OR(C350=BB_AKUN,D350=BB_AKUN)),1,0)</f>
        <v>228</v>
      </c>
      <c r="R350" s="104" t="str">
        <f aca="false">IF(OR(C350&amp;D350="",N(E350)=0),"",IF(OR(O350="?",P350="?"),"⚠ akun tidak dikenal",IF(C350=D350,"⚠ debet = kredit","")))</f>
        <v/>
      </c>
    </row>
    <row r="351" customFormat="false" ht="15" hidden="false" customHeight="false" outlineLevel="0" collapsed="false">
      <c r="A351" s="82" t="s">
        <v>1077</v>
      </c>
      <c r="B351" s="101" t="n">
        <v>46094</v>
      </c>
      <c r="C351" s="82" t="s">
        <v>485</v>
      </c>
      <c r="D351" s="82" t="s">
        <v>486</v>
      </c>
      <c r="E351" s="91" t="n">
        <v>15000</v>
      </c>
      <c r="F351" s="82" t="s">
        <v>553</v>
      </c>
      <c r="G351" s="82"/>
      <c r="H351" s="82"/>
      <c r="I351" s="82" t="s">
        <v>250</v>
      </c>
      <c r="J351" s="102" t="n">
        <f aca="false">IF(B351="","",MONTH(B351))</f>
        <v>3</v>
      </c>
      <c r="K351" s="102" t="n">
        <f aca="false">IF(B351="","",YEAR(B351))</f>
        <v>2026</v>
      </c>
      <c r="L351" s="102" t="str">
        <f aca="false">IF(N(E351)=0,"",IF(COUNTIFS(AK_NAMA,C351,AK_KAT,"KAS")+COUNTIFS(AK_NAMA,D351,AK_KAT,"KAS")&lt;&gt;1,"",IF(COUNTIFS(AK_NAMA,C351,AK_KAT,"KAS")=1,D351,C351)))</f>
        <v>Biaya Operasional Harian</v>
      </c>
      <c r="M351" s="103" t="n">
        <f aca="false">IF(L351="",0,IF(L351=D351,E351,-E351))</f>
        <v>-15000</v>
      </c>
      <c r="N351" s="102" t="str">
        <f aca="false">IF(L351="","",IFERROR(INDEX(AK_BARIS,MATCH(L351,AK_NAMA,0)),"?"))</f>
        <v>OP6</v>
      </c>
      <c r="O351" s="102" t="str">
        <f aca="false">IF(C351="","",IFERROR(INDEX(AK_KEL,MATCH(C351,AK_NAMA,0)),"?"))</f>
        <v>BEBAN</v>
      </c>
      <c r="P351" s="102" t="str">
        <f aca="false">IF(D351="","",IFERROR(INDEX(AK_KEL,MATCH(D351,AK_NAMA,0)),"?"))</f>
        <v>ASET</v>
      </c>
      <c r="Q351" s="102" t="n">
        <f aca="false">N(Q350)+IF(AND(N(E351)&lt;&gt;0,K351=TAHUN,N(J351)&lt;=BLN,OR(C351=BB_AKUN,D351=BB_AKUN)),1,0)</f>
        <v>228</v>
      </c>
      <c r="R351" s="104" t="str">
        <f aca="false">IF(OR(C351&amp;D351="",N(E351)=0),"",IF(OR(O351="?",P351="?"),"⚠ akun tidak dikenal",IF(C351=D351,"⚠ debet = kredit","")))</f>
        <v/>
      </c>
    </row>
    <row r="352" customFormat="false" ht="15" hidden="false" customHeight="false" outlineLevel="0" collapsed="false">
      <c r="A352" s="82" t="s">
        <v>1078</v>
      </c>
      <c r="B352" s="101" t="n">
        <v>46094</v>
      </c>
      <c r="C352" s="82" t="s">
        <v>485</v>
      </c>
      <c r="D352" s="82" t="s">
        <v>486</v>
      </c>
      <c r="E352" s="91" t="n">
        <v>6000</v>
      </c>
      <c r="F352" s="82" t="s">
        <v>555</v>
      </c>
      <c r="G352" s="82"/>
      <c r="H352" s="82"/>
      <c r="I352" s="82" t="s">
        <v>250</v>
      </c>
      <c r="J352" s="102" t="n">
        <f aca="false">IF(B352="","",MONTH(B352))</f>
        <v>3</v>
      </c>
      <c r="K352" s="102" t="n">
        <f aca="false">IF(B352="","",YEAR(B352))</f>
        <v>2026</v>
      </c>
      <c r="L352" s="102" t="str">
        <f aca="false">IF(N(E352)=0,"",IF(COUNTIFS(AK_NAMA,C352,AK_KAT,"KAS")+COUNTIFS(AK_NAMA,D352,AK_KAT,"KAS")&lt;&gt;1,"",IF(COUNTIFS(AK_NAMA,C352,AK_KAT,"KAS")=1,D352,C352)))</f>
        <v>Biaya Operasional Harian</v>
      </c>
      <c r="M352" s="103" t="n">
        <f aca="false">IF(L352="",0,IF(L352=D352,E352,-E352))</f>
        <v>-6000</v>
      </c>
      <c r="N352" s="102" t="str">
        <f aca="false">IF(L352="","",IFERROR(INDEX(AK_BARIS,MATCH(L352,AK_NAMA,0)),"?"))</f>
        <v>OP6</v>
      </c>
      <c r="O352" s="102" t="str">
        <f aca="false">IF(C352="","",IFERROR(INDEX(AK_KEL,MATCH(C352,AK_NAMA,0)),"?"))</f>
        <v>BEBAN</v>
      </c>
      <c r="P352" s="102" t="str">
        <f aca="false">IF(D352="","",IFERROR(INDEX(AK_KEL,MATCH(D352,AK_NAMA,0)),"?"))</f>
        <v>ASET</v>
      </c>
      <c r="Q352" s="102" t="n">
        <f aca="false">N(Q351)+IF(AND(N(E352)&lt;&gt;0,K352=TAHUN,N(J352)&lt;=BLN,OR(C352=BB_AKUN,D352=BB_AKUN)),1,0)</f>
        <v>228</v>
      </c>
      <c r="R352" s="104" t="str">
        <f aca="false">IF(OR(C352&amp;D352="",N(E352)=0),"",IF(OR(O352="?",P352="?"),"⚠ akun tidak dikenal",IF(C352=D352,"⚠ debet = kredit","")))</f>
        <v/>
      </c>
    </row>
    <row r="353" customFormat="false" ht="15" hidden="false" customHeight="false" outlineLevel="0" collapsed="false">
      <c r="A353" s="82" t="s">
        <v>1079</v>
      </c>
      <c r="B353" s="101" t="n">
        <v>46094</v>
      </c>
      <c r="C353" s="82" t="s">
        <v>475</v>
      </c>
      <c r="D353" s="82" t="s">
        <v>486</v>
      </c>
      <c r="E353" s="91" t="n">
        <v>12000</v>
      </c>
      <c r="F353" s="82" t="s">
        <v>540</v>
      </c>
      <c r="G353" s="82"/>
      <c r="H353" s="82"/>
      <c r="I353" s="82" t="s">
        <v>250</v>
      </c>
      <c r="J353" s="102" t="n">
        <f aca="false">IF(B353="","",MONTH(B353))</f>
        <v>3</v>
      </c>
      <c r="K353" s="102" t="n">
        <f aca="false">IF(B353="","",YEAR(B353))</f>
        <v>2026</v>
      </c>
      <c r="L353" s="102" t="str">
        <f aca="false">IF(N(E353)=0,"",IF(COUNTIFS(AK_NAMA,C353,AK_KAT,"KAS")+COUNTIFS(AK_NAMA,D353,AK_KAT,"KAS")&lt;&gt;1,"",IF(COUNTIFS(AK_NAMA,C353,AK_KAT,"KAS")=1,D353,C353)))</f>
        <v/>
      </c>
      <c r="M353" s="103" t="n">
        <f aca="false">IF(L353="",0,IF(L353=D353,E353,-E353))</f>
        <v>0</v>
      </c>
      <c r="N353" s="102" t="str">
        <f aca="false">IF(L353="","",IFERROR(INDEX(AK_BARIS,MATCH(L353,AK_NAMA,0)),"?"))</f>
        <v/>
      </c>
      <c r="O353" s="102" t="str">
        <f aca="false">IF(C353="","",IFERROR(INDEX(AK_KEL,MATCH(C353,AK_NAMA,0)),"?"))</f>
        <v>ASET</v>
      </c>
      <c r="P353" s="102" t="str">
        <f aca="false">IF(D353="","",IFERROR(INDEX(AK_KEL,MATCH(D353,AK_NAMA,0)),"?"))</f>
        <v>ASET</v>
      </c>
      <c r="Q353" s="102" t="n">
        <f aca="false">N(Q352)+IF(AND(N(E353)&lt;&gt;0,K353=TAHUN,N(J353)&lt;=BLN,OR(C353=BB_AKUN,D353=BB_AKUN)),1,0)</f>
        <v>228</v>
      </c>
      <c r="R353" s="104" t="str">
        <f aca="false">IF(OR(C353&amp;D353="",N(E353)=0),"",IF(OR(O353="?",P353="?"),"⚠ akun tidak dikenal",IF(C353=D353,"⚠ debet = kredit","")))</f>
        <v/>
      </c>
    </row>
    <row r="354" customFormat="false" ht="15" hidden="false" customHeight="false" outlineLevel="0" collapsed="false">
      <c r="A354" s="82" t="s">
        <v>1080</v>
      </c>
      <c r="B354" s="101" t="n">
        <v>46094</v>
      </c>
      <c r="C354" s="82" t="s">
        <v>486</v>
      </c>
      <c r="D354" s="82" t="s">
        <v>475</v>
      </c>
      <c r="E354" s="91" t="n">
        <v>500000</v>
      </c>
      <c r="F354" s="82" t="s">
        <v>622</v>
      </c>
      <c r="G354" s="82"/>
      <c r="H354" s="82"/>
      <c r="I354" s="82" t="s">
        <v>250</v>
      </c>
      <c r="J354" s="102" t="n">
        <f aca="false">IF(B354="","",MONTH(B354))</f>
        <v>3</v>
      </c>
      <c r="K354" s="102" t="n">
        <f aca="false">IF(B354="","",YEAR(B354))</f>
        <v>2026</v>
      </c>
      <c r="L354" s="102" t="str">
        <f aca="false">IF(N(E354)=0,"",IF(COUNTIFS(AK_NAMA,C354,AK_KAT,"KAS")+COUNTIFS(AK_NAMA,D354,AK_KAT,"KAS")&lt;&gt;1,"",IF(COUNTIFS(AK_NAMA,C354,AK_KAT,"KAS")=1,D354,C354)))</f>
        <v/>
      </c>
      <c r="M354" s="103" t="n">
        <f aca="false">IF(L354="",0,IF(L354=D354,E354,-E354))</f>
        <v>0</v>
      </c>
      <c r="N354" s="102" t="str">
        <f aca="false">IF(L354="","",IFERROR(INDEX(AK_BARIS,MATCH(L354,AK_NAMA,0)),"?"))</f>
        <v/>
      </c>
      <c r="O354" s="102" t="str">
        <f aca="false">IF(C354="","",IFERROR(INDEX(AK_KEL,MATCH(C354,AK_NAMA,0)),"?"))</f>
        <v>ASET</v>
      </c>
      <c r="P354" s="102" t="str">
        <f aca="false">IF(D354="","",IFERROR(INDEX(AK_KEL,MATCH(D354,AK_NAMA,0)),"?"))</f>
        <v>ASET</v>
      </c>
      <c r="Q354" s="102" t="n">
        <f aca="false">N(Q353)+IF(AND(N(E354)&lt;&gt;0,K354=TAHUN,N(J354)&lt;=BLN,OR(C354=BB_AKUN,D354=BB_AKUN)),1,0)</f>
        <v>228</v>
      </c>
      <c r="R354" s="104" t="str">
        <f aca="false">IF(OR(C354&amp;D354="",N(E354)=0),"",IF(OR(O354="?",P354="?"),"⚠ akun tidak dikenal",IF(C354=D354,"⚠ debet = kredit","")))</f>
        <v/>
      </c>
    </row>
    <row r="355" customFormat="false" ht="15" hidden="false" customHeight="false" outlineLevel="0" collapsed="false">
      <c r="A355" s="82" t="s">
        <v>1081</v>
      </c>
      <c r="B355" s="101" t="n">
        <v>46095</v>
      </c>
      <c r="C355" s="82" t="s">
        <v>548</v>
      </c>
      <c r="D355" s="82" t="s">
        <v>461</v>
      </c>
      <c r="E355" s="91" t="n">
        <v>101356</v>
      </c>
      <c r="F355" s="82" t="s">
        <v>1082</v>
      </c>
      <c r="G355" s="82"/>
      <c r="H355" s="82"/>
      <c r="I355" s="82" t="s">
        <v>250</v>
      </c>
      <c r="J355" s="102" t="n">
        <f aca="false">IF(B355="","",MONTH(B355))</f>
        <v>3</v>
      </c>
      <c r="K355" s="102" t="n">
        <f aca="false">IF(B355="","",YEAR(B355))</f>
        <v>2026</v>
      </c>
      <c r="L355" s="102" t="str">
        <f aca="false">IF(N(E355)=0,"",IF(COUNTIFS(AK_NAMA,C355,AK_KAT,"KAS")+COUNTIFS(AK_NAMA,D355,AK_KAT,"KAS")&lt;&gt;1,"",IF(COUNTIFS(AK_NAMA,C355,AK_KAT,"KAS")=1,D355,C355)))</f>
        <v>Beban Perlengkapan</v>
      </c>
      <c r="M355" s="103" t="n">
        <f aca="false">IF(L355="",0,IF(L355=D355,E355,-E355))</f>
        <v>-101356</v>
      </c>
      <c r="N355" s="102" t="str">
        <f aca="false">IF(L355="","",IFERROR(INDEX(AK_BARIS,MATCH(L355,AK_NAMA,0)),"?"))</f>
        <v>OP6</v>
      </c>
      <c r="O355" s="102" t="str">
        <f aca="false">IF(C355="","",IFERROR(INDEX(AK_KEL,MATCH(C355,AK_NAMA,0)),"?"))</f>
        <v>BEBAN</v>
      </c>
      <c r="P355" s="102" t="str">
        <f aca="false">IF(D355="","",IFERROR(INDEX(AK_KEL,MATCH(D355,AK_NAMA,0)),"?"))</f>
        <v>ASET</v>
      </c>
      <c r="Q355" s="102" t="n">
        <f aca="false">N(Q354)+IF(AND(N(E355)&lt;&gt;0,K355=TAHUN,N(J355)&lt;=BLN,OR(C355=BB_AKUN,D355=BB_AKUN)),1,0)</f>
        <v>229</v>
      </c>
      <c r="R355" s="104" t="str">
        <f aca="false">IF(OR(C355&amp;D355="",N(E355)=0),"",IF(OR(O355="?",P355="?"),"⚠ akun tidak dikenal",IF(C355=D355,"⚠ debet = kredit","")))</f>
        <v/>
      </c>
    </row>
    <row r="356" customFormat="false" ht="15" hidden="false" customHeight="false" outlineLevel="0" collapsed="false">
      <c r="A356" s="82" t="s">
        <v>1083</v>
      </c>
      <c r="B356" s="101" t="n">
        <v>46096</v>
      </c>
      <c r="C356" s="82" t="s">
        <v>478</v>
      </c>
      <c r="D356" s="82" t="s">
        <v>461</v>
      </c>
      <c r="E356" s="91" t="n">
        <v>1627500</v>
      </c>
      <c r="F356" s="82" t="s">
        <v>1084</v>
      </c>
      <c r="G356" s="82"/>
      <c r="H356" s="82"/>
      <c r="I356" s="82" t="s">
        <v>250</v>
      </c>
      <c r="J356" s="102" t="n">
        <f aca="false">IF(B356="","",MONTH(B356))</f>
        <v>3</v>
      </c>
      <c r="K356" s="102" t="n">
        <f aca="false">IF(B356="","",YEAR(B356))</f>
        <v>2026</v>
      </c>
      <c r="L356" s="102" t="str">
        <f aca="false">IF(N(E356)=0,"",IF(COUNTIFS(AK_NAMA,C356,AK_KAT,"KAS")+COUNTIFS(AK_NAMA,D356,AK_KAT,"KAS")&lt;&gt;1,"",IF(COUNTIFS(AK_NAMA,C356,AK_KAT,"KAS")=1,D356,C356)))</f>
        <v>Biaya Penyajian</v>
      </c>
      <c r="M356" s="103" t="n">
        <f aca="false">IF(L356="",0,IF(L356=D356,E356,-E356))</f>
        <v>-1627500</v>
      </c>
      <c r="N356" s="102" t="str">
        <f aca="false">IF(L356="","",IFERROR(INDEX(AK_BARIS,MATCH(L356,AK_NAMA,0)),"?"))</f>
        <v>OP3</v>
      </c>
      <c r="O356" s="102" t="str">
        <f aca="false">IF(C356="","",IFERROR(INDEX(AK_KEL,MATCH(C356,AK_NAMA,0)),"?"))</f>
        <v>BEBAN</v>
      </c>
      <c r="P356" s="102" t="str">
        <f aca="false">IF(D356="","",IFERROR(INDEX(AK_KEL,MATCH(D356,AK_NAMA,0)),"?"))</f>
        <v>ASET</v>
      </c>
      <c r="Q356" s="102" t="n">
        <f aca="false">N(Q355)+IF(AND(N(E356)&lt;&gt;0,K356=TAHUN,N(J356)&lt;=BLN,OR(C356=BB_AKUN,D356=BB_AKUN)),1,0)</f>
        <v>230</v>
      </c>
      <c r="R356" s="104" t="str">
        <f aca="false">IF(OR(C356&amp;D356="",N(E356)=0),"",IF(OR(O356="?",P356="?"),"⚠ akun tidak dikenal",IF(C356=D356,"⚠ debet = kredit","")))</f>
        <v/>
      </c>
    </row>
    <row r="357" customFormat="false" ht="15" hidden="false" customHeight="false" outlineLevel="0" collapsed="false">
      <c r="A357" s="82" t="s">
        <v>1085</v>
      </c>
      <c r="B357" s="101" t="n">
        <v>46096</v>
      </c>
      <c r="C357" s="82" t="s">
        <v>470</v>
      </c>
      <c r="D357" s="82" t="s">
        <v>461</v>
      </c>
      <c r="E357" s="91" t="n">
        <v>6240000</v>
      </c>
      <c r="F357" s="82" t="s">
        <v>1086</v>
      </c>
      <c r="G357" s="82"/>
      <c r="H357" s="82"/>
      <c r="I357" s="82" t="s">
        <v>250</v>
      </c>
      <c r="J357" s="102" t="n">
        <f aca="false">IF(B357="","",MONTH(B357))</f>
        <v>3</v>
      </c>
      <c r="K357" s="102" t="n">
        <f aca="false">IF(B357="","",YEAR(B357))</f>
        <v>2026</v>
      </c>
      <c r="L357" s="102" t="str">
        <f aca="false">IF(N(E357)=0,"",IF(COUNTIFS(AK_NAMA,C357,AK_KAT,"KAS")+COUNTIFS(AK_NAMA,D357,AK_KAT,"KAS")&lt;&gt;1,"",IF(COUNTIFS(AK_NAMA,C357,AK_KAT,"KAS")=1,D357,C357)))</f>
        <v>Biaya Bahan Baku</v>
      </c>
      <c r="M357" s="103" t="n">
        <f aca="false">IF(L357="",0,IF(L357=D357,E357,-E357))</f>
        <v>-6240000</v>
      </c>
      <c r="N357" s="102" t="str">
        <f aca="false">IF(L357="","",IFERROR(INDEX(AK_BARIS,MATCH(L357,AK_NAMA,0)),"?"))</f>
        <v>OP3</v>
      </c>
      <c r="O357" s="102" t="str">
        <f aca="false">IF(C357="","",IFERROR(INDEX(AK_KEL,MATCH(C357,AK_NAMA,0)),"?"))</f>
        <v>BEBAN</v>
      </c>
      <c r="P357" s="102" t="str">
        <f aca="false">IF(D357="","",IFERROR(INDEX(AK_KEL,MATCH(D357,AK_NAMA,0)),"?"))</f>
        <v>ASET</v>
      </c>
      <c r="Q357" s="102" t="n">
        <f aca="false">N(Q356)+IF(AND(N(E357)&lt;&gt;0,K357=TAHUN,N(J357)&lt;=BLN,OR(C357=BB_AKUN,D357=BB_AKUN)),1,0)</f>
        <v>231</v>
      </c>
      <c r="R357" s="104" t="str">
        <f aca="false">IF(OR(C357&amp;D357="",N(E357)=0),"",IF(OR(O357="?",P357="?"),"⚠ akun tidak dikenal",IF(C357=D357,"⚠ debet = kredit","")))</f>
        <v/>
      </c>
    </row>
    <row r="358" customFormat="false" ht="15" hidden="false" customHeight="false" outlineLevel="0" collapsed="false">
      <c r="A358" s="82" t="s">
        <v>1087</v>
      </c>
      <c r="B358" s="101" t="n">
        <v>46096</v>
      </c>
      <c r="C358" s="82" t="s">
        <v>470</v>
      </c>
      <c r="D358" s="82" t="s">
        <v>461</v>
      </c>
      <c r="E358" s="91" t="n">
        <v>2065000</v>
      </c>
      <c r="F358" s="82" t="s">
        <v>1088</v>
      </c>
      <c r="G358" s="82"/>
      <c r="H358" s="82"/>
      <c r="I358" s="82" t="s">
        <v>250</v>
      </c>
      <c r="J358" s="102" t="n">
        <f aca="false">IF(B358="","",MONTH(B358))</f>
        <v>3</v>
      </c>
      <c r="K358" s="102" t="n">
        <f aca="false">IF(B358="","",YEAR(B358))</f>
        <v>2026</v>
      </c>
      <c r="L358" s="102" t="str">
        <f aca="false">IF(N(E358)=0,"",IF(COUNTIFS(AK_NAMA,C358,AK_KAT,"KAS")+COUNTIFS(AK_NAMA,D358,AK_KAT,"KAS")&lt;&gt;1,"",IF(COUNTIFS(AK_NAMA,C358,AK_KAT,"KAS")=1,D358,C358)))</f>
        <v>Biaya Bahan Baku</v>
      </c>
      <c r="M358" s="103" t="n">
        <f aca="false">IF(L358="",0,IF(L358=D358,E358,-E358))</f>
        <v>-2065000</v>
      </c>
      <c r="N358" s="102" t="str">
        <f aca="false">IF(L358="","",IFERROR(INDEX(AK_BARIS,MATCH(L358,AK_NAMA,0)),"?"))</f>
        <v>OP3</v>
      </c>
      <c r="O358" s="102" t="str">
        <f aca="false">IF(C358="","",IFERROR(INDEX(AK_KEL,MATCH(C358,AK_NAMA,0)),"?"))</f>
        <v>BEBAN</v>
      </c>
      <c r="P358" s="102" t="str">
        <f aca="false">IF(D358="","",IFERROR(INDEX(AK_KEL,MATCH(D358,AK_NAMA,0)),"?"))</f>
        <v>ASET</v>
      </c>
      <c r="Q358" s="102" t="n">
        <f aca="false">N(Q357)+IF(AND(N(E358)&lt;&gt;0,K358=TAHUN,N(J358)&lt;=BLN,OR(C358=BB_AKUN,D358=BB_AKUN)),1,0)</f>
        <v>232</v>
      </c>
      <c r="R358" s="104" t="str">
        <f aca="false">IF(OR(C358&amp;D358="",N(E358)=0),"",IF(OR(O358="?",P358="?"),"⚠ akun tidak dikenal",IF(C358=D358,"⚠ debet = kredit","")))</f>
        <v/>
      </c>
    </row>
    <row r="359" customFormat="false" ht="15" hidden="false" customHeight="false" outlineLevel="0" collapsed="false">
      <c r="A359" s="82" t="s">
        <v>1089</v>
      </c>
      <c r="B359" s="101" t="n">
        <v>46096</v>
      </c>
      <c r="C359" s="82" t="s">
        <v>478</v>
      </c>
      <c r="D359" s="82" t="s">
        <v>461</v>
      </c>
      <c r="E359" s="91" t="n">
        <v>760000</v>
      </c>
      <c r="F359" s="82" t="s">
        <v>1090</v>
      </c>
      <c r="G359" s="82"/>
      <c r="H359" s="82"/>
      <c r="I359" s="82" t="s">
        <v>250</v>
      </c>
      <c r="J359" s="102" t="n">
        <f aca="false">IF(B359="","",MONTH(B359))</f>
        <v>3</v>
      </c>
      <c r="K359" s="102" t="n">
        <f aca="false">IF(B359="","",YEAR(B359))</f>
        <v>2026</v>
      </c>
      <c r="L359" s="102" t="str">
        <f aca="false">IF(N(E359)=0,"",IF(COUNTIFS(AK_NAMA,C359,AK_KAT,"KAS")+COUNTIFS(AK_NAMA,D359,AK_KAT,"KAS")&lt;&gt;1,"",IF(COUNTIFS(AK_NAMA,C359,AK_KAT,"KAS")=1,D359,C359)))</f>
        <v>Biaya Penyajian</v>
      </c>
      <c r="M359" s="103" t="n">
        <f aca="false">IF(L359="",0,IF(L359=D359,E359,-E359))</f>
        <v>-760000</v>
      </c>
      <c r="N359" s="102" t="str">
        <f aca="false">IF(L359="","",IFERROR(INDEX(AK_BARIS,MATCH(L359,AK_NAMA,0)),"?"))</f>
        <v>OP3</v>
      </c>
      <c r="O359" s="102" t="str">
        <f aca="false">IF(C359="","",IFERROR(INDEX(AK_KEL,MATCH(C359,AK_NAMA,0)),"?"))</f>
        <v>BEBAN</v>
      </c>
      <c r="P359" s="102" t="str">
        <f aca="false">IF(D359="","",IFERROR(INDEX(AK_KEL,MATCH(D359,AK_NAMA,0)),"?"))</f>
        <v>ASET</v>
      </c>
      <c r="Q359" s="102" t="n">
        <f aca="false">N(Q358)+IF(AND(N(E359)&lt;&gt;0,K359=TAHUN,N(J359)&lt;=BLN,OR(C359=BB_AKUN,D359=BB_AKUN)),1,0)</f>
        <v>233</v>
      </c>
      <c r="R359" s="104" t="str">
        <f aca="false">IF(OR(C359&amp;D359="",N(E359)=0),"",IF(OR(O359="?",P359="?"),"⚠ akun tidak dikenal",IF(C359=D359,"⚠ debet = kredit","")))</f>
        <v/>
      </c>
    </row>
    <row r="360" customFormat="false" ht="15" hidden="false" customHeight="false" outlineLevel="0" collapsed="false">
      <c r="A360" s="82" t="s">
        <v>1091</v>
      </c>
      <c r="B360" s="101" t="n">
        <v>46096</v>
      </c>
      <c r="C360" s="82" t="s">
        <v>765</v>
      </c>
      <c r="D360" s="82" t="s">
        <v>486</v>
      </c>
      <c r="E360" s="91" t="n">
        <v>19500</v>
      </c>
      <c r="F360" s="82" t="s">
        <v>1092</v>
      </c>
      <c r="G360" s="82"/>
      <c r="H360" s="82" t="s">
        <v>767</v>
      </c>
      <c r="I360" s="82" t="s">
        <v>250</v>
      </c>
      <c r="J360" s="102" t="n">
        <f aca="false">IF(B360="","",MONTH(B360))</f>
        <v>3</v>
      </c>
      <c r="K360" s="102" t="n">
        <f aca="false">IF(B360="","",YEAR(B360))</f>
        <v>2026</v>
      </c>
      <c r="L360" s="102" t="str">
        <f aca="false">IF(N(E360)=0,"",IF(COUNTIFS(AK_NAMA,C360,AK_KAT,"KAS")+COUNTIFS(AK_NAMA,D360,AK_KAT,"KAS")&lt;&gt;1,"",IF(COUNTIFS(AK_NAMA,C360,AK_KAT,"KAS")=1,D360,C360)))</f>
        <v>Piutang Usaha Cafe</v>
      </c>
      <c r="M360" s="103" t="n">
        <f aca="false">IF(L360="",0,IF(L360=D360,E360,-E360))</f>
        <v>-19500</v>
      </c>
      <c r="N360" s="102" t="str">
        <f aca="false">IF(L360="","",IFERROR(INDEX(AK_BARIS,MATCH(L360,AK_NAMA,0)),"?"))</f>
        <v>OP1</v>
      </c>
      <c r="O360" s="102" t="str">
        <f aca="false">IF(C360="","",IFERROR(INDEX(AK_KEL,MATCH(C360,AK_NAMA,0)),"?"))</f>
        <v>ASET</v>
      </c>
      <c r="P360" s="102" t="str">
        <f aca="false">IF(D360="","",IFERROR(INDEX(AK_KEL,MATCH(D360,AK_NAMA,0)),"?"))</f>
        <v>ASET</v>
      </c>
      <c r="Q360" s="102" t="n">
        <f aca="false">N(Q359)+IF(AND(N(E360)&lt;&gt;0,K360=TAHUN,N(J360)&lt;=BLN,OR(C360=BB_AKUN,D360=BB_AKUN)),1,0)</f>
        <v>233</v>
      </c>
      <c r="R360" s="104" t="str">
        <f aca="false">IF(OR(C360&amp;D360="",N(E360)=0),"",IF(OR(O360="?",P360="?"),"⚠ akun tidak dikenal",IF(C360=D360,"⚠ debet = kredit","")))</f>
        <v/>
      </c>
    </row>
    <row r="361" customFormat="false" ht="15" hidden="false" customHeight="false" outlineLevel="0" collapsed="false">
      <c r="A361" s="82" t="s">
        <v>1093</v>
      </c>
      <c r="B361" s="101" t="n">
        <v>46099</v>
      </c>
      <c r="C361" s="82" t="s">
        <v>461</v>
      </c>
      <c r="D361" s="82" t="s">
        <v>475</v>
      </c>
      <c r="E361" s="91" t="n">
        <v>5000000</v>
      </c>
      <c r="F361" s="82" t="s">
        <v>560</v>
      </c>
      <c r="G361" s="82"/>
      <c r="H361" s="82"/>
      <c r="I361" s="82" t="s">
        <v>250</v>
      </c>
      <c r="J361" s="102" t="n">
        <f aca="false">IF(B361="","",MONTH(B361))</f>
        <v>3</v>
      </c>
      <c r="K361" s="102" t="n">
        <f aca="false">IF(B361="","",YEAR(B361))</f>
        <v>2026</v>
      </c>
      <c r="L361" s="102" t="str">
        <f aca="false">IF(N(E361)=0,"",IF(COUNTIFS(AK_NAMA,C361,AK_KAT,"KAS")+COUNTIFS(AK_NAMA,D361,AK_KAT,"KAS")&lt;&gt;1,"",IF(COUNTIFS(AK_NAMA,C361,AK_KAT,"KAS")=1,D361,C361)))</f>
        <v/>
      </c>
      <c r="M361" s="103" t="n">
        <f aca="false">IF(L361="",0,IF(L361=D361,E361,-E361))</f>
        <v>0</v>
      </c>
      <c r="N361" s="102" t="str">
        <f aca="false">IF(L361="","",IFERROR(INDEX(AK_BARIS,MATCH(L361,AK_NAMA,0)),"?"))</f>
        <v/>
      </c>
      <c r="O361" s="102" t="str">
        <f aca="false">IF(C361="","",IFERROR(INDEX(AK_KEL,MATCH(C361,AK_NAMA,0)),"?"))</f>
        <v>ASET</v>
      </c>
      <c r="P361" s="102" t="str">
        <f aca="false">IF(D361="","",IFERROR(INDEX(AK_KEL,MATCH(D361,AK_NAMA,0)),"?"))</f>
        <v>ASET</v>
      </c>
      <c r="Q361" s="102" t="n">
        <f aca="false">N(Q360)+IF(AND(N(E361)&lt;&gt;0,K361=TAHUN,N(J361)&lt;=BLN,OR(C361=BB_AKUN,D361=BB_AKUN)),1,0)</f>
        <v>234</v>
      </c>
      <c r="R361" s="104" t="str">
        <f aca="false">IF(OR(C361&amp;D361="",N(E361)=0),"",IF(OR(O361="?",P361="?"),"⚠ akun tidak dikenal",IF(C361=D361,"⚠ debet = kredit","")))</f>
        <v/>
      </c>
    </row>
    <row r="362" customFormat="false" ht="15" hidden="false" customHeight="false" outlineLevel="0" collapsed="false">
      <c r="A362" s="82" t="s">
        <v>1094</v>
      </c>
      <c r="B362" s="101" t="n">
        <v>46099</v>
      </c>
      <c r="C362" s="82" t="s">
        <v>470</v>
      </c>
      <c r="D362" s="82" t="s">
        <v>486</v>
      </c>
      <c r="E362" s="91" t="n">
        <v>130000</v>
      </c>
      <c r="F362" s="82" t="s">
        <v>935</v>
      </c>
      <c r="G362" s="82"/>
      <c r="H362" s="82"/>
      <c r="I362" s="82" t="s">
        <v>250</v>
      </c>
      <c r="J362" s="102" t="n">
        <f aca="false">IF(B362="","",MONTH(B362))</f>
        <v>3</v>
      </c>
      <c r="K362" s="102" t="n">
        <f aca="false">IF(B362="","",YEAR(B362))</f>
        <v>2026</v>
      </c>
      <c r="L362" s="102" t="str">
        <f aca="false">IF(N(E362)=0,"",IF(COUNTIFS(AK_NAMA,C362,AK_KAT,"KAS")+COUNTIFS(AK_NAMA,D362,AK_KAT,"KAS")&lt;&gt;1,"",IF(COUNTIFS(AK_NAMA,C362,AK_KAT,"KAS")=1,D362,C362)))</f>
        <v>Biaya Bahan Baku</v>
      </c>
      <c r="M362" s="103" t="n">
        <f aca="false">IF(L362="",0,IF(L362=D362,E362,-E362))</f>
        <v>-130000</v>
      </c>
      <c r="N362" s="102" t="str">
        <f aca="false">IF(L362="","",IFERROR(INDEX(AK_BARIS,MATCH(L362,AK_NAMA,0)),"?"))</f>
        <v>OP3</v>
      </c>
      <c r="O362" s="102" t="str">
        <f aca="false">IF(C362="","",IFERROR(INDEX(AK_KEL,MATCH(C362,AK_NAMA,0)),"?"))</f>
        <v>BEBAN</v>
      </c>
      <c r="P362" s="102" t="str">
        <f aca="false">IF(D362="","",IFERROR(INDEX(AK_KEL,MATCH(D362,AK_NAMA,0)),"?"))</f>
        <v>ASET</v>
      </c>
      <c r="Q362" s="102" t="n">
        <f aca="false">N(Q361)+IF(AND(N(E362)&lt;&gt;0,K362=TAHUN,N(J362)&lt;=BLN,OR(C362=BB_AKUN,D362=BB_AKUN)),1,0)</f>
        <v>234</v>
      </c>
      <c r="R362" s="104" t="str">
        <f aca="false">IF(OR(C362&amp;D362="",N(E362)=0),"",IF(OR(O362="?",P362="?"),"⚠ akun tidak dikenal",IF(C362=D362,"⚠ debet = kredit","")))</f>
        <v/>
      </c>
    </row>
    <row r="363" customFormat="false" ht="15" hidden="false" customHeight="false" outlineLevel="0" collapsed="false">
      <c r="A363" s="82" t="s">
        <v>1095</v>
      </c>
      <c r="B363" s="101" t="n">
        <v>46099</v>
      </c>
      <c r="C363" s="82" t="s">
        <v>478</v>
      </c>
      <c r="D363" s="82" t="s">
        <v>486</v>
      </c>
      <c r="E363" s="91" t="n">
        <v>357000</v>
      </c>
      <c r="F363" s="82" t="s">
        <v>937</v>
      </c>
      <c r="G363" s="82"/>
      <c r="H363" s="82"/>
      <c r="I363" s="82" t="s">
        <v>250</v>
      </c>
      <c r="J363" s="102" t="n">
        <f aca="false">IF(B363="","",MONTH(B363))</f>
        <v>3</v>
      </c>
      <c r="K363" s="102" t="n">
        <f aca="false">IF(B363="","",YEAR(B363))</f>
        <v>2026</v>
      </c>
      <c r="L363" s="102" t="str">
        <f aca="false">IF(N(E363)=0,"",IF(COUNTIFS(AK_NAMA,C363,AK_KAT,"KAS")+COUNTIFS(AK_NAMA,D363,AK_KAT,"KAS")&lt;&gt;1,"",IF(COUNTIFS(AK_NAMA,C363,AK_KAT,"KAS")=1,D363,C363)))</f>
        <v>Biaya Penyajian</v>
      </c>
      <c r="M363" s="103" t="n">
        <f aca="false">IF(L363="",0,IF(L363=D363,E363,-E363))</f>
        <v>-357000</v>
      </c>
      <c r="N363" s="102" t="str">
        <f aca="false">IF(L363="","",IFERROR(INDEX(AK_BARIS,MATCH(L363,AK_NAMA,0)),"?"))</f>
        <v>OP3</v>
      </c>
      <c r="O363" s="102" t="str">
        <f aca="false">IF(C363="","",IFERROR(INDEX(AK_KEL,MATCH(C363,AK_NAMA,0)),"?"))</f>
        <v>BEBAN</v>
      </c>
      <c r="P363" s="102" t="str">
        <f aca="false">IF(D363="","",IFERROR(INDEX(AK_KEL,MATCH(D363,AK_NAMA,0)),"?"))</f>
        <v>ASET</v>
      </c>
      <c r="Q363" s="102" t="n">
        <f aca="false">N(Q362)+IF(AND(N(E363)&lt;&gt;0,K363=TAHUN,N(J363)&lt;=BLN,OR(C363=BB_AKUN,D363=BB_AKUN)),1,0)</f>
        <v>234</v>
      </c>
      <c r="R363" s="104" t="str">
        <f aca="false">IF(OR(C363&amp;D363="",N(E363)=0),"",IF(OR(O363="?",P363="?"),"⚠ akun tidak dikenal",IF(C363=D363,"⚠ debet = kredit","")))</f>
        <v/>
      </c>
    </row>
    <row r="364" customFormat="false" ht="15" hidden="false" customHeight="false" outlineLevel="0" collapsed="false">
      <c r="A364" s="82" t="s">
        <v>1096</v>
      </c>
      <c r="B364" s="101" t="n">
        <v>46099</v>
      </c>
      <c r="C364" s="82" t="s">
        <v>485</v>
      </c>
      <c r="D364" s="82" t="s">
        <v>486</v>
      </c>
      <c r="E364" s="91" t="n">
        <v>13000</v>
      </c>
      <c r="F364" s="82" t="s">
        <v>553</v>
      </c>
      <c r="G364" s="82"/>
      <c r="H364" s="82"/>
      <c r="I364" s="82" t="s">
        <v>250</v>
      </c>
      <c r="J364" s="102" t="n">
        <f aca="false">IF(B364="","",MONTH(B364))</f>
        <v>3</v>
      </c>
      <c r="K364" s="102" t="n">
        <f aca="false">IF(B364="","",YEAR(B364))</f>
        <v>2026</v>
      </c>
      <c r="L364" s="102" t="str">
        <f aca="false">IF(N(E364)=0,"",IF(COUNTIFS(AK_NAMA,C364,AK_KAT,"KAS")+COUNTIFS(AK_NAMA,D364,AK_KAT,"KAS")&lt;&gt;1,"",IF(COUNTIFS(AK_NAMA,C364,AK_KAT,"KAS")=1,D364,C364)))</f>
        <v>Biaya Operasional Harian</v>
      </c>
      <c r="M364" s="103" t="n">
        <f aca="false">IF(L364="",0,IF(L364=D364,E364,-E364))</f>
        <v>-13000</v>
      </c>
      <c r="N364" s="102" t="str">
        <f aca="false">IF(L364="","",IFERROR(INDEX(AK_BARIS,MATCH(L364,AK_NAMA,0)),"?"))</f>
        <v>OP6</v>
      </c>
      <c r="O364" s="102" t="str">
        <f aca="false">IF(C364="","",IFERROR(INDEX(AK_KEL,MATCH(C364,AK_NAMA,0)),"?"))</f>
        <v>BEBAN</v>
      </c>
      <c r="P364" s="102" t="str">
        <f aca="false">IF(D364="","",IFERROR(INDEX(AK_KEL,MATCH(D364,AK_NAMA,0)),"?"))</f>
        <v>ASET</v>
      </c>
      <c r="Q364" s="102" t="n">
        <f aca="false">N(Q363)+IF(AND(N(E364)&lt;&gt;0,K364=TAHUN,N(J364)&lt;=BLN,OR(C364=BB_AKUN,D364=BB_AKUN)),1,0)</f>
        <v>234</v>
      </c>
      <c r="R364" s="104" t="str">
        <f aca="false">IF(OR(C364&amp;D364="",N(E364)=0),"",IF(OR(O364="?",P364="?"),"⚠ akun tidak dikenal",IF(C364=D364,"⚠ debet = kredit","")))</f>
        <v/>
      </c>
    </row>
    <row r="365" customFormat="false" ht="15" hidden="false" customHeight="false" outlineLevel="0" collapsed="false">
      <c r="A365" s="82" t="s">
        <v>1097</v>
      </c>
      <c r="B365" s="101" t="n">
        <v>46099</v>
      </c>
      <c r="C365" s="82" t="s">
        <v>486</v>
      </c>
      <c r="D365" s="82" t="s">
        <v>475</v>
      </c>
      <c r="E365" s="91" t="n">
        <v>5000000</v>
      </c>
      <c r="F365" s="82" t="s">
        <v>622</v>
      </c>
      <c r="G365" s="82"/>
      <c r="H365" s="82"/>
      <c r="I365" s="82" t="s">
        <v>250</v>
      </c>
      <c r="J365" s="102" t="n">
        <f aca="false">IF(B365="","",MONTH(B365))</f>
        <v>3</v>
      </c>
      <c r="K365" s="102" t="n">
        <f aca="false">IF(B365="","",YEAR(B365))</f>
        <v>2026</v>
      </c>
      <c r="L365" s="102" t="str">
        <f aca="false">IF(N(E365)=0,"",IF(COUNTIFS(AK_NAMA,C365,AK_KAT,"KAS")+COUNTIFS(AK_NAMA,D365,AK_KAT,"KAS")&lt;&gt;1,"",IF(COUNTIFS(AK_NAMA,C365,AK_KAT,"KAS")=1,D365,C365)))</f>
        <v/>
      </c>
      <c r="M365" s="103" t="n">
        <f aca="false">IF(L365="",0,IF(L365=D365,E365,-E365))</f>
        <v>0</v>
      </c>
      <c r="N365" s="102" t="str">
        <f aca="false">IF(L365="","",IFERROR(INDEX(AK_BARIS,MATCH(L365,AK_NAMA,0)),"?"))</f>
        <v/>
      </c>
      <c r="O365" s="102" t="str">
        <f aca="false">IF(C365="","",IFERROR(INDEX(AK_KEL,MATCH(C365,AK_NAMA,0)),"?"))</f>
        <v>ASET</v>
      </c>
      <c r="P365" s="102" t="str">
        <f aca="false">IF(D365="","",IFERROR(INDEX(AK_KEL,MATCH(D365,AK_NAMA,0)),"?"))</f>
        <v>ASET</v>
      </c>
      <c r="Q365" s="102" t="n">
        <f aca="false">N(Q364)+IF(AND(N(E365)&lt;&gt;0,K365=TAHUN,N(J365)&lt;=BLN,OR(C365=BB_AKUN,D365=BB_AKUN)),1,0)</f>
        <v>234</v>
      </c>
      <c r="R365" s="104" t="str">
        <f aca="false">IF(OR(C365&amp;D365="",N(E365)=0),"",IF(OR(O365="?",P365="?"),"⚠ akun tidak dikenal",IF(C365=D365,"⚠ debet = kredit","")))</f>
        <v/>
      </c>
    </row>
    <row r="366" customFormat="false" ht="15" hidden="false" customHeight="false" outlineLevel="0" collapsed="false">
      <c r="A366" s="82" t="s">
        <v>1098</v>
      </c>
      <c r="B366" s="101" t="n">
        <v>46099</v>
      </c>
      <c r="C366" s="82" t="s">
        <v>470</v>
      </c>
      <c r="D366" s="82" t="s">
        <v>461</v>
      </c>
      <c r="E366" s="91" t="n">
        <v>105000</v>
      </c>
      <c r="F366" s="82" t="s">
        <v>1099</v>
      </c>
      <c r="G366" s="82"/>
      <c r="H366" s="82"/>
      <c r="I366" s="82" t="s">
        <v>250</v>
      </c>
      <c r="J366" s="102" t="n">
        <f aca="false">IF(B366="","",MONTH(B366))</f>
        <v>3</v>
      </c>
      <c r="K366" s="102" t="n">
        <f aca="false">IF(B366="","",YEAR(B366))</f>
        <v>2026</v>
      </c>
      <c r="L366" s="102" t="str">
        <f aca="false">IF(N(E366)=0,"",IF(COUNTIFS(AK_NAMA,C366,AK_KAT,"KAS")+COUNTIFS(AK_NAMA,D366,AK_KAT,"KAS")&lt;&gt;1,"",IF(COUNTIFS(AK_NAMA,C366,AK_KAT,"KAS")=1,D366,C366)))</f>
        <v>Biaya Bahan Baku</v>
      </c>
      <c r="M366" s="103" t="n">
        <f aca="false">IF(L366="",0,IF(L366=D366,E366,-E366))</f>
        <v>-105000</v>
      </c>
      <c r="N366" s="102" t="str">
        <f aca="false">IF(L366="","",IFERROR(INDEX(AK_BARIS,MATCH(L366,AK_NAMA,0)),"?"))</f>
        <v>OP3</v>
      </c>
      <c r="O366" s="102" t="str">
        <f aca="false">IF(C366="","",IFERROR(INDEX(AK_KEL,MATCH(C366,AK_NAMA,0)),"?"))</f>
        <v>BEBAN</v>
      </c>
      <c r="P366" s="102" t="str">
        <f aca="false">IF(D366="","",IFERROR(INDEX(AK_KEL,MATCH(D366,AK_NAMA,0)),"?"))</f>
        <v>ASET</v>
      </c>
      <c r="Q366" s="102" t="n">
        <f aca="false">N(Q365)+IF(AND(N(E366)&lt;&gt;0,K366=TAHUN,N(J366)&lt;=BLN,OR(C366=BB_AKUN,D366=BB_AKUN)),1,0)</f>
        <v>235</v>
      </c>
      <c r="R366" s="104" t="str">
        <f aca="false">IF(OR(C366&amp;D366="",N(E366)=0),"",IF(OR(O366="?",P366="?"),"⚠ akun tidak dikenal",IF(C366=D366,"⚠ debet = kredit","")))</f>
        <v/>
      </c>
    </row>
    <row r="367" customFormat="false" ht="15" hidden="false" customHeight="false" outlineLevel="0" collapsed="false">
      <c r="A367" s="82" t="s">
        <v>1100</v>
      </c>
      <c r="B367" s="101" t="n">
        <v>46099</v>
      </c>
      <c r="C367" s="82" t="s">
        <v>470</v>
      </c>
      <c r="D367" s="82" t="s">
        <v>461</v>
      </c>
      <c r="E367" s="91" t="n">
        <v>100000</v>
      </c>
      <c r="F367" s="82" t="s">
        <v>1101</v>
      </c>
      <c r="G367" s="82"/>
      <c r="H367" s="82"/>
      <c r="I367" s="82" t="s">
        <v>250</v>
      </c>
      <c r="J367" s="102" t="n">
        <f aca="false">IF(B367="","",MONTH(B367))</f>
        <v>3</v>
      </c>
      <c r="K367" s="102" t="n">
        <f aca="false">IF(B367="","",YEAR(B367))</f>
        <v>2026</v>
      </c>
      <c r="L367" s="102" t="str">
        <f aca="false">IF(N(E367)=0,"",IF(COUNTIFS(AK_NAMA,C367,AK_KAT,"KAS")+COUNTIFS(AK_NAMA,D367,AK_KAT,"KAS")&lt;&gt;1,"",IF(COUNTIFS(AK_NAMA,C367,AK_KAT,"KAS")=1,D367,C367)))</f>
        <v>Biaya Bahan Baku</v>
      </c>
      <c r="M367" s="103" t="n">
        <f aca="false">IF(L367="",0,IF(L367=D367,E367,-E367))</f>
        <v>-100000</v>
      </c>
      <c r="N367" s="102" t="str">
        <f aca="false">IF(L367="","",IFERROR(INDEX(AK_BARIS,MATCH(L367,AK_NAMA,0)),"?"))</f>
        <v>OP3</v>
      </c>
      <c r="O367" s="102" t="str">
        <f aca="false">IF(C367="","",IFERROR(INDEX(AK_KEL,MATCH(C367,AK_NAMA,0)),"?"))</f>
        <v>BEBAN</v>
      </c>
      <c r="P367" s="102" t="str">
        <f aca="false">IF(D367="","",IFERROR(INDEX(AK_KEL,MATCH(D367,AK_NAMA,0)),"?"))</f>
        <v>ASET</v>
      </c>
      <c r="Q367" s="102" t="n">
        <f aca="false">N(Q366)+IF(AND(N(E367)&lt;&gt;0,K367=TAHUN,N(J367)&lt;=BLN,OR(C367=BB_AKUN,D367=BB_AKUN)),1,0)</f>
        <v>236</v>
      </c>
      <c r="R367" s="104" t="str">
        <f aca="false">IF(OR(C367&amp;D367="",N(E367)=0),"",IF(OR(O367="?",P367="?"),"⚠ akun tidak dikenal",IF(C367=D367,"⚠ debet = kredit","")))</f>
        <v/>
      </c>
    </row>
    <row r="368" customFormat="false" ht="15" hidden="false" customHeight="false" outlineLevel="0" collapsed="false">
      <c r="A368" s="82" t="s">
        <v>1102</v>
      </c>
      <c r="B368" s="101" t="n">
        <v>46099</v>
      </c>
      <c r="C368" s="82" t="s">
        <v>470</v>
      </c>
      <c r="D368" s="82" t="s">
        <v>461</v>
      </c>
      <c r="E368" s="91" t="n">
        <v>500000</v>
      </c>
      <c r="F368" s="82" t="s">
        <v>1103</v>
      </c>
      <c r="G368" s="82"/>
      <c r="H368" s="82"/>
      <c r="I368" s="82" t="s">
        <v>250</v>
      </c>
      <c r="J368" s="102" t="n">
        <f aca="false">IF(B368="","",MONTH(B368))</f>
        <v>3</v>
      </c>
      <c r="K368" s="102" t="n">
        <f aca="false">IF(B368="","",YEAR(B368))</f>
        <v>2026</v>
      </c>
      <c r="L368" s="102" t="str">
        <f aca="false">IF(N(E368)=0,"",IF(COUNTIFS(AK_NAMA,C368,AK_KAT,"KAS")+COUNTIFS(AK_NAMA,D368,AK_KAT,"KAS")&lt;&gt;1,"",IF(COUNTIFS(AK_NAMA,C368,AK_KAT,"KAS")=1,D368,C368)))</f>
        <v>Biaya Bahan Baku</v>
      </c>
      <c r="M368" s="103" t="n">
        <f aca="false">IF(L368="",0,IF(L368=D368,E368,-E368))</f>
        <v>-500000</v>
      </c>
      <c r="N368" s="102" t="str">
        <f aca="false">IF(L368="","",IFERROR(INDEX(AK_BARIS,MATCH(L368,AK_NAMA,0)),"?"))</f>
        <v>OP3</v>
      </c>
      <c r="O368" s="102" t="str">
        <f aca="false">IF(C368="","",IFERROR(INDEX(AK_KEL,MATCH(C368,AK_NAMA,0)),"?"))</f>
        <v>BEBAN</v>
      </c>
      <c r="P368" s="102" t="str">
        <f aca="false">IF(D368="","",IFERROR(INDEX(AK_KEL,MATCH(D368,AK_NAMA,0)),"?"))</f>
        <v>ASET</v>
      </c>
      <c r="Q368" s="102" t="n">
        <f aca="false">N(Q367)+IF(AND(N(E368)&lt;&gt;0,K368=TAHUN,N(J368)&lt;=BLN,OR(C368=BB_AKUN,D368=BB_AKUN)),1,0)</f>
        <v>237</v>
      </c>
      <c r="R368" s="104" t="str">
        <f aca="false">IF(OR(C368&amp;D368="",N(E368)=0),"",IF(OR(O368="?",P368="?"),"⚠ akun tidak dikenal",IF(C368=D368,"⚠ debet = kredit","")))</f>
        <v/>
      </c>
    </row>
    <row r="369" customFormat="false" ht="15" hidden="false" customHeight="false" outlineLevel="0" collapsed="false">
      <c r="A369" s="82" t="s">
        <v>1104</v>
      </c>
      <c r="B369" s="101" t="n">
        <v>46099</v>
      </c>
      <c r="C369" s="82" t="s">
        <v>455</v>
      </c>
      <c r="D369" s="82" t="s">
        <v>461</v>
      </c>
      <c r="E369" s="91" t="n">
        <v>180000</v>
      </c>
      <c r="F369" s="82" t="s">
        <v>1105</v>
      </c>
      <c r="G369" s="82"/>
      <c r="H369" s="82"/>
      <c r="I369" s="82" t="s">
        <v>250</v>
      </c>
      <c r="J369" s="102" t="n">
        <f aca="false">IF(B369="","",MONTH(B369))</f>
        <v>3</v>
      </c>
      <c r="K369" s="102" t="n">
        <f aca="false">IF(B369="","",YEAR(B369))</f>
        <v>2026</v>
      </c>
      <c r="L369" s="102" t="str">
        <f aca="false">IF(N(E369)=0,"",IF(COUNTIFS(AK_NAMA,C369,AK_KAT,"KAS")+COUNTIFS(AK_NAMA,D369,AK_KAT,"KAS")&lt;&gt;1,"",IF(COUNTIFS(AK_NAMA,C369,AK_KAT,"KAS")=1,D369,C369)))</f>
        <v>Biaya Pemeliharaan</v>
      </c>
      <c r="M369" s="103" t="n">
        <f aca="false">IF(L369="",0,IF(L369=D369,E369,-E369))</f>
        <v>-180000</v>
      </c>
      <c r="N369" s="102" t="str">
        <f aca="false">IF(L369="","",IFERROR(INDEX(AK_BARIS,MATCH(L369,AK_NAMA,0)),"?"))</f>
        <v>OP6</v>
      </c>
      <c r="O369" s="102" t="str">
        <f aca="false">IF(C369="","",IFERROR(INDEX(AK_KEL,MATCH(C369,AK_NAMA,0)),"?"))</f>
        <v>BEBAN</v>
      </c>
      <c r="P369" s="102" t="str">
        <f aca="false">IF(D369="","",IFERROR(INDEX(AK_KEL,MATCH(D369,AK_NAMA,0)),"?"))</f>
        <v>ASET</v>
      </c>
      <c r="Q369" s="102" t="n">
        <f aca="false">N(Q368)+IF(AND(N(E369)&lt;&gt;0,K369=TAHUN,N(J369)&lt;=BLN,OR(C369=BB_AKUN,D369=BB_AKUN)),1,0)</f>
        <v>238</v>
      </c>
      <c r="R369" s="104" t="str">
        <f aca="false">IF(OR(C369&amp;D369="",N(E369)=0),"",IF(OR(O369="?",P369="?"),"⚠ akun tidak dikenal",IF(C369=D369,"⚠ debet = kredit","")))</f>
        <v/>
      </c>
    </row>
    <row r="370" customFormat="false" ht="15" hidden="false" customHeight="false" outlineLevel="0" collapsed="false">
      <c r="A370" s="82" t="s">
        <v>1106</v>
      </c>
      <c r="B370" s="101" t="n">
        <v>46100</v>
      </c>
      <c r="C370" s="82" t="s">
        <v>470</v>
      </c>
      <c r="D370" s="82" t="s">
        <v>461</v>
      </c>
      <c r="E370" s="91" t="n">
        <v>1873000</v>
      </c>
      <c r="F370" s="82" t="s">
        <v>1107</v>
      </c>
      <c r="G370" s="82"/>
      <c r="H370" s="82"/>
      <c r="I370" s="82" t="s">
        <v>250</v>
      </c>
      <c r="J370" s="102" t="n">
        <f aca="false">IF(B370="","",MONTH(B370))</f>
        <v>3</v>
      </c>
      <c r="K370" s="102" t="n">
        <f aca="false">IF(B370="","",YEAR(B370))</f>
        <v>2026</v>
      </c>
      <c r="L370" s="102" t="str">
        <f aca="false">IF(N(E370)=0,"",IF(COUNTIFS(AK_NAMA,C370,AK_KAT,"KAS")+COUNTIFS(AK_NAMA,D370,AK_KAT,"KAS")&lt;&gt;1,"",IF(COUNTIFS(AK_NAMA,C370,AK_KAT,"KAS")=1,D370,C370)))</f>
        <v>Biaya Bahan Baku</v>
      </c>
      <c r="M370" s="103" t="n">
        <f aca="false">IF(L370="",0,IF(L370=D370,E370,-E370))</f>
        <v>-1873000</v>
      </c>
      <c r="N370" s="102" t="str">
        <f aca="false">IF(L370="","",IFERROR(INDEX(AK_BARIS,MATCH(L370,AK_NAMA,0)),"?"))</f>
        <v>OP3</v>
      </c>
      <c r="O370" s="102" t="str">
        <f aca="false">IF(C370="","",IFERROR(INDEX(AK_KEL,MATCH(C370,AK_NAMA,0)),"?"))</f>
        <v>BEBAN</v>
      </c>
      <c r="P370" s="102" t="str">
        <f aca="false">IF(D370="","",IFERROR(INDEX(AK_KEL,MATCH(D370,AK_NAMA,0)),"?"))</f>
        <v>ASET</v>
      </c>
      <c r="Q370" s="102" t="n">
        <f aca="false">N(Q369)+IF(AND(N(E370)&lt;&gt;0,K370=TAHUN,N(J370)&lt;=BLN,OR(C370=BB_AKUN,D370=BB_AKUN)),1,0)</f>
        <v>239</v>
      </c>
      <c r="R370" s="104" t="str">
        <f aca="false">IF(OR(C370&amp;D370="",N(E370)=0),"",IF(OR(O370="?",P370="?"),"⚠ akun tidak dikenal",IF(C370=D370,"⚠ debet = kredit","")))</f>
        <v/>
      </c>
    </row>
    <row r="371" customFormat="false" ht="15" hidden="false" customHeight="false" outlineLevel="0" collapsed="false">
      <c r="A371" s="82" t="s">
        <v>1108</v>
      </c>
      <c r="B371" s="101" t="n">
        <v>46100</v>
      </c>
      <c r="C371" s="82" t="s">
        <v>485</v>
      </c>
      <c r="D371" s="82" t="s">
        <v>461</v>
      </c>
      <c r="E371" s="91" t="n">
        <v>304000</v>
      </c>
      <c r="F371" s="82" t="s">
        <v>1109</v>
      </c>
      <c r="G371" s="82"/>
      <c r="H371" s="82"/>
      <c r="I371" s="82" t="s">
        <v>250</v>
      </c>
      <c r="J371" s="102" t="n">
        <f aca="false">IF(B371="","",MONTH(B371))</f>
        <v>3</v>
      </c>
      <c r="K371" s="102" t="n">
        <f aca="false">IF(B371="","",YEAR(B371))</f>
        <v>2026</v>
      </c>
      <c r="L371" s="102" t="str">
        <f aca="false">IF(N(E371)=0,"",IF(COUNTIFS(AK_NAMA,C371,AK_KAT,"KAS")+COUNTIFS(AK_NAMA,D371,AK_KAT,"KAS")&lt;&gt;1,"",IF(COUNTIFS(AK_NAMA,C371,AK_KAT,"KAS")=1,D371,C371)))</f>
        <v>Biaya Operasional Harian</v>
      </c>
      <c r="M371" s="103" t="n">
        <f aca="false">IF(L371="",0,IF(L371=D371,E371,-E371))</f>
        <v>-304000</v>
      </c>
      <c r="N371" s="102" t="str">
        <f aca="false">IF(L371="","",IFERROR(INDEX(AK_BARIS,MATCH(L371,AK_NAMA,0)),"?"))</f>
        <v>OP6</v>
      </c>
      <c r="O371" s="102" t="str">
        <f aca="false">IF(C371="","",IFERROR(INDEX(AK_KEL,MATCH(C371,AK_NAMA,0)),"?"))</f>
        <v>BEBAN</v>
      </c>
      <c r="P371" s="102" t="str">
        <f aca="false">IF(D371="","",IFERROR(INDEX(AK_KEL,MATCH(D371,AK_NAMA,0)),"?"))</f>
        <v>ASET</v>
      </c>
      <c r="Q371" s="102" t="n">
        <f aca="false">N(Q370)+IF(AND(N(E371)&lt;&gt;0,K371=TAHUN,N(J371)&lt;=BLN,OR(C371=BB_AKUN,D371=BB_AKUN)),1,0)</f>
        <v>240</v>
      </c>
      <c r="R371" s="104" t="str">
        <f aca="false">IF(OR(C371&amp;D371="",N(E371)=0),"",IF(OR(O371="?",P371="?"),"⚠ akun tidak dikenal",IF(C371=D371,"⚠ debet = kredit","")))</f>
        <v/>
      </c>
    </row>
    <row r="372" customFormat="false" ht="15" hidden="false" customHeight="false" outlineLevel="0" collapsed="false">
      <c r="A372" s="82" t="s">
        <v>1110</v>
      </c>
      <c r="B372" s="101" t="n">
        <v>46100</v>
      </c>
      <c r="C372" s="82" t="s">
        <v>576</v>
      </c>
      <c r="D372" s="82" t="s">
        <v>475</v>
      </c>
      <c r="E372" s="91" t="n">
        <v>6175000</v>
      </c>
      <c r="F372" s="82" t="s">
        <v>1111</v>
      </c>
      <c r="G372" s="82"/>
      <c r="H372" s="82"/>
      <c r="I372" s="82" t="s">
        <v>250</v>
      </c>
      <c r="J372" s="102" t="n">
        <f aca="false">IF(B372="","",MONTH(B372))</f>
        <v>3</v>
      </c>
      <c r="K372" s="102" t="n">
        <f aca="false">IF(B372="","",YEAR(B372))</f>
        <v>2026</v>
      </c>
      <c r="L372" s="102" t="str">
        <f aca="false">IF(N(E372)=0,"",IF(COUNTIFS(AK_NAMA,C372,AK_KAT,"KAS")+COUNTIFS(AK_NAMA,D372,AK_KAT,"KAS")&lt;&gt;1,"",IF(COUNTIFS(AK_NAMA,C372,AK_KAT,"KAS")=1,D372,C372)))</f>
        <v>Beban Gaji</v>
      </c>
      <c r="M372" s="103" t="n">
        <f aca="false">IF(L372="",0,IF(L372=D372,E372,-E372))</f>
        <v>-6175000</v>
      </c>
      <c r="N372" s="102" t="str">
        <f aca="false">IF(L372="","",IFERROR(INDEX(AK_BARIS,MATCH(L372,AK_NAMA,0)),"?"))</f>
        <v>OP4</v>
      </c>
      <c r="O372" s="102" t="str">
        <f aca="false">IF(C372="","",IFERROR(INDEX(AK_KEL,MATCH(C372,AK_NAMA,0)),"?"))</f>
        <v>BEBAN</v>
      </c>
      <c r="P372" s="102" t="str">
        <f aca="false">IF(D372="","",IFERROR(INDEX(AK_KEL,MATCH(D372,AK_NAMA,0)),"?"))</f>
        <v>ASET</v>
      </c>
      <c r="Q372" s="102" t="n">
        <f aca="false">N(Q371)+IF(AND(N(E372)&lt;&gt;0,K372=TAHUN,N(J372)&lt;=BLN,OR(C372=BB_AKUN,D372=BB_AKUN)),1,0)</f>
        <v>240</v>
      </c>
      <c r="R372" s="104" t="str">
        <f aca="false">IF(OR(C372&amp;D372="",N(E372)=0),"",IF(OR(O372="?",P372="?"),"⚠ akun tidak dikenal",IF(C372=D372,"⚠ debet = kredit","")))</f>
        <v/>
      </c>
    </row>
    <row r="373" customFormat="false" ht="15" hidden="false" customHeight="false" outlineLevel="0" collapsed="false">
      <c r="A373" s="82" t="s">
        <v>1112</v>
      </c>
      <c r="B373" s="101" t="n">
        <v>46100</v>
      </c>
      <c r="C373" s="82" t="s">
        <v>576</v>
      </c>
      <c r="D373" s="82" t="s">
        <v>461</v>
      </c>
      <c r="E373" s="91" t="n">
        <v>9800000</v>
      </c>
      <c r="F373" s="82" t="s">
        <v>1113</v>
      </c>
      <c r="G373" s="82"/>
      <c r="H373" s="82"/>
      <c r="I373" s="82" t="s">
        <v>250</v>
      </c>
      <c r="J373" s="102" t="n">
        <f aca="false">IF(B373="","",MONTH(B373))</f>
        <v>3</v>
      </c>
      <c r="K373" s="102" t="n">
        <f aca="false">IF(B373="","",YEAR(B373))</f>
        <v>2026</v>
      </c>
      <c r="L373" s="102" t="str">
        <f aca="false">IF(N(E373)=0,"",IF(COUNTIFS(AK_NAMA,C373,AK_KAT,"KAS")+COUNTIFS(AK_NAMA,D373,AK_KAT,"KAS")&lt;&gt;1,"",IF(COUNTIFS(AK_NAMA,C373,AK_KAT,"KAS")=1,D373,C373)))</f>
        <v>Beban Gaji</v>
      </c>
      <c r="M373" s="103" t="n">
        <f aca="false">IF(L373="",0,IF(L373=D373,E373,-E373))</f>
        <v>-9800000</v>
      </c>
      <c r="N373" s="102" t="str">
        <f aca="false">IF(L373="","",IFERROR(INDEX(AK_BARIS,MATCH(L373,AK_NAMA,0)),"?"))</f>
        <v>OP4</v>
      </c>
      <c r="O373" s="102" t="str">
        <f aca="false">IF(C373="","",IFERROR(INDEX(AK_KEL,MATCH(C373,AK_NAMA,0)),"?"))</f>
        <v>BEBAN</v>
      </c>
      <c r="P373" s="102" t="str">
        <f aca="false">IF(D373="","",IFERROR(INDEX(AK_KEL,MATCH(D373,AK_NAMA,0)),"?"))</f>
        <v>ASET</v>
      </c>
      <c r="Q373" s="102" t="n">
        <f aca="false">N(Q372)+IF(AND(N(E373)&lt;&gt;0,K373=TAHUN,N(J373)&lt;=BLN,OR(C373=BB_AKUN,D373=BB_AKUN)),1,0)</f>
        <v>241</v>
      </c>
      <c r="R373" s="104" t="str">
        <f aca="false">IF(OR(C373&amp;D373="",N(E373)=0),"",IF(OR(O373="?",P373="?"),"⚠ akun tidak dikenal",IF(C373=D373,"⚠ debet = kredit","")))</f>
        <v/>
      </c>
    </row>
    <row r="374" customFormat="false" ht="15" hidden="false" customHeight="false" outlineLevel="0" collapsed="false">
      <c r="A374" s="82" t="s">
        <v>1114</v>
      </c>
      <c r="B374" s="101" t="n">
        <v>46100</v>
      </c>
      <c r="C374" s="82" t="s">
        <v>524</v>
      </c>
      <c r="D374" s="82" t="s">
        <v>461</v>
      </c>
      <c r="E374" s="91" t="n">
        <v>4663</v>
      </c>
      <c r="F374" s="82" t="s">
        <v>525</v>
      </c>
      <c r="G374" s="82"/>
      <c r="H374" s="82"/>
      <c r="I374" s="82" t="s">
        <v>250</v>
      </c>
      <c r="J374" s="102" t="n">
        <f aca="false">IF(B374="","",MONTH(B374))</f>
        <v>3</v>
      </c>
      <c r="K374" s="102" t="n">
        <f aca="false">IF(B374="","",YEAR(B374))</f>
        <v>2026</v>
      </c>
      <c r="L374" s="102" t="str">
        <f aca="false">IF(N(E374)=0,"",IF(COUNTIFS(AK_NAMA,C374,AK_KAT,"KAS")+COUNTIFS(AK_NAMA,D374,AK_KAT,"KAS")&lt;&gt;1,"",IF(COUNTIFS(AK_NAMA,C374,AK_KAT,"KAS")=1,D374,C374)))</f>
        <v>Biaya Lainnya</v>
      </c>
      <c r="M374" s="103" t="n">
        <f aca="false">IF(L374="",0,IF(L374=D374,E374,-E374))</f>
        <v>-4663</v>
      </c>
      <c r="N374" s="102" t="str">
        <f aca="false">IF(L374="","",IFERROR(INDEX(AK_BARIS,MATCH(L374,AK_NAMA,0)),"?"))</f>
        <v>OP2</v>
      </c>
      <c r="O374" s="102" t="str">
        <f aca="false">IF(C374="","",IFERROR(INDEX(AK_KEL,MATCH(C374,AK_NAMA,0)),"?"))</f>
        <v>BEBAN</v>
      </c>
      <c r="P374" s="102" t="str">
        <f aca="false">IF(D374="","",IFERROR(INDEX(AK_KEL,MATCH(D374,AK_NAMA,0)),"?"))</f>
        <v>ASET</v>
      </c>
      <c r="Q374" s="102" t="n">
        <f aca="false">N(Q373)+IF(AND(N(E374)&lt;&gt;0,K374=TAHUN,N(J374)&lt;=BLN,OR(C374=BB_AKUN,D374=BB_AKUN)),1,0)</f>
        <v>242</v>
      </c>
      <c r="R374" s="104" t="str">
        <f aca="false">IF(OR(C374&amp;D374="",N(E374)=0),"",IF(OR(O374="?",P374="?"),"⚠ akun tidak dikenal",IF(C374=D374,"⚠ debet = kredit","")))</f>
        <v/>
      </c>
    </row>
    <row r="375" customFormat="false" ht="15" hidden="false" customHeight="false" outlineLevel="0" collapsed="false">
      <c r="A375" s="82" t="s">
        <v>1115</v>
      </c>
      <c r="B375" s="101" t="n">
        <v>46100</v>
      </c>
      <c r="C375" s="82" t="s">
        <v>485</v>
      </c>
      <c r="D375" s="82" t="s">
        <v>475</v>
      </c>
      <c r="E375" s="91" t="n">
        <v>27000</v>
      </c>
      <c r="F375" s="82" t="s">
        <v>1116</v>
      </c>
      <c r="G375" s="82"/>
      <c r="H375" s="82"/>
      <c r="I375" s="82" t="s">
        <v>250</v>
      </c>
      <c r="J375" s="102" t="n">
        <f aca="false">IF(B375="","",MONTH(B375))</f>
        <v>3</v>
      </c>
      <c r="K375" s="102" t="n">
        <f aca="false">IF(B375="","",YEAR(B375))</f>
        <v>2026</v>
      </c>
      <c r="L375" s="102" t="str">
        <f aca="false">IF(N(E375)=0,"",IF(COUNTIFS(AK_NAMA,C375,AK_KAT,"KAS")+COUNTIFS(AK_NAMA,D375,AK_KAT,"KAS")&lt;&gt;1,"",IF(COUNTIFS(AK_NAMA,C375,AK_KAT,"KAS")=1,D375,C375)))</f>
        <v>Biaya Operasional Harian</v>
      </c>
      <c r="M375" s="103" t="n">
        <f aca="false">IF(L375="",0,IF(L375=D375,E375,-E375))</f>
        <v>-27000</v>
      </c>
      <c r="N375" s="102" t="str">
        <f aca="false">IF(L375="","",IFERROR(INDEX(AK_BARIS,MATCH(L375,AK_NAMA,0)),"?"))</f>
        <v>OP6</v>
      </c>
      <c r="O375" s="102" t="str">
        <f aca="false">IF(C375="","",IFERROR(INDEX(AK_KEL,MATCH(C375,AK_NAMA,0)),"?"))</f>
        <v>BEBAN</v>
      </c>
      <c r="P375" s="102" t="str">
        <f aca="false">IF(D375="","",IFERROR(INDEX(AK_KEL,MATCH(D375,AK_NAMA,0)),"?"))</f>
        <v>ASET</v>
      </c>
      <c r="Q375" s="102" t="n">
        <f aca="false">N(Q374)+IF(AND(N(E375)&lt;&gt;0,K375=TAHUN,N(J375)&lt;=BLN,OR(C375=BB_AKUN,D375=BB_AKUN)),1,0)</f>
        <v>242</v>
      </c>
      <c r="R375" s="104" t="str">
        <f aca="false">IF(OR(C375&amp;D375="",N(E375)=0),"",IF(OR(O375="?",P375="?"),"⚠ akun tidak dikenal",IF(C375=D375,"⚠ debet = kredit","")))</f>
        <v/>
      </c>
    </row>
    <row r="376" customFormat="false" ht="15" hidden="false" customHeight="false" outlineLevel="0" collapsed="false">
      <c r="A376" s="82" t="s">
        <v>1117</v>
      </c>
      <c r="B376" s="101" t="n">
        <v>46101</v>
      </c>
      <c r="C376" s="82" t="s">
        <v>524</v>
      </c>
      <c r="D376" s="82" t="s">
        <v>461</v>
      </c>
      <c r="E376" s="91" t="n">
        <v>10000</v>
      </c>
      <c r="F376" s="82" t="s">
        <v>1118</v>
      </c>
      <c r="G376" s="82"/>
      <c r="H376" s="82"/>
      <c r="I376" s="82" t="s">
        <v>250</v>
      </c>
      <c r="J376" s="102" t="n">
        <f aca="false">IF(B376="","",MONTH(B376))</f>
        <v>3</v>
      </c>
      <c r="K376" s="102" t="n">
        <f aca="false">IF(B376="","",YEAR(B376))</f>
        <v>2026</v>
      </c>
      <c r="L376" s="102" t="str">
        <f aca="false">IF(N(E376)=0,"",IF(COUNTIFS(AK_NAMA,C376,AK_KAT,"KAS")+COUNTIFS(AK_NAMA,D376,AK_KAT,"KAS")&lt;&gt;1,"",IF(COUNTIFS(AK_NAMA,C376,AK_KAT,"KAS")=1,D376,C376)))</f>
        <v>Biaya Lainnya</v>
      </c>
      <c r="M376" s="103" t="n">
        <f aca="false">IF(L376="",0,IF(L376=D376,E376,-E376))</f>
        <v>-10000</v>
      </c>
      <c r="N376" s="102" t="str">
        <f aca="false">IF(L376="","",IFERROR(INDEX(AK_BARIS,MATCH(L376,AK_NAMA,0)),"?"))</f>
        <v>OP2</v>
      </c>
      <c r="O376" s="102" t="str">
        <f aca="false">IF(C376="","",IFERROR(INDEX(AK_KEL,MATCH(C376,AK_NAMA,0)),"?"))</f>
        <v>BEBAN</v>
      </c>
      <c r="P376" s="102" t="str">
        <f aca="false">IF(D376="","",IFERROR(INDEX(AK_KEL,MATCH(D376,AK_NAMA,0)),"?"))</f>
        <v>ASET</v>
      </c>
      <c r="Q376" s="102" t="n">
        <f aca="false">N(Q375)+IF(AND(N(E376)&lt;&gt;0,K376=TAHUN,N(J376)&lt;=BLN,OR(C376=BB_AKUN,D376=BB_AKUN)),1,0)</f>
        <v>243</v>
      </c>
      <c r="R376" s="104" t="str">
        <f aca="false">IF(OR(C376&amp;D376="",N(E376)=0),"",IF(OR(O376="?",P376="?"),"⚠ akun tidak dikenal",IF(C376=D376,"⚠ debet = kredit","")))</f>
        <v/>
      </c>
    </row>
    <row r="377" customFormat="false" ht="15" hidden="false" customHeight="false" outlineLevel="0" collapsed="false">
      <c r="A377" s="82" t="s">
        <v>1119</v>
      </c>
      <c r="B377" s="101" t="n">
        <v>46104</v>
      </c>
      <c r="C377" s="82" t="s">
        <v>461</v>
      </c>
      <c r="D377" s="82" t="s">
        <v>475</v>
      </c>
      <c r="E377" s="91" t="n">
        <v>23000</v>
      </c>
      <c r="F377" s="82" t="s">
        <v>560</v>
      </c>
      <c r="G377" s="82"/>
      <c r="H377" s="82"/>
      <c r="I377" s="82" t="s">
        <v>250</v>
      </c>
      <c r="J377" s="102" t="n">
        <f aca="false">IF(B377="","",MONTH(B377))</f>
        <v>3</v>
      </c>
      <c r="K377" s="102" t="n">
        <f aca="false">IF(B377="","",YEAR(B377))</f>
        <v>2026</v>
      </c>
      <c r="L377" s="102" t="str">
        <f aca="false">IF(N(E377)=0,"",IF(COUNTIFS(AK_NAMA,C377,AK_KAT,"KAS")+COUNTIFS(AK_NAMA,D377,AK_KAT,"KAS")&lt;&gt;1,"",IF(COUNTIFS(AK_NAMA,C377,AK_KAT,"KAS")=1,D377,C377)))</f>
        <v/>
      </c>
      <c r="M377" s="103" t="n">
        <f aca="false">IF(L377="",0,IF(L377=D377,E377,-E377))</f>
        <v>0</v>
      </c>
      <c r="N377" s="102" t="str">
        <f aca="false">IF(L377="","",IFERROR(INDEX(AK_BARIS,MATCH(L377,AK_NAMA,0)),"?"))</f>
        <v/>
      </c>
      <c r="O377" s="102" t="str">
        <f aca="false">IF(C377="","",IFERROR(INDEX(AK_KEL,MATCH(C377,AK_NAMA,0)),"?"))</f>
        <v>ASET</v>
      </c>
      <c r="P377" s="102" t="str">
        <f aca="false">IF(D377="","",IFERROR(INDEX(AK_KEL,MATCH(D377,AK_NAMA,0)),"?"))</f>
        <v>ASET</v>
      </c>
      <c r="Q377" s="102" t="n">
        <f aca="false">N(Q376)+IF(AND(N(E377)&lt;&gt;0,K377=TAHUN,N(J377)&lt;=BLN,OR(C377=BB_AKUN,D377=BB_AKUN)),1,0)</f>
        <v>244</v>
      </c>
      <c r="R377" s="104" t="str">
        <f aca="false">IF(OR(C377&amp;D377="",N(E377)=0),"",IF(OR(O377="?",P377="?"),"⚠ akun tidak dikenal",IF(C377=D377,"⚠ debet = kredit","")))</f>
        <v/>
      </c>
    </row>
    <row r="378" customFormat="false" ht="15" hidden="false" customHeight="false" outlineLevel="0" collapsed="false">
      <c r="A378" s="82" t="s">
        <v>1120</v>
      </c>
      <c r="B378" s="101" t="n">
        <v>46104</v>
      </c>
      <c r="C378" s="82" t="s">
        <v>669</v>
      </c>
      <c r="D378" s="82" t="s">
        <v>461</v>
      </c>
      <c r="E378" s="91" t="n">
        <v>287490</v>
      </c>
      <c r="F378" s="82" t="s">
        <v>670</v>
      </c>
      <c r="G378" s="82"/>
      <c r="H378" s="82"/>
      <c r="I378" s="82" t="s">
        <v>250</v>
      </c>
      <c r="J378" s="102" t="n">
        <f aca="false">IF(B378="","",MONTH(B378))</f>
        <v>3</v>
      </c>
      <c r="K378" s="102" t="n">
        <f aca="false">IF(B378="","",YEAR(B378))</f>
        <v>2026</v>
      </c>
      <c r="L378" s="102" t="str">
        <f aca="false">IF(N(E378)=0,"",IF(COUNTIFS(AK_NAMA,C378,AK_KAT,"KAS")+COUNTIFS(AK_NAMA,D378,AK_KAT,"KAS")&lt;&gt;1,"",IF(COUNTIFS(AK_NAMA,C378,AK_KAT,"KAS")=1,D378,C378)))</f>
        <v>Biaya Tagihan Bulanan</v>
      </c>
      <c r="M378" s="103" t="n">
        <f aca="false">IF(L378="",0,IF(L378=D378,E378,-E378))</f>
        <v>-287490</v>
      </c>
      <c r="N378" s="102" t="str">
        <f aca="false">IF(L378="","",IFERROR(INDEX(AK_BARIS,MATCH(L378,AK_NAMA,0)),"?"))</f>
        <v>OP6</v>
      </c>
      <c r="O378" s="102" t="str">
        <f aca="false">IF(C378="","",IFERROR(INDEX(AK_KEL,MATCH(C378,AK_NAMA,0)),"?"))</f>
        <v>BEBAN</v>
      </c>
      <c r="P378" s="102" t="str">
        <f aca="false">IF(D378="","",IFERROR(INDEX(AK_KEL,MATCH(D378,AK_NAMA,0)),"?"))</f>
        <v>ASET</v>
      </c>
      <c r="Q378" s="102" t="n">
        <f aca="false">N(Q377)+IF(AND(N(E378)&lt;&gt;0,K378=TAHUN,N(J378)&lt;=BLN,OR(C378=BB_AKUN,D378=BB_AKUN)),1,0)</f>
        <v>245</v>
      </c>
      <c r="R378" s="104" t="str">
        <f aca="false">IF(OR(C378&amp;D378="",N(E378)=0),"",IF(OR(O378="?",P378="?"),"⚠ akun tidak dikenal",IF(C378=D378,"⚠ debet = kredit","")))</f>
        <v/>
      </c>
    </row>
    <row r="379" customFormat="false" ht="15" hidden="false" customHeight="false" outlineLevel="0" collapsed="false">
      <c r="A379" s="82" t="s">
        <v>1121</v>
      </c>
      <c r="B379" s="101" t="n">
        <v>46104</v>
      </c>
      <c r="C379" s="82" t="s">
        <v>718</v>
      </c>
      <c r="D379" s="82" t="s">
        <v>461</v>
      </c>
      <c r="E379" s="91" t="n">
        <v>800000</v>
      </c>
      <c r="F379" s="82" t="s">
        <v>1122</v>
      </c>
      <c r="G379" s="82"/>
      <c r="H379" s="82" t="s">
        <v>763</v>
      </c>
      <c r="I379" s="82" t="s">
        <v>250</v>
      </c>
      <c r="J379" s="102" t="n">
        <f aca="false">IF(B379="","",MONTH(B379))</f>
        <v>3</v>
      </c>
      <c r="K379" s="102" t="n">
        <f aca="false">IF(B379="","",YEAR(B379))</f>
        <v>2026</v>
      </c>
      <c r="L379" s="102" t="str">
        <f aca="false">IF(N(E379)=0,"",IF(COUNTIFS(AK_NAMA,C379,AK_KAT,"KAS")+COUNTIFS(AK_NAMA,D379,AK_KAT,"KAS")&lt;&gt;1,"",IF(COUNTIFS(AK_NAMA,C379,AK_KAT,"KAS")=1,D379,C379)))</f>
        <v>Piutang Lainnya</v>
      </c>
      <c r="M379" s="103" t="n">
        <f aca="false">IF(L379="",0,IF(L379=D379,E379,-E379))</f>
        <v>-800000</v>
      </c>
      <c r="N379" s="102" t="str">
        <f aca="false">IF(L379="","",IFERROR(INDEX(AK_BARIS,MATCH(L379,AK_NAMA,0)),"?"))</f>
        <v>OP2</v>
      </c>
      <c r="O379" s="102" t="str">
        <f aca="false">IF(C379="","",IFERROR(INDEX(AK_KEL,MATCH(C379,AK_NAMA,0)),"?"))</f>
        <v>ASET</v>
      </c>
      <c r="P379" s="102" t="str">
        <f aca="false">IF(D379="","",IFERROR(INDEX(AK_KEL,MATCH(D379,AK_NAMA,0)),"?"))</f>
        <v>ASET</v>
      </c>
      <c r="Q379" s="102" t="n">
        <f aca="false">N(Q378)+IF(AND(N(E379)&lt;&gt;0,K379=TAHUN,N(J379)&lt;=BLN,OR(C379=BB_AKUN,D379=BB_AKUN)),1,0)</f>
        <v>246</v>
      </c>
      <c r="R379" s="104" t="str">
        <f aca="false">IF(OR(C379&amp;D379="",N(E379)=0),"",IF(OR(O379="?",P379="?"),"⚠ akun tidak dikenal",IF(C379=D379,"⚠ debet = kredit","")))</f>
        <v/>
      </c>
    </row>
    <row r="380" customFormat="false" ht="15" hidden="false" customHeight="false" outlineLevel="0" collapsed="false">
      <c r="A380" s="82" t="s">
        <v>1123</v>
      </c>
      <c r="B380" s="101" t="n">
        <v>46104</v>
      </c>
      <c r="C380" s="82" t="s">
        <v>524</v>
      </c>
      <c r="D380" s="82" t="s">
        <v>461</v>
      </c>
      <c r="E380" s="91" t="n">
        <v>335</v>
      </c>
      <c r="F380" s="82" t="s">
        <v>525</v>
      </c>
      <c r="G380" s="82"/>
      <c r="H380" s="82"/>
      <c r="I380" s="82" t="s">
        <v>250</v>
      </c>
      <c r="J380" s="102" t="n">
        <f aca="false">IF(B380="","",MONTH(B380))</f>
        <v>3</v>
      </c>
      <c r="K380" s="102" t="n">
        <f aca="false">IF(B380="","",YEAR(B380))</f>
        <v>2026</v>
      </c>
      <c r="L380" s="102" t="str">
        <f aca="false">IF(N(E380)=0,"",IF(COUNTIFS(AK_NAMA,C380,AK_KAT,"KAS")+COUNTIFS(AK_NAMA,D380,AK_KAT,"KAS")&lt;&gt;1,"",IF(COUNTIFS(AK_NAMA,C380,AK_KAT,"KAS")=1,D380,C380)))</f>
        <v>Biaya Lainnya</v>
      </c>
      <c r="M380" s="103" t="n">
        <f aca="false">IF(L380="",0,IF(L380=D380,E380,-E380))</f>
        <v>-335</v>
      </c>
      <c r="N380" s="102" t="str">
        <f aca="false">IF(L380="","",IFERROR(INDEX(AK_BARIS,MATCH(L380,AK_NAMA,0)),"?"))</f>
        <v>OP2</v>
      </c>
      <c r="O380" s="102" t="str">
        <f aca="false">IF(C380="","",IFERROR(INDEX(AK_KEL,MATCH(C380,AK_NAMA,0)),"?"))</f>
        <v>BEBAN</v>
      </c>
      <c r="P380" s="102" t="str">
        <f aca="false">IF(D380="","",IFERROR(INDEX(AK_KEL,MATCH(D380,AK_NAMA,0)),"?"))</f>
        <v>ASET</v>
      </c>
      <c r="Q380" s="102" t="n">
        <f aca="false">N(Q379)+IF(AND(N(E380)&lt;&gt;0,K380=TAHUN,N(J380)&lt;=BLN,OR(C380=BB_AKUN,D380=BB_AKUN)),1,0)</f>
        <v>247</v>
      </c>
      <c r="R380" s="104" t="str">
        <f aca="false">IF(OR(C380&amp;D380="",N(E380)=0),"",IF(OR(O380="?",P380="?"),"⚠ akun tidak dikenal",IF(C380=D380,"⚠ debet = kredit","")))</f>
        <v/>
      </c>
    </row>
    <row r="381" customFormat="false" ht="15" hidden="false" customHeight="false" outlineLevel="0" collapsed="false">
      <c r="A381" s="82" t="s">
        <v>1124</v>
      </c>
      <c r="B381" s="101" t="n">
        <v>46105</v>
      </c>
      <c r="C381" s="82" t="s">
        <v>470</v>
      </c>
      <c r="D381" s="82" t="s">
        <v>461</v>
      </c>
      <c r="E381" s="91" t="n">
        <v>133000</v>
      </c>
      <c r="F381" s="82" t="s">
        <v>1125</v>
      </c>
      <c r="G381" s="82"/>
      <c r="H381" s="82"/>
      <c r="I381" s="82" t="s">
        <v>250</v>
      </c>
      <c r="J381" s="102" t="n">
        <f aca="false">IF(B381="","",MONTH(B381))</f>
        <v>3</v>
      </c>
      <c r="K381" s="102" t="n">
        <f aca="false">IF(B381="","",YEAR(B381))</f>
        <v>2026</v>
      </c>
      <c r="L381" s="102" t="str">
        <f aca="false">IF(N(E381)=0,"",IF(COUNTIFS(AK_NAMA,C381,AK_KAT,"KAS")+COUNTIFS(AK_NAMA,D381,AK_KAT,"KAS")&lt;&gt;1,"",IF(COUNTIFS(AK_NAMA,C381,AK_KAT,"KAS")=1,D381,C381)))</f>
        <v>Biaya Bahan Baku</v>
      </c>
      <c r="M381" s="103" t="n">
        <f aca="false">IF(L381="",0,IF(L381=D381,E381,-E381))</f>
        <v>-133000</v>
      </c>
      <c r="N381" s="102" t="str">
        <f aca="false">IF(L381="","",IFERROR(INDEX(AK_BARIS,MATCH(L381,AK_NAMA,0)),"?"))</f>
        <v>OP3</v>
      </c>
      <c r="O381" s="102" t="str">
        <f aca="false">IF(C381="","",IFERROR(INDEX(AK_KEL,MATCH(C381,AK_NAMA,0)),"?"))</f>
        <v>BEBAN</v>
      </c>
      <c r="P381" s="102" t="str">
        <f aca="false">IF(D381="","",IFERROR(INDEX(AK_KEL,MATCH(D381,AK_NAMA,0)),"?"))</f>
        <v>ASET</v>
      </c>
      <c r="Q381" s="102" t="n">
        <f aca="false">N(Q380)+IF(AND(N(E381)&lt;&gt;0,K381=TAHUN,N(J381)&lt;=BLN,OR(C381=BB_AKUN,D381=BB_AKUN)),1,0)</f>
        <v>248</v>
      </c>
      <c r="R381" s="104" t="str">
        <f aca="false">IF(OR(C381&amp;D381="",N(E381)=0),"",IF(OR(O381="?",P381="?"),"⚠ akun tidak dikenal",IF(C381=D381,"⚠ debet = kredit","")))</f>
        <v/>
      </c>
    </row>
    <row r="382" customFormat="false" ht="15" hidden="false" customHeight="false" outlineLevel="0" collapsed="false">
      <c r="A382" s="82" t="s">
        <v>1126</v>
      </c>
      <c r="B382" s="101" t="n">
        <v>46105</v>
      </c>
      <c r="C382" s="82" t="s">
        <v>576</v>
      </c>
      <c r="D382" s="82" t="s">
        <v>461</v>
      </c>
      <c r="E382" s="91" t="n">
        <v>100000</v>
      </c>
      <c r="F382" s="82" t="s">
        <v>1127</v>
      </c>
      <c r="G382" s="82"/>
      <c r="H382" s="82"/>
      <c r="I382" s="82" t="s">
        <v>250</v>
      </c>
      <c r="J382" s="102" t="n">
        <f aca="false">IF(B382="","",MONTH(B382))</f>
        <v>3</v>
      </c>
      <c r="K382" s="102" t="n">
        <f aca="false">IF(B382="","",YEAR(B382))</f>
        <v>2026</v>
      </c>
      <c r="L382" s="102" t="str">
        <f aca="false">IF(N(E382)=0,"",IF(COUNTIFS(AK_NAMA,C382,AK_KAT,"KAS")+COUNTIFS(AK_NAMA,D382,AK_KAT,"KAS")&lt;&gt;1,"",IF(COUNTIFS(AK_NAMA,C382,AK_KAT,"KAS")=1,D382,C382)))</f>
        <v>Beban Gaji</v>
      </c>
      <c r="M382" s="103" t="n">
        <f aca="false">IF(L382="",0,IF(L382=D382,E382,-E382))</f>
        <v>-100000</v>
      </c>
      <c r="N382" s="102" t="str">
        <f aca="false">IF(L382="","",IFERROR(INDEX(AK_BARIS,MATCH(L382,AK_NAMA,0)),"?"))</f>
        <v>OP4</v>
      </c>
      <c r="O382" s="102" t="str">
        <f aca="false">IF(C382="","",IFERROR(INDEX(AK_KEL,MATCH(C382,AK_NAMA,0)),"?"))</f>
        <v>BEBAN</v>
      </c>
      <c r="P382" s="102" t="str">
        <f aca="false">IF(D382="","",IFERROR(INDEX(AK_KEL,MATCH(D382,AK_NAMA,0)),"?"))</f>
        <v>ASET</v>
      </c>
      <c r="Q382" s="102" t="n">
        <f aca="false">N(Q381)+IF(AND(N(E382)&lt;&gt;0,K382=TAHUN,N(J382)&lt;=BLN,OR(C382=BB_AKUN,D382=BB_AKUN)),1,0)</f>
        <v>249</v>
      </c>
      <c r="R382" s="104" t="str">
        <f aca="false">IF(OR(C382&amp;D382="",N(E382)=0),"",IF(OR(O382="?",P382="?"),"⚠ akun tidak dikenal",IF(C382=D382,"⚠ debet = kredit","")))</f>
        <v/>
      </c>
    </row>
    <row r="383" customFormat="false" ht="15" hidden="false" customHeight="false" outlineLevel="0" collapsed="false">
      <c r="A383" s="82" t="s">
        <v>1128</v>
      </c>
      <c r="B383" s="101" t="n">
        <v>46106</v>
      </c>
      <c r="C383" s="82" t="s">
        <v>461</v>
      </c>
      <c r="D383" s="82" t="s">
        <v>557</v>
      </c>
      <c r="E383" s="91" t="n">
        <v>218152</v>
      </c>
      <c r="F383" s="82" t="s">
        <v>1129</v>
      </c>
      <c r="G383" s="82"/>
      <c r="H383" s="82"/>
      <c r="I383" s="82" t="s">
        <v>250</v>
      </c>
      <c r="J383" s="102" t="n">
        <f aca="false">IF(B383="","",MONTH(B383))</f>
        <v>3</v>
      </c>
      <c r="K383" s="102" t="n">
        <f aca="false">IF(B383="","",YEAR(B383))</f>
        <v>2026</v>
      </c>
      <c r="L383" s="102" t="str">
        <f aca="false">IF(N(E383)=0,"",IF(COUNTIFS(AK_NAMA,C383,AK_KAT,"KAS")+COUNTIFS(AK_NAMA,D383,AK_KAT,"KAS")&lt;&gt;1,"",IF(COUNTIFS(AK_NAMA,C383,AK_KAT,"KAS")=1,D383,C383)))</f>
        <v>Pendapatan Lainnya</v>
      </c>
      <c r="M383" s="103" t="n">
        <f aca="false">IF(L383="",0,IF(L383=D383,E383,-E383))</f>
        <v>218152</v>
      </c>
      <c r="N383" s="102" t="str">
        <f aca="false">IF(L383="","",IFERROR(INDEX(AK_BARIS,MATCH(L383,AK_NAMA,0)),"?"))</f>
        <v>OP2</v>
      </c>
      <c r="O383" s="102" t="str">
        <f aca="false">IF(C383="","",IFERROR(INDEX(AK_KEL,MATCH(C383,AK_NAMA,0)),"?"))</f>
        <v>ASET</v>
      </c>
      <c r="P383" s="102" t="str">
        <f aca="false">IF(D383="","",IFERROR(INDEX(AK_KEL,MATCH(D383,AK_NAMA,0)),"?"))</f>
        <v>PENDAPATAN</v>
      </c>
      <c r="Q383" s="102" t="n">
        <f aca="false">N(Q382)+IF(AND(N(E383)&lt;&gt;0,K383=TAHUN,N(J383)&lt;=BLN,OR(C383=BB_AKUN,D383=BB_AKUN)),1,0)</f>
        <v>250</v>
      </c>
      <c r="R383" s="104" t="str">
        <f aca="false">IF(OR(C383&amp;D383="",N(E383)=0),"",IF(OR(O383="?",P383="?"),"⚠ akun tidak dikenal",IF(C383=D383,"⚠ debet = kredit","")))</f>
        <v/>
      </c>
    </row>
    <row r="384" customFormat="false" ht="15" hidden="false" customHeight="false" outlineLevel="0" collapsed="false">
      <c r="A384" s="82" t="s">
        <v>1130</v>
      </c>
      <c r="B384" s="101" t="n">
        <v>46107</v>
      </c>
      <c r="C384" s="82" t="s">
        <v>730</v>
      </c>
      <c r="D384" s="82" t="s">
        <v>461</v>
      </c>
      <c r="E384" s="91" t="n">
        <v>10000000</v>
      </c>
      <c r="F384" s="82" t="s">
        <v>731</v>
      </c>
      <c r="G384" s="82"/>
      <c r="H384" s="82"/>
      <c r="I384" s="82" t="s">
        <v>250</v>
      </c>
      <c r="J384" s="102" t="n">
        <f aca="false">IF(B384="","",MONTH(B384))</f>
        <v>3</v>
      </c>
      <c r="K384" s="102" t="n">
        <f aca="false">IF(B384="","",YEAR(B384))</f>
        <v>2026</v>
      </c>
      <c r="L384" s="102" t="str">
        <f aca="false">IF(N(E384)=0,"",IF(COUNTIFS(AK_NAMA,C384,AK_KAT,"KAS")+COUNTIFS(AK_NAMA,D384,AK_KAT,"KAS")&lt;&gt;1,"",IF(COUNTIFS(AK_NAMA,C384,AK_KAT,"KAS")=1,D384,C384)))</f>
        <v>Biaya Sewa Tempat</v>
      </c>
      <c r="M384" s="103" t="n">
        <f aca="false">IF(L384="",0,IF(L384=D384,E384,-E384))</f>
        <v>-10000000</v>
      </c>
      <c r="N384" s="102" t="str">
        <f aca="false">IF(L384="","",IFERROR(INDEX(AK_BARIS,MATCH(L384,AK_NAMA,0)),"?"))</f>
        <v>OP5</v>
      </c>
      <c r="O384" s="102" t="str">
        <f aca="false">IF(C384="","",IFERROR(INDEX(AK_KEL,MATCH(C384,AK_NAMA,0)),"?"))</f>
        <v>BEBAN</v>
      </c>
      <c r="P384" s="102" t="str">
        <f aca="false">IF(D384="","",IFERROR(INDEX(AK_KEL,MATCH(D384,AK_NAMA,0)),"?"))</f>
        <v>ASET</v>
      </c>
      <c r="Q384" s="102" t="n">
        <f aca="false">N(Q383)+IF(AND(N(E384)&lt;&gt;0,K384=TAHUN,N(J384)&lt;=BLN,OR(C384=BB_AKUN,D384=BB_AKUN)),1,0)</f>
        <v>251</v>
      </c>
      <c r="R384" s="104" t="str">
        <f aca="false">IF(OR(C384&amp;D384="",N(E384)=0),"",IF(OR(O384="?",P384="?"),"⚠ akun tidak dikenal",IF(C384=D384,"⚠ debet = kredit","")))</f>
        <v/>
      </c>
    </row>
    <row r="385" customFormat="false" ht="15" hidden="false" customHeight="false" outlineLevel="0" collapsed="false">
      <c r="A385" s="82" t="s">
        <v>1131</v>
      </c>
      <c r="B385" s="101" t="n">
        <v>46107</v>
      </c>
      <c r="C385" s="82" t="s">
        <v>456</v>
      </c>
      <c r="D385" s="82" t="s">
        <v>461</v>
      </c>
      <c r="E385" s="91" t="n">
        <v>1378500</v>
      </c>
      <c r="F385" s="82" t="s">
        <v>1132</v>
      </c>
      <c r="G385" s="82"/>
      <c r="H385" s="82" t="s">
        <v>458</v>
      </c>
      <c r="I385" s="82" t="s">
        <v>250</v>
      </c>
      <c r="J385" s="102" t="n">
        <f aca="false">IF(B385="","",MONTH(B385))</f>
        <v>3</v>
      </c>
      <c r="K385" s="102" t="n">
        <f aca="false">IF(B385="","",YEAR(B385))</f>
        <v>2026</v>
      </c>
      <c r="L385" s="102" t="str">
        <f aca="false">IF(N(E385)=0,"",IF(COUNTIFS(AK_NAMA,C385,AK_KAT,"KAS")+COUNTIFS(AK_NAMA,D385,AK_KAT,"KAS")&lt;&gt;1,"",IF(COUNTIFS(AK_NAMA,C385,AK_KAT,"KAS")=1,D385,C385)))</f>
        <v>Utang Usaha Jangka Panjang</v>
      </c>
      <c r="M385" s="103" t="n">
        <f aca="false">IF(L385="",0,IF(L385=D385,E385,-E385))</f>
        <v>-1378500</v>
      </c>
      <c r="N385" s="102" t="str">
        <f aca="false">IF(L385="","",IFERROR(INDEX(AK_BARIS,MATCH(L385,AK_NAMA,0)),"?"))</f>
        <v>FN3</v>
      </c>
      <c r="O385" s="102" t="str">
        <f aca="false">IF(C385="","",IFERROR(INDEX(AK_KEL,MATCH(C385,AK_NAMA,0)),"?"))</f>
        <v>LIABILITAS</v>
      </c>
      <c r="P385" s="102" t="str">
        <f aca="false">IF(D385="","",IFERROR(INDEX(AK_KEL,MATCH(D385,AK_NAMA,0)),"?"))</f>
        <v>ASET</v>
      </c>
      <c r="Q385" s="102" t="n">
        <f aca="false">N(Q384)+IF(AND(N(E385)&lt;&gt;0,K385=TAHUN,N(J385)&lt;=BLN,OR(C385=BB_AKUN,D385=BB_AKUN)),1,0)</f>
        <v>252</v>
      </c>
      <c r="R385" s="104" t="str">
        <f aca="false">IF(OR(C385&amp;D385="",N(E385)=0),"",IF(OR(O385="?",P385="?"),"⚠ akun tidak dikenal",IF(C385=D385,"⚠ debet = kredit","")))</f>
        <v/>
      </c>
    </row>
    <row r="386" customFormat="false" ht="15" hidden="false" customHeight="false" outlineLevel="0" collapsed="false">
      <c r="A386" s="82" t="s">
        <v>1133</v>
      </c>
      <c r="B386" s="101" t="n">
        <v>46107</v>
      </c>
      <c r="C386" s="82" t="s">
        <v>765</v>
      </c>
      <c r="D386" s="82" t="s">
        <v>486</v>
      </c>
      <c r="E386" s="91" t="n">
        <v>157500</v>
      </c>
      <c r="F386" s="82" t="s">
        <v>1134</v>
      </c>
      <c r="G386" s="82"/>
      <c r="H386" s="82" t="s">
        <v>767</v>
      </c>
      <c r="I386" s="82" t="s">
        <v>250</v>
      </c>
      <c r="J386" s="102" t="n">
        <f aca="false">IF(B386="","",MONTH(B386))</f>
        <v>3</v>
      </c>
      <c r="K386" s="102" t="n">
        <f aca="false">IF(B386="","",YEAR(B386))</f>
        <v>2026</v>
      </c>
      <c r="L386" s="102" t="str">
        <f aca="false">IF(N(E386)=0,"",IF(COUNTIFS(AK_NAMA,C386,AK_KAT,"KAS")+COUNTIFS(AK_NAMA,D386,AK_KAT,"KAS")&lt;&gt;1,"",IF(COUNTIFS(AK_NAMA,C386,AK_KAT,"KAS")=1,D386,C386)))</f>
        <v>Piutang Usaha Cafe</v>
      </c>
      <c r="M386" s="103" t="n">
        <f aca="false">IF(L386="",0,IF(L386=D386,E386,-E386))</f>
        <v>-157500</v>
      </c>
      <c r="N386" s="102" t="str">
        <f aca="false">IF(L386="","",IFERROR(INDEX(AK_BARIS,MATCH(L386,AK_NAMA,0)),"?"))</f>
        <v>OP1</v>
      </c>
      <c r="O386" s="102" t="str">
        <f aca="false">IF(C386="","",IFERROR(INDEX(AK_KEL,MATCH(C386,AK_NAMA,0)),"?"))</f>
        <v>ASET</v>
      </c>
      <c r="P386" s="102" t="str">
        <f aca="false">IF(D386="","",IFERROR(INDEX(AK_KEL,MATCH(D386,AK_NAMA,0)),"?"))</f>
        <v>ASET</v>
      </c>
      <c r="Q386" s="102" t="n">
        <f aca="false">N(Q385)+IF(AND(N(E386)&lt;&gt;0,K386=TAHUN,N(J386)&lt;=BLN,OR(C386=BB_AKUN,D386=BB_AKUN)),1,0)</f>
        <v>252</v>
      </c>
      <c r="R386" s="104" t="str">
        <f aca="false">IF(OR(C386&amp;D386="",N(E386)=0),"",IF(OR(O386="?",P386="?"),"⚠ akun tidak dikenal",IF(C386=D386,"⚠ debet = kredit","")))</f>
        <v/>
      </c>
    </row>
    <row r="387" customFormat="false" ht="15" hidden="false" customHeight="false" outlineLevel="0" collapsed="false">
      <c r="A387" s="82" t="s">
        <v>1135</v>
      </c>
      <c r="B387" s="101" t="n">
        <v>46108</v>
      </c>
      <c r="C387" s="82" t="s">
        <v>576</v>
      </c>
      <c r="D387" s="82" t="s">
        <v>461</v>
      </c>
      <c r="E387" s="91" t="n">
        <v>50000</v>
      </c>
      <c r="F387" s="82" t="s">
        <v>1136</v>
      </c>
      <c r="G387" s="82"/>
      <c r="H387" s="82"/>
      <c r="I387" s="82" t="s">
        <v>250</v>
      </c>
      <c r="J387" s="102" t="n">
        <f aca="false">IF(B387="","",MONTH(B387))</f>
        <v>3</v>
      </c>
      <c r="K387" s="102" t="n">
        <f aca="false">IF(B387="","",YEAR(B387))</f>
        <v>2026</v>
      </c>
      <c r="L387" s="102" t="str">
        <f aca="false">IF(N(E387)=0,"",IF(COUNTIFS(AK_NAMA,C387,AK_KAT,"KAS")+COUNTIFS(AK_NAMA,D387,AK_KAT,"KAS")&lt;&gt;1,"",IF(COUNTIFS(AK_NAMA,C387,AK_KAT,"KAS")=1,D387,C387)))</f>
        <v>Beban Gaji</v>
      </c>
      <c r="M387" s="103" t="n">
        <f aca="false">IF(L387="",0,IF(L387=D387,E387,-E387))</f>
        <v>-50000</v>
      </c>
      <c r="N387" s="102" t="str">
        <f aca="false">IF(L387="","",IFERROR(INDEX(AK_BARIS,MATCH(L387,AK_NAMA,0)),"?"))</f>
        <v>OP4</v>
      </c>
      <c r="O387" s="102" t="str">
        <f aca="false">IF(C387="","",IFERROR(INDEX(AK_KEL,MATCH(C387,AK_NAMA,0)),"?"))</f>
        <v>BEBAN</v>
      </c>
      <c r="P387" s="102" t="str">
        <f aca="false">IF(D387="","",IFERROR(INDEX(AK_KEL,MATCH(D387,AK_NAMA,0)),"?"))</f>
        <v>ASET</v>
      </c>
      <c r="Q387" s="102" t="n">
        <f aca="false">N(Q386)+IF(AND(N(E387)&lt;&gt;0,K387=TAHUN,N(J387)&lt;=BLN,OR(C387=BB_AKUN,D387=BB_AKUN)),1,0)</f>
        <v>253</v>
      </c>
      <c r="R387" s="104" t="str">
        <f aca="false">IF(OR(C387&amp;D387="",N(E387)=0),"",IF(OR(O387="?",P387="?"),"⚠ akun tidak dikenal",IF(C387=D387,"⚠ debet = kredit","")))</f>
        <v/>
      </c>
    </row>
    <row r="388" customFormat="false" ht="15" hidden="false" customHeight="false" outlineLevel="0" collapsed="false">
      <c r="A388" s="82" t="s">
        <v>1137</v>
      </c>
      <c r="B388" s="101" t="n">
        <v>46108</v>
      </c>
      <c r="C388" s="82" t="s">
        <v>548</v>
      </c>
      <c r="D388" s="82" t="s">
        <v>461</v>
      </c>
      <c r="E388" s="91" t="n">
        <v>186100</v>
      </c>
      <c r="F388" s="82" t="s">
        <v>1138</v>
      </c>
      <c r="G388" s="82"/>
      <c r="H388" s="82"/>
      <c r="I388" s="82" t="s">
        <v>250</v>
      </c>
      <c r="J388" s="102" t="n">
        <f aca="false">IF(B388="","",MONTH(B388))</f>
        <v>3</v>
      </c>
      <c r="K388" s="102" t="n">
        <f aca="false">IF(B388="","",YEAR(B388))</f>
        <v>2026</v>
      </c>
      <c r="L388" s="102" t="str">
        <f aca="false">IF(N(E388)=0,"",IF(COUNTIFS(AK_NAMA,C388,AK_KAT,"KAS")+COUNTIFS(AK_NAMA,D388,AK_KAT,"KAS")&lt;&gt;1,"",IF(COUNTIFS(AK_NAMA,C388,AK_KAT,"KAS")=1,D388,C388)))</f>
        <v>Beban Perlengkapan</v>
      </c>
      <c r="M388" s="103" t="n">
        <f aca="false">IF(L388="",0,IF(L388=D388,E388,-E388))</f>
        <v>-186100</v>
      </c>
      <c r="N388" s="102" t="str">
        <f aca="false">IF(L388="","",IFERROR(INDEX(AK_BARIS,MATCH(L388,AK_NAMA,0)),"?"))</f>
        <v>OP6</v>
      </c>
      <c r="O388" s="102" t="str">
        <f aca="false">IF(C388="","",IFERROR(INDEX(AK_KEL,MATCH(C388,AK_NAMA,0)),"?"))</f>
        <v>BEBAN</v>
      </c>
      <c r="P388" s="102" t="str">
        <f aca="false">IF(D388="","",IFERROR(INDEX(AK_KEL,MATCH(D388,AK_NAMA,0)),"?"))</f>
        <v>ASET</v>
      </c>
      <c r="Q388" s="102" t="n">
        <f aca="false">N(Q387)+IF(AND(N(E388)&lt;&gt;0,K388=TAHUN,N(J388)&lt;=BLN,OR(C388=BB_AKUN,D388=BB_AKUN)),1,0)</f>
        <v>254</v>
      </c>
      <c r="R388" s="104" t="str">
        <f aca="false">IF(OR(C388&amp;D388="",N(E388)=0),"",IF(OR(O388="?",P388="?"),"⚠ akun tidak dikenal",IF(C388=D388,"⚠ debet = kredit","")))</f>
        <v/>
      </c>
    </row>
    <row r="389" customFormat="false" ht="15" hidden="false" customHeight="false" outlineLevel="0" collapsed="false">
      <c r="A389" s="82" t="s">
        <v>1139</v>
      </c>
      <c r="B389" s="101" t="n">
        <v>46108</v>
      </c>
      <c r="C389" s="82" t="s">
        <v>470</v>
      </c>
      <c r="D389" s="82" t="s">
        <v>461</v>
      </c>
      <c r="E389" s="91" t="n">
        <v>527603</v>
      </c>
      <c r="F389" s="82" t="s">
        <v>1140</v>
      </c>
      <c r="G389" s="82"/>
      <c r="H389" s="82"/>
      <c r="I389" s="82" t="s">
        <v>250</v>
      </c>
      <c r="J389" s="102" t="n">
        <f aca="false">IF(B389="","",MONTH(B389))</f>
        <v>3</v>
      </c>
      <c r="K389" s="102" t="n">
        <f aca="false">IF(B389="","",YEAR(B389))</f>
        <v>2026</v>
      </c>
      <c r="L389" s="102" t="str">
        <f aca="false">IF(N(E389)=0,"",IF(COUNTIFS(AK_NAMA,C389,AK_KAT,"KAS")+COUNTIFS(AK_NAMA,D389,AK_KAT,"KAS")&lt;&gt;1,"",IF(COUNTIFS(AK_NAMA,C389,AK_KAT,"KAS")=1,D389,C389)))</f>
        <v>Biaya Bahan Baku</v>
      </c>
      <c r="M389" s="103" t="n">
        <f aca="false">IF(L389="",0,IF(L389=D389,E389,-E389))</f>
        <v>-527603</v>
      </c>
      <c r="N389" s="102" t="str">
        <f aca="false">IF(L389="","",IFERROR(INDEX(AK_BARIS,MATCH(L389,AK_NAMA,0)),"?"))</f>
        <v>OP3</v>
      </c>
      <c r="O389" s="102" t="str">
        <f aca="false">IF(C389="","",IFERROR(INDEX(AK_KEL,MATCH(C389,AK_NAMA,0)),"?"))</f>
        <v>BEBAN</v>
      </c>
      <c r="P389" s="102" t="str">
        <f aca="false">IF(D389="","",IFERROR(INDEX(AK_KEL,MATCH(D389,AK_NAMA,0)),"?"))</f>
        <v>ASET</v>
      </c>
      <c r="Q389" s="102" t="n">
        <f aca="false">N(Q388)+IF(AND(N(E389)&lt;&gt;0,K389=TAHUN,N(J389)&lt;=BLN,OR(C389=BB_AKUN,D389=BB_AKUN)),1,0)</f>
        <v>255</v>
      </c>
      <c r="R389" s="104" t="str">
        <f aca="false">IF(OR(C389&amp;D389="",N(E389)=0),"",IF(OR(O389="?",P389="?"),"⚠ akun tidak dikenal",IF(C389=D389,"⚠ debet = kredit","")))</f>
        <v/>
      </c>
    </row>
    <row r="390" customFormat="false" ht="15" hidden="false" customHeight="false" outlineLevel="0" collapsed="false">
      <c r="A390" s="82" t="s">
        <v>1141</v>
      </c>
      <c r="B390" s="101" t="n">
        <v>46108</v>
      </c>
      <c r="C390" s="82" t="s">
        <v>475</v>
      </c>
      <c r="D390" s="82" t="s">
        <v>486</v>
      </c>
      <c r="E390" s="91" t="n">
        <v>5000</v>
      </c>
      <c r="F390" s="82" t="s">
        <v>1142</v>
      </c>
      <c r="G390" s="82"/>
      <c r="H390" s="82"/>
      <c r="I390" s="82" t="s">
        <v>250</v>
      </c>
      <c r="J390" s="102" t="n">
        <f aca="false">IF(B390="","",MONTH(B390))</f>
        <v>3</v>
      </c>
      <c r="K390" s="102" t="n">
        <f aca="false">IF(B390="","",YEAR(B390))</f>
        <v>2026</v>
      </c>
      <c r="L390" s="102" t="str">
        <f aca="false">IF(N(E390)=0,"",IF(COUNTIFS(AK_NAMA,C390,AK_KAT,"KAS")+COUNTIFS(AK_NAMA,D390,AK_KAT,"KAS")&lt;&gt;1,"",IF(COUNTIFS(AK_NAMA,C390,AK_KAT,"KAS")=1,D390,C390)))</f>
        <v/>
      </c>
      <c r="M390" s="103" t="n">
        <f aca="false">IF(L390="",0,IF(L390=D390,E390,-E390))</f>
        <v>0</v>
      </c>
      <c r="N390" s="102" t="str">
        <f aca="false">IF(L390="","",IFERROR(INDEX(AK_BARIS,MATCH(L390,AK_NAMA,0)),"?"))</f>
        <v/>
      </c>
      <c r="O390" s="102" t="str">
        <f aca="false">IF(C390="","",IFERROR(INDEX(AK_KEL,MATCH(C390,AK_NAMA,0)),"?"))</f>
        <v>ASET</v>
      </c>
      <c r="P390" s="102" t="str">
        <f aca="false">IF(D390="","",IFERROR(INDEX(AK_KEL,MATCH(D390,AK_NAMA,0)),"?"))</f>
        <v>ASET</v>
      </c>
      <c r="Q390" s="102" t="n">
        <f aca="false">N(Q389)+IF(AND(N(E390)&lt;&gt;0,K390=TAHUN,N(J390)&lt;=BLN,OR(C390=BB_AKUN,D390=BB_AKUN)),1,0)</f>
        <v>255</v>
      </c>
      <c r="R390" s="104" t="str">
        <f aca="false">IF(OR(C390&amp;D390="",N(E390)=0),"",IF(OR(O390="?",P390="?"),"⚠ akun tidak dikenal",IF(C390=D390,"⚠ debet = kredit","")))</f>
        <v/>
      </c>
    </row>
    <row r="391" customFormat="false" ht="15" hidden="false" customHeight="false" outlineLevel="0" collapsed="false">
      <c r="A391" s="82" t="s">
        <v>1143</v>
      </c>
      <c r="B391" s="101" t="n">
        <v>46108</v>
      </c>
      <c r="C391" s="82" t="s">
        <v>524</v>
      </c>
      <c r="D391" s="82" t="s">
        <v>486</v>
      </c>
      <c r="E391" s="91" t="n">
        <v>700</v>
      </c>
      <c r="F391" s="82" t="s">
        <v>1144</v>
      </c>
      <c r="G391" s="82"/>
      <c r="H391" s="82"/>
      <c r="I391" s="82" t="s">
        <v>250</v>
      </c>
      <c r="J391" s="102" t="n">
        <f aca="false">IF(B391="","",MONTH(B391))</f>
        <v>3</v>
      </c>
      <c r="K391" s="102" t="n">
        <f aca="false">IF(B391="","",YEAR(B391))</f>
        <v>2026</v>
      </c>
      <c r="L391" s="102" t="str">
        <f aca="false">IF(N(E391)=0,"",IF(COUNTIFS(AK_NAMA,C391,AK_KAT,"KAS")+COUNTIFS(AK_NAMA,D391,AK_KAT,"KAS")&lt;&gt;1,"",IF(COUNTIFS(AK_NAMA,C391,AK_KAT,"KAS")=1,D391,C391)))</f>
        <v>Biaya Lainnya</v>
      </c>
      <c r="M391" s="103" t="n">
        <f aca="false">IF(L391="",0,IF(L391=D391,E391,-E391))</f>
        <v>-700</v>
      </c>
      <c r="N391" s="102" t="str">
        <f aca="false">IF(L391="","",IFERROR(INDEX(AK_BARIS,MATCH(L391,AK_NAMA,0)),"?"))</f>
        <v>OP2</v>
      </c>
      <c r="O391" s="102" t="str">
        <f aca="false">IF(C391="","",IFERROR(INDEX(AK_KEL,MATCH(C391,AK_NAMA,0)),"?"))</f>
        <v>BEBAN</v>
      </c>
      <c r="P391" s="102" t="str">
        <f aca="false">IF(D391="","",IFERROR(INDEX(AK_KEL,MATCH(D391,AK_NAMA,0)),"?"))</f>
        <v>ASET</v>
      </c>
      <c r="Q391" s="102" t="n">
        <f aca="false">N(Q390)+IF(AND(N(E391)&lt;&gt;0,K391=TAHUN,N(J391)&lt;=BLN,OR(C391=BB_AKUN,D391=BB_AKUN)),1,0)</f>
        <v>255</v>
      </c>
      <c r="R391" s="104" t="str">
        <f aca="false">IF(OR(C391&amp;D391="",N(E391)=0),"",IF(OR(O391="?",P391="?"),"⚠ akun tidak dikenal",IF(C391=D391,"⚠ debet = kredit","")))</f>
        <v/>
      </c>
    </row>
    <row r="392" customFormat="false" ht="15" hidden="false" customHeight="false" outlineLevel="0" collapsed="false">
      <c r="A392" s="82" t="s">
        <v>1145</v>
      </c>
      <c r="B392" s="101" t="n">
        <v>46108</v>
      </c>
      <c r="C392" s="82" t="s">
        <v>470</v>
      </c>
      <c r="D392" s="82" t="s">
        <v>486</v>
      </c>
      <c r="E392" s="91" t="n">
        <v>2931920</v>
      </c>
      <c r="F392" s="82" t="s">
        <v>935</v>
      </c>
      <c r="G392" s="82"/>
      <c r="H392" s="82"/>
      <c r="I392" s="82" t="s">
        <v>250</v>
      </c>
      <c r="J392" s="102" t="n">
        <f aca="false">IF(B392="","",MONTH(B392))</f>
        <v>3</v>
      </c>
      <c r="K392" s="102" t="n">
        <f aca="false">IF(B392="","",YEAR(B392))</f>
        <v>2026</v>
      </c>
      <c r="L392" s="102" t="str">
        <f aca="false">IF(N(E392)=0,"",IF(COUNTIFS(AK_NAMA,C392,AK_KAT,"KAS")+COUNTIFS(AK_NAMA,D392,AK_KAT,"KAS")&lt;&gt;1,"",IF(COUNTIFS(AK_NAMA,C392,AK_KAT,"KAS")=1,D392,C392)))</f>
        <v>Biaya Bahan Baku</v>
      </c>
      <c r="M392" s="103" t="n">
        <f aca="false">IF(L392="",0,IF(L392=D392,E392,-E392))</f>
        <v>-2931920</v>
      </c>
      <c r="N392" s="102" t="str">
        <f aca="false">IF(L392="","",IFERROR(INDEX(AK_BARIS,MATCH(L392,AK_NAMA,0)),"?"))</f>
        <v>OP3</v>
      </c>
      <c r="O392" s="102" t="str">
        <f aca="false">IF(C392="","",IFERROR(INDEX(AK_KEL,MATCH(C392,AK_NAMA,0)),"?"))</f>
        <v>BEBAN</v>
      </c>
      <c r="P392" s="102" t="str">
        <f aca="false">IF(D392="","",IFERROR(INDEX(AK_KEL,MATCH(D392,AK_NAMA,0)),"?"))</f>
        <v>ASET</v>
      </c>
      <c r="Q392" s="102" t="n">
        <f aca="false">N(Q391)+IF(AND(N(E392)&lt;&gt;0,K392=TAHUN,N(J392)&lt;=BLN,OR(C392=BB_AKUN,D392=BB_AKUN)),1,0)</f>
        <v>255</v>
      </c>
      <c r="R392" s="104" t="str">
        <f aca="false">IF(OR(C392&amp;D392="",N(E392)=0),"",IF(OR(O392="?",P392="?"),"⚠ akun tidak dikenal",IF(C392=D392,"⚠ debet = kredit","")))</f>
        <v/>
      </c>
    </row>
    <row r="393" customFormat="false" ht="15" hidden="false" customHeight="false" outlineLevel="0" collapsed="false">
      <c r="A393" s="82" t="s">
        <v>1146</v>
      </c>
      <c r="B393" s="101" t="n">
        <v>46108</v>
      </c>
      <c r="C393" s="82" t="s">
        <v>478</v>
      </c>
      <c r="D393" s="82" t="s">
        <v>486</v>
      </c>
      <c r="E393" s="91" t="n">
        <v>1412700</v>
      </c>
      <c r="F393" s="82" t="s">
        <v>937</v>
      </c>
      <c r="G393" s="82"/>
      <c r="H393" s="82"/>
      <c r="I393" s="82" t="s">
        <v>250</v>
      </c>
      <c r="J393" s="102" t="n">
        <f aca="false">IF(B393="","",MONTH(B393))</f>
        <v>3</v>
      </c>
      <c r="K393" s="102" t="n">
        <f aca="false">IF(B393="","",YEAR(B393))</f>
        <v>2026</v>
      </c>
      <c r="L393" s="102" t="str">
        <f aca="false">IF(N(E393)=0,"",IF(COUNTIFS(AK_NAMA,C393,AK_KAT,"KAS")+COUNTIFS(AK_NAMA,D393,AK_KAT,"KAS")&lt;&gt;1,"",IF(COUNTIFS(AK_NAMA,C393,AK_KAT,"KAS")=1,D393,C393)))</f>
        <v>Biaya Penyajian</v>
      </c>
      <c r="M393" s="103" t="n">
        <f aca="false">IF(L393="",0,IF(L393=D393,E393,-E393))</f>
        <v>-1412700</v>
      </c>
      <c r="N393" s="102" t="str">
        <f aca="false">IF(L393="","",IFERROR(INDEX(AK_BARIS,MATCH(L393,AK_NAMA,0)),"?"))</f>
        <v>OP3</v>
      </c>
      <c r="O393" s="102" t="str">
        <f aca="false">IF(C393="","",IFERROR(INDEX(AK_KEL,MATCH(C393,AK_NAMA,0)),"?"))</f>
        <v>BEBAN</v>
      </c>
      <c r="P393" s="102" t="str">
        <f aca="false">IF(D393="","",IFERROR(INDEX(AK_KEL,MATCH(D393,AK_NAMA,0)),"?"))</f>
        <v>ASET</v>
      </c>
      <c r="Q393" s="102" t="n">
        <f aca="false">N(Q392)+IF(AND(N(E393)&lt;&gt;0,K393=TAHUN,N(J393)&lt;=BLN,OR(C393=BB_AKUN,D393=BB_AKUN)),1,0)</f>
        <v>255</v>
      </c>
      <c r="R393" s="104" t="str">
        <f aca="false">IF(OR(C393&amp;D393="",N(E393)=0),"",IF(OR(O393="?",P393="?"),"⚠ akun tidak dikenal",IF(C393=D393,"⚠ debet = kredit","")))</f>
        <v/>
      </c>
    </row>
    <row r="394" customFormat="false" ht="15" hidden="false" customHeight="false" outlineLevel="0" collapsed="false">
      <c r="A394" s="82" t="s">
        <v>1147</v>
      </c>
      <c r="B394" s="101" t="n">
        <v>46108</v>
      </c>
      <c r="C394" s="82" t="s">
        <v>485</v>
      </c>
      <c r="D394" s="82" t="s">
        <v>486</v>
      </c>
      <c r="E394" s="91" t="n">
        <v>388180</v>
      </c>
      <c r="F394" s="82" t="s">
        <v>553</v>
      </c>
      <c r="G394" s="82"/>
      <c r="H394" s="82"/>
      <c r="I394" s="82" t="s">
        <v>250</v>
      </c>
      <c r="J394" s="102" t="n">
        <f aca="false">IF(B394="","",MONTH(B394))</f>
        <v>3</v>
      </c>
      <c r="K394" s="102" t="n">
        <f aca="false">IF(B394="","",YEAR(B394))</f>
        <v>2026</v>
      </c>
      <c r="L394" s="102" t="str">
        <f aca="false">IF(N(E394)=0,"",IF(COUNTIFS(AK_NAMA,C394,AK_KAT,"KAS")+COUNTIFS(AK_NAMA,D394,AK_KAT,"KAS")&lt;&gt;1,"",IF(COUNTIFS(AK_NAMA,C394,AK_KAT,"KAS")=1,D394,C394)))</f>
        <v>Biaya Operasional Harian</v>
      </c>
      <c r="M394" s="103" t="n">
        <f aca="false">IF(L394="",0,IF(L394=D394,E394,-E394))</f>
        <v>-388180</v>
      </c>
      <c r="N394" s="102" t="str">
        <f aca="false">IF(L394="","",IFERROR(INDEX(AK_BARIS,MATCH(L394,AK_NAMA,0)),"?"))</f>
        <v>OP6</v>
      </c>
      <c r="O394" s="102" t="str">
        <f aca="false">IF(C394="","",IFERROR(INDEX(AK_KEL,MATCH(C394,AK_NAMA,0)),"?"))</f>
        <v>BEBAN</v>
      </c>
      <c r="P394" s="102" t="str">
        <f aca="false">IF(D394="","",IFERROR(INDEX(AK_KEL,MATCH(D394,AK_NAMA,0)),"?"))</f>
        <v>ASET</v>
      </c>
      <c r="Q394" s="102" t="n">
        <f aca="false">N(Q393)+IF(AND(N(E394)&lt;&gt;0,K394=TAHUN,N(J394)&lt;=BLN,OR(C394=BB_AKUN,D394=BB_AKUN)),1,0)</f>
        <v>255</v>
      </c>
      <c r="R394" s="104" t="str">
        <f aca="false">IF(OR(C394&amp;D394="",N(E394)=0),"",IF(OR(O394="?",P394="?"),"⚠ akun tidak dikenal",IF(C394=D394,"⚠ debet = kredit","")))</f>
        <v/>
      </c>
    </row>
    <row r="395" customFormat="false" ht="15" hidden="false" customHeight="false" outlineLevel="0" collapsed="false">
      <c r="A395" s="82" t="s">
        <v>1148</v>
      </c>
      <c r="B395" s="101" t="n">
        <v>46108</v>
      </c>
      <c r="C395" s="82" t="s">
        <v>548</v>
      </c>
      <c r="D395" s="82" t="s">
        <v>486</v>
      </c>
      <c r="E395" s="91" t="n">
        <v>64500</v>
      </c>
      <c r="F395" s="82" t="s">
        <v>939</v>
      </c>
      <c r="G395" s="82"/>
      <c r="H395" s="82"/>
      <c r="I395" s="82" t="s">
        <v>250</v>
      </c>
      <c r="J395" s="102" t="n">
        <f aca="false">IF(B395="","",MONTH(B395))</f>
        <v>3</v>
      </c>
      <c r="K395" s="102" t="n">
        <f aca="false">IF(B395="","",YEAR(B395))</f>
        <v>2026</v>
      </c>
      <c r="L395" s="102" t="str">
        <f aca="false">IF(N(E395)=0,"",IF(COUNTIFS(AK_NAMA,C395,AK_KAT,"KAS")+COUNTIFS(AK_NAMA,D395,AK_KAT,"KAS")&lt;&gt;1,"",IF(COUNTIFS(AK_NAMA,C395,AK_KAT,"KAS")=1,D395,C395)))</f>
        <v>Beban Perlengkapan</v>
      </c>
      <c r="M395" s="103" t="n">
        <f aca="false">IF(L395="",0,IF(L395=D395,E395,-E395))</f>
        <v>-64500</v>
      </c>
      <c r="N395" s="102" t="str">
        <f aca="false">IF(L395="","",IFERROR(INDEX(AK_BARIS,MATCH(L395,AK_NAMA,0)),"?"))</f>
        <v>OP6</v>
      </c>
      <c r="O395" s="102" t="str">
        <f aca="false">IF(C395="","",IFERROR(INDEX(AK_KEL,MATCH(C395,AK_NAMA,0)),"?"))</f>
        <v>BEBAN</v>
      </c>
      <c r="P395" s="102" t="str">
        <f aca="false">IF(D395="","",IFERROR(INDEX(AK_KEL,MATCH(D395,AK_NAMA,0)),"?"))</f>
        <v>ASET</v>
      </c>
      <c r="Q395" s="102" t="n">
        <f aca="false">N(Q394)+IF(AND(N(E395)&lt;&gt;0,K395=TAHUN,N(J395)&lt;=BLN,OR(C395=BB_AKUN,D395=BB_AKUN)),1,0)</f>
        <v>255</v>
      </c>
      <c r="R395" s="104" t="str">
        <f aca="false">IF(OR(C395&amp;D395="",N(E395)=0),"",IF(OR(O395="?",P395="?"),"⚠ akun tidak dikenal",IF(C395=D395,"⚠ debet = kredit","")))</f>
        <v/>
      </c>
    </row>
    <row r="396" customFormat="false" ht="15" hidden="false" customHeight="false" outlineLevel="0" collapsed="false">
      <c r="A396" s="82" t="s">
        <v>1149</v>
      </c>
      <c r="B396" s="101" t="n">
        <v>46108</v>
      </c>
      <c r="C396" s="82" t="s">
        <v>485</v>
      </c>
      <c r="D396" s="82" t="s">
        <v>486</v>
      </c>
      <c r="E396" s="91" t="n">
        <v>20000</v>
      </c>
      <c r="F396" s="82" t="s">
        <v>555</v>
      </c>
      <c r="G396" s="82"/>
      <c r="H396" s="82"/>
      <c r="I396" s="82" t="s">
        <v>250</v>
      </c>
      <c r="J396" s="102" t="n">
        <f aca="false">IF(B396="","",MONTH(B396))</f>
        <v>3</v>
      </c>
      <c r="K396" s="102" t="n">
        <f aca="false">IF(B396="","",YEAR(B396))</f>
        <v>2026</v>
      </c>
      <c r="L396" s="102" t="str">
        <f aca="false">IF(N(E396)=0,"",IF(COUNTIFS(AK_NAMA,C396,AK_KAT,"KAS")+COUNTIFS(AK_NAMA,D396,AK_KAT,"KAS")&lt;&gt;1,"",IF(COUNTIFS(AK_NAMA,C396,AK_KAT,"KAS")=1,D396,C396)))</f>
        <v>Biaya Operasional Harian</v>
      </c>
      <c r="M396" s="103" t="n">
        <f aca="false">IF(L396="",0,IF(L396=D396,E396,-E396))</f>
        <v>-20000</v>
      </c>
      <c r="N396" s="102" t="str">
        <f aca="false">IF(L396="","",IFERROR(INDEX(AK_BARIS,MATCH(L396,AK_NAMA,0)),"?"))</f>
        <v>OP6</v>
      </c>
      <c r="O396" s="102" t="str">
        <f aca="false">IF(C396="","",IFERROR(INDEX(AK_KEL,MATCH(C396,AK_NAMA,0)),"?"))</f>
        <v>BEBAN</v>
      </c>
      <c r="P396" s="102" t="str">
        <f aca="false">IF(D396="","",IFERROR(INDEX(AK_KEL,MATCH(D396,AK_NAMA,0)),"?"))</f>
        <v>ASET</v>
      </c>
      <c r="Q396" s="102" t="n">
        <f aca="false">N(Q395)+IF(AND(N(E396)&lt;&gt;0,K396=TAHUN,N(J396)&lt;=BLN,OR(C396=BB_AKUN,D396=BB_AKUN)),1,0)</f>
        <v>255</v>
      </c>
      <c r="R396" s="104" t="str">
        <f aca="false">IF(OR(C396&amp;D396="",N(E396)=0),"",IF(OR(O396="?",P396="?"),"⚠ akun tidak dikenal",IF(C396=D396,"⚠ debet = kredit","")))</f>
        <v/>
      </c>
    </row>
    <row r="397" customFormat="false" ht="15" hidden="false" customHeight="false" outlineLevel="0" collapsed="false">
      <c r="A397" s="82" t="s">
        <v>1150</v>
      </c>
      <c r="B397" s="101" t="n">
        <v>46108</v>
      </c>
      <c r="C397" s="82" t="s">
        <v>486</v>
      </c>
      <c r="D397" s="82" t="s">
        <v>475</v>
      </c>
      <c r="E397" s="91" t="n">
        <v>500000</v>
      </c>
      <c r="F397" s="82" t="s">
        <v>622</v>
      </c>
      <c r="G397" s="82"/>
      <c r="H397" s="82"/>
      <c r="I397" s="82" t="s">
        <v>250</v>
      </c>
      <c r="J397" s="102" t="n">
        <f aca="false">IF(B397="","",MONTH(B397))</f>
        <v>3</v>
      </c>
      <c r="K397" s="102" t="n">
        <f aca="false">IF(B397="","",YEAR(B397))</f>
        <v>2026</v>
      </c>
      <c r="L397" s="102" t="str">
        <f aca="false">IF(N(E397)=0,"",IF(COUNTIFS(AK_NAMA,C397,AK_KAT,"KAS")+COUNTIFS(AK_NAMA,D397,AK_KAT,"KAS")&lt;&gt;1,"",IF(COUNTIFS(AK_NAMA,C397,AK_KAT,"KAS")=1,D397,C397)))</f>
        <v/>
      </c>
      <c r="M397" s="103" t="n">
        <f aca="false">IF(L397="",0,IF(L397=D397,E397,-E397))</f>
        <v>0</v>
      </c>
      <c r="N397" s="102" t="str">
        <f aca="false">IF(L397="","",IFERROR(INDEX(AK_BARIS,MATCH(L397,AK_NAMA,0)),"?"))</f>
        <v/>
      </c>
      <c r="O397" s="102" t="str">
        <f aca="false">IF(C397="","",IFERROR(INDEX(AK_KEL,MATCH(C397,AK_NAMA,0)),"?"))</f>
        <v>ASET</v>
      </c>
      <c r="P397" s="102" t="str">
        <f aca="false">IF(D397="","",IFERROR(INDEX(AK_KEL,MATCH(D397,AK_NAMA,0)),"?"))</f>
        <v>ASET</v>
      </c>
      <c r="Q397" s="102" t="n">
        <f aca="false">N(Q396)+IF(AND(N(E397)&lt;&gt;0,K397=TAHUN,N(J397)&lt;=BLN,OR(C397=BB_AKUN,D397=BB_AKUN)),1,0)</f>
        <v>255</v>
      </c>
      <c r="R397" s="104" t="str">
        <f aca="false">IF(OR(C397&amp;D397="",N(E397)=0),"",IF(OR(O397="?",P397="?"),"⚠ akun tidak dikenal",IF(C397=D397,"⚠ debet = kredit","")))</f>
        <v/>
      </c>
    </row>
    <row r="398" customFormat="false" ht="15" hidden="false" customHeight="false" outlineLevel="0" collapsed="false">
      <c r="A398" s="82" t="s">
        <v>1151</v>
      </c>
      <c r="B398" s="101" t="n">
        <v>46108</v>
      </c>
      <c r="C398" s="82" t="s">
        <v>470</v>
      </c>
      <c r="D398" s="82" t="s">
        <v>461</v>
      </c>
      <c r="E398" s="91" t="n">
        <v>1632000</v>
      </c>
      <c r="F398" s="82" t="s">
        <v>1152</v>
      </c>
      <c r="G398" s="82"/>
      <c r="H398" s="82"/>
      <c r="I398" s="82" t="s">
        <v>250</v>
      </c>
      <c r="J398" s="102" t="n">
        <f aca="false">IF(B398="","",MONTH(B398))</f>
        <v>3</v>
      </c>
      <c r="K398" s="102" t="n">
        <f aca="false">IF(B398="","",YEAR(B398))</f>
        <v>2026</v>
      </c>
      <c r="L398" s="102" t="str">
        <f aca="false">IF(N(E398)=0,"",IF(COUNTIFS(AK_NAMA,C398,AK_KAT,"KAS")+COUNTIFS(AK_NAMA,D398,AK_KAT,"KAS")&lt;&gt;1,"",IF(COUNTIFS(AK_NAMA,C398,AK_KAT,"KAS")=1,D398,C398)))</f>
        <v>Biaya Bahan Baku</v>
      </c>
      <c r="M398" s="103" t="n">
        <f aca="false">IF(L398="",0,IF(L398=D398,E398,-E398))</f>
        <v>-1632000</v>
      </c>
      <c r="N398" s="102" t="str">
        <f aca="false">IF(L398="","",IFERROR(INDEX(AK_BARIS,MATCH(L398,AK_NAMA,0)),"?"))</f>
        <v>OP3</v>
      </c>
      <c r="O398" s="102" t="str">
        <f aca="false">IF(C398="","",IFERROR(INDEX(AK_KEL,MATCH(C398,AK_NAMA,0)),"?"))</f>
        <v>BEBAN</v>
      </c>
      <c r="P398" s="102" t="str">
        <f aca="false">IF(D398="","",IFERROR(INDEX(AK_KEL,MATCH(D398,AK_NAMA,0)),"?"))</f>
        <v>ASET</v>
      </c>
      <c r="Q398" s="102" t="n">
        <f aca="false">N(Q397)+IF(AND(N(E398)&lt;&gt;0,K398=TAHUN,N(J398)&lt;=BLN,OR(C398=BB_AKUN,D398=BB_AKUN)),1,0)</f>
        <v>256</v>
      </c>
      <c r="R398" s="104" t="str">
        <f aca="false">IF(OR(C398&amp;D398="",N(E398)=0),"",IF(OR(O398="?",P398="?"),"⚠ akun tidak dikenal",IF(C398=D398,"⚠ debet = kredit","")))</f>
        <v/>
      </c>
    </row>
    <row r="399" customFormat="false" ht="15" hidden="false" customHeight="false" outlineLevel="0" collapsed="false">
      <c r="A399" s="82" t="s">
        <v>1153</v>
      </c>
      <c r="B399" s="101" t="n">
        <v>46108</v>
      </c>
      <c r="C399" s="82" t="s">
        <v>470</v>
      </c>
      <c r="D399" s="82" t="s">
        <v>461</v>
      </c>
      <c r="E399" s="91" t="n">
        <v>30000</v>
      </c>
      <c r="F399" s="82" t="s">
        <v>1154</v>
      </c>
      <c r="G399" s="82"/>
      <c r="H399" s="82"/>
      <c r="I399" s="82" t="s">
        <v>250</v>
      </c>
      <c r="J399" s="102" t="n">
        <f aca="false">IF(B399="","",MONTH(B399))</f>
        <v>3</v>
      </c>
      <c r="K399" s="102" t="n">
        <f aca="false">IF(B399="","",YEAR(B399))</f>
        <v>2026</v>
      </c>
      <c r="L399" s="102" t="str">
        <f aca="false">IF(N(E399)=0,"",IF(COUNTIFS(AK_NAMA,C399,AK_KAT,"KAS")+COUNTIFS(AK_NAMA,D399,AK_KAT,"KAS")&lt;&gt;1,"",IF(COUNTIFS(AK_NAMA,C399,AK_KAT,"KAS")=1,D399,C399)))</f>
        <v>Biaya Bahan Baku</v>
      </c>
      <c r="M399" s="103" t="n">
        <f aca="false">IF(L399="",0,IF(L399=D399,E399,-E399))</f>
        <v>-30000</v>
      </c>
      <c r="N399" s="102" t="str">
        <f aca="false">IF(L399="","",IFERROR(INDEX(AK_BARIS,MATCH(L399,AK_NAMA,0)),"?"))</f>
        <v>OP3</v>
      </c>
      <c r="O399" s="102" t="str">
        <f aca="false">IF(C399="","",IFERROR(INDEX(AK_KEL,MATCH(C399,AK_NAMA,0)),"?"))</f>
        <v>BEBAN</v>
      </c>
      <c r="P399" s="102" t="str">
        <f aca="false">IF(D399="","",IFERROR(INDEX(AK_KEL,MATCH(D399,AK_NAMA,0)),"?"))</f>
        <v>ASET</v>
      </c>
      <c r="Q399" s="102" t="n">
        <f aca="false">N(Q398)+IF(AND(N(E399)&lt;&gt;0,K399=TAHUN,N(J399)&lt;=BLN,OR(C399=BB_AKUN,D399=BB_AKUN)),1,0)</f>
        <v>257</v>
      </c>
      <c r="R399" s="104" t="str">
        <f aca="false">IF(OR(C399&amp;D399="",N(E399)=0),"",IF(OR(O399="?",P399="?"),"⚠ akun tidak dikenal",IF(C399=D399,"⚠ debet = kredit","")))</f>
        <v/>
      </c>
    </row>
    <row r="400" customFormat="false" ht="15" hidden="false" customHeight="false" outlineLevel="0" collapsed="false">
      <c r="A400" s="82" t="s">
        <v>1155</v>
      </c>
      <c r="B400" s="101" t="n">
        <v>46108</v>
      </c>
      <c r="C400" s="82" t="s">
        <v>470</v>
      </c>
      <c r="D400" s="82" t="s">
        <v>461</v>
      </c>
      <c r="E400" s="91" t="n">
        <v>190000</v>
      </c>
      <c r="F400" s="82" t="s">
        <v>1156</v>
      </c>
      <c r="G400" s="82"/>
      <c r="H400" s="82"/>
      <c r="I400" s="82" t="s">
        <v>250</v>
      </c>
      <c r="J400" s="102" t="n">
        <f aca="false">IF(B400="","",MONTH(B400))</f>
        <v>3</v>
      </c>
      <c r="K400" s="102" t="n">
        <f aca="false">IF(B400="","",YEAR(B400))</f>
        <v>2026</v>
      </c>
      <c r="L400" s="102" t="str">
        <f aca="false">IF(N(E400)=0,"",IF(COUNTIFS(AK_NAMA,C400,AK_KAT,"KAS")+COUNTIFS(AK_NAMA,D400,AK_KAT,"KAS")&lt;&gt;1,"",IF(COUNTIFS(AK_NAMA,C400,AK_KAT,"KAS")=1,D400,C400)))</f>
        <v>Biaya Bahan Baku</v>
      </c>
      <c r="M400" s="103" t="n">
        <f aca="false">IF(L400="",0,IF(L400=D400,E400,-E400))</f>
        <v>-190000</v>
      </c>
      <c r="N400" s="102" t="str">
        <f aca="false">IF(L400="","",IFERROR(INDEX(AK_BARIS,MATCH(L400,AK_NAMA,0)),"?"))</f>
        <v>OP3</v>
      </c>
      <c r="O400" s="102" t="str">
        <f aca="false">IF(C400="","",IFERROR(INDEX(AK_KEL,MATCH(C400,AK_NAMA,0)),"?"))</f>
        <v>BEBAN</v>
      </c>
      <c r="P400" s="102" t="str">
        <f aca="false">IF(D400="","",IFERROR(INDEX(AK_KEL,MATCH(D400,AK_NAMA,0)),"?"))</f>
        <v>ASET</v>
      </c>
      <c r="Q400" s="102" t="n">
        <f aca="false">N(Q399)+IF(AND(N(E400)&lt;&gt;0,K400=TAHUN,N(J400)&lt;=BLN,OR(C400=BB_AKUN,D400=BB_AKUN)),1,0)</f>
        <v>258</v>
      </c>
      <c r="R400" s="104" t="str">
        <f aca="false">IF(OR(C400&amp;D400="",N(E400)=0),"",IF(OR(O400="?",P400="?"),"⚠ akun tidak dikenal",IF(C400=D400,"⚠ debet = kredit","")))</f>
        <v/>
      </c>
    </row>
    <row r="401" customFormat="false" ht="15" hidden="false" customHeight="false" outlineLevel="0" collapsed="false">
      <c r="A401" s="82" t="s">
        <v>1157</v>
      </c>
      <c r="B401" s="101" t="n">
        <v>46109</v>
      </c>
      <c r="C401" s="82" t="s">
        <v>524</v>
      </c>
      <c r="D401" s="82" t="s">
        <v>461</v>
      </c>
      <c r="E401" s="91" t="n">
        <v>1325</v>
      </c>
      <c r="F401" s="82" t="s">
        <v>1158</v>
      </c>
      <c r="G401" s="82"/>
      <c r="H401" s="82"/>
      <c r="I401" s="82" t="s">
        <v>250</v>
      </c>
      <c r="J401" s="102" t="n">
        <f aca="false">IF(B401="","",MONTH(B401))</f>
        <v>3</v>
      </c>
      <c r="K401" s="102" t="n">
        <f aca="false">IF(B401="","",YEAR(B401))</f>
        <v>2026</v>
      </c>
      <c r="L401" s="102" t="str">
        <f aca="false">IF(N(E401)=0,"",IF(COUNTIFS(AK_NAMA,C401,AK_KAT,"KAS")+COUNTIFS(AK_NAMA,D401,AK_KAT,"KAS")&lt;&gt;1,"",IF(COUNTIFS(AK_NAMA,C401,AK_KAT,"KAS")=1,D401,C401)))</f>
        <v>Biaya Lainnya</v>
      </c>
      <c r="M401" s="103" t="n">
        <f aca="false">IF(L401="",0,IF(L401=D401,E401,-E401))</f>
        <v>-1325</v>
      </c>
      <c r="N401" s="102" t="str">
        <f aca="false">IF(L401="","",IFERROR(INDEX(AK_BARIS,MATCH(L401,AK_NAMA,0)),"?"))</f>
        <v>OP2</v>
      </c>
      <c r="O401" s="102" t="str">
        <f aca="false">IF(C401="","",IFERROR(INDEX(AK_KEL,MATCH(C401,AK_NAMA,0)),"?"))</f>
        <v>BEBAN</v>
      </c>
      <c r="P401" s="102" t="str">
        <f aca="false">IF(D401="","",IFERROR(INDEX(AK_KEL,MATCH(D401,AK_NAMA,0)),"?"))</f>
        <v>ASET</v>
      </c>
      <c r="Q401" s="102" t="n">
        <f aca="false">N(Q400)+IF(AND(N(E401)&lt;&gt;0,K401=TAHUN,N(J401)&lt;=BLN,OR(C401=BB_AKUN,D401=BB_AKUN)),1,0)</f>
        <v>259</v>
      </c>
      <c r="R401" s="104" t="str">
        <f aca="false">IF(OR(C401&amp;D401="",N(E401)=0),"",IF(OR(O401="?",P401="?"),"⚠ akun tidak dikenal",IF(C401=D401,"⚠ debet = kredit","")))</f>
        <v/>
      </c>
    </row>
    <row r="402" customFormat="false" ht="15" hidden="false" customHeight="false" outlineLevel="0" collapsed="false">
      <c r="A402" s="82" t="s">
        <v>1159</v>
      </c>
      <c r="B402" s="101" t="n">
        <v>46109</v>
      </c>
      <c r="C402" s="82" t="s">
        <v>548</v>
      </c>
      <c r="D402" s="82" t="s">
        <v>461</v>
      </c>
      <c r="E402" s="91" t="n">
        <v>283210</v>
      </c>
      <c r="F402" s="82" t="s">
        <v>1160</v>
      </c>
      <c r="G402" s="82"/>
      <c r="H402" s="82"/>
      <c r="I402" s="82" t="s">
        <v>250</v>
      </c>
      <c r="J402" s="102" t="n">
        <f aca="false">IF(B402="","",MONTH(B402))</f>
        <v>3</v>
      </c>
      <c r="K402" s="102" t="n">
        <f aca="false">IF(B402="","",YEAR(B402))</f>
        <v>2026</v>
      </c>
      <c r="L402" s="102" t="str">
        <f aca="false">IF(N(E402)=0,"",IF(COUNTIFS(AK_NAMA,C402,AK_KAT,"KAS")+COUNTIFS(AK_NAMA,D402,AK_KAT,"KAS")&lt;&gt;1,"",IF(COUNTIFS(AK_NAMA,C402,AK_KAT,"KAS")=1,D402,C402)))</f>
        <v>Beban Perlengkapan</v>
      </c>
      <c r="M402" s="103" t="n">
        <f aca="false">IF(L402="",0,IF(L402=D402,E402,-E402))</f>
        <v>-283210</v>
      </c>
      <c r="N402" s="102" t="str">
        <f aca="false">IF(L402="","",IFERROR(INDEX(AK_BARIS,MATCH(L402,AK_NAMA,0)),"?"))</f>
        <v>OP6</v>
      </c>
      <c r="O402" s="102" t="str">
        <f aca="false">IF(C402="","",IFERROR(INDEX(AK_KEL,MATCH(C402,AK_NAMA,0)),"?"))</f>
        <v>BEBAN</v>
      </c>
      <c r="P402" s="102" t="str">
        <f aca="false">IF(D402="","",IFERROR(INDEX(AK_KEL,MATCH(D402,AK_NAMA,0)),"?"))</f>
        <v>ASET</v>
      </c>
      <c r="Q402" s="102" t="n">
        <f aca="false">N(Q401)+IF(AND(N(E402)&lt;&gt;0,K402=TAHUN,N(J402)&lt;=BLN,OR(C402=BB_AKUN,D402=BB_AKUN)),1,0)</f>
        <v>260</v>
      </c>
      <c r="R402" s="104" t="str">
        <f aca="false">IF(OR(C402&amp;D402="",N(E402)=0),"",IF(OR(O402="?",P402="?"),"⚠ akun tidak dikenal",IF(C402=D402,"⚠ debet = kredit","")))</f>
        <v/>
      </c>
    </row>
    <row r="403" customFormat="false" ht="15" hidden="false" customHeight="false" outlineLevel="0" collapsed="false">
      <c r="A403" s="82" t="s">
        <v>1161</v>
      </c>
      <c r="B403" s="101" t="n">
        <v>46109</v>
      </c>
      <c r="C403" s="82" t="s">
        <v>461</v>
      </c>
      <c r="D403" s="82" t="s">
        <v>475</v>
      </c>
      <c r="E403" s="91" t="n">
        <v>3000000</v>
      </c>
      <c r="F403" s="82" t="s">
        <v>560</v>
      </c>
      <c r="G403" s="82"/>
      <c r="H403" s="82"/>
      <c r="I403" s="82" t="s">
        <v>250</v>
      </c>
      <c r="J403" s="102" t="n">
        <f aca="false">IF(B403="","",MONTH(B403))</f>
        <v>3</v>
      </c>
      <c r="K403" s="102" t="n">
        <f aca="false">IF(B403="","",YEAR(B403))</f>
        <v>2026</v>
      </c>
      <c r="L403" s="102" t="str">
        <f aca="false">IF(N(E403)=0,"",IF(COUNTIFS(AK_NAMA,C403,AK_KAT,"KAS")+COUNTIFS(AK_NAMA,D403,AK_KAT,"KAS")&lt;&gt;1,"",IF(COUNTIFS(AK_NAMA,C403,AK_KAT,"KAS")=1,D403,C403)))</f>
        <v/>
      </c>
      <c r="M403" s="103" t="n">
        <f aca="false">IF(L403="",0,IF(L403=D403,E403,-E403))</f>
        <v>0</v>
      </c>
      <c r="N403" s="102" t="str">
        <f aca="false">IF(L403="","",IFERROR(INDEX(AK_BARIS,MATCH(L403,AK_NAMA,0)),"?"))</f>
        <v/>
      </c>
      <c r="O403" s="102" t="str">
        <f aca="false">IF(C403="","",IFERROR(INDEX(AK_KEL,MATCH(C403,AK_NAMA,0)),"?"))</f>
        <v>ASET</v>
      </c>
      <c r="P403" s="102" t="str">
        <f aca="false">IF(D403="","",IFERROR(INDEX(AK_KEL,MATCH(D403,AK_NAMA,0)),"?"))</f>
        <v>ASET</v>
      </c>
      <c r="Q403" s="102" t="n">
        <f aca="false">N(Q402)+IF(AND(N(E403)&lt;&gt;0,K403=TAHUN,N(J403)&lt;=BLN,OR(C403=BB_AKUN,D403=BB_AKUN)),1,0)</f>
        <v>261</v>
      </c>
      <c r="R403" s="104" t="str">
        <f aca="false">IF(OR(C403&amp;D403="",N(E403)=0),"",IF(OR(O403="?",P403="?"),"⚠ akun tidak dikenal",IF(C403=D403,"⚠ debet = kredit","")))</f>
        <v/>
      </c>
    </row>
    <row r="404" customFormat="false" ht="15" hidden="false" customHeight="false" outlineLevel="0" collapsed="false">
      <c r="A404" s="82" t="s">
        <v>1162</v>
      </c>
      <c r="B404" s="101" t="n">
        <v>46109</v>
      </c>
      <c r="C404" s="82" t="s">
        <v>672</v>
      </c>
      <c r="D404" s="82" t="s">
        <v>461</v>
      </c>
      <c r="E404" s="91" t="n">
        <v>1742240</v>
      </c>
      <c r="F404" s="82" t="s">
        <v>1163</v>
      </c>
      <c r="G404" s="82"/>
      <c r="H404" s="82"/>
      <c r="I404" s="82" t="s">
        <v>250</v>
      </c>
      <c r="J404" s="102" t="n">
        <f aca="false">IF(B404="","",MONTH(B404))</f>
        <v>3</v>
      </c>
      <c r="K404" s="102" t="n">
        <f aca="false">IF(B404="","",YEAR(B404))</f>
        <v>2026</v>
      </c>
      <c r="L404" s="102" t="str">
        <f aca="false">IF(N(E404)=0,"",IF(COUNTIFS(AK_NAMA,C404,AK_KAT,"KAS")+COUNTIFS(AK_NAMA,D404,AK_KAT,"KAS")&lt;&gt;1,"",IF(COUNTIFS(AK_NAMA,C404,AK_KAT,"KAS")=1,D404,C404)))</f>
        <v>Peralatan</v>
      </c>
      <c r="M404" s="103" t="n">
        <f aca="false">IF(L404="",0,IF(L404=D404,E404,-E404))</f>
        <v>-1742240</v>
      </c>
      <c r="N404" s="102" t="str">
        <f aca="false">IF(L404="","",IFERROR(INDEX(AK_BARIS,MATCH(L404,AK_NAMA,0)),"?"))</f>
        <v>IN1</v>
      </c>
      <c r="O404" s="102" t="str">
        <f aca="false">IF(C404="","",IFERROR(INDEX(AK_KEL,MATCH(C404,AK_NAMA,0)),"?"))</f>
        <v>ASET</v>
      </c>
      <c r="P404" s="102" t="str">
        <f aca="false">IF(D404="","",IFERROR(INDEX(AK_KEL,MATCH(D404,AK_NAMA,0)),"?"))</f>
        <v>ASET</v>
      </c>
      <c r="Q404" s="102" t="n">
        <f aca="false">N(Q403)+IF(AND(N(E404)&lt;&gt;0,K404=TAHUN,N(J404)&lt;=BLN,OR(C404=BB_AKUN,D404=BB_AKUN)),1,0)</f>
        <v>262</v>
      </c>
      <c r="R404" s="104" t="str">
        <f aca="false">IF(OR(C404&amp;D404="",N(E404)=0),"",IF(OR(O404="?",P404="?"),"⚠ akun tidak dikenal",IF(C404=D404,"⚠ debet = kredit","")))</f>
        <v/>
      </c>
    </row>
    <row r="405" customFormat="false" ht="15" hidden="false" customHeight="false" outlineLevel="0" collapsed="false">
      <c r="A405" s="82" t="s">
        <v>1164</v>
      </c>
      <c r="B405" s="101" t="n">
        <v>46110</v>
      </c>
      <c r="C405" s="82" t="s">
        <v>470</v>
      </c>
      <c r="D405" s="82" t="s">
        <v>461</v>
      </c>
      <c r="E405" s="91" t="n">
        <v>1512000</v>
      </c>
      <c r="F405" s="82" t="s">
        <v>1165</v>
      </c>
      <c r="G405" s="82"/>
      <c r="H405" s="82"/>
      <c r="I405" s="82" t="s">
        <v>250</v>
      </c>
      <c r="J405" s="102" t="n">
        <f aca="false">IF(B405="","",MONTH(B405))</f>
        <v>3</v>
      </c>
      <c r="K405" s="102" t="n">
        <f aca="false">IF(B405="","",YEAR(B405))</f>
        <v>2026</v>
      </c>
      <c r="L405" s="102" t="str">
        <f aca="false">IF(N(E405)=0,"",IF(COUNTIFS(AK_NAMA,C405,AK_KAT,"KAS")+COUNTIFS(AK_NAMA,D405,AK_KAT,"KAS")&lt;&gt;1,"",IF(COUNTIFS(AK_NAMA,C405,AK_KAT,"KAS")=1,D405,C405)))</f>
        <v>Biaya Bahan Baku</v>
      </c>
      <c r="M405" s="103" t="n">
        <f aca="false">IF(L405="",0,IF(L405=D405,E405,-E405))</f>
        <v>-1512000</v>
      </c>
      <c r="N405" s="102" t="str">
        <f aca="false">IF(L405="","",IFERROR(INDEX(AK_BARIS,MATCH(L405,AK_NAMA,0)),"?"))</f>
        <v>OP3</v>
      </c>
      <c r="O405" s="102" t="str">
        <f aca="false">IF(C405="","",IFERROR(INDEX(AK_KEL,MATCH(C405,AK_NAMA,0)),"?"))</f>
        <v>BEBAN</v>
      </c>
      <c r="P405" s="102" t="str">
        <f aca="false">IF(D405="","",IFERROR(INDEX(AK_KEL,MATCH(D405,AK_NAMA,0)),"?"))</f>
        <v>ASET</v>
      </c>
      <c r="Q405" s="102" t="n">
        <f aca="false">N(Q404)+IF(AND(N(E405)&lt;&gt;0,K405=TAHUN,N(J405)&lt;=BLN,OR(C405=BB_AKUN,D405=BB_AKUN)),1,0)</f>
        <v>263</v>
      </c>
      <c r="R405" s="104" t="str">
        <f aca="false">IF(OR(C405&amp;D405="",N(E405)=0),"",IF(OR(O405="?",P405="?"),"⚠ akun tidak dikenal",IF(C405=D405,"⚠ debet = kredit","")))</f>
        <v/>
      </c>
    </row>
    <row r="406" customFormat="false" ht="15" hidden="false" customHeight="false" outlineLevel="0" collapsed="false">
      <c r="A406" s="82" t="s">
        <v>1166</v>
      </c>
      <c r="B406" s="101" t="n">
        <v>46110</v>
      </c>
      <c r="C406" s="82" t="s">
        <v>576</v>
      </c>
      <c r="D406" s="82" t="s">
        <v>461</v>
      </c>
      <c r="E406" s="91" t="n">
        <v>18567000</v>
      </c>
      <c r="F406" s="82" t="s">
        <v>724</v>
      </c>
      <c r="G406" s="82"/>
      <c r="H406" s="82"/>
      <c r="I406" s="82" t="s">
        <v>250</v>
      </c>
      <c r="J406" s="102" t="n">
        <f aca="false">IF(B406="","",MONTH(B406))</f>
        <v>3</v>
      </c>
      <c r="K406" s="102" t="n">
        <f aca="false">IF(B406="","",YEAR(B406))</f>
        <v>2026</v>
      </c>
      <c r="L406" s="102" t="str">
        <f aca="false">IF(N(E406)=0,"",IF(COUNTIFS(AK_NAMA,C406,AK_KAT,"KAS")+COUNTIFS(AK_NAMA,D406,AK_KAT,"KAS")&lt;&gt;1,"",IF(COUNTIFS(AK_NAMA,C406,AK_KAT,"KAS")=1,D406,C406)))</f>
        <v>Beban Gaji</v>
      </c>
      <c r="M406" s="103" t="n">
        <f aca="false">IF(L406="",0,IF(L406=D406,E406,-E406))</f>
        <v>-18567000</v>
      </c>
      <c r="N406" s="102" t="str">
        <f aca="false">IF(L406="","",IFERROR(INDEX(AK_BARIS,MATCH(L406,AK_NAMA,0)),"?"))</f>
        <v>OP4</v>
      </c>
      <c r="O406" s="102" t="str">
        <f aca="false">IF(C406="","",IFERROR(INDEX(AK_KEL,MATCH(C406,AK_NAMA,0)),"?"))</f>
        <v>BEBAN</v>
      </c>
      <c r="P406" s="102" t="str">
        <f aca="false">IF(D406="","",IFERROR(INDEX(AK_KEL,MATCH(D406,AK_NAMA,0)),"?"))</f>
        <v>ASET</v>
      </c>
      <c r="Q406" s="102" t="n">
        <f aca="false">N(Q405)+IF(AND(N(E406)&lt;&gt;0,K406=TAHUN,N(J406)&lt;=BLN,OR(C406=BB_AKUN,D406=BB_AKUN)),1,0)</f>
        <v>264</v>
      </c>
      <c r="R406" s="104" t="str">
        <f aca="false">IF(OR(C406&amp;D406="",N(E406)=0),"",IF(OR(O406="?",P406="?"),"⚠ akun tidak dikenal",IF(C406=D406,"⚠ debet = kredit","")))</f>
        <v/>
      </c>
    </row>
    <row r="407" customFormat="false" ht="15" hidden="false" customHeight="false" outlineLevel="0" collapsed="false">
      <c r="A407" s="82" t="s">
        <v>1167</v>
      </c>
      <c r="B407" s="101" t="n">
        <v>46110</v>
      </c>
      <c r="C407" s="82" t="s">
        <v>576</v>
      </c>
      <c r="D407" s="82" t="s">
        <v>461</v>
      </c>
      <c r="E407" s="91" t="n">
        <v>1500000</v>
      </c>
      <c r="F407" s="82" t="s">
        <v>726</v>
      </c>
      <c r="G407" s="82"/>
      <c r="H407" s="82"/>
      <c r="I407" s="82" t="s">
        <v>250</v>
      </c>
      <c r="J407" s="102" t="n">
        <f aca="false">IF(B407="","",MONTH(B407))</f>
        <v>3</v>
      </c>
      <c r="K407" s="102" t="n">
        <f aca="false">IF(B407="","",YEAR(B407))</f>
        <v>2026</v>
      </c>
      <c r="L407" s="102" t="str">
        <f aca="false">IF(N(E407)=0,"",IF(COUNTIFS(AK_NAMA,C407,AK_KAT,"KAS")+COUNTIFS(AK_NAMA,D407,AK_KAT,"KAS")&lt;&gt;1,"",IF(COUNTIFS(AK_NAMA,C407,AK_KAT,"KAS")=1,D407,C407)))</f>
        <v>Beban Gaji</v>
      </c>
      <c r="M407" s="103" t="n">
        <f aca="false">IF(L407="",0,IF(L407=D407,E407,-E407))</f>
        <v>-1500000</v>
      </c>
      <c r="N407" s="102" t="str">
        <f aca="false">IF(L407="","",IFERROR(INDEX(AK_BARIS,MATCH(L407,AK_NAMA,0)),"?"))</f>
        <v>OP4</v>
      </c>
      <c r="O407" s="102" t="str">
        <f aca="false">IF(C407="","",IFERROR(INDEX(AK_KEL,MATCH(C407,AK_NAMA,0)),"?"))</f>
        <v>BEBAN</v>
      </c>
      <c r="P407" s="102" t="str">
        <f aca="false">IF(D407="","",IFERROR(INDEX(AK_KEL,MATCH(D407,AK_NAMA,0)),"?"))</f>
        <v>ASET</v>
      </c>
      <c r="Q407" s="102" t="n">
        <f aca="false">N(Q406)+IF(AND(N(E407)&lt;&gt;0,K407=TAHUN,N(J407)&lt;=BLN,OR(C407=BB_AKUN,D407=BB_AKUN)),1,0)</f>
        <v>265</v>
      </c>
      <c r="R407" s="104" t="str">
        <f aca="false">IF(OR(C407&amp;D407="",N(E407)=0),"",IF(OR(O407="?",P407="?"),"⚠ akun tidak dikenal",IF(C407=D407,"⚠ debet = kredit","")))</f>
        <v/>
      </c>
    </row>
    <row r="408" customFormat="false" ht="15" hidden="false" customHeight="false" outlineLevel="0" collapsed="false">
      <c r="A408" s="82" t="s">
        <v>1168</v>
      </c>
      <c r="B408" s="101" t="n">
        <v>46110</v>
      </c>
      <c r="C408" s="82" t="s">
        <v>524</v>
      </c>
      <c r="D408" s="82" t="s">
        <v>461</v>
      </c>
      <c r="E408" s="91" t="n">
        <v>13877</v>
      </c>
      <c r="F408" s="82" t="s">
        <v>728</v>
      </c>
      <c r="G408" s="82"/>
      <c r="H408" s="82"/>
      <c r="I408" s="82" t="s">
        <v>250</v>
      </c>
      <c r="J408" s="102" t="n">
        <f aca="false">IF(B408="","",MONTH(B408))</f>
        <v>3</v>
      </c>
      <c r="K408" s="102" t="n">
        <f aca="false">IF(B408="","",YEAR(B408))</f>
        <v>2026</v>
      </c>
      <c r="L408" s="102" t="str">
        <f aca="false">IF(N(E408)=0,"",IF(COUNTIFS(AK_NAMA,C408,AK_KAT,"KAS")+COUNTIFS(AK_NAMA,D408,AK_KAT,"KAS")&lt;&gt;1,"",IF(COUNTIFS(AK_NAMA,C408,AK_KAT,"KAS")=1,D408,C408)))</f>
        <v>Biaya Lainnya</v>
      </c>
      <c r="M408" s="103" t="n">
        <f aca="false">IF(L408="",0,IF(L408=D408,E408,-E408))</f>
        <v>-13877</v>
      </c>
      <c r="N408" s="102" t="str">
        <f aca="false">IF(L408="","",IFERROR(INDEX(AK_BARIS,MATCH(L408,AK_NAMA,0)),"?"))</f>
        <v>OP2</v>
      </c>
      <c r="O408" s="102" t="str">
        <f aca="false">IF(C408="","",IFERROR(INDEX(AK_KEL,MATCH(C408,AK_NAMA,0)),"?"))</f>
        <v>BEBAN</v>
      </c>
      <c r="P408" s="102" t="str">
        <f aca="false">IF(D408="","",IFERROR(INDEX(AK_KEL,MATCH(D408,AK_NAMA,0)),"?"))</f>
        <v>ASET</v>
      </c>
      <c r="Q408" s="102" t="n">
        <f aca="false">N(Q407)+IF(AND(N(E408)&lt;&gt;0,K408=TAHUN,N(J408)&lt;=BLN,OR(C408=BB_AKUN,D408=BB_AKUN)),1,0)</f>
        <v>266</v>
      </c>
      <c r="R408" s="104" t="str">
        <f aca="false">IF(OR(C408&amp;D408="",N(E408)=0),"",IF(OR(O408="?",P408="?"),"⚠ akun tidak dikenal",IF(C408=D408,"⚠ debet = kredit","")))</f>
        <v/>
      </c>
    </row>
    <row r="409" customFormat="false" ht="15" hidden="false" customHeight="false" outlineLevel="0" collapsed="false">
      <c r="A409" s="82" t="s">
        <v>1169</v>
      </c>
      <c r="B409" s="101" t="n">
        <v>46111</v>
      </c>
      <c r="C409" s="82" t="s">
        <v>576</v>
      </c>
      <c r="D409" s="82" t="s">
        <v>475</v>
      </c>
      <c r="E409" s="91" t="n">
        <v>360000</v>
      </c>
      <c r="F409" s="82" t="s">
        <v>1170</v>
      </c>
      <c r="G409" s="82"/>
      <c r="H409" s="82"/>
      <c r="I409" s="82" t="s">
        <v>250</v>
      </c>
      <c r="J409" s="102" t="n">
        <f aca="false">IF(B409="","",MONTH(B409))</f>
        <v>3</v>
      </c>
      <c r="K409" s="102" t="n">
        <f aca="false">IF(B409="","",YEAR(B409))</f>
        <v>2026</v>
      </c>
      <c r="L409" s="102" t="str">
        <f aca="false">IF(N(E409)=0,"",IF(COUNTIFS(AK_NAMA,C409,AK_KAT,"KAS")+COUNTIFS(AK_NAMA,D409,AK_KAT,"KAS")&lt;&gt;1,"",IF(COUNTIFS(AK_NAMA,C409,AK_KAT,"KAS")=1,D409,C409)))</f>
        <v>Beban Gaji</v>
      </c>
      <c r="M409" s="103" t="n">
        <f aca="false">IF(L409="",0,IF(L409=D409,E409,-E409))</f>
        <v>-360000</v>
      </c>
      <c r="N409" s="102" t="str">
        <f aca="false">IF(L409="","",IFERROR(INDEX(AK_BARIS,MATCH(L409,AK_NAMA,0)),"?"))</f>
        <v>OP4</v>
      </c>
      <c r="O409" s="102" t="str">
        <f aca="false">IF(C409="","",IFERROR(INDEX(AK_KEL,MATCH(C409,AK_NAMA,0)),"?"))</f>
        <v>BEBAN</v>
      </c>
      <c r="P409" s="102" t="str">
        <f aca="false">IF(D409="","",IFERROR(INDEX(AK_KEL,MATCH(D409,AK_NAMA,0)),"?"))</f>
        <v>ASET</v>
      </c>
      <c r="Q409" s="102" t="n">
        <f aca="false">N(Q408)+IF(AND(N(E409)&lt;&gt;0,K409=TAHUN,N(J409)&lt;=BLN,OR(C409=BB_AKUN,D409=BB_AKUN)),1,0)</f>
        <v>266</v>
      </c>
      <c r="R409" s="104" t="str">
        <f aca="false">IF(OR(C409&amp;D409="",N(E409)=0),"",IF(OR(O409="?",P409="?"),"⚠ akun tidak dikenal",IF(C409=D409,"⚠ debet = kredit","")))</f>
        <v/>
      </c>
    </row>
    <row r="410" customFormat="false" ht="15" hidden="false" customHeight="false" outlineLevel="0" collapsed="false">
      <c r="A410" s="82" t="s">
        <v>1171</v>
      </c>
      <c r="B410" s="101" t="n">
        <v>46111</v>
      </c>
      <c r="C410" s="82" t="s">
        <v>524</v>
      </c>
      <c r="D410" s="82" t="s">
        <v>461</v>
      </c>
      <c r="E410" s="91" t="n">
        <v>500</v>
      </c>
      <c r="F410" s="82" t="s">
        <v>1172</v>
      </c>
      <c r="G410" s="82"/>
      <c r="H410" s="82"/>
      <c r="I410" s="82" t="s">
        <v>250</v>
      </c>
      <c r="J410" s="102" t="n">
        <f aca="false">IF(B410="","",MONTH(B410))</f>
        <v>3</v>
      </c>
      <c r="K410" s="102" t="n">
        <f aca="false">IF(B410="","",YEAR(B410))</f>
        <v>2026</v>
      </c>
      <c r="L410" s="102" t="str">
        <f aca="false">IF(N(E410)=0,"",IF(COUNTIFS(AK_NAMA,C410,AK_KAT,"KAS")+COUNTIFS(AK_NAMA,D410,AK_KAT,"KAS")&lt;&gt;1,"",IF(COUNTIFS(AK_NAMA,C410,AK_KAT,"KAS")=1,D410,C410)))</f>
        <v>Biaya Lainnya</v>
      </c>
      <c r="M410" s="103" t="n">
        <f aca="false">IF(L410="",0,IF(L410=D410,E410,-E410))</f>
        <v>-500</v>
      </c>
      <c r="N410" s="102" t="str">
        <f aca="false">IF(L410="","",IFERROR(INDEX(AK_BARIS,MATCH(L410,AK_NAMA,0)),"?"))</f>
        <v>OP2</v>
      </c>
      <c r="O410" s="102" t="str">
        <f aca="false">IF(C410="","",IFERROR(INDEX(AK_KEL,MATCH(C410,AK_NAMA,0)),"?"))</f>
        <v>BEBAN</v>
      </c>
      <c r="P410" s="102" t="str">
        <f aca="false">IF(D410="","",IFERROR(INDEX(AK_KEL,MATCH(D410,AK_NAMA,0)),"?"))</f>
        <v>ASET</v>
      </c>
      <c r="Q410" s="102" t="n">
        <f aca="false">N(Q409)+IF(AND(N(E410)&lt;&gt;0,K410=TAHUN,N(J410)&lt;=BLN,OR(C410=BB_AKUN,D410=BB_AKUN)),1,0)</f>
        <v>267</v>
      </c>
      <c r="R410" s="104" t="str">
        <f aca="false">IF(OR(C410&amp;D410="",N(E410)=0),"",IF(OR(O410="?",P410="?"),"⚠ akun tidak dikenal",IF(C410=D410,"⚠ debet = kredit","")))</f>
        <v/>
      </c>
    </row>
    <row r="411" customFormat="false" ht="15" hidden="false" customHeight="false" outlineLevel="0" collapsed="false">
      <c r="A411" s="82" t="s">
        <v>1173</v>
      </c>
      <c r="B411" s="101" t="n">
        <v>46111</v>
      </c>
      <c r="C411" s="82" t="s">
        <v>470</v>
      </c>
      <c r="D411" s="82" t="s">
        <v>461</v>
      </c>
      <c r="E411" s="91" t="n">
        <v>684000</v>
      </c>
      <c r="F411" s="82" t="s">
        <v>1174</v>
      </c>
      <c r="G411" s="82"/>
      <c r="H411" s="82"/>
      <c r="I411" s="82" t="s">
        <v>250</v>
      </c>
      <c r="J411" s="102" t="n">
        <f aca="false">IF(B411="","",MONTH(B411))</f>
        <v>3</v>
      </c>
      <c r="K411" s="102" t="n">
        <f aca="false">IF(B411="","",YEAR(B411))</f>
        <v>2026</v>
      </c>
      <c r="L411" s="102" t="str">
        <f aca="false">IF(N(E411)=0,"",IF(COUNTIFS(AK_NAMA,C411,AK_KAT,"KAS")+COUNTIFS(AK_NAMA,D411,AK_KAT,"KAS")&lt;&gt;1,"",IF(COUNTIFS(AK_NAMA,C411,AK_KAT,"KAS")=1,D411,C411)))</f>
        <v>Biaya Bahan Baku</v>
      </c>
      <c r="M411" s="103" t="n">
        <f aca="false">IF(L411="",0,IF(L411=D411,E411,-E411))</f>
        <v>-684000</v>
      </c>
      <c r="N411" s="102" t="str">
        <f aca="false">IF(L411="","",IFERROR(INDEX(AK_BARIS,MATCH(L411,AK_NAMA,0)),"?"))</f>
        <v>OP3</v>
      </c>
      <c r="O411" s="102" t="str">
        <f aca="false">IF(C411="","",IFERROR(INDEX(AK_KEL,MATCH(C411,AK_NAMA,0)),"?"))</f>
        <v>BEBAN</v>
      </c>
      <c r="P411" s="102" t="str">
        <f aca="false">IF(D411="","",IFERROR(INDEX(AK_KEL,MATCH(D411,AK_NAMA,0)),"?"))</f>
        <v>ASET</v>
      </c>
      <c r="Q411" s="102" t="n">
        <f aca="false">N(Q410)+IF(AND(N(E411)&lt;&gt;0,K411=TAHUN,N(J411)&lt;=BLN,OR(C411=BB_AKUN,D411=BB_AKUN)),1,0)</f>
        <v>268</v>
      </c>
      <c r="R411" s="104" t="str">
        <f aca="false">IF(OR(C411&amp;D411="",N(E411)=0),"",IF(OR(O411="?",P411="?"),"⚠ akun tidak dikenal",IF(C411=D411,"⚠ debet = kredit","")))</f>
        <v/>
      </c>
    </row>
    <row r="412" customFormat="false" ht="15" hidden="false" customHeight="false" outlineLevel="0" collapsed="false">
      <c r="A412" s="82" t="s">
        <v>1175</v>
      </c>
      <c r="B412" s="101" t="n">
        <v>46111</v>
      </c>
      <c r="C412" s="82" t="s">
        <v>470</v>
      </c>
      <c r="D412" s="82" t="s">
        <v>461</v>
      </c>
      <c r="E412" s="91" t="n">
        <v>830000</v>
      </c>
      <c r="F412" s="82" t="s">
        <v>1176</v>
      </c>
      <c r="G412" s="82"/>
      <c r="H412" s="82"/>
      <c r="I412" s="82" t="s">
        <v>250</v>
      </c>
      <c r="J412" s="102" t="n">
        <f aca="false">IF(B412="","",MONTH(B412))</f>
        <v>3</v>
      </c>
      <c r="K412" s="102" t="n">
        <f aca="false">IF(B412="","",YEAR(B412))</f>
        <v>2026</v>
      </c>
      <c r="L412" s="102" t="str">
        <f aca="false">IF(N(E412)=0,"",IF(COUNTIFS(AK_NAMA,C412,AK_KAT,"KAS")+COUNTIFS(AK_NAMA,D412,AK_KAT,"KAS")&lt;&gt;1,"",IF(COUNTIFS(AK_NAMA,C412,AK_KAT,"KAS")=1,D412,C412)))</f>
        <v>Biaya Bahan Baku</v>
      </c>
      <c r="M412" s="103" t="n">
        <f aca="false">IF(L412="",0,IF(L412=D412,E412,-E412))</f>
        <v>-830000</v>
      </c>
      <c r="N412" s="102" t="str">
        <f aca="false">IF(L412="","",IFERROR(INDEX(AK_BARIS,MATCH(L412,AK_NAMA,0)),"?"))</f>
        <v>OP3</v>
      </c>
      <c r="O412" s="102" t="str">
        <f aca="false">IF(C412="","",IFERROR(INDEX(AK_KEL,MATCH(C412,AK_NAMA,0)),"?"))</f>
        <v>BEBAN</v>
      </c>
      <c r="P412" s="102" t="str">
        <f aca="false">IF(D412="","",IFERROR(INDEX(AK_KEL,MATCH(D412,AK_NAMA,0)),"?"))</f>
        <v>ASET</v>
      </c>
      <c r="Q412" s="102" t="n">
        <f aca="false">N(Q411)+IF(AND(N(E412)&lt;&gt;0,K412=TAHUN,N(J412)&lt;=BLN,OR(C412=BB_AKUN,D412=BB_AKUN)),1,0)</f>
        <v>269</v>
      </c>
      <c r="R412" s="104" t="str">
        <f aca="false">IF(OR(C412&amp;D412="",N(E412)=0),"",IF(OR(O412="?",P412="?"),"⚠ akun tidak dikenal",IF(C412=D412,"⚠ debet = kredit","")))</f>
        <v/>
      </c>
    </row>
    <row r="413" customFormat="false" ht="15" hidden="false" customHeight="false" outlineLevel="0" collapsed="false">
      <c r="A413" s="82" t="s">
        <v>1177</v>
      </c>
      <c r="B413" s="101" t="n">
        <v>46112</v>
      </c>
      <c r="C413" s="82" t="s">
        <v>576</v>
      </c>
      <c r="D413" s="82" t="s">
        <v>461</v>
      </c>
      <c r="E413" s="91" t="n">
        <v>4000000</v>
      </c>
      <c r="F413" s="82" t="s">
        <v>1178</v>
      </c>
      <c r="G413" s="82"/>
      <c r="H413" s="82"/>
      <c r="I413" s="82" t="s">
        <v>250</v>
      </c>
      <c r="J413" s="102" t="n">
        <f aca="false">IF(B413="","",MONTH(B413))</f>
        <v>3</v>
      </c>
      <c r="K413" s="102" t="n">
        <f aca="false">IF(B413="","",YEAR(B413))</f>
        <v>2026</v>
      </c>
      <c r="L413" s="102" t="str">
        <f aca="false">IF(N(E413)=0,"",IF(COUNTIFS(AK_NAMA,C413,AK_KAT,"KAS")+COUNTIFS(AK_NAMA,D413,AK_KAT,"KAS")&lt;&gt;1,"",IF(COUNTIFS(AK_NAMA,C413,AK_KAT,"KAS")=1,D413,C413)))</f>
        <v>Beban Gaji</v>
      </c>
      <c r="M413" s="103" t="n">
        <f aca="false">IF(L413="",0,IF(L413=D413,E413,-E413))</f>
        <v>-4000000</v>
      </c>
      <c r="N413" s="102" t="str">
        <f aca="false">IF(L413="","",IFERROR(INDEX(AK_BARIS,MATCH(L413,AK_NAMA,0)),"?"))</f>
        <v>OP4</v>
      </c>
      <c r="O413" s="102" t="str">
        <f aca="false">IF(C413="","",IFERROR(INDEX(AK_KEL,MATCH(C413,AK_NAMA,0)),"?"))</f>
        <v>BEBAN</v>
      </c>
      <c r="P413" s="102" t="str">
        <f aca="false">IF(D413="","",IFERROR(INDEX(AK_KEL,MATCH(D413,AK_NAMA,0)),"?"))</f>
        <v>ASET</v>
      </c>
      <c r="Q413" s="102" t="n">
        <f aca="false">N(Q412)+IF(AND(N(E413)&lt;&gt;0,K413=TAHUN,N(J413)&lt;=BLN,OR(C413=BB_AKUN,D413=BB_AKUN)),1,0)</f>
        <v>270</v>
      </c>
      <c r="R413" s="104" t="str">
        <f aca="false">IF(OR(C413&amp;D413="",N(E413)=0),"",IF(OR(O413="?",P413="?"),"⚠ akun tidak dikenal",IF(C413=D413,"⚠ debet = kredit","")))</f>
        <v/>
      </c>
    </row>
    <row r="414" customFormat="false" ht="15" hidden="false" customHeight="false" outlineLevel="0" collapsed="false">
      <c r="A414" s="82" t="s">
        <v>1179</v>
      </c>
      <c r="B414" s="101" t="n">
        <v>46112</v>
      </c>
      <c r="C414" s="82" t="s">
        <v>464</v>
      </c>
      <c r="D414" s="82" t="s">
        <v>461</v>
      </c>
      <c r="E414" s="91" t="n">
        <v>2500000</v>
      </c>
      <c r="F414" s="82" t="s">
        <v>1180</v>
      </c>
      <c r="G414" s="82"/>
      <c r="H414" s="82"/>
      <c r="I414" s="82" t="s">
        <v>250</v>
      </c>
      <c r="J414" s="102" t="n">
        <f aca="false">IF(B414="","",MONTH(B414))</f>
        <v>3</v>
      </c>
      <c r="K414" s="102" t="n">
        <f aca="false">IF(B414="","",YEAR(B414))</f>
        <v>2026</v>
      </c>
      <c r="L414" s="102" t="str">
        <f aca="false">IF(N(E414)=0,"",IF(COUNTIFS(AK_NAMA,C414,AK_KAT,"KAS")+COUNTIFS(AK_NAMA,D414,AK_KAT,"KAS")&lt;&gt;1,"",IF(COUNTIFS(AK_NAMA,C414,AK_KAT,"KAS")=1,D414,C414)))</f>
        <v>Prive</v>
      </c>
      <c r="M414" s="103" t="n">
        <f aca="false">IF(L414="",0,IF(L414=D414,E414,-E414))</f>
        <v>-2500000</v>
      </c>
      <c r="N414" s="102" t="str">
        <f aca="false">IF(L414="","",IFERROR(INDEX(AK_BARIS,MATCH(L414,AK_NAMA,0)),"?"))</f>
        <v>FN1</v>
      </c>
      <c r="O414" s="102" t="str">
        <f aca="false">IF(C414="","",IFERROR(INDEX(AK_KEL,MATCH(C414,AK_NAMA,0)),"?"))</f>
        <v>EKUITAS</v>
      </c>
      <c r="P414" s="102" t="str">
        <f aca="false">IF(D414="","",IFERROR(INDEX(AK_KEL,MATCH(D414,AK_NAMA,0)),"?"))</f>
        <v>ASET</v>
      </c>
      <c r="Q414" s="102" t="n">
        <f aca="false">N(Q413)+IF(AND(N(E414)&lt;&gt;0,K414=TAHUN,N(J414)&lt;=BLN,OR(C414=BB_AKUN,D414=BB_AKUN)),1,0)</f>
        <v>271</v>
      </c>
      <c r="R414" s="104" t="str">
        <f aca="false">IF(OR(C414&amp;D414="",N(E414)=0),"",IF(OR(O414="?",P414="?"),"⚠ akun tidak dikenal",IF(C414=D414,"⚠ debet = kredit","")))</f>
        <v/>
      </c>
    </row>
    <row r="415" customFormat="false" ht="15" hidden="false" customHeight="false" outlineLevel="0" collapsed="false">
      <c r="A415" s="82" t="s">
        <v>1181</v>
      </c>
      <c r="B415" s="101" t="n">
        <v>46112</v>
      </c>
      <c r="C415" s="82" t="s">
        <v>669</v>
      </c>
      <c r="D415" s="82" t="s">
        <v>461</v>
      </c>
      <c r="E415" s="91" t="n">
        <v>3936281</v>
      </c>
      <c r="F415" s="82" t="s">
        <v>1182</v>
      </c>
      <c r="G415" s="82"/>
      <c r="H415" s="82"/>
      <c r="I415" s="82" t="s">
        <v>250</v>
      </c>
      <c r="J415" s="102" t="n">
        <f aca="false">IF(B415="","",MONTH(B415))</f>
        <v>3</v>
      </c>
      <c r="K415" s="102" t="n">
        <f aca="false">IF(B415="","",YEAR(B415))</f>
        <v>2026</v>
      </c>
      <c r="L415" s="102" t="str">
        <f aca="false">IF(N(E415)=0,"",IF(COUNTIFS(AK_NAMA,C415,AK_KAT,"KAS")+COUNTIFS(AK_NAMA,D415,AK_KAT,"KAS")&lt;&gt;1,"",IF(COUNTIFS(AK_NAMA,C415,AK_KAT,"KAS")=1,D415,C415)))</f>
        <v>Biaya Tagihan Bulanan</v>
      </c>
      <c r="M415" s="103" t="n">
        <f aca="false">IF(L415="",0,IF(L415=D415,E415,-E415))</f>
        <v>-3936281</v>
      </c>
      <c r="N415" s="102" t="str">
        <f aca="false">IF(L415="","",IFERROR(INDEX(AK_BARIS,MATCH(L415,AK_NAMA,0)),"?"))</f>
        <v>OP6</v>
      </c>
      <c r="O415" s="102" t="str">
        <f aca="false">IF(C415="","",IFERROR(INDEX(AK_KEL,MATCH(C415,AK_NAMA,0)),"?"))</f>
        <v>BEBAN</v>
      </c>
      <c r="P415" s="102" t="str">
        <f aca="false">IF(D415="","",IFERROR(INDEX(AK_KEL,MATCH(D415,AK_NAMA,0)),"?"))</f>
        <v>ASET</v>
      </c>
      <c r="Q415" s="102" t="n">
        <f aca="false">N(Q414)+IF(AND(N(E415)&lt;&gt;0,K415=TAHUN,N(J415)&lt;=BLN,OR(C415=BB_AKUN,D415=BB_AKUN)),1,0)</f>
        <v>272</v>
      </c>
      <c r="R415" s="104" t="str">
        <f aca="false">IF(OR(C415&amp;D415="",N(E415)=0),"",IF(OR(O415="?",P415="?"),"⚠ akun tidak dikenal",IF(C415=D415,"⚠ debet = kredit","")))</f>
        <v/>
      </c>
    </row>
    <row r="416" customFormat="false" ht="15" hidden="false" customHeight="false" outlineLevel="0" collapsed="false">
      <c r="A416" s="82" t="s">
        <v>1183</v>
      </c>
      <c r="B416" s="101" t="n">
        <v>46112</v>
      </c>
      <c r="C416" s="82" t="s">
        <v>669</v>
      </c>
      <c r="D416" s="82" t="s">
        <v>461</v>
      </c>
      <c r="E416" s="91" t="n">
        <v>56891</v>
      </c>
      <c r="F416" s="82" t="s">
        <v>1184</v>
      </c>
      <c r="G416" s="82"/>
      <c r="H416" s="82"/>
      <c r="I416" s="82" t="s">
        <v>250</v>
      </c>
      <c r="J416" s="102" t="n">
        <f aca="false">IF(B416="","",MONTH(B416))</f>
        <v>3</v>
      </c>
      <c r="K416" s="102" t="n">
        <f aca="false">IF(B416="","",YEAR(B416))</f>
        <v>2026</v>
      </c>
      <c r="L416" s="102" t="str">
        <f aca="false">IF(N(E416)=0,"",IF(COUNTIFS(AK_NAMA,C416,AK_KAT,"KAS")+COUNTIFS(AK_NAMA,D416,AK_KAT,"KAS")&lt;&gt;1,"",IF(COUNTIFS(AK_NAMA,C416,AK_KAT,"KAS")=1,D416,C416)))</f>
        <v>Biaya Tagihan Bulanan</v>
      </c>
      <c r="M416" s="103" t="n">
        <f aca="false">IF(L416="",0,IF(L416=D416,E416,-E416))</f>
        <v>-56891</v>
      </c>
      <c r="N416" s="102" t="str">
        <f aca="false">IF(L416="","",IFERROR(INDEX(AK_BARIS,MATCH(L416,AK_NAMA,0)),"?"))</f>
        <v>OP6</v>
      </c>
      <c r="O416" s="102" t="str">
        <f aca="false">IF(C416="","",IFERROR(INDEX(AK_KEL,MATCH(C416,AK_NAMA,0)),"?"))</f>
        <v>BEBAN</v>
      </c>
      <c r="P416" s="102" t="str">
        <f aca="false">IF(D416="","",IFERROR(INDEX(AK_KEL,MATCH(D416,AK_NAMA,0)),"?"))</f>
        <v>ASET</v>
      </c>
      <c r="Q416" s="102" t="n">
        <f aca="false">N(Q415)+IF(AND(N(E416)&lt;&gt;0,K416=TAHUN,N(J416)&lt;=BLN,OR(C416=BB_AKUN,D416=BB_AKUN)),1,0)</f>
        <v>273</v>
      </c>
      <c r="R416" s="104" t="str">
        <f aca="false">IF(OR(C416&amp;D416="",N(E416)=0),"",IF(OR(O416="?",P416="?"),"⚠ akun tidak dikenal",IF(C416=D416,"⚠ debet = kredit","")))</f>
        <v/>
      </c>
    </row>
    <row r="417" customFormat="false" ht="15" hidden="false" customHeight="false" outlineLevel="0" collapsed="false">
      <c r="A417" s="82" t="s">
        <v>1185</v>
      </c>
      <c r="B417" s="101" t="n">
        <v>46112</v>
      </c>
      <c r="C417" s="82" t="s">
        <v>669</v>
      </c>
      <c r="D417" s="82" t="s">
        <v>461</v>
      </c>
      <c r="E417" s="91" t="n">
        <v>383120</v>
      </c>
      <c r="F417" s="82" t="s">
        <v>1186</v>
      </c>
      <c r="G417" s="82"/>
      <c r="H417" s="82"/>
      <c r="I417" s="82" t="s">
        <v>250</v>
      </c>
      <c r="J417" s="102" t="n">
        <f aca="false">IF(B417="","",MONTH(B417))</f>
        <v>3</v>
      </c>
      <c r="K417" s="102" t="n">
        <f aca="false">IF(B417="","",YEAR(B417))</f>
        <v>2026</v>
      </c>
      <c r="L417" s="102" t="str">
        <f aca="false">IF(N(E417)=0,"",IF(COUNTIFS(AK_NAMA,C417,AK_KAT,"KAS")+COUNTIFS(AK_NAMA,D417,AK_KAT,"KAS")&lt;&gt;1,"",IF(COUNTIFS(AK_NAMA,C417,AK_KAT,"KAS")=1,D417,C417)))</f>
        <v>Biaya Tagihan Bulanan</v>
      </c>
      <c r="M417" s="103" t="n">
        <f aca="false">IF(L417="",0,IF(L417=D417,E417,-E417))</f>
        <v>-383120</v>
      </c>
      <c r="N417" s="102" t="str">
        <f aca="false">IF(L417="","",IFERROR(INDEX(AK_BARIS,MATCH(L417,AK_NAMA,0)),"?"))</f>
        <v>OP6</v>
      </c>
      <c r="O417" s="102" t="str">
        <f aca="false">IF(C417="","",IFERROR(INDEX(AK_KEL,MATCH(C417,AK_NAMA,0)),"?"))</f>
        <v>BEBAN</v>
      </c>
      <c r="P417" s="102" t="str">
        <f aca="false">IF(D417="","",IFERROR(INDEX(AK_KEL,MATCH(D417,AK_NAMA,0)),"?"))</f>
        <v>ASET</v>
      </c>
      <c r="Q417" s="102" t="n">
        <f aca="false">N(Q416)+IF(AND(N(E417)&lt;&gt;0,K417=TAHUN,N(J417)&lt;=BLN,OR(C417=BB_AKUN,D417=BB_AKUN)),1,0)</f>
        <v>274</v>
      </c>
      <c r="R417" s="104" t="str">
        <f aca="false">IF(OR(C417&amp;D417="",N(E417)=0),"",IF(OR(O417="?",P417="?"),"⚠ akun tidak dikenal",IF(C417=D417,"⚠ debet = kredit","")))</f>
        <v/>
      </c>
    </row>
    <row r="418" customFormat="false" ht="15" hidden="false" customHeight="false" outlineLevel="0" collapsed="false">
      <c r="A418" s="82" t="s">
        <v>1187</v>
      </c>
      <c r="B418" s="101" t="n">
        <v>46112</v>
      </c>
      <c r="C418" s="82" t="s">
        <v>461</v>
      </c>
      <c r="D418" s="82" t="s">
        <v>718</v>
      </c>
      <c r="E418" s="91" t="n">
        <v>273500</v>
      </c>
      <c r="F418" s="82" t="s">
        <v>1188</v>
      </c>
      <c r="G418" s="82"/>
      <c r="H418" s="82" t="s">
        <v>763</v>
      </c>
      <c r="I418" s="82" t="s">
        <v>250</v>
      </c>
      <c r="J418" s="102" t="n">
        <f aca="false">IF(B418="","",MONTH(B418))</f>
        <v>3</v>
      </c>
      <c r="K418" s="102" t="n">
        <f aca="false">IF(B418="","",YEAR(B418))</f>
        <v>2026</v>
      </c>
      <c r="L418" s="102" t="str">
        <f aca="false">IF(N(E418)=0,"",IF(COUNTIFS(AK_NAMA,C418,AK_KAT,"KAS")+COUNTIFS(AK_NAMA,D418,AK_KAT,"KAS")&lt;&gt;1,"",IF(COUNTIFS(AK_NAMA,C418,AK_KAT,"KAS")=1,D418,C418)))</f>
        <v>Piutang Lainnya</v>
      </c>
      <c r="M418" s="103" t="n">
        <f aca="false">IF(L418="",0,IF(L418=D418,E418,-E418))</f>
        <v>273500</v>
      </c>
      <c r="N418" s="102" t="str">
        <f aca="false">IF(L418="","",IFERROR(INDEX(AK_BARIS,MATCH(L418,AK_NAMA,0)),"?"))</f>
        <v>OP2</v>
      </c>
      <c r="O418" s="102" t="str">
        <f aca="false">IF(C418="","",IFERROR(INDEX(AK_KEL,MATCH(C418,AK_NAMA,0)),"?"))</f>
        <v>ASET</v>
      </c>
      <c r="P418" s="102" t="str">
        <f aca="false">IF(D418="","",IFERROR(INDEX(AK_KEL,MATCH(D418,AK_NAMA,0)),"?"))</f>
        <v>ASET</v>
      </c>
      <c r="Q418" s="102" t="n">
        <f aca="false">N(Q417)+IF(AND(N(E418)&lt;&gt;0,K418=TAHUN,N(J418)&lt;=BLN,OR(C418=BB_AKUN,D418=BB_AKUN)),1,0)</f>
        <v>275</v>
      </c>
      <c r="R418" s="104" t="str">
        <f aca="false">IF(OR(C418&amp;D418="",N(E418)=0),"",IF(OR(O418="?",P418="?"),"⚠ akun tidak dikenal",IF(C418=D418,"⚠ debet = kredit","")))</f>
        <v/>
      </c>
    </row>
    <row r="419" customFormat="false" ht="15" hidden="false" customHeight="false" outlineLevel="0" collapsed="false">
      <c r="A419" s="82" t="s">
        <v>1189</v>
      </c>
      <c r="B419" s="101" t="n">
        <v>46112</v>
      </c>
      <c r="C419" s="82" t="s">
        <v>461</v>
      </c>
      <c r="D419" s="82" t="s">
        <v>718</v>
      </c>
      <c r="E419" s="91" t="n">
        <v>800000</v>
      </c>
      <c r="F419" s="82" t="s">
        <v>1190</v>
      </c>
      <c r="G419" s="82"/>
      <c r="H419" s="82" t="s">
        <v>763</v>
      </c>
      <c r="I419" s="82" t="s">
        <v>250</v>
      </c>
      <c r="J419" s="102" t="n">
        <f aca="false">IF(B419="","",MONTH(B419))</f>
        <v>3</v>
      </c>
      <c r="K419" s="102" t="n">
        <f aca="false">IF(B419="","",YEAR(B419))</f>
        <v>2026</v>
      </c>
      <c r="L419" s="102" t="str">
        <f aca="false">IF(N(E419)=0,"",IF(COUNTIFS(AK_NAMA,C419,AK_KAT,"KAS")+COUNTIFS(AK_NAMA,D419,AK_KAT,"KAS")&lt;&gt;1,"",IF(COUNTIFS(AK_NAMA,C419,AK_KAT,"KAS")=1,D419,C419)))</f>
        <v>Piutang Lainnya</v>
      </c>
      <c r="M419" s="103" t="n">
        <f aca="false">IF(L419="",0,IF(L419=D419,E419,-E419))</f>
        <v>800000</v>
      </c>
      <c r="N419" s="102" t="str">
        <f aca="false">IF(L419="","",IFERROR(INDEX(AK_BARIS,MATCH(L419,AK_NAMA,0)),"?"))</f>
        <v>OP2</v>
      </c>
      <c r="O419" s="102" t="str">
        <f aca="false">IF(C419="","",IFERROR(INDEX(AK_KEL,MATCH(C419,AK_NAMA,0)),"?"))</f>
        <v>ASET</v>
      </c>
      <c r="P419" s="102" t="str">
        <f aca="false">IF(D419="","",IFERROR(INDEX(AK_KEL,MATCH(D419,AK_NAMA,0)),"?"))</f>
        <v>ASET</v>
      </c>
      <c r="Q419" s="102" t="n">
        <f aca="false">N(Q418)+IF(AND(N(E419)&lt;&gt;0,K419=TAHUN,N(J419)&lt;=BLN,OR(C419=BB_AKUN,D419=BB_AKUN)),1,0)</f>
        <v>276</v>
      </c>
      <c r="R419" s="104" t="str">
        <f aca="false">IF(OR(C419&amp;D419="",N(E419)=0),"",IF(OR(O419="?",P419="?"),"⚠ akun tidak dikenal",IF(C419=D419,"⚠ debet = kredit","")))</f>
        <v/>
      </c>
    </row>
    <row r="420" customFormat="false" ht="15" hidden="false" customHeight="false" outlineLevel="0" collapsed="false">
      <c r="A420" s="82" t="s">
        <v>1191</v>
      </c>
      <c r="B420" s="101" t="n">
        <v>46112</v>
      </c>
      <c r="C420" s="82" t="s">
        <v>461</v>
      </c>
      <c r="D420" s="82" t="s">
        <v>765</v>
      </c>
      <c r="E420" s="91" t="n">
        <v>1000000</v>
      </c>
      <c r="F420" s="82" t="s">
        <v>1192</v>
      </c>
      <c r="G420" s="82"/>
      <c r="H420" s="82" t="s">
        <v>767</v>
      </c>
      <c r="I420" s="82" t="s">
        <v>250</v>
      </c>
      <c r="J420" s="102" t="n">
        <f aca="false">IF(B420="","",MONTH(B420))</f>
        <v>3</v>
      </c>
      <c r="K420" s="102" t="n">
        <f aca="false">IF(B420="","",YEAR(B420))</f>
        <v>2026</v>
      </c>
      <c r="L420" s="102" t="str">
        <f aca="false">IF(N(E420)=0,"",IF(COUNTIFS(AK_NAMA,C420,AK_KAT,"KAS")+COUNTIFS(AK_NAMA,D420,AK_KAT,"KAS")&lt;&gt;1,"",IF(COUNTIFS(AK_NAMA,C420,AK_KAT,"KAS")=1,D420,C420)))</f>
        <v>Piutang Usaha Cafe</v>
      </c>
      <c r="M420" s="103" t="n">
        <f aca="false">IF(L420="",0,IF(L420=D420,E420,-E420))</f>
        <v>1000000</v>
      </c>
      <c r="N420" s="102" t="str">
        <f aca="false">IF(L420="","",IFERROR(INDEX(AK_BARIS,MATCH(L420,AK_NAMA,0)),"?"))</f>
        <v>OP1</v>
      </c>
      <c r="O420" s="102" t="str">
        <f aca="false">IF(C420="","",IFERROR(INDEX(AK_KEL,MATCH(C420,AK_NAMA,0)),"?"))</f>
        <v>ASET</v>
      </c>
      <c r="P420" s="102" t="str">
        <f aca="false">IF(D420="","",IFERROR(INDEX(AK_KEL,MATCH(D420,AK_NAMA,0)),"?"))</f>
        <v>ASET</v>
      </c>
      <c r="Q420" s="102" t="n">
        <f aca="false">N(Q419)+IF(AND(N(E420)&lt;&gt;0,K420=TAHUN,N(J420)&lt;=BLN,OR(C420=BB_AKUN,D420=BB_AKUN)),1,0)</f>
        <v>277</v>
      </c>
      <c r="R420" s="104" t="str">
        <f aca="false">IF(OR(C420&amp;D420="",N(E420)=0),"",IF(OR(O420="?",P420="?"),"⚠ akun tidak dikenal",IF(C420=D420,"⚠ debet = kredit","")))</f>
        <v/>
      </c>
    </row>
    <row r="421" customFormat="false" ht="15" hidden="false" customHeight="false" outlineLevel="0" collapsed="false">
      <c r="A421" s="82" t="s">
        <v>1193</v>
      </c>
      <c r="B421" s="101" t="n">
        <v>46112</v>
      </c>
      <c r="C421" s="82" t="s">
        <v>461</v>
      </c>
      <c r="D421" s="82" t="s">
        <v>765</v>
      </c>
      <c r="E421" s="91" t="n">
        <v>157500</v>
      </c>
      <c r="F421" s="82" t="s">
        <v>1194</v>
      </c>
      <c r="G421" s="82"/>
      <c r="H421" s="82" t="s">
        <v>767</v>
      </c>
      <c r="I421" s="82" t="s">
        <v>250</v>
      </c>
      <c r="J421" s="102" t="n">
        <f aca="false">IF(B421="","",MONTH(B421))</f>
        <v>3</v>
      </c>
      <c r="K421" s="102" t="n">
        <f aca="false">IF(B421="","",YEAR(B421))</f>
        <v>2026</v>
      </c>
      <c r="L421" s="102" t="str">
        <f aca="false">IF(N(E421)=0,"",IF(COUNTIFS(AK_NAMA,C421,AK_KAT,"KAS")+COUNTIFS(AK_NAMA,D421,AK_KAT,"KAS")&lt;&gt;1,"",IF(COUNTIFS(AK_NAMA,C421,AK_KAT,"KAS")=1,D421,C421)))</f>
        <v>Piutang Usaha Cafe</v>
      </c>
      <c r="M421" s="103" t="n">
        <f aca="false">IF(L421="",0,IF(L421=D421,E421,-E421))</f>
        <v>157500</v>
      </c>
      <c r="N421" s="102" t="str">
        <f aca="false">IF(L421="","",IFERROR(INDEX(AK_BARIS,MATCH(L421,AK_NAMA,0)),"?"))</f>
        <v>OP1</v>
      </c>
      <c r="O421" s="102" t="str">
        <f aca="false">IF(C421="","",IFERROR(INDEX(AK_KEL,MATCH(C421,AK_NAMA,0)),"?"))</f>
        <v>ASET</v>
      </c>
      <c r="P421" s="102" t="str">
        <f aca="false">IF(D421="","",IFERROR(INDEX(AK_KEL,MATCH(D421,AK_NAMA,0)),"?"))</f>
        <v>ASET</v>
      </c>
      <c r="Q421" s="102" t="n">
        <f aca="false">N(Q420)+IF(AND(N(E421)&lt;&gt;0,K421=TAHUN,N(J421)&lt;=BLN,OR(C421=BB_AKUN,D421=BB_AKUN)),1,0)</f>
        <v>278</v>
      </c>
      <c r="R421" s="104" t="str">
        <f aca="false">IF(OR(C421&amp;D421="",N(E421)=0),"",IF(OR(O421="?",P421="?"),"⚠ akun tidak dikenal",IF(C421=D421,"⚠ debet = kredit","")))</f>
        <v/>
      </c>
    </row>
    <row r="422" customFormat="false" ht="15" hidden="false" customHeight="false" outlineLevel="0" collapsed="false">
      <c r="A422" s="82" t="s">
        <v>1195</v>
      </c>
      <c r="B422" s="101" t="n">
        <v>46112</v>
      </c>
      <c r="C422" s="82" t="s">
        <v>461</v>
      </c>
      <c r="D422" s="82" t="s">
        <v>765</v>
      </c>
      <c r="E422" s="91" t="n">
        <v>19500</v>
      </c>
      <c r="F422" s="82" t="s">
        <v>1196</v>
      </c>
      <c r="G422" s="82"/>
      <c r="H422" s="82" t="s">
        <v>767</v>
      </c>
      <c r="I422" s="82" t="s">
        <v>250</v>
      </c>
      <c r="J422" s="102" t="n">
        <f aca="false">IF(B422="","",MONTH(B422))</f>
        <v>3</v>
      </c>
      <c r="K422" s="102" t="n">
        <f aca="false">IF(B422="","",YEAR(B422))</f>
        <v>2026</v>
      </c>
      <c r="L422" s="102" t="str">
        <f aca="false">IF(N(E422)=0,"",IF(COUNTIFS(AK_NAMA,C422,AK_KAT,"KAS")+COUNTIFS(AK_NAMA,D422,AK_KAT,"KAS")&lt;&gt;1,"",IF(COUNTIFS(AK_NAMA,C422,AK_KAT,"KAS")=1,D422,C422)))</f>
        <v>Piutang Usaha Cafe</v>
      </c>
      <c r="M422" s="103" t="n">
        <f aca="false">IF(L422="",0,IF(L422=D422,E422,-E422))</f>
        <v>19500</v>
      </c>
      <c r="N422" s="102" t="str">
        <f aca="false">IF(L422="","",IFERROR(INDEX(AK_BARIS,MATCH(L422,AK_NAMA,0)),"?"))</f>
        <v>OP1</v>
      </c>
      <c r="O422" s="102" t="str">
        <f aca="false">IF(C422="","",IFERROR(INDEX(AK_KEL,MATCH(C422,AK_NAMA,0)),"?"))</f>
        <v>ASET</v>
      </c>
      <c r="P422" s="102" t="str">
        <f aca="false">IF(D422="","",IFERROR(INDEX(AK_KEL,MATCH(D422,AK_NAMA,0)),"?"))</f>
        <v>ASET</v>
      </c>
      <c r="Q422" s="102" t="n">
        <f aca="false">N(Q421)+IF(AND(N(E422)&lt;&gt;0,K422=TAHUN,N(J422)&lt;=BLN,OR(C422=BB_AKUN,D422=BB_AKUN)),1,0)</f>
        <v>279</v>
      </c>
      <c r="R422" s="104" t="str">
        <f aca="false">IF(OR(C422&amp;D422="",N(E422)=0),"",IF(OR(O422="?",P422="?"),"⚠ akun tidak dikenal",IF(C422=D422,"⚠ debet = kredit","")))</f>
        <v/>
      </c>
    </row>
    <row r="423" customFormat="false" ht="15" hidden="false" customHeight="false" outlineLevel="0" collapsed="false">
      <c r="A423" s="82" t="s">
        <v>1197</v>
      </c>
      <c r="B423" s="101" t="n">
        <v>46112</v>
      </c>
      <c r="C423" s="82" t="s">
        <v>475</v>
      </c>
      <c r="D423" s="82" t="s">
        <v>486</v>
      </c>
      <c r="E423" s="91" t="n">
        <v>9000</v>
      </c>
      <c r="F423" s="82" t="s">
        <v>1142</v>
      </c>
      <c r="G423" s="82"/>
      <c r="H423" s="82"/>
      <c r="I423" s="82" t="s">
        <v>250</v>
      </c>
      <c r="J423" s="102" t="n">
        <f aca="false">IF(B423="","",MONTH(B423))</f>
        <v>3</v>
      </c>
      <c r="K423" s="102" t="n">
        <f aca="false">IF(B423="","",YEAR(B423))</f>
        <v>2026</v>
      </c>
      <c r="L423" s="102" t="str">
        <f aca="false">IF(N(E423)=0,"",IF(COUNTIFS(AK_NAMA,C423,AK_KAT,"KAS")+COUNTIFS(AK_NAMA,D423,AK_KAT,"KAS")&lt;&gt;1,"",IF(COUNTIFS(AK_NAMA,C423,AK_KAT,"KAS")=1,D423,C423)))</f>
        <v/>
      </c>
      <c r="M423" s="103" t="n">
        <f aca="false">IF(L423="",0,IF(L423=D423,E423,-E423))</f>
        <v>0</v>
      </c>
      <c r="N423" s="102" t="str">
        <f aca="false">IF(L423="","",IFERROR(INDEX(AK_BARIS,MATCH(L423,AK_NAMA,0)),"?"))</f>
        <v/>
      </c>
      <c r="O423" s="102" t="str">
        <f aca="false">IF(C423="","",IFERROR(INDEX(AK_KEL,MATCH(C423,AK_NAMA,0)),"?"))</f>
        <v>ASET</v>
      </c>
      <c r="P423" s="102" t="str">
        <f aca="false">IF(D423="","",IFERROR(INDEX(AK_KEL,MATCH(D423,AK_NAMA,0)),"?"))</f>
        <v>ASET</v>
      </c>
      <c r="Q423" s="102" t="n">
        <f aca="false">N(Q422)+IF(AND(N(E423)&lt;&gt;0,K423=TAHUN,N(J423)&lt;=BLN,OR(C423=BB_AKUN,D423=BB_AKUN)),1,0)</f>
        <v>279</v>
      </c>
      <c r="R423" s="104" t="str">
        <f aca="false">IF(OR(C423&amp;D423="",N(E423)=0),"",IF(OR(O423="?",P423="?"),"⚠ akun tidak dikenal",IF(C423=D423,"⚠ debet = kredit","")))</f>
        <v/>
      </c>
    </row>
    <row r="424" customFormat="false" ht="15" hidden="false" customHeight="false" outlineLevel="0" collapsed="false">
      <c r="A424" s="82" t="s">
        <v>1198</v>
      </c>
      <c r="B424" s="101" t="n">
        <v>46112</v>
      </c>
      <c r="C424" s="82" t="s">
        <v>470</v>
      </c>
      <c r="D424" s="82" t="s">
        <v>486</v>
      </c>
      <c r="E424" s="91" t="n">
        <v>370000</v>
      </c>
      <c r="F424" s="82" t="s">
        <v>935</v>
      </c>
      <c r="G424" s="82"/>
      <c r="H424" s="82"/>
      <c r="I424" s="82" t="s">
        <v>250</v>
      </c>
      <c r="J424" s="102" t="n">
        <f aca="false">IF(B424="","",MONTH(B424))</f>
        <v>3</v>
      </c>
      <c r="K424" s="102" t="n">
        <f aca="false">IF(B424="","",YEAR(B424))</f>
        <v>2026</v>
      </c>
      <c r="L424" s="102" t="str">
        <f aca="false">IF(N(E424)=0,"",IF(COUNTIFS(AK_NAMA,C424,AK_KAT,"KAS")+COUNTIFS(AK_NAMA,D424,AK_KAT,"KAS")&lt;&gt;1,"",IF(COUNTIFS(AK_NAMA,C424,AK_KAT,"KAS")=1,D424,C424)))</f>
        <v>Biaya Bahan Baku</v>
      </c>
      <c r="M424" s="103" t="n">
        <f aca="false">IF(L424="",0,IF(L424=D424,E424,-E424))</f>
        <v>-370000</v>
      </c>
      <c r="N424" s="102" t="str">
        <f aca="false">IF(L424="","",IFERROR(INDEX(AK_BARIS,MATCH(L424,AK_NAMA,0)),"?"))</f>
        <v>OP3</v>
      </c>
      <c r="O424" s="102" t="str">
        <f aca="false">IF(C424="","",IFERROR(INDEX(AK_KEL,MATCH(C424,AK_NAMA,0)),"?"))</f>
        <v>BEBAN</v>
      </c>
      <c r="P424" s="102" t="str">
        <f aca="false">IF(D424="","",IFERROR(INDEX(AK_KEL,MATCH(D424,AK_NAMA,0)),"?"))</f>
        <v>ASET</v>
      </c>
      <c r="Q424" s="102" t="n">
        <f aca="false">N(Q423)+IF(AND(N(E424)&lt;&gt;0,K424=TAHUN,N(J424)&lt;=BLN,OR(C424=BB_AKUN,D424=BB_AKUN)),1,0)</f>
        <v>279</v>
      </c>
      <c r="R424" s="104" t="str">
        <f aca="false">IF(OR(C424&amp;D424="",N(E424)=0),"",IF(OR(O424="?",P424="?"),"⚠ akun tidak dikenal",IF(C424=D424,"⚠ debet = kredit","")))</f>
        <v/>
      </c>
    </row>
    <row r="425" customFormat="false" ht="15" hidden="false" customHeight="false" outlineLevel="0" collapsed="false">
      <c r="A425" s="82" t="s">
        <v>1199</v>
      </c>
      <c r="B425" s="101" t="n">
        <v>46112</v>
      </c>
      <c r="C425" s="82" t="s">
        <v>478</v>
      </c>
      <c r="D425" s="82" t="s">
        <v>486</v>
      </c>
      <c r="E425" s="91" t="n">
        <v>18000</v>
      </c>
      <c r="F425" s="82" t="s">
        <v>939</v>
      </c>
      <c r="G425" s="82"/>
      <c r="H425" s="82"/>
      <c r="I425" s="82" t="s">
        <v>250</v>
      </c>
      <c r="J425" s="102" t="n">
        <f aca="false">IF(B425="","",MONTH(B425))</f>
        <v>3</v>
      </c>
      <c r="K425" s="102" t="n">
        <f aca="false">IF(B425="","",YEAR(B425))</f>
        <v>2026</v>
      </c>
      <c r="L425" s="102" t="str">
        <f aca="false">IF(N(E425)=0,"",IF(COUNTIFS(AK_NAMA,C425,AK_KAT,"KAS")+COUNTIFS(AK_NAMA,D425,AK_KAT,"KAS")&lt;&gt;1,"",IF(COUNTIFS(AK_NAMA,C425,AK_KAT,"KAS")=1,D425,C425)))</f>
        <v>Biaya Penyajian</v>
      </c>
      <c r="M425" s="103" t="n">
        <f aca="false">IF(L425="",0,IF(L425=D425,E425,-E425))</f>
        <v>-18000</v>
      </c>
      <c r="N425" s="102" t="str">
        <f aca="false">IF(L425="","",IFERROR(INDEX(AK_BARIS,MATCH(L425,AK_NAMA,0)),"?"))</f>
        <v>OP3</v>
      </c>
      <c r="O425" s="102" t="str">
        <f aca="false">IF(C425="","",IFERROR(INDEX(AK_KEL,MATCH(C425,AK_NAMA,0)),"?"))</f>
        <v>BEBAN</v>
      </c>
      <c r="P425" s="102" t="str">
        <f aca="false">IF(D425="","",IFERROR(INDEX(AK_KEL,MATCH(D425,AK_NAMA,0)),"?"))</f>
        <v>ASET</v>
      </c>
      <c r="Q425" s="102" t="n">
        <f aca="false">N(Q424)+IF(AND(N(E425)&lt;&gt;0,K425=TAHUN,N(J425)&lt;=BLN,OR(C425=BB_AKUN,D425=BB_AKUN)),1,0)</f>
        <v>279</v>
      </c>
      <c r="R425" s="104" t="str">
        <f aca="false">IF(OR(C425&amp;D425="",N(E425)=0),"",IF(OR(O425="?",P425="?"),"⚠ akun tidak dikenal",IF(C425=D425,"⚠ debet = kredit","")))</f>
        <v/>
      </c>
    </row>
    <row r="426" customFormat="false" ht="15" hidden="false" customHeight="false" outlineLevel="0" collapsed="false">
      <c r="A426" s="82" t="s">
        <v>1200</v>
      </c>
      <c r="B426" s="101" t="n">
        <v>46112</v>
      </c>
      <c r="C426" s="82" t="s">
        <v>485</v>
      </c>
      <c r="D426" s="82" t="s">
        <v>486</v>
      </c>
      <c r="E426" s="91" t="n">
        <v>93000</v>
      </c>
      <c r="F426" s="82" t="s">
        <v>553</v>
      </c>
      <c r="G426" s="82"/>
      <c r="H426" s="82"/>
      <c r="I426" s="82" t="s">
        <v>250</v>
      </c>
      <c r="J426" s="102" t="n">
        <f aca="false">IF(B426="","",MONTH(B426))</f>
        <v>3</v>
      </c>
      <c r="K426" s="102" t="n">
        <f aca="false">IF(B426="","",YEAR(B426))</f>
        <v>2026</v>
      </c>
      <c r="L426" s="102" t="str">
        <f aca="false">IF(N(E426)=0,"",IF(COUNTIFS(AK_NAMA,C426,AK_KAT,"KAS")+COUNTIFS(AK_NAMA,D426,AK_KAT,"KAS")&lt;&gt;1,"",IF(COUNTIFS(AK_NAMA,C426,AK_KAT,"KAS")=1,D426,C426)))</f>
        <v>Biaya Operasional Harian</v>
      </c>
      <c r="M426" s="103" t="n">
        <f aca="false">IF(L426="",0,IF(L426=D426,E426,-E426))</f>
        <v>-93000</v>
      </c>
      <c r="N426" s="102" t="str">
        <f aca="false">IF(L426="","",IFERROR(INDEX(AK_BARIS,MATCH(L426,AK_NAMA,0)),"?"))</f>
        <v>OP6</v>
      </c>
      <c r="O426" s="102" t="str">
        <f aca="false">IF(C426="","",IFERROR(INDEX(AK_KEL,MATCH(C426,AK_NAMA,0)),"?"))</f>
        <v>BEBAN</v>
      </c>
      <c r="P426" s="102" t="str">
        <f aca="false">IF(D426="","",IFERROR(INDEX(AK_KEL,MATCH(D426,AK_NAMA,0)),"?"))</f>
        <v>ASET</v>
      </c>
      <c r="Q426" s="102" t="n">
        <f aca="false">N(Q425)+IF(AND(N(E426)&lt;&gt;0,K426=TAHUN,N(J426)&lt;=BLN,OR(C426=BB_AKUN,D426=BB_AKUN)),1,0)</f>
        <v>279</v>
      </c>
      <c r="R426" s="104" t="str">
        <f aca="false">IF(OR(C426&amp;D426="",N(E426)=0),"",IF(OR(O426="?",P426="?"),"⚠ akun tidak dikenal",IF(C426=D426,"⚠ debet = kredit","")))</f>
        <v/>
      </c>
    </row>
    <row r="427" customFormat="false" ht="15" hidden="false" customHeight="false" outlineLevel="0" collapsed="false">
      <c r="A427" s="82" t="s">
        <v>1201</v>
      </c>
      <c r="B427" s="101" t="n">
        <v>46112</v>
      </c>
      <c r="C427" s="82" t="s">
        <v>485</v>
      </c>
      <c r="D427" s="82" t="s">
        <v>486</v>
      </c>
      <c r="E427" s="91" t="n">
        <v>10000</v>
      </c>
      <c r="F427" s="82" t="s">
        <v>555</v>
      </c>
      <c r="G427" s="82"/>
      <c r="H427" s="82"/>
      <c r="I427" s="82" t="s">
        <v>250</v>
      </c>
      <c r="J427" s="102" t="n">
        <f aca="false">IF(B427="","",MONTH(B427))</f>
        <v>3</v>
      </c>
      <c r="K427" s="102" t="n">
        <f aca="false">IF(B427="","",YEAR(B427))</f>
        <v>2026</v>
      </c>
      <c r="L427" s="102" t="str">
        <f aca="false">IF(N(E427)=0,"",IF(COUNTIFS(AK_NAMA,C427,AK_KAT,"KAS")+COUNTIFS(AK_NAMA,D427,AK_KAT,"KAS")&lt;&gt;1,"",IF(COUNTIFS(AK_NAMA,C427,AK_KAT,"KAS")=1,D427,C427)))</f>
        <v>Biaya Operasional Harian</v>
      </c>
      <c r="M427" s="103" t="n">
        <f aca="false">IF(L427="",0,IF(L427=D427,E427,-E427))</f>
        <v>-10000</v>
      </c>
      <c r="N427" s="102" t="str">
        <f aca="false">IF(L427="","",IFERROR(INDEX(AK_BARIS,MATCH(L427,AK_NAMA,0)),"?"))</f>
        <v>OP6</v>
      </c>
      <c r="O427" s="102" t="str">
        <f aca="false">IF(C427="","",IFERROR(INDEX(AK_KEL,MATCH(C427,AK_NAMA,0)),"?"))</f>
        <v>BEBAN</v>
      </c>
      <c r="P427" s="102" t="str">
        <f aca="false">IF(D427="","",IFERROR(INDEX(AK_KEL,MATCH(D427,AK_NAMA,0)),"?"))</f>
        <v>ASET</v>
      </c>
      <c r="Q427" s="102" t="n">
        <f aca="false">N(Q426)+IF(AND(N(E427)&lt;&gt;0,K427=TAHUN,N(J427)&lt;=BLN,OR(C427=BB_AKUN,D427=BB_AKUN)),1,0)</f>
        <v>279</v>
      </c>
      <c r="R427" s="104" t="str">
        <f aca="false">IF(OR(C427&amp;D427="",N(E427)=0),"",IF(OR(O427="?",P427="?"),"⚠ akun tidak dikenal",IF(C427=D427,"⚠ debet = kredit","")))</f>
        <v/>
      </c>
    </row>
    <row r="428" customFormat="false" ht="15" hidden="false" customHeight="false" outlineLevel="0" collapsed="false">
      <c r="A428" s="82" t="s">
        <v>1202</v>
      </c>
      <c r="B428" s="101" t="n">
        <v>46112</v>
      </c>
      <c r="C428" s="82" t="s">
        <v>461</v>
      </c>
      <c r="D428" s="82" t="s">
        <v>557</v>
      </c>
      <c r="E428" s="91" t="n">
        <v>547</v>
      </c>
      <c r="F428" s="82" t="s">
        <v>773</v>
      </c>
      <c r="G428" s="82"/>
      <c r="H428" s="82"/>
      <c r="I428" s="82" t="s">
        <v>250</v>
      </c>
      <c r="J428" s="102" t="n">
        <f aca="false">IF(B428="","",MONTH(B428))</f>
        <v>3</v>
      </c>
      <c r="K428" s="102" t="n">
        <f aca="false">IF(B428="","",YEAR(B428))</f>
        <v>2026</v>
      </c>
      <c r="L428" s="102" t="str">
        <f aca="false">IF(N(E428)=0,"",IF(COUNTIFS(AK_NAMA,C428,AK_KAT,"KAS")+COUNTIFS(AK_NAMA,D428,AK_KAT,"KAS")&lt;&gt;1,"",IF(COUNTIFS(AK_NAMA,C428,AK_KAT,"KAS")=1,D428,C428)))</f>
        <v>Pendapatan Lainnya</v>
      </c>
      <c r="M428" s="103" t="n">
        <f aca="false">IF(L428="",0,IF(L428=D428,E428,-E428))</f>
        <v>547</v>
      </c>
      <c r="N428" s="102" t="str">
        <f aca="false">IF(L428="","",IFERROR(INDEX(AK_BARIS,MATCH(L428,AK_NAMA,0)),"?"))</f>
        <v>OP2</v>
      </c>
      <c r="O428" s="102" t="str">
        <f aca="false">IF(C428="","",IFERROR(INDEX(AK_KEL,MATCH(C428,AK_NAMA,0)),"?"))</f>
        <v>ASET</v>
      </c>
      <c r="P428" s="102" t="str">
        <f aca="false">IF(D428="","",IFERROR(INDEX(AK_KEL,MATCH(D428,AK_NAMA,0)),"?"))</f>
        <v>PENDAPATAN</v>
      </c>
      <c r="Q428" s="102" t="n">
        <f aca="false">N(Q427)+IF(AND(N(E428)&lt;&gt;0,K428=TAHUN,N(J428)&lt;=BLN,OR(C428=BB_AKUN,D428=BB_AKUN)),1,0)</f>
        <v>280</v>
      </c>
      <c r="R428" s="104" t="str">
        <f aca="false">IF(OR(C428&amp;D428="",N(E428)=0),"",IF(OR(O428="?",P428="?"),"⚠ akun tidak dikenal",IF(C428=D428,"⚠ debet = kredit","")))</f>
        <v/>
      </c>
    </row>
    <row r="429" customFormat="false" ht="15" hidden="false" customHeight="false" outlineLevel="0" collapsed="false">
      <c r="A429" s="82" t="s">
        <v>1203</v>
      </c>
      <c r="B429" s="101" t="n">
        <v>46112</v>
      </c>
      <c r="C429" s="82" t="s">
        <v>524</v>
      </c>
      <c r="D429" s="82" t="s">
        <v>461</v>
      </c>
      <c r="E429" s="91" t="n">
        <v>110</v>
      </c>
      <c r="F429" s="82" t="s">
        <v>775</v>
      </c>
      <c r="G429" s="82"/>
      <c r="H429" s="82"/>
      <c r="I429" s="82" t="s">
        <v>250</v>
      </c>
      <c r="J429" s="102" t="n">
        <f aca="false">IF(B429="","",MONTH(B429))</f>
        <v>3</v>
      </c>
      <c r="K429" s="102" t="n">
        <f aca="false">IF(B429="","",YEAR(B429))</f>
        <v>2026</v>
      </c>
      <c r="L429" s="102" t="str">
        <f aca="false">IF(N(E429)=0,"",IF(COUNTIFS(AK_NAMA,C429,AK_KAT,"KAS")+COUNTIFS(AK_NAMA,D429,AK_KAT,"KAS")&lt;&gt;1,"",IF(COUNTIFS(AK_NAMA,C429,AK_KAT,"KAS")=1,D429,C429)))</f>
        <v>Biaya Lainnya</v>
      </c>
      <c r="M429" s="103" t="n">
        <f aca="false">IF(L429="",0,IF(L429=D429,E429,-E429))</f>
        <v>-110</v>
      </c>
      <c r="N429" s="102" t="str">
        <f aca="false">IF(L429="","",IFERROR(INDEX(AK_BARIS,MATCH(L429,AK_NAMA,0)),"?"))</f>
        <v>OP2</v>
      </c>
      <c r="O429" s="102" t="str">
        <f aca="false">IF(C429="","",IFERROR(INDEX(AK_KEL,MATCH(C429,AK_NAMA,0)),"?"))</f>
        <v>BEBAN</v>
      </c>
      <c r="P429" s="102" t="str">
        <f aca="false">IF(D429="","",IFERROR(INDEX(AK_KEL,MATCH(D429,AK_NAMA,0)),"?"))</f>
        <v>ASET</v>
      </c>
      <c r="Q429" s="102" t="n">
        <f aca="false">N(Q428)+IF(AND(N(E429)&lt;&gt;0,K429=TAHUN,N(J429)&lt;=BLN,OR(C429=BB_AKUN,D429=BB_AKUN)),1,0)</f>
        <v>281</v>
      </c>
      <c r="R429" s="104" t="str">
        <f aca="false">IF(OR(C429&amp;D429="",N(E429)=0),"",IF(OR(O429="?",P429="?"),"⚠ akun tidak dikenal",IF(C429=D429,"⚠ debet = kredit","")))</f>
        <v/>
      </c>
    </row>
    <row r="430" customFormat="false" ht="15" hidden="false" customHeight="false" outlineLevel="0" collapsed="false">
      <c r="A430" s="82" t="s">
        <v>1204</v>
      </c>
      <c r="B430" s="101" t="n">
        <v>46112</v>
      </c>
      <c r="C430" s="82" t="s">
        <v>461</v>
      </c>
      <c r="D430" s="82" t="s">
        <v>557</v>
      </c>
      <c r="E430" s="91" t="n">
        <v>3</v>
      </c>
      <c r="F430" s="82" t="s">
        <v>1205</v>
      </c>
      <c r="G430" s="82"/>
      <c r="H430" s="82"/>
      <c r="I430" s="82" t="s">
        <v>250</v>
      </c>
      <c r="J430" s="102" t="n">
        <f aca="false">IF(B430="","",MONTH(B430))</f>
        <v>3</v>
      </c>
      <c r="K430" s="102" t="n">
        <f aca="false">IF(B430="","",YEAR(B430))</f>
        <v>2026</v>
      </c>
      <c r="L430" s="102" t="str">
        <f aca="false">IF(N(E430)=0,"",IF(COUNTIFS(AK_NAMA,C430,AK_KAT,"KAS")+COUNTIFS(AK_NAMA,D430,AK_KAT,"KAS")&lt;&gt;1,"",IF(COUNTIFS(AK_NAMA,C430,AK_KAT,"KAS")=1,D430,C430)))</f>
        <v>Pendapatan Lainnya</v>
      </c>
      <c r="M430" s="103" t="n">
        <f aca="false">IF(L430="",0,IF(L430=D430,E430,-E430))</f>
        <v>3</v>
      </c>
      <c r="N430" s="102" t="str">
        <f aca="false">IF(L430="","",IFERROR(INDEX(AK_BARIS,MATCH(L430,AK_NAMA,0)),"?"))</f>
        <v>OP2</v>
      </c>
      <c r="O430" s="102" t="str">
        <f aca="false">IF(C430="","",IFERROR(INDEX(AK_KEL,MATCH(C430,AK_NAMA,0)),"?"))</f>
        <v>ASET</v>
      </c>
      <c r="P430" s="102" t="str">
        <f aca="false">IF(D430="","",IFERROR(INDEX(AK_KEL,MATCH(D430,AK_NAMA,0)),"?"))</f>
        <v>PENDAPATAN</v>
      </c>
      <c r="Q430" s="102" t="n">
        <f aca="false">N(Q429)+IF(AND(N(E430)&lt;&gt;0,K430=TAHUN,N(J430)&lt;=BLN,OR(C430=BB_AKUN,D430=BB_AKUN)),1,0)</f>
        <v>282</v>
      </c>
      <c r="R430" s="104" t="str">
        <f aca="false">IF(OR(C430&amp;D430="",N(E430)=0),"",IF(OR(O430="?",P430="?"),"⚠ akun tidak dikenal",IF(C430=D430,"⚠ debet = kredit","")))</f>
        <v/>
      </c>
    </row>
    <row r="431" customFormat="false" ht="15" hidden="false" customHeight="false" outlineLevel="0" collapsed="false">
      <c r="A431" s="82" t="s">
        <v>1206</v>
      </c>
      <c r="B431" s="101" t="n">
        <v>46112</v>
      </c>
      <c r="C431" s="82" t="s">
        <v>576</v>
      </c>
      <c r="D431" s="82" t="s">
        <v>769</v>
      </c>
      <c r="E431" s="91" t="n">
        <v>1000000</v>
      </c>
      <c r="F431" s="82" t="s">
        <v>1207</v>
      </c>
      <c r="G431" s="82"/>
      <c r="H431" s="82" t="s">
        <v>785</v>
      </c>
      <c r="I431" s="82" t="s">
        <v>250</v>
      </c>
      <c r="J431" s="102" t="n">
        <f aca="false">IF(B431="","",MONTH(B431))</f>
        <v>3</v>
      </c>
      <c r="K431" s="102" t="n">
        <f aca="false">IF(B431="","",YEAR(B431))</f>
        <v>2026</v>
      </c>
      <c r="L431" s="102" t="str">
        <f aca="false">IF(N(E431)=0,"",IF(COUNTIFS(AK_NAMA,C431,AK_KAT,"KAS")+COUNTIFS(AK_NAMA,D431,AK_KAT,"KAS")&lt;&gt;1,"",IF(COUNTIFS(AK_NAMA,C431,AK_KAT,"KAS")=1,D431,C431)))</f>
        <v/>
      </c>
      <c r="M431" s="103" t="n">
        <f aca="false">IF(L431="",0,IF(L431=D431,E431,-E431))</f>
        <v>0</v>
      </c>
      <c r="N431" s="102" t="str">
        <f aca="false">IF(L431="","",IFERROR(INDEX(AK_BARIS,MATCH(L431,AK_NAMA,0)),"?"))</f>
        <v/>
      </c>
      <c r="O431" s="102" t="str">
        <f aca="false">IF(C431="","",IFERROR(INDEX(AK_KEL,MATCH(C431,AK_NAMA,0)),"?"))</f>
        <v>BEBAN</v>
      </c>
      <c r="P431" s="102" t="str">
        <f aca="false">IF(D431="","",IFERROR(INDEX(AK_KEL,MATCH(D431,AK_NAMA,0)),"?"))</f>
        <v>LIABILITAS</v>
      </c>
      <c r="Q431" s="102" t="n">
        <f aca="false">N(Q430)+IF(AND(N(E431)&lt;&gt;0,K431=TAHUN,N(J431)&lt;=BLN,OR(C431=BB_AKUN,D431=BB_AKUN)),1,0)</f>
        <v>282</v>
      </c>
      <c r="R431" s="104" t="str">
        <f aca="false">IF(OR(C431&amp;D431="",N(E431)=0),"",IF(OR(O431="?",P431="?"),"⚠ akun tidak dikenal",IF(C431=D431,"⚠ debet = kredit","")))</f>
        <v/>
      </c>
    </row>
    <row r="432" customFormat="false" ht="15" hidden="false" customHeight="false" outlineLevel="0" collapsed="false">
      <c r="A432" s="82" t="s">
        <v>1208</v>
      </c>
      <c r="B432" s="101" t="n">
        <v>46112</v>
      </c>
      <c r="C432" s="82" t="s">
        <v>787</v>
      </c>
      <c r="D432" s="82" t="s">
        <v>461</v>
      </c>
      <c r="E432" s="91" t="n">
        <v>2310000</v>
      </c>
      <c r="F432" s="82" t="s">
        <v>788</v>
      </c>
      <c r="G432" s="82"/>
      <c r="H432" s="82"/>
      <c r="I432" s="82" t="s">
        <v>250</v>
      </c>
      <c r="J432" s="102" t="n">
        <f aca="false">IF(B432="","",MONTH(B432))</f>
        <v>3</v>
      </c>
      <c r="K432" s="102" t="n">
        <f aca="false">IF(B432="","",YEAR(B432))</f>
        <v>2026</v>
      </c>
      <c r="L432" s="102" t="str">
        <f aca="false">IF(N(E432)=0,"",IF(COUNTIFS(AK_NAMA,C432,AK_KAT,"KAS")+COUNTIFS(AK_NAMA,D432,AK_KAT,"KAS")&lt;&gt;1,"",IF(COUNTIFS(AK_NAMA,C432,AK_KAT,"KAS")=1,D432,C432)))</f>
        <v>Pajak Restoran</v>
      </c>
      <c r="M432" s="103" t="n">
        <f aca="false">IF(L432="",0,IF(L432=D432,E432,-E432))</f>
        <v>-2310000</v>
      </c>
      <c r="N432" s="102" t="str">
        <f aca="false">IF(L432="","",IFERROR(INDEX(AK_BARIS,MATCH(L432,AK_NAMA,0)),"?"))</f>
        <v>OP7</v>
      </c>
      <c r="O432" s="102" t="str">
        <f aca="false">IF(C432="","",IFERROR(INDEX(AK_KEL,MATCH(C432,AK_NAMA,0)),"?"))</f>
        <v>PENDAPATAN</v>
      </c>
      <c r="P432" s="102" t="str">
        <f aca="false">IF(D432="","",IFERROR(INDEX(AK_KEL,MATCH(D432,AK_NAMA,0)),"?"))</f>
        <v>ASET</v>
      </c>
      <c r="Q432" s="102" t="n">
        <f aca="false">N(Q431)+IF(AND(N(E432)&lt;&gt;0,K432=TAHUN,N(J432)&lt;=BLN,OR(C432=BB_AKUN,D432=BB_AKUN)),1,0)</f>
        <v>283</v>
      </c>
      <c r="R432" s="104" t="str">
        <f aca="false">IF(OR(C432&amp;D432="",N(E432)=0),"",IF(OR(O432="?",P432="?"),"⚠ akun tidak dikenal",IF(C432=D432,"⚠ debet = kredit","")))</f>
        <v/>
      </c>
    </row>
    <row r="433" customFormat="false" ht="15" hidden="false" customHeight="false" outlineLevel="0" collapsed="false">
      <c r="A433" s="82" t="s">
        <v>1209</v>
      </c>
      <c r="B433" s="101" t="n">
        <v>46112</v>
      </c>
      <c r="C433" s="82" t="s">
        <v>524</v>
      </c>
      <c r="D433" s="82" t="s">
        <v>461</v>
      </c>
      <c r="E433" s="91" t="n">
        <v>23100</v>
      </c>
      <c r="F433" s="82" t="s">
        <v>790</v>
      </c>
      <c r="G433" s="82"/>
      <c r="H433" s="82"/>
      <c r="I433" s="82" t="s">
        <v>250</v>
      </c>
      <c r="J433" s="102" t="n">
        <f aca="false">IF(B433="","",MONTH(B433))</f>
        <v>3</v>
      </c>
      <c r="K433" s="102" t="n">
        <f aca="false">IF(B433="","",YEAR(B433))</f>
        <v>2026</v>
      </c>
      <c r="L433" s="102" t="str">
        <f aca="false">IF(N(E433)=0,"",IF(COUNTIFS(AK_NAMA,C433,AK_KAT,"KAS")+COUNTIFS(AK_NAMA,D433,AK_KAT,"KAS")&lt;&gt;1,"",IF(COUNTIFS(AK_NAMA,C433,AK_KAT,"KAS")=1,D433,C433)))</f>
        <v>Biaya Lainnya</v>
      </c>
      <c r="M433" s="103" t="n">
        <f aca="false">IF(L433="",0,IF(L433=D433,E433,-E433))</f>
        <v>-23100</v>
      </c>
      <c r="N433" s="102" t="str">
        <f aca="false">IF(L433="","",IFERROR(INDEX(AK_BARIS,MATCH(L433,AK_NAMA,0)),"?"))</f>
        <v>OP2</v>
      </c>
      <c r="O433" s="102" t="str">
        <f aca="false">IF(C433="","",IFERROR(INDEX(AK_KEL,MATCH(C433,AK_NAMA,0)),"?"))</f>
        <v>BEBAN</v>
      </c>
      <c r="P433" s="102" t="str">
        <f aca="false">IF(D433="","",IFERROR(INDEX(AK_KEL,MATCH(D433,AK_NAMA,0)),"?"))</f>
        <v>ASET</v>
      </c>
      <c r="Q433" s="102" t="n">
        <f aca="false">N(Q432)+IF(AND(N(E433)&lt;&gt;0,K433=TAHUN,N(J433)&lt;=BLN,OR(C433=BB_AKUN,D433=BB_AKUN)),1,0)</f>
        <v>284</v>
      </c>
      <c r="R433" s="104" t="str">
        <f aca="false">IF(OR(C433&amp;D433="",N(E433)=0),"",IF(OR(O433="?",P433="?"),"⚠ akun tidak dikenal",IF(C433=D433,"⚠ debet = kredit","")))</f>
        <v/>
      </c>
    </row>
    <row r="434" customFormat="false" ht="15" hidden="false" customHeight="false" outlineLevel="0" collapsed="false">
      <c r="A434" s="82" t="s">
        <v>1210</v>
      </c>
      <c r="B434" s="101" t="n">
        <v>46112</v>
      </c>
      <c r="C434" s="82" t="s">
        <v>524</v>
      </c>
      <c r="D434" s="82" t="s">
        <v>461</v>
      </c>
      <c r="E434" s="91" t="n">
        <v>5000</v>
      </c>
      <c r="F434" s="82" t="s">
        <v>854</v>
      </c>
      <c r="G434" s="82"/>
      <c r="H434" s="82"/>
      <c r="I434" s="82" t="s">
        <v>250</v>
      </c>
      <c r="J434" s="102" t="n">
        <f aca="false">IF(B434="","",MONTH(B434))</f>
        <v>3</v>
      </c>
      <c r="K434" s="102" t="n">
        <f aca="false">IF(B434="","",YEAR(B434))</f>
        <v>2026</v>
      </c>
      <c r="L434" s="102" t="str">
        <f aca="false">IF(N(E434)=0,"",IF(COUNTIFS(AK_NAMA,C434,AK_KAT,"KAS")+COUNTIFS(AK_NAMA,D434,AK_KAT,"KAS")&lt;&gt;1,"",IF(COUNTIFS(AK_NAMA,C434,AK_KAT,"KAS")=1,D434,C434)))</f>
        <v>Biaya Lainnya</v>
      </c>
      <c r="M434" s="103" t="n">
        <f aca="false">IF(L434="",0,IF(L434=D434,E434,-E434))</f>
        <v>-5000</v>
      </c>
      <c r="N434" s="102" t="str">
        <f aca="false">IF(L434="","",IFERROR(INDEX(AK_BARIS,MATCH(L434,AK_NAMA,0)),"?"))</f>
        <v>OP2</v>
      </c>
      <c r="O434" s="102" t="str">
        <f aca="false">IF(C434="","",IFERROR(INDEX(AK_KEL,MATCH(C434,AK_NAMA,0)),"?"))</f>
        <v>BEBAN</v>
      </c>
      <c r="P434" s="102" t="str">
        <f aca="false">IF(D434="","",IFERROR(INDEX(AK_KEL,MATCH(D434,AK_NAMA,0)),"?"))</f>
        <v>ASET</v>
      </c>
      <c r="Q434" s="102" t="n">
        <f aca="false">N(Q433)+IF(AND(N(E434)&lt;&gt;0,K434=TAHUN,N(J434)&lt;=BLN,OR(C434=BB_AKUN,D434=BB_AKUN)),1,0)</f>
        <v>285</v>
      </c>
      <c r="R434" s="104" t="str">
        <f aca="false">IF(OR(C434&amp;D434="",N(E434)=0),"",IF(OR(O434="?",P434="?"),"⚠ akun tidak dikenal",IF(C434=D434,"⚠ debet = kredit","")))</f>
        <v/>
      </c>
    </row>
    <row r="435" customFormat="false" ht="15" hidden="false" customHeight="false" outlineLevel="0" collapsed="false">
      <c r="A435" s="105" t="s">
        <v>1211</v>
      </c>
      <c r="B435" s="106" t="n">
        <v>46112</v>
      </c>
      <c r="C435" s="105" t="s">
        <v>765</v>
      </c>
      <c r="D435" s="105" t="s">
        <v>792</v>
      </c>
      <c r="E435" s="107" t="n">
        <f aca="false">SUMIFS('OMZET HARIAN'!$Q$5:$Q$369,'OMZET HARIAN'!$B$5:$B$369,J435)</f>
        <v>102509844</v>
      </c>
      <c r="F435" s="105" t="s">
        <v>1212</v>
      </c>
      <c r="G435" s="105"/>
      <c r="H435" s="105"/>
      <c r="I435" s="105" t="s">
        <v>794</v>
      </c>
      <c r="J435" s="102" t="n">
        <f aca="false">IF(B435="","",MONTH(B435))</f>
        <v>3</v>
      </c>
      <c r="K435" s="102" t="n">
        <f aca="false">IF(B435="","",YEAR(B435))</f>
        <v>2026</v>
      </c>
      <c r="L435" s="102" t="str">
        <f aca="false">IF(N(E435)=0,"",IF(COUNTIFS(AK_NAMA,C435,AK_KAT,"KAS")+COUNTIFS(AK_NAMA,D435,AK_KAT,"KAS")&lt;&gt;1,"",IF(COUNTIFS(AK_NAMA,C435,AK_KAT,"KAS")=1,D435,C435)))</f>
        <v/>
      </c>
      <c r="M435" s="103" t="n">
        <f aca="false">IF(L435="",0,IF(L435=D435,E435,-E435))</f>
        <v>0</v>
      </c>
      <c r="N435" s="102" t="str">
        <f aca="false">IF(L435="","",IFERROR(INDEX(AK_BARIS,MATCH(L435,AK_NAMA,0)),"?"))</f>
        <v/>
      </c>
      <c r="O435" s="102" t="str">
        <f aca="false">IF(C435="","",IFERROR(INDEX(AK_KEL,MATCH(C435,AK_NAMA,0)),"?"))</f>
        <v>ASET</v>
      </c>
      <c r="P435" s="102" t="str">
        <f aca="false">IF(D435="","",IFERROR(INDEX(AK_KEL,MATCH(D435,AK_NAMA,0)),"?"))</f>
        <v>PENDAPATAN</v>
      </c>
      <c r="Q435" s="102" t="n">
        <f aca="false">N(Q434)+IF(AND(N(E435)&lt;&gt;0,K435=TAHUN,N(J435)&lt;=BLN,OR(C435=BB_AKUN,D435=BB_AKUN)),1,0)</f>
        <v>285</v>
      </c>
      <c r="R435" s="104" t="str">
        <f aca="false">IF(OR(C435&amp;D435="",N(E435)=0),"",IF(OR(O435="?",P435="?"),"⚠ akun tidak dikenal",IF(C435=D435,"⚠ debet = kredit","")))</f>
        <v/>
      </c>
    </row>
    <row r="436" customFormat="false" ht="15" hidden="false" customHeight="false" outlineLevel="0" collapsed="false">
      <c r="A436" s="105" t="s">
        <v>1213</v>
      </c>
      <c r="B436" s="106" t="n">
        <v>46112</v>
      </c>
      <c r="C436" s="105" t="s">
        <v>475</v>
      </c>
      <c r="D436" s="105" t="s">
        <v>765</v>
      </c>
      <c r="E436" s="107" t="n">
        <f aca="false">SUMIFS('OMZET HARIAN'!$F$5:$F$369,'OMZET HARIAN'!$B$5:$B$369,J436)+SUMIFS('OMZET HARIAN'!$G$5:$G$369,'OMZET HARIAN'!$B$5:$B$369,J436)</f>
        <v>30234500</v>
      </c>
      <c r="F436" s="105" t="s">
        <v>1214</v>
      </c>
      <c r="G436" s="105"/>
      <c r="H436" s="105"/>
      <c r="I436" s="105" t="s">
        <v>794</v>
      </c>
      <c r="J436" s="102" t="n">
        <f aca="false">IF(B436="","",MONTH(B436))</f>
        <v>3</v>
      </c>
      <c r="K436" s="102" t="n">
        <f aca="false">IF(B436="","",YEAR(B436))</f>
        <v>2026</v>
      </c>
      <c r="L436" s="102" t="str">
        <f aca="false">IF(N(E436)=0,"",IF(COUNTIFS(AK_NAMA,C436,AK_KAT,"KAS")+COUNTIFS(AK_NAMA,D436,AK_KAT,"KAS")&lt;&gt;1,"",IF(COUNTIFS(AK_NAMA,C436,AK_KAT,"KAS")=1,D436,C436)))</f>
        <v>Piutang Usaha Cafe</v>
      </c>
      <c r="M436" s="103" t="n">
        <f aca="false">IF(L436="",0,IF(L436=D436,E436,-E436))</f>
        <v>30234500</v>
      </c>
      <c r="N436" s="102" t="str">
        <f aca="false">IF(L436="","",IFERROR(INDEX(AK_BARIS,MATCH(L436,AK_NAMA,0)),"?"))</f>
        <v>OP1</v>
      </c>
      <c r="O436" s="102" t="str">
        <f aca="false">IF(C436="","",IFERROR(INDEX(AK_KEL,MATCH(C436,AK_NAMA,0)),"?"))</f>
        <v>ASET</v>
      </c>
      <c r="P436" s="102" t="str">
        <f aca="false">IF(D436="","",IFERROR(INDEX(AK_KEL,MATCH(D436,AK_NAMA,0)),"?"))</f>
        <v>ASET</v>
      </c>
      <c r="Q436" s="102" t="n">
        <f aca="false">N(Q435)+IF(AND(N(E436)&lt;&gt;0,K436=TAHUN,N(J436)&lt;=BLN,OR(C436=BB_AKUN,D436=BB_AKUN)),1,0)</f>
        <v>285</v>
      </c>
      <c r="R436" s="104" t="str">
        <f aca="false">IF(OR(C436&amp;D436="",N(E436)=0),"",IF(OR(O436="?",P436="?"),"⚠ akun tidak dikenal",IF(C436=D436,"⚠ debet = kredit","")))</f>
        <v/>
      </c>
    </row>
    <row r="437" customFormat="false" ht="15" hidden="false" customHeight="false" outlineLevel="0" collapsed="false">
      <c r="A437" s="105" t="s">
        <v>1215</v>
      </c>
      <c r="B437" s="106" t="n">
        <v>46112</v>
      </c>
      <c r="C437" s="105" t="s">
        <v>461</v>
      </c>
      <c r="D437" s="105" t="s">
        <v>765</v>
      </c>
      <c r="E437" s="107" t="n">
        <f aca="false">SUMIFS('OMZET HARIAN'!$H$5:$H$369,'OMZET HARIAN'!$B$5:$B$369,J437)</f>
        <v>70132244</v>
      </c>
      <c r="F437" s="105" t="s">
        <v>1216</v>
      </c>
      <c r="G437" s="105"/>
      <c r="H437" s="105"/>
      <c r="I437" s="105" t="s">
        <v>794</v>
      </c>
      <c r="J437" s="102" t="n">
        <f aca="false">IF(B437="","",MONTH(B437))</f>
        <v>3</v>
      </c>
      <c r="K437" s="102" t="n">
        <f aca="false">IF(B437="","",YEAR(B437))</f>
        <v>2026</v>
      </c>
      <c r="L437" s="102" t="str">
        <f aca="false">IF(N(E437)=0,"",IF(COUNTIFS(AK_NAMA,C437,AK_KAT,"KAS")+COUNTIFS(AK_NAMA,D437,AK_KAT,"KAS")&lt;&gt;1,"",IF(COUNTIFS(AK_NAMA,C437,AK_KAT,"KAS")=1,D437,C437)))</f>
        <v>Piutang Usaha Cafe</v>
      </c>
      <c r="M437" s="103" t="n">
        <f aca="false">IF(L437="",0,IF(L437=D437,E437,-E437))</f>
        <v>70132244</v>
      </c>
      <c r="N437" s="102" t="str">
        <f aca="false">IF(L437="","",IFERROR(INDEX(AK_BARIS,MATCH(L437,AK_NAMA,0)),"?"))</f>
        <v>OP1</v>
      </c>
      <c r="O437" s="102" t="str">
        <f aca="false">IF(C437="","",IFERROR(INDEX(AK_KEL,MATCH(C437,AK_NAMA,0)),"?"))</f>
        <v>ASET</v>
      </c>
      <c r="P437" s="102" t="str">
        <f aca="false">IF(D437="","",IFERROR(INDEX(AK_KEL,MATCH(D437,AK_NAMA,0)),"?"))</f>
        <v>ASET</v>
      </c>
      <c r="Q437" s="102" t="n">
        <f aca="false">N(Q436)+IF(AND(N(E437)&lt;&gt;0,K437=TAHUN,N(J437)&lt;=BLN,OR(C437=BB_AKUN,D437=BB_AKUN)),1,0)</f>
        <v>286</v>
      </c>
      <c r="R437" s="104" t="str">
        <f aca="false">IF(OR(C437&amp;D437="",N(E437)=0),"",IF(OR(O437="?",P437="?"),"⚠ akun tidak dikenal",IF(C437=D437,"⚠ debet = kredit","")))</f>
        <v/>
      </c>
    </row>
    <row r="438" customFormat="false" ht="15" hidden="false" customHeight="false" outlineLevel="0" collapsed="false">
      <c r="A438" s="105" t="s">
        <v>1217</v>
      </c>
      <c r="B438" s="106" t="n">
        <v>46112</v>
      </c>
      <c r="C438" s="105" t="s">
        <v>718</v>
      </c>
      <c r="D438" s="105" t="s">
        <v>765</v>
      </c>
      <c r="E438" s="107" t="n">
        <f aca="false">SUMIFS('OMZET HARIAN'!$L$5:$L$369,'OMZET HARIAN'!$B$5:$B$369,J438)</f>
        <v>273500</v>
      </c>
      <c r="F438" s="105" t="s">
        <v>1218</v>
      </c>
      <c r="G438" s="105"/>
      <c r="H438" s="105" t="s">
        <v>763</v>
      </c>
      <c r="I438" s="105" t="s">
        <v>794</v>
      </c>
      <c r="J438" s="102" t="n">
        <f aca="false">IF(B438="","",MONTH(B438))</f>
        <v>3</v>
      </c>
      <c r="K438" s="102" t="n">
        <f aca="false">IF(B438="","",YEAR(B438))</f>
        <v>2026</v>
      </c>
      <c r="L438" s="102" t="str">
        <f aca="false">IF(N(E438)=0,"",IF(COUNTIFS(AK_NAMA,C438,AK_KAT,"KAS")+COUNTIFS(AK_NAMA,D438,AK_KAT,"KAS")&lt;&gt;1,"",IF(COUNTIFS(AK_NAMA,C438,AK_KAT,"KAS")=1,D438,C438)))</f>
        <v/>
      </c>
      <c r="M438" s="103" t="n">
        <f aca="false">IF(L438="",0,IF(L438=D438,E438,-E438))</f>
        <v>0</v>
      </c>
      <c r="N438" s="102" t="str">
        <f aca="false">IF(L438="","",IFERROR(INDEX(AK_BARIS,MATCH(L438,AK_NAMA,0)),"?"))</f>
        <v/>
      </c>
      <c r="O438" s="102" t="str">
        <f aca="false">IF(C438="","",IFERROR(INDEX(AK_KEL,MATCH(C438,AK_NAMA,0)),"?"))</f>
        <v>ASET</v>
      </c>
      <c r="P438" s="102" t="str">
        <f aca="false">IF(D438="","",IFERROR(INDEX(AK_KEL,MATCH(D438,AK_NAMA,0)),"?"))</f>
        <v>ASET</v>
      </c>
      <c r="Q438" s="102" t="n">
        <f aca="false">N(Q437)+IF(AND(N(E438)&lt;&gt;0,K438=TAHUN,N(J438)&lt;=BLN,OR(C438=BB_AKUN,D438=BB_AKUN)),1,0)</f>
        <v>286</v>
      </c>
      <c r="R438" s="104" t="str">
        <f aca="false">IF(OR(C438&amp;D438="",N(E438)=0),"",IF(OR(O438="?",P438="?"),"⚠ akun tidak dikenal",IF(C438=D438,"⚠ debet = kredit","")))</f>
        <v/>
      </c>
    </row>
    <row r="439" customFormat="false" ht="15" hidden="false" customHeight="false" outlineLevel="0" collapsed="false">
      <c r="A439" s="105" t="s">
        <v>1219</v>
      </c>
      <c r="B439" s="106" t="n">
        <v>46112</v>
      </c>
      <c r="C439" s="105" t="s">
        <v>802</v>
      </c>
      <c r="D439" s="105" t="s">
        <v>765</v>
      </c>
      <c r="E439" s="107" t="n">
        <f aca="false">SUMIFS('OMZET HARIAN'!$M$5:$M$369,'OMZET HARIAN'!$B$5:$B$369,J439)</f>
        <v>282300</v>
      </c>
      <c r="F439" s="105" t="s">
        <v>1220</v>
      </c>
      <c r="G439" s="105"/>
      <c r="H439" s="105"/>
      <c r="I439" s="105" t="s">
        <v>794</v>
      </c>
      <c r="J439" s="102" t="n">
        <f aca="false">IF(B439="","",MONTH(B439))</f>
        <v>3</v>
      </c>
      <c r="K439" s="102" t="n">
        <f aca="false">IF(B439="","",YEAR(B439))</f>
        <v>2026</v>
      </c>
      <c r="L439" s="102" t="str">
        <f aca="false">IF(N(E439)=0,"",IF(COUNTIFS(AK_NAMA,C439,AK_KAT,"KAS")+COUNTIFS(AK_NAMA,D439,AK_KAT,"KAS")&lt;&gt;1,"",IF(COUNTIFS(AK_NAMA,C439,AK_KAT,"KAS")=1,D439,C439)))</f>
        <v/>
      </c>
      <c r="M439" s="103" t="n">
        <f aca="false">IF(L439="",0,IF(L439=D439,E439,-E439))</f>
        <v>0</v>
      </c>
      <c r="N439" s="102" t="str">
        <f aca="false">IF(L439="","",IFERROR(INDEX(AK_BARIS,MATCH(L439,AK_NAMA,0)),"?"))</f>
        <v/>
      </c>
      <c r="O439" s="102" t="str">
        <f aca="false">IF(C439="","",IFERROR(INDEX(AK_KEL,MATCH(C439,AK_NAMA,0)),"?"))</f>
        <v>BEBAN</v>
      </c>
      <c r="P439" s="102" t="str">
        <f aca="false">IF(D439="","",IFERROR(INDEX(AK_KEL,MATCH(D439,AK_NAMA,0)),"?"))</f>
        <v>ASET</v>
      </c>
      <c r="Q439" s="102" t="n">
        <f aca="false">N(Q438)+IF(AND(N(E439)&lt;&gt;0,K439=TAHUN,N(J439)&lt;=BLN,OR(C439=BB_AKUN,D439=BB_AKUN)),1,0)</f>
        <v>286</v>
      </c>
      <c r="R439" s="104" t="str">
        <f aca="false">IF(OR(C439&amp;D439="",N(E439)=0),"",IF(OR(O439="?",P439="?"),"⚠ akun tidak dikenal",IF(C439=D439,"⚠ debet = kredit","")))</f>
        <v/>
      </c>
    </row>
    <row r="440" customFormat="false" ht="15" hidden="false" customHeight="false" outlineLevel="0" collapsed="false">
      <c r="A440" s="105" t="s">
        <v>1221</v>
      </c>
      <c r="B440" s="106" t="n">
        <v>46112</v>
      </c>
      <c r="C440" s="105" t="s">
        <v>464</v>
      </c>
      <c r="D440" s="105" t="s">
        <v>765</v>
      </c>
      <c r="E440" s="107" t="n">
        <f aca="false">SUMIFS('OMZET HARIAN'!$N$5:$N$369,'OMZET HARIAN'!$B$5:$B$369,J440)</f>
        <v>1587300</v>
      </c>
      <c r="F440" s="105" t="s">
        <v>1222</v>
      </c>
      <c r="G440" s="105"/>
      <c r="H440" s="105" t="s">
        <v>432</v>
      </c>
      <c r="I440" s="105" t="s">
        <v>794</v>
      </c>
      <c r="J440" s="102" t="n">
        <f aca="false">IF(B440="","",MONTH(B440))</f>
        <v>3</v>
      </c>
      <c r="K440" s="102" t="n">
        <f aca="false">IF(B440="","",YEAR(B440))</f>
        <v>2026</v>
      </c>
      <c r="L440" s="102" t="str">
        <f aca="false">IF(N(E440)=0,"",IF(COUNTIFS(AK_NAMA,C440,AK_KAT,"KAS")+COUNTIFS(AK_NAMA,D440,AK_KAT,"KAS")&lt;&gt;1,"",IF(COUNTIFS(AK_NAMA,C440,AK_KAT,"KAS")=1,D440,C440)))</f>
        <v/>
      </c>
      <c r="M440" s="103" t="n">
        <f aca="false">IF(L440="",0,IF(L440=D440,E440,-E440))</f>
        <v>0</v>
      </c>
      <c r="N440" s="102" t="str">
        <f aca="false">IF(L440="","",IFERROR(INDEX(AK_BARIS,MATCH(L440,AK_NAMA,0)),"?"))</f>
        <v/>
      </c>
      <c r="O440" s="102" t="str">
        <f aca="false">IF(C440="","",IFERROR(INDEX(AK_KEL,MATCH(C440,AK_NAMA,0)),"?"))</f>
        <v>EKUITAS</v>
      </c>
      <c r="P440" s="102" t="str">
        <f aca="false">IF(D440="","",IFERROR(INDEX(AK_KEL,MATCH(D440,AK_NAMA,0)),"?"))</f>
        <v>ASET</v>
      </c>
      <c r="Q440" s="102" t="n">
        <f aca="false">N(Q439)+IF(AND(N(E440)&lt;&gt;0,K440=TAHUN,N(J440)&lt;=BLN,OR(C440=BB_AKUN,D440=BB_AKUN)),1,0)</f>
        <v>286</v>
      </c>
      <c r="R440" s="104" t="str">
        <f aca="false">IF(OR(C440&amp;D440="",N(E440)=0),"",IF(OR(O440="?",P440="?"),"⚠ akun tidak dikenal",IF(C440=D440,"⚠ debet = kredit","")))</f>
        <v/>
      </c>
    </row>
    <row r="441" customFormat="false" ht="15" hidden="false" customHeight="false" outlineLevel="0" collapsed="false">
      <c r="A441" s="105" t="s">
        <v>1223</v>
      </c>
      <c r="B441" s="106" t="n">
        <v>46112</v>
      </c>
      <c r="C441" s="105" t="s">
        <v>807</v>
      </c>
      <c r="D441" s="105" t="s">
        <v>808</v>
      </c>
      <c r="E441" s="107" t="n">
        <f aca="false">INDEX('ASET TETAP'!$H$25:$S$25,J441)</f>
        <v>216667</v>
      </c>
      <c r="F441" s="105" t="s">
        <v>1224</v>
      </c>
      <c r="G441" s="105"/>
      <c r="H441" s="105"/>
      <c r="I441" s="105" t="s">
        <v>794</v>
      </c>
      <c r="J441" s="102" t="n">
        <f aca="false">IF(B441="","",MONTH(B441))</f>
        <v>3</v>
      </c>
      <c r="K441" s="102" t="n">
        <f aca="false">IF(B441="","",YEAR(B441))</f>
        <v>2026</v>
      </c>
      <c r="L441" s="102" t="str">
        <f aca="false">IF(N(E441)=0,"",IF(COUNTIFS(AK_NAMA,C441,AK_KAT,"KAS")+COUNTIFS(AK_NAMA,D441,AK_KAT,"KAS")&lt;&gt;1,"",IF(COUNTIFS(AK_NAMA,C441,AK_KAT,"KAS")=1,D441,C441)))</f>
        <v/>
      </c>
      <c r="M441" s="103" t="n">
        <f aca="false">IF(L441="",0,IF(L441=D441,E441,-E441))</f>
        <v>0</v>
      </c>
      <c r="N441" s="102" t="str">
        <f aca="false">IF(L441="","",IFERROR(INDEX(AK_BARIS,MATCH(L441,AK_NAMA,0)),"?"))</f>
        <v/>
      </c>
      <c r="O441" s="102" t="str">
        <f aca="false">IF(C441="","",IFERROR(INDEX(AK_KEL,MATCH(C441,AK_NAMA,0)),"?"))</f>
        <v>BEBAN</v>
      </c>
      <c r="P441" s="102" t="str">
        <f aca="false">IF(D441="","",IFERROR(INDEX(AK_KEL,MATCH(D441,AK_NAMA,0)),"?"))</f>
        <v>ASET</v>
      </c>
      <c r="Q441" s="102" t="n">
        <f aca="false">N(Q440)+IF(AND(N(E441)&lt;&gt;0,K441=TAHUN,N(J441)&lt;=BLN,OR(C441=BB_AKUN,D441=BB_AKUN)),1,0)</f>
        <v>286</v>
      </c>
      <c r="R441" s="104" t="str">
        <f aca="false">IF(OR(C441&amp;D441="",N(E441)=0),"",IF(OR(O441="?",P441="?"),"⚠ akun tidak dikenal",IF(C441=D441,"⚠ debet = kredit","")))</f>
        <v/>
      </c>
    </row>
    <row r="442" customFormat="false" ht="15" hidden="false" customHeight="false" outlineLevel="0" collapsed="false">
      <c r="A442" s="105" t="s">
        <v>1225</v>
      </c>
      <c r="B442" s="106" t="n">
        <v>46112</v>
      </c>
      <c r="C442" s="105" t="s">
        <v>787</v>
      </c>
      <c r="D442" s="105" t="s">
        <v>811</v>
      </c>
      <c r="E442" s="107" t="n">
        <f aca="false">IF(AND(AKRUAL="YA",J442&lt;=BLN),MAX(0,INDEX(PAJAK!$J$6:$J$17,J442)),0)</f>
        <v>6995823</v>
      </c>
      <c r="F442" s="105" t="s">
        <v>1226</v>
      </c>
      <c r="G442" s="105"/>
      <c r="H442" s="105"/>
      <c r="I442" s="105" t="s">
        <v>813</v>
      </c>
      <c r="J442" s="102" t="n">
        <f aca="false">IF(B442="","",MONTH(B442))</f>
        <v>3</v>
      </c>
      <c r="K442" s="102" t="n">
        <f aca="false">IF(B442="","",YEAR(B442))</f>
        <v>2026</v>
      </c>
      <c r="L442" s="102" t="str">
        <f aca="false">IF(N(E442)=0,"",IF(COUNTIFS(AK_NAMA,C442,AK_KAT,"KAS")+COUNTIFS(AK_NAMA,D442,AK_KAT,"KAS")&lt;&gt;1,"",IF(COUNTIFS(AK_NAMA,C442,AK_KAT,"KAS")=1,D442,C442)))</f>
        <v/>
      </c>
      <c r="M442" s="103" t="n">
        <f aca="false">IF(L442="",0,IF(L442=D442,E442,-E442))</f>
        <v>0</v>
      </c>
      <c r="N442" s="102" t="str">
        <f aca="false">IF(L442="","",IFERROR(INDEX(AK_BARIS,MATCH(L442,AK_NAMA,0)),"?"))</f>
        <v/>
      </c>
      <c r="O442" s="102" t="str">
        <f aca="false">IF(C442="","",IFERROR(INDEX(AK_KEL,MATCH(C442,AK_NAMA,0)),"?"))</f>
        <v>PENDAPATAN</v>
      </c>
      <c r="P442" s="102" t="str">
        <f aca="false">IF(D442="","",IFERROR(INDEX(AK_KEL,MATCH(D442,AK_NAMA,0)),"?"))</f>
        <v>LIABILITAS</v>
      </c>
      <c r="Q442" s="102" t="n">
        <f aca="false">N(Q441)+IF(AND(N(E442)&lt;&gt;0,K442=TAHUN,N(J442)&lt;=BLN,OR(C442=BB_AKUN,D442=BB_AKUN)),1,0)</f>
        <v>286</v>
      </c>
      <c r="R442" s="104" t="str">
        <f aca="false">IF(OR(C442&amp;D442="",N(E442)=0),"",IF(OR(O442="?",P442="?"),"⚠ akun tidak dikenal",IF(C442=D442,"⚠ debet = kredit","")))</f>
        <v/>
      </c>
    </row>
    <row r="443" customFormat="false" ht="15" hidden="false" customHeight="false" outlineLevel="0" collapsed="false">
      <c r="A443" s="82" t="s">
        <v>1227</v>
      </c>
      <c r="B443" s="101" t="n">
        <v>46113</v>
      </c>
      <c r="C443" s="82" t="s">
        <v>470</v>
      </c>
      <c r="D443" s="82" t="s">
        <v>461</v>
      </c>
      <c r="E443" s="91" t="n">
        <v>830000</v>
      </c>
      <c r="F443" s="82" t="s">
        <v>1228</v>
      </c>
      <c r="G443" s="82"/>
      <c r="H443" s="82"/>
      <c r="I443" s="82" t="s">
        <v>250</v>
      </c>
      <c r="J443" s="102" t="n">
        <f aca="false">IF(B443="","",MONTH(B443))</f>
        <v>4</v>
      </c>
      <c r="K443" s="102" t="n">
        <f aca="false">IF(B443="","",YEAR(B443))</f>
        <v>2026</v>
      </c>
      <c r="L443" s="102" t="str">
        <f aca="false">IF(N(E443)=0,"",IF(COUNTIFS(AK_NAMA,C443,AK_KAT,"KAS")+COUNTIFS(AK_NAMA,D443,AK_KAT,"KAS")&lt;&gt;1,"",IF(COUNTIFS(AK_NAMA,C443,AK_KAT,"KAS")=1,D443,C443)))</f>
        <v>Biaya Bahan Baku</v>
      </c>
      <c r="M443" s="103" t="n">
        <f aca="false">IF(L443="",0,IF(L443=D443,E443,-E443))</f>
        <v>-830000</v>
      </c>
      <c r="N443" s="102" t="str">
        <f aca="false">IF(L443="","",IFERROR(INDEX(AK_BARIS,MATCH(L443,AK_NAMA,0)),"?"))</f>
        <v>OP3</v>
      </c>
      <c r="O443" s="102" t="str">
        <f aca="false">IF(C443="","",IFERROR(INDEX(AK_KEL,MATCH(C443,AK_NAMA,0)),"?"))</f>
        <v>BEBAN</v>
      </c>
      <c r="P443" s="102" t="str">
        <f aca="false">IF(D443="","",IFERROR(INDEX(AK_KEL,MATCH(D443,AK_NAMA,0)),"?"))</f>
        <v>ASET</v>
      </c>
      <c r="Q443" s="102" t="n">
        <f aca="false">N(Q442)+IF(AND(N(E443)&lt;&gt;0,K443=TAHUN,N(J443)&lt;=BLN,OR(C443=BB_AKUN,D443=BB_AKUN)),1,0)</f>
        <v>287</v>
      </c>
      <c r="R443" s="104" t="str">
        <f aca="false">IF(OR(C443&amp;D443="",N(E443)=0),"",IF(OR(O443="?",P443="?"),"⚠ akun tidak dikenal",IF(C443=D443,"⚠ debet = kredit","")))</f>
        <v/>
      </c>
    </row>
    <row r="444" customFormat="false" ht="15" hidden="false" customHeight="false" outlineLevel="0" collapsed="false">
      <c r="A444" s="82" t="s">
        <v>1229</v>
      </c>
      <c r="B444" s="101" t="n">
        <v>46113</v>
      </c>
      <c r="C444" s="82" t="s">
        <v>486</v>
      </c>
      <c r="D444" s="82" t="s">
        <v>475</v>
      </c>
      <c r="E444" s="91" t="n">
        <v>1000000</v>
      </c>
      <c r="F444" s="82" t="s">
        <v>622</v>
      </c>
      <c r="G444" s="82"/>
      <c r="H444" s="82"/>
      <c r="I444" s="82" t="s">
        <v>250</v>
      </c>
      <c r="J444" s="102" t="n">
        <f aca="false">IF(B444="","",MONTH(B444))</f>
        <v>4</v>
      </c>
      <c r="K444" s="102" t="n">
        <f aca="false">IF(B444="","",YEAR(B444))</f>
        <v>2026</v>
      </c>
      <c r="L444" s="102" t="str">
        <f aca="false">IF(N(E444)=0,"",IF(COUNTIFS(AK_NAMA,C444,AK_KAT,"KAS")+COUNTIFS(AK_NAMA,D444,AK_KAT,"KAS")&lt;&gt;1,"",IF(COUNTIFS(AK_NAMA,C444,AK_KAT,"KAS")=1,D444,C444)))</f>
        <v/>
      </c>
      <c r="M444" s="103" t="n">
        <f aca="false">IF(L444="",0,IF(L444=D444,E444,-E444))</f>
        <v>0</v>
      </c>
      <c r="N444" s="102" t="str">
        <f aca="false">IF(L444="","",IFERROR(INDEX(AK_BARIS,MATCH(L444,AK_NAMA,0)),"?"))</f>
        <v/>
      </c>
      <c r="O444" s="102" t="str">
        <f aca="false">IF(C444="","",IFERROR(INDEX(AK_KEL,MATCH(C444,AK_NAMA,0)),"?"))</f>
        <v>ASET</v>
      </c>
      <c r="P444" s="102" t="str">
        <f aca="false">IF(D444="","",IFERROR(INDEX(AK_KEL,MATCH(D444,AK_NAMA,0)),"?"))</f>
        <v>ASET</v>
      </c>
      <c r="Q444" s="102" t="n">
        <f aca="false">N(Q443)+IF(AND(N(E444)&lt;&gt;0,K444=TAHUN,N(J444)&lt;=BLN,OR(C444=BB_AKUN,D444=BB_AKUN)),1,0)</f>
        <v>287</v>
      </c>
      <c r="R444" s="104" t="str">
        <f aca="false">IF(OR(C444&amp;D444="",N(E444)=0),"",IF(OR(O444="?",P444="?"),"⚠ akun tidak dikenal",IF(C444=D444,"⚠ debet = kredit","")))</f>
        <v/>
      </c>
    </row>
    <row r="445" customFormat="false" ht="15" hidden="false" customHeight="false" outlineLevel="0" collapsed="false">
      <c r="A445" s="82" t="s">
        <v>1230</v>
      </c>
      <c r="B445" s="101" t="n">
        <v>46113</v>
      </c>
      <c r="C445" s="82" t="s">
        <v>475</v>
      </c>
      <c r="D445" s="82" t="s">
        <v>461</v>
      </c>
      <c r="E445" s="91" t="n">
        <v>3000000</v>
      </c>
      <c r="F445" s="82" t="s">
        <v>1231</v>
      </c>
      <c r="G445" s="82"/>
      <c r="H445" s="82"/>
      <c r="I445" s="82" t="s">
        <v>250</v>
      </c>
      <c r="J445" s="102" t="n">
        <f aca="false">IF(B445="","",MONTH(B445))</f>
        <v>4</v>
      </c>
      <c r="K445" s="102" t="n">
        <f aca="false">IF(B445="","",YEAR(B445))</f>
        <v>2026</v>
      </c>
      <c r="L445" s="102" t="str">
        <f aca="false">IF(N(E445)=0,"",IF(COUNTIFS(AK_NAMA,C445,AK_KAT,"KAS")+COUNTIFS(AK_NAMA,D445,AK_KAT,"KAS")&lt;&gt;1,"",IF(COUNTIFS(AK_NAMA,C445,AK_KAT,"KAS")=1,D445,C445)))</f>
        <v/>
      </c>
      <c r="M445" s="103" t="n">
        <f aca="false">IF(L445="",0,IF(L445=D445,E445,-E445))</f>
        <v>0</v>
      </c>
      <c r="N445" s="102" t="str">
        <f aca="false">IF(L445="","",IFERROR(INDEX(AK_BARIS,MATCH(L445,AK_NAMA,0)),"?"))</f>
        <v/>
      </c>
      <c r="O445" s="102" t="str">
        <f aca="false">IF(C445="","",IFERROR(INDEX(AK_KEL,MATCH(C445,AK_NAMA,0)),"?"))</f>
        <v>ASET</v>
      </c>
      <c r="P445" s="102" t="str">
        <f aca="false">IF(D445="","",IFERROR(INDEX(AK_KEL,MATCH(D445,AK_NAMA,0)),"?"))</f>
        <v>ASET</v>
      </c>
      <c r="Q445" s="102" t="n">
        <f aca="false">N(Q444)+IF(AND(N(E445)&lt;&gt;0,K445=TAHUN,N(J445)&lt;=BLN,OR(C445=BB_AKUN,D445=BB_AKUN)),1,0)</f>
        <v>288</v>
      </c>
      <c r="R445" s="104" t="str">
        <f aca="false">IF(OR(C445&amp;D445="",N(E445)=0),"",IF(OR(O445="?",P445="?"),"⚠ akun tidak dikenal",IF(C445=D445,"⚠ debet = kredit","")))</f>
        <v/>
      </c>
    </row>
    <row r="446" customFormat="false" ht="15" hidden="false" customHeight="false" outlineLevel="0" collapsed="false">
      <c r="A446" s="82" t="s">
        <v>1232</v>
      </c>
      <c r="B446" s="101" t="n">
        <v>46113</v>
      </c>
      <c r="C446" s="82" t="s">
        <v>461</v>
      </c>
      <c r="D446" s="82" t="s">
        <v>475</v>
      </c>
      <c r="E446" s="91" t="n">
        <v>922000</v>
      </c>
      <c r="F446" s="82" t="s">
        <v>1233</v>
      </c>
      <c r="G446" s="82"/>
      <c r="H446" s="82"/>
      <c r="I446" s="82" t="s">
        <v>250</v>
      </c>
      <c r="J446" s="102" t="n">
        <f aca="false">IF(B446="","",MONTH(B446))</f>
        <v>4</v>
      </c>
      <c r="K446" s="102" t="n">
        <f aca="false">IF(B446="","",YEAR(B446))</f>
        <v>2026</v>
      </c>
      <c r="L446" s="102" t="str">
        <f aca="false">IF(N(E446)=0,"",IF(COUNTIFS(AK_NAMA,C446,AK_KAT,"KAS")+COUNTIFS(AK_NAMA,D446,AK_KAT,"KAS")&lt;&gt;1,"",IF(COUNTIFS(AK_NAMA,C446,AK_KAT,"KAS")=1,D446,C446)))</f>
        <v/>
      </c>
      <c r="M446" s="103" t="n">
        <f aca="false">IF(L446="",0,IF(L446=D446,E446,-E446))</f>
        <v>0</v>
      </c>
      <c r="N446" s="102" t="str">
        <f aca="false">IF(L446="","",IFERROR(INDEX(AK_BARIS,MATCH(L446,AK_NAMA,0)),"?"))</f>
        <v/>
      </c>
      <c r="O446" s="102" t="str">
        <f aca="false">IF(C446="","",IFERROR(INDEX(AK_KEL,MATCH(C446,AK_NAMA,0)),"?"))</f>
        <v>ASET</v>
      </c>
      <c r="P446" s="102" t="str">
        <f aca="false">IF(D446="","",IFERROR(INDEX(AK_KEL,MATCH(D446,AK_NAMA,0)),"?"))</f>
        <v>ASET</v>
      </c>
      <c r="Q446" s="102" t="n">
        <f aca="false">N(Q445)+IF(AND(N(E446)&lt;&gt;0,K446=TAHUN,N(J446)&lt;=BLN,OR(C446=BB_AKUN,D446=BB_AKUN)),1,0)</f>
        <v>289</v>
      </c>
      <c r="R446" s="104" t="str">
        <f aca="false">IF(OR(C446&amp;D446="",N(E446)=0),"",IF(OR(O446="?",P446="?"),"⚠ akun tidak dikenal",IF(C446=D446,"⚠ debet = kredit","")))</f>
        <v/>
      </c>
    </row>
    <row r="447" customFormat="false" ht="15" hidden="false" customHeight="false" outlineLevel="0" collapsed="false">
      <c r="A447" s="82" t="s">
        <v>1234</v>
      </c>
      <c r="B447" s="101" t="n">
        <v>46113</v>
      </c>
      <c r="C447" s="82" t="s">
        <v>475</v>
      </c>
      <c r="D447" s="82" t="s">
        <v>557</v>
      </c>
      <c r="E447" s="91" t="n">
        <v>500</v>
      </c>
      <c r="F447" s="82" t="s">
        <v>1172</v>
      </c>
      <c r="G447" s="82"/>
      <c r="H447" s="82"/>
      <c r="I447" s="82" t="s">
        <v>250</v>
      </c>
      <c r="J447" s="102" t="n">
        <f aca="false">IF(B447="","",MONTH(B447))</f>
        <v>4</v>
      </c>
      <c r="K447" s="102" t="n">
        <f aca="false">IF(B447="","",YEAR(B447))</f>
        <v>2026</v>
      </c>
      <c r="L447" s="102" t="str">
        <f aca="false">IF(N(E447)=0,"",IF(COUNTIFS(AK_NAMA,C447,AK_KAT,"KAS")+COUNTIFS(AK_NAMA,D447,AK_KAT,"KAS")&lt;&gt;1,"",IF(COUNTIFS(AK_NAMA,C447,AK_KAT,"KAS")=1,D447,C447)))</f>
        <v>Pendapatan Lainnya</v>
      </c>
      <c r="M447" s="103" t="n">
        <f aca="false">IF(L447="",0,IF(L447=D447,E447,-E447))</f>
        <v>500</v>
      </c>
      <c r="N447" s="102" t="str">
        <f aca="false">IF(L447="","",IFERROR(INDEX(AK_BARIS,MATCH(L447,AK_NAMA,0)),"?"))</f>
        <v>OP2</v>
      </c>
      <c r="O447" s="102" t="str">
        <f aca="false">IF(C447="","",IFERROR(INDEX(AK_KEL,MATCH(C447,AK_NAMA,0)),"?"))</f>
        <v>ASET</v>
      </c>
      <c r="P447" s="102" t="str">
        <f aca="false">IF(D447="","",IFERROR(INDEX(AK_KEL,MATCH(D447,AK_NAMA,0)),"?"))</f>
        <v>PENDAPATAN</v>
      </c>
      <c r="Q447" s="102" t="n">
        <f aca="false">N(Q446)+IF(AND(N(E447)&lt;&gt;0,K447=TAHUN,N(J447)&lt;=BLN,OR(C447=BB_AKUN,D447=BB_AKUN)),1,0)</f>
        <v>289</v>
      </c>
      <c r="R447" s="104" t="str">
        <f aca="false">IF(OR(C447&amp;D447="",N(E447)=0),"",IF(OR(O447="?",P447="?"),"⚠ akun tidak dikenal",IF(C447=D447,"⚠ debet = kredit","")))</f>
        <v/>
      </c>
    </row>
    <row r="448" customFormat="false" ht="15" hidden="false" customHeight="false" outlineLevel="0" collapsed="false">
      <c r="A448" s="82" t="s">
        <v>1235</v>
      </c>
      <c r="B448" s="101" t="n">
        <v>46114</v>
      </c>
      <c r="C448" s="82" t="s">
        <v>455</v>
      </c>
      <c r="D448" s="82" t="s">
        <v>475</v>
      </c>
      <c r="E448" s="91" t="n">
        <v>50000</v>
      </c>
      <c r="F448" s="82" t="s">
        <v>1236</v>
      </c>
      <c r="G448" s="82"/>
      <c r="H448" s="82"/>
      <c r="I448" s="82" t="s">
        <v>250</v>
      </c>
      <c r="J448" s="102" t="n">
        <f aca="false">IF(B448="","",MONTH(B448))</f>
        <v>4</v>
      </c>
      <c r="K448" s="102" t="n">
        <f aca="false">IF(B448="","",YEAR(B448))</f>
        <v>2026</v>
      </c>
      <c r="L448" s="102" t="str">
        <f aca="false">IF(N(E448)=0,"",IF(COUNTIFS(AK_NAMA,C448,AK_KAT,"KAS")+COUNTIFS(AK_NAMA,D448,AK_KAT,"KAS")&lt;&gt;1,"",IF(COUNTIFS(AK_NAMA,C448,AK_KAT,"KAS")=1,D448,C448)))</f>
        <v>Biaya Pemeliharaan</v>
      </c>
      <c r="M448" s="103" t="n">
        <f aca="false">IF(L448="",0,IF(L448=D448,E448,-E448))</f>
        <v>-50000</v>
      </c>
      <c r="N448" s="102" t="str">
        <f aca="false">IF(L448="","",IFERROR(INDEX(AK_BARIS,MATCH(L448,AK_NAMA,0)),"?"))</f>
        <v>OP6</v>
      </c>
      <c r="O448" s="102" t="str">
        <f aca="false">IF(C448="","",IFERROR(INDEX(AK_KEL,MATCH(C448,AK_NAMA,0)),"?"))</f>
        <v>BEBAN</v>
      </c>
      <c r="P448" s="102" t="str">
        <f aca="false">IF(D448="","",IFERROR(INDEX(AK_KEL,MATCH(D448,AK_NAMA,0)),"?"))</f>
        <v>ASET</v>
      </c>
      <c r="Q448" s="102" t="n">
        <f aca="false">N(Q447)+IF(AND(N(E448)&lt;&gt;0,K448=TAHUN,N(J448)&lt;=BLN,OR(C448=BB_AKUN,D448=BB_AKUN)),1,0)</f>
        <v>289</v>
      </c>
      <c r="R448" s="104" t="str">
        <f aca="false">IF(OR(C448&amp;D448="",N(E448)=0),"",IF(OR(O448="?",P448="?"),"⚠ akun tidak dikenal",IF(C448=D448,"⚠ debet = kredit","")))</f>
        <v/>
      </c>
    </row>
    <row r="449" customFormat="false" ht="15" hidden="false" customHeight="false" outlineLevel="0" collapsed="false">
      <c r="A449" s="82" t="s">
        <v>1237</v>
      </c>
      <c r="B449" s="101" t="n">
        <v>46114</v>
      </c>
      <c r="C449" s="82" t="s">
        <v>470</v>
      </c>
      <c r="D449" s="82" t="s">
        <v>461</v>
      </c>
      <c r="E449" s="91" t="n">
        <v>741000</v>
      </c>
      <c r="F449" s="82" t="s">
        <v>1238</v>
      </c>
      <c r="G449" s="82"/>
      <c r="H449" s="82"/>
      <c r="I449" s="82" t="s">
        <v>250</v>
      </c>
      <c r="J449" s="102" t="n">
        <f aca="false">IF(B449="","",MONTH(B449))</f>
        <v>4</v>
      </c>
      <c r="K449" s="102" t="n">
        <f aca="false">IF(B449="","",YEAR(B449))</f>
        <v>2026</v>
      </c>
      <c r="L449" s="102" t="str">
        <f aca="false">IF(N(E449)=0,"",IF(COUNTIFS(AK_NAMA,C449,AK_KAT,"KAS")+COUNTIFS(AK_NAMA,D449,AK_KAT,"KAS")&lt;&gt;1,"",IF(COUNTIFS(AK_NAMA,C449,AK_KAT,"KAS")=1,D449,C449)))</f>
        <v>Biaya Bahan Baku</v>
      </c>
      <c r="M449" s="103" t="n">
        <f aca="false">IF(L449="",0,IF(L449=D449,E449,-E449))</f>
        <v>-741000</v>
      </c>
      <c r="N449" s="102" t="str">
        <f aca="false">IF(L449="","",IFERROR(INDEX(AK_BARIS,MATCH(L449,AK_NAMA,0)),"?"))</f>
        <v>OP3</v>
      </c>
      <c r="O449" s="102" t="str">
        <f aca="false">IF(C449="","",IFERROR(INDEX(AK_KEL,MATCH(C449,AK_NAMA,0)),"?"))</f>
        <v>BEBAN</v>
      </c>
      <c r="P449" s="102" t="str">
        <f aca="false">IF(D449="","",IFERROR(INDEX(AK_KEL,MATCH(D449,AK_NAMA,0)),"?"))</f>
        <v>ASET</v>
      </c>
      <c r="Q449" s="102" t="n">
        <f aca="false">N(Q448)+IF(AND(N(E449)&lt;&gt;0,K449=TAHUN,N(J449)&lt;=BLN,OR(C449=BB_AKUN,D449=BB_AKUN)),1,0)</f>
        <v>290</v>
      </c>
      <c r="R449" s="104" t="str">
        <f aca="false">IF(OR(C449&amp;D449="",N(E449)=0),"",IF(OR(O449="?",P449="?"),"⚠ akun tidak dikenal",IF(C449=D449,"⚠ debet = kredit","")))</f>
        <v/>
      </c>
    </row>
    <row r="450" customFormat="false" ht="15" hidden="false" customHeight="false" outlineLevel="0" collapsed="false">
      <c r="A450" s="82" t="s">
        <v>1239</v>
      </c>
      <c r="B450" s="101" t="n">
        <v>46114</v>
      </c>
      <c r="C450" s="82" t="s">
        <v>470</v>
      </c>
      <c r="D450" s="82" t="s">
        <v>461</v>
      </c>
      <c r="E450" s="91" t="n">
        <v>315000</v>
      </c>
      <c r="F450" s="82" t="s">
        <v>1240</v>
      </c>
      <c r="G450" s="82"/>
      <c r="H450" s="82"/>
      <c r="I450" s="82" t="s">
        <v>250</v>
      </c>
      <c r="J450" s="102" t="n">
        <f aca="false">IF(B450="","",MONTH(B450))</f>
        <v>4</v>
      </c>
      <c r="K450" s="102" t="n">
        <f aca="false">IF(B450="","",YEAR(B450))</f>
        <v>2026</v>
      </c>
      <c r="L450" s="102" t="str">
        <f aca="false">IF(N(E450)=0,"",IF(COUNTIFS(AK_NAMA,C450,AK_KAT,"KAS")+COUNTIFS(AK_NAMA,D450,AK_KAT,"KAS")&lt;&gt;1,"",IF(COUNTIFS(AK_NAMA,C450,AK_KAT,"KAS")=1,D450,C450)))</f>
        <v>Biaya Bahan Baku</v>
      </c>
      <c r="M450" s="103" t="n">
        <f aca="false">IF(L450="",0,IF(L450=D450,E450,-E450))</f>
        <v>-315000</v>
      </c>
      <c r="N450" s="102" t="str">
        <f aca="false">IF(L450="","",IFERROR(INDEX(AK_BARIS,MATCH(L450,AK_NAMA,0)),"?"))</f>
        <v>OP3</v>
      </c>
      <c r="O450" s="102" t="str">
        <f aca="false">IF(C450="","",IFERROR(INDEX(AK_KEL,MATCH(C450,AK_NAMA,0)),"?"))</f>
        <v>BEBAN</v>
      </c>
      <c r="P450" s="102" t="str">
        <f aca="false">IF(D450="","",IFERROR(INDEX(AK_KEL,MATCH(D450,AK_NAMA,0)),"?"))</f>
        <v>ASET</v>
      </c>
      <c r="Q450" s="102" t="n">
        <f aca="false">N(Q449)+IF(AND(N(E450)&lt;&gt;0,K450=TAHUN,N(J450)&lt;=BLN,OR(C450=BB_AKUN,D450=BB_AKUN)),1,0)</f>
        <v>291</v>
      </c>
      <c r="R450" s="104" t="str">
        <f aca="false">IF(OR(C450&amp;D450="",N(E450)=0),"",IF(OR(O450="?",P450="?"),"⚠ akun tidak dikenal",IF(C450=D450,"⚠ debet = kredit","")))</f>
        <v/>
      </c>
    </row>
    <row r="451" customFormat="false" ht="15" hidden="false" customHeight="false" outlineLevel="0" collapsed="false">
      <c r="A451" s="82" t="s">
        <v>1241</v>
      </c>
      <c r="B451" s="101" t="n">
        <v>46115</v>
      </c>
      <c r="C451" s="82" t="s">
        <v>461</v>
      </c>
      <c r="D451" s="82" t="s">
        <v>475</v>
      </c>
      <c r="E451" s="91" t="n">
        <v>5000000</v>
      </c>
      <c r="F451" s="82" t="s">
        <v>1242</v>
      </c>
      <c r="G451" s="82"/>
      <c r="H451" s="82"/>
      <c r="I451" s="82" t="s">
        <v>250</v>
      </c>
      <c r="J451" s="102" t="n">
        <f aca="false">IF(B451="","",MONTH(B451))</f>
        <v>4</v>
      </c>
      <c r="K451" s="102" t="n">
        <f aca="false">IF(B451="","",YEAR(B451))</f>
        <v>2026</v>
      </c>
      <c r="L451" s="102" t="str">
        <f aca="false">IF(N(E451)=0,"",IF(COUNTIFS(AK_NAMA,C451,AK_KAT,"KAS")+COUNTIFS(AK_NAMA,D451,AK_KAT,"KAS")&lt;&gt;1,"",IF(COUNTIFS(AK_NAMA,C451,AK_KAT,"KAS")=1,D451,C451)))</f>
        <v/>
      </c>
      <c r="M451" s="103" t="n">
        <f aca="false">IF(L451="",0,IF(L451=D451,E451,-E451))</f>
        <v>0</v>
      </c>
      <c r="N451" s="102" t="str">
        <f aca="false">IF(L451="","",IFERROR(INDEX(AK_BARIS,MATCH(L451,AK_NAMA,0)),"?"))</f>
        <v/>
      </c>
      <c r="O451" s="102" t="str">
        <f aca="false">IF(C451="","",IFERROR(INDEX(AK_KEL,MATCH(C451,AK_NAMA,0)),"?"))</f>
        <v>ASET</v>
      </c>
      <c r="P451" s="102" t="str">
        <f aca="false">IF(D451="","",IFERROR(INDEX(AK_KEL,MATCH(D451,AK_NAMA,0)),"?"))</f>
        <v>ASET</v>
      </c>
      <c r="Q451" s="102" t="n">
        <f aca="false">N(Q450)+IF(AND(N(E451)&lt;&gt;0,K451=TAHUN,N(J451)&lt;=BLN,OR(C451=BB_AKUN,D451=BB_AKUN)),1,0)</f>
        <v>292</v>
      </c>
      <c r="R451" s="104" t="str">
        <f aca="false">IF(OR(C451&amp;D451="",N(E451)=0),"",IF(OR(O451="?",P451="?"),"⚠ akun tidak dikenal",IF(C451=D451,"⚠ debet = kredit","")))</f>
        <v/>
      </c>
    </row>
    <row r="452" customFormat="false" ht="15" hidden="false" customHeight="false" outlineLevel="0" collapsed="false">
      <c r="A452" s="82" t="s">
        <v>1243</v>
      </c>
      <c r="B452" s="101" t="n">
        <v>46115</v>
      </c>
      <c r="C452" s="82" t="s">
        <v>470</v>
      </c>
      <c r="D452" s="82" t="s">
        <v>461</v>
      </c>
      <c r="E452" s="91" t="n">
        <v>480000</v>
      </c>
      <c r="F452" s="82" t="s">
        <v>1244</v>
      </c>
      <c r="G452" s="82"/>
      <c r="H452" s="82"/>
      <c r="I452" s="82" t="s">
        <v>250</v>
      </c>
      <c r="J452" s="102" t="n">
        <f aca="false">IF(B452="","",MONTH(B452))</f>
        <v>4</v>
      </c>
      <c r="K452" s="102" t="n">
        <f aca="false">IF(B452="","",YEAR(B452))</f>
        <v>2026</v>
      </c>
      <c r="L452" s="102" t="str">
        <f aca="false">IF(N(E452)=0,"",IF(COUNTIFS(AK_NAMA,C452,AK_KAT,"KAS")+COUNTIFS(AK_NAMA,D452,AK_KAT,"KAS")&lt;&gt;1,"",IF(COUNTIFS(AK_NAMA,C452,AK_KAT,"KAS")=1,D452,C452)))</f>
        <v>Biaya Bahan Baku</v>
      </c>
      <c r="M452" s="103" t="n">
        <f aca="false">IF(L452="",0,IF(L452=D452,E452,-E452))</f>
        <v>-480000</v>
      </c>
      <c r="N452" s="102" t="str">
        <f aca="false">IF(L452="","",IFERROR(INDEX(AK_BARIS,MATCH(L452,AK_NAMA,0)),"?"))</f>
        <v>OP3</v>
      </c>
      <c r="O452" s="102" t="str">
        <f aca="false">IF(C452="","",IFERROR(INDEX(AK_KEL,MATCH(C452,AK_NAMA,0)),"?"))</f>
        <v>BEBAN</v>
      </c>
      <c r="P452" s="102" t="str">
        <f aca="false">IF(D452="","",IFERROR(INDEX(AK_KEL,MATCH(D452,AK_NAMA,0)),"?"))</f>
        <v>ASET</v>
      </c>
      <c r="Q452" s="102" t="n">
        <f aca="false">N(Q451)+IF(AND(N(E452)&lt;&gt;0,K452=TAHUN,N(J452)&lt;=BLN,OR(C452=BB_AKUN,D452=BB_AKUN)),1,0)</f>
        <v>293</v>
      </c>
      <c r="R452" s="104" t="str">
        <f aca="false">IF(OR(C452&amp;D452="",N(E452)=0),"",IF(OR(O452="?",P452="?"),"⚠ akun tidak dikenal",IF(C452=D452,"⚠ debet = kredit","")))</f>
        <v/>
      </c>
    </row>
    <row r="453" customFormat="false" ht="15" hidden="false" customHeight="false" outlineLevel="0" collapsed="false">
      <c r="A453" s="82" t="s">
        <v>1245</v>
      </c>
      <c r="B453" s="101" t="n">
        <v>46115</v>
      </c>
      <c r="C453" s="82" t="s">
        <v>718</v>
      </c>
      <c r="D453" s="82" t="s">
        <v>461</v>
      </c>
      <c r="E453" s="91" t="n">
        <v>500000</v>
      </c>
      <c r="F453" s="82" t="s">
        <v>1246</v>
      </c>
      <c r="G453" s="82"/>
      <c r="H453" s="82" t="s">
        <v>763</v>
      </c>
      <c r="I453" s="82" t="s">
        <v>250</v>
      </c>
      <c r="J453" s="102" t="n">
        <f aca="false">IF(B453="","",MONTH(B453))</f>
        <v>4</v>
      </c>
      <c r="K453" s="102" t="n">
        <f aca="false">IF(B453="","",YEAR(B453))</f>
        <v>2026</v>
      </c>
      <c r="L453" s="102" t="str">
        <f aca="false">IF(N(E453)=0,"",IF(COUNTIFS(AK_NAMA,C453,AK_KAT,"KAS")+COUNTIFS(AK_NAMA,D453,AK_KAT,"KAS")&lt;&gt;1,"",IF(COUNTIFS(AK_NAMA,C453,AK_KAT,"KAS")=1,D453,C453)))</f>
        <v>Piutang Lainnya</v>
      </c>
      <c r="M453" s="103" t="n">
        <f aca="false">IF(L453="",0,IF(L453=D453,E453,-E453))</f>
        <v>-500000</v>
      </c>
      <c r="N453" s="102" t="str">
        <f aca="false">IF(L453="","",IFERROR(INDEX(AK_BARIS,MATCH(L453,AK_NAMA,0)),"?"))</f>
        <v>OP2</v>
      </c>
      <c r="O453" s="102" t="str">
        <f aca="false">IF(C453="","",IFERROR(INDEX(AK_KEL,MATCH(C453,AK_NAMA,0)),"?"))</f>
        <v>ASET</v>
      </c>
      <c r="P453" s="102" t="str">
        <f aca="false">IF(D453="","",IFERROR(INDEX(AK_KEL,MATCH(D453,AK_NAMA,0)),"?"))</f>
        <v>ASET</v>
      </c>
      <c r="Q453" s="102" t="n">
        <f aca="false">N(Q452)+IF(AND(N(E453)&lt;&gt;0,K453=TAHUN,N(J453)&lt;=BLN,OR(C453=BB_AKUN,D453=BB_AKUN)),1,0)</f>
        <v>294</v>
      </c>
      <c r="R453" s="104" t="str">
        <f aca="false">IF(OR(C453&amp;D453="",N(E453)=0),"",IF(OR(O453="?",P453="?"),"⚠ akun tidak dikenal",IF(C453=D453,"⚠ debet = kredit","")))</f>
        <v/>
      </c>
    </row>
    <row r="454" customFormat="false" ht="15" hidden="false" customHeight="false" outlineLevel="0" collapsed="false">
      <c r="A454" s="82" t="s">
        <v>1247</v>
      </c>
      <c r="B454" s="101" t="n">
        <v>46115</v>
      </c>
      <c r="C454" s="82" t="s">
        <v>548</v>
      </c>
      <c r="D454" s="82" t="s">
        <v>461</v>
      </c>
      <c r="E454" s="91" t="n">
        <v>1268852</v>
      </c>
      <c r="F454" s="82" t="s">
        <v>1248</v>
      </c>
      <c r="G454" s="82"/>
      <c r="H454" s="82"/>
      <c r="I454" s="82" t="s">
        <v>250</v>
      </c>
      <c r="J454" s="102" t="n">
        <f aca="false">IF(B454="","",MONTH(B454))</f>
        <v>4</v>
      </c>
      <c r="K454" s="102" t="n">
        <f aca="false">IF(B454="","",YEAR(B454))</f>
        <v>2026</v>
      </c>
      <c r="L454" s="102" t="str">
        <f aca="false">IF(N(E454)=0,"",IF(COUNTIFS(AK_NAMA,C454,AK_KAT,"KAS")+COUNTIFS(AK_NAMA,D454,AK_KAT,"KAS")&lt;&gt;1,"",IF(COUNTIFS(AK_NAMA,C454,AK_KAT,"KAS")=1,D454,C454)))</f>
        <v>Beban Perlengkapan</v>
      </c>
      <c r="M454" s="103" t="n">
        <f aca="false">IF(L454="",0,IF(L454=D454,E454,-E454))</f>
        <v>-1268852</v>
      </c>
      <c r="N454" s="102" t="str">
        <f aca="false">IF(L454="","",IFERROR(INDEX(AK_BARIS,MATCH(L454,AK_NAMA,0)),"?"))</f>
        <v>OP6</v>
      </c>
      <c r="O454" s="102" t="str">
        <f aca="false">IF(C454="","",IFERROR(INDEX(AK_KEL,MATCH(C454,AK_NAMA,0)),"?"))</f>
        <v>BEBAN</v>
      </c>
      <c r="P454" s="102" t="str">
        <f aca="false">IF(D454="","",IFERROR(INDEX(AK_KEL,MATCH(D454,AK_NAMA,0)),"?"))</f>
        <v>ASET</v>
      </c>
      <c r="Q454" s="102" t="n">
        <f aca="false">N(Q453)+IF(AND(N(E454)&lt;&gt;0,K454=TAHUN,N(J454)&lt;=BLN,OR(C454=BB_AKUN,D454=BB_AKUN)),1,0)</f>
        <v>295</v>
      </c>
      <c r="R454" s="104" t="str">
        <f aca="false">IF(OR(C454&amp;D454="",N(E454)=0),"",IF(OR(O454="?",P454="?"),"⚠ akun tidak dikenal",IF(C454=D454,"⚠ debet = kredit","")))</f>
        <v/>
      </c>
    </row>
    <row r="455" customFormat="false" ht="15" hidden="false" customHeight="false" outlineLevel="0" collapsed="false">
      <c r="A455" s="82" t="s">
        <v>1249</v>
      </c>
      <c r="B455" s="101" t="n">
        <v>46116</v>
      </c>
      <c r="C455" s="82" t="s">
        <v>548</v>
      </c>
      <c r="D455" s="82" t="s">
        <v>461</v>
      </c>
      <c r="E455" s="91" t="n">
        <v>32247</v>
      </c>
      <c r="F455" s="82" t="s">
        <v>1250</v>
      </c>
      <c r="G455" s="82"/>
      <c r="H455" s="82"/>
      <c r="I455" s="82" t="s">
        <v>250</v>
      </c>
      <c r="J455" s="102" t="n">
        <f aca="false">IF(B455="","",MONTH(B455))</f>
        <v>4</v>
      </c>
      <c r="K455" s="102" t="n">
        <f aca="false">IF(B455="","",YEAR(B455))</f>
        <v>2026</v>
      </c>
      <c r="L455" s="102" t="str">
        <f aca="false">IF(N(E455)=0,"",IF(COUNTIFS(AK_NAMA,C455,AK_KAT,"KAS")+COUNTIFS(AK_NAMA,D455,AK_KAT,"KAS")&lt;&gt;1,"",IF(COUNTIFS(AK_NAMA,C455,AK_KAT,"KAS")=1,D455,C455)))</f>
        <v>Beban Perlengkapan</v>
      </c>
      <c r="M455" s="103" t="n">
        <f aca="false">IF(L455="",0,IF(L455=D455,E455,-E455))</f>
        <v>-32247</v>
      </c>
      <c r="N455" s="102" t="str">
        <f aca="false">IF(L455="","",IFERROR(INDEX(AK_BARIS,MATCH(L455,AK_NAMA,0)),"?"))</f>
        <v>OP6</v>
      </c>
      <c r="O455" s="102" t="str">
        <f aca="false">IF(C455="","",IFERROR(INDEX(AK_KEL,MATCH(C455,AK_NAMA,0)),"?"))</f>
        <v>BEBAN</v>
      </c>
      <c r="P455" s="102" t="str">
        <f aca="false">IF(D455="","",IFERROR(INDEX(AK_KEL,MATCH(D455,AK_NAMA,0)),"?"))</f>
        <v>ASET</v>
      </c>
      <c r="Q455" s="102" t="n">
        <f aca="false">N(Q454)+IF(AND(N(E455)&lt;&gt;0,K455=TAHUN,N(J455)&lt;=BLN,OR(C455=BB_AKUN,D455=BB_AKUN)),1,0)</f>
        <v>296</v>
      </c>
      <c r="R455" s="104" t="str">
        <f aca="false">IF(OR(C455&amp;D455="",N(E455)=0),"",IF(OR(O455="?",P455="?"),"⚠ akun tidak dikenal",IF(C455=D455,"⚠ debet = kredit","")))</f>
        <v/>
      </c>
    </row>
    <row r="456" customFormat="false" ht="15" hidden="false" customHeight="false" outlineLevel="0" collapsed="false">
      <c r="A456" s="82" t="s">
        <v>1251</v>
      </c>
      <c r="B456" s="101" t="n">
        <v>46116</v>
      </c>
      <c r="C456" s="82" t="s">
        <v>718</v>
      </c>
      <c r="D456" s="82" t="s">
        <v>461</v>
      </c>
      <c r="E456" s="91" t="n">
        <v>800000</v>
      </c>
      <c r="F456" s="82" t="s">
        <v>1252</v>
      </c>
      <c r="G456" s="82"/>
      <c r="H456" s="82" t="s">
        <v>763</v>
      </c>
      <c r="I456" s="82" t="s">
        <v>250</v>
      </c>
      <c r="J456" s="102" t="n">
        <f aca="false">IF(B456="","",MONTH(B456))</f>
        <v>4</v>
      </c>
      <c r="K456" s="102" t="n">
        <f aca="false">IF(B456="","",YEAR(B456))</f>
        <v>2026</v>
      </c>
      <c r="L456" s="102" t="str">
        <f aca="false">IF(N(E456)=0,"",IF(COUNTIFS(AK_NAMA,C456,AK_KAT,"KAS")+COUNTIFS(AK_NAMA,D456,AK_KAT,"KAS")&lt;&gt;1,"",IF(COUNTIFS(AK_NAMA,C456,AK_KAT,"KAS")=1,D456,C456)))</f>
        <v>Piutang Lainnya</v>
      </c>
      <c r="M456" s="103" t="n">
        <f aca="false">IF(L456="",0,IF(L456=D456,E456,-E456))</f>
        <v>-800000</v>
      </c>
      <c r="N456" s="102" t="str">
        <f aca="false">IF(L456="","",IFERROR(INDEX(AK_BARIS,MATCH(L456,AK_NAMA,0)),"?"))</f>
        <v>OP2</v>
      </c>
      <c r="O456" s="102" t="str">
        <f aca="false">IF(C456="","",IFERROR(INDEX(AK_KEL,MATCH(C456,AK_NAMA,0)),"?"))</f>
        <v>ASET</v>
      </c>
      <c r="P456" s="102" t="str">
        <f aca="false">IF(D456="","",IFERROR(INDEX(AK_KEL,MATCH(D456,AK_NAMA,0)),"?"))</f>
        <v>ASET</v>
      </c>
      <c r="Q456" s="102" t="n">
        <f aca="false">N(Q455)+IF(AND(N(E456)&lt;&gt;0,K456=TAHUN,N(J456)&lt;=BLN,OR(C456=BB_AKUN,D456=BB_AKUN)),1,0)</f>
        <v>297</v>
      </c>
      <c r="R456" s="104" t="str">
        <f aca="false">IF(OR(C456&amp;D456="",N(E456)=0),"",IF(OR(O456="?",P456="?"),"⚠ akun tidak dikenal",IF(C456=D456,"⚠ debet = kredit","")))</f>
        <v/>
      </c>
    </row>
    <row r="457" customFormat="false" ht="15" hidden="false" customHeight="false" outlineLevel="0" collapsed="false">
      <c r="A457" s="82" t="s">
        <v>1253</v>
      </c>
      <c r="B457" s="101" t="n">
        <v>46116</v>
      </c>
      <c r="C457" s="82" t="s">
        <v>524</v>
      </c>
      <c r="D457" s="82" t="s">
        <v>461</v>
      </c>
      <c r="E457" s="91" t="n">
        <v>339</v>
      </c>
      <c r="F457" s="82" t="s">
        <v>1254</v>
      </c>
      <c r="G457" s="82"/>
      <c r="H457" s="82"/>
      <c r="I457" s="82" t="s">
        <v>250</v>
      </c>
      <c r="J457" s="102" t="n">
        <f aca="false">IF(B457="","",MONTH(B457))</f>
        <v>4</v>
      </c>
      <c r="K457" s="102" t="n">
        <f aca="false">IF(B457="","",YEAR(B457))</f>
        <v>2026</v>
      </c>
      <c r="L457" s="102" t="str">
        <f aca="false">IF(N(E457)=0,"",IF(COUNTIFS(AK_NAMA,C457,AK_KAT,"KAS")+COUNTIFS(AK_NAMA,D457,AK_KAT,"KAS")&lt;&gt;1,"",IF(COUNTIFS(AK_NAMA,C457,AK_KAT,"KAS")=1,D457,C457)))</f>
        <v>Biaya Lainnya</v>
      </c>
      <c r="M457" s="103" t="n">
        <f aca="false">IF(L457="",0,IF(L457=D457,E457,-E457))</f>
        <v>-339</v>
      </c>
      <c r="N457" s="102" t="str">
        <f aca="false">IF(L457="","",IFERROR(INDEX(AK_BARIS,MATCH(L457,AK_NAMA,0)),"?"))</f>
        <v>OP2</v>
      </c>
      <c r="O457" s="102" t="str">
        <f aca="false">IF(C457="","",IFERROR(INDEX(AK_KEL,MATCH(C457,AK_NAMA,0)),"?"))</f>
        <v>BEBAN</v>
      </c>
      <c r="P457" s="102" t="str">
        <f aca="false">IF(D457="","",IFERROR(INDEX(AK_KEL,MATCH(D457,AK_NAMA,0)),"?"))</f>
        <v>ASET</v>
      </c>
      <c r="Q457" s="102" t="n">
        <f aca="false">N(Q456)+IF(AND(N(E457)&lt;&gt;0,K457=TAHUN,N(J457)&lt;=BLN,OR(C457=BB_AKUN,D457=BB_AKUN)),1,0)</f>
        <v>298</v>
      </c>
      <c r="R457" s="104" t="str">
        <f aca="false">IF(OR(C457&amp;D457="",N(E457)=0),"",IF(OR(O457="?",P457="?"),"⚠ akun tidak dikenal",IF(C457=D457,"⚠ debet = kredit","")))</f>
        <v/>
      </c>
    </row>
    <row r="458" customFormat="false" ht="15" hidden="false" customHeight="false" outlineLevel="0" collapsed="false">
      <c r="A458" s="82" t="s">
        <v>1255</v>
      </c>
      <c r="B458" s="101" t="n">
        <v>46116</v>
      </c>
      <c r="C458" s="82" t="s">
        <v>470</v>
      </c>
      <c r="D458" s="82" t="s">
        <v>461</v>
      </c>
      <c r="E458" s="91" t="n">
        <v>152000</v>
      </c>
      <c r="F458" s="82" t="s">
        <v>1256</v>
      </c>
      <c r="G458" s="82"/>
      <c r="H458" s="82"/>
      <c r="I458" s="82" t="s">
        <v>250</v>
      </c>
      <c r="J458" s="102" t="n">
        <f aca="false">IF(B458="","",MONTH(B458))</f>
        <v>4</v>
      </c>
      <c r="K458" s="102" t="n">
        <f aca="false">IF(B458="","",YEAR(B458))</f>
        <v>2026</v>
      </c>
      <c r="L458" s="102" t="str">
        <f aca="false">IF(N(E458)=0,"",IF(COUNTIFS(AK_NAMA,C458,AK_KAT,"KAS")+COUNTIFS(AK_NAMA,D458,AK_KAT,"KAS")&lt;&gt;1,"",IF(COUNTIFS(AK_NAMA,C458,AK_KAT,"KAS")=1,D458,C458)))</f>
        <v>Biaya Bahan Baku</v>
      </c>
      <c r="M458" s="103" t="n">
        <f aca="false">IF(L458="",0,IF(L458=D458,E458,-E458))</f>
        <v>-152000</v>
      </c>
      <c r="N458" s="102" t="str">
        <f aca="false">IF(L458="","",IFERROR(INDEX(AK_BARIS,MATCH(L458,AK_NAMA,0)),"?"))</f>
        <v>OP3</v>
      </c>
      <c r="O458" s="102" t="str">
        <f aca="false">IF(C458="","",IFERROR(INDEX(AK_KEL,MATCH(C458,AK_NAMA,0)),"?"))</f>
        <v>BEBAN</v>
      </c>
      <c r="P458" s="102" t="str">
        <f aca="false">IF(D458="","",IFERROR(INDEX(AK_KEL,MATCH(D458,AK_NAMA,0)),"?"))</f>
        <v>ASET</v>
      </c>
      <c r="Q458" s="102" t="n">
        <f aca="false">N(Q457)+IF(AND(N(E458)&lt;&gt;0,K458=TAHUN,N(J458)&lt;=BLN,OR(C458=BB_AKUN,D458=BB_AKUN)),1,0)</f>
        <v>299</v>
      </c>
      <c r="R458" s="104" t="str">
        <f aca="false">IF(OR(C458&amp;D458="",N(E458)=0),"",IF(OR(O458="?",P458="?"),"⚠ akun tidak dikenal",IF(C458=D458,"⚠ debet = kredit","")))</f>
        <v/>
      </c>
    </row>
    <row r="459" customFormat="false" ht="15" hidden="false" customHeight="false" outlineLevel="0" collapsed="false">
      <c r="A459" s="82" t="s">
        <v>1257</v>
      </c>
      <c r="B459" s="101" t="n">
        <v>46116</v>
      </c>
      <c r="C459" s="82" t="s">
        <v>461</v>
      </c>
      <c r="D459" s="82" t="s">
        <v>557</v>
      </c>
      <c r="E459" s="91" t="n">
        <v>32782</v>
      </c>
      <c r="F459" s="82" t="s">
        <v>1258</v>
      </c>
      <c r="G459" s="82"/>
      <c r="H459" s="82"/>
      <c r="I459" s="82" t="s">
        <v>250</v>
      </c>
      <c r="J459" s="102" t="n">
        <f aca="false">IF(B459="","",MONTH(B459))</f>
        <v>4</v>
      </c>
      <c r="K459" s="102" t="n">
        <f aca="false">IF(B459="","",YEAR(B459))</f>
        <v>2026</v>
      </c>
      <c r="L459" s="102" t="str">
        <f aca="false">IF(N(E459)=0,"",IF(COUNTIFS(AK_NAMA,C459,AK_KAT,"KAS")+COUNTIFS(AK_NAMA,D459,AK_KAT,"KAS")&lt;&gt;1,"",IF(COUNTIFS(AK_NAMA,C459,AK_KAT,"KAS")=1,D459,C459)))</f>
        <v>Pendapatan Lainnya</v>
      </c>
      <c r="M459" s="103" t="n">
        <f aca="false">IF(L459="",0,IF(L459=D459,E459,-E459))</f>
        <v>32782</v>
      </c>
      <c r="N459" s="102" t="str">
        <f aca="false">IF(L459="","",IFERROR(INDEX(AK_BARIS,MATCH(L459,AK_NAMA,0)),"?"))</f>
        <v>OP2</v>
      </c>
      <c r="O459" s="102" t="str">
        <f aca="false">IF(C459="","",IFERROR(INDEX(AK_KEL,MATCH(C459,AK_NAMA,0)),"?"))</f>
        <v>ASET</v>
      </c>
      <c r="P459" s="102" t="str">
        <f aca="false">IF(D459="","",IFERROR(INDEX(AK_KEL,MATCH(D459,AK_NAMA,0)),"?"))</f>
        <v>PENDAPATAN</v>
      </c>
      <c r="Q459" s="102" t="n">
        <f aca="false">N(Q458)+IF(AND(N(E459)&lt;&gt;0,K459=TAHUN,N(J459)&lt;=BLN,OR(C459=BB_AKUN,D459=BB_AKUN)),1,0)</f>
        <v>300</v>
      </c>
      <c r="R459" s="104" t="str">
        <f aca="false">IF(OR(C459&amp;D459="",N(E459)=0),"",IF(OR(O459="?",P459="?"),"⚠ akun tidak dikenal",IF(C459=D459,"⚠ debet = kredit","")))</f>
        <v/>
      </c>
    </row>
    <row r="460" customFormat="false" ht="15" hidden="false" customHeight="false" outlineLevel="0" collapsed="false">
      <c r="A460" s="82" t="s">
        <v>1259</v>
      </c>
      <c r="B460" s="101" t="n">
        <v>46116</v>
      </c>
      <c r="C460" s="82" t="s">
        <v>524</v>
      </c>
      <c r="D460" s="82" t="s">
        <v>461</v>
      </c>
      <c r="E460" s="91" t="n">
        <v>19000</v>
      </c>
      <c r="F460" s="82" t="s">
        <v>1172</v>
      </c>
      <c r="G460" s="82"/>
      <c r="H460" s="82"/>
      <c r="I460" s="82" t="s">
        <v>250</v>
      </c>
      <c r="J460" s="102" t="n">
        <f aca="false">IF(B460="","",MONTH(B460))</f>
        <v>4</v>
      </c>
      <c r="K460" s="102" t="n">
        <f aca="false">IF(B460="","",YEAR(B460))</f>
        <v>2026</v>
      </c>
      <c r="L460" s="102" t="str">
        <f aca="false">IF(N(E460)=0,"",IF(COUNTIFS(AK_NAMA,C460,AK_KAT,"KAS")+COUNTIFS(AK_NAMA,D460,AK_KAT,"KAS")&lt;&gt;1,"",IF(COUNTIFS(AK_NAMA,C460,AK_KAT,"KAS")=1,D460,C460)))</f>
        <v>Biaya Lainnya</v>
      </c>
      <c r="M460" s="103" t="n">
        <f aca="false">IF(L460="",0,IF(L460=D460,E460,-E460))</f>
        <v>-19000</v>
      </c>
      <c r="N460" s="102" t="str">
        <f aca="false">IF(L460="","",IFERROR(INDEX(AK_BARIS,MATCH(L460,AK_NAMA,0)),"?"))</f>
        <v>OP2</v>
      </c>
      <c r="O460" s="102" t="str">
        <f aca="false">IF(C460="","",IFERROR(INDEX(AK_KEL,MATCH(C460,AK_NAMA,0)),"?"))</f>
        <v>BEBAN</v>
      </c>
      <c r="P460" s="102" t="str">
        <f aca="false">IF(D460="","",IFERROR(INDEX(AK_KEL,MATCH(D460,AK_NAMA,0)),"?"))</f>
        <v>ASET</v>
      </c>
      <c r="Q460" s="102" t="n">
        <f aca="false">N(Q459)+IF(AND(N(E460)&lt;&gt;0,K460=TAHUN,N(J460)&lt;=BLN,OR(C460=BB_AKUN,D460=BB_AKUN)),1,0)</f>
        <v>301</v>
      </c>
      <c r="R460" s="104" t="str">
        <f aca="false">IF(OR(C460&amp;D460="",N(E460)=0),"",IF(OR(O460="?",P460="?"),"⚠ akun tidak dikenal",IF(C460=D460,"⚠ debet = kredit","")))</f>
        <v/>
      </c>
    </row>
    <row r="461" customFormat="false" ht="15" hidden="false" customHeight="false" outlineLevel="0" collapsed="false">
      <c r="A461" s="82" t="s">
        <v>1260</v>
      </c>
      <c r="B461" s="101" t="n">
        <v>46118</v>
      </c>
      <c r="C461" s="82" t="s">
        <v>470</v>
      </c>
      <c r="D461" s="82" t="s">
        <v>475</v>
      </c>
      <c r="E461" s="91" t="n">
        <v>30000</v>
      </c>
      <c r="F461" s="82" t="s">
        <v>1261</v>
      </c>
      <c r="G461" s="82"/>
      <c r="H461" s="82"/>
      <c r="I461" s="82" t="s">
        <v>250</v>
      </c>
      <c r="J461" s="102" t="n">
        <f aca="false">IF(B461="","",MONTH(B461))</f>
        <v>4</v>
      </c>
      <c r="K461" s="102" t="n">
        <f aca="false">IF(B461="","",YEAR(B461))</f>
        <v>2026</v>
      </c>
      <c r="L461" s="102" t="str">
        <f aca="false">IF(N(E461)=0,"",IF(COUNTIFS(AK_NAMA,C461,AK_KAT,"KAS")+COUNTIFS(AK_NAMA,D461,AK_KAT,"KAS")&lt;&gt;1,"",IF(COUNTIFS(AK_NAMA,C461,AK_KAT,"KAS")=1,D461,C461)))</f>
        <v>Biaya Bahan Baku</v>
      </c>
      <c r="M461" s="103" t="n">
        <f aca="false">IF(L461="",0,IF(L461=D461,E461,-E461))</f>
        <v>-30000</v>
      </c>
      <c r="N461" s="102" t="str">
        <f aca="false">IF(L461="","",IFERROR(INDEX(AK_BARIS,MATCH(L461,AK_NAMA,0)),"?"))</f>
        <v>OP3</v>
      </c>
      <c r="O461" s="102" t="str">
        <f aca="false">IF(C461="","",IFERROR(INDEX(AK_KEL,MATCH(C461,AK_NAMA,0)),"?"))</f>
        <v>BEBAN</v>
      </c>
      <c r="P461" s="102" t="str">
        <f aca="false">IF(D461="","",IFERROR(INDEX(AK_KEL,MATCH(D461,AK_NAMA,0)),"?"))</f>
        <v>ASET</v>
      </c>
      <c r="Q461" s="102" t="n">
        <f aca="false">N(Q460)+IF(AND(N(E461)&lt;&gt;0,K461=TAHUN,N(J461)&lt;=BLN,OR(C461=BB_AKUN,D461=BB_AKUN)),1,0)</f>
        <v>301</v>
      </c>
      <c r="R461" s="104" t="str">
        <f aca="false">IF(OR(C461&amp;D461="",N(E461)=0),"",IF(OR(O461="?",P461="?"),"⚠ akun tidak dikenal",IF(C461=D461,"⚠ debet = kredit","")))</f>
        <v/>
      </c>
    </row>
    <row r="462" customFormat="false" ht="15" hidden="false" customHeight="false" outlineLevel="0" collapsed="false">
      <c r="A462" s="82" t="s">
        <v>1262</v>
      </c>
      <c r="B462" s="101" t="n">
        <v>46119</v>
      </c>
      <c r="C462" s="82" t="s">
        <v>475</v>
      </c>
      <c r="D462" s="82" t="s">
        <v>486</v>
      </c>
      <c r="E462" s="91" t="n">
        <v>13000</v>
      </c>
      <c r="F462" s="82" t="s">
        <v>1142</v>
      </c>
      <c r="G462" s="82"/>
      <c r="H462" s="82"/>
      <c r="I462" s="82" t="s">
        <v>250</v>
      </c>
      <c r="J462" s="102" t="n">
        <f aca="false">IF(B462="","",MONTH(B462))</f>
        <v>4</v>
      </c>
      <c r="K462" s="102" t="n">
        <f aca="false">IF(B462="","",YEAR(B462))</f>
        <v>2026</v>
      </c>
      <c r="L462" s="102" t="str">
        <f aca="false">IF(N(E462)=0,"",IF(COUNTIFS(AK_NAMA,C462,AK_KAT,"KAS")+COUNTIFS(AK_NAMA,D462,AK_KAT,"KAS")&lt;&gt;1,"",IF(COUNTIFS(AK_NAMA,C462,AK_KAT,"KAS")=1,D462,C462)))</f>
        <v/>
      </c>
      <c r="M462" s="103" t="n">
        <f aca="false">IF(L462="",0,IF(L462=D462,E462,-E462))</f>
        <v>0</v>
      </c>
      <c r="N462" s="102" t="str">
        <f aca="false">IF(L462="","",IFERROR(INDEX(AK_BARIS,MATCH(L462,AK_NAMA,0)),"?"))</f>
        <v/>
      </c>
      <c r="O462" s="102" t="str">
        <f aca="false">IF(C462="","",IFERROR(INDEX(AK_KEL,MATCH(C462,AK_NAMA,0)),"?"))</f>
        <v>ASET</v>
      </c>
      <c r="P462" s="102" t="str">
        <f aca="false">IF(D462="","",IFERROR(INDEX(AK_KEL,MATCH(D462,AK_NAMA,0)),"?"))</f>
        <v>ASET</v>
      </c>
      <c r="Q462" s="102" t="n">
        <f aca="false">N(Q461)+IF(AND(N(E462)&lt;&gt;0,K462=TAHUN,N(J462)&lt;=BLN,OR(C462=BB_AKUN,D462=BB_AKUN)),1,0)</f>
        <v>301</v>
      </c>
      <c r="R462" s="104" t="str">
        <f aca="false">IF(OR(C462&amp;D462="",N(E462)=0),"",IF(OR(O462="?",P462="?"),"⚠ akun tidak dikenal",IF(C462=D462,"⚠ debet = kredit","")))</f>
        <v/>
      </c>
    </row>
    <row r="463" customFormat="false" ht="15" hidden="false" customHeight="false" outlineLevel="0" collapsed="false">
      <c r="A463" s="82" t="s">
        <v>1263</v>
      </c>
      <c r="B463" s="101" t="n">
        <v>46119</v>
      </c>
      <c r="C463" s="82" t="s">
        <v>470</v>
      </c>
      <c r="D463" s="82" t="s">
        <v>486</v>
      </c>
      <c r="E463" s="91" t="n">
        <v>906700</v>
      </c>
      <c r="F463" s="82" t="s">
        <v>935</v>
      </c>
      <c r="G463" s="82"/>
      <c r="H463" s="82"/>
      <c r="I463" s="82" t="s">
        <v>250</v>
      </c>
      <c r="J463" s="102" t="n">
        <f aca="false">IF(B463="","",MONTH(B463))</f>
        <v>4</v>
      </c>
      <c r="K463" s="102" t="n">
        <f aca="false">IF(B463="","",YEAR(B463))</f>
        <v>2026</v>
      </c>
      <c r="L463" s="102" t="str">
        <f aca="false">IF(N(E463)=0,"",IF(COUNTIFS(AK_NAMA,C463,AK_KAT,"KAS")+COUNTIFS(AK_NAMA,D463,AK_KAT,"KAS")&lt;&gt;1,"",IF(COUNTIFS(AK_NAMA,C463,AK_KAT,"KAS")=1,D463,C463)))</f>
        <v>Biaya Bahan Baku</v>
      </c>
      <c r="M463" s="103" t="n">
        <f aca="false">IF(L463="",0,IF(L463=D463,E463,-E463))</f>
        <v>-906700</v>
      </c>
      <c r="N463" s="102" t="str">
        <f aca="false">IF(L463="","",IFERROR(INDEX(AK_BARIS,MATCH(L463,AK_NAMA,0)),"?"))</f>
        <v>OP3</v>
      </c>
      <c r="O463" s="102" t="str">
        <f aca="false">IF(C463="","",IFERROR(INDEX(AK_KEL,MATCH(C463,AK_NAMA,0)),"?"))</f>
        <v>BEBAN</v>
      </c>
      <c r="P463" s="102" t="str">
        <f aca="false">IF(D463="","",IFERROR(INDEX(AK_KEL,MATCH(D463,AK_NAMA,0)),"?"))</f>
        <v>ASET</v>
      </c>
      <c r="Q463" s="102" t="n">
        <f aca="false">N(Q462)+IF(AND(N(E463)&lt;&gt;0,K463=TAHUN,N(J463)&lt;=BLN,OR(C463=BB_AKUN,D463=BB_AKUN)),1,0)</f>
        <v>301</v>
      </c>
      <c r="R463" s="104" t="str">
        <f aca="false">IF(OR(C463&amp;D463="",N(E463)=0),"",IF(OR(O463="?",P463="?"),"⚠ akun tidak dikenal",IF(C463=D463,"⚠ debet = kredit","")))</f>
        <v/>
      </c>
    </row>
    <row r="464" customFormat="false" ht="15" hidden="false" customHeight="false" outlineLevel="0" collapsed="false">
      <c r="A464" s="82" t="s">
        <v>1264</v>
      </c>
      <c r="B464" s="101" t="n">
        <v>46119</v>
      </c>
      <c r="C464" s="82" t="s">
        <v>478</v>
      </c>
      <c r="D464" s="82" t="s">
        <v>486</v>
      </c>
      <c r="E464" s="91" t="n">
        <v>59500</v>
      </c>
      <c r="F464" s="82" t="s">
        <v>939</v>
      </c>
      <c r="G464" s="82"/>
      <c r="H464" s="82"/>
      <c r="I464" s="82" t="s">
        <v>250</v>
      </c>
      <c r="J464" s="102" t="n">
        <f aca="false">IF(B464="","",MONTH(B464))</f>
        <v>4</v>
      </c>
      <c r="K464" s="102" t="n">
        <f aca="false">IF(B464="","",YEAR(B464))</f>
        <v>2026</v>
      </c>
      <c r="L464" s="102" t="str">
        <f aca="false">IF(N(E464)=0,"",IF(COUNTIFS(AK_NAMA,C464,AK_KAT,"KAS")+COUNTIFS(AK_NAMA,D464,AK_KAT,"KAS")&lt;&gt;1,"",IF(COUNTIFS(AK_NAMA,C464,AK_KAT,"KAS")=1,D464,C464)))</f>
        <v>Biaya Penyajian</v>
      </c>
      <c r="M464" s="103" t="n">
        <f aca="false">IF(L464="",0,IF(L464=D464,E464,-E464))</f>
        <v>-59500</v>
      </c>
      <c r="N464" s="102" t="str">
        <f aca="false">IF(L464="","",IFERROR(INDEX(AK_BARIS,MATCH(L464,AK_NAMA,0)),"?"))</f>
        <v>OP3</v>
      </c>
      <c r="O464" s="102" t="str">
        <f aca="false">IF(C464="","",IFERROR(INDEX(AK_KEL,MATCH(C464,AK_NAMA,0)),"?"))</f>
        <v>BEBAN</v>
      </c>
      <c r="P464" s="102" t="str">
        <f aca="false">IF(D464="","",IFERROR(INDEX(AK_KEL,MATCH(D464,AK_NAMA,0)),"?"))</f>
        <v>ASET</v>
      </c>
      <c r="Q464" s="102" t="n">
        <f aca="false">N(Q463)+IF(AND(N(E464)&lt;&gt;0,K464=TAHUN,N(J464)&lt;=BLN,OR(C464=BB_AKUN,D464=BB_AKUN)),1,0)</f>
        <v>301</v>
      </c>
      <c r="R464" s="104" t="str">
        <f aca="false">IF(OR(C464&amp;D464="",N(E464)=0),"",IF(OR(O464="?",P464="?"),"⚠ akun tidak dikenal",IF(C464=D464,"⚠ debet = kredit","")))</f>
        <v/>
      </c>
    </row>
    <row r="465" customFormat="false" ht="15" hidden="false" customHeight="false" outlineLevel="0" collapsed="false">
      <c r="A465" s="82" t="s">
        <v>1265</v>
      </c>
      <c r="B465" s="101" t="n">
        <v>46119</v>
      </c>
      <c r="C465" s="82" t="s">
        <v>485</v>
      </c>
      <c r="D465" s="82" t="s">
        <v>486</v>
      </c>
      <c r="E465" s="91" t="n">
        <v>12000</v>
      </c>
      <c r="F465" s="82" t="s">
        <v>553</v>
      </c>
      <c r="G465" s="82"/>
      <c r="H465" s="82"/>
      <c r="I465" s="82" t="s">
        <v>250</v>
      </c>
      <c r="J465" s="102" t="n">
        <f aca="false">IF(B465="","",MONTH(B465))</f>
        <v>4</v>
      </c>
      <c r="K465" s="102" t="n">
        <f aca="false">IF(B465="","",YEAR(B465))</f>
        <v>2026</v>
      </c>
      <c r="L465" s="102" t="str">
        <f aca="false">IF(N(E465)=0,"",IF(COUNTIFS(AK_NAMA,C465,AK_KAT,"KAS")+COUNTIFS(AK_NAMA,D465,AK_KAT,"KAS")&lt;&gt;1,"",IF(COUNTIFS(AK_NAMA,C465,AK_KAT,"KAS")=1,D465,C465)))</f>
        <v>Biaya Operasional Harian</v>
      </c>
      <c r="M465" s="103" t="n">
        <f aca="false">IF(L465="",0,IF(L465=D465,E465,-E465))</f>
        <v>-12000</v>
      </c>
      <c r="N465" s="102" t="str">
        <f aca="false">IF(L465="","",IFERROR(INDEX(AK_BARIS,MATCH(L465,AK_NAMA,0)),"?"))</f>
        <v>OP6</v>
      </c>
      <c r="O465" s="102" t="str">
        <f aca="false">IF(C465="","",IFERROR(INDEX(AK_KEL,MATCH(C465,AK_NAMA,0)),"?"))</f>
        <v>BEBAN</v>
      </c>
      <c r="P465" s="102" t="str">
        <f aca="false">IF(D465="","",IFERROR(INDEX(AK_KEL,MATCH(D465,AK_NAMA,0)),"?"))</f>
        <v>ASET</v>
      </c>
      <c r="Q465" s="102" t="n">
        <f aca="false">N(Q464)+IF(AND(N(E465)&lt;&gt;0,K465=TAHUN,N(J465)&lt;=BLN,OR(C465=BB_AKUN,D465=BB_AKUN)),1,0)</f>
        <v>301</v>
      </c>
      <c r="R465" s="104" t="str">
        <f aca="false">IF(OR(C465&amp;D465="",N(E465)=0),"",IF(OR(O465="?",P465="?"),"⚠ akun tidak dikenal",IF(C465=D465,"⚠ debet = kredit","")))</f>
        <v/>
      </c>
    </row>
    <row r="466" customFormat="false" ht="15" hidden="false" customHeight="false" outlineLevel="0" collapsed="false">
      <c r="A466" s="82" t="s">
        <v>1266</v>
      </c>
      <c r="B466" s="101" t="n">
        <v>46119</v>
      </c>
      <c r="C466" s="82" t="s">
        <v>485</v>
      </c>
      <c r="D466" s="82" t="s">
        <v>486</v>
      </c>
      <c r="E466" s="91" t="n">
        <v>9000</v>
      </c>
      <c r="F466" s="82" t="s">
        <v>555</v>
      </c>
      <c r="G466" s="82"/>
      <c r="H466" s="82"/>
      <c r="I466" s="82" t="s">
        <v>250</v>
      </c>
      <c r="J466" s="102" t="n">
        <f aca="false">IF(B466="","",MONTH(B466))</f>
        <v>4</v>
      </c>
      <c r="K466" s="102" t="n">
        <f aca="false">IF(B466="","",YEAR(B466))</f>
        <v>2026</v>
      </c>
      <c r="L466" s="102" t="str">
        <f aca="false">IF(N(E466)=0,"",IF(COUNTIFS(AK_NAMA,C466,AK_KAT,"KAS")+COUNTIFS(AK_NAMA,D466,AK_KAT,"KAS")&lt;&gt;1,"",IF(COUNTIFS(AK_NAMA,C466,AK_KAT,"KAS")=1,D466,C466)))</f>
        <v>Biaya Operasional Harian</v>
      </c>
      <c r="M466" s="103" t="n">
        <f aca="false">IF(L466="",0,IF(L466=D466,E466,-E466))</f>
        <v>-9000</v>
      </c>
      <c r="N466" s="102" t="str">
        <f aca="false">IF(L466="","",IFERROR(INDEX(AK_BARIS,MATCH(L466,AK_NAMA,0)),"?"))</f>
        <v>OP6</v>
      </c>
      <c r="O466" s="102" t="str">
        <f aca="false">IF(C466="","",IFERROR(INDEX(AK_KEL,MATCH(C466,AK_NAMA,0)),"?"))</f>
        <v>BEBAN</v>
      </c>
      <c r="P466" s="102" t="str">
        <f aca="false">IF(D466="","",IFERROR(INDEX(AK_KEL,MATCH(D466,AK_NAMA,0)),"?"))</f>
        <v>ASET</v>
      </c>
      <c r="Q466" s="102" t="n">
        <f aca="false">N(Q465)+IF(AND(N(E466)&lt;&gt;0,K466=TAHUN,N(J466)&lt;=BLN,OR(C466=BB_AKUN,D466=BB_AKUN)),1,0)</f>
        <v>301</v>
      </c>
      <c r="R466" s="104" t="str">
        <f aca="false">IF(OR(C466&amp;D466="",N(E466)=0),"",IF(OR(O466="?",P466="?"),"⚠ akun tidak dikenal",IF(C466=D466,"⚠ debet = kredit","")))</f>
        <v/>
      </c>
    </row>
    <row r="467" customFormat="false" ht="15" hidden="false" customHeight="false" outlineLevel="0" collapsed="false">
      <c r="A467" s="82" t="s">
        <v>1267</v>
      </c>
      <c r="B467" s="101" t="n">
        <v>46119</v>
      </c>
      <c r="C467" s="82" t="s">
        <v>486</v>
      </c>
      <c r="D467" s="82" t="s">
        <v>557</v>
      </c>
      <c r="E467" s="91" t="n">
        <v>200</v>
      </c>
      <c r="F467" s="82" t="s">
        <v>1268</v>
      </c>
      <c r="G467" s="82"/>
      <c r="H467" s="82"/>
      <c r="I467" s="82" t="s">
        <v>250</v>
      </c>
      <c r="J467" s="102" t="n">
        <f aca="false">IF(B467="","",MONTH(B467))</f>
        <v>4</v>
      </c>
      <c r="K467" s="102" t="n">
        <f aca="false">IF(B467="","",YEAR(B467))</f>
        <v>2026</v>
      </c>
      <c r="L467" s="102" t="str">
        <f aca="false">IF(N(E467)=0,"",IF(COUNTIFS(AK_NAMA,C467,AK_KAT,"KAS")+COUNTIFS(AK_NAMA,D467,AK_KAT,"KAS")&lt;&gt;1,"",IF(COUNTIFS(AK_NAMA,C467,AK_KAT,"KAS")=1,D467,C467)))</f>
        <v>Pendapatan Lainnya</v>
      </c>
      <c r="M467" s="103" t="n">
        <f aca="false">IF(L467="",0,IF(L467=D467,E467,-E467))</f>
        <v>200</v>
      </c>
      <c r="N467" s="102" t="str">
        <f aca="false">IF(L467="","",IFERROR(INDEX(AK_BARIS,MATCH(L467,AK_NAMA,0)),"?"))</f>
        <v>OP2</v>
      </c>
      <c r="O467" s="102" t="str">
        <f aca="false">IF(C467="","",IFERROR(INDEX(AK_KEL,MATCH(C467,AK_NAMA,0)),"?"))</f>
        <v>ASET</v>
      </c>
      <c r="P467" s="102" t="str">
        <f aca="false">IF(D467="","",IFERROR(INDEX(AK_KEL,MATCH(D467,AK_NAMA,0)),"?"))</f>
        <v>PENDAPATAN</v>
      </c>
      <c r="Q467" s="102" t="n">
        <f aca="false">N(Q466)+IF(AND(N(E467)&lt;&gt;0,K467=TAHUN,N(J467)&lt;=BLN,OR(C467=BB_AKUN,D467=BB_AKUN)),1,0)</f>
        <v>301</v>
      </c>
      <c r="R467" s="104" t="str">
        <f aca="false">IF(OR(C467&amp;D467="",N(E467)=0),"",IF(OR(O467="?",P467="?"),"⚠ akun tidak dikenal",IF(C467=D467,"⚠ debet = kredit","")))</f>
        <v/>
      </c>
    </row>
    <row r="468" customFormat="false" ht="15" hidden="false" customHeight="false" outlineLevel="0" collapsed="false">
      <c r="A468" s="82" t="s">
        <v>1269</v>
      </c>
      <c r="B468" s="101" t="n">
        <v>46119</v>
      </c>
      <c r="C468" s="82" t="s">
        <v>486</v>
      </c>
      <c r="D468" s="82" t="s">
        <v>475</v>
      </c>
      <c r="E468" s="91" t="n">
        <v>1000000</v>
      </c>
      <c r="F468" s="82" t="s">
        <v>1270</v>
      </c>
      <c r="G468" s="82"/>
      <c r="H468" s="82"/>
      <c r="I468" s="82" t="s">
        <v>250</v>
      </c>
      <c r="J468" s="102" t="n">
        <f aca="false">IF(B468="","",MONTH(B468))</f>
        <v>4</v>
      </c>
      <c r="K468" s="102" t="n">
        <f aca="false">IF(B468="","",YEAR(B468))</f>
        <v>2026</v>
      </c>
      <c r="L468" s="102" t="str">
        <f aca="false">IF(N(E468)=0,"",IF(COUNTIFS(AK_NAMA,C468,AK_KAT,"KAS")+COUNTIFS(AK_NAMA,D468,AK_KAT,"KAS")&lt;&gt;1,"",IF(COUNTIFS(AK_NAMA,C468,AK_KAT,"KAS")=1,D468,C468)))</f>
        <v/>
      </c>
      <c r="M468" s="103" t="n">
        <f aca="false">IF(L468="",0,IF(L468=D468,E468,-E468))</f>
        <v>0</v>
      </c>
      <c r="N468" s="102" t="str">
        <f aca="false">IF(L468="","",IFERROR(INDEX(AK_BARIS,MATCH(L468,AK_NAMA,0)),"?"))</f>
        <v/>
      </c>
      <c r="O468" s="102" t="str">
        <f aca="false">IF(C468="","",IFERROR(INDEX(AK_KEL,MATCH(C468,AK_NAMA,0)),"?"))</f>
        <v>ASET</v>
      </c>
      <c r="P468" s="102" t="str">
        <f aca="false">IF(D468="","",IFERROR(INDEX(AK_KEL,MATCH(D468,AK_NAMA,0)),"?"))</f>
        <v>ASET</v>
      </c>
      <c r="Q468" s="102" t="n">
        <f aca="false">N(Q467)+IF(AND(N(E468)&lt;&gt;0,K468=TAHUN,N(J468)&lt;=BLN,OR(C468=BB_AKUN,D468=BB_AKUN)),1,0)</f>
        <v>301</v>
      </c>
      <c r="R468" s="104" t="str">
        <f aca="false">IF(OR(C468&amp;D468="",N(E468)=0),"",IF(OR(O468="?",P468="?"),"⚠ akun tidak dikenal",IF(C468=D468,"⚠ debet = kredit","")))</f>
        <v/>
      </c>
    </row>
    <row r="469" customFormat="false" ht="15" hidden="false" customHeight="false" outlineLevel="0" collapsed="false">
      <c r="A469" s="82" t="s">
        <v>1271</v>
      </c>
      <c r="B469" s="101" t="n">
        <v>46119</v>
      </c>
      <c r="C469" s="82" t="s">
        <v>475</v>
      </c>
      <c r="D469" s="82" t="s">
        <v>461</v>
      </c>
      <c r="E469" s="91" t="n">
        <v>90000</v>
      </c>
      <c r="F469" s="82" t="s">
        <v>1272</v>
      </c>
      <c r="G469" s="82"/>
      <c r="H469" s="82"/>
      <c r="I469" s="82" t="s">
        <v>250</v>
      </c>
      <c r="J469" s="102" t="n">
        <f aca="false">IF(B469="","",MONTH(B469))</f>
        <v>4</v>
      </c>
      <c r="K469" s="102" t="n">
        <f aca="false">IF(B469="","",YEAR(B469))</f>
        <v>2026</v>
      </c>
      <c r="L469" s="102" t="str">
        <f aca="false">IF(N(E469)=0,"",IF(COUNTIFS(AK_NAMA,C469,AK_KAT,"KAS")+COUNTIFS(AK_NAMA,D469,AK_KAT,"KAS")&lt;&gt;1,"",IF(COUNTIFS(AK_NAMA,C469,AK_KAT,"KAS")=1,D469,C469)))</f>
        <v/>
      </c>
      <c r="M469" s="103" t="n">
        <f aca="false">IF(L469="",0,IF(L469=D469,E469,-E469))</f>
        <v>0</v>
      </c>
      <c r="N469" s="102" t="str">
        <f aca="false">IF(L469="","",IFERROR(INDEX(AK_BARIS,MATCH(L469,AK_NAMA,0)),"?"))</f>
        <v/>
      </c>
      <c r="O469" s="102" t="str">
        <f aca="false">IF(C469="","",IFERROR(INDEX(AK_KEL,MATCH(C469,AK_NAMA,0)),"?"))</f>
        <v>ASET</v>
      </c>
      <c r="P469" s="102" t="str">
        <f aca="false">IF(D469="","",IFERROR(INDEX(AK_KEL,MATCH(D469,AK_NAMA,0)),"?"))</f>
        <v>ASET</v>
      </c>
      <c r="Q469" s="102" t="n">
        <f aca="false">N(Q468)+IF(AND(N(E469)&lt;&gt;0,K469=TAHUN,N(J469)&lt;=BLN,OR(C469=BB_AKUN,D469=BB_AKUN)),1,0)</f>
        <v>302</v>
      </c>
      <c r="R469" s="104" t="str">
        <f aca="false">IF(OR(C469&amp;D469="",N(E469)=0),"",IF(OR(O469="?",P469="?"),"⚠ akun tidak dikenal",IF(C469=D469,"⚠ debet = kredit","")))</f>
        <v/>
      </c>
    </row>
    <row r="470" customFormat="false" ht="15" hidden="false" customHeight="false" outlineLevel="0" collapsed="false">
      <c r="A470" s="82" t="s">
        <v>1273</v>
      </c>
      <c r="B470" s="101" t="n">
        <v>46119</v>
      </c>
      <c r="C470" s="82" t="s">
        <v>461</v>
      </c>
      <c r="D470" s="82" t="s">
        <v>475</v>
      </c>
      <c r="E470" s="91" t="n">
        <v>2500000</v>
      </c>
      <c r="F470" s="82" t="s">
        <v>1242</v>
      </c>
      <c r="G470" s="82"/>
      <c r="H470" s="82"/>
      <c r="I470" s="82" t="s">
        <v>250</v>
      </c>
      <c r="J470" s="102" t="n">
        <f aca="false">IF(B470="","",MONTH(B470))</f>
        <v>4</v>
      </c>
      <c r="K470" s="102" t="n">
        <f aca="false">IF(B470="","",YEAR(B470))</f>
        <v>2026</v>
      </c>
      <c r="L470" s="102" t="str">
        <f aca="false">IF(N(E470)=0,"",IF(COUNTIFS(AK_NAMA,C470,AK_KAT,"KAS")+COUNTIFS(AK_NAMA,D470,AK_KAT,"KAS")&lt;&gt;1,"",IF(COUNTIFS(AK_NAMA,C470,AK_KAT,"KAS")=1,D470,C470)))</f>
        <v/>
      </c>
      <c r="M470" s="103" t="n">
        <f aca="false">IF(L470="",0,IF(L470=D470,E470,-E470))</f>
        <v>0</v>
      </c>
      <c r="N470" s="102" t="str">
        <f aca="false">IF(L470="","",IFERROR(INDEX(AK_BARIS,MATCH(L470,AK_NAMA,0)),"?"))</f>
        <v/>
      </c>
      <c r="O470" s="102" t="str">
        <f aca="false">IF(C470="","",IFERROR(INDEX(AK_KEL,MATCH(C470,AK_NAMA,0)),"?"))</f>
        <v>ASET</v>
      </c>
      <c r="P470" s="102" t="str">
        <f aca="false">IF(D470="","",IFERROR(INDEX(AK_KEL,MATCH(D470,AK_NAMA,0)),"?"))</f>
        <v>ASET</v>
      </c>
      <c r="Q470" s="102" t="n">
        <f aca="false">N(Q469)+IF(AND(N(E470)&lt;&gt;0,K470=TAHUN,N(J470)&lt;=BLN,OR(C470=BB_AKUN,D470=BB_AKUN)),1,0)</f>
        <v>303</v>
      </c>
      <c r="R470" s="104" t="str">
        <f aca="false">IF(OR(C470&amp;D470="",N(E470)=0),"",IF(OR(O470="?",P470="?"),"⚠ akun tidak dikenal",IF(C470=D470,"⚠ debet = kredit","")))</f>
        <v/>
      </c>
    </row>
    <row r="471" customFormat="false" ht="15" hidden="false" customHeight="false" outlineLevel="0" collapsed="false">
      <c r="A471" s="82" t="s">
        <v>1274</v>
      </c>
      <c r="B471" s="101" t="n">
        <v>46119</v>
      </c>
      <c r="C471" s="82" t="s">
        <v>548</v>
      </c>
      <c r="D471" s="82" t="s">
        <v>475</v>
      </c>
      <c r="E471" s="91" t="n">
        <v>50000</v>
      </c>
      <c r="F471" s="82" t="s">
        <v>1275</v>
      </c>
      <c r="G471" s="82"/>
      <c r="H471" s="82"/>
      <c r="I471" s="82" t="s">
        <v>250</v>
      </c>
      <c r="J471" s="102" t="n">
        <f aca="false">IF(B471="","",MONTH(B471))</f>
        <v>4</v>
      </c>
      <c r="K471" s="102" t="n">
        <f aca="false">IF(B471="","",YEAR(B471))</f>
        <v>2026</v>
      </c>
      <c r="L471" s="102" t="str">
        <f aca="false">IF(N(E471)=0,"",IF(COUNTIFS(AK_NAMA,C471,AK_KAT,"KAS")+COUNTIFS(AK_NAMA,D471,AK_KAT,"KAS")&lt;&gt;1,"",IF(COUNTIFS(AK_NAMA,C471,AK_KAT,"KAS")=1,D471,C471)))</f>
        <v>Beban Perlengkapan</v>
      </c>
      <c r="M471" s="103" t="n">
        <f aca="false">IF(L471="",0,IF(L471=D471,E471,-E471))</f>
        <v>-50000</v>
      </c>
      <c r="N471" s="102" t="str">
        <f aca="false">IF(L471="","",IFERROR(INDEX(AK_BARIS,MATCH(L471,AK_NAMA,0)),"?"))</f>
        <v>OP6</v>
      </c>
      <c r="O471" s="102" t="str">
        <f aca="false">IF(C471="","",IFERROR(INDEX(AK_KEL,MATCH(C471,AK_NAMA,0)),"?"))</f>
        <v>BEBAN</v>
      </c>
      <c r="P471" s="102" t="str">
        <f aca="false">IF(D471="","",IFERROR(INDEX(AK_KEL,MATCH(D471,AK_NAMA,0)),"?"))</f>
        <v>ASET</v>
      </c>
      <c r="Q471" s="102" t="n">
        <f aca="false">N(Q470)+IF(AND(N(E471)&lt;&gt;0,K471=TAHUN,N(J471)&lt;=BLN,OR(C471=BB_AKUN,D471=BB_AKUN)),1,0)</f>
        <v>303</v>
      </c>
      <c r="R471" s="104" t="str">
        <f aca="false">IF(OR(C471&amp;D471="",N(E471)=0),"",IF(OR(O471="?",P471="?"),"⚠ akun tidak dikenal",IF(C471=D471,"⚠ debet = kredit","")))</f>
        <v/>
      </c>
    </row>
    <row r="472" customFormat="false" ht="15" hidden="false" customHeight="false" outlineLevel="0" collapsed="false">
      <c r="A472" s="82" t="s">
        <v>1276</v>
      </c>
      <c r="B472" s="101" t="n">
        <v>46120</v>
      </c>
      <c r="C472" s="82" t="s">
        <v>486</v>
      </c>
      <c r="D472" s="82" t="s">
        <v>461</v>
      </c>
      <c r="E472" s="91" t="n">
        <v>500000</v>
      </c>
      <c r="F472" s="82" t="s">
        <v>1277</v>
      </c>
      <c r="G472" s="82"/>
      <c r="H472" s="82"/>
      <c r="I472" s="82" t="s">
        <v>250</v>
      </c>
      <c r="J472" s="102" t="n">
        <f aca="false">IF(B472="","",MONTH(B472))</f>
        <v>4</v>
      </c>
      <c r="K472" s="102" t="n">
        <f aca="false">IF(B472="","",YEAR(B472))</f>
        <v>2026</v>
      </c>
      <c r="L472" s="102" t="str">
        <f aca="false">IF(N(E472)=0,"",IF(COUNTIFS(AK_NAMA,C472,AK_KAT,"KAS")+COUNTIFS(AK_NAMA,D472,AK_KAT,"KAS")&lt;&gt;1,"",IF(COUNTIFS(AK_NAMA,C472,AK_KAT,"KAS")=1,D472,C472)))</f>
        <v/>
      </c>
      <c r="M472" s="103" t="n">
        <f aca="false">IF(L472="",0,IF(L472=D472,E472,-E472))</f>
        <v>0</v>
      </c>
      <c r="N472" s="102" t="str">
        <f aca="false">IF(L472="","",IFERROR(INDEX(AK_BARIS,MATCH(L472,AK_NAMA,0)),"?"))</f>
        <v/>
      </c>
      <c r="O472" s="102" t="str">
        <f aca="false">IF(C472="","",IFERROR(INDEX(AK_KEL,MATCH(C472,AK_NAMA,0)),"?"))</f>
        <v>ASET</v>
      </c>
      <c r="P472" s="102" t="str">
        <f aca="false">IF(D472="","",IFERROR(INDEX(AK_KEL,MATCH(D472,AK_NAMA,0)),"?"))</f>
        <v>ASET</v>
      </c>
      <c r="Q472" s="102" t="n">
        <f aca="false">N(Q471)+IF(AND(N(E472)&lt;&gt;0,K472=TAHUN,N(J472)&lt;=BLN,OR(C472=BB_AKUN,D472=BB_AKUN)),1,0)</f>
        <v>304</v>
      </c>
      <c r="R472" s="104" t="str">
        <f aca="false">IF(OR(C472&amp;D472="",N(E472)=0),"",IF(OR(O472="?",P472="?"),"⚠ akun tidak dikenal",IF(C472=D472,"⚠ debet = kredit","")))</f>
        <v/>
      </c>
    </row>
    <row r="473" customFormat="false" ht="15" hidden="false" customHeight="false" outlineLevel="0" collapsed="false">
      <c r="A473" s="82" t="s">
        <v>1278</v>
      </c>
      <c r="B473" s="101" t="n">
        <v>46120</v>
      </c>
      <c r="C473" s="82" t="s">
        <v>524</v>
      </c>
      <c r="D473" s="82" t="s">
        <v>461</v>
      </c>
      <c r="E473" s="91" t="n">
        <v>395</v>
      </c>
      <c r="F473" s="82" t="s">
        <v>1254</v>
      </c>
      <c r="G473" s="82"/>
      <c r="H473" s="82"/>
      <c r="I473" s="82" t="s">
        <v>250</v>
      </c>
      <c r="J473" s="102" t="n">
        <f aca="false">IF(B473="","",MONTH(B473))</f>
        <v>4</v>
      </c>
      <c r="K473" s="102" t="n">
        <f aca="false">IF(B473="","",YEAR(B473))</f>
        <v>2026</v>
      </c>
      <c r="L473" s="102" t="str">
        <f aca="false">IF(N(E473)=0,"",IF(COUNTIFS(AK_NAMA,C473,AK_KAT,"KAS")+COUNTIFS(AK_NAMA,D473,AK_KAT,"KAS")&lt;&gt;1,"",IF(COUNTIFS(AK_NAMA,C473,AK_KAT,"KAS")=1,D473,C473)))</f>
        <v>Biaya Lainnya</v>
      </c>
      <c r="M473" s="103" t="n">
        <f aca="false">IF(L473="",0,IF(L473=D473,E473,-E473))</f>
        <v>-395</v>
      </c>
      <c r="N473" s="102" t="str">
        <f aca="false">IF(L473="","",IFERROR(INDEX(AK_BARIS,MATCH(L473,AK_NAMA,0)),"?"))</f>
        <v>OP2</v>
      </c>
      <c r="O473" s="102" t="str">
        <f aca="false">IF(C473="","",IFERROR(INDEX(AK_KEL,MATCH(C473,AK_NAMA,0)),"?"))</f>
        <v>BEBAN</v>
      </c>
      <c r="P473" s="102" t="str">
        <f aca="false">IF(D473="","",IFERROR(INDEX(AK_KEL,MATCH(D473,AK_NAMA,0)),"?"))</f>
        <v>ASET</v>
      </c>
      <c r="Q473" s="102" t="n">
        <f aca="false">N(Q472)+IF(AND(N(E473)&lt;&gt;0,K473=TAHUN,N(J473)&lt;=BLN,OR(C473=BB_AKUN,D473=BB_AKUN)),1,0)</f>
        <v>305</v>
      </c>
      <c r="R473" s="104" t="str">
        <f aca="false">IF(OR(C473&amp;D473="",N(E473)=0),"",IF(OR(O473="?",P473="?"),"⚠ akun tidak dikenal",IF(C473=D473,"⚠ debet = kredit","")))</f>
        <v/>
      </c>
    </row>
    <row r="474" customFormat="false" ht="15" hidden="false" customHeight="false" outlineLevel="0" collapsed="false">
      <c r="A474" s="82" t="s">
        <v>1279</v>
      </c>
      <c r="B474" s="101" t="n">
        <v>46120</v>
      </c>
      <c r="C474" s="82" t="s">
        <v>470</v>
      </c>
      <c r="D474" s="82" t="s">
        <v>461</v>
      </c>
      <c r="E474" s="91" t="n">
        <v>1115000</v>
      </c>
      <c r="F474" s="82" t="s">
        <v>1280</v>
      </c>
      <c r="G474" s="82"/>
      <c r="H474" s="82"/>
      <c r="I474" s="82" t="s">
        <v>250</v>
      </c>
      <c r="J474" s="102" t="n">
        <f aca="false">IF(B474="","",MONTH(B474))</f>
        <v>4</v>
      </c>
      <c r="K474" s="102" t="n">
        <f aca="false">IF(B474="","",YEAR(B474))</f>
        <v>2026</v>
      </c>
      <c r="L474" s="102" t="str">
        <f aca="false">IF(N(E474)=0,"",IF(COUNTIFS(AK_NAMA,C474,AK_KAT,"KAS")+COUNTIFS(AK_NAMA,D474,AK_KAT,"KAS")&lt;&gt;1,"",IF(COUNTIFS(AK_NAMA,C474,AK_KAT,"KAS")=1,D474,C474)))</f>
        <v>Biaya Bahan Baku</v>
      </c>
      <c r="M474" s="103" t="n">
        <f aca="false">IF(L474="",0,IF(L474=D474,E474,-E474))</f>
        <v>-1115000</v>
      </c>
      <c r="N474" s="102" t="str">
        <f aca="false">IF(L474="","",IFERROR(INDEX(AK_BARIS,MATCH(L474,AK_NAMA,0)),"?"))</f>
        <v>OP3</v>
      </c>
      <c r="O474" s="102" t="str">
        <f aca="false">IF(C474="","",IFERROR(INDEX(AK_KEL,MATCH(C474,AK_NAMA,0)),"?"))</f>
        <v>BEBAN</v>
      </c>
      <c r="P474" s="102" t="str">
        <f aca="false">IF(D474="","",IFERROR(INDEX(AK_KEL,MATCH(D474,AK_NAMA,0)),"?"))</f>
        <v>ASET</v>
      </c>
      <c r="Q474" s="102" t="n">
        <f aca="false">N(Q473)+IF(AND(N(E474)&lt;&gt;0,K474=TAHUN,N(J474)&lt;=BLN,OR(C474=BB_AKUN,D474=BB_AKUN)),1,0)</f>
        <v>306</v>
      </c>
      <c r="R474" s="104" t="str">
        <f aca="false">IF(OR(C474&amp;D474="",N(E474)=0),"",IF(OR(O474="?",P474="?"),"⚠ akun tidak dikenal",IF(C474=D474,"⚠ debet = kredit","")))</f>
        <v/>
      </c>
    </row>
    <row r="475" customFormat="false" ht="15" hidden="false" customHeight="false" outlineLevel="0" collapsed="false">
      <c r="A475" s="82" t="s">
        <v>1281</v>
      </c>
      <c r="B475" s="101" t="n">
        <v>46120</v>
      </c>
      <c r="C475" s="82" t="s">
        <v>461</v>
      </c>
      <c r="D475" s="82" t="s">
        <v>475</v>
      </c>
      <c r="E475" s="91" t="n">
        <v>260000</v>
      </c>
      <c r="F475" s="82" t="s">
        <v>1242</v>
      </c>
      <c r="G475" s="82"/>
      <c r="H475" s="82"/>
      <c r="I475" s="82" t="s">
        <v>250</v>
      </c>
      <c r="J475" s="102" t="n">
        <f aca="false">IF(B475="","",MONTH(B475))</f>
        <v>4</v>
      </c>
      <c r="K475" s="102" t="n">
        <f aca="false">IF(B475="","",YEAR(B475))</f>
        <v>2026</v>
      </c>
      <c r="L475" s="102" t="str">
        <f aca="false">IF(N(E475)=0,"",IF(COUNTIFS(AK_NAMA,C475,AK_KAT,"KAS")+COUNTIFS(AK_NAMA,D475,AK_KAT,"KAS")&lt;&gt;1,"",IF(COUNTIFS(AK_NAMA,C475,AK_KAT,"KAS")=1,D475,C475)))</f>
        <v/>
      </c>
      <c r="M475" s="103" t="n">
        <f aca="false">IF(L475="",0,IF(L475=D475,E475,-E475))</f>
        <v>0</v>
      </c>
      <c r="N475" s="102" t="str">
        <f aca="false">IF(L475="","",IFERROR(INDEX(AK_BARIS,MATCH(L475,AK_NAMA,0)),"?"))</f>
        <v/>
      </c>
      <c r="O475" s="102" t="str">
        <f aca="false">IF(C475="","",IFERROR(INDEX(AK_KEL,MATCH(C475,AK_NAMA,0)),"?"))</f>
        <v>ASET</v>
      </c>
      <c r="P475" s="102" t="str">
        <f aca="false">IF(D475="","",IFERROR(INDEX(AK_KEL,MATCH(D475,AK_NAMA,0)),"?"))</f>
        <v>ASET</v>
      </c>
      <c r="Q475" s="102" t="n">
        <f aca="false">N(Q474)+IF(AND(N(E475)&lt;&gt;0,K475=TAHUN,N(J475)&lt;=BLN,OR(C475=BB_AKUN,D475=BB_AKUN)),1,0)</f>
        <v>307</v>
      </c>
      <c r="R475" s="104" t="str">
        <f aca="false">IF(OR(C475&amp;D475="",N(E475)=0),"",IF(OR(O475="?",P475="?"),"⚠ akun tidak dikenal",IF(C475=D475,"⚠ debet = kredit","")))</f>
        <v/>
      </c>
    </row>
    <row r="476" customFormat="false" ht="15" hidden="false" customHeight="false" outlineLevel="0" collapsed="false">
      <c r="A476" s="82" t="s">
        <v>1282</v>
      </c>
      <c r="B476" s="101" t="n">
        <v>46121</v>
      </c>
      <c r="C476" s="82" t="s">
        <v>470</v>
      </c>
      <c r="D476" s="82" t="s">
        <v>475</v>
      </c>
      <c r="E476" s="91" t="n">
        <v>270000</v>
      </c>
      <c r="F476" s="82" t="s">
        <v>1283</v>
      </c>
      <c r="G476" s="82"/>
      <c r="H476" s="82"/>
      <c r="I476" s="82" t="s">
        <v>250</v>
      </c>
      <c r="J476" s="102" t="n">
        <f aca="false">IF(B476="","",MONTH(B476))</f>
        <v>4</v>
      </c>
      <c r="K476" s="102" t="n">
        <f aca="false">IF(B476="","",YEAR(B476))</f>
        <v>2026</v>
      </c>
      <c r="L476" s="102" t="str">
        <f aca="false">IF(N(E476)=0,"",IF(COUNTIFS(AK_NAMA,C476,AK_KAT,"KAS")+COUNTIFS(AK_NAMA,D476,AK_KAT,"KAS")&lt;&gt;1,"",IF(COUNTIFS(AK_NAMA,C476,AK_KAT,"KAS")=1,D476,C476)))</f>
        <v>Biaya Bahan Baku</v>
      </c>
      <c r="M476" s="103" t="n">
        <f aca="false">IF(L476="",0,IF(L476=D476,E476,-E476))</f>
        <v>-270000</v>
      </c>
      <c r="N476" s="102" t="str">
        <f aca="false">IF(L476="","",IFERROR(INDEX(AK_BARIS,MATCH(L476,AK_NAMA,0)),"?"))</f>
        <v>OP3</v>
      </c>
      <c r="O476" s="102" t="str">
        <f aca="false">IF(C476="","",IFERROR(INDEX(AK_KEL,MATCH(C476,AK_NAMA,0)),"?"))</f>
        <v>BEBAN</v>
      </c>
      <c r="P476" s="102" t="str">
        <f aca="false">IF(D476="","",IFERROR(INDEX(AK_KEL,MATCH(D476,AK_NAMA,0)),"?"))</f>
        <v>ASET</v>
      </c>
      <c r="Q476" s="102" t="n">
        <f aca="false">N(Q475)+IF(AND(N(E476)&lt;&gt;0,K476=TAHUN,N(J476)&lt;=BLN,OR(C476=BB_AKUN,D476=BB_AKUN)),1,0)</f>
        <v>307</v>
      </c>
      <c r="R476" s="104" t="str">
        <f aca="false">IF(OR(C476&amp;D476="",N(E476)=0),"",IF(OR(O476="?",P476="?"),"⚠ akun tidak dikenal",IF(C476=D476,"⚠ debet = kredit","")))</f>
        <v/>
      </c>
    </row>
    <row r="477" customFormat="false" ht="15" hidden="false" customHeight="false" outlineLevel="0" collapsed="false">
      <c r="A477" s="82" t="s">
        <v>1284</v>
      </c>
      <c r="B477" s="101" t="n">
        <v>46121</v>
      </c>
      <c r="C477" s="82" t="s">
        <v>669</v>
      </c>
      <c r="D477" s="82" t="s">
        <v>461</v>
      </c>
      <c r="E477" s="91" t="n">
        <v>119000</v>
      </c>
      <c r="F477" s="82" t="s">
        <v>647</v>
      </c>
      <c r="G477" s="82"/>
      <c r="H477" s="82"/>
      <c r="I477" s="82" t="s">
        <v>250</v>
      </c>
      <c r="J477" s="102" t="n">
        <f aca="false">IF(B477="","",MONTH(B477))</f>
        <v>4</v>
      </c>
      <c r="K477" s="102" t="n">
        <f aca="false">IF(B477="","",YEAR(B477))</f>
        <v>2026</v>
      </c>
      <c r="L477" s="102" t="str">
        <f aca="false">IF(N(E477)=0,"",IF(COUNTIFS(AK_NAMA,C477,AK_KAT,"KAS")+COUNTIFS(AK_NAMA,D477,AK_KAT,"KAS")&lt;&gt;1,"",IF(COUNTIFS(AK_NAMA,C477,AK_KAT,"KAS")=1,D477,C477)))</f>
        <v>Biaya Tagihan Bulanan</v>
      </c>
      <c r="M477" s="103" t="n">
        <f aca="false">IF(L477="",0,IF(L477=D477,E477,-E477))</f>
        <v>-119000</v>
      </c>
      <c r="N477" s="102" t="str">
        <f aca="false">IF(L477="","",IFERROR(INDEX(AK_BARIS,MATCH(L477,AK_NAMA,0)),"?"))</f>
        <v>OP6</v>
      </c>
      <c r="O477" s="102" t="str">
        <f aca="false">IF(C477="","",IFERROR(INDEX(AK_KEL,MATCH(C477,AK_NAMA,0)),"?"))</f>
        <v>BEBAN</v>
      </c>
      <c r="P477" s="102" t="str">
        <f aca="false">IF(D477="","",IFERROR(INDEX(AK_KEL,MATCH(D477,AK_NAMA,0)),"?"))</f>
        <v>ASET</v>
      </c>
      <c r="Q477" s="102" t="n">
        <f aca="false">N(Q476)+IF(AND(N(E477)&lt;&gt;0,K477=TAHUN,N(J477)&lt;=BLN,OR(C477=BB_AKUN,D477=BB_AKUN)),1,0)</f>
        <v>308</v>
      </c>
      <c r="R477" s="104" t="str">
        <f aca="false">IF(OR(C477&amp;D477="",N(E477)=0),"",IF(OR(O477="?",P477="?"),"⚠ akun tidak dikenal",IF(C477=D477,"⚠ debet = kredit","")))</f>
        <v/>
      </c>
    </row>
    <row r="478" customFormat="false" ht="15" hidden="false" customHeight="false" outlineLevel="0" collapsed="false">
      <c r="A478" s="82" t="s">
        <v>1285</v>
      </c>
      <c r="B478" s="101" t="n">
        <v>46122</v>
      </c>
      <c r="C478" s="82" t="s">
        <v>455</v>
      </c>
      <c r="D478" s="82" t="s">
        <v>475</v>
      </c>
      <c r="E478" s="91" t="n">
        <v>150000</v>
      </c>
      <c r="F478" s="82" t="s">
        <v>1286</v>
      </c>
      <c r="G478" s="82"/>
      <c r="H478" s="82"/>
      <c r="I478" s="82" t="s">
        <v>250</v>
      </c>
      <c r="J478" s="102" t="n">
        <f aca="false">IF(B478="","",MONTH(B478))</f>
        <v>4</v>
      </c>
      <c r="K478" s="102" t="n">
        <f aca="false">IF(B478="","",YEAR(B478))</f>
        <v>2026</v>
      </c>
      <c r="L478" s="102" t="str">
        <f aca="false">IF(N(E478)=0,"",IF(COUNTIFS(AK_NAMA,C478,AK_KAT,"KAS")+COUNTIFS(AK_NAMA,D478,AK_KAT,"KAS")&lt;&gt;1,"",IF(COUNTIFS(AK_NAMA,C478,AK_KAT,"KAS")=1,D478,C478)))</f>
        <v>Biaya Pemeliharaan</v>
      </c>
      <c r="M478" s="103" t="n">
        <f aca="false">IF(L478="",0,IF(L478=D478,E478,-E478))</f>
        <v>-150000</v>
      </c>
      <c r="N478" s="102" t="str">
        <f aca="false">IF(L478="","",IFERROR(INDEX(AK_BARIS,MATCH(L478,AK_NAMA,0)),"?"))</f>
        <v>OP6</v>
      </c>
      <c r="O478" s="102" t="str">
        <f aca="false">IF(C478="","",IFERROR(INDEX(AK_KEL,MATCH(C478,AK_NAMA,0)),"?"))</f>
        <v>BEBAN</v>
      </c>
      <c r="P478" s="102" t="str">
        <f aca="false">IF(D478="","",IFERROR(INDEX(AK_KEL,MATCH(D478,AK_NAMA,0)),"?"))</f>
        <v>ASET</v>
      </c>
      <c r="Q478" s="102" t="n">
        <f aca="false">N(Q477)+IF(AND(N(E478)&lt;&gt;0,K478=TAHUN,N(J478)&lt;=BLN,OR(C478=BB_AKUN,D478=BB_AKUN)),1,0)</f>
        <v>308</v>
      </c>
      <c r="R478" s="104" t="str">
        <f aca="false">IF(OR(C478&amp;D478="",N(E478)=0),"",IF(OR(O478="?",P478="?"),"⚠ akun tidak dikenal",IF(C478=D478,"⚠ debet = kredit","")))</f>
        <v/>
      </c>
    </row>
    <row r="479" customFormat="false" ht="15" hidden="false" customHeight="false" outlineLevel="0" collapsed="false">
      <c r="A479" s="82" t="s">
        <v>1287</v>
      </c>
      <c r="B479" s="101" t="n">
        <v>46122</v>
      </c>
      <c r="C479" s="82" t="s">
        <v>475</v>
      </c>
      <c r="D479" s="82" t="s">
        <v>486</v>
      </c>
      <c r="E479" s="91" t="n">
        <v>9000</v>
      </c>
      <c r="F479" s="82" t="s">
        <v>1142</v>
      </c>
      <c r="G479" s="82"/>
      <c r="H479" s="82"/>
      <c r="I479" s="82" t="s">
        <v>250</v>
      </c>
      <c r="J479" s="102" t="n">
        <f aca="false">IF(B479="","",MONTH(B479))</f>
        <v>4</v>
      </c>
      <c r="K479" s="102" t="n">
        <f aca="false">IF(B479="","",YEAR(B479))</f>
        <v>2026</v>
      </c>
      <c r="L479" s="102" t="str">
        <f aca="false">IF(N(E479)=0,"",IF(COUNTIFS(AK_NAMA,C479,AK_KAT,"KAS")+COUNTIFS(AK_NAMA,D479,AK_KAT,"KAS")&lt;&gt;1,"",IF(COUNTIFS(AK_NAMA,C479,AK_KAT,"KAS")=1,D479,C479)))</f>
        <v/>
      </c>
      <c r="M479" s="103" t="n">
        <f aca="false">IF(L479="",0,IF(L479=D479,E479,-E479))</f>
        <v>0</v>
      </c>
      <c r="N479" s="102" t="str">
        <f aca="false">IF(L479="","",IFERROR(INDEX(AK_BARIS,MATCH(L479,AK_NAMA,0)),"?"))</f>
        <v/>
      </c>
      <c r="O479" s="102" t="str">
        <f aca="false">IF(C479="","",IFERROR(INDEX(AK_KEL,MATCH(C479,AK_NAMA,0)),"?"))</f>
        <v>ASET</v>
      </c>
      <c r="P479" s="102" t="str">
        <f aca="false">IF(D479="","",IFERROR(INDEX(AK_KEL,MATCH(D479,AK_NAMA,0)),"?"))</f>
        <v>ASET</v>
      </c>
      <c r="Q479" s="102" t="n">
        <f aca="false">N(Q478)+IF(AND(N(E479)&lt;&gt;0,K479=TAHUN,N(J479)&lt;=BLN,OR(C479=BB_AKUN,D479=BB_AKUN)),1,0)</f>
        <v>308</v>
      </c>
      <c r="R479" s="104" t="str">
        <f aca="false">IF(OR(C479&amp;D479="",N(E479)=0),"",IF(OR(O479="?",P479="?"),"⚠ akun tidak dikenal",IF(C479=D479,"⚠ debet = kredit","")))</f>
        <v/>
      </c>
    </row>
    <row r="480" customFormat="false" ht="15" hidden="false" customHeight="false" outlineLevel="0" collapsed="false">
      <c r="A480" s="82" t="s">
        <v>1288</v>
      </c>
      <c r="B480" s="101" t="n">
        <v>46122</v>
      </c>
      <c r="C480" s="82" t="s">
        <v>470</v>
      </c>
      <c r="D480" s="82" t="s">
        <v>486</v>
      </c>
      <c r="E480" s="91" t="n">
        <v>955100</v>
      </c>
      <c r="F480" s="82" t="s">
        <v>935</v>
      </c>
      <c r="G480" s="82"/>
      <c r="H480" s="82"/>
      <c r="I480" s="82" t="s">
        <v>250</v>
      </c>
      <c r="J480" s="102" t="n">
        <f aca="false">IF(B480="","",MONTH(B480))</f>
        <v>4</v>
      </c>
      <c r="K480" s="102" t="n">
        <f aca="false">IF(B480="","",YEAR(B480))</f>
        <v>2026</v>
      </c>
      <c r="L480" s="102" t="str">
        <f aca="false">IF(N(E480)=0,"",IF(COUNTIFS(AK_NAMA,C480,AK_KAT,"KAS")+COUNTIFS(AK_NAMA,D480,AK_KAT,"KAS")&lt;&gt;1,"",IF(COUNTIFS(AK_NAMA,C480,AK_KAT,"KAS")=1,D480,C480)))</f>
        <v>Biaya Bahan Baku</v>
      </c>
      <c r="M480" s="103" t="n">
        <f aca="false">IF(L480="",0,IF(L480=D480,E480,-E480))</f>
        <v>-955100</v>
      </c>
      <c r="N480" s="102" t="str">
        <f aca="false">IF(L480="","",IFERROR(INDEX(AK_BARIS,MATCH(L480,AK_NAMA,0)),"?"))</f>
        <v>OP3</v>
      </c>
      <c r="O480" s="102" t="str">
        <f aca="false">IF(C480="","",IFERROR(INDEX(AK_KEL,MATCH(C480,AK_NAMA,0)),"?"))</f>
        <v>BEBAN</v>
      </c>
      <c r="P480" s="102" t="str">
        <f aca="false">IF(D480="","",IFERROR(INDEX(AK_KEL,MATCH(D480,AK_NAMA,0)),"?"))</f>
        <v>ASET</v>
      </c>
      <c r="Q480" s="102" t="n">
        <f aca="false">N(Q479)+IF(AND(N(E480)&lt;&gt;0,K480=TAHUN,N(J480)&lt;=BLN,OR(C480=BB_AKUN,D480=BB_AKUN)),1,0)</f>
        <v>308</v>
      </c>
      <c r="R480" s="104" t="str">
        <f aca="false">IF(OR(C480&amp;D480="",N(E480)=0),"",IF(OR(O480="?",P480="?"),"⚠ akun tidak dikenal",IF(C480=D480,"⚠ debet = kredit","")))</f>
        <v/>
      </c>
    </row>
    <row r="481" customFormat="false" ht="15" hidden="false" customHeight="false" outlineLevel="0" collapsed="false">
      <c r="A481" s="82" t="s">
        <v>1289</v>
      </c>
      <c r="B481" s="101" t="n">
        <v>46122</v>
      </c>
      <c r="C481" s="82" t="s">
        <v>478</v>
      </c>
      <c r="D481" s="82" t="s">
        <v>486</v>
      </c>
      <c r="E481" s="91" t="n">
        <v>15900</v>
      </c>
      <c r="F481" s="82" t="s">
        <v>939</v>
      </c>
      <c r="G481" s="82"/>
      <c r="H481" s="82"/>
      <c r="I481" s="82" t="s">
        <v>250</v>
      </c>
      <c r="J481" s="102" t="n">
        <f aca="false">IF(B481="","",MONTH(B481))</f>
        <v>4</v>
      </c>
      <c r="K481" s="102" t="n">
        <f aca="false">IF(B481="","",YEAR(B481))</f>
        <v>2026</v>
      </c>
      <c r="L481" s="102" t="str">
        <f aca="false">IF(N(E481)=0,"",IF(COUNTIFS(AK_NAMA,C481,AK_KAT,"KAS")+COUNTIFS(AK_NAMA,D481,AK_KAT,"KAS")&lt;&gt;1,"",IF(COUNTIFS(AK_NAMA,C481,AK_KAT,"KAS")=1,D481,C481)))</f>
        <v>Biaya Penyajian</v>
      </c>
      <c r="M481" s="103" t="n">
        <f aca="false">IF(L481="",0,IF(L481=D481,E481,-E481))</f>
        <v>-15900</v>
      </c>
      <c r="N481" s="102" t="str">
        <f aca="false">IF(L481="","",IFERROR(INDEX(AK_BARIS,MATCH(L481,AK_NAMA,0)),"?"))</f>
        <v>OP3</v>
      </c>
      <c r="O481" s="102" t="str">
        <f aca="false">IF(C481="","",IFERROR(INDEX(AK_KEL,MATCH(C481,AK_NAMA,0)),"?"))</f>
        <v>BEBAN</v>
      </c>
      <c r="P481" s="102" t="str">
        <f aca="false">IF(D481="","",IFERROR(INDEX(AK_KEL,MATCH(D481,AK_NAMA,0)),"?"))</f>
        <v>ASET</v>
      </c>
      <c r="Q481" s="102" t="n">
        <f aca="false">N(Q480)+IF(AND(N(E481)&lt;&gt;0,K481=TAHUN,N(J481)&lt;=BLN,OR(C481=BB_AKUN,D481=BB_AKUN)),1,0)</f>
        <v>308</v>
      </c>
      <c r="R481" s="104" t="str">
        <f aca="false">IF(OR(C481&amp;D481="",N(E481)=0),"",IF(OR(O481="?",P481="?"),"⚠ akun tidak dikenal",IF(C481=D481,"⚠ debet = kredit","")))</f>
        <v/>
      </c>
    </row>
    <row r="482" customFormat="false" ht="15" hidden="false" customHeight="false" outlineLevel="0" collapsed="false">
      <c r="A482" s="82" t="s">
        <v>1290</v>
      </c>
      <c r="B482" s="101" t="n">
        <v>46122</v>
      </c>
      <c r="C482" s="82" t="s">
        <v>485</v>
      </c>
      <c r="D482" s="82" t="s">
        <v>486</v>
      </c>
      <c r="E482" s="91" t="n">
        <v>12000</v>
      </c>
      <c r="F482" s="82" t="s">
        <v>553</v>
      </c>
      <c r="G482" s="82"/>
      <c r="H482" s="82"/>
      <c r="I482" s="82" t="s">
        <v>250</v>
      </c>
      <c r="J482" s="102" t="n">
        <f aca="false">IF(B482="","",MONTH(B482))</f>
        <v>4</v>
      </c>
      <c r="K482" s="102" t="n">
        <f aca="false">IF(B482="","",YEAR(B482))</f>
        <v>2026</v>
      </c>
      <c r="L482" s="102" t="str">
        <f aca="false">IF(N(E482)=0,"",IF(COUNTIFS(AK_NAMA,C482,AK_KAT,"KAS")+COUNTIFS(AK_NAMA,D482,AK_KAT,"KAS")&lt;&gt;1,"",IF(COUNTIFS(AK_NAMA,C482,AK_KAT,"KAS")=1,D482,C482)))</f>
        <v>Biaya Operasional Harian</v>
      </c>
      <c r="M482" s="103" t="n">
        <f aca="false">IF(L482="",0,IF(L482=D482,E482,-E482))</f>
        <v>-12000</v>
      </c>
      <c r="N482" s="102" t="str">
        <f aca="false">IF(L482="","",IFERROR(INDEX(AK_BARIS,MATCH(L482,AK_NAMA,0)),"?"))</f>
        <v>OP6</v>
      </c>
      <c r="O482" s="102" t="str">
        <f aca="false">IF(C482="","",IFERROR(INDEX(AK_KEL,MATCH(C482,AK_NAMA,0)),"?"))</f>
        <v>BEBAN</v>
      </c>
      <c r="P482" s="102" t="str">
        <f aca="false">IF(D482="","",IFERROR(INDEX(AK_KEL,MATCH(D482,AK_NAMA,0)),"?"))</f>
        <v>ASET</v>
      </c>
      <c r="Q482" s="102" t="n">
        <f aca="false">N(Q481)+IF(AND(N(E482)&lt;&gt;0,K482=TAHUN,N(J482)&lt;=BLN,OR(C482=BB_AKUN,D482=BB_AKUN)),1,0)</f>
        <v>308</v>
      </c>
      <c r="R482" s="104" t="str">
        <f aca="false">IF(OR(C482&amp;D482="",N(E482)=0),"",IF(OR(O482="?",P482="?"),"⚠ akun tidak dikenal",IF(C482=D482,"⚠ debet = kredit","")))</f>
        <v/>
      </c>
    </row>
    <row r="483" customFormat="false" ht="15" hidden="false" customHeight="false" outlineLevel="0" collapsed="false">
      <c r="A483" s="82" t="s">
        <v>1291</v>
      </c>
      <c r="B483" s="101" t="n">
        <v>46122</v>
      </c>
      <c r="C483" s="82" t="s">
        <v>485</v>
      </c>
      <c r="D483" s="82" t="s">
        <v>486</v>
      </c>
      <c r="E483" s="91" t="n">
        <v>8800</v>
      </c>
      <c r="F483" s="82" t="s">
        <v>555</v>
      </c>
      <c r="G483" s="82"/>
      <c r="H483" s="82"/>
      <c r="I483" s="82" t="s">
        <v>250</v>
      </c>
      <c r="J483" s="102" t="n">
        <f aca="false">IF(B483="","",MONTH(B483))</f>
        <v>4</v>
      </c>
      <c r="K483" s="102" t="n">
        <f aca="false">IF(B483="","",YEAR(B483))</f>
        <v>2026</v>
      </c>
      <c r="L483" s="102" t="str">
        <f aca="false">IF(N(E483)=0,"",IF(COUNTIFS(AK_NAMA,C483,AK_KAT,"KAS")+COUNTIFS(AK_NAMA,D483,AK_KAT,"KAS")&lt;&gt;1,"",IF(COUNTIFS(AK_NAMA,C483,AK_KAT,"KAS")=1,D483,C483)))</f>
        <v>Biaya Operasional Harian</v>
      </c>
      <c r="M483" s="103" t="n">
        <f aca="false">IF(L483="",0,IF(L483=D483,E483,-E483))</f>
        <v>-8800</v>
      </c>
      <c r="N483" s="102" t="str">
        <f aca="false">IF(L483="","",IFERROR(INDEX(AK_BARIS,MATCH(L483,AK_NAMA,0)),"?"))</f>
        <v>OP6</v>
      </c>
      <c r="O483" s="102" t="str">
        <f aca="false">IF(C483="","",IFERROR(INDEX(AK_KEL,MATCH(C483,AK_NAMA,0)),"?"))</f>
        <v>BEBAN</v>
      </c>
      <c r="P483" s="102" t="str">
        <f aca="false">IF(D483="","",IFERROR(INDEX(AK_KEL,MATCH(D483,AK_NAMA,0)),"?"))</f>
        <v>ASET</v>
      </c>
      <c r="Q483" s="102" t="n">
        <f aca="false">N(Q482)+IF(AND(N(E483)&lt;&gt;0,K483=TAHUN,N(J483)&lt;=BLN,OR(C483=BB_AKUN,D483=BB_AKUN)),1,0)</f>
        <v>308</v>
      </c>
      <c r="R483" s="104" t="str">
        <f aca="false">IF(OR(C483&amp;D483="",N(E483)=0),"",IF(OR(O483="?",P483="?"),"⚠ akun tidak dikenal",IF(C483=D483,"⚠ debet = kredit","")))</f>
        <v/>
      </c>
    </row>
    <row r="484" customFormat="false" ht="15" hidden="false" customHeight="false" outlineLevel="0" collapsed="false">
      <c r="A484" s="82" t="s">
        <v>1292</v>
      </c>
      <c r="B484" s="101" t="n">
        <v>46122</v>
      </c>
      <c r="C484" s="82" t="s">
        <v>486</v>
      </c>
      <c r="D484" s="82" t="s">
        <v>557</v>
      </c>
      <c r="E484" s="91" t="n">
        <v>800</v>
      </c>
      <c r="F484" s="82" t="s">
        <v>1268</v>
      </c>
      <c r="G484" s="82"/>
      <c r="H484" s="82"/>
      <c r="I484" s="82" t="s">
        <v>250</v>
      </c>
      <c r="J484" s="102" t="n">
        <f aca="false">IF(B484="","",MONTH(B484))</f>
        <v>4</v>
      </c>
      <c r="K484" s="102" t="n">
        <f aca="false">IF(B484="","",YEAR(B484))</f>
        <v>2026</v>
      </c>
      <c r="L484" s="102" t="str">
        <f aca="false">IF(N(E484)=0,"",IF(COUNTIFS(AK_NAMA,C484,AK_KAT,"KAS")+COUNTIFS(AK_NAMA,D484,AK_KAT,"KAS")&lt;&gt;1,"",IF(COUNTIFS(AK_NAMA,C484,AK_KAT,"KAS")=1,D484,C484)))</f>
        <v>Pendapatan Lainnya</v>
      </c>
      <c r="M484" s="103" t="n">
        <f aca="false">IF(L484="",0,IF(L484=D484,E484,-E484))</f>
        <v>800</v>
      </c>
      <c r="N484" s="102" t="str">
        <f aca="false">IF(L484="","",IFERROR(INDEX(AK_BARIS,MATCH(L484,AK_NAMA,0)),"?"))</f>
        <v>OP2</v>
      </c>
      <c r="O484" s="102" t="str">
        <f aca="false">IF(C484="","",IFERROR(INDEX(AK_KEL,MATCH(C484,AK_NAMA,0)),"?"))</f>
        <v>ASET</v>
      </c>
      <c r="P484" s="102" t="str">
        <f aca="false">IF(D484="","",IFERROR(INDEX(AK_KEL,MATCH(D484,AK_NAMA,0)),"?"))</f>
        <v>PENDAPATAN</v>
      </c>
      <c r="Q484" s="102" t="n">
        <f aca="false">N(Q483)+IF(AND(N(E484)&lt;&gt;0,K484=TAHUN,N(J484)&lt;=BLN,OR(C484=BB_AKUN,D484=BB_AKUN)),1,0)</f>
        <v>308</v>
      </c>
      <c r="R484" s="104" t="str">
        <f aca="false">IF(OR(C484&amp;D484="",N(E484)=0),"",IF(OR(O484="?",P484="?"),"⚠ akun tidak dikenal",IF(C484=D484,"⚠ debet = kredit","")))</f>
        <v/>
      </c>
    </row>
    <row r="485" customFormat="false" ht="15" hidden="false" customHeight="false" outlineLevel="0" collapsed="false">
      <c r="A485" s="82" t="s">
        <v>1293</v>
      </c>
      <c r="B485" s="101" t="n">
        <v>46122</v>
      </c>
      <c r="C485" s="82" t="s">
        <v>470</v>
      </c>
      <c r="D485" s="82" t="s">
        <v>461</v>
      </c>
      <c r="E485" s="91" t="n">
        <v>190000</v>
      </c>
      <c r="F485" s="82" t="s">
        <v>1294</v>
      </c>
      <c r="G485" s="82"/>
      <c r="H485" s="82"/>
      <c r="I485" s="82" t="s">
        <v>250</v>
      </c>
      <c r="J485" s="102" t="n">
        <f aca="false">IF(B485="","",MONTH(B485))</f>
        <v>4</v>
      </c>
      <c r="K485" s="102" t="n">
        <f aca="false">IF(B485="","",YEAR(B485))</f>
        <v>2026</v>
      </c>
      <c r="L485" s="102" t="str">
        <f aca="false">IF(N(E485)=0,"",IF(COUNTIFS(AK_NAMA,C485,AK_KAT,"KAS")+COUNTIFS(AK_NAMA,D485,AK_KAT,"KAS")&lt;&gt;1,"",IF(COUNTIFS(AK_NAMA,C485,AK_KAT,"KAS")=1,D485,C485)))</f>
        <v>Biaya Bahan Baku</v>
      </c>
      <c r="M485" s="103" t="n">
        <f aca="false">IF(L485="",0,IF(L485=D485,E485,-E485))</f>
        <v>-190000</v>
      </c>
      <c r="N485" s="102" t="str">
        <f aca="false">IF(L485="","",IFERROR(INDEX(AK_BARIS,MATCH(L485,AK_NAMA,0)),"?"))</f>
        <v>OP3</v>
      </c>
      <c r="O485" s="102" t="str">
        <f aca="false">IF(C485="","",IFERROR(INDEX(AK_KEL,MATCH(C485,AK_NAMA,0)),"?"))</f>
        <v>BEBAN</v>
      </c>
      <c r="P485" s="102" t="str">
        <f aca="false">IF(D485="","",IFERROR(INDEX(AK_KEL,MATCH(D485,AK_NAMA,0)),"?"))</f>
        <v>ASET</v>
      </c>
      <c r="Q485" s="102" t="n">
        <f aca="false">N(Q484)+IF(AND(N(E485)&lt;&gt;0,K485=TAHUN,N(J485)&lt;=BLN,OR(C485=BB_AKUN,D485=BB_AKUN)),1,0)</f>
        <v>309</v>
      </c>
      <c r="R485" s="104" t="str">
        <f aca="false">IF(OR(C485&amp;D485="",N(E485)=0),"",IF(OR(O485="?",P485="?"),"⚠ akun tidak dikenal",IF(C485=D485,"⚠ debet = kredit","")))</f>
        <v/>
      </c>
    </row>
    <row r="486" customFormat="false" ht="15" hidden="false" customHeight="false" outlineLevel="0" collapsed="false">
      <c r="A486" s="82" t="s">
        <v>1295</v>
      </c>
      <c r="B486" s="101" t="n">
        <v>46122</v>
      </c>
      <c r="C486" s="82" t="s">
        <v>470</v>
      </c>
      <c r="D486" s="82" t="s">
        <v>461</v>
      </c>
      <c r="E486" s="91" t="n">
        <v>2450000</v>
      </c>
      <c r="F486" s="82" t="s">
        <v>1296</v>
      </c>
      <c r="G486" s="82"/>
      <c r="H486" s="82"/>
      <c r="I486" s="82" t="s">
        <v>250</v>
      </c>
      <c r="J486" s="102" t="n">
        <f aca="false">IF(B486="","",MONTH(B486))</f>
        <v>4</v>
      </c>
      <c r="K486" s="102" t="n">
        <f aca="false">IF(B486="","",YEAR(B486))</f>
        <v>2026</v>
      </c>
      <c r="L486" s="102" t="str">
        <f aca="false">IF(N(E486)=0,"",IF(COUNTIFS(AK_NAMA,C486,AK_KAT,"KAS")+COUNTIFS(AK_NAMA,D486,AK_KAT,"KAS")&lt;&gt;1,"",IF(COUNTIFS(AK_NAMA,C486,AK_KAT,"KAS")=1,D486,C486)))</f>
        <v>Biaya Bahan Baku</v>
      </c>
      <c r="M486" s="103" t="n">
        <f aca="false">IF(L486="",0,IF(L486=D486,E486,-E486))</f>
        <v>-2450000</v>
      </c>
      <c r="N486" s="102" t="str">
        <f aca="false">IF(L486="","",IFERROR(INDEX(AK_BARIS,MATCH(L486,AK_NAMA,0)),"?"))</f>
        <v>OP3</v>
      </c>
      <c r="O486" s="102" t="str">
        <f aca="false">IF(C486="","",IFERROR(INDEX(AK_KEL,MATCH(C486,AK_NAMA,0)),"?"))</f>
        <v>BEBAN</v>
      </c>
      <c r="P486" s="102" t="str">
        <f aca="false">IF(D486="","",IFERROR(INDEX(AK_KEL,MATCH(D486,AK_NAMA,0)),"?"))</f>
        <v>ASET</v>
      </c>
      <c r="Q486" s="102" t="n">
        <f aca="false">N(Q485)+IF(AND(N(E486)&lt;&gt;0,K486=TAHUN,N(J486)&lt;=BLN,OR(C486=BB_AKUN,D486=BB_AKUN)),1,0)</f>
        <v>310</v>
      </c>
      <c r="R486" s="104" t="str">
        <f aca="false">IF(OR(C486&amp;D486="",N(E486)=0),"",IF(OR(O486="?",P486="?"),"⚠ akun tidak dikenal",IF(C486=D486,"⚠ debet = kredit","")))</f>
        <v/>
      </c>
    </row>
    <row r="487" customFormat="false" ht="15" hidden="false" customHeight="false" outlineLevel="0" collapsed="false">
      <c r="A487" s="82" t="s">
        <v>1297</v>
      </c>
      <c r="B487" s="101" t="n">
        <v>46123</v>
      </c>
      <c r="C487" s="82" t="s">
        <v>461</v>
      </c>
      <c r="D487" s="82" t="s">
        <v>475</v>
      </c>
      <c r="E487" s="91" t="n">
        <v>9000000</v>
      </c>
      <c r="F487" s="82" t="s">
        <v>1298</v>
      </c>
      <c r="G487" s="82"/>
      <c r="H487" s="82"/>
      <c r="I487" s="82" t="s">
        <v>250</v>
      </c>
      <c r="J487" s="102" t="n">
        <f aca="false">IF(B487="","",MONTH(B487))</f>
        <v>4</v>
      </c>
      <c r="K487" s="102" t="n">
        <f aca="false">IF(B487="","",YEAR(B487))</f>
        <v>2026</v>
      </c>
      <c r="L487" s="102" t="str">
        <f aca="false">IF(N(E487)=0,"",IF(COUNTIFS(AK_NAMA,C487,AK_KAT,"KAS")+COUNTIFS(AK_NAMA,D487,AK_KAT,"KAS")&lt;&gt;1,"",IF(COUNTIFS(AK_NAMA,C487,AK_KAT,"KAS")=1,D487,C487)))</f>
        <v/>
      </c>
      <c r="M487" s="103" t="n">
        <f aca="false">IF(L487="",0,IF(L487=D487,E487,-E487))</f>
        <v>0</v>
      </c>
      <c r="N487" s="102" t="str">
        <f aca="false">IF(L487="","",IFERROR(INDEX(AK_BARIS,MATCH(L487,AK_NAMA,0)),"?"))</f>
        <v/>
      </c>
      <c r="O487" s="102" t="str">
        <f aca="false">IF(C487="","",IFERROR(INDEX(AK_KEL,MATCH(C487,AK_NAMA,0)),"?"))</f>
        <v>ASET</v>
      </c>
      <c r="P487" s="102" t="str">
        <f aca="false">IF(D487="","",IFERROR(INDEX(AK_KEL,MATCH(D487,AK_NAMA,0)),"?"))</f>
        <v>ASET</v>
      </c>
      <c r="Q487" s="102" t="n">
        <f aca="false">N(Q486)+IF(AND(N(E487)&lt;&gt;0,K487=TAHUN,N(J487)&lt;=BLN,OR(C487=BB_AKUN,D487=BB_AKUN)),1,0)</f>
        <v>311</v>
      </c>
      <c r="R487" s="104" t="str">
        <f aca="false">IF(OR(C487&amp;D487="",N(E487)=0),"",IF(OR(O487="?",P487="?"),"⚠ akun tidak dikenal",IF(C487=D487,"⚠ debet = kredit","")))</f>
        <v/>
      </c>
    </row>
    <row r="488" customFormat="false" ht="15" hidden="false" customHeight="false" outlineLevel="0" collapsed="false">
      <c r="A488" s="82" t="s">
        <v>1299</v>
      </c>
      <c r="B488" s="101" t="n">
        <v>46123</v>
      </c>
      <c r="C488" s="82" t="s">
        <v>672</v>
      </c>
      <c r="D488" s="82" t="s">
        <v>461</v>
      </c>
      <c r="E488" s="91" t="n">
        <v>265895</v>
      </c>
      <c r="F488" s="82" t="s">
        <v>1300</v>
      </c>
      <c r="G488" s="82"/>
      <c r="H488" s="82"/>
      <c r="I488" s="82" t="s">
        <v>250</v>
      </c>
      <c r="J488" s="102" t="n">
        <f aca="false">IF(B488="","",MONTH(B488))</f>
        <v>4</v>
      </c>
      <c r="K488" s="102" t="n">
        <f aca="false">IF(B488="","",YEAR(B488))</f>
        <v>2026</v>
      </c>
      <c r="L488" s="102" t="str">
        <f aca="false">IF(N(E488)=0,"",IF(COUNTIFS(AK_NAMA,C488,AK_KAT,"KAS")+COUNTIFS(AK_NAMA,D488,AK_KAT,"KAS")&lt;&gt;1,"",IF(COUNTIFS(AK_NAMA,C488,AK_KAT,"KAS")=1,D488,C488)))</f>
        <v>Peralatan</v>
      </c>
      <c r="M488" s="103" t="n">
        <f aca="false">IF(L488="",0,IF(L488=D488,E488,-E488))</f>
        <v>-265895</v>
      </c>
      <c r="N488" s="102" t="str">
        <f aca="false">IF(L488="","",IFERROR(INDEX(AK_BARIS,MATCH(L488,AK_NAMA,0)),"?"))</f>
        <v>IN1</v>
      </c>
      <c r="O488" s="102" t="str">
        <f aca="false">IF(C488="","",IFERROR(INDEX(AK_KEL,MATCH(C488,AK_NAMA,0)),"?"))</f>
        <v>ASET</v>
      </c>
      <c r="P488" s="102" t="str">
        <f aca="false">IF(D488="","",IFERROR(INDEX(AK_KEL,MATCH(D488,AK_NAMA,0)),"?"))</f>
        <v>ASET</v>
      </c>
      <c r="Q488" s="102" t="n">
        <f aca="false">N(Q487)+IF(AND(N(E488)&lt;&gt;0,K488=TAHUN,N(J488)&lt;=BLN,OR(C488=BB_AKUN,D488=BB_AKUN)),1,0)</f>
        <v>312</v>
      </c>
      <c r="R488" s="104" t="str">
        <f aca="false">IF(OR(C488&amp;D488="",N(E488)=0),"",IF(OR(O488="?",P488="?"),"⚠ akun tidak dikenal",IF(C488=D488,"⚠ debet = kredit","")))</f>
        <v/>
      </c>
    </row>
    <row r="489" customFormat="false" ht="15" hidden="false" customHeight="false" outlineLevel="0" collapsed="false">
      <c r="A489" s="82" t="s">
        <v>1301</v>
      </c>
      <c r="B489" s="101" t="n">
        <v>46123</v>
      </c>
      <c r="C489" s="82" t="s">
        <v>470</v>
      </c>
      <c r="D489" s="82" t="s">
        <v>461</v>
      </c>
      <c r="E489" s="91" t="n">
        <v>159000</v>
      </c>
      <c r="F489" s="82" t="s">
        <v>1302</v>
      </c>
      <c r="G489" s="82"/>
      <c r="H489" s="82"/>
      <c r="I489" s="82" t="s">
        <v>250</v>
      </c>
      <c r="J489" s="102" t="n">
        <f aca="false">IF(B489="","",MONTH(B489))</f>
        <v>4</v>
      </c>
      <c r="K489" s="102" t="n">
        <f aca="false">IF(B489="","",YEAR(B489))</f>
        <v>2026</v>
      </c>
      <c r="L489" s="102" t="str">
        <f aca="false">IF(N(E489)=0,"",IF(COUNTIFS(AK_NAMA,C489,AK_KAT,"KAS")+COUNTIFS(AK_NAMA,D489,AK_KAT,"KAS")&lt;&gt;1,"",IF(COUNTIFS(AK_NAMA,C489,AK_KAT,"KAS")=1,D489,C489)))</f>
        <v>Biaya Bahan Baku</v>
      </c>
      <c r="M489" s="103" t="n">
        <f aca="false">IF(L489="",0,IF(L489=D489,E489,-E489))</f>
        <v>-159000</v>
      </c>
      <c r="N489" s="102" t="str">
        <f aca="false">IF(L489="","",IFERROR(INDEX(AK_BARIS,MATCH(L489,AK_NAMA,0)),"?"))</f>
        <v>OP3</v>
      </c>
      <c r="O489" s="102" t="str">
        <f aca="false">IF(C489="","",IFERROR(INDEX(AK_KEL,MATCH(C489,AK_NAMA,0)),"?"))</f>
        <v>BEBAN</v>
      </c>
      <c r="P489" s="102" t="str">
        <f aca="false">IF(D489="","",IFERROR(INDEX(AK_KEL,MATCH(D489,AK_NAMA,0)),"?"))</f>
        <v>ASET</v>
      </c>
      <c r="Q489" s="102" t="n">
        <f aca="false">N(Q488)+IF(AND(N(E489)&lt;&gt;0,K489=TAHUN,N(J489)&lt;=BLN,OR(C489=BB_AKUN,D489=BB_AKUN)),1,0)</f>
        <v>313</v>
      </c>
      <c r="R489" s="104" t="str">
        <f aca="false">IF(OR(C489&amp;D489="",N(E489)=0),"",IF(OR(O489="?",P489="?"),"⚠ akun tidak dikenal",IF(C489=D489,"⚠ debet = kredit","")))</f>
        <v/>
      </c>
    </row>
    <row r="490" customFormat="false" ht="15" hidden="false" customHeight="false" outlineLevel="0" collapsed="false">
      <c r="A490" s="82" t="s">
        <v>1303</v>
      </c>
      <c r="B490" s="101" t="n">
        <v>46123</v>
      </c>
      <c r="C490" s="82" t="s">
        <v>524</v>
      </c>
      <c r="D490" s="82" t="s">
        <v>461</v>
      </c>
      <c r="E490" s="91" t="n">
        <v>382</v>
      </c>
      <c r="F490" s="82" t="s">
        <v>525</v>
      </c>
      <c r="G490" s="82"/>
      <c r="H490" s="82"/>
      <c r="I490" s="82" t="s">
        <v>250</v>
      </c>
      <c r="J490" s="102" t="n">
        <f aca="false">IF(B490="","",MONTH(B490))</f>
        <v>4</v>
      </c>
      <c r="K490" s="102" t="n">
        <f aca="false">IF(B490="","",YEAR(B490))</f>
        <v>2026</v>
      </c>
      <c r="L490" s="102" t="str">
        <f aca="false">IF(N(E490)=0,"",IF(COUNTIFS(AK_NAMA,C490,AK_KAT,"KAS")+COUNTIFS(AK_NAMA,D490,AK_KAT,"KAS")&lt;&gt;1,"",IF(COUNTIFS(AK_NAMA,C490,AK_KAT,"KAS")=1,D490,C490)))</f>
        <v>Biaya Lainnya</v>
      </c>
      <c r="M490" s="103" t="n">
        <f aca="false">IF(L490="",0,IF(L490=D490,E490,-E490))</f>
        <v>-382</v>
      </c>
      <c r="N490" s="102" t="str">
        <f aca="false">IF(L490="","",IFERROR(INDEX(AK_BARIS,MATCH(L490,AK_NAMA,0)),"?"))</f>
        <v>OP2</v>
      </c>
      <c r="O490" s="102" t="str">
        <f aca="false">IF(C490="","",IFERROR(INDEX(AK_KEL,MATCH(C490,AK_NAMA,0)),"?"))</f>
        <v>BEBAN</v>
      </c>
      <c r="P490" s="102" t="str">
        <f aca="false">IF(D490="","",IFERROR(INDEX(AK_KEL,MATCH(D490,AK_NAMA,0)),"?"))</f>
        <v>ASET</v>
      </c>
      <c r="Q490" s="102" t="n">
        <f aca="false">N(Q489)+IF(AND(N(E490)&lt;&gt;0,K490=TAHUN,N(J490)&lt;=BLN,OR(C490=BB_AKUN,D490=BB_AKUN)),1,0)</f>
        <v>314</v>
      </c>
      <c r="R490" s="104" t="str">
        <f aca="false">IF(OR(C490&amp;D490="",N(E490)=0),"",IF(OR(O490="?",P490="?"),"⚠ akun tidak dikenal",IF(C490=D490,"⚠ debet = kredit","")))</f>
        <v/>
      </c>
    </row>
    <row r="491" customFormat="false" ht="15" hidden="false" customHeight="false" outlineLevel="0" collapsed="false">
      <c r="A491" s="82" t="s">
        <v>1304</v>
      </c>
      <c r="B491" s="101" t="n">
        <v>46125</v>
      </c>
      <c r="C491" s="82" t="s">
        <v>470</v>
      </c>
      <c r="D491" s="82" t="s">
        <v>461</v>
      </c>
      <c r="E491" s="91" t="n">
        <v>190000</v>
      </c>
      <c r="F491" s="82" t="s">
        <v>1156</v>
      </c>
      <c r="G491" s="82"/>
      <c r="H491" s="82"/>
      <c r="I491" s="82" t="s">
        <v>250</v>
      </c>
      <c r="J491" s="102" t="n">
        <f aca="false">IF(B491="","",MONTH(B491))</f>
        <v>4</v>
      </c>
      <c r="K491" s="102" t="n">
        <f aca="false">IF(B491="","",YEAR(B491))</f>
        <v>2026</v>
      </c>
      <c r="L491" s="102" t="str">
        <f aca="false">IF(N(E491)=0,"",IF(COUNTIFS(AK_NAMA,C491,AK_KAT,"KAS")+COUNTIFS(AK_NAMA,D491,AK_KAT,"KAS")&lt;&gt;1,"",IF(COUNTIFS(AK_NAMA,C491,AK_KAT,"KAS")=1,D491,C491)))</f>
        <v>Biaya Bahan Baku</v>
      </c>
      <c r="M491" s="103" t="n">
        <f aca="false">IF(L491="",0,IF(L491=D491,E491,-E491))</f>
        <v>-190000</v>
      </c>
      <c r="N491" s="102" t="str">
        <f aca="false">IF(L491="","",IFERROR(INDEX(AK_BARIS,MATCH(L491,AK_NAMA,0)),"?"))</f>
        <v>OP3</v>
      </c>
      <c r="O491" s="102" t="str">
        <f aca="false">IF(C491="","",IFERROR(INDEX(AK_KEL,MATCH(C491,AK_NAMA,0)),"?"))</f>
        <v>BEBAN</v>
      </c>
      <c r="P491" s="102" t="str">
        <f aca="false">IF(D491="","",IFERROR(INDEX(AK_KEL,MATCH(D491,AK_NAMA,0)),"?"))</f>
        <v>ASET</v>
      </c>
      <c r="Q491" s="102" t="n">
        <f aca="false">N(Q490)+IF(AND(N(E491)&lt;&gt;0,K491=TAHUN,N(J491)&lt;=BLN,OR(C491=BB_AKUN,D491=BB_AKUN)),1,0)</f>
        <v>315</v>
      </c>
      <c r="R491" s="104" t="str">
        <f aca="false">IF(OR(C491&amp;D491="",N(E491)=0),"",IF(OR(O491="?",P491="?"),"⚠ akun tidak dikenal",IF(C491=D491,"⚠ debet = kredit","")))</f>
        <v/>
      </c>
    </row>
    <row r="492" customFormat="false" ht="15" hidden="false" customHeight="false" outlineLevel="0" collapsed="false">
      <c r="A492" s="82" t="s">
        <v>1305</v>
      </c>
      <c r="B492" s="101" t="n">
        <v>46125</v>
      </c>
      <c r="C492" s="82" t="s">
        <v>486</v>
      </c>
      <c r="D492" s="82" t="s">
        <v>461</v>
      </c>
      <c r="E492" s="91" t="n">
        <v>1000000</v>
      </c>
      <c r="F492" s="82" t="s">
        <v>1306</v>
      </c>
      <c r="G492" s="82"/>
      <c r="H492" s="82"/>
      <c r="I492" s="82" t="s">
        <v>250</v>
      </c>
      <c r="J492" s="102" t="n">
        <f aca="false">IF(B492="","",MONTH(B492))</f>
        <v>4</v>
      </c>
      <c r="K492" s="102" t="n">
        <f aca="false">IF(B492="","",YEAR(B492))</f>
        <v>2026</v>
      </c>
      <c r="L492" s="102" t="str">
        <f aca="false">IF(N(E492)=0,"",IF(COUNTIFS(AK_NAMA,C492,AK_KAT,"KAS")+COUNTIFS(AK_NAMA,D492,AK_KAT,"KAS")&lt;&gt;1,"",IF(COUNTIFS(AK_NAMA,C492,AK_KAT,"KAS")=1,D492,C492)))</f>
        <v/>
      </c>
      <c r="M492" s="103" t="n">
        <f aca="false">IF(L492="",0,IF(L492=D492,E492,-E492))</f>
        <v>0</v>
      </c>
      <c r="N492" s="102" t="str">
        <f aca="false">IF(L492="","",IFERROR(INDEX(AK_BARIS,MATCH(L492,AK_NAMA,0)),"?"))</f>
        <v/>
      </c>
      <c r="O492" s="102" t="str">
        <f aca="false">IF(C492="","",IFERROR(INDEX(AK_KEL,MATCH(C492,AK_NAMA,0)),"?"))</f>
        <v>ASET</v>
      </c>
      <c r="P492" s="102" t="str">
        <f aca="false">IF(D492="","",IFERROR(INDEX(AK_KEL,MATCH(D492,AK_NAMA,0)),"?"))</f>
        <v>ASET</v>
      </c>
      <c r="Q492" s="102" t="n">
        <f aca="false">N(Q491)+IF(AND(N(E492)&lt;&gt;0,K492=TAHUN,N(J492)&lt;=BLN,OR(C492=BB_AKUN,D492=BB_AKUN)),1,0)</f>
        <v>316</v>
      </c>
      <c r="R492" s="104" t="str">
        <f aca="false">IF(OR(C492&amp;D492="",N(E492)=0),"",IF(OR(O492="?",P492="?"),"⚠ akun tidak dikenal",IF(C492=D492,"⚠ debet = kredit","")))</f>
        <v/>
      </c>
    </row>
    <row r="493" customFormat="false" ht="15" hidden="false" customHeight="false" outlineLevel="0" collapsed="false">
      <c r="A493" s="82" t="s">
        <v>1307</v>
      </c>
      <c r="B493" s="101" t="n">
        <v>46125</v>
      </c>
      <c r="C493" s="82" t="s">
        <v>524</v>
      </c>
      <c r="D493" s="82" t="s">
        <v>461</v>
      </c>
      <c r="E493" s="91" t="n">
        <v>407</v>
      </c>
      <c r="F493" s="82" t="s">
        <v>1254</v>
      </c>
      <c r="G493" s="82"/>
      <c r="H493" s="82"/>
      <c r="I493" s="82" t="s">
        <v>250</v>
      </c>
      <c r="J493" s="102" t="n">
        <f aca="false">IF(B493="","",MONTH(B493))</f>
        <v>4</v>
      </c>
      <c r="K493" s="102" t="n">
        <f aca="false">IF(B493="","",YEAR(B493))</f>
        <v>2026</v>
      </c>
      <c r="L493" s="102" t="str">
        <f aca="false">IF(N(E493)=0,"",IF(COUNTIFS(AK_NAMA,C493,AK_KAT,"KAS")+COUNTIFS(AK_NAMA,D493,AK_KAT,"KAS")&lt;&gt;1,"",IF(COUNTIFS(AK_NAMA,C493,AK_KAT,"KAS")=1,D493,C493)))</f>
        <v>Biaya Lainnya</v>
      </c>
      <c r="M493" s="103" t="n">
        <f aca="false">IF(L493="",0,IF(L493=D493,E493,-E493))</f>
        <v>-407</v>
      </c>
      <c r="N493" s="102" t="str">
        <f aca="false">IF(L493="","",IFERROR(INDEX(AK_BARIS,MATCH(L493,AK_NAMA,0)),"?"))</f>
        <v>OP2</v>
      </c>
      <c r="O493" s="102" t="str">
        <f aca="false">IF(C493="","",IFERROR(INDEX(AK_KEL,MATCH(C493,AK_NAMA,0)),"?"))</f>
        <v>BEBAN</v>
      </c>
      <c r="P493" s="102" t="str">
        <f aca="false">IF(D493="","",IFERROR(INDEX(AK_KEL,MATCH(D493,AK_NAMA,0)),"?"))</f>
        <v>ASET</v>
      </c>
      <c r="Q493" s="102" t="n">
        <f aca="false">N(Q492)+IF(AND(N(E493)&lt;&gt;0,K493=TAHUN,N(J493)&lt;=BLN,OR(C493=BB_AKUN,D493=BB_AKUN)),1,0)</f>
        <v>317</v>
      </c>
      <c r="R493" s="104" t="str">
        <f aca="false">IF(OR(C493&amp;D493="",N(E493)=0),"",IF(OR(O493="?",P493="?"),"⚠ akun tidak dikenal",IF(C493=D493,"⚠ debet = kredit","")))</f>
        <v/>
      </c>
    </row>
    <row r="494" customFormat="false" ht="15" hidden="false" customHeight="false" outlineLevel="0" collapsed="false">
      <c r="A494" s="82" t="s">
        <v>1308</v>
      </c>
      <c r="B494" s="101" t="n">
        <v>46125</v>
      </c>
      <c r="C494" s="82" t="s">
        <v>470</v>
      </c>
      <c r="D494" s="82" t="s">
        <v>461</v>
      </c>
      <c r="E494" s="91" t="n">
        <v>652000</v>
      </c>
      <c r="F494" s="82" t="s">
        <v>1309</v>
      </c>
      <c r="G494" s="82"/>
      <c r="H494" s="82"/>
      <c r="I494" s="82" t="s">
        <v>250</v>
      </c>
      <c r="J494" s="102" t="n">
        <f aca="false">IF(B494="","",MONTH(B494))</f>
        <v>4</v>
      </c>
      <c r="K494" s="102" t="n">
        <f aca="false">IF(B494="","",YEAR(B494))</f>
        <v>2026</v>
      </c>
      <c r="L494" s="102" t="str">
        <f aca="false">IF(N(E494)=0,"",IF(COUNTIFS(AK_NAMA,C494,AK_KAT,"KAS")+COUNTIFS(AK_NAMA,D494,AK_KAT,"KAS")&lt;&gt;1,"",IF(COUNTIFS(AK_NAMA,C494,AK_KAT,"KAS")=1,D494,C494)))</f>
        <v>Biaya Bahan Baku</v>
      </c>
      <c r="M494" s="103" t="n">
        <f aca="false">IF(L494="",0,IF(L494=D494,E494,-E494))</f>
        <v>-652000</v>
      </c>
      <c r="N494" s="102" t="str">
        <f aca="false">IF(L494="","",IFERROR(INDEX(AK_BARIS,MATCH(L494,AK_NAMA,0)),"?"))</f>
        <v>OP3</v>
      </c>
      <c r="O494" s="102" t="str">
        <f aca="false">IF(C494="","",IFERROR(INDEX(AK_KEL,MATCH(C494,AK_NAMA,0)),"?"))</f>
        <v>BEBAN</v>
      </c>
      <c r="P494" s="102" t="str">
        <f aca="false">IF(D494="","",IFERROR(INDEX(AK_KEL,MATCH(D494,AK_NAMA,0)),"?"))</f>
        <v>ASET</v>
      </c>
      <c r="Q494" s="102" t="n">
        <f aca="false">N(Q493)+IF(AND(N(E494)&lt;&gt;0,K494=TAHUN,N(J494)&lt;=BLN,OR(C494=BB_AKUN,D494=BB_AKUN)),1,0)</f>
        <v>318</v>
      </c>
      <c r="R494" s="104" t="str">
        <f aca="false">IF(OR(C494&amp;D494="",N(E494)=0),"",IF(OR(O494="?",P494="?"),"⚠ akun tidak dikenal",IF(C494=D494,"⚠ debet = kredit","")))</f>
        <v/>
      </c>
    </row>
    <row r="495" customFormat="false" ht="15" hidden="false" customHeight="false" outlineLevel="0" collapsed="false">
      <c r="A495" s="82" t="s">
        <v>1310</v>
      </c>
      <c r="B495" s="101" t="n">
        <v>46126</v>
      </c>
      <c r="C495" s="82" t="s">
        <v>455</v>
      </c>
      <c r="D495" s="82" t="s">
        <v>461</v>
      </c>
      <c r="E495" s="91" t="n">
        <v>336010</v>
      </c>
      <c r="F495" s="82" t="s">
        <v>1311</v>
      </c>
      <c r="G495" s="82"/>
      <c r="H495" s="82"/>
      <c r="I495" s="82" t="s">
        <v>250</v>
      </c>
      <c r="J495" s="102" t="n">
        <f aca="false">IF(B495="","",MONTH(B495))</f>
        <v>4</v>
      </c>
      <c r="K495" s="102" t="n">
        <f aca="false">IF(B495="","",YEAR(B495))</f>
        <v>2026</v>
      </c>
      <c r="L495" s="102" t="str">
        <f aca="false">IF(N(E495)=0,"",IF(COUNTIFS(AK_NAMA,C495,AK_KAT,"KAS")+COUNTIFS(AK_NAMA,D495,AK_KAT,"KAS")&lt;&gt;1,"",IF(COUNTIFS(AK_NAMA,C495,AK_KAT,"KAS")=1,D495,C495)))</f>
        <v>Biaya Pemeliharaan</v>
      </c>
      <c r="M495" s="103" t="n">
        <f aca="false">IF(L495="",0,IF(L495=D495,E495,-E495))</f>
        <v>-336010</v>
      </c>
      <c r="N495" s="102" t="str">
        <f aca="false">IF(L495="","",IFERROR(INDEX(AK_BARIS,MATCH(L495,AK_NAMA,0)),"?"))</f>
        <v>OP6</v>
      </c>
      <c r="O495" s="102" t="str">
        <f aca="false">IF(C495="","",IFERROR(INDEX(AK_KEL,MATCH(C495,AK_NAMA,0)),"?"))</f>
        <v>BEBAN</v>
      </c>
      <c r="P495" s="102" t="str">
        <f aca="false">IF(D495="","",IFERROR(INDEX(AK_KEL,MATCH(D495,AK_NAMA,0)),"?"))</f>
        <v>ASET</v>
      </c>
      <c r="Q495" s="102" t="n">
        <f aca="false">N(Q494)+IF(AND(N(E495)&lt;&gt;0,K495=TAHUN,N(J495)&lt;=BLN,OR(C495=BB_AKUN,D495=BB_AKUN)),1,0)</f>
        <v>319</v>
      </c>
      <c r="R495" s="104" t="str">
        <f aca="false">IF(OR(C495&amp;D495="",N(E495)=0),"",IF(OR(O495="?",P495="?"),"⚠ akun tidak dikenal",IF(C495=D495,"⚠ debet = kredit","")))</f>
        <v/>
      </c>
    </row>
    <row r="496" customFormat="false" ht="15" hidden="false" customHeight="false" outlineLevel="0" collapsed="false">
      <c r="A496" s="82" t="s">
        <v>1312</v>
      </c>
      <c r="B496" s="101" t="n">
        <v>46126</v>
      </c>
      <c r="C496" s="82" t="s">
        <v>470</v>
      </c>
      <c r="D496" s="82" t="s">
        <v>461</v>
      </c>
      <c r="E496" s="91" t="n">
        <v>1295000</v>
      </c>
      <c r="F496" s="82" t="s">
        <v>1313</v>
      </c>
      <c r="G496" s="82"/>
      <c r="H496" s="82"/>
      <c r="I496" s="82" t="s">
        <v>250</v>
      </c>
      <c r="J496" s="102" t="n">
        <f aca="false">IF(B496="","",MONTH(B496))</f>
        <v>4</v>
      </c>
      <c r="K496" s="102" t="n">
        <f aca="false">IF(B496="","",YEAR(B496))</f>
        <v>2026</v>
      </c>
      <c r="L496" s="102" t="str">
        <f aca="false">IF(N(E496)=0,"",IF(COUNTIFS(AK_NAMA,C496,AK_KAT,"KAS")+COUNTIFS(AK_NAMA,D496,AK_KAT,"KAS")&lt;&gt;1,"",IF(COUNTIFS(AK_NAMA,C496,AK_KAT,"KAS")=1,D496,C496)))</f>
        <v>Biaya Bahan Baku</v>
      </c>
      <c r="M496" s="103" t="n">
        <f aca="false">IF(L496="",0,IF(L496=D496,E496,-E496))</f>
        <v>-1295000</v>
      </c>
      <c r="N496" s="102" t="str">
        <f aca="false">IF(L496="","",IFERROR(INDEX(AK_BARIS,MATCH(L496,AK_NAMA,0)),"?"))</f>
        <v>OP3</v>
      </c>
      <c r="O496" s="102" t="str">
        <f aca="false">IF(C496="","",IFERROR(INDEX(AK_KEL,MATCH(C496,AK_NAMA,0)),"?"))</f>
        <v>BEBAN</v>
      </c>
      <c r="P496" s="102" t="str">
        <f aca="false">IF(D496="","",IFERROR(INDEX(AK_KEL,MATCH(D496,AK_NAMA,0)),"?"))</f>
        <v>ASET</v>
      </c>
      <c r="Q496" s="102" t="n">
        <f aca="false">N(Q495)+IF(AND(N(E496)&lt;&gt;0,K496=TAHUN,N(J496)&lt;=BLN,OR(C496=BB_AKUN,D496=BB_AKUN)),1,0)</f>
        <v>320</v>
      </c>
      <c r="R496" s="104" t="str">
        <f aca="false">IF(OR(C496&amp;D496="",N(E496)=0),"",IF(OR(O496="?",P496="?"),"⚠ akun tidak dikenal",IF(C496=D496,"⚠ debet = kredit","")))</f>
        <v/>
      </c>
    </row>
    <row r="497" customFormat="false" ht="15" hidden="false" customHeight="false" outlineLevel="0" collapsed="false">
      <c r="A497" s="82" t="s">
        <v>1314</v>
      </c>
      <c r="B497" s="101" t="n">
        <v>46126</v>
      </c>
      <c r="C497" s="82" t="s">
        <v>475</v>
      </c>
      <c r="D497" s="82" t="s">
        <v>557</v>
      </c>
      <c r="E497" s="91" t="n">
        <v>200000</v>
      </c>
      <c r="F497" s="82" t="s">
        <v>1315</v>
      </c>
      <c r="G497" s="82"/>
      <c r="H497" s="82"/>
      <c r="I497" s="82" t="s">
        <v>250</v>
      </c>
      <c r="J497" s="102" t="n">
        <f aca="false">IF(B497="","",MONTH(B497))</f>
        <v>4</v>
      </c>
      <c r="K497" s="102" t="n">
        <f aca="false">IF(B497="","",YEAR(B497))</f>
        <v>2026</v>
      </c>
      <c r="L497" s="102" t="str">
        <f aca="false">IF(N(E497)=0,"",IF(COUNTIFS(AK_NAMA,C497,AK_KAT,"KAS")+COUNTIFS(AK_NAMA,D497,AK_KAT,"KAS")&lt;&gt;1,"",IF(COUNTIFS(AK_NAMA,C497,AK_KAT,"KAS")=1,D497,C497)))</f>
        <v>Pendapatan Lainnya</v>
      </c>
      <c r="M497" s="103" t="n">
        <f aca="false">IF(L497="",0,IF(L497=D497,E497,-E497))</f>
        <v>200000</v>
      </c>
      <c r="N497" s="102" t="str">
        <f aca="false">IF(L497="","",IFERROR(INDEX(AK_BARIS,MATCH(L497,AK_NAMA,0)),"?"))</f>
        <v>OP2</v>
      </c>
      <c r="O497" s="102" t="str">
        <f aca="false">IF(C497="","",IFERROR(INDEX(AK_KEL,MATCH(C497,AK_NAMA,0)),"?"))</f>
        <v>ASET</v>
      </c>
      <c r="P497" s="102" t="str">
        <f aca="false">IF(D497="","",IFERROR(INDEX(AK_KEL,MATCH(D497,AK_NAMA,0)),"?"))</f>
        <v>PENDAPATAN</v>
      </c>
      <c r="Q497" s="102" t="n">
        <f aca="false">N(Q496)+IF(AND(N(E497)&lt;&gt;0,K497=TAHUN,N(J497)&lt;=BLN,OR(C497=BB_AKUN,D497=BB_AKUN)),1,0)</f>
        <v>320</v>
      </c>
      <c r="R497" s="104" t="str">
        <f aca="false">IF(OR(C497&amp;D497="",N(E497)=0),"",IF(OR(O497="?",P497="?"),"⚠ akun tidak dikenal",IF(C497=D497,"⚠ debet = kredit","")))</f>
        <v/>
      </c>
    </row>
    <row r="498" customFormat="false" ht="15" hidden="false" customHeight="false" outlineLevel="0" collapsed="false">
      <c r="A498" s="82" t="s">
        <v>1316</v>
      </c>
      <c r="B498" s="101" t="n">
        <v>46126</v>
      </c>
      <c r="C498" s="82" t="s">
        <v>475</v>
      </c>
      <c r="D498" s="82" t="s">
        <v>486</v>
      </c>
      <c r="E498" s="91" t="n">
        <v>61000</v>
      </c>
      <c r="F498" s="82" t="s">
        <v>1142</v>
      </c>
      <c r="G498" s="82"/>
      <c r="H498" s="82"/>
      <c r="I498" s="82" t="s">
        <v>250</v>
      </c>
      <c r="J498" s="102" t="n">
        <f aca="false">IF(B498="","",MONTH(B498))</f>
        <v>4</v>
      </c>
      <c r="K498" s="102" t="n">
        <f aca="false">IF(B498="","",YEAR(B498))</f>
        <v>2026</v>
      </c>
      <c r="L498" s="102" t="str">
        <f aca="false">IF(N(E498)=0,"",IF(COUNTIFS(AK_NAMA,C498,AK_KAT,"KAS")+COUNTIFS(AK_NAMA,D498,AK_KAT,"KAS")&lt;&gt;1,"",IF(COUNTIFS(AK_NAMA,C498,AK_KAT,"KAS")=1,D498,C498)))</f>
        <v/>
      </c>
      <c r="M498" s="103" t="n">
        <f aca="false">IF(L498="",0,IF(L498=D498,E498,-E498))</f>
        <v>0</v>
      </c>
      <c r="N498" s="102" t="str">
        <f aca="false">IF(L498="","",IFERROR(INDEX(AK_BARIS,MATCH(L498,AK_NAMA,0)),"?"))</f>
        <v/>
      </c>
      <c r="O498" s="102" t="str">
        <f aca="false">IF(C498="","",IFERROR(INDEX(AK_KEL,MATCH(C498,AK_NAMA,0)),"?"))</f>
        <v>ASET</v>
      </c>
      <c r="P498" s="102" t="str">
        <f aca="false">IF(D498="","",IFERROR(INDEX(AK_KEL,MATCH(D498,AK_NAMA,0)),"?"))</f>
        <v>ASET</v>
      </c>
      <c r="Q498" s="102" t="n">
        <f aca="false">N(Q497)+IF(AND(N(E498)&lt;&gt;0,K498=TAHUN,N(J498)&lt;=BLN,OR(C498=BB_AKUN,D498=BB_AKUN)),1,0)</f>
        <v>320</v>
      </c>
      <c r="R498" s="104" t="str">
        <f aca="false">IF(OR(C498&amp;D498="",N(E498)=0),"",IF(OR(O498="?",P498="?"),"⚠ akun tidak dikenal",IF(C498=D498,"⚠ debet = kredit","")))</f>
        <v/>
      </c>
    </row>
    <row r="499" customFormat="false" ht="15" hidden="false" customHeight="false" outlineLevel="0" collapsed="false">
      <c r="A499" s="82" t="s">
        <v>1317</v>
      </c>
      <c r="B499" s="101" t="n">
        <v>46126</v>
      </c>
      <c r="C499" s="82" t="s">
        <v>470</v>
      </c>
      <c r="D499" s="82" t="s">
        <v>486</v>
      </c>
      <c r="E499" s="91" t="n">
        <v>210700</v>
      </c>
      <c r="F499" s="82" t="s">
        <v>935</v>
      </c>
      <c r="G499" s="82"/>
      <c r="H499" s="82"/>
      <c r="I499" s="82" t="s">
        <v>250</v>
      </c>
      <c r="J499" s="102" t="n">
        <f aca="false">IF(B499="","",MONTH(B499))</f>
        <v>4</v>
      </c>
      <c r="K499" s="102" t="n">
        <f aca="false">IF(B499="","",YEAR(B499))</f>
        <v>2026</v>
      </c>
      <c r="L499" s="102" t="str">
        <f aca="false">IF(N(E499)=0,"",IF(COUNTIFS(AK_NAMA,C499,AK_KAT,"KAS")+COUNTIFS(AK_NAMA,D499,AK_KAT,"KAS")&lt;&gt;1,"",IF(COUNTIFS(AK_NAMA,C499,AK_KAT,"KAS")=1,D499,C499)))</f>
        <v>Biaya Bahan Baku</v>
      </c>
      <c r="M499" s="103" t="n">
        <f aca="false">IF(L499="",0,IF(L499=D499,E499,-E499))</f>
        <v>-210700</v>
      </c>
      <c r="N499" s="102" t="str">
        <f aca="false">IF(L499="","",IFERROR(INDEX(AK_BARIS,MATCH(L499,AK_NAMA,0)),"?"))</f>
        <v>OP3</v>
      </c>
      <c r="O499" s="102" t="str">
        <f aca="false">IF(C499="","",IFERROR(INDEX(AK_KEL,MATCH(C499,AK_NAMA,0)),"?"))</f>
        <v>BEBAN</v>
      </c>
      <c r="P499" s="102" t="str">
        <f aca="false">IF(D499="","",IFERROR(INDEX(AK_KEL,MATCH(D499,AK_NAMA,0)),"?"))</f>
        <v>ASET</v>
      </c>
      <c r="Q499" s="102" t="n">
        <f aca="false">N(Q498)+IF(AND(N(E499)&lt;&gt;0,K499=TAHUN,N(J499)&lt;=BLN,OR(C499=BB_AKUN,D499=BB_AKUN)),1,0)</f>
        <v>320</v>
      </c>
      <c r="R499" s="104" t="str">
        <f aca="false">IF(OR(C499&amp;D499="",N(E499)=0),"",IF(OR(O499="?",P499="?"),"⚠ akun tidak dikenal",IF(C499=D499,"⚠ debet = kredit","")))</f>
        <v/>
      </c>
    </row>
    <row r="500" customFormat="false" ht="15" hidden="false" customHeight="false" outlineLevel="0" collapsed="false">
      <c r="A500" s="82" t="s">
        <v>1318</v>
      </c>
      <c r="B500" s="101" t="n">
        <v>46126</v>
      </c>
      <c r="C500" s="82" t="s">
        <v>478</v>
      </c>
      <c r="D500" s="82" t="s">
        <v>486</v>
      </c>
      <c r="E500" s="91" t="n">
        <v>205000</v>
      </c>
      <c r="F500" s="82" t="s">
        <v>939</v>
      </c>
      <c r="G500" s="82"/>
      <c r="H500" s="82"/>
      <c r="I500" s="82" t="s">
        <v>250</v>
      </c>
      <c r="J500" s="102" t="n">
        <f aca="false">IF(B500="","",MONTH(B500))</f>
        <v>4</v>
      </c>
      <c r="K500" s="102" t="n">
        <f aca="false">IF(B500="","",YEAR(B500))</f>
        <v>2026</v>
      </c>
      <c r="L500" s="102" t="str">
        <f aca="false">IF(N(E500)=0,"",IF(COUNTIFS(AK_NAMA,C500,AK_KAT,"KAS")+COUNTIFS(AK_NAMA,D500,AK_KAT,"KAS")&lt;&gt;1,"",IF(COUNTIFS(AK_NAMA,C500,AK_KAT,"KAS")=1,D500,C500)))</f>
        <v>Biaya Penyajian</v>
      </c>
      <c r="M500" s="103" t="n">
        <f aca="false">IF(L500="",0,IF(L500=D500,E500,-E500))</f>
        <v>-205000</v>
      </c>
      <c r="N500" s="102" t="str">
        <f aca="false">IF(L500="","",IFERROR(INDEX(AK_BARIS,MATCH(L500,AK_NAMA,0)),"?"))</f>
        <v>OP3</v>
      </c>
      <c r="O500" s="102" t="str">
        <f aca="false">IF(C500="","",IFERROR(INDEX(AK_KEL,MATCH(C500,AK_NAMA,0)),"?"))</f>
        <v>BEBAN</v>
      </c>
      <c r="P500" s="102" t="str">
        <f aca="false">IF(D500="","",IFERROR(INDEX(AK_KEL,MATCH(D500,AK_NAMA,0)),"?"))</f>
        <v>ASET</v>
      </c>
      <c r="Q500" s="102" t="n">
        <f aca="false">N(Q499)+IF(AND(N(E500)&lt;&gt;0,K500=TAHUN,N(J500)&lt;=BLN,OR(C500=BB_AKUN,D500=BB_AKUN)),1,0)</f>
        <v>320</v>
      </c>
      <c r="R500" s="104" t="str">
        <f aca="false">IF(OR(C500&amp;D500="",N(E500)=0),"",IF(OR(O500="?",P500="?"),"⚠ akun tidak dikenal",IF(C500=D500,"⚠ debet = kredit","")))</f>
        <v/>
      </c>
    </row>
    <row r="501" customFormat="false" ht="15" hidden="false" customHeight="false" outlineLevel="0" collapsed="false">
      <c r="A501" s="82" t="s">
        <v>1319</v>
      </c>
      <c r="B501" s="101" t="n">
        <v>46126</v>
      </c>
      <c r="C501" s="82" t="s">
        <v>485</v>
      </c>
      <c r="D501" s="82" t="s">
        <v>486</v>
      </c>
      <c r="E501" s="91" t="n">
        <v>12000</v>
      </c>
      <c r="F501" s="82" t="s">
        <v>553</v>
      </c>
      <c r="G501" s="82"/>
      <c r="H501" s="82"/>
      <c r="I501" s="82" t="s">
        <v>250</v>
      </c>
      <c r="J501" s="102" t="n">
        <f aca="false">IF(B501="","",MONTH(B501))</f>
        <v>4</v>
      </c>
      <c r="K501" s="102" t="n">
        <f aca="false">IF(B501="","",YEAR(B501))</f>
        <v>2026</v>
      </c>
      <c r="L501" s="102" t="str">
        <f aca="false">IF(N(E501)=0,"",IF(COUNTIFS(AK_NAMA,C501,AK_KAT,"KAS")+COUNTIFS(AK_NAMA,D501,AK_KAT,"KAS")&lt;&gt;1,"",IF(COUNTIFS(AK_NAMA,C501,AK_KAT,"KAS")=1,D501,C501)))</f>
        <v>Biaya Operasional Harian</v>
      </c>
      <c r="M501" s="103" t="n">
        <f aca="false">IF(L501="",0,IF(L501=D501,E501,-E501))</f>
        <v>-12000</v>
      </c>
      <c r="N501" s="102" t="str">
        <f aca="false">IF(L501="","",IFERROR(INDEX(AK_BARIS,MATCH(L501,AK_NAMA,0)),"?"))</f>
        <v>OP6</v>
      </c>
      <c r="O501" s="102" t="str">
        <f aca="false">IF(C501="","",IFERROR(INDEX(AK_KEL,MATCH(C501,AK_NAMA,0)),"?"))</f>
        <v>BEBAN</v>
      </c>
      <c r="P501" s="102" t="str">
        <f aca="false">IF(D501="","",IFERROR(INDEX(AK_KEL,MATCH(D501,AK_NAMA,0)),"?"))</f>
        <v>ASET</v>
      </c>
      <c r="Q501" s="102" t="n">
        <f aca="false">N(Q500)+IF(AND(N(E501)&lt;&gt;0,K501=TAHUN,N(J501)&lt;=BLN,OR(C501=BB_AKUN,D501=BB_AKUN)),1,0)</f>
        <v>320</v>
      </c>
      <c r="R501" s="104" t="str">
        <f aca="false">IF(OR(C501&amp;D501="",N(E501)=0),"",IF(OR(O501="?",P501="?"),"⚠ akun tidak dikenal",IF(C501=D501,"⚠ debet = kredit","")))</f>
        <v/>
      </c>
    </row>
    <row r="502" customFormat="false" ht="15" hidden="false" customHeight="false" outlineLevel="0" collapsed="false">
      <c r="A502" s="82" t="s">
        <v>1320</v>
      </c>
      <c r="B502" s="101" t="n">
        <v>46126</v>
      </c>
      <c r="C502" s="82" t="s">
        <v>485</v>
      </c>
      <c r="D502" s="82" t="s">
        <v>486</v>
      </c>
      <c r="E502" s="91" t="n">
        <v>11000</v>
      </c>
      <c r="F502" s="82" t="s">
        <v>555</v>
      </c>
      <c r="G502" s="82"/>
      <c r="H502" s="82"/>
      <c r="I502" s="82" t="s">
        <v>250</v>
      </c>
      <c r="J502" s="102" t="n">
        <f aca="false">IF(B502="","",MONTH(B502))</f>
        <v>4</v>
      </c>
      <c r="K502" s="102" t="n">
        <f aca="false">IF(B502="","",YEAR(B502))</f>
        <v>2026</v>
      </c>
      <c r="L502" s="102" t="str">
        <f aca="false">IF(N(E502)=0,"",IF(COUNTIFS(AK_NAMA,C502,AK_KAT,"KAS")+COUNTIFS(AK_NAMA,D502,AK_KAT,"KAS")&lt;&gt;1,"",IF(COUNTIFS(AK_NAMA,C502,AK_KAT,"KAS")=1,D502,C502)))</f>
        <v>Biaya Operasional Harian</v>
      </c>
      <c r="M502" s="103" t="n">
        <f aca="false">IF(L502="",0,IF(L502=D502,E502,-E502))</f>
        <v>-11000</v>
      </c>
      <c r="N502" s="102" t="str">
        <f aca="false">IF(L502="","",IFERROR(INDEX(AK_BARIS,MATCH(L502,AK_NAMA,0)),"?"))</f>
        <v>OP6</v>
      </c>
      <c r="O502" s="102" t="str">
        <f aca="false">IF(C502="","",IFERROR(INDEX(AK_KEL,MATCH(C502,AK_NAMA,0)),"?"))</f>
        <v>BEBAN</v>
      </c>
      <c r="P502" s="102" t="str">
        <f aca="false">IF(D502="","",IFERROR(INDEX(AK_KEL,MATCH(D502,AK_NAMA,0)),"?"))</f>
        <v>ASET</v>
      </c>
      <c r="Q502" s="102" t="n">
        <f aca="false">N(Q501)+IF(AND(N(E502)&lt;&gt;0,K502=TAHUN,N(J502)&lt;=BLN,OR(C502=BB_AKUN,D502=BB_AKUN)),1,0)</f>
        <v>320</v>
      </c>
      <c r="R502" s="104" t="str">
        <f aca="false">IF(OR(C502&amp;D502="",N(E502)=0),"",IF(OR(O502="?",P502="?"),"⚠ akun tidak dikenal",IF(C502=D502,"⚠ debet = kredit","")))</f>
        <v/>
      </c>
    </row>
    <row r="503" customFormat="false" ht="15" hidden="false" customHeight="false" outlineLevel="0" collapsed="false">
      <c r="A503" s="82" t="s">
        <v>1321</v>
      </c>
      <c r="B503" s="101" t="n">
        <v>46126</v>
      </c>
      <c r="C503" s="82" t="s">
        <v>524</v>
      </c>
      <c r="D503" s="82" t="s">
        <v>486</v>
      </c>
      <c r="E503" s="91" t="n">
        <v>300</v>
      </c>
      <c r="F503" s="82" t="s">
        <v>1268</v>
      </c>
      <c r="G503" s="82"/>
      <c r="H503" s="82"/>
      <c r="I503" s="82" t="s">
        <v>250</v>
      </c>
      <c r="J503" s="102" t="n">
        <f aca="false">IF(B503="","",MONTH(B503))</f>
        <v>4</v>
      </c>
      <c r="K503" s="102" t="n">
        <f aca="false">IF(B503="","",YEAR(B503))</f>
        <v>2026</v>
      </c>
      <c r="L503" s="102" t="str">
        <f aca="false">IF(N(E503)=0,"",IF(COUNTIFS(AK_NAMA,C503,AK_KAT,"KAS")+COUNTIFS(AK_NAMA,D503,AK_KAT,"KAS")&lt;&gt;1,"",IF(COUNTIFS(AK_NAMA,C503,AK_KAT,"KAS")=1,D503,C503)))</f>
        <v>Biaya Lainnya</v>
      </c>
      <c r="M503" s="103" t="n">
        <f aca="false">IF(L503="",0,IF(L503=D503,E503,-E503))</f>
        <v>-300</v>
      </c>
      <c r="N503" s="102" t="str">
        <f aca="false">IF(L503="","",IFERROR(INDEX(AK_BARIS,MATCH(L503,AK_NAMA,0)),"?"))</f>
        <v>OP2</v>
      </c>
      <c r="O503" s="102" t="str">
        <f aca="false">IF(C503="","",IFERROR(INDEX(AK_KEL,MATCH(C503,AK_NAMA,0)),"?"))</f>
        <v>BEBAN</v>
      </c>
      <c r="P503" s="102" t="str">
        <f aca="false">IF(D503="","",IFERROR(INDEX(AK_KEL,MATCH(D503,AK_NAMA,0)),"?"))</f>
        <v>ASET</v>
      </c>
      <c r="Q503" s="102" t="n">
        <f aca="false">N(Q502)+IF(AND(N(E503)&lt;&gt;0,K503=TAHUN,N(J503)&lt;=BLN,OR(C503=BB_AKUN,D503=BB_AKUN)),1,0)</f>
        <v>320</v>
      </c>
      <c r="R503" s="104" t="str">
        <f aca="false">IF(OR(C503&amp;D503="",N(E503)=0),"",IF(OR(O503="?",P503="?"),"⚠ akun tidak dikenal",IF(C503=D503,"⚠ debet = kredit","")))</f>
        <v/>
      </c>
    </row>
    <row r="504" customFormat="false" ht="15" hidden="false" customHeight="false" outlineLevel="0" collapsed="false">
      <c r="A504" s="82" t="s">
        <v>1322</v>
      </c>
      <c r="B504" s="101" t="n">
        <v>46126</v>
      </c>
      <c r="C504" s="82" t="s">
        <v>475</v>
      </c>
      <c r="D504" s="82" t="s">
        <v>486</v>
      </c>
      <c r="E504" s="91" t="n">
        <v>6000</v>
      </c>
      <c r="F504" s="82" t="s">
        <v>1142</v>
      </c>
      <c r="G504" s="82"/>
      <c r="H504" s="82"/>
      <c r="I504" s="82" t="s">
        <v>250</v>
      </c>
      <c r="J504" s="102" t="n">
        <f aca="false">IF(B504="","",MONTH(B504))</f>
        <v>4</v>
      </c>
      <c r="K504" s="102" t="n">
        <f aca="false">IF(B504="","",YEAR(B504))</f>
        <v>2026</v>
      </c>
      <c r="L504" s="102" t="str">
        <f aca="false">IF(N(E504)=0,"",IF(COUNTIFS(AK_NAMA,C504,AK_KAT,"KAS")+COUNTIFS(AK_NAMA,D504,AK_KAT,"KAS")&lt;&gt;1,"",IF(COUNTIFS(AK_NAMA,C504,AK_KAT,"KAS")=1,D504,C504)))</f>
        <v/>
      </c>
      <c r="M504" s="103" t="n">
        <f aca="false">IF(L504="",0,IF(L504=D504,E504,-E504))</f>
        <v>0</v>
      </c>
      <c r="N504" s="102" t="str">
        <f aca="false">IF(L504="","",IFERROR(INDEX(AK_BARIS,MATCH(L504,AK_NAMA,0)),"?"))</f>
        <v/>
      </c>
      <c r="O504" s="102" t="str">
        <f aca="false">IF(C504="","",IFERROR(INDEX(AK_KEL,MATCH(C504,AK_NAMA,0)),"?"))</f>
        <v>ASET</v>
      </c>
      <c r="P504" s="102" t="str">
        <f aca="false">IF(D504="","",IFERROR(INDEX(AK_KEL,MATCH(D504,AK_NAMA,0)),"?"))</f>
        <v>ASET</v>
      </c>
      <c r="Q504" s="102" t="n">
        <f aca="false">N(Q503)+IF(AND(N(E504)&lt;&gt;0,K504=TAHUN,N(J504)&lt;=BLN,OR(C504=BB_AKUN,D504=BB_AKUN)),1,0)</f>
        <v>320</v>
      </c>
      <c r="R504" s="104" t="str">
        <f aca="false">IF(OR(C504&amp;D504="",N(E504)=0),"",IF(OR(O504="?",P504="?"),"⚠ akun tidak dikenal",IF(C504=D504,"⚠ debet = kredit","")))</f>
        <v/>
      </c>
    </row>
    <row r="505" customFormat="false" ht="15" hidden="false" customHeight="false" outlineLevel="0" collapsed="false">
      <c r="A505" s="82" t="s">
        <v>1323</v>
      </c>
      <c r="B505" s="101" t="n">
        <v>46126</v>
      </c>
      <c r="C505" s="82" t="s">
        <v>470</v>
      </c>
      <c r="D505" s="82" t="s">
        <v>486</v>
      </c>
      <c r="E505" s="91" t="n">
        <v>876500</v>
      </c>
      <c r="F505" s="82" t="s">
        <v>935</v>
      </c>
      <c r="G505" s="82"/>
      <c r="H505" s="82"/>
      <c r="I505" s="82" t="s">
        <v>250</v>
      </c>
      <c r="J505" s="102" t="n">
        <f aca="false">IF(B505="","",MONTH(B505))</f>
        <v>4</v>
      </c>
      <c r="K505" s="102" t="n">
        <f aca="false">IF(B505="","",YEAR(B505))</f>
        <v>2026</v>
      </c>
      <c r="L505" s="102" t="str">
        <f aca="false">IF(N(E505)=0,"",IF(COUNTIFS(AK_NAMA,C505,AK_KAT,"KAS")+COUNTIFS(AK_NAMA,D505,AK_KAT,"KAS")&lt;&gt;1,"",IF(COUNTIFS(AK_NAMA,C505,AK_KAT,"KAS")=1,D505,C505)))</f>
        <v>Biaya Bahan Baku</v>
      </c>
      <c r="M505" s="103" t="n">
        <f aca="false">IF(L505="",0,IF(L505=D505,E505,-E505))</f>
        <v>-876500</v>
      </c>
      <c r="N505" s="102" t="str">
        <f aca="false">IF(L505="","",IFERROR(INDEX(AK_BARIS,MATCH(L505,AK_NAMA,0)),"?"))</f>
        <v>OP3</v>
      </c>
      <c r="O505" s="102" t="str">
        <f aca="false">IF(C505="","",IFERROR(INDEX(AK_KEL,MATCH(C505,AK_NAMA,0)),"?"))</f>
        <v>BEBAN</v>
      </c>
      <c r="P505" s="102" t="str">
        <f aca="false">IF(D505="","",IFERROR(INDEX(AK_KEL,MATCH(D505,AK_NAMA,0)),"?"))</f>
        <v>ASET</v>
      </c>
      <c r="Q505" s="102" t="n">
        <f aca="false">N(Q504)+IF(AND(N(E505)&lt;&gt;0,K505=TAHUN,N(J505)&lt;=BLN,OR(C505=BB_AKUN,D505=BB_AKUN)),1,0)</f>
        <v>320</v>
      </c>
      <c r="R505" s="104" t="str">
        <f aca="false">IF(OR(C505&amp;D505="",N(E505)=0),"",IF(OR(O505="?",P505="?"),"⚠ akun tidak dikenal",IF(C505=D505,"⚠ debet = kredit","")))</f>
        <v/>
      </c>
    </row>
    <row r="506" customFormat="false" ht="15" hidden="false" customHeight="false" outlineLevel="0" collapsed="false">
      <c r="A506" s="82" t="s">
        <v>1324</v>
      </c>
      <c r="B506" s="101" t="n">
        <v>46126</v>
      </c>
      <c r="C506" s="82" t="s">
        <v>478</v>
      </c>
      <c r="D506" s="82" t="s">
        <v>486</v>
      </c>
      <c r="E506" s="91" t="n">
        <v>91800</v>
      </c>
      <c r="F506" s="82" t="s">
        <v>939</v>
      </c>
      <c r="G506" s="82"/>
      <c r="H506" s="82"/>
      <c r="I506" s="82" t="s">
        <v>250</v>
      </c>
      <c r="J506" s="102" t="n">
        <f aca="false">IF(B506="","",MONTH(B506))</f>
        <v>4</v>
      </c>
      <c r="K506" s="102" t="n">
        <f aca="false">IF(B506="","",YEAR(B506))</f>
        <v>2026</v>
      </c>
      <c r="L506" s="102" t="str">
        <f aca="false">IF(N(E506)=0,"",IF(COUNTIFS(AK_NAMA,C506,AK_KAT,"KAS")+COUNTIFS(AK_NAMA,D506,AK_KAT,"KAS")&lt;&gt;1,"",IF(COUNTIFS(AK_NAMA,C506,AK_KAT,"KAS")=1,D506,C506)))</f>
        <v>Biaya Penyajian</v>
      </c>
      <c r="M506" s="103" t="n">
        <f aca="false">IF(L506="",0,IF(L506=D506,E506,-E506))</f>
        <v>-91800</v>
      </c>
      <c r="N506" s="102" t="str">
        <f aca="false">IF(L506="","",IFERROR(INDEX(AK_BARIS,MATCH(L506,AK_NAMA,0)),"?"))</f>
        <v>OP3</v>
      </c>
      <c r="O506" s="102" t="str">
        <f aca="false">IF(C506="","",IFERROR(INDEX(AK_KEL,MATCH(C506,AK_NAMA,0)),"?"))</f>
        <v>BEBAN</v>
      </c>
      <c r="P506" s="102" t="str">
        <f aca="false">IF(D506="","",IFERROR(INDEX(AK_KEL,MATCH(D506,AK_NAMA,0)),"?"))</f>
        <v>ASET</v>
      </c>
      <c r="Q506" s="102" t="n">
        <f aca="false">N(Q505)+IF(AND(N(E506)&lt;&gt;0,K506=TAHUN,N(J506)&lt;=BLN,OR(C506=BB_AKUN,D506=BB_AKUN)),1,0)</f>
        <v>320</v>
      </c>
      <c r="R506" s="104" t="str">
        <f aca="false">IF(OR(C506&amp;D506="",N(E506)=0),"",IF(OR(O506="?",P506="?"),"⚠ akun tidak dikenal",IF(C506=D506,"⚠ debet = kredit","")))</f>
        <v/>
      </c>
    </row>
    <row r="507" customFormat="false" ht="15" hidden="false" customHeight="false" outlineLevel="0" collapsed="false">
      <c r="A507" s="82" t="s">
        <v>1325</v>
      </c>
      <c r="B507" s="101" t="n">
        <v>46126</v>
      </c>
      <c r="C507" s="82" t="s">
        <v>485</v>
      </c>
      <c r="D507" s="82" t="s">
        <v>486</v>
      </c>
      <c r="E507" s="91" t="n">
        <v>11000</v>
      </c>
      <c r="F507" s="82" t="s">
        <v>553</v>
      </c>
      <c r="G507" s="82"/>
      <c r="H507" s="82"/>
      <c r="I507" s="82" t="s">
        <v>250</v>
      </c>
      <c r="J507" s="102" t="n">
        <f aca="false">IF(B507="","",MONTH(B507))</f>
        <v>4</v>
      </c>
      <c r="K507" s="102" t="n">
        <f aca="false">IF(B507="","",YEAR(B507))</f>
        <v>2026</v>
      </c>
      <c r="L507" s="102" t="str">
        <f aca="false">IF(N(E507)=0,"",IF(COUNTIFS(AK_NAMA,C507,AK_KAT,"KAS")+COUNTIFS(AK_NAMA,D507,AK_KAT,"KAS")&lt;&gt;1,"",IF(COUNTIFS(AK_NAMA,C507,AK_KAT,"KAS")=1,D507,C507)))</f>
        <v>Biaya Operasional Harian</v>
      </c>
      <c r="M507" s="103" t="n">
        <f aca="false">IF(L507="",0,IF(L507=D507,E507,-E507))</f>
        <v>-11000</v>
      </c>
      <c r="N507" s="102" t="str">
        <f aca="false">IF(L507="","",IFERROR(INDEX(AK_BARIS,MATCH(L507,AK_NAMA,0)),"?"))</f>
        <v>OP6</v>
      </c>
      <c r="O507" s="102" t="str">
        <f aca="false">IF(C507="","",IFERROR(INDEX(AK_KEL,MATCH(C507,AK_NAMA,0)),"?"))</f>
        <v>BEBAN</v>
      </c>
      <c r="P507" s="102" t="str">
        <f aca="false">IF(D507="","",IFERROR(INDEX(AK_KEL,MATCH(D507,AK_NAMA,0)),"?"))</f>
        <v>ASET</v>
      </c>
      <c r="Q507" s="102" t="n">
        <f aca="false">N(Q506)+IF(AND(N(E507)&lt;&gt;0,K507=TAHUN,N(J507)&lt;=BLN,OR(C507=BB_AKUN,D507=BB_AKUN)),1,0)</f>
        <v>320</v>
      </c>
      <c r="R507" s="104" t="str">
        <f aca="false">IF(OR(C507&amp;D507="",N(E507)=0),"",IF(OR(O507="?",P507="?"),"⚠ akun tidak dikenal",IF(C507=D507,"⚠ debet = kredit","")))</f>
        <v/>
      </c>
    </row>
    <row r="508" customFormat="false" ht="15" hidden="false" customHeight="false" outlineLevel="0" collapsed="false">
      <c r="A508" s="82" t="s">
        <v>1326</v>
      </c>
      <c r="B508" s="101" t="n">
        <v>46126</v>
      </c>
      <c r="C508" s="82" t="s">
        <v>485</v>
      </c>
      <c r="D508" s="82" t="s">
        <v>486</v>
      </c>
      <c r="E508" s="91" t="n">
        <v>15000</v>
      </c>
      <c r="F508" s="82" t="s">
        <v>555</v>
      </c>
      <c r="G508" s="82"/>
      <c r="H508" s="82"/>
      <c r="I508" s="82" t="s">
        <v>250</v>
      </c>
      <c r="J508" s="102" t="n">
        <f aca="false">IF(B508="","",MONTH(B508))</f>
        <v>4</v>
      </c>
      <c r="K508" s="102" t="n">
        <f aca="false">IF(B508="","",YEAR(B508))</f>
        <v>2026</v>
      </c>
      <c r="L508" s="102" t="str">
        <f aca="false">IF(N(E508)=0,"",IF(COUNTIFS(AK_NAMA,C508,AK_KAT,"KAS")+COUNTIFS(AK_NAMA,D508,AK_KAT,"KAS")&lt;&gt;1,"",IF(COUNTIFS(AK_NAMA,C508,AK_KAT,"KAS")=1,D508,C508)))</f>
        <v>Biaya Operasional Harian</v>
      </c>
      <c r="M508" s="103" t="n">
        <f aca="false">IF(L508="",0,IF(L508=D508,E508,-E508))</f>
        <v>-15000</v>
      </c>
      <c r="N508" s="102" t="str">
        <f aca="false">IF(L508="","",IFERROR(INDEX(AK_BARIS,MATCH(L508,AK_NAMA,0)),"?"))</f>
        <v>OP6</v>
      </c>
      <c r="O508" s="102" t="str">
        <f aca="false">IF(C508="","",IFERROR(INDEX(AK_KEL,MATCH(C508,AK_NAMA,0)),"?"))</f>
        <v>BEBAN</v>
      </c>
      <c r="P508" s="102" t="str">
        <f aca="false">IF(D508="","",IFERROR(INDEX(AK_KEL,MATCH(D508,AK_NAMA,0)),"?"))</f>
        <v>ASET</v>
      </c>
      <c r="Q508" s="102" t="n">
        <f aca="false">N(Q507)+IF(AND(N(E508)&lt;&gt;0,K508=TAHUN,N(J508)&lt;=BLN,OR(C508=BB_AKUN,D508=BB_AKUN)),1,0)</f>
        <v>320</v>
      </c>
      <c r="R508" s="104" t="str">
        <f aca="false">IF(OR(C508&amp;D508="",N(E508)=0),"",IF(OR(O508="?",P508="?"),"⚠ akun tidak dikenal",IF(C508=D508,"⚠ debet = kredit","")))</f>
        <v/>
      </c>
    </row>
    <row r="509" customFormat="false" ht="15" hidden="false" customHeight="false" outlineLevel="0" collapsed="false">
      <c r="A509" s="82" t="s">
        <v>1327</v>
      </c>
      <c r="B509" s="101" t="n">
        <v>46126</v>
      </c>
      <c r="C509" s="82" t="s">
        <v>486</v>
      </c>
      <c r="D509" s="82" t="s">
        <v>557</v>
      </c>
      <c r="E509" s="91" t="n">
        <v>300</v>
      </c>
      <c r="F509" s="82" t="s">
        <v>1268</v>
      </c>
      <c r="G509" s="82"/>
      <c r="H509" s="82"/>
      <c r="I509" s="82" t="s">
        <v>250</v>
      </c>
      <c r="J509" s="102" t="n">
        <f aca="false">IF(B509="","",MONTH(B509))</f>
        <v>4</v>
      </c>
      <c r="K509" s="102" t="n">
        <f aca="false">IF(B509="","",YEAR(B509))</f>
        <v>2026</v>
      </c>
      <c r="L509" s="102" t="str">
        <f aca="false">IF(N(E509)=0,"",IF(COUNTIFS(AK_NAMA,C509,AK_KAT,"KAS")+COUNTIFS(AK_NAMA,D509,AK_KAT,"KAS")&lt;&gt;1,"",IF(COUNTIFS(AK_NAMA,C509,AK_KAT,"KAS")=1,D509,C509)))</f>
        <v>Pendapatan Lainnya</v>
      </c>
      <c r="M509" s="103" t="n">
        <f aca="false">IF(L509="",0,IF(L509=D509,E509,-E509))</f>
        <v>300</v>
      </c>
      <c r="N509" s="102" t="str">
        <f aca="false">IF(L509="","",IFERROR(INDEX(AK_BARIS,MATCH(L509,AK_NAMA,0)),"?"))</f>
        <v>OP2</v>
      </c>
      <c r="O509" s="102" t="str">
        <f aca="false">IF(C509="","",IFERROR(INDEX(AK_KEL,MATCH(C509,AK_NAMA,0)),"?"))</f>
        <v>ASET</v>
      </c>
      <c r="P509" s="102" t="str">
        <f aca="false">IF(D509="","",IFERROR(INDEX(AK_KEL,MATCH(D509,AK_NAMA,0)),"?"))</f>
        <v>PENDAPATAN</v>
      </c>
      <c r="Q509" s="102" t="n">
        <f aca="false">N(Q508)+IF(AND(N(E509)&lt;&gt;0,K509=TAHUN,N(J509)&lt;=BLN,OR(C509=BB_AKUN,D509=BB_AKUN)),1,0)</f>
        <v>320</v>
      </c>
      <c r="R509" s="104" t="str">
        <f aca="false">IF(OR(C509&amp;D509="",N(E509)=0),"",IF(OR(O509="?",P509="?"),"⚠ akun tidak dikenal",IF(C509=D509,"⚠ debet = kredit","")))</f>
        <v/>
      </c>
    </row>
    <row r="510" customFormat="false" ht="15" hidden="false" customHeight="false" outlineLevel="0" collapsed="false">
      <c r="A510" s="82" t="s">
        <v>1328</v>
      </c>
      <c r="B510" s="101" t="n">
        <v>46126</v>
      </c>
      <c r="C510" s="82" t="s">
        <v>486</v>
      </c>
      <c r="D510" s="82" t="s">
        <v>475</v>
      </c>
      <c r="E510" s="91" t="n">
        <v>500000</v>
      </c>
      <c r="F510" s="82" t="s">
        <v>1329</v>
      </c>
      <c r="G510" s="82"/>
      <c r="H510" s="82"/>
      <c r="I510" s="82" t="s">
        <v>250</v>
      </c>
      <c r="J510" s="102" t="n">
        <f aca="false">IF(B510="","",MONTH(B510))</f>
        <v>4</v>
      </c>
      <c r="K510" s="102" t="n">
        <f aca="false">IF(B510="","",YEAR(B510))</f>
        <v>2026</v>
      </c>
      <c r="L510" s="102" t="str">
        <f aca="false">IF(N(E510)=0,"",IF(COUNTIFS(AK_NAMA,C510,AK_KAT,"KAS")+COUNTIFS(AK_NAMA,D510,AK_KAT,"KAS")&lt;&gt;1,"",IF(COUNTIFS(AK_NAMA,C510,AK_KAT,"KAS")=1,D510,C510)))</f>
        <v/>
      </c>
      <c r="M510" s="103" t="n">
        <f aca="false">IF(L510="",0,IF(L510=D510,E510,-E510))</f>
        <v>0</v>
      </c>
      <c r="N510" s="102" t="str">
        <f aca="false">IF(L510="","",IFERROR(INDEX(AK_BARIS,MATCH(L510,AK_NAMA,0)),"?"))</f>
        <v/>
      </c>
      <c r="O510" s="102" t="str">
        <f aca="false">IF(C510="","",IFERROR(INDEX(AK_KEL,MATCH(C510,AK_NAMA,0)),"?"))</f>
        <v>ASET</v>
      </c>
      <c r="P510" s="102" t="str">
        <f aca="false">IF(D510="","",IFERROR(INDEX(AK_KEL,MATCH(D510,AK_NAMA,0)),"?"))</f>
        <v>ASET</v>
      </c>
      <c r="Q510" s="102" t="n">
        <f aca="false">N(Q509)+IF(AND(N(E510)&lt;&gt;0,K510=TAHUN,N(J510)&lt;=BLN,OR(C510=BB_AKUN,D510=BB_AKUN)),1,0)</f>
        <v>320</v>
      </c>
      <c r="R510" s="104" t="str">
        <f aca="false">IF(OR(C510&amp;D510="",N(E510)=0),"",IF(OR(O510="?",P510="?"),"⚠ akun tidak dikenal",IF(C510=D510,"⚠ debet = kredit","")))</f>
        <v/>
      </c>
    </row>
    <row r="511" customFormat="false" ht="15" hidden="false" customHeight="false" outlineLevel="0" collapsed="false">
      <c r="A511" s="82" t="s">
        <v>1330</v>
      </c>
      <c r="B511" s="101" t="n">
        <v>46126</v>
      </c>
      <c r="C511" s="82" t="s">
        <v>486</v>
      </c>
      <c r="D511" s="82" t="s">
        <v>475</v>
      </c>
      <c r="E511" s="91" t="n">
        <v>1000000</v>
      </c>
      <c r="F511" s="82" t="s">
        <v>1331</v>
      </c>
      <c r="G511" s="82"/>
      <c r="H511" s="82"/>
      <c r="I511" s="82" t="s">
        <v>250</v>
      </c>
      <c r="J511" s="102" t="n">
        <f aca="false">IF(B511="","",MONTH(B511))</f>
        <v>4</v>
      </c>
      <c r="K511" s="102" t="n">
        <f aca="false">IF(B511="","",YEAR(B511))</f>
        <v>2026</v>
      </c>
      <c r="L511" s="102" t="str">
        <f aca="false">IF(N(E511)=0,"",IF(COUNTIFS(AK_NAMA,C511,AK_KAT,"KAS")+COUNTIFS(AK_NAMA,D511,AK_KAT,"KAS")&lt;&gt;1,"",IF(COUNTIFS(AK_NAMA,C511,AK_KAT,"KAS")=1,D511,C511)))</f>
        <v/>
      </c>
      <c r="M511" s="103" t="n">
        <f aca="false">IF(L511="",0,IF(L511=D511,E511,-E511))</f>
        <v>0</v>
      </c>
      <c r="N511" s="102" t="str">
        <f aca="false">IF(L511="","",IFERROR(INDEX(AK_BARIS,MATCH(L511,AK_NAMA,0)),"?"))</f>
        <v/>
      </c>
      <c r="O511" s="102" t="str">
        <f aca="false">IF(C511="","",IFERROR(INDEX(AK_KEL,MATCH(C511,AK_NAMA,0)),"?"))</f>
        <v>ASET</v>
      </c>
      <c r="P511" s="102" t="str">
        <f aca="false">IF(D511="","",IFERROR(INDEX(AK_KEL,MATCH(D511,AK_NAMA,0)),"?"))</f>
        <v>ASET</v>
      </c>
      <c r="Q511" s="102" t="n">
        <f aca="false">N(Q510)+IF(AND(N(E511)&lt;&gt;0,K511=TAHUN,N(J511)&lt;=BLN,OR(C511=BB_AKUN,D511=BB_AKUN)),1,0)</f>
        <v>320</v>
      </c>
      <c r="R511" s="104" t="str">
        <f aca="false">IF(OR(C511&amp;D511="",N(E511)=0),"",IF(OR(O511="?",P511="?"),"⚠ akun tidak dikenal",IF(C511=D511,"⚠ debet = kredit","")))</f>
        <v/>
      </c>
    </row>
    <row r="512" customFormat="false" ht="15" hidden="false" customHeight="false" outlineLevel="0" collapsed="false">
      <c r="A512" s="82" t="s">
        <v>1332</v>
      </c>
      <c r="B512" s="101" t="n">
        <v>46127</v>
      </c>
      <c r="C512" s="82" t="s">
        <v>478</v>
      </c>
      <c r="D512" s="82" t="s">
        <v>461</v>
      </c>
      <c r="E512" s="91" t="n">
        <v>1627500</v>
      </c>
      <c r="F512" s="82" t="s">
        <v>1333</v>
      </c>
      <c r="G512" s="82"/>
      <c r="H512" s="82"/>
      <c r="I512" s="82" t="s">
        <v>250</v>
      </c>
      <c r="J512" s="102" t="n">
        <f aca="false">IF(B512="","",MONTH(B512))</f>
        <v>4</v>
      </c>
      <c r="K512" s="102" t="n">
        <f aca="false">IF(B512="","",YEAR(B512))</f>
        <v>2026</v>
      </c>
      <c r="L512" s="102" t="str">
        <f aca="false">IF(N(E512)=0,"",IF(COUNTIFS(AK_NAMA,C512,AK_KAT,"KAS")+COUNTIFS(AK_NAMA,D512,AK_KAT,"KAS")&lt;&gt;1,"",IF(COUNTIFS(AK_NAMA,C512,AK_KAT,"KAS")=1,D512,C512)))</f>
        <v>Biaya Penyajian</v>
      </c>
      <c r="M512" s="103" t="n">
        <f aca="false">IF(L512="",0,IF(L512=D512,E512,-E512))</f>
        <v>-1627500</v>
      </c>
      <c r="N512" s="102" t="str">
        <f aca="false">IF(L512="","",IFERROR(INDEX(AK_BARIS,MATCH(L512,AK_NAMA,0)),"?"))</f>
        <v>OP3</v>
      </c>
      <c r="O512" s="102" t="str">
        <f aca="false">IF(C512="","",IFERROR(INDEX(AK_KEL,MATCH(C512,AK_NAMA,0)),"?"))</f>
        <v>BEBAN</v>
      </c>
      <c r="P512" s="102" t="str">
        <f aca="false">IF(D512="","",IFERROR(INDEX(AK_KEL,MATCH(D512,AK_NAMA,0)),"?"))</f>
        <v>ASET</v>
      </c>
      <c r="Q512" s="102" t="n">
        <f aca="false">N(Q511)+IF(AND(N(E512)&lt;&gt;0,K512=TAHUN,N(J512)&lt;=BLN,OR(C512=BB_AKUN,D512=BB_AKUN)),1,0)</f>
        <v>321</v>
      </c>
      <c r="R512" s="104" t="str">
        <f aca="false">IF(OR(C512&amp;D512="",N(E512)=0),"",IF(OR(O512="?",P512="?"),"⚠ akun tidak dikenal",IF(C512=D512,"⚠ debet = kredit","")))</f>
        <v/>
      </c>
    </row>
    <row r="513" customFormat="false" ht="15" hidden="false" customHeight="false" outlineLevel="0" collapsed="false">
      <c r="A513" s="82" t="s">
        <v>1334</v>
      </c>
      <c r="B513" s="101" t="n">
        <v>46127</v>
      </c>
      <c r="C513" s="82" t="s">
        <v>478</v>
      </c>
      <c r="D513" s="82" t="s">
        <v>461</v>
      </c>
      <c r="E513" s="91" t="n">
        <v>950000</v>
      </c>
      <c r="F513" s="82" t="s">
        <v>1335</v>
      </c>
      <c r="G513" s="82"/>
      <c r="H513" s="82"/>
      <c r="I513" s="82" t="s">
        <v>250</v>
      </c>
      <c r="J513" s="102" t="n">
        <f aca="false">IF(B513="","",MONTH(B513))</f>
        <v>4</v>
      </c>
      <c r="K513" s="102" t="n">
        <f aca="false">IF(B513="","",YEAR(B513))</f>
        <v>2026</v>
      </c>
      <c r="L513" s="102" t="str">
        <f aca="false">IF(N(E513)=0,"",IF(COUNTIFS(AK_NAMA,C513,AK_KAT,"KAS")+COUNTIFS(AK_NAMA,D513,AK_KAT,"KAS")&lt;&gt;1,"",IF(COUNTIFS(AK_NAMA,C513,AK_KAT,"KAS")=1,D513,C513)))</f>
        <v>Biaya Penyajian</v>
      </c>
      <c r="M513" s="103" t="n">
        <f aca="false">IF(L513="",0,IF(L513=D513,E513,-E513))</f>
        <v>-950000</v>
      </c>
      <c r="N513" s="102" t="str">
        <f aca="false">IF(L513="","",IFERROR(INDEX(AK_BARIS,MATCH(L513,AK_NAMA,0)),"?"))</f>
        <v>OP3</v>
      </c>
      <c r="O513" s="102" t="str">
        <f aca="false">IF(C513="","",IFERROR(INDEX(AK_KEL,MATCH(C513,AK_NAMA,0)),"?"))</f>
        <v>BEBAN</v>
      </c>
      <c r="P513" s="102" t="str">
        <f aca="false">IF(D513="","",IFERROR(INDEX(AK_KEL,MATCH(D513,AK_NAMA,0)),"?"))</f>
        <v>ASET</v>
      </c>
      <c r="Q513" s="102" t="n">
        <f aca="false">N(Q512)+IF(AND(N(E513)&lt;&gt;0,K513=TAHUN,N(J513)&lt;=BLN,OR(C513=BB_AKUN,D513=BB_AKUN)),1,0)</f>
        <v>322</v>
      </c>
      <c r="R513" s="104" t="str">
        <f aca="false">IF(OR(C513&amp;D513="",N(E513)=0),"",IF(OR(O513="?",P513="?"),"⚠ akun tidak dikenal",IF(C513=D513,"⚠ debet = kredit","")))</f>
        <v/>
      </c>
    </row>
    <row r="514" customFormat="false" ht="15" hidden="false" customHeight="false" outlineLevel="0" collapsed="false">
      <c r="A514" s="82" t="s">
        <v>1336</v>
      </c>
      <c r="B514" s="101" t="n">
        <v>46127</v>
      </c>
      <c r="C514" s="82" t="s">
        <v>460</v>
      </c>
      <c r="D514" s="82" t="s">
        <v>461</v>
      </c>
      <c r="E514" s="91" t="n">
        <v>21100</v>
      </c>
      <c r="F514" s="82" t="s">
        <v>1337</v>
      </c>
      <c r="G514" s="82"/>
      <c r="H514" s="82"/>
      <c r="I514" s="82" t="s">
        <v>250</v>
      </c>
      <c r="J514" s="102" t="n">
        <f aca="false">IF(B514="","",MONTH(B514))</f>
        <v>4</v>
      </c>
      <c r="K514" s="102" t="n">
        <f aca="false">IF(B514="","",YEAR(B514))</f>
        <v>2026</v>
      </c>
      <c r="L514" s="102" t="str">
        <f aca="false">IF(N(E514)=0,"",IF(COUNTIFS(AK_NAMA,C514,AK_KAT,"KAS")+COUNTIFS(AK_NAMA,D514,AK_KAT,"KAS")&lt;&gt;1,"",IF(COUNTIFS(AK_NAMA,C514,AK_KAT,"KAS")=1,D514,C514)))</f>
        <v>Biaya Marketing &amp; Promosi</v>
      </c>
      <c r="M514" s="103" t="n">
        <f aca="false">IF(L514="",0,IF(L514=D514,E514,-E514))</f>
        <v>-21100</v>
      </c>
      <c r="N514" s="102" t="str">
        <f aca="false">IF(L514="","",IFERROR(INDEX(AK_BARIS,MATCH(L514,AK_NAMA,0)),"?"))</f>
        <v>OP6</v>
      </c>
      <c r="O514" s="102" t="str">
        <f aca="false">IF(C514="","",IFERROR(INDEX(AK_KEL,MATCH(C514,AK_NAMA,0)),"?"))</f>
        <v>BEBAN</v>
      </c>
      <c r="P514" s="102" t="str">
        <f aca="false">IF(D514="","",IFERROR(INDEX(AK_KEL,MATCH(D514,AK_NAMA,0)),"?"))</f>
        <v>ASET</v>
      </c>
      <c r="Q514" s="102" t="n">
        <f aca="false">N(Q513)+IF(AND(N(E514)&lt;&gt;0,K514=TAHUN,N(J514)&lt;=BLN,OR(C514=BB_AKUN,D514=BB_AKUN)),1,0)</f>
        <v>323</v>
      </c>
      <c r="R514" s="104" t="str">
        <f aca="false">IF(OR(C514&amp;D514="",N(E514)=0),"",IF(OR(O514="?",P514="?"),"⚠ akun tidak dikenal",IF(C514=D514,"⚠ debet = kredit","")))</f>
        <v/>
      </c>
    </row>
    <row r="515" customFormat="false" ht="15" hidden="false" customHeight="false" outlineLevel="0" collapsed="false">
      <c r="A515" s="82" t="s">
        <v>1338</v>
      </c>
      <c r="B515" s="101" t="n">
        <v>46128</v>
      </c>
      <c r="C515" s="82" t="s">
        <v>475</v>
      </c>
      <c r="D515" s="82" t="s">
        <v>461</v>
      </c>
      <c r="E515" s="91" t="n">
        <v>4000000</v>
      </c>
      <c r="F515" s="82" t="s">
        <v>1339</v>
      </c>
      <c r="G515" s="82"/>
      <c r="H515" s="82"/>
      <c r="I515" s="82" t="s">
        <v>250</v>
      </c>
      <c r="J515" s="102" t="n">
        <f aca="false">IF(B515="","",MONTH(B515))</f>
        <v>4</v>
      </c>
      <c r="K515" s="102" t="n">
        <f aca="false">IF(B515="","",YEAR(B515))</f>
        <v>2026</v>
      </c>
      <c r="L515" s="102" t="str">
        <f aca="false">IF(N(E515)=0,"",IF(COUNTIFS(AK_NAMA,C515,AK_KAT,"KAS")+COUNTIFS(AK_NAMA,D515,AK_KAT,"KAS")&lt;&gt;1,"",IF(COUNTIFS(AK_NAMA,C515,AK_KAT,"KAS")=1,D515,C515)))</f>
        <v/>
      </c>
      <c r="M515" s="103" t="n">
        <f aca="false">IF(L515="",0,IF(L515=D515,E515,-E515))</f>
        <v>0</v>
      </c>
      <c r="N515" s="102" t="str">
        <f aca="false">IF(L515="","",IFERROR(INDEX(AK_BARIS,MATCH(L515,AK_NAMA,0)),"?"))</f>
        <v/>
      </c>
      <c r="O515" s="102" t="str">
        <f aca="false">IF(C515="","",IFERROR(INDEX(AK_KEL,MATCH(C515,AK_NAMA,0)),"?"))</f>
        <v>ASET</v>
      </c>
      <c r="P515" s="102" t="str">
        <f aca="false">IF(D515="","",IFERROR(INDEX(AK_KEL,MATCH(D515,AK_NAMA,0)),"?"))</f>
        <v>ASET</v>
      </c>
      <c r="Q515" s="102" t="n">
        <f aca="false">N(Q514)+IF(AND(N(E515)&lt;&gt;0,K515=TAHUN,N(J515)&lt;=BLN,OR(C515=BB_AKUN,D515=BB_AKUN)),1,0)</f>
        <v>324</v>
      </c>
      <c r="R515" s="104" t="str">
        <f aca="false">IF(OR(C515&amp;D515="",N(E515)=0),"",IF(OR(O515="?",P515="?"),"⚠ akun tidak dikenal",IF(C515=D515,"⚠ debet = kredit","")))</f>
        <v/>
      </c>
    </row>
    <row r="516" customFormat="false" ht="15" hidden="false" customHeight="false" outlineLevel="0" collapsed="false">
      <c r="A516" s="82" t="s">
        <v>1340</v>
      </c>
      <c r="B516" s="101" t="n">
        <v>46128</v>
      </c>
      <c r="C516" s="82" t="s">
        <v>461</v>
      </c>
      <c r="D516" s="82" t="s">
        <v>475</v>
      </c>
      <c r="E516" s="91" t="n">
        <v>1926000</v>
      </c>
      <c r="F516" s="82" t="s">
        <v>1233</v>
      </c>
      <c r="G516" s="82"/>
      <c r="H516" s="82"/>
      <c r="I516" s="82" t="s">
        <v>250</v>
      </c>
      <c r="J516" s="102" t="n">
        <f aca="false">IF(B516="","",MONTH(B516))</f>
        <v>4</v>
      </c>
      <c r="K516" s="102" t="n">
        <f aca="false">IF(B516="","",YEAR(B516))</f>
        <v>2026</v>
      </c>
      <c r="L516" s="102" t="str">
        <f aca="false">IF(N(E516)=0,"",IF(COUNTIFS(AK_NAMA,C516,AK_KAT,"KAS")+COUNTIFS(AK_NAMA,D516,AK_KAT,"KAS")&lt;&gt;1,"",IF(COUNTIFS(AK_NAMA,C516,AK_KAT,"KAS")=1,D516,C516)))</f>
        <v/>
      </c>
      <c r="M516" s="103" t="n">
        <f aca="false">IF(L516="",0,IF(L516=D516,E516,-E516))</f>
        <v>0</v>
      </c>
      <c r="N516" s="102" t="str">
        <f aca="false">IF(L516="","",IFERROR(INDEX(AK_BARIS,MATCH(L516,AK_NAMA,0)),"?"))</f>
        <v/>
      </c>
      <c r="O516" s="102" t="str">
        <f aca="false">IF(C516="","",IFERROR(INDEX(AK_KEL,MATCH(C516,AK_NAMA,0)),"?"))</f>
        <v>ASET</v>
      </c>
      <c r="P516" s="102" t="str">
        <f aca="false">IF(D516="","",IFERROR(INDEX(AK_KEL,MATCH(D516,AK_NAMA,0)),"?"))</f>
        <v>ASET</v>
      </c>
      <c r="Q516" s="102" t="n">
        <f aca="false">N(Q515)+IF(AND(N(E516)&lt;&gt;0,K516=TAHUN,N(J516)&lt;=BLN,OR(C516=BB_AKUN,D516=BB_AKUN)),1,0)</f>
        <v>325</v>
      </c>
      <c r="R516" s="104" t="str">
        <f aca="false">IF(OR(C516&amp;D516="",N(E516)=0),"",IF(OR(O516="?",P516="?"),"⚠ akun tidak dikenal",IF(C516=D516,"⚠ debet = kredit","")))</f>
        <v/>
      </c>
    </row>
    <row r="517" customFormat="false" ht="15" hidden="false" customHeight="false" outlineLevel="0" collapsed="false">
      <c r="A517" s="82" t="s">
        <v>1341</v>
      </c>
      <c r="B517" s="101" t="n">
        <v>46128</v>
      </c>
      <c r="C517" s="82" t="s">
        <v>460</v>
      </c>
      <c r="D517" s="82" t="s">
        <v>461</v>
      </c>
      <c r="E517" s="91" t="n">
        <v>211940</v>
      </c>
      <c r="F517" s="82" t="s">
        <v>1342</v>
      </c>
      <c r="G517" s="82"/>
      <c r="H517" s="82"/>
      <c r="I517" s="82" t="s">
        <v>250</v>
      </c>
      <c r="J517" s="102" t="n">
        <f aca="false">IF(B517="","",MONTH(B517))</f>
        <v>4</v>
      </c>
      <c r="K517" s="102" t="n">
        <f aca="false">IF(B517="","",YEAR(B517))</f>
        <v>2026</v>
      </c>
      <c r="L517" s="102" t="str">
        <f aca="false">IF(N(E517)=0,"",IF(COUNTIFS(AK_NAMA,C517,AK_KAT,"KAS")+COUNTIFS(AK_NAMA,D517,AK_KAT,"KAS")&lt;&gt;1,"",IF(COUNTIFS(AK_NAMA,C517,AK_KAT,"KAS")=1,D517,C517)))</f>
        <v>Biaya Marketing &amp; Promosi</v>
      </c>
      <c r="M517" s="103" t="n">
        <f aca="false">IF(L517="",0,IF(L517=D517,E517,-E517))</f>
        <v>-211940</v>
      </c>
      <c r="N517" s="102" t="str">
        <f aca="false">IF(L517="","",IFERROR(INDEX(AK_BARIS,MATCH(L517,AK_NAMA,0)),"?"))</f>
        <v>OP6</v>
      </c>
      <c r="O517" s="102" t="str">
        <f aca="false">IF(C517="","",IFERROR(INDEX(AK_KEL,MATCH(C517,AK_NAMA,0)),"?"))</f>
        <v>BEBAN</v>
      </c>
      <c r="P517" s="102" t="str">
        <f aca="false">IF(D517="","",IFERROR(INDEX(AK_KEL,MATCH(D517,AK_NAMA,0)),"?"))</f>
        <v>ASET</v>
      </c>
      <c r="Q517" s="102" t="n">
        <f aca="false">N(Q516)+IF(AND(N(E517)&lt;&gt;0,K517=TAHUN,N(J517)&lt;=BLN,OR(C517=BB_AKUN,D517=BB_AKUN)),1,0)</f>
        <v>326</v>
      </c>
      <c r="R517" s="104" t="str">
        <f aca="false">IF(OR(C517&amp;D517="",N(E517)=0),"",IF(OR(O517="?",P517="?"),"⚠ akun tidak dikenal",IF(C517=D517,"⚠ debet = kredit","")))</f>
        <v/>
      </c>
    </row>
    <row r="518" customFormat="false" ht="15" hidden="false" customHeight="false" outlineLevel="0" collapsed="false">
      <c r="A518" s="82" t="s">
        <v>1343</v>
      </c>
      <c r="B518" s="101" t="n">
        <v>46129</v>
      </c>
      <c r="C518" s="82" t="s">
        <v>470</v>
      </c>
      <c r="D518" s="82" t="s">
        <v>461</v>
      </c>
      <c r="E518" s="91" t="n">
        <v>9120000</v>
      </c>
      <c r="F518" s="82" t="s">
        <v>1344</v>
      </c>
      <c r="G518" s="82"/>
      <c r="H518" s="82"/>
      <c r="I518" s="82" t="s">
        <v>250</v>
      </c>
      <c r="J518" s="102" t="n">
        <f aca="false">IF(B518="","",MONTH(B518))</f>
        <v>4</v>
      </c>
      <c r="K518" s="102" t="n">
        <f aca="false">IF(B518="","",YEAR(B518))</f>
        <v>2026</v>
      </c>
      <c r="L518" s="102" t="str">
        <f aca="false">IF(N(E518)=0,"",IF(COUNTIFS(AK_NAMA,C518,AK_KAT,"KAS")+COUNTIFS(AK_NAMA,D518,AK_KAT,"KAS")&lt;&gt;1,"",IF(COUNTIFS(AK_NAMA,C518,AK_KAT,"KAS")=1,D518,C518)))</f>
        <v>Biaya Bahan Baku</v>
      </c>
      <c r="M518" s="103" t="n">
        <f aca="false">IF(L518="",0,IF(L518=D518,E518,-E518))</f>
        <v>-9120000</v>
      </c>
      <c r="N518" s="102" t="str">
        <f aca="false">IF(L518="","",IFERROR(INDEX(AK_BARIS,MATCH(L518,AK_NAMA,0)),"?"))</f>
        <v>OP3</v>
      </c>
      <c r="O518" s="102" t="str">
        <f aca="false">IF(C518="","",IFERROR(INDEX(AK_KEL,MATCH(C518,AK_NAMA,0)),"?"))</f>
        <v>BEBAN</v>
      </c>
      <c r="P518" s="102" t="str">
        <f aca="false">IF(D518="","",IFERROR(INDEX(AK_KEL,MATCH(D518,AK_NAMA,0)),"?"))</f>
        <v>ASET</v>
      </c>
      <c r="Q518" s="102" t="n">
        <f aca="false">N(Q517)+IF(AND(N(E518)&lt;&gt;0,K518=TAHUN,N(J518)&lt;=BLN,OR(C518=BB_AKUN,D518=BB_AKUN)),1,0)</f>
        <v>327</v>
      </c>
      <c r="R518" s="104" t="str">
        <f aca="false">IF(OR(C518&amp;D518="",N(E518)=0),"",IF(OR(O518="?",P518="?"),"⚠ akun tidak dikenal",IF(C518=D518,"⚠ debet = kredit","")))</f>
        <v/>
      </c>
    </row>
    <row r="519" customFormat="false" ht="15" hidden="false" customHeight="false" outlineLevel="0" collapsed="false">
      <c r="A519" s="82" t="s">
        <v>1345</v>
      </c>
      <c r="B519" s="101" t="n">
        <v>46129</v>
      </c>
      <c r="C519" s="82" t="s">
        <v>470</v>
      </c>
      <c r="D519" s="82" t="s">
        <v>461</v>
      </c>
      <c r="E519" s="91" t="n">
        <v>741000</v>
      </c>
      <c r="F519" s="82" t="s">
        <v>739</v>
      </c>
      <c r="G519" s="82"/>
      <c r="H519" s="82"/>
      <c r="I519" s="82" t="s">
        <v>250</v>
      </c>
      <c r="J519" s="102" t="n">
        <f aca="false">IF(B519="","",MONTH(B519))</f>
        <v>4</v>
      </c>
      <c r="K519" s="102" t="n">
        <f aca="false">IF(B519="","",YEAR(B519))</f>
        <v>2026</v>
      </c>
      <c r="L519" s="102" t="str">
        <f aca="false">IF(N(E519)=0,"",IF(COUNTIFS(AK_NAMA,C519,AK_KAT,"KAS")+COUNTIFS(AK_NAMA,D519,AK_KAT,"KAS")&lt;&gt;1,"",IF(COUNTIFS(AK_NAMA,C519,AK_KAT,"KAS")=1,D519,C519)))</f>
        <v>Biaya Bahan Baku</v>
      </c>
      <c r="M519" s="103" t="n">
        <f aca="false">IF(L519="",0,IF(L519=D519,E519,-E519))</f>
        <v>-741000</v>
      </c>
      <c r="N519" s="102" t="str">
        <f aca="false">IF(L519="","",IFERROR(INDEX(AK_BARIS,MATCH(L519,AK_NAMA,0)),"?"))</f>
        <v>OP3</v>
      </c>
      <c r="O519" s="102" t="str">
        <f aca="false">IF(C519="","",IFERROR(INDEX(AK_KEL,MATCH(C519,AK_NAMA,0)),"?"))</f>
        <v>BEBAN</v>
      </c>
      <c r="P519" s="102" t="str">
        <f aca="false">IF(D519="","",IFERROR(INDEX(AK_KEL,MATCH(D519,AK_NAMA,0)),"?"))</f>
        <v>ASET</v>
      </c>
      <c r="Q519" s="102" t="n">
        <f aca="false">N(Q518)+IF(AND(N(E519)&lt;&gt;0,K519=TAHUN,N(J519)&lt;=BLN,OR(C519=BB_AKUN,D519=BB_AKUN)),1,0)</f>
        <v>328</v>
      </c>
      <c r="R519" s="104" t="str">
        <f aca="false">IF(OR(C519&amp;D519="",N(E519)=0),"",IF(OR(O519="?",P519="?"),"⚠ akun tidak dikenal",IF(C519=D519,"⚠ debet = kredit","")))</f>
        <v/>
      </c>
    </row>
    <row r="520" customFormat="false" ht="15" hidden="false" customHeight="false" outlineLevel="0" collapsed="false">
      <c r="A520" s="82" t="s">
        <v>1346</v>
      </c>
      <c r="B520" s="101" t="n">
        <v>46129</v>
      </c>
      <c r="C520" s="82" t="s">
        <v>524</v>
      </c>
      <c r="D520" s="82" t="s">
        <v>461</v>
      </c>
      <c r="E520" s="91" t="n">
        <v>10000</v>
      </c>
      <c r="F520" s="82" t="s">
        <v>616</v>
      </c>
      <c r="G520" s="82"/>
      <c r="H520" s="82"/>
      <c r="I520" s="82" t="s">
        <v>250</v>
      </c>
      <c r="J520" s="102" t="n">
        <f aca="false">IF(B520="","",MONTH(B520))</f>
        <v>4</v>
      </c>
      <c r="K520" s="102" t="n">
        <f aca="false">IF(B520="","",YEAR(B520))</f>
        <v>2026</v>
      </c>
      <c r="L520" s="102" t="str">
        <f aca="false">IF(N(E520)=0,"",IF(COUNTIFS(AK_NAMA,C520,AK_KAT,"KAS")+COUNTIFS(AK_NAMA,D520,AK_KAT,"KAS")&lt;&gt;1,"",IF(COUNTIFS(AK_NAMA,C520,AK_KAT,"KAS")=1,D520,C520)))</f>
        <v>Biaya Lainnya</v>
      </c>
      <c r="M520" s="103" t="n">
        <f aca="false">IF(L520="",0,IF(L520=D520,E520,-E520))</f>
        <v>-10000</v>
      </c>
      <c r="N520" s="102" t="str">
        <f aca="false">IF(L520="","",IFERROR(INDEX(AK_BARIS,MATCH(L520,AK_NAMA,0)),"?"))</f>
        <v>OP2</v>
      </c>
      <c r="O520" s="102" t="str">
        <f aca="false">IF(C520="","",IFERROR(INDEX(AK_KEL,MATCH(C520,AK_NAMA,0)),"?"))</f>
        <v>BEBAN</v>
      </c>
      <c r="P520" s="102" t="str">
        <f aca="false">IF(D520="","",IFERROR(INDEX(AK_KEL,MATCH(D520,AK_NAMA,0)),"?"))</f>
        <v>ASET</v>
      </c>
      <c r="Q520" s="102" t="n">
        <f aca="false">N(Q519)+IF(AND(N(E520)&lt;&gt;0,K520=TAHUN,N(J520)&lt;=BLN,OR(C520=BB_AKUN,D520=BB_AKUN)),1,0)</f>
        <v>329</v>
      </c>
      <c r="R520" s="104" t="str">
        <f aca="false">IF(OR(C520&amp;D520="",N(E520)=0),"",IF(OR(O520="?",P520="?"),"⚠ akun tidak dikenal",IF(C520=D520,"⚠ debet = kredit","")))</f>
        <v/>
      </c>
    </row>
    <row r="521" customFormat="false" ht="15" hidden="false" customHeight="false" outlineLevel="0" collapsed="false">
      <c r="A521" s="82" t="s">
        <v>1347</v>
      </c>
      <c r="B521" s="101" t="n">
        <v>46130</v>
      </c>
      <c r="C521" s="82" t="s">
        <v>524</v>
      </c>
      <c r="D521" s="82" t="s">
        <v>461</v>
      </c>
      <c r="E521" s="91" t="n">
        <v>1341</v>
      </c>
      <c r="F521" s="82" t="s">
        <v>525</v>
      </c>
      <c r="G521" s="82"/>
      <c r="H521" s="82"/>
      <c r="I521" s="82" t="s">
        <v>250</v>
      </c>
      <c r="J521" s="102" t="n">
        <f aca="false">IF(B521="","",MONTH(B521))</f>
        <v>4</v>
      </c>
      <c r="K521" s="102" t="n">
        <f aca="false">IF(B521="","",YEAR(B521))</f>
        <v>2026</v>
      </c>
      <c r="L521" s="102" t="str">
        <f aca="false">IF(N(E521)=0,"",IF(COUNTIFS(AK_NAMA,C521,AK_KAT,"KAS")+COUNTIFS(AK_NAMA,D521,AK_KAT,"KAS")&lt;&gt;1,"",IF(COUNTIFS(AK_NAMA,C521,AK_KAT,"KAS")=1,D521,C521)))</f>
        <v>Biaya Lainnya</v>
      </c>
      <c r="M521" s="103" t="n">
        <f aca="false">IF(L521="",0,IF(L521=D521,E521,-E521))</f>
        <v>-1341</v>
      </c>
      <c r="N521" s="102" t="str">
        <f aca="false">IF(L521="","",IFERROR(INDEX(AK_BARIS,MATCH(L521,AK_NAMA,0)),"?"))</f>
        <v>OP2</v>
      </c>
      <c r="O521" s="102" t="str">
        <f aca="false">IF(C521="","",IFERROR(INDEX(AK_KEL,MATCH(C521,AK_NAMA,0)),"?"))</f>
        <v>BEBAN</v>
      </c>
      <c r="P521" s="102" t="str">
        <f aca="false">IF(D521="","",IFERROR(INDEX(AK_KEL,MATCH(D521,AK_NAMA,0)),"?"))</f>
        <v>ASET</v>
      </c>
      <c r="Q521" s="102" t="n">
        <f aca="false">N(Q520)+IF(AND(N(E521)&lt;&gt;0,K521=TAHUN,N(J521)&lt;=BLN,OR(C521=BB_AKUN,D521=BB_AKUN)),1,0)</f>
        <v>330</v>
      </c>
      <c r="R521" s="104" t="str">
        <f aca="false">IF(OR(C521&amp;D521="",N(E521)=0),"",IF(OR(O521="?",P521="?"),"⚠ akun tidak dikenal",IF(C521=D521,"⚠ debet = kredit","")))</f>
        <v/>
      </c>
    </row>
    <row r="522" customFormat="false" ht="15" hidden="false" customHeight="false" outlineLevel="0" collapsed="false">
      <c r="A522" s="82" t="s">
        <v>1348</v>
      </c>
      <c r="B522" s="101" t="n">
        <v>46130</v>
      </c>
      <c r="C522" s="82" t="s">
        <v>470</v>
      </c>
      <c r="D522" s="82" t="s">
        <v>461</v>
      </c>
      <c r="E522" s="91" t="n">
        <v>1338000</v>
      </c>
      <c r="F522" s="82" t="s">
        <v>1349</v>
      </c>
      <c r="G522" s="82"/>
      <c r="H522" s="82"/>
      <c r="I522" s="82" t="s">
        <v>250</v>
      </c>
      <c r="J522" s="102" t="n">
        <f aca="false">IF(B522="","",MONTH(B522))</f>
        <v>4</v>
      </c>
      <c r="K522" s="102" t="n">
        <f aca="false">IF(B522="","",YEAR(B522))</f>
        <v>2026</v>
      </c>
      <c r="L522" s="102" t="str">
        <f aca="false">IF(N(E522)=0,"",IF(COUNTIFS(AK_NAMA,C522,AK_KAT,"KAS")+COUNTIFS(AK_NAMA,D522,AK_KAT,"KAS")&lt;&gt;1,"",IF(COUNTIFS(AK_NAMA,C522,AK_KAT,"KAS")=1,D522,C522)))</f>
        <v>Biaya Bahan Baku</v>
      </c>
      <c r="M522" s="103" t="n">
        <f aca="false">IF(L522="",0,IF(L522=D522,E522,-E522))</f>
        <v>-1338000</v>
      </c>
      <c r="N522" s="102" t="str">
        <f aca="false">IF(L522="","",IFERROR(INDEX(AK_BARIS,MATCH(L522,AK_NAMA,0)),"?"))</f>
        <v>OP3</v>
      </c>
      <c r="O522" s="102" t="str">
        <f aca="false">IF(C522="","",IFERROR(INDEX(AK_KEL,MATCH(C522,AK_NAMA,0)),"?"))</f>
        <v>BEBAN</v>
      </c>
      <c r="P522" s="102" t="str">
        <f aca="false">IF(D522="","",IFERROR(INDEX(AK_KEL,MATCH(D522,AK_NAMA,0)),"?"))</f>
        <v>ASET</v>
      </c>
      <c r="Q522" s="102" t="n">
        <f aca="false">N(Q521)+IF(AND(N(E522)&lt;&gt;0,K522=TAHUN,N(J522)&lt;=BLN,OR(C522=BB_AKUN,D522=BB_AKUN)),1,0)</f>
        <v>331</v>
      </c>
      <c r="R522" s="104" t="str">
        <f aca="false">IF(OR(C522&amp;D522="",N(E522)=0),"",IF(OR(O522="?",P522="?"),"⚠ akun tidak dikenal",IF(C522=D522,"⚠ debet = kredit","")))</f>
        <v/>
      </c>
    </row>
    <row r="523" customFormat="false" ht="15" hidden="false" customHeight="false" outlineLevel="0" collapsed="false">
      <c r="A523" s="82" t="s">
        <v>1350</v>
      </c>
      <c r="B523" s="101" t="n">
        <v>46131</v>
      </c>
      <c r="C523" s="82" t="s">
        <v>672</v>
      </c>
      <c r="D523" s="82" t="s">
        <v>461</v>
      </c>
      <c r="E523" s="91" t="n">
        <v>93553</v>
      </c>
      <c r="F523" s="82" t="s">
        <v>1351</v>
      </c>
      <c r="G523" s="82"/>
      <c r="H523" s="82"/>
      <c r="I523" s="82" t="s">
        <v>250</v>
      </c>
      <c r="J523" s="102" t="n">
        <f aca="false">IF(B523="","",MONTH(B523))</f>
        <v>4</v>
      </c>
      <c r="K523" s="102" t="n">
        <f aca="false">IF(B523="","",YEAR(B523))</f>
        <v>2026</v>
      </c>
      <c r="L523" s="102" t="str">
        <f aca="false">IF(N(E523)=0,"",IF(COUNTIFS(AK_NAMA,C523,AK_KAT,"KAS")+COUNTIFS(AK_NAMA,D523,AK_KAT,"KAS")&lt;&gt;1,"",IF(COUNTIFS(AK_NAMA,C523,AK_KAT,"KAS")=1,D523,C523)))</f>
        <v>Peralatan</v>
      </c>
      <c r="M523" s="103" t="n">
        <f aca="false">IF(L523="",0,IF(L523=D523,E523,-E523))</f>
        <v>-93553</v>
      </c>
      <c r="N523" s="102" t="str">
        <f aca="false">IF(L523="","",IFERROR(INDEX(AK_BARIS,MATCH(L523,AK_NAMA,0)),"?"))</f>
        <v>IN1</v>
      </c>
      <c r="O523" s="102" t="str">
        <f aca="false">IF(C523="","",IFERROR(INDEX(AK_KEL,MATCH(C523,AK_NAMA,0)),"?"))</f>
        <v>ASET</v>
      </c>
      <c r="P523" s="102" t="str">
        <f aca="false">IF(D523="","",IFERROR(INDEX(AK_KEL,MATCH(D523,AK_NAMA,0)),"?"))</f>
        <v>ASET</v>
      </c>
      <c r="Q523" s="102" t="n">
        <f aca="false">N(Q522)+IF(AND(N(E523)&lt;&gt;0,K523=TAHUN,N(J523)&lt;=BLN,OR(C523=BB_AKUN,D523=BB_AKUN)),1,0)</f>
        <v>332</v>
      </c>
      <c r="R523" s="104" t="str">
        <f aca="false">IF(OR(C523&amp;D523="",N(E523)=0),"",IF(OR(O523="?",P523="?"),"⚠ akun tidak dikenal",IF(C523=D523,"⚠ debet = kredit","")))</f>
        <v/>
      </c>
    </row>
    <row r="524" customFormat="false" ht="15" hidden="false" customHeight="false" outlineLevel="0" collapsed="false">
      <c r="A524" s="82" t="s">
        <v>1352</v>
      </c>
      <c r="B524" s="101" t="n">
        <v>46131</v>
      </c>
      <c r="C524" s="82" t="s">
        <v>461</v>
      </c>
      <c r="D524" s="82" t="s">
        <v>557</v>
      </c>
      <c r="E524" s="91" t="n">
        <v>1</v>
      </c>
      <c r="F524" s="82" t="s">
        <v>1172</v>
      </c>
      <c r="G524" s="82"/>
      <c r="H524" s="82"/>
      <c r="I524" s="82" t="s">
        <v>250</v>
      </c>
      <c r="J524" s="102" t="n">
        <f aca="false">IF(B524="","",MONTH(B524))</f>
        <v>4</v>
      </c>
      <c r="K524" s="102" t="n">
        <f aca="false">IF(B524="","",YEAR(B524))</f>
        <v>2026</v>
      </c>
      <c r="L524" s="102" t="str">
        <f aca="false">IF(N(E524)=0,"",IF(COUNTIFS(AK_NAMA,C524,AK_KAT,"KAS")+COUNTIFS(AK_NAMA,D524,AK_KAT,"KAS")&lt;&gt;1,"",IF(COUNTIFS(AK_NAMA,C524,AK_KAT,"KAS")=1,D524,C524)))</f>
        <v>Pendapatan Lainnya</v>
      </c>
      <c r="M524" s="103" t="n">
        <f aca="false">IF(L524="",0,IF(L524=D524,E524,-E524))</f>
        <v>1</v>
      </c>
      <c r="N524" s="102" t="str">
        <f aca="false">IF(L524="","",IFERROR(INDEX(AK_BARIS,MATCH(L524,AK_NAMA,0)),"?"))</f>
        <v>OP2</v>
      </c>
      <c r="O524" s="102" t="str">
        <f aca="false">IF(C524="","",IFERROR(INDEX(AK_KEL,MATCH(C524,AK_NAMA,0)),"?"))</f>
        <v>ASET</v>
      </c>
      <c r="P524" s="102" t="str">
        <f aca="false">IF(D524="","",IFERROR(INDEX(AK_KEL,MATCH(D524,AK_NAMA,0)),"?"))</f>
        <v>PENDAPATAN</v>
      </c>
      <c r="Q524" s="102" t="n">
        <f aca="false">N(Q523)+IF(AND(N(E524)&lt;&gt;0,K524=TAHUN,N(J524)&lt;=BLN,OR(C524=BB_AKUN,D524=BB_AKUN)),1,0)</f>
        <v>333</v>
      </c>
      <c r="R524" s="104" t="str">
        <f aca="false">IF(OR(C524&amp;D524="",N(E524)=0),"",IF(OR(O524="?",P524="?"),"⚠ akun tidak dikenal",IF(C524=D524,"⚠ debet = kredit","")))</f>
        <v/>
      </c>
    </row>
    <row r="525" customFormat="false" ht="15" hidden="false" customHeight="false" outlineLevel="0" collapsed="false">
      <c r="A525" s="82" t="s">
        <v>1353</v>
      </c>
      <c r="B525" s="101" t="n">
        <v>46132</v>
      </c>
      <c r="C525" s="82" t="s">
        <v>486</v>
      </c>
      <c r="D525" s="82" t="s">
        <v>461</v>
      </c>
      <c r="E525" s="91" t="n">
        <v>4000000</v>
      </c>
      <c r="F525" s="82" t="s">
        <v>1354</v>
      </c>
      <c r="G525" s="82"/>
      <c r="H525" s="82"/>
      <c r="I525" s="82" t="s">
        <v>250</v>
      </c>
      <c r="J525" s="102" t="n">
        <f aca="false">IF(B525="","",MONTH(B525))</f>
        <v>4</v>
      </c>
      <c r="K525" s="102" t="n">
        <f aca="false">IF(B525="","",YEAR(B525))</f>
        <v>2026</v>
      </c>
      <c r="L525" s="102" t="str">
        <f aca="false">IF(N(E525)=0,"",IF(COUNTIFS(AK_NAMA,C525,AK_KAT,"KAS")+COUNTIFS(AK_NAMA,D525,AK_KAT,"KAS")&lt;&gt;1,"",IF(COUNTIFS(AK_NAMA,C525,AK_KAT,"KAS")=1,D525,C525)))</f>
        <v/>
      </c>
      <c r="M525" s="103" t="n">
        <f aca="false">IF(L525="",0,IF(L525=D525,E525,-E525))</f>
        <v>0</v>
      </c>
      <c r="N525" s="102" t="str">
        <f aca="false">IF(L525="","",IFERROR(INDEX(AK_BARIS,MATCH(L525,AK_NAMA,0)),"?"))</f>
        <v/>
      </c>
      <c r="O525" s="102" t="str">
        <f aca="false">IF(C525="","",IFERROR(INDEX(AK_KEL,MATCH(C525,AK_NAMA,0)),"?"))</f>
        <v>ASET</v>
      </c>
      <c r="P525" s="102" t="str">
        <f aca="false">IF(D525="","",IFERROR(INDEX(AK_KEL,MATCH(D525,AK_NAMA,0)),"?"))</f>
        <v>ASET</v>
      </c>
      <c r="Q525" s="102" t="n">
        <f aca="false">N(Q524)+IF(AND(N(E525)&lt;&gt;0,K525=TAHUN,N(J525)&lt;=BLN,OR(C525=BB_AKUN,D525=BB_AKUN)),1,0)</f>
        <v>334</v>
      </c>
      <c r="R525" s="104" t="str">
        <f aca="false">IF(OR(C525&amp;D525="",N(E525)=0),"",IF(OR(O525="?",P525="?"),"⚠ akun tidak dikenal",IF(C525=D525,"⚠ debet = kredit","")))</f>
        <v/>
      </c>
    </row>
    <row r="526" customFormat="false" ht="15" hidden="false" customHeight="false" outlineLevel="0" collapsed="false">
      <c r="A526" s="82" t="s">
        <v>1355</v>
      </c>
      <c r="B526" s="101" t="n">
        <v>46132</v>
      </c>
      <c r="C526" s="82" t="s">
        <v>524</v>
      </c>
      <c r="D526" s="82" t="s">
        <v>461</v>
      </c>
      <c r="E526" s="91" t="n">
        <v>1327</v>
      </c>
      <c r="F526" s="82" t="s">
        <v>1254</v>
      </c>
      <c r="G526" s="82"/>
      <c r="H526" s="82"/>
      <c r="I526" s="82" t="s">
        <v>250</v>
      </c>
      <c r="J526" s="102" t="n">
        <f aca="false">IF(B526="","",MONTH(B526))</f>
        <v>4</v>
      </c>
      <c r="K526" s="102" t="n">
        <f aca="false">IF(B526="","",YEAR(B526))</f>
        <v>2026</v>
      </c>
      <c r="L526" s="102" t="str">
        <f aca="false">IF(N(E526)=0,"",IF(COUNTIFS(AK_NAMA,C526,AK_KAT,"KAS")+COUNTIFS(AK_NAMA,D526,AK_KAT,"KAS")&lt;&gt;1,"",IF(COUNTIFS(AK_NAMA,C526,AK_KAT,"KAS")=1,D526,C526)))</f>
        <v>Biaya Lainnya</v>
      </c>
      <c r="M526" s="103" t="n">
        <f aca="false">IF(L526="",0,IF(L526=D526,E526,-E526))</f>
        <v>-1327</v>
      </c>
      <c r="N526" s="102" t="str">
        <f aca="false">IF(L526="","",IFERROR(INDEX(AK_BARIS,MATCH(L526,AK_NAMA,0)),"?"))</f>
        <v>OP2</v>
      </c>
      <c r="O526" s="102" t="str">
        <f aca="false">IF(C526="","",IFERROR(INDEX(AK_KEL,MATCH(C526,AK_NAMA,0)),"?"))</f>
        <v>BEBAN</v>
      </c>
      <c r="P526" s="102" t="str">
        <f aca="false">IF(D526="","",IFERROR(INDEX(AK_KEL,MATCH(D526,AK_NAMA,0)),"?"))</f>
        <v>ASET</v>
      </c>
      <c r="Q526" s="102" t="n">
        <f aca="false">N(Q525)+IF(AND(N(E526)&lt;&gt;0,K526=TAHUN,N(J526)&lt;=BLN,OR(C526=BB_AKUN,D526=BB_AKUN)),1,0)</f>
        <v>335</v>
      </c>
      <c r="R526" s="104" t="str">
        <f aca="false">IF(OR(C526&amp;D526="",N(E526)=0),"",IF(OR(O526="?",P526="?"),"⚠ akun tidak dikenal",IF(C526=D526,"⚠ debet = kredit","")))</f>
        <v/>
      </c>
    </row>
    <row r="527" customFormat="false" ht="15" hidden="false" customHeight="false" outlineLevel="0" collapsed="false">
      <c r="A527" s="82" t="s">
        <v>1356</v>
      </c>
      <c r="B527" s="101" t="n">
        <v>46132</v>
      </c>
      <c r="C527" s="82" t="s">
        <v>524</v>
      </c>
      <c r="D527" s="82" t="s">
        <v>461</v>
      </c>
      <c r="E527" s="91" t="n">
        <v>888888</v>
      </c>
      <c r="F527" s="82" t="s">
        <v>1357</v>
      </c>
      <c r="G527" s="82"/>
      <c r="H527" s="82"/>
      <c r="I527" s="82" t="s">
        <v>250</v>
      </c>
      <c r="J527" s="102" t="n">
        <f aca="false">IF(B527="","",MONTH(B527))</f>
        <v>4</v>
      </c>
      <c r="K527" s="102" t="n">
        <f aca="false">IF(B527="","",YEAR(B527))</f>
        <v>2026</v>
      </c>
      <c r="L527" s="102" t="str">
        <f aca="false">IF(N(E527)=0,"",IF(COUNTIFS(AK_NAMA,C527,AK_KAT,"KAS")+COUNTIFS(AK_NAMA,D527,AK_KAT,"KAS")&lt;&gt;1,"",IF(COUNTIFS(AK_NAMA,C527,AK_KAT,"KAS")=1,D527,C527)))</f>
        <v>Biaya Lainnya</v>
      </c>
      <c r="M527" s="103" t="n">
        <f aca="false">IF(L527="",0,IF(L527=D527,E527,-E527))</f>
        <v>-888888</v>
      </c>
      <c r="N527" s="102" t="str">
        <f aca="false">IF(L527="","",IFERROR(INDEX(AK_BARIS,MATCH(L527,AK_NAMA,0)),"?"))</f>
        <v>OP2</v>
      </c>
      <c r="O527" s="102" t="str">
        <f aca="false">IF(C527="","",IFERROR(INDEX(AK_KEL,MATCH(C527,AK_NAMA,0)),"?"))</f>
        <v>BEBAN</v>
      </c>
      <c r="P527" s="102" t="str">
        <f aca="false">IF(D527="","",IFERROR(INDEX(AK_KEL,MATCH(D527,AK_NAMA,0)),"?"))</f>
        <v>ASET</v>
      </c>
      <c r="Q527" s="102" t="n">
        <f aca="false">N(Q526)+IF(AND(N(E527)&lt;&gt;0,K527=TAHUN,N(J527)&lt;=BLN,OR(C527=BB_AKUN,D527=BB_AKUN)),1,0)</f>
        <v>336</v>
      </c>
      <c r="R527" s="104" t="str">
        <f aca="false">IF(OR(C527&amp;D527="",N(E527)=0),"",IF(OR(O527="?",P527="?"),"⚠ akun tidak dikenal",IF(C527=D527,"⚠ debet = kredit","")))</f>
        <v/>
      </c>
    </row>
    <row r="528" customFormat="false" ht="15" hidden="false" customHeight="false" outlineLevel="0" collapsed="false">
      <c r="A528" s="82" t="s">
        <v>1358</v>
      </c>
      <c r="B528" s="101" t="n">
        <v>46132</v>
      </c>
      <c r="C528" s="82" t="s">
        <v>524</v>
      </c>
      <c r="D528" s="82" t="s">
        <v>461</v>
      </c>
      <c r="E528" s="91" t="n">
        <v>1000</v>
      </c>
      <c r="F528" s="82" t="s">
        <v>1359</v>
      </c>
      <c r="G528" s="82"/>
      <c r="H528" s="82"/>
      <c r="I528" s="82" t="s">
        <v>250</v>
      </c>
      <c r="J528" s="102" t="n">
        <f aca="false">IF(B528="","",MONTH(B528))</f>
        <v>4</v>
      </c>
      <c r="K528" s="102" t="n">
        <f aca="false">IF(B528="","",YEAR(B528))</f>
        <v>2026</v>
      </c>
      <c r="L528" s="102" t="str">
        <f aca="false">IF(N(E528)=0,"",IF(COUNTIFS(AK_NAMA,C528,AK_KAT,"KAS")+COUNTIFS(AK_NAMA,D528,AK_KAT,"KAS")&lt;&gt;1,"",IF(COUNTIFS(AK_NAMA,C528,AK_KAT,"KAS")=1,D528,C528)))</f>
        <v>Biaya Lainnya</v>
      </c>
      <c r="M528" s="103" t="n">
        <f aca="false">IF(L528="",0,IF(L528=D528,E528,-E528))</f>
        <v>-1000</v>
      </c>
      <c r="N528" s="102" t="str">
        <f aca="false">IF(L528="","",IFERROR(INDEX(AK_BARIS,MATCH(L528,AK_NAMA,0)),"?"))</f>
        <v>OP2</v>
      </c>
      <c r="O528" s="102" t="str">
        <f aca="false">IF(C528="","",IFERROR(INDEX(AK_KEL,MATCH(C528,AK_NAMA,0)),"?"))</f>
        <v>BEBAN</v>
      </c>
      <c r="P528" s="102" t="str">
        <f aca="false">IF(D528="","",IFERROR(INDEX(AK_KEL,MATCH(D528,AK_NAMA,0)),"?"))</f>
        <v>ASET</v>
      </c>
      <c r="Q528" s="102" t="n">
        <f aca="false">N(Q527)+IF(AND(N(E528)&lt;&gt;0,K528=TAHUN,N(J528)&lt;=BLN,OR(C528=BB_AKUN,D528=BB_AKUN)),1,0)</f>
        <v>337</v>
      </c>
      <c r="R528" s="104" t="str">
        <f aca="false">IF(OR(C528&amp;D528="",N(E528)=0),"",IF(OR(O528="?",P528="?"),"⚠ akun tidak dikenal",IF(C528=D528,"⚠ debet = kredit","")))</f>
        <v/>
      </c>
    </row>
    <row r="529" customFormat="false" ht="15" hidden="false" customHeight="false" outlineLevel="0" collapsed="false">
      <c r="A529" s="82" t="s">
        <v>1360</v>
      </c>
      <c r="B529" s="101" t="n">
        <v>46132</v>
      </c>
      <c r="C529" s="82" t="s">
        <v>478</v>
      </c>
      <c r="D529" s="82" t="s">
        <v>461</v>
      </c>
      <c r="E529" s="91" t="n">
        <v>1395000</v>
      </c>
      <c r="F529" s="82" t="s">
        <v>1361</v>
      </c>
      <c r="G529" s="82"/>
      <c r="H529" s="82"/>
      <c r="I529" s="82" t="s">
        <v>250</v>
      </c>
      <c r="J529" s="102" t="n">
        <f aca="false">IF(B529="","",MONTH(B529))</f>
        <v>4</v>
      </c>
      <c r="K529" s="102" t="n">
        <f aca="false">IF(B529="","",YEAR(B529))</f>
        <v>2026</v>
      </c>
      <c r="L529" s="102" t="str">
        <f aca="false">IF(N(E529)=0,"",IF(COUNTIFS(AK_NAMA,C529,AK_KAT,"KAS")+COUNTIFS(AK_NAMA,D529,AK_KAT,"KAS")&lt;&gt;1,"",IF(COUNTIFS(AK_NAMA,C529,AK_KAT,"KAS")=1,D529,C529)))</f>
        <v>Biaya Penyajian</v>
      </c>
      <c r="M529" s="103" t="n">
        <f aca="false">IF(L529="",0,IF(L529=D529,E529,-E529))</f>
        <v>-1395000</v>
      </c>
      <c r="N529" s="102" t="str">
        <f aca="false">IF(L529="","",IFERROR(INDEX(AK_BARIS,MATCH(L529,AK_NAMA,0)),"?"))</f>
        <v>OP3</v>
      </c>
      <c r="O529" s="102" t="str">
        <f aca="false">IF(C529="","",IFERROR(INDEX(AK_KEL,MATCH(C529,AK_NAMA,0)),"?"))</f>
        <v>BEBAN</v>
      </c>
      <c r="P529" s="102" t="str">
        <f aca="false">IF(D529="","",IFERROR(INDEX(AK_KEL,MATCH(D529,AK_NAMA,0)),"?"))</f>
        <v>ASET</v>
      </c>
      <c r="Q529" s="102" t="n">
        <f aca="false">N(Q528)+IF(AND(N(E529)&lt;&gt;0,K529=TAHUN,N(J529)&lt;=BLN,OR(C529=BB_AKUN,D529=BB_AKUN)),1,0)</f>
        <v>338</v>
      </c>
      <c r="R529" s="104" t="str">
        <f aca="false">IF(OR(C529&amp;D529="",N(E529)=0),"",IF(OR(O529="?",P529="?"),"⚠ akun tidak dikenal",IF(C529=D529,"⚠ debet = kredit","")))</f>
        <v/>
      </c>
    </row>
    <row r="530" customFormat="false" ht="15" hidden="false" customHeight="false" outlineLevel="0" collapsed="false">
      <c r="A530" s="82" t="s">
        <v>1362</v>
      </c>
      <c r="B530" s="101" t="n">
        <v>46132</v>
      </c>
      <c r="C530" s="82" t="s">
        <v>669</v>
      </c>
      <c r="D530" s="82" t="s">
        <v>461</v>
      </c>
      <c r="E530" s="91" t="n">
        <v>287490</v>
      </c>
      <c r="F530" s="82" t="s">
        <v>670</v>
      </c>
      <c r="G530" s="82"/>
      <c r="H530" s="82"/>
      <c r="I530" s="82" t="s">
        <v>250</v>
      </c>
      <c r="J530" s="102" t="n">
        <f aca="false">IF(B530="","",MONTH(B530))</f>
        <v>4</v>
      </c>
      <c r="K530" s="102" t="n">
        <f aca="false">IF(B530="","",YEAR(B530))</f>
        <v>2026</v>
      </c>
      <c r="L530" s="102" t="str">
        <f aca="false">IF(N(E530)=0,"",IF(COUNTIFS(AK_NAMA,C530,AK_KAT,"KAS")+COUNTIFS(AK_NAMA,D530,AK_KAT,"KAS")&lt;&gt;1,"",IF(COUNTIFS(AK_NAMA,C530,AK_KAT,"KAS")=1,D530,C530)))</f>
        <v>Biaya Tagihan Bulanan</v>
      </c>
      <c r="M530" s="103" t="n">
        <f aca="false">IF(L530="",0,IF(L530=D530,E530,-E530))</f>
        <v>-287490</v>
      </c>
      <c r="N530" s="102" t="str">
        <f aca="false">IF(L530="","",IFERROR(INDEX(AK_BARIS,MATCH(L530,AK_NAMA,0)),"?"))</f>
        <v>OP6</v>
      </c>
      <c r="O530" s="102" t="str">
        <f aca="false">IF(C530="","",IFERROR(INDEX(AK_KEL,MATCH(C530,AK_NAMA,0)),"?"))</f>
        <v>BEBAN</v>
      </c>
      <c r="P530" s="102" t="str">
        <f aca="false">IF(D530="","",IFERROR(INDEX(AK_KEL,MATCH(D530,AK_NAMA,0)),"?"))</f>
        <v>ASET</v>
      </c>
      <c r="Q530" s="102" t="n">
        <f aca="false">N(Q529)+IF(AND(N(E530)&lt;&gt;0,K530=TAHUN,N(J530)&lt;=BLN,OR(C530=BB_AKUN,D530=BB_AKUN)),1,0)</f>
        <v>339</v>
      </c>
      <c r="R530" s="104" t="str">
        <f aca="false">IF(OR(C530&amp;D530="",N(E530)=0),"",IF(OR(O530="?",P530="?"),"⚠ akun tidak dikenal",IF(C530=D530,"⚠ debet = kredit","")))</f>
        <v/>
      </c>
    </row>
    <row r="531" customFormat="false" ht="15" hidden="false" customHeight="false" outlineLevel="0" collapsed="false">
      <c r="A531" s="82" t="s">
        <v>1363</v>
      </c>
      <c r="B531" s="101" t="n">
        <v>46132</v>
      </c>
      <c r="C531" s="82" t="s">
        <v>470</v>
      </c>
      <c r="D531" s="82" t="s">
        <v>461</v>
      </c>
      <c r="E531" s="91" t="n">
        <v>460000</v>
      </c>
      <c r="F531" s="82" t="s">
        <v>1364</v>
      </c>
      <c r="G531" s="82"/>
      <c r="H531" s="82"/>
      <c r="I531" s="82" t="s">
        <v>250</v>
      </c>
      <c r="J531" s="102" t="n">
        <f aca="false">IF(B531="","",MONTH(B531))</f>
        <v>4</v>
      </c>
      <c r="K531" s="102" t="n">
        <f aca="false">IF(B531="","",YEAR(B531))</f>
        <v>2026</v>
      </c>
      <c r="L531" s="102" t="str">
        <f aca="false">IF(N(E531)=0,"",IF(COUNTIFS(AK_NAMA,C531,AK_KAT,"KAS")+COUNTIFS(AK_NAMA,D531,AK_KAT,"KAS")&lt;&gt;1,"",IF(COUNTIFS(AK_NAMA,C531,AK_KAT,"KAS")=1,D531,C531)))</f>
        <v>Biaya Bahan Baku</v>
      </c>
      <c r="M531" s="103" t="n">
        <f aca="false">IF(L531="",0,IF(L531=D531,E531,-E531))</f>
        <v>-460000</v>
      </c>
      <c r="N531" s="102" t="str">
        <f aca="false">IF(L531="","",IFERROR(INDEX(AK_BARIS,MATCH(L531,AK_NAMA,0)),"?"))</f>
        <v>OP3</v>
      </c>
      <c r="O531" s="102" t="str">
        <f aca="false">IF(C531="","",IFERROR(INDEX(AK_KEL,MATCH(C531,AK_NAMA,0)),"?"))</f>
        <v>BEBAN</v>
      </c>
      <c r="P531" s="102" t="str">
        <f aca="false">IF(D531="","",IFERROR(INDEX(AK_KEL,MATCH(D531,AK_NAMA,0)),"?"))</f>
        <v>ASET</v>
      </c>
      <c r="Q531" s="102" t="n">
        <f aca="false">N(Q530)+IF(AND(N(E531)&lt;&gt;0,K531=TAHUN,N(J531)&lt;=BLN,OR(C531=BB_AKUN,D531=BB_AKUN)),1,0)</f>
        <v>340</v>
      </c>
      <c r="R531" s="104" t="str">
        <f aca="false">IF(OR(C531&amp;D531="",N(E531)=0),"",IF(OR(O531="?",P531="?"),"⚠ akun tidak dikenal",IF(C531=D531,"⚠ debet = kredit","")))</f>
        <v/>
      </c>
    </row>
    <row r="532" customFormat="false" ht="15" hidden="false" customHeight="false" outlineLevel="0" collapsed="false">
      <c r="A532" s="82" t="s">
        <v>1365</v>
      </c>
      <c r="B532" s="101" t="n">
        <v>46132</v>
      </c>
      <c r="C532" s="82" t="s">
        <v>486</v>
      </c>
      <c r="D532" s="82" t="s">
        <v>461</v>
      </c>
      <c r="E532" s="91" t="n">
        <v>4000000</v>
      </c>
      <c r="F532" s="82" t="s">
        <v>1366</v>
      </c>
      <c r="G532" s="82"/>
      <c r="H532" s="82"/>
      <c r="I532" s="82" t="s">
        <v>250</v>
      </c>
      <c r="J532" s="102" t="n">
        <f aca="false">IF(B532="","",MONTH(B532))</f>
        <v>4</v>
      </c>
      <c r="K532" s="102" t="n">
        <f aca="false">IF(B532="","",YEAR(B532))</f>
        <v>2026</v>
      </c>
      <c r="L532" s="102" t="str">
        <f aca="false">IF(N(E532)=0,"",IF(COUNTIFS(AK_NAMA,C532,AK_KAT,"KAS")+COUNTIFS(AK_NAMA,D532,AK_KAT,"KAS")&lt;&gt;1,"",IF(COUNTIFS(AK_NAMA,C532,AK_KAT,"KAS")=1,D532,C532)))</f>
        <v/>
      </c>
      <c r="M532" s="103" t="n">
        <f aca="false">IF(L532="",0,IF(L532=D532,E532,-E532))</f>
        <v>0</v>
      </c>
      <c r="N532" s="102" t="str">
        <f aca="false">IF(L532="","",IFERROR(INDEX(AK_BARIS,MATCH(L532,AK_NAMA,0)),"?"))</f>
        <v/>
      </c>
      <c r="O532" s="102" t="str">
        <f aca="false">IF(C532="","",IFERROR(INDEX(AK_KEL,MATCH(C532,AK_NAMA,0)),"?"))</f>
        <v>ASET</v>
      </c>
      <c r="P532" s="102" t="str">
        <f aca="false">IF(D532="","",IFERROR(INDEX(AK_KEL,MATCH(D532,AK_NAMA,0)),"?"))</f>
        <v>ASET</v>
      </c>
      <c r="Q532" s="102" t="n">
        <f aca="false">N(Q531)+IF(AND(N(E532)&lt;&gt;0,K532=TAHUN,N(J532)&lt;=BLN,OR(C532=BB_AKUN,D532=BB_AKUN)),1,0)</f>
        <v>341</v>
      </c>
      <c r="R532" s="104" t="str">
        <f aca="false">IF(OR(C532&amp;D532="",N(E532)=0),"",IF(OR(O532="?",P532="?"),"⚠ akun tidak dikenal",IF(C532=D532,"⚠ debet = kredit","")))</f>
        <v/>
      </c>
    </row>
    <row r="533" customFormat="false" ht="15" hidden="false" customHeight="false" outlineLevel="0" collapsed="false">
      <c r="A533" s="82" t="s">
        <v>1367</v>
      </c>
      <c r="B533" s="101" t="n">
        <v>46132</v>
      </c>
      <c r="C533" s="82" t="s">
        <v>467</v>
      </c>
      <c r="D533" s="82" t="s">
        <v>461</v>
      </c>
      <c r="E533" s="91" t="n">
        <v>800000</v>
      </c>
      <c r="F533" s="82" t="s">
        <v>468</v>
      </c>
      <c r="G533" s="82"/>
      <c r="H533" s="82"/>
      <c r="I533" s="82" t="s">
        <v>250</v>
      </c>
      <c r="J533" s="102" t="n">
        <f aca="false">IF(B533="","",MONTH(B533))</f>
        <v>4</v>
      </c>
      <c r="K533" s="102" t="n">
        <f aca="false">IF(B533="","",YEAR(B533))</f>
        <v>2026</v>
      </c>
      <c r="L533" s="102" t="str">
        <f aca="false">IF(N(E533)=0,"",IF(COUNTIFS(AK_NAMA,C533,AK_KAT,"KAS")+COUNTIFS(AK_NAMA,D533,AK_KAT,"KAS")&lt;&gt;1,"",IF(COUNTIFS(AK_NAMA,C533,AK_KAT,"KAS")=1,D533,C533)))</f>
        <v>Dana Sosial &amp; CSR</v>
      </c>
      <c r="M533" s="103" t="n">
        <f aca="false">IF(L533="",0,IF(L533=D533,E533,-E533))</f>
        <v>-800000</v>
      </c>
      <c r="N533" s="102" t="str">
        <f aca="false">IF(L533="","",IFERROR(INDEX(AK_BARIS,MATCH(L533,AK_NAMA,0)),"?"))</f>
        <v>OP6</v>
      </c>
      <c r="O533" s="102" t="str">
        <f aca="false">IF(C533="","",IFERROR(INDEX(AK_KEL,MATCH(C533,AK_NAMA,0)),"?"))</f>
        <v>BEBAN</v>
      </c>
      <c r="P533" s="102" t="str">
        <f aca="false">IF(D533="","",IFERROR(INDEX(AK_KEL,MATCH(D533,AK_NAMA,0)),"?"))</f>
        <v>ASET</v>
      </c>
      <c r="Q533" s="102" t="n">
        <f aca="false">N(Q532)+IF(AND(N(E533)&lt;&gt;0,K533=TAHUN,N(J533)&lt;=BLN,OR(C533=BB_AKUN,D533=BB_AKUN)),1,0)</f>
        <v>342</v>
      </c>
      <c r="R533" s="104" t="str">
        <f aca="false">IF(OR(C533&amp;D533="",N(E533)=0),"",IF(OR(O533="?",P533="?"),"⚠ akun tidak dikenal",IF(C533=D533,"⚠ debet = kredit","")))</f>
        <v/>
      </c>
    </row>
    <row r="534" customFormat="false" ht="15" hidden="false" customHeight="false" outlineLevel="0" collapsed="false">
      <c r="A534" s="82" t="s">
        <v>1368</v>
      </c>
      <c r="B534" s="101" t="n">
        <v>46132</v>
      </c>
      <c r="C534" s="82" t="s">
        <v>718</v>
      </c>
      <c r="D534" s="82" t="s">
        <v>461</v>
      </c>
      <c r="E534" s="91" t="n">
        <v>320000</v>
      </c>
      <c r="F534" s="82" t="s">
        <v>1369</v>
      </c>
      <c r="G534" s="82"/>
      <c r="H534" s="82" t="s">
        <v>763</v>
      </c>
      <c r="I534" s="82" t="s">
        <v>250</v>
      </c>
      <c r="J534" s="102" t="n">
        <f aca="false">IF(B534="","",MONTH(B534))</f>
        <v>4</v>
      </c>
      <c r="K534" s="102" t="n">
        <f aca="false">IF(B534="","",YEAR(B534))</f>
        <v>2026</v>
      </c>
      <c r="L534" s="102" t="str">
        <f aca="false">IF(N(E534)=0,"",IF(COUNTIFS(AK_NAMA,C534,AK_KAT,"KAS")+COUNTIFS(AK_NAMA,D534,AK_KAT,"KAS")&lt;&gt;1,"",IF(COUNTIFS(AK_NAMA,C534,AK_KAT,"KAS")=1,D534,C534)))</f>
        <v>Piutang Lainnya</v>
      </c>
      <c r="M534" s="103" t="n">
        <f aca="false">IF(L534="",0,IF(L534=D534,E534,-E534))</f>
        <v>-320000</v>
      </c>
      <c r="N534" s="102" t="str">
        <f aca="false">IF(L534="","",IFERROR(INDEX(AK_BARIS,MATCH(L534,AK_NAMA,0)),"?"))</f>
        <v>OP2</v>
      </c>
      <c r="O534" s="102" t="str">
        <f aca="false">IF(C534="","",IFERROR(INDEX(AK_KEL,MATCH(C534,AK_NAMA,0)),"?"))</f>
        <v>ASET</v>
      </c>
      <c r="P534" s="102" t="str">
        <f aca="false">IF(D534="","",IFERROR(INDEX(AK_KEL,MATCH(D534,AK_NAMA,0)),"?"))</f>
        <v>ASET</v>
      </c>
      <c r="Q534" s="102" t="n">
        <f aca="false">N(Q533)+IF(AND(N(E534)&lt;&gt;0,K534=TAHUN,N(J534)&lt;=BLN,OR(C534=BB_AKUN,D534=BB_AKUN)),1,0)</f>
        <v>343</v>
      </c>
      <c r="R534" s="104" t="str">
        <f aca="false">IF(OR(C534&amp;D534="",N(E534)=0),"",IF(OR(O534="?",P534="?"),"⚠ akun tidak dikenal",IF(C534=D534,"⚠ debet = kredit","")))</f>
        <v/>
      </c>
    </row>
    <row r="535" customFormat="false" ht="15" hidden="false" customHeight="false" outlineLevel="0" collapsed="false">
      <c r="A535" s="82" t="s">
        <v>1370</v>
      </c>
      <c r="B535" s="101" t="n">
        <v>46132</v>
      </c>
      <c r="C535" s="82" t="s">
        <v>470</v>
      </c>
      <c r="D535" s="82" t="s">
        <v>461</v>
      </c>
      <c r="E535" s="91" t="n">
        <v>1622000</v>
      </c>
      <c r="F535" s="82" t="s">
        <v>1371</v>
      </c>
      <c r="G535" s="82"/>
      <c r="H535" s="82"/>
      <c r="I535" s="82" t="s">
        <v>250</v>
      </c>
      <c r="J535" s="102" t="n">
        <f aca="false">IF(B535="","",MONTH(B535))</f>
        <v>4</v>
      </c>
      <c r="K535" s="102" t="n">
        <f aca="false">IF(B535="","",YEAR(B535))</f>
        <v>2026</v>
      </c>
      <c r="L535" s="102" t="str">
        <f aca="false">IF(N(E535)=0,"",IF(COUNTIFS(AK_NAMA,C535,AK_KAT,"KAS")+COUNTIFS(AK_NAMA,D535,AK_KAT,"KAS")&lt;&gt;1,"",IF(COUNTIFS(AK_NAMA,C535,AK_KAT,"KAS")=1,D535,C535)))</f>
        <v>Biaya Bahan Baku</v>
      </c>
      <c r="M535" s="103" t="n">
        <f aca="false">IF(L535="",0,IF(L535=D535,E535,-E535))</f>
        <v>-1622000</v>
      </c>
      <c r="N535" s="102" t="str">
        <f aca="false">IF(L535="","",IFERROR(INDEX(AK_BARIS,MATCH(L535,AK_NAMA,0)),"?"))</f>
        <v>OP3</v>
      </c>
      <c r="O535" s="102" t="str">
        <f aca="false">IF(C535="","",IFERROR(INDEX(AK_KEL,MATCH(C535,AK_NAMA,0)),"?"))</f>
        <v>BEBAN</v>
      </c>
      <c r="P535" s="102" t="str">
        <f aca="false">IF(D535="","",IFERROR(INDEX(AK_KEL,MATCH(D535,AK_NAMA,0)),"?"))</f>
        <v>ASET</v>
      </c>
      <c r="Q535" s="102" t="n">
        <f aca="false">N(Q534)+IF(AND(N(E535)&lt;&gt;0,K535=TAHUN,N(J535)&lt;=BLN,OR(C535=BB_AKUN,D535=BB_AKUN)),1,0)</f>
        <v>344</v>
      </c>
      <c r="R535" s="104" t="str">
        <f aca="false">IF(OR(C535&amp;D535="",N(E535)=0),"",IF(OR(O535="?",P535="?"),"⚠ akun tidak dikenal",IF(C535=D535,"⚠ debet = kredit","")))</f>
        <v/>
      </c>
    </row>
    <row r="536" customFormat="false" ht="15" hidden="false" customHeight="false" outlineLevel="0" collapsed="false">
      <c r="A536" s="82" t="s">
        <v>1372</v>
      </c>
      <c r="B536" s="101" t="n">
        <v>46133</v>
      </c>
      <c r="C536" s="82" t="s">
        <v>470</v>
      </c>
      <c r="D536" s="82" t="s">
        <v>461</v>
      </c>
      <c r="E536" s="91" t="n">
        <v>9120000</v>
      </c>
      <c r="F536" s="82" t="s">
        <v>1373</v>
      </c>
      <c r="G536" s="82"/>
      <c r="H536" s="82"/>
      <c r="I536" s="82" t="s">
        <v>250</v>
      </c>
      <c r="J536" s="102" t="n">
        <f aca="false">IF(B536="","",MONTH(B536))</f>
        <v>4</v>
      </c>
      <c r="K536" s="102" t="n">
        <f aca="false">IF(B536="","",YEAR(B536))</f>
        <v>2026</v>
      </c>
      <c r="L536" s="102" t="str">
        <f aca="false">IF(N(E536)=0,"",IF(COUNTIFS(AK_NAMA,C536,AK_KAT,"KAS")+COUNTIFS(AK_NAMA,D536,AK_KAT,"KAS")&lt;&gt;1,"",IF(COUNTIFS(AK_NAMA,C536,AK_KAT,"KAS")=1,D536,C536)))</f>
        <v>Biaya Bahan Baku</v>
      </c>
      <c r="M536" s="103" t="n">
        <f aca="false">IF(L536="",0,IF(L536=D536,E536,-E536))</f>
        <v>-9120000</v>
      </c>
      <c r="N536" s="102" t="str">
        <f aca="false">IF(L536="","",IFERROR(INDEX(AK_BARIS,MATCH(L536,AK_NAMA,0)),"?"))</f>
        <v>OP3</v>
      </c>
      <c r="O536" s="102" t="str">
        <f aca="false">IF(C536="","",IFERROR(INDEX(AK_KEL,MATCH(C536,AK_NAMA,0)),"?"))</f>
        <v>BEBAN</v>
      </c>
      <c r="P536" s="102" t="str">
        <f aca="false">IF(D536="","",IFERROR(INDEX(AK_KEL,MATCH(D536,AK_NAMA,0)),"?"))</f>
        <v>ASET</v>
      </c>
      <c r="Q536" s="102" t="n">
        <f aca="false">N(Q535)+IF(AND(N(E536)&lt;&gt;0,K536=TAHUN,N(J536)&lt;=BLN,OR(C536=BB_AKUN,D536=BB_AKUN)),1,0)</f>
        <v>345</v>
      </c>
      <c r="R536" s="104" t="str">
        <f aca="false">IF(OR(C536&amp;D536="",N(E536)=0),"",IF(OR(O536="?",P536="?"),"⚠ akun tidak dikenal",IF(C536=D536,"⚠ debet = kredit","")))</f>
        <v/>
      </c>
    </row>
    <row r="537" customFormat="false" ht="15" hidden="false" customHeight="false" outlineLevel="0" collapsed="false">
      <c r="A537" s="82" t="s">
        <v>1374</v>
      </c>
      <c r="B537" s="101" t="n">
        <v>46133</v>
      </c>
      <c r="C537" s="82" t="s">
        <v>470</v>
      </c>
      <c r="D537" s="82" t="s">
        <v>461</v>
      </c>
      <c r="E537" s="91" t="n">
        <v>3345000</v>
      </c>
      <c r="F537" s="82" t="s">
        <v>1375</v>
      </c>
      <c r="G537" s="82"/>
      <c r="H537" s="82"/>
      <c r="I537" s="82" t="s">
        <v>250</v>
      </c>
      <c r="J537" s="102" t="n">
        <f aca="false">IF(B537="","",MONTH(B537))</f>
        <v>4</v>
      </c>
      <c r="K537" s="102" t="n">
        <f aca="false">IF(B537="","",YEAR(B537))</f>
        <v>2026</v>
      </c>
      <c r="L537" s="102" t="str">
        <f aca="false">IF(N(E537)=0,"",IF(COUNTIFS(AK_NAMA,C537,AK_KAT,"KAS")+COUNTIFS(AK_NAMA,D537,AK_KAT,"KAS")&lt;&gt;1,"",IF(COUNTIFS(AK_NAMA,C537,AK_KAT,"KAS")=1,D537,C537)))</f>
        <v>Biaya Bahan Baku</v>
      </c>
      <c r="M537" s="103" t="n">
        <f aca="false">IF(L537="",0,IF(L537=D537,E537,-E537))</f>
        <v>-3345000</v>
      </c>
      <c r="N537" s="102" t="str">
        <f aca="false">IF(L537="","",IFERROR(INDEX(AK_BARIS,MATCH(L537,AK_NAMA,0)),"?"))</f>
        <v>OP3</v>
      </c>
      <c r="O537" s="102" t="str">
        <f aca="false">IF(C537="","",IFERROR(INDEX(AK_KEL,MATCH(C537,AK_NAMA,0)),"?"))</f>
        <v>BEBAN</v>
      </c>
      <c r="P537" s="102" t="str">
        <f aca="false">IF(D537="","",IFERROR(INDEX(AK_KEL,MATCH(D537,AK_NAMA,0)),"?"))</f>
        <v>ASET</v>
      </c>
      <c r="Q537" s="102" t="n">
        <f aca="false">N(Q536)+IF(AND(N(E537)&lt;&gt;0,K537=TAHUN,N(J537)&lt;=BLN,OR(C537=BB_AKUN,D537=BB_AKUN)),1,0)</f>
        <v>346</v>
      </c>
      <c r="R537" s="104" t="str">
        <f aca="false">IF(OR(C537&amp;D537="",N(E537)=0),"",IF(OR(O537="?",P537="?"),"⚠ akun tidak dikenal",IF(C537=D537,"⚠ debet = kredit","")))</f>
        <v/>
      </c>
    </row>
    <row r="538" customFormat="false" ht="15" hidden="false" customHeight="false" outlineLevel="0" collapsed="false">
      <c r="A538" s="82" t="s">
        <v>1376</v>
      </c>
      <c r="B538" s="101" t="n">
        <v>46134</v>
      </c>
      <c r="C538" s="82" t="s">
        <v>460</v>
      </c>
      <c r="D538" s="82" t="s">
        <v>461</v>
      </c>
      <c r="E538" s="91" t="n">
        <v>600000</v>
      </c>
      <c r="F538" s="82" t="s">
        <v>1377</v>
      </c>
      <c r="G538" s="82"/>
      <c r="H538" s="82"/>
      <c r="I538" s="82" t="s">
        <v>250</v>
      </c>
      <c r="J538" s="102" t="n">
        <f aca="false">IF(B538="","",MONTH(B538))</f>
        <v>4</v>
      </c>
      <c r="K538" s="102" t="n">
        <f aca="false">IF(B538="","",YEAR(B538))</f>
        <v>2026</v>
      </c>
      <c r="L538" s="102" t="str">
        <f aca="false">IF(N(E538)=0,"",IF(COUNTIFS(AK_NAMA,C538,AK_KAT,"KAS")+COUNTIFS(AK_NAMA,D538,AK_KAT,"KAS")&lt;&gt;1,"",IF(COUNTIFS(AK_NAMA,C538,AK_KAT,"KAS")=1,D538,C538)))</f>
        <v>Biaya Marketing &amp; Promosi</v>
      </c>
      <c r="M538" s="103" t="n">
        <f aca="false">IF(L538="",0,IF(L538=D538,E538,-E538))</f>
        <v>-600000</v>
      </c>
      <c r="N538" s="102" t="str">
        <f aca="false">IF(L538="","",IFERROR(INDEX(AK_BARIS,MATCH(L538,AK_NAMA,0)),"?"))</f>
        <v>OP6</v>
      </c>
      <c r="O538" s="102" t="str">
        <f aca="false">IF(C538="","",IFERROR(INDEX(AK_KEL,MATCH(C538,AK_NAMA,0)),"?"))</f>
        <v>BEBAN</v>
      </c>
      <c r="P538" s="102" t="str">
        <f aca="false">IF(D538="","",IFERROR(INDEX(AK_KEL,MATCH(D538,AK_NAMA,0)),"?"))</f>
        <v>ASET</v>
      </c>
      <c r="Q538" s="102" t="n">
        <f aca="false">N(Q537)+IF(AND(N(E538)&lt;&gt;0,K538=TAHUN,N(J538)&lt;=BLN,OR(C538=BB_AKUN,D538=BB_AKUN)),1,0)</f>
        <v>347</v>
      </c>
      <c r="R538" s="104" t="str">
        <f aca="false">IF(OR(C538&amp;D538="",N(E538)=0),"",IF(OR(O538="?",P538="?"),"⚠ akun tidak dikenal",IF(C538=D538,"⚠ debet = kredit","")))</f>
        <v/>
      </c>
    </row>
    <row r="539" customFormat="false" ht="15" hidden="false" customHeight="false" outlineLevel="0" collapsed="false">
      <c r="A539" s="82" t="s">
        <v>1378</v>
      </c>
      <c r="B539" s="101" t="n">
        <v>46134</v>
      </c>
      <c r="C539" s="82" t="s">
        <v>470</v>
      </c>
      <c r="D539" s="82" t="s">
        <v>461</v>
      </c>
      <c r="E539" s="91" t="n">
        <v>150500</v>
      </c>
      <c r="F539" s="82" t="s">
        <v>1379</v>
      </c>
      <c r="G539" s="82"/>
      <c r="H539" s="82"/>
      <c r="I539" s="82" t="s">
        <v>250</v>
      </c>
      <c r="J539" s="102" t="n">
        <f aca="false">IF(B539="","",MONTH(B539))</f>
        <v>4</v>
      </c>
      <c r="K539" s="102" t="n">
        <f aca="false">IF(B539="","",YEAR(B539))</f>
        <v>2026</v>
      </c>
      <c r="L539" s="102" t="str">
        <f aca="false">IF(N(E539)=0,"",IF(COUNTIFS(AK_NAMA,C539,AK_KAT,"KAS")+COUNTIFS(AK_NAMA,D539,AK_KAT,"KAS")&lt;&gt;1,"",IF(COUNTIFS(AK_NAMA,C539,AK_KAT,"KAS")=1,D539,C539)))</f>
        <v>Biaya Bahan Baku</v>
      </c>
      <c r="M539" s="103" t="n">
        <f aca="false">IF(L539="",0,IF(L539=D539,E539,-E539))</f>
        <v>-150500</v>
      </c>
      <c r="N539" s="102" t="str">
        <f aca="false">IF(L539="","",IFERROR(INDEX(AK_BARIS,MATCH(L539,AK_NAMA,0)),"?"))</f>
        <v>OP3</v>
      </c>
      <c r="O539" s="102" t="str">
        <f aca="false">IF(C539="","",IFERROR(INDEX(AK_KEL,MATCH(C539,AK_NAMA,0)),"?"))</f>
        <v>BEBAN</v>
      </c>
      <c r="P539" s="102" t="str">
        <f aca="false">IF(D539="","",IFERROR(INDEX(AK_KEL,MATCH(D539,AK_NAMA,0)),"?"))</f>
        <v>ASET</v>
      </c>
      <c r="Q539" s="102" t="n">
        <f aca="false">N(Q538)+IF(AND(N(E539)&lt;&gt;0,K539=TAHUN,N(J539)&lt;=BLN,OR(C539=BB_AKUN,D539=BB_AKUN)),1,0)</f>
        <v>348</v>
      </c>
      <c r="R539" s="104" t="str">
        <f aca="false">IF(OR(C539&amp;D539="",N(E539)=0),"",IF(OR(O539="?",P539="?"),"⚠ akun tidak dikenal",IF(C539=D539,"⚠ debet = kredit","")))</f>
        <v/>
      </c>
    </row>
    <row r="540" customFormat="false" ht="15" hidden="false" customHeight="false" outlineLevel="0" collapsed="false">
      <c r="A540" s="82" t="s">
        <v>1380</v>
      </c>
      <c r="B540" s="101" t="n">
        <v>46134</v>
      </c>
      <c r="C540" s="82" t="s">
        <v>478</v>
      </c>
      <c r="D540" s="82" t="s">
        <v>461</v>
      </c>
      <c r="E540" s="91" t="n">
        <v>18000</v>
      </c>
      <c r="F540" s="82" t="s">
        <v>1381</v>
      </c>
      <c r="G540" s="82"/>
      <c r="H540" s="82"/>
      <c r="I540" s="82" t="s">
        <v>250</v>
      </c>
      <c r="J540" s="102" t="n">
        <f aca="false">IF(B540="","",MONTH(B540))</f>
        <v>4</v>
      </c>
      <c r="K540" s="102" t="n">
        <f aca="false">IF(B540="","",YEAR(B540))</f>
        <v>2026</v>
      </c>
      <c r="L540" s="102" t="str">
        <f aca="false">IF(N(E540)=0,"",IF(COUNTIFS(AK_NAMA,C540,AK_KAT,"KAS")+COUNTIFS(AK_NAMA,D540,AK_KAT,"KAS")&lt;&gt;1,"",IF(COUNTIFS(AK_NAMA,C540,AK_KAT,"KAS")=1,D540,C540)))</f>
        <v>Biaya Penyajian</v>
      </c>
      <c r="M540" s="103" t="n">
        <f aca="false">IF(L540="",0,IF(L540=D540,E540,-E540))</f>
        <v>-18000</v>
      </c>
      <c r="N540" s="102" t="str">
        <f aca="false">IF(L540="","",IFERROR(INDEX(AK_BARIS,MATCH(L540,AK_NAMA,0)),"?"))</f>
        <v>OP3</v>
      </c>
      <c r="O540" s="102" t="str">
        <f aca="false">IF(C540="","",IFERROR(INDEX(AK_KEL,MATCH(C540,AK_NAMA,0)),"?"))</f>
        <v>BEBAN</v>
      </c>
      <c r="P540" s="102" t="str">
        <f aca="false">IF(D540="","",IFERROR(INDEX(AK_KEL,MATCH(D540,AK_NAMA,0)),"?"))</f>
        <v>ASET</v>
      </c>
      <c r="Q540" s="102" t="n">
        <f aca="false">N(Q539)+IF(AND(N(E540)&lt;&gt;0,K540=TAHUN,N(J540)&lt;=BLN,OR(C540=BB_AKUN,D540=BB_AKUN)),1,0)</f>
        <v>349</v>
      </c>
      <c r="R540" s="104" t="str">
        <f aca="false">IF(OR(C540&amp;D540="",N(E540)=0),"",IF(OR(O540="?",P540="?"),"⚠ akun tidak dikenal",IF(C540=D540,"⚠ debet = kredit","")))</f>
        <v/>
      </c>
    </row>
    <row r="541" customFormat="false" ht="15" hidden="false" customHeight="false" outlineLevel="0" collapsed="false">
      <c r="A541" s="82" t="s">
        <v>1382</v>
      </c>
      <c r="B541" s="101" t="n">
        <v>46134</v>
      </c>
      <c r="C541" s="82" t="s">
        <v>470</v>
      </c>
      <c r="D541" s="82" t="s">
        <v>461</v>
      </c>
      <c r="E541" s="91" t="n">
        <v>360000</v>
      </c>
      <c r="F541" s="82" t="s">
        <v>1383</v>
      </c>
      <c r="G541" s="82"/>
      <c r="H541" s="82"/>
      <c r="I541" s="82" t="s">
        <v>250</v>
      </c>
      <c r="J541" s="102" t="n">
        <f aca="false">IF(B541="","",MONTH(B541))</f>
        <v>4</v>
      </c>
      <c r="K541" s="102" t="n">
        <f aca="false">IF(B541="","",YEAR(B541))</f>
        <v>2026</v>
      </c>
      <c r="L541" s="102" t="str">
        <f aca="false">IF(N(E541)=0,"",IF(COUNTIFS(AK_NAMA,C541,AK_KAT,"KAS")+COUNTIFS(AK_NAMA,D541,AK_KAT,"KAS")&lt;&gt;1,"",IF(COUNTIFS(AK_NAMA,C541,AK_KAT,"KAS")=1,D541,C541)))</f>
        <v>Biaya Bahan Baku</v>
      </c>
      <c r="M541" s="103" t="n">
        <f aca="false">IF(L541="",0,IF(L541=D541,E541,-E541))</f>
        <v>-360000</v>
      </c>
      <c r="N541" s="102" t="str">
        <f aca="false">IF(L541="","",IFERROR(INDEX(AK_BARIS,MATCH(L541,AK_NAMA,0)),"?"))</f>
        <v>OP3</v>
      </c>
      <c r="O541" s="102" t="str">
        <f aca="false">IF(C541="","",IFERROR(INDEX(AK_KEL,MATCH(C541,AK_NAMA,0)),"?"))</f>
        <v>BEBAN</v>
      </c>
      <c r="P541" s="102" t="str">
        <f aca="false">IF(D541="","",IFERROR(INDEX(AK_KEL,MATCH(D541,AK_NAMA,0)),"?"))</f>
        <v>ASET</v>
      </c>
      <c r="Q541" s="102" t="n">
        <f aca="false">N(Q540)+IF(AND(N(E541)&lt;&gt;0,K541=TAHUN,N(J541)&lt;=BLN,OR(C541=BB_AKUN,D541=BB_AKUN)),1,0)</f>
        <v>350</v>
      </c>
      <c r="R541" s="104" t="str">
        <f aca="false">IF(OR(C541&amp;D541="",N(E541)=0),"",IF(OR(O541="?",P541="?"),"⚠ akun tidak dikenal",IF(C541=D541,"⚠ debet = kredit","")))</f>
        <v/>
      </c>
    </row>
    <row r="542" customFormat="false" ht="15" hidden="false" customHeight="false" outlineLevel="0" collapsed="false">
      <c r="A542" s="82" t="s">
        <v>1384</v>
      </c>
      <c r="B542" s="101" t="n">
        <v>46134</v>
      </c>
      <c r="C542" s="82" t="s">
        <v>470</v>
      </c>
      <c r="D542" s="82" t="s">
        <v>475</v>
      </c>
      <c r="E542" s="91" t="n">
        <v>20000</v>
      </c>
      <c r="F542" s="82" t="s">
        <v>1385</v>
      </c>
      <c r="G542" s="82"/>
      <c r="H542" s="82"/>
      <c r="I542" s="82" t="s">
        <v>250</v>
      </c>
      <c r="J542" s="102" t="n">
        <f aca="false">IF(B542="","",MONTH(B542))</f>
        <v>4</v>
      </c>
      <c r="K542" s="102" t="n">
        <f aca="false">IF(B542="","",YEAR(B542))</f>
        <v>2026</v>
      </c>
      <c r="L542" s="102" t="str">
        <f aca="false">IF(N(E542)=0,"",IF(COUNTIFS(AK_NAMA,C542,AK_KAT,"KAS")+COUNTIFS(AK_NAMA,D542,AK_KAT,"KAS")&lt;&gt;1,"",IF(COUNTIFS(AK_NAMA,C542,AK_KAT,"KAS")=1,D542,C542)))</f>
        <v>Biaya Bahan Baku</v>
      </c>
      <c r="M542" s="103" t="n">
        <f aca="false">IF(L542="",0,IF(L542=D542,E542,-E542))</f>
        <v>-20000</v>
      </c>
      <c r="N542" s="102" t="str">
        <f aca="false">IF(L542="","",IFERROR(INDEX(AK_BARIS,MATCH(L542,AK_NAMA,0)),"?"))</f>
        <v>OP3</v>
      </c>
      <c r="O542" s="102" t="str">
        <f aca="false">IF(C542="","",IFERROR(INDEX(AK_KEL,MATCH(C542,AK_NAMA,0)),"?"))</f>
        <v>BEBAN</v>
      </c>
      <c r="P542" s="102" t="str">
        <f aca="false">IF(D542="","",IFERROR(INDEX(AK_KEL,MATCH(D542,AK_NAMA,0)),"?"))</f>
        <v>ASET</v>
      </c>
      <c r="Q542" s="102" t="n">
        <f aca="false">N(Q541)+IF(AND(N(E542)&lt;&gt;0,K542=TAHUN,N(J542)&lt;=BLN,OR(C542=BB_AKUN,D542=BB_AKUN)),1,0)</f>
        <v>350</v>
      </c>
      <c r="R542" s="104" t="str">
        <f aca="false">IF(OR(C542&amp;D542="",N(E542)=0),"",IF(OR(O542="?",P542="?"),"⚠ akun tidak dikenal",IF(C542=D542,"⚠ debet = kredit","")))</f>
        <v/>
      </c>
    </row>
    <row r="543" customFormat="false" ht="15" hidden="false" customHeight="false" outlineLevel="0" collapsed="false">
      <c r="A543" s="82" t="s">
        <v>1386</v>
      </c>
      <c r="B543" s="101" t="n">
        <v>46135</v>
      </c>
      <c r="C543" s="82" t="s">
        <v>470</v>
      </c>
      <c r="D543" s="82" t="s">
        <v>461</v>
      </c>
      <c r="E543" s="91" t="n">
        <v>2454000</v>
      </c>
      <c r="F543" s="82" t="s">
        <v>1387</v>
      </c>
      <c r="G543" s="82"/>
      <c r="H543" s="82"/>
      <c r="I543" s="82" t="s">
        <v>250</v>
      </c>
      <c r="J543" s="102" t="n">
        <f aca="false">IF(B543="","",MONTH(B543))</f>
        <v>4</v>
      </c>
      <c r="K543" s="102" t="n">
        <f aca="false">IF(B543="","",YEAR(B543))</f>
        <v>2026</v>
      </c>
      <c r="L543" s="102" t="str">
        <f aca="false">IF(N(E543)=0,"",IF(COUNTIFS(AK_NAMA,C543,AK_KAT,"KAS")+COUNTIFS(AK_NAMA,D543,AK_KAT,"KAS")&lt;&gt;1,"",IF(COUNTIFS(AK_NAMA,C543,AK_KAT,"KAS")=1,D543,C543)))</f>
        <v>Biaya Bahan Baku</v>
      </c>
      <c r="M543" s="103" t="n">
        <f aca="false">IF(L543="",0,IF(L543=D543,E543,-E543))</f>
        <v>-2454000</v>
      </c>
      <c r="N543" s="102" t="str">
        <f aca="false">IF(L543="","",IFERROR(INDEX(AK_BARIS,MATCH(L543,AK_NAMA,0)),"?"))</f>
        <v>OP3</v>
      </c>
      <c r="O543" s="102" t="str">
        <f aca="false">IF(C543="","",IFERROR(INDEX(AK_KEL,MATCH(C543,AK_NAMA,0)),"?"))</f>
        <v>BEBAN</v>
      </c>
      <c r="P543" s="102" t="str">
        <f aca="false">IF(D543="","",IFERROR(INDEX(AK_KEL,MATCH(D543,AK_NAMA,0)),"?"))</f>
        <v>ASET</v>
      </c>
      <c r="Q543" s="102" t="n">
        <f aca="false">N(Q542)+IF(AND(N(E543)&lt;&gt;0,K543=TAHUN,N(J543)&lt;=BLN,OR(C543=BB_AKUN,D543=BB_AKUN)),1,0)</f>
        <v>351</v>
      </c>
      <c r="R543" s="104" t="str">
        <f aca="false">IF(OR(C543&amp;D543="",N(E543)=0),"",IF(OR(O543="?",P543="?"),"⚠ akun tidak dikenal",IF(C543=D543,"⚠ debet = kredit","")))</f>
        <v/>
      </c>
    </row>
    <row r="544" customFormat="false" ht="15" hidden="false" customHeight="false" outlineLevel="0" collapsed="false">
      <c r="A544" s="82" t="s">
        <v>1388</v>
      </c>
      <c r="B544" s="101" t="n">
        <v>46135</v>
      </c>
      <c r="C544" s="82" t="s">
        <v>524</v>
      </c>
      <c r="D544" s="82" t="s">
        <v>461</v>
      </c>
      <c r="E544" s="91" t="n">
        <v>30000</v>
      </c>
      <c r="F544" s="82" t="s">
        <v>1389</v>
      </c>
      <c r="G544" s="82"/>
      <c r="H544" s="82"/>
      <c r="I544" s="82" t="s">
        <v>250</v>
      </c>
      <c r="J544" s="102" t="n">
        <f aca="false">IF(B544="","",MONTH(B544))</f>
        <v>4</v>
      </c>
      <c r="K544" s="102" t="n">
        <f aca="false">IF(B544="","",YEAR(B544))</f>
        <v>2026</v>
      </c>
      <c r="L544" s="102" t="str">
        <f aca="false">IF(N(E544)=0,"",IF(COUNTIFS(AK_NAMA,C544,AK_KAT,"KAS")+COUNTIFS(AK_NAMA,D544,AK_KAT,"KAS")&lt;&gt;1,"",IF(COUNTIFS(AK_NAMA,C544,AK_KAT,"KAS")=1,D544,C544)))</f>
        <v>Biaya Lainnya</v>
      </c>
      <c r="M544" s="103" t="n">
        <f aca="false">IF(L544="",0,IF(L544=D544,E544,-E544))</f>
        <v>-30000</v>
      </c>
      <c r="N544" s="102" t="str">
        <f aca="false">IF(L544="","",IFERROR(INDEX(AK_BARIS,MATCH(L544,AK_NAMA,0)),"?"))</f>
        <v>OP2</v>
      </c>
      <c r="O544" s="102" t="str">
        <f aca="false">IF(C544="","",IFERROR(INDEX(AK_KEL,MATCH(C544,AK_NAMA,0)),"?"))</f>
        <v>BEBAN</v>
      </c>
      <c r="P544" s="102" t="str">
        <f aca="false">IF(D544="","",IFERROR(INDEX(AK_KEL,MATCH(D544,AK_NAMA,0)),"?"))</f>
        <v>ASET</v>
      </c>
      <c r="Q544" s="102" t="n">
        <f aca="false">N(Q543)+IF(AND(N(E544)&lt;&gt;0,K544=TAHUN,N(J544)&lt;=BLN,OR(C544=BB_AKUN,D544=BB_AKUN)),1,0)</f>
        <v>352</v>
      </c>
      <c r="R544" s="104" t="str">
        <f aca="false">IF(OR(C544&amp;D544="",N(E544)=0),"",IF(OR(O544="?",P544="?"),"⚠ akun tidak dikenal",IF(C544=D544,"⚠ debet = kredit","")))</f>
        <v/>
      </c>
    </row>
    <row r="545" customFormat="false" ht="15" hidden="false" customHeight="false" outlineLevel="0" collapsed="false">
      <c r="A545" s="82" t="s">
        <v>1390</v>
      </c>
      <c r="B545" s="101" t="n">
        <v>46136</v>
      </c>
      <c r="C545" s="82" t="s">
        <v>475</v>
      </c>
      <c r="D545" s="82" t="s">
        <v>486</v>
      </c>
      <c r="E545" s="91" t="n">
        <v>7000</v>
      </c>
      <c r="F545" s="82" t="s">
        <v>1142</v>
      </c>
      <c r="G545" s="82"/>
      <c r="H545" s="82"/>
      <c r="I545" s="82" t="s">
        <v>250</v>
      </c>
      <c r="J545" s="102" t="n">
        <f aca="false">IF(B545="","",MONTH(B545))</f>
        <v>4</v>
      </c>
      <c r="K545" s="102" t="n">
        <f aca="false">IF(B545="","",YEAR(B545))</f>
        <v>2026</v>
      </c>
      <c r="L545" s="102" t="str">
        <f aca="false">IF(N(E545)=0,"",IF(COUNTIFS(AK_NAMA,C545,AK_KAT,"KAS")+COUNTIFS(AK_NAMA,D545,AK_KAT,"KAS")&lt;&gt;1,"",IF(COUNTIFS(AK_NAMA,C545,AK_KAT,"KAS")=1,D545,C545)))</f>
        <v/>
      </c>
      <c r="M545" s="103" t="n">
        <f aca="false">IF(L545="",0,IF(L545=D545,E545,-E545))</f>
        <v>0</v>
      </c>
      <c r="N545" s="102" t="str">
        <f aca="false">IF(L545="","",IFERROR(INDEX(AK_BARIS,MATCH(L545,AK_NAMA,0)),"?"))</f>
        <v/>
      </c>
      <c r="O545" s="102" t="str">
        <f aca="false">IF(C545="","",IFERROR(INDEX(AK_KEL,MATCH(C545,AK_NAMA,0)),"?"))</f>
        <v>ASET</v>
      </c>
      <c r="P545" s="102" t="str">
        <f aca="false">IF(D545="","",IFERROR(INDEX(AK_KEL,MATCH(D545,AK_NAMA,0)),"?"))</f>
        <v>ASET</v>
      </c>
      <c r="Q545" s="102" t="n">
        <f aca="false">N(Q544)+IF(AND(N(E545)&lt;&gt;0,K545=TAHUN,N(J545)&lt;=BLN,OR(C545=BB_AKUN,D545=BB_AKUN)),1,0)</f>
        <v>352</v>
      </c>
      <c r="R545" s="104" t="str">
        <f aca="false">IF(OR(C545&amp;D545="",N(E545)=0),"",IF(OR(O545="?",P545="?"),"⚠ akun tidak dikenal",IF(C545=D545,"⚠ debet = kredit","")))</f>
        <v/>
      </c>
    </row>
    <row r="546" customFormat="false" ht="15" hidden="false" customHeight="false" outlineLevel="0" collapsed="false">
      <c r="A546" s="82" t="s">
        <v>1391</v>
      </c>
      <c r="B546" s="101" t="n">
        <v>46136</v>
      </c>
      <c r="C546" s="82" t="s">
        <v>470</v>
      </c>
      <c r="D546" s="82" t="s">
        <v>486</v>
      </c>
      <c r="E546" s="91" t="n">
        <v>345000</v>
      </c>
      <c r="F546" s="82" t="s">
        <v>935</v>
      </c>
      <c r="G546" s="82"/>
      <c r="H546" s="82"/>
      <c r="I546" s="82" t="s">
        <v>250</v>
      </c>
      <c r="J546" s="102" t="n">
        <f aca="false">IF(B546="","",MONTH(B546))</f>
        <v>4</v>
      </c>
      <c r="K546" s="102" t="n">
        <f aca="false">IF(B546="","",YEAR(B546))</f>
        <v>2026</v>
      </c>
      <c r="L546" s="102" t="str">
        <f aca="false">IF(N(E546)=0,"",IF(COUNTIFS(AK_NAMA,C546,AK_KAT,"KAS")+COUNTIFS(AK_NAMA,D546,AK_KAT,"KAS")&lt;&gt;1,"",IF(COUNTIFS(AK_NAMA,C546,AK_KAT,"KAS")=1,D546,C546)))</f>
        <v>Biaya Bahan Baku</v>
      </c>
      <c r="M546" s="103" t="n">
        <f aca="false">IF(L546="",0,IF(L546=D546,E546,-E546))</f>
        <v>-345000</v>
      </c>
      <c r="N546" s="102" t="str">
        <f aca="false">IF(L546="","",IFERROR(INDEX(AK_BARIS,MATCH(L546,AK_NAMA,0)),"?"))</f>
        <v>OP3</v>
      </c>
      <c r="O546" s="102" t="str">
        <f aca="false">IF(C546="","",IFERROR(INDEX(AK_KEL,MATCH(C546,AK_NAMA,0)),"?"))</f>
        <v>BEBAN</v>
      </c>
      <c r="P546" s="102" t="str">
        <f aca="false">IF(D546="","",IFERROR(INDEX(AK_KEL,MATCH(D546,AK_NAMA,0)),"?"))</f>
        <v>ASET</v>
      </c>
      <c r="Q546" s="102" t="n">
        <f aca="false">N(Q545)+IF(AND(N(E546)&lt;&gt;0,K546=TAHUN,N(J546)&lt;=BLN,OR(C546=BB_AKUN,D546=BB_AKUN)),1,0)</f>
        <v>352</v>
      </c>
      <c r="R546" s="104" t="str">
        <f aca="false">IF(OR(C546&amp;D546="",N(E546)=0),"",IF(OR(O546="?",P546="?"),"⚠ akun tidak dikenal",IF(C546=D546,"⚠ debet = kredit","")))</f>
        <v/>
      </c>
    </row>
    <row r="547" customFormat="false" ht="15" hidden="false" customHeight="false" outlineLevel="0" collapsed="false">
      <c r="A547" s="82" t="s">
        <v>1392</v>
      </c>
      <c r="B547" s="101" t="n">
        <v>46136</v>
      </c>
      <c r="C547" s="82" t="s">
        <v>478</v>
      </c>
      <c r="D547" s="82" t="s">
        <v>486</v>
      </c>
      <c r="E547" s="91" t="n">
        <v>53000</v>
      </c>
      <c r="F547" s="82" t="s">
        <v>939</v>
      </c>
      <c r="G547" s="82"/>
      <c r="H547" s="82"/>
      <c r="I547" s="82" t="s">
        <v>250</v>
      </c>
      <c r="J547" s="102" t="n">
        <f aca="false">IF(B547="","",MONTH(B547))</f>
        <v>4</v>
      </c>
      <c r="K547" s="102" t="n">
        <f aca="false">IF(B547="","",YEAR(B547))</f>
        <v>2026</v>
      </c>
      <c r="L547" s="102" t="str">
        <f aca="false">IF(N(E547)=0,"",IF(COUNTIFS(AK_NAMA,C547,AK_KAT,"KAS")+COUNTIFS(AK_NAMA,D547,AK_KAT,"KAS")&lt;&gt;1,"",IF(COUNTIFS(AK_NAMA,C547,AK_KAT,"KAS")=1,D547,C547)))</f>
        <v>Biaya Penyajian</v>
      </c>
      <c r="M547" s="103" t="n">
        <f aca="false">IF(L547="",0,IF(L547=D547,E547,-E547))</f>
        <v>-53000</v>
      </c>
      <c r="N547" s="102" t="str">
        <f aca="false">IF(L547="","",IFERROR(INDEX(AK_BARIS,MATCH(L547,AK_NAMA,0)),"?"))</f>
        <v>OP3</v>
      </c>
      <c r="O547" s="102" t="str">
        <f aca="false">IF(C547="","",IFERROR(INDEX(AK_KEL,MATCH(C547,AK_NAMA,0)),"?"))</f>
        <v>BEBAN</v>
      </c>
      <c r="P547" s="102" t="str">
        <f aca="false">IF(D547="","",IFERROR(INDEX(AK_KEL,MATCH(D547,AK_NAMA,0)),"?"))</f>
        <v>ASET</v>
      </c>
      <c r="Q547" s="102" t="n">
        <f aca="false">N(Q546)+IF(AND(N(E547)&lt;&gt;0,K547=TAHUN,N(J547)&lt;=BLN,OR(C547=BB_AKUN,D547=BB_AKUN)),1,0)</f>
        <v>352</v>
      </c>
      <c r="R547" s="104" t="str">
        <f aca="false">IF(OR(C547&amp;D547="",N(E547)=0),"",IF(OR(O547="?",P547="?"),"⚠ akun tidak dikenal",IF(C547=D547,"⚠ debet = kredit","")))</f>
        <v/>
      </c>
    </row>
    <row r="548" customFormat="false" ht="15" hidden="false" customHeight="false" outlineLevel="0" collapsed="false">
      <c r="A548" s="82" t="s">
        <v>1393</v>
      </c>
      <c r="B548" s="101" t="n">
        <v>46136</v>
      </c>
      <c r="C548" s="82" t="s">
        <v>485</v>
      </c>
      <c r="D548" s="82" t="s">
        <v>486</v>
      </c>
      <c r="E548" s="91" t="n">
        <v>92000</v>
      </c>
      <c r="F548" s="82" t="s">
        <v>553</v>
      </c>
      <c r="G548" s="82"/>
      <c r="H548" s="82"/>
      <c r="I548" s="82" t="s">
        <v>250</v>
      </c>
      <c r="J548" s="102" t="n">
        <f aca="false">IF(B548="","",MONTH(B548))</f>
        <v>4</v>
      </c>
      <c r="K548" s="102" t="n">
        <f aca="false">IF(B548="","",YEAR(B548))</f>
        <v>2026</v>
      </c>
      <c r="L548" s="102" t="str">
        <f aca="false">IF(N(E548)=0,"",IF(COUNTIFS(AK_NAMA,C548,AK_KAT,"KAS")+COUNTIFS(AK_NAMA,D548,AK_KAT,"KAS")&lt;&gt;1,"",IF(COUNTIFS(AK_NAMA,C548,AK_KAT,"KAS")=1,D548,C548)))</f>
        <v>Biaya Operasional Harian</v>
      </c>
      <c r="M548" s="103" t="n">
        <f aca="false">IF(L548="",0,IF(L548=D548,E548,-E548))</f>
        <v>-92000</v>
      </c>
      <c r="N548" s="102" t="str">
        <f aca="false">IF(L548="","",IFERROR(INDEX(AK_BARIS,MATCH(L548,AK_NAMA,0)),"?"))</f>
        <v>OP6</v>
      </c>
      <c r="O548" s="102" t="str">
        <f aca="false">IF(C548="","",IFERROR(INDEX(AK_KEL,MATCH(C548,AK_NAMA,0)),"?"))</f>
        <v>BEBAN</v>
      </c>
      <c r="P548" s="102" t="str">
        <f aca="false">IF(D548="","",IFERROR(INDEX(AK_KEL,MATCH(D548,AK_NAMA,0)),"?"))</f>
        <v>ASET</v>
      </c>
      <c r="Q548" s="102" t="n">
        <f aca="false">N(Q547)+IF(AND(N(E548)&lt;&gt;0,K548=TAHUN,N(J548)&lt;=BLN,OR(C548=BB_AKUN,D548=BB_AKUN)),1,0)</f>
        <v>352</v>
      </c>
      <c r="R548" s="104" t="str">
        <f aca="false">IF(OR(C548&amp;D548="",N(E548)=0),"",IF(OR(O548="?",P548="?"),"⚠ akun tidak dikenal",IF(C548=D548,"⚠ debet = kredit","")))</f>
        <v/>
      </c>
    </row>
    <row r="549" customFormat="false" ht="15" hidden="false" customHeight="false" outlineLevel="0" collapsed="false">
      <c r="A549" s="82" t="s">
        <v>1394</v>
      </c>
      <c r="B549" s="101" t="n">
        <v>46136</v>
      </c>
      <c r="C549" s="82" t="s">
        <v>485</v>
      </c>
      <c r="D549" s="82" t="s">
        <v>486</v>
      </c>
      <c r="E549" s="91" t="n">
        <v>2000</v>
      </c>
      <c r="F549" s="82" t="s">
        <v>555</v>
      </c>
      <c r="G549" s="82"/>
      <c r="H549" s="82"/>
      <c r="I549" s="82" t="s">
        <v>250</v>
      </c>
      <c r="J549" s="102" t="n">
        <f aca="false">IF(B549="","",MONTH(B549))</f>
        <v>4</v>
      </c>
      <c r="K549" s="102" t="n">
        <f aca="false">IF(B549="","",YEAR(B549))</f>
        <v>2026</v>
      </c>
      <c r="L549" s="102" t="str">
        <f aca="false">IF(N(E549)=0,"",IF(COUNTIFS(AK_NAMA,C549,AK_KAT,"KAS")+COUNTIFS(AK_NAMA,D549,AK_KAT,"KAS")&lt;&gt;1,"",IF(COUNTIFS(AK_NAMA,C549,AK_KAT,"KAS")=1,D549,C549)))</f>
        <v>Biaya Operasional Harian</v>
      </c>
      <c r="M549" s="103" t="n">
        <f aca="false">IF(L549="",0,IF(L549=D549,E549,-E549))</f>
        <v>-2000</v>
      </c>
      <c r="N549" s="102" t="str">
        <f aca="false">IF(L549="","",IFERROR(INDEX(AK_BARIS,MATCH(L549,AK_NAMA,0)),"?"))</f>
        <v>OP6</v>
      </c>
      <c r="O549" s="102" t="str">
        <f aca="false">IF(C549="","",IFERROR(INDEX(AK_KEL,MATCH(C549,AK_NAMA,0)),"?"))</f>
        <v>BEBAN</v>
      </c>
      <c r="P549" s="102" t="str">
        <f aca="false">IF(D549="","",IFERROR(INDEX(AK_KEL,MATCH(D549,AK_NAMA,0)),"?"))</f>
        <v>ASET</v>
      </c>
      <c r="Q549" s="102" t="n">
        <f aca="false">N(Q548)+IF(AND(N(E549)&lt;&gt;0,K549=TAHUN,N(J549)&lt;=BLN,OR(C549=BB_AKUN,D549=BB_AKUN)),1,0)</f>
        <v>352</v>
      </c>
      <c r="R549" s="104" t="str">
        <f aca="false">IF(OR(C549&amp;D549="",N(E549)=0),"",IF(OR(O549="?",P549="?"),"⚠ akun tidak dikenal",IF(C549=D549,"⚠ debet = kredit","")))</f>
        <v/>
      </c>
    </row>
    <row r="550" customFormat="false" ht="15" hidden="false" customHeight="false" outlineLevel="0" collapsed="false">
      <c r="A550" s="82" t="s">
        <v>1395</v>
      </c>
      <c r="B550" s="101" t="n">
        <v>46136</v>
      </c>
      <c r="C550" s="82" t="s">
        <v>461</v>
      </c>
      <c r="D550" s="82" t="s">
        <v>475</v>
      </c>
      <c r="E550" s="91" t="n">
        <v>5000000</v>
      </c>
      <c r="F550" s="82" t="s">
        <v>1396</v>
      </c>
      <c r="G550" s="82"/>
      <c r="H550" s="82"/>
      <c r="I550" s="82" t="s">
        <v>250</v>
      </c>
      <c r="J550" s="102" t="n">
        <f aca="false">IF(B550="","",MONTH(B550))</f>
        <v>4</v>
      </c>
      <c r="K550" s="102" t="n">
        <f aca="false">IF(B550="","",YEAR(B550))</f>
        <v>2026</v>
      </c>
      <c r="L550" s="102" t="str">
        <f aca="false">IF(N(E550)=0,"",IF(COUNTIFS(AK_NAMA,C550,AK_KAT,"KAS")+COUNTIFS(AK_NAMA,D550,AK_KAT,"KAS")&lt;&gt;1,"",IF(COUNTIFS(AK_NAMA,C550,AK_KAT,"KAS")=1,D550,C550)))</f>
        <v/>
      </c>
      <c r="M550" s="103" t="n">
        <f aca="false">IF(L550="",0,IF(L550=D550,E550,-E550))</f>
        <v>0</v>
      </c>
      <c r="N550" s="102" t="str">
        <f aca="false">IF(L550="","",IFERROR(INDEX(AK_BARIS,MATCH(L550,AK_NAMA,0)),"?"))</f>
        <v/>
      </c>
      <c r="O550" s="102" t="str">
        <f aca="false">IF(C550="","",IFERROR(INDEX(AK_KEL,MATCH(C550,AK_NAMA,0)),"?"))</f>
        <v>ASET</v>
      </c>
      <c r="P550" s="102" t="str">
        <f aca="false">IF(D550="","",IFERROR(INDEX(AK_KEL,MATCH(D550,AK_NAMA,0)),"?"))</f>
        <v>ASET</v>
      </c>
      <c r="Q550" s="102" t="n">
        <f aca="false">N(Q549)+IF(AND(N(E550)&lt;&gt;0,K550=TAHUN,N(J550)&lt;=BLN,OR(C550=BB_AKUN,D550=BB_AKUN)),1,0)</f>
        <v>353</v>
      </c>
      <c r="R550" s="104" t="str">
        <f aca="false">IF(OR(C550&amp;D550="",N(E550)=0),"",IF(OR(O550="?",P550="?"),"⚠ akun tidak dikenal",IF(C550=D550,"⚠ debet = kredit","")))</f>
        <v/>
      </c>
    </row>
    <row r="551" customFormat="false" ht="15" hidden="false" customHeight="false" outlineLevel="0" collapsed="false">
      <c r="A551" s="82" t="s">
        <v>1397</v>
      </c>
      <c r="B551" s="101" t="n">
        <v>46136</v>
      </c>
      <c r="C551" s="82" t="s">
        <v>470</v>
      </c>
      <c r="D551" s="82" t="s">
        <v>461</v>
      </c>
      <c r="E551" s="91" t="n">
        <v>620000</v>
      </c>
      <c r="F551" s="82" t="s">
        <v>1398</v>
      </c>
      <c r="G551" s="82"/>
      <c r="H551" s="82"/>
      <c r="I551" s="82" t="s">
        <v>250</v>
      </c>
      <c r="J551" s="102" t="n">
        <f aca="false">IF(B551="","",MONTH(B551))</f>
        <v>4</v>
      </c>
      <c r="K551" s="102" t="n">
        <f aca="false">IF(B551="","",YEAR(B551))</f>
        <v>2026</v>
      </c>
      <c r="L551" s="102" t="str">
        <f aca="false">IF(N(E551)=0,"",IF(COUNTIFS(AK_NAMA,C551,AK_KAT,"KAS")+COUNTIFS(AK_NAMA,D551,AK_KAT,"KAS")&lt;&gt;1,"",IF(COUNTIFS(AK_NAMA,C551,AK_KAT,"KAS")=1,D551,C551)))</f>
        <v>Biaya Bahan Baku</v>
      </c>
      <c r="M551" s="103" t="n">
        <f aca="false">IF(L551="",0,IF(L551=D551,E551,-E551))</f>
        <v>-620000</v>
      </c>
      <c r="N551" s="102" t="str">
        <f aca="false">IF(L551="","",IFERROR(INDEX(AK_BARIS,MATCH(L551,AK_NAMA,0)),"?"))</f>
        <v>OP3</v>
      </c>
      <c r="O551" s="102" t="str">
        <f aca="false">IF(C551="","",IFERROR(INDEX(AK_KEL,MATCH(C551,AK_NAMA,0)),"?"))</f>
        <v>BEBAN</v>
      </c>
      <c r="P551" s="102" t="str">
        <f aca="false">IF(D551="","",IFERROR(INDEX(AK_KEL,MATCH(D551,AK_NAMA,0)),"?"))</f>
        <v>ASET</v>
      </c>
      <c r="Q551" s="102" t="n">
        <f aca="false">N(Q550)+IF(AND(N(E551)&lt;&gt;0,K551=TAHUN,N(J551)&lt;=BLN,OR(C551=BB_AKUN,D551=BB_AKUN)),1,0)</f>
        <v>354</v>
      </c>
      <c r="R551" s="104" t="str">
        <f aca="false">IF(OR(C551&amp;D551="",N(E551)=0),"",IF(OR(O551="?",P551="?"),"⚠ akun tidak dikenal",IF(C551=D551,"⚠ debet = kredit","")))</f>
        <v/>
      </c>
    </row>
    <row r="552" customFormat="false" ht="15" hidden="false" customHeight="false" outlineLevel="0" collapsed="false">
      <c r="A552" s="82" t="s">
        <v>1399</v>
      </c>
      <c r="B552" s="101" t="n">
        <v>46136</v>
      </c>
      <c r="C552" s="82" t="s">
        <v>478</v>
      </c>
      <c r="D552" s="82" t="s">
        <v>461</v>
      </c>
      <c r="E552" s="91" t="n">
        <v>180000</v>
      </c>
      <c r="F552" s="82" t="s">
        <v>1400</v>
      </c>
      <c r="G552" s="82"/>
      <c r="H552" s="82"/>
      <c r="I552" s="82" t="s">
        <v>250</v>
      </c>
      <c r="J552" s="102" t="n">
        <f aca="false">IF(B552="","",MONTH(B552))</f>
        <v>4</v>
      </c>
      <c r="K552" s="102" t="n">
        <f aca="false">IF(B552="","",YEAR(B552))</f>
        <v>2026</v>
      </c>
      <c r="L552" s="102" t="str">
        <f aca="false">IF(N(E552)=0,"",IF(COUNTIFS(AK_NAMA,C552,AK_KAT,"KAS")+COUNTIFS(AK_NAMA,D552,AK_KAT,"KAS")&lt;&gt;1,"",IF(COUNTIFS(AK_NAMA,C552,AK_KAT,"KAS")=1,D552,C552)))</f>
        <v>Biaya Penyajian</v>
      </c>
      <c r="M552" s="103" t="n">
        <f aca="false">IF(L552="",0,IF(L552=D552,E552,-E552))</f>
        <v>-180000</v>
      </c>
      <c r="N552" s="102" t="str">
        <f aca="false">IF(L552="","",IFERROR(INDEX(AK_BARIS,MATCH(L552,AK_NAMA,0)),"?"))</f>
        <v>OP3</v>
      </c>
      <c r="O552" s="102" t="str">
        <f aca="false">IF(C552="","",IFERROR(INDEX(AK_KEL,MATCH(C552,AK_NAMA,0)),"?"))</f>
        <v>BEBAN</v>
      </c>
      <c r="P552" s="102" t="str">
        <f aca="false">IF(D552="","",IFERROR(INDEX(AK_KEL,MATCH(D552,AK_NAMA,0)),"?"))</f>
        <v>ASET</v>
      </c>
      <c r="Q552" s="102" t="n">
        <f aca="false">N(Q551)+IF(AND(N(E552)&lt;&gt;0,K552=TAHUN,N(J552)&lt;=BLN,OR(C552=BB_AKUN,D552=BB_AKUN)),1,0)</f>
        <v>355</v>
      </c>
      <c r="R552" s="104" t="str">
        <f aca="false">IF(OR(C552&amp;D552="",N(E552)=0),"",IF(OR(O552="?",P552="?"),"⚠ akun tidak dikenal",IF(C552=D552,"⚠ debet = kredit","")))</f>
        <v/>
      </c>
    </row>
    <row r="553" customFormat="false" ht="15" hidden="false" customHeight="false" outlineLevel="0" collapsed="false">
      <c r="A553" s="82" t="s">
        <v>1401</v>
      </c>
      <c r="B553" s="101" t="n">
        <v>46136</v>
      </c>
      <c r="C553" s="82" t="s">
        <v>470</v>
      </c>
      <c r="D553" s="82" t="s">
        <v>461</v>
      </c>
      <c r="E553" s="91" t="n">
        <v>430000</v>
      </c>
      <c r="F553" s="82" t="s">
        <v>1402</v>
      </c>
      <c r="G553" s="82"/>
      <c r="H553" s="82"/>
      <c r="I553" s="82" t="s">
        <v>250</v>
      </c>
      <c r="J553" s="102" t="n">
        <f aca="false">IF(B553="","",MONTH(B553))</f>
        <v>4</v>
      </c>
      <c r="K553" s="102" t="n">
        <f aca="false">IF(B553="","",YEAR(B553))</f>
        <v>2026</v>
      </c>
      <c r="L553" s="102" t="str">
        <f aca="false">IF(N(E553)=0,"",IF(COUNTIFS(AK_NAMA,C553,AK_KAT,"KAS")+COUNTIFS(AK_NAMA,D553,AK_KAT,"KAS")&lt;&gt;1,"",IF(COUNTIFS(AK_NAMA,C553,AK_KAT,"KAS")=1,D553,C553)))</f>
        <v>Biaya Bahan Baku</v>
      </c>
      <c r="M553" s="103" t="n">
        <f aca="false">IF(L553="",0,IF(L553=D553,E553,-E553))</f>
        <v>-430000</v>
      </c>
      <c r="N553" s="102" t="str">
        <f aca="false">IF(L553="","",IFERROR(INDEX(AK_BARIS,MATCH(L553,AK_NAMA,0)),"?"))</f>
        <v>OP3</v>
      </c>
      <c r="O553" s="102" t="str">
        <f aca="false">IF(C553="","",IFERROR(INDEX(AK_KEL,MATCH(C553,AK_NAMA,0)),"?"))</f>
        <v>BEBAN</v>
      </c>
      <c r="P553" s="102" t="str">
        <f aca="false">IF(D553="","",IFERROR(INDEX(AK_KEL,MATCH(D553,AK_NAMA,0)),"?"))</f>
        <v>ASET</v>
      </c>
      <c r="Q553" s="102" t="n">
        <f aca="false">N(Q552)+IF(AND(N(E553)&lt;&gt;0,K553=TAHUN,N(J553)&lt;=BLN,OR(C553=BB_AKUN,D553=BB_AKUN)),1,0)</f>
        <v>356</v>
      </c>
      <c r="R553" s="104" t="str">
        <f aca="false">IF(OR(C553&amp;D553="",N(E553)=0),"",IF(OR(O553="?",P553="?"),"⚠ akun tidak dikenal",IF(C553=D553,"⚠ debet = kredit","")))</f>
        <v/>
      </c>
    </row>
    <row r="554" customFormat="false" ht="15" hidden="false" customHeight="false" outlineLevel="0" collapsed="false">
      <c r="A554" s="82" t="s">
        <v>1403</v>
      </c>
      <c r="B554" s="101" t="n">
        <v>46137</v>
      </c>
      <c r="C554" s="82" t="s">
        <v>461</v>
      </c>
      <c r="D554" s="82" t="s">
        <v>475</v>
      </c>
      <c r="E554" s="91" t="n">
        <v>5000000</v>
      </c>
      <c r="F554" s="82" t="s">
        <v>1298</v>
      </c>
      <c r="G554" s="82"/>
      <c r="H554" s="82"/>
      <c r="I554" s="82" t="s">
        <v>250</v>
      </c>
      <c r="J554" s="102" t="n">
        <f aca="false">IF(B554="","",MONTH(B554))</f>
        <v>4</v>
      </c>
      <c r="K554" s="102" t="n">
        <f aca="false">IF(B554="","",YEAR(B554))</f>
        <v>2026</v>
      </c>
      <c r="L554" s="102" t="str">
        <f aca="false">IF(N(E554)=0,"",IF(COUNTIFS(AK_NAMA,C554,AK_KAT,"KAS")+COUNTIFS(AK_NAMA,D554,AK_KAT,"KAS")&lt;&gt;1,"",IF(COUNTIFS(AK_NAMA,C554,AK_KAT,"KAS")=1,D554,C554)))</f>
        <v/>
      </c>
      <c r="M554" s="103" t="n">
        <f aca="false">IF(L554="",0,IF(L554=D554,E554,-E554))</f>
        <v>0</v>
      </c>
      <c r="N554" s="102" t="str">
        <f aca="false">IF(L554="","",IFERROR(INDEX(AK_BARIS,MATCH(L554,AK_NAMA,0)),"?"))</f>
        <v/>
      </c>
      <c r="O554" s="102" t="str">
        <f aca="false">IF(C554="","",IFERROR(INDEX(AK_KEL,MATCH(C554,AK_NAMA,0)),"?"))</f>
        <v>ASET</v>
      </c>
      <c r="P554" s="102" t="str">
        <f aca="false">IF(D554="","",IFERROR(INDEX(AK_KEL,MATCH(D554,AK_NAMA,0)),"?"))</f>
        <v>ASET</v>
      </c>
      <c r="Q554" s="102" t="n">
        <f aca="false">N(Q553)+IF(AND(N(E554)&lt;&gt;0,K554=TAHUN,N(J554)&lt;=BLN,OR(C554=BB_AKUN,D554=BB_AKUN)),1,0)</f>
        <v>357</v>
      </c>
      <c r="R554" s="104" t="str">
        <f aca="false">IF(OR(C554&amp;D554="",N(E554)=0),"",IF(OR(O554="?",P554="?"),"⚠ akun tidak dikenal",IF(C554=D554,"⚠ debet = kredit","")))</f>
        <v/>
      </c>
    </row>
    <row r="555" customFormat="false" ht="15" hidden="false" customHeight="false" outlineLevel="0" collapsed="false">
      <c r="A555" s="82" t="s">
        <v>1404</v>
      </c>
      <c r="B555" s="101" t="n">
        <v>46137</v>
      </c>
      <c r="C555" s="82" t="s">
        <v>730</v>
      </c>
      <c r="D555" s="82" t="s">
        <v>461</v>
      </c>
      <c r="E555" s="91" t="n">
        <v>10000000</v>
      </c>
      <c r="F555" s="82" t="s">
        <v>731</v>
      </c>
      <c r="G555" s="82"/>
      <c r="H555" s="82"/>
      <c r="I555" s="82" t="s">
        <v>250</v>
      </c>
      <c r="J555" s="102" t="n">
        <f aca="false">IF(B555="","",MONTH(B555))</f>
        <v>4</v>
      </c>
      <c r="K555" s="102" t="n">
        <f aca="false">IF(B555="","",YEAR(B555))</f>
        <v>2026</v>
      </c>
      <c r="L555" s="102" t="str">
        <f aca="false">IF(N(E555)=0,"",IF(COUNTIFS(AK_NAMA,C555,AK_KAT,"KAS")+COUNTIFS(AK_NAMA,D555,AK_KAT,"KAS")&lt;&gt;1,"",IF(COUNTIFS(AK_NAMA,C555,AK_KAT,"KAS")=1,D555,C555)))</f>
        <v>Biaya Sewa Tempat</v>
      </c>
      <c r="M555" s="103" t="n">
        <f aca="false">IF(L555="",0,IF(L555=D555,E555,-E555))</f>
        <v>-10000000</v>
      </c>
      <c r="N555" s="102" t="str">
        <f aca="false">IF(L555="","",IFERROR(INDEX(AK_BARIS,MATCH(L555,AK_NAMA,0)),"?"))</f>
        <v>OP5</v>
      </c>
      <c r="O555" s="102" t="str">
        <f aca="false">IF(C555="","",IFERROR(INDEX(AK_KEL,MATCH(C555,AK_NAMA,0)),"?"))</f>
        <v>BEBAN</v>
      </c>
      <c r="P555" s="102" t="str">
        <f aca="false">IF(D555="","",IFERROR(INDEX(AK_KEL,MATCH(D555,AK_NAMA,0)),"?"))</f>
        <v>ASET</v>
      </c>
      <c r="Q555" s="102" t="n">
        <f aca="false">N(Q554)+IF(AND(N(E555)&lt;&gt;0,K555=TAHUN,N(J555)&lt;=BLN,OR(C555=BB_AKUN,D555=BB_AKUN)),1,0)</f>
        <v>358</v>
      </c>
      <c r="R555" s="104" t="str">
        <f aca="false">IF(OR(C555&amp;D555="",N(E555)=0),"",IF(OR(O555="?",P555="?"),"⚠ akun tidak dikenal",IF(C555=D555,"⚠ debet = kredit","")))</f>
        <v/>
      </c>
    </row>
    <row r="556" customFormat="false" ht="15" hidden="false" customHeight="false" outlineLevel="0" collapsed="false">
      <c r="A556" s="82" t="s">
        <v>1405</v>
      </c>
      <c r="B556" s="101" t="n">
        <v>46137</v>
      </c>
      <c r="C556" s="82" t="s">
        <v>460</v>
      </c>
      <c r="D556" s="82" t="s">
        <v>461</v>
      </c>
      <c r="E556" s="91" t="n">
        <v>1500000</v>
      </c>
      <c r="F556" s="82" t="s">
        <v>1406</v>
      </c>
      <c r="G556" s="82" t="s">
        <v>389</v>
      </c>
      <c r="H556" s="82"/>
      <c r="I556" s="82" t="s">
        <v>250</v>
      </c>
      <c r="J556" s="102" t="n">
        <f aca="false">IF(B556="","",MONTH(B556))</f>
        <v>4</v>
      </c>
      <c r="K556" s="102" t="n">
        <f aca="false">IF(B556="","",YEAR(B556))</f>
        <v>2026</v>
      </c>
      <c r="L556" s="102" t="str">
        <f aca="false">IF(N(E556)=0,"",IF(COUNTIFS(AK_NAMA,C556,AK_KAT,"KAS")+COUNTIFS(AK_NAMA,D556,AK_KAT,"KAS")&lt;&gt;1,"",IF(COUNTIFS(AK_NAMA,C556,AK_KAT,"KAS")=1,D556,C556)))</f>
        <v>Biaya Marketing &amp; Promosi</v>
      </c>
      <c r="M556" s="103" t="n">
        <f aca="false">IF(L556="",0,IF(L556=D556,E556,-E556))</f>
        <v>-1500000</v>
      </c>
      <c r="N556" s="102" t="str">
        <f aca="false">IF(L556="","",IFERROR(INDEX(AK_BARIS,MATCH(L556,AK_NAMA,0)),"?"))</f>
        <v>OP6</v>
      </c>
      <c r="O556" s="102" t="str">
        <f aca="false">IF(C556="","",IFERROR(INDEX(AK_KEL,MATCH(C556,AK_NAMA,0)),"?"))</f>
        <v>BEBAN</v>
      </c>
      <c r="P556" s="102" t="str">
        <f aca="false">IF(D556="","",IFERROR(INDEX(AK_KEL,MATCH(D556,AK_NAMA,0)),"?"))</f>
        <v>ASET</v>
      </c>
      <c r="Q556" s="102" t="n">
        <f aca="false">N(Q555)+IF(AND(N(E556)&lt;&gt;0,K556=TAHUN,N(J556)&lt;=BLN,OR(C556=BB_AKUN,D556=BB_AKUN)),1,0)</f>
        <v>359</v>
      </c>
      <c r="R556" s="104" t="str">
        <f aca="false">IF(OR(C556&amp;D556="",N(E556)=0),"",IF(OR(O556="?",P556="?"),"⚠ akun tidak dikenal",IF(C556=D556,"⚠ debet = kredit","")))</f>
        <v/>
      </c>
    </row>
    <row r="557" customFormat="false" ht="15" hidden="false" customHeight="false" outlineLevel="0" collapsed="false">
      <c r="A557" s="82" t="s">
        <v>1407</v>
      </c>
      <c r="B557" s="101" t="n">
        <v>46137</v>
      </c>
      <c r="C557" s="82" t="s">
        <v>470</v>
      </c>
      <c r="D557" s="82" t="s">
        <v>475</v>
      </c>
      <c r="E557" s="91" t="n">
        <v>50000</v>
      </c>
      <c r="F557" s="82" t="s">
        <v>1408</v>
      </c>
      <c r="G557" s="82"/>
      <c r="H557" s="82"/>
      <c r="I557" s="82" t="s">
        <v>250</v>
      </c>
      <c r="J557" s="102" t="n">
        <f aca="false">IF(B557="","",MONTH(B557))</f>
        <v>4</v>
      </c>
      <c r="K557" s="102" t="n">
        <f aca="false">IF(B557="","",YEAR(B557))</f>
        <v>2026</v>
      </c>
      <c r="L557" s="102" t="str">
        <f aca="false">IF(N(E557)=0,"",IF(COUNTIFS(AK_NAMA,C557,AK_KAT,"KAS")+COUNTIFS(AK_NAMA,D557,AK_KAT,"KAS")&lt;&gt;1,"",IF(COUNTIFS(AK_NAMA,C557,AK_KAT,"KAS")=1,D557,C557)))</f>
        <v>Biaya Bahan Baku</v>
      </c>
      <c r="M557" s="103" t="n">
        <f aca="false">IF(L557="",0,IF(L557=D557,E557,-E557))</f>
        <v>-50000</v>
      </c>
      <c r="N557" s="102" t="str">
        <f aca="false">IF(L557="","",IFERROR(INDEX(AK_BARIS,MATCH(L557,AK_NAMA,0)),"?"))</f>
        <v>OP3</v>
      </c>
      <c r="O557" s="102" t="str">
        <f aca="false">IF(C557="","",IFERROR(INDEX(AK_KEL,MATCH(C557,AK_NAMA,0)),"?"))</f>
        <v>BEBAN</v>
      </c>
      <c r="P557" s="102" t="str">
        <f aca="false">IF(D557="","",IFERROR(INDEX(AK_KEL,MATCH(D557,AK_NAMA,0)),"?"))</f>
        <v>ASET</v>
      </c>
      <c r="Q557" s="102" t="n">
        <f aca="false">N(Q556)+IF(AND(N(E557)&lt;&gt;0,K557=TAHUN,N(J557)&lt;=BLN,OR(C557=BB_AKUN,D557=BB_AKUN)),1,0)</f>
        <v>359</v>
      </c>
      <c r="R557" s="104" t="str">
        <f aca="false">IF(OR(C557&amp;D557="",N(E557)=0),"",IF(OR(O557="?",P557="?"),"⚠ akun tidak dikenal",IF(C557=D557,"⚠ debet = kredit","")))</f>
        <v/>
      </c>
    </row>
    <row r="558" customFormat="false" ht="15" hidden="false" customHeight="false" outlineLevel="0" collapsed="false">
      <c r="A558" s="82" t="s">
        <v>1409</v>
      </c>
      <c r="B558" s="101" t="n">
        <v>46138</v>
      </c>
      <c r="C558" s="82" t="s">
        <v>470</v>
      </c>
      <c r="D558" s="82" t="s">
        <v>461</v>
      </c>
      <c r="E558" s="91" t="n">
        <v>942500</v>
      </c>
      <c r="F558" s="82" t="s">
        <v>1410</v>
      </c>
      <c r="G558" s="82"/>
      <c r="H558" s="82"/>
      <c r="I558" s="82" t="s">
        <v>250</v>
      </c>
      <c r="J558" s="102" t="n">
        <f aca="false">IF(B558="","",MONTH(B558))</f>
        <v>4</v>
      </c>
      <c r="K558" s="102" t="n">
        <f aca="false">IF(B558="","",YEAR(B558))</f>
        <v>2026</v>
      </c>
      <c r="L558" s="102" t="str">
        <f aca="false">IF(N(E558)=0,"",IF(COUNTIFS(AK_NAMA,C558,AK_KAT,"KAS")+COUNTIFS(AK_NAMA,D558,AK_KAT,"KAS")&lt;&gt;1,"",IF(COUNTIFS(AK_NAMA,C558,AK_KAT,"KAS")=1,D558,C558)))</f>
        <v>Biaya Bahan Baku</v>
      </c>
      <c r="M558" s="103" t="n">
        <f aca="false">IF(L558="",0,IF(L558=D558,E558,-E558))</f>
        <v>-942500</v>
      </c>
      <c r="N558" s="102" t="str">
        <f aca="false">IF(L558="","",IFERROR(INDEX(AK_BARIS,MATCH(L558,AK_NAMA,0)),"?"))</f>
        <v>OP3</v>
      </c>
      <c r="O558" s="102" t="str">
        <f aca="false">IF(C558="","",IFERROR(INDEX(AK_KEL,MATCH(C558,AK_NAMA,0)),"?"))</f>
        <v>BEBAN</v>
      </c>
      <c r="P558" s="102" t="str">
        <f aca="false">IF(D558="","",IFERROR(INDEX(AK_KEL,MATCH(D558,AK_NAMA,0)),"?"))</f>
        <v>ASET</v>
      </c>
      <c r="Q558" s="102" t="n">
        <f aca="false">N(Q557)+IF(AND(N(E558)&lt;&gt;0,K558=TAHUN,N(J558)&lt;=BLN,OR(C558=BB_AKUN,D558=BB_AKUN)),1,0)</f>
        <v>360</v>
      </c>
      <c r="R558" s="104" t="str">
        <f aca="false">IF(OR(C558&amp;D558="",N(E558)=0),"",IF(OR(O558="?",P558="?"),"⚠ akun tidak dikenal",IF(C558=D558,"⚠ debet = kredit","")))</f>
        <v/>
      </c>
    </row>
    <row r="559" customFormat="false" ht="15" hidden="false" customHeight="false" outlineLevel="0" collapsed="false">
      <c r="A559" s="82" t="s">
        <v>1411</v>
      </c>
      <c r="B559" s="101" t="n">
        <v>46138</v>
      </c>
      <c r="C559" s="82" t="s">
        <v>470</v>
      </c>
      <c r="D559" s="82" t="s">
        <v>461</v>
      </c>
      <c r="E559" s="91" t="n">
        <v>384000</v>
      </c>
      <c r="F559" s="82" t="s">
        <v>1412</v>
      </c>
      <c r="G559" s="82"/>
      <c r="H559" s="82"/>
      <c r="I559" s="82" t="s">
        <v>250</v>
      </c>
      <c r="J559" s="102" t="n">
        <f aca="false">IF(B559="","",MONTH(B559))</f>
        <v>4</v>
      </c>
      <c r="K559" s="102" t="n">
        <f aca="false">IF(B559="","",YEAR(B559))</f>
        <v>2026</v>
      </c>
      <c r="L559" s="102" t="str">
        <f aca="false">IF(N(E559)=0,"",IF(COUNTIFS(AK_NAMA,C559,AK_KAT,"KAS")+COUNTIFS(AK_NAMA,D559,AK_KAT,"KAS")&lt;&gt;1,"",IF(COUNTIFS(AK_NAMA,C559,AK_KAT,"KAS")=1,D559,C559)))</f>
        <v>Biaya Bahan Baku</v>
      </c>
      <c r="M559" s="103" t="n">
        <f aca="false">IF(L559="",0,IF(L559=D559,E559,-E559))</f>
        <v>-384000</v>
      </c>
      <c r="N559" s="102" t="str">
        <f aca="false">IF(L559="","",IFERROR(INDEX(AK_BARIS,MATCH(L559,AK_NAMA,0)),"?"))</f>
        <v>OP3</v>
      </c>
      <c r="O559" s="102" t="str">
        <f aca="false">IF(C559="","",IFERROR(INDEX(AK_KEL,MATCH(C559,AK_NAMA,0)),"?"))</f>
        <v>BEBAN</v>
      </c>
      <c r="P559" s="102" t="str">
        <f aca="false">IF(D559="","",IFERROR(INDEX(AK_KEL,MATCH(D559,AK_NAMA,0)),"?"))</f>
        <v>ASET</v>
      </c>
      <c r="Q559" s="102" t="n">
        <f aca="false">N(Q558)+IF(AND(N(E559)&lt;&gt;0,K559=TAHUN,N(J559)&lt;=BLN,OR(C559=BB_AKUN,D559=BB_AKUN)),1,0)</f>
        <v>361</v>
      </c>
      <c r="R559" s="104" t="str">
        <f aca="false">IF(OR(C559&amp;D559="",N(E559)=0),"",IF(OR(O559="?",P559="?"),"⚠ akun tidak dikenal",IF(C559=D559,"⚠ debet = kredit","")))</f>
        <v/>
      </c>
    </row>
    <row r="560" customFormat="false" ht="15" hidden="false" customHeight="false" outlineLevel="0" collapsed="false">
      <c r="A560" s="82" t="s">
        <v>1413</v>
      </c>
      <c r="B560" s="101" t="n">
        <v>46139</v>
      </c>
      <c r="C560" s="82" t="s">
        <v>524</v>
      </c>
      <c r="D560" s="82" t="s">
        <v>486</v>
      </c>
      <c r="E560" s="91" t="n">
        <v>1000</v>
      </c>
      <c r="F560" s="82" t="s">
        <v>1414</v>
      </c>
      <c r="G560" s="82"/>
      <c r="H560" s="82"/>
      <c r="I560" s="82" t="s">
        <v>250</v>
      </c>
      <c r="J560" s="102" t="n">
        <f aca="false">IF(B560="","",MONTH(B560))</f>
        <v>4</v>
      </c>
      <c r="K560" s="102" t="n">
        <f aca="false">IF(B560="","",YEAR(B560))</f>
        <v>2026</v>
      </c>
      <c r="L560" s="102" t="str">
        <f aca="false">IF(N(E560)=0,"",IF(COUNTIFS(AK_NAMA,C560,AK_KAT,"KAS")+COUNTIFS(AK_NAMA,D560,AK_KAT,"KAS")&lt;&gt;1,"",IF(COUNTIFS(AK_NAMA,C560,AK_KAT,"KAS")=1,D560,C560)))</f>
        <v>Biaya Lainnya</v>
      </c>
      <c r="M560" s="103" t="n">
        <f aca="false">IF(L560="",0,IF(L560=D560,E560,-E560))</f>
        <v>-1000</v>
      </c>
      <c r="N560" s="102" t="str">
        <f aca="false">IF(L560="","",IFERROR(INDEX(AK_BARIS,MATCH(L560,AK_NAMA,0)),"?"))</f>
        <v>OP2</v>
      </c>
      <c r="O560" s="102" t="str">
        <f aca="false">IF(C560="","",IFERROR(INDEX(AK_KEL,MATCH(C560,AK_NAMA,0)),"?"))</f>
        <v>BEBAN</v>
      </c>
      <c r="P560" s="102" t="str">
        <f aca="false">IF(D560="","",IFERROR(INDEX(AK_KEL,MATCH(D560,AK_NAMA,0)),"?"))</f>
        <v>ASET</v>
      </c>
      <c r="Q560" s="102" t="n">
        <f aca="false">N(Q559)+IF(AND(N(E560)&lt;&gt;0,K560=TAHUN,N(J560)&lt;=BLN,OR(C560=BB_AKUN,D560=BB_AKUN)),1,0)</f>
        <v>361</v>
      </c>
      <c r="R560" s="104" t="str">
        <f aca="false">IF(OR(C560&amp;D560="",N(E560)=0),"",IF(OR(O560="?",P560="?"),"⚠ akun tidak dikenal",IF(C560=D560,"⚠ debet = kredit","")))</f>
        <v/>
      </c>
    </row>
    <row r="561" customFormat="false" ht="15" hidden="false" customHeight="false" outlineLevel="0" collapsed="false">
      <c r="A561" s="82" t="s">
        <v>1415</v>
      </c>
      <c r="B561" s="101" t="n">
        <v>46139</v>
      </c>
      <c r="C561" s="82" t="s">
        <v>478</v>
      </c>
      <c r="D561" s="82" t="s">
        <v>461</v>
      </c>
      <c r="E561" s="91" t="n">
        <v>428659</v>
      </c>
      <c r="F561" s="82" t="s">
        <v>1416</v>
      </c>
      <c r="G561" s="82"/>
      <c r="H561" s="82"/>
      <c r="I561" s="82" t="s">
        <v>250</v>
      </c>
      <c r="J561" s="102" t="n">
        <f aca="false">IF(B561="","",MONTH(B561))</f>
        <v>4</v>
      </c>
      <c r="K561" s="102" t="n">
        <f aca="false">IF(B561="","",YEAR(B561))</f>
        <v>2026</v>
      </c>
      <c r="L561" s="102" t="str">
        <f aca="false">IF(N(E561)=0,"",IF(COUNTIFS(AK_NAMA,C561,AK_KAT,"KAS")+COUNTIFS(AK_NAMA,D561,AK_KAT,"KAS")&lt;&gt;1,"",IF(COUNTIFS(AK_NAMA,C561,AK_KAT,"KAS")=1,D561,C561)))</f>
        <v>Biaya Penyajian</v>
      </c>
      <c r="M561" s="103" t="n">
        <f aca="false">IF(L561="",0,IF(L561=D561,E561,-E561))</f>
        <v>-428659</v>
      </c>
      <c r="N561" s="102" t="str">
        <f aca="false">IF(L561="","",IFERROR(INDEX(AK_BARIS,MATCH(L561,AK_NAMA,0)),"?"))</f>
        <v>OP3</v>
      </c>
      <c r="O561" s="102" t="str">
        <f aca="false">IF(C561="","",IFERROR(INDEX(AK_KEL,MATCH(C561,AK_NAMA,0)),"?"))</f>
        <v>BEBAN</v>
      </c>
      <c r="P561" s="102" t="str">
        <f aca="false">IF(D561="","",IFERROR(INDEX(AK_KEL,MATCH(D561,AK_NAMA,0)),"?"))</f>
        <v>ASET</v>
      </c>
      <c r="Q561" s="102" t="n">
        <f aca="false">N(Q560)+IF(AND(N(E561)&lt;&gt;0,K561=TAHUN,N(J561)&lt;=BLN,OR(C561=BB_AKUN,D561=BB_AKUN)),1,0)</f>
        <v>362</v>
      </c>
      <c r="R561" s="104" t="str">
        <f aca="false">IF(OR(C561&amp;D561="",N(E561)=0),"",IF(OR(O561="?",P561="?"),"⚠ akun tidak dikenal",IF(C561=D561,"⚠ debet = kredit","")))</f>
        <v/>
      </c>
    </row>
    <row r="562" customFormat="false" ht="15" hidden="false" customHeight="false" outlineLevel="0" collapsed="false">
      <c r="A562" s="82" t="s">
        <v>1417</v>
      </c>
      <c r="B562" s="101" t="n">
        <v>46139</v>
      </c>
      <c r="C562" s="82" t="s">
        <v>548</v>
      </c>
      <c r="D562" s="82" t="s">
        <v>461</v>
      </c>
      <c r="E562" s="91" t="n">
        <v>102300</v>
      </c>
      <c r="F562" s="82" t="s">
        <v>1418</v>
      </c>
      <c r="G562" s="82"/>
      <c r="H562" s="82"/>
      <c r="I562" s="82" t="s">
        <v>250</v>
      </c>
      <c r="J562" s="102" t="n">
        <f aca="false">IF(B562="","",MONTH(B562))</f>
        <v>4</v>
      </c>
      <c r="K562" s="102" t="n">
        <f aca="false">IF(B562="","",YEAR(B562))</f>
        <v>2026</v>
      </c>
      <c r="L562" s="102" t="str">
        <f aca="false">IF(N(E562)=0,"",IF(COUNTIFS(AK_NAMA,C562,AK_KAT,"KAS")+COUNTIFS(AK_NAMA,D562,AK_KAT,"KAS")&lt;&gt;1,"",IF(COUNTIFS(AK_NAMA,C562,AK_KAT,"KAS")=1,D562,C562)))</f>
        <v>Beban Perlengkapan</v>
      </c>
      <c r="M562" s="103" t="n">
        <f aca="false">IF(L562="",0,IF(L562=D562,E562,-E562))</f>
        <v>-102300</v>
      </c>
      <c r="N562" s="102" t="str">
        <f aca="false">IF(L562="","",IFERROR(INDEX(AK_BARIS,MATCH(L562,AK_NAMA,0)),"?"))</f>
        <v>OP6</v>
      </c>
      <c r="O562" s="102" t="str">
        <f aca="false">IF(C562="","",IFERROR(INDEX(AK_KEL,MATCH(C562,AK_NAMA,0)),"?"))</f>
        <v>BEBAN</v>
      </c>
      <c r="P562" s="102" t="str">
        <f aca="false">IF(D562="","",IFERROR(INDEX(AK_KEL,MATCH(D562,AK_NAMA,0)),"?"))</f>
        <v>ASET</v>
      </c>
      <c r="Q562" s="102" t="n">
        <f aca="false">N(Q561)+IF(AND(N(E562)&lt;&gt;0,K562=TAHUN,N(J562)&lt;=BLN,OR(C562=BB_AKUN,D562=BB_AKUN)),1,0)</f>
        <v>363</v>
      </c>
      <c r="R562" s="104" t="str">
        <f aca="false">IF(OR(C562&amp;D562="",N(E562)=0),"",IF(OR(O562="?",P562="?"),"⚠ akun tidak dikenal",IF(C562=D562,"⚠ debet = kredit","")))</f>
        <v/>
      </c>
    </row>
    <row r="563" customFormat="false" ht="15" hidden="false" customHeight="false" outlineLevel="0" collapsed="false">
      <c r="A563" s="82" t="s">
        <v>1419</v>
      </c>
      <c r="B563" s="101" t="n">
        <v>46139</v>
      </c>
      <c r="C563" s="82" t="s">
        <v>470</v>
      </c>
      <c r="D563" s="82" t="s">
        <v>461</v>
      </c>
      <c r="E563" s="91" t="n">
        <v>590000</v>
      </c>
      <c r="F563" s="82" t="s">
        <v>1420</v>
      </c>
      <c r="G563" s="82"/>
      <c r="H563" s="82"/>
      <c r="I563" s="82" t="s">
        <v>250</v>
      </c>
      <c r="J563" s="102" t="n">
        <f aca="false">IF(B563="","",MONTH(B563))</f>
        <v>4</v>
      </c>
      <c r="K563" s="102" t="n">
        <f aca="false">IF(B563="","",YEAR(B563))</f>
        <v>2026</v>
      </c>
      <c r="L563" s="102" t="str">
        <f aca="false">IF(N(E563)=0,"",IF(COUNTIFS(AK_NAMA,C563,AK_KAT,"KAS")+COUNTIFS(AK_NAMA,D563,AK_KAT,"KAS")&lt;&gt;1,"",IF(COUNTIFS(AK_NAMA,C563,AK_KAT,"KAS")=1,D563,C563)))</f>
        <v>Biaya Bahan Baku</v>
      </c>
      <c r="M563" s="103" t="n">
        <f aca="false">IF(L563="",0,IF(L563=D563,E563,-E563))</f>
        <v>-590000</v>
      </c>
      <c r="N563" s="102" t="str">
        <f aca="false">IF(L563="","",IFERROR(INDEX(AK_BARIS,MATCH(L563,AK_NAMA,0)),"?"))</f>
        <v>OP3</v>
      </c>
      <c r="O563" s="102" t="str">
        <f aca="false">IF(C563="","",IFERROR(INDEX(AK_KEL,MATCH(C563,AK_NAMA,0)),"?"))</f>
        <v>BEBAN</v>
      </c>
      <c r="P563" s="102" t="str">
        <f aca="false">IF(D563="","",IFERROR(INDEX(AK_KEL,MATCH(D563,AK_NAMA,0)),"?"))</f>
        <v>ASET</v>
      </c>
      <c r="Q563" s="102" t="n">
        <f aca="false">N(Q562)+IF(AND(N(E563)&lt;&gt;0,K563=TAHUN,N(J563)&lt;=BLN,OR(C563=BB_AKUN,D563=BB_AKUN)),1,0)</f>
        <v>364</v>
      </c>
      <c r="R563" s="104" t="str">
        <f aca="false">IF(OR(C563&amp;D563="",N(E563)=0),"",IF(OR(O563="?",P563="?"),"⚠ akun tidak dikenal",IF(C563=D563,"⚠ debet = kredit","")))</f>
        <v/>
      </c>
    </row>
    <row r="564" customFormat="false" ht="15" hidden="false" customHeight="false" outlineLevel="0" collapsed="false">
      <c r="A564" s="82" t="s">
        <v>1421</v>
      </c>
      <c r="B564" s="101" t="n">
        <v>46139</v>
      </c>
      <c r="C564" s="82" t="s">
        <v>461</v>
      </c>
      <c r="D564" s="82" t="s">
        <v>557</v>
      </c>
      <c r="E564" s="91" t="n">
        <v>112</v>
      </c>
      <c r="F564" s="82" t="s">
        <v>1172</v>
      </c>
      <c r="G564" s="82"/>
      <c r="H564" s="82"/>
      <c r="I564" s="82" t="s">
        <v>250</v>
      </c>
      <c r="J564" s="102" t="n">
        <f aca="false">IF(B564="","",MONTH(B564))</f>
        <v>4</v>
      </c>
      <c r="K564" s="102" t="n">
        <f aca="false">IF(B564="","",YEAR(B564))</f>
        <v>2026</v>
      </c>
      <c r="L564" s="102" t="str">
        <f aca="false">IF(N(E564)=0,"",IF(COUNTIFS(AK_NAMA,C564,AK_KAT,"KAS")+COUNTIFS(AK_NAMA,D564,AK_KAT,"KAS")&lt;&gt;1,"",IF(COUNTIFS(AK_NAMA,C564,AK_KAT,"KAS")=1,D564,C564)))</f>
        <v>Pendapatan Lainnya</v>
      </c>
      <c r="M564" s="103" t="n">
        <f aca="false">IF(L564="",0,IF(L564=D564,E564,-E564))</f>
        <v>112</v>
      </c>
      <c r="N564" s="102" t="str">
        <f aca="false">IF(L564="","",IFERROR(INDEX(AK_BARIS,MATCH(L564,AK_NAMA,0)),"?"))</f>
        <v>OP2</v>
      </c>
      <c r="O564" s="102" t="str">
        <f aca="false">IF(C564="","",IFERROR(INDEX(AK_KEL,MATCH(C564,AK_NAMA,0)),"?"))</f>
        <v>ASET</v>
      </c>
      <c r="P564" s="102" t="str">
        <f aca="false">IF(D564="","",IFERROR(INDEX(AK_KEL,MATCH(D564,AK_NAMA,0)),"?"))</f>
        <v>PENDAPATAN</v>
      </c>
      <c r="Q564" s="102" t="n">
        <f aca="false">N(Q563)+IF(AND(N(E564)&lt;&gt;0,K564=TAHUN,N(J564)&lt;=BLN,OR(C564=BB_AKUN,D564=BB_AKUN)),1,0)</f>
        <v>365</v>
      </c>
      <c r="R564" s="104" t="str">
        <f aca="false">IF(OR(C564&amp;D564="",N(E564)=0),"",IF(OR(O564="?",P564="?"),"⚠ akun tidak dikenal",IF(C564=D564,"⚠ debet = kredit","")))</f>
        <v/>
      </c>
    </row>
    <row r="565" customFormat="false" ht="15" hidden="false" customHeight="false" outlineLevel="0" collapsed="false">
      <c r="A565" s="82" t="s">
        <v>1422</v>
      </c>
      <c r="B565" s="101" t="n">
        <v>46139</v>
      </c>
      <c r="C565" s="82" t="s">
        <v>486</v>
      </c>
      <c r="D565" s="82" t="s">
        <v>475</v>
      </c>
      <c r="E565" s="91" t="n">
        <v>500000</v>
      </c>
      <c r="F565" s="82" t="s">
        <v>1329</v>
      </c>
      <c r="G565" s="82"/>
      <c r="H565" s="82"/>
      <c r="I565" s="82" t="s">
        <v>250</v>
      </c>
      <c r="J565" s="102" t="n">
        <f aca="false">IF(B565="","",MONTH(B565))</f>
        <v>4</v>
      </c>
      <c r="K565" s="102" t="n">
        <f aca="false">IF(B565="","",YEAR(B565))</f>
        <v>2026</v>
      </c>
      <c r="L565" s="102" t="str">
        <f aca="false">IF(N(E565)=0,"",IF(COUNTIFS(AK_NAMA,C565,AK_KAT,"KAS")+COUNTIFS(AK_NAMA,D565,AK_KAT,"KAS")&lt;&gt;1,"",IF(COUNTIFS(AK_NAMA,C565,AK_KAT,"KAS")=1,D565,C565)))</f>
        <v/>
      </c>
      <c r="M565" s="103" t="n">
        <f aca="false">IF(L565="",0,IF(L565=D565,E565,-E565))</f>
        <v>0</v>
      </c>
      <c r="N565" s="102" t="str">
        <f aca="false">IF(L565="","",IFERROR(INDEX(AK_BARIS,MATCH(L565,AK_NAMA,0)),"?"))</f>
        <v/>
      </c>
      <c r="O565" s="102" t="str">
        <f aca="false">IF(C565="","",IFERROR(INDEX(AK_KEL,MATCH(C565,AK_NAMA,0)),"?"))</f>
        <v>ASET</v>
      </c>
      <c r="P565" s="102" t="str">
        <f aca="false">IF(D565="","",IFERROR(INDEX(AK_KEL,MATCH(D565,AK_NAMA,0)),"?"))</f>
        <v>ASET</v>
      </c>
      <c r="Q565" s="102" t="n">
        <f aca="false">N(Q564)+IF(AND(N(E565)&lt;&gt;0,K565=TAHUN,N(J565)&lt;=BLN,OR(C565=BB_AKUN,D565=BB_AKUN)),1,0)</f>
        <v>365</v>
      </c>
      <c r="R565" s="104" t="str">
        <f aca="false">IF(OR(C565&amp;D565="",N(E565)=0),"",IF(OR(O565="?",P565="?"),"⚠ akun tidak dikenal",IF(C565=D565,"⚠ debet = kredit","")))</f>
        <v/>
      </c>
    </row>
    <row r="566" customFormat="false" ht="15" hidden="false" customHeight="false" outlineLevel="0" collapsed="false">
      <c r="A566" s="82" t="s">
        <v>1423</v>
      </c>
      <c r="B566" s="101" t="n">
        <v>46139</v>
      </c>
      <c r="C566" s="82" t="s">
        <v>470</v>
      </c>
      <c r="D566" s="82" t="s">
        <v>486</v>
      </c>
      <c r="E566" s="91" t="n">
        <v>6592535</v>
      </c>
      <c r="F566" s="82" t="s">
        <v>935</v>
      </c>
      <c r="G566" s="82"/>
      <c r="H566" s="82"/>
      <c r="I566" s="82" t="s">
        <v>250</v>
      </c>
      <c r="J566" s="102" t="n">
        <f aca="false">IF(B566="","",MONTH(B566))</f>
        <v>4</v>
      </c>
      <c r="K566" s="102" t="n">
        <f aca="false">IF(B566="","",YEAR(B566))</f>
        <v>2026</v>
      </c>
      <c r="L566" s="102" t="str">
        <f aca="false">IF(N(E566)=0,"",IF(COUNTIFS(AK_NAMA,C566,AK_KAT,"KAS")+COUNTIFS(AK_NAMA,D566,AK_KAT,"KAS")&lt;&gt;1,"",IF(COUNTIFS(AK_NAMA,C566,AK_KAT,"KAS")=1,D566,C566)))</f>
        <v>Biaya Bahan Baku</v>
      </c>
      <c r="M566" s="103" t="n">
        <f aca="false">IF(L566="",0,IF(L566=D566,E566,-E566))</f>
        <v>-6592535</v>
      </c>
      <c r="N566" s="102" t="str">
        <f aca="false">IF(L566="","",IFERROR(INDEX(AK_BARIS,MATCH(L566,AK_NAMA,0)),"?"))</f>
        <v>OP3</v>
      </c>
      <c r="O566" s="102" t="str">
        <f aca="false">IF(C566="","",IFERROR(INDEX(AK_KEL,MATCH(C566,AK_NAMA,0)),"?"))</f>
        <v>BEBAN</v>
      </c>
      <c r="P566" s="102" t="str">
        <f aca="false">IF(D566="","",IFERROR(INDEX(AK_KEL,MATCH(D566,AK_NAMA,0)),"?"))</f>
        <v>ASET</v>
      </c>
      <c r="Q566" s="102" t="n">
        <f aca="false">N(Q565)+IF(AND(N(E566)&lt;&gt;0,K566=TAHUN,N(J566)&lt;=BLN,OR(C566=BB_AKUN,D566=BB_AKUN)),1,0)</f>
        <v>365</v>
      </c>
      <c r="R566" s="104" t="str">
        <f aca="false">IF(OR(C566&amp;D566="",N(E566)=0),"",IF(OR(O566="?",P566="?"),"⚠ akun tidak dikenal",IF(C566=D566,"⚠ debet = kredit","")))</f>
        <v/>
      </c>
    </row>
    <row r="567" customFormat="false" ht="15" hidden="false" customHeight="false" outlineLevel="0" collapsed="false">
      <c r="A567" s="82" t="s">
        <v>1424</v>
      </c>
      <c r="B567" s="101" t="n">
        <v>46139</v>
      </c>
      <c r="C567" s="82" t="s">
        <v>478</v>
      </c>
      <c r="D567" s="82" t="s">
        <v>486</v>
      </c>
      <c r="E567" s="91" t="n">
        <v>413900</v>
      </c>
      <c r="F567" s="82" t="s">
        <v>937</v>
      </c>
      <c r="G567" s="82"/>
      <c r="H567" s="82"/>
      <c r="I567" s="82" t="s">
        <v>250</v>
      </c>
      <c r="J567" s="102" t="n">
        <f aca="false">IF(B567="","",MONTH(B567))</f>
        <v>4</v>
      </c>
      <c r="K567" s="102" t="n">
        <f aca="false">IF(B567="","",YEAR(B567))</f>
        <v>2026</v>
      </c>
      <c r="L567" s="102" t="str">
        <f aca="false">IF(N(E567)=0,"",IF(COUNTIFS(AK_NAMA,C567,AK_KAT,"KAS")+COUNTIFS(AK_NAMA,D567,AK_KAT,"KAS")&lt;&gt;1,"",IF(COUNTIFS(AK_NAMA,C567,AK_KAT,"KAS")=1,D567,C567)))</f>
        <v>Biaya Penyajian</v>
      </c>
      <c r="M567" s="103" t="n">
        <f aca="false">IF(L567="",0,IF(L567=D567,E567,-E567))</f>
        <v>-413900</v>
      </c>
      <c r="N567" s="102" t="str">
        <f aca="false">IF(L567="","",IFERROR(INDEX(AK_BARIS,MATCH(L567,AK_NAMA,0)),"?"))</f>
        <v>OP3</v>
      </c>
      <c r="O567" s="102" t="str">
        <f aca="false">IF(C567="","",IFERROR(INDEX(AK_KEL,MATCH(C567,AK_NAMA,0)),"?"))</f>
        <v>BEBAN</v>
      </c>
      <c r="P567" s="102" t="str">
        <f aca="false">IF(D567="","",IFERROR(INDEX(AK_KEL,MATCH(D567,AK_NAMA,0)),"?"))</f>
        <v>ASET</v>
      </c>
      <c r="Q567" s="102" t="n">
        <f aca="false">N(Q566)+IF(AND(N(E567)&lt;&gt;0,K567=TAHUN,N(J567)&lt;=BLN,OR(C567=BB_AKUN,D567=BB_AKUN)),1,0)</f>
        <v>365</v>
      </c>
      <c r="R567" s="104" t="str">
        <f aca="false">IF(OR(C567&amp;D567="",N(E567)=0),"",IF(OR(O567="?",P567="?"),"⚠ akun tidak dikenal",IF(C567=D567,"⚠ debet = kredit","")))</f>
        <v/>
      </c>
    </row>
    <row r="568" customFormat="false" ht="15" hidden="false" customHeight="false" outlineLevel="0" collapsed="false">
      <c r="A568" s="82" t="s">
        <v>1425</v>
      </c>
      <c r="B568" s="101" t="n">
        <v>46139</v>
      </c>
      <c r="C568" s="82" t="s">
        <v>548</v>
      </c>
      <c r="D568" s="82" t="s">
        <v>486</v>
      </c>
      <c r="E568" s="91" t="n">
        <v>588000</v>
      </c>
      <c r="F568" s="82" t="s">
        <v>939</v>
      </c>
      <c r="G568" s="82"/>
      <c r="H568" s="82"/>
      <c r="I568" s="82" t="s">
        <v>250</v>
      </c>
      <c r="J568" s="102" t="n">
        <f aca="false">IF(B568="","",MONTH(B568))</f>
        <v>4</v>
      </c>
      <c r="K568" s="102" t="n">
        <f aca="false">IF(B568="","",YEAR(B568))</f>
        <v>2026</v>
      </c>
      <c r="L568" s="102" t="str">
        <f aca="false">IF(N(E568)=0,"",IF(COUNTIFS(AK_NAMA,C568,AK_KAT,"KAS")+COUNTIFS(AK_NAMA,D568,AK_KAT,"KAS")&lt;&gt;1,"",IF(COUNTIFS(AK_NAMA,C568,AK_KAT,"KAS")=1,D568,C568)))</f>
        <v>Beban Perlengkapan</v>
      </c>
      <c r="M568" s="103" t="n">
        <f aca="false">IF(L568="",0,IF(L568=D568,E568,-E568))</f>
        <v>-588000</v>
      </c>
      <c r="N568" s="102" t="str">
        <f aca="false">IF(L568="","",IFERROR(INDEX(AK_BARIS,MATCH(L568,AK_NAMA,0)),"?"))</f>
        <v>OP6</v>
      </c>
      <c r="O568" s="102" t="str">
        <f aca="false">IF(C568="","",IFERROR(INDEX(AK_KEL,MATCH(C568,AK_NAMA,0)),"?"))</f>
        <v>BEBAN</v>
      </c>
      <c r="P568" s="102" t="str">
        <f aca="false">IF(D568="","",IFERROR(INDEX(AK_KEL,MATCH(D568,AK_NAMA,0)),"?"))</f>
        <v>ASET</v>
      </c>
      <c r="Q568" s="102" t="n">
        <f aca="false">N(Q567)+IF(AND(N(E568)&lt;&gt;0,K568=TAHUN,N(J568)&lt;=BLN,OR(C568=BB_AKUN,D568=BB_AKUN)),1,0)</f>
        <v>365</v>
      </c>
      <c r="R568" s="104" t="str">
        <f aca="false">IF(OR(C568&amp;D568="",N(E568)=0),"",IF(OR(O568="?",P568="?"),"⚠ akun tidak dikenal",IF(C568=D568,"⚠ debet = kredit","")))</f>
        <v/>
      </c>
    </row>
    <row r="569" customFormat="false" ht="15" hidden="false" customHeight="false" outlineLevel="0" collapsed="false">
      <c r="A569" s="82" t="s">
        <v>1426</v>
      </c>
      <c r="B569" s="101" t="n">
        <v>46139</v>
      </c>
      <c r="C569" s="82" t="s">
        <v>460</v>
      </c>
      <c r="D569" s="82" t="s">
        <v>486</v>
      </c>
      <c r="E569" s="91" t="n">
        <v>36500</v>
      </c>
      <c r="F569" s="82" t="s">
        <v>941</v>
      </c>
      <c r="G569" s="82"/>
      <c r="H569" s="82"/>
      <c r="I569" s="82" t="s">
        <v>250</v>
      </c>
      <c r="J569" s="102" t="n">
        <f aca="false">IF(B569="","",MONTH(B569))</f>
        <v>4</v>
      </c>
      <c r="K569" s="102" t="n">
        <f aca="false">IF(B569="","",YEAR(B569))</f>
        <v>2026</v>
      </c>
      <c r="L569" s="102" t="str">
        <f aca="false">IF(N(E569)=0,"",IF(COUNTIFS(AK_NAMA,C569,AK_KAT,"KAS")+COUNTIFS(AK_NAMA,D569,AK_KAT,"KAS")&lt;&gt;1,"",IF(COUNTIFS(AK_NAMA,C569,AK_KAT,"KAS")=1,D569,C569)))</f>
        <v>Biaya Marketing &amp; Promosi</v>
      </c>
      <c r="M569" s="103" t="n">
        <f aca="false">IF(L569="",0,IF(L569=D569,E569,-E569))</f>
        <v>-36500</v>
      </c>
      <c r="N569" s="102" t="str">
        <f aca="false">IF(L569="","",IFERROR(INDEX(AK_BARIS,MATCH(L569,AK_NAMA,0)),"?"))</f>
        <v>OP6</v>
      </c>
      <c r="O569" s="102" t="str">
        <f aca="false">IF(C569="","",IFERROR(INDEX(AK_KEL,MATCH(C569,AK_NAMA,0)),"?"))</f>
        <v>BEBAN</v>
      </c>
      <c r="P569" s="102" t="str">
        <f aca="false">IF(D569="","",IFERROR(INDEX(AK_KEL,MATCH(D569,AK_NAMA,0)),"?"))</f>
        <v>ASET</v>
      </c>
      <c r="Q569" s="102" t="n">
        <f aca="false">N(Q568)+IF(AND(N(E569)&lt;&gt;0,K569=TAHUN,N(J569)&lt;=BLN,OR(C569=BB_AKUN,D569=BB_AKUN)),1,0)</f>
        <v>365</v>
      </c>
      <c r="R569" s="104" t="str">
        <f aca="false">IF(OR(C569&amp;D569="",N(E569)=0),"",IF(OR(O569="?",P569="?"),"⚠ akun tidak dikenal",IF(C569=D569,"⚠ debet = kredit","")))</f>
        <v/>
      </c>
    </row>
    <row r="570" customFormat="false" ht="15" hidden="false" customHeight="false" outlineLevel="0" collapsed="false">
      <c r="A570" s="82" t="s">
        <v>1427</v>
      </c>
      <c r="B570" s="101" t="n">
        <v>46139</v>
      </c>
      <c r="C570" s="82" t="s">
        <v>485</v>
      </c>
      <c r="D570" s="82" t="s">
        <v>486</v>
      </c>
      <c r="E570" s="91" t="n">
        <v>232000</v>
      </c>
      <c r="F570" s="82" t="s">
        <v>553</v>
      </c>
      <c r="G570" s="82"/>
      <c r="H570" s="82"/>
      <c r="I570" s="82" t="s">
        <v>250</v>
      </c>
      <c r="J570" s="102" t="n">
        <f aca="false">IF(B570="","",MONTH(B570))</f>
        <v>4</v>
      </c>
      <c r="K570" s="102" t="n">
        <f aca="false">IF(B570="","",YEAR(B570))</f>
        <v>2026</v>
      </c>
      <c r="L570" s="102" t="str">
        <f aca="false">IF(N(E570)=0,"",IF(COUNTIFS(AK_NAMA,C570,AK_KAT,"KAS")+COUNTIFS(AK_NAMA,D570,AK_KAT,"KAS")&lt;&gt;1,"",IF(COUNTIFS(AK_NAMA,C570,AK_KAT,"KAS")=1,D570,C570)))</f>
        <v>Biaya Operasional Harian</v>
      </c>
      <c r="M570" s="103" t="n">
        <f aca="false">IF(L570="",0,IF(L570=D570,E570,-E570))</f>
        <v>-232000</v>
      </c>
      <c r="N570" s="102" t="str">
        <f aca="false">IF(L570="","",IFERROR(INDEX(AK_BARIS,MATCH(L570,AK_NAMA,0)),"?"))</f>
        <v>OP6</v>
      </c>
      <c r="O570" s="102" t="str">
        <f aca="false">IF(C570="","",IFERROR(INDEX(AK_KEL,MATCH(C570,AK_NAMA,0)),"?"))</f>
        <v>BEBAN</v>
      </c>
      <c r="P570" s="102" t="str">
        <f aca="false">IF(D570="","",IFERROR(INDEX(AK_KEL,MATCH(D570,AK_NAMA,0)),"?"))</f>
        <v>ASET</v>
      </c>
      <c r="Q570" s="102" t="n">
        <f aca="false">N(Q569)+IF(AND(N(E570)&lt;&gt;0,K570=TAHUN,N(J570)&lt;=BLN,OR(C570=BB_AKUN,D570=BB_AKUN)),1,0)</f>
        <v>365</v>
      </c>
      <c r="R570" s="104" t="str">
        <f aca="false">IF(OR(C570&amp;D570="",N(E570)=0),"",IF(OR(O570="?",P570="?"),"⚠ akun tidak dikenal",IF(C570=D570,"⚠ debet = kredit","")))</f>
        <v/>
      </c>
    </row>
    <row r="571" customFormat="false" ht="15" hidden="false" customHeight="false" outlineLevel="0" collapsed="false">
      <c r="A571" s="82" t="s">
        <v>1428</v>
      </c>
      <c r="B571" s="101" t="n">
        <v>46139</v>
      </c>
      <c r="C571" s="82" t="s">
        <v>485</v>
      </c>
      <c r="D571" s="82" t="s">
        <v>486</v>
      </c>
      <c r="E571" s="91" t="n">
        <v>35700</v>
      </c>
      <c r="F571" s="82" t="s">
        <v>555</v>
      </c>
      <c r="G571" s="82"/>
      <c r="H571" s="82"/>
      <c r="I571" s="82" t="s">
        <v>250</v>
      </c>
      <c r="J571" s="102" t="n">
        <f aca="false">IF(B571="","",MONTH(B571))</f>
        <v>4</v>
      </c>
      <c r="K571" s="102" t="n">
        <f aca="false">IF(B571="","",YEAR(B571))</f>
        <v>2026</v>
      </c>
      <c r="L571" s="102" t="str">
        <f aca="false">IF(N(E571)=0,"",IF(COUNTIFS(AK_NAMA,C571,AK_KAT,"KAS")+COUNTIFS(AK_NAMA,D571,AK_KAT,"KAS")&lt;&gt;1,"",IF(COUNTIFS(AK_NAMA,C571,AK_KAT,"KAS")=1,D571,C571)))</f>
        <v>Biaya Operasional Harian</v>
      </c>
      <c r="M571" s="103" t="n">
        <f aca="false">IF(L571="",0,IF(L571=D571,E571,-E571))</f>
        <v>-35700</v>
      </c>
      <c r="N571" s="102" t="str">
        <f aca="false">IF(L571="","",IFERROR(INDEX(AK_BARIS,MATCH(L571,AK_NAMA,0)),"?"))</f>
        <v>OP6</v>
      </c>
      <c r="O571" s="102" t="str">
        <f aca="false">IF(C571="","",IFERROR(INDEX(AK_KEL,MATCH(C571,AK_NAMA,0)),"?"))</f>
        <v>BEBAN</v>
      </c>
      <c r="P571" s="102" t="str">
        <f aca="false">IF(D571="","",IFERROR(INDEX(AK_KEL,MATCH(D571,AK_NAMA,0)),"?"))</f>
        <v>ASET</v>
      </c>
      <c r="Q571" s="102" t="n">
        <f aca="false">N(Q570)+IF(AND(N(E571)&lt;&gt;0,K571=TAHUN,N(J571)&lt;=BLN,OR(C571=BB_AKUN,D571=BB_AKUN)),1,0)</f>
        <v>365</v>
      </c>
      <c r="R571" s="104" t="str">
        <f aca="false">IF(OR(C571&amp;D571="",N(E571)=0),"",IF(OR(O571="?",P571="?"),"⚠ akun tidak dikenal",IF(C571=D571,"⚠ debet = kredit","")))</f>
        <v/>
      </c>
    </row>
    <row r="572" customFormat="false" ht="15" hidden="false" customHeight="false" outlineLevel="0" collapsed="false">
      <c r="A572" s="82" t="s">
        <v>1429</v>
      </c>
      <c r="B572" s="101" t="n">
        <v>46139</v>
      </c>
      <c r="C572" s="82" t="s">
        <v>524</v>
      </c>
      <c r="D572" s="82" t="s">
        <v>486</v>
      </c>
      <c r="E572" s="91" t="n">
        <v>1365</v>
      </c>
      <c r="F572" s="82" t="s">
        <v>1414</v>
      </c>
      <c r="G572" s="82"/>
      <c r="H572" s="82"/>
      <c r="I572" s="82" t="s">
        <v>250</v>
      </c>
      <c r="J572" s="102" t="n">
        <f aca="false">IF(B572="","",MONTH(B572))</f>
        <v>4</v>
      </c>
      <c r="K572" s="102" t="n">
        <f aca="false">IF(B572="","",YEAR(B572))</f>
        <v>2026</v>
      </c>
      <c r="L572" s="102" t="str">
        <f aca="false">IF(N(E572)=0,"",IF(COUNTIFS(AK_NAMA,C572,AK_KAT,"KAS")+COUNTIFS(AK_NAMA,D572,AK_KAT,"KAS")&lt;&gt;1,"",IF(COUNTIFS(AK_NAMA,C572,AK_KAT,"KAS")=1,D572,C572)))</f>
        <v>Biaya Lainnya</v>
      </c>
      <c r="M572" s="103" t="n">
        <f aca="false">IF(L572="",0,IF(L572=D572,E572,-E572))</f>
        <v>-1365</v>
      </c>
      <c r="N572" s="102" t="str">
        <f aca="false">IF(L572="","",IFERROR(INDEX(AK_BARIS,MATCH(L572,AK_NAMA,0)),"?"))</f>
        <v>OP2</v>
      </c>
      <c r="O572" s="102" t="str">
        <f aca="false">IF(C572="","",IFERROR(INDEX(AK_KEL,MATCH(C572,AK_NAMA,0)),"?"))</f>
        <v>BEBAN</v>
      </c>
      <c r="P572" s="102" t="str">
        <f aca="false">IF(D572="","",IFERROR(INDEX(AK_KEL,MATCH(D572,AK_NAMA,0)),"?"))</f>
        <v>ASET</v>
      </c>
      <c r="Q572" s="102" t="n">
        <f aca="false">N(Q571)+IF(AND(N(E572)&lt;&gt;0,K572=TAHUN,N(J572)&lt;=BLN,OR(C572=BB_AKUN,D572=BB_AKUN)),1,0)</f>
        <v>365</v>
      </c>
      <c r="R572" s="104" t="str">
        <f aca="false">IF(OR(C572&amp;D572="",N(E572)=0),"",IF(OR(O572="?",P572="?"),"⚠ akun tidak dikenal",IF(C572=D572,"⚠ debet = kredit","")))</f>
        <v/>
      </c>
    </row>
    <row r="573" customFormat="false" ht="15" hidden="false" customHeight="false" outlineLevel="0" collapsed="false">
      <c r="A573" s="82" t="s">
        <v>1430</v>
      </c>
      <c r="B573" s="101" t="n">
        <v>46139</v>
      </c>
      <c r="C573" s="82" t="s">
        <v>524</v>
      </c>
      <c r="D573" s="82" t="s">
        <v>461</v>
      </c>
      <c r="E573" s="91" t="n">
        <v>1335</v>
      </c>
      <c r="F573" s="82" t="s">
        <v>525</v>
      </c>
      <c r="G573" s="82"/>
      <c r="H573" s="82"/>
      <c r="I573" s="82" t="s">
        <v>250</v>
      </c>
      <c r="J573" s="102" t="n">
        <f aca="false">IF(B573="","",MONTH(B573))</f>
        <v>4</v>
      </c>
      <c r="K573" s="102" t="n">
        <f aca="false">IF(B573="","",YEAR(B573))</f>
        <v>2026</v>
      </c>
      <c r="L573" s="102" t="str">
        <f aca="false">IF(N(E573)=0,"",IF(COUNTIFS(AK_NAMA,C573,AK_KAT,"KAS")+COUNTIFS(AK_NAMA,D573,AK_KAT,"KAS")&lt;&gt;1,"",IF(COUNTIFS(AK_NAMA,C573,AK_KAT,"KAS")=1,D573,C573)))</f>
        <v>Biaya Lainnya</v>
      </c>
      <c r="M573" s="103" t="n">
        <f aca="false">IF(L573="",0,IF(L573=D573,E573,-E573))</f>
        <v>-1335</v>
      </c>
      <c r="N573" s="102" t="str">
        <f aca="false">IF(L573="","",IFERROR(INDEX(AK_BARIS,MATCH(L573,AK_NAMA,0)),"?"))</f>
        <v>OP2</v>
      </c>
      <c r="O573" s="102" t="str">
        <f aca="false">IF(C573="","",IFERROR(INDEX(AK_KEL,MATCH(C573,AK_NAMA,0)),"?"))</f>
        <v>BEBAN</v>
      </c>
      <c r="P573" s="102" t="str">
        <f aca="false">IF(D573="","",IFERROR(INDEX(AK_KEL,MATCH(D573,AK_NAMA,0)),"?"))</f>
        <v>ASET</v>
      </c>
      <c r="Q573" s="102" t="n">
        <f aca="false">N(Q572)+IF(AND(N(E573)&lt;&gt;0,K573=TAHUN,N(J573)&lt;=BLN,OR(C573=BB_AKUN,D573=BB_AKUN)),1,0)</f>
        <v>366</v>
      </c>
      <c r="R573" s="104" t="str">
        <f aca="false">IF(OR(C573&amp;D573="",N(E573)=0),"",IF(OR(O573="?",P573="?"),"⚠ akun tidak dikenal",IF(C573=D573,"⚠ debet = kredit","")))</f>
        <v/>
      </c>
    </row>
    <row r="574" customFormat="false" ht="15" hidden="false" customHeight="false" outlineLevel="0" collapsed="false">
      <c r="A574" s="82" t="s">
        <v>1431</v>
      </c>
      <c r="B574" s="101" t="n">
        <v>46141</v>
      </c>
      <c r="C574" s="82" t="s">
        <v>524</v>
      </c>
      <c r="D574" s="82" t="s">
        <v>461</v>
      </c>
      <c r="E574" s="91" t="n">
        <v>2437</v>
      </c>
      <c r="F574" s="82" t="s">
        <v>525</v>
      </c>
      <c r="G574" s="82"/>
      <c r="H574" s="82"/>
      <c r="I574" s="82" t="s">
        <v>250</v>
      </c>
      <c r="J574" s="102" t="n">
        <f aca="false">IF(B574="","",MONTH(B574))</f>
        <v>4</v>
      </c>
      <c r="K574" s="102" t="n">
        <f aca="false">IF(B574="","",YEAR(B574))</f>
        <v>2026</v>
      </c>
      <c r="L574" s="102" t="str">
        <f aca="false">IF(N(E574)=0,"",IF(COUNTIFS(AK_NAMA,C574,AK_KAT,"KAS")+COUNTIFS(AK_NAMA,D574,AK_KAT,"KAS")&lt;&gt;1,"",IF(COUNTIFS(AK_NAMA,C574,AK_KAT,"KAS")=1,D574,C574)))</f>
        <v>Biaya Lainnya</v>
      </c>
      <c r="M574" s="103" t="n">
        <f aca="false">IF(L574="",0,IF(L574=D574,E574,-E574))</f>
        <v>-2437</v>
      </c>
      <c r="N574" s="102" t="str">
        <f aca="false">IF(L574="","",IFERROR(INDEX(AK_BARIS,MATCH(L574,AK_NAMA,0)),"?"))</f>
        <v>OP2</v>
      </c>
      <c r="O574" s="102" t="str">
        <f aca="false">IF(C574="","",IFERROR(INDEX(AK_KEL,MATCH(C574,AK_NAMA,0)),"?"))</f>
        <v>BEBAN</v>
      </c>
      <c r="P574" s="102" t="str">
        <f aca="false">IF(D574="","",IFERROR(INDEX(AK_KEL,MATCH(D574,AK_NAMA,0)),"?"))</f>
        <v>ASET</v>
      </c>
      <c r="Q574" s="102" t="n">
        <f aca="false">N(Q573)+IF(AND(N(E574)&lt;&gt;0,K574=TAHUN,N(J574)&lt;=BLN,OR(C574=BB_AKUN,D574=BB_AKUN)),1,0)</f>
        <v>367</v>
      </c>
      <c r="R574" s="104" t="str">
        <f aca="false">IF(OR(C574&amp;D574="",N(E574)=0),"",IF(OR(O574="?",P574="?"),"⚠ akun tidak dikenal",IF(C574=D574,"⚠ debet = kredit","")))</f>
        <v/>
      </c>
    </row>
    <row r="575" customFormat="false" ht="15" hidden="false" customHeight="false" outlineLevel="0" collapsed="false">
      <c r="A575" s="82" t="s">
        <v>1432</v>
      </c>
      <c r="B575" s="101" t="n">
        <v>46141</v>
      </c>
      <c r="C575" s="82" t="s">
        <v>576</v>
      </c>
      <c r="D575" s="82" t="s">
        <v>461</v>
      </c>
      <c r="E575" s="91" t="n">
        <v>21266000</v>
      </c>
      <c r="F575" s="82" t="s">
        <v>724</v>
      </c>
      <c r="G575" s="82"/>
      <c r="H575" s="82"/>
      <c r="I575" s="82" t="s">
        <v>250</v>
      </c>
      <c r="J575" s="102" t="n">
        <f aca="false">IF(B575="","",MONTH(B575))</f>
        <v>4</v>
      </c>
      <c r="K575" s="102" t="n">
        <f aca="false">IF(B575="","",YEAR(B575))</f>
        <v>2026</v>
      </c>
      <c r="L575" s="102" t="str">
        <f aca="false">IF(N(E575)=0,"",IF(COUNTIFS(AK_NAMA,C575,AK_KAT,"KAS")+COUNTIFS(AK_NAMA,D575,AK_KAT,"KAS")&lt;&gt;1,"",IF(COUNTIFS(AK_NAMA,C575,AK_KAT,"KAS")=1,D575,C575)))</f>
        <v>Beban Gaji</v>
      </c>
      <c r="M575" s="103" t="n">
        <f aca="false">IF(L575="",0,IF(L575=D575,E575,-E575))</f>
        <v>-21266000</v>
      </c>
      <c r="N575" s="102" t="str">
        <f aca="false">IF(L575="","",IFERROR(INDEX(AK_BARIS,MATCH(L575,AK_NAMA,0)),"?"))</f>
        <v>OP4</v>
      </c>
      <c r="O575" s="102" t="str">
        <f aca="false">IF(C575="","",IFERROR(INDEX(AK_KEL,MATCH(C575,AK_NAMA,0)),"?"))</f>
        <v>BEBAN</v>
      </c>
      <c r="P575" s="102" t="str">
        <f aca="false">IF(D575="","",IFERROR(INDEX(AK_KEL,MATCH(D575,AK_NAMA,0)),"?"))</f>
        <v>ASET</v>
      </c>
      <c r="Q575" s="102" t="n">
        <f aca="false">N(Q574)+IF(AND(N(E575)&lt;&gt;0,K575=TAHUN,N(J575)&lt;=BLN,OR(C575=BB_AKUN,D575=BB_AKUN)),1,0)</f>
        <v>368</v>
      </c>
      <c r="R575" s="104" t="str">
        <f aca="false">IF(OR(C575&amp;D575="",N(E575)=0),"",IF(OR(O575="?",P575="?"),"⚠ akun tidak dikenal",IF(C575=D575,"⚠ debet = kredit","")))</f>
        <v/>
      </c>
    </row>
    <row r="576" customFormat="false" ht="15" hidden="false" customHeight="false" outlineLevel="0" collapsed="false">
      <c r="A576" s="82" t="s">
        <v>1433</v>
      </c>
      <c r="B576" s="101" t="n">
        <v>46141</v>
      </c>
      <c r="C576" s="82" t="s">
        <v>576</v>
      </c>
      <c r="D576" s="82" t="s">
        <v>461</v>
      </c>
      <c r="E576" s="91" t="n">
        <v>1000000</v>
      </c>
      <c r="F576" s="82" t="s">
        <v>726</v>
      </c>
      <c r="G576" s="82"/>
      <c r="H576" s="82"/>
      <c r="I576" s="82" t="s">
        <v>250</v>
      </c>
      <c r="J576" s="102" t="n">
        <f aca="false">IF(B576="","",MONTH(B576))</f>
        <v>4</v>
      </c>
      <c r="K576" s="102" t="n">
        <f aca="false">IF(B576="","",YEAR(B576))</f>
        <v>2026</v>
      </c>
      <c r="L576" s="102" t="str">
        <f aca="false">IF(N(E576)=0,"",IF(COUNTIFS(AK_NAMA,C576,AK_KAT,"KAS")+COUNTIFS(AK_NAMA,D576,AK_KAT,"KAS")&lt;&gt;1,"",IF(COUNTIFS(AK_NAMA,C576,AK_KAT,"KAS")=1,D576,C576)))</f>
        <v>Beban Gaji</v>
      </c>
      <c r="M576" s="103" t="n">
        <f aca="false">IF(L576="",0,IF(L576=D576,E576,-E576))</f>
        <v>-1000000</v>
      </c>
      <c r="N576" s="102" t="str">
        <f aca="false">IF(L576="","",IFERROR(INDEX(AK_BARIS,MATCH(L576,AK_NAMA,0)),"?"))</f>
        <v>OP4</v>
      </c>
      <c r="O576" s="102" t="str">
        <f aca="false">IF(C576="","",IFERROR(INDEX(AK_KEL,MATCH(C576,AK_NAMA,0)),"?"))</f>
        <v>BEBAN</v>
      </c>
      <c r="P576" s="102" t="str">
        <f aca="false">IF(D576="","",IFERROR(INDEX(AK_KEL,MATCH(D576,AK_NAMA,0)),"?"))</f>
        <v>ASET</v>
      </c>
      <c r="Q576" s="102" t="n">
        <f aca="false">N(Q575)+IF(AND(N(E576)&lt;&gt;0,K576=TAHUN,N(J576)&lt;=BLN,OR(C576=BB_AKUN,D576=BB_AKUN)),1,0)</f>
        <v>369</v>
      </c>
      <c r="R576" s="104" t="str">
        <f aca="false">IF(OR(C576&amp;D576="",N(E576)=0),"",IF(OR(O576="?",P576="?"),"⚠ akun tidak dikenal",IF(C576=D576,"⚠ debet = kredit","")))</f>
        <v/>
      </c>
    </row>
    <row r="577" customFormat="false" ht="15" hidden="false" customHeight="false" outlineLevel="0" collapsed="false">
      <c r="A577" s="82" t="s">
        <v>1434</v>
      </c>
      <c r="B577" s="101" t="n">
        <v>46141</v>
      </c>
      <c r="C577" s="82" t="s">
        <v>524</v>
      </c>
      <c r="D577" s="82" t="s">
        <v>461</v>
      </c>
      <c r="E577" s="91" t="n">
        <v>12977</v>
      </c>
      <c r="F577" s="82" t="s">
        <v>728</v>
      </c>
      <c r="G577" s="82"/>
      <c r="H577" s="82"/>
      <c r="I577" s="82" t="s">
        <v>250</v>
      </c>
      <c r="J577" s="102" t="n">
        <f aca="false">IF(B577="","",MONTH(B577))</f>
        <v>4</v>
      </c>
      <c r="K577" s="102" t="n">
        <f aca="false">IF(B577="","",YEAR(B577))</f>
        <v>2026</v>
      </c>
      <c r="L577" s="102" t="str">
        <f aca="false">IF(N(E577)=0,"",IF(COUNTIFS(AK_NAMA,C577,AK_KAT,"KAS")+COUNTIFS(AK_NAMA,D577,AK_KAT,"KAS")&lt;&gt;1,"",IF(COUNTIFS(AK_NAMA,C577,AK_KAT,"KAS")=1,D577,C577)))</f>
        <v>Biaya Lainnya</v>
      </c>
      <c r="M577" s="103" t="n">
        <f aca="false">IF(L577="",0,IF(L577=D577,E577,-E577))</f>
        <v>-12977</v>
      </c>
      <c r="N577" s="102" t="str">
        <f aca="false">IF(L577="","",IFERROR(INDEX(AK_BARIS,MATCH(L577,AK_NAMA,0)),"?"))</f>
        <v>OP2</v>
      </c>
      <c r="O577" s="102" t="str">
        <f aca="false">IF(C577="","",IFERROR(INDEX(AK_KEL,MATCH(C577,AK_NAMA,0)),"?"))</f>
        <v>BEBAN</v>
      </c>
      <c r="P577" s="102" t="str">
        <f aca="false">IF(D577="","",IFERROR(INDEX(AK_KEL,MATCH(D577,AK_NAMA,0)),"?"))</f>
        <v>ASET</v>
      </c>
      <c r="Q577" s="102" t="n">
        <f aca="false">N(Q576)+IF(AND(N(E577)&lt;&gt;0,K577=TAHUN,N(J577)&lt;=BLN,OR(C577=BB_AKUN,D577=BB_AKUN)),1,0)</f>
        <v>370</v>
      </c>
      <c r="R577" s="104" t="str">
        <f aca="false">IF(OR(C577&amp;D577="",N(E577)=0),"",IF(OR(O577="?",P577="?"),"⚠ akun tidak dikenal",IF(C577=D577,"⚠ debet = kredit","")))</f>
        <v/>
      </c>
    </row>
    <row r="578" customFormat="false" ht="15" hidden="false" customHeight="false" outlineLevel="0" collapsed="false">
      <c r="A578" s="82" t="s">
        <v>1435</v>
      </c>
      <c r="B578" s="101" t="n">
        <v>46141</v>
      </c>
      <c r="C578" s="82" t="s">
        <v>470</v>
      </c>
      <c r="D578" s="82" t="s">
        <v>461</v>
      </c>
      <c r="E578" s="91" t="n">
        <v>228000</v>
      </c>
      <c r="F578" s="82" t="s">
        <v>1436</v>
      </c>
      <c r="G578" s="82"/>
      <c r="H578" s="82"/>
      <c r="I578" s="82" t="s">
        <v>250</v>
      </c>
      <c r="J578" s="102" t="n">
        <f aca="false">IF(B578="","",MONTH(B578))</f>
        <v>4</v>
      </c>
      <c r="K578" s="102" t="n">
        <f aca="false">IF(B578="","",YEAR(B578))</f>
        <v>2026</v>
      </c>
      <c r="L578" s="102" t="str">
        <f aca="false">IF(N(E578)=0,"",IF(COUNTIFS(AK_NAMA,C578,AK_KAT,"KAS")+COUNTIFS(AK_NAMA,D578,AK_KAT,"KAS")&lt;&gt;1,"",IF(COUNTIFS(AK_NAMA,C578,AK_KAT,"KAS")=1,D578,C578)))</f>
        <v>Biaya Bahan Baku</v>
      </c>
      <c r="M578" s="103" t="n">
        <f aca="false">IF(L578="",0,IF(L578=D578,E578,-E578))</f>
        <v>-228000</v>
      </c>
      <c r="N578" s="102" t="str">
        <f aca="false">IF(L578="","",IFERROR(INDEX(AK_BARIS,MATCH(L578,AK_NAMA,0)),"?"))</f>
        <v>OP3</v>
      </c>
      <c r="O578" s="102" t="str">
        <f aca="false">IF(C578="","",IFERROR(INDEX(AK_KEL,MATCH(C578,AK_NAMA,0)),"?"))</f>
        <v>BEBAN</v>
      </c>
      <c r="P578" s="102" t="str">
        <f aca="false">IF(D578="","",IFERROR(INDEX(AK_KEL,MATCH(D578,AK_NAMA,0)),"?"))</f>
        <v>ASET</v>
      </c>
      <c r="Q578" s="102" t="n">
        <f aca="false">N(Q577)+IF(AND(N(E578)&lt;&gt;0,K578=TAHUN,N(J578)&lt;=BLN,OR(C578=BB_AKUN,D578=BB_AKUN)),1,0)</f>
        <v>371</v>
      </c>
      <c r="R578" s="104" t="str">
        <f aca="false">IF(OR(C578&amp;D578="",N(E578)=0),"",IF(OR(O578="?",P578="?"),"⚠ akun tidak dikenal",IF(C578=D578,"⚠ debet = kredit","")))</f>
        <v/>
      </c>
    </row>
    <row r="579" customFormat="false" ht="15" hidden="false" customHeight="false" outlineLevel="0" collapsed="false">
      <c r="A579" s="82" t="s">
        <v>1437</v>
      </c>
      <c r="B579" s="101" t="n">
        <v>46141</v>
      </c>
      <c r="C579" s="82" t="s">
        <v>461</v>
      </c>
      <c r="D579" s="82" t="s">
        <v>475</v>
      </c>
      <c r="E579" s="91" t="n">
        <v>2000000</v>
      </c>
      <c r="F579" s="82" t="s">
        <v>1438</v>
      </c>
      <c r="G579" s="82"/>
      <c r="H579" s="82"/>
      <c r="I579" s="82" t="s">
        <v>250</v>
      </c>
      <c r="J579" s="102" t="n">
        <f aca="false">IF(B579="","",MONTH(B579))</f>
        <v>4</v>
      </c>
      <c r="K579" s="102" t="n">
        <f aca="false">IF(B579="","",YEAR(B579))</f>
        <v>2026</v>
      </c>
      <c r="L579" s="102" t="str">
        <f aca="false">IF(N(E579)=0,"",IF(COUNTIFS(AK_NAMA,C579,AK_KAT,"KAS")+COUNTIFS(AK_NAMA,D579,AK_KAT,"KAS")&lt;&gt;1,"",IF(COUNTIFS(AK_NAMA,C579,AK_KAT,"KAS")=1,D579,C579)))</f>
        <v/>
      </c>
      <c r="M579" s="103" t="n">
        <f aca="false">IF(L579="",0,IF(L579=D579,E579,-E579))</f>
        <v>0</v>
      </c>
      <c r="N579" s="102" t="str">
        <f aca="false">IF(L579="","",IFERROR(INDEX(AK_BARIS,MATCH(L579,AK_NAMA,0)),"?"))</f>
        <v/>
      </c>
      <c r="O579" s="102" t="str">
        <f aca="false">IF(C579="","",IFERROR(INDEX(AK_KEL,MATCH(C579,AK_NAMA,0)),"?"))</f>
        <v>ASET</v>
      </c>
      <c r="P579" s="102" t="str">
        <f aca="false">IF(D579="","",IFERROR(INDEX(AK_KEL,MATCH(D579,AK_NAMA,0)),"?"))</f>
        <v>ASET</v>
      </c>
      <c r="Q579" s="102" t="n">
        <f aca="false">N(Q578)+IF(AND(N(E579)&lt;&gt;0,K579=TAHUN,N(J579)&lt;=BLN,OR(C579=BB_AKUN,D579=BB_AKUN)),1,0)</f>
        <v>372</v>
      </c>
      <c r="R579" s="104" t="str">
        <f aca="false">IF(OR(C579&amp;D579="",N(E579)=0),"",IF(OR(O579="?",P579="?"),"⚠ akun tidak dikenal",IF(C579=D579,"⚠ debet = kredit","")))</f>
        <v/>
      </c>
    </row>
    <row r="580" customFormat="false" ht="15" hidden="false" customHeight="false" outlineLevel="0" collapsed="false">
      <c r="A580" s="82" t="s">
        <v>1439</v>
      </c>
      <c r="B580" s="101" t="n">
        <v>46142</v>
      </c>
      <c r="C580" s="82" t="s">
        <v>461</v>
      </c>
      <c r="D580" s="82" t="s">
        <v>557</v>
      </c>
      <c r="E580" s="91" t="n">
        <v>1</v>
      </c>
      <c r="F580" s="82" t="s">
        <v>1172</v>
      </c>
      <c r="G580" s="82"/>
      <c r="H580" s="82"/>
      <c r="I580" s="82" t="s">
        <v>250</v>
      </c>
      <c r="J580" s="102" t="n">
        <f aca="false">IF(B580="","",MONTH(B580))</f>
        <v>4</v>
      </c>
      <c r="K580" s="102" t="n">
        <f aca="false">IF(B580="","",YEAR(B580))</f>
        <v>2026</v>
      </c>
      <c r="L580" s="102" t="str">
        <f aca="false">IF(N(E580)=0,"",IF(COUNTIFS(AK_NAMA,C580,AK_KAT,"KAS")+COUNTIFS(AK_NAMA,D580,AK_KAT,"KAS")&lt;&gt;1,"",IF(COUNTIFS(AK_NAMA,C580,AK_KAT,"KAS")=1,D580,C580)))</f>
        <v>Pendapatan Lainnya</v>
      </c>
      <c r="M580" s="103" t="n">
        <f aca="false">IF(L580="",0,IF(L580=D580,E580,-E580))</f>
        <v>1</v>
      </c>
      <c r="N580" s="102" t="str">
        <f aca="false">IF(L580="","",IFERROR(INDEX(AK_BARIS,MATCH(L580,AK_NAMA,0)),"?"))</f>
        <v>OP2</v>
      </c>
      <c r="O580" s="102" t="str">
        <f aca="false">IF(C580="","",IFERROR(INDEX(AK_KEL,MATCH(C580,AK_NAMA,0)),"?"))</f>
        <v>ASET</v>
      </c>
      <c r="P580" s="102" t="str">
        <f aca="false">IF(D580="","",IFERROR(INDEX(AK_KEL,MATCH(D580,AK_NAMA,0)),"?"))</f>
        <v>PENDAPATAN</v>
      </c>
      <c r="Q580" s="102" t="n">
        <f aca="false">N(Q579)+IF(AND(N(E580)&lt;&gt;0,K580=TAHUN,N(J580)&lt;=BLN,OR(C580=BB_AKUN,D580=BB_AKUN)),1,0)</f>
        <v>373</v>
      </c>
      <c r="R580" s="104" t="str">
        <f aca="false">IF(OR(C580&amp;D580="",N(E580)=0),"",IF(OR(O580="?",P580="?"),"⚠ akun tidak dikenal",IF(C580=D580,"⚠ debet = kredit","")))</f>
        <v/>
      </c>
    </row>
    <row r="581" customFormat="false" ht="15" hidden="false" customHeight="false" outlineLevel="0" collapsed="false">
      <c r="A581" s="82" t="s">
        <v>1440</v>
      </c>
      <c r="B581" s="101" t="n">
        <v>46142</v>
      </c>
      <c r="C581" s="82" t="s">
        <v>461</v>
      </c>
      <c r="D581" s="82" t="s">
        <v>557</v>
      </c>
      <c r="E581" s="91" t="n">
        <v>212210</v>
      </c>
      <c r="F581" s="82" t="s">
        <v>1441</v>
      </c>
      <c r="G581" s="82"/>
      <c r="H581" s="82"/>
      <c r="I581" s="82" t="s">
        <v>250</v>
      </c>
      <c r="J581" s="102" t="n">
        <f aca="false">IF(B581="","",MONTH(B581))</f>
        <v>4</v>
      </c>
      <c r="K581" s="102" t="n">
        <f aca="false">IF(B581="","",YEAR(B581))</f>
        <v>2026</v>
      </c>
      <c r="L581" s="102" t="str">
        <f aca="false">IF(N(E581)=0,"",IF(COUNTIFS(AK_NAMA,C581,AK_KAT,"KAS")+COUNTIFS(AK_NAMA,D581,AK_KAT,"KAS")&lt;&gt;1,"",IF(COUNTIFS(AK_NAMA,C581,AK_KAT,"KAS")=1,D581,C581)))</f>
        <v>Pendapatan Lainnya</v>
      </c>
      <c r="M581" s="103" t="n">
        <f aca="false">IF(L581="",0,IF(L581=D581,E581,-E581))</f>
        <v>212210</v>
      </c>
      <c r="N581" s="102" t="str">
        <f aca="false">IF(L581="","",IFERROR(INDEX(AK_BARIS,MATCH(L581,AK_NAMA,0)),"?"))</f>
        <v>OP2</v>
      </c>
      <c r="O581" s="102" t="str">
        <f aca="false">IF(C581="","",IFERROR(INDEX(AK_KEL,MATCH(C581,AK_NAMA,0)),"?"))</f>
        <v>ASET</v>
      </c>
      <c r="P581" s="102" t="str">
        <f aca="false">IF(D581="","",IFERROR(INDEX(AK_KEL,MATCH(D581,AK_NAMA,0)),"?"))</f>
        <v>PENDAPATAN</v>
      </c>
      <c r="Q581" s="102" t="n">
        <f aca="false">N(Q580)+IF(AND(N(E581)&lt;&gt;0,K581=TAHUN,N(J581)&lt;=BLN,OR(C581=BB_AKUN,D581=BB_AKUN)),1,0)</f>
        <v>374</v>
      </c>
      <c r="R581" s="104" t="str">
        <f aca="false">IF(OR(C581&amp;D581="",N(E581)=0),"",IF(OR(O581="?",P581="?"),"⚠ akun tidak dikenal",IF(C581=D581,"⚠ debet = kredit","")))</f>
        <v/>
      </c>
    </row>
    <row r="582" customFormat="false" ht="15" hidden="false" customHeight="false" outlineLevel="0" collapsed="false">
      <c r="A582" s="82" t="s">
        <v>1442</v>
      </c>
      <c r="B582" s="101" t="n">
        <v>46142</v>
      </c>
      <c r="C582" s="82" t="s">
        <v>576</v>
      </c>
      <c r="D582" s="82" t="s">
        <v>461</v>
      </c>
      <c r="E582" s="91" t="n">
        <v>4000000</v>
      </c>
      <c r="F582" s="82" t="s">
        <v>1443</v>
      </c>
      <c r="G582" s="82"/>
      <c r="H582" s="82"/>
      <c r="I582" s="82" t="s">
        <v>250</v>
      </c>
      <c r="J582" s="102" t="n">
        <f aca="false">IF(B582="","",MONTH(B582))</f>
        <v>4</v>
      </c>
      <c r="K582" s="102" t="n">
        <f aca="false">IF(B582="","",YEAR(B582))</f>
        <v>2026</v>
      </c>
      <c r="L582" s="102" t="str">
        <f aca="false">IF(N(E582)=0,"",IF(COUNTIFS(AK_NAMA,C582,AK_KAT,"KAS")+COUNTIFS(AK_NAMA,D582,AK_KAT,"KAS")&lt;&gt;1,"",IF(COUNTIFS(AK_NAMA,C582,AK_KAT,"KAS")=1,D582,C582)))</f>
        <v>Beban Gaji</v>
      </c>
      <c r="M582" s="103" t="n">
        <f aca="false">IF(L582="",0,IF(L582=D582,E582,-E582))</f>
        <v>-4000000</v>
      </c>
      <c r="N582" s="102" t="str">
        <f aca="false">IF(L582="","",IFERROR(INDEX(AK_BARIS,MATCH(L582,AK_NAMA,0)),"?"))</f>
        <v>OP4</v>
      </c>
      <c r="O582" s="102" t="str">
        <f aca="false">IF(C582="","",IFERROR(INDEX(AK_KEL,MATCH(C582,AK_NAMA,0)),"?"))</f>
        <v>BEBAN</v>
      </c>
      <c r="P582" s="102" t="str">
        <f aca="false">IF(D582="","",IFERROR(INDEX(AK_KEL,MATCH(D582,AK_NAMA,0)),"?"))</f>
        <v>ASET</v>
      </c>
      <c r="Q582" s="102" t="n">
        <f aca="false">N(Q581)+IF(AND(N(E582)&lt;&gt;0,K582=TAHUN,N(J582)&lt;=BLN,OR(C582=BB_AKUN,D582=BB_AKUN)),1,0)</f>
        <v>375</v>
      </c>
      <c r="R582" s="104" t="str">
        <f aca="false">IF(OR(C582&amp;D582="",N(E582)=0),"",IF(OR(O582="?",P582="?"),"⚠ akun tidak dikenal",IF(C582=D582,"⚠ debet = kredit","")))</f>
        <v/>
      </c>
    </row>
    <row r="583" customFormat="false" ht="15" hidden="false" customHeight="false" outlineLevel="0" collapsed="false">
      <c r="A583" s="82" t="s">
        <v>1444</v>
      </c>
      <c r="B583" s="101" t="n">
        <v>46142</v>
      </c>
      <c r="C583" s="82" t="s">
        <v>464</v>
      </c>
      <c r="D583" s="82" t="s">
        <v>461</v>
      </c>
      <c r="E583" s="91" t="n">
        <v>2500000</v>
      </c>
      <c r="F583" s="82" t="s">
        <v>1445</v>
      </c>
      <c r="G583" s="82"/>
      <c r="H583" s="82"/>
      <c r="I583" s="82" t="s">
        <v>250</v>
      </c>
      <c r="J583" s="102" t="n">
        <f aca="false">IF(B583="","",MONTH(B583))</f>
        <v>4</v>
      </c>
      <c r="K583" s="102" t="n">
        <f aca="false">IF(B583="","",YEAR(B583))</f>
        <v>2026</v>
      </c>
      <c r="L583" s="102" t="str">
        <f aca="false">IF(N(E583)=0,"",IF(COUNTIFS(AK_NAMA,C583,AK_KAT,"KAS")+COUNTIFS(AK_NAMA,D583,AK_KAT,"KAS")&lt;&gt;1,"",IF(COUNTIFS(AK_NAMA,C583,AK_KAT,"KAS")=1,D583,C583)))</f>
        <v>Prive</v>
      </c>
      <c r="M583" s="103" t="n">
        <f aca="false">IF(L583="",0,IF(L583=D583,E583,-E583))</f>
        <v>-2500000</v>
      </c>
      <c r="N583" s="102" t="str">
        <f aca="false">IF(L583="","",IFERROR(INDEX(AK_BARIS,MATCH(L583,AK_NAMA,0)),"?"))</f>
        <v>FN1</v>
      </c>
      <c r="O583" s="102" t="str">
        <f aca="false">IF(C583="","",IFERROR(INDEX(AK_KEL,MATCH(C583,AK_NAMA,0)),"?"))</f>
        <v>EKUITAS</v>
      </c>
      <c r="P583" s="102" t="str">
        <f aca="false">IF(D583="","",IFERROR(INDEX(AK_KEL,MATCH(D583,AK_NAMA,0)),"?"))</f>
        <v>ASET</v>
      </c>
      <c r="Q583" s="102" t="n">
        <f aca="false">N(Q582)+IF(AND(N(E583)&lt;&gt;0,K583=TAHUN,N(J583)&lt;=BLN,OR(C583=BB_AKUN,D583=BB_AKUN)),1,0)</f>
        <v>376</v>
      </c>
      <c r="R583" s="104" t="str">
        <f aca="false">IF(OR(C583&amp;D583="",N(E583)=0),"",IF(OR(O583="?",P583="?"),"⚠ akun tidak dikenal",IF(C583=D583,"⚠ debet = kredit","")))</f>
        <v/>
      </c>
    </row>
    <row r="584" customFormat="false" ht="15" hidden="false" customHeight="false" outlineLevel="0" collapsed="false">
      <c r="A584" s="82" t="s">
        <v>1446</v>
      </c>
      <c r="B584" s="101" t="n">
        <v>46142</v>
      </c>
      <c r="C584" s="82" t="s">
        <v>461</v>
      </c>
      <c r="D584" s="82" t="s">
        <v>718</v>
      </c>
      <c r="E584" s="91" t="n">
        <v>252300</v>
      </c>
      <c r="F584" s="82" t="s">
        <v>1188</v>
      </c>
      <c r="G584" s="82"/>
      <c r="H584" s="82" t="s">
        <v>763</v>
      </c>
      <c r="I584" s="82" t="s">
        <v>250</v>
      </c>
      <c r="J584" s="102" t="n">
        <f aca="false">IF(B584="","",MONTH(B584))</f>
        <v>4</v>
      </c>
      <c r="K584" s="102" t="n">
        <f aca="false">IF(B584="","",YEAR(B584))</f>
        <v>2026</v>
      </c>
      <c r="L584" s="102" t="str">
        <f aca="false">IF(N(E584)=0,"",IF(COUNTIFS(AK_NAMA,C584,AK_KAT,"KAS")+COUNTIFS(AK_NAMA,D584,AK_KAT,"KAS")&lt;&gt;1,"",IF(COUNTIFS(AK_NAMA,C584,AK_KAT,"KAS")=1,D584,C584)))</f>
        <v>Piutang Lainnya</v>
      </c>
      <c r="M584" s="103" t="n">
        <f aca="false">IF(L584="",0,IF(L584=D584,E584,-E584))</f>
        <v>252300</v>
      </c>
      <c r="N584" s="102" t="str">
        <f aca="false">IF(L584="","",IFERROR(INDEX(AK_BARIS,MATCH(L584,AK_NAMA,0)),"?"))</f>
        <v>OP2</v>
      </c>
      <c r="O584" s="102" t="str">
        <f aca="false">IF(C584="","",IFERROR(INDEX(AK_KEL,MATCH(C584,AK_NAMA,0)),"?"))</f>
        <v>ASET</v>
      </c>
      <c r="P584" s="102" t="str">
        <f aca="false">IF(D584="","",IFERROR(INDEX(AK_KEL,MATCH(D584,AK_NAMA,0)),"?"))</f>
        <v>ASET</v>
      </c>
      <c r="Q584" s="102" t="n">
        <f aca="false">N(Q583)+IF(AND(N(E584)&lt;&gt;0,K584=TAHUN,N(J584)&lt;=BLN,OR(C584=BB_AKUN,D584=BB_AKUN)),1,0)</f>
        <v>377</v>
      </c>
      <c r="R584" s="104" t="str">
        <f aca="false">IF(OR(C584&amp;D584="",N(E584)=0),"",IF(OR(O584="?",P584="?"),"⚠ akun tidak dikenal",IF(C584=D584,"⚠ debet = kredit","")))</f>
        <v/>
      </c>
    </row>
    <row r="585" customFormat="false" ht="15" hidden="false" customHeight="false" outlineLevel="0" collapsed="false">
      <c r="A585" s="82" t="s">
        <v>1447</v>
      </c>
      <c r="B585" s="101" t="n">
        <v>46142</v>
      </c>
      <c r="C585" s="82" t="s">
        <v>461</v>
      </c>
      <c r="D585" s="82" t="s">
        <v>718</v>
      </c>
      <c r="E585" s="91" t="n">
        <v>500000</v>
      </c>
      <c r="F585" s="82" t="s">
        <v>1448</v>
      </c>
      <c r="G585" s="82"/>
      <c r="H585" s="82" t="s">
        <v>763</v>
      </c>
      <c r="I585" s="82" t="s">
        <v>250</v>
      </c>
      <c r="J585" s="102" t="n">
        <f aca="false">IF(B585="","",MONTH(B585))</f>
        <v>4</v>
      </c>
      <c r="K585" s="102" t="n">
        <f aca="false">IF(B585="","",YEAR(B585))</f>
        <v>2026</v>
      </c>
      <c r="L585" s="102" t="str">
        <f aca="false">IF(N(E585)=0,"",IF(COUNTIFS(AK_NAMA,C585,AK_KAT,"KAS")+COUNTIFS(AK_NAMA,D585,AK_KAT,"KAS")&lt;&gt;1,"",IF(COUNTIFS(AK_NAMA,C585,AK_KAT,"KAS")=1,D585,C585)))</f>
        <v>Piutang Lainnya</v>
      </c>
      <c r="M585" s="103" t="n">
        <f aca="false">IF(L585="",0,IF(L585=D585,E585,-E585))</f>
        <v>500000</v>
      </c>
      <c r="N585" s="102" t="str">
        <f aca="false">IF(L585="","",IFERROR(INDEX(AK_BARIS,MATCH(L585,AK_NAMA,0)),"?"))</f>
        <v>OP2</v>
      </c>
      <c r="O585" s="102" t="str">
        <f aca="false">IF(C585="","",IFERROR(INDEX(AK_KEL,MATCH(C585,AK_NAMA,0)),"?"))</f>
        <v>ASET</v>
      </c>
      <c r="P585" s="102" t="str">
        <f aca="false">IF(D585="","",IFERROR(INDEX(AK_KEL,MATCH(D585,AK_NAMA,0)),"?"))</f>
        <v>ASET</v>
      </c>
      <c r="Q585" s="102" t="n">
        <f aca="false">N(Q584)+IF(AND(N(E585)&lt;&gt;0,K585=TAHUN,N(J585)&lt;=BLN,OR(C585=BB_AKUN,D585=BB_AKUN)),1,0)</f>
        <v>378</v>
      </c>
      <c r="R585" s="104" t="str">
        <f aca="false">IF(OR(C585&amp;D585="",N(E585)=0),"",IF(OR(O585="?",P585="?"),"⚠ akun tidak dikenal",IF(C585=D585,"⚠ debet = kredit","")))</f>
        <v/>
      </c>
    </row>
    <row r="586" customFormat="false" ht="15" hidden="false" customHeight="false" outlineLevel="0" collapsed="false">
      <c r="A586" s="82" t="s">
        <v>1449</v>
      </c>
      <c r="B586" s="101" t="n">
        <v>46142</v>
      </c>
      <c r="C586" s="82" t="s">
        <v>461</v>
      </c>
      <c r="D586" s="82" t="s">
        <v>765</v>
      </c>
      <c r="E586" s="91" t="n">
        <v>1000000</v>
      </c>
      <c r="F586" s="82" t="s">
        <v>1192</v>
      </c>
      <c r="G586" s="82"/>
      <c r="H586" s="82" t="s">
        <v>767</v>
      </c>
      <c r="I586" s="82" t="s">
        <v>250</v>
      </c>
      <c r="J586" s="102" t="n">
        <f aca="false">IF(B586="","",MONTH(B586))</f>
        <v>4</v>
      </c>
      <c r="K586" s="102" t="n">
        <f aca="false">IF(B586="","",YEAR(B586))</f>
        <v>2026</v>
      </c>
      <c r="L586" s="102" t="str">
        <f aca="false">IF(N(E586)=0,"",IF(COUNTIFS(AK_NAMA,C586,AK_KAT,"KAS")+COUNTIFS(AK_NAMA,D586,AK_KAT,"KAS")&lt;&gt;1,"",IF(COUNTIFS(AK_NAMA,C586,AK_KAT,"KAS")=1,D586,C586)))</f>
        <v>Piutang Usaha Cafe</v>
      </c>
      <c r="M586" s="103" t="n">
        <f aca="false">IF(L586="",0,IF(L586=D586,E586,-E586))</f>
        <v>1000000</v>
      </c>
      <c r="N586" s="102" t="str">
        <f aca="false">IF(L586="","",IFERROR(INDEX(AK_BARIS,MATCH(L586,AK_NAMA,0)),"?"))</f>
        <v>OP1</v>
      </c>
      <c r="O586" s="102" t="str">
        <f aca="false">IF(C586="","",IFERROR(INDEX(AK_KEL,MATCH(C586,AK_NAMA,0)),"?"))</f>
        <v>ASET</v>
      </c>
      <c r="P586" s="102" t="str">
        <f aca="false">IF(D586="","",IFERROR(INDEX(AK_KEL,MATCH(D586,AK_NAMA,0)),"?"))</f>
        <v>ASET</v>
      </c>
      <c r="Q586" s="102" t="n">
        <f aca="false">N(Q585)+IF(AND(N(E586)&lt;&gt;0,K586=TAHUN,N(J586)&lt;=BLN,OR(C586=BB_AKUN,D586=BB_AKUN)),1,0)</f>
        <v>379</v>
      </c>
      <c r="R586" s="104" t="str">
        <f aca="false">IF(OR(C586&amp;D586="",N(E586)=0),"",IF(OR(O586="?",P586="?"),"⚠ akun tidak dikenal",IF(C586=D586,"⚠ debet = kredit","")))</f>
        <v/>
      </c>
    </row>
    <row r="587" customFormat="false" ht="15" hidden="false" customHeight="false" outlineLevel="0" collapsed="false">
      <c r="A587" s="82" t="s">
        <v>1450</v>
      </c>
      <c r="B587" s="101" t="n">
        <v>46142</v>
      </c>
      <c r="C587" s="82" t="s">
        <v>669</v>
      </c>
      <c r="D587" s="82" t="s">
        <v>461</v>
      </c>
      <c r="E587" s="91" t="n">
        <v>4110411</v>
      </c>
      <c r="F587" s="82" t="s">
        <v>1451</v>
      </c>
      <c r="G587" s="82"/>
      <c r="H587" s="82"/>
      <c r="I587" s="82" t="s">
        <v>250</v>
      </c>
      <c r="J587" s="102" t="n">
        <f aca="false">IF(B587="","",MONTH(B587))</f>
        <v>4</v>
      </c>
      <c r="K587" s="102" t="n">
        <f aca="false">IF(B587="","",YEAR(B587))</f>
        <v>2026</v>
      </c>
      <c r="L587" s="102" t="str">
        <f aca="false">IF(N(E587)=0,"",IF(COUNTIFS(AK_NAMA,C587,AK_KAT,"KAS")+COUNTIFS(AK_NAMA,D587,AK_KAT,"KAS")&lt;&gt;1,"",IF(COUNTIFS(AK_NAMA,C587,AK_KAT,"KAS")=1,D587,C587)))</f>
        <v>Biaya Tagihan Bulanan</v>
      </c>
      <c r="M587" s="103" t="n">
        <f aca="false">IF(L587="",0,IF(L587=D587,E587,-E587))</f>
        <v>-4110411</v>
      </c>
      <c r="N587" s="102" t="str">
        <f aca="false">IF(L587="","",IFERROR(INDEX(AK_BARIS,MATCH(L587,AK_NAMA,0)),"?"))</f>
        <v>OP6</v>
      </c>
      <c r="O587" s="102" t="str">
        <f aca="false">IF(C587="","",IFERROR(INDEX(AK_KEL,MATCH(C587,AK_NAMA,0)),"?"))</f>
        <v>BEBAN</v>
      </c>
      <c r="P587" s="102" t="str">
        <f aca="false">IF(D587="","",IFERROR(INDEX(AK_KEL,MATCH(D587,AK_NAMA,0)),"?"))</f>
        <v>ASET</v>
      </c>
      <c r="Q587" s="102" t="n">
        <f aca="false">N(Q586)+IF(AND(N(E587)&lt;&gt;0,K587=TAHUN,N(J587)&lt;=BLN,OR(C587=BB_AKUN,D587=BB_AKUN)),1,0)</f>
        <v>380</v>
      </c>
      <c r="R587" s="104" t="str">
        <f aca="false">IF(OR(C587&amp;D587="",N(E587)=0),"",IF(OR(O587="?",P587="?"),"⚠ akun tidak dikenal",IF(C587=D587,"⚠ debet = kredit","")))</f>
        <v/>
      </c>
    </row>
    <row r="588" customFormat="false" ht="15" hidden="false" customHeight="false" outlineLevel="0" collapsed="false">
      <c r="A588" s="82" t="s">
        <v>1452</v>
      </c>
      <c r="B588" s="101" t="n">
        <v>46142</v>
      </c>
      <c r="C588" s="82" t="s">
        <v>669</v>
      </c>
      <c r="D588" s="82" t="s">
        <v>461</v>
      </c>
      <c r="E588" s="91" t="n">
        <v>57391</v>
      </c>
      <c r="F588" s="82" t="s">
        <v>1453</v>
      </c>
      <c r="G588" s="82"/>
      <c r="H588" s="82"/>
      <c r="I588" s="82" t="s">
        <v>250</v>
      </c>
      <c r="J588" s="102" t="n">
        <f aca="false">IF(B588="","",MONTH(B588))</f>
        <v>4</v>
      </c>
      <c r="K588" s="102" t="n">
        <f aca="false">IF(B588="","",YEAR(B588))</f>
        <v>2026</v>
      </c>
      <c r="L588" s="102" t="str">
        <f aca="false">IF(N(E588)=0,"",IF(COUNTIFS(AK_NAMA,C588,AK_KAT,"KAS")+COUNTIFS(AK_NAMA,D588,AK_KAT,"KAS")&lt;&gt;1,"",IF(COUNTIFS(AK_NAMA,C588,AK_KAT,"KAS")=1,D588,C588)))</f>
        <v>Biaya Tagihan Bulanan</v>
      </c>
      <c r="M588" s="103" t="n">
        <f aca="false">IF(L588="",0,IF(L588=D588,E588,-E588))</f>
        <v>-57391</v>
      </c>
      <c r="N588" s="102" t="str">
        <f aca="false">IF(L588="","",IFERROR(INDEX(AK_BARIS,MATCH(L588,AK_NAMA,0)),"?"))</f>
        <v>OP6</v>
      </c>
      <c r="O588" s="102" t="str">
        <f aca="false">IF(C588="","",IFERROR(INDEX(AK_KEL,MATCH(C588,AK_NAMA,0)),"?"))</f>
        <v>BEBAN</v>
      </c>
      <c r="P588" s="102" t="str">
        <f aca="false">IF(D588="","",IFERROR(INDEX(AK_KEL,MATCH(D588,AK_NAMA,0)),"?"))</f>
        <v>ASET</v>
      </c>
      <c r="Q588" s="102" t="n">
        <f aca="false">N(Q587)+IF(AND(N(E588)&lt;&gt;0,K588=TAHUN,N(J588)&lt;=BLN,OR(C588=BB_AKUN,D588=BB_AKUN)),1,0)</f>
        <v>381</v>
      </c>
      <c r="R588" s="104" t="str">
        <f aca="false">IF(OR(C588&amp;D588="",N(E588)=0),"",IF(OR(O588="?",P588="?"),"⚠ akun tidak dikenal",IF(C588=D588,"⚠ debet = kredit","")))</f>
        <v/>
      </c>
    </row>
    <row r="589" customFormat="false" ht="15" hidden="false" customHeight="false" outlineLevel="0" collapsed="false">
      <c r="A589" s="82" t="s">
        <v>1454</v>
      </c>
      <c r="B589" s="101" t="n">
        <v>46142</v>
      </c>
      <c r="C589" s="82" t="s">
        <v>669</v>
      </c>
      <c r="D589" s="82" t="s">
        <v>461</v>
      </c>
      <c r="E589" s="91" t="n">
        <v>383120</v>
      </c>
      <c r="F589" s="82" t="s">
        <v>1455</v>
      </c>
      <c r="G589" s="82"/>
      <c r="H589" s="82"/>
      <c r="I589" s="82" t="s">
        <v>250</v>
      </c>
      <c r="J589" s="102" t="n">
        <f aca="false">IF(B589="","",MONTH(B589))</f>
        <v>4</v>
      </c>
      <c r="K589" s="102" t="n">
        <f aca="false">IF(B589="","",YEAR(B589))</f>
        <v>2026</v>
      </c>
      <c r="L589" s="102" t="str">
        <f aca="false">IF(N(E589)=0,"",IF(COUNTIFS(AK_NAMA,C589,AK_KAT,"KAS")+COUNTIFS(AK_NAMA,D589,AK_KAT,"KAS")&lt;&gt;1,"",IF(COUNTIFS(AK_NAMA,C589,AK_KAT,"KAS")=1,D589,C589)))</f>
        <v>Biaya Tagihan Bulanan</v>
      </c>
      <c r="M589" s="103" t="n">
        <f aca="false">IF(L589="",0,IF(L589=D589,E589,-E589))</f>
        <v>-383120</v>
      </c>
      <c r="N589" s="102" t="str">
        <f aca="false">IF(L589="","",IFERROR(INDEX(AK_BARIS,MATCH(L589,AK_NAMA,0)),"?"))</f>
        <v>OP6</v>
      </c>
      <c r="O589" s="102" t="str">
        <f aca="false">IF(C589="","",IFERROR(INDEX(AK_KEL,MATCH(C589,AK_NAMA,0)),"?"))</f>
        <v>BEBAN</v>
      </c>
      <c r="P589" s="102" t="str">
        <f aca="false">IF(D589="","",IFERROR(INDEX(AK_KEL,MATCH(D589,AK_NAMA,0)),"?"))</f>
        <v>ASET</v>
      </c>
      <c r="Q589" s="102" t="n">
        <f aca="false">N(Q588)+IF(AND(N(E589)&lt;&gt;0,K589=TAHUN,N(J589)&lt;=BLN,OR(C589=BB_AKUN,D589=BB_AKUN)),1,0)</f>
        <v>382</v>
      </c>
      <c r="R589" s="104" t="str">
        <f aca="false">IF(OR(C589&amp;D589="",N(E589)=0),"",IF(OR(O589="?",P589="?"),"⚠ akun tidak dikenal",IF(C589=D589,"⚠ debet = kredit","")))</f>
        <v/>
      </c>
    </row>
    <row r="590" customFormat="false" ht="15" hidden="false" customHeight="false" outlineLevel="0" collapsed="false">
      <c r="A590" s="82" t="s">
        <v>1456</v>
      </c>
      <c r="B590" s="101" t="n">
        <v>46142</v>
      </c>
      <c r="C590" s="82" t="s">
        <v>461</v>
      </c>
      <c r="D590" s="82" t="s">
        <v>557</v>
      </c>
      <c r="E590" s="91" t="n">
        <v>589</v>
      </c>
      <c r="F590" s="82" t="s">
        <v>773</v>
      </c>
      <c r="G590" s="82"/>
      <c r="H590" s="82"/>
      <c r="I590" s="82" t="s">
        <v>250</v>
      </c>
      <c r="J590" s="102" t="n">
        <f aca="false">IF(B590="","",MONTH(B590))</f>
        <v>4</v>
      </c>
      <c r="K590" s="102" t="n">
        <f aca="false">IF(B590="","",YEAR(B590))</f>
        <v>2026</v>
      </c>
      <c r="L590" s="102" t="str">
        <f aca="false">IF(N(E590)=0,"",IF(COUNTIFS(AK_NAMA,C590,AK_KAT,"KAS")+COUNTIFS(AK_NAMA,D590,AK_KAT,"KAS")&lt;&gt;1,"",IF(COUNTIFS(AK_NAMA,C590,AK_KAT,"KAS")=1,D590,C590)))</f>
        <v>Pendapatan Lainnya</v>
      </c>
      <c r="M590" s="103" t="n">
        <f aca="false">IF(L590="",0,IF(L590=D590,E590,-E590))</f>
        <v>589</v>
      </c>
      <c r="N590" s="102" t="str">
        <f aca="false">IF(L590="","",IFERROR(INDEX(AK_BARIS,MATCH(L590,AK_NAMA,0)),"?"))</f>
        <v>OP2</v>
      </c>
      <c r="O590" s="102" t="str">
        <f aca="false">IF(C590="","",IFERROR(INDEX(AK_KEL,MATCH(C590,AK_NAMA,0)),"?"))</f>
        <v>ASET</v>
      </c>
      <c r="P590" s="102" t="str">
        <f aca="false">IF(D590="","",IFERROR(INDEX(AK_KEL,MATCH(D590,AK_NAMA,0)),"?"))</f>
        <v>PENDAPATAN</v>
      </c>
      <c r="Q590" s="102" t="n">
        <f aca="false">N(Q589)+IF(AND(N(E590)&lt;&gt;0,K590=TAHUN,N(J590)&lt;=BLN,OR(C590=BB_AKUN,D590=BB_AKUN)),1,0)</f>
        <v>383</v>
      </c>
      <c r="R590" s="104" t="str">
        <f aca="false">IF(OR(C590&amp;D590="",N(E590)=0),"",IF(OR(O590="?",P590="?"),"⚠ akun tidak dikenal",IF(C590=D590,"⚠ debet = kredit","")))</f>
        <v/>
      </c>
    </row>
    <row r="591" customFormat="false" ht="15" hidden="false" customHeight="false" outlineLevel="0" collapsed="false">
      <c r="A591" s="82" t="s">
        <v>1457</v>
      </c>
      <c r="B591" s="101" t="n">
        <v>46142</v>
      </c>
      <c r="C591" s="82" t="s">
        <v>524</v>
      </c>
      <c r="D591" s="82" t="s">
        <v>461</v>
      </c>
      <c r="E591" s="91" t="n">
        <v>118</v>
      </c>
      <c r="F591" s="82" t="s">
        <v>775</v>
      </c>
      <c r="G591" s="82"/>
      <c r="H591" s="82"/>
      <c r="I591" s="82" t="s">
        <v>250</v>
      </c>
      <c r="J591" s="102" t="n">
        <f aca="false">IF(B591="","",MONTH(B591))</f>
        <v>4</v>
      </c>
      <c r="K591" s="102" t="n">
        <f aca="false">IF(B591="","",YEAR(B591))</f>
        <v>2026</v>
      </c>
      <c r="L591" s="102" t="str">
        <f aca="false">IF(N(E591)=0,"",IF(COUNTIFS(AK_NAMA,C591,AK_KAT,"KAS")+COUNTIFS(AK_NAMA,D591,AK_KAT,"KAS")&lt;&gt;1,"",IF(COUNTIFS(AK_NAMA,C591,AK_KAT,"KAS")=1,D591,C591)))</f>
        <v>Biaya Lainnya</v>
      </c>
      <c r="M591" s="103" t="n">
        <f aca="false">IF(L591="",0,IF(L591=D591,E591,-E591))</f>
        <v>-118</v>
      </c>
      <c r="N591" s="102" t="str">
        <f aca="false">IF(L591="","",IFERROR(INDEX(AK_BARIS,MATCH(L591,AK_NAMA,0)),"?"))</f>
        <v>OP2</v>
      </c>
      <c r="O591" s="102" t="str">
        <f aca="false">IF(C591="","",IFERROR(INDEX(AK_KEL,MATCH(C591,AK_NAMA,0)),"?"))</f>
        <v>BEBAN</v>
      </c>
      <c r="P591" s="102" t="str">
        <f aca="false">IF(D591="","",IFERROR(INDEX(AK_KEL,MATCH(D591,AK_NAMA,0)),"?"))</f>
        <v>ASET</v>
      </c>
      <c r="Q591" s="102" t="n">
        <f aca="false">N(Q590)+IF(AND(N(E591)&lt;&gt;0,K591=TAHUN,N(J591)&lt;=BLN,OR(C591=BB_AKUN,D591=BB_AKUN)),1,0)</f>
        <v>384</v>
      </c>
      <c r="R591" s="104" t="str">
        <f aca="false">IF(OR(C591&amp;D591="",N(E591)=0),"",IF(OR(O591="?",P591="?"),"⚠ akun tidak dikenal",IF(C591=D591,"⚠ debet = kredit","")))</f>
        <v/>
      </c>
    </row>
    <row r="592" customFormat="false" ht="15" hidden="false" customHeight="false" outlineLevel="0" collapsed="false">
      <c r="A592" s="82" t="s">
        <v>1458</v>
      </c>
      <c r="B592" s="101" t="n">
        <v>46142</v>
      </c>
      <c r="C592" s="82" t="s">
        <v>461</v>
      </c>
      <c r="D592" s="82" t="s">
        <v>557</v>
      </c>
      <c r="E592" s="91" t="n">
        <v>1</v>
      </c>
      <c r="F592" s="82" t="s">
        <v>1205</v>
      </c>
      <c r="G592" s="82"/>
      <c r="H592" s="82"/>
      <c r="I592" s="82" t="s">
        <v>250</v>
      </c>
      <c r="J592" s="102" t="n">
        <f aca="false">IF(B592="","",MONTH(B592))</f>
        <v>4</v>
      </c>
      <c r="K592" s="102" t="n">
        <f aca="false">IF(B592="","",YEAR(B592))</f>
        <v>2026</v>
      </c>
      <c r="L592" s="102" t="str">
        <f aca="false">IF(N(E592)=0,"",IF(COUNTIFS(AK_NAMA,C592,AK_KAT,"KAS")+COUNTIFS(AK_NAMA,D592,AK_KAT,"KAS")&lt;&gt;1,"",IF(COUNTIFS(AK_NAMA,C592,AK_KAT,"KAS")=1,D592,C592)))</f>
        <v>Pendapatan Lainnya</v>
      </c>
      <c r="M592" s="103" t="n">
        <f aca="false">IF(L592="",0,IF(L592=D592,E592,-E592))</f>
        <v>1</v>
      </c>
      <c r="N592" s="102" t="str">
        <f aca="false">IF(L592="","",IFERROR(INDEX(AK_BARIS,MATCH(L592,AK_NAMA,0)),"?"))</f>
        <v>OP2</v>
      </c>
      <c r="O592" s="102" t="str">
        <f aca="false">IF(C592="","",IFERROR(INDEX(AK_KEL,MATCH(C592,AK_NAMA,0)),"?"))</f>
        <v>ASET</v>
      </c>
      <c r="P592" s="102" t="str">
        <f aca="false">IF(D592="","",IFERROR(INDEX(AK_KEL,MATCH(D592,AK_NAMA,0)),"?"))</f>
        <v>PENDAPATAN</v>
      </c>
      <c r="Q592" s="102" t="n">
        <f aca="false">N(Q591)+IF(AND(N(E592)&lt;&gt;0,K592=TAHUN,N(J592)&lt;=BLN,OR(C592=BB_AKUN,D592=BB_AKUN)),1,0)</f>
        <v>385</v>
      </c>
      <c r="R592" s="104" t="str">
        <f aca="false">IF(OR(C592&amp;D592="",N(E592)=0),"",IF(OR(O592="?",P592="?"),"⚠ akun tidak dikenal",IF(C592=D592,"⚠ debet = kredit","")))</f>
        <v/>
      </c>
    </row>
    <row r="593" customFormat="false" ht="15" hidden="false" customHeight="false" outlineLevel="0" collapsed="false">
      <c r="A593" s="82" t="s">
        <v>1459</v>
      </c>
      <c r="B593" s="101" t="n">
        <v>46142</v>
      </c>
      <c r="C593" s="82" t="s">
        <v>576</v>
      </c>
      <c r="D593" s="82" t="s">
        <v>769</v>
      </c>
      <c r="E593" s="91" t="n">
        <v>1000000</v>
      </c>
      <c r="F593" s="82" t="s">
        <v>1460</v>
      </c>
      <c r="G593" s="82"/>
      <c r="H593" s="82" t="s">
        <v>785</v>
      </c>
      <c r="I593" s="82" t="s">
        <v>250</v>
      </c>
      <c r="J593" s="102" t="n">
        <f aca="false">IF(B593="","",MONTH(B593))</f>
        <v>4</v>
      </c>
      <c r="K593" s="102" t="n">
        <f aca="false">IF(B593="","",YEAR(B593))</f>
        <v>2026</v>
      </c>
      <c r="L593" s="102" t="str">
        <f aca="false">IF(N(E593)=0,"",IF(COUNTIFS(AK_NAMA,C593,AK_KAT,"KAS")+COUNTIFS(AK_NAMA,D593,AK_KAT,"KAS")&lt;&gt;1,"",IF(COUNTIFS(AK_NAMA,C593,AK_KAT,"KAS")=1,D593,C593)))</f>
        <v/>
      </c>
      <c r="M593" s="103" t="n">
        <f aca="false">IF(L593="",0,IF(L593=D593,E593,-E593))</f>
        <v>0</v>
      </c>
      <c r="N593" s="102" t="str">
        <f aca="false">IF(L593="","",IFERROR(INDEX(AK_BARIS,MATCH(L593,AK_NAMA,0)),"?"))</f>
        <v/>
      </c>
      <c r="O593" s="102" t="str">
        <f aca="false">IF(C593="","",IFERROR(INDEX(AK_KEL,MATCH(C593,AK_NAMA,0)),"?"))</f>
        <v>BEBAN</v>
      </c>
      <c r="P593" s="102" t="str">
        <f aca="false">IF(D593="","",IFERROR(INDEX(AK_KEL,MATCH(D593,AK_NAMA,0)),"?"))</f>
        <v>LIABILITAS</v>
      </c>
      <c r="Q593" s="102" t="n">
        <f aca="false">N(Q592)+IF(AND(N(E593)&lt;&gt;0,K593=TAHUN,N(J593)&lt;=BLN,OR(C593=BB_AKUN,D593=BB_AKUN)),1,0)</f>
        <v>385</v>
      </c>
      <c r="R593" s="104" t="str">
        <f aca="false">IF(OR(C593&amp;D593="",N(E593)=0),"",IF(OR(O593="?",P593="?"),"⚠ akun tidak dikenal",IF(C593=D593,"⚠ debet = kredit","")))</f>
        <v/>
      </c>
    </row>
    <row r="594" customFormat="false" ht="15" hidden="false" customHeight="false" outlineLevel="0" collapsed="false">
      <c r="A594" s="82" t="s">
        <v>1461</v>
      </c>
      <c r="B594" s="101" t="n">
        <v>46142</v>
      </c>
      <c r="C594" s="82" t="s">
        <v>787</v>
      </c>
      <c r="D594" s="82" t="s">
        <v>461</v>
      </c>
      <c r="E594" s="91" t="n">
        <v>2058000</v>
      </c>
      <c r="F594" s="82" t="s">
        <v>788</v>
      </c>
      <c r="G594" s="82"/>
      <c r="H594" s="82"/>
      <c r="I594" s="82" t="s">
        <v>250</v>
      </c>
      <c r="J594" s="102" t="n">
        <f aca="false">IF(B594="","",MONTH(B594))</f>
        <v>4</v>
      </c>
      <c r="K594" s="102" t="n">
        <f aca="false">IF(B594="","",YEAR(B594))</f>
        <v>2026</v>
      </c>
      <c r="L594" s="102" t="str">
        <f aca="false">IF(N(E594)=0,"",IF(COUNTIFS(AK_NAMA,C594,AK_KAT,"KAS")+COUNTIFS(AK_NAMA,D594,AK_KAT,"KAS")&lt;&gt;1,"",IF(COUNTIFS(AK_NAMA,C594,AK_KAT,"KAS")=1,D594,C594)))</f>
        <v>Pajak Restoran</v>
      </c>
      <c r="M594" s="103" t="n">
        <f aca="false">IF(L594="",0,IF(L594=D594,E594,-E594))</f>
        <v>-2058000</v>
      </c>
      <c r="N594" s="102" t="str">
        <f aca="false">IF(L594="","",IFERROR(INDEX(AK_BARIS,MATCH(L594,AK_NAMA,0)),"?"))</f>
        <v>OP7</v>
      </c>
      <c r="O594" s="102" t="str">
        <f aca="false">IF(C594="","",IFERROR(INDEX(AK_KEL,MATCH(C594,AK_NAMA,0)),"?"))</f>
        <v>PENDAPATAN</v>
      </c>
      <c r="P594" s="102" t="str">
        <f aca="false">IF(D594="","",IFERROR(INDEX(AK_KEL,MATCH(D594,AK_NAMA,0)),"?"))</f>
        <v>ASET</v>
      </c>
      <c r="Q594" s="102" t="n">
        <f aca="false">N(Q593)+IF(AND(N(E594)&lt;&gt;0,K594=TAHUN,N(J594)&lt;=BLN,OR(C594=BB_AKUN,D594=BB_AKUN)),1,0)</f>
        <v>386</v>
      </c>
      <c r="R594" s="104" t="str">
        <f aca="false">IF(OR(C594&amp;D594="",N(E594)=0),"",IF(OR(O594="?",P594="?"),"⚠ akun tidak dikenal",IF(C594=D594,"⚠ debet = kredit","")))</f>
        <v/>
      </c>
    </row>
    <row r="595" customFormat="false" ht="15" hidden="false" customHeight="false" outlineLevel="0" collapsed="false">
      <c r="A595" s="82" t="s">
        <v>1462</v>
      </c>
      <c r="B595" s="101" t="n">
        <v>46142</v>
      </c>
      <c r="C595" s="82" t="s">
        <v>524</v>
      </c>
      <c r="D595" s="82" t="s">
        <v>461</v>
      </c>
      <c r="E595" s="91" t="n">
        <v>6500</v>
      </c>
      <c r="F595" s="82" t="s">
        <v>854</v>
      </c>
      <c r="G595" s="82"/>
      <c r="H595" s="82"/>
      <c r="I595" s="82" t="s">
        <v>250</v>
      </c>
      <c r="J595" s="102" t="n">
        <f aca="false">IF(B595="","",MONTH(B595))</f>
        <v>4</v>
      </c>
      <c r="K595" s="102" t="n">
        <f aca="false">IF(B595="","",YEAR(B595))</f>
        <v>2026</v>
      </c>
      <c r="L595" s="102" t="str">
        <f aca="false">IF(N(E595)=0,"",IF(COUNTIFS(AK_NAMA,C595,AK_KAT,"KAS")+COUNTIFS(AK_NAMA,D595,AK_KAT,"KAS")&lt;&gt;1,"",IF(COUNTIFS(AK_NAMA,C595,AK_KAT,"KAS")=1,D595,C595)))</f>
        <v>Biaya Lainnya</v>
      </c>
      <c r="M595" s="103" t="n">
        <f aca="false">IF(L595="",0,IF(L595=D595,E595,-E595))</f>
        <v>-6500</v>
      </c>
      <c r="N595" s="102" t="str">
        <f aca="false">IF(L595="","",IFERROR(INDEX(AK_BARIS,MATCH(L595,AK_NAMA,0)),"?"))</f>
        <v>OP2</v>
      </c>
      <c r="O595" s="102" t="str">
        <f aca="false">IF(C595="","",IFERROR(INDEX(AK_KEL,MATCH(C595,AK_NAMA,0)),"?"))</f>
        <v>BEBAN</v>
      </c>
      <c r="P595" s="102" t="str">
        <f aca="false">IF(D595="","",IFERROR(INDEX(AK_KEL,MATCH(D595,AK_NAMA,0)),"?"))</f>
        <v>ASET</v>
      </c>
      <c r="Q595" s="102" t="n">
        <f aca="false">N(Q594)+IF(AND(N(E595)&lt;&gt;0,K595=TAHUN,N(J595)&lt;=BLN,OR(C595=BB_AKUN,D595=BB_AKUN)),1,0)</f>
        <v>387</v>
      </c>
      <c r="R595" s="104" t="str">
        <f aca="false">IF(OR(C595&amp;D595="",N(E595)=0),"",IF(OR(O595="?",P595="?"),"⚠ akun tidak dikenal",IF(C595=D595,"⚠ debet = kredit","")))</f>
        <v/>
      </c>
    </row>
    <row r="596" customFormat="false" ht="15" hidden="false" customHeight="false" outlineLevel="0" collapsed="false">
      <c r="A596" s="105" t="s">
        <v>1463</v>
      </c>
      <c r="B596" s="106" t="n">
        <v>46142</v>
      </c>
      <c r="C596" s="105" t="s">
        <v>765</v>
      </c>
      <c r="D596" s="105" t="s">
        <v>792</v>
      </c>
      <c r="E596" s="107" t="n">
        <f aca="false">SUMIFS('OMZET HARIAN'!$Q$5:$Q$369,'OMZET HARIAN'!$B$5:$B$369,J596)</f>
        <v>94551888</v>
      </c>
      <c r="F596" s="105" t="s">
        <v>1464</v>
      </c>
      <c r="G596" s="105"/>
      <c r="H596" s="105"/>
      <c r="I596" s="105" t="s">
        <v>794</v>
      </c>
      <c r="J596" s="102" t="n">
        <f aca="false">IF(B596="","",MONTH(B596))</f>
        <v>4</v>
      </c>
      <c r="K596" s="102" t="n">
        <f aca="false">IF(B596="","",YEAR(B596))</f>
        <v>2026</v>
      </c>
      <c r="L596" s="102" t="str">
        <f aca="false">IF(N(E596)=0,"",IF(COUNTIFS(AK_NAMA,C596,AK_KAT,"KAS")+COUNTIFS(AK_NAMA,D596,AK_KAT,"KAS")&lt;&gt;1,"",IF(COUNTIFS(AK_NAMA,C596,AK_KAT,"KAS")=1,D596,C596)))</f>
        <v/>
      </c>
      <c r="M596" s="103" t="n">
        <f aca="false">IF(L596="",0,IF(L596=D596,E596,-E596))</f>
        <v>0</v>
      </c>
      <c r="N596" s="102" t="str">
        <f aca="false">IF(L596="","",IFERROR(INDEX(AK_BARIS,MATCH(L596,AK_NAMA,0)),"?"))</f>
        <v/>
      </c>
      <c r="O596" s="102" t="str">
        <f aca="false">IF(C596="","",IFERROR(INDEX(AK_KEL,MATCH(C596,AK_NAMA,0)),"?"))</f>
        <v>ASET</v>
      </c>
      <c r="P596" s="102" t="str">
        <f aca="false">IF(D596="","",IFERROR(INDEX(AK_KEL,MATCH(D596,AK_NAMA,0)),"?"))</f>
        <v>PENDAPATAN</v>
      </c>
      <c r="Q596" s="102" t="n">
        <f aca="false">N(Q595)+IF(AND(N(E596)&lt;&gt;0,K596=TAHUN,N(J596)&lt;=BLN,OR(C596=BB_AKUN,D596=BB_AKUN)),1,0)</f>
        <v>387</v>
      </c>
      <c r="R596" s="104" t="str">
        <f aca="false">IF(OR(C596&amp;D596="",N(E596)=0),"",IF(OR(O596="?",P596="?"),"⚠ akun tidak dikenal",IF(C596=D596,"⚠ debet = kredit","")))</f>
        <v/>
      </c>
    </row>
    <row r="597" customFormat="false" ht="15" hidden="false" customHeight="false" outlineLevel="0" collapsed="false">
      <c r="A597" s="105" t="s">
        <v>1465</v>
      </c>
      <c r="B597" s="106" t="n">
        <v>46142</v>
      </c>
      <c r="C597" s="105" t="s">
        <v>475</v>
      </c>
      <c r="D597" s="105" t="s">
        <v>765</v>
      </c>
      <c r="E597" s="107" t="n">
        <f aca="false">SUMIFS('OMZET HARIAN'!$F$5:$F$369,'OMZET HARIAN'!$B$5:$B$369,J597)+SUMIFS('OMZET HARIAN'!$G$5:$G$369,'OMZET HARIAN'!$B$5:$B$369,J597)</f>
        <v>27191000</v>
      </c>
      <c r="F597" s="105" t="s">
        <v>1466</v>
      </c>
      <c r="G597" s="105"/>
      <c r="H597" s="105"/>
      <c r="I597" s="105" t="s">
        <v>794</v>
      </c>
      <c r="J597" s="102" t="n">
        <f aca="false">IF(B597="","",MONTH(B597))</f>
        <v>4</v>
      </c>
      <c r="K597" s="102" t="n">
        <f aca="false">IF(B597="","",YEAR(B597))</f>
        <v>2026</v>
      </c>
      <c r="L597" s="102" t="str">
        <f aca="false">IF(N(E597)=0,"",IF(COUNTIFS(AK_NAMA,C597,AK_KAT,"KAS")+COUNTIFS(AK_NAMA,D597,AK_KAT,"KAS")&lt;&gt;1,"",IF(COUNTIFS(AK_NAMA,C597,AK_KAT,"KAS")=1,D597,C597)))</f>
        <v>Piutang Usaha Cafe</v>
      </c>
      <c r="M597" s="103" t="n">
        <f aca="false">IF(L597="",0,IF(L597=D597,E597,-E597))</f>
        <v>27191000</v>
      </c>
      <c r="N597" s="102" t="str">
        <f aca="false">IF(L597="","",IFERROR(INDEX(AK_BARIS,MATCH(L597,AK_NAMA,0)),"?"))</f>
        <v>OP1</v>
      </c>
      <c r="O597" s="102" t="str">
        <f aca="false">IF(C597="","",IFERROR(INDEX(AK_KEL,MATCH(C597,AK_NAMA,0)),"?"))</f>
        <v>ASET</v>
      </c>
      <c r="P597" s="102" t="str">
        <f aca="false">IF(D597="","",IFERROR(INDEX(AK_KEL,MATCH(D597,AK_NAMA,0)),"?"))</f>
        <v>ASET</v>
      </c>
      <c r="Q597" s="102" t="n">
        <f aca="false">N(Q596)+IF(AND(N(E597)&lt;&gt;0,K597=TAHUN,N(J597)&lt;=BLN,OR(C597=BB_AKUN,D597=BB_AKUN)),1,0)</f>
        <v>387</v>
      </c>
      <c r="R597" s="104" t="str">
        <f aca="false">IF(OR(C597&amp;D597="",N(E597)=0),"",IF(OR(O597="?",P597="?"),"⚠ akun tidak dikenal",IF(C597=D597,"⚠ debet = kredit","")))</f>
        <v/>
      </c>
    </row>
    <row r="598" customFormat="false" ht="15" hidden="false" customHeight="false" outlineLevel="0" collapsed="false">
      <c r="A598" s="105" t="s">
        <v>1467</v>
      </c>
      <c r="B598" s="106" t="n">
        <v>46142</v>
      </c>
      <c r="C598" s="105" t="s">
        <v>461</v>
      </c>
      <c r="D598" s="105" t="s">
        <v>765</v>
      </c>
      <c r="E598" s="107" t="n">
        <f aca="false">SUMIFS('OMZET HARIAN'!$H$5:$H$369,'OMZET HARIAN'!$B$5:$B$369,J598)</f>
        <v>65351488</v>
      </c>
      <c r="F598" s="105" t="s">
        <v>1468</v>
      </c>
      <c r="G598" s="105"/>
      <c r="H598" s="105"/>
      <c r="I598" s="105" t="s">
        <v>794</v>
      </c>
      <c r="J598" s="102" t="n">
        <f aca="false">IF(B598="","",MONTH(B598))</f>
        <v>4</v>
      </c>
      <c r="K598" s="102" t="n">
        <f aca="false">IF(B598="","",YEAR(B598))</f>
        <v>2026</v>
      </c>
      <c r="L598" s="102" t="str">
        <f aca="false">IF(N(E598)=0,"",IF(COUNTIFS(AK_NAMA,C598,AK_KAT,"KAS")+COUNTIFS(AK_NAMA,D598,AK_KAT,"KAS")&lt;&gt;1,"",IF(COUNTIFS(AK_NAMA,C598,AK_KAT,"KAS")=1,D598,C598)))</f>
        <v>Piutang Usaha Cafe</v>
      </c>
      <c r="M598" s="103" t="n">
        <f aca="false">IF(L598="",0,IF(L598=D598,E598,-E598))</f>
        <v>65351488</v>
      </c>
      <c r="N598" s="102" t="str">
        <f aca="false">IF(L598="","",IFERROR(INDEX(AK_BARIS,MATCH(L598,AK_NAMA,0)),"?"))</f>
        <v>OP1</v>
      </c>
      <c r="O598" s="102" t="str">
        <f aca="false">IF(C598="","",IFERROR(INDEX(AK_KEL,MATCH(C598,AK_NAMA,0)),"?"))</f>
        <v>ASET</v>
      </c>
      <c r="P598" s="102" t="str">
        <f aca="false">IF(D598="","",IFERROR(INDEX(AK_KEL,MATCH(D598,AK_NAMA,0)),"?"))</f>
        <v>ASET</v>
      </c>
      <c r="Q598" s="102" t="n">
        <f aca="false">N(Q597)+IF(AND(N(E598)&lt;&gt;0,K598=TAHUN,N(J598)&lt;=BLN,OR(C598=BB_AKUN,D598=BB_AKUN)),1,0)</f>
        <v>388</v>
      </c>
      <c r="R598" s="104" t="str">
        <f aca="false">IF(OR(C598&amp;D598="",N(E598)=0),"",IF(OR(O598="?",P598="?"),"⚠ akun tidak dikenal",IF(C598=D598,"⚠ debet = kredit","")))</f>
        <v/>
      </c>
    </row>
    <row r="599" customFormat="false" ht="15" hidden="false" customHeight="false" outlineLevel="0" collapsed="false">
      <c r="A599" s="105" t="s">
        <v>1469</v>
      </c>
      <c r="B599" s="106" t="n">
        <v>46142</v>
      </c>
      <c r="C599" s="105" t="s">
        <v>718</v>
      </c>
      <c r="D599" s="105" t="s">
        <v>765</v>
      </c>
      <c r="E599" s="107" t="n">
        <f aca="false">SUMIFS('OMZET HARIAN'!$L$5:$L$369,'OMZET HARIAN'!$B$5:$B$369,J599)</f>
        <v>252300</v>
      </c>
      <c r="F599" s="105" t="s">
        <v>1470</v>
      </c>
      <c r="G599" s="105"/>
      <c r="H599" s="105" t="s">
        <v>763</v>
      </c>
      <c r="I599" s="105" t="s">
        <v>794</v>
      </c>
      <c r="J599" s="102" t="n">
        <f aca="false">IF(B599="","",MONTH(B599))</f>
        <v>4</v>
      </c>
      <c r="K599" s="102" t="n">
        <f aca="false">IF(B599="","",YEAR(B599))</f>
        <v>2026</v>
      </c>
      <c r="L599" s="102" t="str">
        <f aca="false">IF(N(E599)=0,"",IF(COUNTIFS(AK_NAMA,C599,AK_KAT,"KAS")+COUNTIFS(AK_NAMA,D599,AK_KAT,"KAS")&lt;&gt;1,"",IF(COUNTIFS(AK_NAMA,C599,AK_KAT,"KAS")=1,D599,C599)))</f>
        <v/>
      </c>
      <c r="M599" s="103" t="n">
        <f aca="false">IF(L599="",0,IF(L599=D599,E599,-E599))</f>
        <v>0</v>
      </c>
      <c r="N599" s="102" t="str">
        <f aca="false">IF(L599="","",IFERROR(INDEX(AK_BARIS,MATCH(L599,AK_NAMA,0)),"?"))</f>
        <v/>
      </c>
      <c r="O599" s="102" t="str">
        <f aca="false">IF(C599="","",IFERROR(INDEX(AK_KEL,MATCH(C599,AK_NAMA,0)),"?"))</f>
        <v>ASET</v>
      </c>
      <c r="P599" s="102" t="str">
        <f aca="false">IF(D599="","",IFERROR(INDEX(AK_KEL,MATCH(D599,AK_NAMA,0)),"?"))</f>
        <v>ASET</v>
      </c>
      <c r="Q599" s="102" t="n">
        <f aca="false">N(Q598)+IF(AND(N(E599)&lt;&gt;0,K599=TAHUN,N(J599)&lt;=BLN,OR(C599=BB_AKUN,D599=BB_AKUN)),1,0)</f>
        <v>388</v>
      </c>
      <c r="R599" s="104" t="str">
        <f aca="false">IF(OR(C599&amp;D599="",N(E599)=0),"",IF(OR(O599="?",P599="?"),"⚠ akun tidak dikenal",IF(C599=D599,"⚠ debet = kredit","")))</f>
        <v/>
      </c>
    </row>
    <row r="600" customFormat="false" ht="15" hidden="false" customHeight="false" outlineLevel="0" collapsed="false">
      <c r="A600" s="105" t="s">
        <v>1471</v>
      </c>
      <c r="B600" s="106" t="n">
        <v>46142</v>
      </c>
      <c r="C600" s="105" t="s">
        <v>802</v>
      </c>
      <c r="D600" s="105" t="s">
        <v>765</v>
      </c>
      <c r="E600" s="107" t="n">
        <f aca="false">SUMIFS('OMZET HARIAN'!$M$5:$M$369,'OMZET HARIAN'!$B$5:$B$369,J600)</f>
        <v>986000</v>
      </c>
      <c r="F600" s="105" t="s">
        <v>1472</v>
      </c>
      <c r="G600" s="105"/>
      <c r="H600" s="105"/>
      <c r="I600" s="105" t="s">
        <v>794</v>
      </c>
      <c r="J600" s="102" t="n">
        <f aca="false">IF(B600="","",MONTH(B600))</f>
        <v>4</v>
      </c>
      <c r="K600" s="102" t="n">
        <f aca="false">IF(B600="","",YEAR(B600))</f>
        <v>2026</v>
      </c>
      <c r="L600" s="102" t="str">
        <f aca="false">IF(N(E600)=0,"",IF(COUNTIFS(AK_NAMA,C600,AK_KAT,"KAS")+COUNTIFS(AK_NAMA,D600,AK_KAT,"KAS")&lt;&gt;1,"",IF(COUNTIFS(AK_NAMA,C600,AK_KAT,"KAS")=1,D600,C600)))</f>
        <v/>
      </c>
      <c r="M600" s="103" t="n">
        <f aca="false">IF(L600="",0,IF(L600=D600,E600,-E600))</f>
        <v>0</v>
      </c>
      <c r="N600" s="102" t="str">
        <f aca="false">IF(L600="","",IFERROR(INDEX(AK_BARIS,MATCH(L600,AK_NAMA,0)),"?"))</f>
        <v/>
      </c>
      <c r="O600" s="102" t="str">
        <f aca="false">IF(C600="","",IFERROR(INDEX(AK_KEL,MATCH(C600,AK_NAMA,0)),"?"))</f>
        <v>BEBAN</v>
      </c>
      <c r="P600" s="102" t="str">
        <f aca="false">IF(D600="","",IFERROR(INDEX(AK_KEL,MATCH(D600,AK_NAMA,0)),"?"))</f>
        <v>ASET</v>
      </c>
      <c r="Q600" s="102" t="n">
        <f aca="false">N(Q599)+IF(AND(N(E600)&lt;&gt;0,K600=TAHUN,N(J600)&lt;=BLN,OR(C600=BB_AKUN,D600=BB_AKUN)),1,0)</f>
        <v>388</v>
      </c>
      <c r="R600" s="104" t="str">
        <f aca="false">IF(OR(C600&amp;D600="",N(E600)=0),"",IF(OR(O600="?",P600="?"),"⚠ akun tidak dikenal",IF(C600=D600,"⚠ debet = kredit","")))</f>
        <v/>
      </c>
    </row>
    <row r="601" customFormat="false" ht="15" hidden="false" customHeight="false" outlineLevel="0" collapsed="false">
      <c r="A601" s="105" t="s">
        <v>1473</v>
      </c>
      <c r="B601" s="106" t="n">
        <v>46142</v>
      </c>
      <c r="C601" s="105" t="s">
        <v>464</v>
      </c>
      <c r="D601" s="105" t="s">
        <v>765</v>
      </c>
      <c r="E601" s="107" t="n">
        <f aca="false">SUMIFS('OMZET HARIAN'!$N$5:$N$369,'OMZET HARIAN'!$B$5:$B$369,J601)</f>
        <v>771100</v>
      </c>
      <c r="F601" s="105" t="s">
        <v>1474</v>
      </c>
      <c r="G601" s="105"/>
      <c r="H601" s="105" t="s">
        <v>432</v>
      </c>
      <c r="I601" s="105" t="s">
        <v>794</v>
      </c>
      <c r="J601" s="102" t="n">
        <f aca="false">IF(B601="","",MONTH(B601))</f>
        <v>4</v>
      </c>
      <c r="K601" s="102" t="n">
        <f aca="false">IF(B601="","",YEAR(B601))</f>
        <v>2026</v>
      </c>
      <c r="L601" s="102" t="str">
        <f aca="false">IF(N(E601)=0,"",IF(COUNTIFS(AK_NAMA,C601,AK_KAT,"KAS")+COUNTIFS(AK_NAMA,D601,AK_KAT,"KAS")&lt;&gt;1,"",IF(COUNTIFS(AK_NAMA,C601,AK_KAT,"KAS")=1,D601,C601)))</f>
        <v/>
      </c>
      <c r="M601" s="103" t="n">
        <f aca="false">IF(L601="",0,IF(L601=D601,E601,-E601))</f>
        <v>0</v>
      </c>
      <c r="N601" s="102" t="str">
        <f aca="false">IF(L601="","",IFERROR(INDEX(AK_BARIS,MATCH(L601,AK_NAMA,0)),"?"))</f>
        <v/>
      </c>
      <c r="O601" s="102" t="str">
        <f aca="false">IF(C601="","",IFERROR(INDEX(AK_KEL,MATCH(C601,AK_NAMA,0)),"?"))</f>
        <v>EKUITAS</v>
      </c>
      <c r="P601" s="102" t="str">
        <f aca="false">IF(D601="","",IFERROR(INDEX(AK_KEL,MATCH(D601,AK_NAMA,0)),"?"))</f>
        <v>ASET</v>
      </c>
      <c r="Q601" s="102" t="n">
        <f aca="false">N(Q600)+IF(AND(N(E601)&lt;&gt;0,K601=TAHUN,N(J601)&lt;=BLN,OR(C601=BB_AKUN,D601=BB_AKUN)),1,0)</f>
        <v>388</v>
      </c>
      <c r="R601" s="104" t="str">
        <f aca="false">IF(OR(C601&amp;D601="",N(E601)=0),"",IF(OR(O601="?",P601="?"),"⚠ akun tidak dikenal",IF(C601=D601,"⚠ debet = kredit","")))</f>
        <v/>
      </c>
    </row>
    <row r="602" customFormat="false" ht="15" hidden="false" customHeight="false" outlineLevel="0" collapsed="false">
      <c r="A602" s="105" t="s">
        <v>1475</v>
      </c>
      <c r="B602" s="106" t="n">
        <v>46142</v>
      </c>
      <c r="C602" s="105" t="s">
        <v>807</v>
      </c>
      <c r="D602" s="105" t="s">
        <v>808</v>
      </c>
      <c r="E602" s="107" t="n">
        <f aca="false">INDEX('ASET TETAP'!$H$25:$S$25,J602)</f>
        <v>252964</v>
      </c>
      <c r="F602" s="105" t="s">
        <v>1476</v>
      </c>
      <c r="G602" s="105"/>
      <c r="H602" s="105"/>
      <c r="I602" s="105" t="s">
        <v>794</v>
      </c>
      <c r="J602" s="102" t="n">
        <f aca="false">IF(B602="","",MONTH(B602))</f>
        <v>4</v>
      </c>
      <c r="K602" s="102" t="n">
        <f aca="false">IF(B602="","",YEAR(B602))</f>
        <v>2026</v>
      </c>
      <c r="L602" s="102" t="str">
        <f aca="false">IF(N(E602)=0,"",IF(COUNTIFS(AK_NAMA,C602,AK_KAT,"KAS")+COUNTIFS(AK_NAMA,D602,AK_KAT,"KAS")&lt;&gt;1,"",IF(COUNTIFS(AK_NAMA,C602,AK_KAT,"KAS")=1,D602,C602)))</f>
        <v/>
      </c>
      <c r="M602" s="103" t="n">
        <f aca="false">IF(L602="",0,IF(L602=D602,E602,-E602))</f>
        <v>0</v>
      </c>
      <c r="N602" s="102" t="str">
        <f aca="false">IF(L602="","",IFERROR(INDEX(AK_BARIS,MATCH(L602,AK_NAMA,0)),"?"))</f>
        <v/>
      </c>
      <c r="O602" s="102" t="str">
        <f aca="false">IF(C602="","",IFERROR(INDEX(AK_KEL,MATCH(C602,AK_NAMA,0)),"?"))</f>
        <v>BEBAN</v>
      </c>
      <c r="P602" s="102" t="str">
        <f aca="false">IF(D602="","",IFERROR(INDEX(AK_KEL,MATCH(D602,AK_NAMA,0)),"?"))</f>
        <v>ASET</v>
      </c>
      <c r="Q602" s="102" t="n">
        <f aca="false">N(Q601)+IF(AND(N(E602)&lt;&gt;0,K602=TAHUN,N(J602)&lt;=BLN,OR(C602=BB_AKUN,D602=BB_AKUN)),1,0)</f>
        <v>388</v>
      </c>
      <c r="R602" s="104" t="str">
        <f aca="false">IF(OR(C602&amp;D602="",N(E602)=0),"",IF(OR(O602="?",P602="?"),"⚠ akun tidak dikenal",IF(C602=D602,"⚠ debet = kredit","")))</f>
        <v/>
      </c>
    </row>
    <row r="603" customFormat="false" ht="15" hidden="false" customHeight="false" outlineLevel="0" collapsed="false">
      <c r="A603" s="105" t="s">
        <v>1477</v>
      </c>
      <c r="B603" s="106" t="n">
        <v>46142</v>
      </c>
      <c r="C603" s="105" t="s">
        <v>787</v>
      </c>
      <c r="D603" s="105" t="s">
        <v>811</v>
      </c>
      <c r="E603" s="107" t="n">
        <f aca="false">IF(AND(AKRUAL="YA",J603&lt;=BLN),MAX(0,INDEX(PAJAK!$J$6:$J$17,J603)),0)</f>
        <v>6539164</v>
      </c>
      <c r="F603" s="105" t="s">
        <v>1478</v>
      </c>
      <c r="G603" s="105"/>
      <c r="H603" s="105"/>
      <c r="I603" s="105" t="s">
        <v>813</v>
      </c>
      <c r="J603" s="102" t="n">
        <f aca="false">IF(B603="","",MONTH(B603))</f>
        <v>4</v>
      </c>
      <c r="K603" s="102" t="n">
        <f aca="false">IF(B603="","",YEAR(B603))</f>
        <v>2026</v>
      </c>
      <c r="L603" s="102" t="str">
        <f aca="false">IF(N(E603)=0,"",IF(COUNTIFS(AK_NAMA,C603,AK_KAT,"KAS")+COUNTIFS(AK_NAMA,D603,AK_KAT,"KAS")&lt;&gt;1,"",IF(COUNTIFS(AK_NAMA,C603,AK_KAT,"KAS")=1,D603,C603)))</f>
        <v/>
      </c>
      <c r="M603" s="103" t="n">
        <f aca="false">IF(L603="",0,IF(L603=D603,E603,-E603))</f>
        <v>0</v>
      </c>
      <c r="N603" s="102" t="str">
        <f aca="false">IF(L603="","",IFERROR(INDEX(AK_BARIS,MATCH(L603,AK_NAMA,0)),"?"))</f>
        <v/>
      </c>
      <c r="O603" s="102" t="str">
        <f aca="false">IF(C603="","",IFERROR(INDEX(AK_KEL,MATCH(C603,AK_NAMA,0)),"?"))</f>
        <v>PENDAPATAN</v>
      </c>
      <c r="P603" s="102" t="str">
        <f aca="false">IF(D603="","",IFERROR(INDEX(AK_KEL,MATCH(D603,AK_NAMA,0)),"?"))</f>
        <v>LIABILITAS</v>
      </c>
      <c r="Q603" s="102" t="n">
        <f aca="false">N(Q602)+IF(AND(N(E603)&lt;&gt;0,K603=TAHUN,N(J603)&lt;=BLN,OR(C603=BB_AKUN,D603=BB_AKUN)),1,0)</f>
        <v>388</v>
      </c>
      <c r="R603" s="104" t="str">
        <f aca="false">IF(OR(C603&amp;D603="",N(E603)=0),"",IF(OR(O603="?",P603="?"),"⚠ akun tidak dikenal",IF(C603=D603,"⚠ debet = kredit","")))</f>
        <v/>
      </c>
    </row>
    <row r="604" customFormat="false" ht="15" hidden="false" customHeight="false" outlineLevel="0" collapsed="false">
      <c r="A604" s="82" t="s">
        <v>1479</v>
      </c>
      <c r="B604" s="101" t="n">
        <v>46143</v>
      </c>
      <c r="C604" s="82" t="s">
        <v>475</v>
      </c>
      <c r="D604" s="82" t="s">
        <v>557</v>
      </c>
      <c r="E604" s="91" t="n">
        <v>1000</v>
      </c>
      <c r="F604" s="82" t="s">
        <v>1172</v>
      </c>
      <c r="G604" s="82"/>
      <c r="H604" s="82"/>
      <c r="I604" s="82" t="s">
        <v>250</v>
      </c>
      <c r="J604" s="102" t="n">
        <f aca="false">IF(B604="","",MONTH(B604))</f>
        <v>5</v>
      </c>
      <c r="K604" s="102" t="n">
        <f aca="false">IF(B604="","",YEAR(B604))</f>
        <v>2026</v>
      </c>
      <c r="L604" s="102" t="str">
        <f aca="false">IF(N(E604)=0,"",IF(COUNTIFS(AK_NAMA,C604,AK_KAT,"KAS")+COUNTIFS(AK_NAMA,D604,AK_KAT,"KAS")&lt;&gt;1,"",IF(COUNTIFS(AK_NAMA,C604,AK_KAT,"KAS")=1,D604,C604)))</f>
        <v>Pendapatan Lainnya</v>
      </c>
      <c r="M604" s="103" t="n">
        <f aca="false">IF(L604="",0,IF(L604=D604,E604,-E604))</f>
        <v>1000</v>
      </c>
      <c r="N604" s="102" t="str">
        <f aca="false">IF(L604="","",IFERROR(INDEX(AK_BARIS,MATCH(L604,AK_NAMA,0)),"?"))</f>
        <v>OP2</v>
      </c>
      <c r="O604" s="102" t="str">
        <f aca="false">IF(C604="","",IFERROR(INDEX(AK_KEL,MATCH(C604,AK_NAMA,0)),"?"))</f>
        <v>ASET</v>
      </c>
      <c r="P604" s="102" t="str">
        <f aca="false">IF(D604="","",IFERROR(INDEX(AK_KEL,MATCH(D604,AK_NAMA,0)),"?"))</f>
        <v>PENDAPATAN</v>
      </c>
      <c r="Q604" s="102" t="n">
        <f aca="false">N(Q603)+IF(AND(N(E604)&lt;&gt;0,K604=TAHUN,N(J604)&lt;=BLN,OR(C604=BB_AKUN,D604=BB_AKUN)),1,0)</f>
        <v>388</v>
      </c>
      <c r="R604" s="104" t="str">
        <f aca="false">IF(OR(C604&amp;D604="",N(E604)=0),"",IF(OR(O604="?",P604="?"),"⚠ akun tidak dikenal",IF(C604=D604,"⚠ debet = kredit","")))</f>
        <v/>
      </c>
    </row>
    <row r="605" customFormat="false" ht="15" hidden="false" customHeight="false" outlineLevel="0" collapsed="false">
      <c r="A605" s="82" t="s">
        <v>1480</v>
      </c>
      <c r="B605" s="101" t="n">
        <v>46144</v>
      </c>
      <c r="C605" s="82" t="s">
        <v>470</v>
      </c>
      <c r="D605" s="82" t="s">
        <v>461</v>
      </c>
      <c r="E605" s="91" t="n">
        <v>741000</v>
      </c>
      <c r="F605" s="82" t="s">
        <v>1481</v>
      </c>
      <c r="G605" s="82"/>
      <c r="H605" s="82"/>
      <c r="I605" s="82" t="s">
        <v>250</v>
      </c>
      <c r="J605" s="102" t="n">
        <f aca="false">IF(B605="","",MONTH(B605))</f>
        <v>5</v>
      </c>
      <c r="K605" s="102" t="n">
        <f aca="false">IF(B605="","",YEAR(B605))</f>
        <v>2026</v>
      </c>
      <c r="L605" s="102" t="str">
        <f aca="false">IF(N(E605)=0,"",IF(COUNTIFS(AK_NAMA,C605,AK_KAT,"KAS")+COUNTIFS(AK_NAMA,D605,AK_KAT,"KAS")&lt;&gt;1,"",IF(COUNTIFS(AK_NAMA,C605,AK_KAT,"KAS")=1,D605,C605)))</f>
        <v>Biaya Bahan Baku</v>
      </c>
      <c r="M605" s="103" t="n">
        <f aca="false">IF(L605="",0,IF(L605=D605,E605,-E605))</f>
        <v>-741000</v>
      </c>
      <c r="N605" s="102" t="str">
        <f aca="false">IF(L605="","",IFERROR(INDEX(AK_BARIS,MATCH(L605,AK_NAMA,0)),"?"))</f>
        <v>OP3</v>
      </c>
      <c r="O605" s="102" t="str">
        <f aca="false">IF(C605="","",IFERROR(INDEX(AK_KEL,MATCH(C605,AK_NAMA,0)),"?"))</f>
        <v>BEBAN</v>
      </c>
      <c r="P605" s="102" t="str">
        <f aca="false">IF(D605="","",IFERROR(INDEX(AK_KEL,MATCH(D605,AK_NAMA,0)),"?"))</f>
        <v>ASET</v>
      </c>
      <c r="Q605" s="102" t="n">
        <f aca="false">N(Q604)+IF(AND(N(E605)&lt;&gt;0,K605=TAHUN,N(J605)&lt;=BLN,OR(C605=BB_AKUN,D605=BB_AKUN)),1,0)</f>
        <v>389</v>
      </c>
      <c r="R605" s="104" t="str">
        <f aca="false">IF(OR(C605&amp;D605="",N(E605)=0),"",IF(OR(O605="?",P605="?"),"⚠ akun tidak dikenal",IF(C605=D605,"⚠ debet = kredit","")))</f>
        <v/>
      </c>
    </row>
    <row r="606" customFormat="false" ht="15" hidden="false" customHeight="false" outlineLevel="0" collapsed="false">
      <c r="A606" s="82" t="s">
        <v>1482</v>
      </c>
      <c r="B606" s="101" t="n">
        <v>46144</v>
      </c>
      <c r="C606" s="82" t="s">
        <v>470</v>
      </c>
      <c r="D606" s="82" t="s">
        <v>461</v>
      </c>
      <c r="E606" s="91" t="n">
        <v>209000</v>
      </c>
      <c r="F606" s="82" t="s">
        <v>1483</v>
      </c>
      <c r="G606" s="82"/>
      <c r="H606" s="82"/>
      <c r="I606" s="82" t="s">
        <v>250</v>
      </c>
      <c r="J606" s="102" t="n">
        <f aca="false">IF(B606="","",MONTH(B606))</f>
        <v>5</v>
      </c>
      <c r="K606" s="102" t="n">
        <f aca="false">IF(B606="","",YEAR(B606))</f>
        <v>2026</v>
      </c>
      <c r="L606" s="102" t="str">
        <f aca="false">IF(N(E606)=0,"",IF(COUNTIFS(AK_NAMA,C606,AK_KAT,"KAS")+COUNTIFS(AK_NAMA,D606,AK_KAT,"KAS")&lt;&gt;1,"",IF(COUNTIFS(AK_NAMA,C606,AK_KAT,"KAS")=1,D606,C606)))</f>
        <v>Biaya Bahan Baku</v>
      </c>
      <c r="M606" s="103" t="n">
        <f aca="false">IF(L606="",0,IF(L606=D606,E606,-E606))</f>
        <v>-209000</v>
      </c>
      <c r="N606" s="102" t="str">
        <f aca="false">IF(L606="","",IFERROR(INDEX(AK_BARIS,MATCH(L606,AK_NAMA,0)),"?"))</f>
        <v>OP3</v>
      </c>
      <c r="O606" s="102" t="str">
        <f aca="false">IF(C606="","",IFERROR(INDEX(AK_KEL,MATCH(C606,AK_NAMA,0)),"?"))</f>
        <v>BEBAN</v>
      </c>
      <c r="P606" s="102" t="str">
        <f aca="false">IF(D606="","",IFERROR(INDEX(AK_KEL,MATCH(D606,AK_NAMA,0)),"?"))</f>
        <v>ASET</v>
      </c>
      <c r="Q606" s="102" t="n">
        <f aca="false">N(Q605)+IF(AND(N(E606)&lt;&gt;0,K606=TAHUN,N(J606)&lt;=BLN,OR(C606=BB_AKUN,D606=BB_AKUN)),1,0)</f>
        <v>390</v>
      </c>
      <c r="R606" s="104" t="str">
        <f aca="false">IF(OR(C606&amp;D606="",N(E606)=0),"",IF(OR(O606="?",P606="?"),"⚠ akun tidak dikenal",IF(C606=D606,"⚠ debet = kredit","")))</f>
        <v/>
      </c>
    </row>
    <row r="607" customFormat="false" ht="15" hidden="false" customHeight="false" outlineLevel="0" collapsed="false">
      <c r="A607" s="82" t="s">
        <v>1484</v>
      </c>
      <c r="B607" s="101" t="n">
        <v>46144</v>
      </c>
      <c r="C607" s="82" t="s">
        <v>460</v>
      </c>
      <c r="D607" s="82" t="s">
        <v>475</v>
      </c>
      <c r="E607" s="91" t="n">
        <v>200000</v>
      </c>
      <c r="F607" s="82" t="s">
        <v>1485</v>
      </c>
      <c r="G607" s="82"/>
      <c r="H607" s="82"/>
      <c r="I607" s="82" t="s">
        <v>250</v>
      </c>
      <c r="J607" s="102" t="n">
        <f aca="false">IF(B607="","",MONTH(B607))</f>
        <v>5</v>
      </c>
      <c r="K607" s="102" t="n">
        <f aca="false">IF(B607="","",YEAR(B607))</f>
        <v>2026</v>
      </c>
      <c r="L607" s="102" t="str">
        <f aca="false">IF(N(E607)=0,"",IF(COUNTIFS(AK_NAMA,C607,AK_KAT,"KAS")+COUNTIFS(AK_NAMA,D607,AK_KAT,"KAS")&lt;&gt;1,"",IF(COUNTIFS(AK_NAMA,C607,AK_KAT,"KAS")=1,D607,C607)))</f>
        <v>Biaya Marketing &amp; Promosi</v>
      </c>
      <c r="M607" s="103" t="n">
        <f aca="false">IF(L607="",0,IF(L607=D607,E607,-E607))</f>
        <v>-200000</v>
      </c>
      <c r="N607" s="102" t="str">
        <f aca="false">IF(L607="","",IFERROR(INDEX(AK_BARIS,MATCH(L607,AK_NAMA,0)),"?"))</f>
        <v>OP6</v>
      </c>
      <c r="O607" s="102" t="str">
        <f aca="false">IF(C607="","",IFERROR(INDEX(AK_KEL,MATCH(C607,AK_NAMA,0)),"?"))</f>
        <v>BEBAN</v>
      </c>
      <c r="P607" s="102" t="str">
        <f aca="false">IF(D607="","",IFERROR(INDEX(AK_KEL,MATCH(D607,AK_NAMA,0)),"?"))</f>
        <v>ASET</v>
      </c>
      <c r="Q607" s="102" t="n">
        <f aca="false">N(Q606)+IF(AND(N(E607)&lt;&gt;0,K607=TAHUN,N(J607)&lt;=BLN,OR(C607=BB_AKUN,D607=BB_AKUN)),1,0)</f>
        <v>390</v>
      </c>
      <c r="R607" s="104" t="str">
        <f aca="false">IF(OR(C607&amp;D607="",N(E607)=0),"",IF(OR(O607="?",P607="?"),"⚠ akun tidak dikenal",IF(C607=D607,"⚠ debet = kredit","")))</f>
        <v/>
      </c>
    </row>
    <row r="608" customFormat="false" ht="15" hidden="false" customHeight="false" outlineLevel="0" collapsed="false">
      <c r="A608" s="82" t="s">
        <v>1486</v>
      </c>
      <c r="B608" s="101" t="n">
        <v>46146</v>
      </c>
      <c r="C608" s="82" t="s">
        <v>460</v>
      </c>
      <c r="D608" s="82" t="s">
        <v>475</v>
      </c>
      <c r="E608" s="91" t="n">
        <v>200000</v>
      </c>
      <c r="F608" s="82" t="s">
        <v>1487</v>
      </c>
      <c r="G608" s="82"/>
      <c r="H608" s="82"/>
      <c r="I608" s="82" t="s">
        <v>250</v>
      </c>
      <c r="J608" s="102" t="n">
        <f aca="false">IF(B608="","",MONTH(B608))</f>
        <v>5</v>
      </c>
      <c r="K608" s="102" t="n">
        <f aca="false">IF(B608="","",YEAR(B608))</f>
        <v>2026</v>
      </c>
      <c r="L608" s="102" t="str">
        <f aca="false">IF(N(E608)=0,"",IF(COUNTIFS(AK_NAMA,C608,AK_KAT,"KAS")+COUNTIFS(AK_NAMA,D608,AK_KAT,"KAS")&lt;&gt;1,"",IF(COUNTIFS(AK_NAMA,C608,AK_KAT,"KAS")=1,D608,C608)))</f>
        <v>Biaya Marketing &amp; Promosi</v>
      </c>
      <c r="M608" s="103" t="n">
        <f aca="false">IF(L608="",0,IF(L608=D608,E608,-E608))</f>
        <v>-200000</v>
      </c>
      <c r="N608" s="102" t="str">
        <f aca="false">IF(L608="","",IFERROR(INDEX(AK_BARIS,MATCH(L608,AK_NAMA,0)),"?"))</f>
        <v>OP6</v>
      </c>
      <c r="O608" s="102" t="str">
        <f aca="false">IF(C608="","",IFERROR(INDEX(AK_KEL,MATCH(C608,AK_NAMA,0)),"?"))</f>
        <v>BEBAN</v>
      </c>
      <c r="P608" s="102" t="str">
        <f aca="false">IF(D608="","",IFERROR(INDEX(AK_KEL,MATCH(D608,AK_NAMA,0)),"?"))</f>
        <v>ASET</v>
      </c>
      <c r="Q608" s="102" t="n">
        <f aca="false">N(Q607)+IF(AND(N(E608)&lt;&gt;0,K608=TAHUN,N(J608)&lt;=BLN,OR(C608=BB_AKUN,D608=BB_AKUN)),1,0)</f>
        <v>390</v>
      </c>
      <c r="R608" s="104" t="str">
        <f aca="false">IF(OR(C608&amp;D608="",N(E608)=0),"",IF(OR(O608="?",P608="?"),"⚠ akun tidak dikenal",IF(C608=D608,"⚠ debet = kredit","")))</f>
        <v/>
      </c>
    </row>
    <row r="609" customFormat="false" ht="15" hidden="false" customHeight="false" outlineLevel="0" collapsed="false">
      <c r="A609" s="82" t="s">
        <v>1488</v>
      </c>
      <c r="B609" s="101" t="n">
        <v>46146</v>
      </c>
      <c r="C609" s="82" t="s">
        <v>461</v>
      </c>
      <c r="D609" s="82" t="s">
        <v>475</v>
      </c>
      <c r="E609" s="91" t="n">
        <v>200000</v>
      </c>
      <c r="F609" s="82" t="s">
        <v>1489</v>
      </c>
      <c r="G609" s="82"/>
      <c r="H609" s="82"/>
      <c r="I609" s="82" t="s">
        <v>250</v>
      </c>
      <c r="J609" s="102" t="n">
        <f aca="false">IF(B609="","",MONTH(B609))</f>
        <v>5</v>
      </c>
      <c r="K609" s="102" t="n">
        <f aca="false">IF(B609="","",YEAR(B609))</f>
        <v>2026</v>
      </c>
      <c r="L609" s="102" t="str">
        <f aca="false">IF(N(E609)=0,"",IF(COUNTIFS(AK_NAMA,C609,AK_KAT,"KAS")+COUNTIFS(AK_NAMA,D609,AK_KAT,"KAS")&lt;&gt;1,"",IF(COUNTIFS(AK_NAMA,C609,AK_KAT,"KAS")=1,D609,C609)))</f>
        <v/>
      </c>
      <c r="M609" s="103" t="n">
        <f aca="false">IF(L609="",0,IF(L609=D609,E609,-E609))</f>
        <v>0</v>
      </c>
      <c r="N609" s="102" t="str">
        <f aca="false">IF(L609="","",IFERROR(INDEX(AK_BARIS,MATCH(L609,AK_NAMA,0)),"?"))</f>
        <v/>
      </c>
      <c r="O609" s="102" t="str">
        <f aca="false">IF(C609="","",IFERROR(INDEX(AK_KEL,MATCH(C609,AK_NAMA,0)),"?"))</f>
        <v>ASET</v>
      </c>
      <c r="P609" s="102" t="str">
        <f aca="false">IF(D609="","",IFERROR(INDEX(AK_KEL,MATCH(D609,AK_NAMA,0)),"?"))</f>
        <v>ASET</v>
      </c>
      <c r="Q609" s="102" t="n">
        <f aca="false">N(Q608)+IF(AND(N(E609)&lt;&gt;0,K609=TAHUN,N(J609)&lt;=BLN,OR(C609=BB_AKUN,D609=BB_AKUN)),1,0)</f>
        <v>391</v>
      </c>
      <c r="R609" s="104" t="str">
        <f aca="false">IF(OR(C609&amp;D609="",N(E609)=0),"",IF(OR(O609="?",P609="?"),"⚠ akun tidak dikenal",IF(C609=D609,"⚠ debet = kredit","")))</f>
        <v/>
      </c>
    </row>
    <row r="610" customFormat="false" ht="15" hidden="false" customHeight="false" outlineLevel="0" collapsed="false">
      <c r="A610" s="82" t="s">
        <v>1490</v>
      </c>
      <c r="B610" s="101" t="n">
        <v>46146</v>
      </c>
      <c r="C610" s="82" t="s">
        <v>467</v>
      </c>
      <c r="D610" s="82" t="s">
        <v>475</v>
      </c>
      <c r="E610" s="91" t="n">
        <v>180000</v>
      </c>
      <c r="F610" s="82" t="s">
        <v>1491</v>
      </c>
      <c r="G610" s="82"/>
      <c r="H610" s="82"/>
      <c r="I610" s="82" t="s">
        <v>250</v>
      </c>
      <c r="J610" s="102" t="n">
        <f aca="false">IF(B610="","",MONTH(B610))</f>
        <v>5</v>
      </c>
      <c r="K610" s="102" t="n">
        <f aca="false">IF(B610="","",YEAR(B610))</f>
        <v>2026</v>
      </c>
      <c r="L610" s="102" t="str">
        <f aca="false">IF(N(E610)=0,"",IF(COUNTIFS(AK_NAMA,C610,AK_KAT,"KAS")+COUNTIFS(AK_NAMA,D610,AK_KAT,"KAS")&lt;&gt;1,"",IF(COUNTIFS(AK_NAMA,C610,AK_KAT,"KAS")=1,D610,C610)))</f>
        <v>Dana Sosial &amp; CSR</v>
      </c>
      <c r="M610" s="103" t="n">
        <f aca="false">IF(L610="",0,IF(L610=D610,E610,-E610))</f>
        <v>-180000</v>
      </c>
      <c r="N610" s="102" t="str">
        <f aca="false">IF(L610="","",IFERROR(INDEX(AK_BARIS,MATCH(L610,AK_NAMA,0)),"?"))</f>
        <v>OP6</v>
      </c>
      <c r="O610" s="102" t="str">
        <f aca="false">IF(C610="","",IFERROR(INDEX(AK_KEL,MATCH(C610,AK_NAMA,0)),"?"))</f>
        <v>BEBAN</v>
      </c>
      <c r="P610" s="102" t="str">
        <f aca="false">IF(D610="","",IFERROR(INDEX(AK_KEL,MATCH(D610,AK_NAMA,0)),"?"))</f>
        <v>ASET</v>
      </c>
      <c r="Q610" s="102" t="n">
        <f aca="false">N(Q609)+IF(AND(N(E610)&lt;&gt;0,K610=TAHUN,N(J610)&lt;=BLN,OR(C610=BB_AKUN,D610=BB_AKUN)),1,0)</f>
        <v>391</v>
      </c>
      <c r="R610" s="104" t="str">
        <f aca="false">IF(OR(C610&amp;D610="",N(E610)=0),"",IF(OR(O610="?",P610="?"),"⚠ akun tidak dikenal",IF(C610=D610,"⚠ debet = kredit","")))</f>
        <v/>
      </c>
    </row>
    <row r="611" customFormat="false" ht="15" hidden="false" customHeight="false" outlineLevel="0" collapsed="false">
      <c r="A611" s="82" t="s">
        <v>1492</v>
      </c>
      <c r="B611" s="101" t="n">
        <v>46146</v>
      </c>
      <c r="C611" s="82" t="s">
        <v>475</v>
      </c>
      <c r="D611" s="82" t="s">
        <v>461</v>
      </c>
      <c r="E611" s="91" t="n">
        <v>3000000</v>
      </c>
      <c r="F611" s="82" t="s">
        <v>928</v>
      </c>
      <c r="G611" s="82"/>
      <c r="H611" s="82"/>
      <c r="I611" s="82" t="s">
        <v>250</v>
      </c>
      <c r="J611" s="102" t="n">
        <f aca="false">IF(B611="","",MONTH(B611))</f>
        <v>5</v>
      </c>
      <c r="K611" s="102" t="n">
        <f aca="false">IF(B611="","",YEAR(B611))</f>
        <v>2026</v>
      </c>
      <c r="L611" s="102" t="str">
        <f aca="false">IF(N(E611)=0,"",IF(COUNTIFS(AK_NAMA,C611,AK_KAT,"KAS")+COUNTIFS(AK_NAMA,D611,AK_KAT,"KAS")&lt;&gt;1,"",IF(COUNTIFS(AK_NAMA,C611,AK_KAT,"KAS")=1,D611,C611)))</f>
        <v/>
      </c>
      <c r="M611" s="103" t="n">
        <f aca="false">IF(L611="",0,IF(L611=D611,E611,-E611))</f>
        <v>0</v>
      </c>
      <c r="N611" s="102" t="str">
        <f aca="false">IF(L611="","",IFERROR(INDEX(AK_BARIS,MATCH(L611,AK_NAMA,0)),"?"))</f>
        <v/>
      </c>
      <c r="O611" s="102" t="str">
        <f aca="false">IF(C611="","",IFERROR(INDEX(AK_KEL,MATCH(C611,AK_NAMA,0)),"?"))</f>
        <v>ASET</v>
      </c>
      <c r="P611" s="102" t="str">
        <f aca="false">IF(D611="","",IFERROR(INDEX(AK_KEL,MATCH(D611,AK_NAMA,0)),"?"))</f>
        <v>ASET</v>
      </c>
      <c r="Q611" s="102" t="n">
        <f aca="false">N(Q610)+IF(AND(N(E611)&lt;&gt;0,K611=TAHUN,N(J611)&lt;=BLN,OR(C611=BB_AKUN,D611=BB_AKUN)),1,0)</f>
        <v>392</v>
      </c>
      <c r="R611" s="104" t="str">
        <f aca="false">IF(OR(C611&amp;D611="",N(E611)=0),"",IF(OR(O611="?",P611="?"),"⚠ akun tidak dikenal",IF(C611=D611,"⚠ debet = kredit","")))</f>
        <v/>
      </c>
    </row>
    <row r="612" customFormat="false" ht="15" hidden="false" customHeight="false" outlineLevel="0" collapsed="false">
      <c r="A612" s="82" t="s">
        <v>1493</v>
      </c>
      <c r="B612" s="101" t="n">
        <v>46146</v>
      </c>
      <c r="C612" s="82" t="s">
        <v>486</v>
      </c>
      <c r="D612" s="82" t="s">
        <v>475</v>
      </c>
      <c r="E612" s="91" t="n">
        <v>500000</v>
      </c>
      <c r="F612" s="82" t="s">
        <v>1329</v>
      </c>
      <c r="G612" s="82"/>
      <c r="H612" s="82"/>
      <c r="I612" s="82" t="s">
        <v>250</v>
      </c>
      <c r="J612" s="102" t="n">
        <f aca="false">IF(B612="","",MONTH(B612))</f>
        <v>5</v>
      </c>
      <c r="K612" s="102" t="n">
        <f aca="false">IF(B612="","",YEAR(B612))</f>
        <v>2026</v>
      </c>
      <c r="L612" s="102" t="str">
        <f aca="false">IF(N(E612)=0,"",IF(COUNTIFS(AK_NAMA,C612,AK_KAT,"KAS")+COUNTIFS(AK_NAMA,D612,AK_KAT,"KAS")&lt;&gt;1,"",IF(COUNTIFS(AK_NAMA,C612,AK_KAT,"KAS")=1,D612,C612)))</f>
        <v/>
      </c>
      <c r="M612" s="103" t="n">
        <f aca="false">IF(L612="",0,IF(L612=D612,E612,-E612))</f>
        <v>0</v>
      </c>
      <c r="N612" s="102" t="str">
        <f aca="false">IF(L612="","",IFERROR(INDEX(AK_BARIS,MATCH(L612,AK_NAMA,0)),"?"))</f>
        <v/>
      </c>
      <c r="O612" s="102" t="str">
        <f aca="false">IF(C612="","",IFERROR(INDEX(AK_KEL,MATCH(C612,AK_NAMA,0)),"?"))</f>
        <v>ASET</v>
      </c>
      <c r="P612" s="102" t="str">
        <f aca="false">IF(D612="","",IFERROR(INDEX(AK_KEL,MATCH(D612,AK_NAMA,0)),"?"))</f>
        <v>ASET</v>
      </c>
      <c r="Q612" s="102" t="n">
        <f aca="false">N(Q611)+IF(AND(N(E612)&lt;&gt;0,K612=TAHUN,N(J612)&lt;=BLN,OR(C612=BB_AKUN,D612=BB_AKUN)),1,0)</f>
        <v>392</v>
      </c>
      <c r="R612" s="104" t="str">
        <f aca="false">IF(OR(C612&amp;D612="",N(E612)=0),"",IF(OR(O612="?",P612="?"),"⚠ akun tidak dikenal",IF(C612=D612,"⚠ debet = kredit","")))</f>
        <v/>
      </c>
    </row>
    <row r="613" customFormat="false" ht="15" hidden="false" customHeight="false" outlineLevel="0" collapsed="false">
      <c r="A613" s="82" t="s">
        <v>1494</v>
      </c>
      <c r="B613" s="101" t="n">
        <v>46146</v>
      </c>
      <c r="C613" s="82" t="s">
        <v>470</v>
      </c>
      <c r="D613" s="82" t="s">
        <v>486</v>
      </c>
      <c r="E613" s="91" t="n">
        <v>370000</v>
      </c>
      <c r="F613" s="82" t="s">
        <v>935</v>
      </c>
      <c r="G613" s="82"/>
      <c r="H613" s="82"/>
      <c r="I613" s="82" t="s">
        <v>250</v>
      </c>
      <c r="J613" s="102" t="n">
        <f aca="false">IF(B613="","",MONTH(B613))</f>
        <v>5</v>
      </c>
      <c r="K613" s="102" t="n">
        <f aca="false">IF(B613="","",YEAR(B613))</f>
        <v>2026</v>
      </c>
      <c r="L613" s="102" t="str">
        <f aca="false">IF(N(E613)=0,"",IF(COUNTIFS(AK_NAMA,C613,AK_KAT,"KAS")+COUNTIFS(AK_NAMA,D613,AK_KAT,"KAS")&lt;&gt;1,"",IF(COUNTIFS(AK_NAMA,C613,AK_KAT,"KAS")=1,D613,C613)))</f>
        <v>Biaya Bahan Baku</v>
      </c>
      <c r="M613" s="103" t="n">
        <f aca="false">IF(L613="",0,IF(L613=D613,E613,-E613))</f>
        <v>-370000</v>
      </c>
      <c r="N613" s="102" t="str">
        <f aca="false">IF(L613="","",IFERROR(INDEX(AK_BARIS,MATCH(L613,AK_NAMA,0)),"?"))</f>
        <v>OP3</v>
      </c>
      <c r="O613" s="102" t="str">
        <f aca="false">IF(C613="","",IFERROR(INDEX(AK_KEL,MATCH(C613,AK_NAMA,0)),"?"))</f>
        <v>BEBAN</v>
      </c>
      <c r="P613" s="102" t="str">
        <f aca="false">IF(D613="","",IFERROR(INDEX(AK_KEL,MATCH(D613,AK_NAMA,0)),"?"))</f>
        <v>ASET</v>
      </c>
      <c r="Q613" s="102" t="n">
        <f aca="false">N(Q612)+IF(AND(N(E613)&lt;&gt;0,K613=TAHUN,N(J613)&lt;=BLN,OR(C613=BB_AKUN,D613=BB_AKUN)),1,0)</f>
        <v>392</v>
      </c>
      <c r="R613" s="104" t="str">
        <f aca="false">IF(OR(C613&amp;D613="",N(E613)=0),"",IF(OR(O613="?",P613="?"),"⚠ akun tidak dikenal",IF(C613=D613,"⚠ debet = kredit","")))</f>
        <v/>
      </c>
    </row>
    <row r="614" customFormat="false" ht="15" hidden="false" customHeight="false" outlineLevel="0" collapsed="false">
      <c r="A614" s="82" t="s">
        <v>1495</v>
      </c>
      <c r="B614" s="101" t="n">
        <v>46146</v>
      </c>
      <c r="C614" s="82" t="s">
        <v>478</v>
      </c>
      <c r="D614" s="82" t="s">
        <v>486</v>
      </c>
      <c r="E614" s="91" t="n">
        <v>28000</v>
      </c>
      <c r="F614" s="82" t="s">
        <v>937</v>
      </c>
      <c r="G614" s="82"/>
      <c r="H614" s="82"/>
      <c r="I614" s="82" t="s">
        <v>250</v>
      </c>
      <c r="J614" s="102" t="n">
        <f aca="false">IF(B614="","",MONTH(B614))</f>
        <v>5</v>
      </c>
      <c r="K614" s="102" t="n">
        <f aca="false">IF(B614="","",YEAR(B614))</f>
        <v>2026</v>
      </c>
      <c r="L614" s="102" t="str">
        <f aca="false">IF(N(E614)=0,"",IF(COUNTIFS(AK_NAMA,C614,AK_KAT,"KAS")+COUNTIFS(AK_NAMA,D614,AK_KAT,"KAS")&lt;&gt;1,"",IF(COUNTIFS(AK_NAMA,C614,AK_KAT,"KAS")=1,D614,C614)))</f>
        <v>Biaya Penyajian</v>
      </c>
      <c r="M614" s="103" t="n">
        <f aca="false">IF(L614="",0,IF(L614=D614,E614,-E614))</f>
        <v>-28000</v>
      </c>
      <c r="N614" s="102" t="str">
        <f aca="false">IF(L614="","",IFERROR(INDEX(AK_BARIS,MATCH(L614,AK_NAMA,0)),"?"))</f>
        <v>OP3</v>
      </c>
      <c r="O614" s="102" t="str">
        <f aca="false">IF(C614="","",IFERROR(INDEX(AK_KEL,MATCH(C614,AK_NAMA,0)),"?"))</f>
        <v>BEBAN</v>
      </c>
      <c r="P614" s="102" t="str">
        <f aca="false">IF(D614="","",IFERROR(INDEX(AK_KEL,MATCH(D614,AK_NAMA,0)),"?"))</f>
        <v>ASET</v>
      </c>
      <c r="Q614" s="102" t="n">
        <f aca="false">N(Q613)+IF(AND(N(E614)&lt;&gt;0,K614=TAHUN,N(J614)&lt;=BLN,OR(C614=BB_AKUN,D614=BB_AKUN)),1,0)</f>
        <v>392</v>
      </c>
      <c r="R614" s="104" t="str">
        <f aca="false">IF(OR(C614&amp;D614="",N(E614)=0),"",IF(OR(O614="?",P614="?"),"⚠ akun tidak dikenal",IF(C614=D614,"⚠ debet = kredit","")))</f>
        <v/>
      </c>
    </row>
    <row r="615" customFormat="false" ht="15" hidden="false" customHeight="false" outlineLevel="0" collapsed="false">
      <c r="A615" s="82" t="s">
        <v>1496</v>
      </c>
      <c r="B615" s="101" t="n">
        <v>46146</v>
      </c>
      <c r="C615" s="82" t="s">
        <v>485</v>
      </c>
      <c r="D615" s="82" t="s">
        <v>486</v>
      </c>
      <c r="E615" s="91" t="n">
        <v>8000</v>
      </c>
      <c r="F615" s="82" t="s">
        <v>939</v>
      </c>
      <c r="G615" s="82"/>
      <c r="H615" s="82"/>
      <c r="I615" s="82" t="s">
        <v>250</v>
      </c>
      <c r="J615" s="102" t="n">
        <f aca="false">IF(B615="","",MONTH(B615))</f>
        <v>5</v>
      </c>
      <c r="K615" s="102" t="n">
        <f aca="false">IF(B615="","",YEAR(B615))</f>
        <v>2026</v>
      </c>
      <c r="L615" s="102" t="str">
        <f aca="false">IF(N(E615)=0,"",IF(COUNTIFS(AK_NAMA,C615,AK_KAT,"KAS")+COUNTIFS(AK_NAMA,D615,AK_KAT,"KAS")&lt;&gt;1,"",IF(COUNTIFS(AK_NAMA,C615,AK_KAT,"KAS")=1,D615,C615)))</f>
        <v>Biaya Operasional Harian</v>
      </c>
      <c r="M615" s="103" t="n">
        <f aca="false">IF(L615="",0,IF(L615=D615,E615,-E615))</f>
        <v>-8000</v>
      </c>
      <c r="N615" s="102" t="str">
        <f aca="false">IF(L615="","",IFERROR(INDEX(AK_BARIS,MATCH(L615,AK_NAMA,0)),"?"))</f>
        <v>OP6</v>
      </c>
      <c r="O615" s="102" t="str">
        <f aca="false">IF(C615="","",IFERROR(INDEX(AK_KEL,MATCH(C615,AK_NAMA,0)),"?"))</f>
        <v>BEBAN</v>
      </c>
      <c r="P615" s="102" t="str">
        <f aca="false">IF(D615="","",IFERROR(INDEX(AK_KEL,MATCH(D615,AK_NAMA,0)),"?"))</f>
        <v>ASET</v>
      </c>
      <c r="Q615" s="102" t="n">
        <f aca="false">N(Q614)+IF(AND(N(E615)&lt;&gt;0,K615=TAHUN,N(J615)&lt;=BLN,OR(C615=BB_AKUN,D615=BB_AKUN)),1,0)</f>
        <v>392</v>
      </c>
      <c r="R615" s="104" t="str">
        <f aca="false">IF(OR(C615&amp;D615="",N(E615)=0),"",IF(OR(O615="?",P615="?"),"⚠ akun tidak dikenal",IF(C615=D615,"⚠ debet = kredit","")))</f>
        <v/>
      </c>
    </row>
    <row r="616" customFormat="false" ht="15" hidden="false" customHeight="false" outlineLevel="0" collapsed="false">
      <c r="A616" s="82" t="s">
        <v>1497</v>
      </c>
      <c r="B616" s="101" t="n">
        <v>46146</v>
      </c>
      <c r="C616" s="82" t="s">
        <v>460</v>
      </c>
      <c r="D616" s="82" t="s">
        <v>486</v>
      </c>
      <c r="E616" s="91" t="n">
        <v>144000</v>
      </c>
      <c r="F616" s="82" t="s">
        <v>941</v>
      </c>
      <c r="G616" s="82"/>
      <c r="H616" s="82"/>
      <c r="I616" s="82" t="s">
        <v>250</v>
      </c>
      <c r="J616" s="102" t="n">
        <f aca="false">IF(B616="","",MONTH(B616))</f>
        <v>5</v>
      </c>
      <c r="K616" s="102" t="n">
        <f aca="false">IF(B616="","",YEAR(B616))</f>
        <v>2026</v>
      </c>
      <c r="L616" s="102" t="str">
        <f aca="false">IF(N(E616)=0,"",IF(COUNTIFS(AK_NAMA,C616,AK_KAT,"KAS")+COUNTIFS(AK_NAMA,D616,AK_KAT,"KAS")&lt;&gt;1,"",IF(COUNTIFS(AK_NAMA,C616,AK_KAT,"KAS")=1,D616,C616)))</f>
        <v>Biaya Marketing &amp; Promosi</v>
      </c>
      <c r="M616" s="103" t="n">
        <f aca="false">IF(L616="",0,IF(L616=D616,E616,-E616))</f>
        <v>-144000</v>
      </c>
      <c r="N616" s="102" t="str">
        <f aca="false">IF(L616="","",IFERROR(INDEX(AK_BARIS,MATCH(L616,AK_NAMA,0)),"?"))</f>
        <v>OP6</v>
      </c>
      <c r="O616" s="102" t="str">
        <f aca="false">IF(C616="","",IFERROR(INDEX(AK_KEL,MATCH(C616,AK_NAMA,0)),"?"))</f>
        <v>BEBAN</v>
      </c>
      <c r="P616" s="102" t="str">
        <f aca="false">IF(D616="","",IFERROR(INDEX(AK_KEL,MATCH(D616,AK_NAMA,0)),"?"))</f>
        <v>ASET</v>
      </c>
      <c r="Q616" s="102" t="n">
        <f aca="false">N(Q615)+IF(AND(N(E616)&lt;&gt;0,K616=TAHUN,N(J616)&lt;=BLN,OR(C616=BB_AKUN,D616=BB_AKUN)),1,0)</f>
        <v>392</v>
      </c>
      <c r="R616" s="104" t="str">
        <f aca="false">IF(OR(C616&amp;D616="",N(E616)=0),"",IF(OR(O616="?",P616="?"),"⚠ akun tidak dikenal",IF(C616=D616,"⚠ debet = kredit","")))</f>
        <v/>
      </c>
    </row>
    <row r="617" customFormat="false" ht="15" hidden="false" customHeight="false" outlineLevel="0" collapsed="false">
      <c r="A617" s="82" t="s">
        <v>1498</v>
      </c>
      <c r="B617" s="101" t="n">
        <v>46146</v>
      </c>
      <c r="C617" s="82" t="s">
        <v>485</v>
      </c>
      <c r="D617" s="82" t="s">
        <v>486</v>
      </c>
      <c r="E617" s="91" t="n">
        <v>12000</v>
      </c>
      <c r="F617" s="82" t="s">
        <v>553</v>
      </c>
      <c r="G617" s="82"/>
      <c r="H617" s="82"/>
      <c r="I617" s="82" t="s">
        <v>250</v>
      </c>
      <c r="J617" s="102" t="n">
        <f aca="false">IF(B617="","",MONTH(B617))</f>
        <v>5</v>
      </c>
      <c r="K617" s="102" t="n">
        <f aca="false">IF(B617="","",YEAR(B617))</f>
        <v>2026</v>
      </c>
      <c r="L617" s="102" t="str">
        <f aca="false">IF(N(E617)=0,"",IF(COUNTIFS(AK_NAMA,C617,AK_KAT,"KAS")+COUNTIFS(AK_NAMA,D617,AK_KAT,"KAS")&lt;&gt;1,"",IF(COUNTIFS(AK_NAMA,C617,AK_KAT,"KAS")=1,D617,C617)))</f>
        <v>Biaya Operasional Harian</v>
      </c>
      <c r="M617" s="103" t="n">
        <f aca="false">IF(L617="",0,IF(L617=D617,E617,-E617))</f>
        <v>-12000</v>
      </c>
      <c r="N617" s="102" t="str">
        <f aca="false">IF(L617="","",IFERROR(INDEX(AK_BARIS,MATCH(L617,AK_NAMA,0)),"?"))</f>
        <v>OP6</v>
      </c>
      <c r="O617" s="102" t="str">
        <f aca="false">IF(C617="","",IFERROR(INDEX(AK_KEL,MATCH(C617,AK_NAMA,0)),"?"))</f>
        <v>BEBAN</v>
      </c>
      <c r="P617" s="102" t="str">
        <f aca="false">IF(D617="","",IFERROR(INDEX(AK_KEL,MATCH(D617,AK_NAMA,0)),"?"))</f>
        <v>ASET</v>
      </c>
      <c r="Q617" s="102" t="n">
        <f aca="false">N(Q616)+IF(AND(N(E617)&lt;&gt;0,K617=TAHUN,N(J617)&lt;=BLN,OR(C617=BB_AKUN,D617=BB_AKUN)),1,0)</f>
        <v>392</v>
      </c>
      <c r="R617" s="104" t="str">
        <f aca="false">IF(OR(C617&amp;D617="",N(E617)=0),"",IF(OR(O617="?",P617="?"),"⚠ akun tidak dikenal",IF(C617=D617,"⚠ debet = kredit","")))</f>
        <v/>
      </c>
    </row>
    <row r="618" customFormat="false" ht="15" hidden="false" customHeight="false" outlineLevel="0" collapsed="false">
      <c r="A618" s="82" t="s">
        <v>1499</v>
      </c>
      <c r="B618" s="101" t="n">
        <v>46146</v>
      </c>
      <c r="C618" s="82" t="s">
        <v>470</v>
      </c>
      <c r="D618" s="82" t="s">
        <v>461</v>
      </c>
      <c r="E618" s="91" t="n">
        <v>360000</v>
      </c>
      <c r="F618" s="82" t="s">
        <v>1500</v>
      </c>
      <c r="G618" s="82"/>
      <c r="H618" s="82"/>
      <c r="I618" s="82" t="s">
        <v>250</v>
      </c>
      <c r="J618" s="102" t="n">
        <f aca="false">IF(B618="","",MONTH(B618))</f>
        <v>5</v>
      </c>
      <c r="K618" s="102" t="n">
        <f aca="false">IF(B618="","",YEAR(B618))</f>
        <v>2026</v>
      </c>
      <c r="L618" s="102" t="str">
        <f aca="false">IF(N(E618)=0,"",IF(COUNTIFS(AK_NAMA,C618,AK_KAT,"KAS")+COUNTIFS(AK_NAMA,D618,AK_KAT,"KAS")&lt;&gt;1,"",IF(COUNTIFS(AK_NAMA,C618,AK_KAT,"KAS")=1,D618,C618)))</f>
        <v>Biaya Bahan Baku</v>
      </c>
      <c r="M618" s="103" t="n">
        <f aca="false">IF(L618="",0,IF(L618=D618,E618,-E618))</f>
        <v>-360000</v>
      </c>
      <c r="N618" s="102" t="str">
        <f aca="false">IF(L618="","",IFERROR(INDEX(AK_BARIS,MATCH(L618,AK_NAMA,0)),"?"))</f>
        <v>OP3</v>
      </c>
      <c r="O618" s="102" t="str">
        <f aca="false">IF(C618="","",IFERROR(INDEX(AK_KEL,MATCH(C618,AK_NAMA,0)),"?"))</f>
        <v>BEBAN</v>
      </c>
      <c r="P618" s="102" t="str">
        <f aca="false">IF(D618="","",IFERROR(INDEX(AK_KEL,MATCH(D618,AK_NAMA,0)),"?"))</f>
        <v>ASET</v>
      </c>
      <c r="Q618" s="102" t="n">
        <f aca="false">N(Q617)+IF(AND(N(E618)&lt;&gt;0,K618=TAHUN,N(J618)&lt;=BLN,OR(C618=BB_AKUN,D618=BB_AKUN)),1,0)</f>
        <v>393</v>
      </c>
      <c r="R618" s="104" t="str">
        <f aca="false">IF(OR(C618&amp;D618="",N(E618)=0),"",IF(OR(O618="?",P618="?"),"⚠ akun tidak dikenal",IF(C618=D618,"⚠ debet = kredit","")))</f>
        <v/>
      </c>
    </row>
    <row r="619" customFormat="false" ht="15" hidden="false" customHeight="false" outlineLevel="0" collapsed="false">
      <c r="A619" s="82" t="s">
        <v>1501</v>
      </c>
      <c r="B619" s="101" t="n">
        <v>46147</v>
      </c>
      <c r="C619" s="82" t="s">
        <v>478</v>
      </c>
      <c r="D619" s="82" t="s">
        <v>461</v>
      </c>
      <c r="E619" s="91" t="n">
        <v>290000</v>
      </c>
      <c r="F619" s="82" t="s">
        <v>1502</v>
      </c>
      <c r="G619" s="82"/>
      <c r="H619" s="82"/>
      <c r="I619" s="82" t="s">
        <v>250</v>
      </c>
      <c r="J619" s="102" t="n">
        <f aca="false">IF(B619="","",MONTH(B619))</f>
        <v>5</v>
      </c>
      <c r="K619" s="102" t="n">
        <f aca="false">IF(B619="","",YEAR(B619))</f>
        <v>2026</v>
      </c>
      <c r="L619" s="102" t="str">
        <f aca="false">IF(N(E619)=0,"",IF(COUNTIFS(AK_NAMA,C619,AK_KAT,"KAS")+COUNTIFS(AK_NAMA,D619,AK_KAT,"KAS")&lt;&gt;1,"",IF(COUNTIFS(AK_NAMA,C619,AK_KAT,"KAS")=1,D619,C619)))</f>
        <v>Biaya Penyajian</v>
      </c>
      <c r="M619" s="103" t="n">
        <f aca="false">IF(L619="",0,IF(L619=D619,E619,-E619))</f>
        <v>-290000</v>
      </c>
      <c r="N619" s="102" t="str">
        <f aca="false">IF(L619="","",IFERROR(INDEX(AK_BARIS,MATCH(L619,AK_NAMA,0)),"?"))</f>
        <v>OP3</v>
      </c>
      <c r="O619" s="102" t="str">
        <f aca="false">IF(C619="","",IFERROR(INDEX(AK_KEL,MATCH(C619,AK_NAMA,0)),"?"))</f>
        <v>BEBAN</v>
      </c>
      <c r="P619" s="102" t="str">
        <f aca="false">IF(D619="","",IFERROR(INDEX(AK_KEL,MATCH(D619,AK_NAMA,0)),"?"))</f>
        <v>ASET</v>
      </c>
      <c r="Q619" s="102" t="n">
        <f aca="false">N(Q618)+IF(AND(N(E619)&lt;&gt;0,K619=TAHUN,N(J619)&lt;=BLN,OR(C619=BB_AKUN,D619=BB_AKUN)),1,0)</f>
        <v>394</v>
      </c>
      <c r="R619" s="104" t="str">
        <f aca="false">IF(OR(C619&amp;D619="",N(E619)=0),"",IF(OR(O619="?",P619="?"),"⚠ akun tidak dikenal",IF(C619=D619,"⚠ debet = kredit","")))</f>
        <v/>
      </c>
    </row>
    <row r="620" customFormat="false" ht="15" hidden="false" customHeight="false" outlineLevel="0" collapsed="false">
      <c r="A620" s="82" t="s">
        <v>1503</v>
      </c>
      <c r="B620" s="101" t="n">
        <v>46147</v>
      </c>
      <c r="C620" s="82" t="s">
        <v>460</v>
      </c>
      <c r="D620" s="82" t="s">
        <v>461</v>
      </c>
      <c r="E620" s="91" t="n">
        <v>290000</v>
      </c>
      <c r="F620" s="82" t="s">
        <v>1504</v>
      </c>
      <c r="G620" s="82"/>
      <c r="H620" s="82"/>
      <c r="I620" s="82" t="s">
        <v>250</v>
      </c>
      <c r="J620" s="102" t="n">
        <f aca="false">IF(B620="","",MONTH(B620))</f>
        <v>5</v>
      </c>
      <c r="K620" s="102" t="n">
        <f aca="false">IF(B620="","",YEAR(B620))</f>
        <v>2026</v>
      </c>
      <c r="L620" s="102" t="str">
        <f aca="false">IF(N(E620)=0,"",IF(COUNTIFS(AK_NAMA,C620,AK_KAT,"KAS")+COUNTIFS(AK_NAMA,D620,AK_KAT,"KAS")&lt;&gt;1,"",IF(COUNTIFS(AK_NAMA,C620,AK_KAT,"KAS")=1,D620,C620)))</f>
        <v>Biaya Marketing &amp; Promosi</v>
      </c>
      <c r="M620" s="103" t="n">
        <f aca="false">IF(L620="",0,IF(L620=D620,E620,-E620))</f>
        <v>-290000</v>
      </c>
      <c r="N620" s="102" t="str">
        <f aca="false">IF(L620="","",IFERROR(INDEX(AK_BARIS,MATCH(L620,AK_NAMA,0)),"?"))</f>
        <v>OP6</v>
      </c>
      <c r="O620" s="102" t="str">
        <f aca="false">IF(C620="","",IFERROR(INDEX(AK_KEL,MATCH(C620,AK_NAMA,0)),"?"))</f>
        <v>BEBAN</v>
      </c>
      <c r="P620" s="102" t="str">
        <f aca="false">IF(D620="","",IFERROR(INDEX(AK_KEL,MATCH(D620,AK_NAMA,0)),"?"))</f>
        <v>ASET</v>
      </c>
      <c r="Q620" s="102" t="n">
        <f aca="false">N(Q619)+IF(AND(N(E620)&lt;&gt;0,K620=TAHUN,N(J620)&lt;=BLN,OR(C620=BB_AKUN,D620=BB_AKUN)),1,0)</f>
        <v>395</v>
      </c>
      <c r="R620" s="104" t="str">
        <f aca="false">IF(OR(C620&amp;D620="",N(E620)=0),"",IF(OR(O620="?",P620="?"),"⚠ akun tidak dikenal",IF(C620=D620,"⚠ debet = kredit","")))</f>
        <v/>
      </c>
    </row>
    <row r="621" customFormat="false" ht="15" hidden="false" customHeight="false" outlineLevel="0" collapsed="false">
      <c r="A621" s="82" t="s">
        <v>1505</v>
      </c>
      <c r="B621" s="101" t="n">
        <v>46147</v>
      </c>
      <c r="C621" s="82" t="s">
        <v>461</v>
      </c>
      <c r="D621" s="82" t="s">
        <v>509</v>
      </c>
      <c r="E621" s="91" t="n">
        <v>1040000</v>
      </c>
      <c r="F621" s="82" t="s">
        <v>1506</v>
      </c>
      <c r="G621" s="82"/>
      <c r="H621" s="82"/>
      <c r="I621" s="82" t="s">
        <v>250</v>
      </c>
      <c r="J621" s="102" t="n">
        <f aca="false">IF(B621="","",MONTH(B621))</f>
        <v>5</v>
      </c>
      <c r="K621" s="102" t="n">
        <f aca="false">IF(B621="","",YEAR(B621))</f>
        <v>2026</v>
      </c>
      <c r="L621" s="102" t="str">
        <f aca="false">IF(N(E621)=0,"",IF(COUNTIFS(AK_NAMA,C621,AK_KAT,"KAS")+COUNTIFS(AK_NAMA,D621,AK_KAT,"KAS")&lt;&gt;1,"",IF(COUNTIFS(AK_NAMA,C621,AK_KAT,"KAS")=1,D621,C621)))</f>
        <v>Pendapatan non Cafe</v>
      </c>
      <c r="M621" s="103" t="n">
        <f aca="false">IF(L621="",0,IF(L621=D621,E621,-E621))</f>
        <v>1040000</v>
      </c>
      <c r="N621" s="102" t="str">
        <f aca="false">IF(L621="","",IFERROR(INDEX(AK_BARIS,MATCH(L621,AK_NAMA,0)),"?"))</f>
        <v>OP1</v>
      </c>
      <c r="O621" s="102" t="str">
        <f aca="false">IF(C621="","",IFERROR(INDEX(AK_KEL,MATCH(C621,AK_NAMA,0)),"?"))</f>
        <v>ASET</v>
      </c>
      <c r="P621" s="102" t="str">
        <f aca="false">IF(D621="","",IFERROR(INDEX(AK_KEL,MATCH(D621,AK_NAMA,0)),"?"))</f>
        <v>PENDAPATAN</v>
      </c>
      <c r="Q621" s="102" t="n">
        <f aca="false">N(Q620)+IF(AND(N(E621)&lt;&gt;0,K621=TAHUN,N(J621)&lt;=BLN,OR(C621=BB_AKUN,D621=BB_AKUN)),1,0)</f>
        <v>396</v>
      </c>
      <c r="R621" s="104" t="str">
        <f aca="false">IF(OR(C621&amp;D621="",N(E621)=0),"",IF(OR(O621="?",P621="?"),"⚠ akun tidak dikenal",IF(C621=D621,"⚠ debet = kredit","")))</f>
        <v/>
      </c>
    </row>
    <row r="622" customFormat="false" ht="15" hidden="false" customHeight="false" outlineLevel="0" collapsed="false">
      <c r="A622" s="82" t="s">
        <v>1507</v>
      </c>
      <c r="B622" s="101" t="n">
        <v>46148</v>
      </c>
      <c r="C622" s="82" t="s">
        <v>524</v>
      </c>
      <c r="D622" s="82" t="s">
        <v>461</v>
      </c>
      <c r="E622" s="91" t="n">
        <v>2325</v>
      </c>
      <c r="F622" s="82" t="s">
        <v>525</v>
      </c>
      <c r="G622" s="82"/>
      <c r="H622" s="82"/>
      <c r="I622" s="82" t="s">
        <v>250</v>
      </c>
      <c r="J622" s="102" t="n">
        <f aca="false">IF(B622="","",MONTH(B622))</f>
        <v>5</v>
      </c>
      <c r="K622" s="102" t="n">
        <f aca="false">IF(B622="","",YEAR(B622))</f>
        <v>2026</v>
      </c>
      <c r="L622" s="102" t="str">
        <f aca="false">IF(N(E622)=0,"",IF(COUNTIFS(AK_NAMA,C622,AK_KAT,"KAS")+COUNTIFS(AK_NAMA,D622,AK_KAT,"KAS")&lt;&gt;1,"",IF(COUNTIFS(AK_NAMA,C622,AK_KAT,"KAS")=1,D622,C622)))</f>
        <v>Biaya Lainnya</v>
      </c>
      <c r="M622" s="103" t="n">
        <f aca="false">IF(L622="",0,IF(L622=D622,E622,-E622))</f>
        <v>-2325</v>
      </c>
      <c r="N622" s="102" t="str">
        <f aca="false">IF(L622="","",IFERROR(INDEX(AK_BARIS,MATCH(L622,AK_NAMA,0)),"?"))</f>
        <v>OP2</v>
      </c>
      <c r="O622" s="102" t="str">
        <f aca="false">IF(C622="","",IFERROR(INDEX(AK_KEL,MATCH(C622,AK_NAMA,0)),"?"))</f>
        <v>BEBAN</v>
      </c>
      <c r="P622" s="102" t="str">
        <f aca="false">IF(D622="","",IFERROR(INDEX(AK_KEL,MATCH(D622,AK_NAMA,0)),"?"))</f>
        <v>ASET</v>
      </c>
      <c r="Q622" s="102" t="n">
        <f aca="false">N(Q621)+IF(AND(N(E622)&lt;&gt;0,K622=TAHUN,N(J622)&lt;=BLN,OR(C622=BB_AKUN,D622=BB_AKUN)),1,0)</f>
        <v>397</v>
      </c>
      <c r="R622" s="104" t="str">
        <f aca="false">IF(OR(C622&amp;D622="",N(E622)=0),"",IF(OR(O622="?",P622="?"),"⚠ akun tidak dikenal",IF(C622=D622,"⚠ debet = kredit","")))</f>
        <v/>
      </c>
    </row>
    <row r="623" customFormat="false" ht="15" hidden="false" customHeight="false" outlineLevel="0" collapsed="false">
      <c r="A623" s="82" t="s">
        <v>1508</v>
      </c>
      <c r="B623" s="101" t="n">
        <v>46148</v>
      </c>
      <c r="C623" s="82" t="s">
        <v>461</v>
      </c>
      <c r="D623" s="82" t="s">
        <v>475</v>
      </c>
      <c r="E623" s="91" t="n">
        <v>55500</v>
      </c>
      <c r="F623" s="82" t="s">
        <v>1509</v>
      </c>
      <c r="G623" s="82"/>
      <c r="H623" s="82"/>
      <c r="I623" s="82" t="s">
        <v>250</v>
      </c>
      <c r="J623" s="102" t="n">
        <f aca="false">IF(B623="","",MONTH(B623))</f>
        <v>5</v>
      </c>
      <c r="K623" s="102" t="n">
        <f aca="false">IF(B623="","",YEAR(B623))</f>
        <v>2026</v>
      </c>
      <c r="L623" s="102" t="str">
        <f aca="false">IF(N(E623)=0,"",IF(COUNTIFS(AK_NAMA,C623,AK_KAT,"KAS")+COUNTIFS(AK_NAMA,D623,AK_KAT,"KAS")&lt;&gt;1,"",IF(COUNTIFS(AK_NAMA,C623,AK_KAT,"KAS")=1,D623,C623)))</f>
        <v/>
      </c>
      <c r="M623" s="103" t="n">
        <f aca="false">IF(L623="",0,IF(L623=D623,E623,-E623))</f>
        <v>0</v>
      </c>
      <c r="N623" s="102" t="str">
        <f aca="false">IF(L623="","",IFERROR(INDEX(AK_BARIS,MATCH(L623,AK_NAMA,0)),"?"))</f>
        <v/>
      </c>
      <c r="O623" s="102" t="str">
        <f aca="false">IF(C623="","",IFERROR(INDEX(AK_KEL,MATCH(C623,AK_NAMA,0)),"?"))</f>
        <v>ASET</v>
      </c>
      <c r="P623" s="102" t="str">
        <f aca="false">IF(D623="","",IFERROR(INDEX(AK_KEL,MATCH(D623,AK_NAMA,0)),"?"))</f>
        <v>ASET</v>
      </c>
      <c r="Q623" s="102" t="n">
        <f aca="false">N(Q622)+IF(AND(N(E623)&lt;&gt;0,K623=TAHUN,N(J623)&lt;=BLN,OR(C623=BB_AKUN,D623=BB_AKUN)),1,0)</f>
        <v>398</v>
      </c>
      <c r="R623" s="104" t="str">
        <f aca="false">IF(OR(C623&amp;D623="",N(E623)=0),"",IF(OR(O623="?",P623="?"),"⚠ akun tidak dikenal",IF(C623=D623,"⚠ debet = kredit","")))</f>
        <v/>
      </c>
    </row>
    <row r="624" customFormat="false" ht="15" hidden="false" customHeight="false" outlineLevel="0" collapsed="false">
      <c r="A624" s="82" t="s">
        <v>1510</v>
      </c>
      <c r="B624" s="101" t="n">
        <v>46148</v>
      </c>
      <c r="C624" s="82" t="s">
        <v>461</v>
      </c>
      <c r="D624" s="82" t="s">
        <v>557</v>
      </c>
      <c r="E624" s="91" t="n">
        <v>115000</v>
      </c>
      <c r="F624" s="82" t="s">
        <v>1511</v>
      </c>
      <c r="G624" s="82"/>
      <c r="H624" s="82"/>
      <c r="I624" s="82" t="s">
        <v>250</v>
      </c>
      <c r="J624" s="102" t="n">
        <f aca="false">IF(B624="","",MONTH(B624))</f>
        <v>5</v>
      </c>
      <c r="K624" s="102" t="n">
        <f aca="false">IF(B624="","",YEAR(B624))</f>
        <v>2026</v>
      </c>
      <c r="L624" s="102" t="str">
        <f aca="false">IF(N(E624)=0,"",IF(COUNTIFS(AK_NAMA,C624,AK_KAT,"KAS")+COUNTIFS(AK_NAMA,D624,AK_KAT,"KAS")&lt;&gt;1,"",IF(COUNTIFS(AK_NAMA,C624,AK_KAT,"KAS")=1,D624,C624)))</f>
        <v>Pendapatan Lainnya</v>
      </c>
      <c r="M624" s="103" t="n">
        <f aca="false">IF(L624="",0,IF(L624=D624,E624,-E624))</f>
        <v>115000</v>
      </c>
      <c r="N624" s="102" t="str">
        <f aca="false">IF(L624="","",IFERROR(INDEX(AK_BARIS,MATCH(L624,AK_NAMA,0)),"?"))</f>
        <v>OP2</v>
      </c>
      <c r="O624" s="102" t="str">
        <f aca="false">IF(C624="","",IFERROR(INDEX(AK_KEL,MATCH(C624,AK_NAMA,0)),"?"))</f>
        <v>ASET</v>
      </c>
      <c r="P624" s="102" t="str">
        <f aca="false">IF(D624="","",IFERROR(INDEX(AK_KEL,MATCH(D624,AK_NAMA,0)),"?"))</f>
        <v>PENDAPATAN</v>
      </c>
      <c r="Q624" s="102" t="n">
        <f aca="false">N(Q623)+IF(AND(N(E624)&lt;&gt;0,K624=TAHUN,N(J624)&lt;=BLN,OR(C624=BB_AKUN,D624=BB_AKUN)),1,0)</f>
        <v>399</v>
      </c>
      <c r="R624" s="104" t="str">
        <f aca="false">IF(OR(C624&amp;D624="",N(E624)=0),"",IF(OR(O624="?",P624="?"),"⚠ akun tidak dikenal",IF(C624=D624,"⚠ debet = kredit","")))</f>
        <v/>
      </c>
    </row>
    <row r="625" customFormat="false" ht="15" hidden="false" customHeight="false" outlineLevel="0" collapsed="false">
      <c r="A625" s="82" t="s">
        <v>1512</v>
      </c>
      <c r="B625" s="101" t="n">
        <v>46148</v>
      </c>
      <c r="C625" s="82" t="s">
        <v>478</v>
      </c>
      <c r="D625" s="82" t="s">
        <v>461</v>
      </c>
      <c r="E625" s="91" t="n">
        <v>290000</v>
      </c>
      <c r="F625" s="82" t="s">
        <v>1502</v>
      </c>
      <c r="G625" s="82"/>
      <c r="H625" s="82"/>
      <c r="I625" s="82" t="s">
        <v>250</v>
      </c>
      <c r="J625" s="102" t="n">
        <f aca="false">IF(B625="","",MONTH(B625))</f>
        <v>5</v>
      </c>
      <c r="K625" s="102" t="n">
        <f aca="false">IF(B625="","",YEAR(B625))</f>
        <v>2026</v>
      </c>
      <c r="L625" s="102" t="str">
        <f aca="false">IF(N(E625)=0,"",IF(COUNTIFS(AK_NAMA,C625,AK_KAT,"KAS")+COUNTIFS(AK_NAMA,D625,AK_KAT,"KAS")&lt;&gt;1,"",IF(COUNTIFS(AK_NAMA,C625,AK_KAT,"KAS")=1,D625,C625)))</f>
        <v>Biaya Penyajian</v>
      </c>
      <c r="M625" s="103" t="n">
        <f aca="false">IF(L625="",0,IF(L625=D625,E625,-E625))</f>
        <v>-290000</v>
      </c>
      <c r="N625" s="102" t="str">
        <f aca="false">IF(L625="","",IFERROR(INDEX(AK_BARIS,MATCH(L625,AK_NAMA,0)),"?"))</f>
        <v>OP3</v>
      </c>
      <c r="O625" s="102" t="str">
        <f aca="false">IF(C625="","",IFERROR(INDEX(AK_KEL,MATCH(C625,AK_NAMA,0)),"?"))</f>
        <v>BEBAN</v>
      </c>
      <c r="P625" s="102" t="str">
        <f aca="false">IF(D625="","",IFERROR(INDEX(AK_KEL,MATCH(D625,AK_NAMA,0)),"?"))</f>
        <v>ASET</v>
      </c>
      <c r="Q625" s="102" t="n">
        <f aca="false">N(Q624)+IF(AND(N(E625)&lt;&gt;0,K625=TAHUN,N(J625)&lt;=BLN,OR(C625=BB_AKUN,D625=BB_AKUN)),1,0)</f>
        <v>400</v>
      </c>
      <c r="R625" s="104" t="str">
        <f aca="false">IF(OR(C625&amp;D625="",N(E625)=0),"",IF(OR(O625="?",P625="?"),"⚠ akun tidak dikenal",IF(C625=D625,"⚠ debet = kredit","")))</f>
        <v/>
      </c>
    </row>
    <row r="626" customFormat="false" ht="15" hidden="false" customHeight="false" outlineLevel="0" collapsed="false">
      <c r="A626" s="82" t="s">
        <v>1513</v>
      </c>
      <c r="B626" s="101" t="n">
        <v>46149</v>
      </c>
      <c r="C626" s="82" t="s">
        <v>485</v>
      </c>
      <c r="D626" s="82" t="s">
        <v>475</v>
      </c>
      <c r="E626" s="91" t="n">
        <v>50000</v>
      </c>
      <c r="F626" s="82" t="s">
        <v>1514</v>
      </c>
      <c r="G626" s="82"/>
      <c r="H626" s="82"/>
      <c r="I626" s="82" t="s">
        <v>250</v>
      </c>
      <c r="J626" s="102" t="n">
        <f aca="false">IF(B626="","",MONTH(B626))</f>
        <v>5</v>
      </c>
      <c r="K626" s="102" t="n">
        <f aca="false">IF(B626="","",YEAR(B626))</f>
        <v>2026</v>
      </c>
      <c r="L626" s="102" t="str">
        <f aca="false">IF(N(E626)=0,"",IF(COUNTIFS(AK_NAMA,C626,AK_KAT,"KAS")+COUNTIFS(AK_NAMA,D626,AK_KAT,"KAS")&lt;&gt;1,"",IF(COUNTIFS(AK_NAMA,C626,AK_KAT,"KAS")=1,D626,C626)))</f>
        <v>Biaya Operasional Harian</v>
      </c>
      <c r="M626" s="103" t="n">
        <f aca="false">IF(L626="",0,IF(L626=D626,E626,-E626))</f>
        <v>-50000</v>
      </c>
      <c r="N626" s="102" t="str">
        <f aca="false">IF(L626="","",IFERROR(INDEX(AK_BARIS,MATCH(L626,AK_NAMA,0)),"?"))</f>
        <v>OP6</v>
      </c>
      <c r="O626" s="102" t="str">
        <f aca="false">IF(C626="","",IFERROR(INDEX(AK_KEL,MATCH(C626,AK_NAMA,0)),"?"))</f>
        <v>BEBAN</v>
      </c>
      <c r="P626" s="102" t="str">
        <f aca="false">IF(D626="","",IFERROR(INDEX(AK_KEL,MATCH(D626,AK_NAMA,0)),"?"))</f>
        <v>ASET</v>
      </c>
      <c r="Q626" s="102" t="n">
        <f aca="false">N(Q625)+IF(AND(N(E626)&lt;&gt;0,K626=TAHUN,N(J626)&lt;=BLN,OR(C626=BB_AKUN,D626=BB_AKUN)),1,0)</f>
        <v>400</v>
      </c>
      <c r="R626" s="104" t="str">
        <f aca="false">IF(OR(C626&amp;D626="",N(E626)=0),"",IF(OR(O626="?",P626="?"),"⚠ akun tidak dikenal",IF(C626=D626,"⚠ debet = kredit","")))</f>
        <v/>
      </c>
    </row>
    <row r="627" customFormat="false" ht="15" hidden="false" customHeight="false" outlineLevel="0" collapsed="false">
      <c r="A627" s="82" t="s">
        <v>1515</v>
      </c>
      <c r="B627" s="101" t="n">
        <v>46149</v>
      </c>
      <c r="C627" s="82" t="s">
        <v>470</v>
      </c>
      <c r="D627" s="82" t="s">
        <v>475</v>
      </c>
      <c r="E627" s="91" t="n">
        <v>20000</v>
      </c>
      <c r="F627" s="82" t="s">
        <v>1516</v>
      </c>
      <c r="G627" s="82"/>
      <c r="H627" s="82"/>
      <c r="I627" s="82" t="s">
        <v>250</v>
      </c>
      <c r="J627" s="102" t="n">
        <f aca="false">IF(B627="","",MONTH(B627))</f>
        <v>5</v>
      </c>
      <c r="K627" s="102" t="n">
        <f aca="false">IF(B627="","",YEAR(B627))</f>
        <v>2026</v>
      </c>
      <c r="L627" s="102" t="str">
        <f aca="false">IF(N(E627)=0,"",IF(COUNTIFS(AK_NAMA,C627,AK_KAT,"KAS")+COUNTIFS(AK_NAMA,D627,AK_KAT,"KAS")&lt;&gt;1,"",IF(COUNTIFS(AK_NAMA,C627,AK_KAT,"KAS")=1,D627,C627)))</f>
        <v>Biaya Bahan Baku</v>
      </c>
      <c r="M627" s="103" t="n">
        <f aca="false">IF(L627="",0,IF(L627=D627,E627,-E627))</f>
        <v>-20000</v>
      </c>
      <c r="N627" s="102" t="str">
        <f aca="false">IF(L627="","",IFERROR(INDEX(AK_BARIS,MATCH(L627,AK_NAMA,0)),"?"))</f>
        <v>OP3</v>
      </c>
      <c r="O627" s="102" t="str">
        <f aca="false">IF(C627="","",IFERROR(INDEX(AK_KEL,MATCH(C627,AK_NAMA,0)),"?"))</f>
        <v>BEBAN</v>
      </c>
      <c r="P627" s="102" t="str">
        <f aca="false">IF(D627="","",IFERROR(INDEX(AK_KEL,MATCH(D627,AK_NAMA,0)),"?"))</f>
        <v>ASET</v>
      </c>
      <c r="Q627" s="102" t="n">
        <f aca="false">N(Q626)+IF(AND(N(E627)&lt;&gt;0,K627=TAHUN,N(J627)&lt;=BLN,OR(C627=BB_AKUN,D627=BB_AKUN)),1,0)</f>
        <v>400</v>
      </c>
      <c r="R627" s="104" t="str">
        <f aca="false">IF(OR(C627&amp;D627="",N(E627)=0),"",IF(OR(O627="?",P627="?"),"⚠ akun tidak dikenal",IF(C627=D627,"⚠ debet = kredit","")))</f>
        <v/>
      </c>
    </row>
    <row r="628" customFormat="false" ht="15" hidden="false" customHeight="false" outlineLevel="0" collapsed="false">
      <c r="A628" s="82" t="s">
        <v>1517</v>
      </c>
      <c r="B628" s="101" t="n">
        <v>46149</v>
      </c>
      <c r="C628" s="82" t="s">
        <v>455</v>
      </c>
      <c r="D628" s="82" t="s">
        <v>461</v>
      </c>
      <c r="E628" s="91" t="n">
        <v>111249</v>
      </c>
      <c r="F628" s="82" t="s">
        <v>1518</v>
      </c>
      <c r="G628" s="82"/>
      <c r="H628" s="82"/>
      <c r="I628" s="82" t="s">
        <v>250</v>
      </c>
      <c r="J628" s="102" t="n">
        <f aca="false">IF(B628="","",MONTH(B628))</f>
        <v>5</v>
      </c>
      <c r="K628" s="102" t="n">
        <f aca="false">IF(B628="","",YEAR(B628))</f>
        <v>2026</v>
      </c>
      <c r="L628" s="102" t="str">
        <f aca="false">IF(N(E628)=0,"",IF(COUNTIFS(AK_NAMA,C628,AK_KAT,"KAS")+COUNTIFS(AK_NAMA,D628,AK_KAT,"KAS")&lt;&gt;1,"",IF(COUNTIFS(AK_NAMA,C628,AK_KAT,"KAS")=1,D628,C628)))</f>
        <v>Biaya Pemeliharaan</v>
      </c>
      <c r="M628" s="103" t="n">
        <f aca="false">IF(L628="",0,IF(L628=D628,E628,-E628))</f>
        <v>-111249</v>
      </c>
      <c r="N628" s="102" t="str">
        <f aca="false">IF(L628="","",IFERROR(INDEX(AK_BARIS,MATCH(L628,AK_NAMA,0)),"?"))</f>
        <v>OP6</v>
      </c>
      <c r="O628" s="102" t="str">
        <f aca="false">IF(C628="","",IFERROR(INDEX(AK_KEL,MATCH(C628,AK_NAMA,0)),"?"))</f>
        <v>BEBAN</v>
      </c>
      <c r="P628" s="102" t="str">
        <f aca="false">IF(D628="","",IFERROR(INDEX(AK_KEL,MATCH(D628,AK_NAMA,0)),"?"))</f>
        <v>ASET</v>
      </c>
      <c r="Q628" s="102" t="n">
        <f aca="false">N(Q627)+IF(AND(N(E628)&lt;&gt;0,K628=TAHUN,N(J628)&lt;=BLN,OR(C628=BB_AKUN,D628=BB_AKUN)),1,0)</f>
        <v>401</v>
      </c>
      <c r="R628" s="104" t="str">
        <f aca="false">IF(OR(C628&amp;D628="",N(E628)=0),"",IF(OR(O628="?",P628="?"),"⚠ akun tidak dikenal",IF(C628=D628,"⚠ debet = kredit","")))</f>
        <v/>
      </c>
    </row>
    <row r="629" customFormat="false" ht="15" hidden="false" customHeight="false" outlineLevel="0" collapsed="false">
      <c r="A629" s="82" t="s">
        <v>1519</v>
      </c>
      <c r="B629" s="101" t="n">
        <v>46149</v>
      </c>
      <c r="C629" s="82" t="s">
        <v>718</v>
      </c>
      <c r="D629" s="82" t="s">
        <v>461</v>
      </c>
      <c r="E629" s="91" t="n">
        <v>2000000</v>
      </c>
      <c r="F629" s="82" t="s">
        <v>1520</v>
      </c>
      <c r="G629" s="82"/>
      <c r="H629" s="82" t="s">
        <v>1521</v>
      </c>
      <c r="I629" s="82" t="s">
        <v>250</v>
      </c>
      <c r="J629" s="102" t="n">
        <f aca="false">IF(B629="","",MONTH(B629))</f>
        <v>5</v>
      </c>
      <c r="K629" s="102" t="n">
        <f aca="false">IF(B629="","",YEAR(B629))</f>
        <v>2026</v>
      </c>
      <c r="L629" s="102" t="str">
        <f aca="false">IF(N(E629)=0,"",IF(COUNTIFS(AK_NAMA,C629,AK_KAT,"KAS")+COUNTIFS(AK_NAMA,D629,AK_KAT,"KAS")&lt;&gt;1,"",IF(COUNTIFS(AK_NAMA,C629,AK_KAT,"KAS")=1,D629,C629)))</f>
        <v>Piutang Lainnya</v>
      </c>
      <c r="M629" s="103" t="n">
        <f aca="false">IF(L629="",0,IF(L629=D629,E629,-E629))</f>
        <v>-2000000</v>
      </c>
      <c r="N629" s="102" t="str">
        <f aca="false">IF(L629="","",IFERROR(INDEX(AK_BARIS,MATCH(L629,AK_NAMA,0)),"?"))</f>
        <v>OP2</v>
      </c>
      <c r="O629" s="102" t="str">
        <f aca="false">IF(C629="","",IFERROR(INDEX(AK_KEL,MATCH(C629,AK_NAMA,0)),"?"))</f>
        <v>ASET</v>
      </c>
      <c r="P629" s="102" t="str">
        <f aca="false">IF(D629="","",IFERROR(INDEX(AK_KEL,MATCH(D629,AK_NAMA,0)),"?"))</f>
        <v>ASET</v>
      </c>
      <c r="Q629" s="102" t="n">
        <f aca="false">N(Q628)+IF(AND(N(E629)&lt;&gt;0,K629=TAHUN,N(J629)&lt;=BLN,OR(C629=BB_AKUN,D629=BB_AKUN)),1,0)</f>
        <v>402</v>
      </c>
      <c r="R629" s="104" t="str">
        <f aca="false">IF(OR(C629&amp;D629="",N(E629)=0),"",IF(OR(O629="?",P629="?"),"⚠ akun tidak dikenal",IF(C629=D629,"⚠ debet = kredit","")))</f>
        <v/>
      </c>
    </row>
    <row r="630" customFormat="false" ht="15" hidden="false" customHeight="false" outlineLevel="0" collapsed="false">
      <c r="A630" s="82" t="s">
        <v>1522</v>
      </c>
      <c r="B630" s="101" t="n">
        <v>46150</v>
      </c>
      <c r="C630" s="82" t="s">
        <v>461</v>
      </c>
      <c r="D630" s="82" t="s">
        <v>475</v>
      </c>
      <c r="E630" s="91" t="n">
        <v>7000000</v>
      </c>
      <c r="F630" s="82" t="s">
        <v>1298</v>
      </c>
      <c r="G630" s="82"/>
      <c r="H630" s="82"/>
      <c r="I630" s="82" t="s">
        <v>250</v>
      </c>
      <c r="J630" s="102" t="n">
        <f aca="false">IF(B630="","",MONTH(B630))</f>
        <v>5</v>
      </c>
      <c r="K630" s="102" t="n">
        <f aca="false">IF(B630="","",YEAR(B630))</f>
        <v>2026</v>
      </c>
      <c r="L630" s="102" t="str">
        <f aca="false">IF(N(E630)=0,"",IF(COUNTIFS(AK_NAMA,C630,AK_KAT,"KAS")+COUNTIFS(AK_NAMA,D630,AK_KAT,"KAS")&lt;&gt;1,"",IF(COUNTIFS(AK_NAMA,C630,AK_KAT,"KAS")=1,D630,C630)))</f>
        <v/>
      </c>
      <c r="M630" s="103" t="n">
        <f aca="false">IF(L630="",0,IF(L630=D630,E630,-E630))</f>
        <v>0</v>
      </c>
      <c r="N630" s="102" t="str">
        <f aca="false">IF(L630="","",IFERROR(INDEX(AK_BARIS,MATCH(L630,AK_NAMA,0)),"?"))</f>
        <v/>
      </c>
      <c r="O630" s="102" t="str">
        <f aca="false">IF(C630="","",IFERROR(INDEX(AK_KEL,MATCH(C630,AK_NAMA,0)),"?"))</f>
        <v>ASET</v>
      </c>
      <c r="P630" s="102" t="str">
        <f aca="false">IF(D630="","",IFERROR(INDEX(AK_KEL,MATCH(D630,AK_NAMA,0)),"?"))</f>
        <v>ASET</v>
      </c>
      <c r="Q630" s="102" t="n">
        <f aca="false">N(Q629)+IF(AND(N(E630)&lt;&gt;0,K630=TAHUN,N(J630)&lt;=BLN,OR(C630=BB_AKUN,D630=BB_AKUN)),1,0)</f>
        <v>403</v>
      </c>
      <c r="R630" s="104" t="str">
        <f aca="false">IF(OR(C630&amp;D630="",N(E630)=0),"",IF(OR(O630="?",P630="?"),"⚠ akun tidak dikenal",IF(C630=D630,"⚠ debet = kredit","")))</f>
        <v/>
      </c>
    </row>
    <row r="631" customFormat="false" ht="15" hidden="false" customHeight="false" outlineLevel="0" collapsed="false">
      <c r="A631" s="82" t="s">
        <v>1523</v>
      </c>
      <c r="B631" s="101" t="n">
        <v>46151</v>
      </c>
      <c r="C631" s="82" t="s">
        <v>486</v>
      </c>
      <c r="D631" s="82" t="s">
        <v>475</v>
      </c>
      <c r="E631" s="91" t="n">
        <v>500000</v>
      </c>
      <c r="F631" s="82" t="s">
        <v>1329</v>
      </c>
      <c r="G631" s="82"/>
      <c r="H631" s="82"/>
      <c r="I631" s="82" t="s">
        <v>250</v>
      </c>
      <c r="J631" s="102" t="n">
        <f aca="false">IF(B631="","",MONTH(B631))</f>
        <v>5</v>
      </c>
      <c r="K631" s="102" t="n">
        <f aca="false">IF(B631="","",YEAR(B631))</f>
        <v>2026</v>
      </c>
      <c r="L631" s="102" t="str">
        <f aca="false">IF(N(E631)=0,"",IF(COUNTIFS(AK_NAMA,C631,AK_KAT,"KAS")+COUNTIFS(AK_NAMA,D631,AK_KAT,"KAS")&lt;&gt;1,"",IF(COUNTIFS(AK_NAMA,C631,AK_KAT,"KAS")=1,D631,C631)))</f>
        <v/>
      </c>
      <c r="M631" s="103" t="n">
        <f aca="false">IF(L631="",0,IF(L631=D631,E631,-E631))</f>
        <v>0</v>
      </c>
      <c r="N631" s="102" t="str">
        <f aca="false">IF(L631="","",IFERROR(INDEX(AK_BARIS,MATCH(L631,AK_NAMA,0)),"?"))</f>
        <v/>
      </c>
      <c r="O631" s="102" t="str">
        <f aca="false">IF(C631="","",IFERROR(INDEX(AK_KEL,MATCH(C631,AK_NAMA,0)),"?"))</f>
        <v>ASET</v>
      </c>
      <c r="P631" s="102" t="str">
        <f aca="false">IF(D631="","",IFERROR(INDEX(AK_KEL,MATCH(D631,AK_NAMA,0)),"?"))</f>
        <v>ASET</v>
      </c>
      <c r="Q631" s="102" t="n">
        <f aca="false">N(Q630)+IF(AND(N(E631)&lt;&gt;0,K631=TAHUN,N(J631)&lt;=BLN,OR(C631=BB_AKUN,D631=BB_AKUN)),1,0)</f>
        <v>403</v>
      </c>
      <c r="R631" s="104" t="str">
        <f aca="false">IF(OR(C631&amp;D631="",N(E631)=0),"",IF(OR(O631="?",P631="?"),"⚠ akun tidak dikenal",IF(C631=D631,"⚠ debet = kredit","")))</f>
        <v/>
      </c>
    </row>
    <row r="632" customFormat="false" ht="15" hidden="false" customHeight="false" outlineLevel="0" collapsed="false">
      <c r="A632" s="82" t="s">
        <v>1524</v>
      </c>
      <c r="B632" s="101" t="n">
        <v>46151</v>
      </c>
      <c r="C632" s="82" t="s">
        <v>470</v>
      </c>
      <c r="D632" s="82" t="s">
        <v>486</v>
      </c>
      <c r="E632" s="91" t="n">
        <v>344000</v>
      </c>
      <c r="F632" s="82" t="s">
        <v>935</v>
      </c>
      <c r="G632" s="82"/>
      <c r="H632" s="82"/>
      <c r="I632" s="82" t="s">
        <v>250</v>
      </c>
      <c r="J632" s="102" t="n">
        <f aca="false">IF(B632="","",MONTH(B632))</f>
        <v>5</v>
      </c>
      <c r="K632" s="102" t="n">
        <f aca="false">IF(B632="","",YEAR(B632))</f>
        <v>2026</v>
      </c>
      <c r="L632" s="102" t="str">
        <f aca="false">IF(N(E632)=0,"",IF(COUNTIFS(AK_NAMA,C632,AK_KAT,"KAS")+COUNTIFS(AK_NAMA,D632,AK_KAT,"KAS")&lt;&gt;1,"",IF(COUNTIFS(AK_NAMA,C632,AK_KAT,"KAS")=1,D632,C632)))</f>
        <v>Biaya Bahan Baku</v>
      </c>
      <c r="M632" s="103" t="n">
        <f aca="false">IF(L632="",0,IF(L632=D632,E632,-E632))</f>
        <v>-344000</v>
      </c>
      <c r="N632" s="102" t="str">
        <f aca="false">IF(L632="","",IFERROR(INDEX(AK_BARIS,MATCH(L632,AK_NAMA,0)),"?"))</f>
        <v>OP3</v>
      </c>
      <c r="O632" s="102" t="str">
        <f aca="false">IF(C632="","",IFERROR(INDEX(AK_KEL,MATCH(C632,AK_NAMA,0)),"?"))</f>
        <v>BEBAN</v>
      </c>
      <c r="P632" s="102" t="str">
        <f aca="false">IF(D632="","",IFERROR(INDEX(AK_KEL,MATCH(D632,AK_NAMA,0)),"?"))</f>
        <v>ASET</v>
      </c>
      <c r="Q632" s="102" t="n">
        <f aca="false">N(Q631)+IF(AND(N(E632)&lt;&gt;0,K632=TAHUN,N(J632)&lt;=BLN,OR(C632=BB_AKUN,D632=BB_AKUN)),1,0)</f>
        <v>403</v>
      </c>
      <c r="R632" s="104" t="str">
        <f aca="false">IF(OR(C632&amp;D632="",N(E632)=0),"",IF(OR(O632="?",P632="?"),"⚠ akun tidak dikenal",IF(C632=D632,"⚠ debet = kredit","")))</f>
        <v/>
      </c>
    </row>
    <row r="633" customFormat="false" ht="15" hidden="false" customHeight="false" outlineLevel="0" collapsed="false">
      <c r="A633" s="82" t="s">
        <v>1525</v>
      </c>
      <c r="B633" s="101" t="n">
        <v>46151</v>
      </c>
      <c r="C633" s="82" t="s">
        <v>478</v>
      </c>
      <c r="D633" s="82" t="s">
        <v>486</v>
      </c>
      <c r="E633" s="91" t="n">
        <v>168000</v>
      </c>
      <c r="F633" s="82" t="s">
        <v>937</v>
      </c>
      <c r="G633" s="82"/>
      <c r="H633" s="82"/>
      <c r="I633" s="82" t="s">
        <v>250</v>
      </c>
      <c r="J633" s="102" t="n">
        <f aca="false">IF(B633="","",MONTH(B633))</f>
        <v>5</v>
      </c>
      <c r="K633" s="102" t="n">
        <f aca="false">IF(B633="","",YEAR(B633))</f>
        <v>2026</v>
      </c>
      <c r="L633" s="102" t="str">
        <f aca="false">IF(N(E633)=0,"",IF(COUNTIFS(AK_NAMA,C633,AK_KAT,"KAS")+COUNTIFS(AK_NAMA,D633,AK_KAT,"KAS")&lt;&gt;1,"",IF(COUNTIFS(AK_NAMA,C633,AK_KAT,"KAS")=1,D633,C633)))</f>
        <v>Biaya Penyajian</v>
      </c>
      <c r="M633" s="103" t="n">
        <f aca="false">IF(L633="",0,IF(L633=D633,E633,-E633))</f>
        <v>-168000</v>
      </c>
      <c r="N633" s="102" t="str">
        <f aca="false">IF(L633="","",IFERROR(INDEX(AK_BARIS,MATCH(L633,AK_NAMA,0)),"?"))</f>
        <v>OP3</v>
      </c>
      <c r="O633" s="102" t="str">
        <f aca="false">IF(C633="","",IFERROR(INDEX(AK_KEL,MATCH(C633,AK_NAMA,0)),"?"))</f>
        <v>BEBAN</v>
      </c>
      <c r="P633" s="102" t="str">
        <f aca="false">IF(D633="","",IFERROR(INDEX(AK_KEL,MATCH(D633,AK_NAMA,0)),"?"))</f>
        <v>ASET</v>
      </c>
      <c r="Q633" s="102" t="n">
        <f aca="false">N(Q632)+IF(AND(N(E633)&lt;&gt;0,K633=TAHUN,N(J633)&lt;=BLN,OR(C633=BB_AKUN,D633=BB_AKUN)),1,0)</f>
        <v>403</v>
      </c>
      <c r="R633" s="104" t="str">
        <f aca="false">IF(OR(C633&amp;D633="",N(E633)=0),"",IF(OR(O633="?",P633="?"),"⚠ akun tidak dikenal",IF(C633=D633,"⚠ debet = kredit","")))</f>
        <v/>
      </c>
    </row>
    <row r="634" customFormat="false" ht="15" hidden="false" customHeight="false" outlineLevel="0" collapsed="false">
      <c r="A634" s="82" t="s">
        <v>1526</v>
      </c>
      <c r="B634" s="101" t="n">
        <v>46151</v>
      </c>
      <c r="C634" s="82" t="s">
        <v>485</v>
      </c>
      <c r="D634" s="82" t="s">
        <v>486</v>
      </c>
      <c r="E634" s="91" t="n">
        <v>12000</v>
      </c>
      <c r="F634" s="82" t="s">
        <v>553</v>
      </c>
      <c r="G634" s="82"/>
      <c r="H634" s="82"/>
      <c r="I634" s="82" t="s">
        <v>250</v>
      </c>
      <c r="J634" s="102" t="n">
        <f aca="false">IF(B634="","",MONTH(B634))</f>
        <v>5</v>
      </c>
      <c r="K634" s="102" t="n">
        <f aca="false">IF(B634="","",YEAR(B634))</f>
        <v>2026</v>
      </c>
      <c r="L634" s="102" t="str">
        <f aca="false">IF(N(E634)=0,"",IF(COUNTIFS(AK_NAMA,C634,AK_KAT,"KAS")+COUNTIFS(AK_NAMA,D634,AK_KAT,"KAS")&lt;&gt;1,"",IF(COUNTIFS(AK_NAMA,C634,AK_KAT,"KAS")=1,D634,C634)))</f>
        <v>Biaya Operasional Harian</v>
      </c>
      <c r="M634" s="103" t="n">
        <f aca="false">IF(L634="",0,IF(L634=D634,E634,-E634))</f>
        <v>-12000</v>
      </c>
      <c r="N634" s="102" t="str">
        <f aca="false">IF(L634="","",IFERROR(INDEX(AK_BARIS,MATCH(L634,AK_NAMA,0)),"?"))</f>
        <v>OP6</v>
      </c>
      <c r="O634" s="102" t="str">
        <f aca="false">IF(C634="","",IFERROR(INDEX(AK_KEL,MATCH(C634,AK_NAMA,0)),"?"))</f>
        <v>BEBAN</v>
      </c>
      <c r="P634" s="102" t="str">
        <f aca="false">IF(D634="","",IFERROR(INDEX(AK_KEL,MATCH(D634,AK_NAMA,0)),"?"))</f>
        <v>ASET</v>
      </c>
      <c r="Q634" s="102" t="n">
        <f aca="false">N(Q633)+IF(AND(N(E634)&lt;&gt;0,K634=TAHUN,N(J634)&lt;=BLN,OR(C634=BB_AKUN,D634=BB_AKUN)),1,0)</f>
        <v>403</v>
      </c>
      <c r="R634" s="104" t="str">
        <f aca="false">IF(OR(C634&amp;D634="",N(E634)=0),"",IF(OR(O634="?",P634="?"),"⚠ akun tidak dikenal",IF(C634=D634,"⚠ debet = kredit","")))</f>
        <v/>
      </c>
    </row>
    <row r="635" customFormat="false" ht="15" hidden="false" customHeight="false" outlineLevel="0" collapsed="false">
      <c r="A635" s="82" t="s">
        <v>1527</v>
      </c>
      <c r="B635" s="101" t="n">
        <v>46151</v>
      </c>
      <c r="C635" s="82" t="s">
        <v>485</v>
      </c>
      <c r="D635" s="82" t="s">
        <v>486</v>
      </c>
      <c r="E635" s="91" t="n">
        <v>4000</v>
      </c>
      <c r="F635" s="82" t="s">
        <v>555</v>
      </c>
      <c r="G635" s="82"/>
      <c r="H635" s="82"/>
      <c r="I635" s="82" t="s">
        <v>250</v>
      </c>
      <c r="J635" s="102" t="n">
        <f aca="false">IF(B635="","",MONTH(B635))</f>
        <v>5</v>
      </c>
      <c r="K635" s="102" t="n">
        <f aca="false">IF(B635="","",YEAR(B635))</f>
        <v>2026</v>
      </c>
      <c r="L635" s="102" t="str">
        <f aca="false">IF(N(E635)=0,"",IF(COUNTIFS(AK_NAMA,C635,AK_KAT,"KAS")+COUNTIFS(AK_NAMA,D635,AK_KAT,"KAS")&lt;&gt;1,"",IF(COUNTIFS(AK_NAMA,C635,AK_KAT,"KAS")=1,D635,C635)))</f>
        <v>Biaya Operasional Harian</v>
      </c>
      <c r="M635" s="103" t="n">
        <f aca="false">IF(L635="",0,IF(L635=D635,E635,-E635))</f>
        <v>-4000</v>
      </c>
      <c r="N635" s="102" t="str">
        <f aca="false">IF(L635="","",IFERROR(INDEX(AK_BARIS,MATCH(L635,AK_NAMA,0)),"?"))</f>
        <v>OP6</v>
      </c>
      <c r="O635" s="102" t="str">
        <f aca="false">IF(C635="","",IFERROR(INDEX(AK_KEL,MATCH(C635,AK_NAMA,0)),"?"))</f>
        <v>BEBAN</v>
      </c>
      <c r="P635" s="102" t="str">
        <f aca="false">IF(D635="","",IFERROR(INDEX(AK_KEL,MATCH(D635,AK_NAMA,0)),"?"))</f>
        <v>ASET</v>
      </c>
      <c r="Q635" s="102" t="n">
        <f aca="false">N(Q634)+IF(AND(N(E635)&lt;&gt;0,K635=TAHUN,N(J635)&lt;=BLN,OR(C635=BB_AKUN,D635=BB_AKUN)),1,0)</f>
        <v>403</v>
      </c>
      <c r="R635" s="104" t="str">
        <f aca="false">IF(OR(C635&amp;D635="",N(E635)=0),"",IF(OR(O635="?",P635="?"),"⚠ akun tidak dikenal",IF(C635=D635,"⚠ debet = kredit","")))</f>
        <v/>
      </c>
    </row>
    <row r="636" customFormat="false" ht="15" hidden="false" customHeight="false" outlineLevel="0" collapsed="false">
      <c r="A636" s="82" t="s">
        <v>1528</v>
      </c>
      <c r="B636" s="101" t="n">
        <v>46151</v>
      </c>
      <c r="C636" s="82" t="s">
        <v>475</v>
      </c>
      <c r="D636" s="82" t="s">
        <v>486</v>
      </c>
      <c r="E636" s="91" t="n">
        <v>2000</v>
      </c>
      <c r="F636" s="82" t="s">
        <v>1142</v>
      </c>
      <c r="G636" s="82"/>
      <c r="H636" s="82"/>
      <c r="I636" s="82" t="s">
        <v>250</v>
      </c>
      <c r="J636" s="102" t="n">
        <f aca="false">IF(B636="","",MONTH(B636))</f>
        <v>5</v>
      </c>
      <c r="K636" s="102" t="n">
        <f aca="false">IF(B636="","",YEAR(B636))</f>
        <v>2026</v>
      </c>
      <c r="L636" s="102" t="str">
        <f aca="false">IF(N(E636)=0,"",IF(COUNTIFS(AK_NAMA,C636,AK_KAT,"KAS")+COUNTIFS(AK_NAMA,D636,AK_KAT,"KAS")&lt;&gt;1,"",IF(COUNTIFS(AK_NAMA,C636,AK_KAT,"KAS")=1,D636,C636)))</f>
        <v/>
      </c>
      <c r="M636" s="103" t="n">
        <f aca="false">IF(L636="",0,IF(L636=D636,E636,-E636))</f>
        <v>0</v>
      </c>
      <c r="N636" s="102" t="str">
        <f aca="false">IF(L636="","",IFERROR(INDEX(AK_BARIS,MATCH(L636,AK_NAMA,0)),"?"))</f>
        <v/>
      </c>
      <c r="O636" s="102" t="str">
        <f aca="false">IF(C636="","",IFERROR(INDEX(AK_KEL,MATCH(C636,AK_NAMA,0)),"?"))</f>
        <v>ASET</v>
      </c>
      <c r="P636" s="102" t="str">
        <f aca="false">IF(D636="","",IFERROR(INDEX(AK_KEL,MATCH(D636,AK_NAMA,0)),"?"))</f>
        <v>ASET</v>
      </c>
      <c r="Q636" s="102" t="n">
        <f aca="false">N(Q635)+IF(AND(N(E636)&lt;&gt;0,K636=TAHUN,N(J636)&lt;=BLN,OR(C636=BB_AKUN,D636=BB_AKUN)),1,0)</f>
        <v>403</v>
      </c>
      <c r="R636" s="104" t="str">
        <f aca="false">IF(OR(C636&amp;D636="",N(E636)=0),"",IF(OR(O636="?",P636="?"),"⚠ akun tidak dikenal",IF(C636=D636,"⚠ debet = kredit","")))</f>
        <v/>
      </c>
    </row>
    <row r="637" customFormat="false" ht="15" hidden="false" customHeight="false" outlineLevel="0" collapsed="false">
      <c r="A637" s="82" t="s">
        <v>1529</v>
      </c>
      <c r="B637" s="101" t="n">
        <v>46151</v>
      </c>
      <c r="C637" s="82" t="s">
        <v>669</v>
      </c>
      <c r="D637" s="82" t="s">
        <v>461</v>
      </c>
      <c r="E637" s="91" t="n">
        <v>119000</v>
      </c>
      <c r="F637" s="82" t="s">
        <v>647</v>
      </c>
      <c r="G637" s="82"/>
      <c r="H637" s="82"/>
      <c r="I637" s="82" t="s">
        <v>250</v>
      </c>
      <c r="J637" s="102" t="n">
        <f aca="false">IF(B637="","",MONTH(B637))</f>
        <v>5</v>
      </c>
      <c r="K637" s="102" t="n">
        <f aca="false">IF(B637="","",YEAR(B637))</f>
        <v>2026</v>
      </c>
      <c r="L637" s="102" t="str">
        <f aca="false">IF(N(E637)=0,"",IF(COUNTIFS(AK_NAMA,C637,AK_KAT,"KAS")+COUNTIFS(AK_NAMA,D637,AK_KAT,"KAS")&lt;&gt;1,"",IF(COUNTIFS(AK_NAMA,C637,AK_KAT,"KAS")=1,D637,C637)))</f>
        <v>Biaya Tagihan Bulanan</v>
      </c>
      <c r="M637" s="103" t="n">
        <f aca="false">IF(L637="",0,IF(L637=D637,E637,-E637))</f>
        <v>-119000</v>
      </c>
      <c r="N637" s="102" t="str">
        <f aca="false">IF(L637="","",IFERROR(INDEX(AK_BARIS,MATCH(L637,AK_NAMA,0)),"?"))</f>
        <v>OP6</v>
      </c>
      <c r="O637" s="102" t="str">
        <f aca="false">IF(C637="","",IFERROR(INDEX(AK_KEL,MATCH(C637,AK_NAMA,0)),"?"))</f>
        <v>BEBAN</v>
      </c>
      <c r="P637" s="102" t="str">
        <f aca="false">IF(D637="","",IFERROR(INDEX(AK_KEL,MATCH(D637,AK_NAMA,0)),"?"))</f>
        <v>ASET</v>
      </c>
      <c r="Q637" s="102" t="n">
        <f aca="false">N(Q636)+IF(AND(N(E637)&lt;&gt;0,K637=TAHUN,N(J637)&lt;=BLN,OR(C637=BB_AKUN,D637=BB_AKUN)),1,0)</f>
        <v>404</v>
      </c>
      <c r="R637" s="104" t="str">
        <f aca="false">IF(OR(C637&amp;D637="",N(E637)=0),"",IF(OR(O637="?",P637="?"),"⚠ akun tidak dikenal",IF(C637=D637,"⚠ debet = kredit","")))</f>
        <v/>
      </c>
    </row>
    <row r="638" customFormat="false" ht="15" hidden="false" customHeight="false" outlineLevel="0" collapsed="false">
      <c r="A638" s="82" t="s">
        <v>1530</v>
      </c>
      <c r="B638" s="101" t="n">
        <v>46151</v>
      </c>
      <c r="C638" s="82" t="s">
        <v>470</v>
      </c>
      <c r="D638" s="82" t="s">
        <v>461</v>
      </c>
      <c r="E638" s="91" t="n">
        <v>691000</v>
      </c>
      <c r="F638" s="82" t="s">
        <v>1531</v>
      </c>
      <c r="G638" s="82"/>
      <c r="H638" s="82"/>
      <c r="I638" s="82" t="s">
        <v>250</v>
      </c>
      <c r="J638" s="102" t="n">
        <f aca="false">IF(B638="","",MONTH(B638))</f>
        <v>5</v>
      </c>
      <c r="K638" s="102" t="n">
        <f aca="false">IF(B638="","",YEAR(B638))</f>
        <v>2026</v>
      </c>
      <c r="L638" s="102" t="str">
        <f aca="false">IF(N(E638)=0,"",IF(COUNTIFS(AK_NAMA,C638,AK_KAT,"KAS")+COUNTIFS(AK_NAMA,D638,AK_KAT,"KAS")&lt;&gt;1,"",IF(COUNTIFS(AK_NAMA,C638,AK_KAT,"KAS")=1,D638,C638)))</f>
        <v>Biaya Bahan Baku</v>
      </c>
      <c r="M638" s="103" t="n">
        <f aca="false">IF(L638="",0,IF(L638=D638,E638,-E638))</f>
        <v>-691000</v>
      </c>
      <c r="N638" s="102" t="str">
        <f aca="false">IF(L638="","",IFERROR(INDEX(AK_BARIS,MATCH(L638,AK_NAMA,0)),"?"))</f>
        <v>OP3</v>
      </c>
      <c r="O638" s="102" t="str">
        <f aca="false">IF(C638="","",IFERROR(INDEX(AK_KEL,MATCH(C638,AK_NAMA,0)),"?"))</f>
        <v>BEBAN</v>
      </c>
      <c r="P638" s="102" t="str">
        <f aca="false">IF(D638="","",IFERROR(INDEX(AK_KEL,MATCH(D638,AK_NAMA,0)),"?"))</f>
        <v>ASET</v>
      </c>
      <c r="Q638" s="102" t="n">
        <f aca="false">N(Q637)+IF(AND(N(E638)&lt;&gt;0,K638=TAHUN,N(J638)&lt;=BLN,OR(C638=BB_AKUN,D638=BB_AKUN)),1,0)</f>
        <v>405</v>
      </c>
      <c r="R638" s="104" t="str">
        <f aca="false">IF(OR(C638&amp;D638="",N(E638)=0),"",IF(OR(O638="?",P638="?"),"⚠ akun tidak dikenal",IF(C638=D638,"⚠ debet = kredit","")))</f>
        <v/>
      </c>
    </row>
    <row r="639" customFormat="false" ht="15" hidden="false" customHeight="false" outlineLevel="0" collapsed="false">
      <c r="A639" s="82" t="s">
        <v>1532</v>
      </c>
      <c r="B639" s="101" t="n">
        <v>46151</v>
      </c>
      <c r="C639" s="82" t="s">
        <v>524</v>
      </c>
      <c r="D639" s="82" t="s">
        <v>461</v>
      </c>
      <c r="E639" s="91" t="n">
        <v>448</v>
      </c>
      <c r="F639" s="82" t="s">
        <v>525</v>
      </c>
      <c r="G639" s="82"/>
      <c r="H639" s="82"/>
      <c r="I639" s="82" t="s">
        <v>250</v>
      </c>
      <c r="J639" s="102" t="n">
        <f aca="false">IF(B639="","",MONTH(B639))</f>
        <v>5</v>
      </c>
      <c r="K639" s="102" t="n">
        <f aca="false">IF(B639="","",YEAR(B639))</f>
        <v>2026</v>
      </c>
      <c r="L639" s="102" t="str">
        <f aca="false">IF(N(E639)=0,"",IF(COUNTIFS(AK_NAMA,C639,AK_KAT,"KAS")+COUNTIFS(AK_NAMA,D639,AK_KAT,"KAS")&lt;&gt;1,"",IF(COUNTIFS(AK_NAMA,C639,AK_KAT,"KAS")=1,D639,C639)))</f>
        <v>Biaya Lainnya</v>
      </c>
      <c r="M639" s="103" t="n">
        <f aca="false">IF(L639="",0,IF(L639=D639,E639,-E639))</f>
        <v>-448</v>
      </c>
      <c r="N639" s="102" t="str">
        <f aca="false">IF(L639="","",IFERROR(INDEX(AK_BARIS,MATCH(L639,AK_NAMA,0)),"?"))</f>
        <v>OP2</v>
      </c>
      <c r="O639" s="102" t="str">
        <f aca="false">IF(C639="","",IFERROR(INDEX(AK_KEL,MATCH(C639,AK_NAMA,0)),"?"))</f>
        <v>BEBAN</v>
      </c>
      <c r="P639" s="102" t="str">
        <f aca="false">IF(D639="","",IFERROR(INDEX(AK_KEL,MATCH(D639,AK_NAMA,0)),"?"))</f>
        <v>ASET</v>
      </c>
      <c r="Q639" s="102" t="n">
        <f aca="false">N(Q638)+IF(AND(N(E639)&lt;&gt;0,K639=TAHUN,N(J639)&lt;=BLN,OR(C639=BB_AKUN,D639=BB_AKUN)),1,0)</f>
        <v>406</v>
      </c>
      <c r="R639" s="104" t="str">
        <f aca="false">IF(OR(C639&amp;D639="",N(E639)=0),"",IF(OR(O639="?",P639="?"),"⚠ akun tidak dikenal",IF(C639=D639,"⚠ debet = kredit","")))</f>
        <v/>
      </c>
    </row>
    <row r="640" customFormat="false" ht="15" hidden="false" customHeight="false" outlineLevel="0" collapsed="false">
      <c r="A640" s="82" t="s">
        <v>1533</v>
      </c>
      <c r="B640" s="101" t="n">
        <v>46151</v>
      </c>
      <c r="C640" s="82" t="s">
        <v>475</v>
      </c>
      <c r="D640" s="82" t="s">
        <v>509</v>
      </c>
      <c r="E640" s="91" t="n">
        <v>260000</v>
      </c>
      <c r="F640" s="82" t="s">
        <v>1534</v>
      </c>
      <c r="G640" s="82"/>
      <c r="H640" s="82"/>
      <c r="I640" s="82" t="s">
        <v>250</v>
      </c>
      <c r="J640" s="102" t="n">
        <f aca="false">IF(B640="","",MONTH(B640))</f>
        <v>5</v>
      </c>
      <c r="K640" s="102" t="n">
        <f aca="false">IF(B640="","",YEAR(B640))</f>
        <v>2026</v>
      </c>
      <c r="L640" s="102" t="str">
        <f aca="false">IF(N(E640)=0,"",IF(COUNTIFS(AK_NAMA,C640,AK_KAT,"KAS")+COUNTIFS(AK_NAMA,D640,AK_KAT,"KAS")&lt;&gt;1,"",IF(COUNTIFS(AK_NAMA,C640,AK_KAT,"KAS")=1,D640,C640)))</f>
        <v>Pendapatan non Cafe</v>
      </c>
      <c r="M640" s="103" t="n">
        <f aca="false">IF(L640="",0,IF(L640=D640,E640,-E640))</f>
        <v>260000</v>
      </c>
      <c r="N640" s="102" t="str">
        <f aca="false">IF(L640="","",IFERROR(INDEX(AK_BARIS,MATCH(L640,AK_NAMA,0)),"?"))</f>
        <v>OP1</v>
      </c>
      <c r="O640" s="102" t="str">
        <f aca="false">IF(C640="","",IFERROR(INDEX(AK_KEL,MATCH(C640,AK_NAMA,0)),"?"))</f>
        <v>ASET</v>
      </c>
      <c r="P640" s="102" t="str">
        <f aca="false">IF(D640="","",IFERROR(INDEX(AK_KEL,MATCH(D640,AK_NAMA,0)),"?"))</f>
        <v>PENDAPATAN</v>
      </c>
      <c r="Q640" s="102" t="n">
        <f aca="false">N(Q639)+IF(AND(N(E640)&lt;&gt;0,K640=TAHUN,N(J640)&lt;=BLN,OR(C640=BB_AKUN,D640=BB_AKUN)),1,0)</f>
        <v>406</v>
      </c>
      <c r="R640" s="104" t="str">
        <f aca="false">IF(OR(C640&amp;D640="",N(E640)=0),"",IF(OR(O640="?",P640="?"),"⚠ akun tidak dikenal",IF(C640=D640,"⚠ debet = kredit","")))</f>
        <v/>
      </c>
    </row>
    <row r="641" customFormat="false" ht="15" hidden="false" customHeight="false" outlineLevel="0" collapsed="false">
      <c r="A641" s="82" t="s">
        <v>1535</v>
      </c>
      <c r="B641" s="101" t="n">
        <v>46152</v>
      </c>
      <c r="C641" s="82" t="s">
        <v>478</v>
      </c>
      <c r="D641" s="82" t="s">
        <v>461</v>
      </c>
      <c r="E641" s="91" t="n">
        <v>6000</v>
      </c>
      <c r="F641" s="82" t="s">
        <v>1536</v>
      </c>
      <c r="G641" s="82"/>
      <c r="H641" s="82"/>
      <c r="I641" s="82" t="s">
        <v>250</v>
      </c>
      <c r="J641" s="102" t="n">
        <f aca="false">IF(B641="","",MONTH(B641))</f>
        <v>5</v>
      </c>
      <c r="K641" s="102" t="n">
        <f aca="false">IF(B641="","",YEAR(B641))</f>
        <v>2026</v>
      </c>
      <c r="L641" s="102" t="str">
        <f aca="false">IF(N(E641)=0,"",IF(COUNTIFS(AK_NAMA,C641,AK_KAT,"KAS")+COUNTIFS(AK_NAMA,D641,AK_KAT,"KAS")&lt;&gt;1,"",IF(COUNTIFS(AK_NAMA,C641,AK_KAT,"KAS")=1,D641,C641)))</f>
        <v>Biaya Penyajian</v>
      </c>
      <c r="M641" s="103" t="n">
        <f aca="false">IF(L641="",0,IF(L641=D641,E641,-E641))</f>
        <v>-6000</v>
      </c>
      <c r="N641" s="102" t="str">
        <f aca="false">IF(L641="","",IFERROR(INDEX(AK_BARIS,MATCH(L641,AK_NAMA,0)),"?"))</f>
        <v>OP3</v>
      </c>
      <c r="O641" s="102" t="str">
        <f aca="false">IF(C641="","",IFERROR(INDEX(AK_KEL,MATCH(C641,AK_NAMA,0)),"?"))</f>
        <v>BEBAN</v>
      </c>
      <c r="P641" s="102" t="str">
        <f aca="false">IF(D641="","",IFERROR(INDEX(AK_KEL,MATCH(D641,AK_NAMA,0)),"?"))</f>
        <v>ASET</v>
      </c>
      <c r="Q641" s="102" t="n">
        <f aca="false">N(Q640)+IF(AND(N(E641)&lt;&gt;0,K641=TAHUN,N(J641)&lt;=BLN,OR(C641=BB_AKUN,D641=BB_AKUN)),1,0)</f>
        <v>407</v>
      </c>
      <c r="R641" s="104" t="str">
        <f aca="false">IF(OR(C641&amp;D641="",N(E641)=0),"",IF(OR(O641="?",P641="?"),"⚠ akun tidak dikenal",IF(C641=D641,"⚠ debet = kredit","")))</f>
        <v/>
      </c>
    </row>
    <row r="642" customFormat="false" ht="15" hidden="false" customHeight="false" outlineLevel="0" collapsed="false">
      <c r="A642" s="82" t="s">
        <v>1537</v>
      </c>
      <c r="B642" s="101" t="n">
        <v>46153</v>
      </c>
      <c r="C642" s="82" t="s">
        <v>461</v>
      </c>
      <c r="D642" s="82" t="s">
        <v>475</v>
      </c>
      <c r="E642" s="91" t="n">
        <v>2500000</v>
      </c>
      <c r="F642" s="82" t="s">
        <v>1538</v>
      </c>
      <c r="G642" s="82"/>
      <c r="H642" s="82"/>
      <c r="I642" s="82" t="s">
        <v>250</v>
      </c>
      <c r="J642" s="102" t="n">
        <f aca="false">IF(B642="","",MONTH(B642))</f>
        <v>5</v>
      </c>
      <c r="K642" s="102" t="n">
        <f aca="false">IF(B642="","",YEAR(B642))</f>
        <v>2026</v>
      </c>
      <c r="L642" s="102" t="str">
        <f aca="false">IF(N(E642)=0,"",IF(COUNTIFS(AK_NAMA,C642,AK_KAT,"KAS")+COUNTIFS(AK_NAMA,D642,AK_KAT,"KAS")&lt;&gt;1,"",IF(COUNTIFS(AK_NAMA,C642,AK_KAT,"KAS")=1,D642,C642)))</f>
        <v/>
      </c>
      <c r="M642" s="103" t="n">
        <f aca="false">IF(L642="",0,IF(L642=D642,E642,-E642))</f>
        <v>0</v>
      </c>
      <c r="N642" s="102" t="str">
        <f aca="false">IF(L642="","",IFERROR(INDEX(AK_BARIS,MATCH(L642,AK_NAMA,0)),"?"))</f>
        <v/>
      </c>
      <c r="O642" s="102" t="str">
        <f aca="false">IF(C642="","",IFERROR(INDEX(AK_KEL,MATCH(C642,AK_NAMA,0)),"?"))</f>
        <v>ASET</v>
      </c>
      <c r="P642" s="102" t="str">
        <f aca="false">IF(D642="","",IFERROR(INDEX(AK_KEL,MATCH(D642,AK_NAMA,0)),"?"))</f>
        <v>ASET</v>
      </c>
      <c r="Q642" s="102" t="n">
        <f aca="false">N(Q641)+IF(AND(N(E642)&lt;&gt;0,K642=TAHUN,N(J642)&lt;=BLN,OR(C642=BB_AKUN,D642=BB_AKUN)),1,0)</f>
        <v>408</v>
      </c>
      <c r="R642" s="104" t="str">
        <f aca="false">IF(OR(C642&amp;D642="",N(E642)=0),"",IF(OR(O642="?",P642="?"),"⚠ akun tidak dikenal",IF(C642=D642,"⚠ debet = kredit","")))</f>
        <v/>
      </c>
    </row>
    <row r="643" customFormat="false" ht="15" hidden="false" customHeight="false" outlineLevel="0" collapsed="false">
      <c r="A643" s="82" t="s">
        <v>1539</v>
      </c>
      <c r="B643" s="101" t="n">
        <v>46153</v>
      </c>
      <c r="C643" s="82" t="s">
        <v>461</v>
      </c>
      <c r="D643" s="82" t="s">
        <v>557</v>
      </c>
      <c r="E643" s="91" t="n">
        <v>1</v>
      </c>
      <c r="F643" s="82" t="s">
        <v>1172</v>
      </c>
      <c r="G643" s="82"/>
      <c r="H643" s="82"/>
      <c r="I643" s="82" t="s">
        <v>250</v>
      </c>
      <c r="J643" s="102" t="n">
        <f aca="false">IF(B643="","",MONTH(B643))</f>
        <v>5</v>
      </c>
      <c r="K643" s="102" t="n">
        <f aca="false">IF(B643="","",YEAR(B643))</f>
        <v>2026</v>
      </c>
      <c r="L643" s="102" t="str">
        <f aca="false">IF(N(E643)=0,"",IF(COUNTIFS(AK_NAMA,C643,AK_KAT,"KAS")+COUNTIFS(AK_NAMA,D643,AK_KAT,"KAS")&lt;&gt;1,"",IF(COUNTIFS(AK_NAMA,C643,AK_KAT,"KAS")=1,D643,C643)))</f>
        <v>Pendapatan Lainnya</v>
      </c>
      <c r="M643" s="103" t="n">
        <f aca="false">IF(L643="",0,IF(L643=D643,E643,-E643))</f>
        <v>1</v>
      </c>
      <c r="N643" s="102" t="str">
        <f aca="false">IF(L643="","",IFERROR(INDEX(AK_BARIS,MATCH(L643,AK_NAMA,0)),"?"))</f>
        <v>OP2</v>
      </c>
      <c r="O643" s="102" t="str">
        <f aca="false">IF(C643="","",IFERROR(INDEX(AK_KEL,MATCH(C643,AK_NAMA,0)),"?"))</f>
        <v>ASET</v>
      </c>
      <c r="P643" s="102" t="str">
        <f aca="false">IF(D643="","",IFERROR(INDEX(AK_KEL,MATCH(D643,AK_NAMA,0)),"?"))</f>
        <v>PENDAPATAN</v>
      </c>
      <c r="Q643" s="102" t="n">
        <f aca="false">N(Q642)+IF(AND(N(E643)&lt;&gt;0,K643=TAHUN,N(J643)&lt;=BLN,OR(C643=BB_AKUN,D643=BB_AKUN)),1,0)</f>
        <v>409</v>
      </c>
      <c r="R643" s="104" t="str">
        <f aca="false">IF(OR(C643&amp;D643="",N(E643)=0),"",IF(OR(O643="?",P643="?"),"⚠ akun tidak dikenal",IF(C643=D643,"⚠ debet = kredit","")))</f>
        <v/>
      </c>
    </row>
    <row r="644" customFormat="false" ht="15" hidden="false" customHeight="false" outlineLevel="0" collapsed="false">
      <c r="A644" s="82" t="s">
        <v>1540</v>
      </c>
      <c r="B644" s="101" t="n">
        <v>46154</v>
      </c>
      <c r="C644" s="82" t="s">
        <v>470</v>
      </c>
      <c r="D644" s="82" t="s">
        <v>461</v>
      </c>
      <c r="E644" s="91" t="n">
        <v>190000</v>
      </c>
      <c r="F644" s="82" t="s">
        <v>1541</v>
      </c>
      <c r="G644" s="82"/>
      <c r="H644" s="82"/>
      <c r="I644" s="82" t="s">
        <v>250</v>
      </c>
      <c r="J644" s="102" t="n">
        <f aca="false">IF(B644="","",MONTH(B644))</f>
        <v>5</v>
      </c>
      <c r="K644" s="102" t="n">
        <f aca="false">IF(B644="","",YEAR(B644))</f>
        <v>2026</v>
      </c>
      <c r="L644" s="102" t="str">
        <f aca="false">IF(N(E644)=0,"",IF(COUNTIFS(AK_NAMA,C644,AK_KAT,"KAS")+COUNTIFS(AK_NAMA,D644,AK_KAT,"KAS")&lt;&gt;1,"",IF(COUNTIFS(AK_NAMA,C644,AK_KAT,"KAS")=1,D644,C644)))</f>
        <v>Biaya Bahan Baku</v>
      </c>
      <c r="M644" s="103" t="n">
        <f aca="false">IF(L644="",0,IF(L644=D644,E644,-E644))</f>
        <v>-190000</v>
      </c>
      <c r="N644" s="102" t="str">
        <f aca="false">IF(L644="","",IFERROR(INDEX(AK_BARIS,MATCH(L644,AK_NAMA,0)),"?"))</f>
        <v>OP3</v>
      </c>
      <c r="O644" s="102" t="str">
        <f aca="false">IF(C644="","",IFERROR(INDEX(AK_KEL,MATCH(C644,AK_NAMA,0)),"?"))</f>
        <v>BEBAN</v>
      </c>
      <c r="P644" s="102" t="str">
        <f aca="false">IF(D644="","",IFERROR(INDEX(AK_KEL,MATCH(D644,AK_NAMA,0)),"?"))</f>
        <v>ASET</v>
      </c>
      <c r="Q644" s="102" t="n">
        <f aca="false">N(Q643)+IF(AND(N(E644)&lt;&gt;0,K644=TAHUN,N(J644)&lt;=BLN,OR(C644=BB_AKUN,D644=BB_AKUN)),1,0)</f>
        <v>410</v>
      </c>
      <c r="R644" s="104" t="str">
        <f aca="false">IF(OR(C644&amp;D644="",N(E644)=0),"",IF(OR(O644="?",P644="?"),"⚠ akun tidak dikenal",IF(C644=D644,"⚠ debet = kredit","")))</f>
        <v/>
      </c>
    </row>
    <row r="645" customFormat="false" ht="15" hidden="false" customHeight="false" outlineLevel="0" collapsed="false">
      <c r="A645" s="82" t="s">
        <v>1542</v>
      </c>
      <c r="B645" s="101" t="n">
        <v>46154</v>
      </c>
      <c r="C645" s="82" t="s">
        <v>470</v>
      </c>
      <c r="D645" s="82" t="s">
        <v>461</v>
      </c>
      <c r="E645" s="91" t="n">
        <v>2228000</v>
      </c>
      <c r="F645" s="82" t="s">
        <v>1543</v>
      </c>
      <c r="G645" s="82"/>
      <c r="H645" s="82"/>
      <c r="I645" s="82" t="s">
        <v>250</v>
      </c>
      <c r="J645" s="102" t="n">
        <f aca="false">IF(B645="","",MONTH(B645))</f>
        <v>5</v>
      </c>
      <c r="K645" s="102" t="n">
        <f aca="false">IF(B645="","",YEAR(B645))</f>
        <v>2026</v>
      </c>
      <c r="L645" s="102" t="str">
        <f aca="false">IF(N(E645)=0,"",IF(COUNTIFS(AK_NAMA,C645,AK_KAT,"KAS")+COUNTIFS(AK_NAMA,D645,AK_KAT,"KAS")&lt;&gt;1,"",IF(COUNTIFS(AK_NAMA,C645,AK_KAT,"KAS")=1,D645,C645)))</f>
        <v>Biaya Bahan Baku</v>
      </c>
      <c r="M645" s="103" t="n">
        <f aca="false">IF(L645="",0,IF(L645=D645,E645,-E645))</f>
        <v>-2228000</v>
      </c>
      <c r="N645" s="102" t="str">
        <f aca="false">IF(L645="","",IFERROR(INDEX(AK_BARIS,MATCH(L645,AK_NAMA,0)),"?"))</f>
        <v>OP3</v>
      </c>
      <c r="O645" s="102" t="str">
        <f aca="false">IF(C645="","",IFERROR(INDEX(AK_KEL,MATCH(C645,AK_NAMA,0)),"?"))</f>
        <v>BEBAN</v>
      </c>
      <c r="P645" s="102" t="str">
        <f aca="false">IF(D645="","",IFERROR(INDEX(AK_KEL,MATCH(D645,AK_NAMA,0)),"?"))</f>
        <v>ASET</v>
      </c>
      <c r="Q645" s="102" t="n">
        <f aca="false">N(Q644)+IF(AND(N(E645)&lt;&gt;0,K645=TAHUN,N(J645)&lt;=BLN,OR(C645=BB_AKUN,D645=BB_AKUN)),1,0)</f>
        <v>411</v>
      </c>
      <c r="R645" s="104" t="str">
        <f aca="false">IF(OR(C645&amp;D645="",N(E645)=0),"",IF(OR(O645="?",P645="?"),"⚠ akun tidak dikenal",IF(C645=D645,"⚠ debet = kredit","")))</f>
        <v/>
      </c>
    </row>
    <row r="646" customFormat="false" ht="15" hidden="false" customHeight="false" outlineLevel="0" collapsed="false">
      <c r="A646" s="82" t="s">
        <v>1544</v>
      </c>
      <c r="B646" s="101" t="n">
        <v>46154</v>
      </c>
      <c r="C646" s="82" t="s">
        <v>470</v>
      </c>
      <c r="D646" s="82" t="s">
        <v>461</v>
      </c>
      <c r="E646" s="91" t="n">
        <v>100000</v>
      </c>
      <c r="F646" s="82" t="s">
        <v>1545</v>
      </c>
      <c r="G646" s="82"/>
      <c r="H646" s="82"/>
      <c r="I646" s="82" t="s">
        <v>250</v>
      </c>
      <c r="J646" s="102" t="n">
        <f aca="false">IF(B646="","",MONTH(B646))</f>
        <v>5</v>
      </c>
      <c r="K646" s="102" t="n">
        <f aca="false">IF(B646="","",YEAR(B646))</f>
        <v>2026</v>
      </c>
      <c r="L646" s="102" t="str">
        <f aca="false">IF(N(E646)=0,"",IF(COUNTIFS(AK_NAMA,C646,AK_KAT,"KAS")+COUNTIFS(AK_NAMA,D646,AK_KAT,"KAS")&lt;&gt;1,"",IF(COUNTIFS(AK_NAMA,C646,AK_KAT,"KAS")=1,D646,C646)))</f>
        <v>Biaya Bahan Baku</v>
      </c>
      <c r="M646" s="103" t="n">
        <f aca="false">IF(L646="",0,IF(L646=D646,E646,-E646))</f>
        <v>-100000</v>
      </c>
      <c r="N646" s="102" t="str">
        <f aca="false">IF(L646="","",IFERROR(INDEX(AK_BARIS,MATCH(L646,AK_NAMA,0)),"?"))</f>
        <v>OP3</v>
      </c>
      <c r="O646" s="102" t="str">
        <f aca="false">IF(C646="","",IFERROR(INDEX(AK_KEL,MATCH(C646,AK_NAMA,0)),"?"))</f>
        <v>BEBAN</v>
      </c>
      <c r="P646" s="102" t="str">
        <f aca="false">IF(D646="","",IFERROR(INDEX(AK_KEL,MATCH(D646,AK_NAMA,0)),"?"))</f>
        <v>ASET</v>
      </c>
      <c r="Q646" s="102" t="n">
        <f aca="false">N(Q645)+IF(AND(N(E646)&lt;&gt;0,K646=TAHUN,N(J646)&lt;=BLN,OR(C646=BB_AKUN,D646=BB_AKUN)),1,0)</f>
        <v>412</v>
      </c>
      <c r="R646" s="104" t="str">
        <f aca="false">IF(OR(C646&amp;D646="",N(E646)=0),"",IF(OR(O646="?",P646="?"),"⚠ akun tidak dikenal",IF(C646=D646,"⚠ debet = kredit","")))</f>
        <v/>
      </c>
    </row>
    <row r="647" customFormat="false" ht="15" hidden="false" customHeight="false" outlineLevel="0" collapsed="false">
      <c r="A647" s="82" t="s">
        <v>1546</v>
      </c>
      <c r="B647" s="101" t="n">
        <v>46154</v>
      </c>
      <c r="C647" s="82" t="s">
        <v>470</v>
      </c>
      <c r="D647" s="82" t="s">
        <v>461</v>
      </c>
      <c r="E647" s="91" t="n">
        <v>105000</v>
      </c>
      <c r="F647" s="82" t="s">
        <v>1547</v>
      </c>
      <c r="G647" s="82"/>
      <c r="H647" s="82"/>
      <c r="I647" s="82" t="s">
        <v>250</v>
      </c>
      <c r="J647" s="102" t="n">
        <f aca="false">IF(B647="","",MONTH(B647))</f>
        <v>5</v>
      </c>
      <c r="K647" s="102" t="n">
        <f aca="false">IF(B647="","",YEAR(B647))</f>
        <v>2026</v>
      </c>
      <c r="L647" s="102" t="str">
        <f aca="false">IF(N(E647)=0,"",IF(COUNTIFS(AK_NAMA,C647,AK_KAT,"KAS")+COUNTIFS(AK_NAMA,D647,AK_KAT,"KAS")&lt;&gt;1,"",IF(COUNTIFS(AK_NAMA,C647,AK_KAT,"KAS")=1,D647,C647)))</f>
        <v>Biaya Bahan Baku</v>
      </c>
      <c r="M647" s="103" t="n">
        <f aca="false">IF(L647="",0,IF(L647=D647,E647,-E647))</f>
        <v>-105000</v>
      </c>
      <c r="N647" s="102" t="str">
        <f aca="false">IF(L647="","",IFERROR(INDEX(AK_BARIS,MATCH(L647,AK_NAMA,0)),"?"))</f>
        <v>OP3</v>
      </c>
      <c r="O647" s="102" t="str">
        <f aca="false">IF(C647="","",IFERROR(INDEX(AK_KEL,MATCH(C647,AK_NAMA,0)),"?"))</f>
        <v>BEBAN</v>
      </c>
      <c r="P647" s="102" t="str">
        <f aca="false">IF(D647="","",IFERROR(INDEX(AK_KEL,MATCH(D647,AK_NAMA,0)),"?"))</f>
        <v>ASET</v>
      </c>
      <c r="Q647" s="102" t="n">
        <f aca="false">N(Q646)+IF(AND(N(E647)&lt;&gt;0,K647=TAHUN,N(J647)&lt;=BLN,OR(C647=BB_AKUN,D647=BB_AKUN)),1,0)</f>
        <v>413</v>
      </c>
      <c r="R647" s="104" t="str">
        <f aca="false">IF(OR(C647&amp;D647="",N(E647)=0),"",IF(OR(O647="?",P647="?"),"⚠ akun tidak dikenal",IF(C647=D647,"⚠ debet = kredit","")))</f>
        <v/>
      </c>
    </row>
    <row r="648" customFormat="false" ht="15" hidden="false" customHeight="false" outlineLevel="0" collapsed="false">
      <c r="A648" s="82" t="s">
        <v>1548</v>
      </c>
      <c r="B648" s="101" t="n">
        <v>46154</v>
      </c>
      <c r="C648" s="82" t="s">
        <v>548</v>
      </c>
      <c r="D648" s="82" t="s">
        <v>461</v>
      </c>
      <c r="E648" s="91" t="n">
        <v>219000</v>
      </c>
      <c r="F648" s="82" t="s">
        <v>1549</v>
      </c>
      <c r="G648" s="82"/>
      <c r="H648" s="82"/>
      <c r="I648" s="82" t="s">
        <v>250</v>
      </c>
      <c r="J648" s="102" t="n">
        <f aca="false">IF(B648="","",MONTH(B648))</f>
        <v>5</v>
      </c>
      <c r="K648" s="102" t="n">
        <f aca="false">IF(B648="","",YEAR(B648))</f>
        <v>2026</v>
      </c>
      <c r="L648" s="102" t="str">
        <f aca="false">IF(N(E648)=0,"",IF(COUNTIFS(AK_NAMA,C648,AK_KAT,"KAS")+COUNTIFS(AK_NAMA,D648,AK_KAT,"KAS")&lt;&gt;1,"",IF(COUNTIFS(AK_NAMA,C648,AK_KAT,"KAS")=1,D648,C648)))</f>
        <v>Beban Perlengkapan</v>
      </c>
      <c r="M648" s="103" t="n">
        <f aca="false">IF(L648="",0,IF(L648=D648,E648,-E648))</f>
        <v>-219000</v>
      </c>
      <c r="N648" s="102" t="str">
        <f aca="false">IF(L648="","",IFERROR(INDEX(AK_BARIS,MATCH(L648,AK_NAMA,0)),"?"))</f>
        <v>OP6</v>
      </c>
      <c r="O648" s="102" t="str">
        <f aca="false">IF(C648="","",IFERROR(INDEX(AK_KEL,MATCH(C648,AK_NAMA,0)),"?"))</f>
        <v>BEBAN</v>
      </c>
      <c r="P648" s="102" t="str">
        <f aca="false">IF(D648="","",IFERROR(INDEX(AK_KEL,MATCH(D648,AK_NAMA,0)),"?"))</f>
        <v>ASET</v>
      </c>
      <c r="Q648" s="102" t="n">
        <f aca="false">N(Q647)+IF(AND(N(E648)&lt;&gt;0,K648=TAHUN,N(J648)&lt;=BLN,OR(C648=BB_AKUN,D648=BB_AKUN)),1,0)</f>
        <v>414</v>
      </c>
      <c r="R648" s="104" t="str">
        <f aca="false">IF(OR(C648&amp;D648="",N(E648)=0),"",IF(OR(O648="?",P648="?"),"⚠ akun tidak dikenal",IF(C648=D648,"⚠ debet = kredit","")))</f>
        <v/>
      </c>
    </row>
    <row r="649" customFormat="false" ht="15" hidden="false" customHeight="false" outlineLevel="0" collapsed="false">
      <c r="A649" s="82" t="s">
        <v>1550</v>
      </c>
      <c r="B649" s="101" t="n">
        <v>46155</v>
      </c>
      <c r="C649" s="82" t="s">
        <v>470</v>
      </c>
      <c r="D649" s="82" t="s">
        <v>461</v>
      </c>
      <c r="E649" s="91" t="n">
        <v>3885000</v>
      </c>
      <c r="F649" s="82" t="s">
        <v>1551</v>
      </c>
      <c r="G649" s="82"/>
      <c r="H649" s="82"/>
      <c r="I649" s="82" t="s">
        <v>250</v>
      </c>
      <c r="J649" s="102" t="n">
        <f aca="false">IF(B649="","",MONTH(B649))</f>
        <v>5</v>
      </c>
      <c r="K649" s="102" t="n">
        <f aca="false">IF(B649="","",YEAR(B649))</f>
        <v>2026</v>
      </c>
      <c r="L649" s="102" t="str">
        <f aca="false">IF(N(E649)=0,"",IF(COUNTIFS(AK_NAMA,C649,AK_KAT,"KAS")+COUNTIFS(AK_NAMA,D649,AK_KAT,"KAS")&lt;&gt;1,"",IF(COUNTIFS(AK_NAMA,C649,AK_KAT,"KAS")=1,D649,C649)))</f>
        <v>Biaya Bahan Baku</v>
      </c>
      <c r="M649" s="103" t="n">
        <f aca="false">IF(L649="",0,IF(L649=D649,E649,-E649))</f>
        <v>-3885000</v>
      </c>
      <c r="N649" s="102" t="str">
        <f aca="false">IF(L649="","",IFERROR(INDEX(AK_BARIS,MATCH(L649,AK_NAMA,0)),"?"))</f>
        <v>OP3</v>
      </c>
      <c r="O649" s="102" t="str">
        <f aca="false">IF(C649="","",IFERROR(INDEX(AK_KEL,MATCH(C649,AK_NAMA,0)),"?"))</f>
        <v>BEBAN</v>
      </c>
      <c r="P649" s="102" t="str">
        <f aca="false">IF(D649="","",IFERROR(INDEX(AK_KEL,MATCH(D649,AK_NAMA,0)),"?"))</f>
        <v>ASET</v>
      </c>
      <c r="Q649" s="102" t="n">
        <f aca="false">N(Q648)+IF(AND(N(E649)&lt;&gt;0,K649=TAHUN,N(J649)&lt;=BLN,OR(C649=BB_AKUN,D649=BB_AKUN)),1,0)</f>
        <v>415</v>
      </c>
      <c r="R649" s="104" t="str">
        <f aca="false">IF(OR(C649&amp;D649="",N(E649)=0),"",IF(OR(O649="?",P649="?"),"⚠ akun tidak dikenal",IF(C649=D649,"⚠ debet = kredit","")))</f>
        <v/>
      </c>
    </row>
    <row r="650" customFormat="false" ht="15" hidden="false" customHeight="false" outlineLevel="0" collapsed="false">
      <c r="A650" s="82" t="s">
        <v>1552</v>
      </c>
      <c r="B650" s="101" t="n">
        <v>46155</v>
      </c>
      <c r="C650" s="82" t="s">
        <v>478</v>
      </c>
      <c r="D650" s="82" t="s">
        <v>461</v>
      </c>
      <c r="E650" s="91" t="n">
        <v>35000</v>
      </c>
      <c r="F650" s="82" t="s">
        <v>1553</v>
      </c>
      <c r="G650" s="82"/>
      <c r="H650" s="82"/>
      <c r="I650" s="82" t="s">
        <v>250</v>
      </c>
      <c r="J650" s="102" t="n">
        <f aca="false">IF(B650="","",MONTH(B650))</f>
        <v>5</v>
      </c>
      <c r="K650" s="102" t="n">
        <f aca="false">IF(B650="","",YEAR(B650))</f>
        <v>2026</v>
      </c>
      <c r="L650" s="102" t="str">
        <f aca="false">IF(N(E650)=0,"",IF(COUNTIFS(AK_NAMA,C650,AK_KAT,"KAS")+COUNTIFS(AK_NAMA,D650,AK_KAT,"KAS")&lt;&gt;1,"",IF(COUNTIFS(AK_NAMA,C650,AK_KAT,"KAS")=1,D650,C650)))</f>
        <v>Biaya Penyajian</v>
      </c>
      <c r="M650" s="103" t="n">
        <f aca="false">IF(L650="",0,IF(L650=D650,E650,-E650))</f>
        <v>-35000</v>
      </c>
      <c r="N650" s="102" t="str">
        <f aca="false">IF(L650="","",IFERROR(INDEX(AK_BARIS,MATCH(L650,AK_NAMA,0)),"?"))</f>
        <v>OP3</v>
      </c>
      <c r="O650" s="102" t="str">
        <f aca="false">IF(C650="","",IFERROR(INDEX(AK_KEL,MATCH(C650,AK_NAMA,0)),"?"))</f>
        <v>BEBAN</v>
      </c>
      <c r="P650" s="102" t="str">
        <f aca="false">IF(D650="","",IFERROR(INDEX(AK_KEL,MATCH(D650,AK_NAMA,0)),"?"))</f>
        <v>ASET</v>
      </c>
      <c r="Q650" s="102" t="n">
        <f aca="false">N(Q649)+IF(AND(N(E650)&lt;&gt;0,K650=TAHUN,N(J650)&lt;=BLN,OR(C650=BB_AKUN,D650=BB_AKUN)),1,0)</f>
        <v>416</v>
      </c>
      <c r="R650" s="104" t="str">
        <f aca="false">IF(OR(C650&amp;D650="",N(E650)=0),"",IF(OR(O650="?",P650="?"),"⚠ akun tidak dikenal",IF(C650=D650,"⚠ debet = kredit","")))</f>
        <v/>
      </c>
    </row>
    <row r="651" customFormat="false" ht="15" hidden="false" customHeight="false" outlineLevel="0" collapsed="false">
      <c r="A651" s="82" t="s">
        <v>1554</v>
      </c>
      <c r="B651" s="101" t="n">
        <v>46155</v>
      </c>
      <c r="C651" s="82" t="s">
        <v>672</v>
      </c>
      <c r="D651" s="82" t="s">
        <v>461</v>
      </c>
      <c r="E651" s="91" t="n">
        <v>1792100</v>
      </c>
      <c r="F651" s="82" t="s">
        <v>1555</v>
      </c>
      <c r="G651" s="82"/>
      <c r="H651" s="82"/>
      <c r="I651" s="82" t="s">
        <v>250</v>
      </c>
      <c r="J651" s="102" t="n">
        <f aca="false">IF(B651="","",MONTH(B651))</f>
        <v>5</v>
      </c>
      <c r="K651" s="102" t="n">
        <f aca="false">IF(B651="","",YEAR(B651))</f>
        <v>2026</v>
      </c>
      <c r="L651" s="102" t="str">
        <f aca="false">IF(N(E651)=0,"",IF(COUNTIFS(AK_NAMA,C651,AK_KAT,"KAS")+COUNTIFS(AK_NAMA,D651,AK_KAT,"KAS")&lt;&gt;1,"",IF(COUNTIFS(AK_NAMA,C651,AK_KAT,"KAS")=1,D651,C651)))</f>
        <v>Peralatan</v>
      </c>
      <c r="M651" s="103" t="n">
        <f aca="false">IF(L651="",0,IF(L651=D651,E651,-E651))</f>
        <v>-1792100</v>
      </c>
      <c r="N651" s="102" t="str">
        <f aca="false">IF(L651="","",IFERROR(INDEX(AK_BARIS,MATCH(L651,AK_NAMA,0)),"?"))</f>
        <v>IN1</v>
      </c>
      <c r="O651" s="102" t="str">
        <f aca="false">IF(C651="","",IFERROR(INDEX(AK_KEL,MATCH(C651,AK_NAMA,0)),"?"))</f>
        <v>ASET</v>
      </c>
      <c r="P651" s="102" t="str">
        <f aca="false">IF(D651="","",IFERROR(INDEX(AK_KEL,MATCH(D651,AK_NAMA,0)),"?"))</f>
        <v>ASET</v>
      </c>
      <c r="Q651" s="102" t="n">
        <f aca="false">N(Q650)+IF(AND(N(E651)&lt;&gt;0,K651=TAHUN,N(J651)&lt;=BLN,OR(C651=BB_AKUN,D651=BB_AKUN)),1,0)</f>
        <v>417</v>
      </c>
      <c r="R651" s="104" t="str">
        <f aca="false">IF(OR(C651&amp;D651="",N(E651)=0),"",IF(OR(O651="?",P651="?"),"⚠ akun tidak dikenal",IF(C651=D651,"⚠ debet = kredit","")))</f>
        <v/>
      </c>
    </row>
    <row r="652" customFormat="false" ht="15" hidden="false" customHeight="false" outlineLevel="0" collapsed="false">
      <c r="A652" s="82" t="s">
        <v>1556</v>
      </c>
      <c r="B652" s="101" t="n">
        <v>46155</v>
      </c>
      <c r="C652" s="82" t="s">
        <v>765</v>
      </c>
      <c r="D652" s="82" t="s">
        <v>461</v>
      </c>
      <c r="E652" s="91" t="n">
        <v>369822</v>
      </c>
      <c r="F652" s="82" t="s">
        <v>1557</v>
      </c>
      <c r="G652" s="82"/>
      <c r="H652" s="82" t="s">
        <v>767</v>
      </c>
      <c r="I652" s="82" t="s">
        <v>250</v>
      </c>
      <c r="J652" s="102" t="n">
        <f aca="false">IF(B652="","",MONTH(B652))</f>
        <v>5</v>
      </c>
      <c r="K652" s="102" t="n">
        <f aca="false">IF(B652="","",YEAR(B652))</f>
        <v>2026</v>
      </c>
      <c r="L652" s="102" t="str">
        <f aca="false">IF(N(E652)=0,"",IF(COUNTIFS(AK_NAMA,C652,AK_KAT,"KAS")+COUNTIFS(AK_NAMA,D652,AK_KAT,"KAS")&lt;&gt;1,"",IF(COUNTIFS(AK_NAMA,C652,AK_KAT,"KAS")=1,D652,C652)))</f>
        <v>Piutang Usaha Cafe</v>
      </c>
      <c r="M652" s="103" t="n">
        <f aca="false">IF(L652="",0,IF(L652=D652,E652,-E652))</f>
        <v>-369822</v>
      </c>
      <c r="N652" s="102" t="str">
        <f aca="false">IF(L652="","",IFERROR(INDEX(AK_BARIS,MATCH(L652,AK_NAMA,0)),"?"))</f>
        <v>OP1</v>
      </c>
      <c r="O652" s="102" t="str">
        <f aca="false">IF(C652="","",IFERROR(INDEX(AK_KEL,MATCH(C652,AK_NAMA,0)),"?"))</f>
        <v>ASET</v>
      </c>
      <c r="P652" s="102" t="str">
        <f aca="false">IF(D652="","",IFERROR(INDEX(AK_KEL,MATCH(D652,AK_NAMA,0)),"?"))</f>
        <v>ASET</v>
      </c>
      <c r="Q652" s="102" t="n">
        <f aca="false">N(Q651)+IF(AND(N(E652)&lt;&gt;0,K652=TAHUN,N(J652)&lt;=BLN,OR(C652=BB_AKUN,D652=BB_AKUN)),1,0)</f>
        <v>418</v>
      </c>
      <c r="R652" s="104" t="str">
        <f aca="false">IF(OR(C652&amp;D652="",N(E652)=0),"",IF(OR(O652="?",P652="?"),"⚠ akun tidak dikenal",IF(C652=D652,"⚠ debet = kredit","")))</f>
        <v/>
      </c>
    </row>
    <row r="653" customFormat="false" ht="15" hidden="false" customHeight="false" outlineLevel="0" collapsed="false">
      <c r="A653" s="82" t="s">
        <v>1558</v>
      </c>
      <c r="B653" s="101" t="n">
        <v>46156</v>
      </c>
      <c r="C653" s="82" t="s">
        <v>478</v>
      </c>
      <c r="D653" s="82" t="s">
        <v>461</v>
      </c>
      <c r="E653" s="91" t="n">
        <v>180000</v>
      </c>
      <c r="F653" s="82" t="s">
        <v>1559</v>
      </c>
      <c r="G653" s="82"/>
      <c r="H653" s="82"/>
      <c r="I653" s="82" t="s">
        <v>250</v>
      </c>
      <c r="J653" s="102" t="n">
        <f aca="false">IF(B653="","",MONTH(B653))</f>
        <v>5</v>
      </c>
      <c r="K653" s="102" t="n">
        <f aca="false">IF(B653="","",YEAR(B653))</f>
        <v>2026</v>
      </c>
      <c r="L653" s="102" t="str">
        <f aca="false">IF(N(E653)=0,"",IF(COUNTIFS(AK_NAMA,C653,AK_KAT,"KAS")+COUNTIFS(AK_NAMA,D653,AK_KAT,"KAS")&lt;&gt;1,"",IF(COUNTIFS(AK_NAMA,C653,AK_KAT,"KAS")=1,D653,C653)))</f>
        <v>Biaya Penyajian</v>
      </c>
      <c r="M653" s="103" t="n">
        <f aca="false">IF(L653="",0,IF(L653=D653,E653,-E653))</f>
        <v>-180000</v>
      </c>
      <c r="N653" s="102" t="str">
        <f aca="false">IF(L653="","",IFERROR(INDEX(AK_BARIS,MATCH(L653,AK_NAMA,0)),"?"))</f>
        <v>OP3</v>
      </c>
      <c r="O653" s="102" t="str">
        <f aca="false">IF(C653="","",IFERROR(INDEX(AK_KEL,MATCH(C653,AK_NAMA,0)),"?"))</f>
        <v>BEBAN</v>
      </c>
      <c r="P653" s="102" t="str">
        <f aca="false">IF(D653="","",IFERROR(INDEX(AK_KEL,MATCH(D653,AK_NAMA,0)),"?"))</f>
        <v>ASET</v>
      </c>
      <c r="Q653" s="102" t="n">
        <f aca="false">N(Q652)+IF(AND(N(E653)&lt;&gt;0,K653=TAHUN,N(J653)&lt;=BLN,OR(C653=BB_AKUN,D653=BB_AKUN)),1,0)</f>
        <v>419</v>
      </c>
      <c r="R653" s="104" t="str">
        <f aca="false">IF(OR(C653&amp;D653="",N(E653)=0),"",IF(OR(O653="?",P653="?"),"⚠ akun tidak dikenal",IF(C653=D653,"⚠ debet = kredit","")))</f>
        <v/>
      </c>
    </row>
    <row r="654" customFormat="false" ht="15" hidden="false" customHeight="false" outlineLevel="0" collapsed="false">
      <c r="A654" s="82" t="s">
        <v>1560</v>
      </c>
      <c r="B654" s="101" t="n">
        <v>46156</v>
      </c>
      <c r="C654" s="82" t="s">
        <v>470</v>
      </c>
      <c r="D654" s="82" t="s">
        <v>461</v>
      </c>
      <c r="E654" s="91" t="n">
        <v>741000</v>
      </c>
      <c r="F654" s="82" t="s">
        <v>1561</v>
      </c>
      <c r="G654" s="82"/>
      <c r="H654" s="82"/>
      <c r="I654" s="82" t="s">
        <v>250</v>
      </c>
      <c r="J654" s="102" t="n">
        <f aca="false">IF(B654="","",MONTH(B654))</f>
        <v>5</v>
      </c>
      <c r="K654" s="102" t="n">
        <f aca="false">IF(B654="","",YEAR(B654))</f>
        <v>2026</v>
      </c>
      <c r="L654" s="102" t="str">
        <f aca="false">IF(N(E654)=0,"",IF(COUNTIFS(AK_NAMA,C654,AK_KAT,"KAS")+COUNTIFS(AK_NAMA,D654,AK_KAT,"KAS")&lt;&gt;1,"",IF(COUNTIFS(AK_NAMA,C654,AK_KAT,"KAS")=1,D654,C654)))</f>
        <v>Biaya Bahan Baku</v>
      </c>
      <c r="M654" s="103" t="n">
        <f aca="false">IF(L654="",0,IF(L654=D654,E654,-E654))</f>
        <v>-741000</v>
      </c>
      <c r="N654" s="102" t="str">
        <f aca="false">IF(L654="","",IFERROR(INDEX(AK_BARIS,MATCH(L654,AK_NAMA,0)),"?"))</f>
        <v>OP3</v>
      </c>
      <c r="O654" s="102" t="str">
        <f aca="false">IF(C654="","",IFERROR(INDEX(AK_KEL,MATCH(C654,AK_NAMA,0)),"?"))</f>
        <v>BEBAN</v>
      </c>
      <c r="P654" s="102" t="str">
        <f aca="false">IF(D654="","",IFERROR(INDEX(AK_KEL,MATCH(D654,AK_NAMA,0)),"?"))</f>
        <v>ASET</v>
      </c>
      <c r="Q654" s="102" t="n">
        <f aca="false">N(Q653)+IF(AND(N(E654)&lt;&gt;0,K654=TAHUN,N(J654)&lt;=BLN,OR(C654=BB_AKUN,D654=BB_AKUN)),1,0)</f>
        <v>420</v>
      </c>
      <c r="R654" s="104" t="str">
        <f aca="false">IF(OR(C654&amp;D654="",N(E654)=0),"",IF(OR(O654="?",P654="?"),"⚠ akun tidak dikenal",IF(C654=D654,"⚠ debet = kredit","")))</f>
        <v/>
      </c>
    </row>
    <row r="655" customFormat="false" ht="15" hidden="false" customHeight="false" outlineLevel="0" collapsed="false">
      <c r="A655" s="82" t="s">
        <v>1562</v>
      </c>
      <c r="B655" s="101" t="n">
        <v>46157</v>
      </c>
      <c r="C655" s="82" t="s">
        <v>765</v>
      </c>
      <c r="D655" s="82" t="s">
        <v>461</v>
      </c>
      <c r="E655" s="91" t="n">
        <v>328000</v>
      </c>
      <c r="F655" s="82" t="s">
        <v>1563</v>
      </c>
      <c r="G655" s="82"/>
      <c r="H655" s="82" t="s">
        <v>767</v>
      </c>
      <c r="I655" s="82" t="s">
        <v>250</v>
      </c>
      <c r="J655" s="102" t="n">
        <f aca="false">IF(B655="","",MONTH(B655))</f>
        <v>5</v>
      </c>
      <c r="K655" s="102" t="n">
        <f aca="false">IF(B655="","",YEAR(B655))</f>
        <v>2026</v>
      </c>
      <c r="L655" s="102" t="str">
        <f aca="false">IF(N(E655)=0,"",IF(COUNTIFS(AK_NAMA,C655,AK_KAT,"KAS")+COUNTIFS(AK_NAMA,D655,AK_KAT,"KAS")&lt;&gt;1,"",IF(COUNTIFS(AK_NAMA,C655,AK_KAT,"KAS")=1,D655,C655)))</f>
        <v>Piutang Usaha Cafe</v>
      </c>
      <c r="M655" s="103" t="n">
        <f aca="false">IF(L655="",0,IF(L655=D655,E655,-E655))</f>
        <v>-328000</v>
      </c>
      <c r="N655" s="102" t="str">
        <f aca="false">IF(L655="","",IFERROR(INDEX(AK_BARIS,MATCH(L655,AK_NAMA,0)),"?"))</f>
        <v>OP1</v>
      </c>
      <c r="O655" s="102" t="str">
        <f aca="false">IF(C655="","",IFERROR(INDEX(AK_KEL,MATCH(C655,AK_NAMA,0)),"?"))</f>
        <v>ASET</v>
      </c>
      <c r="P655" s="102" t="str">
        <f aca="false">IF(D655="","",IFERROR(INDEX(AK_KEL,MATCH(D655,AK_NAMA,0)),"?"))</f>
        <v>ASET</v>
      </c>
      <c r="Q655" s="102" t="n">
        <f aca="false">N(Q654)+IF(AND(N(E655)&lt;&gt;0,K655=TAHUN,N(J655)&lt;=BLN,OR(C655=BB_AKUN,D655=BB_AKUN)),1,0)</f>
        <v>421</v>
      </c>
      <c r="R655" s="104" t="str">
        <f aca="false">IF(OR(C655&amp;D655="",N(E655)=0),"",IF(OR(O655="?",P655="?"),"⚠ akun tidak dikenal",IF(C655=D655,"⚠ debet = kredit","")))</f>
        <v/>
      </c>
    </row>
    <row r="656" customFormat="false" ht="15" hidden="false" customHeight="false" outlineLevel="0" collapsed="false">
      <c r="A656" s="82" t="s">
        <v>1564</v>
      </c>
      <c r="B656" s="101" t="n">
        <v>46157</v>
      </c>
      <c r="C656" s="82" t="s">
        <v>461</v>
      </c>
      <c r="D656" s="82" t="s">
        <v>475</v>
      </c>
      <c r="E656" s="91" t="n">
        <v>3000000</v>
      </c>
      <c r="F656" s="82" t="s">
        <v>1298</v>
      </c>
      <c r="G656" s="82"/>
      <c r="H656" s="82"/>
      <c r="I656" s="82" t="s">
        <v>250</v>
      </c>
      <c r="J656" s="102" t="n">
        <f aca="false">IF(B656="","",MONTH(B656))</f>
        <v>5</v>
      </c>
      <c r="K656" s="102" t="n">
        <f aca="false">IF(B656="","",YEAR(B656))</f>
        <v>2026</v>
      </c>
      <c r="L656" s="102" t="str">
        <f aca="false">IF(N(E656)=0,"",IF(COUNTIFS(AK_NAMA,C656,AK_KAT,"KAS")+COUNTIFS(AK_NAMA,D656,AK_KAT,"KAS")&lt;&gt;1,"",IF(COUNTIFS(AK_NAMA,C656,AK_KAT,"KAS")=1,D656,C656)))</f>
        <v/>
      </c>
      <c r="M656" s="103" t="n">
        <f aca="false">IF(L656="",0,IF(L656=D656,E656,-E656))</f>
        <v>0</v>
      </c>
      <c r="N656" s="102" t="str">
        <f aca="false">IF(L656="","",IFERROR(INDEX(AK_BARIS,MATCH(L656,AK_NAMA,0)),"?"))</f>
        <v/>
      </c>
      <c r="O656" s="102" t="str">
        <f aca="false">IF(C656="","",IFERROR(INDEX(AK_KEL,MATCH(C656,AK_NAMA,0)),"?"))</f>
        <v>ASET</v>
      </c>
      <c r="P656" s="102" t="str">
        <f aca="false">IF(D656="","",IFERROR(INDEX(AK_KEL,MATCH(D656,AK_NAMA,0)),"?"))</f>
        <v>ASET</v>
      </c>
      <c r="Q656" s="102" t="n">
        <f aca="false">N(Q655)+IF(AND(N(E656)&lt;&gt;0,K656=TAHUN,N(J656)&lt;=BLN,OR(C656=BB_AKUN,D656=BB_AKUN)),1,0)</f>
        <v>422</v>
      </c>
      <c r="R656" s="104" t="str">
        <f aca="false">IF(OR(C656&amp;D656="",N(E656)=0),"",IF(OR(O656="?",P656="?"),"⚠ akun tidak dikenal",IF(C656=D656,"⚠ debet = kredit","")))</f>
        <v/>
      </c>
    </row>
    <row r="657" customFormat="false" ht="15" hidden="false" customHeight="false" outlineLevel="0" collapsed="false">
      <c r="A657" s="82" t="s">
        <v>1565</v>
      </c>
      <c r="B657" s="101" t="n">
        <v>46157</v>
      </c>
      <c r="C657" s="82" t="s">
        <v>524</v>
      </c>
      <c r="D657" s="82" t="s">
        <v>461</v>
      </c>
      <c r="E657" s="91" t="n">
        <v>10000</v>
      </c>
      <c r="F657" s="82" t="s">
        <v>1118</v>
      </c>
      <c r="G657" s="82"/>
      <c r="H657" s="82"/>
      <c r="I657" s="82" t="s">
        <v>250</v>
      </c>
      <c r="J657" s="102" t="n">
        <f aca="false">IF(B657="","",MONTH(B657))</f>
        <v>5</v>
      </c>
      <c r="K657" s="102" t="n">
        <f aca="false">IF(B657="","",YEAR(B657))</f>
        <v>2026</v>
      </c>
      <c r="L657" s="102" t="str">
        <f aca="false">IF(N(E657)=0,"",IF(COUNTIFS(AK_NAMA,C657,AK_KAT,"KAS")+COUNTIFS(AK_NAMA,D657,AK_KAT,"KAS")&lt;&gt;1,"",IF(COUNTIFS(AK_NAMA,C657,AK_KAT,"KAS")=1,D657,C657)))</f>
        <v>Biaya Lainnya</v>
      </c>
      <c r="M657" s="103" t="n">
        <f aca="false">IF(L657="",0,IF(L657=D657,E657,-E657))</f>
        <v>-10000</v>
      </c>
      <c r="N657" s="102" t="str">
        <f aca="false">IF(L657="","",IFERROR(INDEX(AK_BARIS,MATCH(L657,AK_NAMA,0)),"?"))</f>
        <v>OP2</v>
      </c>
      <c r="O657" s="102" t="str">
        <f aca="false">IF(C657="","",IFERROR(INDEX(AK_KEL,MATCH(C657,AK_NAMA,0)),"?"))</f>
        <v>BEBAN</v>
      </c>
      <c r="P657" s="102" t="str">
        <f aca="false">IF(D657="","",IFERROR(INDEX(AK_KEL,MATCH(D657,AK_NAMA,0)),"?"))</f>
        <v>ASET</v>
      </c>
      <c r="Q657" s="102" t="n">
        <f aca="false">N(Q656)+IF(AND(N(E657)&lt;&gt;0,K657=TAHUN,N(J657)&lt;=BLN,OR(C657=BB_AKUN,D657=BB_AKUN)),1,0)</f>
        <v>423</v>
      </c>
      <c r="R657" s="104" t="str">
        <f aca="false">IF(OR(C657&amp;D657="",N(E657)=0),"",IF(OR(O657="?",P657="?"),"⚠ akun tidak dikenal",IF(C657=D657,"⚠ debet = kredit","")))</f>
        <v/>
      </c>
    </row>
    <row r="658" customFormat="false" ht="15" hidden="false" customHeight="false" outlineLevel="0" collapsed="false">
      <c r="A658" s="82" t="s">
        <v>1566</v>
      </c>
      <c r="B658" s="101" t="n">
        <v>46158</v>
      </c>
      <c r="C658" s="82" t="s">
        <v>461</v>
      </c>
      <c r="D658" s="82" t="s">
        <v>475</v>
      </c>
      <c r="E658" s="91" t="n">
        <v>50000</v>
      </c>
      <c r="F658" s="82" t="s">
        <v>1538</v>
      </c>
      <c r="G658" s="82"/>
      <c r="H658" s="82"/>
      <c r="I658" s="82" t="s">
        <v>250</v>
      </c>
      <c r="J658" s="102" t="n">
        <f aca="false">IF(B658="","",MONTH(B658))</f>
        <v>5</v>
      </c>
      <c r="K658" s="102" t="n">
        <f aca="false">IF(B658="","",YEAR(B658))</f>
        <v>2026</v>
      </c>
      <c r="L658" s="102" t="str">
        <f aca="false">IF(N(E658)=0,"",IF(COUNTIFS(AK_NAMA,C658,AK_KAT,"KAS")+COUNTIFS(AK_NAMA,D658,AK_KAT,"KAS")&lt;&gt;1,"",IF(COUNTIFS(AK_NAMA,C658,AK_KAT,"KAS")=1,D658,C658)))</f>
        <v/>
      </c>
      <c r="M658" s="103" t="n">
        <f aca="false">IF(L658="",0,IF(L658=D658,E658,-E658))</f>
        <v>0</v>
      </c>
      <c r="N658" s="102" t="str">
        <f aca="false">IF(L658="","",IFERROR(INDEX(AK_BARIS,MATCH(L658,AK_NAMA,0)),"?"))</f>
        <v/>
      </c>
      <c r="O658" s="102" t="str">
        <f aca="false">IF(C658="","",IFERROR(INDEX(AK_KEL,MATCH(C658,AK_NAMA,0)),"?"))</f>
        <v>ASET</v>
      </c>
      <c r="P658" s="102" t="str">
        <f aca="false">IF(D658="","",IFERROR(INDEX(AK_KEL,MATCH(D658,AK_NAMA,0)),"?"))</f>
        <v>ASET</v>
      </c>
      <c r="Q658" s="102" t="n">
        <f aca="false">N(Q657)+IF(AND(N(E658)&lt;&gt;0,K658=TAHUN,N(J658)&lt;=BLN,OR(C658=BB_AKUN,D658=BB_AKUN)),1,0)</f>
        <v>424</v>
      </c>
      <c r="R658" s="104" t="str">
        <f aca="false">IF(OR(C658&amp;D658="",N(E658)=0),"",IF(OR(O658="?",P658="?"),"⚠ akun tidak dikenal",IF(C658=D658,"⚠ debet = kredit","")))</f>
        <v/>
      </c>
    </row>
    <row r="659" customFormat="false" ht="15" hidden="false" customHeight="false" outlineLevel="0" collapsed="false">
      <c r="A659" s="82" t="s">
        <v>1567</v>
      </c>
      <c r="B659" s="101" t="n">
        <v>46159</v>
      </c>
      <c r="C659" s="82" t="s">
        <v>461</v>
      </c>
      <c r="D659" s="82" t="s">
        <v>475</v>
      </c>
      <c r="E659" s="91" t="n">
        <v>500000</v>
      </c>
      <c r="F659" s="82" t="s">
        <v>1538</v>
      </c>
      <c r="G659" s="82"/>
      <c r="H659" s="82"/>
      <c r="I659" s="82" t="s">
        <v>250</v>
      </c>
      <c r="J659" s="102" t="n">
        <f aca="false">IF(B659="","",MONTH(B659))</f>
        <v>5</v>
      </c>
      <c r="K659" s="102" t="n">
        <f aca="false">IF(B659="","",YEAR(B659))</f>
        <v>2026</v>
      </c>
      <c r="L659" s="102" t="str">
        <f aca="false">IF(N(E659)=0,"",IF(COUNTIFS(AK_NAMA,C659,AK_KAT,"KAS")+COUNTIFS(AK_NAMA,D659,AK_KAT,"KAS")&lt;&gt;1,"",IF(COUNTIFS(AK_NAMA,C659,AK_KAT,"KAS")=1,D659,C659)))</f>
        <v/>
      </c>
      <c r="M659" s="103" t="n">
        <f aca="false">IF(L659="",0,IF(L659=D659,E659,-E659))</f>
        <v>0</v>
      </c>
      <c r="N659" s="102" t="str">
        <f aca="false">IF(L659="","",IFERROR(INDEX(AK_BARIS,MATCH(L659,AK_NAMA,0)),"?"))</f>
        <v/>
      </c>
      <c r="O659" s="102" t="str">
        <f aca="false">IF(C659="","",IFERROR(INDEX(AK_KEL,MATCH(C659,AK_NAMA,0)),"?"))</f>
        <v>ASET</v>
      </c>
      <c r="P659" s="102" t="str">
        <f aca="false">IF(D659="","",IFERROR(INDEX(AK_KEL,MATCH(D659,AK_NAMA,0)),"?"))</f>
        <v>ASET</v>
      </c>
      <c r="Q659" s="102" t="n">
        <f aca="false">N(Q658)+IF(AND(N(E659)&lt;&gt;0,K659=TAHUN,N(J659)&lt;=BLN,OR(C659=BB_AKUN,D659=BB_AKUN)),1,0)</f>
        <v>425</v>
      </c>
      <c r="R659" s="104" t="str">
        <f aca="false">IF(OR(C659&amp;D659="",N(E659)=0),"",IF(OR(O659="?",P659="?"),"⚠ akun tidak dikenal",IF(C659=D659,"⚠ debet = kredit","")))</f>
        <v/>
      </c>
    </row>
    <row r="660" customFormat="false" ht="15" hidden="false" customHeight="false" outlineLevel="0" collapsed="false">
      <c r="A660" s="82" t="s">
        <v>1568</v>
      </c>
      <c r="B660" s="101" t="n">
        <v>46160</v>
      </c>
      <c r="C660" s="82" t="s">
        <v>486</v>
      </c>
      <c r="D660" s="82" t="s">
        <v>461</v>
      </c>
      <c r="E660" s="91" t="n">
        <v>2500000</v>
      </c>
      <c r="F660" s="82" t="s">
        <v>1569</v>
      </c>
      <c r="G660" s="82"/>
      <c r="H660" s="82"/>
      <c r="I660" s="82" t="s">
        <v>250</v>
      </c>
      <c r="J660" s="102" t="n">
        <f aca="false">IF(B660="","",MONTH(B660))</f>
        <v>5</v>
      </c>
      <c r="K660" s="102" t="n">
        <f aca="false">IF(B660="","",YEAR(B660))</f>
        <v>2026</v>
      </c>
      <c r="L660" s="102" t="str">
        <f aca="false">IF(N(E660)=0,"",IF(COUNTIFS(AK_NAMA,C660,AK_KAT,"KAS")+COUNTIFS(AK_NAMA,D660,AK_KAT,"KAS")&lt;&gt;1,"",IF(COUNTIFS(AK_NAMA,C660,AK_KAT,"KAS")=1,D660,C660)))</f>
        <v/>
      </c>
      <c r="M660" s="103" t="n">
        <f aca="false">IF(L660="",0,IF(L660=D660,E660,-E660))</f>
        <v>0</v>
      </c>
      <c r="N660" s="102" t="str">
        <f aca="false">IF(L660="","",IFERROR(INDEX(AK_BARIS,MATCH(L660,AK_NAMA,0)),"?"))</f>
        <v/>
      </c>
      <c r="O660" s="102" t="str">
        <f aca="false">IF(C660="","",IFERROR(INDEX(AK_KEL,MATCH(C660,AK_NAMA,0)),"?"))</f>
        <v>ASET</v>
      </c>
      <c r="P660" s="102" t="str">
        <f aca="false">IF(D660="","",IFERROR(INDEX(AK_KEL,MATCH(D660,AK_NAMA,0)),"?"))</f>
        <v>ASET</v>
      </c>
      <c r="Q660" s="102" t="n">
        <f aca="false">N(Q659)+IF(AND(N(E660)&lt;&gt;0,K660=TAHUN,N(J660)&lt;=BLN,OR(C660=BB_AKUN,D660=BB_AKUN)),1,0)</f>
        <v>426</v>
      </c>
      <c r="R660" s="104" t="str">
        <f aca="false">IF(OR(C660&amp;D660="",N(E660)=0),"",IF(OR(O660="?",P660="?"),"⚠ akun tidak dikenal",IF(C660=D660,"⚠ debet = kredit","")))</f>
        <v/>
      </c>
    </row>
    <row r="661" customFormat="false" ht="15" hidden="false" customHeight="false" outlineLevel="0" collapsed="false">
      <c r="A661" s="82" t="s">
        <v>1570</v>
      </c>
      <c r="B661" s="101" t="n">
        <v>46160</v>
      </c>
      <c r="C661" s="82" t="s">
        <v>524</v>
      </c>
      <c r="D661" s="82" t="s">
        <v>461</v>
      </c>
      <c r="E661" s="91" t="n">
        <v>345</v>
      </c>
      <c r="F661" s="82" t="s">
        <v>525</v>
      </c>
      <c r="G661" s="82"/>
      <c r="H661" s="82"/>
      <c r="I661" s="82" t="s">
        <v>250</v>
      </c>
      <c r="J661" s="102" t="n">
        <f aca="false">IF(B661="","",MONTH(B661))</f>
        <v>5</v>
      </c>
      <c r="K661" s="102" t="n">
        <f aca="false">IF(B661="","",YEAR(B661))</f>
        <v>2026</v>
      </c>
      <c r="L661" s="102" t="str">
        <f aca="false">IF(N(E661)=0,"",IF(COUNTIFS(AK_NAMA,C661,AK_KAT,"KAS")+COUNTIFS(AK_NAMA,D661,AK_KAT,"KAS")&lt;&gt;1,"",IF(COUNTIFS(AK_NAMA,C661,AK_KAT,"KAS")=1,D661,C661)))</f>
        <v>Biaya Lainnya</v>
      </c>
      <c r="M661" s="103" t="n">
        <f aca="false">IF(L661="",0,IF(L661=D661,E661,-E661))</f>
        <v>-345</v>
      </c>
      <c r="N661" s="102" t="str">
        <f aca="false">IF(L661="","",IFERROR(INDEX(AK_BARIS,MATCH(L661,AK_NAMA,0)),"?"))</f>
        <v>OP2</v>
      </c>
      <c r="O661" s="102" t="str">
        <f aca="false">IF(C661="","",IFERROR(INDEX(AK_KEL,MATCH(C661,AK_NAMA,0)),"?"))</f>
        <v>BEBAN</v>
      </c>
      <c r="P661" s="102" t="str">
        <f aca="false">IF(D661="","",IFERROR(INDEX(AK_KEL,MATCH(D661,AK_NAMA,0)),"?"))</f>
        <v>ASET</v>
      </c>
      <c r="Q661" s="102" t="n">
        <f aca="false">N(Q660)+IF(AND(N(E661)&lt;&gt;0,K661=TAHUN,N(J661)&lt;=BLN,OR(C661=BB_AKUN,D661=BB_AKUN)),1,0)</f>
        <v>427</v>
      </c>
      <c r="R661" s="104" t="str">
        <f aca="false">IF(OR(C661&amp;D661="",N(E661)=0),"",IF(OR(O661="?",P661="?"),"⚠ akun tidak dikenal",IF(C661=D661,"⚠ debet = kredit","")))</f>
        <v/>
      </c>
    </row>
    <row r="662" customFormat="false" ht="15" hidden="false" customHeight="false" outlineLevel="0" collapsed="false">
      <c r="A662" s="82" t="s">
        <v>1571</v>
      </c>
      <c r="B662" s="101" t="n">
        <v>46160</v>
      </c>
      <c r="C662" s="82" t="s">
        <v>486</v>
      </c>
      <c r="D662" s="82" t="s">
        <v>461</v>
      </c>
      <c r="E662" s="91" t="n">
        <v>3500000</v>
      </c>
      <c r="F662" s="82" t="s">
        <v>1569</v>
      </c>
      <c r="G662" s="82"/>
      <c r="H662" s="82"/>
      <c r="I662" s="82" t="s">
        <v>250</v>
      </c>
      <c r="J662" s="102" t="n">
        <f aca="false">IF(B662="","",MONTH(B662))</f>
        <v>5</v>
      </c>
      <c r="K662" s="102" t="n">
        <f aca="false">IF(B662="","",YEAR(B662))</f>
        <v>2026</v>
      </c>
      <c r="L662" s="102" t="str">
        <f aca="false">IF(N(E662)=0,"",IF(COUNTIFS(AK_NAMA,C662,AK_KAT,"KAS")+COUNTIFS(AK_NAMA,D662,AK_KAT,"KAS")&lt;&gt;1,"",IF(COUNTIFS(AK_NAMA,C662,AK_KAT,"KAS")=1,D662,C662)))</f>
        <v/>
      </c>
      <c r="M662" s="103" t="n">
        <f aca="false">IF(L662="",0,IF(L662=D662,E662,-E662))</f>
        <v>0</v>
      </c>
      <c r="N662" s="102" t="str">
        <f aca="false">IF(L662="","",IFERROR(INDEX(AK_BARIS,MATCH(L662,AK_NAMA,0)),"?"))</f>
        <v/>
      </c>
      <c r="O662" s="102" t="str">
        <f aca="false">IF(C662="","",IFERROR(INDEX(AK_KEL,MATCH(C662,AK_NAMA,0)),"?"))</f>
        <v>ASET</v>
      </c>
      <c r="P662" s="102" t="str">
        <f aca="false">IF(D662="","",IFERROR(INDEX(AK_KEL,MATCH(D662,AK_NAMA,0)),"?"))</f>
        <v>ASET</v>
      </c>
      <c r="Q662" s="102" t="n">
        <f aca="false">N(Q661)+IF(AND(N(E662)&lt;&gt;0,K662=TAHUN,N(J662)&lt;=BLN,OR(C662=BB_AKUN,D662=BB_AKUN)),1,0)</f>
        <v>428</v>
      </c>
      <c r="R662" s="104" t="str">
        <f aca="false">IF(OR(C662&amp;D662="",N(E662)=0),"",IF(OR(O662="?",P662="?"),"⚠ akun tidak dikenal",IF(C662=D662,"⚠ debet = kredit","")))</f>
        <v/>
      </c>
    </row>
    <row r="663" customFormat="false" ht="15" hidden="false" customHeight="false" outlineLevel="0" collapsed="false">
      <c r="A663" s="82" t="s">
        <v>1572</v>
      </c>
      <c r="B663" s="101" t="n">
        <v>46160</v>
      </c>
      <c r="C663" s="82" t="s">
        <v>524</v>
      </c>
      <c r="D663" s="82" t="s">
        <v>461</v>
      </c>
      <c r="E663" s="91" t="n">
        <v>2325</v>
      </c>
      <c r="F663" s="82" t="s">
        <v>525</v>
      </c>
      <c r="G663" s="82"/>
      <c r="H663" s="82"/>
      <c r="I663" s="82" t="s">
        <v>250</v>
      </c>
      <c r="J663" s="102" t="n">
        <f aca="false">IF(B663="","",MONTH(B663))</f>
        <v>5</v>
      </c>
      <c r="K663" s="102" t="n">
        <f aca="false">IF(B663="","",YEAR(B663))</f>
        <v>2026</v>
      </c>
      <c r="L663" s="102" t="str">
        <f aca="false">IF(N(E663)=0,"",IF(COUNTIFS(AK_NAMA,C663,AK_KAT,"KAS")+COUNTIFS(AK_NAMA,D663,AK_KAT,"KAS")&lt;&gt;1,"",IF(COUNTIFS(AK_NAMA,C663,AK_KAT,"KAS")=1,D663,C663)))</f>
        <v>Biaya Lainnya</v>
      </c>
      <c r="M663" s="103" t="n">
        <f aca="false">IF(L663="",0,IF(L663=D663,E663,-E663))</f>
        <v>-2325</v>
      </c>
      <c r="N663" s="102" t="str">
        <f aca="false">IF(L663="","",IFERROR(INDEX(AK_BARIS,MATCH(L663,AK_NAMA,0)),"?"))</f>
        <v>OP2</v>
      </c>
      <c r="O663" s="102" t="str">
        <f aca="false">IF(C663="","",IFERROR(INDEX(AK_KEL,MATCH(C663,AK_NAMA,0)),"?"))</f>
        <v>BEBAN</v>
      </c>
      <c r="P663" s="102" t="str">
        <f aca="false">IF(D663="","",IFERROR(INDEX(AK_KEL,MATCH(D663,AK_NAMA,0)),"?"))</f>
        <v>ASET</v>
      </c>
      <c r="Q663" s="102" t="n">
        <f aca="false">N(Q662)+IF(AND(N(E663)&lt;&gt;0,K663=TAHUN,N(J663)&lt;=BLN,OR(C663=BB_AKUN,D663=BB_AKUN)),1,0)</f>
        <v>429</v>
      </c>
      <c r="R663" s="104" t="str">
        <f aca="false">IF(OR(C663&amp;D663="",N(E663)=0),"",IF(OR(O663="?",P663="?"),"⚠ akun tidak dikenal",IF(C663=D663,"⚠ debet = kredit","")))</f>
        <v/>
      </c>
    </row>
    <row r="664" customFormat="false" ht="15" hidden="false" customHeight="false" outlineLevel="0" collapsed="false">
      <c r="A664" s="82" t="s">
        <v>1573</v>
      </c>
      <c r="B664" s="101" t="n">
        <v>46160</v>
      </c>
      <c r="C664" s="82" t="s">
        <v>475</v>
      </c>
      <c r="D664" s="82" t="s">
        <v>486</v>
      </c>
      <c r="E664" s="91" t="n">
        <v>51200</v>
      </c>
      <c r="F664" s="82" t="s">
        <v>1142</v>
      </c>
      <c r="G664" s="82"/>
      <c r="H664" s="82"/>
      <c r="I664" s="82" t="s">
        <v>250</v>
      </c>
      <c r="J664" s="102" t="n">
        <f aca="false">IF(B664="","",MONTH(B664))</f>
        <v>5</v>
      </c>
      <c r="K664" s="102" t="n">
        <f aca="false">IF(B664="","",YEAR(B664))</f>
        <v>2026</v>
      </c>
      <c r="L664" s="102" t="str">
        <f aca="false">IF(N(E664)=0,"",IF(COUNTIFS(AK_NAMA,C664,AK_KAT,"KAS")+COUNTIFS(AK_NAMA,D664,AK_KAT,"KAS")&lt;&gt;1,"",IF(COUNTIFS(AK_NAMA,C664,AK_KAT,"KAS")=1,D664,C664)))</f>
        <v/>
      </c>
      <c r="M664" s="103" t="n">
        <f aca="false">IF(L664="",0,IF(L664=D664,E664,-E664))</f>
        <v>0</v>
      </c>
      <c r="N664" s="102" t="str">
        <f aca="false">IF(L664="","",IFERROR(INDEX(AK_BARIS,MATCH(L664,AK_NAMA,0)),"?"))</f>
        <v/>
      </c>
      <c r="O664" s="102" t="str">
        <f aca="false">IF(C664="","",IFERROR(INDEX(AK_KEL,MATCH(C664,AK_NAMA,0)),"?"))</f>
        <v>ASET</v>
      </c>
      <c r="P664" s="102" t="str">
        <f aca="false">IF(D664="","",IFERROR(INDEX(AK_KEL,MATCH(D664,AK_NAMA,0)),"?"))</f>
        <v>ASET</v>
      </c>
      <c r="Q664" s="102" t="n">
        <f aca="false">N(Q663)+IF(AND(N(E664)&lt;&gt;0,K664=TAHUN,N(J664)&lt;=BLN,OR(C664=BB_AKUN,D664=BB_AKUN)),1,0)</f>
        <v>429</v>
      </c>
      <c r="R664" s="104" t="str">
        <f aca="false">IF(OR(C664&amp;D664="",N(E664)=0),"",IF(OR(O664="?",P664="?"),"⚠ akun tidak dikenal",IF(C664=D664,"⚠ debet = kredit","")))</f>
        <v/>
      </c>
    </row>
    <row r="665" customFormat="false" ht="15" hidden="false" customHeight="false" outlineLevel="0" collapsed="false">
      <c r="A665" s="82" t="s">
        <v>1574</v>
      </c>
      <c r="B665" s="101" t="n">
        <v>46160</v>
      </c>
      <c r="C665" s="82" t="s">
        <v>486</v>
      </c>
      <c r="D665" s="82" t="s">
        <v>475</v>
      </c>
      <c r="E665" s="91" t="n">
        <v>1000000</v>
      </c>
      <c r="F665" s="82" t="s">
        <v>1575</v>
      </c>
      <c r="G665" s="82"/>
      <c r="H665" s="82"/>
      <c r="I665" s="82" t="s">
        <v>250</v>
      </c>
      <c r="J665" s="102" t="n">
        <f aca="false">IF(B665="","",MONTH(B665))</f>
        <v>5</v>
      </c>
      <c r="K665" s="102" t="n">
        <f aca="false">IF(B665="","",YEAR(B665))</f>
        <v>2026</v>
      </c>
      <c r="L665" s="102" t="str">
        <f aca="false">IF(N(E665)=0,"",IF(COUNTIFS(AK_NAMA,C665,AK_KAT,"KAS")+COUNTIFS(AK_NAMA,D665,AK_KAT,"KAS")&lt;&gt;1,"",IF(COUNTIFS(AK_NAMA,C665,AK_KAT,"KAS")=1,D665,C665)))</f>
        <v/>
      </c>
      <c r="M665" s="103" t="n">
        <f aca="false">IF(L665="",0,IF(L665=D665,E665,-E665))</f>
        <v>0</v>
      </c>
      <c r="N665" s="102" t="str">
        <f aca="false">IF(L665="","",IFERROR(INDEX(AK_BARIS,MATCH(L665,AK_NAMA,0)),"?"))</f>
        <v/>
      </c>
      <c r="O665" s="102" t="str">
        <f aca="false">IF(C665="","",IFERROR(INDEX(AK_KEL,MATCH(C665,AK_NAMA,0)),"?"))</f>
        <v>ASET</v>
      </c>
      <c r="P665" s="102" t="str">
        <f aca="false">IF(D665="","",IFERROR(INDEX(AK_KEL,MATCH(D665,AK_NAMA,0)),"?"))</f>
        <v>ASET</v>
      </c>
      <c r="Q665" s="102" t="n">
        <f aca="false">N(Q664)+IF(AND(N(E665)&lt;&gt;0,K665=TAHUN,N(J665)&lt;=BLN,OR(C665=BB_AKUN,D665=BB_AKUN)),1,0)</f>
        <v>429</v>
      </c>
      <c r="R665" s="104" t="str">
        <f aca="false">IF(OR(C665&amp;D665="",N(E665)=0),"",IF(OR(O665="?",P665="?"),"⚠ akun tidak dikenal",IF(C665=D665,"⚠ debet = kredit","")))</f>
        <v/>
      </c>
    </row>
    <row r="666" customFormat="false" ht="15" hidden="false" customHeight="false" outlineLevel="0" collapsed="false">
      <c r="A666" s="82" t="s">
        <v>1576</v>
      </c>
      <c r="B666" s="101" t="n">
        <v>46160</v>
      </c>
      <c r="C666" s="82" t="s">
        <v>470</v>
      </c>
      <c r="D666" s="82" t="s">
        <v>486</v>
      </c>
      <c r="E666" s="91" t="n">
        <v>312000</v>
      </c>
      <c r="F666" s="82" t="s">
        <v>935</v>
      </c>
      <c r="G666" s="82"/>
      <c r="H666" s="82"/>
      <c r="I666" s="82" t="s">
        <v>250</v>
      </c>
      <c r="J666" s="102" t="n">
        <f aca="false">IF(B666="","",MONTH(B666))</f>
        <v>5</v>
      </c>
      <c r="K666" s="102" t="n">
        <f aca="false">IF(B666="","",YEAR(B666))</f>
        <v>2026</v>
      </c>
      <c r="L666" s="102" t="str">
        <f aca="false">IF(N(E666)=0,"",IF(COUNTIFS(AK_NAMA,C666,AK_KAT,"KAS")+COUNTIFS(AK_NAMA,D666,AK_KAT,"KAS")&lt;&gt;1,"",IF(COUNTIFS(AK_NAMA,C666,AK_KAT,"KAS")=1,D666,C666)))</f>
        <v>Biaya Bahan Baku</v>
      </c>
      <c r="M666" s="103" t="n">
        <f aca="false">IF(L666="",0,IF(L666=D666,E666,-E666))</f>
        <v>-312000</v>
      </c>
      <c r="N666" s="102" t="str">
        <f aca="false">IF(L666="","",IFERROR(INDEX(AK_BARIS,MATCH(L666,AK_NAMA,0)),"?"))</f>
        <v>OP3</v>
      </c>
      <c r="O666" s="102" t="str">
        <f aca="false">IF(C666="","",IFERROR(INDEX(AK_KEL,MATCH(C666,AK_NAMA,0)),"?"))</f>
        <v>BEBAN</v>
      </c>
      <c r="P666" s="102" t="str">
        <f aca="false">IF(D666="","",IFERROR(INDEX(AK_KEL,MATCH(D666,AK_NAMA,0)),"?"))</f>
        <v>ASET</v>
      </c>
      <c r="Q666" s="102" t="n">
        <f aca="false">N(Q665)+IF(AND(N(E666)&lt;&gt;0,K666=TAHUN,N(J666)&lt;=BLN,OR(C666=BB_AKUN,D666=BB_AKUN)),1,0)</f>
        <v>429</v>
      </c>
      <c r="R666" s="104" t="str">
        <f aca="false">IF(OR(C666&amp;D666="",N(E666)=0),"",IF(OR(O666="?",P666="?"),"⚠ akun tidak dikenal",IF(C666=D666,"⚠ debet = kredit","")))</f>
        <v/>
      </c>
    </row>
    <row r="667" customFormat="false" ht="15" hidden="false" customHeight="false" outlineLevel="0" collapsed="false">
      <c r="A667" s="82" t="s">
        <v>1577</v>
      </c>
      <c r="B667" s="101" t="n">
        <v>46161</v>
      </c>
      <c r="C667" s="82" t="s">
        <v>478</v>
      </c>
      <c r="D667" s="82" t="s">
        <v>486</v>
      </c>
      <c r="E667" s="91" t="n">
        <v>158800</v>
      </c>
      <c r="F667" s="82" t="s">
        <v>937</v>
      </c>
      <c r="G667" s="82"/>
      <c r="H667" s="82"/>
      <c r="I667" s="82" t="s">
        <v>250</v>
      </c>
      <c r="J667" s="102" t="n">
        <f aca="false">IF(B667="","",MONTH(B667))</f>
        <v>5</v>
      </c>
      <c r="K667" s="102" t="n">
        <f aca="false">IF(B667="","",YEAR(B667))</f>
        <v>2026</v>
      </c>
      <c r="L667" s="102" t="str">
        <f aca="false">IF(N(E667)=0,"",IF(COUNTIFS(AK_NAMA,C667,AK_KAT,"KAS")+COUNTIFS(AK_NAMA,D667,AK_KAT,"KAS")&lt;&gt;1,"",IF(COUNTIFS(AK_NAMA,C667,AK_KAT,"KAS")=1,D667,C667)))</f>
        <v>Biaya Penyajian</v>
      </c>
      <c r="M667" s="103" t="n">
        <f aca="false">IF(L667="",0,IF(L667=D667,E667,-E667))</f>
        <v>-158800</v>
      </c>
      <c r="N667" s="102" t="str">
        <f aca="false">IF(L667="","",IFERROR(INDEX(AK_BARIS,MATCH(L667,AK_NAMA,0)),"?"))</f>
        <v>OP3</v>
      </c>
      <c r="O667" s="102" t="str">
        <f aca="false">IF(C667="","",IFERROR(INDEX(AK_KEL,MATCH(C667,AK_NAMA,0)),"?"))</f>
        <v>BEBAN</v>
      </c>
      <c r="P667" s="102" t="str">
        <f aca="false">IF(D667="","",IFERROR(INDEX(AK_KEL,MATCH(D667,AK_NAMA,0)),"?"))</f>
        <v>ASET</v>
      </c>
      <c r="Q667" s="102" t="n">
        <f aca="false">N(Q666)+IF(AND(N(E667)&lt;&gt;0,K667=TAHUN,N(J667)&lt;=BLN,OR(C667=BB_AKUN,D667=BB_AKUN)),1,0)</f>
        <v>429</v>
      </c>
      <c r="R667" s="104" t="str">
        <f aca="false">IF(OR(C667&amp;D667="",N(E667)=0),"",IF(OR(O667="?",P667="?"),"⚠ akun tidak dikenal",IF(C667=D667,"⚠ debet = kredit","")))</f>
        <v/>
      </c>
    </row>
    <row r="668" customFormat="false" ht="15" hidden="false" customHeight="false" outlineLevel="0" collapsed="false">
      <c r="A668" s="82" t="s">
        <v>1578</v>
      </c>
      <c r="B668" s="101" t="n">
        <v>46161</v>
      </c>
      <c r="C668" s="82" t="s">
        <v>470</v>
      </c>
      <c r="D668" s="82" t="s">
        <v>461</v>
      </c>
      <c r="E668" s="91" t="n">
        <v>334833</v>
      </c>
      <c r="F668" s="82" t="s">
        <v>1579</v>
      </c>
      <c r="G668" s="82"/>
      <c r="H668" s="82"/>
      <c r="I668" s="82" t="s">
        <v>250</v>
      </c>
      <c r="J668" s="102" t="n">
        <f aca="false">IF(B668="","",MONTH(B668))</f>
        <v>5</v>
      </c>
      <c r="K668" s="102" t="n">
        <f aca="false">IF(B668="","",YEAR(B668))</f>
        <v>2026</v>
      </c>
      <c r="L668" s="102" t="str">
        <f aca="false">IF(N(E668)=0,"",IF(COUNTIFS(AK_NAMA,C668,AK_KAT,"KAS")+COUNTIFS(AK_NAMA,D668,AK_KAT,"KAS")&lt;&gt;1,"",IF(COUNTIFS(AK_NAMA,C668,AK_KAT,"KAS")=1,D668,C668)))</f>
        <v>Biaya Bahan Baku</v>
      </c>
      <c r="M668" s="103" t="n">
        <f aca="false">IF(L668="",0,IF(L668=D668,E668,-E668))</f>
        <v>-334833</v>
      </c>
      <c r="N668" s="102" t="str">
        <f aca="false">IF(L668="","",IFERROR(INDEX(AK_BARIS,MATCH(L668,AK_NAMA,0)),"?"))</f>
        <v>OP3</v>
      </c>
      <c r="O668" s="102" t="str">
        <f aca="false">IF(C668="","",IFERROR(INDEX(AK_KEL,MATCH(C668,AK_NAMA,0)),"?"))</f>
        <v>BEBAN</v>
      </c>
      <c r="P668" s="102" t="str">
        <f aca="false">IF(D668="","",IFERROR(INDEX(AK_KEL,MATCH(D668,AK_NAMA,0)),"?"))</f>
        <v>ASET</v>
      </c>
      <c r="Q668" s="102" t="n">
        <f aca="false">N(Q667)+IF(AND(N(E668)&lt;&gt;0,K668=TAHUN,N(J668)&lt;=BLN,OR(C668=BB_AKUN,D668=BB_AKUN)),1,0)</f>
        <v>430</v>
      </c>
      <c r="R668" s="104" t="str">
        <f aca="false">IF(OR(C668&amp;D668="",N(E668)=0),"",IF(OR(O668="?",P668="?"),"⚠ akun tidak dikenal",IF(C668=D668,"⚠ debet = kredit","")))</f>
        <v/>
      </c>
    </row>
    <row r="669" customFormat="false" ht="15" hidden="false" customHeight="false" outlineLevel="0" collapsed="false">
      <c r="A669" s="82" t="s">
        <v>1580</v>
      </c>
      <c r="B669" s="101" t="n">
        <v>46161</v>
      </c>
      <c r="C669" s="82" t="s">
        <v>470</v>
      </c>
      <c r="D669" s="82" t="s">
        <v>461</v>
      </c>
      <c r="E669" s="91" t="n">
        <v>3194000</v>
      </c>
      <c r="F669" s="82" t="s">
        <v>1581</v>
      </c>
      <c r="G669" s="82"/>
      <c r="H669" s="82"/>
      <c r="I669" s="82" t="s">
        <v>250</v>
      </c>
      <c r="J669" s="102" t="n">
        <f aca="false">IF(B669="","",MONTH(B669))</f>
        <v>5</v>
      </c>
      <c r="K669" s="102" t="n">
        <f aca="false">IF(B669="","",YEAR(B669))</f>
        <v>2026</v>
      </c>
      <c r="L669" s="102" t="str">
        <f aca="false">IF(N(E669)=0,"",IF(COUNTIFS(AK_NAMA,C669,AK_KAT,"KAS")+COUNTIFS(AK_NAMA,D669,AK_KAT,"KAS")&lt;&gt;1,"",IF(COUNTIFS(AK_NAMA,C669,AK_KAT,"KAS")=1,D669,C669)))</f>
        <v>Biaya Bahan Baku</v>
      </c>
      <c r="M669" s="103" t="n">
        <f aca="false">IF(L669="",0,IF(L669=D669,E669,-E669))</f>
        <v>-3194000</v>
      </c>
      <c r="N669" s="102" t="str">
        <f aca="false">IF(L669="","",IFERROR(INDEX(AK_BARIS,MATCH(L669,AK_NAMA,0)),"?"))</f>
        <v>OP3</v>
      </c>
      <c r="O669" s="102" t="str">
        <f aca="false">IF(C669="","",IFERROR(INDEX(AK_KEL,MATCH(C669,AK_NAMA,0)),"?"))</f>
        <v>BEBAN</v>
      </c>
      <c r="P669" s="102" t="str">
        <f aca="false">IF(D669="","",IFERROR(INDEX(AK_KEL,MATCH(D669,AK_NAMA,0)),"?"))</f>
        <v>ASET</v>
      </c>
      <c r="Q669" s="102" t="n">
        <f aca="false">N(Q668)+IF(AND(N(E669)&lt;&gt;0,K669=TAHUN,N(J669)&lt;=BLN,OR(C669=BB_AKUN,D669=BB_AKUN)),1,0)</f>
        <v>431</v>
      </c>
      <c r="R669" s="104" t="str">
        <f aca="false">IF(OR(C669&amp;D669="",N(E669)=0),"",IF(OR(O669="?",P669="?"),"⚠ akun tidak dikenal",IF(C669=D669,"⚠ debet = kredit","")))</f>
        <v/>
      </c>
    </row>
    <row r="670" customFormat="false" ht="15" hidden="false" customHeight="false" outlineLevel="0" collapsed="false">
      <c r="A670" s="82" t="s">
        <v>1582</v>
      </c>
      <c r="B670" s="101" t="n">
        <v>46161</v>
      </c>
      <c r="C670" s="82" t="s">
        <v>470</v>
      </c>
      <c r="D670" s="82" t="s">
        <v>461</v>
      </c>
      <c r="E670" s="91" t="n">
        <v>40000</v>
      </c>
      <c r="F670" s="82" t="s">
        <v>1583</v>
      </c>
      <c r="G670" s="82"/>
      <c r="H670" s="82"/>
      <c r="I670" s="82" t="s">
        <v>250</v>
      </c>
      <c r="J670" s="102" t="n">
        <f aca="false">IF(B670="","",MONTH(B670))</f>
        <v>5</v>
      </c>
      <c r="K670" s="102" t="n">
        <f aca="false">IF(B670="","",YEAR(B670))</f>
        <v>2026</v>
      </c>
      <c r="L670" s="102" t="str">
        <f aca="false">IF(N(E670)=0,"",IF(COUNTIFS(AK_NAMA,C670,AK_KAT,"KAS")+COUNTIFS(AK_NAMA,D670,AK_KAT,"KAS")&lt;&gt;1,"",IF(COUNTIFS(AK_NAMA,C670,AK_KAT,"KAS")=1,D670,C670)))</f>
        <v>Biaya Bahan Baku</v>
      </c>
      <c r="M670" s="103" t="n">
        <f aca="false">IF(L670="",0,IF(L670=D670,E670,-E670))</f>
        <v>-40000</v>
      </c>
      <c r="N670" s="102" t="str">
        <f aca="false">IF(L670="","",IFERROR(INDEX(AK_BARIS,MATCH(L670,AK_NAMA,0)),"?"))</f>
        <v>OP3</v>
      </c>
      <c r="O670" s="102" t="str">
        <f aca="false">IF(C670="","",IFERROR(INDEX(AK_KEL,MATCH(C670,AK_NAMA,0)),"?"))</f>
        <v>BEBAN</v>
      </c>
      <c r="P670" s="102" t="str">
        <f aca="false">IF(D670="","",IFERROR(INDEX(AK_KEL,MATCH(D670,AK_NAMA,0)),"?"))</f>
        <v>ASET</v>
      </c>
      <c r="Q670" s="102" t="n">
        <f aca="false">N(Q669)+IF(AND(N(E670)&lt;&gt;0,K670=TAHUN,N(J670)&lt;=BLN,OR(C670=BB_AKUN,D670=BB_AKUN)),1,0)</f>
        <v>432</v>
      </c>
      <c r="R670" s="104" t="str">
        <f aca="false">IF(OR(C670&amp;D670="",N(E670)=0),"",IF(OR(O670="?",P670="?"),"⚠ akun tidak dikenal",IF(C670=D670,"⚠ debet = kredit","")))</f>
        <v/>
      </c>
    </row>
    <row r="671" customFormat="false" ht="15" hidden="false" customHeight="false" outlineLevel="0" collapsed="false">
      <c r="A671" s="82" t="s">
        <v>1584</v>
      </c>
      <c r="B671" s="101" t="n">
        <v>46162</v>
      </c>
      <c r="C671" s="82" t="s">
        <v>470</v>
      </c>
      <c r="D671" s="82" t="s">
        <v>461</v>
      </c>
      <c r="E671" s="91" t="n">
        <v>347000</v>
      </c>
      <c r="F671" s="82" t="s">
        <v>1585</v>
      </c>
      <c r="G671" s="82"/>
      <c r="H671" s="82"/>
      <c r="I671" s="82" t="s">
        <v>250</v>
      </c>
      <c r="J671" s="102" t="n">
        <f aca="false">IF(B671="","",MONTH(B671))</f>
        <v>5</v>
      </c>
      <c r="K671" s="102" t="n">
        <f aca="false">IF(B671="","",YEAR(B671))</f>
        <v>2026</v>
      </c>
      <c r="L671" s="102" t="str">
        <f aca="false">IF(N(E671)=0,"",IF(COUNTIFS(AK_NAMA,C671,AK_KAT,"KAS")+COUNTIFS(AK_NAMA,D671,AK_KAT,"KAS")&lt;&gt;1,"",IF(COUNTIFS(AK_NAMA,C671,AK_KAT,"KAS")=1,D671,C671)))</f>
        <v>Biaya Bahan Baku</v>
      </c>
      <c r="M671" s="103" t="n">
        <f aca="false">IF(L671="",0,IF(L671=D671,E671,-E671))</f>
        <v>-347000</v>
      </c>
      <c r="N671" s="102" t="str">
        <f aca="false">IF(L671="","",IFERROR(INDEX(AK_BARIS,MATCH(L671,AK_NAMA,0)),"?"))</f>
        <v>OP3</v>
      </c>
      <c r="O671" s="102" t="str">
        <f aca="false">IF(C671="","",IFERROR(INDEX(AK_KEL,MATCH(C671,AK_NAMA,0)),"?"))</f>
        <v>BEBAN</v>
      </c>
      <c r="P671" s="102" t="str">
        <f aca="false">IF(D671="","",IFERROR(INDEX(AK_KEL,MATCH(D671,AK_NAMA,0)),"?"))</f>
        <v>ASET</v>
      </c>
      <c r="Q671" s="102" t="n">
        <f aca="false">N(Q670)+IF(AND(N(E671)&lt;&gt;0,K671=TAHUN,N(J671)&lt;=BLN,OR(C671=BB_AKUN,D671=BB_AKUN)),1,0)</f>
        <v>433</v>
      </c>
      <c r="R671" s="104" t="str">
        <f aca="false">IF(OR(C671&amp;D671="",N(E671)=0),"",IF(OR(O671="?",P671="?"),"⚠ akun tidak dikenal",IF(C671=D671,"⚠ debet = kredit","")))</f>
        <v/>
      </c>
    </row>
    <row r="672" customFormat="false" ht="15" hidden="false" customHeight="false" outlineLevel="0" collapsed="false">
      <c r="A672" s="82" t="s">
        <v>1586</v>
      </c>
      <c r="B672" s="101" t="n">
        <v>46163</v>
      </c>
      <c r="C672" s="82" t="s">
        <v>455</v>
      </c>
      <c r="D672" s="82" t="s">
        <v>461</v>
      </c>
      <c r="E672" s="91" t="n">
        <v>140000</v>
      </c>
      <c r="F672" s="82" t="s">
        <v>1587</v>
      </c>
      <c r="G672" s="82"/>
      <c r="H672" s="82"/>
      <c r="I672" s="82" t="s">
        <v>250</v>
      </c>
      <c r="J672" s="102" t="n">
        <f aca="false">IF(B672="","",MONTH(B672))</f>
        <v>5</v>
      </c>
      <c r="K672" s="102" t="n">
        <f aca="false">IF(B672="","",YEAR(B672))</f>
        <v>2026</v>
      </c>
      <c r="L672" s="102" t="str">
        <f aca="false">IF(N(E672)=0,"",IF(COUNTIFS(AK_NAMA,C672,AK_KAT,"KAS")+COUNTIFS(AK_NAMA,D672,AK_KAT,"KAS")&lt;&gt;1,"",IF(COUNTIFS(AK_NAMA,C672,AK_KAT,"KAS")=1,D672,C672)))</f>
        <v>Biaya Pemeliharaan</v>
      </c>
      <c r="M672" s="103" t="n">
        <f aca="false">IF(L672="",0,IF(L672=D672,E672,-E672))</f>
        <v>-140000</v>
      </c>
      <c r="N672" s="102" t="str">
        <f aca="false">IF(L672="","",IFERROR(INDEX(AK_BARIS,MATCH(L672,AK_NAMA,0)),"?"))</f>
        <v>OP6</v>
      </c>
      <c r="O672" s="102" t="str">
        <f aca="false">IF(C672="","",IFERROR(INDEX(AK_KEL,MATCH(C672,AK_NAMA,0)),"?"))</f>
        <v>BEBAN</v>
      </c>
      <c r="P672" s="102" t="str">
        <f aca="false">IF(D672="","",IFERROR(INDEX(AK_KEL,MATCH(D672,AK_NAMA,0)),"?"))</f>
        <v>ASET</v>
      </c>
      <c r="Q672" s="102" t="n">
        <f aca="false">N(Q671)+IF(AND(N(E672)&lt;&gt;0,K672=TAHUN,N(J672)&lt;=BLN,OR(C672=BB_AKUN,D672=BB_AKUN)),1,0)</f>
        <v>434</v>
      </c>
      <c r="R672" s="104" t="str">
        <f aca="false">IF(OR(C672&amp;D672="",N(E672)=0),"",IF(OR(O672="?",P672="?"),"⚠ akun tidak dikenal",IF(C672=D672,"⚠ debet = kredit","")))</f>
        <v/>
      </c>
    </row>
    <row r="673" customFormat="false" ht="15" hidden="false" customHeight="false" outlineLevel="0" collapsed="false">
      <c r="A673" s="82" t="s">
        <v>1588</v>
      </c>
      <c r="B673" s="101" t="n">
        <v>46163</v>
      </c>
      <c r="C673" s="82" t="s">
        <v>669</v>
      </c>
      <c r="D673" s="82" t="s">
        <v>461</v>
      </c>
      <c r="E673" s="91" t="n">
        <v>287490</v>
      </c>
      <c r="F673" s="82" t="s">
        <v>670</v>
      </c>
      <c r="G673" s="82"/>
      <c r="H673" s="82"/>
      <c r="I673" s="82" t="s">
        <v>250</v>
      </c>
      <c r="J673" s="102" t="n">
        <f aca="false">IF(B673="","",MONTH(B673))</f>
        <v>5</v>
      </c>
      <c r="K673" s="102" t="n">
        <f aca="false">IF(B673="","",YEAR(B673))</f>
        <v>2026</v>
      </c>
      <c r="L673" s="102" t="str">
        <f aca="false">IF(N(E673)=0,"",IF(COUNTIFS(AK_NAMA,C673,AK_KAT,"KAS")+COUNTIFS(AK_NAMA,D673,AK_KAT,"KAS")&lt;&gt;1,"",IF(COUNTIFS(AK_NAMA,C673,AK_KAT,"KAS")=1,D673,C673)))</f>
        <v>Biaya Tagihan Bulanan</v>
      </c>
      <c r="M673" s="103" t="n">
        <f aca="false">IF(L673="",0,IF(L673=D673,E673,-E673))</f>
        <v>-287490</v>
      </c>
      <c r="N673" s="102" t="str">
        <f aca="false">IF(L673="","",IFERROR(INDEX(AK_BARIS,MATCH(L673,AK_NAMA,0)),"?"))</f>
        <v>OP6</v>
      </c>
      <c r="O673" s="102" t="str">
        <f aca="false">IF(C673="","",IFERROR(INDEX(AK_KEL,MATCH(C673,AK_NAMA,0)),"?"))</f>
        <v>BEBAN</v>
      </c>
      <c r="P673" s="102" t="str">
        <f aca="false">IF(D673="","",IFERROR(INDEX(AK_KEL,MATCH(D673,AK_NAMA,0)),"?"))</f>
        <v>ASET</v>
      </c>
      <c r="Q673" s="102" t="n">
        <f aca="false">N(Q672)+IF(AND(N(E673)&lt;&gt;0,K673=TAHUN,N(J673)&lt;=BLN,OR(C673=BB_AKUN,D673=BB_AKUN)),1,0)</f>
        <v>435</v>
      </c>
      <c r="R673" s="104" t="str">
        <f aca="false">IF(OR(C673&amp;D673="",N(E673)=0),"",IF(OR(O673="?",P673="?"),"⚠ akun tidak dikenal",IF(C673=D673,"⚠ debet = kredit","")))</f>
        <v/>
      </c>
    </row>
    <row r="674" customFormat="false" ht="15" hidden="false" customHeight="false" outlineLevel="0" collapsed="false">
      <c r="A674" s="82" t="s">
        <v>1589</v>
      </c>
      <c r="B674" s="101" t="n">
        <v>46163</v>
      </c>
      <c r="C674" s="82" t="s">
        <v>470</v>
      </c>
      <c r="D674" s="82" t="s">
        <v>461</v>
      </c>
      <c r="E674" s="91" t="n">
        <v>3122000</v>
      </c>
      <c r="F674" s="82" t="s">
        <v>1590</v>
      </c>
      <c r="G674" s="82"/>
      <c r="H674" s="82"/>
      <c r="I674" s="82" t="s">
        <v>250</v>
      </c>
      <c r="J674" s="102" t="n">
        <f aca="false">IF(B674="","",MONTH(B674))</f>
        <v>5</v>
      </c>
      <c r="K674" s="102" t="n">
        <f aca="false">IF(B674="","",YEAR(B674))</f>
        <v>2026</v>
      </c>
      <c r="L674" s="102" t="str">
        <f aca="false">IF(N(E674)=0,"",IF(COUNTIFS(AK_NAMA,C674,AK_KAT,"KAS")+COUNTIFS(AK_NAMA,D674,AK_KAT,"KAS")&lt;&gt;1,"",IF(COUNTIFS(AK_NAMA,C674,AK_KAT,"KAS")=1,D674,C674)))</f>
        <v>Biaya Bahan Baku</v>
      </c>
      <c r="M674" s="103" t="n">
        <f aca="false">IF(L674="",0,IF(L674=D674,E674,-E674))</f>
        <v>-3122000</v>
      </c>
      <c r="N674" s="102" t="str">
        <f aca="false">IF(L674="","",IFERROR(INDEX(AK_BARIS,MATCH(L674,AK_NAMA,0)),"?"))</f>
        <v>OP3</v>
      </c>
      <c r="O674" s="102" t="str">
        <f aca="false">IF(C674="","",IFERROR(INDEX(AK_KEL,MATCH(C674,AK_NAMA,0)),"?"))</f>
        <v>BEBAN</v>
      </c>
      <c r="P674" s="102" t="str">
        <f aca="false">IF(D674="","",IFERROR(INDEX(AK_KEL,MATCH(D674,AK_NAMA,0)),"?"))</f>
        <v>ASET</v>
      </c>
      <c r="Q674" s="102" t="n">
        <f aca="false">N(Q673)+IF(AND(N(E674)&lt;&gt;0,K674=TAHUN,N(J674)&lt;=BLN,OR(C674=BB_AKUN,D674=BB_AKUN)),1,0)</f>
        <v>436</v>
      </c>
      <c r="R674" s="104" t="str">
        <f aca="false">IF(OR(C674&amp;D674="",N(E674)=0),"",IF(OR(O674="?",P674="?"),"⚠ akun tidak dikenal",IF(C674=D674,"⚠ debet = kredit","")))</f>
        <v/>
      </c>
    </row>
    <row r="675" customFormat="false" ht="15" hidden="false" customHeight="false" outlineLevel="0" collapsed="false">
      <c r="A675" s="82" t="s">
        <v>1591</v>
      </c>
      <c r="B675" s="101" t="n">
        <v>46163</v>
      </c>
      <c r="C675" s="82" t="s">
        <v>470</v>
      </c>
      <c r="D675" s="82" t="s">
        <v>461</v>
      </c>
      <c r="E675" s="91" t="n">
        <v>190000</v>
      </c>
      <c r="F675" s="82" t="s">
        <v>1592</v>
      </c>
      <c r="G675" s="82"/>
      <c r="H675" s="82"/>
      <c r="I675" s="82" t="s">
        <v>250</v>
      </c>
      <c r="J675" s="102" t="n">
        <f aca="false">IF(B675="","",MONTH(B675))</f>
        <v>5</v>
      </c>
      <c r="K675" s="102" t="n">
        <f aca="false">IF(B675="","",YEAR(B675))</f>
        <v>2026</v>
      </c>
      <c r="L675" s="102" t="str">
        <f aca="false">IF(N(E675)=0,"",IF(COUNTIFS(AK_NAMA,C675,AK_KAT,"KAS")+COUNTIFS(AK_NAMA,D675,AK_KAT,"KAS")&lt;&gt;1,"",IF(COUNTIFS(AK_NAMA,C675,AK_KAT,"KAS")=1,D675,C675)))</f>
        <v>Biaya Bahan Baku</v>
      </c>
      <c r="M675" s="103" t="n">
        <f aca="false">IF(L675="",0,IF(L675=D675,E675,-E675))</f>
        <v>-190000</v>
      </c>
      <c r="N675" s="102" t="str">
        <f aca="false">IF(L675="","",IFERROR(INDEX(AK_BARIS,MATCH(L675,AK_NAMA,0)),"?"))</f>
        <v>OP3</v>
      </c>
      <c r="O675" s="102" t="str">
        <f aca="false">IF(C675="","",IFERROR(INDEX(AK_KEL,MATCH(C675,AK_NAMA,0)),"?"))</f>
        <v>BEBAN</v>
      </c>
      <c r="P675" s="102" t="str">
        <f aca="false">IF(D675="","",IFERROR(INDEX(AK_KEL,MATCH(D675,AK_NAMA,0)),"?"))</f>
        <v>ASET</v>
      </c>
      <c r="Q675" s="102" t="n">
        <f aca="false">N(Q674)+IF(AND(N(E675)&lt;&gt;0,K675=TAHUN,N(J675)&lt;=BLN,OR(C675=BB_AKUN,D675=BB_AKUN)),1,0)</f>
        <v>437</v>
      </c>
      <c r="R675" s="104" t="str">
        <f aca="false">IF(OR(C675&amp;D675="",N(E675)=0),"",IF(OR(O675="?",P675="?"),"⚠ akun tidak dikenal",IF(C675=D675,"⚠ debet = kredit","")))</f>
        <v/>
      </c>
    </row>
    <row r="676" customFormat="false" ht="15" hidden="false" customHeight="false" outlineLevel="0" collapsed="false">
      <c r="A676" s="82" t="s">
        <v>1593</v>
      </c>
      <c r="B676" s="101" t="n">
        <v>46163</v>
      </c>
      <c r="C676" s="82" t="s">
        <v>461</v>
      </c>
      <c r="D676" s="82" t="s">
        <v>557</v>
      </c>
      <c r="E676" s="91" t="n">
        <v>1</v>
      </c>
      <c r="F676" s="82" t="s">
        <v>1172</v>
      </c>
      <c r="G676" s="82"/>
      <c r="H676" s="82"/>
      <c r="I676" s="82" t="s">
        <v>250</v>
      </c>
      <c r="J676" s="102" t="n">
        <f aca="false">IF(B676="","",MONTH(B676))</f>
        <v>5</v>
      </c>
      <c r="K676" s="102" t="n">
        <f aca="false">IF(B676="","",YEAR(B676))</f>
        <v>2026</v>
      </c>
      <c r="L676" s="102" t="str">
        <f aca="false">IF(N(E676)=0,"",IF(COUNTIFS(AK_NAMA,C676,AK_KAT,"KAS")+COUNTIFS(AK_NAMA,D676,AK_KAT,"KAS")&lt;&gt;1,"",IF(COUNTIFS(AK_NAMA,C676,AK_KAT,"KAS")=1,D676,C676)))</f>
        <v>Pendapatan Lainnya</v>
      </c>
      <c r="M676" s="103" t="n">
        <f aca="false">IF(L676="",0,IF(L676=D676,E676,-E676))</f>
        <v>1</v>
      </c>
      <c r="N676" s="102" t="str">
        <f aca="false">IF(L676="","",IFERROR(INDEX(AK_BARIS,MATCH(L676,AK_NAMA,0)),"?"))</f>
        <v>OP2</v>
      </c>
      <c r="O676" s="102" t="str">
        <f aca="false">IF(C676="","",IFERROR(INDEX(AK_KEL,MATCH(C676,AK_NAMA,0)),"?"))</f>
        <v>ASET</v>
      </c>
      <c r="P676" s="102" t="str">
        <f aca="false">IF(D676="","",IFERROR(INDEX(AK_KEL,MATCH(D676,AK_NAMA,0)),"?"))</f>
        <v>PENDAPATAN</v>
      </c>
      <c r="Q676" s="102" t="n">
        <f aca="false">N(Q675)+IF(AND(N(E676)&lt;&gt;0,K676=TAHUN,N(J676)&lt;=BLN,OR(C676=BB_AKUN,D676=BB_AKUN)),1,0)</f>
        <v>438</v>
      </c>
      <c r="R676" s="104" t="str">
        <f aca="false">IF(OR(C676&amp;D676="",N(E676)=0),"",IF(OR(O676="?",P676="?"),"⚠ akun tidak dikenal",IF(C676=D676,"⚠ debet = kredit","")))</f>
        <v/>
      </c>
    </row>
    <row r="677" customFormat="false" ht="15" hidden="false" customHeight="false" outlineLevel="0" collapsed="false">
      <c r="A677" s="82" t="s">
        <v>1594</v>
      </c>
      <c r="B677" s="101" t="n">
        <v>46164</v>
      </c>
      <c r="C677" s="82" t="s">
        <v>455</v>
      </c>
      <c r="D677" s="82" t="s">
        <v>461</v>
      </c>
      <c r="E677" s="91" t="n">
        <v>24000</v>
      </c>
      <c r="F677" s="82" t="s">
        <v>1595</v>
      </c>
      <c r="G677" s="82"/>
      <c r="H677" s="82"/>
      <c r="I677" s="82" t="s">
        <v>250</v>
      </c>
      <c r="J677" s="102" t="n">
        <f aca="false">IF(B677="","",MONTH(B677))</f>
        <v>5</v>
      </c>
      <c r="K677" s="102" t="n">
        <f aca="false">IF(B677="","",YEAR(B677))</f>
        <v>2026</v>
      </c>
      <c r="L677" s="102" t="str">
        <f aca="false">IF(N(E677)=0,"",IF(COUNTIFS(AK_NAMA,C677,AK_KAT,"KAS")+COUNTIFS(AK_NAMA,D677,AK_KAT,"KAS")&lt;&gt;1,"",IF(COUNTIFS(AK_NAMA,C677,AK_KAT,"KAS")=1,D677,C677)))</f>
        <v>Biaya Pemeliharaan</v>
      </c>
      <c r="M677" s="103" t="n">
        <f aca="false">IF(L677="",0,IF(L677=D677,E677,-E677))</f>
        <v>-24000</v>
      </c>
      <c r="N677" s="102" t="str">
        <f aca="false">IF(L677="","",IFERROR(INDEX(AK_BARIS,MATCH(L677,AK_NAMA,0)),"?"))</f>
        <v>OP6</v>
      </c>
      <c r="O677" s="102" t="str">
        <f aca="false">IF(C677="","",IFERROR(INDEX(AK_KEL,MATCH(C677,AK_NAMA,0)),"?"))</f>
        <v>BEBAN</v>
      </c>
      <c r="P677" s="102" t="str">
        <f aca="false">IF(D677="","",IFERROR(INDEX(AK_KEL,MATCH(D677,AK_NAMA,0)),"?"))</f>
        <v>ASET</v>
      </c>
      <c r="Q677" s="102" t="n">
        <f aca="false">N(Q676)+IF(AND(N(E677)&lt;&gt;0,K677=TAHUN,N(J677)&lt;=BLN,OR(C677=BB_AKUN,D677=BB_AKUN)),1,0)</f>
        <v>439</v>
      </c>
      <c r="R677" s="104" t="str">
        <f aca="false">IF(OR(C677&amp;D677="",N(E677)=0),"",IF(OR(O677="?",P677="?"),"⚠ akun tidak dikenal",IF(C677=D677,"⚠ debet = kredit","")))</f>
        <v/>
      </c>
    </row>
    <row r="678" customFormat="false" ht="15" hidden="false" customHeight="false" outlineLevel="0" collapsed="false">
      <c r="A678" s="82" t="s">
        <v>1596</v>
      </c>
      <c r="B678" s="101" t="n">
        <v>46164</v>
      </c>
      <c r="C678" s="82" t="s">
        <v>460</v>
      </c>
      <c r="D678" s="82" t="s">
        <v>461</v>
      </c>
      <c r="E678" s="91" t="n">
        <v>213000</v>
      </c>
      <c r="F678" s="82" t="s">
        <v>1597</v>
      </c>
      <c r="G678" s="82"/>
      <c r="H678" s="82"/>
      <c r="I678" s="82" t="s">
        <v>250</v>
      </c>
      <c r="J678" s="102" t="n">
        <f aca="false">IF(B678="","",MONTH(B678))</f>
        <v>5</v>
      </c>
      <c r="K678" s="102" t="n">
        <f aca="false">IF(B678="","",YEAR(B678))</f>
        <v>2026</v>
      </c>
      <c r="L678" s="102" t="str">
        <f aca="false">IF(N(E678)=0,"",IF(COUNTIFS(AK_NAMA,C678,AK_KAT,"KAS")+COUNTIFS(AK_NAMA,D678,AK_KAT,"KAS")&lt;&gt;1,"",IF(COUNTIFS(AK_NAMA,C678,AK_KAT,"KAS")=1,D678,C678)))</f>
        <v>Biaya Marketing &amp; Promosi</v>
      </c>
      <c r="M678" s="103" t="n">
        <f aca="false">IF(L678="",0,IF(L678=D678,E678,-E678))</f>
        <v>-213000</v>
      </c>
      <c r="N678" s="102" t="str">
        <f aca="false">IF(L678="","",IFERROR(INDEX(AK_BARIS,MATCH(L678,AK_NAMA,0)),"?"))</f>
        <v>OP6</v>
      </c>
      <c r="O678" s="102" t="str">
        <f aca="false">IF(C678="","",IFERROR(INDEX(AK_KEL,MATCH(C678,AK_NAMA,0)),"?"))</f>
        <v>BEBAN</v>
      </c>
      <c r="P678" s="102" t="str">
        <f aca="false">IF(D678="","",IFERROR(INDEX(AK_KEL,MATCH(D678,AK_NAMA,0)),"?"))</f>
        <v>ASET</v>
      </c>
      <c r="Q678" s="102" t="n">
        <f aca="false">N(Q677)+IF(AND(N(E678)&lt;&gt;0,K678=TAHUN,N(J678)&lt;=BLN,OR(C678=BB_AKUN,D678=BB_AKUN)),1,0)</f>
        <v>440</v>
      </c>
      <c r="R678" s="104" t="str">
        <f aca="false">IF(OR(C678&amp;D678="",N(E678)=0),"",IF(OR(O678="?",P678="?"),"⚠ akun tidak dikenal",IF(C678=D678,"⚠ debet = kredit","")))</f>
        <v/>
      </c>
    </row>
    <row r="679" customFormat="false" ht="15" hidden="false" customHeight="false" outlineLevel="0" collapsed="false">
      <c r="A679" s="82" t="s">
        <v>1598</v>
      </c>
      <c r="B679" s="101" t="n">
        <v>46164</v>
      </c>
      <c r="C679" s="82" t="s">
        <v>548</v>
      </c>
      <c r="D679" s="82" t="s">
        <v>461</v>
      </c>
      <c r="E679" s="91" t="n">
        <v>31900</v>
      </c>
      <c r="F679" s="82" t="s">
        <v>1599</v>
      </c>
      <c r="G679" s="82"/>
      <c r="H679" s="82"/>
      <c r="I679" s="82" t="s">
        <v>250</v>
      </c>
      <c r="J679" s="102" t="n">
        <f aca="false">IF(B679="","",MONTH(B679))</f>
        <v>5</v>
      </c>
      <c r="K679" s="102" t="n">
        <f aca="false">IF(B679="","",YEAR(B679))</f>
        <v>2026</v>
      </c>
      <c r="L679" s="102" t="str">
        <f aca="false">IF(N(E679)=0,"",IF(COUNTIFS(AK_NAMA,C679,AK_KAT,"KAS")+COUNTIFS(AK_NAMA,D679,AK_KAT,"KAS")&lt;&gt;1,"",IF(COUNTIFS(AK_NAMA,C679,AK_KAT,"KAS")=1,D679,C679)))</f>
        <v>Beban Perlengkapan</v>
      </c>
      <c r="M679" s="103" t="n">
        <f aca="false">IF(L679="",0,IF(L679=D679,E679,-E679))</f>
        <v>-31900</v>
      </c>
      <c r="N679" s="102" t="str">
        <f aca="false">IF(L679="","",IFERROR(INDEX(AK_BARIS,MATCH(L679,AK_NAMA,0)),"?"))</f>
        <v>OP6</v>
      </c>
      <c r="O679" s="102" t="str">
        <f aca="false">IF(C679="","",IFERROR(INDEX(AK_KEL,MATCH(C679,AK_NAMA,0)),"?"))</f>
        <v>BEBAN</v>
      </c>
      <c r="P679" s="102" t="str">
        <f aca="false">IF(D679="","",IFERROR(INDEX(AK_KEL,MATCH(D679,AK_NAMA,0)),"?"))</f>
        <v>ASET</v>
      </c>
      <c r="Q679" s="102" t="n">
        <f aca="false">N(Q678)+IF(AND(N(E679)&lt;&gt;0,K679=TAHUN,N(J679)&lt;=BLN,OR(C679=BB_AKUN,D679=BB_AKUN)),1,0)</f>
        <v>441</v>
      </c>
      <c r="R679" s="104" t="str">
        <f aca="false">IF(OR(C679&amp;D679="",N(E679)=0),"",IF(OR(O679="?",P679="?"),"⚠ akun tidak dikenal",IF(C679=D679,"⚠ debet = kredit","")))</f>
        <v/>
      </c>
    </row>
    <row r="680" customFormat="false" ht="15" hidden="false" customHeight="false" outlineLevel="0" collapsed="false">
      <c r="A680" s="82" t="s">
        <v>1600</v>
      </c>
      <c r="B680" s="101" t="n">
        <v>46164</v>
      </c>
      <c r="C680" s="82" t="s">
        <v>485</v>
      </c>
      <c r="D680" s="82" t="s">
        <v>461</v>
      </c>
      <c r="E680" s="91" t="n">
        <v>110000</v>
      </c>
      <c r="F680" s="82" t="s">
        <v>1601</v>
      </c>
      <c r="G680" s="82"/>
      <c r="H680" s="82"/>
      <c r="I680" s="82" t="s">
        <v>250</v>
      </c>
      <c r="J680" s="102" t="n">
        <f aca="false">IF(B680="","",MONTH(B680))</f>
        <v>5</v>
      </c>
      <c r="K680" s="102" t="n">
        <f aca="false">IF(B680="","",YEAR(B680))</f>
        <v>2026</v>
      </c>
      <c r="L680" s="102" t="str">
        <f aca="false">IF(N(E680)=0,"",IF(COUNTIFS(AK_NAMA,C680,AK_KAT,"KAS")+COUNTIFS(AK_NAMA,D680,AK_KAT,"KAS")&lt;&gt;1,"",IF(COUNTIFS(AK_NAMA,C680,AK_KAT,"KAS")=1,D680,C680)))</f>
        <v>Biaya Operasional Harian</v>
      </c>
      <c r="M680" s="103" t="n">
        <f aca="false">IF(L680="",0,IF(L680=D680,E680,-E680))</f>
        <v>-110000</v>
      </c>
      <c r="N680" s="102" t="str">
        <f aca="false">IF(L680="","",IFERROR(INDEX(AK_BARIS,MATCH(L680,AK_NAMA,0)),"?"))</f>
        <v>OP6</v>
      </c>
      <c r="O680" s="102" t="str">
        <f aca="false">IF(C680="","",IFERROR(INDEX(AK_KEL,MATCH(C680,AK_NAMA,0)),"?"))</f>
        <v>BEBAN</v>
      </c>
      <c r="P680" s="102" t="str">
        <f aca="false">IF(D680="","",IFERROR(INDEX(AK_KEL,MATCH(D680,AK_NAMA,0)),"?"))</f>
        <v>ASET</v>
      </c>
      <c r="Q680" s="102" t="n">
        <f aca="false">N(Q679)+IF(AND(N(E680)&lt;&gt;0,K680=TAHUN,N(J680)&lt;=BLN,OR(C680=BB_AKUN,D680=BB_AKUN)),1,0)</f>
        <v>442</v>
      </c>
      <c r="R680" s="104" t="str">
        <f aca="false">IF(OR(C680&amp;D680="",N(E680)=0),"",IF(OR(O680="?",P680="?"),"⚠ akun tidak dikenal",IF(C680=D680,"⚠ debet = kredit","")))</f>
        <v/>
      </c>
    </row>
    <row r="681" customFormat="false" ht="15" hidden="false" customHeight="false" outlineLevel="0" collapsed="false">
      <c r="A681" s="82" t="s">
        <v>1602</v>
      </c>
      <c r="B681" s="101" t="n">
        <v>46164</v>
      </c>
      <c r="C681" s="82" t="s">
        <v>524</v>
      </c>
      <c r="D681" s="82" t="s">
        <v>461</v>
      </c>
      <c r="E681" s="91" t="n">
        <v>2000</v>
      </c>
      <c r="F681" s="82" t="s">
        <v>1603</v>
      </c>
      <c r="G681" s="82"/>
      <c r="H681" s="82"/>
      <c r="I681" s="82" t="s">
        <v>250</v>
      </c>
      <c r="J681" s="102" t="n">
        <f aca="false">IF(B681="","",MONTH(B681))</f>
        <v>5</v>
      </c>
      <c r="K681" s="102" t="n">
        <f aca="false">IF(B681="","",YEAR(B681))</f>
        <v>2026</v>
      </c>
      <c r="L681" s="102" t="str">
        <f aca="false">IF(N(E681)=0,"",IF(COUNTIFS(AK_NAMA,C681,AK_KAT,"KAS")+COUNTIFS(AK_NAMA,D681,AK_KAT,"KAS")&lt;&gt;1,"",IF(COUNTIFS(AK_NAMA,C681,AK_KAT,"KAS")=1,D681,C681)))</f>
        <v>Biaya Lainnya</v>
      </c>
      <c r="M681" s="103" t="n">
        <f aca="false">IF(L681="",0,IF(L681=D681,E681,-E681))</f>
        <v>-2000</v>
      </c>
      <c r="N681" s="102" t="str">
        <f aca="false">IF(L681="","",IFERROR(INDEX(AK_BARIS,MATCH(L681,AK_NAMA,0)),"?"))</f>
        <v>OP2</v>
      </c>
      <c r="O681" s="102" t="str">
        <f aca="false">IF(C681="","",IFERROR(INDEX(AK_KEL,MATCH(C681,AK_NAMA,0)),"?"))</f>
        <v>BEBAN</v>
      </c>
      <c r="P681" s="102" t="str">
        <f aca="false">IF(D681="","",IFERROR(INDEX(AK_KEL,MATCH(D681,AK_NAMA,0)),"?"))</f>
        <v>ASET</v>
      </c>
      <c r="Q681" s="102" t="n">
        <f aca="false">N(Q680)+IF(AND(N(E681)&lt;&gt;0,K681=TAHUN,N(J681)&lt;=BLN,OR(C681=BB_AKUN,D681=BB_AKUN)),1,0)</f>
        <v>443</v>
      </c>
      <c r="R681" s="104" t="str">
        <f aca="false">IF(OR(C681&amp;D681="",N(E681)=0),"",IF(OR(O681="?",P681="?"),"⚠ akun tidak dikenal",IF(C681=D681,"⚠ debet = kredit","")))</f>
        <v/>
      </c>
    </row>
    <row r="682" customFormat="false" ht="15" hidden="false" customHeight="false" outlineLevel="0" collapsed="false">
      <c r="A682" s="82" t="s">
        <v>1604</v>
      </c>
      <c r="B682" s="101" t="n">
        <v>46165</v>
      </c>
      <c r="C682" s="82" t="s">
        <v>470</v>
      </c>
      <c r="D682" s="82" t="s">
        <v>461</v>
      </c>
      <c r="E682" s="91" t="n">
        <v>1992000</v>
      </c>
      <c r="F682" s="82" t="s">
        <v>1605</v>
      </c>
      <c r="G682" s="82"/>
      <c r="H682" s="82"/>
      <c r="I682" s="82" t="s">
        <v>250</v>
      </c>
      <c r="J682" s="102" t="n">
        <f aca="false">IF(B682="","",MONTH(B682))</f>
        <v>5</v>
      </c>
      <c r="K682" s="102" t="n">
        <f aca="false">IF(B682="","",YEAR(B682))</f>
        <v>2026</v>
      </c>
      <c r="L682" s="102" t="str">
        <f aca="false">IF(N(E682)=0,"",IF(COUNTIFS(AK_NAMA,C682,AK_KAT,"KAS")+COUNTIFS(AK_NAMA,D682,AK_KAT,"KAS")&lt;&gt;1,"",IF(COUNTIFS(AK_NAMA,C682,AK_KAT,"KAS")=1,D682,C682)))</f>
        <v>Biaya Bahan Baku</v>
      </c>
      <c r="M682" s="103" t="n">
        <f aca="false">IF(L682="",0,IF(L682=D682,E682,-E682))</f>
        <v>-1992000</v>
      </c>
      <c r="N682" s="102" t="str">
        <f aca="false">IF(L682="","",IFERROR(INDEX(AK_BARIS,MATCH(L682,AK_NAMA,0)),"?"))</f>
        <v>OP3</v>
      </c>
      <c r="O682" s="102" t="str">
        <f aca="false">IF(C682="","",IFERROR(INDEX(AK_KEL,MATCH(C682,AK_NAMA,0)),"?"))</f>
        <v>BEBAN</v>
      </c>
      <c r="P682" s="102" t="str">
        <f aca="false">IF(D682="","",IFERROR(INDEX(AK_KEL,MATCH(D682,AK_NAMA,0)),"?"))</f>
        <v>ASET</v>
      </c>
      <c r="Q682" s="102" t="n">
        <f aca="false">N(Q681)+IF(AND(N(E682)&lt;&gt;0,K682=TAHUN,N(J682)&lt;=BLN,OR(C682=BB_AKUN,D682=BB_AKUN)),1,0)</f>
        <v>444</v>
      </c>
      <c r="R682" s="104" t="str">
        <f aca="false">IF(OR(C682&amp;D682="",N(E682)=0),"",IF(OR(O682="?",P682="?"),"⚠ akun tidak dikenal",IF(C682=D682,"⚠ debet = kredit","")))</f>
        <v/>
      </c>
    </row>
    <row r="683" customFormat="false" ht="15" hidden="false" customHeight="false" outlineLevel="0" collapsed="false">
      <c r="A683" s="82" t="s">
        <v>1606</v>
      </c>
      <c r="B683" s="101" t="n">
        <v>46166</v>
      </c>
      <c r="C683" s="82" t="s">
        <v>470</v>
      </c>
      <c r="D683" s="82" t="s">
        <v>475</v>
      </c>
      <c r="E683" s="91" t="n">
        <v>150000</v>
      </c>
      <c r="F683" s="82" t="s">
        <v>1607</v>
      </c>
      <c r="G683" s="82"/>
      <c r="H683" s="82"/>
      <c r="I683" s="82" t="s">
        <v>250</v>
      </c>
      <c r="J683" s="102" t="n">
        <f aca="false">IF(B683="","",MONTH(B683))</f>
        <v>5</v>
      </c>
      <c r="K683" s="102" t="n">
        <f aca="false">IF(B683="","",YEAR(B683))</f>
        <v>2026</v>
      </c>
      <c r="L683" s="102" t="str">
        <f aca="false">IF(N(E683)=0,"",IF(COUNTIFS(AK_NAMA,C683,AK_KAT,"KAS")+COUNTIFS(AK_NAMA,D683,AK_KAT,"KAS")&lt;&gt;1,"",IF(COUNTIFS(AK_NAMA,C683,AK_KAT,"KAS")=1,D683,C683)))</f>
        <v>Biaya Bahan Baku</v>
      </c>
      <c r="M683" s="103" t="n">
        <f aca="false">IF(L683="",0,IF(L683=D683,E683,-E683))</f>
        <v>-150000</v>
      </c>
      <c r="N683" s="102" t="str">
        <f aca="false">IF(L683="","",IFERROR(INDEX(AK_BARIS,MATCH(L683,AK_NAMA,0)),"?"))</f>
        <v>OP3</v>
      </c>
      <c r="O683" s="102" t="str">
        <f aca="false">IF(C683="","",IFERROR(INDEX(AK_KEL,MATCH(C683,AK_NAMA,0)),"?"))</f>
        <v>BEBAN</v>
      </c>
      <c r="P683" s="102" t="str">
        <f aca="false">IF(D683="","",IFERROR(INDEX(AK_KEL,MATCH(D683,AK_NAMA,0)),"?"))</f>
        <v>ASET</v>
      </c>
      <c r="Q683" s="102" t="n">
        <f aca="false">N(Q682)+IF(AND(N(E683)&lt;&gt;0,K683=TAHUN,N(J683)&lt;=BLN,OR(C683=BB_AKUN,D683=BB_AKUN)),1,0)</f>
        <v>444</v>
      </c>
      <c r="R683" s="104" t="str">
        <f aca="false">IF(OR(C683&amp;D683="",N(E683)=0),"",IF(OR(O683="?",P683="?"),"⚠ akun tidak dikenal",IF(C683=D683,"⚠ debet = kredit","")))</f>
        <v/>
      </c>
    </row>
    <row r="684" customFormat="false" ht="15" hidden="false" customHeight="false" outlineLevel="0" collapsed="false">
      <c r="A684" s="82" t="s">
        <v>1608</v>
      </c>
      <c r="B684" s="101" t="n">
        <v>46167</v>
      </c>
      <c r="C684" s="82" t="s">
        <v>548</v>
      </c>
      <c r="D684" s="82" t="s">
        <v>461</v>
      </c>
      <c r="E684" s="91" t="n">
        <v>90984</v>
      </c>
      <c r="F684" s="82" t="s">
        <v>1609</v>
      </c>
      <c r="G684" s="82"/>
      <c r="H684" s="82"/>
      <c r="I684" s="82" t="s">
        <v>250</v>
      </c>
      <c r="J684" s="102" t="n">
        <f aca="false">IF(B684="","",MONTH(B684))</f>
        <v>5</v>
      </c>
      <c r="K684" s="102" t="n">
        <f aca="false">IF(B684="","",YEAR(B684))</f>
        <v>2026</v>
      </c>
      <c r="L684" s="102" t="str">
        <f aca="false">IF(N(E684)=0,"",IF(COUNTIFS(AK_NAMA,C684,AK_KAT,"KAS")+COUNTIFS(AK_NAMA,D684,AK_KAT,"KAS")&lt;&gt;1,"",IF(COUNTIFS(AK_NAMA,C684,AK_KAT,"KAS")=1,D684,C684)))</f>
        <v>Beban Perlengkapan</v>
      </c>
      <c r="M684" s="103" t="n">
        <f aca="false">IF(L684="",0,IF(L684=D684,E684,-E684))</f>
        <v>-90984</v>
      </c>
      <c r="N684" s="102" t="str">
        <f aca="false">IF(L684="","",IFERROR(INDEX(AK_BARIS,MATCH(L684,AK_NAMA,0)),"?"))</f>
        <v>OP6</v>
      </c>
      <c r="O684" s="102" t="str">
        <f aca="false">IF(C684="","",IFERROR(INDEX(AK_KEL,MATCH(C684,AK_NAMA,0)),"?"))</f>
        <v>BEBAN</v>
      </c>
      <c r="P684" s="102" t="str">
        <f aca="false">IF(D684="","",IFERROR(INDEX(AK_KEL,MATCH(D684,AK_NAMA,0)),"?"))</f>
        <v>ASET</v>
      </c>
      <c r="Q684" s="102" t="n">
        <f aca="false">N(Q683)+IF(AND(N(E684)&lt;&gt;0,K684=TAHUN,N(J684)&lt;=BLN,OR(C684=BB_AKUN,D684=BB_AKUN)),1,0)</f>
        <v>445</v>
      </c>
      <c r="R684" s="104" t="str">
        <f aca="false">IF(OR(C684&amp;D684="",N(E684)=0),"",IF(OR(O684="?",P684="?"),"⚠ akun tidak dikenal",IF(C684=D684,"⚠ debet = kredit","")))</f>
        <v/>
      </c>
    </row>
    <row r="685" customFormat="false" ht="15" hidden="false" customHeight="false" outlineLevel="0" collapsed="false">
      <c r="A685" s="82" t="s">
        <v>1610</v>
      </c>
      <c r="B685" s="101" t="n">
        <v>46167</v>
      </c>
      <c r="C685" s="82" t="s">
        <v>730</v>
      </c>
      <c r="D685" s="82" t="s">
        <v>461</v>
      </c>
      <c r="E685" s="91" t="n">
        <v>10000000</v>
      </c>
      <c r="F685" s="82" t="s">
        <v>731</v>
      </c>
      <c r="G685" s="82"/>
      <c r="H685" s="82"/>
      <c r="I685" s="82" t="s">
        <v>250</v>
      </c>
      <c r="J685" s="102" t="n">
        <f aca="false">IF(B685="","",MONTH(B685))</f>
        <v>5</v>
      </c>
      <c r="K685" s="102" t="n">
        <f aca="false">IF(B685="","",YEAR(B685))</f>
        <v>2026</v>
      </c>
      <c r="L685" s="102" t="str">
        <f aca="false">IF(N(E685)=0,"",IF(COUNTIFS(AK_NAMA,C685,AK_KAT,"KAS")+COUNTIFS(AK_NAMA,D685,AK_KAT,"KAS")&lt;&gt;1,"",IF(COUNTIFS(AK_NAMA,C685,AK_KAT,"KAS")=1,D685,C685)))</f>
        <v>Biaya Sewa Tempat</v>
      </c>
      <c r="M685" s="103" t="n">
        <f aca="false">IF(L685="",0,IF(L685=D685,E685,-E685))</f>
        <v>-10000000</v>
      </c>
      <c r="N685" s="102" t="str">
        <f aca="false">IF(L685="","",IFERROR(INDEX(AK_BARIS,MATCH(L685,AK_NAMA,0)),"?"))</f>
        <v>OP5</v>
      </c>
      <c r="O685" s="102" t="str">
        <f aca="false">IF(C685="","",IFERROR(INDEX(AK_KEL,MATCH(C685,AK_NAMA,0)),"?"))</f>
        <v>BEBAN</v>
      </c>
      <c r="P685" s="102" t="str">
        <f aca="false">IF(D685="","",IFERROR(INDEX(AK_KEL,MATCH(D685,AK_NAMA,0)),"?"))</f>
        <v>ASET</v>
      </c>
      <c r="Q685" s="102" t="n">
        <f aca="false">N(Q684)+IF(AND(N(E685)&lt;&gt;0,K685=TAHUN,N(J685)&lt;=BLN,OR(C685=BB_AKUN,D685=BB_AKUN)),1,0)</f>
        <v>446</v>
      </c>
      <c r="R685" s="104" t="str">
        <f aca="false">IF(OR(C685&amp;D685="",N(E685)=0),"",IF(OR(O685="?",P685="?"),"⚠ akun tidak dikenal",IF(C685=D685,"⚠ debet = kredit","")))</f>
        <v/>
      </c>
    </row>
    <row r="686" customFormat="false" ht="15" hidden="false" customHeight="false" outlineLevel="0" collapsed="false">
      <c r="A686" s="82" t="s">
        <v>1611</v>
      </c>
      <c r="B686" s="101" t="n">
        <v>46168</v>
      </c>
      <c r="C686" s="82" t="s">
        <v>470</v>
      </c>
      <c r="D686" s="82" t="s">
        <v>461</v>
      </c>
      <c r="E686" s="91" t="n">
        <v>1140000</v>
      </c>
      <c r="F686" s="82" t="s">
        <v>1612</v>
      </c>
      <c r="G686" s="82"/>
      <c r="H686" s="82"/>
      <c r="I686" s="82" t="s">
        <v>250</v>
      </c>
      <c r="J686" s="102" t="n">
        <f aca="false">IF(B686="","",MONTH(B686))</f>
        <v>5</v>
      </c>
      <c r="K686" s="102" t="n">
        <f aca="false">IF(B686="","",YEAR(B686))</f>
        <v>2026</v>
      </c>
      <c r="L686" s="102" t="str">
        <f aca="false">IF(N(E686)=0,"",IF(COUNTIFS(AK_NAMA,C686,AK_KAT,"KAS")+COUNTIFS(AK_NAMA,D686,AK_KAT,"KAS")&lt;&gt;1,"",IF(COUNTIFS(AK_NAMA,C686,AK_KAT,"KAS")=1,D686,C686)))</f>
        <v>Biaya Bahan Baku</v>
      </c>
      <c r="M686" s="103" t="n">
        <f aca="false">IF(L686="",0,IF(L686=D686,E686,-E686))</f>
        <v>-1140000</v>
      </c>
      <c r="N686" s="102" t="str">
        <f aca="false">IF(L686="","",IFERROR(INDEX(AK_BARIS,MATCH(L686,AK_NAMA,0)),"?"))</f>
        <v>OP3</v>
      </c>
      <c r="O686" s="102" t="str">
        <f aca="false">IF(C686="","",IFERROR(INDEX(AK_KEL,MATCH(C686,AK_NAMA,0)),"?"))</f>
        <v>BEBAN</v>
      </c>
      <c r="P686" s="102" t="str">
        <f aca="false">IF(D686="","",IFERROR(INDEX(AK_KEL,MATCH(D686,AK_NAMA,0)),"?"))</f>
        <v>ASET</v>
      </c>
      <c r="Q686" s="102" t="n">
        <f aca="false">N(Q685)+IF(AND(N(E686)&lt;&gt;0,K686=TAHUN,N(J686)&lt;=BLN,OR(C686=BB_AKUN,D686=BB_AKUN)),1,0)</f>
        <v>447</v>
      </c>
      <c r="R686" s="104" t="str">
        <f aca="false">IF(OR(C686&amp;D686="",N(E686)=0),"",IF(OR(O686="?",P686="?"),"⚠ akun tidak dikenal",IF(C686=D686,"⚠ debet = kredit","")))</f>
        <v/>
      </c>
    </row>
    <row r="687" customFormat="false" ht="15" hidden="false" customHeight="false" outlineLevel="0" collapsed="false">
      <c r="A687" s="82" t="s">
        <v>1613</v>
      </c>
      <c r="B687" s="101" t="n">
        <v>46168</v>
      </c>
      <c r="C687" s="82" t="s">
        <v>470</v>
      </c>
      <c r="D687" s="82" t="s">
        <v>461</v>
      </c>
      <c r="E687" s="91" t="n">
        <v>285000</v>
      </c>
      <c r="F687" s="82" t="s">
        <v>1614</v>
      </c>
      <c r="G687" s="82"/>
      <c r="H687" s="82"/>
      <c r="I687" s="82" t="s">
        <v>250</v>
      </c>
      <c r="J687" s="102" t="n">
        <f aca="false">IF(B687="","",MONTH(B687))</f>
        <v>5</v>
      </c>
      <c r="K687" s="102" t="n">
        <f aca="false">IF(B687="","",YEAR(B687))</f>
        <v>2026</v>
      </c>
      <c r="L687" s="102" t="str">
        <f aca="false">IF(N(E687)=0,"",IF(COUNTIFS(AK_NAMA,C687,AK_KAT,"KAS")+COUNTIFS(AK_NAMA,D687,AK_KAT,"KAS")&lt;&gt;1,"",IF(COUNTIFS(AK_NAMA,C687,AK_KAT,"KAS")=1,D687,C687)))</f>
        <v>Biaya Bahan Baku</v>
      </c>
      <c r="M687" s="103" t="n">
        <f aca="false">IF(L687="",0,IF(L687=D687,E687,-E687))</f>
        <v>-285000</v>
      </c>
      <c r="N687" s="102" t="str">
        <f aca="false">IF(L687="","",IFERROR(INDEX(AK_BARIS,MATCH(L687,AK_NAMA,0)),"?"))</f>
        <v>OP3</v>
      </c>
      <c r="O687" s="102" t="str">
        <f aca="false">IF(C687="","",IFERROR(INDEX(AK_KEL,MATCH(C687,AK_NAMA,0)),"?"))</f>
        <v>BEBAN</v>
      </c>
      <c r="P687" s="102" t="str">
        <f aca="false">IF(D687="","",IFERROR(INDEX(AK_KEL,MATCH(D687,AK_NAMA,0)),"?"))</f>
        <v>ASET</v>
      </c>
      <c r="Q687" s="102" t="n">
        <f aca="false">N(Q686)+IF(AND(N(E687)&lt;&gt;0,K687=TAHUN,N(J687)&lt;=BLN,OR(C687=BB_AKUN,D687=BB_AKUN)),1,0)</f>
        <v>448</v>
      </c>
      <c r="R687" s="104" t="str">
        <f aca="false">IF(OR(C687&amp;D687="",N(E687)=0),"",IF(OR(O687="?",P687="?"),"⚠ akun tidak dikenal",IF(C687=D687,"⚠ debet = kredit","")))</f>
        <v/>
      </c>
    </row>
    <row r="688" customFormat="false" ht="15" hidden="false" customHeight="false" outlineLevel="0" collapsed="false">
      <c r="A688" s="82" t="s">
        <v>1615</v>
      </c>
      <c r="B688" s="101" t="n">
        <v>46168</v>
      </c>
      <c r="C688" s="82" t="s">
        <v>576</v>
      </c>
      <c r="D688" s="82" t="s">
        <v>475</v>
      </c>
      <c r="E688" s="91" t="n">
        <v>280000</v>
      </c>
      <c r="F688" s="82" t="s">
        <v>577</v>
      </c>
      <c r="G688" s="82"/>
      <c r="H688" s="82"/>
      <c r="I688" s="82" t="s">
        <v>250</v>
      </c>
      <c r="J688" s="102" t="n">
        <f aca="false">IF(B688="","",MONTH(B688))</f>
        <v>5</v>
      </c>
      <c r="K688" s="102" t="n">
        <f aca="false">IF(B688="","",YEAR(B688))</f>
        <v>2026</v>
      </c>
      <c r="L688" s="102" t="str">
        <f aca="false">IF(N(E688)=0,"",IF(COUNTIFS(AK_NAMA,C688,AK_KAT,"KAS")+COUNTIFS(AK_NAMA,D688,AK_KAT,"KAS")&lt;&gt;1,"",IF(COUNTIFS(AK_NAMA,C688,AK_KAT,"KAS")=1,D688,C688)))</f>
        <v>Beban Gaji</v>
      </c>
      <c r="M688" s="103" t="n">
        <f aca="false">IF(L688="",0,IF(L688=D688,E688,-E688))</f>
        <v>-280000</v>
      </c>
      <c r="N688" s="102" t="str">
        <f aca="false">IF(L688="","",IFERROR(INDEX(AK_BARIS,MATCH(L688,AK_NAMA,0)),"?"))</f>
        <v>OP4</v>
      </c>
      <c r="O688" s="102" t="str">
        <f aca="false">IF(C688="","",IFERROR(INDEX(AK_KEL,MATCH(C688,AK_NAMA,0)),"?"))</f>
        <v>BEBAN</v>
      </c>
      <c r="P688" s="102" t="str">
        <f aca="false">IF(D688="","",IFERROR(INDEX(AK_KEL,MATCH(D688,AK_NAMA,0)),"?"))</f>
        <v>ASET</v>
      </c>
      <c r="Q688" s="102" t="n">
        <f aca="false">N(Q687)+IF(AND(N(E688)&lt;&gt;0,K688=TAHUN,N(J688)&lt;=BLN,OR(C688=BB_AKUN,D688=BB_AKUN)),1,0)</f>
        <v>448</v>
      </c>
      <c r="R688" s="104" t="str">
        <f aca="false">IF(OR(C688&amp;D688="",N(E688)=0),"",IF(OR(O688="?",P688="?"),"⚠ akun tidak dikenal",IF(C688=D688,"⚠ debet = kredit","")))</f>
        <v/>
      </c>
    </row>
    <row r="689" customFormat="false" ht="15" hidden="false" customHeight="false" outlineLevel="0" collapsed="false">
      <c r="A689" s="82" t="s">
        <v>1616</v>
      </c>
      <c r="B689" s="101" t="n">
        <v>46168</v>
      </c>
      <c r="C689" s="82" t="s">
        <v>470</v>
      </c>
      <c r="D689" s="82" t="s">
        <v>486</v>
      </c>
      <c r="E689" s="91" t="n">
        <v>5473300</v>
      </c>
      <c r="F689" s="82" t="s">
        <v>935</v>
      </c>
      <c r="G689" s="82"/>
      <c r="H689" s="82"/>
      <c r="I689" s="82" t="s">
        <v>250</v>
      </c>
      <c r="J689" s="102" t="n">
        <f aca="false">IF(B689="","",MONTH(B689))</f>
        <v>5</v>
      </c>
      <c r="K689" s="102" t="n">
        <f aca="false">IF(B689="","",YEAR(B689))</f>
        <v>2026</v>
      </c>
      <c r="L689" s="102" t="str">
        <f aca="false">IF(N(E689)=0,"",IF(COUNTIFS(AK_NAMA,C689,AK_KAT,"KAS")+COUNTIFS(AK_NAMA,D689,AK_KAT,"KAS")&lt;&gt;1,"",IF(COUNTIFS(AK_NAMA,C689,AK_KAT,"KAS")=1,D689,C689)))</f>
        <v>Biaya Bahan Baku</v>
      </c>
      <c r="M689" s="103" t="n">
        <f aca="false">IF(L689="",0,IF(L689=D689,E689,-E689))</f>
        <v>-5473300</v>
      </c>
      <c r="N689" s="102" t="str">
        <f aca="false">IF(L689="","",IFERROR(INDEX(AK_BARIS,MATCH(L689,AK_NAMA,0)),"?"))</f>
        <v>OP3</v>
      </c>
      <c r="O689" s="102" t="str">
        <f aca="false">IF(C689="","",IFERROR(INDEX(AK_KEL,MATCH(C689,AK_NAMA,0)),"?"))</f>
        <v>BEBAN</v>
      </c>
      <c r="P689" s="102" t="str">
        <f aca="false">IF(D689="","",IFERROR(INDEX(AK_KEL,MATCH(D689,AK_NAMA,0)),"?"))</f>
        <v>ASET</v>
      </c>
      <c r="Q689" s="102" t="n">
        <f aca="false">N(Q688)+IF(AND(N(E689)&lt;&gt;0,K689=TAHUN,N(J689)&lt;=BLN,OR(C689=BB_AKUN,D689=BB_AKUN)),1,0)</f>
        <v>448</v>
      </c>
      <c r="R689" s="104" t="str">
        <f aca="false">IF(OR(C689&amp;D689="",N(E689)=0),"",IF(OR(O689="?",P689="?"),"⚠ akun tidak dikenal",IF(C689=D689,"⚠ debet = kredit","")))</f>
        <v/>
      </c>
    </row>
    <row r="690" customFormat="false" ht="15" hidden="false" customHeight="false" outlineLevel="0" collapsed="false">
      <c r="A690" s="82" t="s">
        <v>1617</v>
      </c>
      <c r="B690" s="101" t="n">
        <v>46168</v>
      </c>
      <c r="C690" s="82" t="s">
        <v>478</v>
      </c>
      <c r="D690" s="82" t="s">
        <v>486</v>
      </c>
      <c r="E690" s="91" t="n">
        <v>1232700</v>
      </c>
      <c r="F690" s="82" t="s">
        <v>937</v>
      </c>
      <c r="G690" s="82"/>
      <c r="H690" s="82"/>
      <c r="I690" s="82" t="s">
        <v>250</v>
      </c>
      <c r="J690" s="102" t="n">
        <f aca="false">IF(B690="","",MONTH(B690))</f>
        <v>5</v>
      </c>
      <c r="K690" s="102" t="n">
        <f aca="false">IF(B690="","",YEAR(B690))</f>
        <v>2026</v>
      </c>
      <c r="L690" s="102" t="str">
        <f aca="false">IF(N(E690)=0,"",IF(COUNTIFS(AK_NAMA,C690,AK_KAT,"KAS")+COUNTIFS(AK_NAMA,D690,AK_KAT,"KAS")&lt;&gt;1,"",IF(COUNTIFS(AK_NAMA,C690,AK_KAT,"KAS")=1,D690,C690)))</f>
        <v>Biaya Penyajian</v>
      </c>
      <c r="M690" s="103" t="n">
        <f aca="false">IF(L690="",0,IF(L690=D690,E690,-E690))</f>
        <v>-1232700</v>
      </c>
      <c r="N690" s="102" t="str">
        <f aca="false">IF(L690="","",IFERROR(INDEX(AK_BARIS,MATCH(L690,AK_NAMA,0)),"?"))</f>
        <v>OP3</v>
      </c>
      <c r="O690" s="102" t="str">
        <f aca="false">IF(C690="","",IFERROR(INDEX(AK_KEL,MATCH(C690,AK_NAMA,0)),"?"))</f>
        <v>BEBAN</v>
      </c>
      <c r="P690" s="102" t="str">
        <f aca="false">IF(D690="","",IFERROR(INDEX(AK_KEL,MATCH(D690,AK_NAMA,0)),"?"))</f>
        <v>ASET</v>
      </c>
      <c r="Q690" s="102" t="n">
        <f aca="false">N(Q689)+IF(AND(N(E690)&lt;&gt;0,K690=TAHUN,N(J690)&lt;=BLN,OR(C690=BB_AKUN,D690=BB_AKUN)),1,0)</f>
        <v>448</v>
      </c>
      <c r="R690" s="104" t="str">
        <f aca="false">IF(OR(C690&amp;D690="",N(E690)=0),"",IF(OR(O690="?",P690="?"),"⚠ akun tidak dikenal",IF(C690=D690,"⚠ debet = kredit","")))</f>
        <v/>
      </c>
    </row>
    <row r="691" customFormat="false" ht="15" hidden="false" customHeight="false" outlineLevel="0" collapsed="false">
      <c r="A691" s="82" t="s">
        <v>1618</v>
      </c>
      <c r="B691" s="101" t="n">
        <v>46168</v>
      </c>
      <c r="C691" s="82" t="s">
        <v>548</v>
      </c>
      <c r="D691" s="82" t="s">
        <v>486</v>
      </c>
      <c r="E691" s="91" t="n">
        <v>27700</v>
      </c>
      <c r="F691" s="82" t="s">
        <v>939</v>
      </c>
      <c r="G691" s="82"/>
      <c r="H691" s="82"/>
      <c r="I691" s="82" t="s">
        <v>250</v>
      </c>
      <c r="J691" s="102" t="n">
        <f aca="false">IF(B691="","",MONTH(B691))</f>
        <v>5</v>
      </c>
      <c r="K691" s="102" t="n">
        <f aca="false">IF(B691="","",YEAR(B691))</f>
        <v>2026</v>
      </c>
      <c r="L691" s="102" t="str">
        <f aca="false">IF(N(E691)=0,"",IF(COUNTIFS(AK_NAMA,C691,AK_KAT,"KAS")+COUNTIFS(AK_NAMA,D691,AK_KAT,"KAS")&lt;&gt;1,"",IF(COUNTIFS(AK_NAMA,C691,AK_KAT,"KAS")=1,D691,C691)))</f>
        <v>Beban Perlengkapan</v>
      </c>
      <c r="M691" s="103" t="n">
        <f aca="false">IF(L691="",0,IF(L691=D691,E691,-E691))</f>
        <v>-27700</v>
      </c>
      <c r="N691" s="102" t="str">
        <f aca="false">IF(L691="","",IFERROR(INDEX(AK_BARIS,MATCH(L691,AK_NAMA,0)),"?"))</f>
        <v>OP6</v>
      </c>
      <c r="O691" s="102" t="str">
        <f aca="false">IF(C691="","",IFERROR(INDEX(AK_KEL,MATCH(C691,AK_NAMA,0)),"?"))</f>
        <v>BEBAN</v>
      </c>
      <c r="P691" s="102" t="str">
        <f aca="false">IF(D691="","",IFERROR(INDEX(AK_KEL,MATCH(D691,AK_NAMA,0)),"?"))</f>
        <v>ASET</v>
      </c>
      <c r="Q691" s="102" t="n">
        <f aca="false">N(Q690)+IF(AND(N(E691)&lt;&gt;0,K691=TAHUN,N(J691)&lt;=BLN,OR(C691=BB_AKUN,D691=BB_AKUN)),1,0)</f>
        <v>448</v>
      </c>
      <c r="R691" s="104" t="str">
        <f aca="false">IF(OR(C691&amp;D691="",N(E691)=0),"",IF(OR(O691="?",P691="?"),"⚠ akun tidak dikenal",IF(C691=D691,"⚠ debet = kredit","")))</f>
        <v/>
      </c>
    </row>
    <row r="692" customFormat="false" ht="15" hidden="false" customHeight="false" outlineLevel="0" collapsed="false">
      <c r="A692" s="82" t="s">
        <v>1619</v>
      </c>
      <c r="B692" s="101" t="n">
        <v>46168</v>
      </c>
      <c r="C692" s="82" t="s">
        <v>485</v>
      </c>
      <c r="D692" s="82" t="s">
        <v>486</v>
      </c>
      <c r="E692" s="91" t="n">
        <v>65500</v>
      </c>
      <c r="F692" s="82" t="s">
        <v>553</v>
      </c>
      <c r="G692" s="82"/>
      <c r="H692" s="82"/>
      <c r="I692" s="82" t="s">
        <v>250</v>
      </c>
      <c r="J692" s="102" t="n">
        <f aca="false">IF(B692="","",MONTH(B692))</f>
        <v>5</v>
      </c>
      <c r="K692" s="102" t="n">
        <f aca="false">IF(B692="","",YEAR(B692))</f>
        <v>2026</v>
      </c>
      <c r="L692" s="102" t="str">
        <f aca="false">IF(N(E692)=0,"",IF(COUNTIFS(AK_NAMA,C692,AK_KAT,"KAS")+COUNTIFS(AK_NAMA,D692,AK_KAT,"KAS")&lt;&gt;1,"",IF(COUNTIFS(AK_NAMA,C692,AK_KAT,"KAS")=1,D692,C692)))</f>
        <v>Biaya Operasional Harian</v>
      </c>
      <c r="M692" s="103" t="n">
        <f aca="false">IF(L692="",0,IF(L692=D692,E692,-E692))</f>
        <v>-65500</v>
      </c>
      <c r="N692" s="102" t="str">
        <f aca="false">IF(L692="","",IFERROR(INDEX(AK_BARIS,MATCH(L692,AK_NAMA,0)),"?"))</f>
        <v>OP6</v>
      </c>
      <c r="O692" s="102" t="str">
        <f aca="false">IF(C692="","",IFERROR(INDEX(AK_KEL,MATCH(C692,AK_NAMA,0)),"?"))</f>
        <v>BEBAN</v>
      </c>
      <c r="P692" s="102" t="str">
        <f aca="false">IF(D692="","",IFERROR(INDEX(AK_KEL,MATCH(D692,AK_NAMA,0)),"?"))</f>
        <v>ASET</v>
      </c>
      <c r="Q692" s="102" t="n">
        <f aca="false">N(Q691)+IF(AND(N(E692)&lt;&gt;0,K692=TAHUN,N(J692)&lt;=BLN,OR(C692=BB_AKUN,D692=BB_AKUN)),1,0)</f>
        <v>448</v>
      </c>
      <c r="R692" s="104" t="str">
        <f aca="false">IF(OR(C692&amp;D692="",N(E692)=0),"",IF(OR(O692="?",P692="?"),"⚠ akun tidak dikenal",IF(C692=D692,"⚠ debet = kredit","")))</f>
        <v/>
      </c>
    </row>
    <row r="693" customFormat="false" ht="15" hidden="false" customHeight="false" outlineLevel="0" collapsed="false">
      <c r="A693" s="82" t="s">
        <v>1620</v>
      </c>
      <c r="B693" s="101" t="n">
        <v>46168</v>
      </c>
      <c r="C693" s="82" t="s">
        <v>485</v>
      </c>
      <c r="D693" s="82" t="s">
        <v>486</v>
      </c>
      <c r="E693" s="91" t="n">
        <v>16000</v>
      </c>
      <c r="F693" s="82" t="s">
        <v>555</v>
      </c>
      <c r="G693" s="82"/>
      <c r="H693" s="82"/>
      <c r="I693" s="82" t="s">
        <v>250</v>
      </c>
      <c r="J693" s="102" t="n">
        <f aca="false">IF(B693="","",MONTH(B693))</f>
        <v>5</v>
      </c>
      <c r="K693" s="102" t="n">
        <f aca="false">IF(B693="","",YEAR(B693))</f>
        <v>2026</v>
      </c>
      <c r="L693" s="102" t="str">
        <f aca="false">IF(N(E693)=0,"",IF(COUNTIFS(AK_NAMA,C693,AK_KAT,"KAS")+COUNTIFS(AK_NAMA,D693,AK_KAT,"KAS")&lt;&gt;1,"",IF(COUNTIFS(AK_NAMA,C693,AK_KAT,"KAS")=1,D693,C693)))</f>
        <v>Biaya Operasional Harian</v>
      </c>
      <c r="M693" s="103" t="n">
        <f aca="false">IF(L693="",0,IF(L693=D693,E693,-E693))</f>
        <v>-16000</v>
      </c>
      <c r="N693" s="102" t="str">
        <f aca="false">IF(L693="","",IFERROR(INDEX(AK_BARIS,MATCH(L693,AK_NAMA,0)),"?"))</f>
        <v>OP6</v>
      </c>
      <c r="O693" s="102" t="str">
        <f aca="false">IF(C693="","",IFERROR(INDEX(AK_KEL,MATCH(C693,AK_NAMA,0)),"?"))</f>
        <v>BEBAN</v>
      </c>
      <c r="P693" s="102" t="str">
        <f aca="false">IF(D693="","",IFERROR(INDEX(AK_KEL,MATCH(D693,AK_NAMA,0)),"?"))</f>
        <v>ASET</v>
      </c>
      <c r="Q693" s="102" t="n">
        <f aca="false">N(Q692)+IF(AND(N(E693)&lt;&gt;0,K693=TAHUN,N(J693)&lt;=BLN,OR(C693=BB_AKUN,D693=BB_AKUN)),1,0)</f>
        <v>448</v>
      </c>
      <c r="R693" s="104" t="str">
        <f aca="false">IF(OR(C693&amp;D693="",N(E693)=0),"",IF(OR(O693="?",P693="?"),"⚠ akun tidak dikenal",IF(C693=D693,"⚠ debet = kredit","")))</f>
        <v/>
      </c>
    </row>
    <row r="694" customFormat="false" ht="15" hidden="false" customHeight="false" outlineLevel="0" collapsed="false">
      <c r="A694" s="82" t="s">
        <v>1621</v>
      </c>
      <c r="B694" s="101" t="n">
        <v>46168</v>
      </c>
      <c r="C694" s="82" t="s">
        <v>524</v>
      </c>
      <c r="D694" s="82" t="s">
        <v>486</v>
      </c>
      <c r="E694" s="91" t="n">
        <v>800</v>
      </c>
      <c r="F694" s="82" t="s">
        <v>1414</v>
      </c>
      <c r="G694" s="82"/>
      <c r="H694" s="82"/>
      <c r="I694" s="82" t="s">
        <v>250</v>
      </c>
      <c r="J694" s="102" t="n">
        <f aca="false">IF(B694="","",MONTH(B694))</f>
        <v>5</v>
      </c>
      <c r="K694" s="102" t="n">
        <f aca="false">IF(B694="","",YEAR(B694))</f>
        <v>2026</v>
      </c>
      <c r="L694" s="102" t="str">
        <f aca="false">IF(N(E694)=0,"",IF(COUNTIFS(AK_NAMA,C694,AK_KAT,"KAS")+COUNTIFS(AK_NAMA,D694,AK_KAT,"KAS")&lt;&gt;1,"",IF(COUNTIFS(AK_NAMA,C694,AK_KAT,"KAS")=1,D694,C694)))</f>
        <v>Biaya Lainnya</v>
      </c>
      <c r="M694" s="103" t="n">
        <f aca="false">IF(L694="",0,IF(L694=D694,E694,-E694))</f>
        <v>-800</v>
      </c>
      <c r="N694" s="102" t="str">
        <f aca="false">IF(L694="","",IFERROR(INDEX(AK_BARIS,MATCH(L694,AK_NAMA,0)),"?"))</f>
        <v>OP2</v>
      </c>
      <c r="O694" s="102" t="str">
        <f aca="false">IF(C694="","",IFERROR(INDEX(AK_KEL,MATCH(C694,AK_NAMA,0)),"?"))</f>
        <v>BEBAN</v>
      </c>
      <c r="P694" s="102" t="str">
        <f aca="false">IF(D694="","",IFERROR(INDEX(AK_KEL,MATCH(D694,AK_NAMA,0)),"?"))</f>
        <v>ASET</v>
      </c>
      <c r="Q694" s="102" t="n">
        <f aca="false">N(Q693)+IF(AND(N(E694)&lt;&gt;0,K694=TAHUN,N(J694)&lt;=BLN,OR(C694=BB_AKUN,D694=BB_AKUN)),1,0)</f>
        <v>448</v>
      </c>
      <c r="R694" s="104" t="str">
        <f aca="false">IF(OR(C694&amp;D694="",N(E694)=0),"",IF(OR(O694="?",P694="?"),"⚠ akun tidak dikenal",IF(C694=D694,"⚠ debet = kredit","")))</f>
        <v/>
      </c>
    </row>
    <row r="695" customFormat="false" ht="15" hidden="false" customHeight="false" outlineLevel="0" collapsed="false">
      <c r="A695" s="82" t="s">
        <v>1622</v>
      </c>
      <c r="B695" s="101" t="n">
        <v>46168</v>
      </c>
      <c r="C695" s="82" t="s">
        <v>475</v>
      </c>
      <c r="D695" s="82" t="s">
        <v>486</v>
      </c>
      <c r="E695" s="91" t="n">
        <v>170000</v>
      </c>
      <c r="F695" s="82" t="s">
        <v>1142</v>
      </c>
      <c r="G695" s="82"/>
      <c r="H695" s="82"/>
      <c r="I695" s="82" t="s">
        <v>250</v>
      </c>
      <c r="J695" s="102" t="n">
        <f aca="false">IF(B695="","",MONTH(B695))</f>
        <v>5</v>
      </c>
      <c r="K695" s="102" t="n">
        <f aca="false">IF(B695="","",YEAR(B695))</f>
        <v>2026</v>
      </c>
      <c r="L695" s="102" t="str">
        <f aca="false">IF(N(E695)=0,"",IF(COUNTIFS(AK_NAMA,C695,AK_KAT,"KAS")+COUNTIFS(AK_NAMA,D695,AK_KAT,"KAS")&lt;&gt;1,"",IF(COUNTIFS(AK_NAMA,C695,AK_KAT,"KAS")=1,D695,C695)))</f>
        <v/>
      </c>
      <c r="M695" s="103" t="n">
        <f aca="false">IF(L695="",0,IF(L695=D695,E695,-E695))</f>
        <v>0</v>
      </c>
      <c r="N695" s="102" t="str">
        <f aca="false">IF(L695="","",IFERROR(INDEX(AK_BARIS,MATCH(L695,AK_NAMA,0)),"?"))</f>
        <v/>
      </c>
      <c r="O695" s="102" t="str">
        <f aca="false">IF(C695="","",IFERROR(INDEX(AK_KEL,MATCH(C695,AK_NAMA,0)),"?"))</f>
        <v>ASET</v>
      </c>
      <c r="P695" s="102" t="str">
        <f aca="false">IF(D695="","",IFERROR(INDEX(AK_KEL,MATCH(D695,AK_NAMA,0)),"?"))</f>
        <v>ASET</v>
      </c>
      <c r="Q695" s="102" t="n">
        <f aca="false">N(Q694)+IF(AND(N(E695)&lt;&gt;0,K695=TAHUN,N(J695)&lt;=BLN,OR(C695=BB_AKUN,D695=BB_AKUN)),1,0)</f>
        <v>448</v>
      </c>
      <c r="R695" s="104" t="str">
        <f aca="false">IF(OR(C695&amp;D695="",N(E695)=0),"",IF(OR(O695="?",P695="?"),"⚠ akun tidak dikenal",IF(C695=D695,"⚠ debet = kredit","")))</f>
        <v/>
      </c>
    </row>
    <row r="696" customFormat="false" ht="15" hidden="false" customHeight="false" outlineLevel="0" collapsed="false">
      <c r="A696" s="82" t="s">
        <v>1623</v>
      </c>
      <c r="B696" s="101" t="n">
        <v>46168</v>
      </c>
      <c r="C696" s="82" t="s">
        <v>486</v>
      </c>
      <c r="D696" s="82" t="s">
        <v>475</v>
      </c>
      <c r="E696" s="91" t="n">
        <v>500000</v>
      </c>
      <c r="F696" s="82" t="s">
        <v>1624</v>
      </c>
      <c r="G696" s="82"/>
      <c r="H696" s="82"/>
      <c r="I696" s="82" t="s">
        <v>250</v>
      </c>
      <c r="J696" s="102" t="n">
        <f aca="false">IF(B696="","",MONTH(B696))</f>
        <v>5</v>
      </c>
      <c r="K696" s="102" t="n">
        <f aca="false">IF(B696="","",YEAR(B696))</f>
        <v>2026</v>
      </c>
      <c r="L696" s="102" t="str">
        <f aca="false">IF(N(E696)=0,"",IF(COUNTIFS(AK_NAMA,C696,AK_KAT,"KAS")+COUNTIFS(AK_NAMA,D696,AK_KAT,"KAS")&lt;&gt;1,"",IF(COUNTIFS(AK_NAMA,C696,AK_KAT,"KAS")=1,D696,C696)))</f>
        <v/>
      </c>
      <c r="M696" s="103" t="n">
        <f aca="false">IF(L696="",0,IF(L696=D696,E696,-E696))</f>
        <v>0</v>
      </c>
      <c r="N696" s="102" t="str">
        <f aca="false">IF(L696="","",IFERROR(INDEX(AK_BARIS,MATCH(L696,AK_NAMA,0)),"?"))</f>
        <v/>
      </c>
      <c r="O696" s="102" t="str">
        <f aca="false">IF(C696="","",IFERROR(INDEX(AK_KEL,MATCH(C696,AK_NAMA,0)),"?"))</f>
        <v>ASET</v>
      </c>
      <c r="P696" s="102" t="str">
        <f aca="false">IF(D696="","",IFERROR(INDEX(AK_KEL,MATCH(D696,AK_NAMA,0)),"?"))</f>
        <v>ASET</v>
      </c>
      <c r="Q696" s="102" t="n">
        <f aca="false">N(Q695)+IF(AND(N(E696)&lt;&gt;0,K696=TAHUN,N(J696)&lt;=BLN,OR(C696=BB_AKUN,D696=BB_AKUN)),1,0)</f>
        <v>448</v>
      </c>
      <c r="R696" s="104" t="str">
        <f aca="false">IF(OR(C696&amp;D696="",N(E696)=0),"",IF(OR(O696="?",P696="?"),"⚠ akun tidak dikenal",IF(C696=D696,"⚠ debet = kredit","")))</f>
        <v/>
      </c>
    </row>
    <row r="697" customFormat="false" ht="15" hidden="false" customHeight="false" outlineLevel="0" collapsed="false">
      <c r="A697" s="82" t="s">
        <v>1625</v>
      </c>
      <c r="B697" s="101" t="n">
        <v>46170</v>
      </c>
      <c r="C697" s="82" t="s">
        <v>455</v>
      </c>
      <c r="D697" s="82" t="s">
        <v>461</v>
      </c>
      <c r="E697" s="91" t="n">
        <v>295000</v>
      </c>
      <c r="F697" s="82" t="s">
        <v>1626</v>
      </c>
      <c r="G697" s="82"/>
      <c r="H697" s="82"/>
      <c r="I697" s="82" t="s">
        <v>250</v>
      </c>
      <c r="J697" s="102" t="n">
        <f aca="false">IF(B697="","",MONTH(B697))</f>
        <v>5</v>
      </c>
      <c r="K697" s="102" t="n">
        <f aca="false">IF(B697="","",YEAR(B697))</f>
        <v>2026</v>
      </c>
      <c r="L697" s="102" t="str">
        <f aca="false">IF(N(E697)=0,"",IF(COUNTIFS(AK_NAMA,C697,AK_KAT,"KAS")+COUNTIFS(AK_NAMA,D697,AK_KAT,"KAS")&lt;&gt;1,"",IF(COUNTIFS(AK_NAMA,C697,AK_KAT,"KAS")=1,D697,C697)))</f>
        <v>Biaya Pemeliharaan</v>
      </c>
      <c r="M697" s="103" t="n">
        <f aca="false">IF(L697="",0,IF(L697=D697,E697,-E697))</f>
        <v>-295000</v>
      </c>
      <c r="N697" s="102" t="str">
        <f aca="false">IF(L697="","",IFERROR(INDEX(AK_BARIS,MATCH(L697,AK_NAMA,0)),"?"))</f>
        <v>OP6</v>
      </c>
      <c r="O697" s="102" t="str">
        <f aca="false">IF(C697="","",IFERROR(INDEX(AK_KEL,MATCH(C697,AK_NAMA,0)),"?"))</f>
        <v>BEBAN</v>
      </c>
      <c r="P697" s="102" t="str">
        <f aca="false">IF(D697="","",IFERROR(INDEX(AK_KEL,MATCH(D697,AK_NAMA,0)),"?"))</f>
        <v>ASET</v>
      </c>
      <c r="Q697" s="102" t="n">
        <f aca="false">N(Q696)+IF(AND(N(E697)&lt;&gt;0,K697=TAHUN,N(J697)&lt;=BLN,OR(C697=BB_AKUN,D697=BB_AKUN)),1,0)</f>
        <v>449</v>
      </c>
      <c r="R697" s="104" t="str">
        <f aca="false">IF(OR(C697&amp;D697="",N(E697)=0),"",IF(OR(O697="?",P697="?"),"⚠ akun tidak dikenal",IF(C697=D697,"⚠ debet = kredit","")))</f>
        <v/>
      </c>
    </row>
    <row r="698" customFormat="false" ht="15" hidden="false" customHeight="false" outlineLevel="0" collapsed="false">
      <c r="A698" s="82" t="s">
        <v>1627</v>
      </c>
      <c r="B698" s="101" t="n">
        <v>46170</v>
      </c>
      <c r="C698" s="82" t="s">
        <v>461</v>
      </c>
      <c r="D698" s="82" t="s">
        <v>475</v>
      </c>
      <c r="E698" s="91" t="n">
        <v>270000</v>
      </c>
      <c r="F698" s="82" t="s">
        <v>1509</v>
      </c>
      <c r="G698" s="82"/>
      <c r="H698" s="82"/>
      <c r="I698" s="82" t="s">
        <v>250</v>
      </c>
      <c r="J698" s="102" t="n">
        <f aca="false">IF(B698="","",MONTH(B698))</f>
        <v>5</v>
      </c>
      <c r="K698" s="102" t="n">
        <f aca="false">IF(B698="","",YEAR(B698))</f>
        <v>2026</v>
      </c>
      <c r="L698" s="102" t="str">
        <f aca="false">IF(N(E698)=0,"",IF(COUNTIFS(AK_NAMA,C698,AK_KAT,"KAS")+COUNTIFS(AK_NAMA,D698,AK_KAT,"KAS")&lt;&gt;1,"",IF(COUNTIFS(AK_NAMA,C698,AK_KAT,"KAS")=1,D698,C698)))</f>
        <v/>
      </c>
      <c r="M698" s="103" t="n">
        <f aca="false">IF(L698="",0,IF(L698=D698,E698,-E698))</f>
        <v>0</v>
      </c>
      <c r="N698" s="102" t="str">
        <f aca="false">IF(L698="","",IFERROR(INDEX(AK_BARIS,MATCH(L698,AK_NAMA,0)),"?"))</f>
        <v/>
      </c>
      <c r="O698" s="102" t="str">
        <f aca="false">IF(C698="","",IFERROR(INDEX(AK_KEL,MATCH(C698,AK_NAMA,0)),"?"))</f>
        <v>ASET</v>
      </c>
      <c r="P698" s="102" t="str">
        <f aca="false">IF(D698="","",IFERROR(INDEX(AK_KEL,MATCH(D698,AK_NAMA,0)),"?"))</f>
        <v>ASET</v>
      </c>
      <c r="Q698" s="102" t="n">
        <f aca="false">N(Q697)+IF(AND(N(E698)&lt;&gt;0,K698=TAHUN,N(J698)&lt;=BLN,OR(C698=BB_AKUN,D698=BB_AKUN)),1,0)</f>
        <v>450</v>
      </c>
      <c r="R698" s="104" t="str">
        <f aca="false">IF(OR(C698&amp;D698="",N(E698)=0),"",IF(OR(O698="?",P698="?"),"⚠ akun tidak dikenal",IF(C698=D698,"⚠ debet = kredit","")))</f>
        <v/>
      </c>
    </row>
    <row r="699" customFormat="false" ht="15" hidden="false" customHeight="false" outlineLevel="0" collapsed="false">
      <c r="A699" s="82" t="s">
        <v>1628</v>
      </c>
      <c r="B699" s="101" t="n">
        <v>46170</v>
      </c>
      <c r="C699" s="82" t="s">
        <v>475</v>
      </c>
      <c r="D699" s="82" t="s">
        <v>461</v>
      </c>
      <c r="E699" s="91" t="n">
        <v>2705000</v>
      </c>
      <c r="F699" s="82" t="s">
        <v>1629</v>
      </c>
      <c r="G699" s="82"/>
      <c r="H699" s="82"/>
      <c r="I699" s="82" t="s">
        <v>250</v>
      </c>
      <c r="J699" s="102" t="n">
        <f aca="false">IF(B699="","",MONTH(B699))</f>
        <v>5</v>
      </c>
      <c r="K699" s="102" t="n">
        <f aca="false">IF(B699="","",YEAR(B699))</f>
        <v>2026</v>
      </c>
      <c r="L699" s="102" t="str">
        <f aca="false">IF(N(E699)=0,"",IF(COUNTIFS(AK_NAMA,C699,AK_KAT,"KAS")+COUNTIFS(AK_NAMA,D699,AK_KAT,"KAS")&lt;&gt;1,"",IF(COUNTIFS(AK_NAMA,C699,AK_KAT,"KAS")=1,D699,C699)))</f>
        <v/>
      </c>
      <c r="M699" s="103" t="n">
        <f aca="false">IF(L699="",0,IF(L699=D699,E699,-E699))</f>
        <v>0</v>
      </c>
      <c r="N699" s="102" t="str">
        <f aca="false">IF(L699="","",IFERROR(INDEX(AK_BARIS,MATCH(L699,AK_NAMA,0)),"?"))</f>
        <v/>
      </c>
      <c r="O699" s="102" t="str">
        <f aca="false">IF(C699="","",IFERROR(INDEX(AK_KEL,MATCH(C699,AK_NAMA,0)),"?"))</f>
        <v>ASET</v>
      </c>
      <c r="P699" s="102" t="str">
        <f aca="false">IF(D699="","",IFERROR(INDEX(AK_KEL,MATCH(D699,AK_NAMA,0)),"?"))</f>
        <v>ASET</v>
      </c>
      <c r="Q699" s="102" t="n">
        <f aca="false">N(Q698)+IF(AND(N(E699)&lt;&gt;0,K699=TAHUN,N(J699)&lt;=BLN,OR(C699=BB_AKUN,D699=BB_AKUN)),1,0)</f>
        <v>451</v>
      </c>
      <c r="R699" s="104" t="str">
        <f aca="false">IF(OR(C699&amp;D699="",N(E699)=0),"",IF(OR(O699="?",P699="?"),"⚠ akun tidak dikenal",IF(C699=D699,"⚠ debet = kredit","")))</f>
        <v/>
      </c>
    </row>
    <row r="700" customFormat="false" ht="15" hidden="false" customHeight="false" outlineLevel="0" collapsed="false">
      <c r="A700" s="82" t="s">
        <v>1630</v>
      </c>
      <c r="B700" s="101" t="n">
        <v>46170</v>
      </c>
      <c r="C700" s="82" t="s">
        <v>524</v>
      </c>
      <c r="D700" s="82" t="s">
        <v>461</v>
      </c>
      <c r="E700" s="91" t="n">
        <v>325</v>
      </c>
      <c r="F700" s="82" t="s">
        <v>1631</v>
      </c>
      <c r="G700" s="82"/>
      <c r="H700" s="82"/>
      <c r="I700" s="82" t="s">
        <v>250</v>
      </c>
      <c r="J700" s="102" t="n">
        <f aca="false">IF(B700="","",MONTH(B700))</f>
        <v>5</v>
      </c>
      <c r="K700" s="102" t="n">
        <f aca="false">IF(B700="","",YEAR(B700))</f>
        <v>2026</v>
      </c>
      <c r="L700" s="102" t="str">
        <f aca="false">IF(N(E700)=0,"",IF(COUNTIFS(AK_NAMA,C700,AK_KAT,"KAS")+COUNTIFS(AK_NAMA,D700,AK_KAT,"KAS")&lt;&gt;1,"",IF(COUNTIFS(AK_NAMA,C700,AK_KAT,"KAS")=1,D700,C700)))</f>
        <v>Biaya Lainnya</v>
      </c>
      <c r="M700" s="103" t="n">
        <f aca="false">IF(L700="",0,IF(L700=D700,E700,-E700))</f>
        <v>-325</v>
      </c>
      <c r="N700" s="102" t="str">
        <f aca="false">IF(L700="","",IFERROR(INDEX(AK_BARIS,MATCH(L700,AK_NAMA,0)),"?"))</f>
        <v>OP2</v>
      </c>
      <c r="O700" s="102" t="str">
        <f aca="false">IF(C700="","",IFERROR(INDEX(AK_KEL,MATCH(C700,AK_NAMA,0)),"?"))</f>
        <v>BEBAN</v>
      </c>
      <c r="P700" s="102" t="str">
        <f aca="false">IF(D700="","",IFERROR(INDEX(AK_KEL,MATCH(D700,AK_NAMA,0)),"?"))</f>
        <v>ASET</v>
      </c>
      <c r="Q700" s="102" t="n">
        <f aca="false">N(Q699)+IF(AND(N(E700)&lt;&gt;0,K700=TAHUN,N(J700)&lt;=BLN,OR(C700=BB_AKUN,D700=BB_AKUN)),1,0)</f>
        <v>452</v>
      </c>
      <c r="R700" s="104" t="str">
        <f aca="false">IF(OR(C700&amp;D700="",N(E700)=0),"",IF(OR(O700="?",P700="?"),"⚠ akun tidak dikenal",IF(C700=D700,"⚠ debet = kredit","")))</f>
        <v/>
      </c>
    </row>
    <row r="701" customFormat="false" ht="15" hidden="false" customHeight="false" outlineLevel="0" collapsed="false">
      <c r="A701" s="82" t="s">
        <v>1632</v>
      </c>
      <c r="B701" s="101" t="n">
        <v>46170</v>
      </c>
      <c r="C701" s="82" t="s">
        <v>475</v>
      </c>
      <c r="D701" s="82" t="s">
        <v>557</v>
      </c>
      <c r="E701" s="91" t="n">
        <v>500</v>
      </c>
      <c r="F701" s="82" t="s">
        <v>1633</v>
      </c>
      <c r="G701" s="82"/>
      <c r="H701" s="82"/>
      <c r="I701" s="82" t="s">
        <v>250</v>
      </c>
      <c r="J701" s="102" t="n">
        <f aca="false">IF(B701="","",MONTH(B701))</f>
        <v>5</v>
      </c>
      <c r="K701" s="102" t="n">
        <f aca="false">IF(B701="","",YEAR(B701))</f>
        <v>2026</v>
      </c>
      <c r="L701" s="102" t="str">
        <f aca="false">IF(N(E701)=0,"",IF(COUNTIFS(AK_NAMA,C701,AK_KAT,"KAS")+COUNTIFS(AK_NAMA,D701,AK_KAT,"KAS")&lt;&gt;1,"",IF(COUNTIFS(AK_NAMA,C701,AK_KAT,"KAS")=1,D701,C701)))</f>
        <v>Pendapatan Lainnya</v>
      </c>
      <c r="M701" s="103" t="n">
        <f aca="false">IF(L701="",0,IF(L701=D701,E701,-E701))</f>
        <v>500</v>
      </c>
      <c r="N701" s="102" t="str">
        <f aca="false">IF(L701="","",IFERROR(INDEX(AK_BARIS,MATCH(L701,AK_NAMA,0)),"?"))</f>
        <v>OP2</v>
      </c>
      <c r="O701" s="102" t="str">
        <f aca="false">IF(C701="","",IFERROR(INDEX(AK_KEL,MATCH(C701,AK_NAMA,0)),"?"))</f>
        <v>ASET</v>
      </c>
      <c r="P701" s="102" t="str">
        <f aca="false">IF(D701="","",IFERROR(INDEX(AK_KEL,MATCH(D701,AK_NAMA,0)),"?"))</f>
        <v>PENDAPATAN</v>
      </c>
      <c r="Q701" s="102" t="n">
        <f aca="false">N(Q700)+IF(AND(N(E701)&lt;&gt;0,K701=TAHUN,N(J701)&lt;=BLN,OR(C701=BB_AKUN,D701=BB_AKUN)),1,0)</f>
        <v>452</v>
      </c>
      <c r="R701" s="104" t="str">
        <f aca="false">IF(OR(C701&amp;D701="",N(E701)=0),"",IF(OR(O701="?",P701="?"),"⚠ akun tidak dikenal",IF(C701=D701,"⚠ debet = kredit","")))</f>
        <v/>
      </c>
    </row>
    <row r="702" customFormat="false" ht="15" hidden="false" customHeight="false" outlineLevel="0" collapsed="false">
      <c r="A702" s="82" t="s">
        <v>1634</v>
      </c>
      <c r="B702" s="101" t="n">
        <v>46170</v>
      </c>
      <c r="C702" s="82" t="s">
        <v>478</v>
      </c>
      <c r="D702" s="82" t="s">
        <v>461</v>
      </c>
      <c r="E702" s="91" t="n">
        <v>870000</v>
      </c>
      <c r="F702" s="82" t="s">
        <v>1635</v>
      </c>
      <c r="G702" s="82"/>
      <c r="H702" s="82"/>
      <c r="I702" s="82" t="s">
        <v>250</v>
      </c>
      <c r="J702" s="102" t="n">
        <f aca="false">IF(B702="","",MONTH(B702))</f>
        <v>5</v>
      </c>
      <c r="K702" s="102" t="n">
        <f aca="false">IF(B702="","",YEAR(B702))</f>
        <v>2026</v>
      </c>
      <c r="L702" s="102" t="str">
        <f aca="false">IF(N(E702)=0,"",IF(COUNTIFS(AK_NAMA,C702,AK_KAT,"KAS")+COUNTIFS(AK_NAMA,D702,AK_KAT,"KAS")&lt;&gt;1,"",IF(COUNTIFS(AK_NAMA,C702,AK_KAT,"KAS")=1,D702,C702)))</f>
        <v>Biaya Penyajian</v>
      </c>
      <c r="M702" s="103" t="n">
        <f aca="false">IF(L702="",0,IF(L702=D702,E702,-E702))</f>
        <v>-870000</v>
      </c>
      <c r="N702" s="102" t="str">
        <f aca="false">IF(L702="","",IFERROR(INDEX(AK_BARIS,MATCH(L702,AK_NAMA,0)),"?"))</f>
        <v>OP3</v>
      </c>
      <c r="O702" s="102" t="str">
        <f aca="false">IF(C702="","",IFERROR(INDEX(AK_KEL,MATCH(C702,AK_NAMA,0)),"?"))</f>
        <v>BEBAN</v>
      </c>
      <c r="P702" s="102" t="str">
        <f aca="false">IF(D702="","",IFERROR(INDEX(AK_KEL,MATCH(D702,AK_NAMA,0)),"?"))</f>
        <v>ASET</v>
      </c>
      <c r="Q702" s="102" t="n">
        <f aca="false">N(Q701)+IF(AND(N(E702)&lt;&gt;0,K702=TAHUN,N(J702)&lt;=BLN,OR(C702=BB_AKUN,D702=BB_AKUN)),1,0)</f>
        <v>453</v>
      </c>
      <c r="R702" s="104" t="str">
        <f aca="false">IF(OR(C702&amp;D702="",N(E702)=0),"",IF(OR(O702="?",P702="?"),"⚠ akun tidak dikenal",IF(C702=D702,"⚠ debet = kredit","")))</f>
        <v/>
      </c>
    </row>
    <row r="703" customFormat="false" ht="15" hidden="false" customHeight="false" outlineLevel="0" collapsed="false">
      <c r="A703" s="82" t="s">
        <v>1636</v>
      </c>
      <c r="B703" s="101" t="n">
        <v>46170</v>
      </c>
      <c r="C703" s="82" t="s">
        <v>470</v>
      </c>
      <c r="D703" s="82" t="s">
        <v>461</v>
      </c>
      <c r="E703" s="91" t="n">
        <v>2899000</v>
      </c>
      <c r="F703" s="82" t="s">
        <v>1637</v>
      </c>
      <c r="G703" s="82"/>
      <c r="H703" s="82"/>
      <c r="I703" s="82" t="s">
        <v>250</v>
      </c>
      <c r="J703" s="102" t="n">
        <f aca="false">IF(B703="","",MONTH(B703))</f>
        <v>5</v>
      </c>
      <c r="K703" s="102" t="n">
        <f aca="false">IF(B703="","",YEAR(B703))</f>
        <v>2026</v>
      </c>
      <c r="L703" s="102" t="str">
        <f aca="false">IF(N(E703)=0,"",IF(COUNTIFS(AK_NAMA,C703,AK_KAT,"KAS")+COUNTIFS(AK_NAMA,D703,AK_KAT,"KAS")&lt;&gt;1,"",IF(COUNTIFS(AK_NAMA,C703,AK_KAT,"KAS")=1,D703,C703)))</f>
        <v>Biaya Bahan Baku</v>
      </c>
      <c r="M703" s="103" t="n">
        <f aca="false">IF(L703="",0,IF(L703=D703,E703,-E703))</f>
        <v>-2899000</v>
      </c>
      <c r="N703" s="102" t="str">
        <f aca="false">IF(L703="","",IFERROR(INDEX(AK_BARIS,MATCH(L703,AK_NAMA,0)),"?"))</f>
        <v>OP3</v>
      </c>
      <c r="O703" s="102" t="str">
        <f aca="false">IF(C703="","",IFERROR(INDEX(AK_KEL,MATCH(C703,AK_NAMA,0)),"?"))</f>
        <v>BEBAN</v>
      </c>
      <c r="P703" s="102" t="str">
        <f aca="false">IF(D703="","",IFERROR(INDEX(AK_KEL,MATCH(D703,AK_NAMA,0)),"?"))</f>
        <v>ASET</v>
      </c>
      <c r="Q703" s="102" t="n">
        <f aca="false">N(Q702)+IF(AND(N(E703)&lt;&gt;0,K703=TAHUN,N(J703)&lt;=BLN,OR(C703=BB_AKUN,D703=BB_AKUN)),1,0)</f>
        <v>454</v>
      </c>
      <c r="R703" s="104" t="str">
        <f aca="false">IF(OR(C703&amp;D703="",N(E703)=0),"",IF(OR(O703="?",P703="?"),"⚠ akun tidak dikenal",IF(C703=D703,"⚠ debet = kredit","")))</f>
        <v/>
      </c>
    </row>
    <row r="704" customFormat="false" ht="15" hidden="false" customHeight="false" outlineLevel="0" collapsed="false">
      <c r="A704" s="82" t="s">
        <v>1638</v>
      </c>
      <c r="B704" s="101" t="n">
        <v>46171</v>
      </c>
      <c r="C704" s="82" t="s">
        <v>576</v>
      </c>
      <c r="D704" s="82" t="s">
        <v>461</v>
      </c>
      <c r="E704" s="91" t="n">
        <v>24125333</v>
      </c>
      <c r="F704" s="82" t="s">
        <v>1639</v>
      </c>
      <c r="G704" s="82"/>
      <c r="H704" s="82"/>
      <c r="I704" s="82" t="s">
        <v>250</v>
      </c>
      <c r="J704" s="102" t="n">
        <f aca="false">IF(B704="","",MONTH(B704))</f>
        <v>5</v>
      </c>
      <c r="K704" s="102" t="n">
        <f aca="false">IF(B704="","",YEAR(B704))</f>
        <v>2026</v>
      </c>
      <c r="L704" s="102" t="str">
        <f aca="false">IF(N(E704)=0,"",IF(COUNTIFS(AK_NAMA,C704,AK_KAT,"KAS")+COUNTIFS(AK_NAMA,D704,AK_KAT,"KAS")&lt;&gt;1,"",IF(COUNTIFS(AK_NAMA,C704,AK_KAT,"KAS")=1,D704,C704)))</f>
        <v>Beban Gaji</v>
      </c>
      <c r="M704" s="103" t="n">
        <f aca="false">IF(L704="",0,IF(L704=D704,E704,-E704))</f>
        <v>-24125333</v>
      </c>
      <c r="N704" s="102" t="str">
        <f aca="false">IF(L704="","",IFERROR(INDEX(AK_BARIS,MATCH(L704,AK_NAMA,0)),"?"))</f>
        <v>OP4</v>
      </c>
      <c r="O704" s="102" t="str">
        <f aca="false">IF(C704="","",IFERROR(INDEX(AK_KEL,MATCH(C704,AK_NAMA,0)),"?"))</f>
        <v>BEBAN</v>
      </c>
      <c r="P704" s="102" t="str">
        <f aca="false">IF(D704="","",IFERROR(INDEX(AK_KEL,MATCH(D704,AK_NAMA,0)),"?"))</f>
        <v>ASET</v>
      </c>
      <c r="Q704" s="102" t="n">
        <f aca="false">N(Q703)+IF(AND(N(E704)&lt;&gt;0,K704=TAHUN,N(J704)&lt;=BLN,OR(C704=BB_AKUN,D704=BB_AKUN)),1,0)</f>
        <v>455</v>
      </c>
      <c r="R704" s="104" t="str">
        <f aca="false">IF(OR(C704&amp;D704="",N(E704)=0),"",IF(OR(O704="?",P704="?"),"⚠ akun tidak dikenal",IF(C704=D704,"⚠ debet = kredit","")))</f>
        <v/>
      </c>
    </row>
    <row r="705" customFormat="false" ht="15" hidden="false" customHeight="false" outlineLevel="0" collapsed="false">
      <c r="A705" s="82" t="s">
        <v>1640</v>
      </c>
      <c r="B705" s="101" t="n">
        <v>46171</v>
      </c>
      <c r="C705" s="82" t="s">
        <v>461</v>
      </c>
      <c r="D705" s="82" t="s">
        <v>718</v>
      </c>
      <c r="E705" s="91" t="n">
        <v>333333</v>
      </c>
      <c r="F705" s="82" t="s">
        <v>1641</v>
      </c>
      <c r="G705" s="82"/>
      <c r="H705" s="82" t="s">
        <v>1521</v>
      </c>
      <c r="I705" s="82" t="s">
        <v>250</v>
      </c>
      <c r="J705" s="102" t="n">
        <f aca="false">IF(B705="","",MONTH(B705))</f>
        <v>5</v>
      </c>
      <c r="K705" s="102" t="n">
        <f aca="false">IF(B705="","",YEAR(B705))</f>
        <v>2026</v>
      </c>
      <c r="L705" s="102" t="str">
        <f aca="false">IF(N(E705)=0,"",IF(COUNTIFS(AK_NAMA,C705,AK_KAT,"KAS")+COUNTIFS(AK_NAMA,D705,AK_KAT,"KAS")&lt;&gt;1,"",IF(COUNTIFS(AK_NAMA,C705,AK_KAT,"KAS")=1,D705,C705)))</f>
        <v>Piutang Lainnya</v>
      </c>
      <c r="M705" s="103" t="n">
        <f aca="false">IF(L705="",0,IF(L705=D705,E705,-E705))</f>
        <v>333333</v>
      </c>
      <c r="N705" s="102" t="str">
        <f aca="false">IF(L705="","",IFERROR(INDEX(AK_BARIS,MATCH(L705,AK_NAMA,0)),"?"))</f>
        <v>OP2</v>
      </c>
      <c r="O705" s="102" t="str">
        <f aca="false">IF(C705="","",IFERROR(INDEX(AK_KEL,MATCH(C705,AK_NAMA,0)),"?"))</f>
        <v>ASET</v>
      </c>
      <c r="P705" s="102" t="str">
        <f aca="false">IF(D705="","",IFERROR(INDEX(AK_KEL,MATCH(D705,AK_NAMA,0)),"?"))</f>
        <v>ASET</v>
      </c>
      <c r="Q705" s="102" t="n">
        <f aca="false">N(Q704)+IF(AND(N(E705)&lt;&gt;0,K705=TAHUN,N(J705)&lt;=BLN,OR(C705=BB_AKUN,D705=BB_AKUN)),1,0)</f>
        <v>456</v>
      </c>
      <c r="R705" s="104" t="str">
        <f aca="false">IF(OR(C705&amp;D705="",N(E705)=0),"",IF(OR(O705="?",P705="?"),"⚠ akun tidak dikenal",IF(C705=D705,"⚠ debet = kredit","")))</f>
        <v/>
      </c>
    </row>
    <row r="706" customFormat="false" ht="15" hidden="false" customHeight="false" outlineLevel="0" collapsed="false">
      <c r="A706" s="82" t="s">
        <v>1642</v>
      </c>
      <c r="B706" s="101" t="n">
        <v>46171</v>
      </c>
      <c r="C706" s="82" t="s">
        <v>524</v>
      </c>
      <c r="D706" s="82" t="s">
        <v>461</v>
      </c>
      <c r="E706" s="91" t="n">
        <v>13299</v>
      </c>
      <c r="F706" s="82" t="s">
        <v>728</v>
      </c>
      <c r="G706" s="82"/>
      <c r="H706" s="82"/>
      <c r="I706" s="82" t="s">
        <v>250</v>
      </c>
      <c r="J706" s="102" t="n">
        <f aca="false">IF(B706="","",MONTH(B706))</f>
        <v>5</v>
      </c>
      <c r="K706" s="102" t="n">
        <f aca="false">IF(B706="","",YEAR(B706))</f>
        <v>2026</v>
      </c>
      <c r="L706" s="102" t="str">
        <f aca="false">IF(N(E706)=0,"",IF(COUNTIFS(AK_NAMA,C706,AK_KAT,"KAS")+COUNTIFS(AK_NAMA,D706,AK_KAT,"KAS")&lt;&gt;1,"",IF(COUNTIFS(AK_NAMA,C706,AK_KAT,"KAS")=1,D706,C706)))</f>
        <v>Biaya Lainnya</v>
      </c>
      <c r="M706" s="103" t="n">
        <f aca="false">IF(L706="",0,IF(L706=D706,E706,-E706))</f>
        <v>-13299</v>
      </c>
      <c r="N706" s="102" t="str">
        <f aca="false">IF(L706="","",IFERROR(INDEX(AK_BARIS,MATCH(L706,AK_NAMA,0)),"?"))</f>
        <v>OP2</v>
      </c>
      <c r="O706" s="102" t="str">
        <f aca="false">IF(C706="","",IFERROR(INDEX(AK_KEL,MATCH(C706,AK_NAMA,0)),"?"))</f>
        <v>BEBAN</v>
      </c>
      <c r="P706" s="102" t="str">
        <f aca="false">IF(D706="","",IFERROR(INDEX(AK_KEL,MATCH(D706,AK_NAMA,0)),"?"))</f>
        <v>ASET</v>
      </c>
      <c r="Q706" s="102" t="n">
        <f aca="false">N(Q705)+IF(AND(N(E706)&lt;&gt;0,K706=TAHUN,N(J706)&lt;=BLN,OR(C706=BB_AKUN,D706=BB_AKUN)),1,0)</f>
        <v>457</v>
      </c>
      <c r="R706" s="104" t="str">
        <f aca="false">IF(OR(C706&amp;D706="",N(E706)=0),"",IF(OR(O706="?",P706="?"),"⚠ akun tidak dikenal",IF(C706=D706,"⚠ debet = kredit","")))</f>
        <v/>
      </c>
    </row>
    <row r="707" customFormat="false" ht="15" hidden="false" customHeight="false" outlineLevel="0" collapsed="false">
      <c r="A707" s="82" t="s">
        <v>1643</v>
      </c>
      <c r="B707" s="101" t="n">
        <v>46171</v>
      </c>
      <c r="C707" s="82" t="s">
        <v>576</v>
      </c>
      <c r="D707" s="82" t="s">
        <v>461</v>
      </c>
      <c r="E707" s="91" t="n">
        <v>4000000</v>
      </c>
      <c r="F707" s="82" t="s">
        <v>1644</v>
      </c>
      <c r="G707" s="82"/>
      <c r="H707" s="82"/>
      <c r="I707" s="82" t="s">
        <v>250</v>
      </c>
      <c r="J707" s="102" t="n">
        <f aca="false">IF(B707="","",MONTH(B707))</f>
        <v>5</v>
      </c>
      <c r="K707" s="102" t="n">
        <f aca="false">IF(B707="","",YEAR(B707))</f>
        <v>2026</v>
      </c>
      <c r="L707" s="102" t="str">
        <f aca="false">IF(N(E707)=0,"",IF(COUNTIFS(AK_NAMA,C707,AK_KAT,"KAS")+COUNTIFS(AK_NAMA,D707,AK_KAT,"KAS")&lt;&gt;1,"",IF(COUNTIFS(AK_NAMA,C707,AK_KAT,"KAS")=1,D707,C707)))</f>
        <v>Beban Gaji</v>
      </c>
      <c r="M707" s="103" t="n">
        <f aca="false">IF(L707="",0,IF(L707=D707,E707,-E707))</f>
        <v>-4000000</v>
      </c>
      <c r="N707" s="102" t="str">
        <f aca="false">IF(L707="","",IFERROR(INDEX(AK_BARIS,MATCH(L707,AK_NAMA,0)),"?"))</f>
        <v>OP4</v>
      </c>
      <c r="O707" s="102" t="str">
        <f aca="false">IF(C707="","",IFERROR(INDEX(AK_KEL,MATCH(C707,AK_NAMA,0)),"?"))</f>
        <v>BEBAN</v>
      </c>
      <c r="P707" s="102" t="str">
        <f aca="false">IF(D707="","",IFERROR(INDEX(AK_KEL,MATCH(D707,AK_NAMA,0)),"?"))</f>
        <v>ASET</v>
      </c>
      <c r="Q707" s="102" t="n">
        <f aca="false">N(Q706)+IF(AND(N(E707)&lt;&gt;0,K707=TAHUN,N(J707)&lt;=BLN,OR(C707=BB_AKUN,D707=BB_AKUN)),1,0)</f>
        <v>458</v>
      </c>
      <c r="R707" s="104" t="str">
        <f aca="false">IF(OR(C707&amp;D707="",N(E707)=0),"",IF(OR(O707="?",P707="?"),"⚠ akun tidak dikenal",IF(C707=D707,"⚠ debet = kredit","")))</f>
        <v/>
      </c>
    </row>
    <row r="708" customFormat="false" ht="15" hidden="false" customHeight="false" outlineLevel="0" collapsed="false">
      <c r="A708" s="82" t="s">
        <v>1645</v>
      </c>
      <c r="B708" s="101" t="n">
        <v>46171</v>
      </c>
      <c r="C708" s="82" t="s">
        <v>464</v>
      </c>
      <c r="D708" s="82" t="s">
        <v>461</v>
      </c>
      <c r="E708" s="91" t="n">
        <v>2500000</v>
      </c>
      <c r="F708" s="82" t="s">
        <v>1646</v>
      </c>
      <c r="G708" s="82"/>
      <c r="H708" s="82"/>
      <c r="I708" s="82" t="s">
        <v>250</v>
      </c>
      <c r="J708" s="102" t="n">
        <f aca="false">IF(B708="","",MONTH(B708))</f>
        <v>5</v>
      </c>
      <c r="K708" s="102" t="n">
        <f aca="false">IF(B708="","",YEAR(B708))</f>
        <v>2026</v>
      </c>
      <c r="L708" s="102" t="str">
        <f aca="false">IF(N(E708)=0,"",IF(COUNTIFS(AK_NAMA,C708,AK_KAT,"KAS")+COUNTIFS(AK_NAMA,D708,AK_KAT,"KAS")&lt;&gt;1,"",IF(COUNTIFS(AK_NAMA,C708,AK_KAT,"KAS")=1,D708,C708)))</f>
        <v>Prive</v>
      </c>
      <c r="M708" s="103" t="n">
        <f aca="false">IF(L708="",0,IF(L708=D708,E708,-E708))</f>
        <v>-2500000</v>
      </c>
      <c r="N708" s="102" t="str">
        <f aca="false">IF(L708="","",IFERROR(INDEX(AK_BARIS,MATCH(L708,AK_NAMA,0)),"?"))</f>
        <v>FN1</v>
      </c>
      <c r="O708" s="102" t="str">
        <f aca="false">IF(C708="","",IFERROR(INDEX(AK_KEL,MATCH(C708,AK_NAMA,0)),"?"))</f>
        <v>EKUITAS</v>
      </c>
      <c r="P708" s="102" t="str">
        <f aca="false">IF(D708="","",IFERROR(INDEX(AK_KEL,MATCH(D708,AK_NAMA,0)),"?"))</f>
        <v>ASET</v>
      </c>
      <c r="Q708" s="102" t="n">
        <f aca="false">N(Q707)+IF(AND(N(E708)&lt;&gt;0,K708=TAHUN,N(J708)&lt;=BLN,OR(C708=BB_AKUN,D708=BB_AKUN)),1,0)</f>
        <v>459</v>
      </c>
      <c r="R708" s="104" t="str">
        <f aca="false">IF(OR(C708&amp;D708="",N(E708)=0),"",IF(OR(O708="?",P708="?"),"⚠ akun tidak dikenal",IF(C708=D708,"⚠ debet = kredit","")))</f>
        <v/>
      </c>
    </row>
    <row r="709" customFormat="false" ht="15" hidden="false" customHeight="false" outlineLevel="0" collapsed="false">
      <c r="A709" s="82" t="s">
        <v>1647</v>
      </c>
      <c r="B709" s="101" t="n">
        <v>46171</v>
      </c>
      <c r="C709" s="82" t="s">
        <v>470</v>
      </c>
      <c r="D709" s="82" t="s">
        <v>461</v>
      </c>
      <c r="E709" s="91" t="n">
        <v>236540</v>
      </c>
      <c r="F709" s="82" t="s">
        <v>1648</v>
      </c>
      <c r="G709" s="82"/>
      <c r="H709" s="82"/>
      <c r="I709" s="82" t="s">
        <v>250</v>
      </c>
      <c r="J709" s="102" t="n">
        <f aca="false">IF(B709="","",MONTH(B709))</f>
        <v>5</v>
      </c>
      <c r="K709" s="102" t="n">
        <f aca="false">IF(B709="","",YEAR(B709))</f>
        <v>2026</v>
      </c>
      <c r="L709" s="102" t="str">
        <f aca="false">IF(N(E709)=0,"",IF(COUNTIFS(AK_NAMA,C709,AK_KAT,"KAS")+COUNTIFS(AK_NAMA,D709,AK_KAT,"KAS")&lt;&gt;1,"",IF(COUNTIFS(AK_NAMA,C709,AK_KAT,"KAS")=1,D709,C709)))</f>
        <v>Biaya Bahan Baku</v>
      </c>
      <c r="M709" s="103" t="n">
        <f aca="false">IF(L709="",0,IF(L709=D709,E709,-E709))</f>
        <v>-236540</v>
      </c>
      <c r="N709" s="102" t="str">
        <f aca="false">IF(L709="","",IFERROR(INDEX(AK_BARIS,MATCH(L709,AK_NAMA,0)),"?"))</f>
        <v>OP3</v>
      </c>
      <c r="O709" s="102" t="str">
        <f aca="false">IF(C709="","",IFERROR(INDEX(AK_KEL,MATCH(C709,AK_NAMA,0)),"?"))</f>
        <v>BEBAN</v>
      </c>
      <c r="P709" s="102" t="str">
        <f aca="false">IF(D709="","",IFERROR(INDEX(AK_KEL,MATCH(D709,AK_NAMA,0)),"?"))</f>
        <v>ASET</v>
      </c>
      <c r="Q709" s="102" t="n">
        <f aca="false">N(Q708)+IF(AND(N(E709)&lt;&gt;0,K709=TAHUN,N(J709)&lt;=BLN,OR(C709=BB_AKUN,D709=BB_AKUN)),1,0)</f>
        <v>460</v>
      </c>
      <c r="R709" s="104" t="str">
        <f aca="false">IF(OR(C709&amp;D709="",N(E709)=0),"",IF(OR(O709="?",P709="?"),"⚠ akun tidak dikenal",IF(C709=D709,"⚠ debet = kredit","")))</f>
        <v/>
      </c>
    </row>
    <row r="710" customFormat="false" ht="15" hidden="false" customHeight="false" outlineLevel="0" collapsed="false">
      <c r="A710" s="82" t="s">
        <v>1649</v>
      </c>
      <c r="B710" s="101" t="n">
        <v>46171</v>
      </c>
      <c r="C710" s="82" t="s">
        <v>461</v>
      </c>
      <c r="D710" s="82" t="s">
        <v>557</v>
      </c>
      <c r="E710" s="91" t="n">
        <v>1</v>
      </c>
      <c r="F710" s="82" t="s">
        <v>1172</v>
      </c>
      <c r="G710" s="82"/>
      <c r="H710" s="82"/>
      <c r="I710" s="82" t="s">
        <v>250</v>
      </c>
      <c r="J710" s="102" t="n">
        <f aca="false">IF(B710="","",MONTH(B710))</f>
        <v>5</v>
      </c>
      <c r="K710" s="102" t="n">
        <f aca="false">IF(B710="","",YEAR(B710))</f>
        <v>2026</v>
      </c>
      <c r="L710" s="102" t="str">
        <f aca="false">IF(N(E710)=0,"",IF(COUNTIFS(AK_NAMA,C710,AK_KAT,"KAS")+COUNTIFS(AK_NAMA,D710,AK_KAT,"KAS")&lt;&gt;1,"",IF(COUNTIFS(AK_NAMA,C710,AK_KAT,"KAS")=1,D710,C710)))</f>
        <v>Pendapatan Lainnya</v>
      </c>
      <c r="M710" s="103" t="n">
        <f aca="false">IF(L710="",0,IF(L710=D710,E710,-E710))</f>
        <v>1</v>
      </c>
      <c r="N710" s="102" t="str">
        <f aca="false">IF(L710="","",IFERROR(INDEX(AK_BARIS,MATCH(L710,AK_NAMA,0)),"?"))</f>
        <v>OP2</v>
      </c>
      <c r="O710" s="102" t="str">
        <f aca="false">IF(C710="","",IFERROR(INDEX(AK_KEL,MATCH(C710,AK_NAMA,0)),"?"))</f>
        <v>ASET</v>
      </c>
      <c r="P710" s="102" t="str">
        <f aca="false">IF(D710="","",IFERROR(INDEX(AK_KEL,MATCH(D710,AK_NAMA,0)),"?"))</f>
        <v>PENDAPATAN</v>
      </c>
      <c r="Q710" s="102" t="n">
        <f aca="false">N(Q709)+IF(AND(N(E710)&lt;&gt;0,K710=TAHUN,N(J710)&lt;=BLN,OR(C710=BB_AKUN,D710=BB_AKUN)),1,0)</f>
        <v>461</v>
      </c>
      <c r="R710" s="104" t="str">
        <f aca="false">IF(OR(C710&amp;D710="",N(E710)=0),"",IF(OR(O710="?",P710="?"),"⚠ akun tidak dikenal",IF(C710=D710,"⚠ debet = kredit","")))</f>
        <v/>
      </c>
    </row>
    <row r="711" customFormat="false" ht="15" hidden="false" customHeight="false" outlineLevel="0" collapsed="false">
      <c r="A711" s="82" t="s">
        <v>1650</v>
      </c>
      <c r="B711" s="101" t="n">
        <v>46171</v>
      </c>
      <c r="C711" s="82" t="s">
        <v>461</v>
      </c>
      <c r="D711" s="82" t="s">
        <v>557</v>
      </c>
      <c r="E711" s="91" t="n">
        <v>16758</v>
      </c>
      <c r="F711" s="82" t="s">
        <v>1441</v>
      </c>
      <c r="G711" s="82"/>
      <c r="H711" s="82"/>
      <c r="I711" s="82" t="s">
        <v>250</v>
      </c>
      <c r="J711" s="102" t="n">
        <f aca="false">IF(B711="","",MONTH(B711))</f>
        <v>5</v>
      </c>
      <c r="K711" s="102" t="n">
        <f aca="false">IF(B711="","",YEAR(B711))</f>
        <v>2026</v>
      </c>
      <c r="L711" s="102" t="str">
        <f aca="false">IF(N(E711)=0,"",IF(COUNTIFS(AK_NAMA,C711,AK_KAT,"KAS")+COUNTIFS(AK_NAMA,D711,AK_KAT,"KAS")&lt;&gt;1,"",IF(COUNTIFS(AK_NAMA,C711,AK_KAT,"KAS")=1,D711,C711)))</f>
        <v>Pendapatan Lainnya</v>
      </c>
      <c r="M711" s="103" t="n">
        <f aca="false">IF(L711="",0,IF(L711=D711,E711,-E711))</f>
        <v>16758</v>
      </c>
      <c r="N711" s="102" t="str">
        <f aca="false">IF(L711="","",IFERROR(INDEX(AK_BARIS,MATCH(L711,AK_NAMA,0)),"?"))</f>
        <v>OP2</v>
      </c>
      <c r="O711" s="102" t="str">
        <f aca="false">IF(C711="","",IFERROR(INDEX(AK_KEL,MATCH(C711,AK_NAMA,0)),"?"))</f>
        <v>ASET</v>
      </c>
      <c r="P711" s="102" t="str">
        <f aca="false">IF(D711="","",IFERROR(INDEX(AK_KEL,MATCH(D711,AK_NAMA,0)),"?"))</f>
        <v>PENDAPATAN</v>
      </c>
      <c r="Q711" s="102" t="n">
        <f aca="false">N(Q710)+IF(AND(N(E711)&lt;&gt;0,K711=TAHUN,N(J711)&lt;=BLN,OR(C711=BB_AKUN,D711=BB_AKUN)),1,0)</f>
        <v>462</v>
      </c>
      <c r="R711" s="104" t="str">
        <f aca="false">IF(OR(C711&amp;D711="",N(E711)=0),"",IF(OR(O711="?",P711="?"),"⚠ akun tidak dikenal",IF(C711=D711,"⚠ debet = kredit","")))</f>
        <v/>
      </c>
    </row>
    <row r="712" customFormat="false" ht="15" hidden="false" customHeight="false" outlineLevel="0" collapsed="false">
      <c r="A712" s="82" t="s">
        <v>1651</v>
      </c>
      <c r="B712" s="101" t="n">
        <v>46171</v>
      </c>
      <c r="C712" s="82" t="s">
        <v>461</v>
      </c>
      <c r="D712" s="82" t="s">
        <v>475</v>
      </c>
      <c r="E712" s="91" t="n">
        <v>9000000</v>
      </c>
      <c r="F712" s="82" t="s">
        <v>1298</v>
      </c>
      <c r="G712" s="82"/>
      <c r="H712" s="82"/>
      <c r="I712" s="82" t="s">
        <v>250</v>
      </c>
      <c r="J712" s="102" t="n">
        <f aca="false">IF(B712="","",MONTH(B712))</f>
        <v>5</v>
      </c>
      <c r="K712" s="102" t="n">
        <f aca="false">IF(B712="","",YEAR(B712))</f>
        <v>2026</v>
      </c>
      <c r="L712" s="102" t="str">
        <f aca="false">IF(N(E712)=0,"",IF(COUNTIFS(AK_NAMA,C712,AK_KAT,"KAS")+COUNTIFS(AK_NAMA,D712,AK_KAT,"KAS")&lt;&gt;1,"",IF(COUNTIFS(AK_NAMA,C712,AK_KAT,"KAS")=1,D712,C712)))</f>
        <v/>
      </c>
      <c r="M712" s="103" t="n">
        <f aca="false">IF(L712="",0,IF(L712=D712,E712,-E712))</f>
        <v>0</v>
      </c>
      <c r="N712" s="102" t="str">
        <f aca="false">IF(L712="","",IFERROR(INDEX(AK_BARIS,MATCH(L712,AK_NAMA,0)),"?"))</f>
        <v/>
      </c>
      <c r="O712" s="102" t="str">
        <f aca="false">IF(C712="","",IFERROR(INDEX(AK_KEL,MATCH(C712,AK_NAMA,0)),"?"))</f>
        <v>ASET</v>
      </c>
      <c r="P712" s="102" t="str">
        <f aca="false">IF(D712="","",IFERROR(INDEX(AK_KEL,MATCH(D712,AK_NAMA,0)),"?"))</f>
        <v>ASET</v>
      </c>
      <c r="Q712" s="102" t="n">
        <f aca="false">N(Q711)+IF(AND(N(E712)&lt;&gt;0,K712=TAHUN,N(J712)&lt;=BLN,OR(C712=BB_AKUN,D712=BB_AKUN)),1,0)</f>
        <v>463</v>
      </c>
      <c r="R712" s="104" t="str">
        <f aca="false">IF(OR(C712&amp;D712="",N(E712)=0),"",IF(OR(O712="?",P712="?"),"⚠ akun tidak dikenal",IF(C712=D712,"⚠ debet = kredit","")))</f>
        <v/>
      </c>
    </row>
    <row r="713" customFormat="false" ht="15" hidden="false" customHeight="false" outlineLevel="0" collapsed="false">
      <c r="A713" s="82" t="s">
        <v>1652</v>
      </c>
      <c r="B713" s="101" t="n">
        <v>46171</v>
      </c>
      <c r="C713" s="82" t="s">
        <v>470</v>
      </c>
      <c r="D713" s="82" t="s">
        <v>461</v>
      </c>
      <c r="E713" s="91" t="n">
        <v>240000</v>
      </c>
      <c r="F713" s="82" t="s">
        <v>1653</v>
      </c>
      <c r="G713" s="82"/>
      <c r="H713" s="82"/>
      <c r="I713" s="82" t="s">
        <v>250</v>
      </c>
      <c r="J713" s="102" t="n">
        <f aca="false">IF(B713="","",MONTH(B713))</f>
        <v>5</v>
      </c>
      <c r="K713" s="102" t="n">
        <f aca="false">IF(B713="","",YEAR(B713))</f>
        <v>2026</v>
      </c>
      <c r="L713" s="102" t="str">
        <f aca="false">IF(N(E713)=0,"",IF(COUNTIFS(AK_NAMA,C713,AK_KAT,"KAS")+COUNTIFS(AK_NAMA,D713,AK_KAT,"KAS")&lt;&gt;1,"",IF(COUNTIFS(AK_NAMA,C713,AK_KAT,"KAS")=1,D713,C713)))</f>
        <v>Biaya Bahan Baku</v>
      </c>
      <c r="M713" s="103" t="n">
        <f aca="false">IF(L713="",0,IF(L713=D713,E713,-E713))</f>
        <v>-240000</v>
      </c>
      <c r="N713" s="102" t="str">
        <f aca="false">IF(L713="","",IFERROR(INDEX(AK_BARIS,MATCH(L713,AK_NAMA,0)),"?"))</f>
        <v>OP3</v>
      </c>
      <c r="O713" s="102" t="str">
        <f aca="false">IF(C713="","",IFERROR(INDEX(AK_KEL,MATCH(C713,AK_NAMA,0)),"?"))</f>
        <v>BEBAN</v>
      </c>
      <c r="P713" s="102" t="str">
        <f aca="false">IF(D713="","",IFERROR(INDEX(AK_KEL,MATCH(D713,AK_NAMA,0)),"?"))</f>
        <v>ASET</v>
      </c>
      <c r="Q713" s="102" t="n">
        <f aca="false">N(Q712)+IF(AND(N(E713)&lt;&gt;0,K713=TAHUN,N(J713)&lt;=BLN,OR(C713=BB_AKUN,D713=BB_AKUN)),1,0)</f>
        <v>464</v>
      </c>
      <c r="R713" s="104" t="str">
        <f aca="false">IF(OR(C713&amp;D713="",N(E713)=0),"",IF(OR(O713="?",P713="?"),"⚠ akun tidak dikenal",IF(C713=D713,"⚠ debet = kredit","")))</f>
        <v/>
      </c>
    </row>
    <row r="714" customFormat="false" ht="15" hidden="false" customHeight="false" outlineLevel="0" collapsed="false">
      <c r="A714" s="82" t="s">
        <v>1654</v>
      </c>
      <c r="B714" s="101" t="n">
        <v>46172</v>
      </c>
      <c r="C714" s="82" t="s">
        <v>455</v>
      </c>
      <c r="D714" s="82" t="s">
        <v>461</v>
      </c>
      <c r="E714" s="91" t="n">
        <v>10000</v>
      </c>
      <c r="F714" s="82" t="s">
        <v>1655</v>
      </c>
      <c r="G714" s="82"/>
      <c r="H714" s="82"/>
      <c r="I714" s="82" t="s">
        <v>250</v>
      </c>
      <c r="J714" s="102" t="n">
        <f aca="false">IF(B714="","",MONTH(B714))</f>
        <v>5</v>
      </c>
      <c r="K714" s="102" t="n">
        <f aca="false">IF(B714="","",YEAR(B714))</f>
        <v>2026</v>
      </c>
      <c r="L714" s="102" t="str">
        <f aca="false">IF(N(E714)=0,"",IF(COUNTIFS(AK_NAMA,C714,AK_KAT,"KAS")+COUNTIFS(AK_NAMA,D714,AK_KAT,"KAS")&lt;&gt;1,"",IF(COUNTIFS(AK_NAMA,C714,AK_KAT,"KAS")=1,D714,C714)))</f>
        <v>Biaya Pemeliharaan</v>
      </c>
      <c r="M714" s="103" t="n">
        <f aca="false">IF(L714="",0,IF(L714=D714,E714,-E714))</f>
        <v>-10000</v>
      </c>
      <c r="N714" s="102" t="str">
        <f aca="false">IF(L714="","",IFERROR(INDEX(AK_BARIS,MATCH(L714,AK_NAMA,0)),"?"))</f>
        <v>OP6</v>
      </c>
      <c r="O714" s="102" t="str">
        <f aca="false">IF(C714="","",IFERROR(INDEX(AK_KEL,MATCH(C714,AK_NAMA,0)),"?"))</f>
        <v>BEBAN</v>
      </c>
      <c r="P714" s="102" t="str">
        <f aca="false">IF(D714="","",IFERROR(INDEX(AK_KEL,MATCH(D714,AK_NAMA,0)),"?"))</f>
        <v>ASET</v>
      </c>
      <c r="Q714" s="102" t="n">
        <f aca="false">N(Q713)+IF(AND(N(E714)&lt;&gt;0,K714=TAHUN,N(J714)&lt;=BLN,OR(C714=BB_AKUN,D714=BB_AKUN)),1,0)</f>
        <v>465</v>
      </c>
      <c r="R714" s="104" t="str">
        <f aca="false">IF(OR(C714&amp;D714="",N(E714)=0),"",IF(OR(O714="?",P714="?"),"⚠ akun tidak dikenal",IF(C714=D714,"⚠ debet = kredit","")))</f>
        <v/>
      </c>
    </row>
    <row r="715" customFormat="false" ht="15" hidden="false" customHeight="false" outlineLevel="0" collapsed="false">
      <c r="A715" s="82" t="s">
        <v>1656</v>
      </c>
      <c r="B715" s="101" t="n">
        <v>46172</v>
      </c>
      <c r="C715" s="82" t="s">
        <v>485</v>
      </c>
      <c r="D715" s="82" t="s">
        <v>475</v>
      </c>
      <c r="E715" s="91" t="n">
        <v>300000</v>
      </c>
      <c r="F715" s="82" t="s">
        <v>1657</v>
      </c>
      <c r="G715" s="82"/>
      <c r="H715" s="82"/>
      <c r="I715" s="82" t="s">
        <v>250</v>
      </c>
      <c r="J715" s="102" t="n">
        <f aca="false">IF(B715="","",MONTH(B715))</f>
        <v>5</v>
      </c>
      <c r="K715" s="102" t="n">
        <f aca="false">IF(B715="","",YEAR(B715))</f>
        <v>2026</v>
      </c>
      <c r="L715" s="102" t="str">
        <f aca="false">IF(N(E715)=0,"",IF(COUNTIFS(AK_NAMA,C715,AK_KAT,"KAS")+COUNTIFS(AK_NAMA,D715,AK_KAT,"KAS")&lt;&gt;1,"",IF(COUNTIFS(AK_NAMA,C715,AK_KAT,"KAS")=1,D715,C715)))</f>
        <v>Biaya Operasional Harian</v>
      </c>
      <c r="M715" s="103" t="n">
        <f aca="false">IF(L715="",0,IF(L715=D715,E715,-E715))</f>
        <v>-300000</v>
      </c>
      <c r="N715" s="102" t="str">
        <f aca="false">IF(L715="","",IFERROR(INDEX(AK_BARIS,MATCH(L715,AK_NAMA,0)),"?"))</f>
        <v>OP6</v>
      </c>
      <c r="O715" s="102" t="str">
        <f aca="false">IF(C715="","",IFERROR(INDEX(AK_KEL,MATCH(C715,AK_NAMA,0)),"?"))</f>
        <v>BEBAN</v>
      </c>
      <c r="P715" s="102" t="str">
        <f aca="false">IF(D715="","",IFERROR(INDEX(AK_KEL,MATCH(D715,AK_NAMA,0)),"?"))</f>
        <v>ASET</v>
      </c>
      <c r="Q715" s="102" t="n">
        <f aca="false">N(Q714)+IF(AND(N(E715)&lt;&gt;0,K715=TAHUN,N(J715)&lt;=BLN,OR(C715=BB_AKUN,D715=BB_AKUN)),1,0)</f>
        <v>465</v>
      </c>
      <c r="R715" s="104" t="str">
        <f aca="false">IF(OR(C715&amp;D715="",N(E715)=0),"",IF(OR(O715="?",P715="?"),"⚠ akun tidak dikenal",IF(C715=D715,"⚠ debet = kredit","")))</f>
        <v/>
      </c>
    </row>
    <row r="716" customFormat="false" ht="15" hidden="false" customHeight="false" outlineLevel="0" collapsed="false">
      <c r="A716" s="82" t="s">
        <v>1658</v>
      </c>
      <c r="B716" s="101" t="n">
        <v>46172</v>
      </c>
      <c r="C716" s="82" t="s">
        <v>455</v>
      </c>
      <c r="D716" s="82" t="s">
        <v>461</v>
      </c>
      <c r="E716" s="91" t="n">
        <v>3000000</v>
      </c>
      <c r="F716" s="82" t="s">
        <v>1659</v>
      </c>
      <c r="G716" s="82"/>
      <c r="H716" s="82"/>
      <c r="I716" s="82" t="s">
        <v>250</v>
      </c>
      <c r="J716" s="102" t="n">
        <f aca="false">IF(B716="","",MONTH(B716))</f>
        <v>5</v>
      </c>
      <c r="K716" s="102" t="n">
        <f aca="false">IF(B716="","",YEAR(B716))</f>
        <v>2026</v>
      </c>
      <c r="L716" s="102" t="str">
        <f aca="false">IF(N(E716)=0,"",IF(COUNTIFS(AK_NAMA,C716,AK_KAT,"KAS")+COUNTIFS(AK_NAMA,D716,AK_KAT,"KAS")&lt;&gt;1,"",IF(COUNTIFS(AK_NAMA,C716,AK_KAT,"KAS")=1,D716,C716)))</f>
        <v>Biaya Pemeliharaan</v>
      </c>
      <c r="M716" s="103" t="n">
        <f aca="false">IF(L716="",0,IF(L716=D716,E716,-E716))</f>
        <v>-3000000</v>
      </c>
      <c r="N716" s="102" t="str">
        <f aca="false">IF(L716="","",IFERROR(INDEX(AK_BARIS,MATCH(L716,AK_NAMA,0)),"?"))</f>
        <v>OP6</v>
      </c>
      <c r="O716" s="102" t="str">
        <f aca="false">IF(C716="","",IFERROR(INDEX(AK_KEL,MATCH(C716,AK_NAMA,0)),"?"))</f>
        <v>BEBAN</v>
      </c>
      <c r="P716" s="102" t="str">
        <f aca="false">IF(D716="","",IFERROR(INDEX(AK_KEL,MATCH(D716,AK_NAMA,0)),"?"))</f>
        <v>ASET</v>
      </c>
      <c r="Q716" s="102" t="n">
        <f aca="false">N(Q715)+IF(AND(N(E716)&lt;&gt;0,K716=TAHUN,N(J716)&lt;=BLN,OR(C716=BB_AKUN,D716=BB_AKUN)),1,0)</f>
        <v>466</v>
      </c>
      <c r="R716" s="104" t="str">
        <f aca="false">IF(OR(C716&amp;D716="",N(E716)=0),"",IF(OR(O716="?",P716="?"),"⚠ akun tidak dikenal",IF(C716=D716,"⚠ debet = kredit","")))</f>
        <v/>
      </c>
    </row>
    <row r="717" customFormat="false" ht="15" hidden="false" customHeight="false" outlineLevel="0" collapsed="false">
      <c r="A717" s="82" t="s">
        <v>1660</v>
      </c>
      <c r="B717" s="101" t="n">
        <v>46172</v>
      </c>
      <c r="C717" s="82" t="s">
        <v>455</v>
      </c>
      <c r="D717" s="82" t="s">
        <v>461</v>
      </c>
      <c r="E717" s="91" t="n">
        <v>70000</v>
      </c>
      <c r="F717" s="82" t="s">
        <v>1661</v>
      </c>
      <c r="G717" s="82"/>
      <c r="H717" s="82"/>
      <c r="I717" s="82" t="s">
        <v>250</v>
      </c>
      <c r="J717" s="102" t="n">
        <f aca="false">IF(B717="","",MONTH(B717))</f>
        <v>5</v>
      </c>
      <c r="K717" s="102" t="n">
        <f aca="false">IF(B717="","",YEAR(B717))</f>
        <v>2026</v>
      </c>
      <c r="L717" s="102" t="str">
        <f aca="false">IF(N(E717)=0,"",IF(COUNTIFS(AK_NAMA,C717,AK_KAT,"KAS")+COUNTIFS(AK_NAMA,D717,AK_KAT,"KAS")&lt;&gt;1,"",IF(COUNTIFS(AK_NAMA,C717,AK_KAT,"KAS")=1,D717,C717)))</f>
        <v>Biaya Pemeliharaan</v>
      </c>
      <c r="M717" s="103" t="n">
        <f aca="false">IF(L717="",0,IF(L717=D717,E717,-E717))</f>
        <v>-70000</v>
      </c>
      <c r="N717" s="102" t="str">
        <f aca="false">IF(L717="","",IFERROR(INDEX(AK_BARIS,MATCH(L717,AK_NAMA,0)),"?"))</f>
        <v>OP6</v>
      </c>
      <c r="O717" s="102" t="str">
        <f aca="false">IF(C717="","",IFERROR(INDEX(AK_KEL,MATCH(C717,AK_NAMA,0)),"?"))</f>
        <v>BEBAN</v>
      </c>
      <c r="P717" s="102" t="str">
        <f aca="false">IF(D717="","",IFERROR(INDEX(AK_KEL,MATCH(D717,AK_NAMA,0)),"?"))</f>
        <v>ASET</v>
      </c>
      <c r="Q717" s="102" t="n">
        <f aca="false">N(Q716)+IF(AND(N(E717)&lt;&gt;0,K717=TAHUN,N(J717)&lt;=BLN,OR(C717=BB_AKUN,D717=BB_AKUN)),1,0)</f>
        <v>467</v>
      </c>
      <c r="R717" s="104" t="str">
        <f aca="false">IF(OR(C717&amp;D717="",N(E717)=0),"",IF(OR(O717="?",P717="?"),"⚠ akun tidak dikenal",IF(C717=D717,"⚠ debet = kredit","")))</f>
        <v/>
      </c>
    </row>
    <row r="718" customFormat="false" ht="15" hidden="false" customHeight="false" outlineLevel="0" collapsed="false">
      <c r="A718" s="82" t="s">
        <v>1662</v>
      </c>
      <c r="B718" s="101" t="n">
        <v>46172</v>
      </c>
      <c r="C718" s="82" t="s">
        <v>455</v>
      </c>
      <c r="D718" s="82" t="s">
        <v>461</v>
      </c>
      <c r="E718" s="91" t="n">
        <v>30599</v>
      </c>
      <c r="F718" s="82" t="s">
        <v>1663</v>
      </c>
      <c r="G718" s="82"/>
      <c r="H718" s="82"/>
      <c r="I718" s="82" t="s">
        <v>250</v>
      </c>
      <c r="J718" s="102" t="n">
        <f aca="false">IF(B718="","",MONTH(B718))</f>
        <v>5</v>
      </c>
      <c r="K718" s="102" t="n">
        <f aca="false">IF(B718="","",YEAR(B718))</f>
        <v>2026</v>
      </c>
      <c r="L718" s="102" t="str">
        <f aca="false">IF(N(E718)=0,"",IF(COUNTIFS(AK_NAMA,C718,AK_KAT,"KAS")+COUNTIFS(AK_NAMA,D718,AK_KAT,"KAS")&lt;&gt;1,"",IF(COUNTIFS(AK_NAMA,C718,AK_KAT,"KAS")=1,D718,C718)))</f>
        <v>Biaya Pemeliharaan</v>
      </c>
      <c r="M718" s="103" t="n">
        <f aca="false">IF(L718="",0,IF(L718=D718,E718,-E718))</f>
        <v>-30599</v>
      </c>
      <c r="N718" s="102" t="str">
        <f aca="false">IF(L718="","",IFERROR(INDEX(AK_BARIS,MATCH(L718,AK_NAMA,0)),"?"))</f>
        <v>OP6</v>
      </c>
      <c r="O718" s="102" t="str">
        <f aca="false">IF(C718="","",IFERROR(INDEX(AK_KEL,MATCH(C718,AK_NAMA,0)),"?"))</f>
        <v>BEBAN</v>
      </c>
      <c r="P718" s="102" t="str">
        <f aca="false">IF(D718="","",IFERROR(INDEX(AK_KEL,MATCH(D718,AK_NAMA,0)),"?"))</f>
        <v>ASET</v>
      </c>
      <c r="Q718" s="102" t="n">
        <f aca="false">N(Q717)+IF(AND(N(E718)&lt;&gt;0,K718=TAHUN,N(J718)&lt;=BLN,OR(C718=BB_AKUN,D718=BB_AKUN)),1,0)</f>
        <v>468</v>
      </c>
      <c r="R718" s="104" t="str">
        <f aca="false">IF(OR(C718&amp;D718="",N(E718)=0),"",IF(OR(O718="?",P718="?"),"⚠ akun tidak dikenal",IF(C718=D718,"⚠ debet = kredit","")))</f>
        <v/>
      </c>
    </row>
    <row r="719" customFormat="false" ht="15" hidden="false" customHeight="false" outlineLevel="0" collapsed="false">
      <c r="A719" s="82" t="s">
        <v>1664</v>
      </c>
      <c r="B719" s="101" t="n">
        <v>46172</v>
      </c>
      <c r="C719" s="82" t="s">
        <v>470</v>
      </c>
      <c r="D719" s="82" t="s">
        <v>461</v>
      </c>
      <c r="E719" s="91" t="n">
        <v>1022000</v>
      </c>
      <c r="F719" s="82" t="s">
        <v>1665</v>
      </c>
      <c r="G719" s="82"/>
      <c r="H719" s="82"/>
      <c r="I719" s="82" t="s">
        <v>250</v>
      </c>
      <c r="J719" s="102" t="n">
        <f aca="false">IF(B719="","",MONTH(B719))</f>
        <v>5</v>
      </c>
      <c r="K719" s="102" t="n">
        <f aca="false">IF(B719="","",YEAR(B719))</f>
        <v>2026</v>
      </c>
      <c r="L719" s="102" t="str">
        <f aca="false">IF(N(E719)=0,"",IF(COUNTIFS(AK_NAMA,C719,AK_KAT,"KAS")+COUNTIFS(AK_NAMA,D719,AK_KAT,"KAS")&lt;&gt;1,"",IF(COUNTIFS(AK_NAMA,C719,AK_KAT,"KAS")=1,D719,C719)))</f>
        <v>Biaya Bahan Baku</v>
      </c>
      <c r="M719" s="103" t="n">
        <f aca="false">IF(L719="",0,IF(L719=D719,E719,-E719))</f>
        <v>-1022000</v>
      </c>
      <c r="N719" s="102" t="str">
        <f aca="false">IF(L719="","",IFERROR(INDEX(AK_BARIS,MATCH(L719,AK_NAMA,0)),"?"))</f>
        <v>OP3</v>
      </c>
      <c r="O719" s="102" t="str">
        <f aca="false">IF(C719="","",IFERROR(INDEX(AK_KEL,MATCH(C719,AK_NAMA,0)),"?"))</f>
        <v>BEBAN</v>
      </c>
      <c r="P719" s="102" t="str">
        <f aca="false">IF(D719="","",IFERROR(INDEX(AK_KEL,MATCH(D719,AK_NAMA,0)),"?"))</f>
        <v>ASET</v>
      </c>
      <c r="Q719" s="102" t="n">
        <f aca="false">N(Q718)+IF(AND(N(E719)&lt;&gt;0,K719=TAHUN,N(J719)&lt;=BLN,OR(C719=BB_AKUN,D719=BB_AKUN)),1,0)</f>
        <v>469</v>
      </c>
      <c r="R719" s="104" t="str">
        <f aca="false">IF(OR(C719&amp;D719="",N(E719)=0),"",IF(OR(O719="?",P719="?"),"⚠ akun tidak dikenal",IF(C719=D719,"⚠ debet = kredit","")))</f>
        <v/>
      </c>
    </row>
    <row r="720" customFormat="false" ht="15" hidden="false" customHeight="false" outlineLevel="0" collapsed="false">
      <c r="A720" s="82" t="s">
        <v>1666</v>
      </c>
      <c r="B720" s="101" t="n">
        <v>46172</v>
      </c>
      <c r="C720" s="82" t="s">
        <v>524</v>
      </c>
      <c r="D720" s="82" t="s">
        <v>461</v>
      </c>
      <c r="E720" s="91" t="n">
        <v>325</v>
      </c>
      <c r="F720" s="82" t="s">
        <v>525</v>
      </c>
      <c r="G720" s="82"/>
      <c r="H720" s="82"/>
      <c r="I720" s="82" t="s">
        <v>250</v>
      </c>
      <c r="J720" s="102" t="n">
        <f aca="false">IF(B720="","",MONTH(B720))</f>
        <v>5</v>
      </c>
      <c r="K720" s="102" t="n">
        <f aca="false">IF(B720="","",YEAR(B720))</f>
        <v>2026</v>
      </c>
      <c r="L720" s="102" t="str">
        <f aca="false">IF(N(E720)=0,"",IF(COUNTIFS(AK_NAMA,C720,AK_KAT,"KAS")+COUNTIFS(AK_NAMA,D720,AK_KAT,"KAS")&lt;&gt;1,"",IF(COUNTIFS(AK_NAMA,C720,AK_KAT,"KAS")=1,D720,C720)))</f>
        <v>Biaya Lainnya</v>
      </c>
      <c r="M720" s="103" t="n">
        <f aca="false">IF(L720="",0,IF(L720=D720,E720,-E720))</f>
        <v>-325</v>
      </c>
      <c r="N720" s="102" t="str">
        <f aca="false">IF(L720="","",IFERROR(INDEX(AK_BARIS,MATCH(L720,AK_NAMA,0)),"?"))</f>
        <v>OP2</v>
      </c>
      <c r="O720" s="102" t="str">
        <f aca="false">IF(C720="","",IFERROR(INDEX(AK_KEL,MATCH(C720,AK_NAMA,0)),"?"))</f>
        <v>BEBAN</v>
      </c>
      <c r="P720" s="102" t="str">
        <f aca="false">IF(D720="","",IFERROR(INDEX(AK_KEL,MATCH(D720,AK_NAMA,0)),"?"))</f>
        <v>ASET</v>
      </c>
      <c r="Q720" s="102" t="n">
        <f aca="false">N(Q719)+IF(AND(N(E720)&lt;&gt;0,K720=TAHUN,N(J720)&lt;=BLN,OR(C720=BB_AKUN,D720=BB_AKUN)),1,0)</f>
        <v>470</v>
      </c>
      <c r="R720" s="104" t="str">
        <f aca="false">IF(OR(C720&amp;D720="",N(E720)=0),"",IF(OR(O720="?",P720="?"),"⚠ akun tidak dikenal",IF(C720=D720,"⚠ debet = kredit","")))</f>
        <v/>
      </c>
    </row>
    <row r="721" customFormat="false" ht="15" hidden="false" customHeight="false" outlineLevel="0" collapsed="false">
      <c r="A721" s="82" t="s">
        <v>1667</v>
      </c>
      <c r="B721" s="101" t="n">
        <v>46173</v>
      </c>
      <c r="C721" s="82" t="s">
        <v>461</v>
      </c>
      <c r="D721" s="82" t="s">
        <v>475</v>
      </c>
      <c r="E721" s="91" t="n">
        <v>400000</v>
      </c>
      <c r="F721" s="82" t="s">
        <v>1396</v>
      </c>
      <c r="G721" s="82"/>
      <c r="H721" s="82"/>
      <c r="I721" s="82" t="s">
        <v>250</v>
      </c>
      <c r="J721" s="102" t="n">
        <f aca="false">IF(B721="","",MONTH(B721))</f>
        <v>5</v>
      </c>
      <c r="K721" s="102" t="n">
        <f aca="false">IF(B721="","",YEAR(B721))</f>
        <v>2026</v>
      </c>
      <c r="L721" s="102" t="str">
        <f aca="false">IF(N(E721)=0,"",IF(COUNTIFS(AK_NAMA,C721,AK_KAT,"KAS")+COUNTIFS(AK_NAMA,D721,AK_KAT,"KAS")&lt;&gt;1,"",IF(COUNTIFS(AK_NAMA,C721,AK_KAT,"KAS")=1,D721,C721)))</f>
        <v/>
      </c>
      <c r="M721" s="103" t="n">
        <f aca="false">IF(L721="",0,IF(L721=D721,E721,-E721))</f>
        <v>0</v>
      </c>
      <c r="N721" s="102" t="str">
        <f aca="false">IF(L721="","",IFERROR(INDEX(AK_BARIS,MATCH(L721,AK_NAMA,0)),"?"))</f>
        <v/>
      </c>
      <c r="O721" s="102" t="str">
        <f aca="false">IF(C721="","",IFERROR(INDEX(AK_KEL,MATCH(C721,AK_NAMA,0)),"?"))</f>
        <v>ASET</v>
      </c>
      <c r="P721" s="102" t="str">
        <f aca="false">IF(D721="","",IFERROR(INDEX(AK_KEL,MATCH(D721,AK_NAMA,0)),"?"))</f>
        <v>ASET</v>
      </c>
      <c r="Q721" s="102" t="n">
        <f aca="false">N(Q720)+IF(AND(N(E721)&lt;&gt;0,K721=TAHUN,N(J721)&lt;=BLN,OR(C721=BB_AKUN,D721=BB_AKUN)),1,0)</f>
        <v>471</v>
      </c>
      <c r="R721" s="104" t="str">
        <f aca="false">IF(OR(C721&amp;D721="",N(E721)=0),"",IF(OR(O721="?",P721="?"),"⚠ akun tidak dikenal",IF(C721=D721,"⚠ debet = kredit","")))</f>
        <v/>
      </c>
    </row>
    <row r="722" customFormat="false" ht="15" hidden="false" customHeight="false" outlineLevel="0" collapsed="false">
      <c r="A722" s="82" t="s">
        <v>1668</v>
      </c>
      <c r="B722" s="101" t="n">
        <v>46173</v>
      </c>
      <c r="C722" s="82" t="s">
        <v>467</v>
      </c>
      <c r="D722" s="82" t="s">
        <v>461</v>
      </c>
      <c r="E722" s="91" t="n">
        <v>850000</v>
      </c>
      <c r="F722" s="82" t="s">
        <v>468</v>
      </c>
      <c r="G722" s="82"/>
      <c r="H722" s="82"/>
      <c r="I722" s="82" t="s">
        <v>250</v>
      </c>
      <c r="J722" s="102" t="n">
        <f aca="false">IF(B722="","",MONTH(B722))</f>
        <v>5</v>
      </c>
      <c r="K722" s="102" t="n">
        <f aca="false">IF(B722="","",YEAR(B722))</f>
        <v>2026</v>
      </c>
      <c r="L722" s="102" t="str">
        <f aca="false">IF(N(E722)=0,"",IF(COUNTIFS(AK_NAMA,C722,AK_KAT,"KAS")+COUNTIFS(AK_NAMA,D722,AK_KAT,"KAS")&lt;&gt;1,"",IF(COUNTIFS(AK_NAMA,C722,AK_KAT,"KAS")=1,D722,C722)))</f>
        <v>Dana Sosial &amp; CSR</v>
      </c>
      <c r="M722" s="103" t="n">
        <f aca="false">IF(L722="",0,IF(L722=D722,E722,-E722))</f>
        <v>-850000</v>
      </c>
      <c r="N722" s="102" t="str">
        <f aca="false">IF(L722="","",IFERROR(INDEX(AK_BARIS,MATCH(L722,AK_NAMA,0)),"?"))</f>
        <v>OP6</v>
      </c>
      <c r="O722" s="102" t="str">
        <f aca="false">IF(C722="","",IFERROR(INDEX(AK_KEL,MATCH(C722,AK_NAMA,0)),"?"))</f>
        <v>BEBAN</v>
      </c>
      <c r="P722" s="102" t="str">
        <f aca="false">IF(D722="","",IFERROR(INDEX(AK_KEL,MATCH(D722,AK_NAMA,0)),"?"))</f>
        <v>ASET</v>
      </c>
      <c r="Q722" s="102" t="n">
        <f aca="false">N(Q721)+IF(AND(N(E722)&lt;&gt;0,K722=TAHUN,N(J722)&lt;=BLN,OR(C722=BB_AKUN,D722=BB_AKUN)),1,0)</f>
        <v>472</v>
      </c>
      <c r="R722" s="104" t="str">
        <f aca="false">IF(OR(C722&amp;D722="",N(E722)=0),"",IF(OR(O722="?",P722="?"),"⚠ akun tidak dikenal",IF(C722=D722,"⚠ debet = kredit","")))</f>
        <v/>
      </c>
    </row>
    <row r="723" customFormat="false" ht="15" hidden="false" customHeight="false" outlineLevel="0" collapsed="false">
      <c r="A723" s="82" t="s">
        <v>1669</v>
      </c>
      <c r="B723" s="101" t="n">
        <v>46173</v>
      </c>
      <c r="C723" s="82" t="s">
        <v>524</v>
      </c>
      <c r="D723" s="82" t="s">
        <v>461</v>
      </c>
      <c r="E723" s="91" t="n">
        <v>117</v>
      </c>
      <c r="F723" s="82" t="s">
        <v>775</v>
      </c>
      <c r="G723" s="82"/>
      <c r="H723" s="82"/>
      <c r="I723" s="82" t="s">
        <v>250</v>
      </c>
      <c r="J723" s="102" t="n">
        <f aca="false">IF(B723="","",MONTH(B723))</f>
        <v>5</v>
      </c>
      <c r="K723" s="102" t="n">
        <f aca="false">IF(B723="","",YEAR(B723))</f>
        <v>2026</v>
      </c>
      <c r="L723" s="102" t="str">
        <f aca="false">IF(N(E723)=0,"",IF(COUNTIFS(AK_NAMA,C723,AK_KAT,"KAS")+COUNTIFS(AK_NAMA,D723,AK_KAT,"KAS")&lt;&gt;1,"",IF(COUNTIFS(AK_NAMA,C723,AK_KAT,"KAS")=1,D723,C723)))</f>
        <v>Biaya Lainnya</v>
      </c>
      <c r="M723" s="103" t="n">
        <f aca="false">IF(L723="",0,IF(L723=D723,E723,-E723))</f>
        <v>-117</v>
      </c>
      <c r="N723" s="102" t="str">
        <f aca="false">IF(L723="","",IFERROR(INDEX(AK_BARIS,MATCH(L723,AK_NAMA,0)),"?"))</f>
        <v>OP2</v>
      </c>
      <c r="O723" s="102" t="str">
        <f aca="false">IF(C723="","",IFERROR(INDEX(AK_KEL,MATCH(C723,AK_NAMA,0)),"?"))</f>
        <v>BEBAN</v>
      </c>
      <c r="P723" s="102" t="str">
        <f aca="false">IF(D723="","",IFERROR(INDEX(AK_KEL,MATCH(D723,AK_NAMA,0)),"?"))</f>
        <v>ASET</v>
      </c>
      <c r="Q723" s="102" t="n">
        <f aca="false">N(Q722)+IF(AND(N(E723)&lt;&gt;0,K723=TAHUN,N(J723)&lt;=BLN,OR(C723=BB_AKUN,D723=BB_AKUN)),1,0)</f>
        <v>473</v>
      </c>
      <c r="R723" s="104" t="str">
        <f aca="false">IF(OR(C723&amp;D723="",N(E723)=0),"",IF(OR(O723="?",P723="?"),"⚠ akun tidak dikenal",IF(C723=D723,"⚠ debet = kredit","")))</f>
        <v/>
      </c>
    </row>
    <row r="724" customFormat="false" ht="15" hidden="false" customHeight="false" outlineLevel="0" collapsed="false">
      <c r="A724" s="82" t="s">
        <v>1670</v>
      </c>
      <c r="B724" s="101" t="n">
        <v>46173</v>
      </c>
      <c r="C724" s="82" t="s">
        <v>461</v>
      </c>
      <c r="D724" s="82" t="s">
        <v>557</v>
      </c>
      <c r="E724" s="91" t="n">
        <v>581</v>
      </c>
      <c r="F724" s="82" t="s">
        <v>773</v>
      </c>
      <c r="G724" s="82"/>
      <c r="H724" s="82"/>
      <c r="I724" s="82" t="s">
        <v>250</v>
      </c>
      <c r="J724" s="102" t="n">
        <f aca="false">IF(B724="","",MONTH(B724))</f>
        <v>5</v>
      </c>
      <c r="K724" s="102" t="n">
        <f aca="false">IF(B724="","",YEAR(B724))</f>
        <v>2026</v>
      </c>
      <c r="L724" s="102" t="str">
        <f aca="false">IF(N(E724)=0,"",IF(COUNTIFS(AK_NAMA,C724,AK_KAT,"KAS")+COUNTIFS(AK_NAMA,D724,AK_KAT,"KAS")&lt;&gt;1,"",IF(COUNTIFS(AK_NAMA,C724,AK_KAT,"KAS")=1,D724,C724)))</f>
        <v>Pendapatan Lainnya</v>
      </c>
      <c r="M724" s="103" t="n">
        <f aca="false">IF(L724="",0,IF(L724=D724,E724,-E724))</f>
        <v>581</v>
      </c>
      <c r="N724" s="102" t="str">
        <f aca="false">IF(L724="","",IFERROR(INDEX(AK_BARIS,MATCH(L724,AK_NAMA,0)),"?"))</f>
        <v>OP2</v>
      </c>
      <c r="O724" s="102" t="str">
        <f aca="false">IF(C724="","",IFERROR(INDEX(AK_KEL,MATCH(C724,AK_NAMA,0)),"?"))</f>
        <v>ASET</v>
      </c>
      <c r="P724" s="102" t="str">
        <f aca="false">IF(D724="","",IFERROR(INDEX(AK_KEL,MATCH(D724,AK_NAMA,0)),"?"))</f>
        <v>PENDAPATAN</v>
      </c>
      <c r="Q724" s="102" t="n">
        <f aca="false">N(Q723)+IF(AND(N(E724)&lt;&gt;0,K724=TAHUN,N(J724)&lt;=BLN,OR(C724=BB_AKUN,D724=BB_AKUN)),1,0)</f>
        <v>474</v>
      </c>
      <c r="R724" s="104" t="str">
        <f aca="false">IF(OR(C724&amp;D724="",N(E724)=0),"",IF(OR(O724="?",P724="?"),"⚠ akun tidak dikenal",IF(C724=D724,"⚠ debet = kredit","")))</f>
        <v/>
      </c>
    </row>
    <row r="725" customFormat="false" ht="15" hidden="false" customHeight="false" outlineLevel="0" collapsed="false">
      <c r="A725" s="82" t="s">
        <v>1671</v>
      </c>
      <c r="B725" s="101" t="n">
        <v>46173</v>
      </c>
      <c r="C725" s="82" t="s">
        <v>461</v>
      </c>
      <c r="D725" s="82" t="s">
        <v>557</v>
      </c>
      <c r="E725" s="91" t="n">
        <v>5</v>
      </c>
      <c r="F725" s="82" t="s">
        <v>1205</v>
      </c>
      <c r="G725" s="82"/>
      <c r="H725" s="82"/>
      <c r="I725" s="82" t="s">
        <v>250</v>
      </c>
      <c r="J725" s="102" t="n">
        <f aca="false">IF(B725="","",MONTH(B725))</f>
        <v>5</v>
      </c>
      <c r="K725" s="102" t="n">
        <f aca="false">IF(B725="","",YEAR(B725))</f>
        <v>2026</v>
      </c>
      <c r="L725" s="102" t="str">
        <f aca="false">IF(N(E725)=0,"",IF(COUNTIFS(AK_NAMA,C725,AK_KAT,"KAS")+COUNTIFS(AK_NAMA,D725,AK_KAT,"KAS")&lt;&gt;1,"",IF(COUNTIFS(AK_NAMA,C725,AK_KAT,"KAS")=1,D725,C725)))</f>
        <v>Pendapatan Lainnya</v>
      </c>
      <c r="M725" s="103" t="n">
        <f aca="false">IF(L725="",0,IF(L725=D725,E725,-E725))</f>
        <v>5</v>
      </c>
      <c r="N725" s="102" t="str">
        <f aca="false">IF(L725="","",IFERROR(INDEX(AK_BARIS,MATCH(L725,AK_NAMA,0)),"?"))</f>
        <v>OP2</v>
      </c>
      <c r="O725" s="102" t="str">
        <f aca="false">IF(C725="","",IFERROR(INDEX(AK_KEL,MATCH(C725,AK_NAMA,0)),"?"))</f>
        <v>ASET</v>
      </c>
      <c r="P725" s="102" t="str">
        <f aca="false">IF(D725="","",IFERROR(INDEX(AK_KEL,MATCH(D725,AK_NAMA,0)),"?"))</f>
        <v>PENDAPATAN</v>
      </c>
      <c r="Q725" s="102" t="n">
        <f aca="false">N(Q724)+IF(AND(N(E725)&lt;&gt;0,K725=TAHUN,N(J725)&lt;=BLN,OR(C725=BB_AKUN,D725=BB_AKUN)),1,0)</f>
        <v>475</v>
      </c>
      <c r="R725" s="104" t="str">
        <f aca="false">IF(OR(C725&amp;D725="",N(E725)=0),"",IF(OR(O725="?",P725="?"),"⚠ akun tidak dikenal",IF(C725=D725,"⚠ debet = kredit","")))</f>
        <v/>
      </c>
    </row>
    <row r="726" customFormat="false" ht="15" hidden="false" customHeight="false" outlineLevel="0" collapsed="false">
      <c r="A726" s="82" t="s">
        <v>1672</v>
      </c>
      <c r="B726" s="101" t="n">
        <v>46173</v>
      </c>
      <c r="C726" s="82" t="s">
        <v>478</v>
      </c>
      <c r="D726" s="82" t="s">
        <v>461</v>
      </c>
      <c r="E726" s="91" t="n">
        <v>62000</v>
      </c>
      <c r="F726" s="82" t="s">
        <v>1673</v>
      </c>
      <c r="G726" s="82"/>
      <c r="H726" s="82"/>
      <c r="I726" s="82" t="s">
        <v>250</v>
      </c>
      <c r="J726" s="102" t="n">
        <f aca="false">IF(B726="","",MONTH(B726))</f>
        <v>5</v>
      </c>
      <c r="K726" s="102" t="n">
        <f aca="false">IF(B726="","",YEAR(B726))</f>
        <v>2026</v>
      </c>
      <c r="L726" s="102" t="str">
        <f aca="false">IF(N(E726)=0,"",IF(COUNTIFS(AK_NAMA,C726,AK_KAT,"KAS")+COUNTIFS(AK_NAMA,D726,AK_KAT,"KAS")&lt;&gt;1,"",IF(COUNTIFS(AK_NAMA,C726,AK_KAT,"KAS")=1,D726,C726)))</f>
        <v>Biaya Penyajian</v>
      </c>
      <c r="M726" s="103" t="n">
        <f aca="false">IF(L726="",0,IF(L726=D726,E726,-E726))</f>
        <v>-62000</v>
      </c>
      <c r="N726" s="102" t="str">
        <f aca="false">IF(L726="","",IFERROR(INDEX(AK_BARIS,MATCH(L726,AK_NAMA,0)),"?"))</f>
        <v>OP3</v>
      </c>
      <c r="O726" s="102" t="str">
        <f aca="false">IF(C726="","",IFERROR(INDEX(AK_KEL,MATCH(C726,AK_NAMA,0)),"?"))</f>
        <v>BEBAN</v>
      </c>
      <c r="P726" s="102" t="str">
        <f aca="false">IF(D726="","",IFERROR(INDEX(AK_KEL,MATCH(D726,AK_NAMA,0)),"?"))</f>
        <v>ASET</v>
      </c>
      <c r="Q726" s="102" t="n">
        <f aca="false">N(Q725)+IF(AND(N(E726)&lt;&gt;0,K726=TAHUN,N(J726)&lt;=BLN,OR(C726=BB_AKUN,D726=BB_AKUN)),1,0)</f>
        <v>476</v>
      </c>
      <c r="R726" s="104" t="str">
        <f aca="false">IF(OR(C726&amp;D726="",N(E726)=0),"",IF(OR(O726="?",P726="?"),"⚠ akun tidak dikenal",IF(C726=D726,"⚠ debet = kredit","")))</f>
        <v/>
      </c>
    </row>
    <row r="727" customFormat="false" ht="15" hidden="false" customHeight="false" outlineLevel="0" collapsed="false">
      <c r="A727" s="82" t="s">
        <v>1674</v>
      </c>
      <c r="B727" s="101" t="n">
        <v>46173</v>
      </c>
      <c r="C727" s="82" t="s">
        <v>470</v>
      </c>
      <c r="D727" s="82" t="s">
        <v>486</v>
      </c>
      <c r="E727" s="91" t="n">
        <v>443000</v>
      </c>
      <c r="F727" s="82" t="s">
        <v>935</v>
      </c>
      <c r="G727" s="82"/>
      <c r="H727" s="82"/>
      <c r="I727" s="82" t="s">
        <v>250</v>
      </c>
      <c r="J727" s="102" t="n">
        <f aca="false">IF(B727="","",MONTH(B727))</f>
        <v>5</v>
      </c>
      <c r="K727" s="102" t="n">
        <f aca="false">IF(B727="","",YEAR(B727))</f>
        <v>2026</v>
      </c>
      <c r="L727" s="102" t="str">
        <f aca="false">IF(N(E727)=0,"",IF(COUNTIFS(AK_NAMA,C727,AK_KAT,"KAS")+COUNTIFS(AK_NAMA,D727,AK_KAT,"KAS")&lt;&gt;1,"",IF(COUNTIFS(AK_NAMA,C727,AK_KAT,"KAS")=1,D727,C727)))</f>
        <v>Biaya Bahan Baku</v>
      </c>
      <c r="M727" s="103" t="n">
        <f aca="false">IF(L727="",0,IF(L727=D727,E727,-E727))</f>
        <v>-443000</v>
      </c>
      <c r="N727" s="102" t="str">
        <f aca="false">IF(L727="","",IFERROR(INDEX(AK_BARIS,MATCH(L727,AK_NAMA,0)),"?"))</f>
        <v>OP3</v>
      </c>
      <c r="O727" s="102" t="str">
        <f aca="false">IF(C727="","",IFERROR(INDEX(AK_KEL,MATCH(C727,AK_NAMA,0)),"?"))</f>
        <v>BEBAN</v>
      </c>
      <c r="P727" s="102" t="str">
        <f aca="false">IF(D727="","",IFERROR(INDEX(AK_KEL,MATCH(D727,AK_NAMA,0)),"?"))</f>
        <v>ASET</v>
      </c>
      <c r="Q727" s="102" t="n">
        <f aca="false">N(Q726)+IF(AND(N(E727)&lt;&gt;0,K727=TAHUN,N(J727)&lt;=BLN,OR(C727=BB_AKUN,D727=BB_AKUN)),1,0)</f>
        <v>476</v>
      </c>
      <c r="R727" s="104" t="str">
        <f aca="false">IF(OR(C727&amp;D727="",N(E727)=0),"",IF(OR(O727="?",P727="?"),"⚠ akun tidak dikenal",IF(C727=D727,"⚠ debet = kredit","")))</f>
        <v/>
      </c>
    </row>
    <row r="728" customFormat="false" ht="15" hidden="false" customHeight="false" outlineLevel="0" collapsed="false">
      <c r="A728" s="82" t="s">
        <v>1675</v>
      </c>
      <c r="B728" s="101" t="n">
        <v>46173</v>
      </c>
      <c r="C728" s="82" t="s">
        <v>485</v>
      </c>
      <c r="D728" s="82" t="s">
        <v>486</v>
      </c>
      <c r="E728" s="91" t="n">
        <v>10000</v>
      </c>
      <c r="F728" s="82" t="s">
        <v>553</v>
      </c>
      <c r="G728" s="82"/>
      <c r="H728" s="82"/>
      <c r="I728" s="82" t="s">
        <v>250</v>
      </c>
      <c r="J728" s="102" t="n">
        <f aca="false">IF(B728="","",MONTH(B728))</f>
        <v>5</v>
      </c>
      <c r="K728" s="102" t="n">
        <f aca="false">IF(B728="","",YEAR(B728))</f>
        <v>2026</v>
      </c>
      <c r="L728" s="102" t="str">
        <f aca="false">IF(N(E728)=0,"",IF(COUNTIFS(AK_NAMA,C728,AK_KAT,"KAS")+COUNTIFS(AK_NAMA,D728,AK_KAT,"KAS")&lt;&gt;1,"",IF(COUNTIFS(AK_NAMA,C728,AK_KAT,"KAS")=1,D728,C728)))</f>
        <v>Biaya Operasional Harian</v>
      </c>
      <c r="M728" s="103" t="n">
        <f aca="false">IF(L728="",0,IF(L728=D728,E728,-E728))</f>
        <v>-10000</v>
      </c>
      <c r="N728" s="102" t="str">
        <f aca="false">IF(L728="","",IFERROR(INDEX(AK_BARIS,MATCH(L728,AK_NAMA,0)),"?"))</f>
        <v>OP6</v>
      </c>
      <c r="O728" s="102" t="str">
        <f aca="false">IF(C728="","",IFERROR(INDEX(AK_KEL,MATCH(C728,AK_NAMA,0)),"?"))</f>
        <v>BEBAN</v>
      </c>
      <c r="P728" s="102" t="str">
        <f aca="false">IF(D728="","",IFERROR(INDEX(AK_KEL,MATCH(D728,AK_NAMA,0)),"?"))</f>
        <v>ASET</v>
      </c>
      <c r="Q728" s="102" t="n">
        <f aca="false">N(Q727)+IF(AND(N(E728)&lt;&gt;0,K728=TAHUN,N(J728)&lt;=BLN,OR(C728=BB_AKUN,D728=BB_AKUN)),1,0)</f>
        <v>476</v>
      </c>
      <c r="R728" s="104" t="str">
        <f aca="false">IF(OR(C728&amp;D728="",N(E728)=0),"",IF(OR(O728="?",P728="?"),"⚠ akun tidak dikenal",IF(C728=D728,"⚠ debet = kredit","")))</f>
        <v/>
      </c>
    </row>
    <row r="729" customFormat="false" ht="15" hidden="false" customHeight="false" outlineLevel="0" collapsed="false">
      <c r="A729" s="82" t="s">
        <v>1676</v>
      </c>
      <c r="B729" s="101" t="n">
        <v>46173</v>
      </c>
      <c r="C729" s="82" t="s">
        <v>485</v>
      </c>
      <c r="D729" s="82" t="s">
        <v>486</v>
      </c>
      <c r="E729" s="91" t="n">
        <v>47000</v>
      </c>
      <c r="F729" s="82" t="s">
        <v>555</v>
      </c>
      <c r="G729" s="82"/>
      <c r="H729" s="82"/>
      <c r="I729" s="82" t="s">
        <v>250</v>
      </c>
      <c r="J729" s="102" t="n">
        <f aca="false">IF(B729="","",MONTH(B729))</f>
        <v>5</v>
      </c>
      <c r="K729" s="102" t="n">
        <f aca="false">IF(B729="","",YEAR(B729))</f>
        <v>2026</v>
      </c>
      <c r="L729" s="102" t="str">
        <f aca="false">IF(N(E729)=0,"",IF(COUNTIFS(AK_NAMA,C729,AK_KAT,"KAS")+COUNTIFS(AK_NAMA,D729,AK_KAT,"KAS")&lt;&gt;1,"",IF(COUNTIFS(AK_NAMA,C729,AK_KAT,"KAS")=1,D729,C729)))</f>
        <v>Biaya Operasional Harian</v>
      </c>
      <c r="M729" s="103" t="n">
        <f aca="false">IF(L729="",0,IF(L729=D729,E729,-E729))</f>
        <v>-47000</v>
      </c>
      <c r="N729" s="102" t="str">
        <f aca="false">IF(L729="","",IFERROR(INDEX(AK_BARIS,MATCH(L729,AK_NAMA,0)),"?"))</f>
        <v>OP6</v>
      </c>
      <c r="O729" s="102" t="str">
        <f aca="false">IF(C729="","",IFERROR(INDEX(AK_KEL,MATCH(C729,AK_NAMA,0)),"?"))</f>
        <v>BEBAN</v>
      </c>
      <c r="P729" s="102" t="str">
        <f aca="false">IF(D729="","",IFERROR(INDEX(AK_KEL,MATCH(D729,AK_NAMA,0)),"?"))</f>
        <v>ASET</v>
      </c>
      <c r="Q729" s="102" t="n">
        <f aca="false">N(Q728)+IF(AND(N(E729)&lt;&gt;0,K729=TAHUN,N(J729)&lt;=BLN,OR(C729=BB_AKUN,D729=BB_AKUN)),1,0)</f>
        <v>476</v>
      </c>
      <c r="R729" s="104" t="str">
        <f aca="false">IF(OR(C729&amp;D729="",N(E729)=0),"",IF(OR(O729="?",P729="?"),"⚠ akun tidak dikenal",IF(C729=D729,"⚠ debet = kredit","")))</f>
        <v/>
      </c>
    </row>
    <row r="730" customFormat="false" ht="15" hidden="false" customHeight="false" outlineLevel="0" collapsed="false">
      <c r="A730" s="82" t="s">
        <v>1677</v>
      </c>
      <c r="B730" s="101" t="n">
        <v>46173</v>
      </c>
      <c r="C730" s="82" t="s">
        <v>461</v>
      </c>
      <c r="D730" s="82" t="s">
        <v>718</v>
      </c>
      <c r="E730" s="91" t="n">
        <v>320000</v>
      </c>
      <c r="F730" s="82" t="s">
        <v>1678</v>
      </c>
      <c r="G730" s="82"/>
      <c r="H730" s="82" t="s">
        <v>763</v>
      </c>
      <c r="I730" s="82" t="s">
        <v>250</v>
      </c>
      <c r="J730" s="102" t="n">
        <f aca="false">IF(B730="","",MONTH(B730))</f>
        <v>5</v>
      </c>
      <c r="K730" s="102" t="n">
        <f aca="false">IF(B730="","",YEAR(B730))</f>
        <v>2026</v>
      </c>
      <c r="L730" s="102" t="str">
        <f aca="false">IF(N(E730)=0,"",IF(COUNTIFS(AK_NAMA,C730,AK_KAT,"KAS")+COUNTIFS(AK_NAMA,D730,AK_KAT,"KAS")&lt;&gt;1,"",IF(COUNTIFS(AK_NAMA,C730,AK_KAT,"KAS")=1,D730,C730)))</f>
        <v>Piutang Lainnya</v>
      </c>
      <c r="M730" s="103" t="n">
        <f aca="false">IF(L730="",0,IF(L730=D730,E730,-E730))</f>
        <v>320000</v>
      </c>
      <c r="N730" s="102" t="str">
        <f aca="false">IF(L730="","",IFERROR(INDEX(AK_BARIS,MATCH(L730,AK_NAMA,0)),"?"))</f>
        <v>OP2</v>
      </c>
      <c r="O730" s="102" t="str">
        <f aca="false">IF(C730="","",IFERROR(INDEX(AK_KEL,MATCH(C730,AK_NAMA,0)),"?"))</f>
        <v>ASET</v>
      </c>
      <c r="P730" s="102" t="str">
        <f aca="false">IF(D730="","",IFERROR(INDEX(AK_KEL,MATCH(D730,AK_NAMA,0)),"?"))</f>
        <v>ASET</v>
      </c>
      <c r="Q730" s="102" t="n">
        <f aca="false">N(Q729)+IF(AND(N(E730)&lt;&gt;0,K730=TAHUN,N(J730)&lt;=BLN,OR(C730=BB_AKUN,D730=BB_AKUN)),1,0)</f>
        <v>477</v>
      </c>
      <c r="R730" s="104" t="str">
        <f aca="false">IF(OR(C730&amp;D730="",N(E730)=0),"",IF(OR(O730="?",P730="?"),"⚠ akun tidak dikenal",IF(C730=D730,"⚠ debet = kredit","")))</f>
        <v/>
      </c>
    </row>
    <row r="731" customFormat="false" ht="15" hidden="false" customHeight="false" outlineLevel="0" collapsed="false">
      <c r="A731" s="82" t="s">
        <v>1679</v>
      </c>
      <c r="B731" s="101" t="n">
        <v>46173</v>
      </c>
      <c r="C731" s="82" t="s">
        <v>461</v>
      </c>
      <c r="D731" s="82" t="s">
        <v>718</v>
      </c>
      <c r="E731" s="91" t="n">
        <v>228300</v>
      </c>
      <c r="F731" s="82" t="s">
        <v>1680</v>
      </c>
      <c r="G731" s="82"/>
      <c r="H731" s="82" t="s">
        <v>763</v>
      </c>
      <c r="I731" s="82" t="s">
        <v>250</v>
      </c>
      <c r="J731" s="102" t="n">
        <f aca="false">IF(B731="","",MONTH(B731))</f>
        <v>5</v>
      </c>
      <c r="K731" s="102" t="n">
        <f aca="false">IF(B731="","",YEAR(B731))</f>
        <v>2026</v>
      </c>
      <c r="L731" s="102" t="str">
        <f aca="false">IF(N(E731)=0,"",IF(COUNTIFS(AK_NAMA,C731,AK_KAT,"KAS")+COUNTIFS(AK_NAMA,D731,AK_KAT,"KAS")&lt;&gt;1,"",IF(COUNTIFS(AK_NAMA,C731,AK_KAT,"KAS")=1,D731,C731)))</f>
        <v>Piutang Lainnya</v>
      </c>
      <c r="M731" s="103" t="n">
        <f aca="false">IF(L731="",0,IF(L731=D731,E731,-E731))</f>
        <v>228300</v>
      </c>
      <c r="N731" s="102" t="str">
        <f aca="false">IF(L731="","",IFERROR(INDEX(AK_BARIS,MATCH(L731,AK_NAMA,0)),"?"))</f>
        <v>OP2</v>
      </c>
      <c r="O731" s="102" t="str">
        <f aca="false">IF(C731="","",IFERROR(INDEX(AK_KEL,MATCH(C731,AK_NAMA,0)),"?"))</f>
        <v>ASET</v>
      </c>
      <c r="P731" s="102" t="str">
        <f aca="false">IF(D731="","",IFERROR(INDEX(AK_KEL,MATCH(D731,AK_NAMA,0)),"?"))</f>
        <v>ASET</v>
      </c>
      <c r="Q731" s="102" t="n">
        <f aca="false">N(Q730)+IF(AND(N(E731)&lt;&gt;0,K731=TAHUN,N(J731)&lt;=BLN,OR(C731=BB_AKUN,D731=BB_AKUN)),1,0)</f>
        <v>478</v>
      </c>
      <c r="R731" s="104" t="str">
        <f aca="false">IF(OR(C731&amp;D731="",N(E731)=0),"",IF(OR(O731="?",P731="?"),"⚠ akun tidak dikenal",IF(C731=D731,"⚠ debet = kredit","")))</f>
        <v/>
      </c>
    </row>
    <row r="732" customFormat="false" ht="15" hidden="false" customHeight="false" outlineLevel="0" collapsed="false">
      <c r="A732" s="82" t="s">
        <v>1681</v>
      </c>
      <c r="B732" s="101" t="n">
        <v>46173</v>
      </c>
      <c r="C732" s="82" t="s">
        <v>461</v>
      </c>
      <c r="D732" s="82" t="s">
        <v>765</v>
      </c>
      <c r="E732" s="91" t="n">
        <v>369822</v>
      </c>
      <c r="F732" s="82" t="s">
        <v>1682</v>
      </c>
      <c r="G732" s="82"/>
      <c r="H732" s="82" t="s">
        <v>767</v>
      </c>
      <c r="I732" s="82" t="s">
        <v>250</v>
      </c>
      <c r="J732" s="102" t="n">
        <f aca="false">IF(B732="","",MONTH(B732))</f>
        <v>5</v>
      </c>
      <c r="K732" s="102" t="n">
        <f aca="false">IF(B732="","",YEAR(B732))</f>
        <v>2026</v>
      </c>
      <c r="L732" s="102" t="str">
        <f aca="false">IF(N(E732)=0,"",IF(COUNTIFS(AK_NAMA,C732,AK_KAT,"KAS")+COUNTIFS(AK_NAMA,D732,AK_KAT,"KAS")&lt;&gt;1,"",IF(COUNTIFS(AK_NAMA,C732,AK_KAT,"KAS")=1,D732,C732)))</f>
        <v>Piutang Usaha Cafe</v>
      </c>
      <c r="M732" s="103" t="n">
        <f aca="false">IF(L732="",0,IF(L732=D732,E732,-E732))</f>
        <v>369822</v>
      </c>
      <c r="N732" s="102" t="str">
        <f aca="false">IF(L732="","",IFERROR(INDEX(AK_BARIS,MATCH(L732,AK_NAMA,0)),"?"))</f>
        <v>OP1</v>
      </c>
      <c r="O732" s="102" t="str">
        <f aca="false">IF(C732="","",IFERROR(INDEX(AK_KEL,MATCH(C732,AK_NAMA,0)),"?"))</f>
        <v>ASET</v>
      </c>
      <c r="P732" s="102" t="str">
        <f aca="false">IF(D732="","",IFERROR(INDEX(AK_KEL,MATCH(D732,AK_NAMA,0)),"?"))</f>
        <v>ASET</v>
      </c>
      <c r="Q732" s="102" t="n">
        <f aca="false">N(Q731)+IF(AND(N(E732)&lt;&gt;0,K732=TAHUN,N(J732)&lt;=BLN,OR(C732=BB_AKUN,D732=BB_AKUN)),1,0)</f>
        <v>479</v>
      </c>
      <c r="R732" s="104" t="str">
        <f aca="false">IF(OR(C732&amp;D732="",N(E732)=0),"",IF(OR(O732="?",P732="?"),"⚠ akun tidak dikenal",IF(C732=D732,"⚠ debet = kredit","")))</f>
        <v/>
      </c>
    </row>
    <row r="733" customFormat="false" ht="15" hidden="false" customHeight="false" outlineLevel="0" collapsed="false">
      <c r="A733" s="82" t="s">
        <v>1683</v>
      </c>
      <c r="B733" s="101" t="n">
        <v>46173</v>
      </c>
      <c r="C733" s="82" t="s">
        <v>461</v>
      </c>
      <c r="D733" s="82" t="s">
        <v>765</v>
      </c>
      <c r="E733" s="91" t="n">
        <v>328000</v>
      </c>
      <c r="F733" s="82" t="s">
        <v>1684</v>
      </c>
      <c r="G733" s="82"/>
      <c r="H733" s="82" t="s">
        <v>767</v>
      </c>
      <c r="I733" s="82" t="s">
        <v>250</v>
      </c>
      <c r="J733" s="102" t="n">
        <f aca="false">IF(B733="","",MONTH(B733))</f>
        <v>5</v>
      </c>
      <c r="K733" s="102" t="n">
        <f aca="false">IF(B733="","",YEAR(B733))</f>
        <v>2026</v>
      </c>
      <c r="L733" s="102" t="str">
        <f aca="false">IF(N(E733)=0,"",IF(COUNTIFS(AK_NAMA,C733,AK_KAT,"KAS")+COUNTIFS(AK_NAMA,D733,AK_KAT,"KAS")&lt;&gt;1,"",IF(COUNTIFS(AK_NAMA,C733,AK_KAT,"KAS")=1,D733,C733)))</f>
        <v>Piutang Usaha Cafe</v>
      </c>
      <c r="M733" s="103" t="n">
        <f aca="false">IF(L733="",0,IF(L733=D733,E733,-E733))</f>
        <v>328000</v>
      </c>
      <c r="N733" s="102" t="str">
        <f aca="false">IF(L733="","",IFERROR(INDEX(AK_BARIS,MATCH(L733,AK_NAMA,0)),"?"))</f>
        <v>OP1</v>
      </c>
      <c r="O733" s="102" t="str">
        <f aca="false">IF(C733="","",IFERROR(INDEX(AK_KEL,MATCH(C733,AK_NAMA,0)),"?"))</f>
        <v>ASET</v>
      </c>
      <c r="P733" s="102" t="str">
        <f aca="false">IF(D733="","",IFERROR(INDEX(AK_KEL,MATCH(D733,AK_NAMA,0)),"?"))</f>
        <v>ASET</v>
      </c>
      <c r="Q733" s="102" t="n">
        <f aca="false">N(Q732)+IF(AND(N(E733)&lt;&gt;0,K733=TAHUN,N(J733)&lt;=BLN,OR(C733=BB_AKUN,D733=BB_AKUN)),1,0)</f>
        <v>480</v>
      </c>
      <c r="R733" s="104" t="str">
        <f aca="false">IF(OR(C733&amp;D733="",N(E733)=0),"",IF(OR(O733="?",P733="?"),"⚠ akun tidak dikenal",IF(C733=D733,"⚠ debet = kredit","")))</f>
        <v/>
      </c>
    </row>
    <row r="734" customFormat="false" ht="15" hidden="false" customHeight="false" outlineLevel="0" collapsed="false">
      <c r="A734" s="82" t="s">
        <v>1685</v>
      </c>
      <c r="B734" s="101" t="n">
        <v>46173</v>
      </c>
      <c r="C734" s="82" t="s">
        <v>669</v>
      </c>
      <c r="D734" s="82" t="s">
        <v>461</v>
      </c>
      <c r="E734" s="91" t="n">
        <v>4413810</v>
      </c>
      <c r="F734" s="82" t="s">
        <v>1686</v>
      </c>
      <c r="G734" s="82"/>
      <c r="H734" s="82"/>
      <c r="I734" s="82" t="s">
        <v>250</v>
      </c>
      <c r="J734" s="102" t="n">
        <f aca="false">IF(B734="","",MONTH(B734))</f>
        <v>5</v>
      </c>
      <c r="K734" s="102" t="n">
        <f aca="false">IF(B734="","",YEAR(B734))</f>
        <v>2026</v>
      </c>
      <c r="L734" s="102" t="str">
        <f aca="false">IF(N(E734)=0,"",IF(COUNTIFS(AK_NAMA,C734,AK_KAT,"KAS")+COUNTIFS(AK_NAMA,D734,AK_KAT,"KAS")&lt;&gt;1,"",IF(COUNTIFS(AK_NAMA,C734,AK_KAT,"KAS")=1,D734,C734)))</f>
        <v>Biaya Tagihan Bulanan</v>
      </c>
      <c r="M734" s="103" t="n">
        <f aca="false">IF(L734="",0,IF(L734=D734,E734,-E734))</f>
        <v>-4413810</v>
      </c>
      <c r="N734" s="102" t="str">
        <f aca="false">IF(L734="","",IFERROR(INDEX(AK_BARIS,MATCH(L734,AK_NAMA,0)),"?"))</f>
        <v>OP6</v>
      </c>
      <c r="O734" s="102" t="str">
        <f aca="false">IF(C734="","",IFERROR(INDEX(AK_KEL,MATCH(C734,AK_NAMA,0)),"?"))</f>
        <v>BEBAN</v>
      </c>
      <c r="P734" s="102" t="str">
        <f aca="false">IF(D734="","",IFERROR(INDEX(AK_KEL,MATCH(D734,AK_NAMA,0)),"?"))</f>
        <v>ASET</v>
      </c>
      <c r="Q734" s="102" t="n">
        <f aca="false">N(Q733)+IF(AND(N(E734)&lt;&gt;0,K734=TAHUN,N(J734)&lt;=BLN,OR(C734=BB_AKUN,D734=BB_AKUN)),1,0)</f>
        <v>481</v>
      </c>
      <c r="R734" s="104" t="str">
        <f aca="false">IF(OR(C734&amp;D734="",N(E734)=0),"",IF(OR(O734="?",P734="?"),"⚠ akun tidak dikenal",IF(C734=D734,"⚠ debet = kredit","")))</f>
        <v/>
      </c>
    </row>
    <row r="735" customFormat="false" ht="15" hidden="false" customHeight="false" outlineLevel="0" collapsed="false">
      <c r="A735" s="82" t="s">
        <v>1687</v>
      </c>
      <c r="B735" s="101" t="n">
        <v>46173</v>
      </c>
      <c r="C735" s="82" t="s">
        <v>669</v>
      </c>
      <c r="D735" s="82" t="s">
        <v>461</v>
      </c>
      <c r="E735" s="91" t="n">
        <v>57391</v>
      </c>
      <c r="F735" s="82" t="s">
        <v>1688</v>
      </c>
      <c r="G735" s="82"/>
      <c r="H735" s="82"/>
      <c r="I735" s="82" t="s">
        <v>250</v>
      </c>
      <c r="J735" s="102" t="n">
        <f aca="false">IF(B735="","",MONTH(B735))</f>
        <v>5</v>
      </c>
      <c r="K735" s="102" t="n">
        <f aca="false">IF(B735="","",YEAR(B735))</f>
        <v>2026</v>
      </c>
      <c r="L735" s="102" t="str">
        <f aca="false">IF(N(E735)=0,"",IF(COUNTIFS(AK_NAMA,C735,AK_KAT,"KAS")+COUNTIFS(AK_NAMA,D735,AK_KAT,"KAS")&lt;&gt;1,"",IF(COUNTIFS(AK_NAMA,C735,AK_KAT,"KAS")=1,D735,C735)))</f>
        <v>Biaya Tagihan Bulanan</v>
      </c>
      <c r="M735" s="103" t="n">
        <f aca="false">IF(L735="",0,IF(L735=D735,E735,-E735))</f>
        <v>-57391</v>
      </c>
      <c r="N735" s="102" t="str">
        <f aca="false">IF(L735="","",IFERROR(INDEX(AK_BARIS,MATCH(L735,AK_NAMA,0)),"?"))</f>
        <v>OP6</v>
      </c>
      <c r="O735" s="102" t="str">
        <f aca="false">IF(C735="","",IFERROR(INDEX(AK_KEL,MATCH(C735,AK_NAMA,0)),"?"))</f>
        <v>BEBAN</v>
      </c>
      <c r="P735" s="102" t="str">
        <f aca="false">IF(D735="","",IFERROR(INDEX(AK_KEL,MATCH(D735,AK_NAMA,0)),"?"))</f>
        <v>ASET</v>
      </c>
      <c r="Q735" s="102" t="n">
        <f aca="false">N(Q734)+IF(AND(N(E735)&lt;&gt;0,K735=TAHUN,N(J735)&lt;=BLN,OR(C735=BB_AKUN,D735=BB_AKUN)),1,0)</f>
        <v>482</v>
      </c>
      <c r="R735" s="104" t="str">
        <f aca="false">IF(OR(C735&amp;D735="",N(E735)=0),"",IF(OR(O735="?",P735="?"),"⚠ akun tidak dikenal",IF(C735=D735,"⚠ debet = kredit","")))</f>
        <v/>
      </c>
    </row>
    <row r="736" customFormat="false" ht="15" hidden="false" customHeight="false" outlineLevel="0" collapsed="false">
      <c r="A736" s="82" t="s">
        <v>1689</v>
      </c>
      <c r="B736" s="101" t="n">
        <v>46173</v>
      </c>
      <c r="C736" s="82" t="s">
        <v>669</v>
      </c>
      <c r="D736" s="82" t="s">
        <v>461</v>
      </c>
      <c r="E736" s="91" t="n">
        <v>384450</v>
      </c>
      <c r="F736" s="82" t="s">
        <v>1690</v>
      </c>
      <c r="G736" s="82"/>
      <c r="H736" s="82"/>
      <c r="I736" s="82" t="s">
        <v>250</v>
      </c>
      <c r="J736" s="102" t="n">
        <f aca="false">IF(B736="","",MONTH(B736))</f>
        <v>5</v>
      </c>
      <c r="K736" s="102" t="n">
        <f aca="false">IF(B736="","",YEAR(B736))</f>
        <v>2026</v>
      </c>
      <c r="L736" s="102" t="str">
        <f aca="false">IF(N(E736)=0,"",IF(COUNTIFS(AK_NAMA,C736,AK_KAT,"KAS")+COUNTIFS(AK_NAMA,D736,AK_KAT,"KAS")&lt;&gt;1,"",IF(COUNTIFS(AK_NAMA,C736,AK_KAT,"KAS")=1,D736,C736)))</f>
        <v>Biaya Tagihan Bulanan</v>
      </c>
      <c r="M736" s="103" t="n">
        <f aca="false">IF(L736="",0,IF(L736=D736,E736,-E736))</f>
        <v>-384450</v>
      </c>
      <c r="N736" s="102" t="str">
        <f aca="false">IF(L736="","",IFERROR(INDEX(AK_BARIS,MATCH(L736,AK_NAMA,0)),"?"))</f>
        <v>OP6</v>
      </c>
      <c r="O736" s="102" t="str">
        <f aca="false">IF(C736="","",IFERROR(INDEX(AK_KEL,MATCH(C736,AK_NAMA,0)),"?"))</f>
        <v>BEBAN</v>
      </c>
      <c r="P736" s="102" t="str">
        <f aca="false">IF(D736="","",IFERROR(INDEX(AK_KEL,MATCH(D736,AK_NAMA,0)),"?"))</f>
        <v>ASET</v>
      </c>
      <c r="Q736" s="102" t="n">
        <f aca="false">N(Q735)+IF(AND(N(E736)&lt;&gt;0,K736=TAHUN,N(J736)&lt;=BLN,OR(C736=BB_AKUN,D736=BB_AKUN)),1,0)</f>
        <v>483</v>
      </c>
      <c r="R736" s="104" t="str">
        <f aca="false">IF(OR(C736&amp;D736="",N(E736)=0),"",IF(OR(O736="?",P736="?"),"⚠ akun tidak dikenal",IF(C736=D736,"⚠ debet = kredit","")))</f>
        <v/>
      </c>
    </row>
    <row r="737" customFormat="false" ht="15" hidden="false" customHeight="false" outlineLevel="0" collapsed="false">
      <c r="A737" s="82" t="s">
        <v>1691</v>
      </c>
      <c r="B737" s="101" t="n">
        <v>46173</v>
      </c>
      <c r="C737" s="82" t="s">
        <v>787</v>
      </c>
      <c r="D737" s="82" t="s">
        <v>461</v>
      </c>
      <c r="E737" s="91" t="n">
        <v>2257000</v>
      </c>
      <c r="F737" s="82" t="s">
        <v>1692</v>
      </c>
      <c r="G737" s="82"/>
      <c r="H737" s="82"/>
      <c r="I737" s="82" t="s">
        <v>250</v>
      </c>
      <c r="J737" s="102" t="n">
        <f aca="false">IF(B737="","",MONTH(B737))</f>
        <v>5</v>
      </c>
      <c r="K737" s="102" t="n">
        <f aca="false">IF(B737="","",YEAR(B737))</f>
        <v>2026</v>
      </c>
      <c r="L737" s="102" t="str">
        <f aca="false">IF(N(E737)=0,"",IF(COUNTIFS(AK_NAMA,C737,AK_KAT,"KAS")+COUNTIFS(AK_NAMA,D737,AK_KAT,"KAS")&lt;&gt;1,"",IF(COUNTIFS(AK_NAMA,C737,AK_KAT,"KAS")=1,D737,C737)))</f>
        <v>Pajak Restoran</v>
      </c>
      <c r="M737" s="103" t="n">
        <f aca="false">IF(L737="",0,IF(L737=D737,E737,-E737))</f>
        <v>-2257000</v>
      </c>
      <c r="N737" s="102" t="str">
        <f aca="false">IF(L737="","",IFERROR(INDEX(AK_BARIS,MATCH(L737,AK_NAMA,0)),"?"))</f>
        <v>OP7</v>
      </c>
      <c r="O737" s="102" t="str">
        <f aca="false">IF(C737="","",IFERROR(INDEX(AK_KEL,MATCH(C737,AK_NAMA,0)),"?"))</f>
        <v>PENDAPATAN</v>
      </c>
      <c r="P737" s="102" t="str">
        <f aca="false">IF(D737="","",IFERROR(INDEX(AK_KEL,MATCH(D737,AK_NAMA,0)),"?"))</f>
        <v>ASET</v>
      </c>
      <c r="Q737" s="102" t="n">
        <f aca="false">N(Q736)+IF(AND(N(E737)&lt;&gt;0,K737=TAHUN,N(J737)&lt;=BLN,OR(C737=BB_AKUN,D737=BB_AKUN)),1,0)</f>
        <v>484</v>
      </c>
      <c r="R737" s="104" t="str">
        <f aca="false">IF(OR(C737&amp;D737="",N(E737)=0),"",IF(OR(O737="?",P737="?"),"⚠ akun tidak dikenal",IF(C737=D737,"⚠ debet = kredit","")))</f>
        <v/>
      </c>
    </row>
    <row r="738" customFormat="false" ht="15" hidden="false" customHeight="false" outlineLevel="0" collapsed="false">
      <c r="A738" s="82" t="s">
        <v>1693</v>
      </c>
      <c r="B738" s="101" t="n">
        <v>46173</v>
      </c>
      <c r="C738" s="82" t="s">
        <v>524</v>
      </c>
      <c r="D738" s="82" t="s">
        <v>461</v>
      </c>
      <c r="E738" s="91" t="n">
        <v>5000</v>
      </c>
      <c r="F738" s="82" t="s">
        <v>1694</v>
      </c>
      <c r="G738" s="82"/>
      <c r="H738" s="82"/>
      <c r="I738" s="82" t="s">
        <v>250</v>
      </c>
      <c r="J738" s="102" t="n">
        <f aca="false">IF(B738="","",MONTH(B738))</f>
        <v>5</v>
      </c>
      <c r="K738" s="102" t="n">
        <f aca="false">IF(B738="","",YEAR(B738))</f>
        <v>2026</v>
      </c>
      <c r="L738" s="102" t="str">
        <f aca="false">IF(N(E738)=0,"",IF(COUNTIFS(AK_NAMA,C738,AK_KAT,"KAS")+COUNTIFS(AK_NAMA,D738,AK_KAT,"KAS")&lt;&gt;1,"",IF(COUNTIFS(AK_NAMA,C738,AK_KAT,"KAS")=1,D738,C738)))</f>
        <v>Biaya Lainnya</v>
      </c>
      <c r="M738" s="103" t="n">
        <f aca="false">IF(L738="",0,IF(L738=D738,E738,-E738))</f>
        <v>-5000</v>
      </c>
      <c r="N738" s="102" t="str">
        <f aca="false">IF(L738="","",IFERROR(INDEX(AK_BARIS,MATCH(L738,AK_NAMA,0)),"?"))</f>
        <v>OP2</v>
      </c>
      <c r="O738" s="102" t="str">
        <f aca="false">IF(C738="","",IFERROR(INDEX(AK_KEL,MATCH(C738,AK_NAMA,0)),"?"))</f>
        <v>BEBAN</v>
      </c>
      <c r="P738" s="102" t="str">
        <f aca="false">IF(D738="","",IFERROR(INDEX(AK_KEL,MATCH(D738,AK_NAMA,0)),"?"))</f>
        <v>ASET</v>
      </c>
      <c r="Q738" s="102" t="n">
        <f aca="false">N(Q737)+IF(AND(N(E738)&lt;&gt;0,K738=TAHUN,N(J738)&lt;=BLN,OR(C738=BB_AKUN,D738=BB_AKUN)),1,0)</f>
        <v>485</v>
      </c>
      <c r="R738" s="104" t="str">
        <f aca="false">IF(OR(C738&amp;D738="",N(E738)=0),"",IF(OR(O738="?",P738="?"),"⚠ akun tidak dikenal",IF(C738=D738,"⚠ debet = kredit","")))</f>
        <v/>
      </c>
    </row>
    <row r="739" customFormat="false" ht="15" hidden="false" customHeight="false" outlineLevel="0" collapsed="false">
      <c r="A739" s="82" t="s">
        <v>1695</v>
      </c>
      <c r="B739" s="101" t="n">
        <v>46173</v>
      </c>
      <c r="C739" s="82" t="s">
        <v>576</v>
      </c>
      <c r="D739" s="82" t="s">
        <v>769</v>
      </c>
      <c r="E739" s="91" t="n">
        <v>1000000</v>
      </c>
      <c r="F739" s="82" t="s">
        <v>1696</v>
      </c>
      <c r="G739" s="82"/>
      <c r="H739" s="82" t="s">
        <v>785</v>
      </c>
      <c r="I739" s="82" t="s">
        <v>250</v>
      </c>
      <c r="J739" s="102" t="n">
        <f aca="false">IF(B739="","",MONTH(B739))</f>
        <v>5</v>
      </c>
      <c r="K739" s="102" t="n">
        <f aca="false">IF(B739="","",YEAR(B739))</f>
        <v>2026</v>
      </c>
      <c r="L739" s="102" t="str">
        <f aca="false">IF(N(E739)=0,"",IF(COUNTIFS(AK_NAMA,C739,AK_KAT,"KAS")+COUNTIFS(AK_NAMA,D739,AK_KAT,"KAS")&lt;&gt;1,"",IF(COUNTIFS(AK_NAMA,C739,AK_KAT,"KAS")=1,D739,C739)))</f>
        <v/>
      </c>
      <c r="M739" s="103" t="n">
        <f aca="false">IF(L739="",0,IF(L739=D739,E739,-E739))</f>
        <v>0</v>
      </c>
      <c r="N739" s="102" t="str">
        <f aca="false">IF(L739="","",IFERROR(INDEX(AK_BARIS,MATCH(L739,AK_NAMA,0)),"?"))</f>
        <v/>
      </c>
      <c r="O739" s="102" t="str">
        <f aca="false">IF(C739="","",IFERROR(INDEX(AK_KEL,MATCH(C739,AK_NAMA,0)),"?"))</f>
        <v>BEBAN</v>
      </c>
      <c r="P739" s="102" t="str">
        <f aca="false">IF(D739="","",IFERROR(INDEX(AK_KEL,MATCH(D739,AK_NAMA,0)),"?"))</f>
        <v>LIABILITAS</v>
      </c>
      <c r="Q739" s="102" t="n">
        <f aca="false">N(Q738)+IF(AND(N(E739)&lt;&gt;0,K739=TAHUN,N(J739)&lt;=BLN,OR(C739=BB_AKUN,D739=BB_AKUN)),1,0)</f>
        <v>485</v>
      </c>
      <c r="R739" s="104" t="str">
        <f aca="false">IF(OR(C739&amp;D739="",N(E739)=0),"",IF(OR(O739="?",P739="?"),"⚠ akun tidak dikenal",IF(C739=D739,"⚠ debet = kredit","")))</f>
        <v/>
      </c>
    </row>
    <row r="740" customFormat="false" ht="15" hidden="false" customHeight="false" outlineLevel="0" collapsed="false">
      <c r="A740" s="105" t="s">
        <v>1697</v>
      </c>
      <c r="B740" s="106" t="n">
        <v>46173</v>
      </c>
      <c r="C740" s="105" t="s">
        <v>765</v>
      </c>
      <c r="D740" s="105" t="s">
        <v>792</v>
      </c>
      <c r="E740" s="107" t="n">
        <f aca="false">SUMIFS('OMZET HARIAN'!$Q$5:$Q$369,'OMZET HARIAN'!$B$5:$B$369,J740)</f>
        <v>111312774</v>
      </c>
      <c r="F740" s="105" t="s">
        <v>1698</v>
      </c>
      <c r="G740" s="105"/>
      <c r="H740" s="105"/>
      <c r="I740" s="105" t="s">
        <v>794</v>
      </c>
      <c r="J740" s="102" t="n">
        <f aca="false">IF(B740="","",MONTH(B740))</f>
        <v>5</v>
      </c>
      <c r="K740" s="102" t="n">
        <f aca="false">IF(B740="","",YEAR(B740))</f>
        <v>2026</v>
      </c>
      <c r="L740" s="102" t="str">
        <f aca="false">IF(N(E740)=0,"",IF(COUNTIFS(AK_NAMA,C740,AK_KAT,"KAS")+COUNTIFS(AK_NAMA,D740,AK_KAT,"KAS")&lt;&gt;1,"",IF(COUNTIFS(AK_NAMA,C740,AK_KAT,"KAS")=1,D740,C740)))</f>
        <v/>
      </c>
      <c r="M740" s="103" t="n">
        <f aca="false">IF(L740="",0,IF(L740=D740,E740,-E740))</f>
        <v>0</v>
      </c>
      <c r="N740" s="102" t="str">
        <f aca="false">IF(L740="","",IFERROR(INDEX(AK_BARIS,MATCH(L740,AK_NAMA,0)),"?"))</f>
        <v/>
      </c>
      <c r="O740" s="102" t="str">
        <f aca="false">IF(C740="","",IFERROR(INDEX(AK_KEL,MATCH(C740,AK_NAMA,0)),"?"))</f>
        <v>ASET</v>
      </c>
      <c r="P740" s="102" t="str">
        <f aca="false">IF(D740="","",IFERROR(INDEX(AK_KEL,MATCH(D740,AK_NAMA,0)),"?"))</f>
        <v>PENDAPATAN</v>
      </c>
      <c r="Q740" s="102" t="n">
        <f aca="false">N(Q739)+IF(AND(N(E740)&lt;&gt;0,K740=TAHUN,N(J740)&lt;=BLN,OR(C740=BB_AKUN,D740=BB_AKUN)),1,0)</f>
        <v>485</v>
      </c>
      <c r="R740" s="104" t="str">
        <f aca="false">IF(OR(C740&amp;D740="",N(E740)=0),"",IF(OR(O740="?",P740="?"),"⚠ akun tidak dikenal",IF(C740=D740,"⚠ debet = kredit","")))</f>
        <v/>
      </c>
    </row>
    <row r="741" customFormat="false" ht="15" hidden="false" customHeight="false" outlineLevel="0" collapsed="false">
      <c r="A741" s="105" t="s">
        <v>1699</v>
      </c>
      <c r="B741" s="106" t="n">
        <v>46173</v>
      </c>
      <c r="C741" s="105" t="s">
        <v>475</v>
      </c>
      <c r="D741" s="105" t="s">
        <v>765</v>
      </c>
      <c r="E741" s="107" t="n">
        <f aca="false">SUMIFS('OMZET HARIAN'!$F$5:$F$369,'OMZET HARIAN'!$B$5:$B$369,J741)+SUMIFS('OMZET HARIAN'!$G$5:$G$369,'OMZET HARIAN'!$B$5:$B$369,J741)</f>
        <v>30627100</v>
      </c>
      <c r="F741" s="105" t="s">
        <v>1700</v>
      </c>
      <c r="G741" s="105"/>
      <c r="H741" s="105"/>
      <c r="I741" s="105" t="s">
        <v>794</v>
      </c>
      <c r="J741" s="102" t="n">
        <f aca="false">IF(B741="","",MONTH(B741))</f>
        <v>5</v>
      </c>
      <c r="K741" s="102" t="n">
        <f aca="false">IF(B741="","",YEAR(B741))</f>
        <v>2026</v>
      </c>
      <c r="L741" s="102" t="str">
        <f aca="false">IF(N(E741)=0,"",IF(COUNTIFS(AK_NAMA,C741,AK_KAT,"KAS")+COUNTIFS(AK_NAMA,D741,AK_KAT,"KAS")&lt;&gt;1,"",IF(COUNTIFS(AK_NAMA,C741,AK_KAT,"KAS")=1,D741,C741)))</f>
        <v>Piutang Usaha Cafe</v>
      </c>
      <c r="M741" s="103" t="n">
        <f aca="false">IF(L741="",0,IF(L741=D741,E741,-E741))</f>
        <v>30627100</v>
      </c>
      <c r="N741" s="102" t="str">
        <f aca="false">IF(L741="","",IFERROR(INDEX(AK_BARIS,MATCH(L741,AK_NAMA,0)),"?"))</f>
        <v>OP1</v>
      </c>
      <c r="O741" s="102" t="str">
        <f aca="false">IF(C741="","",IFERROR(INDEX(AK_KEL,MATCH(C741,AK_NAMA,0)),"?"))</f>
        <v>ASET</v>
      </c>
      <c r="P741" s="102" t="str">
        <f aca="false">IF(D741="","",IFERROR(INDEX(AK_KEL,MATCH(D741,AK_NAMA,0)),"?"))</f>
        <v>ASET</v>
      </c>
      <c r="Q741" s="102" t="n">
        <f aca="false">N(Q740)+IF(AND(N(E741)&lt;&gt;0,K741=TAHUN,N(J741)&lt;=BLN,OR(C741=BB_AKUN,D741=BB_AKUN)),1,0)</f>
        <v>485</v>
      </c>
      <c r="R741" s="104" t="str">
        <f aca="false">IF(OR(C741&amp;D741="",N(E741)=0),"",IF(OR(O741="?",P741="?"),"⚠ akun tidak dikenal",IF(C741=D741,"⚠ debet = kredit","")))</f>
        <v/>
      </c>
    </row>
    <row r="742" customFormat="false" ht="15" hidden="false" customHeight="false" outlineLevel="0" collapsed="false">
      <c r="A742" s="105" t="s">
        <v>1701</v>
      </c>
      <c r="B742" s="106" t="n">
        <v>46173</v>
      </c>
      <c r="C742" s="105" t="s">
        <v>461</v>
      </c>
      <c r="D742" s="105" t="s">
        <v>765</v>
      </c>
      <c r="E742" s="107" t="n">
        <f aca="false">SUMIFS('OMZET HARIAN'!$H$5:$H$369,'OMZET HARIAN'!$B$5:$B$369,J742)</f>
        <v>78701874</v>
      </c>
      <c r="F742" s="105" t="s">
        <v>1702</v>
      </c>
      <c r="G742" s="105"/>
      <c r="H742" s="105"/>
      <c r="I742" s="105" t="s">
        <v>794</v>
      </c>
      <c r="J742" s="102" t="n">
        <f aca="false">IF(B742="","",MONTH(B742))</f>
        <v>5</v>
      </c>
      <c r="K742" s="102" t="n">
        <f aca="false">IF(B742="","",YEAR(B742))</f>
        <v>2026</v>
      </c>
      <c r="L742" s="102" t="str">
        <f aca="false">IF(N(E742)=0,"",IF(COUNTIFS(AK_NAMA,C742,AK_KAT,"KAS")+COUNTIFS(AK_NAMA,D742,AK_KAT,"KAS")&lt;&gt;1,"",IF(COUNTIFS(AK_NAMA,C742,AK_KAT,"KAS")=1,D742,C742)))</f>
        <v>Piutang Usaha Cafe</v>
      </c>
      <c r="M742" s="103" t="n">
        <f aca="false">IF(L742="",0,IF(L742=D742,E742,-E742))</f>
        <v>78701874</v>
      </c>
      <c r="N742" s="102" t="str">
        <f aca="false">IF(L742="","",IFERROR(INDEX(AK_BARIS,MATCH(L742,AK_NAMA,0)),"?"))</f>
        <v>OP1</v>
      </c>
      <c r="O742" s="102" t="str">
        <f aca="false">IF(C742="","",IFERROR(INDEX(AK_KEL,MATCH(C742,AK_NAMA,0)),"?"))</f>
        <v>ASET</v>
      </c>
      <c r="P742" s="102" t="str">
        <f aca="false">IF(D742="","",IFERROR(INDEX(AK_KEL,MATCH(D742,AK_NAMA,0)),"?"))</f>
        <v>ASET</v>
      </c>
      <c r="Q742" s="102" t="n">
        <f aca="false">N(Q741)+IF(AND(N(E742)&lt;&gt;0,K742=TAHUN,N(J742)&lt;=BLN,OR(C742=BB_AKUN,D742=BB_AKUN)),1,0)</f>
        <v>486</v>
      </c>
      <c r="R742" s="104" t="str">
        <f aca="false">IF(OR(C742&amp;D742="",N(E742)=0),"",IF(OR(O742="?",P742="?"),"⚠ akun tidak dikenal",IF(C742=D742,"⚠ debet = kredit","")))</f>
        <v/>
      </c>
    </row>
    <row r="743" customFormat="false" ht="15" hidden="false" customHeight="false" outlineLevel="0" collapsed="false">
      <c r="A743" s="105" t="s">
        <v>1703</v>
      </c>
      <c r="B743" s="106" t="n">
        <v>46173</v>
      </c>
      <c r="C743" s="105" t="s">
        <v>718</v>
      </c>
      <c r="D743" s="105" t="s">
        <v>765</v>
      </c>
      <c r="E743" s="107" t="n">
        <f aca="false">SUMIFS('OMZET HARIAN'!$L$5:$L$369,'OMZET HARIAN'!$B$5:$B$369,J743)</f>
        <v>228300</v>
      </c>
      <c r="F743" s="105" t="s">
        <v>1704</v>
      </c>
      <c r="G743" s="105"/>
      <c r="H743" s="105" t="s">
        <v>763</v>
      </c>
      <c r="I743" s="105" t="s">
        <v>794</v>
      </c>
      <c r="J743" s="102" t="n">
        <f aca="false">IF(B743="","",MONTH(B743))</f>
        <v>5</v>
      </c>
      <c r="K743" s="102" t="n">
        <f aca="false">IF(B743="","",YEAR(B743))</f>
        <v>2026</v>
      </c>
      <c r="L743" s="102" t="str">
        <f aca="false">IF(N(E743)=0,"",IF(COUNTIFS(AK_NAMA,C743,AK_KAT,"KAS")+COUNTIFS(AK_NAMA,D743,AK_KAT,"KAS")&lt;&gt;1,"",IF(COUNTIFS(AK_NAMA,C743,AK_KAT,"KAS")=1,D743,C743)))</f>
        <v/>
      </c>
      <c r="M743" s="103" t="n">
        <f aca="false">IF(L743="",0,IF(L743=D743,E743,-E743))</f>
        <v>0</v>
      </c>
      <c r="N743" s="102" t="str">
        <f aca="false">IF(L743="","",IFERROR(INDEX(AK_BARIS,MATCH(L743,AK_NAMA,0)),"?"))</f>
        <v/>
      </c>
      <c r="O743" s="102" t="str">
        <f aca="false">IF(C743="","",IFERROR(INDEX(AK_KEL,MATCH(C743,AK_NAMA,0)),"?"))</f>
        <v>ASET</v>
      </c>
      <c r="P743" s="102" t="str">
        <f aca="false">IF(D743="","",IFERROR(INDEX(AK_KEL,MATCH(D743,AK_NAMA,0)),"?"))</f>
        <v>ASET</v>
      </c>
      <c r="Q743" s="102" t="n">
        <f aca="false">N(Q742)+IF(AND(N(E743)&lt;&gt;0,K743=TAHUN,N(J743)&lt;=BLN,OR(C743=BB_AKUN,D743=BB_AKUN)),1,0)</f>
        <v>486</v>
      </c>
      <c r="R743" s="104" t="str">
        <f aca="false">IF(OR(C743&amp;D743="",N(E743)=0),"",IF(OR(O743="?",P743="?"),"⚠ akun tidak dikenal",IF(C743=D743,"⚠ debet = kredit","")))</f>
        <v/>
      </c>
    </row>
    <row r="744" customFormat="false" ht="15" hidden="false" customHeight="false" outlineLevel="0" collapsed="false">
      <c r="A744" s="105" t="s">
        <v>1705</v>
      </c>
      <c r="B744" s="106" t="n">
        <v>46173</v>
      </c>
      <c r="C744" s="105" t="s">
        <v>802</v>
      </c>
      <c r="D744" s="105" t="s">
        <v>765</v>
      </c>
      <c r="E744" s="107" t="n">
        <f aca="false">SUMIFS('OMZET HARIAN'!$M$5:$M$369,'OMZET HARIAN'!$B$5:$B$369,J744)</f>
        <v>96000</v>
      </c>
      <c r="F744" s="105" t="s">
        <v>1706</v>
      </c>
      <c r="G744" s="105"/>
      <c r="H744" s="105"/>
      <c r="I744" s="105" t="s">
        <v>794</v>
      </c>
      <c r="J744" s="102" t="n">
        <f aca="false">IF(B744="","",MONTH(B744))</f>
        <v>5</v>
      </c>
      <c r="K744" s="102" t="n">
        <f aca="false">IF(B744="","",YEAR(B744))</f>
        <v>2026</v>
      </c>
      <c r="L744" s="102" t="str">
        <f aca="false">IF(N(E744)=0,"",IF(COUNTIFS(AK_NAMA,C744,AK_KAT,"KAS")+COUNTIFS(AK_NAMA,D744,AK_KAT,"KAS")&lt;&gt;1,"",IF(COUNTIFS(AK_NAMA,C744,AK_KAT,"KAS")=1,D744,C744)))</f>
        <v/>
      </c>
      <c r="M744" s="103" t="n">
        <f aca="false">IF(L744="",0,IF(L744=D744,E744,-E744))</f>
        <v>0</v>
      </c>
      <c r="N744" s="102" t="str">
        <f aca="false">IF(L744="","",IFERROR(INDEX(AK_BARIS,MATCH(L744,AK_NAMA,0)),"?"))</f>
        <v/>
      </c>
      <c r="O744" s="102" t="str">
        <f aca="false">IF(C744="","",IFERROR(INDEX(AK_KEL,MATCH(C744,AK_NAMA,0)),"?"))</f>
        <v>BEBAN</v>
      </c>
      <c r="P744" s="102" t="str">
        <f aca="false">IF(D744="","",IFERROR(INDEX(AK_KEL,MATCH(D744,AK_NAMA,0)),"?"))</f>
        <v>ASET</v>
      </c>
      <c r="Q744" s="102" t="n">
        <f aca="false">N(Q743)+IF(AND(N(E744)&lt;&gt;0,K744=TAHUN,N(J744)&lt;=BLN,OR(C744=BB_AKUN,D744=BB_AKUN)),1,0)</f>
        <v>486</v>
      </c>
      <c r="R744" s="104" t="str">
        <f aca="false">IF(OR(C744&amp;D744="",N(E744)=0),"",IF(OR(O744="?",P744="?"),"⚠ akun tidak dikenal",IF(C744=D744,"⚠ debet = kredit","")))</f>
        <v/>
      </c>
    </row>
    <row r="745" customFormat="false" ht="15" hidden="false" customHeight="false" outlineLevel="0" collapsed="false">
      <c r="A745" s="105" t="s">
        <v>1707</v>
      </c>
      <c r="B745" s="106" t="n">
        <v>46173</v>
      </c>
      <c r="C745" s="105" t="s">
        <v>464</v>
      </c>
      <c r="D745" s="105" t="s">
        <v>765</v>
      </c>
      <c r="E745" s="107" t="n">
        <f aca="false">SUMIFS('OMZET HARIAN'!$N$5:$N$369,'OMZET HARIAN'!$B$5:$B$369,J745)</f>
        <v>1659500</v>
      </c>
      <c r="F745" s="105" t="s">
        <v>1708</v>
      </c>
      <c r="G745" s="105"/>
      <c r="H745" s="105" t="s">
        <v>432</v>
      </c>
      <c r="I745" s="105" t="s">
        <v>794</v>
      </c>
      <c r="J745" s="102" t="n">
        <f aca="false">IF(B745="","",MONTH(B745))</f>
        <v>5</v>
      </c>
      <c r="K745" s="102" t="n">
        <f aca="false">IF(B745="","",YEAR(B745))</f>
        <v>2026</v>
      </c>
      <c r="L745" s="102" t="str">
        <f aca="false">IF(N(E745)=0,"",IF(COUNTIFS(AK_NAMA,C745,AK_KAT,"KAS")+COUNTIFS(AK_NAMA,D745,AK_KAT,"KAS")&lt;&gt;1,"",IF(COUNTIFS(AK_NAMA,C745,AK_KAT,"KAS")=1,D745,C745)))</f>
        <v/>
      </c>
      <c r="M745" s="103" t="n">
        <f aca="false">IF(L745="",0,IF(L745=D745,E745,-E745))</f>
        <v>0</v>
      </c>
      <c r="N745" s="102" t="str">
        <f aca="false">IF(L745="","",IFERROR(INDEX(AK_BARIS,MATCH(L745,AK_NAMA,0)),"?"))</f>
        <v/>
      </c>
      <c r="O745" s="102" t="str">
        <f aca="false">IF(C745="","",IFERROR(INDEX(AK_KEL,MATCH(C745,AK_NAMA,0)),"?"))</f>
        <v>EKUITAS</v>
      </c>
      <c r="P745" s="102" t="str">
        <f aca="false">IF(D745="","",IFERROR(INDEX(AK_KEL,MATCH(D745,AK_NAMA,0)),"?"))</f>
        <v>ASET</v>
      </c>
      <c r="Q745" s="102" t="n">
        <f aca="false">N(Q744)+IF(AND(N(E745)&lt;&gt;0,K745=TAHUN,N(J745)&lt;=BLN,OR(C745=BB_AKUN,D745=BB_AKUN)),1,0)</f>
        <v>486</v>
      </c>
      <c r="R745" s="104" t="str">
        <f aca="false">IF(OR(C745&amp;D745="",N(E745)=0),"",IF(OR(O745="?",P745="?"),"⚠ akun tidak dikenal",IF(C745=D745,"⚠ debet = kredit","")))</f>
        <v/>
      </c>
    </row>
    <row r="746" customFormat="false" ht="15" hidden="false" customHeight="false" outlineLevel="0" collapsed="false">
      <c r="A746" s="105" t="s">
        <v>1709</v>
      </c>
      <c r="B746" s="106" t="n">
        <v>46173</v>
      </c>
      <c r="C746" s="105" t="s">
        <v>807</v>
      </c>
      <c r="D746" s="105" t="s">
        <v>808</v>
      </c>
      <c r="E746" s="107" t="n">
        <f aca="false">INDEX('ASET TETAP'!$H$25:$S$25,J746)</f>
        <v>260452</v>
      </c>
      <c r="F746" s="105" t="s">
        <v>1710</v>
      </c>
      <c r="G746" s="105"/>
      <c r="H746" s="105"/>
      <c r="I746" s="105" t="s">
        <v>794</v>
      </c>
      <c r="J746" s="102" t="n">
        <f aca="false">IF(B746="","",MONTH(B746))</f>
        <v>5</v>
      </c>
      <c r="K746" s="102" t="n">
        <f aca="false">IF(B746="","",YEAR(B746))</f>
        <v>2026</v>
      </c>
      <c r="L746" s="102" t="str">
        <f aca="false">IF(N(E746)=0,"",IF(COUNTIFS(AK_NAMA,C746,AK_KAT,"KAS")+COUNTIFS(AK_NAMA,D746,AK_KAT,"KAS")&lt;&gt;1,"",IF(COUNTIFS(AK_NAMA,C746,AK_KAT,"KAS")=1,D746,C746)))</f>
        <v/>
      </c>
      <c r="M746" s="103" t="n">
        <f aca="false">IF(L746="",0,IF(L746=D746,E746,-E746))</f>
        <v>0</v>
      </c>
      <c r="N746" s="102" t="str">
        <f aca="false">IF(L746="","",IFERROR(INDEX(AK_BARIS,MATCH(L746,AK_NAMA,0)),"?"))</f>
        <v/>
      </c>
      <c r="O746" s="102" t="str">
        <f aca="false">IF(C746="","",IFERROR(INDEX(AK_KEL,MATCH(C746,AK_NAMA,0)),"?"))</f>
        <v>BEBAN</v>
      </c>
      <c r="P746" s="102" t="str">
        <f aca="false">IF(D746="","",IFERROR(INDEX(AK_KEL,MATCH(D746,AK_NAMA,0)),"?"))</f>
        <v>ASET</v>
      </c>
      <c r="Q746" s="102" t="n">
        <f aca="false">N(Q745)+IF(AND(N(E746)&lt;&gt;0,K746=TAHUN,N(J746)&lt;=BLN,OR(C746=BB_AKUN,D746=BB_AKUN)),1,0)</f>
        <v>486</v>
      </c>
      <c r="R746" s="104" t="str">
        <f aca="false">IF(OR(C746&amp;D746="",N(E746)=0),"",IF(OR(O746="?",P746="?"),"⚠ akun tidak dikenal",IF(C746=D746,"⚠ debet = kredit","")))</f>
        <v/>
      </c>
    </row>
    <row r="747" customFormat="false" ht="15" hidden="false" customHeight="false" outlineLevel="0" collapsed="false">
      <c r="A747" s="105" t="s">
        <v>1711</v>
      </c>
      <c r="B747" s="106" t="n">
        <v>46173</v>
      </c>
      <c r="C747" s="105" t="s">
        <v>787</v>
      </c>
      <c r="D747" s="105" t="s">
        <v>811</v>
      </c>
      <c r="E747" s="107" t="n">
        <f aca="false">IF(AND(AKRUAL="YA",J747&lt;=BLN),MAX(0,INDEX(PAJAK!$J$6:$J$17,J747)),0)</f>
        <v>7860905</v>
      </c>
      <c r="F747" s="105" t="s">
        <v>1712</v>
      </c>
      <c r="G747" s="105"/>
      <c r="H747" s="105"/>
      <c r="I747" s="105" t="s">
        <v>813</v>
      </c>
      <c r="J747" s="102" t="n">
        <f aca="false">IF(B747="","",MONTH(B747))</f>
        <v>5</v>
      </c>
      <c r="K747" s="102" t="n">
        <f aca="false">IF(B747="","",YEAR(B747))</f>
        <v>2026</v>
      </c>
      <c r="L747" s="102" t="str">
        <f aca="false">IF(N(E747)=0,"",IF(COUNTIFS(AK_NAMA,C747,AK_KAT,"KAS")+COUNTIFS(AK_NAMA,D747,AK_KAT,"KAS")&lt;&gt;1,"",IF(COUNTIFS(AK_NAMA,C747,AK_KAT,"KAS")=1,D747,C747)))</f>
        <v/>
      </c>
      <c r="M747" s="103" t="n">
        <f aca="false">IF(L747="",0,IF(L747=D747,E747,-E747))</f>
        <v>0</v>
      </c>
      <c r="N747" s="102" t="str">
        <f aca="false">IF(L747="","",IFERROR(INDEX(AK_BARIS,MATCH(L747,AK_NAMA,0)),"?"))</f>
        <v/>
      </c>
      <c r="O747" s="102" t="str">
        <f aca="false">IF(C747="","",IFERROR(INDEX(AK_KEL,MATCH(C747,AK_NAMA,0)),"?"))</f>
        <v>PENDAPATAN</v>
      </c>
      <c r="P747" s="102" t="str">
        <f aca="false">IF(D747="","",IFERROR(INDEX(AK_KEL,MATCH(D747,AK_NAMA,0)),"?"))</f>
        <v>LIABILITAS</v>
      </c>
      <c r="Q747" s="102" t="n">
        <f aca="false">N(Q746)+IF(AND(N(E747)&lt;&gt;0,K747=TAHUN,N(J747)&lt;=BLN,OR(C747=BB_AKUN,D747=BB_AKUN)),1,0)</f>
        <v>486</v>
      </c>
      <c r="R747" s="104" t="str">
        <f aca="false">IF(OR(C747&amp;D747="",N(E747)=0),"",IF(OR(O747="?",P747="?"),"⚠ akun tidak dikenal",IF(C747=D747,"⚠ debet = kredit","")))</f>
        <v/>
      </c>
    </row>
    <row r="748" customFormat="false" ht="15" hidden="false" customHeight="false" outlineLevel="0" collapsed="false">
      <c r="A748" s="82" t="s">
        <v>1713</v>
      </c>
      <c r="B748" s="101" t="n">
        <v>46174</v>
      </c>
      <c r="C748" s="82" t="s">
        <v>486</v>
      </c>
      <c r="D748" s="82" t="s">
        <v>475</v>
      </c>
      <c r="E748" s="91" t="n">
        <v>850000</v>
      </c>
      <c r="F748" s="82" t="s">
        <v>1624</v>
      </c>
      <c r="G748" s="82"/>
      <c r="H748" s="82"/>
      <c r="I748" s="82" t="s">
        <v>250</v>
      </c>
      <c r="J748" s="102" t="n">
        <f aca="false">IF(B748="","",MONTH(B748))</f>
        <v>6</v>
      </c>
      <c r="K748" s="102" t="n">
        <f aca="false">IF(B748="","",YEAR(B748))</f>
        <v>2026</v>
      </c>
      <c r="L748" s="102" t="str">
        <f aca="false">IF(N(E748)=0,"",IF(COUNTIFS(AK_NAMA,C748,AK_KAT,"KAS")+COUNTIFS(AK_NAMA,D748,AK_KAT,"KAS")&lt;&gt;1,"",IF(COUNTIFS(AK_NAMA,C748,AK_KAT,"KAS")=1,D748,C748)))</f>
        <v/>
      </c>
      <c r="M748" s="103" t="n">
        <f aca="false">IF(L748="",0,IF(L748=D748,E748,-E748))</f>
        <v>0</v>
      </c>
      <c r="N748" s="102" t="str">
        <f aca="false">IF(L748="","",IFERROR(INDEX(AK_BARIS,MATCH(L748,AK_NAMA,0)),"?"))</f>
        <v/>
      </c>
      <c r="O748" s="102" t="str">
        <f aca="false">IF(C748="","",IFERROR(INDEX(AK_KEL,MATCH(C748,AK_NAMA,0)),"?"))</f>
        <v>ASET</v>
      </c>
      <c r="P748" s="102" t="str">
        <f aca="false">IF(D748="","",IFERROR(INDEX(AK_KEL,MATCH(D748,AK_NAMA,0)),"?"))</f>
        <v>ASET</v>
      </c>
      <c r="Q748" s="102" t="n">
        <f aca="false">N(Q747)+IF(AND(N(E748)&lt;&gt;0,K748=TAHUN,N(J748)&lt;=BLN,OR(C748=BB_AKUN,D748=BB_AKUN)),1,0)</f>
        <v>486</v>
      </c>
      <c r="R748" s="104" t="str">
        <f aca="false">IF(OR(C748&amp;D748="",N(E748)=0),"",IF(OR(O748="?",P748="?"),"⚠ akun tidak dikenal",IF(C748=D748,"⚠ debet = kredit","")))</f>
        <v/>
      </c>
    </row>
    <row r="749" customFormat="false" ht="15" hidden="false" customHeight="false" outlineLevel="0" collapsed="false">
      <c r="A749" s="82" t="s">
        <v>1714</v>
      </c>
      <c r="B749" s="101" t="n">
        <v>46174</v>
      </c>
      <c r="C749" s="82" t="s">
        <v>524</v>
      </c>
      <c r="D749" s="82" t="s">
        <v>461</v>
      </c>
      <c r="E749" s="91" t="n">
        <v>10000</v>
      </c>
      <c r="F749" s="82" t="s">
        <v>616</v>
      </c>
      <c r="G749" s="82"/>
      <c r="H749" s="82"/>
      <c r="I749" s="82" t="s">
        <v>250</v>
      </c>
      <c r="J749" s="102" t="n">
        <f aca="false">IF(B749="","",MONTH(B749))</f>
        <v>6</v>
      </c>
      <c r="K749" s="102" t="n">
        <f aca="false">IF(B749="","",YEAR(B749))</f>
        <v>2026</v>
      </c>
      <c r="L749" s="102" t="str">
        <f aca="false">IF(N(E749)=0,"",IF(COUNTIFS(AK_NAMA,C749,AK_KAT,"KAS")+COUNTIFS(AK_NAMA,D749,AK_KAT,"KAS")&lt;&gt;1,"",IF(COUNTIFS(AK_NAMA,C749,AK_KAT,"KAS")=1,D749,C749)))</f>
        <v>Biaya Lainnya</v>
      </c>
      <c r="M749" s="103" t="n">
        <f aca="false">IF(L749="",0,IF(L749=D749,E749,-E749))</f>
        <v>-10000</v>
      </c>
      <c r="N749" s="102" t="str">
        <f aca="false">IF(L749="","",IFERROR(INDEX(AK_BARIS,MATCH(L749,AK_NAMA,0)),"?"))</f>
        <v>OP2</v>
      </c>
      <c r="O749" s="102" t="str">
        <f aca="false">IF(C749="","",IFERROR(INDEX(AK_KEL,MATCH(C749,AK_NAMA,0)),"?"))</f>
        <v>BEBAN</v>
      </c>
      <c r="P749" s="102" t="str">
        <f aca="false">IF(D749="","",IFERROR(INDEX(AK_KEL,MATCH(D749,AK_NAMA,0)),"?"))</f>
        <v>ASET</v>
      </c>
      <c r="Q749" s="102" t="n">
        <f aca="false">N(Q748)+IF(AND(N(E749)&lt;&gt;0,K749=TAHUN,N(J749)&lt;=BLN,OR(C749=BB_AKUN,D749=BB_AKUN)),1,0)</f>
        <v>487</v>
      </c>
      <c r="R749" s="104" t="str">
        <f aca="false">IF(OR(C749&amp;D749="",N(E749)=0),"",IF(OR(O749="?",P749="?"),"⚠ akun tidak dikenal",IF(C749=D749,"⚠ debet = kredit","")))</f>
        <v/>
      </c>
    </row>
    <row r="750" customFormat="false" ht="15" hidden="false" customHeight="false" outlineLevel="0" collapsed="false">
      <c r="A750" s="82" t="s">
        <v>1715</v>
      </c>
      <c r="B750" s="101" t="n">
        <v>46174</v>
      </c>
      <c r="C750" s="82" t="s">
        <v>478</v>
      </c>
      <c r="D750" s="82" t="s">
        <v>461</v>
      </c>
      <c r="E750" s="91" t="n">
        <v>82190</v>
      </c>
      <c r="F750" s="82" t="s">
        <v>1716</v>
      </c>
      <c r="G750" s="82"/>
      <c r="H750" s="82"/>
      <c r="I750" s="82" t="s">
        <v>250</v>
      </c>
      <c r="J750" s="102" t="n">
        <f aca="false">IF(B750="","",MONTH(B750))</f>
        <v>6</v>
      </c>
      <c r="K750" s="102" t="n">
        <f aca="false">IF(B750="","",YEAR(B750))</f>
        <v>2026</v>
      </c>
      <c r="L750" s="102" t="str">
        <f aca="false">IF(N(E750)=0,"",IF(COUNTIFS(AK_NAMA,C750,AK_KAT,"KAS")+COUNTIFS(AK_NAMA,D750,AK_KAT,"KAS")&lt;&gt;1,"",IF(COUNTIFS(AK_NAMA,C750,AK_KAT,"KAS")=1,D750,C750)))</f>
        <v>Biaya Penyajian</v>
      </c>
      <c r="M750" s="103" t="n">
        <f aca="false">IF(L750="",0,IF(L750=D750,E750,-E750))</f>
        <v>-82190</v>
      </c>
      <c r="N750" s="102" t="str">
        <f aca="false">IF(L750="","",IFERROR(INDEX(AK_BARIS,MATCH(L750,AK_NAMA,0)),"?"))</f>
        <v>OP3</v>
      </c>
      <c r="O750" s="102" t="str">
        <f aca="false">IF(C750="","",IFERROR(INDEX(AK_KEL,MATCH(C750,AK_NAMA,0)),"?"))</f>
        <v>BEBAN</v>
      </c>
      <c r="P750" s="102" t="str">
        <f aca="false">IF(D750="","",IFERROR(INDEX(AK_KEL,MATCH(D750,AK_NAMA,0)),"?"))</f>
        <v>ASET</v>
      </c>
      <c r="Q750" s="102" t="n">
        <f aca="false">N(Q749)+IF(AND(N(E750)&lt;&gt;0,K750=TAHUN,N(J750)&lt;=BLN,OR(C750=BB_AKUN,D750=BB_AKUN)),1,0)</f>
        <v>488</v>
      </c>
      <c r="R750" s="104" t="str">
        <f aca="false">IF(OR(C750&amp;D750="",N(E750)=0),"",IF(OR(O750="?",P750="?"),"⚠ akun tidak dikenal",IF(C750=D750,"⚠ debet = kredit","")))</f>
        <v/>
      </c>
    </row>
    <row r="751" customFormat="false" ht="15" hidden="false" customHeight="false" outlineLevel="0" collapsed="false">
      <c r="A751" s="82" t="s">
        <v>1717</v>
      </c>
      <c r="B751" s="101" t="n">
        <v>46176</v>
      </c>
      <c r="C751" s="82" t="s">
        <v>475</v>
      </c>
      <c r="D751" s="82" t="s">
        <v>461</v>
      </c>
      <c r="E751" s="91" t="n">
        <v>3000000</v>
      </c>
      <c r="F751" s="82" t="s">
        <v>928</v>
      </c>
      <c r="G751" s="82"/>
      <c r="H751" s="82"/>
      <c r="I751" s="82" t="s">
        <v>250</v>
      </c>
      <c r="J751" s="102" t="n">
        <f aca="false">IF(B751="","",MONTH(B751))</f>
        <v>6</v>
      </c>
      <c r="K751" s="102" t="n">
        <f aca="false">IF(B751="","",YEAR(B751))</f>
        <v>2026</v>
      </c>
      <c r="L751" s="102" t="str">
        <f aca="false">IF(N(E751)=0,"",IF(COUNTIFS(AK_NAMA,C751,AK_KAT,"KAS")+COUNTIFS(AK_NAMA,D751,AK_KAT,"KAS")&lt;&gt;1,"",IF(COUNTIFS(AK_NAMA,C751,AK_KAT,"KAS")=1,D751,C751)))</f>
        <v/>
      </c>
      <c r="M751" s="103" t="n">
        <f aca="false">IF(L751="",0,IF(L751=D751,E751,-E751))</f>
        <v>0</v>
      </c>
      <c r="N751" s="102" t="str">
        <f aca="false">IF(L751="","",IFERROR(INDEX(AK_BARIS,MATCH(L751,AK_NAMA,0)),"?"))</f>
        <v/>
      </c>
      <c r="O751" s="102" t="str">
        <f aca="false">IF(C751="","",IFERROR(INDEX(AK_KEL,MATCH(C751,AK_NAMA,0)),"?"))</f>
        <v>ASET</v>
      </c>
      <c r="P751" s="102" t="str">
        <f aca="false">IF(D751="","",IFERROR(INDEX(AK_KEL,MATCH(D751,AK_NAMA,0)),"?"))</f>
        <v>ASET</v>
      </c>
      <c r="Q751" s="102" t="n">
        <f aca="false">N(Q750)+IF(AND(N(E751)&lt;&gt;0,K751=TAHUN,N(J751)&lt;=BLN,OR(C751=BB_AKUN,D751=BB_AKUN)),1,0)</f>
        <v>489</v>
      </c>
      <c r="R751" s="104" t="str">
        <f aca="false">IF(OR(C751&amp;D751="",N(E751)=0),"",IF(OR(O751="?",P751="?"),"⚠ akun tidak dikenal",IF(C751=D751,"⚠ debet = kredit","")))</f>
        <v/>
      </c>
    </row>
    <row r="752" customFormat="false" ht="15" hidden="false" customHeight="false" outlineLevel="0" collapsed="false">
      <c r="A752" s="82" t="s">
        <v>1718</v>
      </c>
      <c r="B752" s="101" t="n">
        <v>46176</v>
      </c>
      <c r="C752" s="82" t="s">
        <v>470</v>
      </c>
      <c r="D752" s="82" t="s">
        <v>461</v>
      </c>
      <c r="E752" s="91" t="n">
        <v>912000</v>
      </c>
      <c r="F752" s="82" t="s">
        <v>1719</v>
      </c>
      <c r="G752" s="82"/>
      <c r="H752" s="82"/>
      <c r="I752" s="82" t="s">
        <v>250</v>
      </c>
      <c r="J752" s="102" t="n">
        <f aca="false">IF(B752="","",MONTH(B752))</f>
        <v>6</v>
      </c>
      <c r="K752" s="102" t="n">
        <f aca="false">IF(B752="","",YEAR(B752))</f>
        <v>2026</v>
      </c>
      <c r="L752" s="102" t="str">
        <f aca="false">IF(N(E752)=0,"",IF(COUNTIFS(AK_NAMA,C752,AK_KAT,"KAS")+COUNTIFS(AK_NAMA,D752,AK_KAT,"KAS")&lt;&gt;1,"",IF(COUNTIFS(AK_NAMA,C752,AK_KAT,"KAS")=1,D752,C752)))</f>
        <v>Biaya Bahan Baku</v>
      </c>
      <c r="M752" s="103" t="n">
        <f aca="false">IF(L752="",0,IF(L752=D752,E752,-E752))</f>
        <v>-912000</v>
      </c>
      <c r="N752" s="102" t="str">
        <f aca="false">IF(L752="","",IFERROR(INDEX(AK_BARIS,MATCH(L752,AK_NAMA,0)),"?"))</f>
        <v>OP3</v>
      </c>
      <c r="O752" s="102" t="str">
        <f aca="false">IF(C752="","",IFERROR(INDEX(AK_KEL,MATCH(C752,AK_NAMA,0)),"?"))</f>
        <v>BEBAN</v>
      </c>
      <c r="P752" s="102" t="str">
        <f aca="false">IF(D752="","",IFERROR(INDEX(AK_KEL,MATCH(D752,AK_NAMA,0)),"?"))</f>
        <v>ASET</v>
      </c>
      <c r="Q752" s="102" t="n">
        <f aca="false">N(Q751)+IF(AND(N(E752)&lt;&gt;0,K752=TAHUN,N(J752)&lt;=BLN,OR(C752=BB_AKUN,D752=BB_AKUN)),1,0)</f>
        <v>490</v>
      </c>
      <c r="R752" s="104" t="str">
        <f aca="false">IF(OR(C752&amp;D752="",N(E752)=0),"",IF(OR(O752="?",P752="?"),"⚠ akun tidak dikenal",IF(C752=D752,"⚠ debet = kredit","")))</f>
        <v/>
      </c>
    </row>
    <row r="753" customFormat="false" ht="15" hidden="false" customHeight="false" outlineLevel="0" collapsed="false">
      <c r="A753" s="82" t="s">
        <v>1720</v>
      </c>
      <c r="B753" s="101" t="n">
        <v>46176</v>
      </c>
      <c r="C753" s="82" t="s">
        <v>455</v>
      </c>
      <c r="D753" s="82" t="s">
        <v>461</v>
      </c>
      <c r="E753" s="91" t="n">
        <v>3300000</v>
      </c>
      <c r="F753" s="82" t="s">
        <v>1721</v>
      </c>
      <c r="G753" s="82"/>
      <c r="H753" s="82"/>
      <c r="I753" s="82" t="s">
        <v>250</v>
      </c>
      <c r="J753" s="102" t="n">
        <f aca="false">IF(B753="","",MONTH(B753))</f>
        <v>6</v>
      </c>
      <c r="K753" s="102" t="n">
        <f aca="false">IF(B753="","",YEAR(B753))</f>
        <v>2026</v>
      </c>
      <c r="L753" s="102" t="str">
        <f aca="false">IF(N(E753)=0,"",IF(COUNTIFS(AK_NAMA,C753,AK_KAT,"KAS")+COUNTIFS(AK_NAMA,D753,AK_KAT,"KAS")&lt;&gt;1,"",IF(COUNTIFS(AK_NAMA,C753,AK_KAT,"KAS")=1,D753,C753)))</f>
        <v>Biaya Pemeliharaan</v>
      </c>
      <c r="M753" s="103" t="n">
        <f aca="false">IF(L753="",0,IF(L753=D753,E753,-E753))</f>
        <v>-3300000</v>
      </c>
      <c r="N753" s="102" t="str">
        <f aca="false">IF(L753="","",IFERROR(INDEX(AK_BARIS,MATCH(L753,AK_NAMA,0)),"?"))</f>
        <v>OP6</v>
      </c>
      <c r="O753" s="102" t="str">
        <f aca="false">IF(C753="","",IFERROR(INDEX(AK_KEL,MATCH(C753,AK_NAMA,0)),"?"))</f>
        <v>BEBAN</v>
      </c>
      <c r="P753" s="102" t="str">
        <f aca="false">IF(D753="","",IFERROR(INDEX(AK_KEL,MATCH(D753,AK_NAMA,0)),"?"))</f>
        <v>ASET</v>
      </c>
      <c r="Q753" s="102" t="n">
        <f aca="false">N(Q752)+IF(AND(N(E753)&lt;&gt;0,K753=TAHUN,N(J753)&lt;=BLN,OR(C753=BB_AKUN,D753=BB_AKUN)),1,0)</f>
        <v>491</v>
      </c>
      <c r="R753" s="104" t="str">
        <f aca="false">IF(OR(C753&amp;D753="",N(E753)=0),"",IF(OR(O753="?",P753="?"),"⚠ akun tidak dikenal",IF(C753=D753,"⚠ debet = kredit","")))</f>
        <v/>
      </c>
    </row>
    <row r="754" customFormat="false" ht="15" hidden="false" customHeight="false" outlineLevel="0" collapsed="false">
      <c r="A754" s="82" t="s">
        <v>1722</v>
      </c>
      <c r="B754" s="101" t="n">
        <v>46176</v>
      </c>
      <c r="C754" s="82" t="s">
        <v>461</v>
      </c>
      <c r="D754" s="82" t="s">
        <v>475</v>
      </c>
      <c r="E754" s="91" t="n">
        <v>2500000</v>
      </c>
      <c r="F754" s="82" t="s">
        <v>1538</v>
      </c>
      <c r="G754" s="82"/>
      <c r="H754" s="82"/>
      <c r="I754" s="82" t="s">
        <v>250</v>
      </c>
      <c r="J754" s="102" t="n">
        <f aca="false">IF(B754="","",MONTH(B754))</f>
        <v>6</v>
      </c>
      <c r="K754" s="102" t="n">
        <f aca="false">IF(B754="","",YEAR(B754))</f>
        <v>2026</v>
      </c>
      <c r="L754" s="102" t="str">
        <f aca="false">IF(N(E754)=0,"",IF(COUNTIFS(AK_NAMA,C754,AK_KAT,"KAS")+COUNTIFS(AK_NAMA,D754,AK_KAT,"KAS")&lt;&gt;1,"",IF(COUNTIFS(AK_NAMA,C754,AK_KAT,"KAS")=1,D754,C754)))</f>
        <v/>
      </c>
      <c r="M754" s="103" t="n">
        <f aca="false">IF(L754="",0,IF(L754=D754,E754,-E754))</f>
        <v>0</v>
      </c>
      <c r="N754" s="102" t="str">
        <f aca="false">IF(L754="","",IFERROR(INDEX(AK_BARIS,MATCH(L754,AK_NAMA,0)),"?"))</f>
        <v/>
      </c>
      <c r="O754" s="102" t="str">
        <f aca="false">IF(C754="","",IFERROR(INDEX(AK_KEL,MATCH(C754,AK_NAMA,0)),"?"))</f>
        <v>ASET</v>
      </c>
      <c r="P754" s="102" t="str">
        <f aca="false">IF(D754="","",IFERROR(INDEX(AK_KEL,MATCH(D754,AK_NAMA,0)),"?"))</f>
        <v>ASET</v>
      </c>
      <c r="Q754" s="102" t="n">
        <f aca="false">N(Q753)+IF(AND(N(E754)&lt;&gt;0,K754=TAHUN,N(J754)&lt;=BLN,OR(C754=BB_AKUN,D754=BB_AKUN)),1,0)</f>
        <v>492</v>
      </c>
      <c r="R754" s="104" t="str">
        <f aca="false">IF(OR(C754&amp;D754="",N(E754)=0),"",IF(OR(O754="?",P754="?"),"⚠ akun tidak dikenal",IF(C754=D754,"⚠ debet = kredit","")))</f>
        <v/>
      </c>
    </row>
    <row r="755" customFormat="false" ht="15" hidden="false" customHeight="false" outlineLevel="0" collapsed="false">
      <c r="A755" s="82" t="s">
        <v>1723</v>
      </c>
      <c r="B755" s="101" t="n">
        <v>46177</v>
      </c>
      <c r="C755" s="82" t="s">
        <v>461</v>
      </c>
      <c r="D755" s="82" t="s">
        <v>475</v>
      </c>
      <c r="E755" s="91" t="n">
        <v>4878000</v>
      </c>
      <c r="F755" s="82" t="s">
        <v>1233</v>
      </c>
      <c r="G755" s="82"/>
      <c r="H755" s="82"/>
      <c r="I755" s="82" t="s">
        <v>250</v>
      </c>
      <c r="J755" s="102" t="n">
        <f aca="false">IF(B755="","",MONTH(B755))</f>
        <v>6</v>
      </c>
      <c r="K755" s="102" t="n">
        <f aca="false">IF(B755="","",YEAR(B755))</f>
        <v>2026</v>
      </c>
      <c r="L755" s="102" t="str">
        <f aca="false">IF(N(E755)=0,"",IF(COUNTIFS(AK_NAMA,C755,AK_KAT,"KAS")+COUNTIFS(AK_NAMA,D755,AK_KAT,"KAS")&lt;&gt;1,"",IF(COUNTIFS(AK_NAMA,C755,AK_KAT,"KAS")=1,D755,C755)))</f>
        <v/>
      </c>
      <c r="M755" s="103" t="n">
        <f aca="false">IF(L755="",0,IF(L755=D755,E755,-E755))</f>
        <v>0</v>
      </c>
      <c r="N755" s="102" t="str">
        <f aca="false">IF(L755="","",IFERROR(INDEX(AK_BARIS,MATCH(L755,AK_NAMA,0)),"?"))</f>
        <v/>
      </c>
      <c r="O755" s="102" t="str">
        <f aca="false">IF(C755="","",IFERROR(INDEX(AK_KEL,MATCH(C755,AK_NAMA,0)),"?"))</f>
        <v>ASET</v>
      </c>
      <c r="P755" s="102" t="str">
        <f aca="false">IF(D755="","",IFERROR(INDEX(AK_KEL,MATCH(D755,AK_NAMA,0)),"?"))</f>
        <v>ASET</v>
      </c>
      <c r="Q755" s="102" t="n">
        <f aca="false">N(Q754)+IF(AND(N(E755)&lt;&gt;0,K755=TAHUN,N(J755)&lt;=BLN,OR(C755=BB_AKUN,D755=BB_AKUN)),1,0)</f>
        <v>493</v>
      </c>
      <c r="R755" s="104" t="str">
        <f aca="false">IF(OR(C755&amp;D755="",N(E755)=0),"",IF(OR(O755="?",P755="?"),"⚠ akun tidak dikenal",IF(C755=D755,"⚠ debet = kredit","")))</f>
        <v/>
      </c>
    </row>
    <row r="756" customFormat="false" ht="15" hidden="false" customHeight="false" outlineLevel="0" collapsed="false">
      <c r="A756" s="82" t="s">
        <v>1724</v>
      </c>
      <c r="B756" s="101" t="n">
        <v>46177</v>
      </c>
      <c r="C756" s="82" t="s">
        <v>478</v>
      </c>
      <c r="D756" s="82" t="s">
        <v>461</v>
      </c>
      <c r="E756" s="91" t="n">
        <v>1275000</v>
      </c>
      <c r="F756" s="82" t="s">
        <v>1725</v>
      </c>
      <c r="G756" s="82"/>
      <c r="H756" s="82"/>
      <c r="I756" s="82" t="s">
        <v>250</v>
      </c>
      <c r="J756" s="102" t="n">
        <f aca="false">IF(B756="","",MONTH(B756))</f>
        <v>6</v>
      </c>
      <c r="K756" s="102" t="n">
        <f aca="false">IF(B756="","",YEAR(B756))</f>
        <v>2026</v>
      </c>
      <c r="L756" s="102" t="str">
        <f aca="false">IF(N(E756)=0,"",IF(COUNTIFS(AK_NAMA,C756,AK_KAT,"KAS")+COUNTIFS(AK_NAMA,D756,AK_KAT,"KAS")&lt;&gt;1,"",IF(COUNTIFS(AK_NAMA,C756,AK_KAT,"KAS")=1,D756,C756)))</f>
        <v>Biaya Penyajian</v>
      </c>
      <c r="M756" s="103" t="n">
        <f aca="false">IF(L756="",0,IF(L756=D756,E756,-E756))</f>
        <v>-1275000</v>
      </c>
      <c r="N756" s="102" t="str">
        <f aca="false">IF(L756="","",IFERROR(INDEX(AK_BARIS,MATCH(L756,AK_NAMA,0)),"?"))</f>
        <v>OP3</v>
      </c>
      <c r="O756" s="102" t="str">
        <f aca="false">IF(C756="","",IFERROR(INDEX(AK_KEL,MATCH(C756,AK_NAMA,0)),"?"))</f>
        <v>BEBAN</v>
      </c>
      <c r="P756" s="102" t="str">
        <f aca="false">IF(D756="","",IFERROR(INDEX(AK_KEL,MATCH(D756,AK_NAMA,0)),"?"))</f>
        <v>ASET</v>
      </c>
      <c r="Q756" s="102" t="n">
        <f aca="false">N(Q755)+IF(AND(N(E756)&lt;&gt;0,K756=TAHUN,N(J756)&lt;=BLN,OR(C756=BB_AKUN,D756=BB_AKUN)),1,0)</f>
        <v>494</v>
      </c>
      <c r="R756" s="104" t="str">
        <f aca="false">IF(OR(C756&amp;D756="",N(E756)=0),"",IF(OR(O756="?",P756="?"),"⚠ akun tidak dikenal",IF(C756=D756,"⚠ debet = kredit","")))</f>
        <v/>
      </c>
    </row>
    <row r="757" customFormat="false" ht="15" hidden="false" customHeight="false" outlineLevel="0" collapsed="false">
      <c r="A757" s="82" t="s">
        <v>1726</v>
      </c>
      <c r="B757" s="101" t="n">
        <v>46177</v>
      </c>
      <c r="C757" s="82" t="s">
        <v>470</v>
      </c>
      <c r="D757" s="82" t="s">
        <v>461</v>
      </c>
      <c r="E757" s="91" t="n">
        <v>360000</v>
      </c>
      <c r="F757" s="82" t="s">
        <v>1727</v>
      </c>
      <c r="G757" s="82"/>
      <c r="H757" s="82"/>
      <c r="I757" s="82" t="s">
        <v>250</v>
      </c>
      <c r="J757" s="102" t="n">
        <f aca="false">IF(B757="","",MONTH(B757))</f>
        <v>6</v>
      </c>
      <c r="K757" s="102" t="n">
        <f aca="false">IF(B757="","",YEAR(B757))</f>
        <v>2026</v>
      </c>
      <c r="L757" s="102" t="str">
        <f aca="false">IF(N(E757)=0,"",IF(COUNTIFS(AK_NAMA,C757,AK_KAT,"KAS")+COUNTIFS(AK_NAMA,D757,AK_KAT,"KAS")&lt;&gt;1,"",IF(COUNTIFS(AK_NAMA,C757,AK_KAT,"KAS")=1,D757,C757)))</f>
        <v>Biaya Bahan Baku</v>
      </c>
      <c r="M757" s="103" t="n">
        <f aca="false">IF(L757="",0,IF(L757=D757,E757,-E757))</f>
        <v>-360000</v>
      </c>
      <c r="N757" s="102" t="str">
        <f aca="false">IF(L757="","",IFERROR(INDEX(AK_BARIS,MATCH(L757,AK_NAMA,0)),"?"))</f>
        <v>OP3</v>
      </c>
      <c r="O757" s="102" t="str">
        <f aca="false">IF(C757="","",IFERROR(INDEX(AK_KEL,MATCH(C757,AK_NAMA,0)),"?"))</f>
        <v>BEBAN</v>
      </c>
      <c r="P757" s="102" t="str">
        <f aca="false">IF(D757="","",IFERROR(INDEX(AK_KEL,MATCH(D757,AK_NAMA,0)),"?"))</f>
        <v>ASET</v>
      </c>
      <c r="Q757" s="102" t="n">
        <f aca="false">N(Q756)+IF(AND(N(E757)&lt;&gt;0,K757=TAHUN,N(J757)&lt;=BLN,OR(C757=BB_AKUN,D757=BB_AKUN)),1,0)</f>
        <v>495</v>
      </c>
      <c r="R757" s="104" t="str">
        <f aca="false">IF(OR(C757&amp;D757="",N(E757)=0),"",IF(OR(O757="?",P757="?"),"⚠ akun tidak dikenal",IF(C757=D757,"⚠ debet = kredit","")))</f>
        <v/>
      </c>
    </row>
    <row r="758" customFormat="false" ht="15" hidden="false" customHeight="false" outlineLevel="0" collapsed="false">
      <c r="A758" s="82" t="s">
        <v>1728</v>
      </c>
      <c r="B758" s="101" t="n">
        <v>46177</v>
      </c>
      <c r="C758" s="82" t="s">
        <v>470</v>
      </c>
      <c r="D758" s="82" t="s">
        <v>461</v>
      </c>
      <c r="E758" s="91" t="n">
        <v>228000</v>
      </c>
      <c r="F758" s="82" t="s">
        <v>1729</v>
      </c>
      <c r="G758" s="82"/>
      <c r="H758" s="82"/>
      <c r="I758" s="82" t="s">
        <v>250</v>
      </c>
      <c r="J758" s="102" t="n">
        <f aca="false">IF(B758="","",MONTH(B758))</f>
        <v>6</v>
      </c>
      <c r="K758" s="102" t="n">
        <f aca="false">IF(B758="","",YEAR(B758))</f>
        <v>2026</v>
      </c>
      <c r="L758" s="102" t="str">
        <f aca="false">IF(N(E758)=0,"",IF(COUNTIFS(AK_NAMA,C758,AK_KAT,"KAS")+COUNTIFS(AK_NAMA,D758,AK_KAT,"KAS")&lt;&gt;1,"",IF(COUNTIFS(AK_NAMA,C758,AK_KAT,"KAS")=1,D758,C758)))</f>
        <v>Biaya Bahan Baku</v>
      </c>
      <c r="M758" s="103" t="n">
        <f aca="false">IF(L758="",0,IF(L758=D758,E758,-E758))</f>
        <v>-228000</v>
      </c>
      <c r="N758" s="102" t="str">
        <f aca="false">IF(L758="","",IFERROR(INDEX(AK_BARIS,MATCH(L758,AK_NAMA,0)),"?"))</f>
        <v>OP3</v>
      </c>
      <c r="O758" s="102" t="str">
        <f aca="false">IF(C758="","",IFERROR(INDEX(AK_KEL,MATCH(C758,AK_NAMA,0)),"?"))</f>
        <v>BEBAN</v>
      </c>
      <c r="P758" s="102" t="str">
        <f aca="false">IF(D758="","",IFERROR(INDEX(AK_KEL,MATCH(D758,AK_NAMA,0)),"?"))</f>
        <v>ASET</v>
      </c>
      <c r="Q758" s="102" t="n">
        <f aca="false">N(Q757)+IF(AND(N(E758)&lt;&gt;0,K758=TAHUN,N(J758)&lt;=BLN,OR(C758=BB_AKUN,D758=BB_AKUN)),1,0)</f>
        <v>496</v>
      </c>
      <c r="R758" s="104" t="str">
        <f aca="false">IF(OR(C758&amp;D758="",N(E758)=0),"",IF(OR(O758="?",P758="?"),"⚠ akun tidak dikenal",IF(C758=D758,"⚠ debet = kredit","")))</f>
        <v/>
      </c>
    </row>
    <row r="759" customFormat="false" ht="15" hidden="false" customHeight="false" outlineLevel="0" collapsed="false">
      <c r="A759" s="82" t="s">
        <v>1730</v>
      </c>
      <c r="B759" s="101" t="n">
        <v>46177</v>
      </c>
      <c r="C759" s="82" t="s">
        <v>470</v>
      </c>
      <c r="D759" s="82" t="s">
        <v>461</v>
      </c>
      <c r="E759" s="91" t="n">
        <v>240000</v>
      </c>
      <c r="F759" s="82" t="s">
        <v>1731</v>
      </c>
      <c r="G759" s="82"/>
      <c r="H759" s="82"/>
      <c r="I759" s="82" t="s">
        <v>250</v>
      </c>
      <c r="J759" s="102" t="n">
        <f aca="false">IF(B759="","",MONTH(B759))</f>
        <v>6</v>
      </c>
      <c r="K759" s="102" t="n">
        <f aca="false">IF(B759="","",YEAR(B759))</f>
        <v>2026</v>
      </c>
      <c r="L759" s="102" t="str">
        <f aca="false">IF(N(E759)=0,"",IF(COUNTIFS(AK_NAMA,C759,AK_KAT,"KAS")+COUNTIFS(AK_NAMA,D759,AK_KAT,"KAS")&lt;&gt;1,"",IF(COUNTIFS(AK_NAMA,C759,AK_KAT,"KAS")=1,D759,C759)))</f>
        <v>Biaya Bahan Baku</v>
      </c>
      <c r="M759" s="103" t="n">
        <f aca="false">IF(L759="",0,IF(L759=D759,E759,-E759))</f>
        <v>-240000</v>
      </c>
      <c r="N759" s="102" t="str">
        <f aca="false">IF(L759="","",IFERROR(INDEX(AK_BARIS,MATCH(L759,AK_NAMA,0)),"?"))</f>
        <v>OP3</v>
      </c>
      <c r="O759" s="102" t="str">
        <f aca="false">IF(C759="","",IFERROR(INDEX(AK_KEL,MATCH(C759,AK_NAMA,0)),"?"))</f>
        <v>BEBAN</v>
      </c>
      <c r="P759" s="102" t="str">
        <f aca="false">IF(D759="","",IFERROR(INDEX(AK_KEL,MATCH(D759,AK_NAMA,0)),"?"))</f>
        <v>ASET</v>
      </c>
      <c r="Q759" s="102" t="n">
        <f aca="false">N(Q758)+IF(AND(N(E759)&lt;&gt;0,K759=TAHUN,N(J759)&lt;=BLN,OR(C759=BB_AKUN,D759=BB_AKUN)),1,0)</f>
        <v>497</v>
      </c>
      <c r="R759" s="104" t="str">
        <f aca="false">IF(OR(C759&amp;D759="",N(E759)=0),"",IF(OR(O759="?",P759="?"),"⚠ akun tidak dikenal",IF(C759=D759,"⚠ debet = kredit","")))</f>
        <v/>
      </c>
    </row>
    <row r="760" customFormat="false" ht="15" hidden="false" customHeight="false" outlineLevel="0" collapsed="false">
      <c r="A760" s="82" t="s">
        <v>1732</v>
      </c>
      <c r="B760" s="101" t="n">
        <v>46178</v>
      </c>
      <c r="C760" s="82" t="s">
        <v>470</v>
      </c>
      <c r="D760" s="82" t="s">
        <v>461</v>
      </c>
      <c r="E760" s="91" t="n">
        <v>1675000</v>
      </c>
      <c r="F760" s="82" t="s">
        <v>1733</v>
      </c>
      <c r="G760" s="82"/>
      <c r="H760" s="82"/>
      <c r="I760" s="82" t="s">
        <v>250</v>
      </c>
      <c r="J760" s="102" t="n">
        <f aca="false">IF(B760="","",MONTH(B760))</f>
        <v>6</v>
      </c>
      <c r="K760" s="102" t="n">
        <f aca="false">IF(B760="","",YEAR(B760))</f>
        <v>2026</v>
      </c>
      <c r="L760" s="102" t="str">
        <f aca="false">IF(N(E760)=0,"",IF(COUNTIFS(AK_NAMA,C760,AK_KAT,"KAS")+COUNTIFS(AK_NAMA,D760,AK_KAT,"KAS")&lt;&gt;1,"",IF(COUNTIFS(AK_NAMA,C760,AK_KAT,"KAS")=1,D760,C760)))</f>
        <v>Biaya Bahan Baku</v>
      </c>
      <c r="M760" s="103" t="n">
        <f aca="false">IF(L760="",0,IF(L760=D760,E760,-E760))</f>
        <v>-1675000</v>
      </c>
      <c r="N760" s="102" t="str">
        <f aca="false">IF(L760="","",IFERROR(INDEX(AK_BARIS,MATCH(L760,AK_NAMA,0)),"?"))</f>
        <v>OP3</v>
      </c>
      <c r="O760" s="102" t="str">
        <f aca="false">IF(C760="","",IFERROR(INDEX(AK_KEL,MATCH(C760,AK_NAMA,0)),"?"))</f>
        <v>BEBAN</v>
      </c>
      <c r="P760" s="102" t="str">
        <f aca="false">IF(D760="","",IFERROR(INDEX(AK_KEL,MATCH(D760,AK_NAMA,0)),"?"))</f>
        <v>ASET</v>
      </c>
      <c r="Q760" s="102" t="n">
        <f aca="false">N(Q759)+IF(AND(N(E760)&lt;&gt;0,K760=TAHUN,N(J760)&lt;=BLN,OR(C760=BB_AKUN,D760=BB_AKUN)),1,0)</f>
        <v>498</v>
      </c>
      <c r="R760" s="104" t="str">
        <f aca="false">IF(OR(C760&amp;D760="",N(E760)=0),"",IF(OR(O760="?",P760="?"),"⚠ akun tidak dikenal",IF(C760=D760,"⚠ debet = kredit","")))</f>
        <v/>
      </c>
    </row>
    <row r="761" customFormat="false" ht="15" hidden="false" customHeight="false" outlineLevel="0" collapsed="false">
      <c r="A761" s="82" t="s">
        <v>1734</v>
      </c>
      <c r="B761" s="101" t="n">
        <v>46180</v>
      </c>
      <c r="C761" s="82" t="s">
        <v>470</v>
      </c>
      <c r="D761" s="82" t="s">
        <v>461</v>
      </c>
      <c r="E761" s="91" t="n">
        <v>232559</v>
      </c>
      <c r="F761" s="82" t="s">
        <v>1735</v>
      </c>
      <c r="G761" s="82"/>
      <c r="H761" s="82"/>
      <c r="I761" s="82" t="s">
        <v>250</v>
      </c>
      <c r="J761" s="102" t="n">
        <f aca="false">IF(B761="","",MONTH(B761))</f>
        <v>6</v>
      </c>
      <c r="K761" s="102" t="n">
        <f aca="false">IF(B761="","",YEAR(B761))</f>
        <v>2026</v>
      </c>
      <c r="L761" s="102" t="str">
        <f aca="false">IF(N(E761)=0,"",IF(COUNTIFS(AK_NAMA,C761,AK_KAT,"KAS")+COUNTIFS(AK_NAMA,D761,AK_KAT,"KAS")&lt;&gt;1,"",IF(COUNTIFS(AK_NAMA,C761,AK_KAT,"KAS")=1,D761,C761)))</f>
        <v>Biaya Bahan Baku</v>
      </c>
      <c r="M761" s="103" t="n">
        <f aca="false">IF(L761="",0,IF(L761=D761,E761,-E761))</f>
        <v>-232559</v>
      </c>
      <c r="N761" s="102" t="str">
        <f aca="false">IF(L761="","",IFERROR(INDEX(AK_BARIS,MATCH(L761,AK_NAMA,0)),"?"))</f>
        <v>OP3</v>
      </c>
      <c r="O761" s="102" t="str">
        <f aca="false">IF(C761="","",IFERROR(INDEX(AK_KEL,MATCH(C761,AK_NAMA,0)),"?"))</f>
        <v>BEBAN</v>
      </c>
      <c r="P761" s="102" t="str">
        <f aca="false">IF(D761="","",IFERROR(INDEX(AK_KEL,MATCH(D761,AK_NAMA,0)),"?"))</f>
        <v>ASET</v>
      </c>
      <c r="Q761" s="102" t="n">
        <f aca="false">N(Q760)+IF(AND(N(E761)&lt;&gt;0,K761=TAHUN,N(J761)&lt;=BLN,OR(C761=BB_AKUN,D761=BB_AKUN)),1,0)</f>
        <v>499</v>
      </c>
      <c r="R761" s="104" t="str">
        <f aca="false">IF(OR(C761&amp;D761="",N(E761)=0),"",IF(OR(O761="?",P761="?"),"⚠ akun tidak dikenal",IF(C761=D761,"⚠ debet = kredit","")))</f>
        <v/>
      </c>
    </row>
    <row r="762" customFormat="false" ht="15" hidden="false" customHeight="false" outlineLevel="0" collapsed="false">
      <c r="A762" s="82" t="s">
        <v>1736</v>
      </c>
      <c r="B762" s="101" t="n">
        <v>46180</v>
      </c>
      <c r="C762" s="82" t="s">
        <v>455</v>
      </c>
      <c r="D762" s="82" t="s">
        <v>461</v>
      </c>
      <c r="E762" s="91" t="n">
        <v>626387</v>
      </c>
      <c r="F762" s="82" t="s">
        <v>1737</v>
      </c>
      <c r="G762" s="82"/>
      <c r="H762" s="82"/>
      <c r="I762" s="82" t="s">
        <v>250</v>
      </c>
      <c r="J762" s="102" t="n">
        <f aca="false">IF(B762="","",MONTH(B762))</f>
        <v>6</v>
      </c>
      <c r="K762" s="102" t="n">
        <f aca="false">IF(B762="","",YEAR(B762))</f>
        <v>2026</v>
      </c>
      <c r="L762" s="102" t="str">
        <f aca="false">IF(N(E762)=0,"",IF(COUNTIFS(AK_NAMA,C762,AK_KAT,"KAS")+COUNTIFS(AK_NAMA,D762,AK_KAT,"KAS")&lt;&gt;1,"",IF(COUNTIFS(AK_NAMA,C762,AK_KAT,"KAS")=1,D762,C762)))</f>
        <v>Biaya Pemeliharaan</v>
      </c>
      <c r="M762" s="103" t="n">
        <f aca="false">IF(L762="",0,IF(L762=D762,E762,-E762))</f>
        <v>-626387</v>
      </c>
      <c r="N762" s="102" t="str">
        <f aca="false">IF(L762="","",IFERROR(INDEX(AK_BARIS,MATCH(L762,AK_NAMA,0)),"?"))</f>
        <v>OP6</v>
      </c>
      <c r="O762" s="102" t="str">
        <f aca="false">IF(C762="","",IFERROR(INDEX(AK_KEL,MATCH(C762,AK_NAMA,0)),"?"))</f>
        <v>BEBAN</v>
      </c>
      <c r="P762" s="102" t="str">
        <f aca="false">IF(D762="","",IFERROR(INDEX(AK_KEL,MATCH(D762,AK_NAMA,0)),"?"))</f>
        <v>ASET</v>
      </c>
      <c r="Q762" s="102" t="n">
        <f aca="false">N(Q761)+IF(AND(N(E762)&lt;&gt;0,K762=TAHUN,N(J762)&lt;=BLN,OR(C762=BB_AKUN,D762=BB_AKUN)),1,0)</f>
        <v>500</v>
      </c>
      <c r="R762" s="104" t="str">
        <f aca="false">IF(OR(C762&amp;D762="",N(E762)=0),"",IF(OR(O762="?",P762="?"),"⚠ akun tidak dikenal",IF(C762=D762,"⚠ debet = kredit","")))</f>
        <v/>
      </c>
    </row>
    <row r="763" customFormat="false" ht="15" hidden="false" customHeight="false" outlineLevel="0" collapsed="false">
      <c r="A763" s="82" t="s">
        <v>1738</v>
      </c>
      <c r="B763" s="101" t="n">
        <v>46181</v>
      </c>
      <c r="C763" s="82" t="s">
        <v>470</v>
      </c>
      <c r="D763" s="82" t="s">
        <v>461</v>
      </c>
      <c r="E763" s="91" t="n">
        <v>2135000</v>
      </c>
      <c r="F763" s="82" t="s">
        <v>1739</v>
      </c>
      <c r="G763" s="82"/>
      <c r="H763" s="82"/>
      <c r="I763" s="82" t="s">
        <v>250</v>
      </c>
      <c r="J763" s="102" t="n">
        <f aca="false">IF(B763="","",MONTH(B763))</f>
        <v>6</v>
      </c>
      <c r="K763" s="102" t="n">
        <f aca="false">IF(B763="","",YEAR(B763))</f>
        <v>2026</v>
      </c>
      <c r="L763" s="102" t="str">
        <f aca="false">IF(N(E763)=0,"",IF(COUNTIFS(AK_NAMA,C763,AK_KAT,"KAS")+COUNTIFS(AK_NAMA,D763,AK_KAT,"KAS")&lt;&gt;1,"",IF(COUNTIFS(AK_NAMA,C763,AK_KAT,"KAS")=1,D763,C763)))</f>
        <v>Biaya Bahan Baku</v>
      </c>
      <c r="M763" s="103" t="n">
        <f aca="false">IF(L763="",0,IF(L763=D763,E763,-E763))</f>
        <v>-2135000</v>
      </c>
      <c r="N763" s="102" t="str">
        <f aca="false">IF(L763="","",IFERROR(INDEX(AK_BARIS,MATCH(L763,AK_NAMA,0)),"?"))</f>
        <v>OP3</v>
      </c>
      <c r="O763" s="102" t="str">
        <f aca="false">IF(C763="","",IFERROR(INDEX(AK_KEL,MATCH(C763,AK_NAMA,0)),"?"))</f>
        <v>BEBAN</v>
      </c>
      <c r="P763" s="102" t="str">
        <f aca="false">IF(D763="","",IFERROR(INDEX(AK_KEL,MATCH(D763,AK_NAMA,0)),"?"))</f>
        <v>ASET</v>
      </c>
      <c r="Q763" s="102" t="n">
        <f aca="false">N(Q762)+IF(AND(N(E763)&lt;&gt;0,K763=TAHUN,N(J763)&lt;=BLN,OR(C763=BB_AKUN,D763=BB_AKUN)),1,0)</f>
        <v>501</v>
      </c>
      <c r="R763" s="104" t="str">
        <f aca="false">IF(OR(C763&amp;D763="",N(E763)=0),"",IF(OR(O763="?",P763="?"),"⚠ akun tidak dikenal",IF(C763=D763,"⚠ debet = kredit","")))</f>
        <v/>
      </c>
    </row>
    <row r="764" customFormat="false" ht="15" hidden="false" customHeight="false" outlineLevel="0" collapsed="false">
      <c r="A764" s="82" t="s">
        <v>1740</v>
      </c>
      <c r="B764" s="101" t="n">
        <v>46181</v>
      </c>
      <c r="C764" s="82" t="s">
        <v>470</v>
      </c>
      <c r="D764" s="82" t="s">
        <v>461</v>
      </c>
      <c r="E764" s="91" t="n">
        <v>130000</v>
      </c>
      <c r="F764" s="82" t="s">
        <v>1545</v>
      </c>
      <c r="G764" s="82"/>
      <c r="H764" s="82"/>
      <c r="I764" s="82" t="s">
        <v>250</v>
      </c>
      <c r="J764" s="102" t="n">
        <f aca="false">IF(B764="","",MONTH(B764))</f>
        <v>6</v>
      </c>
      <c r="K764" s="102" t="n">
        <f aca="false">IF(B764="","",YEAR(B764))</f>
        <v>2026</v>
      </c>
      <c r="L764" s="102" t="str">
        <f aca="false">IF(N(E764)=0,"",IF(COUNTIFS(AK_NAMA,C764,AK_KAT,"KAS")+COUNTIFS(AK_NAMA,D764,AK_KAT,"KAS")&lt;&gt;1,"",IF(COUNTIFS(AK_NAMA,C764,AK_KAT,"KAS")=1,D764,C764)))</f>
        <v>Biaya Bahan Baku</v>
      </c>
      <c r="M764" s="103" t="n">
        <f aca="false">IF(L764="",0,IF(L764=D764,E764,-E764))</f>
        <v>-130000</v>
      </c>
      <c r="N764" s="102" t="str">
        <f aca="false">IF(L764="","",IFERROR(INDEX(AK_BARIS,MATCH(L764,AK_NAMA,0)),"?"))</f>
        <v>OP3</v>
      </c>
      <c r="O764" s="102" t="str">
        <f aca="false">IF(C764="","",IFERROR(INDEX(AK_KEL,MATCH(C764,AK_NAMA,0)),"?"))</f>
        <v>BEBAN</v>
      </c>
      <c r="P764" s="102" t="str">
        <f aca="false">IF(D764="","",IFERROR(INDEX(AK_KEL,MATCH(D764,AK_NAMA,0)),"?"))</f>
        <v>ASET</v>
      </c>
      <c r="Q764" s="102" t="n">
        <f aca="false">N(Q763)+IF(AND(N(E764)&lt;&gt;0,K764=TAHUN,N(J764)&lt;=BLN,OR(C764=BB_AKUN,D764=BB_AKUN)),1,0)</f>
        <v>502</v>
      </c>
      <c r="R764" s="104" t="str">
        <f aca="false">IF(OR(C764&amp;D764="",N(E764)=0),"",IF(OR(O764="?",P764="?"),"⚠ akun tidak dikenal",IF(C764=D764,"⚠ debet = kredit","")))</f>
        <v/>
      </c>
    </row>
    <row r="765" customFormat="false" ht="15" hidden="false" customHeight="false" outlineLevel="0" collapsed="false">
      <c r="A765" s="82" t="s">
        <v>1741</v>
      </c>
      <c r="B765" s="101" t="n">
        <v>46181</v>
      </c>
      <c r="C765" s="82" t="s">
        <v>460</v>
      </c>
      <c r="D765" s="82" t="s">
        <v>461</v>
      </c>
      <c r="E765" s="91" t="n">
        <v>69200</v>
      </c>
      <c r="F765" s="82" t="s">
        <v>1742</v>
      </c>
      <c r="G765" s="82"/>
      <c r="H765" s="82"/>
      <c r="I765" s="82" t="s">
        <v>250</v>
      </c>
      <c r="J765" s="102" t="n">
        <f aca="false">IF(B765="","",MONTH(B765))</f>
        <v>6</v>
      </c>
      <c r="K765" s="102" t="n">
        <f aca="false">IF(B765="","",YEAR(B765))</f>
        <v>2026</v>
      </c>
      <c r="L765" s="102" t="str">
        <f aca="false">IF(N(E765)=0,"",IF(COUNTIFS(AK_NAMA,C765,AK_KAT,"KAS")+COUNTIFS(AK_NAMA,D765,AK_KAT,"KAS")&lt;&gt;1,"",IF(COUNTIFS(AK_NAMA,C765,AK_KAT,"KAS")=1,D765,C765)))</f>
        <v>Biaya Marketing &amp; Promosi</v>
      </c>
      <c r="M765" s="103" t="n">
        <f aca="false">IF(L765="",0,IF(L765=D765,E765,-E765))</f>
        <v>-69200</v>
      </c>
      <c r="N765" s="102" t="str">
        <f aca="false">IF(L765="","",IFERROR(INDEX(AK_BARIS,MATCH(L765,AK_NAMA,0)),"?"))</f>
        <v>OP6</v>
      </c>
      <c r="O765" s="102" t="str">
        <f aca="false">IF(C765="","",IFERROR(INDEX(AK_KEL,MATCH(C765,AK_NAMA,0)),"?"))</f>
        <v>BEBAN</v>
      </c>
      <c r="P765" s="102" t="str">
        <f aca="false">IF(D765="","",IFERROR(INDEX(AK_KEL,MATCH(D765,AK_NAMA,0)),"?"))</f>
        <v>ASET</v>
      </c>
      <c r="Q765" s="102" t="n">
        <f aca="false">N(Q764)+IF(AND(N(E765)&lt;&gt;0,K765=TAHUN,N(J765)&lt;=BLN,OR(C765=BB_AKUN,D765=BB_AKUN)),1,0)</f>
        <v>503</v>
      </c>
      <c r="R765" s="104" t="str">
        <f aca="false">IF(OR(C765&amp;D765="",N(E765)=0),"",IF(OR(O765="?",P765="?"),"⚠ akun tidak dikenal",IF(C765=D765,"⚠ debet = kredit","")))</f>
        <v/>
      </c>
    </row>
    <row r="766" customFormat="false" ht="15" hidden="false" customHeight="false" outlineLevel="0" collapsed="false">
      <c r="A766" s="82" t="s">
        <v>1743</v>
      </c>
      <c r="B766" s="101" t="n">
        <v>46182</v>
      </c>
      <c r="C766" s="82" t="s">
        <v>470</v>
      </c>
      <c r="D766" s="82" t="s">
        <v>461</v>
      </c>
      <c r="E766" s="91" t="n">
        <v>988000</v>
      </c>
      <c r="F766" s="82" t="s">
        <v>1744</v>
      </c>
      <c r="G766" s="82"/>
      <c r="H766" s="82"/>
      <c r="I766" s="82" t="s">
        <v>250</v>
      </c>
      <c r="J766" s="102" t="n">
        <f aca="false">IF(B766="","",MONTH(B766))</f>
        <v>6</v>
      </c>
      <c r="K766" s="102" t="n">
        <f aca="false">IF(B766="","",YEAR(B766))</f>
        <v>2026</v>
      </c>
      <c r="L766" s="102" t="str">
        <f aca="false">IF(N(E766)=0,"",IF(COUNTIFS(AK_NAMA,C766,AK_KAT,"KAS")+COUNTIFS(AK_NAMA,D766,AK_KAT,"KAS")&lt;&gt;1,"",IF(COUNTIFS(AK_NAMA,C766,AK_KAT,"KAS")=1,D766,C766)))</f>
        <v>Biaya Bahan Baku</v>
      </c>
      <c r="M766" s="103" t="n">
        <f aca="false">IF(L766="",0,IF(L766=D766,E766,-E766))</f>
        <v>-988000</v>
      </c>
      <c r="N766" s="102" t="str">
        <f aca="false">IF(L766="","",IFERROR(INDEX(AK_BARIS,MATCH(L766,AK_NAMA,0)),"?"))</f>
        <v>OP3</v>
      </c>
      <c r="O766" s="102" t="str">
        <f aca="false">IF(C766="","",IFERROR(INDEX(AK_KEL,MATCH(C766,AK_NAMA,0)),"?"))</f>
        <v>BEBAN</v>
      </c>
      <c r="P766" s="102" t="str">
        <f aca="false">IF(D766="","",IFERROR(INDEX(AK_KEL,MATCH(D766,AK_NAMA,0)),"?"))</f>
        <v>ASET</v>
      </c>
      <c r="Q766" s="102" t="n">
        <f aca="false">N(Q765)+IF(AND(N(E766)&lt;&gt;0,K766=TAHUN,N(J766)&lt;=BLN,OR(C766=BB_AKUN,D766=BB_AKUN)),1,0)</f>
        <v>504</v>
      </c>
      <c r="R766" s="104" t="str">
        <f aca="false">IF(OR(C766&amp;D766="",N(E766)=0),"",IF(OR(O766="?",P766="?"),"⚠ akun tidak dikenal",IF(C766=D766,"⚠ debet = kredit","")))</f>
        <v/>
      </c>
    </row>
    <row r="767" customFormat="false" ht="15" hidden="false" customHeight="false" outlineLevel="0" collapsed="false">
      <c r="A767" s="82" t="s">
        <v>1745</v>
      </c>
      <c r="B767" s="101" t="n">
        <v>46182</v>
      </c>
      <c r="C767" s="82" t="s">
        <v>669</v>
      </c>
      <c r="D767" s="82" t="s">
        <v>461</v>
      </c>
      <c r="E767" s="91" t="n">
        <v>119000</v>
      </c>
      <c r="F767" s="82" t="s">
        <v>647</v>
      </c>
      <c r="G767" s="82"/>
      <c r="H767" s="82"/>
      <c r="I767" s="82" t="s">
        <v>250</v>
      </c>
      <c r="J767" s="102" t="n">
        <f aca="false">IF(B767="","",MONTH(B767))</f>
        <v>6</v>
      </c>
      <c r="K767" s="102" t="n">
        <f aca="false">IF(B767="","",YEAR(B767))</f>
        <v>2026</v>
      </c>
      <c r="L767" s="102" t="str">
        <f aca="false">IF(N(E767)=0,"",IF(COUNTIFS(AK_NAMA,C767,AK_KAT,"KAS")+COUNTIFS(AK_NAMA,D767,AK_KAT,"KAS")&lt;&gt;1,"",IF(COUNTIFS(AK_NAMA,C767,AK_KAT,"KAS")=1,D767,C767)))</f>
        <v>Biaya Tagihan Bulanan</v>
      </c>
      <c r="M767" s="103" t="n">
        <f aca="false">IF(L767="",0,IF(L767=D767,E767,-E767))</f>
        <v>-119000</v>
      </c>
      <c r="N767" s="102" t="str">
        <f aca="false">IF(L767="","",IFERROR(INDEX(AK_BARIS,MATCH(L767,AK_NAMA,0)),"?"))</f>
        <v>OP6</v>
      </c>
      <c r="O767" s="102" t="str">
        <f aca="false">IF(C767="","",IFERROR(INDEX(AK_KEL,MATCH(C767,AK_NAMA,0)),"?"))</f>
        <v>BEBAN</v>
      </c>
      <c r="P767" s="102" t="str">
        <f aca="false">IF(D767="","",IFERROR(INDEX(AK_KEL,MATCH(D767,AK_NAMA,0)),"?"))</f>
        <v>ASET</v>
      </c>
      <c r="Q767" s="102" t="n">
        <f aca="false">N(Q766)+IF(AND(N(E767)&lt;&gt;0,K767=TAHUN,N(J767)&lt;=BLN,OR(C767=BB_AKUN,D767=BB_AKUN)),1,0)</f>
        <v>505</v>
      </c>
      <c r="R767" s="104" t="str">
        <f aca="false">IF(OR(C767&amp;D767="",N(E767)=0),"",IF(OR(O767="?",P767="?"),"⚠ akun tidak dikenal",IF(C767=D767,"⚠ debet = kredit","")))</f>
        <v/>
      </c>
    </row>
    <row r="768" customFormat="false" ht="15" hidden="false" customHeight="false" outlineLevel="0" collapsed="false">
      <c r="A768" s="82" t="s">
        <v>1746</v>
      </c>
      <c r="B768" s="101" t="n">
        <v>46182</v>
      </c>
      <c r="C768" s="82" t="s">
        <v>461</v>
      </c>
      <c r="D768" s="82" t="s">
        <v>557</v>
      </c>
      <c r="E768" s="91" t="n">
        <v>1</v>
      </c>
      <c r="F768" s="82" t="s">
        <v>1172</v>
      </c>
      <c r="G768" s="82"/>
      <c r="H768" s="82"/>
      <c r="I768" s="82" t="s">
        <v>250</v>
      </c>
      <c r="J768" s="102" t="n">
        <f aca="false">IF(B768="","",MONTH(B768))</f>
        <v>6</v>
      </c>
      <c r="K768" s="102" t="n">
        <f aca="false">IF(B768="","",YEAR(B768))</f>
        <v>2026</v>
      </c>
      <c r="L768" s="102" t="str">
        <f aca="false">IF(N(E768)=0,"",IF(COUNTIFS(AK_NAMA,C768,AK_KAT,"KAS")+COUNTIFS(AK_NAMA,D768,AK_KAT,"KAS")&lt;&gt;1,"",IF(COUNTIFS(AK_NAMA,C768,AK_KAT,"KAS")=1,D768,C768)))</f>
        <v>Pendapatan Lainnya</v>
      </c>
      <c r="M768" s="103" t="n">
        <f aca="false">IF(L768="",0,IF(L768=D768,E768,-E768))</f>
        <v>1</v>
      </c>
      <c r="N768" s="102" t="str">
        <f aca="false">IF(L768="","",IFERROR(INDEX(AK_BARIS,MATCH(L768,AK_NAMA,0)),"?"))</f>
        <v>OP2</v>
      </c>
      <c r="O768" s="102" t="str">
        <f aca="false">IF(C768="","",IFERROR(INDEX(AK_KEL,MATCH(C768,AK_NAMA,0)),"?"))</f>
        <v>ASET</v>
      </c>
      <c r="P768" s="102" t="str">
        <f aca="false">IF(D768="","",IFERROR(INDEX(AK_KEL,MATCH(D768,AK_NAMA,0)),"?"))</f>
        <v>PENDAPATAN</v>
      </c>
      <c r="Q768" s="102" t="n">
        <f aca="false">N(Q767)+IF(AND(N(E768)&lt;&gt;0,K768=TAHUN,N(J768)&lt;=BLN,OR(C768=BB_AKUN,D768=BB_AKUN)),1,0)</f>
        <v>506</v>
      </c>
      <c r="R768" s="104" t="str">
        <f aca="false">IF(OR(C768&amp;D768="",N(E768)=0),"",IF(OR(O768="?",P768="?"),"⚠ akun tidak dikenal",IF(C768=D768,"⚠ debet = kredit","")))</f>
        <v/>
      </c>
    </row>
    <row r="769" customFormat="false" ht="15" hidden="false" customHeight="false" outlineLevel="0" collapsed="false">
      <c r="A769" s="82" t="s">
        <v>1747</v>
      </c>
      <c r="B769" s="101" t="n">
        <v>46182</v>
      </c>
      <c r="C769" s="82" t="s">
        <v>460</v>
      </c>
      <c r="D769" s="82" t="s">
        <v>461</v>
      </c>
      <c r="E769" s="91" t="n">
        <v>249001</v>
      </c>
      <c r="F769" s="82" t="s">
        <v>1748</v>
      </c>
      <c r="G769" s="82"/>
      <c r="H769" s="82"/>
      <c r="I769" s="82" t="s">
        <v>250</v>
      </c>
      <c r="J769" s="102" t="n">
        <f aca="false">IF(B769="","",MONTH(B769))</f>
        <v>6</v>
      </c>
      <c r="K769" s="102" t="n">
        <f aca="false">IF(B769="","",YEAR(B769))</f>
        <v>2026</v>
      </c>
      <c r="L769" s="102" t="str">
        <f aca="false">IF(N(E769)=0,"",IF(COUNTIFS(AK_NAMA,C769,AK_KAT,"KAS")+COUNTIFS(AK_NAMA,D769,AK_KAT,"KAS")&lt;&gt;1,"",IF(COUNTIFS(AK_NAMA,C769,AK_KAT,"KAS")=1,D769,C769)))</f>
        <v>Biaya Marketing &amp; Promosi</v>
      </c>
      <c r="M769" s="103" t="n">
        <f aca="false">IF(L769="",0,IF(L769=D769,E769,-E769))</f>
        <v>-249001</v>
      </c>
      <c r="N769" s="102" t="str">
        <f aca="false">IF(L769="","",IFERROR(INDEX(AK_BARIS,MATCH(L769,AK_NAMA,0)),"?"))</f>
        <v>OP6</v>
      </c>
      <c r="O769" s="102" t="str">
        <f aca="false">IF(C769="","",IFERROR(INDEX(AK_KEL,MATCH(C769,AK_NAMA,0)),"?"))</f>
        <v>BEBAN</v>
      </c>
      <c r="P769" s="102" t="str">
        <f aca="false">IF(D769="","",IFERROR(INDEX(AK_KEL,MATCH(D769,AK_NAMA,0)),"?"))</f>
        <v>ASET</v>
      </c>
      <c r="Q769" s="102" t="n">
        <f aca="false">N(Q768)+IF(AND(N(E769)&lt;&gt;0,K769=TAHUN,N(J769)&lt;=BLN,OR(C769=BB_AKUN,D769=BB_AKUN)),1,0)</f>
        <v>507</v>
      </c>
      <c r="R769" s="104" t="str">
        <f aca="false">IF(OR(C769&amp;D769="",N(E769)=0),"",IF(OR(O769="?",P769="?"),"⚠ akun tidak dikenal",IF(C769=D769,"⚠ debet = kredit","")))</f>
        <v/>
      </c>
    </row>
    <row r="770" customFormat="false" ht="15" hidden="false" customHeight="false" outlineLevel="0" collapsed="false">
      <c r="A770" s="82" t="s">
        <v>1749</v>
      </c>
      <c r="B770" s="101" t="n">
        <v>46182</v>
      </c>
      <c r="C770" s="82" t="s">
        <v>478</v>
      </c>
      <c r="D770" s="82" t="s">
        <v>461</v>
      </c>
      <c r="E770" s="91" t="n">
        <v>60900</v>
      </c>
      <c r="F770" s="82" t="s">
        <v>1750</v>
      </c>
      <c r="G770" s="82"/>
      <c r="H770" s="82"/>
      <c r="I770" s="82" t="s">
        <v>250</v>
      </c>
      <c r="J770" s="102" t="n">
        <f aca="false">IF(B770="","",MONTH(B770))</f>
        <v>6</v>
      </c>
      <c r="K770" s="102" t="n">
        <f aca="false">IF(B770="","",YEAR(B770))</f>
        <v>2026</v>
      </c>
      <c r="L770" s="102" t="str">
        <f aca="false">IF(N(E770)=0,"",IF(COUNTIFS(AK_NAMA,C770,AK_KAT,"KAS")+COUNTIFS(AK_NAMA,D770,AK_KAT,"KAS")&lt;&gt;1,"",IF(COUNTIFS(AK_NAMA,C770,AK_KAT,"KAS")=1,D770,C770)))</f>
        <v>Biaya Penyajian</v>
      </c>
      <c r="M770" s="103" t="n">
        <f aca="false">IF(L770="",0,IF(L770=D770,E770,-E770))</f>
        <v>-60900</v>
      </c>
      <c r="N770" s="102" t="str">
        <f aca="false">IF(L770="","",IFERROR(INDEX(AK_BARIS,MATCH(L770,AK_NAMA,0)),"?"))</f>
        <v>OP3</v>
      </c>
      <c r="O770" s="102" t="str">
        <f aca="false">IF(C770="","",IFERROR(INDEX(AK_KEL,MATCH(C770,AK_NAMA,0)),"?"))</f>
        <v>BEBAN</v>
      </c>
      <c r="P770" s="102" t="str">
        <f aca="false">IF(D770="","",IFERROR(INDEX(AK_KEL,MATCH(D770,AK_NAMA,0)),"?"))</f>
        <v>ASET</v>
      </c>
      <c r="Q770" s="102" t="n">
        <f aca="false">N(Q769)+IF(AND(N(E770)&lt;&gt;0,K770=TAHUN,N(J770)&lt;=BLN,OR(C770=BB_AKUN,D770=BB_AKUN)),1,0)</f>
        <v>508</v>
      </c>
      <c r="R770" s="104" t="str">
        <f aca="false">IF(OR(C770&amp;D770="",N(E770)=0),"",IF(OR(O770="?",P770="?"),"⚠ akun tidak dikenal",IF(C770=D770,"⚠ debet = kredit","")))</f>
        <v/>
      </c>
    </row>
    <row r="771" customFormat="false" ht="15" hidden="false" customHeight="false" outlineLevel="0" collapsed="false">
      <c r="A771" s="82" t="s">
        <v>1751</v>
      </c>
      <c r="B771" s="101" t="n">
        <v>46182</v>
      </c>
      <c r="C771" s="82" t="s">
        <v>475</v>
      </c>
      <c r="D771" s="82" t="s">
        <v>461</v>
      </c>
      <c r="E771" s="91" t="n">
        <v>106000</v>
      </c>
      <c r="F771" s="82" t="s">
        <v>1752</v>
      </c>
      <c r="G771" s="82"/>
      <c r="H771" s="82"/>
      <c r="I771" s="82" t="s">
        <v>250</v>
      </c>
      <c r="J771" s="102" t="n">
        <f aca="false">IF(B771="","",MONTH(B771))</f>
        <v>6</v>
      </c>
      <c r="K771" s="102" t="n">
        <f aca="false">IF(B771="","",YEAR(B771))</f>
        <v>2026</v>
      </c>
      <c r="L771" s="102" t="str">
        <f aca="false">IF(N(E771)=0,"",IF(COUNTIFS(AK_NAMA,C771,AK_KAT,"KAS")+COUNTIFS(AK_NAMA,D771,AK_KAT,"KAS")&lt;&gt;1,"",IF(COUNTIFS(AK_NAMA,C771,AK_KAT,"KAS")=1,D771,C771)))</f>
        <v/>
      </c>
      <c r="M771" s="103" t="n">
        <f aca="false">IF(L771="",0,IF(L771=D771,E771,-E771))</f>
        <v>0</v>
      </c>
      <c r="N771" s="102" t="str">
        <f aca="false">IF(L771="","",IFERROR(INDEX(AK_BARIS,MATCH(L771,AK_NAMA,0)),"?"))</f>
        <v/>
      </c>
      <c r="O771" s="102" t="str">
        <f aca="false">IF(C771="","",IFERROR(INDEX(AK_KEL,MATCH(C771,AK_NAMA,0)),"?"))</f>
        <v>ASET</v>
      </c>
      <c r="P771" s="102" t="str">
        <f aca="false">IF(D771="","",IFERROR(INDEX(AK_KEL,MATCH(D771,AK_NAMA,0)),"?"))</f>
        <v>ASET</v>
      </c>
      <c r="Q771" s="102" t="n">
        <f aca="false">N(Q770)+IF(AND(N(E771)&lt;&gt;0,K771=TAHUN,N(J771)&lt;=BLN,OR(C771=BB_AKUN,D771=BB_AKUN)),1,0)</f>
        <v>509</v>
      </c>
      <c r="R771" s="104" t="str">
        <f aca="false">IF(OR(C771&amp;D771="",N(E771)=0),"",IF(OR(O771="?",P771="?"),"⚠ akun tidak dikenal",IF(C771=D771,"⚠ debet = kredit","")))</f>
        <v/>
      </c>
    </row>
    <row r="772" customFormat="false" ht="15" hidden="false" customHeight="false" outlineLevel="0" collapsed="false">
      <c r="A772" s="82" t="s">
        <v>1753</v>
      </c>
      <c r="B772" s="101" t="n">
        <v>46183</v>
      </c>
      <c r="C772" s="82" t="s">
        <v>478</v>
      </c>
      <c r="D772" s="82" t="s">
        <v>461</v>
      </c>
      <c r="E772" s="91" t="n">
        <v>359601</v>
      </c>
      <c r="F772" s="82" t="s">
        <v>1754</v>
      </c>
      <c r="G772" s="82"/>
      <c r="H772" s="82"/>
      <c r="I772" s="82" t="s">
        <v>250</v>
      </c>
      <c r="J772" s="102" t="n">
        <f aca="false">IF(B772="","",MONTH(B772))</f>
        <v>6</v>
      </c>
      <c r="K772" s="102" t="n">
        <f aca="false">IF(B772="","",YEAR(B772))</f>
        <v>2026</v>
      </c>
      <c r="L772" s="102" t="str">
        <f aca="false">IF(N(E772)=0,"",IF(COUNTIFS(AK_NAMA,C772,AK_KAT,"KAS")+COUNTIFS(AK_NAMA,D772,AK_KAT,"KAS")&lt;&gt;1,"",IF(COUNTIFS(AK_NAMA,C772,AK_KAT,"KAS")=1,D772,C772)))</f>
        <v>Biaya Penyajian</v>
      </c>
      <c r="M772" s="103" t="n">
        <f aca="false">IF(L772="",0,IF(L772=D772,E772,-E772))</f>
        <v>-359601</v>
      </c>
      <c r="N772" s="102" t="str">
        <f aca="false">IF(L772="","",IFERROR(INDEX(AK_BARIS,MATCH(L772,AK_NAMA,0)),"?"))</f>
        <v>OP3</v>
      </c>
      <c r="O772" s="102" t="str">
        <f aca="false">IF(C772="","",IFERROR(INDEX(AK_KEL,MATCH(C772,AK_NAMA,0)),"?"))</f>
        <v>BEBAN</v>
      </c>
      <c r="P772" s="102" t="str">
        <f aca="false">IF(D772="","",IFERROR(INDEX(AK_KEL,MATCH(D772,AK_NAMA,0)),"?"))</f>
        <v>ASET</v>
      </c>
      <c r="Q772" s="102" t="n">
        <f aca="false">N(Q771)+IF(AND(N(E772)&lt;&gt;0,K772=TAHUN,N(J772)&lt;=BLN,OR(C772=BB_AKUN,D772=BB_AKUN)),1,0)</f>
        <v>510</v>
      </c>
      <c r="R772" s="104" t="str">
        <f aca="false">IF(OR(C772&amp;D772="",N(E772)=0),"",IF(OR(O772="?",P772="?"),"⚠ akun tidak dikenal",IF(C772=D772,"⚠ debet = kredit","")))</f>
        <v/>
      </c>
    </row>
    <row r="773" customFormat="false" ht="15" hidden="false" customHeight="false" outlineLevel="0" collapsed="false">
      <c r="A773" s="82" t="s">
        <v>1755</v>
      </c>
      <c r="B773" s="101" t="n">
        <v>46183</v>
      </c>
      <c r="C773" s="82" t="s">
        <v>672</v>
      </c>
      <c r="D773" s="82" t="s">
        <v>461</v>
      </c>
      <c r="E773" s="91" t="n">
        <v>3759000</v>
      </c>
      <c r="F773" s="82" t="s">
        <v>1756</v>
      </c>
      <c r="G773" s="82"/>
      <c r="H773" s="82"/>
      <c r="I773" s="82" t="s">
        <v>250</v>
      </c>
      <c r="J773" s="102" t="n">
        <f aca="false">IF(B773="","",MONTH(B773))</f>
        <v>6</v>
      </c>
      <c r="K773" s="102" t="n">
        <f aca="false">IF(B773="","",YEAR(B773))</f>
        <v>2026</v>
      </c>
      <c r="L773" s="102" t="str">
        <f aca="false">IF(N(E773)=0,"",IF(COUNTIFS(AK_NAMA,C773,AK_KAT,"KAS")+COUNTIFS(AK_NAMA,D773,AK_KAT,"KAS")&lt;&gt;1,"",IF(COUNTIFS(AK_NAMA,C773,AK_KAT,"KAS")=1,D773,C773)))</f>
        <v>Peralatan</v>
      </c>
      <c r="M773" s="103" t="n">
        <f aca="false">IF(L773="",0,IF(L773=D773,E773,-E773))</f>
        <v>-3759000</v>
      </c>
      <c r="N773" s="102" t="str">
        <f aca="false">IF(L773="","",IFERROR(INDEX(AK_BARIS,MATCH(L773,AK_NAMA,0)),"?"))</f>
        <v>IN1</v>
      </c>
      <c r="O773" s="102" t="str">
        <f aca="false">IF(C773="","",IFERROR(INDEX(AK_KEL,MATCH(C773,AK_NAMA,0)),"?"))</f>
        <v>ASET</v>
      </c>
      <c r="P773" s="102" t="str">
        <f aca="false">IF(D773="","",IFERROR(INDEX(AK_KEL,MATCH(D773,AK_NAMA,0)),"?"))</f>
        <v>ASET</v>
      </c>
      <c r="Q773" s="102" t="n">
        <f aca="false">N(Q772)+IF(AND(N(E773)&lt;&gt;0,K773=TAHUN,N(J773)&lt;=BLN,OR(C773=BB_AKUN,D773=BB_AKUN)),1,0)</f>
        <v>511</v>
      </c>
      <c r="R773" s="104" t="str">
        <f aca="false">IF(OR(C773&amp;D773="",N(E773)=0),"",IF(OR(O773="?",P773="?"),"⚠ akun tidak dikenal",IF(C773=D773,"⚠ debet = kredit","")))</f>
        <v/>
      </c>
    </row>
    <row r="774" customFormat="false" ht="15" hidden="false" customHeight="false" outlineLevel="0" collapsed="false">
      <c r="A774" s="82" t="s">
        <v>1757</v>
      </c>
      <c r="B774" s="101" t="n">
        <v>46183</v>
      </c>
      <c r="C774" s="82" t="s">
        <v>486</v>
      </c>
      <c r="D774" s="82" t="s">
        <v>475</v>
      </c>
      <c r="E774" s="91" t="n">
        <v>600000</v>
      </c>
      <c r="F774" s="82" t="s">
        <v>1624</v>
      </c>
      <c r="G774" s="82"/>
      <c r="H774" s="82"/>
      <c r="I774" s="82" t="s">
        <v>250</v>
      </c>
      <c r="J774" s="102" t="n">
        <f aca="false">IF(B774="","",MONTH(B774))</f>
        <v>6</v>
      </c>
      <c r="K774" s="102" t="n">
        <f aca="false">IF(B774="","",YEAR(B774))</f>
        <v>2026</v>
      </c>
      <c r="L774" s="102" t="str">
        <f aca="false">IF(N(E774)=0,"",IF(COUNTIFS(AK_NAMA,C774,AK_KAT,"KAS")+COUNTIFS(AK_NAMA,D774,AK_KAT,"KAS")&lt;&gt;1,"",IF(COUNTIFS(AK_NAMA,C774,AK_KAT,"KAS")=1,D774,C774)))</f>
        <v/>
      </c>
      <c r="M774" s="103" t="n">
        <f aca="false">IF(L774="",0,IF(L774=D774,E774,-E774))</f>
        <v>0</v>
      </c>
      <c r="N774" s="102" t="str">
        <f aca="false">IF(L774="","",IFERROR(INDEX(AK_BARIS,MATCH(L774,AK_NAMA,0)),"?"))</f>
        <v/>
      </c>
      <c r="O774" s="102" t="str">
        <f aca="false">IF(C774="","",IFERROR(INDEX(AK_KEL,MATCH(C774,AK_NAMA,0)),"?"))</f>
        <v>ASET</v>
      </c>
      <c r="P774" s="102" t="str">
        <f aca="false">IF(D774="","",IFERROR(INDEX(AK_KEL,MATCH(D774,AK_NAMA,0)),"?"))</f>
        <v>ASET</v>
      </c>
      <c r="Q774" s="102" t="n">
        <f aca="false">N(Q773)+IF(AND(N(E774)&lt;&gt;0,K774=TAHUN,N(J774)&lt;=BLN,OR(C774=BB_AKUN,D774=BB_AKUN)),1,0)</f>
        <v>511</v>
      </c>
      <c r="R774" s="104" t="str">
        <f aca="false">IF(OR(C774&amp;D774="",N(E774)=0),"",IF(OR(O774="?",P774="?"),"⚠ akun tidak dikenal",IF(C774=D774,"⚠ debet = kredit","")))</f>
        <v/>
      </c>
    </row>
    <row r="775" customFormat="false" ht="15" hidden="false" customHeight="false" outlineLevel="0" collapsed="false">
      <c r="A775" s="82" t="s">
        <v>1758</v>
      </c>
      <c r="B775" s="101" t="n">
        <v>46183</v>
      </c>
      <c r="C775" s="82" t="s">
        <v>470</v>
      </c>
      <c r="D775" s="82" t="s">
        <v>486</v>
      </c>
      <c r="E775" s="91" t="n">
        <v>662000</v>
      </c>
      <c r="F775" s="82" t="s">
        <v>935</v>
      </c>
      <c r="G775" s="82"/>
      <c r="H775" s="82"/>
      <c r="I775" s="82" t="s">
        <v>250</v>
      </c>
      <c r="J775" s="102" t="n">
        <f aca="false">IF(B775="","",MONTH(B775))</f>
        <v>6</v>
      </c>
      <c r="K775" s="102" t="n">
        <f aca="false">IF(B775="","",YEAR(B775))</f>
        <v>2026</v>
      </c>
      <c r="L775" s="102" t="str">
        <f aca="false">IF(N(E775)=0,"",IF(COUNTIFS(AK_NAMA,C775,AK_KAT,"KAS")+COUNTIFS(AK_NAMA,D775,AK_KAT,"KAS")&lt;&gt;1,"",IF(COUNTIFS(AK_NAMA,C775,AK_KAT,"KAS")=1,D775,C775)))</f>
        <v>Biaya Bahan Baku</v>
      </c>
      <c r="M775" s="103" t="n">
        <f aca="false">IF(L775="",0,IF(L775=D775,E775,-E775))</f>
        <v>-662000</v>
      </c>
      <c r="N775" s="102" t="str">
        <f aca="false">IF(L775="","",IFERROR(INDEX(AK_BARIS,MATCH(L775,AK_NAMA,0)),"?"))</f>
        <v>OP3</v>
      </c>
      <c r="O775" s="102" t="str">
        <f aca="false">IF(C775="","",IFERROR(INDEX(AK_KEL,MATCH(C775,AK_NAMA,0)),"?"))</f>
        <v>BEBAN</v>
      </c>
      <c r="P775" s="102" t="str">
        <f aca="false">IF(D775="","",IFERROR(INDEX(AK_KEL,MATCH(D775,AK_NAMA,0)),"?"))</f>
        <v>ASET</v>
      </c>
      <c r="Q775" s="102" t="n">
        <f aca="false">N(Q774)+IF(AND(N(E775)&lt;&gt;0,K775=TAHUN,N(J775)&lt;=BLN,OR(C775=BB_AKUN,D775=BB_AKUN)),1,0)</f>
        <v>511</v>
      </c>
      <c r="R775" s="104" t="str">
        <f aca="false">IF(OR(C775&amp;D775="",N(E775)=0),"",IF(OR(O775="?",P775="?"),"⚠ akun tidak dikenal",IF(C775=D775,"⚠ debet = kredit","")))</f>
        <v/>
      </c>
    </row>
    <row r="776" customFormat="false" ht="15" hidden="false" customHeight="false" outlineLevel="0" collapsed="false">
      <c r="A776" s="82" t="s">
        <v>1759</v>
      </c>
      <c r="B776" s="101" t="n">
        <v>46183</v>
      </c>
      <c r="C776" s="82" t="s">
        <v>478</v>
      </c>
      <c r="D776" s="82" t="s">
        <v>486</v>
      </c>
      <c r="E776" s="91" t="n">
        <v>112000</v>
      </c>
      <c r="F776" s="82" t="s">
        <v>937</v>
      </c>
      <c r="G776" s="82"/>
      <c r="H776" s="82"/>
      <c r="I776" s="82" t="s">
        <v>250</v>
      </c>
      <c r="J776" s="102" t="n">
        <f aca="false">IF(B776="","",MONTH(B776))</f>
        <v>6</v>
      </c>
      <c r="K776" s="102" t="n">
        <f aca="false">IF(B776="","",YEAR(B776))</f>
        <v>2026</v>
      </c>
      <c r="L776" s="102" t="str">
        <f aca="false">IF(N(E776)=0,"",IF(COUNTIFS(AK_NAMA,C776,AK_KAT,"KAS")+COUNTIFS(AK_NAMA,D776,AK_KAT,"KAS")&lt;&gt;1,"",IF(COUNTIFS(AK_NAMA,C776,AK_KAT,"KAS")=1,D776,C776)))</f>
        <v>Biaya Penyajian</v>
      </c>
      <c r="M776" s="103" t="n">
        <f aca="false">IF(L776="",0,IF(L776=D776,E776,-E776))</f>
        <v>-112000</v>
      </c>
      <c r="N776" s="102" t="str">
        <f aca="false">IF(L776="","",IFERROR(INDEX(AK_BARIS,MATCH(L776,AK_NAMA,0)),"?"))</f>
        <v>OP3</v>
      </c>
      <c r="O776" s="102" t="str">
        <f aca="false">IF(C776="","",IFERROR(INDEX(AK_KEL,MATCH(C776,AK_NAMA,0)),"?"))</f>
        <v>BEBAN</v>
      </c>
      <c r="P776" s="102" t="str">
        <f aca="false">IF(D776="","",IFERROR(INDEX(AK_KEL,MATCH(D776,AK_NAMA,0)),"?"))</f>
        <v>ASET</v>
      </c>
      <c r="Q776" s="102" t="n">
        <f aca="false">N(Q775)+IF(AND(N(E776)&lt;&gt;0,K776=TAHUN,N(J776)&lt;=BLN,OR(C776=BB_AKUN,D776=BB_AKUN)),1,0)</f>
        <v>511</v>
      </c>
      <c r="R776" s="104" t="str">
        <f aca="false">IF(OR(C776&amp;D776="",N(E776)=0),"",IF(OR(O776="?",P776="?"),"⚠ akun tidak dikenal",IF(C776=D776,"⚠ debet = kredit","")))</f>
        <v/>
      </c>
    </row>
    <row r="777" customFormat="false" ht="15" hidden="false" customHeight="false" outlineLevel="0" collapsed="false">
      <c r="A777" s="82" t="s">
        <v>1760</v>
      </c>
      <c r="B777" s="101" t="n">
        <v>46183</v>
      </c>
      <c r="C777" s="82" t="s">
        <v>548</v>
      </c>
      <c r="D777" s="82" t="s">
        <v>486</v>
      </c>
      <c r="E777" s="91" t="n">
        <v>20000</v>
      </c>
      <c r="F777" s="82" t="s">
        <v>939</v>
      </c>
      <c r="G777" s="82"/>
      <c r="H777" s="82"/>
      <c r="I777" s="82" t="s">
        <v>250</v>
      </c>
      <c r="J777" s="102" t="n">
        <f aca="false">IF(B777="","",MONTH(B777))</f>
        <v>6</v>
      </c>
      <c r="K777" s="102" t="n">
        <f aca="false">IF(B777="","",YEAR(B777))</f>
        <v>2026</v>
      </c>
      <c r="L777" s="102" t="str">
        <f aca="false">IF(N(E777)=0,"",IF(COUNTIFS(AK_NAMA,C777,AK_KAT,"KAS")+COUNTIFS(AK_NAMA,D777,AK_KAT,"KAS")&lt;&gt;1,"",IF(COUNTIFS(AK_NAMA,C777,AK_KAT,"KAS")=1,D777,C777)))</f>
        <v>Beban Perlengkapan</v>
      </c>
      <c r="M777" s="103" t="n">
        <f aca="false">IF(L777="",0,IF(L777=D777,E777,-E777))</f>
        <v>-20000</v>
      </c>
      <c r="N777" s="102" t="str">
        <f aca="false">IF(L777="","",IFERROR(INDEX(AK_BARIS,MATCH(L777,AK_NAMA,0)),"?"))</f>
        <v>OP6</v>
      </c>
      <c r="O777" s="102" t="str">
        <f aca="false">IF(C777="","",IFERROR(INDEX(AK_KEL,MATCH(C777,AK_NAMA,0)),"?"))</f>
        <v>BEBAN</v>
      </c>
      <c r="P777" s="102" t="str">
        <f aca="false">IF(D777="","",IFERROR(INDEX(AK_KEL,MATCH(D777,AK_NAMA,0)),"?"))</f>
        <v>ASET</v>
      </c>
      <c r="Q777" s="102" t="n">
        <f aca="false">N(Q776)+IF(AND(N(E777)&lt;&gt;0,K777=TAHUN,N(J777)&lt;=BLN,OR(C777=BB_AKUN,D777=BB_AKUN)),1,0)</f>
        <v>511</v>
      </c>
      <c r="R777" s="104" t="str">
        <f aca="false">IF(OR(C777&amp;D777="",N(E777)=0),"",IF(OR(O777="?",P777="?"),"⚠ akun tidak dikenal",IF(C777=D777,"⚠ debet = kredit","")))</f>
        <v/>
      </c>
    </row>
    <row r="778" customFormat="false" ht="15" hidden="false" customHeight="false" outlineLevel="0" collapsed="false">
      <c r="A778" s="82" t="s">
        <v>1761</v>
      </c>
      <c r="B778" s="101" t="n">
        <v>46183</v>
      </c>
      <c r="C778" s="82" t="s">
        <v>485</v>
      </c>
      <c r="D778" s="82" t="s">
        <v>486</v>
      </c>
      <c r="E778" s="91" t="n">
        <v>24000</v>
      </c>
      <c r="F778" s="82" t="s">
        <v>553</v>
      </c>
      <c r="G778" s="82"/>
      <c r="H778" s="82"/>
      <c r="I778" s="82" t="s">
        <v>250</v>
      </c>
      <c r="J778" s="102" t="n">
        <f aca="false">IF(B778="","",MONTH(B778))</f>
        <v>6</v>
      </c>
      <c r="K778" s="102" t="n">
        <f aca="false">IF(B778="","",YEAR(B778))</f>
        <v>2026</v>
      </c>
      <c r="L778" s="102" t="str">
        <f aca="false">IF(N(E778)=0,"",IF(COUNTIFS(AK_NAMA,C778,AK_KAT,"KAS")+COUNTIFS(AK_NAMA,D778,AK_KAT,"KAS")&lt;&gt;1,"",IF(COUNTIFS(AK_NAMA,C778,AK_KAT,"KAS")=1,D778,C778)))</f>
        <v>Biaya Operasional Harian</v>
      </c>
      <c r="M778" s="103" t="n">
        <f aca="false">IF(L778="",0,IF(L778=D778,E778,-E778))</f>
        <v>-24000</v>
      </c>
      <c r="N778" s="102" t="str">
        <f aca="false">IF(L778="","",IFERROR(INDEX(AK_BARIS,MATCH(L778,AK_NAMA,0)),"?"))</f>
        <v>OP6</v>
      </c>
      <c r="O778" s="102" t="str">
        <f aca="false">IF(C778="","",IFERROR(INDEX(AK_KEL,MATCH(C778,AK_NAMA,0)),"?"))</f>
        <v>BEBAN</v>
      </c>
      <c r="P778" s="102" t="str">
        <f aca="false">IF(D778="","",IFERROR(INDEX(AK_KEL,MATCH(D778,AK_NAMA,0)),"?"))</f>
        <v>ASET</v>
      </c>
      <c r="Q778" s="102" t="n">
        <f aca="false">N(Q777)+IF(AND(N(E778)&lt;&gt;0,K778=TAHUN,N(J778)&lt;=BLN,OR(C778=BB_AKUN,D778=BB_AKUN)),1,0)</f>
        <v>511</v>
      </c>
      <c r="R778" s="104" t="str">
        <f aca="false">IF(OR(C778&amp;D778="",N(E778)=0),"",IF(OR(O778="?",P778="?"),"⚠ akun tidak dikenal",IF(C778=D778,"⚠ debet = kredit","")))</f>
        <v/>
      </c>
    </row>
    <row r="779" customFormat="false" ht="15" hidden="false" customHeight="false" outlineLevel="0" collapsed="false">
      <c r="A779" s="82" t="s">
        <v>1762</v>
      </c>
      <c r="B779" s="101" t="n">
        <v>46183</v>
      </c>
      <c r="C779" s="82" t="s">
        <v>485</v>
      </c>
      <c r="D779" s="82" t="s">
        <v>486</v>
      </c>
      <c r="E779" s="91" t="n">
        <v>12000</v>
      </c>
      <c r="F779" s="82" t="s">
        <v>555</v>
      </c>
      <c r="G779" s="82"/>
      <c r="H779" s="82"/>
      <c r="I779" s="82" t="s">
        <v>250</v>
      </c>
      <c r="J779" s="102" t="n">
        <f aca="false">IF(B779="","",MONTH(B779))</f>
        <v>6</v>
      </c>
      <c r="K779" s="102" t="n">
        <f aca="false">IF(B779="","",YEAR(B779))</f>
        <v>2026</v>
      </c>
      <c r="L779" s="102" t="str">
        <f aca="false">IF(N(E779)=0,"",IF(COUNTIFS(AK_NAMA,C779,AK_KAT,"KAS")+COUNTIFS(AK_NAMA,D779,AK_KAT,"KAS")&lt;&gt;1,"",IF(COUNTIFS(AK_NAMA,C779,AK_KAT,"KAS")=1,D779,C779)))</f>
        <v>Biaya Operasional Harian</v>
      </c>
      <c r="M779" s="103" t="n">
        <f aca="false">IF(L779="",0,IF(L779=D779,E779,-E779))</f>
        <v>-12000</v>
      </c>
      <c r="N779" s="102" t="str">
        <f aca="false">IF(L779="","",IFERROR(INDEX(AK_BARIS,MATCH(L779,AK_NAMA,0)),"?"))</f>
        <v>OP6</v>
      </c>
      <c r="O779" s="102" t="str">
        <f aca="false">IF(C779="","",IFERROR(INDEX(AK_KEL,MATCH(C779,AK_NAMA,0)),"?"))</f>
        <v>BEBAN</v>
      </c>
      <c r="P779" s="102" t="str">
        <f aca="false">IF(D779="","",IFERROR(INDEX(AK_KEL,MATCH(D779,AK_NAMA,0)),"?"))</f>
        <v>ASET</v>
      </c>
      <c r="Q779" s="102" t="n">
        <f aca="false">N(Q778)+IF(AND(N(E779)&lt;&gt;0,K779=TAHUN,N(J779)&lt;=BLN,OR(C779=BB_AKUN,D779=BB_AKUN)),1,0)</f>
        <v>511</v>
      </c>
      <c r="R779" s="104" t="str">
        <f aca="false">IF(OR(C779&amp;D779="",N(E779)=0),"",IF(OR(O779="?",P779="?"),"⚠ akun tidak dikenal",IF(C779=D779,"⚠ debet = kredit","")))</f>
        <v/>
      </c>
    </row>
    <row r="780" customFormat="false" ht="15" hidden="false" customHeight="false" outlineLevel="0" collapsed="false">
      <c r="A780" s="82" t="s">
        <v>1763</v>
      </c>
      <c r="B780" s="101" t="n">
        <v>46183</v>
      </c>
      <c r="C780" s="82" t="s">
        <v>475</v>
      </c>
      <c r="D780" s="82" t="s">
        <v>486</v>
      </c>
      <c r="E780" s="91" t="n">
        <v>20000</v>
      </c>
      <c r="F780" s="82" t="s">
        <v>1142</v>
      </c>
      <c r="G780" s="82"/>
      <c r="H780" s="82"/>
      <c r="I780" s="82" t="s">
        <v>250</v>
      </c>
      <c r="J780" s="102" t="n">
        <f aca="false">IF(B780="","",MONTH(B780))</f>
        <v>6</v>
      </c>
      <c r="K780" s="102" t="n">
        <f aca="false">IF(B780="","",YEAR(B780))</f>
        <v>2026</v>
      </c>
      <c r="L780" s="102" t="str">
        <f aca="false">IF(N(E780)=0,"",IF(COUNTIFS(AK_NAMA,C780,AK_KAT,"KAS")+COUNTIFS(AK_NAMA,D780,AK_KAT,"KAS")&lt;&gt;1,"",IF(COUNTIFS(AK_NAMA,C780,AK_KAT,"KAS")=1,D780,C780)))</f>
        <v/>
      </c>
      <c r="M780" s="103" t="n">
        <f aca="false">IF(L780="",0,IF(L780=D780,E780,-E780))</f>
        <v>0</v>
      </c>
      <c r="N780" s="102" t="str">
        <f aca="false">IF(L780="","",IFERROR(INDEX(AK_BARIS,MATCH(L780,AK_NAMA,0)),"?"))</f>
        <v/>
      </c>
      <c r="O780" s="102" t="str">
        <f aca="false">IF(C780="","",IFERROR(INDEX(AK_KEL,MATCH(C780,AK_NAMA,0)),"?"))</f>
        <v>ASET</v>
      </c>
      <c r="P780" s="102" t="str">
        <f aca="false">IF(D780="","",IFERROR(INDEX(AK_KEL,MATCH(D780,AK_NAMA,0)),"?"))</f>
        <v>ASET</v>
      </c>
      <c r="Q780" s="102" t="n">
        <f aca="false">N(Q779)+IF(AND(N(E780)&lt;&gt;0,K780=TAHUN,N(J780)&lt;=BLN,OR(C780=BB_AKUN,D780=BB_AKUN)),1,0)</f>
        <v>511</v>
      </c>
      <c r="R780" s="104" t="str">
        <f aca="false">IF(OR(C780&amp;D780="",N(E780)=0),"",IF(OR(O780="?",P780="?"),"⚠ akun tidak dikenal",IF(C780=D780,"⚠ debet = kredit","")))</f>
        <v/>
      </c>
    </row>
    <row r="781" customFormat="false" ht="15" hidden="false" customHeight="false" outlineLevel="0" collapsed="false">
      <c r="A781" s="82" t="s">
        <v>1764</v>
      </c>
      <c r="B781" s="101" t="n">
        <v>46184</v>
      </c>
      <c r="C781" s="82" t="s">
        <v>478</v>
      </c>
      <c r="D781" s="82" t="s">
        <v>461</v>
      </c>
      <c r="E781" s="91" t="n">
        <v>2250000</v>
      </c>
      <c r="F781" s="82" t="s">
        <v>1765</v>
      </c>
      <c r="G781" s="82"/>
      <c r="H781" s="82"/>
      <c r="I781" s="82" t="s">
        <v>250</v>
      </c>
      <c r="J781" s="102" t="n">
        <f aca="false">IF(B781="","",MONTH(B781))</f>
        <v>6</v>
      </c>
      <c r="K781" s="102" t="n">
        <f aca="false">IF(B781="","",YEAR(B781))</f>
        <v>2026</v>
      </c>
      <c r="L781" s="102" t="str">
        <f aca="false">IF(N(E781)=0,"",IF(COUNTIFS(AK_NAMA,C781,AK_KAT,"KAS")+COUNTIFS(AK_NAMA,D781,AK_KAT,"KAS")&lt;&gt;1,"",IF(COUNTIFS(AK_NAMA,C781,AK_KAT,"KAS")=1,D781,C781)))</f>
        <v>Biaya Penyajian</v>
      </c>
      <c r="M781" s="103" t="n">
        <f aca="false">IF(L781="",0,IF(L781=D781,E781,-E781))</f>
        <v>-2250000</v>
      </c>
      <c r="N781" s="102" t="str">
        <f aca="false">IF(L781="","",IFERROR(INDEX(AK_BARIS,MATCH(L781,AK_NAMA,0)),"?"))</f>
        <v>OP3</v>
      </c>
      <c r="O781" s="102" t="str">
        <f aca="false">IF(C781="","",IFERROR(INDEX(AK_KEL,MATCH(C781,AK_NAMA,0)),"?"))</f>
        <v>BEBAN</v>
      </c>
      <c r="P781" s="102" t="str">
        <f aca="false">IF(D781="","",IFERROR(INDEX(AK_KEL,MATCH(D781,AK_NAMA,0)),"?"))</f>
        <v>ASET</v>
      </c>
      <c r="Q781" s="102" t="n">
        <f aca="false">N(Q780)+IF(AND(N(E781)&lt;&gt;0,K781=TAHUN,N(J781)&lt;=BLN,OR(C781=BB_AKUN,D781=BB_AKUN)),1,0)</f>
        <v>512</v>
      </c>
      <c r="R781" s="104" t="str">
        <f aca="false">IF(OR(C781&amp;D781="",N(E781)=0),"",IF(OR(O781="?",P781="?"),"⚠ akun tidak dikenal",IF(C781=D781,"⚠ debet = kredit","")))</f>
        <v/>
      </c>
    </row>
    <row r="782" customFormat="false" ht="15" hidden="false" customHeight="false" outlineLevel="0" collapsed="false">
      <c r="A782" s="82" t="s">
        <v>1766</v>
      </c>
      <c r="B782" s="101" t="n">
        <v>46184</v>
      </c>
      <c r="C782" s="82" t="s">
        <v>478</v>
      </c>
      <c r="D782" s="82" t="s">
        <v>461</v>
      </c>
      <c r="E782" s="91" t="n">
        <v>800000</v>
      </c>
      <c r="F782" s="82" t="s">
        <v>1767</v>
      </c>
      <c r="G782" s="82"/>
      <c r="H782" s="82"/>
      <c r="I782" s="82" t="s">
        <v>250</v>
      </c>
      <c r="J782" s="102" t="n">
        <f aca="false">IF(B782="","",MONTH(B782))</f>
        <v>6</v>
      </c>
      <c r="K782" s="102" t="n">
        <f aca="false">IF(B782="","",YEAR(B782))</f>
        <v>2026</v>
      </c>
      <c r="L782" s="102" t="str">
        <f aca="false">IF(N(E782)=0,"",IF(COUNTIFS(AK_NAMA,C782,AK_KAT,"KAS")+COUNTIFS(AK_NAMA,D782,AK_KAT,"KAS")&lt;&gt;1,"",IF(COUNTIFS(AK_NAMA,C782,AK_KAT,"KAS")=1,D782,C782)))</f>
        <v>Biaya Penyajian</v>
      </c>
      <c r="M782" s="103" t="n">
        <f aca="false">IF(L782="",0,IF(L782=D782,E782,-E782))</f>
        <v>-800000</v>
      </c>
      <c r="N782" s="102" t="str">
        <f aca="false">IF(L782="","",IFERROR(INDEX(AK_BARIS,MATCH(L782,AK_NAMA,0)),"?"))</f>
        <v>OP3</v>
      </c>
      <c r="O782" s="102" t="str">
        <f aca="false">IF(C782="","",IFERROR(INDEX(AK_KEL,MATCH(C782,AK_NAMA,0)),"?"))</f>
        <v>BEBAN</v>
      </c>
      <c r="P782" s="102" t="str">
        <f aca="false">IF(D782="","",IFERROR(INDEX(AK_KEL,MATCH(D782,AK_NAMA,0)),"?"))</f>
        <v>ASET</v>
      </c>
      <c r="Q782" s="102" t="n">
        <f aca="false">N(Q781)+IF(AND(N(E782)&lt;&gt;0,K782=TAHUN,N(J782)&lt;=BLN,OR(C782=BB_AKUN,D782=BB_AKUN)),1,0)</f>
        <v>513</v>
      </c>
      <c r="R782" s="104" t="str">
        <f aca="false">IF(OR(C782&amp;D782="",N(E782)=0),"",IF(OR(O782="?",P782="?"),"⚠ akun tidak dikenal",IF(C782=D782,"⚠ debet = kredit","")))</f>
        <v/>
      </c>
    </row>
    <row r="783" customFormat="false" ht="15" hidden="false" customHeight="false" outlineLevel="0" collapsed="false">
      <c r="A783" s="82" t="s">
        <v>1768</v>
      </c>
      <c r="B783" s="101" t="n">
        <v>46184</v>
      </c>
      <c r="C783" s="82" t="s">
        <v>470</v>
      </c>
      <c r="D783" s="82" t="s">
        <v>461</v>
      </c>
      <c r="E783" s="91" t="n">
        <v>304000</v>
      </c>
      <c r="F783" s="82" t="s">
        <v>1729</v>
      </c>
      <c r="G783" s="82"/>
      <c r="H783" s="82"/>
      <c r="I783" s="82" t="s">
        <v>250</v>
      </c>
      <c r="J783" s="102" t="n">
        <f aca="false">IF(B783="","",MONTH(B783))</f>
        <v>6</v>
      </c>
      <c r="K783" s="102" t="n">
        <f aca="false">IF(B783="","",YEAR(B783))</f>
        <v>2026</v>
      </c>
      <c r="L783" s="102" t="str">
        <f aca="false">IF(N(E783)=0,"",IF(COUNTIFS(AK_NAMA,C783,AK_KAT,"KAS")+COUNTIFS(AK_NAMA,D783,AK_KAT,"KAS")&lt;&gt;1,"",IF(COUNTIFS(AK_NAMA,C783,AK_KAT,"KAS")=1,D783,C783)))</f>
        <v>Biaya Bahan Baku</v>
      </c>
      <c r="M783" s="103" t="n">
        <f aca="false">IF(L783="",0,IF(L783=D783,E783,-E783))</f>
        <v>-304000</v>
      </c>
      <c r="N783" s="102" t="str">
        <f aca="false">IF(L783="","",IFERROR(INDEX(AK_BARIS,MATCH(L783,AK_NAMA,0)),"?"))</f>
        <v>OP3</v>
      </c>
      <c r="O783" s="102" t="str">
        <f aca="false">IF(C783="","",IFERROR(INDEX(AK_KEL,MATCH(C783,AK_NAMA,0)),"?"))</f>
        <v>BEBAN</v>
      </c>
      <c r="P783" s="102" t="str">
        <f aca="false">IF(D783="","",IFERROR(INDEX(AK_KEL,MATCH(D783,AK_NAMA,0)),"?"))</f>
        <v>ASET</v>
      </c>
      <c r="Q783" s="102" t="n">
        <f aca="false">N(Q782)+IF(AND(N(E783)&lt;&gt;0,K783=TAHUN,N(J783)&lt;=BLN,OR(C783=BB_AKUN,D783=BB_AKUN)),1,0)</f>
        <v>514</v>
      </c>
      <c r="R783" s="104" t="str">
        <f aca="false">IF(OR(C783&amp;D783="",N(E783)=0),"",IF(OR(O783="?",P783="?"),"⚠ akun tidak dikenal",IF(C783=D783,"⚠ debet = kredit","")))</f>
        <v/>
      </c>
    </row>
    <row r="784" customFormat="false" ht="15" hidden="false" customHeight="false" outlineLevel="0" collapsed="false">
      <c r="A784" s="82" t="s">
        <v>1769</v>
      </c>
      <c r="B784" s="101" t="n">
        <v>46184</v>
      </c>
      <c r="C784" s="82" t="s">
        <v>460</v>
      </c>
      <c r="D784" s="82" t="s">
        <v>461</v>
      </c>
      <c r="E784" s="91" t="n">
        <v>74201</v>
      </c>
      <c r="F784" s="82" t="s">
        <v>1770</v>
      </c>
      <c r="G784" s="82"/>
      <c r="H784" s="82"/>
      <c r="I784" s="82" t="s">
        <v>250</v>
      </c>
      <c r="J784" s="102" t="n">
        <f aca="false">IF(B784="","",MONTH(B784))</f>
        <v>6</v>
      </c>
      <c r="K784" s="102" t="n">
        <f aca="false">IF(B784="","",YEAR(B784))</f>
        <v>2026</v>
      </c>
      <c r="L784" s="102" t="str">
        <f aca="false">IF(N(E784)=0,"",IF(COUNTIFS(AK_NAMA,C784,AK_KAT,"KAS")+COUNTIFS(AK_NAMA,D784,AK_KAT,"KAS")&lt;&gt;1,"",IF(COUNTIFS(AK_NAMA,C784,AK_KAT,"KAS")=1,D784,C784)))</f>
        <v>Biaya Marketing &amp; Promosi</v>
      </c>
      <c r="M784" s="103" t="n">
        <f aca="false">IF(L784="",0,IF(L784=D784,E784,-E784))</f>
        <v>-74201</v>
      </c>
      <c r="N784" s="102" t="str">
        <f aca="false">IF(L784="","",IFERROR(INDEX(AK_BARIS,MATCH(L784,AK_NAMA,0)),"?"))</f>
        <v>OP6</v>
      </c>
      <c r="O784" s="102" t="str">
        <f aca="false">IF(C784="","",IFERROR(INDEX(AK_KEL,MATCH(C784,AK_NAMA,0)),"?"))</f>
        <v>BEBAN</v>
      </c>
      <c r="P784" s="102" t="str">
        <f aca="false">IF(D784="","",IFERROR(INDEX(AK_KEL,MATCH(D784,AK_NAMA,0)),"?"))</f>
        <v>ASET</v>
      </c>
      <c r="Q784" s="102" t="n">
        <f aca="false">N(Q783)+IF(AND(N(E784)&lt;&gt;0,K784=TAHUN,N(J784)&lt;=BLN,OR(C784=BB_AKUN,D784=BB_AKUN)),1,0)</f>
        <v>515</v>
      </c>
      <c r="R784" s="104" t="str">
        <f aca="false">IF(OR(C784&amp;D784="",N(E784)=0),"",IF(OR(O784="?",P784="?"),"⚠ akun tidak dikenal",IF(C784=D784,"⚠ debet = kredit","")))</f>
        <v/>
      </c>
    </row>
    <row r="785" customFormat="false" ht="15" hidden="false" customHeight="false" outlineLevel="0" collapsed="false">
      <c r="A785" s="82" t="s">
        <v>1771</v>
      </c>
      <c r="B785" s="101" t="n">
        <v>46184</v>
      </c>
      <c r="C785" s="82" t="s">
        <v>470</v>
      </c>
      <c r="D785" s="82" t="s">
        <v>461</v>
      </c>
      <c r="E785" s="91" t="n">
        <v>110000</v>
      </c>
      <c r="F785" s="82" t="s">
        <v>1772</v>
      </c>
      <c r="G785" s="82"/>
      <c r="H785" s="82"/>
      <c r="I785" s="82" t="s">
        <v>250</v>
      </c>
      <c r="J785" s="102" t="n">
        <f aca="false">IF(B785="","",MONTH(B785))</f>
        <v>6</v>
      </c>
      <c r="K785" s="102" t="n">
        <f aca="false">IF(B785="","",YEAR(B785))</f>
        <v>2026</v>
      </c>
      <c r="L785" s="102" t="str">
        <f aca="false">IF(N(E785)=0,"",IF(COUNTIFS(AK_NAMA,C785,AK_KAT,"KAS")+COUNTIFS(AK_NAMA,D785,AK_KAT,"KAS")&lt;&gt;1,"",IF(COUNTIFS(AK_NAMA,C785,AK_KAT,"KAS")=1,D785,C785)))</f>
        <v>Biaya Bahan Baku</v>
      </c>
      <c r="M785" s="103" t="n">
        <f aca="false">IF(L785="",0,IF(L785=D785,E785,-E785))</f>
        <v>-110000</v>
      </c>
      <c r="N785" s="102" t="str">
        <f aca="false">IF(L785="","",IFERROR(INDEX(AK_BARIS,MATCH(L785,AK_NAMA,0)),"?"))</f>
        <v>OP3</v>
      </c>
      <c r="O785" s="102" t="str">
        <f aca="false">IF(C785="","",IFERROR(INDEX(AK_KEL,MATCH(C785,AK_NAMA,0)),"?"))</f>
        <v>BEBAN</v>
      </c>
      <c r="P785" s="102" t="str">
        <f aca="false">IF(D785="","",IFERROR(INDEX(AK_KEL,MATCH(D785,AK_NAMA,0)),"?"))</f>
        <v>ASET</v>
      </c>
      <c r="Q785" s="102" t="n">
        <f aca="false">N(Q784)+IF(AND(N(E785)&lt;&gt;0,K785=TAHUN,N(J785)&lt;=BLN,OR(C785=BB_AKUN,D785=BB_AKUN)),1,0)</f>
        <v>516</v>
      </c>
      <c r="R785" s="104" t="str">
        <f aca="false">IF(OR(C785&amp;D785="",N(E785)=0),"",IF(OR(O785="?",P785="?"),"⚠ akun tidak dikenal",IF(C785=D785,"⚠ debet = kredit","")))</f>
        <v/>
      </c>
    </row>
    <row r="786" customFormat="false" ht="15" hidden="false" customHeight="false" outlineLevel="0" collapsed="false">
      <c r="A786" s="82" t="s">
        <v>1773</v>
      </c>
      <c r="B786" s="101" t="n">
        <v>46185</v>
      </c>
      <c r="C786" s="82" t="s">
        <v>460</v>
      </c>
      <c r="D786" s="82" t="s">
        <v>461</v>
      </c>
      <c r="E786" s="91" t="n">
        <v>37601</v>
      </c>
      <c r="F786" s="82" t="s">
        <v>1774</v>
      </c>
      <c r="G786" s="82" t="s">
        <v>389</v>
      </c>
      <c r="H786" s="82"/>
      <c r="I786" s="82" t="s">
        <v>250</v>
      </c>
      <c r="J786" s="102" t="n">
        <f aca="false">IF(B786="","",MONTH(B786))</f>
        <v>6</v>
      </c>
      <c r="K786" s="102" t="n">
        <f aca="false">IF(B786="","",YEAR(B786))</f>
        <v>2026</v>
      </c>
      <c r="L786" s="102" t="str">
        <f aca="false">IF(N(E786)=0,"",IF(COUNTIFS(AK_NAMA,C786,AK_KAT,"KAS")+COUNTIFS(AK_NAMA,D786,AK_KAT,"KAS")&lt;&gt;1,"",IF(COUNTIFS(AK_NAMA,C786,AK_KAT,"KAS")=1,D786,C786)))</f>
        <v>Biaya Marketing &amp; Promosi</v>
      </c>
      <c r="M786" s="103" t="n">
        <f aca="false">IF(L786="",0,IF(L786=D786,E786,-E786))</f>
        <v>-37601</v>
      </c>
      <c r="N786" s="102" t="str">
        <f aca="false">IF(L786="","",IFERROR(INDEX(AK_BARIS,MATCH(L786,AK_NAMA,0)),"?"))</f>
        <v>OP6</v>
      </c>
      <c r="O786" s="102" t="str">
        <f aca="false">IF(C786="","",IFERROR(INDEX(AK_KEL,MATCH(C786,AK_NAMA,0)),"?"))</f>
        <v>BEBAN</v>
      </c>
      <c r="P786" s="102" t="str">
        <f aca="false">IF(D786="","",IFERROR(INDEX(AK_KEL,MATCH(D786,AK_NAMA,0)),"?"))</f>
        <v>ASET</v>
      </c>
      <c r="Q786" s="102" t="n">
        <f aca="false">N(Q785)+IF(AND(N(E786)&lt;&gt;0,K786=TAHUN,N(J786)&lt;=BLN,OR(C786=BB_AKUN,D786=BB_AKUN)),1,0)</f>
        <v>517</v>
      </c>
      <c r="R786" s="104" t="str">
        <f aca="false">IF(OR(C786&amp;D786="",N(E786)=0),"",IF(OR(O786="?",P786="?"),"⚠ akun tidak dikenal",IF(C786=D786,"⚠ debet = kredit","")))</f>
        <v/>
      </c>
    </row>
    <row r="787" customFormat="false" ht="15" hidden="false" customHeight="false" outlineLevel="0" collapsed="false">
      <c r="A787" s="82" t="s">
        <v>1775</v>
      </c>
      <c r="B787" s="101" t="n">
        <v>46185</v>
      </c>
      <c r="C787" s="82" t="s">
        <v>470</v>
      </c>
      <c r="D787" s="82" t="s">
        <v>475</v>
      </c>
      <c r="E787" s="91" t="n">
        <v>146000</v>
      </c>
      <c r="F787" s="82" t="s">
        <v>1776</v>
      </c>
      <c r="G787" s="82"/>
      <c r="H787" s="82"/>
      <c r="I787" s="82" t="s">
        <v>250</v>
      </c>
      <c r="J787" s="102" t="n">
        <f aca="false">IF(B787="","",MONTH(B787))</f>
        <v>6</v>
      </c>
      <c r="K787" s="102" t="n">
        <f aca="false">IF(B787="","",YEAR(B787))</f>
        <v>2026</v>
      </c>
      <c r="L787" s="102" t="str">
        <f aca="false">IF(N(E787)=0,"",IF(COUNTIFS(AK_NAMA,C787,AK_KAT,"KAS")+COUNTIFS(AK_NAMA,D787,AK_KAT,"KAS")&lt;&gt;1,"",IF(COUNTIFS(AK_NAMA,C787,AK_KAT,"KAS")=1,D787,C787)))</f>
        <v>Biaya Bahan Baku</v>
      </c>
      <c r="M787" s="103" t="n">
        <f aca="false">IF(L787="",0,IF(L787=D787,E787,-E787))</f>
        <v>-146000</v>
      </c>
      <c r="N787" s="102" t="str">
        <f aca="false">IF(L787="","",IFERROR(INDEX(AK_BARIS,MATCH(L787,AK_NAMA,0)),"?"))</f>
        <v>OP3</v>
      </c>
      <c r="O787" s="102" t="str">
        <f aca="false">IF(C787="","",IFERROR(INDEX(AK_KEL,MATCH(C787,AK_NAMA,0)),"?"))</f>
        <v>BEBAN</v>
      </c>
      <c r="P787" s="102" t="str">
        <f aca="false">IF(D787="","",IFERROR(INDEX(AK_KEL,MATCH(D787,AK_NAMA,0)),"?"))</f>
        <v>ASET</v>
      </c>
      <c r="Q787" s="102" t="n">
        <f aca="false">N(Q786)+IF(AND(N(E787)&lt;&gt;0,K787=TAHUN,N(J787)&lt;=BLN,OR(C787=BB_AKUN,D787=BB_AKUN)),1,0)</f>
        <v>517</v>
      </c>
      <c r="R787" s="104" t="str">
        <f aca="false">IF(OR(C787&amp;D787="",N(E787)=0),"",IF(OR(O787="?",P787="?"),"⚠ akun tidak dikenal",IF(C787=D787,"⚠ debet = kredit","")))</f>
        <v/>
      </c>
    </row>
    <row r="788" customFormat="false" ht="15" hidden="false" customHeight="false" outlineLevel="0" collapsed="false">
      <c r="A788" s="82" t="s">
        <v>1777</v>
      </c>
      <c r="B788" s="101" t="n">
        <v>46185</v>
      </c>
      <c r="C788" s="82" t="s">
        <v>470</v>
      </c>
      <c r="D788" s="82" t="s">
        <v>475</v>
      </c>
      <c r="E788" s="91" t="n">
        <v>650000</v>
      </c>
      <c r="F788" s="82" t="s">
        <v>1778</v>
      </c>
      <c r="G788" s="82"/>
      <c r="H788" s="82"/>
      <c r="I788" s="82" t="s">
        <v>250</v>
      </c>
      <c r="J788" s="102" t="n">
        <f aca="false">IF(B788="","",MONTH(B788))</f>
        <v>6</v>
      </c>
      <c r="K788" s="102" t="n">
        <f aca="false">IF(B788="","",YEAR(B788))</f>
        <v>2026</v>
      </c>
      <c r="L788" s="102" t="str">
        <f aca="false">IF(N(E788)=0,"",IF(COUNTIFS(AK_NAMA,C788,AK_KAT,"KAS")+COUNTIFS(AK_NAMA,D788,AK_KAT,"KAS")&lt;&gt;1,"",IF(COUNTIFS(AK_NAMA,C788,AK_KAT,"KAS")=1,D788,C788)))</f>
        <v>Biaya Bahan Baku</v>
      </c>
      <c r="M788" s="103" t="n">
        <f aca="false">IF(L788="",0,IF(L788=D788,E788,-E788))</f>
        <v>-650000</v>
      </c>
      <c r="N788" s="102" t="str">
        <f aca="false">IF(L788="","",IFERROR(INDEX(AK_BARIS,MATCH(L788,AK_NAMA,0)),"?"))</f>
        <v>OP3</v>
      </c>
      <c r="O788" s="102" t="str">
        <f aca="false">IF(C788="","",IFERROR(INDEX(AK_KEL,MATCH(C788,AK_NAMA,0)),"?"))</f>
        <v>BEBAN</v>
      </c>
      <c r="P788" s="102" t="str">
        <f aca="false">IF(D788="","",IFERROR(INDEX(AK_KEL,MATCH(D788,AK_NAMA,0)),"?"))</f>
        <v>ASET</v>
      </c>
      <c r="Q788" s="102" t="n">
        <f aca="false">N(Q787)+IF(AND(N(E788)&lt;&gt;0,K788=TAHUN,N(J788)&lt;=BLN,OR(C788=BB_AKUN,D788=BB_AKUN)),1,0)</f>
        <v>517</v>
      </c>
      <c r="R788" s="104" t="str">
        <f aca="false">IF(OR(C788&amp;D788="",N(E788)=0),"",IF(OR(O788="?",P788="?"),"⚠ akun tidak dikenal",IF(C788=D788,"⚠ debet = kredit","")))</f>
        <v/>
      </c>
    </row>
    <row r="789" customFormat="false" ht="15" hidden="false" customHeight="false" outlineLevel="0" collapsed="false">
      <c r="A789" s="82" t="s">
        <v>1779</v>
      </c>
      <c r="B789" s="101" t="n">
        <v>46185</v>
      </c>
      <c r="C789" s="82" t="s">
        <v>475</v>
      </c>
      <c r="D789" s="82" t="s">
        <v>461</v>
      </c>
      <c r="E789" s="91" t="n">
        <v>51000</v>
      </c>
      <c r="F789" s="82" t="s">
        <v>1752</v>
      </c>
      <c r="G789" s="82"/>
      <c r="H789" s="82"/>
      <c r="I789" s="82" t="s">
        <v>250</v>
      </c>
      <c r="J789" s="102" t="n">
        <f aca="false">IF(B789="","",MONTH(B789))</f>
        <v>6</v>
      </c>
      <c r="K789" s="102" t="n">
        <f aca="false">IF(B789="","",YEAR(B789))</f>
        <v>2026</v>
      </c>
      <c r="L789" s="102" t="str">
        <f aca="false">IF(N(E789)=0,"",IF(COUNTIFS(AK_NAMA,C789,AK_KAT,"KAS")+COUNTIFS(AK_NAMA,D789,AK_KAT,"KAS")&lt;&gt;1,"",IF(COUNTIFS(AK_NAMA,C789,AK_KAT,"KAS")=1,D789,C789)))</f>
        <v/>
      </c>
      <c r="M789" s="103" t="n">
        <f aca="false">IF(L789="",0,IF(L789=D789,E789,-E789))</f>
        <v>0</v>
      </c>
      <c r="N789" s="102" t="str">
        <f aca="false">IF(L789="","",IFERROR(INDEX(AK_BARIS,MATCH(L789,AK_NAMA,0)),"?"))</f>
        <v/>
      </c>
      <c r="O789" s="102" t="str">
        <f aca="false">IF(C789="","",IFERROR(INDEX(AK_KEL,MATCH(C789,AK_NAMA,0)),"?"))</f>
        <v>ASET</v>
      </c>
      <c r="P789" s="102" t="str">
        <f aca="false">IF(D789="","",IFERROR(INDEX(AK_KEL,MATCH(D789,AK_NAMA,0)),"?"))</f>
        <v>ASET</v>
      </c>
      <c r="Q789" s="102" t="n">
        <f aca="false">N(Q788)+IF(AND(N(E789)&lt;&gt;0,K789=TAHUN,N(J789)&lt;=BLN,OR(C789=BB_AKUN,D789=BB_AKUN)),1,0)</f>
        <v>518</v>
      </c>
      <c r="R789" s="104" t="str">
        <f aca="false">IF(OR(C789&amp;D789="",N(E789)=0),"",IF(OR(O789="?",P789="?"),"⚠ akun tidak dikenal",IF(C789=D789,"⚠ debet = kredit","")))</f>
        <v/>
      </c>
    </row>
    <row r="790" customFormat="false" ht="15" hidden="false" customHeight="false" outlineLevel="0" collapsed="false">
      <c r="A790" s="82" t="s">
        <v>1780</v>
      </c>
      <c r="B790" s="101" t="n">
        <v>46186</v>
      </c>
      <c r="C790" s="82" t="s">
        <v>461</v>
      </c>
      <c r="D790" s="82" t="s">
        <v>475</v>
      </c>
      <c r="E790" s="91" t="n">
        <v>12000000</v>
      </c>
      <c r="F790" s="82" t="s">
        <v>1298</v>
      </c>
      <c r="G790" s="82"/>
      <c r="H790" s="82"/>
      <c r="I790" s="82" t="s">
        <v>250</v>
      </c>
      <c r="J790" s="102" t="n">
        <f aca="false">IF(B790="","",MONTH(B790))</f>
        <v>6</v>
      </c>
      <c r="K790" s="102" t="n">
        <f aca="false">IF(B790="","",YEAR(B790))</f>
        <v>2026</v>
      </c>
      <c r="L790" s="102" t="str">
        <f aca="false">IF(N(E790)=0,"",IF(COUNTIFS(AK_NAMA,C790,AK_KAT,"KAS")+COUNTIFS(AK_NAMA,D790,AK_KAT,"KAS")&lt;&gt;1,"",IF(COUNTIFS(AK_NAMA,C790,AK_KAT,"KAS")=1,D790,C790)))</f>
        <v/>
      </c>
      <c r="M790" s="103" t="n">
        <f aca="false">IF(L790="",0,IF(L790=D790,E790,-E790))</f>
        <v>0</v>
      </c>
      <c r="N790" s="102" t="str">
        <f aca="false">IF(L790="","",IFERROR(INDEX(AK_BARIS,MATCH(L790,AK_NAMA,0)),"?"))</f>
        <v/>
      </c>
      <c r="O790" s="102" t="str">
        <f aca="false">IF(C790="","",IFERROR(INDEX(AK_KEL,MATCH(C790,AK_NAMA,0)),"?"))</f>
        <v>ASET</v>
      </c>
      <c r="P790" s="102" t="str">
        <f aca="false">IF(D790="","",IFERROR(INDEX(AK_KEL,MATCH(D790,AK_NAMA,0)),"?"))</f>
        <v>ASET</v>
      </c>
      <c r="Q790" s="102" t="n">
        <f aca="false">N(Q789)+IF(AND(N(E790)&lt;&gt;0,K790=TAHUN,N(J790)&lt;=BLN,OR(C790=BB_AKUN,D790=BB_AKUN)),1,0)</f>
        <v>519</v>
      </c>
      <c r="R790" s="104" t="str">
        <f aca="false">IF(OR(C790&amp;D790="",N(E790)=0),"",IF(OR(O790="?",P790="?"),"⚠ akun tidak dikenal",IF(C790=D790,"⚠ debet = kredit","")))</f>
        <v/>
      </c>
    </row>
    <row r="791" customFormat="false" ht="15" hidden="false" customHeight="false" outlineLevel="0" collapsed="false">
      <c r="A791" s="82" t="s">
        <v>1781</v>
      </c>
      <c r="B791" s="101" t="n">
        <v>46186</v>
      </c>
      <c r="C791" s="82" t="s">
        <v>460</v>
      </c>
      <c r="D791" s="82" t="s">
        <v>461</v>
      </c>
      <c r="E791" s="91" t="n">
        <v>40000</v>
      </c>
      <c r="F791" s="82" t="s">
        <v>1782</v>
      </c>
      <c r="G791" s="82" t="s">
        <v>389</v>
      </c>
      <c r="H791" s="82"/>
      <c r="I791" s="82" t="s">
        <v>250</v>
      </c>
      <c r="J791" s="102" t="n">
        <f aca="false">IF(B791="","",MONTH(B791))</f>
        <v>6</v>
      </c>
      <c r="K791" s="102" t="n">
        <f aca="false">IF(B791="","",YEAR(B791))</f>
        <v>2026</v>
      </c>
      <c r="L791" s="102" t="str">
        <f aca="false">IF(N(E791)=0,"",IF(COUNTIFS(AK_NAMA,C791,AK_KAT,"KAS")+COUNTIFS(AK_NAMA,D791,AK_KAT,"KAS")&lt;&gt;1,"",IF(COUNTIFS(AK_NAMA,C791,AK_KAT,"KAS")=1,D791,C791)))</f>
        <v>Biaya Marketing &amp; Promosi</v>
      </c>
      <c r="M791" s="103" t="n">
        <f aca="false">IF(L791="",0,IF(L791=D791,E791,-E791))</f>
        <v>-40000</v>
      </c>
      <c r="N791" s="102" t="str">
        <f aca="false">IF(L791="","",IFERROR(INDEX(AK_BARIS,MATCH(L791,AK_NAMA,0)),"?"))</f>
        <v>OP6</v>
      </c>
      <c r="O791" s="102" t="str">
        <f aca="false">IF(C791="","",IFERROR(INDEX(AK_KEL,MATCH(C791,AK_NAMA,0)),"?"))</f>
        <v>BEBAN</v>
      </c>
      <c r="P791" s="102" t="str">
        <f aca="false">IF(D791="","",IFERROR(INDEX(AK_KEL,MATCH(D791,AK_NAMA,0)),"?"))</f>
        <v>ASET</v>
      </c>
      <c r="Q791" s="102" t="n">
        <f aca="false">N(Q790)+IF(AND(N(E791)&lt;&gt;0,K791=TAHUN,N(J791)&lt;=BLN,OR(C791=BB_AKUN,D791=BB_AKUN)),1,0)</f>
        <v>520</v>
      </c>
      <c r="R791" s="104" t="str">
        <f aca="false">IF(OR(C791&amp;D791="",N(E791)=0),"",IF(OR(O791="?",P791="?"),"⚠ akun tidak dikenal",IF(C791=D791,"⚠ debet = kredit","")))</f>
        <v/>
      </c>
    </row>
    <row r="792" customFormat="false" ht="15" hidden="false" customHeight="false" outlineLevel="0" collapsed="false">
      <c r="A792" s="82" t="s">
        <v>1783</v>
      </c>
      <c r="B792" s="101" t="n">
        <v>46186</v>
      </c>
      <c r="C792" s="82" t="s">
        <v>485</v>
      </c>
      <c r="D792" s="82" t="s">
        <v>461</v>
      </c>
      <c r="E792" s="91" t="n">
        <v>12500</v>
      </c>
      <c r="F792" s="82" t="s">
        <v>1784</v>
      </c>
      <c r="G792" s="82"/>
      <c r="H792" s="82"/>
      <c r="I792" s="82" t="s">
        <v>250</v>
      </c>
      <c r="J792" s="102" t="n">
        <f aca="false">IF(B792="","",MONTH(B792))</f>
        <v>6</v>
      </c>
      <c r="K792" s="102" t="n">
        <f aca="false">IF(B792="","",YEAR(B792))</f>
        <v>2026</v>
      </c>
      <c r="L792" s="102" t="str">
        <f aca="false">IF(N(E792)=0,"",IF(COUNTIFS(AK_NAMA,C792,AK_KAT,"KAS")+COUNTIFS(AK_NAMA,D792,AK_KAT,"KAS")&lt;&gt;1,"",IF(COUNTIFS(AK_NAMA,C792,AK_KAT,"KAS")=1,D792,C792)))</f>
        <v>Biaya Operasional Harian</v>
      </c>
      <c r="M792" s="103" t="n">
        <f aca="false">IF(L792="",0,IF(L792=D792,E792,-E792))</f>
        <v>-12500</v>
      </c>
      <c r="N792" s="102" t="str">
        <f aca="false">IF(L792="","",IFERROR(INDEX(AK_BARIS,MATCH(L792,AK_NAMA,0)),"?"))</f>
        <v>OP6</v>
      </c>
      <c r="O792" s="102" t="str">
        <f aca="false">IF(C792="","",IFERROR(INDEX(AK_KEL,MATCH(C792,AK_NAMA,0)),"?"))</f>
        <v>BEBAN</v>
      </c>
      <c r="P792" s="102" t="str">
        <f aca="false">IF(D792="","",IFERROR(INDEX(AK_KEL,MATCH(D792,AK_NAMA,0)),"?"))</f>
        <v>ASET</v>
      </c>
      <c r="Q792" s="102" t="n">
        <f aca="false">N(Q791)+IF(AND(N(E792)&lt;&gt;0,K792=TAHUN,N(J792)&lt;=BLN,OR(C792=BB_AKUN,D792=BB_AKUN)),1,0)</f>
        <v>521</v>
      </c>
      <c r="R792" s="104" t="str">
        <f aca="false">IF(OR(C792&amp;D792="",N(E792)=0),"",IF(OR(O792="?",P792="?"),"⚠ akun tidak dikenal",IF(C792=D792,"⚠ debet = kredit","")))</f>
        <v/>
      </c>
    </row>
    <row r="793" customFormat="false" ht="15" hidden="false" customHeight="false" outlineLevel="0" collapsed="false">
      <c r="A793" s="82" t="s">
        <v>1785</v>
      </c>
      <c r="B793" s="101" t="n">
        <v>46186</v>
      </c>
      <c r="C793" s="82" t="s">
        <v>524</v>
      </c>
      <c r="D793" s="82" t="s">
        <v>461</v>
      </c>
      <c r="E793" s="91" t="n">
        <v>1000</v>
      </c>
      <c r="F793" s="82" t="s">
        <v>1786</v>
      </c>
      <c r="G793" s="82"/>
      <c r="H793" s="82"/>
      <c r="I793" s="82" t="s">
        <v>250</v>
      </c>
      <c r="J793" s="102" t="n">
        <f aca="false">IF(B793="","",MONTH(B793))</f>
        <v>6</v>
      </c>
      <c r="K793" s="102" t="n">
        <f aca="false">IF(B793="","",YEAR(B793))</f>
        <v>2026</v>
      </c>
      <c r="L793" s="102" t="str">
        <f aca="false">IF(N(E793)=0,"",IF(COUNTIFS(AK_NAMA,C793,AK_KAT,"KAS")+COUNTIFS(AK_NAMA,D793,AK_KAT,"KAS")&lt;&gt;1,"",IF(COUNTIFS(AK_NAMA,C793,AK_KAT,"KAS")=1,D793,C793)))</f>
        <v>Biaya Lainnya</v>
      </c>
      <c r="M793" s="103" t="n">
        <f aca="false">IF(L793="",0,IF(L793=D793,E793,-E793))</f>
        <v>-1000</v>
      </c>
      <c r="N793" s="102" t="str">
        <f aca="false">IF(L793="","",IFERROR(INDEX(AK_BARIS,MATCH(L793,AK_NAMA,0)),"?"))</f>
        <v>OP2</v>
      </c>
      <c r="O793" s="102" t="str">
        <f aca="false">IF(C793="","",IFERROR(INDEX(AK_KEL,MATCH(C793,AK_NAMA,0)),"?"))</f>
        <v>BEBAN</v>
      </c>
      <c r="P793" s="102" t="str">
        <f aca="false">IF(D793="","",IFERROR(INDEX(AK_KEL,MATCH(D793,AK_NAMA,0)),"?"))</f>
        <v>ASET</v>
      </c>
      <c r="Q793" s="102" t="n">
        <f aca="false">N(Q792)+IF(AND(N(E793)&lt;&gt;0,K793=TAHUN,N(J793)&lt;=BLN,OR(C793=BB_AKUN,D793=BB_AKUN)),1,0)</f>
        <v>522</v>
      </c>
      <c r="R793" s="104" t="str">
        <f aca="false">IF(OR(C793&amp;D793="",N(E793)=0),"",IF(OR(O793="?",P793="?"),"⚠ akun tidak dikenal",IF(C793=D793,"⚠ debet = kredit","")))</f>
        <v/>
      </c>
    </row>
    <row r="794" customFormat="false" ht="15" hidden="false" customHeight="false" outlineLevel="0" collapsed="false">
      <c r="A794" s="82" t="s">
        <v>1787</v>
      </c>
      <c r="B794" s="101" t="n">
        <v>46186</v>
      </c>
      <c r="C794" s="82" t="s">
        <v>470</v>
      </c>
      <c r="D794" s="82" t="s">
        <v>461</v>
      </c>
      <c r="E794" s="91" t="n">
        <v>320000</v>
      </c>
      <c r="F794" s="82" t="s">
        <v>1788</v>
      </c>
      <c r="G794" s="82"/>
      <c r="H794" s="82"/>
      <c r="I794" s="82" t="s">
        <v>250</v>
      </c>
      <c r="J794" s="102" t="n">
        <f aca="false">IF(B794="","",MONTH(B794))</f>
        <v>6</v>
      </c>
      <c r="K794" s="102" t="n">
        <f aca="false">IF(B794="","",YEAR(B794))</f>
        <v>2026</v>
      </c>
      <c r="L794" s="102" t="str">
        <f aca="false">IF(N(E794)=0,"",IF(COUNTIFS(AK_NAMA,C794,AK_KAT,"KAS")+COUNTIFS(AK_NAMA,D794,AK_KAT,"KAS")&lt;&gt;1,"",IF(COUNTIFS(AK_NAMA,C794,AK_KAT,"KAS")=1,D794,C794)))</f>
        <v>Biaya Bahan Baku</v>
      </c>
      <c r="M794" s="103" t="n">
        <f aca="false">IF(L794="",0,IF(L794=D794,E794,-E794))</f>
        <v>-320000</v>
      </c>
      <c r="N794" s="102" t="str">
        <f aca="false">IF(L794="","",IFERROR(INDEX(AK_BARIS,MATCH(L794,AK_NAMA,0)),"?"))</f>
        <v>OP3</v>
      </c>
      <c r="O794" s="102" t="str">
        <f aca="false">IF(C794="","",IFERROR(INDEX(AK_KEL,MATCH(C794,AK_NAMA,0)),"?"))</f>
        <v>BEBAN</v>
      </c>
      <c r="P794" s="102" t="str">
        <f aca="false">IF(D794="","",IFERROR(INDEX(AK_KEL,MATCH(D794,AK_NAMA,0)),"?"))</f>
        <v>ASET</v>
      </c>
      <c r="Q794" s="102" t="n">
        <f aca="false">N(Q793)+IF(AND(N(E794)&lt;&gt;0,K794=TAHUN,N(J794)&lt;=BLN,OR(C794=BB_AKUN,D794=BB_AKUN)),1,0)</f>
        <v>523</v>
      </c>
      <c r="R794" s="104" t="str">
        <f aca="false">IF(OR(C794&amp;D794="",N(E794)=0),"",IF(OR(O794="?",P794="?"),"⚠ akun tidak dikenal",IF(C794=D794,"⚠ debet = kredit","")))</f>
        <v/>
      </c>
    </row>
    <row r="795" customFormat="false" ht="15" hidden="false" customHeight="false" outlineLevel="0" collapsed="false">
      <c r="A795" s="82" t="s">
        <v>1789</v>
      </c>
      <c r="B795" s="101" t="n">
        <v>46186</v>
      </c>
      <c r="C795" s="82" t="s">
        <v>524</v>
      </c>
      <c r="D795" s="82" t="s">
        <v>461</v>
      </c>
      <c r="E795" s="91" t="n">
        <v>396</v>
      </c>
      <c r="F795" s="82" t="s">
        <v>525</v>
      </c>
      <c r="G795" s="82"/>
      <c r="H795" s="82"/>
      <c r="I795" s="82" t="s">
        <v>250</v>
      </c>
      <c r="J795" s="102" t="n">
        <f aca="false">IF(B795="","",MONTH(B795))</f>
        <v>6</v>
      </c>
      <c r="K795" s="102" t="n">
        <f aca="false">IF(B795="","",YEAR(B795))</f>
        <v>2026</v>
      </c>
      <c r="L795" s="102" t="str">
        <f aca="false">IF(N(E795)=0,"",IF(COUNTIFS(AK_NAMA,C795,AK_KAT,"KAS")+COUNTIFS(AK_NAMA,D795,AK_KAT,"KAS")&lt;&gt;1,"",IF(COUNTIFS(AK_NAMA,C795,AK_KAT,"KAS")=1,D795,C795)))</f>
        <v>Biaya Lainnya</v>
      </c>
      <c r="M795" s="103" t="n">
        <f aca="false">IF(L795="",0,IF(L795=D795,E795,-E795))</f>
        <v>-396</v>
      </c>
      <c r="N795" s="102" t="str">
        <f aca="false">IF(L795="","",IFERROR(INDEX(AK_BARIS,MATCH(L795,AK_NAMA,0)),"?"))</f>
        <v>OP2</v>
      </c>
      <c r="O795" s="102" t="str">
        <f aca="false">IF(C795="","",IFERROR(INDEX(AK_KEL,MATCH(C795,AK_NAMA,0)),"?"))</f>
        <v>BEBAN</v>
      </c>
      <c r="P795" s="102" t="str">
        <f aca="false">IF(D795="","",IFERROR(INDEX(AK_KEL,MATCH(D795,AK_NAMA,0)),"?"))</f>
        <v>ASET</v>
      </c>
      <c r="Q795" s="102" t="n">
        <f aca="false">N(Q794)+IF(AND(N(E795)&lt;&gt;0,K795=TAHUN,N(J795)&lt;=BLN,OR(C795=BB_AKUN,D795=BB_AKUN)),1,0)</f>
        <v>524</v>
      </c>
      <c r="R795" s="104" t="str">
        <f aca="false">IF(OR(C795&amp;D795="",N(E795)=0),"",IF(OR(O795="?",P795="?"),"⚠ akun tidak dikenal",IF(C795=D795,"⚠ debet = kredit","")))</f>
        <v/>
      </c>
    </row>
    <row r="796" customFormat="false" ht="15" hidden="false" customHeight="false" outlineLevel="0" collapsed="false">
      <c r="A796" s="82" t="s">
        <v>1790</v>
      </c>
      <c r="B796" s="101" t="n">
        <v>46186</v>
      </c>
      <c r="C796" s="82" t="s">
        <v>486</v>
      </c>
      <c r="D796" s="82" t="s">
        <v>475</v>
      </c>
      <c r="E796" s="91" t="n">
        <v>500000</v>
      </c>
      <c r="F796" s="82" t="s">
        <v>1624</v>
      </c>
      <c r="G796" s="82"/>
      <c r="H796" s="82"/>
      <c r="I796" s="82" t="s">
        <v>250</v>
      </c>
      <c r="J796" s="102" t="n">
        <f aca="false">IF(B796="","",MONTH(B796))</f>
        <v>6</v>
      </c>
      <c r="K796" s="102" t="n">
        <f aca="false">IF(B796="","",YEAR(B796))</f>
        <v>2026</v>
      </c>
      <c r="L796" s="102" t="str">
        <f aca="false">IF(N(E796)=0,"",IF(COUNTIFS(AK_NAMA,C796,AK_KAT,"KAS")+COUNTIFS(AK_NAMA,D796,AK_KAT,"KAS")&lt;&gt;1,"",IF(COUNTIFS(AK_NAMA,C796,AK_KAT,"KAS")=1,D796,C796)))</f>
        <v/>
      </c>
      <c r="M796" s="103" t="n">
        <f aca="false">IF(L796="",0,IF(L796=D796,E796,-E796))</f>
        <v>0</v>
      </c>
      <c r="N796" s="102" t="str">
        <f aca="false">IF(L796="","",IFERROR(INDEX(AK_BARIS,MATCH(L796,AK_NAMA,0)),"?"))</f>
        <v/>
      </c>
      <c r="O796" s="102" t="str">
        <f aca="false">IF(C796="","",IFERROR(INDEX(AK_KEL,MATCH(C796,AK_NAMA,0)),"?"))</f>
        <v>ASET</v>
      </c>
      <c r="P796" s="102" t="str">
        <f aca="false">IF(D796="","",IFERROR(INDEX(AK_KEL,MATCH(D796,AK_NAMA,0)),"?"))</f>
        <v>ASET</v>
      </c>
      <c r="Q796" s="102" t="n">
        <f aca="false">N(Q795)+IF(AND(N(E796)&lt;&gt;0,K796=TAHUN,N(J796)&lt;=BLN,OR(C796=BB_AKUN,D796=BB_AKUN)),1,0)</f>
        <v>524</v>
      </c>
      <c r="R796" s="104" t="str">
        <f aca="false">IF(OR(C796&amp;D796="",N(E796)=0),"",IF(OR(O796="?",P796="?"),"⚠ akun tidak dikenal",IF(C796=D796,"⚠ debet = kredit","")))</f>
        <v/>
      </c>
    </row>
    <row r="797" customFormat="false" ht="15" hidden="false" customHeight="false" outlineLevel="0" collapsed="false">
      <c r="A797" s="82" t="s">
        <v>1791</v>
      </c>
      <c r="B797" s="101" t="n">
        <v>46189</v>
      </c>
      <c r="C797" s="82" t="s">
        <v>470</v>
      </c>
      <c r="D797" s="82" t="s">
        <v>486</v>
      </c>
      <c r="E797" s="91" t="n">
        <v>250000</v>
      </c>
      <c r="F797" s="82" t="s">
        <v>935</v>
      </c>
      <c r="G797" s="82"/>
      <c r="H797" s="82"/>
      <c r="I797" s="82" t="s">
        <v>250</v>
      </c>
      <c r="J797" s="102" t="n">
        <f aca="false">IF(B797="","",MONTH(B797))</f>
        <v>6</v>
      </c>
      <c r="K797" s="102" t="n">
        <f aca="false">IF(B797="","",YEAR(B797))</f>
        <v>2026</v>
      </c>
      <c r="L797" s="102" t="str">
        <f aca="false">IF(N(E797)=0,"",IF(COUNTIFS(AK_NAMA,C797,AK_KAT,"KAS")+COUNTIFS(AK_NAMA,D797,AK_KAT,"KAS")&lt;&gt;1,"",IF(COUNTIFS(AK_NAMA,C797,AK_KAT,"KAS")=1,D797,C797)))</f>
        <v>Biaya Bahan Baku</v>
      </c>
      <c r="M797" s="103" t="n">
        <f aca="false">IF(L797="",0,IF(L797=D797,E797,-E797))</f>
        <v>-250000</v>
      </c>
      <c r="N797" s="102" t="str">
        <f aca="false">IF(L797="","",IFERROR(INDEX(AK_BARIS,MATCH(L797,AK_NAMA,0)),"?"))</f>
        <v>OP3</v>
      </c>
      <c r="O797" s="102" t="str">
        <f aca="false">IF(C797="","",IFERROR(INDEX(AK_KEL,MATCH(C797,AK_NAMA,0)),"?"))</f>
        <v>BEBAN</v>
      </c>
      <c r="P797" s="102" t="str">
        <f aca="false">IF(D797="","",IFERROR(INDEX(AK_KEL,MATCH(D797,AK_NAMA,0)),"?"))</f>
        <v>ASET</v>
      </c>
      <c r="Q797" s="102" t="n">
        <f aca="false">N(Q796)+IF(AND(N(E797)&lt;&gt;0,K797=TAHUN,N(J797)&lt;=BLN,OR(C797=BB_AKUN,D797=BB_AKUN)),1,0)</f>
        <v>524</v>
      </c>
      <c r="R797" s="104" t="str">
        <f aca="false">IF(OR(C797&amp;D797="",N(E797)=0),"",IF(OR(O797="?",P797="?"),"⚠ akun tidak dikenal",IF(C797=D797,"⚠ debet = kredit","")))</f>
        <v/>
      </c>
    </row>
    <row r="798" customFormat="false" ht="15" hidden="false" customHeight="false" outlineLevel="0" collapsed="false">
      <c r="A798" s="82" t="s">
        <v>1792</v>
      </c>
      <c r="B798" s="101" t="n">
        <v>46189</v>
      </c>
      <c r="C798" s="82" t="s">
        <v>478</v>
      </c>
      <c r="D798" s="82" t="s">
        <v>486</v>
      </c>
      <c r="E798" s="91" t="n">
        <v>10000</v>
      </c>
      <c r="F798" s="82" t="s">
        <v>937</v>
      </c>
      <c r="G798" s="82"/>
      <c r="H798" s="82"/>
      <c r="I798" s="82" t="s">
        <v>250</v>
      </c>
      <c r="J798" s="102" t="n">
        <f aca="false">IF(B798="","",MONTH(B798))</f>
        <v>6</v>
      </c>
      <c r="K798" s="102" t="n">
        <f aca="false">IF(B798="","",YEAR(B798))</f>
        <v>2026</v>
      </c>
      <c r="L798" s="102" t="str">
        <f aca="false">IF(N(E798)=0,"",IF(COUNTIFS(AK_NAMA,C798,AK_KAT,"KAS")+COUNTIFS(AK_NAMA,D798,AK_KAT,"KAS")&lt;&gt;1,"",IF(COUNTIFS(AK_NAMA,C798,AK_KAT,"KAS")=1,D798,C798)))</f>
        <v>Biaya Penyajian</v>
      </c>
      <c r="M798" s="103" t="n">
        <f aca="false">IF(L798="",0,IF(L798=D798,E798,-E798))</f>
        <v>-10000</v>
      </c>
      <c r="N798" s="102" t="str">
        <f aca="false">IF(L798="","",IFERROR(INDEX(AK_BARIS,MATCH(L798,AK_NAMA,0)),"?"))</f>
        <v>OP3</v>
      </c>
      <c r="O798" s="102" t="str">
        <f aca="false">IF(C798="","",IFERROR(INDEX(AK_KEL,MATCH(C798,AK_NAMA,0)),"?"))</f>
        <v>BEBAN</v>
      </c>
      <c r="P798" s="102" t="str">
        <f aca="false">IF(D798="","",IFERROR(INDEX(AK_KEL,MATCH(D798,AK_NAMA,0)),"?"))</f>
        <v>ASET</v>
      </c>
      <c r="Q798" s="102" t="n">
        <f aca="false">N(Q797)+IF(AND(N(E798)&lt;&gt;0,K798=TAHUN,N(J798)&lt;=BLN,OR(C798=BB_AKUN,D798=BB_AKUN)),1,0)</f>
        <v>524</v>
      </c>
      <c r="R798" s="104" t="str">
        <f aca="false">IF(OR(C798&amp;D798="",N(E798)=0),"",IF(OR(O798="?",P798="?"),"⚠ akun tidak dikenal",IF(C798=D798,"⚠ debet = kredit","")))</f>
        <v/>
      </c>
    </row>
    <row r="799" customFormat="false" ht="15" hidden="false" customHeight="false" outlineLevel="0" collapsed="false">
      <c r="A799" s="82" t="s">
        <v>1793</v>
      </c>
      <c r="B799" s="101" t="n">
        <v>46189</v>
      </c>
      <c r="C799" s="82" t="s">
        <v>485</v>
      </c>
      <c r="D799" s="82" t="s">
        <v>486</v>
      </c>
      <c r="E799" s="91" t="n">
        <v>230000</v>
      </c>
      <c r="F799" s="82" t="s">
        <v>553</v>
      </c>
      <c r="G799" s="82"/>
      <c r="H799" s="82"/>
      <c r="I799" s="82" t="s">
        <v>250</v>
      </c>
      <c r="J799" s="102" t="n">
        <f aca="false">IF(B799="","",MONTH(B799))</f>
        <v>6</v>
      </c>
      <c r="K799" s="102" t="n">
        <f aca="false">IF(B799="","",YEAR(B799))</f>
        <v>2026</v>
      </c>
      <c r="L799" s="102" t="str">
        <f aca="false">IF(N(E799)=0,"",IF(COUNTIFS(AK_NAMA,C799,AK_KAT,"KAS")+COUNTIFS(AK_NAMA,D799,AK_KAT,"KAS")&lt;&gt;1,"",IF(COUNTIFS(AK_NAMA,C799,AK_KAT,"KAS")=1,D799,C799)))</f>
        <v>Biaya Operasional Harian</v>
      </c>
      <c r="M799" s="103" t="n">
        <f aca="false">IF(L799="",0,IF(L799=D799,E799,-E799))</f>
        <v>-230000</v>
      </c>
      <c r="N799" s="102" t="str">
        <f aca="false">IF(L799="","",IFERROR(INDEX(AK_BARIS,MATCH(L799,AK_NAMA,0)),"?"))</f>
        <v>OP6</v>
      </c>
      <c r="O799" s="102" t="str">
        <f aca="false">IF(C799="","",IFERROR(INDEX(AK_KEL,MATCH(C799,AK_NAMA,0)),"?"))</f>
        <v>BEBAN</v>
      </c>
      <c r="P799" s="102" t="str">
        <f aca="false">IF(D799="","",IFERROR(INDEX(AK_KEL,MATCH(D799,AK_NAMA,0)),"?"))</f>
        <v>ASET</v>
      </c>
      <c r="Q799" s="102" t="n">
        <f aca="false">N(Q798)+IF(AND(N(E799)&lt;&gt;0,K799=TAHUN,N(J799)&lt;=BLN,OR(C799=BB_AKUN,D799=BB_AKUN)),1,0)</f>
        <v>524</v>
      </c>
      <c r="R799" s="104" t="str">
        <f aca="false">IF(OR(C799&amp;D799="",N(E799)=0),"",IF(OR(O799="?",P799="?"),"⚠ akun tidak dikenal",IF(C799=D799,"⚠ debet = kredit","")))</f>
        <v/>
      </c>
    </row>
    <row r="800" customFormat="false" ht="15" hidden="false" customHeight="false" outlineLevel="0" collapsed="false">
      <c r="A800" s="82" t="s">
        <v>1794</v>
      </c>
      <c r="B800" s="101" t="n">
        <v>46189</v>
      </c>
      <c r="C800" s="82" t="s">
        <v>485</v>
      </c>
      <c r="D800" s="82" t="s">
        <v>486</v>
      </c>
      <c r="E800" s="91" t="n">
        <v>4000</v>
      </c>
      <c r="F800" s="82" t="s">
        <v>555</v>
      </c>
      <c r="G800" s="82"/>
      <c r="H800" s="82"/>
      <c r="I800" s="82" t="s">
        <v>250</v>
      </c>
      <c r="J800" s="102" t="n">
        <f aca="false">IF(B800="","",MONTH(B800))</f>
        <v>6</v>
      </c>
      <c r="K800" s="102" t="n">
        <f aca="false">IF(B800="","",YEAR(B800))</f>
        <v>2026</v>
      </c>
      <c r="L800" s="102" t="str">
        <f aca="false">IF(N(E800)=0,"",IF(COUNTIFS(AK_NAMA,C800,AK_KAT,"KAS")+COUNTIFS(AK_NAMA,D800,AK_KAT,"KAS")&lt;&gt;1,"",IF(COUNTIFS(AK_NAMA,C800,AK_KAT,"KAS")=1,D800,C800)))</f>
        <v>Biaya Operasional Harian</v>
      </c>
      <c r="M800" s="103" t="n">
        <f aca="false">IF(L800="",0,IF(L800=D800,E800,-E800))</f>
        <v>-4000</v>
      </c>
      <c r="N800" s="102" t="str">
        <f aca="false">IF(L800="","",IFERROR(INDEX(AK_BARIS,MATCH(L800,AK_NAMA,0)),"?"))</f>
        <v>OP6</v>
      </c>
      <c r="O800" s="102" t="str">
        <f aca="false">IF(C800="","",IFERROR(INDEX(AK_KEL,MATCH(C800,AK_NAMA,0)),"?"))</f>
        <v>BEBAN</v>
      </c>
      <c r="P800" s="102" t="str">
        <f aca="false">IF(D800="","",IFERROR(INDEX(AK_KEL,MATCH(D800,AK_NAMA,0)),"?"))</f>
        <v>ASET</v>
      </c>
      <c r="Q800" s="102" t="n">
        <f aca="false">N(Q799)+IF(AND(N(E800)&lt;&gt;0,K800=TAHUN,N(J800)&lt;=BLN,OR(C800=BB_AKUN,D800=BB_AKUN)),1,0)</f>
        <v>524</v>
      </c>
      <c r="R800" s="104" t="str">
        <f aca="false">IF(OR(C800&amp;D800="",N(E800)=0),"",IF(OR(O800="?",P800="?"),"⚠ akun tidak dikenal",IF(C800=D800,"⚠ debet = kredit","")))</f>
        <v/>
      </c>
    </row>
    <row r="801" customFormat="false" ht="15" hidden="false" customHeight="false" outlineLevel="0" collapsed="false">
      <c r="A801" s="82" t="s">
        <v>1795</v>
      </c>
      <c r="B801" s="101" t="n">
        <v>46189</v>
      </c>
      <c r="C801" s="82" t="s">
        <v>475</v>
      </c>
      <c r="D801" s="82" t="s">
        <v>486</v>
      </c>
      <c r="E801" s="91" t="n">
        <v>6000</v>
      </c>
      <c r="F801" s="82" t="s">
        <v>1142</v>
      </c>
      <c r="G801" s="82"/>
      <c r="H801" s="82"/>
      <c r="I801" s="82" t="s">
        <v>250</v>
      </c>
      <c r="J801" s="102" t="n">
        <f aca="false">IF(B801="","",MONTH(B801))</f>
        <v>6</v>
      </c>
      <c r="K801" s="102" t="n">
        <f aca="false">IF(B801="","",YEAR(B801))</f>
        <v>2026</v>
      </c>
      <c r="L801" s="102" t="str">
        <f aca="false">IF(N(E801)=0,"",IF(COUNTIFS(AK_NAMA,C801,AK_KAT,"KAS")+COUNTIFS(AK_NAMA,D801,AK_KAT,"KAS")&lt;&gt;1,"",IF(COUNTIFS(AK_NAMA,C801,AK_KAT,"KAS")=1,D801,C801)))</f>
        <v/>
      </c>
      <c r="M801" s="103" t="n">
        <f aca="false">IF(L801="",0,IF(L801=D801,E801,-E801))</f>
        <v>0</v>
      </c>
      <c r="N801" s="102" t="str">
        <f aca="false">IF(L801="","",IFERROR(INDEX(AK_BARIS,MATCH(L801,AK_NAMA,0)),"?"))</f>
        <v/>
      </c>
      <c r="O801" s="102" t="str">
        <f aca="false">IF(C801="","",IFERROR(INDEX(AK_KEL,MATCH(C801,AK_NAMA,0)),"?"))</f>
        <v>ASET</v>
      </c>
      <c r="P801" s="102" t="str">
        <f aca="false">IF(D801="","",IFERROR(INDEX(AK_KEL,MATCH(D801,AK_NAMA,0)),"?"))</f>
        <v>ASET</v>
      </c>
      <c r="Q801" s="102" t="n">
        <f aca="false">N(Q800)+IF(AND(N(E801)&lt;&gt;0,K801=TAHUN,N(J801)&lt;=BLN,OR(C801=BB_AKUN,D801=BB_AKUN)),1,0)</f>
        <v>524</v>
      </c>
      <c r="R801" s="104" t="str">
        <f aca="false">IF(OR(C801&amp;D801="",N(E801)=0),"",IF(OR(O801="?",P801="?"),"⚠ akun tidak dikenal",IF(C801=D801,"⚠ debet = kredit","")))</f>
        <v/>
      </c>
    </row>
    <row r="802" customFormat="false" ht="15" hidden="false" customHeight="false" outlineLevel="0" collapsed="false">
      <c r="A802" s="82" t="s">
        <v>1796</v>
      </c>
      <c r="B802" s="101" t="n">
        <v>46189</v>
      </c>
      <c r="C802" s="82" t="s">
        <v>470</v>
      </c>
      <c r="D802" s="82" t="s">
        <v>461</v>
      </c>
      <c r="E802" s="91" t="n">
        <v>240000</v>
      </c>
      <c r="F802" s="82" t="s">
        <v>1797</v>
      </c>
      <c r="G802" s="82"/>
      <c r="H802" s="82"/>
      <c r="I802" s="82" t="s">
        <v>250</v>
      </c>
      <c r="J802" s="102" t="n">
        <f aca="false">IF(B802="","",MONTH(B802))</f>
        <v>6</v>
      </c>
      <c r="K802" s="102" t="n">
        <f aca="false">IF(B802="","",YEAR(B802))</f>
        <v>2026</v>
      </c>
      <c r="L802" s="102" t="str">
        <f aca="false">IF(N(E802)=0,"",IF(COUNTIFS(AK_NAMA,C802,AK_KAT,"KAS")+COUNTIFS(AK_NAMA,D802,AK_KAT,"KAS")&lt;&gt;1,"",IF(COUNTIFS(AK_NAMA,C802,AK_KAT,"KAS")=1,D802,C802)))</f>
        <v>Biaya Bahan Baku</v>
      </c>
      <c r="M802" s="103" t="n">
        <f aca="false">IF(L802="",0,IF(L802=D802,E802,-E802))</f>
        <v>-240000</v>
      </c>
      <c r="N802" s="102" t="str">
        <f aca="false">IF(L802="","",IFERROR(INDEX(AK_BARIS,MATCH(L802,AK_NAMA,0)),"?"))</f>
        <v>OP3</v>
      </c>
      <c r="O802" s="102" t="str">
        <f aca="false">IF(C802="","",IFERROR(INDEX(AK_KEL,MATCH(C802,AK_NAMA,0)),"?"))</f>
        <v>BEBAN</v>
      </c>
      <c r="P802" s="102" t="str">
        <f aca="false">IF(D802="","",IFERROR(INDEX(AK_KEL,MATCH(D802,AK_NAMA,0)),"?"))</f>
        <v>ASET</v>
      </c>
      <c r="Q802" s="102" t="n">
        <f aca="false">N(Q801)+IF(AND(N(E802)&lt;&gt;0,K802=TAHUN,N(J802)&lt;=BLN,OR(C802=BB_AKUN,D802=BB_AKUN)),1,0)</f>
        <v>525</v>
      </c>
      <c r="R802" s="104" t="str">
        <f aca="false">IF(OR(C802&amp;D802="",N(E802)=0),"",IF(OR(O802="?",P802="?"),"⚠ akun tidak dikenal",IF(C802=D802,"⚠ debet = kredit","")))</f>
        <v/>
      </c>
    </row>
    <row r="803" customFormat="false" ht="15" hidden="false" customHeight="false" outlineLevel="0" collapsed="false">
      <c r="A803" s="82" t="s">
        <v>1798</v>
      </c>
      <c r="B803" s="101" t="n">
        <v>46190</v>
      </c>
      <c r="C803" s="82" t="s">
        <v>470</v>
      </c>
      <c r="D803" s="82" t="s">
        <v>461</v>
      </c>
      <c r="E803" s="91" t="n">
        <v>266000</v>
      </c>
      <c r="F803" s="82" t="s">
        <v>1729</v>
      </c>
      <c r="G803" s="82"/>
      <c r="H803" s="82"/>
      <c r="I803" s="82" t="s">
        <v>250</v>
      </c>
      <c r="J803" s="102" t="n">
        <f aca="false">IF(B803="","",MONTH(B803))</f>
        <v>6</v>
      </c>
      <c r="K803" s="102" t="n">
        <f aca="false">IF(B803="","",YEAR(B803))</f>
        <v>2026</v>
      </c>
      <c r="L803" s="102" t="str">
        <f aca="false">IF(N(E803)=0,"",IF(COUNTIFS(AK_NAMA,C803,AK_KAT,"KAS")+COUNTIFS(AK_NAMA,D803,AK_KAT,"KAS")&lt;&gt;1,"",IF(COUNTIFS(AK_NAMA,C803,AK_KAT,"KAS")=1,D803,C803)))</f>
        <v>Biaya Bahan Baku</v>
      </c>
      <c r="M803" s="103" t="n">
        <f aca="false">IF(L803="",0,IF(L803=D803,E803,-E803))</f>
        <v>-266000</v>
      </c>
      <c r="N803" s="102" t="str">
        <f aca="false">IF(L803="","",IFERROR(INDEX(AK_BARIS,MATCH(L803,AK_NAMA,0)),"?"))</f>
        <v>OP3</v>
      </c>
      <c r="O803" s="102" t="str">
        <f aca="false">IF(C803="","",IFERROR(INDEX(AK_KEL,MATCH(C803,AK_NAMA,0)),"?"))</f>
        <v>BEBAN</v>
      </c>
      <c r="P803" s="102" t="str">
        <f aca="false">IF(D803="","",IFERROR(INDEX(AK_KEL,MATCH(D803,AK_NAMA,0)),"?"))</f>
        <v>ASET</v>
      </c>
      <c r="Q803" s="102" t="n">
        <f aca="false">N(Q802)+IF(AND(N(E803)&lt;&gt;0,K803=TAHUN,N(J803)&lt;=BLN,OR(C803=BB_AKUN,D803=BB_AKUN)),1,0)</f>
        <v>526</v>
      </c>
      <c r="R803" s="104" t="str">
        <f aca="false">IF(OR(C803&amp;D803="",N(E803)=0),"",IF(OR(O803="?",P803="?"),"⚠ akun tidak dikenal",IF(C803=D803,"⚠ debet = kredit","")))</f>
        <v/>
      </c>
    </row>
    <row r="804" customFormat="false" ht="15" hidden="false" customHeight="false" outlineLevel="0" collapsed="false">
      <c r="A804" s="82" t="s">
        <v>1799</v>
      </c>
      <c r="B804" s="101" t="n">
        <v>46190</v>
      </c>
      <c r="C804" s="82" t="s">
        <v>461</v>
      </c>
      <c r="D804" s="82" t="s">
        <v>557</v>
      </c>
      <c r="E804" s="91" t="n">
        <v>2</v>
      </c>
      <c r="F804" s="82" t="s">
        <v>1172</v>
      </c>
      <c r="G804" s="82"/>
      <c r="H804" s="82"/>
      <c r="I804" s="82" t="s">
        <v>250</v>
      </c>
      <c r="J804" s="102" t="n">
        <f aca="false">IF(B804="","",MONTH(B804))</f>
        <v>6</v>
      </c>
      <c r="K804" s="102" t="n">
        <f aca="false">IF(B804="","",YEAR(B804))</f>
        <v>2026</v>
      </c>
      <c r="L804" s="102" t="str">
        <f aca="false">IF(N(E804)=0,"",IF(COUNTIFS(AK_NAMA,C804,AK_KAT,"KAS")+COUNTIFS(AK_NAMA,D804,AK_KAT,"KAS")&lt;&gt;1,"",IF(COUNTIFS(AK_NAMA,C804,AK_KAT,"KAS")=1,D804,C804)))</f>
        <v>Pendapatan Lainnya</v>
      </c>
      <c r="M804" s="103" t="n">
        <f aca="false">IF(L804="",0,IF(L804=D804,E804,-E804))</f>
        <v>2</v>
      </c>
      <c r="N804" s="102" t="str">
        <f aca="false">IF(L804="","",IFERROR(INDEX(AK_BARIS,MATCH(L804,AK_NAMA,0)),"?"))</f>
        <v>OP2</v>
      </c>
      <c r="O804" s="102" t="str">
        <f aca="false">IF(C804="","",IFERROR(INDEX(AK_KEL,MATCH(C804,AK_NAMA,0)),"?"))</f>
        <v>ASET</v>
      </c>
      <c r="P804" s="102" t="str">
        <f aca="false">IF(D804="","",IFERROR(INDEX(AK_KEL,MATCH(D804,AK_NAMA,0)),"?"))</f>
        <v>PENDAPATAN</v>
      </c>
      <c r="Q804" s="102" t="n">
        <f aca="false">N(Q803)+IF(AND(N(E804)&lt;&gt;0,K804=TAHUN,N(J804)&lt;=BLN,OR(C804=BB_AKUN,D804=BB_AKUN)),1,0)</f>
        <v>527</v>
      </c>
      <c r="R804" s="104" t="str">
        <f aca="false">IF(OR(C804&amp;D804="",N(E804)=0),"",IF(OR(O804="?",P804="?"),"⚠ akun tidak dikenal",IF(C804=D804,"⚠ debet = kredit","")))</f>
        <v/>
      </c>
    </row>
    <row r="805" customFormat="false" ht="15" hidden="false" customHeight="false" outlineLevel="0" collapsed="false">
      <c r="A805" s="82" t="s">
        <v>1800</v>
      </c>
      <c r="B805" s="101" t="n">
        <v>46190</v>
      </c>
      <c r="C805" s="82" t="s">
        <v>455</v>
      </c>
      <c r="D805" s="82" t="s">
        <v>461</v>
      </c>
      <c r="E805" s="91" t="n">
        <v>27000</v>
      </c>
      <c r="F805" s="82" t="s">
        <v>1801</v>
      </c>
      <c r="G805" s="82"/>
      <c r="H805" s="82"/>
      <c r="I805" s="82" t="s">
        <v>250</v>
      </c>
      <c r="J805" s="102" t="n">
        <f aca="false">IF(B805="","",MONTH(B805))</f>
        <v>6</v>
      </c>
      <c r="K805" s="102" t="n">
        <f aca="false">IF(B805="","",YEAR(B805))</f>
        <v>2026</v>
      </c>
      <c r="L805" s="102" t="str">
        <f aca="false">IF(N(E805)=0,"",IF(COUNTIFS(AK_NAMA,C805,AK_KAT,"KAS")+COUNTIFS(AK_NAMA,D805,AK_KAT,"KAS")&lt;&gt;1,"",IF(COUNTIFS(AK_NAMA,C805,AK_KAT,"KAS")=1,D805,C805)))</f>
        <v>Biaya Pemeliharaan</v>
      </c>
      <c r="M805" s="103" t="n">
        <f aca="false">IF(L805="",0,IF(L805=D805,E805,-E805))</f>
        <v>-27000</v>
      </c>
      <c r="N805" s="102" t="str">
        <f aca="false">IF(L805="","",IFERROR(INDEX(AK_BARIS,MATCH(L805,AK_NAMA,0)),"?"))</f>
        <v>OP6</v>
      </c>
      <c r="O805" s="102" t="str">
        <f aca="false">IF(C805="","",IFERROR(INDEX(AK_KEL,MATCH(C805,AK_NAMA,0)),"?"))</f>
        <v>BEBAN</v>
      </c>
      <c r="P805" s="102" t="str">
        <f aca="false">IF(D805="","",IFERROR(INDEX(AK_KEL,MATCH(D805,AK_NAMA,0)),"?"))</f>
        <v>ASET</v>
      </c>
      <c r="Q805" s="102" t="n">
        <f aca="false">N(Q804)+IF(AND(N(E805)&lt;&gt;0,K805=TAHUN,N(J805)&lt;=BLN,OR(C805=BB_AKUN,D805=BB_AKUN)),1,0)</f>
        <v>528</v>
      </c>
      <c r="R805" s="104" t="str">
        <f aca="false">IF(OR(C805&amp;D805="",N(E805)=0),"",IF(OR(O805="?",P805="?"),"⚠ akun tidak dikenal",IF(C805=D805,"⚠ debet = kredit","")))</f>
        <v/>
      </c>
    </row>
    <row r="806" customFormat="false" ht="15" hidden="false" customHeight="false" outlineLevel="0" collapsed="false">
      <c r="A806" s="82" t="s">
        <v>1802</v>
      </c>
      <c r="B806" s="101" t="n">
        <v>46190</v>
      </c>
      <c r="C806" s="82" t="s">
        <v>475</v>
      </c>
      <c r="D806" s="82" t="s">
        <v>461</v>
      </c>
      <c r="E806" s="91" t="n">
        <v>2000000</v>
      </c>
      <c r="F806" s="82" t="s">
        <v>928</v>
      </c>
      <c r="G806" s="82"/>
      <c r="H806" s="82"/>
      <c r="I806" s="82" t="s">
        <v>250</v>
      </c>
      <c r="J806" s="102" t="n">
        <f aca="false">IF(B806="","",MONTH(B806))</f>
        <v>6</v>
      </c>
      <c r="K806" s="102" t="n">
        <f aca="false">IF(B806="","",YEAR(B806))</f>
        <v>2026</v>
      </c>
      <c r="L806" s="102" t="str">
        <f aca="false">IF(N(E806)=0,"",IF(COUNTIFS(AK_NAMA,C806,AK_KAT,"KAS")+COUNTIFS(AK_NAMA,D806,AK_KAT,"KAS")&lt;&gt;1,"",IF(COUNTIFS(AK_NAMA,C806,AK_KAT,"KAS")=1,D806,C806)))</f>
        <v/>
      </c>
      <c r="M806" s="103" t="n">
        <f aca="false">IF(L806="",0,IF(L806=D806,E806,-E806))</f>
        <v>0</v>
      </c>
      <c r="N806" s="102" t="str">
        <f aca="false">IF(L806="","",IFERROR(INDEX(AK_BARIS,MATCH(L806,AK_NAMA,0)),"?"))</f>
        <v/>
      </c>
      <c r="O806" s="102" t="str">
        <f aca="false">IF(C806="","",IFERROR(INDEX(AK_KEL,MATCH(C806,AK_NAMA,0)),"?"))</f>
        <v>ASET</v>
      </c>
      <c r="P806" s="102" t="str">
        <f aca="false">IF(D806="","",IFERROR(INDEX(AK_KEL,MATCH(D806,AK_NAMA,0)),"?"))</f>
        <v>ASET</v>
      </c>
      <c r="Q806" s="102" t="n">
        <f aca="false">N(Q805)+IF(AND(N(E806)&lt;&gt;0,K806=TAHUN,N(J806)&lt;=BLN,OR(C806=BB_AKUN,D806=BB_AKUN)),1,0)</f>
        <v>529</v>
      </c>
      <c r="R806" s="104" t="str">
        <f aca="false">IF(OR(C806&amp;D806="",N(E806)=0),"",IF(OR(O806="?",P806="?"),"⚠ akun tidak dikenal",IF(C806=D806,"⚠ debet = kredit","")))</f>
        <v/>
      </c>
    </row>
    <row r="807" customFormat="false" ht="15" hidden="false" customHeight="false" outlineLevel="0" collapsed="false">
      <c r="A807" s="82" t="s">
        <v>1803</v>
      </c>
      <c r="B807" s="101" t="n">
        <v>46191</v>
      </c>
      <c r="C807" s="82" t="s">
        <v>455</v>
      </c>
      <c r="D807" s="82" t="s">
        <v>461</v>
      </c>
      <c r="E807" s="91" t="n">
        <v>380000</v>
      </c>
      <c r="F807" s="82" t="s">
        <v>1804</v>
      </c>
      <c r="G807" s="82"/>
      <c r="H807" s="82"/>
      <c r="I807" s="82" t="s">
        <v>250</v>
      </c>
      <c r="J807" s="102" t="n">
        <f aca="false">IF(B807="","",MONTH(B807))</f>
        <v>6</v>
      </c>
      <c r="K807" s="102" t="n">
        <f aca="false">IF(B807="","",YEAR(B807))</f>
        <v>2026</v>
      </c>
      <c r="L807" s="102" t="str">
        <f aca="false">IF(N(E807)=0,"",IF(COUNTIFS(AK_NAMA,C807,AK_KAT,"KAS")+COUNTIFS(AK_NAMA,D807,AK_KAT,"KAS")&lt;&gt;1,"",IF(COUNTIFS(AK_NAMA,C807,AK_KAT,"KAS")=1,D807,C807)))</f>
        <v>Biaya Pemeliharaan</v>
      </c>
      <c r="M807" s="103" t="n">
        <f aca="false">IF(L807="",0,IF(L807=D807,E807,-E807))</f>
        <v>-380000</v>
      </c>
      <c r="N807" s="102" t="str">
        <f aca="false">IF(L807="","",IFERROR(INDEX(AK_BARIS,MATCH(L807,AK_NAMA,0)),"?"))</f>
        <v>OP6</v>
      </c>
      <c r="O807" s="102" t="str">
        <f aca="false">IF(C807="","",IFERROR(INDEX(AK_KEL,MATCH(C807,AK_NAMA,0)),"?"))</f>
        <v>BEBAN</v>
      </c>
      <c r="P807" s="102" t="str">
        <f aca="false">IF(D807="","",IFERROR(INDEX(AK_KEL,MATCH(D807,AK_NAMA,0)),"?"))</f>
        <v>ASET</v>
      </c>
      <c r="Q807" s="102" t="n">
        <f aca="false">N(Q806)+IF(AND(N(E807)&lt;&gt;0,K807=TAHUN,N(J807)&lt;=BLN,OR(C807=BB_AKUN,D807=BB_AKUN)),1,0)</f>
        <v>530</v>
      </c>
      <c r="R807" s="104" t="str">
        <f aca="false">IF(OR(C807&amp;D807="",N(E807)=0),"",IF(OR(O807="?",P807="?"),"⚠ akun tidak dikenal",IF(C807=D807,"⚠ debet = kredit","")))</f>
        <v/>
      </c>
    </row>
    <row r="808" customFormat="false" ht="15" hidden="false" customHeight="false" outlineLevel="0" collapsed="false">
      <c r="A808" s="82" t="s">
        <v>1805</v>
      </c>
      <c r="B808" s="101" t="n">
        <v>46191</v>
      </c>
      <c r="C808" s="82" t="s">
        <v>470</v>
      </c>
      <c r="D808" s="82" t="s">
        <v>461</v>
      </c>
      <c r="E808" s="91" t="n">
        <v>7200000</v>
      </c>
      <c r="F808" s="82" t="s">
        <v>1806</v>
      </c>
      <c r="G808" s="82"/>
      <c r="H808" s="82"/>
      <c r="I808" s="82" t="s">
        <v>250</v>
      </c>
      <c r="J808" s="102" t="n">
        <f aca="false">IF(B808="","",MONTH(B808))</f>
        <v>6</v>
      </c>
      <c r="K808" s="102" t="n">
        <f aca="false">IF(B808="","",YEAR(B808))</f>
        <v>2026</v>
      </c>
      <c r="L808" s="102" t="str">
        <f aca="false">IF(N(E808)=0,"",IF(COUNTIFS(AK_NAMA,C808,AK_KAT,"KAS")+COUNTIFS(AK_NAMA,D808,AK_KAT,"KAS")&lt;&gt;1,"",IF(COUNTIFS(AK_NAMA,C808,AK_KAT,"KAS")=1,D808,C808)))</f>
        <v>Biaya Bahan Baku</v>
      </c>
      <c r="M808" s="103" t="n">
        <f aca="false">IF(L808="",0,IF(L808=D808,E808,-E808))</f>
        <v>-7200000</v>
      </c>
      <c r="N808" s="102" t="str">
        <f aca="false">IF(L808="","",IFERROR(INDEX(AK_BARIS,MATCH(L808,AK_NAMA,0)),"?"))</f>
        <v>OP3</v>
      </c>
      <c r="O808" s="102" t="str">
        <f aca="false">IF(C808="","",IFERROR(INDEX(AK_KEL,MATCH(C808,AK_NAMA,0)),"?"))</f>
        <v>BEBAN</v>
      </c>
      <c r="P808" s="102" t="str">
        <f aca="false">IF(D808="","",IFERROR(INDEX(AK_KEL,MATCH(D808,AK_NAMA,0)),"?"))</f>
        <v>ASET</v>
      </c>
      <c r="Q808" s="102" t="n">
        <f aca="false">N(Q807)+IF(AND(N(E808)&lt;&gt;0,K808=TAHUN,N(J808)&lt;=BLN,OR(C808=BB_AKUN,D808=BB_AKUN)),1,0)</f>
        <v>531</v>
      </c>
      <c r="R808" s="104" t="str">
        <f aca="false">IF(OR(C808&amp;D808="",N(E808)=0),"",IF(OR(O808="?",P808="?"),"⚠ akun tidak dikenal",IF(C808=D808,"⚠ debet = kredit","")))</f>
        <v/>
      </c>
    </row>
    <row r="809" customFormat="false" ht="15" hidden="false" customHeight="false" outlineLevel="0" collapsed="false">
      <c r="A809" s="82" t="s">
        <v>1807</v>
      </c>
      <c r="B809" s="101" t="n">
        <v>46192</v>
      </c>
      <c r="C809" s="82" t="s">
        <v>548</v>
      </c>
      <c r="D809" s="82" t="s">
        <v>461</v>
      </c>
      <c r="E809" s="91" t="n">
        <v>75000</v>
      </c>
      <c r="F809" s="82" t="s">
        <v>1808</v>
      </c>
      <c r="G809" s="82"/>
      <c r="H809" s="82"/>
      <c r="I809" s="82" t="s">
        <v>250</v>
      </c>
      <c r="J809" s="102" t="n">
        <f aca="false">IF(B809="","",MONTH(B809))</f>
        <v>6</v>
      </c>
      <c r="K809" s="102" t="n">
        <f aca="false">IF(B809="","",YEAR(B809))</f>
        <v>2026</v>
      </c>
      <c r="L809" s="102" t="str">
        <f aca="false">IF(N(E809)=0,"",IF(COUNTIFS(AK_NAMA,C809,AK_KAT,"KAS")+COUNTIFS(AK_NAMA,D809,AK_KAT,"KAS")&lt;&gt;1,"",IF(COUNTIFS(AK_NAMA,C809,AK_KAT,"KAS")=1,D809,C809)))</f>
        <v>Beban Perlengkapan</v>
      </c>
      <c r="M809" s="103" t="n">
        <f aca="false">IF(L809="",0,IF(L809=D809,E809,-E809))</f>
        <v>-75000</v>
      </c>
      <c r="N809" s="102" t="str">
        <f aca="false">IF(L809="","",IFERROR(INDEX(AK_BARIS,MATCH(L809,AK_NAMA,0)),"?"))</f>
        <v>OP6</v>
      </c>
      <c r="O809" s="102" t="str">
        <f aca="false">IF(C809="","",IFERROR(INDEX(AK_KEL,MATCH(C809,AK_NAMA,0)),"?"))</f>
        <v>BEBAN</v>
      </c>
      <c r="P809" s="102" t="str">
        <f aca="false">IF(D809="","",IFERROR(INDEX(AK_KEL,MATCH(D809,AK_NAMA,0)),"?"))</f>
        <v>ASET</v>
      </c>
      <c r="Q809" s="102" t="n">
        <f aca="false">N(Q808)+IF(AND(N(E809)&lt;&gt;0,K809=TAHUN,N(J809)&lt;=BLN,OR(C809=BB_AKUN,D809=BB_AKUN)),1,0)</f>
        <v>532</v>
      </c>
      <c r="R809" s="104" t="str">
        <f aca="false">IF(OR(C809&amp;D809="",N(E809)=0),"",IF(OR(O809="?",P809="?"),"⚠ akun tidak dikenal",IF(C809=D809,"⚠ debet = kredit","")))</f>
        <v/>
      </c>
    </row>
    <row r="810" customFormat="false" ht="15" hidden="false" customHeight="false" outlineLevel="0" collapsed="false">
      <c r="A810" s="82" t="s">
        <v>1809</v>
      </c>
      <c r="B810" s="101" t="n">
        <v>46192</v>
      </c>
      <c r="C810" s="82" t="s">
        <v>524</v>
      </c>
      <c r="D810" s="82" t="s">
        <v>461</v>
      </c>
      <c r="E810" s="91" t="n">
        <v>335</v>
      </c>
      <c r="F810" s="82" t="s">
        <v>525</v>
      </c>
      <c r="G810" s="82"/>
      <c r="H810" s="82"/>
      <c r="I810" s="82" t="s">
        <v>250</v>
      </c>
      <c r="J810" s="102" t="n">
        <f aca="false">IF(B810="","",MONTH(B810))</f>
        <v>6</v>
      </c>
      <c r="K810" s="102" t="n">
        <f aca="false">IF(B810="","",YEAR(B810))</f>
        <v>2026</v>
      </c>
      <c r="L810" s="102" t="str">
        <f aca="false">IF(N(E810)=0,"",IF(COUNTIFS(AK_NAMA,C810,AK_KAT,"KAS")+COUNTIFS(AK_NAMA,D810,AK_KAT,"KAS")&lt;&gt;1,"",IF(COUNTIFS(AK_NAMA,C810,AK_KAT,"KAS")=1,D810,C810)))</f>
        <v>Biaya Lainnya</v>
      </c>
      <c r="M810" s="103" t="n">
        <f aca="false">IF(L810="",0,IF(L810=D810,E810,-E810))</f>
        <v>-335</v>
      </c>
      <c r="N810" s="102" t="str">
        <f aca="false">IF(L810="","",IFERROR(INDEX(AK_BARIS,MATCH(L810,AK_NAMA,0)),"?"))</f>
        <v>OP2</v>
      </c>
      <c r="O810" s="102" t="str">
        <f aca="false">IF(C810="","",IFERROR(INDEX(AK_KEL,MATCH(C810,AK_NAMA,0)),"?"))</f>
        <v>BEBAN</v>
      </c>
      <c r="P810" s="102" t="str">
        <f aca="false">IF(D810="","",IFERROR(INDEX(AK_KEL,MATCH(D810,AK_NAMA,0)),"?"))</f>
        <v>ASET</v>
      </c>
      <c r="Q810" s="102" t="n">
        <f aca="false">N(Q809)+IF(AND(N(E810)&lt;&gt;0,K810=TAHUN,N(J810)&lt;=BLN,OR(C810=BB_AKUN,D810=BB_AKUN)),1,0)</f>
        <v>533</v>
      </c>
      <c r="R810" s="104" t="str">
        <f aca="false">IF(OR(C810&amp;D810="",N(E810)=0),"",IF(OR(O810="?",P810="?"),"⚠ akun tidak dikenal",IF(C810=D810,"⚠ debet = kredit","")))</f>
        <v/>
      </c>
    </row>
    <row r="811" customFormat="false" ht="15" hidden="false" customHeight="false" outlineLevel="0" collapsed="false">
      <c r="A811" s="82" t="s">
        <v>1810</v>
      </c>
      <c r="B811" s="101" t="n">
        <v>46193</v>
      </c>
      <c r="C811" s="82" t="s">
        <v>669</v>
      </c>
      <c r="D811" s="82" t="s">
        <v>461</v>
      </c>
      <c r="E811" s="91" t="n">
        <v>287490</v>
      </c>
      <c r="F811" s="82" t="s">
        <v>670</v>
      </c>
      <c r="G811" s="82"/>
      <c r="H811" s="82"/>
      <c r="I811" s="82" t="s">
        <v>250</v>
      </c>
      <c r="J811" s="102" t="n">
        <f aca="false">IF(B811="","",MONTH(B811))</f>
        <v>6</v>
      </c>
      <c r="K811" s="102" t="n">
        <f aca="false">IF(B811="","",YEAR(B811))</f>
        <v>2026</v>
      </c>
      <c r="L811" s="102" t="str">
        <f aca="false">IF(N(E811)=0,"",IF(COUNTIFS(AK_NAMA,C811,AK_KAT,"KAS")+COUNTIFS(AK_NAMA,D811,AK_KAT,"KAS")&lt;&gt;1,"",IF(COUNTIFS(AK_NAMA,C811,AK_KAT,"KAS")=1,D811,C811)))</f>
        <v>Biaya Tagihan Bulanan</v>
      </c>
      <c r="M811" s="103" t="n">
        <f aca="false">IF(L811="",0,IF(L811=D811,E811,-E811))</f>
        <v>-287490</v>
      </c>
      <c r="N811" s="102" t="str">
        <f aca="false">IF(L811="","",IFERROR(INDEX(AK_BARIS,MATCH(L811,AK_NAMA,0)),"?"))</f>
        <v>OP6</v>
      </c>
      <c r="O811" s="102" t="str">
        <f aca="false">IF(C811="","",IFERROR(INDEX(AK_KEL,MATCH(C811,AK_NAMA,0)),"?"))</f>
        <v>BEBAN</v>
      </c>
      <c r="P811" s="102" t="str">
        <f aca="false">IF(D811="","",IFERROR(INDEX(AK_KEL,MATCH(D811,AK_NAMA,0)),"?"))</f>
        <v>ASET</v>
      </c>
      <c r="Q811" s="102" t="n">
        <f aca="false">N(Q810)+IF(AND(N(E811)&lt;&gt;0,K811=TAHUN,N(J811)&lt;=BLN,OR(C811=BB_AKUN,D811=BB_AKUN)),1,0)</f>
        <v>534</v>
      </c>
      <c r="R811" s="104" t="str">
        <f aca="false">IF(OR(C811&amp;D811="",N(E811)=0),"",IF(OR(O811="?",P811="?"),"⚠ akun tidak dikenal",IF(C811=D811,"⚠ debet = kredit","")))</f>
        <v/>
      </c>
    </row>
    <row r="812" customFormat="false" ht="15" hidden="false" customHeight="false" outlineLevel="0" collapsed="false">
      <c r="A812" s="82" t="s">
        <v>1811</v>
      </c>
      <c r="B812" s="101" t="n">
        <v>46193</v>
      </c>
      <c r="C812" s="82" t="s">
        <v>486</v>
      </c>
      <c r="D812" s="82" t="s">
        <v>475</v>
      </c>
      <c r="E812" s="91" t="n">
        <v>1500000</v>
      </c>
      <c r="F812" s="82" t="s">
        <v>1812</v>
      </c>
      <c r="G812" s="82"/>
      <c r="H812" s="82"/>
      <c r="I812" s="82" t="s">
        <v>250</v>
      </c>
      <c r="J812" s="102" t="n">
        <f aca="false">IF(B812="","",MONTH(B812))</f>
        <v>6</v>
      </c>
      <c r="K812" s="102" t="n">
        <f aca="false">IF(B812="","",YEAR(B812))</f>
        <v>2026</v>
      </c>
      <c r="L812" s="102" t="str">
        <f aca="false">IF(N(E812)=0,"",IF(COUNTIFS(AK_NAMA,C812,AK_KAT,"KAS")+COUNTIFS(AK_NAMA,D812,AK_KAT,"KAS")&lt;&gt;1,"",IF(COUNTIFS(AK_NAMA,C812,AK_KAT,"KAS")=1,D812,C812)))</f>
        <v/>
      </c>
      <c r="M812" s="103" t="n">
        <f aca="false">IF(L812="",0,IF(L812=D812,E812,-E812))</f>
        <v>0</v>
      </c>
      <c r="N812" s="102" t="str">
        <f aca="false">IF(L812="","",IFERROR(INDEX(AK_BARIS,MATCH(L812,AK_NAMA,0)),"?"))</f>
        <v/>
      </c>
      <c r="O812" s="102" t="str">
        <f aca="false">IF(C812="","",IFERROR(INDEX(AK_KEL,MATCH(C812,AK_NAMA,0)),"?"))</f>
        <v>ASET</v>
      </c>
      <c r="P812" s="102" t="str">
        <f aca="false">IF(D812="","",IFERROR(INDEX(AK_KEL,MATCH(D812,AK_NAMA,0)),"?"))</f>
        <v>ASET</v>
      </c>
      <c r="Q812" s="102" t="n">
        <f aca="false">N(Q811)+IF(AND(N(E812)&lt;&gt;0,K812=TAHUN,N(J812)&lt;=BLN,OR(C812=BB_AKUN,D812=BB_AKUN)),1,0)</f>
        <v>534</v>
      </c>
      <c r="R812" s="104" t="str">
        <f aca="false">IF(OR(C812&amp;D812="",N(E812)=0),"",IF(OR(O812="?",P812="?"),"⚠ akun tidak dikenal",IF(C812=D812,"⚠ debet = kredit","")))</f>
        <v/>
      </c>
    </row>
    <row r="813" customFormat="false" ht="15" hidden="false" customHeight="false" outlineLevel="0" collapsed="false">
      <c r="A813" s="82" t="s">
        <v>1813</v>
      </c>
      <c r="B813" s="101" t="n">
        <v>46193</v>
      </c>
      <c r="C813" s="82" t="s">
        <v>470</v>
      </c>
      <c r="D813" s="82" t="s">
        <v>486</v>
      </c>
      <c r="E813" s="91" t="n">
        <v>276000</v>
      </c>
      <c r="F813" s="82" t="s">
        <v>935</v>
      </c>
      <c r="G813" s="82"/>
      <c r="H813" s="82"/>
      <c r="I813" s="82" t="s">
        <v>250</v>
      </c>
      <c r="J813" s="102" t="n">
        <f aca="false">IF(B813="","",MONTH(B813))</f>
        <v>6</v>
      </c>
      <c r="K813" s="102" t="n">
        <f aca="false">IF(B813="","",YEAR(B813))</f>
        <v>2026</v>
      </c>
      <c r="L813" s="102" t="str">
        <f aca="false">IF(N(E813)=0,"",IF(COUNTIFS(AK_NAMA,C813,AK_KAT,"KAS")+COUNTIFS(AK_NAMA,D813,AK_KAT,"KAS")&lt;&gt;1,"",IF(COUNTIFS(AK_NAMA,C813,AK_KAT,"KAS")=1,D813,C813)))</f>
        <v>Biaya Bahan Baku</v>
      </c>
      <c r="M813" s="103" t="n">
        <f aca="false">IF(L813="",0,IF(L813=D813,E813,-E813))</f>
        <v>-276000</v>
      </c>
      <c r="N813" s="102" t="str">
        <f aca="false">IF(L813="","",IFERROR(INDEX(AK_BARIS,MATCH(L813,AK_NAMA,0)),"?"))</f>
        <v>OP3</v>
      </c>
      <c r="O813" s="102" t="str">
        <f aca="false">IF(C813="","",IFERROR(INDEX(AK_KEL,MATCH(C813,AK_NAMA,0)),"?"))</f>
        <v>BEBAN</v>
      </c>
      <c r="P813" s="102" t="str">
        <f aca="false">IF(D813="","",IFERROR(INDEX(AK_KEL,MATCH(D813,AK_NAMA,0)),"?"))</f>
        <v>ASET</v>
      </c>
      <c r="Q813" s="102" t="n">
        <f aca="false">N(Q812)+IF(AND(N(E813)&lt;&gt;0,K813=TAHUN,N(J813)&lt;=BLN,OR(C813=BB_AKUN,D813=BB_AKUN)),1,0)</f>
        <v>534</v>
      </c>
      <c r="R813" s="104" t="str">
        <f aca="false">IF(OR(C813&amp;D813="",N(E813)=0),"",IF(OR(O813="?",P813="?"),"⚠ akun tidak dikenal",IF(C813=D813,"⚠ debet = kredit","")))</f>
        <v/>
      </c>
    </row>
    <row r="814" customFormat="false" ht="15" hidden="false" customHeight="false" outlineLevel="0" collapsed="false">
      <c r="A814" s="82" t="s">
        <v>1814</v>
      </c>
      <c r="B814" s="101" t="n">
        <v>46193</v>
      </c>
      <c r="C814" s="82" t="s">
        <v>478</v>
      </c>
      <c r="D814" s="82" t="s">
        <v>486</v>
      </c>
      <c r="E814" s="91" t="n">
        <v>100000</v>
      </c>
      <c r="F814" s="82" t="s">
        <v>937</v>
      </c>
      <c r="G814" s="82"/>
      <c r="H814" s="82"/>
      <c r="I814" s="82" t="s">
        <v>250</v>
      </c>
      <c r="J814" s="102" t="n">
        <f aca="false">IF(B814="","",MONTH(B814))</f>
        <v>6</v>
      </c>
      <c r="K814" s="102" t="n">
        <f aca="false">IF(B814="","",YEAR(B814))</f>
        <v>2026</v>
      </c>
      <c r="L814" s="102" t="str">
        <f aca="false">IF(N(E814)=0,"",IF(COUNTIFS(AK_NAMA,C814,AK_KAT,"KAS")+COUNTIFS(AK_NAMA,D814,AK_KAT,"KAS")&lt;&gt;1,"",IF(COUNTIFS(AK_NAMA,C814,AK_KAT,"KAS")=1,D814,C814)))</f>
        <v>Biaya Penyajian</v>
      </c>
      <c r="M814" s="103" t="n">
        <f aca="false">IF(L814="",0,IF(L814=D814,E814,-E814))</f>
        <v>-100000</v>
      </c>
      <c r="N814" s="102" t="str">
        <f aca="false">IF(L814="","",IFERROR(INDEX(AK_BARIS,MATCH(L814,AK_NAMA,0)),"?"))</f>
        <v>OP3</v>
      </c>
      <c r="O814" s="102" t="str">
        <f aca="false">IF(C814="","",IFERROR(INDEX(AK_KEL,MATCH(C814,AK_NAMA,0)),"?"))</f>
        <v>BEBAN</v>
      </c>
      <c r="P814" s="102" t="str">
        <f aca="false">IF(D814="","",IFERROR(INDEX(AK_KEL,MATCH(D814,AK_NAMA,0)),"?"))</f>
        <v>ASET</v>
      </c>
      <c r="Q814" s="102" t="n">
        <f aca="false">N(Q813)+IF(AND(N(E814)&lt;&gt;0,K814=TAHUN,N(J814)&lt;=BLN,OR(C814=BB_AKUN,D814=BB_AKUN)),1,0)</f>
        <v>534</v>
      </c>
      <c r="R814" s="104" t="str">
        <f aca="false">IF(OR(C814&amp;D814="",N(E814)=0),"",IF(OR(O814="?",P814="?"),"⚠ akun tidak dikenal",IF(C814=D814,"⚠ debet = kredit","")))</f>
        <v/>
      </c>
    </row>
    <row r="815" customFormat="false" ht="15" hidden="false" customHeight="false" outlineLevel="0" collapsed="false">
      <c r="A815" s="82" t="s">
        <v>1815</v>
      </c>
      <c r="B815" s="101" t="n">
        <v>46193</v>
      </c>
      <c r="C815" s="82" t="s">
        <v>485</v>
      </c>
      <c r="D815" s="82" t="s">
        <v>486</v>
      </c>
      <c r="E815" s="91" t="n">
        <v>200000</v>
      </c>
      <c r="F815" s="82" t="s">
        <v>553</v>
      </c>
      <c r="G815" s="82"/>
      <c r="H815" s="82"/>
      <c r="I815" s="82" t="s">
        <v>250</v>
      </c>
      <c r="J815" s="102" t="n">
        <f aca="false">IF(B815="","",MONTH(B815))</f>
        <v>6</v>
      </c>
      <c r="K815" s="102" t="n">
        <f aca="false">IF(B815="","",YEAR(B815))</f>
        <v>2026</v>
      </c>
      <c r="L815" s="102" t="str">
        <f aca="false">IF(N(E815)=0,"",IF(COUNTIFS(AK_NAMA,C815,AK_KAT,"KAS")+COUNTIFS(AK_NAMA,D815,AK_KAT,"KAS")&lt;&gt;1,"",IF(COUNTIFS(AK_NAMA,C815,AK_KAT,"KAS")=1,D815,C815)))</f>
        <v>Biaya Operasional Harian</v>
      </c>
      <c r="M815" s="103" t="n">
        <f aca="false">IF(L815="",0,IF(L815=D815,E815,-E815))</f>
        <v>-200000</v>
      </c>
      <c r="N815" s="102" t="str">
        <f aca="false">IF(L815="","",IFERROR(INDEX(AK_BARIS,MATCH(L815,AK_NAMA,0)),"?"))</f>
        <v>OP6</v>
      </c>
      <c r="O815" s="102" t="str">
        <f aca="false">IF(C815="","",IFERROR(INDEX(AK_KEL,MATCH(C815,AK_NAMA,0)),"?"))</f>
        <v>BEBAN</v>
      </c>
      <c r="P815" s="102" t="str">
        <f aca="false">IF(D815="","",IFERROR(INDEX(AK_KEL,MATCH(D815,AK_NAMA,0)),"?"))</f>
        <v>ASET</v>
      </c>
      <c r="Q815" s="102" t="n">
        <f aca="false">N(Q814)+IF(AND(N(E815)&lt;&gt;0,K815=TAHUN,N(J815)&lt;=BLN,OR(C815=BB_AKUN,D815=BB_AKUN)),1,0)</f>
        <v>534</v>
      </c>
      <c r="R815" s="104" t="str">
        <f aca="false">IF(OR(C815&amp;D815="",N(E815)=0),"",IF(OR(O815="?",P815="?"),"⚠ akun tidak dikenal",IF(C815=D815,"⚠ debet = kredit","")))</f>
        <v/>
      </c>
    </row>
    <row r="816" customFormat="false" ht="15" hidden="false" customHeight="false" outlineLevel="0" collapsed="false">
      <c r="A816" s="82" t="s">
        <v>1816</v>
      </c>
      <c r="B816" s="101" t="n">
        <v>46193</v>
      </c>
      <c r="C816" s="82" t="s">
        <v>485</v>
      </c>
      <c r="D816" s="82" t="s">
        <v>486</v>
      </c>
      <c r="E816" s="91" t="n">
        <v>2000</v>
      </c>
      <c r="F816" s="82" t="s">
        <v>555</v>
      </c>
      <c r="G816" s="82"/>
      <c r="H816" s="82"/>
      <c r="I816" s="82" t="s">
        <v>250</v>
      </c>
      <c r="J816" s="102" t="n">
        <f aca="false">IF(B816="","",MONTH(B816))</f>
        <v>6</v>
      </c>
      <c r="K816" s="102" t="n">
        <f aca="false">IF(B816="","",YEAR(B816))</f>
        <v>2026</v>
      </c>
      <c r="L816" s="102" t="str">
        <f aca="false">IF(N(E816)=0,"",IF(COUNTIFS(AK_NAMA,C816,AK_KAT,"KAS")+COUNTIFS(AK_NAMA,D816,AK_KAT,"KAS")&lt;&gt;1,"",IF(COUNTIFS(AK_NAMA,C816,AK_KAT,"KAS")=1,D816,C816)))</f>
        <v>Biaya Operasional Harian</v>
      </c>
      <c r="M816" s="103" t="n">
        <f aca="false">IF(L816="",0,IF(L816=D816,E816,-E816))</f>
        <v>-2000</v>
      </c>
      <c r="N816" s="102" t="str">
        <f aca="false">IF(L816="","",IFERROR(INDEX(AK_BARIS,MATCH(L816,AK_NAMA,0)),"?"))</f>
        <v>OP6</v>
      </c>
      <c r="O816" s="102" t="str">
        <f aca="false">IF(C816="","",IFERROR(INDEX(AK_KEL,MATCH(C816,AK_NAMA,0)),"?"))</f>
        <v>BEBAN</v>
      </c>
      <c r="P816" s="102" t="str">
        <f aca="false">IF(D816="","",IFERROR(INDEX(AK_KEL,MATCH(D816,AK_NAMA,0)),"?"))</f>
        <v>ASET</v>
      </c>
      <c r="Q816" s="102" t="n">
        <f aca="false">N(Q815)+IF(AND(N(E816)&lt;&gt;0,K816=TAHUN,N(J816)&lt;=BLN,OR(C816=BB_AKUN,D816=BB_AKUN)),1,0)</f>
        <v>534</v>
      </c>
      <c r="R816" s="104" t="str">
        <f aca="false">IF(OR(C816&amp;D816="",N(E816)=0),"",IF(OR(O816="?",P816="?"),"⚠ akun tidak dikenal",IF(C816=D816,"⚠ debet = kredit","")))</f>
        <v/>
      </c>
    </row>
    <row r="817" customFormat="false" ht="15" hidden="false" customHeight="false" outlineLevel="0" collapsed="false">
      <c r="A817" s="82" t="s">
        <v>1817</v>
      </c>
      <c r="B817" s="101" t="n">
        <v>46193</v>
      </c>
      <c r="C817" s="82" t="s">
        <v>475</v>
      </c>
      <c r="D817" s="82" t="s">
        <v>486</v>
      </c>
      <c r="E817" s="91" t="n">
        <v>22000</v>
      </c>
      <c r="F817" s="82" t="s">
        <v>1142</v>
      </c>
      <c r="G817" s="82"/>
      <c r="H817" s="82"/>
      <c r="I817" s="82" t="s">
        <v>250</v>
      </c>
      <c r="J817" s="102" t="n">
        <f aca="false">IF(B817="","",MONTH(B817))</f>
        <v>6</v>
      </c>
      <c r="K817" s="102" t="n">
        <f aca="false">IF(B817="","",YEAR(B817))</f>
        <v>2026</v>
      </c>
      <c r="L817" s="102" t="str">
        <f aca="false">IF(N(E817)=0,"",IF(COUNTIFS(AK_NAMA,C817,AK_KAT,"KAS")+COUNTIFS(AK_NAMA,D817,AK_KAT,"KAS")&lt;&gt;1,"",IF(COUNTIFS(AK_NAMA,C817,AK_KAT,"KAS")=1,D817,C817)))</f>
        <v/>
      </c>
      <c r="M817" s="103" t="n">
        <f aca="false">IF(L817="",0,IF(L817=D817,E817,-E817))</f>
        <v>0</v>
      </c>
      <c r="N817" s="102" t="str">
        <f aca="false">IF(L817="","",IFERROR(INDEX(AK_BARIS,MATCH(L817,AK_NAMA,0)),"?"))</f>
        <v/>
      </c>
      <c r="O817" s="102" t="str">
        <f aca="false">IF(C817="","",IFERROR(INDEX(AK_KEL,MATCH(C817,AK_NAMA,0)),"?"))</f>
        <v>ASET</v>
      </c>
      <c r="P817" s="102" t="str">
        <f aca="false">IF(D817="","",IFERROR(INDEX(AK_KEL,MATCH(D817,AK_NAMA,0)),"?"))</f>
        <v>ASET</v>
      </c>
      <c r="Q817" s="102" t="n">
        <f aca="false">N(Q816)+IF(AND(N(E817)&lt;&gt;0,K817=TAHUN,N(J817)&lt;=BLN,OR(C817=BB_AKUN,D817=BB_AKUN)),1,0)</f>
        <v>534</v>
      </c>
      <c r="R817" s="104" t="str">
        <f aca="false">IF(OR(C817&amp;D817="",N(E817)=0),"",IF(OR(O817="?",P817="?"),"⚠ akun tidak dikenal",IF(C817=D817,"⚠ debet = kredit","")))</f>
        <v/>
      </c>
    </row>
    <row r="818" customFormat="false" ht="15" hidden="false" customHeight="false" outlineLevel="0" collapsed="false">
      <c r="A818" s="82" t="s">
        <v>1818</v>
      </c>
      <c r="B818" s="101" t="n">
        <v>46195</v>
      </c>
      <c r="C818" s="82" t="s">
        <v>486</v>
      </c>
      <c r="D818" s="82" t="s">
        <v>461</v>
      </c>
      <c r="E818" s="91" t="n">
        <v>3000000</v>
      </c>
      <c r="F818" s="82" t="s">
        <v>1819</v>
      </c>
      <c r="G818" s="82"/>
      <c r="H818" s="82"/>
      <c r="I818" s="82" t="s">
        <v>250</v>
      </c>
      <c r="J818" s="102" t="n">
        <f aca="false">IF(B818="","",MONTH(B818))</f>
        <v>6</v>
      </c>
      <c r="K818" s="102" t="n">
        <f aca="false">IF(B818="","",YEAR(B818))</f>
        <v>2026</v>
      </c>
      <c r="L818" s="102" t="str">
        <f aca="false">IF(N(E818)=0,"",IF(COUNTIFS(AK_NAMA,C818,AK_KAT,"KAS")+COUNTIFS(AK_NAMA,D818,AK_KAT,"KAS")&lt;&gt;1,"",IF(COUNTIFS(AK_NAMA,C818,AK_KAT,"KAS")=1,D818,C818)))</f>
        <v/>
      </c>
      <c r="M818" s="103" t="n">
        <f aca="false">IF(L818="",0,IF(L818=D818,E818,-E818))</f>
        <v>0</v>
      </c>
      <c r="N818" s="102" t="str">
        <f aca="false">IF(L818="","",IFERROR(INDEX(AK_BARIS,MATCH(L818,AK_NAMA,0)),"?"))</f>
        <v/>
      </c>
      <c r="O818" s="102" t="str">
        <f aca="false">IF(C818="","",IFERROR(INDEX(AK_KEL,MATCH(C818,AK_NAMA,0)),"?"))</f>
        <v>ASET</v>
      </c>
      <c r="P818" s="102" t="str">
        <f aca="false">IF(D818="","",IFERROR(INDEX(AK_KEL,MATCH(D818,AK_NAMA,0)),"?"))</f>
        <v>ASET</v>
      </c>
      <c r="Q818" s="102" t="n">
        <f aca="false">N(Q817)+IF(AND(N(E818)&lt;&gt;0,K818=TAHUN,N(J818)&lt;=BLN,OR(C818=BB_AKUN,D818=BB_AKUN)),1,0)</f>
        <v>535</v>
      </c>
      <c r="R818" s="104" t="str">
        <f aca="false">IF(OR(C818&amp;D818="",N(E818)=0),"",IF(OR(O818="?",P818="?"),"⚠ akun tidak dikenal",IF(C818=D818,"⚠ debet = kredit","")))</f>
        <v/>
      </c>
    </row>
    <row r="819" customFormat="false" ht="15" hidden="false" customHeight="false" outlineLevel="0" collapsed="false">
      <c r="A819" s="82" t="s">
        <v>1820</v>
      </c>
      <c r="B819" s="101" t="n">
        <v>46195</v>
      </c>
      <c r="C819" s="82" t="s">
        <v>461</v>
      </c>
      <c r="D819" s="82" t="s">
        <v>475</v>
      </c>
      <c r="E819" s="91" t="n">
        <v>250000</v>
      </c>
      <c r="F819" s="82" t="s">
        <v>1538</v>
      </c>
      <c r="G819" s="82"/>
      <c r="H819" s="82"/>
      <c r="I819" s="82" t="s">
        <v>250</v>
      </c>
      <c r="J819" s="102" t="n">
        <f aca="false">IF(B819="","",MONTH(B819))</f>
        <v>6</v>
      </c>
      <c r="K819" s="102" t="n">
        <f aca="false">IF(B819="","",YEAR(B819))</f>
        <v>2026</v>
      </c>
      <c r="L819" s="102" t="str">
        <f aca="false">IF(N(E819)=0,"",IF(COUNTIFS(AK_NAMA,C819,AK_KAT,"KAS")+COUNTIFS(AK_NAMA,D819,AK_KAT,"KAS")&lt;&gt;1,"",IF(COUNTIFS(AK_NAMA,C819,AK_KAT,"KAS")=1,D819,C819)))</f>
        <v/>
      </c>
      <c r="M819" s="103" t="n">
        <f aca="false">IF(L819="",0,IF(L819=D819,E819,-E819))</f>
        <v>0</v>
      </c>
      <c r="N819" s="102" t="str">
        <f aca="false">IF(L819="","",IFERROR(INDEX(AK_BARIS,MATCH(L819,AK_NAMA,0)),"?"))</f>
        <v/>
      </c>
      <c r="O819" s="102" t="str">
        <f aca="false">IF(C819="","",IFERROR(INDEX(AK_KEL,MATCH(C819,AK_NAMA,0)),"?"))</f>
        <v>ASET</v>
      </c>
      <c r="P819" s="102" t="str">
        <f aca="false">IF(D819="","",IFERROR(INDEX(AK_KEL,MATCH(D819,AK_NAMA,0)),"?"))</f>
        <v>ASET</v>
      </c>
      <c r="Q819" s="102" t="n">
        <f aca="false">N(Q818)+IF(AND(N(E819)&lt;&gt;0,K819=TAHUN,N(J819)&lt;=BLN,OR(C819=BB_AKUN,D819=BB_AKUN)),1,0)</f>
        <v>536</v>
      </c>
      <c r="R819" s="104" t="str">
        <f aca="false">IF(OR(C819&amp;D819="",N(E819)=0),"",IF(OR(O819="?",P819="?"),"⚠ akun tidak dikenal",IF(C819=D819,"⚠ debet = kredit","")))</f>
        <v/>
      </c>
    </row>
    <row r="820" customFormat="false" ht="15" hidden="false" customHeight="false" outlineLevel="0" collapsed="false">
      <c r="A820" s="82" t="s">
        <v>1821</v>
      </c>
      <c r="B820" s="101" t="n">
        <v>46195</v>
      </c>
      <c r="C820" s="82" t="s">
        <v>524</v>
      </c>
      <c r="D820" s="82" t="s">
        <v>461</v>
      </c>
      <c r="E820" s="91" t="n">
        <v>348</v>
      </c>
      <c r="F820" s="82" t="s">
        <v>525</v>
      </c>
      <c r="G820" s="82"/>
      <c r="H820" s="82"/>
      <c r="I820" s="82" t="s">
        <v>250</v>
      </c>
      <c r="J820" s="102" t="n">
        <f aca="false">IF(B820="","",MONTH(B820))</f>
        <v>6</v>
      </c>
      <c r="K820" s="102" t="n">
        <f aca="false">IF(B820="","",YEAR(B820))</f>
        <v>2026</v>
      </c>
      <c r="L820" s="102" t="str">
        <f aca="false">IF(N(E820)=0,"",IF(COUNTIFS(AK_NAMA,C820,AK_KAT,"KAS")+COUNTIFS(AK_NAMA,D820,AK_KAT,"KAS")&lt;&gt;1,"",IF(COUNTIFS(AK_NAMA,C820,AK_KAT,"KAS")=1,D820,C820)))</f>
        <v>Biaya Lainnya</v>
      </c>
      <c r="M820" s="103" t="n">
        <f aca="false">IF(L820="",0,IF(L820=D820,E820,-E820))</f>
        <v>-348</v>
      </c>
      <c r="N820" s="102" t="str">
        <f aca="false">IF(L820="","",IFERROR(INDEX(AK_BARIS,MATCH(L820,AK_NAMA,0)),"?"))</f>
        <v>OP2</v>
      </c>
      <c r="O820" s="102" t="str">
        <f aca="false">IF(C820="","",IFERROR(INDEX(AK_KEL,MATCH(C820,AK_NAMA,0)),"?"))</f>
        <v>BEBAN</v>
      </c>
      <c r="P820" s="102" t="str">
        <f aca="false">IF(D820="","",IFERROR(INDEX(AK_KEL,MATCH(D820,AK_NAMA,0)),"?"))</f>
        <v>ASET</v>
      </c>
      <c r="Q820" s="102" t="n">
        <f aca="false">N(Q819)+IF(AND(N(E820)&lt;&gt;0,K820=TAHUN,N(J820)&lt;=BLN,OR(C820=BB_AKUN,D820=BB_AKUN)),1,0)</f>
        <v>537</v>
      </c>
      <c r="R820" s="104" t="str">
        <f aca="false">IF(OR(C820&amp;D820="",N(E820)=0),"",IF(OR(O820="?",P820="?"),"⚠ akun tidak dikenal",IF(C820=D820,"⚠ debet = kredit","")))</f>
        <v/>
      </c>
    </row>
    <row r="821" customFormat="false" ht="15" hidden="false" customHeight="false" outlineLevel="0" collapsed="false">
      <c r="A821" s="82" t="s">
        <v>1822</v>
      </c>
      <c r="B821" s="101" t="n">
        <v>46195</v>
      </c>
      <c r="C821" s="82" t="s">
        <v>470</v>
      </c>
      <c r="D821" s="82" t="s">
        <v>461</v>
      </c>
      <c r="E821" s="91" t="n">
        <v>140000</v>
      </c>
      <c r="F821" s="82" t="s">
        <v>1823</v>
      </c>
      <c r="G821" s="82"/>
      <c r="H821" s="82"/>
      <c r="I821" s="82" t="s">
        <v>250</v>
      </c>
      <c r="J821" s="102" t="n">
        <f aca="false">IF(B821="","",MONTH(B821))</f>
        <v>6</v>
      </c>
      <c r="K821" s="102" t="n">
        <f aca="false">IF(B821="","",YEAR(B821))</f>
        <v>2026</v>
      </c>
      <c r="L821" s="102" t="str">
        <f aca="false">IF(N(E821)=0,"",IF(COUNTIFS(AK_NAMA,C821,AK_KAT,"KAS")+COUNTIFS(AK_NAMA,D821,AK_KAT,"KAS")&lt;&gt;1,"",IF(COUNTIFS(AK_NAMA,C821,AK_KAT,"KAS")=1,D821,C821)))</f>
        <v>Biaya Bahan Baku</v>
      </c>
      <c r="M821" s="103" t="n">
        <f aca="false">IF(L821="",0,IF(L821=D821,E821,-E821))</f>
        <v>-140000</v>
      </c>
      <c r="N821" s="102" t="str">
        <f aca="false">IF(L821="","",IFERROR(INDEX(AK_BARIS,MATCH(L821,AK_NAMA,0)),"?"))</f>
        <v>OP3</v>
      </c>
      <c r="O821" s="102" t="str">
        <f aca="false">IF(C821="","",IFERROR(INDEX(AK_KEL,MATCH(C821,AK_NAMA,0)),"?"))</f>
        <v>BEBAN</v>
      </c>
      <c r="P821" s="102" t="str">
        <f aca="false">IF(D821="","",IFERROR(INDEX(AK_KEL,MATCH(D821,AK_NAMA,0)),"?"))</f>
        <v>ASET</v>
      </c>
      <c r="Q821" s="102" t="n">
        <f aca="false">N(Q820)+IF(AND(N(E821)&lt;&gt;0,K821=TAHUN,N(J821)&lt;=BLN,OR(C821=BB_AKUN,D821=BB_AKUN)),1,0)</f>
        <v>538</v>
      </c>
      <c r="R821" s="104" t="str">
        <f aca="false">IF(OR(C821&amp;D821="",N(E821)=0),"",IF(OR(O821="?",P821="?"),"⚠ akun tidak dikenal",IF(C821=D821,"⚠ debet = kredit","")))</f>
        <v/>
      </c>
    </row>
    <row r="822" customFormat="false" ht="15" hidden="false" customHeight="false" outlineLevel="0" collapsed="false">
      <c r="A822" s="82" t="s">
        <v>1824</v>
      </c>
      <c r="B822" s="101" t="n">
        <v>46195</v>
      </c>
      <c r="C822" s="82" t="s">
        <v>548</v>
      </c>
      <c r="D822" s="82" t="s">
        <v>461</v>
      </c>
      <c r="E822" s="91" t="n">
        <v>290000</v>
      </c>
      <c r="F822" s="82" t="s">
        <v>1825</v>
      </c>
      <c r="G822" s="82"/>
      <c r="H822" s="82"/>
      <c r="I822" s="82" t="s">
        <v>250</v>
      </c>
      <c r="J822" s="102" t="n">
        <f aca="false">IF(B822="","",MONTH(B822))</f>
        <v>6</v>
      </c>
      <c r="K822" s="102" t="n">
        <f aca="false">IF(B822="","",YEAR(B822))</f>
        <v>2026</v>
      </c>
      <c r="L822" s="102" t="str">
        <f aca="false">IF(N(E822)=0,"",IF(COUNTIFS(AK_NAMA,C822,AK_KAT,"KAS")+COUNTIFS(AK_NAMA,D822,AK_KAT,"KAS")&lt;&gt;1,"",IF(COUNTIFS(AK_NAMA,C822,AK_KAT,"KAS")=1,D822,C822)))</f>
        <v>Beban Perlengkapan</v>
      </c>
      <c r="M822" s="103" t="n">
        <f aca="false">IF(L822="",0,IF(L822=D822,E822,-E822))</f>
        <v>-290000</v>
      </c>
      <c r="N822" s="102" t="str">
        <f aca="false">IF(L822="","",IFERROR(INDEX(AK_BARIS,MATCH(L822,AK_NAMA,0)),"?"))</f>
        <v>OP6</v>
      </c>
      <c r="O822" s="102" t="str">
        <f aca="false">IF(C822="","",IFERROR(INDEX(AK_KEL,MATCH(C822,AK_NAMA,0)),"?"))</f>
        <v>BEBAN</v>
      </c>
      <c r="P822" s="102" t="str">
        <f aca="false">IF(D822="","",IFERROR(INDEX(AK_KEL,MATCH(D822,AK_NAMA,0)),"?"))</f>
        <v>ASET</v>
      </c>
      <c r="Q822" s="102" t="n">
        <f aca="false">N(Q821)+IF(AND(N(E822)&lt;&gt;0,K822=TAHUN,N(J822)&lt;=BLN,OR(C822=BB_AKUN,D822=BB_AKUN)),1,0)</f>
        <v>539</v>
      </c>
      <c r="R822" s="104" t="str">
        <f aca="false">IF(OR(C822&amp;D822="",N(E822)=0),"",IF(OR(O822="?",P822="?"),"⚠ akun tidak dikenal",IF(C822=D822,"⚠ debet = kredit","")))</f>
        <v/>
      </c>
    </row>
    <row r="823" customFormat="false" ht="15" hidden="false" customHeight="false" outlineLevel="0" collapsed="false">
      <c r="A823" s="82" t="s">
        <v>1826</v>
      </c>
      <c r="B823" s="101" t="n">
        <v>46195</v>
      </c>
      <c r="C823" s="82" t="s">
        <v>548</v>
      </c>
      <c r="D823" s="82" t="s">
        <v>461</v>
      </c>
      <c r="E823" s="91" t="n">
        <v>336010</v>
      </c>
      <c r="F823" s="82" t="s">
        <v>1827</v>
      </c>
      <c r="G823" s="82"/>
      <c r="H823" s="82"/>
      <c r="I823" s="82" t="s">
        <v>250</v>
      </c>
      <c r="J823" s="102" t="n">
        <f aca="false">IF(B823="","",MONTH(B823))</f>
        <v>6</v>
      </c>
      <c r="K823" s="102" t="n">
        <f aca="false">IF(B823="","",YEAR(B823))</f>
        <v>2026</v>
      </c>
      <c r="L823" s="102" t="str">
        <f aca="false">IF(N(E823)=0,"",IF(COUNTIFS(AK_NAMA,C823,AK_KAT,"KAS")+COUNTIFS(AK_NAMA,D823,AK_KAT,"KAS")&lt;&gt;1,"",IF(COUNTIFS(AK_NAMA,C823,AK_KAT,"KAS")=1,D823,C823)))</f>
        <v>Beban Perlengkapan</v>
      </c>
      <c r="M823" s="103" t="n">
        <f aca="false">IF(L823="",0,IF(L823=D823,E823,-E823))</f>
        <v>-336010</v>
      </c>
      <c r="N823" s="102" t="str">
        <f aca="false">IF(L823="","",IFERROR(INDEX(AK_BARIS,MATCH(L823,AK_NAMA,0)),"?"))</f>
        <v>OP6</v>
      </c>
      <c r="O823" s="102" t="str">
        <f aca="false">IF(C823="","",IFERROR(INDEX(AK_KEL,MATCH(C823,AK_NAMA,0)),"?"))</f>
        <v>BEBAN</v>
      </c>
      <c r="P823" s="102" t="str">
        <f aca="false">IF(D823="","",IFERROR(INDEX(AK_KEL,MATCH(D823,AK_NAMA,0)),"?"))</f>
        <v>ASET</v>
      </c>
      <c r="Q823" s="102" t="n">
        <f aca="false">N(Q822)+IF(AND(N(E823)&lt;&gt;0,K823=TAHUN,N(J823)&lt;=BLN,OR(C823=BB_AKUN,D823=BB_AKUN)),1,0)</f>
        <v>540</v>
      </c>
      <c r="R823" s="104" t="str">
        <f aca="false">IF(OR(C823&amp;D823="",N(E823)=0),"",IF(OR(O823="?",P823="?"),"⚠ akun tidak dikenal",IF(C823=D823,"⚠ debet = kredit","")))</f>
        <v/>
      </c>
    </row>
    <row r="824" customFormat="false" ht="15" hidden="false" customHeight="false" outlineLevel="0" collapsed="false">
      <c r="A824" s="82" t="s">
        <v>1828</v>
      </c>
      <c r="B824" s="101" t="n">
        <v>46196</v>
      </c>
      <c r="C824" s="82" t="s">
        <v>672</v>
      </c>
      <c r="D824" s="82" t="s">
        <v>461</v>
      </c>
      <c r="E824" s="91" t="n">
        <v>1891980</v>
      </c>
      <c r="F824" s="82" t="s">
        <v>1163</v>
      </c>
      <c r="G824" s="82"/>
      <c r="H824" s="82"/>
      <c r="I824" s="82" t="s">
        <v>250</v>
      </c>
      <c r="J824" s="102" t="n">
        <f aca="false">IF(B824="","",MONTH(B824))</f>
        <v>6</v>
      </c>
      <c r="K824" s="102" t="n">
        <f aca="false">IF(B824="","",YEAR(B824))</f>
        <v>2026</v>
      </c>
      <c r="L824" s="102" t="str">
        <f aca="false">IF(N(E824)=0,"",IF(COUNTIFS(AK_NAMA,C824,AK_KAT,"KAS")+COUNTIFS(AK_NAMA,D824,AK_KAT,"KAS")&lt;&gt;1,"",IF(COUNTIFS(AK_NAMA,C824,AK_KAT,"KAS")=1,D824,C824)))</f>
        <v>Peralatan</v>
      </c>
      <c r="M824" s="103" t="n">
        <f aca="false">IF(L824="",0,IF(L824=D824,E824,-E824))</f>
        <v>-1891980</v>
      </c>
      <c r="N824" s="102" t="str">
        <f aca="false">IF(L824="","",IFERROR(INDEX(AK_BARIS,MATCH(L824,AK_NAMA,0)),"?"))</f>
        <v>IN1</v>
      </c>
      <c r="O824" s="102" t="str">
        <f aca="false">IF(C824="","",IFERROR(INDEX(AK_KEL,MATCH(C824,AK_NAMA,0)),"?"))</f>
        <v>ASET</v>
      </c>
      <c r="P824" s="102" t="str">
        <f aca="false">IF(D824="","",IFERROR(INDEX(AK_KEL,MATCH(D824,AK_NAMA,0)),"?"))</f>
        <v>ASET</v>
      </c>
      <c r="Q824" s="102" t="n">
        <f aca="false">N(Q823)+IF(AND(N(E824)&lt;&gt;0,K824=TAHUN,N(J824)&lt;=BLN,OR(C824=BB_AKUN,D824=BB_AKUN)),1,0)</f>
        <v>541</v>
      </c>
      <c r="R824" s="104" t="str">
        <f aca="false">IF(OR(C824&amp;D824="",N(E824)=0),"",IF(OR(O824="?",P824="?"),"⚠ akun tidak dikenal",IF(C824=D824,"⚠ debet = kredit","")))</f>
        <v/>
      </c>
    </row>
    <row r="825" customFormat="false" ht="15" hidden="false" customHeight="false" outlineLevel="0" collapsed="false">
      <c r="A825" s="82" t="s">
        <v>1829</v>
      </c>
      <c r="B825" s="101" t="n">
        <v>46196</v>
      </c>
      <c r="C825" s="82" t="s">
        <v>548</v>
      </c>
      <c r="D825" s="82" t="s">
        <v>461</v>
      </c>
      <c r="E825" s="91" t="n">
        <v>276000</v>
      </c>
      <c r="F825" s="82" t="s">
        <v>1830</v>
      </c>
      <c r="G825" s="82"/>
      <c r="H825" s="82"/>
      <c r="I825" s="82" t="s">
        <v>250</v>
      </c>
      <c r="J825" s="102" t="n">
        <f aca="false">IF(B825="","",MONTH(B825))</f>
        <v>6</v>
      </c>
      <c r="K825" s="102" t="n">
        <f aca="false">IF(B825="","",YEAR(B825))</f>
        <v>2026</v>
      </c>
      <c r="L825" s="102" t="str">
        <f aca="false">IF(N(E825)=0,"",IF(COUNTIFS(AK_NAMA,C825,AK_KAT,"KAS")+COUNTIFS(AK_NAMA,D825,AK_KAT,"KAS")&lt;&gt;1,"",IF(COUNTIFS(AK_NAMA,C825,AK_KAT,"KAS")=1,D825,C825)))</f>
        <v>Beban Perlengkapan</v>
      </c>
      <c r="M825" s="103" t="n">
        <f aca="false">IF(L825="",0,IF(L825=D825,E825,-E825))</f>
        <v>-276000</v>
      </c>
      <c r="N825" s="102" t="str">
        <f aca="false">IF(L825="","",IFERROR(INDEX(AK_BARIS,MATCH(L825,AK_NAMA,0)),"?"))</f>
        <v>OP6</v>
      </c>
      <c r="O825" s="102" t="str">
        <f aca="false">IF(C825="","",IFERROR(INDEX(AK_KEL,MATCH(C825,AK_NAMA,0)),"?"))</f>
        <v>BEBAN</v>
      </c>
      <c r="P825" s="102" t="str">
        <f aca="false">IF(D825="","",IFERROR(INDEX(AK_KEL,MATCH(D825,AK_NAMA,0)),"?"))</f>
        <v>ASET</v>
      </c>
      <c r="Q825" s="102" t="n">
        <f aca="false">N(Q824)+IF(AND(N(E825)&lt;&gt;0,K825=TAHUN,N(J825)&lt;=BLN,OR(C825=BB_AKUN,D825=BB_AKUN)),1,0)</f>
        <v>542</v>
      </c>
      <c r="R825" s="104" t="str">
        <f aca="false">IF(OR(C825&amp;D825="",N(E825)=0),"",IF(OR(O825="?",P825="?"),"⚠ akun tidak dikenal",IF(C825=D825,"⚠ debet = kredit","")))</f>
        <v/>
      </c>
    </row>
    <row r="826" customFormat="false" ht="15" hidden="false" customHeight="false" outlineLevel="0" collapsed="false">
      <c r="A826" s="82" t="s">
        <v>1831</v>
      </c>
      <c r="B826" s="101" t="n">
        <v>46196</v>
      </c>
      <c r="C826" s="82" t="s">
        <v>470</v>
      </c>
      <c r="D826" s="82" t="s">
        <v>461</v>
      </c>
      <c r="E826" s="91" t="n">
        <v>247000</v>
      </c>
      <c r="F826" s="82" t="s">
        <v>1729</v>
      </c>
      <c r="G826" s="82"/>
      <c r="H826" s="82"/>
      <c r="I826" s="82" t="s">
        <v>250</v>
      </c>
      <c r="J826" s="102" t="n">
        <f aca="false">IF(B826="","",MONTH(B826))</f>
        <v>6</v>
      </c>
      <c r="K826" s="102" t="n">
        <f aca="false">IF(B826="","",YEAR(B826))</f>
        <v>2026</v>
      </c>
      <c r="L826" s="102" t="str">
        <f aca="false">IF(N(E826)=0,"",IF(COUNTIFS(AK_NAMA,C826,AK_KAT,"KAS")+COUNTIFS(AK_NAMA,D826,AK_KAT,"KAS")&lt;&gt;1,"",IF(COUNTIFS(AK_NAMA,C826,AK_KAT,"KAS")=1,D826,C826)))</f>
        <v>Biaya Bahan Baku</v>
      </c>
      <c r="M826" s="103" t="n">
        <f aca="false">IF(L826="",0,IF(L826=D826,E826,-E826))</f>
        <v>-247000</v>
      </c>
      <c r="N826" s="102" t="str">
        <f aca="false">IF(L826="","",IFERROR(INDEX(AK_BARIS,MATCH(L826,AK_NAMA,0)),"?"))</f>
        <v>OP3</v>
      </c>
      <c r="O826" s="102" t="str">
        <f aca="false">IF(C826="","",IFERROR(INDEX(AK_KEL,MATCH(C826,AK_NAMA,0)),"?"))</f>
        <v>BEBAN</v>
      </c>
      <c r="P826" s="102" t="str">
        <f aca="false">IF(D826="","",IFERROR(INDEX(AK_KEL,MATCH(D826,AK_NAMA,0)),"?"))</f>
        <v>ASET</v>
      </c>
      <c r="Q826" s="102" t="n">
        <f aca="false">N(Q825)+IF(AND(N(E826)&lt;&gt;0,K826=TAHUN,N(J826)&lt;=BLN,OR(C826=BB_AKUN,D826=BB_AKUN)),1,0)</f>
        <v>543</v>
      </c>
      <c r="R826" s="104" t="str">
        <f aca="false">IF(OR(C826&amp;D826="",N(E826)=0),"",IF(OR(O826="?",P826="?"),"⚠ akun tidak dikenal",IF(C826=D826,"⚠ debet = kredit","")))</f>
        <v/>
      </c>
    </row>
    <row r="827" customFormat="false" ht="15" hidden="false" customHeight="false" outlineLevel="0" collapsed="false">
      <c r="A827" s="82" t="s">
        <v>1832</v>
      </c>
      <c r="B827" s="101" t="n">
        <v>46196</v>
      </c>
      <c r="C827" s="82" t="s">
        <v>470</v>
      </c>
      <c r="D827" s="82" t="s">
        <v>461</v>
      </c>
      <c r="E827" s="91" t="n">
        <v>2163610</v>
      </c>
      <c r="F827" s="82" t="s">
        <v>1833</v>
      </c>
      <c r="G827" s="82"/>
      <c r="H827" s="82"/>
      <c r="I827" s="82" t="s">
        <v>250</v>
      </c>
      <c r="J827" s="102" t="n">
        <f aca="false">IF(B827="","",MONTH(B827))</f>
        <v>6</v>
      </c>
      <c r="K827" s="102" t="n">
        <f aca="false">IF(B827="","",YEAR(B827))</f>
        <v>2026</v>
      </c>
      <c r="L827" s="102" t="str">
        <f aca="false">IF(N(E827)=0,"",IF(COUNTIFS(AK_NAMA,C827,AK_KAT,"KAS")+COUNTIFS(AK_NAMA,D827,AK_KAT,"KAS")&lt;&gt;1,"",IF(COUNTIFS(AK_NAMA,C827,AK_KAT,"KAS")=1,D827,C827)))</f>
        <v>Biaya Bahan Baku</v>
      </c>
      <c r="M827" s="103" t="n">
        <f aca="false">IF(L827="",0,IF(L827=D827,E827,-E827))</f>
        <v>-2163610</v>
      </c>
      <c r="N827" s="102" t="str">
        <f aca="false">IF(L827="","",IFERROR(INDEX(AK_BARIS,MATCH(L827,AK_NAMA,0)),"?"))</f>
        <v>OP3</v>
      </c>
      <c r="O827" s="102" t="str">
        <f aca="false">IF(C827="","",IFERROR(INDEX(AK_KEL,MATCH(C827,AK_NAMA,0)),"?"))</f>
        <v>BEBAN</v>
      </c>
      <c r="P827" s="102" t="str">
        <f aca="false">IF(D827="","",IFERROR(INDEX(AK_KEL,MATCH(D827,AK_NAMA,0)),"?"))</f>
        <v>ASET</v>
      </c>
      <c r="Q827" s="102" t="n">
        <f aca="false">N(Q826)+IF(AND(N(E827)&lt;&gt;0,K827=TAHUN,N(J827)&lt;=BLN,OR(C827=BB_AKUN,D827=BB_AKUN)),1,0)</f>
        <v>544</v>
      </c>
      <c r="R827" s="104" t="str">
        <f aca="false">IF(OR(C827&amp;D827="",N(E827)=0),"",IF(OR(O827="?",P827="?"),"⚠ akun tidak dikenal",IF(C827=D827,"⚠ debet = kredit","")))</f>
        <v/>
      </c>
    </row>
    <row r="828" customFormat="false" ht="15" hidden="false" customHeight="false" outlineLevel="0" collapsed="false">
      <c r="A828" s="82" t="s">
        <v>1834</v>
      </c>
      <c r="B828" s="101" t="n">
        <v>46196</v>
      </c>
      <c r="C828" s="82" t="s">
        <v>470</v>
      </c>
      <c r="D828" s="82" t="s">
        <v>461</v>
      </c>
      <c r="E828" s="91" t="n">
        <v>741000</v>
      </c>
      <c r="F828" s="82" t="s">
        <v>1744</v>
      </c>
      <c r="G828" s="82"/>
      <c r="H828" s="82"/>
      <c r="I828" s="82" t="s">
        <v>250</v>
      </c>
      <c r="J828" s="102" t="n">
        <f aca="false">IF(B828="","",MONTH(B828))</f>
        <v>6</v>
      </c>
      <c r="K828" s="102" t="n">
        <f aca="false">IF(B828="","",YEAR(B828))</f>
        <v>2026</v>
      </c>
      <c r="L828" s="102" t="str">
        <f aca="false">IF(N(E828)=0,"",IF(COUNTIFS(AK_NAMA,C828,AK_KAT,"KAS")+COUNTIFS(AK_NAMA,D828,AK_KAT,"KAS")&lt;&gt;1,"",IF(COUNTIFS(AK_NAMA,C828,AK_KAT,"KAS")=1,D828,C828)))</f>
        <v>Biaya Bahan Baku</v>
      </c>
      <c r="M828" s="103" t="n">
        <f aca="false">IF(L828="",0,IF(L828=D828,E828,-E828))</f>
        <v>-741000</v>
      </c>
      <c r="N828" s="102" t="str">
        <f aca="false">IF(L828="","",IFERROR(INDEX(AK_BARIS,MATCH(L828,AK_NAMA,0)),"?"))</f>
        <v>OP3</v>
      </c>
      <c r="O828" s="102" t="str">
        <f aca="false">IF(C828="","",IFERROR(INDEX(AK_KEL,MATCH(C828,AK_NAMA,0)),"?"))</f>
        <v>BEBAN</v>
      </c>
      <c r="P828" s="102" t="str">
        <f aca="false">IF(D828="","",IFERROR(INDEX(AK_KEL,MATCH(D828,AK_NAMA,0)),"?"))</f>
        <v>ASET</v>
      </c>
      <c r="Q828" s="102" t="n">
        <f aca="false">N(Q827)+IF(AND(N(E828)&lt;&gt;0,K828=TAHUN,N(J828)&lt;=BLN,OR(C828=BB_AKUN,D828=BB_AKUN)),1,0)</f>
        <v>545</v>
      </c>
      <c r="R828" s="104" t="str">
        <f aca="false">IF(OR(C828&amp;D828="",N(E828)=0),"",IF(OR(O828="?",P828="?"),"⚠ akun tidak dikenal",IF(C828=D828,"⚠ debet = kredit","")))</f>
        <v/>
      </c>
    </row>
    <row r="829" customFormat="false" ht="15" hidden="false" customHeight="false" outlineLevel="0" collapsed="false">
      <c r="A829" s="82" t="s">
        <v>1835</v>
      </c>
      <c r="B829" s="101" t="n">
        <v>46196</v>
      </c>
      <c r="C829" s="82" t="s">
        <v>470</v>
      </c>
      <c r="D829" s="82" t="s">
        <v>461</v>
      </c>
      <c r="E829" s="91" t="n">
        <v>4652000</v>
      </c>
      <c r="F829" s="82" t="s">
        <v>1836</v>
      </c>
      <c r="G829" s="82"/>
      <c r="H829" s="82"/>
      <c r="I829" s="82" t="s">
        <v>250</v>
      </c>
      <c r="J829" s="102" t="n">
        <f aca="false">IF(B829="","",MONTH(B829))</f>
        <v>6</v>
      </c>
      <c r="K829" s="102" t="n">
        <f aca="false">IF(B829="","",YEAR(B829))</f>
        <v>2026</v>
      </c>
      <c r="L829" s="102" t="str">
        <f aca="false">IF(N(E829)=0,"",IF(COUNTIFS(AK_NAMA,C829,AK_KAT,"KAS")+COUNTIFS(AK_NAMA,D829,AK_KAT,"KAS")&lt;&gt;1,"",IF(COUNTIFS(AK_NAMA,C829,AK_KAT,"KAS")=1,D829,C829)))</f>
        <v>Biaya Bahan Baku</v>
      </c>
      <c r="M829" s="103" t="n">
        <f aca="false">IF(L829="",0,IF(L829=D829,E829,-E829))</f>
        <v>-4652000</v>
      </c>
      <c r="N829" s="102" t="str">
        <f aca="false">IF(L829="","",IFERROR(INDEX(AK_BARIS,MATCH(L829,AK_NAMA,0)),"?"))</f>
        <v>OP3</v>
      </c>
      <c r="O829" s="102" t="str">
        <f aca="false">IF(C829="","",IFERROR(INDEX(AK_KEL,MATCH(C829,AK_NAMA,0)),"?"))</f>
        <v>BEBAN</v>
      </c>
      <c r="P829" s="102" t="str">
        <f aca="false">IF(D829="","",IFERROR(INDEX(AK_KEL,MATCH(D829,AK_NAMA,0)),"?"))</f>
        <v>ASET</v>
      </c>
      <c r="Q829" s="102" t="n">
        <f aca="false">N(Q828)+IF(AND(N(E829)&lt;&gt;0,K829=TAHUN,N(J829)&lt;=BLN,OR(C829=BB_AKUN,D829=BB_AKUN)),1,0)</f>
        <v>546</v>
      </c>
      <c r="R829" s="104" t="str">
        <f aca="false">IF(OR(C829&amp;D829="",N(E829)=0),"",IF(OR(O829="?",P829="?"),"⚠ akun tidak dikenal",IF(C829=D829,"⚠ debet = kredit","")))</f>
        <v/>
      </c>
    </row>
    <row r="830" customFormat="false" ht="15" hidden="false" customHeight="false" outlineLevel="0" collapsed="false">
      <c r="A830" s="82" t="s">
        <v>1837</v>
      </c>
      <c r="B830" s="101" t="n">
        <v>46196</v>
      </c>
      <c r="C830" s="82" t="s">
        <v>548</v>
      </c>
      <c r="D830" s="82" t="s">
        <v>461</v>
      </c>
      <c r="E830" s="91" t="n">
        <v>160000</v>
      </c>
      <c r="F830" s="82" t="s">
        <v>1838</v>
      </c>
      <c r="G830" s="82"/>
      <c r="H830" s="82"/>
      <c r="I830" s="82" t="s">
        <v>250</v>
      </c>
      <c r="J830" s="102" t="n">
        <f aca="false">IF(B830="","",MONTH(B830))</f>
        <v>6</v>
      </c>
      <c r="K830" s="102" t="n">
        <f aca="false">IF(B830="","",YEAR(B830))</f>
        <v>2026</v>
      </c>
      <c r="L830" s="102" t="str">
        <f aca="false">IF(N(E830)=0,"",IF(COUNTIFS(AK_NAMA,C830,AK_KAT,"KAS")+COUNTIFS(AK_NAMA,D830,AK_KAT,"KAS")&lt;&gt;1,"",IF(COUNTIFS(AK_NAMA,C830,AK_KAT,"KAS")=1,D830,C830)))</f>
        <v>Beban Perlengkapan</v>
      </c>
      <c r="M830" s="103" t="n">
        <f aca="false">IF(L830="",0,IF(L830=D830,E830,-E830))</f>
        <v>-160000</v>
      </c>
      <c r="N830" s="102" t="str">
        <f aca="false">IF(L830="","",IFERROR(INDEX(AK_BARIS,MATCH(L830,AK_NAMA,0)),"?"))</f>
        <v>OP6</v>
      </c>
      <c r="O830" s="102" t="str">
        <f aca="false">IF(C830="","",IFERROR(INDEX(AK_KEL,MATCH(C830,AK_NAMA,0)),"?"))</f>
        <v>BEBAN</v>
      </c>
      <c r="P830" s="102" t="str">
        <f aca="false">IF(D830="","",IFERROR(INDEX(AK_KEL,MATCH(D830,AK_NAMA,0)),"?"))</f>
        <v>ASET</v>
      </c>
      <c r="Q830" s="102" t="n">
        <f aca="false">N(Q829)+IF(AND(N(E830)&lt;&gt;0,K830=TAHUN,N(J830)&lt;=BLN,OR(C830=BB_AKUN,D830=BB_AKUN)),1,0)</f>
        <v>547</v>
      </c>
      <c r="R830" s="104" t="str">
        <f aca="false">IF(OR(C830&amp;D830="",N(E830)=0),"",IF(OR(O830="?",P830="?"),"⚠ akun tidak dikenal",IF(C830=D830,"⚠ debet = kredit","")))</f>
        <v/>
      </c>
    </row>
    <row r="831" customFormat="false" ht="15" hidden="false" customHeight="false" outlineLevel="0" collapsed="false">
      <c r="A831" s="82" t="s">
        <v>1839</v>
      </c>
      <c r="B831" s="101" t="n">
        <v>46198</v>
      </c>
      <c r="C831" s="82" t="s">
        <v>470</v>
      </c>
      <c r="D831" s="82" t="s">
        <v>461</v>
      </c>
      <c r="E831" s="91" t="n">
        <v>686937</v>
      </c>
      <c r="F831" s="82" t="s">
        <v>1840</v>
      </c>
      <c r="G831" s="82"/>
      <c r="H831" s="82"/>
      <c r="I831" s="82" t="s">
        <v>250</v>
      </c>
      <c r="J831" s="102" t="n">
        <f aca="false">IF(B831="","",MONTH(B831))</f>
        <v>6</v>
      </c>
      <c r="K831" s="102" t="n">
        <f aca="false">IF(B831="","",YEAR(B831))</f>
        <v>2026</v>
      </c>
      <c r="L831" s="102" t="str">
        <f aca="false">IF(N(E831)=0,"",IF(COUNTIFS(AK_NAMA,C831,AK_KAT,"KAS")+COUNTIFS(AK_NAMA,D831,AK_KAT,"KAS")&lt;&gt;1,"",IF(COUNTIFS(AK_NAMA,C831,AK_KAT,"KAS")=1,D831,C831)))</f>
        <v>Biaya Bahan Baku</v>
      </c>
      <c r="M831" s="103" t="n">
        <f aca="false">IF(L831="",0,IF(L831=D831,E831,-E831))</f>
        <v>-686937</v>
      </c>
      <c r="N831" s="102" t="str">
        <f aca="false">IF(L831="","",IFERROR(INDEX(AK_BARIS,MATCH(L831,AK_NAMA,0)),"?"))</f>
        <v>OP3</v>
      </c>
      <c r="O831" s="102" t="str">
        <f aca="false">IF(C831="","",IFERROR(INDEX(AK_KEL,MATCH(C831,AK_NAMA,0)),"?"))</f>
        <v>BEBAN</v>
      </c>
      <c r="P831" s="102" t="str">
        <f aca="false">IF(D831="","",IFERROR(INDEX(AK_KEL,MATCH(D831,AK_NAMA,0)),"?"))</f>
        <v>ASET</v>
      </c>
      <c r="Q831" s="102" t="n">
        <f aca="false">N(Q830)+IF(AND(N(E831)&lt;&gt;0,K831=TAHUN,N(J831)&lt;=BLN,OR(C831=BB_AKUN,D831=BB_AKUN)),1,0)</f>
        <v>548</v>
      </c>
      <c r="R831" s="104" t="str">
        <f aca="false">IF(OR(C831&amp;D831="",N(E831)=0),"",IF(OR(O831="?",P831="?"),"⚠ akun tidak dikenal",IF(C831=D831,"⚠ debet = kredit","")))</f>
        <v/>
      </c>
    </row>
    <row r="832" customFormat="false" ht="15" hidden="false" customHeight="false" outlineLevel="0" collapsed="false">
      <c r="A832" s="82" t="s">
        <v>1841</v>
      </c>
      <c r="B832" s="101" t="n">
        <v>46200</v>
      </c>
      <c r="C832" s="82" t="s">
        <v>470</v>
      </c>
      <c r="D832" s="82" t="s">
        <v>461</v>
      </c>
      <c r="E832" s="91" t="n">
        <v>3000000</v>
      </c>
      <c r="F832" s="82" t="s">
        <v>1842</v>
      </c>
      <c r="G832" s="82"/>
      <c r="H832" s="82"/>
      <c r="I832" s="82" t="s">
        <v>250</v>
      </c>
      <c r="J832" s="102" t="n">
        <f aca="false">IF(B832="","",MONTH(B832))</f>
        <v>6</v>
      </c>
      <c r="K832" s="102" t="n">
        <f aca="false">IF(B832="","",YEAR(B832))</f>
        <v>2026</v>
      </c>
      <c r="L832" s="102" t="str">
        <f aca="false">IF(N(E832)=0,"",IF(COUNTIFS(AK_NAMA,C832,AK_KAT,"KAS")+COUNTIFS(AK_NAMA,D832,AK_KAT,"KAS")&lt;&gt;1,"",IF(COUNTIFS(AK_NAMA,C832,AK_KAT,"KAS")=1,D832,C832)))</f>
        <v>Biaya Bahan Baku</v>
      </c>
      <c r="M832" s="103" t="n">
        <f aca="false">IF(L832="",0,IF(L832=D832,E832,-E832))</f>
        <v>-3000000</v>
      </c>
      <c r="N832" s="102" t="str">
        <f aca="false">IF(L832="","",IFERROR(INDEX(AK_BARIS,MATCH(L832,AK_NAMA,0)),"?"))</f>
        <v>OP3</v>
      </c>
      <c r="O832" s="102" t="str">
        <f aca="false">IF(C832="","",IFERROR(INDEX(AK_KEL,MATCH(C832,AK_NAMA,0)),"?"))</f>
        <v>BEBAN</v>
      </c>
      <c r="P832" s="102" t="str">
        <f aca="false">IF(D832="","",IFERROR(INDEX(AK_KEL,MATCH(D832,AK_NAMA,0)),"?"))</f>
        <v>ASET</v>
      </c>
      <c r="Q832" s="102" t="n">
        <f aca="false">N(Q831)+IF(AND(N(E832)&lt;&gt;0,K832=TAHUN,N(J832)&lt;=BLN,OR(C832=BB_AKUN,D832=BB_AKUN)),1,0)</f>
        <v>549</v>
      </c>
      <c r="R832" s="104" t="str">
        <f aca="false">IF(OR(C832&amp;D832="",N(E832)=0),"",IF(OR(O832="?",P832="?"),"⚠ akun tidak dikenal",IF(C832=D832,"⚠ debet = kredit","")))</f>
        <v/>
      </c>
    </row>
    <row r="833" customFormat="false" ht="15" hidden="false" customHeight="false" outlineLevel="0" collapsed="false">
      <c r="A833" s="82" t="s">
        <v>1843</v>
      </c>
      <c r="B833" s="101" t="n">
        <v>46200</v>
      </c>
      <c r="C833" s="82" t="s">
        <v>470</v>
      </c>
      <c r="D833" s="82" t="s">
        <v>461</v>
      </c>
      <c r="E833" s="91" t="n">
        <v>240000</v>
      </c>
      <c r="F833" s="82" t="s">
        <v>1844</v>
      </c>
      <c r="G833" s="82"/>
      <c r="H833" s="82"/>
      <c r="I833" s="82" t="s">
        <v>250</v>
      </c>
      <c r="J833" s="102" t="n">
        <f aca="false">IF(B833="","",MONTH(B833))</f>
        <v>6</v>
      </c>
      <c r="K833" s="102" t="n">
        <f aca="false">IF(B833="","",YEAR(B833))</f>
        <v>2026</v>
      </c>
      <c r="L833" s="102" t="str">
        <f aca="false">IF(N(E833)=0,"",IF(COUNTIFS(AK_NAMA,C833,AK_KAT,"KAS")+COUNTIFS(AK_NAMA,D833,AK_KAT,"KAS")&lt;&gt;1,"",IF(COUNTIFS(AK_NAMA,C833,AK_KAT,"KAS")=1,D833,C833)))</f>
        <v>Biaya Bahan Baku</v>
      </c>
      <c r="M833" s="103" t="n">
        <f aca="false">IF(L833="",0,IF(L833=D833,E833,-E833))</f>
        <v>-240000</v>
      </c>
      <c r="N833" s="102" t="str">
        <f aca="false">IF(L833="","",IFERROR(INDEX(AK_BARIS,MATCH(L833,AK_NAMA,0)),"?"))</f>
        <v>OP3</v>
      </c>
      <c r="O833" s="102" t="str">
        <f aca="false">IF(C833="","",IFERROR(INDEX(AK_KEL,MATCH(C833,AK_NAMA,0)),"?"))</f>
        <v>BEBAN</v>
      </c>
      <c r="P833" s="102" t="str">
        <f aca="false">IF(D833="","",IFERROR(INDEX(AK_KEL,MATCH(D833,AK_NAMA,0)),"?"))</f>
        <v>ASET</v>
      </c>
      <c r="Q833" s="102" t="n">
        <f aca="false">N(Q832)+IF(AND(N(E833)&lt;&gt;0,K833=TAHUN,N(J833)&lt;=BLN,OR(C833=BB_AKUN,D833=BB_AKUN)),1,0)</f>
        <v>550</v>
      </c>
      <c r="R833" s="104" t="str">
        <f aca="false">IF(OR(C833&amp;D833="",N(E833)=0),"",IF(OR(O833="?",P833="?"),"⚠ akun tidak dikenal",IF(C833=D833,"⚠ debet = kredit","")))</f>
        <v/>
      </c>
    </row>
    <row r="834" customFormat="false" ht="15" hidden="false" customHeight="false" outlineLevel="0" collapsed="false">
      <c r="A834" s="82" t="s">
        <v>1845</v>
      </c>
      <c r="B834" s="101" t="n">
        <v>46200</v>
      </c>
      <c r="C834" s="82" t="s">
        <v>470</v>
      </c>
      <c r="D834" s="82" t="s">
        <v>461</v>
      </c>
      <c r="E834" s="91" t="n">
        <v>1007000</v>
      </c>
      <c r="F834" s="82" t="s">
        <v>1612</v>
      </c>
      <c r="G834" s="82"/>
      <c r="H834" s="82"/>
      <c r="I834" s="82" t="s">
        <v>250</v>
      </c>
      <c r="J834" s="102" t="n">
        <f aca="false">IF(B834="","",MONTH(B834))</f>
        <v>6</v>
      </c>
      <c r="K834" s="102" t="n">
        <f aca="false">IF(B834="","",YEAR(B834))</f>
        <v>2026</v>
      </c>
      <c r="L834" s="102" t="str">
        <f aca="false">IF(N(E834)=0,"",IF(COUNTIFS(AK_NAMA,C834,AK_KAT,"KAS")+COUNTIFS(AK_NAMA,D834,AK_KAT,"KAS")&lt;&gt;1,"",IF(COUNTIFS(AK_NAMA,C834,AK_KAT,"KAS")=1,D834,C834)))</f>
        <v>Biaya Bahan Baku</v>
      </c>
      <c r="M834" s="103" t="n">
        <f aca="false">IF(L834="",0,IF(L834=D834,E834,-E834))</f>
        <v>-1007000</v>
      </c>
      <c r="N834" s="102" t="str">
        <f aca="false">IF(L834="","",IFERROR(INDEX(AK_BARIS,MATCH(L834,AK_NAMA,0)),"?"))</f>
        <v>OP3</v>
      </c>
      <c r="O834" s="102" t="str">
        <f aca="false">IF(C834="","",IFERROR(INDEX(AK_KEL,MATCH(C834,AK_NAMA,0)),"?"))</f>
        <v>BEBAN</v>
      </c>
      <c r="P834" s="102" t="str">
        <f aca="false">IF(D834="","",IFERROR(INDEX(AK_KEL,MATCH(D834,AK_NAMA,0)),"?"))</f>
        <v>ASET</v>
      </c>
      <c r="Q834" s="102" t="n">
        <f aca="false">N(Q833)+IF(AND(N(E834)&lt;&gt;0,K834=TAHUN,N(J834)&lt;=BLN,OR(C834=BB_AKUN,D834=BB_AKUN)),1,0)</f>
        <v>551</v>
      </c>
      <c r="R834" s="104" t="str">
        <f aca="false">IF(OR(C834&amp;D834="",N(E834)=0),"",IF(OR(O834="?",P834="?"),"⚠ akun tidak dikenal",IF(C834=D834,"⚠ debet = kredit","")))</f>
        <v/>
      </c>
    </row>
    <row r="835" customFormat="false" ht="15" hidden="false" customHeight="false" outlineLevel="0" collapsed="false">
      <c r="A835" s="82" t="s">
        <v>1846</v>
      </c>
      <c r="B835" s="101" t="n">
        <v>46200</v>
      </c>
      <c r="C835" s="82" t="s">
        <v>470</v>
      </c>
      <c r="D835" s="82" t="s">
        <v>461</v>
      </c>
      <c r="E835" s="91" t="n">
        <v>910000</v>
      </c>
      <c r="F835" s="82" t="s">
        <v>1371</v>
      </c>
      <c r="G835" s="82"/>
      <c r="H835" s="82"/>
      <c r="I835" s="82" t="s">
        <v>250</v>
      </c>
      <c r="J835" s="102" t="n">
        <f aca="false">IF(B835="","",MONTH(B835))</f>
        <v>6</v>
      </c>
      <c r="K835" s="102" t="n">
        <f aca="false">IF(B835="","",YEAR(B835))</f>
        <v>2026</v>
      </c>
      <c r="L835" s="102" t="str">
        <f aca="false">IF(N(E835)=0,"",IF(COUNTIFS(AK_NAMA,C835,AK_KAT,"KAS")+COUNTIFS(AK_NAMA,D835,AK_KAT,"KAS")&lt;&gt;1,"",IF(COUNTIFS(AK_NAMA,C835,AK_KAT,"KAS")=1,D835,C835)))</f>
        <v>Biaya Bahan Baku</v>
      </c>
      <c r="M835" s="103" t="n">
        <f aca="false">IF(L835="",0,IF(L835=D835,E835,-E835))</f>
        <v>-910000</v>
      </c>
      <c r="N835" s="102" t="str">
        <f aca="false">IF(L835="","",IFERROR(INDEX(AK_BARIS,MATCH(L835,AK_NAMA,0)),"?"))</f>
        <v>OP3</v>
      </c>
      <c r="O835" s="102" t="str">
        <f aca="false">IF(C835="","",IFERROR(INDEX(AK_KEL,MATCH(C835,AK_NAMA,0)),"?"))</f>
        <v>BEBAN</v>
      </c>
      <c r="P835" s="102" t="str">
        <f aca="false">IF(D835="","",IFERROR(INDEX(AK_KEL,MATCH(D835,AK_NAMA,0)),"?"))</f>
        <v>ASET</v>
      </c>
      <c r="Q835" s="102" t="n">
        <f aca="false">N(Q834)+IF(AND(N(E835)&lt;&gt;0,K835=TAHUN,N(J835)&lt;=BLN,OR(C835=BB_AKUN,D835=BB_AKUN)),1,0)</f>
        <v>552</v>
      </c>
      <c r="R835" s="104" t="str">
        <f aca="false">IF(OR(C835&amp;D835="",N(E835)=0),"",IF(OR(O835="?",P835="?"),"⚠ akun tidak dikenal",IF(C835=D835,"⚠ debet = kredit","")))</f>
        <v/>
      </c>
    </row>
    <row r="836" customFormat="false" ht="15" hidden="false" customHeight="false" outlineLevel="0" collapsed="false">
      <c r="A836" s="82" t="s">
        <v>1847</v>
      </c>
      <c r="B836" s="101" t="n">
        <v>46200</v>
      </c>
      <c r="C836" s="82" t="s">
        <v>470</v>
      </c>
      <c r="D836" s="82" t="s">
        <v>461</v>
      </c>
      <c r="E836" s="91" t="n">
        <v>262000</v>
      </c>
      <c r="F836" s="82" t="s">
        <v>1848</v>
      </c>
      <c r="G836" s="82"/>
      <c r="H836" s="82"/>
      <c r="I836" s="82" t="s">
        <v>250</v>
      </c>
      <c r="J836" s="102" t="n">
        <f aca="false">IF(B836="","",MONTH(B836))</f>
        <v>6</v>
      </c>
      <c r="K836" s="102" t="n">
        <f aca="false">IF(B836="","",YEAR(B836))</f>
        <v>2026</v>
      </c>
      <c r="L836" s="102" t="str">
        <f aca="false">IF(N(E836)=0,"",IF(COUNTIFS(AK_NAMA,C836,AK_KAT,"KAS")+COUNTIFS(AK_NAMA,D836,AK_KAT,"KAS")&lt;&gt;1,"",IF(COUNTIFS(AK_NAMA,C836,AK_KAT,"KAS")=1,D836,C836)))</f>
        <v>Biaya Bahan Baku</v>
      </c>
      <c r="M836" s="103" t="n">
        <f aca="false">IF(L836="",0,IF(L836=D836,E836,-E836))</f>
        <v>-262000</v>
      </c>
      <c r="N836" s="102" t="str">
        <f aca="false">IF(L836="","",IFERROR(INDEX(AK_BARIS,MATCH(L836,AK_NAMA,0)),"?"))</f>
        <v>OP3</v>
      </c>
      <c r="O836" s="102" t="str">
        <f aca="false">IF(C836="","",IFERROR(INDEX(AK_KEL,MATCH(C836,AK_NAMA,0)),"?"))</f>
        <v>BEBAN</v>
      </c>
      <c r="P836" s="102" t="str">
        <f aca="false">IF(D836="","",IFERROR(INDEX(AK_KEL,MATCH(D836,AK_NAMA,0)),"?"))</f>
        <v>ASET</v>
      </c>
      <c r="Q836" s="102" t="n">
        <f aca="false">N(Q835)+IF(AND(N(E836)&lt;&gt;0,K836=TAHUN,N(J836)&lt;=BLN,OR(C836=BB_AKUN,D836=BB_AKUN)),1,0)</f>
        <v>553</v>
      </c>
      <c r="R836" s="104" t="str">
        <f aca="false">IF(OR(C836&amp;D836="",N(E836)=0),"",IF(OR(O836="?",P836="?"),"⚠ akun tidak dikenal",IF(C836=D836,"⚠ debet = kredit","")))</f>
        <v/>
      </c>
    </row>
    <row r="837" customFormat="false" ht="15" hidden="false" customHeight="false" outlineLevel="0" collapsed="false">
      <c r="A837" s="82" t="s">
        <v>1849</v>
      </c>
      <c r="B837" s="101" t="n">
        <v>46200</v>
      </c>
      <c r="C837" s="82" t="s">
        <v>470</v>
      </c>
      <c r="D837" s="82" t="s">
        <v>461</v>
      </c>
      <c r="E837" s="91" t="n">
        <v>247000</v>
      </c>
      <c r="F837" s="82" t="s">
        <v>1729</v>
      </c>
      <c r="G837" s="82"/>
      <c r="H837" s="82"/>
      <c r="I837" s="82" t="s">
        <v>250</v>
      </c>
      <c r="J837" s="102" t="n">
        <f aca="false">IF(B837="","",MONTH(B837))</f>
        <v>6</v>
      </c>
      <c r="K837" s="102" t="n">
        <f aca="false">IF(B837="","",YEAR(B837))</f>
        <v>2026</v>
      </c>
      <c r="L837" s="102" t="str">
        <f aca="false">IF(N(E837)=0,"",IF(COUNTIFS(AK_NAMA,C837,AK_KAT,"KAS")+COUNTIFS(AK_NAMA,D837,AK_KAT,"KAS")&lt;&gt;1,"",IF(COUNTIFS(AK_NAMA,C837,AK_KAT,"KAS")=1,D837,C837)))</f>
        <v>Biaya Bahan Baku</v>
      </c>
      <c r="M837" s="103" t="n">
        <f aca="false">IF(L837="",0,IF(L837=D837,E837,-E837))</f>
        <v>-247000</v>
      </c>
      <c r="N837" s="102" t="str">
        <f aca="false">IF(L837="","",IFERROR(INDEX(AK_BARIS,MATCH(L837,AK_NAMA,0)),"?"))</f>
        <v>OP3</v>
      </c>
      <c r="O837" s="102" t="str">
        <f aca="false">IF(C837="","",IFERROR(INDEX(AK_KEL,MATCH(C837,AK_NAMA,0)),"?"))</f>
        <v>BEBAN</v>
      </c>
      <c r="P837" s="102" t="str">
        <f aca="false">IF(D837="","",IFERROR(INDEX(AK_KEL,MATCH(D837,AK_NAMA,0)),"?"))</f>
        <v>ASET</v>
      </c>
      <c r="Q837" s="102" t="n">
        <f aca="false">N(Q836)+IF(AND(N(E837)&lt;&gt;0,K837=TAHUN,N(J837)&lt;=BLN,OR(C837=BB_AKUN,D837=BB_AKUN)),1,0)</f>
        <v>554</v>
      </c>
      <c r="R837" s="104" t="str">
        <f aca="false">IF(OR(C837&amp;D837="",N(E837)=0),"",IF(OR(O837="?",P837="?"),"⚠ akun tidak dikenal",IF(C837=D837,"⚠ debet = kredit","")))</f>
        <v/>
      </c>
    </row>
    <row r="838" customFormat="false" ht="15" hidden="false" customHeight="false" outlineLevel="0" collapsed="false">
      <c r="A838" s="82" t="s">
        <v>1850</v>
      </c>
      <c r="B838" s="101" t="n">
        <v>46201</v>
      </c>
      <c r="C838" s="82" t="s">
        <v>478</v>
      </c>
      <c r="D838" s="82" t="s">
        <v>461</v>
      </c>
      <c r="E838" s="91" t="n">
        <v>1007000</v>
      </c>
      <c r="F838" s="82" t="s">
        <v>1851</v>
      </c>
      <c r="G838" s="82"/>
      <c r="H838" s="82"/>
      <c r="I838" s="82" t="s">
        <v>250</v>
      </c>
      <c r="J838" s="102" t="n">
        <f aca="false">IF(B838="","",MONTH(B838))</f>
        <v>6</v>
      </c>
      <c r="K838" s="102" t="n">
        <f aca="false">IF(B838="","",YEAR(B838))</f>
        <v>2026</v>
      </c>
      <c r="L838" s="102" t="str">
        <f aca="false">IF(N(E838)=0,"",IF(COUNTIFS(AK_NAMA,C838,AK_KAT,"KAS")+COUNTIFS(AK_NAMA,D838,AK_KAT,"KAS")&lt;&gt;1,"",IF(COUNTIFS(AK_NAMA,C838,AK_KAT,"KAS")=1,D838,C838)))</f>
        <v>Biaya Penyajian</v>
      </c>
      <c r="M838" s="103" t="n">
        <f aca="false">IF(L838="",0,IF(L838=D838,E838,-E838))</f>
        <v>-1007000</v>
      </c>
      <c r="N838" s="102" t="str">
        <f aca="false">IF(L838="","",IFERROR(INDEX(AK_BARIS,MATCH(L838,AK_NAMA,0)),"?"))</f>
        <v>OP3</v>
      </c>
      <c r="O838" s="102" t="str">
        <f aca="false">IF(C838="","",IFERROR(INDEX(AK_KEL,MATCH(C838,AK_NAMA,0)),"?"))</f>
        <v>BEBAN</v>
      </c>
      <c r="P838" s="102" t="str">
        <f aca="false">IF(D838="","",IFERROR(INDEX(AK_KEL,MATCH(D838,AK_NAMA,0)),"?"))</f>
        <v>ASET</v>
      </c>
      <c r="Q838" s="102" t="n">
        <f aca="false">N(Q837)+IF(AND(N(E838)&lt;&gt;0,K838=TAHUN,N(J838)&lt;=BLN,OR(C838=BB_AKUN,D838=BB_AKUN)),1,0)</f>
        <v>555</v>
      </c>
      <c r="R838" s="104" t="str">
        <f aca="false">IF(OR(C838&amp;D838="",N(E838)=0),"",IF(OR(O838="?",P838="?"),"⚠ akun tidak dikenal",IF(C838=D838,"⚠ debet = kredit","")))</f>
        <v/>
      </c>
    </row>
    <row r="839" customFormat="false" ht="15" hidden="false" customHeight="false" outlineLevel="0" collapsed="false">
      <c r="A839" s="82" t="s">
        <v>1852</v>
      </c>
      <c r="B839" s="101" t="n">
        <v>46201</v>
      </c>
      <c r="C839" s="82" t="s">
        <v>460</v>
      </c>
      <c r="D839" s="82" t="s">
        <v>461</v>
      </c>
      <c r="E839" s="91" t="n">
        <v>2000000</v>
      </c>
      <c r="F839" s="82" t="s">
        <v>1853</v>
      </c>
      <c r="G839" s="82"/>
      <c r="H839" s="82"/>
      <c r="I839" s="82" t="s">
        <v>250</v>
      </c>
      <c r="J839" s="102" t="n">
        <f aca="false">IF(B839="","",MONTH(B839))</f>
        <v>6</v>
      </c>
      <c r="K839" s="102" t="n">
        <f aca="false">IF(B839="","",YEAR(B839))</f>
        <v>2026</v>
      </c>
      <c r="L839" s="102" t="str">
        <f aca="false">IF(N(E839)=0,"",IF(COUNTIFS(AK_NAMA,C839,AK_KAT,"KAS")+COUNTIFS(AK_NAMA,D839,AK_KAT,"KAS")&lt;&gt;1,"",IF(COUNTIFS(AK_NAMA,C839,AK_KAT,"KAS")=1,D839,C839)))</f>
        <v>Biaya Marketing &amp; Promosi</v>
      </c>
      <c r="M839" s="103" t="n">
        <f aca="false">IF(L839="",0,IF(L839=D839,E839,-E839))</f>
        <v>-2000000</v>
      </c>
      <c r="N839" s="102" t="str">
        <f aca="false">IF(L839="","",IFERROR(INDEX(AK_BARIS,MATCH(L839,AK_NAMA,0)),"?"))</f>
        <v>OP6</v>
      </c>
      <c r="O839" s="102" t="str">
        <f aca="false">IF(C839="","",IFERROR(INDEX(AK_KEL,MATCH(C839,AK_NAMA,0)),"?"))</f>
        <v>BEBAN</v>
      </c>
      <c r="P839" s="102" t="str">
        <f aca="false">IF(D839="","",IFERROR(INDEX(AK_KEL,MATCH(D839,AK_NAMA,0)),"?"))</f>
        <v>ASET</v>
      </c>
      <c r="Q839" s="102" t="n">
        <f aca="false">N(Q838)+IF(AND(N(E839)&lt;&gt;0,K839=TAHUN,N(J839)&lt;=BLN,OR(C839=BB_AKUN,D839=BB_AKUN)),1,0)</f>
        <v>556</v>
      </c>
      <c r="R839" s="104" t="str">
        <f aca="false">IF(OR(C839&amp;D839="",N(E839)=0),"",IF(OR(O839="?",P839="?"),"⚠ akun tidak dikenal",IF(C839=D839,"⚠ debet = kredit","")))</f>
        <v/>
      </c>
    </row>
    <row r="840" customFormat="false" ht="15" hidden="false" customHeight="false" outlineLevel="0" collapsed="false">
      <c r="A840" s="82" t="s">
        <v>1854</v>
      </c>
      <c r="B840" s="101" t="n">
        <v>46201</v>
      </c>
      <c r="C840" s="82" t="s">
        <v>524</v>
      </c>
      <c r="D840" s="82" t="s">
        <v>461</v>
      </c>
      <c r="E840" s="91" t="n">
        <v>325</v>
      </c>
      <c r="F840" s="82" t="s">
        <v>525</v>
      </c>
      <c r="G840" s="82"/>
      <c r="H840" s="82"/>
      <c r="I840" s="82" t="s">
        <v>250</v>
      </c>
      <c r="J840" s="102" t="n">
        <f aca="false">IF(B840="","",MONTH(B840))</f>
        <v>6</v>
      </c>
      <c r="K840" s="102" t="n">
        <f aca="false">IF(B840="","",YEAR(B840))</f>
        <v>2026</v>
      </c>
      <c r="L840" s="102" t="str">
        <f aca="false">IF(N(E840)=0,"",IF(COUNTIFS(AK_NAMA,C840,AK_KAT,"KAS")+COUNTIFS(AK_NAMA,D840,AK_KAT,"KAS")&lt;&gt;1,"",IF(COUNTIFS(AK_NAMA,C840,AK_KAT,"KAS")=1,D840,C840)))</f>
        <v>Biaya Lainnya</v>
      </c>
      <c r="M840" s="103" t="n">
        <f aca="false">IF(L840="",0,IF(L840=D840,E840,-E840))</f>
        <v>-325</v>
      </c>
      <c r="N840" s="102" t="str">
        <f aca="false">IF(L840="","",IFERROR(INDEX(AK_BARIS,MATCH(L840,AK_NAMA,0)),"?"))</f>
        <v>OP2</v>
      </c>
      <c r="O840" s="102" t="str">
        <f aca="false">IF(C840="","",IFERROR(INDEX(AK_KEL,MATCH(C840,AK_NAMA,0)),"?"))</f>
        <v>BEBAN</v>
      </c>
      <c r="P840" s="102" t="str">
        <f aca="false">IF(D840="","",IFERROR(INDEX(AK_KEL,MATCH(D840,AK_NAMA,0)),"?"))</f>
        <v>ASET</v>
      </c>
      <c r="Q840" s="102" t="n">
        <f aca="false">N(Q839)+IF(AND(N(E840)&lt;&gt;0,K840=TAHUN,N(J840)&lt;=BLN,OR(C840=BB_AKUN,D840=BB_AKUN)),1,0)</f>
        <v>557</v>
      </c>
      <c r="R840" s="104" t="str">
        <f aca="false">IF(OR(C840&amp;D840="",N(E840)=0),"",IF(OR(O840="?",P840="?"),"⚠ akun tidak dikenal",IF(C840=D840,"⚠ debet = kredit","")))</f>
        <v/>
      </c>
    </row>
    <row r="841" customFormat="false" ht="15" hidden="false" customHeight="false" outlineLevel="0" collapsed="false">
      <c r="A841" s="82" t="s">
        <v>1855</v>
      </c>
      <c r="B841" s="101" t="n">
        <v>46201</v>
      </c>
      <c r="C841" s="82" t="s">
        <v>486</v>
      </c>
      <c r="D841" s="82" t="s">
        <v>475</v>
      </c>
      <c r="E841" s="91" t="n">
        <v>500000</v>
      </c>
      <c r="F841" s="82" t="s">
        <v>1624</v>
      </c>
      <c r="G841" s="82"/>
      <c r="H841" s="82"/>
      <c r="I841" s="82" t="s">
        <v>250</v>
      </c>
      <c r="J841" s="102" t="n">
        <f aca="false">IF(B841="","",MONTH(B841))</f>
        <v>6</v>
      </c>
      <c r="K841" s="102" t="n">
        <f aca="false">IF(B841="","",YEAR(B841))</f>
        <v>2026</v>
      </c>
      <c r="L841" s="102" t="str">
        <f aca="false">IF(N(E841)=0,"",IF(COUNTIFS(AK_NAMA,C841,AK_KAT,"KAS")+COUNTIFS(AK_NAMA,D841,AK_KAT,"KAS")&lt;&gt;1,"",IF(COUNTIFS(AK_NAMA,C841,AK_KAT,"KAS")=1,D841,C841)))</f>
        <v/>
      </c>
      <c r="M841" s="103" t="n">
        <f aca="false">IF(L841="",0,IF(L841=D841,E841,-E841))</f>
        <v>0</v>
      </c>
      <c r="N841" s="102" t="str">
        <f aca="false">IF(L841="","",IFERROR(INDEX(AK_BARIS,MATCH(L841,AK_NAMA,0)),"?"))</f>
        <v/>
      </c>
      <c r="O841" s="102" t="str">
        <f aca="false">IF(C841="","",IFERROR(INDEX(AK_KEL,MATCH(C841,AK_NAMA,0)),"?"))</f>
        <v>ASET</v>
      </c>
      <c r="P841" s="102" t="str">
        <f aca="false">IF(D841="","",IFERROR(INDEX(AK_KEL,MATCH(D841,AK_NAMA,0)),"?"))</f>
        <v>ASET</v>
      </c>
      <c r="Q841" s="102" t="n">
        <f aca="false">N(Q840)+IF(AND(N(E841)&lt;&gt;0,K841=TAHUN,N(J841)&lt;=BLN,OR(C841=BB_AKUN,D841=BB_AKUN)),1,0)</f>
        <v>557</v>
      </c>
      <c r="R841" s="104" t="str">
        <f aca="false">IF(OR(C841&amp;D841="",N(E841)=0),"",IF(OR(O841="?",P841="?"),"⚠ akun tidak dikenal",IF(C841=D841,"⚠ debet = kredit","")))</f>
        <v/>
      </c>
    </row>
    <row r="842" customFormat="false" ht="15" hidden="false" customHeight="false" outlineLevel="0" collapsed="false">
      <c r="A842" s="82" t="s">
        <v>1856</v>
      </c>
      <c r="B842" s="101" t="n">
        <v>46201</v>
      </c>
      <c r="C842" s="82" t="s">
        <v>461</v>
      </c>
      <c r="D842" s="82" t="s">
        <v>475</v>
      </c>
      <c r="E842" s="91" t="n">
        <v>8000000</v>
      </c>
      <c r="F842" s="82" t="s">
        <v>1298</v>
      </c>
      <c r="G842" s="82"/>
      <c r="H842" s="82"/>
      <c r="I842" s="82" t="s">
        <v>250</v>
      </c>
      <c r="J842" s="102" t="n">
        <f aca="false">IF(B842="","",MONTH(B842))</f>
        <v>6</v>
      </c>
      <c r="K842" s="102" t="n">
        <f aca="false">IF(B842="","",YEAR(B842))</f>
        <v>2026</v>
      </c>
      <c r="L842" s="102" t="str">
        <f aca="false">IF(N(E842)=0,"",IF(COUNTIFS(AK_NAMA,C842,AK_KAT,"KAS")+COUNTIFS(AK_NAMA,D842,AK_KAT,"KAS")&lt;&gt;1,"",IF(COUNTIFS(AK_NAMA,C842,AK_KAT,"KAS")=1,D842,C842)))</f>
        <v/>
      </c>
      <c r="M842" s="103" t="n">
        <f aca="false">IF(L842="",0,IF(L842=D842,E842,-E842))</f>
        <v>0</v>
      </c>
      <c r="N842" s="102" t="str">
        <f aca="false">IF(L842="","",IFERROR(INDEX(AK_BARIS,MATCH(L842,AK_NAMA,0)),"?"))</f>
        <v/>
      </c>
      <c r="O842" s="102" t="str">
        <f aca="false">IF(C842="","",IFERROR(INDEX(AK_KEL,MATCH(C842,AK_NAMA,0)),"?"))</f>
        <v>ASET</v>
      </c>
      <c r="P842" s="102" t="str">
        <f aca="false">IF(D842="","",IFERROR(INDEX(AK_KEL,MATCH(D842,AK_NAMA,0)),"?"))</f>
        <v>ASET</v>
      </c>
      <c r="Q842" s="102" t="n">
        <f aca="false">N(Q841)+IF(AND(N(E842)&lt;&gt;0,K842=TAHUN,N(J842)&lt;=BLN,OR(C842=BB_AKUN,D842=BB_AKUN)),1,0)</f>
        <v>558</v>
      </c>
      <c r="R842" s="104" t="str">
        <f aca="false">IF(OR(C842&amp;D842="",N(E842)=0),"",IF(OR(O842="?",P842="?"),"⚠ akun tidak dikenal",IF(C842=D842,"⚠ debet = kredit","")))</f>
        <v/>
      </c>
    </row>
    <row r="843" customFormat="false" ht="15" hidden="false" customHeight="false" outlineLevel="0" collapsed="false">
      <c r="A843" s="82" t="s">
        <v>1857</v>
      </c>
      <c r="B843" s="101" t="n">
        <v>46202</v>
      </c>
      <c r="C843" s="82" t="s">
        <v>475</v>
      </c>
      <c r="D843" s="82" t="s">
        <v>486</v>
      </c>
      <c r="E843" s="91" t="n">
        <v>175000</v>
      </c>
      <c r="F843" s="82" t="s">
        <v>1142</v>
      </c>
      <c r="G843" s="82"/>
      <c r="H843" s="82"/>
      <c r="I843" s="82" t="s">
        <v>250</v>
      </c>
      <c r="J843" s="102" t="n">
        <f aca="false">IF(B843="","",MONTH(B843))</f>
        <v>6</v>
      </c>
      <c r="K843" s="102" t="n">
        <f aca="false">IF(B843="","",YEAR(B843))</f>
        <v>2026</v>
      </c>
      <c r="L843" s="102" t="str">
        <f aca="false">IF(N(E843)=0,"",IF(COUNTIFS(AK_NAMA,C843,AK_KAT,"KAS")+COUNTIFS(AK_NAMA,D843,AK_KAT,"KAS")&lt;&gt;1,"",IF(COUNTIFS(AK_NAMA,C843,AK_KAT,"KAS")=1,D843,C843)))</f>
        <v/>
      </c>
      <c r="M843" s="103" t="n">
        <f aca="false">IF(L843="",0,IF(L843=D843,E843,-E843))</f>
        <v>0</v>
      </c>
      <c r="N843" s="102" t="str">
        <f aca="false">IF(L843="","",IFERROR(INDEX(AK_BARIS,MATCH(L843,AK_NAMA,0)),"?"))</f>
        <v/>
      </c>
      <c r="O843" s="102" t="str">
        <f aca="false">IF(C843="","",IFERROR(INDEX(AK_KEL,MATCH(C843,AK_NAMA,0)),"?"))</f>
        <v>ASET</v>
      </c>
      <c r="P843" s="102" t="str">
        <f aca="false">IF(D843="","",IFERROR(INDEX(AK_KEL,MATCH(D843,AK_NAMA,0)),"?"))</f>
        <v>ASET</v>
      </c>
      <c r="Q843" s="102" t="n">
        <f aca="false">N(Q842)+IF(AND(N(E843)&lt;&gt;0,K843=TAHUN,N(J843)&lt;=BLN,OR(C843=BB_AKUN,D843=BB_AKUN)),1,0)</f>
        <v>558</v>
      </c>
      <c r="R843" s="104" t="str">
        <f aca="false">IF(OR(C843&amp;D843="",N(E843)=0),"",IF(OR(O843="?",P843="?"),"⚠ akun tidak dikenal",IF(C843=D843,"⚠ debet = kredit","")))</f>
        <v/>
      </c>
    </row>
    <row r="844" customFormat="false" ht="15" hidden="false" customHeight="false" outlineLevel="0" collapsed="false">
      <c r="A844" s="82" t="s">
        <v>1858</v>
      </c>
      <c r="B844" s="101" t="n">
        <v>46202</v>
      </c>
      <c r="C844" s="82" t="s">
        <v>461</v>
      </c>
      <c r="D844" s="82" t="s">
        <v>486</v>
      </c>
      <c r="E844" s="91" t="n">
        <v>112078</v>
      </c>
      <c r="F844" s="82" t="s">
        <v>1859</v>
      </c>
      <c r="G844" s="82"/>
      <c r="H844" s="82"/>
      <c r="I844" s="82" t="s">
        <v>250</v>
      </c>
      <c r="J844" s="102" t="n">
        <f aca="false">IF(B844="","",MONTH(B844))</f>
        <v>6</v>
      </c>
      <c r="K844" s="102" t="n">
        <f aca="false">IF(B844="","",YEAR(B844))</f>
        <v>2026</v>
      </c>
      <c r="L844" s="102" t="str">
        <f aca="false">IF(N(E844)=0,"",IF(COUNTIFS(AK_NAMA,C844,AK_KAT,"KAS")+COUNTIFS(AK_NAMA,D844,AK_KAT,"KAS")&lt;&gt;1,"",IF(COUNTIFS(AK_NAMA,C844,AK_KAT,"KAS")=1,D844,C844)))</f>
        <v/>
      </c>
      <c r="M844" s="103" t="n">
        <f aca="false">IF(L844="",0,IF(L844=D844,E844,-E844))</f>
        <v>0</v>
      </c>
      <c r="N844" s="102" t="str">
        <f aca="false">IF(L844="","",IFERROR(INDEX(AK_BARIS,MATCH(L844,AK_NAMA,0)),"?"))</f>
        <v/>
      </c>
      <c r="O844" s="102" t="str">
        <f aca="false">IF(C844="","",IFERROR(INDEX(AK_KEL,MATCH(C844,AK_NAMA,0)),"?"))</f>
        <v>ASET</v>
      </c>
      <c r="P844" s="102" t="str">
        <f aca="false">IF(D844="","",IFERROR(INDEX(AK_KEL,MATCH(D844,AK_NAMA,0)),"?"))</f>
        <v>ASET</v>
      </c>
      <c r="Q844" s="102" t="n">
        <f aca="false">N(Q843)+IF(AND(N(E844)&lt;&gt;0,K844=TAHUN,N(J844)&lt;=BLN,OR(C844=BB_AKUN,D844=BB_AKUN)),1,0)</f>
        <v>559</v>
      </c>
      <c r="R844" s="104" t="str">
        <f aca="false">IF(OR(C844&amp;D844="",N(E844)=0),"",IF(OR(O844="?",P844="?"),"⚠ akun tidak dikenal",IF(C844=D844,"⚠ debet = kredit","")))</f>
        <v/>
      </c>
    </row>
    <row r="845" customFormat="false" ht="15" hidden="false" customHeight="false" outlineLevel="0" collapsed="false">
      <c r="A845" s="82" t="s">
        <v>1860</v>
      </c>
      <c r="B845" s="101" t="n">
        <v>46202</v>
      </c>
      <c r="C845" s="82" t="s">
        <v>470</v>
      </c>
      <c r="D845" s="82" t="s">
        <v>486</v>
      </c>
      <c r="E845" s="91" t="n">
        <v>4072300</v>
      </c>
      <c r="F845" s="82" t="s">
        <v>935</v>
      </c>
      <c r="G845" s="82"/>
      <c r="H845" s="82"/>
      <c r="I845" s="82" t="s">
        <v>250</v>
      </c>
      <c r="J845" s="102" t="n">
        <f aca="false">IF(B845="","",MONTH(B845))</f>
        <v>6</v>
      </c>
      <c r="K845" s="102" t="n">
        <f aca="false">IF(B845="","",YEAR(B845))</f>
        <v>2026</v>
      </c>
      <c r="L845" s="102" t="str">
        <f aca="false">IF(N(E845)=0,"",IF(COUNTIFS(AK_NAMA,C845,AK_KAT,"KAS")+COUNTIFS(AK_NAMA,D845,AK_KAT,"KAS")&lt;&gt;1,"",IF(COUNTIFS(AK_NAMA,C845,AK_KAT,"KAS")=1,D845,C845)))</f>
        <v>Biaya Bahan Baku</v>
      </c>
      <c r="M845" s="103" t="n">
        <f aca="false">IF(L845="",0,IF(L845=D845,E845,-E845))</f>
        <v>-4072300</v>
      </c>
      <c r="N845" s="102" t="str">
        <f aca="false">IF(L845="","",IFERROR(INDEX(AK_BARIS,MATCH(L845,AK_NAMA,0)),"?"))</f>
        <v>OP3</v>
      </c>
      <c r="O845" s="102" t="str">
        <f aca="false">IF(C845="","",IFERROR(INDEX(AK_KEL,MATCH(C845,AK_NAMA,0)),"?"))</f>
        <v>BEBAN</v>
      </c>
      <c r="P845" s="102" t="str">
        <f aca="false">IF(D845="","",IFERROR(INDEX(AK_KEL,MATCH(D845,AK_NAMA,0)),"?"))</f>
        <v>ASET</v>
      </c>
      <c r="Q845" s="102" t="n">
        <f aca="false">N(Q844)+IF(AND(N(E845)&lt;&gt;0,K845=TAHUN,N(J845)&lt;=BLN,OR(C845=BB_AKUN,D845=BB_AKUN)),1,0)</f>
        <v>559</v>
      </c>
      <c r="R845" s="104" t="str">
        <f aca="false">IF(OR(C845&amp;D845="",N(E845)=0),"",IF(OR(O845="?",P845="?"),"⚠ akun tidak dikenal",IF(C845=D845,"⚠ debet = kredit","")))</f>
        <v/>
      </c>
    </row>
    <row r="846" customFormat="false" ht="15" hidden="false" customHeight="false" outlineLevel="0" collapsed="false">
      <c r="A846" s="82" t="s">
        <v>1861</v>
      </c>
      <c r="B846" s="101" t="n">
        <v>46202</v>
      </c>
      <c r="C846" s="82" t="s">
        <v>478</v>
      </c>
      <c r="D846" s="82" t="s">
        <v>486</v>
      </c>
      <c r="E846" s="91" t="n">
        <v>73400</v>
      </c>
      <c r="F846" s="82" t="s">
        <v>937</v>
      </c>
      <c r="G846" s="82"/>
      <c r="H846" s="82"/>
      <c r="I846" s="82" t="s">
        <v>250</v>
      </c>
      <c r="J846" s="102" t="n">
        <f aca="false">IF(B846="","",MONTH(B846))</f>
        <v>6</v>
      </c>
      <c r="K846" s="102" t="n">
        <f aca="false">IF(B846="","",YEAR(B846))</f>
        <v>2026</v>
      </c>
      <c r="L846" s="102" t="str">
        <f aca="false">IF(N(E846)=0,"",IF(COUNTIFS(AK_NAMA,C846,AK_KAT,"KAS")+COUNTIFS(AK_NAMA,D846,AK_KAT,"KAS")&lt;&gt;1,"",IF(COUNTIFS(AK_NAMA,C846,AK_KAT,"KAS")=1,D846,C846)))</f>
        <v>Biaya Penyajian</v>
      </c>
      <c r="M846" s="103" t="n">
        <f aca="false">IF(L846="",0,IF(L846=D846,E846,-E846))</f>
        <v>-73400</v>
      </c>
      <c r="N846" s="102" t="str">
        <f aca="false">IF(L846="","",IFERROR(INDEX(AK_BARIS,MATCH(L846,AK_NAMA,0)),"?"))</f>
        <v>OP3</v>
      </c>
      <c r="O846" s="102" t="str">
        <f aca="false">IF(C846="","",IFERROR(INDEX(AK_KEL,MATCH(C846,AK_NAMA,0)),"?"))</f>
        <v>BEBAN</v>
      </c>
      <c r="P846" s="102" t="str">
        <f aca="false">IF(D846="","",IFERROR(INDEX(AK_KEL,MATCH(D846,AK_NAMA,0)),"?"))</f>
        <v>ASET</v>
      </c>
      <c r="Q846" s="102" t="n">
        <f aca="false">N(Q845)+IF(AND(N(E846)&lt;&gt;0,K846=TAHUN,N(J846)&lt;=BLN,OR(C846=BB_AKUN,D846=BB_AKUN)),1,0)</f>
        <v>559</v>
      </c>
      <c r="R846" s="104" t="str">
        <f aca="false">IF(OR(C846&amp;D846="",N(E846)=0),"",IF(OR(O846="?",P846="?"),"⚠ akun tidak dikenal",IF(C846=D846,"⚠ debet = kredit","")))</f>
        <v/>
      </c>
    </row>
    <row r="847" customFormat="false" ht="15" hidden="false" customHeight="false" outlineLevel="0" collapsed="false">
      <c r="A847" s="82" t="s">
        <v>1862</v>
      </c>
      <c r="B847" s="101" t="n">
        <v>46202</v>
      </c>
      <c r="C847" s="82" t="s">
        <v>548</v>
      </c>
      <c r="D847" s="82" t="s">
        <v>486</v>
      </c>
      <c r="E847" s="91" t="n">
        <v>22000</v>
      </c>
      <c r="F847" s="82" t="s">
        <v>939</v>
      </c>
      <c r="G847" s="82"/>
      <c r="H847" s="82"/>
      <c r="I847" s="82" t="s">
        <v>250</v>
      </c>
      <c r="J847" s="102" t="n">
        <f aca="false">IF(B847="","",MONTH(B847))</f>
        <v>6</v>
      </c>
      <c r="K847" s="102" t="n">
        <f aca="false">IF(B847="","",YEAR(B847))</f>
        <v>2026</v>
      </c>
      <c r="L847" s="102" t="str">
        <f aca="false">IF(N(E847)=0,"",IF(COUNTIFS(AK_NAMA,C847,AK_KAT,"KAS")+COUNTIFS(AK_NAMA,D847,AK_KAT,"KAS")&lt;&gt;1,"",IF(COUNTIFS(AK_NAMA,C847,AK_KAT,"KAS")=1,D847,C847)))</f>
        <v>Beban Perlengkapan</v>
      </c>
      <c r="M847" s="103" t="n">
        <f aca="false">IF(L847="",0,IF(L847=D847,E847,-E847))</f>
        <v>-22000</v>
      </c>
      <c r="N847" s="102" t="str">
        <f aca="false">IF(L847="","",IFERROR(INDEX(AK_BARIS,MATCH(L847,AK_NAMA,0)),"?"))</f>
        <v>OP6</v>
      </c>
      <c r="O847" s="102" t="str">
        <f aca="false">IF(C847="","",IFERROR(INDEX(AK_KEL,MATCH(C847,AK_NAMA,0)),"?"))</f>
        <v>BEBAN</v>
      </c>
      <c r="P847" s="102" t="str">
        <f aca="false">IF(D847="","",IFERROR(INDEX(AK_KEL,MATCH(D847,AK_NAMA,0)),"?"))</f>
        <v>ASET</v>
      </c>
      <c r="Q847" s="102" t="n">
        <f aca="false">N(Q846)+IF(AND(N(E847)&lt;&gt;0,K847=TAHUN,N(J847)&lt;=BLN,OR(C847=BB_AKUN,D847=BB_AKUN)),1,0)</f>
        <v>559</v>
      </c>
      <c r="R847" s="104" t="str">
        <f aca="false">IF(OR(C847&amp;D847="",N(E847)=0),"",IF(OR(O847="?",P847="?"),"⚠ akun tidak dikenal",IF(C847=D847,"⚠ debet = kredit","")))</f>
        <v/>
      </c>
    </row>
    <row r="848" customFormat="false" ht="15" hidden="false" customHeight="false" outlineLevel="0" collapsed="false">
      <c r="A848" s="82" t="s">
        <v>1863</v>
      </c>
      <c r="B848" s="101" t="n">
        <v>46202</v>
      </c>
      <c r="C848" s="82" t="s">
        <v>485</v>
      </c>
      <c r="D848" s="82" t="s">
        <v>486</v>
      </c>
      <c r="E848" s="91" t="n">
        <v>25000</v>
      </c>
      <c r="F848" s="82" t="s">
        <v>553</v>
      </c>
      <c r="G848" s="82"/>
      <c r="H848" s="82"/>
      <c r="I848" s="82" t="s">
        <v>250</v>
      </c>
      <c r="J848" s="102" t="n">
        <f aca="false">IF(B848="","",MONTH(B848))</f>
        <v>6</v>
      </c>
      <c r="K848" s="102" t="n">
        <f aca="false">IF(B848="","",YEAR(B848))</f>
        <v>2026</v>
      </c>
      <c r="L848" s="102" t="str">
        <f aca="false">IF(N(E848)=0,"",IF(COUNTIFS(AK_NAMA,C848,AK_KAT,"KAS")+COUNTIFS(AK_NAMA,D848,AK_KAT,"KAS")&lt;&gt;1,"",IF(COUNTIFS(AK_NAMA,C848,AK_KAT,"KAS")=1,D848,C848)))</f>
        <v>Biaya Operasional Harian</v>
      </c>
      <c r="M848" s="103" t="n">
        <f aca="false">IF(L848="",0,IF(L848=D848,E848,-E848))</f>
        <v>-25000</v>
      </c>
      <c r="N848" s="102" t="str">
        <f aca="false">IF(L848="","",IFERROR(INDEX(AK_BARIS,MATCH(L848,AK_NAMA,0)),"?"))</f>
        <v>OP6</v>
      </c>
      <c r="O848" s="102" t="str">
        <f aca="false">IF(C848="","",IFERROR(INDEX(AK_KEL,MATCH(C848,AK_NAMA,0)),"?"))</f>
        <v>BEBAN</v>
      </c>
      <c r="P848" s="102" t="str">
        <f aca="false">IF(D848="","",IFERROR(INDEX(AK_KEL,MATCH(D848,AK_NAMA,0)),"?"))</f>
        <v>ASET</v>
      </c>
      <c r="Q848" s="102" t="n">
        <f aca="false">N(Q847)+IF(AND(N(E848)&lt;&gt;0,K848=TAHUN,N(J848)&lt;=BLN,OR(C848=BB_AKUN,D848=BB_AKUN)),1,0)</f>
        <v>559</v>
      </c>
      <c r="R848" s="104" t="str">
        <f aca="false">IF(OR(C848&amp;D848="",N(E848)=0),"",IF(OR(O848="?",P848="?"),"⚠ akun tidak dikenal",IF(C848=D848,"⚠ debet = kredit","")))</f>
        <v/>
      </c>
    </row>
    <row r="849" customFormat="false" ht="15" hidden="false" customHeight="false" outlineLevel="0" collapsed="false">
      <c r="A849" s="82" t="s">
        <v>1864</v>
      </c>
      <c r="B849" s="101" t="n">
        <v>46202</v>
      </c>
      <c r="C849" s="82" t="s">
        <v>485</v>
      </c>
      <c r="D849" s="82" t="s">
        <v>486</v>
      </c>
      <c r="E849" s="91" t="n">
        <v>12000</v>
      </c>
      <c r="F849" s="82" t="s">
        <v>555</v>
      </c>
      <c r="G849" s="82"/>
      <c r="H849" s="82"/>
      <c r="I849" s="82" t="s">
        <v>250</v>
      </c>
      <c r="J849" s="102" t="n">
        <f aca="false">IF(B849="","",MONTH(B849))</f>
        <v>6</v>
      </c>
      <c r="K849" s="102" t="n">
        <f aca="false">IF(B849="","",YEAR(B849))</f>
        <v>2026</v>
      </c>
      <c r="L849" s="102" t="str">
        <f aca="false">IF(N(E849)=0,"",IF(COUNTIFS(AK_NAMA,C849,AK_KAT,"KAS")+COUNTIFS(AK_NAMA,D849,AK_KAT,"KAS")&lt;&gt;1,"",IF(COUNTIFS(AK_NAMA,C849,AK_KAT,"KAS")=1,D849,C849)))</f>
        <v>Biaya Operasional Harian</v>
      </c>
      <c r="M849" s="103" t="n">
        <f aca="false">IF(L849="",0,IF(L849=D849,E849,-E849))</f>
        <v>-12000</v>
      </c>
      <c r="N849" s="102" t="str">
        <f aca="false">IF(L849="","",IFERROR(INDEX(AK_BARIS,MATCH(L849,AK_NAMA,0)),"?"))</f>
        <v>OP6</v>
      </c>
      <c r="O849" s="102" t="str">
        <f aca="false">IF(C849="","",IFERROR(INDEX(AK_KEL,MATCH(C849,AK_NAMA,0)),"?"))</f>
        <v>BEBAN</v>
      </c>
      <c r="P849" s="102" t="str">
        <f aca="false">IF(D849="","",IFERROR(INDEX(AK_KEL,MATCH(D849,AK_NAMA,0)),"?"))</f>
        <v>ASET</v>
      </c>
      <c r="Q849" s="102" t="n">
        <f aca="false">N(Q848)+IF(AND(N(E849)&lt;&gt;0,K849=TAHUN,N(J849)&lt;=BLN,OR(C849=BB_AKUN,D849=BB_AKUN)),1,0)</f>
        <v>559</v>
      </c>
      <c r="R849" s="104" t="str">
        <f aca="false">IF(OR(C849&amp;D849="",N(E849)=0),"",IF(OR(O849="?",P849="?"),"⚠ akun tidak dikenal",IF(C849=D849,"⚠ debet = kredit","")))</f>
        <v/>
      </c>
    </row>
    <row r="850" customFormat="false" ht="15" hidden="false" customHeight="false" outlineLevel="0" collapsed="false">
      <c r="A850" s="82" t="s">
        <v>1865</v>
      </c>
      <c r="B850" s="101" t="n">
        <v>46202</v>
      </c>
      <c r="C850" s="82" t="s">
        <v>524</v>
      </c>
      <c r="D850" s="82" t="s">
        <v>486</v>
      </c>
      <c r="E850" s="91" t="n">
        <v>8222</v>
      </c>
      <c r="F850" s="82" t="s">
        <v>1414</v>
      </c>
      <c r="G850" s="82"/>
      <c r="H850" s="82"/>
      <c r="I850" s="82" t="s">
        <v>250</v>
      </c>
      <c r="J850" s="102" t="n">
        <f aca="false">IF(B850="","",MONTH(B850))</f>
        <v>6</v>
      </c>
      <c r="K850" s="102" t="n">
        <f aca="false">IF(B850="","",YEAR(B850))</f>
        <v>2026</v>
      </c>
      <c r="L850" s="102" t="str">
        <f aca="false">IF(N(E850)=0,"",IF(COUNTIFS(AK_NAMA,C850,AK_KAT,"KAS")+COUNTIFS(AK_NAMA,D850,AK_KAT,"KAS")&lt;&gt;1,"",IF(COUNTIFS(AK_NAMA,C850,AK_KAT,"KAS")=1,D850,C850)))</f>
        <v>Biaya Lainnya</v>
      </c>
      <c r="M850" s="103" t="n">
        <f aca="false">IF(L850="",0,IF(L850=D850,E850,-E850))</f>
        <v>-8222</v>
      </c>
      <c r="N850" s="102" t="str">
        <f aca="false">IF(L850="","",IFERROR(INDEX(AK_BARIS,MATCH(L850,AK_NAMA,0)),"?"))</f>
        <v>OP2</v>
      </c>
      <c r="O850" s="102" t="str">
        <f aca="false">IF(C850="","",IFERROR(INDEX(AK_KEL,MATCH(C850,AK_NAMA,0)),"?"))</f>
        <v>BEBAN</v>
      </c>
      <c r="P850" s="102" t="str">
        <f aca="false">IF(D850="","",IFERROR(INDEX(AK_KEL,MATCH(D850,AK_NAMA,0)),"?"))</f>
        <v>ASET</v>
      </c>
      <c r="Q850" s="102" t="n">
        <f aca="false">N(Q849)+IF(AND(N(E850)&lt;&gt;0,K850=TAHUN,N(J850)&lt;=BLN,OR(C850=BB_AKUN,D850=BB_AKUN)),1,0)</f>
        <v>559</v>
      </c>
      <c r="R850" s="104" t="str">
        <f aca="false">IF(OR(C850&amp;D850="",N(E850)=0),"",IF(OR(O850="?",P850="?"),"⚠ akun tidak dikenal",IF(C850=D850,"⚠ debet = kredit","")))</f>
        <v/>
      </c>
    </row>
    <row r="851" customFormat="false" ht="15" hidden="false" customHeight="false" outlineLevel="0" collapsed="false">
      <c r="A851" s="82" t="s">
        <v>1866</v>
      </c>
      <c r="B851" s="101" t="n">
        <v>46202</v>
      </c>
      <c r="C851" s="82" t="s">
        <v>470</v>
      </c>
      <c r="D851" s="82" t="s">
        <v>461</v>
      </c>
      <c r="E851" s="91" t="n">
        <v>165000</v>
      </c>
      <c r="F851" s="82" t="s">
        <v>1867</v>
      </c>
      <c r="G851" s="82"/>
      <c r="H851" s="82"/>
      <c r="I851" s="82" t="s">
        <v>250</v>
      </c>
      <c r="J851" s="102" t="n">
        <f aca="false">IF(B851="","",MONTH(B851))</f>
        <v>6</v>
      </c>
      <c r="K851" s="102" t="n">
        <f aca="false">IF(B851="","",YEAR(B851))</f>
        <v>2026</v>
      </c>
      <c r="L851" s="102" t="str">
        <f aca="false">IF(N(E851)=0,"",IF(COUNTIFS(AK_NAMA,C851,AK_KAT,"KAS")+COUNTIFS(AK_NAMA,D851,AK_KAT,"KAS")&lt;&gt;1,"",IF(COUNTIFS(AK_NAMA,C851,AK_KAT,"KAS")=1,D851,C851)))</f>
        <v>Biaya Bahan Baku</v>
      </c>
      <c r="M851" s="103" t="n">
        <f aca="false">IF(L851="",0,IF(L851=D851,E851,-E851))</f>
        <v>-165000</v>
      </c>
      <c r="N851" s="102" t="str">
        <f aca="false">IF(L851="","",IFERROR(INDEX(AK_BARIS,MATCH(L851,AK_NAMA,0)),"?"))</f>
        <v>OP3</v>
      </c>
      <c r="O851" s="102" t="str">
        <f aca="false">IF(C851="","",IFERROR(INDEX(AK_KEL,MATCH(C851,AK_NAMA,0)),"?"))</f>
        <v>BEBAN</v>
      </c>
      <c r="P851" s="102" t="str">
        <f aca="false">IF(D851="","",IFERROR(INDEX(AK_KEL,MATCH(D851,AK_NAMA,0)),"?"))</f>
        <v>ASET</v>
      </c>
      <c r="Q851" s="102" t="n">
        <f aca="false">N(Q850)+IF(AND(N(E851)&lt;&gt;0,K851=TAHUN,N(J851)&lt;=BLN,OR(C851=BB_AKUN,D851=BB_AKUN)),1,0)</f>
        <v>560</v>
      </c>
      <c r="R851" s="104" t="str">
        <f aca="false">IF(OR(C851&amp;D851="",N(E851)=0),"",IF(OR(O851="?",P851="?"),"⚠ akun tidak dikenal",IF(C851=D851,"⚠ debet = kredit","")))</f>
        <v/>
      </c>
    </row>
    <row r="852" customFormat="false" ht="15" hidden="false" customHeight="false" outlineLevel="0" collapsed="false">
      <c r="A852" s="82" t="s">
        <v>1868</v>
      </c>
      <c r="B852" s="101" t="n">
        <v>46202</v>
      </c>
      <c r="C852" s="82" t="s">
        <v>576</v>
      </c>
      <c r="D852" s="82" t="s">
        <v>461</v>
      </c>
      <c r="E852" s="91" t="n">
        <v>22993333</v>
      </c>
      <c r="F852" s="82" t="s">
        <v>724</v>
      </c>
      <c r="G852" s="82"/>
      <c r="H852" s="82"/>
      <c r="I852" s="82" t="s">
        <v>250</v>
      </c>
      <c r="J852" s="102" t="n">
        <f aca="false">IF(B852="","",MONTH(B852))</f>
        <v>6</v>
      </c>
      <c r="K852" s="102" t="n">
        <f aca="false">IF(B852="","",YEAR(B852))</f>
        <v>2026</v>
      </c>
      <c r="L852" s="102" t="str">
        <f aca="false">IF(N(E852)=0,"",IF(COUNTIFS(AK_NAMA,C852,AK_KAT,"KAS")+COUNTIFS(AK_NAMA,D852,AK_KAT,"KAS")&lt;&gt;1,"",IF(COUNTIFS(AK_NAMA,C852,AK_KAT,"KAS")=1,D852,C852)))</f>
        <v>Beban Gaji</v>
      </c>
      <c r="M852" s="103" t="n">
        <f aca="false">IF(L852="",0,IF(L852=D852,E852,-E852))</f>
        <v>-22993333</v>
      </c>
      <c r="N852" s="102" t="str">
        <f aca="false">IF(L852="","",IFERROR(INDEX(AK_BARIS,MATCH(L852,AK_NAMA,0)),"?"))</f>
        <v>OP4</v>
      </c>
      <c r="O852" s="102" t="str">
        <f aca="false">IF(C852="","",IFERROR(INDEX(AK_KEL,MATCH(C852,AK_NAMA,0)),"?"))</f>
        <v>BEBAN</v>
      </c>
      <c r="P852" s="102" t="str">
        <f aca="false">IF(D852="","",IFERROR(INDEX(AK_KEL,MATCH(D852,AK_NAMA,0)),"?"))</f>
        <v>ASET</v>
      </c>
      <c r="Q852" s="102" t="n">
        <f aca="false">N(Q851)+IF(AND(N(E852)&lt;&gt;0,K852=TAHUN,N(J852)&lt;=BLN,OR(C852=BB_AKUN,D852=BB_AKUN)),1,0)</f>
        <v>561</v>
      </c>
      <c r="R852" s="104" t="str">
        <f aca="false">IF(OR(C852&amp;D852="",N(E852)=0),"",IF(OR(O852="?",P852="?"),"⚠ akun tidak dikenal",IF(C852=D852,"⚠ debet = kredit","")))</f>
        <v/>
      </c>
    </row>
    <row r="853" customFormat="false" ht="15" hidden="false" customHeight="false" outlineLevel="0" collapsed="false">
      <c r="A853" s="82" t="s">
        <v>1869</v>
      </c>
      <c r="B853" s="101" t="n">
        <v>46202</v>
      </c>
      <c r="C853" s="82" t="s">
        <v>576</v>
      </c>
      <c r="D853" s="82" t="s">
        <v>461</v>
      </c>
      <c r="E853" s="91" t="n">
        <v>2300000</v>
      </c>
      <c r="F853" s="82" t="s">
        <v>726</v>
      </c>
      <c r="G853" s="82"/>
      <c r="H853" s="82"/>
      <c r="I853" s="82" t="s">
        <v>250</v>
      </c>
      <c r="J853" s="102" t="n">
        <f aca="false">IF(B853="","",MONTH(B853))</f>
        <v>6</v>
      </c>
      <c r="K853" s="102" t="n">
        <f aca="false">IF(B853="","",YEAR(B853))</f>
        <v>2026</v>
      </c>
      <c r="L853" s="102" t="str">
        <f aca="false">IF(N(E853)=0,"",IF(COUNTIFS(AK_NAMA,C853,AK_KAT,"KAS")+COUNTIFS(AK_NAMA,D853,AK_KAT,"KAS")&lt;&gt;1,"",IF(COUNTIFS(AK_NAMA,C853,AK_KAT,"KAS")=1,D853,C853)))</f>
        <v>Beban Gaji</v>
      </c>
      <c r="M853" s="103" t="n">
        <f aca="false">IF(L853="",0,IF(L853=D853,E853,-E853))</f>
        <v>-2300000</v>
      </c>
      <c r="N853" s="102" t="str">
        <f aca="false">IF(L853="","",IFERROR(INDEX(AK_BARIS,MATCH(L853,AK_NAMA,0)),"?"))</f>
        <v>OP4</v>
      </c>
      <c r="O853" s="102" t="str">
        <f aca="false">IF(C853="","",IFERROR(INDEX(AK_KEL,MATCH(C853,AK_NAMA,0)),"?"))</f>
        <v>BEBAN</v>
      </c>
      <c r="P853" s="102" t="str">
        <f aca="false">IF(D853="","",IFERROR(INDEX(AK_KEL,MATCH(D853,AK_NAMA,0)),"?"))</f>
        <v>ASET</v>
      </c>
      <c r="Q853" s="102" t="n">
        <f aca="false">N(Q852)+IF(AND(N(E853)&lt;&gt;0,K853=TAHUN,N(J853)&lt;=BLN,OR(C853=BB_AKUN,D853=BB_AKUN)),1,0)</f>
        <v>562</v>
      </c>
      <c r="R853" s="104" t="str">
        <f aca="false">IF(OR(C853&amp;D853="",N(E853)=0),"",IF(OR(O853="?",P853="?"),"⚠ akun tidak dikenal",IF(C853=D853,"⚠ debet = kredit","")))</f>
        <v/>
      </c>
    </row>
    <row r="854" customFormat="false" ht="15" hidden="false" customHeight="false" outlineLevel="0" collapsed="false">
      <c r="A854" s="82" t="s">
        <v>1870</v>
      </c>
      <c r="B854" s="101" t="n">
        <v>46202</v>
      </c>
      <c r="C854" s="82" t="s">
        <v>461</v>
      </c>
      <c r="D854" s="82" t="s">
        <v>718</v>
      </c>
      <c r="E854" s="91" t="n">
        <v>333333</v>
      </c>
      <c r="F854" s="82" t="s">
        <v>1641</v>
      </c>
      <c r="G854" s="82"/>
      <c r="H854" s="82" t="s">
        <v>1521</v>
      </c>
      <c r="I854" s="82" t="s">
        <v>250</v>
      </c>
      <c r="J854" s="102" t="n">
        <f aca="false">IF(B854="","",MONTH(B854))</f>
        <v>6</v>
      </c>
      <c r="K854" s="102" t="n">
        <f aca="false">IF(B854="","",YEAR(B854))</f>
        <v>2026</v>
      </c>
      <c r="L854" s="102" t="str">
        <f aca="false">IF(N(E854)=0,"",IF(COUNTIFS(AK_NAMA,C854,AK_KAT,"KAS")+COUNTIFS(AK_NAMA,D854,AK_KAT,"KAS")&lt;&gt;1,"",IF(COUNTIFS(AK_NAMA,C854,AK_KAT,"KAS")=1,D854,C854)))</f>
        <v>Piutang Lainnya</v>
      </c>
      <c r="M854" s="103" t="n">
        <f aca="false">IF(L854="",0,IF(L854=D854,E854,-E854))</f>
        <v>333333</v>
      </c>
      <c r="N854" s="102" t="str">
        <f aca="false">IF(L854="","",IFERROR(INDEX(AK_BARIS,MATCH(L854,AK_NAMA,0)),"?"))</f>
        <v>OP2</v>
      </c>
      <c r="O854" s="102" t="str">
        <f aca="false">IF(C854="","",IFERROR(INDEX(AK_KEL,MATCH(C854,AK_NAMA,0)),"?"))</f>
        <v>ASET</v>
      </c>
      <c r="P854" s="102" t="str">
        <f aca="false">IF(D854="","",IFERROR(INDEX(AK_KEL,MATCH(D854,AK_NAMA,0)),"?"))</f>
        <v>ASET</v>
      </c>
      <c r="Q854" s="102" t="n">
        <f aca="false">N(Q853)+IF(AND(N(E854)&lt;&gt;0,K854=TAHUN,N(J854)&lt;=BLN,OR(C854=BB_AKUN,D854=BB_AKUN)),1,0)</f>
        <v>563</v>
      </c>
      <c r="R854" s="104" t="str">
        <f aca="false">IF(OR(C854&amp;D854="",N(E854)=0),"",IF(OR(O854="?",P854="?"),"⚠ akun tidak dikenal",IF(C854=D854,"⚠ debet = kredit","")))</f>
        <v/>
      </c>
    </row>
    <row r="855" customFormat="false" ht="15" hidden="false" customHeight="false" outlineLevel="0" collapsed="false">
      <c r="A855" s="82" t="s">
        <v>1871</v>
      </c>
      <c r="B855" s="101" t="n">
        <v>46202</v>
      </c>
      <c r="C855" s="82" t="s">
        <v>524</v>
      </c>
      <c r="D855" s="82" t="s">
        <v>461</v>
      </c>
      <c r="E855" s="91" t="n">
        <v>15652</v>
      </c>
      <c r="F855" s="82" t="s">
        <v>728</v>
      </c>
      <c r="G855" s="82"/>
      <c r="H855" s="82"/>
      <c r="I855" s="82" t="s">
        <v>250</v>
      </c>
      <c r="J855" s="102" t="n">
        <f aca="false">IF(B855="","",MONTH(B855))</f>
        <v>6</v>
      </c>
      <c r="K855" s="102" t="n">
        <f aca="false">IF(B855="","",YEAR(B855))</f>
        <v>2026</v>
      </c>
      <c r="L855" s="102" t="str">
        <f aca="false">IF(N(E855)=0,"",IF(COUNTIFS(AK_NAMA,C855,AK_KAT,"KAS")+COUNTIFS(AK_NAMA,D855,AK_KAT,"KAS")&lt;&gt;1,"",IF(COUNTIFS(AK_NAMA,C855,AK_KAT,"KAS")=1,D855,C855)))</f>
        <v>Biaya Lainnya</v>
      </c>
      <c r="M855" s="103" t="n">
        <f aca="false">IF(L855="",0,IF(L855=D855,E855,-E855))</f>
        <v>-15652</v>
      </c>
      <c r="N855" s="102" t="str">
        <f aca="false">IF(L855="","",IFERROR(INDEX(AK_BARIS,MATCH(L855,AK_NAMA,0)),"?"))</f>
        <v>OP2</v>
      </c>
      <c r="O855" s="102" t="str">
        <f aca="false">IF(C855="","",IFERROR(INDEX(AK_KEL,MATCH(C855,AK_NAMA,0)),"?"))</f>
        <v>BEBAN</v>
      </c>
      <c r="P855" s="102" t="str">
        <f aca="false">IF(D855="","",IFERROR(INDEX(AK_KEL,MATCH(D855,AK_NAMA,0)),"?"))</f>
        <v>ASET</v>
      </c>
      <c r="Q855" s="102" t="n">
        <f aca="false">N(Q854)+IF(AND(N(E855)&lt;&gt;0,K855=TAHUN,N(J855)&lt;=BLN,OR(C855=BB_AKUN,D855=BB_AKUN)),1,0)</f>
        <v>564</v>
      </c>
      <c r="R855" s="104" t="str">
        <f aca="false">IF(OR(C855&amp;D855="",N(E855)=0),"",IF(OR(O855="?",P855="?"),"⚠ akun tidak dikenal",IF(C855=D855,"⚠ debet = kredit","")))</f>
        <v/>
      </c>
    </row>
    <row r="856" customFormat="false" ht="15" hidden="false" customHeight="false" outlineLevel="0" collapsed="false">
      <c r="A856" s="82" t="s">
        <v>1872</v>
      </c>
      <c r="B856" s="101" t="n">
        <v>46202</v>
      </c>
      <c r="C856" s="82" t="s">
        <v>576</v>
      </c>
      <c r="D856" s="82" t="s">
        <v>461</v>
      </c>
      <c r="E856" s="91" t="n">
        <v>4000000</v>
      </c>
      <c r="F856" s="82" t="s">
        <v>1873</v>
      </c>
      <c r="G856" s="82"/>
      <c r="H856" s="82"/>
      <c r="I856" s="82" t="s">
        <v>250</v>
      </c>
      <c r="J856" s="102" t="n">
        <f aca="false">IF(B856="","",MONTH(B856))</f>
        <v>6</v>
      </c>
      <c r="K856" s="102" t="n">
        <f aca="false">IF(B856="","",YEAR(B856))</f>
        <v>2026</v>
      </c>
      <c r="L856" s="102" t="str">
        <f aca="false">IF(N(E856)=0,"",IF(COUNTIFS(AK_NAMA,C856,AK_KAT,"KAS")+COUNTIFS(AK_NAMA,D856,AK_KAT,"KAS")&lt;&gt;1,"",IF(COUNTIFS(AK_NAMA,C856,AK_KAT,"KAS")=1,D856,C856)))</f>
        <v>Beban Gaji</v>
      </c>
      <c r="M856" s="103" t="n">
        <f aca="false">IF(L856="",0,IF(L856=D856,E856,-E856))</f>
        <v>-4000000</v>
      </c>
      <c r="N856" s="102" t="str">
        <f aca="false">IF(L856="","",IFERROR(INDEX(AK_BARIS,MATCH(L856,AK_NAMA,0)),"?"))</f>
        <v>OP4</v>
      </c>
      <c r="O856" s="102" t="str">
        <f aca="false">IF(C856="","",IFERROR(INDEX(AK_KEL,MATCH(C856,AK_NAMA,0)),"?"))</f>
        <v>BEBAN</v>
      </c>
      <c r="P856" s="102" t="str">
        <f aca="false">IF(D856="","",IFERROR(INDEX(AK_KEL,MATCH(D856,AK_NAMA,0)),"?"))</f>
        <v>ASET</v>
      </c>
      <c r="Q856" s="102" t="n">
        <f aca="false">N(Q855)+IF(AND(N(E856)&lt;&gt;0,K856=TAHUN,N(J856)&lt;=BLN,OR(C856=BB_AKUN,D856=BB_AKUN)),1,0)</f>
        <v>565</v>
      </c>
      <c r="R856" s="104" t="str">
        <f aca="false">IF(OR(C856&amp;D856="",N(E856)=0),"",IF(OR(O856="?",P856="?"),"⚠ akun tidak dikenal",IF(C856=D856,"⚠ debet = kredit","")))</f>
        <v/>
      </c>
    </row>
    <row r="857" customFormat="false" ht="15" hidden="false" customHeight="false" outlineLevel="0" collapsed="false">
      <c r="A857" s="82" t="s">
        <v>1874</v>
      </c>
      <c r="B857" s="101" t="n">
        <v>46202</v>
      </c>
      <c r="C857" s="82" t="s">
        <v>464</v>
      </c>
      <c r="D857" s="82" t="s">
        <v>461</v>
      </c>
      <c r="E857" s="91" t="n">
        <v>2500000</v>
      </c>
      <c r="F857" s="82" t="s">
        <v>1875</v>
      </c>
      <c r="G857" s="82"/>
      <c r="H857" s="82"/>
      <c r="I857" s="82" t="s">
        <v>250</v>
      </c>
      <c r="J857" s="102" t="n">
        <f aca="false">IF(B857="","",MONTH(B857))</f>
        <v>6</v>
      </c>
      <c r="K857" s="102" t="n">
        <f aca="false">IF(B857="","",YEAR(B857))</f>
        <v>2026</v>
      </c>
      <c r="L857" s="102" t="str">
        <f aca="false">IF(N(E857)=0,"",IF(COUNTIFS(AK_NAMA,C857,AK_KAT,"KAS")+COUNTIFS(AK_NAMA,D857,AK_KAT,"KAS")&lt;&gt;1,"",IF(COUNTIFS(AK_NAMA,C857,AK_KAT,"KAS")=1,D857,C857)))</f>
        <v>Prive</v>
      </c>
      <c r="M857" s="103" t="n">
        <f aca="false">IF(L857="",0,IF(L857=D857,E857,-E857))</f>
        <v>-2500000</v>
      </c>
      <c r="N857" s="102" t="str">
        <f aca="false">IF(L857="","",IFERROR(INDEX(AK_BARIS,MATCH(L857,AK_NAMA,0)),"?"))</f>
        <v>FN1</v>
      </c>
      <c r="O857" s="102" t="str">
        <f aca="false">IF(C857="","",IFERROR(INDEX(AK_KEL,MATCH(C857,AK_NAMA,0)),"?"))</f>
        <v>EKUITAS</v>
      </c>
      <c r="P857" s="102" t="str">
        <f aca="false">IF(D857="","",IFERROR(INDEX(AK_KEL,MATCH(D857,AK_NAMA,0)),"?"))</f>
        <v>ASET</v>
      </c>
      <c r="Q857" s="102" t="n">
        <f aca="false">N(Q856)+IF(AND(N(E857)&lt;&gt;0,K857=TAHUN,N(J857)&lt;=BLN,OR(C857=BB_AKUN,D857=BB_AKUN)),1,0)</f>
        <v>566</v>
      </c>
      <c r="R857" s="104" t="str">
        <f aca="false">IF(OR(C857&amp;D857="",N(E857)=0),"",IF(OR(O857="?",P857="?"),"⚠ akun tidak dikenal",IF(C857=D857,"⚠ debet = kredit","")))</f>
        <v/>
      </c>
    </row>
    <row r="858" customFormat="false" ht="15" hidden="false" customHeight="false" outlineLevel="0" collapsed="false">
      <c r="A858" s="82" t="s">
        <v>1876</v>
      </c>
      <c r="B858" s="101" t="n">
        <v>46202</v>
      </c>
      <c r="C858" s="82" t="s">
        <v>461</v>
      </c>
      <c r="D858" s="82" t="s">
        <v>475</v>
      </c>
      <c r="E858" s="91" t="n">
        <v>76000</v>
      </c>
      <c r="F858" s="82" t="s">
        <v>1538</v>
      </c>
      <c r="G858" s="82"/>
      <c r="H858" s="82"/>
      <c r="I858" s="82" t="s">
        <v>250</v>
      </c>
      <c r="J858" s="102" t="n">
        <f aca="false">IF(B858="","",MONTH(B858))</f>
        <v>6</v>
      </c>
      <c r="K858" s="102" t="n">
        <f aca="false">IF(B858="","",YEAR(B858))</f>
        <v>2026</v>
      </c>
      <c r="L858" s="102" t="str">
        <f aca="false">IF(N(E858)=0,"",IF(COUNTIFS(AK_NAMA,C858,AK_KAT,"KAS")+COUNTIFS(AK_NAMA,D858,AK_KAT,"KAS")&lt;&gt;1,"",IF(COUNTIFS(AK_NAMA,C858,AK_KAT,"KAS")=1,D858,C858)))</f>
        <v/>
      </c>
      <c r="M858" s="103" t="n">
        <f aca="false">IF(L858="",0,IF(L858=D858,E858,-E858))</f>
        <v>0</v>
      </c>
      <c r="N858" s="102" t="str">
        <f aca="false">IF(L858="","",IFERROR(INDEX(AK_BARIS,MATCH(L858,AK_NAMA,0)),"?"))</f>
        <v/>
      </c>
      <c r="O858" s="102" t="str">
        <f aca="false">IF(C858="","",IFERROR(INDEX(AK_KEL,MATCH(C858,AK_NAMA,0)),"?"))</f>
        <v>ASET</v>
      </c>
      <c r="P858" s="102" t="str">
        <f aca="false">IF(D858="","",IFERROR(INDEX(AK_KEL,MATCH(D858,AK_NAMA,0)),"?"))</f>
        <v>ASET</v>
      </c>
      <c r="Q858" s="102" t="n">
        <f aca="false">N(Q857)+IF(AND(N(E858)&lt;&gt;0,K858=TAHUN,N(J858)&lt;=BLN,OR(C858=BB_AKUN,D858=BB_AKUN)),1,0)</f>
        <v>567</v>
      </c>
      <c r="R858" s="104" t="str">
        <f aca="false">IF(OR(C858&amp;D858="",N(E858)=0),"",IF(OR(O858="?",P858="?"),"⚠ akun tidak dikenal",IF(C858=D858,"⚠ debet = kredit","")))</f>
        <v/>
      </c>
    </row>
    <row r="859" customFormat="false" ht="15" hidden="false" customHeight="false" outlineLevel="0" collapsed="false">
      <c r="A859" s="82" t="s">
        <v>1877</v>
      </c>
      <c r="B859" s="101" t="n">
        <v>46202</v>
      </c>
      <c r="C859" s="82" t="s">
        <v>461</v>
      </c>
      <c r="D859" s="82" t="s">
        <v>475</v>
      </c>
      <c r="E859" s="91" t="n">
        <v>1300000</v>
      </c>
      <c r="F859" s="82" t="s">
        <v>1878</v>
      </c>
      <c r="G859" s="82"/>
      <c r="H859" s="82"/>
      <c r="I859" s="82" t="s">
        <v>250</v>
      </c>
      <c r="J859" s="102" t="n">
        <f aca="false">IF(B859="","",MONTH(B859))</f>
        <v>6</v>
      </c>
      <c r="K859" s="102" t="n">
        <f aca="false">IF(B859="","",YEAR(B859))</f>
        <v>2026</v>
      </c>
      <c r="L859" s="102" t="str">
        <f aca="false">IF(N(E859)=0,"",IF(COUNTIFS(AK_NAMA,C859,AK_KAT,"KAS")+COUNTIFS(AK_NAMA,D859,AK_KAT,"KAS")&lt;&gt;1,"",IF(COUNTIFS(AK_NAMA,C859,AK_KAT,"KAS")=1,D859,C859)))</f>
        <v/>
      </c>
      <c r="M859" s="103" t="n">
        <f aca="false">IF(L859="",0,IF(L859=D859,E859,-E859))</f>
        <v>0</v>
      </c>
      <c r="N859" s="102" t="str">
        <f aca="false">IF(L859="","",IFERROR(INDEX(AK_BARIS,MATCH(L859,AK_NAMA,0)),"?"))</f>
        <v/>
      </c>
      <c r="O859" s="102" t="str">
        <f aca="false">IF(C859="","",IFERROR(INDEX(AK_KEL,MATCH(C859,AK_NAMA,0)),"?"))</f>
        <v>ASET</v>
      </c>
      <c r="P859" s="102" t="str">
        <f aca="false">IF(D859="","",IFERROR(INDEX(AK_KEL,MATCH(D859,AK_NAMA,0)),"?"))</f>
        <v>ASET</v>
      </c>
      <c r="Q859" s="102" t="n">
        <f aca="false">N(Q858)+IF(AND(N(E859)&lt;&gt;0,K859=TAHUN,N(J859)&lt;=BLN,OR(C859=BB_AKUN,D859=BB_AKUN)),1,0)</f>
        <v>568</v>
      </c>
      <c r="R859" s="104" t="str">
        <f aca="false">IF(OR(C859&amp;D859="",N(E859)=0),"",IF(OR(O859="?",P859="?"),"⚠ akun tidak dikenal",IF(C859=D859,"⚠ debet = kredit","")))</f>
        <v/>
      </c>
    </row>
    <row r="860" customFormat="false" ht="15" hidden="false" customHeight="false" outlineLevel="0" collapsed="false">
      <c r="A860" s="82" t="s">
        <v>1879</v>
      </c>
      <c r="B860" s="101" t="n">
        <v>46202</v>
      </c>
      <c r="C860" s="82" t="s">
        <v>470</v>
      </c>
      <c r="D860" s="82" t="s">
        <v>461</v>
      </c>
      <c r="E860" s="91" t="n">
        <v>400000</v>
      </c>
      <c r="F860" s="82" t="s">
        <v>1727</v>
      </c>
      <c r="G860" s="82"/>
      <c r="H860" s="82"/>
      <c r="I860" s="82" t="s">
        <v>250</v>
      </c>
      <c r="J860" s="102" t="n">
        <f aca="false">IF(B860="","",MONTH(B860))</f>
        <v>6</v>
      </c>
      <c r="K860" s="102" t="n">
        <f aca="false">IF(B860="","",YEAR(B860))</f>
        <v>2026</v>
      </c>
      <c r="L860" s="102" t="str">
        <f aca="false">IF(N(E860)=0,"",IF(COUNTIFS(AK_NAMA,C860,AK_KAT,"KAS")+COUNTIFS(AK_NAMA,D860,AK_KAT,"KAS")&lt;&gt;1,"",IF(COUNTIFS(AK_NAMA,C860,AK_KAT,"KAS")=1,D860,C860)))</f>
        <v>Biaya Bahan Baku</v>
      </c>
      <c r="M860" s="103" t="n">
        <f aca="false">IF(L860="",0,IF(L860=D860,E860,-E860))</f>
        <v>-400000</v>
      </c>
      <c r="N860" s="102" t="str">
        <f aca="false">IF(L860="","",IFERROR(INDEX(AK_BARIS,MATCH(L860,AK_NAMA,0)),"?"))</f>
        <v>OP3</v>
      </c>
      <c r="O860" s="102" t="str">
        <f aca="false">IF(C860="","",IFERROR(INDEX(AK_KEL,MATCH(C860,AK_NAMA,0)),"?"))</f>
        <v>BEBAN</v>
      </c>
      <c r="P860" s="102" t="str">
        <f aca="false">IF(D860="","",IFERROR(INDEX(AK_KEL,MATCH(D860,AK_NAMA,0)),"?"))</f>
        <v>ASET</v>
      </c>
      <c r="Q860" s="102" t="n">
        <f aca="false">N(Q859)+IF(AND(N(E860)&lt;&gt;0,K860=TAHUN,N(J860)&lt;=BLN,OR(C860=BB_AKUN,D860=BB_AKUN)),1,0)</f>
        <v>569</v>
      </c>
      <c r="R860" s="104" t="str">
        <f aca="false">IF(OR(C860&amp;D860="",N(E860)=0),"",IF(OR(O860="?",P860="?"),"⚠ akun tidak dikenal",IF(C860=D860,"⚠ debet = kredit","")))</f>
        <v/>
      </c>
    </row>
    <row r="861" customFormat="false" ht="15" hidden="false" customHeight="false" outlineLevel="0" collapsed="false">
      <c r="A861" s="82" t="s">
        <v>1880</v>
      </c>
      <c r="B861" s="101" t="n">
        <v>46202</v>
      </c>
      <c r="C861" s="82" t="s">
        <v>470</v>
      </c>
      <c r="D861" s="82" t="s">
        <v>461</v>
      </c>
      <c r="E861" s="91" t="n">
        <v>2272000</v>
      </c>
      <c r="F861" s="82" t="s">
        <v>1881</v>
      </c>
      <c r="G861" s="82"/>
      <c r="H861" s="82"/>
      <c r="I861" s="82" t="s">
        <v>250</v>
      </c>
      <c r="J861" s="102" t="n">
        <f aca="false">IF(B861="","",MONTH(B861))</f>
        <v>6</v>
      </c>
      <c r="K861" s="102" t="n">
        <f aca="false">IF(B861="","",YEAR(B861))</f>
        <v>2026</v>
      </c>
      <c r="L861" s="102" t="str">
        <f aca="false">IF(N(E861)=0,"",IF(COUNTIFS(AK_NAMA,C861,AK_KAT,"KAS")+COUNTIFS(AK_NAMA,D861,AK_KAT,"KAS")&lt;&gt;1,"",IF(COUNTIFS(AK_NAMA,C861,AK_KAT,"KAS")=1,D861,C861)))</f>
        <v>Biaya Bahan Baku</v>
      </c>
      <c r="M861" s="103" t="n">
        <f aca="false">IF(L861="",0,IF(L861=D861,E861,-E861))</f>
        <v>-2272000</v>
      </c>
      <c r="N861" s="102" t="str">
        <f aca="false">IF(L861="","",IFERROR(INDEX(AK_BARIS,MATCH(L861,AK_NAMA,0)),"?"))</f>
        <v>OP3</v>
      </c>
      <c r="O861" s="102" t="str">
        <f aca="false">IF(C861="","",IFERROR(INDEX(AK_KEL,MATCH(C861,AK_NAMA,0)),"?"))</f>
        <v>BEBAN</v>
      </c>
      <c r="P861" s="102" t="str">
        <f aca="false">IF(D861="","",IFERROR(INDEX(AK_KEL,MATCH(D861,AK_NAMA,0)),"?"))</f>
        <v>ASET</v>
      </c>
      <c r="Q861" s="102" t="n">
        <f aca="false">N(Q860)+IF(AND(N(E861)&lt;&gt;0,K861=TAHUN,N(J861)&lt;=BLN,OR(C861=BB_AKUN,D861=BB_AKUN)),1,0)</f>
        <v>570</v>
      </c>
      <c r="R861" s="104" t="str">
        <f aca="false">IF(OR(C861&amp;D861="",N(E861)=0),"",IF(OR(O861="?",P861="?"),"⚠ akun tidak dikenal",IF(C861=D861,"⚠ debet = kredit","")))</f>
        <v/>
      </c>
    </row>
    <row r="862" customFormat="false" ht="15" hidden="false" customHeight="false" outlineLevel="0" collapsed="false">
      <c r="A862" s="82" t="s">
        <v>1882</v>
      </c>
      <c r="B862" s="101" t="n">
        <v>46202</v>
      </c>
      <c r="C862" s="82" t="s">
        <v>470</v>
      </c>
      <c r="D862" s="82" t="s">
        <v>461</v>
      </c>
      <c r="E862" s="91" t="n">
        <v>40000</v>
      </c>
      <c r="F862" s="82" t="s">
        <v>1545</v>
      </c>
      <c r="G862" s="82"/>
      <c r="H862" s="82"/>
      <c r="I862" s="82" t="s">
        <v>250</v>
      </c>
      <c r="J862" s="102" t="n">
        <f aca="false">IF(B862="","",MONTH(B862))</f>
        <v>6</v>
      </c>
      <c r="K862" s="102" t="n">
        <f aca="false">IF(B862="","",YEAR(B862))</f>
        <v>2026</v>
      </c>
      <c r="L862" s="102" t="str">
        <f aca="false">IF(N(E862)=0,"",IF(COUNTIFS(AK_NAMA,C862,AK_KAT,"KAS")+COUNTIFS(AK_NAMA,D862,AK_KAT,"KAS")&lt;&gt;1,"",IF(COUNTIFS(AK_NAMA,C862,AK_KAT,"KAS")=1,D862,C862)))</f>
        <v>Biaya Bahan Baku</v>
      </c>
      <c r="M862" s="103" t="n">
        <f aca="false">IF(L862="",0,IF(L862=D862,E862,-E862))</f>
        <v>-40000</v>
      </c>
      <c r="N862" s="102" t="str">
        <f aca="false">IF(L862="","",IFERROR(INDEX(AK_BARIS,MATCH(L862,AK_NAMA,0)),"?"))</f>
        <v>OP3</v>
      </c>
      <c r="O862" s="102" t="str">
        <f aca="false">IF(C862="","",IFERROR(INDEX(AK_KEL,MATCH(C862,AK_NAMA,0)),"?"))</f>
        <v>BEBAN</v>
      </c>
      <c r="P862" s="102" t="str">
        <f aca="false">IF(D862="","",IFERROR(INDEX(AK_KEL,MATCH(D862,AK_NAMA,0)),"?"))</f>
        <v>ASET</v>
      </c>
      <c r="Q862" s="102" t="n">
        <f aca="false">N(Q861)+IF(AND(N(E862)&lt;&gt;0,K862=TAHUN,N(J862)&lt;=BLN,OR(C862=BB_AKUN,D862=BB_AKUN)),1,0)</f>
        <v>571</v>
      </c>
      <c r="R862" s="104" t="str">
        <f aca="false">IF(OR(C862&amp;D862="",N(E862)=0),"",IF(OR(O862="?",P862="?"),"⚠ akun tidak dikenal",IF(C862=D862,"⚠ debet = kredit","")))</f>
        <v/>
      </c>
    </row>
    <row r="863" customFormat="false" ht="15" hidden="false" customHeight="false" outlineLevel="0" collapsed="false">
      <c r="A863" s="82" t="s">
        <v>1883</v>
      </c>
      <c r="B863" s="101" t="n">
        <v>46203</v>
      </c>
      <c r="C863" s="82" t="s">
        <v>478</v>
      </c>
      <c r="D863" s="82" t="s">
        <v>461</v>
      </c>
      <c r="E863" s="91" t="n">
        <v>336010</v>
      </c>
      <c r="F863" s="82" t="s">
        <v>1884</v>
      </c>
      <c r="G863" s="82"/>
      <c r="H863" s="82"/>
      <c r="I863" s="82" t="s">
        <v>250</v>
      </c>
      <c r="J863" s="102" t="n">
        <f aca="false">IF(B863="","",MONTH(B863))</f>
        <v>6</v>
      </c>
      <c r="K863" s="102" t="n">
        <f aca="false">IF(B863="","",YEAR(B863))</f>
        <v>2026</v>
      </c>
      <c r="L863" s="102" t="str">
        <f aca="false">IF(N(E863)=0,"",IF(COUNTIFS(AK_NAMA,C863,AK_KAT,"KAS")+COUNTIFS(AK_NAMA,D863,AK_KAT,"KAS")&lt;&gt;1,"",IF(COUNTIFS(AK_NAMA,C863,AK_KAT,"KAS")=1,D863,C863)))</f>
        <v>Biaya Penyajian</v>
      </c>
      <c r="M863" s="103" t="n">
        <f aca="false">IF(L863="",0,IF(L863=D863,E863,-E863))</f>
        <v>-336010</v>
      </c>
      <c r="N863" s="102" t="str">
        <f aca="false">IF(L863="","",IFERROR(INDEX(AK_BARIS,MATCH(L863,AK_NAMA,0)),"?"))</f>
        <v>OP3</v>
      </c>
      <c r="O863" s="102" t="str">
        <f aca="false">IF(C863="","",IFERROR(INDEX(AK_KEL,MATCH(C863,AK_NAMA,0)),"?"))</f>
        <v>BEBAN</v>
      </c>
      <c r="P863" s="102" t="str">
        <f aca="false">IF(D863="","",IFERROR(INDEX(AK_KEL,MATCH(D863,AK_NAMA,0)),"?"))</f>
        <v>ASET</v>
      </c>
      <c r="Q863" s="102" t="n">
        <f aca="false">N(Q862)+IF(AND(N(E863)&lt;&gt;0,K863=TAHUN,N(J863)&lt;=BLN,OR(C863=BB_AKUN,D863=BB_AKUN)),1,0)</f>
        <v>572</v>
      </c>
      <c r="R863" s="104" t="str">
        <f aca="false">IF(OR(C863&amp;D863="",N(E863)=0),"",IF(OR(O863="?",P863="?"),"⚠ akun tidak dikenal",IF(C863=D863,"⚠ debet = kredit","")))</f>
        <v/>
      </c>
    </row>
    <row r="864" customFormat="false" ht="15" hidden="false" customHeight="false" outlineLevel="0" collapsed="false">
      <c r="A864" s="82" t="s">
        <v>1885</v>
      </c>
      <c r="B864" s="101" t="n">
        <v>46203</v>
      </c>
      <c r="C864" s="82" t="s">
        <v>470</v>
      </c>
      <c r="D864" s="82" t="s">
        <v>461</v>
      </c>
      <c r="E864" s="91" t="n">
        <v>100000</v>
      </c>
      <c r="F864" s="82" t="s">
        <v>1886</v>
      </c>
      <c r="G864" s="82"/>
      <c r="H864" s="82"/>
      <c r="I864" s="82" t="s">
        <v>250</v>
      </c>
      <c r="J864" s="102" t="n">
        <f aca="false">IF(B864="","",MONTH(B864))</f>
        <v>6</v>
      </c>
      <c r="K864" s="102" t="n">
        <f aca="false">IF(B864="","",YEAR(B864))</f>
        <v>2026</v>
      </c>
      <c r="L864" s="102" t="str">
        <f aca="false">IF(N(E864)=0,"",IF(COUNTIFS(AK_NAMA,C864,AK_KAT,"KAS")+COUNTIFS(AK_NAMA,D864,AK_KAT,"KAS")&lt;&gt;1,"",IF(COUNTIFS(AK_NAMA,C864,AK_KAT,"KAS")=1,D864,C864)))</f>
        <v>Biaya Bahan Baku</v>
      </c>
      <c r="M864" s="103" t="n">
        <f aca="false">IF(L864="",0,IF(L864=D864,E864,-E864))</f>
        <v>-100000</v>
      </c>
      <c r="N864" s="102" t="str">
        <f aca="false">IF(L864="","",IFERROR(INDEX(AK_BARIS,MATCH(L864,AK_NAMA,0)),"?"))</f>
        <v>OP3</v>
      </c>
      <c r="O864" s="102" t="str">
        <f aca="false">IF(C864="","",IFERROR(INDEX(AK_KEL,MATCH(C864,AK_NAMA,0)),"?"))</f>
        <v>BEBAN</v>
      </c>
      <c r="P864" s="102" t="str">
        <f aca="false">IF(D864="","",IFERROR(INDEX(AK_KEL,MATCH(D864,AK_NAMA,0)),"?"))</f>
        <v>ASET</v>
      </c>
      <c r="Q864" s="102" t="n">
        <f aca="false">N(Q863)+IF(AND(N(E864)&lt;&gt;0,K864=TAHUN,N(J864)&lt;=BLN,OR(C864=BB_AKUN,D864=BB_AKUN)),1,0)</f>
        <v>573</v>
      </c>
      <c r="R864" s="104" t="str">
        <f aca="false">IF(OR(C864&amp;D864="",N(E864)=0),"",IF(OR(O864="?",P864="?"),"⚠ akun tidak dikenal",IF(C864=D864,"⚠ debet = kredit","")))</f>
        <v/>
      </c>
    </row>
    <row r="865" customFormat="false" ht="15" hidden="false" customHeight="false" outlineLevel="0" collapsed="false">
      <c r="A865" s="82" t="s">
        <v>1887</v>
      </c>
      <c r="B865" s="101" t="n">
        <v>46203</v>
      </c>
      <c r="C865" s="82" t="s">
        <v>669</v>
      </c>
      <c r="D865" s="82" t="s">
        <v>461</v>
      </c>
      <c r="E865" s="91" t="n">
        <v>4295934</v>
      </c>
      <c r="F865" s="82" t="s">
        <v>1888</v>
      </c>
      <c r="G865" s="82"/>
      <c r="H865" s="82"/>
      <c r="I865" s="82" t="s">
        <v>250</v>
      </c>
      <c r="J865" s="102" t="n">
        <f aca="false">IF(B865="","",MONTH(B865))</f>
        <v>6</v>
      </c>
      <c r="K865" s="102" t="n">
        <f aca="false">IF(B865="","",YEAR(B865))</f>
        <v>2026</v>
      </c>
      <c r="L865" s="102" t="str">
        <f aca="false">IF(N(E865)=0,"",IF(COUNTIFS(AK_NAMA,C865,AK_KAT,"KAS")+COUNTIFS(AK_NAMA,D865,AK_KAT,"KAS")&lt;&gt;1,"",IF(COUNTIFS(AK_NAMA,C865,AK_KAT,"KAS")=1,D865,C865)))</f>
        <v>Biaya Tagihan Bulanan</v>
      </c>
      <c r="M865" s="103" t="n">
        <f aca="false">IF(L865="",0,IF(L865=D865,E865,-E865))</f>
        <v>-4295934</v>
      </c>
      <c r="N865" s="102" t="str">
        <f aca="false">IF(L865="","",IFERROR(INDEX(AK_BARIS,MATCH(L865,AK_NAMA,0)),"?"))</f>
        <v>OP6</v>
      </c>
      <c r="O865" s="102" t="str">
        <f aca="false">IF(C865="","",IFERROR(INDEX(AK_KEL,MATCH(C865,AK_NAMA,0)),"?"))</f>
        <v>BEBAN</v>
      </c>
      <c r="P865" s="102" t="str">
        <f aca="false">IF(D865="","",IFERROR(INDEX(AK_KEL,MATCH(D865,AK_NAMA,0)),"?"))</f>
        <v>ASET</v>
      </c>
      <c r="Q865" s="102" t="n">
        <f aca="false">N(Q864)+IF(AND(N(E865)&lt;&gt;0,K865=TAHUN,N(J865)&lt;=BLN,OR(C865=BB_AKUN,D865=BB_AKUN)),1,0)</f>
        <v>574</v>
      </c>
      <c r="R865" s="104" t="str">
        <f aca="false">IF(OR(C865&amp;D865="",N(E865)=0),"",IF(OR(O865="?",P865="?"),"⚠ akun tidak dikenal",IF(C865=D865,"⚠ debet = kredit","")))</f>
        <v/>
      </c>
    </row>
    <row r="866" customFormat="false" ht="15" hidden="false" customHeight="false" outlineLevel="0" collapsed="false">
      <c r="A866" s="82" t="s">
        <v>1889</v>
      </c>
      <c r="B866" s="101" t="n">
        <v>46203</v>
      </c>
      <c r="C866" s="82" t="s">
        <v>669</v>
      </c>
      <c r="D866" s="82" t="s">
        <v>461</v>
      </c>
      <c r="E866" s="91" t="n">
        <v>57391</v>
      </c>
      <c r="F866" s="82" t="s">
        <v>1890</v>
      </c>
      <c r="G866" s="82"/>
      <c r="H866" s="82"/>
      <c r="I866" s="82" t="s">
        <v>250</v>
      </c>
      <c r="J866" s="102" t="n">
        <f aca="false">IF(B866="","",MONTH(B866))</f>
        <v>6</v>
      </c>
      <c r="K866" s="102" t="n">
        <f aca="false">IF(B866="","",YEAR(B866))</f>
        <v>2026</v>
      </c>
      <c r="L866" s="102" t="str">
        <f aca="false">IF(N(E866)=0,"",IF(COUNTIFS(AK_NAMA,C866,AK_KAT,"KAS")+COUNTIFS(AK_NAMA,D866,AK_KAT,"KAS")&lt;&gt;1,"",IF(COUNTIFS(AK_NAMA,C866,AK_KAT,"KAS")=1,D866,C866)))</f>
        <v>Biaya Tagihan Bulanan</v>
      </c>
      <c r="M866" s="103" t="n">
        <f aca="false">IF(L866="",0,IF(L866=D866,E866,-E866))</f>
        <v>-57391</v>
      </c>
      <c r="N866" s="102" t="str">
        <f aca="false">IF(L866="","",IFERROR(INDEX(AK_BARIS,MATCH(L866,AK_NAMA,0)),"?"))</f>
        <v>OP6</v>
      </c>
      <c r="O866" s="102" t="str">
        <f aca="false">IF(C866="","",IFERROR(INDEX(AK_KEL,MATCH(C866,AK_NAMA,0)),"?"))</f>
        <v>BEBAN</v>
      </c>
      <c r="P866" s="102" t="str">
        <f aca="false">IF(D866="","",IFERROR(INDEX(AK_KEL,MATCH(D866,AK_NAMA,0)),"?"))</f>
        <v>ASET</v>
      </c>
      <c r="Q866" s="102" t="n">
        <f aca="false">N(Q865)+IF(AND(N(E866)&lt;&gt;0,K866=TAHUN,N(J866)&lt;=BLN,OR(C866=BB_AKUN,D866=BB_AKUN)),1,0)</f>
        <v>575</v>
      </c>
      <c r="R866" s="104" t="str">
        <f aca="false">IF(OR(C866&amp;D866="",N(E866)=0),"",IF(OR(O866="?",P866="?"),"⚠ akun tidak dikenal",IF(C866=D866,"⚠ debet = kredit","")))</f>
        <v/>
      </c>
    </row>
    <row r="867" customFormat="false" ht="15" hidden="false" customHeight="false" outlineLevel="0" collapsed="false">
      <c r="A867" s="82" t="s">
        <v>1891</v>
      </c>
      <c r="B867" s="101" t="n">
        <v>46203</v>
      </c>
      <c r="C867" s="82" t="s">
        <v>669</v>
      </c>
      <c r="D867" s="82" t="s">
        <v>461</v>
      </c>
      <c r="E867" s="91" t="n">
        <v>386950</v>
      </c>
      <c r="F867" s="82" t="s">
        <v>1892</v>
      </c>
      <c r="G867" s="82"/>
      <c r="H867" s="82"/>
      <c r="I867" s="82" t="s">
        <v>250</v>
      </c>
      <c r="J867" s="102" t="n">
        <f aca="false">IF(B867="","",MONTH(B867))</f>
        <v>6</v>
      </c>
      <c r="K867" s="102" t="n">
        <f aca="false">IF(B867="","",YEAR(B867))</f>
        <v>2026</v>
      </c>
      <c r="L867" s="102" t="str">
        <f aca="false">IF(N(E867)=0,"",IF(COUNTIFS(AK_NAMA,C867,AK_KAT,"KAS")+COUNTIFS(AK_NAMA,D867,AK_KAT,"KAS")&lt;&gt;1,"",IF(COUNTIFS(AK_NAMA,C867,AK_KAT,"KAS")=1,D867,C867)))</f>
        <v>Biaya Tagihan Bulanan</v>
      </c>
      <c r="M867" s="103" t="n">
        <f aca="false">IF(L867="",0,IF(L867=D867,E867,-E867))</f>
        <v>-386950</v>
      </c>
      <c r="N867" s="102" t="str">
        <f aca="false">IF(L867="","",IFERROR(INDEX(AK_BARIS,MATCH(L867,AK_NAMA,0)),"?"))</f>
        <v>OP6</v>
      </c>
      <c r="O867" s="102" t="str">
        <f aca="false">IF(C867="","",IFERROR(INDEX(AK_KEL,MATCH(C867,AK_NAMA,0)),"?"))</f>
        <v>BEBAN</v>
      </c>
      <c r="P867" s="102" t="str">
        <f aca="false">IF(D867="","",IFERROR(INDEX(AK_KEL,MATCH(D867,AK_NAMA,0)),"?"))</f>
        <v>ASET</v>
      </c>
      <c r="Q867" s="102" t="n">
        <f aca="false">N(Q866)+IF(AND(N(E867)&lt;&gt;0,K867=TAHUN,N(J867)&lt;=BLN,OR(C867=BB_AKUN,D867=BB_AKUN)),1,0)</f>
        <v>576</v>
      </c>
      <c r="R867" s="104" t="str">
        <f aca="false">IF(OR(C867&amp;D867="",N(E867)=0),"",IF(OR(O867="?",P867="?"),"⚠ akun tidak dikenal",IF(C867=D867,"⚠ debet = kredit","")))</f>
        <v/>
      </c>
    </row>
    <row r="868" customFormat="false" ht="15" hidden="false" customHeight="false" outlineLevel="0" collapsed="false">
      <c r="A868" s="82" t="s">
        <v>1893</v>
      </c>
      <c r="B868" s="101" t="n">
        <v>46203</v>
      </c>
      <c r="C868" s="82" t="s">
        <v>787</v>
      </c>
      <c r="D868" s="82" t="s">
        <v>461</v>
      </c>
      <c r="E868" s="91" t="n">
        <v>2232000</v>
      </c>
      <c r="F868" s="82" t="s">
        <v>1894</v>
      </c>
      <c r="G868" s="82"/>
      <c r="H868" s="82"/>
      <c r="I868" s="82" t="s">
        <v>250</v>
      </c>
      <c r="J868" s="102" t="n">
        <f aca="false">IF(B868="","",MONTH(B868))</f>
        <v>6</v>
      </c>
      <c r="K868" s="102" t="n">
        <f aca="false">IF(B868="","",YEAR(B868))</f>
        <v>2026</v>
      </c>
      <c r="L868" s="102" t="str">
        <f aca="false">IF(N(E868)=0,"",IF(COUNTIFS(AK_NAMA,C868,AK_KAT,"KAS")+COUNTIFS(AK_NAMA,D868,AK_KAT,"KAS")&lt;&gt;1,"",IF(COUNTIFS(AK_NAMA,C868,AK_KAT,"KAS")=1,D868,C868)))</f>
        <v>Pajak Restoran</v>
      </c>
      <c r="M868" s="103" t="n">
        <f aca="false">IF(L868="",0,IF(L868=D868,E868,-E868))</f>
        <v>-2232000</v>
      </c>
      <c r="N868" s="102" t="str">
        <f aca="false">IF(L868="","",IFERROR(INDEX(AK_BARIS,MATCH(L868,AK_NAMA,0)),"?"))</f>
        <v>OP7</v>
      </c>
      <c r="O868" s="102" t="str">
        <f aca="false">IF(C868="","",IFERROR(INDEX(AK_KEL,MATCH(C868,AK_NAMA,0)),"?"))</f>
        <v>PENDAPATAN</v>
      </c>
      <c r="P868" s="102" t="str">
        <f aca="false">IF(D868="","",IFERROR(INDEX(AK_KEL,MATCH(D868,AK_NAMA,0)),"?"))</f>
        <v>ASET</v>
      </c>
      <c r="Q868" s="102" t="n">
        <f aca="false">N(Q867)+IF(AND(N(E868)&lt;&gt;0,K868=TAHUN,N(J868)&lt;=BLN,OR(C868=BB_AKUN,D868=BB_AKUN)),1,0)</f>
        <v>577</v>
      </c>
      <c r="R868" s="104" t="str">
        <f aca="false">IF(OR(C868&amp;D868="",N(E868)=0),"",IF(OR(O868="?",P868="?"),"⚠ akun tidak dikenal",IF(C868=D868,"⚠ debet = kredit","")))</f>
        <v/>
      </c>
    </row>
    <row r="869" customFormat="false" ht="15" hidden="false" customHeight="false" outlineLevel="0" collapsed="false">
      <c r="A869" s="82" t="s">
        <v>1895</v>
      </c>
      <c r="B869" s="101" t="n">
        <v>46203</v>
      </c>
      <c r="C869" s="82" t="s">
        <v>524</v>
      </c>
      <c r="D869" s="82" t="s">
        <v>461</v>
      </c>
      <c r="E869" s="91" t="n">
        <v>5000</v>
      </c>
      <c r="F869" s="82" t="s">
        <v>1694</v>
      </c>
      <c r="G869" s="82"/>
      <c r="H869" s="82"/>
      <c r="I869" s="82" t="s">
        <v>250</v>
      </c>
      <c r="J869" s="102" t="n">
        <f aca="false">IF(B869="","",MONTH(B869))</f>
        <v>6</v>
      </c>
      <c r="K869" s="102" t="n">
        <f aca="false">IF(B869="","",YEAR(B869))</f>
        <v>2026</v>
      </c>
      <c r="L869" s="102" t="str">
        <f aca="false">IF(N(E869)=0,"",IF(COUNTIFS(AK_NAMA,C869,AK_KAT,"KAS")+COUNTIFS(AK_NAMA,D869,AK_KAT,"KAS")&lt;&gt;1,"",IF(COUNTIFS(AK_NAMA,C869,AK_KAT,"KAS")=1,D869,C869)))</f>
        <v>Biaya Lainnya</v>
      </c>
      <c r="M869" s="103" t="n">
        <f aca="false">IF(L869="",0,IF(L869=D869,E869,-E869))</f>
        <v>-5000</v>
      </c>
      <c r="N869" s="102" t="str">
        <f aca="false">IF(L869="","",IFERROR(INDEX(AK_BARIS,MATCH(L869,AK_NAMA,0)),"?"))</f>
        <v>OP2</v>
      </c>
      <c r="O869" s="102" t="str">
        <f aca="false">IF(C869="","",IFERROR(INDEX(AK_KEL,MATCH(C869,AK_NAMA,0)),"?"))</f>
        <v>BEBAN</v>
      </c>
      <c r="P869" s="102" t="str">
        <f aca="false">IF(D869="","",IFERROR(INDEX(AK_KEL,MATCH(D869,AK_NAMA,0)),"?"))</f>
        <v>ASET</v>
      </c>
      <c r="Q869" s="102" t="n">
        <f aca="false">N(Q868)+IF(AND(N(E869)&lt;&gt;0,K869=TAHUN,N(J869)&lt;=BLN,OR(C869=BB_AKUN,D869=BB_AKUN)),1,0)</f>
        <v>578</v>
      </c>
      <c r="R869" s="104" t="str">
        <f aca="false">IF(OR(C869&amp;D869="",N(E869)=0),"",IF(OR(O869="?",P869="?"),"⚠ akun tidak dikenal",IF(C869=D869,"⚠ debet = kredit","")))</f>
        <v/>
      </c>
    </row>
    <row r="870" customFormat="false" ht="15" hidden="false" customHeight="false" outlineLevel="0" collapsed="false">
      <c r="A870" s="82" t="s">
        <v>1896</v>
      </c>
      <c r="B870" s="101" t="n">
        <v>46203</v>
      </c>
      <c r="C870" s="82" t="s">
        <v>524</v>
      </c>
      <c r="D870" s="82" t="s">
        <v>461</v>
      </c>
      <c r="E870" s="91" t="n">
        <v>203</v>
      </c>
      <c r="F870" s="82" t="s">
        <v>775</v>
      </c>
      <c r="G870" s="82"/>
      <c r="H870" s="82"/>
      <c r="I870" s="82" t="s">
        <v>250</v>
      </c>
      <c r="J870" s="102" t="n">
        <f aca="false">IF(B870="","",MONTH(B870))</f>
        <v>6</v>
      </c>
      <c r="K870" s="102" t="n">
        <f aca="false">IF(B870="","",YEAR(B870))</f>
        <v>2026</v>
      </c>
      <c r="L870" s="102" t="str">
        <f aca="false">IF(N(E870)=0,"",IF(COUNTIFS(AK_NAMA,C870,AK_KAT,"KAS")+COUNTIFS(AK_NAMA,D870,AK_KAT,"KAS")&lt;&gt;1,"",IF(COUNTIFS(AK_NAMA,C870,AK_KAT,"KAS")=1,D870,C870)))</f>
        <v>Biaya Lainnya</v>
      </c>
      <c r="M870" s="103" t="n">
        <f aca="false">IF(L870="",0,IF(L870=D870,E870,-E870))</f>
        <v>-203</v>
      </c>
      <c r="N870" s="102" t="str">
        <f aca="false">IF(L870="","",IFERROR(INDEX(AK_BARIS,MATCH(L870,AK_NAMA,0)),"?"))</f>
        <v>OP2</v>
      </c>
      <c r="O870" s="102" t="str">
        <f aca="false">IF(C870="","",IFERROR(INDEX(AK_KEL,MATCH(C870,AK_NAMA,0)),"?"))</f>
        <v>BEBAN</v>
      </c>
      <c r="P870" s="102" t="str">
        <f aca="false">IF(D870="","",IFERROR(INDEX(AK_KEL,MATCH(D870,AK_NAMA,0)),"?"))</f>
        <v>ASET</v>
      </c>
      <c r="Q870" s="102" t="n">
        <f aca="false">N(Q869)+IF(AND(N(E870)&lt;&gt;0,K870=TAHUN,N(J870)&lt;=BLN,OR(C870=BB_AKUN,D870=BB_AKUN)),1,0)</f>
        <v>579</v>
      </c>
      <c r="R870" s="104" t="str">
        <f aca="false">IF(OR(C870&amp;D870="",N(E870)=0),"",IF(OR(O870="?",P870="?"),"⚠ akun tidak dikenal",IF(C870=D870,"⚠ debet = kredit","")))</f>
        <v/>
      </c>
    </row>
    <row r="871" customFormat="false" ht="15" hidden="false" customHeight="false" outlineLevel="0" collapsed="false">
      <c r="A871" s="82" t="s">
        <v>1897</v>
      </c>
      <c r="B871" s="101" t="n">
        <v>46203</v>
      </c>
      <c r="C871" s="82" t="s">
        <v>461</v>
      </c>
      <c r="D871" s="82" t="s">
        <v>557</v>
      </c>
      <c r="E871" s="91" t="n">
        <v>1011</v>
      </c>
      <c r="F871" s="82" t="s">
        <v>773</v>
      </c>
      <c r="G871" s="82"/>
      <c r="H871" s="82"/>
      <c r="I871" s="82" t="s">
        <v>250</v>
      </c>
      <c r="J871" s="102" t="n">
        <f aca="false">IF(B871="","",MONTH(B871))</f>
        <v>6</v>
      </c>
      <c r="K871" s="102" t="n">
        <f aca="false">IF(B871="","",YEAR(B871))</f>
        <v>2026</v>
      </c>
      <c r="L871" s="102" t="str">
        <f aca="false">IF(N(E871)=0,"",IF(COUNTIFS(AK_NAMA,C871,AK_KAT,"KAS")+COUNTIFS(AK_NAMA,D871,AK_KAT,"KAS")&lt;&gt;1,"",IF(COUNTIFS(AK_NAMA,C871,AK_KAT,"KAS")=1,D871,C871)))</f>
        <v>Pendapatan Lainnya</v>
      </c>
      <c r="M871" s="103" t="n">
        <f aca="false">IF(L871="",0,IF(L871=D871,E871,-E871))</f>
        <v>1011</v>
      </c>
      <c r="N871" s="102" t="str">
        <f aca="false">IF(L871="","",IFERROR(INDEX(AK_BARIS,MATCH(L871,AK_NAMA,0)),"?"))</f>
        <v>OP2</v>
      </c>
      <c r="O871" s="102" t="str">
        <f aca="false">IF(C871="","",IFERROR(INDEX(AK_KEL,MATCH(C871,AK_NAMA,0)),"?"))</f>
        <v>ASET</v>
      </c>
      <c r="P871" s="102" t="str">
        <f aca="false">IF(D871="","",IFERROR(INDEX(AK_KEL,MATCH(D871,AK_NAMA,0)),"?"))</f>
        <v>PENDAPATAN</v>
      </c>
      <c r="Q871" s="102" t="n">
        <f aca="false">N(Q870)+IF(AND(N(E871)&lt;&gt;0,K871=TAHUN,N(J871)&lt;=BLN,OR(C871=BB_AKUN,D871=BB_AKUN)),1,0)</f>
        <v>580</v>
      </c>
      <c r="R871" s="104" t="str">
        <f aca="false">IF(OR(C871&amp;D871="",N(E871)=0),"",IF(OR(O871="?",P871="?"),"⚠ akun tidak dikenal",IF(C871=D871,"⚠ debet = kredit","")))</f>
        <v/>
      </c>
    </row>
    <row r="872" customFormat="false" ht="15" hidden="false" customHeight="false" outlineLevel="0" collapsed="false">
      <c r="A872" s="82" t="s">
        <v>1898</v>
      </c>
      <c r="B872" s="101" t="n">
        <v>46203</v>
      </c>
      <c r="C872" s="82" t="s">
        <v>461</v>
      </c>
      <c r="D872" s="82" t="s">
        <v>557</v>
      </c>
      <c r="E872" s="91" t="n">
        <v>2</v>
      </c>
      <c r="F872" s="82" t="s">
        <v>1205</v>
      </c>
      <c r="G872" s="82"/>
      <c r="H872" s="82"/>
      <c r="I872" s="82" t="s">
        <v>250</v>
      </c>
      <c r="J872" s="102" t="n">
        <f aca="false">IF(B872="","",MONTH(B872))</f>
        <v>6</v>
      </c>
      <c r="K872" s="102" t="n">
        <f aca="false">IF(B872="","",YEAR(B872))</f>
        <v>2026</v>
      </c>
      <c r="L872" s="102" t="str">
        <f aca="false">IF(N(E872)=0,"",IF(COUNTIFS(AK_NAMA,C872,AK_KAT,"KAS")+COUNTIFS(AK_NAMA,D872,AK_KAT,"KAS")&lt;&gt;1,"",IF(COUNTIFS(AK_NAMA,C872,AK_KAT,"KAS")=1,D872,C872)))</f>
        <v>Pendapatan Lainnya</v>
      </c>
      <c r="M872" s="103" t="n">
        <f aca="false">IF(L872="",0,IF(L872=D872,E872,-E872))</f>
        <v>2</v>
      </c>
      <c r="N872" s="102" t="str">
        <f aca="false">IF(L872="","",IFERROR(INDEX(AK_BARIS,MATCH(L872,AK_NAMA,0)),"?"))</f>
        <v>OP2</v>
      </c>
      <c r="O872" s="102" t="str">
        <f aca="false">IF(C872="","",IFERROR(INDEX(AK_KEL,MATCH(C872,AK_NAMA,0)),"?"))</f>
        <v>ASET</v>
      </c>
      <c r="P872" s="102" t="str">
        <f aca="false">IF(D872="","",IFERROR(INDEX(AK_KEL,MATCH(D872,AK_NAMA,0)),"?"))</f>
        <v>PENDAPATAN</v>
      </c>
      <c r="Q872" s="102" t="n">
        <f aca="false">N(Q871)+IF(AND(N(E872)&lt;&gt;0,K872=TAHUN,N(J872)&lt;=BLN,OR(C872=BB_AKUN,D872=BB_AKUN)),1,0)</f>
        <v>581</v>
      </c>
      <c r="R872" s="104" t="str">
        <f aca="false">IF(OR(C872&amp;D872="",N(E872)=0),"",IF(OR(O872="?",P872="?"),"⚠ akun tidak dikenal",IF(C872=D872,"⚠ debet = kredit","")))</f>
        <v/>
      </c>
    </row>
    <row r="873" customFormat="false" ht="15" hidden="false" customHeight="false" outlineLevel="0" collapsed="false">
      <c r="A873" s="82" t="s">
        <v>1899</v>
      </c>
      <c r="B873" s="101" t="n">
        <v>46203</v>
      </c>
      <c r="C873" s="82" t="s">
        <v>461</v>
      </c>
      <c r="D873" s="82" t="s">
        <v>718</v>
      </c>
      <c r="E873" s="91" t="n">
        <v>354900</v>
      </c>
      <c r="F873" s="82" t="s">
        <v>1900</v>
      </c>
      <c r="G873" s="82"/>
      <c r="H873" s="82" t="s">
        <v>763</v>
      </c>
      <c r="I873" s="82" t="s">
        <v>250</v>
      </c>
      <c r="J873" s="102" t="n">
        <f aca="false">IF(B873="","",MONTH(B873))</f>
        <v>6</v>
      </c>
      <c r="K873" s="102" t="n">
        <f aca="false">IF(B873="","",YEAR(B873))</f>
        <v>2026</v>
      </c>
      <c r="L873" s="102" t="str">
        <f aca="false">IF(N(E873)=0,"",IF(COUNTIFS(AK_NAMA,C873,AK_KAT,"KAS")+COUNTIFS(AK_NAMA,D873,AK_KAT,"KAS")&lt;&gt;1,"",IF(COUNTIFS(AK_NAMA,C873,AK_KAT,"KAS")=1,D873,C873)))</f>
        <v>Piutang Lainnya</v>
      </c>
      <c r="M873" s="103" t="n">
        <f aca="false">IF(L873="",0,IF(L873=D873,E873,-E873))</f>
        <v>354900</v>
      </c>
      <c r="N873" s="102" t="str">
        <f aca="false">IF(L873="","",IFERROR(INDEX(AK_BARIS,MATCH(L873,AK_NAMA,0)),"?"))</f>
        <v>OP2</v>
      </c>
      <c r="O873" s="102" t="str">
        <f aca="false">IF(C873="","",IFERROR(INDEX(AK_KEL,MATCH(C873,AK_NAMA,0)),"?"))</f>
        <v>ASET</v>
      </c>
      <c r="P873" s="102" t="str">
        <f aca="false">IF(D873="","",IFERROR(INDEX(AK_KEL,MATCH(D873,AK_NAMA,0)),"?"))</f>
        <v>ASET</v>
      </c>
      <c r="Q873" s="102" t="n">
        <f aca="false">N(Q872)+IF(AND(N(E873)&lt;&gt;0,K873=TAHUN,N(J873)&lt;=BLN,OR(C873=BB_AKUN,D873=BB_AKUN)),1,0)</f>
        <v>582</v>
      </c>
      <c r="R873" s="104" t="str">
        <f aca="false">IF(OR(C873&amp;D873="",N(E873)=0),"",IF(OR(O873="?",P873="?"),"⚠ akun tidak dikenal",IF(C873=D873,"⚠ debet = kredit","")))</f>
        <v/>
      </c>
    </row>
    <row r="874" customFormat="false" ht="15" hidden="false" customHeight="false" outlineLevel="0" collapsed="false">
      <c r="A874" s="82" t="s">
        <v>1901</v>
      </c>
      <c r="B874" s="101" t="n">
        <v>46203</v>
      </c>
      <c r="C874" s="82" t="s">
        <v>576</v>
      </c>
      <c r="D874" s="82" t="s">
        <v>769</v>
      </c>
      <c r="E874" s="91" t="n">
        <v>1000000</v>
      </c>
      <c r="F874" s="82" t="s">
        <v>1902</v>
      </c>
      <c r="G874" s="82"/>
      <c r="H874" s="82" t="s">
        <v>785</v>
      </c>
      <c r="I874" s="82" t="s">
        <v>250</v>
      </c>
      <c r="J874" s="102" t="n">
        <f aca="false">IF(B874="","",MONTH(B874))</f>
        <v>6</v>
      </c>
      <c r="K874" s="102" t="n">
        <f aca="false">IF(B874="","",YEAR(B874))</f>
        <v>2026</v>
      </c>
      <c r="L874" s="102" t="str">
        <f aca="false">IF(N(E874)=0,"",IF(COUNTIFS(AK_NAMA,C874,AK_KAT,"KAS")+COUNTIFS(AK_NAMA,D874,AK_KAT,"KAS")&lt;&gt;1,"",IF(COUNTIFS(AK_NAMA,C874,AK_KAT,"KAS")=1,D874,C874)))</f>
        <v/>
      </c>
      <c r="M874" s="103" t="n">
        <f aca="false">IF(L874="",0,IF(L874=D874,E874,-E874))</f>
        <v>0</v>
      </c>
      <c r="N874" s="102" t="str">
        <f aca="false">IF(L874="","",IFERROR(INDEX(AK_BARIS,MATCH(L874,AK_NAMA,0)),"?"))</f>
        <v/>
      </c>
      <c r="O874" s="102" t="str">
        <f aca="false">IF(C874="","",IFERROR(INDEX(AK_KEL,MATCH(C874,AK_NAMA,0)),"?"))</f>
        <v>BEBAN</v>
      </c>
      <c r="P874" s="102" t="str">
        <f aca="false">IF(D874="","",IFERROR(INDEX(AK_KEL,MATCH(D874,AK_NAMA,0)),"?"))</f>
        <v>LIABILITAS</v>
      </c>
      <c r="Q874" s="102" t="n">
        <f aca="false">N(Q873)+IF(AND(N(E874)&lt;&gt;0,K874=TAHUN,N(J874)&lt;=BLN,OR(C874=BB_AKUN,D874=BB_AKUN)),1,0)</f>
        <v>582</v>
      </c>
      <c r="R874" s="104" t="str">
        <f aca="false">IF(OR(C874&amp;D874="",N(E874)=0),"",IF(OR(O874="?",P874="?"),"⚠ akun tidak dikenal",IF(C874=D874,"⚠ debet = kredit","")))</f>
        <v/>
      </c>
    </row>
    <row r="875" customFormat="false" ht="15" hidden="false" customHeight="false" outlineLevel="0" collapsed="false">
      <c r="A875" s="82" t="s">
        <v>1903</v>
      </c>
      <c r="B875" s="101" t="n">
        <v>46203</v>
      </c>
      <c r="C875" s="82" t="s">
        <v>467</v>
      </c>
      <c r="D875" s="82" t="s">
        <v>461</v>
      </c>
      <c r="E875" s="91" t="n">
        <v>850000</v>
      </c>
      <c r="F875" s="82" t="s">
        <v>1904</v>
      </c>
      <c r="G875" s="82"/>
      <c r="H875" s="82"/>
      <c r="I875" s="82" t="s">
        <v>250</v>
      </c>
      <c r="J875" s="102" t="n">
        <f aca="false">IF(B875="","",MONTH(B875))</f>
        <v>6</v>
      </c>
      <c r="K875" s="102" t="n">
        <f aca="false">IF(B875="","",YEAR(B875))</f>
        <v>2026</v>
      </c>
      <c r="L875" s="102" t="str">
        <f aca="false">IF(N(E875)=0,"",IF(COUNTIFS(AK_NAMA,C875,AK_KAT,"KAS")+COUNTIFS(AK_NAMA,D875,AK_KAT,"KAS")&lt;&gt;1,"",IF(COUNTIFS(AK_NAMA,C875,AK_KAT,"KAS")=1,D875,C875)))</f>
        <v>Dana Sosial &amp; CSR</v>
      </c>
      <c r="M875" s="103" t="n">
        <f aca="false">IF(L875="",0,IF(L875=D875,E875,-E875))</f>
        <v>-850000</v>
      </c>
      <c r="N875" s="102" t="str">
        <f aca="false">IF(L875="","",IFERROR(INDEX(AK_BARIS,MATCH(L875,AK_NAMA,0)),"?"))</f>
        <v>OP6</v>
      </c>
      <c r="O875" s="102" t="str">
        <f aca="false">IF(C875="","",IFERROR(INDEX(AK_KEL,MATCH(C875,AK_NAMA,0)),"?"))</f>
        <v>BEBAN</v>
      </c>
      <c r="P875" s="102" t="str">
        <f aca="false">IF(D875="","",IFERROR(INDEX(AK_KEL,MATCH(D875,AK_NAMA,0)),"?"))</f>
        <v>ASET</v>
      </c>
      <c r="Q875" s="102" t="n">
        <f aca="false">N(Q874)+IF(AND(N(E875)&lt;&gt;0,K875=TAHUN,N(J875)&lt;=BLN,OR(C875=BB_AKUN,D875=BB_AKUN)),1,0)</f>
        <v>583</v>
      </c>
      <c r="R875" s="104" t="str">
        <f aca="false">IF(OR(C875&amp;D875="",N(E875)=0),"",IF(OR(O875="?",P875="?"),"⚠ akun tidak dikenal",IF(C875=D875,"⚠ debet = kredit","")))</f>
        <v/>
      </c>
    </row>
    <row r="876" customFormat="false" ht="15" hidden="false" customHeight="false" outlineLevel="0" collapsed="false">
      <c r="A876" s="105" t="s">
        <v>1905</v>
      </c>
      <c r="B876" s="106" t="n">
        <v>46203</v>
      </c>
      <c r="C876" s="105" t="s">
        <v>765</v>
      </c>
      <c r="D876" s="105" t="s">
        <v>792</v>
      </c>
      <c r="E876" s="107" t="n">
        <f aca="false">SUMIFS('OMZET HARIAN'!$Q$5:$Q$369,'OMZET HARIAN'!$B$5:$B$369,J876)</f>
        <v>105398227</v>
      </c>
      <c r="F876" s="105" t="s">
        <v>1906</v>
      </c>
      <c r="G876" s="105"/>
      <c r="H876" s="105"/>
      <c r="I876" s="105" t="s">
        <v>794</v>
      </c>
      <c r="J876" s="102" t="n">
        <f aca="false">IF(B876="","",MONTH(B876))</f>
        <v>6</v>
      </c>
      <c r="K876" s="102" t="n">
        <f aca="false">IF(B876="","",YEAR(B876))</f>
        <v>2026</v>
      </c>
      <c r="L876" s="102" t="str">
        <f aca="false">IF(N(E876)=0,"",IF(COUNTIFS(AK_NAMA,C876,AK_KAT,"KAS")+COUNTIFS(AK_NAMA,D876,AK_KAT,"KAS")&lt;&gt;1,"",IF(COUNTIFS(AK_NAMA,C876,AK_KAT,"KAS")=1,D876,C876)))</f>
        <v/>
      </c>
      <c r="M876" s="103" t="n">
        <f aca="false">IF(L876="",0,IF(L876=D876,E876,-E876))</f>
        <v>0</v>
      </c>
      <c r="N876" s="102" t="str">
        <f aca="false">IF(L876="","",IFERROR(INDEX(AK_BARIS,MATCH(L876,AK_NAMA,0)),"?"))</f>
        <v/>
      </c>
      <c r="O876" s="102" t="str">
        <f aca="false">IF(C876="","",IFERROR(INDEX(AK_KEL,MATCH(C876,AK_NAMA,0)),"?"))</f>
        <v>ASET</v>
      </c>
      <c r="P876" s="102" t="str">
        <f aca="false">IF(D876="","",IFERROR(INDEX(AK_KEL,MATCH(D876,AK_NAMA,0)),"?"))</f>
        <v>PENDAPATAN</v>
      </c>
      <c r="Q876" s="102" t="n">
        <f aca="false">N(Q875)+IF(AND(N(E876)&lt;&gt;0,K876=TAHUN,N(J876)&lt;=BLN,OR(C876=BB_AKUN,D876=BB_AKUN)),1,0)</f>
        <v>583</v>
      </c>
      <c r="R876" s="104" t="str">
        <f aca="false">IF(OR(C876&amp;D876="",N(E876)=0),"",IF(OR(O876="?",P876="?"),"⚠ akun tidak dikenal",IF(C876=D876,"⚠ debet = kredit","")))</f>
        <v/>
      </c>
    </row>
    <row r="877" customFormat="false" ht="15" hidden="false" customHeight="false" outlineLevel="0" collapsed="false">
      <c r="A877" s="105" t="s">
        <v>1907</v>
      </c>
      <c r="B877" s="106" t="n">
        <v>46203</v>
      </c>
      <c r="C877" s="105" t="s">
        <v>475</v>
      </c>
      <c r="D877" s="105" t="s">
        <v>765</v>
      </c>
      <c r="E877" s="107" t="n">
        <f aca="false">SUMIFS('OMZET HARIAN'!$F$5:$F$369,'OMZET HARIAN'!$B$5:$B$369,J877)+SUMIFS('OMZET HARIAN'!$G$5:$G$369,'OMZET HARIAN'!$B$5:$B$369,J877)</f>
        <v>24520000</v>
      </c>
      <c r="F877" s="105" t="s">
        <v>1908</v>
      </c>
      <c r="G877" s="105"/>
      <c r="H877" s="105"/>
      <c r="I877" s="105" t="s">
        <v>794</v>
      </c>
      <c r="J877" s="102" t="n">
        <f aca="false">IF(B877="","",MONTH(B877))</f>
        <v>6</v>
      </c>
      <c r="K877" s="102" t="n">
        <f aca="false">IF(B877="","",YEAR(B877))</f>
        <v>2026</v>
      </c>
      <c r="L877" s="102" t="str">
        <f aca="false">IF(N(E877)=0,"",IF(COUNTIFS(AK_NAMA,C877,AK_KAT,"KAS")+COUNTIFS(AK_NAMA,D877,AK_KAT,"KAS")&lt;&gt;1,"",IF(COUNTIFS(AK_NAMA,C877,AK_KAT,"KAS")=1,D877,C877)))</f>
        <v>Piutang Usaha Cafe</v>
      </c>
      <c r="M877" s="103" t="n">
        <f aca="false">IF(L877="",0,IF(L877=D877,E877,-E877))</f>
        <v>24520000</v>
      </c>
      <c r="N877" s="102" t="str">
        <f aca="false">IF(L877="","",IFERROR(INDEX(AK_BARIS,MATCH(L877,AK_NAMA,0)),"?"))</f>
        <v>OP1</v>
      </c>
      <c r="O877" s="102" t="str">
        <f aca="false">IF(C877="","",IFERROR(INDEX(AK_KEL,MATCH(C877,AK_NAMA,0)),"?"))</f>
        <v>ASET</v>
      </c>
      <c r="P877" s="102" t="str">
        <f aca="false">IF(D877="","",IFERROR(INDEX(AK_KEL,MATCH(D877,AK_NAMA,0)),"?"))</f>
        <v>ASET</v>
      </c>
      <c r="Q877" s="102" t="n">
        <f aca="false">N(Q876)+IF(AND(N(E877)&lt;&gt;0,K877=TAHUN,N(J877)&lt;=BLN,OR(C877=BB_AKUN,D877=BB_AKUN)),1,0)</f>
        <v>583</v>
      </c>
      <c r="R877" s="104" t="str">
        <f aca="false">IF(OR(C877&amp;D877="",N(E877)=0),"",IF(OR(O877="?",P877="?"),"⚠ akun tidak dikenal",IF(C877=D877,"⚠ debet = kredit","")))</f>
        <v/>
      </c>
    </row>
    <row r="878" customFormat="false" ht="15" hidden="false" customHeight="false" outlineLevel="0" collapsed="false">
      <c r="A878" s="105" t="s">
        <v>1909</v>
      </c>
      <c r="B878" s="106" t="n">
        <v>46203</v>
      </c>
      <c r="C878" s="105" t="s">
        <v>461</v>
      </c>
      <c r="D878" s="105" t="s">
        <v>765</v>
      </c>
      <c r="E878" s="107" t="n">
        <f aca="false">SUMIFS('OMZET HARIAN'!$H$5:$H$369,'OMZET HARIAN'!$B$5:$B$369,J878)</f>
        <v>79446227</v>
      </c>
      <c r="F878" s="105" t="s">
        <v>1910</v>
      </c>
      <c r="G878" s="105"/>
      <c r="H878" s="105"/>
      <c r="I878" s="105" t="s">
        <v>794</v>
      </c>
      <c r="J878" s="102" t="n">
        <f aca="false">IF(B878="","",MONTH(B878))</f>
        <v>6</v>
      </c>
      <c r="K878" s="102" t="n">
        <f aca="false">IF(B878="","",YEAR(B878))</f>
        <v>2026</v>
      </c>
      <c r="L878" s="102" t="str">
        <f aca="false">IF(N(E878)=0,"",IF(COUNTIFS(AK_NAMA,C878,AK_KAT,"KAS")+COUNTIFS(AK_NAMA,D878,AK_KAT,"KAS")&lt;&gt;1,"",IF(COUNTIFS(AK_NAMA,C878,AK_KAT,"KAS")=1,D878,C878)))</f>
        <v>Piutang Usaha Cafe</v>
      </c>
      <c r="M878" s="103" t="n">
        <f aca="false">IF(L878="",0,IF(L878=D878,E878,-E878))</f>
        <v>79446227</v>
      </c>
      <c r="N878" s="102" t="str">
        <f aca="false">IF(L878="","",IFERROR(INDEX(AK_BARIS,MATCH(L878,AK_NAMA,0)),"?"))</f>
        <v>OP1</v>
      </c>
      <c r="O878" s="102" t="str">
        <f aca="false">IF(C878="","",IFERROR(INDEX(AK_KEL,MATCH(C878,AK_NAMA,0)),"?"))</f>
        <v>ASET</v>
      </c>
      <c r="P878" s="102" t="str">
        <f aca="false">IF(D878="","",IFERROR(INDEX(AK_KEL,MATCH(D878,AK_NAMA,0)),"?"))</f>
        <v>ASET</v>
      </c>
      <c r="Q878" s="102" t="n">
        <f aca="false">N(Q877)+IF(AND(N(E878)&lt;&gt;0,K878=TAHUN,N(J878)&lt;=BLN,OR(C878=BB_AKUN,D878=BB_AKUN)),1,0)</f>
        <v>584</v>
      </c>
      <c r="R878" s="104" t="str">
        <f aca="false">IF(OR(C878&amp;D878="",N(E878)=0),"",IF(OR(O878="?",P878="?"),"⚠ akun tidak dikenal",IF(C878=D878,"⚠ debet = kredit","")))</f>
        <v/>
      </c>
    </row>
    <row r="879" customFormat="false" ht="15" hidden="false" customHeight="false" outlineLevel="0" collapsed="false">
      <c r="A879" s="105" t="s">
        <v>1911</v>
      </c>
      <c r="B879" s="106" t="n">
        <v>46203</v>
      </c>
      <c r="C879" s="105" t="s">
        <v>718</v>
      </c>
      <c r="D879" s="105" t="s">
        <v>765</v>
      </c>
      <c r="E879" s="107" t="n">
        <f aca="false">SUMIFS('OMZET HARIAN'!$L$5:$L$369,'OMZET HARIAN'!$B$5:$B$369,J879)</f>
        <v>354900</v>
      </c>
      <c r="F879" s="105" t="s">
        <v>1912</v>
      </c>
      <c r="G879" s="105"/>
      <c r="H879" s="105" t="s">
        <v>763</v>
      </c>
      <c r="I879" s="105" t="s">
        <v>794</v>
      </c>
      <c r="J879" s="102" t="n">
        <f aca="false">IF(B879="","",MONTH(B879))</f>
        <v>6</v>
      </c>
      <c r="K879" s="102" t="n">
        <f aca="false">IF(B879="","",YEAR(B879))</f>
        <v>2026</v>
      </c>
      <c r="L879" s="102" t="str">
        <f aca="false">IF(N(E879)=0,"",IF(COUNTIFS(AK_NAMA,C879,AK_KAT,"KAS")+COUNTIFS(AK_NAMA,D879,AK_KAT,"KAS")&lt;&gt;1,"",IF(COUNTIFS(AK_NAMA,C879,AK_KAT,"KAS")=1,D879,C879)))</f>
        <v/>
      </c>
      <c r="M879" s="103" t="n">
        <f aca="false">IF(L879="",0,IF(L879=D879,E879,-E879))</f>
        <v>0</v>
      </c>
      <c r="N879" s="102" t="str">
        <f aca="false">IF(L879="","",IFERROR(INDEX(AK_BARIS,MATCH(L879,AK_NAMA,0)),"?"))</f>
        <v/>
      </c>
      <c r="O879" s="102" t="str">
        <f aca="false">IF(C879="","",IFERROR(INDEX(AK_KEL,MATCH(C879,AK_NAMA,0)),"?"))</f>
        <v>ASET</v>
      </c>
      <c r="P879" s="102" t="str">
        <f aca="false">IF(D879="","",IFERROR(INDEX(AK_KEL,MATCH(D879,AK_NAMA,0)),"?"))</f>
        <v>ASET</v>
      </c>
      <c r="Q879" s="102" t="n">
        <f aca="false">N(Q878)+IF(AND(N(E879)&lt;&gt;0,K879=TAHUN,N(J879)&lt;=BLN,OR(C879=BB_AKUN,D879=BB_AKUN)),1,0)</f>
        <v>584</v>
      </c>
      <c r="R879" s="104" t="str">
        <f aca="false">IF(OR(C879&amp;D879="",N(E879)=0),"",IF(OR(O879="?",P879="?"),"⚠ akun tidak dikenal",IF(C879=D879,"⚠ debet = kredit","")))</f>
        <v/>
      </c>
    </row>
    <row r="880" customFormat="false" ht="15" hidden="false" customHeight="false" outlineLevel="0" collapsed="false">
      <c r="A880" s="105" t="s">
        <v>1913</v>
      </c>
      <c r="B880" s="106" t="n">
        <v>46203</v>
      </c>
      <c r="C880" s="105" t="s">
        <v>802</v>
      </c>
      <c r="D880" s="105" t="s">
        <v>765</v>
      </c>
      <c r="E880" s="107" t="n">
        <f aca="false">SUMIFS('OMZET HARIAN'!$M$5:$M$369,'OMZET HARIAN'!$B$5:$B$369,J880)</f>
        <v>166300</v>
      </c>
      <c r="F880" s="105" t="s">
        <v>1914</v>
      </c>
      <c r="G880" s="105"/>
      <c r="H880" s="105"/>
      <c r="I880" s="105" t="s">
        <v>794</v>
      </c>
      <c r="J880" s="102" t="n">
        <f aca="false">IF(B880="","",MONTH(B880))</f>
        <v>6</v>
      </c>
      <c r="K880" s="102" t="n">
        <f aca="false">IF(B880="","",YEAR(B880))</f>
        <v>2026</v>
      </c>
      <c r="L880" s="102" t="str">
        <f aca="false">IF(N(E880)=0,"",IF(COUNTIFS(AK_NAMA,C880,AK_KAT,"KAS")+COUNTIFS(AK_NAMA,D880,AK_KAT,"KAS")&lt;&gt;1,"",IF(COUNTIFS(AK_NAMA,C880,AK_KAT,"KAS")=1,D880,C880)))</f>
        <v/>
      </c>
      <c r="M880" s="103" t="n">
        <f aca="false">IF(L880="",0,IF(L880=D880,E880,-E880))</f>
        <v>0</v>
      </c>
      <c r="N880" s="102" t="str">
        <f aca="false">IF(L880="","",IFERROR(INDEX(AK_BARIS,MATCH(L880,AK_NAMA,0)),"?"))</f>
        <v/>
      </c>
      <c r="O880" s="102" t="str">
        <f aca="false">IF(C880="","",IFERROR(INDEX(AK_KEL,MATCH(C880,AK_NAMA,0)),"?"))</f>
        <v>BEBAN</v>
      </c>
      <c r="P880" s="102" t="str">
        <f aca="false">IF(D880="","",IFERROR(INDEX(AK_KEL,MATCH(D880,AK_NAMA,0)),"?"))</f>
        <v>ASET</v>
      </c>
      <c r="Q880" s="102" t="n">
        <f aca="false">N(Q879)+IF(AND(N(E880)&lt;&gt;0,K880=TAHUN,N(J880)&lt;=BLN,OR(C880=BB_AKUN,D880=BB_AKUN)),1,0)</f>
        <v>584</v>
      </c>
      <c r="R880" s="104" t="str">
        <f aca="false">IF(OR(C880&amp;D880="",N(E880)=0),"",IF(OR(O880="?",P880="?"),"⚠ akun tidak dikenal",IF(C880=D880,"⚠ debet = kredit","")))</f>
        <v/>
      </c>
    </row>
    <row r="881" customFormat="false" ht="15" hidden="false" customHeight="false" outlineLevel="0" collapsed="false">
      <c r="A881" s="105" t="s">
        <v>1915</v>
      </c>
      <c r="B881" s="106" t="n">
        <v>46203</v>
      </c>
      <c r="C881" s="105" t="s">
        <v>464</v>
      </c>
      <c r="D881" s="105" t="s">
        <v>765</v>
      </c>
      <c r="E881" s="107" t="n">
        <f aca="false">SUMIFS('OMZET HARIAN'!$N$5:$N$369,'OMZET HARIAN'!$B$5:$B$369,J881)</f>
        <v>910800</v>
      </c>
      <c r="F881" s="105" t="s">
        <v>1916</v>
      </c>
      <c r="G881" s="105"/>
      <c r="H881" s="105" t="s">
        <v>432</v>
      </c>
      <c r="I881" s="105" t="s">
        <v>794</v>
      </c>
      <c r="J881" s="102" t="n">
        <f aca="false">IF(B881="","",MONTH(B881))</f>
        <v>6</v>
      </c>
      <c r="K881" s="102" t="n">
        <f aca="false">IF(B881="","",YEAR(B881))</f>
        <v>2026</v>
      </c>
      <c r="L881" s="102" t="str">
        <f aca="false">IF(N(E881)=0,"",IF(COUNTIFS(AK_NAMA,C881,AK_KAT,"KAS")+COUNTIFS(AK_NAMA,D881,AK_KAT,"KAS")&lt;&gt;1,"",IF(COUNTIFS(AK_NAMA,C881,AK_KAT,"KAS")=1,D881,C881)))</f>
        <v/>
      </c>
      <c r="M881" s="103" t="n">
        <f aca="false">IF(L881="",0,IF(L881=D881,E881,-E881))</f>
        <v>0</v>
      </c>
      <c r="N881" s="102" t="str">
        <f aca="false">IF(L881="","",IFERROR(INDEX(AK_BARIS,MATCH(L881,AK_NAMA,0)),"?"))</f>
        <v/>
      </c>
      <c r="O881" s="102" t="str">
        <f aca="false">IF(C881="","",IFERROR(INDEX(AK_KEL,MATCH(C881,AK_NAMA,0)),"?"))</f>
        <v>EKUITAS</v>
      </c>
      <c r="P881" s="102" t="str">
        <f aca="false">IF(D881="","",IFERROR(INDEX(AK_KEL,MATCH(D881,AK_NAMA,0)),"?"))</f>
        <v>ASET</v>
      </c>
      <c r="Q881" s="102" t="n">
        <f aca="false">N(Q880)+IF(AND(N(E881)&lt;&gt;0,K881=TAHUN,N(J881)&lt;=BLN,OR(C881=BB_AKUN,D881=BB_AKUN)),1,0)</f>
        <v>584</v>
      </c>
      <c r="R881" s="104" t="str">
        <f aca="false">IF(OR(C881&amp;D881="",N(E881)=0),"",IF(OR(O881="?",P881="?"),"⚠ akun tidak dikenal",IF(C881=D881,"⚠ debet = kredit","")))</f>
        <v/>
      </c>
    </row>
    <row r="882" customFormat="false" ht="15" hidden="false" customHeight="false" outlineLevel="0" collapsed="false">
      <c r="A882" s="105" t="s">
        <v>1917</v>
      </c>
      <c r="B882" s="106" t="n">
        <v>46203</v>
      </c>
      <c r="C882" s="105" t="s">
        <v>807</v>
      </c>
      <c r="D882" s="105" t="s">
        <v>808</v>
      </c>
      <c r="E882" s="107" t="n">
        <f aca="false">INDEX('ASET TETAP'!$H$25:$S$25,J882)</f>
        <v>297787</v>
      </c>
      <c r="F882" s="105" t="s">
        <v>1918</v>
      </c>
      <c r="G882" s="105"/>
      <c r="H882" s="105"/>
      <c r="I882" s="105" t="s">
        <v>794</v>
      </c>
      <c r="J882" s="102" t="n">
        <f aca="false">IF(B882="","",MONTH(B882))</f>
        <v>6</v>
      </c>
      <c r="K882" s="102" t="n">
        <f aca="false">IF(B882="","",YEAR(B882))</f>
        <v>2026</v>
      </c>
      <c r="L882" s="102" t="str">
        <f aca="false">IF(N(E882)=0,"",IF(COUNTIFS(AK_NAMA,C882,AK_KAT,"KAS")+COUNTIFS(AK_NAMA,D882,AK_KAT,"KAS")&lt;&gt;1,"",IF(COUNTIFS(AK_NAMA,C882,AK_KAT,"KAS")=1,D882,C882)))</f>
        <v/>
      </c>
      <c r="M882" s="103" t="n">
        <f aca="false">IF(L882="",0,IF(L882=D882,E882,-E882))</f>
        <v>0</v>
      </c>
      <c r="N882" s="102" t="str">
        <f aca="false">IF(L882="","",IFERROR(INDEX(AK_BARIS,MATCH(L882,AK_NAMA,0)),"?"))</f>
        <v/>
      </c>
      <c r="O882" s="102" t="str">
        <f aca="false">IF(C882="","",IFERROR(INDEX(AK_KEL,MATCH(C882,AK_NAMA,0)),"?"))</f>
        <v>BEBAN</v>
      </c>
      <c r="P882" s="102" t="str">
        <f aca="false">IF(D882="","",IFERROR(INDEX(AK_KEL,MATCH(D882,AK_NAMA,0)),"?"))</f>
        <v>ASET</v>
      </c>
      <c r="Q882" s="102" t="n">
        <f aca="false">N(Q881)+IF(AND(N(E882)&lt;&gt;0,K882=TAHUN,N(J882)&lt;=BLN,OR(C882=BB_AKUN,D882=BB_AKUN)),1,0)</f>
        <v>584</v>
      </c>
      <c r="R882" s="104" t="str">
        <f aca="false">IF(OR(C882&amp;D882="",N(E882)=0),"",IF(OR(O882="?",P882="?"),"⚠ akun tidak dikenal",IF(C882=D882,"⚠ debet = kredit","")))</f>
        <v/>
      </c>
    </row>
    <row r="883" customFormat="false" ht="15" hidden="false" customHeight="false" outlineLevel="0" collapsed="false">
      <c r="A883" s="105" t="s">
        <v>1919</v>
      </c>
      <c r="B883" s="106" t="n">
        <v>46203</v>
      </c>
      <c r="C883" s="105" t="s">
        <v>787</v>
      </c>
      <c r="D883" s="105" t="s">
        <v>811</v>
      </c>
      <c r="E883" s="107" t="n">
        <f aca="false">IF(AND(AKRUAL="YA",J883&lt;=BLN),MAX(0,INDEX(PAJAK!$J$6:$J$17,J883)),0)</f>
        <v>7349136</v>
      </c>
      <c r="F883" s="105" t="s">
        <v>1920</v>
      </c>
      <c r="G883" s="105"/>
      <c r="H883" s="105"/>
      <c r="I883" s="105" t="s">
        <v>813</v>
      </c>
      <c r="J883" s="102" t="n">
        <f aca="false">IF(B883="","",MONTH(B883))</f>
        <v>6</v>
      </c>
      <c r="K883" s="102" t="n">
        <f aca="false">IF(B883="","",YEAR(B883))</f>
        <v>2026</v>
      </c>
      <c r="L883" s="102" t="str">
        <f aca="false">IF(N(E883)=0,"",IF(COUNTIFS(AK_NAMA,C883,AK_KAT,"KAS")+COUNTIFS(AK_NAMA,D883,AK_KAT,"KAS")&lt;&gt;1,"",IF(COUNTIFS(AK_NAMA,C883,AK_KAT,"KAS")=1,D883,C883)))</f>
        <v/>
      </c>
      <c r="M883" s="103" t="n">
        <f aca="false">IF(L883="",0,IF(L883=D883,E883,-E883))</f>
        <v>0</v>
      </c>
      <c r="N883" s="102" t="str">
        <f aca="false">IF(L883="","",IFERROR(INDEX(AK_BARIS,MATCH(L883,AK_NAMA,0)),"?"))</f>
        <v/>
      </c>
      <c r="O883" s="102" t="str">
        <f aca="false">IF(C883="","",IFERROR(INDEX(AK_KEL,MATCH(C883,AK_NAMA,0)),"?"))</f>
        <v>PENDAPATAN</v>
      </c>
      <c r="P883" s="102" t="str">
        <f aca="false">IF(D883="","",IFERROR(INDEX(AK_KEL,MATCH(D883,AK_NAMA,0)),"?"))</f>
        <v>LIABILITAS</v>
      </c>
      <c r="Q883" s="102" t="n">
        <f aca="false">N(Q882)+IF(AND(N(E883)&lt;&gt;0,K883=TAHUN,N(J883)&lt;=BLN,OR(C883=BB_AKUN,D883=BB_AKUN)),1,0)</f>
        <v>584</v>
      </c>
      <c r="R883" s="104" t="str">
        <f aca="false">IF(OR(C883&amp;D883="",N(E883)=0),"",IF(OR(O883="?",P883="?"),"⚠ akun tidak dikenal",IF(C883=D883,"⚠ debet = kredit","")))</f>
        <v/>
      </c>
    </row>
    <row r="884" customFormat="false" ht="15" hidden="false" customHeight="false" outlineLevel="0" collapsed="false">
      <c r="A884" s="82" t="s">
        <v>1921</v>
      </c>
      <c r="B884" s="101" t="n">
        <v>46204</v>
      </c>
      <c r="C884" s="82" t="s">
        <v>524</v>
      </c>
      <c r="D884" s="82" t="s">
        <v>461</v>
      </c>
      <c r="E884" s="91" t="n">
        <v>10000</v>
      </c>
      <c r="F884" s="82" t="s">
        <v>1118</v>
      </c>
      <c r="G884" s="82"/>
      <c r="H884" s="82"/>
      <c r="I884" s="82" t="s">
        <v>250</v>
      </c>
      <c r="J884" s="102" t="n">
        <f aca="false">IF(B884="","",MONTH(B884))</f>
        <v>7</v>
      </c>
      <c r="K884" s="102" t="n">
        <f aca="false">IF(B884="","",YEAR(B884))</f>
        <v>2026</v>
      </c>
      <c r="L884" s="102" t="str">
        <f aca="false">IF(N(E884)=0,"",IF(COUNTIFS(AK_NAMA,C884,AK_KAT,"KAS")+COUNTIFS(AK_NAMA,D884,AK_KAT,"KAS")&lt;&gt;1,"",IF(COUNTIFS(AK_NAMA,C884,AK_KAT,"KAS")=1,D884,C884)))</f>
        <v>Biaya Lainnya</v>
      </c>
      <c r="M884" s="103" t="n">
        <f aca="false">IF(L884="",0,IF(L884=D884,E884,-E884))</f>
        <v>-10000</v>
      </c>
      <c r="N884" s="102" t="str">
        <f aca="false">IF(L884="","",IFERROR(INDEX(AK_BARIS,MATCH(L884,AK_NAMA,0)),"?"))</f>
        <v>OP2</v>
      </c>
      <c r="O884" s="102" t="str">
        <f aca="false">IF(C884="","",IFERROR(INDEX(AK_KEL,MATCH(C884,AK_NAMA,0)),"?"))</f>
        <v>BEBAN</v>
      </c>
      <c r="P884" s="102" t="str">
        <f aca="false">IF(D884="","",IFERROR(INDEX(AK_KEL,MATCH(D884,AK_NAMA,0)),"?"))</f>
        <v>ASET</v>
      </c>
      <c r="Q884" s="102" t="n">
        <f aca="false">N(Q883)+IF(AND(N(E884)&lt;&gt;0,K884=TAHUN,N(J884)&lt;=BLN,OR(C884=BB_AKUN,D884=BB_AKUN)),1,0)</f>
        <v>585</v>
      </c>
      <c r="R884" s="104" t="str">
        <f aca="false">IF(OR(C884&amp;D884="",N(E884)=0),"",IF(OR(O884="?",P884="?"),"⚠ akun tidak dikenal",IF(C884=D884,"⚠ debet = kredit","")))</f>
        <v/>
      </c>
    </row>
    <row r="885" customFormat="false" ht="15" hidden="false" customHeight="false" outlineLevel="0" collapsed="false">
      <c r="A885" s="82" t="s">
        <v>1922</v>
      </c>
      <c r="B885" s="101" t="n">
        <v>46205</v>
      </c>
      <c r="C885" s="82" t="s">
        <v>460</v>
      </c>
      <c r="D885" s="82" t="s">
        <v>461</v>
      </c>
      <c r="E885" s="91" t="n">
        <v>2500000</v>
      </c>
      <c r="F885" s="82" t="s">
        <v>1923</v>
      </c>
      <c r="G885" s="82"/>
      <c r="H885" s="82"/>
      <c r="I885" s="82" t="s">
        <v>250</v>
      </c>
      <c r="J885" s="102" t="n">
        <f aca="false">IF(B885="","",MONTH(B885))</f>
        <v>7</v>
      </c>
      <c r="K885" s="102" t="n">
        <f aca="false">IF(B885="","",YEAR(B885))</f>
        <v>2026</v>
      </c>
      <c r="L885" s="102" t="str">
        <f aca="false">IF(N(E885)=0,"",IF(COUNTIFS(AK_NAMA,C885,AK_KAT,"KAS")+COUNTIFS(AK_NAMA,D885,AK_KAT,"KAS")&lt;&gt;1,"",IF(COUNTIFS(AK_NAMA,C885,AK_KAT,"KAS")=1,D885,C885)))</f>
        <v>Biaya Marketing &amp; Promosi</v>
      </c>
      <c r="M885" s="103" t="n">
        <f aca="false">IF(L885="",0,IF(L885=D885,E885,-E885))</f>
        <v>-2500000</v>
      </c>
      <c r="N885" s="102" t="str">
        <f aca="false">IF(L885="","",IFERROR(INDEX(AK_BARIS,MATCH(L885,AK_NAMA,0)),"?"))</f>
        <v>OP6</v>
      </c>
      <c r="O885" s="102" t="str">
        <f aca="false">IF(C885="","",IFERROR(INDEX(AK_KEL,MATCH(C885,AK_NAMA,0)),"?"))</f>
        <v>BEBAN</v>
      </c>
      <c r="P885" s="102" t="str">
        <f aca="false">IF(D885="","",IFERROR(INDEX(AK_KEL,MATCH(D885,AK_NAMA,0)),"?"))</f>
        <v>ASET</v>
      </c>
      <c r="Q885" s="102" t="n">
        <f aca="false">N(Q884)+IF(AND(N(E885)&lt;&gt;0,K885=TAHUN,N(J885)&lt;=BLN,OR(C885=BB_AKUN,D885=BB_AKUN)),1,0)</f>
        <v>586</v>
      </c>
      <c r="R885" s="104" t="str">
        <f aca="false">IF(OR(C885&amp;D885="",N(E885)=0),"",IF(OR(O885="?",P885="?"),"⚠ akun tidak dikenal",IF(C885=D885,"⚠ debet = kredit","")))</f>
        <v/>
      </c>
    </row>
    <row r="886" customFormat="false" ht="15" hidden="false" customHeight="false" outlineLevel="0" collapsed="false">
      <c r="A886" s="82" t="s">
        <v>1924</v>
      </c>
      <c r="B886" s="101" t="n">
        <v>46205</v>
      </c>
      <c r="C886" s="82" t="s">
        <v>524</v>
      </c>
      <c r="D886" s="82" t="s">
        <v>461</v>
      </c>
      <c r="E886" s="91" t="n">
        <v>344</v>
      </c>
      <c r="F886" s="82" t="s">
        <v>525</v>
      </c>
      <c r="G886" s="82"/>
      <c r="H886" s="82"/>
      <c r="I886" s="82" t="s">
        <v>250</v>
      </c>
      <c r="J886" s="102" t="n">
        <f aca="false">IF(B886="","",MONTH(B886))</f>
        <v>7</v>
      </c>
      <c r="K886" s="102" t="n">
        <f aca="false">IF(B886="","",YEAR(B886))</f>
        <v>2026</v>
      </c>
      <c r="L886" s="102" t="str">
        <f aca="false">IF(N(E886)=0,"",IF(COUNTIFS(AK_NAMA,C886,AK_KAT,"KAS")+COUNTIFS(AK_NAMA,D886,AK_KAT,"KAS")&lt;&gt;1,"",IF(COUNTIFS(AK_NAMA,C886,AK_KAT,"KAS")=1,D886,C886)))</f>
        <v>Biaya Lainnya</v>
      </c>
      <c r="M886" s="103" t="n">
        <f aca="false">IF(L886="",0,IF(L886=D886,E886,-E886))</f>
        <v>-344</v>
      </c>
      <c r="N886" s="102" t="str">
        <f aca="false">IF(L886="","",IFERROR(INDEX(AK_BARIS,MATCH(L886,AK_NAMA,0)),"?"))</f>
        <v>OP2</v>
      </c>
      <c r="O886" s="102" t="str">
        <f aca="false">IF(C886="","",IFERROR(INDEX(AK_KEL,MATCH(C886,AK_NAMA,0)),"?"))</f>
        <v>BEBAN</v>
      </c>
      <c r="P886" s="102" t="str">
        <f aca="false">IF(D886="","",IFERROR(INDEX(AK_KEL,MATCH(D886,AK_NAMA,0)),"?"))</f>
        <v>ASET</v>
      </c>
      <c r="Q886" s="102" t="n">
        <f aca="false">N(Q885)+IF(AND(N(E886)&lt;&gt;0,K886=TAHUN,N(J886)&lt;=BLN,OR(C886=BB_AKUN,D886=BB_AKUN)),1,0)</f>
        <v>587</v>
      </c>
      <c r="R886" s="104" t="str">
        <f aca="false">IF(OR(C886&amp;D886="",N(E886)=0),"",IF(OR(O886="?",P886="?"),"⚠ akun tidak dikenal",IF(C886=D886,"⚠ debet = kredit","")))</f>
        <v/>
      </c>
    </row>
    <row r="887" customFormat="false" ht="15" hidden="false" customHeight="false" outlineLevel="0" collapsed="false">
      <c r="A887" s="82" t="s">
        <v>1925</v>
      </c>
      <c r="B887" s="101" t="n">
        <v>46206</v>
      </c>
      <c r="C887" s="82" t="s">
        <v>475</v>
      </c>
      <c r="D887" s="82" t="s">
        <v>461</v>
      </c>
      <c r="E887" s="91" t="n">
        <v>174000</v>
      </c>
      <c r="F887" s="82" t="s">
        <v>1629</v>
      </c>
      <c r="G887" s="82"/>
      <c r="H887" s="82"/>
      <c r="I887" s="82" t="s">
        <v>250</v>
      </c>
      <c r="J887" s="102" t="n">
        <f aca="false">IF(B887="","",MONTH(B887))</f>
        <v>7</v>
      </c>
      <c r="K887" s="102" t="n">
        <f aca="false">IF(B887="","",YEAR(B887))</f>
        <v>2026</v>
      </c>
      <c r="L887" s="102" t="str">
        <f aca="false">IF(N(E887)=0,"",IF(COUNTIFS(AK_NAMA,C887,AK_KAT,"KAS")+COUNTIFS(AK_NAMA,D887,AK_KAT,"KAS")&lt;&gt;1,"",IF(COUNTIFS(AK_NAMA,C887,AK_KAT,"KAS")=1,D887,C887)))</f>
        <v/>
      </c>
      <c r="M887" s="103" t="n">
        <f aca="false">IF(L887="",0,IF(L887=D887,E887,-E887))</f>
        <v>0</v>
      </c>
      <c r="N887" s="102" t="str">
        <f aca="false">IF(L887="","",IFERROR(INDEX(AK_BARIS,MATCH(L887,AK_NAMA,0)),"?"))</f>
        <v/>
      </c>
      <c r="O887" s="102" t="str">
        <f aca="false">IF(C887="","",IFERROR(INDEX(AK_KEL,MATCH(C887,AK_NAMA,0)),"?"))</f>
        <v>ASET</v>
      </c>
      <c r="P887" s="102" t="str">
        <f aca="false">IF(D887="","",IFERROR(INDEX(AK_KEL,MATCH(D887,AK_NAMA,0)),"?"))</f>
        <v>ASET</v>
      </c>
      <c r="Q887" s="102" t="n">
        <f aca="false">N(Q886)+IF(AND(N(E887)&lt;&gt;0,K887=TAHUN,N(J887)&lt;=BLN,OR(C887=BB_AKUN,D887=BB_AKUN)),1,0)</f>
        <v>588</v>
      </c>
      <c r="R887" s="104" t="str">
        <f aca="false">IF(OR(C887&amp;D887="",N(E887)=0),"",IF(OR(O887="?",P887="?"),"⚠ akun tidak dikenal",IF(C887=D887,"⚠ debet = kredit","")))</f>
        <v/>
      </c>
    </row>
    <row r="888" customFormat="false" ht="15" hidden="false" customHeight="false" outlineLevel="0" collapsed="false">
      <c r="A888" s="82" t="s">
        <v>1926</v>
      </c>
      <c r="B888" s="101" t="n">
        <v>46207</v>
      </c>
      <c r="C888" s="82" t="s">
        <v>548</v>
      </c>
      <c r="D888" s="82" t="s">
        <v>461</v>
      </c>
      <c r="E888" s="91" t="n">
        <v>128850</v>
      </c>
      <c r="F888" s="82" t="s">
        <v>1927</v>
      </c>
      <c r="G888" s="82"/>
      <c r="H888" s="82"/>
      <c r="I888" s="82" t="s">
        <v>250</v>
      </c>
      <c r="J888" s="102" t="n">
        <f aca="false">IF(B888="","",MONTH(B888))</f>
        <v>7</v>
      </c>
      <c r="K888" s="102" t="n">
        <f aca="false">IF(B888="","",YEAR(B888))</f>
        <v>2026</v>
      </c>
      <c r="L888" s="102" t="str">
        <f aca="false">IF(N(E888)=0,"",IF(COUNTIFS(AK_NAMA,C888,AK_KAT,"KAS")+COUNTIFS(AK_NAMA,D888,AK_KAT,"KAS")&lt;&gt;1,"",IF(COUNTIFS(AK_NAMA,C888,AK_KAT,"KAS")=1,D888,C888)))</f>
        <v>Beban Perlengkapan</v>
      </c>
      <c r="M888" s="103" t="n">
        <f aca="false">IF(L888="",0,IF(L888=D888,E888,-E888))</f>
        <v>-128850</v>
      </c>
      <c r="N888" s="102" t="str">
        <f aca="false">IF(L888="","",IFERROR(INDEX(AK_BARIS,MATCH(L888,AK_NAMA,0)),"?"))</f>
        <v>OP6</v>
      </c>
      <c r="O888" s="102" t="str">
        <f aca="false">IF(C888="","",IFERROR(INDEX(AK_KEL,MATCH(C888,AK_NAMA,0)),"?"))</f>
        <v>BEBAN</v>
      </c>
      <c r="P888" s="102" t="str">
        <f aca="false">IF(D888="","",IFERROR(INDEX(AK_KEL,MATCH(D888,AK_NAMA,0)),"?"))</f>
        <v>ASET</v>
      </c>
      <c r="Q888" s="102" t="n">
        <f aca="false">N(Q887)+IF(AND(N(E888)&lt;&gt;0,K888=TAHUN,N(J888)&lt;=BLN,OR(C888=BB_AKUN,D888=BB_AKUN)),1,0)</f>
        <v>589</v>
      </c>
      <c r="R888" s="104" t="str">
        <f aca="false">IF(OR(C888&amp;D888="",N(E888)=0),"",IF(OR(O888="?",P888="?"),"⚠ akun tidak dikenal",IF(C888=D888,"⚠ debet = kredit","")))</f>
        <v/>
      </c>
    </row>
    <row r="889" customFormat="false" ht="15" hidden="false" customHeight="false" outlineLevel="0" collapsed="false">
      <c r="A889" s="82" t="s">
        <v>1928</v>
      </c>
      <c r="B889" s="101" t="n">
        <v>46207</v>
      </c>
      <c r="C889" s="82" t="s">
        <v>470</v>
      </c>
      <c r="D889" s="82" t="s">
        <v>486</v>
      </c>
      <c r="E889" s="91" t="n">
        <v>145000</v>
      </c>
      <c r="F889" s="82" t="s">
        <v>935</v>
      </c>
      <c r="G889" s="82"/>
      <c r="H889" s="82"/>
      <c r="I889" s="82" t="s">
        <v>250</v>
      </c>
      <c r="J889" s="102" t="n">
        <f aca="false">IF(B889="","",MONTH(B889))</f>
        <v>7</v>
      </c>
      <c r="K889" s="102" t="n">
        <f aca="false">IF(B889="","",YEAR(B889))</f>
        <v>2026</v>
      </c>
      <c r="L889" s="102" t="str">
        <f aca="false">IF(N(E889)=0,"",IF(COUNTIFS(AK_NAMA,C889,AK_KAT,"KAS")+COUNTIFS(AK_NAMA,D889,AK_KAT,"KAS")&lt;&gt;1,"",IF(COUNTIFS(AK_NAMA,C889,AK_KAT,"KAS")=1,D889,C889)))</f>
        <v>Biaya Bahan Baku</v>
      </c>
      <c r="M889" s="103" t="n">
        <f aca="false">IF(L889="",0,IF(L889=D889,E889,-E889))</f>
        <v>-145000</v>
      </c>
      <c r="N889" s="102" t="str">
        <f aca="false">IF(L889="","",IFERROR(INDEX(AK_BARIS,MATCH(L889,AK_NAMA,0)),"?"))</f>
        <v>OP3</v>
      </c>
      <c r="O889" s="102" t="str">
        <f aca="false">IF(C889="","",IFERROR(INDEX(AK_KEL,MATCH(C889,AK_NAMA,0)),"?"))</f>
        <v>BEBAN</v>
      </c>
      <c r="P889" s="102" t="str">
        <f aca="false">IF(D889="","",IFERROR(INDEX(AK_KEL,MATCH(D889,AK_NAMA,0)),"?"))</f>
        <v>ASET</v>
      </c>
      <c r="Q889" s="102" t="n">
        <f aca="false">N(Q888)+IF(AND(N(E889)&lt;&gt;0,K889=TAHUN,N(J889)&lt;=BLN,OR(C889=BB_AKUN,D889=BB_AKUN)),1,0)</f>
        <v>589</v>
      </c>
      <c r="R889" s="104" t="str">
        <f aca="false">IF(OR(C889&amp;D889="",N(E889)=0),"",IF(OR(O889="?",P889="?"),"⚠ akun tidak dikenal",IF(C889=D889,"⚠ debet = kredit","")))</f>
        <v/>
      </c>
    </row>
    <row r="890" customFormat="false" ht="15" hidden="false" customHeight="false" outlineLevel="0" collapsed="false">
      <c r="A890" s="82" t="s">
        <v>1929</v>
      </c>
      <c r="B890" s="101" t="n">
        <v>46207</v>
      </c>
      <c r="C890" s="82" t="s">
        <v>478</v>
      </c>
      <c r="D890" s="82" t="s">
        <v>486</v>
      </c>
      <c r="E890" s="91" t="n">
        <v>36500</v>
      </c>
      <c r="F890" s="82" t="s">
        <v>937</v>
      </c>
      <c r="G890" s="82"/>
      <c r="H890" s="82"/>
      <c r="I890" s="82" t="s">
        <v>250</v>
      </c>
      <c r="J890" s="102" t="n">
        <f aca="false">IF(B890="","",MONTH(B890))</f>
        <v>7</v>
      </c>
      <c r="K890" s="102" t="n">
        <f aca="false">IF(B890="","",YEAR(B890))</f>
        <v>2026</v>
      </c>
      <c r="L890" s="102" t="str">
        <f aca="false">IF(N(E890)=0,"",IF(COUNTIFS(AK_NAMA,C890,AK_KAT,"KAS")+COUNTIFS(AK_NAMA,D890,AK_KAT,"KAS")&lt;&gt;1,"",IF(COUNTIFS(AK_NAMA,C890,AK_KAT,"KAS")=1,D890,C890)))</f>
        <v>Biaya Penyajian</v>
      </c>
      <c r="M890" s="103" t="n">
        <f aca="false">IF(L890="",0,IF(L890=D890,E890,-E890))</f>
        <v>-36500</v>
      </c>
      <c r="N890" s="102" t="str">
        <f aca="false">IF(L890="","",IFERROR(INDEX(AK_BARIS,MATCH(L890,AK_NAMA,0)),"?"))</f>
        <v>OP3</v>
      </c>
      <c r="O890" s="102" t="str">
        <f aca="false">IF(C890="","",IFERROR(INDEX(AK_KEL,MATCH(C890,AK_NAMA,0)),"?"))</f>
        <v>BEBAN</v>
      </c>
      <c r="P890" s="102" t="str">
        <f aca="false">IF(D890="","",IFERROR(INDEX(AK_KEL,MATCH(D890,AK_NAMA,0)),"?"))</f>
        <v>ASET</v>
      </c>
      <c r="Q890" s="102" t="n">
        <f aca="false">N(Q889)+IF(AND(N(E890)&lt;&gt;0,K890=TAHUN,N(J890)&lt;=BLN,OR(C890=BB_AKUN,D890=BB_AKUN)),1,0)</f>
        <v>589</v>
      </c>
      <c r="R890" s="104" t="str">
        <f aca="false">IF(OR(C890&amp;D890="",N(E890)=0),"",IF(OR(O890="?",P890="?"),"⚠ akun tidak dikenal",IF(C890=D890,"⚠ debet = kredit","")))</f>
        <v/>
      </c>
    </row>
    <row r="891" customFormat="false" ht="15" hidden="false" customHeight="false" outlineLevel="0" collapsed="false">
      <c r="A891" s="82" t="s">
        <v>1930</v>
      </c>
      <c r="B891" s="101" t="n">
        <v>46207</v>
      </c>
      <c r="C891" s="82" t="s">
        <v>548</v>
      </c>
      <c r="D891" s="82" t="s">
        <v>486</v>
      </c>
      <c r="E891" s="91" t="n">
        <v>78500</v>
      </c>
      <c r="F891" s="82" t="s">
        <v>939</v>
      </c>
      <c r="G891" s="82"/>
      <c r="H891" s="82"/>
      <c r="I891" s="82" t="s">
        <v>250</v>
      </c>
      <c r="J891" s="102" t="n">
        <f aca="false">IF(B891="","",MONTH(B891))</f>
        <v>7</v>
      </c>
      <c r="K891" s="102" t="n">
        <f aca="false">IF(B891="","",YEAR(B891))</f>
        <v>2026</v>
      </c>
      <c r="L891" s="102" t="str">
        <f aca="false">IF(N(E891)=0,"",IF(COUNTIFS(AK_NAMA,C891,AK_KAT,"KAS")+COUNTIFS(AK_NAMA,D891,AK_KAT,"KAS")&lt;&gt;1,"",IF(COUNTIFS(AK_NAMA,C891,AK_KAT,"KAS")=1,D891,C891)))</f>
        <v>Beban Perlengkapan</v>
      </c>
      <c r="M891" s="103" t="n">
        <f aca="false">IF(L891="",0,IF(L891=D891,E891,-E891))</f>
        <v>-78500</v>
      </c>
      <c r="N891" s="102" t="str">
        <f aca="false">IF(L891="","",IFERROR(INDEX(AK_BARIS,MATCH(L891,AK_NAMA,0)),"?"))</f>
        <v>OP6</v>
      </c>
      <c r="O891" s="102" t="str">
        <f aca="false">IF(C891="","",IFERROR(INDEX(AK_KEL,MATCH(C891,AK_NAMA,0)),"?"))</f>
        <v>BEBAN</v>
      </c>
      <c r="P891" s="102" t="str">
        <f aca="false">IF(D891="","",IFERROR(INDEX(AK_KEL,MATCH(D891,AK_NAMA,0)),"?"))</f>
        <v>ASET</v>
      </c>
      <c r="Q891" s="102" t="n">
        <f aca="false">N(Q890)+IF(AND(N(E891)&lt;&gt;0,K891=TAHUN,N(J891)&lt;=BLN,OR(C891=BB_AKUN,D891=BB_AKUN)),1,0)</f>
        <v>589</v>
      </c>
      <c r="R891" s="104" t="str">
        <f aca="false">IF(OR(C891&amp;D891="",N(E891)=0),"",IF(OR(O891="?",P891="?"),"⚠ akun tidak dikenal",IF(C891=D891,"⚠ debet = kredit","")))</f>
        <v/>
      </c>
    </row>
    <row r="892" customFormat="false" ht="15" hidden="false" customHeight="false" outlineLevel="0" collapsed="false">
      <c r="A892" s="82" t="s">
        <v>1931</v>
      </c>
      <c r="B892" s="101" t="n">
        <v>46207</v>
      </c>
      <c r="C892" s="82" t="s">
        <v>485</v>
      </c>
      <c r="D892" s="82" t="s">
        <v>486</v>
      </c>
      <c r="E892" s="91" t="n">
        <v>160000</v>
      </c>
      <c r="F892" s="82" t="s">
        <v>553</v>
      </c>
      <c r="G892" s="82"/>
      <c r="H892" s="82"/>
      <c r="I892" s="82" t="s">
        <v>250</v>
      </c>
      <c r="J892" s="102" t="n">
        <f aca="false">IF(B892="","",MONTH(B892))</f>
        <v>7</v>
      </c>
      <c r="K892" s="102" t="n">
        <f aca="false">IF(B892="","",YEAR(B892))</f>
        <v>2026</v>
      </c>
      <c r="L892" s="102" t="str">
        <f aca="false">IF(N(E892)=0,"",IF(COUNTIFS(AK_NAMA,C892,AK_KAT,"KAS")+COUNTIFS(AK_NAMA,D892,AK_KAT,"KAS")&lt;&gt;1,"",IF(COUNTIFS(AK_NAMA,C892,AK_KAT,"KAS")=1,D892,C892)))</f>
        <v>Biaya Operasional Harian</v>
      </c>
      <c r="M892" s="103" t="n">
        <f aca="false">IF(L892="",0,IF(L892=D892,E892,-E892))</f>
        <v>-160000</v>
      </c>
      <c r="N892" s="102" t="str">
        <f aca="false">IF(L892="","",IFERROR(INDEX(AK_BARIS,MATCH(L892,AK_NAMA,0)),"?"))</f>
        <v>OP6</v>
      </c>
      <c r="O892" s="102" t="str">
        <f aca="false">IF(C892="","",IFERROR(INDEX(AK_KEL,MATCH(C892,AK_NAMA,0)),"?"))</f>
        <v>BEBAN</v>
      </c>
      <c r="P892" s="102" t="str">
        <f aca="false">IF(D892="","",IFERROR(INDEX(AK_KEL,MATCH(D892,AK_NAMA,0)),"?"))</f>
        <v>ASET</v>
      </c>
      <c r="Q892" s="102" t="n">
        <f aca="false">N(Q891)+IF(AND(N(E892)&lt;&gt;0,K892=TAHUN,N(J892)&lt;=BLN,OR(C892=BB_AKUN,D892=BB_AKUN)),1,0)</f>
        <v>589</v>
      </c>
      <c r="R892" s="104" t="str">
        <f aca="false">IF(OR(C892&amp;D892="",N(E892)=0),"",IF(OR(O892="?",P892="?"),"⚠ akun tidak dikenal",IF(C892=D892,"⚠ debet = kredit","")))</f>
        <v/>
      </c>
    </row>
    <row r="893" customFormat="false" ht="15" hidden="false" customHeight="false" outlineLevel="0" collapsed="false">
      <c r="A893" s="82" t="s">
        <v>1932</v>
      </c>
      <c r="B893" s="101" t="n">
        <v>46207</v>
      </c>
      <c r="C893" s="82" t="s">
        <v>475</v>
      </c>
      <c r="D893" s="82" t="s">
        <v>486</v>
      </c>
      <c r="E893" s="91" t="n">
        <v>80000</v>
      </c>
      <c r="F893" s="82" t="s">
        <v>1142</v>
      </c>
      <c r="G893" s="82"/>
      <c r="H893" s="82"/>
      <c r="I893" s="82" t="s">
        <v>250</v>
      </c>
      <c r="J893" s="102" t="n">
        <f aca="false">IF(B893="","",MONTH(B893))</f>
        <v>7</v>
      </c>
      <c r="K893" s="102" t="n">
        <f aca="false">IF(B893="","",YEAR(B893))</f>
        <v>2026</v>
      </c>
      <c r="L893" s="102" t="str">
        <f aca="false">IF(N(E893)=0,"",IF(COUNTIFS(AK_NAMA,C893,AK_KAT,"KAS")+COUNTIFS(AK_NAMA,D893,AK_KAT,"KAS")&lt;&gt;1,"",IF(COUNTIFS(AK_NAMA,C893,AK_KAT,"KAS")=1,D893,C893)))</f>
        <v/>
      </c>
      <c r="M893" s="103" t="n">
        <f aca="false">IF(L893="",0,IF(L893=D893,E893,-E893))</f>
        <v>0</v>
      </c>
      <c r="N893" s="102" t="str">
        <f aca="false">IF(L893="","",IFERROR(INDEX(AK_BARIS,MATCH(L893,AK_NAMA,0)),"?"))</f>
        <v/>
      </c>
      <c r="O893" s="102" t="str">
        <f aca="false">IF(C893="","",IFERROR(INDEX(AK_KEL,MATCH(C893,AK_NAMA,0)),"?"))</f>
        <v>ASET</v>
      </c>
      <c r="P893" s="102" t="str">
        <f aca="false">IF(D893="","",IFERROR(INDEX(AK_KEL,MATCH(D893,AK_NAMA,0)),"?"))</f>
        <v>ASET</v>
      </c>
      <c r="Q893" s="102" t="n">
        <f aca="false">N(Q892)+IF(AND(N(E893)&lt;&gt;0,K893=TAHUN,N(J893)&lt;=BLN,OR(C893=BB_AKUN,D893=BB_AKUN)),1,0)</f>
        <v>589</v>
      </c>
      <c r="R893" s="104" t="str">
        <f aca="false">IF(OR(C893&amp;D893="",N(E893)=0),"",IF(OR(O893="?",P893="?"),"⚠ akun tidak dikenal",IF(C893=D893,"⚠ debet = kredit","")))</f>
        <v/>
      </c>
    </row>
    <row r="894" customFormat="false" ht="15" hidden="false" customHeight="false" outlineLevel="0" collapsed="false">
      <c r="A894" s="82" t="s">
        <v>1933</v>
      </c>
      <c r="B894" s="101" t="n">
        <v>46207</v>
      </c>
      <c r="C894" s="82" t="s">
        <v>486</v>
      </c>
      <c r="D894" s="82" t="s">
        <v>475</v>
      </c>
      <c r="E894" s="91" t="n">
        <v>500000</v>
      </c>
      <c r="F894" s="82" t="s">
        <v>1624</v>
      </c>
      <c r="G894" s="82"/>
      <c r="H894" s="82"/>
      <c r="I894" s="82" t="s">
        <v>250</v>
      </c>
      <c r="J894" s="102" t="n">
        <f aca="false">IF(B894="","",MONTH(B894))</f>
        <v>7</v>
      </c>
      <c r="K894" s="102" t="n">
        <f aca="false">IF(B894="","",YEAR(B894))</f>
        <v>2026</v>
      </c>
      <c r="L894" s="102" t="str">
        <f aca="false">IF(N(E894)=0,"",IF(COUNTIFS(AK_NAMA,C894,AK_KAT,"KAS")+COUNTIFS(AK_NAMA,D894,AK_KAT,"KAS")&lt;&gt;1,"",IF(COUNTIFS(AK_NAMA,C894,AK_KAT,"KAS")=1,D894,C894)))</f>
        <v/>
      </c>
      <c r="M894" s="103" t="n">
        <f aca="false">IF(L894="",0,IF(L894=D894,E894,-E894))</f>
        <v>0</v>
      </c>
      <c r="N894" s="102" t="str">
        <f aca="false">IF(L894="","",IFERROR(INDEX(AK_BARIS,MATCH(L894,AK_NAMA,0)),"?"))</f>
        <v/>
      </c>
      <c r="O894" s="102" t="str">
        <f aca="false">IF(C894="","",IFERROR(INDEX(AK_KEL,MATCH(C894,AK_NAMA,0)),"?"))</f>
        <v>ASET</v>
      </c>
      <c r="P894" s="102" t="str">
        <f aca="false">IF(D894="","",IFERROR(INDEX(AK_KEL,MATCH(D894,AK_NAMA,0)),"?"))</f>
        <v>ASET</v>
      </c>
      <c r="Q894" s="102" t="n">
        <f aca="false">N(Q893)+IF(AND(N(E894)&lt;&gt;0,K894=TAHUN,N(J894)&lt;=BLN,OR(C894=BB_AKUN,D894=BB_AKUN)),1,0)</f>
        <v>589</v>
      </c>
      <c r="R894" s="104" t="str">
        <f aca="false">IF(OR(C894&amp;D894="",N(E894)=0),"",IF(OR(O894="?",P894="?"),"⚠ akun tidak dikenal",IF(C894=D894,"⚠ debet = kredit","")))</f>
        <v/>
      </c>
    </row>
    <row r="895" customFormat="false" ht="15" hidden="false" customHeight="false" outlineLevel="0" collapsed="false">
      <c r="A895" s="82" t="s">
        <v>1934</v>
      </c>
      <c r="B895" s="101" t="n">
        <v>46207</v>
      </c>
      <c r="C895" s="82" t="s">
        <v>461</v>
      </c>
      <c r="D895" s="82" t="s">
        <v>475</v>
      </c>
      <c r="E895" s="91" t="n">
        <v>2500000</v>
      </c>
      <c r="F895" s="82" t="s">
        <v>1538</v>
      </c>
      <c r="G895" s="82"/>
      <c r="H895" s="82"/>
      <c r="I895" s="82" t="s">
        <v>250</v>
      </c>
      <c r="J895" s="102" t="n">
        <f aca="false">IF(B895="","",MONTH(B895))</f>
        <v>7</v>
      </c>
      <c r="K895" s="102" t="n">
        <f aca="false">IF(B895="","",YEAR(B895))</f>
        <v>2026</v>
      </c>
      <c r="L895" s="102" t="str">
        <f aca="false">IF(N(E895)=0,"",IF(COUNTIFS(AK_NAMA,C895,AK_KAT,"KAS")+COUNTIFS(AK_NAMA,D895,AK_KAT,"KAS")&lt;&gt;1,"",IF(COUNTIFS(AK_NAMA,C895,AK_KAT,"KAS")=1,D895,C895)))</f>
        <v/>
      </c>
      <c r="M895" s="103" t="n">
        <f aca="false">IF(L895="",0,IF(L895=D895,E895,-E895))</f>
        <v>0</v>
      </c>
      <c r="N895" s="102" t="str">
        <f aca="false">IF(L895="","",IFERROR(INDEX(AK_BARIS,MATCH(L895,AK_NAMA,0)),"?"))</f>
        <v/>
      </c>
      <c r="O895" s="102" t="str">
        <f aca="false">IF(C895="","",IFERROR(INDEX(AK_KEL,MATCH(C895,AK_NAMA,0)),"?"))</f>
        <v>ASET</v>
      </c>
      <c r="P895" s="102" t="str">
        <f aca="false">IF(D895="","",IFERROR(INDEX(AK_KEL,MATCH(D895,AK_NAMA,0)),"?"))</f>
        <v>ASET</v>
      </c>
      <c r="Q895" s="102" t="n">
        <f aca="false">N(Q894)+IF(AND(N(E895)&lt;&gt;0,K895=TAHUN,N(J895)&lt;=BLN,OR(C895=BB_AKUN,D895=BB_AKUN)),1,0)</f>
        <v>590</v>
      </c>
      <c r="R895" s="104" t="str">
        <f aca="false">IF(OR(C895&amp;D895="",N(E895)=0),"",IF(OR(O895="?",P895="?"),"⚠ akun tidak dikenal",IF(C895=D895,"⚠ debet = kredit","")))</f>
        <v/>
      </c>
    </row>
    <row r="896" customFormat="false" ht="15" hidden="false" customHeight="false" outlineLevel="0" collapsed="false">
      <c r="A896" s="82" t="s">
        <v>1935</v>
      </c>
      <c r="B896" s="101" t="n">
        <v>46209</v>
      </c>
      <c r="C896" s="82" t="s">
        <v>548</v>
      </c>
      <c r="D896" s="82" t="s">
        <v>461</v>
      </c>
      <c r="E896" s="91" t="n">
        <v>95000</v>
      </c>
      <c r="F896" s="82" t="s">
        <v>1936</v>
      </c>
      <c r="G896" s="82"/>
      <c r="H896" s="82"/>
      <c r="I896" s="82" t="s">
        <v>250</v>
      </c>
      <c r="J896" s="102" t="n">
        <f aca="false">IF(B896="","",MONTH(B896))</f>
        <v>7</v>
      </c>
      <c r="K896" s="102" t="n">
        <f aca="false">IF(B896="","",YEAR(B896))</f>
        <v>2026</v>
      </c>
      <c r="L896" s="102" t="str">
        <f aca="false">IF(N(E896)=0,"",IF(COUNTIFS(AK_NAMA,C896,AK_KAT,"KAS")+COUNTIFS(AK_NAMA,D896,AK_KAT,"KAS")&lt;&gt;1,"",IF(COUNTIFS(AK_NAMA,C896,AK_KAT,"KAS")=1,D896,C896)))</f>
        <v>Beban Perlengkapan</v>
      </c>
      <c r="M896" s="103" t="n">
        <f aca="false">IF(L896="",0,IF(L896=D896,E896,-E896))</f>
        <v>-95000</v>
      </c>
      <c r="N896" s="102" t="str">
        <f aca="false">IF(L896="","",IFERROR(INDEX(AK_BARIS,MATCH(L896,AK_NAMA,0)),"?"))</f>
        <v>OP6</v>
      </c>
      <c r="O896" s="102" t="str">
        <f aca="false">IF(C896="","",IFERROR(INDEX(AK_KEL,MATCH(C896,AK_NAMA,0)),"?"))</f>
        <v>BEBAN</v>
      </c>
      <c r="P896" s="102" t="str">
        <f aca="false">IF(D896="","",IFERROR(INDEX(AK_KEL,MATCH(D896,AK_NAMA,0)),"?"))</f>
        <v>ASET</v>
      </c>
      <c r="Q896" s="102" t="n">
        <f aca="false">N(Q895)+IF(AND(N(E896)&lt;&gt;0,K896=TAHUN,N(J896)&lt;=BLN,OR(C896=BB_AKUN,D896=BB_AKUN)),1,0)</f>
        <v>591</v>
      </c>
      <c r="R896" s="104" t="str">
        <f aca="false">IF(OR(C896&amp;D896="",N(E896)=0),"",IF(OR(O896="?",P896="?"),"⚠ akun tidak dikenal",IF(C896=D896,"⚠ debet = kredit","")))</f>
        <v/>
      </c>
    </row>
    <row r="897" customFormat="false" ht="15" hidden="false" customHeight="false" outlineLevel="0" collapsed="false">
      <c r="A897" s="82" t="s">
        <v>1937</v>
      </c>
      <c r="B897" s="101" t="n">
        <v>46209</v>
      </c>
      <c r="C897" s="82" t="s">
        <v>461</v>
      </c>
      <c r="D897" s="82" t="s">
        <v>557</v>
      </c>
      <c r="E897" s="91" t="n">
        <v>3</v>
      </c>
      <c r="F897" s="82" t="s">
        <v>1172</v>
      </c>
      <c r="G897" s="82"/>
      <c r="H897" s="82"/>
      <c r="I897" s="82" t="s">
        <v>250</v>
      </c>
      <c r="J897" s="102" t="n">
        <f aca="false">IF(B897="","",MONTH(B897))</f>
        <v>7</v>
      </c>
      <c r="K897" s="102" t="n">
        <f aca="false">IF(B897="","",YEAR(B897))</f>
        <v>2026</v>
      </c>
      <c r="L897" s="102" t="str">
        <f aca="false">IF(N(E897)=0,"",IF(COUNTIFS(AK_NAMA,C897,AK_KAT,"KAS")+COUNTIFS(AK_NAMA,D897,AK_KAT,"KAS")&lt;&gt;1,"",IF(COUNTIFS(AK_NAMA,C897,AK_KAT,"KAS")=1,D897,C897)))</f>
        <v>Pendapatan Lainnya</v>
      </c>
      <c r="M897" s="103" t="n">
        <f aca="false">IF(L897="",0,IF(L897=D897,E897,-E897))</f>
        <v>3</v>
      </c>
      <c r="N897" s="102" t="str">
        <f aca="false">IF(L897="","",IFERROR(INDEX(AK_BARIS,MATCH(L897,AK_NAMA,0)),"?"))</f>
        <v>OP2</v>
      </c>
      <c r="O897" s="102" t="str">
        <f aca="false">IF(C897="","",IFERROR(INDEX(AK_KEL,MATCH(C897,AK_NAMA,0)),"?"))</f>
        <v>ASET</v>
      </c>
      <c r="P897" s="102" t="str">
        <f aca="false">IF(D897="","",IFERROR(INDEX(AK_KEL,MATCH(D897,AK_NAMA,0)),"?"))</f>
        <v>PENDAPATAN</v>
      </c>
      <c r="Q897" s="102" t="n">
        <f aca="false">N(Q896)+IF(AND(N(E897)&lt;&gt;0,K897=TAHUN,N(J897)&lt;=BLN,OR(C897=BB_AKUN,D897=BB_AKUN)),1,0)</f>
        <v>592</v>
      </c>
      <c r="R897" s="104" t="str">
        <f aca="false">IF(OR(C897&amp;D897="",N(E897)=0),"",IF(OR(O897="?",P897="?"),"⚠ akun tidak dikenal",IF(C897=D897,"⚠ debet = kredit","")))</f>
        <v/>
      </c>
    </row>
    <row r="898" customFormat="false" ht="15" hidden="false" customHeight="false" outlineLevel="0" collapsed="false">
      <c r="A898" s="82" t="s">
        <v>1938</v>
      </c>
      <c r="B898" s="101" t="n">
        <v>46209</v>
      </c>
      <c r="C898" s="82" t="s">
        <v>478</v>
      </c>
      <c r="D898" s="82" t="s">
        <v>461</v>
      </c>
      <c r="E898" s="91" t="n">
        <v>84650</v>
      </c>
      <c r="F898" s="82" t="s">
        <v>1939</v>
      </c>
      <c r="G898" s="82"/>
      <c r="H898" s="82"/>
      <c r="I898" s="82" t="s">
        <v>250</v>
      </c>
      <c r="J898" s="102" t="n">
        <f aca="false">IF(B898="","",MONTH(B898))</f>
        <v>7</v>
      </c>
      <c r="K898" s="102" t="n">
        <f aca="false">IF(B898="","",YEAR(B898))</f>
        <v>2026</v>
      </c>
      <c r="L898" s="102" t="str">
        <f aca="false">IF(N(E898)=0,"",IF(COUNTIFS(AK_NAMA,C898,AK_KAT,"KAS")+COUNTIFS(AK_NAMA,D898,AK_KAT,"KAS")&lt;&gt;1,"",IF(COUNTIFS(AK_NAMA,C898,AK_KAT,"KAS")=1,D898,C898)))</f>
        <v>Biaya Penyajian</v>
      </c>
      <c r="M898" s="103" t="n">
        <f aca="false">IF(L898="",0,IF(L898=D898,E898,-E898))</f>
        <v>-84650</v>
      </c>
      <c r="N898" s="102" t="str">
        <f aca="false">IF(L898="","",IFERROR(INDEX(AK_BARIS,MATCH(L898,AK_NAMA,0)),"?"))</f>
        <v>OP3</v>
      </c>
      <c r="O898" s="102" t="str">
        <f aca="false">IF(C898="","",IFERROR(INDEX(AK_KEL,MATCH(C898,AK_NAMA,0)),"?"))</f>
        <v>BEBAN</v>
      </c>
      <c r="P898" s="102" t="str">
        <f aca="false">IF(D898="","",IFERROR(INDEX(AK_KEL,MATCH(D898,AK_NAMA,0)),"?"))</f>
        <v>ASET</v>
      </c>
      <c r="Q898" s="102" t="n">
        <f aca="false">N(Q897)+IF(AND(N(E898)&lt;&gt;0,K898=TAHUN,N(J898)&lt;=BLN,OR(C898=BB_AKUN,D898=BB_AKUN)),1,0)</f>
        <v>593</v>
      </c>
      <c r="R898" s="104" t="str">
        <f aca="false">IF(OR(C898&amp;D898="",N(E898)=0),"",IF(OR(O898="?",P898="?"),"⚠ akun tidak dikenal",IF(C898=D898,"⚠ debet = kredit","")))</f>
        <v/>
      </c>
    </row>
    <row r="899" customFormat="false" ht="15" hidden="false" customHeight="false" outlineLevel="0" collapsed="false">
      <c r="A899" s="82" t="s">
        <v>1940</v>
      </c>
      <c r="B899" s="101" t="n">
        <v>46210</v>
      </c>
      <c r="C899" s="82" t="s">
        <v>470</v>
      </c>
      <c r="D899" s="82" t="s">
        <v>461</v>
      </c>
      <c r="E899" s="91" t="n">
        <v>228000</v>
      </c>
      <c r="F899" s="82" t="s">
        <v>1729</v>
      </c>
      <c r="G899" s="82"/>
      <c r="H899" s="82"/>
      <c r="I899" s="82" t="s">
        <v>250</v>
      </c>
      <c r="J899" s="102" t="n">
        <f aca="false">IF(B899="","",MONTH(B899))</f>
        <v>7</v>
      </c>
      <c r="K899" s="102" t="n">
        <f aca="false">IF(B899="","",YEAR(B899))</f>
        <v>2026</v>
      </c>
      <c r="L899" s="102" t="str">
        <f aca="false">IF(N(E899)=0,"",IF(COUNTIFS(AK_NAMA,C899,AK_KAT,"KAS")+COUNTIFS(AK_NAMA,D899,AK_KAT,"KAS")&lt;&gt;1,"",IF(COUNTIFS(AK_NAMA,C899,AK_KAT,"KAS")=1,D899,C899)))</f>
        <v>Biaya Bahan Baku</v>
      </c>
      <c r="M899" s="103" t="n">
        <f aca="false">IF(L899="",0,IF(L899=D899,E899,-E899))</f>
        <v>-228000</v>
      </c>
      <c r="N899" s="102" t="str">
        <f aca="false">IF(L899="","",IFERROR(INDEX(AK_BARIS,MATCH(L899,AK_NAMA,0)),"?"))</f>
        <v>OP3</v>
      </c>
      <c r="O899" s="102" t="str">
        <f aca="false">IF(C899="","",IFERROR(INDEX(AK_KEL,MATCH(C899,AK_NAMA,0)),"?"))</f>
        <v>BEBAN</v>
      </c>
      <c r="P899" s="102" t="str">
        <f aca="false">IF(D899="","",IFERROR(INDEX(AK_KEL,MATCH(D899,AK_NAMA,0)),"?"))</f>
        <v>ASET</v>
      </c>
      <c r="Q899" s="102" t="n">
        <f aca="false">N(Q898)+IF(AND(N(E899)&lt;&gt;0,K899=TAHUN,N(J899)&lt;=BLN,OR(C899=BB_AKUN,D899=BB_AKUN)),1,0)</f>
        <v>594</v>
      </c>
      <c r="R899" s="104" t="str">
        <f aca="false">IF(OR(C899&amp;D899="",N(E899)=0),"",IF(OR(O899="?",P899="?"),"⚠ akun tidak dikenal",IF(C899=D899,"⚠ debet = kredit","")))</f>
        <v/>
      </c>
    </row>
    <row r="900" customFormat="false" ht="15" hidden="false" customHeight="false" outlineLevel="0" collapsed="false">
      <c r="A900" s="82" t="s">
        <v>1941</v>
      </c>
      <c r="B900" s="101" t="n">
        <v>46211</v>
      </c>
      <c r="C900" s="82" t="s">
        <v>765</v>
      </c>
      <c r="D900" s="82" t="s">
        <v>461</v>
      </c>
      <c r="E900" s="91" t="n">
        <v>6000000</v>
      </c>
      <c r="F900" s="82" t="s">
        <v>1942</v>
      </c>
      <c r="G900" s="82"/>
      <c r="H900" s="82" t="s">
        <v>767</v>
      </c>
      <c r="I900" s="82" t="s">
        <v>250</v>
      </c>
      <c r="J900" s="102" t="n">
        <f aca="false">IF(B900="","",MONTH(B900))</f>
        <v>7</v>
      </c>
      <c r="K900" s="102" t="n">
        <f aca="false">IF(B900="","",YEAR(B900))</f>
        <v>2026</v>
      </c>
      <c r="L900" s="102" t="str">
        <f aca="false">IF(N(E900)=0,"",IF(COUNTIFS(AK_NAMA,C900,AK_KAT,"KAS")+COUNTIFS(AK_NAMA,D900,AK_KAT,"KAS")&lt;&gt;1,"",IF(COUNTIFS(AK_NAMA,C900,AK_KAT,"KAS")=1,D900,C900)))</f>
        <v>Piutang Usaha Cafe</v>
      </c>
      <c r="M900" s="103" t="n">
        <f aca="false">IF(L900="",0,IF(L900=D900,E900,-E900))</f>
        <v>-6000000</v>
      </c>
      <c r="N900" s="102" t="str">
        <f aca="false">IF(L900="","",IFERROR(INDEX(AK_BARIS,MATCH(L900,AK_NAMA,0)),"?"))</f>
        <v>OP1</v>
      </c>
      <c r="O900" s="102" t="str">
        <f aca="false">IF(C900="","",IFERROR(INDEX(AK_KEL,MATCH(C900,AK_NAMA,0)),"?"))</f>
        <v>ASET</v>
      </c>
      <c r="P900" s="102" t="str">
        <f aca="false">IF(D900="","",IFERROR(INDEX(AK_KEL,MATCH(D900,AK_NAMA,0)),"?"))</f>
        <v>ASET</v>
      </c>
      <c r="Q900" s="102" t="n">
        <f aca="false">N(Q899)+IF(AND(N(E900)&lt;&gt;0,K900=TAHUN,N(J900)&lt;=BLN,OR(C900=BB_AKUN,D900=BB_AKUN)),1,0)</f>
        <v>595</v>
      </c>
      <c r="R900" s="104" t="str">
        <f aca="false">IF(OR(C900&amp;D900="",N(E900)=0),"",IF(OR(O900="?",P900="?"),"⚠ akun tidak dikenal",IF(C900=D900,"⚠ debet = kredit","")))</f>
        <v/>
      </c>
    </row>
    <row r="901" customFormat="false" ht="15" hidden="false" customHeight="false" outlineLevel="0" collapsed="false">
      <c r="A901" s="82" t="s">
        <v>1943</v>
      </c>
      <c r="B901" s="101" t="n">
        <v>46211</v>
      </c>
      <c r="C901" s="82" t="s">
        <v>461</v>
      </c>
      <c r="D901" s="82" t="s">
        <v>475</v>
      </c>
      <c r="E901" s="91" t="n">
        <v>746000</v>
      </c>
      <c r="F901" s="82" t="s">
        <v>1233</v>
      </c>
      <c r="G901" s="82"/>
      <c r="H901" s="82"/>
      <c r="I901" s="82" t="s">
        <v>250</v>
      </c>
      <c r="J901" s="102" t="n">
        <f aca="false">IF(B901="","",MONTH(B901))</f>
        <v>7</v>
      </c>
      <c r="K901" s="102" t="n">
        <f aca="false">IF(B901="","",YEAR(B901))</f>
        <v>2026</v>
      </c>
      <c r="L901" s="102" t="str">
        <f aca="false">IF(N(E901)=0,"",IF(COUNTIFS(AK_NAMA,C901,AK_KAT,"KAS")+COUNTIFS(AK_NAMA,D901,AK_KAT,"KAS")&lt;&gt;1,"",IF(COUNTIFS(AK_NAMA,C901,AK_KAT,"KAS")=1,D901,C901)))</f>
        <v/>
      </c>
      <c r="M901" s="103" t="n">
        <f aca="false">IF(L901="",0,IF(L901=D901,E901,-E901))</f>
        <v>0</v>
      </c>
      <c r="N901" s="102" t="str">
        <f aca="false">IF(L901="","",IFERROR(INDEX(AK_BARIS,MATCH(L901,AK_NAMA,0)),"?"))</f>
        <v/>
      </c>
      <c r="O901" s="102" t="str">
        <f aca="false">IF(C901="","",IFERROR(INDEX(AK_KEL,MATCH(C901,AK_NAMA,0)),"?"))</f>
        <v>ASET</v>
      </c>
      <c r="P901" s="102" t="str">
        <f aca="false">IF(D901="","",IFERROR(INDEX(AK_KEL,MATCH(D901,AK_NAMA,0)),"?"))</f>
        <v>ASET</v>
      </c>
      <c r="Q901" s="102" t="n">
        <f aca="false">N(Q900)+IF(AND(N(E901)&lt;&gt;0,K901=TAHUN,N(J901)&lt;=BLN,OR(C901=BB_AKUN,D901=BB_AKUN)),1,0)</f>
        <v>596</v>
      </c>
      <c r="R901" s="104" t="str">
        <f aca="false">IF(OR(C901&amp;D901="",N(E901)=0),"",IF(OR(O901="?",P901="?"),"⚠ akun tidak dikenal",IF(C901=D901,"⚠ debet = kredit","")))</f>
        <v/>
      </c>
    </row>
    <row r="902" customFormat="false" ht="15" hidden="false" customHeight="false" outlineLevel="0" collapsed="false">
      <c r="A902" s="82" t="s">
        <v>1944</v>
      </c>
      <c r="B902" s="101" t="n">
        <v>46211</v>
      </c>
      <c r="C902" s="82" t="s">
        <v>475</v>
      </c>
      <c r="D902" s="82" t="s">
        <v>461</v>
      </c>
      <c r="E902" s="91" t="n">
        <v>4000000</v>
      </c>
      <c r="F902" s="82" t="s">
        <v>574</v>
      </c>
      <c r="G902" s="82"/>
      <c r="H902" s="82"/>
      <c r="I902" s="82" t="s">
        <v>250</v>
      </c>
      <c r="J902" s="102" t="n">
        <f aca="false">IF(B902="","",MONTH(B902))</f>
        <v>7</v>
      </c>
      <c r="K902" s="102" t="n">
        <f aca="false">IF(B902="","",YEAR(B902))</f>
        <v>2026</v>
      </c>
      <c r="L902" s="102" t="str">
        <f aca="false">IF(N(E902)=0,"",IF(COUNTIFS(AK_NAMA,C902,AK_KAT,"KAS")+COUNTIFS(AK_NAMA,D902,AK_KAT,"KAS")&lt;&gt;1,"",IF(COUNTIFS(AK_NAMA,C902,AK_KAT,"KAS")=1,D902,C902)))</f>
        <v/>
      </c>
      <c r="M902" s="103" t="n">
        <f aca="false">IF(L902="",0,IF(L902=D902,E902,-E902))</f>
        <v>0</v>
      </c>
      <c r="N902" s="102" t="str">
        <f aca="false">IF(L902="","",IFERROR(INDEX(AK_BARIS,MATCH(L902,AK_NAMA,0)),"?"))</f>
        <v/>
      </c>
      <c r="O902" s="102" t="str">
        <f aca="false">IF(C902="","",IFERROR(INDEX(AK_KEL,MATCH(C902,AK_NAMA,0)),"?"))</f>
        <v>ASET</v>
      </c>
      <c r="P902" s="102" t="str">
        <f aca="false">IF(D902="","",IFERROR(INDEX(AK_KEL,MATCH(D902,AK_NAMA,0)),"?"))</f>
        <v>ASET</v>
      </c>
      <c r="Q902" s="102" t="n">
        <f aca="false">N(Q901)+IF(AND(N(E902)&lt;&gt;0,K902=TAHUN,N(J902)&lt;=BLN,OR(C902=BB_AKUN,D902=BB_AKUN)),1,0)</f>
        <v>597</v>
      </c>
      <c r="R902" s="104" t="str">
        <f aca="false">IF(OR(C902&amp;D902="",N(E902)=0),"",IF(OR(O902="?",P902="?"),"⚠ akun tidak dikenal",IF(C902=D902,"⚠ debet = kredit","")))</f>
        <v/>
      </c>
    </row>
    <row r="903" customFormat="false" ht="15" hidden="false" customHeight="false" outlineLevel="0" collapsed="false">
      <c r="A903" s="82" t="s">
        <v>1945</v>
      </c>
      <c r="B903" s="101" t="n">
        <v>46211</v>
      </c>
      <c r="C903" s="82" t="s">
        <v>478</v>
      </c>
      <c r="D903" s="82" t="s">
        <v>461</v>
      </c>
      <c r="E903" s="91" t="n">
        <v>109200</v>
      </c>
      <c r="F903" s="82" t="s">
        <v>1946</v>
      </c>
      <c r="G903" s="82"/>
      <c r="H903" s="82"/>
      <c r="I903" s="82" t="s">
        <v>250</v>
      </c>
      <c r="J903" s="102" t="n">
        <f aca="false">IF(B903="","",MONTH(B903))</f>
        <v>7</v>
      </c>
      <c r="K903" s="102" t="n">
        <f aca="false">IF(B903="","",YEAR(B903))</f>
        <v>2026</v>
      </c>
      <c r="L903" s="102" t="str">
        <f aca="false">IF(N(E903)=0,"",IF(COUNTIFS(AK_NAMA,C903,AK_KAT,"KAS")+COUNTIFS(AK_NAMA,D903,AK_KAT,"KAS")&lt;&gt;1,"",IF(COUNTIFS(AK_NAMA,C903,AK_KAT,"KAS")=1,D903,C903)))</f>
        <v>Biaya Penyajian</v>
      </c>
      <c r="M903" s="103" t="n">
        <f aca="false">IF(L903="",0,IF(L903=D903,E903,-E903))</f>
        <v>-109200</v>
      </c>
      <c r="N903" s="102" t="str">
        <f aca="false">IF(L903="","",IFERROR(INDEX(AK_BARIS,MATCH(L903,AK_NAMA,0)),"?"))</f>
        <v>OP3</v>
      </c>
      <c r="O903" s="102" t="str">
        <f aca="false">IF(C903="","",IFERROR(INDEX(AK_KEL,MATCH(C903,AK_NAMA,0)),"?"))</f>
        <v>BEBAN</v>
      </c>
      <c r="P903" s="102" t="str">
        <f aca="false">IF(D903="","",IFERROR(INDEX(AK_KEL,MATCH(D903,AK_NAMA,0)),"?"))</f>
        <v>ASET</v>
      </c>
      <c r="Q903" s="102" t="n">
        <f aca="false">N(Q902)+IF(AND(N(E903)&lt;&gt;0,K903=TAHUN,N(J903)&lt;=BLN,OR(C903=BB_AKUN,D903=BB_AKUN)),1,0)</f>
        <v>598</v>
      </c>
      <c r="R903" s="104" t="str">
        <f aca="false">IF(OR(C903&amp;D903="",N(E903)=0),"",IF(OR(O903="?",P903="?"),"⚠ akun tidak dikenal",IF(C903=D903,"⚠ debet = kredit","")))</f>
        <v/>
      </c>
    </row>
    <row r="904" customFormat="false" ht="15" hidden="false" customHeight="false" outlineLevel="0" collapsed="false">
      <c r="A904" s="82" t="s">
        <v>1947</v>
      </c>
      <c r="B904" s="101" t="n">
        <v>46211</v>
      </c>
      <c r="C904" s="82" t="s">
        <v>461</v>
      </c>
      <c r="D904" s="82" t="s">
        <v>765</v>
      </c>
      <c r="E904" s="91" t="n">
        <v>6000000</v>
      </c>
      <c r="F904" s="82" t="s">
        <v>1948</v>
      </c>
      <c r="G904" s="82"/>
      <c r="H904" s="82" t="s">
        <v>767</v>
      </c>
      <c r="I904" s="82" t="s">
        <v>250</v>
      </c>
      <c r="J904" s="102" t="n">
        <f aca="false">IF(B904="","",MONTH(B904))</f>
        <v>7</v>
      </c>
      <c r="K904" s="102" t="n">
        <f aca="false">IF(B904="","",YEAR(B904))</f>
        <v>2026</v>
      </c>
      <c r="L904" s="102" t="str">
        <f aca="false">IF(N(E904)=0,"",IF(COUNTIFS(AK_NAMA,C904,AK_KAT,"KAS")+COUNTIFS(AK_NAMA,D904,AK_KAT,"KAS")&lt;&gt;1,"",IF(COUNTIFS(AK_NAMA,C904,AK_KAT,"KAS")=1,D904,C904)))</f>
        <v>Piutang Usaha Cafe</v>
      </c>
      <c r="M904" s="103" t="n">
        <f aca="false">IF(L904="",0,IF(L904=D904,E904,-E904))</f>
        <v>6000000</v>
      </c>
      <c r="N904" s="102" t="str">
        <f aca="false">IF(L904="","",IFERROR(INDEX(AK_BARIS,MATCH(L904,AK_NAMA,0)),"?"))</f>
        <v>OP1</v>
      </c>
      <c r="O904" s="102" t="str">
        <f aca="false">IF(C904="","",IFERROR(INDEX(AK_KEL,MATCH(C904,AK_NAMA,0)),"?"))</f>
        <v>ASET</v>
      </c>
      <c r="P904" s="102" t="str">
        <f aca="false">IF(D904="","",IFERROR(INDEX(AK_KEL,MATCH(D904,AK_NAMA,0)),"?"))</f>
        <v>ASET</v>
      </c>
      <c r="Q904" s="102" t="n">
        <f aca="false">N(Q903)+IF(AND(N(E904)&lt;&gt;0,K904=TAHUN,N(J904)&lt;=BLN,OR(C904=BB_AKUN,D904=BB_AKUN)),1,0)</f>
        <v>599</v>
      </c>
      <c r="R904" s="104" t="str">
        <f aca="false">IF(OR(C904&amp;D904="",N(E904)=0),"",IF(OR(O904="?",P904="?"),"⚠ akun tidak dikenal",IF(C904=D904,"⚠ debet = kredit","")))</f>
        <v/>
      </c>
    </row>
    <row r="905" customFormat="false" ht="15" hidden="false" customHeight="false" outlineLevel="0" collapsed="false">
      <c r="A905" s="82" t="s">
        <v>1949</v>
      </c>
      <c r="B905" s="101" t="n">
        <v>46211</v>
      </c>
      <c r="C905" s="82" t="s">
        <v>470</v>
      </c>
      <c r="D905" s="82" t="s">
        <v>461</v>
      </c>
      <c r="E905" s="91" t="n">
        <v>2940000</v>
      </c>
      <c r="F905" s="82" t="s">
        <v>1950</v>
      </c>
      <c r="G905" s="82"/>
      <c r="H905" s="82"/>
      <c r="I905" s="82" t="s">
        <v>250</v>
      </c>
      <c r="J905" s="102" t="n">
        <f aca="false">IF(B905="","",MONTH(B905))</f>
        <v>7</v>
      </c>
      <c r="K905" s="102" t="n">
        <f aca="false">IF(B905="","",YEAR(B905))</f>
        <v>2026</v>
      </c>
      <c r="L905" s="102" t="str">
        <f aca="false">IF(N(E905)=0,"",IF(COUNTIFS(AK_NAMA,C905,AK_KAT,"KAS")+COUNTIFS(AK_NAMA,D905,AK_KAT,"KAS")&lt;&gt;1,"",IF(COUNTIFS(AK_NAMA,C905,AK_KAT,"KAS")=1,D905,C905)))</f>
        <v>Biaya Bahan Baku</v>
      </c>
      <c r="M905" s="103" t="n">
        <f aca="false">IF(L905="",0,IF(L905=D905,E905,-E905))</f>
        <v>-2940000</v>
      </c>
      <c r="N905" s="102" t="str">
        <f aca="false">IF(L905="","",IFERROR(INDEX(AK_BARIS,MATCH(L905,AK_NAMA,0)),"?"))</f>
        <v>OP3</v>
      </c>
      <c r="O905" s="102" t="str">
        <f aca="false">IF(C905="","",IFERROR(INDEX(AK_KEL,MATCH(C905,AK_NAMA,0)),"?"))</f>
        <v>BEBAN</v>
      </c>
      <c r="P905" s="102" t="str">
        <f aca="false">IF(D905="","",IFERROR(INDEX(AK_KEL,MATCH(D905,AK_NAMA,0)),"?"))</f>
        <v>ASET</v>
      </c>
      <c r="Q905" s="102" t="n">
        <f aca="false">N(Q904)+IF(AND(N(E905)&lt;&gt;0,K905=TAHUN,N(J905)&lt;=BLN,OR(C905=BB_AKUN,D905=BB_AKUN)),1,0)</f>
        <v>600</v>
      </c>
      <c r="R905" s="104" t="str">
        <f aca="false">IF(OR(C905&amp;D905="",N(E905)=0),"",IF(OR(O905="?",P905="?"),"⚠ akun tidak dikenal",IF(C905=D905,"⚠ debet = kredit","")))</f>
        <v/>
      </c>
    </row>
    <row r="906" customFormat="false" ht="15" hidden="false" customHeight="false" outlineLevel="0" collapsed="false">
      <c r="A906" s="82" t="s">
        <v>1951</v>
      </c>
      <c r="B906" s="101" t="n">
        <v>46212</v>
      </c>
      <c r="C906" s="82" t="s">
        <v>669</v>
      </c>
      <c r="D906" s="82" t="s">
        <v>461</v>
      </c>
      <c r="E906" s="91" t="n">
        <v>119000</v>
      </c>
      <c r="F906" s="82" t="s">
        <v>647</v>
      </c>
      <c r="G906" s="82"/>
      <c r="H906" s="82"/>
      <c r="I906" s="82" t="s">
        <v>250</v>
      </c>
      <c r="J906" s="102" t="n">
        <f aca="false">IF(B906="","",MONTH(B906))</f>
        <v>7</v>
      </c>
      <c r="K906" s="102" t="n">
        <f aca="false">IF(B906="","",YEAR(B906))</f>
        <v>2026</v>
      </c>
      <c r="L906" s="102" t="str">
        <f aca="false">IF(N(E906)=0,"",IF(COUNTIFS(AK_NAMA,C906,AK_KAT,"KAS")+COUNTIFS(AK_NAMA,D906,AK_KAT,"KAS")&lt;&gt;1,"",IF(COUNTIFS(AK_NAMA,C906,AK_KAT,"KAS")=1,D906,C906)))</f>
        <v>Biaya Tagihan Bulanan</v>
      </c>
      <c r="M906" s="103" t="n">
        <f aca="false">IF(L906="",0,IF(L906=D906,E906,-E906))</f>
        <v>-119000</v>
      </c>
      <c r="N906" s="102" t="str">
        <f aca="false">IF(L906="","",IFERROR(INDEX(AK_BARIS,MATCH(L906,AK_NAMA,0)),"?"))</f>
        <v>OP6</v>
      </c>
      <c r="O906" s="102" t="str">
        <f aca="false">IF(C906="","",IFERROR(INDEX(AK_KEL,MATCH(C906,AK_NAMA,0)),"?"))</f>
        <v>BEBAN</v>
      </c>
      <c r="P906" s="102" t="str">
        <f aca="false">IF(D906="","",IFERROR(INDEX(AK_KEL,MATCH(D906,AK_NAMA,0)),"?"))</f>
        <v>ASET</v>
      </c>
      <c r="Q906" s="102" t="n">
        <f aca="false">N(Q905)+IF(AND(N(E906)&lt;&gt;0,K906=TAHUN,N(J906)&lt;=BLN,OR(C906=BB_AKUN,D906=BB_AKUN)),1,0)</f>
        <v>601</v>
      </c>
      <c r="R906" s="104" t="str">
        <f aca="false">IF(OR(C906&amp;D906="",N(E906)=0),"",IF(OR(O906="?",P906="?"),"⚠ akun tidak dikenal",IF(C906=D906,"⚠ debet = kredit","")))</f>
        <v/>
      </c>
    </row>
    <row r="907" customFormat="false" ht="15" hidden="false" customHeight="false" outlineLevel="0" collapsed="false">
      <c r="A907" s="82" t="s">
        <v>1952</v>
      </c>
      <c r="B907" s="101" t="n">
        <v>46213</v>
      </c>
      <c r="C907" s="82" t="s">
        <v>470</v>
      </c>
      <c r="D907" s="82" t="s">
        <v>461</v>
      </c>
      <c r="E907" s="91" t="n">
        <v>741000</v>
      </c>
      <c r="F907" s="82" t="s">
        <v>1744</v>
      </c>
      <c r="G907" s="82"/>
      <c r="H907" s="82"/>
      <c r="I907" s="82" t="s">
        <v>250</v>
      </c>
      <c r="J907" s="102" t="n">
        <f aca="false">IF(B907="","",MONTH(B907))</f>
        <v>7</v>
      </c>
      <c r="K907" s="102" t="n">
        <f aca="false">IF(B907="","",YEAR(B907))</f>
        <v>2026</v>
      </c>
      <c r="L907" s="102" t="str">
        <f aca="false">IF(N(E907)=0,"",IF(COUNTIFS(AK_NAMA,C907,AK_KAT,"KAS")+COUNTIFS(AK_NAMA,D907,AK_KAT,"KAS")&lt;&gt;1,"",IF(COUNTIFS(AK_NAMA,C907,AK_KAT,"KAS")=1,D907,C907)))</f>
        <v>Biaya Bahan Baku</v>
      </c>
      <c r="M907" s="103" t="n">
        <f aca="false">IF(L907="",0,IF(L907=D907,E907,-E907))</f>
        <v>-741000</v>
      </c>
      <c r="N907" s="102" t="str">
        <f aca="false">IF(L907="","",IFERROR(INDEX(AK_BARIS,MATCH(L907,AK_NAMA,0)),"?"))</f>
        <v>OP3</v>
      </c>
      <c r="O907" s="102" t="str">
        <f aca="false">IF(C907="","",IFERROR(INDEX(AK_KEL,MATCH(C907,AK_NAMA,0)),"?"))</f>
        <v>BEBAN</v>
      </c>
      <c r="P907" s="102" t="str">
        <f aca="false">IF(D907="","",IFERROR(INDEX(AK_KEL,MATCH(D907,AK_NAMA,0)),"?"))</f>
        <v>ASET</v>
      </c>
      <c r="Q907" s="102" t="n">
        <f aca="false">N(Q906)+IF(AND(N(E907)&lt;&gt;0,K907=TAHUN,N(J907)&lt;=BLN,OR(C907=BB_AKUN,D907=BB_AKUN)),1,0)</f>
        <v>602</v>
      </c>
      <c r="R907" s="104" t="str">
        <f aca="false">IF(OR(C907&amp;D907="",N(E907)=0),"",IF(OR(O907="?",P907="?"),"⚠ akun tidak dikenal",IF(C907=D907,"⚠ debet = kredit","")))</f>
        <v/>
      </c>
    </row>
    <row r="908" customFormat="false" ht="15" hidden="false" customHeight="false" outlineLevel="0" collapsed="false">
      <c r="A908" s="82" t="s">
        <v>1953</v>
      </c>
      <c r="B908" s="101" t="n">
        <v>46213</v>
      </c>
      <c r="C908" s="82" t="s">
        <v>475</v>
      </c>
      <c r="D908" s="82" t="s">
        <v>461</v>
      </c>
      <c r="E908" s="91" t="n">
        <v>108000</v>
      </c>
      <c r="F908" s="82" t="s">
        <v>1752</v>
      </c>
      <c r="G908" s="82"/>
      <c r="H908" s="82"/>
      <c r="I908" s="82" t="s">
        <v>250</v>
      </c>
      <c r="J908" s="102" t="n">
        <f aca="false">IF(B908="","",MONTH(B908))</f>
        <v>7</v>
      </c>
      <c r="K908" s="102" t="n">
        <f aca="false">IF(B908="","",YEAR(B908))</f>
        <v>2026</v>
      </c>
      <c r="L908" s="102" t="str">
        <f aca="false">IF(N(E908)=0,"",IF(COUNTIFS(AK_NAMA,C908,AK_KAT,"KAS")+COUNTIFS(AK_NAMA,D908,AK_KAT,"KAS")&lt;&gt;1,"",IF(COUNTIFS(AK_NAMA,C908,AK_KAT,"KAS")=1,D908,C908)))</f>
        <v/>
      </c>
      <c r="M908" s="103" t="n">
        <f aca="false">IF(L908="",0,IF(L908=D908,E908,-E908))</f>
        <v>0</v>
      </c>
      <c r="N908" s="102" t="str">
        <f aca="false">IF(L908="","",IFERROR(INDEX(AK_BARIS,MATCH(L908,AK_NAMA,0)),"?"))</f>
        <v/>
      </c>
      <c r="O908" s="102" t="str">
        <f aca="false">IF(C908="","",IFERROR(INDEX(AK_KEL,MATCH(C908,AK_NAMA,0)),"?"))</f>
        <v>ASET</v>
      </c>
      <c r="P908" s="102" t="str">
        <f aca="false">IF(D908="","",IFERROR(INDEX(AK_KEL,MATCH(D908,AK_NAMA,0)),"?"))</f>
        <v>ASET</v>
      </c>
      <c r="Q908" s="102" t="n">
        <f aca="false">N(Q907)+IF(AND(N(E908)&lt;&gt;0,K908=TAHUN,N(J908)&lt;=BLN,OR(C908=BB_AKUN,D908=BB_AKUN)),1,0)</f>
        <v>603</v>
      </c>
      <c r="R908" s="104" t="str">
        <f aca="false">IF(OR(C908&amp;D908="",N(E908)=0),"",IF(OR(O908="?",P908="?"),"⚠ akun tidak dikenal",IF(C908=D908,"⚠ debet = kredit","")))</f>
        <v/>
      </c>
    </row>
    <row r="909" customFormat="false" ht="15" hidden="false" customHeight="false" outlineLevel="0" collapsed="false">
      <c r="A909" s="82" t="s">
        <v>1954</v>
      </c>
      <c r="B909" s="101" t="n">
        <v>46214</v>
      </c>
      <c r="C909" s="82" t="s">
        <v>461</v>
      </c>
      <c r="D909" s="82" t="s">
        <v>475</v>
      </c>
      <c r="E909" s="91" t="n">
        <v>7000000</v>
      </c>
      <c r="F909" s="82" t="s">
        <v>1298</v>
      </c>
      <c r="G909" s="82"/>
      <c r="H909" s="82"/>
      <c r="I909" s="82" t="s">
        <v>250</v>
      </c>
      <c r="J909" s="102" t="n">
        <f aca="false">IF(B909="","",MONTH(B909))</f>
        <v>7</v>
      </c>
      <c r="K909" s="102" t="n">
        <f aca="false">IF(B909="","",YEAR(B909))</f>
        <v>2026</v>
      </c>
      <c r="L909" s="102" t="str">
        <f aca="false">IF(N(E909)=0,"",IF(COUNTIFS(AK_NAMA,C909,AK_KAT,"KAS")+COUNTIFS(AK_NAMA,D909,AK_KAT,"KAS")&lt;&gt;1,"",IF(COUNTIFS(AK_NAMA,C909,AK_KAT,"KAS")=1,D909,C909)))</f>
        <v/>
      </c>
      <c r="M909" s="103" t="n">
        <f aca="false">IF(L909="",0,IF(L909=D909,E909,-E909))</f>
        <v>0</v>
      </c>
      <c r="N909" s="102" t="str">
        <f aca="false">IF(L909="","",IFERROR(INDEX(AK_BARIS,MATCH(L909,AK_NAMA,0)),"?"))</f>
        <v/>
      </c>
      <c r="O909" s="102" t="str">
        <f aca="false">IF(C909="","",IFERROR(INDEX(AK_KEL,MATCH(C909,AK_NAMA,0)),"?"))</f>
        <v>ASET</v>
      </c>
      <c r="P909" s="102" t="str">
        <f aca="false">IF(D909="","",IFERROR(INDEX(AK_KEL,MATCH(D909,AK_NAMA,0)),"?"))</f>
        <v>ASET</v>
      </c>
      <c r="Q909" s="102" t="n">
        <f aca="false">N(Q908)+IF(AND(N(E909)&lt;&gt;0,K909=TAHUN,N(J909)&lt;=BLN,OR(C909=BB_AKUN,D909=BB_AKUN)),1,0)</f>
        <v>604</v>
      </c>
      <c r="R909" s="104" t="str">
        <f aca="false">IF(OR(C909&amp;D909="",N(E909)=0),"",IF(OR(O909="?",P909="?"),"⚠ akun tidak dikenal",IF(C909=D909,"⚠ debet = kredit","")))</f>
        <v/>
      </c>
    </row>
    <row r="910" customFormat="false" ht="15" hidden="false" customHeight="false" outlineLevel="0" collapsed="false">
      <c r="A910" s="82" t="s">
        <v>1955</v>
      </c>
      <c r="B910" s="101" t="n">
        <v>46214</v>
      </c>
      <c r="C910" s="82" t="s">
        <v>669</v>
      </c>
      <c r="D910" s="82" t="s">
        <v>461</v>
      </c>
      <c r="E910" s="91" t="n">
        <v>389000</v>
      </c>
      <c r="F910" s="82" t="s">
        <v>1956</v>
      </c>
      <c r="G910" s="82"/>
      <c r="H910" s="82"/>
      <c r="I910" s="82" t="s">
        <v>250</v>
      </c>
      <c r="J910" s="102" t="n">
        <f aca="false">IF(B910="","",MONTH(B910))</f>
        <v>7</v>
      </c>
      <c r="K910" s="102" t="n">
        <f aca="false">IF(B910="","",YEAR(B910))</f>
        <v>2026</v>
      </c>
      <c r="L910" s="102" t="str">
        <f aca="false">IF(N(E910)=0,"",IF(COUNTIFS(AK_NAMA,C910,AK_KAT,"KAS")+COUNTIFS(AK_NAMA,D910,AK_KAT,"KAS")&lt;&gt;1,"",IF(COUNTIFS(AK_NAMA,C910,AK_KAT,"KAS")=1,D910,C910)))</f>
        <v>Biaya Tagihan Bulanan</v>
      </c>
      <c r="M910" s="103" t="n">
        <f aca="false">IF(L910="",0,IF(L910=D910,E910,-E910))</f>
        <v>-389000</v>
      </c>
      <c r="N910" s="102" t="str">
        <f aca="false">IF(L910="","",IFERROR(INDEX(AK_BARIS,MATCH(L910,AK_NAMA,0)),"?"))</f>
        <v>OP6</v>
      </c>
      <c r="O910" s="102" t="str">
        <f aca="false">IF(C910="","",IFERROR(INDEX(AK_KEL,MATCH(C910,AK_NAMA,0)),"?"))</f>
        <v>BEBAN</v>
      </c>
      <c r="P910" s="102" t="str">
        <f aca="false">IF(D910="","",IFERROR(INDEX(AK_KEL,MATCH(D910,AK_NAMA,0)),"?"))</f>
        <v>ASET</v>
      </c>
      <c r="Q910" s="102" t="n">
        <f aca="false">N(Q909)+IF(AND(N(E910)&lt;&gt;0,K910=TAHUN,N(J910)&lt;=BLN,OR(C910=BB_AKUN,D910=BB_AKUN)),1,0)</f>
        <v>605</v>
      </c>
      <c r="R910" s="104" t="str">
        <f aca="false">IF(OR(C910&amp;D910="",N(E910)=0),"",IF(OR(O910="?",P910="?"),"⚠ akun tidak dikenal",IF(C910=D910,"⚠ debet = kredit","")))</f>
        <v/>
      </c>
    </row>
    <row r="911" customFormat="false" ht="15" hidden="false" customHeight="false" outlineLevel="0" collapsed="false">
      <c r="A911" s="82" t="s">
        <v>1957</v>
      </c>
      <c r="B911" s="101" t="n">
        <v>46215</v>
      </c>
      <c r="C911" s="82" t="s">
        <v>470</v>
      </c>
      <c r="D911" s="82" t="s">
        <v>461</v>
      </c>
      <c r="E911" s="91" t="n">
        <v>247000</v>
      </c>
      <c r="F911" s="82" t="s">
        <v>1729</v>
      </c>
      <c r="G911" s="82"/>
      <c r="H911" s="82"/>
      <c r="I911" s="82" t="s">
        <v>250</v>
      </c>
      <c r="J911" s="102" t="n">
        <f aca="false">IF(B911="","",MONTH(B911))</f>
        <v>7</v>
      </c>
      <c r="K911" s="102" t="n">
        <f aca="false">IF(B911="","",YEAR(B911))</f>
        <v>2026</v>
      </c>
      <c r="L911" s="102" t="str">
        <f aca="false">IF(N(E911)=0,"",IF(COUNTIFS(AK_NAMA,C911,AK_KAT,"KAS")+COUNTIFS(AK_NAMA,D911,AK_KAT,"KAS")&lt;&gt;1,"",IF(COUNTIFS(AK_NAMA,C911,AK_KAT,"KAS")=1,D911,C911)))</f>
        <v>Biaya Bahan Baku</v>
      </c>
      <c r="M911" s="103" t="n">
        <f aca="false">IF(L911="",0,IF(L911=D911,E911,-E911))</f>
        <v>-247000</v>
      </c>
      <c r="N911" s="102" t="str">
        <f aca="false">IF(L911="","",IFERROR(INDEX(AK_BARIS,MATCH(L911,AK_NAMA,0)),"?"))</f>
        <v>OP3</v>
      </c>
      <c r="O911" s="102" t="str">
        <f aca="false">IF(C911="","",IFERROR(INDEX(AK_KEL,MATCH(C911,AK_NAMA,0)),"?"))</f>
        <v>BEBAN</v>
      </c>
      <c r="P911" s="102" t="str">
        <f aca="false">IF(D911="","",IFERROR(INDEX(AK_KEL,MATCH(D911,AK_NAMA,0)),"?"))</f>
        <v>ASET</v>
      </c>
      <c r="Q911" s="102" t="n">
        <f aca="false">N(Q910)+IF(AND(N(E911)&lt;&gt;0,K911=TAHUN,N(J911)&lt;=BLN,OR(C911=BB_AKUN,D911=BB_AKUN)),1,0)</f>
        <v>606</v>
      </c>
      <c r="R911" s="104" t="str">
        <f aca="false">IF(OR(C911&amp;D911="",N(E911)=0),"",IF(OR(O911="?",P911="?"),"⚠ akun tidak dikenal",IF(C911=D911,"⚠ debet = kredit","")))</f>
        <v/>
      </c>
    </row>
    <row r="912" customFormat="false" ht="15" hidden="false" customHeight="false" outlineLevel="0" collapsed="false">
      <c r="A912" s="82" t="s">
        <v>1958</v>
      </c>
      <c r="B912" s="101" t="n">
        <v>46215</v>
      </c>
      <c r="C912" s="82" t="s">
        <v>470</v>
      </c>
      <c r="D912" s="82" t="s">
        <v>461</v>
      </c>
      <c r="E912" s="91" t="n">
        <v>3000000</v>
      </c>
      <c r="F912" s="82" t="s">
        <v>1950</v>
      </c>
      <c r="G912" s="82"/>
      <c r="H912" s="82"/>
      <c r="I912" s="82" t="s">
        <v>250</v>
      </c>
      <c r="J912" s="102" t="n">
        <f aca="false">IF(B912="","",MONTH(B912))</f>
        <v>7</v>
      </c>
      <c r="K912" s="102" t="n">
        <f aca="false">IF(B912="","",YEAR(B912))</f>
        <v>2026</v>
      </c>
      <c r="L912" s="102" t="str">
        <f aca="false">IF(N(E912)=0,"",IF(COUNTIFS(AK_NAMA,C912,AK_KAT,"KAS")+COUNTIFS(AK_NAMA,D912,AK_KAT,"KAS")&lt;&gt;1,"",IF(COUNTIFS(AK_NAMA,C912,AK_KAT,"KAS")=1,D912,C912)))</f>
        <v>Biaya Bahan Baku</v>
      </c>
      <c r="M912" s="103" t="n">
        <f aca="false">IF(L912="",0,IF(L912=D912,E912,-E912))</f>
        <v>-3000000</v>
      </c>
      <c r="N912" s="102" t="str">
        <f aca="false">IF(L912="","",IFERROR(INDEX(AK_BARIS,MATCH(L912,AK_NAMA,0)),"?"))</f>
        <v>OP3</v>
      </c>
      <c r="O912" s="102" t="str">
        <f aca="false">IF(C912="","",IFERROR(INDEX(AK_KEL,MATCH(C912,AK_NAMA,0)),"?"))</f>
        <v>BEBAN</v>
      </c>
      <c r="P912" s="102" t="str">
        <f aca="false">IF(D912="","",IFERROR(INDEX(AK_KEL,MATCH(D912,AK_NAMA,0)),"?"))</f>
        <v>ASET</v>
      </c>
      <c r="Q912" s="102" t="n">
        <f aca="false">N(Q911)+IF(AND(N(E912)&lt;&gt;0,K912=TAHUN,N(J912)&lt;=BLN,OR(C912=BB_AKUN,D912=BB_AKUN)),1,0)</f>
        <v>607</v>
      </c>
      <c r="R912" s="104" t="str">
        <f aca="false">IF(OR(C912&amp;D912="",N(E912)=0),"",IF(OR(O912="?",P912="?"),"⚠ akun tidak dikenal",IF(C912=D912,"⚠ debet = kredit","")))</f>
        <v/>
      </c>
    </row>
    <row r="913" customFormat="false" ht="15" hidden="false" customHeight="false" outlineLevel="0" collapsed="false">
      <c r="A913" s="82" t="s">
        <v>1959</v>
      </c>
      <c r="B913" s="101" t="n">
        <v>46216</v>
      </c>
      <c r="C913" s="82" t="s">
        <v>769</v>
      </c>
      <c r="D913" s="82" t="s">
        <v>461</v>
      </c>
      <c r="E913" s="91" t="n">
        <v>6000000</v>
      </c>
      <c r="F913" s="82" t="s">
        <v>1960</v>
      </c>
      <c r="G913" s="82"/>
      <c r="H913" s="82" t="s">
        <v>785</v>
      </c>
      <c r="I913" s="82" t="s">
        <v>250</v>
      </c>
      <c r="J913" s="102" t="n">
        <f aca="false">IF(B913="","",MONTH(B913))</f>
        <v>7</v>
      </c>
      <c r="K913" s="102" t="n">
        <f aca="false">IF(B913="","",YEAR(B913))</f>
        <v>2026</v>
      </c>
      <c r="L913" s="102" t="str">
        <f aca="false">IF(N(E913)=0,"",IF(COUNTIFS(AK_NAMA,C913,AK_KAT,"KAS")+COUNTIFS(AK_NAMA,D913,AK_KAT,"KAS")&lt;&gt;1,"",IF(COUNTIFS(AK_NAMA,C913,AK_KAT,"KAS")=1,D913,C913)))</f>
        <v>Utang Usaha Lancar</v>
      </c>
      <c r="M913" s="103" t="n">
        <f aca="false">IF(L913="",0,IF(L913=D913,E913,-E913))</f>
        <v>-6000000</v>
      </c>
      <c r="N913" s="102" t="str">
        <f aca="false">IF(L913="","",IFERROR(INDEX(AK_BARIS,MATCH(L913,AK_NAMA,0)),"?"))</f>
        <v>OP6</v>
      </c>
      <c r="O913" s="102" t="str">
        <f aca="false">IF(C913="","",IFERROR(INDEX(AK_KEL,MATCH(C913,AK_NAMA,0)),"?"))</f>
        <v>LIABILITAS</v>
      </c>
      <c r="P913" s="102" t="str">
        <f aca="false">IF(D913="","",IFERROR(INDEX(AK_KEL,MATCH(D913,AK_NAMA,0)),"?"))</f>
        <v>ASET</v>
      </c>
      <c r="Q913" s="102" t="n">
        <f aca="false">N(Q912)+IF(AND(N(E913)&lt;&gt;0,K913=TAHUN,N(J913)&lt;=BLN,OR(C913=BB_AKUN,D913=BB_AKUN)),1,0)</f>
        <v>608</v>
      </c>
      <c r="R913" s="104" t="str">
        <f aca="false">IF(OR(C913&amp;D913="",N(E913)=0),"",IF(OR(O913="?",P913="?"),"⚠ akun tidak dikenal",IF(C913=D913,"⚠ debet = kredit","")))</f>
        <v/>
      </c>
    </row>
    <row r="914" customFormat="false" ht="15" hidden="false" customHeight="false" outlineLevel="0" collapsed="false">
      <c r="A914" s="82" t="s">
        <v>1961</v>
      </c>
      <c r="B914" s="101" t="n">
        <v>46217</v>
      </c>
      <c r="C914" s="82" t="s">
        <v>467</v>
      </c>
      <c r="D914" s="82" t="s">
        <v>475</v>
      </c>
      <c r="E914" s="91" t="n">
        <v>360000</v>
      </c>
      <c r="F914" s="82" t="s">
        <v>1962</v>
      </c>
      <c r="G914" s="82"/>
      <c r="H914" s="82"/>
      <c r="I914" s="82" t="s">
        <v>250</v>
      </c>
      <c r="J914" s="102" t="n">
        <f aca="false">IF(B914="","",MONTH(B914))</f>
        <v>7</v>
      </c>
      <c r="K914" s="102" t="n">
        <f aca="false">IF(B914="","",YEAR(B914))</f>
        <v>2026</v>
      </c>
      <c r="L914" s="102" t="str">
        <f aca="false">IF(N(E914)=0,"",IF(COUNTIFS(AK_NAMA,C914,AK_KAT,"KAS")+COUNTIFS(AK_NAMA,D914,AK_KAT,"KAS")&lt;&gt;1,"",IF(COUNTIFS(AK_NAMA,C914,AK_KAT,"KAS")=1,D914,C914)))</f>
        <v>Dana Sosial &amp; CSR</v>
      </c>
      <c r="M914" s="103" t="n">
        <f aca="false">IF(L914="",0,IF(L914=D914,E914,-E914))</f>
        <v>-360000</v>
      </c>
      <c r="N914" s="102" t="str">
        <f aca="false">IF(L914="","",IFERROR(INDEX(AK_BARIS,MATCH(L914,AK_NAMA,0)),"?"))</f>
        <v>OP6</v>
      </c>
      <c r="O914" s="102" t="str">
        <f aca="false">IF(C914="","",IFERROR(INDEX(AK_KEL,MATCH(C914,AK_NAMA,0)),"?"))</f>
        <v>BEBAN</v>
      </c>
      <c r="P914" s="102" t="str">
        <f aca="false">IF(D914="","",IFERROR(INDEX(AK_KEL,MATCH(D914,AK_NAMA,0)),"?"))</f>
        <v>ASET</v>
      </c>
      <c r="Q914" s="102" t="n">
        <f aca="false">N(Q913)+IF(AND(N(E914)&lt;&gt;0,K914=TAHUN,N(J914)&lt;=BLN,OR(C914=BB_AKUN,D914=BB_AKUN)),1,0)</f>
        <v>608</v>
      </c>
      <c r="R914" s="104" t="str">
        <f aca="false">IF(OR(C914&amp;D914="",N(E914)=0),"",IF(OR(O914="?",P914="?"),"⚠ akun tidak dikenal",IF(C914=D914,"⚠ debet = kredit","")))</f>
        <v/>
      </c>
    </row>
    <row r="915" customFormat="false" ht="15" hidden="false" customHeight="false" outlineLevel="0" collapsed="false">
      <c r="A915" s="82" t="s">
        <v>1963</v>
      </c>
      <c r="B915" s="101" t="n">
        <v>46217</v>
      </c>
      <c r="C915" s="82" t="s">
        <v>470</v>
      </c>
      <c r="D915" s="82" t="s">
        <v>475</v>
      </c>
      <c r="E915" s="91" t="n">
        <v>286000</v>
      </c>
      <c r="F915" s="82" t="s">
        <v>1283</v>
      </c>
      <c r="G915" s="82"/>
      <c r="H915" s="82"/>
      <c r="I915" s="82" t="s">
        <v>250</v>
      </c>
      <c r="J915" s="102" t="n">
        <f aca="false">IF(B915="","",MONTH(B915))</f>
        <v>7</v>
      </c>
      <c r="K915" s="102" t="n">
        <f aca="false">IF(B915="","",YEAR(B915))</f>
        <v>2026</v>
      </c>
      <c r="L915" s="102" t="str">
        <f aca="false">IF(N(E915)=0,"",IF(COUNTIFS(AK_NAMA,C915,AK_KAT,"KAS")+COUNTIFS(AK_NAMA,D915,AK_KAT,"KAS")&lt;&gt;1,"",IF(COUNTIFS(AK_NAMA,C915,AK_KAT,"KAS")=1,D915,C915)))</f>
        <v>Biaya Bahan Baku</v>
      </c>
      <c r="M915" s="103" t="n">
        <f aca="false">IF(L915="",0,IF(L915=D915,E915,-E915))</f>
        <v>-286000</v>
      </c>
      <c r="N915" s="102" t="str">
        <f aca="false">IF(L915="","",IFERROR(INDEX(AK_BARIS,MATCH(L915,AK_NAMA,0)),"?"))</f>
        <v>OP3</v>
      </c>
      <c r="O915" s="102" t="str">
        <f aca="false">IF(C915="","",IFERROR(INDEX(AK_KEL,MATCH(C915,AK_NAMA,0)),"?"))</f>
        <v>BEBAN</v>
      </c>
      <c r="P915" s="102" t="str">
        <f aca="false">IF(D915="","",IFERROR(INDEX(AK_KEL,MATCH(D915,AK_NAMA,0)),"?"))</f>
        <v>ASET</v>
      </c>
      <c r="Q915" s="102" t="n">
        <f aca="false">N(Q914)+IF(AND(N(E915)&lt;&gt;0,K915=TAHUN,N(J915)&lt;=BLN,OR(C915=BB_AKUN,D915=BB_AKUN)),1,0)</f>
        <v>608</v>
      </c>
      <c r="R915" s="104" t="str">
        <f aca="false">IF(OR(C915&amp;D915="",N(E915)=0),"",IF(OR(O915="?",P915="?"),"⚠ akun tidak dikenal",IF(C915=D915,"⚠ debet = kredit","")))</f>
        <v/>
      </c>
    </row>
    <row r="916" customFormat="false" ht="15" hidden="false" customHeight="false" outlineLevel="0" collapsed="false">
      <c r="A916" s="82" t="s">
        <v>1964</v>
      </c>
      <c r="B916" s="101" t="n">
        <v>46217</v>
      </c>
      <c r="C916" s="82" t="s">
        <v>475</v>
      </c>
      <c r="D916" s="82" t="s">
        <v>486</v>
      </c>
      <c r="E916" s="91" t="n">
        <v>119000</v>
      </c>
      <c r="F916" s="82" t="s">
        <v>1142</v>
      </c>
      <c r="G916" s="82"/>
      <c r="H916" s="82"/>
      <c r="I916" s="82" t="s">
        <v>250</v>
      </c>
      <c r="J916" s="102" t="n">
        <f aca="false">IF(B916="","",MONTH(B916))</f>
        <v>7</v>
      </c>
      <c r="K916" s="102" t="n">
        <f aca="false">IF(B916="","",YEAR(B916))</f>
        <v>2026</v>
      </c>
      <c r="L916" s="102" t="str">
        <f aca="false">IF(N(E916)=0,"",IF(COUNTIFS(AK_NAMA,C916,AK_KAT,"KAS")+COUNTIFS(AK_NAMA,D916,AK_KAT,"KAS")&lt;&gt;1,"",IF(COUNTIFS(AK_NAMA,C916,AK_KAT,"KAS")=1,D916,C916)))</f>
        <v/>
      </c>
      <c r="M916" s="103" t="n">
        <f aca="false">IF(L916="",0,IF(L916=D916,E916,-E916))</f>
        <v>0</v>
      </c>
      <c r="N916" s="102" t="str">
        <f aca="false">IF(L916="","",IFERROR(INDEX(AK_BARIS,MATCH(L916,AK_NAMA,0)),"?"))</f>
        <v/>
      </c>
      <c r="O916" s="102" t="str">
        <f aca="false">IF(C916="","",IFERROR(INDEX(AK_KEL,MATCH(C916,AK_NAMA,0)),"?"))</f>
        <v>ASET</v>
      </c>
      <c r="P916" s="102" t="str">
        <f aca="false">IF(D916="","",IFERROR(INDEX(AK_KEL,MATCH(D916,AK_NAMA,0)),"?"))</f>
        <v>ASET</v>
      </c>
      <c r="Q916" s="102" t="n">
        <f aca="false">N(Q915)+IF(AND(N(E916)&lt;&gt;0,K916=TAHUN,N(J916)&lt;=BLN,OR(C916=BB_AKUN,D916=BB_AKUN)),1,0)</f>
        <v>608</v>
      </c>
      <c r="R916" s="104" t="str">
        <f aca="false">IF(OR(C916&amp;D916="",N(E916)=0),"",IF(OR(O916="?",P916="?"),"⚠ akun tidak dikenal",IF(C916=D916,"⚠ debet = kredit","")))</f>
        <v/>
      </c>
    </row>
    <row r="917" customFormat="false" ht="15" hidden="false" customHeight="false" outlineLevel="0" collapsed="false">
      <c r="A917" s="82" t="s">
        <v>1965</v>
      </c>
      <c r="B917" s="101" t="n">
        <v>46217</v>
      </c>
      <c r="C917" s="82" t="s">
        <v>486</v>
      </c>
      <c r="D917" s="82" t="s">
        <v>475</v>
      </c>
      <c r="E917" s="91" t="n">
        <v>500000</v>
      </c>
      <c r="F917" s="82" t="s">
        <v>1624</v>
      </c>
      <c r="G917" s="82"/>
      <c r="H917" s="82"/>
      <c r="I917" s="82" t="s">
        <v>250</v>
      </c>
      <c r="J917" s="102" t="n">
        <f aca="false">IF(B917="","",MONTH(B917))</f>
        <v>7</v>
      </c>
      <c r="K917" s="102" t="n">
        <f aca="false">IF(B917="","",YEAR(B917))</f>
        <v>2026</v>
      </c>
      <c r="L917" s="102" t="str">
        <f aca="false">IF(N(E917)=0,"",IF(COUNTIFS(AK_NAMA,C917,AK_KAT,"KAS")+COUNTIFS(AK_NAMA,D917,AK_KAT,"KAS")&lt;&gt;1,"",IF(COUNTIFS(AK_NAMA,C917,AK_KAT,"KAS")=1,D917,C917)))</f>
        <v/>
      </c>
      <c r="M917" s="103" t="n">
        <f aca="false">IF(L917="",0,IF(L917=D917,E917,-E917))</f>
        <v>0</v>
      </c>
      <c r="N917" s="102" t="str">
        <f aca="false">IF(L917="","",IFERROR(INDEX(AK_BARIS,MATCH(L917,AK_NAMA,0)),"?"))</f>
        <v/>
      </c>
      <c r="O917" s="102" t="str">
        <f aca="false">IF(C917="","",IFERROR(INDEX(AK_KEL,MATCH(C917,AK_NAMA,0)),"?"))</f>
        <v>ASET</v>
      </c>
      <c r="P917" s="102" t="str">
        <f aca="false">IF(D917="","",IFERROR(INDEX(AK_KEL,MATCH(D917,AK_NAMA,0)),"?"))</f>
        <v>ASET</v>
      </c>
      <c r="Q917" s="102" t="n">
        <f aca="false">N(Q916)+IF(AND(N(E917)&lt;&gt;0,K917=TAHUN,N(J917)&lt;=BLN,OR(C917=BB_AKUN,D917=BB_AKUN)),1,0)</f>
        <v>608</v>
      </c>
      <c r="R917" s="104" t="str">
        <f aca="false">IF(OR(C917&amp;D917="",N(E917)=0),"",IF(OR(O917="?",P917="?"),"⚠ akun tidak dikenal",IF(C917=D917,"⚠ debet = kredit","")))</f>
        <v/>
      </c>
    </row>
    <row r="918" customFormat="false" ht="15" hidden="false" customHeight="false" outlineLevel="0" collapsed="false">
      <c r="A918" s="82" t="s">
        <v>1966</v>
      </c>
      <c r="B918" s="101" t="n">
        <v>46217</v>
      </c>
      <c r="C918" s="82" t="s">
        <v>470</v>
      </c>
      <c r="D918" s="82" t="s">
        <v>486</v>
      </c>
      <c r="E918" s="91" t="n">
        <v>200000</v>
      </c>
      <c r="F918" s="82" t="s">
        <v>935</v>
      </c>
      <c r="G918" s="82"/>
      <c r="H918" s="82"/>
      <c r="I918" s="82" t="s">
        <v>250</v>
      </c>
      <c r="J918" s="102" t="n">
        <f aca="false">IF(B918="","",MONTH(B918))</f>
        <v>7</v>
      </c>
      <c r="K918" s="102" t="n">
        <f aca="false">IF(B918="","",YEAR(B918))</f>
        <v>2026</v>
      </c>
      <c r="L918" s="102" t="str">
        <f aca="false">IF(N(E918)=0,"",IF(COUNTIFS(AK_NAMA,C918,AK_KAT,"KAS")+COUNTIFS(AK_NAMA,D918,AK_KAT,"KAS")&lt;&gt;1,"",IF(COUNTIFS(AK_NAMA,C918,AK_KAT,"KAS")=1,D918,C918)))</f>
        <v>Biaya Bahan Baku</v>
      </c>
      <c r="M918" s="103" t="n">
        <f aca="false">IF(L918="",0,IF(L918=D918,E918,-E918))</f>
        <v>-200000</v>
      </c>
      <c r="N918" s="102" t="str">
        <f aca="false">IF(L918="","",IFERROR(INDEX(AK_BARIS,MATCH(L918,AK_NAMA,0)),"?"))</f>
        <v>OP3</v>
      </c>
      <c r="O918" s="102" t="str">
        <f aca="false">IF(C918="","",IFERROR(INDEX(AK_KEL,MATCH(C918,AK_NAMA,0)),"?"))</f>
        <v>BEBAN</v>
      </c>
      <c r="P918" s="102" t="str">
        <f aca="false">IF(D918="","",IFERROR(INDEX(AK_KEL,MATCH(D918,AK_NAMA,0)),"?"))</f>
        <v>ASET</v>
      </c>
      <c r="Q918" s="102" t="n">
        <f aca="false">N(Q917)+IF(AND(N(E918)&lt;&gt;0,K918=TAHUN,N(J918)&lt;=BLN,OR(C918=BB_AKUN,D918=BB_AKUN)),1,0)</f>
        <v>608</v>
      </c>
      <c r="R918" s="104" t="str">
        <f aca="false">IF(OR(C918&amp;D918="",N(E918)=0),"",IF(OR(O918="?",P918="?"),"⚠ akun tidak dikenal",IF(C918=D918,"⚠ debet = kredit","")))</f>
        <v/>
      </c>
    </row>
    <row r="919" customFormat="false" ht="15" hidden="false" customHeight="false" outlineLevel="0" collapsed="false">
      <c r="A919" s="82" t="s">
        <v>1967</v>
      </c>
      <c r="B919" s="101" t="n">
        <v>46217</v>
      </c>
      <c r="C919" s="82" t="s">
        <v>478</v>
      </c>
      <c r="D919" s="82" t="s">
        <v>486</v>
      </c>
      <c r="E919" s="91" t="n">
        <v>135000</v>
      </c>
      <c r="F919" s="82" t="s">
        <v>937</v>
      </c>
      <c r="G919" s="82"/>
      <c r="H919" s="82"/>
      <c r="I919" s="82" t="s">
        <v>250</v>
      </c>
      <c r="J919" s="102" t="n">
        <f aca="false">IF(B919="","",MONTH(B919))</f>
        <v>7</v>
      </c>
      <c r="K919" s="102" t="n">
        <f aca="false">IF(B919="","",YEAR(B919))</f>
        <v>2026</v>
      </c>
      <c r="L919" s="102" t="str">
        <f aca="false">IF(N(E919)=0,"",IF(COUNTIFS(AK_NAMA,C919,AK_KAT,"KAS")+COUNTIFS(AK_NAMA,D919,AK_KAT,"KAS")&lt;&gt;1,"",IF(COUNTIFS(AK_NAMA,C919,AK_KAT,"KAS")=1,D919,C919)))</f>
        <v>Biaya Penyajian</v>
      </c>
      <c r="M919" s="103" t="n">
        <f aca="false">IF(L919="",0,IF(L919=D919,E919,-E919))</f>
        <v>-135000</v>
      </c>
      <c r="N919" s="102" t="str">
        <f aca="false">IF(L919="","",IFERROR(INDEX(AK_BARIS,MATCH(L919,AK_NAMA,0)),"?"))</f>
        <v>OP3</v>
      </c>
      <c r="O919" s="102" t="str">
        <f aca="false">IF(C919="","",IFERROR(INDEX(AK_KEL,MATCH(C919,AK_NAMA,0)),"?"))</f>
        <v>BEBAN</v>
      </c>
      <c r="P919" s="102" t="str">
        <f aca="false">IF(D919="","",IFERROR(INDEX(AK_KEL,MATCH(D919,AK_NAMA,0)),"?"))</f>
        <v>ASET</v>
      </c>
      <c r="Q919" s="102" t="n">
        <f aca="false">N(Q918)+IF(AND(N(E919)&lt;&gt;0,K919=TAHUN,N(J919)&lt;=BLN,OR(C919=BB_AKUN,D919=BB_AKUN)),1,0)</f>
        <v>608</v>
      </c>
      <c r="R919" s="104" t="str">
        <f aca="false">IF(OR(C919&amp;D919="",N(E919)=0),"",IF(OR(O919="?",P919="?"),"⚠ akun tidak dikenal",IF(C919=D919,"⚠ debet = kredit","")))</f>
        <v/>
      </c>
    </row>
    <row r="920" customFormat="false" ht="15" hidden="false" customHeight="false" outlineLevel="0" collapsed="false">
      <c r="A920" s="82" t="s">
        <v>1968</v>
      </c>
      <c r="B920" s="101" t="n">
        <v>46217</v>
      </c>
      <c r="C920" s="82" t="s">
        <v>548</v>
      </c>
      <c r="D920" s="82" t="s">
        <v>486</v>
      </c>
      <c r="E920" s="91" t="n">
        <v>22000</v>
      </c>
      <c r="F920" s="82" t="s">
        <v>939</v>
      </c>
      <c r="G920" s="82"/>
      <c r="H920" s="82"/>
      <c r="I920" s="82" t="s">
        <v>250</v>
      </c>
      <c r="J920" s="102" t="n">
        <f aca="false">IF(B920="","",MONTH(B920))</f>
        <v>7</v>
      </c>
      <c r="K920" s="102" t="n">
        <f aca="false">IF(B920="","",YEAR(B920))</f>
        <v>2026</v>
      </c>
      <c r="L920" s="102" t="str">
        <f aca="false">IF(N(E920)=0,"",IF(COUNTIFS(AK_NAMA,C920,AK_KAT,"KAS")+COUNTIFS(AK_NAMA,D920,AK_KAT,"KAS")&lt;&gt;1,"",IF(COUNTIFS(AK_NAMA,C920,AK_KAT,"KAS")=1,D920,C920)))</f>
        <v>Beban Perlengkapan</v>
      </c>
      <c r="M920" s="103" t="n">
        <f aca="false">IF(L920="",0,IF(L920=D920,E920,-E920))</f>
        <v>-22000</v>
      </c>
      <c r="N920" s="102" t="str">
        <f aca="false">IF(L920="","",IFERROR(INDEX(AK_BARIS,MATCH(L920,AK_NAMA,0)),"?"))</f>
        <v>OP6</v>
      </c>
      <c r="O920" s="102" t="str">
        <f aca="false">IF(C920="","",IFERROR(INDEX(AK_KEL,MATCH(C920,AK_NAMA,0)),"?"))</f>
        <v>BEBAN</v>
      </c>
      <c r="P920" s="102" t="str">
        <f aca="false">IF(D920="","",IFERROR(INDEX(AK_KEL,MATCH(D920,AK_NAMA,0)),"?"))</f>
        <v>ASET</v>
      </c>
      <c r="Q920" s="102" t="n">
        <f aca="false">N(Q919)+IF(AND(N(E920)&lt;&gt;0,K920=TAHUN,N(J920)&lt;=BLN,OR(C920=BB_AKUN,D920=BB_AKUN)),1,0)</f>
        <v>608</v>
      </c>
      <c r="R920" s="104" t="str">
        <f aca="false">IF(OR(C920&amp;D920="",N(E920)=0),"",IF(OR(O920="?",P920="?"),"⚠ akun tidak dikenal",IF(C920=D920,"⚠ debet = kredit","")))</f>
        <v/>
      </c>
    </row>
    <row r="921" customFormat="false" ht="15" hidden="false" customHeight="false" outlineLevel="0" collapsed="false">
      <c r="A921" s="82" t="s">
        <v>1969</v>
      </c>
      <c r="B921" s="101" t="n">
        <v>46217</v>
      </c>
      <c r="C921" s="82" t="s">
        <v>485</v>
      </c>
      <c r="D921" s="82" t="s">
        <v>486</v>
      </c>
      <c r="E921" s="91" t="n">
        <v>20000</v>
      </c>
      <c r="F921" s="82" t="s">
        <v>553</v>
      </c>
      <c r="G921" s="82"/>
      <c r="H921" s="82"/>
      <c r="I921" s="82" t="s">
        <v>250</v>
      </c>
      <c r="J921" s="102" t="n">
        <f aca="false">IF(B921="","",MONTH(B921))</f>
        <v>7</v>
      </c>
      <c r="K921" s="102" t="n">
        <f aca="false">IF(B921="","",YEAR(B921))</f>
        <v>2026</v>
      </c>
      <c r="L921" s="102" t="str">
        <f aca="false">IF(N(E921)=0,"",IF(COUNTIFS(AK_NAMA,C921,AK_KAT,"KAS")+COUNTIFS(AK_NAMA,D921,AK_KAT,"KAS")&lt;&gt;1,"",IF(COUNTIFS(AK_NAMA,C921,AK_KAT,"KAS")=1,D921,C921)))</f>
        <v>Biaya Operasional Harian</v>
      </c>
      <c r="M921" s="103" t="n">
        <f aca="false">IF(L921="",0,IF(L921=D921,E921,-E921))</f>
        <v>-20000</v>
      </c>
      <c r="N921" s="102" t="str">
        <f aca="false">IF(L921="","",IFERROR(INDEX(AK_BARIS,MATCH(L921,AK_NAMA,0)),"?"))</f>
        <v>OP6</v>
      </c>
      <c r="O921" s="102" t="str">
        <f aca="false">IF(C921="","",IFERROR(INDEX(AK_KEL,MATCH(C921,AK_NAMA,0)),"?"))</f>
        <v>BEBAN</v>
      </c>
      <c r="P921" s="102" t="str">
        <f aca="false">IF(D921="","",IFERROR(INDEX(AK_KEL,MATCH(D921,AK_NAMA,0)),"?"))</f>
        <v>ASET</v>
      </c>
      <c r="Q921" s="102" t="n">
        <f aca="false">N(Q920)+IF(AND(N(E921)&lt;&gt;0,K921=TAHUN,N(J921)&lt;=BLN,OR(C921=BB_AKUN,D921=BB_AKUN)),1,0)</f>
        <v>608</v>
      </c>
      <c r="R921" s="104" t="str">
        <f aca="false">IF(OR(C921&amp;D921="",N(E921)=0),"",IF(OR(O921="?",P921="?"),"⚠ akun tidak dikenal",IF(C921=D921,"⚠ debet = kredit","")))</f>
        <v/>
      </c>
    </row>
    <row r="922" customFormat="false" ht="15" hidden="false" customHeight="false" outlineLevel="0" collapsed="false">
      <c r="A922" s="82" t="s">
        <v>1970</v>
      </c>
      <c r="B922" s="101" t="n">
        <v>46217</v>
      </c>
      <c r="C922" s="82" t="s">
        <v>485</v>
      </c>
      <c r="D922" s="82" t="s">
        <v>486</v>
      </c>
      <c r="E922" s="91" t="n">
        <v>4000</v>
      </c>
      <c r="F922" s="82" t="s">
        <v>555</v>
      </c>
      <c r="G922" s="82"/>
      <c r="H922" s="82"/>
      <c r="I922" s="82" t="s">
        <v>250</v>
      </c>
      <c r="J922" s="102" t="n">
        <f aca="false">IF(B922="","",MONTH(B922))</f>
        <v>7</v>
      </c>
      <c r="K922" s="102" t="n">
        <f aca="false">IF(B922="","",YEAR(B922))</f>
        <v>2026</v>
      </c>
      <c r="L922" s="102" t="str">
        <f aca="false">IF(N(E922)=0,"",IF(COUNTIFS(AK_NAMA,C922,AK_KAT,"KAS")+COUNTIFS(AK_NAMA,D922,AK_KAT,"KAS")&lt;&gt;1,"",IF(COUNTIFS(AK_NAMA,C922,AK_KAT,"KAS")=1,D922,C922)))</f>
        <v>Biaya Operasional Harian</v>
      </c>
      <c r="M922" s="103" t="n">
        <f aca="false">IF(L922="",0,IF(L922=D922,E922,-E922))</f>
        <v>-4000</v>
      </c>
      <c r="N922" s="102" t="str">
        <f aca="false">IF(L922="","",IFERROR(INDEX(AK_BARIS,MATCH(L922,AK_NAMA,0)),"?"))</f>
        <v>OP6</v>
      </c>
      <c r="O922" s="102" t="str">
        <f aca="false">IF(C922="","",IFERROR(INDEX(AK_KEL,MATCH(C922,AK_NAMA,0)),"?"))</f>
        <v>BEBAN</v>
      </c>
      <c r="P922" s="102" t="str">
        <f aca="false">IF(D922="","",IFERROR(INDEX(AK_KEL,MATCH(D922,AK_NAMA,0)),"?"))</f>
        <v>ASET</v>
      </c>
      <c r="Q922" s="102" t="n">
        <f aca="false">N(Q921)+IF(AND(N(E922)&lt;&gt;0,K922=TAHUN,N(J922)&lt;=BLN,OR(C922=BB_AKUN,D922=BB_AKUN)),1,0)</f>
        <v>608</v>
      </c>
      <c r="R922" s="104" t="str">
        <f aca="false">IF(OR(C922&amp;D922="",N(E922)=0),"",IF(OR(O922="?",P922="?"),"⚠ akun tidak dikenal",IF(C922=D922,"⚠ debet = kredit","")))</f>
        <v/>
      </c>
    </row>
    <row r="923" customFormat="false" ht="15" hidden="false" customHeight="false" outlineLevel="0" collapsed="false">
      <c r="A923" s="82" t="s">
        <v>1971</v>
      </c>
      <c r="B923" s="101" t="n">
        <v>46217</v>
      </c>
      <c r="C923" s="82" t="s">
        <v>470</v>
      </c>
      <c r="D923" s="82" t="s">
        <v>461</v>
      </c>
      <c r="E923" s="91" t="n">
        <v>186800</v>
      </c>
      <c r="F923" s="82" t="s">
        <v>1972</v>
      </c>
      <c r="G923" s="82"/>
      <c r="H923" s="82"/>
      <c r="I923" s="82" t="s">
        <v>250</v>
      </c>
      <c r="J923" s="102" t="n">
        <f aca="false">IF(B923="","",MONTH(B923))</f>
        <v>7</v>
      </c>
      <c r="K923" s="102" t="n">
        <f aca="false">IF(B923="","",YEAR(B923))</f>
        <v>2026</v>
      </c>
      <c r="L923" s="102" t="str">
        <f aca="false">IF(N(E923)=0,"",IF(COUNTIFS(AK_NAMA,C923,AK_KAT,"KAS")+COUNTIFS(AK_NAMA,D923,AK_KAT,"KAS")&lt;&gt;1,"",IF(COUNTIFS(AK_NAMA,C923,AK_KAT,"KAS")=1,D923,C923)))</f>
        <v>Biaya Bahan Baku</v>
      </c>
      <c r="M923" s="103" t="n">
        <f aca="false">IF(L923="",0,IF(L923=D923,E923,-E923))</f>
        <v>-186800</v>
      </c>
      <c r="N923" s="102" t="str">
        <f aca="false">IF(L923="","",IFERROR(INDEX(AK_BARIS,MATCH(L923,AK_NAMA,0)),"?"))</f>
        <v>OP3</v>
      </c>
      <c r="O923" s="102" t="str">
        <f aca="false">IF(C923="","",IFERROR(INDEX(AK_KEL,MATCH(C923,AK_NAMA,0)),"?"))</f>
        <v>BEBAN</v>
      </c>
      <c r="P923" s="102" t="str">
        <f aca="false">IF(D923="","",IFERROR(INDEX(AK_KEL,MATCH(D923,AK_NAMA,0)),"?"))</f>
        <v>ASET</v>
      </c>
      <c r="Q923" s="102" t="n">
        <f aca="false">N(Q922)+IF(AND(N(E923)&lt;&gt;0,K923=TAHUN,N(J923)&lt;=BLN,OR(C923=BB_AKUN,D923=BB_AKUN)),1,0)</f>
        <v>609</v>
      </c>
      <c r="R923" s="104" t="str">
        <f aca="false">IF(OR(C923&amp;D923="",N(E923)=0),"",IF(OR(O923="?",P923="?"),"⚠ akun tidak dikenal",IF(C923=D923,"⚠ debet = kredit","")))</f>
        <v/>
      </c>
    </row>
    <row r="924" customFormat="false" ht="15" hidden="false" customHeight="false" outlineLevel="0" collapsed="false">
      <c r="A924" s="82" t="s">
        <v>1973</v>
      </c>
      <c r="B924" s="101" t="n">
        <v>46217</v>
      </c>
      <c r="C924" s="82" t="s">
        <v>475</v>
      </c>
      <c r="D924" s="82" t="s">
        <v>557</v>
      </c>
      <c r="E924" s="91" t="n">
        <v>23700</v>
      </c>
      <c r="F924" s="82" t="s">
        <v>1172</v>
      </c>
      <c r="G924" s="82"/>
      <c r="H924" s="82"/>
      <c r="I924" s="82" t="s">
        <v>250</v>
      </c>
      <c r="J924" s="102" t="n">
        <f aca="false">IF(B924="","",MONTH(B924))</f>
        <v>7</v>
      </c>
      <c r="K924" s="102" t="n">
        <f aca="false">IF(B924="","",YEAR(B924))</f>
        <v>2026</v>
      </c>
      <c r="L924" s="102" t="str">
        <f aca="false">IF(N(E924)=0,"",IF(COUNTIFS(AK_NAMA,C924,AK_KAT,"KAS")+COUNTIFS(AK_NAMA,D924,AK_KAT,"KAS")&lt;&gt;1,"",IF(COUNTIFS(AK_NAMA,C924,AK_KAT,"KAS")=1,D924,C924)))</f>
        <v>Pendapatan Lainnya</v>
      </c>
      <c r="M924" s="103" t="n">
        <f aca="false">IF(L924="",0,IF(L924=D924,E924,-E924))</f>
        <v>23700</v>
      </c>
      <c r="N924" s="102" t="str">
        <f aca="false">IF(L924="","",IFERROR(INDEX(AK_BARIS,MATCH(L924,AK_NAMA,0)),"?"))</f>
        <v>OP2</v>
      </c>
      <c r="O924" s="102" t="str">
        <f aca="false">IF(C924="","",IFERROR(INDEX(AK_KEL,MATCH(C924,AK_NAMA,0)),"?"))</f>
        <v>ASET</v>
      </c>
      <c r="P924" s="102" t="str">
        <f aca="false">IF(D924="","",IFERROR(INDEX(AK_KEL,MATCH(D924,AK_NAMA,0)),"?"))</f>
        <v>PENDAPATAN</v>
      </c>
      <c r="Q924" s="102" t="n">
        <f aca="false">N(Q923)+IF(AND(N(E924)&lt;&gt;0,K924=TAHUN,N(J924)&lt;=BLN,OR(C924=BB_AKUN,D924=BB_AKUN)),1,0)</f>
        <v>609</v>
      </c>
      <c r="R924" s="104" t="str">
        <f aca="false">IF(OR(C924&amp;D924="",N(E924)=0),"",IF(OR(O924="?",P924="?"),"⚠ akun tidak dikenal",IF(C924=D924,"⚠ debet = kredit","")))</f>
        <v/>
      </c>
    </row>
    <row r="925" customFormat="false" ht="15" hidden="false" customHeight="false" outlineLevel="0" collapsed="false">
      <c r="A925" s="82" t="s">
        <v>1974</v>
      </c>
      <c r="B925" s="101" t="n">
        <v>46218</v>
      </c>
      <c r="C925" s="82" t="s">
        <v>672</v>
      </c>
      <c r="D925" s="82" t="s">
        <v>461</v>
      </c>
      <c r="E925" s="91" t="n">
        <v>586500</v>
      </c>
      <c r="F925" s="82" t="s">
        <v>1975</v>
      </c>
      <c r="G925" s="82"/>
      <c r="H925" s="82"/>
      <c r="I925" s="82" t="s">
        <v>250</v>
      </c>
      <c r="J925" s="102" t="n">
        <f aca="false">IF(B925="","",MONTH(B925))</f>
        <v>7</v>
      </c>
      <c r="K925" s="102" t="n">
        <f aca="false">IF(B925="","",YEAR(B925))</f>
        <v>2026</v>
      </c>
      <c r="L925" s="102" t="str">
        <f aca="false">IF(N(E925)=0,"",IF(COUNTIFS(AK_NAMA,C925,AK_KAT,"KAS")+COUNTIFS(AK_NAMA,D925,AK_KAT,"KAS")&lt;&gt;1,"",IF(COUNTIFS(AK_NAMA,C925,AK_KAT,"KAS")=1,D925,C925)))</f>
        <v>Peralatan</v>
      </c>
      <c r="M925" s="103" t="n">
        <f aca="false">IF(L925="",0,IF(L925=D925,E925,-E925))</f>
        <v>-586500</v>
      </c>
      <c r="N925" s="102" t="str">
        <f aca="false">IF(L925="","",IFERROR(INDEX(AK_BARIS,MATCH(L925,AK_NAMA,0)),"?"))</f>
        <v>IN1</v>
      </c>
      <c r="O925" s="102" t="str">
        <f aca="false">IF(C925="","",IFERROR(INDEX(AK_KEL,MATCH(C925,AK_NAMA,0)),"?"))</f>
        <v>ASET</v>
      </c>
      <c r="P925" s="102" t="str">
        <f aca="false">IF(D925="","",IFERROR(INDEX(AK_KEL,MATCH(D925,AK_NAMA,0)),"?"))</f>
        <v>ASET</v>
      </c>
      <c r="Q925" s="102" t="n">
        <f aca="false">N(Q924)+IF(AND(N(E925)&lt;&gt;0,K925=TAHUN,N(J925)&lt;=BLN,OR(C925=BB_AKUN,D925=BB_AKUN)),1,0)</f>
        <v>610</v>
      </c>
      <c r="R925" s="104" t="str">
        <f aca="false">IF(OR(C925&amp;D925="",N(E925)=0),"",IF(OR(O925="?",P925="?"),"⚠ akun tidak dikenal",IF(C925=D925,"⚠ debet = kredit","")))</f>
        <v/>
      </c>
    </row>
    <row r="926" customFormat="false" ht="15" hidden="false" customHeight="false" outlineLevel="0" collapsed="false">
      <c r="A926" s="82" t="s">
        <v>1976</v>
      </c>
      <c r="B926" s="101" t="n">
        <v>46218</v>
      </c>
      <c r="C926" s="82" t="s">
        <v>672</v>
      </c>
      <c r="D926" s="82" t="s">
        <v>461</v>
      </c>
      <c r="E926" s="91" t="n">
        <v>482820</v>
      </c>
      <c r="F926" s="82" t="s">
        <v>1977</v>
      </c>
      <c r="G926" s="82"/>
      <c r="H926" s="82"/>
      <c r="I926" s="82" t="s">
        <v>250</v>
      </c>
      <c r="J926" s="102" t="n">
        <f aca="false">IF(B926="","",MONTH(B926))</f>
        <v>7</v>
      </c>
      <c r="K926" s="102" t="n">
        <f aca="false">IF(B926="","",YEAR(B926))</f>
        <v>2026</v>
      </c>
      <c r="L926" s="102" t="str">
        <f aca="false">IF(N(E926)=0,"",IF(COUNTIFS(AK_NAMA,C926,AK_KAT,"KAS")+COUNTIFS(AK_NAMA,D926,AK_KAT,"KAS")&lt;&gt;1,"",IF(COUNTIFS(AK_NAMA,C926,AK_KAT,"KAS")=1,D926,C926)))</f>
        <v>Peralatan</v>
      </c>
      <c r="M926" s="103" t="n">
        <f aca="false">IF(L926="",0,IF(L926=D926,E926,-E926))</f>
        <v>-482820</v>
      </c>
      <c r="N926" s="102" t="str">
        <f aca="false">IF(L926="","",IFERROR(INDEX(AK_BARIS,MATCH(L926,AK_NAMA,0)),"?"))</f>
        <v>IN1</v>
      </c>
      <c r="O926" s="102" t="str">
        <f aca="false">IF(C926="","",IFERROR(INDEX(AK_KEL,MATCH(C926,AK_NAMA,0)),"?"))</f>
        <v>ASET</v>
      </c>
      <c r="P926" s="102" t="str">
        <f aca="false">IF(D926="","",IFERROR(INDEX(AK_KEL,MATCH(D926,AK_NAMA,0)),"?"))</f>
        <v>ASET</v>
      </c>
      <c r="Q926" s="102" t="n">
        <f aca="false">N(Q925)+IF(AND(N(E926)&lt;&gt;0,K926=TAHUN,N(J926)&lt;=BLN,OR(C926=BB_AKUN,D926=BB_AKUN)),1,0)</f>
        <v>611</v>
      </c>
      <c r="R926" s="104" t="str">
        <f aca="false">IF(OR(C926&amp;D926="",N(E926)=0),"",IF(OR(O926="?",P926="?"),"⚠ akun tidak dikenal",IF(C926=D926,"⚠ debet = kredit","")))</f>
        <v/>
      </c>
    </row>
    <row r="927" customFormat="false" ht="15" hidden="false" customHeight="false" outlineLevel="0" collapsed="false">
      <c r="A927" s="82" t="s">
        <v>1978</v>
      </c>
      <c r="B927" s="101" t="n">
        <v>46220</v>
      </c>
      <c r="C927" s="82" t="s">
        <v>548</v>
      </c>
      <c r="D927" s="82" t="s">
        <v>461</v>
      </c>
      <c r="E927" s="91" t="n">
        <v>404498</v>
      </c>
      <c r="F927" s="82" t="s">
        <v>1979</v>
      </c>
      <c r="G927" s="82"/>
      <c r="H927" s="82"/>
      <c r="I927" s="82" t="s">
        <v>250</v>
      </c>
      <c r="J927" s="102" t="n">
        <f aca="false">IF(B927="","",MONTH(B927))</f>
        <v>7</v>
      </c>
      <c r="K927" s="102" t="n">
        <f aca="false">IF(B927="","",YEAR(B927))</f>
        <v>2026</v>
      </c>
      <c r="L927" s="102" t="str">
        <f aca="false">IF(N(E927)=0,"",IF(COUNTIFS(AK_NAMA,C927,AK_KAT,"KAS")+COUNTIFS(AK_NAMA,D927,AK_KAT,"KAS")&lt;&gt;1,"",IF(COUNTIFS(AK_NAMA,C927,AK_KAT,"KAS")=1,D927,C927)))</f>
        <v>Beban Perlengkapan</v>
      </c>
      <c r="M927" s="103" t="n">
        <f aca="false">IF(L927="",0,IF(L927=D927,E927,-E927))</f>
        <v>-404498</v>
      </c>
      <c r="N927" s="102" t="str">
        <f aca="false">IF(L927="","",IFERROR(INDEX(AK_BARIS,MATCH(L927,AK_NAMA,0)),"?"))</f>
        <v>OP6</v>
      </c>
      <c r="O927" s="102" t="str">
        <f aca="false">IF(C927="","",IFERROR(INDEX(AK_KEL,MATCH(C927,AK_NAMA,0)),"?"))</f>
        <v>BEBAN</v>
      </c>
      <c r="P927" s="102" t="str">
        <f aca="false">IF(D927="","",IFERROR(INDEX(AK_KEL,MATCH(D927,AK_NAMA,0)),"?"))</f>
        <v>ASET</v>
      </c>
      <c r="Q927" s="102" t="n">
        <f aca="false">N(Q926)+IF(AND(N(E927)&lt;&gt;0,K927=TAHUN,N(J927)&lt;=BLN,OR(C927=BB_AKUN,D927=BB_AKUN)),1,0)</f>
        <v>612</v>
      </c>
      <c r="R927" s="104" t="str">
        <f aca="false">IF(OR(C927&amp;D927="",N(E927)=0),"",IF(OR(O927="?",P927="?"),"⚠ akun tidak dikenal",IF(C927=D927,"⚠ debet = kredit","")))</f>
        <v/>
      </c>
    </row>
    <row r="928" customFormat="false" ht="15" hidden="false" customHeight="false" outlineLevel="0" collapsed="false">
      <c r="A928" s="82" t="s">
        <v>1980</v>
      </c>
      <c r="B928" s="101" t="n">
        <v>46220</v>
      </c>
      <c r="C928" s="82" t="s">
        <v>470</v>
      </c>
      <c r="D928" s="82" t="s">
        <v>461</v>
      </c>
      <c r="E928" s="91" t="n">
        <v>1340000</v>
      </c>
      <c r="F928" s="82" t="s">
        <v>1950</v>
      </c>
      <c r="G928" s="82"/>
      <c r="H928" s="82"/>
      <c r="I928" s="82" t="s">
        <v>250</v>
      </c>
      <c r="J928" s="102" t="n">
        <f aca="false">IF(B928="","",MONTH(B928))</f>
        <v>7</v>
      </c>
      <c r="K928" s="102" t="n">
        <f aca="false">IF(B928="","",YEAR(B928))</f>
        <v>2026</v>
      </c>
      <c r="L928" s="102" t="str">
        <f aca="false">IF(N(E928)=0,"",IF(COUNTIFS(AK_NAMA,C928,AK_KAT,"KAS")+COUNTIFS(AK_NAMA,D928,AK_KAT,"KAS")&lt;&gt;1,"",IF(COUNTIFS(AK_NAMA,C928,AK_KAT,"KAS")=1,D928,C928)))</f>
        <v>Biaya Bahan Baku</v>
      </c>
      <c r="M928" s="103" t="n">
        <f aca="false">IF(L928="",0,IF(L928=D928,E928,-E928))</f>
        <v>-1340000</v>
      </c>
      <c r="N928" s="102" t="str">
        <f aca="false">IF(L928="","",IFERROR(INDEX(AK_BARIS,MATCH(L928,AK_NAMA,0)),"?"))</f>
        <v>OP3</v>
      </c>
      <c r="O928" s="102" t="str">
        <f aca="false">IF(C928="","",IFERROR(INDEX(AK_KEL,MATCH(C928,AK_NAMA,0)),"?"))</f>
        <v>BEBAN</v>
      </c>
      <c r="P928" s="102" t="str">
        <f aca="false">IF(D928="","",IFERROR(INDEX(AK_KEL,MATCH(D928,AK_NAMA,0)),"?"))</f>
        <v>ASET</v>
      </c>
      <c r="Q928" s="102" t="n">
        <f aca="false">N(Q927)+IF(AND(N(E928)&lt;&gt;0,K928=TAHUN,N(J928)&lt;=BLN,OR(C928=BB_AKUN,D928=BB_AKUN)),1,0)</f>
        <v>613</v>
      </c>
      <c r="R928" s="104" t="str">
        <f aca="false">IF(OR(C928&amp;D928="",N(E928)=0),"",IF(OR(O928="?",P928="?"),"⚠ akun tidak dikenal",IF(C928=D928,"⚠ debet = kredit","")))</f>
        <v/>
      </c>
    </row>
    <row r="929" customFormat="false" ht="15" hidden="false" customHeight="false" outlineLevel="0" collapsed="false">
      <c r="A929" s="82" t="s">
        <v>1981</v>
      </c>
      <c r="B929" s="101" t="n">
        <v>46220</v>
      </c>
      <c r="C929" s="82" t="s">
        <v>455</v>
      </c>
      <c r="D929" s="82" t="s">
        <v>461</v>
      </c>
      <c r="E929" s="91" t="n">
        <v>270000</v>
      </c>
      <c r="F929" s="82" t="s">
        <v>1982</v>
      </c>
      <c r="G929" s="82"/>
      <c r="H929" s="82"/>
      <c r="I929" s="82" t="s">
        <v>250</v>
      </c>
      <c r="J929" s="102" t="n">
        <f aca="false">IF(B929="","",MONTH(B929))</f>
        <v>7</v>
      </c>
      <c r="K929" s="102" t="n">
        <f aca="false">IF(B929="","",YEAR(B929))</f>
        <v>2026</v>
      </c>
      <c r="L929" s="102" t="str">
        <f aca="false">IF(N(E929)=0,"",IF(COUNTIFS(AK_NAMA,C929,AK_KAT,"KAS")+COUNTIFS(AK_NAMA,D929,AK_KAT,"KAS")&lt;&gt;1,"",IF(COUNTIFS(AK_NAMA,C929,AK_KAT,"KAS")=1,D929,C929)))</f>
        <v>Biaya Pemeliharaan</v>
      </c>
      <c r="M929" s="103" t="n">
        <f aca="false">IF(L929="",0,IF(L929=D929,E929,-E929))</f>
        <v>-270000</v>
      </c>
      <c r="N929" s="102" t="str">
        <f aca="false">IF(L929="","",IFERROR(INDEX(AK_BARIS,MATCH(L929,AK_NAMA,0)),"?"))</f>
        <v>OP6</v>
      </c>
      <c r="O929" s="102" t="str">
        <f aca="false">IF(C929="","",IFERROR(INDEX(AK_KEL,MATCH(C929,AK_NAMA,0)),"?"))</f>
        <v>BEBAN</v>
      </c>
      <c r="P929" s="102" t="str">
        <f aca="false">IF(D929="","",IFERROR(INDEX(AK_KEL,MATCH(D929,AK_NAMA,0)),"?"))</f>
        <v>ASET</v>
      </c>
      <c r="Q929" s="102" t="n">
        <f aca="false">N(Q928)+IF(AND(N(E929)&lt;&gt;0,K929=TAHUN,N(J929)&lt;=BLN,OR(C929=BB_AKUN,D929=BB_AKUN)),1,0)</f>
        <v>614</v>
      </c>
      <c r="R929" s="104" t="str">
        <f aca="false">IF(OR(C929&amp;D929="",N(E929)=0),"",IF(OR(O929="?",P929="?"),"⚠ akun tidak dikenal",IF(C929=D929,"⚠ debet = kredit","")))</f>
        <v/>
      </c>
    </row>
    <row r="930" customFormat="false" ht="15" hidden="false" customHeight="false" outlineLevel="0" collapsed="false">
      <c r="A930" s="82" t="s">
        <v>1983</v>
      </c>
      <c r="B930" s="101" t="n">
        <v>46222</v>
      </c>
      <c r="C930" s="82" t="s">
        <v>548</v>
      </c>
      <c r="D930" s="82" t="s">
        <v>461</v>
      </c>
      <c r="E930" s="91" t="n">
        <v>155000</v>
      </c>
      <c r="F930" s="82" t="s">
        <v>1984</v>
      </c>
      <c r="G930" s="82"/>
      <c r="H930" s="82"/>
      <c r="I930" s="82" t="s">
        <v>250</v>
      </c>
      <c r="J930" s="102" t="n">
        <f aca="false">IF(B930="","",MONTH(B930))</f>
        <v>7</v>
      </c>
      <c r="K930" s="102" t="n">
        <f aca="false">IF(B930="","",YEAR(B930))</f>
        <v>2026</v>
      </c>
      <c r="L930" s="102" t="str">
        <f aca="false">IF(N(E930)=0,"",IF(COUNTIFS(AK_NAMA,C930,AK_KAT,"KAS")+COUNTIFS(AK_NAMA,D930,AK_KAT,"KAS")&lt;&gt;1,"",IF(COUNTIFS(AK_NAMA,C930,AK_KAT,"KAS")=1,D930,C930)))</f>
        <v>Beban Perlengkapan</v>
      </c>
      <c r="M930" s="103" t="n">
        <f aca="false">IF(L930="",0,IF(L930=D930,E930,-E930))</f>
        <v>-155000</v>
      </c>
      <c r="N930" s="102" t="str">
        <f aca="false">IF(L930="","",IFERROR(INDEX(AK_BARIS,MATCH(L930,AK_NAMA,0)),"?"))</f>
        <v>OP6</v>
      </c>
      <c r="O930" s="102" t="str">
        <f aca="false">IF(C930="","",IFERROR(INDEX(AK_KEL,MATCH(C930,AK_NAMA,0)),"?"))</f>
        <v>BEBAN</v>
      </c>
      <c r="P930" s="102" t="str">
        <f aca="false">IF(D930="","",IFERROR(INDEX(AK_KEL,MATCH(D930,AK_NAMA,0)),"?"))</f>
        <v>ASET</v>
      </c>
      <c r="Q930" s="102" t="n">
        <f aca="false">N(Q929)+IF(AND(N(E930)&lt;&gt;0,K930=TAHUN,N(J930)&lt;=BLN,OR(C930=BB_AKUN,D930=BB_AKUN)),1,0)</f>
        <v>615</v>
      </c>
      <c r="R930" s="104" t="str">
        <f aca="false">IF(OR(C930&amp;D930="",N(E930)=0),"",IF(OR(O930="?",P930="?"),"⚠ akun tidak dikenal",IF(C930=D930,"⚠ debet = kredit","")))</f>
        <v/>
      </c>
    </row>
    <row r="931" customFormat="false" ht="15" hidden="false" customHeight="false" outlineLevel="0" collapsed="false">
      <c r="A931" s="82" t="s">
        <v>1985</v>
      </c>
      <c r="B931" s="101" t="n">
        <v>46222</v>
      </c>
      <c r="C931" s="82" t="s">
        <v>548</v>
      </c>
      <c r="D931" s="82" t="s">
        <v>461</v>
      </c>
      <c r="E931" s="91" t="n">
        <v>18500</v>
      </c>
      <c r="F931" s="82" t="s">
        <v>1986</v>
      </c>
      <c r="G931" s="82"/>
      <c r="H931" s="82"/>
      <c r="I931" s="82" t="s">
        <v>250</v>
      </c>
      <c r="J931" s="102" t="n">
        <f aca="false">IF(B931="","",MONTH(B931))</f>
        <v>7</v>
      </c>
      <c r="K931" s="102" t="n">
        <f aca="false">IF(B931="","",YEAR(B931))</f>
        <v>2026</v>
      </c>
      <c r="L931" s="102" t="str">
        <f aca="false">IF(N(E931)=0,"",IF(COUNTIFS(AK_NAMA,C931,AK_KAT,"KAS")+COUNTIFS(AK_NAMA,D931,AK_KAT,"KAS")&lt;&gt;1,"",IF(COUNTIFS(AK_NAMA,C931,AK_KAT,"KAS")=1,D931,C931)))</f>
        <v>Beban Perlengkapan</v>
      </c>
      <c r="M931" s="103" t="n">
        <f aca="false">IF(L931="",0,IF(L931=D931,E931,-E931))</f>
        <v>-18500</v>
      </c>
      <c r="N931" s="102" t="str">
        <f aca="false">IF(L931="","",IFERROR(INDEX(AK_BARIS,MATCH(L931,AK_NAMA,0)),"?"))</f>
        <v>OP6</v>
      </c>
      <c r="O931" s="102" t="str">
        <f aca="false">IF(C931="","",IFERROR(INDEX(AK_KEL,MATCH(C931,AK_NAMA,0)),"?"))</f>
        <v>BEBAN</v>
      </c>
      <c r="P931" s="102" t="str">
        <f aca="false">IF(D931="","",IFERROR(INDEX(AK_KEL,MATCH(D931,AK_NAMA,0)),"?"))</f>
        <v>ASET</v>
      </c>
      <c r="Q931" s="102" t="n">
        <f aca="false">N(Q930)+IF(AND(N(E931)&lt;&gt;0,K931=TAHUN,N(J931)&lt;=BLN,OR(C931=BB_AKUN,D931=BB_AKUN)),1,0)</f>
        <v>616</v>
      </c>
      <c r="R931" s="104" t="str">
        <f aca="false">IF(OR(C931&amp;D931="",N(E931)=0),"",IF(OR(O931="?",P931="?"),"⚠ akun tidak dikenal",IF(C931=D931,"⚠ debet = kredit","")))</f>
        <v/>
      </c>
    </row>
    <row r="932" customFormat="false" ht="15" hidden="false" customHeight="false" outlineLevel="0" collapsed="false">
      <c r="A932" s="82" t="s">
        <v>1987</v>
      </c>
      <c r="B932" s="101" t="n">
        <v>46222</v>
      </c>
      <c r="C932" s="82" t="s">
        <v>672</v>
      </c>
      <c r="D932" s="82" t="s">
        <v>461</v>
      </c>
      <c r="E932" s="91" t="n">
        <v>204900</v>
      </c>
      <c r="F932" s="82" t="s">
        <v>1988</v>
      </c>
      <c r="G932" s="82"/>
      <c r="H932" s="82"/>
      <c r="I932" s="82" t="s">
        <v>250</v>
      </c>
      <c r="J932" s="102" t="n">
        <f aca="false">IF(B932="","",MONTH(B932))</f>
        <v>7</v>
      </c>
      <c r="K932" s="102" t="n">
        <f aca="false">IF(B932="","",YEAR(B932))</f>
        <v>2026</v>
      </c>
      <c r="L932" s="102" t="str">
        <f aca="false">IF(N(E932)=0,"",IF(COUNTIFS(AK_NAMA,C932,AK_KAT,"KAS")+COUNTIFS(AK_NAMA,D932,AK_KAT,"KAS")&lt;&gt;1,"",IF(COUNTIFS(AK_NAMA,C932,AK_KAT,"KAS")=1,D932,C932)))</f>
        <v>Peralatan</v>
      </c>
      <c r="M932" s="103" t="n">
        <f aca="false">IF(L932="",0,IF(L932=D932,E932,-E932))</f>
        <v>-204900</v>
      </c>
      <c r="N932" s="102" t="str">
        <f aca="false">IF(L932="","",IFERROR(INDEX(AK_BARIS,MATCH(L932,AK_NAMA,0)),"?"))</f>
        <v>IN1</v>
      </c>
      <c r="O932" s="102" t="str">
        <f aca="false">IF(C932="","",IFERROR(INDEX(AK_KEL,MATCH(C932,AK_NAMA,0)),"?"))</f>
        <v>ASET</v>
      </c>
      <c r="P932" s="102" t="str">
        <f aca="false">IF(D932="","",IFERROR(INDEX(AK_KEL,MATCH(D932,AK_NAMA,0)),"?"))</f>
        <v>ASET</v>
      </c>
      <c r="Q932" s="102" t="n">
        <f aca="false">N(Q931)+IF(AND(N(E932)&lt;&gt;0,K932=TAHUN,N(J932)&lt;=BLN,OR(C932=BB_AKUN,D932=BB_AKUN)),1,0)</f>
        <v>617</v>
      </c>
      <c r="R932" s="104" t="str">
        <f aca="false">IF(OR(C932&amp;D932="",N(E932)=0),"",IF(OR(O932="?",P932="?"),"⚠ akun tidak dikenal",IF(C932=D932,"⚠ debet = kredit","")))</f>
        <v/>
      </c>
    </row>
    <row r="933" customFormat="false" ht="15" hidden="false" customHeight="false" outlineLevel="0" collapsed="false">
      <c r="A933" s="82" t="s">
        <v>1989</v>
      </c>
      <c r="B933" s="101" t="n">
        <v>46223</v>
      </c>
      <c r="C933" s="82" t="s">
        <v>475</v>
      </c>
      <c r="D933" s="82" t="s">
        <v>486</v>
      </c>
      <c r="E933" s="91" t="n">
        <v>42500</v>
      </c>
      <c r="F933" s="82" t="s">
        <v>1142</v>
      </c>
      <c r="G933" s="82"/>
      <c r="H933" s="82"/>
      <c r="I933" s="82" t="s">
        <v>250</v>
      </c>
      <c r="J933" s="102" t="n">
        <f aca="false">IF(B933="","",MONTH(B933))</f>
        <v>7</v>
      </c>
      <c r="K933" s="102" t="n">
        <f aca="false">IF(B933="","",YEAR(B933))</f>
        <v>2026</v>
      </c>
      <c r="L933" s="102" t="str">
        <f aca="false">IF(N(E933)=0,"",IF(COUNTIFS(AK_NAMA,C933,AK_KAT,"KAS")+COUNTIFS(AK_NAMA,D933,AK_KAT,"KAS")&lt;&gt;1,"",IF(COUNTIFS(AK_NAMA,C933,AK_KAT,"KAS")=1,D933,C933)))</f>
        <v/>
      </c>
      <c r="M933" s="103" t="n">
        <f aca="false">IF(L933="",0,IF(L933=D933,E933,-E933))</f>
        <v>0</v>
      </c>
      <c r="N933" s="102" t="str">
        <f aca="false">IF(L933="","",IFERROR(INDEX(AK_BARIS,MATCH(L933,AK_NAMA,0)),"?"))</f>
        <v/>
      </c>
      <c r="O933" s="102" t="str">
        <f aca="false">IF(C933="","",IFERROR(INDEX(AK_KEL,MATCH(C933,AK_NAMA,0)),"?"))</f>
        <v>ASET</v>
      </c>
      <c r="P933" s="102" t="str">
        <f aca="false">IF(D933="","",IFERROR(INDEX(AK_KEL,MATCH(D933,AK_NAMA,0)),"?"))</f>
        <v>ASET</v>
      </c>
      <c r="Q933" s="102" t="n">
        <f aca="false">N(Q932)+IF(AND(N(E933)&lt;&gt;0,K933=TAHUN,N(J933)&lt;=BLN,OR(C933=BB_AKUN,D933=BB_AKUN)),1,0)</f>
        <v>617</v>
      </c>
      <c r="R933" s="104" t="str">
        <f aca="false">IF(OR(C933&amp;D933="",N(E933)=0),"",IF(OR(O933="?",P933="?"),"⚠ akun tidak dikenal",IF(C933=D933,"⚠ debet = kredit","")))</f>
        <v/>
      </c>
    </row>
    <row r="934" customFormat="false" ht="15" hidden="false" customHeight="false" outlineLevel="0" collapsed="false">
      <c r="A934" s="82" t="s">
        <v>1990</v>
      </c>
      <c r="B934" s="101" t="n">
        <v>46223</v>
      </c>
      <c r="C934" s="82" t="s">
        <v>486</v>
      </c>
      <c r="D934" s="82" t="s">
        <v>475</v>
      </c>
      <c r="E934" s="91" t="n">
        <v>500000</v>
      </c>
      <c r="F934" s="82" t="s">
        <v>1624</v>
      </c>
      <c r="G934" s="82"/>
      <c r="H934" s="82"/>
      <c r="I934" s="82" t="s">
        <v>250</v>
      </c>
      <c r="J934" s="102" t="n">
        <f aca="false">IF(B934="","",MONTH(B934))</f>
        <v>7</v>
      </c>
      <c r="K934" s="102" t="n">
        <f aca="false">IF(B934="","",YEAR(B934))</f>
        <v>2026</v>
      </c>
      <c r="L934" s="102" t="str">
        <f aca="false">IF(N(E934)=0,"",IF(COUNTIFS(AK_NAMA,C934,AK_KAT,"KAS")+COUNTIFS(AK_NAMA,D934,AK_KAT,"KAS")&lt;&gt;1,"",IF(COUNTIFS(AK_NAMA,C934,AK_KAT,"KAS")=1,D934,C934)))</f>
        <v/>
      </c>
      <c r="M934" s="103" t="n">
        <f aca="false">IF(L934="",0,IF(L934=D934,E934,-E934))</f>
        <v>0</v>
      </c>
      <c r="N934" s="102" t="str">
        <f aca="false">IF(L934="","",IFERROR(INDEX(AK_BARIS,MATCH(L934,AK_NAMA,0)),"?"))</f>
        <v/>
      </c>
      <c r="O934" s="102" t="str">
        <f aca="false">IF(C934="","",IFERROR(INDEX(AK_KEL,MATCH(C934,AK_NAMA,0)),"?"))</f>
        <v>ASET</v>
      </c>
      <c r="P934" s="102" t="str">
        <f aca="false">IF(D934="","",IFERROR(INDEX(AK_KEL,MATCH(D934,AK_NAMA,0)),"?"))</f>
        <v>ASET</v>
      </c>
      <c r="Q934" s="102" t="n">
        <f aca="false">N(Q933)+IF(AND(N(E934)&lt;&gt;0,K934=TAHUN,N(J934)&lt;=BLN,OR(C934=BB_AKUN,D934=BB_AKUN)),1,0)</f>
        <v>617</v>
      </c>
      <c r="R934" s="104" t="str">
        <f aca="false">IF(OR(C934&amp;D934="",N(E934)=0),"",IF(OR(O934="?",P934="?"),"⚠ akun tidak dikenal",IF(C934=D934,"⚠ debet = kredit","")))</f>
        <v/>
      </c>
    </row>
    <row r="935" customFormat="false" ht="15" hidden="false" customHeight="false" outlineLevel="0" collapsed="false">
      <c r="A935" s="82" t="s">
        <v>1991</v>
      </c>
      <c r="B935" s="101" t="n">
        <v>46223</v>
      </c>
      <c r="C935" s="82" t="s">
        <v>470</v>
      </c>
      <c r="D935" s="82" t="s">
        <v>486</v>
      </c>
      <c r="E935" s="91" t="n">
        <v>333000</v>
      </c>
      <c r="F935" s="82" t="s">
        <v>935</v>
      </c>
      <c r="G935" s="82"/>
      <c r="H935" s="82"/>
      <c r="I935" s="82" t="s">
        <v>250</v>
      </c>
      <c r="J935" s="102" t="n">
        <f aca="false">IF(B935="","",MONTH(B935))</f>
        <v>7</v>
      </c>
      <c r="K935" s="102" t="n">
        <f aca="false">IF(B935="","",YEAR(B935))</f>
        <v>2026</v>
      </c>
      <c r="L935" s="102" t="str">
        <f aca="false">IF(N(E935)=0,"",IF(COUNTIFS(AK_NAMA,C935,AK_KAT,"KAS")+COUNTIFS(AK_NAMA,D935,AK_KAT,"KAS")&lt;&gt;1,"",IF(COUNTIFS(AK_NAMA,C935,AK_KAT,"KAS")=1,D935,C935)))</f>
        <v>Biaya Bahan Baku</v>
      </c>
      <c r="M935" s="103" t="n">
        <f aca="false">IF(L935="",0,IF(L935=D935,E935,-E935))</f>
        <v>-333000</v>
      </c>
      <c r="N935" s="102" t="str">
        <f aca="false">IF(L935="","",IFERROR(INDEX(AK_BARIS,MATCH(L935,AK_NAMA,0)),"?"))</f>
        <v>OP3</v>
      </c>
      <c r="O935" s="102" t="str">
        <f aca="false">IF(C935="","",IFERROR(INDEX(AK_KEL,MATCH(C935,AK_NAMA,0)),"?"))</f>
        <v>BEBAN</v>
      </c>
      <c r="P935" s="102" t="str">
        <f aca="false">IF(D935="","",IFERROR(INDEX(AK_KEL,MATCH(D935,AK_NAMA,0)),"?"))</f>
        <v>ASET</v>
      </c>
      <c r="Q935" s="102" t="n">
        <f aca="false">N(Q934)+IF(AND(N(E935)&lt;&gt;0,K935=TAHUN,N(J935)&lt;=BLN,OR(C935=BB_AKUN,D935=BB_AKUN)),1,0)</f>
        <v>617</v>
      </c>
      <c r="R935" s="104" t="str">
        <f aca="false">IF(OR(C935&amp;D935="",N(E935)=0),"",IF(OR(O935="?",P935="?"),"⚠ akun tidak dikenal",IF(C935=D935,"⚠ debet = kredit","")))</f>
        <v/>
      </c>
    </row>
    <row r="936" customFormat="false" ht="15" hidden="false" customHeight="false" outlineLevel="0" collapsed="false">
      <c r="A936" s="82" t="s">
        <v>1992</v>
      </c>
      <c r="B936" s="101" t="n">
        <v>46223</v>
      </c>
      <c r="C936" s="82" t="s">
        <v>478</v>
      </c>
      <c r="D936" s="82" t="s">
        <v>486</v>
      </c>
      <c r="E936" s="91" t="n">
        <v>60000</v>
      </c>
      <c r="F936" s="82" t="s">
        <v>937</v>
      </c>
      <c r="G936" s="82"/>
      <c r="H936" s="82"/>
      <c r="I936" s="82" t="s">
        <v>250</v>
      </c>
      <c r="J936" s="102" t="n">
        <f aca="false">IF(B936="","",MONTH(B936))</f>
        <v>7</v>
      </c>
      <c r="K936" s="102" t="n">
        <f aca="false">IF(B936="","",YEAR(B936))</f>
        <v>2026</v>
      </c>
      <c r="L936" s="102" t="str">
        <f aca="false">IF(N(E936)=0,"",IF(COUNTIFS(AK_NAMA,C936,AK_KAT,"KAS")+COUNTIFS(AK_NAMA,D936,AK_KAT,"KAS")&lt;&gt;1,"",IF(COUNTIFS(AK_NAMA,C936,AK_KAT,"KAS")=1,D936,C936)))</f>
        <v>Biaya Penyajian</v>
      </c>
      <c r="M936" s="103" t="n">
        <f aca="false">IF(L936="",0,IF(L936=D936,E936,-E936))</f>
        <v>-60000</v>
      </c>
      <c r="N936" s="102" t="str">
        <f aca="false">IF(L936="","",IFERROR(INDEX(AK_BARIS,MATCH(L936,AK_NAMA,0)),"?"))</f>
        <v>OP3</v>
      </c>
      <c r="O936" s="102" t="str">
        <f aca="false">IF(C936="","",IFERROR(INDEX(AK_KEL,MATCH(C936,AK_NAMA,0)),"?"))</f>
        <v>BEBAN</v>
      </c>
      <c r="P936" s="102" t="str">
        <f aca="false">IF(D936="","",IFERROR(INDEX(AK_KEL,MATCH(D936,AK_NAMA,0)),"?"))</f>
        <v>ASET</v>
      </c>
      <c r="Q936" s="102" t="n">
        <f aca="false">N(Q935)+IF(AND(N(E936)&lt;&gt;0,K936=TAHUN,N(J936)&lt;=BLN,OR(C936=BB_AKUN,D936=BB_AKUN)),1,0)</f>
        <v>617</v>
      </c>
      <c r="R936" s="104" t="str">
        <f aca="false">IF(OR(C936&amp;D936="",N(E936)=0),"",IF(OR(O936="?",P936="?"),"⚠ akun tidak dikenal",IF(C936=D936,"⚠ debet = kredit","")))</f>
        <v/>
      </c>
    </row>
    <row r="937" customFormat="false" ht="15" hidden="false" customHeight="false" outlineLevel="0" collapsed="false">
      <c r="A937" s="82" t="s">
        <v>1993</v>
      </c>
      <c r="B937" s="101" t="n">
        <v>46223</v>
      </c>
      <c r="C937" s="82" t="s">
        <v>548</v>
      </c>
      <c r="D937" s="82" t="s">
        <v>486</v>
      </c>
      <c r="E937" s="91" t="n">
        <v>46500</v>
      </c>
      <c r="F937" s="82" t="s">
        <v>939</v>
      </c>
      <c r="G937" s="82"/>
      <c r="H937" s="82"/>
      <c r="I937" s="82" t="s">
        <v>250</v>
      </c>
      <c r="J937" s="102" t="n">
        <f aca="false">IF(B937="","",MONTH(B937))</f>
        <v>7</v>
      </c>
      <c r="K937" s="102" t="n">
        <f aca="false">IF(B937="","",YEAR(B937))</f>
        <v>2026</v>
      </c>
      <c r="L937" s="102" t="str">
        <f aca="false">IF(N(E937)=0,"",IF(COUNTIFS(AK_NAMA,C937,AK_KAT,"KAS")+COUNTIFS(AK_NAMA,D937,AK_KAT,"KAS")&lt;&gt;1,"",IF(COUNTIFS(AK_NAMA,C937,AK_KAT,"KAS")=1,D937,C937)))</f>
        <v>Beban Perlengkapan</v>
      </c>
      <c r="M937" s="103" t="n">
        <f aca="false">IF(L937="",0,IF(L937=D937,E937,-E937))</f>
        <v>-46500</v>
      </c>
      <c r="N937" s="102" t="str">
        <f aca="false">IF(L937="","",IFERROR(INDEX(AK_BARIS,MATCH(L937,AK_NAMA,0)),"?"))</f>
        <v>OP6</v>
      </c>
      <c r="O937" s="102" t="str">
        <f aca="false">IF(C937="","",IFERROR(INDEX(AK_KEL,MATCH(C937,AK_NAMA,0)),"?"))</f>
        <v>BEBAN</v>
      </c>
      <c r="P937" s="102" t="str">
        <f aca="false">IF(D937="","",IFERROR(INDEX(AK_KEL,MATCH(D937,AK_NAMA,0)),"?"))</f>
        <v>ASET</v>
      </c>
      <c r="Q937" s="102" t="n">
        <f aca="false">N(Q936)+IF(AND(N(E937)&lt;&gt;0,K937=TAHUN,N(J937)&lt;=BLN,OR(C937=BB_AKUN,D937=BB_AKUN)),1,0)</f>
        <v>617</v>
      </c>
      <c r="R937" s="104" t="str">
        <f aca="false">IF(OR(C937&amp;D937="",N(E937)=0),"",IF(OR(O937="?",P937="?"),"⚠ akun tidak dikenal",IF(C937=D937,"⚠ debet = kredit","")))</f>
        <v/>
      </c>
    </row>
    <row r="938" customFormat="false" ht="15" hidden="false" customHeight="false" outlineLevel="0" collapsed="false">
      <c r="A938" s="82" t="s">
        <v>1994</v>
      </c>
      <c r="B938" s="101" t="n">
        <v>46223</v>
      </c>
      <c r="C938" s="82" t="s">
        <v>485</v>
      </c>
      <c r="D938" s="82" t="s">
        <v>486</v>
      </c>
      <c r="E938" s="91" t="n">
        <v>16000</v>
      </c>
      <c r="F938" s="82" t="s">
        <v>553</v>
      </c>
      <c r="G938" s="82"/>
      <c r="H938" s="82"/>
      <c r="I938" s="82" t="s">
        <v>250</v>
      </c>
      <c r="J938" s="102" t="n">
        <f aca="false">IF(B938="","",MONTH(B938))</f>
        <v>7</v>
      </c>
      <c r="K938" s="102" t="n">
        <f aca="false">IF(B938="","",YEAR(B938))</f>
        <v>2026</v>
      </c>
      <c r="L938" s="102" t="str">
        <f aca="false">IF(N(E938)=0,"",IF(COUNTIFS(AK_NAMA,C938,AK_KAT,"KAS")+COUNTIFS(AK_NAMA,D938,AK_KAT,"KAS")&lt;&gt;1,"",IF(COUNTIFS(AK_NAMA,C938,AK_KAT,"KAS")=1,D938,C938)))</f>
        <v>Biaya Operasional Harian</v>
      </c>
      <c r="M938" s="103" t="n">
        <f aca="false">IF(L938="",0,IF(L938=D938,E938,-E938))</f>
        <v>-16000</v>
      </c>
      <c r="N938" s="102" t="str">
        <f aca="false">IF(L938="","",IFERROR(INDEX(AK_BARIS,MATCH(L938,AK_NAMA,0)),"?"))</f>
        <v>OP6</v>
      </c>
      <c r="O938" s="102" t="str">
        <f aca="false">IF(C938="","",IFERROR(INDEX(AK_KEL,MATCH(C938,AK_NAMA,0)),"?"))</f>
        <v>BEBAN</v>
      </c>
      <c r="P938" s="102" t="str">
        <f aca="false">IF(D938="","",IFERROR(INDEX(AK_KEL,MATCH(D938,AK_NAMA,0)),"?"))</f>
        <v>ASET</v>
      </c>
      <c r="Q938" s="102" t="n">
        <f aca="false">N(Q937)+IF(AND(N(E938)&lt;&gt;0,K938=TAHUN,N(J938)&lt;=BLN,OR(C938=BB_AKUN,D938=BB_AKUN)),1,0)</f>
        <v>617</v>
      </c>
      <c r="R938" s="104" t="str">
        <f aca="false">IF(OR(C938&amp;D938="",N(E938)=0),"",IF(OR(O938="?",P938="?"),"⚠ akun tidak dikenal",IF(C938=D938,"⚠ debet = kredit","")))</f>
        <v/>
      </c>
    </row>
    <row r="939" customFormat="false" ht="15" hidden="false" customHeight="false" outlineLevel="0" collapsed="false">
      <c r="A939" s="82" t="s">
        <v>1995</v>
      </c>
      <c r="B939" s="101" t="n">
        <v>46223</v>
      </c>
      <c r="C939" s="82" t="s">
        <v>485</v>
      </c>
      <c r="D939" s="82" t="s">
        <v>486</v>
      </c>
      <c r="E939" s="91" t="n">
        <v>2000</v>
      </c>
      <c r="F939" s="82" t="s">
        <v>555</v>
      </c>
      <c r="G939" s="82"/>
      <c r="H939" s="82"/>
      <c r="I939" s="82" t="s">
        <v>250</v>
      </c>
      <c r="J939" s="102" t="n">
        <f aca="false">IF(B939="","",MONTH(B939))</f>
        <v>7</v>
      </c>
      <c r="K939" s="102" t="n">
        <f aca="false">IF(B939="","",YEAR(B939))</f>
        <v>2026</v>
      </c>
      <c r="L939" s="102" t="str">
        <f aca="false">IF(N(E939)=0,"",IF(COUNTIFS(AK_NAMA,C939,AK_KAT,"KAS")+COUNTIFS(AK_NAMA,D939,AK_KAT,"KAS")&lt;&gt;1,"",IF(COUNTIFS(AK_NAMA,C939,AK_KAT,"KAS")=1,D939,C939)))</f>
        <v>Biaya Operasional Harian</v>
      </c>
      <c r="M939" s="103" t="n">
        <f aca="false">IF(L939="",0,IF(L939=D939,E939,-E939))</f>
        <v>-2000</v>
      </c>
      <c r="N939" s="102" t="str">
        <f aca="false">IF(L939="","",IFERROR(INDEX(AK_BARIS,MATCH(L939,AK_NAMA,0)),"?"))</f>
        <v>OP6</v>
      </c>
      <c r="O939" s="102" t="str">
        <f aca="false">IF(C939="","",IFERROR(INDEX(AK_KEL,MATCH(C939,AK_NAMA,0)),"?"))</f>
        <v>BEBAN</v>
      </c>
      <c r="P939" s="102" t="str">
        <f aca="false">IF(D939="","",IFERROR(INDEX(AK_KEL,MATCH(D939,AK_NAMA,0)),"?"))</f>
        <v>ASET</v>
      </c>
      <c r="Q939" s="102" t="n">
        <f aca="false">N(Q938)+IF(AND(N(E939)&lt;&gt;0,K939=TAHUN,N(J939)&lt;=BLN,OR(C939=BB_AKUN,D939=BB_AKUN)),1,0)</f>
        <v>617</v>
      </c>
      <c r="R939" s="104" t="str">
        <f aca="false">IF(OR(C939&amp;D939="",N(E939)=0),"",IF(OR(O939="?",P939="?"),"⚠ akun tidak dikenal",IF(C939=D939,"⚠ debet = kredit","")))</f>
        <v/>
      </c>
    </row>
    <row r="940" customFormat="false" ht="15" hidden="false" customHeight="false" outlineLevel="0" collapsed="false">
      <c r="A940" s="82" t="s">
        <v>1996</v>
      </c>
      <c r="B940" s="101" t="n">
        <v>46223</v>
      </c>
      <c r="C940" s="82" t="s">
        <v>485</v>
      </c>
      <c r="D940" s="82" t="s">
        <v>461</v>
      </c>
      <c r="E940" s="91" t="n">
        <v>220000</v>
      </c>
      <c r="F940" s="82" t="s">
        <v>1997</v>
      </c>
      <c r="G940" s="82"/>
      <c r="H940" s="82"/>
      <c r="I940" s="82" t="s">
        <v>250</v>
      </c>
      <c r="J940" s="102" t="n">
        <f aca="false">IF(B940="","",MONTH(B940))</f>
        <v>7</v>
      </c>
      <c r="K940" s="102" t="n">
        <f aca="false">IF(B940="","",YEAR(B940))</f>
        <v>2026</v>
      </c>
      <c r="L940" s="102" t="str">
        <f aca="false">IF(N(E940)=0,"",IF(COUNTIFS(AK_NAMA,C940,AK_KAT,"KAS")+COUNTIFS(AK_NAMA,D940,AK_KAT,"KAS")&lt;&gt;1,"",IF(COUNTIFS(AK_NAMA,C940,AK_KAT,"KAS")=1,D940,C940)))</f>
        <v>Biaya Operasional Harian</v>
      </c>
      <c r="M940" s="103" t="n">
        <f aca="false">IF(L940="",0,IF(L940=D940,E940,-E940))</f>
        <v>-220000</v>
      </c>
      <c r="N940" s="102" t="str">
        <f aca="false">IF(L940="","",IFERROR(INDEX(AK_BARIS,MATCH(L940,AK_NAMA,0)),"?"))</f>
        <v>OP6</v>
      </c>
      <c r="O940" s="102" t="str">
        <f aca="false">IF(C940="","",IFERROR(INDEX(AK_KEL,MATCH(C940,AK_NAMA,0)),"?"))</f>
        <v>BEBAN</v>
      </c>
      <c r="P940" s="102" t="str">
        <f aca="false">IF(D940="","",IFERROR(INDEX(AK_KEL,MATCH(D940,AK_NAMA,0)),"?"))</f>
        <v>ASET</v>
      </c>
      <c r="Q940" s="102" t="n">
        <f aca="false">N(Q939)+IF(AND(N(E940)&lt;&gt;0,K940=TAHUN,N(J940)&lt;=BLN,OR(C940=BB_AKUN,D940=BB_AKUN)),1,0)</f>
        <v>618</v>
      </c>
      <c r="R940" s="104" t="str">
        <f aca="false">IF(OR(C940&amp;D940="",N(E940)=0),"",IF(OR(O940="?",P940="?"),"⚠ akun tidak dikenal",IF(C940=D940,"⚠ debet = kredit","")))</f>
        <v/>
      </c>
    </row>
    <row r="941" customFormat="false" ht="15" hidden="false" customHeight="false" outlineLevel="0" collapsed="false">
      <c r="A941" s="82" t="s">
        <v>1998</v>
      </c>
      <c r="B941" s="101" t="n">
        <v>46223</v>
      </c>
      <c r="C941" s="82" t="s">
        <v>548</v>
      </c>
      <c r="D941" s="82" t="s">
        <v>461</v>
      </c>
      <c r="E941" s="91" t="n">
        <v>70875</v>
      </c>
      <c r="F941" s="82" t="s">
        <v>1999</v>
      </c>
      <c r="G941" s="82"/>
      <c r="H941" s="82"/>
      <c r="I941" s="82" t="s">
        <v>250</v>
      </c>
      <c r="J941" s="102" t="n">
        <f aca="false">IF(B941="","",MONTH(B941))</f>
        <v>7</v>
      </c>
      <c r="K941" s="102" t="n">
        <f aca="false">IF(B941="","",YEAR(B941))</f>
        <v>2026</v>
      </c>
      <c r="L941" s="102" t="str">
        <f aca="false">IF(N(E941)=0,"",IF(COUNTIFS(AK_NAMA,C941,AK_KAT,"KAS")+COUNTIFS(AK_NAMA,D941,AK_KAT,"KAS")&lt;&gt;1,"",IF(COUNTIFS(AK_NAMA,C941,AK_KAT,"KAS")=1,D941,C941)))</f>
        <v>Beban Perlengkapan</v>
      </c>
      <c r="M941" s="103" t="n">
        <f aca="false">IF(L941="",0,IF(L941=D941,E941,-E941))</f>
        <v>-70875</v>
      </c>
      <c r="N941" s="102" t="str">
        <f aca="false">IF(L941="","",IFERROR(INDEX(AK_BARIS,MATCH(L941,AK_NAMA,0)),"?"))</f>
        <v>OP6</v>
      </c>
      <c r="O941" s="102" t="str">
        <f aca="false">IF(C941="","",IFERROR(INDEX(AK_KEL,MATCH(C941,AK_NAMA,0)),"?"))</f>
        <v>BEBAN</v>
      </c>
      <c r="P941" s="102" t="str">
        <f aca="false">IF(D941="","",IFERROR(INDEX(AK_KEL,MATCH(D941,AK_NAMA,0)),"?"))</f>
        <v>ASET</v>
      </c>
      <c r="Q941" s="102" t="n">
        <f aca="false">N(Q940)+IF(AND(N(E941)&lt;&gt;0,K941=TAHUN,N(J941)&lt;=BLN,OR(C941=BB_AKUN,D941=BB_AKUN)),1,0)</f>
        <v>619</v>
      </c>
      <c r="R941" s="104" t="str">
        <f aca="false">IF(OR(C941&amp;D941="",N(E941)=0),"",IF(OR(O941="?",P941="?"),"⚠ akun tidak dikenal",IF(C941=D941,"⚠ debet = kredit","")))</f>
        <v/>
      </c>
    </row>
    <row r="942" customFormat="false" ht="15" hidden="false" customHeight="false" outlineLevel="0" collapsed="false">
      <c r="A942" s="82" t="s">
        <v>2000</v>
      </c>
      <c r="B942" s="101" t="n">
        <v>46223</v>
      </c>
      <c r="C942" s="82" t="s">
        <v>548</v>
      </c>
      <c r="D942" s="82" t="s">
        <v>461</v>
      </c>
      <c r="E942" s="91" t="n">
        <v>203480</v>
      </c>
      <c r="F942" s="82" t="s">
        <v>2001</v>
      </c>
      <c r="G942" s="82"/>
      <c r="H942" s="82"/>
      <c r="I942" s="82" t="s">
        <v>250</v>
      </c>
      <c r="J942" s="102" t="n">
        <f aca="false">IF(B942="","",MONTH(B942))</f>
        <v>7</v>
      </c>
      <c r="K942" s="102" t="n">
        <f aca="false">IF(B942="","",YEAR(B942))</f>
        <v>2026</v>
      </c>
      <c r="L942" s="102" t="str">
        <f aca="false">IF(N(E942)=0,"",IF(COUNTIFS(AK_NAMA,C942,AK_KAT,"KAS")+COUNTIFS(AK_NAMA,D942,AK_KAT,"KAS")&lt;&gt;1,"",IF(COUNTIFS(AK_NAMA,C942,AK_KAT,"KAS")=1,D942,C942)))</f>
        <v>Beban Perlengkapan</v>
      </c>
      <c r="M942" s="103" t="n">
        <f aca="false">IF(L942="",0,IF(L942=D942,E942,-E942))</f>
        <v>-203480</v>
      </c>
      <c r="N942" s="102" t="str">
        <f aca="false">IF(L942="","",IFERROR(INDEX(AK_BARIS,MATCH(L942,AK_NAMA,0)),"?"))</f>
        <v>OP6</v>
      </c>
      <c r="O942" s="102" t="str">
        <f aca="false">IF(C942="","",IFERROR(INDEX(AK_KEL,MATCH(C942,AK_NAMA,0)),"?"))</f>
        <v>BEBAN</v>
      </c>
      <c r="P942" s="102" t="str">
        <f aca="false">IF(D942="","",IFERROR(INDEX(AK_KEL,MATCH(D942,AK_NAMA,0)),"?"))</f>
        <v>ASET</v>
      </c>
      <c r="Q942" s="102" t="n">
        <f aca="false">N(Q941)+IF(AND(N(E942)&lt;&gt;0,K942=TAHUN,N(J942)&lt;=BLN,OR(C942=BB_AKUN,D942=BB_AKUN)),1,0)</f>
        <v>620</v>
      </c>
      <c r="R942" s="104" t="str">
        <f aca="false">IF(OR(C942&amp;D942="",N(E942)=0),"",IF(OR(O942="?",P942="?"),"⚠ akun tidak dikenal",IF(C942=D942,"⚠ debet = kredit","")))</f>
        <v/>
      </c>
    </row>
    <row r="943" customFormat="false" ht="15" hidden="false" customHeight="false" outlineLevel="0" collapsed="false">
      <c r="A943" s="82" t="s">
        <v>2002</v>
      </c>
      <c r="B943" s="101" t="n">
        <v>46223</v>
      </c>
      <c r="C943" s="82" t="s">
        <v>455</v>
      </c>
      <c r="D943" s="82" t="s">
        <v>461</v>
      </c>
      <c r="E943" s="91" t="n">
        <v>394000</v>
      </c>
      <c r="F943" s="82" t="s">
        <v>2003</v>
      </c>
      <c r="G943" s="82"/>
      <c r="H943" s="82"/>
      <c r="I943" s="82" t="s">
        <v>250</v>
      </c>
      <c r="J943" s="102" t="n">
        <f aca="false">IF(B943="","",MONTH(B943))</f>
        <v>7</v>
      </c>
      <c r="K943" s="102" t="n">
        <f aca="false">IF(B943="","",YEAR(B943))</f>
        <v>2026</v>
      </c>
      <c r="L943" s="102" t="str">
        <f aca="false">IF(N(E943)=0,"",IF(COUNTIFS(AK_NAMA,C943,AK_KAT,"KAS")+COUNTIFS(AK_NAMA,D943,AK_KAT,"KAS")&lt;&gt;1,"",IF(COUNTIFS(AK_NAMA,C943,AK_KAT,"KAS")=1,D943,C943)))</f>
        <v>Biaya Pemeliharaan</v>
      </c>
      <c r="M943" s="103" t="n">
        <f aca="false">IF(L943="",0,IF(L943=D943,E943,-E943))</f>
        <v>-394000</v>
      </c>
      <c r="N943" s="102" t="str">
        <f aca="false">IF(L943="","",IFERROR(INDEX(AK_BARIS,MATCH(L943,AK_NAMA,0)),"?"))</f>
        <v>OP6</v>
      </c>
      <c r="O943" s="102" t="str">
        <f aca="false">IF(C943="","",IFERROR(INDEX(AK_KEL,MATCH(C943,AK_NAMA,0)),"?"))</f>
        <v>BEBAN</v>
      </c>
      <c r="P943" s="102" t="str">
        <f aca="false">IF(D943="","",IFERROR(INDEX(AK_KEL,MATCH(D943,AK_NAMA,0)),"?"))</f>
        <v>ASET</v>
      </c>
      <c r="Q943" s="102" t="n">
        <f aca="false">N(Q942)+IF(AND(N(E943)&lt;&gt;0,K943=TAHUN,N(J943)&lt;=BLN,OR(C943=BB_AKUN,D943=BB_AKUN)),1,0)</f>
        <v>621</v>
      </c>
      <c r="R943" s="104" t="str">
        <f aca="false">IF(OR(C943&amp;D943="",N(E943)=0),"",IF(OR(O943="?",P943="?"),"⚠ akun tidak dikenal",IF(C943=D943,"⚠ debet = kredit","")))</f>
        <v/>
      </c>
    </row>
    <row r="944" customFormat="false" ht="15" hidden="false" customHeight="false" outlineLevel="0" collapsed="false">
      <c r="A944" s="82" t="s">
        <v>2004</v>
      </c>
      <c r="B944" s="101" t="n">
        <v>46223</v>
      </c>
      <c r="C944" s="82" t="s">
        <v>461</v>
      </c>
      <c r="D944" s="82" t="s">
        <v>475</v>
      </c>
      <c r="E944" s="91" t="n">
        <v>6000000</v>
      </c>
      <c r="F944" s="82" t="s">
        <v>1298</v>
      </c>
      <c r="G944" s="82"/>
      <c r="H944" s="82"/>
      <c r="I944" s="82" t="s">
        <v>250</v>
      </c>
      <c r="J944" s="102" t="n">
        <f aca="false">IF(B944="","",MONTH(B944))</f>
        <v>7</v>
      </c>
      <c r="K944" s="102" t="n">
        <f aca="false">IF(B944="","",YEAR(B944))</f>
        <v>2026</v>
      </c>
      <c r="L944" s="102" t="str">
        <f aca="false">IF(N(E944)=0,"",IF(COUNTIFS(AK_NAMA,C944,AK_KAT,"KAS")+COUNTIFS(AK_NAMA,D944,AK_KAT,"KAS")&lt;&gt;1,"",IF(COUNTIFS(AK_NAMA,C944,AK_KAT,"KAS")=1,D944,C944)))</f>
        <v/>
      </c>
      <c r="M944" s="103" t="n">
        <f aca="false">IF(L944="",0,IF(L944=D944,E944,-E944))</f>
        <v>0</v>
      </c>
      <c r="N944" s="102" t="str">
        <f aca="false">IF(L944="","",IFERROR(INDEX(AK_BARIS,MATCH(L944,AK_NAMA,0)),"?"))</f>
        <v/>
      </c>
      <c r="O944" s="102" t="str">
        <f aca="false">IF(C944="","",IFERROR(INDEX(AK_KEL,MATCH(C944,AK_NAMA,0)),"?"))</f>
        <v>ASET</v>
      </c>
      <c r="P944" s="102" t="str">
        <f aca="false">IF(D944="","",IFERROR(INDEX(AK_KEL,MATCH(D944,AK_NAMA,0)),"?"))</f>
        <v>ASET</v>
      </c>
      <c r="Q944" s="102" t="n">
        <f aca="false">N(Q943)+IF(AND(N(E944)&lt;&gt;0,K944=TAHUN,N(J944)&lt;=BLN,OR(C944=BB_AKUN,D944=BB_AKUN)),1,0)</f>
        <v>622</v>
      </c>
      <c r="R944" s="104" t="str">
        <f aca="false">IF(OR(C944&amp;D944="",N(E944)=0),"",IF(OR(O944="?",P944="?"),"⚠ akun tidak dikenal",IF(C944=D944,"⚠ debet = kredit","")))</f>
        <v/>
      </c>
    </row>
    <row r="945" customFormat="false" ht="15" hidden="false" customHeight="false" outlineLevel="0" collapsed="false">
      <c r="A945" s="82" t="s">
        <v>2005</v>
      </c>
      <c r="B945" s="101" t="n">
        <v>46223</v>
      </c>
      <c r="C945" s="82" t="s">
        <v>475</v>
      </c>
      <c r="D945" s="82" t="s">
        <v>557</v>
      </c>
      <c r="E945" s="91" t="n">
        <v>1500</v>
      </c>
      <c r="F945" s="82" t="s">
        <v>1172</v>
      </c>
      <c r="G945" s="82"/>
      <c r="H945" s="82"/>
      <c r="I945" s="82" t="s">
        <v>250</v>
      </c>
      <c r="J945" s="102" t="n">
        <f aca="false">IF(B945="","",MONTH(B945))</f>
        <v>7</v>
      </c>
      <c r="K945" s="102" t="n">
        <f aca="false">IF(B945="","",YEAR(B945))</f>
        <v>2026</v>
      </c>
      <c r="L945" s="102" t="str">
        <f aca="false">IF(N(E945)=0,"",IF(COUNTIFS(AK_NAMA,C945,AK_KAT,"KAS")+COUNTIFS(AK_NAMA,D945,AK_KAT,"KAS")&lt;&gt;1,"",IF(COUNTIFS(AK_NAMA,C945,AK_KAT,"KAS")=1,D945,C945)))</f>
        <v>Pendapatan Lainnya</v>
      </c>
      <c r="M945" s="103" t="n">
        <f aca="false">IF(L945="",0,IF(L945=D945,E945,-E945))</f>
        <v>1500</v>
      </c>
      <c r="N945" s="102" t="str">
        <f aca="false">IF(L945="","",IFERROR(INDEX(AK_BARIS,MATCH(L945,AK_NAMA,0)),"?"))</f>
        <v>OP2</v>
      </c>
      <c r="O945" s="102" t="str">
        <f aca="false">IF(C945="","",IFERROR(INDEX(AK_KEL,MATCH(C945,AK_NAMA,0)),"?"))</f>
        <v>ASET</v>
      </c>
      <c r="P945" s="102" t="str">
        <f aca="false">IF(D945="","",IFERROR(INDEX(AK_KEL,MATCH(D945,AK_NAMA,0)),"?"))</f>
        <v>PENDAPATAN</v>
      </c>
      <c r="Q945" s="102" t="n">
        <f aca="false">N(Q944)+IF(AND(N(E945)&lt;&gt;0,K945=TAHUN,N(J945)&lt;=BLN,OR(C945=BB_AKUN,D945=BB_AKUN)),1,0)</f>
        <v>622</v>
      </c>
      <c r="R945" s="104" t="str">
        <f aca="false">IF(OR(C945&amp;D945="",N(E945)=0),"",IF(OR(O945="?",P945="?"),"⚠ akun tidak dikenal",IF(C945=D945,"⚠ debet = kredit","")))</f>
        <v/>
      </c>
    </row>
    <row r="946" customFormat="false" ht="15" hidden="false" customHeight="false" outlineLevel="0" collapsed="false">
      <c r="A946" s="82" t="s">
        <v>2006</v>
      </c>
      <c r="B946" s="101" t="n">
        <v>46224</v>
      </c>
      <c r="C946" s="82" t="s">
        <v>669</v>
      </c>
      <c r="D946" s="82" t="s">
        <v>461</v>
      </c>
      <c r="E946" s="91" t="n">
        <v>287490</v>
      </c>
      <c r="F946" s="82" t="s">
        <v>670</v>
      </c>
      <c r="G946" s="82"/>
      <c r="H946" s="82"/>
      <c r="I946" s="82" t="s">
        <v>250</v>
      </c>
      <c r="J946" s="102" t="n">
        <f aca="false">IF(B946="","",MONTH(B946))</f>
        <v>7</v>
      </c>
      <c r="K946" s="102" t="n">
        <f aca="false">IF(B946="","",YEAR(B946))</f>
        <v>2026</v>
      </c>
      <c r="L946" s="102" t="str">
        <f aca="false">IF(N(E946)=0,"",IF(COUNTIFS(AK_NAMA,C946,AK_KAT,"KAS")+COUNTIFS(AK_NAMA,D946,AK_KAT,"KAS")&lt;&gt;1,"",IF(COUNTIFS(AK_NAMA,C946,AK_KAT,"KAS")=1,D946,C946)))</f>
        <v>Biaya Tagihan Bulanan</v>
      </c>
      <c r="M946" s="103" t="n">
        <f aca="false">IF(L946="",0,IF(L946=D946,E946,-E946))</f>
        <v>-287490</v>
      </c>
      <c r="N946" s="102" t="str">
        <f aca="false">IF(L946="","",IFERROR(INDEX(AK_BARIS,MATCH(L946,AK_NAMA,0)),"?"))</f>
        <v>OP6</v>
      </c>
      <c r="O946" s="102" t="str">
        <f aca="false">IF(C946="","",IFERROR(INDEX(AK_KEL,MATCH(C946,AK_NAMA,0)),"?"))</f>
        <v>BEBAN</v>
      </c>
      <c r="P946" s="102" t="str">
        <f aca="false">IF(D946="","",IFERROR(INDEX(AK_KEL,MATCH(D946,AK_NAMA,0)),"?"))</f>
        <v>ASET</v>
      </c>
      <c r="Q946" s="102" t="n">
        <f aca="false">N(Q945)+IF(AND(N(E946)&lt;&gt;0,K946=TAHUN,N(J946)&lt;=BLN,OR(C946=BB_AKUN,D946=BB_AKUN)),1,0)</f>
        <v>623</v>
      </c>
      <c r="R946" s="104" t="str">
        <f aca="false">IF(OR(C946&amp;D946="",N(E946)=0),"",IF(OR(O946="?",P946="?"),"⚠ akun tidak dikenal",IF(C946=D946,"⚠ debet = kredit","")))</f>
        <v/>
      </c>
    </row>
    <row r="947" customFormat="false" ht="15" hidden="false" customHeight="false" outlineLevel="0" collapsed="false">
      <c r="A947" s="82" t="s">
        <v>2007</v>
      </c>
      <c r="B947" s="101" t="n">
        <v>46224</v>
      </c>
      <c r="C947" s="82" t="s">
        <v>486</v>
      </c>
      <c r="D947" s="82" t="s">
        <v>475</v>
      </c>
      <c r="E947" s="91" t="n">
        <v>3500000</v>
      </c>
      <c r="F947" s="82" t="s">
        <v>1575</v>
      </c>
      <c r="G947" s="82"/>
      <c r="H947" s="82"/>
      <c r="I947" s="82" t="s">
        <v>250</v>
      </c>
      <c r="J947" s="102" t="n">
        <f aca="false">IF(B947="","",MONTH(B947))</f>
        <v>7</v>
      </c>
      <c r="K947" s="102" t="n">
        <f aca="false">IF(B947="","",YEAR(B947))</f>
        <v>2026</v>
      </c>
      <c r="L947" s="102" t="str">
        <f aca="false">IF(N(E947)=0,"",IF(COUNTIFS(AK_NAMA,C947,AK_KAT,"KAS")+COUNTIFS(AK_NAMA,D947,AK_KAT,"KAS")&lt;&gt;1,"",IF(COUNTIFS(AK_NAMA,C947,AK_KAT,"KAS")=1,D947,C947)))</f>
        <v/>
      </c>
      <c r="M947" s="103" t="n">
        <f aca="false">IF(L947="",0,IF(L947=D947,E947,-E947))</f>
        <v>0</v>
      </c>
      <c r="N947" s="102" t="str">
        <f aca="false">IF(L947="","",IFERROR(INDEX(AK_BARIS,MATCH(L947,AK_NAMA,0)),"?"))</f>
        <v/>
      </c>
      <c r="O947" s="102" t="str">
        <f aca="false">IF(C947="","",IFERROR(INDEX(AK_KEL,MATCH(C947,AK_NAMA,0)),"?"))</f>
        <v>ASET</v>
      </c>
      <c r="P947" s="102" t="str">
        <f aca="false">IF(D947="","",IFERROR(INDEX(AK_KEL,MATCH(D947,AK_NAMA,0)),"?"))</f>
        <v>ASET</v>
      </c>
      <c r="Q947" s="102" t="n">
        <f aca="false">N(Q946)+IF(AND(N(E947)&lt;&gt;0,K947=TAHUN,N(J947)&lt;=BLN,OR(C947=BB_AKUN,D947=BB_AKUN)),1,0)</f>
        <v>623</v>
      </c>
      <c r="R947" s="104" t="str">
        <f aca="false">IF(OR(C947&amp;D947="",N(E947)=0),"",IF(OR(O947="?",P947="?"),"⚠ akun tidak dikenal",IF(C947=D947,"⚠ debet = kredit","")))</f>
        <v/>
      </c>
    </row>
    <row r="948" customFormat="false" ht="15" hidden="false" customHeight="false" outlineLevel="0" collapsed="false">
      <c r="A948" s="82" t="s">
        <v>2008</v>
      </c>
      <c r="B948" s="101" t="n">
        <v>46224</v>
      </c>
      <c r="C948" s="82" t="s">
        <v>524</v>
      </c>
      <c r="D948" s="82" t="s">
        <v>461</v>
      </c>
      <c r="E948" s="91" t="n">
        <v>784</v>
      </c>
      <c r="F948" s="82" t="s">
        <v>525</v>
      </c>
      <c r="G948" s="82"/>
      <c r="H948" s="82"/>
      <c r="I948" s="82" t="s">
        <v>250</v>
      </c>
      <c r="J948" s="102" t="n">
        <f aca="false">IF(B948="","",MONTH(B948))</f>
        <v>7</v>
      </c>
      <c r="K948" s="102" t="n">
        <f aca="false">IF(B948="","",YEAR(B948))</f>
        <v>2026</v>
      </c>
      <c r="L948" s="102" t="str">
        <f aca="false">IF(N(E948)=0,"",IF(COUNTIFS(AK_NAMA,C948,AK_KAT,"KAS")+COUNTIFS(AK_NAMA,D948,AK_KAT,"KAS")&lt;&gt;1,"",IF(COUNTIFS(AK_NAMA,C948,AK_KAT,"KAS")=1,D948,C948)))</f>
        <v>Biaya Lainnya</v>
      </c>
      <c r="M948" s="103" t="n">
        <f aca="false">IF(L948="",0,IF(L948=D948,E948,-E948))</f>
        <v>-784</v>
      </c>
      <c r="N948" s="102" t="str">
        <f aca="false">IF(L948="","",IFERROR(INDEX(AK_BARIS,MATCH(L948,AK_NAMA,0)),"?"))</f>
        <v>OP2</v>
      </c>
      <c r="O948" s="102" t="str">
        <f aca="false">IF(C948="","",IFERROR(INDEX(AK_KEL,MATCH(C948,AK_NAMA,0)),"?"))</f>
        <v>BEBAN</v>
      </c>
      <c r="P948" s="102" t="str">
        <f aca="false">IF(D948="","",IFERROR(INDEX(AK_KEL,MATCH(D948,AK_NAMA,0)),"?"))</f>
        <v>ASET</v>
      </c>
      <c r="Q948" s="102" t="n">
        <f aca="false">N(Q947)+IF(AND(N(E948)&lt;&gt;0,K948=TAHUN,N(J948)&lt;=BLN,OR(C948=BB_AKUN,D948=BB_AKUN)),1,0)</f>
        <v>624</v>
      </c>
      <c r="R948" s="104" t="str">
        <f aca="false">IF(OR(C948&amp;D948="",N(E948)=0),"",IF(OR(O948="?",P948="?"),"⚠ akun tidak dikenal",IF(C948=D948,"⚠ debet = kredit","")))</f>
        <v/>
      </c>
    </row>
    <row r="949" customFormat="false" ht="15" hidden="false" customHeight="false" outlineLevel="0" collapsed="false">
      <c r="A949" s="82" t="s">
        <v>2009</v>
      </c>
      <c r="B949" s="101" t="n">
        <v>46224</v>
      </c>
      <c r="C949" s="82" t="s">
        <v>470</v>
      </c>
      <c r="D949" s="82" t="s">
        <v>461</v>
      </c>
      <c r="E949" s="91" t="n">
        <v>2412000</v>
      </c>
      <c r="F949" s="82" t="s">
        <v>2010</v>
      </c>
      <c r="G949" s="82"/>
      <c r="H949" s="82"/>
      <c r="I949" s="82" t="s">
        <v>250</v>
      </c>
      <c r="J949" s="102" t="n">
        <f aca="false">IF(B949="","",MONTH(B949))</f>
        <v>7</v>
      </c>
      <c r="K949" s="102" t="n">
        <f aca="false">IF(B949="","",YEAR(B949))</f>
        <v>2026</v>
      </c>
      <c r="L949" s="102" t="str">
        <f aca="false">IF(N(E949)=0,"",IF(COUNTIFS(AK_NAMA,C949,AK_KAT,"KAS")+COUNTIFS(AK_NAMA,D949,AK_KAT,"KAS")&lt;&gt;1,"",IF(COUNTIFS(AK_NAMA,C949,AK_KAT,"KAS")=1,D949,C949)))</f>
        <v>Biaya Bahan Baku</v>
      </c>
      <c r="M949" s="103" t="n">
        <f aca="false">IF(L949="",0,IF(L949=D949,E949,-E949))</f>
        <v>-2412000</v>
      </c>
      <c r="N949" s="102" t="str">
        <f aca="false">IF(L949="","",IFERROR(INDEX(AK_BARIS,MATCH(L949,AK_NAMA,0)),"?"))</f>
        <v>OP3</v>
      </c>
      <c r="O949" s="102" t="str">
        <f aca="false">IF(C949="","",IFERROR(INDEX(AK_KEL,MATCH(C949,AK_NAMA,0)),"?"))</f>
        <v>BEBAN</v>
      </c>
      <c r="P949" s="102" t="str">
        <f aca="false">IF(D949="","",IFERROR(INDEX(AK_KEL,MATCH(D949,AK_NAMA,0)),"?"))</f>
        <v>ASET</v>
      </c>
      <c r="Q949" s="102" t="n">
        <f aca="false">N(Q948)+IF(AND(N(E949)&lt;&gt;0,K949=TAHUN,N(J949)&lt;=BLN,OR(C949=BB_AKUN,D949=BB_AKUN)),1,0)</f>
        <v>625</v>
      </c>
      <c r="R949" s="104" t="str">
        <f aca="false">IF(OR(C949&amp;D949="",N(E949)=0),"",IF(OR(O949="?",P949="?"),"⚠ akun tidak dikenal",IF(C949=D949,"⚠ debet = kredit","")))</f>
        <v/>
      </c>
    </row>
    <row r="950" customFormat="false" ht="15" hidden="false" customHeight="false" outlineLevel="0" collapsed="false">
      <c r="A950" s="82" t="s">
        <v>2011</v>
      </c>
      <c r="B950" s="101" t="n">
        <v>46224</v>
      </c>
      <c r="C950" s="82" t="s">
        <v>470</v>
      </c>
      <c r="D950" s="82" t="s">
        <v>461</v>
      </c>
      <c r="E950" s="91" t="n">
        <v>30000</v>
      </c>
      <c r="F950" s="82" t="s">
        <v>1545</v>
      </c>
      <c r="G950" s="82"/>
      <c r="H950" s="82"/>
      <c r="I950" s="82" t="s">
        <v>250</v>
      </c>
      <c r="J950" s="102" t="n">
        <f aca="false">IF(B950="","",MONTH(B950))</f>
        <v>7</v>
      </c>
      <c r="K950" s="102" t="n">
        <f aca="false">IF(B950="","",YEAR(B950))</f>
        <v>2026</v>
      </c>
      <c r="L950" s="102" t="str">
        <f aca="false">IF(N(E950)=0,"",IF(COUNTIFS(AK_NAMA,C950,AK_KAT,"KAS")+COUNTIFS(AK_NAMA,D950,AK_KAT,"KAS")&lt;&gt;1,"",IF(COUNTIFS(AK_NAMA,C950,AK_KAT,"KAS")=1,D950,C950)))</f>
        <v>Biaya Bahan Baku</v>
      </c>
      <c r="M950" s="103" t="n">
        <f aca="false">IF(L950="",0,IF(L950=D950,E950,-E950))</f>
        <v>-30000</v>
      </c>
      <c r="N950" s="102" t="str">
        <f aca="false">IF(L950="","",IFERROR(INDEX(AK_BARIS,MATCH(L950,AK_NAMA,0)),"?"))</f>
        <v>OP3</v>
      </c>
      <c r="O950" s="102" t="str">
        <f aca="false">IF(C950="","",IFERROR(INDEX(AK_KEL,MATCH(C950,AK_NAMA,0)),"?"))</f>
        <v>BEBAN</v>
      </c>
      <c r="P950" s="102" t="str">
        <f aca="false">IF(D950="","",IFERROR(INDEX(AK_KEL,MATCH(D950,AK_NAMA,0)),"?"))</f>
        <v>ASET</v>
      </c>
      <c r="Q950" s="102" t="n">
        <f aca="false">N(Q949)+IF(AND(N(E950)&lt;&gt;0,K950=TAHUN,N(J950)&lt;=BLN,OR(C950=BB_AKUN,D950=BB_AKUN)),1,0)</f>
        <v>626</v>
      </c>
      <c r="R950" s="104" t="str">
        <f aca="false">IF(OR(C950&amp;D950="",N(E950)=0),"",IF(OR(O950="?",P950="?"),"⚠ akun tidak dikenal",IF(C950=D950,"⚠ debet = kredit","")))</f>
        <v/>
      </c>
    </row>
    <row r="951" customFormat="false" ht="15" hidden="false" customHeight="false" outlineLevel="0" collapsed="false">
      <c r="A951" s="82" t="s">
        <v>2012</v>
      </c>
      <c r="B951" s="101" t="n">
        <v>46224</v>
      </c>
      <c r="C951" s="82" t="s">
        <v>461</v>
      </c>
      <c r="D951" s="82" t="s">
        <v>475</v>
      </c>
      <c r="E951" s="91" t="n">
        <v>976000</v>
      </c>
      <c r="F951" s="82" t="s">
        <v>1233</v>
      </c>
      <c r="G951" s="82"/>
      <c r="H951" s="82"/>
      <c r="I951" s="82" t="s">
        <v>250</v>
      </c>
      <c r="J951" s="102" t="n">
        <f aca="false">IF(B951="","",MONTH(B951))</f>
        <v>7</v>
      </c>
      <c r="K951" s="102" t="n">
        <f aca="false">IF(B951="","",YEAR(B951))</f>
        <v>2026</v>
      </c>
      <c r="L951" s="102" t="str">
        <f aca="false">IF(N(E951)=0,"",IF(COUNTIFS(AK_NAMA,C951,AK_KAT,"KAS")+COUNTIFS(AK_NAMA,D951,AK_KAT,"KAS")&lt;&gt;1,"",IF(COUNTIFS(AK_NAMA,C951,AK_KAT,"KAS")=1,D951,C951)))</f>
        <v/>
      </c>
      <c r="M951" s="103" t="n">
        <f aca="false">IF(L951="",0,IF(L951=D951,E951,-E951))</f>
        <v>0</v>
      </c>
      <c r="N951" s="102" t="str">
        <f aca="false">IF(L951="","",IFERROR(INDEX(AK_BARIS,MATCH(L951,AK_NAMA,0)),"?"))</f>
        <v/>
      </c>
      <c r="O951" s="102" t="str">
        <f aca="false">IF(C951="","",IFERROR(INDEX(AK_KEL,MATCH(C951,AK_NAMA,0)),"?"))</f>
        <v>ASET</v>
      </c>
      <c r="P951" s="102" t="str">
        <f aca="false">IF(D951="","",IFERROR(INDEX(AK_KEL,MATCH(D951,AK_NAMA,0)),"?"))</f>
        <v>ASET</v>
      </c>
      <c r="Q951" s="102" t="n">
        <f aca="false">N(Q950)+IF(AND(N(E951)&lt;&gt;0,K951=TAHUN,N(J951)&lt;=BLN,OR(C951=BB_AKUN,D951=BB_AKUN)),1,0)</f>
        <v>627</v>
      </c>
      <c r="R951" s="104" t="str">
        <f aca="false">IF(OR(C951&amp;D951="",N(E951)=0),"",IF(OR(O951="?",P951="?"),"⚠ akun tidak dikenal",IF(C951=D951,"⚠ debet = kredit","")))</f>
        <v/>
      </c>
    </row>
    <row r="952" customFormat="false" ht="15" hidden="false" customHeight="false" outlineLevel="0" collapsed="false">
      <c r="A952" s="82" t="s">
        <v>2013</v>
      </c>
      <c r="B952" s="101" t="n">
        <v>46224</v>
      </c>
      <c r="C952" s="82" t="s">
        <v>475</v>
      </c>
      <c r="D952" s="82" t="s">
        <v>461</v>
      </c>
      <c r="E952" s="91" t="n">
        <v>100000</v>
      </c>
      <c r="F952" s="82" t="s">
        <v>574</v>
      </c>
      <c r="G952" s="82"/>
      <c r="H952" s="82"/>
      <c r="I952" s="82" t="s">
        <v>250</v>
      </c>
      <c r="J952" s="102" t="n">
        <f aca="false">IF(B952="","",MONTH(B952))</f>
        <v>7</v>
      </c>
      <c r="K952" s="102" t="n">
        <f aca="false">IF(B952="","",YEAR(B952))</f>
        <v>2026</v>
      </c>
      <c r="L952" s="102" t="str">
        <f aca="false">IF(N(E952)=0,"",IF(COUNTIFS(AK_NAMA,C952,AK_KAT,"KAS")+COUNTIFS(AK_NAMA,D952,AK_KAT,"KAS")&lt;&gt;1,"",IF(COUNTIFS(AK_NAMA,C952,AK_KAT,"KAS")=1,D952,C952)))</f>
        <v/>
      </c>
      <c r="M952" s="103" t="n">
        <f aca="false">IF(L952="",0,IF(L952=D952,E952,-E952))</f>
        <v>0</v>
      </c>
      <c r="N952" s="102" t="str">
        <f aca="false">IF(L952="","",IFERROR(INDEX(AK_BARIS,MATCH(L952,AK_NAMA,0)),"?"))</f>
        <v/>
      </c>
      <c r="O952" s="102" t="str">
        <f aca="false">IF(C952="","",IFERROR(INDEX(AK_KEL,MATCH(C952,AK_NAMA,0)),"?"))</f>
        <v>ASET</v>
      </c>
      <c r="P952" s="102" t="str">
        <f aca="false">IF(D952="","",IFERROR(INDEX(AK_KEL,MATCH(D952,AK_NAMA,0)),"?"))</f>
        <v>ASET</v>
      </c>
      <c r="Q952" s="102" t="n">
        <f aca="false">N(Q951)+IF(AND(N(E952)&lt;&gt;0,K952=TAHUN,N(J952)&lt;=BLN,OR(C952=BB_AKUN,D952=BB_AKUN)),1,0)</f>
        <v>628</v>
      </c>
      <c r="R952" s="104" t="str">
        <f aca="false">IF(OR(C952&amp;D952="",N(E952)=0),"",IF(OR(O952="?",P952="?"),"⚠ akun tidak dikenal",IF(C952=D952,"⚠ debet = kredit","")))</f>
        <v/>
      </c>
    </row>
    <row r="953" customFormat="false" ht="15" hidden="false" customHeight="false" outlineLevel="0" collapsed="false">
      <c r="A953" s="82" t="s">
        <v>2014</v>
      </c>
      <c r="B953" s="101" t="n">
        <v>46224</v>
      </c>
      <c r="C953" s="82" t="s">
        <v>524</v>
      </c>
      <c r="D953" s="82" t="s">
        <v>461</v>
      </c>
      <c r="E953" s="91" t="n">
        <v>7500</v>
      </c>
      <c r="F953" s="82" t="s">
        <v>2015</v>
      </c>
      <c r="G953" s="82"/>
      <c r="H953" s="82"/>
      <c r="I953" s="82" t="s">
        <v>250</v>
      </c>
      <c r="J953" s="102" t="n">
        <f aca="false">IF(B953="","",MONTH(B953))</f>
        <v>7</v>
      </c>
      <c r="K953" s="102" t="n">
        <f aca="false">IF(B953="","",YEAR(B953))</f>
        <v>2026</v>
      </c>
      <c r="L953" s="102" t="str">
        <f aca="false">IF(N(E953)=0,"",IF(COUNTIFS(AK_NAMA,C953,AK_KAT,"KAS")+COUNTIFS(AK_NAMA,D953,AK_KAT,"KAS")&lt;&gt;1,"",IF(COUNTIFS(AK_NAMA,C953,AK_KAT,"KAS")=1,D953,C953)))</f>
        <v>Biaya Lainnya</v>
      </c>
      <c r="M953" s="103" t="n">
        <f aca="false">IF(L953="",0,IF(L953=D953,E953,-E953))</f>
        <v>-7500</v>
      </c>
      <c r="N953" s="102" t="str">
        <f aca="false">IF(L953="","",IFERROR(INDEX(AK_BARIS,MATCH(L953,AK_NAMA,0)),"?"))</f>
        <v>OP2</v>
      </c>
      <c r="O953" s="102" t="str">
        <f aca="false">IF(C953="","",IFERROR(INDEX(AK_KEL,MATCH(C953,AK_NAMA,0)),"?"))</f>
        <v>BEBAN</v>
      </c>
      <c r="P953" s="102" t="str">
        <f aca="false">IF(D953="","",IFERROR(INDEX(AK_KEL,MATCH(D953,AK_NAMA,0)),"?"))</f>
        <v>ASET</v>
      </c>
      <c r="Q953" s="102" t="n">
        <f aca="false">N(Q952)+IF(AND(N(E953)&lt;&gt;0,K953=TAHUN,N(J953)&lt;=BLN,OR(C953=BB_AKUN,D953=BB_AKUN)),1,0)</f>
        <v>629</v>
      </c>
      <c r="R953" s="104" t="str">
        <f aca="false">IF(OR(C953&amp;D953="",N(E953)=0),"",IF(OR(O953="?",P953="?"),"⚠ akun tidak dikenal",IF(C953=D953,"⚠ debet = kredit","")))</f>
        <v/>
      </c>
    </row>
    <row r="954" customFormat="false" ht="15" hidden="false" customHeight="false" outlineLevel="0" collapsed="false">
      <c r="A954" s="82" t="s">
        <v>2016</v>
      </c>
      <c r="B954" s="101" t="n">
        <v>46224</v>
      </c>
      <c r="C954" s="82" t="s">
        <v>475</v>
      </c>
      <c r="D954" s="82" t="s">
        <v>461</v>
      </c>
      <c r="E954" s="91" t="n">
        <v>4000000</v>
      </c>
      <c r="F954" s="82" t="s">
        <v>1339</v>
      </c>
      <c r="G954" s="82"/>
      <c r="H954" s="82"/>
      <c r="I954" s="82" t="s">
        <v>250</v>
      </c>
      <c r="J954" s="102" t="n">
        <f aca="false">IF(B954="","",MONTH(B954))</f>
        <v>7</v>
      </c>
      <c r="K954" s="102" t="n">
        <f aca="false">IF(B954="","",YEAR(B954))</f>
        <v>2026</v>
      </c>
      <c r="L954" s="102" t="str">
        <f aca="false">IF(N(E954)=0,"",IF(COUNTIFS(AK_NAMA,C954,AK_KAT,"KAS")+COUNTIFS(AK_NAMA,D954,AK_KAT,"KAS")&lt;&gt;1,"",IF(COUNTIFS(AK_NAMA,C954,AK_KAT,"KAS")=1,D954,C954)))</f>
        <v/>
      </c>
      <c r="M954" s="103" t="n">
        <f aca="false">IF(L954="",0,IF(L954=D954,E954,-E954))</f>
        <v>0</v>
      </c>
      <c r="N954" s="102" t="str">
        <f aca="false">IF(L954="","",IFERROR(INDEX(AK_BARIS,MATCH(L954,AK_NAMA,0)),"?"))</f>
        <v/>
      </c>
      <c r="O954" s="102" t="str">
        <f aca="false">IF(C954="","",IFERROR(INDEX(AK_KEL,MATCH(C954,AK_NAMA,0)),"?"))</f>
        <v>ASET</v>
      </c>
      <c r="P954" s="102" t="str">
        <f aca="false">IF(D954="","",IFERROR(INDEX(AK_KEL,MATCH(D954,AK_NAMA,0)),"?"))</f>
        <v>ASET</v>
      </c>
      <c r="Q954" s="102" t="n">
        <f aca="false">N(Q953)+IF(AND(N(E954)&lt;&gt;0,K954=TAHUN,N(J954)&lt;=BLN,OR(C954=BB_AKUN,D954=BB_AKUN)),1,0)</f>
        <v>630</v>
      </c>
      <c r="R954" s="104" t="str">
        <f aca="false">IF(OR(C954&amp;D954="",N(E954)=0),"",IF(OR(O954="?",P954="?"),"⚠ akun tidak dikenal",IF(C954=D954,"⚠ debet = kredit","")))</f>
        <v/>
      </c>
    </row>
    <row r="955" customFormat="false" ht="15" hidden="false" customHeight="false" outlineLevel="0" collapsed="false">
      <c r="A955" s="82" t="s">
        <v>2017</v>
      </c>
      <c r="B955" s="101" t="n">
        <v>46225</v>
      </c>
      <c r="C955" s="82" t="s">
        <v>470</v>
      </c>
      <c r="D955" s="82" t="s">
        <v>461</v>
      </c>
      <c r="E955" s="91" t="n">
        <v>1327000</v>
      </c>
      <c r="F955" s="82" t="s">
        <v>2018</v>
      </c>
      <c r="G955" s="82"/>
      <c r="H955" s="82"/>
      <c r="I955" s="82" t="s">
        <v>250</v>
      </c>
      <c r="J955" s="102" t="n">
        <f aca="false">IF(B955="","",MONTH(B955))</f>
        <v>7</v>
      </c>
      <c r="K955" s="102" t="n">
        <f aca="false">IF(B955="","",YEAR(B955))</f>
        <v>2026</v>
      </c>
      <c r="L955" s="102" t="str">
        <f aca="false">IF(N(E955)=0,"",IF(COUNTIFS(AK_NAMA,C955,AK_KAT,"KAS")+COUNTIFS(AK_NAMA,D955,AK_KAT,"KAS")&lt;&gt;1,"",IF(COUNTIFS(AK_NAMA,C955,AK_KAT,"KAS")=1,D955,C955)))</f>
        <v>Biaya Bahan Baku</v>
      </c>
      <c r="M955" s="103" t="n">
        <f aca="false">IF(L955="",0,IF(L955=D955,E955,-E955))</f>
        <v>-1327000</v>
      </c>
      <c r="N955" s="102" t="str">
        <f aca="false">IF(L955="","",IFERROR(INDEX(AK_BARIS,MATCH(L955,AK_NAMA,0)),"?"))</f>
        <v>OP3</v>
      </c>
      <c r="O955" s="102" t="str">
        <f aca="false">IF(C955="","",IFERROR(INDEX(AK_KEL,MATCH(C955,AK_NAMA,0)),"?"))</f>
        <v>BEBAN</v>
      </c>
      <c r="P955" s="102" t="str">
        <f aca="false">IF(D955="","",IFERROR(INDEX(AK_KEL,MATCH(D955,AK_NAMA,0)),"?"))</f>
        <v>ASET</v>
      </c>
      <c r="Q955" s="102" t="n">
        <f aca="false">N(Q954)+IF(AND(N(E955)&lt;&gt;0,K955=TAHUN,N(J955)&lt;=BLN,OR(C955=BB_AKUN,D955=BB_AKUN)),1,0)</f>
        <v>631</v>
      </c>
      <c r="R955" s="104" t="str">
        <f aca="false">IF(OR(C955&amp;D955="",N(E955)=0),"",IF(OR(O955="?",P955="?"),"⚠ akun tidak dikenal",IF(C955=D955,"⚠ debet = kredit","")))</f>
        <v/>
      </c>
    </row>
    <row r="956" customFormat="false" ht="15" hidden="false" customHeight="false" outlineLevel="0" collapsed="false">
      <c r="A956" s="82" t="s">
        <v>2019</v>
      </c>
      <c r="B956" s="101" t="n">
        <v>46225</v>
      </c>
      <c r="C956" s="82" t="s">
        <v>470</v>
      </c>
      <c r="D956" s="82" t="s">
        <v>461</v>
      </c>
      <c r="E956" s="91" t="n">
        <v>662162</v>
      </c>
      <c r="F956" s="82" t="s">
        <v>1840</v>
      </c>
      <c r="G956" s="82"/>
      <c r="H956" s="82"/>
      <c r="I956" s="82" t="s">
        <v>250</v>
      </c>
      <c r="J956" s="102" t="n">
        <f aca="false">IF(B956="","",MONTH(B956))</f>
        <v>7</v>
      </c>
      <c r="K956" s="102" t="n">
        <f aca="false">IF(B956="","",YEAR(B956))</f>
        <v>2026</v>
      </c>
      <c r="L956" s="102" t="str">
        <f aca="false">IF(N(E956)=0,"",IF(COUNTIFS(AK_NAMA,C956,AK_KAT,"KAS")+COUNTIFS(AK_NAMA,D956,AK_KAT,"KAS")&lt;&gt;1,"",IF(COUNTIFS(AK_NAMA,C956,AK_KAT,"KAS")=1,D956,C956)))</f>
        <v>Biaya Bahan Baku</v>
      </c>
      <c r="M956" s="103" t="n">
        <f aca="false">IF(L956="",0,IF(L956=D956,E956,-E956))</f>
        <v>-662162</v>
      </c>
      <c r="N956" s="102" t="str">
        <f aca="false">IF(L956="","",IFERROR(INDEX(AK_BARIS,MATCH(L956,AK_NAMA,0)),"?"))</f>
        <v>OP3</v>
      </c>
      <c r="O956" s="102" t="str">
        <f aca="false">IF(C956="","",IFERROR(INDEX(AK_KEL,MATCH(C956,AK_NAMA,0)),"?"))</f>
        <v>BEBAN</v>
      </c>
      <c r="P956" s="102" t="str">
        <f aca="false">IF(D956="","",IFERROR(INDEX(AK_KEL,MATCH(D956,AK_NAMA,0)),"?"))</f>
        <v>ASET</v>
      </c>
      <c r="Q956" s="102" t="n">
        <f aca="false">N(Q955)+IF(AND(N(E956)&lt;&gt;0,K956=TAHUN,N(J956)&lt;=BLN,OR(C956=BB_AKUN,D956=BB_AKUN)),1,0)</f>
        <v>632</v>
      </c>
      <c r="R956" s="104" t="str">
        <f aca="false">IF(OR(C956&amp;D956="",N(E956)=0),"",IF(OR(O956="?",P956="?"),"⚠ akun tidak dikenal",IF(C956=D956,"⚠ debet = kredit","")))</f>
        <v/>
      </c>
    </row>
    <row r="957" customFormat="false" ht="15" hidden="false" customHeight="false" outlineLevel="0" collapsed="false">
      <c r="A957" s="82" t="s">
        <v>2020</v>
      </c>
      <c r="B957" s="101" t="n">
        <v>46226</v>
      </c>
      <c r="C957" s="82" t="s">
        <v>455</v>
      </c>
      <c r="D957" s="82" t="s">
        <v>461</v>
      </c>
      <c r="E957" s="91" t="n">
        <v>550000</v>
      </c>
      <c r="F957" s="82" t="s">
        <v>2021</v>
      </c>
      <c r="G957" s="82"/>
      <c r="H957" s="82"/>
      <c r="I957" s="82" t="s">
        <v>250</v>
      </c>
      <c r="J957" s="102" t="n">
        <f aca="false">IF(B957="","",MONTH(B957))</f>
        <v>7</v>
      </c>
      <c r="K957" s="102" t="n">
        <f aca="false">IF(B957="","",YEAR(B957))</f>
        <v>2026</v>
      </c>
      <c r="L957" s="102" t="str">
        <f aca="false">IF(N(E957)=0,"",IF(COUNTIFS(AK_NAMA,C957,AK_KAT,"KAS")+COUNTIFS(AK_NAMA,D957,AK_KAT,"KAS")&lt;&gt;1,"",IF(COUNTIFS(AK_NAMA,C957,AK_KAT,"KAS")=1,D957,C957)))</f>
        <v>Biaya Pemeliharaan</v>
      </c>
      <c r="M957" s="103" t="n">
        <f aca="false">IF(L957="",0,IF(L957=D957,E957,-E957))</f>
        <v>-550000</v>
      </c>
      <c r="N957" s="102" t="str">
        <f aca="false">IF(L957="","",IFERROR(INDEX(AK_BARIS,MATCH(L957,AK_NAMA,0)),"?"))</f>
        <v>OP6</v>
      </c>
      <c r="O957" s="102" t="str">
        <f aca="false">IF(C957="","",IFERROR(INDEX(AK_KEL,MATCH(C957,AK_NAMA,0)),"?"))</f>
        <v>BEBAN</v>
      </c>
      <c r="P957" s="102" t="str">
        <f aca="false">IF(D957="","",IFERROR(INDEX(AK_KEL,MATCH(D957,AK_NAMA,0)),"?"))</f>
        <v>ASET</v>
      </c>
      <c r="Q957" s="102" t="n">
        <f aca="false">N(Q956)+IF(AND(N(E957)&lt;&gt;0,K957=TAHUN,N(J957)&lt;=BLN,OR(C957=BB_AKUN,D957=BB_AKUN)),1,0)</f>
        <v>633</v>
      </c>
      <c r="R957" s="104" t="str">
        <f aca="false">IF(OR(C957&amp;D957="",N(E957)=0),"",IF(OR(O957="?",P957="?"),"⚠ akun tidak dikenal",IF(C957=D957,"⚠ debet = kredit","")))</f>
        <v/>
      </c>
    </row>
    <row r="958" customFormat="false" ht="15" hidden="false" customHeight="false" outlineLevel="0" collapsed="false">
      <c r="A958" s="82" t="s">
        <v>2022</v>
      </c>
      <c r="B958" s="101" t="n">
        <v>46226</v>
      </c>
      <c r="C958" s="82" t="s">
        <v>524</v>
      </c>
      <c r="D958" s="82" t="s">
        <v>461</v>
      </c>
      <c r="E958" s="91" t="n">
        <v>325</v>
      </c>
      <c r="F958" s="82" t="s">
        <v>525</v>
      </c>
      <c r="G958" s="82"/>
      <c r="H958" s="82"/>
      <c r="I958" s="82" t="s">
        <v>250</v>
      </c>
      <c r="J958" s="102" t="n">
        <f aca="false">IF(B958="","",MONTH(B958))</f>
        <v>7</v>
      </c>
      <c r="K958" s="102" t="n">
        <f aca="false">IF(B958="","",YEAR(B958))</f>
        <v>2026</v>
      </c>
      <c r="L958" s="102" t="str">
        <f aca="false">IF(N(E958)=0,"",IF(COUNTIFS(AK_NAMA,C958,AK_KAT,"KAS")+COUNTIFS(AK_NAMA,D958,AK_KAT,"KAS")&lt;&gt;1,"",IF(COUNTIFS(AK_NAMA,C958,AK_KAT,"KAS")=1,D958,C958)))</f>
        <v>Biaya Lainnya</v>
      </c>
      <c r="M958" s="103" t="n">
        <f aca="false">IF(L958="",0,IF(L958=D958,E958,-E958))</f>
        <v>-325</v>
      </c>
      <c r="N958" s="102" t="str">
        <f aca="false">IF(L958="","",IFERROR(INDEX(AK_BARIS,MATCH(L958,AK_NAMA,0)),"?"))</f>
        <v>OP2</v>
      </c>
      <c r="O958" s="102" t="str">
        <f aca="false">IF(C958="","",IFERROR(INDEX(AK_KEL,MATCH(C958,AK_NAMA,0)),"?"))</f>
        <v>BEBAN</v>
      </c>
      <c r="P958" s="102" t="str">
        <f aca="false">IF(D958="","",IFERROR(INDEX(AK_KEL,MATCH(D958,AK_NAMA,0)),"?"))</f>
        <v>ASET</v>
      </c>
      <c r="Q958" s="102" t="n">
        <f aca="false">N(Q957)+IF(AND(N(E958)&lt;&gt;0,K958=TAHUN,N(J958)&lt;=BLN,OR(C958=BB_AKUN,D958=BB_AKUN)),1,0)</f>
        <v>634</v>
      </c>
      <c r="R958" s="104" t="str">
        <f aca="false">IF(OR(C958&amp;D958="",N(E958)=0),"",IF(OR(O958="?",P958="?"),"⚠ akun tidak dikenal",IF(C958=D958,"⚠ debet = kredit","")))</f>
        <v/>
      </c>
    </row>
    <row r="959" customFormat="false" ht="15" hidden="false" customHeight="false" outlineLevel="0" collapsed="false">
      <c r="A959" s="82" t="s">
        <v>2023</v>
      </c>
      <c r="B959" s="101" t="n">
        <v>46227</v>
      </c>
      <c r="C959" s="82" t="s">
        <v>470</v>
      </c>
      <c r="D959" s="82" t="s">
        <v>461</v>
      </c>
      <c r="E959" s="91" t="n">
        <v>400000</v>
      </c>
      <c r="F959" s="82" t="s">
        <v>1727</v>
      </c>
      <c r="G959" s="82"/>
      <c r="H959" s="82"/>
      <c r="I959" s="82" t="s">
        <v>250</v>
      </c>
      <c r="J959" s="102" t="n">
        <f aca="false">IF(B959="","",MONTH(B959))</f>
        <v>7</v>
      </c>
      <c r="K959" s="102" t="n">
        <f aca="false">IF(B959="","",YEAR(B959))</f>
        <v>2026</v>
      </c>
      <c r="L959" s="102" t="str">
        <f aca="false">IF(N(E959)=0,"",IF(COUNTIFS(AK_NAMA,C959,AK_KAT,"KAS")+COUNTIFS(AK_NAMA,D959,AK_KAT,"KAS")&lt;&gt;1,"",IF(COUNTIFS(AK_NAMA,C959,AK_KAT,"KAS")=1,D959,C959)))</f>
        <v>Biaya Bahan Baku</v>
      </c>
      <c r="M959" s="103" t="n">
        <f aca="false">IF(L959="",0,IF(L959=D959,E959,-E959))</f>
        <v>-400000</v>
      </c>
      <c r="N959" s="102" t="str">
        <f aca="false">IF(L959="","",IFERROR(INDEX(AK_BARIS,MATCH(L959,AK_NAMA,0)),"?"))</f>
        <v>OP3</v>
      </c>
      <c r="O959" s="102" t="str">
        <f aca="false">IF(C959="","",IFERROR(INDEX(AK_KEL,MATCH(C959,AK_NAMA,0)),"?"))</f>
        <v>BEBAN</v>
      </c>
      <c r="P959" s="102" t="str">
        <f aca="false">IF(D959="","",IFERROR(INDEX(AK_KEL,MATCH(D959,AK_NAMA,0)),"?"))</f>
        <v>ASET</v>
      </c>
      <c r="Q959" s="102" t="n">
        <f aca="false">N(Q958)+IF(AND(N(E959)&lt;&gt;0,K959=TAHUN,N(J959)&lt;=BLN,OR(C959=BB_AKUN,D959=BB_AKUN)),1,0)</f>
        <v>635</v>
      </c>
      <c r="R959" s="104" t="str">
        <f aca="false">IF(OR(C959&amp;D959="",N(E959)=0),"",IF(OR(O959="?",P959="?"),"⚠ akun tidak dikenal",IF(C959=D959,"⚠ debet = kredit","")))</f>
        <v/>
      </c>
    </row>
    <row r="960" customFormat="false" ht="15" hidden="false" customHeight="false" outlineLevel="0" collapsed="false">
      <c r="A960" s="82" t="s">
        <v>2024</v>
      </c>
      <c r="B960" s="101" t="n">
        <v>46228</v>
      </c>
      <c r="C960" s="82" t="s">
        <v>478</v>
      </c>
      <c r="D960" s="82" t="s">
        <v>461</v>
      </c>
      <c r="E960" s="91" t="n">
        <v>740000</v>
      </c>
      <c r="F960" s="82" t="s">
        <v>2025</v>
      </c>
      <c r="G960" s="82"/>
      <c r="H960" s="82"/>
      <c r="I960" s="82" t="s">
        <v>250</v>
      </c>
      <c r="J960" s="102" t="n">
        <f aca="false">IF(B960="","",MONTH(B960))</f>
        <v>7</v>
      </c>
      <c r="K960" s="102" t="n">
        <f aca="false">IF(B960="","",YEAR(B960))</f>
        <v>2026</v>
      </c>
      <c r="L960" s="102" t="str">
        <f aca="false">IF(N(E960)=0,"",IF(COUNTIFS(AK_NAMA,C960,AK_KAT,"KAS")+COUNTIFS(AK_NAMA,D960,AK_KAT,"KAS")&lt;&gt;1,"",IF(COUNTIFS(AK_NAMA,C960,AK_KAT,"KAS")=1,D960,C960)))</f>
        <v>Biaya Penyajian</v>
      </c>
      <c r="M960" s="103" t="n">
        <f aca="false">IF(L960="",0,IF(L960=D960,E960,-E960))</f>
        <v>-740000</v>
      </c>
      <c r="N960" s="102" t="str">
        <f aca="false">IF(L960="","",IFERROR(INDEX(AK_BARIS,MATCH(L960,AK_NAMA,0)),"?"))</f>
        <v>OP3</v>
      </c>
      <c r="O960" s="102" t="str">
        <f aca="false">IF(C960="","",IFERROR(INDEX(AK_KEL,MATCH(C960,AK_NAMA,0)),"?"))</f>
        <v>BEBAN</v>
      </c>
      <c r="P960" s="102" t="str">
        <f aca="false">IF(D960="","",IFERROR(INDEX(AK_KEL,MATCH(D960,AK_NAMA,0)),"?"))</f>
        <v>ASET</v>
      </c>
      <c r="Q960" s="102" t="n">
        <f aca="false">N(Q959)+IF(AND(N(E960)&lt;&gt;0,K960=TAHUN,N(J960)&lt;=BLN,OR(C960=BB_AKUN,D960=BB_AKUN)),1,0)</f>
        <v>636</v>
      </c>
      <c r="R960" s="104" t="str">
        <f aca="false">IF(OR(C960&amp;D960="",N(E960)=0),"",IF(OR(O960="?",P960="?"),"⚠ akun tidak dikenal",IF(C960=D960,"⚠ debet = kredit","")))</f>
        <v/>
      </c>
    </row>
    <row r="961" customFormat="false" ht="15" hidden="false" customHeight="false" outlineLevel="0" collapsed="false">
      <c r="A961" s="82" t="s">
        <v>2026</v>
      </c>
      <c r="B961" s="101" t="n">
        <v>46230</v>
      </c>
      <c r="C961" s="82" t="s">
        <v>478</v>
      </c>
      <c r="D961" s="82" t="s">
        <v>461</v>
      </c>
      <c r="E961" s="91" t="n">
        <v>162000</v>
      </c>
      <c r="F961" s="82" t="s">
        <v>1946</v>
      </c>
      <c r="G961" s="82"/>
      <c r="H961" s="82"/>
      <c r="I961" s="82" t="s">
        <v>250</v>
      </c>
      <c r="J961" s="102" t="n">
        <f aca="false">IF(B961="","",MONTH(B961))</f>
        <v>7</v>
      </c>
      <c r="K961" s="102" t="n">
        <f aca="false">IF(B961="","",YEAR(B961))</f>
        <v>2026</v>
      </c>
      <c r="L961" s="102" t="str">
        <f aca="false">IF(N(E961)=0,"",IF(COUNTIFS(AK_NAMA,C961,AK_KAT,"KAS")+COUNTIFS(AK_NAMA,D961,AK_KAT,"KAS")&lt;&gt;1,"",IF(COUNTIFS(AK_NAMA,C961,AK_KAT,"KAS")=1,D961,C961)))</f>
        <v>Biaya Penyajian</v>
      </c>
      <c r="M961" s="103" t="n">
        <f aca="false">IF(L961="",0,IF(L961=D961,E961,-E961))</f>
        <v>-162000</v>
      </c>
      <c r="N961" s="102" t="str">
        <f aca="false">IF(L961="","",IFERROR(INDEX(AK_BARIS,MATCH(L961,AK_NAMA,0)),"?"))</f>
        <v>OP3</v>
      </c>
      <c r="O961" s="102" t="str">
        <f aca="false">IF(C961="","",IFERROR(INDEX(AK_KEL,MATCH(C961,AK_NAMA,0)),"?"))</f>
        <v>BEBAN</v>
      </c>
      <c r="P961" s="102" t="str">
        <f aca="false">IF(D961="","",IFERROR(INDEX(AK_KEL,MATCH(D961,AK_NAMA,0)),"?"))</f>
        <v>ASET</v>
      </c>
      <c r="Q961" s="102" t="n">
        <f aca="false">N(Q960)+IF(AND(N(E961)&lt;&gt;0,K961=TAHUN,N(J961)&lt;=BLN,OR(C961=BB_AKUN,D961=BB_AKUN)),1,0)</f>
        <v>637</v>
      </c>
      <c r="R961" s="104" t="str">
        <f aca="false">IF(OR(C961&amp;D961="",N(E961)=0),"",IF(OR(O961="?",P961="?"),"⚠ akun tidak dikenal",IF(C961=D961,"⚠ debet = kredit","")))</f>
        <v/>
      </c>
    </row>
    <row r="962" customFormat="false" ht="15" hidden="false" customHeight="false" outlineLevel="0" collapsed="false">
      <c r="A962" s="82" t="s">
        <v>2027</v>
      </c>
      <c r="B962" s="101" t="n">
        <v>46230</v>
      </c>
      <c r="C962" s="82" t="s">
        <v>470</v>
      </c>
      <c r="D962" s="82" t="s">
        <v>461</v>
      </c>
      <c r="E962" s="91" t="n">
        <v>717000</v>
      </c>
      <c r="F962" s="82" t="s">
        <v>2028</v>
      </c>
      <c r="G962" s="82"/>
      <c r="H962" s="82"/>
      <c r="I962" s="82" t="s">
        <v>250</v>
      </c>
      <c r="J962" s="102" t="n">
        <f aca="false">IF(B962="","",MONTH(B962))</f>
        <v>7</v>
      </c>
      <c r="K962" s="102" t="n">
        <f aca="false">IF(B962="","",YEAR(B962))</f>
        <v>2026</v>
      </c>
      <c r="L962" s="102" t="str">
        <f aca="false">IF(N(E962)=0,"",IF(COUNTIFS(AK_NAMA,C962,AK_KAT,"KAS")+COUNTIFS(AK_NAMA,D962,AK_KAT,"KAS")&lt;&gt;1,"",IF(COUNTIFS(AK_NAMA,C962,AK_KAT,"KAS")=1,D962,C962)))</f>
        <v>Biaya Bahan Baku</v>
      </c>
      <c r="M962" s="103" t="n">
        <f aca="false">IF(L962="",0,IF(L962=D962,E962,-E962))</f>
        <v>-717000</v>
      </c>
      <c r="N962" s="102" t="str">
        <f aca="false">IF(L962="","",IFERROR(INDEX(AK_BARIS,MATCH(L962,AK_NAMA,0)),"?"))</f>
        <v>OP3</v>
      </c>
      <c r="O962" s="102" t="str">
        <f aca="false">IF(C962="","",IFERROR(INDEX(AK_KEL,MATCH(C962,AK_NAMA,0)),"?"))</f>
        <v>BEBAN</v>
      </c>
      <c r="P962" s="102" t="str">
        <f aca="false">IF(D962="","",IFERROR(INDEX(AK_KEL,MATCH(D962,AK_NAMA,0)),"?"))</f>
        <v>ASET</v>
      </c>
      <c r="Q962" s="102" t="n">
        <f aca="false">N(Q961)+IF(AND(N(E962)&lt;&gt;0,K962=TAHUN,N(J962)&lt;=BLN,OR(C962=BB_AKUN,D962=BB_AKUN)),1,0)</f>
        <v>638</v>
      </c>
      <c r="R962" s="104" t="str">
        <f aca="false">IF(OR(C962&amp;D962="",N(E962)=0),"",IF(OR(O962="?",P962="?"),"⚠ akun tidak dikenal",IF(C962=D962,"⚠ debet = kredit","")))</f>
        <v/>
      </c>
    </row>
    <row r="963" customFormat="false" ht="15" hidden="false" customHeight="false" outlineLevel="0" collapsed="false">
      <c r="A963" s="82" t="s">
        <v>2029</v>
      </c>
      <c r="B963" s="101" t="n">
        <v>46230</v>
      </c>
      <c r="C963" s="82" t="s">
        <v>470</v>
      </c>
      <c r="D963" s="82" t="s">
        <v>461</v>
      </c>
      <c r="E963" s="91" t="n">
        <v>789432</v>
      </c>
      <c r="F963" s="82" t="s">
        <v>2030</v>
      </c>
      <c r="G963" s="82"/>
      <c r="H963" s="82"/>
      <c r="I963" s="82" t="s">
        <v>250</v>
      </c>
      <c r="J963" s="102" t="n">
        <f aca="false">IF(B963="","",MONTH(B963))</f>
        <v>7</v>
      </c>
      <c r="K963" s="102" t="n">
        <f aca="false">IF(B963="","",YEAR(B963))</f>
        <v>2026</v>
      </c>
      <c r="L963" s="102" t="str">
        <f aca="false">IF(N(E963)=0,"",IF(COUNTIFS(AK_NAMA,C963,AK_KAT,"KAS")+COUNTIFS(AK_NAMA,D963,AK_KAT,"KAS")&lt;&gt;1,"",IF(COUNTIFS(AK_NAMA,C963,AK_KAT,"KAS")=1,D963,C963)))</f>
        <v>Biaya Bahan Baku</v>
      </c>
      <c r="M963" s="103" t="n">
        <f aca="false">IF(L963="",0,IF(L963=D963,E963,-E963))</f>
        <v>-789432</v>
      </c>
      <c r="N963" s="102" t="str">
        <f aca="false">IF(L963="","",IFERROR(INDEX(AK_BARIS,MATCH(L963,AK_NAMA,0)),"?"))</f>
        <v>OP3</v>
      </c>
      <c r="O963" s="102" t="str">
        <f aca="false">IF(C963="","",IFERROR(INDEX(AK_KEL,MATCH(C963,AK_NAMA,0)),"?"))</f>
        <v>BEBAN</v>
      </c>
      <c r="P963" s="102" t="str">
        <f aca="false">IF(D963="","",IFERROR(INDEX(AK_KEL,MATCH(D963,AK_NAMA,0)),"?"))</f>
        <v>ASET</v>
      </c>
      <c r="Q963" s="102" t="n">
        <f aca="false">N(Q962)+IF(AND(N(E963)&lt;&gt;0,K963=TAHUN,N(J963)&lt;=BLN,OR(C963=BB_AKUN,D963=BB_AKUN)),1,0)</f>
        <v>639</v>
      </c>
      <c r="R963" s="104" t="str">
        <f aca="false">IF(OR(C963&amp;D963="",N(E963)=0),"",IF(OR(O963="?",P963="?"),"⚠ akun tidak dikenal",IF(C963=D963,"⚠ debet = kredit","")))</f>
        <v/>
      </c>
    </row>
    <row r="964" customFormat="false" ht="15" hidden="false" customHeight="false" outlineLevel="0" collapsed="false">
      <c r="A964" s="82" t="s">
        <v>2031</v>
      </c>
      <c r="B964" s="101" t="n">
        <v>46230</v>
      </c>
      <c r="C964" s="82" t="s">
        <v>470</v>
      </c>
      <c r="D964" s="82" t="s">
        <v>461</v>
      </c>
      <c r="E964" s="91" t="n">
        <v>301000</v>
      </c>
      <c r="F964" s="82" t="s">
        <v>1729</v>
      </c>
      <c r="G964" s="82"/>
      <c r="H964" s="82"/>
      <c r="I964" s="82" t="s">
        <v>250</v>
      </c>
      <c r="J964" s="102" t="n">
        <f aca="false">IF(B964="","",MONTH(B964))</f>
        <v>7</v>
      </c>
      <c r="K964" s="102" t="n">
        <f aca="false">IF(B964="","",YEAR(B964))</f>
        <v>2026</v>
      </c>
      <c r="L964" s="102" t="str">
        <f aca="false">IF(N(E964)=0,"",IF(COUNTIFS(AK_NAMA,C964,AK_KAT,"KAS")+COUNTIFS(AK_NAMA,D964,AK_KAT,"KAS")&lt;&gt;1,"",IF(COUNTIFS(AK_NAMA,C964,AK_KAT,"KAS")=1,D964,C964)))</f>
        <v>Biaya Bahan Baku</v>
      </c>
      <c r="M964" s="103" t="n">
        <f aca="false">IF(L964="",0,IF(L964=D964,E964,-E964))</f>
        <v>-301000</v>
      </c>
      <c r="N964" s="102" t="str">
        <f aca="false">IF(L964="","",IFERROR(INDEX(AK_BARIS,MATCH(L964,AK_NAMA,0)),"?"))</f>
        <v>OP3</v>
      </c>
      <c r="O964" s="102" t="str">
        <f aca="false">IF(C964="","",IFERROR(INDEX(AK_KEL,MATCH(C964,AK_NAMA,0)),"?"))</f>
        <v>BEBAN</v>
      </c>
      <c r="P964" s="102" t="str">
        <f aca="false">IF(D964="","",IFERROR(INDEX(AK_KEL,MATCH(D964,AK_NAMA,0)),"?"))</f>
        <v>ASET</v>
      </c>
      <c r="Q964" s="102" t="n">
        <f aca="false">N(Q963)+IF(AND(N(E964)&lt;&gt;0,K964=TAHUN,N(J964)&lt;=BLN,OR(C964=BB_AKUN,D964=BB_AKUN)),1,0)</f>
        <v>640</v>
      </c>
      <c r="R964" s="104" t="str">
        <f aca="false">IF(OR(C964&amp;D964="",N(E964)=0),"",IF(OR(O964="?",P964="?"),"⚠ akun tidak dikenal",IF(C964=D964,"⚠ debet = kredit","")))</f>
        <v/>
      </c>
    </row>
    <row r="965" customFormat="false" ht="15" hidden="false" customHeight="false" outlineLevel="0" collapsed="false">
      <c r="A965" s="82" t="s">
        <v>2032</v>
      </c>
      <c r="B965" s="101" t="n">
        <v>46230</v>
      </c>
      <c r="C965" s="82" t="s">
        <v>548</v>
      </c>
      <c r="D965" s="82" t="s">
        <v>461</v>
      </c>
      <c r="E965" s="91" t="n">
        <v>216273</v>
      </c>
      <c r="F965" s="82" t="s">
        <v>2033</v>
      </c>
      <c r="G965" s="82"/>
      <c r="H965" s="82"/>
      <c r="I965" s="82" t="s">
        <v>250</v>
      </c>
      <c r="J965" s="102" t="n">
        <f aca="false">IF(B965="","",MONTH(B965))</f>
        <v>7</v>
      </c>
      <c r="K965" s="102" t="n">
        <f aca="false">IF(B965="","",YEAR(B965))</f>
        <v>2026</v>
      </c>
      <c r="L965" s="102" t="str">
        <f aca="false">IF(N(E965)=0,"",IF(COUNTIFS(AK_NAMA,C965,AK_KAT,"KAS")+COUNTIFS(AK_NAMA,D965,AK_KAT,"KAS")&lt;&gt;1,"",IF(COUNTIFS(AK_NAMA,C965,AK_KAT,"KAS")=1,D965,C965)))</f>
        <v>Beban Perlengkapan</v>
      </c>
      <c r="M965" s="103" t="n">
        <f aca="false">IF(L965="",0,IF(L965=D965,E965,-E965))</f>
        <v>-216273</v>
      </c>
      <c r="N965" s="102" t="str">
        <f aca="false">IF(L965="","",IFERROR(INDEX(AK_BARIS,MATCH(L965,AK_NAMA,0)),"?"))</f>
        <v>OP6</v>
      </c>
      <c r="O965" s="102" t="str">
        <f aca="false">IF(C965="","",IFERROR(INDEX(AK_KEL,MATCH(C965,AK_NAMA,0)),"?"))</f>
        <v>BEBAN</v>
      </c>
      <c r="P965" s="102" t="str">
        <f aca="false">IF(D965="","",IFERROR(INDEX(AK_KEL,MATCH(D965,AK_NAMA,0)),"?"))</f>
        <v>ASET</v>
      </c>
      <c r="Q965" s="102" t="n">
        <f aca="false">N(Q964)+IF(AND(N(E965)&lt;&gt;0,K965=TAHUN,N(J965)&lt;=BLN,OR(C965=BB_AKUN,D965=BB_AKUN)),1,0)</f>
        <v>641</v>
      </c>
      <c r="R965" s="104" t="str">
        <f aca="false">IF(OR(C965&amp;D965="",N(E965)=0),"",IF(OR(O965="?",P965="?"),"⚠ akun tidak dikenal",IF(C965=D965,"⚠ debet = kredit","")))</f>
        <v/>
      </c>
    </row>
    <row r="966" customFormat="false" ht="15" hidden="false" customHeight="false" outlineLevel="0" collapsed="false">
      <c r="A966" s="82" t="s">
        <v>2034</v>
      </c>
      <c r="B966" s="101" t="n">
        <v>46230</v>
      </c>
      <c r="C966" s="82" t="s">
        <v>486</v>
      </c>
      <c r="D966" s="82" t="s">
        <v>475</v>
      </c>
      <c r="E966" s="91" t="n">
        <v>1250000</v>
      </c>
      <c r="F966" s="82" t="s">
        <v>1624</v>
      </c>
      <c r="G966" s="82"/>
      <c r="H966" s="82"/>
      <c r="I966" s="82" t="s">
        <v>250</v>
      </c>
      <c r="J966" s="102" t="n">
        <f aca="false">IF(B966="","",MONTH(B966))</f>
        <v>7</v>
      </c>
      <c r="K966" s="102" t="n">
        <f aca="false">IF(B966="","",YEAR(B966))</f>
        <v>2026</v>
      </c>
      <c r="L966" s="102" t="str">
        <f aca="false">IF(N(E966)=0,"",IF(COUNTIFS(AK_NAMA,C966,AK_KAT,"KAS")+COUNTIFS(AK_NAMA,D966,AK_KAT,"KAS")&lt;&gt;1,"",IF(COUNTIFS(AK_NAMA,C966,AK_KAT,"KAS")=1,D966,C966)))</f>
        <v/>
      </c>
      <c r="M966" s="103" t="n">
        <f aca="false">IF(L966="",0,IF(L966=D966,E966,-E966))</f>
        <v>0</v>
      </c>
      <c r="N966" s="102" t="str">
        <f aca="false">IF(L966="","",IFERROR(INDEX(AK_BARIS,MATCH(L966,AK_NAMA,0)),"?"))</f>
        <v/>
      </c>
      <c r="O966" s="102" t="str">
        <f aca="false">IF(C966="","",IFERROR(INDEX(AK_KEL,MATCH(C966,AK_NAMA,0)),"?"))</f>
        <v>ASET</v>
      </c>
      <c r="P966" s="102" t="str">
        <f aca="false">IF(D966="","",IFERROR(INDEX(AK_KEL,MATCH(D966,AK_NAMA,0)),"?"))</f>
        <v>ASET</v>
      </c>
      <c r="Q966" s="102" t="n">
        <f aca="false">N(Q965)+IF(AND(N(E966)&lt;&gt;0,K966=TAHUN,N(J966)&lt;=BLN,OR(C966=BB_AKUN,D966=BB_AKUN)),1,0)</f>
        <v>641</v>
      </c>
      <c r="R966" s="104" t="str">
        <f aca="false">IF(OR(C966&amp;D966="",N(E966)=0),"",IF(OR(O966="?",P966="?"),"⚠ akun tidak dikenal",IF(C966=D966,"⚠ debet = kredit","")))</f>
        <v/>
      </c>
    </row>
    <row r="967" customFormat="false" ht="15" hidden="false" customHeight="false" outlineLevel="0" collapsed="false">
      <c r="A967" s="82" t="s">
        <v>2035</v>
      </c>
      <c r="B967" s="101" t="n">
        <v>46230</v>
      </c>
      <c r="C967" s="82" t="s">
        <v>470</v>
      </c>
      <c r="D967" s="82" t="s">
        <v>486</v>
      </c>
      <c r="E967" s="91" t="n">
        <v>3336200</v>
      </c>
      <c r="F967" s="82" t="s">
        <v>935</v>
      </c>
      <c r="G967" s="82"/>
      <c r="H967" s="82"/>
      <c r="I967" s="82" t="s">
        <v>250</v>
      </c>
      <c r="J967" s="102" t="n">
        <f aca="false">IF(B967="","",MONTH(B967))</f>
        <v>7</v>
      </c>
      <c r="K967" s="102" t="n">
        <f aca="false">IF(B967="","",YEAR(B967))</f>
        <v>2026</v>
      </c>
      <c r="L967" s="102" t="str">
        <f aca="false">IF(N(E967)=0,"",IF(COUNTIFS(AK_NAMA,C967,AK_KAT,"KAS")+COUNTIFS(AK_NAMA,D967,AK_KAT,"KAS")&lt;&gt;1,"",IF(COUNTIFS(AK_NAMA,C967,AK_KAT,"KAS")=1,D967,C967)))</f>
        <v>Biaya Bahan Baku</v>
      </c>
      <c r="M967" s="103" t="n">
        <f aca="false">IF(L967="",0,IF(L967=D967,E967,-E967))</f>
        <v>-3336200</v>
      </c>
      <c r="N967" s="102" t="str">
        <f aca="false">IF(L967="","",IFERROR(INDEX(AK_BARIS,MATCH(L967,AK_NAMA,0)),"?"))</f>
        <v>OP3</v>
      </c>
      <c r="O967" s="102" t="str">
        <f aca="false">IF(C967="","",IFERROR(INDEX(AK_KEL,MATCH(C967,AK_NAMA,0)),"?"))</f>
        <v>BEBAN</v>
      </c>
      <c r="P967" s="102" t="str">
        <f aca="false">IF(D967="","",IFERROR(INDEX(AK_KEL,MATCH(D967,AK_NAMA,0)),"?"))</f>
        <v>ASET</v>
      </c>
      <c r="Q967" s="102" t="n">
        <f aca="false">N(Q966)+IF(AND(N(E967)&lt;&gt;0,K967=TAHUN,N(J967)&lt;=BLN,OR(C967=BB_AKUN,D967=BB_AKUN)),1,0)</f>
        <v>641</v>
      </c>
      <c r="R967" s="104" t="str">
        <f aca="false">IF(OR(C967&amp;D967="",N(E967)=0),"",IF(OR(O967="?",P967="?"),"⚠ akun tidak dikenal",IF(C967=D967,"⚠ debet = kredit","")))</f>
        <v/>
      </c>
    </row>
    <row r="968" customFormat="false" ht="15" hidden="false" customHeight="false" outlineLevel="0" collapsed="false">
      <c r="A968" s="82" t="s">
        <v>2036</v>
      </c>
      <c r="B968" s="101" t="n">
        <v>46230</v>
      </c>
      <c r="C968" s="82" t="s">
        <v>478</v>
      </c>
      <c r="D968" s="82" t="s">
        <v>486</v>
      </c>
      <c r="E968" s="91" t="n">
        <v>459500</v>
      </c>
      <c r="F968" s="82" t="s">
        <v>937</v>
      </c>
      <c r="G968" s="82"/>
      <c r="H968" s="82"/>
      <c r="I968" s="82" t="s">
        <v>250</v>
      </c>
      <c r="J968" s="102" t="n">
        <f aca="false">IF(B968="","",MONTH(B968))</f>
        <v>7</v>
      </c>
      <c r="K968" s="102" t="n">
        <f aca="false">IF(B968="","",YEAR(B968))</f>
        <v>2026</v>
      </c>
      <c r="L968" s="102" t="str">
        <f aca="false">IF(N(E968)=0,"",IF(COUNTIFS(AK_NAMA,C968,AK_KAT,"KAS")+COUNTIFS(AK_NAMA,D968,AK_KAT,"KAS")&lt;&gt;1,"",IF(COUNTIFS(AK_NAMA,C968,AK_KAT,"KAS")=1,D968,C968)))</f>
        <v>Biaya Penyajian</v>
      </c>
      <c r="M968" s="103" t="n">
        <f aca="false">IF(L968="",0,IF(L968=D968,E968,-E968))</f>
        <v>-459500</v>
      </c>
      <c r="N968" s="102" t="str">
        <f aca="false">IF(L968="","",IFERROR(INDEX(AK_BARIS,MATCH(L968,AK_NAMA,0)),"?"))</f>
        <v>OP3</v>
      </c>
      <c r="O968" s="102" t="str">
        <f aca="false">IF(C968="","",IFERROR(INDEX(AK_KEL,MATCH(C968,AK_NAMA,0)),"?"))</f>
        <v>BEBAN</v>
      </c>
      <c r="P968" s="102" t="str">
        <f aca="false">IF(D968="","",IFERROR(INDEX(AK_KEL,MATCH(D968,AK_NAMA,0)),"?"))</f>
        <v>ASET</v>
      </c>
      <c r="Q968" s="102" t="n">
        <f aca="false">N(Q967)+IF(AND(N(E968)&lt;&gt;0,K968=TAHUN,N(J968)&lt;=BLN,OR(C968=BB_AKUN,D968=BB_AKUN)),1,0)</f>
        <v>641</v>
      </c>
      <c r="R968" s="104" t="str">
        <f aca="false">IF(OR(C968&amp;D968="",N(E968)=0),"",IF(OR(O968="?",P968="?"),"⚠ akun tidak dikenal",IF(C968=D968,"⚠ debet = kredit","")))</f>
        <v/>
      </c>
    </row>
    <row r="969" customFormat="false" ht="15" hidden="false" customHeight="false" outlineLevel="0" collapsed="false">
      <c r="A969" s="82" t="s">
        <v>2037</v>
      </c>
      <c r="B969" s="101" t="n">
        <v>46230</v>
      </c>
      <c r="C969" s="82" t="s">
        <v>548</v>
      </c>
      <c r="D969" s="82" t="s">
        <v>486</v>
      </c>
      <c r="E969" s="91" t="n">
        <v>26000</v>
      </c>
      <c r="F969" s="82" t="s">
        <v>939</v>
      </c>
      <c r="G969" s="82"/>
      <c r="H969" s="82"/>
      <c r="I969" s="82" t="s">
        <v>250</v>
      </c>
      <c r="J969" s="102" t="n">
        <f aca="false">IF(B969="","",MONTH(B969))</f>
        <v>7</v>
      </c>
      <c r="K969" s="102" t="n">
        <f aca="false">IF(B969="","",YEAR(B969))</f>
        <v>2026</v>
      </c>
      <c r="L969" s="102" t="str">
        <f aca="false">IF(N(E969)=0,"",IF(COUNTIFS(AK_NAMA,C969,AK_KAT,"KAS")+COUNTIFS(AK_NAMA,D969,AK_KAT,"KAS")&lt;&gt;1,"",IF(COUNTIFS(AK_NAMA,C969,AK_KAT,"KAS")=1,D969,C969)))</f>
        <v>Beban Perlengkapan</v>
      </c>
      <c r="M969" s="103" t="n">
        <f aca="false">IF(L969="",0,IF(L969=D969,E969,-E969))</f>
        <v>-26000</v>
      </c>
      <c r="N969" s="102" t="str">
        <f aca="false">IF(L969="","",IFERROR(INDEX(AK_BARIS,MATCH(L969,AK_NAMA,0)),"?"))</f>
        <v>OP6</v>
      </c>
      <c r="O969" s="102" t="str">
        <f aca="false">IF(C969="","",IFERROR(INDEX(AK_KEL,MATCH(C969,AK_NAMA,0)),"?"))</f>
        <v>BEBAN</v>
      </c>
      <c r="P969" s="102" t="str">
        <f aca="false">IF(D969="","",IFERROR(INDEX(AK_KEL,MATCH(D969,AK_NAMA,0)),"?"))</f>
        <v>ASET</v>
      </c>
      <c r="Q969" s="102" t="n">
        <f aca="false">N(Q968)+IF(AND(N(E969)&lt;&gt;0,K969=TAHUN,N(J969)&lt;=BLN,OR(C969=BB_AKUN,D969=BB_AKUN)),1,0)</f>
        <v>641</v>
      </c>
      <c r="R969" s="104" t="str">
        <f aca="false">IF(OR(C969&amp;D969="",N(E969)=0),"",IF(OR(O969="?",P969="?"),"⚠ akun tidak dikenal",IF(C969=D969,"⚠ debet = kredit","")))</f>
        <v/>
      </c>
    </row>
    <row r="970" customFormat="false" ht="15" hidden="false" customHeight="false" outlineLevel="0" collapsed="false">
      <c r="A970" s="82" t="s">
        <v>2038</v>
      </c>
      <c r="B970" s="101" t="n">
        <v>46230</v>
      </c>
      <c r="C970" s="82" t="s">
        <v>485</v>
      </c>
      <c r="D970" s="82" t="s">
        <v>486</v>
      </c>
      <c r="E970" s="91" t="n">
        <v>16000</v>
      </c>
      <c r="F970" s="82" t="s">
        <v>553</v>
      </c>
      <c r="G970" s="82"/>
      <c r="H970" s="82"/>
      <c r="I970" s="82" t="s">
        <v>250</v>
      </c>
      <c r="J970" s="102" t="n">
        <f aca="false">IF(B970="","",MONTH(B970))</f>
        <v>7</v>
      </c>
      <c r="K970" s="102" t="n">
        <f aca="false">IF(B970="","",YEAR(B970))</f>
        <v>2026</v>
      </c>
      <c r="L970" s="102" t="str">
        <f aca="false">IF(N(E970)=0,"",IF(COUNTIFS(AK_NAMA,C970,AK_KAT,"KAS")+COUNTIFS(AK_NAMA,D970,AK_KAT,"KAS")&lt;&gt;1,"",IF(COUNTIFS(AK_NAMA,C970,AK_KAT,"KAS")=1,D970,C970)))</f>
        <v>Biaya Operasional Harian</v>
      </c>
      <c r="M970" s="103" t="n">
        <f aca="false">IF(L970="",0,IF(L970=D970,E970,-E970))</f>
        <v>-16000</v>
      </c>
      <c r="N970" s="102" t="str">
        <f aca="false">IF(L970="","",IFERROR(INDEX(AK_BARIS,MATCH(L970,AK_NAMA,0)),"?"))</f>
        <v>OP6</v>
      </c>
      <c r="O970" s="102" t="str">
        <f aca="false">IF(C970="","",IFERROR(INDEX(AK_KEL,MATCH(C970,AK_NAMA,0)),"?"))</f>
        <v>BEBAN</v>
      </c>
      <c r="P970" s="102" t="str">
        <f aca="false">IF(D970="","",IFERROR(INDEX(AK_KEL,MATCH(D970,AK_NAMA,0)),"?"))</f>
        <v>ASET</v>
      </c>
      <c r="Q970" s="102" t="n">
        <f aca="false">N(Q969)+IF(AND(N(E970)&lt;&gt;0,K970=TAHUN,N(J970)&lt;=BLN,OR(C970=BB_AKUN,D970=BB_AKUN)),1,0)</f>
        <v>641</v>
      </c>
      <c r="R970" s="104" t="str">
        <f aca="false">IF(OR(C970&amp;D970="",N(E970)=0),"",IF(OR(O970="?",P970="?"),"⚠ akun tidak dikenal",IF(C970=D970,"⚠ debet = kredit","")))</f>
        <v/>
      </c>
    </row>
    <row r="971" customFormat="false" ht="15" hidden="false" customHeight="false" outlineLevel="0" collapsed="false">
      <c r="A971" s="82" t="s">
        <v>2039</v>
      </c>
      <c r="B971" s="101" t="n">
        <v>46230</v>
      </c>
      <c r="C971" s="82" t="s">
        <v>485</v>
      </c>
      <c r="D971" s="82" t="s">
        <v>486</v>
      </c>
      <c r="E971" s="91" t="n">
        <v>12000</v>
      </c>
      <c r="F971" s="82" t="s">
        <v>555</v>
      </c>
      <c r="G971" s="82"/>
      <c r="H971" s="82"/>
      <c r="I971" s="82" t="s">
        <v>250</v>
      </c>
      <c r="J971" s="102" t="n">
        <f aca="false">IF(B971="","",MONTH(B971))</f>
        <v>7</v>
      </c>
      <c r="K971" s="102" t="n">
        <f aca="false">IF(B971="","",YEAR(B971))</f>
        <v>2026</v>
      </c>
      <c r="L971" s="102" t="str">
        <f aca="false">IF(N(E971)=0,"",IF(COUNTIFS(AK_NAMA,C971,AK_KAT,"KAS")+COUNTIFS(AK_NAMA,D971,AK_KAT,"KAS")&lt;&gt;1,"",IF(COUNTIFS(AK_NAMA,C971,AK_KAT,"KAS")=1,D971,C971)))</f>
        <v>Biaya Operasional Harian</v>
      </c>
      <c r="M971" s="103" t="n">
        <f aca="false">IF(L971="",0,IF(L971=D971,E971,-E971))</f>
        <v>-12000</v>
      </c>
      <c r="N971" s="102" t="str">
        <f aca="false">IF(L971="","",IFERROR(INDEX(AK_BARIS,MATCH(L971,AK_NAMA,0)),"?"))</f>
        <v>OP6</v>
      </c>
      <c r="O971" s="102" t="str">
        <f aca="false">IF(C971="","",IFERROR(INDEX(AK_KEL,MATCH(C971,AK_NAMA,0)),"?"))</f>
        <v>BEBAN</v>
      </c>
      <c r="P971" s="102" t="str">
        <f aca="false">IF(D971="","",IFERROR(INDEX(AK_KEL,MATCH(D971,AK_NAMA,0)),"?"))</f>
        <v>ASET</v>
      </c>
      <c r="Q971" s="102" t="n">
        <f aca="false">N(Q970)+IF(AND(N(E971)&lt;&gt;0,K971=TAHUN,N(J971)&lt;=BLN,OR(C971=BB_AKUN,D971=BB_AKUN)),1,0)</f>
        <v>641</v>
      </c>
      <c r="R971" s="104" t="str">
        <f aca="false">IF(OR(C971&amp;D971="",N(E971)=0),"",IF(OR(O971="?",P971="?"),"⚠ akun tidak dikenal",IF(C971=D971,"⚠ debet = kredit","")))</f>
        <v/>
      </c>
    </row>
    <row r="972" customFormat="false" ht="15" hidden="false" customHeight="false" outlineLevel="0" collapsed="false">
      <c r="A972" s="82" t="s">
        <v>2040</v>
      </c>
      <c r="B972" s="101" t="n">
        <v>46231</v>
      </c>
      <c r="C972" s="82" t="s">
        <v>470</v>
      </c>
      <c r="D972" s="82" t="s">
        <v>461</v>
      </c>
      <c r="E972" s="91" t="n">
        <v>353100</v>
      </c>
      <c r="F972" s="82" t="s">
        <v>1744</v>
      </c>
      <c r="G972" s="82"/>
      <c r="H972" s="82"/>
      <c r="I972" s="82" t="s">
        <v>250</v>
      </c>
      <c r="J972" s="102" t="n">
        <f aca="false">IF(B972="","",MONTH(B972))</f>
        <v>7</v>
      </c>
      <c r="K972" s="102" t="n">
        <f aca="false">IF(B972="","",YEAR(B972))</f>
        <v>2026</v>
      </c>
      <c r="L972" s="102" t="str">
        <f aca="false">IF(N(E972)=0,"",IF(COUNTIFS(AK_NAMA,C972,AK_KAT,"KAS")+COUNTIFS(AK_NAMA,D972,AK_KAT,"KAS")&lt;&gt;1,"",IF(COUNTIFS(AK_NAMA,C972,AK_KAT,"KAS")=1,D972,C972)))</f>
        <v>Biaya Bahan Baku</v>
      </c>
      <c r="M972" s="103" t="n">
        <f aca="false">IF(L972="",0,IF(L972=D972,E972,-E972))</f>
        <v>-353100</v>
      </c>
      <c r="N972" s="102" t="str">
        <f aca="false">IF(L972="","",IFERROR(INDEX(AK_BARIS,MATCH(L972,AK_NAMA,0)),"?"))</f>
        <v>OP3</v>
      </c>
      <c r="O972" s="102" t="str">
        <f aca="false">IF(C972="","",IFERROR(INDEX(AK_KEL,MATCH(C972,AK_NAMA,0)),"?"))</f>
        <v>BEBAN</v>
      </c>
      <c r="P972" s="102" t="str">
        <f aca="false">IF(D972="","",IFERROR(INDEX(AK_KEL,MATCH(D972,AK_NAMA,0)),"?"))</f>
        <v>ASET</v>
      </c>
      <c r="Q972" s="102" t="n">
        <f aca="false">N(Q971)+IF(AND(N(E972)&lt;&gt;0,K972=TAHUN,N(J972)&lt;=BLN,OR(C972=BB_AKUN,D972=BB_AKUN)),1,0)</f>
        <v>642</v>
      </c>
      <c r="R972" s="104" t="str">
        <f aca="false">IF(OR(C972&amp;D972="",N(E972)=0),"",IF(OR(O972="?",P972="?"),"⚠ akun tidak dikenal",IF(C972=D972,"⚠ debet = kredit","")))</f>
        <v/>
      </c>
    </row>
    <row r="973" customFormat="false" ht="15" hidden="false" customHeight="false" outlineLevel="0" collapsed="false">
      <c r="A973" s="82" t="s">
        <v>2041</v>
      </c>
      <c r="B973" s="101" t="n">
        <v>46231</v>
      </c>
      <c r="C973" s="82" t="s">
        <v>524</v>
      </c>
      <c r="D973" s="82" t="s">
        <v>461</v>
      </c>
      <c r="E973" s="91" t="n">
        <v>325</v>
      </c>
      <c r="F973" s="82" t="s">
        <v>525</v>
      </c>
      <c r="G973" s="82"/>
      <c r="H973" s="82"/>
      <c r="I973" s="82" t="s">
        <v>250</v>
      </c>
      <c r="J973" s="102" t="n">
        <f aca="false">IF(B973="","",MONTH(B973))</f>
        <v>7</v>
      </c>
      <c r="K973" s="102" t="n">
        <f aca="false">IF(B973="","",YEAR(B973))</f>
        <v>2026</v>
      </c>
      <c r="L973" s="102" t="str">
        <f aca="false">IF(N(E973)=0,"",IF(COUNTIFS(AK_NAMA,C973,AK_KAT,"KAS")+COUNTIFS(AK_NAMA,D973,AK_KAT,"KAS")&lt;&gt;1,"",IF(COUNTIFS(AK_NAMA,C973,AK_KAT,"KAS")=1,D973,C973)))</f>
        <v>Biaya Lainnya</v>
      </c>
      <c r="M973" s="103" t="n">
        <f aca="false">IF(L973="",0,IF(L973=D973,E973,-E973))</f>
        <v>-325</v>
      </c>
      <c r="N973" s="102" t="str">
        <f aca="false">IF(L973="","",IFERROR(INDEX(AK_BARIS,MATCH(L973,AK_NAMA,0)),"?"))</f>
        <v>OP2</v>
      </c>
      <c r="O973" s="102" t="str">
        <f aca="false">IF(C973="","",IFERROR(INDEX(AK_KEL,MATCH(C973,AK_NAMA,0)),"?"))</f>
        <v>BEBAN</v>
      </c>
      <c r="P973" s="102" t="str">
        <f aca="false">IF(D973="","",IFERROR(INDEX(AK_KEL,MATCH(D973,AK_NAMA,0)),"?"))</f>
        <v>ASET</v>
      </c>
      <c r="Q973" s="102" t="n">
        <f aca="false">N(Q972)+IF(AND(N(E973)&lt;&gt;0,K973=TAHUN,N(J973)&lt;=BLN,OR(C973=BB_AKUN,D973=BB_AKUN)),1,0)</f>
        <v>643</v>
      </c>
      <c r="R973" s="104" t="str">
        <f aca="false">IF(OR(C973&amp;D973="",N(E973)=0),"",IF(OR(O973="?",P973="?"),"⚠ akun tidak dikenal",IF(C973=D973,"⚠ debet = kredit","")))</f>
        <v/>
      </c>
    </row>
    <row r="974" customFormat="false" ht="15" hidden="false" customHeight="false" outlineLevel="0" collapsed="false">
      <c r="A974" s="82" t="s">
        <v>2042</v>
      </c>
      <c r="B974" s="101" t="n">
        <v>46232</v>
      </c>
      <c r="C974" s="82" t="s">
        <v>576</v>
      </c>
      <c r="D974" s="82" t="s">
        <v>461</v>
      </c>
      <c r="E974" s="91" t="n">
        <v>2894000</v>
      </c>
      <c r="F974" s="82" t="s">
        <v>726</v>
      </c>
      <c r="G974" s="82"/>
      <c r="H974" s="82"/>
      <c r="I974" s="82" t="s">
        <v>250</v>
      </c>
      <c r="J974" s="102" t="n">
        <f aca="false">IF(B974="","",MONTH(B974))</f>
        <v>7</v>
      </c>
      <c r="K974" s="102" t="n">
        <f aca="false">IF(B974="","",YEAR(B974))</f>
        <v>2026</v>
      </c>
      <c r="L974" s="102" t="str">
        <f aca="false">IF(N(E974)=0,"",IF(COUNTIFS(AK_NAMA,C974,AK_KAT,"KAS")+COUNTIFS(AK_NAMA,D974,AK_KAT,"KAS")&lt;&gt;1,"",IF(COUNTIFS(AK_NAMA,C974,AK_KAT,"KAS")=1,D974,C974)))</f>
        <v>Beban Gaji</v>
      </c>
      <c r="M974" s="103" t="n">
        <f aca="false">IF(L974="",0,IF(L974=D974,E974,-E974))</f>
        <v>-2894000</v>
      </c>
      <c r="N974" s="102" t="str">
        <f aca="false">IF(L974="","",IFERROR(INDEX(AK_BARIS,MATCH(L974,AK_NAMA,0)),"?"))</f>
        <v>OP4</v>
      </c>
      <c r="O974" s="102" t="str">
        <f aca="false">IF(C974="","",IFERROR(INDEX(AK_KEL,MATCH(C974,AK_NAMA,0)),"?"))</f>
        <v>BEBAN</v>
      </c>
      <c r="P974" s="102" t="str">
        <f aca="false">IF(D974="","",IFERROR(INDEX(AK_KEL,MATCH(D974,AK_NAMA,0)),"?"))</f>
        <v>ASET</v>
      </c>
      <c r="Q974" s="102" t="n">
        <f aca="false">N(Q973)+IF(AND(N(E974)&lt;&gt;0,K974=TAHUN,N(J974)&lt;=BLN,OR(C974=BB_AKUN,D974=BB_AKUN)),1,0)</f>
        <v>644</v>
      </c>
      <c r="R974" s="104" t="str">
        <f aca="false">IF(OR(C974&amp;D974="",N(E974)=0),"",IF(OR(O974="?",P974="?"),"⚠ akun tidak dikenal",IF(C974=D974,"⚠ debet = kredit","")))</f>
        <v/>
      </c>
    </row>
    <row r="975" customFormat="false" ht="15" hidden="false" customHeight="false" outlineLevel="0" collapsed="false">
      <c r="A975" s="82" t="s">
        <v>2043</v>
      </c>
      <c r="B975" s="101" t="n">
        <v>46232</v>
      </c>
      <c r="C975" s="82" t="s">
        <v>470</v>
      </c>
      <c r="D975" s="82" t="s">
        <v>461</v>
      </c>
      <c r="E975" s="91" t="n">
        <v>2570000</v>
      </c>
      <c r="F975" s="82" t="s">
        <v>1950</v>
      </c>
      <c r="G975" s="82"/>
      <c r="H975" s="82"/>
      <c r="I975" s="82" t="s">
        <v>250</v>
      </c>
      <c r="J975" s="102" t="n">
        <f aca="false">IF(B975="","",MONTH(B975))</f>
        <v>7</v>
      </c>
      <c r="K975" s="102" t="n">
        <f aca="false">IF(B975="","",YEAR(B975))</f>
        <v>2026</v>
      </c>
      <c r="L975" s="102" t="str">
        <f aca="false">IF(N(E975)=0,"",IF(COUNTIFS(AK_NAMA,C975,AK_KAT,"KAS")+COUNTIFS(AK_NAMA,D975,AK_KAT,"KAS")&lt;&gt;1,"",IF(COUNTIFS(AK_NAMA,C975,AK_KAT,"KAS")=1,D975,C975)))</f>
        <v>Biaya Bahan Baku</v>
      </c>
      <c r="M975" s="103" t="n">
        <f aca="false">IF(L975="",0,IF(L975=D975,E975,-E975))</f>
        <v>-2570000</v>
      </c>
      <c r="N975" s="102" t="str">
        <f aca="false">IF(L975="","",IFERROR(INDEX(AK_BARIS,MATCH(L975,AK_NAMA,0)),"?"))</f>
        <v>OP3</v>
      </c>
      <c r="O975" s="102" t="str">
        <f aca="false">IF(C975="","",IFERROR(INDEX(AK_KEL,MATCH(C975,AK_NAMA,0)),"?"))</f>
        <v>BEBAN</v>
      </c>
      <c r="P975" s="102" t="str">
        <f aca="false">IF(D975="","",IFERROR(INDEX(AK_KEL,MATCH(D975,AK_NAMA,0)),"?"))</f>
        <v>ASET</v>
      </c>
      <c r="Q975" s="102" t="n">
        <f aca="false">N(Q974)+IF(AND(N(E975)&lt;&gt;0,K975=TAHUN,N(J975)&lt;=BLN,OR(C975=BB_AKUN,D975=BB_AKUN)),1,0)</f>
        <v>645</v>
      </c>
      <c r="R975" s="104" t="str">
        <f aca="false">IF(OR(C975&amp;D975="",N(E975)=0),"",IF(OR(O975="?",P975="?"),"⚠ akun tidak dikenal",IF(C975=D975,"⚠ debet = kredit","")))</f>
        <v/>
      </c>
    </row>
    <row r="976" customFormat="false" ht="15" hidden="false" customHeight="false" outlineLevel="0" collapsed="false">
      <c r="A976" s="82" t="s">
        <v>2044</v>
      </c>
      <c r="B976" s="101" t="n">
        <v>46232</v>
      </c>
      <c r="C976" s="82" t="s">
        <v>470</v>
      </c>
      <c r="D976" s="82" t="s">
        <v>461</v>
      </c>
      <c r="E976" s="91" t="n">
        <v>7200000</v>
      </c>
      <c r="F976" s="82" t="s">
        <v>1950</v>
      </c>
      <c r="G976" s="82"/>
      <c r="H976" s="82"/>
      <c r="I976" s="82" t="s">
        <v>250</v>
      </c>
      <c r="J976" s="102" t="n">
        <f aca="false">IF(B976="","",MONTH(B976))</f>
        <v>7</v>
      </c>
      <c r="K976" s="102" t="n">
        <f aca="false">IF(B976="","",YEAR(B976))</f>
        <v>2026</v>
      </c>
      <c r="L976" s="102" t="str">
        <f aca="false">IF(N(E976)=0,"",IF(COUNTIFS(AK_NAMA,C976,AK_KAT,"KAS")+COUNTIFS(AK_NAMA,D976,AK_KAT,"KAS")&lt;&gt;1,"",IF(COUNTIFS(AK_NAMA,C976,AK_KAT,"KAS")=1,D976,C976)))</f>
        <v>Biaya Bahan Baku</v>
      </c>
      <c r="M976" s="103" t="n">
        <f aca="false">IF(L976="",0,IF(L976=D976,E976,-E976))</f>
        <v>-7200000</v>
      </c>
      <c r="N976" s="102" t="str">
        <f aca="false">IF(L976="","",IFERROR(INDEX(AK_BARIS,MATCH(L976,AK_NAMA,0)),"?"))</f>
        <v>OP3</v>
      </c>
      <c r="O976" s="102" t="str">
        <f aca="false">IF(C976="","",IFERROR(INDEX(AK_KEL,MATCH(C976,AK_NAMA,0)),"?"))</f>
        <v>BEBAN</v>
      </c>
      <c r="P976" s="102" t="str">
        <f aca="false">IF(D976="","",IFERROR(INDEX(AK_KEL,MATCH(D976,AK_NAMA,0)),"?"))</f>
        <v>ASET</v>
      </c>
      <c r="Q976" s="102" t="n">
        <f aca="false">N(Q975)+IF(AND(N(E976)&lt;&gt;0,K976=TAHUN,N(J976)&lt;=BLN,OR(C976=BB_AKUN,D976=BB_AKUN)),1,0)</f>
        <v>646</v>
      </c>
      <c r="R976" s="104" t="str">
        <f aca="false">IF(OR(C976&amp;D976="",N(E976)=0),"",IF(OR(O976="?",P976="?"),"⚠ akun tidak dikenal",IF(C976=D976,"⚠ debet = kredit","")))</f>
        <v/>
      </c>
    </row>
    <row r="977" customFormat="false" ht="15" hidden="false" customHeight="false" outlineLevel="0" collapsed="false">
      <c r="A977" s="82" t="s">
        <v>2045</v>
      </c>
      <c r="B977" s="101" t="n">
        <v>46232</v>
      </c>
      <c r="C977" s="82" t="s">
        <v>730</v>
      </c>
      <c r="D977" s="82" t="s">
        <v>461</v>
      </c>
      <c r="E977" s="91" t="n">
        <v>10000000</v>
      </c>
      <c r="F977" s="82" t="s">
        <v>2046</v>
      </c>
      <c r="G977" s="82"/>
      <c r="H977" s="82"/>
      <c r="I977" s="82" t="s">
        <v>250</v>
      </c>
      <c r="J977" s="102" t="n">
        <f aca="false">IF(B977="","",MONTH(B977))</f>
        <v>7</v>
      </c>
      <c r="K977" s="102" t="n">
        <f aca="false">IF(B977="","",YEAR(B977))</f>
        <v>2026</v>
      </c>
      <c r="L977" s="102" t="str">
        <f aca="false">IF(N(E977)=0,"",IF(COUNTIFS(AK_NAMA,C977,AK_KAT,"KAS")+COUNTIFS(AK_NAMA,D977,AK_KAT,"KAS")&lt;&gt;1,"",IF(COUNTIFS(AK_NAMA,C977,AK_KAT,"KAS")=1,D977,C977)))</f>
        <v>Biaya Sewa Tempat</v>
      </c>
      <c r="M977" s="103" t="n">
        <f aca="false">IF(L977="",0,IF(L977=D977,E977,-E977))</f>
        <v>-10000000</v>
      </c>
      <c r="N977" s="102" t="str">
        <f aca="false">IF(L977="","",IFERROR(INDEX(AK_BARIS,MATCH(L977,AK_NAMA,0)),"?"))</f>
        <v>OP5</v>
      </c>
      <c r="O977" s="102" t="str">
        <f aca="false">IF(C977="","",IFERROR(INDEX(AK_KEL,MATCH(C977,AK_NAMA,0)),"?"))</f>
        <v>BEBAN</v>
      </c>
      <c r="P977" s="102" t="str">
        <f aca="false">IF(D977="","",IFERROR(INDEX(AK_KEL,MATCH(D977,AK_NAMA,0)),"?"))</f>
        <v>ASET</v>
      </c>
      <c r="Q977" s="102" t="n">
        <f aca="false">N(Q976)+IF(AND(N(E977)&lt;&gt;0,K977=TAHUN,N(J977)&lt;=BLN,OR(C977=BB_AKUN,D977=BB_AKUN)),1,0)</f>
        <v>647</v>
      </c>
      <c r="R977" s="104" t="str">
        <f aca="false">IF(OR(C977&amp;D977="",N(E977)=0),"",IF(OR(O977="?",P977="?"),"⚠ akun tidak dikenal",IF(C977=D977,"⚠ debet = kredit","")))</f>
        <v/>
      </c>
    </row>
    <row r="978" customFormat="false" ht="15" hidden="false" customHeight="false" outlineLevel="0" collapsed="false">
      <c r="A978" s="82" t="s">
        <v>2047</v>
      </c>
      <c r="B978" s="101" t="n">
        <v>46233</v>
      </c>
      <c r="C978" s="82" t="s">
        <v>464</v>
      </c>
      <c r="D978" s="82" t="s">
        <v>461</v>
      </c>
      <c r="E978" s="91" t="n">
        <v>4000000</v>
      </c>
      <c r="F978" s="82" t="s">
        <v>2048</v>
      </c>
      <c r="G978" s="82"/>
      <c r="H978" s="82"/>
      <c r="I978" s="82" t="s">
        <v>250</v>
      </c>
      <c r="J978" s="102" t="n">
        <f aca="false">IF(B978="","",MONTH(B978))</f>
        <v>7</v>
      </c>
      <c r="K978" s="102" t="n">
        <f aca="false">IF(B978="","",YEAR(B978))</f>
        <v>2026</v>
      </c>
      <c r="L978" s="102" t="str">
        <f aca="false">IF(N(E978)=0,"",IF(COUNTIFS(AK_NAMA,C978,AK_KAT,"KAS")+COUNTIFS(AK_NAMA,D978,AK_KAT,"KAS")&lt;&gt;1,"",IF(COUNTIFS(AK_NAMA,C978,AK_KAT,"KAS")=1,D978,C978)))</f>
        <v>Prive</v>
      </c>
      <c r="M978" s="103" t="n">
        <f aca="false">IF(L978="",0,IF(L978=D978,E978,-E978))</f>
        <v>-4000000</v>
      </c>
      <c r="N978" s="102" t="str">
        <f aca="false">IF(L978="","",IFERROR(INDEX(AK_BARIS,MATCH(L978,AK_NAMA,0)),"?"))</f>
        <v>FN1</v>
      </c>
      <c r="O978" s="102" t="str">
        <f aca="false">IF(C978="","",IFERROR(INDEX(AK_KEL,MATCH(C978,AK_NAMA,0)),"?"))</f>
        <v>EKUITAS</v>
      </c>
      <c r="P978" s="102" t="str">
        <f aca="false">IF(D978="","",IFERROR(INDEX(AK_KEL,MATCH(D978,AK_NAMA,0)),"?"))</f>
        <v>ASET</v>
      </c>
      <c r="Q978" s="102" t="n">
        <f aca="false">N(Q977)+IF(AND(N(E978)&lt;&gt;0,K978=TAHUN,N(J978)&lt;=BLN,OR(C978=BB_AKUN,D978=BB_AKUN)),1,0)</f>
        <v>648</v>
      </c>
      <c r="R978" s="104" t="str">
        <f aca="false">IF(OR(C978&amp;D978="",N(E978)=0),"",IF(OR(O978="?",P978="?"),"⚠ akun tidak dikenal",IF(C978=D978,"⚠ debet = kredit","")))</f>
        <v/>
      </c>
    </row>
    <row r="979" customFormat="false" ht="15" hidden="false" customHeight="false" outlineLevel="0" collapsed="false">
      <c r="A979" s="82" t="s">
        <v>2049</v>
      </c>
      <c r="B979" s="101" t="n">
        <v>46233</v>
      </c>
      <c r="C979" s="82" t="s">
        <v>460</v>
      </c>
      <c r="D979" s="82" t="s">
        <v>461</v>
      </c>
      <c r="E979" s="91" t="n">
        <v>46500</v>
      </c>
      <c r="F979" s="82" t="s">
        <v>2050</v>
      </c>
      <c r="G979" s="82" t="s">
        <v>390</v>
      </c>
      <c r="H979" s="82"/>
      <c r="I979" s="82" t="s">
        <v>250</v>
      </c>
      <c r="J979" s="102" t="n">
        <f aca="false">IF(B979="","",MONTH(B979))</f>
        <v>7</v>
      </c>
      <c r="K979" s="102" t="n">
        <f aca="false">IF(B979="","",YEAR(B979))</f>
        <v>2026</v>
      </c>
      <c r="L979" s="102" t="str">
        <f aca="false">IF(N(E979)=0,"",IF(COUNTIFS(AK_NAMA,C979,AK_KAT,"KAS")+COUNTIFS(AK_NAMA,D979,AK_KAT,"KAS")&lt;&gt;1,"",IF(COUNTIFS(AK_NAMA,C979,AK_KAT,"KAS")=1,D979,C979)))</f>
        <v>Biaya Marketing &amp; Promosi</v>
      </c>
      <c r="M979" s="103" t="n">
        <f aca="false">IF(L979="",0,IF(L979=D979,E979,-E979))</f>
        <v>-46500</v>
      </c>
      <c r="N979" s="102" t="str">
        <f aca="false">IF(L979="","",IFERROR(INDEX(AK_BARIS,MATCH(L979,AK_NAMA,0)),"?"))</f>
        <v>OP6</v>
      </c>
      <c r="O979" s="102" t="str">
        <f aca="false">IF(C979="","",IFERROR(INDEX(AK_KEL,MATCH(C979,AK_NAMA,0)),"?"))</f>
        <v>BEBAN</v>
      </c>
      <c r="P979" s="102" t="str">
        <f aca="false">IF(D979="","",IFERROR(INDEX(AK_KEL,MATCH(D979,AK_NAMA,0)),"?"))</f>
        <v>ASET</v>
      </c>
      <c r="Q979" s="102" t="n">
        <f aca="false">N(Q978)+IF(AND(N(E979)&lt;&gt;0,K979=TAHUN,N(J979)&lt;=BLN,OR(C979=BB_AKUN,D979=BB_AKUN)),1,0)</f>
        <v>649</v>
      </c>
      <c r="R979" s="104" t="str">
        <f aca="false">IF(OR(C979&amp;D979="",N(E979)=0),"",IF(OR(O979="?",P979="?"),"⚠ akun tidak dikenal",IF(C979=D979,"⚠ debet = kredit","")))</f>
        <v/>
      </c>
    </row>
    <row r="980" customFormat="false" ht="15" hidden="false" customHeight="false" outlineLevel="0" collapsed="false">
      <c r="A980" s="82" t="s">
        <v>2051</v>
      </c>
      <c r="B980" s="101" t="n">
        <v>46233</v>
      </c>
      <c r="C980" s="82" t="s">
        <v>470</v>
      </c>
      <c r="D980" s="82" t="s">
        <v>461</v>
      </c>
      <c r="E980" s="91" t="n">
        <v>1235000</v>
      </c>
      <c r="F980" s="82" t="s">
        <v>2052</v>
      </c>
      <c r="G980" s="82"/>
      <c r="H980" s="82"/>
      <c r="I980" s="82" t="s">
        <v>250</v>
      </c>
      <c r="J980" s="102" t="n">
        <f aca="false">IF(B980="","",MONTH(B980))</f>
        <v>7</v>
      </c>
      <c r="K980" s="102" t="n">
        <f aca="false">IF(B980="","",YEAR(B980))</f>
        <v>2026</v>
      </c>
      <c r="L980" s="102" t="str">
        <f aca="false">IF(N(E980)=0,"",IF(COUNTIFS(AK_NAMA,C980,AK_KAT,"KAS")+COUNTIFS(AK_NAMA,D980,AK_KAT,"KAS")&lt;&gt;1,"",IF(COUNTIFS(AK_NAMA,C980,AK_KAT,"KAS")=1,D980,C980)))</f>
        <v>Biaya Bahan Baku</v>
      </c>
      <c r="M980" s="103" t="n">
        <f aca="false">IF(L980="",0,IF(L980=D980,E980,-E980))</f>
        <v>-1235000</v>
      </c>
      <c r="N980" s="102" t="str">
        <f aca="false">IF(L980="","",IFERROR(INDEX(AK_BARIS,MATCH(L980,AK_NAMA,0)),"?"))</f>
        <v>OP3</v>
      </c>
      <c r="O980" s="102" t="str">
        <f aca="false">IF(C980="","",IFERROR(INDEX(AK_KEL,MATCH(C980,AK_NAMA,0)),"?"))</f>
        <v>BEBAN</v>
      </c>
      <c r="P980" s="102" t="str">
        <f aca="false">IF(D980="","",IFERROR(INDEX(AK_KEL,MATCH(D980,AK_NAMA,0)),"?"))</f>
        <v>ASET</v>
      </c>
      <c r="Q980" s="102" t="n">
        <f aca="false">N(Q979)+IF(AND(N(E980)&lt;&gt;0,K980=TAHUN,N(J980)&lt;=BLN,OR(C980=BB_AKUN,D980=BB_AKUN)),1,0)</f>
        <v>650</v>
      </c>
      <c r="R980" s="104" t="str">
        <f aca="false">IF(OR(C980&amp;D980="",N(E980)=0),"",IF(OR(O980="?",P980="?"),"⚠ akun tidak dikenal",IF(C980=D980,"⚠ debet = kredit","")))</f>
        <v/>
      </c>
    </row>
    <row r="981" customFormat="false" ht="15" hidden="false" customHeight="false" outlineLevel="0" collapsed="false">
      <c r="A981" s="82" t="s">
        <v>2053</v>
      </c>
      <c r="B981" s="101" t="n">
        <v>46234</v>
      </c>
      <c r="C981" s="82" t="s">
        <v>576</v>
      </c>
      <c r="D981" s="82" t="s">
        <v>461</v>
      </c>
      <c r="E981" s="91" t="n">
        <v>19867333</v>
      </c>
      <c r="F981" s="82" t="s">
        <v>724</v>
      </c>
      <c r="G981" s="82"/>
      <c r="H981" s="82"/>
      <c r="I981" s="82" t="s">
        <v>250</v>
      </c>
      <c r="J981" s="102" t="n">
        <f aca="false">IF(B981="","",MONTH(B981))</f>
        <v>7</v>
      </c>
      <c r="K981" s="102" t="n">
        <f aca="false">IF(B981="","",YEAR(B981))</f>
        <v>2026</v>
      </c>
      <c r="L981" s="102" t="str">
        <f aca="false">IF(N(E981)=0,"",IF(COUNTIFS(AK_NAMA,C981,AK_KAT,"KAS")+COUNTIFS(AK_NAMA,D981,AK_KAT,"KAS")&lt;&gt;1,"",IF(COUNTIFS(AK_NAMA,C981,AK_KAT,"KAS")=1,D981,C981)))</f>
        <v>Beban Gaji</v>
      </c>
      <c r="M981" s="103" t="n">
        <f aca="false">IF(L981="",0,IF(L981=D981,E981,-E981))</f>
        <v>-19867333</v>
      </c>
      <c r="N981" s="102" t="str">
        <f aca="false">IF(L981="","",IFERROR(INDEX(AK_BARIS,MATCH(L981,AK_NAMA,0)),"?"))</f>
        <v>OP4</v>
      </c>
      <c r="O981" s="102" t="str">
        <f aca="false">IF(C981="","",IFERROR(INDEX(AK_KEL,MATCH(C981,AK_NAMA,0)),"?"))</f>
        <v>BEBAN</v>
      </c>
      <c r="P981" s="102" t="str">
        <f aca="false">IF(D981="","",IFERROR(INDEX(AK_KEL,MATCH(D981,AK_NAMA,0)),"?"))</f>
        <v>ASET</v>
      </c>
      <c r="Q981" s="102" t="n">
        <f aca="false">N(Q980)+IF(AND(N(E981)&lt;&gt;0,K981=TAHUN,N(J981)&lt;=BLN,OR(C981=BB_AKUN,D981=BB_AKUN)),1,0)</f>
        <v>651</v>
      </c>
      <c r="R981" s="104" t="str">
        <f aca="false">IF(OR(C981&amp;D981="",N(E981)=0),"",IF(OR(O981="?",P981="?"),"⚠ akun tidak dikenal",IF(C981=D981,"⚠ debet = kredit","")))</f>
        <v/>
      </c>
    </row>
    <row r="982" customFormat="false" ht="15" hidden="false" customHeight="false" outlineLevel="0" collapsed="false">
      <c r="A982" s="82" t="s">
        <v>2054</v>
      </c>
      <c r="B982" s="101" t="n">
        <v>46234</v>
      </c>
      <c r="C982" s="82" t="s">
        <v>461</v>
      </c>
      <c r="D982" s="82" t="s">
        <v>718</v>
      </c>
      <c r="E982" s="91" t="n">
        <v>333333</v>
      </c>
      <c r="F982" s="82" t="s">
        <v>1641</v>
      </c>
      <c r="G982" s="82"/>
      <c r="H982" s="82" t="s">
        <v>1521</v>
      </c>
      <c r="I982" s="82" t="s">
        <v>250</v>
      </c>
      <c r="J982" s="102" t="n">
        <f aca="false">IF(B982="","",MONTH(B982))</f>
        <v>7</v>
      </c>
      <c r="K982" s="102" t="n">
        <f aca="false">IF(B982="","",YEAR(B982))</f>
        <v>2026</v>
      </c>
      <c r="L982" s="102" t="str">
        <f aca="false">IF(N(E982)=0,"",IF(COUNTIFS(AK_NAMA,C982,AK_KAT,"KAS")+COUNTIFS(AK_NAMA,D982,AK_KAT,"KAS")&lt;&gt;1,"",IF(COUNTIFS(AK_NAMA,C982,AK_KAT,"KAS")=1,D982,C982)))</f>
        <v>Piutang Lainnya</v>
      </c>
      <c r="M982" s="103" t="n">
        <f aca="false">IF(L982="",0,IF(L982=D982,E982,-E982))</f>
        <v>333333</v>
      </c>
      <c r="N982" s="102" t="str">
        <f aca="false">IF(L982="","",IFERROR(INDEX(AK_BARIS,MATCH(L982,AK_NAMA,0)),"?"))</f>
        <v>OP2</v>
      </c>
      <c r="O982" s="102" t="str">
        <f aca="false">IF(C982="","",IFERROR(INDEX(AK_KEL,MATCH(C982,AK_NAMA,0)),"?"))</f>
        <v>ASET</v>
      </c>
      <c r="P982" s="102" t="str">
        <f aca="false">IF(D982="","",IFERROR(INDEX(AK_KEL,MATCH(D982,AK_NAMA,0)),"?"))</f>
        <v>ASET</v>
      </c>
      <c r="Q982" s="102" t="n">
        <f aca="false">N(Q981)+IF(AND(N(E982)&lt;&gt;0,K982=TAHUN,N(J982)&lt;=BLN,OR(C982=BB_AKUN,D982=BB_AKUN)),1,0)</f>
        <v>652</v>
      </c>
      <c r="R982" s="104" t="str">
        <f aca="false">IF(OR(C982&amp;D982="",N(E982)=0),"",IF(OR(O982="?",P982="?"),"⚠ akun tidak dikenal",IF(C982=D982,"⚠ debet = kredit","")))</f>
        <v/>
      </c>
    </row>
    <row r="983" customFormat="false" ht="15" hidden="false" customHeight="false" outlineLevel="0" collapsed="false">
      <c r="A983" s="82" t="s">
        <v>2055</v>
      </c>
      <c r="B983" s="101" t="n">
        <v>46234</v>
      </c>
      <c r="C983" s="82" t="s">
        <v>524</v>
      </c>
      <c r="D983" s="82" t="s">
        <v>461</v>
      </c>
      <c r="E983" s="91" t="n">
        <v>13977</v>
      </c>
      <c r="F983" s="82" t="s">
        <v>728</v>
      </c>
      <c r="G983" s="82"/>
      <c r="H983" s="82"/>
      <c r="I983" s="82" t="s">
        <v>250</v>
      </c>
      <c r="J983" s="102" t="n">
        <f aca="false">IF(B983="","",MONTH(B983))</f>
        <v>7</v>
      </c>
      <c r="K983" s="102" t="n">
        <f aca="false">IF(B983="","",YEAR(B983))</f>
        <v>2026</v>
      </c>
      <c r="L983" s="102" t="str">
        <f aca="false">IF(N(E983)=0,"",IF(COUNTIFS(AK_NAMA,C983,AK_KAT,"KAS")+COUNTIFS(AK_NAMA,D983,AK_KAT,"KAS")&lt;&gt;1,"",IF(COUNTIFS(AK_NAMA,C983,AK_KAT,"KAS")=1,D983,C983)))</f>
        <v>Biaya Lainnya</v>
      </c>
      <c r="M983" s="103" t="n">
        <f aca="false">IF(L983="",0,IF(L983=D983,E983,-E983))</f>
        <v>-13977</v>
      </c>
      <c r="N983" s="102" t="str">
        <f aca="false">IF(L983="","",IFERROR(INDEX(AK_BARIS,MATCH(L983,AK_NAMA,0)),"?"))</f>
        <v>OP2</v>
      </c>
      <c r="O983" s="102" t="str">
        <f aca="false">IF(C983="","",IFERROR(INDEX(AK_KEL,MATCH(C983,AK_NAMA,0)),"?"))</f>
        <v>BEBAN</v>
      </c>
      <c r="P983" s="102" t="str">
        <f aca="false">IF(D983="","",IFERROR(INDEX(AK_KEL,MATCH(D983,AK_NAMA,0)),"?"))</f>
        <v>ASET</v>
      </c>
      <c r="Q983" s="102" t="n">
        <f aca="false">N(Q982)+IF(AND(N(E983)&lt;&gt;0,K983=TAHUN,N(J983)&lt;=BLN,OR(C983=BB_AKUN,D983=BB_AKUN)),1,0)</f>
        <v>653</v>
      </c>
      <c r="R983" s="104" t="str">
        <f aca="false">IF(OR(C983&amp;D983="",N(E983)=0),"",IF(OR(O983="?",P983="?"),"⚠ akun tidak dikenal",IF(C983=D983,"⚠ debet = kredit","")))</f>
        <v/>
      </c>
    </row>
    <row r="984" customFormat="false" ht="15" hidden="false" customHeight="false" outlineLevel="0" collapsed="false">
      <c r="A984" s="82" t="s">
        <v>2056</v>
      </c>
      <c r="B984" s="101" t="n">
        <v>46234</v>
      </c>
      <c r="C984" s="82" t="s">
        <v>470</v>
      </c>
      <c r="D984" s="82" t="s">
        <v>461</v>
      </c>
      <c r="E984" s="91" t="n">
        <v>320000</v>
      </c>
      <c r="F984" s="82" t="s">
        <v>2057</v>
      </c>
      <c r="G984" s="82"/>
      <c r="H984" s="82"/>
      <c r="I984" s="82" t="s">
        <v>250</v>
      </c>
      <c r="J984" s="102" t="n">
        <f aca="false">IF(B984="","",MONTH(B984))</f>
        <v>7</v>
      </c>
      <c r="K984" s="102" t="n">
        <f aca="false">IF(B984="","",YEAR(B984))</f>
        <v>2026</v>
      </c>
      <c r="L984" s="102" t="str">
        <f aca="false">IF(N(E984)=0,"",IF(COUNTIFS(AK_NAMA,C984,AK_KAT,"KAS")+COUNTIFS(AK_NAMA,D984,AK_KAT,"KAS")&lt;&gt;1,"",IF(COUNTIFS(AK_NAMA,C984,AK_KAT,"KAS")=1,D984,C984)))</f>
        <v>Biaya Bahan Baku</v>
      </c>
      <c r="M984" s="103" t="n">
        <f aca="false">IF(L984="",0,IF(L984=D984,E984,-E984))</f>
        <v>-320000</v>
      </c>
      <c r="N984" s="102" t="str">
        <f aca="false">IF(L984="","",IFERROR(INDEX(AK_BARIS,MATCH(L984,AK_NAMA,0)),"?"))</f>
        <v>OP3</v>
      </c>
      <c r="O984" s="102" t="str">
        <f aca="false">IF(C984="","",IFERROR(INDEX(AK_KEL,MATCH(C984,AK_NAMA,0)),"?"))</f>
        <v>BEBAN</v>
      </c>
      <c r="P984" s="102" t="str">
        <f aca="false">IF(D984="","",IFERROR(INDEX(AK_KEL,MATCH(D984,AK_NAMA,0)),"?"))</f>
        <v>ASET</v>
      </c>
      <c r="Q984" s="102" t="n">
        <f aca="false">N(Q983)+IF(AND(N(E984)&lt;&gt;0,K984=TAHUN,N(J984)&lt;=BLN,OR(C984=BB_AKUN,D984=BB_AKUN)),1,0)</f>
        <v>654</v>
      </c>
      <c r="R984" s="104" t="str">
        <f aca="false">IF(OR(C984&amp;D984="",N(E984)=0),"",IF(OR(O984="?",P984="?"),"⚠ akun tidak dikenal",IF(C984=D984,"⚠ debet = kredit","")))</f>
        <v/>
      </c>
    </row>
    <row r="985" customFormat="false" ht="15" hidden="false" customHeight="false" outlineLevel="0" collapsed="false">
      <c r="A985" s="82" t="s">
        <v>2058</v>
      </c>
      <c r="B985" s="101" t="n">
        <v>46234</v>
      </c>
      <c r="C985" s="82" t="s">
        <v>470</v>
      </c>
      <c r="D985" s="82" t="s">
        <v>461</v>
      </c>
      <c r="E985" s="91" t="n">
        <v>247000</v>
      </c>
      <c r="F985" s="82" t="s">
        <v>2059</v>
      </c>
      <c r="G985" s="82"/>
      <c r="H985" s="82"/>
      <c r="I985" s="82" t="s">
        <v>250</v>
      </c>
      <c r="J985" s="102" t="n">
        <f aca="false">IF(B985="","",MONTH(B985))</f>
        <v>7</v>
      </c>
      <c r="K985" s="102" t="n">
        <f aca="false">IF(B985="","",YEAR(B985))</f>
        <v>2026</v>
      </c>
      <c r="L985" s="102" t="str">
        <f aca="false">IF(N(E985)=0,"",IF(COUNTIFS(AK_NAMA,C985,AK_KAT,"KAS")+COUNTIFS(AK_NAMA,D985,AK_KAT,"KAS")&lt;&gt;1,"",IF(COUNTIFS(AK_NAMA,C985,AK_KAT,"KAS")=1,D985,C985)))</f>
        <v>Biaya Bahan Baku</v>
      </c>
      <c r="M985" s="103" t="n">
        <f aca="false">IF(L985="",0,IF(L985=D985,E985,-E985))</f>
        <v>-247000</v>
      </c>
      <c r="N985" s="102" t="str">
        <f aca="false">IF(L985="","",IFERROR(INDEX(AK_BARIS,MATCH(L985,AK_NAMA,0)),"?"))</f>
        <v>OP3</v>
      </c>
      <c r="O985" s="102" t="str">
        <f aca="false">IF(C985="","",IFERROR(INDEX(AK_KEL,MATCH(C985,AK_NAMA,0)),"?"))</f>
        <v>BEBAN</v>
      </c>
      <c r="P985" s="102" t="str">
        <f aca="false">IF(D985="","",IFERROR(INDEX(AK_KEL,MATCH(D985,AK_NAMA,0)),"?"))</f>
        <v>ASET</v>
      </c>
      <c r="Q985" s="102" t="n">
        <f aca="false">N(Q984)+IF(AND(N(E985)&lt;&gt;0,K985=TAHUN,N(J985)&lt;=BLN,OR(C985=BB_AKUN,D985=BB_AKUN)),1,0)</f>
        <v>655</v>
      </c>
      <c r="R985" s="104" t="str">
        <f aca="false">IF(OR(C985&amp;D985="",N(E985)=0),"",IF(OR(O985="?",P985="?"),"⚠ akun tidak dikenal",IF(C985=D985,"⚠ debet = kredit","")))</f>
        <v/>
      </c>
    </row>
    <row r="986" customFormat="false" ht="15" hidden="false" customHeight="false" outlineLevel="0" collapsed="false">
      <c r="A986" s="82" t="s">
        <v>2060</v>
      </c>
      <c r="B986" s="101" t="n">
        <v>46234</v>
      </c>
      <c r="C986" s="82" t="s">
        <v>524</v>
      </c>
      <c r="D986" s="82" t="s">
        <v>461</v>
      </c>
      <c r="E986" s="91" t="n">
        <v>225</v>
      </c>
      <c r="F986" s="82" t="s">
        <v>775</v>
      </c>
      <c r="G986" s="82"/>
      <c r="H986" s="82"/>
      <c r="I986" s="82" t="s">
        <v>250</v>
      </c>
      <c r="J986" s="102" t="n">
        <f aca="false">IF(B986="","",MONTH(B986))</f>
        <v>7</v>
      </c>
      <c r="K986" s="102" t="n">
        <f aca="false">IF(B986="","",YEAR(B986))</f>
        <v>2026</v>
      </c>
      <c r="L986" s="102" t="str">
        <f aca="false">IF(N(E986)=0,"",IF(COUNTIFS(AK_NAMA,C986,AK_KAT,"KAS")+COUNTIFS(AK_NAMA,D986,AK_KAT,"KAS")&lt;&gt;1,"",IF(COUNTIFS(AK_NAMA,C986,AK_KAT,"KAS")=1,D986,C986)))</f>
        <v>Biaya Lainnya</v>
      </c>
      <c r="M986" s="103" t="n">
        <f aca="false">IF(L986="",0,IF(L986=D986,E986,-E986))</f>
        <v>-225</v>
      </c>
      <c r="N986" s="102" t="str">
        <f aca="false">IF(L986="","",IFERROR(INDEX(AK_BARIS,MATCH(L986,AK_NAMA,0)),"?"))</f>
        <v>OP2</v>
      </c>
      <c r="O986" s="102" t="str">
        <f aca="false">IF(C986="","",IFERROR(INDEX(AK_KEL,MATCH(C986,AK_NAMA,0)),"?"))</f>
        <v>BEBAN</v>
      </c>
      <c r="P986" s="102" t="str">
        <f aca="false">IF(D986="","",IFERROR(INDEX(AK_KEL,MATCH(D986,AK_NAMA,0)),"?"))</f>
        <v>ASET</v>
      </c>
      <c r="Q986" s="102" t="n">
        <f aca="false">N(Q985)+IF(AND(N(E986)&lt;&gt;0,K986=TAHUN,N(J986)&lt;=BLN,OR(C986=BB_AKUN,D986=BB_AKUN)),1,0)</f>
        <v>656</v>
      </c>
      <c r="R986" s="104" t="str">
        <f aca="false">IF(OR(C986&amp;D986="",N(E986)=0),"",IF(OR(O986="?",P986="?"),"⚠ akun tidak dikenal",IF(C986=D986,"⚠ debet = kredit","")))</f>
        <v/>
      </c>
    </row>
    <row r="987" customFormat="false" ht="15" hidden="false" customHeight="false" outlineLevel="0" collapsed="false">
      <c r="A987" s="82" t="s">
        <v>2061</v>
      </c>
      <c r="B987" s="101" t="n">
        <v>46234</v>
      </c>
      <c r="C987" s="82" t="s">
        <v>461</v>
      </c>
      <c r="D987" s="82" t="s">
        <v>557</v>
      </c>
      <c r="E987" s="91" t="n">
        <v>1127</v>
      </c>
      <c r="F987" s="82" t="s">
        <v>773</v>
      </c>
      <c r="G987" s="82"/>
      <c r="H987" s="82"/>
      <c r="I987" s="82" t="s">
        <v>250</v>
      </c>
      <c r="J987" s="102" t="n">
        <f aca="false">IF(B987="","",MONTH(B987))</f>
        <v>7</v>
      </c>
      <c r="K987" s="102" t="n">
        <f aca="false">IF(B987="","",YEAR(B987))</f>
        <v>2026</v>
      </c>
      <c r="L987" s="102" t="str">
        <f aca="false">IF(N(E987)=0,"",IF(COUNTIFS(AK_NAMA,C987,AK_KAT,"KAS")+COUNTIFS(AK_NAMA,D987,AK_KAT,"KAS")&lt;&gt;1,"",IF(COUNTIFS(AK_NAMA,C987,AK_KAT,"KAS")=1,D987,C987)))</f>
        <v>Pendapatan Lainnya</v>
      </c>
      <c r="M987" s="103" t="n">
        <f aca="false">IF(L987="",0,IF(L987=D987,E987,-E987))</f>
        <v>1127</v>
      </c>
      <c r="N987" s="102" t="str">
        <f aca="false">IF(L987="","",IFERROR(INDEX(AK_BARIS,MATCH(L987,AK_NAMA,0)),"?"))</f>
        <v>OP2</v>
      </c>
      <c r="O987" s="102" t="str">
        <f aca="false">IF(C987="","",IFERROR(INDEX(AK_KEL,MATCH(C987,AK_NAMA,0)),"?"))</f>
        <v>ASET</v>
      </c>
      <c r="P987" s="102" t="str">
        <f aca="false">IF(D987="","",IFERROR(INDEX(AK_KEL,MATCH(D987,AK_NAMA,0)),"?"))</f>
        <v>PENDAPATAN</v>
      </c>
      <c r="Q987" s="102" t="n">
        <f aca="false">N(Q986)+IF(AND(N(E987)&lt;&gt;0,K987=TAHUN,N(J987)&lt;=BLN,OR(C987=BB_AKUN,D987=BB_AKUN)),1,0)</f>
        <v>657</v>
      </c>
      <c r="R987" s="104" t="str">
        <f aca="false">IF(OR(C987&amp;D987="",N(E987)=0),"",IF(OR(O987="?",P987="?"),"⚠ akun tidak dikenal",IF(C987=D987,"⚠ debet = kredit","")))</f>
        <v/>
      </c>
    </row>
    <row r="988" customFormat="false" ht="15" hidden="false" customHeight="false" outlineLevel="0" collapsed="false">
      <c r="A988" s="82" t="s">
        <v>2062</v>
      </c>
      <c r="B988" s="101" t="n">
        <v>46234</v>
      </c>
      <c r="C988" s="82" t="s">
        <v>461</v>
      </c>
      <c r="D988" s="82" t="s">
        <v>718</v>
      </c>
      <c r="E988" s="91" t="n">
        <v>583800</v>
      </c>
      <c r="F988" s="82" t="s">
        <v>2063</v>
      </c>
      <c r="G988" s="82"/>
      <c r="H988" s="82" t="s">
        <v>763</v>
      </c>
      <c r="I988" s="82" t="s">
        <v>250</v>
      </c>
      <c r="J988" s="102" t="n">
        <f aca="false">IF(B988="","",MONTH(B988))</f>
        <v>7</v>
      </c>
      <c r="K988" s="102" t="n">
        <f aca="false">IF(B988="","",YEAR(B988))</f>
        <v>2026</v>
      </c>
      <c r="L988" s="102" t="str">
        <f aca="false">IF(N(E988)=0,"",IF(COUNTIFS(AK_NAMA,C988,AK_KAT,"KAS")+COUNTIFS(AK_NAMA,D988,AK_KAT,"KAS")&lt;&gt;1,"",IF(COUNTIFS(AK_NAMA,C988,AK_KAT,"KAS")=1,D988,C988)))</f>
        <v>Piutang Lainnya</v>
      </c>
      <c r="M988" s="103" t="n">
        <f aca="false">IF(L988="",0,IF(L988=D988,E988,-E988))</f>
        <v>583800</v>
      </c>
      <c r="N988" s="102" t="str">
        <f aca="false">IF(L988="","",IFERROR(INDEX(AK_BARIS,MATCH(L988,AK_NAMA,0)),"?"))</f>
        <v>OP2</v>
      </c>
      <c r="O988" s="102" t="str">
        <f aca="false">IF(C988="","",IFERROR(INDEX(AK_KEL,MATCH(C988,AK_NAMA,0)),"?"))</f>
        <v>ASET</v>
      </c>
      <c r="P988" s="102" t="str">
        <f aca="false">IF(D988="","",IFERROR(INDEX(AK_KEL,MATCH(D988,AK_NAMA,0)),"?"))</f>
        <v>ASET</v>
      </c>
      <c r="Q988" s="102" t="n">
        <f aca="false">N(Q987)+IF(AND(N(E988)&lt;&gt;0,K988=TAHUN,N(J988)&lt;=BLN,OR(C988=BB_AKUN,D988=BB_AKUN)),1,0)</f>
        <v>658</v>
      </c>
      <c r="R988" s="104" t="str">
        <f aca="false">IF(OR(C988&amp;D988="",N(E988)=0),"",IF(OR(O988="?",P988="?"),"⚠ akun tidak dikenal",IF(C988=D988,"⚠ debet = kredit","")))</f>
        <v/>
      </c>
    </row>
    <row r="989" customFormat="false" ht="15" hidden="false" customHeight="false" outlineLevel="0" collapsed="false">
      <c r="A989" s="82" t="s">
        <v>2064</v>
      </c>
      <c r="B989" s="101" t="n">
        <v>46234</v>
      </c>
      <c r="C989" s="82" t="s">
        <v>467</v>
      </c>
      <c r="D989" s="82" t="s">
        <v>461</v>
      </c>
      <c r="E989" s="91" t="n">
        <v>1500000</v>
      </c>
      <c r="F989" s="82" t="s">
        <v>2065</v>
      </c>
      <c r="G989" s="82"/>
      <c r="H989" s="82"/>
      <c r="I989" s="82" t="s">
        <v>250</v>
      </c>
      <c r="J989" s="102" t="n">
        <f aca="false">IF(B989="","",MONTH(B989))</f>
        <v>7</v>
      </c>
      <c r="K989" s="102" t="n">
        <f aca="false">IF(B989="","",YEAR(B989))</f>
        <v>2026</v>
      </c>
      <c r="L989" s="102" t="str">
        <f aca="false">IF(N(E989)=0,"",IF(COUNTIFS(AK_NAMA,C989,AK_KAT,"KAS")+COUNTIFS(AK_NAMA,D989,AK_KAT,"KAS")&lt;&gt;1,"",IF(COUNTIFS(AK_NAMA,C989,AK_KAT,"KAS")=1,D989,C989)))</f>
        <v>Dana Sosial &amp; CSR</v>
      </c>
      <c r="M989" s="103" t="n">
        <f aca="false">IF(L989="",0,IF(L989=D989,E989,-E989))</f>
        <v>-1500000</v>
      </c>
      <c r="N989" s="102" t="str">
        <f aca="false">IF(L989="","",IFERROR(INDEX(AK_BARIS,MATCH(L989,AK_NAMA,0)),"?"))</f>
        <v>OP6</v>
      </c>
      <c r="O989" s="102" t="str">
        <f aca="false">IF(C989="","",IFERROR(INDEX(AK_KEL,MATCH(C989,AK_NAMA,0)),"?"))</f>
        <v>BEBAN</v>
      </c>
      <c r="P989" s="102" t="str">
        <f aca="false">IF(D989="","",IFERROR(INDEX(AK_KEL,MATCH(D989,AK_NAMA,0)),"?"))</f>
        <v>ASET</v>
      </c>
      <c r="Q989" s="102" t="n">
        <f aca="false">N(Q988)+IF(AND(N(E989)&lt;&gt;0,K989=TAHUN,N(J989)&lt;=BLN,OR(C989=BB_AKUN,D989=BB_AKUN)),1,0)</f>
        <v>659</v>
      </c>
      <c r="R989" s="104" t="str">
        <f aca="false">IF(OR(C989&amp;D989="",N(E989)=0),"",IF(OR(O989="?",P989="?"),"⚠ akun tidak dikenal",IF(C989=D989,"⚠ debet = kredit","")))</f>
        <v/>
      </c>
    </row>
    <row r="990" customFormat="false" ht="15" hidden="false" customHeight="false" outlineLevel="0" collapsed="false">
      <c r="A990" s="82" t="s">
        <v>2066</v>
      </c>
      <c r="B990" s="101" t="n">
        <v>46234</v>
      </c>
      <c r="C990" s="82" t="s">
        <v>669</v>
      </c>
      <c r="D990" s="82" t="s">
        <v>461</v>
      </c>
      <c r="E990" s="91" t="n">
        <v>4286399</v>
      </c>
      <c r="F990" s="82" t="s">
        <v>2067</v>
      </c>
      <c r="G990" s="82"/>
      <c r="H990" s="82"/>
      <c r="I990" s="82" t="s">
        <v>250</v>
      </c>
      <c r="J990" s="102" t="n">
        <f aca="false">IF(B990="","",MONTH(B990))</f>
        <v>7</v>
      </c>
      <c r="K990" s="102" t="n">
        <f aca="false">IF(B990="","",YEAR(B990))</f>
        <v>2026</v>
      </c>
      <c r="L990" s="102" t="str">
        <f aca="false">IF(N(E990)=0,"",IF(COUNTIFS(AK_NAMA,C990,AK_KAT,"KAS")+COUNTIFS(AK_NAMA,D990,AK_KAT,"KAS")&lt;&gt;1,"",IF(COUNTIFS(AK_NAMA,C990,AK_KAT,"KAS")=1,D990,C990)))</f>
        <v>Biaya Tagihan Bulanan</v>
      </c>
      <c r="M990" s="103" t="n">
        <f aca="false">IF(L990="",0,IF(L990=D990,E990,-E990))</f>
        <v>-4286399</v>
      </c>
      <c r="N990" s="102" t="str">
        <f aca="false">IF(L990="","",IFERROR(INDEX(AK_BARIS,MATCH(L990,AK_NAMA,0)),"?"))</f>
        <v>OP6</v>
      </c>
      <c r="O990" s="102" t="str">
        <f aca="false">IF(C990="","",IFERROR(INDEX(AK_KEL,MATCH(C990,AK_NAMA,0)),"?"))</f>
        <v>BEBAN</v>
      </c>
      <c r="P990" s="102" t="str">
        <f aca="false">IF(D990="","",IFERROR(INDEX(AK_KEL,MATCH(D990,AK_NAMA,0)),"?"))</f>
        <v>ASET</v>
      </c>
      <c r="Q990" s="102" t="n">
        <f aca="false">N(Q989)+IF(AND(N(E990)&lt;&gt;0,K990=TAHUN,N(J990)&lt;=BLN,OR(C990=BB_AKUN,D990=BB_AKUN)),1,0)</f>
        <v>660</v>
      </c>
      <c r="R990" s="104" t="str">
        <f aca="false">IF(OR(C990&amp;D990="",N(E990)=0),"",IF(OR(O990="?",P990="?"),"⚠ akun tidak dikenal",IF(C990=D990,"⚠ debet = kredit","")))</f>
        <v/>
      </c>
    </row>
    <row r="991" customFormat="false" ht="15" hidden="false" customHeight="false" outlineLevel="0" collapsed="false">
      <c r="A991" s="82" t="s">
        <v>2068</v>
      </c>
      <c r="B991" s="101" t="n">
        <v>46234</v>
      </c>
      <c r="C991" s="82" t="s">
        <v>669</v>
      </c>
      <c r="D991" s="82" t="s">
        <v>461</v>
      </c>
      <c r="E991" s="91" t="n">
        <v>56891</v>
      </c>
      <c r="F991" s="82" t="s">
        <v>2069</v>
      </c>
      <c r="G991" s="82"/>
      <c r="H991" s="82"/>
      <c r="I991" s="82" t="s">
        <v>250</v>
      </c>
      <c r="J991" s="102" t="n">
        <f aca="false">IF(B991="","",MONTH(B991))</f>
        <v>7</v>
      </c>
      <c r="K991" s="102" t="n">
        <f aca="false">IF(B991="","",YEAR(B991))</f>
        <v>2026</v>
      </c>
      <c r="L991" s="102" t="str">
        <f aca="false">IF(N(E991)=0,"",IF(COUNTIFS(AK_NAMA,C991,AK_KAT,"KAS")+COUNTIFS(AK_NAMA,D991,AK_KAT,"KAS")&lt;&gt;1,"",IF(COUNTIFS(AK_NAMA,C991,AK_KAT,"KAS")=1,D991,C991)))</f>
        <v>Biaya Tagihan Bulanan</v>
      </c>
      <c r="M991" s="103" t="n">
        <f aca="false">IF(L991="",0,IF(L991=D991,E991,-E991))</f>
        <v>-56891</v>
      </c>
      <c r="N991" s="102" t="str">
        <f aca="false">IF(L991="","",IFERROR(INDEX(AK_BARIS,MATCH(L991,AK_NAMA,0)),"?"))</f>
        <v>OP6</v>
      </c>
      <c r="O991" s="102" t="str">
        <f aca="false">IF(C991="","",IFERROR(INDEX(AK_KEL,MATCH(C991,AK_NAMA,0)),"?"))</f>
        <v>BEBAN</v>
      </c>
      <c r="P991" s="102" t="str">
        <f aca="false">IF(D991="","",IFERROR(INDEX(AK_KEL,MATCH(D991,AK_NAMA,0)),"?"))</f>
        <v>ASET</v>
      </c>
      <c r="Q991" s="102" t="n">
        <f aca="false">N(Q990)+IF(AND(N(E991)&lt;&gt;0,K991=TAHUN,N(J991)&lt;=BLN,OR(C991=BB_AKUN,D991=BB_AKUN)),1,0)</f>
        <v>661</v>
      </c>
      <c r="R991" s="104" t="str">
        <f aca="false">IF(OR(C991&amp;D991="",N(E991)=0),"",IF(OR(O991="?",P991="?"),"⚠ akun tidak dikenal",IF(C991=D991,"⚠ debet = kredit","")))</f>
        <v/>
      </c>
    </row>
    <row r="992" customFormat="false" ht="15" hidden="false" customHeight="false" outlineLevel="0" collapsed="false">
      <c r="A992" s="82" t="s">
        <v>2070</v>
      </c>
      <c r="B992" s="101" t="n">
        <v>46234</v>
      </c>
      <c r="C992" s="82" t="s">
        <v>669</v>
      </c>
      <c r="D992" s="82" t="s">
        <v>461</v>
      </c>
      <c r="E992" s="91" t="n">
        <v>386450</v>
      </c>
      <c r="F992" s="82" t="s">
        <v>2071</v>
      </c>
      <c r="G992" s="82"/>
      <c r="H992" s="82"/>
      <c r="I992" s="82" t="s">
        <v>250</v>
      </c>
      <c r="J992" s="102" t="n">
        <f aca="false">IF(B992="","",MONTH(B992))</f>
        <v>7</v>
      </c>
      <c r="K992" s="102" t="n">
        <f aca="false">IF(B992="","",YEAR(B992))</f>
        <v>2026</v>
      </c>
      <c r="L992" s="102" t="str">
        <f aca="false">IF(N(E992)=0,"",IF(COUNTIFS(AK_NAMA,C992,AK_KAT,"KAS")+COUNTIFS(AK_NAMA,D992,AK_KAT,"KAS")&lt;&gt;1,"",IF(COUNTIFS(AK_NAMA,C992,AK_KAT,"KAS")=1,D992,C992)))</f>
        <v>Biaya Tagihan Bulanan</v>
      </c>
      <c r="M992" s="103" t="n">
        <f aca="false">IF(L992="",0,IF(L992=D992,E992,-E992))</f>
        <v>-386450</v>
      </c>
      <c r="N992" s="102" t="str">
        <f aca="false">IF(L992="","",IFERROR(INDEX(AK_BARIS,MATCH(L992,AK_NAMA,0)),"?"))</f>
        <v>OP6</v>
      </c>
      <c r="O992" s="102" t="str">
        <f aca="false">IF(C992="","",IFERROR(INDEX(AK_KEL,MATCH(C992,AK_NAMA,0)),"?"))</f>
        <v>BEBAN</v>
      </c>
      <c r="P992" s="102" t="str">
        <f aca="false">IF(D992="","",IFERROR(INDEX(AK_KEL,MATCH(D992,AK_NAMA,0)),"?"))</f>
        <v>ASET</v>
      </c>
      <c r="Q992" s="102" t="n">
        <f aca="false">N(Q991)+IF(AND(N(E992)&lt;&gt;0,K992=TAHUN,N(J992)&lt;=BLN,OR(C992=BB_AKUN,D992=BB_AKUN)),1,0)</f>
        <v>662</v>
      </c>
      <c r="R992" s="104" t="str">
        <f aca="false">IF(OR(C992&amp;D992="",N(E992)=0),"",IF(OR(O992="?",P992="?"),"⚠ akun tidak dikenal",IF(C992=D992,"⚠ debet = kredit","")))</f>
        <v/>
      </c>
    </row>
    <row r="993" customFormat="false" ht="15" hidden="false" customHeight="false" outlineLevel="0" collapsed="false">
      <c r="A993" s="82" t="s">
        <v>2072</v>
      </c>
      <c r="B993" s="101" t="n">
        <v>46234</v>
      </c>
      <c r="C993" s="82" t="s">
        <v>787</v>
      </c>
      <c r="D993" s="82" t="s">
        <v>461</v>
      </c>
      <c r="E993" s="91" t="n">
        <v>2094000</v>
      </c>
      <c r="F993" s="82" t="s">
        <v>2073</v>
      </c>
      <c r="G993" s="82"/>
      <c r="H993" s="82"/>
      <c r="I993" s="82" t="s">
        <v>250</v>
      </c>
      <c r="J993" s="102" t="n">
        <f aca="false">IF(B993="","",MONTH(B993))</f>
        <v>7</v>
      </c>
      <c r="K993" s="102" t="n">
        <f aca="false">IF(B993="","",YEAR(B993))</f>
        <v>2026</v>
      </c>
      <c r="L993" s="102" t="str">
        <f aca="false">IF(N(E993)=0,"",IF(COUNTIFS(AK_NAMA,C993,AK_KAT,"KAS")+COUNTIFS(AK_NAMA,D993,AK_KAT,"KAS")&lt;&gt;1,"",IF(COUNTIFS(AK_NAMA,C993,AK_KAT,"KAS")=1,D993,C993)))</f>
        <v>Pajak Restoran</v>
      </c>
      <c r="M993" s="103" t="n">
        <f aca="false">IF(L993="",0,IF(L993=D993,E993,-E993))</f>
        <v>-2094000</v>
      </c>
      <c r="N993" s="102" t="str">
        <f aca="false">IF(L993="","",IFERROR(INDEX(AK_BARIS,MATCH(L993,AK_NAMA,0)),"?"))</f>
        <v>OP7</v>
      </c>
      <c r="O993" s="102" t="str">
        <f aca="false">IF(C993="","",IFERROR(INDEX(AK_KEL,MATCH(C993,AK_NAMA,0)),"?"))</f>
        <v>PENDAPATAN</v>
      </c>
      <c r="P993" s="102" t="str">
        <f aca="false">IF(D993="","",IFERROR(INDEX(AK_KEL,MATCH(D993,AK_NAMA,0)),"?"))</f>
        <v>ASET</v>
      </c>
      <c r="Q993" s="102" t="n">
        <f aca="false">N(Q992)+IF(AND(N(E993)&lt;&gt;0,K993=TAHUN,N(J993)&lt;=BLN,OR(C993=BB_AKUN,D993=BB_AKUN)),1,0)</f>
        <v>663</v>
      </c>
      <c r="R993" s="104" t="str">
        <f aca="false">IF(OR(C993&amp;D993="",N(E993)=0),"",IF(OR(O993="?",P993="?"),"⚠ akun tidak dikenal",IF(C993=D993,"⚠ debet = kredit","")))</f>
        <v/>
      </c>
    </row>
    <row r="994" customFormat="false" ht="15" hidden="false" customHeight="false" outlineLevel="0" collapsed="false">
      <c r="A994" s="82" t="s">
        <v>2074</v>
      </c>
      <c r="B994" s="101" t="n">
        <v>46234</v>
      </c>
      <c r="C994" s="82" t="s">
        <v>524</v>
      </c>
      <c r="D994" s="82" t="s">
        <v>461</v>
      </c>
      <c r="E994" s="91" t="n">
        <v>5000</v>
      </c>
      <c r="F994" s="82" t="s">
        <v>1694</v>
      </c>
      <c r="G994" s="82"/>
      <c r="H994" s="82"/>
      <c r="I994" s="82" t="s">
        <v>250</v>
      </c>
      <c r="J994" s="102" t="n">
        <f aca="false">IF(B994="","",MONTH(B994))</f>
        <v>7</v>
      </c>
      <c r="K994" s="102" t="n">
        <f aca="false">IF(B994="","",YEAR(B994))</f>
        <v>2026</v>
      </c>
      <c r="L994" s="102" t="str">
        <f aca="false">IF(N(E994)=0,"",IF(COUNTIFS(AK_NAMA,C994,AK_KAT,"KAS")+COUNTIFS(AK_NAMA,D994,AK_KAT,"KAS")&lt;&gt;1,"",IF(COUNTIFS(AK_NAMA,C994,AK_KAT,"KAS")=1,D994,C994)))</f>
        <v>Biaya Lainnya</v>
      </c>
      <c r="M994" s="103" t="n">
        <f aca="false">IF(L994="",0,IF(L994=D994,E994,-E994))</f>
        <v>-5000</v>
      </c>
      <c r="N994" s="102" t="str">
        <f aca="false">IF(L994="","",IFERROR(INDEX(AK_BARIS,MATCH(L994,AK_NAMA,0)),"?"))</f>
        <v>OP2</v>
      </c>
      <c r="O994" s="102" t="str">
        <f aca="false">IF(C994="","",IFERROR(INDEX(AK_KEL,MATCH(C994,AK_NAMA,0)),"?"))</f>
        <v>BEBAN</v>
      </c>
      <c r="P994" s="102" t="str">
        <f aca="false">IF(D994="","",IFERROR(INDEX(AK_KEL,MATCH(D994,AK_NAMA,0)),"?"))</f>
        <v>ASET</v>
      </c>
      <c r="Q994" s="102" t="n">
        <f aca="false">N(Q993)+IF(AND(N(E994)&lt;&gt;0,K994=TAHUN,N(J994)&lt;=BLN,OR(C994=BB_AKUN,D994=BB_AKUN)),1,0)</f>
        <v>664</v>
      </c>
      <c r="R994" s="104" t="str">
        <f aca="false">IF(OR(C994&amp;D994="",N(E994)=0),"",IF(OR(O994="?",P994="?"),"⚠ akun tidak dikenal",IF(C994=D994,"⚠ debet = kredit","")))</f>
        <v/>
      </c>
    </row>
    <row r="995" customFormat="false" ht="15" hidden="false" customHeight="false" outlineLevel="0" collapsed="false">
      <c r="A995" s="82" t="s">
        <v>2075</v>
      </c>
      <c r="B995" s="101" t="n">
        <v>46234</v>
      </c>
      <c r="C995" s="82" t="s">
        <v>470</v>
      </c>
      <c r="D995" s="82" t="s">
        <v>461</v>
      </c>
      <c r="E995" s="91" t="n">
        <v>266000</v>
      </c>
      <c r="F995" s="82" t="s">
        <v>1729</v>
      </c>
      <c r="G995" s="82"/>
      <c r="H995" s="82"/>
      <c r="I995" s="82" t="s">
        <v>250</v>
      </c>
      <c r="J995" s="102" t="n">
        <f aca="false">IF(B995="","",MONTH(B995))</f>
        <v>7</v>
      </c>
      <c r="K995" s="102" t="n">
        <f aca="false">IF(B995="","",YEAR(B995))</f>
        <v>2026</v>
      </c>
      <c r="L995" s="102" t="str">
        <f aca="false">IF(N(E995)=0,"",IF(COUNTIFS(AK_NAMA,C995,AK_KAT,"KAS")+COUNTIFS(AK_NAMA,D995,AK_KAT,"KAS")&lt;&gt;1,"",IF(COUNTIFS(AK_NAMA,C995,AK_KAT,"KAS")=1,D995,C995)))</f>
        <v>Biaya Bahan Baku</v>
      </c>
      <c r="M995" s="103" t="n">
        <f aca="false">IF(L995="",0,IF(L995=D995,E995,-E995))</f>
        <v>-266000</v>
      </c>
      <c r="N995" s="102" t="str">
        <f aca="false">IF(L995="","",IFERROR(INDEX(AK_BARIS,MATCH(L995,AK_NAMA,0)),"?"))</f>
        <v>OP3</v>
      </c>
      <c r="O995" s="102" t="str">
        <f aca="false">IF(C995="","",IFERROR(INDEX(AK_KEL,MATCH(C995,AK_NAMA,0)),"?"))</f>
        <v>BEBAN</v>
      </c>
      <c r="P995" s="102" t="str">
        <f aca="false">IF(D995="","",IFERROR(INDEX(AK_KEL,MATCH(D995,AK_NAMA,0)),"?"))</f>
        <v>ASET</v>
      </c>
      <c r="Q995" s="102" t="n">
        <f aca="false">N(Q994)+IF(AND(N(E995)&lt;&gt;0,K995=TAHUN,N(J995)&lt;=BLN,OR(C995=BB_AKUN,D995=BB_AKUN)),1,0)</f>
        <v>665</v>
      </c>
      <c r="R995" s="104" t="str">
        <f aca="false">IF(OR(C995&amp;D995="",N(E995)=0),"",IF(OR(O995="?",P995="?"),"⚠ akun tidak dikenal",IF(C995=D995,"⚠ debet = kredit","")))</f>
        <v/>
      </c>
    </row>
    <row r="996" customFormat="false" ht="15" hidden="false" customHeight="false" outlineLevel="0" collapsed="false">
      <c r="A996" s="82" t="s">
        <v>2076</v>
      </c>
      <c r="B996" s="101" t="n">
        <v>46234</v>
      </c>
      <c r="C996" s="82" t="s">
        <v>478</v>
      </c>
      <c r="D996" s="82" t="s">
        <v>461</v>
      </c>
      <c r="E996" s="91" t="n">
        <v>318500</v>
      </c>
      <c r="F996" s="82" t="s">
        <v>2077</v>
      </c>
      <c r="G996" s="82"/>
      <c r="H996" s="82"/>
      <c r="I996" s="82" t="s">
        <v>250</v>
      </c>
      <c r="J996" s="102" t="n">
        <f aca="false">IF(B996="","",MONTH(B996))</f>
        <v>7</v>
      </c>
      <c r="K996" s="102" t="n">
        <f aca="false">IF(B996="","",YEAR(B996))</f>
        <v>2026</v>
      </c>
      <c r="L996" s="102" t="str">
        <f aca="false">IF(N(E996)=0,"",IF(COUNTIFS(AK_NAMA,C996,AK_KAT,"KAS")+COUNTIFS(AK_NAMA,D996,AK_KAT,"KAS")&lt;&gt;1,"",IF(COUNTIFS(AK_NAMA,C996,AK_KAT,"KAS")=1,D996,C996)))</f>
        <v>Biaya Penyajian</v>
      </c>
      <c r="M996" s="103" t="n">
        <f aca="false">IF(L996="",0,IF(L996=D996,E996,-E996))</f>
        <v>-318500</v>
      </c>
      <c r="N996" s="102" t="str">
        <f aca="false">IF(L996="","",IFERROR(INDEX(AK_BARIS,MATCH(L996,AK_NAMA,0)),"?"))</f>
        <v>OP3</v>
      </c>
      <c r="O996" s="102" t="str">
        <f aca="false">IF(C996="","",IFERROR(INDEX(AK_KEL,MATCH(C996,AK_NAMA,0)),"?"))</f>
        <v>BEBAN</v>
      </c>
      <c r="P996" s="102" t="str">
        <f aca="false">IF(D996="","",IFERROR(INDEX(AK_KEL,MATCH(D996,AK_NAMA,0)),"?"))</f>
        <v>ASET</v>
      </c>
      <c r="Q996" s="102" t="n">
        <f aca="false">N(Q995)+IF(AND(N(E996)&lt;&gt;0,K996=TAHUN,N(J996)&lt;=BLN,OR(C996=BB_AKUN,D996=BB_AKUN)),1,0)</f>
        <v>666</v>
      </c>
      <c r="R996" s="104" t="str">
        <f aca="false">IF(OR(C996&amp;D996="",N(E996)=0),"",IF(OR(O996="?",P996="?"),"⚠ akun tidak dikenal",IF(C996=D996,"⚠ debet = kredit","")))</f>
        <v/>
      </c>
    </row>
    <row r="997" customFormat="false" ht="15" hidden="false" customHeight="false" outlineLevel="0" collapsed="false">
      <c r="A997" s="82" t="s">
        <v>2078</v>
      </c>
      <c r="B997" s="101" t="n">
        <v>46234</v>
      </c>
      <c r="C997" s="82" t="s">
        <v>718</v>
      </c>
      <c r="D997" s="82" t="s">
        <v>461</v>
      </c>
      <c r="E997" s="91" t="n">
        <v>1500000</v>
      </c>
      <c r="F997" s="82" t="s">
        <v>2079</v>
      </c>
      <c r="G997" s="82"/>
      <c r="H997" s="82" t="s">
        <v>763</v>
      </c>
      <c r="I997" s="82" t="s">
        <v>250</v>
      </c>
      <c r="J997" s="102" t="n">
        <f aca="false">IF(B997="","",MONTH(B997))</f>
        <v>7</v>
      </c>
      <c r="K997" s="102" t="n">
        <f aca="false">IF(B997="","",YEAR(B997))</f>
        <v>2026</v>
      </c>
      <c r="L997" s="102" t="str">
        <f aca="false">IF(N(E997)=0,"",IF(COUNTIFS(AK_NAMA,C997,AK_KAT,"KAS")+COUNTIFS(AK_NAMA,D997,AK_KAT,"KAS")&lt;&gt;1,"",IF(COUNTIFS(AK_NAMA,C997,AK_KAT,"KAS")=1,D997,C997)))</f>
        <v>Piutang Lainnya</v>
      </c>
      <c r="M997" s="103" t="n">
        <f aca="false">IF(L997="",0,IF(L997=D997,E997,-E997))</f>
        <v>-1500000</v>
      </c>
      <c r="N997" s="102" t="str">
        <f aca="false">IF(L997="","",IFERROR(INDEX(AK_BARIS,MATCH(L997,AK_NAMA,0)),"?"))</f>
        <v>OP2</v>
      </c>
      <c r="O997" s="102" t="str">
        <f aca="false">IF(C997="","",IFERROR(INDEX(AK_KEL,MATCH(C997,AK_NAMA,0)),"?"))</f>
        <v>ASET</v>
      </c>
      <c r="P997" s="102" t="str">
        <f aca="false">IF(D997="","",IFERROR(INDEX(AK_KEL,MATCH(D997,AK_NAMA,0)),"?"))</f>
        <v>ASET</v>
      </c>
      <c r="Q997" s="102" t="n">
        <f aca="false">N(Q996)+IF(AND(N(E997)&lt;&gt;0,K997=TAHUN,N(J997)&lt;=BLN,OR(C997=BB_AKUN,D997=BB_AKUN)),1,0)</f>
        <v>667</v>
      </c>
      <c r="R997" s="104" t="str">
        <f aca="false">IF(OR(C997&amp;D997="",N(E997)=0),"",IF(OR(O997="?",P997="?"),"⚠ akun tidak dikenal",IF(C997=D997,"⚠ debet = kredit","")))</f>
        <v/>
      </c>
    </row>
    <row r="998" customFormat="false" ht="15" hidden="false" customHeight="false" outlineLevel="0" collapsed="false">
      <c r="A998" s="105" t="s">
        <v>2080</v>
      </c>
      <c r="B998" s="106" t="n">
        <v>46234</v>
      </c>
      <c r="C998" s="105" t="s">
        <v>765</v>
      </c>
      <c r="D998" s="105" t="s">
        <v>792</v>
      </c>
      <c r="E998" s="107" t="n">
        <f aca="false">SUMIFS('OMZET HARIAN'!$Q$5:$Q$369,'OMZET HARIAN'!$B$5:$B$369,J998)</f>
        <v>93923281</v>
      </c>
      <c r="F998" s="105" t="s">
        <v>2081</v>
      </c>
      <c r="G998" s="105"/>
      <c r="H998" s="105"/>
      <c r="I998" s="105" t="s">
        <v>794</v>
      </c>
      <c r="J998" s="102" t="n">
        <f aca="false">IF(B998="","",MONTH(B998))</f>
        <v>7</v>
      </c>
      <c r="K998" s="102" t="n">
        <f aca="false">IF(B998="","",YEAR(B998))</f>
        <v>2026</v>
      </c>
      <c r="L998" s="102" t="str">
        <f aca="false">IF(N(E998)=0,"",IF(COUNTIFS(AK_NAMA,C998,AK_KAT,"KAS")+COUNTIFS(AK_NAMA,D998,AK_KAT,"KAS")&lt;&gt;1,"",IF(COUNTIFS(AK_NAMA,C998,AK_KAT,"KAS")=1,D998,C998)))</f>
        <v/>
      </c>
      <c r="M998" s="103" t="n">
        <f aca="false">IF(L998="",0,IF(L998=D998,E998,-E998))</f>
        <v>0</v>
      </c>
      <c r="N998" s="102" t="str">
        <f aca="false">IF(L998="","",IFERROR(INDEX(AK_BARIS,MATCH(L998,AK_NAMA,0)),"?"))</f>
        <v/>
      </c>
      <c r="O998" s="102" t="str">
        <f aca="false">IF(C998="","",IFERROR(INDEX(AK_KEL,MATCH(C998,AK_NAMA,0)),"?"))</f>
        <v>ASET</v>
      </c>
      <c r="P998" s="102" t="str">
        <f aca="false">IF(D998="","",IFERROR(INDEX(AK_KEL,MATCH(D998,AK_NAMA,0)),"?"))</f>
        <v>PENDAPATAN</v>
      </c>
      <c r="Q998" s="102" t="n">
        <f aca="false">N(Q997)+IF(AND(N(E998)&lt;&gt;0,K998=TAHUN,N(J998)&lt;=BLN,OR(C998=BB_AKUN,D998=BB_AKUN)),1,0)</f>
        <v>667</v>
      </c>
      <c r="R998" s="104" t="str">
        <f aca="false">IF(OR(C998&amp;D998="",N(E998)=0),"",IF(OR(O998="?",P998="?"),"⚠ akun tidak dikenal",IF(C998=D998,"⚠ debet = kredit","")))</f>
        <v/>
      </c>
    </row>
    <row r="999" customFormat="false" ht="15" hidden="false" customHeight="false" outlineLevel="0" collapsed="false">
      <c r="A999" s="105" t="s">
        <v>2082</v>
      </c>
      <c r="B999" s="106" t="n">
        <v>46234</v>
      </c>
      <c r="C999" s="105" t="s">
        <v>475</v>
      </c>
      <c r="D999" s="105" t="s">
        <v>765</v>
      </c>
      <c r="E999" s="107" t="n">
        <f aca="false">SUMIFS('OMZET HARIAN'!$F$5:$F$369,'OMZET HARIAN'!$B$5:$B$369,J999)+SUMIFS('OMZET HARIAN'!$G$5:$G$369,'OMZET HARIAN'!$B$5:$B$369,J999)</f>
        <v>22185000</v>
      </c>
      <c r="F999" s="105" t="s">
        <v>2083</v>
      </c>
      <c r="G999" s="105"/>
      <c r="H999" s="105"/>
      <c r="I999" s="105" t="s">
        <v>794</v>
      </c>
      <c r="J999" s="102" t="n">
        <f aca="false">IF(B999="","",MONTH(B999))</f>
        <v>7</v>
      </c>
      <c r="K999" s="102" t="n">
        <f aca="false">IF(B999="","",YEAR(B999))</f>
        <v>2026</v>
      </c>
      <c r="L999" s="102" t="str">
        <f aca="false">IF(N(E999)=0,"",IF(COUNTIFS(AK_NAMA,C999,AK_KAT,"KAS")+COUNTIFS(AK_NAMA,D999,AK_KAT,"KAS")&lt;&gt;1,"",IF(COUNTIFS(AK_NAMA,C999,AK_KAT,"KAS")=1,D999,C999)))</f>
        <v>Piutang Usaha Cafe</v>
      </c>
      <c r="M999" s="103" t="n">
        <f aca="false">IF(L999="",0,IF(L999=D999,E999,-E999))</f>
        <v>22185000</v>
      </c>
      <c r="N999" s="102" t="str">
        <f aca="false">IF(L999="","",IFERROR(INDEX(AK_BARIS,MATCH(L999,AK_NAMA,0)),"?"))</f>
        <v>OP1</v>
      </c>
      <c r="O999" s="102" t="str">
        <f aca="false">IF(C999="","",IFERROR(INDEX(AK_KEL,MATCH(C999,AK_NAMA,0)),"?"))</f>
        <v>ASET</v>
      </c>
      <c r="P999" s="102" t="str">
        <f aca="false">IF(D999="","",IFERROR(INDEX(AK_KEL,MATCH(D999,AK_NAMA,0)),"?"))</f>
        <v>ASET</v>
      </c>
      <c r="Q999" s="102" t="n">
        <f aca="false">N(Q998)+IF(AND(N(E999)&lt;&gt;0,K999=TAHUN,N(J999)&lt;=BLN,OR(C999=BB_AKUN,D999=BB_AKUN)),1,0)</f>
        <v>667</v>
      </c>
      <c r="R999" s="104" t="str">
        <f aca="false">IF(OR(C999&amp;D999="",N(E999)=0),"",IF(OR(O999="?",P999="?"),"⚠ akun tidak dikenal",IF(C999=D999,"⚠ debet = kredit","")))</f>
        <v/>
      </c>
    </row>
    <row r="1000" customFormat="false" ht="15" hidden="false" customHeight="false" outlineLevel="0" collapsed="false">
      <c r="A1000" s="105" t="s">
        <v>2084</v>
      </c>
      <c r="B1000" s="106" t="n">
        <v>46234</v>
      </c>
      <c r="C1000" s="105" t="s">
        <v>461</v>
      </c>
      <c r="D1000" s="105" t="s">
        <v>765</v>
      </c>
      <c r="E1000" s="107" t="n">
        <f aca="false">SUMIFS('OMZET HARIAN'!$H$5:$H$369,'OMZET HARIAN'!$B$5:$B$369,J1000)</f>
        <v>69038181</v>
      </c>
      <c r="F1000" s="105" t="s">
        <v>2085</v>
      </c>
      <c r="G1000" s="105"/>
      <c r="H1000" s="105"/>
      <c r="I1000" s="105" t="s">
        <v>794</v>
      </c>
      <c r="J1000" s="102" t="n">
        <f aca="false">IF(B1000="","",MONTH(B1000))</f>
        <v>7</v>
      </c>
      <c r="K1000" s="102" t="n">
        <f aca="false">IF(B1000="","",YEAR(B1000))</f>
        <v>2026</v>
      </c>
      <c r="L1000" s="102" t="str">
        <f aca="false">IF(N(E1000)=0,"",IF(COUNTIFS(AK_NAMA,C1000,AK_KAT,"KAS")+COUNTIFS(AK_NAMA,D1000,AK_KAT,"KAS")&lt;&gt;1,"",IF(COUNTIFS(AK_NAMA,C1000,AK_KAT,"KAS")=1,D1000,C1000)))</f>
        <v>Piutang Usaha Cafe</v>
      </c>
      <c r="M1000" s="103" t="n">
        <f aca="false">IF(L1000="",0,IF(L1000=D1000,E1000,-E1000))</f>
        <v>69038181</v>
      </c>
      <c r="N1000" s="102" t="str">
        <f aca="false">IF(L1000="","",IFERROR(INDEX(AK_BARIS,MATCH(L1000,AK_NAMA,0)),"?"))</f>
        <v>OP1</v>
      </c>
      <c r="O1000" s="102" t="str">
        <f aca="false">IF(C1000="","",IFERROR(INDEX(AK_KEL,MATCH(C1000,AK_NAMA,0)),"?"))</f>
        <v>ASET</v>
      </c>
      <c r="P1000" s="102" t="str">
        <f aca="false">IF(D1000="","",IFERROR(INDEX(AK_KEL,MATCH(D1000,AK_NAMA,0)),"?"))</f>
        <v>ASET</v>
      </c>
      <c r="Q1000" s="102" t="n">
        <f aca="false">N(Q999)+IF(AND(N(E1000)&lt;&gt;0,K1000=TAHUN,N(J1000)&lt;=BLN,OR(C1000=BB_AKUN,D1000=BB_AKUN)),1,0)</f>
        <v>668</v>
      </c>
      <c r="R1000" s="104" t="str">
        <f aca="false">IF(OR(C1000&amp;D1000="",N(E1000)=0),"",IF(OR(O1000="?",P1000="?"),"⚠ akun tidak dikenal",IF(C1000=D1000,"⚠ debet = kredit","")))</f>
        <v/>
      </c>
    </row>
    <row r="1001" customFormat="false" ht="15" hidden="false" customHeight="false" outlineLevel="0" collapsed="false">
      <c r="A1001" s="105" t="s">
        <v>2086</v>
      </c>
      <c r="B1001" s="106" t="n">
        <v>46234</v>
      </c>
      <c r="C1001" s="105" t="s">
        <v>718</v>
      </c>
      <c r="D1001" s="105" t="s">
        <v>765</v>
      </c>
      <c r="E1001" s="107" t="n">
        <f aca="false">SUMIFS('OMZET HARIAN'!$L$5:$L$369,'OMZET HARIAN'!$B$5:$B$369,J1001)</f>
        <v>610800</v>
      </c>
      <c r="F1001" s="105" t="s">
        <v>2087</v>
      </c>
      <c r="G1001" s="105"/>
      <c r="H1001" s="105" t="s">
        <v>763</v>
      </c>
      <c r="I1001" s="105" t="s">
        <v>794</v>
      </c>
      <c r="J1001" s="102" t="n">
        <f aca="false">IF(B1001="","",MONTH(B1001))</f>
        <v>7</v>
      </c>
      <c r="K1001" s="102" t="n">
        <f aca="false">IF(B1001="","",YEAR(B1001))</f>
        <v>2026</v>
      </c>
      <c r="L1001" s="102" t="str">
        <f aca="false">IF(N(E1001)=0,"",IF(COUNTIFS(AK_NAMA,C1001,AK_KAT,"KAS")+COUNTIFS(AK_NAMA,D1001,AK_KAT,"KAS")&lt;&gt;1,"",IF(COUNTIFS(AK_NAMA,C1001,AK_KAT,"KAS")=1,D1001,C1001)))</f>
        <v/>
      </c>
      <c r="M1001" s="103" t="n">
        <f aca="false">IF(L1001="",0,IF(L1001=D1001,E1001,-E1001))</f>
        <v>0</v>
      </c>
      <c r="N1001" s="102" t="str">
        <f aca="false">IF(L1001="","",IFERROR(INDEX(AK_BARIS,MATCH(L1001,AK_NAMA,0)),"?"))</f>
        <v/>
      </c>
      <c r="O1001" s="102" t="str">
        <f aca="false">IF(C1001="","",IFERROR(INDEX(AK_KEL,MATCH(C1001,AK_NAMA,0)),"?"))</f>
        <v>ASET</v>
      </c>
      <c r="P1001" s="102" t="str">
        <f aca="false">IF(D1001="","",IFERROR(INDEX(AK_KEL,MATCH(D1001,AK_NAMA,0)),"?"))</f>
        <v>ASET</v>
      </c>
      <c r="Q1001" s="102" t="n">
        <f aca="false">N(Q1000)+IF(AND(N(E1001)&lt;&gt;0,K1001=TAHUN,N(J1001)&lt;=BLN,OR(C1001=BB_AKUN,D1001=BB_AKUN)),1,0)</f>
        <v>668</v>
      </c>
      <c r="R1001" s="104" t="str">
        <f aca="false">IF(OR(C1001&amp;D1001="",N(E1001)=0),"",IF(OR(O1001="?",P1001="?"),"⚠ akun tidak dikenal",IF(C1001=D1001,"⚠ debet = kredit","")))</f>
        <v/>
      </c>
    </row>
    <row r="1002" customFormat="false" ht="15" hidden="false" customHeight="false" outlineLevel="0" collapsed="false">
      <c r="A1002" s="105" t="s">
        <v>2088</v>
      </c>
      <c r="B1002" s="106" t="n">
        <v>46234</v>
      </c>
      <c r="C1002" s="105" t="s">
        <v>802</v>
      </c>
      <c r="D1002" s="105" t="s">
        <v>765</v>
      </c>
      <c r="E1002" s="107" t="n">
        <f aca="false">SUMIFS('OMZET HARIAN'!$M$5:$M$369,'OMZET HARIAN'!$B$5:$B$369,J1002)</f>
        <v>432900</v>
      </c>
      <c r="F1002" s="105" t="s">
        <v>2089</v>
      </c>
      <c r="G1002" s="105"/>
      <c r="H1002" s="105"/>
      <c r="I1002" s="105" t="s">
        <v>794</v>
      </c>
      <c r="J1002" s="102" t="n">
        <f aca="false">IF(B1002="","",MONTH(B1002))</f>
        <v>7</v>
      </c>
      <c r="K1002" s="102" t="n">
        <f aca="false">IF(B1002="","",YEAR(B1002))</f>
        <v>2026</v>
      </c>
      <c r="L1002" s="102" t="str">
        <f aca="false">IF(N(E1002)=0,"",IF(COUNTIFS(AK_NAMA,C1002,AK_KAT,"KAS")+COUNTIFS(AK_NAMA,D1002,AK_KAT,"KAS")&lt;&gt;1,"",IF(COUNTIFS(AK_NAMA,C1002,AK_KAT,"KAS")=1,D1002,C1002)))</f>
        <v/>
      </c>
      <c r="M1002" s="103" t="n">
        <f aca="false">IF(L1002="",0,IF(L1002=D1002,E1002,-E1002))</f>
        <v>0</v>
      </c>
      <c r="N1002" s="102" t="str">
        <f aca="false">IF(L1002="","",IFERROR(INDEX(AK_BARIS,MATCH(L1002,AK_NAMA,0)),"?"))</f>
        <v/>
      </c>
      <c r="O1002" s="102" t="str">
        <f aca="false">IF(C1002="","",IFERROR(INDEX(AK_KEL,MATCH(C1002,AK_NAMA,0)),"?"))</f>
        <v>BEBAN</v>
      </c>
      <c r="P1002" s="102" t="str">
        <f aca="false">IF(D1002="","",IFERROR(INDEX(AK_KEL,MATCH(D1002,AK_NAMA,0)),"?"))</f>
        <v>ASET</v>
      </c>
      <c r="Q1002" s="102" t="n">
        <f aca="false">N(Q1001)+IF(AND(N(E1002)&lt;&gt;0,K1002=TAHUN,N(J1002)&lt;=BLN,OR(C1002=BB_AKUN,D1002=BB_AKUN)),1,0)</f>
        <v>668</v>
      </c>
      <c r="R1002" s="104" t="str">
        <f aca="false">IF(OR(C1002&amp;D1002="",N(E1002)=0),"",IF(OR(O1002="?",P1002="?"),"⚠ akun tidak dikenal",IF(C1002=D1002,"⚠ debet = kredit","")))</f>
        <v/>
      </c>
    </row>
    <row r="1003" customFormat="false" ht="15" hidden="false" customHeight="false" outlineLevel="0" collapsed="false">
      <c r="A1003" s="105" t="s">
        <v>2090</v>
      </c>
      <c r="B1003" s="106" t="n">
        <v>46234</v>
      </c>
      <c r="C1003" s="105" t="s">
        <v>464</v>
      </c>
      <c r="D1003" s="105" t="s">
        <v>765</v>
      </c>
      <c r="E1003" s="107" t="n">
        <f aca="false">SUMIFS('OMZET HARIAN'!$N$5:$N$369,'OMZET HARIAN'!$B$5:$B$369,J1003)</f>
        <v>1656400</v>
      </c>
      <c r="F1003" s="105" t="s">
        <v>2091</v>
      </c>
      <c r="G1003" s="105"/>
      <c r="H1003" s="105" t="s">
        <v>432</v>
      </c>
      <c r="I1003" s="105" t="s">
        <v>794</v>
      </c>
      <c r="J1003" s="102" t="n">
        <f aca="false">IF(B1003="","",MONTH(B1003))</f>
        <v>7</v>
      </c>
      <c r="K1003" s="102" t="n">
        <f aca="false">IF(B1003="","",YEAR(B1003))</f>
        <v>2026</v>
      </c>
      <c r="L1003" s="102" t="str">
        <f aca="false">IF(N(E1003)=0,"",IF(COUNTIFS(AK_NAMA,C1003,AK_KAT,"KAS")+COUNTIFS(AK_NAMA,D1003,AK_KAT,"KAS")&lt;&gt;1,"",IF(COUNTIFS(AK_NAMA,C1003,AK_KAT,"KAS")=1,D1003,C1003)))</f>
        <v/>
      </c>
      <c r="M1003" s="103" t="n">
        <f aca="false">IF(L1003="",0,IF(L1003=D1003,E1003,-E1003))</f>
        <v>0</v>
      </c>
      <c r="N1003" s="102" t="str">
        <f aca="false">IF(L1003="","",IFERROR(INDEX(AK_BARIS,MATCH(L1003,AK_NAMA,0)),"?"))</f>
        <v/>
      </c>
      <c r="O1003" s="102" t="str">
        <f aca="false">IF(C1003="","",IFERROR(INDEX(AK_KEL,MATCH(C1003,AK_NAMA,0)),"?"))</f>
        <v>EKUITAS</v>
      </c>
      <c r="P1003" s="102" t="str">
        <f aca="false">IF(D1003="","",IFERROR(INDEX(AK_KEL,MATCH(D1003,AK_NAMA,0)),"?"))</f>
        <v>ASET</v>
      </c>
      <c r="Q1003" s="102" t="n">
        <f aca="false">N(Q1002)+IF(AND(N(E1003)&lt;&gt;0,K1003=TAHUN,N(J1003)&lt;=BLN,OR(C1003=BB_AKUN,D1003=BB_AKUN)),1,0)</f>
        <v>668</v>
      </c>
      <c r="R1003" s="104" t="str">
        <f aca="false">IF(OR(C1003&amp;D1003="",N(E1003)=0),"",IF(OR(O1003="?",P1003="?"),"⚠ akun tidak dikenal",IF(C1003=D1003,"⚠ debet = kredit","")))</f>
        <v/>
      </c>
    </row>
    <row r="1004" customFormat="false" ht="15" hidden="false" customHeight="false" outlineLevel="0" collapsed="false">
      <c r="A1004" s="105" t="s">
        <v>2092</v>
      </c>
      <c r="B1004" s="106" t="n">
        <v>46234</v>
      </c>
      <c r="C1004" s="105" t="s">
        <v>807</v>
      </c>
      <c r="D1004" s="105" t="s">
        <v>808</v>
      </c>
      <c r="E1004" s="107" t="n">
        <f aca="false">INDEX('ASET TETAP'!$H$25:$S$25,J1004)</f>
        <v>399853</v>
      </c>
      <c r="F1004" s="105" t="s">
        <v>2093</v>
      </c>
      <c r="G1004" s="105"/>
      <c r="H1004" s="105"/>
      <c r="I1004" s="105" t="s">
        <v>794</v>
      </c>
      <c r="J1004" s="102" t="n">
        <f aca="false">IF(B1004="","",MONTH(B1004))</f>
        <v>7</v>
      </c>
      <c r="K1004" s="102" t="n">
        <f aca="false">IF(B1004="","",YEAR(B1004))</f>
        <v>2026</v>
      </c>
      <c r="L1004" s="102" t="str">
        <f aca="false">IF(N(E1004)=0,"",IF(COUNTIFS(AK_NAMA,C1004,AK_KAT,"KAS")+COUNTIFS(AK_NAMA,D1004,AK_KAT,"KAS")&lt;&gt;1,"",IF(COUNTIFS(AK_NAMA,C1004,AK_KAT,"KAS")=1,D1004,C1004)))</f>
        <v/>
      </c>
      <c r="M1004" s="103" t="n">
        <f aca="false">IF(L1004="",0,IF(L1004=D1004,E1004,-E1004))</f>
        <v>0</v>
      </c>
      <c r="N1004" s="102" t="str">
        <f aca="false">IF(L1004="","",IFERROR(INDEX(AK_BARIS,MATCH(L1004,AK_NAMA,0)),"?"))</f>
        <v/>
      </c>
      <c r="O1004" s="102" t="str">
        <f aca="false">IF(C1004="","",IFERROR(INDEX(AK_KEL,MATCH(C1004,AK_NAMA,0)),"?"))</f>
        <v>BEBAN</v>
      </c>
      <c r="P1004" s="102" t="str">
        <f aca="false">IF(D1004="","",IFERROR(INDEX(AK_KEL,MATCH(D1004,AK_NAMA,0)),"?"))</f>
        <v>ASET</v>
      </c>
      <c r="Q1004" s="102" t="n">
        <f aca="false">N(Q1003)+IF(AND(N(E1004)&lt;&gt;0,K1004=TAHUN,N(J1004)&lt;=BLN,OR(C1004=BB_AKUN,D1004=BB_AKUN)),1,0)</f>
        <v>668</v>
      </c>
      <c r="R1004" s="104" t="str">
        <f aca="false">IF(OR(C1004&amp;D1004="",N(E1004)=0),"",IF(OR(O1004="?",P1004="?"),"⚠ akun tidak dikenal",IF(C1004=D1004,"⚠ debet = kredit","")))</f>
        <v/>
      </c>
    </row>
    <row r="1005" customFormat="false" ht="15" hidden="false" customHeight="false" outlineLevel="0" collapsed="false">
      <c r="A1005" s="105" t="s">
        <v>2094</v>
      </c>
      <c r="B1005" s="106" t="n">
        <v>46234</v>
      </c>
      <c r="C1005" s="105" t="s">
        <v>787</v>
      </c>
      <c r="D1005" s="105" t="s">
        <v>811</v>
      </c>
      <c r="E1005" s="107" t="n">
        <f aca="false">IF(AND(AKRUAL="YA",J1005&lt;=BLN),MAX(0,INDEX(PAJAK!$J$6:$J$17,J1005)),0)</f>
        <v>6447786</v>
      </c>
      <c r="F1005" s="105" t="s">
        <v>2095</v>
      </c>
      <c r="G1005" s="105"/>
      <c r="H1005" s="105"/>
      <c r="I1005" s="105" t="s">
        <v>813</v>
      </c>
      <c r="J1005" s="102" t="n">
        <f aca="false">IF(B1005="","",MONTH(B1005))</f>
        <v>7</v>
      </c>
      <c r="K1005" s="102" t="n">
        <f aca="false">IF(B1005="","",YEAR(B1005))</f>
        <v>2026</v>
      </c>
      <c r="L1005" s="102" t="str">
        <f aca="false">IF(N(E1005)=0,"",IF(COUNTIFS(AK_NAMA,C1005,AK_KAT,"KAS")+COUNTIFS(AK_NAMA,D1005,AK_KAT,"KAS")&lt;&gt;1,"",IF(COUNTIFS(AK_NAMA,C1005,AK_KAT,"KAS")=1,D1005,C1005)))</f>
        <v/>
      </c>
      <c r="M1005" s="103" t="n">
        <f aca="false">IF(L1005="",0,IF(L1005=D1005,E1005,-E1005))</f>
        <v>0</v>
      </c>
      <c r="N1005" s="102" t="str">
        <f aca="false">IF(L1005="","",IFERROR(INDEX(AK_BARIS,MATCH(L1005,AK_NAMA,0)),"?"))</f>
        <v/>
      </c>
      <c r="O1005" s="102" t="str">
        <f aca="false">IF(C1005="","",IFERROR(INDEX(AK_KEL,MATCH(C1005,AK_NAMA,0)),"?"))</f>
        <v>PENDAPATAN</v>
      </c>
      <c r="P1005" s="102" t="str">
        <f aca="false">IF(D1005="","",IFERROR(INDEX(AK_KEL,MATCH(D1005,AK_NAMA,0)),"?"))</f>
        <v>LIABILITAS</v>
      </c>
      <c r="Q1005" s="102" t="n">
        <f aca="false">N(Q1004)+IF(AND(N(E1005)&lt;&gt;0,K1005=TAHUN,N(J1005)&lt;=BLN,OR(C1005=BB_AKUN,D1005=BB_AKUN)),1,0)</f>
        <v>668</v>
      </c>
      <c r="R1005" s="104" t="str">
        <f aca="false">IF(OR(C1005&amp;D1005="",N(E1005)=0),"",IF(OR(O1005="?",P1005="?"),"⚠ akun tidak dikenal",IF(C1005=D1005,"⚠ debet = kredit","")))</f>
        <v/>
      </c>
    </row>
    <row r="1006" customFormat="false" ht="15" hidden="false" customHeight="false" outlineLevel="0" collapsed="false">
      <c r="A1006" s="82" t="s">
        <v>2096</v>
      </c>
      <c r="B1006" s="101" t="n">
        <v>46235</v>
      </c>
      <c r="C1006" s="82" t="s">
        <v>461</v>
      </c>
      <c r="D1006" s="82" t="s">
        <v>475</v>
      </c>
      <c r="E1006" s="91" t="n">
        <v>7000000</v>
      </c>
      <c r="F1006" s="82" t="s">
        <v>2097</v>
      </c>
      <c r="G1006" s="82"/>
      <c r="H1006" s="82"/>
      <c r="I1006" s="82" t="s">
        <v>250</v>
      </c>
      <c r="J1006" s="102" t="n">
        <f aca="false">IF(B1006="","",MONTH(B1006))</f>
        <v>8</v>
      </c>
      <c r="K1006" s="102" t="n">
        <f aca="false">IF(B1006="","",YEAR(B1006))</f>
        <v>2026</v>
      </c>
      <c r="L1006" s="102" t="str">
        <f aca="false">IF(N(E1006)=0,"",IF(COUNTIFS(AK_NAMA,C1006,AK_KAT,"KAS")+COUNTIFS(AK_NAMA,D1006,AK_KAT,"KAS")&lt;&gt;1,"",IF(COUNTIFS(AK_NAMA,C1006,AK_KAT,"KAS")=1,D1006,C1006)))</f>
        <v/>
      </c>
      <c r="M1006" s="103" t="n">
        <f aca="false">IF(L1006="",0,IF(L1006=D1006,E1006,-E1006))</f>
        <v>0</v>
      </c>
      <c r="N1006" s="102" t="str">
        <f aca="false">IF(L1006="","",IFERROR(INDEX(AK_BARIS,MATCH(L1006,AK_NAMA,0)),"?"))</f>
        <v/>
      </c>
      <c r="O1006" s="102" t="str">
        <f aca="false">IF(C1006="","",IFERROR(INDEX(AK_KEL,MATCH(C1006,AK_NAMA,0)),"?"))</f>
        <v>ASET</v>
      </c>
      <c r="P1006" s="102" t="str">
        <f aca="false">IF(D1006="","",IFERROR(INDEX(AK_KEL,MATCH(D1006,AK_NAMA,0)),"?"))</f>
        <v>ASET</v>
      </c>
      <c r="Q1006" s="102" t="n">
        <f aca="false">N(Q1005)+IF(AND(N(E1006)&lt;&gt;0,K1006=TAHUN,N(J1006)&lt;=BLN,OR(C1006=BB_AKUN,D1006=BB_AKUN)),1,0)</f>
        <v>669</v>
      </c>
      <c r="R1006" s="104" t="str">
        <f aca="false">IF(OR(C1006&amp;D1006="",N(E1006)=0),"",IF(OR(O1006="?",P1006="?"),"⚠ akun tidak dikenal",IF(C1006=D1006,"⚠ debet = kredit","")))</f>
        <v/>
      </c>
    </row>
    <row r="1007" customFormat="false" ht="15" hidden="false" customHeight="false" outlineLevel="0" collapsed="false">
      <c r="A1007" s="82" t="s">
        <v>2098</v>
      </c>
      <c r="B1007" s="101" t="n">
        <v>46235</v>
      </c>
      <c r="C1007" s="82" t="s">
        <v>524</v>
      </c>
      <c r="D1007" s="82" t="s">
        <v>461</v>
      </c>
      <c r="E1007" s="91" t="n">
        <v>10000</v>
      </c>
      <c r="F1007" s="82" t="s">
        <v>616</v>
      </c>
      <c r="G1007" s="82"/>
      <c r="H1007" s="82"/>
      <c r="I1007" s="82" t="s">
        <v>250</v>
      </c>
      <c r="J1007" s="102" t="n">
        <f aca="false">IF(B1007="","",MONTH(B1007))</f>
        <v>8</v>
      </c>
      <c r="K1007" s="102" t="n">
        <f aca="false">IF(B1007="","",YEAR(B1007))</f>
        <v>2026</v>
      </c>
      <c r="L1007" s="102" t="str">
        <f aca="false">IF(N(E1007)=0,"",IF(COUNTIFS(AK_NAMA,C1007,AK_KAT,"KAS")+COUNTIFS(AK_NAMA,D1007,AK_KAT,"KAS")&lt;&gt;1,"",IF(COUNTIFS(AK_NAMA,C1007,AK_KAT,"KAS")=1,D1007,C1007)))</f>
        <v>Biaya Lainnya</v>
      </c>
      <c r="M1007" s="103" t="n">
        <f aca="false">IF(L1007="",0,IF(L1007=D1007,E1007,-E1007))</f>
        <v>-10000</v>
      </c>
      <c r="N1007" s="102" t="str">
        <f aca="false">IF(L1007="","",IFERROR(INDEX(AK_BARIS,MATCH(L1007,AK_NAMA,0)),"?"))</f>
        <v>OP2</v>
      </c>
      <c r="O1007" s="102" t="str">
        <f aca="false">IF(C1007="","",IFERROR(INDEX(AK_KEL,MATCH(C1007,AK_NAMA,0)),"?"))</f>
        <v>BEBAN</v>
      </c>
      <c r="P1007" s="102" t="str">
        <f aca="false">IF(D1007="","",IFERROR(INDEX(AK_KEL,MATCH(D1007,AK_NAMA,0)),"?"))</f>
        <v>ASET</v>
      </c>
      <c r="Q1007" s="102" t="n">
        <f aca="false">N(Q1006)+IF(AND(N(E1007)&lt;&gt;0,K1007=TAHUN,N(J1007)&lt;=BLN,OR(C1007=BB_AKUN,D1007=BB_AKUN)),1,0)</f>
        <v>670</v>
      </c>
      <c r="R1007" s="104" t="str">
        <f aca="false">IF(OR(C1007&amp;D1007="",N(E1007)=0),"",IF(OR(O1007="?",P1007="?"),"⚠ akun tidak dikenal",IF(C1007=D1007,"⚠ debet = kredit","")))</f>
        <v/>
      </c>
    </row>
    <row r="1008" customFormat="false" ht="15" hidden="false" customHeight="false" outlineLevel="0" collapsed="false">
      <c r="A1008" s="82" t="s">
        <v>2099</v>
      </c>
      <c r="B1008" s="101" t="n">
        <v>46236</v>
      </c>
      <c r="C1008" s="82" t="s">
        <v>461</v>
      </c>
      <c r="D1008" s="82" t="s">
        <v>509</v>
      </c>
      <c r="E1008" s="91" t="n">
        <v>1410000</v>
      </c>
      <c r="F1008" s="82" t="s">
        <v>2100</v>
      </c>
      <c r="G1008" s="82" t="s">
        <v>390</v>
      </c>
      <c r="H1008" s="82"/>
      <c r="I1008" s="82" t="s">
        <v>250</v>
      </c>
      <c r="J1008" s="102" t="n">
        <f aca="false">IF(B1008="","",MONTH(B1008))</f>
        <v>8</v>
      </c>
      <c r="K1008" s="102" t="n">
        <f aca="false">IF(B1008="","",YEAR(B1008))</f>
        <v>2026</v>
      </c>
      <c r="L1008" s="102" t="str">
        <f aca="false">IF(N(E1008)=0,"",IF(COUNTIFS(AK_NAMA,C1008,AK_KAT,"KAS")+COUNTIFS(AK_NAMA,D1008,AK_KAT,"KAS")&lt;&gt;1,"",IF(COUNTIFS(AK_NAMA,C1008,AK_KAT,"KAS")=1,D1008,C1008)))</f>
        <v>Pendapatan non Cafe</v>
      </c>
      <c r="M1008" s="103" t="n">
        <f aca="false">IF(L1008="",0,IF(L1008=D1008,E1008,-E1008))</f>
        <v>1410000</v>
      </c>
      <c r="N1008" s="102" t="str">
        <f aca="false">IF(L1008="","",IFERROR(INDEX(AK_BARIS,MATCH(L1008,AK_NAMA,0)),"?"))</f>
        <v>OP1</v>
      </c>
      <c r="O1008" s="102" t="str">
        <f aca="false">IF(C1008="","",IFERROR(INDEX(AK_KEL,MATCH(C1008,AK_NAMA,0)),"?"))</f>
        <v>ASET</v>
      </c>
      <c r="P1008" s="102" t="str">
        <f aca="false">IF(D1008="","",IFERROR(INDEX(AK_KEL,MATCH(D1008,AK_NAMA,0)),"?"))</f>
        <v>PENDAPATAN</v>
      </c>
      <c r="Q1008" s="102" t="n">
        <f aca="false">N(Q1007)+IF(AND(N(E1008)&lt;&gt;0,K1008=TAHUN,N(J1008)&lt;=BLN,OR(C1008=BB_AKUN,D1008=BB_AKUN)),1,0)</f>
        <v>671</v>
      </c>
      <c r="R1008" s="104" t="str">
        <f aca="false">IF(OR(C1008&amp;D1008="",N(E1008)=0),"",IF(OR(O1008="?",P1008="?"),"⚠ akun tidak dikenal",IF(C1008=D1008,"⚠ debet = kredit","")))</f>
        <v/>
      </c>
    </row>
    <row r="1009" customFormat="false" ht="15" hidden="false" customHeight="false" outlineLevel="0" collapsed="false">
      <c r="A1009" s="82" t="s">
        <v>2101</v>
      </c>
      <c r="B1009" s="101" t="n">
        <v>46236</v>
      </c>
      <c r="C1009" s="82" t="s">
        <v>461</v>
      </c>
      <c r="D1009" s="82" t="s">
        <v>509</v>
      </c>
      <c r="E1009" s="91" t="n">
        <v>200000</v>
      </c>
      <c r="F1009" s="82" t="s">
        <v>2102</v>
      </c>
      <c r="G1009" s="82" t="s">
        <v>390</v>
      </c>
      <c r="H1009" s="82"/>
      <c r="I1009" s="82" t="s">
        <v>250</v>
      </c>
      <c r="J1009" s="102" t="n">
        <f aca="false">IF(B1009="","",MONTH(B1009))</f>
        <v>8</v>
      </c>
      <c r="K1009" s="102" t="n">
        <f aca="false">IF(B1009="","",YEAR(B1009))</f>
        <v>2026</v>
      </c>
      <c r="L1009" s="102" t="str">
        <f aca="false">IF(N(E1009)=0,"",IF(COUNTIFS(AK_NAMA,C1009,AK_KAT,"KAS")+COUNTIFS(AK_NAMA,D1009,AK_KAT,"KAS")&lt;&gt;1,"",IF(COUNTIFS(AK_NAMA,C1009,AK_KAT,"KAS")=1,D1009,C1009)))</f>
        <v>Pendapatan non Cafe</v>
      </c>
      <c r="M1009" s="103" t="n">
        <f aca="false">IF(L1009="",0,IF(L1009=D1009,E1009,-E1009))</f>
        <v>200000</v>
      </c>
      <c r="N1009" s="102" t="str">
        <f aca="false">IF(L1009="","",IFERROR(INDEX(AK_BARIS,MATCH(L1009,AK_NAMA,0)),"?"))</f>
        <v>OP1</v>
      </c>
      <c r="O1009" s="102" t="str">
        <f aca="false">IF(C1009="","",IFERROR(INDEX(AK_KEL,MATCH(C1009,AK_NAMA,0)),"?"))</f>
        <v>ASET</v>
      </c>
      <c r="P1009" s="102" t="str">
        <f aca="false">IF(D1009="","",IFERROR(INDEX(AK_KEL,MATCH(D1009,AK_NAMA,0)),"?"))</f>
        <v>PENDAPATAN</v>
      </c>
      <c r="Q1009" s="102" t="n">
        <f aca="false">N(Q1008)+IF(AND(N(E1009)&lt;&gt;0,K1009=TAHUN,N(J1009)&lt;=BLN,OR(C1009=BB_AKUN,D1009=BB_AKUN)),1,0)</f>
        <v>672</v>
      </c>
      <c r="R1009" s="104" t="str">
        <f aca="false">IF(OR(C1009&amp;D1009="",N(E1009)=0),"",IF(OR(O1009="?",P1009="?"),"⚠ akun tidak dikenal",IF(C1009=D1009,"⚠ debet = kredit","")))</f>
        <v/>
      </c>
    </row>
    <row r="1010" customFormat="false" ht="15" hidden="false" customHeight="false" outlineLevel="0" collapsed="false">
      <c r="A1010" s="82" t="s">
        <v>2103</v>
      </c>
      <c r="B1010" s="101" t="n">
        <v>46237</v>
      </c>
      <c r="C1010" s="82" t="s">
        <v>461</v>
      </c>
      <c r="D1010" s="82" t="s">
        <v>475</v>
      </c>
      <c r="E1010" s="91" t="n">
        <v>4000000</v>
      </c>
      <c r="F1010" s="82" t="s">
        <v>2104</v>
      </c>
      <c r="G1010" s="82"/>
      <c r="H1010" s="82"/>
      <c r="I1010" s="82" t="s">
        <v>250</v>
      </c>
      <c r="J1010" s="102" t="n">
        <f aca="false">IF(B1010="","",MONTH(B1010))</f>
        <v>8</v>
      </c>
      <c r="K1010" s="102" t="n">
        <f aca="false">IF(B1010="","",YEAR(B1010))</f>
        <v>2026</v>
      </c>
      <c r="L1010" s="102" t="str">
        <f aca="false">IF(N(E1010)=0,"",IF(COUNTIFS(AK_NAMA,C1010,AK_KAT,"KAS")+COUNTIFS(AK_NAMA,D1010,AK_KAT,"KAS")&lt;&gt;1,"",IF(COUNTIFS(AK_NAMA,C1010,AK_KAT,"KAS")=1,D1010,C1010)))</f>
        <v/>
      </c>
      <c r="M1010" s="103" t="n">
        <f aca="false">IF(L1010="",0,IF(L1010=D1010,E1010,-E1010))</f>
        <v>0</v>
      </c>
      <c r="N1010" s="102" t="str">
        <f aca="false">IF(L1010="","",IFERROR(INDEX(AK_BARIS,MATCH(L1010,AK_NAMA,0)),"?"))</f>
        <v/>
      </c>
      <c r="O1010" s="102" t="str">
        <f aca="false">IF(C1010="","",IFERROR(INDEX(AK_KEL,MATCH(C1010,AK_NAMA,0)),"?"))</f>
        <v>ASET</v>
      </c>
      <c r="P1010" s="102" t="str">
        <f aca="false">IF(D1010="","",IFERROR(INDEX(AK_KEL,MATCH(D1010,AK_NAMA,0)),"?"))</f>
        <v>ASET</v>
      </c>
      <c r="Q1010" s="102" t="n">
        <f aca="false">N(Q1009)+IF(AND(N(E1010)&lt;&gt;0,K1010=TAHUN,N(J1010)&lt;=BLN,OR(C1010=BB_AKUN,D1010=BB_AKUN)),1,0)</f>
        <v>673</v>
      </c>
      <c r="R1010" s="104" t="str">
        <f aca="false">IF(OR(C1010&amp;D1010="",N(E1010)=0),"",IF(OR(O1010="?",P1010="?"),"⚠ akun tidak dikenal",IF(C1010=D1010,"⚠ debet = kredit","")))</f>
        <v/>
      </c>
    </row>
    <row r="1011" customFormat="false" ht="15" hidden="false" customHeight="false" outlineLevel="0" collapsed="false">
      <c r="A1011" s="82" t="s">
        <v>2105</v>
      </c>
      <c r="B1011" s="101" t="n">
        <v>46237</v>
      </c>
      <c r="C1011" s="82" t="s">
        <v>460</v>
      </c>
      <c r="D1011" s="82" t="s">
        <v>461</v>
      </c>
      <c r="E1011" s="91" t="n">
        <v>20000</v>
      </c>
      <c r="F1011" s="82" t="s">
        <v>2106</v>
      </c>
      <c r="G1011" s="82" t="s">
        <v>390</v>
      </c>
      <c r="H1011" s="82"/>
      <c r="I1011" s="82" t="s">
        <v>250</v>
      </c>
      <c r="J1011" s="102" t="n">
        <f aca="false">IF(B1011="","",MONTH(B1011))</f>
        <v>8</v>
      </c>
      <c r="K1011" s="102" t="n">
        <f aca="false">IF(B1011="","",YEAR(B1011))</f>
        <v>2026</v>
      </c>
      <c r="L1011" s="102" t="str">
        <f aca="false">IF(N(E1011)=0,"",IF(COUNTIFS(AK_NAMA,C1011,AK_KAT,"KAS")+COUNTIFS(AK_NAMA,D1011,AK_KAT,"KAS")&lt;&gt;1,"",IF(COUNTIFS(AK_NAMA,C1011,AK_KAT,"KAS")=1,D1011,C1011)))</f>
        <v>Biaya Marketing &amp; Promosi</v>
      </c>
      <c r="M1011" s="103" t="n">
        <f aca="false">IF(L1011="",0,IF(L1011=D1011,E1011,-E1011))</f>
        <v>-20000</v>
      </c>
      <c r="N1011" s="102" t="str">
        <f aca="false">IF(L1011="","",IFERROR(INDEX(AK_BARIS,MATCH(L1011,AK_NAMA,0)),"?"))</f>
        <v>OP6</v>
      </c>
      <c r="O1011" s="102" t="str">
        <f aca="false">IF(C1011="","",IFERROR(INDEX(AK_KEL,MATCH(C1011,AK_NAMA,0)),"?"))</f>
        <v>BEBAN</v>
      </c>
      <c r="P1011" s="102" t="str">
        <f aca="false">IF(D1011="","",IFERROR(INDEX(AK_KEL,MATCH(D1011,AK_NAMA,0)),"?"))</f>
        <v>ASET</v>
      </c>
      <c r="Q1011" s="102" t="n">
        <f aca="false">N(Q1010)+IF(AND(N(E1011)&lt;&gt;0,K1011=TAHUN,N(J1011)&lt;=BLN,OR(C1011=BB_AKUN,D1011=BB_AKUN)),1,0)</f>
        <v>674</v>
      </c>
      <c r="R1011" s="104" t="str">
        <f aca="false">IF(OR(C1011&amp;D1011="",N(E1011)=0),"",IF(OR(O1011="?",P1011="?"),"⚠ akun tidak dikenal",IF(C1011=D1011,"⚠ debet = kredit","")))</f>
        <v/>
      </c>
    </row>
    <row r="1012" customFormat="false" ht="15" hidden="false" customHeight="false" outlineLevel="0" collapsed="false">
      <c r="A1012" s="82" t="s">
        <v>2107</v>
      </c>
      <c r="B1012" s="101" t="n">
        <v>46237</v>
      </c>
      <c r="C1012" s="82" t="s">
        <v>524</v>
      </c>
      <c r="D1012" s="82" t="s">
        <v>461</v>
      </c>
      <c r="E1012" s="91" t="n">
        <v>355</v>
      </c>
      <c r="F1012" s="82" t="s">
        <v>525</v>
      </c>
      <c r="G1012" s="82"/>
      <c r="H1012" s="82"/>
      <c r="I1012" s="82" t="s">
        <v>250</v>
      </c>
      <c r="J1012" s="102" t="n">
        <f aca="false">IF(B1012="","",MONTH(B1012))</f>
        <v>8</v>
      </c>
      <c r="K1012" s="102" t="n">
        <f aca="false">IF(B1012="","",YEAR(B1012))</f>
        <v>2026</v>
      </c>
      <c r="L1012" s="102" t="str">
        <f aca="false">IF(N(E1012)=0,"",IF(COUNTIFS(AK_NAMA,C1012,AK_KAT,"KAS")+COUNTIFS(AK_NAMA,D1012,AK_KAT,"KAS")&lt;&gt;1,"",IF(COUNTIFS(AK_NAMA,C1012,AK_KAT,"KAS")=1,D1012,C1012)))</f>
        <v>Biaya Lainnya</v>
      </c>
      <c r="M1012" s="103" t="n">
        <f aca="false">IF(L1012="",0,IF(L1012=D1012,E1012,-E1012))</f>
        <v>-355</v>
      </c>
      <c r="N1012" s="102" t="str">
        <f aca="false">IF(L1012="","",IFERROR(INDEX(AK_BARIS,MATCH(L1012,AK_NAMA,0)),"?"))</f>
        <v>OP2</v>
      </c>
      <c r="O1012" s="102" t="str">
        <f aca="false">IF(C1012="","",IFERROR(INDEX(AK_KEL,MATCH(C1012,AK_NAMA,0)),"?"))</f>
        <v>BEBAN</v>
      </c>
      <c r="P1012" s="102" t="str">
        <f aca="false">IF(D1012="","",IFERROR(INDEX(AK_KEL,MATCH(D1012,AK_NAMA,0)),"?"))</f>
        <v>ASET</v>
      </c>
      <c r="Q1012" s="102" t="n">
        <f aca="false">N(Q1011)+IF(AND(N(E1012)&lt;&gt;0,K1012=TAHUN,N(J1012)&lt;=BLN,OR(C1012=BB_AKUN,D1012=BB_AKUN)),1,0)</f>
        <v>675</v>
      </c>
      <c r="R1012" s="104" t="str">
        <f aca="false">IF(OR(C1012&amp;D1012="",N(E1012)=0),"",IF(OR(O1012="?",P1012="?"),"⚠ akun tidak dikenal",IF(C1012=D1012,"⚠ debet = kredit","")))</f>
        <v/>
      </c>
    </row>
    <row r="1013" customFormat="false" ht="15" hidden="false" customHeight="false" outlineLevel="0" collapsed="false">
      <c r="A1013" s="82" t="s">
        <v>2108</v>
      </c>
      <c r="B1013" s="101" t="n">
        <v>46237</v>
      </c>
      <c r="C1013" s="82" t="s">
        <v>475</v>
      </c>
      <c r="D1013" s="82" t="s">
        <v>486</v>
      </c>
      <c r="E1013" s="91" t="n">
        <v>175500</v>
      </c>
      <c r="F1013" s="82" t="s">
        <v>2109</v>
      </c>
      <c r="G1013" s="82"/>
      <c r="H1013" s="82"/>
      <c r="I1013" s="82" t="s">
        <v>250</v>
      </c>
      <c r="J1013" s="102" t="n">
        <f aca="false">IF(B1013="","",MONTH(B1013))</f>
        <v>8</v>
      </c>
      <c r="K1013" s="102" t="n">
        <f aca="false">IF(B1013="","",YEAR(B1013))</f>
        <v>2026</v>
      </c>
      <c r="L1013" s="102" t="str">
        <f aca="false">IF(N(E1013)=0,"",IF(COUNTIFS(AK_NAMA,C1013,AK_KAT,"KAS")+COUNTIFS(AK_NAMA,D1013,AK_KAT,"KAS")&lt;&gt;1,"",IF(COUNTIFS(AK_NAMA,C1013,AK_KAT,"KAS")=1,D1013,C1013)))</f>
        <v/>
      </c>
      <c r="M1013" s="103" t="n">
        <f aca="false">IF(L1013="",0,IF(L1013=D1013,E1013,-E1013))</f>
        <v>0</v>
      </c>
      <c r="N1013" s="102" t="str">
        <f aca="false">IF(L1013="","",IFERROR(INDEX(AK_BARIS,MATCH(L1013,AK_NAMA,0)),"?"))</f>
        <v/>
      </c>
      <c r="O1013" s="102" t="str">
        <f aca="false">IF(C1013="","",IFERROR(INDEX(AK_KEL,MATCH(C1013,AK_NAMA,0)),"?"))</f>
        <v>ASET</v>
      </c>
      <c r="P1013" s="102" t="str">
        <f aca="false">IF(D1013="","",IFERROR(INDEX(AK_KEL,MATCH(D1013,AK_NAMA,0)),"?"))</f>
        <v>ASET</v>
      </c>
      <c r="Q1013" s="102" t="n">
        <f aca="false">N(Q1012)+IF(AND(N(E1013)&lt;&gt;0,K1013=TAHUN,N(J1013)&lt;=BLN,OR(C1013=BB_AKUN,D1013=BB_AKUN)),1,0)</f>
        <v>675</v>
      </c>
      <c r="R1013" s="104" t="str">
        <f aca="false">IF(OR(C1013&amp;D1013="",N(E1013)=0),"",IF(OR(O1013="?",P1013="?"),"⚠ akun tidak dikenal",IF(C1013=D1013,"⚠ debet = kredit","")))</f>
        <v/>
      </c>
    </row>
    <row r="1014" customFormat="false" ht="15" hidden="false" customHeight="false" outlineLevel="0" collapsed="false">
      <c r="A1014" s="82" t="s">
        <v>2110</v>
      </c>
      <c r="B1014" s="101" t="n">
        <v>46237</v>
      </c>
      <c r="C1014" s="82" t="s">
        <v>461</v>
      </c>
      <c r="D1014" s="82" t="s">
        <v>486</v>
      </c>
      <c r="E1014" s="91" t="n">
        <v>26000</v>
      </c>
      <c r="F1014" s="82" t="s">
        <v>2111</v>
      </c>
      <c r="G1014" s="82"/>
      <c r="H1014" s="82"/>
      <c r="I1014" s="82" t="s">
        <v>250</v>
      </c>
      <c r="J1014" s="102" t="n">
        <f aca="false">IF(B1014="","",MONTH(B1014))</f>
        <v>8</v>
      </c>
      <c r="K1014" s="102" t="n">
        <f aca="false">IF(B1014="","",YEAR(B1014))</f>
        <v>2026</v>
      </c>
      <c r="L1014" s="102" t="str">
        <f aca="false">IF(N(E1014)=0,"",IF(COUNTIFS(AK_NAMA,C1014,AK_KAT,"KAS")+COUNTIFS(AK_NAMA,D1014,AK_KAT,"KAS")&lt;&gt;1,"",IF(COUNTIFS(AK_NAMA,C1014,AK_KAT,"KAS")=1,D1014,C1014)))</f>
        <v/>
      </c>
      <c r="M1014" s="103" t="n">
        <f aca="false">IF(L1014="",0,IF(L1014=D1014,E1014,-E1014))</f>
        <v>0</v>
      </c>
      <c r="N1014" s="102" t="str">
        <f aca="false">IF(L1014="","",IFERROR(INDEX(AK_BARIS,MATCH(L1014,AK_NAMA,0)),"?"))</f>
        <v/>
      </c>
      <c r="O1014" s="102" t="str">
        <f aca="false">IF(C1014="","",IFERROR(INDEX(AK_KEL,MATCH(C1014,AK_NAMA,0)),"?"))</f>
        <v>ASET</v>
      </c>
      <c r="P1014" s="102" t="str">
        <f aca="false">IF(D1014="","",IFERROR(INDEX(AK_KEL,MATCH(D1014,AK_NAMA,0)),"?"))</f>
        <v>ASET</v>
      </c>
      <c r="Q1014" s="102" t="n">
        <f aca="false">N(Q1013)+IF(AND(N(E1014)&lt;&gt;0,K1014=TAHUN,N(J1014)&lt;=BLN,OR(C1014=BB_AKUN,D1014=BB_AKUN)),1,0)</f>
        <v>676</v>
      </c>
      <c r="R1014" s="104" t="str">
        <f aca="false">IF(OR(C1014&amp;D1014="",N(E1014)=0),"",IF(OR(O1014="?",P1014="?"),"⚠ akun tidak dikenal",IF(C1014=D1014,"⚠ debet = kredit","")))</f>
        <v/>
      </c>
    </row>
    <row r="1015" customFormat="false" ht="15" hidden="false" customHeight="false" outlineLevel="0" collapsed="false">
      <c r="A1015" s="82" t="s">
        <v>2112</v>
      </c>
      <c r="B1015" s="101" t="n">
        <v>46237</v>
      </c>
      <c r="C1015" s="82" t="s">
        <v>486</v>
      </c>
      <c r="D1015" s="82" t="s">
        <v>475</v>
      </c>
      <c r="E1015" s="91" t="n">
        <v>500000</v>
      </c>
      <c r="F1015" s="82" t="s">
        <v>2113</v>
      </c>
      <c r="G1015" s="82"/>
      <c r="H1015" s="82"/>
      <c r="I1015" s="82" t="s">
        <v>250</v>
      </c>
      <c r="J1015" s="102" t="n">
        <f aca="false">IF(B1015="","",MONTH(B1015))</f>
        <v>8</v>
      </c>
      <c r="K1015" s="102" t="n">
        <f aca="false">IF(B1015="","",YEAR(B1015))</f>
        <v>2026</v>
      </c>
      <c r="L1015" s="102" t="str">
        <f aca="false">IF(N(E1015)=0,"",IF(COUNTIFS(AK_NAMA,C1015,AK_KAT,"KAS")+COUNTIFS(AK_NAMA,D1015,AK_KAT,"KAS")&lt;&gt;1,"",IF(COUNTIFS(AK_NAMA,C1015,AK_KAT,"KAS")=1,D1015,C1015)))</f>
        <v/>
      </c>
      <c r="M1015" s="103" t="n">
        <f aca="false">IF(L1015="",0,IF(L1015=D1015,E1015,-E1015))</f>
        <v>0</v>
      </c>
      <c r="N1015" s="102" t="str">
        <f aca="false">IF(L1015="","",IFERROR(INDEX(AK_BARIS,MATCH(L1015,AK_NAMA,0)),"?"))</f>
        <v/>
      </c>
      <c r="O1015" s="102" t="str">
        <f aca="false">IF(C1015="","",IFERROR(INDEX(AK_KEL,MATCH(C1015,AK_NAMA,0)),"?"))</f>
        <v>ASET</v>
      </c>
      <c r="P1015" s="102" t="str">
        <f aca="false">IF(D1015="","",IFERROR(INDEX(AK_KEL,MATCH(D1015,AK_NAMA,0)),"?"))</f>
        <v>ASET</v>
      </c>
      <c r="Q1015" s="102" t="n">
        <f aca="false">N(Q1014)+IF(AND(N(E1015)&lt;&gt;0,K1015=TAHUN,N(J1015)&lt;=BLN,OR(C1015=BB_AKUN,D1015=BB_AKUN)),1,0)</f>
        <v>676</v>
      </c>
      <c r="R1015" s="104" t="str">
        <f aca="false">IF(OR(C1015&amp;D1015="",N(E1015)=0),"",IF(OR(O1015="?",P1015="?"),"⚠ akun tidak dikenal",IF(C1015=D1015,"⚠ debet = kredit","")))</f>
        <v/>
      </c>
    </row>
    <row r="1016" customFormat="false" ht="15" hidden="false" customHeight="false" outlineLevel="0" collapsed="false">
      <c r="A1016" s="82" t="s">
        <v>2114</v>
      </c>
      <c r="B1016" s="101" t="n">
        <v>46237</v>
      </c>
      <c r="C1016" s="82" t="s">
        <v>672</v>
      </c>
      <c r="D1016" s="82" t="s">
        <v>461</v>
      </c>
      <c r="E1016" s="91" t="n">
        <v>1071787</v>
      </c>
      <c r="F1016" s="82" t="s">
        <v>2115</v>
      </c>
      <c r="G1016" s="82"/>
      <c r="H1016" s="82"/>
      <c r="I1016" s="82" t="s">
        <v>250</v>
      </c>
      <c r="J1016" s="102" t="n">
        <f aca="false">IF(B1016="","",MONTH(B1016))</f>
        <v>8</v>
      </c>
      <c r="K1016" s="102" t="n">
        <f aca="false">IF(B1016="","",YEAR(B1016))</f>
        <v>2026</v>
      </c>
      <c r="L1016" s="102" t="str">
        <f aca="false">IF(N(E1016)=0,"",IF(COUNTIFS(AK_NAMA,C1016,AK_KAT,"KAS")+COUNTIFS(AK_NAMA,D1016,AK_KAT,"KAS")&lt;&gt;1,"",IF(COUNTIFS(AK_NAMA,C1016,AK_KAT,"KAS")=1,D1016,C1016)))</f>
        <v>Peralatan</v>
      </c>
      <c r="M1016" s="103" t="n">
        <f aca="false">IF(L1016="",0,IF(L1016=D1016,E1016,-E1016))</f>
        <v>-1071787</v>
      </c>
      <c r="N1016" s="102" t="str">
        <f aca="false">IF(L1016="","",IFERROR(INDEX(AK_BARIS,MATCH(L1016,AK_NAMA,0)),"?"))</f>
        <v>IN1</v>
      </c>
      <c r="O1016" s="102" t="str">
        <f aca="false">IF(C1016="","",IFERROR(INDEX(AK_KEL,MATCH(C1016,AK_NAMA,0)),"?"))</f>
        <v>ASET</v>
      </c>
      <c r="P1016" s="102" t="str">
        <f aca="false">IF(D1016="","",IFERROR(INDEX(AK_KEL,MATCH(D1016,AK_NAMA,0)),"?"))</f>
        <v>ASET</v>
      </c>
      <c r="Q1016" s="102" t="n">
        <f aca="false">N(Q1015)+IF(AND(N(E1016)&lt;&gt;0,K1016=TAHUN,N(J1016)&lt;=BLN,OR(C1016=BB_AKUN,D1016=BB_AKUN)),1,0)</f>
        <v>677</v>
      </c>
      <c r="R1016" s="104" t="str">
        <f aca="false">IF(OR(C1016&amp;D1016="",N(E1016)=0),"",IF(OR(O1016="?",P1016="?"),"⚠ akun tidak dikenal",IF(C1016=D1016,"⚠ debet = kredit","")))</f>
        <v/>
      </c>
    </row>
    <row r="1017" customFormat="false" ht="15" hidden="false" customHeight="false" outlineLevel="0" collapsed="false">
      <c r="A1017" s="82" t="s">
        <v>2116</v>
      </c>
      <c r="B1017" s="101" t="n">
        <v>46237</v>
      </c>
      <c r="C1017" s="82" t="s">
        <v>470</v>
      </c>
      <c r="D1017" s="82" t="s">
        <v>486</v>
      </c>
      <c r="E1017" s="91" t="n">
        <v>504600</v>
      </c>
      <c r="F1017" s="82" t="s">
        <v>2117</v>
      </c>
      <c r="G1017" s="82"/>
      <c r="H1017" s="82"/>
      <c r="I1017" s="82" t="s">
        <v>250</v>
      </c>
      <c r="J1017" s="102" t="n">
        <f aca="false">IF(B1017="","",MONTH(B1017))</f>
        <v>8</v>
      </c>
      <c r="K1017" s="102" t="n">
        <f aca="false">IF(B1017="","",YEAR(B1017))</f>
        <v>2026</v>
      </c>
      <c r="L1017" s="102" t="str">
        <f aca="false">IF(N(E1017)=0,"",IF(COUNTIFS(AK_NAMA,C1017,AK_KAT,"KAS")+COUNTIFS(AK_NAMA,D1017,AK_KAT,"KAS")&lt;&gt;1,"",IF(COUNTIFS(AK_NAMA,C1017,AK_KAT,"KAS")=1,D1017,C1017)))</f>
        <v>Biaya Bahan Baku</v>
      </c>
      <c r="M1017" s="103" t="n">
        <f aca="false">IF(L1017="",0,IF(L1017=D1017,E1017,-E1017))</f>
        <v>-504600</v>
      </c>
      <c r="N1017" s="102" t="str">
        <f aca="false">IF(L1017="","",IFERROR(INDEX(AK_BARIS,MATCH(L1017,AK_NAMA,0)),"?"))</f>
        <v>OP3</v>
      </c>
      <c r="O1017" s="102" t="str">
        <f aca="false">IF(C1017="","",IFERROR(INDEX(AK_KEL,MATCH(C1017,AK_NAMA,0)),"?"))</f>
        <v>BEBAN</v>
      </c>
      <c r="P1017" s="102" t="str">
        <f aca="false">IF(D1017="","",IFERROR(INDEX(AK_KEL,MATCH(D1017,AK_NAMA,0)),"?"))</f>
        <v>ASET</v>
      </c>
      <c r="Q1017" s="102" t="n">
        <f aca="false">N(Q1016)+IF(AND(N(E1017)&lt;&gt;0,K1017=TAHUN,N(J1017)&lt;=BLN,OR(C1017=BB_AKUN,D1017=BB_AKUN)),1,0)</f>
        <v>677</v>
      </c>
      <c r="R1017" s="104" t="str">
        <f aca="false">IF(OR(C1017&amp;D1017="",N(E1017)=0),"",IF(OR(O1017="?",P1017="?"),"⚠ akun tidak dikenal",IF(C1017=D1017,"⚠ debet = kredit","")))</f>
        <v/>
      </c>
    </row>
    <row r="1018" customFormat="false" ht="15" hidden="false" customHeight="false" outlineLevel="0" collapsed="false">
      <c r="A1018" s="82" t="s">
        <v>2118</v>
      </c>
      <c r="B1018" s="101" t="n">
        <v>46237</v>
      </c>
      <c r="C1018" s="82" t="s">
        <v>460</v>
      </c>
      <c r="D1018" s="82" t="s">
        <v>486</v>
      </c>
      <c r="E1018" s="91" t="n">
        <v>56500</v>
      </c>
      <c r="F1018" s="82" t="s">
        <v>2119</v>
      </c>
      <c r="G1018" s="82" t="s">
        <v>390</v>
      </c>
      <c r="H1018" s="82"/>
      <c r="I1018" s="82" t="s">
        <v>250</v>
      </c>
      <c r="J1018" s="102" t="n">
        <f aca="false">IF(B1018="","",MONTH(B1018))</f>
        <v>8</v>
      </c>
      <c r="K1018" s="102" t="n">
        <f aca="false">IF(B1018="","",YEAR(B1018))</f>
        <v>2026</v>
      </c>
      <c r="L1018" s="102" t="str">
        <f aca="false">IF(N(E1018)=0,"",IF(COUNTIFS(AK_NAMA,C1018,AK_KAT,"KAS")+COUNTIFS(AK_NAMA,D1018,AK_KAT,"KAS")&lt;&gt;1,"",IF(COUNTIFS(AK_NAMA,C1018,AK_KAT,"KAS")=1,D1018,C1018)))</f>
        <v>Biaya Marketing &amp; Promosi</v>
      </c>
      <c r="M1018" s="103" t="n">
        <f aca="false">IF(L1018="",0,IF(L1018=D1018,E1018,-E1018))</f>
        <v>-56500</v>
      </c>
      <c r="N1018" s="102" t="str">
        <f aca="false">IF(L1018="","",IFERROR(INDEX(AK_BARIS,MATCH(L1018,AK_NAMA,0)),"?"))</f>
        <v>OP6</v>
      </c>
      <c r="O1018" s="102" t="str">
        <f aca="false">IF(C1018="","",IFERROR(INDEX(AK_KEL,MATCH(C1018,AK_NAMA,0)),"?"))</f>
        <v>BEBAN</v>
      </c>
      <c r="P1018" s="102" t="str">
        <f aca="false">IF(D1018="","",IFERROR(INDEX(AK_KEL,MATCH(D1018,AK_NAMA,0)),"?"))</f>
        <v>ASET</v>
      </c>
      <c r="Q1018" s="102" t="n">
        <f aca="false">N(Q1017)+IF(AND(N(E1018)&lt;&gt;0,K1018=TAHUN,N(J1018)&lt;=BLN,OR(C1018=BB_AKUN,D1018=BB_AKUN)),1,0)</f>
        <v>677</v>
      </c>
      <c r="R1018" s="104" t="str">
        <f aca="false">IF(OR(C1018&amp;D1018="",N(E1018)=0),"",IF(OR(O1018="?",P1018="?"),"⚠ akun tidak dikenal",IF(C1018=D1018,"⚠ debet = kredit","")))</f>
        <v/>
      </c>
    </row>
    <row r="1019" customFormat="false" ht="15" hidden="false" customHeight="false" outlineLevel="0" collapsed="false">
      <c r="A1019" s="82" t="s">
        <v>2120</v>
      </c>
      <c r="B1019" s="101" t="n">
        <v>46237</v>
      </c>
      <c r="C1019" s="82" t="s">
        <v>548</v>
      </c>
      <c r="D1019" s="82" t="s">
        <v>486</v>
      </c>
      <c r="E1019" s="91" t="n">
        <v>292500</v>
      </c>
      <c r="F1019" s="82" t="s">
        <v>2121</v>
      </c>
      <c r="G1019" s="82"/>
      <c r="H1019" s="82"/>
      <c r="I1019" s="82" t="s">
        <v>250</v>
      </c>
      <c r="J1019" s="102" t="n">
        <f aca="false">IF(B1019="","",MONTH(B1019))</f>
        <v>8</v>
      </c>
      <c r="K1019" s="102" t="n">
        <f aca="false">IF(B1019="","",YEAR(B1019))</f>
        <v>2026</v>
      </c>
      <c r="L1019" s="102" t="str">
        <f aca="false">IF(N(E1019)=0,"",IF(COUNTIFS(AK_NAMA,C1019,AK_KAT,"KAS")+COUNTIFS(AK_NAMA,D1019,AK_KAT,"KAS")&lt;&gt;1,"",IF(COUNTIFS(AK_NAMA,C1019,AK_KAT,"KAS")=1,D1019,C1019)))</f>
        <v>Beban Perlengkapan</v>
      </c>
      <c r="M1019" s="103" t="n">
        <f aca="false">IF(L1019="",0,IF(L1019=D1019,E1019,-E1019))</f>
        <v>-292500</v>
      </c>
      <c r="N1019" s="102" t="str">
        <f aca="false">IF(L1019="","",IFERROR(INDEX(AK_BARIS,MATCH(L1019,AK_NAMA,0)),"?"))</f>
        <v>OP6</v>
      </c>
      <c r="O1019" s="102" t="str">
        <f aca="false">IF(C1019="","",IFERROR(INDEX(AK_KEL,MATCH(C1019,AK_NAMA,0)),"?"))</f>
        <v>BEBAN</v>
      </c>
      <c r="P1019" s="102" t="str">
        <f aca="false">IF(D1019="","",IFERROR(INDEX(AK_KEL,MATCH(D1019,AK_NAMA,0)),"?"))</f>
        <v>ASET</v>
      </c>
      <c r="Q1019" s="102" t="n">
        <f aca="false">N(Q1018)+IF(AND(N(E1019)&lt;&gt;0,K1019=TAHUN,N(J1019)&lt;=BLN,OR(C1019=BB_AKUN,D1019=BB_AKUN)),1,0)</f>
        <v>677</v>
      </c>
      <c r="R1019" s="104" t="str">
        <f aca="false">IF(OR(C1019&amp;D1019="",N(E1019)=0),"",IF(OR(O1019="?",P1019="?"),"⚠ akun tidak dikenal",IF(C1019=D1019,"⚠ debet = kredit","")))</f>
        <v/>
      </c>
    </row>
    <row r="1020" customFormat="false" ht="15" hidden="false" customHeight="false" outlineLevel="0" collapsed="false">
      <c r="A1020" s="82" t="s">
        <v>2122</v>
      </c>
      <c r="B1020" s="101" t="n">
        <v>46237</v>
      </c>
      <c r="C1020" s="82" t="s">
        <v>548</v>
      </c>
      <c r="D1020" s="82" t="s">
        <v>486</v>
      </c>
      <c r="E1020" s="91" t="n">
        <v>162900</v>
      </c>
      <c r="F1020" s="82" t="s">
        <v>2123</v>
      </c>
      <c r="G1020" s="82"/>
      <c r="H1020" s="82"/>
      <c r="I1020" s="82" t="s">
        <v>250</v>
      </c>
      <c r="J1020" s="102" t="n">
        <f aca="false">IF(B1020="","",MONTH(B1020))</f>
        <v>8</v>
      </c>
      <c r="K1020" s="102" t="n">
        <f aca="false">IF(B1020="","",YEAR(B1020))</f>
        <v>2026</v>
      </c>
      <c r="L1020" s="102" t="str">
        <f aca="false">IF(N(E1020)=0,"",IF(COUNTIFS(AK_NAMA,C1020,AK_KAT,"KAS")+COUNTIFS(AK_NAMA,D1020,AK_KAT,"KAS")&lt;&gt;1,"",IF(COUNTIFS(AK_NAMA,C1020,AK_KAT,"KAS")=1,D1020,C1020)))</f>
        <v>Beban Perlengkapan</v>
      </c>
      <c r="M1020" s="103" t="n">
        <f aca="false">IF(L1020="",0,IF(L1020=D1020,E1020,-E1020))</f>
        <v>-162900</v>
      </c>
      <c r="N1020" s="102" t="str">
        <f aca="false">IF(L1020="","",IFERROR(INDEX(AK_BARIS,MATCH(L1020,AK_NAMA,0)),"?"))</f>
        <v>OP6</v>
      </c>
      <c r="O1020" s="102" t="str">
        <f aca="false">IF(C1020="","",IFERROR(INDEX(AK_KEL,MATCH(C1020,AK_NAMA,0)),"?"))</f>
        <v>BEBAN</v>
      </c>
      <c r="P1020" s="102" t="str">
        <f aca="false">IF(D1020="","",IFERROR(INDEX(AK_KEL,MATCH(D1020,AK_NAMA,0)),"?"))</f>
        <v>ASET</v>
      </c>
      <c r="Q1020" s="102" t="n">
        <f aca="false">N(Q1019)+IF(AND(N(E1020)&lt;&gt;0,K1020=TAHUN,N(J1020)&lt;=BLN,OR(C1020=BB_AKUN,D1020=BB_AKUN)),1,0)</f>
        <v>677</v>
      </c>
      <c r="R1020" s="104" t="str">
        <f aca="false">IF(OR(C1020&amp;D1020="",N(E1020)=0),"",IF(OR(O1020="?",P1020="?"),"⚠ akun tidak dikenal",IF(C1020=D1020,"⚠ debet = kredit","")))</f>
        <v/>
      </c>
    </row>
    <row r="1021" customFormat="false" ht="15" hidden="false" customHeight="false" outlineLevel="0" collapsed="false">
      <c r="A1021" s="82" t="s">
        <v>2124</v>
      </c>
      <c r="B1021" s="101" t="n">
        <v>46237</v>
      </c>
      <c r="C1021" s="82" t="s">
        <v>485</v>
      </c>
      <c r="D1021" s="82" t="s">
        <v>486</v>
      </c>
      <c r="E1021" s="91" t="n">
        <v>20000</v>
      </c>
      <c r="F1021" s="82" t="s">
        <v>2125</v>
      </c>
      <c r="G1021" s="82"/>
      <c r="H1021" s="82"/>
      <c r="I1021" s="82" t="s">
        <v>250</v>
      </c>
      <c r="J1021" s="102" t="n">
        <f aca="false">IF(B1021="","",MONTH(B1021))</f>
        <v>8</v>
      </c>
      <c r="K1021" s="102" t="n">
        <f aca="false">IF(B1021="","",YEAR(B1021))</f>
        <v>2026</v>
      </c>
      <c r="L1021" s="102" t="str">
        <f aca="false">IF(N(E1021)=0,"",IF(COUNTIFS(AK_NAMA,C1021,AK_KAT,"KAS")+COUNTIFS(AK_NAMA,D1021,AK_KAT,"KAS")&lt;&gt;1,"",IF(COUNTIFS(AK_NAMA,C1021,AK_KAT,"KAS")=1,D1021,C1021)))</f>
        <v>Biaya Operasional Harian</v>
      </c>
      <c r="M1021" s="103" t="n">
        <f aca="false">IF(L1021="",0,IF(L1021=D1021,E1021,-E1021))</f>
        <v>-20000</v>
      </c>
      <c r="N1021" s="102" t="str">
        <f aca="false">IF(L1021="","",IFERROR(INDEX(AK_BARIS,MATCH(L1021,AK_NAMA,0)),"?"))</f>
        <v>OP6</v>
      </c>
      <c r="O1021" s="102" t="str">
        <f aca="false">IF(C1021="","",IFERROR(INDEX(AK_KEL,MATCH(C1021,AK_NAMA,0)),"?"))</f>
        <v>BEBAN</v>
      </c>
      <c r="P1021" s="102" t="str">
        <f aca="false">IF(D1021="","",IFERROR(INDEX(AK_KEL,MATCH(D1021,AK_NAMA,0)),"?"))</f>
        <v>ASET</v>
      </c>
      <c r="Q1021" s="102" t="n">
        <f aca="false">N(Q1020)+IF(AND(N(E1021)&lt;&gt;0,K1021=TAHUN,N(J1021)&lt;=BLN,OR(C1021=BB_AKUN,D1021=BB_AKUN)),1,0)</f>
        <v>677</v>
      </c>
      <c r="R1021" s="104" t="str">
        <f aca="false">IF(OR(C1021&amp;D1021="",N(E1021)=0),"",IF(OR(O1021="?",P1021="?"),"⚠ akun tidak dikenal",IF(C1021=D1021,"⚠ debet = kredit","")))</f>
        <v/>
      </c>
    </row>
    <row r="1022" customFormat="false" ht="15" hidden="false" customHeight="false" outlineLevel="0" collapsed="false">
      <c r="A1022" s="82" t="s">
        <v>2126</v>
      </c>
      <c r="B1022" s="101" t="n">
        <v>46237</v>
      </c>
      <c r="C1022" s="82" t="s">
        <v>524</v>
      </c>
      <c r="D1022" s="82" t="s">
        <v>486</v>
      </c>
      <c r="E1022" s="91" t="n">
        <v>162000</v>
      </c>
      <c r="F1022" s="82" t="s">
        <v>2127</v>
      </c>
      <c r="G1022" s="82"/>
      <c r="H1022" s="82"/>
      <c r="I1022" s="82" t="s">
        <v>250</v>
      </c>
      <c r="J1022" s="102" t="n">
        <f aca="false">IF(B1022="","",MONTH(B1022))</f>
        <v>8</v>
      </c>
      <c r="K1022" s="102" t="n">
        <f aca="false">IF(B1022="","",YEAR(B1022))</f>
        <v>2026</v>
      </c>
      <c r="L1022" s="102" t="str">
        <f aca="false">IF(N(E1022)=0,"",IF(COUNTIFS(AK_NAMA,C1022,AK_KAT,"KAS")+COUNTIFS(AK_NAMA,D1022,AK_KAT,"KAS")&lt;&gt;1,"",IF(COUNTIFS(AK_NAMA,C1022,AK_KAT,"KAS")=1,D1022,C1022)))</f>
        <v>Biaya Lainnya</v>
      </c>
      <c r="M1022" s="103" t="n">
        <f aca="false">IF(L1022="",0,IF(L1022=D1022,E1022,-E1022))</f>
        <v>-162000</v>
      </c>
      <c r="N1022" s="102" t="str">
        <f aca="false">IF(L1022="","",IFERROR(INDEX(AK_BARIS,MATCH(L1022,AK_NAMA,0)),"?"))</f>
        <v>OP2</v>
      </c>
      <c r="O1022" s="102" t="str">
        <f aca="false">IF(C1022="","",IFERROR(INDEX(AK_KEL,MATCH(C1022,AK_NAMA,0)),"?"))</f>
        <v>BEBAN</v>
      </c>
      <c r="P1022" s="102" t="str">
        <f aca="false">IF(D1022="","",IFERROR(INDEX(AK_KEL,MATCH(D1022,AK_NAMA,0)),"?"))</f>
        <v>ASET</v>
      </c>
      <c r="Q1022" s="102" t="n">
        <f aca="false">N(Q1021)+IF(AND(N(E1022)&lt;&gt;0,K1022=TAHUN,N(J1022)&lt;=BLN,OR(C1022=BB_AKUN,D1022=BB_AKUN)),1,0)</f>
        <v>677</v>
      </c>
      <c r="R1022" s="104" t="str">
        <f aca="false">IF(OR(C1022&amp;D1022="",N(E1022)=0),"",IF(OR(O1022="?",P1022="?"),"⚠ akun tidak dikenal",IF(C1022=D1022,"⚠ debet = kredit","")))</f>
        <v/>
      </c>
    </row>
    <row r="1023" customFormat="false" ht="15" hidden="false" customHeight="false" outlineLevel="0" collapsed="false">
      <c r="A1023" s="82" t="s">
        <v>2128</v>
      </c>
      <c r="B1023" s="101" t="n">
        <v>46237</v>
      </c>
      <c r="C1023" s="82" t="s">
        <v>524</v>
      </c>
      <c r="D1023" s="82" t="s">
        <v>486</v>
      </c>
      <c r="E1023" s="91" t="n">
        <v>300</v>
      </c>
      <c r="F1023" s="82" t="s">
        <v>2129</v>
      </c>
      <c r="G1023" s="82"/>
      <c r="H1023" s="82"/>
      <c r="I1023" s="82" t="s">
        <v>250</v>
      </c>
      <c r="J1023" s="102" t="n">
        <f aca="false">IF(B1023="","",MONTH(B1023))</f>
        <v>8</v>
      </c>
      <c r="K1023" s="102" t="n">
        <f aca="false">IF(B1023="","",YEAR(B1023))</f>
        <v>2026</v>
      </c>
      <c r="L1023" s="102" t="str">
        <f aca="false">IF(N(E1023)=0,"",IF(COUNTIFS(AK_NAMA,C1023,AK_KAT,"KAS")+COUNTIFS(AK_NAMA,D1023,AK_KAT,"KAS")&lt;&gt;1,"",IF(COUNTIFS(AK_NAMA,C1023,AK_KAT,"KAS")=1,D1023,C1023)))</f>
        <v>Biaya Lainnya</v>
      </c>
      <c r="M1023" s="103" t="n">
        <f aca="false">IF(L1023="",0,IF(L1023=D1023,E1023,-E1023))</f>
        <v>-300</v>
      </c>
      <c r="N1023" s="102" t="str">
        <f aca="false">IF(L1023="","",IFERROR(INDEX(AK_BARIS,MATCH(L1023,AK_NAMA,0)),"?"))</f>
        <v>OP2</v>
      </c>
      <c r="O1023" s="102" t="str">
        <f aca="false">IF(C1023="","",IFERROR(INDEX(AK_KEL,MATCH(C1023,AK_NAMA,0)),"?"))</f>
        <v>BEBAN</v>
      </c>
      <c r="P1023" s="102" t="str">
        <f aca="false">IF(D1023="","",IFERROR(INDEX(AK_KEL,MATCH(D1023,AK_NAMA,0)),"?"))</f>
        <v>ASET</v>
      </c>
      <c r="Q1023" s="102" t="n">
        <f aca="false">N(Q1022)+IF(AND(N(E1023)&lt;&gt;0,K1023=TAHUN,N(J1023)&lt;=BLN,OR(C1023=BB_AKUN,D1023=BB_AKUN)),1,0)</f>
        <v>677</v>
      </c>
      <c r="R1023" s="104" t="str">
        <f aca="false">IF(OR(C1023&amp;D1023="",N(E1023)=0),"",IF(OR(O1023="?",P1023="?"),"⚠ akun tidak dikenal",IF(C1023=D1023,"⚠ debet = kredit","")))</f>
        <v/>
      </c>
    </row>
    <row r="1024" customFormat="false" ht="15" hidden="false" customHeight="false" outlineLevel="0" collapsed="false">
      <c r="A1024" s="82" t="s">
        <v>2130</v>
      </c>
      <c r="B1024" s="101" t="n">
        <v>46238</v>
      </c>
      <c r="C1024" s="82" t="s">
        <v>470</v>
      </c>
      <c r="D1024" s="82" t="s">
        <v>461</v>
      </c>
      <c r="E1024" s="91" t="n">
        <v>4460000</v>
      </c>
      <c r="F1024" s="82" t="s">
        <v>2131</v>
      </c>
      <c r="G1024" s="82"/>
      <c r="H1024" s="82"/>
      <c r="I1024" s="82" t="s">
        <v>250</v>
      </c>
      <c r="J1024" s="102" t="n">
        <f aca="false">IF(B1024="","",MONTH(B1024))</f>
        <v>8</v>
      </c>
      <c r="K1024" s="102" t="n">
        <f aca="false">IF(B1024="","",YEAR(B1024))</f>
        <v>2026</v>
      </c>
      <c r="L1024" s="102" t="str">
        <f aca="false">IF(N(E1024)=0,"",IF(COUNTIFS(AK_NAMA,C1024,AK_KAT,"KAS")+COUNTIFS(AK_NAMA,D1024,AK_KAT,"KAS")&lt;&gt;1,"",IF(COUNTIFS(AK_NAMA,C1024,AK_KAT,"KAS")=1,D1024,C1024)))</f>
        <v>Biaya Bahan Baku</v>
      </c>
      <c r="M1024" s="103" t="n">
        <f aca="false">IF(L1024="",0,IF(L1024=D1024,E1024,-E1024))</f>
        <v>-4460000</v>
      </c>
      <c r="N1024" s="102" t="str">
        <f aca="false">IF(L1024="","",IFERROR(INDEX(AK_BARIS,MATCH(L1024,AK_NAMA,0)),"?"))</f>
        <v>OP3</v>
      </c>
      <c r="O1024" s="102" t="str">
        <f aca="false">IF(C1024="","",IFERROR(INDEX(AK_KEL,MATCH(C1024,AK_NAMA,0)),"?"))</f>
        <v>BEBAN</v>
      </c>
      <c r="P1024" s="102" t="str">
        <f aca="false">IF(D1024="","",IFERROR(INDEX(AK_KEL,MATCH(D1024,AK_NAMA,0)),"?"))</f>
        <v>ASET</v>
      </c>
      <c r="Q1024" s="102" t="n">
        <f aca="false">N(Q1023)+IF(AND(N(E1024)&lt;&gt;0,K1024=TAHUN,N(J1024)&lt;=BLN,OR(C1024=BB_AKUN,D1024=BB_AKUN)),1,0)</f>
        <v>678</v>
      </c>
      <c r="R1024" s="104" t="str">
        <f aca="false">IF(OR(C1024&amp;D1024="",N(E1024)=0),"",IF(OR(O1024="?",P1024="?"),"⚠ akun tidak dikenal",IF(C1024=D1024,"⚠ debet = kredit","")))</f>
        <v/>
      </c>
    </row>
    <row r="1025" customFormat="false" ht="15" hidden="false" customHeight="false" outlineLevel="0" collapsed="false">
      <c r="A1025" s="82" t="s">
        <v>2132</v>
      </c>
      <c r="B1025" s="101" t="n">
        <v>46238</v>
      </c>
      <c r="C1025" s="82" t="s">
        <v>461</v>
      </c>
      <c r="D1025" s="82" t="s">
        <v>792</v>
      </c>
      <c r="E1025" s="91" t="n">
        <v>48800</v>
      </c>
      <c r="F1025" s="82" t="s">
        <v>2133</v>
      </c>
      <c r="G1025" s="82"/>
      <c r="H1025" s="82"/>
      <c r="I1025" s="82" t="s">
        <v>250</v>
      </c>
      <c r="J1025" s="102" t="n">
        <f aca="false">IF(B1025="","",MONTH(B1025))</f>
        <v>8</v>
      </c>
      <c r="K1025" s="102" t="n">
        <f aca="false">IF(B1025="","",YEAR(B1025))</f>
        <v>2026</v>
      </c>
      <c r="L1025" s="102" t="str">
        <f aca="false">IF(N(E1025)=0,"",IF(COUNTIFS(AK_NAMA,C1025,AK_KAT,"KAS")+COUNTIFS(AK_NAMA,D1025,AK_KAT,"KAS")&lt;&gt;1,"",IF(COUNTIFS(AK_NAMA,C1025,AK_KAT,"KAS")=1,D1025,C1025)))</f>
        <v>Pendapatan Cafe</v>
      </c>
      <c r="M1025" s="103" t="n">
        <f aca="false">IF(L1025="",0,IF(L1025=D1025,E1025,-E1025))</f>
        <v>48800</v>
      </c>
      <c r="N1025" s="102" t="str">
        <f aca="false">IF(L1025="","",IFERROR(INDEX(AK_BARIS,MATCH(L1025,AK_NAMA,0)),"?"))</f>
        <v>OP1</v>
      </c>
      <c r="O1025" s="102" t="str">
        <f aca="false">IF(C1025="","",IFERROR(INDEX(AK_KEL,MATCH(C1025,AK_NAMA,0)),"?"))</f>
        <v>ASET</v>
      </c>
      <c r="P1025" s="102" t="str">
        <f aca="false">IF(D1025="","",IFERROR(INDEX(AK_KEL,MATCH(D1025,AK_NAMA,0)),"?"))</f>
        <v>PENDAPATAN</v>
      </c>
      <c r="Q1025" s="102" t="n">
        <f aca="false">N(Q1024)+IF(AND(N(E1025)&lt;&gt;0,K1025=TAHUN,N(J1025)&lt;=BLN,OR(C1025=BB_AKUN,D1025=BB_AKUN)),1,0)</f>
        <v>679</v>
      </c>
      <c r="R1025" s="104" t="str">
        <f aca="false">IF(OR(C1025&amp;D1025="",N(E1025)=0),"",IF(OR(O1025="?",P1025="?"),"⚠ akun tidak dikenal",IF(C1025=D1025,"⚠ debet = kredit","")))</f>
        <v/>
      </c>
    </row>
    <row r="1026" customFormat="false" ht="15" hidden="false" customHeight="false" outlineLevel="0" collapsed="false">
      <c r="A1026" s="82" t="s">
        <v>2134</v>
      </c>
      <c r="B1026" s="101" t="n">
        <v>46238</v>
      </c>
      <c r="C1026" s="82" t="s">
        <v>548</v>
      </c>
      <c r="D1026" s="82" t="s">
        <v>461</v>
      </c>
      <c r="E1026" s="91" t="n">
        <v>161000</v>
      </c>
      <c r="F1026" s="82" t="s">
        <v>2135</v>
      </c>
      <c r="G1026" s="82"/>
      <c r="H1026" s="82"/>
      <c r="I1026" s="82" t="s">
        <v>250</v>
      </c>
      <c r="J1026" s="102" t="n">
        <f aca="false">IF(B1026="","",MONTH(B1026))</f>
        <v>8</v>
      </c>
      <c r="K1026" s="102" t="n">
        <f aca="false">IF(B1026="","",YEAR(B1026))</f>
        <v>2026</v>
      </c>
      <c r="L1026" s="102" t="str">
        <f aca="false">IF(N(E1026)=0,"",IF(COUNTIFS(AK_NAMA,C1026,AK_KAT,"KAS")+COUNTIFS(AK_NAMA,D1026,AK_KAT,"KAS")&lt;&gt;1,"",IF(COUNTIFS(AK_NAMA,C1026,AK_KAT,"KAS")=1,D1026,C1026)))</f>
        <v>Beban Perlengkapan</v>
      </c>
      <c r="M1026" s="103" t="n">
        <f aca="false">IF(L1026="",0,IF(L1026=D1026,E1026,-E1026))</f>
        <v>-161000</v>
      </c>
      <c r="N1026" s="102" t="str">
        <f aca="false">IF(L1026="","",IFERROR(INDEX(AK_BARIS,MATCH(L1026,AK_NAMA,0)),"?"))</f>
        <v>OP6</v>
      </c>
      <c r="O1026" s="102" t="str">
        <f aca="false">IF(C1026="","",IFERROR(INDEX(AK_KEL,MATCH(C1026,AK_NAMA,0)),"?"))</f>
        <v>BEBAN</v>
      </c>
      <c r="P1026" s="102" t="str">
        <f aca="false">IF(D1026="","",IFERROR(INDEX(AK_KEL,MATCH(D1026,AK_NAMA,0)),"?"))</f>
        <v>ASET</v>
      </c>
      <c r="Q1026" s="102" t="n">
        <f aca="false">N(Q1025)+IF(AND(N(E1026)&lt;&gt;0,K1026=TAHUN,N(J1026)&lt;=BLN,OR(C1026=BB_AKUN,D1026=BB_AKUN)),1,0)</f>
        <v>680</v>
      </c>
      <c r="R1026" s="104" t="str">
        <f aca="false">IF(OR(C1026&amp;D1026="",N(E1026)=0),"",IF(OR(O1026="?",P1026="?"),"⚠ akun tidak dikenal",IF(C1026=D1026,"⚠ debet = kredit","")))</f>
        <v/>
      </c>
    </row>
    <row r="1027" customFormat="false" ht="15" hidden="false" customHeight="false" outlineLevel="0" collapsed="false">
      <c r="A1027" s="82" t="s">
        <v>2136</v>
      </c>
      <c r="B1027" s="101" t="n">
        <v>46239</v>
      </c>
      <c r="C1027" s="82" t="s">
        <v>475</v>
      </c>
      <c r="D1027" s="82" t="s">
        <v>461</v>
      </c>
      <c r="E1027" s="91" t="n">
        <v>3800000</v>
      </c>
      <c r="F1027" s="82" t="s">
        <v>2137</v>
      </c>
      <c r="G1027" s="82"/>
      <c r="H1027" s="82"/>
      <c r="I1027" s="82" t="s">
        <v>250</v>
      </c>
      <c r="J1027" s="102" t="n">
        <f aca="false">IF(B1027="","",MONTH(B1027))</f>
        <v>8</v>
      </c>
      <c r="K1027" s="102" t="n">
        <f aca="false">IF(B1027="","",YEAR(B1027))</f>
        <v>2026</v>
      </c>
      <c r="L1027" s="102" t="str">
        <f aca="false">IF(N(E1027)=0,"",IF(COUNTIFS(AK_NAMA,C1027,AK_KAT,"KAS")+COUNTIFS(AK_NAMA,D1027,AK_KAT,"KAS")&lt;&gt;1,"",IF(COUNTIFS(AK_NAMA,C1027,AK_KAT,"KAS")=1,D1027,C1027)))</f>
        <v/>
      </c>
      <c r="M1027" s="103" t="n">
        <f aca="false">IF(L1027="",0,IF(L1027=D1027,E1027,-E1027))</f>
        <v>0</v>
      </c>
      <c r="N1027" s="102" t="str">
        <f aca="false">IF(L1027="","",IFERROR(INDEX(AK_BARIS,MATCH(L1027,AK_NAMA,0)),"?"))</f>
        <v/>
      </c>
      <c r="O1027" s="102" t="str">
        <f aca="false">IF(C1027="","",IFERROR(INDEX(AK_KEL,MATCH(C1027,AK_NAMA,0)),"?"))</f>
        <v>ASET</v>
      </c>
      <c r="P1027" s="102" t="str">
        <f aca="false">IF(D1027="","",IFERROR(INDEX(AK_KEL,MATCH(D1027,AK_NAMA,0)),"?"))</f>
        <v>ASET</v>
      </c>
      <c r="Q1027" s="102" t="n">
        <f aca="false">N(Q1026)+IF(AND(N(E1027)&lt;&gt;0,K1027=TAHUN,N(J1027)&lt;=BLN,OR(C1027=BB_AKUN,D1027=BB_AKUN)),1,0)</f>
        <v>681</v>
      </c>
      <c r="R1027" s="104" t="str">
        <f aca="false">IF(OR(C1027&amp;D1027="",N(E1027)=0),"",IF(OR(O1027="?",P1027="?"),"⚠ akun tidak dikenal",IF(C1027=D1027,"⚠ debet = kredit","")))</f>
        <v/>
      </c>
    </row>
    <row r="1028" customFormat="false" ht="15" hidden="false" customHeight="false" outlineLevel="0" collapsed="false">
      <c r="A1028" s="82" t="s">
        <v>2138</v>
      </c>
      <c r="B1028" s="101" t="n">
        <v>46239</v>
      </c>
      <c r="C1028" s="82" t="s">
        <v>524</v>
      </c>
      <c r="D1028" s="82" t="s">
        <v>461</v>
      </c>
      <c r="E1028" s="91" t="n">
        <v>373999</v>
      </c>
      <c r="F1028" s="82" t="s">
        <v>2139</v>
      </c>
      <c r="G1028" s="82"/>
      <c r="H1028" s="82"/>
      <c r="I1028" s="82" t="s">
        <v>250</v>
      </c>
      <c r="J1028" s="102" t="n">
        <f aca="false">IF(B1028="","",MONTH(B1028))</f>
        <v>8</v>
      </c>
      <c r="K1028" s="102" t="n">
        <f aca="false">IF(B1028="","",YEAR(B1028))</f>
        <v>2026</v>
      </c>
      <c r="L1028" s="102" t="str">
        <f aca="false">IF(N(E1028)=0,"",IF(COUNTIFS(AK_NAMA,C1028,AK_KAT,"KAS")+COUNTIFS(AK_NAMA,D1028,AK_KAT,"KAS")&lt;&gt;1,"",IF(COUNTIFS(AK_NAMA,C1028,AK_KAT,"KAS")=1,D1028,C1028)))</f>
        <v>Biaya Lainnya</v>
      </c>
      <c r="M1028" s="103" t="n">
        <f aca="false">IF(L1028="",0,IF(L1028=D1028,E1028,-E1028))</f>
        <v>-373999</v>
      </c>
      <c r="N1028" s="102" t="str">
        <f aca="false">IF(L1028="","",IFERROR(INDEX(AK_BARIS,MATCH(L1028,AK_NAMA,0)),"?"))</f>
        <v>OP2</v>
      </c>
      <c r="O1028" s="102" t="str">
        <f aca="false">IF(C1028="","",IFERROR(INDEX(AK_KEL,MATCH(C1028,AK_NAMA,0)),"?"))</f>
        <v>BEBAN</v>
      </c>
      <c r="P1028" s="102" t="str">
        <f aca="false">IF(D1028="","",IFERROR(INDEX(AK_KEL,MATCH(D1028,AK_NAMA,0)),"?"))</f>
        <v>ASET</v>
      </c>
      <c r="Q1028" s="102" t="n">
        <f aca="false">N(Q1027)+IF(AND(N(E1028)&lt;&gt;0,K1028=TAHUN,N(J1028)&lt;=BLN,OR(C1028=BB_AKUN,D1028=BB_AKUN)),1,0)</f>
        <v>682</v>
      </c>
      <c r="R1028" s="104" t="str">
        <f aca="false">IF(OR(C1028&amp;D1028="",N(E1028)=0),"",IF(OR(O1028="?",P1028="?"),"⚠ akun tidak dikenal",IF(C1028=D1028,"⚠ debet = kredit","")))</f>
        <v/>
      </c>
    </row>
    <row r="1029" customFormat="false" ht="15" hidden="false" customHeight="false" outlineLevel="0" collapsed="false">
      <c r="A1029" s="82" t="s">
        <v>2140</v>
      </c>
      <c r="B1029" s="101" t="n">
        <v>46239</v>
      </c>
      <c r="C1029" s="82" t="s">
        <v>475</v>
      </c>
      <c r="D1029" s="82" t="s">
        <v>557</v>
      </c>
      <c r="E1029" s="91" t="n">
        <v>2000</v>
      </c>
      <c r="F1029" s="82" t="s">
        <v>2141</v>
      </c>
      <c r="G1029" s="82"/>
      <c r="H1029" s="82"/>
      <c r="I1029" s="82" t="s">
        <v>250</v>
      </c>
      <c r="J1029" s="102" t="n">
        <f aca="false">IF(B1029="","",MONTH(B1029))</f>
        <v>8</v>
      </c>
      <c r="K1029" s="102" t="n">
        <f aca="false">IF(B1029="","",YEAR(B1029))</f>
        <v>2026</v>
      </c>
      <c r="L1029" s="102" t="str">
        <f aca="false">IF(N(E1029)=0,"",IF(COUNTIFS(AK_NAMA,C1029,AK_KAT,"KAS")+COUNTIFS(AK_NAMA,D1029,AK_KAT,"KAS")&lt;&gt;1,"",IF(COUNTIFS(AK_NAMA,C1029,AK_KAT,"KAS")=1,D1029,C1029)))</f>
        <v>Pendapatan Lainnya</v>
      </c>
      <c r="M1029" s="103" t="n">
        <f aca="false">IF(L1029="",0,IF(L1029=D1029,E1029,-E1029))</f>
        <v>2000</v>
      </c>
      <c r="N1029" s="102" t="str">
        <f aca="false">IF(L1029="","",IFERROR(INDEX(AK_BARIS,MATCH(L1029,AK_NAMA,0)),"?"))</f>
        <v>OP2</v>
      </c>
      <c r="O1029" s="102" t="str">
        <f aca="false">IF(C1029="","",IFERROR(INDEX(AK_KEL,MATCH(C1029,AK_NAMA,0)),"?"))</f>
        <v>ASET</v>
      </c>
      <c r="P1029" s="102" t="str">
        <f aca="false">IF(D1029="","",IFERROR(INDEX(AK_KEL,MATCH(D1029,AK_NAMA,0)),"?"))</f>
        <v>PENDAPATAN</v>
      </c>
      <c r="Q1029" s="102" t="n">
        <f aca="false">N(Q1028)+IF(AND(N(E1029)&lt;&gt;0,K1029=TAHUN,N(J1029)&lt;=BLN,OR(C1029=BB_AKUN,D1029=BB_AKUN)),1,0)</f>
        <v>682</v>
      </c>
      <c r="R1029" s="104" t="str">
        <f aca="false">IF(OR(C1029&amp;D1029="",N(E1029)=0),"",IF(OR(O1029="?",P1029="?"),"⚠ akun tidak dikenal",IF(C1029=D1029,"⚠ debet = kredit","")))</f>
        <v/>
      </c>
    </row>
    <row r="1030" customFormat="false" ht="15" hidden="false" customHeight="false" outlineLevel="0" collapsed="false">
      <c r="A1030" s="82" t="s">
        <v>2142</v>
      </c>
      <c r="B1030" s="101" t="n">
        <v>46239</v>
      </c>
      <c r="C1030" s="82" t="s">
        <v>548</v>
      </c>
      <c r="D1030" s="82" t="s">
        <v>461</v>
      </c>
      <c r="E1030" s="91" t="n">
        <v>69000</v>
      </c>
      <c r="F1030" s="82" t="s">
        <v>2143</v>
      </c>
      <c r="G1030" s="82"/>
      <c r="H1030" s="82"/>
      <c r="I1030" s="82" t="s">
        <v>250</v>
      </c>
      <c r="J1030" s="102" t="n">
        <f aca="false">IF(B1030="","",MONTH(B1030))</f>
        <v>8</v>
      </c>
      <c r="K1030" s="102" t="n">
        <f aca="false">IF(B1030="","",YEAR(B1030))</f>
        <v>2026</v>
      </c>
      <c r="L1030" s="102" t="str">
        <f aca="false">IF(N(E1030)=0,"",IF(COUNTIFS(AK_NAMA,C1030,AK_KAT,"KAS")+COUNTIFS(AK_NAMA,D1030,AK_KAT,"KAS")&lt;&gt;1,"",IF(COUNTIFS(AK_NAMA,C1030,AK_KAT,"KAS")=1,D1030,C1030)))</f>
        <v>Beban Perlengkapan</v>
      </c>
      <c r="M1030" s="103" t="n">
        <f aca="false">IF(L1030="",0,IF(L1030=D1030,E1030,-E1030))</f>
        <v>-69000</v>
      </c>
      <c r="N1030" s="102" t="str">
        <f aca="false">IF(L1030="","",IFERROR(INDEX(AK_BARIS,MATCH(L1030,AK_NAMA,0)),"?"))</f>
        <v>OP6</v>
      </c>
      <c r="O1030" s="102" t="str">
        <f aca="false">IF(C1030="","",IFERROR(INDEX(AK_KEL,MATCH(C1030,AK_NAMA,0)),"?"))</f>
        <v>BEBAN</v>
      </c>
      <c r="P1030" s="102" t="str">
        <f aca="false">IF(D1030="","",IFERROR(INDEX(AK_KEL,MATCH(D1030,AK_NAMA,0)),"?"))</f>
        <v>ASET</v>
      </c>
      <c r="Q1030" s="102" t="n">
        <f aca="false">N(Q1029)+IF(AND(N(E1030)&lt;&gt;0,K1030=TAHUN,N(J1030)&lt;=BLN,OR(C1030=BB_AKUN,D1030=BB_AKUN)),1,0)</f>
        <v>683</v>
      </c>
      <c r="R1030" s="104" t="str">
        <f aca="false">IF(OR(C1030&amp;D1030="",N(E1030)=0),"",IF(OR(O1030="?",P1030="?"),"⚠ akun tidak dikenal",IF(C1030=D1030,"⚠ debet = kredit","")))</f>
        <v/>
      </c>
    </row>
    <row r="1031" customFormat="false" ht="15" hidden="false" customHeight="false" outlineLevel="0" collapsed="false">
      <c r="A1031" s="82" t="s">
        <v>2144</v>
      </c>
      <c r="B1031" s="101" t="n">
        <v>46240</v>
      </c>
      <c r="C1031" s="82" t="s">
        <v>461</v>
      </c>
      <c r="D1031" s="82" t="s">
        <v>475</v>
      </c>
      <c r="E1031" s="91" t="n">
        <v>2000000</v>
      </c>
      <c r="F1031" s="82" t="s">
        <v>2145</v>
      </c>
      <c r="G1031" s="82"/>
      <c r="H1031" s="82"/>
      <c r="I1031" s="82" t="s">
        <v>250</v>
      </c>
      <c r="J1031" s="102" t="n">
        <f aca="false">IF(B1031="","",MONTH(B1031))</f>
        <v>8</v>
      </c>
      <c r="K1031" s="102" t="n">
        <f aca="false">IF(B1031="","",YEAR(B1031))</f>
        <v>2026</v>
      </c>
      <c r="L1031" s="102" t="str">
        <f aca="false">IF(N(E1031)=0,"",IF(COUNTIFS(AK_NAMA,C1031,AK_KAT,"KAS")+COUNTIFS(AK_NAMA,D1031,AK_KAT,"KAS")&lt;&gt;1,"",IF(COUNTIFS(AK_NAMA,C1031,AK_KAT,"KAS")=1,D1031,C1031)))</f>
        <v/>
      </c>
      <c r="M1031" s="103" t="n">
        <f aca="false">IF(L1031="",0,IF(L1031=D1031,E1031,-E1031))</f>
        <v>0</v>
      </c>
      <c r="N1031" s="102" t="str">
        <f aca="false">IF(L1031="","",IFERROR(INDEX(AK_BARIS,MATCH(L1031,AK_NAMA,0)),"?"))</f>
        <v/>
      </c>
      <c r="O1031" s="102" t="str">
        <f aca="false">IF(C1031="","",IFERROR(INDEX(AK_KEL,MATCH(C1031,AK_NAMA,0)),"?"))</f>
        <v>ASET</v>
      </c>
      <c r="P1031" s="102" t="str">
        <f aca="false">IF(D1031="","",IFERROR(INDEX(AK_KEL,MATCH(D1031,AK_NAMA,0)),"?"))</f>
        <v>ASET</v>
      </c>
      <c r="Q1031" s="102" t="n">
        <f aca="false">N(Q1030)+IF(AND(N(E1031)&lt;&gt;0,K1031=TAHUN,N(J1031)&lt;=BLN,OR(C1031=BB_AKUN,D1031=BB_AKUN)),1,0)</f>
        <v>684</v>
      </c>
      <c r="R1031" s="104" t="str">
        <f aca="false">IF(OR(C1031&amp;D1031="",N(E1031)=0),"",IF(OR(O1031="?",P1031="?"),"⚠ akun tidak dikenal",IF(C1031=D1031,"⚠ debet = kredit","")))</f>
        <v/>
      </c>
    </row>
    <row r="1032" customFormat="false" ht="15" hidden="false" customHeight="false" outlineLevel="0" collapsed="false">
      <c r="A1032" s="82" t="s">
        <v>2146</v>
      </c>
      <c r="B1032" s="101" t="n">
        <v>46240</v>
      </c>
      <c r="C1032" s="82" t="s">
        <v>470</v>
      </c>
      <c r="D1032" s="82" t="s">
        <v>475</v>
      </c>
      <c r="E1032" s="91" t="n">
        <v>286000</v>
      </c>
      <c r="F1032" s="82" t="s">
        <v>1283</v>
      </c>
      <c r="G1032" s="82"/>
      <c r="H1032" s="82"/>
      <c r="I1032" s="82" t="s">
        <v>250</v>
      </c>
      <c r="J1032" s="102" t="n">
        <f aca="false">IF(B1032="","",MONTH(B1032))</f>
        <v>8</v>
      </c>
      <c r="K1032" s="102" t="n">
        <f aca="false">IF(B1032="","",YEAR(B1032))</f>
        <v>2026</v>
      </c>
      <c r="L1032" s="102" t="str">
        <f aca="false">IF(N(E1032)=0,"",IF(COUNTIFS(AK_NAMA,C1032,AK_KAT,"KAS")+COUNTIFS(AK_NAMA,D1032,AK_KAT,"KAS")&lt;&gt;1,"",IF(COUNTIFS(AK_NAMA,C1032,AK_KAT,"KAS")=1,D1032,C1032)))</f>
        <v>Biaya Bahan Baku</v>
      </c>
      <c r="M1032" s="103" t="n">
        <f aca="false">IF(L1032="",0,IF(L1032=D1032,E1032,-E1032))</f>
        <v>-286000</v>
      </c>
      <c r="N1032" s="102" t="str">
        <f aca="false">IF(L1032="","",IFERROR(INDEX(AK_BARIS,MATCH(L1032,AK_NAMA,0)),"?"))</f>
        <v>OP3</v>
      </c>
      <c r="O1032" s="102" t="str">
        <f aca="false">IF(C1032="","",IFERROR(INDEX(AK_KEL,MATCH(C1032,AK_NAMA,0)),"?"))</f>
        <v>BEBAN</v>
      </c>
      <c r="P1032" s="102" t="str">
        <f aca="false">IF(D1032="","",IFERROR(INDEX(AK_KEL,MATCH(D1032,AK_NAMA,0)),"?"))</f>
        <v>ASET</v>
      </c>
      <c r="Q1032" s="102" t="n">
        <f aca="false">N(Q1031)+IF(AND(N(E1032)&lt;&gt;0,K1032=TAHUN,N(J1032)&lt;=BLN,OR(C1032=BB_AKUN,D1032=BB_AKUN)),1,0)</f>
        <v>684</v>
      </c>
      <c r="R1032" s="104" t="str">
        <f aca="false">IF(OR(C1032&amp;D1032="",N(E1032)=0),"",IF(OR(O1032="?",P1032="?"),"⚠ akun tidak dikenal",IF(C1032=D1032,"⚠ debet = kredit","")))</f>
        <v/>
      </c>
    </row>
    <row r="1033" customFormat="false" ht="15" hidden="false" customHeight="false" outlineLevel="0" collapsed="false">
      <c r="A1033" s="82" t="s">
        <v>2147</v>
      </c>
      <c r="B1033" s="101" t="n">
        <v>46240</v>
      </c>
      <c r="C1033" s="82" t="s">
        <v>461</v>
      </c>
      <c r="D1033" s="82" t="s">
        <v>475</v>
      </c>
      <c r="E1033" s="91" t="n">
        <v>151000</v>
      </c>
      <c r="F1033" s="82" t="s">
        <v>2148</v>
      </c>
      <c r="G1033" s="82"/>
      <c r="H1033" s="82"/>
      <c r="I1033" s="82" t="s">
        <v>250</v>
      </c>
      <c r="J1033" s="102" t="n">
        <f aca="false">IF(B1033="","",MONTH(B1033))</f>
        <v>8</v>
      </c>
      <c r="K1033" s="102" t="n">
        <f aca="false">IF(B1033="","",YEAR(B1033))</f>
        <v>2026</v>
      </c>
      <c r="L1033" s="102" t="str">
        <f aca="false">IF(N(E1033)=0,"",IF(COUNTIFS(AK_NAMA,C1033,AK_KAT,"KAS")+COUNTIFS(AK_NAMA,D1033,AK_KAT,"KAS")&lt;&gt;1,"",IF(COUNTIFS(AK_NAMA,C1033,AK_KAT,"KAS")=1,D1033,C1033)))</f>
        <v/>
      </c>
      <c r="M1033" s="103" t="n">
        <f aca="false">IF(L1033="",0,IF(L1033=D1033,E1033,-E1033))</f>
        <v>0</v>
      </c>
      <c r="N1033" s="102" t="str">
        <f aca="false">IF(L1033="","",IFERROR(INDEX(AK_BARIS,MATCH(L1033,AK_NAMA,0)),"?"))</f>
        <v/>
      </c>
      <c r="O1033" s="102" t="str">
        <f aca="false">IF(C1033="","",IFERROR(INDEX(AK_KEL,MATCH(C1033,AK_NAMA,0)),"?"))</f>
        <v>ASET</v>
      </c>
      <c r="P1033" s="102" t="str">
        <f aca="false">IF(D1033="","",IFERROR(INDEX(AK_KEL,MATCH(D1033,AK_NAMA,0)),"?"))</f>
        <v>ASET</v>
      </c>
      <c r="Q1033" s="102" t="n">
        <f aca="false">N(Q1032)+IF(AND(N(E1033)&lt;&gt;0,K1033=TAHUN,N(J1033)&lt;=BLN,OR(C1033=BB_AKUN,D1033=BB_AKUN)),1,0)</f>
        <v>685</v>
      </c>
      <c r="R1033" s="104" t="str">
        <f aca="false">IF(OR(C1033&amp;D1033="",N(E1033)=0),"",IF(OR(O1033="?",P1033="?"),"⚠ akun tidak dikenal",IF(C1033=D1033,"⚠ debet = kredit","")))</f>
        <v/>
      </c>
    </row>
    <row r="1034" customFormat="false" ht="15" hidden="false" customHeight="false" outlineLevel="0" collapsed="false">
      <c r="A1034" s="82" t="s">
        <v>2149</v>
      </c>
      <c r="B1034" s="101" t="n">
        <v>46241</v>
      </c>
      <c r="C1034" s="82" t="s">
        <v>718</v>
      </c>
      <c r="D1034" s="82" t="s">
        <v>486</v>
      </c>
      <c r="E1034" s="91" t="n">
        <v>200000</v>
      </c>
      <c r="F1034" s="82" t="s">
        <v>2150</v>
      </c>
      <c r="G1034" s="82"/>
      <c r="H1034" s="82" t="s">
        <v>763</v>
      </c>
      <c r="I1034" s="82" t="s">
        <v>250</v>
      </c>
      <c r="J1034" s="102" t="n">
        <f aca="false">IF(B1034="","",MONTH(B1034))</f>
        <v>8</v>
      </c>
      <c r="K1034" s="102" t="n">
        <f aca="false">IF(B1034="","",YEAR(B1034))</f>
        <v>2026</v>
      </c>
      <c r="L1034" s="102" t="str">
        <f aca="false">IF(N(E1034)=0,"",IF(COUNTIFS(AK_NAMA,C1034,AK_KAT,"KAS")+COUNTIFS(AK_NAMA,D1034,AK_KAT,"KAS")&lt;&gt;1,"",IF(COUNTIFS(AK_NAMA,C1034,AK_KAT,"KAS")=1,D1034,C1034)))</f>
        <v>Piutang Lainnya</v>
      </c>
      <c r="M1034" s="103" t="n">
        <f aca="false">IF(L1034="",0,IF(L1034=D1034,E1034,-E1034))</f>
        <v>-200000</v>
      </c>
      <c r="N1034" s="102" t="str">
        <f aca="false">IF(L1034="","",IFERROR(INDEX(AK_BARIS,MATCH(L1034,AK_NAMA,0)),"?"))</f>
        <v>OP2</v>
      </c>
      <c r="O1034" s="102" t="str">
        <f aca="false">IF(C1034="","",IFERROR(INDEX(AK_KEL,MATCH(C1034,AK_NAMA,0)),"?"))</f>
        <v>ASET</v>
      </c>
      <c r="P1034" s="102" t="str">
        <f aca="false">IF(D1034="","",IFERROR(INDEX(AK_KEL,MATCH(D1034,AK_NAMA,0)),"?"))</f>
        <v>ASET</v>
      </c>
      <c r="Q1034" s="102" t="n">
        <f aca="false">N(Q1033)+IF(AND(N(E1034)&lt;&gt;0,K1034=TAHUN,N(J1034)&lt;=BLN,OR(C1034=BB_AKUN,D1034=BB_AKUN)),1,0)</f>
        <v>685</v>
      </c>
      <c r="R1034" s="104" t="str">
        <f aca="false">IF(OR(C1034&amp;D1034="",N(E1034)=0),"",IF(OR(O1034="?",P1034="?"),"⚠ akun tidak dikenal",IF(C1034=D1034,"⚠ debet = kredit","")))</f>
        <v/>
      </c>
    </row>
    <row r="1035" customFormat="false" ht="15" hidden="false" customHeight="false" outlineLevel="0" collapsed="false">
      <c r="A1035" s="82" t="s">
        <v>2151</v>
      </c>
      <c r="B1035" s="101" t="n">
        <v>46242</v>
      </c>
      <c r="C1035" s="82" t="s">
        <v>669</v>
      </c>
      <c r="D1035" s="82" t="s">
        <v>461</v>
      </c>
      <c r="E1035" s="91" t="n">
        <v>119000</v>
      </c>
      <c r="F1035" s="82" t="s">
        <v>647</v>
      </c>
      <c r="G1035" s="82"/>
      <c r="H1035" s="82"/>
      <c r="I1035" s="82" t="s">
        <v>250</v>
      </c>
      <c r="J1035" s="102" t="n">
        <f aca="false">IF(B1035="","",MONTH(B1035))</f>
        <v>8</v>
      </c>
      <c r="K1035" s="102" t="n">
        <f aca="false">IF(B1035="","",YEAR(B1035))</f>
        <v>2026</v>
      </c>
      <c r="L1035" s="102" t="str">
        <f aca="false">IF(N(E1035)=0,"",IF(COUNTIFS(AK_NAMA,C1035,AK_KAT,"KAS")+COUNTIFS(AK_NAMA,D1035,AK_KAT,"KAS")&lt;&gt;1,"",IF(COUNTIFS(AK_NAMA,C1035,AK_KAT,"KAS")=1,D1035,C1035)))</f>
        <v>Biaya Tagihan Bulanan</v>
      </c>
      <c r="M1035" s="103" t="n">
        <f aca="false">IF(L1035="",0,IF(L1035=D1035,E1035,-E1035))</f>
        <v>-119000</v>
      </c>
      <c r="N1035" s="102" t="str">
        <f aca="false">IF(L1035="","",IFERROR(INDEX(AK_BARIS,MATCH(L1035,AK_NAMA,0)),"?"))</f>
        <v>OP6</v>
      </c>
      <c r="O1035" s="102" t="str">
        <f aca="false">IF(C1035="","",IFERROR(INDEX(AK_KEL,MATCH(C1035,AK_NAMA,0)),"?"))</f>
        <v>BEBAN</v>
      </c>
      <c r="P1035" s="102" t="str">
        <f aca="false">IF(D1035="","",IFERROR(INDEX(AK_KEL,MATCH(D1035,AK_NAMA,0)),"?"))</f>
        <v>ASET</v>
      </c>
      <c r="Q1035" s="102" t="n">
        <f aca="false">N(Q1034)+IF(AND(N(E1035)&lt;&gt;0,K1035=TAHUN,N(J1035)&lt;=BLN,OR(C1035=BB_AKUN,D1035=BB_AKUN)),1,0)</f>
        <v>686</v>
      </c>
      <c r="R1035" s="104" t="str">
        <f aca="false">IF(OR(C1035&amp;D1035="",N(E1035)=0),"",IF(OR(O1035="?",P1035="?"),"⚠ akun tidak dikenal",IF(C1035=D1035,"⚠ debet = kredit","")))</f>
        <v/>
      </c>
    </row>
    <row r="1036" customFormat="false" ht="15" hidden="false" customHeight="false" outlineLevel="0" collapsed="false">
      <c r="A1036" s="82" t="s">
        <v>2152</v>
      </c>
      <c r="B1036" s="101" t="n">
        <v>46242</v>
      </c>
      <c r="C1036" s="82" t="s">
        <v>524</v>
      </c>
      <c r="D1036" s="82" t="s">
        <v>461</v>
      </c>
      <c r="E1036" s="91" t="n">
        <v>1000</v>
      </c>
      <c r="F1036" s="82" t="s">
        <v>2153</v>
      </c>
      <c r="G1036" s="82"/>
      <c r="H1036" s="82"/>
      <c r="I1036" s="82" t="s">
        <v>250</v>
      </c>
      <c r="J1036" s="102" t="n">
        <f aca="false">IF(B1036="","",MONTH(B1036))</f>
        <v>8</v>
      </c>
      <c r="K1036" s="102" t="n">
        <f aca="false">IF(B1036="","",YEAR(B1036))</f>
        <v>2026</v>
      </c>
      <c r="L1036" s="102" t="str">
        <f aca="false">IF(N(E1036)=0,"",IF(COUNTIFS(AK_NAMA,C1036,AK_KAT,"KAS")+COUNTIFS(AK_NAMA,D1036,AK_KAT,"KAS")&lt;&gt;1,"",IF(COUNTIFS(AK_NAMA,C1036,AK_KAT,"KAS")=1,D1036,C1036)))</f>
        <v>Biaya Lainnya</v>
      </c>
      <c r="M1036" s="103" t="n">
        <f aca="false">IF(L1036="",0,IF(L1036=D1036,E1036,-E1036))</f>
        <v>-1000</v>
      </c>
      <c r="N1036" s="102" t="str">
        <f aca="false">IF(L1036="","",IFERROR(INDEX(AK_BARIS,MATCH(L1036,AK_NAMA,0)),"?"))</f>
        <v>OP2</v>
      </c>
      <c r="O1036" s="102" t="str">
        <f aca="false">IF(C1036="","",IFERROR(INDEX(AK_KEL,MATCH(C1036,AK_NAMA,0)),"?"))</f>
        <v>BEBAN</v>
      </c>
      <c r="P1036" s="102" t="str">
        <f aca="false">IF(D1036="","",IFERROR(INDEX(AK_KEL,MATCH(D1036,AK_NAMA,0)),"?"))</f>
        <v>ASET</v>
      </c>
      <c r="Q1036" s="102" t="n">
        <f aca="false">N(Q1035)+IF(AND(N(E1036)&lt;&gt;0,K1036=TAHUN,N(J1036)&lt;=BLN,OR(C1036=BB_AKUN,D1036=BB_AKUN)),1,0)</f>
        <v>687</v>
      </c>
      <c r="R1036" s="104" t="str">
        <f aca="false">IF(OR(C1036&amp;D1036="",N(E1036)=0),"",IF(OR(O1036="?",P1036="?"),"⚠ akun tidak dikenal",IF(C1036=D1036,"⚠ debet = kredit","")))</f>
        <v/>
      </c>
    </row>
    <row r="1037" customFormat="false" ht="15" hidden="false" customHeight="false" outlineLevel="0" collapsed="false">
      <c r="A1037" s="82" t="s">
        <v>2154</v>
      </c>
      <c r="B1037" s="101" t="n">
        <v>46243</v>
      </c>
      <c r="C1037" s="82" t="s">
        <v>486</v>
      </c>
      <c r="D1037" s="82" t="s">
        <v>461</v>
      </c>
      <c r="E1037" s="91" t="n">
        <v>870000</v>
      </c>
      <c r="F1037" s="82" t="s">
        <v>2155</v>
      </c>
      <c r="G1037" s="82"/>
      <c r="H1037" s="82"/>
      <c r="I1037" s="82" t="s">
        <v>250</v>
      </c>
      <c r="J1037" s="102" t="n">
        <f aca="false">IF(B1037="","",MONTH(B1037))</f>
        <v>8</v>
      </c>
      <c r="K1037" s="102" t="n">
        <f aca="false">IF(B1037="","",YEAR(B1037))</f>
        <v>2026</v>
      </c>
      <c r="L1037" s="102" t="str">
        <f aca="false">IF(N(E1037)=0,"",IF(COUNTIFS(AK_NAMA,C1037,AK_KAT,"KAS")+COUNTIFS(AK_NAMA,D1037,AK_KAT,"KAS")&lt;&gt;1,"",IF(COUNTIFS(AK_NAMA,C1037,AK_KAT,"KAS")=1,D1037,C1037)))</f>
        <v/>
      </c>
      <c r="M1037" s="103" t="n">
        <f aca="false">IF(L1037="",0,IF(L1037=D1037,E1037,-E1037))</f>
        <v>0</v>
      </c>
      <c r="N1037" s="102" t="str">
        <f aca="false">IF(L1037="","",IFERROR(INDEX(AK_BARIS,MATCH(L1037,AK_NAMA,0)),"?"))</f>
        <v/>
      </c>
      <c r="O1037" s="102" t="str">
        <f aca="false">IF(C1037="","",IFERROR(INDEX(AK_KEL,MATCH(C1037,AK_NAMA,0)),"?"))</f>
        <v>ASET</v>
      </c>
      <c r="P1037" s="102" t="str">
        <f aca="false">IF(D1037="","",IFERROR(INDEX(AK_KEL,MATCH(D1037,AK_NAMA,0)),"?"))</f>
        <v>ASET</v>
      </c>
      <c r="Q1037" s="102" t="n">
        <f aca="false">N(Q1036)+IF(AND(N(E1037)&lt;&gt;0,K1037=TAHUN,N(J1037)&lt;=BLN,OR(C1037=BB_AKUN,D1037=BB_AKUN)),1,0)</f>
        <v>688</v>
      </c>
      <c r="R1037" s="104" t="str">
        <f aca="false">IF(OR(C1037&amp;D1037="",N(E1037)=0),"",IF(OR(O1037="?",P1037="?"),"⚠ akun tidak dikenal",IF(C1037=D1037,"⚠ debet = kredit","")))</f>
        <v/>
      </c>
    </row>
    <row r="1038" customFormat="false" ht="15" hidden="false" customHeight="false" outlineLevel="0" collapsed="false">
      <c r="A1038" s="82" t="s">
        <v>2156</v>
      </c>
      <c r="B1038" s="101" t="n">
        <v>46243</v>
      </c>
      <c r="C1038" s="82" t="s">
        <v>524</v>
      </c>
      <c r="D1038" s="82" t="s">
        <v>461</v>
      </c>
      <c r="E1038" s="91" t="n">
        <v>325</v>
      </c>
      <c r="F1038" s="82" t="s">
        <v>525</v>
      </c>
      <c r="G1038" s="82"/>
      <c r="H1038" s="82"/>
      <c r="I1038" s="82" t="s">
        <v>250</v>
      </c>
      <c r="J1038" s="102" t="n">
        <f aca="false">IF(B1038="","",MONTH(B1038))</f>
        <v>8</v>
      </c>
      <c r="K1038" s="102" t="n">
        <f aca="false">IF(B1038="","",YEAR(B1038))</f>
        <v>2026</v>
      </c>
      <c r="L1038" s="102" t="str">
        <f aca="false">IF(N(E1038)=0,"",IF(COUNTIFS(AK_NAMA,C1038,AK_KAT,"KAS")+COUNTIFS(AK_NAMA,D1038,AK_KAT,"KAS")&lt;&gt;1,"",IF(COUNTIFS(AK_NAMA,C1038,AK_KAT,"KAS")=1,D1038,C1038)))</f>
        <v>Biaya Lainnya</v>
      </c>
      <c r="M1038" s="103" t="n">
        <f aca="false">IF(L1038="",0,IF(L1038=D1038,E1038,-E1038))</f>
        <v>-325</v>
      </c>
      <c r="N1038" s="102" t="str">
        <f aca="false">IF(L1038="","",IFERROR(INDEX(AK_BARIS,MATCH(L1038,AK_NAMA,0)),"?"))</f>
        <v>OP2</v>
      </c>
      <c r="O1038" s="102" t="str">
        <f aca="false">IF(C1038="","",IFERROR(INDEX(AK_KEL,MATCH(C1038,AK_NAMA,0)),"?"))</f>
        <v>BEBAN</v>
      </c>
      <c r="P1038" s="102" t="str">
        <f aca="false">IF(D1038="","",IFERROR(INDEX(AK_KEL,MATCH(D1038,AK_NAMA,0)),"?"))</f>
        <v>ASET</v>
      </c>
      <c r="Q1038" s="102" t="n">
        <f aca="false">N(Q1037)+IF(AND(N(E1038)&lt;&gt;0,K1038=TAHUN,N(J1038)&lt;=BLN,OR(C1038=BB_AKUN,D1038=BB_AKUN)),1,0)</f>
        <v>689</v>
      </c>
      <c r="R1038" s="104" t="str">
        <f aca="false">IF(OR(C1038&amp;D1038="",N(E1038)=0),"",IF(OR(O1038="?",P1038="?"),"⚠ akun tidak dikenal",IF(C1038=D1038,"⚠ debet = kredit","")))</f>
        <v/>
      </c>
    </row>
    <row r="1039" customFormat="false" ht="15" hidden="false" customHeight="false" outlineLevel="0" collapsed="false">
      <c r="A1039" s="82" t="s">
        <v>2157</v>
      </c>
      <c r="B1039" s="101" t="n">
        <v>46244</v>
      </c>
      <c r="C1039" s="82" t="s">
        <v>548</v>
      </c>
      <c r="D1039" s="82" t="s">
        <v>461</v>
      </c>
      <c r="E1039" s="91" t="n">
        <v>109800</v>
      </c>
      <c r="F1039" s="82" t="s">
        <v>2158</v>
      </c>
      <c r="G1039" s="82"/>
      <c r="H1039" s="82"/>
      <c r="I1039" s="82" t="s">
        <v>250</v>
      </c>
      <c r="J1039" s="102" t="n">
        <f aca="false">IF(B1039="","",MONTH(B1039))</f>
        <v>8</v>
      </c>
      <c r="K1039" s="102" t="n">
        <f aca="false">IF(B1039="","",YEAR(B1039))</f>
        <v>2026</v>
      </c>
      <c r="L1039" s="102" t="str">
        <f aca="false">IF(N(E1039)=0,"",IF(COUNTIFS(AK_NAMA,C1039,AK_KAT,"KAS")+COUNTIFS(AK_NAMA,D1039,AK_KAT,"KAS")&lt;&gt;1,"",IF(COUNTIFS(AK_NAMA,C1039,AK_KAT,"KAS")=1,D1039,C1039)))</f>
        <v>Beban Perlengkapan</v>
      </c>
      <c r="M1039" s="103" t="n">
        <f aca="false">IF(L1039="",0,IF(L1039=D1039,E1039,-E1039))</f>
        <v>-109800</v>
      </c>
      <c r="N1039" s="102" t="str">
        <f aca="false">IF(L1039="","",IFERROR(INDEX(AK_BARIS,MATCH(L1039,AK_NAMA,0)),"?"))</f>
        <v>OP6</v>
      </c>
      <c r="O1039" s="102" t="str">
        <f aca="false">IF(C1039="","",IFERROR(INDEX(AK_KEL,MATCH(C1039,AK_NAMA,0)),"?"))</f>
        <v>BEBAN</v>
      </c>
      <c r="P1039" s="102" t="str">
        <f aca="false">IF(D1039="","",IFERROR(INDEX(AK_KEL,MATCH(D1039,AK_NAMA,0)),"?"))</f>
        <v>ASET</v>
      </c>
      <c r="Q1039" s="102" t="n">
        <f aca="false">N(Q1038)+IF(AND(N(E1039)&lt;&gt;0,K1039=TAHUN,N(J1039)&lt;=BLN,OR(C1039=BB_AKUN,D1039=BB_AKUN)),1,0)</f>
        <v>690</v>
      </c>
      <c r="R1039" s="104" t="str">
        <f aca="false">IF(OR(C1039&amp;D1039="",N(E1039)=0),"",IF(OR(O1039="?",P1039="?"),"⚠ akun tidak dikenal",IF(C1039=D1039,"⚠ debet = kredit","")))</f>
        <v/>
      </c>
    </row>
    <row r="1040" customFormat="false" ht="15" hidden="false" customHeight="false" outlineLevel="0" collapsed="false">
      <c r="A1040" s="82" t="s">
        <v>2159</v>
      </c>
      <c r="B1040" s="101" t="n">
        <v>46244</v>
      </c>
      <c r="C1040" s="82" t="s">
        <v>467</v>
      </c>
      <c r="D1040" s="82" t="s">
        <v>475</v>
      </c>
      <c r="E1040" s="91" t="n">
        <v>400000</v>
      </c>
      <c r="F1040" s="82" t="s">
        <v>2160</v>
      </c>
      <c r="G1040" s="82"/>
      <c r="H1040" s="82"/>
      <c r="I1040" s="82" t="s">
        <v>250</v>
      </c>
      <c r="J1040" s="102" t="n">
        <f aca="false">IF(B1040="","",MONTH(B1040))</f>
        <v>8</v>
      </c>
      <c r="K1040" s="102" t="n">
        <f aca="false">IF(B1040="","",YEAR(B1040))</f>
        <v>2026</v>
      </c>
      <c r="L1040" s="102" t="str">
        <f aca="false">IF(N(E1040)=0,"",IF(COUNTIFS(AK_NAMA,C1040,AK_KAT,"KAS")+COUNTIFS(AK_NAMA,D1040,AK_KAT,"KAS")&lt;&gt;1,"",IF(COUNTIFS(AK_NAMA,C1040,AK_KAT,"KAS")=1,D1040,C1040)))</f>
        <v>Dana Sosial &amp; CSR</v>
      </c>
      <c r="M1040" s="103" t="n">
        <f aca="false">IF(L1040="",0,IF(L1040=D1040,E1040,-E1040))</f>
        <v>-400000</v>
      </c>
      <c r="N1040" s="102" t="str">
        <f aca="false">IF(L1040="","",IFERROR(INDEX(AK_BARIS,MATCH(L1040,AK_NAMA,0)),"?"))</f>
        <v>OP6</v>
      </c>
      <c r="O1040" s="102" t="str">
        <f aca="false">IF(C1040="","",IFERROR(INDEX(AK_KEL,MATCH(C1040,AK_NAMA,0)),"?"))</f>
        <v>BEBAN</v>
      </c>
      <c r="P1040" s="102" t="str">
        <f aca="false">IF(D1040="","",IFERROR(INDEX(AK_KEL,MATCH(D1040,AK_NAMA,0)),"?"))</f>
        <v>ASET</v>
      </c>
      <c r="Q1040" s="102" t="n">
        <f aca="false">N(Q1039)+IF(AND(N(E1040)&lt;&gt;0,K1040=TAHUN,N(J1040)&lt;=BLN,OR(C1040=BB_AKUN,D1040=BB_AKUN)),1,0)</f>
        <v>690</v>
      </c>
      <c r="R1040" s="104" t="str">
        <f aca="false">IF(OR(C1040&amp;D1040="",N(E1040)=0),"",IF(OR(O1040="?",P1040="?"),"⚠ akun tidak dikenal",IF(C1040=D1040,"⚠ debet = kredit","")))</f>
        <v/>
      </c>
    </row>
    <row r="1041" customFormat="false" ht="15" hidden="false" customHeight="false" outlineLevel="0" collapsed="false">
      <c r="A1041" s="82" t="s">
        <v>2161</v>
      </c>
      <c r="B1041" s="101" t="n">
        <v>46244</v>
      </c>
      <c r="C1041" s="82" t="s">
        <v>672</v>
      </c>
      <c r="D1041" s="82" t="s">
        <v>461</v>
      </c>
      <c r="E1041" s="91" t="n">
        <v>2140800</v>
      </c>
      <c r="F1041" s="82" t="s">
        <v>2162</v>
      </c>
      <c r="G1041" s="82"/>
      <c r="H1041" s="82"/>
      <c r="I1041" s="82" t="s">
        <v>250</v>
      </c>
      <c r="J1041" s="102" t="n">
        <f aca="false">IF(B1041="","",MONTH(B1041))</f>
        <v>8</v>
      </c>
      <c r="K1041" s="102" t="n">
        <f aca="false">IF(B1041="","",YEAR(B1041))</f>
        <v>2026</v>
      </c>
      <c r="L1041" s="102" t="str">
        <f aca="false">IF(N(E1041)=0,"",IF(COUNTIFS(AK_NAMA,C1041,AK_KAT,"KAS")+COUNTIFS(AK_NAMA,D1041,AK_KAT,"KAS")&lt;&gt;1,"",IF(COUNTIFS(AK_NAMA,C1041,AK_KAT,"KAS")=1,D1041,C1041)))</f>
        <v>Peralatan</v>
      </c>
      <c r="M1041" s="103" t="n">
        <f aca="false">IF(L1041="",0,IF(L1041=D1041,E1041,-E1041))</f>
        <v>-2140800</v>
      </c>
      <c r="N1041" s="102" t="str">
        <f aca="false">IF(L1041="","",IFERROR(INDEX(AK_BARIS,MATCH(L1041,AK_NAMA,0)),"?"))</f>
        <v>IN1</v>
      </c>
      <c r="O1041" s="102" t="str">
        <f aca="false">IF(C1041="","",IFERROR(INDEX(AK_KEL,MATCH(C1041,AK_NAMA,0)),"?"))</f>
        <v>ASET</v>
      </c>
      <c r="P1041" s="102" t="str">
        <f aca="false">IF(D1041="","",IFERROR(INDEX(AK_KEL,MATCH(D1041,AK_NAMA,0)),"?"))</f>
        <v>ASET</v>
      </c>
      <c r="Q1041" s="102" t="n">
        <f aca="false">N(Q1040)+IF(AND(N(E1041)&lt;&gt;0,K1041=TAHUN,N(J1041)&lt;=BLN,OR(C1041=BB_AKUN,D1041=BB_AKUN)),1,0)</f>
        <v>691</v>
      </c>
      <c r="R1041" s="104" t="str">
        <f aca="false">IF(OR(C1041&amp;D1041="",N(E1041)=0),"",IF(OR(O1041="?",P1041="?"),"⚠ akun tidak dikenal",IF(C1041=D1041,"⚠ debet = kredit","")))</f>
        <v/>
      </c>
    </row>
    <row r="1042" customFormat="false" ht="15" hidden="false" customHeight="false" outlineLevel="0" collapsed="false">
      <c r="A1042" s="82" t="s">
        <v>2163</v>
      </c>
      <c r="B1042" s="101" t="n">
        <v>46245</v>
      </c>
      <c r="C1042" s="82" t="s">
        <v>470</v>
      </c>
      <c r="D1042" s="82" t="s">
        <v>486</v>
      </c>
      <c r="E1042" s="91" t="n">
        <v>44500</v>
      </c>
      <c r="F1042" s="82" t="s">
        <v>2164</v>
      </c>
      <c r="G1042" s="82"/>
      <c r="H1042" s="82"/>
      <c r="I1042" s="82" t="s">
        <v>250</v>
      </c>
      <c r="J1042" s="102" t="n">
        <f aca="false">IF(B1042="","",MONTH(B1042))</f>
        <v>8</v>
      </c>
      <c r="K1042" s="102" t="n">
        <f aca="false">IF(B1042="","",YEAR(B1042))</f>
        <v>2026</v>
      </c>
      <c r="L1042" s="102" t="str">
        <f aca="false">IF(N(E1042)=0,"",IF(COUNTIFS(AK_NAMA,C1042,AK_KAT,"KAS")+COUNTIFS(AK_NAMA,D1042,AK_KAT,"KAS")&lt;&gt;1,"",IF(COUNTIFS(AK_NAMA,C1042,AK_KAT,"KAS")=1,D1042,C1042)))</f>
        <v>Biaya Bahan Baku</v>
      </c>
      <c r="M1042" s="103" t="n">
        <f aca="false">IF(L1042="",0,IF(L1042=D1042,E1042,-E1042))</f>
        <v>-44500</v>
      </c>
      <c r="N1042" s="102" t="str">
        <f aca="false">IF(L1042="","",IFERROR(INDEX(AK_BARIS,MATCH(L1042,AK_NAMA,0)),"?"))</f>
        <v>OP3</v>
      </c>
      <c r="O1042" s="102" t="str">
        <f aca="false">IF(C1042="","",IFERROR(INDEX(AK_KEL,MATCH(C1042,AK_NAMA,0)),"?"))</f>
        <v>BEBAN</v>
      </c>
      <c r="P1042" s="102" t="str">
        <f aca="false">IF(D1042="","",IFERROR(INDEX(AK_KEL,MATCH(D1042,AK_NAMA,0)),"?"))</f>
        <v>ASET</v>
      </c>
      <c r="Q1042" s="102" t="n">
        <f aca="false">N(Q1041)+IF(AND(N(E1042)&lt;&gt;0,K1042=TAHUN,N(J1042)&lt;=BLN,OR(C1042=BB_AKUN,D1042=BB_AKUN)),1,0)</f>
        <v>691</v>
      </c>
      <c r="R1042" s="104" t="str">
        <f aca="false">IF(OR(C1042&amp;D1042="",N(E1042)=0),"",IF(OR(O1042="?",P1042="?"),"⚠ akun tidak dikenal",IF(C1042=D1042,"⚠ debet = kredit","")))</f>
        <v/>
      </c>
    </row>
    <row r="1043" customFormat="false" ht="15" hidden="false" customHeight="false" outlineLevel="0" collapsed="false">
      <c r="A1043" s="82" t="s">
        <v>2165</v>
      </c>
      <c r="B1043" s="101" t="n">
        <v>46245</v>
      </c>
      <c r="C1043" s="82" t="s">
        <v>548</v>
      </c>
      <c r="D1043" s="82" t="s">
        <v>486</v>
      </c>
      <c r="E1043" s="91" t="n">
        <v>252500</v>
      </c>
      <c r="F1043" s="82" t="s">
        <v>2166</v>
      </c>
      <c r="G1043" s="82"/>
      <c r="H1043" s="82"/>
      <c r="I1043" s="82" t="s">
        <v>250</v>
      </c>
      <c r="J1043" s="102" t="n">
        <f aca="false">IF(B1043="","",MONTH(B1043))</f>
        <v>8</v>
      </c>
      <c r="K1043" s="102" t="n">
        <f aca="false">IF(B1043="","",YEAR(B1043))</f>
        <v>2026</v>
      </c>
      <c r="L1043" s="102" t="str">
        <f aca="false">IF(N(E1043)=0,"",IF(COUNTIFS(AK_NAMA,C1043,AK_KAT,"KAS")+COUNTIFS(AK_NAMA,D1043,AK_KAT,"KAS")&lt;&gt;1,"",IF(COUNTIFS(AK_NAMA,C1043,AK_KAT,"KAS")=1,D1043,C1043)))</f>
        <v>Beban Perlengkapan</v>
      </c>
      <c r="M1043" s="103" t="n">
        <f aca="false">IF(L1043="",0,IF(L1043=D1043,E1043,-E1043))</f>
        <v>-252500</v>
      </c>
      <c r="N1043" s="102" t="str">
        <f aca="false">IF(L1043="","",IFERROR(INDEX(AK_BARIS,MATCH(L1043,AK_NAMA,0)),"?"))</f>
        <v>OP6</v>
      </c>
      <c r="O1043" s="102" t="str">
        <f aca="false">IF(C1043="","",IFERROR(INDEX(AK_KEL,MATCH(C1043,AK_NAMA,0)),"?"))</f>
        <v>BEBAN</v>
      </c>
      <c r="P1043" s="102" t="str">
        <f aca="false">IF(D1043="","",IFERROR(INDEX(AK_KEL,MATCH(D1043,AK_NAMA,0)),"?"))</f>
        <v>ASET</v>
      </c>
      <c r="Q1043" s="102" t="n">
        <f aca="false">N(Q1042)+IF(AND(N(E1043)&lt;&gt;0,K1043=TAHUN,N(J1043)&lt;=BLN,OR(C1043=BB_AKUN,D1043=BB_AKUN)),1,0)</f>
        <v>691</v>
      </c>
      <c r="R1043" s="104" t="str">
        <f aca="false">IF(OR(C1043&amp;D1043="",N(E1043)=0),"",IF(OR(O1043="?",P1043="?"),"⚠ akun tidak dikenal",IF(C1043=D1043,"⚠ debet = kredit","")))</f>
        <v/>
      </c>
    </row>
    <row r="1044" customFormat="false" ht="15" hidden="false" customHeight="false" outlineLevel="0" collapsed="false">
      <c r="A1044" s="82" t="s">
        <v>2167</v>
      </c>
      <c r="B1044" s="101" t="n">
        <v>46245</v>
      </c>
      <c r="C1044" s="82" t="s">
        <v>524</v>
      </c>
      <c r="D1044" s="82" t="s">
        <v>486</v>
      </c>
      <c r="E1044" s="91" t="n">
        <v>4000</v>
      </c>
      <c r="F1044" s="82" t="s">
        <v>2168</v>
      </c>
      <c r="G1044" s="82"/>
      <c r="H1044" s="82"/>
      <c r="I1044" s="82" t="s">
        <v>250</v>
      </c>
      <c r="J1044" s="102" t="n">
        <f aca="false">IF(B1044="","",MONTH(B1044))</f>
        <v>8</v>
      </c>
      <c r="K1044" s="102" t="n">
        <f aca="false">IF(B1044="","",YEAR(B1044))</f>
        <v>2026</v>
      </c>
      <c r="L1044" s="102" t="str">
        <f aca="false">IF(N(E1044)=0,"",IF(COUNTIFS(AK_NAMA,C1044,AK_KAT,"KAS")+COUNTIFS(AK_NAMA,D1044,AK_KAT,"KAS")&lt;&gt;1,"",IF(COUNTIFS(AK_NAMA,C1044,AK_KAT,"KAS")=1,D1044,C1044)))</f>
        <v>Biaya Lainnya</v>
      </c>
      <c r="M1044" s="103" t="n">
        <f aca="false">IF(L1044="",0,IF(L1044=D1044,E1044,-E1044))</f>
        <v>-4000</v>
      </c>
      <c r="N1044" s="102" t="str">
        <f aca="false">IF(L1044="","",IFERROR(INDEX(AK_BARIS,MATCH(L1044,AK_NAMA,0)),"?"))</f>
        <v>OP2</v>
      </c>
      <c r="O1044" s="102" t="str">
        <f aca="false">IF(C1044="","",IFERROR(INDEX(AK_KEL,MATCH(C1044,AK_NAMA,0)),"?"))</f>
        <v>BEBAN</v>
      </c>
      <c r="P1044" s="102" t="str">
        <f aca="false">IF(D1044="","",IFERROR(INDEX(AK_KEL,MATCH(D1044,AK_NAMA,0)),"?"))</f>
        <v>ASET</v>
      </c>
      <c r="Q1044" s="102" t="n">
        <f aca="false">N(Q1043)+IF(AND(N(E1044)&lt;&gt;0,K1044=TAHUN,N(J1044)&lt;=BLN,OR(C1044=BB_AKUN,D1044=BB_AKUN)),1,0)</f>
        <v>691</v>
      </c>
      <c r="R1044" s="104" t="str">
        <f aca="false">IF(OR(C1044&amp;D1044="",N(E1044)=0),"",IF(OR(O1044="?",P1044="?"),"⚠ akun tidak dikenal",IF(C1044=D1044,"⚠ debet = kredit","")))</f>
        <v/>
      </c>
    </row>
    <row r="1045" customFormat="false" ht="15" hidden="false" customHeight="false" outlineLevel="0" collapsed="false">
      <c r="A1045" s="82" t="s">
        <v>2169</v>
      </c>
      <c r="B1045" s="101" t="n">
        <v>46245</v>
      </c>
      <c r="C1045" s="82" t="s">
        <v>486</v>
      </c>
      <c r="D1045" s="82" t="s">
        <v>557</v>
      </c>
      <c r="E1045" s="91" t="n">
        <v>1000</v>
      </c>
      <c r="F1045" s="82" t="s">
        <v>2170</v>
      </c>
      <c r="G1045" s="82"/>
      <c r="H1045" s="82"/>
      <c r="I1045" s="82" t="s">
        <v>250</v>
      </c>
      <c r="J1045" s="102" t="n">
        <f aca="false">IF(B1045="","",MONTH(B1045))</f>
        <v>8</v>
      </c>
      <c r="K1045" s="102" t="n">
        <f aca="false">IF(B1045="","",YEAR(B1045))</f>
        <v>2026</v>
      </c>
      <c r="L1045" s="102" t="str">
        <f aca="false">IF(N(E1045)=0,"",IF(COUNTIFS(AK_NAMA,C1045,AK_KAT,"KAS")+COUNTIFS(AK_NAMA,D1045,AK_KAT,"KAS")&lt;&gt;1,"",IF(COUNTIFS(AK_NAMA,C1045,AK_KAT,"KAS")=1,D1045,C1045)))</f>
        <v>Pendapatan Lainnya</v>
      </c>
      <c r="M1045" s="103" t="n">
        <f aca="false">IF(L1045="",0,IF(L1045=D1045,E1045,-E1045))</f>
        <v>1000</v>
      </c>
      <c r="N1045" s="102" t="str">
        <f aca="false">IF(L1045="","",IFERROR(INDEX(AK_BARIS,MATCH(L1045,AK_NAMA,0)),"?"))</f>
        <v>OP2</v>
      </c>
      <c r="O1045" s="102" t="str">
        <f aca="false">IF(C1045="","",IFERROR(INDEX(AK_KEL,MATCH(C1045,AK_NAMA,0)),"?"))</f>
        <v>ASET</v>
      </c>
      <c r="P1045" s="102" t="str">
        <f aca="false">IF(D1045="","",IFERROR(INDEX(AK_KEL,MATCH(D1045,AK_NAMA,0)),"?"))</f>
        <v>PENDAPATAN</v>
      </c>
      <c r="Q1045" s="102" t="n">
        <f aca="false">N(Q1044)+IF(AND(N(E1045)&lt;&gt;0,K1045=TAHUN,N(J1045)&lt;=BLN,OR(C1045=BB_AKUN,D1045=BB_AKUN)),1,0)</f>
        <v>691</v>
      </c>
      <c r="R1045" s="104" t="str">
        <f aca="false">IF(OR(C1045&amp;D1045="",N(E1045)=0),"",IF(OR(O1045="?",P1045="?"),"⚠ akun tidak dikenal",IF(C1045=D1045,"⚠ debet = kredit","")))</f>
        <v/>
      </c>
    </row>
    <row r="1046" customFormat="false" ht="15" hidden="false" customHeight="false" outlineLevel="0" collapsed="false">
      <c r="A1046" s="82" t="s">
        <v>2171</v>
      </c>
      <c r="B1046" s="101" t="n">
        <v>46245</v>
      </c>
      <c r="C1046" s="82" t="s">
        <v>470</v>
      </c>
      <c r="D1046" s="82" t="s">
        <v>461</v>
      </c>
      <c r="E1046" s="91" t="n">
        <v>200000</v>
      </c>
      <c r="F1046" s="82" t="s">
        <v>2172</v>
      </c>
      <c r="G1046" s="82"/>
      <c r="H1046" s="82"/>
      <c r="I1046" s="82" t="s">
        <v>250</v>
      </c>
      <c r="J1046" s="102" t="n">
        <f aca="false">IF(B1046="","",MONTH(B1046))</f>
        <v>8</v>
      </c>
      <c r="K1046" s="102" t="n">
        <f aca="false">IF(B1046="","",YEAR(B1046))</f>
        <v>2026</v>
      </c>
      <c r="L1046" s="102" t="str">
        <f aca="false">IF(N(E1046)=0,"",IF(COUNTIFS(AK_NAMA,C1046,AK_KAT,"KAS")+COUNTIFS(AK_NAMA,D1046,AK_KAT,"KAS")&lt;&gt;1,"",IF(COUNTIFS(AK_NAMA,C1046,AK_KAT,"KAS")=1,D1046,C1046)))</f>
        <v>Biaya Bahan Baku</v>
      </c>
      <c r="M1046" s="103" t="n">
        <f aca="false">IF(L1046="",0,IF(L1046=D1046,E1046,-E1046))</f>
        <v>-200000</v>
      </c>
      <c r="N1046" s="102" t="str">
        <f aca="false">IF(L1046="","",IFERROR(INDEX(AK_BARIS,MATCH(L1046,AK_NAMA,0)),"?"))</f>
        <v>OP3</v>
      </c>
      <c r="O1046" s="102" t="str">
        <f aca="false">IF(C1046="","",IFERROR(INDEX(AK_KEL,MATCH(C1046,AK_NAMA,0)),"?"))</f>
        <v>BEBAN</v>
      </c>
      <c r="P1046" s="102" t="str">
        <f aca="false">IF(D1046="","",IFERROR(INDEX(AK_KEL,MATCH(D1046,AK_NAMA,0)),"?"))</f>
        <v>ASET</v>
      </c>
      <c r="Q1046" s="102" t="n">
        <f aca="false">N(Q1045)+IF(AND(N(E1046)&lt;&gt;0,K1046=TAHUN,N(J1046)&lt;=BLN,OR(C1046=BB_AKUN,D1046=BB_AKUN)),1,0)</f>
        <v>692</v>
      </c>
      <c r="R1046" s="104" t="str">
        <f aca="false">IF(OR(C1046&amp;D1046="",N(E1046)=0),"",IF(OR(O1046="?",P1046="?"),"⚠ akun tidak dikenal",IF(C1046=D1046,"⚠ debet = kredit","")))</f>
        <v/>
      </c>
    </row>
    <row r="1047" customFormat="false" ht="15" hidden="false" customHeight="false" outlineLevel="0" collapsed="false">
      <c r="A1047" s="82" t="s">
        <v>2173</v>
      </c>
      <c r="B1047" s="101" t="n">
        <v>46245</v>
      </c>
      <c r="C1047" s="82" t="s">
        <v>460</v>
      </c>
      <c r="D1047" s="82" t="s">
        <v>461</v>
      </c>
      <c r="E1047" s="91" t="n">
        <v>28500</v>
      </c>
      <c r="F1047" s="82" t="s">
        <v>2174</v>
      </c>
      <c r="G1047" s="82"/>
      <c r="H1047" s="82"/>
      <c r="I1047" s="82" t="s">
        <v>250</v>
      </c>
      <c r="J1047" s="102" t="n">
        <f aca="false">IF(B1047="","",MONTH(B1047))</f>
        <v>8</v>
      </c>
      <c r="K1047" s="102" t="n">
        <f aca="false">IF(B1047="","",YEAR(B1047))</f>
        <v>2026</v>
      </c>
      <c r="L1047" s="102" t="str">
        <f aca="false">IF(N(E1047)=0,"",IF(COUNTIFS(AK_NAMA,C1047,AK_KAT,"KAS")+COUNTIFS(AK_NAMA,D1047,AK_KAT,"KAS")&lt;&gt;1,"",IF(COUNTIFS(AK_NAMA,C1047,AK_KAT,"KAS")=1,D1047,C1047)))</f>
        <v>Biaya Marketing &amp; Promosi</v>
      </c>
      <c r="M1047" s="103" t="n">
        <f aca="false">IF(L1047="",0,IF(L1047=D1047,E1047,-E1047))</f>
        <v>-28500</v>
      </c>
      <c r="N1047" s="102" t="str">
        <f aca="false">IF(L1047="","",IFERROR(INDEX(AK_BARIS,MATCH(L1047,AK_NAMA,0)),"?"))</f>
        <v>OP6</v>
      </c>
      <c r="O1047" s="102" t="str">
        <f aca="false">IF(C1047="","",IFERROR(INDEX(AK_KEL,MATCH(C1047,AK_NAMA,0)),"?"))</f>
        <v>BEBAN</v>
      </c>
      <c r="P1047" s="102" t="str">
        <f aca="false">IF(D1047="","",IFERROR(INDEX(AK_KEL,MATCH(D1047,AK_NAMA,0)),"?"))</f>
        <v>ASET</v>
      </c>
      <c r="Q1047" s="102" t="n">
        <f aca="false">N(Q1046)+IF(AND(N(E1047)&lt;&gt;0,K1047=TAHUN,N(J1047)&lt;=BLN,OR(C1047=BB_AKUN,D1047=BB_AKUN)),1,0)</f>
        <v>693</v>
      </c>
      <c r="R1047" s="104" t="str">
        <f aca="false">IF(OR(C1047&amp;D1047="",N(E1047)=0),"",IF(OR(O1047="?",P1047="?"),"⚠ akun tidak dikenal",IF(C1047=D1047,"⚠ debet = kredit","")))</f>
        <v/>
      </c>
    </row>
    <row r="1048" customFormat="false" ht="15" hidden="false" customHeight="false" outlineLevel="0" collapsed="false">
      <c r="A1048" s="82" t="s">
        <v>2175</v>
      </c>
      <c r="B1048" s="101" t="n">
        <v>46245</v>
      </c>
      <c r="C1048" s="82" t="s">
        <v>548</v>
      </c>
      <c r="D1048" s="82" t="s">
        <v>461</v>
      </c>
      <c r="E1048" s="91" t="n">
        <v>65149</v>
      </c>
      <c r="F1048" s="82" t="s">
        <v>2176</v>
      </c>
      <c r="G1048" s="82"/>
      <c r="H1048" s="82"/>
      <c r="I1048" s="82" t="s">
        <v>250</v>
      </c>
      <c r="J1048" s="102" t="n">
        <f aca="false">IF(B1048="","",MONTH(B1048))</f>
        <v>8</v>
      </c>
      <c r="K1048" s="102" t="n">
        <f aca="false">IF(B1048="","",YEAR(B1048))</f>
        <v>2026</v>
      </c>
      <c r="L1048" s="102" t="str">
        <f aca="false">IF(N(E1048)=0,"",IF(COUNTIFS(AK_NAMA,C1048,AK_KAT,"KAS")+COUNTIFS(AK_NAMA,D1048,AK_KAT,"KAS")&lt;&gt;1,"",IF(COUNTIFS(AK_NAMA,C1048,AK_KAT,"KAS")=1,D1048,C1048)))</f>
        <v>Beban Perlengkapan</v>
      </c>
      <c r="M1048" s="103" t="n">
        <f aca="false">IF(L1048="",0,IF(L1048=D1048,E1048,-E1048))</f>
        <v>-65149</v>
      </c>
      <c r="N1048" s="102" t="str">
        <f aca="false">IF(L1048="","",IFERROR(INDEX(AK_BARIS,MATCH(L1048,AK_NAMA,0)),"?"))</f>
        <v>OP6</v>
      </c>
      <c r="O1048" s="102" t="str">
        <f aca="false">IF(C1048="","",IFERROR(INDEX(AK_KEL,MATCH(C1048,AK_NAMA,0)),"?"))</f>
        <v>BEBAN</v>
      </c>
      <c r="P1048" s="102" t="str">
        <f aca="false">IF(D1048="","",IFERROR(INDEX(AK_KEL,MATCH(D1048,AK_NAMA,0)),"?"))</f>
        <v>ASET</v>
      </c>
      <c r="Q1048" s="102" t="n">
        <f aca="false">N(Q1047)+IF(AND(N(E1048)&lt;&gt;0,K1048=TAHUN,N(J1048)&lt;=BLN,OR(C1048=BB_AKUN,D1048=BB_AKUN)),1,0)</f>
        <v>694</v>
      </c>
      <c r="R1048" s="104" t="str">
        <f aca="false">IF(OR(C1048&amp;D1048="",N(E1048)=0),"",IF(OR(O1048="?",P1048="?"),"⚠ akun tidak dikenal",IF(C1048=D1048,"⚠ debet = kredit","")))</f>
        <v/>
      </c>
    </row>
    <row r="1049" customFormat="false" ht="15" hidden="false" customHeight="false" outlineLevel="0" collapsed="false">
      <c r="A1049" s="82" t="s">
        <v>2177</v>
      </c>
      <c r="B1049" s="101" t="n">
        <v>46245</v>
      </c>
      <c r="C1049" s="82" t="s">
        <v>470</v>
      </c>
      <c r="D1049" s="82" t="s">
        <v>461</v>
      </c>
      <c r="E1049" s="91" t="n">
        <v>1325000</v>
      </c>
      <c r="F1049" s="82" t="s">
        <v>1950</v>
      </c>
      <c r="G1049" s="82"/>
      <c r="H1049" s="82"/>
      <c r="I1049" s="82" t="s">
        <v>250</v>
      </c>
      <c r="J1049" s="102" t="n">
        <f aca="false">IF(B1049="","",MONTH(B1049))</f>
        <v>8</v>
      </c>
      <c r="K1049" s="102" t="n">
        <f aca="false">IF(B1049="","",YEAR(B1049))</f>
        <v>2026</v>
      </c>
      <c r="L1049" s="102" t="str">
        <f aca="false">IF(N(E1049)=0,"",IF(COUNTIFS(AK_NAMA,C1049,AK_KAT,"KAS")+COUNTIFS(AK_NAMA,D1049,AK_KAT,"KAS")&lt;&gt;1,"",IF(COUNTIFS(AK_NAMA,C1049,AK_KAT,"KAS")=1,D1049,C1049)))</f>
        <v>Biaya Bahan Baku</v>
      </c>
      <c r="M1049" s="103" t="n">
        <f aca="false">IF(L1049="",0,IF(L1049=D1049,E1049,-E1049))</f>
        <v>-1325000</v>
      </c>
      <c r="N1049" s="102" t="str">
        <f aca="false">IF(L1049="","",IFERROR(INDEX(AK_BARIS,MATCH(L1049,AK_NAMA,0)),"?"))</f>
        <v>OP3</v>
      </c>
      <c r="O1049" s="102" t="str">
        <f aca="false">IF(C1049="","",IFERROR(INDEX(AK_KEL,MATCH(C1049,AK_NAMA,0)),"?"))</f>
        <v>BEBAN</v>
      </c>
      <c r="P1049" s="102" t="str">
        <f aca="false">IF(D1049="","",IFERROR(INDEX(AK_KEL,MATCH(D1049,AK_NAMA,0)),"?"))</f>
        <v>ASET</v>
      </c>
      <c r="Q1049" s="102" t="n">
        <f aca="false">N(Q1048)+IF(AND(N(E1049)&lt;&gt;0,K1049=TAHUN,N(J1049)&lt;=BLN,OR(C1049=BB_AKUN,D1049=BB_AKUN)),1,0)</f>
        <v>695</v>
      </c>
      <c r="R1049" s="104" t="str">
        <f aca="false">IF(OR(C1049&amp;D1049="",N(E1049)=0),"",IF(OR(O1049="?",P1049="?"),"⚠ akun tidak dikenal",IF(C1049=D1049,"⚠ debet = kredit","")))</f>
        <v/>
      </c>
    </row>
    <row r="1050" customFormat="false" ht="15" hidden="false" customHeight="false" outlineLevel="0" collapsed="false">
      <c r="A1050" s="82" t="s">
        <v>2178</v>
      </c>
      <c r="B1050" s="101" t="n">
        <v>46245</v>
      </c>
      <c r="C1050" s="82" t="s">
        <v>470</v>
      </c>
      <c r="D1050" s="82" t="s">
        <v>461</v>
      </c>
      <c r="E1050" s="91" t="n">
        <v>120000</v>
      </c>
      <c r="F1050" s="82" t="s">
        <v>2179</v>
      </c>
      <c r="G1050" s="82"/>
      <c r="H1050" s="82"/>
      <c r="I1050" s="82" t="s">
        <v>250</v>
      </c>
      <c r="J1050" s="102" t="n">
        <f aca="false">IF(B1050="","",MONTH(B1050))</f>
        <v>8</v>
      </c>
      <c r="K1050" s="102" t="n">
        <f aca="false">IF(B1050="","",YEAR(B1050))</f>
        <v>2026</v>
      </c>
      <c r="L1050" s="102" t="str">
        <f aca="false">IF(N(E1050)=0,"",IF(COUNTIFS(AK_NAMA,C1050,AK_KAT,"KAS")+COUNTIFS(AK_NAMA,D1050,AK_KAT,"KAS")&lt;&gt;1,"",IF(COUNTIFS(AK_NAMA,C1050,AK_KAT,"KAS")=1,D1050,C1050)))</f>
        <v>Biaya Bahan Baku</v>
      </c>
      <c r="M1050" s="103" t="n">
        <f aca="false">IF(L1050="",0,IF(L1050=D1050,E1050,-E1050))</f>
        <v>-120000</v>
      </c>
      <c r="N1050" s="102" t="str">
        <f aca="false">IF(L1050="","",IFERROR(INDEX(AK_BARIS,MATCH(L1050,AK_NAMA,0)),"?"))</f>
        <v>OP3</v>
      </c>
      <c r="O1050" s="102" t="str">
        <f aca="false">IF(C1050="","",IFERROR(INDEX(AK_KEL,MATCH(C1050,AK_NAMA,0)),"?"))</f>
        <v>BEBAN</v>
      </c>
      <c r="P1050" s="102" t="str">
        <f aca="false">IF(D1050="","",IFERROR(INDEX(AK_KEL,MATCH(D1050,AK_NAMA,0)),"?"))</f>
        <v>ASET</v>
      </c>
      <c r="Q1050" s="102" t="n">
        <f aca="false">N(Q1049)+IF(AND(N(E1050)&lt;&gt;0,K1050=TAHUN,N(J1050)&lt;=BLN,OR(C1050=BB_AKUN,D1050=BB_AKUN)),1,0)</f>
        <v>696</v>
      </c>
      <c r="R1050" s="104" t="str">
        <f aca="false">IF(OR(C1050&amp;D1050="",N(E1050)=0),"",IF(OR(O1050="?",P1050="?"),"⚠ akun tidak dikenal",IF(C1050=D1050,"⚠ debet = kredit","")))</f>
        <v/>
      </c>
    </row>
    <row r="1051" customFormat="false" ht="15" hidden="false" customHeight="false" outlineLevel="0" collapsed="false">
      <c r="A1051" s="82" t="s">
        <v>2180</v>
      </c>
      <c r="B1051" s="101" t="n">
        <v>46246</v>
      </c>
      <c r="C1051" s="82" t="s">
        <v>470</v>
      </c>
      <c r="D1051" s="82" t="s">
        <v>461</v>
      </c>
      <c r="E1051" s="91" t="n">
        <v>266000</v>
      </c>
      <c r="F1051" s="82" t="s">
        <v>1729</v>
      </c>
      <c r="G1051" s="82"/>
      <c r="H1051" s="82"/>
      <c r="I1051" s="82" t="s">
        <v>250</v>
      </c>
      <c r="J1051" s="102" t="n">
        <f aca="false">IF(B1051="","",MONTH(B1051))</f>
        <v>8</v>
      </c>
      <c r="K1051" s="102" t="n">
        <f aca="false">IF(B1051="","",YEAR(B1051))</f>
        <v>2026</v>
      </c>
      <c r="L1051" s="102" t="str">
        <f aca="false">IF(N(E1051)=0,"",IF(COUNTIFS(AK_NAMA,C1051,AK_KAT,"KAS")+COUNTIFS(AK_NAMA,D1051,AK_KAT,"KAS")&lt;&gt;1,"",IF(COUNTIFS(AK_NAMA,C1051,AK_KAT,"KAS")=1,D1051,C1051)))</f>
        <v>Biaya Bahan Baku</v>
      </c>
      <c r="M1051" s="103" t="n">
        <f aca="false">IF(L1051="",0,IF(L1051=D1051,E1051,-E1051))</f>
        <v>-266000</v>
      </c>
      <c r="N1051" s="102" t="str">
        <f aca="false">IF(L1051="","",IFERROR(INDEX(AK_BARIS,MATCH(L1051,AK_NAMA,0)),"?"))</f>
        <v>OP3</v>
      </c>
      <c r="O1051" s="102" t="str">
        <f aca="false">IF(C1051="","",IFERROR(INDEX(AK_KEL,MATCH(C1051,AK_NAMA,0)),"?"))</f>
        <v>BEBAN</v>
      </c>
      <c r="P1051" s="102" t="str">
        <f aca="false">IF(D1051="","",IFERROR(INDEX(AK_KEL,MATCH(D1051,AK_NAMA,0)),"?"))</f>
        <v>ASET</v>
      </c>
      <c r="Q1051" s="102" t="n">
        <f aca="false">N(Q1050)+IF(AND(N(E1051)&lt;&gt;0,K1051=TAHUN,N(J1051)&lt;=BLN,OR(C1051=BB_AKUN,D1051=BB_AKUN)),1,0)</f>
        <v>697</v>
      </c>
      <c r="R1051" s="104" t="str">
        <f aca="false">IF(OR(C1051&amp;D1051="",N(E1051)=0),"",IF(OR(O1051="?",P1051="?"),"⚠ akun tidak dikenal",IF(C1051=D1051,"⚠ debet = kredit","")))</f>
        <v/>
      </c>
    </row>
    <row r="1052" customFormat="false" ht="15" hidden="false" customHeight="false" outlineLevel="0" collapsed="false">
      <c r="A1052" s="82" t="s">
        <v>2181</v>
      </c>
      <c r="B1052" s="101" t="n">
        <v>46246</v>
      </c>
      <c r="C1052" s="82" t="s">
        <v>475</v>
      </c>
      <c r="D1052" s="82" t="s">
        <v>461</v>
      </c>
      <c r="E1052" s="91" t="n">
        <v>5000000</v>
      </c>
      <c r="F1052" s="82" t="s">
        <v>2182</v>
      </c>
      <c r="G1052" s="82"/>
      <c r="H1052" s="82"/>
      <c r="I1052" s="82" t="s">
        <v>250</v>
      </c>
      <c r="J1052" s="102" t="n">
        <f aca="false">IF(B1052="","",MONTH(B1052))</f>
        <v>8</v>
      </c>
      <c r="K1052" s="102" t="n">
        <f aca="false">IF(B1052="","",YEAR(B1052))</f>
        <v>2026</v>
      </c>
      <c r="L1052" s="102" t="str">
        <f aca="false">IF(N(E1052)=0,"",IF(COUNTIFS(AK_NAMA,C1052,AK_KAT,"KAS")+COUNTIFS(AK_NAMA,D1052,AK_KAT,"KAS")&lt;&gt;1,"",IF(COUNTIFS(AK_NAMA,C1052,AK_KAT,"KAS")=1,D1052,C1052)))</f>
        <v/>
      </c>
      <c r="M1052" s="103" t="n">
        <f aca="false">IF(L1052="",0,IF(L1052=D1052,E1052,-E1052))</f>
        <v>0</v>
      </c>
      <c r="N1052" s="102" t="str">
        <f aca="false">IF(L1052="","",IFERROR(INDEX(AK_BARIS,MATCH(L1052,AK_NAMA,0)),"?"))</f>
        <v/>
      </c>
      <c r="O1052" s="102" t="str">
        <f aca="false">IF(C1052="","",IFERROR(INDEX(AK_KEL,MATCH(C1052,AK_NAMA,0)),"?"))</f>
        <v>ASET</v>
      </c>
      <c r="P1052" s="102" t="str">
        <f aca="false">IF(D1052="","",IFERROR(INDEX(AK_KEL,MATCH(D1052,AK_NAMA,0)),"?"))</f>
        <v>ASET</v>
      </c>
      <c r="Q1052" s="102" t="n">
        <f aca="false">N(Q1051)+IF(AND(N(E1052)&lt;&gt;0,K1052=TAHUN,N(J1052)&lt;=BLN,OR(C1052=BB_AKUN,D1052=BB_AKUN)),1,0)</f>
        <v>698</v>
      </c>
      <c r="R1052" s="104" t="str">
        <f aca="false">IF(OR(C1052&amp;D1052="",N(E1052)=0),"",IF(OR(O1052="?",P1052="?"),"⚠ akun tidak dikenal",IF(C1052=D1052,"⚠ debet = kredit","")))</f>
        <v/>
      </c>
    </row>
    <row r="1053" customFormat="false" ht="15" hidden="false" customHeight="false" outlineLevel="0" collapsed="false">
      <c r="A1053" s="82" t="s">
        <v>2183</v>
      </c>
      <c r="B1053" s="101" t="n">
        <v>46246</v>
      </c>
      <c r="C1053" s="82" t="s">
        <v>548</v>
      </c>
      <c r="D1053" s="82" t="s">
        <v>461</v>
      </c>
      <c r="E1053" s="91" t="n">
        <v>129500</v>
      </c>
      <c r="F1053" s="82" t="s">
        <v>2184</v>
      </c>
      <c r="G1053" s="82"/>
      <c r="H1053" s="82"/>
      <c r="I1053" s="82" t="s">
        <v>250</v>
      </c>
      <c r="J1053" s="102" t="n">
        <f aca="false">IF(B1053="","",MONTH(B1053))</f>
        <v>8</v>
      </c>
      <c r="K1053" s="102" t="n">
        <f aca="false">IF(B1053="","",YEAR(B1053))</f>
        <v>2026</v>
      </c>
      <c r="L1053" s="102" t="str">
        <f aca="false">IF(N(E1053)=0,"",IF(COUNTIFS(AK_NAMA,C1053,AK_KAT,"KAS")+COUNTIFS(AK_NAMA,D1053,AK_KAT,"KAS")&lt;&gt;1,"",IF(COUNTIFS(AK_NAMA,C1053,AK_KAT,"KAS")=1,D1053,C1053)))</f>
        <v>Beban Perlengkapan</v>
      </c>
      <c r="M1053" s="103" t="n">
        <f aca="false">IF(L1053="",0,IF(L1053=D1053,E1053,-E1053))</f>
        <v>-129500</v>
      </c>
      <c r="N1053" s="102" t="str">
        <f aca="false">IF(L1053="","",IFERROR(INDEX(AK_BARIS,MATCH(L1053,AK_NAMA,0)),"?"))</f>
        <v>OP6</v>
      </c>
      <c r="O1053" s="102" t="str">
        <f aca="false">IF(C1053="","",IFERROR(INDEX(AK_KEL,MATCH(C1053,AK_NAMA,0)),"?"))</f>
        <v>BEBAN</v>
      </c>
      <c r="P1053" s="102" t="str">
        <f aca="false">IF(D1053="","",IFERROR(INDEX(AK_KEL,MATCH(D1053,AK_NAMA,0)),"?"))</f>
        <v>ASET</v>
      </c>
      <c r="Q1053" s="102" t="n">
        <f aca="false">N(Q1052)+IF(AND(N(E1053)&lt;&gt;0,K1053=TAHUN,N(J1053)&lt;=BLN,OR(C1053=BB_AKUN,D1053=BB_AKUN)),1,0)</f>
        <v>699</v>
      </c>
      <c r="R1053" s="104" t="str">
        <f aca="false">IF(OR(C1053&amp;D1053="",N(E1053)=0),"",IF(OR(O1053="?",P1053="?"),"⚠ akun tidak dikenal",IF(C1053=D1053,"⚠ debet = kredit","")))</f>
        <v/>
      </c>
    </row>
    <row r="1054" customFormat="false" ht="15" hidden="false" customHeight="false" outlineLevel="0" collapsed="false">
      <c r="A1054" s="82" t="s">
        <v>2185</v>
      </c>
      <c r="B1054" s="101" t="n">
        <v>46246</v>
      </c>
      <c r="C1054" s="82" t="s">
        <v>548</v>
      </c>
      <c r="D1054" s="82" t="s">
        <v>475</v>
      </c>
      <c r="E1054" s="91" t="n">
        <v>9000</v>
      </c>
      <c r="F1054" s="82" t="s">
        <v>2186</v>
      </c>
      <c r="G1054" s="82"/>
      <c r="H1054" s="82"/>
      <c r="I1054" s="82" t="s">
        <v>250</v>
      </c>
      <c r="J1054" s="102" t="n">
        <f aca="false">IF(B1054="","",MONTH(B1054))</f>
        <v>8</v>
      </c>
      <c r="K1054" s="102" t="n">
        <f aca="false">IF(B1054="","",YEAR(B1054))</f>
        <v>2026</v>
      </c>
      <c r="L1054" s="102" t="str">
        <f aca="false">IF(N(E1054)=0,"",IF(COUNTIFS(AK_NAMA,C1054,AK_KAT,"KAS")+COUNTIFS(AK_NAMA,D1054,AK_KAT,"KAS")&lt;&gt;1,"",IF(COUNTIFS(AK_NAMA,C1054,AK_KAT,"KAS")=1,D1054,C1054)))</f>
        <v>Beban Perlengkapan</v>
      </c>
      <c r="M1054" s="103" t="n">
        <f aca="false">IF(L1054="",0,IF(L1054=D1054,E1054,-E1054))</f>
        <v>-9000</v>
      </c>
      <c r="N1054" s="102" t="str">
        <f aca="false">IF(L1054="","",IFERROR(INDEX(AK_BARIS,MATCH(L1054,AK_NAMA,0)),"?"))</f>
        <v>OP6</v>
      </c>
      <c r="O1054" s="102" t="str">
        <f aca="false">IF(C1054="","",IFERROR(INDEX(AK_KEL,MATCH(C1054,AK_NAMA,0)),"?"))</f>
        <v>BEBAN</v>
      </c>
      <c r="P1054" s="102" t="str">
        <f aca="false">IF(D1054="","",IFERROR(INDEX(AK_KEL,MATCH(D1054,AK_NAMA,0)),"?"))</f>
        <v>ASET</v>
      </c>
      <c r="Q1054" s="102" t="n">
        <f aca="false">N(Q1053)+IF(AND(N(E1054)&lt;&gt;0,K1054=TAHUN,N(J1054)&lt;=BLN,OR(C1054=BB_AKUN,D1054=BB_AKUN)),1,0)</f>
        <v>699</v>
      </c>
      <c r="R1054" s="104" t="str">
        <f aca="false">IF(OR(C1054&amp;D1054="",N(E1054)=0),"",IF(OR(O1054="?",P1054="?"),"⚠ akun tidak dikenal",IF(C1054=D1054,"⚠ debet = kredit","")))</f>
        <v/>
      </c>
    </row>
    <row r="1055" customFormat="false" ht="15" hidden="false" customHeight="false" outlineLevel="0" collapsed="false">
      <c r="A1055" s="82" t="s">
        <v>2187</v>
      </c>
      <c r="B1055" s="101" t="n">
        <v>46247</v>
      </c>
      <c r="C1055" s="82" t="s">
        <v>467</v>
      </c>
      <c r="D1055" s="82" t="s">
        <v>475</v>
      </c>
      <c r="E1055" s="91" t="n">
        <v>150000</v>
      </c>
      <c r="F1055" s="82" t="s">
        <v>2188</v>
      </c>
      <c r="G1055" s="82"/>
      <c r="H1055" s="82"/>
      <c r="I1055" s="82" t="s">
        <v>250</v>
      </c>
      <c r="J1055" s="102" t="n">
        <f aca="false">IF(B1055="","",MONTH(B1055))</f>
        <v>8</v>
      </c>
      <c r="K1055" s="102" t="n">
        <f aca="false">IF(B1055="","",YEAR(B1055))</f>
        <v>2026</v>
      </c>
      <c r="L1055" s="102" t="str">
        <f aca="false">IF(N(E1055)=0,"",IF(COUNTIFS(AK_NAMA,C1055,AK_KAT,"KAS")+COUNTIFS(AK_NAMA,D1055,AK_KAT,"KAS")&lt;&gt;1,"",IF(COUNTIFS(AK_NAMA,C1055,AK_KAT,"KAS")=1,D1055,C1055)))</f>
        <v>Dana Sosial &amp; CSR</v>
      </c>
      <c r="M1055" s="103" t="n">
        <f aca="false">IF(L1055="",0,IF(L1055=D1055,E1055,-E1055))</f>
        <v>-150000</v>
      </c>
      <c r="N1055" s="102" t="str">
        <f aca="false">IF(L1055="","",IFERROR(INDEX(AK_BARIS,MATCH(L1055,AK_NAMA,0)),"?"))</f>
        <v>OP6</v>
      </c>
      <c r="O1055" s="102" t="str">
        <f aca="false">IF(C1055="","",IFERROR(INDEX(AK_KEL,MATCH(C1055,AK_NAMA,0)),"?"))</f>
        <v>BEBAN</v>
      </c>
      <c r="P1055" s="102" t="str">
        <f aca="false">IF(D1055="","",IFERROR(INDEX(AK_KEL,MATCH(D1055,AK_NAMA,0)),"?"))</f>
        <v>ASET</v>
      </c>
      <c r="Q1055" s="102" t="n">
        <f aca="false">N(Q1054)+IF(AND(N(E1055)&lt;&gt;0,K1055=TAHUN,N(J1055)&lt;=BLN,OR(C1055=BB_AKUN,D1055=BB_AKUN)),1,0)</f>
        <v>699</v>
      </c>
      <c r="R1055" s="104" t="str">
        <f aca="false">IF(OR(C1055&amp;D1055="",N(E1055)=0),"",IF(OR(O1055="?",P1055="?"),"⚠ akun tidak dikenal",IF(C1055=D1055,"⚠ debet = kredit","")))</f>
        <v/>
      </c>
    </row>
    <row r="1056" customFormat="false" ht="15" hidden="false" customHeight="false" outlineLevel="0" collapsed="false">
      <c r="A1056" s="82" t="s">
        <v>2189</v>
      </c>
      <c r="B1056" s="101" t="n">
        <v>46247</v>
      </c>
      <c r="C1056" s="82" t="s">
        <v>467</v>
      </c>
      <c r="D1056" s="82" t="s">
        <v>461</v>
      </c>
      <c r="E1056" s="91" t="n">
        <v>360000</v>
      </c>
      <c r="F1056" s="82" t="s">
        <v>1962</v>
      </c>
      <c r="G1056" s="82"/>
      <c r="H1056" s="82"/>
      <c r="I1056" s="82" t="s">
        <v>250</v>
      </c>
      <c r="J1056" s="102" t="n">
        <f aca="false">IF(B1056="","",MONTH(B1056))</f>
        <v>8</v>
      </c>
      <c r="K1056" s="102" t="n">
        <f aca="false">IF(B1056="","",YEAR(B1056))</f>
        <v>2026</v>
      </c>
      <c r="L1056" s="102" t="str">
        <f aca="false">IF(N(E1056)=0,"",IF(COUNTIFS(AK_NAMA,C1056,AK_KAT,"KAS")+COUNTIFS(AK_NAMA,D1056,AK_KAT,"KAS")&lt;&gt;1,"",IF(COUNTIFS(AK_NAMA,C1056,AK_KAT,"KAS")=1,D1056,C1056)))</f>
        <v>Dana Sosial &amp; CSR</v>
      </c>
      <c r="M1056" s="103" t="n">
        <f aca="false">IF(L1056="",0,IF(L1056=D1056,E1056,-E1056))</f>
        <v>-360000</v>
      </c>
      <c r="N1056" s="102" t="str">
        <f aca="false">IF(L1056="","",IFERROR(INDEX(AK_BARIS,MATCH(L1056,AK_NAMA,0)),"?"))</f>
        <v>OP6</v>
      </c>
      <c r="O1056" s="102" t="str">
        <f aca="false">IF(C1056="","",IFERROR(INDEX(AK_KEL,MATCH(C1056,AK_NAMA,0)),"?"))</f>
        <v>BEBAN</v>
      </c>
      <c r="P1056" s="102" t="str">
        <f aca="false">IF(D1056="","",IFERROR(INDEX(AK_KEL,MATCH(D1056,AK_NAMA,0)),"?"))</f>
        <v>ASET</v>
      </c>
      <c r="Q1056" s="102" t="n">
        <f aca="false">N(Q1055)+IF(AND(N(E1056)&lt;&gt;0,K1056=TAHUN,N(J1056)&lt;=BLN,OR(C1056=BB_AKUN,D1056=BB_AKUN)),1,0)</f>
        <v>700</v>
      </c>
      <c r="R1056" s="104" t="str">
        <f aca="false">IF(OR(C1056&amp;D1056="",N(E1056)=0),"",IF(OR(O1056="?",P1056="?"),"⚠ akun tidak dikenal",IF(C1056=D1056,"⚠ debet = kredit","")))</f>
        <v/>
      </c>
    </row>
    <row r="1057" customFormat="false" ht="15" hidden="false" customHeight="false" outlineLevel="0" collapsed="false">
      <c r="A1057" s="82" t="s">
        <v>2190</v>
      </c>
      <c r="B1057" s="101" t="n">
        <v>46247</v>
      </c>
      <c r="C1057" s="82" t="s">
        <v>524</v>
      </c>
      <c r="D1057" s="82" t="s">
        <v>461</v>
      </c>
      <c r="E1057" s="91" t="n">
        <v>325</v>
      </c>
      <c r="F1057" s="82" t="s">
        <v>525</v>
      </c>
      <c r="G1057" s="82"/>
      <c r="H1057" s="82"/>
      <c r="I1057" s="82" t="s">
        <v>250</v>
      </c>
      <c r="J1057" s="102" t="n">
        <f aca="false">IF(B1057="","",MONTH(B1057))</f>
        <v>8</v>
      </c>
      <c r="K1057" s="102" t="n">
        <f aca="false">IF(B1057="","",YEAR(B1057))</f>
        <v>2026</v>
      </c>
      <c r="L1057" s="102" t="str">
        <f aca="false">IF(N(E1057)=0,"",IF(COUNTIFS(AK_NAMA,C1057,AK_KAT,"KAS")+COUNTIFS(AK_NAMA,D1057,AK_KAT,"KAS")&lt;&gt;1,"",IF(COUNTIFS(AK_NAMA,C1057,AK_KAT,"KAS")=1,D1057,C1057)))</f>
        <v>Biaya Lainnya</v>
      </c>
      <c r="M1057" s="103" t="n">
        <f aca="false">IF(L1057="",0,IF(L1057=D1057,E1057,-E1057))</f>
        <v>-325</v>
      </c>
      <c r="N1057" s="102" t="str">
        <f aca="false">IF(L1057="","",IFERROR(INDEX(AK_BARIS,MATCH(L1057,AK_NAMA,0)),"?"))</f>
        <v>OP2</v>
      </c>
      <c r="O1057" s="102" t="str">
        <f aca="false">IF(C1057="","",IFERROR(INDEX(AK_KEL,MATCH(C1057,AK_NAMA,0)),"?"))</f>
        <v>BEBAN</v>
      </c>
      <c r="P1057" s="102" t="str">
        <f aca="false">IF(D1057="","",IFERROR(INDEX(AK_KEL,MATCH(D1057,AK_NAMA,0)),"?"))</f>
        <v>ASET</v>
      </c>
      <c r="Q1057" s="102" t="n">
        <f aca="false">N(Q1056)+IF(AND(N(E1057)&lt;&gt;0,K1057=TAHUN,N(J1057)&lt;=BLN,OR(C1057=BB_AKUN,D1057=BB_AKUN)),1,0)</f>
        <v>701</v>
      </c>
      <c r="R1057" s="104" t="str">
        <f aca="false">IF(OR(C1057&amp;D1057="",N(E1057)=0),"",IF(OR(O1057="?",P1057="?"),"⚠ akun tidak dikenal",IF(C1057=D1057,"⚠ debet = kredit","")))</f>
        <v/>
      </c>
    </row>
    <row r="1058" customFormat="false" ht="15" hidden="false" customHeight="false" outlineLevel="0" collapsed="false">
      <c r="A1058" s="82" t="s">
        <v>2191</v>
      </c>
      <c r="B1058" s="101" t="n">
        <v>46247</v>
      </c>
      <c r="C1058" s="82" t="s">
        <v>461</v>
      </c>
      <c r="D1058" s="82" t="s">
        <v>792</v>
      </c>
      <c r="E1058" s="91" t="n">
        <v>27000</v>
      </c>
      <c r="F1058" s="82" t="s">
        <v>2192</v>
      </c>
      <c r="G1058" s="82"/>
      <c r="H1058" s="82"/>
      <c r="I1058" s="82" t="s">
        <v>250</v>
      </c>
      <c r="J1058" s="102" t="n">
        <f aca="false">IF(B1058="","",MONTH(B1058))</f>
        <v>8</v>
      </c>
      <c r="K1058" s="102" t="n">
        <f aca="false">IF(B1058="","",YEAR(B1058))</f>
        <v>2026</v>
      </c>
      <c r="L1058" s="102" t="str">
        <f aca="false">IF(N(E1058)=0,"",IF(COUNTIFS(AK_NAMA,C1058,AK_KAT,"KAS")+COUNTIFS(AK_NAMA,D1058,AK_KAT,"KAS")&lt;&gt;1,"",IF(COUNTIFS(AK_NAMA,C1058,AK_KAT,"KAS")=1,D1058,C1058)))</f>
        <v>Pendapatan Cafe</v>
      </c>
      <c r="M1058" s="103" t="n">
        <f aca="false">IF(L1058="",0,IF(L1058=D1058,E1058,-E1058))</f>
        <v>27000</v>
      </c>
      <c r="N1058" s="102" t="str">
        <f aca="false">IF(L1058="","",IFERROR(INDEX(AK_BARIS,MATCH(L1058,AK_NAMA,0)),"?"))</f>
        <v>OP1</v>
      </c>
      <c r="O1058" s="102" t="str">
        <f aca="false">IF(C1058="","",IFERROR(INDEX(AK_KEL,MATCH(C1058,AK_NAMA,0)),"?"))</f>
        <v>ASET</v>
      </c>
      <c r="P1058" s="102" t="str">
        <f aca="false">IF(D1058="","",IFERROR(INDEX(AK_KEL,MATCH(D1058,AK_NAMA,0)),"?"))</f>
        <v>PENDAPATAN</v>
      </c>
      <c r="Q1058" s="102" t="n">
        <f aca="false">N(Q1057)+IF(AND(N(E1058)&lt;&gt;0,K1058=TAHUN,N(J1058)&lt;=BLN,OR(C1058=BB_AKUN,D1058=BB_AKUN)),1,0)</f>
        <v>702</v>
      </c>
      <c r="R1058" s="104" t="str">
        <f aca="false">IF(OR(C1058&amp;D1058="",N(E1058)=0),"",IF(OR(O1058="?",P1058="?"),"⚠ akun tidak dikenal",IF(C1058=D1058,"⚠ debet = kredit","")))</f>
        <v/>
      </c>
    </row>
    <row r="1059" customFormat="false" ht="15" hidden="false" customHeight="false" outlineLevel="0" collapsed="false">
      <c r="A1059" s="82" t="s">
        <v>2193</v>
      </c>
      <c r="B1059" s="101" t="n">
        <v>46248</v>
      </c>
      <c r="C1059" s="82" t="s">
        <v>548</v>
      </c>
      <c r="D1059" s="82" t="s">
        <v>461</v>
      </c>
      <c r="E1059" s="91" t="n">
        <v>169100</v>
      </c>
      <c r="F1059" s="82" t="s">
        <v>2194</v>
      </c>
      <c r="G1059" s="82"/>
      <c r="H1059" s="82"/>
      <c r="I1059" s="82" t="s">
        <v>250</v>
      </c>
      <c r="J1059" s="102" t="n">
        <f aca="false">IF(B1059="","",MONTH(B1059))</f>
        <v>8</v>
      </c>
      <c r="K1059" s="102" t="n">
        <f aca="false">IF(B1059="","",YEAR(B1059))</f>
        <v>2026</v>
      </c>
      <c r="L1059" s="102" t="str">
        <f aca="false">IF(N(E1059)=0,"",IF(COUNTIFS(AK_NAMA,C1059,AK_KAT,"KAS")+COUNTIFS(AK_NAMA,D1059,AK_KAT,"KAS")&lt;&gt;1,"",IF(COUNTIFS(AK_NAMA,C1059,AK_KAT,"KAS")=1,D1059,C1059)))</f>
        <v>Beban Perlengkapan</v>
      </c>
      <c r="M1059" s="103" t="n">
        <f aca="false">IF(L1059="",0,IF(L1059=D1059,E1059,-E1059))</f>
        <v>-169100</v>
      </c>
      <c r="N1059" s="102" t="str">
        <f aca="false">IF(L1059="","",IFERROR(INDEX(AK_BARIS,MATCH(L1059,AK_NAMA,0)),"?"))</f>
        <v>OP6</v>
      </c>
      <c r="O1059" s="102" t="str">
        <f aca="false">IF(C1059="","",IFERROR(INDEX(AK_KEL,MATCH(C1059,AK_NAMA,0)),"?"))</f>
        <v>BEBAN</v>
      </c>
      <c r="P1059" s="102" t="str">
        <f aca="false">IF(D1059="","",IFERROR(INDEX(AK_KEL,MATCH(D1059,AK_NAMA,0)),"?"))</f>
        <v>ASET</v>
      </c>
      <c r="Q1059" s="102" t="n">
        <f aca="false">N(Q1058)+IF(AND(N(E1059)&lt;&gt;0,K1059=TAHUN,N(J1059)&lt;=BLN,OR(C1059=BB_AKUN,D1059=BB_AKUN)),1,0)</f>
        <v>703</v>
      </c>
      <c r="R1059" s="104" t="str">
        <f aca="false">IF(OR(C1059&amp;D1059="",N(E1059)=0),"",IF(OR(O1059="?",P1059="?"),"⚠ akun tidak dikenal",IF(C1059=D1059,"⚠ debet = kredit","")))</f>
        <v/>
      </c>
    </row>
    <row r="1060" customFormat="false" ht="15" hidden="false" customHeight="false" outlineLevel="0" collapsed="false">
      <c r="A1060" s="82" t="s">
        <v>2195</v>
      </c>
      <c r="B1060" s="101" t="n">
        <v>46249</v>
      </c>
      <c r="C1060" s="82" t="s">
        <v>475</v>
      </c>
      <c r="D1060" s="82" t="s">
        <v>461</v>
      </c>
      <c r="E1060" s="91" t="n">
        <v>570000</v>
      </c>
      <c r="F1060" s="82" t="s">
        <v>2182</v>
      </c>
      <c r="G1060" s="82"/>
      <c r="H1060" s="82"/>
      <c r="I1060" s="82" t="s">
        <v>250</v>
      </c>
      <c r="J1060" s="102" t="n">
        <f aca="false">IF(B1060="","",MONTH(B1060))</f>
        <v>8</v>
      </c>
      <c r="K1060" s="102" t="n">
        <f aca="false">IF(B1060="","",YEAR(B1060))</f>
        <v>2026</v>
      </c>
      <c r="L1060" s="102" t="str">
        <f aca="false">IF(N(E1060)=0,"",IF(COUNTIFS(AK_NAMA,C1060,AK_KAT,"KAS")+COUNTIFS(AK_NAMA,D1060,AK_KAT,"KAS")&lt;&gt;1,"",IF(COUNTIFS(AK_NAMA,C1060,AK_KAT,"KAS")=1,D1060,C1060)))</f>
        <v/>
      </c>
      <c r="M1060" s="103" t="n">
        <f aca="false">IF(L1060="",0,IF(L1060=D1060,E1060,-E1060))</f>
        <v>0</v>
      </c>
      <c r="N1060" s="102" t="str">
        <f aca="false">IF(L1060="","",IFERROR(INDEX(AK_BARIS,MATCH(L1060,AK_NAMA,0)),"?"))</f>
        <v/>
      </c>
      <c r="O1060" s="102" t="str">
        <f aca="false">IF(C1060="","",IFERROR(INDEX(AK_KEL,MATCH(C1060,AK_NAMA,0)),"?"))</f>
        <v>ASET</v>
      </c>
      <c r="P1060" s="102" t="str">
        <f aca="false">IF(D1060="","",IFERROR(INDEX(AK_KEL,MATCH(D1060,AK_NAMA,0)),"?"))</f>
        <v>ASET</v>
      </c>
      <c r="Q1060" s="102" t="n">
        <f aca="false">N(Q1059)+IF(AND(N(E1060)&lt;&gt;0,K1060=TAHUN,N(J1060)&lt;=BLN,OR(C1060=BB_AKUN,D1060=BB_AKUN)),1,0)</f>
        <v>704</v>
      </c>
      <c r="R1060" s="104" t="str">
        <f aca="false">IF(OR(C1060&amp;D1060="",N(E1060)=0),"",IF(OR(O1060="?",P1060="?"),"⚠ akun tidak dikenal",IF(C1060=D1060,"⚠ debet = kredit","")))</f>
        <v/>
      </c>
    </row>
    <row r="1061" customFormat="false" ht="15" hidden="false" customHeight="false" outlineLevel="0" collapsed="false">
      <c r="A1061" s="82" t="s">
        <v>2196</v>
      </c>
      <c r="B1061" s="101" t="n">
        <v>46250</v>
      </c>
      <c r="C1061" s="82" t="s">
        <v>470</v>
      </c>
      <c r="D1061" s="82" t="s">
        <v>461</v>
      </c>
      <c r="E1061" s="91" t="n">
        <v>871000</v>
      </c>
      <c r="F1061" s="82" t="s">
        <v>2197</v>
      </c>
      <c r="G1061" s="82"/>
      <c r="H1061" s="82"/>
      <c r="I1061" s="82" t="s">
        <v>250</v>
      </c>
      <c r="J1061" s="102" t="n">
        <f aca="false">IF(B1061="","",MONTH(B1061))</f>
        <v>8</v>
      </c>
      <c r="K1061" s="102" t="n">
        <f aca="false">IF(B1061="","",YEAR(B1061))</f>
        <v>2026</v>
      </c>
      <c r="L1061" s="102" t="str">
        <f aca="false">IF(N(E1061)=0,"",IF(COUNTIFS(AK_NAMA,C1061,AK_KAT,"KAS")+COUNTIFS(AK_NAMA,D1061,AK_KAT,"KAS")&lt;&gt;1,"",IF(COUNTIFS(AK_NAMA,C1061,AK_KAT,"KAS")=1,D1061,C1061)))</f>
        <v>Biaya Bahan Baku</v>
      </c>
      <c r="M1061" s="103" t="n">
        <f aca="false">IF(L1061="",0,IF(L1061=D1061,E1061,-E1061))</f>
        <v>-871000</v>
      </c>
      <c r="N1061" s="102" t="str">
        <f aca="false">IF(L1061="","",IFERROR(INDEX(AK_BARIS,MATCH(L1061,AK_NAMA,0)),"?"))</f>
        <v>OP3</v>
      </c>
      <c r="O1061" s="102" t="str">
        <f aca="false">IF(C1061="","",IFERROR(INDEX(AK_KEL,MATCH(C1061,AK_NAMA,0)),"?"))</f>
        <v>BEBAN</v>
      </c>
      <c r="P1061" s="102" t="str">
        <f aca="false">IF(D1061="","",IFERROR(INDEX(AK_KEL,MATCH(D1061,AK_NAMA,0)),"?"))</f>
        <v>ASET</v>
      </c>
      <c r="Q1061" s="102" t="n">
        <f aca="false">N(Q1060)+IF(AND(N(E1061)&lt;&gt;0,K1061=TAHUN,N(J1061)&lt;=BLN,OR(C1061=BB_AKUN,D1061=BB_AKUN)),1,0)</f>
        <v>705</v>
      </c>
      <c r="R1061" s="104" t="str">
        <f aca="false">IF(OR(C1061&amp;D1061="",N(E1061)=0),"",IF(OR(O1061="?",P1061="?"),"⚠ akun tidak dikenal",IF(C1061=D1061,"⚠ debet = kredit","")))</f>
        <v/>
      </c>
    </row>
    <row r="1062" customFormat="false" ht="15" hidden="false" customHeight="false" outlineLevel="0" collapsed="false">
      <c r="A1062" s="82" t="s">
        <v>2198</v>
      </c>
      <c r="B1062" s="101" t="n">
        <v>46251</v>
      </c>
      <c r="C1062" s="82" t="s">
        <v>548</v>
      </c>
      <c r="D1062" s="82" t="s">
        <v>461</v>
      </c>
      <c r="E1062" s="91" t="n">
        <v>443350</v>
      </c>
      <c r="F1062" s="82" t="s">
        <v>2199</v>
      </c>
      <c r="G1062" s="82"/>
      <c r="H1062" s="82"/>
      <c r="I1062" s="82" t="s">
        <v>250</v>
      </c>
      <c r="J1062" s="102" t="n">
        <f aca="false">IF(B1062="","",MONTH(B1062))</f>
        <v>8</v>
      </c>
      <c r="K1062" s="102" t="n">
        <f aca="false">IF(B1062="","",YEAR(B1062))</f>
        <v>2026</v>
      </c>
      <c r="L1062" s="102" t="str">
        <f aca="false">IF(N(E1062)=0,"",IF(COUNTIFS(AK_NAMA,C1062,AK_KAT,"KAS")+COUNTIFS(AK_NAMA,D1062,AK_KAT,"KAS")&lt;&gt;1,"",IF(COUNTIFS(AK_NAMA,C1062,AK_KAT,"KAS")=1,D1062,C1062)))</f>
        <v>Beban Perlengkapan</v>
      </c>
      <c r="M1062" s="103" t="n">
        <f aca="false">IF(L1062="",0,IF(L1062=D1062,E1062,-E1062))</f>
        <v>-443350</v>
      </c>
      <c r="N1062" s="102" t="str">
        <f aca="false">IF(L1062="","",IFERROR(INDEX(AK_BARIS,MATCH(L1062,AK_NAMA,0)),"?"))</f>
        <v>OP6</v>
      </c>
      <c r="O1062" s="102" t="str">
        <f aca="false">IF(C1062="","",IFERROR(INDEX(AK_KEL,MATCH(C1062,AK_NAMA,0)),"?"))</f>
        <v>BEBAN</v>
      </c>
      <c r="P1062" s="102" t="str">
        <f aca="false">IF(D1062="","",IFERROR(INDEX(AK_KEL,MATCH(D1062,AK_NAMA,0)),"?"))</f>
        <v>ASET</v>
      </c>
      <c r="Q1062" s="102" t="n">
        <f aca="false">N(Q1061)+IF(AND(N(E1062)&lt;&gt;0,K1062=TAHUN,N(J1062)&lt;=BLN,OR(C1062=BB_AKUN,D1062=BB_AKUN)),1,0)</f>
        <v>706</v>
      </c>
      <c r="R1062" s="104" t="str">
        <f aca="false">IF(OR(C1062&amp;D1062="",N(E1062)=0),"",IF(OR(O1062="?",P1062="?"),"⚠ akun tidak dikenal",IF(C1062=D1062,"⚠ debet = kredit","")))</f>
        <v/>
      </c>
    </row>
    <row r="1063" customFormat="false" ht="15" hidden="false" customHeight="false" outlineLevel="0" collapsed="false">
      <c r="A1063" s="82" t="s">
        <v>2200</v>
      </c>
      <c r="B1063" s="101" t="n">
        <v>46251</v>
      </c>
      <c r="C1063" s="82" t="s">
        <v>576</v>
      </c>
      <c r="D1063" s="82" t="s">
        <v>461</v>
      </c>
      <c r="E1063" s="91" t="n">
        <v>1500000</v>
      </c>
      <c r="F1063" s="82" t="s">
        <v>2201</v>
      </c>
      <c r="G1063" s="82"/>
      <c r="H1063" s="82"/>
      <c r="I1063" s="82" t="s">
        <v>250</v>
      </c>
      <c r="J1063" s="102" t="n">
        <f aca="false">IF(B1063="","",MONTH(B1063))</f>
        <v>8</v>
      </c>
      <c r="K1063" s="102" t="n">
        <f aca="false">IF(B1063="","",YEAR(B1063))</f>
        <v>2026</v>
      </c>
      <c r="L1063" s="102" t="str">
        <f aca="false">IF(N(E1063)=0,"",IF(COUNTIFS(AK_NAMA,C1063,AK_KAT,"KAS")+COUNTIFS(AK_NAMA,D1063,AK_KAT,"KAS")&lt;&gt;1,"",IF(COUNTIFS(AK_NAMA,C1063,AK_KAT,"KAS")=1,D1063,C1063)))</f>
        <v>Beban Gaji</v>
      </c>
      <c r="M1063" s="103" t="n">
        <f aca="false">IF(L1063="",0,IF(L1063=D1063,E1063,-E1063))</f>
        <v>-1500000</v>
      </c>
      <c r="N1063" s="102" t="str">
        <f aca="false">IF(L1063="","",IFERROR(INDEX(AK_BARIS,MATCH(L1063,AK_NAMA,0)),"?"))</f>
        <v>OP4</v>
      </c>
      <c r="O1063" s="102" t="str">
        <f aca="false">IF(C1063="","",IFERROR(INDEX(AK_KEL,MATCH(C1063,AK_NAMA,0)),"?"))</f>
        <v>BEBAN</v>
      </c>
      <c r="P1063" s="102" t="str">
        <f aca="false">IF(D1063="","",IFERROR(INDEX(AK_KEL,MATCH(D1063,AK_NAMA,0)),"?"))</f>
        <v>ASET</v>
      </c>
      <c r="Q1063" s="102" t="n">
        <f aca="false">N(Q1062)+IF(AND(N(E1063)&lt;&gt;0,K1063=TAHUN,N(J1063)&lt;=BLN,OR(C1063=BB_AKUN,D1063=BB_AKUN)),1,0)</f>
        <v>707</v>
      </c>
      <c r="R1063" s="104" t="str">
        <f aca="false">IF(OR(C1063&amp;D1063="",N(E1063)=0),"",IF(OR(O1063="?",P1063="?"),"⚠ akun tidak dikenal",IF(C1063=D1063,"⚠ debet = kredit","")))</f>
        <v/>
      </c>
    </row>
    <row r="1064" customFormat="false" ht="15" hidden="false" customHeight="false" outlineLevel="0" collapsed="false">
      <c r="A1064" s="82" t="s">
        <v>2202</v>
      </c>
      <c r="B1064" s="101" t="n">
        <v>46251</v>
      </c>
      <c r="C1064" s="82" t="s">
        <v>524</v>
      </c>
      <c r="D1064" s="82" t="s">
        <v>461</v>
      </c>
      <c r="E1064" s="91" t="n">
        <v>447</v>
      </c>
      <c r="F1064" s="82" t="s">
        <v>525</v>
      </c>
      <c r="G1064" s="82"/>
      <c r="H1064" s="82"/>
      <c r="I1064" s="82" t="s">
        <v>250</v>
      </c>
      <c r="J1064" s="102" t="n">
        <f aca="false">IF(B1064="","",MONTH(B1064))</f>
        <v>8</v>
      </c>
      <c r="K1064" s="102" t="n">
        <f aca="false">IF(B1064="","",YEAR(B1064))</f>
        <v>2026</v>
      </c>
      <c r="L1064" s="102" t="str">
        <f aca="false">IF(N(E1064)=0,"",IF(COUNTIFS(AK_NAMA,C1064,AK_KAT,"KAS")+COUNTIFS(AK_NAMA,D1064,AK_KAT,"KAS")&lt;&gt;1,"",IF(COUNTIFS(AK_NAMA,C1064,AK_KAT,"KAS")=1,D1064,C1064)))</f>
        <v>Biaya Lainnya</v>
      </c>
      <c r="M1064" s="103" t="n">
        <f aca="false">IF(L1064="",0,IF(L1064=D1064,E1064,-E1064))</f>
        <v>-447</v>
      </c>
      <c r="N1064" s="102" t="str">
        <f aca="false">IF(L1064="","",IFERROR(INDEX(AK_BARIS,MATCH(L1064,AK_NAMA,0)),"?"))</f>
        <v>OP2</v>
      </c>
      <c r="O1064" s="102" t="str">
        <f aca="false">IF(C1064="","",IFERROR(INDEX(AK_KEL,MATCH(C1064,AK_NAMA,0)),"?"))</f>
        <v>BEBAN</v>
      </c>
      <c r="P1064" s="102" t="str">
        <f aca="false">IF(D1064="","",IFERROR(INDEX(AK_KEL,MATCH(D1064,AK_NAMA,0)),"?"))</f>
        <v>ASET</v>
      </c>
      <c r="Q1064" s="102" t="n">
        <f aca="false">N(Q1063)+IF(AND(N(E1064)&lt;&gt;0,K1064=TAHUN,N(J1064)&lt;=BLN,OR(C1064=BB_AKUN,D1064=BB_AKUN)),1,0)</f>
        <v>708</v>
      </c>
      <c r="R1064" s="104" t="str">
        <f aca="false">IF(OR(C1064&amp;D1064="",N(E1064)=0),"",IF(OR(O1064="?",P1064="?"),"⚠ akun tidak dikenal",IF(C1064=D1064,"⚠ debet = kredit","")))</f>
        <v/>
      </c>
    </row>
    <row r="1065" customFormat="false" ht="15" hidden="false" customHeight="false" outlineLevel="0" collapsed="false">
      <c r="A1065" s="82" t="s">
        <v>2203</v>
      </c>
      <c r="B1065" s="101" t="n">
        <v>46251</v>
      </c>
      <c r="C1065" s="82" t="s">
        <v>461</v>
      </c>
      <c r="D1065" s="82" t="s">
        <v>475</v>
      </c>
      <c r="E1065" s="91" t="n">
        <v>500000</v>
      </c>
      <c r="F1065" s="82" t="s">
        <v>2145</v>
      </c>
      <c r="G1065" s="82"/>
      <c r="H1065" s="82"/>
      <c r="I1065" s="82" t="s">
        <v>250</v>
      </c>
      <c r="J1065" s="102" t="n">
        <f aca="false">IF(B1065="","",MONTH(B1065))</f>
        <v>8</v>
      </c>
      <c r="K1065" s="102" t="n">
        <f aca="false">IF(B1065="","",YEAR(B1065))</f>
        <v>2026</v>
      </c>
      <c r="L1065" s="102" t="str">
        <f aca="false">IF(N(E1065)=0,"",IF(COUNTIFS(AK_NAMA,C1065,AK_KAT,"KAS")+COUNTIFS(AK_NAMA,D1065,AK_KAT,"KAS")&lt;&gt;1,"",IF(COUNTIFS(AK_NAMA,C1065,AK_KAT,"KAS")=1,D1065,C1065)))</f>
        <v/>
      </c>
      <c r="M1065" s="103" t="n">
        <f aca="false">IF(L1065="",0,IF(L1065=D1065,E1065,-E1065))</f>
        <v>0</v>
      </c>
      <c r="N1065" s="102" t="str">
        <f aca="false">IF(L1065="","",IFERROR(INDEX(AK_BARIS,MATCH(L1065,AK_NAMA,0)),"?"))</f>
        <v/>
      </c>
      <c r="O1065" s="102" t="str">
        <f aca="false">IF(C1065="","",IFERROR(INDEX(AK_KEL,MATCH(C1065,AK_NAMA,0)),"?"))</f>
        <v>ASET</v>
      </c>
      <c r="P1065" s="102" t="str">
        <f aca="false">IF(D1065="","",IFERROR(INDEX(AK_KEL,MATCH(D1065,AK_NAMA,0)),"?"))</f>
        <v>ASET</v>
      </c>
      <c r="Q1065" s="102" t="n">
        <f aca="false">N(Q1064)+IF(AND(N(E1065)&lt;&gt;0,K1065=TAHUN,N(J1065)&lt;=BLN,OR(C1065=BB_AKUN,D1065=BB_AKUN)),1,0)</f>
        <v>709</v>
      </c>
      <c r="R1065" s="104" t="str">
        <f aca="false">IF(OR(C1065&amp;D1065="",N(E1065)=0),"",IF(OR(O1065="?",P1065="?"),"⚠ akun tidak dikenal",IF(C1065=D1065,"⚠ debet = kredit","")))</f>
        <v/>
      </c>
    </row>
    <row r="1066" customFormat="false" ht="15" hidden="false" customHeight="false" outlineLevel="0" collapsed="false">
      <c r="A1066" s="82" t="s">
        <v>2204</v>
      </c>
      <c r="B1066" s="101" t="n">
        <v>46252</v>
      </c>
      <c r="C1066" s="82" t="s">
        <v>470</v>
      </c>
      <c r="D1066" s="82" t="s">
        <v>461</v>
      </c>
      <c r="E1066" s="91" t="n">
        <v>2134000</v>
      </c>
      <c r="F1066" s="82" t="s">
        <v>2205</v>
      </c>
      <c r="G1066" s="82"/>
      <c r="H1066" s="82"/>
      <c r="I1066" s="82" t="s">
        <v>250</v>
      </c>
      <c r="J1066" s="102" t="n">
        <f aca="false">IF(B1066="","",MONTH(B1066))</f>
        <v>8</v>
      </c>
      <c r="K1066" s="102" t="n">
        <f aca="false">IF(B1066="","",YEAR(B1066))</f>
        <v>2026</v>
      </c>
      <c r="L1066" s="102" t="str">
        <f aca="false">IF(N(E1066)=0,"",IF(COUNTIFS(AK_NAMA,C1066,AK_KAT,"KAS")+COUNTIFS(AK_NAMA,D1066,AK_KAT,"KAS")&lt;&gt;1,"",IF(COUNTIFS(AK_NAMA,C1066,AK_KAT,"KAS")=1,D1066,C1066)))</f>
        <v>Biaya Bahan Baku</v>
      </c>
      <c r="M1066" s="103" t="n">
        <f aca="false">IF(L1066="",0,IF(L1066=D1066,E1066,-E1066))</f>
        <v>-2134000</v>
      </c>
      <c r="N1066" s="102" t="str">
        <f aca="false">IF(L1066="","",IFERROR(INDEX(AK_BARIS,MATCH(L1066,AK_NAMA,0)),"?"))</f>
        <v>OP3</v>
      </c>
      <c r="O1066" s="102" t="str">
        <f aca="false">IF(C1066="","",IFERROR(INDEX(AK_KEL,MATCH(C1066,AK_NAMA,0)),"?"))</f>
        <v>BEBAN</v>
      </c>
      <c r="P1066" s="102" t="str">
        <f aca="false">IF(D1066="","",IFERROR(INDEX(AK_KEL,MATCH(D1066,AK_NAMA,0)),"?"))</f>
        <v>ASET</v>
      </c>
      <c r="Q1066" s="102" t="n">
        <f aca="false">N(Q1065)+IF(AND(N(E1066)&lt;&gt;0,K1066=TAHUN,N(J1066)&lt;=BLN,OR(C1066=BB_AKUN,D1066=BB_AKUN)),1,0)</f>
        <v>710</v>
      </c>
      <c r="R1066" s="104" t="str">
        <f aca="false">IF(OR(C1066&amp;D1066="",N(E1066)=0),"",IF(OR(O1066="?",P1066="?"),"⚠ akun tidak dikenal",IF(C1066=D1066,"⚠ debet = kredit","")))</f>
        <v/>
      </c>
    </row>
    <row r="1067" customFormat="false" ht="15" hidden="false" customHeight="false" outlineLevel="0" collapsed="false">
      <c r="A1067" s="82" t="s">
        <v>2206</v>
      </c>
      <c r="B1067" s="101" t="n">
        <v>46252</v>
      </c>
      <c r="C1067" s="82" t="s">
        <v>470</v>
      </c>
      <c r="D1067" s="82" t="s">
        <v>461</v>
      </c>
      <c r="E1067" s="91" t="n">
        <v>80000</v>
      </c>
      <c r="F1067" s="82" t="s">
        <v>1545</v>
      </c>
      <c r="G1067" s="82"/>
      <c r="H1067" s="82"/>
      <c r="I1067" s="82" t="s">
        <v>250</v>
      </c>
      <c r="J1067" s="102" t="n">
        <f aca="false">IF(B1067="","",MONTH(B1067))</f>
        <v>8</v>
      </c>
      <c r="K1067" s="102" t="n">
        <f aca="false">IF(B1067="","",YEAR(B1067))</f>
        <v>2026</v>
      </c>
      <c r="L1067" s="102" t="str">
        <f aca="false">IF(N(E1067)=0,"",IF(COUNTIFS(AK_NAMA,C1067,AK_KAT,"KAS")+COUNTIFS(AK_NAMA,D1067,AK_KAT,"KAS")&lt;&gt;1,"",IF(COUNTIFS(AK_NAMA,C1067,AK_KAT,"KAS")=1,D1067,C1067)))</f>
        <v>Biaya Bahan Baku</v>
      </c>
      <c r="M1067" s="103" t="n">
        <f aca="false">IF(L1067="",0,IF(L1067=D1067,E1067,-E1067))</f>
        <v>-80000</v>
      </c>
      <c r="N1067" s="102" t="str">
        <f aca="false">IF(L1067="","",IFERROR(INDEX(AK_BARIS,MATCH(L1067,AK_NAMA,0)),"?"))</f>
        <v>OP3</v>
      </c>
      <c r="O1067" s="102" t="str">
        <f aca="false">IF(C1067="","",IFERROR(INDEX(AK_KEL,MATCH(C1067,AK_NAMA,0)),"?"))</f>
        <v>BEBAN</v>
      </c>
      <c r="P1067" s="102" t="str">
        <f aca="false">IF(D1067="","",IFERROR(INDEX(AK_KEL,MATCH(D1067,AK_NAMA,0)),"?"))</f>
        <v>ASET</v>
      </c>
      <c r="Q1067" s="102" t="n">
        <f aca="false">N(Q1066)+IF(AND(N(E1067)&lt;&gt;0,K1067=TAHUN,N(J1067)&lt;=BLN,OR(C1067=BB_AKUN,D1067=BB_AKUN)),1,0)</f>
        <v>711</v>
      </c>
      <c r="R1067" s="104" t="str">
        <f aca="false">IF(OR(C1067&amp;D1067="",N(E1067)=0),"",IF(OR(O1067="?",P1067="?"),"⚠ akun tidak dikenal",IF(C1067=D1067,"⚠ debet = kredit","")))</f>
        <v/>
      </c>
    </row>
    <row r="1068" customFormat="false" ht="15" hidden="false" customHeight="false" outlineLevel="0" collapsed="false">
      <c r="A1068" s="82" t="s">
        <v>2207</v>
      </c>
      <c r="B1068" s="101" t="n">
        <v>46252</v>
      </c>
      <c r="C1068" s="82" t="s">
        <v>461</v>
      </c>
      <c r="D1068" s="82" t="s">
        <v>509</v>
      </c>
      <c r="E1068" s="91" t="n">
        <v>68800</v>
      </c>
      <c r="F1068" s="82" t="s">
        <v>2208</v>
      </c>
      <c r="G1068" s="82"/>
      <c r="H1068" s="82"/>
      <c r="I1068" s="82" t="s">
        <v>250</v>
      </c>
      <c r="J1068" s="102" t="n">
        <f aca="false">IF(B1068="","",MONTH(B1068))</f>
        <v>8</v>
      </c>
      <c r="K1068" s="102" t="n">
        <f aca="false">IF(B1068="","",YEAR(B1068))</f>
        <v>2026</v>
      </c>
      <c r="L1068" s="102" t="str">
        <f aca="false">IF(N(E1068)=0,"",IF(COUNTIFS(AK_NAMA,C1068,AK_KAT,"KAS")+COUNTIFS(AK_NAMA,D1068,AK_KAT,"KAS")&lt;&gt;1,"",IF(COUNTIFS(AK_NAMA,C1068,AK_KAT,"KAS")=1,D1068,C1068)))</f>
        <v>Pendapatan non Cafe</v>
      </c>
      <c r="M1068" s="103" t="n">
        <f aca="false">IF(L1068="",0,IF(L1068=D1068,E1068,-E1068))</f>
        <v>68800</v>
      </c>
      <c r="N1068" s="102" t="str">
        <f aca="false">IF(L1068="","",IFERROR(INDEX(AK_BARIS,MATCH(L1068,AK_NAMA,0)),"?"))</f>
        <v>OP1</v>
      </c>
      <c r="O1068" s="102" t="str">
        <f aca="false">IF(C1068="","",IFERROR(INDEX(AK_KEL,MATCH(C1068,AK_NAMA,0)),"?"))</f>
        <v>ASET</v>
      </c>
      <c r="P1068" s="102" t="str">
        <f aca="false">IF(D1068="","",IFERROR(INDEX(AK_KEL,MATCH(D1068,AK_NAMA,0)),"?"))</f>
        <v>PENDAPATAN</v>
      </c>
      <c r="Q1068" s="102" t="n">
        <f aca="false">N(Q1067)+IF(AND(N(E1068)&lt;&gt;0,K1068=TAHUN,N(J1068)&lt;=BLN,OR(C1068=BB_AKUN,D1068=BB_AKUN)),1,0)</f>
        <v>712</v>
      </c>
      <c r="R1068" s="104" t="str">
        <f aca="false">IF(OR(C1068&amp;D1068="",N(E1068)=0),"",IF(OR(O1068="?",P1068="?"),"⚠ akun tidak dikenal",IF(C1068=D1068,"⚠ debet = kredit","")))</f>
        <v/>
      </c>
    </row>
    <row r="1069" customFormat="false" ht="15" hidden="false" customHeight="false" outlineLevel="0" collapsed="false">
      <c r="A1069" s="82" t="s">
        <v>2209</v>
      </c>
      <c r="B1069" s="101" t="n">
        <v>46252</v>
      </c>
      <c r="C1069" s="82" t="s">
        <v>461</v>
      </c>
      <c r="D1069" s="82" t="s">
        <v>475</v>
      </c>
      <c r="E1069" s="91" t="n">
        <v>210000</v>
      </c>
      <c r="F1069" s="82" t="s">
        <v>2145</v>
      </c>
      <c r="G1069" s="82"/>
      <c r="H1069" s="82"/>
      <c r="I1069" s="82" t="s">
        <v>250</v>
      </c>
      <c r="J1069" s="102" t="n">
        <f aca="false">IF(B1069="","",MONTH(B1069))</f>
        <v>8</v>
      </c>
      <c r="K1069" s="102" t="n">
        <f aca="false">IF(B1069="","",YEAR(B1069))</f>
        <v>2026</v>
      </c>
      <c r="L1069" s="102" t="str">
        <f aca="false">IF(N(E1069)=0,"",IF(COUNTIFS(AK_NAMA,C1069,AK_KAT,"KAS")+COUNTIFS(AK_NAMA,D1069,AK_KAT,"KAS")&lt;&gt;1,"",IF(COUNTIFS(AK_NAMA,C1069,AK_KAT,"KAS")=1,D1069,C1069)))</f>
        <v/>
      </c>
      <c r="M1069" s="103" t="n">
        <f aca="false">IF(L1069="",0,IF(L1069=D1069,E1069,-E1069))</f>
        <v>0</v>
      </c>
      <c r="N1069" s="102" t="str">
        <f aca="false">IF(L1069="","",IFERROR(INDEX(AK_BARIS,MATCH(L1069,AK_NAMA,0)),"?"))</f>
        <v/>
      </c>
      <c r="O1069" s="102" t="str">
        <f aca="false">IF(C1069="","",IFERROR(INDEX(AK_KEL,MATCH(C1069,AK_NAMA,0)),"?"))</f>
        <v>ASET</v>
      </c>
      <c r="P1069" s="102" t="str">
        <f aca="false">IF(D1069="","",IFERROR(INDEX(AK_KEL,MATCH(D1069,AK_NAMA,0)),"?"))</f>
        <v>ASET</v>
      </c>
      <c r="Q1069" s="102" t="n">
        <f aca="false">N(Q1068)+IF(AND(N(E1069)&lt;&gt;0,K1069=TAHUN,N(J1069)&lt;=BLN,OR(C1069=BB_AKUN,D1069=BB_AKUN)),1,0)</f>
        <v>713</v>
      </c>
      <c r="R1069" s="104" t="str">
        <f aca="false">IF(OR(C1069&amp;D1069="",N(E1069)=0),"",IF(OR(O1069="?",P1069="?"),"⚠ akun tidak dikenal",IF(C1069=D1069,"⚠ debet = kredit","")))</f>
        <v/>
      </c>
    </row>
    <row r="1070" customFormat="false" ht="15" hidden="false" customHeight="false" outlineLevel="0" collapsed="false">
      <c r="A1070" s="82" t="s">
        <v>2210</v>
      </c>
      <c r="B1070" s="101" t="n">
        <v>46252</v>
      </c>
      <c r="C1070" s="82" t="s">
        <v>548</v>
      </c>
      <c r="D1070" s="82" t="s">
        <v>475</v>
      </c>
      <c r="E1070" s="91" t="n">
        <v>300000</v>
      </c>
      <c r="F1070" s="82" t="s">
        <v>2211</v>
      </c>
      <c r="G1070" s="82"/>
      <c r="H1070" s="82"/>
      <c r="I1070" s="82" t="s">
        <v>250</v>
      </c>
      <c r="J1070" s="102" t="n">
        <f aca="false">IF(B1070="","",MONTH(B1070))</f>
        <v>8</v>
      </c>
      <c r="K1070" s="102" t="n">
        <f aca="false">IF(B1070="","",YEAR(B1070))</f>
        <v>2026</v>
      </c>
      <c r="L1070" s="102" t="str">
        <f aca="false">IF(N(E1070)=0,"",IF(COUNTIFS(AK_NAMA,C1070,AK_KAT,"KAS")+COUNTIFS(AK_NAMA,D1070,AK_KAT,"KAS")&lt;&gt;1,"",IF(COUNTIFS(AK_NAMA,C1070,AK_KAT,"KAS")=1,D1070,C1070)))</f>
        <v>Beban Perlengkapan</v>
      </c>
      <c r="M1070" s="103" t="n">
        <f aca="false">IF(L1070="",0,IF(L1070=D1070,E1070,-E1070))</f>
        <v>-300000</v>
      </c>
      <c r="N1070" s="102" t="str">
        <f aca="false">IF(L1070="","",IFERROR(INDEX(AK_BARIS,MATCH(L1070,AK_NAMA,0)),"?"))</f>
        <v>OP6</v>
      </c>
      <c r="O1070" s="102" t="str">
        <f aca="false">IF(C1070="","",IFERROR(INDEX(AK_KEL,MATCH(C1070,AK_NAMA,0)),"?"))</f>
        <v>BEBAN</v>
      </c>
      <c r="P1070" s="102" t="str">
        <f aca="false">IF(D1070="","",IFERROR(INDEX(AK_KEL,MATCH(D1070,AK_NAMA,0)),"?"))</f>
        <v>ASET</v>
      </c>
      <c r="Q1070" s="102" t="n">
        <f aca="false">N(Q1069)+IF(AND(N(E1070)&lt;&gt;0,K1070=TAHUN,N(J1070)&lt;=BLN,OR(C1070=BB_AKUN,D1070=BB_AKUN)),1,0)</f>
        <v>713</v>
      </c>
      <c r="R1070" s="104" t="str">
        <f aca="false">IF(OR(C1070&amp;D1070="",N(E1070)=0),"",IF(OR(O1070="?",P1070="?"),"⚠ akun tidak dikenal",IF(C1070=D1070,"⚠ debet = kredit","")))</f>
        <v/>
      </c>
    </row>
    <row r="1071" customFormat="false" ht="15" hidden="false" customHeight="false" outlineLevel="0" collapsed="false">
      <c r="A1071" s="82" t="s">
        <v>2212</v>
      </c>
      <c r="B1071" s="101" t="n">
        <v>46253</v>
      </c>
      <c r="C1071" s="82" t="s">
        <v>470</v>
      </c>
      <c r="D1071" s="82" t="s">
        <v>486</v>
      </c>
      <c r="E1071" s="91" t="n">
        <v>330000</v>
      </c>
      <c r="F1071" s="82" t="s">
        <v>2213</v>
      </c>
      <c r="G1071" s="82"/>
      <c r="H1071" s="82"/>
      <c r="I1071" s="82" t="s">
        <v>250</v>
      </c>
      <c r="J1071" s="102" t="n">
        <f aca="false">IF(B1071="","",MONTH(B1071))</f>
        <v>8</v>
      </c>
      <c r="K1071" s="102" t="n">
        <f aca="false">IF(B1071="","",YEAR(B1071))</f>
        <v>2026</v>
      </c>
      <c r="L1071" s="102" t="str">
        <f aca="false">IF(N(E1071)=0,"",IF(COUNTIFS(AK_NAMA,C1071,AK_KAT,"KAS")+COUNTIFS(AK_NAMA,D1071,AK_KAT,"KAS")&lt;&gt;1,"",IF(COUNTIFS(AK_NAMA,C1071,AK_KAT,"KAS")=1,D1071,C1071)))</f>
        <v>Biaya Bahan Baku</v>
      </c>
      <c r="M1071" s="103" t="n">
        <f aca="false">IF(L1071="",0,IF(L1071=D1071,E1071,-E1071))</f>
        <v>-330000</v>
      </c>
      <c r="N1071" s="102" t="str">
        <f aca="false">IF(L1071="","",IFERROR(INDEX(AK_BARIS,MATCH(L1071,AK_NAMA,0)),"?"))</f>
        <v>OP3</v>
      </c>
      <c r="O1071" s="102" t="str">
        <f aca="false">IF(C1071="","",IFERROR(INDEX(AK_KEL,MATCH(C1071,AK_NAMA,0)),"?"))</f>
        <v>BEBAN</v>
      </c>
      <c r="P1071" s="102" t="str">
        <f aca="false">IF(D1071="","",IFERROR(INDEX(AK_KEL,MATCH(D1071,AK_NAMA,0)),"?"))</f>
        <v>ASET</v>
      </c>
      <c r="Q1071" s="102" t="n">
        <f aca="false">N(Q1070)+IF(AND(N(E1071)&lt;&gt;0,K1071=TAHUN,N(J1071)&lt;=BLN,OR(C1071=BB_AKUN,D1071=BB_AKUN)),1,0)</f>
        <v>713</v>
      </c>
      <c r="R1071" s="104" t="str">
        <f aca="false">IF(OR(C1071&amp;D1071="",N(E1071)=0),"",IF(OR(O1071="?",P1071="?"),"⚠ akun tidak dikenal",IF(C1071=D1071,"⚠ debet = kredit","")))</f>
        <v/>
      </c>
    </row>
    <row r="1072" customFormat="false" ht="15" hidden="false" customHeight="false" outlineLevel="0" collapsed="false">
      <c r="A1072" s="82" t="s">
        <v>2214</v>
      </c>
      <c r="B1072" s="101" t="n">
        <v>46253</v>
      </c>
      <c r="C1072" s="82" t="s">
        <v>548</v>
      </c>
      <c r="D1072" s="82" t="s">
        <v>486</v>
      </c>
      <c r="E1072" s="91" t="n">
        <v>328000</v>
      </c>
      <c r="F1072" s="82" t="s">
        <v>2215</v>
      </c>
      <c r="G1072" s="82"/>
      <c r="H1072" s="82"/>
      <c r="I1072" s="82" t="s">
        <v>250</v>
      </c>
      <c r="J1072" s="102" t="n">
        <f aca="false">IF(B1072="","",MONTH(B1072))</f>
        <v>8</v>
      </c>
      <c r="K1072" s="102" t="n">
        <f aca="false">IF(B1072="","",YEAR(B1072))</f>
        <v>2026</v>
      </c>
      <c r="L1072" s="102" t="str">
        <f aca="false">IF(N(E1072)=0,"",IF(COUNTIFS(AK_NAMA,C1072,AK_KAT,"KAS")+COUNTIFS(AK_NAMA,D1072,AK_KAT,"KAS")&lt;&gt;1,"",IF(COUNTIFS(AK_NAMA,C1072,AK_KAT,"KAS")=1,D1072,C1072)))</f>
        <v>Beban Perlengkapan</v>
      </c>
      <c r="M1072" s="103" t="n">
        <f aca="false">IF(L1072="",0,IF(L1072=D1072,E1072,-E1072))</f>
        <v>-328000</v>
      </c>
      <c r="N1072" s="102" t="str">
        <f aca="false">IF(L1072="","",IFERROR(INDEX(AK_BARIS,MATCH(L1072,AK_NAMA,0)),"?"))</f>
        <v>OP6</v>
      </c>
      <c r="O1072" s="102" t="str">
        <f aca="false">IF(C1072="","",IFERROR(INDEX(AK_KEL,MATCH(C1072,AK_NAMA,0)),"?"))</f>
        <v>BEBAN</v>
      </c>
      <c r="P1072" s="102" t="str">
        <f aca="false">IF(D1072="","",IFERROR(INDEX(AK_KEL,MATCH(D1072,AK_NAMA,0)),"?"))</f>
        <v>ASET</v>
      </c>
      <c r="Q1072" s="102" t="n">
        <f aca="false">N(Q1071)+IF(AND(N(E1072)&lt;&gt;0,K1072=TAHUN,N(J1072)&lt;=BLN,OR(C1072=BB_AKUN,D1072=BB_AKUN)),1,0)</f>
        <v>713</v>
      </c>
      <c r="R1072" s="104" t="str">
        <f aca="false">IF(OR(C1072&amp;D1072="",N(E1072)=0),"",IF(OR(O1072="?",P1072="?"),"⚠ akun tidak dikenal",IF(C1072=D1072,"⚠ debet = kredit","")))</f>
        <v/>
      </c>
    </row>
    <row r="1073" customFormat="false" ht="15" hidden="false" customHeight="false" outlineLevel="0" collapsed="false">
      <c r="A1073" s="82" t="s">
        <v>2216</v>
      </c>
      <c r="B1073" s="101" t="n">
        <v>46253</v>
      </c>
      <c r="C1073" s="82" t="s">
        <v>485</v>
      </c>
      <c r="D1073" s="82" t="s">
        <v>486</v>
      </c>
      <c r="E1073" s="91" t="n">
        <v>176000</v>
      </c>
      <c r="F1073" s="82" t="s">
        <v>2217</v>
      </c>
      <c r="G1073" s="82"/>
      <c r="H1073" s="82"/>
      <c r="I1073" s="82" t="s">
        <v>250</v>
      </c>
      <c r="J1073" s="102" t="n">
        <f aca="false">IF(B1073="","",MONTH(B1073))</f>
        <v>8</v>
      </c>
      <c r="K1073" s="102" t="n">
        <f aca="false">IF(B1073="","",YEAR(B1073))</f>
        <v>2026</v>
      </c>
      <c r="L1073" s="102" t="str">
        <f aca="false">IF(N(E1073)=0,"",IF(COUNTIFS(AK_NAMA,C1073,AK_KAT,"KAS")+COUNTIFS(AK_NAMA,D1073,AK_KAT,"KAS")&lt;&gt;1,"",IF(COUNTIFS(AK_NAMA,C1073,AK_KAT,"KAS")=1,D1073,C1073)))</f>
        <v>Biaya Operasional Harian</v>
      </c>
      <c r="M1073" s="103" t="n">
        <f aca="false">IF(L1073="",0,IF(L1073=D1073,E1073,-E1073))</f>
        <v>-176000</v>
      </c>
      <c r="N1073" s="102" t="str">
        <f aca="false">IF(L1073="","",IFERROR(INDEX(AK_BARIS,MATCH(L1073,AK_NAMA,0)),"?"))</f>
        <v>OP6</v>
      </c>
      <c r="O1073" s="102" t="str">
        <f aca="false">IF(C1073="","",IFERROR(INDEX(AK_KEL,MATCH(C1073,AK_NAMA,0)),"?"))</f>
        <v>BEBAN</v>
      </c>
      <c r="P1073" s="102" t="str">
        <f aca="false">IF(D1073="","",IFERROR(INDEX(AK_KEL,MATCH(D1073,AK_NAMA,0)),"?"))</f>
        <v>ASET</v>
      </c>
      <c r="Q1073" s="102" t="n">
        <f aca="false">N(Q1072)+IF(AND(N(E1073)&lt;&gt;0,K1073=TAHUN,N(J1073)&lt;=BLN,OR(C1073=BB_AKUN,D1073=BB_AKUN)),1,0)</f>
        <v>713</v>
      </c>
      <c r="R1073" s="104" t="str">
        <f aca="false">IF(OR(C1073&amp;D1073="",N(E1073)=0),"",IF(OR(O1073="?",P1073="?"),"⚠ akun tidak dikenal",IF(C1073=D1073,"⚠ debet = kredit","")))</f>
        <v/>
      </c>
    </row>
    <row r="1074" customFormat="false" ht="15" hidden="false" customHeight="false" outlineLevel="0" collapsed="false">
      <c r="A1074" s="82" t="s">
        <v>2218</v>
      </c>
      <c r="B1074" s="101" t="n">
        <v>46253</v>
      </c>
      <c r="C1074" s="82" t="s">
        <v>524</v>
      </c>
      <c r="D1074" s="82" t="s">
        <v>486</v>
      </c>
      <c r="E1074" s="91" t="n">
        <v>17000</v>
      </c>
      <c r="F1074" s="82" t="s">
        <v>2219</v>
      </c>
      <c r="G1074" s="82"/>
      <c r="H1074" s="82"/>
      <c r="I1074" s="82" t="s">
        <v>250</v>
      </c>
      <c r="J1074" s="102" t="n">
        <f aca="false">IF(B1074="","",MONTH(B1074))</f>
        <v>8</v>
      </c>
      <c r="K1074" s="102" t="n">
        <f aca="false">IF(B1074="","",YEAR(B1074))</f>
        <v>2026</v>
      </c>
      <c r="L1074" s="102" t="str">
        <f aca="false">IF(N(E1074)=0,"",IF(COUNTIFS(AK_NAMA,C1074,AK_KAT,"KAS")+COUNTIFS(AK_NAMA,D1074,AK_KAT,"KAS")&lt;&gt;1,"",IF(COUNTIFS(AK_NAMA,C1074,AK_KAT,"KAS")=1,D1074,C1074)))</f>
        <v>Biaya Lainnya</v>
      </c>
      <c r="M1074" s="103" t="n">
        <f aca="false">IF(L1074="",0,IF(L1074=D1074,E1074,-E1074))</f>
        <v>-17000</v>
      </c>
      <c r="N1074" s="102" t="str">
        <f aca="false">IF(L1074="","",IFERROR(INDEX(AK_BARIS,MATCH(L1074,AK_NAMA,0)),"?"))</f>
        <v>OP2</v>
      </c>
      <c r="O1074" s="102" t="str">
        <f aca="false">IF(C1074="","",IFERROR(INDEX(AK_KEL,MATCH(C1074,AK_NAMA,0)),"?"))</f>
        <v>BEBAN</v>
      </c>
      <c r="P1074" s="102" t="str">
        <f aca="false">IF(D1074="","",IFERROR(INDEX(AK_KEL,MATCH(D1074,AK_NAMA,0)),"?"))</f>
        <v>ASET</v>
      </c>
      <c r="Q1074" s="102" t="n">
        <f aca="false">N(Q1073)+IF(AND(N(E1074)&lt;&gt;0,K1074=TAHUN,N(J1074)&lt;=BLN,OR(C1074=BB_AKUN,D1074=BB_AKUN)),1,0)</f>
        <v>713</v>
      </c>
      <c r="R1074" s="104" t="str">
        <f aca="false">IF(OR(C1074&amp;D1074="",N(E1074)=0),"",IF(OR(O1074="?",P1074="?"),"⚠ akun tidak dikenal",IF(C1074=D1074,"⚠ debet = kredit","")))</f>
        <v/>
      </c>
    </row>
    <row r="1075" customFormat="false" ht="15" hidden="false" customHeight="false" outlineLevel="0" collapsed="false">
      <c r="A1075" s="82" t="s">
        <v>2220</v>
      </c>
      <c r="B1075" s="101" t="n">
        <v>46253</v>
      </c>
      <c r="C1075" s="82" t="s">
        <v>486</v>
      </c>
      <c r="D1075" s="82" t="s">
        <v>557</v>
      </c>
      <c r="E1075" s="91" t="n">
        <v>1000</v>
      </c>
      <c r="F1075" s="82" t="s">
        <v>2221</v>
      </c>
      <c r="G1075" s="82"/>
      <c r="H1075" s="82"/>
      <c r="I1075" s="82" t="s">
        <v>250</v>
      </c>
      <c r="J1075" s="102" t="n">
        <f aca="false">IF(B1075="","",MONTH(B1075))</f>
        <v>8</v>
      </c>
      <c r="K1075" s="102" t="n">
        <f aca="false">IF(B1075="","",YEAR(B1075))</f>
        <v>2026</v>
      </c>
      <c r="L1075" s="102" t="str">
        <f aca="false">IF(N(E1075)=0,"",IF(COUNTIFS(AK_NAMA,C1075,AK_KAT,"KAS")+COUNTIFS(AK_NAMA,D1075,AK_KAT,"KAS")&lt;&gt;1,"",IF(COUNTIFS(AK_NAMA,C1075,AK_KAT,"KAS")=1,D1075,C1075)))</f>
        <v>Pendapatan Lainnya</v>
      </c>
      <c r="M1075" s="103" t="n">
        <f aca="false">IF(L1075="",0,IF(L1075=D1075,E1075,-E1075))</f>
        <v>1000</v>
      </c>
      <c r="N1075" s="102" t="str">
        <f aca="false">IF(L1075="","",IFERROR(INDEX(AK_BARIS,MATCH(L1075,AK_NAMA,0)),"?"))</f>
        <v>OP2</v>
      </c>
      <c r="O1075" s="102" t="str">
        <f aca="false">IF(C1075="","",IFERROR(INDEX(AK_KEL,MATCH(C1075,AK_NAMA,0)),"?"))</f>
        <v>ASET</v>
      </c>
      <c r="P1075" s="102" t="str">
        <f aca="false">IF(D1075="","",IFERROR(INDEX(AK_KEL,MATCH(D1075,AK_NAMA,0)),"?"))</f>
        <v>PENDAPATAN</v>
      </c>
      <c r="Q1075" s="102" t="n">
        <f aca="false">N(Q1074)+IF(AND(N(E1075)&lt;&gt;0,K1075=TAHUN,N(J1075)&lt;=BLN,OR(C1075=BB_AKUN,D1075=BB_AKUN)),1,0)</f>
        <v>713</v>
      </c>
      <c r="R1075" s="104" t="str">
        <f aca="false">IF(OR(C1075&amp;D1075="",N(E1075)=0),"",IF(OR(O1075="?",P1075="?"),"⚠ akun tidak dikenal",IF(C1075=D1075,"⚠ debet = kredit","")))</f>
        <v/>
      </c>
    </row>
    <row r="1076" customFormat="false" ht="15" hidden="false" customHeight="false" outlineLevel="0" collapsed="false">
      <c r="A1076" s="82" t="s">
        <v>2222</v>
      </c>
      <c r="B1076" s="101" t="n">
        <v>46253</v>
      </c>
      <c r="C1076" s="82" t="s">
        <v>475</v>
      </c>
      <c r="D1076" s="82" t="s">
        <v>486</v>
      </c>
      <c r="E1076" s="91" t="n">
        <v>20000</v>
      </c>
      <c r="F1076" s="82" t="s">
        <v>2109</v>
      </c>
      <c r="G1076" s="82"/>
      <c r="H1076" s="82"/>
      <c r="I1076" s="82" t="s">
        <v>250</v>
      </c>
      <c r="J1076" s="102" t="n">
        <f aca="false">IF(B1076="","",MONTH(B1076))</f>
        <v>8</v>
      </c>
      <c r="K1076" s="102" t="n">
        <f aca="false">IF(B1076="","",YEAR(B1076))</f>
        <v>2026</v>
      </c>
      <c r="L1076" s="102" t="str">
        <f aca="false">IF(N(E1076)=0,"",IF(COUNTIFS(AK_NAMA,C1076,AK_KAT,"KAS")+COUNTIFS(AK_NAMA,D1076,AK_KAT,"KAS")&lt;&gt;1,"",IF(COUNTIFS(AK_NAMA,C1076,AK_KAT,"KAS")=1,D1076,C1076)))</f>
        <v/>
      </c>
      <c r="M1076" s="103" t="n">
        <f aca="false">IF(L1076="",0,IF(L1076=D1076,E1076,-E1076))</f>
        <v>0</v>
      </c>
      <c r="N1076" s="102" t="str">
        <f aca="false">IF(L1076="","",IFERROR(INDEX(AK_BARIS,MATCH(L1076,AK_NAMA,0)),"?"))</f>
        <v/>
      </c>
      <c r="O1076" s="102" t="str">
        <f aca="false">IF(C1076="","",IFERROR(INDEX(AK_KEL,MATCH(C1076,AK_NAMA,0)),"?"))</f>
        <v>ASET</v>
      </c>
      <c r="P1076" s="102" t="str">
        <f aca="false">IF(D1076="","",IFERROR(INDEX(AK_KEL,MATCH(D1076,AK_NAMA,0)),"?"))</f>
        <v>ASET</v>
      </c>
      <c r="Q1076" s="102" t="n">
        <f aca="false">N(Q1075)+IF(AND(N(E1076)&lt;&gt;0,K1076=TAHUN,N(J1076)&lt;=BLN,OR(C1076=BB_AKUN,D1076=BB_AKUN)),1,0)</f>
        <v>713</v>
      </c>
      <c r="R1076" s="104" t="str">
        <f aca="false">IF(OR(C1076&amp;D1076="",N(E1076)=0),"",IF(OR(O1076="?",P1076="?"),"⚠ akun tidak dikenal",IF(C1076=D1076,"⚠ debet = kredit","")))</f>
        <v/>
      </c>
    </row>
    <row r="1077" customFormat="false" ht="15" hidden="false" customHeight="false" outlineLevel="0" collapsed="false">
      <c r="A1077" s="82" t="s">
        <v>2223</v>
      </c>
      <c r="B1077" s="101" t="n">
        <v>46253</v>
      </c>
      <c r="C1077" s="82" t="s">
        <v>470</v>
      </c>
      <c r="D1077" s="82" t="s">
        <v>461</v>
      </c>
      <c r="E1077" s="91" t="n">
        <v>753000</v>
      </c>
      <c r="F1077" s="82" t="s">
        <v>1612</v>
      </c>
      <c r="G1077" s="82"/>
      <c r="H1077" s="82"/>
      <c r="I1077" s="82" t="s">
        <v>250</v>
      </c>
      <c r="J1077" s="102" t="n">
        <f aca="false">IF(B1077="","",MONTH(B1077))</f>
        <v>8</v>
      </c>
      <c r="K1077" s="102" t="n">
        <f aca="false">IF(B1077="","",YEAR(B1077))</f>
        <v>2026</v>
      </c>
      <c r="L1077" s="102" t="str">
        <f aca="false">IF(N(E1077)=0,"",IF(COUNTIFS(AK_NAMA,C1077,AK_KAT,"KAS")+COUNTIFS(AK_NAMA,D1077,AK_KAT,"KAS")&lt;&gt;1,"",IF(COUNTIFS(AK_NAMA,C1077,AK_KAT,"KAS")=1,D1077,C1077)))</f>
        <v>Biaya Bahan Baku</v>
      </c>
      <c r="M1077" s="103" t="n">
        <f aca="false">IF(L1077="",0,IF(L1077=D1077,E1077,-E1077))</f>
        <v>-753000</v>
      </c>
      <c r="N1077" s="102" t="str">
        <f aca="false">IF(L1077="","",IFERROR(INDEX(AK_BARIS,MATCH(L1077,AK_NAMA,0)),"?"))</f>
        <v>OP3</v>
      </c>
      <c r="O1077" s="102" t="str">
        <f aca="false">IF(C1077="","",IFERROR(INDEX(AK_KEL,MATCH(C1077,AK_NAMA,0)),"?"))</f>
        <v>BEBAN</v>
      </c>
      <c r="P1077" s="102" t="str">
        <f aca="false">IF(D1077="","",IFERROR(INDEX(AK_KEL,MATCH(D1077,AK_NAMA,0)),"?"))</f>
        <v>ASET</v>
      </c>
      <c r="Q1077" s="102" t="n">
        <f aca="false">N(Q1076)+IF(AND(N(E1077)&lt;&gt;0,K1077=TAHUN,N(J1077)&lt;=BLN,OR(C1077=BB_AKUN,D1077=BB_AKUN)),1,0)</f>
        <v>714</v>
      </c>
      <c r="R1077" s="104" t="str">
        <f aca="false">IF(OR(C1077&amp;D1077="",N(E1077)=0),"",IF(OR(O1077="?",P1077="?"),"⚠ akun tidak dikenal",IF(C1077=D1077,"⚠ debet = kredit","")))</f>
        <v/>
      </c>
    </row>
    <row r="1078" customFormat="false" ht="15" hidden="false" customHeight="false" outlineLevel="0" collapsed="false">
      <c r="A1078" s="82" t="s">
        <v>2224</v>
      </c>
      <c r="B1078" s="101" t="n">
        <v>46253</v>
      </c>
      <c r="C1078" s="82" t="s">
        <v>470</v>
      </c>
      <c r="D1078" s="82" t="s">
        <v>461</v>
      </c>
      <c r="E1078" s="91" t="n">
        <v>266000</v>
      </c>
      <c r="F1078" s="82" t="s">
        <v>1729</v>
      </c>
      <c r="G1078" s="82"/>
      <c r="H1078" s="82"/>
      <c r="I1078" s="82" t="s">
        <v>250</v>
      </c>
      <c r="J1078" s="102" t="n">
        <f aca="false">IF(B1078="","",MONTH(B1078))</f>
        <v>8</v>
      </c>
      <c r="K1078" s="102" t="n">
        <f aca="false">IF(B1078="","",YEAR(B1078))</f>
        <v>2026</v>
      </c>
      <c r="L1078" s="102" t="str">
        <f aca="false">IF(N(E1078)=0,"",IF(COUNTIFS(AK_NAMA,C1078,AK_KAT,"KAS")+COUNTIFS(AK_NAMA,D1078,AK_KAT,"KAS")&lt;&gt;1,"",IF(COUNTIFS(AK_NAMA,C1078,AK_KAT,"KAS")=1,D1078,C1078)))</f>
        <v>Biaya Bahan Baku</v>
      </c>
      <c r="M1078" s="103" t="n">
        <f aca="false">IF(L1078="",0,IF(L1078=D1078,E1078,-E1078))</f>
        <v>-266000</v>
      </c>
      <c r="N1078" s="102" t="str">
        <f aca="false">IF(L1078="","",IFERROR(INDEX(AK_BARIS,MATCH(L1078,AK_NAMA,0)),"?"))</f>
        <v>OP3</v>
      </c>
      <c r="O1078" s="102" t="str">
        <f aca="false">IF(C1078="","",IFERROR(INDEX(AK_KEL,MATCH(C1078,AK_NAMA,0)),"?"))</f>
        <v>BEBAN</v>
      </c>
      <c r="P1078" s="102" t="str">
        <f aca="false">IF(D1078="","",IFERROR(INDEX(AK_KEL,MATCH(D1078,AK_NAMA,0)),"?"))</f>
        <v>ASET</v>
      </c>
      <c r="Q1078" s="102" t="n">
        <f aca="false">N(Q1077)+IF(AND(N(E1078)&lt;&gt;0,K1078=TAHUN,N(J1078)&lt;=BLN,OR(C1078=BB_AKUN,D1078=BB_AKUN)),1,0)</f>
        <v>715</v>
      </c>
      <c r="R1078" s="104" t="str">
        <f aca="false">IF(OR(C1078&amp;D1078="",N(E1078)=0),"",IF(OR(O1078="?",P1078="?"),"⚠ akun tidak dikenal",IF(C1078=D1078,"⚠ debet = kredit","")))</f>
        <v/>
      </c>
    </row>
    <row r="1079" customFormat="false" ht="15" hidden="false" customHeight="false" outlineLevel="0" collapsed="false">
      <c r="A1079" s="82" t="s">
        <v>2225</v>
      </c>
      <c r="B1079" s="101" t="n">
        <v>46253</v>
      </c>
      <c r="C1079" s="82" t="s">
        <v>461</v>
      </c>
      <c r="D1079" s="82" t="s">
        <v>557</v>
      </c>
      <c r="E1079" s="91" t="n">
        <v>4</v>
      </c>
      <c r="F1079" s="82" t="s">
        <v>2226</v>
      </c>
      <c r="G1079" s="82"/>
      <c r="H1079" s="82"/>
      <c r="I1079" s="82" t="s">
        <v>250</v>
      </c>
      <c r="J1079" s="102" t="n">
        <f aca="false">IF(B1079="","",MONTH(B1079))</f>
        <v>8</v>
      </c>
      <c r="K1079" s="102" t="n">
        <f aca="false">IF(B1079="","",YEAR(B1079))</f>
        <v>2026</v>
      </c>
      <c r="L1079" s="102" t="str">
        <f aca="false">IF(N(E1079)=0,"",IF(COUNTIFS(AK_NAMA,C1079,AK_KAT,"KAS")+COUNTIFS(AK_NAMA,D1079,AK_KAT,"KAS")&lt;&gt;1,"",IF(COUNTIFS(AK_NAMA,C1079,AK_KAT,"KAS")=1,D1079,C1079)))</f>
        <v>Pendapatan Lainnya</v>
      </c>
      <c r="M1079" s="103" t="n">
        <f aca="false">IF(L1079="",0,IF(L1079=D1079,E1079,-E1079))</f>
        <v>4</v>
      </c>
      <c r="N1079" s="102" t="str">
        <f aca="false">IF(L1079="","",IFERROR(INDEX(AK_BARIS,MATCH(L1079,AK_NAMA,0)),"?"))</f>
        <v>OP2</v>
      </c>
      <c r="O1079" s="102" t="str">
        <f aca="false">IF(C1079="","",IFERROR(INDEX(AK_KEL,MATCH(C1079,AK_NAMA,0)),"?"))</f>
        <v>ASET</v>
      </c>
      <c r="P1079" s="102" t="str">
        <f aca="false">IF(D1079="","",IFERROR(INDEX(AK_KEL,MATCH(D1079,AK_NAMA,0)),"?"))</f>
        <v>PENDAPATAN</v>
      </c>
      <c r="Q1079" s="102" t="n">
        <f aca="false">N(Q1078)+IF(AND(N(E1079)&lt;&gt;0,K1079=TAHUN,N(J1079)&lt;=BLN,OR(C1079=BB_AKUN,D1079=BB_AKUN)),1,0)</f>
        <v>716</v>
      </c>
      <c r="R1079" s="104" t="str">
        <f aca="false">IF(OR(C1079&amp;D1079="",N(E1079)=0),"",IF(OR(O1079="?",P1079="?"),"⚠ akun tidak dikenal",IF(C1079=D1079,"⚠ debet = kredit","")))</f>
        <v/>
      </c>
    </row>
    <row r="1080" customFormat="false" ht="15" hidden="false" customHeight="false" outlineLevel="0" collapsed="false">
      <c r="A1080" s="82" t="s">
        <v>2227</v>
      </c>
      <c r="B1080" s="101" t="n">
        <v>46253</v>
      </c>
      <c r="C1080" s="82" t="s">
        <v>486</v>
      </c>
      <c r="D1080" s="82" t="s">
        <v>475</v>
      </c>
      <c r="E1080" s="91" t="n">
        <v>500000</v>
      </c>
      <c r="F1080" s="82" t="s">
        <v>2113</v>
      </c>
      <c r="G1080" s="82"/>
      <c r="H1080" s="82"/>
      <c r="I1080" s="82" t="s">
        <v>250</v>
      </c>
      <c r="J1080" s="102" t="n">
        <f aca="false">IF(B1080="","",MONTH(B1080))</f>
        <v>8</v>
      </c>
      <c r="K1080" s="102" t="n">
        <f aca="false">IF(B1080="","",YEAR(B1080))</f>
        <v>2026</v>
      </c>
      <c r="L1080" s="102" t="str">
        <f aca="false">IF(N(E1080)=0,"",IF(COUNTIFS(AK_NAMA,C1080,AK_KAT,"KAS")+COUNTIFS(AK_NAMA,D1080,AK_KAT,"KAS")&lt;&gt;1,"",IF(COUNTIFS(AK_NAMA,C1080,AK_KAT,"KAS")=1,D1080,C1080)))</f>
        <v/>
      </c>
      <c r="M1080" s="103" t="n">
        <f aca="false">IF(L1080="",0,IF(L1080=D1080,E1080,-E1080))</f>
        <v>0</v>
      </c>
      <c r="N1080" s="102" t="str">
        <f aca="false">IF(L1080="","",IFERROR(INDEX(AK_BARIS,MATCH(L1080,AK_NAMA,0)),"?"))</f>
        <v/>
      </c>
      <c r="O1080" s="102" t="str">
        <f aca="false">IF(C1080="","",IFERROR(INDEX(AK_KEL,MATCH(C1080,AK_NAMA,0)),"?"))</f>
        <v>ASET</v>
      </c>
      <c r="P1080" s="102" t="str">
        <f aca="false">IF(D1080="","",IFERROR(INDEX(AK_KEL,MATCH(D1080,AK_NAMA,0)),"?"))</f>
        <v>ASET</v>
      </c>
      <c r="Q1080" s="102" t="n">
        <f aca="false">N(Q1079)+IF(AND(N(E1080)&lt;&gt;0,K1080=TAHUN,N(J1080)&lt;=BLN,OR(C1080=BB_AKUN,D1080=BB_AKUN)),1,0)</f>
        <v>716</v>
      </c>
      <c r="R1080" s="104" t="str">
        <f aca="false">IF(OR(C1080&amp;D1080="",N(E1080)=0),"",IF(OR(O1080="?",P1080="?"),"⚠ akun tidak dikenal",IF(C1080=D1080,"⚠ debet = kredit","")))</f>
        <v/>
      </c>
    </row>
    <row r="1081" customFormat="false" ht="15" hidden="false" customHeight="false" outlineLevel="0" collapsed="false">
      <c r="A1081" s="82" t="s">
        <v>2228</v>
      </c>
      <c r="B1081" s="101" t="n">
        <v>46253</v>
      </c>
      <c r="C1081" s="82" t="s">
        <v>470</v>
      </c>
      <c r="D1081" s="82" t="s">
        <v>461</v>
      </c>
      <c r="E1081" s="91" t="n">
        <v>183000</v>
      </c>
      <c r="F1081" s="82" t="s">
        <v>2229</v>
      </c>
      <c r="G1081" s="82"/>
      <c r="H1081" s="82"/>
      <c r="I1081" s="82" t="s">
        <v>250</v>
      </c>
      <c r="J1081" s="102" t="n">
        <f aca="false">IF(B1081="","",MONTH(B1081))</f>
        <v>8</v>
      </c>
      <c r="K1081" s="102" t="n">
        <f aca="false">IF(B1081="","",YEAR(B1081))</f>
        <v>2026</v>
      </c>
      <c r="L1081" s="102" t="str">
        <f aca="false">IF(N(E1081)=0,"",IF(COUNTIFS(AK_NAMA,C1081,AK_KAT,"KAS")+COUNTIFS(AK_NAMA,D1081,AK_KAT,"KAS")&lt;&gt;1,"",IF(COUNTIFS(AK_NAMA,C1081,AK_KAT,"KAS")=1,D1081,C1081)))</f>
        <v>Biaya Bahan Baku</v>
      </c>
      <c r="M1081" s="103" t="n">
        <f aca="false">IF(L1081="",0,IF(L1081=D1081,E1081,-E1081))</f>
        <v>-183000</v>
      </c>
      <c r="N1081" s="102" t="str">
        <f aca="false">IF(L1081="","",IFERROR(INDEX(AK_BARIS,MATCH(L1081,AK_NAMA,0)),"?"))</f>
        <v>OP3</v>
      </c>
      <c r="O1081" s="102" t="str">
        <f aca="false">IF(C1081="","",IFERROR(INDEX(AK_KEL,MATCH(C1081,AK_NAMA,0)),"?"))</f>
        <v>BEBAN</v>
      </c>
      <c r="P1081" s="102" t="str">
        <f aca="false">IF(D1081="","",IFERROR(INDEX(AK_KEL,MATCH(D1081,AK_NAMA,0)),"?"))</f>
        <v>ASET</v>
      </c>
      <c r="Q1081" s="102" t="n">
        <f aca="false">N(Q1080)+IF(AND(N(E1081)&lt;&gt;0,K1081=TAHUN,N(J1081)&lt;=BLN,OR(C1081=BB_AKUN,D1081=BB_AKUN)),1,0)</f>
        <v>717</v>
      </c>
      <c r="R1081" s="104" t="str">
        <f aca="false">IF(OR(C1081&amp;D1081="",N(E1081)=0),"",IF(OR(O1081="?",P1081="?"),"⚠ akun tidak dikenal",IF(C1081=D1081,"⚠ debet = kredit","")))</f>
        <v/>
      </c>
    </row>
    <row r="1082" customFormat="false" ht="15" hidden="false" customHeight="false" outlineLevel="0" collapsed="false">
      <c r="A1082" s="82" t="s">
        <v>2230</v>
      </c>
      <c r="B1082" s="101" t="n">
        <v>46253</v>
      </c>
      <c r="C1082" s="82" t="s">
        <v>524</v>
      </c>
      <c r="D1082" s="82" t="s">
        <v>461</v>
      </c>
      <c r="E1082" s="91" t="n">
        <v>325</v>
      </c>
      <c r="F1082" s="82" t="s">
        <v>525</v>
      </c>
      <c r="G1082" s="82"/>
      <c r="H1082" s="82"/>
      <c r="I1082" s="82" t="s">
        <v>250</v>
      </c>
      <c r="J1082" s="102" t="n">
        <f aca="false">IF(B1082="","",MONTH(B1082))</f>
        <v>8</v>
      </c>
      <c r="K1082" s="102" t="n">
        <f aca="false">IF(B1082="","",YEAR(B1082))</f>
        <v>2026</v>
      </c>
      <c r="L1082" s="102" t="str">
        <f aca="false">IF(N(E1082)=0,"",IF(COUNTIFS(AK_NAMA,C1082,AK_KAT,"KAS")+COUNTIFS(AK_NAMA,D1082,AK_KAT,"KAS")&lt;&gt;1,"",IF(COUNTIFS(AK_NAMA,C1082,AK_KAT,"KAS")=1,D1082,C1082)))</f>
        <v>Biaya Lainnya</v>
      </c>
      <c r="M1082" s="103" t="n">
        <f aca="false">IF(L1082="",0,IF(L1082=D1082,E1082,-E1082))</f>
        <v>-325</v>
      </c>
      <c r="N1082" s="102" t="str">
        <f aca="false">IF(L1082="","",IFERROR(INDEX(AK_BARIS,MATCH(L1082,AK_NAMA,0)),"?"))</f>
        <v>OP2</v>
      </c>
      <c r="O1082" s="102" t="str">
        <f aca="false">IF(C1082="","",IFERROR(INDEX(AK_KEL,MATCH(C1082,AK_NAMA,0)),"?"))</f>
        <v>BEBAN</v>
      </c>
      <c r="P1082" s="102" t="str">
        <f aca="false">IF(D1082="","",IFERROR(INDEX(AK_KEL,MATCH(D1082,AK_NAMA,0)),"?"))</f>
        <v>ASET</v>
      </c>
      <c r="Q1082" s="102" t="n">
        <f aca="false">N(Q1081)+IF(AND(N(E1082)&lt;&gt;0,K1082=TAHUN,N(J1082)&lt;=BLN,OR(C1082=BB_AKUN,D1082=BB_AKUN)),1,0)</f>
        <v>718</v>
      </c>
      <c r="R1082" s="104" t="str">
        <f aca="false">IF(OR(C1082&amp;D1082="",N(E1082)=0),"",IF(OR(O1082="?",P1082="?"),"⚠ akun tidak dikenal",IF(C1082=D1082,"⚠ debet = kredit","")))</f>
        <v/>
      </c>
    </row>
    <row r="1083" customFormat="false" ht="15" hidden="false" customHeight="false" outlineLevel="0" collapsed="false">
      <c r="A1083" s="82" t="s">
        <v>2231</v>
      </c>
      <c r="B1083" s="101" t="n">
        <v>46253</v>
      </c>
      <c r="C1083" s="82" t="s">
        <v>718</v>
      </c>
      <c r="D1083" s="82" t="s">
        <v>461</v>
      </c>
      <c r="E1083" s="91" t="n">
        <v>100000</v>
      </c>
      <c r="F1083" s="82" t="s">
        <v>2232</v>
      </c>
      <c r="G1083" s="82"/>
      <c r="H1083" s="82" t="s">
        <v>763</v>
      </c>
      <c r="I1083" s="82" t="s">
        <v>250</v>
      </c>
      <c r="J1083" s="102" t="n">
        <f aca="false">IF(B1083="","",MONTH(B1083))</f>
        <v>8</v>
      </c>
      <c r="K1083" s="102" t="n">
        <f aca="false">IF(B1083="","",YEAR(B1083))</f>
        <v>2026</v>
      </c>
      <c r="L1083" s="102" t="str">
        <f aca="false">IF(N(E1083)=0,"",IF(COUNTIFS(AK_NAMA,C1083,AK_KAT,"KAS")+COUNTIFS(AK_NAMA,D1083,AK_KAT,"KAS")&lt;&gt;1,"",IF(COUNTIFS(AK_NAMA,C1083,AK_KAT,"KAS")=1,D1083,C1083)))</f>
        <v>Piutang Lainnya</v>
      </c>
      <c r="M1083" s="103" t="n">
        <f aca="false">IF(L1083="",0,IF(L1083=D1083,E1083,-E1083))</f>
        <v>-100000</v>
      </c>
      <c r="N1083" s="102" t="str">
        <f aca="false">IF(L1083="","",IFERROR(INDEX(AK_BARIS,MATCH(L1083,AK_NAMA,0)),"?"))</f>
        <v>OP2</v>
      </c>
      <c r="O1083" s="102" t="str">
        <f aca="false">IF(C1083="","",IFERROR(INDEX(AK_KEL,MATCH(C1083,AK_NAMA,0)),"?"))</f>
        <v>ASET</v>
      </c>
      <c r="P1083" s="102" t="str">
        <f aca="false">IF(D1083="","",IFERROR(INDEX(AK_KEL,MATCH(D1083,AK_NAMA,0)),"?"))</f>
        <v>ASET</v>
      </c>
      <c r="Q1083" s="102" t="n">
        <f aca="false">N(Q1082)+IF(AND(N(E1083)&lt;&gt;0,K1083=TAHUN,N(J1083)&lt;=BLN,OR(C1083=BB_AKUN,D1083=BB_AKUN)),1,0)</f>
        <v>719</v>
      </c>
      <c r="R1083" s="104" t="str">
        <f aca="false">IF(OR(C1083&amp;D1083="",N(E1083)=0),"",IF(OR(O1083="?",P1083="?"),"⚠ akun tidak dikenal",IF(C1083=D1083,"⚠ debet = kredit","")))</f>
        <v/>
      </c>
    </row>
    <row r="1084" customFormat="false" ht="15" hidden="false" customHeight="false" outlineLevel="0" collapsed="false">
      <c r="A1084" s="82" t="s">
        <v>2233</v>
      </c>
      <c r="B1084" s="101" t="n">
        <v>46255</v>
      </c>
      <c r="C1084" s="82" t="s">
        <v>669</v>
      </c>
      <c r="D1084" s="82" t="s">
        <v>461</v>
      </c>
      <c r="E1084" s="91" t="n">
        <v>287490</v>
      </c>
      <c r="F1084" s="82" t="s">
        <v>670</v>
      </c>
      <c r="G1084" s="82"/>
      <c r="H1084" s="82"/>
      <c r="I1084" s="82" t="s">
        <v>250</v>
      </c>
      <c r="J1084" s="102" t="n">
        <f aca="false">IF(B1084="","",MONTH(B1084))</f>
        <v>8</v>
      </c>
      <c r="K1084" s="102" t="n">
        <f aca="false">IF(B1084="","",YEAR(B1084))</f>
        <v>2026</v>
      </c>
      <c r="L1084" s="102" t="str">
        <f aca="false">IF(N(E1084)=0,"",IF(COUNTIFS(AK_NAMA,C1084,AK_KAT,"KAS")+COUNTIFS(AK_NAMA,D1084,AK_KAT,"KAS")&lt;&gt;1,"",IF(COUNTIFS(AK_NAMA,C1084,AK_KAT,"KAS")=1,D1084,C1084)))</f>
        <v>Biaya Tagihan Bulanan</v>
      </c>
      <c r="M1084" s="103" t="n">
        <f aca="false">IF(L1084="",0,IF(L1084=D1084,E1084,-E1084))</f>
        <v>-287490</v>
      </c>
      <c r="N1084" s="102" t="str">
        <f aca="false">IF(L1084="","",IFERROR(INDEX(AK_BARIS,MATCH(L1084,AK_NAMA,0)),"?"))</f>
        <v>OP6</v>
      </c>
      <c r="O1084" s="102" t="str">
        <f aca="false">IF(C1084="","",IFERROR(INDEX(AK_KEL,MATCH(C1084,AK_NAMA,0)),"?"))</f>
        <v>BEBAN</v>
      </c>
      <c r="P1084" s="102" t="str">
        <f aca="false">IF(D1084="","",IFERROR(INDEX(AK_KEL,MATCH(D1084,AK_NAMA,0)),"?"))</f>
        <v>ASET</v>
      </c>
      <c r="Q1084" s="102" t="n">
        <f aca="false">N(Q1083)+IF(AND(N(E1084)&lt;&gt;0,K1084=TAHUN,N(J1084)&lt;=BLN,OR(C1084=BB_AKUN,D1084=BB_AKUN)),1,0)</f>
        <v>720</v>
      </c>
      <c r="R1084" s="104" t="str">
        <f aca="false">IF(OR(C1084&amp;D1084="",N(E1084)=0),"",IF(OR(O1084="?",P1084="?"),"⚠ akun tidak dikenal",IF(C1084=D1084,"⚠ debet = kredit","")))</f>
        <v/>
      </c>
    </row>
    <row r="1085" customFormat="false" ht="15" hidden="false" customHeight="false" outlineLevel="0" collapsed="false">
      <c r="A1085" s="82" t="s">
        <v>2234</v>
      </c>
      <c r="B1085" s="101" t="n">
        <v>46256</v>
      </c>
      <c r="C1085" s="82" t="s">
        <v>730</v>
      </c>
      <c r="D1085" s="82" t="s">
        <v>461</v>
      </c>
      <c r="E1085" s="91" t="n">
        <v>10000000</v>
      </c>
      <c r="F1085" s="82" t="s">
        <v>2235</v>
      </c>
      <c r="G1085" s="82"/>
      <c r="H1085" s="82"/>
      <c r="I1085" s="82" t="s">
        <v>250</v>
      </c>
      <c r="J1085" s="102" t="n">
        <f aca="false">IF(B1085="","",MONTH(B1085))</f>
        <v>8</v>
      </c>
      <c r="K1085" s="102" t="n">
        <f aca="false">IF(B1085="","",YEAR(B1085))</f>
        <v>2026</v>
      </c>
      <c r="L1085" s="102" t="str">
        <f aca="false">IF(N(E1085)=0,"",IF(COUNTIFS(AK_NAMA,C1085,AK_KAT,"KAS")+COUNTIFS(AK_NAMA,D1085,AK_KAT,"KAS")&lt;&gt;1,"",IF(COUNTIFS(AK_NAMA,C1085,AK_KAT,"KAS")=1,D1085,C1085)))</f>
        <v>Biaya Sewa Tempat</v>
      </c>
      <c r="M1085" s="103" t="n">
        <f aca="false">IF(L1085="",0,IF(L1085=D1085,E1085,-E1085))</f>
        <v>-10000000</v>
      </c>
      <c r="N1085" s="102" t="str">
        <f aca="false">IF(L1085="","",IFERROR(INDEX(AK_BARIS,MATCH(L1085,AK_NAMA,0)),"?"))</f>
        <v>OP5</v>
      </c>
      <c r="O1085" s="102" t="str">
        <f aca="false">IF(C1085="","",IFERROR(INDEX(AK_KEL,MATCH(C1085,AK_NAMA,0)),"?"))</f>
        <v>BEBAN</v>
      </c>
      <c r="P1085" s="102" t="str">
        <f aca="false">IF(D1085="","",IFERROR(INDEX(AK_KEL,MATCH(D1085,AK_NAMA,0)),"?"))</f>
        <v>ASET</v>
      </c>
      <c r="Q1085" s="102" t="n">
        <f aca="false">N(Q1084)+IF(AND(N(E1085)&lt;&gt;0,K1085=TAHUN,N(J1085)&lt;=BLN,OR(C1085=BB_AKUN,D1085=BB_AKUN)),1,0)</f>
        <v>721</v>
      </c>
      <c r="R1085" s="104" t="str">
        <f aca="false">IF(OR(C1085&amp;D1085="",N(E1085)=0),"",IF(OR(O1085="?",P1085="?"),"⚠ akun tidak dikenal",IF(C1085=D1085,"⚠ debet = kredit","")))</f>
        <v/>
      </c>
    </row>
    <row r="1086" customFormat="false" ht="15" hidden="false" customHeight="false" outlineLevel="0" collapsed="false">
      <c r="A1086" s="82" t="s">
        <v>2236</v>
      </c>
      <c r="B1086" s="101" t="n">
        <v>46256</v>
      </c>
      <c r="C1086" s="82" t="s">
        <v>470</v>
      </c>
      <c r="D1086" s="82" t="s">
        <v>461</v>
      </c>
      <c r="E1086" s="91" t="n">
        <v>880000</v>
      </c>
      <c r="F1086" s="82" t="s">
        <v>2237</v>
      </c>
      <c r="G1086" s="82"/>
      <c r="H1086" s="82"/>
      <c r="I1086" s="82" t="s">
        <v>250</v>
      </c>
      <c r="J1086" s="102" t="n">
        <f aca="false">IF(B1086="","",MONTH(B1086))</f>
        <v>8</v>
      </c>
      <c r="K1086" s="102" t="n">
        <f aca="false">IF(B1086="","",YEAR(B1086))</f>
        <v>2026</v>
      </c>
      <c r="L1086" s="102" t="str">
        <f aca="false">IF(N(E1086)=0,"",IF(COUNTIFS(AK_NAMA,C1086,AK_KAT,"KAS")+COUNTIFS(AK_NAMA,D1086,AK_KAT,"KAS")&lt;&gt;1,"",IF(COUNTIFS(AK_NAMA,C1086,AK_KAT,"KAS")=1,D1086,C1086)))</f>
        <v>Biaya Bahan Baku</v>
      </c>
      <c r="M1086" s="103" t="n">
        <f aca="false">IF(L1086="",0,IF(L1086=D1086,E1086,-E1086))</f>
        <v>-880000</v>
      </c>
      <c r="N1086" s="102" t="str">
        <f aca="false">IF(L1086="","",IFERROR(INDEX(AK_BARIS,MATCH(L1086,AK_NAMA,0)),"?"))</f>
        <v>OP3</v>
      </c>
      <c r="O1086" s="102" t="str">
        <f aca="false">IF(C1086="","",IFERROR(INDEX(AK_KEL,MATCH(C1086,AK_NAMA,0)),"?"))</f>
        <v>BEBAN</v>
      </c>
      <c r="P1086" s="102" t="str">
        <f aca="false">IF(D1086="","",IFERROR(INDEX(AK_KEL,MATCH(D1086,AK_NAMA,0)),"?"))</f>
        <v>ASET</v>
      </c>
      <c r="Q1086" s="102" t="n">
        <f aca="false">N(Q1085)+IF(AND(N(E1086)&lt;&gt;0,K1086=TAHUN,N(J1086)&lt;=BLN,OR(C1086=BB_AKUN,D1086=BB_AKUN)),1,0)</f>
        <v>722</v>
      </c>
      <c r="R1086" s="104" t="str">
        <f aca="false">IF(OR(C1086&amp;D1086="",N(E1086)=0),"",IF(OR(O1086="?",P1086="?"),"⚠ akun tidak dikenal",IF(C1086=D1086,"⚠ debet = kredit","")))</f>
        <v/>
      </c>
    </row>
    <row r="1087" customFormat="false" ht="15" hidden="false" customHeight="false" outlineLevel="0" collapsed="false">
      <c r="A1087" s="82" t="s">
        <v>2238</v>
      </c>
      <c r="B1087" s="101" t="n">
        <v>46257</v>
      </c>
      <c r="C1087" s="82" t="s">
        <v>470</v>
      </c>
      <c r="D1087" s="82" t="s">
        <v>461</v>
      </c>
      <c r="E1087" s="91" t="n">
        <v>266000</v>
      </c>
      <c r="F1087" s="82" t="s">
        <v>1729</v>
      </c>
      <c r="G1087" s="82"/>
      <c r="H1087" s="82"/>
      <c r="I1087" s="82" t="s">
        <v>250</v>
      </c>
      <c r="J1087" s="102" t="n">
        <f aca="false">IF(B1087="","",MONTH(B1087))</f>
        <v>8</v>
      </c>
      <c r="K1087" s="102" t="n">
        <f aca="false">IF(B1087="","",YEAR(B1087))</f>
        <v>2026</v>
      </c>
      <c r="L1087" s="102" t="str">
        <f aca="false">IF(N(E1087)=0,"",IF(COUNTIFS(AK_NAMA,C1087,AK_KAT,"KAS")+COUNTIFS(AK_NAMA,D1087,AK_KAT,"KAS")&lt;&gt;1,"",IF(COUNTIFS(AK_NAMA,C1087,AK_KAT,"KAS")=1,D1087,C1087)))</f>
        <v>Biaya Bahan Baku</v>
      </c>
      <c r="M1087" s="103" t="n">
        <f aca="false">IF(L1087="",0,IF(L1087=D1087,E1087,-E1087))</f>
        <v>-266000</v>
      </c>
      <c r="N1087" s="102" t="str">
        <f aca="false">IF(L1087="","",IFERROR(INDEX(AK_BARIS,MATCH(L1087,AK_NAMA,0)),"?"))</f>
        <v>OP3</v>
      </c>
      <c r="O1087" s="102" t="str">
        <f aca="false">IF(C1087="","",IFERROR(INDEX(AK_KEL,MATCH(C1087,AK_NAMA,0)),"?"))</f>
        <v>BEBAN</v>
      </c>
      <c r="P1087" s="102" t="str">
        <f aca="false">IF(D1087="","",IFERROR(INDEX(AK_KEL,MATCH(D1087,AK_NAMA,0)),"?"))</f>
        <v>ASET</v>
      </c>
      <c r="Q1087" s="102" t="n">
        <f aca="false">N(Q1086)+IF(AND(N(E1087)&lt;&gt;0,K1087=TAHUN,N(J1087)&lt;=BLN,OR(C1087=BB_AKUN,D1087=BB_AKUN)),1,0)</f>
        <v>723</v>
      </c>
      <c r="R1087" s="104" t="str">
        <f aca="false">IF(OR(C1087&amp;D1087="",N(E1087)=0),"",IF(OR(O1087="?",P1087="?"),"⚠ akun tidak dikenal",IF(C1087=D1087,"⚠ debet = kredit","")))</f>
        <v/>
      </c>
    </row>
    <row r="1088" customFormat="false" ht="15" hidden="false" customHeight="false" outlineLevel="0" collapsed="false">
      <c r="A1088" s="82" t="s">
        <v>2239</v>
      </c>
      <c r="B1088" s="101" t="n">
        <v>46257</v>
      </c>
      <c r="C1088" s="82" t="s">
        <v>470</v>
      </c>
      <c r="D1088" s="82" t="s">
        <v>461</v>
      </c>
      <c r="E1088" s="91" t="n">
        <v>1375000</v>
      </c>
      <c r="F1088" s="82" t="s">
        <v>1950</v>
      </c>
      <c r="G1088" s="82"/>
      <c r="H1088" s="82"/>
      <c r="I1088" s="82" t="s">
        <v>250</v>
      </c>
      <c r="J1088" s="102" t="n">
        <f aca="false">IF(B1088="","",MONTH(B1088))</f>
        <v>8</v>
      </c>
      <c r="K1088" s="102" t="n">
        <f aca="false">IF(B1088="","",YEAR(B1088))</f>
        <v>2026</v>
      </c>
      <c r="L1088" s="102" t="str">
        <f aca="false">IF(N(E1088)=0,"",IF(COUNTIFS(AK_NAMA,C1088,AK_KAT,"KAS")+COUNTIFS(AK_NAMA,D1088,AK_KAT,"KAS")&lt;&gt;1,"",IF(COUNTIFS(AK_NAMA,C1088,AK_KAT,"KAS")=1,D1088,C1088)))</f>
        <v>Biaya Bahan Baku</v>
      </c>
      <c r="M1088" s="103" t="n">
        <f aca="false">IF(L1088="",0,IF(L1088=D1088,E1088,-E1088))</f>
        <v>-1375000</v>
      </c>
      <c r="N1088" s="102" t="str">
        <f aca="false">IF(L1088="","",IFERROR(INDEX(AK_BARIS,MATCH(L1088,AK_NAMA,0)),"?"))</f>
        <v>OP3</v>
      </c>
      <c r="O1088" s="102" t="str">
        <f aca="false">IF(C1088="","",IFERROR(INDEX(AK_KEL,MATCH(C1088,AK_NAMA,0)),"?"))</f>
        <v>BEBAN</v>
      </c>
      <c r="P1088" s="102" t="str">
        <f aca="false">IF(D1088="","",IFERROR(INDEX(AK_KEL,MATCH(D1088,AK_NAMA,0)),"?"))</f>
        <v>ASET</v>
      </c>
      <c r="Q1088" s="102" t="n">
        <f aca="false">N(Q1087)+IF(AND(N(E1088)&lt;&gt;0,K1088=TAHUN,N(J1088)&lt;=BLN,OR(C1088=BB_AKUN,D1088=BB_AKUN)),1,0)</f>
        <v>724</v>
      </c>
      <c r="R1088" s="104" t="str">
        <f aca="false">IF(OR(C1088&amp;D1088="",N(E1088)=0),"",IF(OR(O1088="?",P1088="?"),"⚠ akun tidak dikenal",IF(C1088=D1088,"⚠ debet = kredit","")))</f>
        <v/>
      </c>
    </row>
    <row r="1089" customFormat="false" ht="15" hidden="false" customHeight="false" outlineLevel="0" collapsed="false">
      <c r="A1089" s="82" t="s">
        <v>2240</v>
      </c>
      <c r="B1089" s="101" t="n">
        <v>46257</v>
      </c>
      <c r="C1089" s="82" t="s">
        <v>470</v>
      </c>
      <c r="D1089" s="82" t="s">
        <v>461</v>
      </c>
      <c r="E1089" s="91" t="n">
        <v>2252000</v>
      </c>
      <c r="F1089" s="82" t="s">
        <v>1950</v>
      </c>
      <c r="G1089" s="82"/>
      <c r="H1089" s="82"/>
      <c r="I1089" s="82" t="s">
        <v>250</v>
      </c>
      <c r="J1089" s="102" t="n">
        <f aca="false">IF(B1089="","",MONTH(B1089))</f>
        <v>8</v>
      </c>
      <c r="K1089" s="102" t="n">
        <f aca="false">IF(B1089="","",YEAR(B1089))</f>
        <v>2026</v>
      </c>
      <c r="L1089" s="102" t="str">
        <f aca="false">IF(N(E1089)=0,"",IF(COUNTIFS(AK_NAMA,C1089,AK_KAT,"KAS")+COUNTIFS(AK_NAMA,D1089,AK_KAT,"KAS")&lt;&gt;1,"",IF(COUNTIFS(AK_NAMA,C1089,AK_KAT,"KAS")=1,D1089,C1089)))</f>
        <v>Biaya Bahan Baku</v>
      </c>
      <c r="M1089" s="103" t="n">
        <f aca="false">IF(L1089="",0,IF(L1089=D1089,E1089,-E1089))</f>
        <v>-2252000</v>
      </c>
      <c r="N1089" s="102" t="str">
        <f aca="false">IF(L1089="","",IFERROR(INDEX(AK_BARIS,MATCH(L1089,AK_NAMA,0)),"?"))</f>
        <v>OP3</v>
      </c>
      <c r="O1089" s="102" t="str">
        <f aca="false">IF(C1089="","",IFERROR(INDEX(AK_KEL,MATCH(C1089,AK_NAMA,0)),"?"))</f>
        <v>BEBAN</v>
      </c>
      <c r="P1089" s="102" t="str">
        <f aca="false">IF(D1089="","",IFERROR(INDEX(AK_KEL,MATCH(D1089,AK_NAMA,0)),"?"))</f>
        <v>ASET</v>
      </c>
      <c r="Q1089" s="102" t="n">
        <f aca="false">N(Q1088)+IF(AND(N(E1089)&lt;&gt;0,K1089=TAHUN,N(J1089)&lt;=BLN,OR(C1089=BB_AKUN,D1089=BB_AKUN)),1,0)</f>
        <v>725</v>
      </c>
      <c r="R1089" s="104" t="str">
        <f aca="false">IF(OR(C1089&amp;D1089="",N(E1089)=0),"",IF(OR(O1089="?",P1089="?"),"⚠ akun tidak dikenal",IF(C1089=D1089,"⚠ debet = kredit","")))</f>
        <v/>
      </c>
    </row>
    <row r="1090" customFormat="false" ht="15" hidden="false" customHeight="false" outlineLevel="0" collapsed="false">
      <c r="A1090" s="82" t="s">
        <v>2241</v>
      </c>
      <c r="B1090" s="101" t="n">
        <v>46257</v>
      </c>
      <c r="C1090" s="82" t="s">
        <v>461</v>
      </c>
      <c r="D1090" s="82" t="s">
        <v>475</v>
      </c>
      <c r="E1090" s="91" t="n">
        <v>30000</v>
      </c>
      <c r="F1090" s="82" t="s">
        <v>2145</v>
      </c>
      <c r="G1090" s="82"/>
      <c r="H1090" s="82"/>
      <c r="I1090" s="82" t="s">
        <v>250</v>
      </c>
      <c r="J1090" s="102" t="n">
        <f aca="false">IF(B1090="","",MONTH(B1090))</f>
        <v>8</v>
      </c>
      <c r="K1090" s="102" t="n">
        <f aca="false">IF(B1090="","",YEAR(B1090))</f>
        <v>2026</v>
      </c>
      <c r="L1090" s="102" t="str">
        <f aca="false">IF(N(E1090)=0,"",IF(COUNTIFS(AK_NAMA,C1090,AK_KAT,"KAS")+COUNTIFS(AK_NAMA,D1090,AK_KAT,"KAS")&lt;&gt;1,"",IF(COUNTIFS(AK_NAMA,C1090,AK_KAT,"KAS")=1,D1090,C1090)))</f>
        <v/>
      </c>
      <c r="M1090" s="103" t="n">
        <f aca="false">IF(L1090="",0,IF(L1090=D1090,E1090,-E1090))</f>
        <v>0</v>
      </c>
      <c r="N1090" s="102" t="str">
        <f aca="false">IF(L1090="","",IFERROR(INDEX(AK_BARIS,MATCH(L1090,AK_NAMA,0)),"?"))</f>
        <v/>
      </c>
      <c r="O1090" s="102" t="str">
        <f aca="false">IF(C1090="","",IFERROR(INDEX(AK_KEL,MATCH(C1090,AK_NAMA,0)),"?"))</f>
        <v>ASET</v>
      </c>
      <c r="P1090" s="102" t="str">
        <f aca="false">IF(D1090="","",IFERROR(INDEX(AK_KEL,MATCH(D1090,AK_NAMA,0)),"?"))</f>
        <v>ASET</v>
      </c>
      <c r="Q1090" s="102" t="n">
        <f aca="false">N(Q1089)+IF(AND(N(E1090)&lt;&gt;0,K1090=TAHUN,N(J1090)&lt;=BLN,OR(C1090=BB_AKUN,D1090=BB_AKUN)),1,0)</f>
        <v>726</v>
      </c>
      <c r="R1090" s="104" t="str">
        <f aca="false">IF(OR(C1090&amp;D1090="",N(E1090)=0),"",IF(OR(O1090="?",P1090="?"),"⚠ akun tidak dikenal",IF(C1090=D1090,"⚠ debet = kredit","")))</f>
        <v/>
      </c>
    </row>
    <row r="1091" customFormat="false" ht="15" hidden="false" customHeight="false" outlineLevel="0" collapsed="false">
      <c r="A1091" s="82" t="s">
        <v>2242</v>
      </c>
      <c r="B1091" s="101" t="n">
        <v>46258</v>
      </c>
      <c r="C1091" s="82" t="s">
        <v>486</v>
      </c>
      <c r="D1091" s="82" t="s">
        <v>461</v>
      </c>
      <c r="E1091" s="91" t="n">
        <v>5000000</v>
      </c>
      <c r="F1091" s="82" t="s">
        <v>2243</v>
      </c>
      <c r="G1091" s="82"/>
      <c r="H1091" s="82"/>
      <c r="I1091" s="82" t="s">
        <v>250</v>
      </c>
      <c r="J1091" s="102" t="n">
        <f aca="false">IF(B1091="","",MONTH(B1091))</f>
        <v>8</v>
      </c>
      <c r="K1091" s="102" t="n">
        <f aca="false">IF(B1091="","",YEAR(B1091))</f>
        <v>2026</v>
      </c>
      <c r="L1091" s="102" t="str">
        <f aca="false">IF(N(E1091)=0,"",IF(COUNTIFS(AK_NAMA,C1091,AK_KAT,"KAS")+COUNTIFS(AK_NAMA,D1091,AK_KAT,"KAS")&lt;&gt;1,"",IF(COUNTIFS(AK_NAMA,C1091,AK_KAT,"KAS")=1,D1091,C1091)))</f>
        <v/>
      </c>
      <c r="M1091" s="103" t="n">
        <f aca="false">IF(L1091="",0,IF(L1091=D1091,E1091,-E1091))</f>
        <v>0</v>
      </c>
      <c r="N1091" s="102" t="str">
        <f aca="false">IF(L1091="","",IFERROR(INDEX(AK_BARIS,MATCH(L1091,AK_NAMA,0)),"?"))</f>
        <v/>
      </c>
      <c r="O1091" s="102" t="str">
        <f aca="false">IF(C1091="","",IFERROR(INDEX(AK_KEL,MATCH(C1091,AK_NAMA,0)),"?"))</f>
        <v>ASET</v>
      </c>
      <c r="P1091" s="102" t="str">
        <f aca="false">IF(D1091="","",IFERROR(INDEX(AK_KEL,MATCH(D1091,AK_NAMA,0)),"?"))</f>
        <v>ASET</v>
      </c>
      <c r="Q1091" s="102" t="n">
        <f aca="false">N(Q1090)+IF(AND(N(E1091)&lt;&gt;0,K1091=TAHUN,N(J1091)&lt;=BLN,OR(C1091=BB_AKUN,D1091=BB_AKUN)),1,0)</f>
        <v>727</v>
      </c>
      <c r="R1091" s="104" t="str">
        <f aca="false">IF(OR(C1091&amp;D1091="",N(E1091)=0),"",IF(OR(O1091="?",P1091="?"),"⚠ akun tidak dikenal",IF(C1091=D1091,"⚠ debet = kredit","")))</f>
        <v/>
      </c>
    </row>
    <row r="1092" customFormat="false" ht="15" hidden="false" customHeight="false" outlineLevel="0" collapsed="false">
      <c r="A1092" s="82" t="s">
        <v>2244</v>
      </c>
      <c r="B1092" s="101" t="n">
        <v>46258</v>
      </c>
      <c r="C1092" s="82" t="s">
        <v>524</v>
      </c>
      <c r="D1092" s="82" t="s">
        <v>461</v>
      </c>
      <c r="E1092" s="91" t="n">
        <v>452</v>
      </c>
      <c r="F1092" s="82" t="s">
        <v>525</v>
      </c>
      <c r="G1092" s="82"/>
      <c r="H1092" s="82"/>
      <c r="I1092" s="82" t="s">
        <v>250</v>
      </c>
      <c r="J1092" s="102" t="n">
        <f aca="false">IF(B1092="","",MONTH(B1092))</f>
        <v>8</v>
      </c>
      <c r="K1092" s="102" t="n">
        <f aca="false">IF(B1092="","",YEAR(B1092))</f>
        <v>2026</v>
      </c>
      <c r="L1092" s="102" t="str">
        <f aca="false">IF(N(E1092)=0,"",IF(COUNTIFS(AK_NAMA,C1092,AK_KAT,"KAS")+COUNTIFS(AK_NAMA,D1092,AK_KAT,"KAS")&lt;&gt;1,"",IF(COUNTIFS(AK_NAMA,C1092,AK_KAT,"KAS")=1,D1092,C1092)))</f>
        <v>Biaya Lainnya</v>
      </c>
      <c r="M1092" s="103" t="n">
        <f aca="false">IF(L1092="",0,IF(L1092=D1092,E1092,-E1092))</f>
        <v>-452</v>
      </c>
      <c r="N1092" s="102" t="str">
        <f aca="false">IF(L1092="","",IFERROR(INDEX(AK_BARIS,MATCH(L1092,AK_NAMA,0)),"?"))</f>
        <v>OP2</v>
      </c>
      <c r="O1092" s="102" t="str">
        <f aca="false">IF(C1092="","",IFERROR(INDEX(AK_KEL,MATCH(C1092,AK_NAMA,0)),"?"))</f>
        <v>BEBAN</v>
      </c>
      <c r="P1092" s="102" t="str">
        <f aca="false">IF(D1092="","",IFERROR(INDEX(AK_KEL,MATCH(D1092,AK_NAMA,0)),"?"))</f>
        <v>ASET</v>
      </c>
      <c r="Q1092" s="102" t="n">
        <f aca="false">N(Q1091)+IF(AND(N(E1092)&lt;&gt;0,K1092=TAHUN,N(J1092)&lt;=BLN,OR(C1092=BB_AKUN,D1092=BB_AKUN)),1,0)</f>
        <v>728</v>
      </c>
      <c r="R1092" s="104" t="str">
        <f aca="false">IF(OR(C1092&amp;D1092="",N(E1092)=0),"",IF(OR(O1092="?",P1092="?"),"⚠ akun tidak dikenal",IF(C1092=D1092,"⚠ debet = kredit","")))</f>
        <v/>
      </c>
    </row>
    <row r="1093" customFormat="false" ht="15" hidden="false" customHeight="false" outlineLevel="0" collapsed="false">
      <c r="A1093" s="82" t="s">
        <v>2245</v>
      </c>
      <c r="B1093" s="101" t="n">
        <v>46258</v>
      </c>
      <c r="C1093" s="82" t="s">
        <v>470</v>
      </c>
      <c r="D1093" s="82" t="s">
        <v>461</v>
      </c>
      <c r="E1093" s="91" t="n">
        <v>1803920</v>
      </c>
      <c r="F1093" s="82" t="s">
        <v>2246</v>
      </c>
      <c r="G1093" s="82"/>
      <c r="H1093" s="82"/>
      <c r="I1093" s="82" t="s">
        <v>250</v>
      </c>
      <c r="J1093" s="102" t="n">
        <f aca="false">IF(B1093="","",MONTH(B1093))</f>
        <v>8</v>
      </c>
      <c r="K1093" s="102" t="n">
        <f aca="false">IF(B1093="","",YEAR(B1093))</f>
        <v>2026</v>
      </c>
      <c r="L1093" s="102" t="str">
        <f aca="false">IF(N(E1093)=0,"",IF(COUNTIFS(AK_NAMA,C1093,AK_KAT,"KAS")+COUNTIFS(AK_NAMA,D1093,AK_KAT,"KAS")&lt;&gt;1,"",IF(COUNTIFS(AK_NAMA,C1093,AK_KAT,"KAS")=1,D1093,C1093)))</f>
        <v>Biaya Bahan Baku</v>
      </c>
      <c r="M1093" s="103" t="n">
        <f aca="false">IF(L1093="",0,IF(L1093=D1093,E1093,-E1093))</f>
        <v>-1803920</v>
      </c>
      <c r="N1093" s="102" t="str">
        <f aca="false">IF(L1093="","",IFERROR(INDEX(AK_BARIS,MATCH(L1093,AK_NAMA,0)),"?"))</f>
        <v>OP3</v>
      </c>
      <c r="O1093" s="102" t="str">
        <f aca="false">IF(C1093="","",IFERROR(INDEX(AK_KEL,MATCH(C1093,AK_NAMA,0)),"?"))</f>
        <v>BEBAN</v>
      </c>
      <c r="P1093" s="102" t="str">
        <f aca="false">IF(D1093="","",IFERROR(INDEX(AK_KEL,MATCH(D1093,AK_NAMA,0)),"?"))</f>
        <v>ASET</v>
      </c>
      <c r="Q1093" s="102" t="n">
        <f aca="false">N(Q1092)+IF(AND(N(E1093)&lt;&gt;0,K1093=TAHUN,N(J1093)&lt;=BLN,OR(C1093=BB_AKUN,D1093=BB_AKUN)),1,0)</f>
        <v>729</v>
      </c>
      <c r="R1093" s="104" t="str">
        <f aca="false">IF(OR(C1093&amp;D1093="",N(E1093)=0),"",IF(OR(O1093="?",P1093="?"),"⚠ akun tidak dikenal",IF(C1093=D1093,"⚠ debet = kredit","")))</f>
        <v/>
      </c>
    </row>
    <row r="1094" customFormat="false" ht="15" hidden="false" customHeight="false" outlineLevel="0" collapsed="false">
      <c r="A1094" s="82" t="s">
        <v>2247</v>
      </c>
      <c r="B1094" s="101" t="n">
        <v>46258</v>
      </c>
      <c r="C1094" s="82" t="s">
        <v>548</v>
      </c>
      <c r="D1094" s="82" t="s">
        <v>461</v>
      </c>
      <c r="E1094" s="91" t="n">
        <v>51875</v>
      </c>
      <c r="F1094" s="82" t="s">
        <v>2248</v>
      </c>
      <c r="G1094" s="82"/>
      <c r="H1094" s="82"/>
      <c r="I1094" s="82" t="s">
        <v>250</v>
      </c>
      <c r="J1094" s="102" t="n">
        <f aca="false">IF(B1094="","",MONTH(B1094))</f>
        <v>8</v>
      </c>
      <c r="K1094" s="102" t="n">
        <f aca="false">IF(B1094="","",YEAR(B1094))</f>
        <v>2026</v>
      </c>
      <c r="L1094" s="102" t="str">
        <f aca="false">IF(N(E1094)=0,"",IF(COUNTIFS(AK_NAMA,C1094,AK_KAT,"KAS")+COUNTIFS(AK_NAMA,D1094,AK_KAT,"KAS")&lt;&gt;1,"",IF(COUNTIFS(AK_NAMA,C1094,AK_KAT,"KAS")=1,D1094,C1094)))</f>
        <v>Beban Perlengkapan</v>
      </c>
      <c r="M1094" s="103" t="n">
        <f aca="false">IF(L1094="",0,IF(L1094=D1094,E1094,-E1094))</f>
        <v>-51875</v>
      </c>
      <c r="N1094" s="102" t="str">
        <f aca="false">IF(L1094="","",IFERROR(INDEX(AK_BARIS,MATCH(L1094,AK_NAMA,0)),"?"))</f>
        <v>OP6</v>
      </c>
      <c r="O1094" s="102" t="str">
        <f aca="false">IF(C1094="","",IFERROR(INDEX(AK_KEL,MATCH(C1094,AK_NAMA,0)),"?"))</f>
        <v>BEBAN</v>
      </c>
      <c r="P1094" s="102" t="str">
        <f aca="false">IF(D1094="","",IFERROR(INDEX(AK_KEL,MATCH(D1094,AK_NAMA,0)),"?"))</f>
        <v>ASET</v>
      </c>
      <c r="Q1094" s="102" t="n">
        <f aca="false">N(Q1093)+IF(AND(N(E1094)&lt;&gt;0,K1094=TAHUN,N(J1094)&lt;=BLN,OR(C1094=BB_AKUN,D1094=BB_AKUN)),1,0)</f>
        <v>730</v>
      </c>
      <c r="R1094" s="104" t="str">
        <f aca="false">IF(OR(C1094&amp;D1094="",N(E1094)=0),"",IF(OR(O1094="?",P1094="?"),"⚠ akun tidak dikenal",IF(C1094=D1094,"⚠ debet = kredit","")))</f>
        <v/>
      </c>
    </row>
    <row r="1095" customFormat="false" ht="15" hidden="false" customHeight="false" outlineLevel="0" collapsed="false">
      <c r="A1095" s="82" t="s">
        <v>2249</v>
      </c>
      <c r="B1095" s="101" t="n">
        <v>46258</v>
      </c>
      <c r="C1095" s="82" t="s">
        <v>470</v>
      </c>
      <c r="D1095" s="82" t="s">
        <v>461</v>
      </c>
      <c r="E1095" s="91" t="n">
        <v>1153000</v>
      </c>
      <c r="F1095" s="82" t="s">
        <v>2250</v>
      </c>
      <c r="G1095" s="82"/>
      <c r="H1095" s="82"/>
      <c r="I1095" s="82" t="s">
        <v>250</v>
      </c>
      <c r="J1095" s="102" t="n">
        <f aca="false">IF(B1095="","",MONTH(B1095))</f>
        <v>8</v>
      </c>
      <c r="K1095" s="102" t="n">
        <f aca="false">IF(B1095="","",YEAR(B1095))</f>
        <v>2026</v>
      </c>
      <c r="L1095" s="102" t="str">
        <f aca="false">IF(N(E1095)=0,"",IF(COUNTIFS(AK_NAMA,C1095,AK_KAT,"KAS")+COUNTIFS(AK_NAMA,D1095,AK_KAT,"KAS")&lt;&gt;1,"",IF(COUNTIFS(AK_NAMA,C1095,AK_KAT,"KAS")=1,D1095,C1095)))</f>
        <v>Biaya Bahan Baku</v>
      </c>
      <c r="M1095" s="103" t="n">
        <f aca="false">IF(L1095="",0,IF(L1095=D1095,E1095,-E1095))</f>
        <v>-1153000</v>
      </c>
      <c r="N1095" s="102" t="str">
        <f aca="false">IF(L1095="","",IFERROR(INDEX(AK_BARIS,MATCH(L1095,AK_NAMA,0)),"?"))</f>
        <v>OP3</v>
      </c>
      <c r="O1095" s="102" t="str">
        <f aca="false">IF(C1095="","",IFERROR(INDEX(AK_KEL,MATCH(C1095,AK_NAMA,0)),"?"))</f>
        <v>BEBAN</v>
      </c>
      <c r="P1095" s="102" t="str">
        <f aca="false">IF(D1095="","",IFERROR(INDEX(AK_KEL,MATCH(D1095,AK_NAMA,0)),"?"))</f>
        <v>ASET</v>
      </c>
      <c r="Q1095" s="102" t="n">
        <f aca="false">N(Q1094)+IF(AND(N(E1095)&lt;&gt;0,K1095=TAHUN,N(J1095)&lt;=BLN,OR(C1095=BB_AKUN,D1095=BB_AKUN)),1,0)</f>
        <v>731</v>
      </c>
      <c r="R1095" s="104" t="str">
        <f aca="false">IF(OR(C1095&amp;D1095="",N(E1095)=0),"",IF(OR(O1095="?",P1095="?"),"⚠ akun tidak dikenal",IF(C1095=D1095,"⚠ debet = kredit","")))</f>
        <v/>
      </c>
    </row>
    <row r="1096" customFormat="false" ht="15" hidden="false" customHeight="false" outlineLevel="0" collapsed="false">
      <c r="A1096" s="82" t="s">
        <v>2251</v>
      </c>
      <c r="B1096" s="101" t="n">
        <v>46259</v>
      </c>
      <c r="C1096" s="82" t="s">
        <v>475</v>
      </c>
      <c r="D1096" s="82" t="s">
        <v>461</v>
      </c>
      <c r="E1096" s="91" t="n">
        <v>2100000</v>
      </c>
      <c r="F1096" s="82" t="s">
        <v>2182</v>
      </c>
      <c r="G1096" s="82"/>
      <c r="H1096" s="82"/>
      <c r="I1096" s="82" t="s">
        <v>250</v>
      </c>
      <c r="J1096" s="102" t="n">
        <f aca="false">IF(B1096="","",MONTH(B1096))</f>
        <v>8</v>
      </c>
      <c r="K1096" s="102" t="n">
        <f aca="false">IF(B1096="","",YEAR(B1096))</f>
        <v>2026</v>
      </c>
      <c r="L1096" s="102" t="str">
        <f aca="false">IF(N(E1096)=0,"",IF(COUNTIFS(AK_NAMA,C1096,AK_KAT,"KAS")+COUNTIFS(AK_NAMA,D1096,AK_KAT,"KAS")&lt;&gt;1,"",IF(COUNTIFS(AK_NAMA,C1096,AK_KAT,"KAS")=1,D1096,C1096)))</f>
        <v/>
      </c>
      <c r="M1096" s="103" t="n">
        <f aca="false">IF(L1096="",0,IF(L1096=D1096,E1096,-E1096))</f>
        <v>0</v>
      </c>
      <c r="N1096" s="102" t="str">
        <f aca="false">IF(L1096="","",IFERROR(INDEX(AK_BARIS,MATCH(L1096,AK_NAMA,0)),"?"))</f>
        <v/>
      </c>
      <c r="O1096" s="102" t="str">
        <f aca="false">IF(C1096="","",IFERROR(INDEX(AK_KEL,MATCH(C1096,AK_NAMA,0)),"?"))</f>
        <v>ASET</v>
      </c>
      <c r="P1096" s="102" t="str">
        <f aca="false">IF(D1096="","",IFERROR(INDEX(AK_KEL,MATCH(D1096,AK_NAMA,0)),"?"))</f>
        <v>ASET</v>
      </c>
      <c r="Q1096" s="102" t="n">
        <f aca="false">N(Q1095)+IF(AND(N(E1096)&lt;&gt;0,K1096=TAHUN,N(J1096)&lt;=BLN,OR(C1096=BB_AKUN,D1096=BB_AKUN)),1,0)</f>
        <v>732</v>
      </c>
      <c r="R1096" s="104" t="str">
        <f aca="false">IF(OR(C1096&amp;D1096="",N(E1096)=0),"",IF(OR(O1096="?",P1096="?"),"⚠ akun tidak dikenal",IF(C1096=D1096,"⚠ debet = kredit","")))</f>
        <v/>
      </c>
    </row>
    <row r="1097" customFormat="false" ht="15" hidden="false" customHeight="false" outlineLevel="0" collapsed="false">
      <c r="A1097" s="82" t="s">
        <v>2252</v>
      </c>
      <c r="B1097" s="101" t="n">
        <v>46259</v>
      </c>
      <c r="C1097" s="82" t="s">
        <v>475</v>
      </c>
      <c r="D1097" s="82" t="s">
        <v>461</v>
      </c>
      <c r="E1097" s="91" t="n">
        <v>310000</v>
      </c>
      <c r="F1097" s="82" t="s">
        <v>2182</v>
      </c>
      <c r="G1097" s="82"/>
      <c r="H1097" s="82"/>
      <c r="I1097" s="82" t="s">
        <v>250</v>
      </c>
      <c r="J1097" s="102" t="n">
        <f aca="false">IF(B1097="","",MONTH(B1097))</f>
        <v>8</v>
      </c>
      <c r="K1097" s="102" t="n">
        <f aca="false">IF(B1097="","",YEAR(B1097))</f>
        <v>2026</v>
      </c>
      <c r="L1097" s="102" t="str">
        <f aca="false">IF(N(E1097)=0,"",IF(COUNTIFS(AK_NAMA,C1097,AK_KAT,"KAS")+COUNTIFS(AK_NAMA,D1097,AK_KAT,"KAS")&lt;&gt;1,"",IF(COUNTIFS(AK_NAMA,C1097,AK_KAT,"KAS")=1,D1097,C1097)))</f>
        <v/>
      </c>
      <c r="M1097" s="103" t="n">
        <f aca="false">IF(L1097="",0,IF(L1097=D1097,E1097,-E1097))</f>
        <v>0</v>
      </c>
      <c r="N1097" s="102" t="str">
        <f aca="false">IF(L1097="","",IFERROR(INDEX(AK_BARIS,MATCH(L1097,AK_NAMA,0)),"?"))</f>
        <v/>
      </c>
      <c r="O1097" s="102" t="str">
        <f aca="false">IF(C1097="","",IFERROR(INDEX(AK_KEL,MATCH(C1097,AK_NAMA,0)),"?"))</f>
        <v>ASET</v>
      </c>
      <c r="P1097" s="102" t="str">
        <f aca="false">IF(D1097="","",IFERROR(INDEX(AK_KEL,MATCH(D1097,AK_NAMA,0)),"?"))</f>
        <v>ASET</v>
      </c>
      <c r="Q1097" s="102" t="n">
        <f aca="false">N(Q1096)+IF(AND(N(E1097)&lt;&gt;0,K1097=TAHUN,N(J1097)&lt;=BLN,OR(C1097=BB_AKUN,D1097=BB_AKUN)),1,0)</f>
        <v>733</v>
      </c>
      <c r="R1097" s="104" t="str">
        <f aca="false">IF(OR(C1097&amp;D1097="",N(E1097)=0),"",IF(OR(O1097="?",P1097="?"),"⚠ akun tidak dikenal",IF(C1097=D1097,"⚠ debet = kredit","")))</f>
        <v/>
      </c>
    </row>
    <row r="1098" customFormat="false" ht="15" hidden="false" customHeight="false" outlineLevel="0" collapsed="false">
      <c r="A1098" s="82" t="s">
        <v>2253</v>
      </c>
      <c r="B1098" s="101" t="n">
        <v>46260</v>
      </c>
      <c r="C1098" s="82" t="s">
        <v>460</v>
      </c>
      <c r="D1098" s="82" t="s">
        <v>461</v>
      </c>
      <c r="E1098" s="91" t="n">
        <v>100000</v>
      </c>
      <c r="F1098" s="82" t="s">
        <v>2254</v>
      </c>
      <c r="G1098" s="82"/>
      <c r="H1098" s="82"/>
      <c r="I1098" s="82" t="s">
        <v>250</v>
      </c>
      <c r="J1098" s="102" t="n">
        <f aca="false">IF(B1098="","",MONTH(B1098))</f>
        <v>8</v>
      </c>
      <c r="K1098" s="102" t="n">
        <f aca="false">IF(B1098="","",YEAR(B1098))</f>
        <v>2026</v>
      </c>
      <c r="L1098" s="102" t="str">
        <f aca="false">IF(N(E1098)=0,"",IF(COUNTIFS(AK_NAMA,C1098,AK_KAT,"KAS")+COUNTIFS(AK_NAMA,D1098,AK_KAT,"KAS")&lt;&gt;1,"",IF(COUNTIFS(AK_NAMA,C1098,AK_KAT,"KAS")=1,D1098,C1098)))</f>
        <v>Biaya Marketing &amp; Promosi</v>
      </c>
      <c r="M1098" s="103" t="n">
        <f aca="false">IF(L1098="",0,IF(L1098=D1098,E1098,-E1098))</f>
        <v>-100000</v>
      </c>
      <c r="N1098" s="102" t="str">
        <f aca="false">IF(L1098="","",IFERROR(INDEX(AK_BARIS,MATCH(L1098,AK_NAMA,0)),"?"))</f>
        <v>OP6</v>
      </c>
      <c r="O1098" s="102" t="str">
        <f aca="false">IF(C1098="","",IFERROR(INDEX(AK_KEL,MATCH(C1098,AK_NAMA,0)),"?"))</f>
        <v>BEBAN</v>
      </c>
      <c r="P1098" s="102" t="str">
        <f aca="false">IF(D1098="","",IFERROR(INDEX(AK_KEL,MATCH(D1098,AK_NAMA,0)),"?"))</f>
        <v>ASET</v>
      </c>
      <c r="Q1098" s="102" t="n">
        <f aca="false">N(Q1097)+IF(AND(N(E1098)&lt;&gt;0,K1098=TAHUN,N(J1098)&lt;=BLN,OR(C1098=BB_AKUN,D1098=BB_AKUN)),1,0)</f>
        <v>734</v>
      </c>
      <c r="R1098" s="104" t="str">
        <f aca="false">IF(OR(C1098&amp;D1098="",N(E1098)=0),"",IF(OR(O1098="?",P1098="?"),"⚠ akun tidak dikenal",IF(C1098=D1098,"⚠ debet = kredit","")))</f>
        <v/>
      </c>
    </row>
    <row r="1099" customFormat="false" ht="15" hidden="false" customHeight="false" outlineLevel="0" collapsed="false">
      <c r="A1099" s="82" t="s">
        <v>2255</v>
      </c>
      <c r="B1099" s="101" t="n">
        <v>46260</v>
      </c>
      <c r="C1099" s="82" t="s">
        <v>485</v>
      </c>
      <c r="D1099" s="82" t="s">
        <v>461</v>
      </c>
      <c r="E1099" s="91" t="n">
        <v>114000</v>
      </c>
      <c r="F1099" s="82" t="s">
        <v>2256</v>
      </c>
      <c r="G1099" s="82"/>
      <c r="H1099" s="82"/>
      <c r="I1099" s="82" t="s">
        <v>250</v>
      </c>
      <c r="J1099" s="102" t="n">
        <f aca="false">IF(B1099="","",MONTH(B1099))</f>
        <v>8</v>
      </c>
      <c r="K1099" s="102" t="n">
        <f aca="false">IF(B1099="","",YEAR(B1099))</f>
        <v>2026</v>
      </c>
      <c r="L1099" s="102" t="str">
        <f aca="false">IF(N(E1099)=0,"",IF(COUNTIFS(AK_NAMA,C1099,AK_KAT,"KAS")+COUNTIFS(AK_NAMA,D1099,AK_KAT,"KAS")&lt;&gt;1,"",IF(COUNTIFS(AK_NAMA,C1099,AK_KAT,"KAS")=1,D1099,C1099)))</f>
        <v>Biaya Operasional Harian</v>
      </c>
      <c r="M1099" s="103" t="n">
        <f aca="false">IF(L1099="",0,IF(L1099=D1099,E1099,-E1099))</f>
        <v>-114000</v>
      </c>
      <c r="N1099" s="102" t="str">
        <f aca="false">IF(L1099="","",IFERROR(INDEX(AK_BARIS,MATCH(L1099,AK_NAMA,0)),"?"))</f>
        <v>OP6</v>
      </c>
      <c r="O1099" s="102" t="str">
        <f aca="false">IF(C1099="","",IFERROR(INDEX(AK_KEL,MATCH(C1099,AK_NAMA,0)),"?"))</f>
        <v>BEBAN</v>
      </c>
      <c r="P1099" s="102" t="str">
        <f aca="false">IF(D1099="","",IFERROR(INDEX(AK_KEL,MATCH(D1099,AK_NAMA,0)),"?"))</f>
        <v>ASET</v>
      </c>
      <c r="Q1099" s="102" t="n">
        <f aca="false">N(Q1098)+IF(AND(N(E1099)&lt;&gt;0,K1099=TAHUN,N(J1099)&lt;=BLN,OR(C1099=BB_AKUN,D1099=BB_AKUN)),1,0)</f>
        <v>735</v>
      </c>
      <c r="R1099" s="104" t="str">
        <f aca="false">IF(OR(C1099&amp;D1099="",N(E1099)=0),"",IF(OR(O1099="?",P1099="?"),"⚠ akun tidak dikenal",IF(C1099=D1099,"⚠ debet = kredit","")))</f>
        <v/>
      </c>
    </row>
    <row r="1100" customFormat="false" ht="15" hidden="false" customHeight="false" outlineLevel="0" collapsed="false">
      <c r="A1100" s="82" t="s">
        <v>2257</v>
      </c>
      <c r="B1100" s="101" t="n">
        <v>46260</v>
      </c>
      <c r="C1100" s="82" t="s">
        <v>524</v>
      </c>
      <c r="D1100" s="82" t="s">
        <v>461</v>
      </c>
      <c r="E1100" s="91" t="n">
        <v>326</v>
      </c>
      <c r="F1100" s="82" t="s">
        <v>525</v>
      </c>
      <c r="G1100" s="82"/>
      <c r="H1100" s="82"/>
      <c r="I1100" s="82" t="s">
        <v>250</v>
      </c>
      <c r="J1100" s="102" t="n">
        <f aca="false">IF(B1100="","",MONTH(B1100))</f>
        <v>8</v>
      </c>
      <c r="K1100" s="102" t="n">
        <f aca="false">IF(B1100="","",YEAR(B1100))</f>
        <v>2026</v>
      </c>
      <c r="L1100" s="102" t="str">
        <f aca="false">IF(N(E1100)=0,"",IF(COUNTIFS(AK_NAMA,C1100,AK_KAT,"KAS")+COUNTIFS(AK_NAMA,D1100,AK_KAT,"KAS")&lt;&gt;1,"",IF(COUNTIFS(AK_NAMA,C1100,AK_KAT,"KAS")=1,D1100,C1100)))</f>
        <v>Biaya Lainnya</v>
      </c>
      <c r="M1100" s="103" t="n">
        <f aca="false">IF(L1100="",0,IF(L1100=D1100,E1100,-E1100))</f>
        <v>-326</v>
      </c>
      <c r="N1100" s="102" t="str">
        <f aca="false">IF(L1100="","",IFERROR(INDEX(AK_BARIS,MATCH(L1100,AK_NAMA,0)),"?"))</f>
        <v>OP2</v>
      </c>
      <c r="O1100" s="102" t="str">
        <f aca="false">IF(C1100="","",IFERROR(INDEX(AK_KEL,MATCH(C1100,AK_NAMA,0)),"?"))</f>
        <v>BEBAN</v>
      </c>
      <c r="P1100" s="102" t="str">
        <f aca="false">IF(D1100="","",IFERROR(INDEX(AK_KEL,MATCH(D1100,AK_NAMA,0)),"?"))</f>
        <v>ASET</v>
      </c>
      <c r="Q1100" s="102" t="n">
        <f aca="false">N(Q1099)+IF(AND(N(E1100)&lt;&gt;0,K1100=TAHUN,N(J1100)&lt;=BLN,OR(C1100=BB_AKUN,D1100=BB_AKUN)),1,0)</f>
        <v>736</v>
      </c>
      <c r="R1100" s="104" t="str">
        <f aca="false">IF(OR(C1100&amp;D1100="",N(E1100)=0),"",IF(OR(O1100="?",P1100="?"),"⚠ akun tidak dikenal",IF(C1100=D1100,"⚠ debet = kredit","")))</f>
        <v/>
      </c>
    </row>
    <row r="1101" customFormat="false" ht="15" hidden="false" customHeight="false" outlineLevel="0" collapsed="false">
      <c r="A1101" s="82" t="s">
        <v>2258</v>
      </c>
      <c r="B1101" s="101" t="n">
        <v>46260</v>
      </c>
      <c r="C1101" s="82" t="s">
        <v>576</v>
      </c>
      <c r="D1101" s="82" t="s">
        <v>461</v>
      </c>
      <c r="E1101" s="91" t="n">
        <v>21569333</v>
      </c>
      <c r="F1101" s="82" t="s">
        <v>724</v>
      </c>
      <c r="G1101" s="82"/>
      <c r="H1101" s="82"/>
      <c r="I1101" s="82" t="s">
        <v>250</v>
      </c>
      <c r="J1101" s="102" t="n">
        <f aca="false">IF(B1101="","",MONTH(B1101))</f>
        <v>8</v>
      </c>
      <c r="K1101" s="102" t="n">
        <f aca="false">IF(B1101="","",YEAR(B1101))</f>
        <v>2026</v>
      </c>
      <c r="L1101" s="102" t="str">
        <f aca="false">IF(N(E1101)=0,"",IF(COUNTIFS(AK_NAMA,C1101,AK_KAT,"KAS")+COUNTIFS(AK_NAMA,D1101,AK_KAT,"KAS")&lt;&gt;1,"",IF(COUNTIFS(AK_NAMA,C1101,AK_KAT,"KAS")=1,D1101,C1101)))</f>
        <v>Beban Gaji</v>
      </c>
      <c r="M1101" s="103" t="n">
        <f aca="false">IF(L1101="",0,IF(L1101=D1101,E1101,-E1101))</f>
        <v>-21569333</v>
      </c>
      <c r="N1101" s="102" t="str">
        <f aca="false">IF(L1101="","",IFERROR(INDEX(AK_BARIS,MATCH(L1101,AK_NAMA,0)),"?"))</f>
        <v>OP4</v>
      </c>
      <c r="O1101" s="102" t="str">
        <f aca="false">IF(C1101="","",IFERROR(INDEX(AK_KEL,MATCH(C1101,AK_NAMA,0)),"?"))</f>
        <v>BEBAN</v>
      </c>
      <c r="P1101" s="102" t="str">
        <f aca="false">IF(D1101="","",IFERROR(INDEX(AK_KEL,MATCH(D1101,AK_NAMA,0)),"?"))</f>
        <v>ASET</v>
      </c>
      <c r="Q1101" s="102" t="n">
        <f aca="false">N(Q1100)+IF(AND(N(E1101)&lt;&gt;0,K1101=TAHUN,N(J1101)&lt;=BLN,OR(C1101=BB_AKUN,D1101=BB_AKUN)),1,0)</f>
        <v>737</v>
      </c>
      <c r="R1101" s="104" t="str">
        <f aca="false">IF(OR(C1101&amp;D1101="",N(E1101)=0),"",IF(OR(O1101="?",P1101="?"),"⚠ akun tidak dikenal",IF(C1101=D1101,"⚠ debet = kredit","")))</f>
        <v/>
      </c>
    </row>
    <row r="1102" customFormat="false" ht="15" hidden="false" customHeight="false" outlineLevel="0" collapsed="false">
      <c r="A1102" s="82" t="s">
        <v>2259</v>
      </c>
      <c r="B1102" s="101" t="n">
        <v>46261</v>
      </c>
      <c r="C1102" s="82" t="s">
        <v>478</v>
      </c>
      <c r="D1102" s="82" t="s">
        <v>461</v>
      </c>
      <c r="E1102" s="91" t="n">
        <v>1500000</v>
      </c>
      <c r="F1102" s="82" t="s">
        <v>2260</v>
      </c>
      <c r="G1102" s="82"/>
      <c r="H1102" s="82"/>
      <c r="I1102" s="82" t="s">
        <v>250</v>
      </c>
      <c r="J1102" s="102" t="n">
        <f aca="false">IF(B1102="","",MONTH(B1102))</f>
        <v>8</v>
      </c>
      <c r="K1102" s="102" t="n">
        <f aca="false">IF(B1102="","",YEAR(B1102))</f>
        <v>2026</v>
      </c>
      <c r="L1102" s="102" t="str">
        <f aca="false">IF(N(E1102)=0,"",IF(COUNTIFS(AK_NAMA,C1102,AK_KAT,"KAS")+COUNTIFS(AK_NAMA,D1102,AK_KAT,"KAS")&lt;&gt;1,"",IF(COUNTIFS(AK_NAMA,C1102,AK_KAT,"KAS")=1,D1102,C1102)))</f>
        <v>Biaya Penyajian</v>
      </c>
      <c r="M1102" s="103" t="n">
        <f aca="false">IF(L1102="",0,IF(L1102=D1102,E1102,-E1102))</f>
        <v>-1500000</v>
      </c>
      <c r="N1102" s="102" t="str">
        <f aca="false">IF(L1102="","",IFERROR(INDEX(AK_BARIS,MATCH(L1102,AK_NAMA,0)),"?"))</f>
        <v>OP3</v>
      </c>
      <c r="O1102" s="102" t="str">
        <f aca="false">IF(C1102="","",IFERROR(INDEX(AK_KEL,MATCH(C1102,AK_NAMA,0)),"?"))</f>
        <v>BEBAN</v>
      </c>
      <c r="P1102" s="102" t="str">
        <f aca="false">IF(D1102="","",IFERROR(INDEX(AK_KEL,MATCH(D1102,AK_NAMA,0)),"?"))</f>
        <v>ASET</v>
      </c>
      <c r="Q1102" s="102" t="n">
        <f aca="false">N(Q1101)+IF(AND(N(E1102)&lt;&gt;0,K1102=TAHUN,N(J1102)&lt;=BLN,OR(C1102=BB_AKUN,D1102=BB_AKUN)),1,0)</f>
        <v>738</v>
      </c>
      <c r="R1102" s="104" t="str">
        <f aca="false">IF(OR(C1102&amp;D1102="",N(E1102)=0),"",IF(OR(O1102="?",P1102="?"),"⚠ akun tidak dikenal",IF(C1102=D1102,"⚠ debet = kredit","")))</f>
        <v/>
      </c>
    </row>
    <row r="1103" customFormat="false" ht="15" hidden="false" customHeight="false" outlineLevel="0" collapsed="false">
      <c r="A1103" s="82" t="s">
        <v>2261</v>
      </c>
      <c r="B1103" s="101" t="n">
        <v>46261</v>
      </c>
      <c r="C1103" s="82" t="s">
        <v>478</v>
      </c>
      <c r="D1103" s="82" t="s">
        <v>461</v>
      </c>
      <c r="E1103" s="91" t="n">
        <v>1470000</v>
      </c>
      <c r="F1103" s="82" t="s">
        <v>2262</v>
      </c>
      <c r="G1103" s="82"/>
      <c r="H1103" s="82"/>
      <c r="I1103" s="82" t="s">
        <v>250</v>
      </c>
      <c r="J1103" s="102" t="n">
        <f aca="false">IF(B1103="","",MONTH(B1103))</f>
        <v>8</v>
      </c>
      <c r="K1103" s="102" t="n">
        <f aca="false">IF(B1103="","",YEAR(B1103))</f>
        <v>2026</v>
      </c>
      <c r="L1103" s="102" t="str">
        <f aca="false">IF(N(E1103)=0,"",IF(COUNTIFS(AK_NAMA,C1103,AK_KAT,"KAS")+COUNTIFS(AK_NAMA,D1103,AK_KAT,"KAS")&lt;&gt;1,"",IF(COUNTIFS(AK_NAMA,C1103,AK_KAT,"KAS")=1,D1103,C1103)))</f>
        <v>Biaya Penyajian</v>
      </c>
      <c r="M1103" s="103" t="n">
        <f aca="false">IF(L1103="",0,IF(L1103=D1103,E1103,-E1103))</f>
        <v>-1470000</v>
      </c>
      <c r="N1103" s="102" t="str">
        <f aca="false">IF(L1103="","",IFERROR(INDEX(AK_BARIS,MATCH(L1103,AK_NAMA,0)),"?"))</f>
        <v>OP3</v>
      </c>
      <c r="O1103" s="102" t="str">
        <f aca="false">IF(C1103="","",IFERROR(INDEX(AK_KEL,MATCH(C1103,AK_NAMA,0)),"?"))</f>
        <v>BEBAN</v>
      </c>
      <c r="P1103" s="102" t="str">
        <f aca="false">IF(D1103="","",IFERROR(INDEX(AK_KEL,MATCH(D1103,AK_NAMA,0)),"?"))</f>
        <v>ASET</v>
      </c>
      <c r="Q1103" s="102" t="n">
        <f aca="false">N(Q1102)+IF(AND(N(E1103)&lt;&gt;0,K1103=TAHUN,N(J1103)&lt;=BLN,OR(C1103=BB_AKUN,D1103=BB_AKUN)),1,0)</f>
        <v>739</v>
      </c>
      <c r="R1103" s="104" t="str">
        <f aca="false">IF(OR(C1103&amp;D1103="",N(E1103)=0),"",IF(OR(O1103="?",P1103="?"),"⚠ akun tidak dikenal",IF(C1103=D1103,"⚠ debet = kredit","")))</f>
        <v/>
      </c>
    </row>
    <row r="1104" customFormat="false" ht="15" hidden="false" customHeight="false" outlineLevel="0" collapsed="false">
      <c r="A1104" s="82" t="s">
        <v>2263</v>
      </c>
      <c r="B1104" s="101" t="n">
        <v>46261</v>
      </c>
      <c r="C1104" s="82" t="s">
        <v>467</v>
      </c>
      <c r="D1104" s="82" t="s">
        <v>475</v>
      </c>
      <c r="E1104" s="91" t="n">
        <v>325000</v>
      </c>
      <c r="F1104" s="82" t="s">
        <v>2264</v>
      </c>
      <c r="G1104" s="82"/>
      <c r="H1104" s="82"/>
      <c r="I1104" s="82" t="s">
        <v>250</v>
      </c>
      <c r="J1104" s="102" t="n">
        <f aca="false">IF(B1104="","",MONTH(B1104))</f>
        <v>8</v>
      </c>
      <c r="K1104" s="102" t="n">
        <f aca="false">IF(B1104="","",YEAR(B1104))</f>
        <v>2026</v>
      </c>
      <c r="L1104" s="102" t="str">
        <f aca="false">IF(N(E1104)=0,"",IF(COUNTIFS(AK_NAMA,C1104,AK_KAT,"KAS")+COUNTIFS(AK_NAMA,D1104,AK_KAT,"KAS")&lt;&gt;1,"",IF(COUNTIFS(AK_NAMA,C1104,AK_KAT,"KAS")=1,D1104,C1104)))</f>
        <v>Dana Sosial &amp; CSR</v>
      </c>
      <c r="M1104" s="103" t="n">
        <f aca="false">IF(L1104="",0,IF(L1104=D1104,E1104,-E1104))</f>
        <v>-325000</v>
      </c>
      <c r="N1104" s="102" t="str">
        <f aca="false">IF(L1104="","",IFERROR(INDEX(AK_BARIS,MATCH(L1104,AK_NAMA,0)),"?"))</f>
        <v>OP6</v>
      </c>
      <c r="O1104" s="102" t="str">
        <f aca="false">IF(C1104="","",IFERROR(INDEX(AK_KEL,MATCH(C1104,AK_NAMA,0)),"?"))</f>
        <v>BEBAN</v>
      </c>
      <c r="P1104" s="102" t="str">
        <f aca="false">IF(D1104="","",IFERROR(INDEX(AK_KEL,MATCH(D1104,AK_NAMA,0)),"?"))</f>
        <v>ASET</v>
      </c>
      <c r="Q1104" s="102" t="n">
        <f aca="false">N(Q1103)+IF(AND(N(E1104)&lt;&gt;0,K1104=TAHUN,N(J1104)&lt;=BLN,OR(C1104=BB_AKUN,D1104=BB_AKUN)),1,0)</f>
        <v>739</v>
      </c>
      <c r="R1104" s="104" t="str">
        <f aca="false">IF(OR(C1104&amp;D1104="",N(E1104)=0),"",IF(OR(O1104="?",P1104="?"),"⚠ akun tidak dikenal",IF(C1104=D1104,"⚠ debet = kredit","")))</f>
        <v/>
      </c>
    </row>
    <row r="1105" customFormat="false" ht="15" hidden="false" customHeight="false" outlineLevel="0" collapsed="false">
      <c r="A1105" s="82" t="s">
        <v>2265</v>
      </c>
      <c r="B1105" s="101" t="n">
        <v>46262</v>
      </c>
      <c r="C1105" s="82" t="s">
        <v>548</v>
      </c>
      <c r="D1105" s="82" t="s">
        <v>461</v>
      </c>
      <c r="E1105" s="91" t="n">
        <v>102000</v>
      </c>
      <c r="F1105" s="82" t="s">
        <v>2266</v>
      </c>
      <c r="G1105" s="82"/>
      <c r="H1105" s="82"/>
      <c r="I1105" s="82" t="s">
        <v>250</v>
      </c>
      <c r="J1105" s="102" t="n">
        <f aca="false">IF(B1105="","",MONTH(B1105))</f>
        <v>8</v>
      </c>
      <c r="K1105" s="102" t="n">
        <f aca="false">IF(B1105="","",YEAR(B1105))</f>
        <v>2026</v>
      </c>
      <c r="L1105" s="102" t="str">
        <f aca="false">IF(N(E1105)=0,"",IF(COUNTIFS(AK_NAMA,C1105,AK_KAT,"KAS")+COUNTIFS(AK_NAMA,D1105,AK_KAT,"KAS")&lt;&gt;1,"",IF(COUNTIFS(AK_NAMA,C1105,AK_KAT,"KAS")=1,D1105,C1105)))</f>
        <v>Beban Perlengkapan</v>
      </c>
      <c r="M1105" s="103" t="n">
        <f aca="false">IF(L1105="",0,IF(L1105=D1105,E1105,-E1105))</f>
        <v>-102000</v>
      </c>
      <c r="N1105" s="102" t="str">
        <f aca="false">IF(L1105="","",IFERROR(INDEX(AK_BARIS,MATCH(L1105,AK_NAMA,0)),"?"))</f>
        <v>OP6</v>
      </c>
      <c r="O1105" s="102" t="str">
        <f aca="false">IF(C1105="","",IFERROR(INDEX(AK_KEL,MATCH(C1105,AK_NAMA,0)),"?"))</f>
        <v>BEBAN</v>
      </c>
      <c r="P1105" s="102" t="str">
        <f aca="false">IF(D1105="","",IFERROR(INDEX(AK_KEL,MATCH(D1105,AK_NAMA,0)),"?"))</f>
        <v>ASET</v>
      </c>
      <c r="Q1105" s="102" t="n">
        <f aca="false">N(Q1104)+IF(AND(N(E1105)&lt;&gt;0,K1105=TAHUN,N(J1105)&lt;=BLN,OR(C1105=BB_AKUN,D1105=BB_AKUN)),1,0)</f>
        <v>740</v>
      </c>
      <c r="R1105" s="104" t="str">
        <f aca="false">IF(OR(C1105&amp;D1105="",N(E1105)=0),"",IF(OR(O1105="?",P1105="?"),"⚠ akun tidak dikenal",IF(C1105=D1105,"⚠ debet = kredit","")))</f>
        <v/>
      </c>
    </row>
    <row r="1106" customFormat="false" ht="15" hidden="false" customHeight="false" outlineLevel="0" collapsed="false">
      <c r="A1106" s="82" t="s">
        <v>2267</v>
      </c>
      <c r="B1106" s="101" t="n">
        <v>46262</v>
      </c>
      <c r="C1106" s="82" t="s">
        <v>669</v>
      </c>
      <c r="D1106" s="82" t="s">
        <v>461</v>
      </c>
      <c r="E1106" s="91" t="n">
        <v>389000</v>
      </c>
      <c r="F1106" s="82" t="s">
        <v>1956</v>
      </c>
      <c r="G1106" s="82"/>
      <c r="H1106" s="82"/>
      <c r="I1106" s="82" t="s">
        <v>250</v>
      </c>
      <c r="J1106" s="102" t="n">
        <f aca="false">IF(B1106="","",MONTH(B1106))</f>
        <v>8</v>
      </c>
      <c r="K1106" s="102" t="n">
        <f aca="false">IF(B1106="","",YEAR(B1106))</f>
        <v>2026</v>
      </c>
      <c r="L1106" s="102" t="str">
        <f aca="false">IF(N(E1106)=0,"",IF(COUNTIFS(AK_NAMA,C1106,AK_KAT,"KAS")+COUNTIFS(AK_NAMA,D1106,AK_KAT,"KAS")&lt;&gt;1,"",IF(COUNTIFS(AK_NAMA,C1106,AK_KAT,"KAS")=1,D1106,C1106)))</f>
        <v>Biaya Tagihan Bulanan</v>
      </c>
      <c r="M1106" s="103" t="n">
        <f aca="false">IF(L1106="",0,IF(L1106=D1106,E1106,-E1106))</f>
        <v>-389000</v>
      </c>
      <c r="N1106" s="102" t="str">
        <f aca="false">IF(L1106="","",IFERROR(INDEX(AK_BARIS,MATCH(L1106,AK_NAMA,0)),"?"))</f>
        <v>OP6</v>
      </c>
      <c r="O1106" s="102" t="str">
        <f aca="false">IF(C1106="","",IFERROR(INDEX(AK_KEL,MATCH(C1106,AK_NAMA,0)),"?"))</f>
        <v>BEBAN</v>
      </c>
      <c r="P1106" s="102" t="str">
        <f aca="false">IF(D1106="","",IFERROR(INDEX(AK_KEL,MATCH(D1106,AK_NAMA,0)),"?"))</f>
        <v>ASET</v>
      </c>
      <c r="Q1106" s="102" t="n">
        <f aca="false">N(Q1105)+IF(AND(N(E1106)&lt;&gt;0,K1106=TAHUN,N(J1106)&lt;=BLN,OR(C1106=BB_AKUN,D1106=BB_AKUN)),1,0)</f>
        <v>741</v>
      </c>
      <c r="R1106" s="104" t="str">
        <f aca="false">IF(OR(C1106&amp;D1106="",N(E1106)=0),"",IF(OR(O1106="?",P1106="?"),"⚠ akun tidak dikenal",IF(C1106=D1106,"⚠ debet = kredit","")))</f>
        <v/>
      </c>
    </row>
    <row r="1107" customFormat="false" ht="15" hidden="false" customHeight="false" outlineLevel="0" collapsed="false">
      <c r="A1107" s="82" t="s">
        <v>2268</v>
      </c>
      <c r="B1107" s="101" t="n">
        <v>46263</v>
      </c>
      <c r="C1107" s="82" t="s">
        <v>576</v>
      </c>
      <c r="D1107" s="82" t="s">
        <v>461</v>
      </c>
      <c r="E1107" s="91" t="n">
        <v>1100000</v>
      </c>
      <c r="F1107" s="82" t="s">
        <v>726</v>
      </c>
      <c r="G1107" s="82"/>
      <c r="H1107" s="82"/>
      <c r="I1107" s="82" t="s">
        <v>250</v>
      </c>
      <c r="J1107" s="102" t="n">
        <f aca="false">IF(B1107="","",MONTH(B1107))</f>
        <v>8</v>
      </c>
      <c r="K1107" s="102" t="n">
        <f aca="false">IF(B1107="","",YEAR(B1107))</f>
        <v>2026</v>
      </c>
      <c r="L1107" s="102" t="str">
        <f aca="false">IF(N(E1107)=0,"",IF(COUNTIFS(AK_NAMA,C1107,AK_KAT,"KAS")+COUNTIFS(AK_NAMA,D1107,AK_KAT,"KAS")&lt;&gt;1,"",IF(COUNTIFS(AK_NAMA,C1107,AK_KAT,"KAS")=1,D1107,C1107)))</f>
        <v>Beban Gaji</v>
      </c>
      <c r="M1107" s="103" t="n">
        <f aca="false">IF(L1107="",0,IF(L1107=D1107,E1107,-E1107))</f>
        <v>-1100000</v>
      </c>
      <c r="N1107" s="102" t="str">
        <f aca="false">IF(L1107="","",IFERROR(INDEX(AK_BARIS,MATCH(L1107,AK_NAMA,0)),"?"))</f>
        <v>OP4</v>
      </c>
      <c r="O1107" s="102" t="str">
        <f aca="false">IF(C1107="","",IFERROR(INDEX(AK_KEL,MATCH(C1107,AK_NAMA,0)),"?"))</f>
        <v>BEBAN</v>
      </c>
      <c r="P1107" s="102" t="str">
        <f aca="false">IF(D1107="","",IFERROR(INDEX(AK_KEL,MATCH(D1107,AK_NAMA,0)),"?"))</f>
        <v>ASET</v>
      </c>
      <c r="Q1107" s="102" t="n">
        <f aca="false">N(Q1106)+IF(AND(N(E1107)&lt;&gt;0,K1107=TAHUN,N(J1107)&lt;=BLN,OR(C1107=BB_AKUN,D1107=BB_AKUN)),1,0)</f>
        <v>742</v>
      </c>
      <c r="R1107" s="104" t="str">
        <f aca="false">IF(OR(C1107&amp;D1107="",N(E1107)=0),"",IF(OR(O1107="?",P1107="?"),"⚠ akun tidak dikenal",IF(C1107=D1107,"⚠ debet = kredit","")))</f>
        <v/>
      </c>
    </row>
    <row r="1108" customFormat="false" ht="15" hidden="false" customHeight="false" outlineLevel="0" collapsed="false">
      <c r="A1108" s="82" t="s">
        <v>2269</v>
      </c>
      <c r="B1108" s="101" t="n">
        <v>46263</v>
      </c>
      <c r="C1108" s="82" t="s">
        <v>461</v>
      </c>
      <c r="D1108" s="82" t="s">
        <v>718</v>
      </c>
      <c r="E1108" s="91" t="n">
        <v>333333</v>
      </c>
      <c r="F1108" s="82" t="s">
        <v>1641</v>
      </c>
      <c r="G1108" s="82"/>
      <c r="H1108" s="82"/>
      <c r="I1108" s="82" t="s">
        <v>250</v>
      </c>
      <c r="J1108" s="102" t="n">
        <f aca="false">IF(B1108="","",MONTH(B1108))</f>
        <v>8</v>
      </c>
      <c r="K1108" s="102" t="n">
        <f aca="false">IF(B1108="","",YEAR(B1108))</f>
        <v>2026</v>
      </c>
      <c r="L1108" s="102" t="str">
        <f aca="false">IF(N(E1108)=0,"",IF(COUNTIFS(AK_NAMA,C1108,AK_KAT,"KAS")+COUNTIFS(AK_NAMA,D1108,AK_KAT,"KAS")&lt;&gt;1,"",IF(COUNTIFS(AK_NAMA,C1108,AK_KAT,"KAS")=1,D1108,C1108)))</f>
        <v>Piutang Lainnya</v>
      </c>
      <c r="M1108" s="103" t="n">
        <f aca="false">IF(L1108="",0,IF(L1108=D1108,E1108,-E1108))</f>
        <v>333333</v>
      </c>
      <c r="N1108" s="102" t="str">
        <f aca="false">IF(L1108="","",IFERROR(INDEX(AK_BARIS,MATCH(L1108,AK_NAMA,0)),"?"))</f>
        <v>OP2</v>
      </c>
      <c r="O1108" s="102" t="str">
        <f aca="false">IF(C1108="","",IFERROR(INDEX(AK_KEL,MATCH(C1108,AK_NAMA,0)),"?"))</f>
        <v>ASET</v>
      </c>
      <c r="P1108" s="102" t="str">
        <f aca="false">IF(D1108="","",IFERROR(INDEX(AK_KEL,MATCH(D1108,AK_NAMA,0)),"?"))</f>
        <v>ASET</v>
      </c>
      <c r="Q1108" s="102" t="n">
        <f aca="false">N(Q1107)+IF(AND(N(E1108)&lt;&gt;0,K1108=TAHUN,N(J1108)&lt;=BLN,OR(C1108=BB_AKUN,D1108=BB_AKUN)),1,0)</f>
        <v>743</v>
      </c>
      <c r="R1108" s="104" t="str">
        <f aca="false">IF(OR(C1108&amp;D1108="",N(E1108)=0),"",IF(OR(O1108="?",P1108="?"),"⚠ akun tidak dikenal",IF(C1108=D1108,"⚠ debet = kredit","")))</f>
        <v/>
      </c>
    </row>
    <row r="1109" customFormat="false" ht="15" hidden="false" customHeight="false" outlineLevel="0" collapsed="false">
      <c r="A1109" s="82" t="s">
        <v>2270</v>
      </c>
      <c r="B1109" s="101" t="n">
        <v>46263</v>
      </c>
      <c r="C1109" s="82" t="s">
        <v>524</v>
      </c>
      <c r="D1109" s="82" t="s">
        <v>461</v>
      </c>
      <c r="E1109" s="91" t="n">
        <v>2301</v>
      </c>
      <c r="F1109" s="82" t="s">
        <v>728</v>
      </c>
      <c r="G1109" s="82"/>
      <c r="H1109" s="82"/>
      <c r="I1109" s="82" t="s">
        <v>250</v>
      </c>
      <c r="J1109" s="102" t="n">
        <f aca="false">IF(B1109="","",MONTH(B1109))</f>
        <v>8</v>
      </c>
      <c r="K1109" s="102" t="n">
        <f aca="false">IF(B1109="","",YEAR(B1109))</f>
        <v>2026</v>
      </c>
      <c r="L1109" s="102" t="str">
        <f aca="false">IF(N(E1109)=0,"",IF(COUNTIFS(AK_NAMA,C1109,AK_KAT,"KAS")+COUNTIFS(AK_NAMA,D1109,AK_KAT,"KAS")&lt;&gt;1,"",IF(COUNTIFS(AK_NAMA,C1109,AK_KAT,"KAS")=1,D1109,C1109)))</f>
        <v>Biaya Lainnya</v>
      </c>
      <c r="M1109" s="103" t="n">
        <f aca="false">IF(L1109="",0,IF(L1109=D1109,E1109,-E1109))</f>
        <v>-2301</v>
      </c>
      <c r="N1109" s="102" t="str">
        <f aca="false">IF(L1109="","",IFERROR(INDEX(AK_BARIS,MATCH(L1109,AK_NAMA,0)),"?"))</f>
        <v>OP2</v>
      </c>
      <c r="O1109" s="102" t="str">
        <f aca="false">IF(C1109="","",IFERROR(INDEX(AK_KEL,MATCH(C1109,AK_NAMA,0)),"?"))</f>
        <v>BEBAN</v>
      </c>
      <c r="P1109" s="102" t="str">
        <f aca="false">IF(D1109="","",IFERROR(INDEX(AK_KEL,MATCH(D1109,AK_NAMA,0)),"?"))</f>
        <v>ASET</v>
      </c>
      <c r="Q1109" s="102" t="n">
        <f aca="false">N(Q1108)+IF(AND(N(E1109)&lt;&gt;0,K1109=TAHUN,N(J1109)&lt;=BLN,OR(C1109=BB_AKUN,D1109=BB_AKUN)),1,0)</f>
        <v>744</v>
      </c>
      <c r="R1109" s="104" t="str">
        <f aca="false">IF(OR(C1109&amp;D1109="",N(E1109)=0),"",IF(OR(O1109="?",P1109="?"),"⚠ akun tidak dikenal",IF(C1109=D1109,"⚠ debet = kredit","")))</f>
        <v/>
      </c>
    </row>
    <row r="1110" customFormat="false" ht="15" hidden="false" customHeight="false" outlineLevel="0" collapsed="false">
      <c r="A1110" s="82" t="s">
        <v>2271</v>
      </c>
      <c r="B1110" s="101" t="n">
        <v>46263</v>
      </c>
      <c r="C1110" s="82" t="s">
        <v>486</v>
      </c>
      <c r="D1110" s="82" t="s">
        <v>461</v>
      </c>
      <c r="E1110" s="91" t="n">
        <v>500000</v>
      </c>
      <c r="F1110" s="82" t="s">
        <v>2272</v>
      </c>
      <c r="G1110" s="82"/>
      <c r="H1110" s="82"/>
      <c r="I1110" s="82" t="s">
        <v>250</v>
      </c>
      <c r="J1110" s="102" t="n">
        <f aca="false">IF(B1110="","",MONTH(B1110))</f>
        <v>8</v>
      </c>
      <c r="K1110" s="102" t="n">
        <f aca="false">IF(B1110="","",YEAR(B1110))</f>
        <v>2026</v>
      </c>
      <c r="L1110" s="102" t="str">
        <f aca="false">IF(N(E1110)=0,"",IF(COUNTIFS(AK_NAMA,C1110,AK_KAT,"KAS")+COUNTIFS(AK_NAMA,D1110,AK_KAT,"KAS")&lt;&gt;1,"",IF(COUNTIFS(AK_NAMA,C1110,AK_KAT,"KAS")=1,D1110,C1110)))</f>
        <v/>
      </c>
      <c r="M1110" s="103" t="n">
        <f aca="false">IF(L1110="",0,IF(L1110=D1110,E1110,-E1110))</f>
        <v>0</v>
      </c>
      <c r="N1110" s="102" t="str">
        <f aca="false">IF(L1110="","",IFERROR(INDEX(AK_BARIS,MATCH(L1110,AK_NAMA,0)),"?"))</f>
        <v/>
      </c>
      <c r="O1110" s="102" t="str">
        <f aca="false">IF(C1110="","",IFERROR(INDEX(AK_KEL,MATCH(C1110,AK_NAMA,0)),"?"))</f>
        <v>ASET</v>
      </c>
      <c r="P1110" s="102" t="str">
        <f aca="false">IF(D1110="","",IFERROR(INDEX(AK_KEL,MATCH(D1110,AK_NAMA,0)),"?"))</f>
        <v>ASET</v>
      </c>
      <c r="Q1110" s="102" t="n">
        <f aca="false">N(Q1109)+IF(AND(N(E1110)&lt;&gt;0,K1110=TAHUN,N(J1110)&lt;=BLN,OR(C1110=BB_AKUN,D1110=BB_AKUN)),1,0)</f>
        <v>745</v>
      </c>
      <c r="R1110" s="104" t="str">
        <f aca="false">IF(OR(C1110&amp;D1110="",N(E1110)=0),"",IF(OR(O1110="?",P1110="?"),"⚠ akun tidak dikenal",IF(C1110=D1110,"⚠ debet = kredit","")))</f>
        <v/>
      </c>
    </row>
    <row r="1111" customFormat="false" ht="15" hidden="false" customHeight="false" outlineLevel="0" collapsed="false">
      <c r="A1111" s="82" t="s">
        <v>2273</v>
      </c>
      <c r="B1111" s="101" t="n">
        <v>46263</v>
      </c>
      <c r="C1111" s="82" t="s">
        <v>524</v>
      </c>
      <c r="D1111" s="82" t="s">
        <v>461</v>
      </c>
      <c r="E1111" s="91" t="n">
        <v>378</v>
      </c>
      <c r="F1111" s="82" t="s">
        <v>525</v>
      </c>
      <c r="G1111" s="82"/>
      <c r="H1111" s="82"/>
      <c r="I1111" s="82" t="s">
        <v>250</v>
      </c>
      <c r="J1111" s="102" t="n">
        <f aca="false">IF(B1111="","",MONTH(B1111))</f>
        <v>8</v>
      </c>
      <c r="K1111" s="102" t="n">
        <f aca="false">IF(B1111="","",YEAR(B1111))</f>
        <v>2026</v>
      </c>
      <c r="L1111" s="102" t="str">
        <f aca="false">IF(N(E1111)=0,"",IF(COUNTIFS(AK_NAMA,C1111,AK_KAT,"KAS")+COUNTIFS(AK_NAMA,D1111,AK_KAT,"KAS")&lt;&gt;1,"",IF(COUNTIFS(AK_NAMA,C1111,AK_KAT,"KAS")=1,D1111,C1111)))</f>
        <v>Biaya Lainnya</v>
      </c>
      <c r="M1111" s="103" t="n">
        <f aca="false">IF(L1111="",0,IF(L1111=D1111,E1111,-E1111))</f>
        <v>-378</v>
      </c>
      <c r="N1111" s="102" t="str">
        <f aca="false">IF(L1111="","",IFERROR(INDEX(AK_BARIS,MATCH(L1111,AK_NAMA,0)),"?"))</f>
        <v>OP2</v>
      </c>
      <c r="O1111" s="102" t="str">
        <f aca="false">IF(C1111="","",IFERROR(INDEX(AK_KEL,MATCH(C1111,AK_NAMA,0)),"?"))</f>
        <v>BEBAN</v>
      </c>
      <c r="P1111" s="102" t="str">
        <f aca="false">IF(D1111="","",IFERROR(INDEX(AK_KEL,MATCH(D1111,AK_NAMA,0)),"?"))</f>
        <v>ASET</v>
      </c>
      <c r="Q1111" s="102" t="n">
        <f aca="false">N(Q1110)+IF(AND(N(E1111)&lt;&gt;0,K1111=TAHUN,N(J1111)&lt;=BLN,OR(C1111=BB_AKUN,D1111=BB_AKUN)),1,0)</f>
        <v>746</v>
      </c>
      <c r="R1111" s="104" t="str">
        <f aca="false">IF(OR(C1111&amp;D1111="",N(E1111)=0),"",IF(OR(O1111="?",P1111="?"),"⚠ akun tidak dikenal",IF(C1111=D1111,"⚠ debet = kredit","")))</f>
        <v/>
      </c>
    </row>
    <row r="1112" customFormat="false" ht="15" hidden="false" customHeight="false" outlineLevel="0" collapsed="false">
      <c r="A1112" s="82" t="s">
        <v>2274</v>
      </c>
      <c r="B1112" s="101" t="n">
        <v>46263</v>
      </c>
      <c r="C1112" s="82" t="s">
        <v>460</v>
      </c>
      <c r="D1112" s="82" t="s">
        <v>461</v>
      </c>
      <c r="E1112" s="91" t="n">
        <v>1500000</v>
      </c>
      <c r="F1112" s="82" t="s">
        <v>2275</v>
      </c>
      <c r="G1112" s="82" t="s">
        <v>391</v>
      </c>
      <c r="H1112" s="82"/>
      <c r="I1112" s="82" t="s">
        <v>250</v>
      </c>
      <c r="J1112" s="102" t="n">
        <f aca="false">IF(B1112="","",MONTH(B1112))</f>
        <v>8</v>
      </c>
      <c r="K1112" s="102" t="n">
        <f aca="false">IF(B1112="","",YEAR(B1112))</f>
        <v>2026</v>
      </c>
      <c r="L1112" s="102" t="str">
        <f aca="false">IF(N(E1112)=0,"",IF(COUNTIFS(AK_NAMA,C1112,AK_KAT,"KAS")+COUNTIFS(AK_NAMA,D1112,AK_KAT,"KAS")&lt;&gt;1,"",IF(COUNTIFS(AK_NAMA,C1112,AK_KAT,"KAS")=1,D1112,C1112)))</f>
        <v>Biaya Marketing &amp; Promosi</v>
      </c>
      <c r="M1112" s="103" t="n">
        <f aca="false">IF(L1112="",0,IF(L1112=D1112,E1112,-E1112))</f>
        <v>-1500000</v>
      </c>
      <c r="N1112" s="102" t="str">
        <f aca="false">IF(L1112="","",IFERROR(INDEX(AK_BARIS,MATCH(L1112,AK_NAMA,0)),"?"))</f>
        <v>OP6</v>
      </c>
      <c r="O1112" s="102" t="str">
        <f aca="false">IF(C1112="","",IFERROR(INDEX(AK_KEL,MATCH(C1112,AK_NAMA,0)),"?"))</f>
        <v>BEBAN</v>
      </c>
      <c r="P1112" s="102" t="str">
        <f aca="false">IF(D1112="","",IFERROR(INDEX(AK_KEL,MATCH(D1112,AK_NAMA,0)),"?"))</f>
        <v>ASET</v>
      </c>
      <c r="Q1112" s="102" t="n">
        <f aca="false">N(Q1111)+IF(AND(N(E1112)&lt;&gt;0,K1112=TAHUN,N(J1112)&lt;=BLN,OR(C1112=BB_AKUN,D1112=BB_AKUN)),1,0)</f>
        <v>747</v>
      </c>
      <c r="R1112" s="104" t="str">
        <f aca="false">IF(OR(C1112&amp;D1112="",N(E1112)=0),"",IF(OR(O1112="?",P1112="?"),"⚠ akun tidak dikenal",IF(C1112=D1112,"⚠ debet = kredit","")))</f>
        <v/>
      </c>
    </row>
    <row r="1113" customFormat="false" ht="15" hidden="false" customHeight="false" outlineLevel="0" collapsed="false">
      <c r="A1113" s="82" t="s">
        <v>2276</v>
      </c>
      <c r="B1113" s="101" t="n">
        <v>46263</v>
      </c>
      <c r="C1113" s="82" t="s">
        <v>461</v>
      </c>
      <c r="D1113" s="82" t="s">
        <v>557</v>
      </c>
      <c r="E1113" s="91" t="n">
        <v>100000</v>
      </c>
      <c r="F1113" s="82" t="s">
        <v>2277</v>
      </c>
      <c r="G1113" s="82"/>
      <c r="H1113" s="82"/>
      <c r="I1113" s="82" t="s">
        <v>250</v>
      </c>
      <c r="J1113" s="102" t="n">
        <f aca="false">IF(B1113="","",MONTH(B1113))</f>
        <v>8</v>
      </c>
      <c r="K1113" s="102" t="n">
        <f aca="false">IF(B1113="","",YEAR(B1113))</f>
        <v>2026</v>
      </c>
      <c r="L1113" s="102" t="str">
        <f aca="false">IF(N(E1113)=0,"",IF(COUNTIFS(AK_NAMA,C1113,AK_KAT,"KAS")+COUNTIFS(AK_NAMA,D1113,AK_KAT,"KAS")&lt;&gt;1,"",IF(COUNTIFS(AK_NAMA,C1113,AK_KAT,"KAS")=1,D1113,C1113)))</f>
        <v>Pendapatan Lainnya</v>
      </c>
      <c r="M1113" s="103" t="n">
        <f aca="false">IF(L1113="",0,IF(L1113=D1113,E1113,-E1113))</f>
        <v>100000</v>
      </c>
      <c r="N1113" s="102" t="str">
        <f aca="false">IF(L1113="","",IFERROR(INDEX(AK_BARIS,MATCH(L1113,AK_NAMA,0)),"?"))</f>
        <v>OP2</v>
      </c>
      <c r="O1113" s="102" t="str">
        <f aca="false">IF(C1113="","",IFERROR(INDEX(AK_KEL,MATCH(C1113,AK_NAMA,0)),"?"))</f>
        <v>ASET</v>
      </c>
      <c r="P1113" s="102" t="str">
        <f aca="false">IF(D1113="","",IFERROR(INDEX(AK_KEL,MATCH(D1113,AK_NAMA,0)),"?"))</f>
        <v>PENDAPATAN</v>
      </c>
      <c r="Q1113" s="102" t="n">
        <f aca="false">N(Q1112)+IF(AND(N(E1113)&lt;&gt;0,K1113=TAHUN,N(J1113)&lt;=BLN,OR(C1113=BB_AKUN,D1113=BB_AKUN)),1,0)</f>
        <v>748</v>
      </c>
      <c r="R1113" s="104" t="str">
        <f aca="false">IF(OR(C1113&amp;D1113="",N(E1113)=0),"",IF(OR(O1113="?",P1113="?"),"⚠ akun tidak dikenal",IF(C1113=D1113,"⚠ debet = kredit","")))</f>
        <v/>
      </c>
    </row>
    <row r="1114" customFormat="false" ht="15" hidden="false" customHeight="false" outlineLevel="0" collapsed="false">
      <c r="A1114" s="82" t="s">
        <v>2278</v>
      </c>
      <c r="B1114" s="101" t="n">
        <v>46263</v>
      </c>
      <c r="C1114" s="82" t="s">
        <v>461</v>
      </c>
      <c r="D1114" s="82" t="s">
        <v>475</v>
      </c>
      <c r="E1114" s="91" t="n">
        <v>1500000</v>
      </c>
      <c r="F1114" s="82" t="s">
        <v>2145</v>
      </c>
      <c r="G1114" s="82"/>
      <c r="H1114" s="82"/>
      <c r="I1114" s="82" t="s">
        <v>250</v>
      </c>
      <c r="J1114" s="102" t="n">
        <f aca="false">IF(B1114="","",MONTH(B1114))</f>
        <v>8</v>
      </c>
      <c r="K1114" s="102" t="n">
        <f aca="false">IF(B1114="","",YEAR(B1114))</f>
        <v>2026</v>
      </c>
      <c r="L1114" s="102" t="str">
        <f aca="false">IF(N(E1114)=0,"",IF(COUNTIFS(AK_NAMA,C1114,AK_KAT,"KAS")+COUNTIFS(AK_NAMA,D1114,AK_KAT,"KAS")&lt;&gt;1,"",IF(COUNTIFS(AK_NAMA,C1114,AK_KAT,"KAS")=1,D1114,C1114)))</f>
        <v/>
      </c>
      <c r="M1114" s="103" t="n">
        <f aca="false">IF(L1114="",0,IF(L1114=D1114,E1114,-E1114))</f>
        <v>0</v>
      </c>
      <c r="N1114" s="102" t="str">
        <f aca="false">IF(L1114="","",IFERROR(INDEX(AK_BARIS,MATCH(L1114,AK_NAMA,0)),"?"))</f>
        <v/>
      </c>
      <c r="O1114" s="102" t="str">
        <f aca="false">IF(C1114="","",IFERROR(INDEX(AK_KEL,MATCH(C1114,AK_NAMA,0)),"?"))</f>
        <v>ASET</v>
      </c>
      <c r="P1114" s="102" t="str">
        <f aca="false">IF(D1114="","",IFERROR(INDEX(AK_KEL,MATCH(D1114,AK_NAMA,0)),"?"))</f>
        <v>ASET</v>
      </c>
      <c r="Q1114" s="102" t="n">
        <f aca="false">N(Q1113)+IF(AND(N(E1114)&lt;&gt;0,K1114=TAHUN,N(J1114)&lt;=BLN,OR(C1114=BB_AKUN,D1114=BB_AKUN)),1,0)</f>
        <v>749</v>
      </c>
      <c r="R1114" s="104" t="str">
        <f aca="false">IF(OR(C1114&amp;D1114="",N(E1114)=0),"",IF(OR(O1114="?",P1114="?"),"⚠ akun tidak dikenal",IF(C1114=D1114,"⚠ debet = kredit","")))</f>
        <v/>
      </c>
    </row>
    <row r="1115" customFormat="false" ht="15" hidden="false" customHeight="false" outlineLevel="0" collapsed="false">
      <c r="A1115" s="82" t="s">
        <v>2279</v>
      </c>
      <c r="B1115" s="101" t="n">
        <v>46263</v>
      </c>
      <c r="C1115" s="82" t="s">
        <v>461</v>
      </c>
      <c r="D1115" s="82" t="s">
        <v>718</v>
      </c>
      <c r="E1115" s="91" t="n">
        <v>589500</v>
      </c>
      <c r="F1115" s="82" t="s">
        <v>2280</v>
      </c>
      <c r="G1115" s="82"/>
      <c r="H1115" s="82" t="s">
        <v>763</v>
      </c>
      <c r="I1115" s="82" t="s">
        <v>250</v>
      </c>
      <c r="J1115" s="102" t="n">
        <f aca="false">IF(B1115="","",MONTH(B1115))</f>
        <v>8</v>
      </c>
      <c r="K1115" s="102" t="n">
        <f aca="false">IF(B1115="","",YEAR(B1115))</f>
        <v>2026</v>
      </c>
      <c r="L1115" s="102" t="str">
        <f aca="false">IF(N(E1115)=0,"",IF(COUNTIFS(AK_NAMA,C1115,AK_KAT,"KAS")+COUNTIFS(AK_NAMA,D1115,AK_KAT,"KAS")&lt;&gt;1,"",IF(COUNTIFS(AK_NAMA,C1115,AK_KAT,"KAS")=1,D1115,C1115)))</f>
        <v>Piutang Lainnya</v>
      </c>
      <c r="M1115" s="103" t="n">
        <f aca="false">IF(L1115="",0,IF(L1115=D1115,E1115,-E1115))</f>
        <v>589500</v>
      </c>
      <c r="N1115" s="102" t="str">
        <f aca="false">IF(L1115="","",IFERROR(INDEX(AK_BARIS,MATCH(L1115,AK_NAMA,0)),"?"))</f>
        <v>OP2</v>
      </c>
      <c r="O1115" s="102" t="str">
        <f aca="false">IF(C1115="","",IFERROR(INDEX(AK_KEL,MATCH(C1115,AK_NAMA,0)),"?"))</f>
        <v>ASET</v>
      </c>
      <c r="P1115" s="102" t="str">
        <f aca="false">IF(D1115="","",IFERROR(INDEX(AK_KEL,MATCH(D1115,AK_NAMA,0)),"?"))</f>
        <v>ASET</v>
      </c>
      <c r="Q1115" s="102" t="n">
        <f aca="false">N(Q1114)+IF(AND(N(E1115)&lt;&gt;0,K1115=TAHUN,N(J1115)&lt;=BLN,OR(C1115=BB_AKUN,D1115=BB_AKUN)),1,0)</f>
        <v>750</v>
      </c>
      <c r="R1115" s="104" t="str">
        <f aca="false">IF(OR(C1115&amp;D1115="",N(E1115)=0),"",IF(OR(O1115="?",P1115="?"),"⚠ akun tidak dikenal",IF(C1115=D1115,"⚠ debet = kredit","")))</f>
        <v/>
      </c>
    </row>
    <row r="1116" customFormat="false" ht="15" hidden="false" customHeight="false" outlineLevel="0" collapsed="false">
      <c r="A1116" s="82" t="s">
        <v>2281</v>
      </c>
      <c r="B1116" s="101" t="n">
        <v>46264</v>
      </c>
      <c r="C1116" s="82" t="s">
        <v>470</v>
      </c>
      <c r="D1116" s="82" t="s">
        <v>461</v>
      </c>
      <c r="E1116" s="91" t="n">
        <v>570000</v>
      </c>
      <c r="F1116" s="82" t="s">
        <v>2282</v>
      </c>
      <c r="G1116" s="82"/>
      <c r="H1116" s="82"/>
      <c r="I1116" s="82" t="s">
        <v>250</v>
      </c>
      <c r="J1116" s="102" t="n">
        <f aca="false">IF(B1116="","",MONTH(B1116))</f>
        <v>8</v>
      </c>
      <c r="K1116" s="102" t="n">
        <f aca="false">IF(B1116="","",YEAR(B1116))</f>
        <v>2026</v>
      </c>
      <c r="L1116" s="102" t="str">
        <f aca="false">IF(N(E1116)=0,"",IF(COUNTIFS(AK_NAMA,C1116,AK_KAT,"KAS")+COUNTIFS(AK_NAMA,D1116,AK_KAT,"KAS")&lt;&gt;1,"",IF(COUNTIFS(AK_NAMA,C1116,AK_KAT,"KAS")=1,D1116,C1116)))</f>
        <v>Biaya Bahan Baku</v>
      </c>
      <c r="M1116" s="103" t="n">
        <f aca="false">IF(L1116="",0,IF(L1116=D1116,E1116,-E1116))</f>
        <v>-570000</v>
      </c>
      <c r="N1116" s="102" t="str">
        <f aca="false">IF(L1116="","",IFERROR(INDEX(AK_BARIS,MATCH(L1116,AK_NAMA,0)),"?"))</f>
        <v>OP3</v>
      </c>
      <c r="O1116" s="102" t="str">
        <f aca="false">IF(C1116="","",IFERROR(INDEX(AK_KEL,MATCH(C1116,AK_NAMA,0)),"?"))</f>
        <v>BEBAN</v>
      </c>
      <c r="P1116" s="102" t="str">
        <f aca="false">IF(D1116="","",IFERROR(INDEX(AK_KEL,MATCH(D1116,AK_NAMA,0)),"?"))</f>
        <v>ASET</v>
      </c>
      <c r="Q1116" s="102" t="n">
        <f aca="false">N(Q1115)+IF(AND(N(E1116)&lt;&gt;0,K1116=TAHUN,N(J1116)&lt;=BLN,OR(C1116=BB_AKUN,D1116=BB_AKUN)),1,0)</f>
        <v>751</v>
      </c>
      <c r="R1116" s="104" t="str">
        <f aca="false">IF(OR(C1116&amp;D1116="",N(E1116)=0),"",IF(OR(O1116="?",P1116="?"),"⚠ akun tidak dikenal",IF(C1116=D1116,"⚠ debet = kredit","")))</f>
        <v/>
      </c>
    </row>
    <row r="1117" customFormat="false" ht="15" hidden="false" customHeight="false" outlineLevel="0" collapsed="false">
      <c r="A1117" s="82" t="s">
        <v>2283</v>
      </c>
      <c r="B1117" s="101" t="n">
        <v>46264</v>
      </c>
      <c r="C1117" s="82" t="s">
        <v>524</v>
      </c>
      <c r="D1117" s="82" t="s">
        <v>461</v>
      </c>
      <c r="E1117" s="91" t="n">
        <v>325</v>
      </c>
      <c r="F1117" s="82" t="s">
        <v>525</v>
      </c>
      <c r="G1117" s="82"/>
      <c r="H1117" s="82"/>
      <c r="I1117" s="82" t="s">
        <v>250</v>
      </c>
      <c r="J1117" s="102" t="n">
        <f aca="false">IF(B1117="","",MONTH(B1117))</f>
        <v>8</v>
      </c>
      <c r="K1117" s="102" t="n">
        <f aca="false">IF(B1117="","",YEAR(B1117))</f>
        <v>2026</v>
      </c>
      <c r="L1117" s="102" t="str">
        <f aca="false">IF(N(E1117)=0,"",IF(COUNTIFS(AK_NAMA,C1117,AK_KAT,"KAS")+COUNTIFS(AK_NAMA,D1117,AK_KAT,"KAS")&lt;&gt;1,"",IF(COUNTIFS(AK_NAMA,C1117,AK_KAT,"KAS")=1,D1117,C1117)))</f>
        <v>Biaya Lainnya</v>
      </c>
      <c r="M1117" s="103" t="n">
        <f aca="false">IF(L1117="",0,IF(L1117=D1117,E1117,-E1117))</f>
        <v>-325</v>
      </c>
      <c r="N1117" s="102" t="str">
        <f aca="false">IF(L1117="","",IFERROR(INDEX(AK_BARIS,MATCH(L1117,AK_NAMA,0)),"?"))</f>
        <v>OP2</v>
      </c>
      <c r="O1117" s="102" t="str">
        <f aca="false">IF(C1117="","",IFERROR(INDEX(AK_KEL,MATCH(C1117,AK_NAMA,0)),"?"))</f>
        <v>BEBAN</v>
      </c>
      <c r="P1117" s="102" t="str">
        <f aca="false">IF(D1117="","",IFERROR(INDEX(AK_KEL,MATCH(D1117,AK_NAMA,0)),"?"))</f>
        <v>ASET</v>
      </c>
      <c r="Q1117" s="102" t="n">
        <f aca="false">N(Q1116)+IF(AND(N(E1117)&lt;&gt;0,K1117=TAHUN,N(J1117)&lt;=BLN,OR(C1117=BB_AKUN,D1117=BB_AKUN)),1,0)</f>
        <v>752</v>
      </c>
      <c r="R1117" s="104" t="str">
        <f aca="false">IF(OR(C1117&amp;D1117="",N(E1117)=0),"",IF(OR(O1117="?",P1117="?"),"⚠ akun tidak dikenal",IF(C1117=D1117,"⚠ debet = kredit","")))</f>
        <v/>
      </c>
    </row>
    <row r="1118" customFormat="false" ht="15" hidden="false" customHeight="false" outlineLevel="0" collapsed="false">
      <c r="A1118" s="82" t="s">
        <v>2284</v>
      </c>
      <c r="B1118" s="101" t="n">
        <v>46264</v>
      </c>
      <c r="C1118" s="82" t="s">
        <v>718</v>
      </c>
      <c r="D1118" s="82" t="s">
        <v>475</v>
      </c>
      <c r="E1118" s="91" t="n">
        <v>150000</v>
      </c>
      <c r="F1118" s="82" t="s">
        <v>2285</v>
      </c>
      <c r="G1118" s="82"/>
      <c r="H1118" s="82" t="s">
        <v>763</v>
      </c>
      <c r="I1118" s="82" t="s">
        <v>250</v>
      </c>
      <c r="J1118" s="102" t="n">
        <f aca="false">IF(B1118="","",MONTH(B1118))</f>
        <v>8</v>
      </c>
      <c r="K1118" s="102" t="n">
        <f aca="false">IF(B1118="","",YEAR(B1118))</f>
        <v>2026</v>
      </c>
      <c r="L1118" s="102" t="str">
        <f aca="false">IF(N(E1118)=0,"",IF(COUNTIFS(AK_NAMA,C1118,AK_KAT,"KAS")+COUNTIFS(AK_NAMA,D1118,AK_KAT,"KAS")&lt;&gt;1,"",IF(COUNTIFS(AK_NAMA,C1118,AK_KAT,"KAS")=1,D1118,C1118)))</f>
        <v>Piutang Lainnya</v>
      </c>
      <c r="M1118" s="103" t="n">
        <f aca="false">IF(L1118="",0,IF(L1118=D1118,E1118,-E1118))</f>
        <v>-150000</v>
      </c>
      <c r="N1118" s="102" t="str">
        <f aca="false">IF(L1118="","",IFERROR(INDEX(AK_BARIS,MATCH(L1118,AK_NAMA,0)),"?"))</f>
        <v>OP2</v>
      </c>
      <c r="O1118" s="102" t="str">
        <f aca="false">IF(C1118="","",IFERROR(INDEX(AK_KEL,MATCH(C1118,AK_NAMA,0)),"?"))</f>
        <v>ASET</v>
      </c>
      <c r="P1118" s="102" t="str">
        <f aca="false">IF(D1118="","",IFERROR(INDEX(AK_KEL,MATCH(D1118,AK_NAMA,0)),"?"))</f>
        <v>ASET</v>
      </c>
      <c r="Q1118" s="102" t="n">
        <f aca="false">N(Q1117)+IF(AND(N(E1118)&lt;&gt;0,K1118=TAHUN,N(J1118)&lt;=BLN,OR(C1118=BB_AKUN,D1118=BB_AKUN)),1,0)</f>
        <v>752</v>
      </c>
      <c r="R1118" s="104" t="str">
        <f aca="false">IF(OR(C1118&amp;D1118="",N(E1118)=0),"",IF(OR(O1118="?",P1118="?"),"⚠ akun tidak dikenal",IF(C1118=D1118,"⚠ debet = kredit","")))</f>
        <v/>
      </c>
    </row>
    <row r="1119" customFormat="false" ht="15" hidden="false" customHeight="false" outlineLevel="0" collapsed="false">
      <c r="A1119" s="82" t="s">
        <v>2286</v>
      </c>
      <c r="B1119" s="101" t="n">
        <v>46265</v>
      </c>
      <c r="C1119" s="82" t="s">
        <v>524</v>
      </c>
      <c r="D1119" s="82" t="s">
        <v>461</v>
      </c>
      <c r="E1119" s="91" t="n">
        <v>183</v>
      </c>
      <c r="F1119" s="82" t="s">
        <v>775</v>
      </c>
      <c r="G1119" s="82"/>
      <c r="H1119" s="82"/>
      <c r="I1119" s="82" t="s">
        <v>250</v>
      </c>
      <c r="J1119" s="102" t="n">
        <f aca="false">IF(B1119="","",MONTH(B1119))</f>
        <v>8</v>
      </c>
      <c r="K1119" s="102" t="n">
        <f aca="false">IF(B1119="","",YEAR(B1119))</f>
        <v>2026</v>
      </c>
      <c r="L1119" s="102" t="str">
        <f aca="false">IF(N(E1119)=0,"",IF(COUNTIFS(AK_NAMA,C1119,AK_KAT,"KAS")+COUNTIFS(AK_NAMA,D1119,AK_KAT,"KAS")&lt;&gt;1,"",IF(COUNTIFS(AK_NAMA,C1119,AK_KAT,"KAS")=1,D1119,C1119)))</f>
        <v>Biaya Lainnya</v>
      </c>
      <c r="M1119" s="103" t="n">
        <f aca="false">IF(L1119="",0,IF(L1119=D1119,E1119,-E1119))</f>
        <v>-183</v>
      </c>
      <c r="N1119" s="102" t="str">
        <f aca="false">IF(L1119="","",IFERROR(INDEX(AK_BARIS,MATCH(L1119,AK_NAMA,0)),"?"))</f>
        <v>OP2</v>
      </c>
      <c r="O1119" s="102" t="str">
        <f aca="false">IF(C1119="","",IFERROR(INDEX(AK_KEL,MATCH(C1119,AK_NAMA,0)),"?"))</f>
        <v>BEBAN</v>
      </c>
      <c r="P1119" s="102" t="str">
        <f aca="false">IF(D1119="","",IFERROR(INDEX(AK_KEL,MATCH(D1119,AK_NAMA,0)),"?"))</f>
        <v>ASET</v>
      </c>
      <c r="Q1119" s="102" t="n">
        <f aca="false">N(Q1118)+IF(AND(N(E1119)&lt;&gt;0,K1119=TAHUN,N(J1119)&lt;=BLN,OR(C1119=BB_AKUN,D1119=BB_AKUN)),1,0)</f>
        <v>753</v>
      </c>
      <c r="R1119" s="104" t="str">
        <f aca="false">IF(OR(C1119&amp;D1119="",N(E1119)=0),"",IF(OR(O1119="?",P1119="?"),"⚠ akun tidak dikenal",IF(C1119=D1119,"⚠ debet = kredit","")))</f>
        <v/>
      </c>
    </row>
    <row r="1120" customFormat="false" ht="15" hidden="false" customHeight="false" outlineLevel="0" collapsed="false">
      <c r="A1120" s="82" t="s">
        <v>2287</v>
      </c>
      <c r="B1120" s="101" t="n">
        <v>46265</v>
      </c>
      <c r="C1120" s="82" t="s">
        <v>461</v>
      </c>
      <c r="D1120" s="82" t="s">
        <v>557</v>
      </c>
      <c r="E1120" s="91" t="n">
        <v>914</v>
      </c>
      <c r="F1120" s="82" t="s">
        <v>773</v>
      </c>
      <c r="G1120" s="82"/>
      <c r="H1120" s="82"/>
      <c r="I1120" s="82" t="s">
        <v>250</v>
      </c>
      <c r="J1120" s="102" t="n">
        <f aca="false">IF(B1120="","",MONTH(B1120))</f>
        <v>8</v>
      </c>
      <c r="K1120" s="102" t="n">
        <f aca="false">IF(B1120="","",YEAR(B1120))</f>
        <v>2026</v>
      </c>
      <c r="L1120" s="102" t="str">
        <f aca="false">IF(N(E1120)=0,"",IF(COUNTIFS(AK_NAMA,C1120,AK_KAT,"KAS")+COUNTIFS(AK_NAMA,D1120,AK_KAT,"KAS")&lt;&gt;1,"",IF(COUNTIFS(AK_NAMA,C1120,AK_KAT,"KAS")=1,D1120,C1120)))</f>
        <v>Pendapatan Lainnya</v>
      </c>
      <c r="M1120" s="103" t="n">
        <f aca="false">IF(L1120="",0,IF(L1120=D1120,E1120,-E1120))</f>
        <v>914</v>
      </c>
      <c r="N1120" s="102" t="str">
        <f aca="false">IF(L1120="","",IFERROR(INDEX(AK_BARIS,MATCH(L1120,AK_NAMA,0)),"?"))</f>
        <v>OP2</v>
      </c>
      <c r="O1120" s="102" t="str">
        <f aca="false">IF(C1120="","",IFERROR(INDEX(AK_KEL,MATCH(C1120,AK_NAMA,0)),"?"))</f>
        <v>ASET</v>
      </c>
      <c r="P1120" s="102" t="str">
        <f aca="false">IF(D1120="","",IFERROR(INDEX(AK_KEL,MATCH(D1120,AK_NAMA,0)),"?"))</f>
        <v>PENDAPATAN</v>
      </c>
      <c r="Q1120" s="102" t="n">
        <f aca="false">N(Q1119)+IF(AND(N(E1120)&lt;&gt;0,K1120=TAHUN,N(J1120)&lt;=BLN,OR(C1120=BB_AKUN,D1120=BB_AKUN)),1,0)</f>
        <v>754</v>
      </c>
      <c r="R1120" s="104" t="str">
        <f aca="false">IF(OR(C1120&amp;D1120="",N(E1120)=0),"",IF(OR(O1120="?",P1120="?"),"⚠ akun tidak dikenal",IF(C1120=D1120,"⚠ debet = kredit","")))</f>
        <v/>
      </c>
    </row>
    <row r="1121" customFormat="false" ht="15" hidden="false" customHeight="false" outlineLevel="0" collapsed="false">
      <c r="A1121" s="82" t="s">
        <v>2288</v>
      </c>
      <c r="B1121" s="101" t="n">
        <v>46265</v>
      </c>
      <c r="C1121" s="82" t="s">
        <v>461</v>
      </c>
      <c r="D1121" s="82" t="s">
        <v>557</v>
      </c>
      <c r="E1121" s="91" t="n">
        <v>2</v>
      </c>
      <c r="F1121" s="82" t="s">
        <v>1205</v>
      </c>
      <c r="G1121" s="82"/>
      <c r="H1121" s="82"/>
      <c r="I1121" s="82" t="s">
        <v>250</v>
      </c>
      <c r="J1121" s="102" t="n">
        <f aca="false">IF(B1121="","",MONTH(B1121))</f>
        <v>8</v>
      </c>
      <c r="K1121" s="102" t="n">
        <f aca="false">IF(B1121="","",YEAR(B1121))</f>
        <v>2026</v>
      </c>
      <c r="L1121" s="102" t="str">
        <f aca="false">IF(N(E1121)=0,"",IF(COUNTIFS(AK_NAMA,C1121,AK_KAT,"KAS")+COUNTIFS(AK_NAMA,D1121,AK_KAT,"KAS")&lt;&gt;1,"",IF(COUNTIFS(AK_NAMA,C1121,AK_KAT,"KAS")=1,D1121,C1121)))</f>
        <v>Pendapatan Lainnya</v>
      </c>
      <c r="M1121" s="103" t="n">
        <f aca="false">IF(L1121="",0,IF(L1121=D1121,E1121,-E1121))</f>
        <v>2</v>
      </c>
      <c r="N1121" s="102" t="str">
        <f aca="false">IF(L1121="","",IFERROR(INDEX(AK_BARIS,MATCH(L1121,AK_NAMA,0)),"?"))</f>
        <v>OP2</v>
      </c>
      <c r="O1121" s="102" t="str">
        <f aca="false">IF(C1121="","",IFERROR(INDEX(AK_KEL,MATCH(C1121,AK_NAMA,0)),"?"))</f>
        <v>ASET</v>
      </c>
      <c r="P1121" s="102" t="str">
        <f aca="false">IF(D1121="","",IFERROR(INDEX(AK_KEL,MATCH(D1121,AK_NAMA,0)),"?"))</f>
        <v>PENDAPATAN</v>
      </c>
      <c r="Q1121" s="102" t="n">
        <f aca="false">N(Q1120)+IF(AND(N(E1121)&lt;&gt;0,K1121=TAHUN,N(J1121)&lt;=BLN,OR(C1121=BB_AKUN,D1121=BB_AKUN)),1,0)</f>
        <v>755</v>
      </c>
      <c r="R1121" s="104" t="str">
        <f aca="false">IF(OR(C1121&amp;D1121="",N(E1121)=0),"",IF(OR(O1121="?",P1121="?"),"⚠ akun tidak dikenal",IF(C1121=D1121,"⚠ debet = kredit","")))</f>
        <v/>
      </c>
    </row>
    <row r="1122" customFormat="false" ht="15" hidden="false" customHeight="false" outlineLevel="0" collapsed="false">
      <c r="A1122" s="82" t="s">
        <v>2289</v>
      </c>
      <c r="B1122" s="101" t="n">
        <v>46265</v>
      </c>
      <c r="C1122" s="82" t="s">
        <v>669</v>
      </c>
      <c r="D1122" s="82" t="s">
        <v>461</v>
      </c>
      <c r="E1122" s="91" t="n">
        <v>4174831</v>
      </c>
      <c r="F1122" s="82" t="s">
        <v>2290</v>
      </c>
      <c r="G1122" s="82"/>
      <c r="H1122" s="82"/>
      <c r="I1122" s="82" t="s">
        <v>250</v>
      </c>
      <c r="J1122" s="102" t="n">
        <f aca="false">IF(B1122="","",MONTH(B1122))</f>
        <v>8</v>
      </c>
      <c r="K1122" s="102" t="n">
        <f aca="false">IF(B1122="","",YEAR(B1122))</f>
        <v>2026</v>
      </c>
      <c r="L1122" s="102" t="str">
        <f aca="false">IF(N(E1122)=0,"",IF(COUNTIFS(AK_NAMA,C1122,AK_KAT,"KAS")+COUNTIFS(AK_NAMA,D1122,AK_KAT,"KAS")&lt;&gt;1,"",IF(COUNTIFS(AK_NAMA,C1122,AK_KAT,"KAS")=1,D1122,C1122)))</f>
        <v>Biaya Tagihan Bulanan</v>
      </c>
      <c r="M1122" s="103" t="n">
        <f aca="false">IF(L1122="",0,IF(L1122=D1122,E1122,-E1122))</f>
        <v>-4174831</v>
      </c>
      <c r="N1122" s="102" t="str">
        <f aca="false">IF(L1122="","",IFERROR(INDEX(AK_BARIS,MATCH(L1122,AK_NAMA,0)),"?"))</f>
        <v>OP6</v>
      </c>
      <c r="O1122" s="102" t="str">
        <f aca="false">IF(C1122="","",IFERROR(INDEX(AK_KEL,MATCH(C1122,AK_NAMA,0)),"?"))</f>
        <v>BEBAN</v>
      </c>
      <c r="P1122" s="102" t="str">
        <f aca="false">IF(D1122="","",IFERROR(INDEX(AK_KEL,MATCH(D1122,AK_NAMA,0)),"?"))</f>
        <v>ASET</v>
      </c>
      <c r="Q1122" s="102" t="n">
        <f aca="false">N(Q1121)+IF(AND(N(E1122)&lt;&gt;0,K1122=TAHUN,N(J1122)&lt;=BLN,OR(C1122=BB_AKUN,D1122=BB_AKUN)),1,0)</f>
        <v>756</v>
      </c>
      <c r="R1122" s="104" t="str">
        <f aca="false">IF(OR(C1122&amp;D1122="",N(E1122)=0),"",IF(OR(O1122="?",P1122="?"),"⚠ akun tidak dikenal",IF(C1122=D1122,"⚠ debet = kredit","")))</f>
        <v/>
      </c>
    </row>
    <row r="1123" customFormat="false" ht="15" hidden="false" customHeight="false" outlineLevel="0" collapsed="false">
      <c r="A1123" s="82" t="s">
        <v>2291</v>
      </c>
      <c r="B1123" s="101" t="n">
        <v>46265</v>
      </c>
      <c r="C1123" s="82" t="s">
        <v>787</v>
      </c>
      <c r="D1123" s="82" t="s">
        <v>461</v>
      </c>
      <c r="E1123" s="91" t="n">
        <v>1995100</v>
      </c>
      <c r="F1123" s="82" t="s">
        <v>2292</v>
      </c>
      <c r="G1123" s="82"/>
      <c r="H1123" s="82"/>
      <c r="I1123" s="82" t="s">
        <v>250</v>
      </c>
      <c r="J1123" s="102" t="n">
        <f aca="false">IF(B1123="","",MONTH(B1123))</f>
        <v>8</v>
      </c>
      <c r="K1123" s="102" t="n">
        <f aca="false">IF(B1123="","",YEAR(B1123))</f>
        <v>2026</v>
      </c>
      <c r="L1123" s="102" t="str">
        <f aca="false">IF(N(E1123)=0,"",IF(COUNTIFS(AK_NAMA,C1123,AK_KAT,"KAS")+COUNTIFS(AK_NAMA,D1123,AK_KAT,"KAS")&lt;&gt;1,"",IF(COUNTIFS(AK_NAMA,C1123,AK_KAT,"KAS")=1,D1123,C1123)))</f>
        <v>Pajak Restoran</v>
      </c>
      <c r="M1123" s="103" t="n">
        <f aca="false">IF(L1123="",0,IF(L1123=D1123,E1123,-E1123))</f>
        <v>-1995100</v>
      </c>
      <c r="N1123" s="102" t="str">
        <f aca="false">IF(L1123="","",IFERROR(INDEX(AK_BARIS,MATCH(L1123,AK_NAMA,0)),"?"))</f>
        <v>OP7</v>
      </c>
      <c r="O1123" s="102" t="str">
        <f aca="false">IF(C1123="","",IFERROR(INDEX(AK_KEL,MATCH(C1123,AK_NAMA,0)),"?"))</f>
        <v>PENDAPATAN</v>
      </c>
      <c r="P1123" s="102" t="str">
        <f aca="false">IF(D1123="","",IFERROR(INDEX(AK_KEL,MATCH(D1123,AK_NAMA,0)),"?"))</f>
        <v>ASET</v>
      </c>
      <c r="Q1123" s="102" t="n">
        <f aca="false">N(Q1122)+IF(AND(N(E1123)&lt;&gt;0,K1123=TAHUN,N(J1123)&lt;=BLN,OR(C1123=BB_AKUN,D1123=BB_AKUN)),1,0)</f>
        <v>757</v>
      </c>
      <c r="R1123" s="104" t="str">
        <f aca="false">IF(OR(C1123&amp;D1123="",N(E1123)=0),"",IF(OR(O1123="?",P1123="?"),"⚠ akun tidak dikenal",IF(C1123=D1123,"⚠ debet = kredit","")))</f>
        <v/>
      </c>
    </row>
    <row r="1124" customFormat="false" ht="15" hidden="false" customHeight="false" outlineLevel="0" collapsed="false">
      <c r="A1124" s="82" t="s">
        <v>2293</v>
      </c>
      <c r="B1124" s="101" t="n">
        <v>46265</v>
      </c>
      <c r="C1124" s="82" t="s">
        <v>524</v>
      </c>
      <c r="D1124" s="82" t="s">
        <v>461</v>
      </c>
      <c r="E1124" s="91" t="n">
        <v>5000</v>
      </c>
      <c r="F1124" s="82" t="s">
        <v>1694</v>
      </c>
      <c r="G1124" s="82"/>
      <c r="H1124" s="82"/>
      <c r="I1124" s="82" t="s">
        <v>250</v>
      </c>
      <c r="J1124" s="102" t="n">
        <f aca="false">IF(B1124="","",MONTH(B1124))</f>
        <v>8</v>
      </c>
      <c r="K1124" s="102" t="n">
        <f aca="false">IF(B1124="","",YEAR(B1124))</f>
        <v>2026</v>
      </c>
      <c r="L1124" s="102" t="str">
        <f aca="false">IF(N(E1124)=0,"",IF(COUNTIFS(AK_NAMA,C1124,AK_KAT,"KAS")+COUNTIFS(AK_NAMA,D1124,AK_KAT,"KAS")&lt;&gt;1,"",IF(COUNTIFS(AK_NAMA,C1124,AK_KAT,"KAS")=1,D1124,C1124)))</f>
        <v>Biaya Lainnya</v>
      </c>
      <c r="M1124" s="103" t="n">
        <f aca="false">IF(L1124="",0,IF(L1124=D1124,E1124,-E1124))</f>
        <v>-5000</v>
      </c>
      <c r="N1124" s="102" t="str">
        <f aca="false">IF(L1124="","",IFERROR(INDEX(AK_BARIS,MATCH(L1124,AK_NAMA,0)),"?"))</f>
        <v>OP2</v>
      </c>
      <c r="O1124" s="102" t="str">
        <f aca="false">IF(C1124="","",IFERROR(INDEX(AK_KEL,MATCH(C1124,AK_NAMA,0)),"?"))</f>
        <v>BEBAN</v>
      </c>
      <c r="P1124" s="102" t="str">
        <f aca="false">IF(D1124="","",IFERROR(INDEX(AK_KEL,MATCH(D1124,AK_NAMA,0)),"?"))</f>
        <v>ASET</v>
      </c>
      <c r="Q1124" s="102" t="n">
        <f aca="false">N(Q1123)+IF(AND(N(E1124)&lt;&gt;0,K1124=TAHUN,N(J1124)&lt;=BLN,OR(C1124=BB_AKUN,D1124=BB_AKUN)),1,0)</f>
        <v>758</v>
      </c>
      <c r="R1124" s="104" t="str">
        <f aca="false">IF(OR(C1124&amp;D1124="",N(E1124)=0),"",IF(OR(O1124="?",P1124="?"),"⚠ akun tidak dikenal",IF(C1124=D1124,"⚠ debet = kredit","")))</f>
        <v/>
      </c>
    </row>
    <row r="1125" customFormat="false" ht="15" hidden="false" customHeight="false" outlineLevel="0" collapsed="false">
      <c r="A1125" s="82" t="s">
        <v>2294</v>
      </c>
      <c r="B1125" s="101" t="n">
        <v>46265</v>
      </c>
      <c r="C1125" s="82" t="s">
        <v>669</v>
      </c>
      <c r="D1125" s="82" t="s">
        <v>461</v>
      </c>
      <c r="E1125" s="91" t="n">
        <v>386950</v>
      </c>
      <c r="F1125" s="82" t="s">
        <v>2295</v>
      </c>
      <c r="G1125" s="82"/>
      <c r="H1125" s="82"/>
      <c r="I1125" s="82" t="s">
        <v>250</v>
      </c>
      <c r="J1125" s="102" t="n">
        <f aca="false">IF(B1125="","",MONTH(B1125))</f>
        <v>8</v>
      </c>
      <c r="K1125" s="102" t="n">
        <f aca="false">IF(B1125="","",YEAR(B1125))</f>
        <v>2026</v>
      </c>
      <c r="L1125" s="102" t="str">
        <f aca="false">IF(N(E1125)=0,"",IF(COUNTIFS(AK_NAMA,C1125,AK_KAT,"KAS")+COUNTIFS(AK_NAMA,D1125,AK_KAT,"KAS")&lt;&gt;1,"",IF(COUNTIFS(AK_NAMA,C1125,AK_KAT,"KAS")=1,D1125,C1125)))</f>
        <v>Biaya Tagihan Bulanan</v>
      </c>
      <c r="M1125" s="103" t="n">
        <f aca="false">IF(L1125="",0,IF(L1125=D1125,E1125,-E1125))</f>
        <v>-386950</v>
      </c>
      <c r="N1125" s="102" t="str">
        <f aca="false">IF(L1125="","",IFERROR(INDEX(AK_BARIS,MATCH(L1125,AK_NAMA,0)),"?"))</f>
        <v>OP6</v>
      </c>
      <c r="O1125" s="102" t="str">
        <f aca="false">IF(C1125="","",IFERROR(INDEX(AK_KEL,MATCH(C1125,AK_NAMA,0)),"?"))</f>
        <v>BEBAN</v>
      </c>
      <c r="P1125" s="102" t="str">
        <f aca="false">IF(D1125="","",IFERROR(INDEX(AK_KEL,MATCH(D1125,AK_NAMA,0)),"?"))</f>
        <v>ASET</v>
      </c>
      <c r="Q1125" s="102" t="n">
        <f aca="false">N(Q1124)+IF(AND(N(E1125)&lt;&gt;0,K1125=TAHUN,N(J1125)&lt;=BLN,OR(C1125=BB_AKUN,D1125=BB_AKUN)),1,0)</f>
        <v>759</v>
      </c>
      <c r="R1125" s="104" t="str">
        <f aca="false">IF(OR(C1125&amp;D1125="",N(E1125)=0),"",IF(OR(O1125="?",P1125="?"),"⚠ akun tidak dikenal",IF(C1125=D1125,"⚠ debet = kredit","")))</f>
        <v/>
      </c>
    </row>
    <row r="1126" customFormat="false" ht="15" hidden="false" customHeight="false" outlineLevel="0" collapsed="false">
      <c r="A1126" s="82" t="s">
        <v>2296</v>
      </c>
      <c r="B1126" s="101" t="n">
        <v>46265</v>
      </c>
      <c r="C1126" s="82" t="s">
        <v>669</v>
      </c>
      <c r="D1126" s="82" t="s">
        <v>461</v>
      </c>
      <c r="E1126" s="91" t="n">
        <v>57391</v>
      </c>
      <c r="F1126" s="82" t="s">
        <v>2297</v>
      </c>
      <c r="G1126" s="82"/>
      <c r="H1126" s="82"/>
      <c r="I1126" s="82" t="s">
        <v>250</v>
      </c>
      <c r="J1126" s="102" t="n">
        <f aca="false">IF(B1126="","",MONTH(B1126))</f>
        <v>8</v>
      </c>
      <c r="K1126" s="102" t="n">
        <f aca="false">IF(B1126="","",YEAR(B1126))</f>
        <v>2026</v>
      </c>
      <c r="L1126" s="102" t="str">
        <f aca="false">IF(N(E1126)=0,"",IF(COUNTIFS(AK_NAMA,C1126,AK_KAT,"KAS")+COUNTIFS(AK_NAMA,D1126,AK_KAT,"KAS")&lt;&gt;1,"",IF(COUNTIFS(AK_NAMA,C1126,AK_KAT,"KAS")=1,D1126,C1126)))</f>
        <v>Biaya Tagihan Bulanan</v>
      </c>
      <c r="M1126" s="103" t="n">
        <f aca="false">IF(L1126="",0,IF(L1126=D1126,E1126,-E1126))</f>
        <v>-57391</v>
      </c>
      <c r="N1126" s="102" t="str">
        <f aca="false">IF(L1126="","",IFERROR(INDEX(AK_BARIS,MATCH(L1126,AK_NAMA,0)),"?"))</f>
        <v>OP6</v>
      </c>
      <c r="O1126" s="102" t="str">
        <f aca="false">IF(C1126="","",IFERROR(INDEX(AK_KEL,MATCH(C1126,AK_NAMA,0)),"?"))</f>
        <v>BEBAN</v>
      </c>
      <c r="P1126" s="102" t="str">
        <f aca="false">IF(D1126="","",IFERROR(INDEX(AK_KEL,MATCH(D1126,AK_NAMA,0)),"?"))</f>
        <v>ASET</v>
      </c>
      <c r="Q1126" s="102" t="n">
        <f aca="false">N(Q1125)+IF(AND(N(E1126)&lt;&gt;0,K1126=TAHUN,N(J1126)&lt;=BLN,OR(C1126=BB_AKUN,D1126=BB_AKUN)),1,0)</f>
        <v>760</v>
      </c>
      <c r="R1126" s="104" t="str">
        <f aca="false">IF(OR(C1126&amp;D1126="",N(E1126)=0),"",IF(OR(O1126="?",P1126="?"),"⚠ akun tidak dikenal",IF(C1126=D1126,"⚠ debet = kredit","")))</f>
        <v/>
      </c>
    </row>
    <row r="1127" customFormat="false" ht="15" hidden="false" customHeight="false" outlineLevel="0" collapsed="false">
      <c r="A1127" s="105" t="s">
        <v>2298</v>
      </c>
      <c r="B1127" s="106" t="n">
        <v>46265</v>
      </c>
      <c r="C1127" s="105" t="s">
        <v>765</v>
      </c>
      <c r="D1127" s="105" t="s">
        <v>792</v>
      </c>
      <c r="E1127" s="107" t="n">
        <f aca="false">SUMIFS('OMZET HARIAN'!$Q$5:$Q$369,'OMZET HARIAN'!$B$5:$B$369,J1127)</f>
        <v>94715134</v>
      </c>
      <c r="F1127" s="105" t="s">
        <v>2299</v>
      </c>
      <c r="G1127" s="105"/>
      <c r="H1127" s="105"/>
      <c r="I1127" s="105" t="s">
        <v>794</v>
      </c>
      <c r="J1127" s="102" t="n">
        <f aca="false">IF(B1127="","",MONTH(B1127))</f>
        <v>8</v>
      </c>
      <c r="K1127" s="102" t="n">
        <f aca="false">IF(B1127="","",YEAR(B1127))</f>
        <v>2026</v>
      </c>
      <c r="L1127" s="102" t="str">
        <f aca="false">IF(N(E1127)=0,"",IF(COUNTIFS(AK_NAMA,C1127,AK_KAT,"KAS")+COUNTIFS(AK_NAMA,D1127,AK_KAT,"KAS")&lt;&gt;1,"",IF(COUNTIFS(AK_NAMA,C1127,AK_KAT,"KAS")=1,D1127,C1127)))</f>
        <v/>
      </c>
      <c r="M1127" s="103" t="n">
        <f aca="false">IF(L1127="",0,IF(L1127=D1127,E1127,-E1127))</f>
        <v>0</v>
      </c>
      <c r="N1127" s="102" t="str">
        <f aca="false">IF(L1127="","",IFERROR(INDEX(AK_BARIS,MATCH(L1127,AK_NAMA,0)),"?"))</f>
        <v/>
      </c>
      <c r="O1127" s="102" t="str">
        <f aca="false">IF(C1127="","",IFERROR(INDEX(AK_KEL,MATCH(C1127,AK_NAMA,0)),"?"))</f>
        <v>ASET</v>
      </c>
      <c r="P1127" s="102" t="str">
        <f aca="false">IF(D1127="","",IFERROR(INDEX(AK_KEL,MATCH(D1127,AK_NAMA,0)),"?"))</f>
        <v>PENDAPATAN</v>
      </c>
      <c r="Q1127" s="102" t="n">
        <f aca="false">N(Q1126)+IF(AND(N(E1127)&lt;&gt;0,K1127=TAHUN,N(J1127)&lt;=BLN,OR(C1127=BB_AKUN,D1127=BB_AKUN)),1,0)</f>
        <v>760</v>
      </c>
      <c r="R1127" s="104" t="str">
        <f aca="false">IF(OR(C1127&amp;D1127="",N(E1127)=0),"",IF(OR(O1127="?",P1127="?"),"⚠ akun tidak dikenal",IF(C1127=D1127,"⚠ debet = kredit","")))</f>
        <v/>
      </c>
    </row>
    <row r="1128" customFormat="false" ht="15" hidden="false" customHeight="false" outlineLevel="0" collapsed="false">
      <c r="A1128" s="105" t="s">
        <v>2300</v>
      </c>
      <c r="B1128" s="106" t="n">
        <v>46265</v>
      </c>
      <c r="C1128" s="105" t="s">
        <v>475</v>
      </c>
      <c r="D1128" s="105" t="s">
        <v>765</v>
      </c>
      <c r="E1128" s="107" t="n">
        <f aca="false">SUMIFS('OMZET HARIAN'!$F$5:$F$369,'OMZET HARIAN'!$B$5:$B$369,J1128)+SUMIFS('OMZET HARIAN'!$G$5:$G$369,'OMZET HARIAN'!$B$5:$B$369,J1128)</f>
        <v>19515500</v>
      </c>
      <c r="F1128" s="105" t="s">
        <v>2301</v>
      </c>
      <c r="G1128" s="105"/>
      <c r="H1128" s="105"/>
      <c r="I1128" s="105" t="s">
        <v>794</v>
      </c>
      <c r="J1128" s="102" t="n">
        <f aca="false">IF(B1128="","",MONTH(B1128))</f>
        <v>8</v>
      </c>
      <c r="K1128" s="102" t="n">
        <f aca="false">IF(B1128="","",YEAR(B1128))</f>
        <v>2026</v>
      </c>
      <c r="L1128" s="102" t="str">
        <f aca="false">IF(N(E1128)=0,"",IF(COUNTIFS(AK_NAMA,C1128,AK_KAT,"KAS")+COUNTIFS(AK_NAMA,D1128,AK_KAT,"KAS")&lt;&gt;1,"",IF(COUNTIFS(AK_NAMA,C1128,AK_KAT,"KAS")=1,D1128,C1128)))</f>
        <v>Piutang Usaha Cafe</v>
      </c>
      <c r="M1128" s="103" t="n">
        <f aca="false">IF(L1128="",0,IF(L1128=D1128,E1128,-E1128))</f>
        <v>19515500</v>
      </c>
      <c r="N1128" s="102" t="str">
        <f aca="false">IF(L1128="","",IFERROR(INDEX(AK_BARIS,MATCH(L1128,AK_NAMA,0)),"?"))</f>
        <v>OP1</v>
      </c>
      <c r="O1128" s="102" t="str">
        <f aca="false">IF(C1128="","",IFERROR(INDEX(AK_KEL,MATCH(C1128,AK_NAMA,0)),"?"))</f>
        <v>ASET</v>
      </c>
      <c r="P1128" s="102" t="str">
        <f aca="false">IF(D1128="","",IFERROR(INDEX(AK_KEL,MATCH(D1128,AK_NAMA,0)),"?"))</f>
        <v>ASET</v>
      </c>
      <c r="Q1128" s="102" t="n">
        <f aca="false">N(Q1127)+IF(AND(N(E1128)&lt;&gt;0,K1128=TAHUN,N(J1128)&lt;=BLN,OR(C1128=BB_AKUN,D1128=BB_AKUN)),1,0)</f>
        <v>760</v>
      </c>
      <c r="R1128" s="104" t="str">
        <f aca="false">IF(OR(C1128&amp;D1128="",N(E1128)=0),"",IF(OR(O1128="?",P1128="?"),"⚠ akun tidak dikenal",IF(C1128=D1128,"⚠ debet = kredit","")))</f>
        <v/>
      </c>
    </row>
    <row r="1129" customFormat="false" ht="15" hidden="false" customHeight="false" outlineLevel="0" collapsed="false">
      <c r="A1129" s="105" t="s">
        <v>2302</v>
      </c>
      <c r="B1129" s="106" t="n">
        <v>46265</v>
      </c>
      <c r="C1129" s="105" t="s">
        <v>461</v>
      </c>
      <c r="D1129" s="105" t="s">
        <v>765</v>
      </c>
      <c r="E1129" s="107" t="n">
        <f aca="false">SUMIFS('OMZET HARIAN'!$H$5:$H$369,'OMZET HARIAN'!$B$5:$B$369,J1129)</f>
        <v>72484184</v>
      </c>
      <c r="F1129" s="105" t="s">
        <v>2303</v>
      </c>
      <c r="G1129" s="105"/>
      <c r="H1129" s="105"/>
      <c r="I1129" s="105" t="s">
        <v>794</v>
      </c>
      <c r="J1129" s="102" t="n">
        <f aca="false">IF(B1129="","",MONTH(B1129))</f>
        <v>8</v>
      </c>
      <c r="K1129" s="102" t="n">
        <f aca="false">IF(B1129="","",YEAR(B1129))</f>
        <v>2026</v>
      </c>
      <c r="L1129" s="102" t="str">
        <f aca="false">IF(N(E1129)=0,"",IF(COUNTIFS(AK_NAMA,C1129,AK_KAT,"KAS")+COUNTIFS(AK_NAMA,D1129,AK_KAT,"KAS")&lt;&gt;1,"",IF(COUNTIFS(AK_NAMA,C1129,AK_KAT,"KAS")=1,D1129,C1129)))</f>
        <v>Piutang Usaha Cafe</v>
      </c>
      <c r="M1129" s="103" t="n">
        <f aca="false">IF(L1129="",0,IF(L1129=D1129,E1129,-E1129))</f>
        <v>72484184</v>
      </c>
      <c r="N1129" s="102" t="str">
        <f aca="false">IF(L1129="","",IFERROR(INDEX(AK_BARIS,MATCH(L1129,AK_NAMA,0)),"?"))</f>
        <v>OP1</v>
      </c>
      <c r="O1129" s="102" t="str">
        <f aca="false">IF(C1129="","",IFERROR(INDEX(AK_KEL,MATCH(C1129,AK_NAMA,0)),"?"))</f>
        <v>ASET</v>
      </c>
      <c r="P1129" s="102" t="str">
        <f aca="false">IF(D1129="","",IFERROR(INDEX(AK_KEL,MATCH(D1129,AK_NAMA,0)),"?"))</f>
        <v>ASET</v>
      </c>
      <c r="Q1129" s="102" t="n">
        <f aca="false">N(Q1128)+IF(AND(N(E1129)&lt;&gt;0,K1129=TAHUN,N(J1129)&lt;=BLN,OR(C1129=BB_AKUN,D1129=BB_AKUN)),1,0)</f>
        <v>761</v>
      </c>
      <c r="R1129" s="104" t="str">
        <f aca="false">IF(OR(C1129&amp;D1129="",N(E1129)=0),"",IF(OR(O1129="?",P1129="?"),"⚠ akun tidak dikenal",IF(C1129=D1129,"⚠ debet = kredit","")))</f>
        <v/>
      </c>
    </row>
    <row r="1130" customFormat="false" ht="15" hidden="false" customHeight="false" outlineLevel="0" collapsed="false">
      <c r="A1130" s="105" t="s">
        <v>2304</v>
      </c>
      <c r="B1130" s="106" t="n">
        <v>46265</v>
      </c>
      <c r="C1130" s="105" t="s">
        <v>718</v>
      </c>
      <c r="D1130" s="105" t="s">
        <v>765</v>
      </c>
      <c r="E1130" s="107" t="n">
        <f aca="false">SUMIFS('OMZET HARIAN'!$L$5:$L$369,'OMZET HARIAN'!$B$5:$B$369,J1130)</f>
        <v>292200</v>
      </c>
      <c r="F1130" s="105" t="s">
        <v>2305</v>
      </c>
      <c r="G1130" s="105"/>
      <c r="H1130" s="105" t="s">
        <v>763</v>
      </c>
      <c r="I1130" s="105" t="s">
        <v>794</v>
      </c>
      <c r="J1130" s="102" t="n">
        <f aca="false">IF(B1130="","",MONTH(B1130))</f>
        <v>8</v>
      </c>
      <c r="K1130" s="102" t="n">
        <f aca="false">IF(B1130="","",YEAR(B1130))</f>
        <v>2026</v>
      </c>
      <c r="L1130" s="102" t="str">
        <f aca="false">IF(N(E1130)=0,"",IF(COUNTIFS(AK_NAMA,C1130,AK_KAT,"KAS")+COUNTIFS(AK_NAMA,D1130,AK_KAT,"KAS")&lt;&gt;1,"",IF(COUNTIFS(AK_NAMA,C1130,AK_KAT,"KAS")=1,D1130,C1130)))</f>
        <v/>
      </c>
      <c r="M1130" s="103" t="n">
        <f aca="false">IF(L1130="",0,IF(L1130=D1130,E1130,-E1130))</f>
        <v>0</v>
      </c>
      <c r="N1130" s="102" t="str">
        <f aca="false">IF(L1130="","",IFERROR(INDEX(AK_BARIS,MATCH(L1130,AK_NAMA,0)),"?"))</f>
        <v/>
      </c>
      <c r="O1130" s="102" t="str">
        <f aca="false">IF(C1130="","",IFERROR(INDEX(AK_KEL,MATCH(C1130,AK_NAMA,0)),"?"))</f>
        <v>ASET</v>
      </c>
      <c r="P1130" s="102" t="str">
        <f aca="false">IF(D1130="","",IFERROR(INDEX(AK_KEL,MATCH(D1130,AK_NAMA,0)),"?"))</f>
        <v>ASET</v>
      </c>
      <c r="Q1130" s="102" t="n">
        <f aca="false">N(Q1129)+IF(AND(N(E1130)&lt;&gt;0,K1130=TAHUN,N(J1130)&lt;=BLN,OR(C1130=BB_AKUN,D1130=BB_AKUN)),1,0)</f>
        <v>761</v>
      </c>
      <c r="R1130" s="104" t="str">
        <f aca="false">IF(OR(C1130&amp;D1130="",N(E1130)=0),"",IF(OR(O1130="?",P1130="?"),"⚠ akun tidak dikenal",IF(C1130=D1130,"⚠ debet = kredit","")))</f>
        <v/>
      </c>
    </row>
    <row r="1131" customFormat="false" ht="15" hidden="false" customHeight="false" outlineLevel="0" collapsed="false">
      <c r="A1131" s="105" t="s">
        <v>2306</v>
      </c>
      <c r="B1131" s="106" t="n">
        <v>46265</v>
      </c>
      <c r="C1131" s="105" t="s">
        <v>802</v>
      </c>
      <c r="D1131" s="105" t="s">
        <v>765</v>
      </c>
      <c r="E1131" s="107" t="n">
        <f aca="false">SUMIFS('OMZET HARIAN'!$M$5:$M$369,'OMZET HARIAN'!$B$5:$B$369,J1131)</f>
        <v>642600</v>
      </c>
      <c r="F1131" s="105" t="s">
        <v>2307</v>
      </c>
      <c r="G1131" s="105"/>
      <c r="H1131" s="105"/>
      <c r="I1131" s="105" t="s">
        <v>794</v>
      </c>
      <c r="J1131" s="102" t="n">
        <f aca="false">IF(B1131="","",MONTH(B1131))</f>
        <v>8</v>
      </c>
      <c r="K1131" s="102" t="n">
        <f aca="false">IF(B1131="","",YEAR(B1131))</f>
        <v>2026</v>
      </c>
      <c r="L1131" s="102" t="str">
        <f aca="false">IF(N(E1131)=0,"",IF(COUNTIFS(AK_NAMA,C1131,AK_KAT,"KAS")+COUNTIFS(AK_NAMA,D1131,AK_KAT,"KAS")&lt;&gt;1,"",IF(COUNTIFS(AK_NAMA,C1131,AK_KAT,"KAS")=1,D1131,C1131)))</f>
        <v/>
      </c>
      <c r="M1131" s="103" t="n">
        <f aca="false">IF(L1131="",0,IF(L1131=D1131,E1131,-E1131))</f>
        <v>0</v>
      </c>
      <c r="N1131" s="102" t="str">
        <f aca="false">IF(L1131="","",IFERROR(INDEX(AK_BARIS,MATCH(L1131,AK_NAMA,0)),"?"))</f>
        <v/>
      </c>
      <c r="O1131" s="102" t="str">
        <f aca="false">IF(C1131="","",IFERROR(INDEX(AK_KEL,MATCH(C1131,AK_NAMA,0)),"?"))</f>
        <v>BEBAN</v>
      </c>
      <c r="P1131" s="102" t="str">
        <f aca="false">IF(D1131="","",IFERROR(INDEX(AK_KEL,MATCH(D1131,AK_NAMA,0)),"?"))</f>
        <v>ASET</v>
      </c>
      <c r="Q1131" s="102" t="n">
        <f aca="false">N(Q1130)+IF(AND(N(E1131)&lt;&gt;0,K1131=TAHUN,N(J1131)&lt;=BLN,OR(C1131=BB_AKUN,D1131=BB_AKUN)),1,0)</f>
        <v>761</v>
      </c>
      <c r="R1131" s="104" t="str">
        <f aca="false">IF(OR(C1131&amp;D1131="",N(E1131)=0),"",IF(OR(O1131="?",P1131="?"),"⚠ akun tidak dikenal",IF(C1131=D1131,"⚠ debet = kredit","")))</f>
        <v/>
      </c>
    </row>
    <row r="1132" customFormat="false" ht="15" hidden="false" customHeight="false" outlineLevel="0" collapsed="false">
      <c r="A1132" s="105" t="s">
        <v>2308</v>
      </c>
      <c r="B1132" s="106" t="n">
        <v>46265</v>
      </c>
      <c r="C1132" s="105" t="s">
        <v>464</v>
      </c>
      <c r="D1132" s="105" t="s">
        <v>765</v>
      </c>
      <c r="E1132" s="107" t="n">
        <f aca="false">SUMIFS('OMZET HARIAN'!$N$5:$N$369,'OMZET HARIAN'!$B$5:$B$369,J1132)</f>
        <v>1780650</v>
      </c>
      <c r="F1132" s="105" t="s">
        <v>2309</v>
      </c>
      <c r="G1132" s="105"/>
      <c r="H1132" s="105" t="s">
        <v>432</v>
      </c>
      <c r="I1132" s="105" t="s">
        <v>794</v>
      </c>
      <c r="J1132" s="102" t="n">
        <f aca="false">IF(B1132="","",MONTH(B1132))</f>
        <v>8</v>
      </c>
      <c r="K1132" s="102" t="n">
        <f aca="false">IF(B1132="","",YEAR(B1132))</f>
        <v>2026</v>
      </c>
      <c r="L1132" s="102" t="str">
        <f aca="false">IF(N(E1132)=0,"",IF(COUNTIFS(AK_NAMA,C1132,AK_KAT,"KAS")+COUNTIFS(AK_NAMA,D1132,AK_KAT,"KAS")&lt;&gt;1,"",IF(COUNTIFS(AK_NAMA,C1132,AK_KAT,"KAS")=1,D1132,C1132)))</f>
        <v/>
      </c>
      <c r="M1132" s="103" t="n">
        <f aca="false">IF(L1132="",0,IF(L1132=D1132,E1132,-E1132))</f>
        <v>0</v>
      </c>
      <c r="N1132" s="102" t="str">
        <f aca="false">IF(L1132="","",IFERROR(INDEX(AK_BARIS,MATCH(L1132,AK_NAMA,0)),"?"))</f>
        <v/>
      </c>
      <c r="O1132" s="102" t="str">
        <f aca="false">IF(C1132="","",IFERROR(INDEX(AK_KEL,MATCH(C1132,AK_NAMA,0)),"?"))</f>
        <v>EKUITAS</v>
      </c>
      <c r="P1132" s="102" t="str">
        <f aca="false">IF(D1132="","",IFERROR(INDEX(AK_KEL,MATCH(D1132,AK_NAMA,0)),"?"))</f>
        <v>ASET</v>
      </c>
      <c r="Q1132" s="102" t="n">
        <f aca="false">N(Q1131)+IF(AND(N(E1132)&lt;&gt;0,K1132=TAHUN,N(J1132)&lt;=BLN,OR(C1132=BB_AKUN,D1132=BB_AKUN)),1,0)</f>
        <v>761</v>
      </c>
      <c r="R1132" s="104" t="str">
        <f aca="false">IF(OR(C1132&amp;D1132="",N(E1132)=0),"",IF(OR(O1132="?",P1132="?"),"⚠ akun tidak dikenal",IF(C1132=D1132,"⚠ debet = kredit","")))</f>
        <v/>
      </c>
    </row>
    <row r="1133" customFormat="false" ht="15" hidden="false" customHeight="false" outlineLevel="0" collapsed="false">
      <c r="A1133" s="105" t="s">
        <v>2310</v>
      </c>
      <c r="B1133" s="106" t="n">
        <v>46265</v>
      </c>
      <c r="C1133" s="105" t="s">
        <v>807</v>
      </c>
      <c r="D1133" s="105" t="s">
        <v>808</v>
      </c>
      <c r="E1133" s="107" t="n">
        <f aca="false">INDEX('ASET TETAP'!$H$25:$S$25,J1133)</f>
        <v>426400</v>
      </c>
      <c r="F1133" s="105" t="s">
        <v>2311</v>
      </c>
      <c r="G1133" s="105"/>
      <c r="H1133" s="105"/>
      <c r="I1133" s="105" t="s">
        <v>794</v>
      </c>
      <c r="J1133" s="102" t="n">
        <f aca="false">IF(B1133="","",MONTH(B1133))</f>
        <v>8</v>
      </c>
      <c r="K1133" s="102" t="n">
        <f aca="false">IF(B1133="","",YEAR(B1133))</f>
        <v>2026</v>
      </c>
      <c r="L1133" s="102" t="str">
        <f aca="false">IF(N(E1133)=0,"",IF(COUNTIFS(AK_NAMA,C1133,AK_KAT,"KAS")+COUNTIFS(AK_NAMA,D1133,AK_KAT,"KAS")&lt;&gt;1,"",IF(COUNTIFS(AK_NAMA,C1133,AK_KAT,"KAS")=1,D1133,C1133)))</f>
        <v/>
      </c>
      <c r="M1133" s="103" t="n">
        <f aca="false">IF(L1133="",0,IF(L1133=D1133,E1133,-E1133))</f>
        <v>0</v>
      </c>
      <c r="N1133" s="102" t="str">
        <f aca="false">IF(L1133="","",IFERROR(INDEX(AK_BARIS,MATCH(L1133,AK_NAMA,0)),"?"))</f>
        <v/>
      </c>
      <c r="O1133" s="102" t="str">
        <f aca="false">IF(C1133="","",IFERROR(INDEX(AK_KEL,MATCH(C1133,AK_NAMA,0)),"?"))</f>
        <v>BEBAN</v>
      </c>
      <c r="P1133" s="102" t="str">
        <f aca="false">IF(D1133="","",IFERROR(INDEX(AK_KEL,MATCH(D1133,AK_NAMA,0)),"?"))</f>
        <v>ASET</v>
      </c>
      <c r="Q1133" s="102" t="n">
        <f aca="false">N(Q1132)+IF(AND(N(E1133)&lt;&gt;0,K1133=TAHUN,N(J1133)&lt;=BLN,OR(C1133=BB_AKUN,D1133=BB_AKUN)),1,0)</f>
        <v>761</v>
      </c>
      <c r="R1133" s="104" t="str">
        <f aca="false">IF(OR(C1133&amp;D1133="",N(E1133)=0),"",IF(OR(O1133="?",P1133="?"),"⚠ akun tidak dikenal",IF(C1133=D1133,"⚠ debet = kredit","")))</f>
        <v/>
      </c>
    </row>
    <row r="1134" customFormat="false" ht="15" hidden="false" customHeight="false" outlineLevel="0" collapsed="false">
      <c r="A1134" s="105" t="s">
        <v>2312</v>
      </c>
      <c r="B1134" s="106" t="n">
        <v>46265</v>
      </c>
      <c r="C1134" s="105" t="s">
        <v>787</v>
      </c>
      <c r="D1134" s="105" t="s">
        <v>811</v>
      </c>
      <c r="E1134" s="107" t="n">
        <f aca="false">IF(AND(AKRUAL="YA",J1134&lt;=BLN),MAX(0,INDEX(PAJAK!$J$6:$J$17,J1134)),0)</f>
        <v>6632877</v>
      </c>
      <c r="F1134" s="105" t="s">
        <v>2313</v>
      </c>
      <c r="G1134" s="105"/>
      <c r="H1134" s="105"/>
      <c r="I1134" s="105" t="s">
        <v>813</v>
      </c>
      <c r="J1134" s="102" t="n">
        <f aca="false">IF(B1134="","",MONTH(B1134))</f>
        <v>8</v>
      </c>
      <c r="K1134" s="102" t="n">
        <f aca="false">IF(B1134="","",YEAR(B1134))</f>
        <v>2026</v>
      </c>
      <c r="L1134" s="102" t="str">
        <f aca="false">IF(N(E1134)=0,"",IF(COUNTIFS(AK_NAMA,C1134,AK_KAT,"KAS")+COUNTIFS(AK_NAMA,D1134,AK_KAT,"KAS")&lt;&gt;1,"",IF(COUNTIFS(AK_NAMA,C1134,AK_KAT,"KAS")=1,D1134,C1134)))</f>
        <v/>
      </c>
      <c r="M1134" s="103" t="n">
        <f aca="false">IF(L1134="",0,IF(L1134=D1134,E1134,-E1134))</f>
        <v>0</v>
      </c>
      <c r="N1134" s="102" t="str">
        <f aca="false">IF(L1134="","",IFERROR(INDEX(AK_BARIS,MATCH(L1134,AK_NAMA,0)),"?"))</f>
        <v/>
      </c>
      <c r="O1134" s="102" t="str">
        <f aca="false">IF(C1134="","",IFERROR(INDEX(AK_KEL,MATCH(C1134,AK_NAMA,0)),"?"))</f>
        <v>PENDAPATAN</v>
      </c>
      <c r="P1134" s="102" t="str">
        <f aca="false">IF(D1134="","",IFERROR(INDEX(AK_KEL,MATCH(D1134,AK_NAMA,0)),"?"))</f>
        <v>LIABILITAS</v>
      </c>
      <c r="Q1134" s="102" t="n">
        <f aca="false">N(Q1133)+IF(AND(N(E1134)&lt;&gt;0,K1134=TAHUN,N(J1134)&lt;=BLN,OR(C1134=BB_AKUN,D1134=BB_AKUN)),1,0)</f>
        <v>761</v>
      </c>
      <c r="R1134" s="104" t="str">
        <f aca="false">IF(OR(C1134&amp;D1134="",N(E1134)=0),"",IF(OR(O1134="?",P1134="?"),"⚠ akun tidak dikenal",IF(C1134=D1134,"⚠ debet = kredit","")))</f>
        <v/>
      </c>
    </row>
    <row r="1135" customFormat="false" ht="15" hidden="false" customHeight="false" outlineLevel="0" collapsed="false">
      <c r="A1135" s="82" t="s">
        <v>2314</v>
      </c>
      <c r="B1135" s="101" t="n">
        <v>46266</v>
      </c>
      <c r="C1135" s="82" t="s">
        <v>470</v>
      </c>
      <c r="D1135" s="82" t="s">
        <v>461</v>
      </c>
      <c r="E1135" s="91" t="n">
        <v>266000</v>
      </c>
      <c r="F1135" s="82" t="s">
        <v>1729</v>
      </c>
      <c r="G1135" s="82"/>
      <c r="H1135" s="82"/>
      <c r="I1135" s="82" t="s">
        <v>250</v>
      </c>
      <c r="J1135" s="102" t="n">
        <f aca="false">IF(B1135="","",MONTH(B1135))</f>
        <v>9</v>
      </c>
      <c r="K1135" s="102" t="n">
        <f aca="false">IF(B1135="","",YEAR(B1135))</f>
        <v>2026</v>
      </c>
      <c r="L1135" s="102" t="str">
        <f aca="false">IF(N(E1135)=0,"",IF(COUNTIFS(AK_NAMA,C1135,AK_KAT,"KAS")+COUNTIFS(AK_NAMA,D1135,AK_KAT,"KAS")&lt;&gt;1,"",IF(COUNTIFS(AK_NAMA,C1135,AK_KAT,"KAS")=1,D1135,C1135)))</f>
        <v>Biaya Bahan Baku</v>
      </c>
      <c r="M1135" s="103" t="n">
        <f aca="false">IF(L1135="",0,IF(L1135=D1135,E1135,-E1135))</f>
        <v>-266000</v>
      </c>
      <c r="N1135" s="102" t="str">
        <f aca="false">IF(L1135="","",IFERROR(INDEX(AK_BARIS,MATCH(L1135,AK_NAMA,0)),"?"))</f>
        <v>OP3</v>
      </c>
      <c r="O1135" s="102" t="str">
        <f aca="false">IF(C1135="","",IFERROR(INDEX(AK_KEL,MATCH(C1135,AK_NAMA,0)),"?"))</f>
        <v>BEBAN</v>
      </c>
      <c r="P1135" s="102" t="str">
        <f aca="false">IF(D1135="","",IFERROR(INDEX(AK_KEL,MATCH(D1135,AK_NAMA,0)),"?"))</f>
        <v>ASET</v>
      </c>
      <c r="Q1135" s="102" t="n">
        <f aca="false">N(Q1134)+IF(AND(N(E1135)&lt;&gt;0,K1135=TAHUN,N(J1135)&lt;=BLN,OR(C1135=BB_AKUN,D1135=BB_AKUN)),1,0)</f>
        <v>762</v>
      </c>
      <c r="R1135" s="104" t="str">
        <f aca="false">IF(OR(C1135&amp;D1135="",N(E1135)=0),"",IF(OR(O1135="?",P1135="?"),"⚠ akun tidak dikenal",IF(C1135=D1135,"⚠ debet = kredit","")))</f>
        <v/>
      </c>
    </row>
    <row r="1136" customFormat="false" ht="15" hidden="false" customHeight="false" outlineLevel="0" collapsed="false">
      <c r="A1136" s="82" t="s">
        <v>2315</v>
      </c>
      <c r="B1136" s="101" t="n">
        <v>46266</v>
      </c>
      <c r="C1136" s="82" t="s">
        <v>470</v>
      </c>
      <c r="D1136" s="82" t="s">
        <v>461</v>
      </c>
      <c r="E1136" s="91" t="n">
        <v>972000</v>
      </c>
      <c r="F1136" s="82" t="s">
        <v>2316</v>
      </c>
      <c r="G1136" s="82"/>
      <c r="H1136" s="82"/>
      <c r="I1136" s="82" t="s">
        <v>250</v>
      </c>
      <c r="J1136" s="102" t="n">
        <f aca="false">IF(B1136="","",MONTH(B1136))</f>
        <v>9</v>
      </c>
      <c r="K1136" s="102" t="n">
        <f aca="false">IF(B1136="","",YEAR(B1136))</f>
        <v>2026</v>
      </c>
      <c r="L1136" s="102" t="str">
        <f aca="false">IF(N(E1136)=0,"",IF(COUNTIFS(AK_NAMA,C1136,AK_KAT,"KAS")+COUNTIFS(AK_NAMA,D1136,AK_KAT,"KAS")&lt;&gt;1,"",IF(COUNTIFS(AK_NAMA,C1136,AK_KAT,"KAS")=1,D1136,C1136)))</f>
        <v>Biaya Bahan Baku</v>
      </c>
      <c r="M1136" s="103" t="n">
        <f aca="false">IF(L1136="",0,IF(L1136=D1136,E1136,-E1136))</f>
        <v>-972000</v>
      </c>
      <c r="N1136" s="102" t="str">
        <f aca="false">IF(L1136="","",IFERROR(INDEX(AK_BARIS,MATCH(L1136,AK_NAMA,0)),"?"))</f>
        <v>OP3</v>
      </c>
      <c r="O1136" s="102" t="str">
        <f aca="false">IF(C1136="","",IFERROR(INDEX(AK_KEL,MATCH(C1136,AK_NAMA,0)),"?"))</f>
        <v>BEBAN</v>
      </c>
      <c r="P1136" s="102" t="str">
        <f aca="false">IF(D1136="","",IFERROR(INDEX(AK_KEL,MATCH(D1136,AK_NAMA,0)),"?"))</f>
        <v>ASET</v>
      </c>
      <c r="Q1136" s="102" t="n">
        <f aca="false">N(Q1135)+IF(AND(N(E1136)&lt;&gt;0,K1136=TAHUN,N(J1136)&lt;=BLN,OR(C1136=BB_AKUN,D1136=BB_AKUN)),1,0)</f>
        <v>763</v>
      </c>
      <c r="R1136" s="104" t="str">
        <f aca="false">IF(OR(C1136&amp;D1136="",N(E1136)=0),"",IF(OR(O1136="?",P1136="?"),"⚠ akun tidak dikenal",IF(C1136=D1136,"⚠ debet = kredit","")))</f>
        <v/>
      </c>
    </row>
    <row r="1137" customFormat="false" ht="15" hidden="false" customHeight="false" outlineLevel="0" collapsed="false">
      <c r="A1137" s="82" t="s">
        <v>2317</v>
      </c>
      <c r="B1137" s="101" t="n">
        <v>46266</v>
      </c>
      <c r="C1137" s="82" t="s">
        <v>461</v>
      </c>
      <c r="D1137" s="82" t="s">
        <v>475</v>
      </c>
      <c r="E1137" s="91" t="n">
        <v>2500000</v>
      </c>
      <c r="F1137" s="82" t="s">
        <v>2318</v>
      </c>
      <c r="G1137" s="82"/>
      <c r="H1137" s="82"/>
      <c r="I1137" s="82" t="s">
        <v>250</v>
      </c>
      <c r="J1137" s="102" t="n">
        <f aca="false">IF(B1137="","",MONTH(B1137))</f>
        <v>9</v>
      </c>
      <c r="K1137" s="102" t="n">
        <f aca="false">IF(B1137="","",YEAR(B1137))</f>
        <v>2026</v>
      </c>
      <c r="L1137" s="102" t="str">
        <f aca="false">IF(N(E1137)=0,"",IF(COUNTIFS(AK_NAMA,C1137,AK_KAT,"KAS")+COUNTIFS(AK_NAMA,D1137,AK_KAT,"KAS")&lt;&gt;1,"",IF(COUNTIFS(AK_NAMA,C1137,AK_KAT,"KAS")=1,D1137,C1137)))</f>
        <v/>
      </c>
      <c r="M1137" s="103" t="n">
        <f aca="false">IF(L1137="",0,IF(L1137=D1137,E1137,-E1137))</f>
        <v>0</v>
      </c>
      <c r="N1137" s="102" t="str">
        <f aca="false">IF(L1137="","",IFERROR(INDEX(AK_BARIS,MATCH(L1137,AK_NAMA,0)),"?"))</f>
        <v/>
      </c>
      <c r="O1137" s="102" t="str">
        <f aca="false">IF(C1137="","",IFERROR(INDEX(AK_KEL,MATCH(C1137,AK_NAMA,0)),"?"))</f>
        <v>ASET</v>
      </c>
      <c r="P1137" s="102" t="str">
        <f aca="false">IF(D1137="","",IFERROR(INDEX(AK_KEL,MATCH(D1137,AK_NAMA,0)),"?"))</f>
        <v>ASET</v>
      </c>
      <c r="Q1137" s="102" t="n">
        <f aca="false">N(Q1136)+IF(AND(N(E1137)&lt;&gt;0,K1137=TAHUN,N(J1137)&lt;=BLN,OR(C1137=BB_AKUN,D1137=BB_AKUN)),1,0)</f>
        <v>764</v>
      </c>
      <c r="R1137" s="104" t="str">
        <f aca="false">IF(OR(C1137&amp;D1137="",N(E1137)=0),"",IF(OR(O1137="?",P1137="?"),"⚠ akun tidak dikenal",IF(C1137=D1137,"⚠ debet = kredit","")))</f>
        <v/>
      </c>
    </row>
    <row r="1138" customFormat="false" ht="15" hidden="false" customHeight="false" outlineLevel="0" collapsed="false">
      <c r="A1138" s="82" t="s">
        <v>2319</v>
      </c>
      <c r="B1138" s="101" t="n">
        <v>46266</v>
      </c>
      <c r="C1138" s="82" t="s">
        <v>524</v>
      </c>
      <c r="D1138" s="82" t="s">
        <v>461</v>
      </c>
      <c r="E1138" s="91" t="n">
        <v>10000</v>
      </c>
      <c r="F1138" s="82" t="s">
        <v>616</v>
      </c>
      <c r="G1138" s="82"/>
      <c r="H1138" s="82"/>
      <c r="I1138" s="82" t="s">
        <v>250</v>
      </c>
      <c r="J1138" s="102" t="n">
        <f aca="false">IF(B1138="","",MONTH(B1138))</f>
        <v>9</v>
      </c>
      <c r="K1138" s="102" t="n">
        <f aca="false">IF(B1138="","",YEAR(B1138))</f>
        <v>2026</v>
      </c>
      <c r="L1138" s="102" t="str">
        <f aca="false">IF(N(E1138)=0,"",IF(COUNTIFS(AK_NAMA,C1138,AK_KAT,"KAS")+COUNTIFS(AK_NAMA,D1138,AK_KAT,"KAS")&lt;&gt;1,"",IF(COUNTIFS(AK_NAMA,C1138,AK_KAT,"KAS")=1,D1138,C1138)))</f>
        <v>Biaya Lainnya</v>
      </c>
      <c r="M1138" s="103" t="n">
        <f aca="false">IF(L1138="",0,IF(L1138=D1138,E1138,-E1138))</f>
        <v>-10000</v>
      </c>
      <c r="N1138" s="102" t="str">
        <f aca="false">IF(L1138="","",IFERROR(INDEX(AK_BARIS,MATCH(L1138,AK_NAMA,0)),"?"))</f>
        <v>OP2</v>
      </c>
      <c r="O1138" s="102" t="str">
        <f aca="false">IF(C1138="","",IFERROR(INDEX(AK_KEL,MATCH(C1138,AK_NAMA,0)),"?"))</f>
        <v>BEBAN</v>
      </c>
      <c r="P1138" s="102" t="str">
        <f aca="false">IF(D1138="","",IFERROR(INDEX(AK_KEL,MATCH(D1138,AK_NAMA,0)),"?"))</f>
        <v>ASET</v>
      </c>
      <c r="Q1138" s="102" t="n">
        <f aca="false">N(Q1137)+IF(AND(N(E1138)&lt;&gt;0,K1138=TAHUN,N(J1138)&lt;=BLN,OR(C1138=BB_AKUN,D1138=BB_AKUN)),1,0)</f>
        <v>765</v>
      </c>
      <c r="R1138" s="104" t="str">
        <f aca="false">IF(OR(C1138&amp;D1138="",N(E1138)=0),"",IF(OR(O1138="?",P1138="?"),"⚠ akun tidak dikenal",IF(C1138=D1138,"⚠ debet = kredit","")))</f>
        <v/>
      </c>
    </row>
    <row r="1139" customFormat="false" ht="15" hidden="false" customHeight="false" outlineLevel="0" collapsed="false">
      <c r="A1139" s="82" t="s">
        <v>2320</v>
      </c>
      <c r="B1139" s="101" t="n">
        <v>46267</v>
      </c>
      <c r="C1139" s="82" t="s">
        <v>460</v>
      </c>
      <c r="D1139" s="82" t="s">
        <v>461</v>
      </c>
      <c r="E1139" s="91" t="n">
        <v>2500000</v>
      </c>
      <c r="F1139" s="82" t="s">
        <v>2321</v>
      </c>
      <c r="G1139" s="82" t="s">
        <v>391</v>
      </c>
      <c r="H1139" s="82"/>
      <c r="I1139" s="82" t="s">
        <v>250</v>
      </c>
      <c r="J1139" s="102" t="n">
        <f aca="false">IF(B1139="","",MONTH(B1139))</f>
        <v>9</v>
      </c>
      <c r="K1139" s="102" t="n">
        <f aca="false">IF(B1139="","",YEAR(B1139))</f>
        <v>2026</v>
      </c>
      <c r="L1139" s="102" t="str">
        <f aca="false">IF(N(E1139)=0,"",IF(COUNTIFS(AK_NAMA,C1139,AK_KAT,"KAS")+COUNTIFS(AK_NAMA,D1139,AK_KAT,"KAS")&lt;&gt;1,"",IF(COUNTIFS(AK_NAMA,C1139,AK_KAT,"KAS")=1,D1139,C1139)))</f>
        <v>Biaya Marketing &amp; Promosi</v>
      </c>
      <c r="M1139" s="103" t="n">
        <f aca="false">IF(L1139="",0,IF(L1139=D1139,E1139,-E1139))</f>
        <v>-2500000</v>
      </c>
      <c r="N1139" s="102" t="str">
        <f aca="false">IF(L1139="","",IFERROR(INDEX(AK_BARIS,MATCH(L1139,AK_NAMA,0)),"?"))</f>
        <v>OP6</v>
      </c>
      <c r="O1139" s="102" t="str">
        <f aca="false">IF(C1139="","",IFERROR(INDEX(AK_KEL,MATCH(C1139,AK_NAMA,0)),"?"))</f>
        <v>BEBAN</v>
      </c>
      <c r="P1139" s="102" t="str">
        <f aca="false">IF(D1139="","",IFERROR(INDEX(AK_KEL,MATCH(D1139,AK_NAMA,0)),"?"))</f>
        <v>ASET</v>
      </c>
      <c r="Q1139" s="102" t="n">
        <f aca="false">N(Q1138)+IF(AND(N(E1139)&lt;&gt;0,K1139=TAHUN,N(J1139)&lt;=BLN,OR(C1139=BB_AKUN,D1139=BB_AKUN)),1,0)</f>
        <v>766</v>
      </c>
      <c r="R1139" s="104" t="str">
        <f aca="false">IF(OR(C1139&amp;D1139="",N(E1139)=0),"",IF(OR(O1139="?",P1139="?"),"⚠ akun tidak dikenal",IF(C1139=D1139,"⚠ debet = kredit","")))</f>
        <v/>
      </c>
    </row>
    <row r="1140" customFormat="false" ht="15" hidden="false" customHeight="false" outlineLevel="0" collapsed="false">
      <c r="A1140" s="82" t="s">
        <v>2322</v>
      </c>
      <c r="B1140" s="101" t="n">
        <v>46267</v>
      </c>
      <c r="C1140" s="82" t="s">
        <v>672</v>
      </c>
      <c r="D1140" s="82" t="s">
        <v>461</v>
      </c>
      <c r="E1140" s="91" t="n">
        <v>42575</v>
      </c>
      <c r="F1140" s="82" t="s">
        <v>2323</v>
      </c>
      <c r="G1140" s="82"/>
      <c r="H1140" s="82"/>
      <c r="I1140" s="82" t="s">
        <v>250</v>
      </c>
      <c r="J1140" s="102" t="n">
        <f aca="false">IF(B1140="","",MONTH(B1140))</f>
        <v>9</v>
      </c>
      <c r="K1140" s="102" t="n">
        <f aca="false">IF(B1140="","",YEAR(B1140))</f>
        <v>2026</v>
      </c>
      <c r="L1140" s="102" t="str">
        <f aca="false">IF(N(E1140)=0,"",IF(COUNTIFS(AK_NAMA,C1140,AK_KAT,"KAS")+COUNTIFS(AK_NAMA,D1140,AK_KAT,"KAS")&lt;&gt;1,"",IF(COUNTIFS(AK_NAMA,C1140,AK_KAT,"KAS")=1,D1140,C1140)))</f>
        <v>Peralatan</v>
      </c>
      <c r="M1140" s="103" t="n">
        <f aca="false">IF(L1140="",0,IF(L1140=D1140,E1140,-E1140))</f>
        <v>-42575</v>
      </c>
      <c r="N1140" s="102" t="str">
        <f aca="false">IF(L1140="","",IFERROR(INDEX(AK_BARIS,MATCH(L1140,AK_NAMA,0)),"?"))</f>
        <v>IN1</v>
      </c>
      <c r="O1140" s="102" t="str">
        <f aca="false">IF(C1140="","",IFERROR(INDEX(AK_KEL,MATCH(C1140,AK_NAMA,0)),"?"))</f>
        <v>ASET</v>
      </c>
      <c r="P1140" s="102" t="str">
        <f aca="false">IF(D1140="","",IFERROR(INDEX(AK_KEL,MATCH(D1140,AK_NAMA,0)),"?"))</f>
        <v>ASET</v>
      </c>
      <c r="Q1140" s="102" t="n">
        <f aca="false">N(Q1139)+IF(AND(N(E1140)&lt;&gt;0,K1140=TAHUN,N(J1140)&lt;=BLN,OR(C1140=BB_AKUN,D1140=BB_AKUN)),1,0)</f>
        <v>767</v>
      </c>
      <c r="R1140" s="104" t="str">
        <f aca="false">IF(OR(C1140&amp;D1140="",N(E1140)=0),"",IF(OR(O1140="?",P1140="?"),"⚠ akun tidak dikenal",IF(C1140=D1140,"⚠ debet = kredit","")))</f>
        <v/>
      </c>
    </row>
    <row r="1141" customFormat="false" ht="15" hidden="false" customHeight="false" outlineLevel="0" collapsed="false">
      <c r="A1141" s="82" t="s">
        <v>2324</v>
      </c>
      <c r="B1141" s="101" t="n">
        <v>46267</v>
      </c>
      <c r="C1141" s="82" t="s">
        <v>548</v>
      </c>
      <c r="D1141" s="82" t="s">
        <v>461</v>
      </c>
      <c r="E1141" s="91" t="n">
        <v>27160</v>
      </c>
      <c r="F1141" s="82" t="s">
        <v>2325</v>
      </c>
      <c r="G1141" s="82"/>
      <c r="H1141" s="82"/>
      <c r="I1141" s="82" t="s">
        <v>250</v>
      </c>
      <c r="J1141" s="102" t="n">
        <f aca="false">IF(B1141="","",MONTH(B1141))</f>
        <v>9</v>
      </c>
      <c r="K1141" s="102" t="n">
        <f aca="false">IF(B1141="","",YEAR(B1141))</f>
        <v>2026</v>
      </c>
      <c r="L1141" s="102" t="str">
        <f aca="false">IF(N(E1141)=0,"",IF(COUNTIFS(AK_NAMA,C1141,AK_KAT,"KAS")+COUNTIFS(AK_NAMA,D1141,AK_KAT,"KAS")&lt;&gt;1,"",IF(COUNTIFS(AK_NAMA,C1141,AK_KAT,"KAS")=1,D1141,C1141)))</f>
        <v>Beban Perlengkapan</v>
      </c>
      <c r="M1141" s="103" t="n">
        <f aca="false">IF(L1141="",0,IF(L1141=D1141,E1141,-E1141))</f>
        <v>-27160</v>
      </c>
      <c r="N1141" s="102" t="str">
        <f aca="false">IF(L1141="","",IFERROR(INDEX(AK_BARIS,MATCH(L1141,AK_NAMA,0)),"?"))</f>
        <v>OP6</v>
      </c>
      <c r="O1141" s="102" t="str">
        <f aca="false">IF(C1141="","",IFERROR(INDEX(AK_KEL,MATCH(C1141,AK_NAMA,0)),"?"))</f>
        <v>BEBAN</v>
      </c>
      <c r="P1141" s="102" t="str">
        <f aca="false">IF(D1141="","",IFERROR(INDEX(AK_KEL,MATCH(D1141,AK_NAMA,0)),"?"))</f>
        <v>ASET</v>
      </c>
      <c r="Q1141" s="102" t="n">
        <f aca="false">N(Q1140)+IF(AND(N(E1141)&lt;&gt;0,K1141=TAHUN,N(J1141)&lt;=BLN,OR(C1141=BB_AKUN,D1141=BB_AKUN)),1,0)</f>
        <v>768</v>
      </c>
      <c r="R1141" s="104" t="str">
        <f aca="false">IF(OR(C1141&amp;D1141="",N(E1141)=0),"",IF(OR(O1141="?",P1141="?"),"⚠ akun tidak dikenal",IF(C1141=D1141,"⚠ debet = kredit","")))</f>
        <v/>
      </c>
    </row>
    <row r="1142" customFormat="false" ht="15" hidden="false" customHeight="false" outlineLevel="0" collapsed="false">
      <c r="A1142" s="82" t="s">
        <v>2326</v>
      </c>
      <c r="B1142" s="101" t="n">
        <v>46267</v>
      </c>
      <c r="C1142" s="82" t="s">
        <v>548</v>
      </c>
      <c r="D1142" s="82" t="s">
        <v>461</v>
      </c>
      <c r="E1142" s="91" t="n">
        <v>126918</v>
      </c>
      <c r="F1142" s="82" t="s">
        <v>2327</v>
      </c>
      <c r="G1142" s="82"/>
      <c r="H1142" s="82"/>
      <c r="I1142" s="82" t="s">
        <v>250</v>
      </c>
      <c r="J1142" s="102" t="n">
        <f aca="false">IF(B1142="","",MONTH(B1142))</f>
        <v>9</v>
      </c>
      <c r="K1142" s="102" t="n">
        <f aca="false">IF(B1142="","",YEAR(B1142))</f>
        <v>2026</v>
      </c>
      <c r="L1142" s="102" t="str">
        <f aca="false">IF(N(E1142)=0,"",IF(COUNTIFS(AK_NAMA,C1142,AK_KAT,"KAS")+COUNTIFS(AK_NAMA,D1142,AK_KAT,"KAS")&lt;&gt;1,"",IF(COUNTIFS(AK_NAMA,C1142,AK_KAT,"KAS")=1,D1142,C1142)))</f>
        <v>Beban Perlengkapan</v>
      </c>
      <c r="M1142" s="103" t="n">
        <f aca="false">IF(L1142="",0,IF(L1142=D1142,E1142,-E1142))</f>
        <v>-126918</v>
      </c>
      <c r="N1142" s="102" t="str">
        <f aca="false">IF(L1142="","",IFERROR(INDEX(AK_BARIS,MATCH(L1142,AK_NAMA,0)),"?"))</f>
        <v>OP6</v>
      </c>
      <c r="O1142" s="102" t="str">
        <f aca="false">IF(C1142="","",IFERROR(INDEX(AK_KEL,MATCH(C1142,AK_NAMA,0)),"?"))</f>
        <v>BEBAN</v>
      </c>
      <c r="P1142" s="102" t="str">
        <f aca="false">IF(D1142="","",IFERROR(INDEX(AK_KEL,MATCH(D1142,AK_NAMA,0)),"?"))</f>
        <v>ASET</v>
      </c>
      <c r="Q1142" s="102" t="n">
        <f aca="false">N(Q1141)+IF(AND(N(E1142)&lt;&gt;0,K1142=TAHUN,N(J1142)&lt;=BLN,OR(C1142=BB_AKUN,D1142=BB_AKUN)),1,0)</f>
        <v>769</v>
      </c>
      <c r="R1142" s="104" t="str">
        <f aca="false">IF(OR(C1142&amp;D1142="",N(E1142)=0),"",IF(OR(O1142="?",P1142="?"),"⚠ akun tidak dikenal",IF(C1142=D1142,"⚠ debet = kredit","")))</f>
        <v/>
      </c>
    </row>
    <row r="1143" customFormat="false" ht="15" hidden="false" customHeight="false" outlineLevel="0" collapsed="false">
      <c r="A1143" s="82" t="s">
        <v>2328</v>
      </c>
      <c r="B1143" s="101" t="n">
        <v>46267</v>
      </c>
      <c r="C1143" s="82" t="s">
        <v>548</v>
      </c>
      <c r="D1143" s="82" t="s">
        <v>461</v>
      </c>
      <c r="E1143" s="91" t="n">
        <v>147598</v>
      </c>
      <c r="F1143" s="82" t="s">
        <v>2329</v>
      </c>
      <c r="G1143" s="82"/>
      <c r="H1143" s="82"/>
      <c r="I1143" s="82" t="s">
        <v>250</v>
      </c>
      <c r="J1143" s="102" t="n">
        <f aca="false">IF(B1143="","",MONTH(B1143))</f>
        <v>9</v>
      </c>
      <c r="K1143" s="102" t="n">
        <f aca="false">IF(B1143="","",YEAR(B1143))</f>
        <v>2026</v>
      </c>
      <c r="L1143" s="102" t="str">
        <f aca="false">IF(N(E1143)=0,"",IF(COUNTIFS(AK_NAMA,C1143,AK_KAT,"KAS")+COUNTIFS(AK_NAMA,D1143,AK_KAT,"KAS")&lt;&gt;1,"",IF(COUNTIFS(AK_NAMA,C1143,AK_KAT,"KAS")=1,D1143,C1143)))</f>
        <v>Beban Perlengkapan</v>
      </c>
      <c r="M1143" s="103" t="n">
        <f aca="false">IF(L1143="",0,IF(L1143=D1143,E1143,-E1143))</f>
        <v>-147598</v>
      </c>
      <c r="N1143" s="102" t="str">
        <f aca="false">IF(L1143="","",IFERROR(INDEX(AK_BARIS,MATCH(L1143,AK_NAMA,0)),"?"))</f>
        <v>OP6</v>
      </c>
      <c r="O1143" s="102" t="str">
        <f aca="false">IF(C1143="","",IFERROR(INDEX(AK_KEL,MATCH(C1143,AK_NAMA,0)),"?"))</f>
        <v>BEBAN</v>
      </c>
      <c r="P1143" s="102" t="str">
        <f aca="false">IF(D1143="","",IFERROR(INDEX(AK_KEL,MATCH(D1143,AK_NAMA,0)),"?"))</f>
        <v>ASET</v>
      </c>
      <c r="Q1143" s="102" t="n">
        <f aca="false">N(Q1142)+IF(AND(N(E1143)&lt;&gt;0,K1143=TAHUN,N(J1143)&lt;=BLN,OR(C1143=BB_AKUN,D1143=BB_AKUN)),1,0)</f>
        <v>770</v>
      </c>
      <c r="R1143" s="104" t="str">
        <f aca="false">IF(OR(C1143&amp;D1143="",N(E1143)=0),"",IF(OR(O1143="?",P1143="?"),"⚠ akun tidak dikenal",IF(C1143=D1143,"⚠ debet = kredit","")))</f>
        <v/>
      </c>
    </row>
    <row r="1144" customFormat="false" ht="15" hidden="false" customHeight="false" outlineLevel="0" collapsed="false">
      <c r="A1144" s="82" t="s">
        <v>2330</v>
      </c>
      <c r="B1144" s="101" t="n">
        <v>46267</v>
      </c>
      <c r="C1144" s="82" t="s">
        <v>548</v>
      </c>
      <c r="D1144" s="82" t="s">
        <v>461</v>
      </c>
      <c r="E1144" s="91" t="n">
        <v>120880</v>
      </c>
      <c r="F1144" s="82" t="s">
        <v>2331</v>
      </c>
      <c r="G1144" s="82"/>
      <c r="H1144" s="82"/>
      <c r="I1144" s="82" t="s">
        <v>250</v>
      </c>
      <c r="J1144" s="102" t="n">
        <f aca="false">IF(B1144="","",MONTH(B1144))</f>
        <v>9</v>
      </c>
      <c r="K1144" s="102" t="n">
        <f aca="false">IF(B1144="","",YEAR(B1144))</f>
        <v>2026</v>
      </c>
      <c r="L1144" s="102" t="str">
        <f aca="false">IF(N(E1144)=0,"",IF(COUNTIFS(AK_NAMA,C1144,AK_KAT,"KAS")+COUNTIFS(AK_NAMA,D1144,AK_KAT,"KAS")&lt;&gt;1,"",IF(COUNTIFS(AK_NAMA,C1144,AK_KAT,"KAS")=1,D1144,C1144)))</f>
        <v>Beban Perlengkapan</v>
      </c>
      <c r="M1144" s="103" t="n">
        <f aca="false">IF(L1144="",0,IF(L1144=D1144,E1144,-E1144))</f>
        <v>-120880</v>
      </c>
      <c r="N1144" s="102" t="str">
        <f aca="false">IF(L1144="","",IFERROR(INDEX(AK_BARIS,MATCH(L1144,AK_NAMA,0)),"?"))</f>
        <v>OP6</v>
      </c>
      <c r="O1144" s="102" t="str">
        <f aca="false">IF(C1144="","",IFERROR(INDEX(AK_KEL,MATCH(C1144,AK_NAMA,0)),"?"))</f>
        <v>BEBAN</v>
      </c>
      <c r="P1144" s="102" t="str">
        <f aca="false">IF(D1144="","",IFERROR(INDEX(AK_KEL,MATCH(D1144,AK_NAMA,0)),"?"))</f>
        <v>ASET</v>
      </c>
      <c r="Q1144" s="102" t="n">
        <f aca="false">N(Q1143)+IF(AND(N(E1144)&lt;&gt;0,K1144=TAHUN,N(J1144)&lt;=BLN,OR(C1144=BB_AKUN,D1144=BB_AKUN)),1,0)</f>
        <v>771</v>
      </c>
      <c r="R1144" s="104" t="str">
        <f aca="false">IF(OR(C1144&amp;D1144="",N(E1144)=0),"",IF(OR(O1144="?",P1144="?"),"⚠ akun tidak dikenal",IF(C1144=D1144,"⚠ debet = kredit","")))</f>
        <v/>
      </c>
    </row>
    <row r="1145" customFormat="false" ht="15" hidden="false" customHeight="false" outlineLevel="0" collapsed="false">
      <c r="A1145" s="82" t="s">
        <v>2332</v>
      </c>
      <c r="B1145" s="101" t="n">
        <v>46267</v>
      </c>
      <c r="C1145" s="82" t="s">
        <v>672</v>
      </c>
      <c r="D1145" s="82" t="s">
        <v>461</v>
      </c>
      <c r="E1145" s="91" t="n">
        <v>592030</v>
      </c>
      <c r="F1145" s="82" t="s">
        <v>2333</v>
      </c>
      <c r="G1145" s="82"/>
      <c r="H1145" s="82"/>
      <c r="I1145" s="82" t="s">
        <v>250</v>
      </c>
      <c r="J1145" s="102" t="n">
        <f aca="false">IF(B1145="","",MONTH(B1145))</f>
        <v>9</v>
      </c>
      <c r="K1145" s="102" t="n">
        <f aca="false">IF(B1145="","",YEAR(B1145))</f>
        <v>2026</v>
      </c>
      <c r="L1145" s="102" t="str">
        <f aca="false">IF(N(E1145)=0,"",IF(COUNTIFS(AK_NAMA,C1145,AK_KAT,"KAS")+COUNTIFS(AK_NAMA,D1145,AK_KAT,"KAS")&lt;&gt;1,"",IF(COUNTIFS(AK_NAMA,C1145,AK_KAT,"KAS")=1,D1145,C1145)))</f>
        <v>Peralatan</v>
      </c>
      <c r="M1145" s="103" t="n">
        <f aca="false">IF(L1145="",0,IF(L1145=D1145,E1145,-E1145))</f>
        <v>-592030</v>
      </c>
      <c r="N1145" s="102" t="str">
        <f aca="false">IF(L1145="","",IFERROR(INDEX(AK_BARIS,MATCH(L1145,AK_NAMA,0)),"?"))</f>
        <v>IN1</v>
      </c>
      <c r="O1145" s="102" t="str">
        <f aca="false">IF(C1145="","",IFERROR(INDEX(AK_KEL,MATCH(C1145,AK_NAMA,0)),"?"))</f>
        <v>ASET</v>
      </c>
      <c r="P1145" s="102" t="str">
        <f aca="false">IF(D1145="","",IFERROR(INDEX(AK_KEL,MATCH(D1145,AK_NAMA,0)),"?"))</f>
        <v>ASET</v>
      </c>
      <c r="Q1145" s="102" t="n">
        <f aca="false">N(Q1144)+IF(AND(N(E1145)&lt;&gt;0,K1145=TAHUN,N(J1145)&lt;=BLN,OR(C1145=BB_AKUN,D1145=BB_AKUN)),1,0)</f>
        <v>772</v>
      </c>
      <c r="R1145" s="104" t="str">
        <f aca="false">IF(OR(C1145&amp;D1145="",N(E1145)=0),"",IF(OR(O1145="?",P1145="?"),"⚠ akun tidak dikenal",IF(C1145=D1145,"⚠ debet = kredit","")))</f>
        <v/>
      </c>
    </row>
    <row r="1146" customFormat="false" ht="15" hidden="false" customHeight="false" outlineLevel="0" collapsed="false">
      <c r="A1146" s="82" t="s">
        <v>2334</v>
      </c>
      <c r="B1146" s="101" t="n">
        <v>46267</v>
      </c>
      <c r="C1146" s="82" t="s">
        <v>672</v>
      </c>
      <c r="D1146" s="82" t="s">
        <v>461</v>
      </c>
      <c r="E1146" s="91" t="n">
        <v>667280</v>
      </c>
      <c r="F1146" s="82" t="s">
        <v>2335</v>
      </c>
      <c r="G1146" s="82"/>
      <c r="H1146" s="82"/>
      <c r="I1146" s="82" t="s">
        <v>250</v>
      </c>
      <c r="J1146" s="102" t="n">
        <f aca="false">IF(B1146="","",MONTH(B1146))</f>
        <v>9</v>
      </c>
      <c r="K1146" s="102" t="n">
        <f aca="false">IF(B1146="","",YEAR(B1146))</f>
        <v>2026</v>
      </c>
      <c r="L1146" s="102" t="str">
        <f aca="false">IF(N(E1146)=0,"",IF(COUNTIFS(AK_NAMA,C1146,AK_KAT,"KAS")+COUNTIFS(AK_NAMA,D1146,AK_KAT,"KAS")&lt;&gt;1,"",IF(COUNTIFS(AK_NAMA,C1146,AK_KAT,"KAS")=1,D1146,C1146)))</f>
        <v>Peralatan</v>
      </c>
      <c r="M1146" s="103" t="n">
        <f aca="false">IF(L1146="",0,IF(L1146=D1146,E1146,-E1146))</f>
        <v>-667280</v>
      </c>
      <c r="N1146" s="102" t="str">
        <f aca="false">IF(L1146="","",IFERROR(INDEX(AK_BARIS,MATCH(L1146,AK_NAMA,0)),"?"))</f>
        <v>IN1</v>
      </c>
      <c r="O1146" s="102" t="str">
        <f aca="false">IF(C1146="","",IFERROR(INDEX(AK_KEL,MATCH(C1146,AK_NAMA,0)),"?"))</f>
        <v>ASET</v>
      </c>
      <c r="P1146" s="102" t="str">
        <f aca="false">IF(D1146="","",IFERROR(INDEX(AK_KEL,MATCH(D1146,AK_NAMA,0)),"?"))</f>
        <v>ASET</v>
      </c>
      <c r="Q1146" s="102" t="n">
        <f aca="false">N(Q1145)+IF(AND(N(E1146)&lt;&gt;0,K1146=TAHUN,N(J1146)&lt;=BLN,OR(C1146=BB_AKUN,D1146=BB_AKUN)),1,0)</f>
        <v>773</v>
      </c>
      <c r="R1146" s="104" t="str">
        <f aca="false">IF(OR(C1146&amp;D1146="",N(E1146)=0),"",IF(OR(O1146="?",P1146="?"),"⚠ akun tidak dikenal",IF(C1146=D1146,"⚠ debet = kredit","")))</f>
        <v/>
      </c>
    </row>
    <row r="1147" customFormat="false" ht="15" hidden="false" customHeight="false" outlineLevel="0" collapsed="false">
      <c r="A1147" s="82" t="s">
        <v>2336</v>
      </c>
      <c r="B1147" s="101" t="n">
        <v>46267</v>
      </c>
      <c r="C1147" s="82" t="s">
        <v>486</v>
      </c>
      <c r="D1147" s="82" t="s">
        <v>475</v>
      </c>
      <c r="E1147" s="91" t="n">
        <v>500000</v>
      </c>
      <c r="F1147" s="82" t="s">
        <v>2113</v>
      </c>
      <c r="G1147" s="82"/>
      <c r="H1147" s="82"/>
      <c r="I1147" s="82" t="s">
        <v>250</v>
      </c>
      <c r="J1147" s="102" t="n">
        <f aca="false">IF(B1147="","",MONTH(B1147))</f>
        <v>9</v>
      </c>
      <c r="K1147" s="102" t="n">
        <f aca="false">IF(B1147="","",YEAR(B1147))</f>
        <v>2026</v>
      </c>
      <c r="L1147" s="102" t="str">
        <f aca="false">IF(N(E1147)=0,"",IF(COUNTIFS(AK_NAMA,C1147,AK_KAT,"KAS")+COUNTIFS(AK_NAMA,D1147,AK_KAT,"KAS")&lt;&gt;1,"",IF(COUNTIFS(AK_NAMA,C1147,AK_KAT,"KAS")=1,D1147,C1147)))</f>
        <v/>
      </c>
      <c r="M1147" s="103" t="n">
        <f aca="false">IF(L1147="",0,IF(L1147=D1147,E1147,-E1147))</f>
        <v>0</v>
      </c>
      <c r="N1147" s="102" t="str">
        <f aca="false">IF(L1147="","",IFERROR(INDEX(AK_BARIS,MATCH(L1147,AK_NAMA,0)),"?"))</f>
        <v/>
      </c>
      <c r="O1147" s="102" t="str">
        <f aca="false">IF(C1147="","",IFERROR(INDEX(AK_KEL,MATCH(C1147,AK_NAMA,0)),"?"))</f>
        <v>ASET</v>
      </c>
      <c r="P1147" s="102" t="str">
        <f aca="false">IF(D1147="","",IFERROR(INDEX(AK_KEL,MATCH(D1147,AK_NAMA,0)),"?"))</f>
        <v>ASET</v>
      </c>
      <c r="Q1147" s="102" t="n">
        <f aca="false">N(Q1146)+IF(AND(N(E1147)&lt;&gt;0,K1147=TAHUN,N(J1147)&lt;=BLN,OR(C1147=BB_AKUN,D1147=BB_AKUN)),1,0)</f>
        <v>773</v>
      </c>
      <c r="R1147" s="104" t="str">
        <f aca="false">IF(OR(C1147&amp;D1147="",N(E1147)=0),"",IF(OR(O1147="?",P1147="?"),"⚠ akun tidak dikenal",IF(C1147=D1147,"⚠ debet = kredit","")))</f>
        <v/>
      </c>
    </row>
    <row r="1148" customFormat="false" ht="15" hidden="false" customHeight="false" outlineLevel="0" collapsed="false">
      <c r="A1148" s="82" t="s">
        <v>2337</v>
      </c>
      <c r="B1148" s="101" t="n">
        <v>46267</v>
      </c>
      <c r="C1148" s="82" t="s">
        <v>718</v>
      </c>
      <c r="D1148" s="82" t="s">
        <v>486</v>
      </c>
      <c r="E1148" s="91" t="n">
        <v>185000</v>
      </c>
      <c r="F1148" s="82" t="s">
        <v>2338</v>
      </c>
      <c r="G1148" s="82"/>
      <c r="H1148" s="82" t="s">
        <v>763</v>
      </c>
      <c r="I1148" s="82" t="s">
        <v>250</v>
      </c>
      <c r="J1148" s="102" t="n">
        <f aca="false">IF(B1148="","",MONTH(B1148))</f>
        <v>9</v>
      </c>
      <c r="K1148" s="102" t="n">
        <f aca="false">IF(B1148="","",YEAR(B1148))</f>
        <v>2026</v>
      </c>
      <c r="L1148" s="102" t="str">
        <f aca="false">IF(N(E1148)=0,"",IF(COUNTIFS(AK_NAMA,C1148,AK_KAT,"KAS")+COUNTIFS(AK_NAMA,D1148,AK_KAT,"KAS")&lt;&gt;1,"",IF(COUNTIFS(AK_NAMA,C1148,AK_KAT,"KAS")=1,D1148,C1148)))</f>
        <v>Piutang Lainnya</v>
      </c>
      <c r="M1148" s="103" t="n">
        <f aca="false">IF(L1148="",0,IF(L1148=D1148,E1148,-E1148))</f>
        <v>-185000</v>
      </c>
      <c r="N1148" s="102" t="str">
        <f aca="false">IF(L1148="","",IFERROR(INDEX(AK_BARIS,MATCH(L1148,AK_NAMA,0)),"?"))</f>
        <v>OP2</v>
      </c>
      <c r="O1148" s="102" t="str">
        <f aca="false">IF(C1148="","",IFERROR(INDEX(AK_KEL,MATCH(C1148,AK_NAMA,0)),"?"))</f>
        <v>ASET</v>
      </c>
      <c r="P1148" s="102" t="str">
        <f aca="false">IF(D1148="","",IFERROR(INDEX(AK_KEL,MATCH(D1148,AK_NAMA,0)),"?"))</f>
        <v>ASET</v>
      </c>
      <c r="Q1148" s="102" t="n">
        <f aca="false">N(Q1147)+IF(AND(N(E1148)&lt;&gt;0,K1148=TAHUN,N(J1148)&lt;=BLN,OR(C1148=BB_AKUN,D1148=BB_AKUN)),1,0)</f>
        <v>773</v>
      </c>
      <c r="R1148" s="104" t="str">
        <f aca="false">IF(OR(C1148&amp;D1148="",N(E1148)=0),"",IF(OR(O1148="?",P1148="?"),"⚠ akun tidak dikenal",IF(C1148=D1148,"⚠ debet = kredit","")))</f>
        <v/>
      </c>
    </row>
    <row r="1149" customFormat="false" ht="15" hidden="false" customHeight="false" outlineLevel="0" collapsed="false">
      <c r="A1149" s="82" t="s">
        <v>2339</v>
      </c>
      <c r="B1149" s="101" t="n">
        <v>46267</v>
      </c>
      <c r="C1149" s="82" t="s">
        <v>470</v>
      </c>
      <c r="D1149" s="82" t="s">
        <v>486</v>
      </c>
      <c r="E1149" s="91" t="n">
        <v>4644100</v>
      </c>
      <c r="F1149" s="82" t="s">
        <v>2340</v>
      </c>
      <c r="G1149" s="82"/>
      <c r="H1149" s="82"/>
      <c r="I1149" s="82" t="s">
        <v>250</v>
      </c>
      <c r="J1149" s="102" t="n">
        <f aca="false">IF(B1149="","",MONTH(B1149))</f>
        <v>9</v>
      </c>
      <c r="K1149" s="102" t="n">
        <f aca="false">IF(B1149="","",YEAR(B1149))</f>
        <v>2026</v>
      </c>
      <c r="L1149" s="102" t="str">
        <f aca="false">IF(N(E1149)=0,"",IF(COUNTIFS(AK_NAMA,C1149,AK_KAT,"KAS")+COUNTIFS(AK_NAMA,D1149,AK_KAT,"KAS")&lt;&gt;1,"",IF(COUNTIFS(AK_NAMA,C1149,AK_KAT,"KAS")=1,D1149,C1149)))</f>
        <v>Biaya Bahan Baku</v>
      </c>
      <c r="M1149" s="103" t="n">
        <f aca="false">IF(L1149="",0,IF(L1149=D1149,E1149,-E1149))</f>
        <v>-4644100</v>
      </c>
      <c r="N1149" s="102" t="str">
        <f aca="false">IF(L1149="","",IFERROR(INDEX(AK_BARIS,MATCH(L1149,AK_NAMA,0)),"?"))</f>
        <v>OP3</v>
      </c>
      <c r="O1149" s="102" t="str">
        <f aca="false">IF(C1149="","",IFERROR(INDEX(AK_KEL,MATCH(C1149,AK_NAMA,0)),"?"))</f>
        <v>BEBAN</v>
      </c>
      <c r="P1149" s="102" t="str">
        <f aca="false">IF(D1149="","",IFERROR(INDEX(AK_KEL,MATCH(D1149,AK_NAMA,0)),"?"))</f>
        <v>ASET</v>
      </c>
      <c r="Q1149" s="102" t="n">
        <f aca="false">N(Q1148)+IF(AND(N(E1149)&lt;&gt;0,K1149=TAHUN,N(J1149)&lt;=BLN,OR(C1149=BB_AKUN,D1149=BB_AKUN)),1,0)</f>
        <v>773</v>
      </c>
      <c r="R1149" s="104" t="str">
        <f aca="false">IF(OR(C1149&amp;D1149="",N(E1149)=0),"",IF(OR(O1149="?",P1149="?"),"⚠ akun tidak dikenal",IF(C1149=D1149,"⚠ debet = kredit","")))</f>
        <v/>
      </c>
    </row>
    <row r="1150" customFormat="false" ht="15" hidden="false" customHeight="false" outlineLevel="0" collapsed="false">
      <c r="A1150" s="82" t="s">
        <v>2341</v>
      </c>
      <c r="B1150" s="101" t="n">
        <v>46267</v>
      </c>
      <c r="C1150" s="82" t="s">
        <v>548</v>
      </c>
      <c r="D1150" s="82" t="s">
        <v>486</v>
      </c>
      <c r="E1150" s="91" t="n">
        <v>842100</v>
      </c>
      <c r="F1150" s="82" t="s">
        <v>2342</v>
      </c>
      <c r="G1150" s="82"/>
      <c r="H1150" s="82"/>
      <c r="I1150" s="82" t="s">
        <v>250</v>
      </c>
      <c r="J1150" s="102" t="n">
        <f aca="false">IF(B1150="","",MONTH(B1150))</f>
        <v>9</v>
      </c>
      <c r="K1150" s="102" t="n">
        <f aca="false">IF(B1150="","",YEAR(B1150))</f>
        <v>2026</v>
      </c>
      <c r="L1150" s="102" t="str">
        <f aca="false">IF(N(E1150)=0,"",IF(COUNTIFS(AK_NAMA,C1150,AK_KAT,"KAS")+COUNTIFS(AK_NAMA,D1150,AK_KAT,"KAS")&lt;&gt;1,"",IF(COUNTIFS(AK_NAMA,C1150,AK_KAT,"KAS")=1,D1150,C1150)))</f>
        <v>Beban Perlengkapan</v>
      </c>
      <c r="M1150" s="103" t="n">
        <f aca="false">IF(L1150="",0,IF(L1150=D1150,E1150,-E1150))</f>
        <v>-842100</v>
      </c>
      <c r="N1150" s="102" t="str">
        <f aca="false">IF(L1150="","",IFERROR(INDEX(AK_BARIS,MATCH(L1150,AK_NAMA,0)),"?"))</f>
        <v>OP6</v>
      </c>
      <c r="O1150" s="102" t="str">
        <f aca="false">IF(C1150="","",IFERROR(INDEX(AK_KEL,MATCH(C1150,AK_NAMA,0)),"?"))</f>
        <v>BEBAN</v>
      </c>
      <c r="P1150" s="102" t="str">
        <f aca="false">IF(D1150="","",IFERROR(INDEX(AK_KEL,MATCH(D1150,AK_NAMA,0)),"?"))</f>
        <v>ASET</v>
      </c>
      <c r="Q1150" s="102" t="n">
        <f aca="false">N(Q1149)+IF(AND(N(E1150)&lt;&gt;0,K1150=TAHUN,N(J1150)&lt;=BLN,OR(C1150=BB_AKUN,D1150=BB_AKUN)),1,0)</f>
        <v>773</v>
      </c>
      <c r="R1150" s="104" t="str">
        <f aca="false">IF(OR(C1150&amp;D1150="",N(E1150)=0),"",IF(OR(O1150="?",P1150="?"),"⚠ akun tidak dikenal",IF(C1150=D1150,"⚠ debet = kredit","")))</f>
        <v/>
      </c>
    </row>
    <row r="1151" customFormat="false" ht="15" hidden="false" customHeight="false" outlineLevel="0" collapsed="false">
      <c r="A1151" s="82" t="s">
        <v>2343</v>
      </c>
      <c r="B1151" s="101" t="n">
        <v>46267</v>
      </c>
      <c r="C1151" s="82" t="s">
        <v>485</v>
      </c>
      <c r="D1151" s="82" t="s">
        <v>486</v>
      </c>
      <c r="E1151" s="91" t="n">
        <v>262500</v>
      </c>
      <c r="F1151" s="82" t="s">
        <v>2344</v>
      </c>
      <c r="G1151" s="82"/>
      <c r="H1151" s="82"/>
      <c r="I1151" s="82" t="s">
        <v>250</v>
      </c>
      <c r="J1151" s="102" t="n">
        <f aca="false">IF(B1151="","",MONTH(B1151))</f>
        <v>9</v>
      </c>
      <c r="K1151" s="102" t="n">
        <f aca="false">IF(B1151="","",YEAR(B1151))</f>
        <v>2026</v>
      </c>
      <c r="L1151" s="102" t="str">
        <f aca="false">IF(N(E1151)=0,"",IF(COUNTIFS(AK_NAMA,C1151,AK_KAT,"KAS")+COUNTIFS(AK_NAMA,D1151,AK_KAT,"KAS")&lt;&gt;1,"",IF(COUNTIFS(AK_NAMA,C1151,AK_KAT,"KAS")=1,D1151,C1151)))</f>
        <v>Biaya Operasional Harian</v>
      </c>
      <c r="M1151" s="103" t="n">
        <f aca="false">IF(L1151="",0,IF(L1151=D1151,E1151,-E1151))</f>
        <v>-262500</v>
      </c>
      <c r="N1151" s="102" t="str">
        <f aca="false">IF(L1151="","",IFERROR(INDEX(AK_BARIS,MATCH(L1151,AK_NAMA,0)),"?"))</f>
        <v>OP6</v>
      </c>
      <c r="O1151" s="102" t="str">
        <f aca="false">IF(C1151="","",IFERROR(INDEX(AK_KEL,MATCH(C1151,AK_NAMA,0)),"?"))</f>
        <v>BEBAN</v>
      </c>
      <c r="P1151" s="102" t="str">
        <f aca="false">IF(D1151="","",IFERROR(INDEX(AK_KEL,MATCH(D1151,AK_NAMA,0)),"?"))</f>
        <v>ASET</v>
      </c>
      <c r="Q1151" s="102" t="n">
        <f aca="false">N(Q1150)+IF(AND(N(E1151)&lt;&gt;0,K1151=TAHUN,N(J1151)&lt;=BLN,OR(C1151=BB_AKUN,D1151=BB_AKUN)),1,0)</f>
        <v>773</v>
      </c>
      <c r="R1151" s="104" t="str">
        <f aca="false">IF(OR(C1151&amp;D1151="",N(E1151)=0),"",IF(OR(O1151="?",P1151="?"),"⚠ akun tidak dikenal",IF(C1151=D1151,"⚠ debet = kredit","")))</f>
        <v/>
      </c>
    </row>
    <row r="1152" customFormat="false" ht="15" hidden="false" customHeight="false" outlineLevel="0" collapsed="false">
      <c r="A1152" s="82" t="s">
        <v>2345</v>
      </c>
      <c r="B1152" s="101" t="n">
        <v>46267</v>
      </c>
      <c r="C1152" s="82" t="s">
        <v>524</v>
      </c>
      <c r="D1152" s="82" t="s">
        <v>486</v>
      </c>
      <c r="E1152" s="91" t="n">
        <v>30000</v>
      </c>
      <c r="F1152" s="82" t="s">
        <v>2346</v>
      </c>
      <c r="G1152" s="82"/>
      <c r="H1152" s="82"/>
      <c r="I1152" s="82" t="s">
        <v>250</v>
      </c>
      <c r="J1152" s="102" t="n">
        <f aca="false">IF(B1152="","",MONTH(B1152))</f>
        <v>9</v>
      </c>
      <c r="K1152" s="102" t="n">
        <f aca="false">IF(B1152="","",YEAR(B1152))</f>
        <v>2026</v>
      </c>
      <c r="L1152" s="102" t="str">
        <f aca="false">IF(N(E1152)=0,"",IF(COUNTIFS(AK_NAMA,C1152,AK_KAT,"KAS")+COUNTIFS(AK_NAMA,D1152,AK_KAT,"KAS")&lt;&gt;1,"",IF(COUNTIFS(AK_NAMA,C1152,AK_KAT,"KAS")=1,D1152,C1152)))</f>
        <v>Biaya Lainnya</v>
      </c>
      <c r="M1152" s="103" t="n">
        <f aca="false">IF(L1152="",0,IF(L1152=D1152,E1152,-E1152))</f>
        <v>-30000</v>
      </c>
      <c r="N1152" s="102" t="str">
        <f aca="false">IF(L1152="","",IFERROR(INDEX(AK_BARIS,MATCH(L1152,AK_NAMA,0)),"?"))</f>
        <v>OP2</v>
      </c>
      <c r="O1152" s="102" t="str">
        <f aca="false">IF(C1152="","",IFERROR(INDEX(AK_KEL,MATCH(C1152,AK_NAMA,0)),"?"))</f>
        <v>BEBAN</v>
      </c>
      <c r="P1152" s="102" t="str">
        <f aca="false">IF(D1152="","",IFERROR(INDEX(AK_KEL,MATCH(D1152,AK_NAMA,0)),"?"))</f>
        <v>ASET</v>
      </c>
      <c r="Q1152" s="102" t="n">
        <f aca="false">N(Q1151)+IF(AND(N(E1152)&lt;&gt;0,K1152=TAHUN,N(J1152)&lt;=BLN,OR(C1152=BB_AKUN,D1152=BB_AKUN)),1,0)</f>
        <v>773</v>
      </c>
      <c r="R1152" s="104" t="str">
        <f aca="false">IF(OR(C1152&amp;D1152="",N(E1152)=0),"",IF(OR(O1152="?",P1152="?"),"⚠ akun tidak dikenal",IF(C1152=D1152,"⚠ debet = kredit","")))</f>
        <v/>
      </c>
    </row>
    <row r="1153" customFormat="false" ht="15" hidden="false" customHeight="false" outlineLevel="0" collapsed="false">
      <c r="A1153" s="82" t="s">
        <v>2347</v>
      </c>
      <c r="B1153" s="101" t="n">
        <v>46268</v>
      </c>
      <c r="C1153" s="82" t="s">
        <v>470</v>
      </c>
      <c r="D1153" s="82" t="s">
        <v>461</v>
      </c>
      <c r="E1153" s="91" t="n">
        <v>946000</v>
      </c>
      <c r="F1153" s="82" t="s">
        <v>1612</v>
      </c>
      <c r="G1153" s="82"/>
      <c r="H1153" s="82"/>
      <c r="I1153" s="82" t="s">
        <v>250</v>
      </c>
      <c r="J1153" s="102" t="n">
        <f aca="false">IF(B1153="","",MONTH(B1153))</f>
        <v>9</v>
      </c>
      <c r="K1153" s="102" t="n">
        <f aca="false">IF(B1153="","",YEAR(B1153))</f>
        <v>2026</v>
      </c>
      <c r="L1153" s="102" t="str">
        <f aca="false">IF(N(E1153)=0,"",IF(COUNTIFS(AK_NAMA,C1153,AK_KAT,"KAS")+COUNTIFS(AK_NAMA,D1153,AK_KAT,"KAS")&lt;&gt;1,"",IF(COUNTIFS(AK_NAMA,C1153,AK_KAT,"KAS")=1,D1153,C1153)))</f>
        <v>Biaya Bahan Baku</v>
      </c>
      <c r="M1153" s="103" t="n">
        <f aca="false">IF(L1153="",0,IF(L1153=D1153,E1153,-E1153))</f>
        <v>-946000</v>
      </c>
      <c r="N1153" s="102" t="str">
        <f aca="false">IF(L1153="","",IFERROR(INDEX(AK_BARIS,MATCH(L1153,AK_NAMA,0)),"?"))</f>
        <v>OP3</v>
      </c>
      <c r="O1153" s="102" t="str">
        <f aca="false">IF(C1153="","",IFERROR(INDEX(AK_KEL,MATCH(C1153,AK_NAMA,0)),"?"))</f>
        <v>BEBAN</v>
      </c>
      <c r="P1153" s="102" t="str">
        <f aca="false">IF(D1153="","",IFERROR(INDEX(AK_KEL,MATCH(D1153,AK_NAMA,0)),"?"))</f>
        <v>ASET</v>
      </c>
      <c r="Q1153" s="102" t="n">
        <f aca="false">N(Q1152)+IF(AND(N(E1153)&lt;&gt;0,K1153=TAHUN,N(J1153)&lt;=BLN,OR(C1153=BB_AKUN,D1153=BB_AKUN)),1,0)</f>
        <v>774</v>
      </c>
      <c r="R1153" s="104" t="str">
        <f aca="false">IF(OR(C1153&amp;D1153="",N(E1153)=0),"",IF(OR(O1153="?",P1153="?"),"⚠ akun tidak dikenal",IF(C1153=D1153,"⚠ debet = kredit","")))</f>
        <v/>
      </c>
    </row>
    <row r="1154" customFormat="false" ht="15" hidden="false" customHeight="false" outlineLevel="0" collapsed="false">
      <c r="A1154" s="82" t="s">
        <v>2348</v>
      </c>
      <c r="B1154" s="101" t="n">
        <v>46268</v>
      </c>
      <c r="C1154" s="82" t="s">
        <v>576</v>
      </c>
      <c r="D1154" s="82" t="s">
        <v>461</v>
      </c>
      <c r="E1154" s="91" t="n">
        <v>250000</v>
      </c>
      <c r="F1154" s="82" t="s">
        <v>2349</v>
      </c>
      <c r="G1154" s="82"/>
      <c r="H1154" s="82"/>
      <c r="I1154" s="82" t="s">
        <v>250</v>
      </c>
      <c r="J1154" s="102" t="n">
        <f aca="false">IF(B1154="","",MONTH(B1154))</f>
        <v>9</v>
      </c>
      <c r="K1154" s="102" t="n">
        <f aca="false">IF(B1154="","",YEAR(B1154))</f>
        <v>2026</v>
      </c>
      <c r="L1154" s="102" t="str">
        <f aca="false">IF(N(E1154)=0,"",IF(COUNTIFS(AK_NAMA,C1154,AK_KAT,"KAS")+COUNTIFS(AK_NAMA,D1154,AK_KAT,"KAS")&lt;&gt;1,"",IF(COUNTIFS(AK_NAMA,C1154,AK_KAT,"KAS")=1,D1154,C1154)))</f>
        <v>Beban Gaji</v>
      </c>
      <c r="M1154" s="103" t="n">
        <f aca="false">IF(L1154="",0,IF(L1154=D1154,E1154,-E1154))</f>
        <v>-250000</v>
      </c>
      <c r="N1154" s="102" t="str">
        <f aca="false">IF(L1154="","",IFERROR(INDEX(AK_BARIS,MATCH(L1154,AK_NAMA,0)),"?"))</f>
        <v>OP4</v>
      </c>
      <c r="O1154" s="102" t="str">
        <f aca="false">IF(C1154="","",IFERROR(INDEX(AK_KEL,MATCH(C1154,AK_NAMA,0)),"?"))</f>
        <v>BEBAN</v>
      </c>
      <c r="P1154" s="102" t="str">
        <f aca="false">IF(D1154="","",IFERROR(INDEX(AK_KEL,MATCH(D1154,AK_NAMA,0)),"?"))</f>
        <v>ASET</v>
      </c>
      <c r="Q1154" s="102" t="n">
        <f aca="false">N(Q1153)+IF(AND(N(E1154)&lt;&gt;0,K1154=TAHUN,N(J1154)&lt;=BLN,OR(C1154=BB_AKUN,D1154=BB_AKUN)),1,0)</f>
        <v>775</v>
      </c>
      <c r="R1154" s="104" t="str">
        <f aca="false">IF(OR(C1154&amp;D1154="",N(E1154)=0),"",IF(OR(O1154="?",P1154="?"),"⚠ akun tidak dikenal",IF(C1154=D1154,"⚠ debet = kredit","")))</f>
        <v/>
      </c>
    </row>
    <row r="1155" customFormat="false" ht="15" hidden="false" customHeight="false" outlineLevel="0" collapsed="false">
      <c r="A1155" s="82" t="s">
        <v>2350</v>
      </c>
      <c r="B1155" s="101" t="n">
        <v>46268</v>
      </c>
      <c r="C1155" s="82" t="s">
        <v>524</v>
      </c>
      <c r="D1155" s="82" t="s">
        <v>461</v>
      </c>
      <c r="E1155" s="91" t="n">
        <v>354</v>
      </c>
      <c r="F1155" s="82" t="s">
        <v>525</v>
      </c>
      <c r="G1155" s="82"/>
      <c r="H1155" s="82"/>
      <c r="I1155" s="82" t="s">
        <v>250</v>
      </c>
      <c r="J1155" s="102" t="n">
        <f aca="false">IF(B1155="","",MONTH(B1155))</f>
        <v>9</v>
      </c>
      <c r="K1155" s="102" t="n">
        <f aca="false">IF(B1155="","",YEAR(B1155))</f>
        <v>2026</v>
      </c>
      <c r="L1155" s="102" t="str">
        <f aca="false">IF(N(E1155)=0,"",IF(COUNTIFS(AK_NAMA,C1155,AK_KAT,"KAS")+COUNTIFS(AK_NAMA,D1155,AK_KAT,"KAS")&lt;&gt;1,"",IF(COUNTIFS(AK_NAMA,C1155,AK_KAT,"KAS")=1,D1155,C1155)))</f>
        <v>Biaya Lainnya</v>
      </c>
      <c r="M1155" s="103" t="n">
        <f aca="false">IF(L1155="",0,IF(L1155=D1155,E1155,-E1155))</f>
        <v>-354</v>
      </c>
      <c r="N1155" s="102" t="str">
        <f aca="false">IF(L1155="","",IFERROR(INDEX(AK_BARIS,MATCH(L1155,AK_NAMA,0)),"?"))</f>
        <v>OP2</v>
      </c>
      <c r="O1155" s="102" t="str">
        <f aca="false">IF(C1155="","",IFERROR(INDEX(AK_KEL,MATCH(C1155,AK_NAMA,0)),"?"))</f>
        <v>BEBAN</v>
      </c>
      <c r="P1155" s="102" t="str">
        <f aca="false">IF(D1155="","",IFERROR(INDEX(AK_KEL,MATCH(D1155,AK_NAMA,0)),"?"))</f>
        <v>ASET</v>
      </c>
      <c r="Q1155" s="102" t="n">
        <f aca="false">N(Q1154)+IF(AND(N(E1155)&lt;&gt;0,K1155=TAHUN,N(J1155)&lt;=BLN,OR(C1155=BB_AKUN,D1155=BB_AKUN)),1,0)</f>
        <v>776</v>
      </c>
      <c r="R1155" s="104" t="str">
        <f aca="false">IF(OR(C1155&amp;D1155="",N(E1155)=0),"",IF(OR(O1155="?",P1155="?"),"⚠ akun tidak dikenal",IF(C1155=D1155,"⚠ debet = kredit","")))</f>
        <v/>
      </c>
    </row>
    <row r="1156" customFormat="false" ht="15" hidden="false" customHeight="false" outlineLevel="0" collapsed="false">
      <c r="A1156" s="82" t="s">
        <v>2351</v>
      </c>
      <c r="B1156" s="101" t="n">
        <v>46268</v>
      </c>
      <c r="C1156" s="82" t="s">
        <v>470</v>
      </c>
      <c r="D1156" s="82" t="s">
        <v>461</v>
      </c>
      <c r="E1156" s="91" t="n">
        <v>2364300</v>
      </c>
      <c r="F1156" s="82" t="s">
        <v>1950</v>
      </c>
      <c r="G1156" s="82"/>
      <c r="H1156" s="82"/>
      <c r="I1156" s="82" t="s">
        <v>250</v>
      </c>
      <c r="J1156" s="102" t="n">
        <f aca="false">IF(B1156="","",MONTH(B1156))</f>
        <v>9</v>
      </c>
      <c r="K1156" s="102" t="n">
        <f aca="false">IF(B1156="","",YEAR(B1156))</f>
        <v>2026</v>
      </c>
      <c r="L1156" s="102" t="str">
        <f aca="false">IF(N(E1156)=0,"",IF(COUNTIFS(AK_NAMA,C1156,AK_KAT,"KAS")+COUNTIFS(AK_NAMA,D1156,AK_KAT,"KAS")&lt;&gt;1,"",IF(COUNTIFS(AK_NAMA,C1156,AK_KAT,"KAS")=1,D1156,C1156)))</f>
        <v>Biaya Bahan Baku</v>
      </c>
      <c r="M1156" s="103" t="n">
        <f aca="false">IF(L1156="",0,IF(L1156=D1156,E1156,-E1156))</f>
        <v>-2364300</v>
      </c>
      <c r="N1156" s="102" t="str">
        <f aca="false">IF(L1156="","",IFERROR(INDEX(AK_BARIS,MATCH(L1156,AK_NAMA,0)),"?"))</f>
        <v>OP3</v>
      </c>
      <c r="O1156" s="102" t="str">
        <f aca="false">IF(C1156="","",IFERROR(INDEX(AK_KEL,MATCH(C1156,AK_NAMA,0)),"?"))</f>
        <v>BEBAN</v>
      </c>
      <c r="P1156" s="102" t="str">
        <f aca="false">IF(D1156="","",IFERROR(INDEX(AK_KEL,MATCH(D1156,AK_NAMA,0)),"?"))</f>
        <v>ASET</v>
      </c>
      <c r="Q1156" s="102" t="n">
        <f aca="false">N(Q1155)+IF(AND(N(E1156)&lt;&gt;0,K1156=TAHUN,N(J1156)&lt;=BLN,OR(C1156=BB_AKUN,D1156=BB_AKUN)),1,0)</f>
        <v>777</v>
      </c>
      <c r="R1156" s="104" t="str">
        <f aca="false">IF(OR(C1156&amp;D1156="",N(E1156)=0),"",IF(OR(O1156="?",P1156="?"),"⚠ akun tidak dikenal",IF(C1156=D1156,"⚠ debet = kredit","")))</f>
        <v/>
      </c>
    </row>
    <row r="1157" customFormat="false" ht="15" hidden="false" customHeight="false" outlineLevel="0" collapsed="false">
      <c r="A1157" s="82" t="s">
        <v>2352</v>
      </c>
      <c r="B1157" s="101" t="n">
        <v>46268</v>
      </c>
      <c r="C1157" s="82" t="s">
        <v>470</v>
      </c>
      <c r="D1157" s="82" t="s">
        <v>461</v>
      </c>
      <c r="E1157" s="91" t="n">
        <v>7224000</v>
      </c>
      <c r="F1157" s="82" t="s">
        <v>1950</v>
      </c>
      <c r="G1157" s="82"/>
      <c r="H1157" s="82"/>
      <c r="I1157" s="82" t="s">
        <v>250</v>
      </c>
      <c r="J1157" s="102" t="n">
        <f aca="false">IF(B1157="","",MONTH(B1157))</f>
        <v>9</v>
      </c>
      <c r="K1157" s="102" t="n">
        <f aca="false">IF(B1157="","",YEAR(B1157))</f>
        <v>2026</v>
      </c>
      <c r="L1157" s="102" t="str">
        <f aca="false">IF(N(E1157)=0,"",IF(COUNTIFS(AK_NAMA,C1157,AK_KAT,"KAS")+COUNTIFS(AK_NAMA,D1157,AK_KAT,"KAS")&lt;&gt;1,"",IF(COUNTIFS(AK_NAMA,C1157,AK_KAT,"KAS")=1,D1157,C1157)))</f>
        <v>Biaya Bahan Baku</v>
      </c>
      <c r="M1157" s="103" t="n">
        <f aca="false">IF(L1157="",0,IF(L1157=D1157,E1157,-E1157))</f>
        <v>-7224000</v>
      </c>
      <c r="N1157" s="102" t="str">
        <f aca="false">IF(L1157="","",IFERROR(INDEX(AK_BARIS,MATCH(L1157,AK_NAMA,0)),"?"))</f>
        <v>OP3</v>
      </c>
      <c r="O1157" s="102" t="str">
        <f aca="false">IF(C1157="","",IFERROR(INDEX(AK_KEL,MATCH(C1157,AK_NAMA,0)),"?"))</f>
        <v>BEBAN</v>
      </c>
      <c r="P1157" s="102" t="str">
        <f aca="false">IF(D1157="","",IFERROR(INDEX(AK_KEL,MATCH(D1157,AK_NAMA,0)),"?"))</f>
        <v>ASET</v>
      </c>
      <c r="Q1157" s="102" t="n">
        <f aca="false">N(Q1156)+IF(AND(N(E1157)&lt;&gt;0,K1157=TAHUN,N(J1157)&lt;=BLN,OR(C1157=BB_AKUN,D1157=BB_AKUN)),1,0)</f>
        <v>778</v>
      </c>
      <c r="R1157" s="104" t="str">
        <f aca="false">IF(OR(C1157&amp;D1157="",N(E1157)=0),"",IF(OR(O1157="?",P1157="?"),"⚠ akun tidak dikenal",IF(C1157=D1157,"⚠ debet = kredit","")))</f>
        <v/>
      </c>
    </row>
    <row r="1158" customFormat="false" ht="15" hidden="false" customHeight="false" outlineLevel="0" collapsed="false">
      <c r="A1158" s="82" t="s">
        <v>2353</v>
      </c>
      <c r="B1158" s="101" t="n">
        <v>46268</v>
      </c>
      <c r="C1158" s="82" t="s">
        <v>548</v>
      </c>
      <c r="D1158" s="82" t="s">
        <v>461</v>
      </c>
      <c r="E1158" s="91" t="n">
        <v>315000</v>
      </c>
      <c r="F1158" s="82" t="s">
        <v>2354</v>
      </c>
      <c r="G1158" s="82"/>
      <c r="H1158" s="82"/>
      <c r="I1158" s="82" t="s">
        <v>250</v>
      </c>
      <c r="J1158" s="102" t="n">
        <f aca="false">IF(B1158="","",MONTH(B1158))</f>
        <v>9</v>
      </c>
      <c r="K1158" s="102" t="n">
        <f aca="false">IF(B1158="","",YEAR(B1158))</f>
        <v>2026</v>
      </c>
      <c r="L1158" s="102" t="str">
        <f aca="false">IF(N(E1158)=0,"",IF(COUNTIFS(AK_NAMA,C1158,AK_KAT,"KAS")+COUNTIFS(AK_NAMA,D1158,AK_KAT,"KAS")&lt;&gt;1,"",IF(COUNTIFS(AK_NAMA,C1158,AK_KAT,"KAS")=1,D1158,C1158)))</f>
        <v>Beban Perlengkapan</v>
      </c>
      <c r="M1158" s="103" t="n">
        <f aca="false">IF(L1158="",0,IF(L1158=D1158,E1158,-E1158))</f>
        <v>-315000</v>
      </c>
      <c r="N1158" s="102" t="str">
        <f aca="false">IF(L1158="","",IFERROR(INDEX(AK_BARIS,MATCH(L1158,AK_NAMA,0)),"?"))</f>
        <v>OP6</v>
      </c>
      <c r="O1158" s="102" t="str">
        <f aca="false">IF(C1158="","",IFERROR(INDEX(AK_KEL,MATCH(C1158,AK_NAMA,0)),"?"))</f>
        <v>BEBAN</v>
      </c>
      <c r="P1158" s="102" t="str">
        <f aca="false">IF(D1158="","",IFERROR(INDEX(AK_KEL,MATCH(D1158,AK_NAMA,0)),"?"))</f>
        <v>ASET</v>
      </c>
      <c r="Q1158" s="102" t="n">
        <f aca="false">N(Q1157)+IF(AND(N(E1158)&lt;&gt;0,K1158=TAHUN,N(J1158)&lt;=BLN,OR(C1158=BB_AKUN,D1158=BB_AKUN)),1,0)</f>
        <v>779</v>
      </c>
      <c r="R1158" s="104" t="str">
        <f aca="false">IF(OR(C1158&amp;D1158="",N(E1158)=0),"",IF(OR(O1158="?",P1158="?"),"⚠ akun tidak dikenal",IF(C1158=D1158,"⚠ debet = kredit","")))</f>
        <v/>
      </c>
    </row>
    <row r="1159" customFormat="false" ht="15" hidden="false" customHeight="false" outlineLevel="0" collapsed="false">
      <c r="A1159" s="82" t="s">
        <v>2355</v>
      </c>
      <c r="B1159" s="101" t="n">
        <v>46268</v>
      </c>
      <c r="C1159" s="82" t="s">
        <v>548</v>
      </c>
      <c r="D1159" s="82" t="s">
        <v>461</v>
      </c>
      <c r="E1159" s="91" t="n">
        <v>160000</v>
      </c>
      <c r="F1159" s="82" t="s">
        <v>2356</v>
      </c>
      <c r="G1159" s="82"/>
      <c r="H1159" s="82"/>
      <c r="I1159" s="82" t="s">
        <v>250</v>
      </c>
      <c r="J1159" s="102" t="n">
        <f aca="false">IF(B1159="","",MONTH(B1159))</f>
        <v>9</v>
      </c>
      <c r="K1159" s="102" t="n">
        <f aca="false">IF(B1159="","",YEAR(B1159))</f>
        <v>2026</v>
      </c>
      <c r="L1159" s="102" t="str">
        <f aca="false">IF(N(E1159)=0,"",IF(COUNTIFS(AK_NAMA,C1159,AK_KAT,"KAS")+COUNTIFS(AK_NAMA,D1159,AK_KAT,"KAS")&lt;&gt;1,"",IF(COUNTIFS(AK_NAMA,C1159,AK_KAT,"KAS")=1,D1159,C1159)))</f>
        <v>Beban Perlengkapan</v>
      </c>
      <c r="M1159" s="103" t="n">
        <f aca="false">IF(L1159="",0,IF(L1159=D1159,E1159,-E1159))</f>
        <v>-160000</v>
      </c>
      <c r="N1159" s="102" t="str">
        <f aca="false">IF(L1159="","",IFERROR(INDEX(AK_BARIS,MATCH(L1159,AK_NAMA,0)),"?"))</f>
        <v>OP6</v>
      </c>
      <c r="O1159" s="102" t="str">
        <f aca="false">IF(C1159="","",IFERROR(INDEX(AK_KEL,MATCH(C1159,AK_NAMA,0)),"?"))</f>
        <v>BEBAN</v>
      </c>
      <c r="P1159" s="102" t="str">
        <f aca="false">IF(D1159="","",IFERROR(INDEX(AK_KEL,MATCH(D1159,AK_NAMA,0)),"?"))</f>
        <v>ASET</v>
      </c>
      <c r="Q1159" s="102" t="n">
        <f aca="false">N(Q1158)+IF(AND(N(E1159)&lt;&gt;0,K1159=TAHUN,N(J1159)&lt;=BLN,OR(C1159=BB_AKUN,D1159=BB_AKUN)),1,0)</f>
        <v>780</v>
      </c>
      <c r="R1159" s="104" t="str">
        <f aca="false">IF(OR(C1159&amp;D1159="",N(E1159)=0),"",IF(OR(O1159="?",P1159="?"),"⚠ akun tidak dikenal",IF(C1159=D1159,"⚠ debet = kredit","")))</f>
        <v/>
      </c>
    </row>
    <row r="1160" customFormat="false" ht="15" hidden="false" customHeight="false" outlineLevel="0" collapsed="false">
      <c r="A1160" s="82" t="s">
        <v>2357</v>
      </c>
      <c r="B1160" s="101" t="n">
        <v>46269</v>
      </c>
      <c r="C1160" s="82" t="s">
        <v>461</v>
      </c>
      <c r="D1160" s="82" t="s">
        <v>475</v>
      </c>
      <c r="E1160" s="91" t="n">
        <v>5698000</v>
      </c>
      <c r="F1160" s="82" t="s">
        <v>2358</v>
      </c>
      <c r="G1160" s="82"/>
      <c r="H1160" s="82"/>
      <c r="I1160" s="82" t="s">
        <v>250</v>
      </c>
      <c r="J1160" s="102" t="n">
        <f aca="false">IF(B1160="","",MONTH(B1160))</f>
        <v>9</v>
      </c>
      <c r="K1160" s="102" t="n">
        <f aca="false">IF(B1160="","",YEAR(B1160))</f>
        <v>2026</v>
      </c>
      <c r="L1160" s="102" t="str">
        <f aca="false">IF(N(E1160)=0,"",IF(COUNTIFS(AK_NAMA,C1160,AK_KAT,"KAS")+COUNTIFS(AK_NAMA,D1160,AK_KAT,"KAS")&lt;&gt;1,"",IF(COUNTIFS(AK_NAMA,C1160,AK_KAT,"KAS")=1,D1160,C1160)))</f>
        <v/>
      </c>
      <c r="M1160" s="103" t="n">
        <f aca="false">IF(L1160="",0,IF(L1160=D1160,E1160,-E1160))</f>
        <v>0</v>
      </c>
      <c r="N1160" s="102" t="str">
        <f aca="false">IF(L1160="","",IFERROR(INDEX(AK_BARIS,MATCH(L1160,AK_NAMA,0)),"?"))</f>
        <v/>
      </c>
      <c r="O1160" s="102" t="str">
        <f aca="false">IF(C1160="","",IFERROR(INDEX(AK_KEL,MATCH(C1160,AK_NAMA,0)),"?"))</f>
        <v>ASET</v>
      </c>
      <c r="P1160" s="102" t="str">
        <f aca="false">IF(D1160="","",IFERROR(INDEX(AK_KEL,MATCH(D1160,AK_NAMA,0)),"?"))</f>
        <v>ASET</v>
      </c>
      <c r="Q1160" s="102" t="n">
        <f aca="false">N(Q1159)+IF(AND(N(E1160)&lt;&gt;0,K1160=TAHUN,N(J1160)&lt;=BLN,OR(C1160=BB_AKUN,D1160=BB_AKUN)),1,0)</f>
        <v>781</v>
      </c>
      <c r="R1160" s="104" t="str">
        <f aca="false">IF(OR(C1160&amp;D1160="",N(E1160)=0),"",IF(OR(O1160="?",P1160="?"),"⚠ akun tidak dikenal",IF(C1160=D1160,"⚠ debet = kredit","")))</f>
        <v/>
      </c>
    </row>
    <row r="1161" customFormat="false" ht="15" hidden="false" customHeight="false" outlineLevel="0" collapsed="false">
      <c r="A1161" s="82" t="s">
        <v>2359</v>
      </c>
      <c r="B1161" s="101" t="n">
        <v>46270</v>
      </c>
      <c r="C1161" s="82" t="s">
        <v>470</v>
      </c>
      <c r="D1161" s="82" t="s">
        <v>461</v>
      </c>
      <c r="E1161" s="91" t="n">
        <v>400000</v>
      </c>
      <c r="F1161" s="82" t="s">
        <v>2360</v>
      </c>
      <c r="G1161" s="82"/>
      <c r="H1161" s="82"/>
      <c r="I1161" s="82" t="s">
        <v>250</v>
      </c>
      <c r="J1161" s="102" t="n">
        <f aca="false">IF(B1161="","",MONTH(B1161))</f>
        <v>9</v>
      </c>
      <c r="K1161" s="102" t="n">
        <f aca="false">IF(B1161="","",YEAR(B1161))</f>
        <v>2026</v>
      </c>
      <c r="L1161" s="102" t="str">
        <f aca="false">IF(N(E1161)=0,"",IF(COUNTIFS(AK_NAMA,C1161,AK_KAT,"KAS")+COUNTIFS(AK_NAMA,D1161,AK_KAT,"KAS")&lt;&gt;1,"",IF(COUNTIFS(AK_NAMA,C1161,AK_KAT,"KAS")=1,D1161,C1161)))</f>
        <v>Biaya Bahan Baku</v>
      </c>
      <c r="M1161" s="103" t="n">
        <f aca="false">IF(L1161="",0,IF(L1161=D1161,E1161,-E1161))</f>
        <v>-400000</v>
      </c>
      <c r="N1161" s="102" t="str">
        <f aca="false">IF(L1161="","",IFERROR(INDEX(AK_BARIS,MATCH(L1161,AK_NAMA,0)),"?"))</f>
        <v>OP3</v>
      </c>
      <c r="O1161" s="102" t="str">
        <f aca="false">IF(C1161="","",IFERROR(INDEX(AK_KEL,MATCH(C1161,AK_NAMA,0)),"?"))</f>
        <v>BEBAN</v>
      </c>
      <c r="P1161" s="102" t="str">
        <f aca="false">IF(D1161="","",IFERROR(INDEX(AK_KEL,MATCH(D1161,AK_NAMA,0)),"?"))</f>
        <v>ASET</v>
      </c>
      <c r="Q1161" s="102" t="n">
        <f aca="false">N(Q1160)+IF(AND(N(E1161)&lt;&gt;0,K1161=TAHUN,N(J1161)&lt;=BLN,OR(C1161=BB_AKUN,D1161=BB_AKUN)),1,0)</f>
        <v>782</v>
      </c>
      <c r="R1161" s="104" t="str">
        <f aca="false">IF(OR(C1161&amp;D1161="",N(E1161)=0),"",IF(OR(O1161="?",P1161="?"),"⚠ akun tidak dikenal",IF(C1161=D1161,"⚠ debet = kredit","")))</f>
        <v/>
      </c>
    </row>
    <row r="1162" customFormat="false" ht="15" hidden="false" customHeight="false" outlineLevel="0" collapsed="false">
      <c r="A1162" s="82" t="s">
        <v>2361</v>
      </c>
      <c r="B1162" s="101" t="n">
        <v>46270</v>
      </c>
      <c r="C1162" s="82" t="s">
        <v>470</v>
      </c>
      <c r="D1162" s="82" t="s">
        <v>461</v>
      </c>
      <c r="E1162" s="91" t="n">
        <v>7224000</v>
      </c>
      <c r="F1162" s="82" t="s">
        <v>1950</v>
      </c>
      <c r="G1162" s="82"/>
      <c r="H1162" s="82"/>
      <c r="I1162" s="82" t="s">
        <v>250</v>
      </c>
      <c r="J1162" s="102" t="n">
        <f aca="false">IF(B1162="","",MONTH(B1162))</f>
        <v>9</v>
      </c>
      <c r="K1162" s="102" t="n">
        <f aca="false">IF(B1162="","",YEAR(B1162))</f>
        <v>2026</v>
      </c>
      <c r="L1162" s="102" t="str">
        <f aca="false">IF(N(E1162)=0,"",IF(COUNTIFS(AK_NAMA,C1162,AK_KAT,"KAS")+COUNTIFS(AK_NAMA,D1162,AK_KAT,"KAS")&lt;&gt;1,"",IF(COUNTIFS(AK_NAMA,C1162,AK_KAT,"KAS")=1,D1162,C1162)))</f>
        <v>Biaya Bahan Baku</v>
      </c>
      <c r="M1162" s="103" t="n">
        <f aca="false">IF(L1162="",0,IF(L1162=D1162,E1162,-E1162))</f>
        <v>-7224000</v>
      </c>
      <c r="N1162" s="102" t="str">
        <f aca="false">IF(L1162="","",IFERROR(INDEX(AK_BARIS,MATCH(L1162,AK_NAMA,0)),"?"))</f>
        <v>OP3</v>
      </c>
      <c r="O1162" s="102" t="str">
        <f aca="false">IF(C1162="","",IFERROR(INDEX(AK_KEL,MATCH(C1162,AK_NAMA,0)),"?"))</f>
        <v>BEBAN</v>
      </c>
      <c r="P1162" s="102" t="str">
        <f aca="false">IF(D1162="","",IFERROR(INDEX(AK_KEL,MATCH(D1162,AK_NAMA,0)),"?"))</f>
        <v>ASET</v>
      </c>
      <c r="Q1162" s="102" t="n">
        <f aca="false">N(Q1161)+IF(AND(N(E1162)&lt;&gt;0,K1162=TAHUN,N(J1162)&lt;=BLN,OR(C1162=BB_AKUN,D1162=BB_AKUN)),1,0)</f>
        <v>783</v>
      </c>
      <c r="R1162" s="104" t="str">
        <f aca="false">IF(OR(C1162&amp;D1162="",N(E1162)=0),"",IF(OR(O1162="?",P1162="?"),"⚠ akun tidak dikenal",IF(C1162=D1162,"⚠ debet = kredit","")))</f>
        <v/>
      </c>
    </row>
    <row r="1163" customFormat="false" ht="15" hidden="false" customHeight="false" outlineLevel="0" collapsed="false">
      <c r="A1163" s="82" t="s">
        <v>2362</v>
      </c>
      <c r="B1163" s="101" t="n">
        <v>46270</v>
      </c>
      <c r="C1163" s="82" t="s">
        <v>467</v>
      </c>
      <c r="D1163" s="82" t="s">
        <v>461</v>
      </c>
      <c r="E1163" s="91" t="n">
        <v>839000</v>
      </c>
      <c r="F1163" s="82" t="s">
        <v>2363</v>
      </c>
      <c r="G1163" s="82"/>
      <c r="H1163" s="82"/>
      <c r="I1163" s="82" t="s">
        <v>250</v>
      </c>
      <c r="J1163" s="102" t="n">
        <f aca="false">IF(B1163="","",MONTH(B1163))</f>
        <v>9</v>
      </c>
      <c r="K1163" s="102" t="n">
        <f aca="false">IF(B1163="","",YEAR(B1163))</f>
        <v>2026</v>
      </c>
      <c r="L1163" s="102" t="str">
        <f aca="false">IF(N(E1163)=0,"",IF(COUNTIFS(AK_NAMA,C1163,AK_KAT,"KAS")+COUNTIFS(AK_NAMA,D1163,AK_KAT,"KAS")&lt;&gt;1,"",IF(COUNTIFS(AK_NAMA,C1163,AK_KAT,"KAS")=1,D1163,C1163)))</f>
        <v>Dana Sosial &amp; CSR</v>
      </c>
      <c r="M1163" s="103" t="n">
        <f aca="false">IF(L1163="",0,IF(L1163=D1163,E1163,-E1163))</f>
        <v>-839000</v>
      </c>
      <c r="N1163" s="102" t="str">
        <f aca="false">IF(L1163="","",IFERROR(INDEX(AK_BARIS,MATCH(L1163,AK_NAMA,0)),"?"))</f>
        <v>OP6</v>
      </c>
      <c r="O1163" s="102" t="str">
        <f aca="false">IF(C1163="","",IFERROR(INDEX(AK_KEL,MATCH(C1163,AK_NAMA,0)),"?"))</f>
        <v>BEBAN</v>
      </c>
      <c r="P1163" s="102" t="str">
        <f aca="false">IF(D1163="","",IFERROR(INDEX(AK_KEL,MATCH(D1163,AK_NAMA,0)),"?"))</f>
        <v>ASET</v>
      </c>
      <c r="Q1163" s="102" t="n">
        <f aca="false">N(Q1162)+IF(AND(N(E1163)&lt;&gt;0,K1163=TAHUN,N(J1163)&lt;=BLN,OR(C1163=BB_AKUN,D1163=BB_AKUN)),1,0)</f>
        <v>784</v>
      </c>
      <c r="R1163" s="104" t="str">
        <f aca="false">IF(OR(C1163&amp;D1163="",N(E1163)=0),"",IF(OR(O1163="?",P1163="?"),"⚠ akun tidak dikenal",IF(C1163=D1163,"⚠ debet = kredit","")))</f>
        <v/>
      </c>
    </row>
    <row r="1164" customFormat="false" ht="15" hidden="false" customHeight="false" outlineLevel="0" collapsed="false">
      <c r="A1164" s="82" t="s">
        <v>2364</v>
      </c>
      <c r="B1164" s="101" t="n">
        <v>46270</v>
      </c>
      <c r="C1164" s="82" t="s">
        <v>718</v>
      </c>
      <c r="D1164" s="82" t="s">
        <v>461</v>
      </c>
      <c r="E1164" s="91" t="n">
        <v>304500</v>
      </c>
      <c r="F1164" s="82" t="s">
        <v>2365</v>
      </c>
      <c r="G1164" s="82"/>
      <c r="H1164" s="82"/>
      <c r="I1164" s="82" t="s">
        <v>250</v>
      </c>
      <c r="J1164" s="102" t="n">
        <f aca="false">IF(B1164="","",MONTH(B1164))</f>
        <v>9</v>
      </c>
      <c r="K1164" s="102" t="n">
        <f aca="false">IF(B1164="","",YEAR(B1164))</f>
        <v>2026</v>
      </c>
      <c r="L1164" s="102" t="str">
        <f aca="false">IF(N(E1164)=0,"",IF(COUNTIFS(AK_NAMA,C1164,AK_KAT,"KAS")+COUNTIFS(AK_NAMA,D1164,AK_KAT,"KAS")&lt;&gt;1,"",IF(COUNTIFS(AK_NAMA,C1164,AK_KAT,"KAS")=1,D1164,C1164)))</f>
        <v>Piutang Lainnya</v>
      </c>
      <c r="M1164" s="103" t="n">
        <f aca="false">IF(L1164="",0,IF(L1164=D1164,E1164,-E1164))</f>
        <v>-304500</v>
      </c>
      <c r="N1164" s="102" t="str">
        <f aca="false">IF(L1164="","",IFERROR(INDEX(AK_BARIS,MATCH(L1164,AK_NAMA,0)),"?"))</f>
        <v>OP2</v>
      </c>
      <c r="O1164" s="102" t="str">
        <f aca="false">IF(C1164="","",IFERROR(INDEX(AK_KEL,MATCH(C1164,AK_NAMA,0)),"?"))</f>
        <v>ASET</v>
      </c>
      <c r="P1164" s="102" t="str">
        <f aca="false">IF(D1164="","",IFERROR(INDEX(AK_KEL,MATCH(D1164,AK_NAMA,0)),"?"))</f>
        <v>ASET</v>
      </c>
      <c r="Q1164" s="102" t="n">
        <f aca="false">N(Q1163)+IF(AND(N(E1164)&lt;&gt;0,K1164=TAHUN,N(J1164)&lt;=BLN,OR(C1164=BB_AKUN,D1164=BB_AKUN)),1,0)</f>
        <v>785</v>
      </c>
      <c r="R1164" s="104" t="str">
        <f aca="false">IF(OR(C1164&amp;D1164="",N(E1164)=0),"",IF(OR(O1164="?",P1164="?"),"⚠ akun tidak dikenal",IF(C1164=D1164,"⚠ debet = kredit","")))</f>
        <v/>
      </c>
    </row>
    <row r="1165" customFormat="false" ht="15" hidden="false" customHeight="false" outlineLevel="0" collapsed="false">
      <c r="A1165" s="82" t="s">
        <v>2366</v>
      </c>
      <c r="B1165" s="101" t="n">
        <v>46270</v>
      </c>
      <c r="C1165" s="82" t="s">
        <v>460</v>
      </c>
      <c r="D1165" s="82" t="s">
        <v>461</v>
      </c>
      <c r="E1165" s="91" t="n">
        <v>86000</v>
      </c>
      <c r="F1165" s="82" t="s">
        <v>2367</v>
      </c>
      <c r="G1165" s="82"/>
      <c r="H1165" s="82"/>
      <c r="I1165" s="82" t="s">
        <v>250</v>
      </c>
      <c r="J1165" s="102" t="n">
        <f aca="false">IF(B1165="","",MONTH(B1165))</f>
        <v>9</v>
      </c>
      <c r="K1165" s="102" t="n">
        <f aca="false">IF(B1165="","",YEAR(B1165))</f>
        <v>2026</v>
      </c>
      <c r="L1165" s="102" t="str">
        <f aca="false">IF(N(E1165)=0,"",IF(COUNTIFS(AK_NAMA,C1165,AK_KAT,"KAS")+COUNTIFS(AK_NAMA,D1165,AK_KAT,"KAS")&lt;&gt;1,"",IF(COUNTIFS(AK_NAMA,C1165,AK_KAT,"KAS")=1,D1165,C1165)))</f>
        <v>Biaya Marketing &amp; Promosi</v>
      </c>
      <c r="M1165" s="103" t="n">
        <f aca="false">IF(L1165="",0,IF(L1165=D1165,E1165,-E1165))</f>
        <v>-86000</v>
      </c>
      <c r="N1165" s="102" t="str">
        <f aca="false">IF(L1165="","",IFERROR(INDEX(AK_BARIS,MATCH(L1165,AK_NAMA,0)),"?"))</f>
        <v>OP6</v>
      </c>
      <c r="O1165" s="102" t="str">
        <f aca="false">IF(C1165="","",IFERROR(INDEX(AK_KEL,MATCH(C1165,AK_NAMA,0)),"?"))</f>
        <v>BEBAN</v>
      </c>
      <c r="P1165" s="102" t="str">
        <f aca="false">IF(D1165="","",IFERROR(INDEX(AK_KEL,MATCH(D1165,AK_NAMA,0)),"?"))</f>
        <v>ASET</v>
      </c>
      <c r="Q1165" s="102" t="n">
        <f aca="false">N(Q1164)+IF(AND(N(E1165)&lt;&gt;0,K1165=TAHUN,N(J1165)&lt;=BLN,OR(C1165=BB_AKUN,D1165=BB_AKUN)),1,0)</f>
        <v>786</v>
      </c>
      <c r="R1165" s="104" t="str">
        <f aca="false">IF(OR(C1165&amp;D1165="",N(E1165)=0),"",IF(OR(O1165="?",P1165="?"),"⚠ akun tidak dikenal",IF(C1165=D1165,"⚠ debet = kredit","")))</f>
        <v/>
      </c>
    </row>
    <row r="1166" customFormat="false" ht="15" hidden="false" customHeight="false" outlineLevel="0" collapsed="false">
      <c r="A1166" s="82" t="s">
        <v>2368</v>
      </c>
      <c r="B1166" s="101" t="n">
        <v>46270</v>
      </c>
      <c r="C1166" s="82" t="s">
        <v>486</v>
      </c>
      <c r="D1166" s="82" t="s">
        <v>461</v>
      </c>
      <c r="E1166" s="91" t="n">
        <v>500000</v>
      </c>
      <c r="F1166" s="82" t="s">
        <v>2369</v>
      </c>
      <c r="G1166" s="82"/>
      <c r="H1166" s="82"/>
      <c r="I1166" s="82" t="s">
        <v>250</v>
      </c>
      <c r="J1166" s="102" t="n">
        <f aca="false">IF(B1166="","",MONTH(B1166))</f>
        <v>9</v>
      </c>
      <c r="K1166" s="102" t="n">
        <f aca="false">IF(B1166="","",YEAR(B1166))</f>
        <v>2026</v>
      </c>
      <c r="L1166" s="102" t="str">
        <f aca="false">IF(N(E1166)=0,"",IF(COUNTIFS(AK_NAMA,C1166,AK_KAT,"KAS")+COUNTIFS(AK_NAMA,D1166,AK_KAT,"KAS")&lt;&gt;1,"",IF(COUNTIFS(AK_NAMA,C1166,AK_KAT,"KAS")=1,D1166,C1166)))</f>
        <v/>
      </c>
      <c r="M1166" s="103" t="n">
        <f aca="false">IF(L1166="",0,IF(L1166=D1166,E1166,-E1166))</f>
        <v>0</v>
      </c>
      <c r="N1166" s="102" t="str">
        <f aca="false">IF(L1166="","",IFERROR(INDEX(AK_BARIS,MATCH(L1166,AK_NAMA,0)),"?"))</f>
        <v/>
      </c>
      <c r="O1166" s="102" t="str">
        <f aca="false">IF(C1166="","",IFERROR(INDEX(AK_KEL,MATCH(C1166,AK_NAMA,0)),"?"))</f>
        <v>ASET</v>
      </c>
      <c r="P1166" s="102" t="str">
        <f aca="false">IF(D1166="","",IFERROR(INDEX(AK_KEL,MATCH(D1166,AK_NAMA,0)),"?"))</f>
        <v>ASET</v>
      </c>
      <c r="Q1166" s="102" t="n">
        <f aca="false">N(Q1165)+IF(AND(N(E1166)&lt;&gt;0,K1166=TAHUN,N(J1166)&lt;=BLN,OR(C1166=BB_AKUN,D1166=BB_AKUN)),1,0)</f>
        <v>787</v>
      </c>
      <c r="R1166" s="104" t="str">
        <f aca="false">IF(OR(C1166&amp;D1166="",N(E1166)=0),"",IF(OR(O1166="?",P1166="?"),"⚠ akun tidak dikenal",IF(C1166=D1166,"⚠ debet = kredit","")))</f>
        <v/>
      </c>
    </row>
    <row r="1167" customFormat="false" ht="15" hidden="false" customHeight="false" outlineLevel="0" collapsed="false">
      <c r="A1167" s="82" t="s">
        <v>2370</v>
      </c>
      <c r="B1167" s="101" t="n">
        <v>46270</v>
      </c>
      <c r="C1167" s="82" t="s">
        <v>524</v>
      </c>
      <c r="D1167" s="82" t="s">
        <v>461</v>
      </c>
      <c r="E1167" s="91" t="n">
        <v>330</v>
      </c>
      <c r="F1167" s="82" t="s">
        <v>525</v>
      </c>
      <c r="G1167" s="82"/>
      <c r="H1167" s="82"/>
      <c r="I1167" s="82" t="s">
        <v>250</v>
      </c>
      <c r="J1167" s="102" t="n">
        <f aca="false">IF(B1167="","",MONTH(B1167))</f>
        <v>9</v>
      </c>
      <c r="K1167" s="102" t="n">
        <f aca="false">IF(B1167="","",YEAR(B1167))</f>
        <v>2026</v>
      </c>
      <c r="L1167" s="102" t="str">
        <f aca="false">IF(N(E1167)=0,"",IF(COUNTIFS(AK_NAMA,C1167,AK_KAT,"KAS")+COUNTIFS(AK_NAMA,D1167,AK_KAT,"KAS")&lt;&gt;1,"",IF(COUNTIFS(AK_NAMA,C1167,AK_KAT,"KAS")=1,D1167,C1167)))</f>
        <v>Biaya Lainnya</v>
      </c>
      <c r="M1167" s="103" t="n">
        <f aca="false">IF(L1167="",0,IF(L1167=D1167,E1167,-E1167))</f>
        <v>-330</v>
      </c>
      <c r="N1167" s="102" t="str">
        <f aca="false">IF(L1167="","",IFERROR(INDEX(AK_BARIS,MATCH(L1167,AK_NAMA,0)),"?"))</f>
        <v>OP2</v>
      </c>
      <c r="O1167" s="102" t="str">
        <f aca="false">IF(C1167="","",IFERROR(INDEX(AK_KEL,MATCH(C1167,AK_NAMA,0)),"?"))</f>
        <v>BEBAN</v>
      </c>
      <c r="P1167" s="102" t="str">
        <f aca="false">IF(D1167="","",IFERROR(INDEX(AK_KEL,MATCH(D1167,AK_NAMA,0)),"?"))</f>
        <v>ASET</v>
      </c>
      <c r="Q1167" s="102" t="n">
        <f aca="false">N(Q1166)+IF(AND(N(E1167)&lt;&gt;0,K1167=TAHUN,N(J1167)&lt;=BLN,OR(C1167=BB_AKUN,D1167=BB_AKUN)),1,0)</f>
        <v>788</v>
      </c>
      <c r="R1167" s="104" t="str">
        <f aca="false">IF(OR(C1167&amp;D1167="",N(E1167)=0),"",IF(OR(O1167="?",P1167="?"),"⚠ akun tidak dikenal",IF(C1167=D1167,"⚠ debet = kredit","")))</f>
        <v/>
      </c>
    </row>
    <row r="1168" customFormat="false" ht="15" hidden="false" customHeight="false" outlineLevel="0" collapsed="false">
      <c r="A1168" s="82" t="s">
        <v>2371</v>
      </c>
      <c r="B1168" s="101" t="n">
        <v>46270</v>
      </c>
      <c r="C1168" s="82" t="s">
        <v>548</v>
      </c>
      <c r="D1168" s="82" t="s">
        <v>461</v>
      </c>
      <c r="E1168" s="91" t="n">
        <v>290000</v>
      </c>
      <c r="F1168" s="82" t="s">
        <v>2372</v>
      </c>
      <c r="G1168" s="82"/>
      <c r="H1168" s="82"/>
      <c r="I1168" s="82" t="s">
        <v>250</v>
      </c>
      <c r="J1168" s="102" t="n">
        <f aca="false">IF(B1168="","",MONTH(B1168))</f>
        <v>9</v>
      </c>
      <c r="K1168" s="102" t="n">
        <f aca="false">IF(B1168="","",YEAR(B1168))</f>
        <v>2026</v>
      </c>
      <c r="L1168" s="102" t="str">
        <f aca="false">IF(N(E1168)=0,"",IF(COUNTIFS(AK_NAMA,C1168,AK_KAT,"KAS")+COUNTIFS(AK_NAMA,D1168,AK_KAT,"KAS")&lt;&gt;1,"",IF(COUNTIFS(AK_NAMA,C1168,AK_KAT,"KAS")=1,D1168,C1168)))</f>
        <v>Beban Perlengkapan</v>
      </c>
      <c r="M1168" s="103" t="n">
        <f aca="false">IF(L1168="",0,IF(L1168=D1168,E1168,-E1168))</f>
        <v>-290000</v>
      </c>
      <c r="N1168" s="102" t="str">
        <f aca="false">IF(L1168="","",IFERROR(INDEX(AK_BARIS,MATCH(L1168,AK_NAMA,0)),"?"))</f>
        <v>OP6</v>
      </c>
      <c r="O1168" s="102" t="str">
        <f aca="false">IF(C1168="","",IFERROR(INDEX(AK_KEL,MATCH(C1168,AK_NAMA,0)),"?"))</f>
        <v>BEBAN</v>
      </c>
      <c r="P1168" s="102" t="str">
        <f aca="false">IF(D1168="","",IFERROR(INDEX(AK_KEL,MATCH(D1168,AK_NAMA,0)),"?"))</f>
        <v>ASET</v>
      </c>
      <c r="Q1168" s="102" t="n">
        <f aca="false">N(Q1167)+IF(AND(N(E1168)&lt;&gt;0,K1168=TAHUN,N(J1168)&lt;=BLN,OR(C1168=BB_AKUN,D1168=BB_AKUN)),1,0)</f>
        <v>789</v>
      </c>
      <c r="R1168" s="104" t="str">
        <f aca="false">IF(OR(C1168&amp;D1168="",N(E1168)=0),"",IF(OR(O1168="?",P1168="?"),"⚠ akun tidak dikenal",IF(C1168=D1168,"⚠ debet = kredit","")))</f>
        <v/>
      </c>
    </row>
    <row r="1169" customFormat="false" ht="15" hidden="false" customHeight="false" outlineLevel="0" collapsed="false">
      <c r="A1169" s="82" t="s">
        <v>2373</v>
      </c>
      <c r="B1169" s="101" t="n">
        <v>46270</v>
      </c>
      <c r="C1169" s="82" t="s">
        <v>470</v>
      </c>
      <c r="D1169" s="82" t="s">
        <v>461</v>
      </c>
      <c r="E1169" s="91" t="n">
        <v>3791000</v>
      </c>
      <c r="F1169" s="82" t="s">
        <v>2374</v>
      </c>
      <c r="G1169" s="82"/>
      <c r="H1169" s="82"/>
      <c r="I1169" s="82" t="s">
        <v>250</v>
      </c>
      <c r="J1169" s="102" t="n">
        <f aca="false">IF(B1169="","",MONTH(B1169))</f>
        <v>9</v>
      </c>
      <c r="K1169" s="102" t="n">
        <f aca="false">IF(B1169="","",YEAR(B1169))</f>
        <v>2026</v>
      </c>
      <c r="L1169" s="102" t="str">
        <f aca="false">IF(N(E1169)=0,"",IF(COUNTIFS(AK_NAMA,C1169,AK_KAT,"KAS")+COUNTIFS(AK_NAMA,D1169,AK_KAT,"KAS")&lt;&gt;1,"",IF(COUNTIFS(AK_NAMA,C1169,AK_KAT,"KAS")=1,D1169,C1169)))</f>
        <v>Biaya Bahan Baku</v>
      </c>
      <c r="M1169" s="103" t="n">
        <f aca="false">IF(L1169="",0,IF(L1169=D1169,E1169,-E1169))</f>
        <v>-3791000</v>
      </c>
      <c r="N1169" s="102" t="str">
        <f aca="false">IF(L1169="","",IFERROR(INDEX(AK_BARIS,MATCH(L1169,AK_NAMA,0)),"?"))</f>
        <v>OP3</v>
      </c>
      <c r="O1169" s="102" t="str">
        <f aca="false">IF(C1169="","",IFERROR(INDEX(AK_KEL,MATCH(C1169,AK_NAMA,0)),"?"))</f>
        <v>BEBAN</v>
      </c>
      <c r="P1169" s="102" t="str">
        <f aca="false">IF(D1169="","",IFERROR(INDEX(AK_KEL,MATCH(D1169,AK_NAMA,0)),"?"))</f>
        <v>ASET</v>
      </c>
      <c r="Q1169" s="102" t="n">
        <f aca="false">N(Q1168)+IF(AND(N(E1169)&lt;&gt;0,K1169=TAHUN,N(J1169)&lt;=BLN,OR(C1169=BB_AKUN,D1169=BB_AKUN)),1,0)</f>
        <v>790</v>
      </c>
      <c r="R1169" s="104" t="str">
        <f aca="false">IF(OR(C1169&amp;D1169="",N(E1169)=0),"",IF(OR(O1169="?",P1169="?"),"⚠ akun tidak dikenal",IF(C1169=D1169,"⚠ debet = kredit","")))</f>
        <v/>
      </c>
    </row>
    <row r="1170" customFormat="false" ht="15" hidden="false" customHeight="false" outlineLevel="0" collapsed="false">
      <c r="A1170" s="82" t="s">
        <v>2375</v>
      </c>
      <c r="B1170" s="101" t="n">
        <v>46272</v>
      </c>
      <c r="C1170" s="82" t="s">
        <v>470</v>
      </c>
      <c r="D1170" s="82" t="s">
        <v>461</v>
      </c>
      <c r="E1170" s="91" t="n">
        <v>2121000</v>
      </c>
      <c r="F1170" s="82" t="s">
        <v>2376</v>
      </c>
      <c r="G1170" s="82"/>
      <c r="H1170" s="82"/>
      <c r="I1170" s="82" t="s">
        <v>250</v>
      </c>
      <c r="J1170" s="102" t="n">
        <f aca="false">IF(B1170="","",MONTH(B1170))</f>
        <v>9</v>
      </c>
      <c r="K1170" s="102" t="n">
        <f aca="false">IF(B1170="","",YEAR(B1170))</f>
        <v>2026</v>
      </c>
      <c r="L1170" s="102" t="str">
        <f aca="false">IF(N(E1170)=0,"",IF(COUNTIFS(AK_NAMA,C1170,AK_KAT,"KAS")+COUNTIFS(AK_NAMA,D1170,AK_KAT,"KAS")&lt;&gt;1,"",IF(COUNTIFS(AK_NAMA,C1170,AK_KAT,"KAS")=1,D1170,C1170)))</f>
        <v>Biaya Bahan Baku</v>
      </c>
      <c r="M1170" s="103" t="n">
        <f aca="false">IF(L1170="",0,IF(L1170=D1170,E1170,-E1170))</f>
        <v>-2121000</v>
      </c>
      <c r="N1170" s="102" t="str">
        <f aca="false">IF(L1170="","",IFERROR(INDEX(AK_BARIS,MATCH(L1170,AK_NAMA,0)),"?"))</f>
        <v>OP3</v>
      </c>
      <c r="O1170" s="102" t="str">
        <f aca="false">IF(C1170="","",IFERROR(INDEX(AK_KEL,MATCH(C1170,AK_NAMA,0)),"?"))</f>
        <v>BEBAN</v>
      </c>
      <c r="P1170" s="102" t="str">
        <f aca="false">IF(D1170="","",IFERROR(INDEX(AK_KEL,MATCH(D1170,AK_NAMA,0)),"?"))</f>
        <v>ASET</v>
      </c>
      <c r="Q1170" s="102" t="n">
        <f aca="false">N(Q1169)+IF(AND(N(E1170)&lt;&gt;0,K1170=TAHUN,N(J1170)&lt;=BLN,OR(C1170=BB_AKUN,D1170=BB_AKUN)),1,0)</f>
        <v>791</v>
      </c>
      <c r="R1170" s="104" t="str">
        <f aca="false">IF(OR(C1170&amp;D1170="",N(E1170)=0),"",IF(OR(O1170="?",P1170="?"),"⚠ akun tidak dikenal",IF(C1170=D1170,"⚠ debet = kredit","")))</f>
        <v/>
      </c>
    </row>
    <row r="1171" customFormat="false" ht="15" hidden="false" customHeight="false" outlineLevel="0" collapsed="false">
      <c r="A1171" s="82" t="s">
        <v>2377</v>
      </c>
      <c r="B1171" s="101" t="n">
        <v>46272</v>
      </c>
      <c r="C1171" s="82" t="s">
        <v>470</v>
      </c>
      <c r="D1171" s="82" t="s">
        <v>461</v>
      </c>
      <c r="E1171" s="91" t="n">
        <v>90000</v>
      </c>
      <c r="F1171" s="82" t="s">
        <v>1545</v>
      </c>
      <c r="G1171" s="82"/>
      <c r="H1171" s="82"/>
      <c r="I1171" s="82" t="s">
        <v>250</v>
      </c>
      <c r="J1171" s="102" t="n">
        <f aca="false">IF(B1171="","",MONTH(B1171))</f>
        <v>9</v>
      </c>
      <c r="K1171" s="102" t="n">
        <f aca="false">IF(B1171="","",YEAR(B1171))</f>
        <v>2026</v>
      </c>
      <c r="L1171" s="102" t="str">
        <f aca="false">IF(N(E1171)=0,"",IF(COUNTIFS(AK_NAMA,C1171,AK_KAT,"KAS")+COUNTIFS(AK_NAMA,D1171,AK_KAT,"KAS")&lt;&gt;1,"",IF(COUNTIFS(AK_NAMA,C1171,AK_KAT,"KAS")=1,D1171,C1171)))</f>
        <v>Biaya Bahan Baku</v>
      </c>
      <c r="M1171" s="103" t="n">
        <f aca="false">IF(L1171="",0,IF(L1171=D1171,E1171,-E1171))</f>
        <v>-90000</v>
      </c>
      <c r="N1171" s="102" t="str">
        <f aca="false">IF(L1171="","",IFERROR(INDEX(AK_BARIS,MATCH(L1171,AK_NAMA,0)),"?"))</f>
        <v>OP3</v>
      </c>
      <c r="O1171" s="102" t="str">
        <f aca="false">IF(C1171="","",IFERROR(INDEX(AK_KEL,MATCH(C1171,AK_NAMA,0)),"?"))</f>
        <v>BEBAN</v>
      </c>
      <c r="P1171" s="102" t="str">
        <f aca="false">IF(D1171="","",IFERROR(INDEX(AK_KEL,MATCH(D1171,AK_NAMA,0)),"?"))</f>
        <v>ASET</v>
      </c>
      <c r="Q1171" s="102" t="n">
        <f aca="false">N(Q1170)+IF(AND(N(E1171)&lt;&gt;0,K1171=TAHUN,N(J1171)&lt;=BLN,OR(C1171=BB_AKUN,D1171=BB_AKUN)),1,0)</f>
        <v>792</v>
      </c>
      <c r="R1171" s="104" t="str">
        <f aca="false">IF(OR(C1171&amp;D1171="",N(E1171)=0),"",IF(OR(O1171="?",P1171="?"),"⚠ akun tidak dikenal",IF(C1171=D1171,"⚠ debet = kredit","")))</f>
        <v/>
      </c>
    </row>
    <row r="1172" customFormat="false" ht="15" hidden="false" customHeight="false" outlineLevel="0" collapsed="false">
      <c r="A1172" s="82" t="s">
        <v>2378</v>
      </c>
      <c r="B1172" s="101" t="n">
        <v>46272</v>
      </c>
      <c r="C1172" s="82" t="s">
        <v>486</v>
      </c>
      <c r="D1172" s="82" t="s">
        <v>475</v>
      </c>
      <c r="E1172" s="91" t="n">
        <v>500000</v>
      </c>
      <c r="F1172" s="82" t="s">
        <v>2113</v>
      </c>
      <c r="G1172" s="82"/>
      <c r="H1172" s="82"/>
      <c r="I1172" s="82" t="s">
        <v>250</v>
      </c>
      <c r="J1172" s="102" t="n">
        <f aca="false">IF(B1172="","",MONTH(B1172))</f>
        <v>9</v>
      </c>
      <c r="K1172" s="102" t="n">
        <f aca="false">IF(B1172="","",YEAR(B1172))</f>
        <v>2026</v>
      </c>
      <c r="L1172" s="102" t="str">
        <f aca="false">IF(N(E1172)=0,"",IF(COUNTIFS(AK_NAMA,C1172,AK_KAT,"KAS")+COUNTIFS(AK_NAMA,D1172,AK_KAT,"KAS")&lt;&gt;1,"",IF(COUNTIFS(AK_NAMA,C1172,AK_KAT,"KAS")=1,D1172,C1172)))</f>
        <v/>
      </c>
      <c r="M1172" s="103" t="n">
        <f aca="false">IF(L1172="",0,IF(L1172=D1172,E1172,-E1172))</f>
        <v>0</v>
      </c>
      <c r="N1172" s="102" t="str">
        <f aca="false">IF(L1172="","",IFERROR(INDEX(AK_BARIS,MATCH(L1172,AK_NAMA,0)),"?"))</f>
        <v/>
      </c>
      <c r="O1172" s="102" t="str">
        <f aca="false">IF(C1172="","",IFERROR(INDEX(AK_KEL,MATCH(C1172,AK_NAMA,0)),"?"))</f>
        <v>ASET</v>
      </c>
      <c r="P1172" s="102" t="str">
        <f aca="false">IF(D1172="","",IFERROR(INDEX(AK_KEL,MATCH(D1172,AK_NAMA,0)),"?"))</f>
        <v>ASET</v>
      </c>
      <c r="Q1172" s="102" t="n">
        <f aca="false">N(Q1171)+IF(AND(N(E1172)&lt;&gt;0,K1172=TAHUN,N(J1172)&lt;=BLN,OR(C1172=BB_AKUN,D1172=BB_AKUN)),1,0)</f>
        <v>792</v>
      </c>
      <c r="R1172" s="104" t="str">
        <f aca="false">IF(OR(C1172&amp;D1172="",N(E1172)=0),"",IF(OR(O1172="?",P1172="?"),"⚠ akun tidak dikenal",IF(C1172=D1172,"⚠ debet = kredit","")))</f>
        <v/>
      </c>
    </row>
    <row r="1173" customFormat="false" ht="15" hidden="false" customHeight="false" outlineLevel="0" collapsed="false">
      <c r="A1173" s="82" t="s">
        <v>2379</v>
      </c>
      <c r="B1173" s="101" t="n">
        <v>46272</v>
      </c>
      <c r="C1173" s="82" t="s">
        <v>475</v>
      </c>
      <c r="D1173" s="82" t="s">
        <v>486</v>
      </c>
      <c r="E1173" s="91" t="n">
        <v>15000</v>
      </c>
      <c r="F1173" s="82" t="s">
        <v>2109</v>
      </c>
      <c r="G1173" s="82"/>
      <c r="H1173" s="82"/>
      <c r="I1173" s="82" t="s">
        <v>250</v>
      </c>
      <c r="J1173" s="102" t="n">
        <f aca="false">IF(B1173="","",MONTH(B1173))</f>
        <v>9</v>
      </c>
      <c r="K1173" s="102" t="n">
        <f aca="false">IF(B1173="","",YEAR(B1173))</f>
        <v>2026</v>
      </c>
      <c r="L1173" s="102" t="str">
        <f aca="false">IF(N(E1173)=0,"",IF(COUNTIFS(AK_NAMA,C1173,AK_KAT,"KAS")+COUNTIFS(AK_NAMA,D1173,AK_KAT,"KAS")&lt;&gt;1,"",IF(COUNTIFS(AK_NAMA,C1173,AK_KAT,"KAS")=1,D1173,C1173)))</f>
        <v/>
      </c>
      <c r="M1173" s="103" t="n">
        <f aca="false">IF(L1173="",0,IF(L1173=D1173,E1173,-E1173))</f>
        <v>0</v>
      </c>
      <c r="N1173" s="102" t="str">
        <f aca="false">IF(L1173="","",IFERROR(INDEX(AK_BARIS,MATCH(L1173,AK_NAMA,0)),"?"))</f>
        <v/>
      </c>
      <c r="O1173" s="102" t="str">
        <f aca="false">IF(C1173="","",IFERROR(INDEX(AK_KEL,MATCH(C1173,AK_NAMA,0)),"?"))</f>
        <v>ASET</v>
      </c>
      <c r="P1173" s="102" t="str">
        <f aca="false">IF(D1173="","",IFERROR(INDEX(AK_KEL,MATCH(D1173,AK_NAMA,0)),"?"))</f>
        <v>ASET</v>
      </c>
      <c r="Q1173" s="102" t="n">
        <f aca="false">N(Q1172)+IF(AND(N(E1173)&lt;&gt;0,K1173=TAHUN,N(J1173)&lt;=BLN,OR(C1173=BB_AKUN,D1173=BB_AKUN)),1,0)</f>
        <v>792</v>
      </c>
      <c r="R1173" s="104" t="str">
        <f aca="false">IF(OR(C1173&amp;D1173="",N(E1173)=0),"",IF(OR(O1173="?",P1173="?"),"⚠ akun tidak dikenal",IF(C1173=D1173,"⚠ debet = kredit","")))</f>
        <v/>
      </c>
    </row>
    <row r="1174" customFormat="false" ht="15" hidden="false" customHeight="false" outlineLevel="0" collapsed="false">
      <c r="A1174" s="82" t="s">
        <v>2380</v>
      </c>
      <c r="B1174" s="101" t="n">
        <v>46273</v>
      </c>
      <c r="C1174" s="82" t="s">
        <v>470</v>
      </c>
      <c r="D1174" s="82" t="s">
        <v>461</v>
      </c>
      <c r="E1174" s="91" t="n">
        <v>355834</v>
      </c>
      <c r="F1174" s="82" t="s">
        <v>2381</v>
      </c>
      <c r="G1174" s="82"/>
      <c r="H1174" s="82"/>
      <c r="I1174" s="82" t="s">
        <v>250</v>
      </c>
      <c r="J1174" s="102" t="n">
        <f aca="false">IF(B1174="","",MONTH(B1174))</f>
        <v>9</v>
      </c>
      <c r="K1174" s="102" t="n">
        <f aca="false">IF(B1174="","",YEAR(B1174))</f>
        <v>2026</v>
      </c>
      <c r="L1174" s="102" t="str">
        <f aca="false">IF(N(E1174)=0,"",IF(COUNTIFS(AK_NAMA,C1174,AK_KAT,"KAS")+COUNTIFS(AK_NAMA,D1174,AK_KAT,"KAS")&lt;&gt;1,"",IF(COUNTIFS(AK_NAMA,C1174,AK_KAT,"KAS")=1,D1174,C1174)))</f>
        <v>Biaya Bahan Baku</v>
      </c>
      <c r="M1174" s="103" t="n">
        <f aca="false">IF(L1174="",0,IF(L1174=D1174,E1174,-E1174))</f>
        <v>-355834</v>
      </c>
      <c r="N1174" s="102" t="str">
        <f aca="false">IF(L1174="","",IFERROR(INDEX(AK_BARIS,MATCH(L1174,AK_NAMA,0)),"?"))</f>
        <v>OP3</v>
      </c>
      <c r="O1174" s="102" t="str">
        <f aca="false">IF(C1174="","",IFERROR(INDEX(AK_KEL,MATCH(C1174,AK_NAMA,0)),"?"))</f>
        <v>BEBAN</v>
      </c>
      <c r="P1174" s="102" t="str">
        <f aca="false">IF(D1174="","",IFERROR(INDEX(AK_KEL,MATCH(D1174,AK_NAMA,0)),"?"))</f>
        <v>ASET</v>
      </c>
      <c r="Q1174" s="102" t="n">
        <f aca="false">N(Q1173)+IF(AND(N(E1174)&lt;&gt;0,K1174=TAHUN,N(J1174)&lt;=BLN,OR(C1174=BB_AKUN,D1174=BB_AKUN)),1,0)</f>
        <v>793</v>
      </c>
      <c r="R1174" s="104" t="str">
        <f aca="false">IF(OR(C1174&amp;D1174="",N(E1174)=0),"",IF(OR(O1174="?",P1174="?"),"⚠ akun tidak dikenal",IF(C1174=D1174,"⚠ debet = kredit","")))</f>
        <v/>
      </c>
    </row>
    <row r="1175" customFormat="false" ht="15" hidden="false" customHeight="false" outlineLevel="0" collapsed="false">
      <c r="A1175" s="82" t="s">
        <v>2382</v>
      </c>
      <c r="B1175" s="101" t="n">
        <v>46273</v>
      </c>
      <c r="C1175" s="82" t="s">
        <v>470</v>
      </c>
      <c r="D1175" s="82" t="s">
        <v>461</v>
      </c>
      <c r="E1175" s="91" t="n">
        <v>307370</v>
      </c>
      <c r="F1175" s="82" t="s">
        <v>2383</v>
      </c>
      <c r="G1175" s="82"/>
      <c r="H1175" s="82"/>
      <c r="I1175" s="82" t="s">
        <v>250</v>
      </c>
      <c r="J1175" s="102" t="n">
        <f aca="false">IF(B1175="","",MONTH(B1175))</f>
        <v>9</v>
      </c>
      <c r="K1175" s="102" t="n">
        <f aca="false">IF(B1175="","",YEAR(B1175))</f>
        <v>2026</v>
      </c>
      <c r="L1175" s="102" t="str">
        <f aca="false">IF(N(E1175)=0,"",IF(COUNTIFS(AK_NAMA,C1175,AK_KAT,"KAS")+COUNTIFS(AK_NAMA,D1175,AK_KAT,"KAS")&lt;&gt;1,"",IF(COUNTIFS(AK_NAMA,C1175,AK_KAT,"KAS")=1,D1175,C1175)))</f>
        <v>Biaya Bahan Baku</v>
      </c>
      <c r="M1175" s="103" t="n">
        <f aca="false">IF(L1175="",0,IF(L1175=D1175,E1175,-E1175))</f>
        <v>-307370</v>
      </c>
      <c r="N1175" s="102" t="str">
        <f aca="false">IF(L1175="","",IFERROR(INDEX(AK_BARIS,MATCH(L1175,AK_NAMA,0)),"?"))</f>
        <v>OP3</v>
      </c>
      <c r="O1175" s="102" t="str">
        <f aca="false">IF(C1175="","",IFERROR(INDEX(AK_KEL,MATCH(C1175,AK_NAMA,0)),"?"))</f>
        <v>BEBAN</v>
      </c>
      <c r="P1175" s="102" t="str">
        <f aca="false">IF(D1175="","",IFERROR(INDEX(AK_KEL,MATCH(D1175,AK_NAMA,0)),"?"))</f>
        <v>ASET</v>
      </c>
      <c r="Q1175" s="102" t="n">
        <f aca="false">N(Q1174)+IF(AND(N(E1175)&lt;&gt;0,K1175=TAHUN,N(J1175)&lt;=BLN,OR(C1175=BB_AKUN,D1175=BB_AKUN)),1,0)</f>
        <v>794</v>
      </c>
      <c r="R1175" s="104" t="str">
        <f aca="false">IF(OR(C1175&amp;D1175="",N(E1175)=0),"",IF(OR(O1175="?",P1175="?"),"⚠ akun tidak dikenal",IF(C1175=D1175,"⚠ debet = kredit","")))</f>
        <v/>
      </c>
    </row>
    <row r="1176" customFormat="false" ht="15" hidden="false" customHeight="false" outlineLevel="0" collapsed="false">
      <c r="A1176" s="82" t="s">
        <v>2384</v>
      </c>
      <c r="B1176" s="101" t="n">
        <v>46273</v>
      </c>
      <c r="C1176" s="82" t="s">
        <v>470</v>
      </c>
      <c r="D1176" s="82" t="s">
        <v>486</v>
      </c>
      <c r="E1176" s="91" t="n">
        <v>673000</v>
      </c>
      <c r="F1176" s="82" t="s">
        <v>2385</v>
      </c>
      <c r="G1176" s="82"/>
      <c r="H1176" s="82"/>
      <c r="I1176" s="82" t="s">
        <v>250</v>
      </c>
      <c r="J1176" s="102" t="n">
        <f aca="false">IF(B1176="","",MONTH(B1176))</f>
        <v>9</v>
      </c>
      <c r="K1176" s="102" t="n">
        <f aca="false">IF(B1176="","",YEAR(B1176))</f>
        <v>2026</v>
      </c>
      <c r="L1176" s="102" t="str">
        <f aca="false">IF(N(E1176)=0,"",IF(COUNTIFS(AK_NAMA,C1176,AK_KAT,"KAS")+COUNTIFS(AK_NAMA,D1176,AK_KAT,"KAS")&lt;&gt;1,"",IF(COUNTIFS(AK_NAMA,C1176,AK_KAT,"KAS")=1,D1176,C1176)))</f>
        <v>Biaya Bahan Baku</v>
      </c>
      <c r="M1176" s="103" t="n">
        <f aca="false">IF(L1176="",0,IF(L1176=D1176,E1176,-E1176))</f>
        <v>-673000</v>
      </c>
      <c r="N1176" s="102" t="str">
        <f aca="false">IF(L1176="","",IFERROR(INDEX(AK_BARIS,MATCH(L1176,AK_NAMA,0)),"?"))</f>
        <v>OP3</v>
      </c>
      <c r="O1176" s="102" t="str">
        <f aca="false">IF(C1176="","",IFERROR(INDEX(AK_KEL,MATCH(C1176,AK_NAMA,0)),"?"))</f>
        <v>BEBAN</v>
      </c>
      <c r="P1176" s="102" t="str">
        <f aca="false">IF(D1176="","",IFERROR(INDEX(AK_KEL,MATCH(D1176,AK_NAMA,0)),"?"))</f>
        <v>ASET</v>
      </c>
      <c r="Q1176" s="102" t="n">
        <f aca="false">N(Q1175)+IF(AND(N(E1176)&lt;&gt;0,K1176=TAHUN,N(J1176)&lt;=BLN,OR(C1176=BB_AKUN,D1176=BB_AKUN)),1,0)</f>
        <v>794</v>
      </c>
      <c r="R1176" s="104" t="str">
        <f aca="false">IF(OR(C1176&amp;D1176="",N(E1176)=0),"",IF(OR(O1176="?",P1176="?"),"⚠ akun tidak dikenal",IF(C1176=D1176,"⚠ debet = kredit","")))</f>
        <v/>
      </c>
    </row>
    <row r="1177" customFormat="false" ht="15" hidden="false" customHeight="false" outlineLevel="0" collapsed="false">
      <c r="A1177" s="82" t="s">
        <v>2386</v>
      </c>
      <c r="B1177" s="101" t="n">
        <v>46273</v>
      </c>
      <c r="C1177" s="82" t="s">
        <v>548</v>
      </c>
      <c r="D1177" s="82" t="s">
        <v>486</v>
      </c>
      <c r="E1177" s="91" t="n">
        <v>308000</v>
      </c>
      <c r="F1177" s="82" t="s">
        <v>2387</v>
      </c>
      <c r="G1177" s="82"/>
      <c r="H1177" s="82"/>
      <c r="I1177" s="82" t="s">
        <v>250</v>
      </c>
      <c r="J1177" s="102" t="n">
        <f aca="false">IF(B1177="","",MONTH(B1177))</f>
        <v>9</v>
      </c>
      <c r="K1177" s="102" t="n">
        <f aca="false">IF(B1177="","",YEAR(B1177))</f>
        <v>2026</v>
      </c>
      <c r="L1177" s="102" t="str">
        <f aca="false">IF(N(E1177)=0,"",IF(COUNTIFS(AK_NAMA,C1177,AK_KAT,"KAS")+COUNTIFS(AK_NAMA,D1177,AK_KAT,"KAS")&lt;&gt;1,"",IF(COUNTIFS(AK_NAMA,C1177,AK_KAT,"KAS")=1,D1177,C1177)))</f>
        <v>Beban Perlengkapan</v>
      </c>
      <c r="M1177" s="103" t="n">
        <f aca="false">IF(L1177="",0,IF(L1177=D1177,E1177,-E1177))</f>
        <v>-308000</v>
      </c>
      <c r="N1177" s="102" t="str">
        <f aca="false">IF(L1177="","",IFERROR(INDEX(AK_BARIS,MATCH(L1177,AK_NAMA,0)),"?"))</f>
        <v>OP6</v>
      </c>
      <c r="O1177" s="102" t="str">
        <f aca="false">IF(C1177="","",IFERROR(INDEX(AK_KEL,MATCH(C1177,AK_NAMA,0)),"?"))</f>
        <v>BEBAN</v>
      </c>
      <c r="P1177" s="102" t="str">
        <f aca="false">IF(D1177="","",IFERROR(INDEX(AK_KEL,MATCH(D1177,AK_NAMA,0)),"?"))</f>
        <v>ASET</v>
      </c>
      <c r="Q1177" s="102" t="n">
        <f aca="false">N(Q1176)+IF(AND(N(E1177)&lt;&gt;0,K1177=TAHUN,N(J1177)&lt;=BLN,OR(C1177=BB_AKUN,D1177=BB_AKUN)),1,0)</f>
        <v>794</v>
      </c>
      <c r="R1177" s="104" t="str">
        <f aca="false">IF(OR(C1177&amp;D1177="",N(E1177)=0),"",IF(OR(O1177="?",P1177="?"),"⚠ akun tidak dikenal",IF(C1177=D1177,"⚠ debet = kredit","")))</f>
        <v/>
      </c>
    </row>
    <row r="1178" customFormat="false" ht="15" hidden="false" customHeight="false" outlineLevel="0" collapsed="false">
      <c r="A1178" s="82" t="s">
        <v>2388</v>
      </c>
      <c r="B1178" s="101" t="n">
        <v>46273</v>
      </c>
      <c r="C1178" s="82" t="s">
        <v>524</v>
      </c>
      <c r="D1178" s="82" t="s">
        <v>486</v>
      </c>
      <c r="E1178" s="91" t="n">
        <v>4000</v>
      </c>
      <c r="F1178" s="82" t="s">
        <v>2219</v>
      </c>
      <c r="G1178" s="82"/>
      <c r="H1178" s="82"/>
      <c r="I1178" s="82" t="s">
        <v>250</v>
      </c>
      <c r="J1178" s="102" t="n">
        <f aca="false">IF(B1178="","",MONTH(B1178))</f>
        <v>9</v>
      </c>
      <c r="K1178" s="102" t="n">
        <f aca="false">IF(B1178="","",YEAR(B1178))</f>
        <v>2026</v>
      </c>
      <c r="L1178" s="102" t="str">
        <f aca="false">IF(N(E1178)=0,"",IF(COUNTIFS(AK_NAMA,C1178,AK_KAT,"KAS")+COUNTIFS(AK_NAMA,D1178,AK_KAT,"KAS")&lt;&gt;1,"",IF(COUNTIFS(AK_NAMA,C1178,AK_KAT,"KAS")=1,D1178,C1178)))</f>
        <v>Biaya Lainnya</v>
      </c>
      <c r="M1178" s="103" t="n">
        <f aca="false">IF(L1178="",0,IF(L1178=D1178,E1178,-E1178))</f>
        <v>-4000</v>
      </c>
      <c r="N1178" s="102" t="str">
        <f aca="false">IF(L1178="","",IFERROR(INDEX(AK_BARIS,MATCH(L1178,AK_NAMA,0)),"?"))</f>
        <v>OP2</v>
      </c>
      <c r="O1178" s="102" t="str">
        <f aca="false">IF(C1178="","",IFERROR(INDEX(AK_KEL,MATCH(C1178,AK_NAMA,0)),"?"))</f>
        <v>BEBAN</v>
      </c>
      <c r="P1178" s="102" t="str">
        <f aca="false">IF(D1178="","",IFERROR(INDEX(AK_KEL,MATCH(D1178,AK_NAMA,0)),"?"))</f>
        <v>ASET</v>
      </c>
      <c r="Q1178" s="102" t="n">
        <f aca="false">N(Q1177)+IF(AND(N(E1178)&lt;&gt;0,K1178=TAHUN,N(J1178)&lt;=BLN,OR(C1178=BB_AKUN,D1178=BB_AKUN)),1,0)</f>
        <v>794</v>
      </c>
      <c r="R1178" s="104" t="str">
        <f aca="false">IF(OR(C1178&amp;D1178="",N(E1178)=0),"",IF(OR(O1178="?",P1178="?"),"⚠ akun tidak dikenal",IF(C1178=D1178,"⚠ debet = kredit","")))</f>
        <v/>
      </c>
    </row>
    <row r="1179" customFormat="false" ht="15" hidden="false" customHeight="false" outlineLevel="0" collapsed="false">
      <c r="A1179" s="82" t="s">
        <v>2389</v>
      </c>
      <c r="B1179" s="101" t="n">
        <v>46274</v>
      </c>
      <c r="C1179" s="82" t="s">
        <v>669</v>
      </c>
      <c r="D1179" s="82" t="s">
        <v>461</v>
      </c>
      <c r="E1179" s="91" t="n">
        <v>119000</v>
      </c>
      <c r="F1179" s="82" t="s">
        <v>647</v>
      </c>
      <c r="G1179" s="82"/>
      <c r="H1179" s="82"/>
      <c r="I1179" s="82" t="s">
        <v>250</v>
      </c>
      <c r="J1179" s="102" t="n">
        <f aca="false">IF(B1179="","",MONTH(B1179))</f>
        <v>9</v>
      </c>
      <c r="K1179" s="102" t="n">
        <f aca="false">IF(B1179="","",YEAR(B1179))</f>
        <v>2026</v>
      </c>
      <c r="L1179" s="102" t="str">
        <f aca="false">IF(N(E1179)=0,"",IF(COUNTIFS(AK_NAMA,C1179,AK_KAT,"KAS")+COUNTIFS(AK_NAMA,D1179,AK_KAT,"KAS")&lt;&gt;1,"",IF(COUNTIFS(AK_NAMA,C1179,AK_KAT,"KAS")=1,D1179,C1179)))</f>
        <v>Biaya Tagihan Bulanan</v>
      </c>
      <c r="M1179" s="103" t="n">
        <f aca="false">IF(L1179="",0,IF(L1179=D1179,E1179,-E1179))</f>
        <v>-119000</v>
      </c>
      <c r="N1179" s="102" t="str">
        <f aca="false">IF(L1179="","",IFERROR(INDEX(AK_BARIS,MATCH(L1179,AK_NAMA,0)),"?"))</f>
        <v>OP6</v>
      </c>
      <c r="O1179" s="102" t="str">
        <f aca="false">IF(C1179="","",IFERROR(INDEX(AK_KEL,MATCH(C1179,AK_NAMA,0)),"?"))</f>
        <v>BEBAN</v>
      </c>
      <c r="P1179" s="102" t="str">
        <f aca="false">IF(D1179="","",IFERROR(INDEX(AK_KEL,MATCH(D1179,AK_NAMA,0)),"?"))</f>
        <v>ASET</v>
      </c>
      <c r="Q1179" s="102" t="n">
        <f aca="false">N(Q1178)+IF(AND(N(E1179)&lt;&gt;0,K1179=TAHUN,N(J1179)&lt;=BLN,OR(C1179=BB_AKUN,D1179=BB_AKUN)),1,0)</f>
        <v>795</v>
      </c>
      <c r="R1179" s="104" t="str">
        <f aca="false">IF(OR(C1179&amp;D1179="",N(E1179)=0),"",IF(OR(O1179="?",P1179="?"),"⚠ akun tidak dikenal",IF(C1179=D1179,"⚠ debet = kredit","")))</f>
        <v/>
      </c>
    </row>
    <row r="1180" customFormat="false" ht="15" hidden="false" customHeight="false" outlineLevel="0" collapsed="false">
      <c r="A1180" s="82" t="s">
        <v>2390</v>
      </c>
      <c r="B1180" s="101" t="n">
        <v>46274</v>
      </c>
      <c r="C1180" s="82" t="s">
        <v>524</v>
      </c>
      <c r="D1180" s="82" t="s">
        <v>461</v>
      </c>
      <c r="E1180" s="91" t="n">
        <v>1000</v>
      </c>
      <c r="F1180" s="82" t="s">
        <v>2153</v>
      </c>
      <c r="G1180" s="82"/>
      <c r="H1180" s="82"/>
      <c r="I1180" s="82" t="s">
        <v>250</v>
      </c>
      <c r="J1180" s="102" t="n">
        <f aca="false">IF(B1180="","",MONTH(B1180))</f>
        <v>9</v>
      </c>
      <c r="K1180" s="102" t="n">
        <f aca="false">IF(B1180="","",YEAR(B1180))</f>
        <v>2026</v>
      </c>
      <c r="L1180" s="102" t="str">
        <f aca="false">IF(N(E1180)=0,"",IF(COUNTIFS(AK_NAMA,C1180,AK_KAT,"KAS")+COUNTIFS(AK_NAMA,D1180,AK_KAT,"KAS")&lt;&gt;1,"",IF(COUNTIFS(AK_NAMA,C1180,AK_KAT,"KAS")=1,D1180,C1180)))</f>
        <v>Biaya Lainnya</v>
      </c>
      <c r="M1180" s="103" t="n">
        <f aca="false">IF(L1180="",0,IF(L1180=D1180,E1180,-E1180))</f>
        <v>-1000</v>
      </c>
      <c r="N1180" s="102" t="str">
        <f aca="false">IF(L1180="","",IFERROR(INDEX(AK_BARIS,MATCH(L1180,AK_NAMA,0)),"?"))</f>
        <v>OP2</v>
      </c>
      <c r="O1180" s="102" t="str">
        <f aca="false">IF(C1180="","",IFERROR(INDEX(AK_KEL,MATCH(C1180,AK_NAMA,0)),"?"))</f>
        <v>BEBAN</v>
      </c>
      <c r="P1180" s="102" t="str">
        <f aca="false">IF(D1180="","",IFERROR(INDEX(AK_KEL,MATCH(D1180,AK_NAMA,0)),"?"))</f>
        <v>ASET</v>
      </c>
      <c r="Q1180" s="102" t="n">
        <f aca="false">N(Q1179)+IF(AND(N(E1180)&lt;&gt;0,K1180=TAHUN,N(J1180)&lt;=BLN,OR(C1180=BB_AKUN,D1180=BB_AKUN)),1,0)</f>
        <v>796</v>
      </c>
      <c r="R1180" s="104" t="str">
        <f aca="false">IF(OR(C1180&amp;D1180="",N(E1180)=0),"",IF(OR(O1180="?",P1180="?"),"⚠ akun tidak dikenal",IF(C1180=D1180,"⚠ debet = kredit","")))</f>
        <v/>
      </c>
    </row>
    <row r="1181" customFormat="false" ht="15" hidden="false" customHeight="false" outlineLevel="0" collapsed="false">
      <c r="A1181" s="82" t="s">
        <v>2391</v>
      </c>
      <c r="B1181" s="101" t="n">
        <v>46274</v>
      </c>
      <c r="C1181" s="82" t="s">
        <v>461</v>
      </c>
      <c r="D1181" s="82" t="s">
        <v>486</v>
      </c>
      <c r="E1181" s="91" t="n">
        <v>36000</v>
      </c>
      <c r="F1181" s="82" t="s">
        <v>2392</v>
      </c>
      <c r="G1181" s="82"/>
      <c r="H1181" s="82"/>
      <c r="I1181" s="82" t="s">
        <v>250</v>
      </c>
      <c r="J1181" s="102" t="n">
        <f aca="false">IF(B1181="","",MONTH(B1181))</f>
        <v>9</v>
      </c>
      <c r="K1181" s="102" t="n">
        <f aca="false">IF(B1181="","",YEAR(B1181))</f>
        <v>2026</v>
      </c>
      <c r="L1181" s="102" t="str">
        <f aca="false">IF(N(E1181)=0,"",IF(COUNTIFS(AK_NAMA,C1181,AK_KAT,"KAS")+COUNTIFS(AK_NAMA,D1181,AK_KAT,"KAS")&lt;&gt;1,"",IF(COUNTIFS(AK_NAMA,C1181,AK_KAT,"KAS")=1,D1181,C1181)))</f>
        <v/>
      </c>
      <c r="M1181" s="103" t="n">
        <f aca="false">IF(L1181="",0,IF(L1181=D1181,E1181,-E1181))</f>
        <v>0</v>
      </c>
      <c r="N1181" s="102" t="str">
        <f aca="false">IF(L1181="","",IFERROR(INDEX(AK_BARIS,MATCH(L1181,AK_NAMA,0)),"?"))</f>
        <v/>
      </c>
      <c r="O1181" s="102" t="str">
        <f aca="false">IF(C1181="","",IFERROR(INDEX(AK_KEL,MATCH(C1181,AK_NAMA,0)),"?"))</f>
        <v>ASET</v>
      </c>
      <c r="P1181" s="102" t="str">
        <f aca="false">IF(D1181="","",IFERROR(INDEX(AK_KEL,MATCH(D1181,AK_NAMA,0)),"?"))</f>
        <v>ASET</v>
      </c>
      <c r="Q1181" s="102" t="n">
        <f aca="false">N(Q1180)+IF(AND(N(E1181)&lt;&gt;0,K1181=TAHUN,N(J1181)&lt;=BLN,OR(C1181=BB_AKUN,D1181=BB_AKUN)),1,0)</f>
        <v>797</v>
      </c>
      <c r="R1181" s="104" t="str">
        <f aca="false">IF(OR(C1181&amp;D1181="",N(E1181)=0),"",IF(OR(O1181="?",P1181="?"),"⚠ akun tidak dikenal",IF(C1181=D1181,"⚠ debet = kredit","")))</f>
        <v/>
      </c>
    </row>
    <row r="1182" customFormat="false" ht="15" hidden="false" customHeight="false" outlineLevel="0" collapsed="false">
      <c r="A1182" s="82" t="s">
        <v>2393</v>
      </c>
      <c r="B1182" s="101" t="n">
        <v>46274</v>
      </c>
      <c r="C1182" s="82" t="s">
        <v>524</v>
      </c>
      <c r="D1182" s="82" t="s">
        <v>486</v>
      </c>
      <c r="E1182" s="91" t="n">
        <v>300</v>
      </c>
      <c r="F1182" s="82" t="s">
        <v>1414</v>
      </c>
      <c r="G1182" s="82"/>
      <c r="H1182" s="82"/>
      <c r="I1182" s="82" t="s">
        <v>250</v>
      </c>
      <c r="J1182" s="102" t="n">
        <f aca="false">IF(B1182="","",MONTH(B1182))</f>
        <v>9</v>
      </c>
      <c r="K1182" s="102" t="n">
        <f aca="false">IF(B1182="","",YEAR(B1182))</f>
        <v>2026</v>
      </c>
      <c r="L1182" s="102" t="str">
        <f aca="false">IF(N(E1182)=0,"",IF(COUNTIFS(AK_NAMA,C1182,AK_KAT,"KAS")+COUNTIFS(AK_NAMA,D1182,AK_KAT,"KAS")&lt;&gt;1,"",IF(COUNTIFS(AK_NAMA,C1182,AK_KAT,"KAS")=1,D1182,C1182)))</f>
        <v>Biaya Lainnya</v>
      </c>
      <c r="M1182" s="103" t="n">
        <f aca="false">IF(L1182="",0,IF(L1182=D1182,E1182,-E1182))</f>
        <v>-300</v>
      </c>
      <c r="N1182" s="102" t="str">
        <f aca="false">IF(L1182="","",IFERROR(INDEX(AK_BARIS,MATCH(L1182,AK_NAMA,0)),"?"))</f>
        <v>OP2</v>
      </c>
      <c r="O1182" s="102" t="str">
        <f aca="false">IF(C1182="","",IFERROR(INDEX(AK_KEL,MATCH(C1182,AK_NAMA,0)),"?"))</f>
        <v>BEBAN</v>
      </c>
      <c r="P1182" s="102" t="str">
        <f aca="false">IF(D1182="","",IFERROR(INDEX(AK_KEL,MATCH(D1182,AK_NAMA,0)),"?"))</f>
        <v>ASET</v>
      </c>
      <c r="Q1182" s="102" t="n">
        <f aca="false">N(Q1181)+IF(AND(N(E1182)&lt;&gt;0,K1182=TAHUN,N(J1182)&lt;=BLN,OR(C1182=BB_AKUN,D1182=BB_AKUN)),1,0)</f>
        <v>797</v>
      </c>
      <c r="R1182" s="104" t="str">
        <f aca="false">IF(OR(C1182&amp;D1182="",N(E1182)=0),"",IF(OR(O1182="?",P1182="?"),"⚠ akun tidak dikenal",IF(C1182=D1182,"⚠ debet = kredit","")))</f>
        <v/>
      </c>
    </row>
    <row r="1183" customFormat="false" ht="15" hidden="false" customHeight="false" outlineLevel="0" collapsed="false">
      <c r="A1183" s="82" t="s">
        <v>2394</v>
      </c>
      <c r="B1183" s="101" t="n">
        <v>46275</v>
      </c>
      <c r="C1183" s="82" t="s">
        <v>486</v>
      </c>
      <c r="D1183" s="82" t="s">
        <v>461</v>
      </c>
      <c r="E1183" s="91" t="n">
        <v>500000</v>
      </c>
      <c r="F1183" s="82" t="s">
        <v>2369</v>
      </c>
      <c r="G1183" s="82"/>
      <c r="H1183" s="82"/>
      <c r="I1183" s="82" t="s">
        <v>250</v>
      </c>
      <c r="J1183" s="102" t="n">
        <f aca="false">IF(B1183="","",MONTH(B1183))</f>
        <v>9</v>
      </c>
      <c r="K1183" s="102" t="n">
        <f aca="false">IF(B1183="","",YEAR(B1183))</f>
        <v>2026</v>
      </c>
      <c r="L1183" s="102" t="str">
        <f aca="false">IF(N(E1183)=0,"",IF(COUNTIFS(AK_NAMA,C1183,AK_KAT,"KAS")+COUNTIFS(AK_NAMA,D1183,AK_KAT,"KAS")&lt;&gt;1,"",IF(COUNTIFS(AK_NAMA,C1183,AK_KAT,"KAS")=1,D1183,C1183)))</f>
        <v/>
      </c>
      <c r="M1183" s="103" t="n">
        <f aca="false">IF(L1183="",0,IF(L1183=D1183,E1183,-E1183))</f>
        <v>0</v>
      </c>
      <c r="N1183" s="102" t="str">
        <f aca="false">IF(L1183="","",IFERROR(INDEX(AK_BARIS,MATCH(L1183,AK_NAMA,0)),"?"))</f>
        <v/>
      </c>
      <c r="O1183" s="102" t="str">
        <f aca="false">IF(C1183="","",IFERROR(INDEX(AK_KEL,MATCH(C1183,AK_NAMA,0)),"?"))</f>
        <v>ASET</v>
      </c>
      <c r="P1183" s="102" t="str">
        <f aca="false">IF(D1183="","",IFERROR(INDEX(AK_KEL,MATCH(D1183,AK_NAMA,0)),"?"))</f>
        <v>ASET</v>
      </c>
      <c r="Q1183" s="102" t="n">
        <f aca="false">N(Q1182)+IF(AND(N(E1183)&lt;&gt;0,K1183=TAHUN,N(J1183)&lt;=BLN,OR(C1183=BB_AKUN,D1183=BB_AKUN)),1,0)</f>
        <v>798</v>
      </c>
      <c r="R1183" s="104" t="str">
        <f aca="false">IF(OR(C1183&amp;D1183="",N(E1183)=0),"",IF(OR(O1183="?",P1183="?"),"⚠ akun tidak dikenal",IF(C1183=D1183,"⚠ debet = kredit","")))</f>
        <v/>
      </c>
    </row>
    <row r="1184" customFormat="false" ht="15" hidden="false" customHeight="false" outlineLevel="0" collapsed="false">
      <c r="A1184" s="82" t="s">
        <v>2395</v>
      </c>
      <c r="B1184" s="101" t="n">
        <v>46275</v>
      </c>
      <c r="C1184" s="82" t="s">
        <v>524</v>
      </c>
      <c r="D1184" s="82" t="s">
        <v>461</v>
      </c>
      <c r="E1184" s="91" t="n">
        <v>348</v>
      </c>
      <c r="F1184" s="82" t="s">
        <v>525</v>
      </c>
      <c r="G1184" s="82"/>
      <c r="H1184" s="82"/>
      <c r="I1184" s="82" t="s">
        <v>250</v>
      </c>
      <c r="J1184" s="102" t="n">
        <f aca="false">IF(B1184="","",MONTH(B1184))</f>
        <v>9</v>
      </c>
      <c r="K1184" s="102" t="n">
        <f aca="false">IF(B1184="","",YEAR(B1184))</f>
        <v>2026</v>
      </c>
      <c r="L1184" s="102" t="str">
        <f aca="false">IF(N(E1184)=0,"",IF(COUNTIFS(AK_NAMA,C1184,AK_KAT,"KAS")+COUNTIFS(AK_NAMA,D1184,AK_KAT,"KAS")&lt;&gt;1,"",IF(COUNTIFS(AK_NAMA,C1184,AK_KAT,"KAS")=1,D1184,C1184)))</f>
        <v>Biaya Lainnya</v>
      </c>
      <c r="M1184" s="103" t="n">
        <f aca="false">IF(L1184="",0,IF(L1184=D1184,E1184,-E1184))</f>
        <v>-348</v>
      </c>
      <c r="N1184" s="102" t="str">
        <f aca="false">IF(L1184="","",IFERROR(INDEX(AK_BARIS,MATCH(L1184,AK_NAMA,0)),"?"))</f>
        <v>OP2</v>
      </c>
      <c r="O1184" s="102" t="str">
        <f aca="false">IF(C1184="","",IFERROR(INDEX(AK_KEL,MATCH(C1184,AK_NAMA,0)),"?"))</f>
        <v>BEBAN</v>
      </c>
      <c r="P1184" s="102" t="str">
        <f aca="false">IF(D1184="","",IFERROR(INDEX(AK_KEL,MATCH(D1184,AK_NAMA,0)),"?"))</f>
        <v>ASET</v>
      </c>
      <c r="Q1184" s="102" t="n">
        <f aca="false">N(Q1183)+IF(AND(N(E1184)&lt;&gt;0,K1184=TAHUN,N(J1184)&lt;=BLN,OR(C1184=BB_AKUN,D1184=BB_AKUN)),1,0)</f>
        <v>799</v>
      </c>
      <c r="R1184" s="104" t="str">
        <f aca="false">IF(OR(C1184&amp;D1184="",N(E1184)=0),"",IF(OR(O1184="?",P1184="?"),"⚠ akun tidak dikenal",IF(C1184=D1184,"⚠ debet = kredit","")))</f>
        <v/>
      </c>
    </row>
    <row r="1185" customFormat="false" ht="15" hidden="false" customHeight="false" outlineLevel="0" collapsed="false">
      <c r="A1185" s="82" t="s">
        <v>2396</v>
      </c>
      <c r="B1185" s="101" t="n">
        <v>46275</v>
      </c>
      <c r="C1185" s="82" t="s">
        <v>524</v>
      </c>
      <c r="D1185" s="82" t="s">
        <v>461</v>
      </c>
      <c r="E1185" s="91" t="n">
        <v>125</v>
      </c>
      <c r="F1185" s="82" t="s">
        <v>525</v>
      </c>
      <c r="G1185" s="82"/>
      <c r="H1185" s="82"/>
      <c r="I1185" s="82" t="s">
        <v>250</v>
      </c>
      <c r="J1185" s="102" t="n">
        <f aca="false">IF(B1185="","",MONTH(B1185))</f>
        <v>9</v>
      </c>
      <c r="K1185" s="102" t="n">
        <f aca="false">IF(B1185="","",YEAR(B1185))</f>
        <v>2026</v>
      </c>
      <c r="L1185" s="102" t="str">
        <f aca="false">IF(N(E1185)=0,"",IF(COUNTIFS(AK_NAMA,C1185,AK_KAT,"KAS")+COUNTIFS(AK_NAMA,D1185,AK_KAT,"KAS")&lt;&gt;1,"",IF(COUNTIFS(AK_NAMA,C1185,AK_KAT,"KAS")=1,D1185,C1185)))</f>
        <v>Biaya Lainnya</v>
      </c>
      <c r="M1185" s="103" t="n">
        <f aca="false">IF(L1185="",0,IF(L1185=D1185,E1185,-E1185))</f>
        <v>-125</v>
      </c>
      <c r="N1185" s="102" t="str">
        <f aca="false">IF(L1185="","",IFERROR(INDEX(AK_BARIS,MATCH(L1185,AK_NAMA,0)),"?"))</f>
        <v>OP2</v>
      </c>
      <c r="O1185" s="102" t="str">
        <f aca="false">IF(C1185="","",IFERROR(INDEX(AK_KEL,MATCH(C1185,AK_NAMA,0)),"?"))</f>
        <v>BEBAN</v>
      </c>
      <c r="P1185" s="102" t="str">
        <f aca="false">IF(D1185="","",IFERROR(INDEX(AK_KEL,MATCH(D1185,AK_NAMA,0)),"?"))</f>
        <v>ASET</v>
      </c>
      <c r="Q1185" s="102" t="n">
        <f aca="false">N(Q1184)+IF(AND(N(E1185)&lt;&gt;0,K1185=TAHUN,N(J1185)&lt;=BLN,OR(C1185=BB_AKUN,D1185=BB_AKUN)),1,0)</f>
        <v>800</v>
      </c>
      <c r="R1185" s="104" t="str">
        <f aca="false">IF(OR(C1185&amp;D1185="",N(E1185)=0),"",IF(OR(O1185="?",P1185="?"),"⚠ akun tidak dikenal",IF(C1185=D1185,"⚠ debet = kredit","")))</f>
        <v/>
      </c>
    </row>
    <row r="1186" customFormat="false" ht="15" hidden="false" customHeight="false" outlineLevel="0" collapsed="false">
      <c r="A1186" s="82" t="s">
        <v>2397</v>
      </c>
      <c r="B1186" s="101" t="n">
        <v>46275</v>
      </c>
      <c r="C1186" s="82" t="s">
        <v>524</v>
      </c>
      <c r="D1186" s="82" t="s">
        <v>461</v>
      </c>
      <c r="E1186" s="91" t="n">
        <v>419</v>
      </c>
      <c r="F1186" s="82" t="s">
        <v>525</v>
      </c>
      <c r="G1186" s="82"/>
      <c r="H1186" s="82"/>
      <c r="I1186" s="82" t="s">
        <v>250</v>
      </c>
      <c r="J1186" s="102" t="n">
        <f aca="false">IF(B1186="","",MONTH(B1186))</f>
        <v>9</v>
      </c>
      <c r="K1186" s="102" t="n">
        <f aca="false">IF(B1186="","",YEAR(B1186))</f>
        <v>2026</v>
      </c>
      <c r="L1186" s="102" t="str">
        <f aca="false">IF(N(E1186)=0,"",IF(COUNTIFS(AK_NAMA,C1186,AK_KAT,"KAS")+COUNTIFS(AK_NAMA,D1186,AK_KAT,"KAS")&lt;&gt;1,"",IF(COUNTIFS(AK_NAMA,C1186,AK_KAT,"KAS")=1,D1186,C1186)))</f>
        <v>Biaya Lainnya</v>
      </c>
      <c r="M1186" s="103" t="n">
        <f aca="false">IF(L1186="",0,IF(L1186=D1186,E1186,-E1186))</f>
        <v>-419</v>
      </c>
      <c r="N1186" s="102" t="str">
        <f aca="false">IF(L1186="","",IFERROR(INDEX(AK_BARIS,MATCH(L1186,AK_NAMA,0)),"?"))</f>
        <v>OP2</v>
      </c>
      <c r="O1186" s="102" t="str">
        <f aca="false">IF(C1186="","",IFERROR(INDEX(AK_KEL,MATCH(C1186,AK_NAMA,0)),"?"))</f>
        <v>BEBAN</v>
      </c>
      <c r="P1186" s="102" t="str">
        <f aca="false">IF(D1186="","",IFERROR(INDEX(AK_KEL,MATCH(D1186,AK_NAMA,0)),"?"))</f>
        <v>ASET</v>
      </c>
      <c r="Q1186" s="102" t="n">
        <f aca="false">N(Q1185)+IF(AND(N(E1186)&lt;&gt;0,K1186=TAHUN,N(J1186)&lt;=BLN,OR(C1186=BB_AKUN,D1186=BB_AKUN)),1,0)</f>
        <v>801</v>
      </c>
      <c r="R1186" s="104" t="str">
        <f aca="false">IF(OR(C1186&amp;D1186="",N(E1186)=0),"",IF(OR(O1186="?",P1186="?"),"⚠ akun tidak dikenal",IF(C1186=D1186,"⚠ debet = kredit","")))</f>
        <v/>
      </c>
    </row>
    <row r="1187" customFormat="false" ht="15" hidden="false" customHeight="false" outlineLevel="0" collapsed="false">
      <c r="A1187" s="82" t="s">
        <v>2398</v>
      </c>
      <c r="B1187" s="101" t="n">
        <v>46276</v>
      </c>
      <c r="C1187" s="82" t="s">
        <v>470</v>
      </c>
      <c r="D1187" s="82" t="s">
        <v>461</v>
      </c>
      <c r="E1187" s="91" t="n">
        <v>192000</v>
      </c>
      <c r="F1187" s="82" t="s">
        <v>2399</v>
      </c>
      <c r="G1187" s="82"/>
      <c r="H1187" s="82"/>
      <c r="I1187" s="82" t="s">
        <v>250</v>
      </c>
      <c r="J1187" s="102" t="n">
        <f aca="false">IF(B1187="","",MONTH(B1187))</f>
        <v>9</v>
      </c>
      <c r="K1187" s="102" t="n">
        <f aca="false">IF(B1187="","",YEAR(B1187))</f>
        <v>2026</v>
      </c>
      <c r="L1187" s="102" t="str">
        <f aca="false">IF(N(E1187)=0,"",IF(COUNTIFS(AK_NAMA,C1187,AK_KAT,"KAS")+COUNTIFS(AK_NAMA,D1187,AK_KAT,"KAS")&lt;&gt;1,"",IF(COUNTIFS(AK_NAMA,C1187,AK_KAT,"KAS")=1,D1187,C1187)))</f>
        <v>Biaya Bahan Baku</v>
      </c>
      <c r="M1187" s="103" t="n">
        <f aca="false">IF(L1187="",0,IF(L1187=D1187,E1187,-E1187))</f>
        <v>-192000</v>
      </c>
      <c r="N1187" s="102" t="str">
        <f aca="false">IF(L1187="","",IFERROR(INDEX(AK_BARIS,MATCH(L1187,AK_NAMA,0)),"?"))</f>
        <v>OP3</v>
      </c>
      <c r="O1187" s="102" t="str">
        <f aca="false">IF(C1187="","",IFERROR(INDEX(AK_KEL,MATCH(C1187,AK_NAMA,0)),"?"))</f>
        <v>BEBAN</v>
      </c>
      <c r="P1187" s="102" t="str">
        <f aca="false">IF(D1187="","",IFERROR(INDEX(AK_KEL,MATCH(D1187,AK_NAMA,0)),"?"))</f>
        <v>ASET</v>
      </c>
      <c r="Q1187" s="102" t="n">
        <f aca="false">N(Q1186)+IF(AND(N(E1187)&lt;&gt;0,K1187=TAHUN,N(J1187)&lt;=BLN,OR(C1187=BB_AKUN,D1187=BB_AKUN)),1,0)</f>
        <v>802</v>
      </c>
      <c r="R1187" s="104" t="str">
        <f aca="false">IF(OR(C1187&amp;D1187="",N(E1187)=0),"",IF(OR(O1187="?",P1187="?"),"⚠ akun tidak dikenal",IF(C1187=D1187,"⚠ debet = kredit","")))</f>
        <v/>
      </c>
    </row>
    <row r="1188" customFormat="false" ht="15" hidden="false" customHeight="false" outlineLevel="0" collapsed="false">
      <c r="A1188" s="82" t="s">
        <v>2400</v>
      </c>
      <c r="B1188" s="101" t="n">
        <v>46277</v>
      </c>
      <c r="C1188" s="82" t="s">
        <v>460</v>
      </c>
      <c r="D1188" s="82" t="s">
        <v>461</v>
      </c>
      <c r="E1188" s="91" t="n">
        <v>28800</v>
      </c>
      <c r="F1188" s="82" t="s">
        <v>2401</v>
      </c>
      <c r="G1188" s="82"/>
      <c r="H1188" s="82"/>
      <c r="I1188" s="82" t="s">
        <v>250</v>
      </c>
      <c r="J1188" s="102" t="n">
        <f aca="false">IF(B1188="","",MONTH(B1188))</f>
        <v>9</v>
      </c>
      <c r="K1188" s="102" t="n">
        <f aca="false">IF(B1188="","",YEAR(B1188))</f>
        <v>2026</v>
      </c>
      <c r="L1188" s="102" t="str">
        <f aca="false">IF(N(E1188)=0,"",IF(COUNTIFS(AK_NAMA,C1188,AK_KAT,"KAS")+COUNTIFS(AK_NAMA,D1188,AK_KAT,"KAS")&lt;&gt;1,"",IF(COUNTIFS(AK_NAMA,C1188,AK_KAT,"KAS")=1,D1188,C1188)))</f>
        <v>Biaya Marketing &amp; Promosi</v>
      </c>
      <c r="M1188" s="103" t="n">
        <f aca="false">IF(L1188="",0,IF(L1188=D1188,E1188,-E1188))</f>
        <v>-28800</v>
      </c>
      <c r="N1188" s="102" t="str">
        <f aca="false">IF(L1188="","",IFERROR(INDEX(AK_BARIS,MATCH(L1188,AK_NAMA,0)),"?"))</f>
        <v>OP6</v>
      </c>
      <c r="O1188" s="102" t="str">
        <f aca="false">IF(C1188="","",IFERROR(INDEX(AK_KEL,MATCH(C1188,AK_NAMA,0)),"?"))</f>
        <v>BEBAN</v>
      </c>
      <c r="P1188" s="102" t="str">
        <f aca="false">IF(D1188="","",IFERROR(INDEX(AK_KEL,MATCH(D1188,AK_NAMA,0)),"?"))</f>
        <v>ASET</v>
      </c>
      <c r="Q1188" s="102" t="n">
        <f aca="false">N(Q1187)+IF(AND(N(E1188)&lt;&gt;0,K1188=TAHUN,N(J1188)&lt;=BLN,OR(C1188=BB_AKUN,D1188=BB_AKUN)),1,0)</f>
        <v>803</v>
      </c>
      <c r="R1188" s="104" t="str">
        <f aca="false">IF(OR(C1188&amp;D1188="",N(E1188)=0),"",IF(OR(O1188="?",P1188="?"),"⚠ akun tidak dikenal",IF(C1188=D1188,"⚠ debet = kredit","")))</f>
        <v/>
      </c>
    </row>
    <row r="1189" customFormat="false" ht="15" hidden="false" customHeight="false" outlineLevel="0" collapsed="false">
      <c r="A1189" s="82" t="s">
        <v>2402</v>
      </c>
      <c r="B1189" s="101" t="n">
        <v>46277</v>
      </c>
      <c r="C1189" s="82" t="s">
        <v>470</v>
      </c>
      <c r="D1189" s="82" t="s">
        <v>461</v>
      </c>
      <c r="E1189" s="91" t="n">
        <v>266000</v>
      </c>
      <c r="F1189" s="82" t="s">
        <v>1729</v>
      </c>
      <c r="G1189" s="82"/>
      <c r="H1189" s="82"/>
      <c r="I1189" s="82" t="s">
        <v>250</v>
      </c>
      <c r="J1189" s="102" t="n">
        <f aca="false">IF(B1189="","",MONTH(B1189))</f>
        <v>9</v>
      </c>
      <c r="K1189" s="102" t="n">
        <f aca="false">IF(B1189="","",YEAR(B1189))</f>
        <v>2026</v>
      </c>
      <c r="L1189" s="102" t="str">
        <f aca="false">IF(N(E1189)=0,"",IF(COUNTIFS(AK_NAMA,C1189,AK_KAT,"KAS")+COUNTIFS(AK_NAMA,D1189,AK_KAT,"KAS")&lt;&gt;1,"",IF(COUNTIFS(AK_NAMA,C1189,AK_KAT,"KAS")=1,D1189,C1189)))</f>
        <v>Biaya Bahan Baku</v>
      </c>
      <c r="M1189" s="103" t="n">
        <f aca="false">IF(L1189="",0,IF(L1189=D1189,E1189,-E1189))</f>
        <v>-266000</v>
      </c>
      <c r="N1189" s="102" t="str">
        <f aca="false">IF(L1189="","",IFERROR(INDEX(AK_BARIS,MATCH(L1189,AK_NAMA,0)),"?"))</f>
        <v>OP3</v>
      </c>
      <c r="O1189" s="102" t="str">
        <f aca="false">IF(C1189="","",IFERROR(INDEX(AK_KEL,MATCH(C1189,AK_NAMA,0)),"?"))</f>
        <v>BEBAN</v>
      </c>
      <c r="P1189" s="102" t="str">
        <f aca="false">IF(D1189="","",IFERROR(INDEX(AK_KEL,MATCH(D1189,AK_NAMA,0)),"?"))</f>
        <v>ASET</v>
      </c>
      <c r="Q1189" s="102" t="n">
        <f aca="false">N(Q1188)+IF(AND(N(E1189)&lt;&gt;0,K1189=TAHUN,N(J1189)&lt;=BLN,OR(C1189=BB_AKUN,D1189=BB_AKUN)),1,0)</f>
        <v>804</v>
      </c>
      <c r="R1189" s="104" t="str">
        <f aca="false">IF(OR(C1189&amp;D1189="",N(E1189)=0),"",IF(OR(O1189="?",P1189="?"),"⚠ akun tidak dikenal",IF(C1189=D1189,"⚠ debet = kredit","")))</f>
        <v/>
      </c>
    </row>
    <row r="1190" customFormat="false" ht="15" hidden="false" customHeight="false" outlineLevel="0" collapsed="false">
      <c r="A1190" s="82" t="s">
        <v>2403</v>
      </c>
      <c r="B1190" s="101" t="n">
        <v>46278</v>
      </c>
      <c r="C1190" s="82" t="s">
        <v>461</v>
      </c>
      <c r="D1190" s="82" t="s">
        <v>475</v>
      </c>
      <c r="E1190" s="91" t="n">
        <v>180000</v>
      </c>
      <c r="F1190" s="82" t="s">
        <v>2318</v>
      </c>
      <c r="G1190" s="82"/>
      <c r="H1190" s="82"/>
      <c r="I1190" s="82" t="s">
        <v>250</v>
      </c>
      <c r="J1190" s="102" t="n">
        <f aca="false">IF(B1190="","",MONTH(B1190))</f>
        <v>9</v>
      </c>
      <c r="K1190" s="102" t="n">
        <f aca="false">IF(B1190="","",YEAR(B1190))</f>
        <v>2026</v>
      </c>
      <c r="L1190" s="102" t="str">
        <f aca="false">IF(N(E1190)=0,"",IF(COUNTIFS(AK_NAMA,C1190,AK_KAT,"KAS")+COUNTIFS(AK_NAMA,D1190,AK_KAT,"KAS")&lt;&gt;1,"",IF(COUNTIFS(AK_NAMA,C1190,AK_KAT,"KAS")=1,D1190,C1190)))</f>
        <v/>
      </c>
      <c r="M1190" s="103" t="n">
        <f aca="false">IF(L1190="",0,IF(L1190=D1190,E1190,-E1190))</f>
        <v>0</v>
      </c>
      <c r="N1190" s="102" t="str">
        <f aca="false">IF(L1190="","",IFERROR(INDEX(AK_BARIS,MATCH(L1190,AK_NAMA,0)),"?"))</f>
        <v/>
      </c>
      <c r="O1190" s="102" t="str">
        <f aca="false">IF(C1190="","",IFERROR(INDEX(AK_KEL,MATCH(C1190,AK_NAMA,0)),"?"))</f>
        <v>ASET</v>
      </c>
      <c r="P1190" s="102" t="str">
        <f aca="false">IF(D1190="","",IFERROR(INDEX(AK_KEL,MATCH(D1190,AK_NAMA,0)),"?"))</f>
        <v>ASET</v>
      </c>
      <c r="Q1190" s="102" t="n">
        <f aca="false">N(Q1189)+IF(AND(N(E1190)&lt;&gt;0,K1190=TAHUN,N(J1190)&lt;=BLN,OR(C1190=BB_AKUN,D1190=BB_AKUN)),1,0)</f>
        <v>805</v>
      </c>
      <c r="R1190" s="104" t="str">
        <f aca="false">IF(OR(C1190&amp;D1190="",N(E1190)=0),"",IF(OR(O1190="?",P1190="?"),"⚠ akun tidak dikenal",IF(C1190=D1190,"⚠ debet = kredit","")))</f>
        <v/>
      </c>
    </row>
    <row r="1191" customFormat="false" ht="15" hidden="false" customHeight="false" outlineLevel="0" collapsed="false">
      <c r="A1191" s="82" t="s">
        <v>2404</v>
      </c>
      <c r="B1191" s="101" t="n">
        <v>46278</v>
      </c>
      <c r="C1191" s="82" t="s">
        <v>461</v>
      </c>
      <c r="D1191" s="82" t="s">
        <v>509</v>
      </c>
      <c r="E1191" s="91" t="n">
        <v>1134250</v>
      </c>
      <c r="F1191" s="82" t="s">
        <v>2405</v>
      </c>
      <c r="G1191" s="82" t="s">
        <v>392</v>
      </c>
      <c r="H1191" s="82"/>
      <c r="I1191" s="82" t="s">
        <v>250</v>
      </c>
      <c r="J1191" s="102" t="n">
        <f aca="false">IF(B1191="","",MONTH(B1191))</f>
        <v>9</v>
      </c>
      <c r="K1191" s="102" t="n">
        <f aca="false">IF(B1191="","",YEAR(B1191))</f>
        <v>2026</v>
      </c>
      <c r="L1191" s="102" t="str">
        <f aca="false">IF(N(E1191)=0,"",IF(COUNTIFS(AK_NAMA,C1191,AK_KAT,"KAS")+COUNTIFS(AK_NAMA,D1191,AK_KAT,"KAS")&lt;&gt;1,"",IF(COUNTIFS(AK_NAMA,C1191,AK_KAT,"KAS")=1,D1191,C1191)))</f>
        <v>Pendapatan non Cafe</v>
      </c>
      <c r="M1191" s="103" t="n">
        <f aca="false">IF(L1191="",0,IF(L1191=D1191,E1191,-E1191))</f>
        <v>1134250</v>
      </c>
      <c r="N1191" s="102" t="str">
        <f aca="false">IF(L1191="","",IFERROR(INDEX(AK_BARIS,MATCH(L1191,AK_NAMA,0)),"?"))</f>
        <v>OP1</v>
      </c>
      <c r="O1191" s="102" t="str">
        <f aca="false">IF(C1191="","",IFERROR(INDEX(AK_KEL,MATCH(C1191,AK_NAMA,0)),"?"))</f>
        <v>ASET</v>
      </c>
      <c r="P1191" s="102" t="str">
        <f aca="false">IF(D1191="","",IFERROR(INDEX(AK_KEL,MATCH(D1191,AK_NAMA,0)),"?"))</f>
        <v>PENDAPATAN</v>
      </c>
      <c r="Q1191" s="102" t="n">
        <f aca="false">N(Q1190)+IF(AND(N(E1191)&lt;&gt;0,K1191=TAHUN,N(J1191)&lt;=BLN,OR(C1191=BB_AKUN,D1191=BB_AKUN)),1,0)</f>
        <v>806</v>
      </c>
      <c r="R1191" s="104" t="str">
        <f aca="false">IF(OR(C1191&amp;D1191="",N(E1191)=0),"",IF(OR(O1191="?",P1191="?"),"⚠ akun tidak dikenal",IF(C1191=D1191,"⚠ debet = kredit","")))</f>
        <v/>
      </c>
    </row>
    <row r="1192" customFormat="false" ht="15" hidden="false" customHeight="false" outlineLevel="0" collapsed="false">
      <c r="A1192" s="82" t="s">
        <v>2406</v>
      </c>
      <c r="B1192" s="101" t="n">
        <v>46278</v>
      </c>
      <c r="C1192" s="82" t="s">
        <v>470</v>
      </c>
      <c r="D1192" s="82" t="s">
        <v>461</v>
      </c>
      <c r="E1192" s="91" t="n">
        <v>2069700</v>
      </c>
      <c r="F1192" s="82" t="s">
        <v>1950</v>
      </c>
      <c r="G1192" s="82"/>
      <c r="H1192" s="82"/>
      <c r="I1192" s="82" t="s">
        <v>250</v>
      </c>
      <c r="J1192" s="102" t="n">
        <f aca="false">IF(B1192="","",MONTH(B1192))</f>
        <v>9</v>
      </c>
      <c r="K1192" s="102" t="n">
        <f aca="false">IF(B1192="","",YEAR(B1192))</f>
        <v>2026</v>
      </c>
      <c r="L1192" s="102" t="str">
        <f aca="false">IF(N(E1192)=0,"",IF(COUNTIFS(AK_NAMA,C1192,AK_KAT,"KAS")+COUNTIFS(AK_NAMA,D1192,AK_KAT,"KAS")&lt;&gt;1,"",IF(COUNTIFS(AK_NAMA,C1192,AK_KAT,"KAS")=1,D1192,C1192)))</f>
        <v>Biaya Bahan Baku</v>
      </c>
      <c r="M1192" s="103" t="n">
        <f aca="false">IF(L1192="",0,IF(L1192=D1192,E1192,-E1192))</f>
        <v>-2069700</v>
      </c>
      <c r="N1192" s="102" t="str">
        <f aca="false">IF(L1192="","",IFERROR(INDEX(AK_BARIS,MATCH(L1192,AK_NAMA,0)),"?"))</f>
        <v>OP3</v>
      </c>
      <c r="O1192" s="102" t="str">
        <f aca="false">IF(C1192="","",IFERROR(INDEX(AK_KEL,MATCH(C1192,AK_NAMA,0)),"?"))</f>
        <v>BEBAN</v>
      </c>
      <c r="P1192" s="102" t="str">
        <f aca="false">IF(D1192="","",IFERROR(INDEX(AK_KEL,MATCH(D1192,AK_NAMA,0)),"?"))</f>
        <v>ASET</v>
      </c>
      <c r="Q1192" s="102" t="n">
        <f aca="false">N(Q1191)+IF(AND(N(E1192)&lt;&gt;0,K1192=TAHUN,N(J1192)&lt;=BLN,OR(C1192=BB_AKUN,D1192=BB_AKUN)),1,0)</f>
        <v>807</v>
      </c>
      <c r="R1192" s="104" t="str">
        <f aca="false">IF(OR(C1192&amp;D1192="",N(E1192)=0),"",IF(OR(O1192="?",P1192="?"),"⚠ akun tidak dikenal",IF(C1192=D1192,"⚠ debet = kredit","")))</f>
        <v/>
      </c>
    </row>
    <row r="1193" customFormat="false" ht="15" hidden="false" customHeight="false" outlineLevel="0" collapsed="false">
      <c r="A1193" s="82" t="s">
        <v>2407</v>
      </c>
      <c r="B1193" s="101" t="n">
        <v>46278</v>
      </c>
      <c r="C1193" s="82" t="s">
        <v>718</v>
      </c>
      <c r="D1193" s="82" t="s">
        <v>461</v>
      </c>
      <c r="E1193" s="91" t="n">
        <v>5048000</v>
      </c>
      <c r="F1193" s="82" t="s">
        <v>2408</v>
      </c>
      <c r="G1193" s="82"/>
      <c r="H1193" s="82"/>
      <c r="I1193" s="82" t="s">
        <v>250</v>
      </c>
      <c r="J1193" s="102" t="n">
        <f aca="false">IF(B1193="","",MONTH(B1193))</f>
        <v>9</v>
      </c>
      <c r="K1193" s="102" t="n">
        <f aca="false">IF(B1193="","",YEAR(B1193))</f>
        <v>2026</v>
      </c>
      <c r="L1193" s="102" t="str">
        <f aca="false">IF(N(E1193)=0,"",IF(COUNTIFS(AK_NAMA,C1193,AK_KAT,"KAS")+COUNTIFS(AK_NAMA,D1193,AK_KAT,"KAS")&lt;&gt;1,"",IF(COUNTIFS(AK_NAMA,C1193,AK_KAT,"KAS")=1,D1193,C1193)))</f>
        <v>Piutang Lainnya</v>
      </c>
      <c r="M1193" s="103" t="n">
        <f aca="false">IF(L1193="",0,IF(L1193=D1193,E1193,-E1193))</f>
        <v>-5048000</v>
      </c>
      <c r="N1193" s="102" t="str">
        <f aca="false">IF(L1193="","",IFERROR(INDEX(AK_BARIS,MATCH(L1193,AK_NAMA,0)),"?"))</f>
        <v>OP2</v>
      </c>
      <c r="O1193" s="102" t="str">
        <f aca="false">IF(C1193="","",IFERROR(INDEX(AK_KEL,MATCH(C1193,AK_NAMA,0)),"?"))</f>
        <v>ASET</v>
      </c>
      <c r="P1193" s="102" t="str">
        <f aca="false">IF(D1193="","",IFERROR(INDEX(AK_KEL,MATCH(D1193,AK_NAMA,0)),"?"))</f>
        <v>ASET</v>
      </c>
      <c r="Q1193" s="102" t="n">
        <f aca="false">N(Q1192)+IF(AND(N(E1193)&lt;&gt;0,K1193=TAHUN,N(J1193)&lt;=BLN,OR(C1193=BB_AKUN,D1193=BB_AKUN)),1,0)</f>
        <v>808</v>
      </c>
      <c r="R1193" s="104" t="str">
        <f aca="false">IF(OR(C1193&amp;D1193="",N(E1193)=0),"",IF(OR(O1193="?",P1193="?"),"⚠ akun tidak dikenal",IF(C1193=D1193,"⚠ debet = kredit","")))</f>
        <v/>
      </c>
    </row>
    <row r="1194" customFormat="false" ht="15" hidden="false" customHeight="false" outlineLevel="0" collapsed="false">
      <c r="A1194" s="82" t="s">
        <v>2409</v>
      </c>
      <c r="B1194" s="101" t="n">
        <v>46279</v>
      </c>
      <c r="C1194" s="82" t="s">
        <v>475</v>
      </c>
      <c r="D1194" s="82" t="s">
        <v>509</v>
      </c>
      <c r="E1194" s="91" t="n">
        <v>260000</v>
      </c>
      <c r="F1194" s="82" t="s">
        <v>2405</v>
      </c>
      <c r="G1194" s="82" t="s">
        <v>392</v>
      </c>
      <c r="H1194" s="82"/>
      <c r="I1194" s="82" t="s">
        <v>250</v>
      </c>
      <c r="J1194" s="102" t="n">
        <f aca="false">IF(B1194="","",MONTH(B1194))</f>
        <v>9</v>
      </c>
      <c r="K1194" s="102" t="n">
        <f aca="false">IF(B1194="","",YEAR(B1194))</f>
        <v>2026</v>
      </c>
      <c r="L1194" s="102" t="str">
        <f aca="false">IF(N(E1194)=0,"",IF(COUNTIFS(AK_NAMA,C1194,AK_KAT,"KAS")+COUNTIFS(AK_NAMA,D1194,AK_KAT,"KAS")&lt;&gt;1,"",IF(COUNTIFS(AK_NAMA,C1194,AK_KAT,"KAS")=1,D1194,C1194)))</f>
        <v>Pendapatan non Cafe</v>
      </c>
      <c r="M1194" s="103" t="n">
        <f aca="false">IF(L1194="",0,IF(L1194=D1194,E1194,-E1194))</f>
        <v>260000</v>
      </c>
      <c r="N1194" s="102" t="str">
        <f aca="false">IF(L1194="","",IFERROR(INDEX(AK_BARIS,MATCH(L1194,AK_NAMA,0)),"?"))</f>
        <v>OP1</v>
      </c>
      <c r="O1194" s="102" t="str">
        <f aca="false">IF(C1194="","",IFERROR(INDEX(AK_KEL,MATCH(C1194,AK_NAMA,0)),"?"))</f>
        <v>ASET</v>
      </c>
      <c r="P1194" s="102" t="str">
        <f aca="false">IF(D1194="","",IFERROR(INDEX(AK_KEL,MATCH(D1194,AK_NAMA,0)),"?"))</f>
        <v>PENDAPATAN</v>
      </c>
      <c r="Q1194" s="102" t="n">
        <f aca="false">N(Q1193)+IF(AND(N(E1194)&lt;&gt;0,K1194=TAHUN,N(J1194)&lt;=BLN,OR(C1194=BB_AKUN,D1194=BB_AKUN)),1,0)</f>
        <v>808</v>
      </c>
      <c r="R1194" s="104" t="str">
        <f aca="false">IF(OR(C1194&amp;D1194="",N(E1194)=0),"",IF(OR(O1194="?",P1194="?"),"⚠ akun tidak dikenal",IF(C1194=D1194,"⚠ debet = kredit","")))</f>
        <v/>
      </c>
    </row>
    <row r="1195" customFormat="false" ht="15" hidden="false" customHeight="false" outlineLevel="0" collapsed="false">
      <c r="A1195" s="82" t="s">
        <v>2410</v>
      </c>
      <c r="B1195" s="101" t="n">
        <v>46279</v>
      </c>
      <c r="C1195" s="82" t="s">
        <v>486</v>
      </c>
      <c r="D1195" s="82" t="s">
        <v>461</v>
      </c>
      <c r="E1195" s="91" t="n">
        <v>272780</v>
      </c>
      <c r="F1195" s="82" t="s">
        <v>2411</v>
      </c>
      <c r="G1195" s="82"/>
      <c r="H1195" s="82"/>
      <c r="I1195" s="82" t="s">
        <v>250</v>
      </c>
      <c r="J1195" s="102" t="n">
        <f aca="false">IF(B1195="","",MONTH(B1195))</f>
        <v>9</v>
      </c>
      <c r="K1195" s="102" t="n">
        <f aca="false">IF(B1195="","",YEAR(B1195))</f>
        <v>2026</v>
      </c>
      <c r="L1195" s="102" t="str">
        <f aca="false">IF(N(E1195)=0,"",IF(COUNTIFS(AK_NAMA,C1195,AK_KAT,"KAS")+COUNTIFS(AK_NAMA,D1195,AK_KAT,"KAS")&lt;&gt;1,"",IF(COUNTIFS(AK_NAMA,C1195,AK_KAT,"KAS")=1,D1195,C1195)))</f>
        <v/>
      </c>
      <c r="M1195" s="103" t="n">
        <f aca="false">IF(L1195="",0,IF(L1195=D1195,E1195,-E1195))</f>
        <v>0</v>
      </c>
      <c r="N1195" s="102" t="str">
        <f aca="false">IF(L1195="","",IFERROR(INDEX(AK_BARIS,MATCH(L1195,AK_NAMA,0)),"?"))</f>
        <v/>
      </c>
      <c r="O1195" s="102" t="str">
        <f aca="false">IF(C1195="","",IFERROR(INDEX(AK_KEL,MATCH(C1195,AK_NAMA,0)),"?"))</f>
        <v>ASET</v>
      </c>
      <c r="P1195" s="102" t="str">
        <f aca="false">IF(D1195="","",IFERROR(INDEX(AK_KEL,MATCH(D1195,AK_NAMA,0)),"?"))</f>
        <v>ASET</v>
      </c>
      <c r="Q1195" s="102" t="n">
        <f aca="false">N(Q1194)+IF(AND(N(E1195)&lt;&gt;0,K1195=TAHUN,N(J1195)&lt;=BLN,OR(C1195=BB_AKUN,D1195=BB_AKUN)),1,0)</f>
        <v>809</v>
      </c>
      <c r="R1195" s="104" t="str">
        <f aca="false">IF(OR(C1195&amp;D1195="",N(E1195)=0),"",IF(OR(O1195="?",P1195="?"),"⚠ akun tidak dikenal",IF(C1195=D1195,"⚠ debet = kredit","")))</f>
        <v/>
      </c>
    </row>
    <row r="1196" customFormat="false" ht="15" hidden="false" customHeight="false" outlineLevel="0" collapsed="false">
      <c r="A1196" s="82" t="s">
        <v>2412</v>
      </c>
      <c r="B1196" s="101" t="n">
        <v>46279</v>
      </c>
      <c r="C1196" s="82" t="s">
        <v>486</v>
      </c>
      <c r="D1196" s="82" t="s">
        <v>475</v>
      </c>
      <c r="E1196" s="91" t="n">
        <v>100000</v>
      </c>
      <c r="F1196" s="82" t="s">
        <v>2413</v>
      </c>
      <c r="G1196" s="82"/>
      <c r="H1196" s="82"/>
      <c r="I1196" s="82" t="s">
        <v>250</v>
      </c>
      <c r="J1196" s="102" t="n">
        <f aca="false">IF(B1196="","",MONTH(B1196))</f>
        <v>9</v>
      </c>
      <c r="K1196" s="102" t="n">
        <f aca="false">IF(B1196="","",YEAR(B1196))</f>
        <v>2026</v>
      </c>
      <c r="L1196" s="102" t="str">
        <f aca="false">IF(N(E1196)=0,"",IF(COUNTIFS(AK_NAMA,C1196,AK_KAT,"KAS")+COUNTIFS(AK_NAMA,D1196,AK_KAT,"KAS")&lt;&gt;1,"",IF(COUNTIFS(AK_NAMA,C1196,AK_KAT,"KAS")=1,D1196,C1196)))</f>
        <v/>
      </c>
      <c r="M1196" s="103" t="n">
        <f aca="false">IF(L1196="",0,IF(L1196=D1196,E1196,-E1196))</f>
        <v>0</v>
      </c>
      <c r="N1196" s="102" t="str">
        <f aca="false">IF(L1196="","",IFERROR(INDEX(AK_BARIS,MATCH(L1196,AK_NAMA,0)),"?"))</f>
        <v/>
      </c>
      <c r="O1196" s="102" t="str">
        <f aca="false">IF(C1196="","",IFERROR(INDEX(AK_KEL,MATCH(C1196,AK_NAMA,0)),"?"))</f>
        <v>ASET</v>
      </c>
      <c r="P1196" s="102" t="str">
        <f aca="false">IF(D1196="","",IFERROR(INDEX(AK_KEL,MATCH(D1196,AK_NAMA,0)),"?"))</f>
        <v>ASET</v>
      </c>
      <c r="Q1196" s="102" t="n">
        <f aca="false">N(Q1195)+IF(AND(N(E1196)&lt;&gt;0,K1196=TAHUN,N(J1196)&lt;=BLN,OR(C1196=BB_AKUN,D1196=BB_AKUN)),1,0)</f>
        <v>809</v>
      </c>
      <c r="R1196" s="104" t="str">
        <f aca="false">IF(OR(C1196&amp;D1196="",N(E1196)=0),"",IF(OR(O1196="?",P1196="?"),"⚠ akun tidak dikenal",IF(C1196=D1196,"⚠ debet = kredit","")))</f>
        <v/>
      </c>
    </row>
    <row r="1197" customFormat="false" ht="15" hidden="false" customHeight="false" outlineLevel="0" collapsed="false">
      <c r="A1197" s="82" t="s">
        <v>2414</v>
      </c>
      <c r="B1197" s="101" t="n">
        <v>46279</v>
      </c>
      <c r="C1197" s="82" t="s">
        <v>524</v>
      </c>
      <c r="D1197" s="82" t="s">
        <v>461</v>
      </c>
      <c r="E1197" s="91" t="n">
        <v>20</v>
      </c>
      <c r="F1197" s="82" t="s">
        <v>2226</v>
      </c>
      <c r="G1197" s="82"/>
      <c r="H1197" s="82"/>
      <c r="I1197" s="82" t="s">
        <v>250</v>
      </c>
      <c r="J1197" s="102" t="n">
        <f aca="false">IF(B1197="","",MONTH(B1197))</f>
        <v>9</v>
      </c>
      <c r="K1197" s="102" t="n">
        <f aca="false">IF(B1197="","",YEAR(B1197))</f>
        <v>2026</v>
      </c>
      <c r="L1197" s="102" t="str">
        <f aca="false">IF(N(E1197)=0,"",IF(COUNTIFS(AK_NAMA,C1197,AK_KAT,"KAS")+COUNTIFS(AK_NAMA,D1197,AK_KAT,"KAS")&lt;&gt;1,"",IF(COUNTIFS(AK_NAMA,C1197,AK_KAT,"KAS")=1,D1197,C1197)))</f>
        <v>Biaya Lainnya</v>
      </c>
      <c r="M1197" s="103" t="n">
        <f aca="false">IF(L1197="",0,IF(L1197=D1197,E1197,-E1197))</f>
        <v>-20</v>
      </c>
      <c r="N1197" s="102" t="str">
        <f aca="false">IF(L1197="","",IFERROR(INDEX(AK_BARIS,MATCH(L1197,AK_NAMA,0)),"?"))</f>
        <v>OP2</v>
      </c>
      <c r="O1197" s="102" t="str">
        <f aca="false">IF(C1197="","",IFERROR(INDEX(AK_KEL,MATCH(C1197,AK_NAMA,0)),"?"))</f>
        <v>BEBAN</v>
      </c>
      <c r="P1197" s="102" t="str">
        <f aca="false">IF(D1197="","",IFERROR(INDEX(AK_KEL,MATCH(D1197,AK_NAMA,0)),"?"))</f>
        <v>ASET</v>
      </c>
      <c r="Q1197" s="102" t="n">
        <f aca="false">N(Q1196)+IF(AND(N(E1197)&lt;&gt;0,K1197=TAHUN,N(J1197)&lt;=BLN,OR(C1197=BB_AKUN,D1197=BB_AKUN)),1,0)</f>
        <v>810</v>
      </c>
      <c r="R1197" s="104" t="str">
        <f aca="false">IF(OR(C1197&amp;D1197="",N(E1197)=0),"",IF(OR(O1197="?",P1197="?"),"⚠ akun tidak dikenal",IF(C1197=D1197,"⚠ debet = kredit","")))</f>
        <v/>
      </c>
    </row>
    <row r="1198" customFormat="false" ht="15" hidden="false" customHeight="false" outlineLevel="0" collapsed="false">
      <c r="A1198" s="82" t="s">
        <v>2415</v>
      </c>
      <c r="B1198" s="101" t="n">
        <v>46279</v>
      </c>
      <c r="C1198" s="82" t="s">
        <v>486</v>
      </c>
      <c r="D1198" s="82" t="s">
        <v>475</v>
      </c>
      <c r="E1198" s="91" t="n">
        <v>500000</v>
      </c>
      <c r="F1198" s="82" t="s">
        <v>2113</v>
      </c>
      <c r="G1198" s="82"/>
      <c r="H1198" s="82"/>
      <c r="I1198" s="82" t="s">
        <v>250</v>
      </c>
      <c r="J1198" s="102" t="n">
        <f aca="false">IF(B1198="","",MONTH(B1198))</f>
        <v>9</v>
      </c>
      <c r="K1198" s="102" t="n">
        <f aca="false">IF(B1198="","",YEAR(B1198))</f>
        <v>2026</v>
      </c>
      <c r="L1198" s="102" t="str">
        <f aca="false">IF(N(E1198)=0,"",IF(COUNTIFS(AK_NAMA,C1198,AK_KAT,"KAS")+COUNTIFS(AK_NAMA,D1198,AK_KAT,"KAS")&lt;&gt;1,"",IF(COUNTIFS(AK_NAMA,C1198,AK_KAT,"KAS")=1,D1198,C1198)))</f>
        <v/>
      </c>
      <c r="M1198" s="103" t="n">
        <f aca="false">IF(L1198="",0,IF(L1198=D1198,E1198,-E1198))</f>
        <v>0</v>
      </c>
      <c r="N1198" s="102" t="str">
        <f aca="false">IF(L1198="","",IFERROR(INDEX(AK_BARIS,MATCH(L1198,AK_NAMA,0)),"?"))</f>
        <v/>
      </c>
      <c r="O1198" s="102" t="str">
        <f aca="false">IF(C1198="","",IFERROR(INDEX(AK_KEL,MATCH(C1198,AK_NAMA,0)),"?"))</f>
        <v>ASET</v>
      </c>
      <c r="P1198" s="102" t="str">
        <f aca="false">IF(D1198="","",IFERROR(INDEX(AK_KEL,MATCH(D1198,AK_NAMA,0)),"?"))</f>
        <v>ASET</v>
      </c>
      <c r="Q1198" s="102" t="n">
        <f aca="false">N(Q1197)+IF(AND(N(E1198)&lt;&gt;0,K1198=TAHUN,N(J1198)&lt;=BLN,OR(C1198=BB_AKUN,D1198=BB_AKUN)),1,0)</f>
        <v>810</v>
      </c>
      <c r="R1198" s="104" t="str">
        <f aca="false">IF(OR(C1198&amp;D1198="",N(E1198)=0),"",IF(OR(O1198="?",P1198="?"),"⚠ akun tidak dikenal",IF(C1198=D1198,"⚠ debet = kredit","")))</f>
        <v/>
      </c>
    </row>
    <row r="1199" customFormat="false" ht="15" hidden="false" customHeight="false" outlineLevel="0" collapsed="false">
      <c r="A1199" s="82" t="s">
        <v>2416</v>
      </c>
      <c r="B1199" s="101" t="n">
        <v>46279</v>
      </c>
      <c r="C1199" s="82" t="s">
        <v>486</v>
      </c>
      <c r="D1199" s="82" t="s">
        <v>461</v>
      </c>
      <c r="E1199" s="91" t="n">
        <v>500000</v>
      </c>
      <c r="F1199" s="82" t="s">
        <v>2369</v>
      </c>
      <c r="G1199" s="82"/>
      <c r="H1199" s="82"/>
      <c r="I1199" s="82" t="s">
        <v>250</v>
      </c>
      <c r="J1199" s="102" t="n">
        <f aca="false">IF(B1199="","",MONTH(B1199))</f>
        <v>9</v>
      </c>
      <c r="K1199" s="102" t="n">
        <f aca="false">IF(B1199="","",YEAR(B1199))</f>
        <v>2026</v>
      </c>
      <c r="L1199" s="102" t="str">
        <f aca="false">IF(N(E1199)=0,"",IF(COUNTIFS(AK_NAMA,C1199,AK_KAT,"KAS")+COUNTIFS(AK_NAMA,D1199,AK_KAT,"KAS")&lt;&gt;1,"",IF(COUNTIFS(AK_NAMA,C1199,AK_KAT,"KAS")=1,D1199,C1199)))</f>
        <v/>
      </c>
      <c r="M1199" s="103" t="n">
        <f aca="false">IF(L1199="",0,IF(L1199=D1199,E1199,-E1199))</f>
        <v>0</v>
      </c>
      <c r="N1199" s="102" t="str">
        <f aca="false">IF(L1199="","",IFERROR(INDEX(AK_BARIS,MATCH(L1199,AK_NAMA,0)),"?"))</f>
        <v/>
      </c>
      <c r="O1199" s="102" t="str">
        <f aca="false">IF(C1199="","",IFERROR(INDEX(AK_KEL,MATCH(C1199,AK_NAMA,0)),"?"))</f>
        <v>ASET</v>
      </c>
      <c r="P1199" s="102" t="str">
        <f aca="false">IF(D1199="","",IFERROR(INDEX(AK_KEL,MATCH(D1199,AK_NAMA,0)),"?"))</f>
        <v>ASET</v>
      </c>
      <c r="Q1199" s="102" t="n">
        <f aca="false">N(Q1198)+IF(AND(N(E1199)&lt;&gt;0,K1199=TAHUN,N(J1199)&lt;=BLN,OR(C1199=BB_AKUN,D1199=BB_AKUN)),1,0)</f>
        <v>811</v>
      </c>
      <c r="R1199" s="104" t="str">
        <f aca="false">IF(OR(C1199&amp;D1199="",N(E1199)=0),"",IF(OR(O1199="?",P1199="?"),"⚠ akun tidak dikenal",IF(C1199=D1199,"⚠ debet = kredit","")))</f>
        <v/>
      </c>
    </row>
    <row r="1200" customFormat="false" ht="15" hidden="false" customHeight="false" outlineLevel="0" collapsed="false">
      <c r="A1200" s="82" t="s">
        <v>2417</v>
      </c>
      <c r="B1200" s="101" t="n">
        <v>46279</v>
      </c>
      <c r="C1200" s="82" t="s">
        <v>475</v>
      </c>
      <c r="D1200" s="82" t="s">
        <v>557</v>
      </c>
      <c r="E1200" s="91" t="n">
        <v>13000</v>
      </c>
      <c r="F1200" s="82" t="s">
        <v>2418</v>
      </c>
      <c r="G1200" s="82"/>
      <c r="H1200" s="82"/>
      <c r="I1200" s="82" t="s">
        <v>250</v>
      </c>
      <c r="J1200" s="102" t="n">
        <f aca="false">IF(B1200="","",MONTH(B1200))</f>
        <v>9</v>
      </c>
      <c r="K1200" s="102" t="n">
        <f aca="false">IF(B1200="","",YEAR(B1200))</f>
        <v>2026</v>
      </c>
      <c r="L1200" s="102" t="str">
        <f aca="false">IF(N(E1200)=0,"",IF(COUNTIFS(AK_NAMA,C1200,AK_KAT,"KAS")+COUNTIFS(AK_NAMA,D1200,AK_KAT,"KAS")&lt;&gt;1,"",IF(COUNTIFS(AK_NAMA,C1200,AK_KAT,"KAS")=1,D1200,C1200)))</f>
        <v>Pendapatan Lainnya</v>
      </c>
      <c r="M1200" s="103" t="n">
        <f aca="false">IF(L1200="",0,IF(L1200=D1200,E1200,-E1200))</f>
        <v>13000</v>
      </c>
      <c r="N1200" s="102" t="str">
        <f aca="false">IF(L1200="","",IFERROR(INDEX(AK_BARIS,MATCH(L1200,AK_NAMA,0)),"?"))</f>
        <v>OP2</v>
      </c>
      <c r="O1200" s="102" t="str">
        <f aca="false">IF(C1200="","",IFERROR(INDEX(AK_KEL,MATCH(C1200,AK_NAMA,0)),"?"))</f>
        <v>ASET</v>
      </c>
      <c r="P1200" s="102" t="str">
        <f aca="false">IF(D1200="","",IFERROR(INDEX(AK_KEL,MATCH(D1200,AK_NAMA,0)),"?"))</f>
        <v>PENDAPATAN</v>
      </c>
      <c r="Q1200" s="102" t="n">
        <f aca="false">N(Q1199)+IF(AND(N(E1200)&lt;&gt;0,K1200=TAHUN,N(J1200)&lt;=BLN,OR(C1200=BB_AKUN,D1200=BB_AKUN)),1,0)</f>
        <v>811</v>
      </c>
      <c r="R1200" s="104" t="str">
        <f aca="false">IF(OR(C1200&amp;D1200="",N(E1200)=0),"",IF(OR(O1200="?",P1200="?"),"⚠ akun tidak dikenal",IF(C1200=D1200,"⚠ debet = kredit","")))</f>
        <v/>
      </c>
    </row>
    <row r="1201" customFormat="false" ht="15" hidden="false" customHeight="false" outlineLevel="0" collapsed="false">
      <c r="A1201" s="82" t="s">
        <v>2419</v>
      </c>
      <c r="B1201" s="101" t="n">
        <v>46279</v>
      </c>
      <c r="C1201" s="82" t="s">
        <v>524</v>
      </c>
      <c r="D1201" s="82" t="s">
        <v>461</v>
      </c>
      <c r="E1201" s="91" t="n">
        <v>40000</v>
      </c>
      <c r="F1201" s="82" t="s">
        <v>2420</v>
      </c>
      <c r="G1201" s="82"/>
      <c r="H1201" s="82"/>
      <c r="I1201" s="82" t="s">
        <v>250</v>
      </c>
      <c r="J1201" s="102" t="n">
        <f aca="false">IF(B1201="","",MONTH(B1201))</f>
        <v>9</v>
      </c>
      <c r="K1201" s="102" t="n">
        <f aca="false">IF(B1201="","",YEAR(B1201))</f>
        <v>2026</v>
      </c>
      <c r="L1201" s="102" t="str">
        <f aca="false">IF(N(E1201)=0,"",IF(COUNTIFS(AK_NAMA,C1201,AK_KAT,"KAS")+COUNTIFS(AK_NAMA,D1201,AK_KAT,"KAS")&lt;&gt;1,"",IF(COUNTIFS(AK_NAMA,C1201,AK_KAT,"KAS")=1,D1201,C1201)))</f>
        <v>Biaya Lainnya</v>
      </c>
      <c r="M1201" s="103" t="n">
        <f aca="false">IF(L1201="",0,IF(L1201=D1201,E1201,-E1201))</f>
        <v>-40000</v>
      </c>
      <c r="N1201" s="102" t="str">
        <f aca="false">IF(L1201="","",IFERROR(INDEX(AK_BARIS,MATCH(L1201,AK_NAMA,0)),"?"))</f>
        <v>OP2</v>
      </c>
      <c r="O1201" s="102" t="str">
        <f aca="false">IF(C1201="","",IFERROR(INDEX(AK_KEL,MATCH(C1201,AK_NAMA,0)),"?"))</f>
        <v>BEBAN</v>
      </c>
      <c r="P1201" s="102" t="str">
        <f aca="false">IF(D1201="","",IFERROR(INDEX(AK_KEL,MATCH(D1201,AK_NAMA,0)),"?"))</f>
        <v>ASET</v>
      </c>
      <c r="Q1201" s="102" t="n">
        <f aca="false">N(Q1200)+IF(AND(N(E1201)&lt;&gt;0,K1201=TAHUN,N(J1201)&lt;=BLN,OR(C1201=BB_AKUN,D1201=BB_AKUN)),1,0)</f>
        <v>812</v>
      </c>
      <c r="R1201" s="104" t="str">
        <f aca="false">IF(OR(C1201&amp;D1201="",N(E1201)=0),"",IF(OR(O1201="?",P1201="?"),"⚠ akun tidak dikenal",IF(C1201=D1201,"⚠ debet = kredit","")))</f>
        <v/>
      </c>
    </row>
    <row r="1202" customFormat="false" ht="15" hidden="false" customHeight="false" outlineLevel="0" collapsed="false">
      <c r="A1202" s="82" t="s">
        <v>2421</v>
      </c>
      <c r="B1202" s="101" t="n">
        <v>46279</v>
      </c>
      <c r="C1202" s="82" t="s">
        <v>461</v>
      </c>
      <c r="D1202" s="82" t="s">
        <v>509</v>
      </c>
      <c r="E1202" s="91" t="n">
        <v>1000000</v>
      </c>
      <c r="F1202" s="82" t="s">
        <v>2422</v>
      </c>
      <c r="G1202" s="82" t="s">
        <v>389</v>
      </c>
      <c r="H1202" s="82"/>
      <c r="I1202" s="82" t="s">
        <v>250</v>
      </c>
      <c r="J1202" s="102" t="n">
        <f aca="false">IF(B1202="","",MONTH(B1202))</f>
        <v>9</v>
      </c>
      <c r="K1202" s="102" t="n">
        <f aca="false">IF(B1202="","",YEAR(B1202))</f>
        <v>2026</v>
      </c>
      <c r="L1202" s="102" t="str">
        <f aca="false">IF(N(E1202)=0,"",IF(COUNTIFS(AK_NAMA,C1202,AK_KAT,"KAS")+COUNTIFS(AK_NAMA,D1202,AK_KAT,"KAS")&lt;&gt;1,"",IF(COUNTIFS(AK_NAMA,C1202,AK_KAT,"KAS")=1,D1202,C1202)))</f>
        <v>Pendapatan non Cafe</v>
      </c>
      <c r="M1202" s="103" t="n">
        <f aca="false">IF(L1202="",0,IF(L1202=D1202,E1202,-E1202))</f>
        <v>1000000</v>
      </c>
      <c r="N1202" s="102" t="str">
        <f aca="false">IF(L1202="","",IFERROR(INDEX(AK_BARIS,MATCH(L1202,AK_NAMA,0)),"?"))</f>
        <v>OP1</v>
      </c>
      <c r="O1202" s="102" t="str">
        <f aca="false">IF(C1202="","",IFERROR(INDEX(AK_KEL,MATCH(C1202,AK_NAMA,0)),"?"))</f>
        <v>ASET</v>
      </c>
      <c r="P1202" s="102" t="str">
        <f aca="false">IF(D1202="","",IFERROR(INDEX(AK_KEL,MATCH(D1202,AK_NAMA,0)),"?"))</f>
        <v>PENDAPATAN</v>
      </c>
      <c r="Q1202" s="102" t="n">
        <f aca="false">N(Q1201)+IF(AND(N(E1202)&lt;&gt;0,K1202=TAHUN,N(J1202)&lt;=BLN,OR(C1202=BB_AKUN,D1202=BB_AKUN)),1,0)</f>
        <v>813</v>
      </c>
      <c r="R1202" s="104" t="str">
        <f aca="false">IF(OR(C1202&amp;D1202="",N(E1202)=0),"",IF(OR(O1202="?",P1202="?"),"⚠ akun tidak dikenal",IF(C1202=D1202,"⚠ debet = kredit","")))</f>
        <v/>
      </c>
    </row>
    <row r="1203" customFormat="false" ht="15" hidden="false" customHeight="false" outlineLevel="0" collapsed="false">
      <c r="A1203" s="82" t="s">
        <v>2423</v>
      </c>
      <c r="B1203" s="101" t="n">
        <v>46280</v>
      </c>
      <c r="C1203" s="82" t="s">
        <v>470</v>
      </c>
      <c r="D1203" s="82" t="s">
        <v>461</v>
      </c>
      <c r="E1203" s="91" t="n">
        <v>107000</v>
      </c>
      <c r="F1203" s="82" t="s">
        <v>2424</v>
      </c>
      <c r="G1203" s="82"/>
      <c r="H1203" s="82"/>
      <c r="I1203" s="82" t="s">
        <v>250</v>
      </c>
      <c r="J1203" s="102" t="n">
        <f aca="false">IF(B1203="","",MONTH(B1203))</f>
        <v>9</v>
      </c>
      <c r="K1203" s="102" t="n">
        <f aca="false">IF(B1203="","",YEAR(B1203))</f>
        <v>2026</v>
      </c>
      <c r="L1203" s="102" t="str">
        <f aca="false">IF(N(E1203)=0,"",IF(COUNTIFS(AK_NAMA,C1203,AK_KAT,"KAS")+COUNTIFS(AK_NAMA,D1203,AK_KAT,"KAS")&lt;&gt;1,"",IF(COUNTIFS(AK_NAMA,C1203,AK_KAT,"KAS")=1,D1203,C1203)))</f>
        <v>Biaya Bahan Baku</v>
      </c>
      <c r="M1203" s="103" t="n">
        <f aca="false">IF(L1203="",0,IF(L1203=D1203,E1203,-E1203))</f>
        <v>-107000</v>
      </c>
      <c r="N1203" s="102" t="str">
        <f aca="false">IF(L1203="","",IFERROR(INDEX(AK_BARIS,MATCH(L1203,AK_NAMA,0)),"?"))</f>
        <v>OP3</v>
      </c>
      <c r="O1203" s="102" t="str">
        <f aca="false">IF(C1203="","",IFERROR(INDEX(AK_KEL,MATCH(C1203,AK_NAMA,0)),"?"))</f>
        <v>BEBAN</v>
      </c>
      <c r="P1203" s="102" t="str">
        <f aca="false">IF(D1203="","",IFERROR(INDEX(AK_KEL,MATCH(D1203,AK_NAMA,0)),"?"))</f>
        <v>ASET</v>
      </c>
      <c r="Q1203" s="102" t="n">
        <f aca="false">N(Q1202)+IF(AND(N(E1203)&lt;&gt;0,K1203=TAHUN,N(J1203)&lt;=BLN,OR(C1203=BB_AKUN,D1203=BB_AKUN)),1,0)</f>
        <v>814</v>
      </c>
      <c r="R1203" s="104" t="str">
        <f aca="false">IF(OR(C1203&amp;D1203="",N(E1203)=0),"",IF(OR(O1203="?",P1203="?"),"⚠ akun tidak dikenal",IF(C1203=D1203,"⚠ debet = kredit","")))</f>
        <v/>
      </c>
    </row>
    <row r="1204" customFormat="false" ht="15" hidden="false" customHeight="false" outlineLevel="0" collapsed="false">
      <c r="A1204" s="82" t="s">
        <v>2425</v>
      </c>
      <c r="B1204" s="101" t="n">
        <v>46280</v>
      </c>
      <c r="C1204" s="82" t="s">
        <v>470</v>
      </c>
      <c r="D1204" s="82" t="s">
        <v>486</v>
      </c>
      <c r="E1204" s="91" t="n">
        <v>1079280</v>
      </c>
      <c r="F1204" s="82" t="s">
        <v>2426</v>
      </c>
      <c r="G1204" s="82"/>
      <c r="H1204" s="82"/>
      <c r="I1204" s="82" t="s">
        <v>250</v>
      </c>
      <c r="J1204" s="102" t="n">
        <f aca="false">IF(B1204="","",MONTH(B1204))</f>
        <v>9</v>
      </c>
      <c r="K1204" s="102" t="n">
        <f aca="false">IF(B1204="","",YEAR(B1204))</f>
        <v>2026</v>
      </c>
      <c r="L1204" s="102" t="str">
        <f aca="false">IF(N(E1204)=0,"",IF(COUNTIFS(AK_NAMA,C1204,AK_KAT,"KAS")+COUNTIFS(AK_NAMA,D1204,AK_KAT,"KAS")&lt;&gt;1,"",IF(COUNTIFS(AK_NAMA,C1204,AK_KAT,"KAS")=1,D1204,C1204)))</f>
        <v>Biaya Bahan Baku</v>
      </c>
      <c r="M1204" s="103" t="n">
        <f aca="false">IF(L1204="",0,IF(L1204=D1204,E1204,-E1204))</f>
        <v>-1079280</v>
      </c>
      <c r="N1204" s="102" t="str">
        <f aca="false">IF(L1204="","",IFERROR(INDEX(AK_BARIS,MATCH(L1204,AK_NAMA,0)),"?"))</f>
        <v>OP3</v>
      </c>
      <c r="O1204" s="102" t="str">
        <f aca="false">IF(C1204="","",IFERROR(INDEX(AK_KEL,MATCH(C1204,AK_NAMA,0)),"?"))</f>
        <v>BEBAN</v>
      </c>
      <c r="P1204" s="102" t="str">
        <f aca="false">IF(D1204="","",IFERROR(INDEX(AK_KEL,MATCH(D1204,AK_NAMA,0)),"?"))</f>
        <v>ASET</v>
      </c>
      <c r="Q1204" s="102" t="n">
        <f aca="false">N(Q1203)+IF(AND(N(E1204)&lt;&gt;0,K1204=TAHUN,N(J1204)&lt;=BLN,OR(C1204=BB_AKUN,D1204=BB_AKUN)),1,0)</f>
        <v>814</v>
      </c>
      <c r="R1204" s="104" t="str">
        <f aca="false">IF(OR(C1204&amp;D1204="",N(E1204)=0),"",IF(OR(O1204="?",P1204="?"),"⚠ akun tidak dikenal",IF(C1204=D1204,"⚠ debet = kredit","")))</f>
        <v/>
      </c>
    </row>
    <row r="1205" customFormat="false" ht="15" hidden="false" customHeight="false" outlineLevel="0" collapsed="false">
      <c r="A1205" s="82" t="s">
        <v>2427</v>
      </c>
      <c r="B1205" s="101" t="n">
        <v>46280</v>
      </c>
      <c r="C1205" s="82" t="s">
        <v>548</v>
      </c>
      <c r="D1205" s="82" t="s">
        <v>486</v>
      </c>
      <c r="E1205" s="91" t="n">
        <v>107500</v>
      </c>
      <c r="F1205" s="82" t="s">
        <v>2428</v>
      </c>
      <c r="G1205" s="82"/>
      <c r="H1205" s="82"/>
      <c r="I1205" s="82" t="s">
        <v>250</v>
      </c>
      <c r="J1205" s="102" t="n">
        <f aca="false">IF(B1205="","",MONTH(B1205))</f>
        <v>9</v>
      </c>
      <c r="K1205" s="102" t="n">
        <f aca="false">IF(B1205="","",YEAR(B1205))</f>
        <v>2026</v>
      </c>
      <c r="L1205" s="102" t="str">
        <f aca="false">IF(N(E1205)=0,"",IF(COUNTIFS(AK_NAMA,C1205,AK_KAT,"KAS")+COUNTIFS(AK_NAMA,D1205,AK_KAT,"KAS")&lt;&gt;1,"",IF(COUNTIFS(AK_NAMA,C1205,AK_KAT,"KAS")=1,D1205,C1205)))</f>
        <v>Beban Perlengkapan</v>
      </c>
      <c r="M1205" s="103" t="n">
        <f aca="false">IF(L1205="",0,IF(L1205=D1205,E1205,-E1205))</f>
        <v>-107500</v>
      </c>
      <c r="N1205" s="102" t="str">
        <f aca="false">IF(L1205="","",IFERROR(INDEX(AK_BARIS,MATCH(L1205,AK_NAMA,0)),"?"))</f>
        <v>OP6</v>
      </c>
      <c r="O1205" s="102" t="str">
        <f aca="false">IF(C1205="","",IFERROR(INDEX(AK_KEL,MATCH(C1205,AK_NAMA,0)),"?"))</f>
        <v>BEBAN</v>
      </c>
      <c r="P1205" s="102" t="str">
        <f aca="false">IF(D1205="","",IFERROR(INDEX(AK_KEL,MATCH(D1205,AK_NAMA,0)),"?"))</f>
        <v>ASET</v>
      </c>
      <c r="Q1205" s="102" t="n">
        <f aca="false">N(Q1204)+IF(AND(N(E1205)&lt;&gt;0,K1205=TAHUN,N(J1205)&lt;=BLN,OR(C1205=BB_AKUN,D1205=BB_AKUN)),1,0)</f>
        <v>814</v>
      </c>
      <c r="R1205" s="104" t="str">
        <f aca="false">IF(OR(C1205&amp;D1205="",N(E1205)=0),"",IF(OR(O1205="?",P1205="?"),"⚠ akun tidak dikenal",IF(C1205=D1205,"⚠ debet = kredit","")))</f>
        <v/>
      </c>
    </row>
    <row r="1206" customFormat="false" ht="15" hidden="false" customHeight="false" outlineLevel="0" collapsed="false">
      <c r="A1206" s="82" t="s">
        <v>2429</v>
      </c>
      <c r="B1206" s="101" t="n">
        <v>46280</v>
      </c>
      <c r="C1206" s="82" t="s">
        <v>485</v>
      </c>
      <c r="D1206" s="82" t="s">
        <v>486</v>
      </c>
      <c r="E1206" s="91" t="n">
        <v>15000</v>
      </c>
      <c r="F1206" s="82" t="s">
        <v>2430</v>
      </c>
      <c r="G1206" s="82"/>
      <c r="H1206" s="82"/>
      <c r="I1206" s="82" t="s">
        <v>250</v>
      </c>
      <c r="J1206" s="102" t="n">
        <f aca="false">IF(B1206="","",MONTH(B1206))</f>
        <v>9</v>
      </c>
      <c r="K1206" s="102" t="n">
        <f aca="false">IF(B1206="","",YEAR(B1206))</f>
        <v>2026</v>
      </c>
      <c r="L1206" s="102" t="str">
        <f aca="false">IF(N(E1206)=0,"",IF(COUNTIFS(AK_NAMA,C1206,AK_KAT,"KAS")+COUNTIFS(AK_NAMA,D1206,AK_KAT,"KAS")&lt;&gt;1,"",IF(COUNTIFS(AK_NAMA,C1206,AK_KAT,"KAS")=1,D1206,C1206)))</f>
        <v>Biaya Operasional Harian</v>
      </c>
      <c r="M1206" s="103" t="n">
        <f aca="false">IF(L1206="",0,IF(L1206=D1206,E1206,-E1206))</f>
        <v>-15000</v>
      </c>
      <c r="N1206" s="102" t="str">
        <f aca="false">IF(L1206="","",IFERROR(INDEX(AK_BARIS,MATCH(L1206,AK_NAMA,0)),"?"))</f>
        <v>OP6</v>
      </c>
      <c r="O1206" s="102" t="str">
        <f aca="false">IF(C1206="","",IFERROR(INDEX(AK_KEL,MATCH(C1206,AK_NAMA,0)),"?"))</f>
        <v>BEBAN</v>
      </c>
      <c r="P1206" s="102" t="str">
        <f aca="false">IF(D1206="","",IFERROR(INDEX(AK_KEL,MATCH(D1206,AK_NAMA,0)),"?"))</f>
        <v>ASET</v>
      </c>
      <c r="Q1206" s="102" t="n">
        <f aca="false">N(Q1205)+IF(AND(N(E1206)&lt;&gt;0,K1206=TAHUN,N(J1206)&lt;=BLN,OR(C1206=BB_AKUN,D1206=BB_AKUN)),1,0)</f>
        <v>814</v>
      </c>
      <c r="R1206" s="104" t="str">
        <f aca="false">IF(OR(C1206&amp;D1206="",N(E1206)=0),"",IF(OR(O1206="?",P1206="?"),"⚠ akun tidak dikenal",IF(C1206=D1206,"⚠ debet = kredit","")))</f>
        <v/>
      </c>
    </row>
    <row r="1207" customFormat="false" ht="15" hidden="false" customHeight="false" outlineLevel="0" collapsed="false">
      <c r="A1207" s="82" t="s">
        <v>2431</v>
      </c>
      <c r="B1207" s="101" t="n">
        <v>46280</v>
      </c>
      <c r="C1207" s="82" t="s">
        <v>524</v>
      </c>
      <c r="D1207" s="82" t="s">
        <v>486</v>
      </c>
      <c r="E1207" s="91" t="n">
        <v>11000</v>
      </c>
      <c r="F1207" s="82" t="s">
        <v>2432</v>
      </c>
      <c r="G1207" s="82"/>
      <c r="H1207" s="82"/>
      <c r="I1207" s="82" t="s">
        <v>250</v>
      </c>
      <c r="J1207" s="102" t="n">
        <f aca="false">IF(B1207="","",MONTH(B1207))</f>
        <v>9</v>
      </c>
      <c r="K1207" s="102" t="n">
        <f aca="false">IF(B1207="","",YEAR(B1207))</f>
        <v>2026</v>
      </c>
      <c r="L1207" s="102" t="str">
        <f aca="false">IF(N(E1207)=0,"",IF(COUNTIFS(AK_NAMA,C1207,AK_KAT,"KAS")+COUNTIFS(AK_NAMA,D1207,AK_KAT,"KAS")&lt;&gt;1,"",IF(COUNTIFS(AK_NAMA,C1207,AK_KAT,"KAS")=1,D1207,C1207)))</f>
        <v>Biaya Lainnya</v>
      </c>
      <c r="M1207" s="103" t="n">
        <f aca="false">IF(L1207="",0,IF(L1207=D1207,E1207,-E1207))</f>
        <v>-11000</v>
      </c>
      <c r="N1207" s="102" t="str">
        <f aca="false">IF(L1207="","",IFERROR(INDEX(AK_BARIS,MATCH(L1207,AK_NAMA,0)),"?"))</f>
        <v>OP2</v>
      </c>
      <c r="O1207" s="102" t="str">
        <f aca="false">IF(C1207="","",IFERROR(INDEX(AK_KEL,MATCH(C1207,AK_NAMA,0)),"?"))</f>
        <v>BEBAN</v>
      </c>
      <c r="P1207" s="102" t="str">
        <f aca="false">IF(D1207="","",IFERROR(INDEX(AK_KEL,MATCH(D1207,AK_NAMA,0)),"?"))</f>
        <v>ASET</v>
      </c>
      <c r="Q1207" s="102" t="n">
        <f aca="false">N(Q1206)+IF(AND(N(E1207)&lt;&gt;0,K1207=TAHUN,N(J1207)&lt;=BLN,OR(C1207=BB_AKUN,D1207=BB_AKUN)),1,0)</f>
        <v>814</v>
      </c>
      <c r="R1207" s="104" t="str">
        <f aca="false">IF(OR(C1207&amp;D1207="",N(E1207)=0),"",IF(OR(O1207="?",P1207="?"),"⚠ akun tidak dikenal",IF(C1207=D1207,"⚠ debet = kredit","")))</f>
        <v/>
      </c>
    </row>
    <row r="1208" customFormat="false" ht="15" hidden="false" customHeight="false" outlineLevel="0" collapsed="false">
      <c r="A1208" s="82" t="s">
        <v>2433</v>
      </c>
      <c r="B1208" s="101" t="n">
        <v>46280</v>
      </c>
      <c r="C1208" s="82" t="s">
        <v>460</v>
      </c>
      <c r="D1208" s="82" t="s">
        <v>486</v>
      </c>
      <c r="E1208" s="91" t="n">
        <v>160000</v>
      </c>
      <c r="F1208" s="82" t="s">
        <v>2434</v>
      </c>
      <c r="G1208" s="82"/>
      <c r="H1208" s="82"/>
      <c r="I1208" s="82" t="s">
        <v>250</v>
      </c>
      <c r="J1208" s="102" t="n">
        <f aca="false">IF(B1208="","",MONTH(B1208))</f>
        <v>9</v>
      </c>
      <c r="K1208" s="102" t="n">
        <f aca="false">IF(B1208="","",YEAR(B1208))</f>
        <v>2026</v>
      </c>
      <c r="L1208" s="102" t="str">
        <f aca="false">IF(N(E1208)=0,"",IF(COUNTIFS(AK_NAMA,C1208,AK_KAT,"KAS")+COUNTIFS(AK_NAMA,D1208,AK_KAT,"KAS")&lt;&gt;1,"",IF(COUNTIFS(AK_NAMA,C1208,AK_KAT,"KAS")=1,D1208,C1208)))</f>
        <v>Biaya Marketing &amp; Promosi</v>
      </c>
      <c r="M1208" s="103" t="n">
        <f aca="false">IF(L1208="",0,IF(L1208=D1208,E1208,-E1208))</f>
        <v>-160000</v>
      </c>
      <c r="N1208" s="102" t="str">
        <f aca="false">IF(L1208="","",IFERROR(INDEX(AK_BARIS,MATCH(L1208,AK_NAMA,0)),"?"))</f>
        <v>OP6</v>
      </c>
      <c r="O1208" s="102" t="str">
        <f aca="false">IF(C1208="","",IFERROR(INDEX(AK_KEL,MATCH(C1208,AK_NAMA,0)),"?"))</f>
        <v>BEBAN</v>
      </c>
      <c r="P1208" s="102" t="str">
        <f aca="false">IF(D1208="","",IFERROR(INDEX(AK_KEL,MATCH(D1208,AK_NAMA,0)),"?"))</f>
        <v>ASET</v>
      </c>
      <c r="Q1208" s="102" t="n">
        <f aca="false">N(Q1207)+IF(AND(N(E1208)&lt;&gt;0,K1208=TAHUN,N(J1208)&lt;=BLN,OR(C1208=BB_AKUN,D1208=BB_AKUN)),1,0)</f>
        <v>814</v>
      </c>
      <c r="R1208" s="104" t="str">
        <f aca="false">IF(OR(C1208&amp;D1208="",N(E1208)=0),"",IF(OR(O1208="?",P1208="?"),"⚠ akun tidak dikenal",IF(C1208=D1208,"⚠ debet = kredit","")))</f>
        <v/>
      </c>
    </row>
    <row r="1209" customFormat="false" ht="15" hidden="false" customHeight="false" outlineLevel="0" collapsed="false">
      <c r="A1209" s="82" t="s">
        <v>2435</v>
      </c>
      <c r="B1209" s="101" t="n">
        <v>46280</v>
      </c>
      <c r="C1209" s="82" t="s">
        <v>460</v>
      </c>
      <c r="D1209" s="82" t="s">
        <v>461</v>
      </c>
      <c r="E1209" s="91" t="n">
        <v>1750000</v>
      </c>
      <c r="F1209" s="82" t="s">
        <v>2436</v>
      </c>
      <c r="G1209" s="82" t="s">
        <v>391</v>
      </c>
      <c r="H1209" s="82"/>
      <c r="I1209" s="82" t="s">
        <v>250</v>
      </c>
      <c r="J1209" s="102" t="n">
        <f aca="false">IF(B1209="","",MONTH(B1209))</f>
        <v>9</v>
      </c>
      <c r="K1209" s="102" t="n">
        <f aca="false">IF(B1209="","",YEAR(B1209))</f>
        <v>2026</v>
      </c>
      <c r="L1209" s="102" t="str">
        <f aca="false">IF(N(E1209)=0,"",IF(COUNTIFS(AK_NAMA,C1209,AK_KAT,"KAS")+COUNTIFS(AK_NAMA,D1209,AK_KAT,"KAS")&lt;&gt;1,"",IF(COUNTIFS(AK_NAMA,C1209,AK_KAT,"KAS")=1,D1209,C1209)))</f>
        <v>Biaya Marketing &amp; Promosi</v>
      </c>
      <c r="M1209" s="103" t="n">
        <f aca="false">IF(L1209="",0,IF(L1209=D1209,E1209,-E1209))</f>
        <v>-1750000</v>
      </c>
      <c r="N1209" s="102" t="str">
        <f aca="false">IF(L1209="","",IFERROR(INDEX(AK_BARIS,MATCH(L1209,AK_NAMA,0)),"?"))</f>
        <v>OP6</v>
      </c>
      <c r="O1209" s="102" t="str">
        <f aca="false">IF(C1209="","",IFERROR(INDEX(AK_KEL,MATCH(C1209,AK_NAMA,0)),"?"))</f>
        <v>BEBAN</v>
      </c>
      <c r="P1209" s="102" t="str">
        <f aca="false">IF(D1209="","",IFERROR(INDEX(AK_KEL,MATCH(D1209,AK_NAMA,0)),"?"))</f>
        <v>ASET</v>
      </c>
      <c r="Q1209" s="102" t="n">
        <f aca="false">N(Q1208)+IF(AND(N(E1209)&lt;&gt;0,K1209=TAHUN,N(J1209)&lt;=BLN,OR(C1209=BB_AKUN,D1209=BB_AKUN)),1,0)</f>
        <v>815</v>
      </c>
      <c r="R1209" s="104" t="str">
        <f aca="false">IF(OR(C1209&amp;D1209="",N(E1209)=0),"",IF(OR(O1209="?",P1209="?"),"⚠ akun tidak dikenal",IF(C1209=D1209,"⚠ debet = kredit","")))</f>
        <v/>
      </c>
    </row>
    <row r="1210" customFormat="false" ht="15" hidden="false" customHeight="false" outlineLevel="0" collapsed="false">
      <c r="A1210" s="82" t="s">
        <v>2437</v>
      </c>
      <c r="B1210" s="101" t="n">
        <v>46282</v>
      </c>
      <c r="C1210" s="82" t="s">
        <v>478</v>
      </c>
      <c r="D1210" s="82" t="s">
        <v>461</v>
      </c>
      <c r="E1210" s="91" t="n">
        <v>1500000</v>
      </c>
      <c r="F1210" s="82" t="s">
        <v>2438</v>
      </c>
      <c r="G1210" s="82"/>
      <c r="H1210" s="82"/>
      <c r="I1210" s="82" t="s">
        <v>250</v>
      </c>
      <c r="J1210" s="102" t="n">
        <f aca="false">IF(B1210="","",MONTH(B1210))</f>
        <v>9</v>
      </c>
      <c r="K1210" s="102" t="n">
        <f aca="false">IF(B1210="","",YEAR(B1210))</f>
        <v>2026</v>
      </c>
      <c r="L1210" s="102" t="str">
        <f aca="false">IF(N(E1210)=0,"",IF(COUNTIFS(AK_NAMA,C1210,AK_KAT,"KAS")+COUNTIFS(AK_NAMA,D1210,AK_KAT,"KAS")&lt;&gt;1,"",IF(COUNTIFS(AK_NAMA,C1210,AK_KAT,"KAS")=1,D1210,C1210)))</f>
        <v>Biaya Penyajian</v>
      </c>
      <c r="M1210" s="103" t="n">
        <f aca="false">IF(L1210="",0,IF(L1210=D1210,E1210,-E1210))</f>
        <v>-1500000</v>
      </c>
      <c r="N1210" s="102" t="str">
        <f aca="false">IF(L1210="","",IFERROR(INDEX(AK_BARIS,MATCH(L1210,AK_NAMA,0)),"?"))</f>
        <v>OP3</v>
      </c>
      <c r="O1210" s="102" t="str">
        <f aca="false">IF(C1210="","",IFERROR(INDEX(AK_KEL,MATCH(C1210,AK_NAMA,0)),"?"))</f>
        <v>BEBAN</v>
      </c>
      <c r="P1210" s="102" t="str">
        <f aca="false">IF(D1210="","",IFERROR(INDEX(AK_KEL,MATCH(D1210,AK_NAMA,0)),"?"))</f>
        <v>ASET</v>
      </c>
      <c r="Q1210" s="102" t="n">
        <f aca="false">N(Q1209)+IF(AND(N(E1210)&lt;&gt;0,K1210=TAHUN,N(J1210)&lt;=BLN,OR(C1210=BB_AKUN,D1210=BB_AKUN)),1,0)</f>
        <v>816</v>
      </c>
      <c r="R1210" s="104" t="str">
        <f aca="false">IF(OR(C1210&amp;D1210="",N(E1210)=0),"",IF(OR(O1210="?",P1210="?"),"⚠ akun tidak dikenal",IF(C1210=D1210,"⚠ debet = kredit","")))</f>
        <v/>
      </c>
    </row>
    <row r="1211" customFormat="false" ht="15" hidden="false" customHeight="false" outlineLevel="0" collapsed="false">
      <c r="A1211" s="82" t="s">
        <v>2439</v>
      </c>
      <c r="B1211" s="101" t="n">
        <v>46282</v>
      </c>
      <c r="C1211" s="82" t="s">
        <v>478</v>
      </c>
      <c r="D1211" s="82" t="s">
        <v>461</v>
      </c>
      <c r="E1211" s="91" t="n">
        <v>1500000</v>
      </c>
      <c r="F1211" s="82" t="s">
        <v>2440</v>
      </c>
      <c r="G1211" s="82"/>
      <c r="H1211" s="82"/>
      <c r="I1211" s="82" t="s">
        <v>250</v>
      </c>
      <c r="J1211" s="102" t="n">
        <f aca="false">IF(B1211="","",MONTH(B1211))</f>
        <v>9</v>
      </c>
      <c r="K1211" s="102" t="n">
        <f aca="false">IF(B1211="","",YEAR(B1211))</f>
        <v>2026</v>
      </c>
      <c r="L1211" s="102" t="str">
        <f aca="false">IF(N(E1211)=0,"",IF(COUNTIFS(AK_NAMA,C1211,AK_KAT,"KAS")+COUNTIFS(AK_NAMA,D1211,AK_KAT,"KAS")&lt;&gt;1,"",IF(COUNTIFS(AK_NAMA,C1211,AK_KAT,"KAS")=1,D1211,C1211)))</f>
        <v>Biaya Penyajian</v>
      </c>
      <c r="M1211" s="103" t="n">
        <f aca="false">IF(L1211="",0,IF(L1211=D1211,E1211,-E1211))</f>
        <v>-1500000</v>
      </c>
      <c r="N1211" s="102" t="str">
        <f aca="false">IF(L1211="","",IFERROR(INDEX(AK_BARIS,MATCH(L1211,AK_NAMA,0)),"?"))</f>
        <v>OP3</v>
      </c>
      <c r="O1211" s="102" t="str">
        <f aca="false">IF(C1211="","",IFERROR(INDEX(AK_KEL,MATCH(C1211,AK_NAMA,0)),"?"))</f>
        <v>BEBAN</v>
      </c>
      <c r="P1211" s="102" t="str">
        <f aca="false">IF(D1211="","",IFERROR(INDEX(AK_KEL,MATCH(D1211,AK_NAMA,0)),"?"))</f>
        <v>ASET</v>
      </c>
      <c r="Q1211" s="102" t="n">
        <f aca="false">N(Q1210)+IF(AND(N(E1211)&lt;&gt;0,K1211=TAHUN,N(J1211)&lt;=BLN,OR(C1211=BB_AKUN,D1211=BB_AKUN)),1,0)</f>
        <v>817</v>
      </c>
      <c r="R1211" s="104" t="str">
        <f aca="false">IF(OR(C1211&amp;D1211="",N(E1211)=0),"",IF(OR(O1211="?",P1211="?"),"⚠ akun tidak dikenal",IF(C1211=D1211,"⚠ debet = kredit","")))</f>
        <v/>
      </c>
    </row>
    <row r="1212" customFormat="false" ht="15" hidden="false" customHeight="false" outlineLevel="0" collapsed="false">
      <c r="A1212" s="82" t="s">
        <v>2441</v>
      </c>
      <c r="B1212" s="101" t="n">
        <v>46282</v>
      </c>
      <c r="C1212" s="82" t="s">
        <v>478</v>
      </c>
      <c r="D1212" s="82" t="s">
        <v>461</v>
      </c>
      <c r="E1212" s="91" t="n">
        <v>118200</v>
      </c>
      <c r="F1212" s="82" t="s">
        <v>2442</v>
      </c>
      <c r="G1212" s="82"/>
      <c r="H1212" s="82"/>
      <c r="I1212" s="82" t="s">
        <v>250</v>
      </c>
      <c r="J1212" s="102" t="n">
        <f aca="false">IF(B1212="","",MONTH(B1212))</f>
        <v>9</v>
      </c>
      <c r="K1212" s="102" t="n">
        <f aca="false">IF(B1212="","",YEAR(B1212))</f>
        <v>2026</v>
      </c>
      <c r="L1212" s="102" t="str">
        <f aca="false">IF(N(E1212)=0,"",IF(COUNTIFS(AK_NAMA,C1212,AK_KAT,"KAS")+COUNTIFS(AK_NAMA,D1212,AK_KAT,"KAS")&lt;&gt;1,"",IF(COUNTIFS(AK_NAMA,C1212,AK_KAT,"KAS")=1,D1212,C1212)))</f>
        <v>Biaya Penyajian</v>
      </c>
      <c r="M1212" s="103" t="n">
        <f aca="false">IF(L1212="",0,IF(L1212=D1212,E1212,-E1212))</f>
        <v>-118200</v>
      </c>
      <c r="N1212" s="102" t="str">
        <f aca="false">IF(L1212="","",IFERROR(INDEX(AK_BARIS,MATCH(L1212,AK_NAMA,0)),"?"))</f>
        <v>OP3</v>
      </c>
      <c r="O1212" s="102" t="str">
        <f aca="false">IF(C1212="","",IFERROR(INDEX(AK_KEL,MATCH(C1212,AK_NAMA,0)),"?"))</f>
        <v>BEBAN</v>
      </c>
      <c r="P1212" s="102" t="str">
        <f aca="false">IF(D1212="","",IFERROR(INDEX(AK_KEL,MATCH(D1212,AK_NAMA,0)),"?"))</f>
        <v>ASET</v>
      </c>
      <c r="Q1212" s="102" t="n">
        <f aca="false">N(Q1211)+IF(AND(N(E1212)&lt;&gt;0,K1212=TAHUN,N(J1212)&lt;=BLN,OR(C1212=BB_AKUN,D1212=BB_AKUN)),1,0)</f>
        <v>818</v>
      </c>
      <c r="R1212" s="104" t="str">
        <f aca="false">IF(OR(C1212&amp;D1212="",N(E1212)=0),"",IF(OR(O1212="?",P1212="?"),"⚠ akun tidak dikenal",IF(C1212=D1212,"⚠ debet = kredit","")))</f>
        <v/>
      </c>
    </row>
    <row r="1213" customFormat="false" ht="15" hidden="false" customHeight="false" outlineLevel="0" collapsed="false">
      <c r="A1213" s="82" t="s">
        <v>2443</v>
      </c>
      <c r="B1213" s="101" t="n">
        <v>46283</v>
      </c>
      <c r="C1213" s="82" t="s">
        <v>486</v>
      </c>
      <c r="D1213" s="82" t="s">
        <v>461</v>
      </c>
      <c r="E1213" s="91" t="n">
        <v>5300000</v>
      </c>
      <c r="F1213" s="82" t="s">
        <v>2243</v>
      </c>
      <c r="G1213" s="82"/>
      <c r="H1213" s="82"/>
      <c r="I1213" s="82" t="s">
        <v>250</v>
      </c>
      <c r="J1213" s="102" t="n">
        <f aca="false">IF(B1213="","",MONTH(B1213))</f>
        <v>9</v>
      </c>
      <c r="K1213" s="102" t="n">
        <f aca="false">IF(B1213="","",YEAR(B1213))</f>
        <v>2026</v>
      </c>
      <c r="L1213" s="102" t="str">
        <f aca="false">IF(N(E1213)=0,"",IF(COUNTIFS(AK_NAMA,C1213,AK_KAT,"KAS")+COUNTIFS(AK_NAMA,D1213,AK_KAT,"KAS")&lt;&gt;1,"",IF(COUNTIFS(AK_NAMA,C1213,AK_KAT,"KAS")=1,D1213,C1213)))</f>
        <v/>
      </c>
      <c r="M1213" s="103" t="n">
        <f aca="false">IF(L1213="",0,IF(L1213=D1213,E1213,-E1213))</f>
        <v>0</v>
      </c>
      <c r="N1213" s="102" t="str">
        <f aca="false">IF(L1213="","",IFERROR(INDEX(AK_BARIS,MATCH(L1213,AK_NAMA,0)),"?"))</f>
        <v/>
      </c>
      <c r="O1213" s="102" t="str">
        <f aca="false">IF(C1213="","",IFERROR(INDEX(AK_KEL,MATCH(C1213,AK_NAMA,0)),"?"))</f>
        <v>ASET</v>
      </c>
      <c r="P1213" s="102" t="str">
        <f aca="false">IF(D1213="","",IFERROR(INDEX(AK_KEL,MATCH(D1213,AK_NAMA,0)),"?"))</f>
        <v>ASET</v>
      </c>
      <c r="Q1213" s="102" t="n">
        <f aca="false">N(Q1212)+IF(AND(N(E1213)&lt;&gt;0,K1213=TAHUN,N(J1213)&lt;=BLN,OR(C1213=BB_AKUN,D1213=BB_AKUN)),1,0)</f>
        <v>819</v>
      </c>
      <c r="R1213" s="104" t="str">
        <f aca="false">IF(OR(C1213&amp;D1213="",N(E1213)=0),"",IF(OR(O1213="?",P1213="?"),"⚠ akun tidak dikenal",IF(C1213=D1213,"⚠ debet = kredit","")))</f>
        <v/>
      </c>
    </row>
    <row r="1214" customFormat="false" ht="15" hidden="false" customHeight="false" outlineLevel="0" collapsed="false">
      <c r="A1214" s="82" t="s">
        <v>2444</v>
      </c>
      <c r="B1214" s="101" t="n">
        <v>46283</v>
      </c>
      <c r="C1214" s="82" t="s">
        <v>524</v>
      </c>
      <c r="D1214" s="82" t="s">
        <v>461</v>
      </c>
      <c r="E1214" s="91" t="n">
        <v>325</v>
      </c>
      <c r="F1214" s="82" t="s">
        <v>525</v>
      </c>
      <c r="G1214" s="82"/>
      <c r="H1214" s="82"/>
      <c r="I1214" s="82" t="s">
        <v>250</v>
      </c>
      <c r="J1214" s="102" t="n">
        <f aca="false">IF(B1214="","",MONTH(B1214))</f>
        <v>9</v>
      </c>
      <c r="K1214" s="102" t="n">
        <f aca="false">IF(B1214="","",YEAR(B1214))</f>
        <v>2026</v>
      </c>
      <c r="L1214" s="102" t="str">
        <f aca="false">IF(N(E1214)=0,"",IF(COUNTIFS(AK_NAMA,C1214,AK_KAT,"KAS")+COUNTIFS(AK_NAMA,D1214,AK_KAT,"KAS")&lt;&gt;1,"",IF(COUNTIFS(AK_NAMA,C1214,AK_KAT,"KAS")=1,D1214,C1214)))</f>
        <v>Biaya Lainnya</v>
      </c>
      <c r="M1214" s="103" t="n">
        <f aca="false">IF(L1214="",0,IF(L1214=D1214,E1214,-E1214))</f>
        <v>-325</v>
      </c>
      <c r="N1214" s="102" t="str">
        <f aca="false">IF(L1214="","",IFERROR(INDEX(AK_BARIS,MATCH(L1214,AK_NAMA,0)),"?"))</f>
        <v>OP2</v>
      </c>
      <c r="O1214" s="102" t="str">
        <f aca="false">IF(C1214="","",IFERROR(INDEX(AK_KEL,MATCH(C1214,AK_NAMA,0)),"?"))</f>
        <v>BEBAN</v>
      </c>
      <c r="P1214" s="102" t="str">
        <f aca="false">IF(D1214="","",IFERROR(INDEX(AK_KEL,MATCH(D1214,AK_NAMA,0)),"?"))</f>
        <v>ASET</v>
      </c>
      <c r="Q1214" s="102" t="n">
        <f aca="false">N(Q1213)+IF(AND(N(E1214)&lt;&gt;0,K1214=TAHUN,N(J1214)&lt;=BLN,OR(C1214=BB_AKUN,D1214=BB_AKUN)),1,0)</f>
        <v>820</v>
      </c>
      <c r="R1214" s="104" t="str">
        <f aca="false">IF(OR(C1214&amp;D1214="",N(E1214)=0),"",IF(OR(O1214="?",P1214="?"),"⚠ akun tidak dikenal",IF(C1214=D1214,"⚠ debet = kredit","")))</f>
        <v/>
      </c>
    </row>
    <row r="1215" customFormat="false" ht="15" hidden="false" customHeight="false" outlineLevel="0" collapsed="false">
      <c r="A1215" s="82" t="s">
        <v>2445</v>
      </c>
      <c r="B1215" s="101" t="n">
        <v>46283</v>
      </c>
      <c r="C1215" s="82" t="s">
        <v>470</v>
      </c>
      <c r="D1215" s="82" t="s">
        <v>461</v>
      </c>
      <c r="E1215" s="91" t="n">
        <v>266000</v>
      </c>
      <c r="F1215" s="82" t="s">
        <v>1729</v>
      </c>
      <c r="G1215" s="82"/>
      <c r="H1215" s="82"/>
      <c r="I1215" s="82" t="s">
        <v>250</v>
      </c>
      <c r="J1215" s="102" t="n">
        <f aca="false">IF(B1215="","",MONTH(B1215))</f>
        <v>9</v>
      </c>
      <c r="K1215" s="102" t="n">
        <f aca="false">IF(B1215="","",YEAR(B1215))</f>
        <v>2026</v>
      </c>
      <c r="L1215" s="102" t="str">
        <f aca="false">IF(N(E1215)=0,"",IF(COUNTIFS(AK_NAMA,C1215,AK_KAT,"KAS")+COUNTIFS(AK_NAMA,D1215,AK_KAT,"KAS")&lt;&gt;1,"",IF(COUNTIFS(AK_NAMA,C1215,AK_KAT,"KAS")=1,D1215,C1215)))</f>
        <v>Biaya Bahan Baku</v>
      </c>
      <c r="M1215" s="103" t="n">
        <f aca="false">IF(L1215="",0,IF(L1215=D1215,E1215,-E1215))</f>
        <v>-266000</v>
      </c>
      <c r="N1215" s="102" t="str">
        <f aca="false">IF(L1215="","",IFERROR(INDEX(AK_BARIS,MATCH(L1215,AK_NAMA,0)),"?"))</f>
        <v>OP3</v>
      </c>
      <c r="O1215" s="102" t="str">
        <f aca="false">IF(C1215="","",IFERROR(INDEX(AK_KEL,MATCH(C1215,AK_NAMA,0)),"?"))</f>
        <v>BEBAN</v>
      </c>
      <c r="P1215" s="102" t="str">
        <f aca="false">IF(D1215="","",IFERROR(INDEX(AK_KEL,MATCH(D1215,AK_NAMA,0)),"?"))</f>
        <v>ASET</v>
      </c>
      <c r="Q1215" s="102" t="n">
        <f aca="false">N(Q1214)+IF(AND(N(E1215)&lt;&gt;0,K1215=TAHUN,N(J1215)&lt;=BLN,OR(C1215=BB_AKUN,D1215=BB_AKUN)),1,0)</f>
        <v>821</v>
      </c>
      <c r="R1215" s="104" t="str">
        <f aca="false">IF(OR(C1215&amp;D1215="",N(E1215)=0),"",IF(OR(O1215="?",P1215="?"),"⚠ akun tidak dikenal",IF(C1215=D1215,"⚠ debet = kredit","")))</f>
        <v/>
      </c>
    </row>
    <row r="1216" customFormat="false" ht="15" hidden="false" customHeight="false" outlineLevel="0" collapsed="false">
      <c r="A1216" s="82" t="s">
        <v>2446</v>
      </c>
      <c r="B1216" s="101" t="n">
        <v>46284</v>
      </c>
      <c r="C1216" s="82" t="s">
        <v>486</v>
      </c>
      <c r="D1216" s="82" t="s">
        <v>475</v>
      </c>
      <c r="E1216" s="91" t="n">
        <v>700000</v>
      </c>
      <c r="F1216" s="82" t="s">
        <v>2447</v>
      </c>
      <c r="G1216" s="82"/>
      <c r="H1216" s="82"/>
      <c r="I1216" s="82" t="s">
        <v>250</v>
      </c>
      <c r="J1216" s="102" t="n">
        <f aca="false">IF(B1216="","",MONTH(B1216))</f>
        <v>9</v>
      </c>
      <c r="K1216" s="102" t="n">
        <f aca="false">IF(B1216="","",YEAR(B1216))</f>
        <v>2026</v>
      </c>
      <c r="L1216" s="102" t="str">
        <f aca="false">IF(N(E1216)=0,"",IF(COUNTIFS(AK_NAMA,C1216,AK_KAT,"KAS")+COUNTIFS(AK_NAMA,D1216,AK_KAT,"KAS")&lt;&gt;1,"",IF(COUNTIFS(AK_NAMA,C1216,AK_KAT,"KAS")=1,D1216,C1216)))</f>
        <v/>
      </c>
      <c r="M1216" s="103" t="n">
        <f aca="false">IF(L1216="",0,IF(L1216=D1216,E1216,-E1216))</f>
        <v>0</v>
      </c>
      <c r="N1216" s="102" t="str">
        <f aca="false">IF(L1216="","",IFERROR(INDEX(AK_BARIS,MATCH(L1216,AK_NAMA,0)),"?"))</f>
        <v/>
      </c>
      <c r="O1216" s="102" t="str">
        <f aca="false">IF(C1216="","",IFERROR(INDEX(AK_KEL,MATCH(C1216,AK_NAMA,0)),"?"))</f>
        <v>ASET</v>
      </c>
      <c r="P1216" s="102" t="str">
        <f aca="false">IF(D1216="","",IFERROR(INDEX(AK_KEL,MATCH(D1216,AK_NAMA,0)),"?"))</f>
        <v>ASET</v>
      </c>
      <c r="Q1216" s="102" t="n">
        <f aca="false">N(Q1215)+IF(AND(N(E1216)&lt;&gt;0,K1216=TAHUN,N(J1216)&lt;=BLN,OR(C1216=BB_AKUN,D1216=BB_AKUN)),1,0)</f>
        <v>821</v>
      </c>
      <c r="R1216" s="104" t="str">
        <f aca="false">IF(OR(C1216&amp;D1216="",N(E1216)=0),"",IF(OR(O1216="?",P1216="?"),"⚠ akun tidak dikenal",IF(C1216=D1216,"⚠ debet = kredit","")))</f>
        <v/>
      </c>
    </row>
    <row r="1217" customFormat="false" ht="15" hidden="false" customHeight="false" outlineLevel="0" collapsed="false">
      <c r="A1217" s="82" t="s">
        <v>2448</v>
      </c>
      <c r="B1217" s="101" t="n">
        <v>46284</v>
      </c>
      <c r="C1217" s="82" t="s">
        <v>470</v>
      </c>
      <c r="D1217" s="82" t="s">
        <v>461</v>
      </c>
      <c r="E1217" s="91" t="n">
        <v>1757000</v>
      </c>
      <c r="F1217" s="82" t="s">
        <v>1950</v>
      </c>
      <c r="G1217" s="82"/>
      <c r="H1217" s="82"/>
      <c r="I1217" s="82" t="s">
        <v>250</v>
      </c>
      <c r="J1217" s="102" t="n">
        <f aca="false">IF(B1217="","",MONTH(B1217))</f>
        <v>9</v>
      </c>
      <c r="K1217" s="102" t="n">
        <f aca="false">IF(B1217="","",YEAR(B1217))</f>
        <v>2026</v>
      </c>
      <c r="L1217" s="102" t="str">
        <f aca="false">IF(N(E1217)=0,"",IF(COUNTIFS(AK_NAMA,C1217,AK_KAT,"KAS")+COUNTIFS(AK_NAMA,D1217,AK_KAT,"KAS")&lt;&gt;1,"",IF(COUNTIFS(AK_NAMA,C1217,AK_KAT,"KAS")=1,D1217,C1217)))</f>
        <v>Biaya Bahan Baku</v>
      </c>
      <c r="M1217" s="103" t="n">
        <f aca="false">IF(L1217="",0,IF(L1217=D1217,E1217,-E1217))</f>
        <v>-1757000</v>
      </c>
      <c r="N1217" s="102" t="str">
        <f aca="false">IF(L1217="","",IFERROR(INDEX(AK_BARIS,MATCH(L1217,AK_NAMA,0)),"?"))</f>
        <v>OP3</v>
      </c>
      <c r="O1217" s="102" t="str">
        <f aca="false">IF(C1217="","",IFERROR(INDEX(AK_KEL,MATCH(C1217,AK_NAMA,0)),"?"))</f>
        <v>BEBAN</v>
      </c>
      <c r="P1217" s="102" t="str">
        <f aca="false">IF(D1217="","",IFERROR(INDEX(AK_KEL,MATCH(D1217,AK_NAMA,0)),"?"))</f>
        <v>ASET</v>
      </c>
      <c r="Q1217" s="102" t="n">
        <f aca="false">N(Q1216)+IF(AND(N(E1217)&lt;&gt;0,K1217=TAHUN,N(J1217)&lt;=BLN,OR(C1217=BB_AKUN,D1217=BB_AKUN)),1,0)</f>
        <v>822</v>
      </c>
      <c r="R1217" s="104" t="str">
        <f aca="false">IF(OR(C1217&amp;D1217="",N(E1217)=0),"",IF(OR(O1217="?",P1217="?"),"⚠ akun tidak dikenal",IF(C1217=D1217,"⚠ debet = kredit","")))</f>
        <v/>
      </c>
    </row>
    <row r="1218" customFormat="false" ht="15" hidden="false" customHeight="false" outlineLevel="0" collapsed="false">
      <c r="A1218" s="82" t="s">
        <v>2449</v>
      </c>
      <c r="B1218" s="101" t="n">
        <v>46284</v>
      </c>
      <c r="C1218" s="82" t="s">
        <v>470</v>
      </c>
      <c r="D1218" s="82" t="s">
        <v>461</v>
      </c>
      <c r="E1218" s="91" t="n">
        <v>897000</v>
      </c>
      <c r="F1218" s="82" t="s">
        <v>2450</v>
      </c>
      <c r="G1218" s="82"/>
      <c r="H1218" s="82"/>
      <c r="I1218" s="82" t="s">
        <v>250</v>
      </c>
      <c r="J1218" s="102" t="n">
        <f aca="false">IF(B1218="","",MONTH(B1218))</f>
        <v>9</v>
      </c>
      <c r="K1218" s="102" t="n">
        <f aca="false">IF(B1218="","",YEAR(B1218))</f>
        <v>2026</v>
      </c>
      <c r="L1218" s="102" t="str">
        <f aca="false">IF(N(E1218)=0,"",IF(COUNTIFS(AK_NAMA,C1218,AK_KAT,"KAS")+COUNTIFS(AK_NAMA,D1218,AK_KAT,"KAS")&lt;&gt;1,"",IF(COUNTIFS(AK_NAMA,C1218,AK_KAT,"KAS")=1,D1218,C1218)))</f>
        <v>Biaya Bahan Baku</v>
      </c>
      <c r="M1218" s="103" t="n">
        <f aca="false">IF(L1218="",0,IF(L1218=D1218,E1218,-E1218))</f>
        <v>-897000</v>
      </c>
      <c r="N1218" s="102" t="str">
        <f aca="false">IF(L1218="","",IFERROR(INDEX(AK_BARIS,MATCH(L1218,AK_NAMA,0)),"?"))</f>
        <v>OP3</v>
      </c>
      <c r="O1218" s="102" t="str">
        <f aca="false">IF(C1218="","",IFERROR(INDEX(AK_KEL,MATCH(C1218,AK_NAMA,0)),"?"))</f>
        <v>BEBAN</v>
      </c>
      <c r="P1218" s="102" t="str">
        <f aca="false">IF(D1218="","",IFERROR(INDEX(AK_KEL,MATCH(D1218,AK_NAMA,0)),"?"))</f>
        <v>ASET</v>
      </c>
      <c r="Q1218" s="102" t="n">
        <f aca="false">N(Q1217)+IF(AND(N(E1218)&lt;&gt;0,K1218=TAHUN,N(J1218)&lt;=BLN,OR(C1218=BB_AKUN,D1218=BB_AKUN)),1,0)</f>
        <v>823</v>
      </c>
      <c r="R1218" s="104" t="str">
        <f aca="false">IF(OR(C1218&amp;D1218="",N(E1218)=0),"",IF(OR(O1218="?",P1218="?"),"⚠ akun tidak dikenal",IF(C1218=D1218,"⚠ debet = kredit","")))</f>
        <v/>
      </c>
    </row>
    <row r="1219" customFormat="false" ht="15" hidden="false" customHeight="false" outlineLevel="0" collapsed="false">
      <c r="A1219" s="82" t="s">
        <v>2451</v>
      </c>
      <c r="B1219" s="101" t="n">
        <v>46284</v>
      </c>
      <c r="C1219" s="82" t="s">
        <v>478</v>
      </c>
      <c r="D1219" s="82" t="s">
        <v>461</v>
      </c>
      <c r="E1219" s="91" t="n">
        <v>380000</v>
      </c>
      <c r="F1219" s="82" t="s">
        <v>2452</v>
      </c>
      <c r="G1219" s="82"/>
      <c r="H1219" s="82"/>
      <c r="I1219" s="82" t="s">
        <v>250</v>
      </c>
      <c r="J1219" s="102" t="n">
        <f aca="false">IF(B1219="","",MONTH(B1219))</f>
        <v>9</v>
      </c>
      <c r="K1219" s="102" t="n">
        <f aca="false">IF(B1219="","",YEAR(B1219))</f>
        <v>2026</v>
      </c>
      <c r="L1219" s="102" t="str">
        <f aca="false">IF(N(E1219)=0,"",IF(COUNTIFS(AK_NAMA,C1219,AK_KAT,"KAS")+COUNTIFS(AK_NAMA,D1219,AK_KAT,"KAS")&lt;&gt;1,"",IF(COUNTIFS(AK_NAMA,C1219,AK_KAT,"KAS")=1,D1219,C1219)))</f>
        <v>Biaya Penyajian</v>
      </c>
      <c r="M1219" s="103" t="n">
        <f aca="false">IF(L1219="",0,IF(L1219=D1219,E1219,-E1219))</f>
        <v>-380000</v>
      </c>
      <c r="N1219" s="102" t="str">
        <f aca="false">IF(L1219="","",IFERROR(INDEX(AK_BARIS,MATCH(L1219,AK_NAMA,0)),"?"))</f>
        <v>OP3</v>
      </c>
      <c r="O1219" s="102" t="str">
        <f aca="false">IF(C1219="","",IFERROR(INDEX(AK_KEL,MATCH(C1219,AK_NAMA,0)),"?"))</f>
        <v>BEBAN</v>
      </c>
      <c r="P1219" s="102" t="str">
        <f aca="false">IF(D1219="","",IFERROR(INDEX(AK_KEL,MATCH(D1219,AK_NAMA,0)),"?"))</f>
        <v>ASET</v>
      </c>
      <c r="Q1219" s="102" t="n">
        <f aca="false">N(Q1218)+IF(AND(N(E1219)&lt;&gt;0,K1219=TAHUN,N(J1219)&lt;=BLN,OR(C1219=BB_AKUN,D1219=BB_AKUN)),1,0)</f>
        <v>824</v>
      </c>
      <c r="R1219" s="104" t="str">
        <f aca="false">IF(OR(C1219&amp;D1219="",N(E1219)=0),"",IF(OR(O1219="?",P1219="?"),"⚠ akun tidak dikenal",IF(C1219=D1219,"⚠ debet = kredit","")))</f>
        <v/>
      </c>
    </row>
    <row r="1220" customFormat="false" ht="15" hidden="false" customHeight="false" outlineLevel="0" collapsed="false">
      <c r="A1220" s="82" t="s">
        <v>2453</v>
      </c>
      <c r="B1220" s="101" t="n">
        <v>46285</v>
      </c>
      <c r="C1220" s="82" t="s">
        <v>548</v>
      </c>
      <c r="D1220" s="82" t="s">
        <v>461</v>
      </c>
      <c r="E1220" s="91" t="n">
        <v>235600</v>
      </c>
      <c r="F1220" s="82" t="s">
        <v>2454</v>
      </c>
      <c r="G1220" s="82"/>
      <c r="H1220" s="82"/>
      <c r="I1220" s="82" t="s">
        <v>250</v>
      </c>
      <c r="J1220" s="102" t="n">
        <f aca="false">IF(B1220="","",MONTH(B1220))</f>
        <v>9</v>
      </c>
      <c r="K1220" s="102" t="n">
        <f aca="false">IF(B1220="","",YEAR(B1220))</f>
        <v>2026</v>
      </c>
      <c r="L1220" s="102" t="str">
        <f aca="false">IF(N(E1220)=0,"",IF(COUNTIFS(AK_NAMA,C1220,AK_KAT,"KAS")+COUNTIFS(AK_NAMA,D1220,AK_KAT,"KAS")&lt;&gt;1,"",IF(COUNTIFS(AK_NAMA,C1220,AK_KAT,"KAS")=1,D1220,C1220)))</f>
        <v>Beban Perlengkapan</v>
      </c>
      <c r="M1220" s="103" t="n">
        <f aca="false">IF(L1220="",0,IF(L1220=D1220,E1220,-E1220))</f>
        <v>-235600</v>
      </c>
      <c r="N1220" s="102" t="str">
        <f aca="false">IF(L1220="","",IFERROR(INDEX(AK_BARIS,MATCH(L1220,AK_NAMA,0)),"?"))</f>
        <v>OP6</v>
      </c>
      <c r="O1220" s="102" t="str">
        <f aca="false">IF(C1220="","",IFERROR(INDEX(AK_KEL,MATCH(C1220,AK_NAMA,0)),"?"))</f>
        <v>BEBAN</v>
      </c>
      <c r="P1220" s="102" t="str">
        <f aca="false">IF(D1220="","",IFERROR(INDEX(AK_KEL,MATCH(D1220,AK_NAMA,0)),"?"))</f>
        <v>ASET</v>
      </c>
      <c r="Q1220" s="102" t="n">
        <f aca="false">N(Q1219)+IF(AND(N(E1220)&lt;&gt;0,K1220=TAHUN,N(J1220)&lt;=BLN,OR(C1220=BB_AKUN,D1220=BB_AKUN)),1,0)</f>
        <v>825</v>
      </c>
      <c r="R1220" s="104" t="str">
        <f aca="false">IF(OR(C1220&amp;D1220="",N(E1220)=0),"",IF(OR(O1220="?",P1220="?"),"⚠ akun tidak dikenal",IF(C1220=D1220,"⚠ debet = kredit","")))</f>
        <v/>
      </c>
    </row>
    <row r="1221" customFormat="false" ht="15" hidden="false" customHeight="false" outlineLevel="0" collapsed="false">
      <c r="A1221" s="82" t="s">
        <v>2455</v>
      </c>
      <c r="B1221" s="101" t="n">
        <v>46285</v>
      </c>
      <c r="C1221" s="82" t="s">
        <v>524</v>
      </c>
      <c r="D1221" s="82" t="s">
        <v>461</v>
      </c>
      <c r="E1221" s="91" t="n">
        <v>2000</v>
      </c>
      <c r="F1221" s="82" t="s">
        <v>2456</v>
      </c>
      <c r="G1221" s="82"/>
      <c r="H1221" s="82"/>
      <c r="I1221" s="82" t="s">
        <v>250</v>
      </c>
      <c r="J1221" s="102" t="n">
        <f aca="false">IF(B1221="","",MONTH(B1221))</f>
        <v>9</v>
      </c>
      <c r="K1221" s="102" t="n">
        <f aca="false">IF(B1221="","",YEAR(B1221))</f>
        <v>2026</v>
      </c>
      <c r="L1221" s="102" t="str">
        <f aca="false">IF(N(E1221)=0,"",IF(COUNTIFS(AK_NAMA,C1221,AK_KAT,"KAS")+COUNTIFS(AK_NAMA,D1221,AK_KAT,"KAS")&lt;&gt;1,"",IF(COUNTIFS(AK_NAMA,C1221,AK_KAT,"KAS")=1,D1221,C1221)))</f>
        <v>Biaya Lainnya</v>
      </c>
      <c r="M1221" s="103" t="n">
        <f aca="false">IF(L1221="",0,IF(L1221=D1221,E1221,-E1221))</f>
        <v>-2000</v>
      </c>
      <c r="N1221" s="102" t="str">
        <f aca="false">IF(L1221="","",IFERROR(INDEX(AK_BARIS,MATCH(L1221,AK_NAMA,0)),"?"))</f>
        <v>OP2</v>
      </c>
      <c r="O1221" s="102" t="str">
        <f aca="false">IF(C1221="","",IFERROR(INDEX(AK_KEL,MATCH(C1221,AK_NAMA,0)),"?"))</f>
        <v>BEBAN</v>
      </c>
      <c r="P1221" s="102" t="str">
        <f aca="false">IF(D1221="","",IFERROR(INDEX(AK_KEL,MATCH(D1221,AK_NAMA,0)),"?"))</f>
        <v>ASET</v>
      </c>
      <c r="Q1221" s="102" t="n">
        <f aca="false">N(Q1220)+IF(AND(N(E1221)&lt;&gt;0,K1221=TAHUN,N(J1221)&lt;=BLN,OR(C1221=BB_AKUN,D1221=BB_AKUN)),1,0)</f>
        <v>826</v>
      </c>
      <c r="R1221" s="104" t="str">
        <f aca="false">IF(OR(C1221&amp;D1221="",N(E1221)=0),"",IF(OR(O1221="?",P1221="?"),"⚠ akun tidak dikenal",IF(C1221=D1221,"⚠ debet = kredit","")))</f>
        <v/>
      </c>
    </row>
    <row r="1222" customFormat="false" ht="15" hidden="false" customHeight="false" outlineLevel="0" collapsed="false">
      <c r="A1222" s="82" t="s">
        <v>2457</v>
      </c>
      <c r="B1222" s="101" t="n">
        <v>46285</v>
      </c>
      <c r="C1222" s="82" t="s">
        <v>475</v>
      </c>
      <c r="D1222" s="82" t="s">
        <v>461</v>
      </c>
      <c r="E1222" s="91" t="n">
        <v>68400</v>
      </c>
      <c r="F1222" s="82" t="s">
        <v>2458</v>
      </c>
      <c r="G1222" s="82"/>
      <c r="H1222" s="82"/>
      <c r="I1222" s="82" t="s">
        <v>250</v>
      </c>
      <c r="J1222" s="102" t="n">
        <f aca="false">IF(B1222="","",MONTH(B1222))</f>
        <v>9</v>
      </c>
      <c r="K1222" s="102" t="n">
        <f aca="false">IF(B1222="","",YEAR(B1222))</f>
        <v>2026</v>
      </c>
      <c r="L1222" s="102" t="str">
        <f aca="false">IF(N(E1222)=0,"",IF(COUNTIFS(AK_NAMA,C1222,AK_KAT,"KAS")+COUNTIFS(AK_NAMA,D1222,AK_KAT,"KAS")&lt;&gt;1,"",IF(COUNTIFS(AK_NAMA,C1222,AK_KAT,"KAS")=1,D1222,C1222)))</f>
        <v/>
      </c>
      <c r="M1222" s="103" t="n">
        <f aca="false">IF(L1222="",0,IF(L1222=D1222,E1222,-E1222))</f>
        <v>0</v>
      </c>
      <c r="N1222" s="102" t="str">
        <f aca="false">IF(L1222="","",IFERROR(INDEX(AK_BARIS,MATCH(L1222,AK_NAMA,0)),"?"))</f>
        <v/>
      </c>
      <c r="O1222" s="102" t="str">
        <f aca="false">IF(C1222="","",IFERROR(INDEX(AK_KEL,MATCH(C1222,AK_NAMA,0)),"?"))</f>
        <v>ASET</v>
      </c>
      <c r="P1222" s="102" t="str">
        <f aca="false">IF(D1222="","",IFERROR(INDEX(AK_KEL,MATCH(D1222,AK_NAMA,0)),"?"))</f>
        <v>ASET</v>
      </c>
      <c r="Q1222" s="102" t="n">
        <f aca="false">N(Q1221)+IF(AND(N(E1222)&lt;&gt;0,K1222=TAHUN,N(J1222)&lt;=BLN,OR(C1222=BB_AKUN,D1222=BB_AKUN)),1,0)</f>
        <v>827</v>
      </c>
      <c r="R1222" s="104" t="str">
        <f aca="false">IF(OR(C1222&amp;D1222="",N(E1222)=0),"",IF(OR(O1222="?",P1222="?"),"⚠ akun tidak dikenal",IF(C1222=D1222,"⚠ debet = kredit","")))</f>
        <v/>
      </c>
    </row>
    <row r="1223" customFormat="false" ht="15" hidden="false" customHeight="false" outlineLevel="0" collapsed="false">
      <c r="A1223" s="82" t="s">
        <v>2459</v>
      </c>
      <c r="B1223" s="101" t="n">
        <v>46285</v>
      </c>
      <c r="C1223" s="82" t="s">
        <v>475</v>
      </c>
      <c r="D1223" s="82" t="s">
        <v>461</v>
      </c>
      <c r="E1223" s="91" t="n">
        <v>122000</v>
      </c>
      <c r="F1223" s="82" t="s">
        <v>2458</v>
      </c>
      <c r="G1223" s="82"/>
      <c r="H1223" s="82"/>
      <c r="I1223" s="82" t="s">
        <v>250</v>
      </c>
      <c r="J1223" s="102" t="n">
        <f aca="false">IF(B1223="","",MONTH(B1223))</f>
        <v>9</v>
      </c>
      <c r="K1223" s="102" t="n">
        <f aca="false">IF(B1223="","",YEAR(B1223))</f>
        <v>2026</v>
      </c>
      <c r="L1223" s="102" t="str">
        <f aca="false">IF(N(E1223)=0,"",IF(COUNTIFS(AK_NAMA,C1223,AK_KAT,"KAS")+COUNTIFS(AK_NAMA,D1223,AK_KAT,"KAS")&lt;&gt;1,"",IF(COUNTIFS(AK_NAMA,C1223,AK_KAT,"KAS")=1,D1223,C1223)))</f>
        <v/>
      </c>
      <c r="M1223" s="103" t="n">
        <f aca="false">IF(L1223="",0,IF(L1223=D1223,E1223,-E1223))</f>
        <v>0</v>
      </c>
      <c r="N1223" s="102" t="str">
        <f aca="false">IF(L1223="","",IFERROR(INDEX(AK_BARIS,MATCH(L1223,AK_NAMA,0)),"?"))</f>
        <v/>
      </c>
      <c r="O1223" s="102" t="str">
        <f aca="false">IF(C1223="","",IFERROR(INDEX(AK_KEL,MATCH(C1223,AK_NAMA,0)),"?"))</f>
        <v>ASET</v>
      </c>
      <c r="P1223" s="102" t="str">
        <f aca="false">IF(D1223="","",IFERROR(INDEX(AK_KEL,MATCH(D1223,AK_NAMA,0)),"?"))</f>
        <v>ASET</v>
      </c>
      <c r="Q1223" s="102" t="n">
        <f aca="false">N(Q1222)+IF(AND(N(E1223)&lt;&gt;0,K1223=TAHUN,N(J1223)&lt;=BLN,OR(C1223=BB_AKUN,D1223=BB_AKUN)),1,0)</f>
        <v>828</v>
      </c>
      <c r="R1223" s="104" t="str">
        <f aca="false">IF(OR(C1223&amp;D1223="",N(E1223)=0),"",IF(OR(O1223="?",P1223="?"),"⚠ akun tidak dikenal",IF(C1223=D1223,"⚠ debet = kredit","")))</f>
        <v/>
      </c>
    </row>
    <row r="1224" customFormat="false" ht="15" hidden="false" customHeight="false" outlineLevel="0" collapsed="false">
      <c r="A1224" s="82" t="s">
        <v>2460</v>
      </c>
      <c r="B1224" s="101" t="n">
        <v>46285</v>
      </c>
      <c r="C1224" s="82" t="s">
        <v>486</v>
      </c>
      <c r="D1224" s="82" t="s">
        <v>461</v>
      </c>
      <c r="E1224" s="91" t="n">
        <v>500000</v>
      </c>
      <c r="F1224" s="82" t="s">
        <v>2461</v>
      </c>
      <c r="G1224" s="82"/>
      <c r="H1224" s="82"/>
      <c r="I1224" s="82" t="s">
        <v>250</v>
      </c>
      <c r="J1224" s="102" t="n">
        <f aca="false">IF(B1224="","",MONTH(B1224))</f>
        <v>9</v>
      </c>
      <c r="K1224" s="102" t="n">
        <f aca="false">IF(B1224="","",YEAR(B1224))</f>
        <v>2026</v>
      </c>
      <c r="L1224" s="102" t="str">
        <f aca="false">IF(N(E1224)=0,"",IF(COUNTIFS(AK_NAMA,C1224,AK_KAT,"KAS")+COUNTIFS(AK_NAMA,D1224,AK_KAT,"KAS")&lt;&gt;1,"",IF(COUNTIFS(AK_NAMA,C1224,AK_KAT,"KAS")=1,D1224,C1224)))</f>
        <v/>
      </c>
      <c r="M1224" s="103" t="n">
        <f aca="false">IF(L1224="",0,IF(L1224=D1224,E1224,-E1224))</f>
        <v>0</v>
      </c>
      <c r="N1224" s="102" t="str">
        <f aca="false">IF(L1224="","",IFERROR(INDEX(AK_BARIS,MATCH(L1224,AK_NAMA,0)),"?"))</f>
        <v/>
      </c>
      <c r="O1224" s="102" t="str">
        <f aca="false">IF(C1224="","",IFERROR(INDEX(AK_KEL,MATCH(C1224,AK_NAMA,0)),"?"))</f>
        <v>ASET</v>
      </c>
      <c r="P1224" s="102" t="str">
        <f aca="false">IF(D1224="","",IFERROR(INDEX(AK_KEL,MATCH(D1224,AK_NAMA,0)),"?"))</f>
        <v>ASET</v>
      </c>
      <c r="Q1224" s="102" t="n">
        <f aca="false">N(Q1223)+IF(AND(N(E1224)&lt;&gt;0,K1224=TAHUN,N(J1224)&lt;=BLN,OR(C1224=BB_AKUN,D1224=BB_AKUN)),1,0)</f>
        <v>829</v>
      </c>
      <c r="R1224" s="104" t="str">
        <f aca="false">IF(OR(C1224&amp;D1224="",N(E1224)=0),"",IF(OR(O1224="?",P1224="?"),"⚠ akun tidak dikenal",IF(C1224=D1224,"⚠ debet = kredit","")))</f>
        <v/>
      </c>
    </row>
    <row r="1225" customFormat="false" ht="15" hidden="false" customHeight="false" outlineLevel="0" collapsed="false">
      <c r="A1225" s="82" t="s">
        <v>2462</v>
      </c>
      <c r="B1225" s="101" t="n">
        <v>46285</v>
      </c>
      <c r="C1225" s="82" t="s">
        <v>524</v>
      </c>
      <c r="D1225" s="82" t="s">
        <v>461</v>
      </c>
      <c r="E1225" s="91" t="n">
        <v>316</v>
      </c>
      <c r="F1225" s="82" t="s">
        <v>525</v>
      </c>
      <c r="G1225" s="82"/>
      <c r="H1225" s="82"/>
      <c r="I1225" s="82" t="s">
        <v>250</v>
      </c>
      <c r="J1225" s="102" t="n">
        <f aca="false">IF(B1225="","",MONTH(B1225))</f>
        <v>9</v>
      </c>
      <c r="K1225" s="102" t="n">
        <f aca="false">IF(B1225="","",YEAR(B1225))</f>
        <v>2026</v>
      </c>
      <c r="L1225" s="102" t="str">
        <f aca="false">IF(N(E1225)=0,"",IF(COUNTIFS(AK_NAMA,C1225,AK_KAT,"KAS")+COUNTIFS(AK_NAMA,D1225,AK_KAT,"KAS")&lt;&gt;1,"",IF(COUNTIFS(AK_NAMA,C1225,AK_KAT,"KAS")=1,D1225,C1225)))</f>
        <v>Biaya Lainnya</v>
      </c>
      <c r="M1225" s="103" t="n">
        <f aca="false">IF(L1225="",0,IF(L1225=D1225,E1225,-E1225))</f>
        <v>-316</v>
      </c>
      <c r="N1225" s="102" t="str">
        <f aca="false">IF(L1225="","",IFERROR(INDEX(AK_BARIS,MATCH(L1225,AK_NAMA,0)),"?"))</f>
        <v>OP2</v>
      </c>
      <c r="O1225" s="102" t="str">
        <f aca="false">IF(C1225="","",IFERROR(INDEX(AK_KEL,MATCH(C1225,AK_NAMA,0)),"?"))</f>
        <v>BEBAN</v>
      </c>
      <c r="P1225" s="102" t="str">
        <f aca="false">IF(D1225="","",IFERROR(INDEX(AK_KEL,MATCH(D1225,AK_NAMA,0)),"?"))</f>
        <v>ASET</v>
      </c>
      <c r="Q1225" s="102" t="n">
        <f aca="false">N(Q1224)+IF(AND(N(E1225)&lt;&gt;0,K1225=TAHUN,N(J1225)&lt;=BLN,OR(C1225=BB_AKUN,D1225=BB_AKUN)),1,0)</f>
        <v>830</v>
      </c>
      <c r="R1225" s="104" t="str">
        <f aca="false">IF(OR(C1225&amp;D1225="",N(E1225)=0),"",IF(OR(O1225="?",P1225="?"),"⚠ akun tidak dikenal",IF(C1225=D1225,"⚠ debet = kredit","")))</f>
        <v/>
      </c>
    </row>
    <row r="1226" customFormat="false" ht="15" hidden="false" customHeight="false" outlineLevel="0" collapsed="false">
      <c r="A1226" s="82" t="s">
        <v>2463</v>
      </c>
      <c r="B1226" s="101" t="n">
        <v>46285</v>
      </c>
      <c r="C1226" s="82" t="s">
        <v>669</v>
      </c>
      <c r="D1226" s="82" t="s">
        <v>461</v>
      </c>
      <c r="E1226" s="91" t="n">
        <v>287490</v>
      </c>
      <c r="F1226" s="82" t="s">
        <v>670</v>
      </c>
      <c r="G1226" s="82"/>
      <c r="H1226" s="82"/>
      <c r="I1226" s="82" t="s">
        <v>250</v>
      </c>
      <c r="J1226" s="102" t="n">
        <f aca="false">IF(B1226="","",MONTH(B1226))</f>
        <v>9</v>
      </c>
      <c r="K1226" s="102" t="n">
        <f aca="false">IF(B1226="","",YEAR(B1226))</f>
        <v>2026</v>
      </c>
      <c r="L1226" s="102" t="str">
        <f aca="false">IF(N(E1226)=0,"",IF(COUNTIFS(AK_NAMA,C1226,AK_KAT,"KAS")+COUNTIFS(AK_NAMA,D1226,AK_KAT,"KAS")&lt;&gt;1,"",IF(COUNTIFS(AK_NAMA,C1226,AK_KAT,"KAS")=1,D1226,C1226)))</f>
        <v>Biaya Tagihan Bulanan</v>
      </c>
      <c r="M1226" s="103" t="n">
        <f aca="false">IF(L1226="",0,IF(L1226=D1226,E1226,-E1226))</f>
        <v>-287490</v>
      </c>
      <c r="N1226" s="102" t="str">
        <f aca="false">IF(L1226="","",IFERROR(INDEX(AK_BARIS,MATCH(L1226,AK_NAMA,0)),"?"))</f>
        <v>OP6</v>
      </c>
      <c r="O1226" s="102" t="str">
        <f aca="false">IF(C1226="","",IFERROR(INDEX(AK_KEL,MATCH(C1226,AK_NAMA,0)),"?"))</f>
        <v>BEBAN</v>
      </c>
      <c r="P1226" s="102" t="str">
        <f aca="false">IF(D1226="","",IFERROR(INDEX(AK_KEL,MATCH(D1226,AK_NAMA,0)),"?"))</f>
        <v>ASET</v>
      </c>
      <c r="Q1226" s="102" t="n">
        <f aca="false">N(Q1225)+IF(AND(N(E1226)&lt;&gt;0,K1226=TAHUN,N(J1226)&lt;=BLN,OR(C1226=BB_AKUN,D1226=BB_AKUN)),1,0)</f>
        <v>831</v>
      </c>
      <c r="R1226" s="104" t="str">
        <f aca="false">IF(OR(C1226&amp;D1226="",N(E1226)=0),"",IF(OR(O1226="?",P1226="?"),"⚠ akun tidak dikenal",IF(C1226=D1226,"⚠ debet = kredit","")))</f>
        <v/>
      </c>
    </row>
    <row r="1227" customFormat="false" ht="15" hidden="false" customHeight="false" outlineLevel="0" collapsed="false">
      <c r="A1227" s="82" t="s">
        <v>2464</v>
      </c>
      <c r="B1227" s="101" t="n">
        <v>46286</v>
      </c>
      <c r="C1227" s="82" t="s">
        <v>470</v>
      </c>
      <c r="D1227" s="82" t="s">
        <v>486</v>
      </c>
      <c r="E1227" s="91" t="n">
        <v>820500</v>
      </c>
      <c r="F1227" s="82" t="s">
        <v>2465</v>
      </c>
      <c r="G1227" s="82"/>
      <c r="H1227" s="82"/>
      <c r="I1227" s="82" t="s">
        <v>250</v>
      </c>
      <c r="J1227" s="102" t="n">
        <f aca="false">IF(B1227="","",MONTH(B1227))</f>
        <v>9</v>
      </c>
      <c r="K1227" s="102" t="n">
        <f aca="false">IF(B1227="","",YEAR(B1227))</f>
        <v>2026</v>
      </c>
      <c r="L1227" s="102" t="str">
        <f aca="false">IF(N(E1227)=0,"",IF(COUNTIFS(AK_NAMA,C1227,AK_KAT,"KAS")+COUNTIFS(AK_NAMA,D1227,AK_KAT,"KAS")&lt;&gt;1,"",IF(COUNTIFS(AK_NAMA,C1227,AK_KAT,"KAS")=1,D1227,C1227)))</f>
        <v>Biaya Bahan Baku</v>
      </c>
      <c r="M1227" s="103" t="n">
        <f aca="false">IF(L1227="",0,IF(L1227=D1227,E1227,-E1227))</f>
        <v>-820500</v>
      </c>
      <c r="N1227" s="102" t="str">
        <f aca="false">IF(L1227="","",IFERROR(INDEX(AK_BARIS,MATCH(L1227,AK_NAMA,0)),"?"))</f>
        <v>OP3</v>
      </c>
      <c r="O1227" s="102" t="str">
        <f aca="false">IF(C1227="","",IFERROR(INDEX(AK_KEL,MATCH(C1227,AK_NAMA,0)),"?"))</f>
        <v>BEBAN</v>
      </c>
      <c r="P1227" s="102" t="str">
        <f aca="false">IF(D1227="","",IFERROR(INDEX(AK_KEL,MATCH(D1227,AK_NAMA,0)),"?"))</f>
        <v>ASET</v>
      </c>
      <c r="Q1227" s="102" t="n">
        <f aca="false">N(Q1226)+IF(AND(N(E1227)&lt;&gt;0,K1227=TAHUN,N(J1227)&lt;=BLN,OR(C1227=BB_AKUN,D1227=BB_AKUN)),1,0)</f>
        <v>831</v>
      </c>
      <c r="R1227" s="104" t="str">
        <f aca="false">IF(OR(C1227&amp;D1227="",N(E1227)=0),"",IF(OR(O1227="?",P1227="?"),"⚠ akun tidak dikenal",IF(C1227=D1227,"⚠ debet = kredit","")))</f>
        <v/>
      </c>
    </row>
    <row r="1228" customFormat="false" ht="15" hidden="false" customHeight="false" outlineLevel="0" collapsed="false">
      <c r="A1228" s="82" t="s">
        <v>2466</v>
      </c>
      <c r="B1228" s="101" t="n">
        <v>46286</v>
      </c>
      <c r="C1228" s="82" t="s">
        <v>548</v>
      </c>
      <c r="D1228" s="82" t="s">
        <v>486</v>
      </c>
      <c r="E1228" s="91" t="n">
        <v>40700</v>
      </c>
      <c r="F1228" s="82" t="s">
        <v>2467</v>
      </c>
      <c r="G1228" s="82"/>
      <c r="H1228" s="82"/>
      <c r="I1228" s="82" t="s">
        <v>250</v>
      </c>
      <c r="J1228" s="102" t="n">
        <f aca="false">IF(B1228="","",MONTH(B1228))</f>
        <v>9</v>
      </c>
      <c r="K1228" s="102" t="n">
        <f aca="false">IF(B1228="","",YEAR(B1228))</f>
        <v>2026</v>
      </c>
      <c r="L1228" s="102" t="str">
        <f aca="false">IF(N(E1228)=0,"",IF(COUNTIFS(AK_NAMA,C1228,AK_KAT,"KAS")+COUNTIFS(AK_NAMA,D1228,AK_KAT,"KAS")&lt;&gt;1,"",IF(COUNTIFS(AK_NAMA,C1228,AK_KAT,"KAS")=1,D1228,C1228)))</f>
        <v>Beban Perlengkapan</v>
      </c>
      <c r="M1228" s="103" t="n">
        <f aca="false">IF(L1228="",0,IF(L1228=D1228,E1228,-E1228))</f>
        <v>-40700</v>
      </c>
      <c r="N1228" s="102" t="str">
        <f aca="false">IF(L1228="","",IFERROR(INDEX(AK_BARIS,MATCH(L1228,AK_NAMA,0)),"?"))</f>
        <v>OP6</v>
      </c>
      <c r="O1228" s="102" t="str">
        <f aca="false">IF(C1228="","",IFERROR(INDEX(AK_KEL,MATCH(C1228,AK_NAMA,0)),"?"))</f>
        <v>BEBAN</v>
      </c>
      <c r="P1228" s="102" t="str">
        <f aca="false">IF(D1228="","",IFERROR(INDEX(AK_KEL,MATCH(D1228,AK_NAMA,0)),"?"))</f>
        <v>ASET</v>
      </c>
      <c r="Q1228" s="102" t="n">
        <f aca="false">N(Q1227)+IF(AND(N(E1228)&lt;&gt;0,K1228=TAHUN,N(J1228)&lt;=BLN,OR(C1228=BB_AKUN,D1228=BB_AKUN)),1,0)</f>
        <v>831</v>
      </c>
      <c r="R1228" s="104" t="str">
        <f aca="false">IF(OR(C1228&amp;D1228="",N(E1228)=0),"",IF(OR(O1228="?",P1228="?"),"⚠ akun tidak dikenal",IF(C1228=D1228,"⚠ debet = kredit","")))</f>
        <v/>
      </c>
    </row>
    <row r="1229" customFormat="false" ht="15" hidden="false" customHeight="false" outlineLevel="0" collapsed="false">
      <c r="A1229" s="82" t="s">
        <v>2468</v>
      </c>
      <c r="B1229" s="101" t="n">
        <v>46286</v>
      </c>
      <c r="C1229" s="82" t="s">
        <v>485</v>
      </c>
      <c r="D1229" s="82" t="s">
        <v>486</v>
      </c>
      <c r="E1229" s="91" t="n">
        <v>81000</v>
      </c>
      <c r="F1229" s="82" t="s">
        <v>2469</v>
      </c>
      <c r="G1229" s="82"/>
      <c r="H1229" s="82"/>
      <c r="I1229" s="82" t="s">
        <v>250</v>
      </c>
      <c r="J1229" s="102" t="n">
        <f aca="false">IF(B1229="","",MONTH(B1229))</f>
        <v>9</v>
      </c>
      <c r="K1229" s="102" t="n">
        <f aca="false">IF(B1229="","",YEAR(B1229))</f>
        <v>2026</v>
      </c>
      <c r="L1229" s="102" t="str">
        <f aca="false">IF(N(E1229)=0,"",IF(COUNTIFS(AK_NAMA,C1229,AK_KAT,"KAS")+COUNTIFS(AK_NAMA,D1229,AK_KAT,"KAS")&lt;&gt;1,"",IF(COUNTIFS(AK_NAMA,C1229,AK_KAT,"KAS")=1,D1229,C1229)))</f>
        <v>Biaya Operasional Harian</v>
      </c>
      <c r="M1229" s="103" t="n">
        <f aca="false">IF(L1229="",0,IF(L1229=D1229,E1229,-E1229))</f>
        <v>-81000</v>
      </c>
      <c r="N1229" s="102" t="str">
        <f aca="false">IF(L1229="","",IFERROR(INDEX(AK_BARIS,MATCH(L1229,AK_NAMA,0)),"?"))</f>
        <v>OP6</v>
      </c>
      <c r="O1229" s="102" t="str">
        <f aca="false">IF(C1229="","",IFERROR(INDEX(AK_KEL,MATCH(C1229,AK_NAMA,0)),"?"))</f>
        <v>BEBAN</v>
      </c>
      <c r="P1229" s="102" t="str">
        <f aca="false">IF(D1229="","",IFERROR(INDEX(AK_KEL,MATCH(D1229,AK_NAMA,0)),"?"))</f>
        <v>ASET</v>
      </c>
      <c r="Q1229" s="102" t="n">
        <f aca="false">N(Q1228)+IF(AND(N(E1229)&lt;&gt;0,K1229=TAHUN,N(J1229)&lt;=BLN,OR(C1229=BB_AKUN,D1229=BB_AKUN)),1,0)</f>
        <v>831</v>
      </c>
      <c r="R1229" s="104" t="str">
        <f aca="false">IF(OR(C1229&amp;D1229="",N(E1229)=0),"",IF(OR(O1229="?",P1229="?"),"⚠ akun tidak dikenal",IF(C1229=D1229,"⚠ debet = kredit","")))</f>
        <v/>
      </c>
    </row>
    <row r="1230" customFormat="false" ht="15" hidden="false" customHeight="false" outlineLevel="0" collapsed="false">
      <c r="A1230" s="82" t="s">
        <v>2470</v>
      </c>
      <c r="B1230" s="101" t="n">
        <v>46286</v>
      </c>
      <c r="C1230" s="82" t="s">
        <v>524</v>
      </c>
      <c r="D1230" s="82" t="s">
        <v>486</v>
      </c>
      <c r="E1230" s="91" t="n">
        <v>50000</v>
      </c>
      <c r="F1230" s="82" t="s">
        <v>2471</v>
      </c>
      <c r="G1230" s="82"/>
      <c r="H1230" s="82"/>
      <c r="I1230" s="82" t="s">
        <v>250</v>
      </c>
      <c r="J1230" s="102" t="n">
        <f aca="false">IF(B1230="","",MONTH(B1230))</f>
        <v>9</v>
      </c>
      <c r="K1230" s="102" t="n">
        <f aca="false">IF(B1230="","",YEAR(B1230))</f>
        <v>2026</v>
      </c>
      <c r="L1230" s="102" t="str">
        <f aca="false">IF(N(E1230)=0,"",IF(COUNTIFS(AK_NAMA,C1230,AK_KAT,"KAS")+COUNTIFS(AK_NAMA,D1230,AK_KAT,"KAS")&lt;&gt;1,"",IF(COUNTIFS(AK_NAMA,C1230,AK_KAT,"KAS")=1,D1230,C1230)))</f>
        <v>Biaya Lainnya</v>
      </c>
      <c r="M1230" s="103" t="n">
        <f aca="false">IF(L1230="",0,IF(L1230=D1230,E1230,-E1230))</f>
        <v>-50000</v>
      </c>
      <c r="N1230" s="102" t="str">
        <f aca="false">IF(L1230="","",IFERROR(INDEX(AK_BARIS,MATCH(L1230,AK_NAMA,0)),"?"))</f>
        <v>OP2</v>
      </c>
      <c r="O1230" s="102" t="str">
        <f aca="false">IF(C1230="","",IFERROR(INDEX(AK_KEL,MATCH(C1230,AK_NAMA,0)),"?"))</f>
        <v>BEBAN</v>
      </c>
      <c r="P1230" s="102" t="str">
        <f aca="false">IF(D1230="","",IFERROR(INDEX(AK_KEL,MATCH(D1230,AK_NAMA,0)),"?"))</f>
        <v>ASET</v>
      </c>
      <c r="Q1230" s="102" t="n">
        <f aca="false">N(Q1229)+IF(AND(N(E1230)&lt;&gt;0,K1230=TAHUN,N(J1230)&lt;=BLN,OR(C1230=BB_AKUN,D1230=BB_AKUN)),1,0)</f>
        <v>831</v>
      </c>
      <c r="R1230" s="104" t="str">
        <f aca="false">IF(OR(C1230&amp;D1230="",N(E1230)=0),"",IF(OR(O1230="?",P1230="?"),"⚠ akun tidak dikenal",IF(C1230=D1230,"⚠ debet = kredit","")))</f>
        <v/>
      </c>
    </row>
    <row r="1231" customFormat="false" ht="15" hidden="false" customHeight="false" outlineLevel="0" collapsed="false">
      <c r="A1231" s="82" t="s">
        <v>2472</v>
      </c>
      <c r="B1231" s="101" t="n">
        <v>46286</v>
      </c>
      <c r="C1231" s="82" t="s">
        <v>475</v>
      </c>
      <c r="D1231" s="82" t="s">
        <v>486</v>
      </c>
      <c r="E1231" s="91" t="n">
        <v>8800</v>
      </c>
      <c r="F1231" s="82" t="s">
        <v>2109</v>
      </c>
      <c r="G1231" s="82"/>
      <c r="H1231" s="82"/>
      <c r="I1231" s="82" t="s">
        <v>250</v>
      </c>
      <c r="J1231" s="102" t="n">
        <f aca="false">IF(B1231="","",MONTH(B1231))</f>
        <v>9</v>
      </c>
      <c r="K1231" s="102" t="n">
        <f aca="false">IF(B1231="","",YEAR(B1231))</f>
        <v>2026</v>
      </c>
      <c r="L1231" s="102" t="str">
        <f aca="false">IF(N(E1231)=0,"",IF(COUNTIFS(AK_NAMA,C1231,AK_KAT,"KAS")+COUNTIFS(AK_NAMA,D1231,AK_KAT,"KAS")&lt;&gt;1,"",IF(COUNTIFS(AK_NAMA,C1231,AK_KAT,"KAS")=1,D1231,C1231)))</f>
        <v/>
      </c>
      <c r="M1231" s="103" t="n">
        <f aca="false">IF(L1231="",0,IF(L1231=D1231,E1231,-E1231))</f>
        <v>0</v>
      </c>
      <c r="N1231" s="102" t="str">
        <f aca="false">IF(L1231="","",IFERROR(INDEX(AK_BARIS,MATCH(L1231,AK_NAMA,0)),"?"))</f>
        <v/>
      </c>
      <c r="O1231" s="102" t="str">
        <f aca="false">IF(C1231="","",IFERROR(INDEX(AK_KEL,MATCH(C1231,AK_NAMA,0)),"?"))</f>
        <v>ASET</v>
      </c>
      <c r="P1231" s="102" t="str">
        <f aca="false">IF(D1231="","",IFERROR(INDEX(AK_KEL,MATCH(D1231,AK_NAMA,0)),"?"))</f>
        <v>ASET</v>
      </c>
      <c r="Q1231" s="102" t="n">
        <f aca="false">N(Q1230)+IF(AND(N(E1231)&lt;&gt;0,K1231=TAHUN,N(J1231)&lt;=BLN,OR(C1231=BB_AKUN,D1231=BB_AKUN)),1,0)</f>
        <v>831</v>
      </c>
      <c r="R1231" s="104" t="str">
        <f aca="false">IF(OR(C1231&amp;D1231="",N(E1231)=0),"",IF(OR(O1231="?",P1231="?"),"⚠ akun tidak dikenal",IF(C1231=D1231,"⚠ debet = kredit","")))</f>
        <v/>
      </c>
    </row>
    <row r="1232" customFormat="false" ht="15" hidden="false" customHeight="false" outlineLevel="0" collapsed="false">
      <c r="A1232" s="82" t="s">
        <v>2473</v>
      </c>
      <c r="B1232" s="101" t="n">
        <v>46286</v>
      </c>
      <c r="C1232" s="82" t="s">
        <v>461</v>
      </c>
      <c r="D1232" s="82" t="s">
        <v>486</v>
      </c>
      <c r="E1232" s="91" t="n">
        <v>10569</v>
      </c>
      <c r="F1232" s="82" t="s">
        <v>2111</v>
      </c>
      <c r="G1232" s="82"/>
      <c r="H1232" s="82"/>
      <c r="I1232" s="82" t="s">
        <v>250</v>
      </c>
      <c r="J1232" s="102" t="n">
        <f aca="false">IF(B1232="","",MONTH(B1232))</f>
        <v>9</v>
      </c>
      <c r="K1232" s="102" t="n">
        <f aca="false">IF(B1232="","",YEAR(B1232))</f>
        <v>2026</v>
      </c>
      <c r="L1232" s="102" t="str">
        <f aca="false">IF(N(E1232)=0,"",IF(COUNTIFS(AK_NAMA,C1232,AK_KAT,"KAS")+COUNTIFS(AK_NAMA,D1232,AK_KAT,"KAS")&lt;&gt;1,"",IF(COUNTIFS(AK_NAMA,C1232,AK_KAT,"KAS")=1,D1232,C1232)))</f>
        <v/>
      </c>
      <c r="M1232" s="103" t="n">
        <f aca="false">IF(L1232="",0,IF(L1232=D1232,E1232,-E1232))</f>
        <v>0</v>
      </c>
      <c r="N1232" s="102" t="str">
        <f aca="false">IF(L1232="","",IFERROR(INDEX(AK_BARIS,MATCH(L1232,AK_NAMA,0)),"?"))</f>
        <v/>
      </c>
      <c r="O1232" s="102" t="str">
        <f aca="false">IF(C1232="","",IFERROR(INDEX(AK_KEL,MATCH(C1232,AK_NAMA,0)),"?"))</f>
        <v>ASET</v>
      </c>
      <c r="P1232" s="102" t="str">
        <f aca="false">IF(D1232="","",IFERROR(INDEX(AK_KEL,MATCH(D1232,AK_NAMA,0)),"?"))</f>
        <v>ASET</v>
      </c>
      <c r="Q1232" s="102" t="n">
        <f aca="false">N(Q1231)+IF(AND(N(E1232)&lt;&gt;0,K1232=TAHUN,N(J1232)&lt;=BLN,OR(C1232=BB_AKUN,D1232=BB_AKUN)),1,0)</f>
        <v>832</v>
      </c>
      <c r="R1232" s="104" t="str">
        <f aca="false">IF(OR(C1232&amp;D1232="",N(E1232)=0),"",IF(OR(O1232="?",P1232="?"),"⚠ akun tidak dikenal",IF(C1232=D1232,"⚠ debet = kredit","")))</f>
        <v/>
      </c>
    </row>
    <row r="1233" customFormat="false" ht="15" hidden="false" customHeight="false" outlineLevel="0" collapsed="false">
      <c r="A1233" s="82" t="s">
        <v>2474</v>
      </c>
      <c r="B1233" s="101" t="n">
        <v>46286</v>
      </c>
      <c r="C1233" s="82" t="s">
        <v>470</v>
      </c>
      <c r="D1233" s="82" t="s">
        <v>486</v>
      </c>
      <c r="E1233" s="91" t="n">
        <v>6075615</v>
      </c>
      <c r="F1233" s="82" t="s">
        <v>2475</v>
      </c>
      <c r="G1233" s="82"/>
      <c r="H1233" s="82"/>
      <c r="I1233" s="82" t="s">
        <v>250</v>
      </c>
      <c r="J1233" s="102" t="n">
        <f aca="false">IF(B1233="","",MONTH(B1233))</f>
        <v>9</v>
      </c>
      <c r="K1233" s="102" t="n">
        <f aca="false">IF(B1233="","",YEAR(B1233))</f>
        <v>2026</v>
      </c>
      <c r="L1233" s="102" t="str">
        <f aca="false">IF(N(E1233)=0,"",IF(COUNTIFS(AK_NAMA,C1233,AK_KAT,"KAS")+COUNTIFS(AK_NAMA,D1233,AK_KAT,"KAS")&lt;&gt;1,"",IF(COUNTIFS(AK_NAMA,C1233,AK_KAT,"KAS")=1,D1233,C1233)))</f>
        <v>Biaya Bahan Baku</v>
      </c>
      <c r="M1233" s="103" t="n">
        <f aca="false">IF(L1233="",0,IF(L1233=D1233,E1233,-E1233))</f>
        <v>-6075615</v>
      </c>
      <c r="N1233" s="102" t="str">
        <f aca="false">IF(L1233="","",IFERROR(INDEX(AK_BARIS,MATCH(L1233,AK_NAMA,0)),"?"))</f>
        <v>OP3</v>
      </c>
      <c r="O1233" s="102" t="str">
        <f aca="false">IF(C1233="","",IFERROR(INDEX(AK_KEL,MATCH(C1233,AK_NAMA,0)),"?"))</f>
        <v>BEBAN</v>
      </c>
      <c r="P1233" s="102" t="str">
        <f aca="false">IF(D1233="","",IFERROR(INDEX(AK_KEL,MATCH(D1233,AK_NAMA,0)),"?"))</f>
        <v>ASET</v>
      </c>
      <c r="Q1233" s="102" t="n">
        <f aca="false">N(Q1232)+IF(AND(N(E1233)&lt;&gt;0,K1233=TAHUN,N(J1233)&lt;=BLN,OR(C1233=BB_AKUN,D1233=BB_AKUN)),1,0)</f>
        <v>832</v>
      </c>
      <c r="R1233" s="104" t="str">
        <f aca="false">IF(OR(C1233&amp;D1233="",N(E1233)=0),"",IF(OR(O1233="?",P1233="?"),"⚠ akun tidak dikenal",IF(C1233=D1233,"⚠ debet = kredit","")))</f>
        <v/>
      </c>
    </row>
    <row r="1234" customFormat="false" ht="15" hidden="false" customHeight="false" outlineLevel="0" collapsed="false">
      <c r="A1234" s="82" t="s">
        <v>2476</v>
      </c>
      <c r="B1234" s="101" t="n">
        <v>46286</v>
      </c>
      <c r="C1234" s="82" t="s">
        <v>478</v>
      </c>
      <c r="D1234" s="82" t="s">
        <v>486</v>
      </c>
      <c r="E1234" s="91" t="n">
        <v>302500</v>
      </c>
      <c r="F1234" s="82" t="s">
        <v>2477</v>
      </c>
      <c r="G1234" s="82"/>
      <c r="H1234" s="82"/>
      <c r="I1234" s="82" t="s">
        <v>250</v>
      </c>
      <c r="J1234" s="102" t="n">
        <f aca="false">IF(B1234="","",MONTH(B1234))</f>
        <v>9</v>
      </c>
      <c r="K1234" s="102" t="n">
        <f aca="false">IF(B1234="","",YEAR(B1234))</f>
        <v>2026</v>
      </c>
      <c r="L1234" s="102" t="str">
        <f aca="false">IF(N(E1234)=0,"",IF(COUNTIFS(AK_NAMA,C1234,AK_KAT,"KAS")+COUNTIFS(AK_NAMA,D1234,AK_KAT,"KAS")&lt;&gt;1,"",IF(COUNTIFS(AK_NAMA,C1234,AK_KAT,"KAS")=1,D1234,C1234)))</f>
        <v>Biaya Penyajian</v>
      </c>
      <c r="M1234" s="103" t="n">
        <f aca="false">IF(L1234="",0,IF(L1234=D1234,E1234,-E1234))</f>
        <v>-302500</v>
      </c>
      <c r="N1234" s="102" t="str">
        <f aca="false">IF(L1234="","",IFERROR(INDEX(AK_BARIS,MATCH(L1234,AK_NAMA,0)),"?"))</f>
        <v>OP3</v>
      </c>
      <c r="O1234" s="102" t="str">
        <f aca="false">IF(C1234="","",IFERROR(INDEX(AK_KEL,MATCH(C1234,AK_NAMA,0)),"?"))</f>
        <v>BEBAN</v>
      </c>
      <c r="P1234" s="102" t="str">
        <f aca="false">IF(D1234="","",IFERROR(INDEX(AK_KEL,MATCH(D1234,AK_NAMA,0)),"?"))</f>
        <v>ASET</v>
      </c>
      <c r="Q1234" s="102" t="n">
        <f aca="false">N(Q1233)+IF(AND(N(E1234)&lt;&gt;0,K1234=TAHUN,N(J1234)&lt;=BLN,OR(C1234=BB_AKUN,D1234=BB_AKUN)),1,0)</f>
        <v>832</v>
      </c>
      <c r="R1234" s="104" t="str">
        <f aca="false">IF(OR(C1234&amp;D1234="",N(E1234)=0),"",IF(OR(O1234="?",P1234="?"),"⚠ akun tidak dikenal",IF(C1234=D1234,"⚠ debet = kredit","")))</f>
        <v/>
      </c>
    </row>
    <row r="1235" customFormat="false" ht="15" hidden="false" customHeight="false" outlineLevel="0" collapsed="false">
      <c r="A1235" s="82" t="s">
        <v>2478</v>
      </c>
      <c r="B1235" s="101" t="n">
        <v>46286</v>
      </c>
      <c r="C1235" s="82" t="s">
        <v>548</v>
      </c>
      <c r="D1235" s="82" t="s">
        <v>486</v>
      </c>
      <c r="E1235" s="91" t="n">
        <v>77316</v>
      </c>
      <c r="F1235" s="82" t="s">
        <v>2479</v>
      </c>
      <c r="G1235" s="82"/>
      <c r="H1235" s="82"/>
      <c r="I1235" s="82" t="s">
        <v>250</v>
      </c>
      <c r="J1235" s="102" t="n">
        <f aca="false">IF(B1235="","",MONTH(B1235))</f>
        <v>9</v>
      </c>
      <c r="K1235" s="102" t="n">
        <f aca="false">IF(B1235="","",YEAR(B1235))</f>
        <v>2026</v>
      </c>
      <c r="L1235" s="102" t="str">
        <f aca="false">IF(N(E1235)=0,"",IF(COUNTIFS(AK_NAMA,C1235,AK_KAT,"KAS")+COUNTIFS(AK_NAMA,D1235,AK_KAT,"KAS")&lt;&gt;1,"",IF(COUNTIFS(AK_NAMA,C1235,AK_KAT,"KAS")=1,D1235,C1235)))</f>
        <v>Beban Perlengkapan</v>
      </c>
      <c r="M1235" s="103" t="n">
        <f aca="false">IF(L1235="",0,IF(L1235=D1235,E1235,-E1235))</f>
        <v>-77316</v>
      </c>
      <c r="N1235" s="102" t="str">
        <f aca="false">IF(L1235="","",IFERROR(INDEX(AK_BARIS,MATCH(L1235,AK_NAMA,0)),"?"))</f>
        <v>OP6</v>
      </c>
      <c r="O1235" s="102" t="str">
        <f aca="false">IF(C1235="","",IFERROR(INDEX(AK_KEL,MATCH(C1235,AK_NAMA,0)),"?"))</f>
        <v>BEBAN</v>
      </c>
      <c r="P1235" s="102" t="str">
        <f aca="false">IF(D1235="","",IFERROR(INDEX(AK_KEL,MATCH(D1235,AK_NAMA,0)),"?"))</f>
        <v>ASET</v>
      </c>
      <c r="Q1235" s="102" t="n">
        <f aca="false">N(Q1234)+IF(AND(N(E1235)&lt;&gt;0,K1235=TAHUN,N(J1235)&lt;=BLN,OR(C1235=BB_AKUN,D1235=BB_AKUN)),1,0)</f>
        <v>832</v>
      </c>
      <c r="R1235" s="104" t="str">
        <f aca="false">IF(OR(C1235&amp;D1235="",N(E1235)=0),"",IF(OR(O1235="?",P1235="?"),"⚠ akun tidak dikenal",IF(C1235=D1235,"⚠ debet = kredit","")))</f>
        <v/>
      </c>
    </row>
    <row r="1236" customFormat="false" ht="15" hidden="false" customHeight="false" outlineLevel="0" collapsed="false">
      <c r="A1236" s="82" t="s">
        <v>2480</v>
      </c>
      <c r="B1236" s="101" t="n">
        <v>46286</v>
      </c>
      <c r="C1236" s="82" t="s">
        <v>485</v>
      </c>
      <c r="D1236" s="82" t="s">
        <v>486</v>
      </c>
      <c r="E1236" s="91" t="n">
        <v>21000</v>
      </c>
      <c r="F1236" s="82" t="s">
        <v>2430</v>
      </c>
      <c r="G1236" s="82"/>
      <c r="H1236" s="82"/>
      <c r="I1236" s="82" t="s">
        <v>250</v>
      </c>
      <c r="J1236" s="102" t="n">
        <f aca="false">IF(B1236="","",MONTH(B1236))</f>
        <v>9</v>
      </c>
      <c r="K1236" s="102" t="n">
        <f aca="false">IF(B1236="","",YEAR(B1236))</f>
        <v>2026</v>
      </c>
      <c r="L1236" s="102" t="str">
        <f aca="false">IF(N(E1236)=0,"",IF(COUNTIFS(AK_NAMA,C1236,AK_KAT,"KAS")+COUNTIFS(AK_NAMA,D1236,AK_KAT,"KAS")&lt;&gt;1,"",IF(COUNTIFS(AK_NAMA,C1236,AK_KAT,"KAS")=1,D1236,C1236)))</f>
        <v>Biaya Operasional Harian</v>
      </c>
      <c r="M1236" s="103" t="n">
        <f aca="false">IF(L1236="",0,IF(L1236=D1236,E1236,-E1236))</f>
        <v>-21000</v>
      </c>
      <c r="N1236" s="102" t="str">
        <f aca="false">IF(L1236="","",IFERROR(INDEX(AK_BARIS,MATCH(L1236,AK_NAMA,0)),"?"))</f>
        <v>OP6</v>
      </c>
      <c r="O1236" s="102" t="str">
        <f aca="false">IF(C1236="","",IFERROR(INDEX(AK_KEL,MATCH(C1236,AK_NAMA,0)),"?"))</f>
        <v>BEBAN</v>
      </c>
      <c r="P1236" s="102" t="str">
        <f aca="false">IF(D1236="","",IFERROR(INDEX(AK_KEL,MATCH(D1236,AK_NAMA,0)),"?"))</f>
        <v>ASET</v>
      </c>
      <c r="Q1236" s="102" t="n">
        <f aca="false">N(Q1235)+IF(AND(N(E1236)&lt;&gt;0,K1236=TAHUN,N(J1236)&lt;=BLN,OR(C1236=BB_AKUN,D1236=BB_AKUN)),1,0)</f>
        <v>832</v>
      </c>
      <c r="R1236" s="104" t="str">
        <f aca="false">IF(OR(C1236&amp;D1236="",N(E1236)=0),"",IF(OR(O1236="?",P1236="?"),"⚠ akun tidak dikenal",IF(C1236=D1236,"⚠ debet = kredit","")))</f>
        <v/>
      </c>
    </row>
    <row r="1237" customFormat="false" ht="15" hidden="false" customHeight="false" outlineLevel="0" collapsed="false">
      <c r="A1237" s="82" t="s">
        <v>2481</v>
      </c>
      <c r="B1237" s="101" t="n">
        <v>46286</v>
      </c>
      <c r="C1237" s="82" t="s">
        <v>524</v>
      </c>
      <c r="D1237" s="82" t="s">
        <v>486</v>
      </c>
      <c r="E1237" s="91" t="n">
        <v>12000</v>
      </c>
      <c r="F1237" s="82" t="s">
        <v>2219</v>
      </c>
      <c r="G1237" s="82"/>
      <c r="H1237" s="82"/>
      <c r="I1237" s="82" t="s">
        <v>250</v>
      </c>
      <c r="J1237" s="102" t="n">
        <f aca="false">IF(B1237="","",MONTH(B1237))</f>
        <v>9</v>
      </c>
      <c r="K1237" s="102" t="n">
        <f aca="false">IF(B1237="","",YEAR(B1237))</f>
        <v>2026</v>
      </c>
      <c r="L1237" s="102" t="str">
        <f aca="false">IF(N(E1237)=0,"",IF(COUNTIFS(AK_NAMA,C1237,AK_KAT,"KAS")+COUNTIFS(AK_NAMA,D1237,AK_KAT,"KAS")&lt;&gt;1,"",IF(COUNTIFS(AK_NAMA,C1237,AK_KAT,"KAS")=1,D1237,C1237)))</f>
        <v>Biaya Lainnya</v>
      </c>
      <c r="M1237" s="103" t="n">
        <f aca="false">IF(L1237="",0,IF(L1237=D1237,E1237,-E1237))</f>
        <v>-12000</v>
      </c>
      <c r="N1237" s="102" t="str">
        <f aca="false">IF(L1237="","",IFERROR(INDEX(AK_BARIS,MATCH(L1237,AK_NAMA,0)),"?"))</f>
        <v>OP2</v>
      </c>
      <c r="O1237" s="102" t="str">
        <f aca="false">IF(C1237="","",IFERROR(INDEX(AK_KEL,MATCH(C1237,AK_NAMA,0)),"?"))</f>
        <v>BEBAN</v>
      </c>
      <c r="P1237" s="102" t="str">
        <f aca="false">IF(D1237="","",IFERROR(INDEX(AK_KEL,MATCH(D1237,AK_NAMA,0)),"?"))</f>
        <v>ASET</v>
      </c>
      <c r="Q1237" s="102" t="n">
        <f aca="false">N(Q1236)+IF(AND(N(E1237)&lt;&gt;0,K1237=TAHUN,N(J1237)&lt;=BLN,OR(C1237=BB_AKUN,D1237=BB_AKUN)),1,0)</f>
        <v>832</v>
      </c>
      <c r="R1237" s="104" t="str">
        <f aca="false">IF(OR(C1237&amp;D1237="",N(E1237)=0),"",IF(OR(O1237="?",P1237="?"),"⚠ akun tidak dikenal",IF(C1237=D1237,"⚠ debet = kredit","")))</f>
        <v/>
      </c>
    </row>
    <row r="1238" customFormat="false" ht="15" hidden="false" customHeight="false" outlineLevel="0" collapsed="false">
      <c r="A1238" s="82" t="s">
        <v>2482</v>
      </c>
      <c r="B1238" s="101" t="n">
        <v>46286</v>
      </c>
      <c r="C1238" s="82" t="s">
        <v>486</v>
      </c>
      <c r="D1238" s="82" t="s">
        <v>475</v>
      </c>
      <c r="E1238" s="91" t="n">
        <v>500000</v>
      </c>
      <c r="F1238" s="82" t="s">
        <v>2113</v>
      </c>
      <c r="G1238" s="82"/>
      <c r="H1238" s="82"/>
      <c r="I1238" s="82" t="s">
        <v>250</v>
      </c>
      <c r="J1238" s="102" t="n">
        <f aca="false">IF(B1238="","",MONTH(B1238))</f>
        <v>9</v>
      </c>
      <c r="K1238" s="102" t="n">
        <f aca="false">IF(B1238="","",YEAR(B1238))</f>
        <v>2026</v>
      </c>
      <c r="L1238" s="102" t="str">
        <f aca="false">IF(N(E1238)=0,"",IF(COUNTIFS(AK_NAMA,C1238,AK_KAT,"KAS")+COUNTIFS(AK_NAMA,D1238,AK_KAT,"KAS")&lt;&gt;1,"",IF(COUNTIFS(AK_NAMA,C1238,AK_KAT,"KAS")=1,D1238,C1238)))</f>
        <v/>
      </c>
      <c r="M1238" s="103" t="n">
        <f aca="false">IF(L1238="",0,IF(L1238=D1238,E1238,-E1238))</f>
        <v>0</v>
      </c>
      <c r="N1238" s="102" t="str">
        <f aca="false">IF(L1238="","",IFERROR(INDEX(AK_BARIS,MATCH(L1238,AK_NAMA,0)),"?"))</f>
        <v/>
      </c>
      <c r="O1238" s="102" t="str">
        <f aca="false">IF(C1238="","",IFERROR(INDEX(AK_KEL,MATCH(C1238,AK_NAMA,0)),"?"))</f>
        <v>ASET</v>
      </c>
      <c r="P1238" s="102" t="str">
        <f aca="false">IF(D1238="","",IFERROR(INDEX(AK_KEL,MATCH(D1238,AK_NAMA,0)),"?"))</f>
        <v>ASET</v>
      </c>
      <c r="Q1238" s="102" t="n">
        <f aca="false">N(Q1237)+IF(AND(N(E1238)&lt;&gt;0,K1238=TAHUN,N(J1238)&lt;=BLN,OR(C1238=BB_AKUN,D1238=BB_AKUN)),1,0)</f>
        <v>832</v>
      </c>
      <c r="R1238" s="104" t="str">
        <f aca="false">IF(OR(C1238&amp;D1238="",N(E1238)=0),"",IF(OR(O1238="?",P1238="?"),"⚠ akun tidak dikenal",IF(C1238=D1238,"⚠ debet = kredit","")))</f>
        <v/>
      </c>
    </row>
    <row r="1239" customFormat="false" ht="15" hidden="false" customHeight="false" outlineLevel="0" collapsed="false">
      <c r="A1239" s="82" t="s">
        <v>2483</v>
      </c>
      <c r="B1239" s="101" t="n">
        <v>46287</v>
      </c>
      <c r="C1239" s="82" t="s">
        <v>548</v>
      </c>
      <c r="D1239" s="82" t="s">
        <v>461</v>
      </c>
      <c r="E1239" s="91" t="n">
        <v>280000</v>
      </c>
      <c r="F1239" s="82" t="s">
        <v>2484</v>
      </c>
      <c r="G1239" s="82"/>
      <c r="H1239" s="82"/>
      <c r="I1239" s="82" t="s">
        <v>250</v>
      </c>
      <c r="J1239" s="102" t="n">
        <f aca="false">IF(B1239="","",MONTH(B1239))</f>
        <v>9</v>
      </c>
      <c r="K1239" s="102" t="n">
        <f aca="false">IF(B1239="","",YEAR(B1239))</f>
        <v>2026</v>
      </c>
      <c r="L1239" s="102" t="str">
        <f aca="false">IF(N(E1239)=0,"",IF(COUNTIFS(AK_NAMA,C1239,AK_KAT,"KAS")+COUNTIFS(AK_NAMA,D1239,AK_KAT,"KAS")&lt;&gt;1,"",IF(COUNTIFS(AK_NAMA,C1239,AK_KAT,"KAS")=1,D1239,C1239)))</f>
        <v>Beban Perlengkapan</v>
      </c>
      <c r="M1239" s="103" t="n">
        <f aca="false">IF(L1239="",0,IF(L1239=D1239,E1239,-E1239))</f>
        <v>-280000</v>
      </c>
      <c r="N1239" s="102" t="str">
        <f aca="false">IF(L1239="","",IFERROR(INDEX(AK_BARIS,MATCH(L1239,AK_NAMA,0)),"?"))</f>
        <v>OP6</v>
      </c>
      <c r="O1239" s="102" t="str">
        <f aca="false">IF(C1239="","",IFERROR(INDEX(AK_KEL,MATCH(C1239,AK_NAMA,0)),"?"))</f>
        <v>BEBAN</v>
      </c>
      <c r="P1239" s="102" t="str">
        <f aca="false">IF(D1239="","",IFERROR(INDEX(AK_KEL,MATCH(D1239,AK_NAMA,0)),"?"))</f>
        <v>ASET</v>
      </c>
      <c r="Q1239" s="102" t="n">
        <f aca="false">N(Q1238)+IF(AND(N(E1239)&lt;&gt;0,K1239=TAHUN,N(J1239)&lt;=BLN,OR(C1239=BB_AKUN,D1239=BB_AKUN)),1,0)</f>
        <v>833</v>
      </c>
      <c r="R1239" s="104" t="str">
        <f aca="false">IF(OR(C1239&amp;D1239="",N(E1239)=0),"",IF(OR(O1239="?",P1239="?"),"⚠ akun tidak dikenal",IF(C1239=D1239,"⚠ debet = kredit","")))</f>
        <v/>
      </c>
    </row>
    <row r="1240" customFormat="false" ht="15" hidden="false" customHeight="false" outlineLevel="0" collapsed="false">
      <c r="A1240" s="82" t="s">
        <v>2485</v>
      </c>
      <c r="B1240" s="101" t="n">
        <v>46287</v>
      </c>
      <c r="C1240" s="82" t="s">
        <v>470</v>
      </c>
      <c r="D1240" s="82" t="s">
        <v>461</v>
      </c>
      <c r="E1240" s="91" t="n">
        <v>235000</v>
      </c>
      <c r="F1240" s="82" t="s">
        <v>2486</v>
      </c>
      <c r="G1240" s="82"/>
      <c r="H1240" s="82"/>
      <c r="I1240" s="82" t="s">
        <v>250</v>
      </c>
      <c r="J1240" s="102" t="n">
        <f aca="false">IF(B1240="","",MONTH(B1240))</f>
        <v>9</v>
      </c>
      <c r="K1240" s="102" t="n">
        <f aca="false">IF(B1240="","",YEAR(B1240))</f>
        <v>2026</v>
      </c>
      <c r="L1240" s="102" t="str">
        <f aca="false">IF(N(E1240)=0,"",IF(COUNTIFS(AK_NAMA,C1240,AK_KAT,"KAS")+COUNTIFS(AK_NAMA,D1240,AK_KAT,"KAS")&lt;&gt;1,"",IF(COUNTIFS(AK_NAMA,C1240,AK_KAT,"KAS")=1,D1240,C1240)))</f>
        <v>Biaya Bahan Baku</v>
      </c>
      <c r="M1240" s="103" t="n">
        <f aca="false">IF(L1240="",0,IF(L1240=D1240,E1240,-E1240))</f>
        <v>-235000</v>
      </c>
      <c r="N1240" s="102" t="str">
        <f aca="false">IF(L1240="","",IFERROR(INDEX(AK_BARIS,MATCH(L1240,AK_NAMA,0)),"?"))</f>
        <v>OP3</v>
      </c>
      <c r="O1240" s="102" t="str">
        <f aca="false">IF(C1240="","",IFERROR(INDEX(AK_KEL,MATCH(C1240,AK_NAMA,0)),"?"))</f>
        <v>BEBAN</v>
      </c>
      <c r="P1240" s="102" t="str">
        <f aca="false">IF(D1240="","",IFERROR(INDEX(AK_KEL,MATCH(D1240,AK_NAMA,0)),"?"))</f>
        <v>ASET</v>
      </c>
      <c r="Q1240" s="102" t="n">
        <f aca="false">N(Q1239)+IF(AND(N(E1240)&lt;&gt;0,K1240=TAHUN,N(J1240)&lt;=BLN,OR(C1240=BB_AKUN,D1240=BB_AKUN)),1,0)</f>
        <v>834</v>
      </c>
      <c r="R1240" s="104" t="str">
        <f aca="false">IF(OR(C1240&amp;D1240="",N(E1240)=0),"",IF(OR(O1240="?",P1240="?"),"⚠ akun tidak dikenal",IF(C1240=D1240,"⚠ debet = kredit","")))</f>
        <v/>
      </c>
    </row>
    <row r="1241" customFormat="false" ht="15" hidden="false" customHeight="false" outlineLevel="0" collapsed="false">
      <c r="A1241" s="82" t="s">
        <v>2487</v>
      </c>
      <c r="B1241" s="101" t="n">
        <v>46287</v>
      </c>
      <c r="C1241" s="82" t="s">
        <v>470</v>
      </c>
      <c r="D1241" s="82" t="s">
        <v>461</v>
      </c>
      <c r="E1241" s="91" t="n">
        <v>1232000</v>
      </c>
      <c r="F1241" s="82" t="s">
        <v>2488</v>
      </c>
      <c r="G1241" s="82"/>
      <c r="H1241" s="82"/>
      <c r="I1241" s="82" t="s">
        <v>250</v>
      </c>
      <c r="J1241" s="102" t="n">
        <f aca="false">IF(B1241="","",MONTH(B1241))</f>
        <v>9</v>
      </c>
      <c r="K1241" s="102" t="n">
        <f aca="false">IF(B1241="","",YEAR(B1241))</f>
        <v>2026</v>
      </c>
      <c r="L1241" s="102" t="str">
        <f aca="false">IF(N(E1241)=0,"",IF(COUNTIFS(AK_NAMA,C1241,AK_KAT,"KAS")+COUNTIFS(AK_NAMA,D1241,AK_KAT,"KAS")&lt;&gt;1,"",IF(COUNTIFS(AK_NAMA,C1241,AK_KAT,"KAS")=1,D1241,C1241)))</f>
        <v>Biaya Bahan Baku</v>
      </c>
      <c r="M1241" s="103" t="n">
        <f aca="false">IF(L1241="",0,IF(L1241=D1241,E1241,-E1241))</f>
        <v>-1232000</v>
      </c>
      <c r="N1241" s="102" t="str">
        <f aca="false">IF(L1241="","",IFERROR(INDEX(AK_BARIS,MATCH(L1241,AK_NAMA,0)),"?"))</f>
        <v>OP3</v>
      </c>
      <c r="O1241" s="102" t="str">
        <f aca="false">IF(C1241="","",IFERROR(INDEX(AK_KEL,MATCH(C1241,AK_NAMA,0)),"?"))</f>
        <v>BEBAN</v>
      </c>
      <c r="P1241" s="102" t="str">
        <f aca="false">IF(D1241="","",IFERROR(INDEX(AK_KEL,MATCH(D1241,AK_NAMA,0)),"?"))</f>
        <v>ASET</v>
      </c>
      <c r="Q1241" s="102" t="n">
        <f aca="false">N(Q1240)+IF(AND(N(E1241)&lt;&gt;0,K1241=TAHUN,N(J1241)&lt;=BLN,OR(C1241=BB_AKUN,D1241=BB_AKUN)),1,0)</f>
        <v>835</v>
      </c>
      <c r="R1241" s="104" t="str">
        <f aca="false">IF(OR(C1241&amp;D1241="",N(E1241)=0),"",IF(OR(O1241="?",P1241="?"),"⚠ akun tidak dikenal",IF(C1241=D1241,"⚠ debet = kredit","")))</f>
        <v/>
      </c>
    </row>
    <row r="1242" customFormat="false" ht="15" hidden="false" customHeight="false" outlineLevel="0" collapsed="false">
      <c r="A1242" s="82" t="s">
        <v>2489</v>
      </c>
      <c r="B1242" s="101" t="n">
        <v>46287</v>
      </c>
      <c r="C1242" s="82" t="s">
        <v>524</v>
      </c>
      <c r="D1242" s="82" t="s">
        <v>461</v>
      </c>
      <c r="E1242" s="91" t="n">
        <v>243</v>
      </c>
      <c r="F1242" s="82" t="s">
        <v>1172</v>
      </c>
      <c r="G1242" s="82"/>
      <c r="H1242" s="82"/>
      <c r="I1242" s="82" t="s">
        <v>250</v>
      </c>
      <c r="J1242" s="102" t="n">
        <f aca="false">IF(B1242="","",MONTH(B1242))</f>
        <v>9</v>
      </c>
      <c r="K1242" s="102" t="n">
        <f aca="false">IF(B1242="","",YEAR(B1242))</f>
        <v>2026</v>
      </c>
      <c r="L1242" s="102" t="str">
        <f aca="false">IF(N(E1242)=0,"",IF(COUNTIFS(AK_NAMA,C1242,AK_KAT,"KAS")+COUNTIFS(AK_NAMA,D1242,AK_KAT,"KAS")&lt;&gt;1,"",IF(COUNTIFS(AK_NAMA,C1242,AK_KAT,"KAS")=1,D1242,C1242)))</f>
        <v>Biaya Lainnya</v>
      </c>
      <c r="M1242" s="103" t="n">
        <f aca="false">IF(L1242="",0,IF(L1242=D1242,E1242,-E1242))</f>
        <v>-243</v>
      </c>
      <c r="N1242" s="102" t="str">
        <f aca="false">IF(L1242="","",IFERROR(INDEX(AK_BARIS,MATCH(L1242,AK_NAMA,0)),"?"))</f>
        <v>OP2</v>
      </c>
      <c r="O1242" s="102" t="str">
        <f aca="false">IF(C1242="","",IFERROR(INDEX(AK_KEL,MATCH(C1242,AK_NAMA,0)),"?"))</f>
        <v>BEBAN</v>
      </c>
      <c r="P1242" s="102" t="str">
        <f aca="false">IF(D1242="","",IFERROR(INDEX(AK_KEL,MATCH(D1242,AK_NAMA,0)),"?"))</f>
        <v>ASET</v>
      </c>
      <c r="Q1242" s="102" t="n">
        <f aca="false">N(Q1241)+IF(AND(N(E1242)&lt;&gt;0,K1242=TAHUN,N(J1242)&lt;=BLN,OR(C1242=BB_AKUN,D1242=BB_AKUN)),1,0)</f>
        <v>836</v>
      </c>
      <c r="R1242" s="104" t="str">
        <f aca="false">IF(OR(C1242&amp;D1242="",N(E1242)=0),"",IF(OR(O1242="?",P1242="?"),"⚠ akun tidak dikenal",IF(C1242=D1242,"⚠ debet = kredit","")))</f>
        <v/>
      </c>
    </row>
    <row r="1243" customFormat="false" ht="15" hidden="false" customHeight="false" outlineLevel="0" collapsed="false">
      <c r="A1243" s="82" t="s">
        <v>2490</v>
      </c>
      <c r="B1243" s="101" t="n">
        <v>46287</v>
      </c>
      <c r="C1243" s="82" t="s">
        <v>672</v>
      </c>
      <c r="D1243" s="82" t="s">
        <v>456</v>
      </c>
      <c r="E1243" s="91" t="n">
        <v>12792000</v>
      </c>
      <c r="F1243" s="82" t="s">
        <v>2491</v>
      </c>
      <c r="G1243" s="82"/>
      <c r="H1243" s="82"/>
      <c r="I1243" s="82" t="s">
        <v>250</v>
      </c>
      <c r="J1243" s="102" t="n">
        <f aca="false">IF(B1243="","",MONTH(B1243))</f>
        <v>9</v>
      </c>
      <c r="K1243" s="102" t="n">
        <f aca="false">IF(B1243="","",YEAR(B1243))</f>
        <v>2026</v>
      </c>
      <c r="L1243" s="102" t="str">
        <f aca="false">IF(N(E1243)=0,"",IF(COUNTIFS(AK_NAMA,C1243,AK_KAT,"KAS")+COUNTIFS(AK_NAMA,D1243,AK_KAT,"KAS")&lt;&gt;1,"",IF(COUNTIFS(AK_NAMA,C1243,AK_KAT,"KAS")=1,D1243,C1243)))</f>
        <v/>
      </c>
      <c r="M1243" s="103" t="n">
        <f aca="false">IF(L1243="",0,IF(L1243=D1243,E1243,-E1243))</f>
        <v>0</v>
      </c>
      <c r="N1243" s="102" t="str">
        <f aca="false">IF(L1243="","",IFERROR(INDEX(AK_BARIS,MATCH(L1243,AK_NAMA,0)),"?"))</f>
        <v/>
      </c>
      <c r="O1243" s="102" t="str">
        <f aca="false">IF(C1243="","",IFERROR(INDEX(AK_KEL,MATCH(C1243,AK_NAMA,0)),"?"))</f>
        <v>ASET</v>
      </c>
      <c r="P1243" s="102" t="str">
        <f aca="false">IF(D1243="","",IFERROR(INDEX(AK_KEL,MATCH(D1243,AK_NAMA,0)),"?"))</f>
        <v>LIABILITAS</v>
      </c>
      <c r="Q1243" s="102" t="n">
        <f aca="false">N(Q1242)+IF(AND(N(E1243)&lt;&gt;0,K1243=TAHUN,N(J1243)&lt;=BLN,OR(C1243=BB_AKUN,D1243=BB_AKUN)),1,0)</f>
        <v>836</v>
      </c>
      <c r="R1243" s="104" t="str">
        <f aca="false">IF(OR(C1243&amp;D1243="",N(E1243)=0),"",IF(OR(O1243="?",P1243="?"),"⚠ akun tidak dikenal",IF(C1243=D1243,"⚠ debet = kredit","")))</f>
        <v/>
      </c>
    </row>
    <row r="1244" customFormat="false" ht="15" hidden="false" customHeight="false" outlineLevel="0" collapsed="false">
      <c r="A1244" s="82" t="s">
        <v>2492</v>
      </c>
      <c r="B1244" s="101" t="n">
        <v>46287</v>
      </c>
      <c r="C1244" s="82" t="s">
        <v>456</v>
      </c>
      <c r="D1244" s="82" t="s">
        <v>461</v>
      </c>
      <c r="E1244" s="91" t="n">
        <v>1066000</v>
      </c>
      <c r="F1244" s="82" t="s">
        <v>2493</v>
      </c>
      <c r="G1244" s="82"/>
      <c r="H1244" s="82"/>
      <c r="I1244" s="82" t="s">
        <v>250</v>
      </c>
      <c r="J1244" s="102" t="n">
        <f aca="false">IF(B1244="","",MONTH(B1244))</f>
        <v>9</v>
      </c>
      <c r="K1244" s="102" t="n">
        <f aca="false">IF(B1244="","",YEAR(B1244))</f>
        <v>2026</v>
      </c>
      <c r="L1244" s="102" t="str">
        <f aca="false">IF(N(E1244)=0,"",IF(COUNTIFS(AK_NAMA,C1244,AK_KAT,"KAS")+COUNTIFS(AK_NAMA,D1244,AK_KAT,"KAS")&lt;&gt;1,"",IF(COUNTIFS(AK_NAMA,C1244,AK_KAT,"KAS")=1,D1244,C1244)))</f>
        <v>Utang Usaha Jangka Panjang</v>
      </c>
      <c r="M1244" s="103" t="n">
        <f aca="false">IF(L1244="",0,IF(L1244=D1244,E1244,-E1244))</f>
        <v>-1066000</v>
      </c>
      <c r="N1244" s="102" t="str">
        <f aca="false">IF(L1244="","",IFERROR(INDEX(AK_BARIS,MATCH(L1244,AK_NAMA,0)),"?"))</f>
        <v>FN3</v>
      </c>
      <c r="O1244" s="102" t="str">
        <f aca="false">IF(C1244="","",IFERROR(INDEX(AK_KEL,MATCH(C1244,AK_NAMA,0)),"?"))</f>
        <v>LIABILITAS</v>
      </c>
      <c r="P1244" s="102" t="str">
        <f aca="false">IF(D1244="","",IFERROR(INDEX(AK_KEL,MATCH(D1244,AK_NAMA,0)),"?"))</f>
        <v>ASET</v>
      </c>
      <c r="Q1244" s="102" t="n">
        <f aca="false">N(Q1243)+IF(AND(N(E1244)&lt;&gt;0,K1244=TAHUN,N(J1244)&lt;=BLN,OR(C1244=BB_AKUN,D1244=BB_AKUN)),1,0)</f>
        <v>837</v>
      </c>
      <c r="R1244" s="104" t="str">
        <f aca="false">IF(OR(C1244&amp;D1244="",N(E1244)=0),"",IF(OR(O1244="?",P1244="?"),"⚠ akun tidak dikenal",IF(C1244=D1244,"⚠ debet = kredit","")))</f>
        <v/>
      </c>
    </row>
    <row r="1245" customFormat="false" ht="15" hidden="false" customHeight="false" outlineLevel="0" collapsed="false">
      <c r="A1245" s="82" t="s">
        <v>2494</v>
      </c>
      <c r="B1245" s="101" t="n">
        <v>46287</v>
      </c>
      <c r="C1245" s="82" t="s">
        <v>461</v>
      </c>
      <c r="D1245" s="82" t="s">
        <v>718</v>
      </c>
      <c r="E1245" s="91" t="n">
        <v>5048000</v>
      </c>
      <c r="F1245" s="82" t="s">
        <v>2495</v>
      </c>
      <c r="G1245" s="82"/>
      <c r="H1245" s="82"/>
      <c r="I1245" s="82" t="s">
        <v>250</v>
      </c>
      <c r="J1245" s="102" t="n">
        <f aca="false">IF(B1245="","",MONTH(B1245))</f>
        <v>9</v>
      </c>
      <c r="K1245" s="102" t="n">
        <f aca="false">IF(B1245="","",YEAR(B1245))</f>
        <v>2026</v>
      </c>
      <c r="L1245" s="102" t="str">
        <f aca="false">IF(N(E1245)=0,"",IF(COUNTIFS(AK_NAMA,C1245,AK_KAT,"KAS")+COUNTIFS(AK_NAMA,D1245,AK_KAT,"KAS")&lt;&gt;1,"",IF(COUNTIFS(AK_NAMA,C1245,AK_KAT,"KAS")=1,D1245,C1245)))</f>
        <v>Piutang Lainnya</v>
      </c>
      <c r="M1245" s="103" t="n">
        <f aca="false">IF(L1245="",0,IF(L1245=D1245,E1245,-E1245))</f>
        <v>5048000</v>
      </c>
      <c r="N1245" s="102" t="str">
        <f aca="false">IF(L1245="","",IFERROR(INDEX(AK_BARIS,MATCH(L1245,AK_NAMA,0)),"?"))</f>
        <v>OP2</v>
      </c>
      <c r="O1245" s="102" t="str">
        <f aca="false">IF(C1245="","",IFERROR(INDEX(AK_KEL,MATCH(C1245,AK_NAMA,0)),"?"))</f>
        <v>ASET</v>
      </c>
      <c r="P1245" s="102" t="str">
        <f aca="false">IF(D1245="","",IFERROR(INDEX(AK_KEL,MATCH(D1245,AK_NAMA,0)),"?"))</f>
        <v>ASET</v>
      </c>
      <c r="Q1245" s="102" t="n">
        <f aca="false">N(Q1244)+IF(AND(N(E1245)&lt;&gt;0,K1245=TAHUN,N(J1245)&lt;=BLN,OR(C1245=BB_AKUN,D1245=BB_AKUN)),1,0)</f>
        <v>838</v>
      </c>
      <c r="R1245" s="104" t="str">
        <f aca="false">IF(OR(C1245&amp;D1245="",N(E1245)=0),"",IF(OR(O1245="?",P1245="?"),"⚠ akun tidak dikenal",IF(C1245=D1245,"⚠ debet = kredit","")))</f>
        <v/>
      </c>
    </row>
    <row r="1246" customFormat="false" ht="15" hidden="false" customHeight="false" outlineLevel="0" collapsed="false">
      <c r="A1246" s="82" t="s">
        <v>2496</v>
      </c>
      <c r="B1246" s="101" t="n">
        <v>46288</v>
      </c>
      <c r="C1246" s="82" t="s">
        <v>455</v>
      </c>
      <c r="D1246" s="82" t="s">
        <v>461</v>
      </c>
      <c r="E1246" s="91" t="n">
        <v>210000</v>
      </c>
      <c r="F1246" s="82" t="s">
        <v>2497</v>
      </c>
      <c r="G1246" s="82"/>
      <c r="H1246" s="82"/>
      <c r="I1246" s="82" t="s">
        <v>250</v>
      </c>
      <c r="J1246" s="102" t="n">
        <f aca="false">IF(B1246="","",MONTH(B1246))</f>
        <v>9</v>
      </c>
      <c r="K1246" s="102" t="n">
        <f aca="false">IF(B1246="","",YEAR(B1246))</f>
        <v>2026</v>
      </c>
      <c r="L1246" s="102" t="str">
        <f aca="false">IF(N(E1246)=0,"",IF(COUNTIFS(AK_NAMA,C1246,AK_KAT,"KAS")+COUNTIFS(AK_NAMA,D1246,AK_KAT,"KAS")&lt;&gt;1,"",IF(COUNTIFS(AK_NAMA,C1246,AK_KAT,"KAS")=1,D1246,C1246)))</f>
        <v>Biaya Pemeliharaan</v>
      </c>
      <c r="M1246" s="103" t="n">
        <f aca="false">IF(L1246="",0,IF(L1246=D1246,E1246,-E1246))</f>
        <v>-210000</v>
      </c>
      <c r="N1246" s="102" t="str">
        <f aca="false">IF(L1246="","",IFERROR(INDEX(AK_BARIS,MATCH(L1246,AK_NAMA,0)),"?"))</f>
        <v>OP6</v>
      </c>
      <c r="O1246" s="102" t="str">
        <f aca="false">IF(C1246="","",IFERROR(INDEX(AK_KEL,MATCH(C1246,AK_NAMA,0)),"?"))</f>
        <v>BEBAN</v>
      </c>
      <c r="P1246" s="102" t="str">
        <f aca="false">IF(D1246="","",IFERROR(INDEX(AK_KEL,MATCH(D1246,AK_NAMA,0)),"?"))</f>
        <v>ASET</v>
      </c>
      <c r="Q1246" s="102" t="n">
        <f aca="false">N(Q1245)+IF(AND(N(E1246)&lt;&gt;0,K1246=TAHUN,N(J1246)&lt;=BLN,OR(C1246=BB_AKUN,D1246=BB_AKUN)),1,0)</f>
        <v>839</v>
      </c>
      <c r="R1246" s="104" t="str">
        <f aca="false">IF(OR(C1246&amp;D1246="",N(E1246)=0),"",IF(OR(O1246="?",P1246="?"),"⚠ akun tidak dikenal",IF(C1246=D1246,"⚠ debet = kredit","")))</f>
        <v/>
      </c>
    </row>
    <row r="1247" customFormat="false" ht="15" hidden="false" customHeight="false" outlineLevel="0" collapsed="false">
      <c r="A1247" s="82" t="s">
        <v>2498</v>
      </c>
      <c r="B1247" s="101" t="n">
        <v>46288</v>
      </c>
      <c r="C1247" s="82" t="s">
        <v>470</v>
      </c>
      <c r="D1247" s="82" t="s">
        <v>461</v>
      </c>
      <c r="E1247" s="91" t="n">
        <v>673900</v>
      </c>
      <c r="F1247" s="82" t="s">
        <v>2499</v>
      </c>
      <c r="G1247" s="82"/>
      <c r="H1247" s="82"/>
      <c r="I1247" s="82" t="s">
        <v>250</v>
      </c>
      <c r="J1247" s="102" t="n">
        <f aca="false">IF(B1247="","",MONTH(B1247))</f>
        <v>9</v>
      </c>
      <c r="K1247" s="102" t="n">
        <f aca="false">IF(B1247="","",YEAR(B1247))</f>
        <v>2026</v>
      </c>
      <c r="L1247" s="102" t="str">
        <f aca="false">IF(N(E1247)=0,"",IF(COUNTIFS(AK_NAMA,C1247,AK_KAT,"KAS")+COUNTIFS(AK_NAMA,D1247,AK_KAT,"KAS")&lt;&gt;1,"",IF(COUNTIFS(AK_NAMA,C1247,AK_KAT,"KAS")=1,D1247,C1247)))</f>
        <v>Biaya Bahan Baku</v>
      </c>
      <c r="M1247" s="103" t="n">
        <f aca="false">IF(L1247="",0,IF(L1247=D1247,E1247,-E1247))</f>
        <v>-673900</v>
      </c>
      <c r="N1247" s="102" t="str">
        <f aca="false">IF(L1247="","",IFERROR(INDEX(AK_BARIS,MATCH(L1247,AK_NAMA,0)),"?"))</f>
        <v>OP3</v>
      </c>
      <c r="O1247" s="102" t="str">
        <f aca="false">IF(C1247="","",IFERROR(INDEX(AK_KEL,MATCH(C1247,AK_NAMA,0)),"?"))</f>
        <v>BEBAN</v>
      </c>
      <c r="P1247" s="102" t="str">
        <f aca="false">IF(D1247="","",IFERROR(INDEX(AK_KEL,MATCH(D1247,AK_NAMA,0)),"?"))</f>
        <v>ASET</v>
      </c>
      <c r="Q1247" s="102" t="n">
        <f aca="false">N(Q1246)+IF(AND(N(E1247)&lt;&gt;0,K1247=TAHUN,N(J1247)&lt;=BLN,OR(C1247=BB_AKUN,D1247=BB_AKUN)),1,0)</f>
        <v>840</v>
      </c>
      <c r="R1247" s="104" t="str">
        <f aca="false">IF(OR(C1247&amp;D1247="",N(E1247)=0),"",IF(OR(O1247="?",P1247="?"),"⚠ akun tidak dikenal",IF(C1247=D1247,"⚠ debet = kredit","")))</f>
        <v/>
      </c>
    </row>
    <row r="1248" customFormat="false" ht="15" hidden="false" customHeight="false" outlineLevel="0" collapsed="false">
      <c r="A1248" s="82" t="s">
        <v>2500</v>
      </c>
      <c r="B1248" s="101" t="n">
        <v>46289</v>
      </c>
      <c r="C1248" s="82" t="s">
        <v>164</v>
      </c>
      <c r="D1248" s="82" t="s">
        <v>461</v>
      </c>
      <c r="E1248" s="91" t="n">
        <v>231600</v>
      </c>
      <c r="F1248" s="82" t="s">
        <v>2501</v>
      </c>
      <c r="G1248" s="82"/>
      <c r="H1248" s="82"/>
      <c r="I1248" s="82" t="s">
        <v>250</v>
      </c>
      <c r="J1248" s="102" t="n">
        <f aca="false">IF(B1248="","",MONTH(B1248))</f>
        <v>9</v>
      </c>
      <c r="K1248" s="102" t="n">
        <f aca="false">IF(B1248="","",YEAR(B1248))</f>
        <v>2026</v>
      </c>
      <c r="L1248" s="102" t="str">
        <f aca="false">IF(N(E1248)=0,"",IF(COUNTIFS(AK_NAMA,C1248,AK_KAT,"KAS")+COUNTIFS(AK_NAMA,D1248,AK_KAT,"KAS")&lt;&gt;1,"",IF(COUNTIFS(AK_NAMA,C1248,AK_KAT,"KAS")=1,D1248,C1248)))</f>
        <v>Perlengkapan</v>
      </c>
      <c r="M1248" s="103" t="n">
        <f aca="false">IF(L1248="",0,IF(L1248=D1248,E1248,-E1248))</f>
        <v>-231600</v>
      </c>
      <c r="N1248" s="102" t="str">
        <f aca="false">IF(L1248="","",IFERROR(INDEX(AK_BARIS,MATCH(L1248,AK_NAMA,0)),"?"))</f>
        <v>OP6</v>
      </c>
      <c r="O1248" s="102" t="str">
        <f aca="false">IF(C1248="","",IFERROR(INDEX(AK_KEL,MATCH(C1248,AK_NAMA,0)),"?"))</f>
        <v>ASET</v>
      </c>
      <c r="P1248" s="102" t="str">
        <f aca="false">IF(D1248="","",IFERROR(INDEX(AK_KEL,MATCH(D1248,AK_NAMA,0)),"?"))</f>
        <v>ASET</v>
      </c>
      <c r="Q1248" s="102" t="n">
        <f aca="false">N(Q1247)+IF(AND(N(E1248)&lt;&gt;0,K1248=TAHUN,N(J1248)&lt;=BLN,OR(C1248=BB_AKUN,D1248=BB_AKUN)),1,0)</f>
        <v>841</v>
      </c>
      <c r="R1248" s="104" t="str">
        <f aca="false">IF(OR(C1248&amp;D1248="",N(E1248)=0),"",IF(OR(O1248="?",P1248="?"),"⚠ akun tidak dikenal",IF(C1248=D1248,"⚠ debet = kredit","")))</f>
        <v/>
      </c>
    </row>
    <row r="1249" customFormat="false" ht="15" hidden="false" customHeight="false" outlineLevel="0" collapsed="false">
      <c r="A1249" s="82" t="s">
        <v>2502</v>
      </c>
      <c r="B1249" s="101" t="n">
        <v>46289</v>
      </c>
      <c r="C1249" s="82" t="s">
        <v>470</v>
      </c>
      <c r="D1249" s="82" t="s">
        <v>461</v>
      </c>
      <c r="E1249" s="91" t="n">
        <v>238500</v>
      </c>
      <c r="F1249" s="82" t="s">
        <v>2503</v>
      </c>
      <c r="G1249" s="82"/>
      <c r="H1249" s="82"/>
      <c r="I1249" s="82" t="s">
        <v>250</v>
      </c>
      <c r="J1249" s="102" t="n">
        <f aca="false">IF(B1249="","",MONTH(B1249))</f>
        <v>9</v>
      </c>
      <c r="K1249" s="102" t="n">
        <f aca="false">IF(B1249="","",YEAR(B1249))</f>
        <v>2026</v>
      </c>
      <c r="L1249" s="102" t="str">
        <f aca="false">IF(N(E1249)=0,"",IF(COUNTIFS(AK_NAMA,C1249,AK_KAT,"KAS")+COUNTIFS(AK_NAMA,D1249,AK_KAT,"KAS")&lt;&gt;1,"",IF(COUNTIFS(AK_NAMA,C1249,AK_KAT,"KAS")=1,D1249,C1249)))</f>
        <v>Biaya Bahan Baku</v>
      </c>
      <c r="M1249" s="103" t="n">
        <f aca="false">IF(L1249="",0,IF(L1249=D1249,E1249,-E1249))</f>
        <v>-238500</v>
      </c>
      <c r="N1249" s="102" t="str">
        <f aca="false">IF(L1249="","",IFERROR(INDEX(AK_BARIS,MATCH(L1249,AK_NAMA,0)),"?"))</f>
        <v>OP3</v>
      </c>
      <c r="O1249" s="102" t="str">
        <f aca="false">IF(C1249="","",IFERROR(INDEX(AK_KEL,MATCH(C1249,AK_NAMA,0)),"?"))</f>
        <v>BEBAN</v>
      </c>
      <c r="P1249" s="102" t="str">
        <f aca="false">IF(D1249="","",IFERROR(INDEX(AK_KEL,MATCH(D1249,AK_NAMA,0)),"?"))</f>
        <v>ASET</v>
      </c>
      <c r="Q1249" s="102" t="n">
        <f aca="false">N(Q1248)+IF(AND(N(E1249)&lt;&gt;0,K1249=TAHUN,N(J1249)&lt;=BLN,OR(C1249=BB_AKUN,D1249=BB_AKUN)),1,0)</f>
        <v>842</v>
      </c>
      <c r="R1249" s="104" t="str">
        <f aca="false">IF(OR(C1249&amp;D1249="",N(E1249)=0),"",IF(OR(O1249="?",P1249="?"),"⚠ akun tidak dikenal",IF(C1249=D1249,"⚠ debet = kredit","")))</f>
        <v/>
      </c>
    </row>
    <row r="1250" customFormat="false" ht="15" hidden="false" customHeight="false" outlineLevel="0" collapsed="false">
      <c r="A1250" s="82" t="s">
        <v>2504</v>
      </c>
      <c r="B1250" s="101" t="n">
        <v>46289</v>
      </c>
      <c r="C1250" s="82" t="s">
        <v>475</v>
      </c>
      <c r="D1250" s="82" t="s">
        <v>461</v>
      </c>
      <c r="E1250" s="91" t="n">
        <v>125020</v>
      </c>
      <c r="F1250" s="82" t="s">
        <v>2318</v>
      </c>
      <c r="G1250" s="82"/>
      <c r="H1250" s="82"/>
      <c r="I1250" s="82" t="s">
        <v>250</v>
      </c>
      <c r="J1250" s="102" t="n">
        <f aca="false">IF(B1250="","",MONTH(B1250))</f>
        <v>9</v>
      </c>
      <c r="K1250" s="102" t="n">
        <f aca="false">IF(B1250="","",YEAR(B1250))</f>
        <v>2026</v>
      </c>
      <c r="L1250" s="102" t="str">
        <f aca="false">IF(N(E1250)=0,"",IF(COUNTIFS(AK_NAMA,C1250,AK_KAT,"KAS")+COUNTIFS(AK_NAMA,D1250,AK_KAT,"KAS")&lt;&gt;1,"",IF(COUNTIFS(AK_NAMA,C1250,AK_KAT,"KAS")=1,D1250,C1250)))</f>
        <v/>
      </c>
      <c r="M1250" s="103" t="n">
        <f aca="false">IF(L1250="",0,IF(L1250=D1250,E1250,-E1250))</f>
        <v>0</v>
      </c>
      <c r="N1250" s="102" t="str">
        <f aca="false">IF(L1250="","",IFERROR(INDEX(AK_BARIS,MATCH(L1250,AK_NAMA,0)),"?"))</f>
        <v/>
      </c>
      <c r="O1250" s="102" t="str">
        <f aca="false">IF(C1250="","",IFERROR(INDEX(AK_KEL,MATCH(C1250,AK_NAMA,0)),"?"))</f>
        <v>ASET</v>
      </c>
      <c r="P1250" s="102" t="str">
        <f aca="false">IF(D1250="","",IFERROR(INDEX(AK_KEL,MATCH(D1250,AK_NAMA,0)),"?"))</f>
        <v>ASET</v>
      </c>
      <c r="Q1250" s="102" t="n">
        <f aca="false">N(Q1249)+IF(AND(N(E1250)&lt;&gt;0,K1250=TAHUN,N(J1250)&lt;=BLN,OR(C1250=BB_AKUN,D1250=BB_AKUN)),1,0)</f>
        <v>843</v>
      </c>
      <c r="R1250" s="104" t="str">
        <f aca="false">IF(OR(C1250&amp;D1250="",N(E1250)=0),"",IF(OR(O1250="?",P1250="?"),"⚠ akun tidak dikenal",IF(C1250=D1250,"⚠ debet = kredit","")))</f>
        <v/>
      </c>
    </row>
    <row r="1251" customFormat="false" ht="15" hidden="false" customHeight="false" outlineLevel="0" collapsed="false">
      <c r="A1251" s="82" t="s">
        <v>2505</v>
      </c>
      <c r="B1251" s="101" t="n">
        <v>46289</v>
      </c>
      <c r="C1251" s="82" t="s">
        <v>524</v>
      </c>
      <c r="D1251" s="82" t="s">
        <v>475</v>
      </c>
      <c r="E1251" s="91" t="n">
        <v>20</v>
      </c>
      <c r="F1251" s="82" t="s">
        <v>2226</v>
      </c>
      <c r="G1251" s="82"/>
      <c r="H1251" s="82"/>
      <c r="I1251" s="82" t="s">
        <v>250</v>
      </c>
      <c r="J1251" s="102" t="n">
        <f aca="false">IF(B1251="","",MONTH(B1251))</f>
        <v>9</v>
      </c>
      <c r="K1251" s="102" t="n">
        <f aca="false">IF(B1251="","",YEAR(B1251))</f>
        <v>2026</v>
      </c>
      <c r="L1251" s="102" t="str">
        <f aca="false">IF(N(E1251)=0,"",IF(COUNTIFS(AK_NAMA,C1251,AK_KAT,"KAS")+COUNTIFS(AK_NAMA,D1251,AK_KAT,"KAS")&lt;&gt;1,"",IF(COUNTIFS(AK_NAMA,C1251,AK_KAT,"KAS")=1,D1251,C1251)))</f>
        <v>Biaya Lainnya</v>
      </c>
      <c r="M1251" s="103" t="n">
        <f aca="false">IF(L1251="",0,IF(L1251=D1251,E1251,-E1251))</f>
        <v>-20</v>
      </c>
      <c r="N1251" s="102" t="str">
        <f aca="false">IF(L1251="","",IFERROR(INDEX(AK_BARIS,MATCH(L1251,AK_NAMA,0)),"?"))</f>
        <v>OP2</v>
      </c>
      <c r="O1251" s="102" t="str">
        <f aca="false">IF(C1251="","",IFERROR(INDEX(AK_KEL,MATCH(C1251,AK_NAMA,0)),"?"))</f>
        <v>BEBAN</v>
      </c>
      <c r="P1251" s="102" t="str">
        <f aca="false">IF(D1251="","",IFERROR(INDEX(AK_KEL,MATCH(D1251,AK_NAMA,0)),"?"))</f>
        <v>ASET</v>
      </c>
      <c r="Q1251" s="102" t="n">
        <f aca="false">N(Q1250)+IF(AND(N(E1251)&lt;&gt;0,K1251=TAHUN,N(J1251)&lt;=BLN,OR(C1251=BB_AKUN,D1251=BB_AKUN)),1,0)</f>
        <v>843</v>
      </c>
      <c r="R1251" s="104" t="str">
        <f aca="false">IF(OR(C1251&amp;D1251="",N(E1251)=0),"",IF(OR(O1251="?",P1251="?"),"⚠ akun tidak dikenal",IF(C1251=D1251,"⚠ debet = kredit","")))</f>
        <v/>
      </c>
    </row>
    <row r="1252" customFormat="false" ht="15" hidden="false" customHeight="false" outlineLevel="0" collapsed="false">
      <c r="A1252" s="82" t="s">
        <v>2506</v>
      </c>
      <c r="B1252" s="101" t="n">
        <v>46290</v>
      </c>
      <c r="C1252" s="82" t="s">
        <v>470</v>
      </c>
      <c r="D1252" s="82" t="s">
        <v>461</v>
      </c>
      <c r="E1252" s="91" t="n">
        <v>266000</v>
      </c>
      <c r="F1252" s="82" t="s">
        <v>1729</v>
      </c>
      <c r="G1252" s="82"/>
      <c r="H1252" s="82"/>
      <c r="I1252" s="82" t="s">
        <v>250</v>
      </c>
      <c r="J1252" s="102" t="n">
        <f aca="false">IF(B1252="","",MONTH(B1252))</f>
        <v>9</v>
      </c>
      <c r="K1252" s="102" t="n">
        <f aca="false">IF(B1252="","",YEAR(B1252))</f>
        <v>2026</v>
      </c>
      <c r="L1252" s="102" t="str">
        <f aca="false">IF(N(E1252)=0,"",IF(COUNTIFS(AK_NAMA,C1252,AK_KAT,"KAS")+COUNTIFS(AK_NAMA,D1252,AK_KAT,"KAS")&lt;&gt;1,"",IF(COUNTIFS(AK_NAMA,C1252,AK_KAT,"KAS")=1,D1252,C1252)))</f>
        <v>Biaya Bahan Baku</v>
      </c>
      <c r="M1252" s="103" t="n">
        <f aca="false">IF(L1252="",0,IF(L1252=D1252,E1252,-E1252))</f>
        <v>-266000</v>
      </c>
      <c r="N1252" s="102" t="str">
        <f aca="false">IF(L1252="","",IFERROR(INDEX(AK_BARIS,MATCH(L1252,AK_NAMA,0)),"?"))</f>
        <v>OP3</v>
      </c>
      <c r="O1252" s="102" t="str">
        <f aca="false">IF(C1252="","",IFERROR(INDEX(AK_KEL,MATCH(C1252,AK_NAMA,0)),"?"))</f>
        <v>BEBAN</v>
      </c>
      <c r="P1252" s="102" t="str">
        <f aca="false">IF(D1252="","",IFERROR(INDEX(AK_KEL,MATCH(D1252,AK_NAMA,0)),"?"))</f>
        <v>ASET</v>
      </c>
      <c r="Q1252" s="102" t="n">
        <f aca="false">N(Q1251)+IF(AND(N(E1252)&lt;&gt;0,K1252=TAHUN,N(J1252)&lt;=BLN,OR(C1252=BB_AKUN,D1252=BB_AKUN)),1,0)</f>
        <v>844</v>
      </c>
      <c r="R1252" s="104" t="str">
        <f aca="false">IF(OR(C1252&amp;D1252="",N(E1252)=0),"",IF(OR(O1252="?",P1252="?"),"⚠ akun tidak dikenal",IF(C1252=D1252,"⚠ debet = kredit","")))</f>
        <v/>
      </c>
    </row>
    <row r="1253" customFormat="false" ht="15" hidden="false" customHeight="false" outlineLevel="0" collapsed="false">
      <c r="A1253" s="82" t="s">
        <v>2507</v>
      </c>
      <c r="B1253" s="101" t="n">
        <v>46290</v>
      </c>
      <c r="C1253" s="82" t="s">
        <v>672</v>
      </c>
      <c r="D1253" s="82" t="s">
        <v>461</v>
      </c>
      <c r="E1253" s="91" t="n">
        <v>710950</v>
      </c>
      <c r="F1253" s="82" t="s">
        <v>2508</v>
      </c>
      <c r="G1253" s="82"/>
      <c r="H1253" s="82"/>
      <c r="I1253" s="82" t="s">
        <v>250</v>
      </c>
      <c r="J1253" s="102" t="n">
        <f aca="false">IF(B1253="","",MONTH(B1253))</f>
        <v>9</v>
      </c>
      <c r="K1253" s="102" t="n">
        <f aca="false">IF(B1253="","",YEAR(B1253))</f>
        <v>2026</v>
      </c>
      <c r="L1253" s="102" t="str">
        <f aca="false">IF(N(E1253)=0,"",IF(COUNTIFS(AK_NAMA,C1253,AK_KAT,"KAS")+COUNTIFS(AK_NAMA,D1253,AK_KAT,"KAS")&lt;&gt;1,"",IF(COUNTIFS(AK_NAMA,C1253,AK_KAT,"KAS")=1,D1253,C1253)))</f>
        <v>Peralatan</v>
      </c>
      <c r="M1253" s="103" t="n">
        <f aca="false">IF(L1253="",0,IF(L1253=D1253,E1253,-E1253))</f>
        <v>-710950</v>
      </c>
      <c r="N1253" s="102" t="str">
        <f aca="false">IF(L1253="","",IFERROR(INDEX(AK_BARIS,MATCH(L1253,AK_NAMA,0)),"?"))</f>
        <v>IN1</v>
      </c>
      <c r="O1253" s="102" t="str">
        <f aca="false">IF(C1253="","",IFERROR(INDEX(AK_KEL,MATCH(C1253,AK_NAMA,0)),"?"))</f>
        <v>ASET</v>
      </c>
      <c r="P1253" s="102" t="str">
        <f aca="false">IF(D1253="","",IFERROR(INDEX(AK_KEL,MATCH(D1253,AK_NAMA,0)),"?"))</f>
        <v>ASET</v>
      </c>
      <c r="Q1253" s="102" t="n">
        <f aca="false">N(Q1252)+IF(AND(N(E1253)&lt;&gt;0,K1253=TAHUN,N(J1253)&lt;=BLN,OR(C1253=BB_AKUN,D1253=BB_AKUN)),1,0)</f>
        <v>845</v>
      </c>
      <c r="R1253" s="104" t="str">
        <f aca="false">IF(OR(C1253&amp;D1253="",N(E1253)=0),"",IF(OR(O1253="?",P1253="?"),"⚠ akun tidak dikenal",IF(C1253=D1253,"⚠ debet = kredit","")))</f>
        <v/>
      </c>
    </row>
    <row r="1254" customFormat="false" ht="15" hidden="false" customHeight="false" outlineLevel="0" collapsed="false">
      <c r="A1254" s="82" t="s">
        <v>2509</v>
      </c>
      <c r="B1254" s="101" t="n">
        <v>46291</v>
      </c>
      <c r="C1254" s="82" t="s">
        <v>470</v>
      </c>
      <c r="D1254" s="82" t="s">
        <v>461</v>
      </c>
      <c r="E1254" s="91" t="n">
        <v>266000</v>
      </c>
      <c r="F1254" s="82" t="s">
        <v>1729</v>
      </c>
      <c r="G1254" s="82"/>
      <c r="H1254" s="82"/>
      <c r="I1254" s="82" t="s">
        <v>250</v>
      </c>
      <c r="J1254" s="102" t="n">
        <f aca="false">IF(B1254="","",MONTH(B1254))</f>
        <v>9</v>
      </c>
      <c r="K1254" s="102" t="n">
        <f aca="false">IF(B1254="","",YEAR(B1254))</f>
        <v>2026</v>
      </c>
      <c r="L1254" s="102" t="str">
        <f aca="false">IF(N(E1254)=0,"",IF(COUNTIFS(AK_NAMA,C1254,AK_KAT,"KAS")+COUNTIFS(AK_NAMA,D1254,AK_KAT,"KAS")&lt;&gt;1,"",IF(COUNTIFS(AK_NAMA,C1254,AK_KAT,"KAS")=1,D1254,C1254)))</f>
        <v>Biaya Bahan Baku</v>
      </c>
      <c r="M1254" s="103" t="n">
        <f aca="false">IF(L1254="",0,IF(L1254=D1254,E1254,-E1254))</f>
        <v>-266000</v>
      </c>
      <c r="N1254" s="102" t="str">
        <f aca="false">IF(L1254="","",IFERROR(INDEX(AK_BARIS,MATCH(L1254,AK_NAMA,0)),"?"))</f>
        <v>OP3</v>
      </c>
      <c r="O1254" s="102" t="str">
        <f aca="false">IF(C1254="","",IFERROR(INDEX(AK_KEL,MATCH(C1254,AK_NAMA,0)),"?"))</f>
        <v>BEBAN</v>
      </c>
      <c r="P1254" s="102" t="str">
        <f aca="false">IF(D1254="","",IFERROR(INDEX(AK_KEL,MATCH(D1254,AK_NAMA,0)),"?"))</f>
        <v>ASET</v>
      </c>
      <c r="Q1254" s="102" t="n">
        <f aca="false">N(Q1253)+IF(AND(N(E1254)&lt;&gt;0,K1254=TAHUN,N(J1254)&lt;=BLN,OR(C1254=BB_AKUN,D1254=BB_AKUN)),1,0)</f>
        <v>846</v>
      </c>
      <c r="R1254" s="104" t="str">
        <f aca="false">IF(OR(C1254&amp;D1254="",N(E1254)=0),"",IF(OR(O1254="?",P1254="?"),"⚠ akun tidak dikenal",IF(C1254=D1254,"⚠ debet = kredit","")))</f>
        <v/>
      </c>
    </row>
    <row r="1255" customFormat="false" ht="15" hidden="false" customHeight="false" outlineLevel="0" collapsed="false">
      <c r="A1255" s="82" t="s">
        <v>2510</v>
      </c>
      <c r="B1255" s="101" t="n">
        <v>46293</v>
      </c>
      <c r="C1255" s="82" t="s">
        <v>164</v>
      </c>
      <c r="D1255" s="82" t="s">
        <v>461</v>
      </c>
      <c r="E1255" s="91" t="n">
        <v>221200</v>
      </c>
      <c r="F1255" s="82" t="s">
        <v>2511</v>
      </c>
      <c r="G1255" s="82"/>
      <c r="H1255" s="82"/>
      <c r="I1255" s="82" t="s">
        <v>250</v>
      </c>
      <c r="J1255" s="102" t="n">
        <f aca="false">IF(B1255="","",MONTH(B1255))</f>
        <v>9</v>
      </c>
      <c r="K1255" s="102" t="n">
        <f aca="false">IF(B1255="","",YEAR(B1255))</f>
        <v>2026</v>
      </c>
      <c r="L1255" s="102" t="str">
        <f aca="false">IF(N(E1255)=0,"",IF(COUNTIFS(AK_NAMA,C1255,AK_KAT,"KAS")+COUNTIFS(AK_NAMA,D1255,AK_KAT,"KAS")&lt;&gt;1,"",IF(COUNTIFS(AK_NAMA,C1255,AK_KAT,"KAS")=1,D1255,C1255)))</f>
        <v>Perlengkapan</v>
      </c>
      <c r="M1255" s="103" t="n">
        <f aca="false">IF(L1255="",0,IF(L1255=D1255,E1255,-E1255))</f>
        <v>-221200</v>
      </c>
      <c r="N1255" s="102" t="str">
        <f aca="false">IF(L1255="","",IFERROR(INDEX(AK_BARIS,MATCH(L1255,AK_NAMA,0)),"?"))</f>
        <v>OP6</v>
      </c>
      <c r="O1255" s="102" t="str">
        <f aca="false">IF(C1255="","",IFERROR(INDEX(AK_KEL,MATCH(C1255,AK_NAMA,0)),"?"))</f>
        <v>ASET</v>
      </c>
      <c r="P1255" s="102" t="str">
        <f aca="false">IF(D1255="","",IFERROR(INDEX(AK_KEL,MATCH(D1255,AK_NAMA,0)),"?"))</f>
        <v>ASET</v>
      </c>
      <c r="Q1255" s="102" t="n">
        <f aca="false">N(Q1254)+IF(AND(N(E1255)&lt;&gt;0,K1255=TAHUN,N(J1255)&lt;=BLN,OR(C1255=BB_AKUN,D1255=BB_AKUN)),1,0)</f>
        <v>847</v>
      </c>
      <c r="R1255" s="104" t="str">
        <f aca="false">IF(OR(C1255&amp;D1255="",N(E1255)=0),"",IF(OR(O1255="?",P1255="?"),"⚠ akun tidak dikenal",IF(C1255=D1255,"⚠ debet = kredit","")))</f>
        <v/>
      </c>
    </row>
    <row r="1256" customFormat="false" ht="15" hidden="false" customHeight="false" outlineLevel="0" collapsed="false">
      <c r="A1256" s="82" t="s">
        <v>2512</v>
      </c>
      <c r="B1256" s="101" t="n">
        <v>46293</v>
      </c>
      <c r="C1256" s="82" t="s">
        <v>669</v>
      </c>
      <c r="D1256" s="82" t="s">
        <v>461</v>
      </c>
      <c r="E1256" s="91" t="n">
        <v>389000</v>
      </c>
      <c r="F1256" s="82" t="s">
        <v>1956</v>
      </c>
      <c r="G1256" s="82"/>
      <c r="H1256" s="82"/>
      <c r="I1256" s="82" t="s">
        <v>250</v>
      </c>
      <c r="J1256" s="102" t="n">
        <f aca="false">IF(B1256="","",MONTH(B1256))</f>
        <v>9</v>
      </c>
      <c r="K1256" s="102" t="n">
        <f aca="false">IF(B1256="","",YEAR(B1256))</f>
        <v>2026</v>
      </c>
      <c r="L1256" s="102" t="str">
        <f aca="false">IF(N(E1256)=0,"",IF(COUNTIFS(AK_NAMA,C1256,AK_KAT,"KAS")+COUNTIFS(AK_NAMA,D1256,AK_KAT,"KAS")&lt;&gt;1,"",IF(COUNTIFS(AK_NAMA,C1256,AK_KAT,"KAS")=1,D1256,C1256)))</f>
        <v>Biaya Tagihan Bulanan</v>
      </c>
      <c r="M1256" s="103" t="n">
        <f aca="false">IF(L1256="",0,IF(L1256=D1256,E1256,-E1256))</f>
        <v>-389000</v>
      </c>
      <c r="N1256" s="102" t="str">
        <f aca="false">IF(L1256="","",IFERROR(INDEX(AK_BARIS,MATCH(L1256,AK_NAMA,0)),"?"))</f>
        <v>OP6</v>
      </c>
      <c r="O1256" s="102" t="str">
        <f aca="false">IF(C1256="","",IFERROR(INDEX(AK_KEL,MATCH(C1256,AK_NAMA,0)),"?"))</f>
        <v>BEBAN</v>
      </c>
      <c r="P1256" s="102" t="str">
        <f aca="false">IF(D1256="","",IFERROR(INDEX(AK_KEL,MATCH(D1256,AK_NAMA,0)),"?"))</f>
        <v>ASET</v>
      </c>
      <c r="Q1256" s="102" t="n">
        <f aca="false">N(Q1255)+IF(AND(N(E1256)&lt;&gt;0,K1256=TAHUN,N(J1256)&lt;=BLN,OR(C1256=BB_AKUN,D1256=BB_AKUN)),1,0)</f>
        <v>848</v>
      </c>
      <c r="R1256" s="104" t="str">
        <f aca="false">IF(OR(C1256&amp;D1256="",N(E1256)=0),"",IF(OR(O1256="?",P1256="?"),"⚠ akun tidak dikenal",IF(C1256=D1256,"⚠ debet = kredit","")))</f>
        <v/>
      </c>
    </row>
    <row r="1257" customFormat="false" ht="15" hidden="false" customHeight="false" outlineLevel="0" collapsed="false">
      <c r="A1257" s="82" t="s">
        <v>2513</v>
      </c>
      <c r="B1257" s="101" t="n">
        <v>46293</v>
      </c>
      <c r="C1257" s="82" t="s">
        <v>164</v>
      </c>
      <c r="D1257" s="82" t="s">
        <v>461</v>
      </c>
      <c r="E1257" s="91" t="n">
        <v>239730</v>
      </c>
      <c r="F1257" s="82" t="s">
        <v>2514</v>
      </c>
      <c r="G1257" s="82"/>
      <c r="H1257" s="82"/>
      <c r="I1257" s="82" t="s">
        <v>250</v>
      </c>
      <c r="J1257" s="102" t="n">
        <f aca="false">IF(B1257="","",MONTH(B1257))</f>
        <v>9</v>
      </c>
      <c r="K1257" s="102" t="n">
        <f aca="false">IF(B1257="","",YEAR(B1257))</f>
        <v>2026</v>
      </c>
      <c r="L1257" s="102" t="str">
        <f aca="false">IF(N(E1257)=0,"",IF(COUNTIFS(AK_NAMA,C1257,AK_KAT,"KAS")+COUNTIFS(AK_NAMA,D1257,AK_KAT,"KAS")&lt;&gt;1,"",IF(COUNTIFS(AK_NAMA,C1257,AK_KAT,"KAS")=1,D1257,C1257)))</f>
        <v>Perlengkapan</v>
      </c>
      <c r="M1257" s="103" t="n">
        <f aca="false">IF(L1257="",0,IF(L1257=D1257,E1257,-E1257))</f>
        <v>-239730</v>
      </c>
      <c r="N1257" s="102" t="str">
        <f aca="false">IF(L1257="","",IFERROR(INDEX(AK_BARIS,MATCH(L1257,AK_NAMA,0)),"?"))</f>
        <v>OP6</v>
      </c>
      <c r="O1257" s="102" t="str">
        <f aca="false">IF(C1257="","",IFERROR(INDEX(AK_KEL,MATCH(C1257,AK_NAMA,0)),"?"))</f>
        <v>ASET</v>
      </c>
      <c r="P1257" s="102" t="str">
        <f aca="false">IF(D1257="","",IFERROR(INDEX(AK_KEL,MATCH(D1257,AK_NAMA,0)),"?"))</f>
        <v>ASET</v>
      </c>
      <c r="Q1257" s="102" t="n">
        <f aca="false">N(Q1256)+IF(AND(N(E1257)&lt;&gt;0,K1257=TAHUN,N(J1257)&lt;=BLN,OR(C1257=BB_AKUN,D1257=BB_AKUN)),1,0)</f>
        <v>849</v>
      </c>
      <c r="R1257" s="104" t="str">
        <f aca="false">IF(OR(C1257&amp;D1257="",N(E1257)=0),"",IF(OR(O1257="?",P1257="?"),"⚠ akun tidak dikenal",IF(C1257=D1257,"⚠ debet = kredit","")))</f>
        <v/>
      </c>
    </row>
    <row r="1258" customFormat="false" ht="15" hidden="false" customHeight="false" outlineLevel="0" collapsed="false">
      <c r="A1258" s="82" t="s">
        <v>2515</v>
      </c>
      <c r="B1258" s="101" t="n">
        <v>46293</v>
      </c>
      <c r="C1258" s="82" t="s">
        <v>164</v>
      </c>
      <c r="D1258" s="82" t="s">
        <v>461</v>
      </c>
      <c r="E1258" s="91" t="n">
        <v>172250</v>
      </c>
      <c r="F1258" s="82" t="s">
        <v>2516</v>
      </c>
      <c r="G1258" s="82"/>
      <c r="H1258" s="82"/>
      <c r="I1258" s="82" t="s">
        <v>250</v>
      </c>
      <c r="J1258" s="102" t="n">
        <f aca="false">IF(B1258="","",MONTH(B1258))</f>
        <v>9</v>
      </c>
      <c r="K1258" s="102" t="n">
        <f aca="false">IF(B1258="","",YEAR(B1258))</f>
        <v>2026</v>
      </c>
      <c r="L1258" s="102" t="str">
        <f aca="false">IF(N(E1258)=0,"",IF(COUNTIFS(AK_NAMA,C1258,AK_KAT,"KAS")+COUNTIFS(AK_NAMA,D1258,AK_KAT,"KAS")&lt;&gt;1,"",IF(COUNTIFS(AK_NAMA,C1258,AK_KAT,"KAS")=1,D1258,C1258)))</f>
        <v>Perlengkapan</v>
      </c>
      <c r="M1258" s="103" t="n">
        <f aca="false">IF(L1258="",0,IF(L1258=D1258,E1258,-E1258))</f>
        <v>-172250</v>
      </c>
      <c r="N1258" s="102" t="str">
        <f aca="false">IF(L1258="","",IFERROR(INDEX(AK_BARIS,MATCH(L1258,AK_NAMA,0)),"?"))</f>
        <v>OP6</v>
      </c>
      <c r="O1258" s="102" t="str">
        <f aca="false">IF(C1258="","",IFERROR(INDEX(AK_KEL,MATCH(C1258,AK_NAMA,0)),"?"))</f>
        <v>ASET</v>
      </c>
      <c r="P1258" s="102" t="str">
        <f aca="false">IF(D1258="","",IFERROR(INDEX(AK_KEL,MATCH(D1258,AK_NAMA,0)),"?"))</f>
        <v>ASET</v>
      </c>
      <c r="Q1258" s="102" t="n">
        <f aca="false">N(Q1257)+IF(AND(N(E1258)&lt;&gt;0,K1258=TAHUN,N(J1258)&lt;=BLN,OR(C1258=BB_AKUN,D1258=BB_AKUN)),1,0)</f>
        <v>850</v>
      </c>
      <c r="R1258" s="104" t="str">
        <f aca="false">IF(OR(C1258&amp;D1258="",N(E1258)=0),"",IF(OR(O1258="?",P1258="?"),"⚠ akun tidak dikenal",IF(C1258=D1258,"⚠ debet = kredit","")))</f>
        <v/>
      </c>
    </row>
    <row r="1259" customFormat="false" ht="15" hidden="false" customHeight="false" outlineLevel="0" collapsed="false">
      <c r="A1259" s="82" t="s">
        <v>2517</v>
      </c>
      <c r="B1259" s="101" t="n">
        <v>46293</v>
      </c>
      <c r="C1259" s="82" t="s">
        <v>470</v>
      </c>
      <c r="D1259" s="82" t="s">
        <v>461</v>
      </c>
      <c r="E1259" s="91" t="n">
        <v>678000</v>
      </c>
      <c r="F1259" s="82" t="s">
        <v>2518</v>
      </c>
      <c r="G1259" s="82"/>
      <c r="H1259" s="82"/>
      <c r="I1259" s="82" t="s">
        <v>250</v>
      </c>
      <c r="J1259" s="102" t="n">
        <f aca="false">IF(B1259="","",MONTH(B1259))</f>
        <v>9</v>
      </c>
      <c r="K1259" s="102" t="n">
        <f aca="false">IF(B1259="","",YEAR(B1259))</f>
        <v>2026</v>
      </c>
      <c r="L1259" s="102" t="str">
        <f aca="false">IF(N(E1259)=0,"",IF(COUNTIFS(AK_NAMA,C1259,AK_KAT,"KAS")+COUNTIFS(AK_NAMA,D1259,AK_KAT,"KAS")&lt;&gt;1,"",IF(COUNTIFS(AK_NAMA,C1259,AK_KAT,"KAS")=1,D1259,C1259)))</f>
        <v>Biaya Bahan Baku</v>
      </c>
      <c r="M1259" s="103" t="n">
        <f aca="false">IF(L1259="",0,IF(L1259=D1259,E1259,-E1259))</f>
        <v>-678000</v>
      </c>
      <c r="N1259" s="102" t="str">
        <f aca="false">IF(L1259="","",IFERROR(INDEX(AK_BARIS,MATCH(L1259,AK_NAMA,0)),"?"))</f>
        <v>OP3</v>
      </c>
      <c r="O1259" s="102" t="str">
        <f aca="false">IF(C1259="","",IFERROR(INDEX(AK_KEL,MATCH(C1259,AK_NAMA,0)),"?"))</f>
        <v>BEBAN</v>
      </c>
      <c r="P1259" s="102" t="str">
        <f aca="false">IF(D1259="","",IFERROR(INDEX(AK_KEL,MATCH(D1259,AK_NAMA,0)),"?"))</f>
        <v>ASET</v>
      </c>
      <c r="Q1259" s="102" t="n">
        <f aca="false">N(Q1258)+IF(AND(N(E1259)&lt;&gt;0,K1259=TAHUN,N(J1259)&lt;=BLN,OR(C1259=BB_AKUN,D1259=BB_AKUN)),1,0)</f>
        <v>851</v>
      </c>
      <c r="R1259" s="104" t="str">
        <f aca="false">IF(OR(C1259&amp;D1259="",N(E1259)=0),"",IF(OR(O1259="?",P1259="?"),"⚠ akun tidak dikenal",IF(C1259=D1259,"⚠ debet = kredit","")))</f>
        <v/>
      </c>
    </row>
    <row r="1260" customFormat="false" ht="15" hidden="false" customHeight="false" outlineLevel="0" collapsed="false">
      <c r="A1260" s="82" t="s">
        <v>2519</v>
      </c>
      <c r="B1260" s="101" t="n">
        <v>46293</v>
      </c>
      <c r="C1260" s="82" t="s">
        <v>485</v>
      </c>
      <c r="D1260" s="82" t="s">
        <v>475</v>
      </c>
      <c r="E1260" s="91" t="n">
        <v>150000</v>
      </c>
      <c r="F1260" s="82" t="s">
        <v>2520</v>
      </c>
      <c r="G1260" s="82"/>
      <c r="H1260" s="82"/>
      <c r="I1260" s="82" t="s">
        <v>250</v>
      </c>
      <c r="J1260" s="102" t="n">
        <f aca="false">IF(B1260="","",MONTH(B1260))</f>
        <v>9</v>
      </c>
      <c r="K1260" s="102" t="n">
        <f aca="false">IF(B1260="","",YEAR(B1260))</f>
        <v>2026</v>
      </c>
      <c r="L1260" s="102" t="str">
        <f aca="false">IF(N(E1260)=0,"",IF(COUNTIFS(AK_NAMA,C1260,AK_KAT,"KAS")+COUNTIFS(AK_NAMA,D1260,AK_KAT,"KAS")&lt;&gt;1,"",IF(COUNTIFS(AK_NAMA,C1260,AK_KAT,"KAS")=1,D1260,C1260)))</f>
        <v>Biaya Operasional Harian</v>
      </c>
      <c r="M1260" s="103" t="n">
        <f aca="false">IF(L1260="",0,IF(L1260=D1260,E1260,-E1260))</f>
        <v>-150000</v>
      </c>
      <c r="N1260" s="102" t="str">
        <f aca="false">IF(L1260="","",IFERROR(INDEX(AK_BARIS,MATCH(L1260,AK_NAMA,0)),"?"))</f>
        <v>OP6</v>
      </c>
      <c r="O1260" s="102" t="str">
        <f aca="false">IF(C1260="","",IFERROR(INDEX(AK_KEL,MATCH(C1260,AK_NAMA,0)),"?"))</f>
        <v>BEBAN</v>
      </c>
      <c r="P1260" s="102" t="str">
        <f aca="false">IF(D1260="","",IFERROR(INDEX(AK_KEL,MATCH(D1260,AK_NAMA,0)),"?"))</f>
        <v>ASET</v>
      </c>
      <c r="Q1260" s="102" t="n">
        <f aca="false">N(Q1259)+IF(AND(N(E1260)&lt;&gt;0,K1260=TAHUN,N(J1260)&lt;=BLN,OR(C1260=BB_AKUN,D1260=BB_AKUN)),1,0)</f>
        <v>851</v>
      </c>
      <c r="R1260" s="104" t="str">
        <f aca="false">IF(OR(C1260&amp;D1260="",N(E1260)=0),"",IF(OR(O1260="?",P1260="?"),"⚠ akun tidak dikenal",IF(C1260=D1260,"⚠ debet = kredit","")))</f>
        <v/>
      </c>
    </row>
    <row r="1261" customFormat="false" ht="15" hidden="false" customHeight="false" outlineLevel="0" collapsed="false">
      <c r="A1261" s="82" t="s">
        <v>2521</v>
      </c>
      <c r="B1261" s="101" t="n">
        <v>46293</v>
      </c>
      <c r="C1261" s="82" t="s">
        <v>486</v>
      </c>
      <c r="D1261" s="82" t="s">
        <v>475</v>
      </c>
      <c r="E1261" s="91" t="n">
        <v>52000</v>
      </c>
      <c r="F1261" s="82" t="s">
        <v>2447</v>
      </c>
      <c r="G1261" s="82"/>
      <c r="H1261" s="82"/>
      <c r="I1261" s="82" t="s">
        <v>250</v>
      </c>
      <c r="J1261" s="102" t="n">
        <f aca="false">IF(B1261="","",MONTH(B1261))</f>
        <v>9</v>
      </c>
      <c r="K1261" s="102" t="n">
        <f aca="false">IF(B1261="","",YEAR(B1261))</f>
        <v>2026</v>
      </c>
      <c r="L1261" s="102" t="str">
        <f aca="false">IF(N(E1261)=0,"",IF(COUNTIFS(AK_NAMA,C1261,AK_KAT,"KAS")+COUNTIFS(AK_NAMA,D1261,AK_KAT,"KAS")&lt;&gt;1,"",IF(COUNTIFS(AK_NAMA,C1261,AK_KAT,"KAS")=1,D1261,C1261)))</f>
        <v/>
      </c>
      <c r="M1261" s="103" t="n">
        <f aca="false">IF(L1261="",0,IF(L1261=D1261,E1261,-E1261))</f>
        <v>0</v>
      </c>
      <c r="N1261" s="102" t="str">
        <f aca="false">IF(L1261="","",IFERROR(INDEX(AK_BARIS,MATCH(L1261,AK_NAMA,0)),"?"))</f>
        <v/>
      </c>
      <c r="O1261" s="102" t="str">
        <f aca="false">IF(C1261="","",IFERROR(INDEX(AK_KEL,MATCH(C1261,AK_NAMA,0)),"?"))</f>
        <v>ASET</v>
      </c>
      <c r="P1261" s="102" t="str">
        <f aca="false">IF(D1261="","",IFERROR(INDEX(AK_KEL,MATCH(D1261,AK_NAMA,0)),"?"))</f>
        <v>ASET</v>
      </c>
      <c r="Q1261" s="102" t="n">
        <f aca="false">N(Q1260)+IF(AND(N(E1261)&lt;&gt;0,K1261=TAHUN,N(J1261)&lt;=BLN,OR(C1261=BB_AKUN,D1261=BB_AKUN)),1,0)</f>
        <v>851</v>
      </c>
      <c r="R1261" s="104" t="str">
        <f aca="false">IF(OR(C1261&amp;D1261="",N(E1261)=0),"",IF(OR(O1261="?",P1261="?"),"⚠ akun tidak dikenal",IF(C1261=D1261,"⚠ debet = kredit","")))</f>
        <v/>
      </c>
    </row>
    <row r="1262" customFormat="false" ht="15" hidden="false" customHeight="false" outlineLevel="0" collapsed="false">
      <c r="A1262" s="82" t="s">
        <v>2522</v>
      </c>
      <c r="B1262" s="101" t="n">
        <v>46293</v>
      </c>
      <c r="C1262" s="82" t="s">
        <v>486</v>
      </c>
      <c r="D1262" s="82" t="s">
        <v>475</v>
      </c>
      <c r="E1262" s="91" t="n">
        <v>500000</v>
      </c>
      <c r="F1262" s="82" t="s">
        <v>2113</v>
      </c>
      <c r="G1262" s="82"/>
      <c r="H1262" s="82"/>
      <c r="I1262" s="82" t="s">
        <v>250</v>
      </c>
      <c r="J1262" s="102" t="n">
        <f aca="false">IF(B1262="","",MONTH(B1262))</f>
        <v>9</v>
      </c>
      <c r="K1262" s="102" t="n">
        <f aca="false">IF(B1262="","",YEAR(B1262))</f>
        <v>2026</v>
      </c>
      <c r="L1262" s="102" t="str">
        <f aca="false">IF(N(E1262)=0,"",IF(COUNTIFS(AK_NAMA,C1262,AK_KAT,"KAS")+COUNTIFS(AK_NAMA,D1262,AK_KAT,"KAS")&lt;&gt;1,"",IF(COUNTIFS(AK_NAMA,C1262,AK_KAT,"KAS")=1,D1262,C1262)))</f>
        <v/>
      </c>
      <c r="M1262" s="103" t="n">
        <f aca="false">IF(L1262="",0,IF(L1262=D1262,E1262,-E1262))</f>
        <v>0</v>
      </c>
      <c r="N1262" s="102" t="str">
        <f aca="false">IF(L1262="","",IFERROR(INDEX(AK_BARIS,MATCH(L1262,AK_NAMA,0)),"?"))</f>
        <v/>
      </c>
      <c r="O1262" s="102" t="str">
        <f aca="false">IF(C1262="","",IFERROR(INDEX(AK_KEL,MATCH(C1262,AK_NAMA,0)),"?"))</f>
        <v>ASET</v>
      </c>
      <c r="P1262" s="102" t="str">
        <f aca="false">IF(D1262="","",IFERROR(INDEX(AK_KEL,MATCH(D1262,AK_NAMA,0)),"?"))</f>
        <v>ASET</v>
      </c>
      <c r="Q1262" s="102" t="n">
        <f aca="false">N(Q1261)+IF(AND(N(E1262)&lt;&gt;0,K1262=TAHUN,N(J1262)&lt;=BLN,OR(C1262=BB_AKUN,D1262=BB_AKUN)),1,0)</f>
        <v>851</v>
      </c>
      <c r="R1262" s="104" t="str">
        <f aca="false">IF(OR(C1262&amp;D1262="",N(E1262)=0),"",IF(OR(O1262="?",P1262="?"),"⚠ akun tidak dikenal",IF(C1262=D1262,"⚠ debet = kredit","")))</f>
        <v/>
      </c>
    </row>
    <row r="1263" customFormat="false" ht="15" hidden="false" customHeight="false" outlineLevel="0" collapsed="false">
      <c r="A1263" s="82" t="s">
        <v>2523</v>
      </c>
      <c r="B1263" s="101" t="n">
        <v>46293</v>
      </c>
      <c r="C1263" s="82" t="s">
        <v>470</v>
      </c>
      <c r="D1263" s="82" t="s">
        <v>486</v>
      </c>
      <c r="E1263" s="91" t="n">
        <v>340000</v>
      </c>
      <c r="F1263" s="82" t="s">
        <v>2524</v>
      </c>
      <c r="G1263" s="82"/>
      <c r="H1263" s="82"/>
      <c r="I1263" s="82" t="s">
        <v>250</v>
      </c>
      <c r="J1263" s="102" t="n">
        <f aca="false">IF(B1263="","",MONTH(B1263))</f>
        <v>9</v>
      </c>
      <c r="K1263" s="102" t="n">
        <f aca="false">IF(B1263="","",YEAR(B1263))</f>
        <v>2026</v>
      </c>
      <c r="L1263" s="102" t="str">
        <f aca="false">IF(N(E1263)=0,"",IF(COUNTIFS(AK_NAMA,C1263,AK_KAT,"KAS")+COUNTIFS(AK_NAMA,D1263,AK_KAT,"KAS")&lt;&gt;1,"",IF(COUNTIFS(AK_NAMA,C1263,AK_KAT,"KAS")=1,D1263,C1263)))</f>
        <v>Biaya Bahan Baku</v>
      </c>
      <c r="M1263" s="103" t="n">
        <f aca="false">IF(L1263="",0,IF(L1263=D1263,E1263,-E1263))</f>
        <v>-340000</v>
      </c>
      <c r="N1263" s="102" t="str">
        <f aca="false">IF(L1263="","",IFERROR(INDEX(AK_BARIS,MATCH(L1263,AK_NAMA,0)),"?"))</f>
        <v>OP3</v>
      </c>
      <c r="O1263" s="102" t="str">
        <f aca="false">IF(C1263="","",IFERROR(INDEX(AK_KEL,MATCH(C1263,AK_NAMA,0)),"?"))</f>
        <v>BEBAN</v>
      </c>
      <c r="P1263" s="102" t="str">
        <f aca="false">IF(D1263="","",IFERROR(INDEX(AK_KEL,MATCH(D1263,AK_NAMA,0)),"?"))</f>
        <v>ASET</v>
      </c>
      <c r="Q1263" s="102" t="n">
        <f aca="false">N(Q1262)+IF(AND(N(E1263)&lt;&gt;0,K1263=TAHUN,N(J1263)&lt;=BLN,OR(C1263=BB_AKUN,D1263=BB_AKUN)),1,0)</f>
        <v>851</v>
      </c>
      <c r="R1263" s="104" t="str">
        <f aca="false">IF(OR(C1263&amp;D1263="",N(E1263)=0),"",IF(OR(O1263="?",P1263="?"),"⚠ akun tidak dikenal",IF(C1263=D1263,"⚠ debet = kredit","")))</f>
        <v/>
      </c>
    </row>
    <row r="1264" customFormat="false" ht="15" hidden="false" customHeight="false" outlineLevel="0" collapsed="false">
      <c r="A1264" s="82" t="s">
        <v>2525</v>
      </c>
      <c r="B1264" s="101" t="n">
        <v>46293</v>
      </c>
      <c r="C1264" s="82" t="s">
        <v>548</v>
      </c>
      <c r="D1264" s="82" t="s">
        <v>486</v>
      </c>
      <c r="E1264" s="91" t="n">
        <v>100000</v>
      </c>
      <c r="F1264" s="82" t="s">
        <v>2526</v>
      </c>
      <c r="G1264" s="82"/>
      <c r="H1264" s="82"/>
      <c r="I1264" s="82" t="s">
        <v>250</v>
      </c>
      <c r="J1264" s="102" t="n">
        <f aca="false">IF(B1264="","",MONTH(B1264))</f>
        <v>9</v>
      </c>
      <c r="K1264" s="102" t="n">
        <f aca="false">IF(B1264="","",YEAR(B1264))</f>
        <v>2026</v>
      </c>
      <c r="L1264" s="102" t="str">
        <f aca="false">IF(N(E1264)=0,"",IF(COUNTIFS(AK_NAMA,C1264,AK_KAT,"KAS")+COUNTIFS(AK_NAMA,D1264,AK_KAT,"KAS")&lt;&gt;1,"",IF(COUNTIFS(AK_NAMA,C1264,AK_KAT,"KAS")=1,D1264,C1264)))</f>
        <v>Beban Perlengkapan</v>
      </c>
      <c r="M1264" s="103" t="n">
        <f aca="false">IF(L1264="",0,IF(L1264=D1264,E1264,-E1264))</f>
        <v>-100000</v>
      </c>
      <c r="N1264" s="102" t="str">
        <f aca="false">IF(L1264="","",IFERROR(INDEX(AK_BARIS,MATCH(L1264,AK_NAMA,0)),"?"))</f>
        <v>OP6</v>
      </c>
      <c r="O1264" s="102" t="str">
        <f aca="false">IF(C1264="","",IFERROR(INDEX(AK_KEL,MATCH(C1264,AK_NAMA,0)),"?"))</f>
        <v>BEBAN</v>
      </c>
      <c r="P1264" s="102" t="str">
        <f aca="false">IF(D1264="","",IFERROR(INDEX(AK_KEL,MATCH(D1264,AK_NAMA,0)),"?"))</f>
        <v>ASET</v>
      </c>
      <c r="Q1264" s="102" t="n">
        <f aca="false">N(Q1263)+IF(AND(N(E1264)&lt;&gt;0,K1264=TAHUN,N(J1264)&lt;=BLN,OR(C1264=BB_AKUN,D1264=BB_AKUN)),1,0)</f>
        <v>851</v>
      </c>
      <c r="R1264" s="104" t="str">
        <f aca="false">IF(OR(C1264&amp;D1264="",N(E1264)=0),"",IF(OR(O1264="?",P1264="?"),"⚠ akun tidak dikenal",IF(C1264=D1264,"⚠ debet = kredit","")))</f>
        <v/>
      </c>
    </row>
    <row r="1265" customFormat="false" ht="15" hidden="false" customHeight="false" outlineLevel="0" collapsed="false">
      <c r="A1265" s="82" t="s">
        <v>2527</v>
      </c>
      <c r="B1265" s="101" t="n">
        <v>46293</v>
      </c>
      <c r="C1265" s="82" t="s">
        <v>524</v>
      </c>
      <c r="D1265" s="82" t="s">
        <v>486</v>
      </c>
      <c r="E1265" s="91" t="n">
        <v>4000</v>
      </c>
      <c r="F1265" s="82" t="s">
        <v>2219</v>
      </c>
      <c r="G1265" s="82"/>
      <c r="H1265" s="82"/>
      <c r="I1265" s="82" t="s">
        <v>250</v>
      </c>
      <c r="J1265" s="102" t="n">
        <f aca="false">IF(B1265="","",MONTH(B1265))</f>
        <v>9</v>
      </c>
      <c r="K1265" s="102" t="n">
        <f aca="false">IF(B1265="","",YEAR(B1265))</f>
        <v>2026</v>
      </c>
      <c r="L1265" s="102" t="str">
        <f aca="false">IF(N(E1265)=0,"",IF(COUNTIFS(AK_NAMA,C1265,AK_KAT,"KAS")+COUNTIFS(AK_NAMA,D1265,AK_KAT,"KAS")&lt;&gt;1,"",IF(COUNTIFS(AK_NAMA,C1265,AK_KAT,"KAS")=1,D1265,C1265)))</f>
        <v>Biaya Lainnya</v>
      </c>
      <c r="M1265" s="103" t="n">
        <f aca="false">IF(L1265="",0,IF(L1265=D1265,E1265,-E1265))</f>
        <v>-4000</v>
      </c>
      <c r="N1265" s="102" t="str">
        <f aca="false">IF(L1265="","",IFERROR(INDEX(AK_BARIS,MATCH(L1265,AK_NAMA,0)),"?"))</f>
        <v>OP2</v>
      </c>
      <c r="O1265" s="102" t="str">
        <f aca="false">IF(C1265="","",IFERROR(INDEX(AK_KEL,MATCH(C1265,AK_NAMA,0)),"?"))</f>
        <v>BEBAN</v>
      </c>
      <c r="P1265" s="102" t="str">
        <f aca="false">IF(D1265="","",IFERROR(INDEX(AK_KEL,MATCH(D1265,AK_NAMA,0)),"?"))</f>
        <v>ASET</v>
      </c>
      <c r="Q1265" s="102" t="n">
        <f aca="false">N(Q1264)+IF(AND(N(E1265)&lt;&gt;0,K1265=TAHUN,N(J1265)&lt;=BLN,OR(C1265=BB_AKUN,D1265=BB_AKUN)),1,0)</f>
        <v>851</v>
      </c>
      <c r="R1265" s="104" t="str">
        <f aca="false">IF(OR(C1265&amp;D1265="",N(E1265)=0),"",IF(OR(O1265="?",P1265="?"),"⚠ akun tidak dikenal",IF(C1265=D1265,"⚠ debet = kredit","")))</f>
        <v/>
      </c>
    </row>
    <row r="1266" customFormat="false" ht="15" hidden="false" customHeight="false" outlineLevel="0" collapsed="false">
      <c r="A1266" s="82" t="s">
        <v>2528</v>
      </c>
      <c r="B1266" s="101" t="n">
        <v>46294</v>
      </c>
      <c r="C1266" s="82" t="s">
        <v>730</v>
      </c>
      <c r="D1266" s="82" t="s">
        <v>461</v>
      </c>
      <c r="E1266" s="91" t="n">
        <v>10000000</v>
      </c>
      <c r="F1266" s="82" t="s">
        <v>2529</v>
      </c>
      <c r="G1266" s="82"/>
      <c r="H1266" s="82"/>
      <c r="I1266" s="82" t="s">
        <v>250</v>
      </c>
      <c r="J1266" s="102" t="n">
        <f aca="false">IF(B1266="","",MONTH(B1266))</f>
        <v>9</v>
      </c>
      <c r="K1266" s="102" t="n">
        <f aca="false">IF(B1266="","",YEAR(B1266))</f>
        <v>2026</v>
      </c>
      <c r="L1266" s="102" t="str">
        <f aca="false">IF(N(E1266)=0,"",IF(COUNTIFS(AK_NAMA,C1266,AK_KAT,"KAS")+COUNTIFS(AK_NAMA,D1266,AK_KAT,"KAS")&lt;&gt;1,"",IF(COUNTIFS(AK_NAMA,C1266,AK_KAT,"KAS")=1,D1266,C1266)))</f>
        <v>Biaya Sewa Tempat</v>
      </c>
      <c r="M1266" s="103" t="n">
        <f aca="false">IF(L1266="",0,IF(L1266=D1266,E1266,-E1266))</f>
        <v>-10000000</v>
      </c>
      <c r="N1266" s="102" t="str">
        <f aca="false">IF(L1266="","",IFERROR(INDEX(AK_BARIS,MATCH(L1266,AK_NAMA,0)),"?"))</f>
        <v>OP5</v>
      </c>
      <c r="O1266" s="102" t="str">
        <f aca="false">IF(C1266="","",IFERROR(INDEX(AK_KEL,MATCH(C1266,AK_NAMA,0)),"?"))</f>
        <v>BEBAN</v>
      </c>
      <c r="P1266" s="102" t="str">
        <f aca="false">IF(D1266="","",IFERROR(INDEX(AK_KEL,MATCH(D1266,AK_NAMA,0)),"?"))</f>
        <v>ASET</v>
      </c>
      <c r="Q1266" s="102" t="n">
        <f aca="false">N(Q1265)+IF(AND(N(E1266)&lt;&gt;0,K1266=TAHUN,N(J1266)&lt;=BLN,OR(C1266=BB_AKUN,D1266=BB_AKUN)),1,0)</f>
        <v>852</v>
      </c>
      <c r="R1266" s="104" t="str">
        <f aca="false">IF(OR(C1266&amp;D1266="",N(E1266)=0),"",IF(OR(O1266="?",P1266="?"),"⚠ akun tidak dikenal",IF(C1266=D1266,"⚠ debet = kredit","")))</f>
        <v/>
      </c>
    </row>
    <row r="1267" customFormat="false" ht="15" hidden="false" customHeight="false" outlineLevel="0" collapsed="false">
      <c r="A1267" s="82" t="s">
        <v>2530</v>
      </c>
      <c r="B1267" s="101" t="n">
        <v>46294</v>
      </c>
      <c r="C1267" s="82" t="s">
        <v>470</v>
      </c>
      <c r="D1267" s="82" t="s">
        <v>461</v>
      </c>
      <c r="E1267" s="91" t="n">
        <v>240000</v>
      </c>
      <c r="F1267" s="82" t="s">
        <v>2531</v>
      </c>
      <c r="G1267" s="82"/>
      <c r="H1267" s="82"/>
      <c r="I1267" s="82" t="s">
        <v>250</v>
      </c>
      <c r="J1267" s="102" t="n">
        <f aca="false">IF(B1267="","",MONTH(B1267))</f>
        <v>9</v>
      </c>
      <c r="K1267" s="102" t="n">
        <f aca="false">IF(B1267="","",YEAR(B1267))</f>
        <v>2026</v>
      </c>
      <c r="L1267" s="102" t="str">
        <f aca="false">IF(N(E1267)=0,"",IF(COUNTIFS(AK_NAMA,C1267,AK_KAT,"KAS")+COUNTIFS(AK_NAMA,D1267,AK_KAT,"KAS")&lt;&gt;1,"",IF(COUNTIFS(AK_NAMA,C1267,AK_KAT,"KAS")=1,D1267,C1267)))</f>
        <v>Biaya Bahan Baku</v>
      </c>
      <c r="M1267" s="103" t="n">
        <f aca="false">IF(L1267="",0,IF(L1267=D1267,E1267,-E1267))</f>
        <v>-240000</v>
      </c>
      <c r="N1267" s="102" t="str">
        <f aca="false">IF(L1267="","",IFERROR(INDEX(AK_BARIS,MATCH(L1267,AK_NAMA,0)),"?"))</f>
        <v>OP3</v>
      </c>
      <c r="O1267" s="102" t="str">
        <f aca="false">IF(C1267="","",IFERROR(INDEX(AK_KEL,MATCH(C1267,AK_NAMA,0)),"?"))</f>
        <v>BEBAN</v>
      </c>
      <c r="P1267" s="102" t="str">
        <f aca="false">IF(D1267="","",IFERROR(INDEX(AK_KEL,MATCH(D1267,AK_NAMA,0)),"?"))</f>
        <v>ASET</v>
      </c>
      <c r="Q1267" s="102" t="n">
        <f aca="false">N(Q1266)+IF(AND(N(E1267)&lt;&gt;0,K1267=TAHUN,N(J1267)&lt;=BLN,OR(C1267=BB_AKUN,D1267=BB_AKUN)),1,0)</f>
        <v>853</v>
      </c>
      <c r="R1267" s="104" t="str">
        <f aca="false">IF(OR(C1267&amp;D1267="",N(E1267)=0),"",IF(OR(O1267="?",P1267="?"),"⚠ akun tidak dikenal",IF(C1267=D1267,"⚠ debet = kredit","")))</f>
        <v/>
      </c>
    </row>
    <row r="1268" customFormat="false" ht="15" hidden="false" customHeight="false" outlineLevel="0" collapsed="false">
      <c r="A1268" s="82" t="s">
        <v>2532</v>
      </c>
      <c r="B1268" s="101" t="n">
        <v>46294</v>
      </c>
      <c r="C1268" s="82" t="s">
        <v>576</v>
      </c>
      <c r="D1268" s="82" t="s">
        <v>461</v>
      </c>
      <c r="E1268" s="91" t="n">
        <v>23542333</v>
      </c>
      <c r="F1268" s="82" t="s">
        <v>724</v>
      </c>
      <c r="G1268" s="82"/>
      <c r="H1268" s="82"/>
      <c r="I1268" s="82" t="s">
        <v>250</v>
      </c>
      <c r="J1268" s="102" t="n">
        <f aca="false">IF(B1268="","",MONTH(B1268))</f>
        <v>9</v>
      </c>
      <c r="K1268" s="102" t="n">
        <f aca="false">IF(B1268="","",YEAR(B1268))</f>
        <v>2026</v>
      </c>
      <c r="L1268" s="102" t="str">
        <f aca="false">IF(N(E1268)=0,"",IF(COUNTIFS(AK_NAMA,C1268,AK_KAT,"KAS")+COUNTIFS(AK_NAMA,D1268,AK_KAT,"KAS")&lt;&gt;1,"",IF(COUNTIFS(AK_NAMA,C1268,AK_KAT,"KAS")=1,D1268,C1268)))</f>
        <v>Beban Gaji</v>
      </c>
      <c r="M1268" s="103" t="n">
        <f aca="false">IF(L1268="",0,IF(L1268=D1268,E1268,-E1268))</f>
        <v>-23542333</v>
      </c>
      <c r="N1268" s="102" t="str">
        <f aca="false">IF(L1268="","",IFERROR(INDEX(AK_BARIS,MATCH(L1268,AK_NAMA,0)),"?"))</f>
        <v>OP4</v>
      </c>
      <c r="O1268" s="102" t="str">
        <f aca="false">IF(C1268="","",IFERROR(INDEX(AK_KEL,MATCH(C1268,AK_NAMA,0)),"?"))</f>
        <v>BEBAN</v>
      </c>
      <c r="P1268" s="102" t="str">
        <f aca="false">IF(D1268="","",IFERROR(INDEX(AK_KEL,MATCH(D1268,AK_NAMA,0)),"?"))</f>
        <v>ASET</v>
      </c>
      <c r="Q1268" s="102" t="n">
        <f aca="false">N(Q1267)+IF(AND(N(E1268)&lt;&gt;0,K1268=TAHUN,N(J1268)&lt;=BLN,OR(C1268=BB_AKUN,D1268=BB_AKUN)),1,0)</f>
        <v>854</v>
      </c>
      <c r="R1268" s="104" t="str">
        <f aca="false">IF(OR(C1268&amp;D1268="",N(E1268)=0),"",IF(OR(O1268="?",P1268="?"),"⚠ akun tidak dikenal",IF(C1268=D1268,"⚠ debet = kredit","")))</f>
        <v/>
      </c>
    </row>
    <row r="1269" customFormat="false" ht="15" hidden="false" customHeight="false" outlineLevel="0" collapsed="false">
      <c r="A1269" s="82" t="s">
        <v>2533</v>
      </c>
      <c r="B1269" s="101" t="n">
        <v>46294</v>
      </c>
      <c r="C1269" s="82" t="s">
        <v>576</v>
      </c>
      <c r="D1269" s="82" t="s">
        <v>461</v>
      </c>
      <c r="E1269" s="91" t="n">
        <v>1000000</v>
      </c>
      <c r="F1269" s="82" t="s">
        <v>726</v>
      </c>
      <c r="G1269" s="82"/>
      <c r="H1269" s="82"/>
      <c r="I1269" s="82" t="s">
        <v>250</v>
      </c>
      <c r="J1269" s="102" t="n">
        <f aca="false">IF(B1269="","",MONTH(B1269))</f>
        <v>9</v>
      </c>
      <c r="K1269" s="102" t="n">
        <f aca="false">IF(B1269="","",YEAR(B1269))</f>
        <v>2026</v>
      </c>
      <c r="L1269" s="102" t="str">
        <f aca="false">IF(N(E1269)=0,"",IF(COUNTIFS(AK_NAMA,C1269,AK_KAT,"KAS")+COUNTIFS(AK_NAMA,D1269,AK_KAT,"KAS")&lt;&gt;1,"",IF(COUNTIFS(AK_NAMA,C1269,AK_KAT,"KAS")=1,D1269,C1269)))</f>
        <v>Beban Gaji</v>
      </c>
      <c r="M1269" s="103" t="n">
        <f aca="false">IF(L1269="",0,IF(L1269=D1269,E1269,-E1269))</f>
        <v>-1000000</v>
      </c>
      <c r="N1269" s="102" t="str">
        <f aca="false">IF(L1269="","",IFERROR(INDEX(AK_BARIS,MATCH(L1269,AK_NAMA,0)),"?"))</f>
        <v>OP4</v>
      </c>
      <c r="O1269" s="102" t="str">
        <f aca="false">IF(C1269="","",IFERROR(INDEX(AK_KEL,MATCH(C1269,AK_NAMA,0)),"?"))</f>
        <v>BEBAN</v>
      </c>
      <c r="P1269" s="102" t="str">
        <f aca="false">IF(D1269="","",IFERROR(INDEX(AK_KEL,MATCH(D1269,AK_NAMA,0)),"?"))</f>
        <v>ASET</v>
      </c>
      <c r="Q1269" s="102" t="n">
        <f aca="false">N(Q1268)+IF(AND(N(E1269)&lt;&gt;0,K1269=TAHUN,N(J1269)&lt;=BLN,OR(C1269=BB_AKUN,D1269=BB_AKUN)),1,0)</f>
        <v>855</v>
      </c>
      <c r="R1269" s="104" t="str">
        <f aca="false">IF(OR(C1269&amp;D1269="",N(E1269)=0),"",IF(OR(O1269="?",P1269="?"),"⚠ akun tidak dikenal",IF(C1269=D1269,"⚠ debet = kredit","")))</f>
        <v/>
      </c>
    </row>
    <row r="1270" customFormat="false" ht="15" hidden="false" customHeight="false" outlineLevel="0" collapsed="false">
      <c r="A1270" s="82" t="s">
        <v>2534</v>
      </c>
      <c r="B1270" s="101" t="n">
        <v>46294</v>
      </c>
      <c r="C1270" s="82" t="s">
        <v>524</v>
      </c>
      <c r="D1270" s="82" t="s">
        <v>461</v>
      </c>
      <c r="E1270" s="91" t="n">
        <v>12350</v>
      </c>
      <c r="F1270" s="82" t="s">
        <v>728</v>
      </c>
      <c r="G1270" s="82"/>
      <c r="H1270" s="82"/>
      <c r="I1270" s="82" t="s">
        <v>250</v>
      </c>
      <c r="J1270" s="102" t="n">
        <f aca="false">IF(B1270="","",MONTH(B1270))</f>
        <v>9</v>
      </c>
      <c r="K1270" s="102" t="n">
        <f aca="false">IF(B1270="","",YEAR(B1270))</f>
        <v>2026</v>
      </c>
      <c r="L1270" s="102" t="str">
        <f aca="false">IF(N(E1270)=0,"",IF(COUNTIFS(AK_NAMA,C1270,AK_KAT,"KAS")+COUNTIFS(AK_NAMA,D1270,AK_KAT,"KAS")&lt;&gt;1,"",IF(COUNTIFS(AK_NAMA,C1270,AK_KAT,"KAS")=1,D1270,C1270)))</f>
        <v>Biaya Lainnya</v>
      </c>
      <c r="M1270" s="103" t="n">
        <f aca="false">IF(L1270="",0,IF(L1270=D1270,E1270,-E1270))</f>
        <v>-12350</v>
      </c>
      <c r="N1270" s="102" t="str">
        <f aca="false">IF(L1270="","",IFERROR(INDEX(AK_BARIS,MATCH(L1270,AK_NAMA,0)),"?"))</f>
        <v>OP2</v>
      </c>
      <c r="O1270" s="102" t="str">
        <f aca="false">IF(C1270="","",IFERROR(INDEX(AK_KEL,MATCH(C1270,AK_NAMA,0)),"?"))</f>
        <v>BEBAN</v>
      </c>
      <c r="P1270" s="102" t="str">
        <f aca="false">IF(D1270="","",IFERROR(INDEX(AK_KEL,MATCH(D1270,AK_NAMA,0)),"?"))</f>
        <v>ASET</v>
      </c>
      <c r="Q1270" s="102" t="n">
        <f aca="false">N(Q1269)+IF(AND(N(E1270)&lt;&gt;0,K1270=TAHUN,N(J1270)&lt;=BLN,OR(C1270=BB_AKUN,D1270=BB_AKUN)),1,0)</f>
        <v>856</v>
      </c>
      <c r="R1270" s="104" t="str">
        <f aca="false">IF(OR(C1270&amp;D1270="",N(E1270)=0),"",IF(OR(O1270="?",P1270="?"),"⚠ akun tidak dikenal",IF(C1270=D1270,"⚠ debet = kredit","")))</f>
        <v/>
      </c>
    </row>
    <row r="1271" customFormat="false" ht="15" hidden="false" customHeight="false" outlineLevel="0" collapsed="false">
      <c r="A1271" s="82" t="s">
        <v>2535</v>
      </c>
      <c r="B1271" s="101" t="n">
        <v>46294</v>
      </c>
      <c r="C1271" s="82" t="s">
        <v>460</v>
      </c>
      <c r="D1271" s="82" t="s">
        <v>461</v>
      </c>
      <c r="E1271" s="91" t="n">
        <v>250000</v>
      </c>
      <c r="F1271" s="82" t="s">
        <v>2536</v>
      </c>
      <c r="G1271" s="82" t="s">
        <v>390</v>
      </c>
      <c r="H1271" s="82"/>
      <c r="I1271" s="82" t="s">
        <v>250</v>
      </c>
      <c r="J1271" s="102" t="n">
        <f aca="false">IF(B1271="","",MONTH(B1271))</f>
        <v>9</v>
      </c>
      <c r="K1271" s="102" t="n">
        <f aca="false">IF(B1271="","",YEAR(B1271))</f>
        <v>2026</v>
      </c>
      <c r="L1271" s="102" t="str">
        <f aca="false">IF(N(E1271)=0,"",IF(COUNTIFS(AK_NAMA,C1271,AK_KAT,"KAS")+COUNTIFS(AK_NAMA,D1271,AK_KAT,"KAS")&lt;&gt;1,"",IF(COUNTIFS(AK_NAMA,C1271,AK_KAT,"KAS")=1,D1271,C1271)))</f>
        <v>Biaya Marketing &amp; Promosi</v>
      </c>
      <c r="M1271" s="103" t="n">
        <f aca="false">IF(L1271="",0,IF(L1271=D1271,E1271,-E1271))</f>
        <v>-250000</v>
      </c>
      <c r="N1271" s="102" t="str">
        <f aca="false">IF(L1271="","",IFERROR(INDEX(AK_BARIS,MATCH(L1271,AK_NAMA,0)),"?"))</f>
        <v>OP6</v>
      </c>
      <c r="O1271" s="102" t="str">
        <f aca="false">IF(C1271="","",IFERROR(INDEX(AK_KEL,MATCH(C1271,AK_NAMA,0)),"?"))</f>
        <v>BEBAN</v>
      </c>
      <c r="P1271" s="102" t="str">
        <f aca="false">IF(D1271="","",IFERROR(INDEX(AK_KEL,MATCH(D1271,AK_NAMA,0)),"?"))</f>
        <v>ASET</v>
      </c>
      <c r="Q1271" s="102" t="n">
        <f aca="false">N(Q1270)+IF(AND(N(E1271)&lt;&gt;0,K1271=TAHUN,N(J1271)&lt;=BLN,OR(C1271=BB_AKUN,D1271=BB_AKUN)),1,0)</f>
        <v>857</v>
      </c>
      <c r="R1271" s="104" t="str">
        <f aca="false">IF(OR(C1271&amp;D1271="",N(E1271)=0),"",IF(OR(O1271="?",P1271="?"),"⚠ akun tidak dikenal",IF(C1271=D1271,"⚠ debet = kredit","")))</f>
        <v/>
      </c>
    </row>
    <row r="1272" customFormat="false" ht="15" hidden="false" customHeight="false" outlineLevel="0" collapsed="false">
      <c r="A1272" s="82" t="s">
        <v>2537</v>
      </c>
      <c r="B1272" s="101" t="n">
        <v>46294</v>
      </c>
      <c r="C1272" s="82" t="s">
        <v>460</v>
      </c>
      <c r="D1272" s="82" t="s">
        <v>461</v>
      </c>
      <c r="E1272" s="91" t="n">
        <v>150000</v>
      </c>
      <c r="F1272" s="82" t="s">
        <v>2538</v>
      </c>
      <c r="G1272" s="82" t="s">
        <v>389</v>
      </c>
      <c r="H1272" s="82"/>
      <c r="I1272" s="82" t="s">
        <v>250</v>
      </c>
      <c r="J1272" s="102" t="n">
        <f aca="false">IF(B1272="","",MONTH(B1272))</f>
        <v>9</v>
      </c>
      <c r="K1272" s="102" t="n">
        <f aca="false">IF(B1272="","",YEAR(B1272))</f>
        <v>2026</v>
      </c>
      <c r="L1272" s="102" t="str">
        <f aca="false">IF(N(E1272)=0,"",IF(COUNTIFS(AK_NAMA,C1272,AK_KAT,"KAS")+COUNTIFS(AK_NAMA,D1272,AK_KAT,"KAS")&lt;&gt;1,"",IF(COUNTIFS(AK_NAMA,C1272,AK_KAT,"KAS")=1,D1272,C1272)))</f>
        <v>Biaya Marketing &amp; Promosi</v>
      </c>
      <c r="M1272" s="103" t="n">
        <f aca="false">IF(L1272="",0,IF(L1272=D1272,E1272,-E1272))</f>
        <v>-150000</v>
      </c>
      <c r="N1272" s="102" t="str">
        <f aca="false">IF(L1272="","",IFERROR(INDEX(AK_BARIS,MATCH(L1272,AK_NAMA,0)),"?"))</f>
        <v>OP6</v>
      </c>
      <c r="O1272" s="102" t="str">
        <f aca="false">IF(C1272="","",IFERROR(INDEX(AK_KEL,MATCH(C1272,AK_NAMA,0)),"?"))</f>
        <v>BEBAN</v>
      </c>
      <c r="P1272" s="102" t="str">
        <f aca="false">IF(D1272="","",IFERROR(INDEX(AK_KEL,MATCH(D1272,AK_NAMA,0)),"?"))</f>
        <v>ASET</v>
      </c>
      <c r="Q1272" s="102" t="n">
        <f aca="false">N(Q1271)+IF(AND(N(E1272)&lt;&gt;0,K1272=TAHUN,N(J1272)&lt;=BLN,OR(C1272=BB_AKUN,D1272=BB_AKUN)),1,0)</f>
        <v>858</v>
      </c>
      <c r="R1272" s="104" t="str">
        <f aca="false">IF(OR(C1272&amp;D1272="",N(E1272)=0),"",IF(OR(O1272="?",P1272="?"),"⚠ akun tidak dikenal",IF(C1272=D1272,"⚠ debet = kredit","")))</f>
        <v/>
      </c>
    </row>
    <row r="1273" customFormat="false" ht="15" hidden="false" customHeight="false" outlineLevel="0" collapsed="false">
      <c r="A1273" s="82" t="s">
        <v>2539</v>
      </c>
      <c r="B1273" s="101" t="n">
        <v>46294</v>
      </c>
      <c r="C1273" s="82" t="s">
        <v>461</v>
      </c>
      <c r="D1273" s="82" t="s">
        <v>718</v>
      </c>
      <c r="E1273" s="91" t="n">
        <v>333333</v>
      </c>
      <c r="F1273" s="82" t="s">
        <v>1641</v>
      </c>
      <c r="G1273" s="82"/>
      <c r="H1273" s="82"/>
      <c r="I1273" s="82" t="s">
        <v>250</v>
      </c>
      <c r="J1273" s="102" t="n">
        <f aca="false">IF(B1273="","",MONTH(B1273))</f>
        <v>9</v>
      </c>
      <c r="K1273" s="102" t="n">
        <f aca="false">IF(B1273="","",YEAR(B1273))</f>
        <v>2026</v>
      </c>
      <c r="L1273" s="102" t="str">
        <f aca="false">IF(N(E1273)=0,"",IF(COUNTIFS(AK_NAMA,C1273,AK_KAT,"KAS")+COUNTIFS(AK_NAMA,D1273,AK_KAT,"KAS")&lt;&gt;1,"",IF(COUNTIFS(AK_NAMA,C1273,AK_KAT,"KAS")=1,D1273,C1273)))</f>
        <v>Piutang Lainnya</v>
      </c>
      <c r="M1273" s="103" t="n">
        <f aca="false">IF(L1273="",0,IF(L1273=D1273,E1273,-E1273))</f>
        <v>333333</v>
      </c>
      <c r="N1273" s="102" t="str">
        <f aca="false">IF(L1273="","",IFERROR(INDEX(AK_BARIS,MATCH(L1273,AK_NAMA,0)),"?"))</f>
        <v>OP2</v>
      </c>
      <c r="O1273" s="102" t="str">
        <f aca="false">IF(C1273="","",IFERROR(INDEX(AK_KEL,MATCH(C1273,AK_NAMA,0)),"?"))</f>
        <v>ASET</v>
      </c>
      <c r="P1273" s="102" t="str">
        <f aca="false">IF(D1273="","",IFERROR(INDEX(AK_KEL,MATCH(D1273,AK_NAMA,0)),"?"))</f>
        <v>ASET</v>
      </c>
      <c r="Q1273" s="102" t="n">
        <f aca="false">N(Q1272)+IF(AND(N(E1273)&lt;&gt;0,K1273=TAHUN,N(J1273)&lt;=BLN,OR(C1273=BB_AKUN,D1273=BB_AKUN)),1,0)</f>
        <v>859</v>
      </c>
      <c r="R1273" s="104" t="str">
        <f aca="false">IF(OR(C1273&amp;D1273="",N(E1273)=0),"",IF(OR(O1273="?",P1273="?"),"⚠ akun tidak dikenal",IF(C1273=D1273,"⚠ debet = kredit","")))</f>
        <v/>
      </c>
    </row>
    <row r="1274" customFormat="false" ht="15" hidden="false" customHeight="false" outlineLevel="0" collapsed="false">
      <c r="A1274" s="82" t="s">
        <v>2540</v>
      </c>
      <c r="B1274" s="101" t="n">
        <v>46294</v>
      </c>
      <c r="C1274" s="82" t="s">
        <v>461</v>
      </c>
      <c r="D1274" s="82" t="s">
        <v>718</v>
      </c>
      <c r="E1274" s="91" t="n">
        <v>339300</v>
      </c>
      <c r="F1274" s="82" t="s">
        <v>2541</v>
      </c>
      <c r="G1274" s="82"/>
      <c r="H1274" s="82"/>
      <c r="I1274" s="82" t="s">
        <v>250</v>
      </c>
      <c r="J1274" s="102" t="n">
        <f aca="false">IF(B1274="","",MONTH(B1274))</f>
        <v>9</v>
      </c>
      <c r="K1274" s="102" t="n">
        <f aca="false">IF(B1274="","",YEAR(B1274))</f>
        <v>2026</v>
      </c>
      <c r="L1274" s="102" t="str">
        <f aca="false">IF(N(E1274)=0,"",IF(COUNTIFS(AK_NAMA,C1274,AK_KAT,"KAS")+COUNTIFS(AK_NAMA,D1274,AK_KAT,"KAS")&lt;&gt;1,"",IF(COUNTIFS(AK_NAMA,C1274,AK_KAT,"KAS")=1,D1274,C1274)))</f>
        <v>Piutang Lainnya</v>
      </c>
      <c r="M1274" s="103" t="n">
        <f aca="false">IF(L1274="",0,IF(L1274=D1274,E1274,-E1274))</f>
        <v>339300</v>
      </c>
      <c r="N1274" s="102" t="str">
        <f aca="false">IF(L1274="","",IFERROR(INDEX(AK_BARIS,MATCH(L1274,AK_NAMA,0)),"?"))</f>
        <v>OP2</v>
      </c>
      <c r="O1274" s="102" t="str">
        <f aca="false">IF(C1274="","",IFERROR(INDEX(AK_KEL,MATCH(C1274,AK_NAMA,0)),"?"))</f>
        <v>ASET</v>
      </c>
      <c r="P1274" s="102" t="str">
        <f aca="false">IF(D1274="","",IFERROR(INDEX(AK_KEL,MATCH(D1274,AK_NAMA,0)),"?"))</f>
        <v>ASET</v>
      </c>
      <c r="Q1274" s="102" t="n">
        <f aca="false">N(Q1273)+IF(AND(N(E1274)&lt;&gt;0,K1274=TAHUN,N(J1274)&lt;=BLN,OR(C1274=BB_AKUN,D1274=BB_AKUN)),1,0)</f>
        <v>860</v>
      </c>
      <c r="R1274" s="104" t="str">
        <f aca="false">IF(OR(C1274&amp;D1274="",N(E1274)=0),"",IF(OR(O1274="?",P1274="?"),"⚠ akun tidak dikenal",IF(C1274=D1274,"⚠ debet = kredit","")))</f>
        <v/>
      </c>
    </row>
    <row r="1275" customFormat="false" ht="15" hidden="false" customHeight="false" outlineLevel="0" collapsed="false">
      <c r="A1275" s="82" t="s">
        <v>2542</v>
      </c>
      <c r="B1275" s="101" t="n">
        <v>46294</v>
      </c>
      <c r="C1275" s="82" t="s">
        <v>461</v>
      </c>
      <c r="D1275" s="82" t="s">
        <v>718</v>
      </c>
      <c r="E1275" s="91" t="n">
        <v>335000</v>
      </c>
      <c r="F1275" s="82" t="s">
        <v>2543</v>
      </c>
      <c r="G1275" s="82"/>
      <c r="H1275" s="82"/>
      <c r="I1275" s="82" t="s">
        <v>250</v>
      </c>
      <c r="J1275" s="102" t="n">
        <f aca="false">IF(B1275="","",MONTH(B1275))</f>
        <v>9</v>
      </c>
      <c r="K1275" s="102" t="n">
        <f aca="false">IF(B1275="","",YEAR(B1275))</f>
        <v>2026</v>
      </c>
      <c r="L1275" s="102" t="str">
        <f aca="false">IF(N(E1275)=0,"",IF(COUNTIFS(AK_NAMA,C1275,AK_KAT,"KAS")+COUNTIFS(AK_NAMA,D1275,AK_KAT,"KAS")&lt;&gt;1,"",IF(COUNTIFS(AK_NAMA,C1275,AK_KAT,"KAS")=1,D1275,C1275)))</f>
        <v>Piutang Lainnya</v>
      </c>
      <c r="M1275" s="103" t="n">
        <f aca="false">IF(L1275="",0,IF(L1275=D1275,E1275,-E1275))</f>
        <v>335000</v>
      </c>
      <c r="N1275" s="102" t="str">
        <f aca="false">IF(L1275="","",IFERROR(INDEX(AK_BARIS,MATCH(L1275,AK_NAMA,0)),"?"))</f>
        <v>OP2</v>
      </c>
      <c r="O1275" s="102" t="str">
        <f aca="false">IF(C1275="","",IFERROR(INDEX(AK_KEL,MATCH(C1275,AK_NAMA,0)),"?"))</f>
        <v>ASET</v>
      </c>
      <c r="P1275" s="102" t="str">
        <f aca="false">IF(D1275="","",IFERROR(INDEX(AK_KEL,MATCH(D1275,AK_NAMA,0)),"?"))</f>
        <v>ASET</v>
      </c>
      <c r="Q1275" s="102" t="n">
        <f aca="false">N(Q1274)+IF(AND(N(E1275)&lt;&gt;0,K1275=TAHUN,N(J1275)&lt;=BLN,OR(C1275=BB_AKUN,D1275=BB_AKUN)),1,0)</f>
        <v>861</v>
      </c>
      <c r="R1275" s="104" t="str">
        <f aca="false">IF(OR(C1275&amp;D1275="",N(E1275)=0),"",IF(OR(O1275="?",P1275="?"),"⚠ akun tidak dikenal",IF(C1275=D1275,"⚠ debet = kredit","")))</f>
        <v/>
      </c>
    </row>
    <row r="1276" customFormat="false" ht="15" hidden="false" customHeight="false" outlineLevel="0" collapsed="false">
      <c r="A1276" s="82" t="s">
        <v>2544</v>
      </c>
      <c r="B1276" s="101" t="n">
        <v>46294</v>
      </c>
      <c r="C1276" s="82" t="s">
        <v>461</v>
      </c>
      <c r="D1276" s="82" t="s">
        <v>718</v>
      </c>
      <c r="E1276" s="91" t="n">
        <v>1804500</v>
      </c>
      <c r="F1276" s="82" t="s">
        <v>2545</v>
      </c>
      <c r="G1276" s="82"/>
      <c r="H1276" s="82"/>
      <c r="I1276" s="82" t="s">
        <v>250</v>
      </c>
      <c r="J1276" s="102" t="n">
        <f aca="false">IF(B1276="","",MONTH(B1276))</f>
        <v>9</v>
      </c>
      <c r="K1276" s="102" t="n">
        <f aca="false">IF(B1276="","",YEAR(B1276))</f>
        <v>2026</v>
      </c>
      <c r="L1276" s="102" t="str">
        <f aca="false">IF(N(E1276)=0,"",IF(COUNTIFS(AK_NAMA,C1276,AK_KAT,"KAS")+COUNTIFS(AK_NAMA,D1276,AK_KAT,"KAS")&lt;&gt;1,"",IF(COUNTIFS(AK_NAMA,C1276,AK_KAT,"KAS")=1,D1276,C1276)))</f>
        <v>Piutang Lainnya</v>
      </c>
      <c r="M1276" s="103" t="n">
        <f aca="false">IF(L1276="",0,IF(L1276=D1276,E1276,-E1276))</f>
        <v>1804500</v>
      </c>
      <c r="N1276" s="102" t="str">
        <f aca="false">IF(L1276="","",IFERROR(INDEX(AK_BARIS,MATCH(L1276,AK_NAMA,0)),"?"))</f>
        <v>OP2</v>
      </c>
      <c r="O1276" s="102" t="str">
        <f aca="false">IF(C1276="","",IFERROR(INDEX(AK_KEL,MATCH(C1276,AK_NAMA,0)),"?"))</f>
        <v>ASET</v>
      </c>
      <c r="P1276" s="102" t="str">
        <f aca="false">IF(D1276="","",IFERROR(INDEX(AK_KEL,MATCH(D1276,AK_NAMA,0)),"?"))</f>
        <v>ASET</v>
      </c>
      <c r="Q1276" s="102" t="n">
        <f aca="false">N(Q1275)+IF(AND(N(E1276)&lt;&gt;0,K1276=TAHUN,N(J1276)&lt;=BLN,OR(C1276=BB_AKUN,D1276=BB_AKUN)),1,0)</f>
        <v>862</v>
      </c>
      <c r="R1276" s="104" t="str">
        <f aca="false">IF(OR(C1276&amp;D1276="",N(E1276)=0),"",IF(OR(O1276="?",P1276="?"),"⚠ akun tidak dikenal",IF(C1276=D1276,"⚠ debet = kredit","")))</f>
        <v/>
      </c>
    </row>
    <row r="1277" customFormat="false" ht="15" hidden="false" customHeight="false" outlineLevel="0" collapsed="false">
      <c r="A1277" s="82" t="s">
        <v>2546</v>
      </c>
      <c r="B1277" s="101" t="n">
        <v>46295</v>
      </c>
      <c r="C1277" s="82" t="s">
        <v>460</v>
      </c>
      <c r="D1277" s="82" t="s">
        <v>475</v>
      </c>
      <c r="E1277" s="91" t="n">
        <v>50000</v>
      </c>
      <c r="F1277" s="82" t="s">
        <v>2547</v>
      </c>
      <c r="G1277" s="82"/>
      <c r="H1277" s="82"/>
      <c r="I1277" s="82" t="s">
        <v>250</v>
      </c>
      <c r="J1277" s="102" t="n">
        <f aca="false">IF(B1277="","",MONTH(B1277))</f>
        <v>9</v>
      </c>
      <c r="K1277" s="102" t="n">
        <f aca="false">IF(B1277="","",YEAR(B1277))</f>
        <v>2026</v>
      </c>
      <c r="L1277" s="102" t="str">
        <f aca="false">IF(N(E1277)=0,"",IF(COUNTIFS(AK_NAMA,C1277,AK_KAT,"KAS")+COUNTIFS(AK_NAMA,D1277,AK_KAT,"KAS")&lt;&gt;1,"",IF(COUNTIFS(AK_NAMA,C1277,AK_KAT,"KAS")=1,D1277,C1277)))</f>
        <v>Biaya Marketing &amp; Promosi</v>
      </c>
      <c r="M1277" s="103" t="n">
        <f aca="false">IF(L1277="",0,IF(L1277=D1277,E1277,-E1277))</f>
        <v>-50000</v>
      </c>
      <c r="N1277" s="102" t="str">
        <f aca="false">IF(L1277="","",IFERROR(INDEX(AK_BARIS,MATCH(L1277,AK_NAMA,0)),"?"))</f>
        <v>OP6</v>
      </c>
      <c r="O1277" s="102" t="str">
        <f aca="false">IF(C1277="","",IFERROR(INDEX(AK_KEL,MATCH(C1277,AK_NAMA,0)),"?"))</f>
        <v>BEBAN</v>
      </c>
      <c r="P1277" s="102" t="str">
        <f aca="false">IF(D1277="","",IFERROR(INDEX(AK_KEL,MATCH(D1277,AK_NAMA,0)),"?"))</f>
        <v>ASET</v>
      </c>
      <c r="Q1277" s="102" t="n">
        <f aca="false">N(Q1276)+IF(AND(N(E1277)&lt;&gt;0,K1277=TAHUN,N(J1277)&lt;=BLN,OR(C1277=BB_AKUN,D1277=BB_AKUN)),1,0)</f>
        <v>862</v>
      </c>
      <c r="R1277" s="104" t="str">
        <f aca="false">IF(OR(C1277&amp;D1277="",N(E1277)=0),"",IF(OR(O1277="?",P1277="?"),"⚠ akun tidak dikenal",IF(C1277=D1277,"⚠ debet = kredit","")))</f>
        <v/>
      </c>
    </row>
    <row r="1278" customFormat="false" ht="15" hidden="false" customHeight="false" outlineLevel="0" collapsed="false">
      <c r="A1278" s="82" t="s">
        <v>2548</v>
      </c>
      <c r="B1278" s="101" t="n">
        <v>46295</v>
      </c>
      <c r="C1278" s="82" t="s">
        <v>461</v>
      </c>
      <c r="D1278" s="82" t="s">
        <v>475</v>
      </c>
      <c r="E1278" s="91" t="n">
        <v>800000</v>
      </c>
      <c r="F1278" s="82" t="s">
        <v>2549</v>
      </c>
      <c r="G1278" s="82"/>
      <c r="H1278" s="82"/>
      <c r="I1278" s="82" t="s">
        <v>250</v>
      </c>
      <c r="J1278" s="102" t="n">
        <f aca="false">IF(B1278="","",MONTH(B1278))</f>
        <v>9</v>
      </c>
      <c r="K1278" s="102" t="n">
        <f aca="false">IF(B1278="","",YEAR(B1278))</f>
        <v>2026</v>
      </c>
      <c r="L1278" s="102" t="str">
        <f aca="false">IF(N(E1278)=0,"",IF(COUNTIFS(AK_NAMA,C1278,AK_KAT,"KAS")+COUNTIFS(AK_NAMA,D1278,AK_KAT,"KAS")&lt;&gt;1,"",IF(COUNTIFS(AK_NAMA,C1278,AK_KAT,"KAS")=1,D1278,C1278)))</f>
        <v/>
      </c>
      <c r="M1278" s="103" t="n">
        <f aca="false">IF(L1278="",0,IF(L1278=D1278,E1278,-E1278))</f>
        <v>0</v>
      </c>
      <c r="N1278" s="102" t="str">
        <f aca="false">IF(L1278="","",IFERROR(INDEX(AK_BARIS,MATCH(L1278,AK_NAMA,0)),"?"))</f>
        <v/>
      </c>
      <c r="O1278" s="102" t="str">
        <f aca="false">IF(C1278="","",IFERROR(INDEX(AK_KEL,MATCH(C1278,AK_NAMA,0)),"?"))</f>
        <v>ASET</v>
      </c>
      <c r="P1278" s="102" t="str">
        <f aca="false">IF(D1278="","",IFERROR(INDEX(AK_KEL,MATCH(D1278,AK_NAMA,0)),"?"))</f>
        <v>ASET</v>
      </c>
      <c r="Q1278" s="102" t="n">
        <f aca="false">N(Q1277)+IF(AND(N(E1278)&lt;&gt;0,K1278=TAHUN,N(J1278)&lt;=BLN,OR(C1278=BB_AKUN,D1278=BB_AKUN)),1,0)</f>
        <v>863</v>
      </c>
      <c r="R1278" s="104" t="str">
        <f aca="false">IF(OR(C1278&amp;D1278="",N(E1278)=0),"",IF(OR(O1278="?",P1278="?"),"⚠ akun tidak dikenal",IF(C1278=D1278,"⚠ debet = kredit","")))</f>
        <v/>
      </c>
    </row>
    <row r="1279" customFormat="false" ht="15" hidden="false" customHeight="false" outlineLevel="0" collapsed="false">
      <c r="A1279" s="82" t="s">
        <v>2550</v>
      </c>
      <c r="B1279" s="101" t="n">
        <v>46295</v>
      </c>
      <c r="C1279" s="82" t="s">
        <v>470</v>
      </c>
      <c r="D1279" s="82" t="s">
        <v>461</v>
      </c>
      <c r="E1279" s="91" t="n">
        <v>220000</v>
      </c>
      <c r="F1279" s="82" t="s">
        <v>2551</v>
      </c>
      <c r="G1279" s="82"/>
      <c r="H1279" s="82"/>
      <c r="I1279" s="82" t="s">
        <v>250</v>
      </c>
      <c r="J1279" s="102" t="n">
        <f aca="false">IF(B1279="","",MONTH(B1279))</f>
        <v>9</v>
      </c>
      <c r="K1279" s="102" t="n">
        <f aca="false">IF(B1279="","",YEAR(B1279))</f>
        <v>2026</v>
      </c>
      <c r="L1279" s="102" t="str">
        <f aca="false">IF(N(E1279)=0,"",IF(COUNTIFS(AK_NAMA,C1279,AK_KAT,"KAS")+COUNTIFS(AK_NAMA,D1279,AK_KAT,"KAS")&lt;&gt;1,"",IF(COUNTIFS(AK_NAMA,C1279,AK_KAT,"KAS")=1,D1279,C1279)))</f>
        <v>Biaya Bahan Baku</v>
      </c>
      <c r="M1279" s="103" t="n">
        <f aca="false">IF(L1279="",0,IF(L1279=D1279,E1279,-E1279))</f>
        <v>-220000</v>
      </c>
      <c r="N1279" s="102" t="str">
        <f aca="false">IF(L1279="","",IFERROR(INDEX(AK_BARIS,MATCH(L1279,AK_NAMA,0)),"?"))</f>
        <v>OP3</v>
      </c>
      <c r="O1279" s="102" t="str">
        <f aca="false">IF(C1279="","",IFERROR(INDEX(AK_KEL,MATCH(C1279,AK_NAMA,0)),"?"))</f>
        <v>BEBAN</v>
      </c>
      <c r="P1279" s="102" t="str">
        <f aca="false">IF(D1279="","",IFERROR(INDEX(AK_KEL,MATCH(D1279,AK_NAMA,0)),"?"))</f>
        <v>ASET</v>
      </c>
      <c r="Q1279" s="102" t="n">
        <f aca="false">N(Q1278)+IF(AND(N(E1279)&lt;&gt;0,K1279=TAHUN,N(J1279)&lt;=BLN,OR(C1279=BB_AKUN,D1279=BB_AKUN)),1,0)</f>
        <v>864</v>
      </c>
      <c r="R1279" s="104" t="str">
        <f aca="false">IF(OR(C1279&amp;D1279="",N(E1279)=0),"",IF(OR(O1279="?",P1279="?"),"⚠ akun tidak dikenal",IF(C1279=D1279,"⚠ debet = kredit","")))</f>
        <v/>
      </c>
    </row>
    <row r="1280" customFormat="false" ht="15" hidden="false" customHeight="false" outlineLevel="0" collapsed="false">
      <c r="A1280" s="82" t="s">
        <v>2552</v>
      </c>
      <c r="B1280" s="101" t="n">
        <v>46295</v>
      </c>
      <c r="C1280" s="82" t="s">
        <v>672</v>
      </c>
      <c r="D1280" s="82" t="s">
        <v>461</v>
      </c>
      <c r="E1280" s="91" t="n">
        <v>187000</v>
      </c>
      <c r="F1280" s="82" t="s">
        <v>2553</v>
      </c>
      <c r="G1280" s="82"/>
      <c r="H1280" s="82"/>
      <c r="I1280" s="82" t="s">
        <v>250</v>
      </c>
      <c r="J1280" s="102" t="n">
        <f aca="false">IF(B1280="","",MONTH(B1280))</f>
        <v>9</v>
      </c>
      <c r="K1280" s="102" t="n">
        <f aca="false">IF(B1280="","",YEAR(B1280))</f>
        <v>2026</v>
      </c>
      <c r="L1280" s="102" t="str">
        <f aca="false">IF(N(E1280)=0,"",IF(COUNTIFS(AK_NAMA,C1280,AK_KAT,"KAS")+COUNTIFS(AK_NAMA,D1280,AK_KAT,"KAS")&lt;&gt;1,"",IF(COUNTIFS(AK_NAMA,C1280,AK_KAT,"KAS")=1,D1280,C1280)))</f>
        <v>Peralatan</v>
      </c>
      <c r="M1280" s="103" t="n">
        <f aca="false">IF(L1280="",0,IF(L1280=D1280,E1280,-E1280))</f>
        <v>-187000</v>
      </c>
      <c r="N1280" s="102" t="str">
        <f aca="false">IF(L1280="","",IFERROR(INDEX(AK_BARIS,MATCH(L1280,AK_NAMA,0)),"?"))</f>
        <v>IN1</v>
      </c>
      <c r="O1280" s="102" t="str">
        <f aca="false">IF(C1280="","",IFERROR(INDEX(AK_KEL,MATCH(C1280,AK_NAMA,0)),"?"))</f>
        <v>ASET</v>
      </c>
      <c r="P1280" s="102" t="str">
        <f aca="false">IF(D1280="","",IFERROR(INDEX(AK_KEL,MATCH(D1280,AK_NAMA,0)),"?"))</f>
        <v>ASET</v>
      </c>
      <c r="Q1280" s="102" t="n">
        <f aca="false">N(Q1279)+IF(AND(N(E1280)&lt;&gt;0,K1280=TAHUN,N(J1280)&lt;=BLN,OR(C1280=BB_AKUN,D1280=BB_AKUN)),1,0)</f>
        <v>865</v>
      </c>
      <c r="R1280" s="104" t="str">
        <f aca="false">IF(OR(C1280&amp;D1280="",N(E1280)=0),"",IF(OR(O1280="?",P1280="?"),"⚠ akun tidak dikenal",IF(C1280=D1280,"⚠ debet = kredit","")))</f>
        <v/>
      </c>
    </row>
    <row r="1281" customFormat="false" ht="15" hidden="false" customHeight="false" outlineLevel="0" collapsed="false">
      <c r="A1281" s="82" t="s">
        <v>2554</v>
      </c>
      <c r="B1281" s="101" t="n">
        <v>46295</v>
      </c>
      <c r="C1281" s="82" t="s">
        <v>524</v>
      </c>
      <c r="D1281" s="82" t="s">
        <v>461</v>
      </c>
      <c r="E1281" s="91" t="n">
        <v>350</v>
      </c>
      <c r="F1281" s="82" t="s">
        <v>525</v>
      </c>
      <c r="G1281" s="82"/>
      <c r="H1281" s="82"/>
      <c r="I1281" s="82" t="s">
        <v>250</v>
      </c>
      <c r="J1281" s="102" t="n">
        <f aca="false">IF(B1281="","",MONTH(B1281))</f>
        <v>9</v>
      </c>
      <c r="K1281" s="102" t="n">
        <f aca="false">IF(B1281="","",YEAR(B1281))</f>
        <v>2026</v>
      </c>
      <c r="L1281" s="102" t="str">
        <f aca="false">IF(N(E1281)=0,"",IF(COUNTIFS(AK_NAMA,C1281,AK_KAT,"KAS")+COUNTIFS(AK_NAMA,D1281,AK_KAT,"KAS")&lt;&gt;1,"",IF(COUNTIFS(AK_NAMA,C1281,AK_KAT,"KAS")=1,D1281,C1281)))</f>
        <v>Biaya Lainnya</v>
      </c>
      <c r="M1281" s="103" t="n">
        <f aca="false">IF(L1281="",0,IF(L1281=D1281,E1281,-E1281))</f>
        <v>-350</v>
      </c>
      <c r="N1281" s="102" t="str">
        <f aca="false">IF(L1281="","",IFERROR(INDEX(AK_BARIS,MATCH(L1281,AK_NAMA,0)),"?"))</f>
        <v>OP2</v>
      </c>
      <c r="O1281" s="102" t="str">
        <f aca="false">IF(C1281="","",IFERROR(INDEX(AK_KEL,MATCH(C1281,AK_NAMA,0)),"?"))</f>
        <v>BEBAN</v>
      </c>
      <c r="P1281" s="102" t="str">
        <f aca="false">IF(D1281="","",IFERROR(INDEX(AK_KEL,MATCH(D1281,AK_NAMA,0)),"?"))</f>
        <v>ASET</v>
      </c>
      <c r="Q1281" s="102" t="n">
        <f aca="false">N(Q1280)+IF(AND(N(E1281)&lt;&gt;0,K1281=TAHUN,N(J1281)&lt;=BLN,OR(C1281=BB_AKUN,D1281=BB_AKUN)),1,0)</f>
        <v>866</v>
      </c>
      <c r="R1281" s="104" t="str">
        <f aca="false">IF(OR(C1281&amp;D1281="",N(E1281)=0),"",IF(OR(O1281="?",P1281="?"),"⚠ akun tidak dikenal",IF(C1281=D1281,"⚠ debet = kredit","")))</f>
        <v/>
      </c>
    </row>
    <row r="1282" customFormat="false" ht="15" hidden="false" customHeight="false" outlineLevel="0" collapsed="false">
      <c r="A1282" s="82" t="s">
        <v>2555</v>
      </c>
      <c r="B1282" s="101" t="n">
        <v>46295</v>
      </c>
      <c r="C1282" s="82" t="s">
        <v>461</v>
      </c>
      <c r="D1282" s="82" t="s">
        <v>475</v>
      </c>
      <c r="E1282" s="91" t="n">
        <v>30000</v>
      </c>
      <c r="F1282" s="82" t="s">
        <v>2556</v>
      </c>
      <c r="G1282" s="82"/>
      <c r="H1282" s="82"/>
      <c r="I1282" s="82" t="s">
        <v>250</v>
      </c>
      <c r="J1282" s="102" t="n">
        <f aca="false">IF(B1282="","",MONTH(B1282))</f>
        <v>9</v>
      </c>
      <c r="K1282" s="102" t="n">
        <f aca="false">IF(B1282="","",YEAR(B1282))</f>
        <v>2026</v>
      </c>
      <c r="L1282" s="102" t="str">
        <f aca="false">IF(N(E1282)=0,"",IF(COUNTIFS(AK_NAMA,C1282,AK_KAT,"KAS")+COUNTIFS(AK_NAMA,D1282,AK_KAT,"KAS")&lt;&gt;1,"",IF(COUNTIFS(AK_NAMA,C1282,AK_KAT,"KAS")=1,D1282,C1282)))</f>
        <v/>
      </c>
      <c r="M1282" s="103" t="n">
        <f aca="false">IF(L1282="",0,IF(L1282=D1282,E1282,-E1282))</f>
        <v>0</v>
      </c>
      <c r="N1282" s="102" t="str">
        <f aca="false">IF(L1282="","",IFERROR(INDEX(AK_BARIS,MATCH(L1282,AK_NAMA,0)),"?"))</f>
        <v/>
      </c>
      <c r="O1282" s="102" t="str">
        <f aca="false">IF(C1282="","",IFERROR(INDEX(AK_KEL,MATCH(C1282,AK_NAMA,0)),"?"))</f>
        <v>ASET</v>
      </c>
      <c r="P1282" s="102" t="str">
        <f aca="false">IF(D1282="","",IFERROR(INDEX(AK_KEL,MATCH(D1282,AK_NAMA,0)),"?"))</f>
        <v>ASET</v>
      </c>
      <c r="Q1282" s="102" t="n">
        <f aca="false">N(Q1281)+IF(AND(N(E1282)&lt;&gt;0,K1282=TAHUN,N(J1282)&lt;=BLN,OR(C1282=BB_AKUN,D1282=BB_AKUN)),1,0)</f>
        <v>867</v>
      </c>
      <c r="R1282" s="104" t="str">
        <f aca="false">IF(OR(C1282&amp;D1282="",N(E1282)=0),"",IF(OR(O1282="?",P1282="?"),"⚠ akun tidak dikenal",IF(C1282=D1282,"⚠ debet = kredit","")))</f>
        <v/>
      </c>
    </row>
    <row r="1283" customFormat="false" ht="15" hidden="false" customHeight="false" outlineLevel="0" collapsed="false">
      <c r="A1283" s="82" t="s">
        <v>2557</v>
      </c>
      <c r="B1283" s="101" t="n">
        <v>46295</v>
      </c>
      <c r="C1283" s="82" t="s">
        <v>524</v>
      </c>
      <c r="D1283" s="82" t="s">
        <v>461</v>
      </c>
      <c r="E1283" s="91" t="n">
        <v>351</v>
      </c>
      <c r="F1283" s="82" t="s">
        <v>525</v>
      </c>
      <c r="G1283" s="82"/>
      <c r="H1283" s="82"/>
      <c r="I1283" s="82" t="s">
        <v>250</v>
      </c>
      <c r="J1283" s="102" t="n">
        <f aca="false">IF(B1283="","",MONTH(B1283))</f>
        <v>9</v>
      </c>
      <c r="K1283" s="102" t="n">
        <f aca="false">IF(B1283="","",YEAR(B1283))</f>
        <v>2026</v>
      </c>
      <c r="L1283" s="102" t="str">
        <f aca="false">IF(N(E1283)=0,"",IF(COUNTIFS(AK_NAMA,C1283,AK_KAT,"KAS")+COUNTIFS(AK_NAMA,D1283,AK_KAT,"KAS")&lt;&gt;1,"",IF(COUNTIFS(AK_NAMA,C1283,AK_KAT,"KAS")=1,D1283,C1283)))</f>
        <v>Biaya Lainnya</v>
      </c>
      <c r="M1283" s="103" t="n">
        <f aca="false">IF(L1283="",0,IF(L1283=D1283,E1283,-E1283))</f>
        <v>-351</v>
      </c>
      <c r="N1283" s="102" t="str">
        <f aca="false">IF(L1283="","",IFERROR(INDEX(AK_BARIS,MATCH(L1283,AK_NAMA,0)),"?"))</f>
        <v>OP2</v>
      </c>
      <c r="O1283" s="102" t="str">
        <f aca="false">IF(C1283="","",IFERROR(INDEX(AK_KEL,MATCH(C1283,AK_NAMA,0)),"?"))</f>
        <v>BEBAN</v>
      </c>
      <c r="P1283" s="102" t="str">
        <f aca="false">IF(D1283="","",IFERROR(INDEX(AK_KEL,MATCH(D1283,AK_NAMA,0)),"?"))</f>
        <v>ASET</v>
      </c>
      <c r="Q1283" s="102" t="n">
        <f aca="false">N(Q1282)+IF(AND(N(E1283)&lt;&gt;0,K1283=TAHUN,N(J1283)&lt;=BLN,OR(C1283=BB_AKUN,D1283=BB_AKUN)),1,0)</f>
        <v>868</v>
      </c>
      <c r="R1283" s="104" t="str">
        <f aca="false">IF(OR(C1283&amp;D1283="",N(E1283)=0),"",IF(OR(O1283="?",P1283="?"),"⚠ akun tidak dikenal",IF(C1283=D1283,"⚠ debet = kredit","")))</f>
        <v/>
      </c>
    </row>
    <row r="1284" customFormat="false" ht="15" hidden="false" customHeight="false" outlineLevel="0" collapsed="false">
      <c r="A1284" s="82" t="s">
        <v>2558</v>
      </c>
      <c r="B1284" s="101" t="n">
        <v>46295</v>
      </c>
      <c r="C1284" s="82" t="s">
        <v>485</v>
      </c>
      <c r="D1284" s="82" t="s">
        <v>461</v>
      </c>
      <c r="E1284" s="91" t="n">
        <v>91000</v>
      </c>
      <c r="F1284" s="82" t="s">
        <v>2559</v>
      </c>
      <c r="G1284" s="82"/>
      <c r="H1284" s="82"/>
      <c r="I1284" s="82" t="s">
        <v>250</v>
      </c>
      <c r="J1284" s="102" t="n">
        <f aca="false">IF(B1284="","",MONTH(B1284))</f>
        <v>9</v>
      </c>
      <c r="K1284" s="102" t="n">
        <f aca="false">IF(B1284="","",YEAR(B1284))</f>
        <v>2026</v>
      </c>
      <c r="L1284" s="102" t="str">
        <f aca="false">IF(N(E1284)=0,"",IF(COUNTIFS(AK_NAMA,C1284,AK_KAT,"KAS")+COUNTIFS(AK_NAMA,D1284,AK_KAT,"KAS")&lt;&gt;1,"",IF(COUNTIFS(AK_NAMA,C1284,AK_KAT,"KAS")=1,D1284,C1284)))</f>
        <v>Biaya Operasional Harian</v>
      </c>
      <c r="M1284" s="103" t="n">
        <f aca="false">IF(L1284="",0,IF(L1284=D1284,E1284,-E1284))</f>
        <v>-91000</v>
      </c>
      <c r="N1284" s="102" t="str">
        <f aca="false">IF(L1284="","",IFERROR(INDEX(AK_BARIS,MATCH(L1284,AK_NAMA,0)),"?"))</f>
        <v>OP6</v>
      </c>
      <c r="O1284" s="102" t="str">
        <f aca="false">IF(C1284="","",IFERROR(INDEX(AK_KEL,MATCH(C1284,AK_NAMA,0)),"?"))</f>
        <v>BEBAN</v>
      </c>
      <c r="P1284" s="102" t="str">
        <f aca="false">IF(D1284="","",IFERROR(INDEX(AK_KEL,MATCH(D1284,AK_NAMA,0)),"?"))</f>
        <v>ASET</v>
      </c>
      <c r="Q1284" s="102" t="n">
        <f aca="false">N(Q1283)+IF(AND(N(E1284)&lt;&gt;0,K1284=TAHUN,N(J1284)&lt;=BLN,OR(C1284=BB_AKUN,D1284=BB_AKUN)),1,0)</f>
        <v>869</v>
      </c>
      <c r="R1284" s="104" t="str">
        <f aca="false">IF(OR(C1284&amp;D1284="",N(E1284)=0),"",IF(OR(O1284="?",P1284="?"),"⚠ akun tidak dikenal",IF(C1284=D1284,"⚠ debet = kredit","")))</f>
        <v/>
      </c>
    </row>
    <row r="1285" customFormat="false" ht="15" hidden="false" customHeight="false" outlineLevel="0" collapsed="false">
      <c r="A1285" s="82" t="s">
        <v>2560</v>
      </c>
      <c r="B1285" s="101" t="n">
        <v>46295</v>
      </c>
      <c r="C1285" s="82" t="s">
        <v>669</v>
      </c>
      <c r="D1285" s="82" t="s">
        <v>461</v>
      </c>
      <c r="E1285" s="91" t="n">
        <v>4096491</v>
      </c>
      <c r="F1285" s="82" t="s">
        <v>2561</v>
      </c>
      <c r="G1285" s="82"/>
      <c r="H1285" s="82"/>
      <c r="I1285" s="82" t="s">
        <v>250</v>
      </c>
      <c r="J1285" s="102" t="n">
        <f aca="false">IF(B1285="","",MONTH(B1285))</f>
        <v>9</v>
      </c>
      <c r="K1285" s="102" t="n">
        <f aca="false">IF(B1285="","",YEAR(B1285))</f>
        <v>2026</v>
      </c>
      <c r="L1285" s="102" t="str">
        <f aca="false">IF(N(E1285)=0,"",IF(COUNTIFS(AK_NAMA,C1285,AK_KAT,"KAS")+COUNTIFS(AK_NAMA,D1285,AK_KAT,"KAS")&lt;&gt;1,"",IF(COUNTIFS(AK_NAMA,C1285,AK_KAT,"KAS")=1,D1285,C1285)))</f>
        <v>Biaya Tagihan Bulanan</v>
      </c>
      <c r="M1285" s="103" t="n">
        <f aca="false">IF(L1285="",0,IF(L1285=D1285,E1285,-E1285))</f>
        <v>-4096491</v>
      </c>
      <c r="N1285" s="102" t="str">
        <f aca="false">IF(L1285="","",IFERROR(INDEX(AK_BARIS,MATCH(L1285,AK_NAMA,0)),"?"))</f>
        <v>OP6</v>
      </c>
      <c r="O1285" s="102" t="str">
        <f aca="false">IF(C1285="","",IFERROR(INDEX(AK_KEL,MATCH(C1285,AK_NAMA,0)),"?"))</f>
        <v>BEBAN</v>
      </c>
      <c r="P1285" s="102" t="str">
        <f aca="false">IF(D1285="","",IFERROR(INDEX(AK_KEL,MATCH(D1285,AK_NAMA,0)),"?"))</f>
        <v>ASET</v>
      </c>
      <c r="Q1285" s="102" t="n">
        <f aca="false">N(Q1284)+IF(AND(N(E1285)&lt;&gt;0,K1285=TAHUN,N(J1285)&lt;=BLN,OR(C1285=BB_AKUN,D1285=BB_AKUN)),1,0)</f>
        <v>870</v>
      </c>
      <c r="R1285" s="104" t="str">
        <f aca="false">IF(OR(C1285&amp;D1285="",N(E1285)=0),"",IF(OR(O1285="?",P1285="?"),"⚠ akun tidak dikenal",IF(C1285=D1285,"⚠ debet = kredit","")))</f>
        <v/>
      </c>
    </row>
    <row r="1286" customFormat="false" ht="15" hidden="false" customHeight="false" outlineLevel="0" collapsed="false">
      <c r="A1286" s="82" t="s">
        <v>2562</v>
      </c>
      <c r="B1286" s="101" t="n">
        <v>46295</v>
      </c>
      <c r="C1286" s="82" t="s">
        <v>669</v>
      </c>
      <c r="D1286" s="82" t="s">
        <v>461</v>
      </c>
      <c r="E1286" s="91" t="n">
        <v>387225</v>
      </c>
      <c r="F1286" s="82" t="s">
        <v>2563</v>
      </c>
      <c r="G1286" s="82"/>
      <c r="H1286" s="82"/>
      <c r="I1286" s="82" t="s">
        <v>250</v>
      </c>
      <c r="J1286" s="102" t="n">
        <f aca="false">IF(B1286="","",MONTH(B1286))</f>
        <v>9</v>
      </c>
      <c r="K1286" s="102" t="n">
        <f aca="false">IF(B1286="","",YEAR(B1286))</f>
        <v>2026</v>
      </c>
      <c r="L1286" s="102" t="str">
        <f aca="false">IF(N(E1286)=0,"",IF(COUNTIFS(AK_NAMA,C1286,AK_KAT,"KAS")+COUNTIFS(AK_NAMA,D1286,AK_KAT,"KAS")&lt;&gt;1,"",IF(COUNTIFS(AK_NAMA,C1286,AK_KAT,"KAS")=1,D1286,C1286)))</f>
        <v>Biaya Tagihan Bulanan</v>
      </c>
      <c r="M1286" s="103" t="n">
        <f aca="false">IF(L1286="",0,IF(L1286=D1286,E1286,-E1286))</f>
        <v>-387225</v>
      </c>
      <c r="N1286" s="102" t="str">
        <f aca="false">IF(L1286="","",IFERROR(INDEX(AK_BARIS,MATCH(L1286,AK_NAMA,0)),"?"))</f>
        <v>OP6</v>
      </c>
      <c r="O1286" s="102" t="str">
        <f aca="false">IF(C1286="","",IFERROR(INDEX(AK_KEL,MATCH(C1286,AK_NAMA,0)),"?"))</f>
        <v>BEBAN</v>
      </c>
      <c r="P1286" s="102" t="str">
        <f aca="false">IF(D1286="","",IFERROR(INDEX(AK_KEL,MATCH(D1286,AK_NAMA,0)),"?"))</f>
        <v>ASET</v>
      </c>
      <c r="Q1286" s="102" t="n">
        <f aca="false">N(Q1285)+IF(AND(N(E1286)&lt;&gt;0,K1286=TAHUN,N(J1286)&lt;=BLN,OR(C1286=BB_AKUN,D1286=BB_AKUN)),1,0)</f>
        <v>871</v>
      </c>
      <c r="R1286" s="104" t="str">
        <f aca="false">IF(OR(C1286&amp;D1286="",N(E1286)=0),"",IF(OR(O1286="?",P1286="?"),"⚠ akun tidak dikenal",IF(C1286=D1286,"⚠ debet = kredit","")))</f>
        <v/>
      </c>
    </row>
    <row r="1287" customFormat="false" ht="15" hidden="false" customHeight="false" outlineLevel="0" collapsed="false">
      <c r="A1287" s="82" t="s">
        <v>2564</v>
      </c>
      <c r="B1287" s="101" t="n">
        <v>46295</v>
      </c>
      <c r="C1287" s="82" t="s">
        <v>669</v>
      </c>
      <c r="D1287" s="82" t="s">
        <v>461</v>
      </c>
      <c r="E1287" s="91" t="n">
        <v>56891</v>
      </c>
      <c r="F1287" s="82" t="s">
        <v>2565</v>
      </c>
      <c r="G1287" s="82"/>
      <c r="H1287" s="82"/>
      <c r="I1287" s="82" t="s">
        <v>250</v>
      </c>
      <c r="J1287" s="102" t="n">
        <f aca="false">IF(B1287="","",MONTH(B1287))</f>
        <v>9</v>
      </c>
      <c r="K1287" s="102" t="n">
        <f aca="false">IF(B1287="","",YEAR(B1287))</f>
        <v>2026</v>
      </c>
      <c r="L1287" s="102" t="str">
        <f aca="false">IF(N(E1287)=0,"",IF(COUNTIFS(AK_NAMA,C1287,AK_KAT,"KAS")+COUNTIFS(AK_NAMA,D1287,AK_KAT,"KAS")&lt;&gt;1,"",IF(COUNTIFS(AK_NAMA,C1287,AK_KAT,"KAS")=1,D1287,C1287)))</f>
        <v>Biaya Tagihan Bulanan</v>
      </c>
      <c r="M1287" s="103" t="n">
        <f aca="false">IF(L1287="",0,IF(L1287=D1287,E1287,-E1287))</f>
        <v>-56891</v>
      </c>
      <c r="N1287" s="102" t="str">
        <f aca="false">IF(L1287="","",IFERROR(INDEX(AK_BARIS,MATCH(L1287,AK_NAMA,0)),"?"))</f>
        <v>OP6</v>
      </c>
      <c r="O1287" s="102" t="str">
        <f aca="false">IF(C1287="","",IFERROR(INDEX(AK_KEL,MATCH(C1287,AK_NAMA,0)),"?"))</f>
        <v>BEBAN</v>
      </c>
      <c r="P1287" s="102" t="str">
        <f aca="false">IF(D1287="","",IFERROR(INDEX(AK_KEL,MATCH(D1287,AK_NAMA,0)),"?"))</f>
        <v>ASET</v>
      </c>
      <c r="Q1287" s="102" t="n">
        <f aca="false">N(Q1286)+IF(AND(N(E1287)&lt;&gt;0,K1287=TAHUN,N(J1287)&lt;=BLN,OR(C1287=BB_AKUN,D1287=BB_AKUN)),1,0)</f>
        <v>872</v>
      </c>
      <c r="R1287" s="104" t="str">
        <f aca="false">IF(OR(C1287&amp;D1287="",N(E1287)=0),"",IF(OR(O1287="?",P1287="?"),"⚠ akun tidak dikenal",IF(C1287=D1287,"⚠ debet = kredit","")))</f>
        <v/>
      </c>
    </row>
    <row r="1288" customFormat="false" ht="15" hidden="false" customHeight="false" outlineLevel="0" collapsed="false">
      <c r="A1288" s="82" t="s">
        <v>2566</v>
      </c>
      <c r="B1288" s="101" t="n">
        <v>46295</v>
      </c>
      <c r="C1288" s="82" t="s">
        <v>524</v>
      </c>
      <c r="D1288" s="82" t="s">
        <v>461</v>
      </c>
      <c r="E1288" s="91" t="n">
        <v>90</v>
      </c>
      <c r="F1288" s="82" t="s">
        <v>775</v>
      </c>
      <c r="G1288" s="82"/>
      <c r="H1288" s="82"/>
      <c r="I1288" s="82" t="s">
        <v>250</v>
      </c>
      <c r="J1288" s="102" t="n">
        <f aca="false">IF(B1288="","",MONTH(B1288))</f>
        <v>9</v>
      </c>
      <c r="K1288" s="102" t="n">
        <f aca="false">IF(B1288="","",YEAR(B1288))</f>
        <v>2026</v>
      </c>
      <c r="L1288" s="102" t="str">
        <f aca="false">IF(N(E1288)=0,"",IF(COUNTIFS(AK_NAMA,C1288,AK_KAT,"KAS")+COUNTIFS(AK_NAMA,D1288,AK_KAT,"KAS")&lt;&gt;1,"",IF(COUNTIFS(AK_NAMA,C1288,AK_KAT,"KAS")=1,D1288,C1288)))</f>
        <v>Biaya Lainnya</v>
      </c>
      <c r="M1288" s="103" t="n">
        <f aca="false">IF(L1288="",0,IF(L1288=D1288,E1288,-E1288))</f>
        <v>-90</v>
      </c>
      <c r="N1288" s="102" t="str">
        <f aca="false">IF(L1288="","",IFERROR(INDEX(AK_BARIS,MATCH(L1288,AK_NAMA,0)),"?"))</f>
        <v>OP2</v>
      </c>
      <c r="O1288" s="102" t="str">
        <f aca="false">IF(C1288="","",IFERROR(INDEX(AK_KEL,MATCH(C1288,AK_NAMA,0)),"?"))</f>
        <v>BEBAN</v>
      </c>
      <c r="P1288" s="102" t="str">
        <f aca="false">IF(D1288="","",IFERROR(INDEX(AK_KEL,MATCH(D1288,AK_NAMA,0)),"?"))</f>
        <v>ASET</v>
      </c>
      <c r="Q1288" s="102" t="n">
        <f aca="false">N(Q1287)+IF(AND(N(E1288)&lt;&gt;0,K1288=TAHUN,N(J1288)&lt;=BLN,OR(C1288=BB_AKUN,D1288=BB_AKUN)),1,0)</f>
        <v>873</v>
      </c>
      <c r="R1288" s="104" t="str">
        <f aca="false">IF(OR(C1288&amp;D1288="",N(E1288)=0),"",IF(OR(O1288="?",P1288="?"),"⚠ akun tidak dikenal",IF(C1288=D1288,"⚠ debet = kredit","")))</f>
        <v/>
      </c>
    </row>
    <row r="1289" customFormat="false" ht="15" hidden="false" customHeight="false" outlineLevel="0" collapsed="false">
      <c r="A1289" s="82" t="s">
        <v>2567</v>
      </c>
      <c r="B1289" s="101" t="n">
        <v>46295</v>
      </c>
      <c r="C1289" s="82" t="s">
        <v>461</v>
      </c>
      <c r="D1289" s="82" t="s">
        <v>557</v>
      </c>
      <c r="E1289" s="91" t="n">
        <v>449</v>
      </c>
      <c r="F1289" s="82" t="s">
        <v>773</v>
      </c>
      <c r="G1289" s="82"/>
      <c r="H1289" s="82"/>
      <c r="I1289" s="82" t="s">
        <v>250</v>
      </c>
      <c r="J1289" s="102" t="n">
        <f aca="false">IF(B1289="","",MONTH(B1289))</f>
        <v>9</v>
      </c>
      <c r="K1289" s="102" t="n">
        <f aca="false">IF(B1289="","",YEAR(B1289))</f>
        <v>2026</v>
      </c>
      <c r="L1289" s="102" t="str">
        <f aca="false">IF(N(E1289)=0,"",IF(COUNTIFS(AK_NAMA,C1289,AK_KAT,"KAS")+COUNTIFS(AK_NAMA,D1289,AK_KAT,"KAS")&lt;&gt;1,"",IF(COUNTIFS(AK_NAMA,C1289,AK_KAT,"KAS")=1,D1289,C1289)))</f>
        <v>Pendapatan Lainnya</v>
      </c>
      <c r="M1289" s="103" t="n">
        <f aca="false">IF(L1289="",0,IF(L1289=D1289,E1289,-E1289))</f>
        <v>449</v>
      </c>
      <c r="N1289" s="102" t="str">
        <f aca="false">IF(L1289="","",IFERROR(INDEX(AK_BARIS,MATCH(L1289,AK_NAMA,0)),"?"))</f>
        <v>OP2</v>
      </c>
      <c r="O1289" s="102" t="str">
        <f aca="false">IF(C1289="","",IFERROR(INDEX(AK_KEL,MATCH(C1289,AK_NAMA,0)),"?"))</f>
        <v>ASET</v>
      </c>
      <c r="P1289" s="102" t="str">
        <f aca="false">IF(D1289="","",IFERROR(INDEX(AK_KEL,MATCH(D1289,AK_NAMA,0)),"?"))</f>
        <v>PENDAPATAN</v>
      </c>
      <c r="Q1289" s="102" t="n">
        <f aca="false">N(Q1288)+IF(AND(N(E1289)&lt;&gt;0,K1289=TAHUN,N(J1289)&lt;=BLN,OR(C1289=BB_AKUN,D1289=BB_AKUN)),1,0)</f>
        <v>874</v>
      </c>
      <c r="R1289" s="104" t="str">
        <f aca="false">IF(OR(C1289&amp;D1289="",N(E1289)=0),"",IF(OR(O1289="?",P1289="?"),"⚠ akun tidak dikenal",IF(C1289=D1289,"⚠ debet = kredit","")))</f>
        <v/>
      </c>
    </row>
    <row r="1290" customFormat="false" ht="15" hidden="false" customHeight="false" outlineLevel="0" collapsed="false">
      <c r="A1290" s="82" t="s">
        <v>2568</v>
      </c>
      <c r="B1290" s="101" t="n">
        <v>46295</v>
      </c>
      <c r="C1290" s="82" t="s">
        <v>787</v>
      </c>
      <c r="D1290" s="82" t="s">
        <v>461</v>
      </c>
      <c r="E1290" s="91" t="n">
        <v>2096000</v>
      </c>
      <c r="F1290" s="82" t="s">
        <v>2569</v>
      </c>
      <c r="G1290" s="82"/>
      <c r="H1290" s="82"/>
      <c r="I1290" s="82" t="s">
        <v>250</v>
      </c>
      <c r="J1290" s="102" t="n">
        <f aca="false">IF(B1290="","",MONTH(B1290))</f>
        <v>9</v>
      </c>
      <c r="K1290" s="102" t="n">
        <f aca="false">IF(B1290="","",YEAR(B1290))</f>
        <v>2026</v>
      </c>
      <c r="L1290" s="102" t="str">
        <f aca="false">IF(N(E1290)=0,"",IF(COUNTIFS(AK_NAMA,C1290,AK_KAT,"KAS")+COUNTIFS(AK_NAMA,D1290,AK_KAT,"KAS")&lt;&gt;1,"",IF(COUNTIFS(AK_NAMA,C1290,AK_KAT,"KAS")=1,D1290,C1290)))</f>
        <v>Pajak Restoran</v>
      </c>
      <c r="M1290" s="103" t="n">
        <f aca="false">IF(L1290="",0,IF(L1290=D1290,E1290,-E1290))</f>
        <v>-2096000</v>
      </c>
      <c r="N1290" s="102" t="str">
        <f aca="false">IF(L1290="","",IFERROR(INDEX(AK_BARIS,MATCH(L1290,AK_NAMA,0)),"?"))</f>
        <v>OP7</v>
      </c>
      <c r="O1290" s="102" t="str">
        <f aca="false">IF(C1290="","",IFERROR(INDEX(AK_KEL,MATCH(C1290,AK_NAMA,0)),"?"))</f>
        <v>PENDAPATAN</v>
      </c>
      <c r="P1290" s="102" t="str">
        <f aca="false">IF(D1290="","",IFERROR(INDEX(AK_KEL,MATCH(D1290,AK_NAMA,0)),"?"))</f>
        <v>ASET</v>
      </c>
      <c r="Q1290" s="102" t="n">
        <f aca="false">N(Q1289)+IF(AND(N(E1290)&lt;&gt;0,K1290=TAHUN,N(J1290)&lt;=BLN,OR(C1290=BB_AKUN,D1290=BB_AKUN)),1,0)</f>
        <v>875</v>
      </c>
      <c r="R1290" s="104" t="str">
        <f aca="false">IF(OR(C1290&amp;D1290="",N(E1290)=0),"",IF(OR(O1290="?",P1290="?"),"⚠ akun tidak dikenal",IF(C1290=D1290,"⚠ debet = kredit","")))</f>
        <v/>
      </c>
    </row>
    <row r="1291" customFormat="false" ht="15" hidden="false" customHeight="false" outlineLevel="0" collapsed="false">
      <c r="A1291" s="82" t="s">
        <v>2570</v>
      </c>
      <c r="B1291" s="101" t="n">
        <v>46295</v>
      </c>
      <c r="C1291" s="82" t="s">
        <v>524</v>
      </c>
      <c r="D1291" s="82" t="s">
        <v>461</v>
      </c>
      <c r="E1291" s="91" t="n">
        <v>5000</v>
      </c>
      <c r="F1291" s="82" t="s">
        <v>1694</v>
      </c>
      <c r="G1291" s="82"/>
      <c r="H1291" s="82"/>
      <c r="I1291" s="82" t="s">
        <v>250</v>
      </c>
      <c r="J1291" s="102" t="n">
        <f aca="false">IF(B1291="","",MONTH(B1291))</f>
        <v>9</v>
      </c>
      <c r="K1291" s="102" t="n">
        <f aca="false">IF(B1291="","",YEAR(B1291))</f>
        <v>2026</v>
      </c>
      <c r="L1291" s="102" t="str">
        <f aca="false">IF(N(E1291)=0,"",IF(COUNTIFS(AK_NAMA,C1291,AK_KAT,"KAS")+COUNTIFS(AK_NAMA,D1291,AK_KAT,"KAS")&lt;&gt;1,"",IF(COUNTIFS(AK_NAMA,C1291,AK_KAT,"KAS")=1,D1291,C1291)))</f>
        <v>Biaya Lainnya</v>
      </c>
      <c r="M1291" s="103" t="n">
        <f aca="false">IF(L1291="",0,IF(L1291=D1291,E1291,-E1291))</f>
        <v>-5000</v>
      </c>
      <c r="N1291" s="102" t="str">
        <f aca="false">IF(L1291="","",IFERROR(INDEX(AK_BARIS,MATCH(L1291,AK_NAMA,0)),"?"))</f>
        <v>OP2</v>
      </c>
      <c r="O1291" s="102" t="str">
        <f aca="false">IF(C1291="","",IFERROR(INDEX(AK_KEL,MATCH(C1291,AK_NAMA,0)),"?"))</f>
        <v>BEBAN</v>
      </c>
      <c r="P1291" s="102" t="str">
        <f aca="false">IF(D1291="","",IFERROR(INDEX(AK_KEL,MATCH(D1291,AK_NAMA,0)),"?"))</f>
        <v>ASET</v>
      </c>
      <c r="Q1291" s="102" t="n">
        <f aca="false">N(Q1290)+IF(AND(N(E1291)&lt;&gt;0,K1291=TAHUN,N(J1291)&lt;=BLN,OR(C1291=BB_AKUN,D1291=BB_AKUN)),1,0)</f>
        <v>876</v>
      </c>
      <c r="R1291" s="104" t="str">
        <f aca="false">IF(OR(C1291&amp;D1291="",N(E1291)=0),"",IF(OR(O1291="?",P1291="?"),"⚠ akun tidak dikenal",IF(C1291=D1291,"⚠ debet = kredit","")))</f>
        <v/>
      </c>
    </row>
    <row r="1292" customFormat="false" ht="15" hidden="false" customHeight="false" outlineLevel="0" collapsed="false">
      <c r="A1292" s="105" t="s">
        <v>2571</v>
      </c>
      <c r="B1292" s="106" t="n">
        <v>46295</v>
      </c>
      <c r="C1292" s="105" t="s">
        <v>765</v>
      </c>
      <c r="D1292" s="105" t="s">
        <v>792</v>
      </c>
      <c r="E1292" s="107" t="n">
        <f aca="false">SUMIFS('OMZET HARIAN'!$Q$5:$Q$369,'OMZET HARIAN'!$B$5:$B$369,J1292)</f>
        <v>92214820</v>
      </c>
      <c r="F1292" s="105" t="s">
        <v>2572</v>
      </c>
      <c r="G1292" s="105"/>
      <c r="H1292" s="105"/>
      <c r="I1292" s="105" t="s">
        <v>794</v>
      </c>
      <c r="J1292" s="102" t="n">
        <f aca="false">IF(B1292="","",MONTH(B1292))</f>
        <v>9</v>
      </c>
      <c r="K1292" s="102" t="n">
        <f aca="false">IF(B1292="","",YEAR(B1292))</f>
        <v>2026</v>
      </c>
      <c r="L1292" s="102" t="str">
        <f aca="false">IF(N(E1292)=0,"",IF(COUNTIFS(AK_NAMA,C1292,AK_KAT,"KAS")+COUNTIFS(AK_NAMA,D1292,AK_KAT,"KAS")&lt;&gt;1,"",IF(COUNTIFS(AK_NAMA,C1292,AK_KAT,"KAS")=1,D1292,C1292)))</f>
        <v/>
      </c>
      <c r="M1292" s="103" t="n">
        <f aca="false">IF(L1292="",0,IF(L1292=D1292,E1292,-E1292))</f>
        <v>0</v>
      </c>
      <c r="N1292" s="102" t="str">
        <f aca="false">IF(L1292="","",IFERROR(INDEX(AK_BARIS,MATCH(L1292,AK_NAMA,0)),"?"))</f>
        <v/>
      </c>
      <c r="O1292" s="102" t="str">
        <f aca="false">IF(C1292="","",IFERROR(INDEX(AK_KEL,MATCH(C1292,AK_NAMA,0)),"?"))</f>
        <v>ASET</v>
      </c>
      <c r="P1292" s="102" t="str">
        <f aca="false">IF(D1292="","",IFERROR(INDEX(AK_KEL,MATCH(D1292,AK_NAMA,0)),"?"))</f>
        <v>PENDAPATAN</v>
      </c>
      <c r="Q1292" s="102" t="n">
        <f aca="false">N(Q1291)+IF(AND(N(E1292)&lt;&gt;0,K1292=TAHUN,N(J1292)&lt;=BLN,OR(C1292=BB_AKUN,D1292=BB_AKUN)),1,0)</f>
        <v>876</v>
      </c>
      <c r="R1292" s="104" t="str">
        <f aca="false">IF(OR(C1292&amp;D1292="",N(E1292)=0),"",IF(OR(O1292="?",P1292="?"),"⚠ akun tidak dikenal",IF(C1292=D1292,"⚠ debet = kredit","")))</f>
        <v/>
      </c>
    </row>
    <row r="1293" customFormat="false" ht="15" hidden="false" customHeight="false" outlineLevel="0" collapsed="false">
      <c r="A1293" s="105" t="s">
        <v>2573</v>
      </c>
      <c r="B1293" s="106" t="n">
        <v>46295</v>
      </c>
      <c r="C1293" s="105" t="s">
        <v>475</v>
      </c>
      <c r="D1293" s="105" t="s">
        <v>765</v>
      </c>
      <c r="E1293" s="107" t="n">
        <f aca="false">SUMIFS('OMZET HARIAN'!$F$5:$F$369,'OMZET HARIAN'!$B$5:$B$369,J1293)+SUMIFS('OMZET HARIAN'!$G$5:$G$369,'OMZET HARIAN'!$B$5:$B$369,J1293)</f>
        <v>19787300</v>
      </c>
      <c r="F1293" s="105" t="s">
        <v>2574</v>
      </c>
      <c r="G1293" s="105"/>
      <c r="H1293" s="105"/>
      <c r="I1293" s="105" t="s">
        <v>794</v>
      </c>
      <c r="J1293" s="102" t="n">
        <f aca="false">IF(B1293="","",MONTH(B1293))</f>
        <v>9</v>
      </c>
      <c r="K1293" s="102" t="n">
        <f aca="false">IF(B1293="","",YEAR(B1293))</f>
        <v>2026</v>
      </c>
      <c r="L1293" s="102" t="str">
        <f aca="false">IF(N(E1293)=0,"",IF(COUNTIFS(AK_NAMA,C1293,AK_KAT,"KAS")+COUNTIFS(AK_NAMA,D1293,AK_KAT,"KAS")&lt;&gt;1,"",IF(COUNTIFS(AK_NAMA,C1293,AK_KAT,"KAS")=1,D1293,C1293)))</f>
        <v>Piutang Usaha Cafe</v>
      </c>
      <c r="M1293" s="103" t="n">
        <f aca="false">IF(L1293="",0,IF(L1293=D1293,E1293,-E1293))</f>
        <v>19787300</v>
      </c>
      <c r="N1293" s="102" t="str">
        <f aca="false">IF(L1293="","",IFERROR(INDEX(AK_BARIS,MATCH(L1293,AK_NAMA,0)),"?"))</f>
        <v>OP1</v>
      </c>
      <c r="O1293" s="102" t="str">
        <f aca="false">IF(C1293="","",IFERROR(INDEX(AK_KEL,MATCH(C1293,AK_NAMA,0)),"?"))</f>
        <v>ASET</v>
      </c>
      <c r="P1293" s="102" t="str">
        <f aca="false">IF(D1293="","",IFERROR(INDEX(AK_KEL,MATCH(D1293,AK_NAMA,0)),"?"))</f>
        <v>ASET</v>
      </c>
      <c r="Q1293" s="102" t="n">
        <f aca="false">N(Q1292)+IF(AND(N(E1293)&lt;&gt;0,K1293=TAHUN,N(J1293)&lt;=BLN,OR(C1293=BB_AKUN,D1293=BB_AKUN)),1,0)</f>
        <v>876</v>
      </c>
      <c r="R1293" s="104" t="str">
        <f aca="false">IF(OR(C1293&amp;D1293="",N(E1293)=0),"",IF(OR(O1293="?",P1293="?"),"⚠ akun tidak dikenal",IF(C1293=D1293,"⚠ debet = kredit","")))</f>
        <v/>
      </c>
    </row>
    <row r="1294" customFormat="false" ht="15" hidden="false" customHeight="false" outlineLevel="0" collapsed="false">
      <c r="A1294" s="105" t="s">
        <v>2575</v>
      </c>
      <c r="B1294" s="106" t="n">
        <v>46295</v>
      </c>
      <c r="C1294" s="105" t="s">
        <v>461</v>
      </c>
      <c r="D1294" s="105" t="s">
        <v>765</v>
      </c>
      <c r="E1294" s="107" t="n">
        <f aca="false">SUMIFS('OMZET HARIAN'!$H$5:$H$369,'OMZET HARIAN'!$B$5:$B$369,J1294)</f>
        <v>70171320</v>
      </c>
      <c r="F1294" s="105" t="s">
        <v>2576</v>
      </c>
      <c r="G1294" s="105"/>
      <c r="H1294" s="105"/>
      <c r="I1294" s="105" t="s">
        <v>794</v>
      </c>
      <c r="J1294" s="102" t="n">
        <f aca="false">IF(B1294="","",MONTH(B1294))</f>
        <v>9</v>
      </c>
      <c r="K1294" s="102" t="n">
        <f aca="false">IF(B1294="","",YEAR(B1294))</f>
        <v>2026</v>
      </c>
      <c r="L1294" s="102" t="str">
        <f aca="false">IF(N(E1294)=0,"",IF(COUNTIFS(AK_NAMA,C1294,AK_KAT,"KAS")+COUNTIFS(AK_NAMA,D1294,AK_KAT,"KAS")&lt;&gt;1,"",IF(COUNTIFS(AK_NAMA,C1294,AK_KAT,"KAS")=1,D1294,C1294)))</f>
        <v>Piutang Usaha Cafe</v>
      </c>
      <c r="M1294" s="103" t="n">
        <f aca="false">IF(L1294="",0,IF(L1294=D1294,E1294,-E1294))</f>
        <v>70171320</v>
      </c>
      <c r="N1294" s="102" t="str">
        <f aca="false">IF(L1294="","",IFERROR(INDEX(AK_BARIS,MATCH(L1294,AK_NAMA,0)),"?"))</f>
        <v>OP1</v>
      </c>
      <c r="O1294" s="102" t="str">
        <f aca="false">IF(C1294="","",IFERROR(INDEX(AK_KEL,MATCH(C1294,AK_NAMA,0)),"?"))</f>
        <v>ASET</v>
      </c>
      <c r="P1294" s="102" t="str">
        <f aca="false">IF(D1294="","",IFERROR(INDEX(AK_KEL,MATCH(D1294,AK_NAMA,0)),"?"))</f>
        <v>ASET</v>
      </c>
      <c r="Q1294" s="102" t="n">
        <f aca="false">N(Q1293)+IF(AND(N(E1294)&lt;&gt;0,K1294=TAHUN,N(J1294)&lt;=BLN,OR(C1294=BB_AKUN,D1294=BB_AKUN)),1,0)</f>
        <v>877</v>
      </c>
      <c r="R1294" s="104" t="str">
        <f aca="false">IF(OR(C1294&amp;D1294="",N(E1294)=0),"",IF(OR(O1294="?",P1294="?"),"⚠ akun tidak dikenal",IF(C1294=D1294,"⚠ debet = kredit","")))</f>
        <v/>
      </c>
    </row>
    <row r="1295" customFormat="false" ht="15" hidden="false" customHeight="false" outlineLevel="0" collapsed="false">
      <c r="A1295" s="105" t="s">
        <v>2577</v>
      </c>
      <c r="B1295" s="106" t="n">
        <v>46295</v>
      </c>
      <c r="C1295" s="105" t="s">
        <v>718</v>
      </c>
      <c r="D1295" s="105" t="s">
        <v>765</v>
      </c>
      <c r="E1295" s="107" t="n">
        <f aca="false">SUMIFS('OMZET HARIAN'!$L$5:$L$369,'OMZET HARIAN'!$B$5:$B$369,J1295)</f>
        <v>309600</v>
      </c>
      <c r="F1295" s="105" t="s">
        <v>2578</v>
      </c>
      <c r="G1295" s="105"/>
      <c r="H1295" s="105" t="s">
        <v>763</v>
      </c>
      <c r="I1295" s="105" t="s">
        <v>794</v>
      </c>
      <c r="J1295" s="102" t="n">
        <f aca="false">IF(B1295="","",MONTH(B1295))</f>
        <v>9</v>
      </c>
      <c r="K1295" s="102" t="n">
        <f aca="false">IF(B1295="","",YEAR(B1295))</f>
        <v>2026</v>
      </c>
      <c r="L1295" s="102" t="str">
        <f aca="false">IF(N(E1295)=0,"",IF(COUNTIFS(AK_NAMA,C1295,AK_KAT,"KAS")+COUNTIFS(AK_NAMA,D1295,AK_KAT,"KAS")&lt;&gt;1,"",IF(COUNTIFS(AK_NAMA,C1295,AK_KAT,"KAS")=1,D1295,C1295)))</f>
        <v/>
      </c>
      <c r="M1295" s="103" t="n">
        <f aca="false">IF(L1295="",0,IF(L1295=D1295,E1295,-E1295))</f>
        <v>0</v>
      </c>
      <c r="N1295" s="102" t="str">
        <f aca="false">IF(L1295="","",IFERROR(INDEX(AK_BARIS,MATCH(L1295,AK_NAMA,0)),"?"))</f>
        <v/>
      </c>
      <c r="O1295" s="102" t="str">
        <f aca="false">IF(C1295="","",IFERROR(INDEX(AK_KEL,MATCH(C1295,AK_NAMA,0)),"?"))</f>
        <v>ASET</v>
      </c>
      <c r="P1295" s="102" t="str">
        <f aca="false">IF(D1295="","",IFERROR(INDEX(AK_KEL,MATCH(D1295,AK_NAMA,0)),"?"))</f>
        <v>ASET</v>
      </c>
      <c r="Q1295" s="102" t="n">
        <f aca="false">N(Q1294)+IF(AND(N(E1295)&lt;&gt;0,K1295=TAHUN,N(J1295)&lt;=BLN,OR(C1295=BB_AKUN,D1295=BB_AKUN)),1,0)</f>
        <v>877</v>
      </c>
      <c r="R1295" s="104" t="str">
        <f aca="false">IF(OR(C1295&amp;D1295="",N(E1295)=0),"",IF(OR(O1295="?",P1295="?"),"⚠ akun tidak dikenal",IF(C1295=D1295,"⚠ debet = kredit","")))</f>
        <v/>
      </c>
    </row>
    <row r="1296" customFormat="false" ht="15" hidden="false" customHeight="false" outlineLevel="0" collapsed="false">
      <c r="A1296" s="105" t="s">
        <v>2579</v>
      </c>
      <c r="B1296" s="106" t="n">
        <v>46295</v>
      </c>
      <c r="C1296" s="105" t="s">
        <v>802</v>
      </c>
      <c r="D1296" s="105" t="s">
        <v>765</v>
      </c>
      <c r="E1296" s="107" t="n">
        <f aca="false">SUMIFS('OMZET HARIAN'!$M$5:$M$369,'OMZET HARIAN'!$B$5:$B$369,J1296)</f>
        <v>314600</v>
      </c>
      <c r="F1296" s="105" t="s">
        <v>2580</v>
      </c>
      <c r="G1296" s="105"/>
      <c r="H1296" s="105"/>
      <c r="I1296" s="105" t="s">
        <v>794</v>
      </c>
      <c r="J1296" s="102" t="n">
        <f aca="false">IF(B1296="","",MONTH(B1296))</f>
        <v>9</v>
      </c>
      <c r="K1296" s="102" t="n">
        <f aca="false">IF(B1296="","",YEAR(B1296))</f>
        <v>2026</v>
      </c>
      <c r="L1296" s="102" t="str">
        <f aca="false">IF(N(E1296)=0,"",IF(COUNTIFS(AK_NAMA,C1296,AK_KAT,"KAS")+COUNTIFS(AK_NAMA,D1296,AK_KAT,"KAS")&lt;&gt;1,"",IF(COUNTIFS(AK_NAMA,C1296,AK_KAT,"KAS")=1,D1296,C1296)))</f>
        <v/>
      </c>
      <c r="M1296" s="103" t="n">
        <f aca="false">IF(L1296="",0,IF(L1296=D1296,E1296,-E1296))</f>
        <v>0</v>
      </c>
      <c r="N1296" s="102" t="str">
        <f aca="false">IF(L1296="","",IFERROR(INDEX(AK_BARIS,MATCH(L1296,AK_NAMA,0)),"?"))</f>
        <v/>
      </c>
      <c r="O1296" s="102" t="str">
        <f aca="false">IF(C1296="","",IFERROR(INDEX(AK_KEL,MATCH(C1296,AK_NAMA,0)),"?"))</f>
        <v>BEBAN</v>
      </c>
      <c r="P1296" s="102" t="str">
        <f aca="false">IF(D1296="","",IFERROR(INDEX(AK_KEL,MATCH(D1296,AK_NAMA,0)),"?"))</f>
        <v>ASET</v>
      </c>
      <c r="Q1296" s="102" t="n">
        <f aca="false">N(Q1295)+IF(AND(N(E1296)&lt;&gt;0,K1296=TAHUN,N(J1296)&lt;=BLN,OR(C1296=BB_AKUN,D1296=BB_AKUN)),1,0)</f>
        <v>877</v>
      </c>
      <c r="R1296" s="104" t="str">
        <f aca="false">IF(OR(C1296&amp;D1296="",N(E1296)=0),"",IF(OR(O1296="?",P1296="?"),"⚠ akun tidak dikenal",IF(C1296=D1296,"⚠ debet = kredit","")))</f>
        <v/>
      </c>
    </row>
    <row r="1297" customFormat="false" ht="15" hidden="false" customHeight="false" outlineLevel="0" collapsed="false">
      <c r="A1297" s="105" t="s">
        <v>2581</v>
      </c>
      <c r="B1297" s="106" t="n">
        <v>46295</v>
      </c>
      <c r="C1297" s="105" t="s">
        <v>464</v>
      </c>
      <c r="D1297" s="105" t="s">
        <v>765</v>
      </c>
      <c r="E1297" s="107" t="n">
        <f aca="false">SUMIFS('OMZET HARIAN'!$N$5:$N$369,'OMZET HARIAN'!$B$5:$B$369,J1297)</f>
        <v>1632000</v>
      </c>
      <c r="F1297" s="105" t="s">
        <v>2582</v>
      </c>
      <c r="G1297" s="105"/>
      <c r="H1297" s="105" t="s">
        <v>432</v>
      </c>
      <c r="I1297" s="105" t="s">
        <v>794</v>
      </c>
      <c r="J1297" s="102" t="n">
        <f aca="false">IF(B1297="","",MONTH(B1297))</f>
        <v>9</v>
      </c>
      <c r="K1297" s="102" t="n">
        <f aca="false">IF(B1297="","",YEAR(B1297))</f>
        <v>2026</v>
      </c>
      <c r="L1297" s="102" t="str">
        <f aca="false">IF(N(E1297)=0,"",IF(COUNTIFS(AK_NAMA,C1297,AK_KAT,"KAS")+COUNTIFS(AK_NAMA,D1297,AK_KAT,"KAS")&lt;&gt;1,"",IF(COUNTIFS(AK_NAMA,C1297,AK_KAT,"KAS")=1,D1297,C1297)))</f>
        <v/>
      </c>
      <c r="M1297" s="103" t="n">
        <f aca="false">IF(L1297="",0,IF(L1297=D1297,E1297,-E1297))</f>
        <v>0</v>
      </c>
      <c r="N1297" s="102" t="str">
        <f aca="false">IF(L1297="","",IFERROR(INDEX(AK_BARIS,MATCH(L1297,AK_NAMA,0)),"?"))</f>
        <v/>
      </c>
      <c r="O1297" s="102" t="str">
        <f aca="false">IF(C1297="","",IFERROR(INDEX(AK_KEL,MATCH(C1297,AK_NAMA,0)),"?"))</f>
        <v>EKUITAS</v>
      </c>
      <c r="P1297" s="102" t="str">
        <f aca="false">IF(D1297="","",IFERROR(INDEX(AK_KEL,MATCH(D1297,AK_NAMA,0)),"?"))</f>
        <v>ASET</v>
      </c>
      <c r="Q1297" s="102" t="n">
        <f aca="false">N(Q1296)+IF(AND(N(E1297)&lt;&gt;0,K1297=TAHUN,N(J1297)&lt;=BLN,OR(C1297=BB_AKUN,D1297=BB_AKUN)),1,0)</f>
        <v>877</v>
      </c>
      <c r="R1297" s="104" t="str">
        <f aca="false">IF(OR(C1297&amp;D1297="",N(E1297)=0),"",IF(OR(O1297="?",P1297="?"),"⚠ akun tidak dikenal",IF(C1297=D1297,"⚠ debet = kredit","")))</f>
        <v/>
      </c>
    </row>
    <row r="1298" customFormat="false" ht="15" hidden="false" customHeight="false" outlineLevel="0" collapsed="false">
      <c r="A1298" s="105" t="s">
        <v>2583</v>
      </c>
      <c r="B1298" s="106" t="n">
        <v>46295</v>
      </c>
      <c r="C1298" s="105" t="s">
        <v>807</v>
      </c>
      <c r="D1298" s="105" t="s">
        <v>808</v>
      </c>
      <c r="E1298" s="107" t="n">
        <f aca="false">INDEX('ASET TETAP'!$H$25:$S$25,J1298)</f>
        <v>493329</v>
      </c>
      <c r="F1298" s="105" t="s">
        <v>2584</v>
      </c>
      <c r="G1298" s="105"/>
      <c r="H1298" s="105"/>
      <c r="I1298" s="105" t="s">
        <v>794</v>
      </c>
      <c r="J1298" s="102" t="n">
        <f aca="false">IF(B1298="","",MONTH(B1298))</f>
        <v>9</v>
      </c>
      <c r="K1298" s="102" t="n">
        <f aca="false">IF(B1298="","",YEAR(B1298))</f>
        <v>2026</v>
      </c>
      <c r="L1298" s="102" t="str">
        <f aca="false">IF(N(E1298)=0,"",IF(COUNTIFS(AK_NAMA,C1298,AK_KAT,"KAS")+COUNTIFS(AK_NAMA,D1298,AK_KAT,"KAS")&lt;&gt;1,"",IF(COUNTIFS(AK_NAMA,C1298,AK_KAT,"KAS")=1,D1298,C1298)))</f>
        <v/>
      </c>
      <c r="M1298" s="103" t="n">
        <f aca="false">IF(L1298="",0,IF(L1298=D1298,E1298,-E1298))</f>
        <v>0</v>
      </c>
      <c r="N1298" s="102" t="str">
        <f aca="false">IF(L1298="","",IFERROR(INDEX(AK_BARIS,MATCH(L1298,AK_NAMA,0)),"?"))</f>
        <v/>
      </c>
      <c r="O1298" s="102" t="str">
        <f aca="false">IF(C1298="","",IFERROR(INDEX(AK_KEL,MATCH(C1298,AK_NAMA,0)),"?"))</f>
        <v>BEBAN</v>
      </c>
      <c r="P1298" s="102" t="str">
        <f aca="false">IF(D1298="","",IFERROR(INDEX(AK_KEL,MATCH(D1298,AK_NAMA,0)),"?"))</f>
        <v>ASET</v>
      </c>
      <c r="Q1298" s="102" t="n">
        <f aca="false">N(Q1297)+IF(AND(N(E1298)&lt;&gt;0,K1298=TAHUN,N(J1298)&lt;=BLN,OR(C1298=BB_AKUN,D1298=BB_AKUN)),1,0)</f>
        <v>877</v>
      </c>
      <c r="R1298" s="104" t="str">
        <f aca="false">IF(OR(C1298&amp;D1298="",N(E1298)=0),"",IF(OR(O1298="?",P1298="?"),"⚠ akun tidak dikenal",IF(C1298=D1298,"⚠ debet = kredit","")))</f>
        <v/>
      </c>
    </row>
    <row r="1299" customFormat="false" ht="15" hidden="false" customHeight="false" outlineLevel="0" collapsed="false">
      <c r="A1299" s="105" t="s">
        <v>2585</v>
      </c>
      <c r="B1299" s="106" t="n">
        <v>46295</v>
      </c>
      <c r="C1299" s="105" t="s">
        <v>787</v>
      </c>
      <c r="D1299" s="105" t="s">
        <v>811</v>
      </c>
      <c r="E1299" s="107" t="n">
        <f aca="false">IF(AND(AKRUAL="YA",J1299&lt;=BLN),MAX(0,INDEX(PAJAK!$J$6:$J$17,J1299)),0)</f>
        <v>6293450</v>
      </c>
      <c r="F1299" s="105" t="s">
        <v>2586</v>
      </c>
      <c r="G1299" s="105"/>
      <c r="H1299" s="105"/>
      <c r="I1299" s="105" t="s">
        <v>813</v>
      </c>
      <c r="J1299" s="102" t="n">
        <f aca="false">IF(B1299="","",MONTH(B1299))</f>
        <v>9</v>
      </c>
      <c r="K1299" s="102" t="n">
        <f aca="false">IF(B1299="","",YEAR(B1299))</f>
        <v>2026</v>
      </c>
      <c r="L1299" s="102" t="str">
        <f aca="false">IF(N(E1299)=0,"",IF(COUNTIFS(AK_NAMA,C1299,AK_KAT,"KAS")+COUNTIFS(AK_NAMA,D1299,AK_KAT,"KAS")&lt;&gt;1,"",IF(COUNTIFS(AK_NAMA,C1299,AK_KAT,"KAS")=1,D1299,C1299)))</f>
        <v/>
      </c>
      <c r="M1299" s="103" t="n">
        <f aca="false">IF(L1299="",0,IF(L1299=D1299,E1299,-E1299))</f>
        <v>0</v>
      </c>
      <c r="N1299" s="102" t="str">
        <f aca="false">IF(L1299="","",IFERROR(INDEX(AK_BARIS,MATCH(L1299,AK_NAMA,0)),"?"))</f>
        <v/>
      </c>
      <c r="O1299" s="102" t="str">
        <f aca="false">IF(C1299="","",IFERROR(INDEX(AK_KEL,MATCH(C1299,AK_NAMA,0)),"?"))</f>
        <v>PENDAPATAN</v>
      </c>
      <c r="P1299" s="102" t="str">
        <f aca="false">IF(D1299="","",IFERROR(INDEX(AK_KEL,MATCH(D1299,AK_NAMA,0)),"?"))</f>
        <v>LIABILITAS</v>
      </c>
      <c r="Q1299" s="102" t="n">
        <f aca="false">N(Q1298)+IF(AND(N(E1299)&lt;&gt;0,K1299=TAHUN,N(J1299)&lt;=BLN,OR(C1299=BB_AKUN,D1299=BB_AKUN)),1,0)</f>
        <v>877</v>
      </c>
      <c r="R1299" s="104" t="str">
        <f aca="false">IF(OR(C1299&amp;D1299="",N(E1299)=0),"",IF(OR(O1299="?",P1299="?"),"⚠ akun tidak dikenal",IF(C1299=D1299,"⚠ debet = kredit","")))</f>
        <v/>
      </c>
    </row>
    <row r="1300" customFormat="false" ht="15" hidden="false" customHeight="false" outlineLevel="0" collapsed="false">
      <c r="A1300" s="82" t="s">
        <v>2587</v>
      </c>
      <c r="B1300" s="101" t="n">
        <v>46296</v>
      </c>
      <c r="C1300" s="82" t="s">
        <v>470</v>
      </c>
      <c r="D1300" s="82" t="s">
        <v>461</v>
      </c>
      <c r="E1300" s="91" t="n">
        <v>1840900</v>
      </c>
      <c r="F1300" s="82" t="s">
        <v>2588</v>
      </c>
      <c r="G1300" s="82"/>
      <c r="H1300" s="82"/>
      <c r="I1300" s="82" t="s">
        <v>250</v>
      </c>
      <c r="J1300" s="102" t="n">
        <f aca="false">IF(B1300="","",MONTH(B1300))</f>
        <v>10</v>
      </c>
      <c r="K1300" s="102" t="n">
        <f aca="false">IF(B1300="","",YEAR(B1300))</f>
        <v>2026</v>
      </c>
      <c r="L1300" s="102" t="str">
        <f aca="false">IF(N(E1300)=0,"",IF(COUNTIFS(AK_NAMA,C1300,AK_KAT,"KAS")+COUNTIFS(AK_NAMA,D1300,AK_KAT,"KAS")&lt;&gt;1,"",IF(COUNTIFS(AK_NAMA,C1300,AK_KAT,"KAS")=1,D1300,C1300)))</f>
        <v>Biaya Bahan Baku</v>
      </c>
      <c r="M1300" s="103" t="n">
        <f aca="false">IF(L1300="",0,IF(L1300=D1300,E1300,-E1300))</f>
        <v>-1840900</v>
      </c>
      <c r="N1300" s="102" t="str">
        <f aca="false">IF(L1300="","",IFERROR(INDEX(AK_BARIS,MATCH(L1300,AK_NAMA,0)),"?"))</f>
        <v>OP3</v>
      </c>
      <c r="O1300" s="102" t="str">
        <f aca="false">IF(C1300="","",IFERROR(INDEX(AK_KEL,MATCH(C1300,AK_NAMA,0)),"?"))</f>
        <v>BEBAN</v>
      </c>
      <c r="P1300" s="102" t="str">
        <f aca="false">IF(D1300="","",IFERROR(INDEX(AK_KEL,MATCH(D1300,AK_NAMA,0)),"?"))</f>
        <v>ASET</v>
      </c>
      <c r="Q1300" s="102" t="n">
        <f aca="false">N(Q1299)+IF(AND(N(E1300)&lt;&gt;0,K1300=TAHUN,N(J1300)&lt;=BLN,OR(C1300=BB_AKUN,D1300=BB_AKUN)),1,0)</f>
        <v>877</v>
      </c>
      <c r="R1300" s="104" t="str">
        <f aca="false">IF(OR(C1300&amp;D1300="",N(E1300)=0),"",IF(OR(O1300="?",P1300="?"),"⚠ akun tidak dikenal",IF(C1300=D1300,"⚠ debet = kredit","")))</f>
        <v/>
      </c>
    </row>
    <row r="1301" customFormat="false" ht="15" hidden="false" customHeight="false" outlineLevel="0" collapsed="false">
      <c r="A1301" s="82" t="s">
        <v>2589</v>
      </c>
      <c r="B1301" s="101" t="n">
        <v>46296</v>
      </c>
      <c r="C1301" s="82" t="s">
        <v>470</v>
      </c>
      <c r="D1301" s="82" t="s">
        <v>461</v>
      </c>
      <c r="E1301" s="91" t="n">
        <v>2727000</v>
      </c>
      <c r="F1301" s="82" t="s">
        <v>2590</v>
      </c>
      <c r="G1301" s="82"/>
      <c r="H1301" s="82"/>
      <c r="I1301" s="82" t="s">
        <v>250</v>
      </c>
      <c r="J1301" s="102" t="n">
        <f aca="false">IF(B1301="","",MONTH(B1301))</f>
        <v>10</v>
      </c>
      <c r="K1301" s="102" t="n">
        <f aca="false">IF(B1301="","",YEAR(B1301))</f>
        <v>2026</v>
      </c>
      <c r="L1301" s="102" t="str">
        <f aca="false">IF(N(E1301)=0,"",IF(COUNTIFS(AK_NAMA,C1301,AK_KAT,"KAS")+COUNTIFS(AK_NAMA,D1301,AK_KAT,"KAS")&lt;&gt;1,"",IF(COUNTIFS(AK_NAMA,C1301,AK_KAT,"KAS")=1,D1301,C1301)))</f>
        <v>Biaya Bahan Baku</v>
      </c>
      <c r="M1301" s="103" t="n">
        <f aca="false">IF(L1301="",0,IF(L1301=D1301,E1301,-E1301))</f>
        <v>-2727000</v>
      </c>
      <c r="N1301" s="102" t="str">
        <f aca="false">IF(L1301="","",IFERROR(INDEX(AK_BARIS,MATCH(L1301,AK_NAMA,0)),"?"))</f>
        <v>OP3</v>
      </c>
      <c r="O1301" s="102" t="str">
        <f aca="false">IF(C1301="","",IFERROR(INDEX(AK_KEL,MATCH(C1301,AK_NAMA,0)),"?"))</f>
        <v>BEBAN</v>
      </c>
      <c r="P1301" s="102" t="str">
        <f aca="false">IF(D1301="","",IFERROR(INDEX(AK_KEL,MATCH(D1301,AK_NAMA,0)),"?"))</f>
        <v>ASET</v>
      </c>
      <c r="Q1301" s="102" t="n">
        <f aca="false">N(Q1300)+IF(AND(N(E1301)&lt;&gt;0,K1301=TAHUN,N(J1301)&lt;=BLN,OR(C1301=BB_AKUN,D1301=BB_AKUN)),1,0)</f>
        <v>877</v>
      </c>
      <c r="R1301" s="104" t="str">
        <f aca="false">IF(OR(C1301&amp;D1301="",N(E1301)=0),"",IF(OR(O1301="?",P1301="?"),"⚠ akun tidak dikenal",IF(C1301=D1301,"⚠ debet = kredit","")))</f>
        <v/>
      </c>
    </row>
    <row r="1302" customFormat="false" ht="15" hidden="false" customHeight="false" outlineLevel="0" collapsed="false">
      <c r="A1302" s="82" t="s">
        <v>2591</v>
      </c>
      <c r="B1302" s="101" t="n">
        <v>46296</v>
      </c>
      <c r="C1302" s="82" t="s">
        <v>524</v>
      </c>
      <c r="D1302" s="82" t="s">
        <v>461</v>
      </c>
      <c r="E1302" s="91" t="n">
        <v>351</v>
      </c>
      <c r="F1302" s="82" t="s">
        <v>525</v>
      </c>
      <c r="G1302" s="82"/>
      <c r="H1302" s="82"/>
      <c r="I1302" s="82" t="s">
        <v>250</v>
      </c>
      <c r="J1302" s="102" t="n">
        <f aca="false">IF(B1302="","",MONTH(B1302))</f>
        <v>10</v>
      </c>
      <c r="K1302" s="102" t="n">
        <f aca="false">IF(B1302="","",YEAR(B1302))</f>
        <v>2026</v>
      </c>
      <c r="L1302" s="102" t="str">
        <f aca="false">IF(N(E1302)=0,"",IF(COUNTIFS(AK_NAMA,C1302,AK_KAT,"KAS")+COUNTIFS(AK_NAMA,D1302,AK_KAT,"KAS")&lt;&gt;1,"",IF(COUNTIFS(AK_NAMA,C1302,AK_KAT,"KAS")=1,D1302,C1302)))</f>
        <v>Biaya Lainnya</v>
      </c>
      <c r="M1302" s="103" t="n">
        <f aca="false">IF(L1302="",0,IF(L1302=D1302,E1302,-E1302))</f>
        <v>-351</v>
      </c>
      <c r="N1302" s="102" t="str">
        <f aca="false">IF(L1302="","",IFERROR(INDEX(AK_BARIS,MATCH(L1302,AK_NAMA,0)),"?"))</f>
        <v>OP2</v>
      </c>
      <c r="O1302" s="102" t="str">
        <f aca="false">IF(C1302="","",IFERROR(INDEX(AK_KEL,MATCH(C1302,AK_NAMA,0)),"?"))</f>
        <v>BEBAN</v>
      </c>
      <c r="P1302" s="102" t="str">
        <f aca="false">IF(D1302="","",IFERROR(INDEX(AK_KEL,MATCH(D1302,AK_NAMA,0)),"?"))</f>
        <v>ASET</v>
      </c>
      <c r="Q1302" s="102" t="n">
        <f aca="false">N(Q1301)+IF(AND(N(E1302)&lt;&gt;0,K1302=TAHUN,N(J1302)&lt;=BLN,OR(C1302=BB_AKUN,D1302=BB_AKUN)),1,0)</f>
        <v>877</v>
      </c>
      <c r="R1302" s="104" t="str">
        <f aca="false">IF(OR(C1302&amp;D1302="",N(E1302)=0),"",IF(OR(O1302="?",P1302="?"),"⚠ akun tidak dikenal",IF(C1302=D1302,"⚠ debet = kredit","")))</f>
        <v/>
      </c>
    </row>
    <row r="1303" customFormat="false" ht="15" hidden="false" customHeight="false" outlineLevel="0" collapsed="false">
      <c r="A1303" s="82" t="s">
        <v>2592</v>
      </c>
      <c r="B1303" s="101" t="n">
        <v>46296</v>
      </c>
      <c r="C1303" s="82" t="s">
        <v>461</v>
      </c>
      <c r="D1303" s="82" t="s">
        <v>475</v>
      </c>
      <c r="E1303" s="91" t="n">
        <v>4500000</v>
      </c>
      <c r="F1303" s="82" t="s">
        <v>2556</v>
      </c>
      <c r="G1303" s="82"/>
      <c r="H1303" s="82"/>
      <c r="I1303" s="82" t="s">
        <v>250</v>
      </c>
      <c r="J1303" s="102" t="n">
        <f aca="false">IF(B1303="","",MONTH(B1303))</f>
        <v>10</v>
      </c>
      <c r="K1303" s="102" t="n">
        <f aca="false">IF(B1303="","",YEAR(B1303))</f>
        <v>2026</v>
      </c>
      <c r="L1303" s="102" t="str">
        <f aca="false">IF(N(E1303)=0,"",IF(COUNTIFS(AK_NAMA,C1303,AK_KAT,"KAS")+COUNTIFS(AK_NAMA,D1303,AK_KAT,"KAS")&lt;&gt;1,"",IF(COUNTIFS(AK_NAMA,C1303,AK_KAT,"KAS")=1,D1303,C1303)))</f>
        <v/>
      </c>
      <c r="M1303" s="103" t="n">
        <f aca="false">IF(L1303="",0,IF(L1303=D1303,E1303,-E1303))</f>
        <v>0</v>
      </c>
      <c r="N1303" s="102" t="str">
        <f aca="false">IF(L1303="","",IFERROR(INDEX(AK_BARIS,MATCH(L1303,AK_NAMA,0)),"?"))</f>
        <v/>
      </c>
      <c r="O1303" s="102" t="str">
        <f aca="false">IF(C1303="","",IFERROR(INDEX(AK_KEL,MATCH(C1303,AK_NAMA,0)),"?"))</f>
        <v>ASET</v>
      </c>
      <c r="P1303" s="102" t="str">
        <f aca="false">IF(D1303="","",IFERROR(INDEX(AK_KEL,MATCH(D1303,AK_NAMA,0)),"?"))</f>
        <v>ASET</v>
      </c>
      <c r="Q1303" s="102" t="n">
        <f aca="false">N(Q1302)+IF(AND(N(E1303)&lt;&gt;0,K1303=TAHUN,N(J1303)&lt;=BLN,OR(C1303=BB_AKUN,D1303=BB_AKUN)),1,0)</f>
        <v>877</v>
      </c>
      <c r="R1303" s="104" t="str">
        <f aca="false">IF(OR(C1303&amp;D1303="",N(E1303)=0),"",IF(OR(O1303="?",P1303="?"),"⚠ akun tidak dikenal",IF(C1303=D1303,"⚠ debet = kredit","")))</f>
        <v/>
      </c>
    </row>
    <row r="1304" customFormat="false" ht="15" hidden="false" customHeight="false" outlineLevel="0" collapsed="false">
      <c r="A1304" s="82" t="s">
        <v>2593</v>
      </c>
      <c r="B1304" s="101" t="n">
        <v>46296</v>
      </c>
      <c r="C1304" s="82" t="s">
        <v>470</v>
      </c>
      <c r="D1304" s="82" t="s">
        <v>461</v>
      </c>
      <c r="E1304" s="91" t="n">
        <v>380000</v>
      </c>
      <c r="F1304" s="82" t="s">
        <v>2594</v>
      </c>
      <c r="G1304" s="82" t="s">
        <v>391</v>
      </c>
      <c r="H1304" s="82"/>
      <c r="I1304" s="82" t="s">
        <v>250</v>
      </c>
      <c r="J1304" s="102" t="n">
        <f aca="false">IF(B1304="","",MONTH(B1304))</f>
        <v>10</v>
      </c>
      <c r="K1304" s="102" t="n">
        <f aca="false">IF(B1304="","",YEAR(B1304))</f>
        <v>2026</v>
      </c>
      <c r="L1304" s="102" t="str">
        <f aca="false">IF(N(E1304)=0,"",IF(COUNTIFS(AK_NAMA,C1304,AK_KAT,"KAS")+COUNTIFS(AK_NAMA,D1304,AK_KAT,"KAS")&lt;&gt;1,"",IF(COUNTIFS(AK_NAMA,C1304,AK_KAT,"KAS")=1,D1304,C1304)))</f>
        <v>Biaya Bahan Baku</v>
      </c>
      <c r="M1304" s="103" t="n">
        <f aca="false">IF(L1304="",0,IF(L1304=D1304,E1304,-E1304))</f>
        <v>-380000</v>
      </c>
      <c r="N1304" s="102" t="str">
        <f aca="false">IF(L1304="","",IFERROR(INDEX(AK_BARIS,MATCH(L1304,AK_NAMA,0)),"?"))</f>
        <v>OP3</v>
      </c>
      <c r="O1304" s="102" t="str">
        <f aca="false">IF(C1304="","",IFERROR(INDEX(AK_KEL,MATCH(C1304,AK_NAMA,0)),"?"))</f>
        <v>BEBAN</v>
      </c>
      <c r="P1304" s="102" t="str">
        <f aca="false">IF(D1304="","",IFERROR(INDEX(AK_KEL,MATCH(D1304,AK_NAMA,0)),"?"))</f>
        <v>ASET</v>
      </c>
      <c r="Q1304" s="102" t="n">
        <f aca="false">N(Q1303)+IF(AND(N(E1304)&lt;&gt;0,K1304=TAHUN,N(J1304)&lt;=BLN,OR(C1304=BB_AKUN,D1304=BB_AKUN)),1,0)</f>
        <v>877</v>
      </c>
      <c r="R1304" s="104" t="str">
        <f aca="false">IF(OR(C1304&amp;D1304="",N(E1304)=0),"",IF(OR(O1304="?",P1304="?"),"⚠ akun tidak dikenal",IF(C1304=D1304,"⚠ debet = kredit","")))</f>
        <v/>
      </c>
    </row>
    <row r="1305" customFormat="false" ht="15" hidden="false" customHeight="false" outlineLevel="0" collapsed="false">
      <c r="A1305" s="82" t="s">
        <v>2595</v>
      </c>
      <c r="B1305" s="101" t="n">
        <v>46296</v>
      </c>
      <c r="C1305" s="82" t="s">
        <v>470</v>
      </c>
      <c r="D1305" s="82" t="s">
        <v>461</v>
      </c>
      <c r="E1305" s="91" t="n">
        <v>400000</v>
      </c>
      <c r="F1305" s="82" t="s">
        <v>2596</v>
      </c>
      <c r="G1305" s="82"/>
      <c r="H1305" s="82"/>
      <c r="I1305" s="82" t="s">
        <v>250</v>
      </c>
      <c r="J1305" s="102" t="n">
        <f aca="false">IF(B1305="","",MONTH(B1305))</f>
        <v>10</v>
      </c>
      <c r="K1305" s="102" t="n">
        <f aca="false">IF(B1305="","",YEAR(B1305))</f>
        <v>2026</v>
      </c>
      <c r="L1305" s="102" t="str">
        <f aca="false">IF(N(E1305)=0,"",IF(COUNTIFS(AK_NAMA,C1305,AK_KAT,"KAS")+COUNTIFS(AK_NAMA,D1305,AK_KAT,"KAS")&lt;&gt;1,"",IF(COUNTIFS(AK_NAMA,C1305,AK_KAT,"KAS")=1,D1305,C1305)))</f>
        <v>Biaya Bahan Baku</v>
      </c>
      <c r="M1305" s="103" t="n">
        <f aca="false">IF(L1305="",0,IF(L1305=D1305,E1305,-E1305))</f>
        <v>-400000</v>
      </c>
      <c r="N1305" s="102" t="str">
        <f aca="false">IF(L1305="","",IFERROR(INDEX(AK_BARIS,MATCH(L1305,AK_NAMA,0)),"?"))</f>
        <v>OP3</v>
      </c>
      <c r="O1305" s="102" t="str">
        <f aca="false">IF(C1305="","",IFERROR(INDEX(AK_KEL,MATCH(C1305,AK_NAMA,0)),"?"))</f>
        <v>BEBAN</v>
      </c>
      <c r="P1305" s="102" t="str">
        <f aca="false">IF(D1305="","",IFERROR(INDEX(AK_KEL,MATCH(D1305,AK_NAMA,0)),"?"))</f>
        <v>ASET</v>
      </c>
      <c r="Q1305" s="102" t="n">
        <f aca="false">N(Q1304)+IF(AND(N(E1305)&lt;&gt;0,K1305=TAHUN,N(J1305)&lt;=BLN,OR(C1305=BB_AKUN,D1305=BB_AKUN)),1,0)</f>
        <v>877</v>
      </c>
      <c r="R1305" s="104" t="str">
        <f aca="false">IF(OR(C1305&amp;D1305="",N(E1305)=0),"",IF(OR(O1305="?",P1305="?"),"⚠ akun tidak dikenal",IF(C1305=D1305,"⚠ debet = kredit","")))</f>
        <v/>
      </c>
    </row>
    <row r="1306" customFormat="false" ht="15" hidden="false" customHeight="false" outlineLevel="0" collapsed="false">
      <c r="A1306" s="82" t="s">
        <v>2597</v>
      </c>
      <c r="B1306" s="101" t="n">
        <v>46297</v>
      </c>
      <c r="C1306" s="82" t="s">
        <v>467</v>
      </c>
      <c r="D1306" s="82" t="s">
        <v>461</v>
      </c>
      <c r="E1306" s="91" t="n">
        <v>600000</v>
      </c>
      <c r="F1306" s="82" t="s">
        <v>2598</v>
      </c>
      <c r="G1306" s="82"/>
      <c r="H1306" s="82"/>
      <c r="I1306" s="82" t="s">
        <v>250</v>
      </c>
      <c r="J1306" s="102" t="n">
        <f aca="false">IF(B1306="","",MONTH(B1306))</f>
        <v>10</v>
      </c>
      <c r="K1306" s="102" t="n">
        <f aca="false">IF(B1306="","",YEAR(B1306))</f>
        <v>2026</v>
      </c>
      <c r="L1306" s="102" t="str">
        <f aca="false">IF(N(E1306)=0,"",IF(COUNTIFS(AK_NAMA,C1306,AK_KAT,"KAS")+COUNTIFS(AK_NAMA,D1306,AK_KAT,"KAS")&lt;&gt;1,"",IF(COUNTIFS(AK_NAMA,C1306,AK_KAT,"KAS")=1,D1306,C1306)))</f>
        <v>Dana Sosial &amp; CSR</v>
      </c>
      <c r="M1306" s="103" t="n">
        <f aca="false">IF(L1306="",0,IF(L1306=D1306,E1306,-E1306))</f>
        <v>-600000</v>
      </c>
      <c r="N1306" s="102" t="str">
        <f aca="false">IF(L1306="","",IFERROR(INDEX(AK_BARIS,MATCH(L1306,AK_NAMA,0)),"?"))</f>
        <v>OP6</v>
      </c>
      <c r="O1306" s="102" t="str">
        <f aca="false">IF(C1306="","",IFERROR(INDEX(AK_KEL,MATCH(C1306,AK_NAMA,0)),"?"))</f>
        <v>BEBAN</v>
      </c>
      <c r="P1306" s="102" t="str">
        <f aca="false">IF(D1306="","",IFERROR(INDEX(AK_KEL,MATCH(D1306,AK_NAMA,0)),"?"))</f>
        <v>ASET</v>
      </c>
      <c r="Q1306" s="102" t="n">
        <f aca="false">N(Q1305)+IF(AND(N(E1306)&lt;&gt;0,K1306=TAHUN,N(J1306)&lt;=BLN,OR(C1306=BB_AKUN,D1306=BB_AKUN)),1,0)</f>
        <v>877</v>
      </c>
      <c r="R1306" s="104" t="str">
        <f aca="false">IF(OR(C1306&amp;D1306="",N(E1306)=0),"",IF(OR(O1306="?",P1306="?"),"⚠ akun tidak dikenal",IF(C1306=D1306,"⚠ debet = kredit","")))</f>
        <v/>
      </c>
    </row>
    <row r="1307" customFormat="false" ht="15" hidden="false" customHeight="false" outlineLevel="0" collapsed="false">
      <c r="A1307" s="82" t="s">
        <v>2599</v>
      </c>
      <c r="B1307" s="101" t="n">
        <v>46297</v>
      </c>
      <c r="C1307" s="82" t="s">
        <v>524</v>
      </c>
      <c r="D1307" s="82" t="s">
        <v>461</v>
      </c>
      <c r="E1307" s="91" t="n">
        <v>343</v>
      </c>
      <c r="F1307" s="82" t="s">
        <v>525</v>
      </c>
      <c r="G1307" s="82"/>
      <c r="H1307" s="82"/>
      <c r="I1307" s="82" t="s">
        <v>250</v>
      </c>
      <c r="J1307" s="102" t="n">
        <f aca="false">IF(B1307="","",MONTH(B1307))</f>
        <v>10</v>
      </c>
      <c r="K1307" s="102" t="n">
        <f aca="false">IF(B1307="","",YEAR(B1307))</f>
        <v>2026</v>
      </c>
      <c r="L1307" s="102" t="str">
        <f aca="false">IF(N(E1307)=0,"",IF(COUNTIFS(AK_NAMA,C1307,AK_KAT,"KAS")+COUNTIFS(AK_NAMA,D1307,AK_KAT,"KAS")&lt;&gt;1,"",IF(COUNTIFS(AK_NAMA,C1307,AK_KAT,"KAS")=1,D1307,C1307)))</f>
        <v>Biaya Lainnya</v>
      </c>
      <c r="M1307" s="103" t="n">
        <f aca="false">IF(L1307="",0,IF(L1307=D1307,E1307,-E1307))</f>
        <v>-343</v>
      </c>
      <c r="N1307" s="102" t="str">
        <f aca="false">IF(L1307="","",IFERROR(INDEX(AK_BARIS,MATCH(L1307,AK_NAMA,0)),"?"))</f>
        <v>OP2</v>
      </c>
      <c r="O1307" s="102" t="str">
        <f aca="false">IF(C1307="","",IFERROR(INDEX(AK_KEL,MATCH(C1307,AK_NAMA,0)),"?"))</f>
        <v>BEBAN</v>
      </c>
      <c r="P1307" s="102" t="str">
        <f aca="false">IF(D1307="","",IFERROR(INDEX(AK_KEL,MATCH(D1307,AK_NAMA,0)),"?"))</f>
        <v>ASET</v>
      </c>
      <c r="Q1307" s="102" t="n">
        <f aca="false">N(Q1306)+IF(AND(N(E1307)&lt;&gt;0,K1307=TAHUN,N(J1307)&lt;=BLN,OR(C1307=BB_AKUN,D1307=BB_AKUN)),1,0)</f>
        <v>877</v>
      </c>
      <c r="R1307" s="104" t="str">
        <f aca="false">IF(OR(C1307&amp;D1307="",N(E1307)=0),"",IF(OR(O1307="?",P1307="?"),"⚠ akun tidak dikenal",IF(C1307=D1307,"⚠ debet = kredit","")))</f>
        <v/>
      </c>
    </row>
    <row r="1308" customFormat="false" ht="15" hidden="false" customHeight="false" outlineLevel="0" collapsed="false">
      <c r="A1308" s="82" t="s">
        <v>2600</v>
      </c>
      <c r="B1308" s="101" t="n">
        <v>46297</v>
      </c>
      <c r="C1308" s="82" t="s">
        <v>467</v>
      </c>
      <c r="D1308" s="82" t="s">
        <v>475</v>
      </c>
      <c r="E1308" s="91" t="n">
        <v>400000</v>
      </c>
      <c r="F1308" s="82" t="s">
        <v>2601</v>
      </c>
      <c r="G1308" s="82"/>
      <c r="H1308" s="82"/>
      <c r="I1308" s="82" t="s">
        <v>250</v>
      </c>
      <c r="J1308" s="102" t="n">
        <f aca="false">IF(B1308="","",MONTH(B1308))</f>
        <v>10</v>
      </c>
      <c r="K1308" s="102" t="n">
        <f aca="false">IF(B1308="","",YEAR(B1308))</f>
        <v>2026</v>
      </c>
      <c r="L1308" s="102" t="str">
        <f aca="false">IF(N(E1308)=0,"",IF(COUNTIFS(AK_NAMA,C1308,AK_KAT,"KAS")+COUNTIFS(AK_NAMA,D1308,AK_KAT,"KAS")&lt;&gt;1,"",IF(COUNTIFS(AK_NAMA,C1308,AK_KAT,"KAS")=1,D1308,C1308)))</f>
        <v>Dana Sosial &amp; CSR</v>
      </c>
      <c r="M1308" s="103" t="n">
        <f aca="false">IF(L1308="",0,IF(L1308=D1308,E1308,-E1308))</f>
        <v>-400000</v>
      </c>
      <c r="N1308" s="102" t="str">
        <f aca="false">IF(L1308="","",IFERROR(INDEX(AK_BARIS,MATCH(L1308,AK_NAMA,0)),"?"))</f>
        <v>OP6</v>
      </c>
      <c r="O1308" s="102" t="str">
        <f aca="false">IF(C1308="","",IFERROR(INDEX(AK_KEL,MATCH(C1308,AK_NAMA,0)),"?"))</f>
        <v>BEBAN</v>
      </c>
      <c r="P1308" s="102" t="str">
        <f aca="false">IF(D1308="","",IFERROR(INDEX(AK_KEL,MATCH(D1308,AK_NAMA,0)),"?"))</f>
        <v>ASET</v>
      </c>
      <c r="Q1308" s="102" t="n">
        <f aca="false">N(Q1307)+IF(AND(N(E1308)&lt;&gt;0,K1308=TAHUN,N(J1308)&lt;=BLN,OR(C1308=BB_AKUN,D1308=BB_AKUN)),1,0)</f>
        <v>877</v>
      </c>
      <c r="R1308" s="104" t="str">
        <f aca="false">IF(OR(C1308&amp;D1308="",N(E1308)=0),"",IF(OR(O1308="?",P1308="?"),"⚠ akun tidak dikenal",IF(C1308=D1308,"⚠ debet = kredit","")))</f>
        <v/>
      </c>
    </row>
    <row r="1309" customFormat="false" ht="15" hidden="false" customHeight="false" outlineLevel="0" collapsed="false">
      <c r="A1309" s="82" t="s">
        <v>2602</v>
      </c>
      <c r="B1309" s="101" t="n">
        <v>46297</v>
      </c>
      <c r="C1309" s="82" t="s">
        <v>164</v>
      </c>
      <c r="D1309" s="82" t="s">
        <v>475</v>
      </c>
      <c r="E1309" s="91" t="n">
        <v>50000</v>
      </c>
      <c r="F1309" s="82" t="s">
        <v>2603</v>
      </c>
      <c r="G1309" s="82"/>
      <c r="H1309" s="82"/>
      <c r="I1309" s="82" t="s">
        <v>250</v>
      </c>
      <c r="J1309" s="102" t="n">
        <f aca="false">IF(B1309="","",MONTH(B1309))</f>
        <v>10</v>
      </c>
      <c r="K1309" s="102" t="n">
        <f aca="false">IF(B1309="","",YEAR(B1309))</f>
        <v>2026</v>
      </c>
      <c r="L1309" s="102" t="str">
        <f aca="false">IF(N(E1309)=0,"",IF(COUNTIFS(AK_NAMA,C1309,AK_KAT,"KAS")+COUNTIFS(AK_NAMA,D1309,AK_KAT,"KAS")&lt;&gt;1,"",IF(COUNTIFS(AK_NAMA,C1309,AK_KAT,"KAS")=1,D1309,C1309)))</f>
        <v>Perlengkapan</v>
      </c>
      <c r="M1309" s="103" t="n">
        <f aca="false">IF(L1309="",0,IF(L1309=D1309,E1309,-E1309))</f>
        <v>-50000</v>
      </c>
      <c r="N1309" s="102" t="str">
        <f aca="false">IF(L1309="","",IFERROR(INDEX(AK_BARIS,MATCH(L1309,AK_NAMA,0)),"?"))</f>
        <v>OP6</v>
      </c>
      <c r="O1309" s="102" t="str">
        <f aca="false">IF(C1309="","",IFERROR(INDEX(AK_KEL,MATCH(C1309,AK_NAMA,0)),"?"))</f>
        <v>ASET</v>
      </c>
      <c r="P1309" s="102" t="str">
        <f aca="false">IF(D1309="","",IFERROR(INDEX(AK_KEL,MATCH(D1309,AK_NAMA,0)),"?"))</f>
        <v>ASET</v>
      </c>
      <c r="Q1309" s="102" t="n">
        <f aca="false">N(Q1308)+IF(AND(N(E1309)&lt;&gt;0,K1309=TAHUN,N(J1309)&lt;=BLN,OR(C1309=BB_AKUN,D1309=BB_AKUN)),1,0)</f>
        <v>877</v>
      </c>
      <c r="R1309" s="104" t="str">
        <f aca="false">IF(OR(C1309&amp;D1309="",N(E1309)=0),"",IF(OR(O1309="?",P1309="?"),"⚠ akun tidak dikenal",IF(C1309=D1309,"⚠ debet = kredit","")))</f>
        <v/>
      </c>
    </row>
    <row r="1310" customFormat="false" ht="15" hidden="false" customHeight="false" outlineLevel="0" collapsed="false">
      <c r="A1310" s="82" t="s">
        <v>2604</v>
      </c>
      <c r="B1310" s="101" t="n">
        <v>46297</v>
      </c>
      <c r="C1310" s="82" t="s">
        <v>461</v>
      </c>
      <c r="D1310" s="82" t="s">
        <v>475</v>
      </c>
      <c r="E1310" s="91" t="n">
        <v>9000000</v>
      </c>
      <c r="F1310" s="82" t="s">
        <v>2605</v>
      </c>
      <c r="G1310" s="82"/>
      <c r="H1310" s="82"/>
      <c r="I1310" s="82" t="s">
        <v>250</v>
      </c>
      <c r="J1310" s="102" t="n">
        <f aca="false">IF(B1310="","",MONTH(B1310))</f>
        <v>10</v>
      </c>
      <c r="K1310" s="102" t="n">
        <f aca="false">IF(B1310="","",YEAR(B1310))</f>
        <v>2026</v>
      </c>
      <c r="L1310" s="102" t="str">
        <f aca="false">IF(N(E1310)=0,"",IF(COUNTIFS(AK_NAMA,C1310,AK_KAT,"KAS")+COUNTIFS(AK_NAMA,D1310,AK_KAT,"KAS")&lt;&gt;1,"",IF(COUNTIFS(AK_NAMA,C1310,AK_KAT,"KAS")=1,D1310,C1310)))</f>
        <v/>
      </c>
      <c r="M1310" s="103" t="n">
        <f aca="false">IF(L1310="",0,IF(L1310=D1310,E1310,-E1310))</f>
        <v>0</v>
      </c>
      <c r="N1310" s="102" t="str">
        <f aca="false">IF(L1310="","",IFERROR(INDEX(AK_BARIS,MATCH(L1310,AK_NAMA,0)),"?"))</f>
        <v/>
      </c>
      <c r="O1310" s="102" t="str">
        <f aca="false">IF(C1310="","",IFERROR(INDEX(AK_KEL,MATCH(C1310,AK_NAMA,0)),"?"))</f>
        <v>ASET</v>
      </c>
      <c r="P1310" s="102" t="str">
        <f aca="false">IF(D1310="","",IFERROR(INDEX(AK_KEL,MATCH(D1310,AK_NAMA,0)),"?"))</f>
        <v>ASET</v>
      </c>
      <c r="Q1310" s="102" t="n">
        <f aca="false">N(Q1309)+IF(AND(N(E1310)&lt;&gt;0,K1310=TAHUN,N(J1310)&lt;=BLN,OR(C1310=BB_AKUN,D1310=BB_AKUN)),1,0)</f>
        <v>877</v>
      </c>
      <c r="R1310" s="104" t="str">
        <f aca="false">IF(OR(C1310&amp;D1310="",N(E1310)=0),"",IF(OR(O1310="?",P1310="?"),"⚠ akun tidak dikenal",IF(C1310=D1310,"⚠ debet = kredit","")))</f>
        <v/>
      </c>
    </row>
    <row r="1311" customFormat="false" ht="15" hidden="false" customHeight="false" outlineLevel="0" collapsed="false">
      <c r="A1311" s="82" t="s">
        <v>2606</v>
      </c>
      <c r="B1311" s="101" t="n">
        <v>46298</v>
      </c>
      <c r="C1311" s="82" t="s">
        <v>470</v>
      </c>
      <c r="D1311" s="82" t="s">
        <v>461</v>
      </c>
      <c r="E1311" s="91" t="n">
        <v>380000</v>
      </c>
      <c r="F1311" s="82" t="s">
        <v>1729</v>
      </c>
      <c r="G1311" s="82"/>
      <c r="H1311" s="82"/>
      <c r="I1311" s="82" t="s">
        <v>250</v>
      </c>
      <c r="J1311" s="102" t="n">
        <f aca="false">IF(B1311="","",MONTH(B1311))</f>
        <v>10</v>
      </c>
      <c r="K1311" s="102" t="n">
        <f aca="false">IF(B1311="","",YEAR(B1311))</f>
        <v>2026</v>
      </c>
      <c r="L1311" s="102" t="str">
        <f aca="false">IF(N(E1311)=0,"",IF(COUNTIFS(AK_NAMA,C1311,AK_KAT,"KAS")+COUNTIFS(AK_NAMA,D1311,AK_KAT,"KAS")&lt;&gt;1,"",IF(COUNTIFS(AK_NAMA,C1311,AK_KAT,"KAS")=1,D1311,C1311)))</f>
        <v>Biaya Bahan Baku</v>
      </c>
      <c r="M1311" s="103" t="n">
        <f aca="false">IF(L1311="",0,IF(L1311=D1311,E1311,-E1311))</f>
        <v>-380000</v>
      </c>
      <c r="N1311" s="102" t="str">
        <f aca="false">IF(L1311="","",IFERROR(INDEX(AK_BARIS,MATCH(L1311,AK_NAMA,0)),"?"))</f>
        <v>OP3</v>
      </c>
      <c r="O1311" s="102" t="str">
        <f aca="false">IF(C1311="","",IFERROR(INDEX(AK_KEL,MATCH(C1311,AK_NAMA,0)),"?"))</f>
        <v>BEBAN</v>
      </c>
      <c r="P1311" s="102" t="str">
        <f aca="false">IF(D1311="","",IFERROR(INDEX(AK_KEL,MATCH(D1311,AK_NAMA,0)),"?"))</f>
        <v>ASET</v>
      </c>
      <c r="Q1311" s="102" t="n">
        <f aca="false">N(Q1310)+IF(AND(N(E1311)&lt;&gt;0,K1311=TAHUN,N(J1311)&lt;=BLN,OR(C1311=BB_AKUN,D1311=BB_AKUN)),1,0)</f>
        <v>877</v>
      </c>
      <c r="R1311" s="104" t="str">
        <f aca="false">IF(OR(C1311&amp;D1311="",N(E1311)=0),"",IF(OR(O1311="?",P1311="?"),"⚠ akun tidak dikenal",IF(C1311=D1311,"⚠ debet = kredit","")))</f>
        <v/>
      </c>
    </row>
    <row r="1312" customFormat="false" ht="15" hidden="false" customHeight="false" outlineLevel="0" collapsed="false">
      <c r="A1312" s="82" t="s">
        <v>2607</v>
      </c>
      <c r="B1312" s="101" t="n">
        <v>46298</v>
      </c>
      <c r="C1312" s="82" t="s">
        <v>470</v>
      </c>
      <c r="D1312" s="82" t="s">
        <v>461</v>
      </c>
      <c r="E1312" s="91" t="n">
        <v>112870</v>
      </c>
      <c r="F1312" s="82" t="s">
        <v>2608</v>
      </c>
      <c r="G1312" s="82"/>
      <c r="H1312" s="82"/>
      <c r="I1312" s="82" t="s">
        <v>250</v>
      </c>
      <c r="J1312" s="102" t="n">
        <f aca="false">IF(B1312="","",MONTH(B1312))</f>
        <v>10</v>
      </c>
      <c r="K1312" s="102" t="n">
        <f aca="false">IF(B1312="","",YEAR(B1312))</f>
        <v>2026</v>
      </c>
      <c r="L1312" s="102" t="str">
        <f aca="false">IF(N(E1312)=0,"",IF(COUNTIFS(AK_NAMA,C1312,AK_KAT,"KAS")+COUNTIFS(AK_NAMA,D1312,AK_KAT,"KAS")&lt;&gt;1,"",IF(COUNTIFS(AK_NAMA,C1312,AK_KAT,"KAS")=1,D1312,C1312)))</f>
        <v>Biaya Bahan Baku</v>
      </c>
      <c r="M1312" s="103" t="n">
        <f aca="false">IF(L1312="",0,IF(L1312=D1312,E1312,-E1312))</f>
        <v>-112870</v>
      </c>
      <c r="N1312" s="102" t="str">
        <f aca="false">IF(L1312="","",IFERROR(INDEX(AK_BARIS,MATCH(L1312,AK_NAMA,0)),"?"))</f>
        <v>OP3</v>
      </c>
      <c r="O1312" s="102" t="str">
        <f aca="false">IF(C1312="","",IFERROR(INDEX(AK_KEL,MATCH(C1312,AK_NAMA,0)),"?"))</f>
        <v>BEBAN</v>
      </c>
      <c r="P1312" s="102" t="str">
        <f aca="false">IF(D1312="","",IFERROR(INDEX(AK_KEL,MATCH(D1312,AK_NAMA,0)),"?"))</f>
        <v>ASET</v>
      </c>
      <c r="Q1312" s="102" t="n">
        <f aca="false">N(Q1311)+IF(AND(N(E1312)&lt;&gt;0,K1312=TAHUN,N(J1312)&lt;=BLN,OR(C1312=BB_AKUN,D1312=BB_AKUN)),1,0)</f>
        <v>877</v>
      </c>
      <c r="R1312" s="104" t="str">
        <f aca="false">IF(OR(C1312&amp;D1312="",N(E1312)=0),"",IF(OR(O1312="?",P1312="?"),"⚠ akun tidak dikenal",IF(C1312=D1312,"⚠ debet = kredit","")))</f>
        <v/>
      </c>
    </row>
    <row r="1313" customFormat="false" ht="15" hidden="false" customHeight="false" outlineLevel="0" collapsed="false">
      <c r="A1313" s="82" t="s">
        <v>2609</v>
      </c>
      <c r="B1313" s="101" t="n">
        <v>46298</v>
      </c>
      <c r="C1313" s="82" t="s">
        <v>486</v>
      </c>
      <c r="D1313" s="82" t="s">
        <v>475</v>
      </c>
      <c r="E1313" s="91" t="n">
        <v>500000</v>
      </c>
      <c r="F1313" s="82" t="s">
        <v>2447</v>
      </c>
      <c r="G1313" s="82"/>
      <c r="H1313" s="82"/>
      <c r="I1313" s="82" t="s">
        <v>250</v>
      </c>
      <c r="J1313" s="102" t="n">
        <f aca="false">IF(B1313="","",MONTH(B1313))</f>
        <v>10</v>
      </c>
      <c r="K1313" s="102" t="n">
        <f aca="false">IF(B1313="","",YEAR(B1313))</f>
        <v>2026</v>
      </c>
      <c r="L1313" s="102" t="str">
        <f aca="false">IF(N(E1313)=0,"",IF(COUNTIFS(AK_NAMA,C1313,AK_KAT,"KAS")+COUNTIFS(AK_NAMA,D1313,AK_KAT,"KAS")&lt;&gt;1,"",IF(COUNTIFS(AK_NAMA,C1313,AK_KAT,"KAS")=1,D1313,C1313)))</f>
        <v/>
      </c>
      <c r="M1313" s="103" t="n">
        <f aca="false">IF(L1313="",0,IF(L1313=D1313,E1313,-E1313))</f>
        <v>0</v>
      </c>
      <c r="N1313" s="102" t="str">
        <f aca="false">IF(L1313="","",IFERROR(INDEX(AK_BARIS,MATCH(L1313,AK_NAMA,0)),"?"))</f>
        <v/>
      </c>
      <c r="O1313" s="102" t="str">
        <f aca="false">IF(C1313="","",IFERROR(INDEX(AK_KEL,MATCH(C1313,AK_NAMA,0)),"?"))</f>
        <v>ASET</v>
      </c>
      <c r="P1313" s="102" t="str">
        <f aca="false">IF(D1313="","",IFERROR(INDEX(AK_KEL,MATCH(D1313,AK_NAMA,0)),"?"))</f>
        <v>ASET</v>
      </c>
      <c r="Q1313" s="102" t="n">
        <f aca="false">N(Q1312)+IF(AND(N(E1313)&lt;&gt;0,K1313=TAHUN,N(J1313)&lt;=BLN,OR(C1313=BB_AKUN,D1313=BB_AKUN)),1,0)</f>
        <v>877</v>
      </c>
      <c r="R1313" s="104" t="str">
        <f aca="false">IF(OR(C1313&amp;D1313="",N(E1313)=0),"",IF(OR(O1313="?",P1313="?"),"⚠ akun tidak dikenal",IF(C1313=D1313,"⚠ debet = kredit","")))</f>
        <v/>
      </c>
    </row>
    <row r="1314" customFormat="false" ht="15" hidden="false" customHeight="false" outlineLevel="0" collapsed="false">
      <c r="A1314" s="82" t="s">
        <v>2610</v>
      </c>
      <c r="B1314" s="101" t="n">
        <v>46301</v>
      </c>
      <c r="C1314" s="82" t="s">
        <v>486</v>
      </c>
      <c r="D1314" s="82" t="s">
        <v>475</v>
      </c>
      <c r="E1314" s="91" t="n">
        <v>500000</v>
      </c>
      <c r="F1314" s="82" t="s">
        <v>2113</v>
      </c>
      <c r="G1314" s="82"/>
      <c r="H1314" s="82"/>
      <c r="I1314" s="82" t="s">
        <v>250</v>
      </c>
      <c r="J1314" s="102" t="n">
        <f aca="false">IF(B1314="","",MONTH(B1314))</f>
        <v>10</v>
      </c>
      <c r="K1314" s="102" t="n">
        <f aca="false">IF(B1314="","",YEAR(B1314))</f>
        <v>2026</v>
      </c>
      <c r="L1314" s="102" t="str">
        <f aca="false">IF(N(E1314)=0,"",IF(COUNTIFS(AK_NAMA,C1314,AK_KAT,"KAS")+COUNTIFS(AK_NAMA,D1314,AK_KAT,"KAS")&lt;&gt;1,"",IF(COUNTIFS(AK_NAMA,C1314,AK_KAT,"KAS")=1,D1314,C1314)))</f>
        <v/>
      </c>
      <c r="M1314" s="103" t="n">
        <f aca="false">IF(L1314="",0,IF(L1314=D1314,E1314,-E1314))</f>
        <v>0</v>
      </c>
      <c r="N1314" s="102" t="str">
        <f aca="false">IF(L1314="","",IFERROR(INDEX(AK_BARIS,MATCH(L1314,AK_NAMA,0)),"?"))</f>
        <v/>
      </c>
      <c r="O1314" s="102" t="str">
        <f aca="false">IF(C1314="","",IFERROR(INDEX(AK_KEL,MATCH(C1314,AK_NAMA,0)),"?"))</f>
        <v>ASET</v>
      </c>
      <c r="P1314" s="102" t="str">
        <f aca="false">IF(D1314="","",IFERROR(INDEX(AK_KEL,MATCH(D1314,AK_NAMA,0)),"?"))</f>
        <v>ASET</v>
      </c>
      <c r="Q1314" s="102" t="n">
        <f aca="false">N(Q1313)+IF(AND(N(E1314)&lt;&gt;0,K1314=TAHUN,N(J1314)&lt;=BLN,OR(C1314=BB_AKUN,D1314=BB_AKUN)),1,0)</f>
        <v>877</v>
      </c>
      <c r="R1314" s="104" t="str">
        <f aca="false">IF(OR(C1314&amp;D1314="",N(E1314)=0),"",IF(OR(O1314="?",P1314="?"),"⚠ akun tidak dikenal",IF(C1314=D1314,"⚠ debet = kredit","")))</f>
        <v/>
      </c>
    </row>
    <row r="1315" customFormat="false" ht="15" hidden="false" customHeight="false" outlineLevel="0" collapsed="false">
      <c r="A1315" s="82" t="s">
        <v>2611</v>
      </c>
      <c r="B1315" s="101" t="n">
        <v>46302</v>
      </c>
      <c r="C1315" s="82" t="s">
        <v>455</v>
      </c>
      <c r="D1315" s="82" t="s">
        <v>461</v>
      </c>
      <c r="E1315" s="91" t="n">
        <v>780000</v>
      </c>
      <c r="F1315" s="82" t="s">
        <v>2612</v>
      </c>
      <c r="G1315" s="82"/>
      <c r="H1315" s="82"/>
      <c r="I1315" s="82" t="s">
        <v>250</v>
      </c>
      <c r="J1315" s="102" t="n">
        <f aca="false">IF(B1315="","",MONTH(B1315))</f>
        <v>10</v>
      </c>
      <c r="K1315" s="102" t="n">
        <f aca="false">IF(B1315="","",YEAR(B1315))</f>
        <v>2026</v>
      </c>
      <c r="L1315" s="102" t="str">
        <f aca="false">IF(N(E1315)=0,"",IF(COUNTIFS(AK_NAMA,C1315,AK_KAT,"KAS")+COUNTIFS(AK_NAMA,D1315,AK_KAT,"KAS")&lt;&gt;1,"",IF(COUNTIFS(AK_NAMA,C1315,AK_KAT,"KAS")=1,D1315,C1315)))</f>
        <v>Biaya Pemeliharaan</v>
      </c>
      <c r="M1315" s="103" t="n">
        <f aca="false">IF(L1315="",0,IF(L1315=D1315,E1315,-E1315))</f>
        <v>-780000</v>
      </c>
      <c r="N1315" s="102" t="str">
        <f aca="false">IF(L1315="","",IFERROR(INDEX(AK_BARIS,MATCH(L1315,AK_NAMA,0)),"?"))</f>
        <v>OP6</v>
      </c>
      <c r="O1315" s="102" t="str">
        <f aca="false">IF(C1315="","",IFERROR(INDEX(AK_KEL,MATCH(C1315,AK_NAMA,0)),"?"))</f>
        <v>BEBAN</v>
      </c>
      <c r="P1315" s="102" t="str">
        <f aca="false">IF(D1315="","",IFERROR(INDEX(AK_KEL,MATCH(D1315,AK_NAMA,0)),"?"))</f>
        <v>ASET</v>
      </c>
      <c r="Q1315" s="102" t="n">
        <f aca="false">N(Q1314)+IF(AND(N(E1315)&lt;&gt;0,K1315=TAHUN,N(J1315)&lt;=BLN,OR(C1315=BB_AKUN,D1315=BB_AKUN)),1,0)</f>
        <v>877</v>
      </c>
      <c r="R1315" s="104" t="str">
        <f aca="false">IF(OR(C1315&amp;D1315="",N(E1315)=0),"",IF(OR(O1315="?",P1315="?"),"⚠ akun tidak dikenal",IF(C1315=D1315,"⚠ debet = kredit","")))</f>
        <v/>
      </c>
    </row>
    <row r="1316" customFormat="false" ht="15" hidden="false" customHeight="false" outlineLevel="0" collapsed="false">
      <c r="A1316" s="82" t="s">
        <v>2613</v>
      </c>
      <c r="B1316" s="101" t="n">
        <v>46302</v>
      </c>
      <c r="C1316" s="82" t="s">
        <v>461</v>
      </c>
      <c r="D1316" s="82" t="s">
        <v>475</v>
      </c>
      <c r="E1316" s="91" t="n">
        <v>100000</v>
      </c>
      <c r="F1316" s="82" t="s">
        <v>2556</v>
      </c>
      <c r="G1316" s="82"/>
      <c r="H1316" s="82"/>
      <c r="I1316" s="82" t="s">
        <v>250</v>
      </c>
      <c r="J1316" s="102" t="n">
        <f aca="false">IF(B1316="","",MONTH(B1316))</f>
        <v>10</v>
      </c>
      <c r="K1316" s="102" t="n">
        <f aca="false">IF(B1316="","",YEAR(B1316))</f>
        <v>2026</v>
      </c>
      <c r="L1316" s="102" t="str">
        <f aca="false">IF(N(E1316)=0,"",IF(COUNTIFS(AK_NAMA,C1316,AK_KAT,"KAS")+COUNTIFS(AK_NAMA,D1316,AK_KAT,"KAS")&lt;&gt;1,"",IF(COUNTIFS(AK_NAMA,C1316,AK_KAT,"KAS")=1,D1316,C1316)))</f>
        <v/>
      </c>
      <c r="M1316" s="103" t="n">
        <f aca="false">IF(L1316="",0,IF(L1316=D1316,E1316,-E1316))</f>
        <v>0</v>
      </c>
      <c r="N1316" s="102" t="str">
        <f aca="false">IF(L1316="","",IFERROR(INDEX(AK_BARIS,MATCH(L1316,AK_NAMA,0)),"?"))</f>
        <v/>
      </c>
      <c r="O1316" s="102" t="str">
        <f aca="false">IF(C1316="","",IFERROR(INDEX(AK_KEL,MATCH(C1316,AK_NAMA,0)),"?"))</f>
        <v>ASET</v>
      </c>
      <c r="P1316" s="102" t="str">
        <f aca="false">IF(D1316="","",IFERROR(INDEX(AK_KEL,MATCH(D1316,AK_NAMA,0)),"?"))</f>
        <v>ASET</v>
      </c>
      <c r="Q1316" s="102" t="n">
        <f aca="false">N(Q1315)+IF(AND(N(E1316)&lt;&gt;0,K1316=TAHUN,N(J1316)&lt;=BLN,OR(C1316=BB_AKUN,D1316=BB_AKUN)),1,0)</f>
        <v>877</v>
      </c>
      <c r="R1316" s="104" t="str">
        <f aca="false">IF(OR(C1316&amp;D1316="",N(E1316)=0),"",IF(OR(O1316="?",P1316="?"),"⚠ akun tidak dikenal",IF(C1316=D1316,"⚠ debet = kredit","")))</f>
        <v/>
      </c>
    </row>
    <row r="1317" customFormat="false" ht="15" hidden="false" customHeight="false" outlineLevel="0" collapsed="false">
      <c r="A1317" s="82" t="s">
        <v>2614</v>
      </c>
      <c r="B1317" s="101" t="n">
        <v>46302</v>
      </c>
      <c r="C1317" s="82" t="s">
        <v>486</v>
      </c>
      <c r="D1317" s="82" t="s">
        <v>461</v>
      </c>
      <c r="E1317" s="91" t="n">
        <v>87500</v>
      </c>
      <c r="F1317" s="82" t="s">
        <v>2461</v>
      </c>
      <c r="G1317" s="82"/>
      <c r="H1317" s="82"/>
      <c r="I1317" s="82" t="s">
        <v>250</v>
      </c>
      <c r="J1317" s="102" t="n">
        <f aca="false">IF(B1317="","",MONTH(B1317))</f>
        <v>10</v>
      </c>
      <c r="K1317" s="102" t="n">
        <f aca="false">IF(B1317="","",YEAR(B1317))</f>
        <v>2026</v>
      </c>
      <c r="L1317" s="102" t="str">
        <f aca="false">IF(N(E1317)=0,"",IF(COUNTIFS(AK_NAMA,C1317,AK_KAT,"KAS")+COUNTIFS(AK_NAMA,D1317,AK_KAT,"KAS")&lt;&gt;1,"",IF(COUNTIFS(AK_NAMA,C1317,AK_KAT,"KAS")=1,D1317,C1317)))</f>
        <v/>
      </c>
      <c r="M1317" s="103" t="n">
        <f aca="false">IF(L1317="",0,IF(L1317=D1317,E1317,-E1317))</f>
        <v>0</v>
      </c>
      <c r="N1317" s="102" t="str">
        <f aca="false">IF(L1317="","",IFERROR(INDEX(AK_BARIS,MATCH(L1317,AK_NAMA,0)),"?"))</f>
        <v/>
      </c>
      <c r="O1317" s="102" t="str">
        <f aca="false">IF(C1317="","",IFERROR(INDEX(AK_KEL,MATCH(C1317,AK_NAMA,0)),"?"))</f>
        <v>ASET</v>
      </c>
      <c r="P1317" s="102" t="str">
        <f aca="false">IF(D1317="","",IFERROR(INDEX(AK_KEL,MATCH(D1317,AK_NAMA,0)),"?"))</f>
        <v>ASET</v>
      </c>
      <c r="Q1317" s="102" t="n">
        <f aca="false">N(Q1316)+IF(AND(N(E1317)&lt;&gt;0,K1317=TAHUN,N(J1317)&lt;=BLN,OR(C1317=BB_AKUN,D1317=BB_AKUN)),1,0)</f>
        <v>877</v>
      </c>
      <c r="R1317" s="104" t="str">
        <f aca="false">IF(OR(C1317&amp;D1317="",N(E1317)=0),"",IF(OR(O1317="?",P1317="?"),"⚠ akun tidak dikenal",IF(C1317=D1317,"⚠ debet = kredit","")))</f>
        <v/>
      </c>
    </row>
    <row r="1318" customFormat="false" ht="15" hidden="false" customHeight="false" outlineLevel="0" collapsed="false">
      <c r="A1318" s="82" t="s">
        <v>2615</v>
      </c>
      <c r="B1318" s="101" t="n">
        <v>46302</v>
      </c>
      <c r="C1318" s="82" t="s">
        <v>486</v>
      </c>
      <c r="D1318" s="82" t="s">
        <v>475</v>
      </c>
      <c r="E1318" s="91" t="n">
        <v>1000</v>
      </c>
      <c r="F1318" s="82" t="s">
        <v>2447</v>
      </c>
      <c r="G1318" s="82"/>
      <c r="H1318" s="82"/>
      <c r="I1318" s="82" t="s">
        <v>250</v>
      </c>
      <c r="J1318" s="102" t="n">
        <f aca="false">IF(B1318="","",MONTH(B1318))</f>
        <v>10</v>
      </c>
      <c r="K1318" s="102" t="n">
        <f aca="false">IF(B1318="","",YEAR(B1318))</f>
        <v>2026</v>
      </c>
      <c r="L1318" s="102" t="str">
        <f aca="false">IF(N(E1318)=0,"",IF(COUNTIFS(AK_NAMA,C1318,AK_KAT,"KAS")+COUNTIFS(AK_NAMA,D1318,AK_KAT,"KAS")&lt;&gt;1,"",IF(COUNTIFS(AK_NAMA,C1318,AK_KAT,"KAS")=1,D1318,C1318)))</f>
        <v/>
      </c>
      <c r="M1318" s="103" t="n">
        <f aca="false">IF(L1318="",0,IF(L1318=D1318,E1318,-E1318))</f>
        <v>0</v>
      </c>
      <c r="N1318" s="102" t="str">
        <f aca="false">IF(L1318="","",IFERROR(INDEX(AK_BARIS,MATCH(L1318,AK_NAMA,0)),"?"))</f>
        <v/>
      </c>
      <c r="O1318" s="102" t="str">
        <f aca="false">IF(C1318="","",IFERROR(INDEX(AK_KEL,MATCH(C1318,AK_NAMA,0)),"?"))</f>
        <v>ASET</v>
      </c>
      <c r="P1318" s="102" t="str">
        <f aca="false">IF(D1318="","",IFERROR(INDEX(AK_KEL,MATCH(D1318,AK_NAMA,0)),"?"))</f>
        <v>ASET</v>
      </c>
      <c r="Q1318" s="102" t="n">
        <f aca="false">N(Q1317)+IF(AND(N(E1318)&lt;&gt;0,K1318=TAHUN,N(J1318)&lt;=BLN,OR(C1318=BB_AKUN,D1318=BB_AKUN)),1,0)</f>
        <v>877</v>
      </c>
      <c r="R1318" s="104" t="str">
        <f aca="false">IF(OR(C1318&amp;D1318="",N(E1318)=0),"",IF(OR(O1318="?",P1318="?"),"⚠ akun tidak dikenal",IF(C1318=D1318,"⚠ debet = kredit","")))</f>
        <v/>
      </c>
    </row>
    <row r="1319" customFormat="false" ht="15" hidden="false" customHeight="false" outlineLevel="0" collapsed="false">
      <c r="A1319" s="82" t="s">
        <v>2616</v>
      </c>
      <c r="B1319" s="101" t="n">
        <v>46302</v>
      </c>
      <c r="C1319" s="82" t="s">
        <v>524</v>
      </c>
      <c r="D1319" s="82" t="s">
        <v>461</v>
      </c>
      <c r="E1319" s="91" t="n">
        <v>2500</v>
      </c>
      <c r="F1319" s="82" t="s">
        <v>2617</v>
      </c>
      <c r="G1319" s="82"/>
      <c r="H1319" s="82"/>
      <c r="I1319" s="82" t="s">
        <v>250</v>
      </c>
      <c r="J1319" s="102" t="n">
        <f aca="false">IF(B1319="","",MONTH(B1319))</f>
        <v>10</v>
      </c>
      <c r="K1319" s="102" t="n">
        <f aca="false">IF(B1319="","",YEAR(B1319))</f>
        <v>2026</v>
      </c>
      <c r="L1319" s="102" t="str">
        <f aca="false">IF(N(E1319)=0,"",IF(COUNTIFS(AK_NAMA,C1319,AK_KAT,"KAS")+COUNTIFS(AK_NAMA,D1319,AK_KAT,"KAS")&lt;&gt;1,"",IF(COUNTIFS(AK_NAMA,C1319,AK_KAT,"KAS")=1,D1319,C1319)))</f>
        <v>Biaya Lainnya</v>
      </c>
      <c r="M1319" s="103" t="n">
        <f aca="false">IF(L1319="",0,IF(L1319=D1319,E1319,-E1319))</f>
        <v>-2500</v>
      </c>
      <c r="N1319" s="102" t="str">
        <f aca="false">IF(L1319="","",IFERROR(INDEX(AK_BARIS,MATCH(L1319,AK_NAMA,0)),"?"))</f>
        <v>OP2</v>
      </c>
      <c r="O1319" s="102" t="str">
        <f aca="false">IF(C1319="","",IFERROR(INDEX(AK_KEL,MATCH(C1319,AK_NAMA,0)),"?"))</f>
        <v>BEBAN</v>
      </c>
      <c r="P1319" s="102" t="str">
        <f aca="false">IF(D1319="","",IFERROR(INDEX(AK_KEL,MATCH(D1319,AK_NAMA,0)),"?"))</f>
        <v>ASET</v>
      </c>
      <c r="Q1319" s="102" t="n">
        <f aca="false">N(Q1318)+IF(AND(N(E1319)&lt;&gt;0,K1319=TAHUN,N(J1319)&lt;=BLN,OR(C1319=BB_AKUN,D1319=BB_AKUN)),1,0)</f>
        <v>877</v>
      </c>
      <c r="R1319" s="104" t="str">
        <f aca="false">IF(OR(C1319&amp;D1319="",N(E1319)=0),"",IF(OR(O1319="?",P1319="?"),"⚠ akun tidak dikenal",IF(C1319=D1319,"⚠ debet = kredit","")))</f>
        <v/>
      </c>
    </row>
    <row r="1320" customFormat="false" ht="15" hidden="false" customHeight="false" outlineLevel="0" collapsed="false">
      <c r="A1320" s="82" t="s">
        <v>2618</v>
      </c>
      <c r="B1320" s="101" t="n">
        <v>46302</v>
      </c>
      <c r="C1320" s="82" t="s">
        <v>460</v>
      </c>
      <c r="D1320" s="82" t="s">
        <v>461</v>
      </c>
      <c r="E1320" s="91" t="n">
        <v>507000</v>
      </c>
      <c r="F1320" s="82" t="s">
        <v>2619</v>
      </c>
      <c r="G1320" s="82" t="s">
        <v>391</v>
      </c>
      <c r="H1320" s="82"/>
      <c r="I1320" s="82" t="s">
        <v>250</v>
      </c>
      <c r="J1320" s="102" t="n">
        <f aca="false">IF(B1320="","",MONTH(B1320))</f>
        <v>10</v>
      </c>
      <c r="K1320" s="102" t="n">
        <f aca="false">IF(B1320="","",YEAR(B1320))</f>
        <v>2026</v>
      </c>
      <c r="L1320" s="102" t="str">
        <f aca="false">IF(N(E1320)=0,"",IF(COUNTIFS(AK_NAMA,C1320,AK_KAT,"KAS")+COUNTIFS(AK_NAMA,D1320,AK_KAT,"KAS")&lt;&gt;1,"",IF(COUNTIFS(AK_NAMA,C1320,AK_KAT,"KAS")=1,D1320,C1320)))</f>
        <v>Biaya Marketing &amp; Promosi</v>
      </c>
      <c r="M1320" s="103" t="n">
        <f aca="false">IF(L1320="",0,IF(L1320=D1320,E1320,-E1320))</f>
        <v>-507000</v>
      </c>
      <c r="N1320" s="102" t="str">
        <f aca="false">IF(L1320="","",IFERROR(INDEX(AK_BARIS,MATCH(L1320,AK_NAMA,0)),"?"))</f>
        <v>OP6</v>
      </c>
      <c r="O1320" s="102" t="str">
        <f aca="false">IF(C1320="","",IFERROR(INDEX(AK_KEL,MATCH(C1320,AK_NAMA,0)),"?"))</f>
        <v>BEBAN</v>
      </c>
      <c r="P1320" s="102" t="str">
        <f aca="false">IF(D1320="","",IFERROR(INDEX(AK_KEL,MATCH(D1320,AK_NAMA,0)),"?"))</f>
        <v>ASET</v>
      </c>
      <c r="Q1320" s="102" t="n">
        <f aca="false">N(Q1319)+IF(AND(N(E1320)&lt;&gt;0,K1320=TAHUN,N(J1320)&lt;=BLN,OR(C1320=BB_AKUN,D1320=BB_AKUN)),1,0)</f>
        <v>877</v>
      </c>
      <c r="R1320" s="104" t="str">
        <f aca="false">IF(OR(C1320&amp;D1320="",N(E1320)=0),"",IF(OR(O1320="?",P1320="?"),"⚠ akun tidak dikenal",IF(C1320=D1320,"⚠ debet = kredit","")))</f>
        <v/>
      </c>
    </row>
    <row r="1321" customFormat="false" ht="15" hidden="false" customHeight="false" outlineLevel="0" collapsed="false">
      <c r="A1321" s="82" t="s">
        <v>2620</v>
      </c>
      <c r="B1321" s="101" t="n">
        <v>46302</v>
      </c>
      <c r="C1321" s="82" t="s">
        <v>460</v>
      </c>
      <c r="D1321" s="82" t="s">
        <v>461</v>
      </c>
      <c r="E1321" s="91" t="n">
        <v>1000000</v>
      </c>
      <c r="F1321" s="82" t="s">
        <v>2621</v>
      </c>
      <c r="G1321" s="82" t="s">
        <v>391</v>
      </c>
      <c r="H1321" s="82"/>
      <c r="I1321" s="82" t="s">
        <v>250</v>
      </c>
      <c r="J1321" s="102" t="n">
        <f aca="false">IF(B1321="","",MONTH(B1321))</f>
        <v>10</v>
      </c>
      <c r="K1321" s="102" t="n">
        <f aca="false">IF(B1321="","",YEAR(B1321))</f>
        <v>2026</v>
      </c>
      <c r="L1321" s="102" t="str">
        <f aca="false">IF(N(E1321)=0,"",IF(COUNTIFS(AK_NAMA,C1321,AK_KAT,"KAS")+COUNTIFS(AK_NAMA,D1321,AK_KAT,"KAS")&lt;&gt;1,"",IF(COUNTIFS(AK_NAMA,C1321,AK_KAT,"KAS")=1,D1321,C1321)))</f>
        <v>Biaya Marketing &amp; Promosi</v>
      </c>
      <c r="M1321" s="103" t="n">
        <f aca="false">IF(L1321="",0,IF(L1321=D1321,E1321,-E1321))</f>
        <v>-1000000</v>
      </c>
      <c r="N1321" s="102" t="str">
        <f aca="false">IF(L1321="","",IFERROR(INDEX(AK_BARIS,MATCH(L1321,AK_NAMA,0)),"?"))</f>
        <v>OP6</v>
      </c>
      <c r="O1321" s="102" t="str">
        <f aca="false">IF(C1321="","",IFERROR(INDEX(AK_KEL,MATCH(C1321,AK_NAMA,0)),"?"))</f>
        <v>BEBAN</v>
      </c>
      <c r="P1321" s="102" t="str">
        <f aca="false">IF(D1321="","",IFERROR(INDEX(AK_KEL,MATCH(D1321,AK_NAMA,0)),"?"))</f>
        <v>ASET</v>
      </c>
      <c r="Q1321" s="102" t="n">
        <f aca="false">N(Q1320)+IF(AND(N(E1321)&lt;&gt;0,K1321=TAHUN,N(J1321)&lt;=BLN,OR(C1321=BB_AKUN,D1321=BB_AKUN)),1,0)</f>
        <v>877</v>
      </c>
      <c r="R1321" s="104" t="str">
        <f aca="false">IF(OR(C1321&amp;D1321="",N(E1321)=0),"",IF(OR(O1321="?",P1321="?"),"⚠ akun tidak dikenal",IF(C1321=D1321,"⚠ debet = kredit","")))</f>
        <v/>
      </c>
    </row>
    <row r="1322" customFormat="false" ht="15" hidden="false" customHeight="false" outlineLevel="0" collapsed="false">
      <c r="A1322" s="82" t="s">
        <v>2622</v>
      </c>
      <c r="B1322" s="101" t="n">
        <v>46302</v>
      </c>
      <c r="C1322" s="82" t="s">
        <v>470</v>
      </c>
      <c r="D1322" s="82" t="s">
        <v>486</v>
      </c>
      <c r="E1322" s="91" t="n">
        <v>321000</v>
      </c>
      <c r="F1322" s="82" t="s">
        <v>2623</v>
      </c>
      <c r="G1322" s="82"/>
      <c r="H1322" s="82"/>
      <c r="I1322" s="82" t="s">
        <v>250</v>
      </c>
      <c r="J1322" s="102" t="n">
        <f aca="false">IF(B1322="","",MONTH(B1322))</f>
        <v>10</v>
      </c>
      <c r="K1322" s="102" t="n">
        <f aca="false">IF(B1322="","",YEAR(B1322))</f>
        <v>2026</v>
      </c>
      <c r="L1322" s="102" t="str">
        <f aca="false">IF(N(E1322)=0,"",IF(COUNTIFS(AK_NAMA,C1322,AK_KAT,"KAS")+COUNTIFS(AK_NAMA,D1322,AK_KAT,"KAS")&lt;&gt;1,"",IF(COUNTIFS(AK_NAMA,C1322,AK_KAT,"KAS")=1,D1322,C1322)))</f>
        <v>Biaya Bahan Baku</v>
      </c>
      <c r="M1322" s="103" t="n">
        <f aca="false">IF(L1322="",0,IF(L1322=D1322,E1322,-E1322))</f>
        <v>-321000</v>
      </c>
      <c r="N1322" s="102" t="str">
        <f aca="false">IF(L1322="","",IFERROR(INDEX(AK_BARIS,MATCH(L1322,AK_NAMA,0)),"?"))</f>
        <v>OP3</v>
      </c>
      <c r="O1322" s="102" t="str">
        <f aca="false">IF(C1322="","",IFERROR(INDEX(AK_KEL,MATCH(C1322,AK_NAMA,0)),"?"))</f>
        <v>BEBAN</v>
      </c>
      <c r="P1322" s="102" t="str">
        <f aca="false">IF(D1322="","",IFERROR(INDEX(AK_KEL,MATCH(D1322,AK_NAMA,0)),"?"))</f>
        <v>ASET</v>
      </c>
      <c r="Q1322" s="102" t="n">
        <f aca="false">N(Q1321)+IF(AND(N(E1322)&lt;&gt;0,K1322=TAHUN,N(J1322)&lt;=BLN,OR(C1322=BB_AKUN,D1322=BB_AKUN)),1,0)</f>
        <v>877</v>
      </c>
      <c r="R1322" s="104" t="str">
        <f aca="false">IF(OR(C1322&amp;D1322="",N(E1322)=0),"",IF(OR(O1322="?",P1322="?"),"⚠ akun tidak dikenal",IF(C1322=D1322,"⚠ debet = kredit","")))</f>
        <v/>
      </c>
    </row>
    <row r="1323" customFormat="false" ht="15" hidden="false" customHeight="false" outlineLevel="0" collapsed="false">
      <c r="A1323" s="82" t="s">
        <v>2624</v>
      </c>
      <c r="B1323" s="101" t="n">
        <v>46302</v>
      </c>
      <c r="C1323" s="82" t="s">
        <v>485</v>
      </c>
      <c r="D1323" s="82" t="s">
        <v>486</v>
      </c>
      <c r="E1323" s="91" t="n">
        <v>32500</v>
      </c>
      <c r="F1323" s="82" t="s">
        <v>2625</v>
      </c>
      <c r="G1323" s="82"/>
      <c r="H1323" s="82"/>
      <c r="I1323" s="82" t="s">
        <v>250</v>
      </c>
      <c r="J1323" s="102" t="n">
        <f aca="false">IF(B1323="","",MONTH(B1323))</f>
        <v>10</v>
      </c>
      <c r="K1323" s="102" t="n">
        <f aca="false">IF(B1323="","",YEAR(B1323))</f>
        <v>2026</v>
      </c>
      <c r="L1323" s="102" t="str">
        <f aca="false">IF(N(E1323)=0,"",IF(COUNTIFS(AK_NAMA,C1323,AK_KAT,"KAS")+COUNTIFS(AK_NAMA,D1323,AK_KAT,"KAS")&lt;&gt;1,"",IF(COUNTIFS(AK_NAMA,C1323,AK_KAT,"KAS")=1,D1323,C1323)))</f>
        <v>Biaya Operasional Harian</v>
      </c>
      <c r="M1323" s="103" t="n">
        <f aca="false">IF(L1323="",0,IF(L1323=D1323,E1323,-E1323))</f>
        <v>-32500</v>
      </c>
      <c r="N1323" s="102" t="str">
        <f aca="false">IF(L1323="","",IFERROR(INDEX(AK_BARIS,MATCH(L1323,AK_NAMA,0)),"?"))</f>
        <v>OP6</v>
      </c>
      <c r="O1323" s="102" t="str">
        <f aca="false">IF(C1323="","",IFERROR(INDEX(AK_KEL,MATCH(C1323,AK_NAMA,0)),"?"))</f>
        <v>BEBAN</v>
      </c>
      <c r="P1323" s="102" t="str">
        <f aca="false">IF(D1323="","",IFERROR(INDEX(AK_KEL,MATCH(D1323,AK_NAMA,0)),"?"))</f>
        <v>ASET</v>
      </c>
      <c r="Q1323" s="102" t="n">
        <f aca="false">N(Q1322)+IF(AND(N(E1323)&lt;&gt;0,K1323=TAHUN,N(J1323)&lt;=BLN,OR(C1323=BB_AKUN,D1323=BB_AKUN)),1,0)</f>
        <v>877</v>
      </c>
      <c r="R1323" s="104" t="str">
        <f aca="false">IF(OR(C1323&amp;D1323="",N(E1323)=0),"",IF(OR(O1323="?",P1323="?"),"⚠ akun tidak dikenal",IF(C1323=D1323,"⚠ debet = kredit","")))</f>
        <v/>
      </c>
    </row>
    <row r="1324" customFormat="false" ht="15" hidden="false" customHeight="false" outlineLevel="0" collapsed="false">
      <c r="A1324" s="82" t="s">
        <v>2626</v>
      </c>
      <c r="B1324" s="101" t="n">
        <v>46302</v>
      </c>
      <c r="C1324" s="82" t="s">
        <v>460</v>
      </c>
      <c r="D1324" s="82" t="s">
        <v>486</v>
      </c>
      <c r="E1324" s="91" t="n">
        <v>735000</v>
      </c>
      <c r="F1324" s="82" t="s">
        <v>2627</v>
      </c>
      <c r="G1324" s="82" t="s">
        <v>391</v>
      </c>
      <c r="H1324" s="82"/>
      <c r="I1324" s="82" t="s">
        <v>250</v>
      </c>
      <c r="J1324" s="102" t="n">
        <f aca="false">IF(B1324="","",MONTH(B1324))</f>
        <v>10</v>
      </c>
      <c r="K1324" s="102" t="n">
        <f aca="false">IF(B1324="","",YEAR(B1324))</f>
        <v>2026</v>
      </c>
      <c r="L1324" s="102" t="str">
        <f aca="false">IF(N(E1324)=0,"",IF(COUNTIFS(AK_NAMA,C1324,AK_KAT,"KAS")+COUNTIFS(AK_NAMA,D1324,AK_KAT,"KAS")&lt;&gt;1,"",IF(COUNTIFS(AK_NAMA,C1324,AK_KAT,"KAS")=1,D1324,C1324)))</f>
        <v>Biaya Marketing &amp; Promosi</v>
      </c>
      <c r="M1324" s="103" t="n">
        <f aca="false">IF(L1324="",0,IF(L1324=D1324,E1324,-E1324))</f>
        <v>-735000</v>
      </c>
      <c r="N1324" s="102" t="str">
        <f aca="false">IF(L1324="","",IFERROR(INDEX(AK_BARIS,MATCH(L1324,AK_NAMA,0)),"?"))</f>
        <v>OP6</v>
      </c>
      <c r="O1324" s="102" t="str">
        <f aca="false">IF(C1324="","",IFERROR(INDEX(AK_KEL,MATCH(C1324,AK_NAMA,0)),"?"))</f>
        <v>BEBAN</v>
      </c>
      <c r="P1324" s="102" t="str">
        <f aca="false">IF(D1324="","",IFERROR(INDEX(AK_KEL,MATCH(D1324,AK_NAMA,0)),"?"))</f>
        <v>ASET</v>
      </c>
      <c r="Q1324" s="102" t="n">
        <f aca="false">N(Q1323)+IF(AND(N(E1324)&lt;&gt;0,K1324=TAHUN,N(J1324)&lt;=BLN,OR(C1324=BB_AKUN,D1324=BB_AKUN)),1,0)</f>
        <v>877</v>
      </c>
      <c r="R1324" s="104" t="str">
        <f aca="false">IF(OR(C1324&amp;D1324="",N(E1324)=0),"",IF(OR(O1324="?",P1324="?"),"⚠ akun tidak dikenal",IF(C1324=D1324,"⚠ debet = kredit","")))</f>
        <v/>
      </c>
    </row>
    <row r="1325" customFormat="false" ht="15" hidden="false" customHeight="false" outlineLevel="0" collapsed="false">
      <c r="A1325" s="82" t="s">
        <v>2628</v>
      </c>
      <c r="B1325" s="101" t="n">
        <v>46302</v>
      </c>
      <c r="C1325" s="82" t="s">
        <v>475</v>
      </c>
      <c r="D1325" s="82" t="s">
        <v>509</v>
      </c>
      <c r="E1325" s="91" t="n">
        <v>1308000</v>
      </c>
      <c r="F1325" s="82" t="s">
        <v>2629</v>
      </c>
      <c r="G1325" s="82" t="s">
        <v>391</v>
      </c>
      <c r="H1325" s="82"/>
      <c r="I1325" s="82" t="s">
        <v>250</v>
      </c>
      <c r="J1325" s="102" t="n">
        <f aca="false">IF(B1325="","",MONTH(B1325))</f>
        <v>10</v>
      </c>
      <c r="K1325" s="102" t="n">
        <f aca="false">IF(B1325="","",YEAR(B1325))</f>
        <v>2026</v>
      </c>
      <c r="L1325" s="102" t="str">
        <f aca="false">IF(N(E1325)=0,"",IF(COUNTIFS(AK_NAMA,C1325,AK_KAT,"KAS")+COUNTIFS(AK_NAMA,D1325,AK_KAT,"KAS")&lt;&gt;1,"",IF(COUNTIFS(AK_NAMA,C1325,AK_KAT,"KAS")=1,D1325,C1325)))</f>
        <v>Pendapatan non Cafe</v>
      </c>
      <c r="M1325" s="103" t="n">
        <f aca="false">IF(L1325="",0,IF(L1325=D1325,E1325,-E1325))</f>
        <v>1308000</v>
      </c>
      <c r="N1325" s="102" t="str">
        <f aca="false">IF(L1325="","",IFERROR(INDEX(AK_BARIS,MATCH(L1325,AK_NAMA,0)),"?"))</f>
        <v>OP1</v>
      </c>
      <c r="O1325" s="102" t="str">
        <f aca="false">IF(C1325="","",IFERROR(INDEX(AK_KEL,MATCH(C1325,AK_NAMA,0)),"?"))</f>
        <v>ASET</v>
      </c>
      <c r="P1325" s="102" t="str">
        <f aca="false">IF(D1325="","",IFERROR(INDEX(AK_KEL,MATCH(D1325,AK_NAMA,0)),"?"))</f>
        <v>PENDAPATAN</v>
      </c>
      <c r="Q1325" s="102" t="n">
        <f aca="false">N(Q1324)+IF(AND(N(E1325)&lt;&gt;0,K1325=TAHUN,N(J1325)&lt;=BLN,OR(C1325=BB_AKUN,D1325=BB_AKUN)),1,0)</f>
        <v>877</v>
      </c>
      <c r="R1325" s="104" t="str">
        <f aca="false">IF(OR(C1325&amp;D1325="",N(E1325)=0),"",IF(OR(O1325="?",P1325="?"),"⚠ akun tidak dikenal",IF(C1325=D1325,"⚠ debet = kredit","")))</f>
        <v/>
      </c>
    </row>
    <row r="1326" customFormat="false" ht="15" hidden="false" customHeight="false" outlineLevel="0" collapsed="false">
      <c r="A1326" s="82" t="s">
        <v>2630</v>
      </c>
      <c r="B1326" s="101" t="n">
        <v>46304</v>
      </c>
      <c r="C1326" s="82" t="s">
        <v>475</v>
      </c>
      <c r="D1326" s="82" t="s">
        <v>461</v>
      </c>
      <c r="E1326" s="91" t="n">
        <v>3000000</v>
      </c>
      <c r="F1326" s="82" t="s">
        <v>2458</v>
      </c>
      <c r="G1326" s="82"/>
      <c r="H1326" s="82"/>
      <c r="I1326" s="82" t="s">
        <v>250</v>
      </c>
      <c r="J1326" s="102" t="n">
        <f aca="false">IF(B1326="","",MONTH(B1326))</f>
        <v>10</v>
      </c>
      <c r="K1326" s="102" t="n">
        <f aca="false">IF(B1326="","",YEAR(B1326))</f>
        <v>2026</v>
      </c>
      <c r="L1326" s="102" t="str">
        <f aca="false">IF(N(E1326)=0,"",IF(COUNTIFS(AK_NAMA,C1326,AK_KAT,"KAS")+COUNTIFS(AK_NAMA,D1326,AK_KAT,"KAS")&lt;&gt;1,"",IF(COUNTIFS(AK_NAMA,C1326,AK_KAT,"KAS")=1,D1326,C1326)))</f>
        <v/>
      </c>
      <c r="M1326" s="103" t="n">
        <f aca="false">IF(L1326="",0,IF(L1326=D1326,E1326,-E1326))</f>
        <v>0</v>
      </c>
      <c r="N1326" s="102" t="str">
        <f aca="false">IF(L1326="","",IFERROR(INDEX(AK_BARIS,MATCH(L1326,AK_NAMA,0)),"?"))</f>
        <v/>
      </c>
      <c r="O1326" s="102" t="str">
        <f aca="false">IF(C1326="","",IFERROR(INDEX(AK_KEL,MATCH(C1326,AK_NAMA,0)),"?"))</f>
        <v>ASET</v>
      </c>
      <c r="P1326" s="102" t="str">
        <f aca="false">IF(D1326="","",IFERROR(INDEX(AK_KEL,MATCH(D1326,AK_NAMA,0)),"?"))</f>
        <v>ASET</v>
      </c>
      <c r="Q1326" s="102" t="n">
        <f aca="false">N(Q1325)+IF(AND(N(E1326)&lt;&gt;0,K1326=TAHUN,N(J1326)&lt;=BLN,OR(C1326=BB_AKUN,D1326=BB_AKUN)),1,0)</f>
        <v>877</v>
      </c>
      <c r="R1326" s="104" t="str">
        <f aca="false">IF(OR(C1326&amp;D1326="",N(E1326)=0),"",IF(OR(O1326="?",P1326="?"),"⚠ akun tidak dikenal",IF(C1326=D1326,"⚠ debet = kredit","")))</f>
        <v/>
      </c>
    </row>
    <row r="1327" customFormat="false" ht="15" hidden="false" customHeight="false" outlineLevel="0" collapsed="false">
      <c r="A1327" s="82" t="s">
        <v>2631</v>
      </c>
      <c r="B1327" s="101" t="n">
        <v>46304</v>
      </c>
      <c r="C1327" s="82" t="s">
        <v>475</v>
      </c>
      <c r="D1327" s="82" t="s">
        <v>461</v>
      </c>
      <c r="E1327" s="91" t="n">
        <v>150000</v>
      </c>
      <c r="F1327" s="82" t="s">
        <v>2632</v>
      </c>
      <c r="G1327" s="82"/>
      <c r="H1327" s="82"/>
      <c r="I1327" s="82" t="s">
        <v>250</v>
      </c>
      <c r="J1327" s="102" t="n">
        <f aca="false">IF(B1327="","",MONTH(B1327))</f>
        <v>10</v>
      </c>
      <c r="K1327" s="102" t="n">
        <f aca="false">IF(B1327="","",YEAR(B1327))</f>
        <v>2026</v>
      </c>
      <c r="L1327" s="102" t="str">
        <f aca="false">IF(N(E1327)=0,"",IF(COUNTIFS(AK_NAMA,C1327,AK_KAT,"KAS")+COUNTIFS(AK_NAMA,D1327,AK_KAT,"KAS")&lt;&gt;1,"",IF(COUNTIFS(AK_NAMA,C1327,AK_KAT,"KAS")=1,D1327,C1327)))</f>
        <v/>
      </c>
      <c r="M1327" s="103" t="n">
        <f aca="false">IF(L1327="",0,IF(L1327=D1327,E1327,-E1327))</f>
        <v>0</v>
      </c>
      <c r="N1327" s="102" t="str">
        <f aca="false">IF(L1327="","",IFERROR(INDEX(AK_BARIS,MATCH(L1327,AK_NAMA,0)),"?"))</f>
        <v/>
      </c>
      <c r="O1327" s="102" t="str">
        <f aca="false">IF(C1327="","",IFERROR(INDEX(AK_KEL,MATCH(C1327,AK_NAMA,0)),"?"))</f>
        <v>ASET</v>
      </c>
      <c r="P1327" s="102" t="str">
        <f aca="false">IF(D1327="","",IFERROR(INDEX(AK_KEL,MATCH(D1327,AK_NAMA,0)),"?"))</f>
        <v>ASET</v>
      </c>
      <c r="Q1327" s="102" t="n">
        <f aca="false">N(Q1326)+IF(AND(N(E1327)&lt;&gt;0,K1327=TAHUN,N(J1327)&lt;=BLN,OR(C1327=BB_AKUN,D1327=BB_AKUN)),1,0)</f>
        <v>877</v>
      </c>
      <c r="R1327" s="104" t="str">
        <f aca="false">IF(OR(C1327&amp;D1327="",N(E1327)=0),"",IF(OR(O1327="?",P1327="?"),"⚠ akun tidak dikenal",IF(C1327=D1327,"⚠ debet = kredit","")))</f>
        <v/>
      </c>
    </row>
    <row r="1328" customFormat="false" ht="15" hidden="false" customHeight="false" outlineLevel="0" collapsed="false">
      <c r="A1328" s="82" t="s">
        <v>2633</v>
      </c>
      <c r="B1328" s="101" t="n">
        <v>46304</v>
      </c>
      <c r="C1328" s="82" t="s">
        <v>486</v>
      </c>
      <c r="D1328" s="82" t="s">
        <v>475</v>
      </c>
      <c r="E1328" s="91" t="n">
        <v>100000</v>
      </c>
      <c r="F1328" s="82" t="s">
        <v>2634</v>
      </c>
      <c r="G1328" s="82"/>
      <c r="H1328" s="82"/>
      <c r="I1328" s="82" t="s">
        <v>250</v>
      </c>
      <c r="J1328" s="102" t="n">
        <f aca="false">IF(B1328="","",MONTH(B1328))</f>
        <v>10</v>
      </c>
      <c r="K1328" s="102" t="n">
        <f aca="false">IF(B1328="","",YEAR(B1328))</f>
        <v>2026</v>
      </c>
      <c r="L1328" s="102" t="str">
        <f aca="false">IF(N(E1328)=0,"",IF(COUNTIFS(AK_NAMA,C1328,AK_KAT,"KAS")+COUNTIFS(AK_NAMA,D1328,AK_KAT,"KAS")&lt;&gt;1,"",IF(COUNTIFS(AK_NAMA,C1328,AK_KAT,"KAS")=1,D1328,C1328)))</f>
        <v/>
      </c>
      <c r="M1328" s="103" t="n">
        <f aca="false">IF(L1328="",0,IF(L1328=D1328,E1328,-E1328))</f>
        <v>0</v>
      </c>
      <c r="N1328" s="102" t="str">
        <f aca="false">IF(L1328="","",IFERROR(INDEX(AK_BARIS,MATCH(L1328,AK_NAMA,0)),"?"))</f>
        <v/>
      </c>
      <c r="O1328" s="102" t="str">
        <f aca="false">IF(C1328="","",IFERROR(INDEX(AK_KEL,MATCH(C1328,AK_NAMA,0)),"?"))</f>
        <v>ASET</v>
      </c>
      <c r="P1328" s="102" t="str">
        <f aca="false">IF(D1328="","",IFERROR(INDEX(AK_KEL,MATCH(D1328,AK_NAMA,0)),"?"))</f>
        <v>ASET</v>
      </c>
      <c r="Q1328" s="102" t="n">
        <f aca="false">N(Q1327)+IF(AND(N(E1328)&lt;&gt;0,K1328=TAHUN,N(J1328)&lt;=BLN,OR(C1328=BB_AKUN,D1328=BB_AKUN)),1,0)</f>
        <v>877</v>
      </c>
      <c r="R1328" s="104" t="str">
        <f aca="false">IF(OR(C1328&amp;D1328="",N(E1328)=0),"",IF(OR(O1328="?",P1328="?"),"⚠ akun tidak dikenal",IF(C1328=D1328,"⚠ debet = kredit","")))</f>
        <v/>
      </c>
    </row>
    <row r="1329" customFormat="false" ht="15" hidden="false" customHeight="false" outlineLevel="0" collapsed="false">
      <c r="A1329" s="82" t="s">
        <v>2635</v>
      </c>
      <c r="B1329" s="101" t="n">
        <v>46304</v>
      </c>
      <c r="C1329" s="82" t="s">
        <v>524</v>
      </c>
      <c r="D1329" s="82" t="s">
        <v>461</v>
      </c>
      <c r="E1329" s="91" t="n">
        <v>9998</v>
      </c>
      <c r="F1329" s="82" t="s">
        <v>1172</v>
      </c>
      <c r="G1329" s="82"/>
      <c r="H1329" s="82"/>
      <c r="I1329" s="82" t="s">
        <v>250</v>
      </c>
      <c r="J1329" s="102" t="n">
        <f aca="false">IF(B1329="","",MONTH(B1329))</f>
        <v>10</v>
      </c>
      <c r="K1329" s="102" t="n">
        <f aca="false">IF(B1329="","",YEAR(B1329))</f>
        <v>2026</v>
      </c>
      <c r="L1329" s="102" t="str">
        <f aca="false">IF(N(E1329)=0,"",IF(COUNTIFS(AK_NAMA,C1329,AK_KAT,"KAS")+COUNTIFS(AK_NAMA,D1329,AK_KAT,"KAS")&lt;&gt;1,"",IF(COUNTIFS(AK_NAMA,C1329,AK_KAT,"KAS")=1,D1329,C1329)))</f>
        <v>Biaya Lainnya</v>
      </c>
      <c r="M1329" s="103" t="n">
        <f aca="false">IF(L1329="",0,IF(L1329=D1329,E1329,-E1329))</f>
        <v>-9998</v>
      </c>
      <c r="N1329" s="102" t="str">
        <f aca="false">IF(L1329="","",IFERROR(INDEX(AK_BARIS,MATCH(L1329,AK_NAMA,0)),"?"))</f>
        <v>OP2</v>
      </c>
      <c r="O1329" s="102" t="str">
        <f aca="false">IF(C1329="","",IFERROR(INDEX(AK_KEL,MATCH(C1329,AK_NAMA,0)),"?"))</f>
        <v>BEBAN</v>
      </c>
      <c r="P1329" s="102" t="str">
        <f aca="false">IF(D1329="","",IFERROR(INDEX(AK_KEL,MATCH(D1329,AK_NAMA,0)),"?"))</f>
        <v>ASET</v>
      </c>
      <c r="Q1329" s="102" t="n">
        <f aca="false">N(Q1328)+IF(AND(N(E1329)&lt;&gt;0,K1329=TAHUN,N(J1329)&lt;=BLN,OR(C1329=BB_AKUN,D1329=BB_AKUN)),1,0)</f>
        <v>877</v>
      </c>
      <c r="R1329" s="104" t="str">
        <f aca="false">IF(OR(C1329&amp;D1329="",N(E1329)=0),"",IF(OR(O1329="?",P1329="?"),"⚠ akun tidak dikenal",IF(C1329=D1329,"⚠ debet = kredit","")))</f>
        <v/>
      </c>
    </row>
    <row r="1330" customFormat="false" ht="15" hidden="false" customHeight="false" outlineLevel="0" collapsed="false">
      <c r="A1330" s="82" t="s">
        <v>2636</v>
      </c>
      <c r="B1330" s="101" t="n">
        <v>46305</v>
      </c>
      <c r="C1330" s="82" t="s">
        <v>461</v>
      </c>
      <c r="D1330" s="82" t="s">
        <v>509</v>
      </c>
      <c r="E1330" s="91" t="n">
        <v>686000</v>
      </c>
      <c r="F1330" s="82" t="s">
        <v>2637</v>
      </c>
      <c r="G1330" s="82" t="s">
        <v>391</v>
      </c>
      <c r="H1330" s="82"/>
      <c r="I1330" s="82" t="s">
        <v>250</v>
      </c>
      <c r="J1330" s="102" t="n">
        <f aca="false">IF(B1330="","",MONTH(B1330))</f>
        <v>10</v>
      </c>
      <c r="K1330" s="102" t="n">
        <f aca="false">IF(B1330="","",YEAR(B1330))</f>
        <v>2026</v>
      </c>
      <c r="L1330" s="102" t="str">
        <f aca="false">IF(N(E1330)=0,"",IF(COUNTIFS(AK_NAMA,C1330,AK_KAT,"KAS")+COUNTIFS(AK_NAMA,D1330,AK_KAT,"KAS")&lt;&gt;1,"",IF(COUNTIFS(AK_NAMA,C1330,AK_KAT,"KAS")=1,D1330,C1330)))</f>
        <v>Pendapatan non Cafe</v>
      </c>
      <c r="M1330" s="103" t="n">
        <f aca="false">IF(L1330="",0,IF(L1330=D1330,E1330,-E1330))</f>
        <v>686000</v>
      </c>
      <c r="N1330" s="102" t="str">
        <f aca="false">IF(L1330="","",IFERROR(INDEX(AK_BARIS,MATCH(L1330,AK_NAMA,0)),"?"))</f>
        <v>OP1</v>
      </c>
      <c r="O1330" s="102" t="str">
        <f aca="false">IF(C1330="","",IFERROR(INDEX(AK_KEL,MATCH(C1330,AK_NAMA,0)),"?"))</f>
        <v>ASET</v>
      </c>
      <c r="P1330" s="102" t="str">
        <f aca="false">IF(D1330="","",IFERROR(INDEX(AK_KEL,MATCH(D1330,AK_NAMA,0)),"?"))</f>
        <v>PENDAPATAN</v>
      </c>
      <c r="Q1330" s="102" t="n">
        <f aca="false">N(Q1329)+IF(AND(N(E1330)&lt;&gt;0,K1330=TAHUN,N(J1330)&lt;=BLN,OR(C1330=BB_AKUN,D1330=BB_AKUN)),1,0)</f>
        <v>877</v>
      </c>
      <c r="R1330" s="104" t="str">
        <f aca="false">IF(OR(C1330&amp;D1330="",N(E1330)=0),"",IF(OR(O1330="?",P1330="?"),"⚠ akun tidak dikenal",IF(C1330=D1330,"⚠ debet = kredit","")))</f>
        <v/>
      </c>
    </row>
    <row r="1331" customFormat="false" ht="15" hidden="false" customHeight="false" outlineLevel="0" collapsed="false">
      <c r="A1331" s="82" t="s">
        <v>2638</v>
      </c>
      <c r="B1331" s="101" t="n">
        <v>46306</v>
      </c>
      <c r="C1331" s="82" t="s">
        <v>460</v>
      </c>
      <c r="D1331" s="82" t="s">
        <v>461</v>
      </c>
      <c r="E1331" s="91" t="n">
        <v>500000</v>
      </c>
      <c r="F1331" s="82" t="s">
        <v>2639</v>
      </c>
      <c r="G1331" s="82" t="s">
        <v>391</v>
      </c>
      <c r="H1331" s="82"/>
      <c r="I1331" s="82" t="s">
        <v>250</v>
      </c>
      <c r="J1331" s="102" t="n">
        <f aca="false">IF(B1331="","",MONTH(B1331))</f>
        <v>10</v>
      </c>
      <c r="K1331" s="102" t="n">
        <f aca="false">IF(B1331="","",YEAR(B1331))</f>
        <v>2026</v>
      </c>
      <c r="L1331" s="102" t="str">
        <f aca="false">IF(N(E1331)=0,"",IF(COUNTIFS(AK_NAMA,C1331,AK_KAT,"KAS")+COUNTIFS(AK_NAMA,D1331,AK_KAT,"KAS")&lt;&gt;1,"",IF(COUNTIFS(AK_NAMA,C1331,AK_KAT,"KAS")=1,D1331,C1331)))</f>
        <v>Biaya Marketing &amp; Promosi</v>
      </c>
      <c r="M1331" s="103" t="n">
        <f aca="false">IF(L1331="",0,IF(L1331=D1331,E1331,-E1331))</f>
        <v>-500000</v>
      </c>
      <c r="N1331" s="102" t="str">
        <f aca="false">IF(L1331="","",IFERROR(INDEX(AK_BARIS,MATCH(L1331,AK_NAMA,0)),"?"))</f>
        <v>OP6</v>
      </c>
      <c r="O1331" s="102" t="str">
        <f aca="false">IF(C1331="","",IFERROR(INDEX(AK_KEL,MATCH(C1331,AK_NAMA,0)),"?"))</f>
        <v>BEBAN</v>
      </c>
      <c r="P1331" s="102" t="str">
        <f aca="false">IF(D1331="","",IFERROR(INDEX(AK_KEL,MATCH(D1331,AK_NAMA,0)),"?"))</f>
        <v>ASET</v>
      </c>
      <c r="Q1331" s="102" t="n">
        <f aca="false">N(Q1330)+IF(AND(N(E1331)&lt;&gt;0,K1331=TAHUN,N(J1331)&lt;=BLN,OR(C1331=BB_AKUN,D1331=BB_AKUN)),1,0)</f>
        <v>877</v>
      </c>
      <c r="R1331" s="104" t="str">
        <f aca="false">IF(OR(C1331&amp;D1331="",N(E1331)=0),"",IF(OR(O1331="?",P1331="?"),"⚠ akun tidak dikenal",IF(C1331=D1331,"⚠ debet = kredit","")))</f>
        <v/>
      </c>
    </row>
    <row r="1332" customFormat="false" ht="15" hidden="false" customHeight="false" outlineLevel="0" collapsed="false">
      <c r="A1332" s="82" t="s">
        <v>2640</v>
      </c>
      <c r="B1332" s="101" t="n">
        <v>46306</v>
      </c>
      <c r="C1332" s="82" t="s">
        <v>524</v>
      </c>
      <c r="D1332" s="82" t="s">
        <v>461</v>
      </c>
      <c r="E1332" s="91" t="n">
        <v>2500</v>
      </c>
      <c r="F1332" s="82" t="s">
        <v>2617</v>
      </c>
      <c r="G1332" s="82"/>
      <c r="H1332" s="82"/>
      <c r="I1332" s="82" t="s">
        <v>250</v>
      </c>
      <c r="J1332" s="102" t="n">
        <f aca="false">IF(B1332="","",MONTH(B1332))</f>
        <v>10</v>
      </c>
      <c r="K1332" s="102" t="n">
        <f aca="false">IF(B1332="","",YEAR(B1332))</f>
        <v>2026</v>
      </c>
      <c r="L1332" s="102" t="str">
        <f aca="false">IF(N(E1332)=0,"",IF(COUNTIFS(AK_NAMA,C1332,AK_KAT,"KAS")+COUNTIFS(AK_NAMA,D1332,AK_KAT,"KAS")&lt;&gt;1,"",IF(COUNTIFS(AK_NAMA,C1332,AK_KAT,"KAS")=1,D1332,C1332)))</f>
        <v>Biaya Lainnya</v>
      </c>
      <c r="M1332" s="103" t="n">
        <f aca="false">IF(L1332="",0,IF(L1332=D1332,E1332,-E1332))</f>
        <v>-2500</v>
      </c>
      <c r="N1332" s="102" t="str">
        <f aca="false">IF(L1332="","",IFERROR(INDEX(AK_BARIS,MATCH(L1332,AK_NAMA,0)),"?"))</f>
        <v>OP2</v>
      </c>
      <c r="O1332" s="102" t="str">
        <f aca="false">IF(C1332="","",IFERROR(INDEX(AK_KEL,MATCH(C1332,AK_NAMA,0)),"?"))</f>
        <v>BEBAN</v>
      </c>
      <c r="P1332" s="102" t="str">
        <f aca="false">IF(D1332="","",IFERROR(INDEX(AK_KEL,MATCH(D1332,AK_NAMA,0)),"?"))</f>
        <v>ASET</v>
      </c>
      <c r="Q1332" s="102" t="n">
        <f aca="false">N(Q1331)+IF(AND(N(E1332)&lt;&gt;0,K1332=TAHUN,N(J1332)&lt;=BLN,OR(C1332=BB_AKUN,D1332=BB_AKUN)),1,0)</f>
        <v>877</v>
      </c>
      <c r="R1332" s="104" t="str">
        <f aca="false">IF(OR(C1332&amp;D1332="",N(E1332)=0),"",IF(OR(O1332="?",P1332="?"),"⚠ akun tidak dikenal",IF(C1332=D1332,"⚠ debet = kredit","")))</f>
        <v/>
      </c>
    </row>
    <row r="1333" customFormat="false" ht="15" hidden="false" customHeight="false" outlineLevel="0" collapsed="false">
      <c r="A1333" s="82" t="s">
        <v>2641</v>
      </c>
      <c r="B1333" s="101" t="n">
        <v>46306</v>
      </c>
      <c r="C1333" s="82" t="s">
        <v>669</v>
      </c>
      <c r="D1333" s="82" t="s">
        <v>461</v>
      </c>
      <c r="E1333" s="91" t="n">
        <v>119000</v>
      </c>
      <c r="F1333" s="82" t="s">
        <v>647</v>
      </c>
      <c r="G1333" s="82"/>
      <c r="H1333" s="82"/>
      <c r="I1333" s="82" t="s">
        <v>250</v>
      </c>
      <c r="J1333" s="102" t="n">
        <f aca="false">IF(B1333="","",MONTH(B1333))</f>
        <v>10</v>
      </c>
      <c r="K1333" s="102" t="n">
        <f aca="false">IF(B1333="","",YEAR(B1333))</f>
        <v>2026</v>
      </c>
      <c r="L1333" s="102" t="str">
        <f aca="false">IF(N(E1333)=0,"",IF(COUNTIFS(AK_NAMA,C1333,AK_KAT,"KAS")+COUNTIFS(AK_NAMA,D1333,AK_KAT,"KAS")&lt;&gt;1,"",IF(COUNTIFS(AK_NAMA,C1333,AK_KAT,"KAS")=1,D1333,C1333)))</f>
        <v>Biaya Tagihan Bulanan</v>
      </c>
      <c r="M1333" s="103" t="n">
        <f aca="false">IF(L1333="",0,IF(L1333=D1333,E1333,-E1333))</f>
        <v>-119000</v>
      </c>
      <c r="N1333" s="102" t="str">
        <f aca="false">IF(L1333="","",IFERROR(INDEX(AK_BARIS,MATCH(L1333,AK_NAMA,0)),"?"))</f>
        <v>OP6</v>
      </c>
      <c r="O1333" s="102" t="str">
        <f aca="false">IF(C1333="","",IFERROR(INDEX(AK_KEL,MATCH(C1333,AK_NAMA,0)),"?"))</f>
        <v>BEBAN</v>
      </c>
      <c r="P1333" s="102" t="str">
        <f aca="false">IF(D1333="","",IFERROR(INDEX(AK_KEL,MATCH(D1333,AK_NAMA,0)),"?"))</f>
        <v>ASET</v>
      </c>
      <c r="Q1333" s="102" t="n">
        <f aca="false">N(Q1332)+IF(AND(N(E1333)&lt;&gt;0,K1333=TAHUN,N(J1333)&lt;=BLN,OR(C1333=BB_AKUN,D1333=BB_AKUN)),1,0)</f>
        <v>877</v>
      </c>
      <c r="R1333" s="104" t="str">
        <f aca="false">IF(OR(C1333&amp;D1333="",N(E1333)=0),"",IF(OR(O1333="?",P1333="?"),"⚠ akun tidak dikenal",IF(C1333=D1333,"⚠ debet = kredit","")))</f>
        <v/>
      </c>
    </row>
    <row r="1334" customFormat="false" ht="15" hidden="false" customHeight="false" outlineLevel="0" collapsed="false">
      <c r="A1334" s="82" t="s">
        <v>2642</v>
      </c>
      <c r="B1334" s="101" t="n">
        <v>46307</v>
      </c>
      <c r="C1334" s="82" t="s">
        <v>470</v>
      </c>
      <c r="D1334" s="82" t="s">
        <v>461</v>
      </c>
      <c r="E1334" s="91" t="n">
        <v>266000</v>
      </c>
      <c r="F1334" s="82" t="s">
        <v>1729</v>
      </c>
      <c r="G1334" s="82"/>
      <c r="H1334" s="82"/>
      <c r="I1334" s="82" t="s">
        <v>250</v>
      </c>
      <c r="J1334" s="102" t="n">
        <f aca="false">IF(B1334="","",MONTH(B1334))</f>
        <v>10</v>
      </c>
      <c r="K1334" s="102" t="n">
        <f aca="false">IF(B1334="","",YEAR(B1334))</f>
        <v>2026</v>
      </c>
      <c r="L1334" s="102" t="str">
        <f aca="false">IF(N(E1334)=0,"",IF(COUNTIFS(AK_NAMA,C1334,AK_KAT,"KAS")+COUNTIFS(AK_NAMA,D1334,AK_KAT,"KAS")&lt;&gt;1,"",IF(COUNTIFS(AK_NAMA,C1334,AK_KAT,"KAS")=1,D1334,C1334)))</f>
        <v>Biaya Bahan Baku</v>
      </c>
      <c r="M1334" s="103" t="n">
        <f aca="false">IF(L1334="",0,IF(L1334=D1334,E1334,-E1334))</f>
        <v>-266000</v>
      </c>
      <c r="N1334" s="102" t="str">
        <f aca="false">IF(L1334="","",IFERROR(INDEX(AK_BARIS,MATCH(L1334,AK_NAMA,0)),"?"))</f>
        <v>OP3</v>
      </c>
      <c r="O1334" s="102" t="str">
        <f aca="false">IF(C1334="","",IFERROR(INDEX(AK_KEL,MATCH(C1334,AK_NAMA,0)),"?"))</f>
        <v>BEBAN</v>
      </c>
      <c r="P1334" s="102" t="str">
        <f aca="false">IF(D1334="","",IFERROR(INDEX(AK_KEL,MATCH(D1334,AK_NAMA,0)),"?"))</f>
        <v>ASET</v>
      </c>
      <c r="Q1334" s="102" t="n">
        <f aca="false">N(Q1333)+IF(AND(N(E1334)&lt;&gt;0,K1334=TAHUN,N(J1334)&lt;=BLN,OR(C1334=BB_AKUN,D1334=BB_AKUN)),1,0)</f>
        <v>877</v>
      </c>
      <c r="R1334" s="104" t="str">
        <f aca="false">IF(OR(C1334&amp;D1334="",N(E1334)=0),"",IF(OR(O1334="?",P1334="?"),"⚠ akun tidak dikenal",IF(C1334=D1334,"⚠ debet = kredit","")))</f>
        <v/>
      </c>
    </row>
    <row r="1335" customFormat="false" ht="15" hidden="false" customHeight="false" outlineLevel="0" collapsed="false">
      <c r="A1335" s="82" t="s">
        <v>2643</v>
      </c>
      <c r="B1335" s="101" t="n">
        <v>46307</v>
      </c>
      <c r="C1335" s="82" t="s">
        <v>470</v>
      </c>
      <c r="D1335" s="82" t="s">
        <v>461</v>
      </c>
      <c r="E1335" s="91" t="n">
        <v>10370650</v>
      </c>
      <c r="F1335" s="82" t="s">
        <v>2644</v>
      </c>
      <c r="G1335" s="82"/>
      <c r="H1335" s="82"/>
      <c r="I1335" s="82" t="s">
        <v>250</v>
      </c>
      <c r="J1335" s="102" t="n">
        <f aca="false">IF(B1335="","",MONTH(B1335))</f>
        <v>10</v>
      </c>
      <c r="K1335" s="102" t="n">
        <f aca="false">IF(B1335="","",YEAR(B1335))</f>
        <v>2026</v>
      </c>
      <c r="L1335" s="102" t="str">
        <f aca="false">IF(N(E1335)=0,"",IF(COUNTIFS(AK_NAMA,C1335,AK_KAT,"KAS")+COUNTIFS(AK_NAMA,D1335,AK_KAT,"KAS")&lt;&gt;1,"",IF(COUNTIFS(AK_NAMA,C1335,AK_KAT,"KAS")=1,D1335,C1335)))</f>
        <v>Biaya Bahan Baku</v>
      </c>
      <c r="M1335" s="103" t="n">
        <f aca="false">IF(L1335="",0,IF(L1335=D1335,E1335,-E1335))</f>
        <v>-10370650</v>
      </c>
      <c r="N1335" s="102" t="str">
        <f aca="false">IF(L1335="","",IFERROR(INDEX(AK_BARIS,MATCH(L1335,AK_NAMA,0)),"?"))</f>
        <v>OP3</v>
      </c>
      <c r="O1335" s="102" t="str">
        <f aca="false">IF(C1335="","",IFERROR(INDEX(AK_KEL,MATCH(C1335,AK_NAMA,0)),"?"))</f>
        <v>BEBAN</v>
      </c>
      <c r="P1335" s="102" t="str">
        <f aca="false">IF(D1335="","",IFERROR(INDEX(AK_KEL,MATCH(D1335,AK_NAMA,0)),"?"))</f>
        <v>ASET</v>
      </c>
      <c r="Q1335" s="102" t="n">
        <f aca="false">N(Q1334)+IF(AND(N(E1335)&lt;&gt;0,K1335=TAHUN,N(J1335)&lt;=BLN,OR(C1335=BB_AKUN,D1335=BB_AKUN)),1,0)</f>
        <v>877</v>
      </c>
      <c r="R1335" s="104" t="str">
        <f aca="false">IF(OR(C1335&amp;D1335="",N(E1335)=0),"",IF(OR(O1335="?",P1335="?"),"⚠ akun tidak dikenal",IF(C1335=D1335,"⚠ debet = kredit","")))</f>
        <v/>
      </c>
    </row>
    <row r="1336" customFormat="false" ht="15" hidden="false" customHeight="false" outlineLevel="0" collapsed="false">
      <c r="A1336" s="82" t="s">
        <v>2645</v>
      </c>
      <c r="B1336" s="101" t="n">
        <v>46307</v>
      </c>
      <c r="C1336" s="82" t="s">
        <v>524</v>
      </c>
      <c r="D1336" s="82" t="s">
        <v>461</v>
      </c>
      <c r="E1336" s="91" t="n">
        <v>2325</v>
      </c>
      <c r="F1336" s="82" t="s">
        <v>525</v>
      </c>
      <c r="G1336" s="82"/>
      <c r="H1336" s="82"/>
      <c r="I1336" s="82" t="s">
        <v>250</v>
      </c>
      <c r="J1336" s="102" t="n">
        <f aca="false">IF(B1336="","",MONTH(B1336))</f>
        <v>10</v>
      </c>
      <c r="K1336" s="102" t="n">
        <f aca="false">IF(B1336="","",YEAR(B1336))</f>
        <v>2026</v>
      </c>
      <c r="L1336" s="102" t="str">
        <f aca="false">IF(N(E1336)=0,"",IF(COUNTIFS(AK_NAMA,C1336,AK_KAT,"KAS")+COUNTIFS(AK_NAMA,D1336,AK_KAT,"KAS")&lt;&gt;1,"",IF(COUNTIFS(AK_NAMA,C1336,AK_KAT,"KAS")=1,D1336,C1336)))</f>
        <v>Biaya Lainnya</v>
      </c>
      <c r="M1336" s="103" t="n">
        <f aca="false">IF(L1336="",0,IF(L1336=D1336,E1336,-E1336))</f>
        <v>-2325</v>
      </c>
      <c r="N1336" s="102" t="str">
        <f aca="false">IF(L1336="","",IFERROR(INDEX(AK_BARIS,MATCH(L1336,AK_NAMA,0)),"?"))</f>
        <v>OP2</v>
      </c>
      <c r="O1336" s="102" t="str">
        <f aca="false">IF(C1336="","",IFERROR(INDEX(AK_KEL,MATCH(C1336,AK_NAMA,0)),"?"))</f>
        <v>BEBAN</v>
      </c>
      <c r="P1336" s="102" t="str">
        <f aca="false">IF(D1336="","",IFERROR(INDEX(AK_KEL,MATCH(D1336,AK_NAMA,0)),"?"))</f>
        <v>ASET</v>
      </c>
      <c r="Q1336" s="102" t="n">
        <f aca="false">N(Q1335)+IF(AND(N(E1336)&lt;&gt;0,K1336=TAHUN,N(J1336)&lt;=BLN,OR(C1336=BB_AKUN,D1336=BB_AKUN)),1,0)</f>
        <v>877</v>
      </c>
      <c r="R1336" s="104" t="str">
        <f aca="false">IF(OR(C1336&amp;D1336="",N(E1336)=0),"",IF(OR(O1336="?",P1336="?"),"⚠ akun tidak dikenal",IF(C1336=D1336,"⚠ debet = kredit","")))</f>
        <v/>
      </c>
    </row>
    <row r="1337" customFormat="false" ht="15" hidden="false" customHeight="false" outlineLevel="0" collapsed="false">
      <c r="A1337" s="82" t="s">
        <v>2646</v>
      </c>
      <c r="B1337" s="101" t="n">
        <v>46323</v>
      </c>
      <c r="C1337" s="82" t="s">
        <v>460</v>
      </c>
      <c r="D1337" s="82" t="s">
        <v>486</v>
      </c>
      <c r="E1337" s="91" t="n">
        <v>108000</v>
      </c>
      <c r="F1337" s="82" t="s">
        <v>2647</v>
      </c>
      <c r="G1337" s="82"/>
      <c r="H1337" s="82"/>
      <c r="I1337" s="82" t="s">
        <v>250</v>
      </c>
      <c r="J1337" s="102" t="n">
        <f aca="false">IF(B1337="","",MONTH(B1337))</f>
        <v>10</v>
      </c>
      <c r="K1337" s="102" t="n">
        <f aca="false">IF(B1337="","",YEAR(B1337))</f>
        <v>2026</v>
      </c>
      <c r="L1337" s="102" t="str">
        <f aca="false">IF(N(E1337)=0,"",IF(COUNTIFS(AK_NAMA,C1337,AK_KAT,"KAS")+COUNTIFS(AK_NAMA,D1337,AK_KAT,"KAS")&lt;&gt;1,"",IF(COUNTIFS(AK_NAMA,C1337,AK_KAT,"KAS")=1,D1337,C1337)))</f>
        <v>Biaya Marketing &amp; Promosi</v>
      </c>
      <c r="M1337" s="103" t="n">
        <f aca="false">IF(L1337="",0,IF(L1337=D1337,E1337,-E1337))</f>
        <v>-108000</v>
      </c>
      <c r="N1337" s="102" t="str">
        <f aca="false">IF(L1337="","",IFERROR(INDEX(AK_BARIS,MATCH(L1337,AK_NAMA,0)),"?"))</f>
        <v>OP6</v>
      </c>
      <c r="O1337" s="102" t="str">
        <f aca="false">IF(C1337="","",IFERROR(INDEX(AK_KEL,MATCH(C1337,AK_NAMA,0)),"?"))</f>
        <v>BEBAN</v>
      </c>
      <c r="P1337" s="102" t="str">
        <f aca="false">IF(D1337="","",IFERROR(INDEX(AK_KEL,MATCH(D1337,AK_NAMA,0)),"?"))</f>
        <v>ASET</v>
      </c>
      <c r="Q1337" s="102" t="n">
        <f aca="false">N(Q1336)+IF(AND(N(E1337)&lt;&gt;0,K1337=TAHUN,N(J1337)&lt;=BLN,OR(C1337=BB_AKUN,D1337=BB_AKUN)),1,0)</f>
        <v>877</v>
      </c>
      <c r="R1337" s="104" t="str">
        <f aca="false">IF(OR(C1337&amp;D1337="",N(E1337)=0),"",IF(OR(O1337="?",P1337="?"),"⚠ akun tidak dikenal",IF(C1337=D1337,"⚠ debet = kredit","")))</f>
        <v/>
      </c>
    </row>
    <row r="1338" customFormat="false" ht="15" hidden="false" customHeight="false" outlineLevel="0" collapsed="false">
      <c r="A1338" s="105" t="s">
        <v>2648</v>
      </c>
      <c r="B1338" s="106" t="n">
        <v>46326</v>
      </c>
      <c r="C1338" s="105" t="s">
        <v>765</v>
      </c>
      <c r="D1338" s="105" t="s">
        <v>792</v>
      </c>
      <c r="E1338" s="107" t="n">
        <f aca="false">SUMIFS('OMZET HARIAN'!$Q$5:$Q$369,'OMZET HARIAN'!$B$5:$B$369,J1338)</f>
        <v>32835456</v>
      </c>
      <c r="F1338" s="105" t="s">
        <v>2649</v>
      </c>
      <c r="G1338" s="105"/>
      <c r="H1338" s="105"/>
      <c r="I1338" s="105" t="s">
        <v>794</v>
      </c>
      <c r="J1338" s="102" t="n">
        <f aca="false">IF(B1338="","",MONTH(B1338))</f>
        <v>10</v>
      </c>
      <c r="K1338" s="102" t="n">
        <f aca="false">IF(B1338="","",YEAR(B1338))</f>
        <v>2026</v>
      </c>
      <c r="L1338" s="102" t="str">
        <f aca="false">IF(N(E1338)=0,"",IF(COUNTIFS(AK_NAMA,C1338,AK_KAT,"KAS")+COUNTIFS(AK_NAMA,D1338,AK_KAT,"KAS")&lt;&gt;1,"",IF(COUNTIFS(AK_NAMA,C1338,AK_KAT,"KAS")=1,D1338,C1338)))</f>
        <v/>
      </c>
      <c r="M1338" s="103" t="n">
        <f aca="false">IF(L1338="",0,IF(L1338=D1338,E1338,-E1338))</f>
        <v>0</v>
      </c>
      <c r="N1338" s="102" t="str">
        <f aca="false">IF(L1338="","",IFERROR(INDEX(AK_BARIS,MATCH(L1338,AK_NAMA,0)),"?"))</f>
        <v/>
      </c>
      <c r="O1338" s="102" t="str">
        <f aca="false">IF(C1338="","",IFERROR(INDEX(AK_KEL,MATCH(C1338,AK_NAMA,0)),"?"))</f>
        <v>ASET</v>
      </c>
      <c r="P1338" s="102" t="str">
        <f aca="false">IF(D1338="","",IFERROR(INDEX(AK_KEL,MATCH(D1338,AK_NAMA,0)),"?"))</f>
        <v>PENDAPATAN</v>
      </c>
      <c r="Q1338" s="102" t="n">
        <f aca="false">N(Q1337)+IF(AND(N(E1338)&lt;&gt;0,K1338=TAHUN,N(J1338)&lt;=BLN,OR(C1338=BB_AKUN,D1338=BB_AKUN)),1,0)</f>
        <v>877</v>
      </c>
      <c r="R1338" s="104" t="str">
        <f aca="false">IF(OR(C1338&amp;D1338="",N(E1338)=0),"",IF(OR(O1338="?",P1338="?"),"⚠ akun tidak dikenal",IF(C1338=D1338,"⚠ debet = kredit","")))</f>
        <v/>
      </c>
    </row>
    <row r="1339" customFormat="false" ht="15" hidden="false" customHeight="false" outlineLevel="0" collapsed="false">
      <c r="A1339" s="105" t="s">
        <v>2650</v>
      </c>
      <c r="B1339" s="106" t="n">
        <v>46326</v>
      </c>
      <c r="C1339" s="105" t="s">
        <v>475</v>
      </c>
      <c r="D1339" s="105" t="s">
        <v>765</v>
      </c>
      <c r="E1339" s="107" t="n">
        <f aca="false">SUMIFS('OMZET HARIAN'!$F$5:$F$369,'OMZET HARIAN'!$B$5:$B$369,J1339)+SUMIFS('OMZET HARIAN'!$G$5:$G$369,'OMZET HARIAN'!$B$5:$B$369,J1339)</f>
        <v>4055000</v>
      </c>
      <c r="F1339" s="105" t="s">
        <v>2651</v>
      </c>
      <c r="G1339" s="105"/>
      <c r="H1339" s="105"/>
      <c r="I1339" s="105" t="s">
        <v>794</v>
      </c>
      <c r="J1339" s="102" t="n">
        <f aca="false">IF(B1339="","",MONTH(B1339))</f>
        <v>10</v>
      </c>
      <c r="K1339" s="102" t="n">
        <f aca="false">IF(B1339="","",YEAR(B1339))</f>
        <v>2026</v>
      </c>
      <c r="L1339" s="102" t="str">
        <f aca="false">IF(N(E1339)=0,"",IF(COUNTIFS(AK_NAMA,C1339,AK_KAT,"KAS")+COUNTIFS(AK_NAMA,D1339,AK_KAT,"KAS")&lt;&gt;1,"",IF(COUNTIFS(AK_NAMA,C1339,AK_KAT,"KAS")=1,D1339,C1339)))</f>
        <v>Piutang Usaha Cafe</v>
      </c>
      <c r="M1339" s="103" t="n">
        <f aca="false">IF(L1339="",0,IF(L1339=D1339,E1339,-E1339))</f>
        <v>4055000</v>
      </c>
      <c r="N1339" s="102" t="str">
        <f aca="false">IF(L1339="","",IFERROR(INDEX(AK_BARIS,MATCH(L1339,AK_NAMA,0)),"?"))</f>
        <v>OP1</v>
      </c>
      <c r="O1339" s="102" t="str">
        <f aca="false">IF(C1339="","",IFERROR(INDEX(AK_KEL,MATCH(C1339,AK_NAMA,0)),"?"))</f>
        <v>ASET</v>
      </c>
      <c r="P1339" s="102" t="str">
        <f aca="false">IF(D1339="","",IFERROR(INDEX(AK_KEL,MATCH(D1339,AK_NAMA,0)),"?"))</f>
        <v>ASET</v>
      </c>
      <c r="Q1339" s="102" t="n">
        <f aca="false">N(Q1338)+IF(AND(N(E1339)&lt;&gt;0,K1339=TAHUN,N(J1339)&lt;=BLN,OR(C1339=BB_AKUN,D1339=BB_AKUN)),1,0)</f>
        <v>877</v>
      </c>
      <c r="R1339" s="104" t="str">
        <f aca="false">IF(OR(C1339&amp;D1339="",N(E1339)=0),"",IF(OR(O1339="?",P1339="?"),"⚠ akun tidak dikenal",IF(C1339=D1339,"⚠ debet = kredit","")))</f>
        <v/>
      </c>
    </row>
    <row r="1340" customFormat="false" ht="15" hidden="false" customHeight="false" outlineLevel="0" collapsed="false">
      <c r="A1340" s="105" t="s">
        <v>2652</v>
      </c>
      <c r="B1340" s="106" t="n">
        <v>46326</v>
      </c>
      <c r="C1340" s="105" t="s">
        <v>461</v>
      </c>
      <c r="D1340" s="105" t="s">
        <v>765</v>
      </c>
      <c r="E1340" s="107" t="n">
        <f aca="false">SUMIFS('OMZET HARIAN'!$H$5:$H$369,'OMZET HARIAN'!$B$5:$B$369,J1340)</f>
        <v>26126056</v>
      </c>
      <c r="F1340" s="105" t="s">
        <v>2653</v>
      </c>
      <c r="G1340" s="105"/>
      <c r="H1340" s="105"/>
      <c r="I1340" s="105" t="s">
        <v>794</v>
      </c>
      <c r="J1340" s="102" t="n">
        <f aca="false">IF(B1340="","",MONTH(B1340))</f>
        <v>10</v>
      </c>
      <c r="K1340" s="102" t="n">
        <f aca="false">IF(B1340="","",YEAR(B1340))</f>
        <v>2026</v>
      </c>
      <c r="L1340" s="102" t="str">
        <f aca="false">IF(N(E1340)=0,"",IF(COUNTIFS(AK_NAMA,C1340,AK_KAT,"KAS")+COUNTIFS(AK_NAMA,D1340,AK_KAT,"KAS")&lt;&gt;1,"",IF(COUNTIFS(AK_NAMA,C1340,AK_KAT,"KAS")=1,D1340,C1340)))</f>
        <v>Piutang Usaha Cafe</v>
      </c>
      <c r="M1340" s="103" t="n">
        <f aca="false">IF(L1340="",0,IF(L1340=D1340,E1340,-E1340))</f>
        <v>26126056</v>
      </c>
      <c r="N1340" s="102" t="str">
        <f aca="false">IF(L1340="","",IFERROR(INDEX(AK_BARIS,MATCH(L1340,AK_NAMA,0)),"?"))</f>
        <v>OP1</v>
      </c>
      <c r="O1340" s="102" t="str">
        <f aca="false">IF(C1340="","",IFERROR(INDEX(AK_KEL,MATCH(C1340,AK_NAMA,0)),"?"))</f>
        <v>ASET</v>
      </c>
      <c r="P1340" s="102" t="str">
        <f aca="false">IF(D1340="","",IFERROR(INDEX(AK_KEL,MATCH(D1340,AK_NAMA,0)),"?"))</f>
        <v>ASET</v>
      </c>
      <c r="Q1340" s="102" t="n">
        <f aca="false">N(Q1339)+IF(AND(N(E1340)&lt;&gt;0,K1340=TAHUN,N(J1340)&lt;=BLN,OR(C1340=BB_AKUN,D1340=BB_AKUN)),1,0)</f>
        <v>877</v>
      </c>
      <c r="R1340" s="104" t="str">
        <f aca="false">IF(OR(C1340&amp;D1340="",N(E1340)=0),"",IF(OR(O1340="?",P1340="?"),"⚠ akun tidak dikenal",IF(C1340=D1340,"⚠ debet = kredit","")))</f>
        <v/>
      </c>
    </row>
    <row r="1341" customFormat="false" ht="15" hidden="false" customHeight="false" outlineLevel="0" collapsed="false">
      <c r="A1341" s="105" t="s">
        <v>2654</v>
      </c>
      <c r="B1341" s="106" t="n">
        <v>46326</v>
      </c>
      <c r="C1341" s="105" t="s">
        <v>718</v>
      </c>
      <c r="D1341" s="105" t="s">
        <v>765</v>
      </c>
      <c r="E1341" s="107" t="n">
        <f aca="false">SUMIFS('OMZET HARIAN'!$L$5:$L$369,'OMZET HARIAN'!$B$5:$B$369,J1341)</f>
        <v>133500</v>
      </c>
      <c r="F1341" s="105" t="s">
        <v>2655</v>
      </c>
      <c r="G1341" s="105"/>
      <c r="H1341" s="105" t="s">
        <v>763</v>
      </c>
      <c r="I1341" s="105" t="s">
        <v>794</v>
      </c>
      <c r="J1341" s="102" t="n">
        <f aca="false">IF(B1341="","",MONTH(B1341))</f>
        <v>10</v>
      </c>
      <c r="K1341" s="102" t="n">
        <f aca="false">IF(B1341="","",YEAR(B1341))</f>
        <v>2026</v>
      </c>
      <c r="L1341" s="102" t="str">
        <f aca="false">IF(N(E1341)=0,"",IF(COUNTIFS(AK_NAMA,C1341,AK_KAT,"KAS")+COUNTIFS(AK_NAMA,D1341,AK_KAT,"KAS")&lt;&gt;1,"",IF(COUNTIFS(AK_NAMA,C1341,AK_KAT,"KAS")=1,D1341,C1341)))</f>
        <v/>
      </c>
      <c r="M1341" s="103" t="n">
        <f aca="false">IF(L1341="",0,IF(L1341=D1341,E1341,-E1341))</f>
        <v>0</v>
      </c>
      <c r="N1341" s="102" t="str">
        <f aca="false">IF(L1341="","",IFERROR(INDEX(AK_BARIS,MATCH(L1341,AK_NAMA,0)),"?"))</f>
        <v/>
      </c>
      <c r="O1341" s="102" t="str">
        <f aca="false">IF(C1341="","",IFERROR(INDEX(AK_KEL,MATCH(C1341,AK_NAMA,0)),"?"))</f>
        <v>ASET</v>
      </c>
      <c r="P1341" s="102" t="str">
        <f aca="false">IF(D1341="","",IFERROR(INDEX(AK_KEL,MATCH(D1341,AK_NAMA,0)),"?"))</f>
        <v>ASET</v>
      </c>
      <c r="Q1341" s="102" t="n">
        <f aca="false">N(Q1340)+IF(AND(N(E1341)&lt;&gt;0,K1341=TAHUN,N(J1341)&lt;=BLN,OR(C1341=BB_AKUN,D1341=BB_AKUN)),1,0)</f>
        <v>877</v>
      </c>
      <c r="R1341" s="104" t="str">
        <f aca="false">IF(OR(C1341&amp;D1341="",N(E1341)=0),"",IF(OR(O1341="?",P1341="?"),"⚠ akun tidak dikenal",IF(C1341=D1341,"⚠ debet = kredit","")))</f>
        <v/>
      </c>
    </row>
    <row r="1342" customFormat="false" ht="15" hidden="false" customHeight="false" outlineLevel="0" collapsed="false">
      <c r="A1342" s="105" t="s">
        <v>2656</v>
      </c>
      <c r="B1342" s="106" t="n">
        <v>46326</v>
      </c>
      <c r="C1342" s="105" t="s">
        <v>802</v>
      </c>
      <c r="D1342" s="105" t="s">
        <v>765</v>
      </c>
      <c r="E1342" s="107" t="n">
        <f aca="false">SUMIFS('OMZET HARIAN'!$M$5:$M$369,'OMZET HARIAN'!$B$5:$B$369,J1342)</f>
        <v>0</v>
      </c>
      <c r="F1342" s="105" t="s">
        <v>2657</v>
      </c>
      <c r="G1342" s="105"/>
      <c r="H1342" s="105"/>
      <c r="I1342" s="105" t="s">
        <v>794</v>
      </c>
      <c r="J1342" s="102" t="n">
        <f aca="false">IF(B1342="","",MONTH(B1342))</f>
        <v>10</v>
      </c>
      <c r="K1342" s="102" t="n">
        <f aca="false">IF(B1342="","",YEAR(B1342))</f>
        <v>2026</v>
      </c>
      <c r="L1342" s="102" t="str">
        <f aca="false">IF(N(E1342)=0,"",IF(COUNTIFS(AK_NAMA,C1342,AK_KAT,"KAS")+COUNTIFS(AK_NAMA,D1342,AK_KAT,"KAS")&lt;&gt;1,"",IF(COUNTIFS(AK_NAMA,C1342,AK_KAT,"KAS")=1,D1342,C1342)))</f>
        <v/>
      </c>
      <c r="M1342" s="103" t="n">
        <f aca="false">IF(L1342="",0,IF(L1342=D1342,E1342,-E1342))</f>
        <v>0</v>
      </c>
      <c r="N1342" s="102" t="str">
        <f aca="false">IF(L1342="","",IFERROR(INDEX(AK_BARIS,MATCH(L1342,AK_NAMA,0)),"?"))</f>
        <v/>
      </c>
      <c r="O1342" s="102" t="str">
        <f aca="false">IF(C1342="","",IFERROR(INDEX(AK_KEL,MATCH(C1342,AK_NAMA,0)),"?"))</f>
        <v>BEBAN</v>
      </c>
      <c r="P1342" s="102" t="str">
        <f aca="false">IF(D1342="","",IFERROR(INDEX(AK_KEL,MATCH(D1342,AK_NAMA,0)),"?"))</f>
        <v>ASET</v>
      </c>
      <c r="Q1342" s="102" t="n">
        <f aca="false">N(Q1341)+IF(AND(N(E1342)&lt;&gt;0,K1342=TAHUN,N(J1342)&lt;=BLN,OR(C1342=BB_AKUN,D1342=BB_AKUN)),1,0)</f>
        <v>877</v>
      </c>
      <c r="R1342" s="104" t="str">
        <f aca="false">IF(OR(C1342&amp;D1342="",N(E1342)=0),"",IF(OR(O1342="?",P1342="?"),"⚠ akun tidak dikenal",IF(C1342=D1342,"⚠ debet = kredit","")))</f>
        <v/>
      </c>
    </row>
    <row r="1343" customFormat="false" ht="15" hidden="false" customHeight="false" outlineLevel="0" collapsed="false">
      <c r="A1343" s="105" t="s">
        <v>2658</v>
      </c>
      <c r="B1343" s="106" t="n">
        <v>46326</v>
      </c>
      <c r="C1343" s="105" t="s">
        <v>464</v>
      </c>
      <c r="D1343" s="105" t="s">
        <v>765</v>
      </c>
      <c r="E1343" s="107" t="n">
        <f aca="false">SUMIFS('OMZET HARIAN'!$N$5:$N$369,'OMZET HARIAN'!$B$5:$B$369,J1343)</f>
        <v>424200</v>
      </c>
      <c r="F1343" s="105" t="s">
        <v>2659</v>
      </c>
      <c r="G1343" s="105"/>
      <c r="H1343" s="105" t="s">
        <v>432</v>
      </c>
      <c r="I1343" s="105" t="s">
        <v>794</v>
      </c>
      <c r="J1343" s="102" t="n">
        <f aca="false">IF(B1343="","",MONTH(B1343))</f>
        <v>10</v>
      </c>
      <c r="K1343" s="102" t="n">
        <f aca="false">IF(B1343="","",YEAR(B1343))</f>
        <v>2026</v>
      </c>
      <c r="L1343" s="102" t="str">
        <f aca="false">IF(N(E1343)=0,"",IF(COUNTIFS(AK_NAMA,C1343,AK_KAT,"KAS")+COUNTIFS(AK_NAMA,D1343,AK_KAT,"KAS")&lt;&gt;1,"",IF(COUNTIFS(AK_NAMA,C1343,AK_KAT,"KAS")=1,D1343,C1343)))</f>
        <v/>
      </c>
      <c r="M1343" s="103" t="n">
        <f aca="false">IF(L1343="",0,IF(L1343=D1343,E1343,-E1343))</f>
        <v>0</v>
      </c>
      <c r="N1343" s="102" t="str">
        <f aca="false">IF(L1343="","",IFERROR(INDEX(AK_BARIS,MATCH(L1343,AK_NAMA,0)),"?"))</f>
        <v/>
      </c>
      <c r="O1343" s="102" t="str">
        <f aca="false">IF(C1343="","",IFERROR(INDEX(AK_KEL,MATCH(C1343,AK_NAMA,0)),"?"))</f>
        <v>EKUITAS</v>
      </c>
      <c r="P1343" s="102" t="str">
        <f aca="false">IF(D1343="","",IFERROR(INDEX(AK_KEL,MATCH(D1343,AK_NAMA,0)),"?"))</f>
        <v>ASET</v>
      </c>
      <c r="Q1343" s="102" t="n">
        <f aca="false">N(Q1342)+IF(AND(N(E1343)&lt;&gt;0,K1343=TAHUN,N(J1343)&lt;=BLN,OR(C1343=BB_AKUN,D1343=BB_AKUN)),1,0)</f>
        <v>877</v>
      </c>
      <c r="R1343" s="104" t="str">
        <f aca="false">IF(OR(C1343&amp;D1343="",N(E1343)=0),"",IF(OR(O1343="?",P1343="?"),"⚠ akun tidak dikenal",IF(C1343=D1343,"⚠ debet = kredit","")))</f>
        <v/>
      </c>
    </row>
    <row r="1344" customFormat="false" ht="15" hidden="false" customHeight="false" outlineLevel="0" collapsed="false">
      <c r="A1344" s="105" t="s">
        <v>2660</v>
      </c>
      <c r="B1344" s="106" t="n">
        <v>46326</v>
      </c>
      <c r="C1344" s="105" t="s">
        <v>807</v>
      </c>
      <c r="D1344" s="105" t="s">
        <v>808</v>
      </c>
      <c r="E1344" s="107" t="n">
        <f aca="false">INDEX('ASET TETAP'!$H$25:$S$25,J1344)</f>
        <v>0</v>
      </c>
      <c r="F1344" s="105" t="s">
        <v>2661</v>
      </c>
      <c r="G1344" s="105"/>
      <c r="H1344" s="105"/>
      <c r="I1344" s="105" t="s">
        <v>794</v>
      </c>
      <c r="J1344" s="102" t="n">
        <f aca="false">IF(B1344="","",MONTH(B1344))</f>
        <v>10</v>
      </c>
      <c r="K1344" s="102" t="n">
        <f aca="false">IF(B1344="","",YEAR(B1344))</f>
        <v>2026</v>
      </c>
      <c r="L1344" s="102" t="str">
        <f aca="false">IF(N(E1344)=0,"",IF(COUNTIFS(AK_NAMA,C1344,AK_KAT,"KAS")+COUNTIFS(AK_NAMA,D1344,AK_KAT,"KAS")&lt;&gt;1,"",IF(COUNTIFS(AK_NAMA,C1344,AK_KAT,"KAS")=1,D1344,C1344)))</f>
        <v/>
      </c>
      <c r="M1344" s="103" t="n">
        <f aca="false">IF(L1344="",0,IF(L1344=D1344,E1344,-E1344))</f>
        <v>0</v>
      </c>
      <c r="N1344" s="102" t="str">
        <f aca="false">IF(L1344="","",IFERROR(INDEX(AK_BARIS,MATCH(L1344,AK_NAMA,0)),"?"))</f>
        <v/>
      </c>
      <c r="O1344" s="102" t="str">
        <f aca="false">IF(C1344="","",IFERROR(INDEX(AK_KEL,MATCH(C1344,AK_NAMA,0)),"?"))</f>
        <v>BEBAN</v>
      </c>
      <c r="P1344" s="102" t="str">
        <f aca="false">IF(D1344="","",IFERROR(INDEX(AK_KEL,MATCH(D1344,AK_NAMA,0)),"?"))</f>
        <v>ASET</v>
      </c>
      <c r="Q1344" s="102" t="n">
        <f aca="false">N(Q1343)+IF(AND(N(E1344)&lt;&gt;0,K1344=TAHUN,N(J1344)&lt;=BLN,OR(C1344=BB_AKUN,D1344=BB_AKUN)),1,0)</f>
        <v>877</v>
      </c>
      <c r="R1344" s="104" t="str">
        <f aca="false">IF(OR(C1344&amp;D1344="",N(E1344)=0),"",IF(OR(O1344="?",P1344="?"),"⚠ akun tidak dikenal",IF(C1344=D1344,"⚠ debet = kredit","")))</f>
        <v/>
      </c>
    </row>
    <row r="1345" customFormat="false" ht="15" hidden="false" customHeight="false" outlineLevel="0" collapsed="false">
      <c r="A1345" s="105" t="s">
        <v>2662</v>
      </c>
      <c r="B1345" s="106" t="n">
        <v>46326</v>
      </c>
      <c r="C1345" s="105" t="s">
        <v>787</v>
      </c>
      <c r="D1345" s="105" t="s">
        <v>811</v>
      </c>
      <c r="E1345" s="107" t="n">
        <f aca="false">IF(AND(AKRUAL="YA",J1345&lt;=BLN),MAX(0,INDEX(PAJAK!$J$6:$J$17,J1345)),0)</f>
        <v>0</v>
      </c>
      <c r="F1345" s="105" t="s">
        <v>2663</v>
      </c>
      <c r="G1345" s="105"/>
      <c r="H1345" s="105"/>
      <c r="I1345" s="105" t="s">
        <v>813</v>
      </c>
      <c r="J1345" s="102" t="n">
        <f aca="false">IF(B1345="","",MONTH(B1345))</f>
        <v>10</v>
      </c>
      <c r="K1345" s="102" t="n">
        <f aca="false">IF(B1345="","",YEAR(B1345))</f>
        <v>2026</v>
      </c>
      <c r="L1345" s="102" t="str">
        <f aca="false">IF(N(E1345)=0,"",IF(COUNTIFS(AK_NAMA,C1345,AK_KAT,"KAS")+COUNTIFS(AK_NAMA,D1345,AK_KAT,"KAS")&lt;&gt;1,"",IF(COUNTIFS(AK_NAMA,C1345,AK_KAT,"KAS")=1,D1345,C1345)))</f>
        <v/>
      </c>
      <c r="M1345" s="103" t="n">
        <f aca="false">IF(L1345="",0,IF(L1345=D1345,E1345,-E1345))</f>
        <v>0</v>
      </c>
      <c r="N1345" s="102" t="str">
        <f aca="false">IF(L1345="","",IFERROR(INDEX(AK_BARIS,MATCH(L1345,AK_NAMA,0)),"?"))</f>
        <v/>
      </c>
      <c r="O1345" s="102" t="str">
        <f aca="false">IF(C1345="","",IFERROR(INDEX(AK_KEL,MATCH(C1345,AK_NAMA,0)),"?"))</f>
        <v>PENDAPATAN</v>
      </c>
      <c r="P1345" s="102" t="str">
        <f aca="false">IF(D1345="","",IFERROR(INDEX(AK_KEL,MATCH(D1345,AK_NAMA,0)),"?"))</f>
        <v>LIABILITAS</v>
      </c>
      <c r="Q1345" s="102" t="n">
        <f aca="false">N(Q1344)+IF(AND(N(E1345)&lt;&gt;0,K1345=TAHUN,N(J1345)&lt;=BLN,OR(C1345=BB_AKUN,D1345=BB_AKUN)),1,0)</f>
        <v>877</v>
      </c>
      <c r="R1345" s="104" t="str">
        <f aca="false">IF(OR(C1345&amp;D1345="",N(E1345)=0),"",IF(OR(O1345="?",P1345="?"),"⚠ akun tidak dikenal",IF(C1345=D1345,"⚠ debet = kredit","")))</f>
        <v/>
      </c>
    </row>
    <row r="1346" customFormat="false" ht="15" hidden="false" customHeight="false" outlineLevel="0" collapsed="false">
      <c r="A1346" s="105" t="s">
        <v>2664</v>
      </c>
      <c r="B1346" s="106" t="n">
        <v>46356</v>
      </c>
      <c r="C1346" s="105" t="s">
        <v>765</v>
      </c>
      <c r="D1346" s="105" t="s">
        <v>792</v>
      </c>
      <c r="E1346" s="107" t="n">
        <f aca="false">SUMIFS('OMZET HARIAN'!$Q$5:$Q$369,'OMZET HARIAN'!$B$5:$B$369,J1346)</f>
        <v>0</v>
      </c>
      <c r="F1346" s="105" t="s">
        <v>2665</v>
      </c>
      <c r="G1346" s="105"/>
      <c r="H1346" s="105"/>
      <c r="I1346" s="105" t="s">
        <v>794</v>
      </c>
      <c r="J1346" s="102" t="n">
        <f aca="false">IF(B1346="","",MONTH(B1346))</f>
        <v>11</v>
      </c>
      <c r="K1346" s="102" t="n">
        <f aca="false">IF(B1346="","",YEAR(B1346))</f>
        <v>2026</v>
      </c>
      <c r="L1346" s="102" t="str">
        <f aca="false">IF(N(E1346)=0,"",IF(COUNTIFS(AK_NAMA,C1346,AK_KAT,"KAS")+COUNTIFS(AK_NAMA,D1346,AK_KAT,"KAS")&lt;&gt;1,"",IF(COUNTIFS(AK_NAMA,C1346,AK_KAT,"KAS")=1,D1346,C1346)))</f>
        <v/>
      </c>
      <c r="M1346" s="103" t="n">
        <f aca="false">IF(L1346="",0,IF(L1346=D1346,E1346,-E1346))</f>
        <v>0</v>
      </c>
      <c r="N1346" s="102" t="str">
        <f aca="false">IF(L1346="","",IFERROR(INDEX(AK_BARIS,MATCH(L1346,AK_NAMA,0)),"?"))</f>
        <v/>
      </c>
      <c r="O1346" s="102" t="str">
        <f aca="false">IF(C1346="","",IFERROR(INDEX(AK_KEL,MATCH(C1346,AK_NAMA,0)),"?"))</f>
        <v>ASET</v>
      </c>
      <c r="P1346" s="102" t="str">
        <f aca="false">IF(D1346="","",IFERROR(INDEX(AK_KEL,MATCH(D1346,AK_NAMA,0)),"?"))</f>
        <v>PENDAPATAN</v>
      </c>
      <c r="Q1346" s="102" t="n">
        <f aca="false">N(Q1345)+IF(AND(N(E1346)&lt;&gt;0,K1346=TAHUN,N(J1346)&lt;=BLN,OR(C1346=BB_AKUN,D1346=BB_AKUN)),1,0)</f>
        <v>877</v>
      </c>
      <c r="R1346" s="104" t="str">
        <f aca="false">IF(OR(C1346&amp;D1346="",N(E1346)=0),"",IF(OR(O1346="?",P1346="?"),"⚠ akun tidak dikenal",IF(C1346=D1346,"⚠ debet = kredit","")))</f>
        <v/>
      </c>
    </row>
    <row r="1347" customFormat="false" ht="15" hidden="false" customHeight="false" outlineLevel="0" collapsed="false">
      <c r="A1347" s="105" t="s">
        <v>2666</v>
      </c>
      <c r="B1347" s="106" t="n">
        <v>46356</v>
      </c>
      <c r="C1347" s="105" t="s">
        <v>475</v>
      </c>
      <c r="D1347" s="105" t="s">
        <v>765</v>
      </c>
      <c r="E1347" s="107" t="n">
        <f aca="false">SUMIFS('OMZET HARIAN'!$F$5:$F$369,'OMZET HARIAN'!$B$5:$B$369,J1347)+SUMIFS('OMZET HARIAN'!$G$5:$G$369,'OMZET HARIAN'!$B$5:$B$369,J1347)</f>
        <v>0</v>
      </c>
      <c r="F1347" s="105" t="s">
        <v>2667</v>
      </c>
      <c r="G1347" s="105"/>
      <c r="H1347" s="105"/>
      <c r="I1347" s="105" t="s">
        <v>794</v>
      </c>
      <c r="J1347" s="102" t="n">
        <f aca="false">IF(B1347="","",MONTH(B1347))</f>
        <v>11</v>
      </c>
      <c r="K1347" s="102" t="n">
        <f aca="false">IF(B1347="","",YEAR(B1347))</f>
        <v>2026</v>
      </c>
      <c r="L1347" s="102" t="str">
        <f aca="false">IF(N(E1347)=0,"",IF(COUNTIFS(AK_NAMA,C1347,AK_KAT,"KAS")+COUNTIFS(AK_NAMA,D1347,AK_KAT,"KAS")&lt;&gt;1,"",IF(COUNTIFS(AK_NAMA,C1347,AK_KAT,"KAS")=1,D1347,C1347)))</f>
        <v/>
      </c>
      <c r="M1347" s="103" t="n">
        <f aca="false">IF(L1347="",0,IF(L1347=D1347,E1347,-E1347))</f>
        <v>0</v>
      </c>
      <c r="N1347" s="102" t="str">
        <f aca="false">IF(L1347="","",IFERROR(INDEX(AK_BARIS,MATCH(L1347,AK_NAMA,0)),"?"))</f>
        <v/>
      </c>
      <c r="O1347" s="102" t="str">
        <f aca="false">IF(C1347="","",IFERROR(INDEX(AK_KEL,MATCH(C1347,AK_NAMA,0)),"?"))</f>
        <v>ASET</v>
      </c>
      <c r="P1347" s="102" t="str">
        <f aca="false">IF(D1347="","",IFERROR(INDEX(AK_KEL,MATCH(D1347,AK_NAMA,0)),"?"))</f>
        <v>ASET</v>
      </c>
      <c r="Q1347" s="102" t="n">
        <f aca="false">N(Q1346)+IF(AND(N(E1347)&lt;&gt;0,K1347=TAHUN,N(J1347)&lt;=BLN,OR(C1347=BB_AKUN,D1347=BB_AKUN)),1,0)</f>
        <v>877</v>
      </c>
      <c r="R1347" s="104" t="str">
        <f aca="false">IF(OR(C1347&amp;D1347="",N(E1347)=0),"",IF(OR(O1347="?",P1347="?"),"⚠ akun tidak dikenal",IF(C1347=D1347,"⚠ debet = kredit","")))</f>
        <v/>
      </c>
    </row>
    <row r="1348" customFormat="false" ht="15" hidden="false" customHeight="false" outlineLevel="0" collapsed="false">
      <c r="A1348" s="105" t="s">
        <v>2668</v>
      </c>
      <c r="B1348" s="106" t="n">
        <v>46356</v>
      </c>
      <c r="C1348" s="105" t="s">
        <v>461</v>
      </c>
      <c r="D1348" s="105" t="s">
        <v>765</v>
      </c>
      <c r="E1348" s="107" t="n">
        <f aca="false">SUMIFS('OMZET HARIAN'!$H$5:$H$369,'OMZET HARIAN'!$B$5:$B$369,J1348)</f>
        <v>0</v>
      </c>
      <c r="F1348" s="105" t="s">
        <v>2669</v>
      </c>
      <c r="G1348" s="105"/>
      <c r="H1348" s="105"/>
      <c r="I1348" s="105" t="s">
        <v>794</v>
      </c>
      <c r="J1348" s="102" t="n">
        <f aca="false">IF(B1348="","",MONTH(B1348))</f>
        <v>11</v>
      </c>
      <c r="K1348" s="102" t="n">
        <f aca="false">IF(B1348="","",YEAR(B1348))</f>
        <v>2026</v>
      </c>
      <c r="L1348" s="102" t="str">
        <f aca="false">IF(N(E1348)=0,"",IF(COUNTIFS(AK_NAMA,C1348,AK_KAT,"KAS")+COUNTIFS(AK_NAMA,D1348,AK_KAT,"KAS")&lt;&gt;1,"",IF(COUNTIFS(AK_NAMA,C1348,AK_KAT,"KAS")=1,D1348,C1348)))</f>
        <v/>
      </c>
      <c r="M1348" s="103" t="n">
        <f aca="false">IF(L1348="",0,IF(L1348=D1348,E1348,-E1348))</f>
        <v>0</v>
      </c>
      <c r="N1348" s="102" t="str">
        <f aca="false">IF(L1348="","",IFERROR(INDEX(AK_BARIS,MATCH(L1348,AK_NAMA,0)),"?"))</f>
        <v/>
      </c>
      <c r="O1348" s="102" t="str">
        <f aca="false">IF(C1348="","",IFERROR(INDEX(AK_KEL,MATCH(C1348,AK_NAMA,0)),"?"))</f>
        <v>ASET</v>
      </c>
      <c r="P1348" s="102" t="str">
        <f aca="false">IF(D1348="","",IFERROR(INDEX(AK_KEL,MATCH(D1348,AK_NAMA,0)),"?"))</f>
        <v>ASET</v>
      </c>
      <c r="Q1348" s="102" t="n">
        <f aca="false">N(Q1347)+IF(AND(N(E1348)&lt;&gt;0,K1348=TAHUN,N(J1348)&lt;=BLN,OR(C1348=BB_AKUN,D1348=BB_AKUN)),1,0)</f>
        <v>877</v>
      </c>
      <c r="R1348" s="104" t="str">
        <f aca="false">IF(OR(C1348&amp;D1348="",N(E1348)=0),"",IF(OR(O1348="?",P1348="?"),"⚠ akun tidak dikenal",IF(C1348=D1348,"⚠ debet = kredit","")))</f>
        <v/>
      </c>
    </row>
    <row r="1349" customFormat="false" ht="15" hidden="false" customHeight="false" outlineLevel="0" collapsed="false">
      <c r="A1349" s="105" t="s">
        <v>2670</v>
      </c>
      <c r="B1349" s="106" t="n">
        <v>46356</v>
      </c>
      <c r="C1349" s="105" t="s">
        <v>718</v>
      </c>
      <c r="D1349" s="105" t="s">
        <v>765</v>
      </c>
      <c r="E1349" s="107" t="n">
        <f aca="false">SUMIFS('OMZET HARIAN'!$L$5:$L$369,'OMZET HARIAN'!$B$5:$B$369,J1349)</f>
        <v>0</v>
      </c>
      <c r="F1349" s="105" t="s">
        <v>2671</v>
      </c>
      <c r="G1349" s="105"/>
      <c r="H1349" s="105" t="s">
        <v>763</v>
      </c>
      <c r="I1349" s="105" t="s">
        <v>794</v>
      </c>
      <c r="J1349" s="102" t="n">
        <f aca="false">IF(B1349="","",MONTH(B1349))</f>
        <v>11</v>
      </c>
      <c r="K1349" s="102" t="n">
        <f aca="false">IF(B1349="","",YEAR(B1349))</f>
        <v>2026</v>
      </c>
      <c r="L1349" s="102" t="str">
        <f aca="false">IF(N(E1349)=0,"",IF(COUNTIFS(AK_NAMA,C1349,AK_KAT,"KAS")+COUNTIFS(AK_NAMA,D1349,AK_KAT,"KAS")&lt;&gt;1,"",IF(COUNTIFS(AK_NAMA,C1349,AK_KAT,"KAS")=1,D1349,C1349)))</f>
        <v/>
      </c>
      <c r="M1349" s="103" t="n">
        <f aca="false">IF(L1349="",0,IF(L1349=D1349,E1349,-E1349))</f>
        <v>0</v>
      </c>
      <c r="N1349" s="102" t="str">
        <f aca="false">IF(L1349="","",IFERROR(INDEX(AK_BARIS,MATCH(L1349,AK_NAMA,0)),"?"))</f>
        <v/>
      </c>
      <c r="O1349" s="102" t="str">
        <f aca="false">IF(C1349="","",IFERROR(INDEX(AK_KEL,MATCH(C1349,AK_NAMA,0)),"?"))</f>
        <v>ASET</v>
      </c>
      <c r="P1349" s="102" t="str">
        <f aca="false">IF(D1349="","",IFERROR(INDEX(AK_KEL,MATCH(D1349,AK_NAMA,0)),"?"))</f>
        <v>ASET</v>
      </c>
      <c r="Q1349" s="102" t="n">
        <f aca="false">N(Q1348)+IF(AND(N(E1349)&lt;&gt;0,K1349=TAHUN,N(J1349)&lt;=BLN,OR(C1349=BB_AKUN,D1349=BB_AKUN)),1,0)</f>
        <v>877</v>
      </c>
      <c r="R1349" s="104" t="str">
        <f aca="false">IF(OR(C1349&amp;D1349="",N(E1349)=0),"",IF(OR(O1349="?",P1349="?"),"⚠ akun tidak dikenal",IF(C1349=D1349,"⚠ debet = kredit","")))</f>
        <v/>
      </c>
    </row>
    <row r="1350" customFormat="false" ht="15" hidden="false" customHeight="false" outlineLevel="0" collapsed="false">
      <c r="A1350" s="105" t="s">
        <v>2672</v>
      </c>
      <c r="B1350" s="106" t="n">
        <v>46356</v>
      </c>
      <c r="C1350" s="105" t="s">
        <v>802</v>
      </c>
      <c r="D1350" s="105" t="s">
        <v>765</v>
      </c>
      <c r="E1350" s="107" t="n">
        <f aca="false">SUMIFS('OMZET HARIAN'!$M$5:$M$369,'OMZET HARIAN'!$B$5:$B$369,J1350)</f>
        <v>0</v>
      </c>
      <c r="F1350" s="105" t="s">
        <v>2673</v>
      </c>
      <c r="G1350" s="105"/>
      <c r="H1350" s="105"/>
      <c r="I1350" s="105" t="s">
        <v>794</v>
      </c>
      <c r="J1350" s="102" t="n">
        <f aca="false">IF(B1350="","",MONTH(B1350))</f>
        <v>11</v>
      </c>
      <c r="K1350" s="102" t="n">
        <f aca="false">IF(B1350="","",YEAR(B1350))</f>
        <v>2026</v>
      </c>
      <c r="L1350" s="102" t="str">
        <f aca="false">IF(N(E1350)=0,"",IF(COUNTIFS(AK_NAMA,C1350,AK_KAT,"KAS")+COUNTIFS(AK_NAMA,D1350,AK_KAT,"KAS")&lt;&gt;1,"",IF(COUNTIFS(AK_NAMA,C1350,AK_KAT,"KAS")=1,D1350,C1350)))</f>
        <v/>
      </c>
      <c r="M1350" s="103" t="n">
        <f aca="false">IF(L1350="",0,IF(L1350=D1350,E1350,-E1350))</f>
        <v>0</v>
      </c>
      <c r="N1350" s="102" t="str">
        <f aca="false">IF(L1350="","",IFERROR(INDEX(AK_BARIS,MATCH(L1350,AK_NAMA,0)),"?"))</f>
        <v/>
      </c>
      <c r="O1350" s="102" t="str">
        <f aca="false">IF(C1350="","",IFERROR(INDEX(AK_KEL,MATCH(C1350,AK_NAMA,0)),"?"))</f>
        <v>BEBAN</v>
      </c>
      <c r="P1350" s="102" t="str">
        <f aca="false">IF(D1350="","",IFERROR(INDEX(AK_KEL,MATCH(D1350,AK_NAMA,0)),"?"))</f>
        <v>ASET</v>
      </c>
      <c r="Q1350" s="102" t="n">
        <f aca="false">N(Q1349)+IF(AND(N(E1350)&lt;&gt;0,K1350=TAHUN,N(J1350)&lt;=BLN,OR(C1350=BB_AKUN,D1350=BB_AKUN)),1,0)</f>
        <v>877</v>
      </c>
      <c r="R1350" s="104" t="str">
        <f aca="false">IF(OR(C1350&amp;D1350="",N(E1350)=0),"",IF(OR(O1350="?",P1350="?"),"⚠ akun tidak dikenal",IF(C1350=D1350,"⚠ debet = kredit","")))</f>
        <v/>
      </c>
    </row>
    <row r="1351" customFormat="false" ht="15" hidden="false" customHeight="false" outlineLevel="0" collapsed="false">
      <c r="A1351" s="105" t="s">
        <v>2674</v>
      </c>
      <c r="B1351" s="106" t="n">
        <v>46356</v>
      </c>
      <c r="C1351" s="105" t="s">
        <v>464</v>
      </c>
      <c r="D1351" s="105" t="s">
        <v>765</v>
      </c>
      <c r="E1351" s="107" t="n">
        <f aca="false">SUMIFS('OMZET HARIAN'!$N$5:$N$369,'OMZET HARIAN'!$B$5:$B$369,J1351)</f>
        <v>0</v>
      </c>
      <c r="F1351" s="105" t="s">
        <v>2675</v>
      </c>
      <c r="G1351" s="105"/>
      <c r="H1351" s="105" t="s">
        <v>432</v>
      </c>
      <c r="I1351" s="105" t="s">
        <v>794</v>
      </c>
      <c r="J1351" s="102" t="n">
        <f aca="false">IF(B1351="","",MONTH(B1351))</f>
        <v>11</v>
      </c>
      <c r="K1351" s="102" t="n">
        <f aca="false">IF(B1351="","",YEAR(B1351))</f>
        <v>2026</v>
      </c>
      <c r="L1351" s="102" t="str">
        <f aca="false">IF(N(E1351)=0,"",IF(COUNTIFS(AK_NAMA,C1351,AK_KAT,"KAS")+COUNTIFS(AK_NAMA,D1351,AK_KAT,"KAS")&lt;&gt;1,"",IF(COUNTIFS(AK_NAMA,C1351,AK_KAT,"KAS")=1,D1351,C1351)))</f>
        <v/>
      </c>
      <c r="M1351" s="103" t="n">
        <f aca="false">IF(L1351="",0,IF(L1351=D1351,E1351,-E1351))</f>
        <v>0</v>
      </c>
      <c r="N1351" s="102" t="str">
        <f aca="false">IF(L1351="","",IFERROR(INDEX(AK_BARIS,MATCH(L1351,AK_NAMA,0)),"?"))</f>
        <v/>
      </c>
      <c r="O1351" s="102" t="str">
        <f aca="false">IF(C1351="","",IFERROR(INDEX(AK_KEL,MATCH(C1351,AK_NAMA,0)),"?"))</f>
        <v>EKUITAS</v>
      </c>
      <c r="P1351" s="102" t="str">
        <f aca="false">IF(D1351="","",IFERROR(INDEX(AK_KEL,MATCH(D1351,AK_NAMA,0)),"?"))</f>
        <v>ASET</v>
      </c>
      <c r="Q1351" s="102" t="n">
        <f aca="false">N(Q1350)+IF(AND(N(E1351)&lt;&gt;0,K1351=TAHUN,N(J1351)&lt;=BLN,OR(C1351=BB_AKUN,D1351=BB_AKUN)),1,0)</f>
        <v>877</v>
      </c>
      <c r="R1351" s="104" t="str">
        <f aca="false">IF(OR(C1351&amp;D1351="",N(E1351)=0),"",IF(OR(O1351="?",P1351="?"),"⚠ akun tidak dikenal",IF(C1351=D1351,"⚠ debet = kredit","")))</f>
        <v/>
      </c>
    </row>
    <row r="1352" customFormat="false" ht="15" hidden="false" customHeight="false" outlineLevel="0" collapsed="false">
      <c r="A1352" s="105" t="s">
        <v>2676</v>
      </c>
      <c r="B1352" s="106" t="n">
        <v>46356</v>
      </c>
      <c r="C1352" s="105" t="s">
        <v>807</v>
      </c>
      <c r="D1352" s="105" t="s">
        <v>808</v>
      </c>
      <c r="E1352" s="107" t="n">
        <f aca="false">INDEX('ASET TETAP'!$H$25:$S$25,J1352)</f>
        <v>0</v>
      </c>
      <c r="F1352" s="105" t="s">
        <v>2677</v>
      </c>
      <c r="G1352" s="105"/>
      <c r="H1352" s="105"/>
      <c r="I1352" s="105" t="s">
        <v>794</v>
      </c>
      <c r="J1352" s="102" t="n">
        <f aca="false">IF(B1352="","",MONTH(B1352))</f>
        <v>11</v>
      </c>
      <c r="K1352" s="102" t="n">
        <f aca="false">IF(B1352="","",YEAR(B1352))</f>
        <v>2026</v>
      </c>
      <c r="L1352" s="102" t="str">
        <f aca="false">IF(N(E1352)=0,"",IF(COUNTIFS(AK_NAMA,C1352,AK_KAT,"KAS")+COUNTIFS(AK_NAMA,D1352,AK_KAT,"KAS")&lt;&gt;1,"",IF(COUNTIFS(AK_NAMA,C1352,AK_KAT,"KAS")=1,D1352,C1352)))</f>
        <v/>
      </c>
      <c r="M1352" s="103" t="n">
        <f aca="false">IF(L1352="",0,IF(L1352=D1352,E1352,-E1352))</f>
        <v>0</v>
      </c>
      <c r="N1352" s="102" t="str">
        <f aca="false">IF(L1352="","",IFERROR(INDEX(AK_BARIS,MATCH(L1352,AK_NAMA,0)),"?"))</f>
        <v/>
      </c>
      <c r="O1352" s="102" t="str">
        <f aca="false">IF(C1352="","",IFERROR(INDEX(AK_KEL,MATCH(C1352,AK_NAMA,0)),"?"))</f>
        <v>BEBAN</v>
      </c>
      <c r="P1352" s="102" t="str">
        <f aca="false">IF(D1352="","",IFERROR(INDEX(AK_KEL,MATCH(D1352,AK_NAMA,0)),"?"))</f>
        <v>ASET</v>
      </c>
      <c r="Q1352" s="102" t="n">
        <f aca="false">N(Q1351)+IF(AND(N(E1352)&lt;&gt;0,K1352=TAHUN,N(J1352)&lt;=BLN,OR(C1352=BB_AKUN,D1352=BB_AKUN)),1,0)</f>
        <v>877</v>
      </c>
      <c r="R1352" s="104" t="str">
        <f aca="false">IF(OR(C1352&amp;D1352="",N(E1352)=0),"",IF(OR(O1352="?",P1352="?"),"⚠ akun tidak dikenal",IF(C1352=D1352,"⚠ debet = kredit","")))</f>
        <v/>
      </c>
    </row>
    <row r="1353" customFormat="false" ht="15" hidden="false" customHeight="false" outlineLevel="0" collapsed="false">
      <c r="A1353" s="105" t="s">
        <v>2678</v>
      </c>
      <c r="B1353" s="106" t="n">
        <v>46356</v>
      </c>
      <c r="C1353" s="105" t="s">
        <v>787</v>
      </c>
      <c r="D1353" s="105" t="s">
        <v>811</v>
      </c>
      <c r="E1353" s="107" t="n">
        <f aca="false">IF(AND(AKRUAL="YA",J1353&lt;=BLN),MAX(0,INDEX(PAJAK!$J$6:$J$17,J1353)),0)</f>
        <v>0</v>
      </c>
      <c r="F1353" s="105" t="s">
        <v>2679</v>
      </c>
      <c r="G1353" s="105"/>
      <c r="H1353" s="105"/>
      <c r="I1353" s="105" t="s">
        <v>813</v>
      </c>
      <c r="J1353" s="102" t="n">
        <f aca="false">IF(B1353="","",MONTH(B1353))</f>
        <v>11</v>
      </c>
      <c r="K1353" s="102" t="n">
        <f aca="false">IF(B1353="","",YEAR(B1353))</f>
        <v>2026</v>
      </c>
      <c r="L1353" s="102" t="str">
        <f aca="false">IF(N(E1353)=0,"",IF(COUNTIFS(AK_NAMA,C1353,AK_KAT,"KAS")+COUNTIFS(AK_NAMA,D1353,AK_KAT,"KAS")&lt;&gt;1,"",IF(COUNTIFS(AK_NAMA,C1353,AK_KAT,"KAS")=1,D1353,C1353)))</f>
        <v/>
      </c>
      <c r="M1353" s="103" t="n">
        <f aca="false">IF(L1353="",0,IF(L1353=D1353,E1353,-E1353))</f>
        <v>0</v>
      </c>
      <c r="N1353" s="102" t="str">
        <f aca="false">IF(L1353="","",IFERROR(INDEX(AK_BARIS,MATCH(L1353,AK_NAMA,0)),"?"))</f>
        <v/>
      </c>
      <c r="O1353" s="102" t="str">
        <f aca="false">IF(C1353="","",IFERROR(INDEX(AK_KEL,MATCH(C1353,AK_NAMA,0)),"?"))</f>
        <v>PENDAPATAN</v>
      </c>
      <c r="P1353" s="102" t="str">
        <f aca="false">IF(D1353="","",IFERROR(INDEX(AK_KEL,MATCH(D1353,AK_NAMA,0)),"?"))</f>
        <v>LIABILITAS</v>
      </c>
      <c r="Q1353" s="102" t="n">
        <f aca="false">N(Q1352)+IF(AND(N(E1353)&lt;&gt;0,K1353=TAHUN,N(J1353)&lt;=BLN,OR(C1353=BB_AKUN,D1353=BB_AKUN)),1,0)</f>
        <v>877</v>
      </c>
      <c r="R1353" s="104" t="str">
        <f aca="false">IF(OR(C1353&amp;D1353="",N(E1353)=0),"",IF(OR(O1353="?",P1353="?"),"⚠ akun tidak dikenal",IF(C1353=D1353,"⚠ debet = kredit","")))</f>
        <v/>
      </c>
    </row>
    <row r="1354" customFormat="false" ht="15" hidden="false" customHeight="false" outlineLevel="0" collapsed="false">
      <c r="A1354" s="105" t="s">
        <v>2680</v>
      </c>
      <c r="B1354" s="106" t="n">
        <v>46387</v>
      </c>
      <c r="C1354" s="105" t="s">
        <v>765</v>
      </c>
      <c r="D1354" s="105" t="s">
        <v>792</v>
      </c>
      <c r="E1354" s="107" t="n">
        <f aca="false">SUMIFS('OMZET HARIAN'!$Q$5:$Q$369,'OMZET HARIAN'!$B$5:$B$369,J1354)</f>
        <v>0</v>
      </c>
      <c r="F1354" s="105" t="s">
        <v>2681</v>
      </c>
      <c r="G1354" s="105"/>
      <c r="H1354" s="105"/>
      <c r="I1354" s="105" t="s">
        <v>794</v>
      </c>
      <c r="J1354" s="102" t="n">
        <f aca="false">IF(B1354="","",MONTH(B1354))</f>
        <v>12</v>
      </c>
      <c r="K1354" s="102" t="n">
        <f aca="false">IF(B1354="","",YEAR(B1354))</f>
        <v>2026</v>
      </c>
      <c r="L1354" s="102" t="str">
        <f aca="false">IF(N(E1354)=0,"",IF(COUNTIFS(AK_NAMA,C1354,AK_KAT,"KAS")+COUNTIFS(AK_NAMA,D1354,AK_KAT,"KAS")&lt;&gt;1,"",IF(COUNTIFS(AK_NAMA,C1354,AK_KAT,"KAS")=1,D1354,C1354)))</f>
        <v/>
      </c>
      <c r="M1354" s="103" t="n">
        <f aca="false">IF(L1354="",0,IF(L1354=D1354,E1354,-E1354))</f>
        <v>0</v>
      </c>
      <c r="N1354" s="102" t="str">
        <f aca="false">IF(L1354="","",IFERROR(INDEX(AK_BARIS,MATCH(L1354,AK_NAMA,0)),"?"))</f>
        <v/>
      </c>
      <c r="O1354" s="102" t="str">
        <f aca="false">IF(C1354="","",IFERROR(INDEX(AK_KEL,MATCH(C1354,AK_NAMA,0)),"?"))</f>
        <v>ASET</v>
      </c>
      <c r="P1354" s="102" t="str">
        <f aca="false">IF(D1354="","",IFERROR(INDEX(AK_KEL,MATCH(D1354,AK_NAMA,0)),"?"))</f>
        <v>PENDAPATAN</v>
      </c>
      <c r="Q1354" s="102" t="n">
        <f aca="false">N(Q1353)+IF(AND(N(E1354)&lt;&gt;0,K1354=TAHUN,N(J1354)&lt;=BLN,OR(C1354=BB_AKUN,D1354=BB_AKUN)),1,0)</f>
        <v>877</v>
      </c>
      <c r="R1354" s="104" t="str">
        <f aca="false">IF(OR(C1354&amp;D1354="",N(E1354)=0),"",IF(OR(O1354="?",P1354="?"),"⚠ akun tidak dikenal",IF(C1354=D1354,"⚠ debet = kredit","")))</f>
        <v/>
      </c>
    </row>
    <row r="1355" customFormat="false" ht="15" hidden="false" customHeight="false" outlineLevel="0" collapsed="false">
      <c r="A1355" s="105" t="s">
        <v>2682</v>
      </c>
      <c r="B1355" s="106" t="n">
        <v>46387</v>
      </c>
      <c r="C1355" s="105" t="s">
        <v>475</v>
      </c>
      <c r="D1355" s="105" t="s">
        <v>765</v>
      </c>
      <c r="E1355" s="107" t="n">
        <f aca="false">SUMIFS('OMZET HARIAN'!$F$5:$F$369,'OMZET HARIAN'!$B$5:$B$369,J1355)+SUMIFS('OMZET HARIAN'!$G$5:$G$369,'OMZET HARIAN'!$B$5:$B$369,J1355)</f>
        <v>0</v>
      </c>
      <c r="F1355" s="105" t="s">
        <v>2683</v>
      </c>
      <c r="G1355" s="105"/>
      <c r="H1355" s="105"/>
      <c r="I1355" s="105" t="s">
        <v>794</v>
      </c>
      <c r="J1355" s="102" t="n">
        <f aca="false">IF(B1355="","",MONTH(B1355))</f>
        <v>12</v>
      </c>
      <c r="K1355" s="102" t="n">
        <f aca="false">IF(B1355="","",YEAR(B1355))</f>
        <v>2026</v>
      </c>
      <c r="L1355" s="102" t="str">
        <f aca="false">IF(N(E1355)=0,"",IF(COUNTIFS(AK_NAMA,C1355,AK_KAT,"KAS")+COUNTIFS(AK_NAMA,D1355,AK_KAT,"KAS")&lt;&gt;1,"",IF(COUNTIFS(AK_NAMA,C1355,AK_KAT,"KAS")=1,D1355,C1355)))</f>
        <v/>
      </c>
      <c r="M1355" s="103" t="n">
        <f aca="false">IF(L1355="",0,IF(L1355=D1355,E1355,-E1355))</f>
        <v>0</v>
      </c>
      <c r="N1355" s="102" t="str">
        <f aca="false">IF(L1355="","",IFERROR(INDEX(AK_BARIS,MATCH(L1355,AK_NAMA,0)),"?"))</f>
        <v/>
      </c>
      <c r="O1355" s="102" t="str">
        <f aca="false">IF(C1355="","",IFERROR(INDEX(AK_KEL,MATCH(C1355,AK_NAMA,0)),"?"))</f>
        <v>ASET</v>
      </c>
      <c r="P1355" s="102" t="str">
        <f aca="false">IF(D1355="","",IFERROR(INDEX(AK_KEL,MATCH(D1355,AK_NAMA,0)),"?"))</f>
        <v>ASET</v>
      </c>
      <c r="Q1355" s="102" t="n">
        <f aca="false">N(Q1354)+IF(AND(N(E1355)&lt;&gt;0,K1355=TAHUN,N(J1355)&lt;=BLN,OR(C1355=BB_AKUN,D1355=BB_AKUN)),1,0)</f>
        <v>877</v>
      </c>
      <c r="R1355" s="104" t="str">
        <f aca="false">IF(OR(C1355&amp;D1355="",N(E1355)=0),"",IF(OR(O1355="?",P1355="?"),"⚠ akun tidak dikenal",IF(C1355=D1355,"⚠ debet = kredit","")))</f>
        <v/>
      </c>
    </row>
    <row r="1356" customFormat="false" ht="15" hidden="false" customHeight="false" outlineLevel="0" collapsed="false">
      <c r="A1356" s="105" t="s">
        <v>2684</v>
      </c>
      <c r="B1356" s="106" t="n">
        <v>46387</v>
      </c>
      <c r="C1356" s="105" t="s">
        <v>461</v>
      </c>
      <c r="D1356" s="105" t="s">
        <v>765</v>
      </c>
      <c r="E1356" s="107" t="n">
        <f aca="false">SUMIFS('OMZET HARIAN'!$H$5:$H$369,'OMZET HARIAN'!$B$5:$B$369,J1356)</f>
        <v>0</v>
      </c>
      <c r="F1356" s="105" t="s">
        <v>2685</v>
      </c>
      <c r="G1356" s="105"/>
      <c r="H1356" s="105"/>
      <c r="I1356" s="105" t="s">
        <v>794</v>
      </c>
      <c r="J1356" s="102" t="n">
        <f aca="false">IF(B1356="","",MONTH(B1356))</f>
        <v>12</v>
      </c>
      <c r="K1356" s="102" t="n">
        <f aca="false">IF(B1356="","",YEAR(B1356))</f>
        <v>2026</v>
      </c>
      <c r="L1356" s="102" t="str">
        <f aca="false">IF(N(E1356)=0,"",IF(COUNTIFS(AK_NAMA,C1356,AK_KAT,"KAS")+COUNTIFS(AK_NAMA,D1356,AK_KAT,"KAS")&lt;&gt;1,"",IF(COUNTIFS(AK_NAMA,C1356,AK_KAT,"KAS")=1,D1356,C1356)))</f>
        <v/>
      </c>
      <c r="M1356" s="103" t="n">
        <f aca="false">IF(L1356="",0,IF(L1356=D1356,E1356,-E1356))</f>
        <v>0</v>
      </c>
      <c r="N1356" s="102" t="str">
        <f aca="false">IF(L1356="","",IFERROR(INDEX(AK_BARIS,MATCH(L1356,AK_NAMA,0)),"?"))</f>
        <v/>
      </c>
      <c r="O1356" s="102" t="str">
        <f aca="false">IF(C1356="","",IFERROR(INDEX(AK_KEL,MATCH(C1356,AK_NAMA,0)),"?"))</f>
        <v>ASET</v>
      </c>
      <c r="P1356" s="102" t="str">
        <f aca="false">IF(D1356="","",IFERROR(INDEX(AK_KEL,MATCH(D1356,AK_NAMA,0)),"?"))</f>
        <v>ASET</v>
      </c>
      <c r="Q1356" s="102" t="n">
        <f aca="false">N(Q1355)+IF(AND(N(E1356)&lt;&gt;0,K1356=TAHUN,N(J1356)&lt;=BLN,OR(C1356=BB_AKUN,D1356=BB_AKUN)),1,0)</f>
        <v>877</v>
      </c>
      <c r="R1356" s="104" t="str">
        <f aca="false">IF(OR(C1356&amp;D1356="",N(E1356)=0),"",IF(OR(O1356="?",P1356="?"),"⚠ akun tidak dikenal",IF(C1356=D1356,"⚠ debet = kredit","")))</f>
        <v/>
      </c>
    </row>
    <row r="1357" customFormat="false" ht="15" hidden="false" customHeight="false" outlineLevel="0" collapsed="false">
      <c r="A1357" s="105" t="s">
        <v>2686</v>
      </c>
      <c r="B1357" s="106" t="n">
        <v>46387</v>
      </c>
      <c r="C1357" s="105" t="s">
        <v>718</v>
      </c>
      <c r="D1357" s="105" t="s">
        <v>765</v>
      </c>
      <c r="E1357" s="107" t="n">
        <f aca="false">SUMIFS('OMZET HARIAN'!$L$5:$L$369,'OMZET HARIAN'!$B$5:$B$369,J1357)</f>
        <v>0</v>
      </c>
      <c r="F1357" s="105" t="s">
        <v>2687</v>
      </c>
      <c r="G1357" s="105"/>
      <c r="H1357" s="105" t="s">
        <v>763</v>
      </c>
      <c r="I1357" s="105" t="s">
        <v>794</v>
      </c>
      <c r="J1357" s="102" t="n">
        <f aca="false">IF(B1357="","",MONTH(B1357))</f>
        <v>12</v>
      </c>
      <c r="K1357" s="102" t="n">
        <f aca="false">IF(B1357="","",YEAR(B1357))</f>
        <v>2026</v>
      </c>
      <c r="L1357" s="102" t="str">
        <f aca="false">IF(N(E1357)=0,"",IF(COUNTIFS(AK_NAMA,C1357,AK_KAT,"KAS")+COUNTIFS(AK_NAMA,D1357,AK_KAT,"KAS")&lt;&gt;1,"",IF(COUNTIFS(AK_NAMA,C1357,AK_KAT,"KAS")=1,D1357,C1357)))</f>
        <v/>
      </c>
      <c r="M1357" s="103" t="n">
        <f aca="false">IF(L1357="",0,IF(L1357=D1357,E1357,-E1357))</f>
        <v>0</v>
      </c>
      <c r="N1357" s="102" t="str">
        <f aca="false">IF(L1357="","",IFERROR(INDEX(AK_BARIS,MATCH(L1357,AK_NAMA,0)),"?"))</f>
        <v/>
      </c>
      <c r="O1357" s="102" t="str">
        <f aca="false">IF(C1357="","",IFERROR(INDEX(AK_KEL,MATCH(C1357,AK_NAMA,0)),"?"))</f>
        <v>ASET</v>
      </c>
      <c r="P1357" s="102" t="str">
        <f aca="false">IF(D1357="","",IFERROR(INDEX(AK_KEL,MATCH(D1357,AK_NAMA,0)),"?"))</f>
        <v>ASET</v>
      </c>
      <c r="Q1357" s="102" t="n">
        <f aca="false">N(Q1356)+IF(AND(N(E1357)&lt;&gt;0,K1357=TAHUN,N(J1357)&lt;=BLN,OR(C1357=BB_AKUN,D1357=BB_AKUN)),1,0)</f>
        <v>877</v>
      </c>
      <c r="R1357" s="104" t="str">
        <f aca="false">IF(OR(C1357&amp;D1357="",N(E1357)=0),"",IF(OR(O1357="?",P1357="?"),"⚠ akun tidak dikenal",IF(C1357=D1357,"⚠ debet = kredit","")))</f>
        <v/>
      </c>
    </row>
    <row r="1358" customFormat="false" ht="15" hidden="false" customHeight="false" outlineLevel="0" collapsed="false">
      <c r="A1358" s="105" t="s">
        <v>2688</v>
      </c>
      <c r="B1358" s="106" t="n">
        <v>46387</v>
      </c>
      <c r="C1358" s="105" t="s">
        <v>802</v>
      </c>
      <c r="D1358" s="105" t="s">
        <v>765</v>
      </c>
      <c r="E1358" s="107" t="n">
        <f aca="false">SUMIFS('OMZET HARIAN'!$M$5:$M$369,'OMZET HARIAN'!$B$5:$B$369,J1358)</f>
        <v>0</v>
      </c>
      <c r="F1358" s="105" t="s">
        <v>2689</v>
      </c>
      <c r="G1358" s="105"/>
      <c r="H1358" s="105"/>
      <c r="I1358" s="105" t="s">
        <v>794</v>
      </c>
      <c r="J1358" s="102" t="n">
        <f aca="false">IF(B1358="","",MONTH(B1358))</f>
        <v>12</v>
      </c>
      <c r="K1358" s="102" t="n">
        <f aca="false">IF(B1358="","",YEAR(B1358))</f>
        <v>2026</v>
      </c>
      <c r="L1358" s="102" t="str">
        <f aca="false">IF(N(E1358)=0,"",IF(COUNTIFS(AK_NAMA,C1358,AK_KAT,"KAS")+COUNTIFS(AK_NAMA,D1358,AK_KAT,"KAS")&lt;&gt;1,"",IF(COUNTIFS(AK_NAMA,C1358,AK_KAT,"KAS")=1,D1358,C1358)))</f>
        <v/>
      </c>
      <c r="M1358" s="103" t="n">
        <f aca="false">IF(L1358="",0,IF(L1358=D1358,E1358,-E1358))</f>
        <v>0</v>
      </c>
      <c r="N1358" s="102" t="str">
        <f aca="false">IF(L1358="","",IFERROR(INDEX(AK_BARIS,MATCH(L1358,AK_NAMA,0)),"?"))</f>
        <v/>
      </c>
      <c r="O1358" s="102" t="str">
        <f aca="false">IF(C1358="","",IFERROR(INDEX(AK_KEL,MATCH(C1358,AK_NAMA,0)),"?"))</f>
        <v>BEBAN</v>
      </c>
      <c r="P1358" s="102" t="str">
        <f aca="false">IF(D1358="","",IFERROR(INDEX(AK_KEL,MATCH(D1358,AK_NAMA,0)),"?"))</f>
        <v>ASET</v>
      </c>
      <c r="Q1358" s="102" t="n">
        <f aca="false">N(Q1357)+IF(AND(N(E1358)&lt;&gt;0,K1358=TAHUN,N(J1358)&lt;=BLN,OR(C1358=BB_AKUN,D1358=BB_AKUN)),1,0)</f>
        <v>877</v>
      </c>
      <c r="R1358" s="104" t="str">
        <f aca="false">IF(OR(C1358&amp;D1358="",N(E1358)=0),"",IF(OR(O1358="?",P1358="?"),"⚠ akun tidak dikenal",IF(C1358=D1358,"⚠ debet = kredit","")))</f>
        <v/>
      </c>
    </row>
    <row r="1359" customFormat="false" ht="15" hidden="false" customHeight="false" outlineLevel="0" collapsed="false">
      <c r="A1359" s="105" t="s">
        <v>2690</v>
      </c>
      <c r="B1359" s="106" t="n">
        <v>46387</v>
      </c>
      <c r="C1359" s="105" t="s">
        <v>464</v>
      </c>
      <c r="D1359" s="105" t="s">
        <v>765</v>
      </c>
      <c r="E1359" s="107" t="n">
        <f aca="false">SUMIFS('OMZET HARIAN'!$N$5:$N$369,'OMZET HARIAN'!$B$5:$B$369,J1359)</f>
        <v>0</v>
      </c>
      <c r="F1359" s="105" t="s">
        <v>2691</v>
      </c>
      <c r="G1359" s="105"/>
      <c r="H1359" s="105" t="s">
        <v>432</v>
      </c>
      <c r="I1359" s="105" t="s">
        <v>794</v>
      </c>
      <c r="J1359" s="102" t="n">
        <f aca="false">IF(B1359="","",MONTH(B1359))</f>
        <v>12</v>
      </c>
      <c r="K1359" s="102" t="n">
        <f aca="false">IF(B1359="","",YEAR(B1359))</f>
        <v>2026</v>
      </c>
      <c r="L1359" s="102" t="str">
        <f aca="false">IF(N(E1359)=0,"",IF(COUNTIFS(AK_NAMA,C1359,AK_KAT,"KAS")+COUNTIFS(AK_NAMA,D1359,AK_KAT,"KAS")&lt;&gt;1,"",IF(COUNTIFS(AK_NAMA,C1359,AK_KAT,"KAS")=1,D1359,C1359)))</f>
        <v/>
      </c>
      <c r="M1359" s="103" t="n">
        <f aca="false">IF(L1359="",0,IF(L1359=D1359,E1359,-E1359))</f>
        <v>0</v>
      </c>
      <c r="N1359" s="102" t="str">
        <f aca="false">IF(L1359="","",IFERROR(INDEX(AK_BARIS,MATCH(L1359,AK_NAMA,0)),"?"))</f>
        <v/>
      </c>
      <c r="O1359" s="102" t="str">
        <f aca="false">IF(C1359="","",IFERROR(INDEX(AK_KEL,MATCH(C1359,AK_NAMA,0)),"?"))</f>
        <v>EKUITAS</v>
      </c>
      <c r="P1359" s="102" t="str">
        <f aca="false">IF(D1359="","",IFERROR(INDEX(AK_KEL,MATCH(D1359,AK_NAMA,0)),"?"))</f>
        <v>ASET</v>
      </c>
      <c r="Q1359" s="102" t="n">
        <f aca="false">N(Q1358)+IF(AND(N(E1359)&lt;&gt;0,K1359=TAHUN,N(J1359)&lt;=BLN,OR(C1359=BB_AKUN,D1359=BB_AKUN)),1,0)</f>
        <v>877</v>
      </c>
      <c r="R1359" s="104" t="str">
        <f aca="false">IF(OR(C1359&amp;D1359="",N(E1359)=0),"",IF(OR(O1359="?",P1359="?"),"⚠ akun tidak dikenal",IF(C1359=D1359,"⚠ debet = kredit","")))</f>
        <v/>
      </c>
    </row>
    <row r="1360" customFormat="false" ht="15" hidden="false" customHeight="false" outlineLevel="0" collapsed="false">
      <c r="A1360" s="105" t="s">
        <v>2692</v>
      </c>
      <c r="B1360" s="106" t="n">
        <v>46387</v>
      </c>
      <c r="C1360" s="105" t="s">
        <v>807</v>
      </c>
      <c r="D1360" s="105" t="s">
        <v>808</v>
      </c>
      <c r="E1360" s="107" t="n">
        <f aca="false">INDEX('ASET TETAP'!$H$25:$S$25,J1360)</f>
        <v>0</v>
      </c>
      <c r="F1360" s="105" t="s">
        <v>2693</v>
      </c>
      <c r="G1360" s="105"/>
      <c r="H1360" s="105"/>
      <c r="I1360" s="105" t="s">
        <v>794</v>
      </c>
      <c r="J1360" s="102" t="n">
        <f aca="false">IF(B1360="","",MONTH(B1360))</f>
        <v>12</v>
      </c>
      <c r="K1360" s="102" t="n">
        <f aca="false">IF(B1360="","",YEAR(B1360))</f>
        <v>2026</v>
      </c>
      <c r="L1360" s="102" t="str">
        <f aca="false">IF(N(E1360)=0,"",IF(COUNTIFS(AK_NAMA,C1360,AK_KAT,"KAS")+COUNTIFS(AK_NAMA,D1360,AK_KAT,"KAS")&lt;&gt;1,"",IF(COUNTIFS(AK_NAMA,C1360,AK_KAT,"KAS")=1,D1360,C1360)))</f>
        <v/>
      </c>
      <c r="M1360" s="103" t="n">
        <f aca="false">IF(L1360="",0,IF(L1360=D1360,E1360,-E1360))</f>
        <v>0</v>
      </c>
      <c r="N1360" s="102" t="str">
        <f aca="false">IF(L1360="","",IFERROR(INDEX(AK_BARIS,MATCH(L1360,AK_NAMA,0)),"?"))</f>
        <v/>
      </c>
      <c r="O1360" s="102" t="str">
        <f aca="false">IF(C1360="","",IFERROR(INDEX(AK_KEL,MATCH(C1360,AK_NAMA,0)),"?"))</f>
        <v>BEBAN</v>
      </c>
      <c r="P1360" s="102" t="str">
        <f aca="false">IF(D1360="","",IFERROR(INDEX(AK_KEL,MATCH(D1360,AK_NAMA,0)),"?"))</f>
        <v>ASET</v>
      </c>
      <c r="Q1360" s="102" t="n">
        <f aca="false">N(Q1359)+IF(AND(N(E1360)&lt;&gt;0,K1360=TAHUN,N(J1360)&lt;=BLN,OR(C1360=BB_AKUN,D1360=BB_AKUN)),1,0)</f>
        <v>877</v>
      </c>
      <c r="R1360" s="104" t="str">
        <f aca="false">IF(OR(C1360&amp;D1360="",N(E1360)=0),"",IF(OR(O1360="?",P1360="?"),"⚠ akun tidak dikenal",IF(C1360=D1360,"⚠ debet = kredit","")))</f>
        <v/>
      </c>
    </row>
    <row r="1361" customFormat="false" ht="15" hidden="false" customHeight="false" outlineLevel="0" collapsed="false">
      <c r="A1361" s="105" t="s">
        <v>2694</v>
      </c>
      <c r="B1361" s="106" t="n">
        <v>46387</v>
      </c>
      <c r="C1361" s="105" t="s">
        <v>787</v>
      </c>
      <c r="D1361" s="105" t="s">
        <v>811</v>
      </c>
      <c r="E1361" s="107" t="n">
        <f aca="false">IF(AND(AKRUAL="YA",J1361&lt;=BLN),MAX(0,INDEX(PAJAK!$J$6:$J$17,J1361)),0)</f>
        <v>0</v>
      </c>
      <c r="F1361" s="105" t="s">
        <v>2695</v>
      </c>
      <c r="G1361" s="105"/>
      <c r="H1361" s="105"/>
      <c r="I1361" s="105" t="s">
        <v>813</v>
      </c>
      <c r="J1361" s="102" t="n">
        <f aca="false">IF(B1361="","",MONTH(B1361))</f>
        <v>12</v>
      </c>
      <c r="K1361" s="102" t="n">
        <f aca="false">IF(B1361="","",YEAR(B1361))</f>
        <v>2026</v>
      </c>
      <c r="L1361" s="102" t="str">
        <f aca="false">IF(N(E1361)=0,"",IF(COUNTIFS(AK_NAMA,C1361,AK_KAT,"KAS")+COUNTIFS(AK_NAMA,D1361,AK_KAT,"KAS")&lt;&gt;1,"",IF(COUNTIFS(AK_NAMA,C1361,AK_KAT,"KAS")=1,D1361,C1361)))</f>
        <v/>
      </c>
      <c r="M1361" s="103" t="n">
        <f aca="false">IF(L1361="",0,IF(L1361=D1361,E1361,-E1361))</f>
        <v>0</v>
      </c>
      <c r="N1361" s="102" t="str">
        <f aca="false">IF(L1361="","",IFERROR(INDEX(AK_BARIS,MATCH(L1361,AK_NAMA,0)),"?"))</f>
        <v/>
      </c>
      <c r="O1361" s="102" t="str">
        <f aca="false">IF(C1361="","",IFERROR(INDEX(AK_KEL,MATCH(C1361,AK_NAMA,0)),"?"))</f>
        <v>PENDAPATAN</v>
      </c>
      <c r="P1361" s="102" t="str">
        <f aca="false">IF(D1361="","",IFERROR(INDEX(AK_KEL,MATCH(D1361,AK_NAMA,0)),"?"))</f>
        <v>LIABILITAS</v>
      </c>
      <c r="Q1361" s="102" t="n">
        <f aca="false">N(Q1360)+IF(AND(N(E1361)&lt;&gt;0,K1361=TAHUN,N(J1361)&lt;=BLN,OR(C1361=BB_AKUN,D1361=BB_AKUN)),1,0)</f>
        <v>877</v>
      </c>
      <c r="R1361" s="104" t="str">
        <f aca="false">IF(OR(C1361&amp;D1361="",N(E1361)=0),"",IF(OR(O1361="?",P1361="?"),"⚠ akun tidak dikenal",IF(C1361=D1361,"⚠ debet = kredit","")))</f>
        <v/>
      </c>
    </row>
    <row r="1362" customFormat="false" ht="15" hidden="false" customHeight="false" outlineLevel="0" collapsed="false">
      <c r="A1362" s="5"/>
      <c r="B1362" s="83"/>
      <c r="C1362" s="5"/>
      <c r="D1362" s="5"/>
      <c r="E1362" s="44"/>
      <c r="F1362" s="5"/>
      <c r="G1362" s="5"/>
      <c r="H1362" s="5"/>
      <c r="I1362" s="5"/>
      <c r="J1362" s="102" t="str">
        <f aca="false">IF(B1362="","",MONTH(B1362))</f>
        <v/>
      </c>
      <c r="K1362" s="102" t="str">
        <f aca="false">IF(B1362="","",YEAR(B1362))</f>
        <v/>
      </c>
      <c r="L1362" s="102" t="str">
        <f aca="false">IF(N(E1362)=0,"",IF(COUNTIFS(AK_NAMA,C1362,AK_KAT,"KAS")+COUNTIFS(AK_NAMA,D1362,AK_KAT,"KAS")&lt;&gt;1,"",IF(COUNTIFS(AK_NAMA,C1362,AK_KAT,"KAS")=1,D1362,C1362)))</f>
        <v/>
      </c>
      <c r="M1362" s="103" t="n">
        <f aca="false">IF(L1362="",0,IF(L1362=D1362,E1362,-E1362))</f>
        <v>0</v>
      </c>
      <c r="N1362" s="102" t="str">
        <f aca="false">IF(L1362="","",IFERROR(INDEX(AK_BARIS,MATCH(L1362,AK_NAMA,0)),"?"))</f>
        <v/>
      </c>
      <c r="O1362" s="102" t="str">
        <f aca="false">IF(C1362="","",IFERROR(INDEX(AK_KEL,MATCH(C1362,AK_NAMA,0)),"?"))</f>
        <v/>
      </c>
      <c r="P1362" s="102" t="str">
        <f aca="false">IF(D1362="","",IFERROR(INDEX(AK_KEL,MATCH(D1362,AK_NAMA,0)),"?"))</f>
        <v/>
      </c>
      <c r="Q1362" s="102" t="n">
        <f aca="false">N(Q1361)+IF(AND(N(E1362)&lt;&gt;0,K1362=TAHUN,N(J1362)&lt;=BLN,OR(C1362=BB_AKUN,D1362=BB_AKUN)),1,0)</f>
        <v>877</v>
      </c>
      <c r="R1362" s="104" t="str">
        <f aca="false">IF(OR(C1362&amp;D1362="",N(E1362)=0),"",IF(OR(O1362="?",P1362="?"),"⚠ akun tidak dikenal",IF(C1362=D1362,"⚠ debet = kredit","")))</f>
        <v/>
      </c>
    </row>
    <row r="1363" customFormat="false" ht="15" hidden="false" customHeight="false" outlineLevel="0" collapsed="false">
      <c r="A1363" s="5"/>
      <c r="B1363" s="83"/>
      <c r="C1363" s="5"/>
      <c r="D1363" s="5"/>
      <c r="E1363" s="44"/>
      <c r="F1363" s="5"/>
      <c r="G1363" s="5"/>
      <c r="H1363" s="5"/>
      <c r="I1363" s="5"/>
      <c r="J1363" s="102" t="str">
        <f aca="false">IF(B1363="","",MONTH(B1363))</f>
        <v/>
      </c>
      <c r="K1363" s="102" t="str">
        <f aca="false">IF(B1363="","",YEAR(B1363))</f>
        <v/>
      </c>
      <c r="L1363" s="102" t="str">
        <f aca="false">IF(N(E1363)=0,"",IF(COUNTIFS(AK_NAMA,C1363,AK_KAT,"KAS")+COUNTIFS(AK_NAMA,D1363,AK_KAT,"KAS")&lt;&gt;1,"",IF(COUNTIFS(AK_NAMA,C1363,AK_KAT,"KAS")=1,D1363,C1363)))</f>
        <v/>
      </c>
      <c r="M1363" s="103" t="n">
        <f aca="false">IF(L1363="",0,IF(L1363=D1363,E1363,-E1363))</f>
        <v>0</v>
      </c>
      <c r="N1363" s="102" t="str">
        <f aca="false">IF(L1363="","",IFERROR(INDEX(AK_BARIS,MATCH(L1363,AK_NAMA,0)),"?"))</f>
        <v/>
      </c>
      <c r="O1363" s="102" t="str">
        <f aca="false">IF(C1363="","",IFERROR(INDEX(AK_KEL,MATCH(C1363,AK_NAMA,0)),"?"))</f>
        <v/>
      </c>
      <c r="P1363" s="102" t="str">
        <f aca="false">IF(D1363="","",IFERROR(INDEX(AK_KEL,MATCH(D1363,AK_NAMA,0)),"?"))</f>
        <v/>
      </c>
      <c r="Q1363" s="102" t="n">
        <f aca="false">N(Q1362)+IF(AND(N(E1363)&lt;&gt;0,K1363=TAHUN,N(J1363)&lt;=BLN,OR(C1363=BB_AKUN,D1363=BB_AKUN)),1,0)</f>
        <v>877</v>
      </c>
      <c r="R1363" s="104" t="str">
        <f aca="false">IF(OR(C1363&amp;D1363="",N(E1363)=0),"",IF(OR(O1363="?",P1363="?"),"⚠ akun tidak dikenal",IF(C1363=D1363,"⚠ debet = kredit","")))</f>
        <v/>
      </c>
    </row>
    <row r="1364" customFormat="false" ht="15" hidden="false" customHeight="false" outlineLevel="0" collapsed="false">
      <c r="A1364" s="5"/>
      <c r="B1364" s="83"/>
      <c r="C1364" s="5"/>
      <c r="D1364" s="5"/>
      <c r="E1364" s="44"/>
      <c r="F1364" s="5"/>
      <c r="G1364" s="5"/>
      <c r="H1364" s="5"/>
      <c r="I1364" s="5"/>
      <c r="J1364" s="102" t="str">
        <f aca="false">IF(B1364="","",MONTH(B1364))</f>
        <v/>
      </c>
      <c r="K1364" s="102" t="str">
        <f aca="false">IF(B1364="","",YEAR(B1364))</f>
        <v/>
      </c>
      <c r="L1364" s="102" t="str">
        <f aca="false">IF(N(E1364)=0,"",IF(COUNTIFS(AK_NAMA,C1364,AK_KAT,"KAS")+COUNTIFS(AK_NAMA,D1364,AK_KAT,"KAS")&lt;&gt;1,"",IF(COUNTIFS(AK_NAMA,C1364,AK_KAT,"KAS")=1,D1364,C1364)))</f>
        <v/>
      </c>
      <c r="M1364" s="103" t="n">
        <f aca="false">IF(L1364="",0,IF(L1364=D1364,E1364,-E1364))</f>
        <v>0</v>
      </c>
      <c r="N1364" s="102" t="str">
        <f aca="false">IF(L1364="","",IFERROR(INDEX(AK_BARIS,MATCH(L1364,AK_NAMA,0)),"?"))</f>
        <v/>
      </c>
      <c r="O1364" s="102" t="str">
        <f aca="false">IF(C1364="","",IFERROR(INDEX(AK_KEL,MATCH(C1364,AK_NAMA,0)),"?"))</f>
        <v/>
      </c>
      <c r="P1364" s="102" t="str">
        <f aca="false">IF(D1364="","",IFERROR(INDEX(AK_KEL,MATCH(D1364,AK_NAMA,0)),"?"))</f>
        <v/>
      </c>
      <c r="Q1364" s="102" t="n">
        <f aca="false">N(Q1363)+IF(AND(N(E1364)&lt;&gt;0,K1364=TAHUN,N(J1364)&lt;=BLN,OR(C1364=BB_AKUN,D1364=BB_AKUN)),1,0)</f>
        <v>877</v>
      </c>
      <c r="R1364" s="104" t="str">
        <f aca="false">IF(OR(C1364&amp;D1364="",N(E1364)=0),"",IF(OR(O1364="?",P1364="?"),"⚠ akun tidak dikenal",IF(C1364=D1364,"⚠ debet = kredit","")))</f>
        <v/>
      </c>
    </row>
    <row r="1365" customFormat="false" ht="15" hidden="false" customHeight="false" outlineLevel="0" collapsed="false">
      <c r="A1365" s="5"/>
      <c r="B1365" s="83"/>
      <c r="C1365" s="5"/>
      <c r="D1365" s="5"/>
      <c r="E1365" s="44"/>
      <c r="F1365" s="5"/>
      <c r="G1365" s="5"/>
      <c r="H1365" s="5"/>
      <c r="I1365" s="5"/>
      <c r="J1365" s="102" t="str">
        <f aca="false">IF(B1365="","",MONTH(B1365))</f>
        <v/>
      </c>
      <c r="K1365" s="102" t="str">
        <f aca="false">IF(B1365="","",YEAR(B1365))</f>
        <v/>
      </c>
      <c r="L1365" s="102" t="str">
        <f aca="false">IF(N(E1365)=0,"",IF(COUNTIFS(AK_NAMA,C1365,AK_KAT,"KAS")+COUNTIFS(AK_NAMA,D1365,AK_KAT,"KAS")&lt;&gt;1,"",IF(COUNTIFS(AK_NAMA,C1365,AK_KAT,"KAS")=1,D1365,C1365)))</f>
        <v/>
      </c>
      <c r="M1365" s="103" t="n">
        <f aca="false">IF(L1365="",0,IF(L1365=D1365,E1365,-E1365))</f>
        <v>0</v>
      </c>
      <c r="N1365" s="102" t="str">
        <f aca="false">IF(L1365="","",IFERROR(INDEX(AK_BARIS,MATCH(L1365,AK_NAMA,0)),"?"))</f>
        <v/>
      </c>
      <c r="O1365" s="102" t="str">
        <f aca="false">IF(C1365="","",IFERROR(INDEX(AK_KEL,MATCH(C1365,AK_NAMA,0)),"?"))</f>
        <v/>
      </c>
      <c r="P1365" s="102" t="str">
        <f aca="false">IF(D1365="","",IFERROR(INDEX(AK_KEL,MATCH(D1365,AK_NAMA,0)),"?"))</f>
        <v/>
      </c>
      <c r="Q1365" s="102" t="n">
        <f aca="false">N(Q1364)+IF(AND(N(E1365)&lt;&gt;0,K1365=TAHUN,N(J1365)&lt;=BLN,OR(C1365=BB_AKUN,D1365=BB_AKUN)),1,0)</f>
        <v>877</v>
      </c>
      <c r="R1365" s="104" t="str">
        <f aca="false">IF(OR(C1365&amp;D1365="",N(E1365)=0),"",IF(OR(O1365="?",P1365="?"),"⚠ akun tidak dikenal",IF(C1365=D1365,"⚠ debet = kredit","")))</f>
        <v/>
      </c>
    </row>
    <row r="1366" customFormat="false" ht="15" hidden="false" customHeight="false" outlineLevel="0" collapsed="false">
      <c r="A1366" s="5"/>
      <c r="B1366" s="83"/>
      <c r="C1366" s="5"/>
      <c r="D1366" s="5"/>
      <c r="E1366" s="44"/>
      <c r="F1366" s="5"/>
      <c r="G1366" s="5"/>
      <c r="H1366" s="5"/>
      <c r="I1366" s="5"/>
      <c r="J1366" s="102" t="str">
        <f aca="false">IF(B1366="","",MONTH(B1366))</f>
        <v/>
      </c>
      <c r="K1366" s="102" t="str">
        <f aca="false">IF(B1366="","",YEAR(B1366))</f>
        <v/>
      </c>
      <c r="L1366" s="102" t="str">
        <f aca="false">IF(N(E1366)=0,"",IF(COUNTIFS(AK_NAMA,C1366,AK_KAT,"KAS")+COUNTIFS(AK_NAMA,D1366,AK_KAT,"KAS")&lt;&gt;1,"",IF(COUNTIFS(AK_NAMA,C1366,AK_KAT,"KAS")=1,D1366,C1366)))</f>
        <v/>
      </c>
      <c r="M1366" s="103" t="n">
        <f aca="false">IF(L1366="",0,IF(L1366=D1366,E1366,-E1366))</f>
        <v>0</v>
      </c>
      <c r="N1366" s="102" t="str">
        <f aca="false">IF(L1366="","",IFERROR(INDEX(AK_BARIS,MATCH(L1366,AK_NAMA,0)),"?"))</f>
        <v/>
      </c>
      <c r="O1366" s="102" t="str">
        <f aca="false">IF(C1366="","",IFERROR(INDEX(AK_KEL,MATCH(C1366,AK_NAMA,0)),"?"))</f>
        <v/>
      </c>
      <c r="P1366" s="102" t="str">
        <f aca="false">IF(D1366="","",IFERROR(INDEX(AK_KEL,MATCH(D1366,AK_NAMA,0)),"?"))</f>
        <v/>
      </c>
      <c r="Q1366" s="102" t="n">
        <f aca="false">N(Q1365)+IF(AND(N(E1366)&lt;&gt;0,K1366=TAHUN,N(J1366)&lt;=BLN,OR(C1366=BB_AKUN,D1366=BB_AKUN)),1,0)</f>
        <v>877</v>
      </c>
      <c r="R1366" s="104" t="str">
        <f aca="false">IF(OR(C1366&amp;D1366="",N(E1366)=0),"",IF(OR(O1366="?",P1366="?"),"⚠ akun tidak dikenal",IF(C1366=D1366,"⚠ debet = kredit","")))</f>
        <v/>
      </c>
    </row>
    <row r="1367" customFormat="false" ht="15" hidden="false" customHeight="false" outlineLevel="0" collapsed="false">
      <c r="A1367" s="5"/>
      <c r="B1367" s="83"/>
      <c r="C1367" s="5"/>
      <c r="D1367" s="5"/>
      <c r="E1367" s="44"/>
      <c r="F1367" s="5"/>
      <c r="G1367" s="5"/>
      <c r="H1367" s="5"/>
      <c r="I1367" s="5"/>
      <c r="J1367" s="102" t="str">
        <f aca="false">IF(B1367="","",MONTH(B1367))</f>
        <v/>
      </c>
      <c r="K1367" s="102" t="str">
        <f aca="false">IF(B1367="","",YEAR(B1367))</f>
        <v/>
      </c>
      <c r="L1367" s="102" t="str">
        <f aca="false">IF(N(E1367)=0,"",IF(COUNTIFS(AK_NAMA,C1367,AK_KAT,"KAS")+COUNTIFS(AK_NAMA,D1367,AK_KAT,"KAS")&lt;&gt;1,"",IF(COUNTIFS(AK_NAMA,C1367,AK_KAT,"KAS")=1,D1367,C1367)))</f>
        <v/>
      </c>
      <c r="M1367" s="103" t="n">
        <f aca="false">IF(L1367="",0,IF(L1367=D1367,E1367,-E1367))</f>
        <v>0</v>
      </c>
      <c r="N1367" s="102" t="str">
        <f aca="false">IF(L1367="","",IFERROR(INDEX(AK_BARIS,MATCH(L1367,AK_NAMA,0)),"?"))</f>
        <v/>
      </c>
      <c r="O1367" s="102" t="str">
        <f aca="false">IF(C1367="","",IFERROR(INDEX(AK_KEL,MATCH(C1367,AK_NAMA,0)),"?"))</f>
        <v/>
      </c>
      <c r="P1367" s="102" t="str">
        <f aca="false">IF(D1367="","",IFERROR(INDEX(AK_KEL,MATCH(D1367,AK_NAMA,0)),"?"))</f>
        <v/>
      </c>
      <c r="Q1367" s="102" t="n">
        <f aca="false">N(Q1366)+IF(AND(N(E1367)&lt;&gt;0,K1367=TAHUN,N(J1367)&lt;=BLN,OR(C1367=BB_AKUN,D1367=BB_AKUN)),1,0)</f>
        <v>877</v>
      </c>
      <c r="R1367" s="104" t="str">
        <f aca="false">IF(OR(C1367&amp;D1367="",N(E1367)=0),"",IF(OR(O1367="?",P1367="?"),"⚠ akun tidak dikenal",IF(C1367=D1367,"⚠ debet = kredit","")))</f>
        <v/>
      </c>
    </row>
    <row r="1368" customFormat="false" ht="15" hidden="false" customHeight="false" outlineLevel="0" collapsed="false">
      <c r="A1368" s="5"/>
      <c r="B1368" s="83"/>
      <c r="C1368" s="5"/>
      <c r="D1368" s="5"/>
      <c r="E1368" s="44"/>
      <c r="F1368" s="5"/>
      <c r="G1368" s="5"/>
      <c r="H1368" s="5"/>
      <c r="I1368" s="5"/>
      <c r="J1368" s="102" t="str">
        <f aca="false">IF(B1368="","",MONTH(B1368))</f>
        <v/>
      </c>
      <c r="K1368" s="102" t="str">
        <f aca="false">IF(B1368="","",YEAR(B1368))</f>
        <v/>
      </c>
      <c r="L1368" s="102" t="str">
        <f aca="false">IF(N(E1368)=0,"",IF(COUNTIFS(AK_NAMA,C1368,AK_KAT,"KAS")+COUNTIFS(AK_NAMA,D1368,AK_KAT,"KAS")&lt;&gt;1,"",IF(COUNTIFS(AK_NAMA,C1368,AK_KAT,"KAS")=1,D1368,C1368)))</f>
        <v/>
      </c>
      <c r="M1368" s="103" t="n">
        <f aca="false">IF(L1368="",0,IF(L1368=D1368,E1368,-E1368))</f>
        <v>0</v>
      </c>
      <c r="N1368" s="102" t="str">
        <f aca="false">IF(L1368="","",IFERROR(INDEX(AK_BARIS,MATCH(L1368,AK_NAMA,0)),"?"))</f>
        <v/>
      </c>
      <c r="O1368" s="102" t="str">
        <f aca="false">IF(C1368="","",IFERROR(INDEX(AK_KEL,MATCH(C1368,AK_NAMA,0)),"?"))</f>
        <v/>
      </c>
      <c r="P1368" s="102" t="str">
        <f aca="false">IF(D1368="","",IFERROR(INDEX(AK_KEL,MATCH(D1368,AK_NAMA,0)),"?"))</f>
        <v/>
      </c>
      <c r="Q1368" s="102" t="n">
        <f aca="false">N(Q1367)+IF(AND(N(E1368)&lt;&gt;0,K1368=TAHUN,N(J1368)&lt;=BLN,OR(C1368=BB_AKUN,D1368=BB_AKUN)),1,0)</f>
        <v>877</v>
      </c>
      <c r="R1368" s="104" t="str">
        <f aca="false">IF(OR(C1368&amp;D1368="",N(E1368)=0),"",IF(OR(O1368="?",P1368="?"),"⚠ akun tidak dikenal",IF(C1368=D1368,"⚠ debet = kredit","")))</f>
        <v/>
      </c>
    </row>
    <row r="1369" customFormat="false" ht="15" hidden="false" customHeight="false" outlineLevel="0" collapsed="false">
      <c r="A1369" s="5"/>
      <c r="B1369" s="83"/>
      <c r="C1369" s="5"/>
      <c r="D1369" s="5"/>
      <c r="E1369" s="44"/>
      <c r="F1369" s="5"/>
      <c r="G1369" s="5"/>
      <c r="H1369" s="5"/>
      <c r="I1369" s="5"/>
      <c r="J1369" s="102" t="str">
        <f aca="false">IF(B1369="","",MONTH(B1369))</f>
        <v/>
      </c>
      <c r="K1369" s="102" t="str">
        <f aca="false">IF(B1369="","",YEAR(B1369))</f>
        <v/>
      </c>
      <c r="L1369" s="102" t="str">
        <f aca="false">IF(N(E1369)=0,"",IF(COUNTIFS(AK_NAMA,C1369,AK_KAT,"KAS")+COUNTIFS(AK_NAMA,D1369,AK_KAT,"KAS")&lt;&gt;1,"",IF(COUNTIFS(AK_NAMA,C1369,AK_KAT,"KAS")=1,D1369,C1369)))</f>
        <v/>
      </c>
      <c r="M1369" s="103" t="n">
        <f aca="false">IF(L1369="",0,IF(L1369=D1369,E1369,-E1369))</f>
        <v>0</v>
      </c>
      <c r="N1369" s="102" t="str">
        <f aca="false">IF(L1369="","",IFERROR(INDEX(AK_BARIS,MATCH(L1369,AK_NAMA,0)),"?"))</f>
        <v/>
      </c>
      <c r="O1369" s="102" t="str">
        <f aca="false">IF(C1369="","",IFERROR(INDEX(AK_KEL,MATCH(C1369,AK_NAMA,0)),"?"))</f>
        <v/>
      </c>
      <c r="P1369" s="102" t="str">
        <f aca="false">IF(D1369="","",IFERROR(INDEX(AK_KEL,MATCH(D1369,AK_NAMA,0)),"?"))</f>
        <v/>
      </c>
      <c r="Q1369" s="102" t="n">
        <f aca="false">N(Q1368)+IF(AND(N(E1369)&lt;&gt;0,K1369=TAHUN,N(J1369)&lt;=BLN,OR(C1369=BB_AKUN,D1369=BB_AKUN)),1,0)</f>
        <v>877</v>
      </c>
      <c r="R1369" s="104" t="str">
        <f aca="false">IF(OR(C1369&amp;D1369="",N(E1369)=0),"",IF(OR(O1369="?",P1369="?"),"⚠ akun tidak dikenal",IF(C1369=D1369,"⚠ debet = kredit","")))</f>
        <v/>
      </c>
    </row>
    <row r="1370" customFormat="false" ht="15" hidden="false" customHeight="false" outlineLevel="0" collapsed="false">
      <c r="A1370" s="5"/>
      <c r="B1370" s="83"/>
      <c r="C1370" s="5"/>
      <c r="D1370" s="5"/>
      <c r="E1370" s="44"/>
      <c r="F1370" s="5"/>
      <c r="G1370" s="5"/>
      <c r="H1370" s="5"/>
      <c r="I1370" s="5"/>
      <c r="J1370" s="102" t="str">
        <f aca="false">IF(B1370="","",MONTH(B1370))</f>
        <v/>
      </c>
      <c r="K1370" s="102" t="str">
        <f aca="false">IF(B1370="","",YEAR(B1370))</f>
        <v/>
      </c>
      <c r="L1370" s="102" t="str">
        <f aca="false">IF(N(E1370)=0,"",IF(COUNTIFS(AK_NAMA,C1370,AK_KAT,"KAS")+COUNTIFS(AK_NAMA,D1370,AK_KAT,"KAS")&lt;&gt;1,"",IF(COUNTIFS(AK_NAMA,C1370,AK_KAT,"KAS")=1,D1370,C1370)))</f>
        <v/>
      </c>
      <c r="M1370" s="103" t="n">
        <f aca="false">IF(L1370="",0,IF(L1370=D1370,E1370,-E1370))</f>
        <v>0</v>
      </c>
      <c r="N1370" s="102" t="str">
        <f aca="false">IF(L1370="","",IFERROR(INDEX(AK_BARIS,MATCH(L1370,AK_NAMA,0)),"?"))</f>
        <v/>
      </c>
      <c r="O1370" s="102" t="str">
        <f aca="false">IF(C1370="","",IFERROR(INDEX(AK_KEL,MATCH(C1370,AK_NAMA,0)),"?"))</f>
        <v/>
      </c>
      <c r="P1370" s="102" t="str">
        <f aca="false">IF(D1370="","",IFERROR(INDEX(AK_KEL,MATCH(D1370,AK_NAMA,0)),"?"))</f>
        <v/>
      </c>
      <c r="Q1370" s="102" t="n">
        <f aca="false">N(Q1369)+IF(AND(N(E1370)&lt;&gt;0,K1370=TAHUN,N(J1370)&lt;=BLN,OR(C1370=BB_AKUN,D1370=BB_AKUN)),1,0)</f>
        <v>877</v>
      </c>
      <c r="R1370" s="104" t="str">
        <f aca="false">IF(OR(C1370&amp;D1370="",N(E1370)=0),"",IF(OR(O1370="?",P1370="?"),"⚠ akun tidak dikenal",IF(C1370=D1370,"⚠ debet = kredit","")))</f>
        <v/>
      </c>
    </row>
    <row r="1371" customFormat="false" ht="15" hidden="false" customHeight="false" outlineLevel="0" collapsed="false">
      <c r="A1371" s="5"/>
      <c r="B1371" s="83"/>
      <c r="C1371" s="5"/>
      <c r="D1371" s="5"/>
      <c r="E1371" s="44"/>
      <c r="F1371" s="5"/>
      <c r="G1371" s="5"/>
      <c r="H1371" s="5"/>
      <c r="I1371" s="5"/>
      <c r="J1371" s="102" t="str">
        <f aca="false">IF(B1371="","",MONTH(B1371))</f>
        <v/>
      </c>
      <c r="K1371" s="102" t="str">
        <f aca="false">IF(B1371="","",YEAR(B1371))</f>
        <v/>
      </c>
      <c r="L1371" s="102" t="str">
        <f aca="false">IF(N(E1371)=0,"",IF(COUNTIFS(AK_NAMA,C1371,AK_KAT,"KAS")+COUNTIFS(AK_NAMA,D1371,AK_KAT,"KAS")&lt;&gt;1,"",IF(COUNTIFS(AK_NAMA,C1371,AK_KAT,"KAS")=1,D1371,C1371)))</f>
        <v/>
      </c>
      <c r="M1371" s="103" t="n">
        <f aca="false">IF(L1371="",0,IF(L1371=D1371,E1371,-E1371))</f>
        <v>0</v>
      </c>
      <c r="N1371" s="102" t="str">
        <f aca="false">IF(L1371="","",IFERROR(INDEX(AK_BARIS,MATCH(L1371,AK_NAMA,0)),"?"))</f>
        <v/>
      </c>
      <c r="O1371" s="102" t="str">
        <f aca="false">IF(C1371="","",IFERROR(INDEX(AK_KEL,MATCH(C1371,AK_NAMA,0)),"?"))</f>
        <v/>
      </c>
      <c r="P1371" s="102" t="str">
        <f aca="false">IF(D1371="","",IFERROR(INDEX(AK_KEL,MATCH(D1371,AK_NAMA,0)),"?"))</f>
        <v/>
      </c>
      <c r="Q1371" s="102" t="n">
        <f aca="false">N(Q1370)+IF(AND(N(E1371)&lt;&gt;0,K1371=TAHUN,N(J1371)&lt;=BLN,OR(C1371=BB_AKUN,D1371=BB_AKUN)),1,0)</f>
        <v>877</v>
      </c>
      <c r="R1371" s="104" t="str">
        <f aca="false">IF(OR(C1371&amp;D1371="",N(E1371)=0),"",IF(OR(O1371="?",P1371="?"),"⚠ akun tidak dikenal",IF(C1371=D1371,"⚠ debet = kredit","")))</f>
        <v/>
      </c>
    </row>
    <row r="1372" customFormat="false" ht="15" hidden="false" customHeight="false" outlineLevel="0" collapsed="false">
      <c r="A1372" s="5"/>
      <c r="B1372" s="83"/>
      <c r="C1372" s="5"/>
      <c r="D1372" s="5"/>
      <c r="E1372" s="44"/>
      <c r="F1372" s="5"/>
      <c r="G1372" s="5"/>
      <c r="H1372" s="5"/>
      <c r="I1372" s="5"/>
      <c r="J1372" s="102" t="str">
        <f aca="false">IF(B1372="","",MONTH(B1372))</f>
        <v/>
      </c>
      <c r="K1372" s="102" t="str">
        <f aca="false">IF(B1372="","",YEAR(B1372))</f>
        <v/>
      </c>
      <c r="L1372" s="102" t="str">
        <f aca="false">IF(N(E1372)=0,"",IF(COUNTIFS(AK_NAMA,C1372,AK_KAT,"KAS")+COUNTIFS(AK_NAMA,D1372,AK_KAT,"KAS")&lt;&gt;1,"",IF(COUNTIFS(AK_NAMA,C1372,AK_KAT,"KAS")=1,D1372,C1372)))</f>
        <v/>
      </c>
      <c r="M1372" s="103" t="n">
        <f aca="false">IF(L1372="",0,IF(L1372=D1372,E1372,-E1372))</f>
        <v>0</v>
      </c>
      <c r="N1372" s="102" t="str">
        <f aca="false">IF(L1372="","",IFERROR(INDEX(AK_BARIS,MATCH(L1372,AK_NAMA,0)),"?"))</f>
        <v/>
      </c>
      <c r="O1372" s="102" t="str">
        <f aca="false">IF(C1372="","",IFERROR(INDEX(AK_KEL,MATCH(C1372,AK_NAMA,0)),"?"))</f>
        <v/>
      </c>
      <c r="P1372" s="102" t="str">
        <f aca="false">IF(D1372="","",IFERROR(INDEX(AK_KEL,MATCH(D1372,AK_NAMA,0)),"?"))</f>
        <v/>
      </c>
      <c r="Q1372" s="102" t="n">
        <f aca="false">N(Q1371)+IF(AND(N(E1372)&lt;&gt;0,K1372=TAHUN,N(J1372)&lt;=BLN,OR(C1372=BB_AKUN,D1372=BB_AKUN)),1,0)</f>
        <v>877</v>
      </c>
      <c r="R1372" s="104" t="str">
        <f aca="false">IF(OR(C1372&amp;D1372="",N(E1372)=0),"",IF(OR(O1372="?",P1372="?"),"⚠ akun tidak dikenal",IF(C1372=D1372,"⚠ debet = kredit","")))</f>
        <v/>
      </c>
    </row>
    <row r="1373" customFormat="false" ht="15" hidden="false" customHeight="false" outlineLevel="0" collapsed="false">
      <c r="A1373" s="5"/>
      <c r="B1373" s="83"/>
      <c r="C1373" s="5"/>
      <c r="D1373" s="5"/>
      <c r="E1373" s="44"/>
      <c r="F1373" s="5"/>
      <c r="G1373" s="5"/>
      <c r="H1373" s="5"/>
      <c r="I1373" s="5"/>
      <c r="J1373" s="102" t="str">
        <f aca="false">IF(B1373="","",MONTH(B1373))</f>
        <v/>
      </c>
      <c r="K1373" s="102" t="str">
        <f aca="false">IF(B1373="","",YEAR(B1373))</f>
        <v/>
      </c>
      <c r="L1373" s="102" t="str">
        <f aca="false">IF(N(E1373)=0,"",IF(COUNTIFS(AK_NAMA,C1373,AK_KAT,"KAS")+COUNTIFS(AK_NAMA,D1373,AK_KAT,"KAS")&lt;&gt;1,"",IF(COUNTIFS(AK_NAMA,C1373,AK_KAT,"KAS")=1,D1373,C1373)))</f>
        <v/>
      </c>
      <c r="M1373" s="103" t="n">
        <f aca="false">IF(L1373="",0,IF(L1373=D1373,E1373,-E1373))</f>
        <v>0</v>
      </c>
      <c r="N1373" s="102" t="str">
        <f aca="false">IF(L1373="","",IFERROR(INDEX(AK_BARIS,MATCH(L1373,AK_NAMA,0)),"?"))</f>
        <v/>
      </c>
      <c r="O1373" s="102" t="str">
        <f aca="false">IF(C1373="","",IFERROR(INDEX(AK_KEL,MATCH(C1373,AK_NAMA,0)),"?"))</f>
        <v/>
      </c>
      <c r="P1373" s="102" t="str">
        <f aca="false">IF(D1373="","",IFERROR(INDEX(AK_KEL,MATCH(D1373,AK_NAMA,0)),"?"))</f>
        <v/>
      </c>
      <c r="Q1373" s="102" t="n">
        <f aca="false">N(Q1372)+IF(AND(N(E1373)&lt;&gt;0,K1373=TAHUN,N(J1373)&lt;=BLN,OR(C1373=BB_AKUN,D1373=BB_AKUN)),1,0)</f>
        <v>877</v>
      </c>
      <c r="R1373" s="104" t="str">
        <f aca="false">IF(OR(C1373&amp;D1373="",N(E1373)=0),"",IF(OR(O1373="?",P1373="?"),"⚠ akun tidak dikenal",IF(C1373=D1373,"⚠ debet = kredit","")))</f>
        <v/>
      </c>
    </row>
    <row r="1374" customFormat="false" ht="15" hidden="false" customHeight="false" outlineLevel="0" collapsed="false">
      <c r="A1374" s="5"/>
      <c r="B1374" s="83"/>
      <c r="C1374" s="5"/>
      <c r="D1374" s="5"/>
      <c r="E1374" s="44"/>
      <c r="F1374" s="5"/>
      <c r="G1374" s="5"/>
      <c r="H1374" s="5"/>
      <c r="I1374" s="5"/>
      <c r="J1374" s="102" t="str">
        <f aca="false">IF(B1374="","",MONTH(B1374))</f>
        <v/>
      </c>
      <c r="K1374" s="102" t="str">
        <f aca="false">IF(B1374="","",YEAR(B1374))</f>
        <v/>
      </c>
      <c r="L1374" s="102" t="str">
        <f aca="false">IF(N(E1374)=0,"",IF(COUNTIFS(AK_NAMA,C1374,AK_KAT,"KAS")+COUNTIFS(AK_NAMA,D1374,AK_KAT,"KAS")&lt;&gt;1,"",IF(COUNTIFS(AK_NAMA,C1374,AK_KAT,"KAS")=1,D1374,C1374)))</f>
        <v/>
      </c>
      <c r="M1374" s="103" t="n">
        <f aca="false">IF(L1374="",0,IF(L1374=D1374,E1374,-E1374))</f>
        <v>0</v>
      </c>
      <c r="N1374" s="102" t="str">
        <f aca="false">IF(L1374="","",IFERROR(INDEX(AK_BARIS,MATCH(L1374,AK_NAMA,0)),"?"))</f>
        <v/>
      </c>
      <c r="O1374" s="102" t="str">
        <f aca="false">IF(C1374="","",IFERROR(INDEX(AK_KEL,MATCH(C1374,AK_NAMA,0)),"?"))</f>
        <v/>
      </c>
      <c r="P1374" s="102" t="str">
        <f aca="false">IF(D1374="","",IFERROR(INDEX(AK_KEL,MATCH(D1374,AK_NAMA,0)),"?"))</f>
        <v/>
      </c>
      <c r="Q1374" s="102" t="n">
        <f aca="false">N(Q1373)+IF(AND(N(E1374)&lt;&gt;0,K1374=TAHUN,N(J1374)&lt;=BLN,OR(C1374=BB_AKUN,D1374=BB_AKUN)),1,0)</f>
        <v>877</v>
      </c>
      <c r="R1374" s="104" t="str">
        <f aca="false">IF(OR(C1374&amp;D1374="",N(E1374)=0),"",IF(OR(O1374="?",P1374="?"),"⚠ akun tidak dikenal",IF(C1374=D1374,"⚠ debet = kredit","")))</f>
        <v/>
      </c>
    </row>
    <row r="1375" customFormat="false" ht="15" hidden="false" customHeight="false" outlineLevel="0" collapsed="false">
      <c r="A1375" s="5"/>
      <c r="B1375" s="83"/>
      <c r="C1375" s="5"/>
      <c r="D1375" s="5"/>
      <c r="E1375" s="44"/>
      <c r="F1375" s="5"/>
      <c r="G1375" s="5"/>
      <c r="H1375" s="5"/>
      <c r="I1375" s="5"/>
      <c r="J1375" s="102" t="str">
        <f aca="false">IF(B1375="","",MONTH(B1375))</f>
        <v/>
      </c>
      <c r="K1375" s="102" t="str">
        <f aca="false">IF(B1375="","",YEAR(B1375))</f>
        <v/>
      </c>
      <c r="L1375" s="102" t="str">
        <f aca="false">IF(N(E1375)=0,"",IF(COUNTIFS(AK_NAMA,C1375,AK_KAT,"KAS")+COUNTIFS(AK_NAMA,D1375,AK_KAT,"KAS")&lt;&gt;1,"",IF(COUNTIFS(AK_NAMA,C1375,AK_KAT,"KAS")=1,D1375,C1375)))</f>
        <v/>
      </c>
      <c r="M1375" s="103" t="n">
        <f aca="false">IF(L1375="",0,IF(L1375=D1375,E1375,-E1375))</f>
        <v>0</v>
      </c>
      <c r="N1375" s="102" t="str">
        <f aca="false">IF(L1375="","",IFERROR(INDEX(AK_BARIS,MATCH(L1375,AK_NAMA,0)),"?"))</f>
        <v/>
      </c>
      <c r="O1375" s="102" t="str">
        <f aca="false">IF(C1375="","",IFERROR(INDEX(AK_KEL,MATCH(C1375,AK_NAMA,0)),"?"))</f>
        <v/>
      </c>
      <c r="P1375" s="102" t="str">
        <f aca="false">IF(D1375="","",IFERROR(INDEX(AK_KEL,MATCH(D1375,AK_NAMA,0)),"?"))</f>
        <v/>
      </c>
      <c r="Q1375" s="102" t="n">
        <f aca="false">N(Q1374)+IF(AND(N(E1375)&lt;&gt;0,K1375=TAHUN,N(J1375)&lt;=BLN,OR(C1375=BB_AKUN,D1375=BB_AKUN)),1,0)</f>
        <v>877</v>
      </c>
      <c r="R1375" s="104" t="str">
        <f aca="false">IF(OR(C1375&amp;D1375="",N(E1375)=0),"",IF(OR(O1375="?",P1375="?"),"⚠ akun tidak dikenal",IF(C1375=D1375,"⚠ debet = kredit","")))</f>
        <v/>
      </c>
    </row>
    <row r="1376" customFormat="false" ht="15" hidden="false" customHeight="false" outlineLevel="0" collapsed="false">
      <c r="A1376" s="5"/>
      <c r="B1376" s="83"/>
      <c r="C1376" s="5"/>
      <c r="D1376" s="5"/>
      <c r="E1376" s="44"/>
      <c r="F1376" s="5"/>
      <c r="G1376" s="5"/>
      <c r="H1376" s="5"/>
      <c r="I1376" s="5"/>
      <c r="J1376" s="102" t="str">
        <f aca="false">IF(B1376="","",MONTH(B1376))</f>
        <v/>
      </c>
      <c r="K1376" s="102" t="str">
        <f aca="false">IF(B1376="","",YEAR(B1376))</f>
        <v/>
      </c>
      <c r="L1376" s="102" t="str">
        <f aca="false">IF(N(E1376)=0,"",IF(COUNTIFS(AK_NAMA,C1376,AK_KAT,"KAS")+COUNTIFS(AK_NAMA,D1376,AK_KAT,"KAS")&lt;&gt;1,"",IF(COUNTIFS(AK_NAMA,C1376,AK_KAT,"KAS")=1,D1376,C1376)))</f>
        <v/>
      </c>
      <c r="M1376" s="103" t="n">
        <f aca="false">IF(L1376="",0,IF(L1376=D1376,E1376,-E1376))</f>
        <v>0</v>
      </c>
      <c r="N1376" s="102" t="str">
        <f aca="false">IF(L1376="","",IFERROR(INDEX(AK_BARIS,MATCH(L1376,AK_NAMA,0)),"?"))</f>
        <v/>
      </c>
      <c r="O1376" s="102" t="str">
        <f aca="false">IF(C1376="","",IFERROR(INDEX(AK_KEL,MATCH(C1376,AK_NAMA,0)),"?"))</f>
        <v/>
      </c>
      <c r="P1376" s="102" t="str">
        <f aca="false">IF(D1376="","",IFERROR(INDEX(AK_KEL,MATCH(D1376,AK_NAMA,0)),"?"))</f>
        <v/>
      </c>
      <c r="Q1376" s="102" t="n">
        <f aca="false">N(Q1375)+IF(AND(N(E1376)&lt;&gt;0,K1376=TAHUN,N(J1376)&lt;=BLN,OR(C1376=BB_AKUN,D1376=BB_AKUN)),1,0)</f>
        <v>877</v>
      </c>
      <c r="R1376" s="104" t="str">
        <f aca="false">IF(OR(C1376&amp;D1376="",N(E1376)=0),"",IF(OR(O1376="?",P1376="?"),"⚠ akun tidak dikenal",IF(C1376=D1376,"⚠ debet = kredit","")))</f>
        <v/>
      </c>
    </row>
    <row r="1377" customFormat="false" ht="15" hidden="false" customHeight="false" outlineLevel="0" collapsed="false">
      <c r="A1377" s="5"/>
      <c r="B1377" s="83"/>
      <c r="C1377" s="5"/>
      <c r="D1377" s="5"/>
      <c r="E1377" s="44"/>
      <c r="F1377" s="5"/>
      <c r="G1377" s="5"/>
      <c r="H1377" s="5"/>
      <c r="I1377" s="5"/>
      <c r="J1377" s="102" t="str">
        <f aca="false">IF(B1377="","",MONTH(B1377))</f>
        <v/>
      </c>
      <c r="K1377" s="102" t="str">
        <f aca="false">IF(B1377="","",YEAR(B1377))</f>
        <v/>
      </c>
      <c r="L1377" s="102" t="str">
        <f aca="false">IF(N(E1377)=0,"",IF(COUNTIFS(AK_NAMA,C1377,AK_KAT,"KAS")+COUNTIFS(AK_NAMA,D1377,AK_KAT,"KAS")&lt;&gt;1,"",IF(COUNTIFS(AK_NAMA,C1377,AK_KAT,"KAS")=1,D1377,C1377)))</f>
        <v/>
      </c>
      <c r="M1377" s="103" t="n">
        <f aca="false">IF(L1377="",0,IF(L1377=D1377,E1377,-E1377))</f>
        <v>0</v>
      </c>
      <c r="N1377" s="102" t="str">
        <f aca="false">IF(L1377="","",IFERROR(INDEX(AK_BARIS,MATCH(L1377,AK_NAMA,0)),"?"))</f>
        <v/>
      </c>
      <c r="O1377" s="102" t="str">
        <f aca="false">IF(C1377="","",IFERROR(INDEX(AK_KEL,MATCH(C1377,AK_NAMA,0)),"?"))</f>
        <v/>
      </c>
      <c r="P1377" s="102" t="str">
        <f aca="false">IF(D1377="","",IFERROR(INDEX(AK_KEL,MATCH(D1377,AK_NAMA,0)),"?"))</f>
        <v/>
      </c>
      <c r="Q1377" s="102" t="n">
        <f aca="false">N(Q1376)+IF(AND(N(E1377)&lt;&gt;0,K1377=TAHUN,N(J1377)&lt;=BLN,OR(C1377=BB_AKUN,D1377=BB_AKUN)),1,0)</f>
        <v>877</v>
      </c>
      <c r="R1377" s="104" t="str">
        <f aca="false">IF(OR(C1377&amp;D1377="",N(E1377)=0),"",IF(OR(O1377="?",P1377="?"),"⚠ akun tidak dikenal",IF(C1377=D1377,"⚠ debet = kredit","")))</f>
        <v/>
      </c>
    </row>
    <row r="1378" customFormat="false" ht="15" hidden="false" customHeight="false" outlineLevel="0" collapsed="false">
      <c r="A1378" s="5"/>
      <c r="B1378" s="83"/>
      <c r="C1378" s="5"/>
      <c r="D1378" s="5"/>
      <c r="E1378" s="44"/>
      <c r="F1378" s="5"/>
      <c r="G1378" s="5"/>
      <c r="H1378" s="5"/>
      <c r="I1378" s="5"/>
      <c r="J1378" s="102" t="str">
        <f aca="false">IF(B1378="","",MONTH(B1378))</f>
        <v/>
      </c>
      <c r="K1378" s="102" t="str">
        <f aca="false">IF(B1378="","",YEAR(B1378))</f>
        <v/>
      </c>
      <c r="L1378" s="102" t="str">
        <f aca="false">IF(N(E1378)=0,"",IF(COUNTIFS(AK_NAMA,C1378,AK_KAT,"KAS")+COUNTIFS(AK_NAMA,D1378,AK_KAT,"KAS")&lt;&gt;1,"",IF(COUNTIFS(AK_NAMA,C1378,AK_KAT,"KAS")=1,D1378,C1378)))</f>
        <v/>
      </c>
      <c r="M1378" s="103" t="n">
        <f aca="false">IF(L1378="",0,IF(L1378=D1378,E1378,-E1378))</f>
        <v>0</v>
      </c>
      <c r="N1378" s="102" t="str">
        <f aca="false">IF(L1378="","",IFERROR(INDEX(AK_BARIS,MATCH(L1378,AK_NAMA,0)),"?"))</f>
        <v/>
      </c>
      <c r="O1378" s="102" t="str">
        <f aca="false">IF(C1378="","",IFERROR(INDEX(AK_KEL,MATCH(C1378,AK_NAMA,0)),"?"))</f>
        <v/>
      </c>
      <c r="P1378" s="102" t="str">
        <f aca="false">IF(D1378="","",IFERROR(INDEX(AK_KEL,MATCH(D1378,AK_NAMA,0)),"?"))</f>
        <v/>
      </c>
      <c r="Q1378" s="102" t="n">
        <f aca="false">N(Q1377)+IF(AND(N(E1378)&lt;&gt;0,K1378=TAHUN,N(J1378)&lt;=BLN,OR(C1378=BB_AKUN,D1378=BB_AKUN)),1,0)</f>
        <v>877</v>
      </c>
      <c r="R1378" s="104" t="str">
        <f aca="false">IF(OR(C1378&amp;D1378="",N(E1378)=0),"",IF(OR(O1378="?",P1378="?"),"⚠ akun tidak dikenal",IF(C1378=D1378,"⚠ debet = kredit","")))</f>
        <v/>
      </c>
    </row>
    <row r="1379" customFormat="false" ht="15" hidden="false" customHeight="false" outlineLevel="0" collapsed="false">
      <c r="A1379" s="5"/>
      <c r="B1379" s="83"/>
      <c r="C1379" s="5"/>
      <c r="D1379" s="5"/>
      <c r="E1379" s="44"/>
      <c r="F1379" s="5"/>
      <c r="G1379" s="5"/>
      <c r="H1379" s="5"/>
      <c r="I1379" s="5"/>
      <c r="J1379" s="102" t="str">
        <f aca="false">IF(B1379="","",MONTH(B1379))</f>
        <v/>
      </c>
      <c r="K1379" s="102" t="str">
        <f aca="false">IF(B1379="","",YEAR(B1379))</f>
        <v/>
      </c>
      <c r="L1379" s="102" t="str">
        <f aca="false">IF(N(E1379)=0,"",IF(COUNTIFS(AK_NAMA,C1379,AK_KAT,"KAS")+COUNTIFS(AK_NAMA,D1379,AK_KAT,"KAS")&lt;&gt;1,"",IF(COUNTIFS(AK_NAMA,C1379,AK_KAT,"KAS")=1,D1379,C1379)))</f>
        <v/>
      </c>
      <c r="M1379" s="103" t="n">
        <f aca="false">IF(L1379="",0,IF(L1379=D1379,E1379,-E1379))</f>
        <v>0</v>
      </c>
      <c r="N1379" s="102" t="str">
        <f aca="false">IF(L1379="","",IFERROR(INDEX(AK_BARIS,MATCH(L1379,AK_NAMA,0)),"?"))</f>
        <v/>
      </c>
      <c r="O1379" s="102" t="str">
        <f aca="false">IF(C1379="","",IFERROR(INDEX(AK_KEL,MATCH(C1379,AK_NAMA,0)),"?"))</f>
        <v/>
      </c>
      <c r="P1379" s="102" t="str">
        <f aca="false">IF(D1379="","",IFERROR(INDEX(AK_KEL,MATCH(D1379,AK_NAMA,0)),"?"))</f>
        <v/>
      </c>
      <c r="Q1379" s="102" t="n">
        <f aca="false">N(Q1378)+IF(AND(N(E1379)&lt;&gt;0,K1379=TAHUN,N(J1379)&lt;=BLN,OR(C1379=BB_AKUN,D1379=BB_AKUN)),1,0)</f>
        <v>877</v>
      </c>
      <c r="R1379" s="104" t="str">
        <f aca="false">IF(OR(C1379&amp;D1379="",N(E1379)=0),"",IF(OR(O1379="?",P1379="?"),"⚠ akun tidak dikenal",IF(C1379=D1379,"⚠ debet = kredit","")))</f>
        <v/>
      </c>
    </row>
    <row r="1380" customFormat="false" ht="15" hidden="false" customHeight="false" outlineLevel="0" collapsed="false">
      <c r="A1380" s="5"/>
      <c r="B1380" s="83"/>
      <c r="C1380" s="5"/>
      <c r="D1380" s="5"/>
      <c r="E1380" s="44"/>
      <c r="F1380" s="5"/>
      <c r="G1380" s="5"/>
      <c r="H1380" s="5"/>
      <c r="I1380" s="5"/>
      <c r="J1380" s="102" t="str">
        <f aca="false">IF(B1380="","",MONTH(B1380))</f>
        <v/>
      </c>
      <c r="K1380" s="102" t="str">
        <f aca="false">IF(B1380="","",YEAR(B1380))</f>
        <v/>
      </c>
      <c r="L1380" s="102" t="str">
        <f aca="false">IF(N(E1380)=0,"",IF(COUNTIFS(AK_NAMA,C1380,AK_KAT,"KAS")+COUNTIFS(AK_NAMA,D1380,AK_KAT,"KAS")&lt;&gt;1,"",IF(COUNTIFS(AK_NAMA,C1380,AK_KAT,"KAS")=1,D1380,C1380)))</f>
        <v/>
      </c>
      <c r="M1380" s="103" t="n">
        <f aca="false">IF(L1380="",0,IF(L1380=D1380,E1380,-E1380))</f>
        <v>0</v>
      </c>
      <c r="N1380" s="102" t="str">
        <f aca="false">IF(L1380="","",IFERROR(INDEX(AK_BARIS,MATCH(L1380,AK_NAMA,0)),"?"))</f>
        <v/>
      </c>
      <c r="O1380" s="102" t="str">
        <f aca="false">IF(C1380="","",IFERROR(INDEX(AK_KEL,MATCH(C1380,AK_NAMA,0)),"?"))</f>
        <v/>
      </c>
      <c r="P1380" s="102" t="str">
        <f aca="false">IF(D1380="","",IFERROR(INDEX(AK_KEL,MATCH(D1380,AK_NAMA,0)),"?"))</f>
        <v/>
      </c>
      <c r="Q1380" s="102" t="n">
        <f aca="false">N(Q1379)+IF(AND(N(E1380)&lt;&gt;0,K1380=TAHUN,N(J1380)&lt;=BLN,OR(C1380=BB_AKUN,D1380=BB_AKUN)),1,0)</f>
        <v>877</v>
      </c>
      <c r="R1380" s="104" t="str">
        <f aca="false">IF(OR(C1380&amp;D1380="",N(E1380)=0),"",IF(OR(O1380="?",P1380="?"),"⚠ akun tidak dikenal",IF(C1380=D1380,"⚠ debet = kredit","")))</f>
        <v/>
      </c>
    </row>
    <row r="1381" customFormat="false" ht="15" hidden="false" customHeight="false" outlineLevel="0" collapsed="false">
      <c r="A1381" s="5"/>
      <c r="B1381" s="83"/>
      <c r="C1381" s="5"/>
      <c r="D1381" s="5"/>
      <c r="E1381" s="44"/>
      <c r="F1381" s="5"/>
      <c r="G1381" s="5"/>
      <c r="H1381" s="5"/>
      <c r="I1381" s="5"/>
      <c r="J1381" s="102" t="str">
        <f aca="false">IF(B1381="","",MONTH(B1381))</f>
        <v/>
      </c>
      <c r="K1381" s="102" t="str">
        <f aca="false">IF(B1381="","",YEAR(B1381))</f>
        <v/>
      </c>
      <c r="L1381" s="102" t="str">
        <f aca="false">IF(N(E1381)=0,"",IF(COUNTIFS(AK_NAMA,C1381,AK_KAT,"KAS")+COUNTIFS(AK_NAMA,D1381,AK_KAT,"KAS")&lt;&gt;1,"",IF(COUNTIFS(AK_NAMA,C1381,AK_KAT,"KAS")=1,D1381,C1381)))</f>
        <v/>
      </c>
      <c r="M1381" s="103" t="n">
        <f aca="false">IF(L1381="",0,IF(L1381=D1381,E1381,-E1381))</f>
        <v>0</v>
      </c>
      <c r="N1381" s="102" t="str">
        <f aca="false">IF(L1381="","",IFERROR(INDEX(AK_BARIS,MATCH(L1381,AK_NAMA,0)),"?"))</f>
        <v/>
      </c>
      <c r="O1381" s="102" t="str">
        <f aca="false">IF(C1381="","",IFERROR(INDEX(AK_KEL,MATCH(C1381,AK_NAMA,0)),"?"))</f>
        <v/>
      </c>
      <c r="P1381" s="102" t="str">
        <f aca="false">IF(D1381="","",IFERROR(INDEX(AK_KEL,MATCH(D1381,AK_NAMA,0)),"?"))</f>
        <v/>
      </c>
      <c r="Q1381" s="102" t="n">
        <f aca="false">N(Q1380)+IF(AND(N(E1381)&lt;&gt;0,K1381=TAHUN,N(J1381)&lt;=BLN,OR(C1381=BB_AKUN,D1381=BB_AKUN)),1,0)</f>
        <v>877</v>
      </c>
      <c r="R1381" s="104" t="str">
        <f aca="false">IF(OR(C1381&amp;D1381="",N(E1381)=0),"",IF(OR(O1381="?",P1381="?"),"⚠ akun tidak dikenal",IF(C1381=D1381,"⚠ debet = kredit","")))</f>
        <v/>
      </c>
    </row>
    <row r="1382" customFormat="false" ht="15" hidden="false" customHeight="false" outlineLevel="0" collapsed="false">
      <c r="A1382" s="5"/>
      <c r="B1382" s="83"/>
      <c r="C1382" s="5"/>
      <c r="D1382" s="5"/>
      <c r="E1382" s="44"/>
      <c r="F1382" s="5"/>
      <c r="G1382" s="5"/>
      <c r="H1382" s="5"/>
      <c r="I1382" s="5"/>
      <c r="J1382" s="102" t="str">
        <f aca="false">IF(B1382="","",MONTH(B1382))</f>
        <v/>
      </c>
      <c r="K1382" s="102" t="str">
        <f aca="false">IF(B1382="","",YEAR(B1382))</f>
        <v/>
      </c>
      <c r="L1382" s="102" t="str">
        <f aca="false">IF(N(E1382)=0,"",IF(COUNTIFS(AK_NAMA,C1382,AK_KAT,"KAS")+COUNTIFS(AK_NAMA,D1382,AK_KAT,"KAS")&lt;&gt;1,"",IF(COUNTIFS(AK_NAMA,C1382,AK_KAT,"KAS")=1,D1382,C1382)))</f>
        <v/>
      </c>
      <c r="M1382" s="103" t="n">
        <f aca="false">IF(L1382="",0,IF(L1382=D1382,E1382,-E1382))</f>
        <v>0</v>
      </c>
      <c r="N1382" s="102" t="str">
        <f aca="false">IF(L1382="","",IFERROR(INDEX(AK_BARIS,MATCH(L1382,AK_NAMA,0)),"?"))</f>
        <v/>
      </c>
      <c r="O1382" s="102" t="str">
        <f aca="false">IF(C1382="","",IFERROR(INDEX(AK_KEL,MATCH(C1382,AK_NAMA,0)),"?"))</f>
        <v/>
      </c>
      <c r="P1382" s="102" t="str">
        <f aca="false">IF(D1382="","",IFERROR(INDEX(AK_KEL,MATCH(D1382,AK_NAMA,0)),"?"))</f>
        <v/>
      </c>
      <c r="Q1382" s="102" t="n">
        <f aca="false">N(Q1381)+IF(AND(N(E1382)&lt;&gt;0,K1382=TAHUN,N(J1382)&lt;=BLN,OR(C1382=BB_AKUN,D1382=BB_AKUN)),1,0)</f>
        <v>877</v>
      </c>
      <c r="R1382" s="104" t="str">
        <f aca="false">IF(OR(C1382&amp;D1382="",N(E1382)=0),"",IF(OR(O1382="?",P1382="?"),"⚠ akun tidak dikenal",IF(C1382=D1382,"⚠ debet = kredit","")))</f>
        <v/>
      </c>
    </row>
    <row r="1383" customFormat="false" ht="15" hidden="false" customHeight="false" outlineLevel="0" collapsed="false">
      <c r="A1383" s="5"/>
      <c r="B1383" s="83"/>
      <c r="C1383" s="5"/>
      <c r="D1383" s="5"/>
      <c r="E1383" s="44"/>
      <c r="F1383" s="5"/>
      <c r="G1383" s="5"/>
      <c r="H1383" s="5"/>
      <c r="I1383" s="5"/>
      <c r="J1383" s="102" t="str">
        <f aca="false">IF(B1383="","",MONTH(B1383))</f>
        <v/>
      </c>
      <c r="K1383" s="102" t="str">
        <f aca="false">IF(B1383="","",YEAR(B1383))</f>
        <v/>
      </c>
      <c r="L1383" s="102" t="str">
        <f aca="false">IF(N(E1383)=0,"",IF(COUNTIFS(AK_NAMA,C1383,AK_KAT,"KAS")+COUNTIFS(AK_NAMA,D1383,AK_KAT,"KAS")&lt;&gt;1,"",IF(COUNTIFS(AK_NAMA,C1383,AK_KAT,"KAS")=1,D1383,C1383)))</f>
        <v/>
      </c>
      <c r="M1383" s="103" t="n">
        <f aca="false">IF(L1383="",0,IF(L1383=D1383,E1383,-E1383))</f>
        <v>0</v>
      </c>
      <c r="N1383" s="102" t="str">
        <f aca="false">IF(L1383="","",IFERROR(INDEX(AK_BARIS,MATCH(L1383,AK_NAMA,0)),"?"))</f>
        <v/>
      </c>
      <c r="O1383" s="102" t="str">
        <f aca="false">IF(C1383="","",IFERROR(INDEX(AK_KEL,MATCH(C1383,AK_NAMA,0)),"?"))</f>
        <v/>
      </c>
      <c r="P1383" s="102" t="str">
        <f aca="false">IF(D1383="","",IFERROR(INDEX(AK_KEL,MATCH(D1383,AK_NAMA,0)),"?"))</f>
        <v/>
      </c>
      <c r="Q1383" s="102" t="n">
        <f aca="false">N(Q1382)+IF(AND(N(E1383)&lt;&gt;0,K1383=TAHUN,N(J1383)&lt;=BLN,OR(C1383=BB_AKUN,D1383=BB_AKUN)),1,0)</f>
        <v>877</v>
      </c>
      <c r="R1383" s="104" t="str">
        <f aca="false">IF(OR(C1383&amp;D1383="",N(E1383)=0),"",IF(OR(O1383="?",P1383="?"),"⚠ akun tidak dikenal",IF(C1383=D1383,"⚠ debet = kredit","")))</f>
        <v/>
      </c>
    </row>
    <row r="1384" customFormat="false" ht="15" hidden="false" customHeight="false" outlineLevel="0" collapsed="false">
      <c r="A1384" s="5"/>
      <c r="B1384" s="83"/>
      <c r="C1384" s="5"/>
      <c r="D1384" s="5"/>
      <c r="E1384" s="44"/>
      <c r="F1384" s="5"/>
      <c r="G1384" s="5"/>
      <c r="H1384" s="5"/>
      <c r="I1384" s="5"/>
      <c r="J1384" s="102" t="str">
        <f aca="false">IF(B1384="","",MONTH(B1384))</f>
        <v/>
      </c>
      <c r="K1384" s="102" t="str">
        <f aca="false">IF(B1384="","",YEAR(B1384))</f>
        <v/>
      </c>
      <c r="L1384" s="102" t="str">
        <f aca="false">IF(N(E1384)=0,"",IF(COUNTIFS(AK_NAMA,C1384,AK_KAT,"KAS")+COUNTIFS(AK_NAMA,D1384,AK_KAT,"KAS")&lt;&gt;1,"",IF(COUNTIFS(AK_NAMA,C1384,AK_KAT,"KAS")=1,D1384,C1384)))</f>
        <v/>
      </c>
      <c r="M1384" s="103" t="n">
        <f aca="false">IF(L1384="",0,IF(L1384=D1384,E1384,-E1384))</f>
        <v>0</v>
      </c>
      <c r="N1384" s="102" t="str">
        <f aca="false">IF(L1384="","",IFERROR(INDEX(AK_BARIS,MATCH(L1384,AK_NAMA,0)),"?"))</f>
        <v/>
      </c>
      <c r="O1384" s="102" t="str">
        <f aca="false">IF(C1384="","",IFERROR(INDEX(AK_KEL,MATCH(C1384,AK_NAMA,0)),"?"))</f>
        <v/>
      </c>
      <c r="P1384" s="102" t="str">
        <f aca="false">IF(D1384="","",IFERROR(INDEX(AK_KEL,MATCH(D1384,AK_NAMA,0)),"?"))</f>
        <v/>
      </c>
      <c r="Q1384" s="102" t="n">
        <f aca="false">N(Q1383)+IF(AND(N(E1384)&lt;&gt;0,K1384=TAHUN,N(J1384)&lt;=BLN,OR(C1384=BB_AKUN,D1384=BB_AKUN)),1,0)</f>
        <v>877</v>
      </c>
      <c r="R1384" s="104" t="str">
        <f aca="false">IF(OR(C1384&amp;D1384="",N(E1384)=0),"",IF(OR(O1384="?",P1384="?"),"⚠ akun tidak dikenal",IF(C1384=D1384,"⚠ debet = kredit","")))</f>
        <v/>
      </c>
    </row>
    <row r="1385" customFormat="false" ht="15" hidden="false" customHeight="false" outlineLevel="0" collapsed="false">
      <c r="A1385" s="5"/>
      <c r="B1385" s="83"/>
      <c r="C1385" s="5"/>
      <c r="D1385" s="5"/>
      <c r="E1385" s="44"/>
      <c r="F1385" s="5"/>
      <c r="G1385" s="5"/>
      <c r="H1385" s="5"/>
      <c r="I1385" s="5"/>
      <c r="J1385" s="102" t="str">
        <f aca="false">IF(B1385="","",MONTH(B1385))</f>
        <v/>
      </c>
      <c r="K1385" s="102" t="str">
        <f aca="false">IF(B1385="","",YEAR(B1385))</f>
        <v/>
      </c>
      <c r="L1385" s="102" t="str">
        <f aca="false">IF(N(E1385)=0,"",IF(COUNTIFS(AK_NAMA,C1385,AK_KAT,"KAS")+COUNTIFS(AK_NAMA,D1385,AK_KAT,"KAS")&lt;&gt;1,"",IF(COUNTIFS(AK_NAMA,C1385,AK_KAT,"KAS")=1,D1385,C1385)))</f>
        <v/>
      </c>
      <c r="M1385" s="103" t="n">
        <f aca="false">IF(L1385="",0,IF(L1385=D1385,E1385,-E1385))</f>
        <v>0</v>
      </c>
      <c r="N1385" s="102" t="str">
        <f aca="false">IF(L1385="","",IFERROR(INDEX(AK_BARIS,MATCH(L1385,AK_NAMA,0)),"?"))</f>
        <v/>
      </c>
      <c r="O1385" s="102" t="str">
        <f aca="false">IF(C1385="","",IFERROR(INDEX(AK_KEL,MATCH(C1385,AK_NAMA,0)),"?"))</f>
        <v/>
      </c>
      <c r="P1385" s="102" t="str">
        <f aca="false">IF(D1385="","",IFERROR(INDEX(AK_KEL,MATCH(D1385,AK_NAMA,0)),"?"))</f>
        <v/>
      </c>
      <c r="Q1385" s="102" t="n">
        <f aca="false">N(Q1384)+IF(AND(N(E1385)&lt;&gt;0,K1385=TAHUN,N(J1385)&lt;=BLN,OR(C1385=BB_AKUN,D1385=BB_AKUN)),1,0)</f>
        <v>877</v>
      </c>
      <c r="R1385" s="104" t="str">
        <f aca="false">IF(OR(C1385&amp;D1385="",N(E1385)=0),"",IF(OR(O1385="?",P1385="?"),"⚠ akun tidak dikenal",IF(C1385=D1385,"⚠ debet = kredit","")))</f>
        <v/>
      </c>
    </row>
    <row r="1386" customFormat="false" ht="15" hidden="false" customHeight="false" outlineLevel="0" collapsed="false">
      <c r="A1386" s="5"/>
      <c r="B1386" s="83"/>
      <c r="C1386" s="5"/>
      <c r="D1386" s="5"/>
      <c r="E1386" s="44"/>
      <c r="F1386" s="5"/>
      <c r="G1386" s="5"/>
      <c r="H1386" s="5"/>
      <c r="I1386" s="5"/>
      <c r="J1386" s="102" t="str">
        <f aca="false">IF(B1386="","",MONTH(B1386))</f>
        <v/>
      </c>
      <c r="K1386" s="102" t="str">
        <f aca="false">IF(B1386="","",YEAR(B1386))</f>
        <v/>
      </c>
      <c r="L1386" s="102" t="str">
        <f aca="false">IF(N(E1386)=0,"",IF(COUNTIFS(AK_NAMA,C1386,AK_KAT,"KAS")+COUNTIFS(AK_NAMA,D1386,AK_KAT,"KAS")&lt;&gt;1,"",IF(COUNTIFS(AK_NAMA,C1386,AK_KAT,"KAS")=1,D1386,C1386)))</f>
        <v/>
      </c>
      <c r="M1386" s="103" t="n">
        <f aca="false">IF(L1386="",0,IF(L1386=D1386,E1386,-E1386))</f>
        <v>0</v>
      </c>
      <c r="N1386" s="102" t="str">
        <f aca="false">IF(L1386="","",IFERROR(INDEX(AK_BARIS,MATCH(L1386,AK_NAMA,0)),"?"))</f>
        <v/>
      </c>
      <c r="O1386" s="102" t="str">
        <f aca="false">IF(C1386="","",IFERROR(INDEX(AK_KEL,MATCH(C1386,AK_NAMA,0)),"?"))</f>
        <v/>
      </c>
      <c r="P1386" s="102" t="str">
        <f aca="false">IF(D1386="","",IFERROR(INDEX(AK_KEL,MATCH(D1386,AK_NAMA,0)),"?"))</f>
        <v/>
      </c>
      <c r="Q1386" s="102" t="n">
        <f aca="false">N(Q1385)+IF(AND(N(E1386)&lt;&gt;0,K1386=TAHUN,N(J1386)&lt;=BLN,OR(C1386=BB_AKUN,D1386=BB_AKUN)),1,0)</f>
        <v>877</v>
      </c>
      <c r="R1386" s="104" t="str">
        <f aca="false">IF(OR(C1386&amp;D1386="",N(E1386)=0),"",IF(OR(O1386="?",P1386="?"),"⚠ akun tidak dikenal",IF(C1386=D1386,"⚠ debet = kredit","")))</f>
        <v/>
      </c>
    </row>
    <row r="1387" customFormat="false" ht="15" hidden="false" customHeight="false" outlineLevel="0" collapsed="false">
      <c r="A1387" s="5"/>
      <c r="B1387" s="83"/>
      <c r="C1387" s="5"/>
      <c r="D1387" s="5"/>
      <c r="E1387" s="44"/>
      <c r="F1387" s="5"/>
      <c r="G1387" s="5"/>
      <c r="H1387" s="5"/>
      <c r="I1387" s="5"/>
      <c r="J1387" s="102" t="str">
        <f aca="false">IF(B1387="","",MONTH(B1387))</f>
        <v/>
      </c>
      <c r="K1387" s="102" t="str">
        <f aca="false">IF(B1387="","",YEAR(B1387))</f>
        <v/>
      </c>
      <c r="L1387" s="102" t="str">
        <f aca="false">IF(N(E1387)=0,"",IF(COUNTIFS(AK_NAMA,C1387,AK_KAT,"KAS")+COUNTIFS(AK_NAMA,D1387,AK_KAT,"KAS")&lt;&gt;1,"",IF(COUNTIFS(AK_NAMA,C1387,AK_KAT,"KAS")=1,D1387,C1387)))</f>
        <v/>
      </c>
      <c r="M1387" s="103" t="n">
        <f aca="false">IF(L1387="",0,IF(L1387=D1387,E1387,-E1387))</f>
        <v>0</v>
      </c>
      <c r="N1387" s="102" t="str">
        <f aca="false">IF(L1387="","",IFERROR(INDEX(AK_BARIS,MATCH(L1387,AK_NAMA,0)),"?"))</f>
        <v/>
      </c>
      <c r="O1387" s="102" t="str">
        <f aca="false">IF(C1387="","",IFERROR(INDEX(AK_KEL,MATCH(C1387,AK_NAMA,0)),"?"))</f>
        <v/>
      </c>
      <c r="P1387" s="102" t="str">
        <f aca="false">IF(D1387="","",IFERROR(INDEX(AK_KEL,MATCH(D1387,AK_NAMA,0)),"?"))</f>
        <v/>
      </c>
      <c r="Q1387" s="102" t="n">
        <f aca="false">N(Q1386)+IF(AND(N(E1387)&lt;&gt;0,K1387=TAHUN,N(J1387)&lt;=BLN,OR(C1387=BB_AKUN,D1387=BB_AKUN)),1,0)</f>
        <v>877</v>
      </c>
      <c r="R1387" s="104" t="str">
        <f aca="false">IF(OR(C1387&amp;D1387="",N(E1387)=0),"",IF(OR(O1387="?",P1387="?"),"⚠ akun tidak dikenal",IF(C1387=D1387,"⚠ debet = kredit","")))</f>
        <v/>
      </c>
    </row>
    <row r="1388" customFormat="false" ht="15" hidden="false" customHeight="false" outlineLevel="0" collapsed="false">
      <c r="A1388" s="5"/>
      <c r="B1388" s="83"/>
      <c r="C1388" s="5"/>
      <c r="D1388" s="5"/>
      <c r="E1388" s="44"/>
      <c r="F1388" s="5"/>
      <c r="G1388" s="5"/>
      <c r="H1388" s="5"/>
      <c r="I1388" s="5"/>
      <c r="J1388" s="102" t="str">
        <f aca="false">IF(B1388="","",MONTH(B1388))</f>
        <v/>
      </c>
      <c r="K1388" s="102" t="str">
        <f aca="false">IF(B1388="","",YEAR(B1388))</f>
        <v/>
      </c>
      <c r="L1388" s="102" t="str">
        <f aca="false">IF(N(E1388)=0,"",IF(COUNTIFS(AK_NAMA,C1388,AK_KAT,"KAS")+COUNTIFS(AK_NAMA,D1388,AK_KAT,"KAS")&lt;&gt;1,"",IF(COUNTIFS(AK_NAMA,C1388,AK_KAT,"KAS")=1,D1388,C1388)))</f>
        <v/>
      </c>
      <c r="M1388" s="103" t="n">
        <f aca="false">IF(L1388="",0,IF(L1388=D1388,E1388,-E1388))</f>
        <v>0</v>
      </c>
      <c r="N1388" s="102" t="str">
        <f aca="false">IF(L1388="","",IFERROR(INDEX(AK_BARIS,MATCH(L1388,AK_NAMA,0)),"?"))</f>
        <v/>
      </c>
      <c r="O1388" s="102" t="str">
        <f aca="false">IF(C1388="","",IFERROR(INDEX(AK_KEL,MATCH(C1388,AK_NAMA,0)),"?"))</f>
        <v/>
      </c>
      <c r="P1388" s="102" t="str">
        <f aca="false">IF(D1388="","",IFERROR(INDEX(AK_KEL,MATCH(D1388,AK_NAMA,0)),"?"))</f>
        <v/>
      </c>
      <c r="Q1388" s="102" t="n">
        <f aca="false">N(Q1387)+IF(AND(N(E1388)&lt;&gt;0,K1388=TAHUN,N(J1388)&lt;=BLN,OR(C1388=BB_AKUN,D1388=BB_AKUN)),1,0)</f>
        <v>877</v>
      </c>
      <c r="R1388" s="104" t="str">
        <f aca="false">IF(OR(C1388&amp;D1388="",N(E1388)=0),"",IF(OR(O1388="?",P1388="?"),"⚠ akun tidak dikenal",IF(C1388=D1388,"⚠ debet = kredit","")))</f>
        <v/>
      </c>
    </row>
    <row r="1389" customFormat="false" ht="15" hidden="false" customHeight="false" outlineLevel="0" collapsed="false">
      <c r="A1389" s="5"/>
      <c r="B1389" s="83"/>
      <c r="C1389" s="5"/>
      <c r="D1389" s="5"/>
      <c r="E1389" s="44"/>
      <c r="F1389" s="5"/>
      <c r="G1389" s="5"/>
      <c r="H1389" s="5"/>
      <c r="I1389" s="5"/>
      <c r="J1389" s="102" t="str">
        <f aca="false">IF(B1389="","",MONTH(B1389))</f>
        <v/>
      </c>
      <c r="K1389" s="102" t="str">
        <f aca="false">IF(B1389="","",YEAR(B1389))</f>
        <v/>
      </c>
      <c r="L1389" s="102" t="str">
        <f aca="false">IF(N(E1389)=0,"",IF(COUNTIFS(AK_NAMA,C1389,AK_KAT,"KAS")+COUNTIFS(AK_NAMA,D1389,AK_KAT,"KAS")&lt;&gt;1,"",IF(COUNTIFS(AK_NAMA,C1389,AK_KAT,"KAS")=1,D1389,C1389)))</f>
        <v/>
      </c>
      <c r="M1389" s="103" t="n">
        <f aca="false">IF(L1389="",0,IF(L1389=D1389,E1389,-E1389))</f>
        <v>0</v>
      </c>
      <c r="N1389" s="102" t="str">
        <f aca="false">IF(L1389="","",IFERROR(INDEX(AK_BARIS,MATCH(L1389,AK_NAMA,0)),"?"))</f>
        <v/>
      </c>
      <c r="O1389" s="102" t="str">
        <f aca="false">IF(C1389="","",IFERROR(INDEX(AK_KEL,MATCH(C1389,AK_NAMA,0)),"?"))</f>
        <v/>
      </c>
      <c r="P1389" s="102" t="str">
        <f aca="false">IF(D1389="","",IFERROR(INDEX(AK_KEL,MATCH(D1389,AK_NAMA,0)),"?"))</f>
        <v/>
      </c>
      <c r="Q1389" s="102" t="n">
        <f aca="false">N(Q1388)+IF(AND(N(E1389)&lt;&gt;0,K1389=TAHUN,N(J1389)&lt;=BLN,OR(C1389=BB_AKUN,D1389=BB_AKUN)),1,0)</f>
        <v>877</v>
      </c>
      <c r="R1389" s="104" t="str">
        <f aca="false">IF(OR(C1389&amp;D1389="",N(E1389)=0),"",IF(OR(O1389="?",P1389="?"),"⚠ akun tidak dikenal",IF(C1389=D1389,"⚠ debet = kredit","")))</f>
        <v/>
      </c>
    </row>
    <row r="1390" customFormat="false" ht="15" hidden="false" customHeight="false" outlineLevel="0" collapsed="false">
      <c r="A1390" s="5"/>
      <c r="B1390" s="83"/>
      <c r="C1390" s="5"/>
      <c r="D1390" s="5"/>
      <c r="E1390" s="44"/>
      <c r="F1390" s="5"/>
      <c r="G1390" s="5"/>
      <c r="H1390" s="5"/>
      <c r="I1390" s="5"/>
      <c r="J1390" s="102" t="str">
        <f aca="false">IF(B1390="","",MONTH(B1390))</f>
        <v/>
      </c>
      <c r="K1390" s="102" t="str">
        <f aca="false">IF(B1390="","",YEAR(B1390))</f>
        <v/>
      </c>
      <c r="L1390" s="102" t="str">
        <f aca="false">IF(N(E1390)=0,"",IF(COUNTIFS(AK_NAMA,C1390,AK_KAT,"KAS")+COUNTIFS(AK_NAMA,D1390,AK_KAT,"KAS")&lt;&gt;1,"",IF(COUNTIFS(AK_NAMA,C1390,AK_KAT,"KAS")=1,D1390,C1390)))</f>
        <v/>
      </c>
      <c r="M1390" s="103" t="n">
        <f aca="false">IF(L1390="",0,IF(L1390=D1390,E1390,-E1390))</f>
        <v>0</v>
      </c>
      <c r="N1390" s="102" t="str">
        <f aca="false">IF(L1390="","",IFERROR(INDEX(AK_BARIS,MATCH(L1390,AK_NAMA,0)),"?"))</f>
        <v/>
      </c>
      <c r="O1390" s="102" t="str">
        <f aca="false">IF(C1390="","",IFERROR(INDEX(AK_KEL,MATCH(C1390,AK_NAMA,0)),"?"))</f>
        <v/>
      </c>
      <c r="P1390" s="102" t="str">
        <f aca="false">IF(D1390="","",IFERROR(INDEX(AK_KEL,MATCH(D1390,AK_NAMA,0)),"?"))</f>
        <v/>
      </c>
      <c r="Q1390" s="102" t="n">
        <f aca="false">N(Q1389)+IF(AND(N(E1390)&lt;&gt;0,K1390=TAHUN,N(J1390)&lt;=BLN,OR(C1390=BB_AKUN,D1390=BB_AKUN)),1,0)</f>
        <v>877</v>
      </c>
      <c r="R1390" s="104" t="str">
        <f aca="false">IF(OR(C1390&amp;D1390="",N(E1390)=0),"",IF(OR(O1390="?",P1390="?"),"⚠ akun tidak dikenal",IF(C1390=D1390,"⚠ debet = kredit","")))</f>
        <v/>
      </c>
    </row>
    <row r="1391" customFormat="false" ht="15" hidden="false" customHeight="false" outlineLevel="0" collapsed="false">
      <c r="A1391" s="5"/>
      <c r="B1391" s="83"/>
      <c r="C1391" s="5"/>
      <c r="D1391" s="5"/>
      <c r="E1391" s="44"/>
      <c r="F1391" s="5"/>
      <c r="G1391" s="5"/>
      <c r="H1391" s="5"/>
      <c r="I1391" s="5"/>
      <c r="J1391" s="102" t="str">
        <f aca="false">IF(B1391="","",MONTH(B1391))</f>
        <v/>
      </c>
      <c r="K1391" s="102" t="str">
        <f aca="false">IF(B1391="","",YEAR(B1391))</f>
        <v/>
      </c>
      <c r="L1391" s="102" t="str">
        <f aca="false">IF(N(E1391)=0,"",IF(COUNTIFS(AK_NAMA,C1391,AK_KAT,"KAS")+COUNTIFS(AK_NAMA,D1391,AK_KAT,"KAS")&lt;&gt;1,"",IF(COUNTIFS(AK_NAMA,C1391,AK_KAT,"KAS")=1,D1391,C1391)))</f>
        <v/>
      </c>
      <c r="M1391" s="103" t="n">
        <f aca="false">IF(L1391="",0,IF(L1391=D1391,E1391,-E1391))</f>
        <v>0</v>
      </c>
      <c r="N1391" s="102" t="str">
        <f aca="false">IF(L1391="","",IFERROR(INDEX(AK_BARIS,MATCH(L1391,AK_NAMA,0)),"?"))</f>
        <v/>
      </c>
      <c r="O1391" s="102" t="str">
        <f aca="false">IF(C1391="","",IFERROR(INDEX(AK_KEL,MATCH(C1391,AK_NAMA,0)),"?"))</f>
        <v/>
      </c>
      <c r="P1391" s="102" t="str">
        <f aca="false">IF(D1391="","",IFERROR(INDEX(AK_KEL,MATCH(D1391,AK_NAMA,0)),"?"))</f>
        <v/>
      </c>
      <c r="Q1391" s="102" t="n">
        <f aca="false">N(Q1390)+IF(AND(N(E1391)&lt;&gt;0,K1391=TAHUN,N(J1391)&lt;=BLN,OR(C1391=BB_AKUN,D1391=BB_AKUN)),1,0)</f>
        <v>877</v>
      </c>
      <c r="R1391" s="104" t="str">
        <f aca="false">IF(OR(C1391&amp;D1391="",N(E1391)=0),"",IF(OR(O1391="?",P1391="?"),"⚠ akun tidak dikenal",IF(C1391=D1391,"⚠ debet = kredit","")))</f>
        <v/>
      </c>
    </row>
    <row r="1392" customFormat="false" ht="15" hidden="false" customHeight="false" outlineLevel="0" collapsed="false">
      <c r="A1392" s="5"/>
      <c r="B1392" s="83"/>
      <c r="C1392" s="5"/>
      <c r="D1392" s="5"/>
      <c r="E1392" s="44"/>
      <c r="F1392" s="5"/>
      <c r="G1392" s="5"/>
      <c r="H1392" s="5"/>
      <c r="I1392" s="5"/>
      <c r="J1392" s="102" t="str">
        <f aca="false">IF(B1392="","",MONTH(B1392))</f>
        <v/>
      </c>
      <c r="K1392" s="102" t="str">
        <f aca="false">IF(B1392="","",YEAR(B1392))</f>
        <v/>
      </c>
      <c r="L1392" s="102" t="str">
        <f aca="false">IF(N(E1392)=0,"",IF(COUNTIFS(AK_NAMA,C1392,AK_KAT,"KAS")+COUNTIFS(AK_NAMA,D1392,AK_KAT,"KAS")&lt;&gt;1,"",IF(COUNTIFS(AK_NAMA,C1392,AK_KAT,"KAS")=1,D1392,C1392)))</f>
        <v/>
      </c>
      <c r="M1392" s="103" t="n">
        <f aca="false">IF(L1392="",0,IF(L1392=D1392,E1392,-E1392))</f>
        <v>0</v>
      </c>
      <c r="N1392" s="102" t="str">
        <f aca="false">IF(L1392="","",IFERROR(INDEX(AK_BARIS,MATCH(L1392,AK_NAMA,0)),"?"))</f>
        <v/>
      </c>
      <c r="O1392" s="102" t="str">
        <f aca="false">IF(C1392="","",IFERROR(INDEX(AK_KEL,MATCH(C1392,AK_NAMA,0)),"?"))</f>
        <v/>
      </c>
      <c r="P1392" s="102" t="str">
        <f aca="false">IF(D1392="","",IFERROR(INDEX(AK_KEL,MATCH(D1392,AK_NAMA,0)),"?"))</f>
        <v/>
      </c>
      <c r="Q1392" s="102" t="n">
        <f aca="false">N(Q1391)+IF(AND(N(E1392)&lt;&gt;0,K1392=TAHUN,N(J1392)&lt;=BLN,OR(C1392=BB_AKUN,D1392=BB_AKUN)),1,0)</f>
        <v>877</v>
      </c>
      <c r="R1392" s="104" t="str">
        <f aca="false">IF(OR(C1392&amp;D1392="",N(E1392)=0),"",IF(OR(O1392="?",P1392="?"),"⚠ akun tidak dikenal",IF(C1392=D1392,"⚠ debet = kredit","")))</f>
        <v/>
      </c>
    </row>
    <row r="1393" customFormat="false" ht="15" hidden="false" customHeight="false" outlineLevel="0" collapsed="false">
      <c r="A1393" s="5"/>
      <c r="B1393" s="83"/>
      <c r="C1393" s="5"/>
      <c r="D1393" s="5"/>
      <c r="E1393" s="44"/>
      <c r="F1393" s="5"/>
      <c r="G1393" s="5"/>
      <c r="H1393" s="5"/>
      <c r="I1393" s="5"/>
      <c r="J1393" s="102" t="str">
        <f aca="false">IF(B1393="","",MONTH(B1393))</f>
        <v/>
      </c>
      <c r="K1393" s="102" t="str">
        <f aca="false">IF(B1393="","",YEAR(B1393))</f>
        <v/>
      </c>
      <c r="L1393" s="102" t="str">
        <f aca="false">IF(N(E1393)=0,"",IF(COUNTIFS(AK_NAMA,C1393,AK_KAT,"KAS")+COUNTIFS(AK_NAMA,D1393,AK_KAT,"KAS")&lt;&gt;1,"",IF(COUNTIFS(AK_NAMA,C1393,AK_KAT,"KAS")=1,D1393,C1393)))</f>
        <v/>
      </c>
      <c r="M1393" s="103" t="n">
        <f aca="false">IF(L1393="",0,IF(L1393=D1393,E1393,-E1393))</f>
        <v>0</v>
      </c>
      <c r="N1393" s="102" t="str">
        <f aca="false">IF(L1393="","",IFERROR(INDEX(AK_BARIS,MATCH(L1393,AK_NAMA,0)),"?"))</f>
        <v/>
      </c>
      <c r="O1393" s="102" t="str">
        <f aca="false">IF(C1393="","",IFERROR(INDEX(AK_KEL,MATCH(C1393,AK_NAMA,0)),"?"))</f>
        <v/>
      </c>
      <c r="P1393" s="102" t="str">
        <f aca="false">IF(D1393="","",IFERROR(INDEX(AK_KEL,MATCH(D1393,AK_NAMA,0)),"?"))</f>
        <v/>
      </c>
      <c r="Q1393" s="102" t="n">
        <f aca="false">N(Q1392)+IF(AND(N(E1393)&lt;&gt;0,K1393=TAHUN,N(J1393)&lt;=BLN,OR(C1393=BB_AKUN,D1393=BB_AKUN)),1,0)</f>
        <v>877</v>
      </c>
      <c r="R1393" s="104" t="str">
        <f aca="false">IF(OR(C1393&amp;D1393="",N(E1393)=0),"",IF(OR(O1393="?",P1393="?"),"⚠ akun tidak dikenal",IF(C1393=D1393,"⚠ debet = kredit","")))</f>
        <v/>
      </c>
    </row>
    <row r="1394" customFormat="false" ht="15" hidden="false" customHeight="false" outlineLevel="0" collapsed="false">
      <c r="A1394" s="5"/>
      <c r="B1394" s="83"/>
      <c r="C1394" s="5"/>
      <c r="D1394" s="5"/>
      <c r="E1394" s="44"/>
      <c r="F1394" s="5"/>
      <c r="G1394" s="5"/>
      <c r="H1394" s="5"/>
      <c r="I1394" s="5"/>
      <c r="J1394" s="102" t="str">
        <f aca="false">IF(B1394="","",MONTH(B1394))</f>
        <v/>
      </c>
      <c r="K1394" s="102" t="str">
        <f aca="false">IF(B1394="","",YEAR(B1394))</f>
        <v/>
      </c>
      <c r="L1394" s="102" t="str">
        <f aca="false">IF(N(E1394)=0,"",IF(COUNTIFS(AK_NAMA,C1394,AK_KAT,"KAS")+COUNTIFS(AK_NAMA,D1394,AK_KAT,"KAS")&lt;&gt;1,"",IF(COUNTIFS(AK_NAMA,C1394,AK_KAT,"KAS")=1,D1394,C1394)))</f>
        <v/>
      </c>
      <c r="M1394" s="103" t="n">
        <f aca="false">IF(L1394="",0,IF(L1394=D1394,E1394,-E1394))</f>
        <v>0</v>
      </c>
      <c r="N1394" s="102" t="str">
        <f aca="false">IF(L1394="","",IFERROR(INDEX(AK_BARIS,MATCH(L1394,AK_NAMA,0)),"?"))</f>
        <v/>
      </c>
      <c r="O1394" s="102" t="str">
        <f aca="false">IF(C1394="","",IFERROR(INDEX(AK_KEL,MATCH(C1394,AK_NAMA,0)),"?"))</f>
        <v/>
      </c>
      <c r="P1394" s="102" t="str">
        <f aca="false">IF(D1394="","",IFERROR(INDEX(AK_KEL,MATCH(D1394,AK_NAMA,0)),"?"))</f>
        <v/>
      </c>
      <c r="Q1394" s="102" t="n">
        <f aca="false">N(Q1393)+IF(AND(N(E1394)&lt;&gt;0,K1394=TAHUN,N(J1394)&lt;=BLN,OR(C1394=BB_AKUN,D1394=BB_AKUN)),1,0)</f>
        <v>877</v>
      </c>
      <c r="R1394" s="104" t="str">
        <f aca="false">IF(OR(C1394&amp;D1394="",N(E1394)=0),"",IF(OR(O1394="?",P1394="?"),"⚠ akun tidak dikenal",IF(C1394=D1394,"⚠ debet = kredit","")))</f>
        <v/>
      </c>
    </row>
    <row r="1395" customFormat="false" ht="15" hidden="false" customHeight="false" outlineLevel="0" collapsed="false">
      <c r="A1395" s="5"/>
      <c r="B1395" s="83"/>
      <c r="C1395" s="5"/>
      <c r="D1395" s="5"/>
      <c r="E1395" s="44"/>
      <c r="F1395" s="5"/>
      <c r="G1395" s="5"/>
      <c r="H1395" s="5"/>
      <c r="I1395" s="5"/>
      <c r="J1395" s="102" t="str">
        <f aca="false">IF(B1395="","",MONTH(B1395))</f>
        <v/>
      </c>
      <c r="K1395" s="102" t="str">
        <f aca="false">IF(B1395="","",YEAR(B1395))</f>
        <v/>
      </c>
      <c r="L1395" s="102" t="str">
        <f aca="false">IF(N(E1395)=0,"",IF(COUNTIFS(AK_NAMA,C1395,AK_KAT,"KAS")+COUNTIFS(AK_NAMA,D1395,AK_KAT,"KAS")&lt;&gt;1,"",IF(COUNTIFS(AK_NAMA,C1395,AK_KAT,"KAS")=1,D1395,C1395)))</f>
        <v/>
      </c>
      <c r="M1395" s="103" t="n">
        <f aca="false">IF(L1395="",0,IF(L1395=D1395,E1395,-E1395))</f>
        <v>0</v>
      </c>
      <c r="N1395" s="102" t="str">
        <f aca="false">IF(L1395="","",IFERROR(INDEX(AK_BARIS,MATCH(L1395,AK_NAMA,0)),"?"))</f>
        <v/>
      </c>
      <c r="O1395" s="102" t="str">
        <f aca="false">IF(C1395="","",IFERROR(INDEX(AK_KEL,MATCH(C1395,AK_NAMA,0)),"?"))</f>
        <v/>
      </c>
      <c r="P1395" s="102" t="str">
        <f aca="false">IF(D1395="","",IFERROR(INDEX(AK_KEL,MATCH(D1395,AK_NAMA,0)),"?"))</f>
        <v/>
      </c>
      <c r="Q1395" s="102" t="n">
        <f aca="false">N(Q1394)+IF(AND(N(E1395)&lt;&gt;0,K1395=TAHUN,N(J1395)&lt;=BLN,OR(C1395=BB_AKUN,D1395=BB_AKUN)),1,0)</f>
        <v>877</v>
      </c>
      <c r="R1395" s="104" t="str">
        <f aca="false">IF(OR(C1395&amp;D1395="",N(E1395)=0),"",IF(OR(O1395="?",P1395="?"),"⚠ akun tidak dikenal",IF(C1395=D1395,"⚠ debet = kredit","")))</f>
        <v/>
      </c>
    </row>
    <row r="1396" customFormat="false" ht="15" hidden="false" customHeight="false" outlineLevel="0" collapsed="false">
      <c r="A1396" s="5"/>
      <c r="B1396" s="83"/>
      <c r="C1396" s="5"/>
      <c r="D1396" s="5"/>
      <c r="E1396" s="44"/>
      <c r="F1396" s="5"/>
      <c r="G1396" s="5"/>
      <c r="H1396" s="5"/>
      <c r="I1396" s="5"/>
      <c r="J1396" s="102" t="str">
        <f aca="false">IF(B1396="","",MONTH(B1396))</f>
        <v/>
      </c>
      <c r="K1396" s="102" t="str">
        <f aca="false">IF(B1396="","",YEAR(B1396))</f>
        <v/>
      </c>
      <c r="L1396" s="102" t="str">
        <f aca="false">IF(N(E1396)=0,"",IF(COUNTIFS(AK_NAMA,C1396,AK_KAT,"KAS")+COUNTIFS(AK_NAMA,D1396,AK_KAT,"KAS")&lt;&gt;1,"",IF(COUNTIFS(AK_NAMA,C1396,AK_KAT,"KAS")=1,D1396,C1396)))</f>
        <v/>
      </c>
      <c r="M1396" s="103" t="n">
        <f aca="false">IF(L1396="",0,IF(L1396=D1396,E1396,-E1396))</f>
        <v>0</v>
      </c>
      <c r="N1396" s="102" t="str">
        <f aca="false">IF(L1396="","",IFERROR(INDEX(AK_BARIS,MATCH(L1396,AK_NAMA,0)),"?"))</f>
        <v/>
      </c>
      <c r="O1396" s="102" t="str">
        <f aca="false">IF(C1396="","",IFERROR(INDEX(AK_KEL,MATCH(C1396,AK_NAMA,0)),"?"))</f>
        <v/>
      </c>
      <c r="P1396" s="102" t="str">
        <f aca="false">IF(D1396="","",IFERROR(INDEX(AK_KEL,MATCH(D1396,AK_NAMA,0)),"?"))</f>
        <v/>
      </c>
      <c r="Q1396" s="102" t="n">
        <f aca="false">N(Q1395)+IF(AND(N(E1396)&lt;&gt;0,K1396=TAHUN,N(J1396)&lt;=BLN,OR(C1396=BB_AKUN,D1396=BB_AKUN)),1,0)</f>
        <v>877</v>
      </c>
      <c r="R1396" s="104" t="str">
        <f aca="false">IF(OR(C1396&amp;D1396="",N(E1396)=0),"",IF(OR(O1396="?",P1396="?"),"⚠ akun tidak dikenal",IF(C1396=D1396,"⚠ debet = kredit","")))</f>
        <v/>
      </c>
    </row>
    <row r="1397" customFormat="false" ht="15" hidden="false" customHeight="false" outlineLevel="0" collapsed="false">
      <c r="A1397" s="5"/>
      <c r="B1397" s="83"/>
      <c r="C1397" s="5"/>
      <c r="D1397" s="5"/>
      <c r="E1397" s="44"/>
      <c r="F1397" s="5"/>
      <c r="G1397" s="5"/>
      <c r="H1397" s="5"/>
      <c r="I1397" s="5"/>
      <c r="J1397" s="102" t="str">
        <f aca="false">IF(B1397="","",MONTH(B1397))</f>
        <v/>
      </c>
      <c r="K1397" s="102" t="str">
        <f aca="false">IF(B1397="","",YEAR(B1397))</f>
        <v/>
      </c>
      <c r="L1397" s="102" t="str">
        <f aca="false">IF(N(E1397)=0,"",IF(COUNTIFS(AK_NAMA,C1397,AK_KAT,"KAS")+COUNTIFS(AK_NAMA,D1397,AK_KAT,"KAS")&lt;&gt;1,"",IF(COUNTIFS(AK_NAMA,C1397,AK_KAT,"KAS")=1,D1397,C1397)))</f>
        <v/>
      </c>
      <c r="M1397" s="103" t="n">
        <f aca="false">IF(L1397="",0,IF(L1397=D1397,E1397,-E1397))</f>
        <v>0</v>
      </c>
      <c r="N1397" s="102" t="str">
        <f aca="false">IF(L1397="","",IFERROR(INDEX(AK_BARIS,MATCH(L1397,AK_NAMA,0)),"?"))</f>
        <v/>
      </c>
      <c r="O1397" s="102" t="str">
        <f aca="false">IF(C1397="","",IFERROR(INDEX(AK_KEL,MATCH(C1397,AK_NAMA,0)),"?"))</f>
        <v/>
      </c>
      <c r="P1397" s="102" t="str">
        <f aca="false">IF(D1397="","",IFERROR(INDEX(AK_KEL,MATCH(D1397,AK_NAMA,0)),"?"))</f>
        <v/>
      </c>
      <c r="Q1397" s="102" t="n">
        <f aca="false">N(Q1396)+IF(AND(N(E1397)&lt;&gt;0,K1397=TAHUN,N(J1397)&lt;=BLN,OR(C1397=BB_AKUN,D1397=BB_AKUN)),1,0)</f>
        <v>877</v>
      </c>
      <c r="R1397" s="104" t="str">
        <f aca="false">IF(OR(C1397&amp;D1397="",N(E1397)=0),"",IF(OR(O1397="?",P1397="?"),"⚠ akun tidak dikenal",IF(C1397=D1397,"⚠ debet = kredit","")))</f>
        <v/>
      </c>
    </row>
    <row r="1398" customFormat="false" ht="15" hidden="false" customHeight="false" outlineLevel="0" collapsed="false">
      <c r="A1398" s="5"/>
      <c r="B1398" s="83"/>
      <c r="C1398" s="5"/>
      <c r="D1398" s="5"/>
      <c r="E1398" s="44"/>
      <c r="F1398" s="5"/>
      <c r="G1398" s="5"/>
      <c r="H1398" s="5"/>
      <c r="I1398" s="5"/>
      <c r="J1398" s="102" t="str">
        <f aca="false">IF(B1398="","",MONTH(B1398))</f>
        <v/>
      </c>
      <c r="K1398" s="102" t="str">
        <f aca="false">IF(B1398="","",YEAR(B1398))</f>
        <v/>
      </c>
      <c r="L1398" s="102" t="str">
        <f aca="false">IF(N(E1398)=0,"",IF(COUNTIFS(AK_NAMA,C1398,AK_KAT,"KAS")+COUNTIFS(AK_NAMA,D1398,AK_KAT,"KAS")&lt;&gt;1,"",IF(COUNTIFS(AK_NAMA,C1398,AK_KAT,"KAS")=1,D1398,C1398)))</f>
        <v/>
      </c>
      <c r="M1398" s="103" t="n">
        <f aca="false">IF(L1398="",0,IF(L1398=D1398,E1398,-E1398))</f>
        <v>0</v>
      </c>
      <c r="N1398" s="102" t="str">
        <f aca="false">IF(L1398="","",IFERROR(INDEX(AK_BARIS,MATCH(L1398,AK_NAMA,0)),"?"))</f>
        <v/>
      </c>
      <c r="O1398" s="102" t="str">
        <f aca="false">IF(C1398="","",IFERROR(INDEX(AK_KEL,MATCH(C1398,AK_NAMA,0)),"?"))</f>
        <v/>
      </c>
      <c r="P1398" s="102" t="str">
        <f aca="false">IF(D1398="","",IFERROR(INDEX(AK_KEL,MATCH(D1398,AK_NAMA,0)),"?"))</f>
        <v/>
      </c>
      <c r="Q1398" s="102" t="n">
        <f aca="false">N(Q1397)+IF(AND(N(E1398)&lt;&gt;0,K1398=TAHUN,N(J1398)&lt;=BLN,OR(C1398=BB_AKUN,D1398=BB_AKUN)),1,0)</f>
        <v>877</v>
      </c>
      <c r="R1398" s="104" t="str">
        <f aca="false">IF(OR(C1398&amp;D1398="",N(E1398)=0),"",IF(OR(O1398="?",P1398="?"),"⚠ akun tidak dikenal",IF(C1398=D1398,"⚠ debet = kredit","")))</f>
        <v/>
      </c>
    </row>
    <row r="1399" customFormat="false" ht="15" hidden="false" customHeight="false" outlineLevel="0" collapsed="false">
      <c r="A1399" s="5"/>
      <c r="B1399" s="83"/>
      <c r="C1399" s="5"/>
      <c r="D1399" s="5"/>
      <c r="E1399" s="44"/>
      <c r="F1399" s="5"/>
      <c r="G1399" s="5"/>
      <c r="H1399" s="5"/>
      <c r="I1399" s="5"/>
      <c r="J1399" s="102" t="str">
        <f aca="false">IF(B1399="","",MONTH(B1399))</f>
        <v/>
      </c>
      <c r="K1399" s="102" t="str">
        <f aca="false">IF(B1399="","",YEAR(B1399))</f>
        <v/>
      </c>
      <c r="L1399" s="102" t="str">
        <f aca="false">IF(N(E1399)=0,"",IF(COUNTIFS(AK_NAMA,C1399,AK_KAT,"KAS")+COUNTIFS(AK_NAMA,D1399,AK_KAT,"KAS")&lt;&gt;1,"",IF(COUNTIFS(AK_NAMA,C1399,AK_KAT,"KAS")=1,D1399,C1399)))</f>
        <v/>
      </c>
      <c r="M1399" s="103" t="n">
        <f aca="false">IF(L1399="",0,IF(L1399=D1399,E1399,-E1399))</f>
        <v>0</v>
      </c>
      <c r="N1399" s="102" t="str">
        <f aca="false">IF(L1399="","",IFERROR(INDEX(AK_BARIS,MATCH(L1399,AK_NAMA,0)),"?"))</f>
        <v/>
      </c>
      <c r="O1399" s="102" t="str">
        <f aca="false">IF(C1399="","",IFERROR(INDEX(AK_KEL,MATCH(C1399,AK_NAMA,0)),"?"))</f>
        <v/>
      </c>
      <c r="P1399" s="102" t="str">
        <f aca="false">IF(D1399="","",IFERROR(INDEX(AK_KEL,MATCH(D1399,AK_NAMA,0)),"?"))</f>
        <v/>
      </c>
      <c r="Q1399" s="102" t="n">
        <f aca="false">N(Q1398)+IF(AND(N(E1399)&lt;&gt;0,K1399=TAHUN,N(J1399)&lt;=BLN,OR(C1399=BB_AKUN,D1399=BB_AKUN)),1,0)</f>
        <v>877</v>
      </c>
      <c r="R1399" s="104" t="str">
        <f aca="false">IF(OR(C1399&amp;D1399="",N(E1399)=0),"",IF(OR(O1399="?",P1399="?"),"⚠ akun tidak dikenal",IF(C1399=D1399,"⚠ debet = kredit","")))</f>
        <v/>
      </c>
    </row>
    <row r="1400" customFormat="false" ht="15" hidden="false" customHeight="false" outlineLevel="0" collapsed="false">
      <c r="A1400" s="5"/>
      <c r="B1400" s="83"/>
      <c r="C1400" s="5"/>
      <c r="D1400" s="5"/>
      <c r="E1400" s="44"/>
      <c r="F1400" s="5"/>
      <c r="G1400" s="5"/>
      <c r="H1400" s="5"/>
      <c r="I1400" s="5"/>
      <c r="J1400" s="102" t="str">
        <f aca="false">IF(B1400="","",MONTH(B1400))</f>
        <v/>
      </c>
      <c r="K1400" s="102" t="str">
        <f aca="false">IF(B1400="","",YEAR(B1400))</f>
        <v/>
      </c>
      <c r="L1400" s="102" t="str">
        <f aca="false">IF(N(E1400)=0,"",IF(COUNTIFS(AK_NAMA,C1400,AK_KAT,"KAS")+COUNTIFS(AK_NAMA,D1400,AK_KAT,"KAS")&lt;&gt;1,"",IF(COUNTIFS(AK_NAMA,C1400,AK_KAT,"KAS")=1,D1400,C1400)))</f>
        <v/>
      </c>
      <c r="M1400" s="103" t="n">
        <f aca="false">IF(L1400="",0,IF(L1400=D1400,E1400,-E1400))</f>
        <v>0</v>
      </c>
      <c r="N1400" s="102" t="str">
        <f aca="false">IF(L1400="","",IFERROR(INDEX(AK_BARIS,MATCH(L1400,AK_NAMA,0)),"?"))</f>
        <v/>
      </c>
      <c r="O1400" s="102" t="str">
        <f aca="false">IF(C1400="","",IFERROR(INDEX(AK_KEL,MATCH(C1400,AK_NAMA,0)),"?"))</f>
        <v/>
      </c>
      <c r="P1400" s="102" t="str">
        <f aca="false">IF(D1400="","",IFERROR(INDEX(AK_KEL,MATCH(D1400,AK_NAMA,0)),"?"))</f>
        <v/>
      </c>
      <c r="Q1400" s="102" t="n">
        <f aca="false">N(Q1399)+IF(AND(N(E1400)&lt;&gt;0,K1400=TAHUN,N(J1400)&lt;=BLN,OR(C1400=BB_AKUN,D1400=BB_AKUN)),1,0)</f>
        <v>877</v>
      </c>
      <c r="R1400" s="104" t="str">
        <f aca="false">IF(OR(C1400&amp;D1400="",N(E1400)=0),"",IF(OR(O1400="?",P1400="?"),"⚠ akun tidak dikenal",IF(C1400=D1400,"⚠ debet = kredit","")))</f>
        <v/>
      </c>
    </row>
    <row r="1401" customFormat="false" ht="15" hidden="false" customHeight="false" outlineLevel="0" collapsed="false">
      <c r="A1401" s="5"/>
      <c r="B1401" s="83"/>
      <c r="C1401" s="5"/>
      <c r="D1401" s="5"/>
      <c r="E1401" s="44"/>
      <c r="F1401" s="5"/>
      <c r="G1401" s="5"/>
      <c r="H1401" s="5"/>
      <c r="I1401" s="5"/>
      <c r="J1401" s="102" t="str">
        <f aca="false">IF(B1401="","",MONTH(B1401))</f>
        <v/>
      </c>
      <c r="K1401" s="102" t="str">
        <f aca="false">IF(B1401="","",YEAR(B1401))</f>
        <v/>
      </c>
      <c r="L1401" s="102" t="str">
        <f aca="false">IF(N(E1401)=0,"",IF(COUNTIFS(AK_NAMA,C1401,AK_KAT,"KAS")+COUNTIFS(AK_NAMA,D1401,AK_KAT,"KAS")&lt;&gt;1,"",IF(COUNTIFS(AK_NAMA,C1401,AK_KAT,"KAS")=1,D1401,C1401)))</f>
        <v/>
      </c>
      <c r="M1401" s="103" t="n">
        <f aca="false">IF(L1401="",0,IF(L1401=D1401,E1401,-E1401))</f>
        <v>0</v>
      </c>
      <c r="N1401" s="102" t="str">
        <f aca="false">IF(L1401="","",IFERROR(INDEX(AK_BARIS,MATCH(L1401,AK_NAMA,0)),"?"))</f>
        <v/>
      </c>
      <c r="O1401" s="102" t="str">
        <f aca="false">IF(C1401="","",IFERROR(INDEX(AK_KEL,MATCH(C1401,AK_NAMA,0)),"?"))</f>
        <v/>
      </c>
      <c r="P1401" s="102" t="str">
        <f aca="false">IF(D1401="","",IFERROR(INDEX(AK_KEL,MATCH(D1401,AK_NAMA,0)),"?"))</f>
        <v/>
      </c>
      <c r="Q1401" s="102" t="n">
        <f aca="false">N(Q1400)+IF(AND(N(E1401)&lt;&gt;0,K1401=TAHUN,N(J1401)&lt;=BLN,OR(C1401=BB_AKUN,D1401=BB_AKUN)),1,0)</f>
        <v>877</v>
      </c>
      <c r="R1401" s="104" t="str">
        <f aca="false">IF(OR(C1401&amp;D1401="",N(E1401)=0),"",IF(OR(O1401="?",P1401="?"),"⚠ akun tidak dikenal",IF(C1401=D1401,"⚠ debet = kredit","")))</f>
        <v/>
      </c>
    </row>
    <row r="1402" customFormat="false" ht="15" hidden="false" customHeight="false" outlineLevel="0" collapsed="false">
      <c r="A1402" s="5"/>
      <c r="B1402" s="83"/>
      <c r="C1402" s="5"/>
      <c r="D1402" s="5"/>
      <c r="E1402" s="44"/>
      <c r="F1402" s="5"/>
      <c r="G1402" s="5"/>
      <c r="H1402" s="5"/>
      <c r="I1402" s="5"/>
      <c r="J1402" s="102" t="str">
        <f aca="false">IF(B1402="","",MONTH(B1402))</f>
        <v/>
      </c>
      <c r="K1402" s="102" t="str">
        <f aca="false">IF(B1402="","",YEAR(B1402))</f>
        <v/>
      </c>
      <c r="L1402" s="102" t="str">
        <f aca="false">IF(N(E1402)=0,"",IF(COUNTIFS(AK_NAMA,C1402,AK_KAT,"KAS")+COUNTIFS(AK_NAMA,D1402,AK_KAT,"KAS")&lt;&gt;1,"",IF(COUNTIFS(AK_NAMA,C1402,AK_KAT,"KAS")=1,D1402,C1402)))</f>
        <v/>
      </c>
      <c r="M1402" s="103" t="n">
        <f aca="false">IF(L1402="",0,IF(L1402=D1402,E1402,-E1402))</f>
        <v>0</v>
      </c>
      <c r="N1402" s="102" t="str">
        <f aca="false">IF(L1402="","",IFERROR(INDEX(AK_BARIS,MATCH(L1402,AK_NAMA,0)),"?"))</f>
        <v/>
      </c>
      <c r="O1402" s="102" t="str">
        <f aca="false">IF(C1402="","",IFERROR(INDEX(AK_KEL,MATCH(C1402,AK_NAMA,0)),"?"))</f>
        <v/>
      </c>
      <c r="P1402" s="102" t="str">
        <f aca="false">IF(D1402="","",IFERROR(INDEX(AK_KEL,MATCH(D1402,AK_NAMA,0)),"?"))</f>
        <v/>
      </c>
      <c r="Q1402" s="102" t="n">
        <f aca="false">N(Q1401)+IF(AND(N(E1402)&lt;&gt;0,K1402=TAHUN,N(J1402)&lt;=BLN,OR(C1402=BB_AKUN,D1402=BB_AKUN)),1,0)</f>
        <v>877</v>
      </c>
      <c r="R1402" s="104" t="str">
        <f aca="false">IF(OR(C1402&amp;D1402="",N(E1402)=0),"",IF(OR(O1402="?",P1402="?"),"⚠ akun tidak dikenal",IF(C1402=D1402,"⚠ debet = kredit","")))</f>
        <v/>
      </c>
    </row>
    <row r="1403" customFormat="false" ht="15" hidden="false" customHeight="false" outlineLevel="0" collapsed="false">
      <c r="A1403" s="5"/>
      <c r="B1403" s="83"/>
      <c r="C1403" s="5"/>
      <c r="D1403" s="5"/>
      <c r="E1403" s="44"/>
      <c r="F1403" s="5"/>
      <c r="G1403" s="5"/>
      <c r="H1403" s="5"/>
      <c r="I1403" s="5"/>
      <c r="J1403" s="102" t="str">
        <f aca="false">IF(B1403="","",MONTH(B1403))</f>
        <v/>
      </c>
      <c r="K1403" s="102" t="str">
        <f aca="false">IF(B1403="","",YEAR(B1403))</f>
        <v/>
      </c>
      <c r="L1403" s="102" t="str">
        <f aca="false">IF(N(E1403)=0,"",IF(COUNTIFS(AK_NAMA,C1403,AK_KAT,"KAS")+COUNTIFS(AK_NAMA,D1403,AK_KAT,"KAS")&lt;&gt;1,"",IF(COUNTIFS(AK_NAMA,C1403,AK_KAT,"KAS")=1,D1403,C1403)))</f>
        <v/>
      </c>
      <c r="M1403" s="103" t="n">
        <f aca="false">IF(L1403="",0,IF(L1403=D1403,E1403,-E1403))</f>
        <v>0</v>
      </c>
      <c r="N1403" s="102" t="str">
        <f aca="false">IF(L1403="","",IFERROR(INDEX(AK_BARIS,MATCH(L1403,AK_NAMA,0)),"?"))</f>
        <v/>
      </c>
      <c r="O1403" s="102" t="str">
        <f aca="false">IF(C1403="","",IFERROR(INDEX(AK_KEL,MATCH(C1403,AK_NAMA,0)),"?"))</f>
        <v/>
      </c>
      <c r="P1403" s="102" t="str">
        <f aca="false">IF(D1403="","",IFERROR(INDEX(AK_KEL,MATCH(D1403,AK_NAMA,0)),"?"))</f>
        <v/>
      </c>
      <c r="Q1403" s="102" t="n">
        <f aca="false">N(Q1402)+IF(AND(N(E1403)&lt;&gt;0,K1403=TAHUN,N(J1403)&lt;=BLN,OR(C1403=BB_AKUN,D1403=BB_AKUN)),1,0)</f>
        <v>877</v>
      </c>
      <c r="R1403" s="104" t="str">
        <f aca="false">IF(OR(C1403&amp;D1403="",N(E1403)=0),"",IF(OR(O1403="?",P1403="?"),"⚠ akun tidak dikenal",IF(C1403=D1403,"⚠ debet = kredit","")))</f>
        <v/>
      </c>
    </row>
    <row r="1404" customFormat="false" ht="15" hidden="false" customHeight="false" outlineLevel="0" collapsed="false">
      <c r="A1404" s="5"/>
      <c r="B1404" s="83"/>
      <c r="C1404" s="5"/>
      <c r="D1404" s="5"/>
      <c r="E1404" s="44"/>
      <c r="F1404" s="5"/>
      <c r="G1404" s="5"/>
      <c r="H1404" s="5"/>
      <c r="I1404" s="5"/>
      <c r="J1404" s="102" t="str">
        <f aca="false">IF(B1404="","",MONTH(B1404))</f>
        <v/>
      </c>
      <c r="K1404" s="102" t="str">
        <f aca="false">IF(B1404="","",YEAR(B1404))</f>
        <v/>
      </c>
      <c r="L1404" s="102" t="str">
        <f aca="false">IF(N(E1404)=0,"",IF(COUNTIFS(AK_NAMA,C1404,AK_KAT,"KAS")+COUNTIFS(AK_NAMA,D1404,AK_KAT,"KAS")&lt;&gt;1,"",IF(COUNTIFS(AK_NAMA,C1404,AK_KAT,"KAS")=1,D1404,C1404)))</f>
        <v/>
      </c>
      <c r="M1404" s="103" t="n">
        <f aca="false">IF(L1404="",0,IF(L1404=D1404,E1404,-E1404))</f>
        <v>0</v>
      </c>
      <c r="N1404" s="102" t="str">
        <f aca="false">IF(L1404="","",IFERROR(INDEX(AK_BARIS,MATCH(L1404,AK_NAMA,0)),"?"))</f>
        <v/>
      </c>
      <c r="O1404" s="102" t="str">
        <f aca="false">IF(C1404="","",IFERROR(INDEX(AK_KEL,MATCH(C1404,AK_NAMA,0)),"?"))</f>
        <v/>
      </c>
      <c r="P1404" s="102" t="str">
        <f aca="false">IF(D1404="","",IFERROR(INDEX(AK_KEL,MATCH(D1404,AK_NAMA,0)),"?"))</f>
        <v/>
      </c>
      <c r="Q1404" s="102" t="n">
        <f aca="false">N(Q1403)+IF(AND(N(E1404)&lt;&gt;0,K1404=TAHUN,N(J1404)&lt;=BLN,OR(C1404=BB_AKUN,D1404=BB_AKUN)),1,0)</f>
        <v>877</v>
      </c>
      <c r="R1404" s="104" t="str">
        <f aca="false">IF(OR(C1404&amp;D1404="",N(E1404)=0),"",IF(OR(O1404="?",P1404="?"),"⚠ akun tidak dikenal",IF(C1404=D1404,"⚠ debet = kredit","")))</f>
        <v/>
      </c>
    </row>
    <row r="1405" customFormat="false" ht="15" hidden="false" customHeight="false" outlineLevel="0" collapsed="false">
      <c r="A1405" s="5"/>
      <c r="B1405" s="83"/>
      <c r="C1405" s="5"/>
      <c r="D1405" s="5"/>
      <c r="E1405" s="44"/>
      <c r="F1405" s="5"/>
      <c r="G1405" s="5"/>
      <c r="H1405" s="5"/>
      <c r="I1405" s="5"/>
      <c r="J1405" s="102" t="str">
        <f aca="false">IF(B1405="","",MONTH(B1405))</f>
        <v/>
      </c>
      <c r="K1405" s="102" t="str">
        <f aca="false">IF(B1405="","",YEAR(B1405))</f>
        <v/>
      </c>
      <c r="L1405" s="102" t="str">
        <f aca="false">IF(N(E1405)=0,"",IF(COUNTIFS(AK_NAMA,C1405,AK_KAT,"KAS")+COUNTIFS(AK_NAMA,D1405,AK_KAT,"KAS")&lt;&gt;1,"",IF(COUNTIFS(AK_NAMA,C1405,AK_KAT,"KAS")=1,D1405,C1405)))</f>
        <v/>
      </c>
      <c r="M1405" s="103" t="n">
        <f aca="false">IF(L1405="",0,IF(L1405=D1405,E1405,-E1405))</f>
        <v>0</v>
      </c>
      <c r="N1405" s="102" t="str">
        <f aca="false">IF(L1405="","",IFERROR(INDEX(AK_BARIS,MATCH(L1405,AK_NAMA,0)),"?"))</f>
        <v/>
      </c>
      <c r="O1405" s="102" t="str">
        <f aca="false">IF(C1405="","",IFERROR(INDEX(AK_KEL,MATCH(C1405,AK_NAMA,0)),"?"))</f>
        <v/>
      </c>
      <c r="P1405" s="102" t="str">
        <f aca="false">IF(D1405="","",IFERROR(INDEX(AK_KEL,MATCH(D1405,AK_NAMA,0)),"?"))</f>
        <v/>
      </c>
      <c r="Q1405" s="102" t="n">
        <f aca="false">N(Q1404)+IF(AND(N(E1405)&lt;&gt;0,K1405=TAHUN,N(J1405)&lt;=BLN,OR(C1405=BB_AKUN,D1405=BB_AKUN)),1,0)</f>
        <v>877</v>
      </c>
      <c r="R1405" s="104" t="str">
        <f aca="false">IF(OR(C1405&amp;D1405="",N(E1405)=0),"",IF(OR(O1405="?",P1405="?"),"⚠ akun tidak dikenal",IF(C1405=D1405,"⚠ debet = kredit","")))</f>
        <v/>
      </c>
    </row>
    <row r="1406" customFormat="false" ht="15" hidden="false" customHeight="false" outlineLevel="0" collapsed="false">
      <c r="A1406" s="5"/>
      <c r="B1406" s="83"/>
      <c r="C1406" s="5"/>
      <c r="D1406" s="5"/>
      <c r="E1406" s="44"/>
      <c r="F1406" s="5"/>
      <c r="G1406" s="5"/>
      <c r="H1406" s="5"/>
      <c r="I1406" s="5"/>
      <c r="J1406" s="102" t="str">
        <f aca="false">IF(B1406="","",MONTH(B1406))</f>
        <v/>
      </c>
      <c r="K1406" s="102" t="str">
        <f aca="false">IF(B1406="","",YEAR(B1406))</f>
        <v/>
      </c>
      <c r="L1406" s="102" t="str">
        <f aca="false">IF(N(E1406)=0,"",IF(COUNTIFS(AK_NAMA,C1406,AK_KAT,"KAS")+COUNTIFS(AK_NAMA,D1406,AK_KAT,"KAS")&lt;&gt;1,"",IF(COUNTIFS(AK_NAMA,C1406,AK_KAT,"KAS")=1,D1406,C1406)))</f>
        <v/>
      </c>
      <c r="M1406" s="103" t="n">
        <f aca="false">IF(L1406="",0,IF(L1406=D1406,E1406,-E1406))</f>
        <v>0</v>
      </c>
      <c r="N1406" s="102" t="str">
        <f aca="false">IF(L1406="","",IFERROR(INDEX(AK_BARIS,MATCH(L1406,AK_NAMA,0)),"?"))</f>
        <v/>
      </c>
      <c r="O1406" s="102" t="str">
        <f aca="false">IF(C1406="","",IFERROR(INDEX(AK_KEL,MATCH(C1406,AK_NAMA,0)),"?"))</f>
        <v/>
      </c>
      <c r="P1406" s="102" t="str">
        <f aca="false">IF(D1406="","",IFERROR(INDEX(AK_KEL,MATCH(D1406,AK_NAMA,0)),"?"))</f>
        <v/>
      </c>
      <c r="Q1406" s="102" t="n">
        <f aca="false">N(Q1405)+IF(AND(N(E1406)&lt;&gt;0,K1406=TAHUN,N(J1406)&lt;=BLN,OR(C1406=BB_AKUN,D1406=BB_AKUN)),1,0)</f>
        <v>877</v>
      </c>
      <c r="R1406" s="104" t="str">
        <f aca="false">IF(OR(C1406&amp;D1406="",N(E1406)=0),"",IF(OR(O1406="?",P1406="?"),"⚠ akun tidak dikenal",IF(C1406=D1406,"⚠ debet = kredit","")))</f>
        <v/>
      </c>
    </row>
    <row r="1407" customFormat="false" ht="15" hidden="false" customHeight="false" outlineLevel="0" collapsed="false">
      <c r="A1407" s="5"/>
      <c r="B1407" s="83"/>
      <c r="C1407" s="5"/>
      <c r="D1407" s="5"/>
      <c r="E1407" s="44"/>
      <c r="F1407" s="5"/>
      <c r="G1407" s="5"/>
      <c r="H1407" s="5"/>
      <c r="I1407" s="5"/>
      <c r="J1407" s="102" t="str">
        <f aca="false">IF(B1407="","",MONTH(B1407))</f>
        <v/>
      </c>
      <c r="K1407" s="102" t="str">
        <f aca="false">IF(B1407="","",YEAR(B1407))</f>
        <v/>
      </c>
      <c r="L1407" s="102" t="str">
        <f aca="false">IF(N(E1407)=0,"",IF(COUNTIFS(AK_NAMA,C1407,AK_KAT,"KAS")+COUNTIFS(AK_NAMA,D1407,AK_KAT,"KAS")&lt;&gt;1,"",IF(COUNTIFS(AK_NAMA,C1407,AK_KAT,"KAS")=1,D1407,C1407)))</f>
        <v/>
      </c>
      <c r="M1407" s="103" t="n">
        <f aca="false">IF(L1407="",0,IF(L1407=D1407,E1407,-E1407))</f>
        <v>0</v>
      </c>
      <c r="N1407" s="102" t="str">
        <f aca="false">IF(L1407="","",IFERROR(INDEX(AK_BARIS,MATCH(L1407,AK_NAMA,0)),"?"))</f>
        <v/>
      </c>
      <c r="O1407" s="102" t="str">
        <f aca="false">IF(C1407="","",IFERROR(INDEX(AK_KEL,MATCH(C1407,AK_NAMA,0)),"?"))</f>
        <v/>
      </c>
      <c r="P1407" s="102" t="str">
        <f aca="false">IF(D1407="","",IFERROR(INDEX(AK_KEL,MATCH(D1407,AK_NAMA,0)),"?"))</f>
        <v/>
      </c>
      <c r="Q1407" s="102" t="n">
        <f aca="false">N(Q1406)+IF(AND(N(E1407)&lt;&gt;0,K1407=TAHUN,N(J1407)&lt;=BLN,OR(C1407=BB_AKUN,D1407=BB_AKUN)),1,0)</f>
        <v>877</v>
      </c>
      <c r="R1407" s="104" t="str">
        <f aca="false">IF(OR(C1407&amp;D1407="",N(E1407)=0),"",IF(OR(O1407="?",P1407="?"),"⚠ akun tidak dikenal",IF(C1407=D1407,"⚠ debet = kredit","")))</f>
        <v/>
      </c>
    </row>
    <row r="1408" customFormat="false" ht="15" hidden="false" customHeight="false" outlineLevel="0" collapsed="false">
      <c r="A1408" s="5"/>
      <c r="B1408" s="83"/>
      <c r="C1408" s="5"/>
      <c r="D1408" s="5"/>
      <c r="E1408" s="44"/>
      <c r="F1408" s="5"/>
      <c r="G1408" s="5"/>
      <c r="H1408" s="5"/>
      <c r="I1408" s="5"/>
      <c r="J1408" s="102" t="str">
        <f aca="false">IF(B1408="","",MONTH(B1408))</f>
        <v/>
      </c>
      <c r="K1408" s="102" t="str">
        <f aca="false">IF(B1408="","",YEAR(B1408))</f>
        <v/>
      </c>
      <c r="L1408" s="102" t="str">
        <f aca="false">IF(N(E1408)=0,"",IF(COUNTIFS(AK_NAMA,C1408,AK_KAT,"KAS")+COUNTIFS(AK_NAMA,D1408,AK_KAT,"KAS")&lt;&gt;1,"",IF(COUNTIFS(AK_NAMA,C1408,AK_KAT,"KAS")=1,D1408,C1408)))</f>
        <v/>
      </c>
      <c r="M1408" s="103" t="n">
        <f aca="false">IF(L1408="",0,IF(L1408=D1408,E1408,-E1408))</f>
        <v>0</v>
      </c>
      <c r="N1408" s="102" t="str">
        <f aca="false">IF(L1408="","",IFERROR(INDEX(AK_BARIS,MATCH(L1408,AK_NAMA,0)),"?"))</f>
        <v/>
      </c>
      <c r="O1408" s="102" t="str">
        <f aca="false">IF(C1408="","",IFERROR(INDEX(AK_KEL,MATCH(C1408,AK_NAMA,0)),"?"))</f>
        <v/>
      </c>
      <c r="P1408" s="102" t="str">
        <f aca="false">IF(D1408="","",IFERROR(INDEX(AK_KEL,MATCH(D1408,AK_NAMA,0)),"?"))</f>
        <v/>
      </c>
      <c r="Q1408" s="102" t="n">
        <f aca="false">N(Q1407)+IF(AND(N(E1408)&lt;&gt;0,K1408=TAHUN,N(J1408)&lt;=BLN,OR(C1408=BB_AKUN,D1408=BB_AKUN)),1,0)</f>
        <v>877</v>
      </c>
      <c r="R1408" s="104" t="str">
        <f aca="false">IF(OR(C1408&amp;D1408="",N(E1408)=0),"",IF(OR(O1408="?",P1408="?"),"⚠ akun tidak dikenal",IF(C1408=D1408,"⚠ debet = kredit","")))</f>
        <v/>
      </c>
    </row>
    <row r="1409" customFormat="false" ht="15" hidden="false" customHeight="false" outlineLevel="0" collapsed="false">
      <c r="A1409" s="5"/>
      <c r="B1409" s="83"/>
      <c r="C1409" s="5"/>
      <c r="D1409" s="5"/>
      <c r="E1409" s="44"/>
      <c r="F1409" s="5"/>
      <c r="G1409" s="5"/>
      <c r="H1409" s="5"/>
      <c r="I1409" s="5"/>
      <c r="J1409" s="102" t="str">
        <f aca="false">IF(B1409="","",MONTH(B1409))</f>
        <v/>
      </c>
      <c r="K1409" s="102" t="str">
        <f aca="false">IF(B1409="","",YEAR(B1409))</f>
        <v/>
      </c>
      <c r="L1409" s="102" t="str">
        <f aca="false">IF(N(E1409)=0,"",IF(COUNTIFS(AK_NAMA,C1409,AK_KAT,"KAS")+COUNTIFS(AK_NAMA,D1409,AK_KAT,"KAS")&lt;&gt;1,"",IF(COUNTIFS(AK_NAMA,C1409,AK_KAT,"KAS")=1,D1409,C1409)))</f>
        <v/>
      </c>
      <c r="M1409" s="103" t="n">
        <f aca="false">IF(L1409="",0,IF(L1409=D1409,E1409,-E1409))</f>
        <v>0</v>
      </c>
      <c r="N1409" s="102" t="str">
        <f aca="false">IF(L1409="","",IFERROR(INDEX(AK_BARIS,MATCH(L1409,AK_NAMA,0)),"?"))</f>
        <v/>
      </c>
      <c r="O1409" s="102" t="str">
        <f aca="false">IF(C1409="","",IFERROR(INDEX(AK_KEL,MATCH(C1409,AK_NAMA,0)),"?"))</f>
        <v/>
      </c>
      <c r="P1409" s="102" t="str">
        <f aca="false">IF(D1409="","",IFERROR(INDEX(AK_KEL,MATCH(D1409,AK_NAMA,0)),"?"))</f>
        <v/>
      </c>
      <c r="Q1409" s="102" t="n">
        <f aca="false">N(Q1408)+IF(AND(N(E1409)&lt;&gt;0,K1409=TAHUN,N(J1409)&lt;=BLN,OR(C1409=BB_AKUN,D1409=BB_AKUN)),1,0)</f>
        <v>877</v>
      </c>
      <c r="R1409" s="104" t="str">
        <f aca="false">IF(OR(C1409&amp;D1409="",N(E1409)=0),"",IF(OR(O1409="?",P1409="?"),"⚠ akun tidak dikenal",IF(C1409=D1409,"⚠ debet = kredit","")))</f>
        <v/>
      </c>
    </row>
    <row r="1410" customFormat="false" ht="15" hidden="false" customHeight="false" outlineLevel="0" collapsed="false">
      <c r="A1410" s="5"/>
      <c r="B1410" s="83"/>
      <c r="C1410" s="5"/>
      <c r="D1410" s="5"/>
      <c r="E1410" s="44"/>
      <c r="F1410" s="5"/>
      <c r="G1410" s="5"/>
      <c r="H1410" s="5"/>
      <c r="I1410" s="5"/>
      <c r="J1410" s="102" t="str">
        <f aca="false">IF(B1410="","",MONTH(B1410))</f>
        <v/>
      </c>
      <c r="K1410" s="102" t="str">
        <f aca="false">IF(B1410="","",YEAR(B1410))</f>
        <v/>
      </c>
      <c r="L1410" s="102" t="str">
        <f aca="false">IF(N(E1410)=0,"",IF(COUNTIFS(AK_NAMA,C1410,AK_KAT,"KAS")+COUNTIFS(AK_NAMA,D1410,AK_KAT,"KAS")&lt;&gt;1,"",IF(COUNTIFS(AK_NAMA,C1410,AK_KAT,"KAS")=1,D1410,C1410)))</f>
        <v/>
      </c>
      <c r="M1410" s="103" t="n">
        <f aca="false">IF(L1410="",0,IF(L1410=D1410,E1410,-E1410))</f>
        <v>0</v>
      </c>
      <c r="N1410" s="102" t="str">
        <f aca="false">IF(L1410="","",IFERROR(INDEX(AK_BARIS,MATCH(L1410,AK_NAMA,0)),"?"))</f>
        <v/>
      </c>
      <c r="O1410" s="102" t="str">
        <f aca="false">IF(C1410="","",IFERROR(INDEX(AK_KEL,MATCH(C1410,AK_NAMA,0)),"?"))</f>
        <v/>
      </c>
      <c r="P1410" s="102" t="str">
        <f aca="false">IF(D1410="","",IFERROR(INDEX(AK_KEL,MATCH(D1410,AK_NAMA,0)),"?"))</f>
        <v/>
      </c>
      <c r="Q1410" s="102" t="n">
        <f aca="false">N(Q1409)+IF(AND(N(E1410)&lt;&gt;0,K1410=TAHUN,N(J1410)&lt;=BLN,OR(C1410=BB_AKUN,D1410=BB_AKUN)),1,0)</f>
        <v>877</v>
      </c>
      <c r="R1410" s="104" t="str">
        <f aca="false">IF(OR(C1410&amp;D1410="",N(E1410)=0),"",IF(OR(O1410="?",P1410="?"),"⚠ akun tidak dikenal",IF(C1410=D1410,"⚠ debet = kredit","")))</f>
        <v/>
      </c>
    </row>
    <row r="1411" customFormat="false" ht="15" hidden="false" customHeight="false" outlineLevel="0" collapsed="false">
      <c r="A1411" s="5"/>
      <c r="B1411" s="83"/>
      <c r="C1411" s="5"/>
      <c r="D1411" s="5"/>
      <c r="E1411" s="44"/>
      <c r="F1411" s="5"/>
      <c r="G1411" s="5"/>
      <c r="H1411" s="5"/>
      <c r="I1411" s="5"/>
      <c r="J1411" s="102" t="str">
        <f aca="false">IF(B1411="","",MONTH(B1411))</f>
        <v/>
      </c>
      <c r="K1411" s="102" t="str">
        <f aca="false">IF(B1411="","",YEAR(B1411))</f>
        <v/>
      </c>
      <c r="L1411" s="102" t="str">
        <f aca="false">IF(N(E1411)=0,"",IF(COUNTIFS(AK_NAMA,C1411,AK_KAT,"KAS")+COUNTIFS(AK_NAMA,D1411,AK_KAT,"KAS")&lt;&gt;1,"",IF(COUNTIFS(AK_NAMA,C1411,AK_KAT,"KAS")=1,D1411,C1411)))</f>
        <v/>
      </c>
      <c r="M1411" s="103" t="n">
        <f aca="false">IF(L1411="",0,IF(L1411=D1411,E1411,-E1411))</f>
        <v>0</v>
      </c>
      <c r="N1411" s="102" t="str">
        <f aca="false">IF(L1411="","",IFERROR(INDEX(AK_BARIS,MATCH(L1411,AK_NAMA,0)),"?"))</f>
        <v/>
      </c>
      <c r="O1411" s="102" t="str">
        <f aca="false">IF(C1411="","",IFERROR(INDEX(AK_KEL,MATCH(C1411,AK_NAMA,0)),"?"))</f>
        <v/>
      </c>
      <c r="P1411" s="102" t="str">
        <f aca="false">IF(D1411="","",IFERROR(INDEX(AK_KEL,MATCH(D1411,AK_NAMA,0)),"?"))</f>
        <v/>
      </c>
      <c r="Q1411" s="102" t="n">
        <f aca="false">N(Q1410)+IF(AND(N(E1411)&lt;&gt;0,K1411=TAHUN,N(J1411)&lt;=BLN,OR(C1411=BB_AKUN,D1411=BB_AKUN)),1,0)</f>
        <v>877</v>
      </c>
      <c r="R1411" s="104" t="str">
        <f aca="false">IF(OR(C1411&amp;D1411="",N(E1411)=0),"",IF(OR(O1411="?",P1411="?"),"⚠ akun tidak dikenal",IF(C1411=D1411,"⚠ debet = kredit","")))</f>
        <v/>
      </c>
    </row>
    <row r="1412" customFormat="false" ht="15" hidden="false" customHeight="false" outlineLevel="0" collapsed="false">
      <c r="A1412" s="5"/>
      <c r="B1412" s="83"/>
      <c r="C1412" s="5"/>
      <c r="D1412" s="5"/>
      <c r="E1412" s="44"/>
      <c r="F1412" s="5"/>
      <c r="G1412" s="5"/>
      <c r="H1412" s="5"/>
      <c r="I1412" s="5"/>
      <c r="J1412" s="102" t="str">
        <f aca="false">IF(B1412="","",MONTH(B1412))</f>
        <v/>
      </c>
      <c r="K1412" s="102" t="str">
        <f aca="false">IF(B1412="","",YEAR(B1412))</f>
        <v/>
      </c>
      <c r="L1412" s="102" t="str">
        <f aca="false">IF(N(E1412)=0,"",IF(COUNTIFS(AK_NAMA,C1412,AK_KAT,"KAS")+COUNTIFS(AK_NAMA,D1412,AK_KAT,"KAS")&lt;&gt;1,"",IF(COUNTIFS(AK_NAMA,C1412,AK_KAT,"KAS")=1,D1412,C1412)))</f>
        <v/>
      </c>
      <c r="M1412" s="103" t="n">
        <f aca="false">IF(L1412="",0,IF(L1412=D1412,E1412,-E1412))</f>
        <v>0</v>
      </c>
      <c r="N1412" s="102" t="str">
        <f aca="false">IF(L1412="","",IFERROR(INDEX(AK_BARIS,MATCH(L1412,AK_NAMA,0)),"?"))</f>
        <v/>
      </c>
      <c r="O1412" s="102" t="str">
        <f aca="false">IF(C1412="","",IFERROR(INDEX(AK_KEL,MATCH(C1412,AK_NAMA,0)),"?"))</f>
        <v/>
      </c>
      <c r="P1412" s="102" t="str">
        <f aca="false">IF(D1412="","",IFERROR(INDEX(AK_KEL,MATCH(D1412,AK_NAMA,0)),"?"))</f>
        <v/>
      </c>
      <c r="Q1412" s="102" t="n">
        <f aca="false">N(Q1411)+IF(AND(N(E1412)&lt;&gt;0,K1412=TAHUN,N(J1412)&lt;=BLN,OR(C1412=BB_AKUN,D1412=BB_AKUN)),1,0)</f>
        <v>877</v>
      </c>
      <c r="R1412" s="104" t="str">
        <f aca="false">IF(OR(C1412&amp;D1412="",N(E1412)=0),"",IF(OR(O1412="?",P1412="?"),"⚠ akun tidak dikenal",IF(C1412=D1412,"⚠ debet = kredit","")))</f>
        <v/>
      </c>
    </row>
    <row r="1413" customFormat="false" ht="15" hidden="false" customHeight="false" outlineLevel="0" collapsed="false">
      <c r="A1413" s="5"/>
      <c r="B1413" s="83"/>
      <c r="C1413" s="5"/>
      <c r="D1413" s="5"/>
      <c r="E1413" s="44"/>
      <c r="F1413" s="5"/>
      <c r="G1413" s="5"/>
      <c r="H1413" s="5"/>
      <c r="I1413" s="5"/>
      <c r="J1413" s="102" t="str">
        <f aca="false">IF(B1413="","",MONTH(B1413))</f>
        <v/>
      </c>
      <c r="K1413" s="102" t="str">
        <f aca="false">IF(B1413="","",YEAR(B1413))</f>
        <v/>
      </c>
      <c r="L1413" s="102" t="str">
        <f aca="false">IF(N(E1413)=0,"",IF(COUNTIFS(AK_NAMA,C1413,AK_KAT,"KAS")+COUNTIFS(AK_NAMA,D1413,AK_KAT,"KAS")&lt;&gt;1,"",IF(COUNTIFS(AK_NAMA,C1413,AK_KAT,"KAS")=1,D1413,C1413)))</f>
        <v/>
      </c>
      <c r="M1413" s="103" t="n">
        <f aca="false">IF(L1413="",0,IF(L1413=D1413,E1413,-E1413))</f>
        <v>0</v>
      </c>
      <c r="N1413" s="102" t="str">
        <f aca="false">IF(L1413="","",IFERROR(INDEX(AK_BARIS,MATCH(L1413,AK_NAMA,0)),"?"))</f>
        <v/>
      </c>
      <c r="O1413" s="102" t="str">
        <f aca="false">IF(C1413="","",IFERROR(INDEX(AK_KEL,MATCH(C1413,AK_NAMA,0)),"?"))</f>
        <v/>
      </c>
      <c r="P1413" s="102" t="str">
        <f aca="false">IF(D1413="","",IFERROR(INDEX(AK_KEL,MATCH(D1413,AK_NAMA,0)),"?"))</f>
        <v/>
      </c>
      <c r="Q1413" s="102" t="n">
        <f aca="false">N(Q1412)+IF(AND(N(E1413)&lt;&gt;0,K1413=TAHUN,N(J1413)&lt;=BLN,OR(C1413=BB_AKUN,D1413=BB_AKUN)),1,0)</f>
        <v>877</v>
      </c>
      <c r="R1413" s="104" t="str">
        <f aca="false">IF(OR(C1413&amp;D1413="",N(E1413)=0),"",IF(OR(O1413="?",P1413="?"),"⚠ akun tidak dikenal",IF(C1413=D1413,"⚠ debet = kredit","")))</f>
        <v/>
      </c>
    </row>
    <row r="1414" customFormat="false" ht="15" hidden="false" customHeight="false" outlineLevel="0" collapsed="false">
      <c r="A1414" s="5"/>
      <c r="B1414" s="83"/>
      <c r="C1414" s="5"/>
      <c r="D1414" s="5"/>
      <c r="E1414" s="44"/>
      <c r="F1414" s="5"/>
      <c r="G1414" s="5"/>
      <c r="H1414" s="5"/>
      <c r="I1414" s="5"/>
      <c r="J1414" s="102" t="str">
        <f aca="false">IF(B1414="","",MONTH(B1414))</f>
        <v/>
      </c>
      <c r="K1414" s="102" t="str">
        <f aca="false">IF(B1414="","",YEAR(B1414))</f>
        <v/>
      </c>
      <c r="L1414" s="102" t="str">
        <f aca="false">IF(N(E1414)=0,"",IF(COUNTIFS(AK_NAMA,C1414,AK_KAT,"KAS")+COUNTIFS(AK_NAMA,D1414,AK_KAT,"KAS")&lt;&gt;1,"",IF(COUNTIFS(AK_NAMA,C1414,AK_KAT,"KAS")=1,D1414,C1414)))</f>
        <v/>
      </c>
      <c r="M1414" s="103" t="n">
        <f aca="false">IF(L1414="",0,IF(L1414=D1414,E1414,-E1414))</f>
        <v>0</v>
      </c>
      <c r="N1414" s="102" t="str">
        <f aca="false">IF(L1414="","",IFERROR(INDEX(AK_BARIS,MATCH(L1414,AK_NAMA,0)),"?"))</f>
        <v/>
      </c>
      <c r="O1414" s="102" t="str">
        <f aca="false">IF(C1414="","",IFERROR(INDEX(AK_KEL,MATCH(C1414,AK_NAMA,0)),"?"))</f>
        <v/>
      </c>
      <c r="P1414" s="102" t="str">
        <f aca="false">IF(D1414="","",IFERROR(INDEX(AK_KEL,MATCH(D1414,AK_NAMA,0)),"?"))</f>
        <v/>
      </c>
      <c r="Q1414" s="102" t="n">
        <f aca="false">N(Q1413)+IF(AND(N(E1414)&lt;&gt;0,K1414=TAHUN,N(J1414)&lt;=BLN,OR(C1414=BB_AKUN,D1414=BB_AKUN)),1,0)</f>
        <v>877</v>
      </c>
      <c r="R1414" s="104" t="str">
        <f aca="false">IF(OR(C1414&amp;D1414="",N(E1414)=0),"",IF(OR(O1414="?",P1414="?"),"⚠ akun tidak dikenal",IF(C1414=D1414,"⚠ debet = kredit","")))</f>
        <v/>
      </c>
    </row>
    <row r="1415" customFormat="false" ht="15" hidden="false" customHeight="false" outlineLevel="0" collapsed="false">
      <c r="A1415" s="5"/>
      <c r="B1415" s="83"/>
      <c r="C1415" s="5"/>
      <c r="D1415" s="5"/>
      <c r="E1415" s="44"/>
      <c r="F1415" s="5"/>
      <c r="G1415" s="5"/>
      <c r="H1415" s="5"/>
      <c r="I1415" s="5"/>
      <c r="J1415" s="102" t="str">
        <f aca="false">IF(B1415="","",MONTH(B1415))</f>
        <v/>
      </c>
      <c r="K1415" s="102" t="str">
        <f aca="false">IF(B1415="","",YEAR(B1415))</f>
        <v/>
      </c>
      <c r="L1415" s="102" t="str">
        <f aca="false">IF(N(E1415)=0,"",IF(COUNTIFS(AK_NAMA,C1415,AK_KAT,"KAS")+COUNTIFS(AK_NAMA,D1415,AK_KAT,"KAS")&lt;&gt;1,"",IF(COUNTIFS(AK_NAMA,C1415,AK_KAT,"KAS")=1,D1415,C1415)))</f>
        <v/>
      </c>
      <c r="M1415" s="103" t="n">
        <f aca="false">IF(L1415="",0,IF(L1415=D1415,E1415,-E1415))</f>
        <v>0</v>
      </c>
      <c r="N1415" s="102" t="str">
        <f aca="false">IF(L1415="","",IFERROR(INDEX(AK_BARIS,MATCH(L1415,AK_NAMA,0)),"?"))</f>
        <v/>
      </c>
      <c r="O1415" s="102" t="str">
        <f aca="false">IF(C1415="","",IFERROR(INDEX(AK_KEL,MATCH(C1415,AK_NAMA,0)),"?"))</f>
        <v/>
      </c>
      <c r="P1415" s="102" t="str">
        <f aca="false">IF(D1415="","",IFERROR(INDEX(AK_KEL,MATCH(D1415,AK_NAMA,0)),"?"))</f>
        <v/>
      </c>
      <c r="Q1415" s="102" t="n">
        <f aca="false">N(Q1414)+IF(AND(N(E1415)&lt;&gt;0,K1415=TAHUN,N(J1415)&lt;=BLN,OR(C1415=BB_AKUN,D1415=BB_AKUN)),1,0)</f>
        <v>877</v>
      </c>
      <c r="R1415" s="104" t="str">
        <f aca="false">IF(OR(C1415&amp;D1415="",N(E1415)=0),"",IF(OR(O1415="?",P1415="?"),"⚠ akun tidak dikenal",IF(C1415=D1415,"⚠ debet = kredit","")))</f>
        <v/>
      </c>
    </row>
    <row r="1416" customFormat="false" ht="15" hidden="false" customHeight="false" outlineLevel="0" collapsed="false">
      <c r="A1416" s="5"/>
      <c r="B1416" s="83"/>
      <c r="C1416" s="5"/>
      <c r="D1416" s="5"/>
      <c r="E1416" s="44"/>
      <c r="F1416" s="5"/>
      <c r="G1416" s="5"/>
      <c r="H1416" s="5"/>
      <c r="I1416" s="5"/>
      <c r="J1416" s="102" t="str">
        <f aca="false">IF(B1416="","",MONTH(B1416))</f>
        <v/>
      </c>
      <c r="K1416" s="102" t="str">
        <f aca="false">IF(B1416="","",YEAR(B1416))</f>
        <v/>
      </c>
      <c r="L1416" s="102" t="str">
        <f aca="false">IF(N(E1416)=0,"",IF(COUNTIFS(AK_NAMA,C1416,AK_KAT,"KAS")+COUNTIFS(AK_NAMA,D1416,AK_KAT,"KAS")&lt;&gt;1,"",IF(COUNTIFS(AK_NAMA,C1416,AK_KAT,"KAS")=1,D1416,C1416)))</f>
        <v/>
      </c>
      <c r="M1416" s="103" t="n">
        <f aca="false">IF(L1416="",0,IF(L1416=D1416,E1416,-E1416))</f>
        <v>0</v>
      </c>
      <c r="N1416" s="102" t="str">
        <f aca="false">IF(L1416="","",IFERROR(INDEX(AK_BARIS,MATCH(L1416,AK_NAMA,0)),"?"))</f>
        <v/>
      </c>
      <c r="O1416" s="102" t="str">
        <f aca="false">IF(C1416="","",IFERROR(INDEX(AK_KEL,MATCH(C1416,AK_NAMA,0)),"?"))</f>
        <v/>
      </c>
      <c r="P1416" s="102" t="str">
        <f aca="false">IF(D1416="","",IFERROR(INDEX(AK_KEL,MATCH(D1416,AK_NAMA,0)),"?"))</f>
        <v/>
      </c>
      <c r="Q1416" s="102" t="n">
        <f aca="false">N(Q1415)+IF(AND(N(E1416)&lt;&gt;0,K1416=TAHUN,N(J1416)&lt;=BLN,OR(C1416=BB_AKUN,D1416=BB_AKUN)),1,0)</f>
        <v>877</v>
      </c>
      <c r="R1416" s="104" t="str">
        <f aca="false">IF(OR(C1416&amp;D1416="",N(E1416)=0),"",IF(OR(O1416="?",P1416="?"),"⚠ akun tidak dikenal",IF(C1416=D1416,"⚠ debet = kredit","")))</f>
        <v/>
      </c>
    </row>
    <row r="1417" customFormat="false" ht="15" hidden="false" customHeight="false" outlineLevel="0" collapsed="false">
      <c r="A1417" s="5"/>
      <c r="B1417" s="83"/>
      <c r="C1417" s="5"/>
      <c r="D1417" s="5"/>
      <c r="E1417" s="44"/>
      <c r="F1417" s="5"/>
      <c r="G1417" s="5"/>
      <c r="H1417" s="5"/>
      <c r="I1417" s="5"/>
      <c r="J1417" s="102" t="str">
        <f aca="false">IF(B1417="","",MONTH(B1417))</f>
        <v/>
      </c>
      <c r="K1417" s="102" t="str">
        <f aca="false">IF(B1417="","",YEAR(B1417))</f>
        <v/>
      </c>
      <c r="L1417" s="102" t="str">
        <f aca="false">IF(N(E1417)=0,"",IF(COUNTIFS(AK_NAMA,C1417,AK_KAT,"KAS")+COUNTIFS(AK_NAMA,D1417,AK_KAT,"KAS")&lt;&gt;1,"",IF(COUNTIFS(AK_NAMA,C1417,AK_KAT,"KAS")=1,D1417,C1417)))</f>
        <v/>
      </c>
      <c r="M1417" s="103" t="n">
        <f aca="false">IF(L1417="",0,IF(L1417=D1417,E1417,-E1417))</f>
        <v>0</v>
      </c>
      <c r="N1417" s="102" t="str">
        <f aca="false">IF(L1417="","",IFERROR(INDEX(AK_BARIS,MATCH(L1417,AK_NAMA,0)),"?"))</f>
        <v/>
      </c>
      <c r="O1417" s="102" t="str">
        <f aca="false">IF(C1417="","",IFERROR(INDEX(AK_KEL,MATCH(C1417,AK_NAMA,0)),"?"))</f>
        <v/>
      </c>
      <c r="P1417" s="102" t="str">
        <f aca="false">IF(D1417="","",IFERROR(INDEX(AK_KEL,MATCH(D1417,AK_NAMA,0)),"?"))</f>
        <v/>
      </c>
      <c r="Q1417" s="102" t="n">
        <f aca="false">N(Q1416)+IF(AND(N(E1417)&lt;&gt;0,K1417=TAHUN,N(J1417)&lt;=BLN,OR(C1417=BB_AKUN,D1417=BB_AKUN)),1,0)</f>
        <v>877</v>
      </c>
      <c r="R1417" s="104" t="str">
        <f aca="false">IF(OR(C1417&amp;D1417="",N(E1417)=0),"",IF(OR(O1417="?",P1417="?"),"⚠ akun tidak dikenal",IF(C1417=D1417,"⚠ debet = kredit","")))</f>
        <v/>
      </c>
    </row>
    <row r="1418" customFormat="false" ht="15" hidden="false" customHeight="false" outlineLevel="0" collapsed="false">
      <c r="A1418" s="5"/>
      <c r="B1418" s="83"/>
      <c r="C1418" s="5"/>
      <c r="D1418" s="5"/>
      <c r="E1418" s="44"/>
      <c r="F1418" s="5"/>
      <c r="G1418" s="5"/>
      <c r="H1418" s="5"/>
      <c r="I1418" s="5"/>
      <c r="J1418" s="102" t="str">
        <f aca="false">IF(B1418="","",MONTH(B1418))</f>
        <v/>
      </c>
      <c r="K1418" s="102" t="str">
        <f aca="false">IF(B1418="","",YEAR(B1418))</f>
        <v/>
      </c>
      <c r="L1418" s="102" t="str">
        <f aca="false">IF(N(E1418)=0,"",IF(COUNTIFS(AK_NAMA,C1418,AK_KAT,"KAS")+COUNTIFS(AK_NAMA,D1418,AK_KAT,"KAS")&lt;&gt;1,"",IF(COUNTIFS(AK_NAMA,C1418,AK_KAT,"KAS")=1,D1418,C1418)))</f>
        <v/>
      </c>
      <c r="M1418" s="103" t="n">
        <f aca="false">IF(L1418="",0,IF(L1418=D1418,E1418,-E1418))</f>
        <v>0</v>
      </c>
      <c r="N1418" s="102" t="str">
        <f aca="false">IF(L1418="","",IFERROR(INDEX(AK_BARIS,MATCH(L1418,AK_NAMA,0)),"?"))</f>
        <v/>
      </c>
      <c r="O1418" s="102" t="str">
        <f aca="false">IF(C1418="","",IFERROR(INDEX(AK_KEL,MATCH(C1418,AK_NAMA,0)),"?"))</f>
        <v/>
      </c>
      <c r="P1418" s="102" t="str">
        <f aca="false">IF(D1418="","",IFERROR(INDEX(AK_KEL,MATCH(D1418,AK_NAMA,0)),"?"))</f>
        <v/>
      </c>
      <c r="Q1418" s="102" t="n">
        <f aca="false">N(Q1417)+IF(AND(N(E1418)&lt;&gt;0,K1418=TAHUN,N(J1418)&lt;=BLN,OR(C1418=BB_AKUN,D1418=BB_AKUN)),1,0)</f>
        <v>877</v>
      </c>
      <c r="R1418" s="104" t="str">
        <f aca="false">IF(OR(C1418&amp;D1418="",N(E1418)=0),"",IF(OR(O1418="?",P1418="?"),"⚠ akun tidak dikenal",IF(C1418=D1418,"⚠ debet = kredit","")))</f>
        <v/>
      </c>
    </row>
    <row r="1419" customFormat="false" ht="15" hidden="false" customHeight="false" outlineLevel="0" collapsed="false">
      <c r="A1419" s="5"/>
      <c r="B1419" s="83"/>
      <c r="C1419" s="5"/>
      <c r="D1419" s="5"/>
      <c r="E1419" s="44"/>
      <c r="F1419" s="5"/>
      <c r="G1419" s="5"/>
      <c r="H1419" s="5"/>
      <c r="I1419" s="5"/>
      <c r="J1419" s="102" t="str">
        <f aca="false">IF(B1419="","",MONTH(B1419))</f>
        <v/>
      </c>
      <c r="K1419" s="102" t="str">
        <f aca="false">IF(B1419="","",YEAR(B1419))</f>
        <v/>
      </c>
      <c r="L1419" s="102" t="str">
        <f aca="false">IF(N(E1419)=0,"",IF(COUNTIFS(AK_NAMA,C1419,AK_KAT,"KAS")+COUNTIFS(AK_NAMA,D1419,AK_KAT,"KAS")&lt;&gt;1,"",IF(COUNTIFS(AK_NAMA,C1419,AK_KAT,"KAS")=1,D1419,C1419)))</f>
        <v/>
      </c>
      <c r="M1419" s="103" t="n">
        <f aca="false">IF(L1419="",0,IF(L1419=D1419,E1419,-E1419))</f>
        <v>0</v>
      </c>
      <c r="N1419" s="102" t="str">
        <f aca="false">IF(L1419="","",IFERROR(INDEX(AK_BARIS,MATCH(L1419,AK_NAMA,0)),"?"))</f>
        <v/>
      </c>
      <c r="O1419" s="102" t="str">
        <f aca="false">IF(C1419="","",IFERROR(INDEX(AK_KEL,MATCH(C1419,AK_NAMA,0)),"?"))</f>
        <v/>
      </c>
      <c r="P1419" s="102" t="str">
        <f aca="false">IF(D1419="","",IFERROR(INDEX(AK_KEL,MATCH(D1419,AK_NAMA,0)),"?"))</f>
        <v/>
      </c>
      <c r="Q1419" s="102" t="n">
        <f aca="false">N(Q1418)+IF(AND(N(E1419)&lt;&gt;0,K1419=TAHUN,N(J1419)&lt;=BLN,OR(C1419=BB_AKUN,D1419=BB_AKUN)),1,0)</f>
        <v>877</v>
      </c>
      <c r="R1419" s="104" t="str">
        <f aca="false">IF(OR(C1419&amp;D1419="",N(E1419)=0),"",IF(OR(O1419="?",P1419="?"),"⚠ akun tidak dikenal",IF(C1419=D1419,"⚠ debet = kredit","")))</f>
        <v/>
      </c>
    </row>
    <row r="1420" customFormat="false" ht="15" hidden="false" customHeight="false" outlineLevel="0" collapsed="false">
      <c r="A1420" s="5"/>
      <c r="B1420" s="83"/>
      <c r="C1420" s="5"/>
      <c r="D1420" s="5"/>
      <c r="E1420" s="44"/>
      <c r="F1420" s="5"/>
      <c r="G1420" s="5"/>
      <c r="H1420" s="5"/>
      <c r="I1420" s="5"/>
      <c r="J1420" s="102" t="str">
        <f aca="false">IF(B1420="","",MONTH(B1420))</f>
        <v/>
      </c>
      <c r="K1420" s="102" t="str">
        <f aca="false">IF(B1420="","",YEAR(B1420))</f>
        <v/>
      </c>
      <c r="L1420" s="102" t="str">
        <f aca="false">IF(N(E1420)=0,"",IF(COUNTIFS(AK_NAMA,C1420,AK_KAT,"KAS")+COUNTIFS(AK_NAMA,D1420,AK_KAT,"KAS")&lt;&gt;1,"",IF(COUNTIFS(AK_NAMA,C1420,AK_KAT,"KAS")=1,D1420,C1420)))</f>
        <v/>
      </c>
      <c r="M1420" s="103" t="n">
        <f aca="false">IF(L1420="",0,IF(L1420=D1420,E1420,-E1420))</f>
        <v>0</v>
      </c>
      <c r="N1420" s="102" t="str">
        <f aca="false">IF(L1420="","",IFERROR(INDEX(AK_BARIS,MATCH(L1420,AK_NAMA,0)),"?"))</f>
        <v/>
      </c>
      <c r="O1420" s="102" t="str">
        <f aca="false">IF(C1420="","",IFERROR(INDEX(AK_KEL,MATCH(C1420,AK_NAMA,0)),"?"))</f>
        <v/>
      </c>
      <c r="P1420" s="102" t="str">
        <f aca="false">IF(D1420="","",IFERROR(INDEX(AK_KEL,MATCH(D1420,AK_NAMA,0)),"?"))</f>
        <v/>
      </c>
      <c r="Q1420" s="102" t="n">
        <f aca="false">N(Q1419)+IF(AND(N(E1420)&lt;&gt;0,K1420=TAHUN,N(J1420)&lt;=BLN,OR(C1420=BB_AKUN,D1420=BB_AKUN)),1,0)</f>
        <v>877</v>
      </c>
      <c r="R1420" s="104" t="str">
        <f aca="false">IF(OR(C1420&amp;D1420="",N(E1420)=0),"",IF(OR(O1420="?",P1420="?"),"⚠ akun tidak dikenal",IF(C1420=D1420,"⚠ debet = kredit","")))</f>
        <v/>
      </c>
    </row>
    <row r="1421" customFormat="false" ht="15" hidden="false" customHeight="false" outlineLevel="0" collapsed="false">
      <c r="A1421" s="5"/>
      <c r="B1421" s="83"/>
      <c r="C1421" s="5"/>
      <c r="D1421" s="5"/>
      <c r="E1421" s="44"/>
      <c r="F1421" s="5"/>
      <c r="G1421" s="5"/>
      <c r="H1421" s="5"/>
      <c r="I1421" s="5"/>
      <c r="J1421" s="102" t="str">
        <f aca="false">IF(B1421="","",MONTH(B1421))</f>
        <v/>
      </c>
      <c r="K1421" s="102" t="str">
        <f aca="false">IF(B1421="","",YEAR(B1421))</f>
        <v/>
      </c>
      <c r="L1421" s="102" t="str">
        <f aca="false">IF(N(E1421)=0,"",IF(COUNTIFS(AK_NAMA,C1421,AK_KAT,"KAS")+COUNTIFS(AK_NAMA,D1421,AK_KAT,"KAS")&lt;&gt;1,"",IF(COUNTIFS(AK_NAMA,C1421,AK_KAT,"KAS")=1,D1421,C1421)))</f>
        <v/>
      </c>
      <c r="M1421" s="103" t="n">
        <f aca="false">IF(L1421="",0,IF(L1421=D1421,E1421,-E1421))</f>
        <v>0</v>
      </c>
      <c r="N1421" s="102" t="str">
        <f aca="false">IF(L1421="","",IFERROR(INDEX(AK_BARIS,MATCH(L1421,AK_NAMA,0)),"?"))</f>
        <v/>
      </c>
      <c r="O1421" s="102" t="str">
        <f aca="false">IF(C1421="","",IFERROR(INDEX(AK_KEL,MATCH(C1421,AK_NAMA,0)),"?"))</f>
        <v/>
      </c>
      <c r="P1421" s="102" t="str">
        <f aca="false">IF(D1421="","",IFERROR(INDEX(AK_KEL,MATCH(D1421,AK_NAMA,0)),"?"))</f>
        <v/>
      </c>
      <c r="Q1421" s="102" t="n">
        <f aca="false">N(Q1420)+IF(AND(N(E1421)&lt;&gt;0,K1421=TAHUN,N(J1421)&lt;=BLN,OR(C1421=BB_AKUN,D1421=BB_AKUN)),1,0)</f>
        <v>877</v>
      </c>
      <c r="R1421" s="104" t="str">
        <f aca="false">IF(OR(C1421&amp;D1421="",N(E1421)=0),"",IF(OR(O1421="?",P1421="?"),"⚠ akun tidak dikenal",IF(C1421=D1421,"⚠ debet = kredit","")))</f>
        <v/>
      </c>
    </row>
    <row r="1422" customFormat="false" ht="15" hidden="false" customHeight="false" outlineLevel="0" collapsed="false">
      <c r="A1422" s="5"/>
      <c r="B1422" s="83"/>
      <c r="C1422" s="5"/>
      <c r="D1422" s="5"/>
      <c r="E1422" s="44"/>
      <c r="F1422" s="5"/>
      <c r="G1422" s="5"/>
      <c r="H1422" s="5"/>
      <c r="I1422" s="5"/>
      <c r="J1422" s="102" t="str">
        <f aca="false">IF(B1422="","",MONTH(B1422))</f>
        <v/>
      </c>
      <c r="K1422" s="102" t="str">
        <f aca="false">IF(B1422="","",YEAR(B1422))</f>
        <v/>
      </c>
      <c r="L1422" s="102" t="str">
        <f aca="false">IF(N(E1422)=0,"",IF(COUNTIFS(AK_NAMA,C1422,AK_KAT,"KAS")+COUNTIFS(AK_NAMA,D1422,AK_KAT,"KAS")&lt;&gt;1,"",IF(COUNTIFS(AK_NAMA,C1422,AK_KAT,"KAS")=1,D1422,C1422)))</f>
        <v/>
      </c>
      <c r="M1422" s="103" t="n">
        <f aca="false">IF(L1422="",0,IF(L1422=D1422,E1422,-E1422))</f>
        <v>0</v>
      </c>
      <c r="N1422" s="102" t="str">
        <f aca="false">IF(L1422="","",IFERROR(INDEX(AK_BARIS,MATCH(L1422,AK_NAMA,0)),"?"))</f>
        <v/>
      </c>
      <c r="O1422" s="102" t="str">
        <f aca="false">IF(C1422="","",IFERROR(INDEX(AK_KEL,MATCH(C1422,AK_NAMA,0)),"?"))</f>
        <v/>
      </c>
      <c r="P1422" s="102" t="str">
        <f aca="false">IF(D1422="","",IFERROR(INDEX(AK_KEL,MATCH(D1422,AK_NAMA,0)),"?"))</f>
        <v/>
      </c>
      <c r="Q1422" s="102" t="n">
        <f aca="false">N(Q1421)+IF(AND(N(E1422)&lt;&gt;0,K1422=TAHUN,N(J1422)&lt;=BLN,OR(C1422=BB_AKUN,D1422=BB_AKUN)),1,0)</f>
        <v>877</v>
      </c>
      <c r="R1422" s="104" t="str">
        <f aca="false">IF(OR(C1422&amp;D1422="",N(E1422)=0),"",IF(OR(O1422="?",P1422="?"),"⚠ akun tidak dikenal",IF(C1422=D1422,"⚠ debet = kredit","")))</f>
        <v/>
      </c>
    </row>
    <row r="1423" customFormat="false" ht="15" hidden="false" customHeight="false" outlineLevel="0" collapsed="false">
      <c r="A1423" s="5"/>
      <c r="B1423" s="83"/>
      <c r="C1423" s="5"/>
      <c r="D1423" s="5"/>
      <c r="E1423" s="44"/>
      <c r="F1423" s="5"/>
      <c r="G1423" s="5"/>
      <c r="H1423" s="5"/>
      <c r="I1423" s="5"/>
      <c r="J1423" s="102" t="str">
        <f aca="false">IF(B1423="","",MONTH(B1423))</f>
        <v/>
      </c>
      <c r="K1423" s="102" t="str">
        <f aca="false">IF(B1423="","",YEAR(B1423))</f>
        <v/>
      </c>
      <c r="L1423" s="102" t="str">
        <f aca="false">IF(N(E1423)=0,"",IF(COUNTIFS(AK_NAMA,C1423,AK_KAT,"KAS")+COUNTIFS(AK_NAMA,D1423,AK_KAT,"KAS")&lt;&gt;1,"",IF(COUNTIFS(AK_NAMA,C1423,AK_KAT,"KAS")=1,D1423,C1423)))</f>
        <v/>
      </c>
      <c r="M1423" s="103" t="n">
        <f aca="false">IF(L1423="",0,IF(L1423=D1423,E1423,-E1423))</f>
        <v>0</v>
      </c>
      <c r="N1423" s="102" t="str">
        <f aca="false">IF(L1423="","",IFERROR(INDEX(AK_BARIS,MATCH(L1423,AK_NAMA,0)),"?"))</f>
        <v/>
      </c>
      <c r="O1423" s="102" t="str">
        <f aca="false">IF(C1423="","",IFERROR(INDEX(AK_KEL,MATCH(C1423,AK_NAMA,0)),"?"))</f>
        <v/>
      </c>
      <c r="P1423" s="102" t="str">
        <f aca="false">IF(D1423="","",IFERROR(INDEX(AK_KEL,MATCH(D1423,AK_NAMA,0)),"?"))</f>
        <v/>
      </c>
      <c r="Q1423" s="102" t="n">
        <f aca="false">N(Q1422)+IF(AND(N(E1423)&lt;&gt;0,K1423=TAHUN,N(J1423)&lt;=BLN,OR(C1423=BB_AKUN,D1423=BB_AKUN)),1,0)</f>
        <v>877</v>
      </c>
      <c r="R1423" s="104" t="str">
        <f aca="false">IF(OR(C1423&amp;D1423="",N(E1423)=0),"",IF(OR(O1423="?",P1423="?"),"⚠ akun tidak dikenal",IF(C1423=D1423,"⚠ debet = kredit","")))</f>
        <v/>
      </c>
    </row>
    <row r="1424" customFormat="false" ht="15" hidden="false" customHeight="false" outlineLevel="0" collapsed="false">
      <c r="A1424" s="5"/>
      <c r="B1424" s="83"/>
      <c r="C1424" s="5"/>
      <c r="D1424" s="5"/>
      <c r="E1424" s="44"/>
      <c r="F1424" s="5"/>
      <c r="G1424" s="5"/>
      <c r="H1424" s="5"/>
      <c r="I1424" s="5"/>
      <c r="J1424" s="102" t="str">
        <f aca="false">IF(B1424="","",MONTH(B1424))</f>
        <v/>
      </c>
      <c r="K1424" s="102" t="str">
        <f aca="false">IF(B1424="","",YEAR(B1424))</f>
        <v/>
      </c>
      <c r="L1424" s="102" t="str">
        <f aca="false">IF(N(E1424)=0,"",IF(COUNTIFS(AK_NAMA,C1424,AK_KAT,"KAS")+COUNTIFS(AK_NAMA,D1424,AK_KAT,"KAS")&lt;&gt;1,"",IF(COUNTIFS(AK_NAMA,C1424,AK_KAT,"KAS")=1,D1424,C1424)))</f>
        <v/>
      </c>
      <c r="M1424" s="103" t="n">
        <f aca="false">IF(L1424="",0,IF(L1424=D1424,E1424,-E1424))</f>
        <v>0</v>
      </c>
      <c r="N1424" s="102" t="str">
        <f aca="false">IF(L1424="","",IFERROR(INDEX(AK_BARIS,MATCH(L1424,AK_NAMA,0)),"?"))</f>
        <v/>
      </c>
      <c r="O1424" s="102" t="str">
        <f aca="false">IF(C1424="","",IFERROR(INDEX(AK_KEL,MATCH(C1424,AK_NAMA,0)),"?"))</f>
        <v/>
      </c>
      <c r="P1424" s="102" t="str">
        <f aca="false">IF(D1424="","",IFERROR(INDEX(AK_KEL,MATCH(D1424,AK_NAMA,0)),"?"))</f>
        <v/>
      </c>
      <c r="Q1424" s="102" t="n">
        <f aca="false">N(Q1423)+IF(AND(N(E1424)&lt;&gt;0,K1424=TAHUN,N(J1424)&lt;=BLN,OR(C1424=BB_AKUN,D1424=BB_AKUN)),1,0)</f>
        <v>877</v>
      </c>
      <c r="R1424" s="104" t="str">
        <f aca="false">IF(OR(C1424&amp;D1424="",N(E1424)=0),"",IF(OR(O1424="?",P1424="?"),"⚠ akun tidak dikenal",IF(C1424=D1424,"⚠ debet = kredit","")))</f>
        <v/>
      </c>
    </row>
    <row r="1425" customFormat="false" ht="15" hidden="false" customHeight="false" outlineLevel="0" collapsed="false">
      <c r="A1425" s="5"/>
      <c r="B1425" s="83"/>
      <c r="C1425" s="5"/>
      <c r="D1425" s="5"/>
      <c r="E1425" s="44"/>
      <c r="F1425" s="5"/>
      <c r="G1425" s="5"/>
      <c r="H1425" s="5"/>
      <c r="I1425" s="5"/>
      <c r="J1425" s="102" t="str">
        <f aca="false">IF(B1425="","",MONTH(B1425))</f>
        <v/>
      </c>
      <c r="K1425" s="102" t="str">
        <f aca="false">IF(B1425="","",YEAR(B1425))</f>
        <v/>
      </c>
      <c r="L1425" s="102" t="str">
        <f aca="false">IF(N(E1425)=0,"",IF(COUNTIFS(AK_NAMA,C1425,AK_KAT,"KAS")+COUNTIFS(AK_NAMA,D1425,AK_KAT,"KAS")&lt;&gt;1,"",IF(COUNTIFS(AK_NAMA,C1425,AK_KAT,"KAS")=1,D1425,C1425)))</f>
        <v/>
      </c>
      <c r="M1425" s="103" t="n">
        <f aca="false">IF(L1425="",0,IF(L1425=D1425,E1425,-E1425))</f>
        <v>0</v>
      </c>
      <c r="N1425" s="102" t="str">
        <f aca="false">IF(L1425="","",IFERROR(INDEX(AK_BARIS,MATCH(L1425,AK_NAMA,0)),"?"))</f>
        <v/>
      </c>
      <c r="O1425" s="102" t="str">
        <f aca="false">IF(C1425="","",IFERROR(INDEX(AK_KEL,MATCH(C1425,AK_NAMA,0)),"?"))</f>
        <v/>
      </c>
      <c r="P1425" s="102" t="str">
        <f aca="false">IF(D1425="","",IFERROR(INDEX(AK_KEL,MATCH(D1425,AK_NAMA,0)),"?"))</f>
        <v/>
      </c>
      <c r="Q1425" s="102" t="n">
        <f aca="false">N(Q1424)+IF(AND(N(E1425)&lt;&gt;0,K1425=TAHUN,N(J1425)&lt;=BLN,OR(C1425=BB_AKUN,D1425=BB_AKUN)),1,0)</f>
        <v>877</v>
      </c>
      <c r="R1425" s="104" t="str">
        <f aca="false">IF(OR(C1425&amp;D1425="",N(E1425)=0),"",IF(OR(O1425="?",P1425="?"),"⚠ akun tidak dikenal",IF(C1425=D1425,"⚠ debet = kredit","")))</f>
        <v/>
      </c>
    </row>
    <row r="1426" customFormat="false" ht="15" hidden="false" customHeight="false" outlineLevel="0" collapsed="false">
      <c r="A1426" s="5"/>
      <c r="B1426" s="83"/>
      <c r="C1426" s="5"/>
      <c r="D1426" s="5"/>
      <c r="E1426" s="44"/>
      <c r="F1426" s="5"/>
      <c r="G1426" s="5"/>
      <c r="H1426" s="5"/>
      <c r="I1426" s="5"/>
      <c r="J1426" s="102" t="str">
        <f aca="false">IF(B1426="","",MONTH(B1426))</f>
        <v/>
      </c>
      <c r="K1426" s="102" t="str">
        <f aca="false">IF(B1426="","",YEAR(B1426))</f>
        <v/>
      </c>
      <c r="L1426" s="102" t="str">
        <f aca="false">IF(N(E1426)=0,"",IF(COUNTIFS(AK_NAMA,C1426,AK_KAT,"KAS")+COUNTIFS(AK_NAMA,D1426,AK_KAT,"KAS")&lt;&gt;1,"",IF(COUNTIFS(AK_NAMA,C1426,AK_KAT,"KAS")=1,D1426,C1426)))</f>
        <v/>
      </c>
      <c r="M1426" s="103" t="n">
        <f aca="false">IF(L1426="",0,IF(L1426=D1426,E1426,-E1426))</f>
        <v>0</v>
      </c>
      <c r="N1426" s="102" t="str">
        <f aca="false">IF(L1426="","",IFERROR(INDEX(AK_BARIS,MATCH(L1426,AK_NAMA,0)),"?"))</f>
        <v/>
      </c>
      <c r="O1426" s="102" t="str">
        <f aca="false">IF(C1426="","",IFERROR(INDEX(AK_KEL,MATCH(C1426,AK_NAMA,0)),"?"))</f>
        <v/>
      </c>
      <c r="P1426" s="102" t="str">
        <f aca="false">IF(D1426="","",IFERROR(INDEX(AK_KEL,MATCH(D1426,AK_NAMA,0)),"?"))</f>
        <v/>
      </c>
      <c r="Q1426" s="102" t="n">
        <f aca="false">N(Q1425)+IF(AND(N(E1426)&lt;&gt;0,K1426=TAHUN,N(J1426)&lt;=BLN,OR(C1426=BB_AKUN,D1426=BB_AKUN)),1,0)</f>
        <v>877</v>
      </c>
      <c r="R1426" s="104" t="str">
        <f aca="false">IF(OR(C1426&amp;D1426="",N(E1426)=0),"",IF(OR(O1426="?",P1426="?"),"⚠ akun tidak dikenal",IF(C1426=D1426,"⚠ debet = kredit","")))</f>
        <v/>
      </c>
    </row>
    <row r="1427" customFormat="false" ht="15" hidden="false" customHeight="false" outlineLevel="0" collapsed="false">
      <c r="A1427" s="5"/>
      <c r="B1427" s="83"/>
      <c r="C1427" s="5"/>
      <c r="D1427" s="5"/>
      <c r="E1427" s="44"/>
      <c r="F1427" s="5"/>
      <c r="G1427" s="5"/>
      <c r="H1427" s="5"/>
      <c r="I1427" s="5"/>
      <c r="J1427" s="102" t="str">
        <f aca="false">IF(B1427="","",MONTH(B1427))</f>
        <v/>
      </c>
      <c r="K1427" s="102" t="str">
        <f aca="false">IF(B1427="","",YEAR(B1427))</f>
        <v/>
      </c>
      <c r="L1427" s="102" t="str">
        <f aca="false">IF(N(E1427)=0,"",IF(COUNTIFS(AK_NAMA,C1427,AK_KAT,"KAS")+COUNTIFS(AK_NAMA,D1427,AK_KAT,"KAS")&lt;&gt;1,"",IF(COUNTIFS(AK_NAMA,C1427,AK_KAT,"KAS")=1,D1427,C1427)))</f>
        <v/>
      </c>
      <c r="M1427" s="103" t="n">
        <f aca="false">IF(L1427="",0,IF(L1427=D1427,E1427,-E1427))</f>
        <v>0</v>
      </c>
      <c r="N1427" s="102" t="str">
        <f aca="false">IF(L1427="","",IFERROR(INDEX(AK_BARIS,MATCH(L1427,AK_NAMA,0)),"?"))</f>
        <v/>
      </c>
      <c r="O1427" s="102" t="str">
        <f aca="false">IF(C1427="","",IFERROR(INDEX(AK_KEL,MATCH(C1427,AK_NAMA,0)),"?"))</f>
        <v/>
      </c>
      <c r="P1427" s="102" t="str">
        <f aca="false">IF(D1427="","",IFERROR(INDEX(AK_KEL,MATCH(D1427,AK_NAMA,0)),"?"))</f>
        <v/>
      </c>
      <c r="Q1427" s="102" t="n">
        <f aca="false">N(Q1426)+IF(AND(N(E1427)&lt;&gt;0,K1427=TAHUN,N(J1427)&lt;=BLN,OR(C1427=BB_AKUN,D1427=BB_AKUN)),1,0)</f>
        <v>877</v>
      </c>
      <c r="R1427" s="104" t="str">
        <f aca="false">IF(OR(C1427&amp;D1427="",N(E1427)=0),"",IF(OR(O1427="?",P1427="?"),"⚠ akun tidak dikenal",IF(C1427=D1427,"⚠ debet = kredit","")))</f>
        <v/>
      </c>
    </row>
    <row r="1428" customFormat="false" ht="15" hidden="false" customHeight="false" outlineLevel="0" collapsed="false">
      <c r="A1428" s="5"/>
      <c r="B1428" s="83"/>
      <c r="C1428" s="5"/>
      <c r="D1428" s="5"/>
      <c r="E1428" s="44"/>
      <c r="F1428" s="5"/>
      <c r="G1428" s="5"/>
      <c r="H1428" s="5"/>
      <c r="I1428" s="5"/>
      <c r="J1428" s="102" t="str">
        <f aca="false">IF(B1428="","",MONTH(B1428))</f>
        <v/>
      </c>
      <c r="K1428" s="102" t="str">
        <f aca="false">IF(B1428="","",YEAR(B1428))</f>
        <v/>
      </c>
      <c r="L1428" s="102" t="str">
        <f aca="false">IF(N(E1428)=0,"",IF(COUNTIFS(AK_NAMA,C1428,AK_KAT,"KAS")+COUNTIFS(AK_NAMA,D1428,AK_KAT,"KAS")&lt;&gt;1,"",IF(COUNTIFS(AK_NAMA,C1428,AK_KAT,"KAS")=1,D1428,C1428)))</f>
        <v/>
      </c>
      <c r="M1428" s="103" t="n">
        <f aca="false">IF(L1428="",0,IF(L1428=D1428,E1428,-E1428))</f>
        <v>0</v>
      </c>
      <c r="N1428" s="102" t="str">
        <f aca="false">IF(L1428="","",IFERROR(INDEX(AK_BARIS,MATCH(L1428,AK_NAMA,0)),"?"))</f>
        <v/>
      </c>
      <c r="O1428" s="102" t="str">
        <f aca="false">IF(C1428="","",IFERROR(INDEX(AK_KEL,MATCH(C1428,AK_NAMA,0)),"?"))</f>
        <v/>
      </c>
      <c r="P1428" s="102" t="str">
        <f aca="false">IF(D1428="","",IFERROR(INDEX(AK_KEL,MATCH(D1428,AK_NAMA,0)),"?"))</f>
        <v/>
      </c>
      <c r="Q1428" s="102" t="n">
        <f aca="false">N(Q1427)+IF(AND(N(E1428)&lt;&gt;0,K1428=TAHUN,N(J1428)&lt;=BLN,OR(C1428=BB_AKUN,D1428=BB_AKUN)),1,0)</f>
        <v>877</v>
      </c>
      <c r="R1428" s="104" t="str">
        <f aca="false">IF(OR(C1428&amp;D1428="",N(E1428)=0),"",IF(OR(O1428="?",P1428="?"),"⚠ akun tidak dikenal",IF(C1428=D1428,"⚠ debet = kredit","")))</f>
        <v/>
      </c>
    </row>
    <row r="1429" customFormat="false" ht="15" hidden="false" customHeight="false" outlineLevel="0" collapsed="false">
      <c r="A1429" s="5"/>
      <c r="B1429" s="83"/>
      <c r="C1429" s="5"/>
      <c r="D1429" s="5"/>
      <c r="E1429" s="44"/>
      <c r="F1429" s="5"/>
      <c r="G1429" s="5"/>
      <c r="H1429" s="5"/>
      <c r="I1429" s="5"/>
      <c r="J1429" s="102" t="str">
        <f aca="false">IF(B1429="","",MONTH(B1429))</f>
        <v/>
      </c>
      <c r="K1429" s="102" t="str">
        <f aca="false">IF(B1429="","",YEAR(B1429))</f>
        <v/>
      </c>
      <c r="L1429" s="102" t="str">
        <f aca="false">IF(N(E1429)=0,"",IF(COUNTIFS(AK_NAMA,C1429,AK_KAT,"KAS")+COUNTIFS(AK_NAMA,D1429,AK_KAT,"KAS")&lt;&gt;1,"",IF(COUNTIFS(AK_NAMA,C1429,AK_KAT,"KAS")=1,D1429,C1429)))</f>
        <v/>
      </c>
      <c r="M1429" s="103" t="n">
        <f aca="false">IF(L1429="",0,IF(L1429=D1429,E1429,-E1429))</f>
        <v>0</v>
      </c>
      <c r="N1429" s="102" t="str">
        <f aca="false">IF(L1429="","",IFERROR(INDEX(AK_BARIS,MATCH(L1429,AK_NAMA,0)),"?"))</f>
        <v/>
      </c>
      <c r="O1429" s="102" t="str">
        <f aca="false">IF(C1429="","",IFERROR(INDEX(AK_KEL,MATCH(C1429,AK_NAMA,0)),"?"))</f>
        <v/>
      </c>
      <c r="P1429" s="102" t="str">
        <f aca="false">IF(D1429="","",IFERROR(INDEX(AK_KEL,MATCH(D1429,AK_NAMA,0)),"?"))</f>
        <v/>
      </c>
      <c r="Q1429" s="102" t="n">
        <f aca="false">N(Q1428)+IF(AND(N(E1429)&lt;&gt;0,K1429=TAHUN,N(J1429)&lt;=BLN,OR(C1429=BB_AKUN,D1429=BB_AKUN)),1,0)</f>
        <v>877</v>
      </c>
      <c r="R1429" s="104" t="str">
        <f aca="false">IF(OR(C1429&amp;D1429="",N(E1429)=0),"",IF(OR(O1429="?",P1429="?"),"⚠ akun tidak dikenal",IF(C1429=D1429,"⚠ debet = kredit","")))</f>
        <v/>
      </c>
    </row>
    <row r="1430" customFormat="false" ht="15" hidden="false" customHeight="false" outlineLevel="0" collapsed="false">
      <c r="A1430" s="5"/>
      <c r="B1430" s="83"/>
      <c r="C1430" s="5"/>
      <c r="D1430" s="5"/>
      <c r="E1430" s="44"/>
      <c r="F1430" s="5"/>
      <c r="G1430" s="5"/>
      <c r="H1430" s="5"/>
      <c r="I1430" s="5"/>
      <c r="J1430" s="102" t="str">
        <f aca="false">IF(B1430="","",MONTH(B1430))</f>
        <v/>
      </c>
      <c r="K1430" s="102" t="str">
        <f aca="false">IF(B1430="","",YEAR(B1430))</f>
        <v/>
      </c>
      <c r="L1430" s="102" t="str">
        <f aca="false">IF(N(E1430)=0,"",IF(COUNTIFS(AK_NAMA,C1430,AK_KAT,"KAS")+COUNTIFS(AK_NAMA,D1430,AK_KAT,"KAS")&lt;&gt;1,"",IF(COUNTIFS(AK_NAMA,C1430,AK_KAT,"KAS")=1,D1430,C1430)))</f>
        <v/>
      </c>
      <c r="M1430" s="103" t="n">
        <f aca="false">IF(L1430="",0,IF(L1430=D1430,E1430,-E1430))</f>
        <v>0</v>
      </c>
      <c r="N1430" s="102" t="str">
        <f aca="false">IF(L1430="","",IFERROR(INDEX(AK_BARIS,MATCH(L1430,AK_NAMA,0)),"?"))</f>
        <v/>
      </c>
      <c r="O1430" s="102" t="str">
        <f aca="false">IF(C1430="","",IFERROR(INDEX(AK_KEL,MATCH(C1430,AK_NAMA,0)),"?"))</f>
        <v/>
      </c>
      <c r="P1430" s="102" t="str">
        <f aca="false">IF(D1430="","",IFERROR(INDEX(AK_KEL,MATCH(D1430,AK_NAMA,0)),"?"))</f>
        <v/>
      </c>
      <c r="Q1430" s="102" t="n">
        <f aca="false">N(Q1429)+IF(AND(N(E1430)&lt;&gt;0,K1430=TAHUN,N(J1430)&lt;=BLN,OR(C1430=BB_AKUN,D1430=BB_AKUN)),1,0)</f>
        <v>877</v>
      </c>
      <c r="R1430" s="104" t="str">
        <f aca="false">IF(OR(C1430&amp;D1430="",N(E1430)=0),"",IF(OR(O1430="?",P1430="?"),"⚠ akun tidak dikenal",IF(C1430=D1430,"⚠ debet = kredit","")))</f>
        <v/>
      </c>
    </row>
    <row r="1431" customFormat="false" ht="15" hidden="false" customHeight="false" outlineLevel="0" collapsed="false">
      <c r="A1431" s="5"/>
      <c r="B1431" s="83"/>
      <c r="C1431" s="5"/>
      <c r="D1431" s="5"/>
      <c r="E1431" s="44"/>
      <c r="F1431" s="5"/>
      <c r="G1431" s="5"/>
      <c r="H1431" s="5"/>
      <c r="I1431" s="5"/>
      <c r="J1431" s="102" t="str">
        <f aca="false">IF(B1431="","",MONTH(B1431))</f>
        <v/>
      </c>
      <c r="K1431" s="102" t="str">
        <f aca="false">IF(B1431="","",YEAR(B1431))</f>
        <v/>
      </c>
      <c r="L1431" s="102" t="str">
        <f aca="false">IF(N(E1431)=0,"",IF(COUNTIFS(AK_NAMA,C1431,AK_KAT,"KAS")+COUNTIFS(AK_NAMA,D1431,AK_KAT,"KAS")&lt;&gt;1,"",IF(COUNTIFS(AK_NAMA,C1431,AK_KAT,"KAS")=1,D1431,C1431)))</f>
        <v/>
      </c>
      <c r="M1431" s="103" t="n">
        <f aca="false">IF(L1431="",0,IF(L1431=D1431,E1431,-E1431))</f>
        <v>0</v>
      </c>
      <c r="N1431" s="102" t="str">
        <f aca="false">IF(L1431="","",IFERROR(INDEX(AK_BARIS,MATCH(L1431,AK_NAMA,0)),"?"))</f>
        <v/>
      </c>
      <c r="O1431" s="102" t="str">
        <f aca="false">IF(C1431="","",IFERROR(INDEX(AK_KEL,MATCH(C1431,AK_NAMA,0)),"?"))</f>
        <v/>
      </c>
      <c r="P1431" s="102" t="str">
        <f aca="false">IF(D1431="","",IFERROR(INDEX(AK_KEL,MATCH(D1431,AK_NAMA,0)),"?"))</f>
        <v/>
      </c>
      <c r="Q1431" s="102" t="n">
        <f aca="false">N(Q1430)+IF(AND(N(E1431)&lt;&gt;0,K1431=TAHUN,N(J1431)&lt;=BLN,OR(C1431=BB_AKUN,D1431=BB_AKUN)),1,0)</f>
        <v>877</v>
      </c>
      <c r="R1431" s="104" t="str">
        <f aca="false">IF(OR(C1431&amp;D1431="",N(E1431)=0),"",IF(OR(O1431="?",P1431="?"),"⚠ akun tidak dikenal",IF(C1431=D1431,"⚠ debet = kredit","")))</f>
        <v/>
      </c>
    </row>
    <row r="1432" customFormat="false" ht="15" hidden="false" customHeight="false" outlineLevel="0" collapsed="false">
      <c r="A1432" s="5"/>
      <c r="B1432" s="83"/>
      <c r="C1432" s="5"/>
      <c r="D1432" s="5"/>
      <c r="E1432" s="44"/>
      <c r="F1432" s="5"/>
      <c r="G1432" s="5"/>
      <c r="H1432" s="5"/>
      <c r="I1432" s="5"/>
      <c r="J1432" s="102" t="str">
        <f aca="false">IF(B1432="","",MONTH(B1432))</f>
        <v/>
      </c>
      <c r="K1432" s="102" t="str">
        <f aca="false">IF(B1432="","",YEAR(B1432))</f>
        <v/>
      </c>
      <c r="L1432" s="102" t="str">
        <f aca="false">IF(N(E1432)=0,"",IF(COUNTIFS(AK_NAMA,C1432,AK_KAT,"KAS")+COUNTIFS(AK_NAMA,D1432,AK_KAT,"KAS")&lt;&gt;1,"",IF(COUNTIFS(AK_NAMA,C1432,AK_KAT,"KAS")=1,D1432,C1432)))</f>
        <v/>
      </c>
      <c r="M1432" s="103" t="n">
        <f aca="false">IF(L1432="",0,IF(L1432=D1432,E1432,-E1432))</f>
        <v>0</v>
      </c>
      <c r="N1432" s="102" t="str">
        <f aca="false">IF(L1432="","",IFERROR(INDEX(AK_BARIS,MATCH(L1432,AK_NAMA,0)),"?"))</f>
        <v/>
      </c>
      <c r="O1432" s="102" t="str">
        <f aca="false">IF(C1432="","",IFERROR(INDEX(AK_KEL,MATCH(C1432,AK_NAMA,0)),"?"))</f>
        <v/>
      </c>
      <c r="P1432" s="102" t="str">
        <f aca="false">IF(D1432="","",IFERROR(INDEX(AK_KEL,MATCH(D1432,AK_NAMA,0)),"?"))</f>
        <v/>
      </c>
      <c r="Q1432" s="102" t="n">
        <f aca="false">N(Q1431)+IF(AND(N(E1432)&lt;&gt;0,K1432=TAHUN,N(J1432)&lt;=BLN,OR(C1432=BB_AKUN,D1432=BB_AKUN)),1,0)</f>
        <v>877</v>
      </c>
      <c r="R1432" s="104" t="str">
        <f aca="false">IF(OR(C1432&amp;D1432="",N(E1432)=0),"",IF(OR(O1432="?",P1432="?"),"⚠ akun tidak dikenal",IF(C1432=D1432,"⚠ debet = kredit","")))</f>
        <v/>
      </c>
    </row>
    <row r="1433" customFormat="false" ht="15" hidden="false" customHeight="false" outlineLevel="0" collapsed="false">
      <c r="A1433" s="5"/>
      <c r="B1433" s="83"/>
      <c r="C1433" s="5"/>
      <c r="D1433" s="5"/>
      <c r="E1433" s="44"/>
      <c r="F1433" s="5"/>
      <c r="G1433" s="5"/>
      <c r="H1433" s="5"/>
      <c r="I1433" s="5"/>
      <c r="J1433" s="102" t="str">
        <f aca="false">IF(B1433="","",MONTH(B1433))</f>
        <v/>
      </c>
      <c r="K1433" s="102" t="str">
        <f aca="false">IF(B1433="","",YEAR(B1433))</f>
        <v/>
      </c>
      <c r="L1433" s="102" t="str">
        <f aca="false">IF(N(E1433)=0,"",IF(COUNTIFS(AK_NAMA,C1433,AK_KAT,"KAS")+COUNTIFS(AK_NAMA,D1433,AK_KAT,"KAS")&lt;&gt;1,"",IF(COUNTIFS(AK_NAMA,C1433,AK_KAT,"KAS")=1,D1433,C1433)))</f>
        <v/>
      </c>
      <c r="M1433" s="103" t="n">
        <f aca="false">IF(L1433="",0,IF(L1433=D1433,E1433,-E1433))</f>
        <v>0</v>
      </c>
      <c r="N1433" s="102" t="str">
        <f aca="false">IF(L1433="","",IFERROR(INDEX(AK_BARIS,MATCH(L1433,AK_NAMA,0)),"?"))</f>
        <v/>
      </c>
      <c r="O1433" s="102" t="str">
        <f aca="false">IF(C1433="","",IFERROR(INDEX(AK_KEL,MATCH(C1433,AK_NAMA,0)),"?"))</f>
        <v/>
      </c>
      <c r="P1433" s="102" t="str">
        <f aca="false">IF(D1433="","",IFERROR(INDEX(AK_KEL,MATCH(D1433,AK_NAMA,0)),"?"))</f>
        <v/>
      </c>
      <c r="Q1433" s="102" t="n">
        <f aca="false">N(Q1432)+IF(AND(N(E1433)&lt;&gt;0,K1433=TAHUN,N(J1433)&lt;=BLN,OR(C1433=BB_AKUN,D1433=BB_AKUN)),1,0)</f>
        <v>877</v>
      </c>
      <c r="R1433" s="104" t="str">
        <f aca="false">IF(OR(C1433&amp;D1433="",N(E1433)=0),"",IF(OR(O1433="?",P1433="?"),"⚠ akun tidak dikenal",IF(C1433=D1433,"⚠ debet = kredit","")))</f>
        <v/>
      </c>
    </row>
    <row r="1434" customFormat="false" ht="15" hidden="false" customHeight="false" outlineLevel="0" collapsed="false">
      <c r="A1434" s="5"/>
      <c r="B1434" s="83"/>
      <c r="C1434" s="5"/>
      <c r="D1434" s="5"/>
      <c r="E1434" s="44"/>
      <c r="F1434" s="5"/>
      <c r="G1434" s="5"/>
      <c r="H1434" s="5"/>
      <c r="I1434" s="5"/>
      <c r="J1434" s="102" t="str">
        <f aca="false">IF(B1434="","",MONTH(B1434))</f>
        <v/>
      </c>
      <c r="K1434" s="102" t="str">
        <f aca="false">IF(B1434="","",YEAR(B1434))</f>
        <v/>
      </c>
      <c r="L1434" s="102" t="str">
        <f aca="false">IF(N(E1434)=0,"",IF(COUNTIFS(AK_NAMA,C1434,AK_KAT,"KAS")+COUNTIFS(AK_NAMA,D1434,AK_KAT,"KAS")&lt;&gt;1,"",IF(COUNTIFS(AK_NAMA,C1434,AK_KAT,"KAS")=1,D1434,C1434)))</f>
        <v/>
      </c>
      <c r="M1434" s="103" t="n">
        <f aca="false">IF(L1434="",0,IF(L1434=D1434,E1434,-E1434))</f>
        <v>0</v>
      </c>
      <c r="N1434" s="102" t="str">
        <f aca="false">IF(L1434="","",IFERROR(INDEX(AK_BARIS,MATCH(L1434,AK_NAMA,0)),"?"))</f>
        <v/>
      </c>
      <c r="O1434" s="102" t="str">
        <f aca="false">IF(C1434="","",IFERROR(INDEX(AK_KEL,MATCH(C1434,AK_NAMA,0)),"?"))</f>
        <v/>
      </c>
      <c r="P1434" s="102" t="str">
        <f aca="false">IF(D1434="","",IFERROR(INDEX(AK_KEL,MATCH(D1434,AK_NAMA,0)),"?"))</f>
        <v/>
      </c>
      <c r="Q1434" s="102" t="n">
        <f aca="false">N(Q1433)+IF(AND(N(E1434)&lt;&gt;0,K1434=TAHUN,N(J1434)&lt;=BLN,OR(C1434=BB_AKUN,D1434=BB_AKUN)),1,0)</f>
        <v>877</v>
      </c>
      <c r="R1434" s="104" t="str">
        <f aca="false">IF(OR(C1434&amp;D1434="",N(E1434)=0),"",IF(OR(O1434="?",P1434="?"),"⚠ akun tidak dikenal",IF(C1434=D1434,"⚠ debet = kredit","")))</f>
        <v/>
      </c>
    </row>
    <row r="1435" customFormat="false" ht="15" hidden="false" customHeight="false" outlineLevel="0" collapsed="false">
      <c r="A1435" s="5"/>
      <c r="B1435" s="83"/>
      <c r="C1435" s="5"/>
      <c r="D1435" s="5"/>
      <c r="E1435" s="44"/>
      <c r="F1435" s="5"/>
      <c r="G1435" s="5"/>
      <c r="H1435" s="5"/>
      <c r="I1435" s="5"/>
      <c r="J1435" s="102" t="str">
        <f aca="false">IF(B1435="","",MONTH(B1435))</f>
        <v/>
      </c>
      <c r="K1435" s="102" t="str">
        <f aca="false">IF(B1435="","",YEAR(B1435))</f>
        <v/>
      </c>
      <c r="L1435" s="102" t="str">
        <f aca="false">IF(N(E1435)=0,"",IF(COUNTIFS(AK_NAMA,C1435,AK_KAT,"KAS")+COUNTIFS(AK_NAMA,D1435,AK_KAT,"KAS")&lt;&gt;1,"",IF(COUNTIFS(AK_NAMA,C1435,AK_KAT,"KAS")=1,D1435,C1435)))</f>
        <v/>
      </c>
      <c r="M1435" s="103" t="n">
        <f aca="false">IF(L1435="",0,IF(L1435=D1435,E1435,-E1435))</f>
        <v>0</v>
      </c>
      <c r="N1435" s="102" t="str">
        <f aca="false">IF(L1435="","",IFERROR(INDEX(AK_BARIS,MATCH(L1435,AK_NAMA,0)),"?"))</f>
        <v/>
      </c>
      <c r="O1435" s="102" t="str">
        <f aca="false">IF(C1435="","",IFERROR(INDEX(AK_KEL,MATCH(C1435,AK_NAMA,0)),"?"))</f>
        <v/>
      </c>
      <c r="P1435" s="102" t="str">
        <f aca="false">IF(D1435="","",IFERROR(INDEX(AK_KEL,MATCH(D1435,AK_NAMA,0)),"?"))</f>
        <v/>
      </c>
      <c r="Q1435" s="102" t="n">
        <f aca="false">N(Q1434)+IF(AND(N(E1435)&lt;&gt;0,K1435=TAHUN,N(J1435)&lt;=BLN,OR(C1435=BB_AKUN,D1435=BB_AKUN)),1,0)</f>
        <v>877</v>
      </c>
      <c r="R1435" s="104" t="str">
        <f aca="false">IF(OR(C1435&amp;D1435="",N(E1435)=0),"",IF(OR(O1435="?",P1435="?"),"⚠ akun tidak dikenal",IF(C1435=D1435,"⚠ debet = kredit","")))</f>
        <v/>
      </c>
    </row>
    <row r="1436" customFormat="false" ht="15" hidden="false" customHeight="false" outlineLevel="0" collapsed="false">
      <c r="A1436" s="5"/>
      <c r="B1436" s="83"/>
      <c r="C1436" s="5"/>
      <c r="D1436" s="5"/>
      <c r="E1436" s="44"/>
      <c r="F1436" s="5"/>
      <c r="G1436" s="5"/>
      <c r="H1436" s="5"/>
      <c r="I1436" s="5"/>
      <c r="J1436" s="102" t="str">
        <f aca="false">IF(B1436="","",MONTH(B1436))</f>
        <v/>
      </c>
      <c r="K1436" s="102" t="str">
        <f aca="false">IF(B1436="","",YEAR(B1436))</f>
        <v/>
      </c>
      <c r="L1436" s="102" t="str">
        <f aca="false">IF(N(E1436)=0,"",IF(COUNTIFS(AK_NAMA,C1436,AK_KAT,"KAS")+COUNTIFS(AK_NAMA,D1436,AK_KAT,"KAS")&lt;&gt;1,"",IF(COUNTIFS(AK_NAMA,C1436,AK_KAT,"KAS")=1,D1436,C1436)))</f>
        <v/>
      </c>
      <c r="M1436" s="103" t="n">
        <f aca="false">IF(L1436="",0,IF(L1436=D1436,E1436,-E1436))</f>
        <v>0</v>
      </c>
      <c r="N1436" s="102" t="str">
        <f aca="false">IF(L1436="","",IFERROR(INDEX(AK_BARIS,MATCH(L1436,AK_NAMA,0)),"?"))</f>
        <v/>
      </c>
      <c r="O1436" s="102" t="str">
        <f aca="false">IF(C1436="","",IFERROR(INDEX(AK_KEL,MATCH(C1436,AK_NAMA,0)),"?"))</f>
        <v/>
      </c>
      <c r="P1436" s="102" t="str">
        <f aca="false">IF(D1436="","",IFERROR(INDEX(AK_KEL,MATCH(D1436,AK_NAMA,0)),"?"))</f>
        <v/>
      </c>
      <c r="Q1436" s="102" t="n">
        <f aca="false">N(Q1435)+IF(AND(N(E1436)&lt;&gt;0,K1436=TAHUN,N(J1436)&lt;=BLN,OR(C1436=BB_AKUN,D1436=BB_AKUN)),1,0)</f>
        <v>877</v>
      </c>
      <c r="R1436" s="104" t="str">
        <f aca="false">IF(OR(C1436&amp;D1436="",N(E1436)=0),"",IF(OR(O1436="?",P1436="?"),"⚠ akun tidak dikenal",IF(C1436=D1436,"⚠ debet = kredit","")))</f>
        <v/>
      </c>
    </row>
    <row r="1437" customFormat="false" ht="15" hidden="false" customHeight="false" outlineLevel="0" collapsed="false">
      <c r="A1437" s="5"/>
      <c r="B1437" s="83"/>
      <c r="C1437" s="5"/>
      <c r="D1437" s="5"/>
      <c r="E1437" s="44"/>
      <c r="F1437" s="5"/>
      <c r="G1437" s="5"/>
      <c r="H1437" s="5"/>
      <c r="I1437" s="5"/>
      <c r="J1437" s="102" t="str">
        <f aca="false">IF(B1437="","",MONTH(B1437))</f>
        <v/>
      </c>
      <c r="K1437" s="102" t="str">
        <f aca="false">IF(B1437="","",YEAR(B1437))</f>
        <v/>
      </c>
      <c r="L1437" s="102" t="str">
        <f aca="false">IF(N(E1437)=0,"",IF(COUNTIFS(AK_NAMA,C1437,AK_KAT,"KAS")+COUNTIFS(AK_NAMA,D1437,AK_KAT,"KAS")&lt;&gt;1,"",IF(COUNTIFS(AK_NAMA,C1437,AK_KAT,"KAS")=1,D1437,C1437)))</f>
        <v/>
      </c>
      <c r="M1437" s="103" t="n">
        <f aca="false">IF(L1437="",0,IF(L1437=D1437,E1437,-E1437))</f>
        <v>0</v>
      </c>
      <c r="N1437" s="102" t="str">
        <f aca="false">IF(L1437="","",IFERROR(INDEX(AK_BARIS,MATCH(L1437,AK_NAMA,0)),"?"))</f>
        <v/>
      </c>
      <c r="O1437" s="102" t="str">
        <f aca="false">IF(C1437="","",IFERROR(INDEX(AK_KEL,MATCH(C1437,AK_NAMA,0)),"?"))</f>
        <v/>
      </c>
      <c r="P1437" s="102" t="str">
        <f aca="false">IF(D1437="","",IFERROR(INDEX(AK_KEL,MATCH(D1437,AK_NAMA,0)),"?"))</f>
        <v/>
      </c>
      <c r="Q1437" s="102" t="n">
        <f aca="false">N(Q1436)+IF(AND(N(E1437)&lt;&gt;0,K1437=TAHUN,N(J1437)&lt;=BLN,OR(C1437=BB_AKUN,D1437=BB_AKUN)),1,0)</f>
        <v>877</v>
      </c>
      <c r="R1437" s="104" t="str">
        <f aca="false">IF(OR(C1437&amp;D1437="",N(E1437)=0),"",IF(OR(O1437="?",P1437="?"),"⚠ akun tidak dikenal",IF(C1437=D1437,"⚠ debet = kredit","")))</f>
        <v/>
      </c>
    </row>
    <row r="1438" customFormat="false" ht="15" hidden="false" customHeight="false" outlineLevel="0" collapsed="false">
      <c r="A1438" s="5"/>
      <c r="B1438" s="83"/>
      <c r="C1438" s="5"/>
      <c r="D1438" s="5"/>
      <c r="E1438" s="44"/>
      <c r="F1438" s="5"/>
      <c r="G1438" s="5"/>
      <c r="H1438" s="5"/>
      <c r="I1438" s="5"/>
      <c r="J1438" s="102" t="str">
        <f aca="false">IF(B1438="","",MONTH(B1438))</f>
        <v/>
      </c>
      <c r="K1438" s="102" t="str">
        <f aca="false">IF(B1438="","",YEAR(B1438))</f>
        <v/>
      </c>
      <c r="L1438" s="102" t="str">
        <f aca="false">IF(N(E1438)=0,"",IF(COUNTIFS(AK_NAMA,C1438,AK_KAT,"KAS")+COUNTIFS(AK_NAMA,D1438,AK_KAT,"KAS")&lt;&gt;1,"",IF(COUNTIFS(AK_NAMA,C1438,AK_KAT,"KAS")=1,D1438,C1438)))</f>
        <v/>
      </c>
      <c r="M1438" s="103" t="n">
        <f aca="false">IF(L1438="",0,IF(L1438=D1438,E1438,-E1438))</f>
        <v>0</v>
      </c>
      <c r="N1438" s="102" t="str">
        <f aca="false">IF(L1438="","",IFERROR(INDEX(AK_BARIS,MATCH(L1438,AK_NAMA,0)),"?"))</f>
        <v/>
      </c>
      <c r="O1438" s="102" t="str">
        <f aca="false">IF(C1438="","",IFERROR(INDEX(AK_KEL,MATCH(C1438,AK_NAMA,0)),"?"))</f>
        <v/>
      </c>
      <c r="P1438" s="102" t="str">
        <f aca="false">IF(D1438="","",IFERROR(INDEX(AK_KEL,MATCH(D1438,AK_NAMA,0)),"?"))</f>
        <v/>
      </c>
      <c r="Q1438" s="102" t="n">
        <f aca="false">N(Q1437)+IF(AND(N(E1438)&lt;&gt;0,K1438=TAHUN,N(J1438)&lt;=BLN,OR(C1438=BB_AKUN,D1438=BB_AKUN)),1,0)</f>
        <v>877</v>
      </c>
      <c r="R1438" s="104" t="str">
        <f aca="false">IF(OR(C1438&amp;D1438="",N(E1438)=0),"",IF(OR(O1438="?",P1438="?"),"⚠ akun tidak dikenal",IF(C1438=D1438,"⚠ debet = kredit","")))</f>
        <v/>
      </c>
    </row>
    <row r="1439" customFormat="false" ht="15" hidden="false" customHeight="false" outlineLevel="0" collapsed="false">
      <c r="A1439" s="5"/>
      <c r="B1439" s="83"/>
      <c r="C1439" s="5"/>
      <c r="D1439" s="5"/>
      <c r="E1439" s="44"/>
      <c r="F1439" s="5"/>
      <c r="G1439" s="5"/>
      <c r="H1439" s="5"/>
      <c r="I1439" s="5"/>
      <c r="J1439" s="102" t="str">
        <f aca="false">IF(B1439="","",MONTH(B1439))</f>
        <v/>
      </c>
      <c r="K1439" s="102" t="str">
        <f aca="false">IF(B1439="","",YEAR(B1439))</f>
        <v/>
      </c>
      <c r="L1439" s="102" t="str">
        <f aca="false">IF(N(E1439)=0,"",IF(COUNTIFS(AK_NAMA,C1439,AK_KAT,"KAS")+COUNTIFS(AK_NAMA,D1439,AK_KAT,"KAS")&lt;&gt;1,"",IF(COUNTIFS(AK_NAMA,C1439,AK_KAT,"KAS")=1,D1439,C1439)))</f>
        <v/>
      </c>
      <c r="M1439" s="103" t="n">
        <f aca="false">IF(L1439="",0,IF(L1439=D1439,E1439,-E1439))</f>
        <v>0</v>
      </c>
      <c r="N1439" s="102" t="str">
        <f aca="false">IF(L1439="","",IFERROR(INDEX(AK_BARIS,MATCH(L1439,AK_NAMA,0)),"?"))</f>
        <v/>
      </c>
      <c r="O1439" s="102" t="str">
        <f aca="false">IF(C1439="","",IFERROR(INDEX(AK_KEL,MATCH(C1439,AK_NAMA,0)),"?"))</f>
        <v/>
      </c>
      <c r="P1439" s="102" t="str">
        <f aca="false">IF(D1439="","",IFERROR(INDEX(AK_KEL,MATCH(D1439,AK_NAMA,0)),"?"))</f>
        <v/>
      </c>
      <c r="Q1439" s="102" t="n">
        <f aca="false">N(Q1438)+IF(AND(N(E1439)&lt;&gt;0,K1439=TAHUN,N(J1439)&lt;=BLN,OR(C1439=BB_AKUN,D1439=BB_AKUN)),1,0)</f>
        <v>877</v>
      </c>
      <c r="R1439" s="104" t="str">
        <f aca="false">IF(OR(C1439&amp;D1439="",N(E1439)=0),"",IF(OR(O1439="?",P1439="?"),"⚠ akun tidak dikenal",IF(C1439=D1439,"⚠ debet = kredit","")))</f>
        <v/>
      </c>
    </row>
    <row r="1440" customFormat="false" ht="15" hidden="false" customHeight="false" outlineLevel="0" collapsed="false">
      <c r="A1440" s="5"/>
      <c r="B1440" s="83"/>
      <c r="C1440" s="5"/>
      <c r="D1440" s="5"/>
      <c r="E1440" s="44"/>
      <c r="F1440" s="5"/>
      <c r="G1440" s="5"/>
      <c r="H1440" s="5"/>
      <c r="I1440" s="5"/>
      <c r="J1440" s="102" t="str">
        <f aca="false">IF(B1440="","",MONTH(B1440))</f>
        <v/>
      </c>
      <c r="K1440" s="102" t="str">
        <f aca="false">IF(B1440="","",YEAR(B1440))</f>
        <v/>
      </c>
      <c r="L1440" s="102" t="str">
        <f aca="false">IF(N(E1440)=0,"",IF(COUNTIFS(AK_NAMA,C1440,AK_KAT,"KAS")+COUNTIFS(AK_NAMA,D1440,AK_KAT,"KAS")&lt;&gt;1,"",IF(COUNTIFS(AK_NAMA,C1440,AK_KAT,"KAS")=1,D1440,C1440)))</f>
        <v/>
      </c>
      <c r="M1440" s="103" t="n">
        <f aca="false">IF(L1440="",0,IF(L1440=D1440,E1440,-E1440))</f>
        <v>0</v>
      </c>
      <c r="N1440" s="102" t="str">
        <f aca="false">IF(L1440="","",IFERROR(INDEX(AK_BARIS,MATCH(L1440,AK_NAMA,0)),"?"))</f>
        <v/>
      </c>
      <c r="O1440" s="102" t="str">
        <f aca="false">IF(C1440="","",IFERROR(INDEX(AK_KEL,MATCH(C1440,AK_NAMA,0)),"?"))</f>
        <v/>
      </c>
      <c r="P1440" s="102" t="str">
        <f aca="false">IF(D1440="","",IFERROR(INDEX(AK_KEL,MATCH(D1440,AK_NAMA,0)),"?"))</f>
        <v/>
      </c>
      <c r="Q1440" s="102" t="n">
        <f aca="false">N(Q1439)+IF(AND(N(E1440)&lt;&gt;0,K1440=TAHUN,N(J1440)&lt;=BLN,OR(C1440=BB_AKUN,D1440=BB_AKUN)),1,0)</f>
        <v>877</v>
      </c>
      <c r="R1440" s="104" t="str">
        <f aca="false">IF(OR(C1440&amp;D1440="",N(E1440)=0),"",IF(OR(O1440="?",P1440="?"),"⚠ akun tidak dikenal",IF(C1440=D1440,"⚠ debet = kredit","")))</f>
        <v/>
      </c>
    </row>
    <row r="1441" customFormat="false" ht="15" hidden="false" customHeight="false" outlineLevel="0" collapsed="false">
      <c r="A1441" s="5"/>
      <c r="B1441" s="83"/>
      <c r="C1441" s="5"/>
      <c r="D1441" s="5"/>
      <c r="E1441" s="44"/>
      <c r="F1441" s="5"/>
      <c r="G1441" s="5"/>
      <c r="H1441" s="5"/>
      <c r="I1441" s="5"/>
      <c r="J1441" s="102" t="str">
        <f aca="false">IF(B1441="","",MONTH(B1441))</f>
        <v/>
      </c>
      <c r="K1441" s="102" t="str">
        <f aca="false">IF(B1441="","",YEAR(B1441))</f>
        <v/>
      </c>
      <c r="L1441" s="102" t="str">
        <f aca="false">IF(N(E1441)=0,"",IF(COUNTIFS(AK_NAMA,C1441,AK_KAT,"KAS")+COUNTIFS(AK_NAMA,D1441,AK_KAT,"KAS")&lt;&gt;1,"",IF(COUNTIFS(AK_NAMA,C1441,AK_KAT,"KAS")=1,D1441,C1441)))</f>
        <v/>
      </c>
      <c r="M1441" s="103" t="n">
        <f aca="false">IF(L1441="",0,IF(L1441=D1441,E1441,-E1441))</f>
        <v>0</v>
      </c>
      <c r="N1441" s="102" t="str">
        <f aca="false">IF(L1441="","",IFERROR(INDEX(AK_BARIS,MATCH(L1441,AK_NAMA,0)),"?"))</f>
        <v/>
      </c>
      <c r="O1441" s="102" t="str">
        <f aca="false">IF(C1441="","",IFERROR(INDEX(AK_KEL,MATCH(C1441,AK_NAMA,0)),"?"))</f>
        <v/>
      </c>
      <c r="P1441" s="102" t="str">
        <f aca="false">IF(D1441="","",IFERROR(INDEX(AK_KEL,MATCH(D1441,AK_NAMA,0)),"?"))</f>
        <v/>
      </c>
      <c r="Q1441" s="102" t="n">
        <f aca="false">N(Q1440)+IF(AND(N(E1441)&lt;&gt;0,K1441=TAHUN,N(J1441)&lt;=BLN,OR(C1441=BB_AKUN,D1441=BB_AKUN)),1,0)</f>
        <v>877</v>
      </c>
      <c r="R1441" s="104" t="str">
        <f aca="false">IF(OR(C1441&amp;D1441="",N(E1441)=0),"",IF(OR(O1441="?",P1441="?"),"⚠ akun tidak dikenal",IF(C1441=D1441,"⚠ debet = kredit","")))</f>
        <v/>
      </c>
    </row>
    <row r="1442" customFormat="false" ht="15" hidden="false" customHeight="false" outlineLevel="0" collapsed="false">
      <c r="A1442" s="5"/>
      <c r="B1442" s="83"/>
      <c r="C1442" s="5"/>
      <c r="D1442" s="5"/>
      <c r="E1442" s="44"/>
      <c r="F1442" s="5"/>
      <c r="G1442" s="5"/>
      <c r="H1442" s="5"/>
      <c r="I1442" s="5"/>
      <c r="J1442" s="102" t="str">
        <f aca="false">IF(B1442="","",MONTH(B1442))</f>
        <v/>
      </c>
      <c r="K1442" s="102" t="str">
        <f aca="false">IF(B1442="","",YEAR(B1442))</f>
        <v/>
      </c>
      <c r="L1442" s="102" t="str">
        <f aca="false">IF(N(E1442)=0,"",IF(COUNTIFS(AK_NAMA,C1442,AK_KAT,"KAS")+COUNTIFS(AK_NAMA,D1442,AK_KAT,"KAS")&lt;&gt;1,"",IF(COUNTIFS(AK_NAMA,C1442,AK_KAT,"KAS")=1,D1442,C1442)))</f>
        <v/>
      </c>
      <c r="M1442" s="103" t="n">
        <f aca="false">IF(L1442="",0,IF(L1442=D1442,E1442,-E1442))</f>
        <v>0</v>
      </c>
      <c r="N1442" s="102" t="str">
        <f aca="false">IF(L1442="","",IFERROR(INDEX(AK_BARIS,MATCH(L1442,AK_NAMA,0)),"?"))</f>
        <v/>
      </c>
      <c r="O1442" s="102" t="str">
        <f aca="false">IF(C1442="","",IFERROR(INDEX(AK_KEL,MATCH(C1442,AK_NAMA,0)),"?"))</f>
        <v/>
      </c>
      <c r="P1442" s="102" t="str">
        <f aca="false">IF(D1442="","",IFERROR(INDEX(AK_KEL,MATCH(D1442,AK_NAMA,0)),"?"))</f>
        <v/>
      </c>
      <c r="Q1442" s="102" t="n">
        <f aca="false">N(Q1441)+IF(AND(N(E1442)&lt;&gt;0,K1442=TAHUN,N(J1442)&lt;=BLN,OR(C1442=BB_AKUN,D1442=BB_AKUN)),1,0)</f>
        <v>877</v>
      </c>
      <c r="R1442" s="104" t="str">
        <f aca="false">IF(OR(C1442&amp;D1442="",N(E1442)=0),"",IF(OR(O1442="?",P1442="?"),"⚠ akun tidak dikenal",IF(C1442=D1442,"⚠ debet = kredit","")))</f>
        <v/>
      </c>
    </row>
    <row r="1443" customFormat="false" ht="15" hidden="false" customHeight="false" outlineLevel="0" collapsed="false">
      <c r="A1443" s="5"/>
      <c r="B1443" s="83"/>
      <c r="C1443" s="5"/>
      <c r="D1443" s="5"/>
      <c r="E1443" s="44"/>
      <c r="F1443" s="5"/>
      <c r="G1443" s="5"/>
      <c r="H1443" s="5"/>
      <c r="I1443" s="5"/>
      <c r="J1443" s="102" t="str">
        <f aca="false">IF(B1443="","",MONTH(B1443))</f>
        <v/>
      </c>
      <c r="K1443" s="102" t="str">
        <f aca="false">IF(B1443="","",YEAR(B1443))</f>
        <v/>
      </c>
      <c r="L1443" s="102" t="str">
        <f aca="false">IF(N(E1443)=0,"",IF(COUNTIFS(AK_NAMA,C1443,AK_KAT,"KAS")+COUNTIFS(AK_NAMA,D1443,AK_KAT,"KAS")&lt;&gt;1,"",IF(COUNTIFS(AK_NAMA,C1443,AK_KAT,"KAS")=1,D1443,C1443)))</f>
        <v/>
      </c>
      <c r="M1443" s="103" t="n">
        <f aca="false">IF(L1443="",0,IF(L1443=D1443,E1443,-E1443))</f>
        <v>0</v>
      </c>
      <c r="N1443" s="102" t="str">
        <f aca="false">IF(L1443="","",IFERROR(INDEX(AK_BARIS,MATCH(L1443,AK_NAMA,0)),"?"))</f>
        <v/>
      </c>
      <c r="O1443" s="102" t="str">
        <f aca="false">IF(C1443="","",IFERROR(INDEX(AK_KEL,MATCH(C1443,AK_NAMA,0)),"?"))</f>
        <v/>
      </c>
      <c r="P1443" s="102" t="str">
        <f aca="false">IF(D1443="","",IFERROR(INDEX(AK_KEL,MATCH(D1443,AK_NAMA,0)),"?"))</f>
        <v/>
      </c>
      <c r="Q1443" s="102" t="n">
        <f aca="false">N(Q1442)+IF(AND(N(E1443)&lt;&gt;0,K1443=TAHUN,N(J1443)&lt;=BLN,OR(C1443=BB_AKUN,D1443=BB_AKUN)),1,0)</f>
        <v>877</v>
      </c>
      <c r="R1443" s="104" t="str">
        <f aca="false">IF(OR(C1443&amp;D1443="",N(E1443)=0),"",IF(OR(O1443="?",P1443="?"),"⚠ akun tidak dikenal",IF(C1443=D1443,"⚠ debet = kredit","")))</f>
        <v/>
      </c>
    </row>
    <row r="1444" customFormat="false" ht="15" hidden="false" customHeight="false" outlineLevel="0" collapsed="false">
      <c r="A1444" s="5"/>
      <c r="B1444" s="83"/>
      <c r="C1444" s="5"/>
      <c r="D1444" s="5"/>
      <c r="E1444" s="44"/>
      <c r="F1444" s="5"/>
      <c r="G1444" s="5"/>
      <c r="H1444" s="5"/>
      <c r="I1444" s="5"/>
      <c r="J1444" s="102" t="str">
        <f aca="false">IF(B1444="","",MONTH(B1444))</f>
        <v/>
      </c>
      <c r="K1444" s="102" t="str">
        <f aca="false">IF(B1444="","",YEAR(B1444))</f>
        <v/>
      </c>
      <c r="L1444" s="102" t="str">
        <f aca="false">IF(N(E1444)=0,"",IF(COUNTIFS(AK_NAMA,C1444,AK_KAT,"KAS")+COUNTIFS(AK_NAMA,D1444,AK_KAT,"KAS")&lt;&gt;1,"",IF(COUNTIFS(AK_NAMA,C1444,AK_KAT,"KAS")=1,D1444,C1444)))</f>
        <v/>
      </c>
      <c r="M1444" s="103" t="n">
        <f aca="false">IF(L1444="",0,IF(L1444=D1444,E1444,-E1444))</f>
        <v>0</v>
      </c>
      <c r="N1444" s="102" t="str">
        <f aca="false">IF(L1444="","",IFERROR(INDEX(AK_BARIS,MATCH(L1444,AK_NAMA,0)),"?"))</f>
        <v/>
      </c>
      <c r="O1444" s="102" t="str">
        <f aca="false">IF(C1444="","",IFERROR(INDEX(AK_KEL,MATCH(C1444,AK_NAMA,0)),"?"))</f>
        <v/>
      </c>
      <c r="P1444" s="102" t="str">
        <f aca="false">IF(D1444="","",IFERROR(INDEX(AK_KEL,MATCH(D1444,AK_NAMA,0)),"?"))</f>
        <v/>
      </c>
      <c r="Q1444" s="102" t="n">
        <f aca="false">N(Q1443)+IF(AND(N(E1444)&lt;&gt;0,K1444=TAHUN,N(J1444)&lt;=BLN,OR(C1444=BB_AKUN,D1444=BB_AKUN)),1,0)</f>
        <v>877</v>
      </c>
      <c r="R1444" s="104" t="str">
        <f aca="false">IF(OR(C1444&amp;D1444="",N(E1444)=0),"",IF(OR(O1444="?",P1444="?"),"⚠ akun tidak dikenal",IF(C1444=D1444,"⚠ debet = kredit","")))</f>
        <v/>
      </c>
    </row>
    <row r="1445" customFormat="false" ht="15" hidden="false" customHeight="false" outlineLevel="0" collapsed="false">
      <c r="A1445" s="5"/>
      <c r="B1445" s="83"/>
      <c r="C1445" s="5"/>
      <c r="D1445" s="5"/>
      <c r="E1445" s="44"/>
      <c r="F1445" s="5"/>
      <c r="G1445" s="5"/>
      <c r="H1445" s="5"/>
      <c r="I1445" s="5"/>
      <c r="J1445" s="102" t="str">
        <f aca="false">IF(B1445="","",MONTH(B1445))</f>
        <v/>
      </c>
      <c r="K1445" s="102" t="str">
        <f aca="false">IF(B1445="","",YEAR(B1445))</f>
        <v/>
      </c>
      <c r="L1445" s="102" t="str">
        <f aca="false">IF(N(E1445)=0,"",IF(COUNTIFS(AK_NAMA,C1445,AK_KAT,"KAS")+COUNTIFS(AK_NAMA,D1445,AK_KAT,"KAS")&lt;&gt;1,"",IF(COUNTIFS(AK_NAMA,C1445,AK_KAT,"KAS")=1,D1445,C1445)))</f>
        <v/>
      </c>
      <c r="M1445" s="103" t="n">
        <f aca="false">IF(L1445="",0,IF(L1445=D1445,E1445,-E1445))</f>
        <v>0</v>
      </c>
      <c r="N1445" s="102" t="str">
        <f aca="false">IF(L1445="","",IFERROR(INDEX(AK_BARIS,MATCH(L1445,AK_NAMA,0)),"?"))</f>
        <v/>
      </c>
      <c r="O1445" s="102" t="str">
        <f aca="false">IF(C1445="","",IFERROR(INDEX(AK_KEL,MATCH(C1445,AK_NAMA,0)),"?"))</f>
        <v/>
      </c>
      <c r="P1445" s="102" t="str">
        <f aca="false">IF(D1445="","",IFERROR(INDEX(AK_KEL,MATCH(D1445,AK_NAMA,0)),"?"))</f>
        <v/>
      </c>
      <c r="Q1445" s="102" t="n">
        <f aca="false">N(Q1444)+IF(AND(N(E1445)&lt;&gt;0,K1445=TAHUN,N(J1445)&lt;=BLN,OR(C1445=BB_AKUN,D1445=BB_AKUN)),1,0)</f>
        <v>877</v>
      </c>
      <c r="R1445" s="104" t="str">
        <f aca="false">IF(OR(C1445&amp;D1445="",N(E1445)=0),"",IF(OR(O1445="?",P1445="?"),"⚠ akun tidak dikenal",IF(C1445=D1445,"⚠ debet = kredit","")))</f>
        <v/>
      </c>
    </row>
    <row r="1446" customFormat="false" ht="15" hidden="false" customHeight="false" outlineLevel="0" collapsed="false">
      <c r="A1446" s="5"/>
      <c r="B1446" s="83"/>
      <c r="C1446" s="5"/>
      <c r="D1446" s="5"/>
      <c r="E1446" s="44"/>
      <c r="F1446" s="5"/>
      <c r="G1446" s="5"/>
      <c r="H1446" s="5"/>
      <c r="I1446" s="5"/>
      <c r="J1446" s="102" t="str">
        <f aca="false">IF(B1446="","",MONTH(B1446))</f>
        <v/>
      </c>
      <c r="K1446" s="102" t="str">
        <f aca="false">IF(B1446="","",YEAR(B1446))</f>
        <v/>
      </c>
      <c r="L1446" s="102" t="str">
        <f aca="false">IF(N(E1446)=0,"",IF(COUNTIFS(AK_NAMA,C1446,AK_KAT,"KAS")+COUNTIFS(AK_NAMA,D1446,AK_KAT,"KAS")&lt;&gt;1,"",IF(COUNTIFS(AK_NAMA,C1446,AK_KAT,"KAS")=1,D1446,C1446)))</f>
        <v/>
      </c>
      <c r="M1446" s="103" t="n">
        <f aca="false">IF(L1446="",0,IF(L1446=D1446,E1446,-E1446))</f>
        <v>0</v>
      </c>
      <c r="N1446" s="102" t="str">
        <f aca="false">IF(L1446="","",IFERROR(INDEX(AK_BARIS,MATCH(L1446,AK_NAMA,0)),"?"))</f>
        <v/>
      </c>
      <c r="O1446" s="102" t="str">
        <f aca="false">IF(C1446="","",IFERROR(INDEX(AK_KEL,MATCH(C1446,AK_NAMA,0)),"?"))</f>
        <v/>
      </c>
      <c r="P1446" s="102" t="str">
        <f aca="false">IF(D1446="","",IFERROR(INDEX(AK_KEL,MATCH(D1446,AK_NAMA,0)),"?"))</f>
        <v/>
      </c>
      <c r="Q1446" s="102" t="n">
        <f aca="false">N(Q1445)+IF(AND(N(E1446)&lt;&gt;0,K1446=TAHUN,N(J1446)&lt;=BLN,OR(C1446=BB_AKUN,D1446=BB_AKUN)),1,0)</f>
        <v>877</v>
      </c>
      <c r="R1446" s="104" t="str">
        <f aca="false">IF(OR(C1446&amp;D1446="",N(E1446)=0),"",IF(OR(O1446="?",P1446="?"),"⚠ akun tidak dikenal",IF(C1446=D1446,"⚠ debet = kredit","")))</f>
        <v/>
      </c>
    </row>
    <row r="1447" customFormat="false" ht="15" hidden="false" customHeight="false" outlineLevel="0" collapsed="false">
      <c r="A1447" s="5"/>
      <c r="B1447" s="83"/>
      <c r="C1447" s="5"/>
      <c r="D1447" s="5"/>
      <c r="E1447" s="44"/>
      <c r="F1447" s="5"/>
      <c r="G1447" s="5"/>
      <c r="H1447" s="5"/>
      <c r="I1447" s="5"/>
      <c r="J1447" s="102" t="str">
        <f aca="false">IF(B1447="","",MONTH(B1447))</f>
        <v/>
      </c>
      <c r="K1447" s="102" t="str">
        <f aca="false">IF(B1447="","",YEAR(B1447))</f>
        <v/>
      </c>
      <c r="L1447" s="102" t="str">
        <f aca="false">IF(N(E1447)=0,"",IF(COUNTIFS(AK_NAMA,C1447,AK_KAT,"KAS")+COUNTIFS(AK_NAMA,D1447,AK_KAT,"KAS")&lt;&gt;1,"",IF(COUNTIFS(AK_NAMA,C1447,AK_KAT,"KAS")=1,D1447,C1447)))</f>
        <v/>
      </c>
      <c r="M1447" s="103" t="n">
        <f aca="false">IF(L1447="",0,IF(L1447=D1447,E1447,-E1447))</f>
        <v>0</v>
      </c>
      <c r="N1447" s="102" t="str">
        <f aca="false">IF(L1447="","",IFERROR(INDEX(AK_BARIS,MATCH(L1447,AK_NAMA,0)),"?"))</f>
        <v/>
      </c>
      <c r="O1447" s="102" t="str">
        <f aca="false">IF(C1447="","",IFERROR(INDEX(AK_KEL,MATCH(C1447,AK_NAMA,0)),"?"))</f>
        <v/>
      </c>
      <c r="P1447" s="102" t="str">
        <f aca="false">IF(D1447="","",IFERROR(INDEX(AK_KEL,MATCH(D1447,AK_NAMA,0)),"?"))</f>
        <v/>
      </c>
      <c r="Q1447" s="102" t="n">
        <f aca="false">N(Q1446)+IF(AND(N(E1447)&lt;&gt;0,K1447=TAHUN,N(J1447)&lt;=BLN,OR(C1447=BB_AKUN,D1447=BB_AKUN)),1,0)</f>
        <v>877</v>
      </c>
      <c r="R1447" s="104" t="str">
        <f aca="false">IF(OR(C1447&amp;D1447="",N(E1447)=0),"",IF(OR(O1447="?",P1447="?"),"⚠ akun tidak dikenal",IF(C1447=D1447,"⚠ debet = kredit","")))</f>
        <v/>
      </c>
    </row>
    <row r="1448" customFormat="false" ht="15" hidden="false" customHeight="false" outlineLevel="0" collapsed="false">
      <c r="A1448" s="5"/>
      <c r="B1448" s="83"/>
      <c r="C1448" s="5"/>
      <c r="D1448" s="5"/>
      <c r="E1448" s="44"/>
      <c r="F1448" s="5"/>
      <c r="G1448" s="5"/>
      <c r="H1448" s="5"/>
      <c r="I1448" s="5"/>
      <c r="J1448" s="102" t="str">
        <f aca="false">IF(B1448="","",MONTH(B1448))</f>
        <v/>
      </c>
      <c r="K1448" s="102" t="str">
        <f aca="false">IF(B1448="","",YEAR(B1448))</f>
        <v/>
      </c>
      <c r="L1448" s="102" t="str">
        <f aca="false">IF(N(E1448)=0,"",IF(COUNTIFS(AK_NAMA,C1448,AK_KAT,"KAS")+COUNTIFS(AK_NAMA,D1448,AK_KAT,"KAS")&lt;&gt;1,"",IF(COUNTIFS(AK_NAMA,C1448,AK_KAT,"KAS")=1,D1448,C1448)))</f>
        <v/>
      </c>
      <c r="M1448" s="103" t="n">
        <f aca="false">IF(L1448="",0,IF(L1448=D1448,E1448,-E1448))</f>
        <v>0</v>
      </c>
      <c r="N1448" s="102" t="str">
        <f aca="false">IF(L1448="","",IFERROR(INDEX(AK_BARIS,MATCH(L1448,AK_NAMA,0)),"?"))</f>
        <v/>
      </c>
      <c r="O1448" s="102" t="str">
        <f aca="false">IF(C1448="","",IFERROR(INDEX(AK_KEL,MATCH(C1448,AK_NAMA,0)),"?"))</f>
        <v/>
      </c>
      <c r="P1448" s="102" t="str">
        <f aca="false">IF(D1448="","",IFERROR(INDEX(AK_KEL,MATCH(D1448,AK_NAMA,0)),"?"))</f>
        <v/>
      </c>
      <c r="Q1448" s="102" t="n">
        <f aca="false">N(Q1447)+IF(AND(N(E1448)&lt;&gt;0,K1448=TAHUN,N(J1448)&lt;=BLN,OR(C1448=BB_AKUN,D1448=BB_AKUN)),1,0)</f>
        <v>877</v>
      </c>
      <c r="R1448" s="104" t="str">
        <f aca="false">IF(OR(C1448&amp;D1448="",N(E1448)=0),"",IF(OR(O1448="?",P1448="?"),"⚠ akun tidak dikenal",IF(C1448=D1448,"⚠ debet = kredit","")))</f>
        <v/>
      </c>
    </row>
    <row r="1449" customFormat="false" ht="15" hidden="false" customHeight="false" outlineLevel="0" collapsed="false">
      <c r="A1449" s="5"/>
      <c r="B1449" s="83"/>
      <c r="C1449" s="5"/>
      <c r="D1449" s="5"/>
      <c r="E1449" s="44"/>
      <c r="F1449" s="5"/>
      <c r="G1449" s="5"/>
      <c r="H1449" s="5"/>
      <c r="I1449" s="5"/>
      <c r="J1449" s="102" t="str">
        <f aca="false">IF(B1449="","",MONTH(B1449))</f>
        <v/>
      </c>
      <c r="K1449" s="102" t="str">
        <f aca="false">IF(B1449="","",YEAR(B1449))</f>
        <v/>
      </c>
      <c r="L1449" s="102" t="str">
        <f aca="false">IF(N(E1449)=0,"",IF(COUNTIFS(AK_NAMA,C1449,AK_KAT,"KAS")+COUNTIFS(AK_NAMA,D1449,AK_KAT,"KAS")&lt;&gt;1,"",IF(COUNTIFS(AK_NAMA,C1449,AK_KAT,"KAS")=1,D1449,C1449)))</f>
        <v/>
      </c>
      <c r="M1449" s="103" t="n">
        <f aca="false">IF(L1449="",0,IF(L1449=D1449,E1449,-E1449))</f>
        <v>0</v>
      </c>
      <c r="N1449" s="102" t="str">
        <f aca="false">IF(L1449="","",IFERROR(INDEX(AK_BARIS,MATCH(L1449,AK_NAMA,0)),"?"))</f>
        <v/>
      </c>
      <c r="O1449" s="102" t="str">
        <f aca="false">IF(C1449="","",IFERROR(INDEX(AK_KEL,MATCH(C1449,AK_NAMA,0)),"?"))</f>
        <v/>
      </c>
      <c r="P1449" s="102" t="str">
        <f aca="false">IF(D1449="","",IFERROR(INDEX(AK_KEL,MATCH(D1449,AK_NAMA,0)),"?"))</f>
        <v/>
      </c>
      <c r="Q1449" s="102" t="n">
        <f aca="false">N(Q1448)+IF(AND(N(E1449)&lt;&gt;0,K1449=TAHUN,N(J1449)&lt;=BLN,OR(C1449=BB_AKUN,D1449=BB_AKUN)),1,0)</f>
        <v>877</v>
      </c>
      <c r="R1449" s="104" t="str">
        <f aca="false">IF(OR(C1449&amp;D1449="",N(E1449)=0),"",IF(OR(O1449="?",P1449="?"),"⚠ akun tidak dikenal",IF(C1449=D1449,"⚠ debet = kredit","")))</f>
        <v/>
      </c>
    </row>
    <row r="1450" customFormat="false" ht="15" hidden="false" customHeight="false" outlineLevel="0" collapsed="false">
      <c r="A1450" s="5"/>
      <c r="B1450" s="83"/>
      <c r="C1450" s="5"/>
      <c r="D1450" s="5"/>
      <c r="E1450" s="44"/>
      <c r="F1450" s="5"/>
      <c r="G1450" s="5"/>
      <c r="H1450" s="5"/>
      <c r="I1450" s="5"/>
      <c r="J1450" s="102" t="str">
        <f aca="false">IF(B1450="","",MONTH(B1450))</f>
        <v/>
      </c>
      <c r="K1450" s="102" t="str">
        <f aca="false">IF(B1450="","",YEAR(B1450))</f>
        <v/>
      </c>
      <c r="L1450" s="102" t="str">
        <f aca="false">IF(N(E1450)=0,"",IF(COUNTIFS(AK_NAMA,C1450,AK_KAT,"KAS")+COUNTIFS(AK_NAMA,D1450,AK_KAT,"KAS")&lt;&gt;1,"",IF(COUNTIFS(AK_NAMA,C1450,AK_KAT,"KAS")=1,D1450,C1450)))</f>
        <v/>
      </c>
      <c r="M1450" s="103" t="n">
        <f aca="false">IF(L1450="",0,IF(L1450=D1450,E1450,-E1450))</f>
        <v>0</v>
      </c>
      <c r="N1450" s="102" t="str">
        <f aca="false">IF(L1450="","",IFERROR(INDEX(AK_BARIS,MATCH(L1450,AK_NAMA,0)),"?"))</f>
        <v/>
      </c>
      <c r="O1450" s="102" t="str">
        <f aca="false">IF(C1450="","",IFERROR(INDEX(AK_KEL,MATCH(C1450,AK_NAMA,0)),"?"))</f>
        <v/>
      </c>
      <c r="P1450" s="102" t="str">
        <f aca="false">IF(D1450="","",IFERROR(INDEX(AK_KEL,MATCH(D1450,AK_NAMA,0)),"?"))</f>
        <v/>
      </c>
      <c r="Q1450" s="102" t="n">
        <f aca="false">N(Q1449)+IF(AND(N(E1450)&lt;&gt;0,K1450=TAHUN,N(J1450)&lt;=BLN,OR(C1450=BB_AKUN,D1450=BB_AKUN)),1,0)</f>
        <v>877</v>
      </c>
      <c r="R1450" s="104" t="str">
        <f aca="false">IF(OR(C1450&amp;D1450="",N(E1450)=0),"",IF(OR(O1450="?",P1450="?"),"⚠ akun tidak dikenal",IF(C1450=D1450,"⚠ debet = kredit","")))</f>
        <v/>
      </c>
    </row>
    <row r="1451" customFormat="false" ht="15" hidden="false" customHeight="false" outlineLevel="0" collapsed="false">
      <c r="A1451" s="5"/>
      <c r="B1451" s="83"/>
      <c r="C1451" s="5"/>
      <c r="D1451" s="5"/>
      <c r="E1451" s="44"/>
      <c r="F1451" s="5"/>
      <c r="G1451" s="5"/>
      <c r="H1451" s="5"/>
      <c r="I1451" s="5"/>
      <c r="J1451" s="102" t="str">
        <f aca="false">IF(B1451="","",MONTH(B1451))</f>
        <v/>
      </c>
      <c r="K1451" s="102" t="str">
        <f aca="false">IF(B1451="","",YEAR(B1451))</f>
        <v/>
      </c>
      <c r="L1451" s="102" t="str">
        <f aca="false">IF(N(E1451)=0,"",IF(COUNTIFS(AK_NAMA,C1451,AK_KAT,"KAS")+COUNTIFS(AK_NAMA,D1451,AK_KAT,"KAS")&lt;&gt;1,"",IF(COUNTIFS(AK_NAMA,C1451,AK_KAT,"KAS")=1,D1451,C1451)))</f>
        <v/>
      </c>
      <c r="M1451" s="103" t="n">
        <f aca="false">IF(L1451="",0,IF(L1451=D1451,E1451,-E1451))</f>
        <v>0</v>
      </c>
      <c r="N1451" s="102" t="str">
        <f aca="false">IF(L1451="","",IFERROR(INDEX(AK_BARIS,MATCH(L1451,AK_NAMA,0)),"?"))</f>
        <v/>
      </c>
      <c r="O1451" s="102" t="str">
        <f aca="false">IF(C1451="","",IFERROR(INDEX(AK_KEL,MATCH(C1451,AK_NAMA,0)),"?"))</f>
        <v/>
      </c>
      <c r="P1451" s="102" t="str">
        <f aca="false">IF(D1451="","",IFERROR(INDEX(AK_KEL,MATCH(D1451,AK_NAMA,0)),"?"))</f>
        <v/>
      </c>
      <c r="Q1451" s="102" t="n">
        <f aca="false">N(Q1450)+IF(AND(N(E1451)&lt;&gt;0,K1451=TAHUN,N(J1451)&lt;=BLN,OR(C1451=BB_AKUN,D1451=BB_AKUN)),1,0)</f>
        <v>877</v>
      </c>
      <c r="R1451" s="104" t="str">
        <f aca="false">IF(OR(C1451&amp;D1451="",N(E1451)=0),"",IF(OR(O1451="?",P1451="?"),"⚠ akun tidak dikenal",IF(C1451=D1451,"⚠ debet = kredit","")))</f>
        <v/>
      </c>
    </row>
    <row r="1452" customFormat="false" ht="15" hidden="false" customHeight="false" outlineLevel="0" collapsed="false">
      <c r="A1452" s="5"/>
      <c r="B1452" s="83"/>
      <c r="C1452" s="5"/>
      <c r="D1452" s="5"/>
      <c r="E1452" s="44"/>
      <c r="F1452" s="5"/>
      <c r="G1452" s="5"/>
      <c r="H1452" s="5"/>
      <c r="I1452" s="5"/>
      <c r="J1452" s="102" t="str">
        <f aca="false">IF(B1452="","",MONTH(B1452))</f>
        <v/>
      </c>
      <c r="K1452" s="102" t="str">
        <f aca="false">IF(B1452="","",YEAR(B1452))</f>
        <v/>
      </c>
      <c r="L1452" s="102" t="str">
        <f aca="false">IF(N(E1452)=0,"",IF(COUNTIFS(AK_NAMA,C1452,AK_KAT,"KAS")+COUNTIFS(AK_NAMA,D1452,AK_KAT,"KAS")&lt;&gt;1,"",IF(COUNTIFS(AK_NAMA,C1452,AK_KAT,"KAS")=1,D1452,C1452)))</f>
        <v/>
      </c>
      <c r="M1452" s="103" t="n">
        <f aca="false">IF(L1452="",0,IF(L1452=D1452,E1452,-E1452))</f>
        <v>0</v>
      </c>
      <c r="N1452" s="102" t="str">
        <f aca="false">IF(L1452="","",IFERROR(INDEX(AK_BARIS,MATCH(L1452,AK_NAMA,0)),"?"))</f>
        <v/>
      </c>
      <c r="O1452" s="102" t="str">
        <f aca="false">IF(C1452="","",IFERROR(INDEX(AK_KEL,MATCH(C1452,AK_NAMA,0)),"?"))</f>
        <v/>
      </c>
      <c r="P1452" s="102" t="str">
        <f aca="false">IF(D1452="","",IFERROR(INDEX(AK_KEL,MATCH(D1452,AK_NAMA,0)),"?"))</f>
        <v/>
      </c>
      <c r="Q1452" s="102" t="n">
        <f aca="false">N(Q1451)+IF(AND(N(E1452)&lt;&gt;0,K1452=TAHUN,N(J1452)&lt;=BLN,OR(C1452=BB_AKUN,D1452=BB_AKUN)),1,0)</f>
        <v>877</v>
      </c>
      <c r="R1452" s="104" t="str">
        <f aca="false">IF(OR(C1452&amp;D1452="",N(E1452)=0),"",IF(OR(O1452="?",P1452="?"),"⚠ akun tidak dikenal",IF(C1452=D1452,"⚠ debet = kredit","")))</f>
        <v/>
      </c>
    </row>
    <row r="1453" customFormat="false" ht="15" hidden="false" customHeight="false" outlineLevel="0" collapsed="false">
      <c r="A1453" s="5"/>
      <c r="B1453" s="83"/>
      <c r="C1453" s="5"/>
      <c r="D1453" s="5"/>
      <c r="E1453" s="44"/>
      <c r="F1453" s="5"/>
      <c r="G1453" s="5"/>
      <c r="H1453" s="5"/>
      <c r="I1453" s="5"/>
      <c r="J1453" s="102" t="str">
        <f aca="false">IF(B1453="","",MONTH(B1453))</f>
        <v/>
      </c>
      <c r="K1453" s="102" t="str">
        <f aca="false">IF(B1453="","",YEAR(B1453))</f>
        <v/>
      </c>
      <c r="L1453" s="102" t="str">
        <f aca="false">IF(N(E1453)=0,"",IF(COUNTIFS(AK_NAMA,C1453,AK_KAT,"KAS")+COUNTIFS(AK_NAMA,D1453,AK_KAT,"KAS")&lt;&gt;1,"",IF(COUNTIFS(AK_NAMA,C1453,AK_KAT,"KAS")=1,D1453,C1453)))</f>
        <v/>
      </c>
      <c r="M1453" s="103" t="n">
        <f aca="false">IF(L1453="",0,IF(L1453=D1453,E1453,-E1453))</f>
        <v>0</v>
      </c>
      <c r="N1453" s="102" t="str">
        <f aca="false">IF(L1453="","",IFERROR(INDEX(AK_BARIS,MATCH(L1453,AK_NAMA,0)),"?"))</f>
        <v/>
      </c>
      <c r="O1453" s="102" t="str">
        <f aca="false">IF(C1453="","",IFERROR(INDEX(AK_KEL,MATCH(C1453,AK_NAMA,0)),"?"))</f>
        <v/>
      </c>
      <c r="P1453" s="102" t="str">
        <f aca="false">IF(D1453="","",IFERROR(INDEX(AK_KEL,MATCH(D1453,AK_NAMA,0)),"?"))</f>
        <v/>
      </c>
      <c r="Q1453" s="102" t="n">
        <f aca="false">N(Q1452)+IF(AND(N(E1453)&lt;&gt;0,K1453=TAHUN,N(J1453)&lt;=BLN,OR(C1453=BB_AKUN,D1453=BB_AKUN)),1,0)</f>
        <v>877</v>
      </c>
      <c r="R1453" s="104" t="str">
        <f aca="false">IF(OR(C1453&amp;D1453="",N(E1453)=0),"",IF(OR(O1453="?",P1453="?"),"⚠ akun tidak dikenal",IF(C1453=D1453,"⚠ debet = kredit","")))</f>
        <v/>
      </c>
    </row>
    <row r="1454" customFormat="false" ht="15" hidden="false" customHeight="false" outlineLevel="0" collapsed="false">
      <c r="A1454" s="5"/>
      <c r="B1454" s="83"/>
      <c r="C1454" s="5"/>
      <c r="D1454" s="5"/>
      <c r="E1454" s="44"/>
      <c r="F1454" s="5"/>
      <c r="G1454" s="5"/>
      <c r="H1454" s="5"/>
      <c r="I1454" s="5"/>
      <c r="J1454" s="102" t="str">
        <f aca="false">IF(B1454="","",MONTH(B1454))</f>
        <v/>
      </c>
      <c r="K1454" s="102" t="str">
        <f aca="false">IF(B1454="","",YEAR(B1454))</f>
        <v/>
      </c>
      <c r="L1454" s="102" t="str">
        <f aca="false">IF(N(E1454)=0,"",IF(COUNTIFS(AK_NAMA,C1454,AK_KAT,"KAS")+COUNTIFS(AK_NAMA,D1454,AK_KAT,"KAS")&lt;&gt;1,"",IF(COUNTIFS(AK_NAMA,C1454,AK_KAT,"KAS")=1,D1454,C1454)))</f>
        <v/>
      </c>
      <c r="M1454" s="103" t="n">
        <f aca="false">IF(L1454="",0,IF(L1454=D1454,E1454,-E1454))</f>
        <v>0</v>
      </c>
      <c r="N1454" s="102" t="str">
        <f aca="false">IF(L1454="","",IFERROR(INDEX(AK_BARIS,MATCH(L1454,AK_NAMA,0)),"?"))</f>
        <v/>
      </c>
      <c r="O1454" s="102" t="str">
        <f aca="false">IF(C1454="","",IFERROR(INDEX(AK_KEL,MATCH(C1454,AK_NAMA,0)),"?"))</f>
        <v/>
      </c>
      <c r="P1454" s="102" t="str">
        <f aca="false">IF(D1454="","",IFERROR(INDEX(AK_KEL,MATCH(D1454,AK_NAMA,0)),"?"))</f>
        <v/>
      </c>
      <c r="Q1454" s="102" t="n">
        <f aca="false">N(Q1453)+IF(AND(N(E1454)&lt;&gt;0,K1454=TAHUN,N(J1454)&lt;=BLN,OR(C1454=BB_AKUN,D1454=BB_AKUN)),1,0)</f>
        <v>877</v>
      </c>
      <c r="R1454" s="104" t="str">
        <f aca="false">IF(OR(C1454&amp;D1454="",N(E1454)=0),"",IF(OR(O1454="?",P1454="?"),"⚠ akun tidak dikenal",IF(C1454=D1454,"⚠ debet = kredit","")))</f>
        <v/>
      </c>
    </row>
    <row r="1455" customFormat="false" ht="15" hidden="false" customHeight="false" outlineLevel="0" collapsed="false">
      <c r="A1455" s="5"/>
      <c r="B1455" s="83"/>
      <c r="C1455" s="5"/>
      <c r="D1455" s="5"/>
      <c r="E1455" s="44"/>
      <c r="F1455" s="5"/>
      <c r="G1455" s="5"/>
      <c r="H1455" s="5"/>
      <c r="I1455" s="5"/>
      <c r="J1455" s="102" t="str">
        <f aca="false">IF(B1455="","",MONTH(B1455))</f>
        <v/>
      </c>
      <c r="K1455" s="102" t="str">
        <f aca="false">IF(B1455="","",YEAR(B1455))</f>
        <v/>
      </c>
      <c r="L1455" s="102" t="str">
        <f aca="false">IF(N(E1455)=0,"",IF(COUNTIFS(AK_NAMA,C1455,AK_KAT,"KAS")+COUNTIFS(AK_NAMA,D1455,AK_KAT,"KAS")&lt;&gt;1,"",IF(COUNTIFS(AK_NAMA,C1455,AK_KAT,"KAS")=1,D1455,C1455)))</f>
        <v/>
      </c>
      <c r="M1455" s="103" t="n">
        <f aca="false">IF(L1455="",0,IF(L1455=D1455,E1455,-E1455))</f>
        <v>0</v>
      </c>
      <c r="N1455" s="102" t="str">
        <f aca="false">IF(L1455="","",IFERROR(INDEX(AK_BARIS,MATCH(L1455,AK_NAMA,0)),"?"))</f>
        <v/>
      </c>
      <c r="O1455" s="102" t="str">
        <f aca="false">IF(C1455="","",IFERROR(INDEX(AK_KEL,MATCH(C1455,AK_NAMA,0)),"?"))</f>
        <v/>
      </c>
      <c r="P1455" s="102" t="str">
        <f aca="false">IF(D1455="","",IFERROR(INDEX(AK_KEL,MATCH(D1455,AK_NAMA,0)),"?"))</f>
        <v/>
      </c>
      <c r="Q1455" s="102" t="n">
        <f aca="false">N(Q1454)+IF(AND(N(E1455)&lt;&gt;0,K1455=TAHUN,N(J1455)&lt;=BLN,OR(C1455=BB_AKUN,D1455=BB_AKUN)),1,0)</f>
        <v>877</v>
      </c>
      <c r="R1455" s="104" t="str">
        <f aca="false">IF(OR(C1455&amp;D1455="",N(E1455)=0),"",IF(OR(O1455="?",P1455="?"),"⚠ akun tidak dikenal",IF(C1455=D1455,"⚠ debet = kredit","")))</f>
        <v/>
      </c>
    </row>
    <row r="1456" customFormat="false" ht="15" hidden="false" customHeight="false" outlineLevel="0" collapsed="false">
      <c r="A1456" s="5"/>
      <c r="B1456" s="83"/>
      <c r="C1456" s="5"/>
      <c r="D1456" s="5"/>
      <c r="E1456" s="44"/>
      <c r="F1456" s="5"/>
      <c r="G1456" s="5"/>
      <c r="H1456" s="5"/>
      <c r="I1456" s="5"/>
      <c r="J1456" s="102" t="str">
        <f aca="false">IF(B1456="","",MONTH(B1456))</f>
        <v/>
      </c>
      <c r="K1456" s="102" t="str">
        <f aca="false">IF(B1456="","",YEAR(B1456))</f>
        <v/>
      </c>
      <c r="L1456" s="102" t="str">
        <f aca="false">IF(N(E1456)=0,"",IF(COUNTIFS(AK_NAMA,C1456,AK_KAT,"KAS")+COUNTIFS(AK_NAMA,D1456,AK_KAT,"KAS")&lt;&gt;1,"",IF(COUNTIFS(AK_NAMA,C1456,AK_KAT,"KAS")=1,D1456,C1456)))</f>
        <v/>
      </c>
      <c r="M1456" s="103" t="n">
        <f aca="false">IF(L1456="",0,IF(L1456=D1456,E1456,-E1456))</f>
        <v>0</v>
      </c>
      <c r="N1456" s="102" t="str">
        <f aca="false">IF(L1456="","",IFERROR(INDEX(AK_BARIS,MATCH(L1456,AK_NAMA,0)),"?"))</f>
        <v/>
      </c>
      <c r="O1456" s="102" t="str">
        <f aca="false">IF(C1456="","",IFERROR(INDEX(AK_KEL,MATCH(C1456,AK_NAMA,0)),"?"))</f>
        <v/>
      </c>
      <c r="P1456" s="102" t="str">
        <f aca="false">IF(D1456="","",IFERROR(INDEX(AK_KEL,MATCH(D1456,AK_NAMA,0)),"?"))</f>
        <v/>
      </c>
      <c r="Q1456" s="102" t="n">
        <f aca="false">N(Q1455)+IF(AND(N(E1456)&lt;&gt;0,K1456=TAHUN,N(J1456)&lt;=BLN,OR(C1456=BB_AKUN,D1456=BB_AKUN)),1,0)</f>
        <v>877</v>
      </c>
      <c r="R1456" s="104" t="str">
        <f aca="false">IF(OR(C1456&amp;D1456="",N(E1456)=0),"",IF(OR(O1456="?",P1456="?"),"⚠ akun tidak dikenal",IF(C1456=D1456,"⚠ debet = kredit","")))</f>
        <v/>
      </c>
    </row>
    <row r="1457" customFormat="false" ht="15" hidden="false" customHeight="false" outlineLevel="0" collapsed="false">
      <c r="A1457" s="5"/>
      <c r="B1457" s="83"/>
      <c r="C1457" s="5"/>
      <c r="D1457" s="5"/>
      <c r="E1457" s="44"/>
      <c r="F1457" s="5"/>
      <c r="G1457" s="5"/>
      <c r="H1457" s="5"/>
      <c r="I1457" s="5"/>
      <c r="J1457" s="102" t="str">
        <f aca="false">IF(B1457="","",MONTH(B1457))</f>
        <v/>
      </c>
      <c r="K1457" s="102" t="str">
        <f aca="false">IF(B1457="","",YEAR(B1457))</f>
        <v/>
      </c>
      <c r="L1457" s="102" t="str">
        <f aca="false">IF(N(E1457)=0,"",IF(COUNTIFS(AK_NAMA,C1457,AK_KAT,"KAS")+COUNTIFS(AK_NAMA,D1457,AK_KAT,"KAS")&lt;&gt;1,"",IF(COUNTIFS(AK_NAMA,C1457,AK_KAT,"KAS")=1,D1457,C1457)))</f>
        <v/>
      </c>
      <c r="M1457" s="103" t="n">
        <f aca="false">IF(L1457="",0,IF(L1457=D1457,E1457,-E1457))</f>
        <v>0</v>
      </c>
      <c r="N1457" s="102" t="str">
        <f aca="false">IF(L1457="","",IFERROR(INDEX(AK_BARIS,MATCH(L1457,AK_NAMA,0)),"?"))</f>
        <v/>
      </c>
      <c r="O1457" s="102" t="str">
        <f aca="false">IF(C1457="","",IFERROR(INDEX(AK_KEL,MATCH(C1457,AK_NAMA,0)),"?"))</f>
        <v/>
      </c>
      <c r="P1457" s="102" t="str">
        <f aca="false">IF(D1457="","",IFERROR(INDEX(AK_KEL,MATCH(D1457,AK_NAMA,0)),"?"))</f>
        <v/>
      </c>
      <c r="Q1457" s="102" t="n">
        <f aca="false">N(Q1456)+IF(AND(N(E1457)&lt;&gt;0,K1457=TAHUN,N(J1457)&lt;=BLN,OR(C1457=BB_AKUN,D1457=BB_AKUN)),1,0)</f>
        <v>877</v>
      </c>
      <c r="R1457" s="104" t="str">
        <f aca="false">IF(OR(C1457&amp;D1457="",N(E1457)=0),"",IF(OR(O1457="?",P1457="?"),"⚠ akun tidak dikenal",IF(C1457=D1457,"⚠ debet = kredit","")))</f>
        <v/>
      </c>
    </row>
    <row r="1458" customFormat="false" ht="15" hidden="false" customHeight="false" outlineLevel="0" collapsed="false">
      <c r="A1458" s="5"/>
      <c r="B1458" s="83"/>
      <c r="C1458" s="5"/>
      <c r="D1458" s="5"/>
      <c r="E1458" s="44"/>
      <c r="F1458" s="5"/>
      <c r="G1458" s="5"/>
      <c r="H1458" s="5"/>
      <c r="I1458" s="5"/>
      <c r="J1458" s="102" t="str">
        <f aca="false">IF(B1458="","",MONTH(B1458))</f>
        <v/>
      </c>
      <c r="K1458" s="102" t="str">
        <f aca="false">IF(B1458="","",YEAR(B1458))</f>
        <v/>
      </c>
      <c r="L1458" s="102" t="str">
        <f aca="false">IF(N(E1458)=0,"",IF(COUNTIFS(AK_NAMA,C1458,AK_KAT,"KAS")+COUNTIFS(AK_NAMA,D1458,AK_KAT,"KAS")&lt;&gt;1,"",IF(COUNTIFS(AK_NAMA,C1458,AK_KAT,"KAS")=1,D1458,C1458)))</f>
        <v/>
      </c>
      <c r="M1458" s="103" t="n">
        <f aca="false">IF(L1458="",0,IF(L1458=D1458,E1458,-E1458))</f>
        <v>0</v>
      </c>
      <c r="N1458" s="102" t="str">
        <f aca="false">IF(L1458="","",IFERROR(INDEX(AK_BARIS,MATCH(L1458,AK_NAMA,0)),"?"))</f>
        <v/>
      </c>
      <c r="O1458" s="102" t="str">
        <f aca="false">IF(C1458="","",IFERROR(INDEX(AK_KEL,MATCH(C1458,AK_NAMA,0)),"?"))</f>
        <v/>
      </c>
      <c r="P1458" s="102" t="str">
        <f aca="false">IF(D1458="","",IFERROR(INDEX(AK_KEL,MATCH(D1458,AK_NAMA,0)),"?"))</f>
        <v/>
      </c>
      <c r="Q1458" s="102" t="n">
        <f aca="false">N(Q1457)+IF(AND(N(E1458)&lt;&gt;0,K1458=TAHUN,N(J1458)&lt;=BLN,OR(C1458=BB_AKUN,D1458=BB_AKUN)),1,0)</f>
        <v>877</v>
      </c>
      <c r="R1458" s="104" t="str">
        <f aca="false">IF(OR(C1458&amp;D1458="",N(E1458)=0),"",IF(OR(O1458="?",P1458="?"),"⚠ akun tidak dikenal",IF(C1458=D1458,"⚠ debet = kredit","")))</f>
        <v/>
      </c>
    </row>
    <row r="1459" customFormat="false" ht="15" hidden="false" customHeight="false" outlineLevel="0" collapsed="false">
      <c r="A1459" s="5"/>
      <c r="B1459" s="83"/>
      <c r="C1459" s="5"/>
      <c r="D1459" s="5"/>
      <c r="E1459" s="44"/>
      <c r="F1459" s="5"/>
      <c r="G1459" s="5"/>
      <c r="H1459" s="5"/>
      <c r="I1459" s="5"/>
      <c r="J1459" s="102" t="str">
        <f aca="false">IF(B1459="","",MONTH(B1459))</f>
        <v/>
      </c>
      <c r="K1459" s="102" t="str">
        <f aca="false">IF(B1459="","",YEAR(B1459))</f>
        <v/>
      </c>
      <c r="L1459" s="102" t="str">
        <f aca="false">IF(N(E1459)=0,"",IF(COUNTIFS(AK_NAMA,C1459,AK_KAT,"KAS")+COUNTIFS(AK_NAMA,D1459,AK_KAT,"KAS")&lt;&gt;1,"",IF(COUNTIFS(AK_NAMA,C1459,AK_KAT,"KAS")=1,D1459,C1459)))</f>
        <v/>
      </c>
      <c r="M1459" s="103" t="n">
        <f aca="false">IF(L1459="",0,IF(L1459=D1459,E1459,-E1459))</f>
        <v>0</v>
      </c>
      <c r="N1459" s="102" t="str">
        <f aca="false">IF(L1459="","",IFERROR(INDEX(AK_BARIS,MATCH(L1459,AK_NAMA,0)),"?"))</f>
        <v/>
      </c>
      <c r="O1459" s="102" t="str">
        <f aca="false">IF(C1459="","",IFERROR(INDEX(AK_KEL,MATCH(C1459,AK_NAMA,0)),"?"))</f>
        <v/>
      </c>
      <c r="P1459" s="102" t="str">
        <f aca="false">IF(D1459="","",IFERROR(INDEX(AK_KEL,MATCH(D1459,AK_NAMA,0)),"?"))</f>
        <v/>
      </c>
      <c r="Q1459" s="102" t="n">
        <f aca="false">N(Q1458)+IF(AND(N(E1459)&lt;&gt;0,K1459=TAHUN,N(J1459)&lt;=BLN,OR(C1459=BB_AKUN,D1459=BB_AKUN)),1,0)</f>
        <v>877</v>
      </c>
      <c r="R1459" s="104" t="str">
        <f aca="false">IF(OR(C1459&amp;D1459="",N(E1459)=0),"",IF(OR(O1459="?",P1459="?"),"⚠ akun tidak dikenal",IF(C1459=D1459,"⚠ debet = kredit","")))</f>
        <v/>
      </c>
    </row>
    <row r="1460" customFormat="false" ht="15" hidden="false" customHeight="false" outlineLevel="0" collapsed="false">
      <c r="A1460" s="5"/>
      <c r="B1460" s="83"/>
      <c r="C1460" s="5"/>
      <c r="D1460" s="5"/>
      <c r="E1460" s="44"/>
      <c r="F1460" s="5"/>
      <c r="G1460" s="5"/>
      <c r="H1460" s="5"/>
      <c r="I1460" s="5"/>
      <c r="J1460" s="102" t="str">
        <f aca="false">IF(B1460="","",MONTH(B1460))</f>
        <v/>
      </c>
      <c r="K1460" s="102" t="str">
        <f aca="false">IF(B1460="","",YEAR(B1460))</f>
        <v/>
      </c>
      <c r="L1460" s="102" t="str">
        <f aca="false">IF(N(E1460)=0,"",IF(COUNTIFS(AK_NAMA,C1460,AK_KAT,"KAS")+COUNTIFS(AK_NAMA,D1460,AK_KAT,"KAS")&lt;&gt;1,"",IF(COUNTIFS(AK_NAMA,C1460,AK_KAT,"KAS")=1,D1460,C1460)))</f>
        <v/>
      </c>
      <c r="M1460" s="103" t="n">
        <f aca="false">IF(L1460="",0,IF(L1460=D1460,E1460,-E1460))</f>
        <v>0</v>
      </c>
      <c r="N1460" s="102" t="str">
        <f aca="false">IF(L1460="","",IFERROR(INDEX(AK_BARIS,MATCH(L1460,AK_NAMA,0)),"?"))</f>
        <v/>
      </c>
      <c r="O1460" s="102" t="str">
        <f aca="false">IF(C1460="","",IFERROR(INDEX(AK_KEL,MATCH(C1460,AK_NAMA,0)),"?"))</f>
        <v/>
      </c>
      <c r="P1460" s="102" t="str">
        <f aca="false">IF(D1460="","",IFERROR(INDEX(AK_KEL,MATCH(D1460,AK_NAMA,0)),"?"))</f>
        <v/>
      </c>
      <c r="Q1460" s="102" t="n">
        <f aca="false">N(Q1459)+IF(AND(N(E1460)&lt;&gt;0,K1460=TAHUN,N(J1460)&lt;=BLN,OR(C1460=BB_AKUN,D1460=BB_AKUN)),1,0)</f>
        <v>877</v>
      </c>
      <c r="R1460" s="104" t="str">
        <f aca="false">IF(OR(C1460&amp;D1460="",N(E1460)=0),"",IF(OR(O1460="?",P1460="?"),"⚠ akun tidak dikenal",IF(C1460=D1460,"⚠ debet = kredit","")))</f>
        <v/>
      </c>
    </row>
    <row r="1461" customFormat="false" ht="15" hidden="false" customHeight="false" outlineLevel="0" collapsed="false">
      <c r="A1461" s="5"/>
      <c r="B1461" s="83"/>
      <c r="C1461" s="5"/>
      <c r="D1461" s="5"/>
      <c r="E1461" s="44"/>
      <c r="F1461" s="5"/>
      <c r="G1461" s="5"/>
      <c r="H1461" s="5"/>
      <c r="I1461" s="5"/>
      <c r="J1461" s="102" t="str">
        <f aca="false">IF(B1461="","",MONTH(B1461))</f>
        <v/>
      </c>
      <c r="K1461" s="102" t="str">
        <f aca="false">IF(B1461="","",YEAR(B1461))</f>
        <v/>
      </c>
      <c r="L1461" s="102" t="str">
        <f aca="false">IF(N(E1461)=0,"",IF(COUNTIFS(AK_NAMA,C1461,AK_KAT,"KAS")+COUNTIFS(AK_NAMA,D1461,AK_KAT,"KAS")&lt;&gt;1,"",IF(COUNTIFS(AK_NAMA,C1461,AK_KAT,"KAS")=1,D1461,C1461)))</f>
        <v/>
      </c>
      <c r="M1461" s="103" t="n">
        <f aca="false">IF(L1461="",0,IF(L1461=D1461,E1461,-E1461))</f>
        <v>0</v>
      </c>
      <c r="N1461" s="102" t="str">
        <f aca="false">IF(L1461="","",IFERROR(INDEX(AK_BARIS,MATCH(L1461,AK_NAMA,0)),"?"))</f>
        <v/>
      </c>
      <c r="O1461" s="102" t="str">
        <f aca="false">IF(C1461="","",IFERROR(INDEX(AK_KEL,MATCH(C1461,AK_NAMA,0)),"?"))</f>
        <v/>
      </c>
      <c r="P1461" s="102" t="str">
        <f aca="false">IF(D1461="","",IFERROR(INDEX(AK_KEL,MATCH(D1461,AK_NAMA,0)),"?"))</f>
        <v/>
      </c>
      <c r="Q1461" s="102" t="n">
        <f aca="false">N(Q1460)+IF(AND(N(E1461)&lt;&gt;0,K1461=TAHUN,N(J1461)&lt;=BLN,OR(C1461=BB_AKUN,D1461=BB_AKUN)),1,0)</f>
        <v>877</v>
      </c>
      <c r="R1461" s="104" t="str">
        <f aca="false">IF(OR(C1461&amp;D1461="",N(E1461)=0),"",IF(OR(O1461="?",P1461="?"),"⚠ akun tidak dikenal",IF(C1461=D1461,"⚠ debet = kredit","")))</f>
        <v/>
      </c>
    </row>
    <row r="1462" customFormat="false" ht="15" hidden="false" customHeight="false" outlineLevel="0" collapsed="false">
      <c r="A1462" s="5"/>
      <c r="B1462" s="83"/>
      <c r="C1462" s="5"/>
      <c r="D1462" s="5"/>
      <c r="E1462" s="44"/>
      <c r="F1462" s="5"/>
      <c r="G1462" s="5"/>
      <c r="H1462" s="5"/>
      <c r="I1462" s="5"/>
      <c r="J1462" s="102" t="str">
        <f aca="false">IF(B1462="","",MONTH(B1462))</f>
        <v/>
      </c>
      <c r="K1462" s="102" t="str">
        <f aca="false">IF(B1462="","",YEAR(B1462))</f>
        <v/>
      </c>
      <c r="L1462" s="102" t="str">
        <f aca="false">IF(N(E1462)=0,"",IF(COUNTIFS(AK_NAMA,C1462,AK_KAT,"KAS")+COUNTIFS(AK_NAMA,D1462,AK_KAT,"KAS")&lt;&gt;1,"",IF(COUNTIFS(AK_NAMA,C1462,AK_KAT,"KAS")=1,D1462,C1462)))</f>
        <v/>
      </c>
      <c r="M1462" s="103" t="n">
        <f aca="false">IF(L1462="",0,IF(L1462=D1462,E1462,-E1462))</f>
        <v>0</v>
      </c>
      <c r="N1462" s="102" t="str">
        <f aca="false">IF(L1462="","",IFERROR(INDEX(AK_BARIS,MATCH(L1462,AK_NAMA,0)),"?"))</f>
        <v/>
      </c>
      <c r="O1462" s="102" t="str">
        <f aca="false">IF(C1462="","",IFERROR(INDEX(AK_KEL,MATCH(C1462,AK_NAMA,0)),"?"))</f>
        <v/>
      </c>
      <c r="P1462" s="102" t="str">
        <f aca="false">IF(D1462="","",IFERROR(INDEX(AK_KEL,MATCH(D1462,AK_NAMA,0)),"?"))</f>
        <v/>
      </c>
      <c r="Q1462" s="102" t="n">
        <f aca="false">N(Q1461)+IF(AND(N(E1462)&lt;&gt;0,K1462=TAHUN,N(J1462)&lt;=BLN,OR(C1462=BB_AKUN,D1462=BB_AKUN)),1,0)</f>
        <v>877</v>
      </c>
      <c r="R1462" s="104" t="str">
        <f aca="false">IF(OR(C1462&amp;D1462="",N(E1462)=0),"",IF(OR(O1462="?",P1462="?"),"⚠ akun tidak dikenal",IF(C1462=D1462,"⚠ debet = kredit","")))</f>
        <v/>
      </c>
    </row>
    <row r="1463" customFormat="false" ht="15" hidden="false" customHeight="false" outlineLevel="0" collapsed="false">
      <c r="A1463" s="5"/>
      <c r="B1463" s="83"/>
      <c r="C1463" s="5"/>
      <c r="D1463" s="5"/>
      <c r="E1463" s="44"/>
      <c r="F1463" s="5"/>
      <c r="G1463" s="5"/>
      <c r="H1463" s="5"/>
      <c r="I1463" s="5"/>
      <c r="J1463" s="102" t="str">
        <f aca="false">IF(B1463="","",MONTH(B1463))</f>
        <v/>
      </c>
      <c r="K1463" s="102" t="str">
        <f aca="false">IF(B1463="","",YEAR(B1463))</f>
        <v/>
      </c>
      <c r="L1463" s="102" t="str">
        <f aca="false">IF(N(E1463)=0,"",IF(COUNTIFS(AK_NAMA,C1463,AK_KAT,"KAS")+COUNTIFS(AK_NAMA,D1463,AK_KAT,"KAS")&lt;&gt;1,"",IF(COUNTIFS(AK_NAMA,C1463,AK_KAT,"KAS")=1,D1463,C1463)))</f>
        <v/>
      </c>
      <c r="M1463" s="103" t="n">
        <f aca="false">IF(L1463="",0,IF(L1463=D1463,E1463,-E1463))</f>
        <v>0</v>
      </c>
      <c r="N1463" s="102" t="str">
        <f aca="false">IF(L1463="","",IFERROR(INDEX(AK_BARIS,MATCH(L1463,AK_NAMA,0)),"?"))</f>
        <v/>
      </c>
      <c r="O1463" s="102" t="str">
        <f aca="false">IF(C1463="","",IFERROR(INDEX(AK_KEL,MATCH(C1463,AK_NAMA,0)),"?"))</f>
        <v/>
      </c>
      <c r="P1463" s="102" t="str">
        <f aca="false">IF(D1463="","",IFERROR(INDEX(AK_KEL,MATCH(D1463,AK_NAMA,0)),"?"))</f>
        <v/>
      </c>
      <c r="Q1463" s="102" t="n">
        <f aca="false">N(Q1462)+IF(AND(N(E1463)&lt;&gt;0,K1463=TAHUN,N(J1463)&lt;=BLN,OR(C1463=BB_AKUN,D1463=BB_AKUN)),1,0)</f>
        <v>877</v>
      </c>
      <c r="R1463" s="104" t="str">
        <f aca="false">IF(OR(C1463&amp;D1463="",N(E1463)=0),"",IF(OR(O1463="?",P1463="?"),"⚠ akun tidak dikenal",IF(C1463=D1463,"⚠ debet = kredit","")))</f>
        <v/>
      </c>
    </row>
    <row r="1464" customFormat="false" ht="15" hidden="false" customHeight="false" outlineLevel="0" collapsed="false">
      <c r="A1464" s="5"/>
      <c r="B1464" s="83"/>
      <c r="C1464" s="5"/>
      <c r="D1464" s="5"/>
      <c r="E1464" s="44"/>
      <c r="F1464" s="5"/>
      <c r="G1464" s="5"/>
      <c r="H1464" s="5"/>
      <c r="I1464" s="5"/>
      <c r="J1464" s="102" t="str">
        <f aca="false">IF(B1464="","",MONTH(B1464))</f>
        <v/>
      </c>
      <c r="K1464" s="102" t="str">
        <f aca="false">IF(B1464="","",YEAR(B1464))</f>
        <v/>
      </c>
      <c r="L1464" s="102" t="str">
        <f aca="false">IF(N(E1464)=0,"",IF(COUNTIFS(AK_NAMA,C1464,AK_KAT,"KAS")+COUNTIFS(AK_NAMA,D1464,AK_KAT,"KAS")&lt;&gt;1,"",IF(COUNTIFS(AK_NAMA,C1464,AK_KAT,"KAS")=1,D1464,C1464)))</f>
        <v/>
      </c>
      <c r="M1464" s="103" t="n">
        <f aca="false">IF(L1464="",0,IF(L1464=D1464,E1464,-E1464))</f>
        <v>0</v>
      </c>
      <c r="N1464" s="102" t="str">
        <f aca="false">IF(L1464="","",IFERROR(INDEX(AK_BARIS,MATCH(L1464,AK_NAMA,0)),"?"))</f>
        <v/>
      </c>
      <c r="O1464" s="102" t="str">
        <f aca="false">IF(C1464="","",IFERROR(INDEX(AK_KEL,MATCH(C1464,AK_NAMA,0)),"?"))</f>
        <v/>
      </c>
      <c r="P1464" s="102" t="str">
        <f aca="false">IF(D1464="","",IFERROR(INDEX(AK_KEL,MATCH(D1464,AK_NAMA,0)),"?"))</f>
        <v/>
      </c>
      <c r="Q1464" s="102" t="n">
        <f aca="false">N(Q1463)+IF(AND(N(E1464)&lt;&gt;0,K1464=TAHUN,N(J1464)&lt;=BLN,OR(C1464=BB_AKUN,D1464=BB_AKUN)),1,0)</f>
        <v>877</v>
      </c>
      <c r="R1464" s="104" t="str">
        <f aca="false">IF(OR(C1464&amp;D1464="",N(E1464)=0),"",IF(OR(O1464="?",P1464="?"),"⚠ akun tidak dikenal",IF(C1464=D1464,"⚠ debet = kredit","")))</f>
        <v/>
      </c>
    </row>
    <row r="1465" customFormat="false" ht="15" hidden="false" customHeight="false" outlineLevel="0" collapsed="false">
      <c r="A1465" s="5"/>
      <c r="B1465" s="83"/>
      <c r="C1465" s="5"/>
      <c r="D1465" s="5"/>
      <c r="E1465" s="44"/>
      <c r="F1465" s="5"/>
      <c r="G1465" s="5"/>
      <c r="H1465" s="5"/>
      <c r="I1465" s="5"/>
      <c r="J1465" s="102" t="str">
        <f aca="false">IF(B1465="","",MONTH(B1465))</f>
        <v/>
      </c>
      <c r="K1465" s="102" t="str">
        <f aca="false">IF(B1465="","",YEAR(B1465))</f>
        <v/>
      </c>
      <c r="L1465" s="102" t="str">
        <f aca="false">IF(N(E1465)=0,"",IF(COUNTIFS(AK_NAMA,C1465,AK_KAT,"KAS")+COUNTIFS(AK_NAMA,D1465,AK_KAT,"KAS")&lt;&gt;1,"",IF(COUNTIFS(AK_NAMA,C1465,AK_KAT,"KAS")=1,D1465,C1465)))</f>
        <v/>
      </c>
      <c r="M1465" s="103" t="n">
        <f aca="false">IF(L1465="",0,IF(L1465=D1465,E1465,-E1465))</f>
        <v>0</v>
      </c>
      <c r="N1465" s="102" t="str">
        <f aca="false">IF(L1465="","",IFERROR(INDEX(AK_BARIS,MATCH(L1465,AK_NAMA,0)),"?"))</f>
        <v/>
      </c>
      <c r="O1465" s="102" t="str">
        <f aca="false">IF(C1465="","",IFERROR(INDEX(AK_KEL,MATCH(C1465,AK_NAMA,0)),"?"))</f>
        <v/>
      </c>
      <c r="P1465" s="102" t="str">
        <f aca="false">IF(D1465="","",IFERROR(INDEX(AK_KEL,MATCH(D1465,AK_NAMA,0)),"?"))</f>
        <v/>
      </c>
      <c r="Q1465" s="102" t="n">
        <f aca="false">N(Q1464)+IF(AND(N(E1465)&lt;&gt;0,K1465=TAHUN,N(J1465)&lt;=BLN,OR(C1465=BB_AKUN,D1465=BB_AKUN)),1,0)</f>
        <v>877</v>
      </c>
      <c r="R1465" s="104" t="str">
        <f aca="false">IF(OR(C1465&amp;D1465="",N(E1465)=0),"",IF(OR(O1465="?",P1465="?"),"⚠ akun tidak dikenal",IF(C1465=D1465,"⚠ debet = kredit","")))</f>
        <v/>
      </c>
    </row>
    <row r="1466" customFormat="false" ht="15" hidden="false" customHeight="false" outlineLevel="0" collapsed="false">
      <c r="A1466" s="5"/>
      <c r="B1466" s="83"/>
      <c r="C1466" s="5"/>
      <c r="D1466" s="5"/>
      <c r="E1466" s="44"/>
      <c r="F1466" s="5"/>
      <c r="G1466" s="5"/>
      <c r="H1466" s="5"/>
      <c r="I1466" s="5"/>
      <c r="J1466" s="102" t="str">
        <f aca="false">IF(B1466="","",MONTH(B1466))</f>
        <v/>
      </c>
      <c r="K1466" s="102" t="str">
        <f aca="false">IF(B1466="","",YEAR(B1466))</f>
        <v/>
      </c>
      <c r="L1466" s="102" t="str">
        <f aca="false">IF(N(E1466)=0,"",IF(COUNTIFS(AK_NAMA,C1466,AK_KAT,"KAS")+COUNTIFS(AK_NAMA,D1466,AK_KAT,"KAS")&lt;&gt;1,"",IF(COUNTIFS(AK_NAMA,C1466,AK_KAT,"KAS")=1,D1466,C1466)))</f>
        <v/>
      </c>
      <c r="M1466" s="103" t="n">
        <f aca="false">IF(L1466="",0,IF(L1466=D1466,E1466,-E1466))</f>
        <v>0</v>
      </c>
      <c r="N1466" s="102" t="str">
        <f aca="false">IF(L1466="","",IFERROR(INDEX(AK_BARIS,MATCH(L1466,AK_NAMA,0)),"?"))</f>
        <v/>
      </c>
      <c r="O1466" s="102" t="str">
        <f aca="false">IF(C1466="","",IFERROR(INDEX(AK_KEL,MATCH(C1466,AK_NAMA,0)),"?"))</f>
        <v/>
      </c>
      <c r="P1466" s="102" t="str">
        <f aca="false">IF(D1466="","",IFERROR(INDEX(AK_KEL,MATCH(D1466,AK_NAMA,0)),"?"))</f>
        <v/>
      </c>
      <c r="Q1466" s="102" t="n">
        <f aca="false">N(Q1465)+IF(AND(N(E1466)&lt;&gt;0,K1466=TAHUN,N(J1466)&lt;=BLN,OR(C1466=BB_AKUN,D1466=BB_AKUN)),1,0)</f>
        <v>877</v>
      </c>
      <c r="R1466" s="104" t="str">
        <f aca="false">IF(OR(C1466&amp;D1466="",N(E1466)=0),"",IF(OR(O1466="?",P1466="?"),"⚠ akun tidak dikenal",IF(C1466=D1466,"⚠ debet = kredit","")))</f>
        <v/>
      </c>
    </row>
    <row r="1467" customFormat="false" ht="15" hidden="false" customHeight="false" outlineLevel="0" collapsed="false">
      <c r="A1467" s="5"/>
      <c r="B1467" s="83"/>
      <c r="C1467" s="5"/>
      <c r="D1467" s="5"/>
      <c r="E1467" s="44"/>
      <c r="F1467" s="5"/>
      <c r="G1467" s="5"/>
      <c r="H1467" s="5"/>
      <c r="I1467" s="5"/>
      <c r="J1467" s="102" t="str">
        <f aca="false">IF(B1467="","",MONTH(B1467))</f>
        <v/>
      </c>
      <c r="K1467" s="102" t="str">
        <f aca="false">IF(B1467="","",YEAR(B1467))</f>
        <v/>
      </c>
      <c r="L1467" s="102" t="str">
        <f aca="false">IF(N(E1467)=0,"",IF(COUNTIFS(AK_NAMA,C1467,AK_KAT,"KAS")+COUNTIFS(AK_NAMA,D1467,AK_KAT,"KAS")&lt;&gt;1,"",IF(COUNTIFS(AK_NAMA,C1467,AK_KAT,"KAS")=1,D1467,C1467)))</f>
        <v/>
      </c>
      <c r="M1467" s="103" t="n">
        <f aca="false">IF(L1467="",0,IF(L1467=D1467,E1467,-E1467))</f>
        <v>0</v>
      </c>
      <c r="N1467" s="102" t="str">
        <f aca="false">IF(L1467="","",IFERROR(INDEX(AK_BARIS,MATCH(L1467,AK_NAMA,0)),"?"))</f>
        <v/>
      </c>
      <c r="O1467" s="102" t="str">
        <f aca="false">IF(C1467="","",IFERROR(INDEX(AK_KEL,MATCH(C1467,AK_NAMA,0)),"?"))</f>
        <v/>
      </c>
      <c r="P1467" s="102" t="str">
        <f aca="false">IF(D1467="","",IFERROR(INDEX(AK_KEL,MATCH(D1467,AK_NAMA,0)),"?"))</f>
        <v/>
      </c>
      <c r="Q1467" s="102" t="n">
        <f aca="false">N(Q1466)+IF(AND(N(E1467)&lt;&gt;0,K1467=TAHUN,N(J1467)&lt;=BLN,OR(C1467=BB_AKUN,D1467=BB_AKUN)),1,0)</f>
        <v>877</v>
      </c>
      <c r="R1467" s="104" t="str">
        <f aca="false">IF(OR(C1467&amp;D1467="",N(E1467)=0),"",IF(OR(O1467="?",P1467="?"),"⚠ akun tidak dikenal",IF(C1467=D1467,"⚠ debet = kredit","")))</f>
        <v/>
      </c>
    </row>
    <row r="1468" customFormat="false" ht="15" hidden="false" customHeight="false" outlineLevel="0" collapsed="false">
      <c r="A1468" s="5"/>
      <c r="B1468" s="83"/>
      <c r="C1468" s="5"/>
      <c r="D1468" s="5"/>
      <c r="E1468" s="44"/>
      <c r="F1468" s="5"/>
      <c r="G1468" s="5"/>
      <c r="H1468" s="5"/>
      <c r="I1468" s="5"/>
      <c r="J1468" s="102" t="str">
        <f aca="false">IF(B1468="","",MONTH(B1468))</f>
        <v/>
      </c>
      <c r="K1468" s="102" t="str">
        <f aca="false">IF(B1468="","",YEAR(B1468))</f>
        <v/>
      </c>
      <c r="L1468" s="102" t="str">
        <f aca="false">IF(N(E1468)=0,"",IF(COUNTIFS(AK_NAMA,C1468,AK_KAT,"KAS")+COUNTIFS(AK_NAMA,D1468,AK_KAT,"KAS")&lt;&gt;1,"",IF(COUNTIFS(AK_NAMA,C1468,AK_KAT,"KAS")=1,D1468,C1468)))</f>
        <v/>
      </c>
      <c r="M1468" s="103" t="n">
        <f aca="false">IF(L1468="",0,IF(L1468=D1468,E1468,-E1468))</f>
        <v>0</v>
      </c>
      <c r="N1468" s="102" t="str">
        <f aca="false">IF(L1468="","",IFERROR(INDEX(AK_BARIS,MATCH(L1468,AK_NAMA,0)),"?"))</f>
        <v/>
      </c>
      <c r="O1468" s="102" t="str">
        <f aca="false">IF(C1468="","",IFERROR(INDEX(AK_KEL,MATCH(C1468,AK_NAMA,0)),"?"))</f>
        <v/>
      </c>
      <c r="P1468" s="102" t="str">
        <f aca="false">IF(D1468="","",IFERROR(INDEX(AK_KEL,MATCH(D1468,AK_NAMA,0)),"?"))</f>
        <v/>
      </c>
      <c r="Q1468" s="102" t="n">
        <f aca="false">N(Q1467)+IF(AND(N(E1468)&lt;&gt;0,K1468=TAHUN,N(J1468)&lt;=BLN,OR(C1468=BB_AKUN,D1468=BB_AKUN)),1,0)</f>
        <v>877</v>
      </c>
      <c r="R1468" s="104" t="str">
        <f aca="false">IF(OR(C1468&amp;D1468="",N(E1468)=0),"",IF(OR(O1468="?",P1468="?"),"⚠ akun tidak dikenal",IF(C1468=D1468,"⚠ debet = kredit","")))</f>
        <v/>
      </c>
    </row>
    <row r="1469" customFormat="false" ht="15" hidden="false" customHeight="false" outlineLevel="0" collapsed="false">
      <c r="A1469" s="5"/>
      <c r="B1469" s="83"/>
      <c r="C1469" s="5"/>
      <c r="D1469" s="5"/>
      <c r="E1469" s="44"/>
      <c r="F1469" s="5"/>
      <c r="G1469" s="5"/>
      <c r="H1469" s="5"/>
      <c r="I1469" s="5"/>
      <c r="J1469" s="102" t="str">
        <f aca="false">IF(B1469="","",MONTH(B1469))</f>
        <v/>
      </c>
      <c r="K1469" s="102" t="str">
        <f aca="false">IF(B1469="","",YEAR(B1469))</f>
        <v/>
      </c>
      <c r="L1469" s="102" t="str">
        <f aca="false">IF(N(E1469)=0,"",IF(COUNTIFS(AK_NAMA,C1469,AK_KAT,"KAS")+COUNTIFS(AK_NAMA,D1469,AK_KAT,"KAS")&lt;&gt;1,"",IF(COUNTIFS(AK_NAMA,C1469,AK_KAT,"KAS")=1,D1469,C1469)))</f>
        <v/>
      </c>
      <c r="M1469" s="103" t="n">
        <f aca="false">IF(L1469="",0,IF(L1469=D1469,E1469,-E1469))</f>
        <v>0</v>
      </c>
      <c r="N1469" s="102" t="str">
        <f aca="false">IF(L1469="","",IFERROR(INDEX(AK_BARIS,MATCH(L1469,AK_NAMA,0)),"?"))</f>
        <v/>
      </c>
      <c r="O1469" s="102" t="str">
        <f aca="false">IF(C1469="","",IFERROR(INDEX(AK_KEL,MATCH(C1469,AK_NAMA,0)),"?"))</f>
        <v/>
      </c>
      <c r="P1469" s="102" t="str">
        <f aca="false">IF(D1469="","",IFERROR(INDEX(AK_KEL,MATCH(D1469,AK_NAMA,0)),"?"))</f>
        <v/>
      </c>
      <c r="Q1469" s="102" t="n">
        <f aca="false">N(Q1468)+IF(AND(N(E1469)&lt;&gt;0,K1469=TAHUN,N(J1469)&lt;=BLN,OR(C1469=BB_AKUN,D1469=BB_AKUN)),1,0)</f>
        <v>877</v>
      </c>
      <c r="R1469" s="104" t="str">
        <f aca="false">IF(OR(C1469&amp;D1469="",N(E1469)=0),"",IF(OR(O1469="?",P1469="?"),"⚠ akun tidak dikenal",IF(C1469=D1469,"⚠ debet = kredit","")))</f>
        <v/>
      </c>
    </row>
    <row r="1470" customFormat="false" ht="15" hidden="false" customHeight="false" outlineLevel="0" collapsed="false">
      <c r="A1470" s="5"/>
      <c r="B1470" s="83"/>
      <c r="C1470" s="5"/>
      <c r="D1470" s="5"/>
      <c r="E1470" s="44"/>
      <c r="F1470" s="5"/>
      <c r="G1470" s="5"/>
      <c r="H1470" s="5"/>
      <c r="I1470" s="5"/>
      <c r="J1470" s="102" t="str">
        <f aca="false">IF(B1470="","",MONTH(B1470))</f>
        <v/>
      </c>
      <c r="K1470" s="102" t="str">
        <f aca="false">IF(B1470="","",YEAR(B1470))</f>
        <v/>
      </c>
      <c r="L1470" s="102" t="str">
        <f aca="false">IF(N(E1470)=0,"",IF(COUNTIFS(AK_NAMA,C1470,AK_KAT,"KAS")+COUNTIFS(AK_NAMA,D1470,AK_KAT,"KAS")&lt;&gt;1,"",IF(COUNTIFS(AK_NAMA,C1470,AK_KAT,"KAS")=1,D1470,C1470)))</f>
        <v/>
      </c>
      <c r="M1470" s="103" t="n">
        <f aca="false">IF(L1470="",0,IF(L1470=D1470,E1470,-E1470))</f>
        <v>0</v>
      </c>
      <c r="N1470" s="102" t="str">
        <f aca="false">IF(L1470="","",IFERROR(INDEX(AK_BARIS,MATCH(L1470,AK_NAMA,0)),"?"))</f>
        <v/>
      </c>
      <c r="O1470" s="102" t="str">
        <f aca="false">IF(C1470="","",IFERROR(INDEX(AK_KEL,MATCH(C1470,AK_NAMA,0)),"?"))</f>
        <v/>
      </c>
      <c r="P1470" s="102" t="str">
        <f aca="false">IF(D1470="","",IFERROR(INDEX(AK_KEL,MATCH(D1470,AK_NAMA,0)),"?"))</f>
        <v/>
      </c>
      <c r="Q1470" s="102" t="n">
        <f aca="false">N(Q1469)+IF(AND(N(E1470)&lt;&gt;0,K1470=TAHUN,N(J1470)&lt;=BLN,OR(C1470=BB_AKUN,D1470=BB_AKUN)),1,0)</f>
        <v>877</v>
      </c>
      <c r="R1470" s="104" t="str">
        <f aca="false">IF(OR(C1470&amp;D1470="",N(E1470)=0),"",IF(OR(O1470="?",P1470="?"),"⚠ akun tidak dikenal",IF(C1470=D1470,"⚠ debet = kredit","")))</f>
        <v/>
      </c>
    </row>
    <row r="1471" customFormat="false" ht="15" hidden="false" customHeight="false" outlineLevel="0" collapsed="false">
      <c r="A1471" s="5"/>
      <c r="B1471" s="83"/>
      <c r="C1471" s="5"/>
      <c r="D1471" s="5"/>
      <c r="E1471" s="44"/>
      <c r="F1471" s="5"/>
      <c r="G1471" s="5"/>
      <c r="H1471" s="5"/>
      <c r="I1471" s="5"/>
      <c r="J1471" s="102" t="str">
        <f aca="false">IF(B1471="","",MONTH(B1471))</f>
        <v/>
      </c>
      <c r="K1471" s="102" t="str">
        <f aca="false">IF(B1471="","",YEAR(B1471))</f>
        <v/>
      </c>
      <c r="L1471" s="102" t="str">
        <f aca="false">IF(N(E1471)=0,"",IF(COUNTIFS(AK_NAMA,C1471,AK_KAT,"KAS")+COUNTIFS(AK_NAMA,D1471,AK_KAT,"KAS")&lt;&gt;1,"",IF(COUNTIFS(AK_NAMA,C1471,AK_KAT,"KAS")=1,D1471,C1471)))</f>
        <v/>
      </c>
      <c r="M1471" s="103" t="n">
        <f aca="false">IF(L1471="",0,IF(L1471=D1471,E1471,-E1471))</f>
        <v>0</v>
      </c>
      <c r="N1471" s="102" t="str">
        <f aca="false">IF(L1471="","",IFERROR(INDEX(AK_BARIS,MATCH(L1471,AK_NAMA,0)),"?"))</f>
        <v/>
      </c>
      <c r="O1471" s="102" t="str">
        <f aca="false">IF(C1471="","",IFERROR(INDEX(AK_KEL,MATCH(C1471,AK_NAMA,0)),"?"))</f>
        <v/>
      </c>
      <c r="P1471" s="102" t="str">
        <f aca="false">IF(D1471="","",IFERROR(INDEX(AK_KEL,MATCH(D1471,AK_NAMA,0)),"?"))</f>
        <v/>
      </c>
      <c r="Q1471" s="102" t="n">
        <f aca="false">N(Q1470)+IF(AND(N(E1471)&lt;&gt;0,K1471=TAHUN,N(J1471)&lt;=BLN,OR(C1471=BB_AKUN,D1471=BB_AKUN)),1,0)</f>
        <v>877</v>
      </c>
      <c r="R1471" s="104" t="str">
        <f aca="false">IF(OR(C1471&amp;D1471="",N(E1471)=0),"",IF(OR(O1471="?",P1471="?"),"⚠ akun tidak dikenal",IF(C1471=D1471,"⚠ debet = kredit","")))</f>
        <v/>
      </c>
    </row>
    <row r="1472" customFormat="false" ht="15" hidden="false" customHeight="false" outlineLevel="0" collapsed="false">
      <c r="A1472" s="5"/>
      <c r="B1472" s="83"/>
      <c r="C1472" s="5"/>
      <c r="D1472" s="5"/>
      <c r="E1472" s="44"/>
      <c r="F1472" s="5"/>
      <c r="G1472" s="5"/>
      <c r="H1472" s="5"/>
      <c r="I1472" s="5"/>
      <c r="J1472" s="102" t="str">
        <f aca="false">IF(B1472="","",MONTH(B1472))</f>
        <v/>
      </c>
      <c r="K1472" s="102" t="str">
        <f aca="false">IF(B1472="","",YEAR(B1472))</f>
        <v/>
      </c>
      <c r="L1472" s="102" t="str">
        <f aca="false">IF(N(E1472)=0,"",IF(COUNTIFS(AK_NAMA,C1472,AK_KAT,"KAS")+COUNTIFS(AK_NAMA,D1472,AK_KAT,"KAS")&lt;&gt;1,"",IF(COUNTIFS(AK_NAMA,C1472,AK_KAT,"KAS")=1,D1472,C1472)))</f>
        <v/>
      </c>
      <c r="M1472" s="103" t="n">
        <f aca="false">IF(L1472="",0,IF(L1472=D1472,E1472,-E1472))</f>
        <v>0</v>
      </c>
      <c r="N1472" s="102" t="str">
        <f aca="false">IF(L1472="","",IFERROR(INDEX(AK_BARIS,MATCH(L1472,AK_NAMA,0)),"?"))</f>
        <v/>
      </c>
      <c r="O1472" s="102" t="str">
        <f aca="false">IF(C1472="","",IFERROR(INDEX(AK_KEL,MATCH(C1472,AK_NAMA,0)),"?"))</f>
        <v/>
      </c>
      <c r="P1472" s="102" t="str">
        <f aca="false">IF(D1472="","",IFERROR(INDEX(AK_KEL,MATCH(D1472,AK_NAMA,0)),"?"))</f>
        <v/>
      </c>
      <c r="Q1472" s="102" t="n">
        <f aca="false">N(Q1471)+IF(AND(N(E1472)&lt;&gt;0,K1472=TAHUN,N(J1472)&lt;=BLN,OR(C1472=BB_AKUN,D1472=BB_AKUN)),1,0)</f>
        <v>877</v>
      </c>
      <c r="R1472" s="104" t="str">
        <f aca="false">IF(OR(C1472&amp;D1472="",N(E1472)=0),"",IF(OR(O1472="?",P1472="?"),"⚠ akun tidak dikenal",IF(C1472=D1472,"⚠ debet = kredit","")))</f>
        <v/>
      </c>
    </row>
    <row r="1473" customFormat="false" ht="15" hidden="false" customHeight="false" outlineLevel="0" collapsed="false">
      <c r="A1473" s="5"/>
      <c r="B1473" s="83"/>
      <c r="C1473" s="5"/>
      <c r="D1473" s="5"/>
      <c r="E1473" s="44"/>
      <c r="F1473" s="5"/>
      <c r="G1473" s="5"/>
      <c r="H1473" s="5"/>
      <c r="I1473" s="5"/>
      <c r="J1473" s="102" t="str">
        <f aca="false">IF(B1473="","",MONTH(B1473))</f>
        <v/>
      </c>
      <c r="K1473" s="102" t="str">
        <f aca="false">IF(B1473="","",YEAR(B1473))</f>
        <v/>
      </c>
      <c r="L1473" s="102" t="str">
        <f aca="false">IF(N(E1473)=0,"",IF(COUNTIFS(AK_NAMA,C1473,AK_KAT,"KAS")+COUNTIFS(AK_NAMA,D1473,AK_KAT,"KAS")&lt;&gt;1,"",IF(COUNTIFS(AK_NAMA,C1473,AK_KAT,"KAS")=1,D1473,C1473)))</f>
        <v/>
      </c>
      <c r="M1473" s="103" t="n">
        <f aca="false">IF(L1473="",0,IF(L1473=D1473,E1473,-E1473))</f>
        <v>0</v>
      </c>
      <c r="N1473" s="102" t="str">
        <f aca="false">IF(L1473="","",IFERROR(INDEX(AK_BARIS,MATCH(L1473,AK_NAMA,0)),"?"))</f>
        <v/>
      </c>
      <c r="O1473" s="102" t="str">
        <f aca="false">IF(C1473="","",IFERROR(INDEX(AK_KEL,MATCH(C1473,AK_NAMA,0)),"?"))</f>
        <v/>
      </c>
      <c r="P1473" s="102" t="str">
        <f aca="false">IF(D1473="","",IFERROR(INDEX(AK_KEL,MATCH(D1473,AK_NAMA,0)),"?"))</f>
        <v/>
      </c>
      <c r="Q1473" s="102" t="n">
        <f aca="false">N(Q1472)+IF(AND(N(E1473)&lt;&gt;0,K1473=TAHUN,N(J1473)&lt;=BLN,OR(C1473=BB_AKUN,D1473=BB_AKUN)),1,0)</f>
        <v>877</v>
      </c>
      <c r="R1473" s="104" t="str">
        <f aca="false">IF(OR(C1473&amp;D1473="",N(E1473)=0),"",IF(OR(O1473="?",P1473="?"),"⚠ akun tidak dikenal",IF(C1473=D1473,"⚠ debet = kredit","")))</f>
        <v/>
      </c>
    </row>
    <row r="1474" customFormat="false" ht="15" hidden="false" customHeight="false" outlineLevel="0" collapsed="false">
      <c r="A1474" s="5"/>
      <c r="B1474" s="83"/>
      <c r="C1474" s="5"/>
      <c r="D1474" s="5"/>
      <c r="E1474" s="44"/>
      <c r="F1474" s="5"/>
      <c r="G1474" s="5"/>
      <c r="H1474" s="5"/>
      <c r="I1474" s="5"/>
      <c r="J1474" s="102" t="str">
        <f aca="false">IF(B1474="","",MONTH(B1474))</f>
        <v/>
      </c>
      <c r="K1474" s="102" t="str">
        <f aca="false">IF(B1474="","",YEAR(B1474))</f>
        <v/>
      </c>
      <c r="L1474" s="102" t="str">
        <f aca="false">IF(N(E1474)=0,"",IF(COUNTIFS(AK_NAMA,C1474,AK_KAT,"KAS")+COUNTIFS(AK_NAMA,D1474,AK_KAT,"KAS")&lt;&gt;1,"",IF(COUNTIFS(AK_NAMA,C1474,AK_KAT,"KAS")=1,D1474,C1474)))</f>
        <v/>
      </c>
      <c r="M1474" s="103" t="n">
        <f aca="false">IF(L1474="",0,IF(L1474=D1474,E1474,-E1474))</f>
        <v>0</v>
      </c>
      <c r="N1474" s="102" t="str">
        <f aca="false">IF(L1474="","",IFERROR(INDEX(AK_BARIS,MATCH(L1474,AK_NAMA,0)),"?"))</f>
        <v/>
      </c>
      <c r="O1474" s="102" t="str">
        <f aca="false">IF(C1474="","",IFERROR(INDEX(AK_KEL,MATCH(C1474,AK_NAMA,0)),"?"))</f>
        <v/>
      </c>
      <c r="P1474" s="102" t="str">
        <f aca="false">IF(D1474="","",IFERROR(INDEX(AK_KEL,MATCH(D1474,AK_NAMA,0)),"?"))</f>
        <v/>
      </c>
      <c r="Q1474" s="102" t="n">
        <f aca="false">N(Q1473)+IF(AND(N(E1474)&lt;&gt;0,K1474=TAHUN,N(J1474)&lt;=BLN,OR(C1474=BB_AKUN,D1474=BB_AKUN)),1,0)</f>
        <v>877</v>
      </c>
      <c r="R1474" s="104" t="str">
        <f aca="false">IF(OR(C1474&amp;D1474="",N(E1474)=0),"",IF(OR(O1474="?",P1474="?"),"⚠ akun tidak dikenal",IF(C1474=D1474,"⚠ debet = kredit","")))</f>
        <v/>
      </c>
    </row>
    <row r="1475" customFormat="false" ht="15" hidden="false" customHeight="false" outlineLevel="0" collapsed="false">
      <c r="A1475" s="5"/>
      <c r="B1475" s="83"/>
      <c r="C1475" s="5"/>
      <c r="D1475" s="5"/>
      <c r="E1475" s="44"/>
      <c r="F1475" s="5"/>
      <c r="G1475" s="5"/>
      <c r="H1475" s="5"/>
      <c r="I1475" s="5"/>
      <c r="J1475" s="102" t="str">
        <f aca="false">IF(B1475="","",MONTH(B1475))</f>
        <v/>
      </c>
      <c r="K1475" s="102" t="str">
        <f aca="false">IF(B1475="","",YEAR(B1475))</f>
        <v/>
      </c>
      <c r="L1475" s="102" t="str">
        <f aca="false">IF(N(E1475)=0,"",IF(COUNTIFS(AK_NAMA,C1475,AK_KAT,"KAS")+COUNTIFS(AK_NAMA,D1475,AK_KAT,"KAS")&lt;&gt;1,"",IF(COUNTIFS(AK_NAMA,C1475,AK_KAT,"KAS")=1,D1475,C1475)))</f>
        <v/>
      </c>
      <c r="M1475" s="103" t="n">
        <f aca="false">IF(L1475="",0,IF(L1475=D1475,E1475,-E1475))</f>
        <v>0</v>
      </c>
      <c r="N1475" s="102" t="str">
        <f aca="false">IF(L1475="","",IFERROR(INDEX(AK_BARIS,MATCH(L1475,AK_NAMA,0)),"?"))</f>
        <v/>
      </c>
      <c r="O1475" s="102" t="str">
        <f aca="false">IF(C1475="","",IFERROR(INDEX(AK_KEL,MATCH(C1475,AK_NAMA,0)),"?"))</f>
        <v/>
      </c>
      <c r="P1475" s="102" t="str">
        <f aca="false">IF(D1475="","",IFERROR(INDEX(AK_KEL,MATCH(D1475,AK_NAMA,0)),"?"))</f>
        <v/>
      </c>
      <c r="Q1475" s="102" t="n">
        <f aca="false">N(Q1474)+IF(AND(N(E1475)&lt;&gt;0,K1475=TAHUN,N(J1475)&lt;=BLN,OR(C1475=BB_AKUN,D1475=BB_AKUN)),1,0)</f>
        <v>877</v>
      </c>
      <c r="R1475" s="104" t="str">
        <f aca="false">IF(OR(C1475&amp;D1475="",N(E1475)=0),"",IF(OR(O1475="?",P1475="?"),"⚠ akun tidak dikenal",IF(C1475=D1475,"⚠ debet = kredit","")))</f>
        <v/>
      </c>
    </row>
    <row r="1476" customFormat="false" ht="15" hidden="false" customHeight="false" outlineLevel="0" collapsed="false">
      <c r="A1476" s="5"/>
      <c r="B1476" s="83"/>
      <c r="C1476" s="5"/>
      <c r="D1476" s="5"/>
      <c r="E1476" s="44"/>
      <c r="F1476" s="5"/>
      <c r="G1476" s="5"/>
      <c r="H1476" s="5"/>
      <c r="I1476" s="5"/>
      <c r="J1476" s="102" t="str">
        <f aca="false">IF(B1476="","",MONTH(B1476))</f>
        <v/>
      </c>
      <c r="K1476" s="102" t="str">
        <f aca="false">IF(B1476="","",YEAR(B1476))</f>
        <v/>
      </c>
      <c r="L1476" s="102" t="str">
        <f aca="false">IF(N(E1476)=0,"",IF(COUNTIFS(AK_NAMA,C1476,AK_KAT,"KAS")+COUNTIFS(AK_NAMA,D1476,AK_KAT,"KAS")&lt;&gt;1,"",IF(COUNTIFS(AK_NAMA,C1476,AK_KAT,"KAS")=1,D1476,C1476)))</f>
        <v/>
      </c>
      <c r="M1476" s="103" t="n">
        <f aca="false">IF(L1476="",0,IF(L1476=D1476,E1476,-E1476))</f>
        <v>0</v>
      </c>
      <c r="N1476" s="102" t="str">
        <f aca="false">IF(L1476="","",IFERROR(INDEX(AK_BARIS,MATCH(L1476,AK_NAMA,0)),"?"))</f>
        <v/>
      </c>
      <c r="O1476" s="102" t="str">
        <f aca="false">IF(C1476="","",IFERROR(INDEX(AK_KEL,MATCH(C1476,AK_NAMA,0)),"?"))</f>
        <v/>
      </c>
      <c r="P1476" s="102" t="str">
        <f aca="false">IF(D1476="","",IFERROR(INDEX(AK_KEL,MATCH(D1476,AK_NAMA,0)),"?"))</f>
        <v/>
      </c>
      <c r="Q1476" s="102" t="n">
        <f aca="false">N(Q1475)+IF(AND(N(E1476)&lt;&gt;0,K1476=TAHUN,N(J1476)&lt;=BLN,OR(C1476=BB_AKUN,D1476=BB_AKUN)),1,0)</f>
        <v>877</v>
      </c>
      <c r="R1476" s="104" t="str">
        <f aca="false">IF(OR(C1476&amp;D1476="",N(E1476)=0),"",IF(OR(O1476="?",P1476="?"),"⚠ akun tidak dikenal",IF(C1476=D1476,"⚠ debet = kredit","")))</f>
        <v/>
      </c>
    </row>
    <row r="1477" customFormat="false" ht="15" hidden="false" customHeight="false" outlineLevel="0" collapsed="false">
      <c r="A1477" s="5"/>
      <c r="B1477" s="83"/>
      <c r="C1477" s="5"/>
      <c r="D1477" s="5"/>
      <c r="E1477" s="44"/>
      <c r="F1477" s="5"/>
      <c r="G1477" s="5"/>
      <c r="H1477" s="5"/>
      <c r="I1477" s="5"/>
      <c r="J1477" s="102" t="str">
        <f aca="false">IF(B1477="","",MONTH(B1477))</f>
        <v/>
      </c>
      <c r="K1477" s="102" t="str">
        <f aca="false">IF(B1477="","",YEAR(B1477))</f>
        <v/>
      </c>
      <c r="L1477" s="102" t="str">
        <f aca="false">IF(N(E1477)=0,"",IF(COUNTIFS(AK_NAMA,C1477,AK_KAT,"KAS")+COUNTIFS(AK_NAMA,D1477,AK_KAT,"KAS")&lt;&gt;1,"",IF(COUNTIFS(AK_NAMA,C1477,AK_KAT,"KAS")=1,D1477,C1477)))</f>
        <v/>
      </c>
      <c r="M1477" s="103" t="n">
        <f aca="false">IF(L1477="",0,IF(L1477=D1477,E1477,-E1477))</f>
        <v>0</v>
      </c>
      <c r="N1477" s="102" t="str">
        <f aca="false">IF(L1477="","",IFERROR(INDEX(AK_BARIS,MATCH(L1477,AK_NAMA,0)),"?"))</f>
        <v/>
      </c>
      <c r="O1477" s="102" t="str">
        <f aca="false">IF(C1477="","",IFERROR(INDEX(AK_KEL,MATCH(C1477,AK_NAMA,0)),"?"))</f>
        <v/>
      </c>
      <c r="P1477" s="102" t="str">
        <f aca="false">IF(D1477="","",IFERROR(INDEX(AK_KEL,MATCH(D1477,AK_NAMA,0)),"?"))</f>
        <v/>
      </c>
      <c r="Q1477" s="102" t="n">
        <f aca="false">N(Q1476)+IF(AND(N(E1477)&lt;&gt;0,K1477=TAHUN,N(J1477)&lt;=BLN,OR(C1477=BB_AKUN,D1477=BB_AKUN)),1,0)</f>
        <v>877</v>
      </c>
      <c r="R1477" s="104" t="str">
        <f aca="false">IF(OR(C1477&amp;D1477="",N(E1477)=0),"",IF(OR(O1477="?",P1477="?"),"⚠ akun tidak dikenal",IF(C1477=D1477,"⚠ debet = kredit","")))</f>
        <v/>
      </c>
    </row>
    <row r="1478" customFormat="false" ht="15" hidden="false" customHeight="false" outlineLevel="0" collapsed="false">
      <c r="A1478" s="5"/>
      <c r="B1478" s="83"/>
      <c r="C1478" s="5"/>
      <c r="D1478" s="5"/>
      <c r="E1478" s="44"/>
      <c r="F1478" s="5"/>
      <c r="G1478" s="5"/>
      <c r="H1478" s="5"/>
      <c r="I1478" s="5"/>
      <c r="J1478" s="102" t="str">
        <f aca="false">IF(B1478="","",MONTH(B1478))</f>
        <v/>
      </c>
      <c r="K1478" s="102" t="str">
        <f aca="false">IF(B1478="","",YEAR(B1478))</f>
        <v/>
      </c>
      <c r="L1478" s="102" t="str">
        <f aca="false">IF(N(E1478)=0,"",IF(COUNTIFS(AK_NAMA,C1478,AK_KAT,"KAS")+COUNTIFS(AK_NAMA,D1478,AK_KAT,"KAS")&lt;&gt;1,"",IF(COUNTIFS(AK_NAMA,C1478,AK_KAT,"KAS")=1,D1478,C1478)))</f>
        <v/>
      </c>
      <c r="M1478" s="103" t="n">
        <f aca="false">IF(L1478="",0,IF(L1478=D1478,E1478,-E1478))</f>
        <v>0</v>
      </c>
      <c r="N1478" s="102" t="str">
        <f aca="false">IF(L1478="","",IFERROR(INDEX(AK_BARIS,MATCH(L1478,AK_NAMA,0)),"?"))</f>
        <v/>
      </c>
      <c r="O1478" s="102" t="str">
        <f aca="false">IF(C1478="","",IFERROR(INDEX(AK_KEL,MATCH(C1478,AK_NAMA,0)),"?"))</f>
        <v/>
      </c>
      <c r="P1478" s="102" t="str">
        <f aca="false">IF(D1478="","",IFERROR(INDEX(AK_KEL,MATCH(D1478,AK_NAMA,0)),"?"))</f>
        <v/>
      </c>
      <c r="Q1478" s="102" t="n">
        <f aca="false">N(Q1477)+IF(AND(N(E1478)&lt;&gt;0,K1478=TAHUN,N(J1478)&lt;=BLN,OR(C1478=BB_AKUN,D1478=BB_AKUN)),1,0)</f>
        <v>877</v>
      </c>
      <c r="R1478" s="104" t="str">
        <f aca="false">IF(OR(C1478&amp;D1478="",N(E1478)=0),"",IF(OR(O1478="?",P1478="?"),"⚠ akun tidak dikenal",IF(C1478=D1478,"⚠ debet = kredit","")))</f>
        <v/>
      </c>
    </row>
    <row r="1479" customFormat="false" ht="15" hidden="false" customHeight="false" outlineLevel="0" collapsed="false">
      <c r="A1479" s="5"/>
      <c r="B1479" s="83"/>
      <c r="C1479" s="5"/>
      <c r="D1479" s="5"/>
      <c r="E1479" s="44"/>
      <c r="F1479" s="5"/>
      <c r="G1479" s="5"/>
      <c r="H1479" s="5"/>
      <c r="I1479" s="5"/>
      <c r="J1479" s="102" t="str">
        <f aca="false">IF(B1479="","",MONTH(B1479))</f>
        <v/>
      </c>
      <c r="K1479" s="102" t="str">
        <f aca="false">IF(B1479="","",YEAR(B1479))</f>
        <v/>
      </c>
      <c r="L1479" s="102" t="str">
        <f aca="false">IF(N(E1479)=0,"",IF(COUNTIFS(AK_NAMA,C1479,AK_KAT,"KAS")+COUNTIFS(AK_NAMA,D1479,AK_KAT,"KAS")&lt;&gt;1,"",IF(COUNTIFS(AK_NAMA,C1479,AK_KAT,"KAS")=1,D1479,C1479)))</f>
        <v/>
      </c>
      <c r="M1479" s="103" t="n">
        <f aca="false">IF(L1479="",0,IF(L1479=D1479,E1479,-E1479))</f>
        <v>0</v>
      </c>
      <c r="N1479" s="102" t="str">
        <f aca="false">IF(L1479="","",IFERROR(INDEX(AK_BARIS,MATCH(L1479,AK_NAMA,0)),"?"))</f>
        <v/>
      </c>
      <c r="O1479" s="102" t="str">
        <f aca="false">IF(C1479="","",IFERROR(INDEX(AK_KEL,MATCH(C1479,AK_NAMA,0)),"?"))</f>
        <v/>
      </c>
      <c r="P1479" s="102" t="str">
        <f aca="false">IF(D1479="","",IFERROR(INDEX(AK_KEL,MATCH(D1479,AK_NAMA,0)),"?"))</f>
        <v/>
      </c>
      <c r="Q1479" s="102" t="n">
        <f aca="false">N(Q1478)+IF(AND(N(E1479)&lt;&gt;0,K1479=TAHUN,N(J1479)&lt;=BLN,OR(C1479=BB_AKUN,D1479=BB_AKUN)),1,0)</f>
        <v>877</v>
      </c>
      <c r="R1479" s="104" t="str">
        <f aca="false">IF(OR(C1479&amp;D1479="",N(E1479)=0),"",IF(OR(O1479="?",P1479="?"),"⚠ akun tidak dikenal",IF(C1479=D1479,"⚠ debet = kredit","")))</f>
        <v/>
      </c>
    </row>
    <row r="1480" customFormat="false" ht="15" hidden="false" customHeight="false" outlineLevel="0" collapsed="false">
      <c r="A1480" s="5"/>
      <c r="B1480" s="83"/>
      <c r="C1480" s="5"/>
      <c r="D1480" s="5"/>
      <c r="E1480" s="44"/>
      <c r="F1480" s="5"/>
      <c r="G1480" s="5"/>
      <c r="H1480" s="5"/>
      <c r="I1480" s="5"/>
      <c r="J1480" s="102" t="str">
        <f aca="false">IF(B1480="","",MONTH(B1480))</f>
        <v/>
      </c>
      <c r="K1480" s="102" t="str">
        <f aca="false">IF(B1480="","",YEAR(B1480))</f>
        <v/>
      </c>
      <c r="L1480" s="102" t="str">
        <f aca="false">IF(N(E1480)=0,"",IF(COUNTIFS(AK_NAMA,C1480,AK_KAT,"KAS")+COUNTIFS(AK_NAMA,D1480,AK_KAT,"KAS")&lt;&gt;1,"",IF(COUNTIFS(AK_NAMA,C1480,AK_KAT,"KAS")=1,D1480,C1480)))</f>
        <v/>
      </c>
      <c r="M1480" s="103" t="n">
        <f aca="false">IF(L1480="",0,IF(L1480=D1480,E1480,-E1480))</f>
        <v>0</v>
      </c>
      <c r="N1480" s="102" t="str">
        <f aca="false">IF(L1480="","",IFERROR(INDEX(AK_BARIS,MATCH(L1480,AK_NAMA,0)),"?"))</f>
        <v/>
      </c>
      <c r="O1480" s="102" t="str">
        <f aca="false">IF(C1480="","",IFERROR(INDEX(AK_KEL,MATCH(C1480,AK_NAMA,0)),"?"))</f>
        <v/>
      </c>
      <c r="P1480" s="102" t="str">
        <f aca="false">IF(D1480="","",IFERROR(INDEX(AK_KEL,MATCH(D1480,AK_NAMA,0)),"?"))</f>
        <v/>
      </c>
      <c r="Q1480" s="102" t="n">
        <f aca="false">N(Q1479)+IF(AND(N(E1480)&lt;&gt;0,K1480=TAHUN,N(J1480)&lt;=BLN,OR(C1480=BB_AKUN,D1480=BB_AKUN)),1,0)</f>
        <v>877</v>
      </c>
      <c r="R1480" s="104" t="str">
        <f aca="false">IF(OR(C1480&amp;D1480="",N(E1480)=0),"",IF(OR(O1480="?",P1480="?"),"⚠ akun tidak dikenal",IF(C1480=D1480,"⚠ debet = kredit","")))</f>
        <v/>
      </c>
    </row>
    <row r="1481" customFormat="false" ht="15" hidden="false" customHeight="false" outlineLevel="0" collapsed="false">
      <c r="A1481" s="5"/>
      <c r="B1481" s="83"/>
      <c r="C1481" s="5"/>
      <c r="D1481" s="5"/>
      <c r="E1481" s="44"/>
      <c r="F1481" s="5"/>
      <c r="G1481" s="5"/>
      <c r="H1481" s="5"/>
      <c r="I1481" s="5"/>
      <c r="J1481" s="102" t="str">
        <f aca="false">IF(B1481="","",MONTH(B1481))</f>
        <v/>
      </c>
      <c r="K1481" s="102" t="str">
        <f aca="false">IF(B1481="","",YEAR(B1481))</f>
        <v/>
      </c>
      <c r="L1481" s="102" t="str">
        <f aca="false">IF(N(E1481)=0,"",IF(COUNTIFS(AK_NAMA,C1481,AK_KAT,"KAS")+COUNTIFS(AK_NAMA,D1481,AK_KAT,"KAS")&lt;&gt;1,"",IF(COUNTIFS(AK_NAMA,C1481,AK_KAT,"KAS")=1,D1481,C1481)))</f>
        <v/>
      </c>
      <c r="M1481" s="103" t="n">
        <f aca="false">IF(L1481="",0,IF(L1481=D1481,E1481,-E1481))</f>
        <v>0</v>
      </c>
      <c r="N1481" s="102" t="str">
        <f aca="false">IF(L1481="","",IFERROR(INDEX(AK_BARIS,MATCH(L1481,AK_NAMA,0)),"?"))</f>
        <v/>
      </c>
      <c r="O1481" s="102" t="str">
        <f aca="false">IF(C1481="","",IFERROR(INDEX(AK_KEL,MATCH(C1481,AK_NAMA,0)),"?"))</f>
        <v/>
      </c>
      <c r="P1481" s="102" t="str">
        <f aca="false">IF(D1481="","",IFERROR(INDEX(AK_KEL,MATCH(D1481,AK_NAMA,0)),"?"))</f>
        <v/>
      </c>
      <c r="Q1481" s="102" t="n">
        <f aca="false">N(Q1480)+IF(AND(N(E1481)&lt;&gt;0,K1481=TAHUN,N(J1481)&lt;=BLN,OR(C1481=BB_AKUN,D1481=BB_AKUN)),1,0)</f>
        <v>877</v>
      </c>
      <c r="R1481" s="104" t="str">
        <f aca="false">IF(OR(C1481&amp;D1481="",N(E1481)=0),"",IF(OR(O1481="?",P1481="?"),"⚠ akun tidak dikenal",IF(C1481=D1481,"⚠ debet = kredit","")))</f>
        <v/>
      </c>
    </row>
    <row r="1482" customFormat="false" ht="15" hidden="false" customHeight="false" outlineLevel="0" collapsed="false">
      <c r="A1482" s="5"/>
      <c r="B1482" s="83"/>
      <c r="C1482" s="5"/>
      <c r="D1482" s="5"/>
      <c r="E1482" s="44"/>
      <c r="F1482" s="5"/>
      <c r="G1482" s="5"/>
      <c r="H1482" s="5"/>
      <c r="I1482" s="5"/>
      <c r="J1482" s="102" t="str">
        <f aca="false">IF(B1482="","",MONTH(B1482))</f>
        <v/>
      </c>
      <c r="K1482" s="102" t="str">
        <f aca="false">IF(B1482="","",YEAR(B1482))</f>
        <v/>
      </c>
      <c r="L1482" s="102" t="str">
        <f aca="false">IF(N(E1482)=0,"",IF(COUNTIFS(AK_NAMA,C1482,AK_KAT,"KAS")+COUNTIFS(AK_NAMA,D1482,AK_KAT,"KAS")&lt;&gt;1,"",IF(COUNTIFS(AK_NAMA,C1482,AK_KAT,"KAS")=1,D1482,C1482)))</f>
        <v/>
      </c>
      <c r="M1482" s="103" t="n">
        <f aca="false">IF(L1482="",0,IF(L1482=D1482,E1482,-E1482))</f>
        <v>0</v>
      </c>
      <c r="N1482" s="102" t="str">
        <f aca="false">IF(L1482="","",IFERROR(INDEX(AK_BARIS,MATCH(L1482,AK_NAMA,0)),"?"))</f>
        <v/>
      </c>
      <c r="O1482" s="102" t="str">
        <f aca="false">IF(C1482="","",IFERROR(INDEX(AK_KEL,MATCH(C1482,AK_NAMA,0)),"?"))</f>
        <v/>
      </c>
      <c r="P1482" s="102" t="str">
        <f aca="false">IF(D1482="","",IFERROR(INDEX(AK_KEL,MATCH(D1482,AK_NAMA,0)),"?"))</f>
        <v/>
      </c>
      <c r="Q1482" s="102" t="n">
        <f aca="false">N(Q1481)+IF(AND(N(E1482)&lt;&gt;0,K1482=TAHUN,N(J1482)&lt;=BLN,OR(C1482=BB_AKUN,D1482=BB_AKUN)),1,0)</f>
        <v>877</v>
      </c>
      <c r="R1482" s="104" t="str">
        <f aca="false">IF(OR(C1482&amp;D1482="",N(E1482)=0),"",IF(OR(O1482="?",P1482="?"),"⚠ akun tidak dikenal",IF(C1482=D1482,"⚠ debet = kredit","")))</f>
        <v/>
      </c>
    </row>
    <row r="1483" customFormat="false" ht="15" hidden="false" customHeight="false" outlineLevel="0" collapsed="false">
      <c r="A1483" s="5"/>
      <c r="B1483" s="83"/>
      <c r="C1483" s="5"/>
      <c r="D1483" s="5"/>
      <c r="E1483" s="44"/>
      <c r="F1483" s="5"/>
      <c r="G1483" s="5"/>
      <c r="H1483" s="5"/>
      <c r="I1483" s="5"/>
      <c r="J1483" s="102" t="str">
        <f aca="false">IF(B1483="","",MONTH(B1483))</f>
        <v/>
      </c>
      <c r="K1483" s="102" t="str">
        <f aca="false">IF(B1483="","",YEAR(B1483))</f>
        <v/>
      </c>
      <c r="L1483" s="102" t="str">
        <f aca="false">IF(N(E1483)=0,"",IF(COUNTIFS(AK_NAMA,C1483,AK_KAT,"KAS")+COUNTIFS(AK_NAMA,D1483,AK_KAT,"KAS")&lt;&gt;1,"",IF(COUNTIFS(AK_NAMA,C1483,AK_KAT,"KAS")=1,D1483,C1483)))</f>
        <v/>
      </c>
      <c r="M1483" s="103" t="n">
        <f aca="false">IF(L1483="",0,IF(L1483=D1483,E1483,-E1483))</f>
        <v>0</v>
      </c>
      <c r="N1483" s="102" t="str">
        <f aca="false">IF(L1483="","",IFERROR(INDEX(AK_BARIS,MATCH(L1483,AK_NAMA,0)),"?"))</f>
        <v/>
      </c>
      <c r="O1483" s="102" t="str">
        <f aca="false">IF(C1483="","",IFERROR(INDEX(AK_KEL,MATCH(C1483,AK_NAMA,0)),"?"))</f>
        <v/>
      </c>
      <c r="P1483" s="102" t="str">
        <f aca="false">IF(D1483="","",IFERROR(INDEX(AK_KEL,MATCH(D1483,AK_NAMA,0)),"?"))</f>
        <v/>
      </c>
      <c r="Q1483" s="102" t="n">
        <f aca="false">N(Q1482)+IF(AND(N(E1483)&lt;&gt;0,K1483=TAHUN,N(J1483)&lt;=BLN,OR(C1483=BB_AKUN,D1483=BB_AKUN)),1,0)</f>
        <v>877</v>
      </c>
      <c r="R1483" s="104" t="str">
        <f aca="false">IF(OR(C1483&amp;D1483="",N(E1483)=0),"",IF(OR(O1483="?",P1483="?"),"⚠ akun tidak dikenal",IF(C1483=D1483,"⚠ debet = kredit","")))</f>
        <v/>
      </c>
    </row>
    <row r="1484" customFormat="false" ht="15" hidden="false" customHeight="false" outlineLevel="0" collapsed="false">
      <c r="A1484" s="5"/>
      <c r="B1484" s="83"/>
      <c r="C1484" s="5"/>
      <c r="D1484" s="5"/>
      <c r="E1484" s="44"/>
      <c r="F1484" s="5"/>
      <c r="G1484" s="5"/>
      <c r="H1484" s="5"/>
      <c r="I1484" s="5"/>
      <c r="J1484" s="102" t="str">
        <f aca="false">IF(B1484="","",MONTH(B1484))</f>
        <v/>
      </c>
      <c r="K1484" s="102" t="str">
        <f aca="false">IF(B1484="","",YEAR(B1484))</f>
        <v/>
      </c>
      <c r="L1484" s="102" t="str">
        <f aca="false">IF(N(E1484)=0,"",IF(COUNTIFS(AK_NAMA,C1484,AK_KAT,"KAS")+COUNTIFS(AK_NAMA,D1484,AK_KAT,"KAS")&lt;&gt;1,"",IF(COUNTIFS(AK_NAMA,C1484,AK_KAT,"KAS")=1,D1484,C1484)))</f>
        <v/>
      </c>
      <c r="M1484" s="103" t="n">
        <f aca="false">IF(L1484="",0,IF(L1484=D1484,E1484,-E1484))</f>
        <v>0</v>
      </c>
      <c r="N1484" s="102" t="str">
        <f aca="false">IF(L1484="","",IFERROR(INDEX(AK_BARIS,MATCH(L1484,AK_NAMA,0)),"?"))</f>
        <v/>
      </c>
      <c r="O1484" s="102" t="str">
        <f aca="false">IF(C1484="","",IFERROR(INDEX(AK_KEL,MATCH(C1484,AK_NAMA,0)),"?"))</f>
        <v/>
      </c>
      <c r="P1484" s="102" t="str">
        <f aca="false">IF(D1484="","",IFERROR(INDEX(AK_KEL,MATCH(D1484,AK_NAMA,0)),"?"))</f>
        <v/>
      </c>
      <c r="Q1484" s="102" t="n">
        <f aca="false">N(Q1483)+IF(AND(N(E1484)&lt;&gt;0,K1484=TAHUN,N(J1484)&lt;=BLN,OR(C1484=BB_AKUN,D1484=BB_AKUN)),1,0)</f>
        <v>877</v>
      </c>
      <c r="R1484" s="104" t="str">
        <f aca="false">IF(OR(C1484&amp;D1484="",N(E1484)=0),"",IF(OR(O1484="?",P1484="?"),"⚠ akun tidak dikenal",IF(C1484=D1484,"⚠ debet = kredit","")))</f>
        <v/>
      </c>
    </row>
    <row r="1485" customFormat="false" ht="15" hidden="false" customHeight="false" outlineLevel="0" collapsed="false">
      <c r="A1485" s="5"/>
      <c r="B1485" s="83"/>
      <c r="C1485" s="5"/>
      <c r="D1485" s="5"/>
      <c r="E1485" s="44"/>
      <c r="F1485" s="5"/>
      <c r="G1485" s="5"/>
      <c r="H1485" s="5"/>
      <c r="I1485" s="5"/>
      <c r="J1485" s="102" t="str">
        <f aca="false">IF(B1485="","",MONTH(B1485))</f>
        <v/>
      </c>
      <c r="K1485" s="102" t="str">
        <f aca="false">IF(B1485="","",YEAR(B1485))</f>
        <v/>
      </c>
      <c r="L1485" s="102" t="str">
        <f aca="false">IF(N(E1485)=0,"",IF(COUNTIFS(AK_NAMA,C1485,AK_KAT,"KAS")+COUNTIFS(AK_NAMA,D1485,AK_KAT,"KAS")&lt;&gt;1,"",IF(COUNTIFS(AK_NAMA,C1485,AK_KAT,"KAS")=1,D1485,C1485)))</f>
        <v/>
      </c>
      <c r="M1485" s="103" t="n">
        <f aca="false">IF(L1485="",0,IF(L1485=D1485,E1485,-E1485))</f>
        <v>0</v>
      </c>
      <c r="N1485" s="102" t="str">
        <f aca="false">IF(L1485="","",IFERROR(INDEX(AK_BARIS,MATCH(L1485,AK_NAMA,0)),"?"))</f>
        <v/>
      </c>
      <c r="O1485" s="102" t="str">
        <f aca="false">IF(C1485="","",IFERROR(INDEX(AK_KEL,MATCH(C1485,AK_NAMA,0)),"?"))</f>
        <v/>
      </c>
      <c r="P1485" s="102" t="str">
        <f aca="false">IF(D1485="","",IFERROR(INDEX(AK_KEL,MATCH(D1485,AK_NAMA,0)),"?"))</f>
        <v/>
      </c>
      <c r="Q1485" s="102" t="n">
        <f aca="false">N(Q1484)+IF(AND(N(E1485)&lt;&gt;0,K1485=TAHUN,N(J1485)&lt;=BLN,OR(C1485=BB_AKUN,D1485=BB_AKUN)),1,0)</f>
        <v>877</v>
      </c>
      <c r="R1485" s="104" t="str">
        <f aca="false">IF(OR(C1485&amp;D1485="",N(E1485)=0),"",IF(OR(O1485="?",P1485="?"),"⚠ akun tidak dikenal",IF(C1485=D1485,"⚠ debet = kredit","")))</f>
        <v/>
      </c>
    </row>
    <row r="1486" customFormat="false" ht="15" hidden="false" customHeight="false" outlineLevel="0" collapsed="false">
      <c r="A1486" s="5"/>
      <c r="B1486" s="83"/>
      <c r="C1486" s="5"/>
      <c r="D1486" s="5"/>
      <c r="E1486" s="44"/>
      <c r="F1486" s="5"/>
      <c r="G1486" s="5"/>
      <c r="H1486" s="5"/>
      <c r="I1486" s="5"/>
      <c r="J1486" s="102" t="str">
        <f aca="false">IF(B1486="","",MONTH(B1486))</f>
        <v/>
      </c>
      <c r="K1486" s="102" t="str">
        <f aca="false">IF(B1486="","",YEAR(B1486))</f>
        <v/>
      </c>
      <c r="L1486" s="102" t="str">
        <f aca="false">IF(N(E1486)=0,"",IF(COUNTIFS(AK_NAMA,C1486,AK_KAT,"KAS")+COUNTIFS(AK_NAMA,D1486,AK_KAT,"KAS")&lt;&gt;1,"",IF(COUNTIFS(AK_NAMA,C1486,AK_KAT,"KAS")=1,D1486,C1486)))</f>
        <v/>
      </c>
      <c r="M1486" s="103" t="n">
        <f aca="false">IF(L1486="",0,IF(L1486=D1486,E1486,-E1486))</f>
        <v>0</v>
      </c>
      <c r="N1486" s="102" t="str">
        <f aca="false">IF(L1486="","",IFERROR(INDEX(AK_BARIS,MATCH(L1486,AK_NAMA,0)),"?"))</f>
        <v/>
      </c>
      <c r="O1486" s="102" t="str">
        <f aca="false">IF(C1486="","",IFERROR(INDEX(AK_KEL,MATCH(C1486,AK_NAMA,0)),"?"))</f>
        <v/>
      </c>
      <c r="P1486" s="102" t="str">
        <f aca="false">IF(D1486="","",IFERROR(INDEX(AK_KEL,MATCH(D1486,AK_NAMA,0)),"?"))</f>
        <v/>
      </c>
      <c r="Q1486" s="102" t="n">
        <f aca="false">N(Q1485)+IF(AND(N(E1486)&lt;&gt;0,K1486=TAHUN,N(J1486)&lt;=BLN,OR(C1486=BB_AKUN,D1486=BB_AKUN)),1,0)</f>
        <v>877</v>
      </c>
      <c r="R1486" s="104" t="str">
        <f aca="false">IF(OR(C1486&amp;D1486="",N(E1486)=0),"",IF(OR(O1486="?",P1486="?"),"⚠ akun tidak dikenal",IF(C1486=D1486,"⚠ debet = kredit","")))</f>
        <v/>
      </c>
    </row>
    <row r="1487" customFormat="false" ht="15" hidden="false" customHeight="false" outlineLevel="0" collapsed="false">
      <c r="A1487" s="5"/>
      <c r="B1487" s="83"/>
      <c r="C1487" s="5"/>
      <c r="D1487" s="5"/>
      <c r="E1487" s="44"/>
      <c r="F1487" s="5"/>
      <c r="G1487" s="5"/>
      <c r="H1487" s="5"/>
      <c r="I1487" s="5"/>
      <c r="J1487" s="102" t="str">
        <f aca="false">IF(B1487="","",MONTH(B1487))</f>
        <v/>
      </c>
      <c r="K1487" s="102" t="str">
        <f aca="false">IF(B1487="","",YEAR(B1487))</f>
        <v/>
      </c>
      <c r="L1487" s="102" t="str">
        <f aca="false">IF(N(E1487)=0,"",IF(COUNTIFS(AK_NAMA,C1487,AK_KAT,"KAS")+COUNTIFS(AK_NAMA,D1487,AK_KAT,"KAS")&lt;&gt;1,"",IF(COUNTIFS(AK_NAMA,C1487,AK_KAT,"KAS")=1,D1487,C1487)))</f>
        <v/>
      </c>
      <c r="M1487" s="103" t="n">
        <f aca="false">IF(L1487="",0,IF(L1487=D1487,E1487,-E1487))</f>
        <v>0</v>
      </c>
      <c r="N1487" s="102" t="str">
        <f aca="false">IF(L1487="","",IFERROR(INDEX(AK_BARIS,MATCH(L1487,AK_NAMA,0)),"?"))</f>
        <v/>
      </c>
      <c r="O1487" s="102" t="str">
        <f aca="false">IF(C1487="","",IFERROR(INDEX(AK_KEL,MATCH(C1487,AK_NAMA,0)),"?"))</f>
        <v/>
      </c>
      <c r="P1487" s="102" t="str">
        <f aca="false">IF(D1487="","",IFERROR(INDEX(AK_KEL,MATCH(D1487,AK_NAMA,0)),"?"))</f>
        <v/>
      </c>
      <c r="Q1487" s="102" t="n">
        <f aca="false">N(Q1486)+IF(AND(N(E1487)&lt;&gt;0,K1487=TAHUN,N(J1487)&lt;=BLN,OR(C1487=BB_AKUN,D1487=BB_AKUN)),1,0)</f>
        <v>877</v>
      </c>
      <c r="R1487" s="104" t="str">
        <f aca="false">IF(OR(C1487&amp;D1487="",N(E1487)=0),"",IF(OR(O1487="?",P1487="?"),"⚠ akun tidak dikenal",IF(C1487=D1487,"⚠ debet = kredit","")))</f>
        <v/>
      </c>
    </row>
    <row r="1488" customFormat="false" ht="15" hidden="false" customHeight="false" outlineLevel="0" collapsed="false">
      <c r="A1488" s="5"/>
      <c r="B1488" s="83"/>
      <c r="C1488" s="5"/>
      <c r="D1488" s="5"/>
      <c r="E1488" s="44"/>
      <c r="F1488" s="5"/>
      <c r="G1488" s="5"/>
      <c r="H1488" s="5"/>
      <c r="I1488" s="5"/>
      <c r="J1488" s="102" t="str">
        <f aca="false">IF(B1488="","",MONTH(B1488))</f>
        <v/>
      </c>
      <c r="K1488" s="102" t="str">
        <f aca="false">IF(B1488="","",YEAR(B1488))</f>
        <v/>
      </c>
      <c r="L1488" s="102" t="str">
        <f aca="false">IF(N(E1488)=0,"",IF(COUNTIFS(AK_NAMA,C1488,AK_KAT,"KAS")+COUNTIFS(AK_NAMA,D1488,AK_KAT,"KAS")&lt;&gt;1,"",IF(COUNTIFS(AK_NAMA,C1488,AK_KAT,"KAS")=1,D1488,C1488)))</f>
        <v/>
      </c>
      <c r="M1488" s="103" t="n">
        <f aca="false">IF(L1488="",0,IF(L1488=D1488,E1488,-E1488))</f>
        <v>0</v>
      </c>
      <c r="N1488" s="102" t="str">
        <f aca="false">IF(L1488="","",IFERROR(INDEX(AK_BARIS,MATCH(L1488,AK_NAMA,0)),"?"))</f>
        <v/>
      </c>
      <c r="O1488" s="102" t="str">
        <f aca="false">IF(C1488="","",IFERROR(INDEX(AK_KEL,MATCH(C1488,AK_NAMA,0)),"?"))</f>
        <v/>
      </c>
      <c r="P1488" s="102" t="str">
        <f aca="false">IF(D1488="","",IFERROR(INDEX(AK_KEL,MATCH(D1488,AK_NAMA,0)),"?"))</f>
        <v/>
      </c>
      <c r="Q1488" s="102" t="n">
        <f aca="false">N(Q1487)+IF(AND(N(E1488)&lt;&gt;0,K1488=TAHUN,N(J1488)&lt;=BLN,OR(C1488=BB_AKUN,D1488=BB_AKUN)),1,0)</f>
        <v>877</v>
      </c>
      <c r="R1488" s="104" t="str">
        <f aca="false">IF(OR(C1488&amp;D1488="",N(E1488)=0),"",IF(OR(O1488="?",P1488="?"),"⚠ akun tidak dikenal",IF(C1488=D1488,"⚠ debet = kredit","")))</f>
        <v/>
      </c>
    </row>
    <row r="1489" customFormat="false" ht="15" hidden="false" customHeight="false" outlineLevel="0" collapsed="false">
      <c r="A1489" s="5"/>
      <c r="B1489" s="83"/>
      <c r="C1489" s="5"/>
      <c r="D1489" s="5"/>
      <c r="E1489" s="44"/>
      <c r="F1489" s="5"/>
      <c r="G1489" s="5"/>
      <c r="H1489" s="5"/>
      <c r="I1489" s="5"/>
      <c r="J1489" s="102" t="str">
        <f aca="false">IF(B1489="","",MONTH(B1489))</f>
        <v/>
      </c>
      <c r="K1489" s="102" t="str">
        <f aca="false">IF(B1489="","",YEAR(B1489))</f>
        <v/>
      </c>
      <c r="L1489" s="102" t="str">
        <f aca="false">IF(N(E1489)=0,"",IF(COUNTIFS(AK_NAMA,C1489,AK_KAT,"KAS")+COUNTIFS(AK_NAMA,D1489,AK_KAT,"KAS")&lt;&gt;1,"",IF(COUNTIFS(AK_NAMA,C1489,AK_KAT,"KAS")=1,D1489,C1489)))</f>
        <v/>
      </c>
      <c r="M1489" s="103" t="n">
        <f aca="false">IF(L1489="",0,IF(L1489=D1489,E1489,-E1489))</f>
        <v>0</v>
      </c>
      <c r="N1489" s="102" t="str">
        <f aca="false">IF(L1489="","",IFERROR(INDEX(AK_BARIS,MATCH(L1489,AK_NAMA,0)),"?"))</f>
        <v/>
      </c>
      <c r="O1489" s="102" t="str">
        <f aca="false">IF(C1489="","",IFERROR(INDEX(AK_KEL,MATCH(C1489,AK_NAMA,0)),"?"))</f>
        <v/>
      </c>
      <c r="P1489" s="102" t="str">
        <f aca="false">IF(D1489="","",IFERROR(INDEX(AK_KEL,MATCH(D1489,AK_NAMA,0)),"?"))</f>
        <v/>
      </c>
      <c r="Q1489" s="102" t="n">
        <f aca="false">N(Q1488)+IF(AND(N(E1489)&lt;&gt;0,K1489=TAHUN,N(J1489)&lt;=BLN,OR(C1489=BB_AKUN,D1489=BB_AKUN)),1,0)</f>
        <v>877</v>
      </c>
      <c r="R1489" s="104" t="str">
        <f aca="false">IF(OR(C1489&amp;D1489="",N(E1489)=0),"",IF(OR(O1489="?",P1489="?"),"⚠ akun tidak dikenal",IF(C1489=D1489,"⚠ debet = kredit","")))</f>
        <v/>
      </c>
    </row>
    <row r="1490" customFormat="false" ht="15" hidden="false" customHeight="false" outlineLevel="0" collapsed="false">
      <c r="A1490" s="5"/>
      <c r="B1490" s="83"/>
      <c r="C1490" s="5"/>
      <c r="D1490" s="5"/>
      <c r="E1490" s="44"/>
      <c r="F1490" s="5"/>
      <c r="G1490" s="5"/>
      <c r="H1490" s="5"/>
      <c r="I1490" s="5"/>
      <c r="J1490" s="102" t="str">
        <f aca="false">IF(B1490="","",MONTH(B1490))</f>
        <v/>
      </c>
      <c r="K1490" s="102" t="str">
        <f aca="false">IF(B1490="","",YEAR(B1490))</f>
        <v/>
      </c>
      <c r="L1490" s="102" t="str">
        <f aca="false">IF(N(E1490)=0,"",IF(COUNTIFS(AK_NAMA,C1490,AK_KAT,"KAS")+COUNTIFS(AK_NAMA,D1490,AK_KAT,"KAS")&lt;&gt;1,"",IF(COUNTIFS(AK_NAMA,C1490,AK_KAT,"KAS")=1,D1490,C1490)))</f>
        <v/>
      </c>
      <c r="M1490" s="103" t="n">
        <f aca="false">IF(L1490="",0,IF(L1490=D1490,E1490,-E1490))</f>
        <v>0</v>
      </c>
      <c r="N1490" s="102" t="str">
        <f aca="false">IF(L1490="","",IFERROR(INDEX(AK_BARIS,MATCH(L1490,AK_NAMA,0)),"?"))</f>
        <v/>
      </c>
      <c r="O1490" s="102" t="str">
        <f aca="false">IF(C1490="","",IFERROR(INDEX(AK_KEL,MATCH(C1490,AK_NAMA,0)),"?"))</f>
        <v/>
      </c>
      <c r="P1490" s="102" t="str">
        <f aca="false">IF(D1490="","",IFERROR(INDEX(AK_KEL,MATCH(D1490,AK_NAMA,0)),"?"))</f>
        <v/>
      </c>
      <c r="Q1490" s="102" t="n">
        <f aca="false">N(Q1489)+IF(AND(N(E1490)&lt;&gt;0,K1490=TAHUN,N(J1490)&lt;=BLN,OR(C1490=BB_AKUN,D1490=BB_AKUN)),1,0)</f>
        <v>877</v>
      </c>
      <c r="R1490" s="104" t="str">
        <f aca="false">IF(OR(C1490&amp;D1490="",N(E1490)=0),"",IF(OR(O1490="?",P1490="?"),"⚠ akun tidak dikenal",IF(C1490=D1490,"⚠ debet = kredit","")))</f>
        <v/>
      </c>
    </row>
    <row r="1491" customFormat="false" ht="15" hidden="false" customHeight="false" outlineLevel="0" collapsed="false">
      <c r="A1491" s="5"/>
      <c r="B1491" s="83"/>
      <c r="C1491" s="5"/>
      <c r="D1491" s="5"/>
      <c r="E1491" s="44"/>
      <c r="F1491" s="5"/>
      <c r="G1491" s="5"/>
      <c r="H1491" s="5"/>
      <c r="I1491" s="5"/>
      <c r="J1491" s="102" t="str">
        <f aca="false">IF(B1491="","",MONTH(B1491))</f>
        <v/>
      </c>
      <c r="K1491" s="102" t="str">
        <f aca="false">IF(B1491="","",YEAR(B1491))</f>
        <v/>
      </c>
      <c r="L1491" s="102" t="str">
        <f aca="false">IF(N(E1491)=0,"",IF(COUNTIFS(AK_NAMA,C1491,AK_KAT,"KAS")+COUNTIFS(AK_NAMA,D1491,AK_KAT,"KAS")&lt;&gt;1,"",IF(COUNTIFS(AK_NAMA,C1491,AK_KAT,"KAS")=1,D1491,C1491)))</f>
        <v/>
      </c>
      <c r="M1491" s="103" t="n">
        <f aca="false">IF(L1491="",0,IF(L1491=D1491,E1491,-E1491))</f>
        <v>0</v>
      </c>
      <c r="N1491" s="102" t="str">
        <f aca="false">IF(L1491="","",IFERROR(INDEX(AK_BARIS,MATCH(L1491,AK_NAMA,0)),"?"))</f>
        <v/>
      </c>
      <c r="O1491" s="102" t="str">
        <f aca="false">IF(C1491="","",IFERROR(INDEX(AK_KEL,MATCH(C1491,AK_NAMA,0)),"?"))</f>
        <v/>
      </c>
      <c r="P1491" s="102" t="str">
        <f aca="false">IF(D1491="","",IFERROR(INDEX(AK_KEL,MATCH(D1491,AK_NAMA,0)),"?"))</f>
        <v/>
      </c>
      <c r="Q1491" s="102" t="n">
        <f aca="false">N(Q1490)+IF(AND(N(E1491)&lt;&gt;0,K1491=TAHUN,N(J1491)&lt;=BLN,OR(C1491=BB_AKUN,D1491=BB_AKUN)),1,0)</f>
        <v>877</v>
      </c>
      <c r="R1491" s="104" t="str">
        <f aca="false">IF(OR(C1491&amp;D1491="",N(E1491)=0),"",IF(OR(O1491="?",P1491="?"),"⚠ akun tidak dikenal",IF(C1491=D1491,"⚠ debet = kredit","")))</f>
        <v/>
      </c>
    </row>
    <row r="1492" customFormat="false" ht="15" hidden="false" customHeight="false" outlineLevel="0" collapsed="false">
      <c r="A1492" s="5"/>
      <c r="B1492" s="83"/>
      <c r="C1492" s="5"/>
      <c r="D1492" s="5"/>
      <c r="E1492" s="44"/>
      <c r="F1492" s="5"/>
      <c r="G1492" s="5"/>
      <c r="H1492" s="5"/>
      <c r="I1492" s="5"/>
      <c r="J1492" s="102" t="str">
        <f aca="false">IF(B1492="","",MONTH(B1492))</f>
        <v/>
      </c>
      <c r="K1492" s="102" t="str">
        <f aca="false">IF(B1492="","",YEAR(B1492))</f>
        <v/>
      </c>
      <c r="L1492" s="102" t="str">
        <f aca="false">IF(N(E1492)=0,"",IF(COUNTIFS(AK_NAMA,C1492,AK_KAT,"KAS")+COUNTIFS(AK_NAMA,D1492,AK_KAT,"KAS")&lt;&gt;1,"",IF(COUNTIFS(AK_NAMA,C1492,AK_KAT,"KAS")=1,D1492,C1492)))</f>
        <v/>
      </c>
      <c r="M1492" s="103" t="n">
        <f aca="false">IF(L1492="",0,IF(L1492=D1492,E1492,-E1492))</f>
        <v>0</v>
      </c>
      <c r="N1492" s="102" t="str">
        <f aca="false">IF(L1492="","",IFERROR(INDEX(AK_BARIS,MATCH(L1492,AK_NAMA,0)),"?"))</f>
        <v/>
      </c>
      <c r="O1492" s="102" t="str">
        <f aca="false">IF(C1492="","",IFERROR(INDEX(AK_KEL,MATCH(C1492,AK_NAMA,0)),"?"))</f>
        <v/>
      </c>
      <c r="P1492" s="102" t="str">
        <f aca="false">IF(D1492="","",IFERROR(INDEX(AK_KEL,MATCH(D1492,AK_NAMA,0)),"?"))</f>
        <v/>
      </c>
      <c r="Q1492" s="102" t="n">
        <f aca="false">N(Q1491)+IF(AND(N(E1492)&lt;&gt;0,K1492=TAHUN,N(J1492)&lt;=BLN,OR(C1492=BB_AKUN,D1492=BB_AKUN)),1,0)</f>
        <v>877</v>
      </c>
      <c r="R1492" s="104" t="str">
        <f aca="false">IF(OR(C1492&amp;D1492="",N(E1492)=0),"",IF(OR(O1492="?",P1492="?"),"⚠ akun tidak dikenal",IF(C1492=D1492,"⚠ debet = kredit","")))</f>
        <v/>
      </c>
    </row>
    <row r="1493" customFormat="false" ht="15" hidden="false" customHeight="false" outlineLevel="0" collapsed="false">
      <c r="A1493" s="5"/>
      <c r="B1493" s="83"/>
      <c r="C1493" s="5"/>
      <c r="D1493" s="5"/>
      <c r="E1493" s="44"/>
      <c r="F1493" s="5"/>
      <c r="G1493" s="5"/>
      <c r="H1493" s="5"/>
      <c r="I1493" s="5"/>
      <c r="J1493" s="102" t="str">
        <f aca="false">IF(B1493="","",MONTH(B1493))</f>
        <v/>
      </c>
      <c r="K1493" s="102" t="str">
        <f aca="false">IF(B1493="","",YEAR(B1493))</f>
        <v/>
      </c>
      <c r="L1493" s="102" t="str">
        <f aca="false">IF(N(E1493)=0,"",IF(COUNTIFS(AK_NAMA,C1493,AK_KAT,"KAS")+COUNTIFS(AK_NAMA,D1493,AK_KAT,"KAS")&lt;&gt;1,"",IF(COUNTIFS(AK_NAMA,C1493,AK_KAT,"KAS")=1,D1493,C1493)))</f>
        <v/>
      </c>
      <c r="M1493" s="103" t="n">
        <f aca="false">IF(L1493="",0,IF(L1493=D1493,E1493,-E1493))</f>
        <v>0</v>
      </c>
      <c r="N1493" s="102" t="str">
        <f aca="false">IF(L1493="","",IFERROR(INDEX(AK_BARIS,MATCH(L1493,AK_NAMA,0)),"?"))</f>
        <v/>
      </c>
      <c r="O1493" s="102" t="str">
        <f aca="false">IF(C1493="","",IFERROR(INDEX(AK_KEL,MATCH(C1493,AK_NAMA,0)),"?"))</f>
        <v/>
      </c>
      <c r="P1493" s="102" t="str">
        <f aca="false">IF(D1493="","",IFERROR(INDEX(AK_KEL,MATCH(D1493,AK_NAMA,0)),"?"))</f>
        <v/>
      </c>
      <c r="Q1493" s="102" t="n">
        <f aca="false">N(Q1492)+IF(AND(N(E1493)&lt;&gt;0,K1493=TAHUN,N(J1493)&lt;=BLN,OR(C1493=BB_AKUN,D1493=BB_AKUN)),1,0)</f>
        <v>877</v>
      </c>
      <c r="R1493" s="104" t="str">
        <f aca="false">IF(OR(C1493&amp;D1493="",N(E1493)=0),"",IF(OR(O1493="?",P1493="?"),"⚠ akun tidak dikenal",IF(C1493=D1493,"⚠ debet = kredit","")))</f>
        <v/>
      </c>
    </row>
    <row r="1494" customFormat="false" ht="15" hidden="false" customHeight="false" outlineLevel="0" collapsed="false">
      <c r="A1494" s="5"/>
      <c r="B1494" s="83"/>
      <c r="C1494" s="5"/>
      <c r="D1494" s="5"/>
      <c r="E1494" s="44"/>
      <c r="F1494" s="5"/>
      <c r="G1494" s="5"/>
      <c r="H1494" s="5"/>
      <c r="I1494" s="5"/>
      <c r="J1494" s="102" t="str">
        <f aca="false">IF(B1494="","",MONTH(B1494))</f>
        <v/>
      </c>
      <c r="K1494" s="102" t="str">
        <f aca="false">IF(B1494="","",YEAR(B1494))</f>
        <v/>
      </c>
      <c r="L1494" s="102" t="str">
        <f aca="false">IF(N(E1494)=0,"",IF(COUNTIFS(AK_NAMA,C1494,AK_KAT,"KAS")+COUNTIFS(AK_NAMA,D1494,AK_KAT,"KAS")&lt;&gt;1,"",IF(COUNTIFS(AK_NAMA,C1494,AK_KAT,"KAS")=1,D1494,C1494)))</f>
        <v/>
      </c>
      <c r="M1494" s="103" t="n">
        <f aca="false">IF(L1494="",0,IF(L1494=D1494,E1494,-E1494))</f>
        <v>0</v>
      </c>
      <c r="N1494" s="102" t="str">
        <f aca="false">IF(L1494="","",IFERROR(INDEX(AK_BARIS,MATCH(L1494,AK_NAMA,0)),"?"))</f>
        <v/>
      </c>
      <c r="O1494" s="102" t="str">
        <f aca="false">IF(C1494="","",IFERROR(INDEX(AK_KEL,MATCH(C1494,AK_NAMA,0)),"?"))</f>
        <v/>
      </c>
      <c r="P1494" s="102" t="str">
        <f aca="false">IF(D1494="","",IFERROR(INDEX(AK_KEL,MATCH(D1494,AK_NAMA,0)),"?"))</f>
        <v/>
      </c>
      <c r="Q1494" s="102" t="n">
        <f aca="false">N(Q1493)+IF(AND(N(E1494)&lt;&gt;0,K1494=TAHUN,N(J1494)&lt;=BLN,OR(C1494=BB_AKUN,D1494=BB_AKUN)),1,0)</f>
        <v>877</v>
      </c>
      <c r="R1494" s="104" t="str">
        <f aca="false">IF(OR(C1494&amp;D1494="",N(E1494)=0),"",IF(OR(O1494="?",P1494="?"),"⚠ akun tidak dikenal",IF(C1494=D1494,"⚠ debet = kredit","")))</f>
        <v/>
      </c>
    </row>
    <row r="1495" customFormat="false" ht="15" hidden="false" customHeight="false" outlineLevel="0" collapsed="false">
      <c r="A1495" s="5"/>
      <c r="B1495" s="83"/>
      <c r="C1495" s="5"/>
      <c r="D1495" s="5"/>
      <c r="E1495" s="44"/>
      <c r="F1495" s="5"/>
      <c r="G1495" s="5"/>
      <c r="H1495" s="5"/>
      <c r="I1495" s="5"/>
      <c r="J1495" s="102" t="str">
        <f aca="false">IF(B1495="","",MONTH(B1495))</f>
        <v/>
      </c>
      <c r="K1495" s="102" t="str">
        <f aca="false">IF(B1495="","",YEAR(B1495))</f>
        <v/>
      </c>
      <c r="L1495" s="102" t="str">
        <f aca="false">IF(N(E1495)=0,"",IF(COUNTIFS(AK_NAMA,C1495,AK_KAT,"KAS")+COUNTIFS(AK_NAMA,D1495,AK_KAT,"KAS")&lt;&gt;1,"",IF(COUNTIFS(AK_NAMA,C1495,AK_KAT,"KAS")=1,D1495,C1495)))</f>
        <v/>
      </c>
      <c r="M1495" s="103" t="n">
        <f aca="false">IF(L1495="",0,IF(L1495=D1495,E1495,-E1495))</f>
        <v>0</v>
      </c>
      <c r="N1495" s="102" t="str">
        <f aca="false">IF(L1495="","",IFERROR(INDEX(AK_BARIS,MATCH(L1495,AK_NAMA,0)),"?"))</f>
        <v/>
      </c>
      <c r="O1495" s="102" t="str">
        <f aca="false">IF(C1495="","",IFERROR(INDEX(AK_KEL,MATCH(C1495,AK_NAMA,0)),"?"))</f>
        <v/>
      </c>
      <c r="P1495" s="102" t="str">
        <f aca="false">IF(D1495="","",IFERROR(INDEX(AK_KEL,MATCH(D1495,AK_NAMA,0)),"?"))</f>
        <v/>
      </c>
      <c r="Q1495" s="102" t="n">
        <f aca="false">N(Q1494)+IF(AND(N(E1495)&lt;&gt;0,K1495=TAHUN,N(J1495)&lt;=BLN,OR(C1495=BB_AKUN,D1495=BB_AKUN)),1,0)</f>
        <v>877</v>
      </c>
      <c r="R1495" s="104" t="str">
        <f aca="false">IF(OR(C1495&amp;D1495="",N(E1495)=0),"",IF(OR(O1495="?",P1495="?"),"⚠ akun tidak dikenal",IF(C1495=D1495,"⚠ debet = kredit","")))</f>
        <v/>
      </c>
    </row>
    <row r="1496" customFormat="false" ht="15" hidden="false" customHeight="false" outlineLevel="0" collapsed="false">
      <c r="A1496" s="5"/>
      <c r="B1496" s="83"/>
      <c r="C1496" s="5"/>
      <c r="D1496" s="5"/>
      <c r="E1496" s="44"/>
      <c r="F1496" s="5"/>
      <c r="G1496" s="5"/>
      <c r="H1496" s="5"/>
      <c r="I1496" s="5"/>
      <c r="J1496" s="102" t="str">
        <f aca="false">IF(B1496="","",MONTH(B1496))</f>
        <v/>
      </c>
      <c r="K1496" s="102" t="str">
        <f aca="false">IF(B1496="","",YEAR(B1496))</f>
        <v/>
      </c>
      <c r="L1496" s="102" t="str">
        <f aca="false">IF(N(E1496)=0,"",IF(COUNTIFS(AK_NAMA,C1496,AK_KAT,"KAS")+COUNTIFS(AK_NAMA,D1496,AK_KAT,"KAS")&lt;&gt;1,"",IF(COUNTIFS(AK_NAMA,C1496,AK_KAT,"KAS")=1,D1496,C1496)))</f>
        <v/>
      </c>
      <c r="M1496" s="103" t="n">
        <f aca="false">IF(L1496="",0,IF(L1496=D1496,E1496,-E1496))</f>
        <v>0</v>
      </c>
      <c r="N1496" s="102" t="str">
        <f aca="false">IF(L1496="","",IFERROR(INDEX(AK_BARIS,MATCH(L1496,AK_NAMA,0)),"?"))</f>
        <v/>
      </c>
      <c r="O1496" s="102" t="str">
        <f aca="false">IF(C1496="","",IFERROR(INDEX(AK_KEL,MATCH(C1496,AK_NAMA,0)),"?"))</f>
        <v/>
      </c>
      <c r="P1496" s="102" t="str">
        <f aca="false">IF(D1496="","",IFERROR(INDEX(AK_KEL,MATCH(D1496,AK_NAMA,0)),"?"))</f>
        <v/>
      </c>
      <c r="Q1496" s="102" t="n">
        <f aca="false">N(Q1495)+IF(AND(N(E1496)&lt;&gt;0,K1496=TAHUN,N(J1496)&lt;=BLN,OR(C1496=BB_AKUN,D1496=BB_AKUN)),1,0)</f>
        <v>877</v>
      </c>
      <c r="R1496" s="104" t="str">
        <f aca="false">IF(OR(C1496&amp;D1496="",N(E1496)=0),"",IF(OR(O1496="?",P1496="?"),"⚠ akun tidak dikenal",IF(C1496=D1496,"⚠ debet = kredit","")))</f>
        <v/>
      </c>
    </row>
    <row r="1497" customFormat="false" ht="15" hidden="false" customHeight="false" outlineLevel="0" collapsed="false">
      <c r="A1497" s="5"/>
      <c r="B1497" s="83"/>
      <c r="C1497" s="5"/>
      <c r="D1497" s="5"/>
      <c r="E1497" s="44"/>
      <c r="F1497" s="5"/>
      <c r="G1497" s="5"/>
      <c r="H1497" s="5"/>
      <c r="I1497" s="5"/>
      <c r="J1497" s="102" t="str">
        <f aca="false">IF(B1497="","",MONTH(B1497))</f>
        <v/>
      </c>
      <c r="K1497" s="102" t="str">
        <f aca="false">IF(B1497="","",YEAR(B1497))</f>
        <v/>
      </c>
      <c r="L1497" s="102" t="str">
        <f aca="false">IF(N(E1497)=0,"",IF(COUNTIFS(AK_NAMA,C1497,AK_KAT,"KAS")+COUNTIFS(AK_NAMA,D1497,AK_KAT,"KAS")&lt;&gt;1,"",IF(COUNTIFS(AK_NAMA,C1497,AK_KAT,"KAS")=1,D1497,C1497)))</f>
        <v/>
      </c>
      <c r="M1497" s="103" t="n">
        <f aca="false">IF(L1497="",0,IF(L1497=D1497,E1497,-E1497))</f>
        <v>0</v>
      </c>
      <c r="N1497" s="102" t="str">
        <f aca="false">IF(L1497="","",IFERROR(INDEX(AK_BARIS,MATCH(L1497,AK_NAMA,0)),"?"))</f>
        <v/>
      </c>
      <c r="O1497" s="102" t="str">
        <f aca="false">IF(C1497="","",IFERROR(INDEX(AK_KEL,MATCH(C1497,AK_NAMA,0)),"?"))</f>
        <v/>
      </c>
      <c r="P1497" s="102" t="str">
        <f aca="false">IF(D1497="","",IFERROR(INDEX(AK_KEL,MATCH(D1497,AK_NAMA,0)),"?"))</f>
        <v/>
      </c>
      <c r="Q1497" s="102" t="n">
        <f aca="false">N(Q1496)+IF(AND(N(E1497)&lt;&gt;0,K1497=TAHUN,N(J1497)&lt;=BLN,OR(C1497=BB_AKUN,D1497=BB_AKUN)),1,0)</f>
        <v>877</v>
      </c>
      <c r="R1497" s="104" t="str">
        <f aca="false">IF(OR(C1497&amp;D1497="",N(E1497)=0),"",IF(OR(O1497="?",P1497="?"),"⚠ akun tidak dikenal",IF(C1497=D1497,"⚠ debet = kredit","")))</f>
        <v/>
      </c>
    </row>
    <row r="1498" customFormat="false" ht="15" hidden="false" customHeight="false" outlineLevel="0" collapsed="false">
      <c r="A1498" s="5"/>
      <c r="B1498" s="83"/>
      <c r="C1498" s="5"/>
      <c r="D1498" s="5"/>
      <c r="E1498" s="44"/>
      <c r="F1498" s="5"/>
      <c r="G1498" s="5"/>
      <c r="H1498" s="5"/>
      <c r="I1498" s="5"/>
      <c r="J1498" s="102" t="str">
        <f aca="false">IF(B1498="","",MONTH(B1498))</f>
        <v/>
      </c>
      <c r="K1498" s="102" t="str">
        <f aca="false">IF(B1498="","",YEAR(B1498))</f>
        <v/>
      </c>
      <c r="L1498" s="102" t="str">
        <f aca="false">IF(N(E1498)=0,"",IF(COUNTIFS(AK_NAMA,C1498,AK_KAT,"KAS")+COUNTIFS(AK_NAMA,D1498,AK_KAT,"KAS")&lt;&gt;1,"",IF(COUNTIFS(AK_NAMA,C1498,AK_KAT,"KAS")=1,D1498,C1498)))</f>
        <v/>
      </c>
      <c r="M1498" s="103" t="n">
        <f aca="false">IF(L1498="",0,IF(L1498=D1498,E1498,-E1498))</f>
        <v>0</v>
      </c>
      <c r="N1498" s="102" t="str">
        <f aca="false">IF(L1498="","",IFERROR(INDEX(AK_BARIS,MATCH(L1498,AK_NAMA,0)),"?"))</f>
        <v/>
      </c>
      <c r="O1498" s="102" t="str">
        <f aca="false">IF(C1498="","",IFERROR(INDEX(AK_KEL,MATCH(C1498,AK_NAMA,0)),"?"))</f>
        <v/>
      </c>
      <c r="P1498" s="102" t="str">
        <f aca="false">IF(D1498="","",IFERROR(INDEX(AK_KEL,MATCH(D1498,AK_NAMA,0)),"?"))</f>
        <v/>
      </c>
      <c r="Q1498" s="102" t="n">
        <f aca="false">N(Q1497)+IF(AND(N(E1498)&lt;&gt;0,K1498=TAHUN,N(J1498)&lt;=BLN,OR(C1498=BB_AKUN,D1498=BB_AKUN)),1,0)</f>
        <v>877</v>
      </c>
      <c r="R1498" s="104" t="str">
        <f aca="false">IF(OR(C1498&amp;D1498="",N(E1498)=0),"",IF(OR(O1498="?",P1498="?"),"⚠ akun tidak dikenal",IF(C1498=D1498,"⚠ debet = kredit","")))</f>
        <v/>
      </c>
    </row>
    <row r="1499" customFormat="false" ht="15" hidden="false" customHeight="false" outlineLevel="0" collapsed="false">
      <c r="A1499" s="5"/>
      <c r="B1499" s="83"/>
      <c r="C1499" s="5"/>
      <c r="D1499" s="5"/>
      <c r="E1499" s="44"/>
      <c r="F1499" s="5"/>
      <c r="G1499" s="5"/>
      <c r="H1499" s="5"/>
      <c r="I1499" s="5"/>
      <c r="J1499" s="102" t="str">
        <f aca="false">IF(B1499="","",MONTH(B1499))</f>
        <v/>
      </c>
      <c r="K1499" s="102" t="str">
        <f aca="false">IF(B1499="","",YEAR(B1499))</f>
        <v/>
      </c>
      <c r="L1499" s="102" t="str">
        <f aca="false">IF(N(E1499)=0,"",IF(COUNTIFS(AK_NAMA,C1499,AK_KAT,"KAS")+COUNTIFS(AK_NAMA,D1499,AK_KAT,"KAS")&lt;&gt;1,"",IF(COUNTIFS(AK_NAMA,C1499,AK_KAT,"KAS")=1,D1499,C1499)))</f>
        <v/>
      </c>
      <c r="M1499" s="103" t="n">
        <f aca="false">IF(L1499="",0,IF(L1499=D1499,E1499,-E1499))</f>
        <v>0</v>
      </c>
      <c r="N1499" s="102" t="str">
        <f aca="false">IF(L1499="","",IFERROR(INDEX(AK_BARIS,MATCH(L1499,AK_NAMA,0)),"?"))</f>
        <v/>
      </c>
      <c r="O1499" s="102" t="str">
        <f aca="false">IF(C1499="","",IFERROR(INDEX(AK_KEL,MATCH(C1499,AK_NAMA,0)),"?"))</f>
        <v/>
      </c>
      <c r="P1499" s="102" t="str">
        <f aca="false">IF(D1499="","",IFERROR(INDEX(AK_KEL,MATCH(D1499,AK_NAMA,0)),"?"))</f>
        <v/>
      </c>
      <c r="Q1499" s="102" t="n">
        <f aca="false">N(Q1498)+IF(AND(N(E1499)&lt;&gt;0,K1499=TAHUN,N(J1499)&lt;=BLN,OR(C1499=BB_AKUN,D1499=BB_AKUN)),1,0)</f>
        <v>877</v>
      </c>
      <c r="R1499" s="104" t="str">
        <f aca="false">IF(OR(C1499&amp;D1499="",N(E1499)=0),"",IF(OR(O1499="?",P1499="?"),"⚠ akun tidak dikenal",IF(C1499=D1499,"⚠ debet = kredit","")))</f>
        <v/>
      </c>
    </row>
    <row r="1500" customFormat="false" ht="15" hidden="false" customHeight="false" outlineLevel="0" collapsed="false">
      <c r="A1500" s="5"/>
      <c r="B1500" s="83"/>
      <c r="C1500" s="5"/>
      <c r="D1500" s="5"/>
      <c r="E1500" s="44"/>
      <c r="F1500" s="5"/>
      <c r="G1500" s="5"/>
      <c r="H1500" s="5"/>
      <c r="I1500" s="5"/>
      <c r="J1500" s="102" t="str">
        <f aca="false">IF(B1500="","",MONTH(B1500))</f>
        <v/>
      </c>
      <c r="K1500" s="102" t="str">
        <f aca="false">IF(B1500="","",YEAR(B1500))</f>
        <v/>
      </c>
      <c r="L1500" s="102" t="str">
        <f aca="false">IF(N(E1500)=0,"",IF(COUNTIFS(AK_NAMA,C1500,AK_KAT,"KAS")+COUNTIFS(AK_NAMA,D1500,AK_KAT,"KAS")&lt;&gt;1,"",IF(COUNTIFS(AK_NAMA,C1500,AK_KAT,"KAS")=1,D1500,C1500)))</f>
        <v/>
      </c>
      <c r="M1500" s="103" t="n">
        <f aca="false">IF(L1500="",0,IF(L1500=D1500,E1500,-E1500))</f>
        <v>0</v>
      </c>
      <c r="N1500" s="102" t="str">
        <f aca="false">IF(L1500="","",IFERROR(INDEX(AK_BARIS,MATCH(L1500,AK_NAMA,0)),"?"))</f>
        <v/>
      </c>
      <c r="O1500" s="102" t="str">
        <f aca="false">IF(C1500="","",IFERROR(INDEX(AK_KEL,MATCH(C1500,AK_NAMA,0)),"?"))</f>
        <v/>
      </c>
      <c r="P1500" s="102" t="str">
        <f aca="false">IF(D1500="","",IFERROR(INDEX(AK_KEL,MATCH(D1500,AK_NAMA,0)),"?"))</f>
        <v/>
      </c>
      <c r="Q1500" s="102" t="n">
        <f aca="false">N(Q1499)+IF(AND(N(E1500)&lt;&gt;0,K1500=TAHUN,N(J1500)&lt;=BLN,OR(C1500=BB_AKUN,D1500=BB_AKUN)),1,0)</f>
        <v>877</v>
      </c>
      <c r="R1500" s="104" t="str">
        <f aca="false">IF(OR(C1500&amp;D1500="",N(E1500)=0),"",IF(OR(O1500="?",P1500="?"),"⚠ akun tidak dikenal",IF(C1500=D1500,"⚠ debet = kredit","")))</f>
        <v/>
      </c>
    </row>
    <row r="1501" customFormat="false" ht="15" hidden="false" customHeight="false" outlineLevel="0" collapsed="false">
      <c r="A1501" s="5"/>
      <c r="B1501" s="83"/>
      <c r="C1501" s="5"/>
      <c r="D1501" s="5"/>
      <c r="E1501" s="44"/>
      <c r="F1501" s="5"/>
      <c r="G1501" s="5"/>
      <c r="H1501" s="5"/>
      <c r="I1501" s="5"/>
      <c r="J1501" s="102" t="str">
        <f aca="false">IF(B1501="","",MONTH(B1501))</f>
        <v/>
      </c>
      <c r="K1501" s="102" t="str">
        <f aca="false">IF(B1501="","",YEAR(B1501))</f>
        <v/>
      </c>
      <c r="L1501" s="102" t="str">
        <f aca="false">IF(N(E1501)=0,"",IF(COUNTIFS(AK_NAMA,C1501,AK_KAT,"KAS")+COUNTIFS(AK_NAMA,D1501,AK_KAT,"KAS")&lt;&gt;1,"",IF(COUNTIFS(AK_NAMA,C1501,AK_KAT,"KAS")=1,D1501,C1501)))</f>
        <v/>
      </c>
      <c r="M1501" s="103" t="n">
        <f aca="false">IF(L1501="",0,IF(L1501=D1501,E1501,-E1501))</f>
        <v>0</v>
      </c>
      <c r="N1501" s="102" t="str">
        <f aca="false">IF(L1501="","",IFERROR(INDEX(AK_BARIS,MATCH(L1501,AK_NAMA,0)),"?"))</f>
        <v/>
      </c>
      <c r="O1501" s="102" t="str">
        <f aca="false">IF(C1501="","",IFERROR(INDEX(AK_KEL,MATCH(C1501,AK_NAMA,0)),"?"))</f>
        <v/>
      </c>
      <c r="P1501" s="102" t="str">
        <f aca="false">IF(D1501="","",IFERROR(INDEX(AK_KEL,MATCH(D1501,AK_NAMA,0)),"?"))</f>
        <v/>
      </c>
      <c r="Q1501" s="102" t="n">
        <f aca="false">N(Q1500)+IF(AND(N(E1501)&lt;&gt;0,K1501=TAHUN,N(J1501)&lt;=BLN,OR(C1501=BB_AKUN,D1501=BB_AKUN)),1,0)</f>
        <v>877</v>
      </c>
      <c r="R1501" s="104" t="str">
        <f aca="false">IF(OR(C1501&amp;D1501="",N(E1501)=0),"",IF(OR(O1501="?",P1501="?"),"⚠ akun tidak dikenal",IF(C1501=D1501,"⚠ debet = kredit","")))</f>
        <v/>
      </c>
    </row>
    <row r="1502" customFormat="false" ht="15" hidden="false" customHeight="false" outlineLevel="0" collapsed="false">
      <c r="A1502" s="5"/>
      <c r="B1502" s="83"/>
      <c r="C1502" s="5"/>
      <c r="D1502" s="5"/>
      <c r="E1502" s="44"/>
      <c r="F1502" s="5"/>
      <c r="G1502" s="5"/>
      <c r="H1502" s="5"/>
      <c r="I1502" s="5"/>
      <c r="J1502" s="102" t="str">
        <f aca="false">IF(B1502="","",MONTH(B1502))</f>
        <v/>
      </c>
      <c r="K1502" s="102" t="str">
        <f aca="false">IF(B1502="","",YEAR(B1502))</f>
        <v/>
      </c>
      <c r="L1502" s="102" t="str">
        <f aca="false">IF(N(E1502)=0,"",IF(COUNTIFS(AK_NAMA,C1502,AK_KAT,"KAS")+COUNTIFS(AK_NAMA,D1502,AK_KAT,"KAS")&lt;&gt;1,"",IF(COUNTIFS(AK_NAMA,C1502,AK_KAT,"KAS")=1,D1502,C1502)))</f>
        <v/>
      </c>
      <c r="M1502" s="103" t="n">
        <f aca="false">IF(L1502="",0,IF(L1502=D1502,E1502,-E1502))</f>
        <v>0</v>
      </c>
      <c r="N1502" s="102" t="str">
        <f aca="false">IF(L1502="","",IFERROR(INDEX(AK_BARIS,MATCH(L1502,AK_NAMA,0)),"?"))</f>
        <v/>
      </c>
      <c r="O1502" s="102" t="str">
        <f aca="false">IF(C1502="","",IFERROR(INDEX(AK_KEL,MATCH(C1502,AK_NAMA,0)),"?"))</f>
        <v/>
      </c>
      <c r="P1502" s="102" t="str">
        <f aca="false">IF(D1502="","",IFERROR(INDEX(AK_KEL,MATCH(D1502,AK_NAMA,0)),"?"))</f>
        <v/>
      </c>
      <c r="Q1502" s="102" t="n">
        <f aca="false">N(Q1501)+IF(AND(N(E1502)&lt;&gt;0,K1502=TAHUN,N(J1502)&lt;=BLN,OR(C1502=BB_AKUN,D1502=BB_AKUN)),1,0)</f>
        <v>877</v>
      </c>
      <c r="R1502" s="104" t="str">
        <f aca="false">IF(OR(C1502&amp;D1502="",N(E1502)=0),"",IF(OR(O1502="?",P1502="?"),"⚠ akun tidak dikenal",IF(C1502=D1502,"⚠ debet = kredit","")))</f>
        <v/>
      </c>
    </row>
    <row r="1503" customFormat="false" ht="15" hidden="false" customHeight="false" outlineLevel="0" collapsed="false">
      <c r="A1503" s="5"/>
      <c r="B1503" s="83"/>
      <c r="C1503" s="5"/>
      <c r="D1503" s="5"/>
      <c r="E1503" s="44"/>
      <c r="F1503" s="5"/>
      <c r="G1503" s="5"/>
      <c r="H1503" s="5"/>
      <c r="I1503" s="5"/>
      <c r="J1503" s="102" t="str">
        <f aca="false">IF(B1503="","",MONTH(B1503))</f>
        <v/>
      </c>
      <c r="K1503" s="102" t="str">
        <f aca="false">IF(B1503="","",YEAR(B1503))</f>
        <v/>
      </c>
      <c r="L1503" s="102" t="str">
        <f aca="false">IF(N(E1503)=0,"",IF(COUNTIFS(AK_NAMA,C1503,AK_KAT,"KAS")+COUNTIFS(AK_NAMA,D1503,AK_KAT,"KAS")&lt;&gt;1,"",IF(COUNTIFS(AK_NAMA,C1503,AK_KAT,"KAS")=1,D1503,C1503)))</f>
        <v/>
      </c>
      <c r="M1503" s="103" t="n">
        <f aca="false">IF(L1503="",0,IF(L1503=D1503,E1503,-E1503))</f>
        <v>0</v>
      </c>
      <c r="N1503" s="102" t="str">
        <f aca="false">IF(L1503="","",IFERROR(INDEX(AK_BARIS,MATCH(L1503,AK_NAMA,0)),"?"))</f>
        <v/>
      </c>
      <c r="O1503" s="102" t="str">
        <f aca="false">IF(C1503="","",IFERROR(INDEX(AK_KEL,MATCH(C1503,AK_NAMA,0)),"?"))</f>
        <v/>
      </c>
      <c r="P1503" s="102" t="str">
        <f aca="false">IF(D1503="","",IFERROR(INDEX(AK_KEL,MATCH(D1503,AK_NAMA,0)),"?"))</f>
        <v/>
      </c>
      <c r="Q1503" s="102" t="n">
        <f aca="false">N(Q1502)+IF(AND(N(E1503)&lt;&gt;0,K1503=TAHUN,N(J1503)&lt;=BLN,OR(C1503=BB_AKUN,D1503=BB_AKUN)),1,0)</f>
        <v>877</v>
      </c>
      <c r="R1503" s="104" t="str">
        <f aca="false">IF(OR(C1503&amp;D1503="",N(E1503)=0),"",IF(OR(O1503="?",P1503="?"),"⚠ akun tidak dikenal",IF(C1503=D1503,"⚠ debet = kredit","")))</f>
        <v/>
      </c>
    </row>
    <row r="1504" customFormat="false" ht="15" hidden="false" customHeight="false" outlineLevel="0" collapsed="false">
      <c r="A1504" s="5"/>
      <c r="B1504" s="83"/>
      <c r="C1504" s="5"/>
      <c r="D1504" s="5"/>
      <c r="E1504" s="44"/>
      <c r="F1504" s="5"/>
      <c r="G1504" s="5"/>
      <c r="H1504" s="5"/>
      <c r="I1504" s="5"/>
      <c r="J1504" s="102" t="str">
        <f aca="false">IF(B1504="","",MONTH(B1504))</f>
        <v/>
      </c>
      <c r="K1504" s="102" t="str">
        <f aca="false">IF(B1504="","",YEAR(B1504))</f>
        <v/>
      </c>
      <c r="L1504" s="102" t="str">
        <f aca="false">IF(N(E1504)=0,"",IF(COUNTIFS(AK_NAMA,C1504,AK_KAT,"KAS")+COUNTIFS(AK_NAMA,D1504,AK_KAT,"KAS")&lt;&gt;1,"",IF(COUNTIFS(AK_NAMA,C1504,AK_KAT,"KAS")=1,D1504,C1504)))</f>
        <v/>
      </c>
      <c r="M1504" s="103" t="n">
        <f aca="false">IF(L1504="",0,IF(L1504=D1504,E1504,-E1504))</f>
        <v>0</v>
      </c>
      <c r="N1504" s="102" t="str">
        <f aca="false">IF(L1504="","",IFERROR(INDEX(AK_BARIS,MATCH(L1504,AK_NAMA,0)),"?"))</f>
        <v/>
      </c>
      <c r="O1504" s="102" t="str">
        <f aca="false">IF(C1504="","",IFERROR(INDEX(AK_KEL,MATCH(C1504,AK_NAMA,0)),"?"))</f>
        <v/>
      </c>
      <c r="P1504" s="102" t="str">
        <f aca="false">IF(D1504="","",IFERROR(INDEX(AK_KEL,MATCH(D1504,AK_NAMA,0)),"?"))</f>
        <v/>
      </c>
      <c r="Q1504" s="102" t="n">
        <f aca="false">N(Q1503)+IF(AND(N(E1504)&lt;&gt;0,K1504=TAHUN,N(J1504)&lt;=BLN,OR(C1504=BB_AKUN,D1504=BB_AKUN)),1,0)</f>
        <v>877</v>
      </c>
      <c r="R1504" s="104" t="str">
        <f aca="false">IF(OR(C1504&amp;D1504="",N(E1504)=0),"",IF(OR(O1504="?",P1504="?"),"⚠ akun tidak dikenal",IF(C1504=D1504,"⚠ debet = kredit","")))</f>
        <v/>
      </c>
    </row>
    <row r="1505" customFormat="false" ht="15" hidden="false" customHeight="false" outlineLevel="0" collapsed="false">
      <c r="A1505" s="5"/>
      <c r="B1505" s="83"/>
      <c r="C1505" s="5"/>
      <c r="D1505" s="5"/>
      <c r="E1505" s="44"/>
      <c r="F1505" s="5"/>
      <c r="G1505" s="5"/>
      <c r="H1505" s="5"/>
      <c r="I1505" s="5"/>
      <c r="J1505" s="102" t="str">
        <f aca="false">IF(B1505="","",MONTH(B1505))</f>
        <v/>
      </c>
      <c r="K1505" s="102" t="str">
        <f aca="false">IF(B1505="","",YEAR(B1505))</f>
        <v/>
      </c>
      <c r="L1505" s="102" t="str">
        <f aca="false">IF(N(E1505)=0,"",IF(COUNTIFS(AK_NAMA,C1505,AK_KAT,"KAS")+COUNTIFS(AK_NAMA,D1505,AK_KAT,"KAS")&lt;&gt;1,"",IF(COUNTIFS(AK_NAMA,C1505,AK_KAT,"KAS")=1,D1505,C1505)))</f>
        <v/>
      </c>
      <c r="M1505" s="103" t="n">
        <f aca="false">IF(L1505="",0,IF(L1505=D1505,E1505,-E1505))</f>
        <v>0</v>
      </c>
      <c r="N1505" s="102" t="str">
        <f aca="false">IF(L1505="","",IFERROR(INDEX(AK_BARIS,MATCH(L1505,AK_NAMA,0)),"?"))</f>
        <v/>
      </c>
      <c r="O1505" s="102" t="str">
        <f aca="false">IF(C1505="","",IFERROR(INDEX(AK_KEL,MATCH(C1505,AK_NAMA,0)),"?"))</f>
        <v/>
      </c>
      <c r="P1505" s="102" t="str">
        <f aca="false">IF(D1505="","",IFERROR(INDEX(AK_KEL,MATCH(D1505,AK_NAMA,0)),"?"))</f>
        <v/>
      </c>
      <c r="Q1505" s="102" t="n">
        <f aca="false">N(Q1504)+IF(AND(N(E1505)&lt;&gt;0,K1505=TAHUN,N(J1505)&lt;=BLN,OR(C1505=BB_AKUN,D1505=BB_AKUN)),1,0)</f>
        <v>877</v>
      </c>
      <c r="R1505" s="104" t="str">
        <f aca="false">IF(OR(C1505&amp;D1505="",N(E1505)=0),"",IF(OR(O1505="?",P1505="?"),"⚠ akun tidak dikenal",IF(C1505=D1505,"⚠ debet = kredit","")))</f>
        <v/>
      </c>
    </row>
    <row r="1506" customFormat="false" ht="15" hidden="false" customHeight="false" outlineLevel="0" collapsed="false">
      <c r="A1506" s="5"/>
      <c r="B1506" s="83"/>
      <c r="C1506" s="5"/>
      <c r="D1506" s="5"/>
      <c r="E1506" s="44"/>
      <c r="F1506" s="5"/>
      <c r="G1506" s="5"/>
      <c r="H1506" s="5"/>
      <c r="I1506" s="5"/>
      <c r="J1506" s="102" t="str">
        <f aca="false">IF(B1506="","",MONTH(B1506))</f>
        <v/>
      </c>
      <c r="K1506" s="102" t="str">
        <f aca="false">IF(B1506="","",YEAR(B1506))</f>
        <v/>
      </c>
      <c r="L1506" s="102" t="str">
        <f aca="false">IF(N(E1506)=0,"",IF(COUNTIFS(AK_NAMA,C1506,AK_KAT,"KAS")+COUNTIFS(AK_NAMA,D1506,AK_KAT,"KAS")&lt;&gt;1,"",IF(COUNTIFS(AK_NAMA,C1506,AK_KAT,"KAS")=1,D1506,C1506)))</f>
        <v/>
      </c>
      <c r="M1506" s="103" t="n">
        <f aca="false">IF(L1506="",0,IF(L1506=D1506,E1506,-E1506))</f>
        <v>0</v>
      </c>
      <c r="N1506" s="102" t="str">
        <f aca="false">IF(L1506="","",IFERROR(INDEX(AK_BARIS,MATCH(L1506,AK_NAMA,0)),"?"))</f>
        <v/>
      </c>
      <c r="O1506" s="102" t="str">
        <f aca="false">IF(C1506="","",IFERROR(INDEX(AK_KEL,MATCH(C1506,AK_NAMA,0)),"?"))</f>
        <v/>
      </c>
      <c r="P1506" s="102" t="str">
        <f aca="false">IF(D1506="","",IFERROR(INDEX(AK_KEL,MATCH(D1506,AK_NAMA,0)),"?"))</f>
        <v/>
      </c>
      <c r="Q1506" s="102" t="n">
        <f aca="false">N(Q1505)+IF(AND(N(E1506)&lt;&gt;0,K1506=TAHUN,N(J1506)&lt;=BLN,OR(C1506=BB_AKUN,D1506=BB_AKUN)),1,0)</f>
        <v>877</v>
      </c>
      <c r="R1506" s="104" t="str">
        <f aca="false">IF(OR(C1506&amp;D1506="",N(E1506)=0),"",IF(OR(O1506="?",P1506="?"),"⚠ akun tidak dikenal",IF(C1506=D1506,"⚠ debet = kredit","")))</f>
        <v/>
      </c>
    </row>
    <row r="1507" customFormat="false" ht="15" hidden="false" customHeight="false" outlineLevel="0" collapsed="false">
      <c r="A1507" s="5"/>
      <c r="B1507" s="83"/>
      <c r="C1507" s="5"/>
      <c r="D1507" s="5"/>
      <c r="E1507" s="44"/>
      <c r="F1507" s="5"/>
      <c r="G1507" s="5"/>
      <c r="H1507" s="5"/>
      <c r="I1507" s="5"/>
      <c r="J1507" s="102" t="str">
        <f aca="false">IF(B1507="","",MONTH(B1507))</f>
        <v/>
      </c>
      <c r="K1507" s="102" t="str">
        <f aca="false">IF(B1507="","",YEAR(B1507))</f>
        <v/>
      </c>
      <c r="L1507" s="102" t="str">
        <f aca="false">IF(N(E1507)=0,"",IF(COUNTIFS(AK_NAMA,C1507,AK_KAT,"KAS")+COUNTIFS(AK_NAMA,D1507,AK_KAT,"KAS")&lt;&gt;1,"",IF(COUNTIFS(AK_NAMA,C1507,AK_KAT,"KAS")=1,D1507,C1507)))</f>
        <v/>
      </c>
      <c r="M1507" s="103" t="n">
        <f aca="false">IF(L1507="",0,IF(L1507=D1507,E1507,-E1507))</f>
        <v>0</v>
      </c>
      <c r="N1507" s="102" t="str">
        <f aca="false">IF(L1507="","",IFERROR(INDEX(AK_BARIS,MATCH(L1507,AK_NAMA,0)),"?"))</f>
        <v/>
      </c>
      <c r="O1507" s="102" t="str">
        <f aca="false">IF(C1507="","",IFERROR(INDEX(AK_KEL,MATCH(C1507,AK_NAMA,0)),"?"))</f>
        <v/>
      </c>
      <c r="P1507" s="102" t="str">
        <f aca="false">IF(D1507="","",IFERROR(INDEX(AK_KEL,MATCH(D1507,AK_NAMA,0)),"?"))</f>
        <v/>
      </c>
      <c r="Q1507" s="102" t="n">
        <f aca="false">N(Q1506)+IF(AND(N(E1507)&lt;&gt;0,K1507=TAHUN,N(J1507)&lt;=BLN,OR(C1507=BB_AKUN,D1507=BB_AKUN)),1,0)</f>
        <v>877</v>
      </c>
      <c r="R1507" s="104" t="str">
        <f aca="false">IF(OR(C1507&amp;D1507="",N(E1507)=0),"",IF(OR(O1507="?",P1507="?"),"⚠ akun tidak dikenal",IF(C1507=D1507,"⚠ debet = kredit","")))</f>
        <v/>
      </c>
    </row>
    <row r="1508" customFormat="false" ht="15" hidden="false" customHeight="false" outlineLevel="0" collapsed="false">
      <c r="A1508" s="5"/>
      <c r="B1508" s="83"/>
      <c r="C1508" s="5"/>
      <c r="D1508" s="5"/>
      <c r="E1508" s="44"/>
      <c r="F1508" s="5"/>
      <c r="G1508" s="5"/>
      <c r="H1508" s="5"/>
      <c r="I1508" s="5"/>
      <c r="J1508" s="102" t="str">
        <f aca="false">IF(B1508="","",MONTH(B1508))</f>
        <v/>
      </c>
      <c r="K1508" s="102" t="str">
        <f aca="false">IF(B1508="","",YEAR(B1508))</f>
        <v/>
      </c>
      <c r="L1508" s="102" t="str">
        <f aca="false">IF(N(E1508)=0,"",IF(COUNTIFS(AK_NAMA,C1508,AK_KAT,"KAS")+COUNTIFS(AK_NAMA,D1508,AK_KAT,"KAS")&lt;&gt;1,"",IF(COUNTIFS(AK_NAMA,C1508,AK_KAT,"KAS")=1,D1508,C1508)))</f>
        <v/>
      </c>
      <c r="M1508" s="103" t="n">
        <f aca="false">IF(L1508="",0,IF(L1508=D1508,E1508,-E1508))</f>
        <v>0</v>
      </c>
      <c r="N1508" s="102" t="str">
        <f aca="false">IF(L1508="","",IFERROR(INDEX(AK_BARIS,MATCH(L1508,AK_NAMA,0)),"?"))</f>
        <v/>
      </c>
      <c r="O1508" s="102" t="str">
        <f aca="false">IF(C1508="","",IFERROR(INDEX(AK_KEL,MATCH(C1508,AK_NAMA,0)),"?"))</f>
        <v/>
      </c>
      <c r="P1508" s="102" t="str">
        <f aca="false">IF(D1508="","",IFERROR(INDEX(AK_KEL,MATCH(D1508,AK_NAMA,0)),"?"))</f>
        <v/>
      </c>
      <c r="Q1508" s="102" t="n">
        <f aca="false">N(Q1507)+IF(AND(N(E1508)&lt;&gt;0,K1508=TAHUN,N(J1508)&lt;=BLN,OR(C1508=BB_AKUN,D1508=BB_AKUN)),1,0)</f>
        <v>877</v>
      </c>
      <c r="R1508" s="104" t="str">
        <f aca="false">IF(OR(C1508&amp;D1508="",N(E1508)=0),"",IF(OR(O1508="?",P1508="?"),"⚠ akun tidak dikenal",IF(C1508=D1508,"⚠ debet = kredit","")))</f>
        <v/>
      </c>
    </row>
    <row r="1509" customFormat="false" ht="15" hidden="false" customHeight="false" outlineLevel="0" collapsed="false">
      <c r="A1509" s="5"/>
      <c r="B1509" s="83"/>
      <c r="C1509" s="5"/>
      <c r="D1509" s="5"/>
      <c r="E1509" s="44"/>
      <c r="F1509" s="5"/>
      <c r="G1509" s="5"/>
      <c r="H1509" s="5"/>
      <c r="I1509" s="5"/>
      <c r="J1509" s="102" t="str">
        <f aca="false">IF(B1509="","",MONTH(B1509))</f>
        <v/>
      </c>
      <c r="K1509" s="102" t="str">
        <f aca="false">IF(B1509="","",YEAR(B1509))</f>
        <v/>
      </c>
      <c r="L1509" s="102" t="str">
        <f aca="false">IF(N(E1509)=0,"",IF(COUNTIFS(AK_NAMA,C1509,AK_KAT,"KAS")+COUNTIFS(AK_NAMA,D1509,AK_KAT,"KAS")&lt;&gt;1,"",IF(COUNTIFS(AK_NAMA,C1509,AK_KAT,"KAS")=1,D1509,C1509)))</f>
        <v/>
      </c>
      <c r="M1509" s="103" t="n">
        <f aca="false">IF(L1509="",0,IF(L1509=D1509,E1509,-E1509))</f>
        <v>0</v>
      </c>
      <c r="N1509" s="102" t="str">
        <f aca="false">IF(L1509="","",IFERROR(INDEX(AK_BARIS,MATCH(L1509,AK_NAMA,0)),"?"))</f>
        <v/>
      </c>
      <c r="O1509" s="102" t="str">
        <f aca="false">IF(C1509="","",IFERROR(INDEX(AK_KEL,MATCH(C1509,AK_NAMA,0)),"?"))</f>
        <v/>
      </c>
      <c r="P1509" s="102" t="str">
        <f aca="false">IF(D1509="","",IFERROR(INDEX(AK_KEL,MATCH(D1509,AK_NAMA,0)),"?"))</f>
        <v/>
      </c>
      <c r="Q1509" s="102" t="n">
        <f aca="false">N(Q1508)+IF(AND(N(E1509)&lt;&gt;0,K1509=TAHUN,N(J1509)&lt;=BLN,OR(C1509=BB_AKUN,D1509=BB_AKUN)),1,0)</f>
        <v>877</v>
      </c>
      <c r="R1509" s="104" t="str">
        <f aca="false">IF(OR(C1509&amp;D1509="",N(E1509)=0),"",IF(OR(O1509="?",P1509="?"),"⚠ akun tidak dikenal",IF(C1509=D1509,"⚠ debet = kredit","")))</f>
        <v/>
      </c>
    </row>
    <row r="1510" customFormat="false" ht="15" hidden="false" customHeight="false" outlineLevel="0" collapsed="false">
      <c r="A1510" s="5"/>
      <c r="B1510" s="83"/>
      <c r="C1510" s="5"/>
      <c r="D1510" s="5"/>
      <c r="E1510" s="44"/>
      <c r="F1510" s="5"/>
      <c r="G1510" s="5"/>
      <c r="H1510" s="5"/>
      <c r="I1510" s="5"/>
      <c r="J1510" s="102" t="str">
        <f aca="false">IF(B1510="","",MONTH(B1510))</f>
        <v/>
      </c>
      <c r="K1510" s="102" t="str">
        <f aca="false">IF(B1510="","",YEAR(B1510))</f>
        <v/>
      </c>
      <c r="L1510" s="102" t="str">
        <f aca="false">IF(N(E1510)=0,"",IF(COUNTIFS(AK_NAMA,C1510,AK_KAT,"KAS")+COUNTIFS(AK_NAMA,D1510,AK_KAT,"KAS")&lt;&gt;1,"",IF(COUNTIFS(AK_NAMA,C1510,AK_KAT,"KAS")=1,D1510,C1510)))</f>
        <v/>
      </c>
      <c r="M1510" s="103" t="n">
        <f aca="false">IF(L1510="",0,IF(L1510=D1510,E1510,-E1510))</f>
        <v>0</v>
      </c>
      <c r="N1510" s="102" t="str">
        <f aca="false">IF(L1510="","",IFERROR(INDEX(AK_BARIS,MATCH(L1510,AK_NAMA,0)),"?"))</f>
        <v/>
      </c>
      <c r="O1510" s="102" t="str">
        <f aca="false">IF(C1510="","",IFERROR(INDEX(AK_KEL,MATCH(C1510,AK_NAMA,0)),"?"))</f>
        <v/>
      </c>
      <c r="P1510" s="102" t="str">
        <f aca="false">IF(D1510="","",IFERROR(INDEX(AK_KEL,MATCH(D1510,AK_NAMA,0)),"?"))</f>
        <v/>
      </c>
      <c r="Q1510" s="102" t="n">
        <f aca="false">N(Q1509)+IF(AND(N(E1510)&lt;&gt;0,K1510=TAHUN,N(J1510)&lt;=BLN,OR(C1510=BB_AKUN,D1510=BB_AKUN)),1,0)</f>
        <v>877</v>
      </c>
      <c r="R1510" s="104" t="str">
        <f aca="false">IF(OR(C1510&amp;D1510="",N(E1510)=0),"",IF(OR(O1510="?",P1510="?"),"⚠ akun tidak dikenal",IF(C1510=D1510,"⚠ debet = kredit","")))</f>
        <v/>
      </c>
    </row>
    <row r="1511" customFormat="false" ht="15" hidden="false" customHeight="false" outlineLevel="0" collapsed="false">
      <c r="A1511" s="5"/>
      <c r="B1511" s="83"/>
      <c r="C1511" s="5"/>
      <c r="D1511" s="5"/>
      <c r="E1511" s="44"/>
      <c r="F1511" s="5"/>
      <c r="G1511" s="5"/>
      <c r="H1511" s="5"/>
      <c r="I1511" s="5"/>
      <c r="J1511" s="102" t="str">
        <f aca="false">IF(B1511="","",MONTH(B1511))</f>
        <v/>
      </c>
      <c r="K1511" s="102" t="str">
        <f aca="false">IF(B1511="","",YEAR(B1511))</f>
        <v/>
      </c>
      <c r="L1511" s="102" t="str">
        <f aca="false">IF(N(E1511)=0,"",IF(COUNTIFS(AK_NAMA,C1511,AK_KAT,"KAS")+COUNTIFS(AK_NAMA,D1511,AK_KAT,"KAS")&lt;&gt;1,"",IF(COUNTIFS(AK_NAMA,C1511,AK_KAT,"KAS")=1,D1511,C1511)))</f>
        <v/>
      </c>
      <c r="M1511" s="103" t="n">
        <f aca="false">IF(L1511="",0,IF(L1511=D1511,E1511,-E1511))</f>
        <v>0</v>
      </c>
      <c r="N1511" s="102" t="str">
        <f aca="false">IF(L1511="","",IFERROR(INDEX(AK_BARIS,MATCH(L1511,AK_NAMA,0)),"?"))</f>
        <v/>
      </c>
      <c r="O1511" s="102" t="str">
        <f aca="false">IF(C1511="","",IFERROR(INDEX(AK_KEL,MATCH(C1511,AK_NAMA,0)),"?"))</f>
        <v/>
      </c>
      <c r="P1511" s="102" t="str">
        <f aca="false">IF(D1511="","",IFERROR(INDEX(AK_KEL,MATCH(D1511,AK_NAMA,0)),"?"))</f>
        <v/>
      </c>
      <c r="Q1511" s="102" t="n">
        <f aca="false">N(Q1510)+IF(AND(N(E1511)&lt;&gt;0,K1511=TAHUN,N(J1511)&lt;=BLN,OR(C1511=BB_AKUN,D1511=BB_AKUN)),1,0)</f>
        <v>877</v>
      </c>
      <c r="R1511" s="104" t="str">
        <f aca="false">IF(OR(C1511&amp;D1511="",N(E1511)=0),"",IF(OR(O1511="?",P1511="?"),"⚠ akun tidak dikenal",IF(C1511=D1511,"⚠ debet = kredit","")))</f>
        <v/>
      </c>
    </row>
    <row r="1512" customFormat="false" ht="15" hidden="false" customHeight="false" outlineLevel="0" collapsed="false">
      <c r="A1512" s="5"/>
      <c r="B1512" s="83"/>
      <c r="C1512" s="5"/>
      <c r="D1512" s="5"/>
      <c r="E1512" s="44"/>
      <c r="F1512" s="5"/>
      <c r="G1512" s="5"/>
      <c r="H1512" s="5"/>
      <c r="I1512" s="5"/>
      <c r="J1512" s="102" t="str">
        <f aca="false">IF(B1512="","",MONTH(B1512))</f>
        <v/>
      </c>
      <c r="K1512" s="102" t="str">
        <f aca="false">IF(B1512="","",YEAR(B1512))</f>
        <v/>
      </c>
      <c r="L1512" s="102" t="str">
        <f aca="false">IF(N(E1512)=0,"",IF(COUNTIFS(AK_NAMA,C1512,AK_KAT,"KAS")+COUNTIFS(AK_NAMA,D1512,AK_KAT,"KAS")&lt;&gt;1,"",IF(COUNTIFS(AK_NAMA,C1512,AK_KAT,"KAS")=1,D1512,C1512)))</f>
        <v/>
      </c>
      <c r="M1512" s="103" t="n">
        <f aca="false">IF(L1512="",0,IF(L1512=D1512,E1512,-E1512))</f>
        <v>0</v>
      </c>
      <c r="N1512" s="102" t="str">
        <f aca="false">IF(L1512="","",IFERROR(INDEX(AK_BARIS,MATCH(L1512,AK_NAMA,0)),"?"))</f>
        <v/>
      </c>
      <c r="O1512" s="102" t="str">
        <f aca="false">IF(C1512="","",IFERROR(INDEX(AK_KEL,MATCH(C1512,AK_NAMA,0)),"?"))</f>
        <v/>
      </c>
      <c r="P1512" s="102" t="str">
        <f aca="false">IF(D1512="","",IFERROR(INDEX(AK_KEL,MATCH(D1512,AK_NAMA,0)),"?"))</f>
        <v/>
      </c>
      <c r="Q1512" s="102" t="n">
        <f aca="false">N(Q1511)+IF(AND(N(E1512)&lt;&gt;0,K1512=TAHUN,N(J1512)&lt;=BLN,OR(C1512=BB_AKUN,D1512=BB_AKUN)),1,0)</f>
        <v>877</v>
      </c>
      <c r="R1512" s="104" t="str">
        <f aca="false">IF(OR(C1512&amp;D1512="",N(E1512)=0),"",IF(OR(O1512="?",P1512="?"),"⚠ akun tidak dikenal",IF(C1512=D1512,"⚠ debet = kredit","")))</f>
        <v/>
      </c>
    </row>
    <row r="1513" customFormat="false" ht="15" hidden="false" customHeight="false" outlineLevel="0" collapsed="false">
      <c r="A1513" s="5"/>
      <c r="B1513" s="83"/>
      <c r="C1513" s="5"/>
      <c r="D1513" s="5"/>
      <c r="E1513" s="44"/>
      <c r="F1513" s="5"/>
      <c r="G1513" s="5"/>
      <c r="H1513" s="5"/>
      <c r="I1513" s="5"/>
      <c r="J1513" s="102" t="str">
        <f aca="false">IF(B1513="","",MONTH(B1513))</f>
        <v/>
      </c>
      <c r="K1513" s="102" t="str">
        <f aca="false">IF(B1513="","",YEAR(B1513))</f>
        <v/>
      </c>
      <c r="L1513" s="102" t="str">
        <f aca="false">IF(N(E1513)=0,"",IF(COUNTIFS(AK_NAMA,C1513,AK_KAT,"KAS")+COUNTIFS(AK_NAMA,D1513,AK_KAT,"KAS")&lt;&gt;1,"",IF(COUNTIFS(AK_NAMA,C1513,AK_KAT,"KAS")=1,D1513,C1513)))</f>
        <v/>
      </c>
      <c r="M1513" s="103" t="n">
        <f aca="false">IF(L1513="",0,IF(L1513=D1513,E1513,-E1513))</f>
        <v>0</v>
      </c>
      <c r="N1513" s="102" t="str">
        <f aca="false">IF(L1513="","",IFERROR(INDEX(AK_BARIS,MATCH(L1513,AK_NAMA,0)),"?"))</f>
        <v/>
      </c>
      <c r="O1513" s="102" t="str">
        <f aca="false">IF(C1513="","",IFERROR(INDEX(AK_KEL,MATCH(C1513,AK_NAMA,0)),"?"))</f>
        <v/>
      </c>
      <c r="P1513" s="102" t="str">
        <f aca="false">IF(D1513="","",IFERROR(INDEX(AK_KEL,MATCH(D1513,AK_NAMA,0)),"?"))</f>
        <v/>
      </c>
      <c r="Q1513" s="102" t="n">
        <f aca="false">N(Q1512)+IF(AND(N(E1513)&lt;&gt;0,K1513=TAHUN,N(J1513)&lt;=BLN,OR(C1513=BB_AKUN,D1513=BB_AKUN)),1,0)</f>
        <v>877</v>
      </c>
      <c r="R1513" s="104" t="str">
        <f aca="false">IF(OR(C1513&amp;D1513="",N(E1513)=0),"",IF(OR(O1513="?",P1513="?"),"⚠ akun tidak dikenal",IF(C1513=D1513,"⚠ debet = kredit","")))</f>
        <v/>
      </c>
    </row>
    <row r="1514" customFormat="false" ht="15" hidden="false" customHeight="false" outlineLevel="0" collapsed="false">
      <c r="A1514" s="5"/>
      <c r="B1514" s="83"/>
      <c r="C1514" s="5"/>
      <c r="D1514" s="5"/>
      <c r="E1514" s="44"/>
      <c r="F1514" s="5"/>
      <c r="G1514" s="5"/>
      <c r="H1514" s="5"/>
      <c r="I1514" s="5"/>
      <c r="J1514" s="102" t="str">
        <f aca="false">IF(B1514="","",MONTH(B1514))</f>
        <v/>
      </c>
      <c r="K1514" s="102" t="str">
        <f aca="false">IF(B1514="","",YEAR(B1514))</f>
        <v/>
      </c>
      <c r="L1514" s="102" t="str">
        <f aca="false">IF(N(E1514)=0,"",IF(COUNTIFS(AK_NAMA,C1514,AK_KAT,"KAS")+COUNTIFS(AK_NAMA,D1514,AK_KAT,"KAS")&lt;&gt;1,"",IF(COUNTIFS(AK_NAMA,C1514,AK_KAT,"KAS")=1,D1514,C1514)))</f>
        <v/>
      </c>
      <c r="M1514" s="103" t="n">
        <f aca="false">IF(L1514="",0,IF(L1514=D1514,E1514,-E1514))</f>
        <v>0</v>
      </c>
      <c r="N1514" s="102" t="str">
        <f aca="false">IF(L1514="","",IFERROR(INDEX(AK_BARIS,MATCH(L1514,AK_NAMA,0)),"?"))</f>
        <v/>
      </c>
      <c r="O1514" s="102" t="str">
        <f aca="false">IF(C1514="","",IFERROR(INDEX(AK_KEL,MATCH(C1514,AK_NAMA,0)),"?"))</f>
        <v/>
      </c>
      <c r="P1514" s="102" t="str">
        <f aca="false">IF(D1514="","",IFERROR(INDEX(AK_KEL,MATCH(D1514,AK_NAMA,0)),"?"))</f>
        <v/>
      </c>
      <c r="Q1514" s="102" t="n">
        <f aca="false">N(Q1513)+IF(AND(N(E1514)&lt;&gt;0,K1514=TAHUN,N(J1514)&lt;=BLN,OR(C1514=BB_AKUN,D1514=BB_AKUN)),1,0)</f>
        <v>877</v>
      </c>
      <c r="R1514" s="104" t="str">
        <f aca="false">IF(OR(C1514&amp;D1514="",N(E1514)=0),"",IF(OR(O1514="?",P1514="?"),"⚠ akun tidak dikenal",IF(C1514=D1514,"⚠ debet = kredit","")))</f>
        <v/>
      </c>
    </row>
    <row r="1515" customFormat="false" ht="15" hidden="false" customHeight="false" outlineLevel="0" collapsed="false">
      <c r="A1515" s="5"/>
      <c r="B1515" s="83"/>
      <c r="C1515" s="5"/>
      <c r="D1515" s="5"/>
      <c r="E1515" s="44"/>
      <c r="F1515" s="5"/>
      <c r="G1515" s="5"/>
      <c r="H1515" s="5"/>
      <c r="I1515" s="5"/>
      <c r="J1515" s="102" t="str">
        <f aca="false">IF(B1515="","",MONTH(B1515))</f>
        <v/>
      </c>
      <c r="K1515" s="102" t="str">
        <f aca="false">IF(B1515="","",YEAR(B1515))</f>
        <v/>
      </c>
      <c r="L1515" s="102" t="str">
        <f aca="false">IF(N(E1515)=0,"",IF(COUNTIFS(AK_NAMA,C1515,AK_KAT,"KAS")+COUNTIFS(AK_NAMA,D1515,AK_KAT,"KAS")&lt;&gt;1,"",IF(COUNTIFS(AK_NAMA,C1515,AK_KAT,"KAS")=1,D1515,C1515)))</f>
        <v/>
      </c>
      <c r="M1515" s="103" t="n">
        <f aca="false">IF(L1515="",0,IF(L1515=D1515,E1515,-E1515))</f>
        <v>0</v>
      </c>
      <c r="N1515" s="102" t="str">
        <f aca="false">IF(L1515="","",IFERROR(INDEX(AK_BARIS,MATCH(L1515,AK_NAMA,0)),"?"))</f>
        <v/>
      </c>
      <c r="O1515" s="102" t="str">
        <f aca="false">IF(C1515="","",IFERROR(INDEX(AK_KEL,MATCH(C1515,AK_NAMA,0)),"?"))</f>
        <v/>
      </c>
      <c r="P1515" s="102" t="str">
        <f aca="false">IF(D1515="","",IFERROR(INDEX(AK_KEL,MATCH(D1515,AK_NAMA,0)),"?"))</f>
        <v/>
      </c>
      <c r="Q1515" s="102" t="n">
        <f aca="false">N(Q1514)+IF(AND(N(E1515)&lt;&gt;0,K1515=TAHUN,N(J1515)&lt;=BLN,OR(C1515=BB_AKUN,D1515=BB_AKUN)),1,0)</f>
        <v>877</v>
      </c>
      <c r="R1515" s="104" t="str">
        <f aca="false">IF(OR(C1515&amp;D1515="",N(E1515)=0),"",IF(OR(O1515="?",P1515="?"),"⚠ akun tidak dikenal",IF(C1515=D1515,"⚠ debet = kredit","")))</f>
        <v/>
      </c>
    </row>
    <row r="1516" customFormat="false" ht="15" hidden="false" customHeight="false" outlineLevel="0" collapsed="false">
      <c r="A1516" s="5"/>
      <c r="B1516" s="83"/>
      <c r="C1516" s="5"/>
      <c r="D1516" s="5"/>
      <c r="E1516" s="44"/>
      <c r="F1516" s="5"/>
      <c r="G1516" s="5"/>
      <c r="H1516" s="5"/>
      <c r="I1516" s="5"/>
      <c r="J1516" s="102" t="str">
        <f aca="false">IF(B1516="","",MONTH(B1516))</f>
        <v/>
      </c>
      <c r="K1516" s="102" t="str">
        <f aca="false">IF(B1516="","",YEAR(B1516))</f>
        <v/>
      </c>
      <c r="L1516" s="102" t="str">
        <f aca="false">IF(N(E1516)=0,"",IF(COUNTIFS(AK_NAMA,C1516,AK_KAT,"KAS")+COUNTIFS(AK_NAMA,D1516,AK_KAT,"KAS")&lt;&gt;1,"",IF(COUNTIFS(AK_NAMA,C1516,AK_KAT,"KAS")=1,D1516,C1516)))</f>
        <v/>
      </c>
      <c r="M1516" s="103" t="n">
        <f aca="false">IF(L1516="",0,IF(L1516=D1516,E1516,-E1516))</f>
        <v>0</v>
      </c>
      <c r="N1516" s="102" t="str">
        <f aca="false">IF(L1516="","",IFERROR(INDEX(AK_BARIS,MATCH(L1516,AK_NAMA,0)),"?"))</f>
        <v/>
      </c>
      <c r="O1516" s="102" t="str">
        <f aca="false">IF(C1516="","",IFERROR(INDEX(AK_KEL,MATCH(C1516,AK_NAMA,0)),"?"))</f>
        <v/>
      </c>
      <c r="P1516" s="102" t="str">
        <f aca="false">IF(D1516="","",IFERROR(INDEX(AK_KEL,MATCH(D1516,AK_NAMA,0)),"?"))</f>
        <v/>
      </c>
      <c r="Q1516" s="102" t="n">
        <f aca="false">N(Q1515)+IF(AND(N(E1516)&lt;&gt;0,K1516=TAHUN,N(J1516)&lt;=BLN,OR(C1516=BB_AKUN,D1516=BB_AKUN)),1,0)</f>
        <v>877</v>
      </c>
      <c r="R1516" s="104" t="str">
        <f aca="false">IF(OR(C1516&amp;D1516="",N(E1516)=0),"",IF(OR(O1516="?",P1516="?"),"⚠ akun tidak dikenal",IF(C1516=D1516,"⚠ debet = kredit","")))</f>
        <v/>
      </c>
    </row>
    <row r="1517" customFormat="false" ht="15" hidden="false" customHeight="false" outlineLevel="0" collapsed="false">
      <c r="A1517" s="5"/>
      <c r="B1517" s="83"/>
      <c r="C1517" s="5"/>
      <c r="D1517" s="5"/>
      <c r="E1517" s="44"/>
      <c r="F1517" s="5"/>
      <c r="G1517" s="5"/>
      <c r="H1517" s="5"/>
      <c r="I1517" s="5"/>
      <c r="J1517" s="102" t="str">
        <f aca="false">IF(B1517="","",MONTH(B1517))</f>
        <v/>
      </c>
      <c r="K1517" s="102" t="str">
        <f aca="false">IF(B1517="","",YEAR(B1517))</f>
        <v/>
      </c>
      <c r="L1517" s="102" t="str">
        <f aca="false">IF(N(E1517)=0,"",IF(COUNTIFS(AK_NAMA,C1517,AK_KAT,"KAS")+COUNTIFS(AK_NAMA,D1517,AK_KAT,"KAS")&lt;&gt;1,"",IF(COUNTIFS(AK_NAMA,C1517,AK_KAT,"KAS")=1,D1517,C1517)))</f>
        <v/>
      </c>
      <c r="M1517" s="103" t="n">
        <f aca="false">IF(L1517="",0,IF(L1517=D1517,E1517,-E1517))</f>
        <v>0</v>
      </c>
      <c r="N1517" s="102" t="str">
        <f aca="false">IF(L1517="","",IFERROR(INDEX(AK_BARIS,MATCH(L1517,AK_NAMA,0)),"?"))</f>
        <v/>
      </c>
      <c r="O1517" s="102" t="str">
        <f aca="false">IF(C1517="","",IFERROR(INDEX(AK_KEL,MATCH(C1517,AK_NAMA,0)),"?"))</f>
        <v/>
      </c>
      <c r="P1517" s="102" t="str">
        <f aca="false">IF(D1517="","",IFERROR(INDEX(AK_KEL,MATCH(D1517,AK_NAMA,0)),"?"))</f>
        <v/>
      </c>
      <c r="Q1517" s="102" t="n">
        <f aca="false">N(Q1516)+IF(AND(N(E1517)&lt;&gt;0,K1517=TAHUN,N(J1517)&lt;=BLN,OR(C1517=BB_AKUN,D1517=BB_AKUN)),1,0)</f>
        <v>877</v>
      </c>
      <c r="R1517" s="104" t="str">
        <f aca="false">IF(OR(C1517&amp;D1517="",N(E1517)=0),"",IF(OR(O1517="?",P1517="?"),"⚠ akun tidak dikenal",IF(C1517=D1517,"⚠ debet = kredit","")))</f>
        <v/>
      </c>
    </row>
    <row r="1518" customFormat="false" ht="15" hidden="false" customHeight="false" outlineLevel="0" collapsed="false">
      <c r="A1518" s="5"/>
      <c r="B1518" s="83"/>
      <c r="C1518" s="5"/>
      <c r="D1518" s="5"/>
      <c r="E1518" s="44"/>
      <c r="F1518" s="5"/>
      <c r="G1518" s="5"/>
      <c r="H1518" s="5"/>
      <c r="I1518" s="5"/>
      <c r="J1518" s="102" t="str">
        <f aca="false">IF(B1518="","",MONTH(B1518))</f>
        <v/>
      </c>
      <c r="K1518" s="102" t="str">
        <f aca="false">IF(B1518="","",YEAR(B1518))</f>
        <v/>
      </c>
      <c r="L1518" s="102" t="str">
        <f aca="false">IF(N(E1518)=0,"",IF(COUNTIFS(AK_NAMA,C1518,AK_KAT,"KAS")+COUNTIFS(AK_NAMA,D1518,AK_KAT,"KAS")&lt;&gt;1,"",IF(COUNTIFS(AK_NAMA,C1518,AK_KAT,"KAS")=1,D1518,C1518)))</f>
        <v/>
      </c>
      <c r="M1518" s="103" t="n">
        <f aca="false">IF(L1518="",0,IF(L1518=D1518,E1518,-E1518))</f>
        <v>0</v>
      </c>
      <c r="N1518" s="102" t="str">
        <f aca="false">IF(L1518="","",IFERROR(INDEX(AK_BARIS,MATCH(L1518,AK_NAMA,0)),"?"))</f>
        <v/>
      </c>
      <c r="O1518" s="102" t="str">
        <f aca="false">IF(C1518="","",IFERROR(INDEX(AK_KEL,MATCH(C1518,AK_NAMA,0)),"?"))</f>
        <v/>
      </c>
      <c r="P1518" s="102" t="str">
        <f aca="false">IF(D1518="","",IFERROR(INDEX(AK_KEL,MATCH(D1518,AK_NAMA,0)),"?"))</f>
        <v/>
      </c>
      <c r="Q1518" s="102" t="n">
        <f aca="false">N(Q1517)+IF(AND(N(E1518)&lt;&gt;0,K1518=TAHUN,N(J1518)&lt;=BLN,OR(C1518=BB_AKUN,D1518=BB_AKUN)),1,0)</f>
        <v>877</v>
      </c>
      <c r="R1518" s="104" t="str">
        <f aca="false">IF(OR(C1518&amp;D1518="",N(E1518)=0),"",IF(OR(O1518="?",P1518="?"),"⚠ akun tidak dikenal",IF(C1518=D1518,"⚠ debet = kredit","")))</f>
        <v/>
      </c>
    </row>
    <row r="1519" customFormat="false" ht="15" hidden="false" customHeight="false" outlineLevel="0" collapsed="false">
      <c r="A1519" s="5"/>
      <c r="B1519" s="83"/>
      <c r="C1519" s="5"/>
      <c r="D1519" s="5"/>
      <c r="E1519" s="44"/>
      <c r="F1519" s="5"/>
      <c r="G1519" s="5"/>
      <c r="H1519" s="5"/>
      <c r="I1519" s="5"/>
      <c r="J1519" s="102" t="str">
        <f aca="false">IF(B1519="","",MONTH(B1519))</f>
        <v/>
      </c>
      <c r="K1519" s="102" t="str">
        <f aca="false">IF(B1519="","",YEAR(B1519))</f>
        <v/>
      </c>
      <c r="L1519" s="102" t="str">
        <f aca="false">IF(N(E1519)=0,"",IF(COUNTIFS(AK_NAMA,C1519,AK_KAT,"KAS")+COUNTIFS(AK_NAMA,D1519,AK_KAT,"KAS")&lt;&gt;1,"",IF(COUNTIFS(AK_NAMA,C1519,AK_KAT,"KAS")=1,D1519,C1519)))</f>
        <v/>
      </c>
      <c r="M1519" s="103" t="n">
        <f aca="false">IF(L1519="",0,IF(L1519=D1519,E1519,-E1519))</f>
        <v>0</v>
      </c>
      <c r="N1519" s="102" t="str">
        <f aca="false">IF(L1519="","",IFERROR(INDEX(AK_BARIS,MATCH(L1519,AK_NAMA,0)),"?"))</f>
        <v/>
      </c>
      <c r="O1519" s="102" t="str">
        <f aca="false">IF(C1519="","",IFERROR(INDEX(AK_KEL,MATCH(C1519,AK_NAMA,0)),"?"))</f>
        <v/>
      </c>
      <c r="P1519" s="102" t="str">
        <f aca="false">IF(D1519="","",IFERROR(INDEX(AK_KEL,MATCH(D1519,AK_NAMA,0)),"?"))</f>
        <v/>
      </c>
      <c r="Q1519" s="102" t="n">
        <f aca="false">N(Q1518)+IF(AND(N(E1519)&lt;&gt;0,K1519=TAHUN,N(J1519)&lt;=BLN,OR(C1519=BB_AKUN,D1519=BB_AKUN)),1,0)</f>
        <v>877</v>
      </c>
      <c r="R1519" s="104" t="str">
        <f aca="false">IF(OR(C1519&amp;D1519="",N(E1519)=0),"",IF(OR(O1519="?",P1519="?"),"⚠ akun tidak dikenal",IF(C1519=D1519,"⚠ debet = kredit","")))</f>
        <v/>
      </c>
    </row>
    <row r="1520" customFormat="false" ht="15" hidden="false" customHeight="false" outlineLevel="0" collapsed="false">
      <c r="A1520" s="5"/>
      <c r="B1520" s="83"/>
      <c r="C1520" s="5"/>
      <c r="D1520" s="5"/>
      <c r="E1520" s="44"/>
      <c r="F1520" s="5"/>
      <c r="G1520" s="5"/>
      <c r="H1520" s="5"/>
      <c r="I1520" s="5"/>
      <c r="J1520" s="102" t="str">
        <f aca="false">IF(B1520="","",MONTH(B1520))</f>
        <v/>
      </c>
      <c r="K1520" s="102" t="str">
        <f aca="false">IF(B1520="","",YEAR(B1520))</f>
        <v/>
      </c>
      <c r="L1520" s="102" t="str">
        <f aca="false">IF(N(E1520)=0,"",IF(COUNTIFS(AK_NAMA,C1520,AK_KAT,"KAS")+COUNTIFS(AK_NAMA,D1520,AK_KAT,"KAS")&lt;&gt;1,"",IF(COUNTIFS(AK_NAMA,C1520,AK_KAT,"KAS")=1,D1520,C1520)))</f>
        <v/>
      </c>
      <c r="M1520" s="103" t="n">
        <f aca="false">IF(L1520="",0,IF(L1520=D1520,E1520,-E1520))</f>
        <v>0</v>
      </c>
      <c r="N1520" s="102" t="str">
        <f aca="false">IF(L1520="","",IFERROR(INDEX(AK_BARIS,MATCH(L1520,AK_NAMA,0)),"?"))</f>
        <v/>
      </c>
      <c r="O1520" s="102" t="str">
        <f aca="false">IF(C1520="","",IFERROR(INDEX(AK_KEL,MATCH(C1520,AK_NAMA,0)),"?"))</f>
        <v/>
      </c>
      <c r="P1520" s="102" t="str">
        <f aca="false">IF(D1520="","",IFERROR(INDEX(AK_KEL,MATCH(D1520,AK_NAMA,0)),"?"))</f>
        <v/>
      </c>
      <c r="Q1520" s="102" t="n">
        <f aca="false">N(Q1519)+IF(AND(N(E1520)&lt;&gt;0,K1520=TAHUN,N(J1520)&lt;=BLN,OR(C1520=BB_AKUN,D1520=BB_AKUN)),1,0)</f>
        <v>877</v>
      </c>
      <c r="R1520" s="104" t="str">
        <f aca="false">IF(OR(C1520&amp;D1520="",N(E1520)=0),"",IF(OR(O1520="?",P1520="?"),"⚠ akun tidak dikenal",IF(C1520=D1520,"⚠ debet = kredit","")))</f>
        <v/>
      </c>
    </row>
    <row r="1521" customFormat="false" ht="15" hidden="false" customHeight="false" outlineLevel="0" collapsed="false">
      <c r="A1521" s="5"/>
      <c r="B1521" s="83"/>
      <c r="C1521" s="5"/>
      <c r="D1521" s="5"/>
      <c r="E1521" s="44"/>
      <c r="F1521" s="5"/>
      <c r="G1521" s="5"/>
      <c r="H1521" s="5"/>
      <c r="I1521" s="5"/>
      <c r="J1521" s="102" t="str">
        <f aca="false">IF(B1521="","",MONTH(B1521))</f>
        <v/>
      </c>
      <c r="K1521" s="102" t="str">
        <f aca="false">IF(B1521="","",YEAR(B1521))</f>
        <v/>
      </c>
      <c r="L1521" s="102" t="str">
        <f aca="false">IF(N(E1521)=0,"",IF(COUNTIFS(AK_NAMA,C1521,AK_KAT,"KAS")+COUNTIFS(AK_NAMA,D1521,AK_KAT,"KAS")&lt;&gt;1,"",IF(COUNTIFS(AK_NAMA,C1521,AK_KAT,"KAS")=1,D1521,C1521)))</f>
        <v/>
      </c>
      <c r="M1521" s="103" t="n">
        <f aca="false">IF(L1521="",0,IF(L1521=D1521,E1521,-E1521))</f>
        <v>0</v>
      </c>
      <c r="N1521" s="102" t="str">
        <f aca="false">IF(L1521="","",IFERROR(INDEX(AK_BARIS,MATCH(L1521,AK_NAMA,0)),"?"))</f>
        <v/>
      </c>
      <c r="O1521" s="102" t="str">
        <f aca="false">IF(C1521="","",IFERROR(INDEX(AK_KEL,MATCH(C1521,AK_NAMA,0)),"?"))</f>
        <v/>
      </c>
      <c r="P1521" s="102" t="str">
        <f aca="false">IF(D1521="","",IFERROR(INDEX(AK_KEL,MATCH(D1521,AK_NAMA,0)),"?"))</f>
        <v/>
      </c>
      <c r="Q1521" s="102" t="n">
        <f aca="false">N(Q1520)+IF(AND(N(E1521)&lt;&gt;0,K1521=TAHUN,N(J1521)&lt;=BLN,OR(C1521=BB_AKUN,D1521=BB_AKUN)),1,0)</f>
        <v>877</v>
      </c>
      <c r="R1521" s="104" t="str">
        <f aca="false">IF(OR(C1521&amp;D1521="",N(E1521)=0),"",IF(OR(O1521="?",P1521="?"),"⚠ akun tidak dikenal",IF(C1521=D1521,"⚠ debet = kredit","")))</f>
        <v/>
      </c>
    </row>
    <row r="1522" customFormat="false" ht="15" hidden="false" customHeight="false" outlineLevel="0" collapsed="false">
      <c r="A1522" s="5"/>
      <c r="B1522" s="83"/>
      <c r="C1522" s="5"/>
      <c r="D1522" s="5"/>
      <c r="E1522" s="44"/>
      <c r="F1522" s="5"/>
      <c r="G1522" s="5"/>
      <c r="H1522" s="5"/>
      <c r="I1522" s="5"/>
      <c r="J1522" s="102" t="str">
        <f aca="false">IF(B1522="","",MONTH(B1522))</f>
        <v/>
      </c>
      <c r="K1522" s="102" t="str">
        <f aca="false">IF(B1522="","",YEAR(B1522))</f>
        <v/>
      </c>
      <c r="L1522" s="102" t="str">
        <f aca="false">IF(N(E1522)=0,"",IF(COUNTIFS(AK_NAMA,C1522,AK_KAT,"KAS")+COUNTIFS(AK_NAMA,D1522,AK_KAT,"KAS")&lt;&gt;1,"",IF(COUNTIFS(AK_NAMA,C1522,AK_KAT,"KAS")=1,D1522,C1522)))</f>
        <v/>
      </c>
      <c r="M1522" s="103" t="n">
        <f aca="false">IF(L1522="",0,IF(L1522=D1522,E1522,-E1522))</f>
        <v>0</v>
      </c>
      <c r="N1522" s="102" t="str">
        <f aca="false">IF(L1522="","",IFERROR(INDEX(AK_BARIS,MATCH(L1522,AK_NAMA,0)),"?"))</f>
        <v/>
      </c>
      <c r="O1522" s="102" t="str">
        <f aca="false">IF(C1522="","",IFERROR(INDEX(AK_KEL,MATCH(C1522,AK_NAMA,0)),"?"))</f>
        <v/>
      </c>
      <c r="P1522" s="102" t="str">
        <f aca="false">IF(D1522="","",IFERROR(INDEX(AK_KEL,MATCH(D1522,AK_NAMA,0)),"?"))</f>
        <v/>
      </c>
      <c r="Q1522" s="102" t="n">
        <f aca="false">N(Q1521)+IF(AND(N(E1522)&lt;&gt;0,K1522=TAHUN,N(J1522)&lt;=BLN,OR(C1522=BB_AKUN,D1522=BB_AKUN)),1,0)</f>
        <v>877</v>
      </c>
      <c r="R1522" s="104" t="str">
        <f aca="false">IF(OR(C1522&amp;D1522="",N(E1522)=0),"",IF(OR(O1522="?",P1522="?"),"⚠ akun tidak dikenal",IF(C1522=D1522,"⚠ debet = kredit","")))</f>
        <v/>
      </c>
    </row>
    <row r="1523" customFormat="false" ht="15" hidden="false" customHeight="false" outlineLevel="0" collapsed="false">
      <c r="A1523" s="5"/>
      <c r="B1523" s="83"/>
      <c r="C1523" s="5"/>
      <c r="D1523" s="5"/>
      <c r="E1523" s="44"/>
      <c r="F1523" s="5"/>
      <c r="G1523" s="5"/>
      <c r="H1523" s="5"/>
      <c r="I1523" s="5"/>
      <c r="J1523" s="102" t="str">
        <f aca="false">IF(B1523="","",MONTH(B1523))</f>
        <v/>
      </c>
      <c r="K1523" s="102" t="str">
        <f aca="false">IF(B1523="","",YEAR(B1523))</f>
        <v/>
      </c>
      <c r="L1523" s="102" t="str">
        <f aca="false">IF(N(E1523)=0,"",IF(COUNTIFS(AK_NAMA,C1523,AK_KAT,"KAS")+COUNTIFS(AK_NAMA,D1523,AK_KAT,"KAS")&lt;&gt;1,"",IF(COUNTIFS(AK_NAMA,C1523,AK_KAT,"KAS")=1,D1523,C1523)))</f>
        <v/>
      </c>
      <c r="M1523" s="103" t="n">
        <f aca="false">IF(L1523="",0,IF(L1523=D1523,E1523,-E1523))</f>
        <v>0</v>
      </c>
      <c r="N1523" s="102" t="str">
        <f aca="false">IF(L1523="","",IFERROR(INDEX(AK_BARIS,MATCH(L1523,AK_NAMA,0)),"?"))</f>
        <v/>
      </c>
      <c r="O1523" s="102" t="str">
        <f aca="false">IF(C1523="","",IFERROR(INDEX(AK_KEL,MATCH(C1523,AK_NAMA,0)),"?"))</f>
        <v/>
      </c>
      <c r="P1523" s="102" t="str">
        <f aca="false">IF(D1523="","",IFERROR(INDEX(AK_KEL,MATCH(D1523,AK_NAMA,0)),"?"))</f>
        <v/>
      </c>
      <c r="Q1523" s="102" t="n">
        <f aca="false">N(Q1522)+IF(AND(N(E1523)&lt;&gt;0,K1523=TAHUN,N(J1523)&lt;=BLN,OR(C1523=BB_AKUN,D1523=BB_AKUN)),1,0)</f>
        <v>877</v>
      </c>
      <c r="R1523" s="104" t="str">
        <f aca="false">IF(OR(C1523&amp;D1523="",N(E1523)=0),"",IF(OR(O1523="?",P1523="?"),"⚠ akun tidak dikenal",IF(C1523=D1523,"⚠ debet = kredit","")))</f>
        <v/>
      </c>
    </row>
    <row r="1524" customFormat="false" ht="15" hidden="false" customHeight="false" outlineLevel="0" collapsed="false">
      <c r="A1524" s="5"/>
      <c r="B1524" s="83"/>
      <c r="C1524" s="5"/>
      <c r="D1524" s="5"/>
      <c r="E1524" s="44"/>
      <c r="F1524" s="5"/>
      <c r="G1524" s="5"/>
      <c r="H1524" s="5"/>
      <c r="I1524" s="5"/>
      <c r="J1524" s="102" t="str">
        <f aca="false">IF(B1524="","",MONTH(B1524))</f>
        <v/>
      </c>
      <c r="K1524" s="102" t="str">
        <f aca="false">IF(B1524="","",YEAR(B1524))</f>
        <v/>
      </c>
      <c r="L1524" s="102" t="str">
        <f aca="false">IF(N(E1524)=0,"",IF(COUNTIFS(AK_NAMA,C1524,AK_KAT,"KAS")+COUNTIFS(AK_NAMA,D1524,AK_KAT,"KAS")&lt;&gt;1,"",IF(COUNTIFS(AK_NAMA,C1524,AK_KAT,"KAS")=1,D1524,C1524)))</f>
        <v/>
      </c>
      <c r="M1524" s="103" t="n">
        <f aca="false">IF(L1524="",0,IF(L1524=D1524,E1524,-E1524))</f>
        <v>0</v>
      </c>
      <c r="N1524" s="102" t="str">
        <f aca="false">IF(L1524="","",IFERROR(INDEX(AK_BARIS,MATCH(L1524,AK_NAMA,0)),"?"))</f>
        <v/>
      </c>
      <c r="O1524" s="102" t="str">
        <f aca="false">IF(C1524="","",IFERROR(INDEX(AK_KEL,MATCH(C1524,AK_NAMA,0)),"?"))</f>
        <v/>
      </c>
      <c r="P1524" s="102" t="str">
        <f aca="false">IF(D1524="","",IFERROR(INDEX(AK_KEL,MATCH(D1524,AK_NAMA,0)),"?"))</f>
        <v/>
      </c>
      <c r="Q1524" s="102" t="n">
        <f aca="false">N(Q1523)+IF(AND(N(E1524)&lt;&gt;0,K1524=TAHUN,N(J1524)&lt;=BLN,OR(C1524=BB_AKUN,D1524=BB_AKUN)),1,0)</f>
        <v>877</v>
      </c>
      <c r="R1524" s="104" t="str">
        <f aca="false">IF(OR(C1524&amp;D1524="",N(E1524)=0),"",IF(OR(O1524="?",P1524="?"),"⚠ akun tidak dikenal",IF(C1524=D1524,"⚠ debet = kredit","")))</f>
        <v/>
      </c>
    </row>
    <row r="1525" customFormat="false" ht="15" hidden="false" customHeight="false" outlineLevel="0" collapsed="false">
      <c r="A1525" s="5"/>
      <c r="B1525" s="83"/>
      <c r="C1525" s="5"/>
      <c r="D1525" s="5"/>
      <c r="E1525" s="44"/>
      <c r="F1525" s="5"/>
      <c r="G1525" s="5"/>
      <c r="H1525" s="5"/>
      <c r="I1525" s="5"/>
      <c r="J1525" s="102" t="str">
        <f aca="false">IF(B1525="","",MONTH(B1525))</f>
        <v/>
      </c>
      <c r="K1525" s="102" t="str">
        <f aca="false">IF(B1525="","",YEAR(B1525))</f>
        <v/>
      </c>
      <c r="L1525" s="102" t="str">
        <f aca="false">IF(N(E1525)=0,"",IF(COUNTIFS(AK_NAMA,C1525,AK_KAT,"KAS")+COUNTIFS(AK_NAMA,D1525,AK_KAT,"KAS")&lt;&gt;1,"",IF(COUNTIFS(AK_NAMA,C1525,AK_KAT,"KAS")=1,D1525,C1525)))</f>
        <v/>
      </c>
      <c r="M1525" s="103" t="n">
        <f aca="false">IF(L1525="",0,IF(L1525=D1525,E1525,-E1525))</f>
        <v>0</v>
      </c>
      <c r="N1525" s="102" t="str">
        <f aca="false">IF(L1525="","",IFERROR(INDEX(AK_BARIS,MATCH(L1525,AK_NAMA,0)),"?"))</f>
        <v/>
      </c>
      <c r="O1525" s="102" t="str">
        <f aca="false">IF(C1525="","",IFERROR(INDEX(AK_KEL,MATCH(C1525,AK_NAMA,0)),"?"))</f>
        <v/>
      </c>
      <c r="P1525" s="102" t="str">
        <f aca="false">IF(D1525="","",IFERROR(INDEX(AK_KEL,MATCH(D1525,AK_NAMA,0)),"?"))</f>
        <v/>
      </c>
      <c r="Q1525" s="102" t="n">
        <f aca="false">N(Q1524)+IF(AND(N(E1525)&lt;&gt;0,K1525=TAHUN,N(J1525)&lt;=BLN,OR(C1525=BB_AKUN,D1525=BB_AKUN)),1,0)</f>
        <v>877</v>
      </c>
      <c r="R1525" s="104" t="str">
        <f aca="false">IF(OR(C1525&amp;D1525="",N(E1525)=0),"",IF(OR(O1525="?",P1525="?"),"⚠ akun tidak dikenal",IF(C1525=D1525,"⚠ debet = kredit","")))</f>
        <v/>
      </c>
    </row>
    <row r="1526" customFormat="false" ht="15" hidden="false" customHeight="false" outlineLevel="0" collapsed="false">
      <c r="A1526" s="5"/>
      <c r="B1526" s="83"/>
      <c r="C1526" s="5"/>
      <c r="D1526" s="5"/>
      <c r="E1526" s="44"/>
      <c r="F1526" s="5"/>
      <c r="G1526" s="5"/>
      <c r="H1526" s="5"/>
      <c r="I1526" s="5"/>
      <c r="J1526" s="102" t="str">
        <f aca="false">IF(B1526="","",MONTH(B1526))</f>
        <v/>
      </c>
      <c r="K1526" s="102" t="str">
        <f aca="false">IF(B1526="","",YEAR(B1526))</f>
        <v/>
      </c>
      <c r="L1526" s="102" t="str">
        <f aca="false">IF(N(E1526)=0,"",IF(COUNTIFS(AK_NAMA,C1526,AK_KAT,"KAS")+COUNTIFS(AK_NAMA,D1526,AK_KAT,"KAS")&lt;&gt;1,"",IF(COUNTIFS(AK_NAMA,C1526,AK_KAT,"KAS")=1,D1526,C1526)))</f>
        <v/>
      </c>
      <c r="M1526" s="103" t="n">
        <f aca="false">IF(L1526="",0,IF(L1526=D1526,E1526,-E1526))</f>
        <v>0</v>
      </c>
      <c r="N1526" s="102" t="str">
        <f aca="false">IF(L1526="","",IFERROR(INDEX(AK_BARIS,MATCH(L1526,AK_NAMA,0)),"?"))</f>
        <v/>
      </c>
      <c r="O1526" s="102" t="str">
        <f aca="false">IF(C1526="","",IFERROR(INDEX(AK_KEL,MATCH(C1526,AK_NAMA,0)),"?"))</f>
        <v/>
      </c>
      <c r="P1526" s="102" t="str">
        <f aca="false">IF(D1526="","",IFERROR(INDEX(AK_KEL,MATCH(D1526,AK_NAMA,0)),"?"))</f>
        <v/>
      </c>
      <c r="Q1526" s="102" t="n">
        <f aca="false">N(Q1525)+IF(AND(N(E1526)&lt;&gt;0,K1526=TAHUN,N(J1526)&lt;=BLN,OR(C1526=BB_AKUN,D1526=BB_AKUN)),1,0)</f>
        <v>877</v>
      </c>
      <c r="R1526" s="104" t="str">
        <f aca="false">IF(OR(C1526&amp;D1526="",N(E1526)=0),"",IF(OR(O1526="?",P1526="?"),"⚠ akun tidak dikenal",IF(C1526=D1526,"⚠ debet = kredit","")))</f>
        <v/>
      </c>
    </row>
    <row r="1527" customFormat="false" ht="15" hidden="false" customHeight="false" outlineLevel="0" collapsed="false">
      <c r="A1527" s="5"/>
      <c r="B1527" s="83"/>
      <c r="C1527" s="5"/>
      <c r="D1527" s="5"/>
      <c r="E1527" s="44"/>
      <c r="F1527" s="5"/>
      <c r="G1527" s="5"/>
      <c r="H1527" s="5"/>
      <c r="I1527" s="5"/>
      <c r="J1527" s="102" t="str">
        <f aca="false">IF(B1527="","",MONTH(B1527))</f>
        <v/>
      </c>
      <c r="K1527" s="102" t="str">
        <f aca="false">IF(B1527="","",YEAR(B1527))</f>
        <v/>
      </c>
      <c r="L1527" s="102" t="str">
        <f aca="false">IF(N(E1527)=0,"",IF(COUNTIFS(AK_NAMA,C1527,AK_KAT,"KAS")+COUNTIFS(AK_NAMA,D1527,AK_KAT,"KAS")&lt;&gt;1,"",IF(COUNTIFS(AK_NAMA,C1527,AK_KAT,"KAS")=1,D1527,C1527)))</f>
        <v/>
      </c>
      <c r="M1527" s="103" t="n">
        <f aca="false">IF(L1527="",0,IF(L1527=D1527,E1527,-E1527))</f>
        <v>0</v>
      </c>
      <c r="N1527" s="102" t="str">
        <f aca="false">IF(L1527="","",IFERROR(INDEX(AK_BARIS,MATCH(L1527,AK_NAMA,0)),"?"))</f>
        <v/>
      </c>
      <c r="O1527" s="102" t="str">
        <f aca="false">IF(C1527="","",IFERROR(INDEX(AK_KEL,MATCH(C1527,AK_NAMA,0)),"?"))</f>
        <v/>
      </c>
      <c r="P1527" s="102" t="str">
        <f aca="false">IF(D1527="","",IFERROR(INDEX(AK_KEL,MATCH(D1527,AK_NAMA,0)),"?"))</f>
        <v/>
      </c>
      <c r="Q1527" s="102" t="n">
        <f aca="false">N(Q1526)+IF(AND(N(E1527)&lt;&gt;0,K1527=TAHUN,N(J1527)&lt;=BLN,OR(C1527=BB_AKUN,D1527=BB_AKUN)),1,0)</f>
        <v>877</v>
      </c>
      <c r="R1527" s="104" t="str">
        <f aca="false">IF(OR(C1527&amp;D1527="",N(E1527)=0),"",IF(OR(O1527="?",P1527="?"),"⚠ akun tidak dikenal",IF(C1527=D1527,"⚠ debet = kredit","")))</f>
        <v/>
      </c>
    </row>
    <row r="1528" customFormat="false" ht="15" hidden="false" customHeight="false" outlineLevel="0" collapsed="false">
      <c r="A1528" s="5"/>
      <c r="B1528" s="83"/>
      <c r="C1528" s="5"/>
      <c r="D1528" s="5"/>
      <c r="E1528" s="44"/>
      <c r="F1528" s="5"/>
      <c r="G1528" s="5"/>
      <c r="H1528" s="5"/>
      <c r="I1528" s="5"/>
      <c r="J1528" s="102" t="str">
        <f aca="false">IF(B1528="","",MONTH(B1528))</f>
        <v/>
      </c>
      <c r="K1528" s="102" t="str">
        <f aca="false">IF(B1528="","",YEAR(B1528))</f>
        <v/>
      </c>
      <c r="L1528" s="102" t="str">
        <f aca="false">IF(N(E1528)=0,"",IF(COUNTIFS(AK_NAMA,C1528,AK_KAT,"KAS")+COUNTIFS(AK_NAMA,D1528,AK_KAT,"KAS")&lt;&gt;1,"",IF(COUNTIFS(AK_NAMA,C1528,AK_KAT,"KAS")=1,D1528,C1528)))</f>
        <v/>
      </c>
      <c r="M1528" s="103" t="n">
        <f aca="false">IF(L1528="",0,IF(L1528=D1528,E1528,-E1528))</f>
        <v>0</v>
      </c>
      <c r="N1528" s="102" t="str">
        <f aca="false">IF(L1528="","",IFERROR(INDEX(AK_BARIS,MATCH(L1528,AK_NAMA,0)),"?"))</f>
        <v/>
      </c>
      <c r="O1528" s="102" t="str">
        <f aca="false">IF(C1528="","",IFERROR(INDEX(AK_KEL,MATCH(C1528,AK_NAMA,0)),"?"))</f>
        <v/>
      </c>
      <c r="P1528" s="102" t="str">
        <f aca="false">IF(D1528="","",IFERROR(INDEX(AK_KEL,MATCH(D1528,AK_NAMA,0)),"?"))</f>
        <v/>
      </c>
      <c r="Q1528" s="102" t="n">
        <f aca="false">N(Q1527)+IF(AND(N(E1528)&lt;&gt;0,K1528=TAHUN,N(J1528)&lt;=BLN,OR(C1528=BB_AKUN,D1528=BB_AKUN)),1,0)</f>
        <v>877</v>
      </c>
      <c r="R1528" s="104" t="str">
        <f aca="false">IF(OR(C1528&amp;D1528="",N(E1528)=0),"",IF(OR(O1528="?",P1528="?"),"⚠ akun tidak dikenal",IF(C1528=D1528,"⚠ debet = kredit","")))</f>
        <v/>
      </c>
    </row>
    <row r="1529" customFormat="false" ht="15" hidden="false" customHeight="false" outlineLevel="0" collapsed="false">
      <c r="A1529" s="5"/>
      <c r="B1529" s="83"/>
      <c r="C1529" s="5"/>
      <c r="D1529" s="5"/>
      <c r="E1529" s="44"/>
      <c r="F1529" s="5"/>
      <c r="G1529" s="5"/>
      <c r="H1529" s="5"/>
      <c r="I1529" s="5"/>
      <c r="J1529" s="102" t="str">
        <f aca="false">IF(B1529="","",MONTH(B1529))</f>
        <v/>
      </c>
      <c r="K1529" s="102" t="str">
        <f aca="false">IF(B1529="","",YEAR(B1529))</f>
        <v/>
      </c>
      <c r="L1529" s="102" t="str">
        <f aca="false">IF(N(E1529)=0,"",IF(COUNTIFS(AK_NAMA,C1529,AK_KAT,"KAS")+COUNTIFS(AK_NAMA,D1529,AK_KAT,"KAS")&lt;&gt;1,"",IF(COUNTIFS(AK_NAMA,C1529,AK_KAT,"KAS")=1,D1529,C1529)))</f>
        <v/>
      </c>
      <c r="M1529" s="103" t="n">
        <f aca="false">IF(L1529="",0,IF(L1529=D1529,E1529,-E1529))</f>
        <v>0</v>
      </c>
      <c r="N1529" s="102" t="str">
        <f aca="false">IF(L1529="","",IFERROR(INDEX(AK_BARIS,MATCH(L1529,AK_NAMA,0)),"?"))</f>
        <v/>
      </c>
      <c r="O1529" s="102" t="str">
        <f aca="false">IF(C1529="","",IFERROR(INDEX(AK_KEL,MATCH(C1529,AK_NAMA,0)),"?"))</f>
        <v/>
      </c>
      <c r="P1529" s="102" t="str">
        <f aca="false">IF(D1529="","",IFERROR(INDEX(AK_KEL,MATCH(D1529,AK_NAMA,0)),"?"))</f>
        <v/>
      </c>
      <c r="Q1529" s="102" t="n">
        <f aca="false">N(Q1528)+IF(AND(N(E1529)&lt;&gt;0,K1529=TAHUN,N(J1529)&lt;=BLN,OR(C1529=BB_AKUN,D1529=BB_AKUN)),1,0)</f>
        <v>877</v>
      </c>
      <c r="R1529" s="104" t="str">
        <f aca="false">IF(OR(C1529&amp;D1529="",N(E1529)=0),"",IF(OR(O1529="?",P1529="?"),"⚠ akun tidak dikenal",IF(C1529=D1529,"⚠ debet = kredit","")))</f>
        <v/>
      </c>
    </row>
    <row r="1530" customFormat="false" ht="15" hidden="false" customHeight="false" outlineLevel="0" collapsed="false">
      <c r="A1530" s="5"/>
      <c r="B1530" s="83"/>
      <c r="C1530" s="5"/>
      <c r="D1530" s="5"/>
      <c r="E1530" s="44"/>
      <c r="F1530" s="5"/>
      <c r="G1530" s="5"/>
      <c r="H1530" s="5"/>
      <c r="I1530" s="5"/>
      <c r="J1530" s="102" t="str">
        <f aca="false">IF(B1530="","",MONTH(B1530))</f>
        <v/>
      </c>
      <c r="K1530" s="102" t="str">
        <f aca="false">IF(B1530="","",YEAR(B1530))</f>
        <v/>
      </c>
      <c r="L1530" s="102" t="str">
        <f aca="false">IF(N(E1530)=0,"",IF(COUNTIFS(AK_NAMA,C1530,AK_KAT,"KAS")+COUNTIFS(AK_NAMA,D1530,AK_KAT,"KAS")&lt;&gt;1,"",IF(COUNTIFS(AK_NAMA,C1530,AK_KAT,"KAS")=1,D1530,C1530)))</f>
        <v/>
      </c>
      <c r="M1530" s="103" t="n">
        <f aca="false">IF(L1530="",0,IF(L1530=D1530,E1530,-E1530))</f>
        <v>0</v>
      </c>
      <c r="N1530" s="102" t="str">
        <f aca="false">IF(L1530="","",IFERROR(INDEX(AK_BARIS,MATCH(L1530,AK_NAMA,0)),"?"))</f>
        <v/>
      </c>
      <c r="O1530" s="102" t="str">
        <f aca="false">IF(C1530="","",IFERROR(INDEX(AK_KEL,MATCH(C1530,AK_NAMA,0)),"?"))</f>
        <v/>
      </c>
      <c r="P1530" s="102" t="str">
        <f aca="false">IF(D1530="","",IFERROR(INDEX(AK_KEL,MATCH(D1530,AK_NAMA,0)),"?"))</f>
        <v/>
      </c>
      <c r="Q1530" s="102" t="n">
        <f aca="false">N(Q1529)+IF(AND(N(E1530)&lt;&gt;0,K1530=TAHUN,N(J1530)&lt;=BLN,OR(C1530=BB_AKUN,D1530=BB_AKUN)),1,0)</f>
        <v>877</v>
      </c>
      <c r="R1530" s="104" t="str">
        <f aca="false">IF(OR(C1530&amp;D1530="",N(E1530)=0),"",IF(OR(O1530="?",P1530="?"),"⚠ akun tidak dikenal",IF(C1530=D1530,"⚠ debet = kredit","")))</f>
        <v/>
      </c>
    </row>
    <row r="1531" customFormat="false" ht="15" hidden="false" customHeight="false" outlineLevel="0" collapsed="false">
      <c r="A1531" s="5"/>
      <c r="B1531" s="83"/>
      <c r="C1531" s="5"/>
      <c r="D1531" s="5"/>
      <c r="E1531" s="44"/>
      <c r="F1531" s="5"/>
      <c r="G1531" s="5"/>
      <c r="H1531" s="5"/>
      <c r="I1531" s="5"/>
      <c r="J1531" s="102" t="str">
        <f aca="false">IF(B1531="","",MONTH(B1531))</f>
        <v/>
      </c>
      <c r="K1531" s="102" t="str">
        <f aca="false">IF(B1531="","",YEAR(B1531))</f>
        <v/>
      </c>
      <c r="L1531" s="102" t="str">
        <f aca="false">IF(N(E1531)=0,"",IF(COUNTIFS(AK_NAMA,C1531,AK_KAT,"KAS")+COUNTIFS(AK_NAMA,D1531,AK_KAT,"KAS")&lt;&gt;1,"",IF(COUNTIFS(AK_NAMA,C1531,AK_KAT,"KAS")=1,D1531,C1531)))</f>
        <v/>
      </c>
      <c r="M1531" s="103" t="n">
        <f aca="false">IF(L1531="",0,IF(L1531=D1531,E1531,-E1531))</f>
        <v>0</v>
      </c>
      <c r="N1531" s="102" t="str">
        <f aca="false">IF(L1531="","",IFERROR(INDEX(AK_BARIS,MATCH(L1531,AK_NAMA,0)),"?"))</f>
        <v/>
      </c>
      <c r="O1531" s="102" t="str">
        <f aca="false">IF(C1531="","",IFERROR(INDEX(AK_KEL,MATCH(C1531,AK_NAMA,0)),"?"))</f>
        <v/>
      </c>
      <c r="P1531" s="102" t="str">
        <f aca="false">IF(D1531="","",IFERROR(INDEX(AK_KEL,MATCH(D1531,AK_NAMA,0)),"?"))</f>
        <v/>
      </c>
      <c r="Q1531" s="102" t="n">
        <f aca="false">N(Q1530)+IF(AND(N(E1531)&lt;&gt;0,K1531=TAHUN,N(J1531)&lt;=BLN,OR(C1531=BB_AKUN,D1531=BB_AKUN)),1,0)</f>
        <v>877</v>
      </c>
      <c r="R1531" s="104" t="str">
        <f aca="false">IF(OR(C1531&amp;D1531="",N(E1531)=0),"",IF(OR(O1531="?",P1531="?"),"⚠ akun tidak dikenal",IF(C1531=D1531,"⚠ debet = kredit","")))</f>
        <v/>
      </c>
    </row>
    <row r="1532" customFormat="false" ht="15" hidden="false" customHeight="false" outlineLevel="0" collapsed="false">
      <c r="A1532" s="5"/>
      <c r="B1532" s="83"/>
      <c r="C1532" s="5"/>
      <c r="D1532" s="5"/>
      <c r="E1532" s="44"/>
      <c r="F1532" s="5"/>
      <c r="G1532" s="5"/>
      <c r="H1532" s="5"/>
      <c r="I1532" s="5"/>
      <c r="J1532" s="102" t="str">
        <f aca="false">IF(B1532="","",MONTH(B1532))</f>
        <v/>
      </c>
      <c r="K1532" s="102" t="str">
        <f aca="false">IF(B1532="","",YEAR(B1532))</f>
        <v/>
      </c>
      <c r="L1532" s="102" t="str">
        <f aca="false">IF(N(E1532)=0,"",IF(COUNTIFS(AK_NAMA,C1532,AK_KAT,"KAS")+COUNTIFS(AK_NAMA,D1532,AK_KAT,"KAS")&lt;&gt;1,"",IF(COUNTIFS(AK_NAMA,C1532,AK_KAT,"KAS")=1,D1532,C1532)))</f>
        <v/>
      </c>
      <c r="M1532" s="103" t="n">
        <f aca="false">IF(L1532="",0,IF(L1532=D1532,E1532,-E1532))</f>
        <v>0</v>
      </c>
      <c r="N1532" s="102" t="str">
        <f aca="false">IF(L1532="","",IFERROR(INDEX(AK_BARIS,MATCH(L1532,AK_NAMA,0)),"?"))</f>
        <v/>
      </c>
      <c r="O1532" s="102" t="str">
        <f aca="false">IF(C1532="","",IFERROR(INDEX(AK_KEL,MATCH(C1532,AK_NAMA,0)),"?"))</f>
        <v/>
      </c>
      <c r="P1532" s="102" t="str">
        <f aca="false">IF(D1532="","",IFERROR(INDEX(AK_KEL,MATCH(D1532,AK_NAMA,0)),"?"))</f>
        <v/>
      </c>
      <c r="Q1532" s="102" t="n">
        <f aca="false">N(Q1531)+IF(AND(N(E1532)&lt;&gt;0,K1532=TAHUN,N(J1532)&lt;=BLN,OR(C1532=BB_AKUN,D1532=BB_AKUN)),1,0)</f>
        <v>877</v>
      </c>
      <c r="R1532" s="104" t="str">
        <f aca="false">IF(OR(C1532&amp;D1532="",N(E1532)=0),"",IF(OR(O1532="?",P1532="?"),"⚠ akun tidak dikenal",IF(C1532=D1532,"⚠ debet = kredit","")))</f>
        <v/>
      </c>
    </row>
    <row r="1533" customFormat="false" ht="15" hidden="false" customHeight="false" outlineLevel="0" collapsed="false">
      <c r="A1533" s="5"/>
      <c r="B1533" s="83"/>
      <c r="C1533" s="5"/>
      <c r="D1533" s="5"/>
      <c r="E1533" s="44"/>
      <c r="F1533" s="5"/>
      <c r="G1533" s="5"/>
      <c r="H1533" s="5"/>
      <c r="I1533" s="5"/>
      <c r="J1533" s="102" t="str">
        <f aca="false">IF(B1533="","",MONTH(B1533))</f>
        <v/>
      </c>
      <c r="K1533" s="102" t="str">
        <f aca="false">IF(B1533="","",YEAR(B1533))</f>
        <v/>
      </c>
      <c r="L1533" s="102" t="str">
        <f aca="false">IF(N(E1533)=0,"",IF(COUNTIFS(AK_NAMA,C1533,AK_KAT,"KAS")+COUNTIFS(AK_NAMA,D1533,AK_KAT,"KAS")&lt;&gt;1,"",IF(COUNTIFS(AK_NAMA,C1533,AK_KAT,"KAS")=1,D1533,C1533)))</f>
        <v/>
      </c>
      <c r="M1533" s="103" t="n">
        <f aca="false">IF(L1533="",0,IF(L1533=D1533,E1533,-E1533))</f>
        <v>0</v>
      </c>
      <c r="N1533" s="102" t="str">
        <f aca="false">IF(L1533="","",IFERROR(INDEX(AK_BARIS,MATCH(L1533,AK_NAMA,0)),"?"))</f>
        <v/>
      </c>
      <c r="O1533" s="102" t="str">
        <f aca="false">IF(C1533="","",IFERROR(INDEX(AK_KEL,MATCH(C1533,AK_NAMA,0)),"?"))</f>
        <v/>
      </c>
      <c r="P1533" s="102" t="str">
        <f aca="false">IF(D1533="","",IFERROR(INDEX(AK_KEL,MATCH(D1533,AK_NAMA,0)),"?"))</f>
        <v/>
      </c>
      <c r="Q1533" s="102" t="n">
        <f aca="false">N(Q1532)+IF(AND(N(E1533)&lt;&gt;0,K1533=TAHUN,N(J1533)&lt;=BLN,OR(C1533=BB_AKUN,D1533=BB_AKUN)),1,0)</f>
        <v>877</v>
      </c>
      <c r="R1533" s="104" t="str">
        <f aca="false">IF(OR(C1533&amp;D1533="",N(E1533)=0),"",IF(OR(O1533="?",P1533="?"),"⚠ akun tidak dikenal",IF(C1533=D1533,"⚠ debet = kredit","")))</f>
        <v/>
      </c>
    </row>
    <row r="1534" customFormat="false" ht="15" hidden="false" customHeight="false" outlineLevel="0" collapsed="false">
      <c r="A1534" s="5"/>
      <c r="B1534" s="83"/>
      <c r="C1534" s="5"/>
      <c r="D1534" s="5"/>
      <c r="E1534" s="44"/>
      <c r="F1534" s="5"/>
      <c r="G1534" s="5"/>
      <c r="H1534" s="5"/>
      <c r="I1534" s="5"/>
      <c r="J1534" s="102" t="str">
        <f aca="false">IF(B1534="","",MONTH(B1534))</f>
        <v/>
      </c>
      <c r="K1534" s="102" t="str">
        <f aca="false">IF(B1534="","",YEAR(B1534))</f>
        <v/>
      </c>
      <c r="L1534" s="102" t="str">
        <f aca="false">IF(N(E1534)=0,"",IF(COUNTIFS(AK_NAMA,C1534,AK_KAT,"KAS")+COUNTIFS(AK_NAMA,D1534,AK_KAT,"KAS")&lt;&gt;1,"",IF(COUNTIFS(AK_NAMA,C1534,AK_KAT,"KAS")=1,D1534,C1534)))</f>
        <v/>
      </c>
      <c r="M1534" s="103" t="n">
        <f aca="false">IF(L1534="",0,IF(L1534=D1534,E1534,-E1534))</f>
        <v>0</v>
      </c>
      <c r="N1534" s="102" t="str">
        <f aca="false">IF(L1534="","",IFERROR(INDEX(AK_BARIS,MATCH(L1534,AK_NAMA,0)),"?"))</f>
        <v/>
      </c>
      <c r="O1534" s="102" t="str">
        <f aca="false">IF(C1534="","",IFERROR(INDEX(AK_KEL,MATCH(C1534,AK_NAMA,0)),"?"))</f>
        <v/>
      </c>
      <c r="P1534" s="102" t="str">
        <f aca="false">IF(D1534="","",IFERROR(INDEX(AK_KEL,MATCH(D1534,AK_NAMA,0)),"?"))</f>
        <v/>
      </c>
      <c r="Q1534" s="102" t="n">
        <f aca="false">N(Q1533)+IF(AND(N(E1534)&lt;&gt;0,K1534=TAHUN,N(J1534)&lt;=BLN,OR(C1534=BB_AKUN,D1534=BB_AKUN)),1,0)</f>
        <v>877</v>
      </c>
      <c r="R1534" s="104" t="str">
        <f aca="false">IF(OR(C1534&amp;D1534="",N(E1534)=0),"",IF(OR(O1534="?",P1534="?"),"⚠ akun tidak dikenal",IF(C1534=D1534,"⚠ debet = kredit","")))</f>
        <v/>
      </c>
    </row>
    <row r="1535" customFormat="false" ht="15" hidden="false" customHeight="false" outlineLevel="0" collapsed="false">
      <c r="A1535" s="5"/>
      <c r="B1535" s="83"/>
      <c r="C1535" s="5"/>
      <c r="D1535" s="5"/>
      <c r="E1535" s="44"/>
      <c r="F1535" s="5"/>
      <c r="G1535" s="5"/>
      <c r="H1535" s="5"/>
      <c r="I1535" s="5"/>
      <c r="J1535" s="102" t="str">
        <f aca="false">IF(B1535="","",MONTH(B1535))</f>
        <v/>
      </c>
      <c r="K1535" s="102" t="str">
        <f aca="false">IF(B1535="","",YEAR(B1535))</f>
        <v/>
      </c>
      <c r="L1535" s="102" t="str">
        <f aca="false">IF(N(E1535)=0,"",IF(COUNTIFS(AK_NAMA,C1535,AK_KAT,"KAS")+COUNTIFS(AK_NAMA,D1535,AK_KAT,"KAS")&lt;&gt;1,"",IF(COUNTIFS(AK_NAMA,C1535,AK_KAT,"KAS")=1,D1535,C1535)))</f>
        <v/>
      </c>
      <c r="M1535" s="103" t="n">
        <f aca="false">IF(L1535="",0,IF(L1535=D1535,E1535,-E1535))</f>
        <v>0</v>
      </c>
      <c r="N1535" s="102" t="str">
        <f aca="false">IF(L1535="","",IFERROR(INDEX(AK_BARIS,MATCH(L1535,AK_NAMA,0)),"?"))</f>
        <v/>
      </c>
      <c r="O1535" s="102" t="str">
        <f aca="false">IF(C1535="","",IFERROR(INDEX(AK_KEL,MATCH(C1535,AK_NAMA,0)),"?"))</f>
        <v/>
      </c>
      <c r="P1535" s="102" t="str">
        <f aca="false">IF(D1535="","",IFERROR(INDEX(AK_KEL,MATCH(D1535,AK_NAMA,0)),"?"))</f>
        <v/>
      </c>
      <c r="Q1535" s="102" t="n">
        <f aca="false">N(Q1534)+IF(AND(N(E1535)&lt;&gt;0,K1535=TAHUN,N(J1535)&lt;=BLN,OR(C1535=BB_AKUN,D1535=BB_AKUN)),1,0)</f>
        <v>877</v>
      </c>
      <c r="R1535" s="104" t="str">
        <f aca="false">IF(OR(C1535&amp;D1535="",N(E1535)=0),"",IF(OR(O1535="?",P1535="?"),"⚠ akun tidak dikenal",IF(C1535=D1535,"⚠ debet = kredit","")))</f>
        <v/>
      </c>
    </row>
    <row r="1536" customFormat="false" ht="15" hidden="false" customHeight="false" outlineLevel="0" collapsed="false">
      <c r="A1536" s="5"/>
      <c r="B1536" s="83"/>
      <c r="C1536" s="5"/>
      <c r="D1536" s="5"/>
      <c r="E1536" s="44"/>
      <c r="F1536" s="5"/>
      <c r="G1536" s="5"/>
      <c r="H1536" s="5"/>
      <c r="I1536" s="5"/>
      <c r="J1536" s="102" t="str">
        <f aca="false">IF(B1536="","",MONTH(B1536))</f>
        <v/>
      </c>
      <c r="K1536" s="102" t="str">
        <f aca="false">IF(B1536="","",YEAR(B1536))</f>
        <v/>
      </c>
      <c r="L1536" s="102" t="str">
        <f aca="false">IF(N(E1536)=0,"",IF(COUNTIFS(AK_NAMA,C1536,AK_KAT,"KAS")+COUNTIFS(AK_NAMA,D1536,AK_KAT,"KAS")&lt;&gt;1,"",IF(COUNTIFS(AK_NAMA,C1536,AK_KAT,"KAS")=1,D1536,C1536)))</f>
        <v/>
      </c>
      <c r="M1536" s="103" t="n">
        <f aca="false">IF(L1536="",0,IF(L1536=D1536,E1536,-E1536))</f>
        <v>0</v>
      </c>
      <c r="N1536" s="102" t="str">
        <f aca="false">IF(L1536="","",IFERROR(INDEX(AK_BARIS,MATCH(L1536,AK_NAMA,0)),"?"))</f>
        <v/>
      </c>
      <c r="O1536" s="102" t="str">
        <f aca="false">IF(C1536="","",IFERROR(INDEX(AK_KEL,MATCH(C1536,AK_NAMA,0)),"?"))</f>
        <v/>
      </c>
      <c r="P1536" s="102" t="str">
        <f aca="false">IF(D1536="","",IFERROR(INDEX(AK_KEL,MATCH(D1536,AK_NAMA,0)),"?"))</f>
        <v/>
      </c>
      <c r="Q1536" s="102" t="n">
        <f aca="false">N(Q1535)+IF(AND(N(E1536)&lt;&gt;0,K1536=TAHUN,N(J1536)&lt;=BLN,OR(C1536=BB_AKUN,D1536=BB_AKUN)),1,0)</f>
        <v>877</v>
      </c>
      <c r="R1536" s="104" t="str">
        <f aca="false">IF(OR(C1536&amp;D1536="",N(E1536)=0),"",IF(OR(O1536="?",P1536="?"),"⚠ akun tidak dikenal",IF(C1536=D1536,"⚠ debet = kredit","")))</f>
        <v/>
      </c>
    </row>
    <row r="1537" customFormat="false" ht="15" hidden="false" customHeight="false" outlineLevel="0" collapsed="false">
      <c r="A1537" s="5"/>
      <c r="B1537" s="83"/>
      <c r="C1537" s="5"/>
      <c r="D1537" s="5"/>
      <c r="E1537" s="44"/>
      <c r="F1537" s="5"/>
      <c r="G1537" s="5"/>
      <c r="H1537" s="5"/>
      <c r="I1537" s="5"/>
      <c r="J1537" s="102" t="str">
        <f aca="false">IF(B1537="","",MONTH(B1537))</f>
        <v/>
      </c>
      <c r="K1537" s="102" t="str">
        <f aca="false">IF(B1537="","",YEAR(B1537))</f>
        <v/>
      </c>
      <c r="L1537" s="102" t="str">
        <f aca="false">IF(N(E1537)=0,"",IF(COUNTIFS(AK_NAMA,C1537,AK_KAT,"KAS")+COUNTIFS(AK_NAMA,D1537,AK_KAT,"KAS")&lt;&gt;1,"",IF(COUNTIFS(AK_NAMA,C1537,AK_KAT,"KAS")=1,D1537,C1537)))</f>
        <v/>
      </c>
      <c r="M1537" s="103" t="n">
        <f aca="false">IF(L1537="",0,IF(L1537=D1537,E1537,-E1537))</f>
        <v>0</v>
      </c>
      <c r="N1537" s="102" t="str">
        <f aca="false">IF(L1537="","",IFERROR(INDEX(AK_BARIS,MATCH(L1537,AK_NAMA,0)),"?"))</f>
        <v/>
      </c>
      <c r="O1537" s="102" t="str">
        <f aca="false">IF(C1537="","",IFERROR(INDEX(AK_KEL,MATCH(C1537,AK_NAMA,0)),"?"))</f>
        <v/>
      </c>
      <c r="P1537" s="102" t="str">
        <f aca="false">IF(D1537="","",IFERROR(INDEX(AK_KEL,MATCH(D1537,AK_NAMA,0)),"?"))</f>
        <v/>
      </c>
      <c r="Q1537" s="102" t="n">
        <f aca="false">N(Q1536)+IF(AND(N(E1537)&lt;&gt;0,K1537=TAHUN,N(J1537)&lt;=BLN,OR(C1537=BB_AKUN,D1537=BB_AKUN)),1,0)</f>
        <v>877</v>
      </c>
      <c r="R1537" s="104" t="str">
        <f aca="false">IF(OR(C1537&amp;D1537="",N(E1537)=0),"",IF(OR(O1537="?",P1537="?"),"⚠ akun tidak dikenal",IF(C1537=D1537,"⚠ debet = kredit","")))</f>
        <v/>
      </c>
    </row>
    <row r="1538" customFormat="false" ht="15" hidden="false" customHeight="false" outlineLevel="0" collapsed="false">
      <c r="A1538" s="5"/>
      <c r="B1538" s="83"/>
      <c r="C1538" s="5"/>
      <c r="D1538" s="5"/>
      <c r="E1538" s="44"/>
      <c r="F1538" s="5"/>
      <c r="G1538" s="5"/>
      <c r="H1538" s="5"/>
      <c r="I1538" s="5"/>
      <c r="J1538" s="102" t="str">
        <f aca="false">IF(B1538="","",MONTH(B1538))</f>
        <v/>
      </c>
      <c r="K1538" s="102" t="str">
        <f aca="false">IF(B1538="","",YEAR(B1538))</f>
        <v/>
      </c>
      <c r="L1538" s="102" t="str">
        <f aca="false">IF(N(E1538)=0,"",IF(COUNTIFS(AK_NAMA,C1538,AK_KAT,"KAS")+COUNTIFS(AK_NAMA,D1538,AK_KAT,"KAS")&lt;&gt;1,"",IF(COUNTIFS(AK_NAMA,C1538,AK_KAT,"KAS")=1,D1538,C1538)))</f>
        <v/>
      </c>
      <c r="M1538" s="103" t="n">
        <f aca="false">IF(L1538="",0,IF(L1538=D1538,E1538,-E1538))</f>
        <v>0</v>
      </c>
      <c r="N1538" s="102" t="str">
        <f aca="false">IF(L1538="","",IFERROR(INDEX(AK_BARIS,MATCH(L1538,AK_NAMA,0)),"?"))</f>
        <v/>
      </c>
      <c r="O1538" s="102" t="str">
        <f aca="false">IF(C1538="","",IFERROR(INDEX(AK_KEL,MATCH(C1538,AK_NAMA,0)),"?"))</f>
        <v/>
      </c>
      <c r="P1538" s="102" t="str">
        <f aca="false">IF(D1538="","",IFERROR(INDEX(AK_KEL,MATCH(D1538,AK_NAMA,0)),"?"))</f>
        <v/>
      </c>
      <c r="Q1538" s="102" t="n">
        <f aca="false">N(Q1537)+IF(AND(N(E1538)&lt;&gt;0,K1538=TAHUN,N(J1538)&lt;=BLN,OR(C1538=BB_AKUN,D1538=BB_AKUN)),1,0)</f>
        <v>877</v>
      </c>
      <c r="R1538" s="104" t="str">
        <f aca="false">IF(OR(C1538&amp;D1538="",N(E1538)=0),"",IF(OR(O1538="?",P1538="?"),"⚠ akun tidak dikenal",IF(C1538=D1538,"⚠ debet = kredit","")))</f>
        <v/>
      </c>
    </row>
    <row r="1539" customFormat="false" ht="15" hidden="false" customHeight="false" outlineLevel="0" collapsed="false">
      <c r="A1539" s="5"/>
      <c r="B1539" s="83"/>
      <c r="C1539" s="5"/>
      <c r="D1539" s="5"/>
      <c r="E1539" s="44"/>
      <c r="F1539" s="5"/>
      <c r="G1539" s="5"/>
      <c r="H1539" s="5"/>
      <c r="I1539" s="5"/>
      <c r="J1539" s="102" t="str">
        <f aca="false">IF(B1539="","",MONTH(B1539))</f>
        <v/>
      </c>
      <c r="K1539" s="102" t="str">
        <f aca="false">IF(B1539="","",YEAR(B1539))</f>
        <v/>
      </c>
      <c r="L1539" s="102" t="str">
        <f aca="false">IF(N(E1539)=0,"",IF(COUNTIFS(AK_NAMA,C1539,AK_KAT,"KAS")+COUNTIFS(AK_NAMA,D1539,AK_KAT,"KAS")&lt;&gt;1,"",IF(COUNTIFS(AK_NAMA,C1539,AK_KAT,"KAS")=1,D1539,C1539)))</f>
        <v/>
      </c>
      <c r="M1539" s="103" t="n">
        <f aca="false">IF(L1539="",0,IF(L1539=D1539,E1539,-E1539))</f>
        <v>0</v>
      </c>
      <c r="N1539" s="102" t="str">
        <f aca="false">IF(L1539="","",IFERROR(INDEX(AK_BARIS,MATCH(L1539,AK_NAMA,0)),"?"))</f>
        <v/>
      </c>
      <c r="O1539" s="102" t="str">
        <f aca="false">IF(C1539="","",IFERROR(INDEX(AK_KEL,MATCH(C1539,AK_NAMA,0)),"?"))</f>
        <v/>
      </c>
      <c r="P1539" s="102" t="str">
        <f aca="false">IF(D1539="","",IFERROR(INDEX(AK_KEL,MATCH(D1539,AK_NAMA,0)),"?"))</f>
        <v/>
      </c>
      <c r="Q1539" s="102" t="n">
        <f aca="false">N(Q1538)+IF(AND(N(E1539)&lt;&gt;0,K1539=TAHUN,N(J1539)&lt;=BLN,OR(C1539=BB_AKUN,D1539=BB_AKUN)),1,0)</f>
        <v>877</v>
      </c>
      <c r="R1539" s="104" t="str">
        <f aca="false">IF(OR(C1539&amp;D1539="",N(E1539)=0),"",IF(OR(O1539="?",P1539="?"),"⚠ akun tidak dikenal",IF(C1539=D1539,"⚠ debet = kredit","")))</f>
        <v/>
      </c>
    </row>
    <row r="1540" customFormat="false" ht="15" hidden="false" customHeight="false" outlineLevel="0" collapsed="false">
      <c r="A1540" s="5"/>
      <c r="B1540" s="83"/>
      <c r="C1540" s="5"/>
      <c r="D1540" s="5"/>
      <c r="E1540" s="44"/>
      <c r="F1540" s="5"/>
      <c r="G1540" s="5"/>
      <c r="H1540" s="5"/>
      <c r="I1540" s="5"/>
      <c r="J1540" s="102" t="str">
        <f aca="false">IF(B1540="","",MONTH(B1540))</f>
        <v/>
      </c>
      <c r="K1540" s="102" t="str">
        <f aca="false">IF(B1540="","",YEAR(B1540))</f>
        <v/>
      </c>
      <c r="L1540" s="102" t="str">
        <f aca="false">IF(N(E1540)=0,"",IF(COUNTIFS(AK_NAMA,C1540,AK_KAT,"KAS")+COUNTIFS(AK_NAMA,D1540,AK_KAT,"KAS")&lt;&gt;1,"",IF(COUNTIFS(AK_NAMA,C1540,AK_KAT,"KAS")=1,D1540,C1540)))</f>
        <v/>
      </c>
      <c r="M1540" s="103" t="n">
        <f aca="false">IF(L1540="",0,IF(L1540=D1540,E1540,-E1540))</f>
        <v>0</v>
      </c>
      <c r="N1540" s="102" t="str">
        <f aca="false">IF(L1540="","",IFERROR(INDEX(AK_BARIS,MATCH(L1540,AK_NAMA,0)),"?"))</f>
        <v/>
      </c>
      <c r="O1540" s="102" t="str">
        <f aca="false">IF(C1540="","",IFERROR(INDEX(AK_KEL,MATCH(C1540,AK_NAMA,0)),"?"))</f>
        <v/>
      </c>
      <c r="P1540" s="102" t="str">
        <f aca="false">IF(D1540="","",IFERROR(INDEX(AK_KEL,MATCH(D1540,AK_NAMA,0)),"?"))</f>
        <v/>
      </c>
      <c r="Q1540" s="102" t="n">
        <f aca="false">N(Q1539)+IF(AND(N(E1540)&lt;&gt;0,K1540=TAHUN,N(J1540)&lt;=BLN,OR(C1540=BB_AKUN,D1540=BB_AKUN)),1,0)</f>
        <v>877</v>
      </c>
      <c r="R1540" s="104" t="str">
        <f aca="false">IF(OR(C1540&amp;D1540="",N(E1540)=0),"",IF(OR(O1540="?",P1540="?"),"⚠ akun tidak dikenal",IF(C1540=D1540,"⚠ debet = kredit","")))</f>
        <v/>
      </c>
    </row>
    <row r="1541" customFormat="false" ht="15" hidden="false" customHeight="false" outlineLevel="0" collapsed="false">
      <c r="A1541" s="5"/>
      <c r="B1541" s="83"/>
      <c r="C1541" s="5"/>
      <c r="D1541" s="5"/>
      <c r="E1541" s="44"/>
      <c r="F1541" s="5"/>
      <c r="G1541" s="5"/>
      <c r="H1541" s="5"/>
      <c r="I1541" s="5"/>
      <c r="J1541" s="102" t="str">
        <f aca="false">IF(B1541="","",MONTH(B1541))</f>
        <v/>
      </c>
      <c r="K1541" s="102" t="str">
        <f aca="false">IF(B1541="","",YEAR(B1541))</f>
        <v/>
      </c>
      <c r="L1541" s="102" t="str">
        <f aca="false">IF(N(E1541)=0,"",IF(COUNTIFS(AK_NAMA,C1541,AK_KAT,"KAS")+COUNTIFS(AK_NAMA,D1541,AK_KAT,"KAS")&lt;&gt;1,"",IF(COUNTIFS(AK_NAMA,C1541,AK_KAT,"KAS")=1,D1541,C1541)))</f>
        <v/>
      </c>
      <c r="M1541" s="103" t="n">
        <f aca="false">IF(L1541="",0,IF(L1541=D1541,E1541,-E1541))</f>
        <v>0</v>
      </c>
      <c r="N1541" s="102" t="str">
        <f aca="false">IF(L1541="","",IFERROR(INDEX(AK_BARIS,MATCH(L1541,AK_NAMA,0)),"?"))</f>
        <v/>
      </c>
      <c r="O1541" s="102" t="str">
        <f aca="false">IF(C1541="","",IFERROR(INDEX(AK_KEL,MATCH(C1541,AK_NAMA,0)),"?"))</f>
        <v/>
      </c>
      <c r="P1541" s="102" t="str">
        <f aca="false">IF(D1541="","",IFERROR(INDEX(AK_KEL,MATCH(D1541,AK_NAMA,0)),"?"))</f>
        <v/>
      </c>
      <c r="Q1541" s="102" t="n">
        <f aca="false">N(Q1540)+IF(AND(N(E1541)&lt;&gt;0,K1541=TAHUN,N(J1541)&lt;=BLN,OR(C1541=BB_AKUN,D1541=BB_AKUN)),1,0)</f>
        <v>877</v>
      </c>
      <c r="R1541" s="104" t="str">
        <f aca="false">IF(OR(C1541&amp;D1541="",N(E1541)=0),"",IF(OR(O1541="?",P1541="?"),"⚠ akun tidak dikenal",IF(C1541=D1541,"⚠ debet = kredit","")))</f>
        <v/>
      </c>
    </row>
    <row r="1542" customFormat="false" ht="15" hidden="false" customHeight="false" outlineLevel="0" collapsed="false">
      <c r="A1542" s="5"/>
      <c r="B1542" s="83"/>
      <c r="C1542" s="5"/>
      <c r="D1542" s="5"/>
      <c r="E1542" s="44"/>
      <c r="F1542" s="5"/>
      <c r="G1542" s="5"/>
      <c r="H1542" s="5"/>
      <c r="I1542" s="5"/>
      <c r="J1542" s="102" t="str">
        <f aca="false">IF(B1542="","",MONTH(B1542))</f>
        <v/>
      </c>
      <c r="K1542" s="102" t="str">
        <f aca="false">IF(B1542="","",YEAR(B1542))</f>
        <v/>
      </c>
      <c r="L1542" s="102" t="str">
        <f aca="false">IF(N(E1542)=0,"",IF(COUNTIFS(AK_NAMA,C1542,AK_KAT,"KAS")+COUNTIFS(AK_NAMA,D1542,AK_KAT,"KAS")&lt;&gt;1,"",IF(COUNTIFS(AK_NAMA,C1542,AK_KAT,"KAS")=1,D1542,C1542)))</f>
        <v/>
      </c>
      <c r="M1542" s="103" t="n">
        <f aca="false">IF(L1542="",0,IF(L1542=D1542,E1542,-E1542))</f>
        <v>0</v>
      </c>
      <c r="N1542" s="102" t="str">
        <f aca="false">IF(L1542="","",IFERROR(INDEX(AK_BARIS,MATCH(L1542,AK_NAMA,0)),"?"))</f>
        <v/>
      </c>
      <c r="O1542" s="102" t="str">
        <f aca="false">IF(C1542="","",IFERROR(INDEX(AK_KEL,MATCH(C1542,AK_NAMA,0)),"?"))</f>
        <v/>
      </c>
      <c r="P1542" s="102" t="str">
        <f aca="false">IF(D1542="","",IFERROR(INDEX(AK_KEL,MATCH(D1542,AK_NAMA,0)),"?"))</f>
        <v/>
      </c>
      <c r="Q1542" s="102" t="n">
        <f aca="false">N(Q1541)+IF(AND(N(E1542)&lt;&gt;0,K1542=TAHUN,N(J1542)&lt;=BLN,OR(C1542=BB_AKUN,D1542=BB_AKUN)),1,0)</f>
        <v>877</v>
      </c>
      <c r="R1542" s="104" t="str">
        <f aca="false">IF(OR(C1542&amp;D1542="",N(E1542)=0),"",IF(OR(O1542="?",P1542="?"),"⚠ akun tidak dikenal",IF(C1542=D1542,"⚠ debet = kredit","")))</f>
        <v/>
      </c>
    </row>
    <row r="1543" customFormat="false" ht="15" hidden="false" customHeight="false" outlineLevel="0" collapsed="false">
      <c r="A1543" s="5"/>
      <c r="B1543" s="83"/>
      <c r="C1543" s="5"/>
      <c r="D1543" s="5"/>
      <c r="E1543" s="44"/>
      <c r="F1543" s="5"/>
      <c r="G1543" s="5"/>
      <c r="H1543" s="5"/>
      <c r="I1543" s="5"/>
      <c r="J1543" s="102" t="str">
        <f aca="false">IF(B1543="","",MONTH(B1543))</f>
        <v/>
      </c>
      <c r="K1543" s="102" t="str">
        <f aca="false">IF(B1543="","",YEAR(B1543))</f>
        <v/>
      </c>
      <c r="L1543" s="102" t="str">
        <f aca="false">IF(N(E1543)=0,"",IF(COUNTIFS(AK_NAMA,C1543,AK_KAT,"KAS")+COUNTIFS(AK_NAMA,D1543,AK_KAT,"KAS")&lt;&gt;1,"",IF(COUNTIFS(AK_NAMA,C1543,AK_KAT,"KAS")=1,D1543,C1543)))</f>
        <v/>
      </c>
      <c r="M1543" s="103" t="n">
        <f aca="false">IF(L1543="",0,IF(L1543=D1543,E1543,-E1543))</f>
        <v>0</v>
      </c>
      <c r="N1543" s="102" t="str">
        <f aca="false">IF(L1543="","",IFERROR(INDEX(AK_BARIS,MATCH(L1543,AK_NAMA,0)),"?"))</f>
        <v/>
      </c>
      <c r="O1543" s="102" t="str">
        <f aca="false">IF(C1543="","",IFERROR(INDEX(AK_KEL,MATCH(C1543,AK_NAMA,0)),"?"))</f>
        <v/>
      </c>
      <c r="P1543" s="102" t="str">
        <f aca="false">IF(D1543="","",IFERROR(INDEX(AK_KEL,MATCH(D1543,AK_NAMA,0)),"?"))</f>
        <v/>
      </c>
      <c r="Q1543" s="102" t="n">
        <f aca="false">N(Q1542)+IF(AND(N(E1543)&lt;&gt;0,K1543=TAHUN,N(J1543)&lt;=BLN,OR(C1543=BB_AKUN,D1543=BB_AKUN)),1,0)</f>
        <v>877</v>
      </c>
      <c r="R1543" s="104" t="str">
        <f aca="false">IF(OR(C1543&amp;D1543="",N(E1543)=0),"",IF(OR(O1543="?",P1543="?"),"⚠ akun tidak dikenal",IF(C1543=D1543,"⚠ debet = kredit","")))</f>
        <v/>
      </c>
    </row>
    <row r="1544" customFormat="false" ht="15" hidden="false" customHeight="false" outlineLevel="0" collapsed="false">
      <c r="A1544" s="5"/>
      <c r="B1544" s="83"/>
      <c r="C1544" s="5"/>
      <c r="D1544" s="5"/>
      <c r="E1544" s="44"/>
      <c r="F1544" s="5"/>
      <c r="G1544" s="5"/>
      <c r="H1544" s="5"/>
      <c r="I1544" s="5"/>
      <c r="J1544" s="102" t="str">
        <f aca="false">IF(B1544="","",MONTH(B1544))</f>
        <v/>
      </c>
      <c r="K1544" s="102" t="str">
        <f aca="false">IF(B1544="","",YEAR(B1544))</f>
        <v/>
      </c>
      <c r="L1544" s="102" t="str">
        <f aca="false">IF(N(E1544)=0,"",IF(COUNTIFS(AK_NAMA,C1544,AK_KAT,"KAS")+COUNTIFS(AK_NAMA,D1544,AK_KAT,"KAS")&lt;&gt;1,"",IF(COUNTIFS(AK_NAMA,C1544,AK_KAT,"KAS")=1,D1544,C1544)))</f>
        <v/>
      </c>
      <c r="M1544" s="103" t="n">
        <f aca="false">IF(L1544="",0,IF(L1544=D1544,E1544,-E1544))</f>
        <v>0</v>
      </c>
      <c r="N1544" s="102" t="str">
        <f aca="false">IF(L1544="","",IFERROR(INDEX(AK_BARIS,MATCH(L1544,AK_NAMA,0)),"?"))</f>
        <v/>
      </c>
      <c r="O1544" s="102" t="str">
        <f aca="false">IF(C1544="","",IFERROR(INDEX(AK_KEL,MATCH(C1544,AK_NAMA,0)),"?"))</f>
        <v/>
      </c>
      <c r="P1544" s="102" t="str">
        <f aca="false">IF(D1544="","",IFERROR(INDEX(AK_KEL,MATCH(D1544,AK_NAMA,0)),"?"))</f>
        <v/>
      </c>
      <c r="Q1544" s="102" t="n">
        <f aca="false">N(Q1543)+IF(AND(N(E1544)&lt;&gt;0,K1544=TAHUN,N(J1544)&lt;=BLN,OR(C1544=BB_AKUN,D1544=BB_AKUN)),1,0)</f>
        <v>877</v>
      </c>
      <c r="R1544" s="104" t="str">
        <f aca="false">IF(OR(C1544&amp;D1544="",N(E1544)=0),"",IF(OR(O1544="?",P1544="?"),"⚠ akun tidak dikenal",IF(C1544=D1544,"⚠ debet = kredit","")))</f>
        <v/>
      </c>
    </row>
    <row r="1545" customFormat="false" ht="15" hidden="false" customHeight="false" outlineLevel="0" collapsed="false">
      <c r="A1545" s="5"/>
      <c r="B1545" s="83"/>
      <c r="C1545" s="5"/>
      <c r="D1545" s="5"/>
      <c r="E1545" s="44"/>
      <c r="F1545" s="5"/>
      <c r="G1545" s="5"/>
      <c r="H1545" s="5"/>
      <c r="I1545" s="5"/>
      <c r="J1545" s="102" t="str">
        <f aca="false">IF(B1545="","",MONTH(B1545))</f>
        <v/>
      </c>
      <c r="K1545" s="102" t="str">
        <f aca="false">IF(B1545="","",YEAR(B1545))</f>
        <v/>
      </c>
      <c r="L1545" s="102" t="str">
        <f aca="false">IF(N(E1545)=0,"",IF(COUNTIFS(AK_NAMA,C1545,AK_KAT,"KAS")+COUNTIFS(AK_NAMA,D1545,AK_KAT,"KAS")&lt;&gt;1,"",IF(COUNTIFS(AK_NAMA,C1545,AK_KAT,"KAS")=1,D1545,C1545)))</f>
        <v/>
      </c>
      <c r="M1545" s="103" t="n">
        <f aca="false">IF(L1545="",0,IF(L1545=D1545,E1545,-E1545))</f>
        <v>0</v>
      </c>
      <c r="N1545" s="102" t="str">
        <f aca="false">IF(L1545="","",IFERROR(INDEX(AK_BARIS,MATCH(L1545,AK_NAMA,0)),"?"))</f>
        <v/>
      </c>
      <c r="O1545" s="102" t="str">
        <f aca="false">IF(C1545="","",IFERROR(INDEX(AK_KEL,MATCH(C1545,AK_NAMA,0)),"?"))</f>
        <v/>
      </c>
      <c r="P1545" s="102" t="str">
        <f aca="false">IF(D1545="","",IFERROR(INDEX(AK_KEL,MATCH(D1545,AK_NAMA,0)),"?"))</f>
        <v/>
      </c>
      <c r="Q1545" s="102" t="n">
        <f aca="false">N(Q1544)+IF(AND(N(E1545)&lt;&gt;0,K1545=TAHUN,N(J1545)&lt;=BLN,OR(C1545=BB_AKUN,D1545=BB_AKUN)),1,0)</f>
        <v>877</v>
      </c>
      <c r="R1545" s="104" t="str">
        <f aca="false">IF(OR(C1545&amp;D1545="",N(E1545)=0),"",IF(OR(O1545="?",P1545="?"),"⚠ akun tidak dikenal",IF(C1545=D1545,"⚠ debet = kredit","")))</f>
        <v/>
      </c>
    </row>
    <row r="1546" customFormat="false" ht="15" hidden="false" customHeight="false" outlineLevel="0" collapsed="false">
      <c r="A1546" s="5"/>
      <c r="B1546" s="83"/>
      <c r="C1546" s="5"/>
      <c r="D1546" s="5"/>
      <c r="E1546" s="44"/>
      <c r="F1546" s="5"/>
      <c r="G1546" s="5"/>
      <c r="H1546" s="5"/>
      <c r="I1546" s="5"/>
      <c r="J1546" s="102" t="str">
        <f aca="false">IF(B1546="","",MONTH(B1546))</f>
        <v/>
      </c>
      <c r="K1546" s="102" t="str">
        <f aca="false">IF(B1546="","",YEAR(B1546))</f>
        <v/>
      </c>
      <c r="L1546" s="102" t="str">
        <f aca="false">IF(N(E1546)=0,"",IF(COUNTIFS(AK_NAMA,C1546,AK_KAT,"KAS")+COUNTIFS(AK_NAMA,D1546,AK_KAT,"KAS")&lt;&gt;1,"",IF(COUNTIFS(AK_NAMA,C1546,AK_KAT,"KAS")=1,D1546,C1546)))</f>
        <v/>
      </c>
      <c r="M1546" s="103" t="n">
        <f aca="false">IF(L1546="",0,IF(L1546=D1546,E1546,-E1546))</f>
        <v>0</v>
      </c>
      <c r="N1546" s="102" t="str">
        <f aca="false">IF(L1546="","",IFERROR(INDEX(AK_BARIS,MATCH(L1546,AK_NAMA,0)),"?"))</f>
        <v/>
      </c>
      <c r="O1546" s="102" t="str">
        <f aca="false">IF(C1546="","",IFERROR(INDEX(AK_KEL,MATCH(C1546,AK_NAMA,0)),"?"))</f>
        <v/>
      </c>
      <c r="P1546" s="102" t="str">
        <f aca="false">IF(D1546="","",IFERROR(INDEX(AK_KEL,MATCH(D1546,AK_NAMA,0)),"?"))</f>
        <v/>
      </c>
      <c r="Q1546" s="102" t="n">
        <f aca="false">N(Q1545)+IF(AND(N(E1546)&lt;&gt;0,K1546=TAHUN,N(J1546)&lt;=BLN,OR(C1546=BB_AKUN,D1546=BB_AKUN)),1,0)</f>
        <v>877</v>
      </c>
      <c r="R1546" s="104" t="str">
        <f aca="false">IF(OR(C1546&amp;D1546="",N(E1546)=0),"",IF(OR(O1546="?",P1546="?"),"⚠ akun tidak dikenal",IF(C1546=D1546,"⚠ debet = kredit","")))</f>
        <v/>
      </c>
    </row>
    <row r="1547" customFormat="false" ht="15" hidden="false" customHeight="false" outlineLevel="0" collapsed="false">
      <c r="A1547" s="5"/>
      <c r="B1547" s="83"/>
      <c r="C1547" s="5"/>
      <c r="D1547" s="5"/>
      <c r="E1547" s="44"/>
      <c r="F1547" s="5"/>
      <c r="G1547" s="5"/>
      <c r="H1547" s="5"/>
      <c r="I1547" s="5"/>
      <c r="J1547" s="102" t="str">
        <f aca="false">IF(B1547="","",MONTH(B1547))</f>
        <v/>
      </c>
      <c r="K1547" s="102" t="str">
        <f aca="false">IF(B1547="","",YEAR(B1547))</f>
        <v/>
      </c>
      <c r="L1547" s="102" t="str">
        <f aca="false">IF(N(E1547)=0,"",IF(COUNTIFS(AK_NAMA,C1547,AK_KAT,"KAS")+COUNTIFS(AK_NAMA,D1547,AK_KAT,"KAS")&lt;&gt;1,"",IF(COUNTIFS(AK_NAMA,C1547,AK_KAT,"KAS")=1,D1547,C1547)))</f>
        <v/>
      </c>
      <c r="M1547" s="103" t="n">
        <f aca="false">IF(L1547="",0,IF(L1547=D1547,E1547,-E1547))</f>
        <v>0</v>
      </c>
      <c r="N1547" s="102" t="str">
        <f aca="false">IF(L1547="","",IFERROR(INDEX(AK_BARIS,MATCH(L1547,AK_NAMA,0)),"?"))</f>
        <v/>
      </c>
      <c r="O1547" s="102" t="str">
        <f aca="false">IF(C1547="","",IFERROR(INDEX(AK_KEL,MATCH(C1547,AK_NAMA,0)),"?"))</f>
        <v/>
      </c>
      <c r="P1547" s="102" t="str">
        <f aca="false">IF(D1547="","",IFERROR(INDEX(AK_KEL,MATCH(D1547,AK_NAMA,0)),"?"))</f>
        <v/>
      </c>
      <c r="Q1547" s="102" t="n">
        <f aca="false">N(Q1546)+IF(AND(N(E1547)&lt;&gt;0,K1547=TAHUN,N(J1547)&lt;=BLN,OR(C1547=BB_AKUN,D1547=BB_AKUN)),1,0)</f>
        <v>877</v>
      </c>
      <c r="R1547" s="104" t="str">
        <f aca="false">IF(OR(C1547&amp;D1547="",N(E1547)=0),"",IF(OR(O1547="?",P1547="?"),"⚠ akun tidak dikenal",IF(C1547=D1547,"⚠ debet = kredit","")))</f>
        <v/>
      </c>
    </row>
    <row r="1548" customFormat="false" ht="15" hidden="false" customHeight="false" outlineLevel="0" collapsed="false">
      <c r="A1548" s="5"/>
      <c r="B1548" s="83"/>
      <c r="C1548" s="5"/>
      <c r="D1548" s="5"/>
      <c r="E1548" s="44"/>
      <c r="F1548" s="5"/>
      <c r="G1548" s="5"/>
      <c r="H1548" s="5"/>
      <c r="I1548" s="5"/>
      <c r="J1548" s="102" t="str">
        <f aca="false">IF(B1548="","",MONTH(B1548))</f>
        <v/>
      </c>
      <c r="K1548" s="102" t="str">
        <f aca="false">IF(B1548="","",YEAR(B1548))</f>
        <v/>
      </c>
      <c r="L1548" s="102" t="str">
        <f aca="false">IF(N(E1548)=0,"",IF(COUNTIFS(AK_NAMA,C1548,AK_KAT,"KAS")+COUNTIFS(AK_NAMA,D1548,AK_KAT,"KAS")&lt;&gt;1,"",IF(COUNTIFS(AK_NAMA,C1548,AK_KAT,"KAS")=1,D1548,C1548)))</f>
        <v/>
      </c>
      <c r="M1548" s="103" t="n">
        <f aca="false">IF(L1548="",0,IF(L1548=D1548,E1548,-E1548))</f>
        <v>0</v>
      </c>
      <c r="N1548" s="102" t="str">
        <f aca="false">IF(L1548="","",IFERROR(INDEX(AK_BARIS,MATCH(L1548,AK_NAMA,0)),"?"))</f>
        <v/>
      </c>
      <c r="O1548" s="102" t="str">
        <f aca="false">IF(C1548="","",IFERROR(INDEX(AK_KEL,MATCH(C1548,AK_NAMA,0)),"?"))</f>
        <v/>
      </c>
      <c r="P1548" s="102" t="str">
        <f aca="false">IF(D1548="","",IFERROR(INDEX(AK_KEL,MATCH(D1548,AK_NAMA,0)),"?"))</f>
        <v/>
      </c>
      <c r="Q1548" s="102" t="n">
        <f aca="false">N(Q1547)+IF(AND(N(E1548)&lt;&gt;0,K1548=TAHUN,N(J1548)&lt;=BLN,OR(C1548=BB_AKUN,D1548=BB_AKUN)),1,0)</f>
        <v>877</v>
      </c>
      <c r="R1548" s="104" t="str">
        <f aca="false">IF(OR(C1548&amp;D1548="",N(E1548)=0),"",IF(OR(O1548="?",P1548="?"),"⚠ akun tidak dikenal",IF(C1548=D1548,"⚠ debet = kredit","")))</f>
        <v/>
      </c>
    </row>
    <row r="1549" customFormat="false" ht="15" hidden="false" customHeight="false" outlineLevel="0" collapsed="false">
      <c r="A1549" s="5"/>
      <c r="B1549" s="83"/>
      <c r="C1549" s="5"/>
      <c r="D1549" s="5"/>
      <c r="E1549" s="44"/>
      <c r="F1549" s="5"/>
      <c r="G1549" s="5"/>
      <c r="H1549" s="5"/>
      <c r="I1549" s="5"/>
      <c r="J1549" s="102" t="str">
        <f aca="false">IF(B1549="","",MONTH(B1549))</f>
        <v/>
      </c>
      <c r="K1549" s="102" t="str">
        <f aca="false">IF(B1549="","",YEAR(B1549))</f>
        <v/>
      </c>
      <c r="L1549" s="102" t="str">
        <f aca="false">IF(N(E1549)=0,"",IF(COUNTIFS(AK_NAMA,C1549,AK_KAT,"KAS")+COUNTIFS(AK_NAMA,D1549,AK_KAT,"KAS")&lt;&gt;1,"",IF(COUNTIFS(AK_NAMA,C1549,AK_KAT,"KAS")=1,D1549,C1549)))</f>
        <v/>
      </c>
      <c r="M1549" s="103" t="n">
        <f aca="false">IF(L1549="",0,IF(L1549=D1549,E1549,-E1549))</f>
        <v>0</v>
      </c>
      <c r="N1549" s="102" t="str">
        <f aca="false">IF(L1549="","",IFERROR(INDEX(AK_BARIS,MATCH(L1549,AK_NAMA,0)),"?"))</f>
        <v/>
      </c>
      <c r="O1549" s="102" t="str">
        <f aca="false">IF(C1549="","",IFERROR(INDEX(AK_KEL,MATCH(C1549,AK_NAMA,0)),"?"))</f>
        <v/>
      </c>
      <c r="P1549" s="102" t="str">
        <f aca="false">IF(D1549="","",IFERROR(INDEX(AK_KEL,MATCH(D1549,AK_NAMA,0)),"?"))</f>
        <v/>
      </c>
      <c r="Q1549" s="102" t="n">
        <f aca="false">N(Q1548)+IF(AND(N(E1549)&lt;&gt;0,K1549=TAHUN,N(J1549)&lt;=BLN,OR(C1549=BB_AKUN,D1549=BB_AKUN)),1,0)</f>
        <v>877</v>
      </c>
      <c r="R1549" s="104" t="str">
        <f aca="false">IF(OR(C1549&amp;D1549="",N(E1549)=0),"",IF(OR(O1549="?",P1549="?"),"⚠ akun tidak dikenal",IF(C1549=D1549,"⚠ debet = kredit","")))</f>
        <v/>
      </c>
    </row>
    <row r="1550" customFormat="false" ht="15" hidden="false" customHeight="false" outlineLevel="0" collapsed="false">
      <c r="A1550" s="5"/>
      <c r="B1550" s="83"/>
      <c r="C1550" s="5"/>
      <c r="D1550" s="5"/>
      <c r="E1550" s="44"/>
      <c r="F1550" s="5"/>
      <c r="G1550" s="5"/>
      <c r="H1550" s="5"/>
      <c r="I1550" s="5"/>
      <c r="J1550" s="102" t="str">
        <f aca="false">IF(B1550="","",MONTH(B1550))</f>
        <v/>
      </c>
      <c r="K1550" s="102" t="str">
        <f aca="false">IF(B1550="","",YEAR(B1550))</f>
        <v/>
      </c>
      <c r="L1550" s="102" t="str">
        <f aca="false">IF(N(E1550)=0,"",IF(COUNTIFS(AK_NAMA,C1550,AK_KAT,"KAS")+COUNTIFS(AK_NAMA,D1550,AK_KAT,"KAS")&lt;&gt;1,"",IF(COUNTIFS(AK_NAMA,C1550,AK_KAT,"KAS")=1,D1550,C1550)))</f>
        <v/>
      </c>
      <c r="M1550" s="103" t="n">
        <f aca="false">IF(L1550="",0,IF(L1550=D1550,E1550,-E1550))</f>
        <v>0</v>
      </c>
      <c r="N1550" s="102" t="str">
        <f aca="false">IF(L1550="","",IFERROR(INDEX(AK_BARIS,MATCH(L1550,AK_NAMA,0)),"?"))</f>
        <v/>
      </c>
      <c r="O1550" s="102" t="str">
        <f aca="false">IF(C1550="","",IFERROR(INDEX(AK_KEL,MATCH(C1550,AK_NAMA,0)),"?"))</f>
        <v/>
      </c>
      <c r="P1550" s="102" t="str">
        <f aca="false">IF(D1550="","",IFERROR(INDEX(AK_KEL,MATCH(D1550,AK_NAMA,0)),"?"))</f>
        <v/>
      </c>
      <c r="Q1550" s="102" t="n">
        <f aca="false">N(Q1549)+IF(AND(N(E1550)&lt;&gt;0,K1550=TAHUN,N(J1550)&lt;=BLN,OR(C1550=BB_AKUN,D1550=BB_AKUN)),1,0)</f>
        <v>877</v>
      </c>
      <c r="R1550" s="104" t="str">
        <f aca="false">IF(OR(C1550&amp;D1550="",N(E1550)=0),"",IF(OR(O1550="?",P1550="?"),"⚠ akun tidak dikenal",IF(C1550=D1550,"⚠ debet = kredit","")))</f>
        <v/>
      </c>
    </row>
    <row r="1551" customFormat="false" ht="15" hidden="false" customHeight="false" outlineLevel="0" collapsed="false">
      <c r="A1551" s="5"/>
      <c r="B1551" s="83"/>
      <c r="C1551" s="5"/>
      <c r="D1551" s="5"/>
      <c r="E1551" s="44"/>
      <c r="F1551" s="5"/>
      <c r="G1551" s="5"/>
      <c r="H1551" s="5"/>
      <c r="I1551" s="5"/>
      <c r="J1551" s="102" t="str">
        <f aca="false">IF(B1551="","",MONTH(B1551))</f>
        <v/>
      </c>
      <c r="K1551" s="102" t="str">
        <f aca="false">IF(B1551="","",YEAR(B1551))</f>
        <v/>
      </c>
      <c r="L1551" s="102" t="str">
        <f aca="false">IF(N(E1551)=0,"",IF(COUNTIFS(AK_NAMA,C1551,AK_KAT,"KAS")+COUNTIFS(AK_NAMA,D1551,AK_KAT,"KAS")&lt;&gt;1,"",IF(COUNTIFS(AK_NAMA,C1551,AK_KAT,"KAS")=1,D1551,C1551)))</f>
        <v/>
      </c>
      <c r="M1551" s="103" t="n">
        <f aca="false">IF(L1551="",0,IF(L1551=D1551,E1551,-E1551))</f>
        <v>0</v>
      </c>
      <c r="N1551" s="102" t="str">
        <f aca="false">IF(L1551="","",IFERROR(INDEX(AK_BARIS,MATCH(L1551,AK_NAMA,0)),"?"))</f>
        <v/>
      </c>
      <c r="O1551" s="102" t="str">
        <f aca="false">IF(C1551="","",IFERROR(INDEX(AK_KEL,MATCH(C1551,AK_NAMA,0)),"?"))</f>
        <v/>
      </c>
      <c r="P1551" s="102" t="str">
        <f aca="false">IF(D1551="","",IFERROR(INDEX(AK_KEL,MATCH(D1551,AK_NAMA,0)),"?"))</f>
        <v/>
      </c>
      <c r="Q1551" s="102" t="n">
        <f aca="false">N(Q1550)+IF(AND(N(E1551)&lt;&gt;0,K1551=TAHUN,N(J1551)&lt;=BLN,OR(C1551=BB_AKUN,D1551=BB_AKUN)),1,0)</f>
        <v>877</v>
      </c>
      <c r="R1551" s="104" t="str">
        <f aca="false">IF(OR(C1551&amp;D1551="",N(E1551)=0),"",IF(OR(O1551="?",P1551="?"),"⚠ akun tidak dikenal",IF(C1551=D1551,"⚠ debet = kredit","")))</f>
        <v/>
      </c>
    </row>
    <row r="1552" customFormat="false" ht="15" hidden="false" customHeight="false" outlineLevel="0" collapsed="false">
      <c r="A1552" s="5"/>
      <c r="B1552" s="83"/>
      <c r="C1552" s="5"/>
      <c r="D1552" s="5"/>
      <c r="E1552" s="44"/>
      <c r="F1552" s="5"/>
      <c r="G1552" s="5"/>
      <c r="H1552" s="5"/>
      <c r="I1552" s="5"/>
      <c r="J1552" s="102" t="str">
        <f aca="false">IF(B1552="","",MONTH(B1552))</f>
        <v/>
      </c>
      <c r="K1552" s="102" t="str">
        <f aca="false">IF(B1552="","",YEAR(B1552))</f>
        <v/>
      </c>
      <c r="L1552" s="102" t="str">
        <f aca="false">IF(N(E1552)=0,"",IF(COUNTIFS(AK_NAMA,C1552,AK_KAT,"KAS")+COUNTIFS(AK_NAMA,D1552,AK_KAT,"KAS")&lt;&gt;1,"",IF(COUNTIFS(AK_NAMA,C1552,AK_KAT,"KAS")=1,D1552,C1552)))</f>
        <v/>
      </c>
      <c r="M1552" s="103" t="n">
        <f aca="false">IF(L1552="",0,IF(L1552=D1552,E1552,-E1552))</f>
        <v>0</v>
      </c>
      <c r="N1552" s="102" t="str">
        <f aca="false">IF(L1552="","",IFERROR(INDEX(AK_BARIS,MATCH(L1552,AK_NAMA,0)),"?"))</f>
        <v/>
      </c>
      <c r="O1552" s="102" t="str">
        <f aca="false">IF(C1552="","",IFERROR(INDEX(AK_KEL,MATCH(C1552,AK_NAMA,0)),"?"))</f>
        <v/>
      </c>
      <c r="P1552" s="102" t="str">
        <f aca="false">IF(D1552="","",IFERROR(INDEX(AK_KEL,MATCH(D1552,AK_NAMA,0)),"?"))</f>
        <v/>
      </c>
      <c r="Q1552" s="102" t="n">
        <f aca="false">N(Q1551)+IF(AND(N(E1552)&lt;&gt;0,K1552=TAHUN,N(J1552)&lt;=BLN,OR(C1552=BB_AKUN,D1552=BB_AKUN)),1,0)</f>
        <v>877</v>
      </c>
      <c r="R1552" s="104" t="str">
        <f aca="false">IF(OR(C1552&amp;D1552="",N(E1552)=0),"",IF(OR(O1552="?",P1552="?"),"⚠ akun tidak dikenal",IF(C1552=D1552,"⚠ debet = kredit","")))</f>
        <v/>
      </c>
    </row>
    <row r="1553" customFormat="false" ht="15" hidden="false" customHeight="false" outlineLevel="0" collapsed="false">
      <c r="A1553" s="5"/>
      <c r="B1553" s="83"/>
      <c r="C1553" s="5"/>
      <c r="D1553" s="5"/>
      <c r="E1553" s="44"/>
      <c r="F1553" s="5"/>
      <c r="G1553" s="5"/>
      <c r="H1553" s="5"/>
      <c r="I1553" s="5"/>
      <c r="J1553" s="102" t="str">
        <f aca="false">IF(B1553="","",MONTH(B1553))</f>
        <v/>
      </c>
      <c r="K1553" s="102" t="str">
        <f aca="false">IF(B1553="","",YEAR(B1553))</f>
        <v/>
      </c>
      <c r="L1553" s="102" t="str">
        <f aca="false">IF(N(E1553)=0,"",IF(COUNTIFS(AK_NAMA,C1553,AK_KAT,"KAS")+COUNTIFS(AK_NAMA,D1553,AK_KAT,"KAS")&lt;&gt;1,"",IF(COUNTIFS(AK_NAMA,C1553,AK_KAT,"KAS")=1,D1553,C1553)))</f>
        <v/>
      </c>
      <c r="M1553" s="103" t="n">
        <f aca="false">IF(L1553="",0,IF(L1553=D1553,E1553,-E1553))</f>
        <v>0</v>
      </c>
      <c r="N1553" s="102" t="str">
        <f aca="false">IF(L1553="","",IFERROR(INDEX(AK_BARIS,MATCH(L1553,AK_NAMA,0)),"?"))</f>
        <v/>
      </c>
      <c r="O1553" s="102" t="str">
        <f aca="false">IF(C1553="","",IFERROR(INDEX(AK_KEL,MATCH(C1553,AK_NAMA,0)),"?"))</f>
        <v/>
      </c>
      <c r="P1553" s="102" t="str">
        <f aca="false">IF(D1553="","",IFERROR(INDEX(AK_KEL,MATCH(D1553,AK_NAMA,0)),"?"))</f>
        <v/>
      </c>
      <c r="Q1553" s="102" t="n">
        <f aca="false">N(Q1552)+IF(AND(N(E1553)&lt;&gt;0,K1553=TAHUN,N(J1553)&lt;=BLN,OR(C1553=BB_AKUN,D1553=BB_AKUN)),1,0)</f>
        <v>877</v>
      </c>
      <c r="R1553" s="104" t="str">
        <f aca="false">IF(OR(C1553&amp;D1553="",N(E1553)=0),"",IF(OR(O1553="?",P1553="?"),"⚠ akun tidak dikenal",IF(C1553=D1553,"⚠ debet = kredit","")))</f>
        <v/>
      </c>
    </row>
    <row r="1554" customFormat="false" ht="15" hidden="false" customHeight="false" outlineLevel="0" collapsed="false">
      <c r="A1554" s="5"/>
      <c r="B1554" s="83"/>
      <c r="C1554" s="5"/>
      <c r="D1554" s="5"/>
      <c r="E1554" s="44"/>
      <c r="F1554" s="5"/>
      <c r="G1554" s="5"/>
      <c r="H1554" s="5"/>
      <c r="I1554" s="5"/>
      <c r="J1554" s="102" t="str">
        <f aca="false">IF(B1554="","",MONTH(B1554))</f>
        <v/>
      </c>
      <c r="K1554" s="102" t="str">
        <f aca="false">IF(B1554="","",YEAR(B1554))</f>
        <v/>
      </c>
      <c r="L1554" s="102" t="str">
        <f aca="false">IF(N(E1554)=0,"",IF(COUNTIFS(AK_NAMA,C1554,AK_KAT,"KAS")+COUNTIFS(AK_NAMA,D1554,AK_KAT,"KAS")&lt;&gt;1,"",IF(COUNTIFS(AK_NAMA,C1554,AK_KAT,"KAS")=1,D1554,C1554)))</f>
        <v/>
      </c>
      <c r="M1554" s="103" t="n">
        <f aca="false">IF(L1554="",0,IF(L1554=D1554,E1554,-E1554))</f>
        <v>0</v>
      </c>
      <c r="N1554" s="102" t="str">
        <f aca="false">IF(L1554="","",IFERROR(INDEX(AK_BARIS,MATCH(L1554,AK_NAMA,0)),"?"))</f>
        <v/>
      </c>
      <c r="O1554" s="102" t="str">
        <f aca="false">IF(C1554="","",IFERROR(INDEX(AK_KEL,MATCH(C1554,AK_NAMA,0)),"?"))</f>
        <v/>
      </c>
      <c r="P1554" s="102" t="str">
        <f aca="false">IF(D1554="","",IFERROR(INDEX(AK_KEL,MATCH(D1554,AK_NAMA,0)),"?"))</f>
        <v/>
      </c>
      <c r="Q1554" s="102" t="n">
        <f aca="false">N(Q1553)+IF(AND(N(E1554)&lt;&gt;0,K1554=TAHUN,N(J1554)&lt;=BLN,OR(C1554=BB_AKUN,D1554=BB_AKUN)),1,0)</f>
        <v>877</v>
      </c>
      <c r="R1554" s="104" t="str">
        <f aca="false">IF(OR(C1554&amp;D1554="",N(E1554)=0),"",IF(OR(O1554="?",P1554="?"),"⚠ akun tidak dikenal",IF(C1554=D1554,"⚠ debet = kredit","")))</f>
        <v/>
      </c>
    </row>
    <row r="1555" customFormat="false" ht="15" hidden="false" customHeight="false" outlineLevel="0" collapsed="false">
      <c r="A1555" s="5"/>
      <c r="B1555" s="83"/>
      <c r="C1555" s="5"/>
      <c r="D1555" s="5"/>
      <c r="E1555" s="44"/>
      <c r="F1555" s="5"/>
      <c r="G1555" s="5"/>
      <c r="H1555" s="5"/>
      <c r="I1555" s="5"/>
      <c r="J1555" s="102" t="str">
        <f aca="false">IF(B1555="","",MONTH(B1555))</f>
        <v/>
      </c>
      <c r="K1555" s="102" t="str">
        <f aca="false">IF(B1555="","",YEAR(B1555))</f>
        <v/>
      </c>
      <c r="L1555" s="102" t="str">
        <f aca="false">IF(N(E1555)=0,"",IF(COUNTIFS(AK_NAMA,C1555,AK_KAT,"KAS")+COUNTIFS(AK_NAMA,D1555,AK_KAT,"KAS")&lt;&gt;1,"",IF(COUNTIFS(AK_NAMA,C1555,AK_KAT,"KAS")=1,D1555,C1555)))</f>
        <v/>
      </c>
      <c r="M1555" s="103" t="n">
        <f aca="false">IF(L1555="",0,IF(L1555=D1555,E1555,-E1555))</f>
        <v>0</v>
      </c>
      <c r="N1555" s="102" t="str">
        <f aca="false">IF(L1555="","",IFERROR(INDEX(AK_BARIS,MATCH(L1555,AK_NAMA,0)),"?"))</f>
        <v/>
      </c>
      <c r="O1555" s="102" t="str">
        <f aca="false">IF(C1555="","",IFERROR(INDEX(AK_KEL,MATCH(C1555,AK_NAMA,0)),"?"))</f>
        <v/>
      </c>
      <c r="P1555" s="102" t="str">
        <f aca="false">IF(D1555="","",IFERROR(INDEX(AK_KEL,MATCH(D1555,AK_NAMA,0)),"?"))</f>
        <v/>
      </c>
      <c r="Q1555" s="102" t="n">
        <f aca="false">N(Q1554)+IF(AND(N(E1555)&lt;&gt;0,K1555=TAHUN,N(J1555)&lt;=BLN,OR(C1555=BB_AKUN,D1555=BB_AKUN)),1,0)</f>
        <v>877</v>
      </c>
      <c r="R1555" s="104" t="str">
        <f aca="false">IF(OR(C1555&amp;D1555="",N(E1555)=0),"",IF(OR(O1555="?",P1555="?"),"⚠ akun tidak dikenal",IF(C1555=D1555,"⚠ debet = kredit","")))</f>
        <v/>
      </c>
    </row>
    <row r="1556" customFormat="false" ht="15" hidden="false" customHeight="false" outlineLevel="0" collapsed="false">
      <c r="A1556" s="5"/>
      <c r="B1556" s="83"/>
      <c r="C1556" s="5"/>
      <c r="D1556" s="5"/>
      <c r="E1556" s="44"/>
      <c r="F1556" s="5"/>
      <c r="G1556" s="5"/>
      <c r="H1556" s="5"/>
      <c r="I1556" s="5"/>
      <c r="J1556" s="102" t="str">
        <f aca="false">IF(B1556="","",MONTH(B1556))</f>
        <v/>
      </c>
      <c r="K1556" s="102" t="str">
        <f aca="false">IF(B1556="","",YEAR(B1556))</f>
        <v/>
      </c>
      <c r="L1556" s="102" t="str">
        <f aca="false">IF(N(E1556)=0,"",IF(COUNTIFS(AK_NAMA,C1556,AK_KAT,"KAS")+COUNTIFS(AK_NAMA,D1556,AK_KAT,"KAS")&lt;&gt;1,"",IF(COUNTIFS(AK_NAMA,C1556,AK_KAT,"KAS")=1,D1556,C1556)))</f>
        <v/>
      </c>
      <c r="M1556" s="103" t="n">
        <f aca="false">IF(L1556="",0,IF(L1556=D1556,E1556,-E1556))</f>
        <v>0</v>
      </c>
      <c r="N1556" s="102" t="str">
        <f aca="false">IF(L1556="","",IFERROR(INDEX(AK_BARIS,MATCH(L1556,AK_NAMA,0)),"?"))</f>
        <v/>
      </c>
      <c r="O1556" s="102" t="str">
        <f aca="false">IF(C1556="","",IFERROR(INDEX(AK_KEL,MATCH(C1556,AK_NAMA,0)),"?"))</f>
        <v/>
      </c>
      <c r="P1556" s="102" t="str">
        <f aca="false">IF(D1556="","",IFERROR(INDEX(AK_KEL,MATCH(D1556,AK_NAMA,0)),"?"))</f>
        <v/>
      </c>
      <c r="Q1556" s="102" t="n">
        <f aca="false">N(Q1555)+IF(AND(N(E1556)&lt;&gt;0,K1556=TAHUN,N(J1556)&lt;=BLN,OR(C1556=BB_AKUN,D1556=BB_AKUN)),1,0)</f>
        <v>877</v>
      </c>
      <c r="R1556" s="104" t="str">
        <f aca="false">IF(OR(C1556&amp;D1556="",N(E1556)=0),"",IF(OR(O1556="?",P1556="?"),"⚠ akun tidak dikenal",IF(C1556=D1556,"⚠ debet = kredit","")))</f>
        <v/>
      </c>
    </row>
    <row r="1557" customFormat="false" ht="15" hidden="false" customHeight="false" outlineLevel="0" collapsed="false">
      <c r="A1557" s="5"/>
      <c r="B1557" s="83"/>
      <c r="C1557" s="5"/>
      <c r="D1557" s="5"/>
      <c r="E1557" s="44"/>
      <c r="F1557" s="5"/>
      <c r="G1557" s="5"/>
      <c r="H1557" s="5"/>
      <c r="I1557" s="5"/>
      <c r="J1557" s="102" t="str">
        <f aca="false">IF(B1557="","",MONTH(B1557))</f>
        <v/>
      </c>
      <c r="K1557" s="102" t="str">
        <f aca="false">IF(B1557="","",YEAR(B1557))</f>
        <v/>
      </c>
      <c r="L1557" s="102" t="str">
        <f aca="false">IF(N(E1557)=0,"",IF(COUNTIFS(AK_NAMA,C1557,AK_KAT,"KAS")+COUNTIFS(AK_NAMA,D1557,AK_KAT,"KAS")&lt;&gt;1,"",IF(COUNTIFS(AK_NAMA,C1557,AK_KAT,"KAS")=1,D1557,C1557)))</f>
        <v/>
      </c>
      <c r="M1557" s="103" t="n">
        <f aca="false">IF(L1557="",0,IF(L1557=D1557,E1557,-E1557))</f>
        <v>0</v>
      </c>
      <c r="N1557" s="102" t="str">
        <f aca="false">IF(L1557="","",IFERROR(INDEX(AK_BARIS,MATCH(L1557,AK_NAMA,0)),"?"))</f>
        <v/>
      </c>
      <c r="O1557" s="102" t="str">
        <f aca="false">IF(C1557="","",IFERROR(INDEX(AK_KEL,MATCH(C1557,AK_NAMA,0)),"?"))</f>
        <v/>
      </c>
      <c r="P1557" s="102" t="str">
        <f aca="false">IF(D1557="","",IFERROR(INDEX(AK_KEL,MATCH(D1557,AK_NAMA,0)),"?"))</f>
        <v/>
      </c>
      <c r="Q1557" s="102" t="n">
        <f aca="false">N(Q1556)+IF(AND(N(E1557)&lt;&gt;0,K1557=TAHUN,N(J1557)&lt;=BLN,OR(C1557=BB_AKUN,D1557=BB_AKUN)),1,0)</f>
        <v>877</v>
      </c>
      <c r="R1557" s="104" t="str">
        <f aca="false">IF(OR(C1557&amp;D1557="",N(E1557)=0),"",IF(OR(O1557="?",P1557="?"),"⚠ akun tidak dikenal",IF(C1557=D1557,"⚠ debet = kredit","")))</f>
        <v/>
      </c>
    </row>
    <row r="1558" customFormat="false" ht="15" hidden="false" customHeight="false" outlineLevel="0" collapsed="false">
      <c r="A1558" s="5"/>
      <c r="B1558" s="83"/>
      <c r="C1558" s="5"/>
      <c r="D1558" s="5"/>
      <c r="E1558" s="44"/>
      <c r="F1558" s="5"/>
      <c r="G1558" s="5"/>
      <c r="H1558" s="5"/>
      <c r="I1558" s="5"/>
      <c r="J1558" s="102" t="str">
        <f aca="false">IF(B1558="","",MONTH(B1558))</f>
        <v/>
      </c>
      <c r="K1558" s="102" t="str">
        <f aca="false">IF(B1558="","",YEAR(B1558))</f>
        <v/>
      </c>
      <c r="L1558" s="102" t="str">
        <f aca="false">IF(N(E1558)=0,"",IF(COUNTIFS(AK_NAMA,C1558,AK_KAT,"KAS")+COUNTIFS(AK_NAMA,D1558,AK_KAT,"KAS")&lt;&gt;1,"",IF(COUNTIFS(AK_NAMA,C1558,AK_KAT,"KAS")=1,D1558,C1558)))</f>
        <v/>
      </c>
      <c r="M1558" s="103" t="n">
        <f aca="false">IF(L1558="",0,IF(L1558=D1558,E1558,-E1558))</f>
        <v>0</v>
      </c>
      <c r="N1558" s="102" t="str">
        <f aca="false">IF(L1558="","",IFERROR(INDEX(AK_BARIS,MATCH(L1558,AK_NAMA,0)),"?"))</f>
        <v/>
      </c>
      <c r="O1558" s="102" t="str">
        <f aca="false">IF(C1558="","",IFERROR(INDEX(AK_KEL,MATCH(C1558,AK_NAMA,0)),"?"))</f>
        <v/>
      </c>
      <c r="P1558" s="102" t="str">
        <f aca="false">IF(D1558="","",IFERROR(INDEX(AK_KEL,MATCH(D1558,AK_NAMA,0)),"?"))</f>
        <v/>
      </c>
      <c r="Q1558" s="102" t="n">
        <f aca="false">N(Q1557)+IF(AND(N(E1558)&lt;&gt;0,K1558=TAHUN,N(J1558)&lt;=BLN,OR(C1558=BB_AKUN,D1558=BB_AKUN)),1,0)</f>
        <v>877</v>
      </c>
      <c r="R1558" s="104" t="str">
        <f aca="false">IF(OR(C1558&amp;D1558="",N(E1558)=0),"",IF(OR(O1558="?",P1558="?"),"⚠ akun tidak dikenal",IF(C1558=D1558,"⚠ debet = kredit","")))</f>
        <v/>
      </c>
    </row>
    <row r="1559" customFormat="false" ht="15" hidden="false" customHeight="false" outlineLevel="0" collapsed="false">
      <c r="A1559" s="5"/>
      <c r="B1559" s="83"/>
      <c r="C1559" s="5"/>
      <c r="D1559" s="5"/>
      <c r="E1559" s="44"/>
      <c r="F1559" s="5"/>
      <c r="G1559" s="5"/>
      <c r="H1559" s="5"/>
      <c r="I1559" s="5"/>
      <c r="J1559" s="102" t="str">
        <f aca="false">IF(B1559="","",MONTH(B1559))</f>
        <v/>
      </c>
      <c r="K1559" s="102" t="str">
        <f aca="false">IF(B1559="","",YEAR(B1559))</f>
        <v/>
      </c>
      <c r="L1559" s="102" t="str">
        <f aca="false">IF(N(E1559)=0,"",IF(COUNTIFS(AK_NAMA,C1559,AK_KAT,"KAS")+COUNTIFS(AK_NAMA,D1559,AK_KAT,"KAS")&lt;&gt;1,"",IF(COUNTIFS(AK_NAMA,C1559,AK_KAT,"KAS")=1,D1559,C1559)))</f>
        <v/>
      </c>
      <c r="M1559" s="103" t="n">
        <f aca="false">IF(L1559="",0,IF(L1559=D1559,E1559,-E1559))</f>
        <v>0</v>
      </c>
      <c r="N1559" s="102" t="str">
        <f aca="false">IF(L1559="","",IFERROR(INDEX(AK_BARIS,MATCH(L1559,AK_NAMA,0)),"?"))</f>
        <v/>
      </c>
      <c r="O1559" s="102" t="str">
        <f aca="false">IF(C1559="","",IFERROR(INDEX(AK_KEL,MATCH(C1559,AK_NAMA,0)),"?"))</f>
        <v/>
      </c>
      <c r="P1559" s="102" t="str">
        <f aca="false">IF(D1559="","",IFERROR(INDEX(AK_KEL,MATCH(D1559,AK_NAMA,0)),"?"))</f>
        <v/>
      </c>
      <c r="Q1559" s="102" t="n">
        <f aca="false">N(Q1558)+IF(AND(N(E1559)&lt;&gt;0,K1559=TAHUN,N(J1559)&lt;=BLN,OR(C1559=BB_AKUN,D1559=BB_AKUN)),1,0)</f>
        <v>877</v>
      </c>
      <c r="R1559" s="104" t="str">
        <f aca="false">IF(OR(C1559&amp;D1559="",N(E1559)=0),"",IF(OR(O1559="?",P1559="?"),"⚠ akun tidak dikenal",IF(C1559=D1559,"⚠ debet = kredit","")))</f>
        <v/>
      </c>
    </row>
    <row r="1560" customFormat="false" ht="15" hidden="false" customHeight="false" outlineLevel="0" collapsed="false">
      <c r="A1560" s="5"/>
      <c r="B1560" s="83"/>
      <c r="C1560" s="5"/>
      <c r="D1560" s="5"/>
      <c r="E1560" s="44"/>
      <c r="F1560" s="5"/>
      <c r="G1560" s="5"/>
      <c r="H1560" s="5"/>
      <c r="I1560" s="5"/>
      <c r="J1560" s="102" t="str">
        <f aca="false">IF(B1560="","",MONTH(B1560))</f>
        <v/>
      </c>
      <c r="K1560" s="102" t="str">
        <f aca="false">IF(B1560="","",YEAR(B1560))</f>
        <v/>
      </c>
      <c r="L1560" s="102" t="str">
        <f aca="false">IF(N(E1560)=0,"",IF(COUNTIFS(AK_NAMA,C1560,AK_KAT,"KAS")+COUNTIFS(AK_NAMA,D1560,AK_KAT,"KAS")&lt;&gt;1,"",IF(COUNTIFS(AK_NAMA,C1560,AK_KAT,"KAS")=1,D1560,C1560)))</f>
        <v/>
      </c>
      <c r="M1560" s="103" t="n">
        <f aca="false">IF(L1560="",0,IF(L1560=D1560,E1560,-E1560))</f>
        <v>0</v>
      </c>
      <c r="N1560" s="102" t="str">
        <f aca="false">IF(L1560="","",IFERROR(INDEX(AK_BARIS,MATCH(L1560,AK_NAMA,0)),"?"))</f>
        <v/>
      </c>
      <c r="O1560" s="102" t="str">
        <f aca="false">IF(C1560="","",IFERROR(INDEX(AK_KEL,MATCH(C1560,AK_NAMA,0)),"?"))</f>
        <v/>
      </c>
      <c r="P1560" s="102" t="str">
        <f aca="false">IF(D1560="","",IFERROR(INDEX(AK_KEL,MATCH(D1560,AK_NAMA,0)),"?"))</f>
        <v/>
      </c>
      <c r="Q1560" s="102" t="n">
        <f aca="false">N(Q1559)+IF(AND(N(E1560)&lt;&gt;0,K1560=TAHUN,N(J1560)&lt;=BLN,OR(C1560=BB_AKUN,D1560=BB_AKUN)),1,0)</f>
        <v>877</v>
      </c>
      <c r="R1560" s="104" t="str">
        <f aca="false">IF(OR(C1560&amp;D1560="",N(E1560)=0),"",IF(OR(O1560="?",P1560="?"),"⚠ akun tidak dikenal",IF(C1560=D1560,"⚠ debet = kredit","")))</f>
        <v/>
      </c>
    </row>
    <row r="1561" customFormat="false" ht="15" hidden="false" customHeight="false" outlineLevel="0" collapsed="false">
      <c r="A1561" s="5"/>
      <c r="B1561" s="83"/>
      <c r="C1561" s="5"/>
      <c r="D1561" s="5"/>
      <c r="E1561" s="44"/>
      <c r="F1561" s="5"/>
      <c r="G1561" s="5"/>
      <c r="H1561" s="5"/>
      <c r="I1561" s="5"/>
      <c r="J1561" s="102" t="str">
        <f aca="false">IF(B1561="","",MONTH(B1561))</f>
        <v/>
      </c>
      <c r="K1561" s="102" t="str">
        <f aca="false">IF(B1561="","",YEAR(B1561))</f>
        <v/>
      </c>
      <c r="L1561" s="102" t="str">
        <f aca="false">IF(N(E1561)=0,"",IF(COUNTIFS(AK_NAMA,C1561,AK_KAT,"KAS")+COUNTIFS(AK_NAMA,D1561,AK_KAT,"KAS")&lt;&gt;1,"",IF(COUNTIFS(AK_NAMA,C1561,AK_KAT,"KAS")=1,D1561,C1561)))</f>
        <v/>
      </c>
      <c r="M1561" s="103" t="n">
        <f aca="false">IF(L1561="",0,IF(L1561=D1561,E1561,-E1561))</f>
        <v>0</v>
      </c>
      <c r="N1561" s="102" t="str">
        <f aca="false">IF(L1561="","",IFERROR(INDEX(AK_BARIS,MATCH(L1561,AK_NAMA,0)),"?"))</f>
        <v/>
      </c>
      <c r="O1561" s="102" t="str">
        <f aca="false">IF(C1561="","",IFERROR(INDEX(AK_KEL,MATCH(C1561,AK_NAMA,0)),"?"))</f>
        <v/>
      </c>
      <c r="P1561" s="102" t="str">
        <f aca="false">IF(D1561="","",IFERROR(INDEX(AK_KEL,MATCH(D1561,AK_NAMA,0)),"?"))</f>
        <v/>
      </c>
      <c r="Q1561" s="102" t="n">
        <f aca="false">N(Q1560)+IF(AND(N(E1561)&lt;&gt;0,K1561=TAHUN,N(J1561)&lt;=BLN,OR(C1561=BB_AKUN,D1561=BB_AKUN)),1,0)</f>
        <v>877</v>
      </c>
      <c r="R1561" s="104" t="str">
        <f aca="false">IF(OR(C1561&amp;D1561="",N(E1561)=0),"",IF(OR(O1561="?",P1561="?"),"⚠ akun tidak dikenal",IF(C1561=D1561,"⚠ debet = kredit","")))</f>
        <v/>
      </c>
    </row>
    <row r="1562" customFormat="false" ht="15" hidden="false" customHeight="false" outlineLevel="0" collapsed="false">
      <c r="A1562" s="5"/>
      <c r="B1562" s="83"/>
      <c r="C1562" s="5"/>
      <c r="D1562" s="5"/>
      <c r="E1562" s="44"/>
      <c r="F1562" s="5"/>
      <c r="G1562" s="5"/>
      <c r="H1562" s="5"/>
      <c r="I1562" s="5"/>
      <c r="J1562" s="102" t="str">
        <f aca="false">IF(B1562="","",MONTH(B1562))</f>
        <v/>
      </c>
      <c r="K1562" s="102" t="str">
        <f aca="false">IF(B1562="","",YEAR(B1562))</f>
        <v/>
      </c>
      <c r="L1562" s="102" t="str">
        <f aca="false">IF(N(E1562)=0,"",IF(COUNTIFS(AK_NAMA,C1562,AK_KAT,"KAS")+COUNTIFS(AK_NAMA,D1562,AK_KAT,"KAS")&lt;&gt;1,"",IF(COUNTIFS(AK_NAMA,C1562,AK_KAT,"KAS")=1,D1562,C1562)))</f>
        <v/>
      </c>
      <c r="M1562" s="103" t="n">
        <f aca="false">IF(L1562="",0,IF(L1562=D1562,E1562,-E1562))</f>
        <v>0</v>
      </c>
      <c r="N1562" s="102" t="str">
        <f aca="false">IF(L1562="","",IFERROR(INDEX(AK_BARIS,MATCH(L1562,AK_NAMA,0)),"?"))</f>
        <v/>
      </c>
      <c r="O1562" s="102" t="str">
        <f aca="false">IF(C1562="","",IFERROR(INDEX(AK_KEL,MATCH(C1562,AK_NAMA,0)),"?"))</f>
        <v/>
      </c>
      <c r="P1562" s="102" t="str">
        <f aca="false">IF(D1562="","",IFERROR(INDEX(AK_KEL,MATCH(D1562,AK_NAMA,0)),"?"))</f>
        <v/>
      </c>
      <c r="Q1562" s="102" t="n">
        <f aca="false">N(Q1561)+IF(AND(N(E1562)&lt;&gt;0,K1562=TAHUN,N(J1562)&lt;=BLN,OR(C1562=BB_AKUN,D1562=BB_AKUN)),1,0)</f>
        <v>877</v>
      </c>
      <c r="R1562" s="104" t="str">
        <f aca="false">IF(OR(C1562&amp;D1562="",N(E1562)=0),"",IF(OR(O1562="?",P1562="?"),"⚠ akun tidak dikenal",IF(C1562=D1562,"⚠ debet = kredit","")))</f>
        <v/>
      </c>
    </row>
    <row r="1563" customFormat="false" ht="15" hidden="false" customHeight="false" outlineLevel="0" collapsed="false">
      <c r="A1563" s="5"/>
      <c r="B1563" s="83"/>
      <c r="C1563" s="5"/>
      <c r="D1563" s="5"/>
      <c r="E1563" s="44"/>
      <c r="F1563" s="5"/>
      <c r="G1563" s="5"/>
      <c r="H1563" s="5"/>
      <c r="I1563" s="5"/>
      <c r="J1563" s="102" t="str">
        <f aca="false">IF(B1563="","",MONTH(B1563))</f>
        <v/>
      </c>
      <c r="K1563" s="102" t="str">
        <f aca="false">IF(B1563="","",YEAR(B1563))</f>
        <v/>
      </c>
      <c r="L1563" s="102" t="str">
        <f aca="false">IF(N(E1563)=0,"",IF(COUNTIFS(AK_NAMA,C1563,AK_KAT,"KAS")+COUNTIFS(AK_NAMA,D1563,AK_KAT,"KAS")&lt;&gt;1,"",IF(COUNTIFS(AK_NAMA,C1563,AK_KAT,"KAS")=1,D1563,C1563)))</f>
        <v/>
      </c>
      <c r="M1563" s="103" t="n">
        <f aca="false">IF(L1563="",0,IF(L1563=D1563,E1563,-E1563))</f>
        <v>0</v>
      </c>
      <c r="N1563" s="102" t="str">
        <f aca="false">IF(L1563="","",IFERROR(INDEX(AK_BARIS,MATCH(L1563,AK_NAMA,0)),"?"))</f>
        <v/>
      </c>
      <c r="O1563" s="102" t="str">
        <f aca="false">IF(C1563="","",IFERROR(INDEX(AK_KEL,MATCH(C1563,AK_NAMA,0)),"?"))</f>
        <v/>
      </c>
      <c r="P1563" s="102" t="str">
        <f aca="false">IF(D1563="","",IFERROR(INDEX(AK_KEL,MATCH(D1563,AK_NAMA,0)),"?"))</f>
        <v/>
      </c>
      <c r="Q1563" s="102" t="n">
        <f aca="false">N(Q1562)+IF(AND(N(E1563)&lt;&gt;0,K1563=TAHUN,N(J1563)&lt;=BLN,OR(C1563=BB_AKUN,D1563=BB_AKUN)),1,0)</f>
        <v>877</v>
      </c>
      <c r="R1563" s="104" t="str">
        <f aca="false">IF(OR(C1563&amp;D1563="",N(E1563)=0),"",IF(OR(O1563="?",P1563="?"),"⚠ akun tidak dikenal",IF(C1563=D1563,"⚠ debet = kredit","")))</f>
        <v/>
      </c>
    </row>
    <row r="1564" customFormat="false" ht="15" hidden="false" customHeight="false" outlineLevel="0" collapsed="false">
      <c r="A1564" s="5"/>
      <c r="B1564" s="83"/>
      <c r="C1564" s="5"/>
      <c r="D1564" s="5"/>
      <c r="E1564" s="44"/>
      <c r="F1564" s="5"/>
      <c r="G1564" s="5"/>
      <c r="H1564" s="5"/>
      <c r="I1564" s="5"/>
      <c r="J1564" s="102" t="str">
        <f aca="false">IF(B1564="","",MONTH(B1564))</f>
        <v/>
      </c>
      <c r="K1564" s="102" t="str">
        <f aca="false">IF(B1564="","",YEAR(B1564))</f>
        <v/>
      </c>
      <c r="L1564" s="102" t="str">
        <f aca="false">IF(N(E1564)=0,"",IF(COUNTIFS(AK_NAMA,C1564,AK_KAT,"KAS")+COUNTIFS(AK_NAMA,D1564,AK_KAT,"KAS")&lt;&gt;1,"",IF(COUNTIFS(AK_NAMA,C1564,AK_KAT,"KAS")=1,D1564,C1564)))</f>
        <v/>
      </c>
      <c r="M1564" s="103" t="n">
        <f aca="false">IF(L1564="",0,IF(L1564=D1564,E1564,-E1564))</f>
        <v>0</v>
      </c>
      <c r="N1564" s="102" t="str">
        <f aca="false">IF(L1564="","",IFERROR(INDEX(AK_BARIS,MATCH(L1564,AK_NAMA,0)),"?"))</f>
        <v/>
      </c>
      <c r="O1564" s="102" t="str">
        <f aca="false">IF(C1564="","",IFERROR(INDEX(AK_KEL,MATCH(C1564,AK_NAMA,0)),"?"))</f>
        <v/>
      </c>
      <c r="P1564" s="102" t="str">
        <f aca="false">IF(D1564="","",IFERROR(INDEX(AK_KEL,MATCH(D1564,AK_NAMA,0)),"?"))</f>
        <v/>
      </c>
      <c r="Q1564" s="102" t="n">
        <f aca="false">N(Q1563)+IF(AND(N(E1564)&lt;&gt;0,K1564=TAHUN,N(J1564)&lt;=BLN,OR(C1564=BB_AKUN,D1564=BB_AKUN)),1,0)</f>
        <v>877</v>
      </c>
      <c r="R1564" s="104" t="str">
        <f aca="false">IF(OR(C1564&amp;D1564="",N(E1564)=0),"",IF(OR(O1564="?",P1564="?"),"⚠ akun tidak dikenal",IF(C1564=D1564,"⚠ debet = kredit","")))</f>
        <v/>
      </c>
    </row>
    <row r="1565" customFormat="false" ht="15" hidden="false" customHeight="false" outlineLevel="0" collapsed="false">
      <c r="A1565" s="5"/>
      <c r="B1565" s="83"/>
      <c r="C1565" s="5"/>
      <c r="D1565" s="5"/>
      <c r="E1565" s="44"/>
      <c r="F1565" s="5"/>
      <c r="G1565" s="5"/>
      <c r="H1565" s="5"/>
      <c r="I1565" s="5"/>
      <c r="J1565" s="102" t="str">
        <f aca="false">IF(B1565="","",MONTH(B1565))</f>
        <v/>
      </c>
      <c r="K1565" s="102" t="str">
        <f aca="false">IF(B1565="","",YEAR(B1565))</f>
        <v/>
      </c>
      <c r="L1565" s="102" t="str">
        <f aca="false">IF(N(E1565)=0,"",IF(COUNTIFS(AK_NAMA,C1565,AK_KAT,"KAS")+COUNTIFS(AK_NAMA,D1565,AK_KAT,"KAS")&lt;&gt;1,"",IF(COUNTIFS(AK_NAMA,C1565,AK_KAT,"KAS")=1,D1565,C1565)))</f>
        <v/>
      </c>
      <c r="M1565" s="103" t="n">
        <f aca="false">IF(L1565="",0,IF(L1565=D1565,E1565,-E1565))</f>
        <v>0</v>
      </c>
      <c r="N1565" s="102" t="str">
        <f aca="false">IF(L1565="","",IFERROR(INDEX(AK_BARIS,MATCH(L1565,AK_NAMA,0)),"?"))</f>
        <v/>
      </c>
      <c r="O1565" s="102" t="str">
        <f aca="false">IF(C1565="","",IFERROR(INDEX(AK_KEL,MATCH(C1565,AK_NAMA,0)),"?"))</f>
        <v/>
      </c>
      <c r="P1565" s="102" t="str">
        <f aca="false">IF(D1565="","",IFERROR(INDEX(AK_KEL,MATCH(D1565,AK_NAMA,0)),"?"))</f>
        <v/>
      </c>
      <c r="Q1565" s="102" t="n">
        <f aca="false">N(Q1564)+IF(AND(N(E1565)&lt;&gt;0,K1565=TAHUN,N(J1565)&lt;=BLN,OR(C1565=BB_AKUN,D1565=BB_AKUN)),1,0)</f>
        <v>877</v>
      </c>
      <c r="R1565" s="104" t="str">
        <f aca="false">IF(OR(C1565&amp;D1565="",N(E1565)=0),"",IF(OR(O1565="?",P1565="?"),"⚠ akun tidak dikenal",IF(C1565=D1565,"⚠ debet = kredit","")))</f>
        <v/>
      </c>
    </row>
    <row r="1566" customFormat="false" ht="15" hidden="false" customHeight="false" outlineLevel="0" collapsed="false">
      <c r="A1566" s="5"/>
      <c r="B1566" s="83"/>
      <c r="C1566" s="5"/>
      <c r="D1566" s="5"/>
      <c r="E1566" s="44"/>
      <c r="F1566" s="5"/>
      <c r="G1566" s="5"/>
      <c r="H1566" s="5"/>
      <c r="I1566" s="5"/>
      <c r="J1566" s="102" t="str">
        <f aca="false">IF(B1566="","",MONTH(B1566))</f>
        <v/>
      </c>
      <c r="K1566" s="102" t="str">
        <f aca="false">IF(B1566="","",YEAR(B1566))</f>
        <v/>
      </c>
      <c r="L1566" s="102" t="str">
        <f aca="false">IF(N(E1566)=0,"",IF(COUNTIFS(AK_NAMA,C1566,AK_KAT,"KAS")+COUNTIFS(AK_NAMA,D1566,AK_KAT,"KAS")&lt;&gt;1,"",IF(COUNTIFS(AK_NAMA,C1566,AK_KAT,"KAS")=1,D1566,C1566)))</f>
        <v/>
      </c>
      <c r="M1566" s="103" t="n">
        <f aca="false">IF(L1566="",0,IF(L1566=D1566,E1566,-E1566))</f>
        <v>0</v>
      </c>
      <c r="N1566" s="102" t="str">
        <f aca="false">IF(L1566="","",IFERROR(INDEX(AK_BARIS,MATCH(L1566,AK_NAMA,0)),"?"))</f>
        <v/>
      </c>
      <c r="O1566" s="102" t="str">
        <f aca="false">IF(C1566="","",IFERROR(INDEX(AK_KEL,MATCH(C1566,AK_NAMA,0)),"?"))</f>
        <v/>
      </c>
      <c r="P1566" s="102" t="str">
        <f aca="false">IF(D1566="","",IFERROR(INDEX(AK_KEL,MATCH(D1566,AK_NAMA,0)),"?"))</f>
        <v/>
      </c>
      <c r="Q1566" s="102" t="n">
        <f aca="false">N(Q1565)+IF(AND(N(E1566)&lt;&gt;0,K1566=TAHUN,N(J1566)&lt;=BLN,OR(C1566=BB_AKUN,D1566=BB_AKUN)),1,0)</f>
        <v>877</v>
      </c>
      <c r="R1566" s="104" t="str">
        <f aca="false">IF(OR(C1566&amp;D1566="",N(E1566)=0),"",IF(OR(O1566="?",P1566="?"),"⚠ akun tidak dikenal",IF(C1566=D1566,"⚠ debet = kredit","")))</f>
        <v/>
      </c>
    </row>
    <row r="1567" customFormat="false" ht="15" hidden="false" customHeight="false" outlineLevel="0" collapsed="false">
      <c r="A1567" s="5"/>
      <c r="B1567" s="83"/>
      <c r="C1567" s="5"/>
      <c r="D1567" s="5"/>
      <c r="E1567" s="44"/>
      <c r="F1567" s="5"/>
      <c r="G1567" s="5"/>
      <c r="H1567" s="5"/>
      <c r="I1567" s="5"/>
      <c r="J1567" s="102" t="str">
        <f aca="false">IF(B1567="","",MONTH(B1567))</f>
        <v/>
      </c>
      <c r="K1567" s="102" t="str">
        <f aca="false">IF(B1567="","",YEAR(B1567))</f>
        <v/>
      </c>
      <c r="L1567" s="102" t="str">
        <f aca="false">IF(N(E1567)=0,"",IF(COUNTIFS(AK_NAMA,C1567,AK_KAT,"KAS")+COUNTIFS(AK_NAMA,D1567,AK_KAT,"KAS")&lt;&gt;1,"",IF(COUNTIFS(AK_NAMA,C1567,AK_KAT,"KAS")=1,D1567,C1567)))</f>
        <v/>
      </c>
      <c r="M1567" s="103" t="n">
        <f aca="false">IF(L1567="",0,IF(L1567=D1567,E1567,-E1567))</f>
        <v>0</v>
      </c>
      <c r="N1567" s="102" t="str">
        <f aca="false">IF(L1567="","",IFERROR(INDEX(AK_BARIS,MATCH(L1567,AK_NAMA,0)),"?"))</f>
        <v/>
      </c>
      <c r="O1567" s="102" t="str">
        <f aca="false">IF(C1567="","",IFERROR(INDEX(AK_KEL,MATCH(C1567,AK_NAMA,0)),"?"))</f>
        <v/>
      </c>
      <c r="P1567" s="102" t="str">
        <f aca="false">IF(D1567="","",IFERROR(INDEX(AK_KEL,MATCH(D1567,AK_NAMA,0)),"?"))</f>
        <v/>
      </c>
      <c r="Q1567" s="102" t="n">
        <f aca="false">N(Q1566)+IF(AND(N(E1567)&lt;&gt;0,K1567=TAHUN,N(J1567)&lt;=BLN,OR(C1567=BB_AKUN,D1567=BB_AKUN)),1,0)</f>
        <v>877</v>
      </c>
      <c r="R1567" s="104" t="str">
        <f aca="false">IF(OR(C1567&amp;D1567="",N(E1567)=0),"",IF(OR(O1567="?",P1567="?"),"⚠ akun tidak dikenal",IF(C1567=D1567,"⚠ debet = kredit","")))</f>
        <v/>
      </c>
    </row>
    <row r="1568" customFormat="false" ht="15" hidden="false" customHeight="false" outlineLevel="0" collapsed="false">
      <c r="A1568" s="5"/>
      <c r="B1568" s="83"/>
      <c r="C1568" s="5"/>
      <c r="D1568" s="5"/>
      <c r="E1568" s="44"/>
      <c r="F1568" s="5"/>
      <c r="G1568" s="5"/>
      <c r="H1568" s="5"/>
      <c r="I1568" s="5"/>
      <c r="J1568" s="102" t="str">
        <f aca="false">IF(B1568="","",MONTH(B1568))</f>
        <v/>
      </c>
      <c r="K1568" s="102" t="str">
        <f aca="false">IF(B1568="","",YEAR(B1568))</f>
        <v/>
      </c>
      <c r="L1568" s="102" t="str">
        <f aca="false">IF(N(E1568)=0,"",IF(COUNTIFS(AK_NAMA,C1568,AK_KAT,"KAS")+COUNTIFS(AK_NAMA,D1568,AK_KAT,"KAS")&lt;&gt;1,"",IF(COUNTIFS(AK_NAMA,C1568,AK_KAT,"KAS")=1,D1568,C1568)))</f>
        <v/>
      </c>
      <c r="M1568" s="103" t="n">
        <f aca="false">IF(L1568="",0,IF(L1568=D1568,E1568,-E1568))</f>
        <v>0</v>
      </c>
      <c r="N1568" s="102" t="str">
        <f aca="false">IF(L1568="","",IFERROR(INDEX(AK_BARIS,MATCH(L1568,AK_NAMA,0)),"?"))</f>
        <v/>
      </c>
      <c r="O1568" s="102" t="str">
        <f aca="false">IF(C1568="","",IFERROR(INDEX(AK_KEL,MATCH(C1568,AK_NAMA,0)),"?"))</f>
        <v/>
      </c>
      <c r="P1568" s="102" t="str">
        <f aca="false">IF(D1568="","",IFERROR(INDEX(AK_KEL,MATCH(D1568,AK_NAMA,0)),"?"))</f>
        <v/>
      </c>
      <c r="Q1568" s="102" t="n">
        <f aca="false">N(Q1567)+IF(AND(N(E1568)&lt;&gt;0,K1568=TAHUN,N(J1568)&lt;=BLN,OR(C1568=BB_AKUN,D1568=BB_AKUN)),1,0)</f>
        <v>877</v>
      </c>
      <c r="R1568" s="104" t="str">
        <f aca="false">IF(OR(C1568&amp;D1568="",N(E1568)=0),"",IF(OR(O1568="?",P1568="?"),"⚠ akun tidak dikenal",IF(C1568=D1568,"⚠ debet = kredit","")))</f>
        <v/>
      </c>
    </row>
    <row r="1569" customFormat="false" ht="15" hidden="false" customHeight="false" outlineLevel="0" collapsed="false">
      <c r="A1569" s="5"/>
      <c r="B1569" s="83"/>
      <c r="C1569" s="5"/>
      <c r="D1569" s="5"/>
      <c r="E1569" s="44"/>
      <c r="F1569" s="5"/>
      <c r="G1569" s="5"/>
      <c r="H1569" s="5"/>
      <c r="I1569" s="5"/>
      <c r="J1569" s="102" t="str">
        <f aca="false">IF(B1569="","",MONTH(B1569))</f>
        <v/>
      </c>
      <c r="K1569" s="102" t="str">
        <f aca="false">IF(B1569="","",YEAR(B1569))</f>
        <v/>
      </c>
      <c r="L1569" s="102" t="str">
        <f aca="false">IF(N(E1569)=0,"",IF(COUNTIFS(AK_NAMA,C1569,AK_KAT,"KAS")+COUNTIFS(AK_NAMA,D1569,AK_KAT,"KAS")&lt;&gt;1,"",IF(COUNTIFS(AK_NAMA,C1569,AK_KAT,"KAS")=1,D1569,C1569)))</f>
        <v/>
      </c>
      <c r="M1569" s="103" t="n">
        <f aca="false">IF(L1569="",0,IF(L1569=D1569,E1569,-E1569))</f>
        <v>0</v>
      </c>
      <c r="N1569" s="102" t="str">
        <f aca="false">IF(L1569="","",IFERROR(INDEX(AK_BARIS,MATCH(L1569,AK_NAMA,0)),"?"))</f>
        <v/>
      </c>
      <c r="O1569" s="102" t="str">
        <f aca="false">IF(C1569="","",IFERROR(INDEX(AK_KEL,MATCH(C1569,AK_NAMA,0)),"?"))</f>
        <v/>
      </c>
      <c r="P1569" s="102" t="str">
        <f aca="false">IF(D1569="","",IFERROR(INDEX(AK_KEL,MATCH(D1569,AK_NAMA,0)),"?"))</f>
        <v/>
      </c>
      <c r="Q1569" s="102" t="n">
        <f aca="false">N(Q1568)+IF(AND(N(E1569)&lt;&gt;0,K1569=TAHUN,N(J1569)&lt;=BLN,OR(C1569=BB_AKUN,D1569=BB_AKUN)),1,0)</f>
        <v>877</v>
      </c>
      <c r="R1569" s="104" t="str">
        <f aca="false">IF(OR(C1569&amp;D1569="",N(E1569)=0),"",IF(OR(O1569="?",P1569="?"),"⚠ akun tidak dikenal",IF(C1569=D1569,"⚠ debet = kredit","")))</f>
        <v/>
      </c>
    </row>
    <row r="1570" customFormat="false" ht="15" hidden="false" customHeight="false" outlineLevel="0" collapsed="false">
      <c r="A1570" s="5"/>
      <c r="B1570" s="83"/>
      <c r="C1570" s="5"/>
      <c r="D1570" s="5"/>
      <c r="E1570" s="44"/>
      <c r="F1570" s="5"/>
      <c r="G1570" s="5"/>
      <c r="H1570" s="5"/>
      <c r="I1570" s="5"/>
      <c r="J1570" s="102" t="str">
        <f aca="false">IF(B1570="","",MONTH(B1570))</f>
        <v/>
      </c>
      <c r="K1570" s="102" t="str">
        <f aca="false">IF(B1570="","",YEAR(B1570))</f>
        <v/>
      </c>
      <c r="L1570" s="102" t="str">
        <f aca="false">IF(N(E1570)=0,"",IF(COUNTIFS(AK_NAMA,C1570,AK_KAT,"KAS")+COUNTIFS(AK_NAMA,D1570,AK_KAT,"KAS")&lt;&gt;1,"",IF(COUNTIFS(AK_NAMA,C1570,AK_KAT,"KAS")=1,D1570,C1570)))</f>
        <v/>
      </c>
      <c r="M1570" s="103" t="n">
        <f aca="false">IF(L1570="",0,IF(L1570=D1570,E1570,-E1570))</f>
        <v>0</v>
      </c>
      <c r="N1570" s="102" t="str">
        <f aca="false">IF(L1570="","",IFERROR(INDEX(AK_BARIS,MATCH(L1570,AK_NAMA,0)),"?"))</f>
        <v/>
      </c>
      <c r="O1570" s="102" t="str">
        <f aca="false">IF(C1570="","",IFERROR(INDEX(AK_KEL,MATCH(C1570,AK_NAMA,0)),"?"))</f>
        <v/>
      </c>
      <c r="P1570" s="102" t="str">
        <f aca="false">IF(D1570="","",IFERROR(INDEX(AK_KEL,MATCH(D1570,AK_NAMA,0)),"?"))</f>
        <v/>
      </c>
      <c r="Q1570" s="102" t="n">
        <f aca="false">N(Q1569)+IF(AND(N(E1570)&lt;&gt;0,K1570=TAHUN,N(J1570)&lt;=BLN,OR(C1570=BB_AKUN,D1570=BB_AKUN)),1,0)</f>
        <v>877</v>
      </c>
      <c r="R1570" s="104" t="str">
        <f aca="false">IF(OR(C1570&amp;D1570="",N(E1570)=0),"",IF(OR(O1570="?",P1570="?"),"⚠ akun tidak dikenal",IF(C1570=D1570,"⚠ debet = kredit","")))</f>
        <v/>
      </c>
    </row>
    <row r="1571" customFormat="false" ht="15" hidden="false" customHeight="false" outlineLevel="0" collapsed="false">
      <c r="A1571" s="5"/>
      <c r="B1571" s="83"/>
      <c r="C1571" s="5"/>
      <c r="D1571" s="5"/>
      <c r="E1571" s="44"/>
      <c r="F1571" s="5"/>
      <c r="G1571" s="5"/>
      <c r="H1571" s="5"/>
      <c r="I1571" s="5"/>
      <c r="J1571" s="102" t="str">
        <f aca="false">IF(B1571="","",MONTH(B1571))</f>
        <v/>
      </c>
      <c r="K1571" s="102" t="str">
        <f aca="false">IF(B1571="","",YEAR(B1571))</f>
        <v/>
      </c>
      <c r="L1571" s="102" t="str">
        <f aca="false">IF(N(E1571)=0,"",IF(COUNTIFS(AK_NAMA,C1571,AK_KAT,"KAS")+COUNTIFS(AK_NAMA,D1571,AK_KAT,"KAS")&lt;&gt;1,"",IF(COUNTIFS(AK_NAMA,C1571,AK_KAT,"KAS")=1,D1571,C1571)))</f>
        <v/>
      </c>
      <c r="M1571" s="103" t="n">
        <f aca="false">IF(L1571="",0,IF(L1571=D1571,E1571,-E1571))</f>
        <v>0</v>
      </c>
      <c r="N1571" s="102" t="str">
        <f aca="false">IF(L1571="","",IFERROR(INDEX(AK_BARIS,MATCH(L1571,AK_NAMA,0)),"?"))</f>
        <v/>
      </c>
      <c r="O1571" s="102" t="str">
        <f aca="false">IF(C1571="","",IFERROR(INDEX(AK_KEL,MATCH(C1571,AK_NAMA,0)),"?"))</f>
        <v/>
      </c>
      <c r="P1571" s="102" t="str">
        <f aca="false">IF(D1571="","",IFERROR(INDEX(AK_KEL,MATCH(D1571,AK_NAMA,0)),"?"))</f>
        <v/>
      </c>
      <c r="Q1571" s="102" t="n">
        <f aca="false">N(Q1570)+IF(AND(N(E1571)&lt;&gt;0,K1571=TAHUN,N(J1571)&lt;=BLN,OR(C1571=BB_AKUN,D1571=BB_AKUN)),1,0)</f>
        <v>877</v>
      </c>
      <c r="R1571" s="104" t="str">
        <f aca="false">IF(OR(C1571&amp;D1571="",N(E1571)=0),"",IF(OR(O1571="?",P1571="?"),"⚠ akun tidak dikenal",IF(C1571=D1571,"⚠ debet = kredit","")))</f>
        <v/>
      </c>
    </row>
    <row r="1572" customFormat="false" ht="15" hidden="false" customHeight="false" outlineLevel="0" collapsed="false">
      <c r="A1572" s="5"/>
      <c r="B1572" s="83"/>
      <c r="C1572" s="5"/>
      <c r="D1572" s="5"/>
      <c r="E1572" s="44"/>
      <c r="F1572" s="5"/>
      <c r="G1572" s="5"/>
      <c r="H1572" s="5"/>
      <c r="I1572" s="5"/>
      <c r="J1572" s="102" t="str">
        <f aca="false">IF(B1572="","",MONTH(B1572))</f>
        <v/>
      </c>
      <c r="K1572" s="102" t="str">
        <f aca="false">IF(B1572="","",YEAR(B1572))</f>
        <v/>
      </c>
      <c r="L1572" s="102" t="str">
        <f aca="false">IF(N(E1572)=0,"",IF(COUNTIFS(AK_NAMA,C1572,AK_KAT,"KAS")+COUNTIFS(AK_NAMA,D1572,AK_KAT,"KAS")&lt;&gt;1,"",IF(COUNTIFS(AK_NAMA,C1572,AK_KAT,"KAS")=1,D1572,C1572)))</f>
        <v/>
      </c>
      <c r="M1572" s="103" t="n">
        <f aca="false">IF(L1572="",0,IF(L1572=D1572,E1572,-E1572))</f>
        <v>0</v>
      </c>
      <c r="N1572" s="102" t="str">
        <f aca="false">IF(L1572="","",IFERROR(INDEX(AK_BARIS,MATCH(L1572,AK_NAMA,0)),"?"))</f>
        <v/>
      </c>
      <c r="O1572" s="102" t="str">
        <f aca="false">IF(C1572="","",IFERROR(INDEX(AK_KEL,MATCH(C1572,AK_NAMA,0)),"?"))</f>
        <v/>
      </c>
      <c r="P1572" s="102" t="str">
        <f aca="false">IF(D1572="","",IFERROR(INDEX(AK_KEL,MATCH(D1572,AK_NAMA,0)),"?"))</f>
        <v/>
      </c>
      <c r="Q1572" s="102" t="n">
        <f aca="false">N(Q1571)+IF(AND(N(E1572)&lt;&gt;0,K1572=TAHUN,N(J1572)&lt;=BLN,OR(C1572=BB_AKUN,D1572=BB_AKUN)),1,0)</f>
        <v>877</v>
      </c>
      <c r="R1572" s="104" t="str">
        <f aca="false">IF(OR(C1572&amp;D1572="",N(E1572)=0),"",IF(OR(O1572="?",P1572="?"),"⚠ akun tidak dikenal",IF(C1572=D1572,"⚠ debet = kredit","")))</f>
        <v/>
      </c>
    </row>
    <row r="1573" customFormat="false" ht="15" hidden="false" customHeight="false" outlineLevel="0" collapsed="false">
      <c r="A1573" s="5"/>
      <c r="B1573" s="83"/>
      <c r="C1573" s="5"/>
      <c r="D1573" s="5"/>
      <c r="E1573" s="44"/>
      <c r="F1573" s="5"/>
      <c r="G1573" s="5"/>
      <c r="H1573" s="5"/>
      <c r="I1573" s="5"/>
      <c r="J1573" s="102" t="str">
        <f aca="false">IF(B1573="","",MONTH(B1573))</f>
        <v/>
      </c>
      <c r="K1573" s="102" t="str">
        <f aca="false">IF(B1573="","",YEAR(B1573))</f>
        <v/>
      </c>
      <c r="L1573" s="102" t="str">
        <f aca="false">IF(N(E1573)=0,"",IF(COUNTIFS(AK_NAMA,C1573,AK_KAT,"KAS")+COUNTIFS(AK_NAMA,D1573,AK_KAT,"KAS")&lt;&gt;1,"",IF(COUNTIFS(AK_NAMA,C1573,AK_KAT,"KAS")=1,D1573,C1573)))</f>
        <v/>
      </c>
      <c r="M1573" s="103" t="n">
        <f aca="false">IF(L1573="",0,IF(L1573=D1573,E1573,-E1573))</f>
        <v>0</v>
      </c>
      <c r="N1573" s="102" t="str">
        <f aca="false">IF(L1573="","",IFERROR(INDEX(AK_BARIS,MATCH(L1573,AK_NAMA,0)),"?"))</f>
        <v/>
      </c>
      <c r="O1573" s="102" t="str">
        <f aca="false">IF(C1573="","",IFERROR(INDEX(AK_KEL,MATCH(C1573,AK_NAMA,0)),"?"))</f>
        <v/>
      </c>
      <c r="P1573" s="102" t="str">
        <f aca="false">IF(D1573="","",IFERROR(INDEX(AK_KEL,MATCH(D1573,AK_NAMA,0)),"?"))</f>
        <v/>
      </c>
      <c r="Q1573" s="102" t="n">
        <f aca="false">N(Q1572)+IF(AND(N(E1573)&lt;&gt;0,K1573=TAHUN,N(J1573)&lt;=BLN,OR(C1573=BB_AKUN,D1573=BB_AKUN)),1,0)</f>
        <v>877</v>
      </c>
      <c r="R1573" s="104" t="str">
        <f aca="false">IF(OR(C1573&amp;D1573="",N(E1573)=0),"",IF(OR(O1573="?",P1573="?"),"⚠ akun tidak dikenal",IF(C1573=D1573,"⚠ debet = kredit","")))</f>
        <v/>
      </c>
    </row>
    <row r="1574" customFormat="false" ht="15" hidden="false" customHeight="false" outlineLevel="0" collapsed="false">
      <c r="A1574" s="5"/>
      <c r="B1574" s="83"/>
      <c r="C1574" s="5"/>
      <c r="D1574" s="5"/>
      <c r="E1574" s="44"/>
      <c r="F1574" s="5"/>
      <c r="G1574" s="5"/>
      <c r="H1574" s="5"/>
      <c r="I1574" s="5"/>
      <c r="J1574" s="102" t="str">
        <f aca="false">IF(B1574="","",MONTH(B1574))</f>
        <v/>
      </c>
      <c r="K1574" s="102" t="str">
        <f aca="false">IF(B1574="","",YEAR(B1574))</f>
        <v/>
      </c>
      <c r="L1574" s="102" t="str">
        <f aca="false">IF(N(E1574)=0,"",IF(COUNTIFS(AK_NAMA,C1574,AK_KAT,"KAS")+COUNTIFS(AK_NAMA,D1574,AK_KAT,"KAS")&lt;&gt;1,"",IF(COUNTIFS(AK_NAMA,C1574,AK_KAT,"KAS")=1,D1574,C1574)))</f>
        <v/>
      </c>
      <c r="M1574" s="103" t="n">
        <f aca="false">IF(L1574="",0,IF(L1574=D1574,E1574,-E1574))</f>
        <v>0</v>
      </c>
      <c r="N1574" s="102" t="str">
        <f aca="false">IF(L1574="","",IFERROR(INDEX(AK_BARIS,MATCH(L1574,AK_NAMA,0)),"?"))</f>
        <v/>
      </c>
      <c r="O1574" s="102" t="str">
        <f aca="false">IF(C1574="","",IFERROR(INDEX(AK_KEL,MATCH(C1574,AK_NAMA,0)),"?"))</f>
        <v/>
      </c>
      <c r="P1574" s="102" t="str">
        <f aca="false">IF(D1574="","",IFERROR(INDEX(AK_KEL,MATCH(D1574,AK_NAMA,0)),"?"))</f>
        <v/>
      </c>
      <c r="Q1574" s="102" t="n">
        <f aca="false">N(Q1573)+IF(AND(N(E1574)&lt;&gt;0,K1574=TAHUN,N(J1574)&lt;=BLN,OR(C1574=BB_AKUN,D1574=BB_AKUN)),1,0)</f>
        <v>877</v>
      </c>
      <c r="R1574" s="104" t="str">
        <f aca="false">IF(OR(C1574&amp;D1574="",N(E1574)=0),"",IF(OR(O1574="?",P1574="?"),"⚠ akun tidak dikenal",IF(C1574=D1574,"⚠ debet = kredit","")))</f>
        <v/>
      </c>
    </row>
    <row r="1575" customFormat="false" ht="15" hidden="false" customHeight="false" outlineLevel="0" collapsed="false">
      <c r="A1575" s="5"/>
      <c r="B1575" s="83"/>
      <c r="C1575" s="5"/>
      <c r="D1575" s="5"/>
      <c r="E1575" s="44"/>
      <c r="F1575" s="5"/>
      <c r="G1575" s="5"/>
      <c r="H1575" s="5"/>
      <c r="I1575" s="5"/>
      <c r="J1575" s="102" t="str">
        <f aca="false">IF(B1575="","",MONTH(B1575))</f>
        <v/>
      </c>
      <c r="K1575" s="102" t="str">
        <f aca="false">IF(B1575="","",YEAR(B1575))</f>
        <v/>
      </c>
      <c r="L1575" s="102" t="str">
        <f aca="false">IF(N(E1575)=0,"",IF(COUNTIFS(AK_NAMA,C1575,AK_KAT,"KAS")+COUNTIFS(AK_NAMA,D1575,AK_KAT,"KAS")&lt;&gt;1,"",IF(COUNTIFS(AK_NAMA,C1575,AK_KAT,"KAS")=1,D1575,C1575)))</f>
        <v/>
      </c>
      <c r="M1575" s="103" t="n">
        <f aca="false">IF(L1575="",0,IF(L1575=D1575,E1575,-E1575))</f>
        <v>0</v>
      </c>
      <c r="N1575" s="102" t="str">
        <f aca="false">IF(L1575="","",IFERROR(INDEX(AK_BARIS,MATCH(L1575,AK_NAMA,0)),"?"))</f>
        <v/>
      </c>
      <c r="O1575" s="102" t="str">
        <f aca="false">IF(C1575="","",IFERROR(INDEX(AK_KEL,MATCH(C1575,AK_NAMA,0)),"?"))</f>
        <v/>
      </c>
      <c r="P1575" s="102" t="str">
        <f aca="false">IF(D1575="","",IFERROR(INDEX(AK_KEL,MATCH(D1575,AK_NAMA,0)),"?"))</f>
        <v/>
      </c>
      <c r="Q1575" s="102" t="n">
        <f aca="false">N(Q1574)+IF(AND(N(E1575)&lt;&gt;0,K1575=TAHUN,N(J1575)&lt;=BLN,OR(C1575=BB_AKUN,D1575=BB_AKUN)),1,0)</f>
        <v>877</v>
      </c>
      <c r="R1575" s="104" t="str">
        <f aca="false">IF(OR(C1575&amp;D1575="",N(E1575)=0),"",IF(OR(O1575="?",P1575="?"),"⚠ akun tidak dikenal",IF(C1575=D1575,"⚠ debet = kredit","")))</f>
        <v/>
      </c>
    </row>
    <row r="1576" customFormat="false" ht="15" hidden="false" customHeight="false" outlineLevel="0" collapsed="false">
      <c r="A1576" s="5"/>
      <c r="B1576" s="83"/>
      <c r="C1576" s="5"/>
      <c r="D1576" s="5"/>
      <c r="E1576" s="44"/>
      <c r="F1576" s="5"/>
      <c r="G1576" s="5"/>
      <c r="H1576" s="5"/>
      <c r="I1576" s="5"/>
      <c r="J1576" s="102" t="str">
        <f aca="false">IF(B1576="","",MONTH(B1576))</f>
        <v/>
      </c>
      <c r="K1576" s="102" t="str">
        <f aca="false">IF(B1576="","",YEAR(B1576))</f>
        <v/>
      </c>
      <c r="L1576" s="102" t="str">
        <f aca="false">IF(N(E1576)=0,"",IF(COUNTIFS(AK_NAMA,C1576,AK_KAT,"KAS")+COUNTIFS(AK_NAMA,D1576,AK_KAT,"KAS")&lt;&gt;1,"",IF(COUNTIFS(AK_NAMA,C1576,AK_KAT,"KAS")=1,D1576,C1576)))</f>
        <v/>
      </c>
      <c r="M1576" s="103" t="n">
        <f aca="false">IF(L1576="",0,IF(L1576=D1576,E1576,-E1576))</f>
        <v>0</v>
      </c>
      <c r="N1576" s="102" t="str">
        <f aca="false">IF(L1576="","",IFERROR(INDEX(AK_BARIS,MATCH(L1576,AK_NAMA,0)),"?"))</f>
        <v/>
      </c>
      <c r="O1576" s="102" t="str">
        <f aca="false">IF(C1576="","",IFERROR(INDEX(AK_KEL,MATCH(C1576,AK_NAMA,0)),"?"))</f>
        <v/>
      </c>
      <c r="P1576" s="102" t="str">
        <f aca="false">IF(D1576="","",IFERROR(INDEX(AK_KEL,MATCH(D1576,AK_NAMA,0)),"?"))</f>
        <v/>
      </c>
      <c r="Q1576" s="102" t="n">
        <f aca="false">N(Q1575)+IF(AND(N(E1576)&lt;&gt;0,K1576=TAHUN,N(J1576)&lt;=BLN,OR(C1576=BB_AKUN,D1576=BB_AKUN)),1,0)</f>
        <v>877</v>
      </c>
      <c r="R1576" s="104" t="str">
        <f aca="false">IF(OR(C1576&amp;D1576="",N(E1576)=0),"",IF(OR(O1576="?",P1576="?"),"⚠ akun tidak dikenal",IF(C1576=D1576,"⚠ debet = kredit","")))</f>
        <v/>
      </c>
    </row>
    <row r="1577" customFormat="false" ht="15" hidden="false" customHeight="false" outlineLevel="0" collapsed="false">
      <c r="A1577" s="5"/>
      <c r="B1577" s="83"/>
      <c r="C1577" s="5"/>
      <c r="D1577" s="5"/>
      <c r="E1577" s="44"/>
      <c r="F1577" s="5"/>
      <c r="G1577" s="5"/>
      <c r="H1577" s="5"/>
      <c r="I1577" s="5"/>
      <c r="J1577" s="102" t="str">
        <f aca="false">IF(B1577="","",MONTH(B1577))</f>
        <v/>
      </c>
      <c r="K1577" s="102" t="str">
        <f aca="false">IF(B1577="","",YEAR(B1577))</f>
        <v/>
      </c>
      <c r="L1577" s="102" t="str">
        <f aca="false">IF(N(E1577)=0,"",IF(COUNTIFS(AK_NAMA,C1577,AK_KAT,"KAS")+COUNTIFS(AK_NAMA,D1577,AK_KAT,"KAS")&lt;&gt;1,"",IF(COUNTIFS(AK_NAMA,C1577,AK_KAT,"KAS")=1,D1577,C1577)))</f>
        <v/>
      </c>
      <c r="M1577" s="103" t="n">
        <f aca="false">IF(L1577="",0,IF(L1577=D1577,E1577,-E1577))</f>
        <v>0</v>
      </c>
      <c r="N1577" s="102" t="str">
        <f aca="false">IF(L1577="","",IFERROR(INDEX(AK_BARIS,MATCH(L1577,AK_NAMA,0)),"?"))</f>
        <v/>
      </c>
      <c r="O1577" s="102" t="str">
        <f aca="false">IF(C1577="","",IFERROR(INDEX(AK_KEL,MATCH(C1577,AK_NAMA,0)),"?"))</f>
        <v/>
      </c>
      <c r="P1577" s="102" t="str">
        <f aca="false">IF(D1577="","",IFERROR(INDEX(AK_KEL,MATCH(D1577,AK_NAMA,0)),"?"))</f>
        <v/>
      </c>
      <c r="Q1577" s="102" t="n">
        <f aca="false">N(Q1576)+IF(AND(N(E1577)&lt;&gt;0,K1577=TAHUN,N(J1577)&lt;=BLN,OR(C1577=BB_AKUN,D1577=BB_AKUN)),1,0)</f>
        <v>877</v>
      </c>
      <c r="R1577" s="104" t="str">
        <f aca="false">IF(OR(C1577&amp;D1577="",N(E1577)=0),"",IF(OR(O1577="?",P1577="?"),"⚠ akun tidak dikenal",IF(C1577=D1577,"⚠ debet = kredit","")))</f>
        <v/>
      </c>
    </row>
    <row r="1578" customFormat="false" ht="15" hidden="false" customHeight="false" outlineLevel="0" collapsed="false">
      <c r="A1578" s="5"/>
      <c r="B1578" s="83"/>
      <c r="C1578" s="5"/>
      <c r="D1578" s="5"/>
      <c r="E1578" s="44"/>
      <c r="F1578" s="5"/>
      <c r="G1578" s="5"/>
      <c r="H1578" s="5"/>
      <c r="I1578" s="5"/>
      <c r="J1578" s="102" t="str">
        <f aca="false">IF(B1578="","",MONTH(B1578))</f>
        <v/>
      </c>
      <c r="K1578" s="102" t="str">
        <f aca="false">IF(B1578="","",YEAR(B1578))</f>
        <v/>
      </c>
      <c r="L1578" s="102" t="str">
        <f aca="false">IF(N(E1578)=0,"",IF(COUNTIFS(AK_NAMA,C1578,AK_KAT,"KAS")+COUNTIFS(AK_NAMA,D1578,AK_KAT,"KAS")&lt;&gt;1,"",IF(COUNTIFS(AK_NAMA,C1578,AK_KAT,"KAS")=1,D1578,C1578)))</f>
        <v/>
      </c>
      <c r="M1578" s="103" t="n">
        <f aca="false">IF(L1578="",0,IF(L1578=D1578,E1578,-E1578))</f>
        <v>0</v>
      </c>
      <c r="N1578" s="102" t="str">
        <f aca="false">IF(L1578="","",IFERROR(INDEX(AK_BARIS,MATCH(L1578,AK_NAMA,0)),"?"))</f>
        <v/>
      </c>
      <c r="O1578" s="102" t="str">
        <f aca="false">IF(C1578="","",IFERROR(INDEX(AK_KEL,MATCH(C1578,AK_NAMA,0)),"?"))</f>
        <v/>
      </c>
      <c r="P1578" s="102" t="str">
        <f aca="false">IF(D1578="","",IFERROR(INDEX(AK_KEL,MATCH(D1578,AK_NAMA,0)),"?"))</f>
        <v/>
      </c>
      <c r="Q1578" s="102" t="n">
        <f aca="false">N(Q1577)+IF(AND(N(E1578)&lt;&gt;0,K1578=TAHUN,N(J1578)&lt;=BLN,OR(C1578=BB_AKUN,D1578=BB_AKUN)),1,0)</f>
        <v>877</v>
      </c>
      <c r="R1578" s="104" t="str">
        <f aca="false">IF(OR(C1578&amp;D1578="",N(E1578)=0),"",IF(OR(O1578="?",P1578="?"),"⚠ akun tidak dikenal",IF(C1578=D1578,"⚠ debet = kredit","")))</f>
        <v/>
      </c>
    </row>
    <row r="1579" customFormat="false" ht="15" hidden="false" customHeight="false" outlineLevel="0" collapsed="false">
      <c r="A1579" s="5"/>
      <c r="B1579" s="83"/>
      <c r="C1579" s="5"/>
      <c r="D1579" s="5"/>
      <c r="E1579" s="44"/>
      <c r="F1579" s="5"/>
      <c r="G1579" s="5"/>
      <c r="H1579" s="5"/>
      <c r="I1579" s="5"/>
      <c r="J1579" s="102" t="str">
        <f aca="false">IF(B1579="","",MONTH(B1579))</f>
        <v/>
      </c>
      <c r="K1579" s="102" t="str">
        <f aca="false">IF(B1579="","",YEAR(B1579))</f>
        <v/>
      </c>
      <c r="L1579" s="102" t="str">
        <f aca="false">IF(N(E1579)=0,"",IF(COUNTIFS(AK_NAMA,C1579,AK_KAT,"KAS")+COUNTIFS(AK_NAMA,D1579,AK_KAT,"KAS")&lt;&gt;1,"",IF(COUNTIFS(AK_NAMA,C1579,AK_KAT,"KAS")=1,D1579,C1579)))</f>
        <v/>
      </c>
      <c r="M1579" s="103" t="n">
        <f aca="false">IF(L1579="",0,IF(L1579=D1579,E1579,-E1579))</f>
        <v>0</v>
      </c>
      <c r="N1579" s="102" t="str">
        <f aca="false">IF(L1579="","",IFERROR(INDEX(AK_BARIS,MATCH(L1579,AK_NAMA,0)),"?"))</f>
        <v/>
      </c>
      <c r="O1579" s="102" t="str">
        <f aca="false">IF(C1579="","",IFERROR(INDEX(AK_KEL,MATCH(C1579,AK_NAMA,0)),"?"))</f>
        <v/>
      </c>
      <c r="P1579" s="102" t="str">
        <f aca="false">IF(D1579="","",IFERROR(INDEX(AK_KEL,MATCH(D1579,AK_NAMA,0)),"?"))</f>
        <v/>
      </c>
      <c r="Q1579" s="102" t="n">
        <f aca="false">N(Q1578)+IF(AND(N(E1579)&lt;&gt;0,K1579=TAHUN,N(J1579)&lt;=BLN,OR(C1579=BB_AKUN,D1579=BB_AKUN)),1,0)</f>
        <v>877</v>
      </c>
      <c r="R1579" s="104" t="str">
        <f aca="false">IF(OR(C1579&amp;D1579="",N(E1579)=0),"",IF(OR(O1579="?",P1579="?"),"⚠ akun tidak dikenal",IF(C1579=D1579,"⚠ debet = kredit","")))</f>
        <v/>
      </c>
    </row>
    <row r="1580" customFormat="false" ht="15" hidden="false" customHeight="false" outlineLevel="0" collapsed="false">
      <c r="A1580" s="5"/>
      <c r="B1580" s="83"/>
      <c r="C1580" s="5"/>
      <c r="D1580" s="5"/>
      <c r="E1580" s="44"/>
      <c r="F1580" s="5"/>
      <c r="G1580" s="5"/>
      <c r="H1580" s="5"/>
      <c r="I1580" s="5"/>
      <c r="J1580" s="102" t="str">
        <f aca="false">IF(B1580="","",MONTH(B1580))</f>
        <v/>
      </c>
      <c r="K1580" s="102" t="str">
        <f aca="false">IF(B1580="","",YEAR(B1580))</f>
        <v/>
      </c>
      <c r="L1580" s="102" t="str">
        <f aca="false">IF(N(E1580)=0,"",IF(COUNTIFS(AK_NAMA,C1580,AK_KAT,"KAS")+COUNTIFS(AK_NAMA,D1580,AK_KAT,"KAS")&lt;&gt;1,"",IF(COUNTIFS(AK_NAMA,C1580,AK_KAT,"KAS")=1,D1580,C1580)))</f>
        <v/>
      </c>
      <c r="M1580" s="103" t="n">
        <f aca="false">IF(L1580="",0,IF(L1580=D1580,E1580,-E1580))</f>
        <v>0</v>
      </c>
      <c r="N1580" s="102" t="str">
        <f aca="false">IF(L1580="","",IFERROR(INDEX(AK_BARIS,MATCH(L1580,AK_NAMA,0)),"?"))</f>
        <v/>
      </c>
      <c r="O1580" s="102" t="str">
        <f aca="false">IF(C1580="","",IFERROR(INDEX(AK_KEL,MATCH(C1580,AK_NAMA,0)),"?"))</f>
        <v/>
      </c>
      <c r="P1580" s="102" t="str">
        <f aca="false">IF(D1580="","",IFERROR(INDEX(AK_KEL,MATCH(D1580,AK_NAMA,0)),"?"))</f>
        <v/>
      </c>
      <c r="Q1580" s="102" t="n">
        <f aca="false">N(Q1579)+IF(AND(N(E1580)&lt;&gt;0,K1580=TAHUN,N(J1580)&lt;=BLN,OR(C1580=BB_AKUN,D1580=BB_AKUN)),1,0)</f>
        <v>877</v>
      </c>
      <c r="R1580" s="104" t="str">
        <f aca="false">IF(OR(C1580&amp;D1580="",N(E1580)=0),"",IF(OR(O1580="?",P1580="?"),"⚠ akun tidak dikenal",IF(C1580=D1580,"⚠ debet = kredit","")))</f>
        <v/>
      </c>
    </row>
    <row r="1581" customFormat="false" ht="15" hidden="false" customHeight="false" outlineLevel="0" collapsed="false">
      <c r="A1581" s="5"/>
      <c r="B1581" s="83"/>
      <c r="C1581" s="5"/>
      <c r="D1581" s="5"/>
      <c r="E1581" s="44"/>
      <c r="F1581" s="5"/>
      <c r="G1581" s="5"/>
      <c r="H1581" s="5"/>
      <c r="I1581" s="5"/>
      <c r="J1581" s="102" t="str">
        <f aca="false">IF(B1581="","",MONTH(B1581))</f>
        <v/>
      </c>
      <c r="K1581" s="102" t="str">
        <f aca="false">IF(B1581="","",YEAR(B1581))</f>
        <v/>
      </c>
      <c r="L1581" s="102" t="str">
        <f aca="false">IF(N(E1581)=0,"",IF(COUNTIFS(AK_NAMA,C1581,AK_KAT,"KAS")+COUNTIFS(AK_NAMA,D1581,AK_KAT,"KAS")&lt;&gt;1,"",IF(COUNTIFS(AK_NAMA,C1581,AK_KAT,"KAS")=1,D1581,C1581)))</f>
        <v/>
      </c>
      <c r="M1581" s="103" t="n">
        <f aca="false">IF(L1581="",0,IF(L1581=D1581,E1581,-E1581))</f>
        <v>0</v>
      </c>
      <c r="N1581" s="102" t="str">
        <f aca="false">IF(L1581="","",IFERROR(INDEX(AK_BARIS,MATCH(L1581,AK_NAMA,0)),"?"))</f>
        <v/>
      </c>
      <c r="O1581" s="102" t="str">
        <f aca="false">IF(C1581="","",IFERROR(INDEX(AK_KEL,MATCH(C1581,AK_NAMA,0)),"?"))</f>
        <v/>
      </c>
      <c r="P1581" s="102" t="str">
        <f aca="false">IF(D1581="","",IFERROR(INDEX(AK_KEL,MATCH(D1581,AK_NAMA,0)),"?"))</f>
        <v/>
      </c>
      <c r="Q1581" s="102" t="n">
        <f aca="false">N(Q1580)+IF(AND(N(E1581)&lt;&gt;0,K1581=TAHUN,N(J1581)&lt;=BLN,OR(C1581=BB_AKUN,D1581=BB_AKUN)),1,0)</f>
        <v>877</v>
      </c>
      <c r="R1581" s="104" t="str">
        <f aca="false">IF(OR(C1581&amp;D1581="",N(E1581)=0),"",IF(OR(O1581="?",P1581="?"),"⚠ akun tidak dikenal",IF(C1581=D1581,"⚠ debet = kredit","")))</f>
        <v/>
      </c>
    </row>
    <row r="1582" customFormat="false" ht="15" hidden="false" customHeight="false" outlineLevel="0" collapsed="false">
      <c r="A1582" s="5"/>
      <c r="B1582" s="83"/>
      <c r="C1582" s="5"/>
      <c r="D1582" s="5"/>
      <c r="E1582" s="44"/>
      <c r="F1582" s="5"/>
      <c r="G1582" s="5"/>
      <c r="H1582" s="5"/>
      <c r="I1582" s="5"/>
      <c r="J1582" s="102" t="str">
        <f aca="false">IF(B1582="","",MONTH(B1582))</f>
        <v/>
      </c>
      <c r="K1582" s="102" t="str">
        <f aca="false">IF(B1582="","",YEAR(B1582))</f>
        <v/>
      </c>
      <c r="L1582" s="102" t="str">
        <f aca="false">IF(N(E1582)=0,"",IF(COUNTIFS(AK_NAMA,C1582,AK_KAT,"KAS")+COUNTIFS(AK_NAMA,D1582,AK_KAT,"KAS")&lt;&gt;1,"",IF(COUNTIFS(AK_NAMA,C1582,AK_KAT,"KAS")=1,D1582,C1582)))</f>
        <v/>
      </c>
      <c r="M1582" s="103" t="n">
        <f aca="false">IF(L1582="",0,IF(L1582=D1582,E1582,-E1582))</f>
        <v>0</v>
      </c>
      <c r="N1582" s="102" t="str">
        <f aca="false">IF(L1582="","",IFERROR(INDEX(AK_BARIS,MATCH(L1582,AK_NAMA,0)),"?"))</f>
        <v/>
      </c>
      <c r="O1582" s="102" t="str">
        <f aca="false">IF(C1582="","",IFERROR(INDEX(AK_KEL,MATCH(C1582,AK_NAMA,0)),"?"))</f>
        <v/>
      </c>
      <c r="P1582" s="102" t="str">
        <f aca="false">IF(D1582="","",IFERROR(INDEX(AK_KEL,MATCH(D1582,AK_NAMA,0)),"?"))</f>
        <v/>
      </c>
      <c r="Q1582" s="102" t="n">
        <f aca="false">N(Q1581)+IF(AND(N(E1582)&lt;&gt;0,K1582=TAHUN,N(J1582)&lt;=BLN,OR(C1582=BB_AKUN,D1582=BB_AKUN)),1,0)</f>
        <v>877</v>
      </c>
      <c r="R1582" s="104" t="str">
        <f aca="false">IF(OR(C1582&amp;D1582="",N(E1582)=0),"",IF(OR(O1582="?",P1582="?"),"⚠ akun tidak dikenal",IF(C1582=D1582,"⚠ debet = kredit","")))</f>
        <v/>
      </c>
    </row>
    <row r="1583" customFormat="false" ht="15" hidden="false" customHeight="false" outlineLevel="0" collapsed="false">
      <c r="A1583" s="5"/>
      <c r="B1583" s="83"/>
      <c r="C1583" s="5"/>
      <c r="D1583" s="5"/>
      <c r="E1583" s="44"/>
      <c r="F1583" s="5"/>
      <c r="G1583" s="5"/>
      <c r="H1583" s="5"/>
      <c r="I1583" s="5"/>
      <c r="J1583" s="102" t="str">
        <f aca="false">IF(B1583="","",MONTH(B1583))</f>
        <v/>
      </c>
      <c r="K1583" s="102" t="str">
        <f aca="false">IF(B1583="","",YEAR(B1583))</f>
        <v/>
      </c>
      <c r="L1583" s="102" t="str">
        <f aca="false">IF(N(E1583)=0,"",IF(COUNTIFS(AK_NAMA,C1583,AK_KAT,"KAS")+COUNTIFS(AK_NAMA,D1583,AK_KAT,"KAS")&lt;&gt;1,"",IF(COUNTIFS(AK_NAMA,C1583,AK_KAT,"KAS")=1,D1583,C1583)))</f>
        <v/>
      </c>
      <c r="M1583" s="103" t="n">
        <f aca="false">IF(L1583="",0,IF(L1583=D1583,E1583,-E1583))</f>
        <v>0</v>
      </c>
      <c r="N1583" s="102" t="str">
        <f aca="false">IF(L1583="","",IFERROR(INDEX(AK_BARIS,MATCH(L1583,AK_NAMA,0)),"?"))</f>
        <v/>
      </c>
      <c r="O1583" s="102" t="str">
        <f aca="false">IF(C1583="","",IFERROR(INDEX(AK_KEL,MATCH(C1583,AK_NAMA,0)),"?"))</f>
        <v/>
      </c>
      <c r="P1583" s="102" t="str">
        <f aca="false">IF(D1583="","",IFERROR(INDEX(AK_KEL,MATCH(D1583,AK_NAMA,0)),"?"))</f>
        <v/>
      </c>
      <c r="Q1583" s="102" t="n">
        <f aca="false">N(Q1582)+IF(AND(N(E1583)&lt;&gt;0,K1583=TAHUN,N(J1583)&lt;=BLN,OR(C1583=BB_AKUN,D1583=BB_AKUN)),1,0)</f>
        <v>877</v>
      </c>
      <c r="R1583" s="104" t="str">
        <f aca="false">IF(OR(C1583&amp;D1583="",N(E1583)=0),"",IF(OR(O1583="?",P1583="?"),"⚠ akun tidak dikenal",IF(C1583=D1583,"⚠ debet = kredit","")))</f>
        <v/>
      </c>
    </row>
    <row r="1584" customFormat="false" ht="15" hidden="false" customHeight="false" outlineLevel="0" collapsed="false">
      <c r="A1584" s="5"/>
      <c r="B1584" s="83"/>
      <c r="C1584" s="5"/>
      <c r="D1584" s="5"/>
      <c r="E1584" s="44"/>
      <c r="F1584" s="5"/>
      <c r="G1584" s="5"/>
      <c r="H1584" s="5"/>
      <c r="I1584" s="5"/>
      <c r="J1584" s="102" t="str">
        <f aca="false">IF(B1584="","",MONTH(B1584))</f>
        <v/>
      </c>
      <c r="K1584" s="102" t="str">
        <f aca="false">IF(B1584="","",YEAR(B1584))</f>
        <v/>
      </c>
      <c r="L1584" s="102" t="str">
        <f aca="false">IF(N(E1584)=0,"",IF(COUNTIFS(AK_NAMA,C1584,AK_KAT,"KAS")+COUNTIFS(AK_NAMA,D1584,AK_KAT,"KAS")&lt;&gt;1,"",IF(COUNTIFS(AK_NAMA,C1584,AK_KAT,"KAS")=1,D1584,C1584)))</f>
        <v/>
      </c>
      <c r="M1584" s="103" t="n">
        <f aca="false">IF(L1584="",0,IF(L1584=D1584,E1584,-E1584))</f>
        <v>0</v>
      </c>
      <c r="N1584" s="102" t="str">
        <f aca="false">IF(L1584="","",IFERROR(INDEX(AK_BARIS,MATCH(L1584,AK_NAMA,0)),"?"))</f>
        <v/>
      </c>
      <c r="O1584" s="102" t="str">
        <f aca="false">IF(C1584="","",IFERROR(INDEX(AK_KEL,MATCH(C1584,AK_NAMA,0)),"?"))</f>
        <v/>
      </c>
      <c r="P1584" s="102" t="str">
        <f aca="false">IF(D1584="","",IFERROR(INDEX(AK_KEL,MATCH(D1584,AK_NAMA,0)),"?"))</f>
        <v/>
      </c>
      <c r="Q1584" s="102" t="n">
        <f aca="false">N(Q1583)+IF(AND(N(E1584)&lt;&gt;0,K1584=TAHUN,N(J1584)&lt;=BLN,OR(C1584=BB_AKUN,D1584=BB_AKUN)),1,0)</f>
        <v>877</v>
      </c>
      <c r="R1584" s="104" t="str">
        <f aca="false">IF(OR(C1584&amp;D1584="",N(E1584)=0),"",IF(OR(O1584="?",P1584="?"),"⚠ akun tidak dikenal",IF(C1584=D1584,"⚠ debet = kredit","")))</f>
        <v/>
      </c>
    </row>
    <row r="1585" customFormat="false" ht="15" hidden="false" customHeight="false" outlineLevel="0" collapsed="false">
      <c r="A1585" s="5"/>
      <c r="B1585" s="83"/>
      <c r="C1585" s="5"/>
      <c r="D1585" s="5"/>
      <c r="E1585" s="44"/>
      <c r="F1585" s="5"/>
      <c r="G1585" s="5"/>
      <c r="H1585" s="5"/>
      <c r="I1585" s="5"/>
      <c r="J1585" s="102" t="str">
        <f aca="false">IF(B1585="","",MONTH(B1585))</f>
        <v/>
      </c>
      <c r="K1585" s="102" t="str">
        <f aca="false">IF(B1585="","",YEAR(B1585))</f>
        <v/>
      </c>
      <c r="L1585" s="102" t="str">
        <f aca="false">IF(N(E1585)=0,"",IF(COUNTIFS(AK_NAMA,C1585,AK_KAT,"KAS")+COUNTIFS(AK_NAMA,D1585,AK_KAT,"KAS")&lt;&gt;1,"",IF(COUNTIFS(AK_NAMA,C1585,AK_KAT,"KAS")=1,D1585,C1585)))</f>
        <v/>
      </c>
      <c r="M1585" s="103" t="n">
        <f aca="false">IF(L1585="",0,IF(L1585=D1585,E1585,-E1585))</f>
        <v>0</v>
      </c>
      <c r="N1585" s="102" t="str">
        <f aca="false">IF(L1585="","",IFERROR(INDEX(AK_BARIS,MATCH(L1585,AK_NAMA,0)),"?"))</f>
        <v/>
      </c>
      <c r="O1585" s="102" t="str">
        <f aca="false">IF(C1585="","",IFERROR(INDEX(AK_KEL,MATCH(C1585,AK_NAMA,0)),"?"))</f>
        <v/>
      </c>
      <c r="P1585" s="102" t="str">
        <f aca="false">IF(D1585="","",IFERROR(INDEX(AK_KEL,MATCH(D1585,AK_NAMA,0)),"?"))</f>
        <v/>
      </c>
      <c r="Q1585" s="102" t="n">
        <f aca="false">N(Q1584)+IF(AND(N(E1585)&lt;&gt;0,K1585=TAHUN,N(J1585)&lt;=BLN,OR(C1585=BB_AKUN,D1585=BB_AKUN)),1,0)</f>
        <v>877</v>
      </c>
      <c r="R1585" s="104" t="str">
        <f aca="false">IF(OR(C1585&amp;D1585="",N(E1585)=0),"",IF(OR(O1585="?",P1585="?"),"⚠ akun tidak dikenal",IF(C1585=D1585,"⚠ debet = kredit","")))</f>
        <v/>
      </c>
    </row>
    <row r="1586" customFormat="false" ht="15" hidden="false" customHeight="false" outlineLevel="0" collapsed="false">
      <c r="A1586" s="5"/>
      <c r="B1586" s="83"/>
      <c r="C1586" s="5"/>
      <c r="D1586" s="5"/>
      <c r="E1586" s="44"/>
      <c r="F1586" s="5"/>
      <c r="G1586" s="5"/>
      <c r="H1586" s="5"/>
      <c r="I1586" s="5"/>
      <c r="J1586" s="102" t="str">
        <f aca="false">IF(B1586="","",MONTH(B1586))</f>
        <v/>
      </c>
      <c r="K1586" s="102" t="str">
        <f aca="false">IF(B1586="","",YEAR(B1586))</f>
        <v/>
      </c>
      <c r="L1586" s="102" t="str">
        <f aca="false">IF(N(E1586)=0,"",IF(COUNTIFS(AK_NAMA,C1586,AK_KAT,"KAS")+COUNTIFS(AK_NAMA,D1586,AK_KAT,"KAS")&lt;&gt;1,"",IF(COUNTIFS(AK_NAMA,C1586,AK_KAT,"KAS")=1,D1586,C1586)))</f>
        <v/>
      </c>
      <c r="M1586" s="103" t="n">
        <f aca="false">IF(L1586="",0,IF(L1586=D1586,E1586,-E1586))</f>
        <v>0</v>
      </c>
      <c r="N1586" s="102" t="str">
        <f aca="false">IF(L1586="","",IFERROR(INDEX(AK_BARIS,MATCH(L1586,AK_NAMA,0)),"?"))</f>
        <v/>
      </c>
      <c r="O1586" s="102" t="str">
        <f aca="false">IF(C1586="","",IFERROR(INDEX(AK_KEL,MATCH(C1586,AK_NAMA,0)),"?"))</f>
        <v/>
      </c>
      <c r="P1586" s="102" t="str">
        <f aca="false">IF(D1586="","",IFERROR(INDEX(AK_KEL,MATCH(D1586,AK_NAMA,0)),"?"))</f>
        <v/>
      </c>
      <c r="Q1586" s="102" t="n">
        <f aca="false">N(Q1585)+IF(AND(N(E1586)&lt;&gt;0,K1586=TAHUN,N(J1586)&lt;=BLN,OR(C1586=BB_AKUN,D1586=BB_AKUN)),1,0)</f>
        <v>877</v>
      </c>
      <c r="R1586" s="104" t="str">
        <f aca="false">IF(OR(C1586&amp;D1586="",N(E1586)=0),"",IF(OR(O1586="?",P1586="?"),"⚠ akun tidak dikenal",IF(C1586=D1586,"⚠ debet = kredit","")))</f>
        <v/>
      </c>
    </row>
    <row r="1587" customFormat="false" ht="15" hidden="false" customHeight="false" outlineLevel="0" collapsed="false">
      <c r="A1587" s="5"/>
      <c r="B1587" s="83"/>
      <c r="C1587" s="5"/>
      <c r="D1587" s="5"/>
      <c r="E1587" s="44"/>
      <c r="F1587" s="5"/>
      <c r="G1587" s="5"/>
      <c r="H1587" s="5"/>
      <c r="I1587" s="5"/>
      <c r="J1587" s="102" t="str">
        <f aca="false">IF(B1587="","",MONTH(B1587))</f>
        <v/>
      </c>
      <c r="K1587" s="102" t="str">
        <f aca="false">IF(B1587="","",YEAR(B1587))</f>
        <v/>
      </c>
      <c r="L1587" s="102" t="str">
        <f aca="false">IF(N(E1587)=0,"",IF(COUNTIFS(AK_NAMA,C1587,AK_KAT,"KAS")+COUNTIFS(AK_NAMA,D1587,AK_KAT,"KAS")&lt;&gt;1,"",IF(COUNTIFS(AK_NAMA,C1587,AK_KAT,"KAS")=1,D1587,C1587)))</f>
        <v/>
      </c>
      <c r="M1587" s="103" t="n">
        <f aca="false">IF(L1587="",0,IF(L1587=D1587,E1587,-E1587))</f>
        <v>0</v>
      </c>
      <c r="N1587" s="102" t="str">
        <f aca="false">IF(L1587="","",IFERROR(INDEX(AK_BARIS,MATCH(L1587,AK_NAMA,0)),"?"))</f>
        <v/>
      </c>
      <c r="O1587" s="102" t="str">
        <f aca="false">IF(C1587="","",IFERROR(INDEX(AK_KEL,MATCH(C1587,AK_NAMA,0)),"?"))</f>
        <v/>
      </c>
      <c r="P1587" s="102" t="str">
        <f aca="false">IF(D1587="","",IFERROR(INDEX(AK_KEL,MATCH(D1587,AK_NAMA,0)),"?"))</f>
        <v/>
      </c>
      <c r="Q1587" s="102" t="n">
        <f aca="false">N(Q1586)+IF(AND(N(E1587)&lt;&gt;0,K1587=TAHUN,N(J1587)&lt;=BLN,OR(C1587=BB_AKUN,D1587=BB_AKUN)),1,0)</f>
        <v>877</v>
      </c>
      <c r="R1587" s="104" t="str">
        <f aca="false">IF(OR(C1587&amp;D1587="",N(E1587)=0),"",IF(OR(O1587="?",P1587="?"),"⚠ akun tidak dikenal",IF(C1587=D1587,"⚠ debet = kredit","")))</f>
        <v/>
      </c>
    </row>
    <row r="1588" customFormat="false" ht="15" hidden="false" customHeight="false" outlineLevel="0" collapsed="false">
      <c r="A1588" s="5"/>
      <c r="B1588" s="83"/>
      <c r="C1588" s="5"/>
      <c r="D1588" s="5"/>
      <c r="E1588" s="44"/>
      <c r="F1588" s="5"/>
      <c r="G1588" s="5"/>
      <c r="H1588" s="5"/>
      <c r="I1588" s="5"/>
      <c r="J1588" s="102" t="str">
        <f aca="false">IF(B1588="","",MONTH(B1588))</f>
        <v/>
      </c>
      <c r="K1588" s="102" t="str">
        <f aca="false">IF(B1588="","",YEAR(B1588))</f>
        <v/>
      </c>
      <c r="L1588" s="102" t="str">
        <f aca="false">IF(N(E1588)=0,"",IF(COUNTIFS(AK_NAMA,C1588,AK_KAT,"KAS")+COUNTIFS(AK_NAMA,D1588,AK_KAT,"KAS")&lt;&gt;1,"",IF(COUNTIFS(AK_NAMA,C1588,AK_KAT,"KAS")=1,D1588,C1588)))</f>
        <v/>
      </c>
      <c r="M1588" s="103" t="n">
        <f aca="false">IF(L1588="",0,IF(L1588=D1588,E1588,-E1588))</f>
        <v>0</v>
      </c>
      <c r="N1588" s="102" t="str">
        <f aca="false">IF(L1588="","",IFERROR(INDEX(AK_BARIS,MATCH(L1588,AK_NAMA,0)),"?"))</f>
        <v/>
      </c>
      <c r="O1588" s="102" t="str">
        <f aca="false">IF(C1588="","",IFERROR(INDEX(AK_KEL,MATCH(C1588,AK_NAMA,0)),"?"))</f>
        <v/>
      </c>
      <c r="P1588" s="102" t="str">
        <f aca="false">IF(D1588="","",IFERROR(INDEX(AK_KEL,MATCH(D1588,AK_NAMA,0)),"?"))</f>
        <v/>
      </c>
      <c r="Q1588" s="102" t="n">
        <f aca="false">N(Q1587)+IF(AND(N(E1588)&lt;&gt;0,K1588=TAHUN,N(J1588)&lt;=BLN,OR(C1588=BB_AKUN,D1588=BB_AKUN)),1,0)</f>
        <v>877</v>
      </c>
      <c r="R1588" s="104" t="str">
        <f aca="false">IF(OR(C1588&amp;D1588="",N(E1588)=0),"",IF(OR(O1588="?",P1588="?"),"⚠ akun tidak dikenal",IF(C1588=D1588,"⚠ debet = kredit","")))</f>
        <v/>
      </c>
    </row>
    <row r="1589" customFormat="false" ht="15" hidden="false" customHeight="false" outlineLevel="0" collapsed="false">
      <c r="A1589" s="5"/>
      <c r="B1589" s="83"/>
      <c r="C1589" s="5"/>
      <c r="D1589" s="5"/>
      <c r="E1589" s="44"/>
      <c r="F1589" s="5"/>
      <c r="G1589" s="5"/>
      <c r="H1589" s="5"/>
      <c r="I1589" s="5"/>
      <c r="J1589" s="102" t="str">
        <f aca="false">IF(B1589="","",MONTH(B1589))</f>
        <v/>
      </c>
      <c r="K1589" s="102" t="str">
        <f aca="false">IF(B1589="","",YEAR(B1589))</f>
        <v/>
      </c>
      <c r="L1589" s="102" t="str">
        <f aca="false">IF(N(E1589)=0,"",IF(COUNTIFS(AK_NAMA,C1589,AK_KAT,"KAS")+COUNTIFS(AK_NAMA,D1589,AK_KAT,"KAS")&lt;&gt;1,"",IF(COUNTIFS(AK_NAMA,C1589,AK_KAT,"KAS")=1,D1589,C1589)))</f>
        <v/>
      </c>
      <c r="M1589" s="103" t="n">
        <f aca="false">IF(L1589="",0,IF(L1589=D1589,E1589,-E1589))</f>
        <v>0</v>
      </c>
      <c r="N1589" s="102" t="str">
        <f aca="false">IF(L1589="","",IFERROR(INDEX(AK_BARIS,MATCH(L1589,AK_NAMA,0)),"?"))</f>
        <v/>
      </c>
      <c r="O1589" s="102" t="str">
        <f aca="false">IF(C1589="","",IFERROR(INDEX(AK_KEL,MATCH(C1589,AK_NAMA,0)),"?"))</f>
        <v/>
      </c>
      <c r="P1589" s="102" t="str">
        <f aca="false">IF(D1589="","",IFERROR(INDEX(AK_KEL,MATCH(D1589,AK_NAMA,0)),"?"))</f>
        <v/>
      </c>
      <c r="Q1589" s="102" t="n">
        <f aca="false">N(Q1588)+IF(AND(N(E1589)&lt;&gt;0,K1589=TAHUN,N(J1589)&lt;=BLN,OR(C1589=BB_AKUN,D1589=BB_AKUN)),1,0)</f>
        <v>877</v>
      </c>
      <c r="R1589" s="104" t="str">
        <f aca="false">IF(OR(C1589&amp;D1589="",N(E1589)=0),"",IF(OR(O1589="?",P1589="?"),"⚠ akun tidak dikenal",IF(C1589=D1589,"⚠ debet = kredit","")))</f>
        <v/>
      </c>
    </row>
    <row r="1590" customFormat="false" ht="15" hidden="false" customHeight="false" outlineLevel="0" collapsed="false">
      <c r="A1590" s="5"/>
      <c r="B1590" s="83"/>
      <c r="C1590" s="5"/>
      <c r="D1590" s="5"/>
      <c r="E1590" s="44"/>
      <c r="F1590" s="5"/>
      <c r="G1590" s="5"/>
      <c r="H1590" s="5"/>
      <c r="I1590" s="5"/>
      <c r="J1590" s="102" t="str">
        <f aca="false">IF(B1590="","",MONTH(B1590))</f>
        <v/>
      </c>
      <c r="K1590" s="102" t="str">
        <f aca="false">IF(B1590="","",YEAR(B1590))</f>
        <v/>
      </c>
      <c r="L1590" s="102" t="str">
        <f aca="false">IF(N(E1590)=0,"",IF(COUNTIFS(AK_NAMA,C1590,AK_KAT,"KAS")+COUNTIFS(AK_NAMA,D1590,AK_KAT,"KAS")&lt;&gt;1,"",IF(COUNTIFS(AK_NAMA,C1590,AK_KAT,"KAS")=1,D1590,C1590)))</f>
        <v/>
      </c>
      <c r="M1590" s="103" t="n">
        <f aca="false">IF(L1590="",0,IF(L1590=D1590,E1590,-E1590))</f>
        <v>0</v>
      </c>
      <c r="N1590" s="102" t="str">
        <f aca="false">IF(L1590="","",IFERROR(INDEX(AK_BARIS,MATCH(L1590,AK_NAMA,0)),"?"))</f>
        <v/>
      </c>
      <c r="O1590" s="102" t="str">
        <f aca="false">IF(C1590="","",IFERROR(INDEX(AK_KEL,MATCH(C1590,AK_NAMA,0)),"?"))</f>
        <v/>
      </c>
      <c r="P1590" s="102" t="str">
        <f aca="false">IF(D1590="","",IFERROR(INDEX(AK_KEL,MATCH(D1590,AK_NAMA,0)),"?"))</f>
        <v/>
      </c>
      <c r="Q1590" s="102" t="n">
        <f aca="false">N(Q1589)+IF(AND(N(E1590)&lt;&gt;0,K1590=TAHUN,N(J1590)&lt;=BLN,OR(C1590=BB_AKUN,D1590=BB_AKUN)),1,0)</f>
        <v>877</v>
      </c>
      <c r="R1590" s="104" t="str">
        <f aca="false">IF(OR(C1590&amp;D1590="",N(E1590)=0),"",IF(OR(O1590="?",P1590="?"),"⚠ akun tidak dikenal",IF(C1590=D1590,"⚠ debet = kredit","")))</f>
        <v/>
      </c>
    </row>
    <row r="1591" customFormat="false" ht="15" hidden="false" customHeight="false" outlineLevel="0" collapsed="false">
      <c r="A1591" s="5"/>
      <c r="B1591" s="83"/>
      <c r="C1591" s="5"/>
      <c r="D1591" s="5"/>
      <c r="E1591" s="44"/>
      <c r="F1591" s="5"/>
      <c r="G1591" s="5"/>
      <c r="H1591" s="5"/>
      <c r="I1591" s="5"/>
      <c r="J1591" s="102" t="str">
        <f aca="false">IF(B1591="","",MONTH(B1591))</f>
        <v/>
      </c>
      <c r="K1591" s="102" t="str">
        <f aca="false">IF(B1591="","",YEAR(B1591))</f>
        <v/>
      </c>
      <c r="L1591" s="102" t="str">
        <f aca="false">IF(N(E1591)=0,"",IF(COUNTIFS(AK_NAMA,C1591,AK_KAT,"KAS")+COUNTIFS(AK_NAMA,D1591,AK_KAT,"KAS")&lt;&gt;1,"",IF(COUNTIFS(AK_NAMA,C1591,AK_KAT,"KAS")=1,D1591,C1591)))</f>
        <v/>
      </c>
      <c r="M1591" s="103" t="n">
        <f aca="false">IF(L1591="",0,IF(L1591=D1591,E1591,-E1591))</f>
        <v>0</v>
      </c>
      <c r="N1591" s="102" t="str">
        <f aca="false">IF(L1591="","",IFERROR(INDEX(AK_BARIS,MATCH(L1591,AK_NAMA,0)),"?"))</f>
        <v/>
      </c>
      <c r="O1591" s="102" t="str">
        <f aca="false">IF(C1591="","",IFERROR(INDEX(AK_KEL,MATCH(C1591,AK_NAMA,0)),"?"))</f>
        <v/>
      </c>
      <c r="P1591" s="102" t="str">
        <f aca="false">IF(D1591="","",IFERROR(INDEX(AK_KEL,MATCH(D1591,AK_NAMA,0)),"?"))</f>
        <v/>
      </c>
      <c r="Q1591" s="102" t="n">
        <f aca="false">N(Q1590)+IF(AND(N(E1591)&lt;&gt;0,K1591=TAHUN,N(J1591)&lt;=BLN,OR(C1591=BB_AKUN,D1591=BB_AKUN)),1,0)</f>
        <v>877</v>
      </c>
      <c r="R1591" s="104" t="str">
        <f aca="false">IF(OR(C1591&amp;D1591="",N(E1591)=0),"",IF(OR(O1591="?",P1591="?"),"⚠ akun tidak dikenal",IF(C1591=D1591,"⚠ debet = kredit","")))</f>
        <v/>
      </c>
    </row>
    <row r="1592" customFormat="false" ht="15" hidden="false" customHeight="false" outlineLevel="0" collapsed="false">
      <c r="A1592" s="5"/>
      <c r="B1592" s="83"/>
      <c r="C1592" s="5"/>
      <c r="D1592" s="5"/>
      <c r="E1592" s="44"/>
      <c r="F1592" s="5"/>
      <c r="G1592" s="5"/>
      <c r="H1592" s="5"/>
      <c r="I1592" s="5"/>
      <c r="J1592" s="102" t="str">
        <f aca="false">IF(B1592="","",MONTH(B1592))</f>
        <v/>
      </c>
      <c r="K1592" s="102" t="str">
        <f aca="false">IF(B1592="","",YEAR(B1592))</f>
        <v/>
      </c>
      <c r="L1592" s="102" t="str">
        <f aca="false">IF(N(E1592)=0,"",IF(COUNTIFS(AK_NAMA,C1592,AK_KAT,"KAS")+COUNTIFS(AK_NAMA,D1592,AK_KAT,"KAS")&lt;&gt;1,"",IF(COUNTIFS(AK_NAMA,C1592,AK_KAT,"KAS")=1,D1592,C1592)))</f>
        <v/>
      </c>
      <c r="M1592" s="103" t="n">
        <f aca="false">IF(L1592="",0,IF(L1592=D1592,E1592,-E1592))</f>
        <v>0</v>
      </c>
      <c r="N1592" s="102" t="str">
        <f aca="false">IF(L1592="","",IFERROR(INDEX(AK_BARIS,MATCH(L1592,AK_NAMA,0)),"?"))</f>
        <v/>
      </c>
      <c r="O1592" s="102" t="str">
        <f aca="false">IF(C1592="","",IFERROR(INDEX(AK_KEL,MATCH(C1592,AK_NAMA,0)),"?"))</f>
        <v/>
      </c>
      <c r="P1592" s="102" t="str">
        <f aca="false">IF(D1592="","",IFERROR(INDEX(AK_KEL,MATCH(D1592,AK_NAMA,0)),"?"))</f>
        <v/>
      </c>
      <c r="Q1592" s="102" t="n">
        <f aca="false">N(Q1591)+IF(AND(N(E1592)&lt;&gt;0,K1592=TAHUN,N(J1592)&lt;=BLN,OR(C1592=BB_AKUN,D1592=BB_AKUN)),1,0)</f>
        <v>877</v>
      </c>
      <c r="R1592" s="104" t="str">
        <f aca="false">IF(OR(C1592&amp;D1592="",N(E1592)=0),"",IF(OR(O1592="?",P1592="?"),"⚠ akun tidak dikenal",IF(C1592=D1592,"⚠ debet = kredit","")))</f>
        <v/>
      </c>
    </row>
    <row r="1593" customFormat="false" ht="15" hidden="false" customHeight="false" outlineLevel="0" collapsed="false">
      <c r="A1593" s="5"/>
      <c r="B1593" s="83"/>
      <c r="C1593" s="5"/>
      <c r="D1593" s="5"/>
      <c r="E1593" s="44"/>
      <c r="F1593" s="5"/>
      <c r="G1593" s="5"/>
      <c r="H1593" s="5"/>
      <c r="I1593" s="5"/>
      <c r="J1593" s="102" t="str">
        <f aca="false">IF(B1593="","",MONTH(B1593))</f>
        <v/>
      </c>
      <c r="K1593" s="102" t="str">
        <f aca="false">IF(B1593="","",YEAR(B1593))</f>
        <v/>
      </c>
      <c r="L1593" s="102" t="str">
        <f aca="false">IF(N(E1593)=0,"",IF(COUNTIFS(AK_NAMA,C1593,AK_KAT,"KAS")+COUNTIFS(AK_NAMA,D1593,AK_KAT,"KAS")&lt;&gt;1,"",IF(COUNTIFS(AK_NAMA,C1593,AK_KAT,"KAS")=1,D1593,C1593)))</f>
        <v/>
      </c>
      <c r="M1593" s="103" t="n">
        <f aca="false">IF(L1593="",0,IF(L1593=D1593,E1593,-E1593))</f>
        <v>0</v>
      </c>
      <c r="N1593" s="102" t="str">
        <f aca="false">IF(L1593="","",IFERROR(INDEX(AK_BARIS,MATCH(L1593,AK_NAMA,0)),"?"))</f>
        <v/>
      </c>
      <c r="O1593" s="102" t="str">
        <f aca="false">IF(C1593="","",IFERROR(INDEX(AK_KEL,MATCH(C1593,AK_NAMA,0)),"?"))</f>
        <v/>
      </c>
      <c r="P1593" s="102" t="str">
        <f aca="false">IF(D1593="","",IFERROR(INDEX(AK_KEL,MATCH(D1593,AK_NAMA,0)),"?"))</f>
        <v/>
      </c>
      <c r="Q1593" s="102" t="n">
        <f aca="false">N(Q1592)+IF(AND(N(E1593)&lt;&gt;0,K1593=TAHUN,N(J1593)&lt;=BLN,OR(C1593=BB_AKUN,D1593=BB_AKUN)),1,0)</f>
        <v>877</v>
      </c>
      <c r="R1593" s="104" t="str">
        <f aca="false">IF(OR(C1593&amp;D1593="",N(E1593)=0),"",IF(OR(O1593="?",P1593="?"),"⚠ akun tidak dikenal",IF(C1593=D1593,"⚠ debet = kredit","")))</f>
        <v/>
      </c>
    </row>
    <row r="1594" customFormat="false" ht="15" hidden="false" customHeight="false" outlineLevel="0" collapsed="false">
      <c r="A1594" s="5"/>
      <c r="B1594" s="83"/>
      <c r="C1594" s="5"/>
      <c r="D1594" s="5"/>
      <c r="E1594" s="44"/>
      <c r="F1594" s="5"/>
      <c r="G1594" s="5"/>
      <c r="H1594" s="5"/>
      <c r="I1594" s="5"/>
      <c r="J1594" s="102" t="str">
        <f aca="false">IF(B1594="","",MONTH(B1594))</f>
        <v/>
      </c>
      <c r="K1594" s="102" t="str">
        <f aca="false">IF(B1594="","",YEAR(B1594))</f>
        <v/>
      </c>
      <c r="L1594" s="102" t="str">
        <f aca="false">IF(N(E1594)=0,"",IF(COUNTIFS(AK_NAMA,C1594,AK_KAT,"KAS")+COUNTIFS(AK_NAMA,D1594,AK_KAT,"KAS")&lt;&gt;1,"",IF(COUNTIFS(AK_NAMA,C1594,AK_KAT,"KAS")=1,D1594,C1594)))</f>
        <v/>
      </c>
      <c r="M1594" s="103" t="n">
        <f aca="false">IF(L1594="",0,IF(L1594=D1594,E1594,-E1594))</f>
        <v>0</v>
      </c>
      <c r="N1594" s="102" t="str">
        <f aca="false">IF(L1594="","",IFERROR(INDEX(AK_BARIS,MATCH(L1594,AK_NAMA,0)),"?"))</f>
        <v/>
      </c>
      <c r="O1594" s="102" t="str">
        <f aca="false">IF(C1594="","",IFERROR(INDEX(AK_KEL,MATCH(C1594,AK_NAMA,0)),"?"))</f>
        <v/>
      </c>
      <c r="P1594" s="102" t="str">
        <f aca="false">IF(D1594="","",IFERROR(INDEX(AK_KEL,MATCH(D1594,AK_NAMA,0)),"?"))</f>
        <v/>
      </c>
      <c r="Q1594" s="102" t="n">
        <f aca="false">N(Q1593)+IF(AND(N(E1594)&lt;&gt;0,K1594=TAHUN,N(J1594)&lt;=BLN,OR(C1594=BB_AKUN,D1594=BB_AKUN)),1,0)</f>
        <v>877</v>
      </c>
      <c r="R1594" s="104" t="str">
        <f aca="false">IF(OR(C1594&amp;D1594="",N(E1594)=0),"",IF(OR(O1594="?",P1594="?"),"⚠ akun tidak dikenal",IF(C1594=D1594,"⚠ debet = kredit","")))</f>
        <v/>
      </c>
    </row>
    <row r="1595" customFormat="false" ht="15" hidden="false" customHeight="false" outlineLevel="0" collapsed="false">
      <c r="A1595" s="5"/>
      <c r="B1595" s="83"/>
      <c r="C1595" s="5"/>
      <c r="D1595" s="5"/>
      <c r="E1595" s="44"/>
      <c r="F1595" s="5"/>
      <c r="G1595" s="5"/>
      <c r="H1595" s="5"/>
      <c r="I1595" s="5"/>
      <c r="J1595" s="102" t="str">
        <f aca="false">IF(B1595="","",MONTH(B1595))</f>
        <v/>
      </c>
      <c r="K1595" s="102" t="str">
        <f aca="false">IF(B1595="","",YEAR(B1595))</f>
        <v/>
      </c>
      <c r="L1595" s="102" t="str">
        <f aca="false">IF(N(E1595)=0,"",IF(COUNTIFS(AK_NAMA,C1595,AK_KAT,"KAS")+COUNTIFS(AK_NAMA,D1595,AK_KAT,"KAS")&lt;&gt;1,"",IF(COUNTIFS(AK_NAMA,C1595,AK_KAT,"KAS")=1,D1595,C1595)))</f>
        <v/>
      </c>
      <c r="M1595" s="103" t="n">
        <f aca="false">IF(L1595="",0,IF(L1595=D1595,E1595,-E1595))</f>
        <v>0</v>
      </c>
      <c r="N1595" s="102" t="str">
        <f aca="false">IF(L1595="","",IFERROR(INDEX(AK_BARIS,MATCH(L1595,AK_NAMA,0)),"?"))</f>
        <v/>
      </c>
      <c r="O1595" s="102" t="str">
        <f aca="false">IF(C1595="","",IFERROR(INDEX(AK_KEL,MATCH(C1595,AK_NAMA,0)),"?"))</f>
        <v/>
      </c>
      <c r="P1595" s="102" t="str">
        <f aca="false">IF(D1595="","",IFERROR(INDEX(AK_KEL,MATCH(D1595,AK_NAMA,0)),"?"))</f>
        <v/>
      </c>
      <c r="Q1595" s="102" t="n">
        <f aca="false">N(Q1594)+IF(AND(N(E1595)&lt;&gt;0,K1595=TAHUN,N(J1595)&lt;=BLN,OR(C1595=BB_AKUN,D1595=BB_AKUN)),1,0)</f>
        <v>877</v>
      </c>
      <c r="R1595" s="104" t="str">
        <f aca="false">IF(OR(C1595&amp;D1595="",N(E1595)=0),"",IF(OR(O1595="?",P1595="?"),"⚠ akun tidak dikenal",IF(C1595=D1595,"⚠ debet = kredit","")))</f>
        <v/>
      </c>
    </row>
    <row r="1596" customFormat="false" ht="15" hidden="false" customHeight="false" outlineLevel="0" collapsed="false">
      <c r="A1596" s="5"/>
      <c r="B1596" s="83"/>
      <c r="C1596" s="5"/>
      <c r="D1596" s="5"/>
      <c r="E1596" s="44"/>
      <c r="F1596" s="5"/>
      <c r="G1596" s="5"/>
      <c r="H1596" s="5"/>
      <c r="I1596" s="5"/>
      <c r="J1596" s="102" t="str">
        <f aca="false">IF(B1596="","",MONTH(B1596))</f>
        <v/>
      </c>
      <c r="K1596" s="102" t="str">
        <f aca="false">IF(B1596="","",YEAR(B1596))</f>
        <v/>
      </c>
      <c r="L1596" s="102" t="str">
        <f aca="false">IF(N(E1596)=0,"",IF(COUNTIFS(AK_NAMA,C1596,AK_KAT,"KAS")+COUNTIFS(AK_NAMA,D1596,AK_KAT,"KAS")&lt;&gt;1,"",IF(COUNTIFS(AK_NAMA,C1596,AK_KAT,"KAS")=1,D1596,C1596)))</f>
        <v/>
      </c>
      <c r="M1596" s="103" t="n">
        <f aca="false">IF(L1596="",0,IF(L1596=D1596,E1596,-E1596))</f>
        <v>0</v>
      </c>
      <c r="N1596" s="102" t="str">
        <f aca="false">IF(L1596="","",IFERROR(INDEX(AK_BARIS,MATCH(L1596,AK_NAMA,0)),"?"))</f>
        <v/>
      </c>
      <c r="O1596" s="102" t="str">
        <f aca="false">IF(C1596="","",IFERROR(INDEX(AK_KEL,MATCH(C1596,AK_NAMA,0)),"?"))</f>
        <v/>
      </c>
      <c r="P1596" s="102" t="str">
        <f aca="false">IF(D1596="","",IFERROR(INDEX(AK_KEL,MATCH(D1596,AK_NAMA,0)),"?"))</f>
        <v/>
      </c>
      <c r="Q1596" s="102" t="n">
        <f aca="false">N(Q1595)+IF(AND(N(E1596)&lt;&gt;0,K1596=TAHUN,N(J1596)&lt;=BLN,OR(C1596=BB_AKUN,D1596=BB_AKUN)),1,0)</f>
        <v>877</v>
      </c>
      <c r="R1596" s="104" t="str">
        <f aca="false">IF(OR(C1596&amp;D1596="",N(E1596)=0),"",IF(OR(O1596="?",P1596="?"),"⚠ akun tidak dikenal",IF(C1596=D1596,"⚠ debet = kredit","")))</f>
        <v/>
      </c>
    </row>
    <row r="1597" customFormat="false" ht="15" hidden="false" customHeight="false" outlineLevel="0" collapsed="false">
      <c r="A1597" s="5"/>
      <c r="B1597" s="83"/>
      <c r="C1597" s="5"/>
      <c r="D1597" s="5"/>
      <c r="E1597" s="44"/>
      <c r="F1597" s="5"/>
      <c r="G1597" s="5"/>
      <c r="H1597" s="5"/>
      <c r="I1597" s="5"/>
      <c r="J1597" s="102" t="str">
        <f aca="false">IF(B1597="","",MONTH(B1597))</f>
        <v/>
      </c>
      <c r="K1597" s="102" t="str">
        <f aca="false">IF(B1597="","",YEAR(B1597))</f>
        <v/>
      </c>
      <c r="L1597" s="102" t="str">
        <f aca="false">IF(N(E1597)=0,"",IF(COUNTIFS(AK_NAMA,C1597,AK_KAT,"KAS")+COUNTIFS(AK_NAMA,D1597,AK_KAT,"KAS")&lt;&gt;1,"",IF(COUNTIFS(AK_NAMA,C1597,AK_KAT,"KAS")=1,D1597,C1597)))</f>
        <v/>
      </c>
      <c r="M1597" s="103" t="n">
        <f aca="false">IF(L1597="",0,IF(L1597=D1597,E1597,-E1597))</f>
        <v>0</v>
      </c>
      <c r="N1597" s="102" t="str">
        <f aca="false">IF(L1597="","",IFERROR(INDEX(AK_BARIS,MATCH(L1597,AK_NAMA,0)),"?"))</f>
        <v/>
      </c>
      <c r="O1597" s="102" t="str">
        <f aca="false">IF(C1597="","",IFERROR(INDEX(AK_KEL,MATCH(C1597,AK_NAMA,0)),"?"))</f>
        <v/>
      </c>
      <c r="P1597" s="102" t="str">
        <f aca="false">IF(D1597="","",IFERROR(INDEX(AK_KEL,MATCH(D1597,AK_NAMA,0)),"?"))</f>
        <v/>
      </c>
      <c r="Q1597" s="102" t="n">
        <f aca="false">N(Q1596)+IF(AND(N(E1597)&lt;&gt;0,K1597=TAHUN,N(J1597)&lt;=BLN,OR(C1597=BB_AKUN,D1597=BB_AKUN)),1,0)</f>
        <v>877</v>
      </c>
      <c r="R1597" s="104" t="str">
        <f aca="false">IF(OR(C1597&amp;D1597="",N(E1597)=0),"",IF(OR(O1597="?",P1597="?"),"⚠ akun tidak dikenal",IF(C1597=D1597,"⚠ debet = kredit","")))</f>
        <v/>
      </c>
    </row>
    <row r="1598" customFormat="false" ht="15" hidden="false" customHeight="false" outlineLevel="0" collapsed="false">
      <c r="A1598" s="5"/>
      <c r="B1598" s="83"/>
      <c r="C1598" s="5"/>
      <c r="D1598" s="5"/>
      <c r="E1598" s="44"/>
      <c r="F1598" s="5"/>
      <c r="G1598" s="5"/>
      <c r="H1598" s="5"/>
      <c r="I1598" s="5"/>
      <c r="J1598" s="102" t="str">
        <f aca="false">IF(B1598="","",MONTH(B1598))</f>
        <v/>
      </c>
      <c r="K1598" s="102" t="str">
        <f aca="false">IF(B1598="","",YEAR(B1598))</f>
        <v/>
      </c>
      <c r="L1598" s="102" t="str">
        <f aca="false">IF(N(E1598)=0,"",IF(COUNTIFS(AK_NAMA,C1598,AK_KAT,"KAS")+COUNTIFS(AK_NAMA,D1598,AK_KAT,"KAS")&lt;&gt;1,"",IF(COUNTIFS(AK_NAMA,C1598,AK_KAT,"KAS")=1,D1598,C1598)))</f>
        <v/>
      </c>
      <c r="M1598" s="103" t="n">
        <f aca="false">IF(L1598="",0,IF(L1598=D1598,E1598,-E1598))</f>
        <v>0</v>
      </c>
      <c r="N1598" s="102" t="str">
        <f aca="false">IF(L1598="","",IFERROR(INDEX(AK_BARIS,MATCH(L1598,AK_NAMA,0)),"?"))</f>
        <v/>
      </c>
      <c r="O1598" s="102" t="str">
        <f aca="false">IF(C1598="","",IFERROR(INDEX(AK_KEL,MATCH(C1598,AK_NAMA,0)),"?"))</f>
        <v/>
      </c>
      <c r="P1598" s="102" t="str">
        <f aca="false">IF(D1598="","",IFERROR(INDEX(AK_KEL,MATCH(D1598,AK_NAMA,0)),"?"))</f>
        <v/>
      </c>
      <c r="Q1598" s="102" t="n">
        <f aca="false">N(Q1597)+IF(AND(N(E1598)&lt;&gt;0,K1598=TAHUN,N(J1598)&lt;=BLN,OR(C1598=BB_AKUN,D1598=BB_AKUN)),1,0)</f>
        <v>877</v>
      </c>
      <c r="R1598" s="104" t="str">
        <f aca="false">IF(OR(C1598&amp;D1598="",N(E1598)=0),"",IF(OR(O1598="?",P1598="?"),"⚠ akun tidak dikenal",IF(C1598=D1598,"⚠ debet = kredit","")))</f>
        <v/>
      </c>
    </row>
    <row r="1599" customFormat="false" ht="15" hidden="false" customHeight="false" outlineLevel="0" collapsed="false">
      <c r="A1599" s="5"/>
      <c r="B1599" s="83"/>
      <c r="C1599" s="5"/>
      <c r="D1599" s="5"/>
      <c r="E1599" s="44"/>
      <c r="F1599" s="5"/>
      <c r="G1599" s="5"/>
      <c r="H1599" s="5"/>
      <c r="I1599" s="5"/>
      <c r="J1599" s="102" t="str">
        <f aca="false">IF(B1599="","",MONTH(B1599))</f>
        <v/>
      </c>
      <c r="K1599" s="102" t="str">
        <f aca="false">IF(B1599="","",YEAR(B1599))</f>
        <v/>
      </c>
      <c r="L1599" s="102" t="str">
        <f aca="false">IF(N(E1599)=0,"",IF(COUNTIFS(AK_NAMA,C1599,AK_KAT,"KAS")+COUNTIFS(AK_NAMA,D1599,AK_KAT,"KAS")&lt;&gt;1,"",IF(COUNTIFS(AK_NAMA,C1599,AK_KAT,"KAS")=1,D1599,C1599)))</f>
        <v/>
      </c>
      <c r="M1599" s="103" t="n">
        <f aca="false">IF(L1599="",0,IF(L1599=D1599,E1599,-E1599))</f>
        <v>0</v>
      </c>
      <c r="N1599" s="102" t="str">
        <f aca="false">IF(L1599="","",IFERROR(INDEX(AK_BARIS,MATCH(L1599,AK_NAMA,0)),"?"))</f>
        <v/>
      </c>
      <c r="O1599" s="102" t="str">
        <f aca="false">IF(C1599="","",IFERROR(INDEX(AK_KEL,MATCH(C1599,AK_NAMA,0)),"?"))</f>
        <v/>
      </c>
      <c r="P1599" s="102" t="str">
        <f aca="false">IF(D1599="","",IFERROR(INDEX(AK_KEL,MATCH(D1599,AK_NAMA,0)),"?"))</f>
        <v/>
      </c>
      <c r="Q1599" s="102" t="n">
        <f aca="false">N(Q1598)+IF(AND(N(E1599)&lt;&gt;0,K1599=TAHUN,N(J1599)&lt;=BLN,OR(C1599=BB_AKUN,D1599=BB_AKUN)),1,0)</f>
        <v>877</v>
      </c>
      <c r="R1599" s="104" t="str">
        <f aca="false">IF(OR(C1599&amp;D1599="",N(E1599)=0),"",IF(OR(O1599="?",P1599="?"),"⚠ akun tidak dikenal",IF(C1599=D1599,"⚠ debet = kredit","")))</f>
        <v/>
      </c>
    </row>
    <row r="1600" customFormat="false" ht="15" hidden="false" customHeight="false" outlineLevel="0" collapsed="false">
      <c r="A1600" s="5"/>
      <c r="B1600" s="83"/>
      <c r="C1600" s="5"/>
      <c r="D1600" s="5"/>
      <c r="E1600" s="44"/>
      <c r="F1600" s="5"/>
      <c r="G1600" s="5"/>
      <c r="H1600" s="5"/>
      <c r="I1600" s="5"/>
      <c r="J1600" s="102" t="str">
        <f aca="false">IF(B1600="","",MONTH(B1600))</f>
        <v/>
      </c>
      <c r="K1600" s="102" t="str">
        <f aca="false">IF(B1600="","",YEAR(B1600))</f>
        <v/>
      </c>
      <c r="L1600" s="102" t="str">
        <f aca="false">IF(N(E1600)=0,"",IF(COUNTIFS(AK_NAMA,C1600,AK_KAT,"KAS")+COUNTIFS(AK_NAMA,D1600,AK_KAT,"KAS")&lt;&gt;1,"",IF(COUNTIFS(AK_NAMA,C1600,AK_KAT,"KAS")=1,D1600,C1600)))</f>
        <v/>
      </c>
      <c r="M1600" s="103" t="n">
        <f aca="false">IF(L1600="",0,IF(L1600=D1600,E1600,-E1600))</f>
        <v>0</v>
      </c>
      <c r="N1600" s="102" t="str">
        <f aca="false">IF(L1600="","",IFERROR(INDEX(AK_BARIS,MATCH(L1600,AK_NAMA,0)),"?"))</f>
        <v/>
      </c>
      <c r="O1600" s="102" t="str">
        <f aca="false">IF(C1600="","",IFERROR(INDEX(AK_KEL,MATCH(C1600,AK_NAMA,0)),"?"))</f>
        <v/>
      </c>
      <c r="P1600" s="102" t="str">
        <f aca="false">IF(D1600="","",IFERROR(INDEX(AK_KEL,MATCH(D1600,AK_NAMA,0)),"?"))</f>
        <v/>
      </c>
      <c r="Q1600" s="102" t="n">
        <f aca="false">N(Q1599)+IF(AND(N(E1600)&lt;&gt;0,K1600=TAHUN,N(J1600)&lt;=BLN,OR(C1600=BB_AKUN,D1600=BB_AKUN)),1,0)</f>
        <v>877</v>
      </c>
      <c r="R1600" s="104" t="str">
        <f aca="false">IF(OR(C1600&amp;D1600="",N(E1600)=0),"",IF(OR(O1600="?",P1600="?"),"⚠ akun tidak dikenal",IF(C1600=D1600,"⚠ debet = kredit","")))</f>
        <v/>
      </c>
    </row>
    <row r="1601" customFormat="false" ht="15" hidden="false" customHeight="false" outlineLevel="0" collapsed="false">
      <c r="A1601" s="5"/>
      <c r="B1601" s="83"/>
      <c r="C1601" s="5"/>
      <c r="D1601" s="5"/>
      <c r="E1601" s="44"/>
      <c r="F1601" s="5"/>
      <c r="G1601" s="5"/>
      <c r="H1601" s="5"/>
      <c r="I1601" s="5"/>
      <c r="J1601" s="102" t="str">
        <f aca="false">IF(B1601="","",MONTH(B1601))</f>
        <v/>
      </c>
      <c r="K1601" s="102" t="str">
        <f aca="false">IF(B1601="","",YEAR(B1601))</f>
        <v/>
      </c>
      <c r="L1601" s="102" t="str">
        <f aca="false">IF(N(E1601)=0,"",IF(COUNTIFS(AK_NAMA,C1601,AK_KAT,"KAS")+COUNTIFS(AK_NAMA,D1601,AK_KAT,"KAS")&lt;&gt;1,"",IF(COUNTIFS(AK_NAMA,C1601,AK_KAT,"KAS")=1,D1601,C1601)))</f>
        <v/>
      </c>
      <c r="M1601" s="103" t="n">
        <f aca="false">IF(L1601="",0,IF(L1601=D1601,E1601,-E1601))</f>
        <v>0</v>
      </c>
      <c r="N1601" s="102" t="str">
        <f aca="false">IF(L1601="","",IFERROR(INDEX(AK_BARIS,MATCH(L1601,AK_NAMA,0)),"?"))</f>
        <v/>
      </c>
      <c r="O1601" s="102" t="str">
        <f aca="false">IF(C1601="","",IFERROR(INDEX(AK_KEL,MATCH(C1601,AK_NAMA,0)),"?"))</f>
        <v/>
      </c>
      <c r="P1601" s="102" t="str">
        <f aca="false">IF(D1601="","",IFERROR(INDEX(AK_KEL,MATCH(D1601,AK_NAMA,0)),"?"))</f>
        <v/>
      </c>
      <c r="Q1601" s="102" t="n">
        <f aca="false">N(Q1600)+IF(AND(N(E1601)&lt;&gt;0,K1601=TAHUN,N(J1601)&lt;=BLN,OR(C1601=BB_AKUN,D1601=BB_AKUN)),1,0)</f>
        <v>877</v>
      </c>
      <c r="R1601" s="104" t="str">
        <f aca="false">IF(OR(C1601&amp;D1601="",N(E1601)=0),"",IF(OR(O1601="?",P1601="?"),"⚠ akun tidak dikenal",IF(C1601=D1601,"⚠ debet = kredit","")))</f>
        <v/>
      </c>
    </row>
    <row r="1602" customFormat="false" ht="15" hidden="false" customHeight="false" outlineLevel="0" collapsed="false">
      <c r="A1602" s="5"/>
      <c r="B1602" s="83"/>
      <c r="C1602" s="5"/>
      <c r="D1602" s="5"/>
      <c r="E1602" s="44"/>
      <c r="F1602" s="5"/>
      <c r="G1602" s="5"/>
      <c r="H1602" s="5"/>
      <c r="I1602" s="5"/>
      <c r="J1602" s="102" t="str">
        <f aca="false">IF(B1602="","",MONTH(B1602))</f>
        <v/>
      </c>
      <c r="K1602" s="102" t="str">
        <f aca="false">IF(B1602="","",YEAR(B1602))</f>
        <v/>
      </c>
      <c r="L1602" s="102" t="str">
        <f aca="false">IF(N(E1602)=0,"",IF(COUNTIFS(AK_NAMA,C1602,AK_KAT,"KAS")+COUNTIFS(AK_NAMA,D1602,AK_KAT,"KAS")&lt;&gt;1,"",IF(COUNTIFS(AK_NAMA,C1602,AK_KAT,"KAS")=1,D1602,C1602)))</f>
        <v/>
      </c>
      <c r="M1602" s="103" t="n">
        <f aca="false">IF(L1602="",0,IF(L1602=D1602,E1602,-E1602))</f>
        <v>0</v>
      </c>
      <c r="N1602" s="102" t="str">
        <f aca="false">IF(L1602="","",IFERROR(INDEX(AK_BARIS,MATCH(L1602,AK_NAMA,0)),"?"))</f>
        <v/>
      </c>
      <c r="O1602" s="102" t="str">
        <f aca="false">IF(C1602="","",IFERROR(INDEX(AK_KEL,MATCH(C1602,AK_NAMA,0)),"?"))</f>
        <v/>
      </c>
      <c r="P1602" s="102" t="str">
        <f aca="false">IF(D1602="","",IFERROR(INDEX(AK_KEL,MATCH(D1602,AK_NAMA,0)),"?"))</f>
        <v/>
      </c>
      <c r="Q1602" s="102" t="n">
        <f aca="false">N(Q1601)+IF(AND(N(E1602)&lt;&gt;0,K1602=TAHUN,N(J1602)&lt;=BLN,OR(C1602=BB_AKUN,D1602=BB_AKUN)),1,0)</f>
        <v>877</v>
      </c>
      <c r="R1602" s="104" t="str">
        <f aca="false">IF(OR(C1602&amp;D1602="",N(E1602)=0),"",IF(OR(O1602="?",P1602="?"),"⚠ akun tidak dikenal",IF(C1602=D1602,"⚠ debet = kredit","")))</f>
        <v/>
      </c>
    </row>
    <row r="1603" customFormat="false" ht="15" hidden="false" customHeight="false" outlineLevel="0" collapsed="false">
      <c r="A1603" s="5"/>
      <c r="B1603" s="83"/>
      <c r="C1603" s="5"/>
      <c r="D1603" s="5"/>
      <c r="E1603" s="44"/>
      <c r="F1603" s="5"/>
      <c r="G1603" s="5"/>
      <c r="H1603" s="5"/>
      <c r="I1603" s="5"/>
      <c r="J1603" s="102" t="str">
        <f aca="false">IF(B1603="","",MONTH(B1603))</f>
        <v/>
      </c>
      <c r="K1603" s="102" t="str">
        <f aca="false">IF(B1603="","",YEAR(B1603))</f>
        <v/>
      </c>
      <c r="L1603" s="102" t="str">
        <f aca="false">IF(N(E1603)=0,"",IF(COUNTIFS(AK_NAMA,C1603,AK_KAT,"KAS")+COUNTIFS(AK_NAMA,D1603,AK_KAT,"KAS")&lt;&gt;1,"",IF(COUNTIFS(AK_NAMA,C1603,AK_KAT,"KAS")=1,D1603,C1603)))</f>
        <v/>
      </c>
      <c r="M1603" s="103" t="n">
        <f aca="false">IF(L1603="",0,IF(L1603=D1603,E1603,-E1603))</f>
        <v>0</v>
      </c>
      <c r="N1603" s="102" t="str">
        <f aca="false">IF(L1603="","",IFERROR(INDEX(AK_BARIS,MATCH(L1603,AK_NAMA,0)),"?"))</f>
        <v/>
      </c>
      <c r="O1603" s="102" t="str">
        <f aca="false">IF(C1603="","",IFERROR(INDEX(AK_KEL,MATCH(C1603,AK_NAMA,0)),"?"))</f>
        <v/>
      </c>
      <c r="P1603" s="102" t="str">
        <f aca="false">IF(D1603="","",IFERROR(INDEX(AK_KEL,MATCH(D1603,AK_NAMA,0)),"?"))</f>
        <v/>
      </c>
      <c r="Q1603" s="102" t="n">
        <f aca="false">N(Q1602)+IF(AND(N(E1603)&lt;&gt;0,K1603=TAHUN,N(J1603)&lt;=BLN,OR(C1603=BB_AKUN,D1603=BB_AKUN)),1,0)</f>
        <v>877</v>
      </c>
      <c r="R1603" s="104" t="str">
        <f aca="false">IF(OR(C1603&amp;D1603="",N(E1603)=0),"",IF(OR(O1603="?",P1603="?"),"⚠ akun tidak dikenal",IF(C1603=D1603,"⚠ debet = kredit","")))</f>
        <v/>
      </c>
    </row>
    <row r="1604" customFormat="false" ht="15" hidden="false" customHeight="false" outlineLevel="0" collapsed="false">
      <c r="A1604" s="5"/>
      <c r="B1604" s="83"/>
      <c r="C1604" s="5"/>
      <c r="D1604" s="5"/>
      <c r="E1604" s="44"/>
      <c r="F1604" s="5"/>
      <c r="G1604" s="5"/>
      <c r="H1604" s="5"/>
      <c r="I1604" s="5"/>
      <c r="J1604" s="102" t="str">
        <f aca="false">IF(B1604="","",MONTH(B1604))</f>
        <v/>
      </c>
      <c r="K1604" s="102" t="str">
        <f aca="false">IF(B1604="","",YEAR(B1604))</f>
        <v/>
      </c>
      <c r="L1604" s="102" t="str">
        <f aca="false">IF(N(E1604)=0,"",IF(COUNTIFS(AK_NAMA,C1604,AK_KAT,"KAS")+COUNTIFS(AK_NAMA,D1604,AK_KAT,"KAS")&lt;&gt;1,"",IF(COUNTIFS(AK_NAMA,C1604,AK_KAT,"KAS")=1,D1604,C1604)))</f>
        <v/>
      </c>
      <c r="M1604" s="103" t="n">
        <f aca="false">IF(L1604="",0,IF(L1604=D1604,E1604,-E1604))</f>
        <v>0</v>
      </c>
      <c r="N1604" s="102" t="str">
        <f aca="false">IF(L1604="","",IFERROR(INDEX(AK_BARIS,MATCH(L1604,AK_NAMA,0)),"?"))</f>
        <v/>
      </c>
      <c r="O1604" s="102" t="str">
        <f aca="false">IF(C1604="","",IFERROR(INDEX(AK_KEL,MATCH(C1604,AK_NAMA,0)),"?"))</f>
        <v/>
      </c>
      <c r="P1604" s="102" t="str">
        <f aca="false">IF(D1604="","",IFERROR(INDEX(AK_KEL,MATCH(D1604,AK_NAMA,0)),"?"))</f>
        <v/>
      </c>
      <c r="Q1604" s="102" t="n">
        <f aca="false">N(Q1603)+IF(AND(N(E1604)&lt;&gt;0,K1604=TAHUN,N(J1604)&lt;=BLN,OR(C1604=BB_AKUN,D1604=BB_AKUN)),1,0)</f>
        <v>877</v>
      </c>
      <c r="R1604" s="104" t="str">
        <f aca="false">IF(OR(C1604&amp;D1604="",N(E1604)=0),"",IF(OR(O1604="?",P1604="?"),"⚠ akun tidak dikenal",IF(C1604=D1604,"⚠ debet = kredit","")))</f>
        <v/>
      </c>
    </row>
    <row r="1605" customFormat="false" ht="15" hidden="false" customHeight="false" outlineLevel="0" collapsed="false">
      <c r="A1605" s="5"/>
      <c r="B1605" s="83"/>
      <c r="C1605" s="5"/>
      <c r="D1605" s="5"/>
      <c r="E1605" s="44"/>
      <c r="F1605" s="5"/>
      <c r="G1605" s="5"/>
      <c r="H1605" s="5"/>
      <c r="I1605" s="5"/>
      <c r="J1605" s="102" t="str">
        <f aca="false">IF(B1605="","",MONTH(B1605))</f>
        <v/>
      </c>
      <c r="K1605" s="102" t="str">
        <f aca="false">IF(B1605="","",YEAR(B1605))</f>
        <v/>
      </c>
      <c r="L1605" s="102" t="str">
        <f aca="false">IF(N(E1605)=0,"",IF(COUNTIFS(AK_NAMA,C1605,AK_KAT,"KAS")+COUNTIFS(AK_NAMA,D1605,AK_KAT,"KAS")&lt;&gt;1,"",IF(COUNTIFS(AK_NAMA,C1605,AK_KAT,"KAS")=1,D1605,C1605)))</f>
        <v/>
      </c>
      <c r="M1605" s="103" t="n">
        <f aca="false">IF(L1605="",0,IF(L1605=D1605,E1605,-E1605))</f>
        <v>0</v>
      </c>
      <c r="N1605" s="102" t="str">
        <f aca="false">IF(L1605="","",IFERROR(INDEX(AK_BARIS,MATCH(L1605,AK_NAMA,0)),"?"))</f>
        <v/>
      </c>
      <c r="O1605" s="102" t="str">
        <f aca="false">IF(C1605="","",IFERROR(INDEX(AK_KEL,MATCH(C1605,AK_NAMA,0)),"?"))</f>
        <v/>
      </c>
      <c r="P1605" s="102" t="str">
        <f aca="false">IF(D1605="","",IFERROR(INDEX(AK_KEL,MATCH(D1605,AK_NAMA,0)),"?"))</f>
        <v/>
      </c>
      <c r="Q1605" s="102" t="n">
        <f aca="false">N(Q1604)+IF(AND(N(E1605)&lt;&gt;0,K1605=TAHUN,N(J1605)&lt;=BLN,OR(C1605=BB_AKUN,D1605=BB_AKUN)),1,0)</f>
        <v>877</v>
      </c>
      <c r="R1605" s="104" t="str">
        <f aca="false">IF(OR(C1605&amp;D1605="",N(E1605)=0),"",IF(OR(O1605="?",P1605="?"),"⚠ akun tidak dikenal",IF(C1605=D1605,"⚠ debet = kredit","")))</f>
        <v/>
      </c>
    </row>
    <row r="1606" customFormat="false" ht="15" hidden="false" customHeight="false" outlineLevel="0" collapsed="false">
      <c r="A1606" s="5"/>
      <c r="B1606" s="83"/>
      <c r="C1606" s="5"/>
      <c r="D1606" s="5"/>
      <c r="E1606" s="44"/>
      <c r="F1606" s="5"/>
      <c r="G1606" s="5"/>
      <c r="H1606" s="5"/>
      <c r="I1606" s="5"/>
      <c r="J1606" s="102" t="str">
        <f aca="false">IF(B1606="","",MONTH(B1606))</f>
        <v/>
      </c>
      <c r="K1606" s="102" t="str">
        <f aca="false">IF(B1606="","",YEAR(B1606))</f>
        <v/>
      </c>
      <c r="L1606" s="102" t="str">
        <f aca="false">IF(N(E1606)=0,"",IF(COUNTIFS(AK_NAMA,C1606,AK_KAT,"KAS")+COUNTIFS(AK_NAMA,D1606,AK_KAT,"KAS")&lt;&gt;1,"",IF(COUNTIFS(AK_NAMA,C1606,AK_KAT,"KAS")=1,D1606,C1606)))</f>
        <v/>
      </c>
      <c r="M1606" s="103" t="n">
        <f aca="false">IF(L1606="",0,IF(L1606=D1606,E1606,-E1606))</f>
        <v>0</v>
      </c>
      <c r="N1606" s="102" t="str">
        <f aca="false">IF(L1606="","",IFERROR(INDEX(AK_BARIS,MATCH(L1606,AK_NAMA,0)),"?"))</f>
        <v/>
      </c>
      <c r="O1606" s="102" t="str">
        <f aca="false">IF(C1606="","",IFERROR(INDEX(AK_KEL,MATCH(C1606,AK_NAMA,0)),"?"))</f>
        <v/>
      </c>
      <c r="P1606" s="102" t="str">
        <f aca="false">IF(D1606="","",IFERROR(INDEX(AK_KEL,MATCH(D1606,AK_NAMA,0)),"?"))</f>
        <v/>
      </c>
      <c r="Q1606" s="102" t="n">
        <f aca="false">N(Q1605)+IF(AND(N(E1606)&lt;&gt;0,K1606=TAHUN,N(J1606)&lt;=BLN,OR(C1606=BB_AKUN,D1606=BB_AKUN)),1,0)</f>
        <v>877</v>
      </c>
      <c r="R1606" s="104" t="str">
        <f aca="false">IF(OR(C1606&amp;D1606="",N(E1606)=0),"",IF(OR(O1606="?",P1606="?"),"⚠ akun tidak dikenal",IF(C1606=D1606,"⚠ debet = kredit","")))</f>
        <v/>
      </c>
    </row>
    <row r="1607" customFormat="false" ht="15" hidden="false" customHeight="false" outlineLevel="0" collapsed="false">
      <c r="A1607" s="5"/>
      <c r="B1607" s="83"/>
      <c r="C1607" s="5"/>
      <c r="D1607" s="5"/>
      <c r="E1607" s="44"/>
      <c r="F1607" s="5"/>
      <c r="G1607" s="5"/>
      <c r="H1607" s="5"/>
      <c r="I1607" s="5"/>
      <c r="J1607" s="102" t="str">
        <f aca="false">IF(B1607="","",MONTH(B1607))</f>
        <v/>
      </c>
      <c r="K1607" s="102" t="str">
        <f aca="false">IF(B1607="","",YEAR(B1607))</f>
        <v/>
      </c>
      <c r="L1607" s="102" t="str">
        <f aca="false">IF(N(E1607)=0,"",IF(COUNTIFS(AK_NAMA,C1607,AK_KAT,"KAS")+COUNTIFS(AK_NAMA,D1607,AK_KAT,"KAS")&lt;&gt;1,"",IF(COUNTIFS(AK_NAMA,C1607,AK_KAT,"KAS")=1,D1607,C1607)))</f>
        <v/>
      </c>
      <c r="M1607" s="103" t="n">
        <f aca="false">IF(L1607="",0,IF(L1607=D1607,E1607,-E1607))</f>
        <v>0</v>
      </c>
      <c r="N1607" s="102" t="str">
        <f aca="false">IF(L1607="","",IFERROR(INDEX(AK_BARIS,MATCH(L1607,AK_NAMA,0)),"?"))</f>
        <v/>
      </c>
      <c r="O1607" s="102" t="str">
        <f aca="false">IF(C1607="","",IFERROR(INDEX(AK_KEL,MATCH(C1607,AK_NAMA,0)),"?"))</f>
        <v/>
      </c>
      <c r="P1607" s="102" t="str">
        <f aca="false">IF(D1607="","",IFERROR(INDEX(AK_KEL,MATCH(D1607,AK_NAMA,0)),"?"))</f>
        <v/>
      </c>
      <c r="Q1607" s="102" t="n">
        <f aca="false">N(Q1606)+IF(AND(N(E1607)&lt;&gt;0,K1607=TAHUN,N(J1607)&lt;=BLN,OR(C1607=BB_AKUN,D1607=BB_AKUN)),1,0)</f>
        <v>877</v>
      </c>
      <c r="R1607" s="104" t="str">
        <f aca="false">IF(OR(C1607&amp;D1607="",N(E1607)=0),"",IF(OR(O1607="?",P1607="?"),"⚠ akun tidak dikenal",IF(C1607=D1607,"⚠ debet = kredit","")))</f>
        <v/>
      </c>
    </row>
    <row r="1608" customFormat="false" ht="15" hidden="false" customHeight="false" outlineLevel="0" collapsed="false">
      <c r="A1608" s="5"/>
      <c r="B1608" s="83"/>
      <c r="C1608" s="5"/>
      <c r="D1608" s="5"/>
      <c r="E1608" s="44"/>
      <c r="F1608" s="5"/>
      <c r="G1608" s="5"/>
      <c r="H1608" s="5"/>
      <c r="I1608" s="5"/>
      <c r="J1608" s="102" t="str">
        <f aca="false">IF(B1608="","",MONTH(B1608))</f>
        <v/>
      </c>
      <c r="K1608" s="102" t="str">
        <f aca="false">IF(B1608="","",YEAR(B1608))</f>
        <v/>
      </c>
      <c r="L1608" s="102" t="str">
        <f aca="false">IF(N(E1608)=0,"",IF(COUNTIFS(AK_NAMA,C1608,AK_KAT,"KAS")+COUNTIFS(AK_NAMA,D1608,AK_KAT,"KAS")&lt;&gt;1,"",IF(COUNTIFS(AK_NAMA,C1608,AK_KAT,"KAS")=1,D1608,C1608)))</f>
        <v/>
      </c>
      <c r="M1608" s="103" t="n">
        <f aca="false">IF(L1608="",0,IF(L1608=D1608,E1608,-E1608))</f>
        <v>0</v>
      </c>
      <c r="N1608" s="102" t="str">
        <f aca="false">IF(L1608="","",IFERROR(INDEX(AK_BARIS,MATCH(L1608,AK_NAMA,0)),"?"))</f>
        <v/>
      </c>
      <c r="O1608" s="102" t="str">
        <f aca="false">IF(C1608="","",IFERROR(INDEX(AK_KEL,MATCH(C1608,AK_NAMA,0)),"?"))</f>
        <v/>
      </c>
      <c r="P1608" s="102" t="str">
        <f aca="false">IF(D1608="","",IFERROR(INDEX(AK_KEL,MATCH(D1608,AK_NAMA,0)),"?"))</f>
        <v/>
      </c>
      <c r="Q1608" s="102" t="n">
        <f aca="false">N(Q1607)+IF(AND(N(E1608)&lt;&gt;0,K1608=TAHUN,N(J1608)&lt;=BLN,OR(C1608=BB_AKUN,D1608=BB_AKUN)),1,0)</f>
        <v>877</v>
      </c>
      <c r="R1608" s="104" t="str">
        <f aca="false">IF(OR(C1608&amp;D1608="",N(E1608)=0),"",IF(OR(O1608="?",P1608="?"),"⚠ akun tidak dikenal",IF(C1608=D1608,"⚠ debet = kredit","")))</f>
        <v/>
      </c>
    </row>
    <row r="1609" customFormat="false" ht="15" hidden="false" customHeight="false" outlineLevel="0" collapsed="false">
      <c r="A1609" s="5"/>
      <c r="B1609" s="83"/>
      <c r="C1609" s="5"/>
      <c r="D1609" s="5"/>
      <c r="E1609" s="44"/>
      <c r="F1609" s="5"/>
      <c r="G1609" s="5"/>
      <c r="H1609" s="5"/>
      <c r="I1609" s="5"/>
      <c r="J1609" s="102" t="str">
        <f aca="false">IF(B1609="","",MONTH(B1609))</f>
        <v/>
      </c>
      <c r="K1609" s="102" t="str">
        <f aca="false">IF(B1609="","",YEAR(B1609))</f>
        <v/>
      </c>
      <c r="L1609" s="102" t="str">
        <f aca="false">IF(N(E1609)=0,"",IF(COUNTIFS(AK_NAMA,C1609,AK_KAT,"KAS")+COUNTIFS(AK_NAMA,D1609,AK_KAT,"KAS")&lt;&gt;1,"",IF(COUNTIFS(AK_NAMA,C1609,AK_KAT,"KAS")=1,D1609,C1609)))</f>
        <v/>
      </c>
      <c r="M1609" s="103" t="n">
        <f aca="false">IF(L1609="",0,IF(L1609=D1609,E1609,-E1609))</f>
        <v>0</v>
      </c>
      <c r="N1609" s="102" t="str">
        <f aca="false">IF(L1609="","",IFERROR(INDEX(AK_BARIS,MATCH(L1609,AK_NAMA,0)),"?"))</f>
        <v/>
      </c>
      <c r="O1609" s="102" t="str">
        <f aca="false">IF(C1609="","",IFERROR(INDEX(AK_KEL,MATCH(C1609,AK_NAMA,0)),"?"))</f>
        <v/>
      </c>
      <c r="P1609" s="102" t="str">
        <f aca="false">IF(D1609="","",IFERROR(INDEX(AK_KEL,MATCH(D1609,AK_NAMA,0)),"?"))</f>
        <v/>
      </c>
      <c r="Q1609" s="102" t="n">
        <f aca="false">N(Q1608)+IF(AND(N(E1609)&lt;&gt;0,K1609=TAHUN,N(J1609)&lt;=BLN,OR(C1609=BB_AKUN,D1609=BB_AKUN)),1,0)</f>
        <v>877</v>
      </c>
      <c r="R1609" s="104" t="str">
        <f aca="false">IF(OR(C1609&amp;D1609="",N(E1609)=0),"",IF(OR(O1609="?",P1609="?"),"⚠ akun tidak dikenal",IF(C1609=D1609,"⚠ debet = kredit","")))</f>
        <v/>
      </c>
    </row>
    <row r="1610" customFormat="false" ht="15" hidden="false" customHeight="false" outlineLevel="0" collapsed="false">
      <c r="A1610" s="5"/>
      <c r="B1610" s="83"/>
      <c r="C1610" s="5"/>
      <c r="D1610" s="5"/>
      <c r="E1610" s="44"/>
      <c r="F1610" s="5"/>
      <c r="G1610" s="5"/>
      <c r="H1610" s="5"/>
      <c r="I1610" s="5"/>
      <c r="J1610" s="102" t="str">
        <f aca="false">IF(B1610="","",MONTH(B1610))</f>
        <v/>
      </c>
      <c r="K1610" s="102" t="str">
        <f aca="false">IF(B1610="","",YEAR(B1610))</f>
        <v/>
      </c>
      <c r="L1610" s="102" t="str">
        <f aca="false">IF(N(E1610)=0,"",IF(COUNTIFS(AK_NAMA,C1610,AK_KAT,"KAS")+COUNTIFS(AK_NAMA,D1610,AK_KAT,"KAS")&lt;&gt;1,"",IF(COUNTIFS(AK_NAMA,C1610,AK_KAT,"KAS")=1,D1610,C1610)))</f>
        <v/>
      </c>
      <c r="M1610" s="103" t="n">
        <f aca="false">IF(L1610="",0,IF(L1610=D1610,E1610,-E1610))</f>
        <v>0</v>
      </c>
      <c r="N1610" s="102" t="str">
        <f aca="false">IF(L1610="","",IFERROR(INDEX(AK_BARIS,MATCH(L1610,AK_NAMA,0)),"?"))</f>
        <v/>
      </c>
      <c r="O1610" s="102" t="str">
        <f aca="false">IF(C1610="","",IFERROR(INDEX(AK_KEL,MATCH(C1610,AK_NAMA,0)),"?"))</f>
        <v/>
      </c>
      <c r="P1610" s="102" t="str">
        <f aca="false">IF(D1610="","",IFERROR(INDEX(AK_KEL,MATCH(D1610,AK_NAMA,0)),"?"))</f>
        <v/>
      </c>
      <c r="Q1610" s="102" t="n">
        <f aca="false">N(Q1609)+IF(AND(N(E1610)&lt;&gt;0,K1610=TAHUN,N(J1610)&lt;=BLN,OR(C1610=BB_AKUN,D1610=BB_AKUN)),1,0)</f>
        <v>877</v>
      </c>
      <c r="R1610" s="104" t="str">
        <f aca="false">IF(OR(C1610&amp;D1610="",N(E1610)=0),"",IF(OR(O1610="?",P1610="?"),"⚠ akun tidak dikenal",IF(C1610=D1610,"⚠ debet = kredit","")))</f>
        <v/>
      </c>
    </row>
    <row r="1611" customFormat="false" ht="15" hidden="false" customHeight="false" outlineLevel="0" collapsed="false">
      <c r="A1611" s="5"/>
      <c r="B1611" s="83"/>
      <c r="C1611" s="5"/>
      <c r="D1611" s="5"/>
      <c r="E1611" s="44"/>
      <c r="F1611" s="5"/>
      <c r="G1611" s="5"/>
      <c r="H1611" s="5"/>
      <c r="I1611" s="5"/>
      <c r="J1611" s="102" t="str">
        <f aca="false">IF(B1611="","",MONTH(B1611))</f>
        <v/>
      </c>
      <c r="K1611" s="102" t="str">
        <f aca="false">IF(B1611="","",YEAR(B1611))</f>
        <v/>
      </c>
      <c r="L1611" s="102" t="str">
        <f aca="false">IF(N(E1611)=0,"",IF(COUNTIFS(AK_NAMA,C1611,AK_KAT,"KAS")+COUNTIFS(AK_NAMA,D1611,AK_KAT,"KAS")&lt;&gt;1,"",IF(COUNTIFS(AK_NAMA,C1611,AK_KAT,"KAS")=1,D1611,C1611)))</f>
        <v/>
      </c>
      <c r="M1611" s="103" t="n">
        <f aca="false">IF(L1611="",0,IF(L1611=D1611,E1611,-E1611))</f>
        <v>0</v>
      </c>
      <c r="N1611" s="102" t="str">
        <f aca="false">IF(L1611="","",IFERROR(INDEX(AK_BARIS,MATCH(L1611,AK_NAMA,0)),"?"))</f>
        <v/>
      </c>
      <c r="O1611" s="102" t="str">
        <f aca="false">IF(C1611="","",IFERROR(INDEX(AK_KEL,MATCH(C1611,AK_NAMA,0)),"?"))</f>
        <v/>
      </c>
      <c r="P1611" s="102" t="str">
        <f aca="false">IF(D1611="","",IFERROR(INDEX(AK_KEL,MATCH(D1611,AK_NAMA,0)),"?"))</f>
        <v/>
      </c>
      <c r="Q1611" s="102" t="n">
        <f aca="false">N(Q1610)+IF(AND(N(E1611)&lt;&gt;0,K1611=TAHUN,N(J1611)&lt;=BLN,OR(C1611=BB_AKUN,D1611=BB_AKUN)),1,0)</f>
        <v>877</v>
      </c>
      <c r="R1611" s="104" t="str">
        <f aca="false">IF(OR(C1611&amp;D1611="",N(E1611)=0),"",IF(OR(O1611="?",P1611="?"),"⚠ akun tidak dikenal",IF(C1611=D1611,"⚠ debet = kredit","")))</f>
        <v/>
      </c>
    </row>
    <row r="1612" customFormat="false" ht="15" hidden="false" customHeight="false" outlineLevel="0" collapsed="false">
      <c r="A1612" s="5"/>
      <c r="B1612" s="83"/>
      <c r="C1612" s="5"/>
      <c r="D1612" s="5"/>
      <c r="E1612" s="44"/>
      <c r="F1612" s="5"/>
      <c r="G1612" s="5"/>
      <c r="H1612" s="5"/>
      <c r="I1612" s="5"/>
      <c r="J1612" s="102" t="str">
        <f aca="false">IF(B1612="","",MONTH(B1612))</f>
        <v/>
      </c>
      <c r="K1612" s="102" t="str">
        <f aca="false">IF(B1612="","",YEAR(B1612))</f>
        <v/>
      </c>
      <c r="L1612" s="102" t="str">
        <f aca="false">IF(N(E1612)=0,"",IF(COUNTIFS(AK_NAMA,C1612,AK_KAT,"KAS")+COUNTIFS(AK_NAMA,D1612,AK_KAT,"KAS")&lt;&gt;1,"",IF(COUNTIFS(AK_NAMA,C1612,AK_KAT,"KAS")=1,D1612,C1612)))</f>
        <v/>
      </c>
      <c r="M1612" s="103" t="n">
        <f aca="false">IF(L1612="",0,IF(L1612=D1612,E1612,-E1612))</f>
        <v>0</v>
      </c>
      <c r="N1612" s="102" t="str">
        <f aca="false">IF(L1612="","",IFERROR(INDEX(AK_BARIS,MATCH(L1612,AK_NAMA,0)),"?"))</f>
        <v/>
      </c>
      <c r="O1612" s="102" t="str">
        <f aca="false">IF(C1612="","",IFERROR(INDEX(AK_KEL,MATCH(C1612,AK_NAMA,0)),"?"))</f>
        <v/>
      </c>
      <c r="P1612" s="102" t="str">
        <f aca="false">IF(D1612="","",IFERROR(INDEX(AK_KEL,MATCH(D1612,AK_NAMA,0)),"?"))</f>
        <v/>
      </c>
      <c r="Q1612" s="102" t="n">
        <f aca="false">N(Q1611)+IF(AND(N(E1612)&lt;&gt;0,K1612=TAHUN,N(J1612)&lt;=BLN,OR(C1612=BB_AKUN,D1612=BB_AKUN)),1,0)</f>
        <v>877</v>
      </c>
      <c r="R1612" s="104" t="str">
        <f aca="false">IF(OR(C1612&amp;D1612="",N(E1612)=0),"",IF(OR(O1612="?",P1612="?"),"⚠ akun tidak dikenal",IF(C1612=D1612,"⚠ debet = kredit","")))</f>
        <v/>
      </c>
    </row>
    <row r="1613" customFormat="false" ht="15" hidden="false" customHeight="false" outlineLevel="0" collapsed="false">
      <c r="A1613" s="5"/>
      <c r="B1613" s="83"/>
      <c r="C1613" s="5"/>
      <c r="D1613" s="5"/>
      <c r="E1613" s="44"/>
      <c r="F1613" s="5"/>
      <c r="G1613" s="5"/>
      <c r="H1613" s="5"/>
      <c r="I1613" s="5"/>
      <c r="J1613" s="102" t="str">
        <f aca="false">IF(B1613="","",MONTH(B1613))</f>
        <v/>
      </c>
      <c r="K1613" s="102" t="str">
        <f aca="false">IF(B1613="","",YEAR(B1613))</f>
        <v/>
      </c>
      <c r="L1613" s="102" t="str">
        <f aca="false">IF(N(E1613)=0,"",IF(COUNTIFS(AK_NAMA,C1613,AK_KAT,"KAS")+COUNTIFS(AK_NAMA,D1613,AK_KAT,"KAS")&lt;&gt;1,"",IF(COUNTIFS(AK_NAMA,C1613,AK_KAT,"KAS")=1,D1613,C1613)))</f>
        <v/>
      </c>
      <c r="M1613" s="103" t="n">
        <f aca="false">IF(L1613="",0,IF(L1613=D1613,E1613,-E1613))</f>
        <v>0</v>
      </c>
      <c r="N1613" s="102" t="str">
        <f aca="false">IF(L1613="","",IFERROR(INDEX(AK_BARIS,MATCH(L1613,AK_NAMA,0)),"?"))</f>
        <v/>
      </c>
      <c r="O1613" s="102" t="str">
        <f aca="false">IF(C1613="","",IFERROR(INDEX(AK_KEL,MATCH(C1613,AK_NAMA,0)),"?"))</f>
        <v/>
      </c>
      <c r="P1613" s="102" t="str">
        <f aca="false">IF(D1613="","",IFERROR(INDEX(AK_KEL,MATCH(D1613,AK_NAMA,0)),"?"))</f>
        <v/>
      </c>
      <c r="Q1613" s="102" t="n">
        <f aca="false">N(Q1612)+IF(AND(N(E1613)&lt;&gt;0,K1613=TAHUN,N(J1613)&lt;=BLN,OR(C1613=BB_AKUN,D1613=BB_AKUN)),1,0)</f>
        <v>877</v>
      </c>
      <c r="R1613" s="104" t="str">
        <f aca="false">IF(OR(C1613&amp;D1613="",N(E1613)=0),"",IF(OR(O1613="?",P1613="?"),"⚠ akun tidak dikenal",IF(C1613=D1613,"⚠ debet = kredit","")))</f>
        <v/>
      </c>
    </row>
    <row r="1614" customFormat="false" ht="15" hidden="false" customHeight="false" outlineLevel="0" collapsed="false">
      <c r="A1614" s="5"/>
      <c r="B1614" s="83"/>
      <c r="C1614" s="5"/>
      <c r="D1614" s="5"/>
      <c r="E1614" s="44"/>
      <c r="F1614" s="5"/>
      <c r="G1614" s="5"/>
      <c r="H1614" s="5"/>
      <c r="I1614" s="5"/>
      <c r="J1614" s="102" t="str">
        <f aca="false">IF(B1614="","",MONTH(B1614))</f>
        <v/>
      </c>
      <c r="K1614" s="102" t="str">
        <f aca="false">IF(B1614="","",YEAR(B1614))</f>
        <v/>
      </c>
      <c r="L1614" s="102" t="str">
        <f aca="false">IF(N(E1614)=0,"",IF(COUNTIFS(AK_NAMA,C1614,AK_KAT,"KAS")+COUNTIFS(AK_NAMA,D1614,AK_KAT,"KAS")&lt;&gt;1,"",IF(COUNTIFS(AK_NAMA,C1614,AK_KAT,"KAS")=1,D1614,C1614)))</f>
        <v/>
      </c>
      <c r="M1614" s="103" t="n">
        <f aca="false">IF(L1614="",0,IF(L1614=D1614,E1614,-E1614))</f>
        <v>0</v>
      </c>
      <c r="N1614" s="102" t="str">
        <f aca="false">IF(L1614="","",IFERROR(INDEX(AK_BARIS,MATCH(L1614,AK_NAMA,0)),"?"))</f>
        <v/>
      </c>
      <c r="O1614" s="102" t="str">
        <f aca="false">IF(C1614="","",IFERROR(INDEX(AK_KEL,MATCH(C1614,AK_NAMA,0)),"?"))</f>
        <v/>
      </c>
      <c r="P1614" s="102" t="str">
        <f aca="false">IF(D1614="","",IFERROR(INDEX(AK_KEL,MATCH(D1614,AK_NAMA,0)),"?"))</f>
        <v/>
      </c>
      <c r="Q1614" s="102" t="n">
        <f aca="false">N(Q1613)+IF(AND(N(E1614)&lt;&gt;0,K1614=TAHUN,N(J1614)&lt;=BLN,OR(C1614=BB_AKUN,D1614=BB_AKUN)),1,0)</f>
        <v>877</v>
      </c>
      <c r="R1614" s="104" t="str">
        <f aca="false">IF(OR(C1614&amp;D1614="",N(E1614)=0),"",IF(OR(O1614="?",P1614="?"),"⚠ akun tidak dikenal",IF(C1614=D1614,"⚠ debet = kredit","")))</f>
        <v/>
      </c>
    </row>
    <row r="1615" customFormat="false" ht="15" hidden="false" customHeight="false" outlineLevel="0" collapsed="false">
      <c r="A1615" s="5"/>
      <c r="B1615" s="83"/>
      <c r="C1615" s="5"/>
      <c r="D1615" s="5"/>
      <c r="E1615" s="44"/>
      <c r="F1615" s="5"/>
      <c r="G1615" s="5"/>
      <c r="H1615" s="5"/>
      <c r="I1615" s="5"/>
      <c r="J1615" s="102" t="str">
        <f aca="false">IF(B1615="","",MONTH(B1615))</f>
        <v/>
      </c>
      <c r="K1615" s="102" t="str">
        <f aca="false">IF(B1615="","",YEAR(B1615))</f>
        <v/>
      </c>
      <c r="L1615" s="102" t="str">
        <f aca="false">IF(N(E1615)=0,"",IF(COUNTIFS(AK_NAMA,C1615,AK_KAT,"KAS")+COUNTIFS(AK_NAMA,D1615,AK_KAT,"KAS")&lt;&gt;1,"",IF(COUNTIFS(AK_NAMA,C1615,AK_KAT,"KAS")=1,D1615,C1615)))</f>
        <v/>
      </c>
      <c r="M1615" s="103" t="n">
        <f aca="false">IF(L1615="",0,IF(L1615=D1615,E1615,-E1615))</f>
        <v>0</v>
      </c>
      <c r="N1615" s="102" t="str">
        <f aca="false">IF(L1615="","",IFERROR(INDEX(AK_BARIS,MATCH(L1615,AK_NAMA,0)),"?"))</f>
        <v/>
      </c>
      <c r="O1615" s="102" t="str">
        <f aca="false">IF(C1615="","",IFERROR(INDEX(AK_KEL,MATCH(C1615,AK_NAMA,0)),"?"))</f>
        <v/>
      </c>
      <c r="P1615" s="102" t="str">
        <f aca="false">IF(D1615="","",IFERROR(INDEX(AK_KEL,MATCH(D1615,AK_NAMA,0)),"?"))</f>
        <v/>
      </c>
      <c r="Q1615" s="102" t="n">
        <f aca="false">N(Q1614)+IF(AND(N(E1615)&lt;&gt;0,K1615=TAHUN,N(J1615)&lt;=BLN,OR(C1615=BB_AKUN,D1615=BB_AKUN)),1,0)</f>
        <v>877</v>
      </c>
      <c r="R1615" s="104" t="str">
        <f aca="false">IF(OR(C1615&amp;D1615="",N(E1615)=0),"",IF(OR(O1615="?",P1615="?"),"⚠ akun tidak dikenal",IF(C1615=D1615,"⚠ debet = kredit","")))</f>
        <v/>
      </c>
    </row>
    <row r="1616" customFormat="false" ht="15" hidden="false" customHeight="false" outlineLevel="0" collapsed="false">
      <c r="A1616" s="5"/>
      <c r="B1616" s="83"/>
      <c r="C1616" s="5"/>
      <c r="D1616" s="5"/>
      <c r="E1616" s="44"/>
      <c r="F1616" s="5"/>
      <c r="G1616" s="5"/>
      <c r="H1616" s="5"/>
      <c r="I1616" s="5"/>
      <c r="J1616" s="102" t="str">
        <f aca="false">IF(B1616="","",MONTH(B1616))</f>
        <v/>
      </c>
      <c r="K1616" s="102" t="str">
        <f aca="false">IF(B1616="","",YEAR(B1616))</f>
        <v/>
      </c>
      <c r="L1616" s="102" t="str">
        <f aca="false">IF(N(E1616)=0,"",IF(COUNTIFS(AK_NAMA,C1616,AK_KAT,"KAS")+COUNTIFS(AK_NAMA,D1616,AK_KAT,"KAS")&lt;&gt;1,"",IF(COUNTIFS(AK_NAMA,C1616,AK_KAT,"KAS")=1,D1616,C1616)))</f>
        <v/>
      </c>
      <c r="M1616" s="103" t="n">
        <f aca="false">IF(L1616="",0,IF(L1616=D1616,E1616,-E1616))</f>
        <v>0</v>
      </c>
      <c r="N1616" s="102" t="str">
        <f aca="false">IF(L1616="","",IFERROR(INDEX(AK_BARIS,MATCH(L1616,AK_NAMA,0)),"?"))</f>
        <v/>
      </c>
      <c r="O1616" s="102" t="str">
        <f aca="false">IF(C1616="","",IFERROR(INDEX(AK_KEL,MATCH(C1616,AK_NAMA,0)),"?"))</f>
        <v/>
      </c>
      <c r="P1616" s="102" t="str">
        <f aca="false">IF(D1616="","",IFERROR(INDEX(AK_KEL,MATCH(D1616,AK_NAMA,0)),"?"))</f>
        <v/>
      </c>
      <c r="Q1616" s="102" t="n">
        <f aca="false">N(Q1615)+IF(AND(N(E1616)&lt;&gt;0,K1616=TAHUN,N(J1616)&lt;=BLN,OR(C1616=BB_AKUN,D1616=BB_AKUN)),1,0)</f>
        <v>877</v>
      </c>
      <c r="R1616" s="104" t="str">
        <f aca="false">IF(OR(C1616&amp;D1616="",N(E1616)=0),"",IF(OR(O1616="?",P1616="?"),"⚠ akun tidak dikenal",IF(C1616=D1616,"⚠ debet = kredit","")))</f>
        <v/>
      </c>
    </row>
    <row r="1617" customFormat="false" ht="15" hidden="false" customHeight="false" outlineLevel="0" collapsed="false">
      <c r="A1617" s="5"/>
      <c r="B1617" s="83"/>
      <c r="C1617" s="5"/>
      <c r="D1617" s="5"/>
      <c r="E1617" s="44"/>
      <c r="F1617" s="5"/>
      <c r="G1617" s="5"/>
      <c r="H1617" s="5"/>
      <c r="I1617" s="5"/>
      <c r="J1617" s="102" t="str">
        <f aca="false">IF(B1617="","",MONTH(B1617))</f>
        <v/>
      </c>
      <c r="K1617" s="102" t="str">
        <f aca="false">IF(B1617="","",YEAR(B1617))</f>
        <v/>
      </c>
      <c r="L1617" s="102" t="str">
        <f aca="false">IF(N(E1617)=0,"",IF(COUNTIFS(AK_NAMA,C1617,AK_KAT,"KAS")+COUNTIFS(AK_NAMA,D1617,AK_KAT,"KAS")&lt;&gt;1,"",IF(COUNTIFS(AK_NAMA,C1617,AK_KAT,"KAS")=1,D1617,C1617)))</f>
        <v/>
      </c>
      <c r="M1617" s="103" t="n">
        <f aca="false">IF(L1617="",0,IF(L1617=D1617,E1617,-E1617))</f>
        <v>0</v>
      </c>
      <c r="N1617" s="102" t="str">
        <f aca="false">IF(L1617="","",IFERROR(INDEX(AK_BARIS,MATCH(L1617,AK_NAMA,0)),"?"))</f>
        <v/>
      </c>
      <c r="O1617" s="102" t="str">
        <f aca="false">IF(C1617="","",IFERROR(INDEX(AK_KEL,MATCH(C1617,AK_NAMA,0)),"?"))</f>
        <v/>
      </c>
      <c r="P1617" s="102" t="str">
        <f aca="false">IF(D1617="","",IFERROR(INDEX(AK_KEL,MATCH(D1617,AK_NAMA,0)),"?"))</f>
        <v/>
      </c>
      <c r="Q1617" s="102" t="n">
        <f aca="false">N(Q1616)+IF(AND(N(E1617)&lt;&gt;0,K1617=TAHUN,N(J1617)&lt;=BLN,OR(C1617=BB_AKUN,D1617=BB_AKUN)),1,0)</f>
        <v>877</v>
      </c>
      <c r="R1617" s="104" t="str">
        <f aca="false">IF(OR(C1617&amp;D1617="",N(E1617)=0),"",IF(OR(O1617="?",P1617="?"),"⚠ akun tidak dikenal",IF(C1617=D1617,"⚠ debet = kredit","")))</f>
        <v/>
      </c>
    </row>
    <row r="1618" customFormat="false" ht="15" hidden="false" customHeight="false" outlineLevel="0" collapsed="false">
      <c r="A1618" s="5"/>
      <c r="B1618" s="83"/>
      <c r="C1618" s="5"/>
      <c r="D1618" s="5"/>
      <c r="E1618" s="44"/>
      <c r="F1618" s="5"/>
      <c r="G1618" s="5"/>
      <c r="H1618" s="5"/>
      <c r="I1618" s="5"/>
      <c r="J1618" s="102" t="str">
        <f aca="false">IF(B1618="","",MONTH(B1618))</f>
        <v/>
      </c>
      <c r="K1618" s="102" t="str">
        <f aca="false">IF(B1618="","",YEAR(B1618))</f>
        <v/>
      </c>
      <c r="L1618" s="102" t="str">
        <f aca="false">IF(N(E1618)=0,"",IF(COUNTIFS(AK_NAMA,C1618,AK_KAT,"KAS")+COUNTIFS(AK_NAMA,D1618,AK_KAT,"KAS")&lt;&gt;1,"",IF(COUNTIFS(AK_NAMA,C1618,AK_KAT,"KAS")=1,D1618,C1618)))</f>
        <v/>
      </c>
      <c r="M1618" s="103" t="n">
        <f aca="false">IF(L1618="",0,IF(L1618=D1618,E1618,-E1618))</f>
        <v>0</v>
      </c>
      <c r="N1618" s="102" t="str">
        <f aca="false">IF(L1618="","",IFERROR(INDEX(AK_BARIS,MATCH(L1618,AK_NAMA,0)),"?"))</f>
        <v/>
      </c>
      <c r="O1618" s="102" t="str">
        <f aca="false">IF(C1618="","",IFERROR(INDEX(AK_KEL,MATCH(C1618,AK_NAMA,0)),"?"))</f>
        <v/>
      </c>
      <c r="P1618" s="102" t="str">
        <f aca="false">IF(D1618="","",IFERROR(INDEX(AK_KEL,MATCH(D1618,AK_NAMA,0)),"?"))</f>
        <v/>
      </c>
      <c r="Q1618" s="102" t="n">
        <f aca="false">N(Q1617)+IF(AND(N(E1618)&lt;&gt;0,K1618=TAHUN,N(J1618)&lt;=BLN,OR(C1618=BB_AKUN,D1618=BB_AKUN)),1,0)</f>
        <v>877</v>
      </c>
      <c r="R1618" s="104" t="str">
        <f aca="false">IF(OR(C1618&amp;D1618="",N(E1618)=0),"",IF(OR(O1618="?",P1618="?"),"⚠ akun tidak dikenal",IF(C1618=D1618,"⚠ debet = kredit","")))</f>
        <v/>
      </c>
    </row>
    <row r="1619" customFormat="false" ht="15" hidden="false" customHeight="false" outlineLevel="0" collapsed="false">
      <c r="A1619" s="5"/>
      <c r="B1619" s="83"/>
      <c r="C1619" s="5"/>
      <c r="D1619" s="5"/>
      <c r="E1619" s="44"/>
      <c r="F1619" s="5"/>
      <c r="G1619" s="5"/>
      <c r="H1619" s="5"/>
      <c r="I1619" s="5"/>
      <c r="J1619" s="102" t="str">
        <f aca="false">IF(B1619="","",MONTH(B1619))</f>
        <v/>
      </c>
      <c r="K1619" s="102" t="str">
        <f aca="false">IF(B1619="","",YEAR(B1619))</f>
        <v/>
      </c>
      <c r="L1619" s="102" t="str">
        <f aca="false">IF(N(E1619)=0,"",IF(COUNTIFS(AK_NAMA,C1619,AK_KAT,"KAS")+COUNTIFS(AK_NAMA,D1619,AK_KAT,"KAS")&lt;&gt;1,"",IF(COUNTIFS(AK_NAMA,C1619,AK_KAT,"KAS")=1,D1619,C1619)))</f>
        <v/>
      </c>
      <c r="M1619" s="103" t="n">
        <f aca="false">IF(L1619="",0,IF(L1619=D1619,E1619,-E1619))</f>
        <v>0</v>
      </c>
      <c r="N1619" s="102" t="str">
        <f aca="false">IF(L1619="","",IFERROR(INDEX(AK_BARIS,MATCH(L1619,AK_NAMA,0)),"?"))</f>
        <v/>
      </c>
      <c r="O1619" s="102" t="str">
        <f aca="false">IF(C1619="","",IFERROR(INDEX(AK_KEL,MATCH(C1619,AK_NAMA,0)),"?"))</f>
        <v/>
      </c>
      <c r="P1619" s="102" t="str">
        <f aca="false">IF(D1619="","",IFERROR(INDEX(AK_KEL,MATCH(D1619,AK_NAMA,0)),"?"))</f>
        <v/>
      </c>
      <c r="Q1619" s="102" t="n">
        <f aca="false">N(Q1618)+IF(AND(N(E1619)&lt;&gt;0,K1619=TAHUN,N(J1619)&lt;=BLN,OR(C1619=BB_AKUN,D1619=BB_AKUN)),1,0)</f>
        <v>877</v>
      </c>
      <c r="R1619" s="104" t="str">
        <f aca="false">IF(OR(C1619&amp;D1619="",N(E1619)=0),"",IF(OR(O1619="?",P1619="?"),"⚠ akun tidak dikenal",IF(C1619=D1619,"⚠ debet = kredit","")))</f>
        <v/>
      </c>
    </row>
    <row r="1620" customFormat="false" ht="15" hidden="false" customHeight="false" outlineLevel="0" collapsed="false">
      <c r="A1620" s="5"/>
      <c r="B1620" s="83"/>
      <c r="C1620" s="5"/>
      <c r="D1620" s="5"/>
      <c r="E1620" s="44"/>
      <c r="F1620" s="5"/>
      <c r="G1620" s="5"/>
      <c r="H1620" s="5"/>
      <c r="I1620" s="5"/>
      <c r="J1620" s="102" t="str">
        <f aca="false">IF(B1620="","",MONTH(B1620))</f>
        <v/>
      </c>
      <c r="K1620" s="102" t="str">
        <f aca="false">IF(B1620="","",YEAR(B1620))</f>
        <v/>
      </c>
      <c r="L1620" s="102" t="str">
        <f aca="false">IF(N(E1620)=0,"",IF(COUNTIFS(AK_NAMA,C1620,AK_KAT,"KAS")+COUNTIFS(AK_NAMA,D1620,AK_KAT,"KAS")&lt;&gt;1,"",IF(COUNTIFS(AK_NAMA,C1620,AK_KAT,"KAS")=1,D1620,C1620)))</f>
        <v/>
      </c>
      <c r="M1620" s="103" t="n">
        <f aca="false">IF(L1620="",0,IF(L1620=D1620,E1620,-E1620))</f>
        <v>0</v>
      </c>
      <c r="N1620" s="102" t="str">
        <f aca="false">IF(L1620="","",IFERROR(INDEX(AK_BARIS,MATCH(L1620,AK_NAMA,0)),"?"))</f>
        <v/>
      </c>
      <c r="O1620" s="102" t="str">
        <f aca="false">IF(C1620="","",IFERROR(INDEX(AK_KEL,MATCH(C1620,AK_NAMA,0)),"?"))</f>
        <v/>
      </c>
      <c r="P1620" s="102" t="str">
        <f aca="false">IF(D1620="","",IFERROR(INDEX(AK_KEL,MATCH(D1620,AK_NAMA,0)),"?"))</f>
        <v/>
      </c>
      <c r="Q1620" s="102" t="n">
        <f aca="false">N(Q1619)+IF(AND(N(E1620)&lt;&gt;0,K1620=TAHUN,N(J1620)&lt;=BLN,OR(C1620=BB_AKUN,D1620=BB_AKUN)),1,0)</f>
        <v>877</v>
      </c>
      <c r="R1620" s="104" t="str">
        <f aca="false">IF(OR(C1620&amp;D1620="",N(E1620)=0),"",IF(OR(O1620="?",P1620="?"),"⚠ akun tidak dikenal",IF(C1620=D1620,"⚠ debet = kredit","")))</f>
        <v/>
      </c>
    </row>
    <row r="1621" customFormat="false" ht="15" hidden="false" customHeight="false" outlineLevel="0" collapsed="false">
      <c r="A1621" s="5"/>
      <c r="B1621" s="83"/>
      <c r="C1621" s="5"/>
      <c r="D1621" s="5"/>
      <c r="E1621" s="44"/>
      <c r="F1621" s="5"/>
      <c r="G1621" s="5"/>
      <c r="H1621" s="5"/>
      <c r="I1621" s="5"/>
      <c r="J1621" s="102" t="str">
        <f aca="false">IF(B1621="","",MONTH(B1621))</f>
        <v/>
      </c>
      <c r="K1621" s="102" t="str">
        <f aca="false">IF(B1621="","",YEAR(B1621))</f>
        <v/>
      </c>
      <c r="L1621" s="102" t="str">
        <f aca="false">IF(N(E1621)=0,"",IF(COUNTIFS(AK_NAMA,C1621,AK_KAT,"KAS")+COUNTIFS(AK_NAMA,D1621,AK_KAT,"KAS")&lt;&gt;1,"",IF(COUNTIFS(AK_NAMA,C1621,AK_KAT,"KAS")=1,D1621,C1621)))</f>
        <v/>
      </c>
      <c r="M1621" s="103" t="n">
        <f aca="false">IF(L1621="",0,IF(L1621=D1621,E1621,-E1621))</f>
        <v>0</v>
      </c>
      <c r="N1621" s="102" t="str">
        <f aca="false">IF(L1621="","",IFERROR(INDEX(AK_BARIS,MATCH(L1621,AK_NAMA,0)),"?"))</f>
        <v/>
      </c>
      <c r="O1621" s="102" t="str">
        <f aca="false">IF(C1621="","",IFERROR(INDEX(AK_KEL,MATCH(C1621,AK_NAMA,0)),"?"))</f>
        <v/>
      </c>
      <c r="P1621" s="102" t="str">
        <f aca="false">IF(D1621="","",IFERROR(INDEX(AK_KEL,MATCH(D1621,AK_NAMA,0)),"?"))</f>
        <v/>
      </c>
      <c r="Q1621" s="102" t="n">
        <f aca="false">N(Q1620)+IF(AND(N(E1621)&lt;&gt;0,K1621=TAHUN,N(J1621)&lt;=BLN,OR(C1621=BB_AKUN,D1621=BB_AKUN)),1,0)</f>
        <v>877</v>
      </c>
      <c r="R1621" s="104" t="str">
        <f aca="false">IF(OR(C1621&amp;D1621="",N(E1621)=0),"",IF(OR(O1621="?",P1621="?"),"⚠ akun tidak dikenal",IF(C1621=D1621,"⚠ debet = kredit","")))</f>
        <v/>
      </c>
    </row>
    <row r="1622" customFormat="false" ht="15" hidden="false" customHeight="false" outlineLevel="0" collapsed="false">
      <c r="A1622" s="5"/>
      <c r="B1622" s="83"/>
      <c r="C1622" s="5"/>
      <c r="D1622" s="5"/>
      <c r="E1622" s="44"/>
      <c r="F1622" s="5"/>
      <c r="G1622" s="5"/>
      <c r="H1622" s="5"/>
      <c r="I1622" s="5"/>
      <c r="J1622" s="102" t="str">
        <f aca="false">IF(B1622="","",MONTH(B1622))</f>
        <v/>
      </c>
      <c r="K1622" s="102" t="str">
        <f aca="false">IF(B1622="","",YEAR(B1622))</f>
        <v/>
      </c>
      <c r="L1622" s="102" t="str">
        <f aca="false">IF(N(E1622)=0,"",IF(COUNTIFS(AK_NAMA,C1622,AK_KAT,"KAS")+COUNTIFS(AK_NAMA,D1622,AK_KAT,"KAS")&lt;&gt;1,"",IF(COUNTIFS(AK_NAMA,C1622,AK_KAT,"KAS")=1,D1622,C1622)))</f>
        <v/>
      </c>
      <c r="M1622" s="103" t="n">
        <f aca="false">IF(L1622="",0,IF(L1622=D1622,E1622,-E1622))</f>
        <v>0</v>
      </c>
      <c r="N1622" s="102" t="str">
        <f aca="false">IF(L1622="","",IFERROR(INDEX(AK_BARIS,MATCH(L1622,AK_NAMA,0)),"?"))</f>
        <v/>
      </c>
      <c r="O1622" s="102" t="str">
        <f aca="false">IF(C1622="","",IFERROR(INDEX(AK_KEL,MATCH(C1622,AK_NAMA,0)),"?"))</f>
        <v/>
      </c>
      <c r="P1622" s="102" t="str">
        <f aca="false">IF(D1622="","",IFERROR(INDEX(AK_KEL,MATCH(D1622,AK_NAMA,0)),"?"))</f>
        <v/>
      </c>
      <c r="Q1622" s="102" t="n">
        <f aca="false">N(Q1621)+IF(AND(N(E1622)&lt;&gt;0,K1622=TAHUN,N(J1622)&lt;=BLN,OR(C1622=BB_AKUN,D1622=BB_AKUN)),1,0)</f>
        <v>877</v>
      </c>
      <c r="R1622" s="104" t="str">
        <f aca="false">IF(OR(C1622&amp;D1622="",N(E1622)=0),"",IF(OR(O1622="?",P1622="?"),"⚠ akun tidak dikenal",IF(C1622=D1622,"⚠ debet = kredit","")))</f>
        <v/>
      </c>
    </row>
    <row r="1623" customFormat="false" ht="15" hidden="false" customHeight="false" outlineLevel="0" collapsed="false">
      <c r="A1623" s="5"/>
      <c r="B1623" s="83"/>
      <c r="C1623" s="5"/>
      <c r="D1623" s="5"/>
      <c r="E1623" s="44"/>
      <c r="F1623" s="5"/>
      <c r="G1623" s="5"/>
      <c r="H1623" s="5"/>
      <c r="I1623" s="5"/>
      <c r="J1623" s="102" t="str">
        <f aca="false">IF(B1623="","",MONTH(B1623))</f>
        <v/>
      </c>
      <c r="K1623" s="102" t="str">
        <f aca="false">IF(B1623="","",YEAR(B1623))</f>
        <v/>
      </c>
      <c r="L1623" s="102" t="str">
        <f aca="false">IF(N(E1623)=0,"",IF(COUNTIFS(AK_NAMA,C1623,AK_KAT,"KAS")+COUNTIFS(AK_NAMA,D1623,AK_KAT,"KAS")&lt;&gt;1,"",IF(COUNTIFS(AK_NAMA,C1623,AK_KAT,"KAS")=1,D1623,C1623)))</f>
        <v/>
      </c>
      <c r="M1623" s="103" t="n">
        <f aca="false">IF(L1623="",0,IF(L1623=D1623,E1623,-E1623))</f>
        <v>0</v>
      </c>
      <c r="N1623" s="102" t="str">
        <f aca="false">IF(L1623="","",IFERROR(INDEX(AK_BARIS,MATCH(L1623,AK_NAMA,0)),"?"))</f>
        <v/>
      </c>
      <c r="O1623" s="102" t="str">
        <f aca="false">IF(C1623="","",IFERROR(INDEX(AK_KEL,MATCH(C1623,AK_NAMA,0)),"?"))</f>
        <v/>
      </c>
      <c r="P1623" s="102" t="str">
        <f aca="false">IF(D1623="","",IFERROR(INDEX(AK_KEL,MATCH(D1623,AK_NAMA,0)),"?"))</f>
        <v/>
      </c>
      <c r="Q1623" s="102" t="n">
        <f aca="false">N(Q1622)+IF(AND(N(E1623)&lt;&gt;0,K1623=TAHUN,N(J1623)&lt;=BLN,OR(C1623=BB_AKUN,D1623=BB_AKUN)),1,0)</f>
        <v>877</v>
      </c>
      <c r="R1623" s="104" t="str">
        <f aca="false">IF(OR(C1623&amp;D1623="",N(E1623)=0),"",IF(OR(O1623="?",P1623="?"),"⚠ akun tidak dikenal",IF(C1623=D1623,"⚠ debet = kredit","")))</f>
        <v/>
      </c>
    </row>
    <row r="1624" customFormat="false" ht="15" hidden="false" customHeight="false" outlineLevel="0" collapsed="false">
      <c r="A1624" s="5"/>
      <c r="B1624" s="83"/>
      <c r="C1624" s="5"/>
      <c r="D1624" s="5"/>
      <c r="E1624" s="44"/>
      <c r="F1624" s="5"/>
      <c r="G1624" s="5"/>
      <c r="H1624" s="5"/>
      <c r="I1624" s="5"/>
      <c r="J1624" s="102" t="str">
        <f aca="false">IF(B1624="","",MONTH(B1624))</f>
        <v/>
      </c>
      <c r="K1624" s="102" t="str">
        <f aca="false">IF(B1624="","",YEAR(B1624))</f>
        <v/>
      </c>
      <c r="L1624" s="102" t="str">
        <f aca="false">IF(N(E1624)=0,"",IF(COUNTIFS(AK_NAMA,C1624,AK_KAT,"KAS")+COUNTIFS(AK_NAMA,D1624,AK_KAT,"KAS")&lt;&gt;1,"",IF(COUNTIFS(AK_NAMA,C1624,AK_KAT,"KAS")=1,D1624,C1624)))</f>
        <v/>
      </c>
      <c r="M1624" s="103" t="n">
        <f aca="false">IF(L1624="",0,IF(L1624=D1624,E1624,-E1624))</f>
        <v>0</v>
      </c>
      <c r="N1624" s="102" t="str">
        <f aca="false">IF(L1624="","",IFERROR(INDEX(AK_BARIS,MATCH(L1624,AK_NAMA,0)),"?"))</f>
        <v/>
      </c>
      <c r="O1624" s="102" t="str">
        <f aca="false">IF(C1624="","",IFERROR(INDEX(AK_KEL,MATCH(C1624,AK_NAMA,0)),"?"))</f>
        <v/>
      </c>
      <c r="P1624" s="102" t="str">
        <f aca="false">IF(D1624="","",IFERROR(INDEX(AK_KEL,MATCH(D1624,AK_NAMA,0)),"?"))</f>
        <v/>
      </c>
      <c r="Q1624" s="102" t="n">
        <f aca="false">N(Q1623)+IF(AND(N(E1624)&lt;&gt;0,K1624=TAHUN,N(J1624)&lt;=BLN,OR(C1624=BB_AKUN,D1624=BB_AKUN)),1,0)</f>
        <v>877</v>
      </c>
      <c r="R1624" s="104" t="str">
        <f aca="false">IF(OR(C1624&amp;D1624="",N(E1624)=0),"",IF(OR(O1624="?",P1624="?"),"⚠ akun tidak dikenal",IF(C1624=D1624,"⚠ debet = kredit","")))</f>
        <v/>
      </c>
    </row>
    <row r="1625" customFormat="false" ht="15" hidden="false" customHeight="false" outlineLevel="0" collapsed="false">
      <c r="A1625" s="5"/>
      <c r="B1625" s="83"/>
      <c r="C1625" s="5"/>
      <c r="D1625" s="5"/>
      <c r="E1625" s="44"/>
      <c r="F1625" s="5"/>
      <c r="G1625" s="5"/>
      <c r="H1625" s="5"/>
      <c r="I1625" s="5"/>
      <c r="J1625" s="102" t="str">
        <f aca="false">IF(B1625="","",MONTH(B1625))</f>
        <v/>
      </c>
      <c r="K1625" s="102" t="str">
        <f aca="false">IF(B1625="","",YEAR(B1625))</f>
        <v/>
      </c>
      <c r="L1625" s="102" t="str">
        <f aca="false">IF(N(E1625)=0,"",IF(COUNTIFS(AK_NAMA,C1625,AK_KAT,"KAS")+COUNTIFS(AK_NAMA,D1625,AK_KAT,"KAS")&lt;&gt;1,"",IF(COUNTIFS(AK_NAMA,C1625,AK_KAT,"KAS")=1,D1625,C1625)))</f>
        <v/>
      </c>
      <c r="M1625" s="103" t="n">
        <f aca="false">IF(L1625="",0,IF(L1625=D1625,E1625,-E1625))</f>
        <v>0</v>
      </c>
      <c r="N1625" s="102" t="str">
        <f aca="false">IF(L1625="","",IFERROR(INDEX(AK_BARIS,MATCH(L1625,AK_NAMA,0)),"?"))</f>
        <v/>
      </c>
      <c r="O1625" s="102" t="str">
        <f aca="false">IF(C1625="","",IFERROR(INDEX(AK_KEL,MATCH(C1625,AK_NAMA,0)),"?"))</f>
        <v/>
      </c>
      <c r="P1625" s="102" t="str">
        <f aca="false">IF(D1625="","",IFERROR(INDEX(AK_KEL,MATCH(D1625,AK_NAMA,0)),"?"))</f>
        <v/>
      </c>
      <c r="Q1625" s="102" t="n">
        <f aca="false">N(Q1624)+IF(AND(N(E1625)&lt;&gt;0,K1625=TAHUN,N(J1625)&lt;=BLN,OR(C1625=BB_AKUN,D1625=BB_AKUN)),1,0)</f>
        <v>877</v>
      </c>
      <c r="R1625" s="104" t="str">
        <f aca="false">IF(OR(C1625&amp;D1625="",N(E1625)=0),"",IF(OR(O1625="?",P1625="?"),"⚠ akun tidak dikenal",IF(C1625=D1625,"⚠ debet = kredit","")))</f>
        <v/>
      </c>
    </row>
    <row r="1626" customFormat="false" ht="15" hidden="false" customHeight="false" outlineLevel="0" collapsed="false">
      <c r="A1626" s="5"/>
      <c r="B1626" s="83"/>
      <c r="C1626" s="5"/>
      <c r="D1626" s="5"/>
      <c r="E1626" s="44"/>
      <c r="F1626" s="5"/>
      <c r="G1626" s="5"/>
      <c r="H1626" s="5"/>
      <c r="I1626" s="5"/>
      <c r="J1626" s="102" t="str">
        <f aca="false">IF(B1626="","",MONTH(B1626))</f>
        <v/>
      </c>
      <c r="K1626" s="102" t="str">
        <f aca="false">IF(B1626="","",YEAR(B1626))</f>
        <v/>
      </c>
      <c r="L1626" s="102" t="str">
        <f aca="false">IF(N(E1626)=0,"",IF(COUNTIFS(AK_NAMA,C1626,AK_KAT,"KAS")+COUNTIFS(AK_NAMA,D1626,AK_KAT,"KAS")&lt;&gt;1,"",IF(COUNTIFS(AK_NAMA,C1626,AK_KAT,"KAS")=1,D1626,C1626)))</f>
        <v/>
      </c>
      <c r="M1626" s="103" t="n">
        <f aca="false">IF(L1626="",0,IF(L1626=D1626,E1626,-E1626))</f>
        <v>0</v>
      </c>
      <c r="N1626" s="102" t="str">
        <f aca="false">IF(L1626="","",IFERROR(INDEX(AK_BARIS,MATCH(L1626,AK_NAMA,0)),"?"))</f>
        <v/>
      </c>
      <c r="O1626" s="102" t="str">
        <f aca="false">IF(C1626="","",IFERROR(INDEX(AK_KEL,MATCH(C1626,AK_NAMA,0)),"?"))</f>
        <v/>
      </c>
      <c r="P1626" s="102" t="str">
        <f aca="false">IF(D1626="","",IFERROR(INDEX(AK_KEL,MATCH(D1626,AK_NAMA,0)),"?"))</f>
        <v/>
      </c>
      <c r="Q1626" s="102" t="n">
        <f aca="false">N(Q1625)+IF(AND(N(E1626)&lt;&gt;0,K1626=TAHUN,N(J1626)&lt;=BLN,OR(C1626=BB_AKUN,D1626=BB_AKUN)),1,0)</f>
        <v>877</v>
      </c>
      <c r="R1626" s="104" t="str">
        <f aca="false">IF(OR(C1626&amp;D1626="",N(E1626)=0),"",IF(OR(O1626="?",P1626="?"),"⚠ akun tidak dikenal",IF(C1626=D1626,"⚠ debet = kredit","")))</f>
        <v/>
      </c>
    </row>
    <row r="1627" customFormat="false" ht="15" hidden="false" customHeight="false" outlineLevel="0" collapsed="false">
      <c r="A1627" s="5"/>
      <c r="B1627" s="83"/>
      <c r="C1627" s="5"/>
      <c r="D1627" s="5"/>
      <c r="E1627" s="44"/>
      <c r="F1627" s="5"/>
      <c r="G1627" s="5"/>
      <c r="H1627" s="5"/>
      <c r="I1627" s="5"/>
      <c r="J1627" s="102" t="str">
        <f aca="false">IF(B1627="","",MONTH(B1627))</f>
        <v/>
      </c>
      <c r="K1627" s="102" t="str">
        <f aca="false">IF(B1627="","",YEAR(B1627))</f>
        <v/>
      </c>
      <c r="L1627" s="102" t="str">
        <f aca="false">IF(N(E1627)=0,"",IF(COUNTIFS(AK_NAMA,C1627,AK_KAT,"KAS")+COUNTIFS(AK_NAMA,D1627,AK_KAT,"KAS")&lt;&gt;1,"",IF(COUNTIFS(AK_NAMA,C1627,AK_KAT,"KAS")=1,D1627,C1627)))</f>
        <v/>
      </c>
      <c r="M1627" s="103" t="n">
        <f aca="false">IF(L1627="",0,IF(L1627=D1627,E1627,-E1627))</f>
        <v>0</v>
      </c>
      <c r="N1627" s="102" t="str">
        <f aca="false">IF(L1627="","",IFERROR(INDEX(AK_BARIS,MATCH(L1627,AK_NAMA,0)),"?"))</f>
        <v/>
      </c>
      <c r="O1627" s="102" t="str">
        <f aca="false">IF(C1627="","",IFERROR(INDEX(AK_KEL,MATCH(C1627,AK_NAMA,0)),"?"))</f>
        <v/>
      </c>
      <c r="P1627" s="102" t="str">
        <f aca="false">IF(D1627="","",IFERROR(INDEX(AK_KEL,MATCH(D1627,AK_NAMA,0)),"?"))</f>
        <v/>
      </c>
      <c r="Q1627" s="102" t="n">
        <f aca="false">N(Q1626)+IF(AND(N(E1627)&lt;&gt;0,K1627=TAHUN,N(J1627)&lt;=BLN,OR(C1627=BB_AKUN,D1627=BB_AKUN)),1,0)</f>
        <v>877</v>
      </c>
      <c r="R1627" s="104" t="str">
        <f aca="false">IF(OR(C1627&amp;D1627="",N(E1627)=0),"",IF(OR(O1627="?",P1627="?"),"⚠ akun tidak dikenal",IF(C1627=D1627,"⚠ debet = kredit","")))</f>
        <v/>
      </c>
    </row>
    <row r="1628" customFormat="false" ht="15" hidden="false" customHeight="false" outlineLevel="0" collapsed="false">
      <c r="A1628" s="5"/>
      <c r="B1628" s="83"/>
      <c r="C1628" s="5"/>
      <c r="D1628" s="5"/>
      <c r="E1628" s="44"/>
      <c r="F1628" s="5"/>
      <c r="G1628" s="5"/>
      <c r="H1628" s="5"/>
      <c r="I1628" s="5"/>
      <c r="J1628" s="102" t="str">
        <f aca="false">IF(B1628="","",MONTH(B1628))</f>
        <v/>
      </c>
      <c r="K1628" s="102" t="str">
        <f aca="false">IF(B1628="","",YEAR(B1628))</f>
        <v/>
      </c>
      <c r="L1628" s="102" t="str">
        <f aca="false">IF(N(E1628)=0,"",IF(COUNTIFS(AK_NAMA,C1628,AK_KAT,"KAS")+COUNTIFS(AK_NAMA,D1628,AK_KAT,"KAS")&lt;&gt;1,"",IF(COUNTIFS(AK_NAMA,C1628,AK_KAT,"KAS")=1,D1628,C1628)))</f>
        <v/>
      </c>
      <c r="M1628" s="103" t="n">
        <f aca="false">IF(L1628="",0,IF(L1628=D1628,E1628,-E1628))</f>
        <v>0</v>
      </c>
      <c r="N1628" s="102" t="str">
        <f aca="false">IF(L1628="","",IFERROR(INDEX(AK_BARIS,MATCH(L1628,AK_NAMA,0)),"?"))</f>
        <v/>
      </c>
      <c r="O1628" s="102" t="str">
        <f aca="false">IF(C1628="","",IFERROR(INDEX(AK_KEL,MATCH(C1628,AK_NAMA,0)),"?"))</f>
        <v/>
      </c>
      <c r="P1628" s="102" t="str">
        <f aca="false">IF(D1628="","",IFERROR(INDEX(AK_KEL,MATCH(D1628,AK_NAMA,0)),"?"))</f>
        <v/>
      </c>
      <c r="Q1628" s="102" t="n">
        <f aca="false">N(Q1627)+IF(AND(N(E1628)&lt;&gt;0,K1628=TAHUN,N(J1628)&lt;=BLN,OR(C1628=BB_AKUN,D1628=BB_AKUN)),1,0)</f>
        <v>877</v>
      </c>
      <c r="R1628" s="104" t="str">
        <f aca="false">IF(OR(C1628&amp;D1628="",N(E1628)=0),"",IF(OR(O1628="?",P1628="?"),"⚠ akun tidak dikenal",IF(C1628=D1628,"⚠ debet = kredit","")))</f>
        <v/>
      </c>
    </row>
    <row r="1629" customFormat="false" ht="15" hidden="false" customHeight="false" outlineLevel="0" collapsed="false">
      <c r="A1629" s="5"/>
      <c r="B1629" s="83"/>
      <c r="C1629" s="5"/>
      <c r="D1629" s="5"/>
      <c r="E1629" s="44"/>
      <c r="F1629" s="5"/>
      <c r="G1629" s="5"/>
      <c r="H1629" s="5"/>
      <c r="I1629" s="5"/>
      <c r="J1629" s="102" t="str">
        <f aca="false">IF(B1629="","",MONTH(B1629))</f>
        <v/>
      </c>
      <c r="K1629" s="102" t="str">
        <f aca="false">IF(B1629="","",YEAR(B1629))</f>
        <v/>
      </c>
      <c r="L1629" s="102" t="str">
        <f aca="false">IF(N(E1629)=0,"",IF(COUNTIFS(AK_NAMA,C1629,AK_KAT,"KAS")+COUNTIFS(AK_NAMA,D1629,AK_KAT,"KAS")&lt;&gt;1,"",IF(COUNTIFS(AK_NAMA,C1629,AK_KAT,"KAS")=1,D1629,C1629)))</f>
        <v/>
      </c>
      <c r="M1629" s="103" t="n">
        <f aca="false">IF(L1629="",0,IF(L1629=D1629,E1629,-E1629))</f>
        <v>0</v>
      </c>
      <c r="N1629" s="102" t="str">
        <f aca="false">IF(L1629="","",IFERROR(INDEX(AK_BARIS,MATCH(L1629,AK_NAMA,0)),"?"))</f>
        <v/>
      </c>
      <c r="O1629" s="102" t="str">
        <f aca="false">IF(C1629="","",IFERROR(INDEX(AK_KEL,MATCH(C1629,AK_NAMA,0)),"?"))</f>
        <v/>
      </c>
      <c r="P1629" s="102" t="str">
        <f aca="false">IF(D1629="","",IFERROR(INDEX(AK_KEL,MATCH(D1629,AK_NAMA,0)),"?"))</f>
        <v/>
      </c>
      <c r="Q1629" s="102" t="n">
        <f aca="false">N(Q1628)+IF(AND(N(E1629)&lt;&gt;0,K1629=TAHUN,N(J1629)&lt;=BLN,OR(C1629=BB_AKUN,D1629=BB_AKUN)),1,0)</f>
        <v>877</v>
      </c>
      <c r="R1629" s="104" t="str">
        <f aca="false">IF(OR(C1629&amp;D1629="",N(E1629)=0),"",IF(OR(O1629="?",P1629="?"),"⚠ akun tidak dikenal",IF(C1629=D1629,"⚠ debet = kredit","")))</f>
        <v/>
      </c>
    </row>
    <row r="1630" customFormat="false" ht="15" hidden="false" customHeight="false" outlineLevel="0" collapsed="false">
      <c r="A1630" s="5"/>
      <c r="B1630" s="83"/>
      <c r="C1630" s="5"/>
      <c r="D1630" s="5"/>
      <c r="E1630" s="44"/>
      <c r="F1630" s="5"/>
      <c r="G1630" s="5"/>
      <c r="H1630" s="5"/>
      <c r="I1630" s="5"/>
      <c r="J1630" s="102" t="str">
        <f aca="false">IF(B1630="","",MONTH(B1630))</f>
        <v/>
      </c>
      <c r="K1630" s="102" t="str">
        <f aca="false">IF(B1630="","",YEAR(B1630))</f>
        <v/>
      </c>
      <c r="L1630" s="102" t="str">
        <f aca="false">IF(N(E1630)=0,"",IF(COUNTIFS(AK_NAMA,C1630,AK_KAT,"KAS")+COUNTIFS(AK_NAMA,D1630,AK_KAT,"KAS")&lt;&gt;1,"",IF(COUNTIFS(AK_NAMA,C1630,AK_KAT,"KAS")=1,D1630,C1630)))</f>
        <v/>
      </c>
      <c r="M1630" s="103" t="n">
        <f aca="false">IF(L1630="",0,IF(L1630=D1630,E1630,-E1630))</f>
        <v>0</v>
      </c>
      <c r="N1630" s="102" t="str">
        <f aca="false">IF(L1630="","",IFERROR(INDEX(AK_BARIS,MATCH(L1630,AK_NAMA,0)),"?"))</f>
        <v/>
      </c>
      <c r="O1630" s="102" t="str">
        <f aca="false">IF(C1630="","",IFERROR(INDEX(AK_KEL,MATCH(C1630,AK_NAMA,0)),"?"))</f>
        <v/>
      </c>
      <c r="P1630" s="102" t="str">
        <f aca="false">IF(D1630="","",IFERROR(INDEX(AK_KEL,MATCH(D1630,AK_NAMA,0)),"?"))</f>
        <v/>
      </c>
      <c r="Q1630" s="102" t="n">
        <f aca="false">N(Q1629)+IF(AND(N(E1630)&lt;&gt;0,K1630=TAHUN,N(J1630)&lt;=BLN,OR(C1630=BB_AKUN,D1630=BB_AKUN)),1,0)</f>
        <v>877</v>
      </c>
      <c r="R1630" s="104" t="str">
        <f aca="false">IF(OR(C1630&amp;D1630="",N(E1630)=0),"",IF(OR(O1630="?",P1630="?"),"⚠ akun tidak dikenal",IF(C1630=D1630,"⚠ debet = kredit","")))</f>
        <v/>
      </c>
    </row>
    <row r="1631" customFormat="false" ht="15" hidden="false" customHeight="false" outlineLevel="0" collapsed="false">
      <c r="A1631" s="5"/>
      <c r="B1631" s="83"/>
      <c r="C1631" s="5"/>
      <c r="D1631" s="5"/>
      <c r="E1631" s="44"/>
      <c r="F1631" s="5"/>
      <c r="G1631" s="5"/>
      <c r="H1631" s="5"/>
      <c r="I1631" s="5"/>
      <c r="J1631" s="102" t="str">
        <f aca="false">IF(B1631="","",MONTH(B1631))</f>
        <v/>
      </c>
      <c r="K1631" s="102" t="str">
        <f aca="false">IF(B1631="","",YEAR(B1631))</f>
        <v/>
      </c>
      <c r="L1631" s="102" t="str">
        <f aca="false">IF(N(E1631)=0,"",IF(COUNTIFS(AK_NAMA,C1631,AK_KAT,"KAS")+COUNTIFS(AK_NAMA,D1631,AK_KAT,"KAS")&lt;&gt;1,"",IF(COUNTIFS(AK_NAMA,C1631,AK_KAT,"KAS")=1,D1631,C1631)))</f>
        <v/>
      </c>
      <c r="M1631" s="103" t="n">
        <f aca="false">IF(L1631="",0,IF(L1631=D1631,E1631,-E1631))</f>
        <v>0</v>
      </c>
      <c r="N1631" s="102" t="str">
        <f aca="false">IF(L1631="","",IFERROR(INDEX(AK_BARIS,MATCH(L1631,AK_NAMA,0)),"?"))</f>
        <v/>
      </c>
      <c r="O1631" s="102" t="str">
        <f aca="false">IF(C1631="","",IFERROR(INDEX(AK_KEL,MATCH(C1631,AK_NAMA,0)),"?"))</f>
        <v/>
      </c>
      <c r="P1631" s="102" t="str">
        <f aca="false">IF(D1631="","",IFERROR(INDEX(AK_KEL,MATCH(D1631,AK_NAMA,0)),"?"))</f>
        <v/>
      </c>
      <c r="Q1631" s="102" t="n">
        <f aca="false">N(Q1630)+IF(AND(N(E1631)&lt;&gt;0,K1631=TAHUN,N(J1631)&lt;=BLN,OR(C1631=BB_AKUN,D1631=BB_AKUN)),1,0)</f>
        <v>877</v>
      </c>
      <c r="R1631" s="104" t="str">
        <f aca="false">IF(OR(C1631&amp;D1631="",N(E1631)=0),"",IF(OR(O1631="?",P1631="?"),"⚠ akun tidak dikenal",IF(C1631=D1631,"⚠ debet = kredit","")))</f>
        <v/>
      </c>
    </row>
    <row r="1632" customFormat="false" ht="15" hidden="false" customHeight="false" outlineLevel="0" collapsed="false">
      <c r="A1632" s="5"/>
      <c r="B1632" s="83"/>
      <c r="C1632" s="5"/>
      <c r="D1632" s="5"/>
      <c r="E1632" s="44"/>
      <c r="F1632" s="5"/>
      <c r="G1632" s="5"/>
      <c r="H1632" s="5"/>
      <c r="I1632" s="5"/>
      <c r="J1632" s="102" t="str">
        <f aca="false">IF(B1632="","",MONTH(B1632))</f>
        <v/>
      </c>
      <c r="K1632" s="102" t="str">
        <f aca="false">IF(B1632="","",YEAR(B1632))</f>
        <v/>
      </c>
      <c r="L1632" s="102" t="str">
        <f aca="false">IF(N(E1632)=0,"",IF(COUNTIFS(AK_NAMA,C1632,AK_KAT,"KAS")+COUNTIFS(AK_NAMA,D1632,AK_KAT,"KAS")&lt;&gt;1,"",IF(COUNTIFS(AK_NAMA,C1632,AK_KAT,"KAS")=1,D1632,C1632)))</f>
        <v/>
      </c>
      <c r="M1632" s="103" t="n">
        <f aca="false">IF(L1632="",0,IF(L1632=D1632,E1632,-E1632))</f>
        <v>0</v>
      </c>
      <c r="N1632" s="102" t="str">
        <f aca="false">IF(L1632="","",IFERROR(INDEX(AK_BARIS,MATCH(L1632,AK_NAMA,0)),"?"))</f>
        <v/>
      </c>
      <c r="O1632" s="102" t="str">
        <f aca="false">IF(C1632="","",IFERROR(INDEX(AK_KEL,MATCH(C1632,AK_NAMA,0)),"?"))</f>
        <v/>
      </c>
      <c r="P1632" s="102" t="str">
        <f aca="false">IF(D1632="","",IFERROR(INDEX(AK_KEL,MATCH(D1632,AK_NAMA,0)),"?"))</f>
        <v/>
      </c>
      <c r="Q1632" s="102" t="n">
        <f aca="false">N(Q1631)+IF(AND(N(E1632)&lt;&gt;0,K1632=TAHUN,N(J1632)&lt;=BLN,OR(C1632=BB_AKUN,D1632=BB_AKUN)),1,0)</f>
        <v>877</v>
      </c>
      <c r="R1632" s="104" t="str">
        <f aca="false">IF(OR(C1632&amp;D1632="",N(E1632)=0),"",IF(OR(O1632="?",P1632="?"),"⚠ akun tidak dikenal",IF(C1632=D1632,"⚠ debet = kredit","")))</f>
        <v/>
      </c>
    </row>
    <row r="1633" customFormat="false" ht="15" hidden="false" customHeight="false" outlineLevel="0" collapsed="false">
      <c r="A1633" s="5"/>
      <c r="B1633" s="83"/>
      <c r="C1633" s="5"/>
      <c r="D1633" s="5"/>
      <c r="E1633" s="44"/>
      <c r="F1633" s="5"/>
      <c r="G1633" s="5"/>
      <c r="H1633" s="5"/>
      <c r="I1633" s="5"/>
      <c r="J1633" s="102" t="str">
        <f aca="false">IF(B1633="","",MONTH(B1633))</f>
        <v/>
      </c>
      <c r="K1633" s="102" t="str">
        <f aca="false">IF(B1633="","",YEAR(B1633))</f>
        <v/>
      </c>
      <c r="L1633" s="102" t="str">
        <f aca="false">IF(N(E1633)=0,"",IF(COUNTIFS(AK_NAMA,C1633,AK_KAT,"KAS")+COUNTIFS(AK_NAMA,D1633,AK_KAT,"KAS")&lt;&gt;1,"",IF(COUNTIFS(AK_NAMA,C1633,AK_KAT,"KAS")=1,D1633,C1633)))</f>
        <v/>
      </c>
      <c r="M1633" s="103" t="n">
        <f aca="false">IF(L1633="",0,IF(L1633=D1633,E1633,-E1633))</f>
        <v>0</v>
      </c>
      <c r="N1633" s="102" t="str">
        <f aca="false">IF(L1633="","",IFERROR(INDEX(AK_BARIS,MATCH(L1633,AK_NAMA,0)),"?"))</f>
        <v/>
      </c>
      <c r="O1633" s="102" t="str">
        <f aca="false">IF(C1633="","",IFERROR(INDEX(AK_KEL,MATCH(C1633,AK_NAMA,0)),"?"))</f>
        <v/>
      </c>
      <c r="P1633" s="102" t="str">
        <f aca="false">IF(D1633="","",IFERROR(INDEX(AK_KEL,MATCH(D1633,AK_NAMA,0)),"?"))</f>
        <v/>
      </c>
      <c r="Q1633" s="102" t="n">
        <f aca="false">N(Q1632)+IF(AND(N(E1633)&lt;&gt;0,K1633=TAHUN,N(J1633)&lt;=BLN,OR(C1633=BB_AKUN,D1633=BB_AKUN)),1,0)</f>
        <v>877</v>
      </c>
      <c r="R1633" s="104" t="str">
        <f aca="false">IF(OR(C1633&amp;D1633="",N(E1633)=0),"",IF(OR(O1633="?",P1633="?"),"⚠ akun tidak dikenal",IF(C1633=D1633,"⚠ debet = kredit","")))</f>
        <v/>
      </c>
    </row>
    <row r="1634" customFormat="false" ht="15" hidden="false" customHeight="false" outlineLevel="0" collapsed="false">
      <c r="A1634" s="5"/>
      <c r="B1634" s="83"/>
      <c r="C1634" s="5"/>
      <c r="D1634" s="5"/>
      <c r="E1634" s="44"/>
      <c r="F1634" s="5"/>
      <c r="G1634" s="5"/>
      <c r="H1634" s="5"/>
      <c r="I1634" s="5"/>
      <c r="J1634" s="102" t="str">
        <f aca="false">IF(B1634="","",MONTH(B1634))</f>
        <v/>
      </c>
      <c r="K1634" s="102" t="str">
        <f aca="false">IF(B1634="","",YEAR(B1634))</f>
        <v/>
      </c>
      <c r="L1634" s="102" t="str">
        <f aca="false">IF(N(E1634)=0,"",IF(COUNTIFS(AK_NAMA,C1634,AK_KAT,"KAS")+COUNTIFS(AK_NAMA,D1634,AK_KAT,"KAS")&lt;&gt;1,"",IF(COUNTIFS(AK_NAMA,C1634,AK_KAT,"KAS")=1,D1634,C1634)))</f>
        <v/>
      </c>
      <c r="M1634" s="103" t="n">
        <f aca="false">IF(L1634="",0,IF(L1634=D1634,E1634,-E1634))</f>
        <v>0</v>
      </c>
      <c r="N1634" s="102" t="str">
        <f aca="false">IF(L1634="","",IFERROR(INDEX(AK_BARIS,MATCH(L1634,AK_NAMA,0)),"?"))</f>
        <v/>
      </c>
      <c r="O1634" s="102" t="str">
        <f aca="false">IF(C1634="","",IFERROR(INDEX(AK_KEL,MATCH(C1634,AK_NAMA,0)),"?"))</f>
        <v/>
      </c>
      <c r="P1634" s="102" t="str">
        <f aca="false">IF(D1634="","",IFERROR(INDEX(AK_KEL,MATCH(D1634,AK_NAMA,0)),"?"))</f>
        <v/>
      </c>
      <c r="Q1634" s="102" t="n">
        <f aca="false">N(Q1633)+IF(AND(N(E1634)&lt;&gt;0,K1634=TAHUN,N(J1634)&lt;=BLN,OR(C1634=BB_AKUN,D1634=BB_AKUN)),1,0)</f>
        <v>877</v>
      </c>
      <c r="R1634" s="104" t="str">
        <f aca="false">IF(OR(C1634&amp;D1634="",N(E1634)=0),"",IF(OR(O1634="?",P1634="?"),"⚠ akun tidak dikenal",IF(C1634=D1634,"⚠ debet = kredit","")))</f>
        <v/>
      </c>
    </row>
    <row r="1635" customFormat="false" ht="15" hidden="false" customHeight="false" outlineLevel="0" collapsed="false">
      <c r="A1635" s="5"/>
      <c r="B1635" s="83"/>
      <c r="C1635" s="5"/>
      <c r="D1635" s="5"/>
      <c r="E1635" s="44"/>
      <c r="F1635" s="5"/>
      <c r="G1635" s="5"/>
      <c r="H1635" s="5"/>
      <c r="I1635" s="5"/>
      <c r="J1635" s="102" t="str">
        <f aca="false">IF(B1635="","",MONTH(B1635))</f>
        <v/>
      </c>
      <c r="K1635" s="102" t="str">
        <f aca="false">IF(B1635="","",YEAR(B1635))</f>
        <v/>
      </c>
      <c r="L1635" s="102" t="str">
        <f aca="false">IF(N(E1635)=0,"",IF(COUNTIFS(AK_NAMA,C1635,AK_KAT,"KAS")+COUNTIFS(AK_NAMA,D1635,AK_KAT,"KAS")&lt;&gt;1,"",IF(COUNTIFS(AK_NAMA,C1635,AK_KAT,"KAS")=1,D1635,C1635)))</f>
        <v/>
      </c>
      <c r="M1635" s="103" t="n">
        <f aca="false">IF(L1635="",0,IF(L1635=D1635,E1635,-E1635))</f>
        <v>0</v>
      </c>
      <c r="N1635" s="102" t="str">
        <f aca="false">IF(L1635="","",IFERROR(INDEX(AK_BARIS,MATCH(L1635,AK_NAMA,0)),"?"))</f>
        <v/>
      </c>
      <c r="O1635" s="102" t="str">
        <f aca="false">IF(C1635="","",IFERROR(INDEX(AK_KEL,MATCH(C1635,AK_NAMA,0)),"?"))</f>
        <v/>
      </c>
      <c r="P1635" s="102" t="str">
        <f aca="false">IF(D1635="","",IFERROR(INDEX(AK_KEL,MATCH(D1635,AK_NAMA,0)),"?"))</f>
        <v/>
      </c>
      <c r="Q1635" s="102" t="n">
        <f aca="false">N(Q1634)+IF(AND(N(E1635)&lt;&gt;0,K1635=TAHUN,N(J1635)&lt;=BLN,OR(C1635=BB_AKUN,D1635=BB_AKUN)),1,0)</f>
        <v>877</v>
      </c>
      <c r="R1635" s="104" t="str">
        <f aca="false">IF(OR(C1635&amp;D1635="",N(E1635)=0),"",IF(OR(O1635="?",P1635="?"),"⚠ akun tidak dikenal",IF(C1635=D1635,"⚠ debet = kredit","")))</f>
        <v/>
      </c>
    </row>
    <row r="1636" customFormat="false" ht="15" hidden="false" customHeight="false" outlineLevel="0" collapsed="false">
      <c r="A1636" s="5"/>
      <c r="B1636" s="83"/>
      <c r="C1636" s="5"/>
      <c r="D1636" s="5"/>
      <c r="E1636" s="44"/>
      <c r="F1636" s="5"/>
      <c r="G1636" s="5"/>
      <c r="H1636" s="5"/>
      <c r="I1636" s="5"/>
      <c r="J1636" s="102" t="str">
        <f aca="false">IF(B1636="","",MONTH(B1636))</f>
        <v/>
      </c>
      <c r="K1636" s="102" t="str">
        <f aca="false">IF(B1636="","",YEAR(B1636))</f>
        <v/>
      </c>
      <c r="L1636" s="102" t="str">
        <f aca="false">IF(N(E1636)=0,"",IF(COUNTIFS(AK_NAMA,C1636,AK_KAT,"KAS")+COUNTIFS(AK_NAMA,D1636,AK_KAT,"KAS")&lt;&gt;1,"",IF(COUNTIFS(AK_NAMA,C1636,AK_KAT,"KAS")=1,D1636,C1636)))</f>
        <v/>
      </c>
      <c r="M1636" s="103" t="n">
        <f aca="false">IF(L1636="",0,IF(L1636=D1636,E1636,-E1636))</f>
        <v>0</v>
      </c>
      <c r="N1636" s="102" t="str">
        <f aca="false">IF(L1636="","",IFERROR(INDEX(AK_BARIS,MATCH(L1636,AK_NAMA,0)),"?"))</f>
        <v/>
      </c>
      <c r="O1636" s="102" t="str">
        <f aca="false">IF(C1636="","",IFERROR(INDEX(AK_KEL,MATCH(C1636,AK_NAMA,0)),"?"))</f>
        <v/>
      </c>
      <c r="P1636" s="102" t="str">
        <f aca="false">IF(D1636="","",IFERROR(INDEX(AK_KEL,MATCH(D1636,AK_NAMA,0)),"?"))</f>
        <v/>
      </c>
      <c r="Q1636" s="102" t="n">
        <f aca="false">N(Q1635)+IF(AND(N(E1636)&lt;&gt;0,K1636=TAHUN,N(J1636)&lt;=BLN,OR(C1636=BB_AKUN,D1636=BB_AKUN)),1,0)</f>
        <v>877</v>
      </c>
      <c r="R1636" s="104" t="str">
        <f aca="false">IF(OR(C1636&amp;D1636="",N(E1636)=0),"",IF(OR(O1636="?",P1636="?"),"⚠ akun tidak dikenal",IF(C1636=D1636,"⚠ debet = kredit","")))</f>
        <v/>
      </c>
    </row>
    <row r="1637" customFormat="false" ht="15" hidden="false" customHeight="false" outlineLevel="0" collapsed="false">
      <c r="A1637" s="5"/>
      <c r="B1637" s="83"/>
      <c r="C1637" s="5"/>
      <c r="D1637" s="5"/>
      <c r="E1637" s="44"/>
      <c r="F1637" s="5"/>
      <c r="G1637" s="5"/>
      <c r="H1637" s="5"/>
      <c r="I1637" s="5"/>
      <c r="J1637" s="102" t="str">
        <f aca="false">IF(B1637="","",MONTH(B1637))</f>
        <v/>
      </c>
      <c r="K1637" s="102" t="str">
        <f aca="false">IF(B1637="","",YEAR(B1637))</f>
        <v/>
      </c>
      <c r="L1637" s="102" t="str">
        <f aca="false">IF(N(E1637)=0,"",IF(COUNTIFS(AK_NAMA,C1637,AK_KAT,"KAS")+COUNTIFS(AK_NAMA,D1637,AK_KAT,"KAS")&lt;&gt;1,"",IF(COUNTIFS(AK_NAMA,C1637,AK_KAT,"KAS")=1,D1637,C1637)))</f>
        <v/>
      </c>
      <c r="M1637" s="103" t="n">
        <f aca="false">IF(L1637="",0,IF(L1637=D1637,E1637,-E1637))</f>
        <v>0</v>
      </c>
      <c r="N1637" s="102" t="str">
        <f aca="false">IF(L1637="","",IFERROR(INDEX(AK_BARIS,MATCH(L1637,AK_NAMA,0)),"?"))</f>
        <v/>
      </c>
      <c r="O1637" s="102" t="str">
        <f aca="false">IF(C1637="","",IFERROR(INDEX(AK_KEL,MATCH(C1637,AK_NAMA,0)),"?"))</f>
        <v/>
      </c>
      <c r="P1637" s="102" t="str">
        <f aca="false">IF(D1637="","",IFERROR(INDEX(AK_KEL,MATCH(D1637,AK_NAMA,0)),"?"))</f>
        <v/>
      </c>
      <c r="Q1637" s="102" t="n">
        <f aca="false">N(Q1636)+IF(AND(N(E1637)&lt;&gt;0,K1637=TAHUN,N(J1637)&lt;=BLN,OR(C1637=BB_AKUN,D1637=BB_AKUN)),1,0)</f>
        <v>877</v>
      </c>
      <c r="R1637" s="104" t="str">
        <f aca="false">IF(OR(C1637&amp;D1637="",N(E1637)=0),"",IF(OR(O1637="?",P1637="?"),"⚠ akun tidak dikenal",IF(C1637=D1637,"⚠ debet = kredit","")))</f>
        <v/>
      </c>
    </row>
    <row r="1638" customFormat="false" ht="15" hidden="false" customHeight="false" outlineLevel="0" collapsed="false">
      <c r="A1638" s="5"/>
      <c r="B1638" s="83"/>
      <c r="C1638" s="5"/>
      <c r="D1638" s="5"/>
      <c r="E1638" s="44"/>
      <c r="F1638" s="5"/>
      <c r="G1638" s="5"/>
      <c r="H1638" s="5"/>
      <c r="I1638" s="5"/>
      <c r="J1638" s="102" t="str">
        <f aca="false">IF(B1638="","",MONTH(B1638))</f>
        <v/>
      </c>
      <c r="K1638" s="102" t="str">
        <f aca="false">IF(B1638="","",YEAR(B1638))</f>
        <v/>
      </c>
      <c r="L1638" s="102" t="str">
        <f aca="false">IF(N(E1638)=0,"",IF(COUNTIFS(AK_NAMA,C1638,AK_KAT,"KAS")+COUNTIFS(AK_NAMA,D1638,AK_KAT,"KAS")&lt;&gt;1,"",IF(COUNTIFS(AK_NAMA,C1638,AK_KAT,"KAS")=1,D1638,C1638)))</f>
        <v/>
      </c>
      <c r="M1638" s="103" t="n">
        <f aca="false">IF(L1638="",0,IF(L1638=D1638,E1638,-E1638))</f>
        <v>0</v>
      </c>
      <c r="N1638" s="102" t="str">
        <f aca="false">IF(L1638="","",IFERROR(INDEX(AK_BARIS,MATCH(L1638,AK_NAMA,0)),"?"))</f>
        <v/>
      </c>
      <c r="O1638" s="102" t="str">
        <f aca="false">IF(C1638="","",IFERROR(INDEX(AK_KEL,MATCH(C1638,AK_NAMA,0)),"?"))</f>
        <v/>
      </c>
      <c r="P1638" s="102" t="str">
        <f aca="false">IF(D1638="","",IFERROR(INDEX(AK_KEL,MATCH(D1638,AK_NAMA,0)),"?"))</f>
        <v/>
      </c>
      <c r="Q1638" s="102" t="n">
        <f aca="false">N(Q1637)+IF(AND(N(E1638)&lt;&gt;0,K1638=TAHUN,N(J1638)&lt;=BLN,OR(C1638=BB_AKUN,D1638=BB_AKUN)),1,0)</f>
        <v>877</v>
      </c>
      <c r="R1638" s="104" t="str">
        <f aca="false">IF(OR(C1638&amp;D1638="",N(E1638)=0),"",IF(OR(O1638="?",P1638="?"),"⚠ akun tidak dikenal",IF(C1638=D1638,"⚠ debet = kredit","")))</f>
        <v/>
      </c>
    </row>
    <row r="1639" customFormat="false" ht="15" hidden="false" customHeight="false" outlineLevel="0" collapsed="false">
      <c r="A1639" s="5"/>
      <c r="B1639" s="83"/>
      <c r="C1639" s="5"/>
      <c r="D1639" s="5"/>
      <c r="E1639" s="44"/>
      <c r="F1639" s="5"/>
      <c r="G1639" s="5"/>
      <c r="H1639" s="5"/>
      <c r="I1639" s="5"/>
      <c r="J1639" s="102" t="str">
        <f aca="false">IF(B1639="","",MONTH(B1639))</f>
        <v/>
      </c>
      <c r="K1639" s="102" t="str">
        <f aca="false">IF(B1639="","",YEAR(B1639))</f>
        <v/>
      </c>
      <c r="L1639" s="102" t="str">
        <f aca="false">IF(N(E1639)=0,"",IF(COUNTIFS(AK_NAMA,C1639,AK_KAT,"KAS")+COUNTIFS(AK_NAMA,D1639,AK_KAT,"KAS")&lt;&gt;1,"",IF(COUNTIFS(AK_NAMA,C1639,AK_KAT,"KAS")=1,D1639,C1639)))</f>
        <v/>
      </c>
      <c r="M1639" s="103" t="n">
        <f aca="false">IF(L1639="",0,IF(L1639=D1639,E1639,-E1639))</f>
        <v>0</v>
      </c>
      <c r="N1639" s="102" t="str">
        <f aca="false">IF(L1639="","",IFERROR(INDEX(AK_BARIS,MATCH(L1639,AK_NAMA,0)),"?"))</f>
        <v/>
      </c>
      <c r="O1639" s="102" t="str">
        <f aca="false">IF(C1639="","",IFERROR(INDEX(AK_KEL,MATCH(C1639,AK_NAMA,0)),"?"))</f>
        <v/>
      </c>
      <c r="P1639" s="102" t="str">
        <f aca="false">IF(D1639="","",IFERROR(INDEX(AK_KEL,MATCH(D1639,AK_NAMA,0)),"?"))</f>
        <v/>
      </c>
      <c r="Q1639" s="102" t="n">
        <f aca="false">N(Q1638)+IF(AND(N(E1639)&lt;&gt;0,K1639=TAHUN,N(J1639)&lt;=BLN,OR(C1639=BB_AKUN,D1639=BB_AKUN)),1,0)</f>
        <v>877</v>
      </c>
      <c r="R1639" s="104" t="str">
        <f aca="false">IF(OR(C1639&amp;D1639="",N(E1639)=0),"",IF(OR(O1639="?",P1639="?"),"⚠ akun tidak dikenal",IF(C1639=D1639,"⚠ debet = kredit","")))</f>
        <v/>
      </c>
    </row>
    <row r="1640" customFormat="false" ht="15" hidden="false" customHeight="false" outlineLevel="0" collapsed="false">
      <c r="A1640" s="5"/>
      <c r="B1640" s="83"/>
      <c r="C1640" s="5"/>
      <c r="D1640" s="5"/>
      <c r="E1640" s="44"/>
      <c r="F1640" s="5"/>
      <c r="G1640" s="5"/>
      <c r="H1640" s="5"/>
      <c r="I1640" s="5"/>
      <c r="J1640" s="102" t="str">
        <f aca="false">IF(B1640="","",MONTH(B1640))</f>
        <v/>
      </c>
      <c r="K1640" s="102" t="str">
        <f aca="false">IF(B1640="","",YEAR(B1640))</f>
        <v/>
      </c>
      <c r="L1640" s="102" t="str">
        <f aca="false">IF(N(E1640)=0,"",IF(COUNTIFS(AK_NAMA,C1640,AK_KAT,"KAS")+COUNTIFS(AK_NAMA,D1640,AK_KAT,"KAS")&lt;&gt;1,"",IF(COUNTIFS(AK_NAMA,C1640,AK_KAT,"KAS")=1,D1640,C1640)))</f>
        <v/>
      </c>
      <c r="M1640" s="103" t="n">
        <f aca="false">IF(L1640="",0,IF(L1640=D1640,E1640,-E1640))</f>
        <v>0</v>
      </c>
      <c r="N1640" s="102" t="str">
        <f aca="false">IF(L1640="","",IFERROR(INDEX(AK_BARIS,MATCH(L1640,AK_NAMA,0)),"?"))</f>
        <v/>
      </c>
      <c r="O1640" s="102" t="str">
        <f aca="false">IF(C1640="","",IFERROR(INDEX(AK_KEL,MATCH(C1640,AK_NAMA,0)),"?"))</f>
        <v/>
      </c>
      <c r="P1640" s="102" t="str">
        <f aca="false">IF(D1640="","",IFERROR(INDEX(AK_KEL,MATCH(D1640,AK_NAMA,0)),"?"))</f>
        <v/>
      </c>
      <c r="Q1640" s="102" t="n">
        <f aca="false">N(Q1639)+IF(AND(N(E1640)&lt;&gt;0,K1640=TAHUN,N(J1640)&lt;=BLN,OR(C1640=BB_AKUN,D1640=BB_AKUN)),1,0)</f>
        <v>877</v>
      </c>
      <c r="R1640" s="104" t="str">
        <f aca="false">IF(OR(C1640&amp;D1640="",N(E1640)=0),"",IF(OR(O1640="?",P1640="?"),"⚠ akun tidak dikenal",IF(C1640=D1640,"⚠ debet = kredit","")))</f>
        <v/>
      </c>
    </row>
    <row r="1641" customFormat="false" ht="15" hidden="false" customHeight="false" outlineLevel="0" collapsed="false">
      <c r="A1641" s="5"/>
      <c r="B1641" s="83"/>
      <c r="C1641" s="5"/>
      <c r="D1641" s="5"/>
      <c r="E1641" s="44"/>
      <c r="F1641" s="5"/>
      <c r="G1641" s="5"/>
      <c r="H1641" s="5"/>
      <c r="I1641" s="5"/>
      <c r="J1641" s="102" t="str">
        <f aca="false">IF(B1641="","",MONTH(B1641))</f>
        <v/>
      </c>
      <c r="K1641" s="102" t="str">
        <f aca="false">IF(B1641="","",YEAR(B1641))</f>
        <v/>
      </c>
      <c r="L1641" s="102" t="str">
        <f aca="false">IF(N(E1641)=0,"",IF(COUNTIFS(AK_NAMA,C1641,AK_KAT,"KAS")+COUNTIFS(AK_NAMA,D1641,AK_KAT,"KAS")&lt;&gt;1,"",IF(COUNTIFS(AK_NAMA,C1641,AK_KAT,"KAS")=1,D1641,C1641)))</f>
        <v/>
      </c>
      <c r="M1641" s="103" t="n">
        <f aca="false">IF(L1641="",0,IF(L1641=D1641,E1641,-E1641))</f>
        <v>0</v>
      </c>
      <c r="N1641" s="102" t="str">
        <f aca="false">IF(L1641="","",IFERROR(INDEX(AK_BARIS,MATCH(L1641,AK_NAMA,0)),"?"))</f>
        <v/>
      </c>
      <c r="O1641" s="102" t="str">
        <f aca="false">IF(C1641="","",IFERROR(INDEX(AK_KEL,MATCH(C1641,AK_NAMA,0)),"?"))</f>
        <v/>
      </c>
      <c r="P1641" s="102" t="str">
        <f aca="false">IF(D1641="","",IFERROR(INDEX(AK_KEL,MATCH(D1641,AK_NAMA,0)),"?"))</f>
        <v/>
      </c>
      <c r="Q1641" s="102" t="n">
        <f aca="false">N(Q1640)+IF(AND(N(E1641)&lt;&gt;0,K1641=TAHUN,N(J1641)&lt;=BLN,OR(C1641=BB_AKUN,D1641=BB_AKUN)),1,0)</f>
        <v>877</v>
      </c>
      <c r="R1641" s="104" t="str">
        <f aca="false">IF(OR(C1641&amp;D1641="",N(E1641)=0),"",IF(OR(O1641="?",P1641="?"),"⚠ akun tidak dikenal",IF(C1641=D1641,"⚠ debet = kredit","")))</f>
        <v/>
      </c>
    </row>
    <row r="1642" customFormat="false" ht="15" hidden="false" customHeight="false" outlineLevel="0" collapsed="false">
      <c r="A1642" s="5"/>
      <c r="B1642" s="83"/>
      <c r="C1642" s="5"/>
      <c r="D1642" s="5"/>
      <c r="E1642" s="44"/>
      <c r="F1642" s="5"/>
      <c r="G1642" s="5"/>
      <c r="H1642" s="5"/>
      <c r="I1642" s="5"/>
      <c r="J1642" s="102" t="str">
        <f aca="false">IF(B1642="","",MONTH(B1642))</f>
        <v/>
      </c>
      <c r="K1642" s="102" t="str">
        <f aca="false">IF(B1642="","",YEAR(B1642))</f>
        <v/>
      </c>
      <c r="L1642" s="102" t="str">
        <f aca="false">IF(N(E1642)=0,"",IF(COUNTIFS(AK_NAMA,C1642,AK_KAT,"KAS")+COUNTIFS(AK_NAMA,D1642,AK_KAT,"KAS")&lt;&gt;1,"",IF(COUNTIFS(AK_NAMA,C1642,AK_KAT,"KAS")=1,D1642,C1642)))</f>
        <v/>
      </c>
      <c r="M1642" s="103" t="n">
        <f aca="false">IF(L1642="",0,IF(L1642=D1642,E1642,-E1642))</f>
        <v>0</v>
      </c>
      <c r="N1642" s="102" t="str">
        <f aca="false">IF(L1642="","",IFERROR(INDEX(AK_BARIS,MATCH(L1642,AK_NAMA,0)),"?"))</f>
        <v/>
      </c>
      <c r="O1642" s="102" t="str">
        <f aca="false">IF(C1642="","",IFERROR(INDEX(AK_KEL,MATCH(C1642,AK_NAMA,0)),"?"))</f>
        <v/>
      </c>
      <c r="P1642" s="102" t="str">
        <f aca="false">IF(D1642="","",IFERROR(INDEX(AK_KEL,MATCH(D1642,AK_NAMA,0)),"?"))</f>
        <v/>
      </c>
      <c r="Q1642" s="102" t="n">
        <f aca="false">N(Q1641)+IF(AND(N(E1642)&lt;&gt;0,K1642=TAHUN,N(J1642)&lt;=BLN,OR(C1642=BB_AKUN,D1642=BB_AKUN)),1,0)</f>
        <v>877</v>
      </c>
      <c r="R1642" s="104" t="str">
        <f aca="false">IF(OR(C1642&amp;D1642="",N(E1642)=0),"",IF(OR(O1642="?",P1642="?"),"⚠ akun tidak dikenal",IF(C1642=D1642,"⚠ debet = kredit","")))</f>
        <v/>
      </c>
    </row>
    <row r="1643" customFormat="false" ht="15" hidden="false" customHeight="false" outlineLevel="0" collapsed="false">
      <c r="A1643" s="5"/>
      <c r="B1643" s="83"/>
      <c r="C1643" s="5"/>
      <c r="D1643" s="5"/>
      <c r="E1643" s="44"/>
      <c r="F1643" s="5"/>
      <c r="G1643" s="5"/>
      <c r="H1643" s="5"/>
      <c r="I1643" s="5"/>
      <c r="J1643" s="102" t="str">
        <f aca="false">IF(B1643="","",MONTH(B1643))</f>
        <v/>
      </c>
      <c r="K1643" s="102" t="str">
        <f aca="false">IF(B1643="","",YEAR(B1643))</f>
        <v/>
      </c>
      <c r="L1643" s="102" t="str">
        <f aca="false">IF(N(E1643)=0,"",IF(COUNTIFS(AK_NAMA,C1643,AK_KAT,"KAS")+COUNTIFS(AK_NAMA,D1643,AK_KAT,"KAS")&lt;&gt;1,"",IF(COUNTIFS(AK_NAMA,C1643,AK_KAT,"KAS")=1,D1643,C1643)))</f>
        <v/>
      </c>
      <c r="M1643" s="103" t="n">
        <f aca="false">IF(L1643="",0,IF(L1643=D1643,E1643,-E1643))</f>
        <v>0</v>
      </c>
      <c r="N1643" s="102" t="str">
        <f aca="false">IF(L1643="","",IFERROR(INDEX(AK_BARIS,MATCH(L1643,AK_NAMA,0)),"?"))</f>
        <v/>
      </c>
      <c r="O1643" s="102" t="str">
        <f aca="false">IF(C1643="","",IFERROR(INDEX(AK_KEL,MATCH(C1643,AK_NAMA,0)),"?"))</f>
        <v/>
      </c>
      <c r="P1643" s="102" t="str">
        <f aca="false">IF(D1643="","",IFERROR(INDEX(AK_KEL,MATCH(D1643,AK_NAMA,0)),"?"))</f>
        <v/>
      </c>
      <c r="Q1643" s="102" t="n">
        <f aca="false">N(Q1642)+IF(AND(N(E1643)&lt;&gt;0,K1643=TAHUN,N(J1643)&lt;=BLN,OR(C1643=BB_AKUN,D1643=BB_AKUN)),1,0)</f>
        <v>877</v>
      </c>
      <c r="R1643" s="104" t="str">
        <f aca="false">IF(OR(C1643&amp;D1643="",N(E1643)=0),"",IF(OR(O1643="?",P1643="?"),"⚠ akun tidak dikenal",IF(C1643=D1643,"⚠ debet = kredit","")))</f>
        <v/>
      </c>
    </row>
    <row r="1644" customFormat="false" ht="15" hidden="false" customHeight="false" outlineLevel="0" collapsed="false">
      <c r="A1644" s="5"/>
      <c r="B1644" s="83"/>
      <c r="C1644" s="5"/>
      <c r="D1644" s="5"/>
      <c r="E1644" s="44"/>
      <c r="F1644" s="5"/>
      <c r="G1644" s="5"/>
      <c r="H1644" s="5"/>
      <c r="I1644" s="5"/>
      <c r="J1644" s="102" t="str">
        <f aca="false">IF(B1644="","",MONTH(B1644))</f>
        <v/>
      </c>
      <c r="K1644" s="102" t="str">
        <f aca="false">IF(B1644="","",YEAR(B1644))</f>
        <v/>
      </c>
      <c r="L1644" s="102" t="str">
        <f aca="false">IF(N(E1644)=0,"",IF(COUNTIFS(AK_NAMA,C1644,AK_KAT,"KAS")+COUNTIFS(AK_NAMA,D1644,AK_KAT,"KAS")&lt;&gt;1,"",IF(COUNTIFS(AK_NAMA,C1644,AK_KAT,"KAS")=1,D1644,C1644)))</f>
        <v/>
      </c>
      <c r="M1644" s="103" t="n">
        <f aca="false">IF(L1644="",0,IF(L1644=D1644,E1644,-E1644))</f>
        <v>0</v>
      </c>
      <c r="N1644" s="102" t="str">
        <f aca="false">IF(L1644="","",IFERROR(INDEX(AK_BARIS,MATCH(L1644,AK_NAMA,0)),"?"))</f>
        <v/>
      </c>
      <c r="O1644" s="102" t="str">
        <f aca="false">IF(C1644="","",IFERROR(INDEX(AK_KEL,MATCH(C1644,AK_NAMA,0)),"?"))</f>
        <v/>
      </c>
      <c r="P1644" s="102" t="str">
        <f aca="false">IF(D1644="","",IFERROR(INDEX(AK_KEL,MATCH(D1644,AK_NAMA,0)),"?"))</f>
        <v/>
      </c>
      <c r="Q1644" s="102" t="n">
        <f aca="false">N(Q1643)+IF(AND(N(E1644)&lt;&gt;0,K1644=TAHUN,N(J1644)&lt;=BLN,OR(C1644=BB_AKUN,D1644=BB_AKUN)),1,0)</f>
        <v>877</v>
      </c>
      <c r="R1644" s="104" t="str">
        <f aca="false">IF(OR(C1644&amp;D1644="",N(E1644)=0),"",IF(OR(O1644="?",P1644="?"),"⚠ akun tidak dikenal",IF(C1644=D1644,"⚠ debet = kredit","")))</f>
        <v/>
      </c>
    </row>
    <row r="1645" customFormat="false" ht="15" hidden="false" customHeight="false" outlineLevel="0" collapsed="false">
      <c r="A1645" s="5"/>
      <c r="B1645" s="83"/>
      <c r="C1645" s="5"/>
      <c r="D1645" s="5"/>
      <c r="E1645" s="44"/>
      <c r="F1645" s="5"/>
      <c r="G1645" s="5"/>
      <c r="H1645" s="5"/>
      <c r="I1645" s="5"/>
      <c r="J1645" s="102" t="str">
        <f aca="false">IF(B1645="","",MONTH(B1645))</f>
        <v/>
      </c>
      <c r="K1645" s="102" t="str">
        <f aca="false">IF(B1645="","",YEAR(B1645))</f>
        <v/>
      </c>
      <c r="L1645" s="102" t="str">
        <f aca="false">IF(N(E1645)=0,"",IF(COUNTIFS(AK_NAMA,C1645,AK_KAT,"KAS")+COUNTIFS(AK_NAMA,D1645,AK_KAT,"KAS")&lt;&gt;1,"",IF(COUNTIFS(AK_NAMA,C1645,AK_KAT,"KAS")=1,D1645,C1645)))</f>
        <v/>
      </c>
      <c r="M1645" s="103" t="n">
        <f aca="false">IF(L1645="",0,IF(L1645=D1645,E1645,-E1645))</f>
        <v>0</v>
      </c>
      <c r="N1645" s="102" t="str">
        <f aca="false">IF(L1645="","",IFERROR(INDEX(AK_BARIS,MATCH(L1645,AK_NAMA,0)),"?"))</f>
        <v/>
      </c>
      <c r="O1645" s="102" t="str">
        <f aca="false">IF(C1645="","",IFERROR(INDEX(AK_KEL,MATCH(C1645,AK_NAMA,0)),"?"))</f>
        <v/>
      </c>
      <c r="P1645" s="102" t="str">
        <f aca="false">IF(D1645="","",IFERROR(INDEX(AK_KEL,MATCH(D1645,AK_NAMA,0)),"?"))</f>
        <v/>
      </c>
      <c r="Q1645" s="102" t="n">
        <f aca="false">N(Q1644)+IF(AND(N(E1645)&lt;&gt;0,K1645=TAHUN,N(J1645)&lt;=BLN,OR(C1645=BB_AKUN,D1645=BB_AKUN)),1,0)</f>
        <v>877</v>
      </c>
      <c r="R1645" s="104" t="str">
        <f aca="false">IF(OR(C1645&amp;D1645="",N(E1645)=0),"",IF(OR(O1645="?",P1645="?"),"⚠ akun tidak dikenal",IF(C1645=D1645,"⚠ debet = kredit","")))</f>
        <v/>
      </c>
    </row>
    <row r="1646" customFormat="false" ht="15" hidden="false" customHeight="false" outlineLevel="0" collapsed="false">
      <c r="A1646" s="5"/>
      <c r="B1646" s="83"/>
      <c r="C1646" s="5"/>
      <c r="D1646" s="5"/>
      <c r="E1646" s="44"/>
      <c r="F1646" s="5"/>
      <c r="G1646" s="5"/>
      <c r="H1646" s="5"/>
      <c r="I1646" s="5"/>
      <c r="J1646" s="102" t="str">
        <f aca="false">IF(B1646="","",MONTH(B1646))</f>
        <v/>
      </c>
      <c r="K1646" s="102" t="str">
        <f aca="false">IF(B1646="","",YEAR(B1646))</f>
        <v/>
      </c>
      <c r="L1646" s="102" t="str">
        <f aca="false">IF(N(E1646)=0,"",IF(COUNTIFS(AK_NAMA,C1646,AK_KAT,"KAS")+COUNTIFS(AK_NAMA,D1646,AK_KAT,"KAS")&lt;&gt;1,"",IF(COUNTIFS(AK_NAMA,C1646,AK_KAT,"KAS")=1,D1646,C1646)))</f>
        <v/>
      </c>
      <c r="M1646" s="103" t="n">
        <f aca="false">IF(L1646="",0,IF(L1646=D1646,E1646,-E1646))</f>
        <v>0</v>
      </c>
      <c r="N1646" s="102" t="str">
        <f aca="false">IF(L1646="","",IFERROR(INDEX(AK_BARIS,MATCH(L1646,AK_NAMA,0)),"?"))</f>
        <v/>
      </c>
      <c r="O1646" s="102" t="str">
        <f aca="false">IF(C1646="","",IFERROR(INDEX(AK_KEL,MATCH(C1646,AK_NAMA,0)),"?"))</f>
        <v/>
      </c>
      <c r="P1646" s="102" t="str">
        <f aca="false">IF(D1646="","",IFERROR(INDEX(AK_KEL,MATCH(D1646,AK_NAMA,0)),"?"))</f>
        <v/>
      </c>
      <c r="Q1646" s="102" t="n">
        <f aca="false">N(Q1645)+IF(AND(N(E1646)&lt;&gt;0,K1646=TAHUN,N(J1646)&lt;=BLN,OR(C1646=BB_AKUN,D1646=BB_AKUN)),1,0)</f>
        <v>877</v>
      </c>
      <c r="R1646" s="104" t="str">
        <f aca="false">IF(OR(C1646&amp;D1646="",N(E1646)=0),"",IF(OR(O1646="?",P1646="?"),"⚠ akun tidak dikenal",IF(C1646=D1646,"⚠ debet = kredit","")))</f>
        <v/>
      </c>
    </row>
    <row r="1647" customFormat="false" ht="15" hidden="false" customHeight="false" outlineLevel="0" collapsed="false">
      <c r="A1647" s="5"/>
      <c r="B1647" s="83"/>
      <c r="C1647" s="5"/>
      <c r="D1647" s="5"/>
      <c r="E1647" s="44"/>
      <c r="F1647" s="5"/>
      <c r="G1647" s="5"/>
      <c r="H1647" s="5"/>
      <c r="I1647" s="5"/>
      <c r="J1647" s="102" t="str">
        <f aca="false">IF(B1647="","",MONTH(B1647))</f>
        <v/>
      </c>
      <c r="K1647" s="102" t="str">
        <f aca="false">IF(B1647="","",YEAR(B1647))</f>
        <v/>
      </c>
      <c r="L1647" s="102" t="str">
        <f aca="false">IF(N(E1647)=0,"",IF(COUNTIFS(AK_NAMA,C1647,AK_KAT,"KAS")+COUNTIFS(AK_NAMA,D1647,AK_KAT,"KAS")&lt;&gt;1,"",IF(COUNTIFS(AK_NAMA,C1647,AK_KAT,"KAS")=1,D1647,C1647)))</f>
        <v/>
      </c>
      <c r="M1647" s="103" t="n">
        <f aca="false">IF(L1647="",0,IF(L1647=D1647,E1647,-E1647))</f>
        <v>0</v>
      </c>
      <c r="N1647" s="102" t="str">
        <f aca="false">IF(L1647="","",IFERROR(INDEX(AK_BARIS,MATCH(L1647,AK_NAMA,0)),"?"))</f>
        <v/>
      </c>
      <c r="O1647" s="102" t="str">
        <f aca="false">IF(C1647="","",IFERROR(INDEX(AK_KEL,MATCH(C1647,AK_NAMA,0)),"?"))</f>
        <v/>
      </c>
      <c r="P1647" s="102" t="str">
        <f aca="false">IF(D1647="","",IFERROR(INDEX(AK_KEL,MATCH(D1647,AK_NAMA,0)),"?"))</f>
        <v/>
      </c>
      <c r="Q1647" s="102" t="n">
        <f aca="false">N(Q1646)+IF(AND(N(E1647)&lt;&gt;0,K1647=TAHUN,N(J1647)&lt;=BLN,OR(C1647=BB_AKUN,D1647=BB_AKUN)),1,0)</f>
        <v>877</v>
      </c>
      <c r="R1647" s="104" t="str">
        <f aca="false">IF(OR(C1647&amp;D1647="",N(E1647)=0),"",IF(OR(O1647="?",P1647="?"),"⚠ akun tidak dikenal",IF(C1647=D1647,"⚠ debet = kredit","")))</f>
        <v/>
      </c>
    </row>
    <row r="1648" customFormat="false" ht="15" hidden="false" customHeight="false" outlineLevel="0" collapsed="false">
      <c r="A1648" s="5"/>
      <c r="B1648" s="83"/>
      <c r="C1648" s="5"/>
      <c r="D1648" s="5"/>
      <c r="E1648" s="44"/>
      <c r="F1648" s="5"/>
      <c r="G1648" s="5"/>
      <c r="H1648" s="5"/>
      <c r="I1648" s="5"/>
      <c r="J1648" s="102" t="str">
        <f aca="false">IF(B1648="","",MONTH(B1648))</f>
        <v/>
      </c>
      <c r="K1648" s="102" t="str">
        <f aca="false">IF(B1648="","",YEAR(B1648))</f>
        <v/>
      </c>
      <c r="L1648" s="102" t="str">
        <f aca="false">IF(N(E1648)=0,"",IF(COUNTIFS(AK_NAMA,C1648,AK_KAT,"KAS")+COUNTIFS(AK_NAMA,D1648,AK_KAT,"KAS")&lt;&gt;1,"",IF(COUNTIFS(AK_NAMA,C1648,AK_KAT,"KAS")=1,D1648,C1648)))</f>
        <v/>
      </c>
      <c r="M1648" s="103" t="n">
        <f aca="false">IF(L1648="",0,IF(L1648=D1648,E1648,-E1648))</f>
        <v>0</v>
      </c>
      <c r="N1648" s="102" t="str">
        <f aca="false">IF(L1648="","",IFERROR(INDEX(AK_BARIS,MATCH(L1648,AK_NAMA,0)),"?"))</f>
        <v/>
      </c>
      <c r="O1648" s="102" t="str">
        <f aca="false">IF(C1648="","",IFERROR(INDEX(AK_KEL,MATCH(C1648,AK_NAMA,0)),"?"))</f>
        <v/>
      </c>
      <c r="P1648" s="102" t="str">
        <f aca="false">IF(D1648="","",IFERROR(INDEX(AK_KEL,MATCH(D1648,AK_NAMA,0)),"?"))</f>
        <v/>
      </c>
      <c r="Q1648" s="102" t="n">
        <f aca="false">N(Q1647)+IF(AND(N(E1648)&lt;&gt;0,K1648=TAHUN,N(J1648)&lt;=BLN,OR(C1648=BB_AKUN,D1648=BB_AKUN)),1,0)</f>
        <v>877</v>
      </c>
      <c r="R1648" s="104" t="str">
        <f aca="false">IF(OR(C1648&amp;D1648="",N(E1648)=0),"",IF(OR(O1648="?",P1648="?"),"⚠ akun tidak dikenal",IF(C1648=D1648,"⚠ debet = kredit","")))</f>
        <v/>
      </c>
    </row>
    <row r="1649" customFormat="false" ht="15" hidden="false" customHeight="false" outlineLevel="0" collapsed="false">
      <c r="A1649" s="5"/>
      <c r="B1649" s="83"/>
      <c r="C1649" s="5"/>
      <c r="D1649" s="5"/>
      <c r="E1649" s="44"/>
      <c r="F1649" s="5"/>
      <c r="G1649" s="5"/>
      <c r="H1649" s="5"/>
      <c r="I1649" s="5"/>
      <c r="J1649" s="102" t="str">
        <f aca="false">IF(B1649="","",MONTH(B1649))</f>
        <v/>
      </c>
      <c r="K1649" s="102" t="str">
        <f aca="false">IF(B1649="","",YEAR(B1649))</f>
        <v/>
      </c>
      <c r="L1649" s="102" t="str">
        <f aca="false">IF(N(E1649)=0,"",IF(COUNTIFS(AK_NAMA,C1649,AK_KAT,"KAS")+COUNTIFS(AK_NAMA,D1649,AK_KAT,"KAS")&lt;&gt;1,"",IF(COUNTIFS(AK_NAMA,C1649,AK_KAT,"KAS")=1,D1649,C1649)))</f>
        <v/>
      </c>
      <c r="M1649" s="103" t="n">
        <f aca="false">IF(L1649="",0,IF(L1649=D1649,E1649,-E1649))</f>
        <v>0</v>
      </c>
      <c r="N1649" s="102" t="str">
        <f aca="false">IF(L1649="","",IFERROR(INDEX(AK_BARIS,MATCH(L1649,AK_NAMA,0)),"?"))</f>
        <v/>
      </c>
      <c r="O1649" s="102" t="str">
        <f aca="false">IF(C1649="","",IFERROR(INDEX(AK_KEL,MATCH(C1649,AK_NAMA,0)),"?"))</f>
        <v/>
      </c>
      <c r="P1649" s="102" t="str">
        <f aca="false">IF(D1649="","",IFERROR(INDEX(AK_KEL,MATCH(D1649,AK_NAMA,0)),"?"))</f>
        <v/>
      </c>
      <c r="Q1649" s="102" t="n">
        <f aca="false">N(Q1648)+IF(AND(N(E1649)&lt;&gt;0,K1649=TAHUN,N(J1649)&lt;=BLN,OR(C1649=BB_AKUN,D1649=BB_AKUN)),1,0)</f>
        <v>877</v>
      </c>
      <c r="R1649" s="104" t="str">
        <f aca="false">IF(OR(C1649&amp;D1649="",N(E1649)=0),"",IF(OR(O1649="?",P1649="?"),"⚠ akun tidak dikenal",IF(C1649=D1649,"⚠ debet = kredit","")))</f>
        <v/>
      </c>
    </row>
    <row r="1650" customFormat="false" ht="15" hidden="false" customHeight="false" outlineLevel="0" collapsed="false">
      <c r="A1650" s="5"/>
      <c r="B1650" s="83"/>
      <c r="C1650" s="5"/>
      <c r="D1650" s="5"/>
      <c r="E1650" s="44"/>
      <c r="F1650" s="5"/>
      <c r="G1650" s="5"/>
      <c r="H1650" s="5"/>
      <c r="I1650" s="5"/>
      <c r="J1650" s="102" t="str">
        <f aca="false">IF(B1650="","",MONTH(B1650))</f>
        <v/>
      </c>
      <c r="K1650" s="102" t="str">
        <f aca="false">IF(B1650="","",YEAR(B1650))</f>
        <v/>
      </c>
      <c r="L1650" s="102" t="str">
        <f aca="false">IF(N(E1650)=0,"",IF(COUNTIFS(AK_NAMA,C1650,AK_KAT,"KAS")+COUNTIFS(AK_NAMA,D1650,AK_KAT,"KAS")&lt;&gt;1,"",IF(COUNTIFS(AK_NAMA,C1650,AK_KAT,"KAS")=1,D1650,C1650)))</f>
        <v/>
      </c>
      <c r="M1650" s="103" t="n">
        <f aca="false">IF(L1650="",0,IF(L1650=D1650,E1650,-E1650))</f>
        <v>0</v>
      </c>
      <c r="N1650" s="102" t="str">
        <f aca="false">IF(L1650="","",IFERROR(INDEX(AK_BARIS,MATCH(L1650,AK_NAMA,0)),"?"))</f>
        <v/>
      </c>
      <c r="O1650" s="102" t="str">
        <f aca="false">IF(C1650="","",IFERROR(INDEX(AK_KEL,MATCH(C1650,AK_NAMA,0)),"?"))</f>
        <v/>
      </c>
      <c r="P1650" s="102" t="str">
        <f aca="false">IF(D1650="","",IFERROR(INDEX(AK_KEL,MATCH(D1650,AK_NAMA,0)),"?"))</f>
        <v/>
      </c>
      <c r="Q1650" s="102" t="n">
        <f aca="false">N(Q1649)+IF(AND(N(E1650)&lt;&gt;0,K1650=TAHUN,N(J1650)&lt;=BLN,OR(C1650=BB_AKUN,D1650=BB_AKUN)),1,0)</f>
        <v>877</v>
      </c>
      <c r="R1650" s="104" t="str">
        <f aca="false">IF(OR(C1650&amp;D1650="",N(E1650)=0),"",IF(OR(O1650="?",P1650="?"),"⚠ akun tidak dikenal",IF(C1650=D1650,"⚠ debet = kredit","")))</f>
        <v/>
      </c>
    </row>
    <row r="1651" customFormat="false" ht="15" hidden="false" customHeight="false" outlineLevel="0" collapsed="false">
      <c r="A1651" s="5"/>
      <c r="B1651" s="83"/>
      <c r="C1651" s="5"/>
      <c r="D1651" s="5"/>
      <c r="E1651" s="44"/>
      <c r="F1651" s="5"/>
      <c r="G1651" s="5"/>
      <c r="H1651" s="5"/>
      <c r="I1651" s="5"/>
      <c r="J1651" s="102" t="str">
        <f aca="false">IF(B1651="","",MONTH(B1651))</f>
        <v/>
      </c>
      <c r="K1651" s="102" t="str">
        <f aca="false">IF(B1651="","",YEAR(B1651))</f>
        <v/>
      </c>
      <c r="L1651" s="102" t="str">
        <f aca="false">IF(N(E1651)=0,"",IF(COUNTIFS(AK_NAMA,C1651,AK_KAT,"KAS")+COUNTIFS(AK_NAMA,D1651,AK_KAT,"KAS")&lt;&gt;1,"",IF(COUNTIFS(AK_NAMA,C1651,AK_KAT,"KAS")=1,D1651,C1651)))</f>
        <v/>
      </c>
      <c r="M1651" s="103" t="n">
        <f aca="false">IF(L1651="",0,IF(L1651=D1651,E1651,-E1651))</f>
        <v>0</v>
      </c>
      <c r="N1651" s="102" t="str">
        <f aca="false">IF(L1651="","",IFERROR(INDEX(AK_BARIS,MATCH(L1651,AK_NAMA,0)),"?"))</f>
        <v/>
      </c>
      <c r="O1651" s="102" t="str">
        <f aca="false">IF(C1651="","",IFERROR(INDEX(AK_KEL,MATCH(C1651,AK_NAMA,0)),"?"))</f>
        <v/>
      </c>
      <c r="P1651" s="102" t="str">
        <f aca="false">IF(D1651="","",IFERROR(INDEX(AK_KEL,MATCH(D1651,AK_NAMA,0)),"?"))</f>
        <v/>
      </c>
      <c r="Q1651" s="102" t="n">
        <f aca="false">N(Q1650)+IF(AND(N(E1651)&lt;&gt;0,K1651=TAHUN,N(J1651)&lt;=BLN,OR(C1651=BB_AKUN,D1651=BB_AKUN)),1,0)</f>
        <v>877</v>
      </c>
      <c r="R1651" s="104" t="str">
        <f aca="false">IF(OR(C1651&amp;D1651="",N(E1651)=0),"",IF(OR(O1651="?",P1651="?"),"⚠ akun tidak dikenal",IF(C1651=D1651,"⚠ debet = kredit","")))</f>
        <v/>
      </c>
    </row>
    <row r="1652" customFormat="false" ht="15" hidden="false" customHeight="false" outlineLevel="0" collapsed="false">
      <c r="A1652" s="5"/>
      <c r="B1652" s="83"/>
      <c r="C1652" s="5"/>
      <c r="D1652" s="5"/>
      <c r="E1652" s="44"/>
      <c r="F1652" s="5"/>
      <c r="G1652" s="5"/>
      <c r="H1652" s="5"/>
      <c r="I1652" s="5"/>
      <c r="J1652" s="102" t="str">
        <f aca="false">IF(B1652="","",MONTH(B1652))</f>
        <v/>
      </c>
      <c r="K1652" s="102" t="str">
        <f aca="false">IF(B1652="","",YEAR(B1652))</f>
        <v/>
      </c>
      <c r="L1652" s="102" t="str">
        <f aca="false">IF(N(E1652)=0,"",IF(COUNTIFS(AK_NAMA,C1652,AK_KAT,"KAS")+COUNTIFS(AK_NAMA,D1652,AK_KAT,"KAS")&lt;&gt;1,"",IF(COUNTIFS(AK_NAMA,C1652,AK_KAT,"KAS")=1,D1652,C1652)))</f>
        <v/>
      </c>
      <c r="M1652" s="103" t="n">
        <f aca="false">IF(L1652="",0,IF(L1652=D1652,E1652,-E1652))</f>
        <v>0</v>
      </c>
      <c r="N1652" s="102" t="str">
        <f aca="false">IF(L1652="","",IFERROR(INDEX(AK_BARIS,MATCH(L1652,AK_NAMA,0)),"?"))</f>
        <v/>
      </c>
      <c r="O1652" s="102" t="str">
        <f aca="false">IF(C1652="","",IFERROR(INDEX(AK_KEL,MATCH(C1652,AK_NAMA,0)),"?"))</f>
        <v/>
      </c>
      <c r="P1652" s="102" t="str">
        <f aca="false">IF(D1652="","",IFERROR(INDEX(AK_KEL,MATCH(D1652,AK_NAMA,0)),"?"))</f>
        <v/>
      </c>
      <c r="Q1652" s="102" t="n">
        <f aca="false">N(Q1651)+IF(AND(N(E1652)&lt;&gt;0,K1652=TAHUN,N(J1652)&lt;=BLN,OR(C1652=BB_AKUN,D1652=BB_AKUN)),1,0)</f>
        <v>877</v>
      </c>
      <c r="R1652" s="104" t="str">
        <f aca="false">IF(OR(C1652&amp;D1652="",N(E1652)=0),"",IF(OR(O1652="?",P1652="?"),"⚠ akun tidak dikenal",IF(C1652=D1652,"⚠ debet = kredit","")))</f>
        <v/>
      </c>
    </row>
    <row r="1653" customFormat="false" ht="15" hidden="false" customHeight="false" outlineLevel="0" collapsed="false">
      <c r="A1653" s="5"/>
      <c r="B1653" s="83"/>
      <c r="C1653" s="5"/>
      <c r="D1653" s="5"/>
      <c r="E1653" s="44"/>
      <c r="F1653" s="5"/>
      <c r="G1653" s="5"/>
      <c r="H1653" s="5"/>
      <c r="I1653" s="5"/>
      <c r="J1653" s="102" t="str">
        <f aca="false">IF(B1653="","",MONTH(B1653))</f>
        <v/>
      </c>
      <c r="K1653" s="102" t="str">
        <f aca="false">IF(B1653="","",YEAR(B1653))</f>
        <v/>
      </c>
      <c r="L1653" s="102" t="str">
        <f aca="false">IF(N(E1653)=0,"",IF(COUNTIFS(AK_NAMA,C1653,AK_KAT,"KAS")+COUNTIFS(AK_NAMA,D1653,AK_KAT,"KAS")&lt;&gt;1,"",IF(COUNTIFS(AK_NAMA,C1653,AK_KAT,"KAS")=1,D1653,C1653)))</f>
        <v/>
      </c>
      <c r="M1653" s="103" t="n">
        <f aca="false">IF(L1653="",0,IF(L1653=D1653,E1653,-E1653))</f>
        <v>0</v>
      </c>
      <c r="N1653" s="102" t="str">
        <f aca="false">IF(L1653="","",IFERROR(INDEX(AK_BARIS,MATCH(L1653,AK_NAMA,0)),"?"))</f>
        <v/>
      </c>
      <c r="O1653" s="102" t="str">
        <f aca="false">IF(C1653="","",IFERROR(INDEX(AK_KEL,MATCH(C1653,AK_NAMA,0)),"?"))</f>
        <v/>
      </c>
      <c r="P1653" s="102" t="str">
        <f aca="false">IF(D1653="","",IFERROR(INDEX(AK_KEL,MATCH(D1653,AK_NAMA,0)),"?"))</f>
        <v/>
      </c>
      <c r="Q1653" s="102" t="n">
        <f aca="false">N(Q1652)+IF(AND(N(E1653)&lt;&gt;0,K1653=TAHUN,N(J1653)&lt;=BLN,OR(C1653=BB_AKUN,D1653=BB_AKUN)),1,0)</f>
        <v>877</v>
      </c>
      <c r="R1653" s="104" t="str">
        <f aca="false">IF(OR(C1653&amp;D1653="",N(E1653)=0),"",IF(OR(O1653="?",P1653="?"),"⚠ akun tidak dikenal",IF(C1653=D1653,"⚠ debet = kredit","")))</f>
        <v/>
      </c>
    </row>
    <row r="1654" customFormat="false" ht="15" hidden="false" customHeight="false" outlineLevel="0" collapsed="false">
      <c r="A1654" s="5"/>
      <c r="B1654" s="83"/>
      <c r="C1654" s="5"/>
      <c r="D1654" s="5"/>
      <c r="E1654" s="44"/>
      <c r="F1654" s="5"/>
      <c r="G1654" s="5"/>
      <c r="H1654" s="5"/>
      <c r="I1654" s="5"/>
      <c r="J1654" s="102" t="str">
        <f aca="false">IF(B1654="","",MONTH(B1654))</f>
        <v/>
      </c>
      <c r="K1654" s="102" t="str">
        <f aca="false">IF(B1654="","",YEAR(B1654))</f>
        <v/>
      </c>
      <c r="L1654" s="102" t="str">
        <f aca="false">IF(N(E1654)=0,"",IF(COUNTIFS(AK_NAMA,C1654,AK_KAT,"KAS")+COUNTIFS(AK_NAMA,D1654,AK_KAT,"KAS")&lt;&gt;1,"",IF(COUNTIFS(AK_NAMA,C1654,AK_KAT,"KAS")=1,D1654,C1654)))</f>
        <v/>
      </c>
      <c r="M1654" s="103" t="n">
        <f aca="false">IF(L1654="",0,IF(L1654=D1654,E1654,-E1654))</f>
        <v>0</v>
      </c>
      <c r="N1654" s="102" t="str">
        <f aca="false">IF(L1654="","",IFERROR(INDEX(AK_BARIS,MATCH(L1654,AK_NAMA,0)),"?"))</f>
        <v/>
      </c>
      <c r="O1654" s="102" t="str">
        <f aca="false">IF(C1654="","",IFERROR(INDEX(AK_KEL,MATCH(C1654,AK_NAMA,0)),"?"))</f>
        <v/>
      </c>
      <c r="P1654" s="102" t="str">
        <f aca="false">IF(D1654="","",IFERROR(INDEX(AK_KEL,MATCH(D1654,AK_NAMA,0)),"?"))</f>
        <v/>
      </c>
      <c r="Q1654" s="102" t="n">
        <f aca="false">N(Q1653)+IF(AND(N(E1654)&lt;&gt;0,K1654=TAHUN,N(J1654)&lt;=BLN,OR(C1654=BB_AKUN,D1654=BB_AKUN)),1,0)</f>
        <v>877</v>
      </c>
      <c r="R1654" s="104" t="str">
        <f aca="false">IF(OR(C1654&amp;D1654="",N(E1654)=0),"",IF(OR(O1654="?",P1654="?"),"⚠ akun tidak dikenal",IF(C1654=D1654,"⚠ debet = kredit","")))</f>
        <v/>
      </c>
    </row>
    <row r="1655" customFormat="false" ht="15" hidden="false" customHeight="false" outlineLevel="0" collapsed="false">
      <c r="A1655" s="5"/>
      <c r="B1655" s="83"/>
      <c r="C1655" s="5"/>
      <c r="D1655" s="5"/>
      <c r="E1655" s="44"/>
      <c r="F1655" s="5"/>
      <c r="G1655" s="5"/>
      <c r="H1655" s="5"/>
      <c r="I1655" s="5"/>
      <c r="J1655" s="102" t="str">
        <f aca="false">IF(B1655="","",MONTH(B1655))</f>
        <v/>
      </c>
      <c r="K1655" s="102" t="str">
        <f aca="false">IF(B1655="","",YEAR(B1655))</f>
        <v/>
      </c>
      <c r="L1655" s="102" t="str">
        <f aca="false">IF(N(E1655)=0,"",IF(COUNTIFS(AK_NAMA,C1655,AK_KAT,"KAS")+COUNTIFS(AK_NAMA,D1655,AK_KAT,"KAS")&lt;&gt;1,"",IF(COUNTIFS(AK_NAMA,C1655,AK_KAT,"KAS")=1,D1655,C1655)))</f>
        <v/>
      </c>
      <c r="M1655" s="103" t="n">
        <f aca="false">IF(L1655="",0,IF(L1655=D1655,E1655,-E1655))</f>
        <v>0</v>
      </c>
      <c r="N1655" s="102" t="str">
        <f aca="false">IF(L1655="","",IFERROR(INDEX(AK_BARIS,MATCH(L1655,AK_NAMA,0)),"?"))</f>
        <v/>
      </c>
      <c r="O1655" s="102" t="str">
        <f aca="false">IF(C1655="","",IFERROR(INDEX(AK_KEL,MATCH(C1655,AK_NAMA,0)),"?"))</f>
        <v/>
      </c>
      <c r="P1655" s="102" t="str">
        <f aca="false">IF(D1655="","",IFERROR(INDEX(AK_KEL,MATCH(D1655,AK_NAMA,0)),"?"))</f>
        <v/>
      </c>
      <c r="Q1655" s="102" t="n">
        <f aca="false">N(Q1654)+IF(AND(N(E1655)&lt;&gt;0,K1655=TAHUN,N(J1655)&lt;=BLN,OR(C1655=BB_AKUN,D1655=BB_AKUN)),1,0)</f>
        <v>877</v>
      </c>
      <c r="R1655" s="104" t="str">
        <f aca="false">IF(OR(C1655&amp;D1655="",N(E1655)=0),"",IF(OR(O1655="?",P1655="?"),"⚠ akun tidak dikenal",IF(C1655=D1655,"⚠ debet = kredit","")))</f>
        <v/>
      </c>
    </row>
    <row r="1656" customFormat="false" ht="15" hidden="false" customHeight="false" outlineLevel="0" collapsed="false">
      <c r="A1656" s="5"/>
      <c r="B1656" s="83"/>
      <c r="C1656" s="5"/>
      <c r="D1656" s="5"/>
      <c r="E1656" s="44"/>
      <c r="F1656" s="5"/>
      <c r="G1656" s="5"/>
      <c r="H1656" s="5"/>
      <c r="I1656" s="5"/>
      <c r="J1656" s="102" t="str">
        <f aca="false">IF(B1656="","",MONTH(B1656))</f>
        <v/>
      </c>
      <c r="K1656" s="102" t="str">
        <f aca="false">IF(B1656="","",YEAR(B1656))</f>
        <v/>
      </c>
      <c r="L1656" s="102" t="str">
        <f aca="false">IF(N(E1656)=0,"",IF(COUNTIFS(AK_NAMA,C1656,AK_KAT,"KAS")+COUNTIFS(AK_NAMA,D1656,AK_KAT,"KAS")&lt;&gt;1,"",IF(COUNTIFS(AK_NAMA,C1656,AK_KAT,"KAS")=1,D1656,C1656)))</f>
        <v/>
      </c>
      <c r="M1656" s="103" t="n">
        <f aca="false">IF(L1656="",0,IF(L1656=D1656,E1656,-E1656))</f>
        <v>0</v>
      </c>
      <c r="N1656" s="102" t="str">
        <f aca="false">IF(L1656="","",IFERROR(INDEX(AK_BARIS,MATCH(L1656,AK_NAMA,0)),"?"))</f>
        <v/>
      </c>
      <c r="O1656" s="102" t="str">
        <f aca="false">IF(C1656="","",IFERROR(INDEX(AK_KEL,MATCH(C1656,AK_NAMA,0)),"?"))</f>
        <v/>
      </c>
      <c r="P1656" s="102" t="str">
        <f aca="false">IF(D1656="","",IFERROR(INDEX(AK_KEL,MATCH(D1656,AK_NAMA,0)),"?"))</f>
        <v/>
      </c>
      <c r="Q1656" s="102" t="n">
        <f aca="false">N(Q1655)+IF(AND(N(E1656)&lt;&gt;0,K1656=TAHUN,N(J1656)&lt;=BLN,OR(C1656=BB_AKUN,D1656=BB_AKUN)),1,0)</f>
        <v>877</v>
      </c>
      <c r="R1656" s="104" t="str">
        <f aca="false">IF(OR(C1656&amp;D1656="",N(E1656)=0),"",IF(OR(O1656="?",P1656="?"),"⚠ akun tidak dikenal",IF(C1656=D1656,"⚠ debet = kredit","")))</f>
        <v/>
      </c>
    </row>
    <row r="1657" customFormat="false" ht="15" hidden="false" customHeight="false" outlineLevel="0" collapsed="false">
      <c r="A1657" s="5"/>
      <c r="B1657" s="83"/>
      <c r="C1657" s="5"/>
      <c r="D1657" s="5"/>
      <c r="E1657" s="44"/>
      <c r="F1657" s="5"/>
      <c r="G1657" s="5"/>
      <c r="H1657" s="5"/>
      <c r="I1657" s="5"/>
      <c r="J1657" s="102" t="str">
        <f aca="false">IF(B1657="","",MONTH(B1657))</f>
        <v/>
      </c>
      <c r="K1657" s="102" t="str">
        <f aca="false">IF(B1657="","",YEAR(B1657))</f>
        <v/>
      </c>
      <c r="L1657" s="102" t="str">
        <f aca="false">IF(N(E1657)=0,"",IF(COUNTIFS(AK_NAMA,C1657,AK_KAT,"KAS")+COUNTIFS(AK_NAMA,D1657,AK_KAT,"KAS")&lt;&gt;1,"",IF(COUNTIFS(AK_NAMA,C1657,AK_KAT,"KAS")=1,D1657,C1657)))</f>
        <v/>
      </c>
      <c r="M1657" s="103" t="n">
        <f aca="false">IF(L1657="",0,IF(L1657=D1657,E1657,-E1657))</f>
        <v>0</v>
      </c>
      <c r="N1657" s="102" t="str">
        <f aca="false">IF(L1657="","",IFERROR(INDEX(AK_BARIS,MATCH(L1657,AK_NAMA,0)),"?"))</f>
        <v/>
      </c>
      <c r="O1657" s="102" t="str">
        <f aca="false">IF(C1657="","",IFERROR(INDEX(AK_KEL,MATCH(C1657,AK_NAMA,0)),"?"))</f>
        <v/>
      </c>
      <c r="P1657" s="102" t="str">
        <f aca="false">IF(D1657="","",IFERROR(INDEX(AK_KEL,MATCH(D1657,AK_NAMA,0)),"?"))</f>
        <v/>
      </c>
      <c r="Q1657" s="102" t="n">
        <f aca="false">N(Q1656)+IF(AND(N(E1657)&lt;&gt;0,K1657=TAHUN,N(J1657)&lt;=BLN,OR(C1657=BB_AKUN,D1657=BB_AKUN)),1,0)</f>
        <v>877</v>
      </c>
      <c r="R1657" s="104" t="str">
        <f aca="false">IF(OR(C1657&amp;D1657="",N(E1657)=0),"",IF(OR(O1657="?",P1657="?"),"⚠ akun tidak dikenal",IF(C1657=D1657,"⚠ debet = kredit","")))</f>
        <v/>
      </c>
    </row>
    <row r="1658" customFormat="false" ht="15" hidden="false" customHeight="false" outlineLevel="0" collapsed="false">
      <c r="A1658" s="5"/>
      <c r="B1658" s="83"/>
      <c r="C1658" s="5"/>
      <c r="D1658" s="5"/>
      <c r="E1658" s="44"/>
      <c r="F1658" s="5"/>
      <c r="G1658" s="5"/>
      <c r="H1658" s="5"/>
      <c r="I1658" s="5"/>
      <c r="J1658" s="102" t="str">
        <f aca="false">IF(B1658="","",MONTH(B1658))</f>
        <v/>
      </c>
      <c r="K1658" s="102" t="str">
        <f aca="false">IF(B1658="","",YEAR(B1658))</f>
        <v/>
      </c>
      <c r="L1658" s="102" t="str">
        <f aca="false">IF(N(E1658)=0,"",IF(COUNTIFS(AK_NAMA,C1658,AK_KAT,"KAS")+COUNTIFS(AK_NAMA,D1658,AK_KAT,"KAS")&lt;&gt;1,"",IF(COUNTIFS(AK_NAMA,C1658,AK_KAT,"KAS")=1,D1658,C1658)))</f>
        <v/>
      </c>
      <c r="M1658" s="103" t="n">
        <f aca="false">IF(L1658="",0,IF(L1658=D1658,E1658,-E1658))</f>
        <v>0</v>
      </c>
      <c r="N1658" s="102" t="str">
        <f aca="false">IF(L1658="","",IFERROR(INDEX(AK_BARIS,MATCH(L1658,AK_NAMA,0)),"?"))</f>
        <v/>
      </c>
      <c r="O1658" s="102" t="str">
        <f aca="false">IF(C1658="","",IFERROR(INDEX(AK_KEL,MATCH(C1658,AK_NAMA,0)),"?"))</f>
        <v/>
      </c>
      <c r="P1658" s="102" t="str">
        <f aca="false">IF(D1658="","",IFERROR(INDEX(AK_KEL,MATCH(D1658,AK_NAMA,0)),"?"))</f>
        <v/>
      </c>
      <c r="Q1658" s="102" t="n">
        <f aca="false">N(Q1657)+IF(AND(N(E1658)&lt;&gt;0,K1658=TAHUN,N(J1658)&lt;=BLN,OR(C1658=BB_AKUN,D1658=BB_AKUN)),1,0)</f>
        <v>877</v>
      </c>
      <c r="R1658" s="104" t="str">
        <f aca="false">IF(OR(C1658&amp;D1658="",N(E1658)=0),"",IF(OR(O1658="?",P1658="?"),"⚠ akun tidak dikenal",IF(C1658=D1658,"⚠ debet = kredit","")))</f>
        <v/>
      </c>
    </row>
    <row r="1659" customFormat="false" ht="15" hidden="false" customHeight="false" outlineLevel="0" collapsed="false">
      <c r="A1659" s="5"/>
      <c r="B1659" s="83"/>
      <c r="C1659" s="5"/>
      <c r="D1659" s="5"/>
      <c r="E1659" s="44"/>
      <c r="F1659" s="5"/>
      <c r="G1659" s="5"/>
      <c r="H1659" s="5"/>
      <c r="I1659" s="5"/>
      <c r="J1659" s="102" t="str">
        <f aca="false">IF(B1659="","",MONTH(B1659))</f>
        <v/>
      </c>
      <c r="K1659" s="102" t="str">
        <f aca="false">IF(B1659="","",YEAR(B1659))</f>
        <v/>
      </c>
      <c r="L1659" s="102" t="str">
        <f aca="false">IF(N(E1659)=0,"",IF(COUNTIFS(AK_NAMA,C1659,AK_KAT,"KAS")+COUNTIFS(AK_NAMA,D1659,AK_KAT,"KAS")&lt;&gt;1,"",IF(COUNTIFS(AK_NAMA,C1659,AK_KAT,"KAS")=1,D1659,C1659)))</f>
        <v/>
      </c>
      <c r="M1659" s="103" t="n">
        <f aca="false">IF(L1659="",0,IF(L1659=D1659,E1659,-E1659))</f>
        <v>0</v>
      </c>
      <c r="N1659" s="102" t="str">
        <f aca="false">IF(L1659="","",IFERROR(INDEX(AK_BARIS,MATCH(L1659,AK_NAMA,0)),"?"))</f>
        <v/>
      </c>
      <c r="O1659" s="102" t="str">
        <f aca="false">IF(C1659="","",IFERROR(INDEX(AK_KEL,MATCH(C1659,AK_NAMA,0)),"?"))</f>
        <v/>
      </c>
      <c r="P1659" s="102" t="str">
        <f aca="false">IF(D1659="","",IFERROR(INDEX(AK_KEL,MATCH(D1659,AK_NAMA,0)),"?"))</f>
        <v/>
      </c>
      <c r="Q1659" s="102" t="n">
        <f aca="false">N(Q1658)+IF(AND(N(E1659)&lt;&gt;0,K1659=TAHUN,N(J1659)&lt;=BLN,OR(C1659=BB_AKUN,D1659=BB_AKUN)),1,0)</f>
        <v>877</v>
      </c>
      <c r="R1659" s="104" t="str">
        <f aca="false">IF(OR(C1659&amp;D1659="",N(E1659)=0),"",IF(OR(O1659="?",P1659="?"),"⚠ akun tidak dikenal",IF(C1659=D1659,"⚠ debet = kredit","")))</f>
        <v/>
      </c>
    </row>
    <row r="1660" customFormat="false" ht="15" hidden="false" customHeight="false" outlineLevel="0" collapsed="false">
      <c r="A1660" s="5"/>
      <c r="B1660" s="83"/>
      <c r="C1660" s="5"/>
      <c r="D1660" s="5"/>
      <c r="E1660" s="44"/>
      <c r="F1660" s="5"/>
      <c r="G1660" s="5"/>
      <c r="H1660" s="5"/>
      <c r="I1660" s="5"/>
      <c r="J1660" s="102" t="str">
        <f aca="false">IF(B1660="","",MONTH(B1660))</f>
        <v/>
      </c>
      <c r="K1660" s="102" t="str">
        <f aca="false">IF(B1660="","",YEAR(B1660))</f>
        <v/>
      </c>
      <c r="L1660" s="102" t="str">
        <f aca="false">IF(N(E1660)=0,"",IF(COUNTIFS(AK_NAMA,C1660,AK_KAT,"KAS")+COUNTIFS(AK_NAMA,D1660,AK_KAT,"KAS")&lt;&gt;1,"",IF(COUNTIFS(AK_NAMA,C1660,AK_KAT,"KAS")=1,D1660,C1660)))</f>
        <v/>
      </c>
      <c r="M1660" s="103" t="n">
        <f aca="false">IF(L1660="",0,IF(L1660=D1660,E1660,-E1660))</f>
        <v>0</v>
      </c>
      <c r="N1660" s="102" t="str">
        <f aca="false">IF(L1660="","",IFERROR(INDEX(AK_BARIS,MATCH(L1660,AK_NAMA,0)),"?"))</f>
        <v/>
      </c>
      <c r="O1660" s="102" t="str">
        <f aca="false">IF(C1660="","",IFERROR(INDEX(AK_KEL,MATCH(C1660,AK_NAMA,0)),"?"))</f>
        <v/>
      </c>
      <c r="P1660" s="102" t="str">
        <f aca="false">IF(D1660="","",IFERROR(INDEX(AK_KEL,MATCH(D1660,AK_NAMA,0)),"?"))</f>
        <v/>
      </c>
      <c r="Q1660" s="102" t="n">
        <f aca="false">N(Q1659)+IF(AND(N(E1660)&lt;&gt;0,K1660=TAHUN,N(J1660)&lt;=BLN,OR(C1660=BB_AKUN,D1660=BB_AKUN)),1,0)</f>
        <v>877</v>
      </c>
      <c r="R1660" s="104" t="str">
        <f aca="false">IF(OR(C1660&amp;D1660="",N(E1660)=0),"",IF(OR(O1660="?",P1660="?"),"⚠ akun tidak dikenal",IF(C1660=D1660,"⚠ debet = kredit","")))</f>
        <v/>
      </c>
    </row>
    <row r="1661" customFormat="false" ht="15" hidden="false" customHeight="false" outlineLevel="0" collapsed="false">
      <c r="A1661" s="5"/>
      <c r="B1661" s="83"/>
      <c r="C1661" s="5"/>
      <c r="D1661" s="5"/>
      <c r="E1661" s="44"/>
      <c r="F1661" s="5"/>
      <c r="G1661" s="5"/>
      <c r="H1661" s="5"/>
      <c r="I1661" s="5"/>
      <c r="J1661" s="102" t="str">
        <f aca="false">IF(B1661="","",MONTH(B1661))</f>
        <v/>
      </c>
      <c r="K1661" s="102" t="str">
        <f aca="false">IF(B1661="","",YEAR(B1661))</f>
        <v/>
      </c>
      <c r="L1661" s="102" t="str">
        <f aca="false">IF(N(E1661)=0,"",IF(COUNTIFS(AK_NAMA,C1661,AK_KAT,"KAS")+COUNTIFS(AK_NAMA,D1661,AK_KAT,"KAS")&lt;&gt;1,"",IF(COUNTIFS(AK_NAMA,C1661,AK_KAT,"KAS")=1,D1661,C1661)))</f>
        <v/>
      </c>
      <c r="M1661" s="103" t="n">
        <f aca="false">IF(L1661="",0,IF(L1661=D1661,E1661,-E1661))</f>
        <v>0</v>
      </c>
      <c r="N1661" s="102" t="str">
        <f aca="false">IF(L1661="","",IFERROR(INDEX(AK_BARIS,MATCH(L1661,AK_NAMA,0)),"?"))</f>
        <v/>
      </c>
      <c r="O1661" s="102" t="str">
        <f aca="false">IF(C1661="","",IFERROR(INDEX(AK_KEL,MATCH(C1661,AK_NAMA,0)),"?"))</f>
        <v/>
      </c>
      <c r="P1661" s="102" t="str">
        <f aca="false">IF(D1661="","",IFERROR(INDEX(AK_KEL,MATCH(D1661,AK_NAMA,0)),"?"))</f>
        <v/>
      </c>
      <c r="Q1661" s="102" t="n">
        <f aca="false">N(Q1660)+IF(AND(N(E1661)&lt;&gt;0,K1661=TAHUN,N(J1661)&lt;=BLN,OR(C1661=BB_AKUN,D1661=BB_AKUN)),1,0)</f>
        <v>877</v>
      </c>
      <c r="R1661" s="104" t="str">
        <f aca="false">IF(OR(C1661&amp;D1661="",N(E1661)=0),"",IF(OR(O1661="?",P1661="?"),"⚠ akun tidak dikenal",IF(C1661=D1661,"⚠ debet = kredit","")))</f>
        <v/>
      </c>
    </row>
    <row r="1662" customFormat="false" ht="15" hidden="false" customHeight="false" outlineLevel="0" collapsed="false">
      <c r="A1662" s="5"/>
      <c r="B1662" s="83"/>
      <c r="C1662" s="5"/>
      <c r="D1662" s="5"/>
      <c r="E1662" s="44"/>
      <c r="F1662" s="5"/>
      <c r="G1662" s="5"/>
      <c r="H1662" s="5"/>
      <c r="I1662" s="5"/>
      <c r="J1662" s="102" t="str">
        <f aca="false">IF(B1662="","",MONTH(B1662))</f>
        <v/>
      </c>
      <c r="K1662" s="102" t="str">
        <f aca="false">IF(B1662="","",YEAR(B1662))</f>
        <v/>
      </c>
      <c r="L1662" s="102" t="str">
        <f aca="false">IF(N(E1662)=0,"",IF(COUNTIFS(AK_NAMA,C1662,AK_KAT,"KAS")+COUNTIFS(AK_NAMA,D1662,AK_KAT,"KAS")&lt;&gt;1,"",IF(COUNTIFS(AK_NAMA,C1662,AK_KAT,"KAS")=1,D1662,C1662)))</f>
        <v/>
      </c>
      <c r="M1662" s="103" t="n">
        <f aca="false">IF(L1662="",0,IF(L1662=D1662,E1662,-E1662))</f>
        <v>0</v>
      </c>
      <c r="N1662" s="102" t="str">
        <f aca="false">IF(L1662="","",IFERROR(INDEX(AK_BARIS,MATCH(L1662,AK_NAMA,0)),"?"))</f>
        <v/>
      </c>
      <c r="O1662" s="102" t="str">
        <f aca="false">IF(C1662="","",IFERROR(INDEX(AK_KEL,MATCH(C1662,AK_NAMA,0)),"?"))</f>
        <v/>
      </c>
      <c r="P1662" s="102" t="str">
        <f aca="false">IF(D1662="","",IFERROR(INDEX(AK_KEL,MATCH(D1662,AK_NAMA,0)),"?"))</f>
        <v/>
      </c>
      <c r="Q1662" s="102" t="n">
        <f aca="false">N(Q1661)+IF(AND(N(E1662)&lt;&gt;0,K1662=TAHUN,N(J1662)&lt;=BLN,OR(C1662=BB_AKUN,D1662=BB_AKUN)),1,0)</f>
        <v>877</v>
      </c>
      <c r="R1662" s="104" t="str">
        <f aca="false">IF(OR(C1662&amp;D1662="",N(E1662)=0),"",IF(OR(O1662="?",P1662="?"),"⚠ akun tidak dikenal",IF(C1662=D1662,"⚠ debet = kredit","")))</f>
        <v/>
      </c>
    </row>
    <row r="1663" customFormat="false" ht="15" hidden="false" customHeight="false" outlineLevel="0" collapsed="false">
      <c r="A1663" s="5"/>
      <c r="B1663" s="83"/>
      <c r="C1663" s="5"/>
      <c r="D1663" s="5"/>
      <c r="E1663" s="44"/>
      <c r="F1663" s="5"/>
      <c r="G1663" s="5"/>
      <c r="H1663" s="5"/>
      <c r="I1663" s="5"/>
      <c r="J1663" s="102" t="str">
        <f aca="false">IF(B1663="","",MONTH(B1663))</f>
        <v/>
      </c>
      <c r="K1663" s="102" t="str">
        <f aca="false">IF(B1663="","",YEAR(B1663))</f>
        <v/>
      </c>
      <c r="L1663" s="102" t="str">
        <f aca="false">IF(N(E1663)=0,"",IF(COUNTIFS(AK_NAMA,C1663,AK_KAT,"KAS")+COUNTIFS(AK_NAMA,D1663,AK_KAT,"KAS")&lt;&gt;1,"",IF(COUNTIFS(AK_NAMA,C1663,AK_KAT,"KAS")=1,D1663,C1663)))</f>
        <v/>
      </c>
      <c r="M1663" s="103" t="n">
        <f aca="false">IF(L1663="",0,IF(L1663=D1663,E1663,-E1663))</f>
        <v>0</v>
      </c>
      <c r="N1663" s="102" t="str">
        <f aca="false">IF(L1663="","",IFERROR(INDEX(AK_BARIS,MATCH(L1663,AK_NAMA,0)),"?"))</f>
        <v/>
      </c>
      <c r="O1663" s="102" t="str">
        <f aca="false">IF(C1663="","",IFERROR(INDEX(AK_KEL,MATCH(C1663,AK_NAMA,0)),"?"))</f>
        <v/>
      </c>
      <c r="P1663" s="102" t="str">
        <f aca="false">IF(D1663="","",IFERROR(INDEX(AK_KEL,MATCH(D1663,AK_NAMA,0)),"?"))</f>
        <v/>
      </c>
      <c r="Q1663" s="102" t="n">
        <f aca="false">N(Q1662)+IF(AND(N(E1663)&lt;&gt;0,K1663=TAHUN,N(J1663)&lt;=BLN,OR(C1663=BB_AKUN,D1663=BB_AKUN)),1,0)</f>
        <v>877</v>
      </c>
      <c r="R1663" s="104" t="str">
        <f aca="false">IF(OR(C1663&amp;D1663="",N(E1663)=0),"",IF(OR(O1663="?",P1663="?"),"⚠ akun tidak dikenal",IF(C1663=D1663,"⚠ debet = kredit","")))</f>
        <v/>
      </c>
    </row>
    <row r="1664" customFormat="false" ht="15" hidden="false" customHeight="false" outlineLevel="0" collapsed="false">
      <c r="A1664" s="5"/>
      <c r="B1664" s="83"/>
      <c r="C1664" s="5"/>
      <c r="D1664" s="5"/>
      <c r="E1664" s="44"/>
      <c r="F1664" s="5"/>
      <c r="G1664" s="5"/>
      <c r="H1664" s="5"/>
      <c r="I1664" s="5"/>
      <c r="J1664" s="102" t="str">
        <f aca="false">IF(B1664="","",MONTH(B1664))</f>
        <v/>
      </c>
      <c r="K1664" s="102" t="str">
        <f aca="false">IF(B1664="","",YEAR(B1664))</f>
        <v/>
      </c>
      <c r="L1664" s="102" t="str">
        <f aca="false">IF(N(E1664)=0,"",IF(COUNTIFS(AK_NAMA,C1664,AK_KAT,"KAS")+COUNTIFS(AK_NAMA,D1664,AK_KAT,"KAS")&lt;&gt;1,"",IF(COUNTIFS(AK_NAMA,C1664,AK_KAT,"KAS")=1,D1664,C1664)))</f>
        <v/>
      </c>
      <c r="M1664" s="103" t="n">
        <f aca="false">IF(L1664="",0,IF(L1664=D1664,E1664,-E1664))</f>
        <v>0</v>
      </c>
      <c r="N1664" s="102" t="str">
        <f aca="false">IF(L1664="","",IFERROR(INDEX(AK_BARIS,MATCH(L1664,AK_NAMA,0)),"?"))</f>
        <v/>
      </c>
      <c r="O1664" s="102" t="str">
        <f aca="false">IF(C1664="","",IFERROR(INDEX(AK_KEL,MATCH(C1664,AK_NAMA,0)),"?"))</f>
        <v/>
      </c>
      <c r="P1664" s="102" t="str">
        <f aca="false">IF(D1664="","",IFERROR(INDEX(AK_KEL,MATCH(D1664,AK_NAMA,0)),"?"))</f>
        <v/>
      </c>
      <c r="Q1664" s="102" t="n">
        <f aca="false">N(Q1663)+IF(AND(N(E1664)&lt;&gt;0,K1664=TAHUN,N(J1664)&lt;=BLN,OR(C1664=BB_AKUN,D1664=BB_AKUN)),1,0)</f>
        <v>877</v>
      </c>
      <c r="R1664" s="104" t="str">
        <f aca="false">IF(OR(C1664&amp;D1664="",N(E1664)=0),"",IF(OR(O1664="?",P1664="?"),"⚠ akun tidak dikenal",IF(C1664=D1664,"⚠ debet = kredit","")))</f>
        <v/>
      </c>
    </row>
    <row r="1665" customFormat="false" ht="15" hidden="false" customHeight="false" outlineLevel="0" collapsed="false">
      <c r="A1665" s="5"/>
      <c r="B1665" s="83"/>
      <c r="C1665" s="5"/>
      <c r="D1665" s="5"/>
      <c r="E1665" s="44"/>
      <c r="F1665" s="5"/>
      <c r="G1665" s="5"/>
      <c r="H1665" s="5"/>
      <c r="I1665" s="5"/>
      <c r="J1665" s="102" t="str">
        <f aca="false">IF(B1665="","",MONTH(B1665))</f>
        <v/>
      </c>
      <c r="K1665" s="102" t="str">
        <f aca="false">IF(B1665="","",YEAR(B1665))</f>
        <v/>
      </c>
      <c r="L1665" s="102" t="str">
        <f aca="false">IF(N(E1665)=0,"",IF(COUNTIFS(AK_NAMA,C1665,AK_KAT,"KAS")+COUNTIFS(AK_NAMA,D1665,AK_KAT,"KAS")&lt;&gt;1,"",IF(COUNTIFS(AK_NAMA,C1665,AK_KAT,"KAS")=1,D1665,C1665)))</f>
        <v/>
      </c>
      <c r="M1665" s="103" t="n">
        <f aca="false">IF(L1665="",0,IF(L1665=D1665,E1665,-E1665))</f>
        <v>0</v>
      </c>
      <c r="N1665" s="102" t="str">
        <f aca="false">IF(L1665="","",IFERROR(INDEX(AK_BARIS,MATCH(L1665,AK_NAMA,0)),"?"))</f>
        <v/>
      </c>
      <c r="O1665" s="102" t="str">
        <f aca="false">IF(C1665="","",IFERROR(INDEX(AK_KEL,MATCH(C1665,AK_NAMA,0)),"?"))</f>
        <v/>
      </c>
      <c r="P1665" s="102" t="str">
        <f aca="false">IF(D1665="","",IFERROR(INDEX(AK_KEL,MATCH(D1665,AK_NAMA,0)),"?"))</f>
        <v/>
      </c>
      <c r="Q1665" s="102" t="n">
        <f aca="false">N(Q1664)+IF(AND(N(E1665)&lt;&gt;0,K1665=TAHUN,N(J1665)&lt;=BLN,OR(C1665=BB_AKUN,D1665=BB_AKUN)),1,0)</f>
        <v>877</v>
      </c>
      <c r="R1665" s="104" t="str">
        <f aca="false">IF(OR(C1665&amp;D1665="",N(E1665)=0),"",IF(OR(O1665="?",P1665="?"),"⚠ akun tidak dikenal",IF(C1665=D1665,"⚠ debet = kredit","")))</f>
        <v/>
      </c>
    </row>
    <row r="1666" customFormat="false" ht="15" hidden="false" customHeight="false" outlineLevel="0" collapsed="false">
      <c r="A1666" s="5"/>
      <c r="B1666" s="83"/>
      <c r="C1666" s="5"/>
      <c r="D1666" s="5"/>
      <c r="E1666" s="44"/>
      <c r="F1666" s="5"/>
      <c r="G1666" s="5"/>
      <c r="H1666" s="5"/>
      <c r="I1666" s="5"/>
      <c r="J1666" s="102" t="str">
        <f aca="false">IF(B1666="","",MONTH(B1666))</f>
        <v/>
      </c>
      <c r="K1666" s="102" t="str">
        <f aca="false">IF(B1666="","",YEAR(B1666))</f>
        <v/>
      </c>
      <c r="L1666" s="102" t="str">
        <f aca="false">IF(N(E1666)=0,"",IF(COUNTIFS(AK_NAMA,C1666,AK_KAT,"KAS")+COUNTIFS(AK_NAMA,D1666,AK_KAT,"KAS")&lt;&gt;1,"",IF(COUNTIFS(AK_NAMA,C1666,AK_KAT,"KAS")=1,D1666,C1666)))</f>
        <v/>
      </c>
      <c r="M1666" s="103" t="n">
        <f aca="false">IF(L1666="",0,IF(L1666=D1666,E1666,-E1666))</f>
        <v>0</v>
      </c>
      <c r="N1666" s="102" t="str">
        <f aca="false">IF(L1666="","",IFERROR(INDEX(AK_BARIS,MATCH(L1666,AK_NAMA,0)),"?"))</f>
        <v/>
      </c>
      <c r="O1666" s="102" t="str">
        <f aca="false">IF(C1666="","",IFERROR(INDEX(AK_KEL,MATCH(C1666,AK_NAMA,0)),"?"))</f>
        <v/>
      </c>
      <c r="P1666" s="102" t="str">
        <f aca="false">IF(D1666="","",IFERROR(INDEX(AK_KEL,MATCH(D1666,AK_NAMA,0)),"?"))</f>
        <v/>
      </c>
      <c r="Q1666" s="102" t="n">
        <f aca="false">N(Q1665)+IF(AND(N(E1666)&lt;&gt;0,K1666=TAHUN,N(J1666)&lt;=BLN,OR(C1666=BB_AKUN,D1666=BB_AKUN)),1,0)</f>
        <v>877</v>
      </c>
      <c r="R1666" s="104" t="str">
        <f aca="false">IF(OR(C1666&amp;D1666="",N(E1666)=0),"",IF(OR(O1666="?",P1666="?"),"⚠ akun tidak dikenal",IF(C1666=D1666,"⚠ debet = kredit","")))</f>
        <v/>
      </c>
    </row>
    <row r="1667" customFormat="false" ht="15" hidden="false" customHeight="false" outlineLevel="0" collapsed="false">
      <c r="A1667" s="5"/>
      <c r="B1667" s="83"/>
      <c r="C1667" s="5"/>
      <c r="D1667" s="5"/>
      <c r="E1667" s="44"/>
      <c r="F1667" s="5"/>
      <c r="G1667" s="5"/>
      <c r="H1667" s="5"/>
      <c r="I1667" s="5"/>
      <c r="J1667" s="102" t="str">
        <f aca="false">IF(B1667="","",MONTH(B1667))</f>
        <v/>
      </c>
      <c r="K1667" s="102" t="str">
        <f aca="false">IF(B1667="","",YEAR(B1667))</f>
        <v/>
      </c>
      <c r="L1667" s="102" t="str">
        <f aca="false">IF(N(E1667)=0,"",IF(COUNTIFS(AK_NAMA,C1667,AK_KAT,"KAS")+COUNTIFS(AK_NAMA,D1667,AK_KAT,"KAS")&lt;&gt;1,"",IF(COUNTIFS(AK_NAMA,C1667,AK_KAT,"KAS")=1,D1667,C1667)))</f>
        <v/>
      </c>
      <c r="M1667" s="103" t="n">
        <f aca="false">IF(L1667="",0,IF(L1667=D1667,E1667,-E1667))</f>
        <v>0</v>
      </c>
      <c r="N1667" s="102" t="str">
        <f aca="false">IF(L1667="","",IFERROR(INDEX(AK_BARIS,MATCH(L1667,AK_NAMA,0)),"?"))</f>
        <v/>
      </c>
      <c r="O1667" s="102" t="str">
        <f aca="false">IF(C1667="","",IFERROR(INDEX(AK_KEL,MATCH(C1667,AK_NAMA,0)),"?"))</f>
        <v/>
      </c>
      <c r="P1667" s="102" t="str">
        <f aca="false">IF(D1667="","",IFERROR(INDEX(AK_KEL,MATCH(D1667,AK_NAMA,0)),"?"))</f>
        <v/>
      </c>
      <c r="Q1667" s="102" t="n">
        <f aca="false">N(Q1666)+IF(AND(N(E1667)&lt;&gt;0,K1667=TAHUN,N(J1667)&lt;=BLN,OR(C1667=BB_AKUN,D1667=BB_AKUN)),1,0)</f>
        <v>877</v>
      </c>
      <c r="R1667" s="104" t="str">
        <f aca="false">IF(OR(C1667&amp;D1667="",N(E1667)=0),"",IF(OR(O1667="?",P1667="?"),"⚠ akun tidak dikenal",IF(C1667=D1667,"⚠ debet = kredit","")))</f>
        <v/>
      </c>
    </row>
    <row r="1668" customFormat="false" ht="15" hidden="false" customHeight="false" outlineLevel="0" collapsed="false">
      <c r="A1668" s="5"/>
      <c r="B1668" s="83"/>
      <c r="C1668" s="5"/>
      <c r="D1668" s="5"/>
      <c r="E1668" s="44"/>
      <c r="F1668" s="5"/>
      <c r="G1668" s="5"/>
      <c r="H1668" s="5"/>
      <c r="I1668" s="5"/>
      <c r="J1668" s="102" t="str">
        <f aca="false">IF(B1668="","",MONTH(B1668))</f>
        <v/>
      </c>
      <c r="K1668" s="102" t="str">
        <f aca="false">IF(B1668="","",YEAR(B1668))</f>
        <v/>
      </c>
      <c r="L1668" s="102" t="str">
        <f aca="false">IF(N(E1668)=0,"",IF(COUNTIFS(AK_NAMA,C1668,AK_KAT,"KAS")+COUNTIFS(AK_NAMA,D1668,AK_KAT,"KAS")&lt;&gt;1,"",IF(COUNTIFS(AK_NAMA,C1668,AK_KAT,"KAS")=1,D1668,C1668)))</f>
        <v/>
      </c>
      <c r="M1668" s="103" t="n">
        <f aca="false">IF(L1668="",0,IF(L1668=D1668,E1668,-E1668))</f>
        <v>0</v>
      </c>
      <c r="N1668" s="102" t="str">
        <f aca="false">IF(L1668="","",IFERROR(INDEX(AK_BARIS,MATCH(L1668,AK_NAMA,0)),"?"))</f>
        <v/>
      </c>
      <c r="O1668" s="102" t="str">
        <f aca="false">IF(C1668="","",IFERROR(INDEX(AK_KEL,MATCH(C1668,AK_NAMA,0)),"?"))</f>
        <v/>
      </c>
      <c r="P1668" s="102" t="str">
        <f aca="false">IF(D1668="","",IFERROR(INDEX(AK_KEL,MATCH(D1668,AK_NAMA,0)),"?"))</f>
        <v/>
      </c>
      <c r="Q1668" s="102" t="n">
        <f aca="false">N(Q1667)+IF(AND(N(E1668)&lt;&gt;0,K1668=TAHUN,N(J1668)&lt;=BLN,OR(C1668=BB_AKUN,D1668=BB_AKUN)),1,0)</f>
        <v>877</v>
      </c>
      <c r="R1668" s="104" t="str">
        <f aca="false">IF(OR(C1668&amp;D1668="",N(E1668)=0),"",IF(OR(O1668="?",P1668="?"),"⚠ akun tidak dikenal",IF(C1668=D1668,"⚠ debet = kredit","")))</f>
        <v/>
      </c>
    </row>
    <row r="1669" customFormat="false" ht="15" hidden="false" customHeight="false" outlineLevel="0" collapsed="false">
      <c r="A1669" s="5"/>
      <c r="B1669" s="83"/>
      <c r="C1669" s="5"/>
      <c r="D1669" s="5"/>
      <c r="E1669" s="44"/>
      <c r="F1669" s="5"/>
      <c r="G1669" s="5"/>
      <c r="H1669" s="5"/>
      <c r="I1669" s="5"/>
      <c r="J1669" s="102" t="str">
        <f aca="false">IF(B1669="","",MONTH(B1669))</f>
        <v/>
      </c>
      <c r="K1669" s="102" t="str">
        <f aca="false">IF(B1669="","",YEAR(B1669))</f>
        <v/>
      </c>
      <c r="L1669" s="102" t="str">
        <f aca="false">IF(N(E1669)=0,"",IF(COUNTIFS(AK_NAMA,C1669,AK_KAT,"KAS")+COUNTIFS(AK_NAMA,D1669,AK_KAT,"KAS")&lt;&gt;1,"",IF(COUNTIFS(AK_NAMA,C1669,AK_KAT,"KAS")=1,D1669,C1669)))</f>
        <v/>
      </c>
      <c r="M1669" s="103" t="n">
        <f aca="false">IF(L1669="",0,IF(L1669=D1669,E1669,-E1669))</f>
        <v>0</v>
      </c>
      <c r="N1669" s="102" t="str">
        <f aca="false">IF(L1669="","",IFERROR(INDEX(AK_BARIS,MATCH(L1669,AK_NAMA,0)),"?"))</f>
        <v/>
      </c>
      <c r="O1669" s="102" t="str">
        <f aca="false">IF(C1669="","",IFERROR(INDEX(AK_KEL,MATCH(C1669,AK_NAMA,0)),"?"))</f>
        <v/>
      </c>
      <c r="P1669" s="102" t="str">
        <f aca="false">IF(D1669="","",IFERROR(INDEX(AK_KEL,MATCH(D1669,AK_NAMA,0)),"?"))</f>
        <v/>
      </c>
      <c r="Q1669" s="102" t="n">
        <f aca="false">N(Q1668)+IF(AND(N(E1669)&lt;&gt;0,K1669=TAHUN,N(J1669)&lt;=BLN,OR(C1669=BB_AKUN,D1669=BB_AKUN)),1,0)</f>
        <v>877</v>
      </c>
      <c r="R1669" s="104" t="str">
        <f aca="false">IF(OR(C1669&amp;D1669="",N(E1669)=0),"",IF(OR(O1669="?",P1669="?"),"⚠ akun tidak dikenal",IF(C1669=D1669,"⚠ debet = kredit","")))</f>
        <v/>
      </c>
    </row>
    <row r="1670" customFormat="false" ht="15" hidden="false" customHeight="false" outlineLevel="0" collapsed="false">
      <c r="A1670" s="5"/>
      <c r="B1670" s="83"/>
      <c r="C1670" s="5"/>
      <c r="D1670" s="5"/>
      <c r="E1670" s="44"/>
      <c r="F1670" s="5"/>
      <c r="G1670" s="5"/>
      <c r="H1670" s="5"/>
      <c r="I1670" s="5"/>
      <c r="J1670" s="102" t="str">
        <f aca="false">IF(B1670="","",MONTH(B1670))</f>
        <v/>
      </c>
      <c r="K1670" s="102" t="str">
        <f aca="false">IF(B1670="","",YEAR(B1670))</f>
        <v/>
      </c>
      <c r="L1670" s="102" t="str">
        <f aca="false">IF(N(E1670)=0,"",IF(COUNTIFS(AK_NAMA,C1670,AK_KAT,"KAS")+COUNTIFS(AK_NAMA,D1670,AK_KAT,"KAS")&lt;&gt;1,"",IF(COUNTIFS(AK_NAMA,C1670,AK_KAT,"KAS")=1,D1670,C1670)))</f>
        <v/>
      </c>
      <c r="M1670" s="103" t="n">
        <f aca="false">IF(L1670="",0,IF(L1670=D1670,E1670,-E1670))</f>
        <v>0</v>
      </c>
      <c r="N1670" s="102" t="str">
        <f aca="false">IF(L1670="","",IFERROR(INDEX(AK_BARIS,MATCH(L1670,AK_NAMA,0)),"?"))</f>
        <v/>
      </c>
      <c r="O1670" s="102" t="str">
        <f aca="false">IF(C1670="","",IFERROR(INDEX(AK_KEL,MATCH(C1670,AK_NAMA,0)),"?"))</f>
        <v/>
      </c>
      <c r="P1670" s="102" t="str">
        <f aca="false">IF(D1670="","",IFERROR(INDEX(AK_KEL,MATCH(D1670,AK_NAMA,0)),"?"))</f>
        <v/>
      </c>
      <c r="Q1670" s="102" t="n">
        <f aca="false">N(Q1669)+IF(AND(N(E1670)&lt;&gt;0,K1670=TAHUN,N(J1670)&lt;=BLN,OR(C1670=BB_AKUN,D1670=BB_AKUN)),1,0)</f>
        <v>877</v>
      </c>
      <c r="R1670" s="104" t="str">
        <f aca="false">IF(OR(C1670&amp;D1670="",N(E1670)=0),"",IF(OR(O1670="?",P1670="?"),"⚠ akun tidak dikenal",IF(C1670=D1670,"⚠ debet = kredit","")))</f>
        <v/>
      </c>
    </row>
    <row r="1671" customFormat="false" ht="15" hidden="false" customHeight="false" outlineLevel="0" collapsed="false">
      <c r="A1671" s="5"/>
      <c r="B1671" s="83"/>
      <c r="C1671" s="5"/>
      <c r="D1671" s="5"/>
      <c r="E1671" s="44"/>
      <c r="F1671" s="5"/>
      <c r="G1671" s="5"/>
      <c r="H1671" s="5"/>
      <c r="I1671" s="5"/>
      <c r="J1671" s="102" t="str">
        <f aca="false">IF(B1671="","",MONTH(B1671))</f>
        <v/>
      </c>
      <c r="K1671" s="102" t="str">
        <f aca="false">IF(B1671="","",YEAR(B1671))</f>
        <v/>
      </c>
      <c r="L1671" s="102" t="str">
        <f aca="false">IF(N(E1671)=0,"",IF(COUNTIFS(AK_NAMA,C1671,AK_KAT,"KAS")+COUNTIFS(AK_NAMA,D1671,AK_KAT,"KAS")&lt;&gt;1,"",IF(COUNTIFS(AK_NAMA,C1671,AK_KAT,"KAS")=1,D1671,C1671)))</f>
        <v/>
      </c>
      <c r="M1671" s="103" t="n">
        <f aca="false">IF(L1671="",0,IF(L1671=D1671,E1671,-E1671))</f>
        <v>0</v>
      </c>
      <c r="N1671" s="102" t="str">
        <f aca="false">IF(L1671="","",IFERROR(INDEX(AK_BARIS,MATCH(L1671,AK_NAMA,0)),"?"))</f>
        <v/>
      </c>
      <c r="O1671" s="102" t="str">
        <f aca="false">IF(C1671="","",IFERROR(INDEX(AK_KEL,MATCH(C1671,AK_NAMA,0)),"?"))</f>
        <v/>
      </c>
      <c r="P1671" s="102" t="str">
        <f aca="false">IF(D1671="","",IFERROR(INDEX(AK_KEL,MATCH(D1671,AK_NAMA,0)),"?"))</f>
        <v/>
      </c>
      <c r="Q1671" s="102" t="n">
        <f aca="false">N(Q1670)+IF(AND(N(E1671)&lt;&gt;0,K1671=TAHUN,N(J1671)&lt;=BLN,OR(C1671=BB_AKUN,D1671=BB_AKUN)),1,0)</f>
        <v>877</v>
      </c>
      <c r="R1671" s="104" t="str">
        <f aca="false">IF(OR(C1671&amp;D1671="",N(E1671)=0),"",IF(OR(O1671="?",P1671="?"),"⚠ akun tidak dikenal",IF(C1671=D1671,"⚠ debet = kredit","")))</f>
        <v/>
      </c>
    </row>
    <row r="1672" customFormat="false" ht="15" hidden="false" customHeight="false" outlineLevel="0" collapsed="false">
      <c r="A1672" s="5"/>
      <c r="B1672" s="83"/>
      <c r="C1672" s="5"/>
      <c r="D1672" s="5"/>
      <c r="E1672" s="44"/>
      <c r="F1672" s="5"/>
      <c r="G1672" s="5"/>
      <c r="H1672" s="5"/>
      <c r="I1672" s="5"/>
      <c r="J1672" s="102" t="str">
        <f aca="false">IF(B1672="","",MONTH(B1672))</f>
        <v/>
      </c>
      <c r="K1672" s="102" t="str">
        <f aca="false">IF(B1672="","",YEAR(B1672))</f>
        <v/>
      </c>
      <c r="L1672" s="102" t="str">
        <f aca="false">IF(N(E1672)=0,"",IF(COUNTIFS(AK_NAMA,C1672,AK_KAT,"KAS")+COUNTIFS(AK_NAMA,D1672,AK_KAT,"KAS")&lt;&gt;1,"",IF(COUNTIFS(AK_NAMA,C1672,AK_KAT,"KAS")=1,D1672,C1672)))</f>
        <v/>
      </c>
      <c r="M1672" s="103" t="n">
        <f aca="false">IF(L1672="",0,IF(L1672=D1672,E1672,-E1672))</f>
        <v>0</v>
      </c>
      <c r="N1672" s="102" t="str">
        <f aca="false">IF(L1672="","",IFERROR(INDEX(AK_BARIS,MATCH(L1672,AK_NAMA,0)),"?"))</f>
        <v/>
      </c>
      <c r="O1672" s="102" t="str">
        <f aca="false">IF(C1672="","",IFERROR(INDEX(AK_KEL,MATCH(C1672,AK_NAMA,0)),"?"))</f>
        <v/>
      </c>
      <c r="P1672" s="102" t="str">
        <f aca="false">IF(D1672="","",IFERROR(INDEX(AK_KEL,MATCH(D1672,AK_NAMA,0)),"?"))</f>
        <v/>
      </c>
      <c r="Q1672" s="102" t="n">
        <f aca="false">N(Q1671)+IF(AND(N(E1672)&lt;&gt;0,K1672=TAHUN,N(J1672)&lt;=BLN,OR(C1672=BB_AKUN,D1672=BB_AKUN)),1,0)</f>
        <v>877</v>
      </c>
      <c r="R1672" s="104" t="str">
        <f aca="false">IF(OR(C1672&amp;D1672="",N(E1672)=0),"",IF(OR(O1672="?",P1672="?"),"⚠ akun tidak dikenal",IF(C1672=D1672,"⚠ debet = kredit","")))</f>
        <v/>
      </c>
    </row>
    <row r="1673" customFormat="false" ht="15" hidden="false" customHeight="false" outlineLevel="0" collapsed="false">
      <c r="A1673" s="5"/>
      <c r="B1673" s="83"/>
      <c r="C1673" s="5"/>
      <c r="D1673" s="5"/>
      <c r="E1673" s="44"/>
      <c r="F1673" s="5"/>
      <c r="G1673" s="5"/>
      <c r="H1673" s="5"/>
      <c r="I1673" s="5"/>
      <c r="J1673" s="102" t="str">
        <f aca="false">IF(B1673="","",MONTH(B1673))</f>
        <v/>
      </c>
      <c r="K1673" s="102" t="str">
        <f aca="false">IF(B1673="","",YEAR(B1673))</f>
        <v/>
      </c>
      <c r="L1673" s="102" t="str">
        <f aca="false">IF(N(E1673)=0,"",IF(COUNTIFS(AK_NAMA,C1673,AK_KAT,"KAS")+COUNTIFS(AK_NAMA,D1673,AK_KAT,"KAS")&lt;&gt;1,"",IF(COUNTIFS(AK_NAMA,C1673,AK_KAT,"KAS")=1,D1673,C1673)))</f>
        <v/>
      </c>
      <c r="M1673" s="103" t="n">
        <f aca="false">IF(L1673="",0,IF(L1673=D1673,E1673,-E1673))</f>
        <v>0</v>
      </c>
      <c r="N1673" s="102" t="str">
        <f aca="false">IF(L1673="","",IFERROR(INDEX(AK_BARIS,MATCH(L1673,AK_NAMA,0)),"?"))</f>
        <v/>
      </c>
      <c r="O1673" s="102" t="str">
        <f aca="false">IF(C1673="","",IFERROR(INDEX(AK_KEL,MATCH(C1673,AK_NAMA,0)),"?"))</f>
        <v/>
      </c>
      <c r="P1673" s="102" t="str">
        <f aca="false">IF(D1673="","",IFERROR(INDEX(AK_KEL,MATCH(D1673,AK_NAMA,0)),"?"))</f>
        <v/>
      </c>
      <c r="Q1673" s="102" t="n">
        <f aca="false">N(Q1672)+IF(AND(N(E1673)&lt;&gt;0,K1673=TAHUN,N(J1673)&lt;=BLN,OR(C1673=BB_AKUN,D1673=BB_AKUN)),1,0)</f>
        <v>877</v>
      </c>
      <c r="R1673" s="104" t="str">
        <f aca="false">IF(OR(C1673&amp;D1673="",N(E1673)=0),"",IF(OR(O1673="?",P1673="?"),"⚠ akun tidak dikenal",IF(C1673=D1673,"⚠ debet = kredit","")))</f>
        <v/>
      </c>
    </row>
    <row r="1674" customFormat="false" ht="15" hidden="false" customHeight="false" outlineLevel="0" collapsed="false">
      <c r="A1674" s="5"/>
      <c r="B1674" s="83"/>
      <c r="C1674" s="5"/>
      <c r="D1674" s="5"/>
      <c r="E1674" s="44"/>
      <c r="F1674" s="5"/>
      <c r="G1674" s="5"/>
      <c r="H1674" s="5"/>
      <c r="I1674" s="5"/>
      <c r="J1674" s="102" t="str">
        <f aca="false">IF(B1674="","",MONTH(B1674))</f>
        <v/>
      </c>
      <c r="K1674" s="102" t="str">
        <f aca="false">IF(B1674="","",YEAR(B1674))</f>
        <v/>
      </c>
      <c r="L1674" s="102" t="str">
        <f aca="false">IF(N(E1674)=0,"",IF(COUNTIFS(AK_NAMA,C1674,AK_KAT,"KAS")+COUNTIFS(AK_NAMA,D1674,AK_KAT,"KAS")&lt;&gt;1,"",IF(COUNTIFS(AK_NAMA,C1674,AK_KAT,"KAS")=1,D1674,C1674)))</f>
        <v/>
      </c>
      <c r="M1674" s="103" t="n">
        <f aca="false">IF(L1674="",0,IF(L1674=D1674,E1674,-E1674))</f>
        <v>0</v>
      </c>
      <c r="N1674" s="102" t="str">
        <f aca="false">IF(L1674="","",IFERROR(INDEX(AK_BARIS,MATCH(L1674,AK_NAMA,0)),"?"))</f>
        <v/>
      </c>
      <c r="O1674" s="102" t="str">
        <f aca="false">IF(C1674="","",IFERROR(INDEX(AK_KEL,MATCH(C1674,AK_NAMA,0)),"?"))</f>
        <v/>
      </c>
      <c r="P1674" s="102" t="str">
        <f aca="false">IF(D1674="","",IFERROR(INDEX(AK_KEL,MATCH(D1674,AK_NAMA,0)),"?"))</f>
        <v/>
      </c>
      <c r="Q1674" s="102" t="n">
        <f aca="false">N(Q1673)+IF(AND(N(E1674)&lt;&gt;0,K1674=TAHUN,N(J1674)&lt;=BLN,OR(C1674=BB_AKUN,D1674=BB_AKUN)),1,0)</f>
        <v>877</v>
      </c>
      <c r="R1674" s="104" t="str">
        <f aca="false">IF(OR(C1674&amp;D1674="",N(E1674)=0),"",IF(OR(O1674="?",P1674="?"),"⚠ akun tidak dikenal",IF(C1674=D1674,"⚠ debet = kredit","")))</f>
        <v/>
      </c>
    </row>
    <row r="1675" customFormat="false" ht="15" hidden="false" customHeight="false" outlineLevel="0" collapsed="false">
      <c r="A1675" s="5"/>
      <c r="B1675" s="83"/>
      <c r="C1675" s="5"/>
      <c r="D1675" s="5"/>
      <c r="E1675" s="44"/>
      <c r="F1675" s="5"/>
      <c r="G1675" s="5"/>
      <c r="H1675" s="5"/>
      <c r="I1675" s="5"/>
      <c r="J1675" s="102" t="str">
        <f aca="false">IF(B1675="","",MONTH(B1675))</f>
        <v/>
      </c>
      <c r="K1675" s="102" t="str">
        <f aca="false">IF(B1675="","",YEAR(B1675))</f>
        <v/>
      </c>
      <c r="L1675" s="102" t="str">
        <f aca="false">IF(N(E1675)=0,"",IF(COUNTIFS(AK_NAMA,C1675,AK_KAT,"KAS")+COUNTIFS(AK_NAMA,D1675,AK_KAT,"KAS")&lt;&gt;1,"",IF(COUNTIFS(AK_NAMA,C1675,AK_KAT,"KAS")=1,D1675,C1675)))</f>
        <v/>
      </c>
      <c r="M1675" s="103" t="n">
        <f aca="false">IF(L1675="",0,IF(L1675=D1675,E1675,-E1675))</f>
        <v>0</v>
      </c>
      <c r="N1675" s="102" t="str">
        <f aca="false">IF(L1675="","",IFERROR(INDEX(AK_BARIS,MATCH(L1675,AK_NAMA,0)),"?"))</f>
        <v/>
      </c>
      <c r="O1675" s="102" t="str">
        <f aca="false">IF(C1675="","",IFERROR(INDEX(AK_KEL,MATCH(C1675,AK_NAMA,0)),"?"))</f>
        <v/>
      </c>
      <c r="P1675" s="102" t="str">
        <f aca="false">IF(D1675="","",IFERROR(INDEX(AK_KEL,MATCH(D1675,AK_NAMA,0)),"?"))</f>
        <v/>
      </c>
      <c r="Q1675" s="102" t="n">
        <f aca="false">N(Q1674)+IF(AND(N(E1675)&lt;&gt;0,K1675=TAHUN,N(J1675)&lt;=BLN,OR(C1675=BB_AKUN,D1675=BB_AKUN)),1,0)</f>
        <v>877</v>
      </c>
      <c r="R1675" s="104" t="str">
        <f aca="false">IF(OR(C1675&amp;D1675="",N(E1675)=0),"",IF(OR(O1675="?",P1675="?"),"⚠ akun tidak dikenal",IF(C1675=D1675,"⚠ debet = kredit","")))</f>
        <v/>
      </c>
    </row>
    <row r="1676" customFormat="false" ht="15" hidden="false" customHeight="false" outlineLevel="0" collapsed="false">
      <c r="A1676" s="5"/>
      <c r="B1676" s="83"/>
      <c r="C1676" s="5"/>
      <c r="D1676" s="5"/>
      <c r="E1676" s="44"/>
      <c r="F1676" s="5"/>
      <c r="G1676" s="5"/>
      <c r="H1676" s="5"/>
      <c r="I1676" s="5"/>
      <c r="J1676" s="102" t="str">
        <f aca="false">IF(B1676="","",MONTH(B1676))</f>
        <v/>
      </c>
      <c r="K1676" s="102" t="str">
        <f aca="false">IF(B1676="","",YEAR(B1676))</f>
        <v/>
      </c>
      <c r="L1676" s="102" t="str">
        <f aca="false">IF(N(E1676)=0,"",IF(COUNTIFS(AK_NAMA,C1676,AK_KAT,"KAS")+COUNTIFS(AK_NAMA,D1676,AK_KAT,"KAS")&lt;&gt;1,"",IF(COUNTIFS(AK_NAMA,C1676,AK_KAT,"KAS")=1,D1676,C1676)))</f>
        <v/>
      </c>
      <c r="M1676" s="103" t="n">
        <f aca="false">IF(L1676="",0,IF(L1676=D1676,E1676,-E1676))</f>
        <v>0</v>
      </c>
      <c r="N1676" s="102" t="str">
        <f aca="false">IF(L1676="","",IFERROR(INDEX(AK_BARIS,MATCH(L1676,AK_NAMA,0)),"?"))</f>
        <v/>
      </c>
      <c r="O1676" s="102" t="str">
        <f aca="false">IF(C1676="","",IFERROR(INDEX(AK_KEL,MATCH(C1676,AK_NAMA,0)),"?"))</f>
        <v/>
      </c>
      <c r="P1676" s="102" t="str">
        <f aca="false">IF(D1676="","",IFERROR(INDEX(AK_KEL,MATCH(D1676,AK_NAMA,0)),"?"))</f>
        <v/>
      </c>
      <c r="Q1676" s="102" t="n">
        <f aca="false">N(Q1675)+IF(AND(N(E1676)&lt;&gt;0,K1676=TAHUN,N(J1676)&lt;=BLN,OR(C1676=BB_AKUN,D1676=BB_AKUN)),1,0)</f>
        <v>877</v>
      </c>
      <c r="R1676" s="104" t="str">
        <f aca="false">IF(OR(C1676&amp;D1676="",N(E1676)=0),"",IF(OR(O1676="?",P1676="?"),"⚠ akun tidak dikenal",IF(C1676=D1676,"⚠ debet = kredit","")))</f>
        <v/>
      </c>
    </row>
    <row r="1677" customFormat="false" ht="15" hidden="false" customHeight="false" outlineLevel="0" collapsed="false">
      <c r="A1677" s="5"/>
      <c r="B1677" s="83"/>
      <c r="C1677" s="5"/>
      <c r="D1677" s="5"/>
      <c r="E1677" s="44"/>
      <c r="F1677" s="5"/>
      <c r="G1677" s="5"/>
      <c r="H1677" s="5"/>
      <c r="I1677" s="5"/>
      <c r="J1677" s="102" t="str">
        <f aca="false">IF(B1677="","",MONTH(B1677))</f>
        <v/>
      </c>
      <c r="K1677" s="102" t="str">
        <f aca="false">IF(B1677="","",YEAR(B1677))</f>
        <v/>
      </c>
      <c r="L1677" s="102" t="str">
        <f aca="false">IF(N(E1677)=0,"",IF(COUNTIFS(AK_NAMA,C1677,AK_KAT,"KAS")+COUNTIFS(AK_NAMA,D1677,AK_KAT,"KAS")&lt;&gt;1,"",IF(COUNTIFS(AK_NAMA,C1677,AK_KAT,"KAS")=1,D1677,C1677)))</f>
        <v/>
      </c>
      <c r="M1677" s="103" t="n">
        <f aca="false">IF(L1677="",0,IF(L1677=D1677,E1677,-E1677))</f>
        <v>0</v>
      </c>
      <c r="N1677" s="102" t="str">
        <f aca="false">IF(L1677="","",IFERROR(INDEX(AK_BARIS,MATCH(L1677,AK_NAMA,0)),"?"))</f>
        <v/>
      </c>
      <c r="O1677" s="102" t="str">
        <f aca="false">IF(C1677="","",IFERROR(INDEX(AK_KEL,MATCH(C1677,AK_NAMA,0)),"?"))</f>
        <v/>
      </c>
      <c r="P1677" s="102" t="str">
        <f aca="false">IF(D1677="","",IFERROR(INDEX(AK_KEL,MATCH(D1677,AK_NAMA,0)),"?"))</f>
        <v/>
      </c>
      <c r="Q1677" s="102" t="n">
        <f aca="false">N(Q1676)+IF(AND(N(E1677)&lt;&gt;0,K1677=TAHUN,N(J1677)&lt;=BLN,OR(C1677=BB_AKUN,D1677=BB_AKUN)),1,0)</f>
        <v>877</v>
      </c>
      <c r="R1677" s="104" t="str">
        <f aca="false">IF(OR(C1677&amp;D1677="",N(E1677)=0),"",IF(OR(O1677="?",P1677="?"),"⚠ akun tidak dikenal",IF(C1677=D1677,"⚠ debet = kredit","")))</f>
        <v/>
      </c>
    </row>
    <row r="1678" customFormat="false" ht="15" hidden="false" customHeight="false" outlineLevel="0" collapsed="false">
      <c r="A1678" s="5"/>
      <c r="B1678" s="83"/>
      <c r="C1678" s="5"/>
      <c r="D1678" s="5"/>
      <c r="E1678" s="44"/>
      <c r="F1678" s="5"/>
      <c r="G1678" s="5"/>
      <c r="H1678" s="5"/>
      <c r="I1678" s="5"/>
      <c r="J1678" s="102" t="str">
        <f aca="false">IF(B1678="","",MONTH(B1678))</f>
        <v/>
      </c>
      <c r="K1678" s="102" t="str">
        <f aca="false">IF(B1678="","",YEAR(B1678))</f>
        <v/>
      </c>
      <c r="L1678" s="102" t="str">
        <f aca="false">IF(N(E1678)=0,"",IF(COUNTIFS(AK_NAMA,C1678,AK_KAT,"KAS")+COUNTIFS(AK_NAMA,D1678,AK_KAT,"KAS")&lt;&gt;1,"",IF(COUNTIFS(AK_NAMA,C1678,AK_KAT,"KAS")=1,D1678,C1678)))</f>
        <v/>
      </c>
      <c r="M1678" s="103" t="n">
        <f aca="false">IF(L1678="",0,IF(L1678=D1678,E1678,-E1678))</f>
        <v>0</v>
      </c>
      <c r="N1678" s="102" t="str">
        <f aca="false">IF(L1678="","",IFERROR(INDEX(AK_BARIS,MATCH(L1678,AK_NAMA,0)),"?"))</f>
        <v/>
      </c>
      <c r="O1678" s="102" t="str">
        <f aca="false">IF(C1678="","",IFERROR(INDEX(AK_KEL,MATCH(C1678,AK_NAMA,0)),"?"))</f>
        <v/>
      </c>
      <c r="P1678" s="102" t="str">
        <f aca="false">IF(D1678="","",IFERROR(INDEX(AK_KEL,MATCH(D1678,AK_NAMA,0)),"?"))</f>
        <v/>
      </c>
      <c r="Q1678" s="102" t="n">
        <f aca="false">N(Q1677)+IF(AND(N(E1678)&lt;&gt;0,K1678=TAHUN,N(J1678)&lt;=BLN,OR(C1678=BB_AKUN,D1678=BB_AKUN)),1,0)</f>
        <v>877</v>
      </c>
      <c r="R1678" s="104" t="str">
        <f aca="false">IF(OR(C1678&amp;D1678="",N(E1678)=0),"",IF(OR(O1678="?",P1678="?"),"⚠ akun tidak dikenal",IF(C1678=D1678,"⚠ debet = kredit","")))</f>
        <v/>
      </c>
    </row>
    <row r="1679" customFormat="false" ht="15" hidden="false" customHeight="false" outlineLevel="0" collapsed="false">
      <c r="A1679" s="5"/>
      <c r="B1679" s="83"/>
      <c r="C1679" s="5"/>
      <c r="D1679" s="5"/>
      <c r="E1679" s="44"/>
      <c r="F1679" s="5"/>
      <c r="G1679" s="5"/>
      <c r="H1679" s="5"/>
      <c r="I1679" s="5"/>
      <c r="J1679" s="102" t="str">
        <f aca="false">IF(B1679="","",MONTH(B1679))</f>
        <v/>
      </c>
      <c r="K1679" s="102" t="str">
        <f aca="false">IF(B1679="","",YEAR(B1679))</f>
        <v/>
      </c>
      <c r="L1679" s="102" t="str">
        <f aca="false">IF(N(E1679)=0,"",IF(COUNTIFS(AK_NAMA,C1679,AK_KAT,"KAS")+COUNTIFS(AK_NAMA,D1679,AK_KAT,"KAS")&lt;&gt;1,"",IF(COUNTIFS(AK_NAMA,C1679,AK_KAT,"KAS")=1,D1679,C1679)))</f>
        <v/>
      </c>
      <c r="M1679" s="103" t="n">
        <f aca="false">IF(L1679="",0,IF(L1679=D1679,E1679,-E1679))</f>
        <v>0</v>
      </c>
      <c r="N1679" s="102" t="str">
        <f aca="false">IF(L1679="","",IFERROR(INDEX(AK_BARIS,MATCH(L1679,AK_NAMA,0)),"?"))</f>
        <v/>
      </c>
      <c r="O1679" s="102" t="str">
        <f aca="false">IF(C1679="","",IFERROR(INDEX(AK_KEL,MATCH(C1679,AK_NAMA,0)),"?"))</f>
        <v/>
      </c>
      <c r="P1679" s="102" t="str">
        <f aca="false">IF(D1679="","",IFERROR(INDEX(AK_KEL,MATCH(D1679,AK_NAMA,0)),"?"))</f>
        <v/>
      </c>
      <c r="Q1679" s="102" t="n">
        <f aca="false">N(Q1678)+IF(AND(N(E1679)&lt;&gt;0,K1679=TAHUN,N(J1679)&lt;=BLN,OR(C1679=BB_AKUN,D1679=BB_AKUN)),1,0)</f>
        <v>877</v>
      </c>
      <c r="R1679" s="104" t="str">
        <f aca="false">IF(OR(C1679&amp;D1679="",N(E1679)=0),"",IF(OR(O1679="?",P1679="?"),"⚠ akun tidak dikenal",IF(C1679=D1679,"⚠ debet = kredit","")))</f>
        <v/>
      </c>
    </row>
    <row r="1680" customFormat="false" ht="15" hidden="false" customHeight="false" outlineLevel="0" collapsed="false">
      <c r="A1680" s="5"/>
      <c r="B1680" s="83"/>
      <c r="C1680" s="5"/>
      <c r="D1680" s="5"/>
      <c r="E1680" s="44"/>
      <c r="F1680" s="5"/>
      <c r="G1680" s="5"/>
      <c r="H1680" s="5"/>
      <c r="I1680" s="5"/>
      <c r="J1680" s="102" t="str">
        <f aca="false">IF(B1680="","",MONTH(B1680))</f>
        <v/>
      </c>
      <c r="K1680" s="102" t="str">
        <f aca="false">IF(B1680="","",YEAR(B1680))</f>
        <v/>
      </c>
      <c r="L1680" s="102" t="str">
        <f aca="false">IF(N(E1680)=0,"",IF(COUNTIFS(AK_NAMA,C1680,AK_KAT,"KAS")+COUNTIFS(AK_NAMA,D1680,AK_KAT,"KAS")&lt;&gt;1,"",IF(COUNTIFS(AK_NAMA,C1680,AK_KAT,"KAS")=1,D1680,C1680)))</f>
        <v/>
      </c>
      <c r="M1680" s="103" t="n">
        <f aca="false">IF(L1680="",0,IF(L1680=D1680,E1680,-E1680))</f>
        <v>0</v>
      </c>
      <c r="N1680" s="102" t="str">
        <f aca="false">IF(L1680="","",IFERROR(INDEX(AK_BARIS,MATCH(L1680,AK_NAMA,0)),"?"))</f>
        <v/>
      </c>
      <c r="O1680" s="102" t="str">
        <f aca="false">IF(C1680="","",IFERROR(INDEX(AK_KEL,MATCH(C1680,AK_NAMA,0)),"?"))</f>
        <v/>
      </c>
      <c r="P1680" s="102" t="str">
        <f aca="false">IF(D1680="","",IFERROR(INDEX(AK_KEL,MATCH(D1680,AK_NAMA,0)),"?"))</f>
        <v/>
      </c>
      <c r="Q1680" s="102" t="n">
        <f aca="false">N(Q1679)+IF(AND(N(E1680)&lt;&gt;0,K1680=TAHUN,N(J1680)&lt;=BLN,OR(C1680=BB_AKUN,D1680=BB_AKUN)),1,0)</f>
        <v>877</v>
      </c>
      <c r="R1680" s="104" t="str">
        <f aca="false">IF(OR(C1680&amp;D1680="",N(E1680)=0),"",IF(OR(O1680="?",P1680="?"),"⚠ akun tidak dikenal",IF(C1680=D1680,"⚠ debet = kredit","")))</f>
        <v/>
      </c>
    </row>
    <row r="1681" customFormat="false" ht="15" hidden="false" customHeight="false" outlineLevel="0" collapsed="false">
      <c r="A1681" s="5"/>
      <c r="B1681" s="83"/>
      <c r="C1681" s="5"/>
      <c r="D1681" s="5"/>
      <c r="E1681" s="44"/>
      <c r="F1681" s="5"/>
      <c r="G1681" s="5"/>
      <c r="H1681" s="5"/>
      <c r="I1681" s="5"/>
      <c r="J1681" s="102" t="str">
        <f aca="false">IF(B1681="","",MONTH(B1681))</f>
        <v/>
      </c>
      <c r="K1681" s="102" t="str">
        <f aca="false">IF(B1681="","",YEAR(B1681))</f>
        <v/>
      </c>
      <c r="L1681" s="102" t="str">
        <f aca="false">IF(N(E1681)=0,"",IF(COUNTIFS(AK_NAMA,C1681,AK_KAT,"KAS")+COUNTIFS(AK_NAMA,D1681,AK_KAT,"KAS")&lt;&gt;1,"",IF(COUNTIFS(AK_NAMA,C1681,AK_KAT,"KAS")=1,D1681,C1681)))</f>
        <v/>
      </c>
      <c r="M1681" s="103" t="n">
        <f aca="false">IF(L1681="",0,IF(L1681=D1681,E1681,-E1681))</f>
        <v>0</v>
      </c>
      <c r="N1681" s="102" t="str">
        <f aca="false">IF(L1681="","",IFERROR(INDEX(AK_BARIS,MATCH(L1681,AK_NAMA,0)),"?"))</f>
        <v/>
      </c>
      <c r="O1681" s="102" t="str">
        <f aca="false">IF(C1681="","",IFERROR(INDEX(AK_KEL,MATCH(C1681,AK_NAMA,0)),"?"))</f>
        <v/>
      </c>
      <c r="P1681" s="102" t="str">
        <f aca="false">IF(D1681="","",IFERROR(INDEX(AK_KEL,MATCH(D1681,AK_NAMA,0)),"?"))</f>
        <v/>
      </c>
      <c r="Q1681" s="102" t="n">
        <f aca="false">N(Q1680)+IF(AND(N(E1681)&lt;&gt;0,K1681=TAHUN,N(J1681)&lt;=BLN,OR(C1681=BB_AKUN,D1681=BB_AKUN)),1,0)</f>
        <v>877</v>
      </c>
      <c r="R1681" s="104" t="str">
        <f aca="false">IF(OR(C1681&amp;D1681="",N(E1681)=0),"",IF(OR(O1681="?",P1681="?"),"⚠ akun tidak dikenal",IF(C1681=D1681,"⚠ debet = kredit","")))</f>
        <v/>
      </c>
    </row>
    <row r="1682" customFormat="false" ht="15" hidden="false" customHeight="false" outlineLevel="0" collapsed="false">
      <c r="A1682" s="5"/>
      <c r="B1682" s="83"/>
      <c r="C1682" s="5"/>
      <c r="D1682" s="5"/>
      <c r="E1682" s="44"/>
      <c r="F1682" s="5"/>
      <c r="G1682" s="5"/>
      <c r="H1682" s="5"/>
      <c r="I1682" s="5"/>
      <c r="J1682" s="102" t="str">
        <f aca="false">IF(B1682="","",MONTH(B1682))</f>
        <v/>
      </c>
      <c r="K1682" s="102" t="str">
        <f aca="false">IF(B1682="","",YEAR(B1682))</f>
        <v/>
      </c>
      <c r="L1682" s="102" t="str">
        <f aca="false">IF(N(E1682)=0,"",IF(COUNTIFS(AK_NAMA,C1682,AK_KAT,"KAS")+COUNTIFS(AK_NAMA,D1682,AK_KAT,"KAS")&lt;&gt;1,"",IF(COUNTIFS(AK_NAMA,C1682,AK_KAT,"KAS")=1,D1682,C1682)))</f>
        <v/>
      </c>
      <c r="M1682" s="103" t="n">
        <f aca="false">IF(L1682="",0,IF(L1682=D1682,E1682,-E1682))</f>
        <v>0</v>
      </c>
      <c r="N1682" s="102" t="str">
        <f aca="false">IF(L1682="","",IFERROR(INDEX(AK_BARIS,MATCH(L1682,AK_NAMA,0)),"?"))</f>
        <v/>
      </c>
      <c r="O1682" s="102" t="str">
        <f aca="false">IF(C1682="","",IFERROR(INDEX(AK_KEL,MATCH(C1682,AK_NAMA,0)),"?"))</f>
        <v/>
      </c>
      <c r="P1682" s="102" t="str">
        <f aca="false">IF(D1682="","",IFERROR(INDEX(AK_KEL,MATCH(D1682,AK_NAMA,0)),"?"))</f>
        <v/>
      </c>
      <c r="Q1682" s="102" t="n">
        <f aca="false">N(Q1681)+IF(AND(N(E1682)&lt;&gt;0,K1682=TAHUN,N(J1682)&lt;=BLN,OR(C1682=BB_AKUN,D1682=BB_AKUN)),1,0)</f>
        <v>877</v>
      </c>
      <c r="R1682" s="104" t="str">
        <f aca="false">IF(OR(C1682&amp;D1682="",N(E1682)=0),"",IF(OR(O1682="?",P1682="?"),"⚠ akun tidak dikenal",IF(C1682=D1682,"⚠ debet = kredit","")))</f>
        <v/>
      </c>
    </row>
    <row r="1683" customFormat="false" ht="15" hidden="false" customHeight="false" outlineLevel="0" collapsed="false">
      <c r="A1683" s="5"/>
      <c r="B1683" s="83"/>
      <c r="C1683" s="5"/>
      <c r="D1683" s="5"/>
      <c r="E1683" s="44"/>
      <c r="F1683" s="5"/>
      <c r="G1683" s="5"/>
      <c r="H1683" s="5"/>
      <c r="I1683" s="5"/>
      <c r="J1683" s="102" t="str">
        <f aca="false">IF(B1683="","",MONTH(B1683))</f>
        <v/>
      </c>
      <c r="K1683" s="102" t="str">
        <f aca="false">IF(B1683="","",YEAR(B1683))</f>
        <v/>
      </c>
      <c r="L1683" s="102" t="str">
        <f aca="false">IF(N(E1683)=0,"",IF(COUNTIFS(AK_NAMA,C1683,AK_KAT,"KAS")+COUNTIFS(AK_NAMA,D1683,AK_KAT,"KAS")&lt;&gt;1,"",IF(COUNTIFS(AK_NAMA,C1683,AK_KAT,"KAS")=1,D1683,C1683)))</f>
        <v/>
      </c>
      <c r="M1683" s="103" t="n">
        <f aca="false">IF(L1683="",0,IF(L1683=D1683,E1683,-E1683))</f>
        <v>0</v>
      </c>
      <c r="N1683" s="102" t="str">
        <f aca="false">IF(L1683="","",IFERROR(INDEX(AK_BARIS,MATCH(L1683,AK_NAMA,0)),"?"))</f>
        <v/>
      </c>
      <c r="O1683" s="102" t="str">
        <f aca="false">IF(C1683="","",IFERROR(INDEX(AK_KEL,MATCH(C1683,AK_NAMA,0)),"?"))</f>
        <v/>
      </c>
      <c r="P1683" s="102" t="str">
        <f aca="false">IF(D1683="","",IFERROR(INDEX(AK_KEL,MATCH(D1683,AK_NAMA,0)),"?"))</f>
        <v/>
      </c>
      <c r="Q1683" s="102" t="n">
        <f aca="false">N(Q1682)+IF(AND(N(E1683)&lt;&gt;0,K1683=TAHUN,N(J1683)&lt;=BLN,OR(C1683=BB_AKUN,D1683=BB_AKUN)),1,0)</f>
        <v>877</v>
      </c>
      <c r="R1683" s="104" t="str">
        <f aca="false">IF(OR(C1683&amp;D1683="",N(E1683)=0),"",IF(OR(O1683="?",P1683="?"),"⚠ akun tidak dikenal",IF(C1683=D1683,"⚠ debet = kredit","")))</f>
        <v/>
      </c>
    </row>
    <row r="1684" customFormat="false" ht="15" hidden="false" customHeight="false" outlineLevel="0" collapsed="false">
      <c r="A1684" s="5"/>
      <c r="B1684" s="83"/>
      <c r="C1684" s="5"/>
      <c r="D1684" s="5"/>
      <c r="E1684" s="44"/>
      <c r="F1684" s="5"/>
      <c r="G1684" s="5"/>
      <c r="H1684" s="5"/>
      <c r="I1684" s="5"/>
      <c r="J1684" s="102" t="str">
        <f aca="false">IF(B1684="","",MONTH(B1684))</f>
        <v/>
      </c>
      <c r="K1684" s="102" t="str">
        <f aca="false">IF(B1684="","",YEAR(B1684))</f>
        <v/>
      </c>
      <c r="L1684" s="102" t="str">
        <f aca="false">IF(N(E1684)=0,"",IF(COUNTIFS(AK_NAMA,C1684,AK_KAT,"KAS")+COUNTIFS(AK_NAMA,D1684,AK_KAT,"KAS")&lt;&gt;1,"",IF(COUNTIFS(AK_NAMA,C1684,AK_KAT,"KAS")=1,D1684,C1684)))</f>
        <v/>
      </c>
      <c r="M1684" s="103" t="n">
        <f aca="false">IF(L1684="",0,IF(L1684=D1684,E1684,-E1684))</f>
        <v>0</v>
      </c>
      <c r="N1684" s="102" t="str">
        <f aca="false">IF(L1684="","",IFERROR(INDEX(AK_BARIS,MATCH(L1684,AK_NAMA,0)),"?"))</f>
        <v/>
      </c>
      <c r="O1684" s="102" t="str">
        <f aca="false">IF(C1684="","",IFERROR(INDEX(AK_KEL,MATCH(C1684,AK_NAMA,0)),"?"))</f>
        <v/>
      </c>
      <c r="P1684" s="102" t="str">
        <f aca="false">IF(D1684="","",IFERROR(INDEX(AK_KEL,MATCH(D1684,AK_NAMA,0)),"?"))</f>
        <v/>
      </c>
      <c r="Q1684" s="102" t="n">
        <f aca="false">N(Q1683)+IF(AND(N(E1684)&lt;&gt;0,K1684=TAHUN,N(J1684)&lt;=BLN,OR(C1684=BB_AKUN,D1684=BB_AKUN)),1,0)</f>
        <v>877</v>
      </c>
      <c r="R1684" s="104" t="str">
        <f aca="false">IF(OR(C1684&amp;D1684="",N(E1684)=0),"",IF(OR(O1684="?",P1684="?"),"⚠ akun tidak dikenal",IF(C1684=D1684,"⚠ debet = kredit","")))</f>
        <v/>
      </c>
    </row>
    <row r="1685" customFormat="false" ht="15" hidden="false" customHeight="false" outlineLevel="0" collapsed="false">
      <c r="A1685" s="5"/>
      <c r="B1685" s="83"/>
      <c r="C1685" s="5"/>
      <c r="D1685" s="5"/>
      <c r="E1685" s="44"/>
      <c r="F1685" s="5"/>
      <c r="G1685" s="5"/>
      <c r="H1685" s="5"/>
      <c r="I1685" s="5"/>
      <c r="J1685" s="102" t="str">
        <f aca="false">IF(B1685="","",MONTH(B1685))</f>
        <v/>
      </c>
      <c r="K1685" s="102" t="str">
        <f aca="false">IF(B1685="","",YEAR(B1685))</f>
        <v/>
      </c>
      <c r="L1685" s="102" t="str">
        <f aca="false">IF(N(E1685)=0,"",IF(COUNTIFS(AK_NAMA,C1685,AK_KAT,"KAS")+COUNTIFS(AK_NAMA,D1685,AK_KAT,"KAS")&lt;&gt;1,"",IF(COUNTIFS(AK_NAMA,C1685,AK_KAT,"KAS")=1,D1685,C1685)))</f>
        <v/>
      </c>
      <c r="M1685" s="103" t="n">
        <f aca="false">IF(L1685="",0,IF(L1685=D1685,E1685,-E1685))</f>
        <v>0</v>
      </c>
      <c r="N1685" s="102" t="str">
        <f aca="false">IF(L1685="","",IFERROR(INDEX(AK_BARIS,MATCH(L1685,AK_NAMA,0)),"?"))</f>
        <v/>
      </c>
      <c r="O1685" s="102" t="str">
        <f aca="false">IF(C1685="","",IFERROR(INDEX(AK_KEL,MATCH(C1685,AK_NAMA,0)),"?"))</f>
        <v/>
      </c>
      <c r="P1685" s="102" t="str">
        <f aca="false">IF(D1685="","",IFERROR(INDEX(AK_KEL,MATCH(D1685,AK_NAMA,0)),"?"))</f>
        <v/>
      </c>
      <c r="Q1685" s="102" t="n">
        <f aca="false">N(Q1684)+IF(AND(N(E1685)&lt;&gt;0,K1685=TAHUN,N(J1685)&lt;=BLN,OR(C1685=BB_AKUN,D1685=BB_AKUN)),1,0)</f>
        <v>877</v>
      </c>
      <c r="R1685" s="104" t="str">
        <f aca="false">IF(OR(C1685&amp;D1685="",N(E1685)=0),"",IF(OR(O1685="?",P1685="?"),"⚠ akun tidak dikenal",IF(C1685=D1685,"⚠ debet = kredit","")))</f>
        <v/>
      </c>
    </row>
    <row r="1686" customFormat="false" ht="15" hidden="false" customHeight="false" outlineLevel="0" collapsed="false">
      <c r="A1686" s="5"/>
      <c r="B1686" s="83"/>
      <c r="C1686" s="5"/>
      <c r="D1686" s="5"/>
      <c r="E1686" s="44"/>
      <c r="F1686" s="5"/>
      <c r="G1686" s="5"/>
      <c r="H1686" s="5"/>
      <c r="I1686" s="5"/>
      <c r="J1686" s="102" t="str">
        <f aca="false">IF(B1686="","",MONTH(B1686))</f>
        <v/>
      </c>
      <c r="K1686" s="102" t="str">
        <f aca="false">IF(B1686="","",YEAR(B1686))</f>
        <v/>
      </c>
      <c r="L1686" s="102" t="str">
        <f aca="false">IF(N(E1686)=0,"",IF(COUNTIFS(AK_NAMA,C1686,AK_KAT,"KAS")+COUNTIFS(AK_NAMA,D1686,AK_KAT,"KAS")&lt;&gt;1,"",IF(COUNTIFS(AK_NAMA,C1686,AK_KAT,"KAS")=1,D1686,C1686)))</f>
        <v/>
      </c>
      <c r="M1686" s="103" t="n">
        <f aca="false">IF(L1686="",0,IF(L1686=D1686,E1686,-E1686))</f>
        <v>0</v>
      </c>
      <c r="N1686" s="102" t="str">
        <f aca="false">IF(L1686="","",IFERROR(INDEX(AK_BARIS,MATCH(L1686,AK_NAMA,0)),"?"))</f>
        <v/>
      </c>
      <c r="O1686" s="102" t="str">
        <f aca="false">IF(C1686="","",IFERROR(INDEX(AK_KEL,MATCH(C1686,AK_NAMA,0)),"?"))</f>
        <v/>
      </c>
      <c r="P1686" s="102" t="str">
        <f aca="false">IF(D1686="","",IFERROR(INDEX(AK_KEL,MATCH(D1686,AK_NAMA,0)),"?"))</f>
        <v/>
      </c>
      <c r="Q1686" s="102" t="n">
        <f aca="false">N(Q1685)+IF(AND(N(E1686)&lt;&gt;0,K1686=TAHUN,N(J1686)&lt;=BLN,OR(C1686=BB_AKUN,D1686=BB_AKUN)),1,0)</f>
        <v>877</v>
      </c>
      <c r="R1686" s="104" t="str">
        <f aca="false">IF(OR(C1686&amp;D1686="",N(E1686)=0),"",IF(OR(O1686="?",P1686="?"),"⚠ akun tidak dikenal",IF(C1686=D1686,"⚠ debet = kredit","")))</f>
        <v/>
      </c>
    </row>
    <row r="1687" customFormat="false" ht="15" hidden="false" customHeight="false" outlineLevel="0" collapsed="false">
      <c r="A1687" s="5"/>
      <c r="B1687" s="83"/>
      <c r="C1687" s="5"/>
      <c r="D1687" s="5"/>
      <c r="E1687" s="44"/>
      <c r="F1687" s="5"/>
      <c r="G1687" s="5"/>
      <c r="H1687" s="5"/>
      <c r="I1687" s="5"/>
      <c r="J1687" s="102" t="str">
        <f aca="false">IF(B1687="","",MONTH(B1687))</f>
        <v/>
      </c>
      <c r="K1687" s="102" t="str">
        <f aca="false">IF(B1687="","",YEAR(B1687))</f>
        <v/>
      </c>
      <c r="L1687" s="102" t="str">
        <f aca="false">IF(N(E1687)=0,"",IF(COUNTIFS(AK_NAMA,C1687,AK_KAT,"KAS")+COUNTIFS(AK_NAMA,D1687,AK_KAT,"KAS")&lt;&gt;1,"",IF(COUNTIFS(AK_NAMA,C1687,AK_KAT,"KAS")=1,D1687,C1687)))</f>
        <v/>
      </c>
      <c r="M1687" s="103" t="n">
        <f aca="false">IF(L1687="",0,IF(L1687=D1687,E1687,-E1687))</f>
        <v>0</v>
      </c>
      <c r="N1687" s="102" t="str">
        <f aca="false">IF(L1687="","",IFERROR(INDEX(AK_BARIS,MATCH(L1687,AK_NAMA,0)),"?"))</f>
        <v/>
      </c>
      <c r="O1687" s="102" t="str">
        <f aca="false">IF(C1687="","",IFERROR(INDEX(AK_KEL,MATCH(C1687,AK_NAMA,0)),"?"))</f>
        <v/>
      </c>
      <c r="P1687" s="102" t="str">
        <f aca="false">IF(D1687="","",IFERROR(INDEX(AK_KEL,MATCH(D1687,AK_NAMA,0)),"?"))</f>
        <v/>
      </c>
      <c r="Q1687" s="102" t="n">
        <f aca="false">N(Q1686)+IF(AND(N(E1687)&lt;&gt;0,K1687=TAHUN,N(J1687)&lt;=BLN,OR(C1687=BB_AKUN,D1687=BB_AKUN)),1,0)</f>
        <v>877</v>
      </c>
      <c r="R1687" s="104" t="str">
        <f aca="false">IF(OR(C1687&amp;D1687="",N(E1687)=0),"",IF(OR(O1687="?",P1687="?"),"⚠ akun tidak dikenal",IF(C1687=D1687,"⚠ debet = kredit","")))</f>
        <v/>
      </c>
    </row>
    <row r="1688" customFormat="false" ht="15" hidden="false" customHeight="false" outlineLevel="0" collapsed="false">
      <c r="A1688" s="5"/>
      <c r="B1688" s="83"/>
      <c r="C1688" s="5"/>
      <c r="D1688" s="5"/>
      <c r="E1688" s="44"/>
      <c r="F1688" s="5"/>
      <c r="G1688" s="5"/>
      <c r="H1688" s="5"/>
      <c r="I1688" s="5"/>
      <c r="J1688" s="102" t="str">
        <f aca="false">IF(B1688="","",MONTH(B1688))</f>
        <v/>
      </c>
      <c r="K1688" s="102" t="str">
        <f aca="false">IF(B1688="","",YEAR(B1688))</f>
        <v/>
      </c>
      <c r="L1688" s="102" t="str">
        <f aca="false">IF(N(E1688)=0,"",IF(COUNTIFS(AK_NAMA,C1688,AK_KAT,"KAS")+COUNTIFS(AK_NAMA,D1688,AK_KAT,"KAS")&lt;&gt;1,"",IF(COUNTIFS(AK_NAMA,C1688,AK_KAT,"KAS")=1,D1688,C1688)))</f>
        <v/>
      </c>
      <c r="M1688" s="103" t="n">
        <f aca="false">IF(L1688="",0,IF(L1688=D1688,E1688,-E1688))</f>
        <v>0</v>
      </c>
      <c r="N1688" s="102" t="str">
        <f aca="false">IF(L1688="","",IFERROR(INDEX(AK_BARIS,MATCH(L1688,AK_NAMA,0)),"?"))</f>
        <v/>
      </c>
      <c r="O1688" s="102" t="str">
        <f aca="false">IF(C1688="","",IFERROR(INDEX(AK_KEL,MATCH(C1688,AK_NAMA,0)),"?"))</f>
        <v/>
      </c>
      <c r="P1688" s="102" t="str">
        <f aca="false">IF(D1688="","",IFERROR(INDEX(AK_KEL,MATCH(D1688,AK_NAMA,0)),"?"))</f>
        <v/>
      </c>
      <c r="Q1688" s="102" t="n">
        <f aca="false">N(Q1687)+IF(AND(N(E1688)&lt;&gt;0,K1688=TAHUN,N(J1688)&lt;=BLN,OR(C1688=BB_AKUN,D1688=BB_AKUN)),1,0)</f>
        <v>877</v>
      </c>
      <c r="R1688" s="104" t="str">
        <f aca="false">IF(OR(C1688&amp;D1688="",N(E1688)=0),"",IF(OR(O1688="?",P1688="?"),"⚠ akun tidak dikenal",IF(C1688=D1688,"⚠ debet = kredit","")))</f>
        <v/>
      </c>
    </row>
    <row r="1689" customFormat="false" ht="15" hidden="false" customHeight="false" outlineLevel="0" collapsed="false">
      <c r="A1689" s="5"/>
      <c r="B1689" s="83"/>
      <c r="C1689" s="5"/>
      <c r="D1689" s="5"/>
      <c r="E1689" s="44"/>
      <c r="F1689" s="5"/>
      <c r="G1689" s="5"/>
      <c r="H1689" s="5"/>
      <c r="I1689" s="5"/>
      <c r="J1689" s="102" t="str">
        <f aca="false">IF(B1689="","",MONTH(B1689))</f>
        <v/>
      </c>
      <c r="K1689" s="102" t="str">
        <f aca="false">IF(B1689="","",YEAR(B1689))</f>
        <v/>
      </c>
      <c r="L1689" s="102" t="str">
        <f aca="false">IF(N(E1689)=0,"",IF(COUNTIFS(AK_NAMA,C1689,AK_KAT,"KAS")+COUNTIFS(AK_NAMA,D1689,AK_KAT,"KAS")&lt;&gt;1,"",IF(COUNTIFS(AK_NAMA,C1689,AK_KAT,"KAS")=1,D1689,C1689)))</f>
        <v/>
      </c>
      <c r="M1689" s="103" t="n">
        <f aca="false">IF(L1689="",0,IF(L1689=D1689,E1689,-E1689))</f>
        <v>0</v>
      </c>
      <c r="N1689" s="102" t="str">
        <f aca="false">IF(L1689="","",IFERROR(INDEX(AK_BARIS,MATCH(L1689,AK_NAMA,0)),"?"))</f>
        <v/>
      </c>
      <c r="O1689" s="102" t="str">
        <f aca="false">IF(C1689="","",IFERROR(INDEX(AK_KEL,MATCH(C1689,AK_NAMA,0)),"?"))</f>
        <v/>
      </c>
      <c r="P1689" s="102" t="str">
        <f aca="false">IF(D1689="","",IFERROR(INDEX(AK_KEL,MATCH(D1689,AK_NAMA,0)),"?"))</f>
        <v/>
      </c>
      <c r="Q1689" s="102" t="n">
        <f aca="false">N(Q1688)+IF(AND(N(E1689)&lt;&gt;0,K1689=TAHUN,N(J1689)&lt;=BLN,OR(C1689=BB_AKUN,D1689=BB_AKUN)),1,0)</f>
        <v>877</v>
      </c>
      <c r="R1689" s="104" t="str">
        <f aca="false">IF(OR(C1689&amp;D1689="",N(E1689)=0),"",IF(OR(O1689="?",P1689="?"),"⚠ akun tidak dikenal",IF(C1689=D1689,"⚠ debet = kredit","")))</f>
        <v/>
      </c>
    </row>
    <row r="1690" customFormat="false" ht="15" hidden="false" customHeight="false" outlineLevel="0" collapsed="false">
      <c r="A1690" s="5"/>
      <c r="B1690" s="83"/>
      <c r="C1690" s="5"/>
      <c r="D1690" s="5"/>
      <c r="E1690" s="44"/>
      <c r="F1690" s="5"/>
      <c r="G1690" s="5"/>
      <c r="H1690" s="5"/>
      <c r="I1690" s="5"/>
      <c r="J1690" s="102" t="str">
        <f aca="false">IF(B1690="","",MONTH(B1690))</f>
        <v/>
      </c>
      <c r="K1690" s="102" t="str">
        <f aca="false">IF(B1690="","",YEAR(B1690))</f>
        <v/>
      </c>
      <c r="L1690" s="102" t="str">
        <f aca="false">IF(N(E1690)=0,"",IF(COUNTIFS(AK_NAMA,C1690,AK_KAT,"KAS")+COUNTIFS(AK_NAMA,D1690,AK_KAT,"KAS")&lt;&gt;1,"",IF(COUNTIFS(AK_NAMA,C1690,AK_KAT,"KAS")=1,D1690,C1690)))</f>
        <v/>
      </c>
      <c r="M1690" s="103" t="n">
        <f aca="false">IF(L1690="",0,IF(L1690=D1690,E1690,-E1690))</f>
        <v>0</v>
      </c>
      <c r="N1690" s="102" t="str">
        <f aca="false">IF(L1690="","",IFERROR(INDEX(AK_BARIS,MATCH(L1690,AK_NAMA,0)),"?"))</f>
        <v/>
      </c>
      <c r="O1690" s="102" t="str">
        <f aca="false">IF(C1690="","",IFERROR(INDEX(AK_KEL,MATCH(C1690,AK_NAMA,0)),"?"))</f>
        <v/>
      </c>
      <c r="P1690" s="102" t="str">
        <f aca="false">IF(D1690="","",IFERROR(INDEX(AK_KEL,MATCH(D1690,AK_NAMA,0)),"?"))</f>
        <v/>
      </c>
      <c r="Q1690" s="102" t="n">
        <f aca="false">N(Q1689)+IF(AND(N(E1690)&lt;&gt;0,K1690=TAHUN,N(J1690)&lt;=BLN,OR(C1690=BB_AKUN,D1690=BB_AKUN)),1,0)</f>
        <v>877</v>
      </c>
      <c r="R1690" s="104" t="str">
        <f aca="false">IF(OR(C1690&amp;D1690="",N(E1690)=0),"",IF(OR(O1690="?",P1690="?"),"⚠ akun tidak dikenal",IF(C1690=D1690,"⚠ debet = kredit","")))</f>
        <v/>
      </c>
    </row>
    <row r="1691" customFormat="false" ht="15" hidden="false" customHeight="false" outlineLevel="0" collapsed="false">
      <c r="A1691" s="5"/>
      <c r="B1691" s="83"/>
      <c r="C1691" s="5"/>
      <c r="D1691" s="5"/>
      <c r="E1691" s="44"/>
      <c r="F1691" s="5"/>
      <c r="G1691" s="5"/>
      <c r="H1691" s="5"/>
      <c r="I1691" s="5"/>
      <c r="J1691" s="102" t="str">
        <f aca="false">IF(B1691="","",MONTH(B1691))</f>
        <v/>
      </c>
      <c r="K1691" s="102" t="str">
        <f aca="false">IF(B1691="","",YEAR(B1691))</f>
        <v/>
      </c>
      <c r="L1691" s="102" t="str">
        <f aca="false">IF(N(E1691)=0,"",IF(COUNTIFS(AK_NAMA,C1691,AK_KAT,"KAS")+COUNTIFS(AK_NAMA,D1691,AK_KAT,"KAS")&lt;&gt;1,"",IF(COUNTIFS(AK_NAMA,C1691,AK_KAT,"KAS")=1,D1691,C1691)))</f>
        <v/>
      </c>
      <c r="M1691" s="103" t="n">
        <f aca="false">IF(L1691="",0,IF(L1691=D1691,E1691,-E1691))</f>
        <v>0</v>
      </c>
      <c r="N1691" s="102" t="str">
        <f aca="false">IF(L1691="","",IFERROR(INDEX(AK_BARIS,MATCH(L1691,AK_NAMA,0)),"?"))</f>
        <v/>
      </c>
      <c r="O1691" s="102" t="str">
        <f aca="false">IF(C1691="","",IFERROR(INDEX(AK_KEL,MATCH(C1691,AK_NAMA,0)),"?"))</f>
        <v/>
      </c>
      <c r="P1691" s="102" t="str">
        <f aca="false">IF(D1691="","",IFERROR(INDEX(AK_KEL,MATCH(D1691,AK_NAMA,0)),"?"))</f>
        <v/>
      </c>
      <c r="Q1691" s="102" t="n">
        <f aca="false">N(Q1690)+IF(AND(N(E1691)&lt;&gt;0,K1691=TAHUN,N(J1691)&lt;=BLN,OR(C1691=BB_AKUN,D1691=BB_AKUN)),1,0)</f>
        <v>877</v>
      </c>
      <c r="R1691" s="104" t="str">
        <f aca="false">IF(OR(C1691&amp;D1691="",N(E1691)=0),"",IF(OR(O1691="?",P1691="?"),"⚠ akun tidak dikenal",IF(C1691=D1691,"⚠ debet = kredit","")))</f>
        <v/>
      </c>
    </row>
    <row r="1692" customFormat="false" ht="15" hidden="false" customHeight="false" outlineLevel="0" collapsed="false">
      <c r="A1692" s="5"/>
      <c r="B1692" s="83"/>
      <c r="C1692" s="5"/>
      <c r="D1692" s="5"/>
      <c r="E1692" s="44"/>
      <c r="F1692" s="5"/>
      <c r="G1692" s="5"/>
      <c r="H1692" s="5"/>
      <c r="I1692" s="5"/>
      <c r="J1692" s="102" t="str">
        <f aca="false">IF(B1692="","",MONTH(B1692))</f>
        <v/>
      </c>
      <c r="K1692" s="102" t="str">
        <f aca="false">IF(B1692="","",YEAR(B1692))</f>
        <v/>
      </c>
      <c r="L1692" s="102" t="str">
        <f aca="false">IF(N(E1692)=0,"",IF(COUNTIFS(AK_NAMA,C1692,AK_KAT,"KAS")+COUNTIFS(AK_NAMA,D1692,AK_KAT,"KAS")&lt;&gt;1,"",IF(COUNTIFS(AK_NAMA,C1692,AK_KAT,"KAS")=1,D1692,C1692)))</f>
        <v/>
      </c>
      <c r="M1692" s="103" t="n">
        <f aca="false">IF(L1692="",0,IF(L1692=D1692,E1692,-E1692))</f>
        <v>0</v>
      </c>
      <c r="N1692" s="102" t="str">
        <f aca="false">IF(L1692="","",IFERROR(INDEX(AK_BARIS,MATCH(L1692,AK_NAMA,0)),"?"))</f>
        <v/>
      </c>
      <c r="O1692" s="102" t="str">
        <f aca="false">IF(C1692="","",IFERROR(INDEX(AK_KEL,MATCH(C1692,AK_NAMA,0)),"?"))</f>
        <v/>
      </c>
      <c r="P1692" s="102" t="str">
        <f aca="false">IF(D1692="","",IFERROR(INDEX(AK_KEL,MATCH(D1692,AK_NAMA,0)),"?"))</f>
        <v/>
      </c>
      <c r="Q1692" s="102" t="n">
        <f aca="false">N(Q1691)+IF(AND(N(E1692)&lt;&gt;0,K1692=TAHUN,N(J1692)&lt;=BLN,OR(C1692=BB_AKUN,D1692=BB_AKUN)),1,0)</f>
        <v>877</v>
      </c>
      <c r="R1692" s="104" t="str">
        <f aca="false">IF(OR(C1692&amp;D1692="",N(E1692)=0),"",IF(OR(O1692="?",P1692="?"),"⚠ akun tidak dikenal",IF(C1692=D1692,"⚠ debet = kredit","")))</f>
        <v/>
      </c>
    </row>
    <row r="1693" customFormat="false" ht="15" hidden="false" customHeight="false" outlineLevel="0" collapsed="false">
      <c r="A1693" s="5"/>
      <c r="B1693" s="83"/>
      <c r="C1693" s="5"/>
      <c r="D1693" s="5"/>
      <c r="E1693" s="44"/>
      <c r="F1693" s="5"/>
      <c r="G1693" s="5"/>
      <c r="H1693" s="5"/>
      <c r="I1693" s="5"/>
      <c r="J1693" s="102" t="str">
        <f aca="false">IF(B1693="","",MONTH(B1693))</f>
        <v/>
      </c>
      <c r="K1693" s="102" t="str">
        <f aca="false">IF(B1693="","",YEAR(B1693))</f>
        <v/>
      </c>
      <c r="L1693" s="102" t="str">
        <f aca="false">IF(N(E1693)=0,"",IF(COUNTIFS(AK_NAMA,C1693,AK_KAT,"KAS")+COUNTIFS(AK_NAMA,D1693,AK_KAT,"KAS")&lt;&gt;1,"",IF(COUNTIFS(AK_NAMA,C1693,AK_KAT,"KAS")=1,D1693,C1693)))</f>
        <v/>
      </c>
      <c r="M1693" s="103" t="n">
        <f aca="false">IF(L1693="",0,IF(L1693=D1693,E1693,-E1693))</f>
        <v>0</v>
      </c>
      <c r="N1693" s="102" t="str">
        <f aca="false">IF(L1693="","",IFERROR(INDEX(AK_BARIS,MATCH(L1693,AK_NAMA,0)),"?"))</f>
        <v/>
      </c>
      <c r="O1693" s="102" t="str">
        <f aca="false">IF(C1693="","",IFERROR(INDEX(AK_KEL,MATCH(C1693,AK_NAMA,0)),"?"))</f>
        <v/>
      </c>
      <c r="P1693" s="102" t="str">
        <f aca="false">IF(D1693="","",IFERROR(INDEX(AK_KEL,MATCH(D1693,AK_NAMA,0)),"?"))</f>
        <v/>
      </c>
      <c r="Q1693" s="102" t="n">
        <f aca="false">N(Q1692)+IF(AND(N(E1693)&lt;&gt;0,K1693=TAHUN,N(J1693)&lt;=BLN,OR(C1693=BB_AKUN,D1693=BB_AKUN)),1,0)</f>
        <v>877</v>
      </c>
      <c r="R1693" s="104" t="str">
        <f aca="false">IF(OR(C1693&amp;D1693="",N(E1693)=0),"",IF(OR(O1693="?",P1693="?"),"⚠ akun tidak dikenal",IF(C1693=D1693,"⚠ debet = kredit","")))</f>
        <v/>
      </c>
    </row>
    <row r="1694" customFormat="false" ht="15" hidden="false" customHeight="false" outlineLevel="0" collapsed="false">
      <c r="A1694" s="5"/>
      <c r="B1694" s="83"/>
      <c r="C1694" s="5"/>
      <c r="D1694" s="5"/>
      <c r="E1694" s="44"/>
      <c r="F1694" s="5"/>
      <c r="G1694" s="5"/>
      <c r="H1694" s="5"/>
      <c r="I1694" s="5"/>
      <c r="J1694" s="102" t="str">
        <f aca="false">IF(B1694="","",MONTH(B1694))</f>
        <v/>
      </c>
      <c r="K1694" s="102" t="str">
        <f aca="false">IF(B1694="","",YEAR(B1694))</f>
        <v/>
      </c>
      <c r="L1694" s="102" t="str">
        <f aca="false">IF(N(E1694)=0,"",IF(COUNTIFS(AK_NAMA,C1694,AK_KAT,"KAS")+COUNTIFS(AK_NAMA,D1694,AK_KAT,"KAS")&lt;&gt;1,"",IF(COUNTIFS(AK_NAMA,C1694,AK_KAT,"KAS")=1,D1694,C1694)))</f>
        <v/>
      </c>
      <c r="M1694" s="103" t="n">
        <f aca="false">IF(L1694="",0,IF(L1694=D1694,E1694,-E1694))</f>
        <v>0</v>
      </c>
      <c r="N1694" s="102" t="str">
        <f aca="false">IF(L1694="","",IFERROR(INDEX(AK_BARIS,MATCH(L1694,AK_NAMA,0)),"?"))</f>
        <v/>
      </c>
      <c r="O1694" s="102" t="str">
        <f aca="false">IF(C1694="","",IFERROR(INDEX(AK_KEL,MATCH(C1694,AK_NAMA,0)),"?"))</f>
        <v/>
      </c>
      <c r="P1694" s="102" t="str">
        <f aca="false">IF(D1694="","",IFERROR(INDEX(AK_KEL,MATCH(D1694,AK_NAMA,0)),"?"))</f>
        <v/>
      </c>
      <c r="Q1694" s="102" t="n">
        <f aca="false">N(Q1693)+IF(AND(N(E1694)&lt;&gt;0,K1694=TAHUN,N(J1694)&lt;=BLN,OR(C1694=BB_AKUN,D1694=BB_AKUN)),1,0)</f>
        <v>877</v>
      </c>
      <c r="R1694" s="104" t="str">
        <f aca="false">IF(OR(C1694&amp;D1694="",N(E1694)=0),"",IF(OR(O1694="?",P1694="?"),"⚠ akun tidak dikenal",IF(C1694=D1694,"⚠ debet = kredit","")))</f>
        <v/>
      </c>
    </row>
    <row r="1695" customFormat="false" ht="15" hidden="false" customHeight="false" outlineLevel="0" collapsed="false">
      <c r="A1695" s="5"/>
      <c r="B1695" s="83"/>
      <c r="C1695" s="5"/>
      <c r="D1695" s="5"/>
      <c r="E1695" s="44"/>
      <c r="F1695" s="5"/>
      <c r="G1695" s="5"/>
      <c r="H1695" s="5"/>
      <c r="I1695" s="5"/>
      <c r="J1695" s="102" t="str">
        <f aca="false">IF(B1695="","",MONTH(B1695))</f>
        <v/>
      </c>
      <c r="K1695" s="102" t="str">
        <f aca="false">IF(B1695="","",YEAR(B1695))</f>
        <v/>
      </c>
      <c r="L1695" s="102" t="str">
        <f aca="false">IF(N(E1695)=0,"",IF(COUNTIFS(AK_NAMA,C1695,AK_KAT,"KAS")+COUNTIFS(AK_NAMA,D1695,AK_KAT,"KAS")&lt;&gt;1,"",IF(COUNTIFS(AK_NAMA,C1695,AK_KAT,"KAS")=1,D1695,C1695)))</f>
        <v/>
      </c>
      <c r="M1695" s="103" t="n">
        <f aca="false">IF(L1695="",0,IF(L1695=D1695,E1695,-E1695))</f>
        <v>0</v>
      </c>
      <c r="N1695" s="102" t="str">
        <f aca="false">IF(L1695="","",IFERROR(INDEX(AK_BARIS,MATCH(L1695,AK_NAMA,0)),"?"))</f>
        <v/>
      </c>
      <c r="O1695" s="102" t="str">
        <f aca="false">IF(C1695="","",IFERROR(INDEX(AK_KEL,MATCH(C1695,AK_NAMA,0)),"?"))</f>
        <v/>
      </c>
      <c r="P1695" s="102" t="str">
        <f aca="false">IF(D1695="","",IFERROR(INDEX(AK_KEL,MATCH(D1695,AK_NAMA,0)),"?"))</f>
        <v/>
      </c>
      <c r="Q1695" s="102" t="n">
        <f aca="false">N(Q1694)+IF(AND(N(E1695)&lt;&gt;0,K1695=TAHUN,N(J1695)&lt;=BLN,OR(C1695=BB_AKUN,D1695=BB_AKUN)),1,0)</f>
        <v>877</v>
      </c>
      <c r="R1695" s="104" t="str">
        <f aca="false">IF(OR(C1695&amp;D1695="",N(E1695)=0),"",IF(OR(O1695="?",P1695="?"),"⚠ akun tidak dikenal",IF(C1695=D1695,"⚠ debet = kredit","")))</f>
        <v/>
      </c>
    </row>
    <row r="1696" customFormat="false" ht="15" hidden="false" customHeight="false" outlineLevel="0" collapsed="false">
      <c r="A1696" s="5"/>
      <c r="B1696" s="83"/>
      <c r="C1696" s="5"/>
      <c r="D1696" s="5"/>
      <c r="E1696" s="44"/>
      <c r="F1696" s="5"/>
      <c r="G1696" s="5"/>
      <c r="H1696" s="5"/>
      <c r="I1696" s="5"/>
      <c r="J1696" s="102" t="str">
        <f aca="false">IF(B1696="","",MONTH(B1696))</f>
        <v/>
      </c>
      <c r="K1696" s="102" t="str">
        <f aca="false">IF(B1696="","",YEAR(B1696))</f>
        <v/>
      </c>
      <c r="L1696" s="102" t="str">
        <f aca="false">IF(N(E1696)=0,"",IF(COUNTIFS(AK_NAMA,C1696,AK_KAT,"KAS")+COUNTIFS(AK_NAMA,D1696,AK_KAT,"KAS")&lt;&gt;1,"",IF(COUNTIFS(AK_NAMA,C1696,AK_KAT,"KAS")=1,D1696,C1696)))</f>
        <v/>
      </c>
      <c r="M1696" s="103" t="n">
        <f aca="false">IF(L1696="",0,IF(L1696=D1696,E1696,-E1696))</f>
        <v>0</v>
      </c>
      <c r="N1696" s="102" t="str">
        <f aca="false">IF(L1696="","",IFERROR(INDEX(AK_BARIS,MATCH(L1696,AK_NAMA,0)),"?"))</f>
        <v/>
      </c>
      <c r="O1696" s="102" t="str">
        <f aca="false">IF(C1696="","",IFERROR(INDEX(AK_KEL,MATCH(C1696,AK_NAMA,0)),"?"))</f>
        <v/>
      </c>
      <c r="P1696" s="102" t="str">
        <f aca="false">IF(D1696="","",IFERROR(INDEX(AK_KEL,MATCH(D1696,AK_NAMA,0)),"?"))</f>
        <v/>
      </c>
      <c r="Q1696" s="102" t="n">
        <f aca="false">N(Q1695)+IF(AND(N(E1696)&lt;&gt;0,K1696=TAHUN,N(J1696)&lt;=BLN,OR(C1696=BB_AKUN,D1696=BB_AKUN)),1,0)</f>
        <v>877</v>
      </c>
      <c r="R1696" s="104" t="str">
        <f aca="false">IF(OR(C1696&amp;D1696="",N(E1696)=0),"",IF(OR(O1696="?",P1696="?"),"⚠ akun tidak dikenal",IF(C1696=D1696,"⚠ debet = kredit","")))</f>
        <v/>
      </c>
    </row>
    <row r="1697" customFormat="false" ht="15" hidden="false" customHeight="false" outlineLevel="0" collapsed="false">
      <c r="A1697" s="5"/>
      <c r="B1697" s="83"/>
      <c r="C1697" s="5"/>
      <c r="D1697" s="5"/>
      <c r="E1697" s="44"/>
      <c r="F1697" s="5"/>
      <c r="G1697" s="5"/>
      <c r="H1697" s="5"/>
      <c r="I1697" s="5"/>
      <c r="J1697" s="102" t="str">
        <f aca="false">IF(B1697="","",MONTH(B1697))</f>
        <v/>
      </c>
      <c r="K1697" s="102" t="str">
        <f aca="false">IF(B1697="","",YEAR(B1697))</f>
        <v/>
      </c>
      <c r="L1697" s="102" t="str">
        <f aca="false">IF(N(E1697)=0,"",IF(COUNTIFS(AK_NAMA,C1697,AK_KAT,"KAS")+COUNTIFS(AK_NAMA,D1697,AK_KAT,"KAS")&lt;&gt;1,"",IF(COUNTIFS(AK_NAMA,C1697,AK_KAT,"KAS")=1,D1697,C1697)))</f>
        <v/>
      </c>
      <c r="M1697" s="103" t="n">
        <f aca="false">IF(L1697="",0,IF(L1697=D1697,E1697,-E1697))</f>
        <v>0</v>
      </c>
      <c r="N1697" s="102" t="str">
        <f aca="false">IF(L1697="","",IFERROR(INDEX(AK_BARIS,MATCH(L1697,AK_NAMA,0)),"?"))</f>
        <v/>
      </c>
      <c r="O1697" s="102" t="str">
        <f aca="false">IF(C1697="","",IFERROR(INDEX(AK_KEL,MATCH(C1697,AK_NAMA,0)),"?"))</f>
        <v/>
      </c>
      <c r="P1697" s="102" t="str">
        <f aca="false">IF(D1697="","",IFERROR(INDEX(AK_KEL,MATCH(D1697,AK_NAMA,0)),"?"))</f>
        <v/>
      </c>
      <c r="Q1697" s="102" t="n">
        <f aca="false">N(Q1696)+IF(AND(N(E1697)&lt;&gt;0,K1697=TAHUN,N(J1697)&lt;=BLN,OR(C1697=BB_AKUN,D1697=BB_AKUN)),1,0)</f>
        <v>877</v>
      </c>
      <c r="R1697" s="104" t="str">
        <f aca="false">IF(OR(C1697&amp;D1697="",N(E1697)=0),"",IF(OR(O1697="?",P1697="?"),"⚠ akun tidak dikenal",IF(C1697=D1697,"⚠ debet = kredit","")))</f>
        <v/>
      </c>
    </row>
    <row r="1698" customFormat="false" ht="15" hidden="false" customHeight="false" outlineLevel="0" collapsed="false">
      <c r="A1698" s="5"/>
      <c r="B1698" s="83"/>
      <c r="C1698" s="5"/>
      <c r="D1698" s="5"/>
      <c r="E1698" s="44"/>
      <c r="F1698" s="5"/>
      <c r="G1698" s="5"/>
      <c r="H1698" s="5"/>
      <c r="I1698" s="5"/>
      <c r="J1698" s="102" t="str">
        <f aca="false">IF(B1698="","",MONTH(B1698))</f>
        <v/>
      </c>
      <c r="K1698" s="102" t="str">
        <f aca="false">IF(B1698="","",YEAR(B1698))</f>
        <v/>
      </c>
      <c r="L1698" s="102" t="str">
        <f aca="false">IF(N(E1698)=0,"",IF(COUNTIFS(AK_NAMA,C1698,AK_KAT,"KAS")+COUNTIFS(AK_NAMA,D1698,AK_KAT,"KAS")&lt;&gt;1,"",IF(COUNTIFS(AK_NAMA,C1698,AK_KAT,"KAS")=1,D1698,C1698)))</f>
        <v/>
      </c>
      <c r="M1698" s="103" t="n">
        <f aca="false">IF(L1698="",0,IF(L1698=D1698,E1698,-E1698))</f>
        <v>0</v>
      </c>
      <c r="N1698" s="102" t="str">
        <f aca="false">IF(L1698="","",IFERROR(INDEX(AK_BARIS,MATCH(L1698,AK_NAMA,0)),"?"))</f>
        <v/>
      </c>
      <c r="O1698" s="102" t="str">
        <f aca="false">IF(C1698="","",IFERROR(INDEX(AK_KEL,MATCH(C1698,AK_NAMA,0)),"?"))</f>
        <v/>
      </c>
      <c r="P1698" s="102" t="str">
        <f aca="false">IF(D1698="","",IFERROR(INDEX(AK_KEL,MATCH(D1698,AK_NAMA,0)),"?"))</f>
        <v/>
      </c>
      <c r="Q1698" s="102" t="n">
        <f aca="false">N(Q1697)+IF(AND(N(E1698)&lt;&gt;0,K1698=TAHUN,N(J1698)&lt;=BLN,OR(C1698=BB_AKUN,D1698=BB_AKUN)),1,0)</f>
        <v>877</v>
      </c>
      <c r="R1698" s="104" t="str">
        <f aca="false">IF(OR(C1698&amp;D1698="",N(E1698)=0),"",IF(OR(O1698="?",P1698="?"),"⚠ akun tidak dikenal",IF(C1698=D1698,"⚠ debet = kredit","")))</f>
        <v/>
      </c>
    </row>
    <row r="1699" customFormat="false" ht="15" hidden="false" customHeight="false" outlineLevel="0" collapsed="false">
      <c r="A1699" s="5"/>
      <c r="B1699" s="83"/>
      <c r="C1699" s="5"/>
      <c r="D1699" s="5"/>
      <c r="E1699" s="44"/>
      <c r="F1699" s="5"/>
      <c r="G1699" s="5"/>
      <c r="H1699" s="5"/>
      <c r="I1699" s="5"/>
      <c r="J1699" s="102" t="str">
        <f aca="false">IF(B1699="","",MONTH(B1699))</f>
        <v/>
      </c>
      <c r="K1699" s="102" t="str">
        <f aca="false">IF(B1699="","",YEAR(B1699))</f>
        <v/>
      </c>
      <c r="L1699" s="102" t="str">
        <f aca="false">IF(N(E1699)=0,"",IF(COUNTIFS(AK_NAMA,C1699,AK_KAT,"KAS")+COUNTIFS(AK_NAMA,D1699,AK_KAT,"KAS")&lt;&gt;1,"",IF(COUNTIFS(AK_NAMA,C1699,AK_KAT,"KAS")=1,D1699,C1699)))</f>
        <v/>
      </c>
      <c r="M1699" s="103" t="n">
        <f aca="false">IF(L1699="",0,IF(L1699=D1699,E1699,-E1699))</f>
        <v>0</v>
      </c>
      <c r="N1699" s="102" t="str">
        <f aca="false">IF(L1699="","",IFERROR(INDEX(AK_BARIS,MATCH(L1699,AK_NAMA,0)),"?"))</f>
        <v/>
      </c>
      <c r="O1699" s="102" t="str">
        <f aca="false">IF(C1699="","",IFERROR(INDEX(AK_KEL,MATCH(C1699,AK_NAMA,0)),"?"))</f>
        <v/>
      </c>
      <c r="P1699" s="102" t="str">
        <f aca="false">IF(D1699="","",IFERROR(INDEX(AK_KEL,MATCH(D1699,AK_NAMA,0)),"?"))</f>
        <v/>
      </c>
      <c r="Q1699" s="102" t="n">
        <f aca="false">N(Q1698)+IF(AND(N(E1699)&lt;&gt;0,K1699=TAHUN,N(J1699)&lt;=BLN,OR(C1699=BB_AKUN,D1699=BB_AKUN)),1,0)</f>
        <v>877</v>
      </c>
      <c r="R1699" s="104" t="str">
        <f aca="false">IF(OR(C1699&amp;D1699="",N(E1699)=0),"",IF(OR(O1699="?",P1699="?"),"⚠ akun tidak dikenal",IF(C1699=D1699,"⚠ debet = kredit","")))</f>
        <v/>
      </c>
    </row>
    <row r="1700" customFormat="false" ht="15" hidden="false" customHeight="false" outlineLevel="0" collapsed="false">
      <c r="A1700" s="5"/>
      <c r="B1700" s="83"/>
      <c r="C1700" s="5"/>
      <c r="D1700" s="5"/>
      <c r="E1700" s="44"/>
      <c r="F1700" s="5"/>
      <c r="G1700" s="5"/>
      <c r="H1700" s="5"/>
      <c r="I1700" s="5"/>
      <c r="J1700" s="102" t="str">
        <f aca="false">IF(B1700="","",MONTH(B1700))</f>
        <v/>
      </c>
      <c r="K1700" s="102" t="str">
        <f aca="false">IF(B1700="","",YEAR(B1700))</f>
        <v/>
      </c>
      <c r="L1700" s="102" t="str">
        <f aca="false">IF(N(E1700)=0,"",IF(COUNTIFS(AK_NAMA,C1700,AK_KAT,"KAS")+COUNTIFS(AK_NAMA,D1700,AK_KAT,"KAS")&lt;&gt;1,"",IF(COUNTIFS(AK_NAMA,C1700,AK_KAT,"KAS")=1,D1700,C1700)))</f>
        <v/>
      </c>
      <c r="M1700" s="103" t="n">
        <f aca="false">IF(L1700="",0,IF(L1700=D1700,E1700,-E1700))</f>
        <v>0</v>
      </c>
      <c r="N1700" s="102" t="str">
        <f aca="false">IF(L1700="","",IFERROR(INDEX(AK_BARIS,MATCH(L1700,AK_NAMA,0)),"?"))</f>
        <v/>
      </c>
      <c r="O1700" s="102" t="str">
        <f aca="false">IF(C1700="","",IFERROR(INDEX(AK_KEL,MATCH(C1700,AK_NAMA,0)),"?"))</f>
        <v/>
      </c>
      <c r="P1700" s="102" t="str">
        <f aca="false">IF(D1700="","",IFERROR(INDEX(AK_KEL,MATCH(D1700,AK_NAMA,0)),"?"))</f>
        <v/>
      </c>
      <c r="Q1700" s="102" t="n">
        <f aca="false">N(Q1699)+IF(AND(N(E1700)&lt;&gt;0,K1700=TAHUN,N(J1700)&lt;=BLN,OR(C1700=BB_AKUN,D1700=BB_AKUN)),1,0)</f>
        <v>877</v>
      </c>
      <c r="R1700" s="104" t="str">
        <f aca="false">IF(OR(C1700&amp;D1700="",N(E1700)=0),"",IF(OR(O1700="?",P1700="?"),"⚠ akun tidak dikenal",IF(C1700=D1700,"⚠ debet = kredit","")))</f>
        <v/>
      </c>
    </row>
    <row r="1701" customFormat="false" ht="15" hidden="false" customHeight="false" outlineLevel="0" collapsed="false">
      <c r="A1701" s="5"/>
      <c r="B1701" s="83"/>
      <c r="C1701" s="5"/>
      <c r="D1701" s="5"/>
      <c r="E1701" s="44"/>
      <c r="F1701" s="5"/>
      <c r="G1701" s="5"/>
      <c r="H1701" s="5"/>
      <c r="I1701" s="5"/>
      <c r="J1701" s="102" t="str">
        <f aca="false">IF(B1701="","",MONTH(B1701))</f>
        <v/>
      </c>
      <c r="K1701" s="102" t="str">
        <f aca="false">IF(B1701="","",YEAR(B1701))</f>
        <v/>
      </c>
      <c r="L1701" s="102" t="str">
        <f aca="false">IF(N(E1701)=0,"",IF(COUNTIFS(AK_NAMA,C1701,AK_KAT,"KAS")+COUNTIFS(AK_NAMA,D1701,AK_KAT,"KAS")&lt;&gt;1,"",IF(COUNTIFS(AK_NAMA,C1701,AK_KAT,"KAS")=1,D1701,C1701)))</f>
        <v/>
      </c>
      <c r="M1701" s="103" t="n">
        <f aca="false">IF(L1701="",0,IF(L1701=D1701,E1701,-E1701))</f>
        <v>0</v>
      </c>
      <c r="N1701" s="102" t="str">
        <f aca="false">IF(L1701="","",IFERROR(INDEX(AK_BARIS,MATCH(L1701,AK_NAMA,0)),"?"))</f>
        <v/>
      </c>
      <c r="O1701" s="102" t="str">
        <f aca="false">IF(C1701="","",IFERROR(INDEX(AK_KEL,MATCH(C1701,AK_NAMA,0)),"?"))</f>
        <v/>
      </c>
      <c r="P1701" s="102" t="str">
        <f aca="false">IF(D1701="","",IFERROR(INDEX(AK_KEL,MATCH(D1701,AK_NAMA,0)),"?"))</f>
        <v/>
      </c>
      <c r="Q1701" s="102" t="n">
        <f aca="false">N(Q1700)+IF(AND(N(E1701)&lt;&gt;0,K1701=TAHUN,N(J1701)&lt;=BLN,OR(C1701=BB_AKUN,D1701=BB_AKUN)),1,0)</f>
        <v>877</v>
      </c>
      <c r="R1701" s="104" t="str">
        <f aca="false">IF(OR(C1701&amp;D1701="",N(E1701)=0),"",IF(OR(O1701="?",P1701="?"),"⚠ akun tidak dikenal",IF(C1701=D1701,"⚠ debet = kredit","")))</f>
        <v/>
      </c>
    </row>
    <row r="1702" customFormat="false" ht="15" hidden="false" customHeight="false" outlineLevel="0" collapsed="false">
      <c r="A1702" s="5"/>
      <c r="B1702" s="83"/>
      <c r="C1702" s="5"/>
      <c r="D1702" s="5"/>
      <c r="E1702" s="44"/>
      <c r="F1702" s="5"/>
      <c r="G1702" s="5"/>
      <c r="H1702" s="5"/>
      <c r="I1702" s="5"/>
      <c r="J1702" s="102" t="str">
        <f aca="false">IF(B1702="","",MONTH(B1702))</f>
        <v/>
      </c>
      <c r="K1702" s="102" t="str">
        <f aca="false">IF(B1702="","",YEAR(B1702))</f>
        <v/>
      </c>
      <c r="L1702" s="102" t="str">
        <f aca="false">IF(N(E1702)=0,"",IF(COUNTIFS(AK_NAMA,C1702,AK_KAT,"KAS")+COUNTIFS(AK_NAMA,D1702,AK_KAT,"KAS")&lt;&gt;1,"",IF(COUNTIFS(AK_NAMA,C1702,AK_KAT,"KAS")=1,D1702,C1702)))</f>
        <v/>
      </c>
      <c r="M1702" s="103" t="n">
        <f aca="false">IF(L1702="",0,IF(L1702=D1702,E1702,-E1702))</f>
        <v>0</v>
      </c>
      <c r="N1702" s="102" t="str">
        <f aca="false">IF(L1702="","",IFERROR(INDEX(AK_BARIS,MATCH(L1702,AK_NAMA,0)),"?"))</f>
        <v/>
      </c>
      <c r="O1702" s="102" t="str">
        <f aca="false">IF(C1702="","",IFERROR(INDEX(AK_KEL,MATCH(C1702,AK_NAMA,0)),"?"))</f>
        <v/>
      </c>
      <c r="P1702" s="102" t="str">
        <f aca="false">IF(D1702="","",IFERROR(INDEX(AK_KEL,MATCH(D1702,AK_NAMA,0)),"?"))</f>
        <v/>
      </c>
      <c r="Q1702" s="102" t="n">
        <f aca="false">N(Q1701)+IF(AND(N(E1702)&lt;&gt;0,K1702=TAHUN,N(J1702)&lt;=BLN,OR(C1702=BB_AKUN,D1702=BB_AKUN)),1,0)</f>
        <v>877</v>
      </c>
      <c r="R1702" s="104" t="str">
        <f aca="false">IF(OR(C1702&amp;D1702="",N(E1702)=0),"",IF(OR(O1702="?",P1702="?"),"⚠ akun tidak dikenal",IF(C1702=D1702,"⚠ debet = kredit","")))</f>
        <v/>
      </c>
    </row>
    <row r="1703" customFormat="false" ht="15" hidden="false" customHeight="false" outlineLevel="0" collapsed="false">
      <c r="A1703" s="5"/>
      <c r="B1703" s="83"/>
      <c r="C1703" s="5"/>
      <c r="D1703" s="5"/>
      <c r="E1703" s="44"/>
      <c r="F1703" s="5"/>
      <c r="G1703" s="5"/>
      <c r="H1703" s="5"/>
      <c r="I1703" s="5"/>
      <c r="J1703" s="102" t="str">
        <f aca="false">IF(B1703="","",MONTH(B1703))</f>
        <v/>
      </c>
      <c r="K1703" s="102" t="str">
        <f aca="false">IF(B1703="","",YEAR(B1703))</f>
        <v/>
      </c>
      <c r="L1703" s="102" t="str">
        <f aca="false">IF(N(E1703)=0,"",IF(COUNTIFS(AK_NAMA,C1703,AK_KAT,"KAS")+COUNTIFS(AK_NAMA,D1703,AK_KAT,"KAS")&lt;&gt;1,"",IF(COUNTIFS(AK_NAMA,C1703,AK_KAT,"KAS")=1,D1703,C1703)))</f>
        <v/>
      </c>
      <c r="M1703" s="103" t="n">
        <f aca="false">IF(L1703="",0,IF(L1703=D1703,E1703,-E1703))</f>
        <v>0</v>
      </c>
      <c r="N1703" s="102" t="str">
        <f aca="false">IF(L1703="","",IFERROR(INDEX(AK_BARIS,MATCH(L1703,AK_NAMA,0)),"?"))</f>
        <v/>
      </c>
      <c r="O1703" s="102" t="str">
        <f aca="false">IF(C1703="","",IFERROR(INDEX(AK_KEL,MATCH(C1703,AK_NAMA,0)),"?"))</f>
        <v/>
      </c>
      <c r="P1703" s="102" t="str">
        <f aca="false">IF(D1703="","",IFERROR(INDEX(AK_KEL,MATCH(D1703,AK_NAMA,0)),"?"))</f>
        <v/>
      </c>
      <c r="Q1703" s="102" t="n">
        <f aca="false">N(Q1702)+IF(AND(N(E1703)&lt;&gt;0,K1703=TAHUN,N(J1703)&lt;=BLN,OR(C1703=BB_AKUN,D1703=BB_AKUN)),1,0)</f>
        <v>877</v>
      </c>
      <c r="R1703" s="104" t="str">
        <f aca="false">IF(OR(C1703&amp;D1703="",N(E1703)=0),"",IF(OR(O1703="?",P1703="?"),"⚠ akun tidak dikenal",IF(C1703=D1703,"⚠ debet = kredit","")))</f>
        <v/>
      </c>
    </row>
    <row r="1704" customFormat="false" ht="15" hidden="false" customHeight="false" outlineLevel="0" collapsed="false">
      <c r="A1704" s="5"/>
      <c r="B1704" s="83"/>
      <c r="C1704" s="5"/>
      <c r="D1704" s="5"/>
      <c r="E1704" s="44"/>
      <c r="F1704" s="5"/>
      <c r="G1704" s="5"/>
      <c r="H1704" s="5"/>
      <c r="I1704" s="5"/>
      <c r="J1704" s="102" t="str">
        <f aca="false">IF(B1704="","",MONTH(B1704))</f>
        <v/>
      </c>
      <c r="K1704" s="102" t="str">
        <f aca="false">IF(B1704="","",YEAR(B1704))</f>
        <v/>
      </c>
      <c r="L1704" s="102" t="str">
        <f aca="false">IF(N(E1704)=0,"",IF(COUNTIFS(AK_NAMA,C1704,AK_KAT,"KAS")+COUNTIFS(AK_NAMA,D1704,AK_KAT,"KAS")&lt;&gt;1,"",IF(COUNTIFS(AK_NAMA,C1704,AK_KAT,"KAS")=1,D1704,C1704)))</f>
        <v/>
      </c>
      <c r="M1704" s="103" t="n">
        <f aca="false">IF(L1704="",0,IF(L1704=D1704,E1704,-E1704))</f>
        <v>0</v>
      </c>
      <c r="N1704" s="102" t="str">
        <f aca="false">IF(L1704="","",IFERROR(INDEX(AK_BARIS,MATCH(L1704,AK_NAMA,0)),"?"))</f>
        <v/>
      </c>
      <c r="O1704" s="102" t="str">
        <f aca="false">IF(C1704="","",IFERROR(INDEX(AK_KEL,MATCH(C1704,AK_NAMA,0)),"?"))</f>
        <v/>
      </c>
      <c r="P1704" s="102" t="str">
        <f aca="false">IF(D1704="","",IFERROR(INDEX(AK_KEL,MATCH(D1704,AK_NAMA,0)),"?"))</f>
        <v/>
      </c>
      <c r="Q1704" s="102" t="n">
        <f aca="false">N(Q1703)+IF(AND(N(E1704)&lt;&gt;0,K1704=TAHUN,N(J1704)&lt;=BLN,OR(C1704=BB_AKUN,D1704=BB_AKUN)),1,0)</f>
        <v>877</v>
      </c>
      <c r="R1704" s="104" t="str">
        <f aca="false">IF(OR(C1704&amp;D1704="",N(E1704)=0),"",IF(OR(O1704="?",P1704="?"),"⚠ akun tidak dikenal",IF(C1704=D1704,"⚠ debet = kredit","")))</f>
        <v/>
      </c>
    </row>
    <row r="1705" customFormat="false" ht="15" hidden="false" customHeight="false" outlineLevel="0" collapsed="false">
      <c r="A1705" s="5"/>
      <c r="B1705" s="83"/>
      <c r="C1705" s="5"/>
      <c r="D1705" s="5"/>
      <c r="E1705" s="44"/>
      <c r="F1705" s="5"/>
      <c r="G1705" s="5"/>
      <c r="H1705" s="5"/>
      <c r="I1705" s="5"/>
      <c r="J1705" s="102" t="str">
        <f aca="false">IF(B1705="","",MONTH(B1705))</f>
        <v/>
      </c>
      <c r="K1705" s="102" t="str">
        <f aca="false">IF(B1705="","",YEAR(B1705))</f>
        <v/>
      </c>
      <c r="L1705" s="102" t="str">
        <f aca="false">IF(N(E1705)=0,"",IF(COUNTIFS(AK_NAMA,C1705,AK_KAT,"KAS")+COUNTIFS(AK_NAMA,D1705,AK_KAT,"KAS")&lt;&gt;1,"",IF(COUNTIFS(AK_NAMA,C1705,AK_KAT,"KAS")=1,D1705,C1705)))</f>
        <v/>
      </c>
      <c r="M1705" s="103" t="n">
        <f aca="false">IF(L1705="",0,IF(L1705=D1705,E1705,-E1705))</f>
        <v>0</v>
      </c>
      <c r="N1705" s="102" t="str">
        <f aca="false">IF(L1705="","",IFERROR(INDEX(AK_BARIS,MATCH(L1705,AK_NAMA,0)),"?"))</f>
        <v/>
      </c>
      <c r="O1705" s="102" t="str">
        <f aca="false">IF(C1705="","",IFERROR(INDEX(AK_KEL,MATCH(C1705,AK_NAMA,0)),"?"))</f>
        <v/>
      </c>
      <c r="P1705" s="102" t="str">
        <f aca="false">IF(D1705="","",IFERROR(INDEX(AK_KEL,MATCH(D1705,AK_NAMA,0)),"?"))</f>
        <v/>
      </c>
      <c r="Q1705" s="102" t="n">
        <f aca="false">N(Q1704)+IF(AND(N(E1705)&lt;&gt;0,K1705=TAHUN,N(J1705)&lt;=BLN,OR(C1705=BB_AKUN,D1705=BB_AKUN)),1,0)</f>
        <v>877</v>
      </c>
      <c r="R1705" s="104" t="str">
        <f aca="false">IF(OR(C1705&amp;D1705="",N(E1705)=0),"",IF(OR(O1705="?",P1705="?"),"⚠ akun tidak dikenal",IF(C1705=D1705,"⚠ debet = kredit","")))</f>
        <v/>
      </c>
    </row>
    <row r="1706" customFormat="false" ht="15" hidden="false" customHeight="false" outlineLevel="0" collapsed="false">
      <c r="A1706" s="5"/>
      <c r="B1706" s="83"/>
      <c r="C1706" s="5"/>
      <c r="D1706" s="5"/>
      <c r="E1706" s="44"/>
      <c r="F1706" s="5"/>
      <c r="G1706" s="5"/>
      <c r="H1706" s="5"/>
      <c r="I1706" s="5"/>
      <c r="J1706" s="102" t="str">
        <f aca="false">IF(B1706="","",MONTH(B1706))</f>
        <v/>
      </c>
      <c r="K1706" s="102" t="str">
        <f aca="false">IF(B1706="","",YEAR(B1706))</f>
        <v/>
      </c>
      <c r="L1706" s="102" t="str">
        <f aca="false">IF(N(E1706)=0,"",IF(COUNTIFS(AK_NAMA,C1706,AK_KAT,"KAS")+COUNTIFS(AK_NAMA,D1706,AK_KAT,"KAS")&lt;&gt;1,"",IF(COUNTIFS(AK_NAMA,C1706,AK_KAT,"KAS")=1,D1706,C1706)))</f>
        <v/>
      </c>
      <c r="M1706" s="103" t="n">
        <f aca="false">IF(L1706="",0,IF(L1706=D1706,E1706,-E1706))</f>
        <v>0</v>
      </c>
      <c r="N1706" s="102" t="str">
        <f aca="false">IF(L1706="","",IFERROR(INDEX(AK_BARIS,MATCH(L1706,AK_NAMA,0)),"?"))</f>
        <v/>
      </c>
      <c r="O1706" s="102" t="str">
        <f aca="false">IF(C1706="","",IFERROR(INDEX(AK_KEL,MATCH(C1706,AK_NAMA,0)),"?"))</f>
        <v/>
      </c>
      <c r="P1706" s="102" t="str">
        <f aca="false">IF(D1706="","",IFERROR(INDEX(AK_KEL,MATCH(D1706,AK_NAMA,0)),"?"))</f>
        <v/>
      </c>
      <c r="Q1706" s="102" t="n">
        <f aca="false">N(Q1705)+IF(AND(N(E1706)&lt;&gt;0,K1706=TAHUN,N(J1706)&lt;=BLN,OR(C1706=BB_AKUN,D1706=BB_AKUN)),1,0)</f>
        <v>877</v>
      </c>
      <c r="R1706" s="104" t="str">
        <f aca="false">IF(OR(C1706&amp;D1706="",N(E1706)=0),"",IF(OR(O1706="?",P1706="?"),"⚠ akun tidak dikenal",IF(C1706=D1706,"⚠ debet = kredit","")))</f>
        <v/>
      </c>
    </row>
    <row r="1707" customFormat="false" ht="15" hidden="false" customHeight="false" outlineLevel="0" collapsed="false">
      <c r="A1707" s="5"/>
      <c r="B1707" s="83"/>
      <c r="C1707" s="5"/>
      <c r="D1707" s="5"/>
      <c r="E1707" s="44"/>
      <c r="F1707" s="5"/>
      <c r="G1707" s="5"/>
      <c r="H1707" s="5"/>
      <c r="I1707" s="5"/>
      <c r="J1707" s="102" t="str">
        <f aca="false">IF(B1707="","",MONTH(B1707))</f>
        <v/>
      </c>
      <c r="K1707" s="102" t="str">
        <f aca="false">IF(B1707="","",YEAR(B1707))</f>
        <v/>
      </c>
      <c r="L1707" s="102" t="str">
        <f aca="false">IF(N(E1707)=0,"",IF(COUNTIFS(AK_NAMA,C1707,AK_KAT,"KAS")+COUNTIFS(AK_NAMA,D1707,AK_KAT,"KAS")&lt;&gt;1,"",IF(COUNTIFS(AK_NAMA,C1707,AK_KAT,"KAS")=1,D1707,C1707)))</f>
        <v/>
      </c>
      <c r="M1707" s="103" t="n">
        <f aca="false">IF(L1707="",0,IF(L1707=D1707,E1707,-E1707))</f>
        <v>0</v>
      </c>
      <c r="N1707" s="102" t="str">
        <f aca="false">IF(L1707="","",IFERROR(INDEX(AK_BARIS,MATCH(L1707,AK_NAMA,0)),"?"))</f>
        <v/>
      </c>
      <c r="O1707" s="102" t="str">
        <f aca="false">IF(C1707="","",IFERROR(INDEX(AK_KEL,MATCH(C1707,AK_NAMA,0)),"?"))</f>
        <v/>
      </c>
      <c r="P1707" s="102" t="str">
        <f aca="false">IF(D1707="","",IFERROR(INDEX(AK_KEL,MATCH(D1707,AK_NAMA,0)),"?"))</f>
        <v/>
      </c>
      <c r="Q1707" s="102" t="n">
        <f aca="false">N(Q1706)+IF(AND(N(E1707)&lt;&gt;0,K1707=TAHUN,N(J1707)&lt;=BLN,OR(C1707=BB_AKUN,D1707=BB_AKUN)),1,0)</f>
        <v>877</v>
      </c>
      <c r="R1707" s="104" t="str">
        <f aca="false">IF(OR(C1707&amp;D1707="",N(E1707)=0),"",IF(OR(O1707="?",P1707="?"),"⚠ akun tidak dikenal",IF(C1707=D1707,"⚠ debet = kredit","")))</f>
        <v/>
      </c>
    </row>
    <row r="1708" customFormat="false" ht="15" hidden="false" customHeight="false" outlineLevel="0" collapsed="false">
      <c r="A1708" s="5"/>
      <c r="B1708" s="83"/>
      <c r="C1708" s="5"/>
      <c r="D1708" s="5"/>
      <c r="E1708" s="44"/>
      <c r="F1708" s="5"/>
      <c r="G1708" s="5"/>
      <c r="H1708" s="5"/>
      <c r="I1708" s="5"/>
      <c r="J1708" s="102" t="str">
        <f aca="false">IF(B1708="","",MONTH(B1708))</f>
        <v/>
      </c>
      <c r="K1708" s="102" t="str">
        <f aca="false">IF(B1708="","",YEAR(B1708))</f>
        <v/>
      </c>
      <c r="L1708" s="102" t="str">
        <f aca="false">IF(N(E1708)=0,"",IF(COUNTIFS(AK_NAMA,C1708,AK_KAT,"KAS")+COUNTIFS(AK_NAMA,D1708,AK_KAT,"KAS")&lt;&gt;1,"",IF(COUNTIFS(AK_NAMA,C1708,AK_KAT,"KAS")=1,D1708,C1708)))</f>
        <v/>
      </c>
      <c r="M1708" s="103" t="n">
        <f aca="false">IF(L1708="",0,IF(L1708=D1708,E1708,-E1708))</f>
        <v>0</v>
      </c>
      <c r="N1708" s="102" t="str">
        <f aca="false">IF(L1708="","",IFERROR(INDEX(AK_BARIS,MATCH(L1708,AK_NAMA,0)),"?"))</f>
        <v/>
      </c>
      <c r="O1708" s="102" t="str">
        <f aca="false">IF(C1708="","",IFERROR(INDEX(AK_KEL,MATCH(C1708,AK_NAMA,0)),"?"))</f>
        <v/>
      </c>
      <c r="P1708" s="102" t="str">
        <f aca="false">IF(D1708="","",IFERROR(INDEX(AK_KEL,MATCH(D1708,AK_NAMA,0)),"?"))</f>
        <v/>
      </c>
      <c r="Q1708" s="102" t="n">
        <f aca="false">N(Q1707)+IF(AND(N(E1708)&lt;&gt;0,K1708=TAHUN,N(J1708)&lt;=BLN,OR(C1708=BB_AKUN,D1708=BB_AKUN)),1,0)</f>
        <v>877</v>
      </c>
      <c r="R1708" s="104" t="str">
        <f aca="false">IF(OR(C1708&amp;D1708="",N(E1708)=0),"",IF(OR(O1708="?",P1708="?"),"⚠ akun tidak dikenal",IF(C1708=D1708,"⚠ debet = kredit","")))</f>
        <v/>
      </c>
    </row>
    <row r="1709" customFormat="false" ht="15" hidden="false" customHeight="false" outlineLevel="0" collapsed="false">
      <c r="A1709" s="5"/>
      <c r="B1709" s="83"/>
      <c r="C1709" s="5"/>
      <c r="D1709" s="5"/>
      <c r="E1709" s="44"/>
      <c r="F1709" s="5"/>
      <c r="G1709" s="5"/>
      <c r="H1709" s="5"/>
      <c r="I1709" s="5"/>
      <c r="J1709" s="102" t="str">
        <f aca="false">IF(B1709="","",MONTH(B1709))</f>
        <v/>
      </c>
      <c r="K1709" s="102" t="str">
        <f aca="false">IF(B1709="","",YEAR(B1709))</f>
        <v/>
      </c>
      <c r="L1709" s="102" t="str">
        <f aca="false">IF(N(E1709)=0,"",IF(COUNTIFS(AK_NAMA,C1709,AK_KAT,"KAS")+COUNTIFS(AK_NAMA,D1709,AK_KAT,"KAS")&lt;&gt;1,"",IF(COUNTIFS(AK_NAMA,C1709,AK_KAT,"KAS")=1,D1709,C1709)))</f>
        <v/>
      </c>
      <c r="M1709" s="103" t="n">
        <f aca="false">IF(L1709="",0,IF(L1709=D1709,E1709,-E1709))</f>
        <v>0</v>
      </c>
      <c r="N1709" s="102" t="str">
        <f aca="false">IF(L1709="","",IFERROR(INDEX(AK_BARIS,MATCH(L1709,AK_NAMA,0)),"?"))</f>
        <v/>
      </c>
      <c r="O1709" s="102" t="str">
        <f aca="false">IF(C1709="","",IFERROR(INDEX(AK_KEL,MATCH(C1709,AK_NAMA,0)),"?"))</f>
        <v/>
      </c>
      <c r="P1709" s="102" t="str">
        <f aca="false">IF(D1709="","",IFERROR(INDEX(AK_KEL,MATCH(D1709,AK_NAMA,0)),"?"))</f>
        <v/>
      </c>
      <c r="Q1709" s="102" t="n">
        <f aca="false">N(Q1708)+IF(AND(N(E1709)&lt;&gt;0,K1709=TAHUN,N(J1709)&lt;=BLN,OR(C1709=BB_AKUN,D1709=BB_AKUN)),1,0)</f>
        <v>877</v>
      </c>
      <c r="R1709" s="104" t="str">
        <f aca="false">IF(OR(C1709&amp;D1709="",N(E1709)=0),"",IF(OR(O1709="?",P1709="?"),"⚠ akun tidak dikenal",IF(C1709=D1709,"⚠ debet = kredit","")))</f>
        <v/>
      </c>
    </row>
    <row r="1710" customFormat="false" ht="15" hidden="false" customHeight="false" outlineLevel="0" collapsed="false">
      <c r="A1710" s="5"/>
      <c r="B1710" s="83"/>
      <c r="C1710" s="5"/>
      <c r="D1710" s="5"/>
      <c r="E1710" s="44"/>
      <c r="F1710" s="5"/>
      <c r="G1710" s="5"/>
      <c r="H1710" s="5"/>
      <c r="I1710" s="5"/>
      <c r="J1710" s="102" t="str">
        <f aca="false">IF(B1710="","",MONTH(B1710))</f>
        <v/>
      </c>
      <c r="K1710" s="102" t="str">
        <f aca="false">IF(B1710="","",YEAR(B1710))</f>
        <v/>
      </c>
      <c r="L1710" s="102" t="str">
        <f aca="false">IF(N(E1710)=0,"",IF(COUNTIFS(AK_NAMA,C1710,AK_KAT,"KAS")+COUNTIFS(AK_NAMA,D1710,AK_KAT,"KAS")&lt;&gt;1,"",IF(COUNTIFS(AK_NAMA,C1710,AK_KAT,"KAS")=1,D1710,C1710)))</f>
        <v/>
      </c>
      <c r="M1710" s="103" t="n">
        <f aca="false">IF(L1710="",0,IF(L1710=D1710,E1710,-E1710))</f>
        <v>0</v>
      </c>
      <c r="N1710" s="102" t="str">
        <f aca="false">IF(L1710="","",IFERROR(INDEX(AK_BARIS,MATCH(L1710,AK_NAMA,0)),"?"))</f>
        <v/>
      </c>
      <c r="O1710" s="102" t="str">
        <f aca="false">IF(C1710="","",IFERROR(INDEX(AK_KEL,MATCH(C1710,AK_NAMA,0)),"?"))</f>
        <v/>
      </c>
      <c r="P1710" s="102" t="str">
        <f aca="false">IF(D1710="","",IFERROR(INDEX(AK_KEL,MATCH(D1710,AK_NAMA,0)),"?"))</f>
        <v/>
      </c>
      <c r="Q1710" s="102" t="n">
        <f aca="false">N(Q1709)+IF(AND(N(E1710)&lt;&gt;0,K1710=TAHUN,N(J1710)&lt;=BLN,OR(C1710=BB_AKUN,D1710=BB_AKUN)),1,0)</f>
        <v>877</v>
      </c>
      <c r="R1710" s="104" t="str">
        <f aca="false">IF(OR(C1710&amp;D1710="",N(E1710)=0),"",IF(OR(O1710="?",P1710="?"),"⚠ akun tidak dikenal",IF(C1710=D1710,"⚠ debet = kredit","")))</f>
        <v/>
      </c>
    </row>
    <row r="1711" customFormat="false" ht="15" hidden="false" customHeight="false" outlineLevel="0" collapsed="false">
      <c r="A1711" s="5"/>
      <c r="B1711" s="83"/>
      <c r="C1711" s="5"/>
      <c r="D1711" s="5"/>
      <c r="E1711" s="44"/>
      <c r="F1711" s="5"/>
      <c r="G1711" s="5"/>
      <c r="H1711" s="5"/>
      <c r="I1711" s="5"/>
      <c r="J1711" s="102" t="str">
        <f aca="false">IF(B1711="","",MONTH(B1711))</f>
        <v/>
      </c>
      <c r="K1711" s="102" t="str">
        <f aca="false">IF(B1711="","",YEAR(B1711))</f>
        <v/>
      </c>
      <c r="L1711" s="102" t="str">
        <f aca="false">IF(N(E1711)=0,"",IF(COUNTIFS(AK_NAMA,C1711,AK_KAT,"KAS")+COUNTIFS(AK_NAMA,D1711,AK_KAT,"KAS")&lt;&gt;1,"",IF(COUNTIFS(AK_NAMA,C1711,AK_KAT,"KAS")=1,D1711,C1711)))</f>
        <v/>
      </c>
      <c r="M1711" s="103" t="n">
        <f aca="false">IF(L1711="",0,IF(L1711=D1711,E1711,-E1711))</f>
        <v>0</v>
      </c>
      <c r="N1711" s="102" t="str">
        <f aca="false">IF(L1711="","",IFERROR(INDEX(AK_BARIS,MATCH(L1711,AK_NAMA,0)),"?"))</f>
        <v/>
      </c>
      <c r="O1711" s="102" t="str">
        <f aca="false">IF(C1711="","",IFERROR(INDEX(AK_KEL,MATCH(C1711,AK_NAMA,0)),"?"))</f>
        <v/>
      </c>
      <c r="P1711" s="102" t="str">
        <f aca="false">IF(D1711="","",IFERROR(INDEX(AK_KEL,MATCH(D1711,AK_NAMA,0)),"?"))</f>
        <v/>
      </c>
      <c r="Q1711" s="102" t="n">
        <f aca="false">N(Q1710)+IF(AND(N(E1711)&lt;&gt;0,K1711=TAHUN,N(J1711)&lt;=BLN,OR(C1711=BB_AKUN,D1711=BB_AKUN)),1,0)</f>
        <v>877</v>
      </c>
      <c r="R1711" s="104" t="str">
        <f aca="false">IF(OR(C1711&amp;D1711="",N(E1711)=0),"",IF(OR(O1711="?",P1711="?"),"⚠ akun tidak dikenal",IF(C1711=D1711,"⚠ debet = kredit","")))</f>
        <v/>
      </c>
    </row>
    <row r="1712" customFormat="false" ht="15" hidden="false" customHeight="false" outlineLevel="0" collapsed="false">
      <c r="A1712" s="5"/>
      <c r="B1712" s="83"/>
      <c r="C1712" s="5"/>
      <c r="D1712" s="5"/>
      <c r="E1712" s="44"/>
      <c r="F1712" s="5"/>
      <c r="G1712" s="5"/>
      <c r="H1712" s="5"/>
      <c r="I1712" s="5"/>
      <c r="J1712" s="102" t="str">
        <f aca="false">IF(B1712="","",MONTH(B1712))</f>
        <v/>
      </c>
      <c r="K1712" s="102" t="str">
        <f aca="false">IF(B1712="","",YEAR(B1712))</f>
        <v/>
      </c>
      <c r="L1712" s="102" t="str">
        <f aca="false">IF(N(E1712)=0,"",IF(COUNTIFS(AK_NAMA,C1712,AK_KAT,"KAS")+COUNTIFS(AK_NAMA,D1712,AK_KAT,"KAS")&lt;&gt;1,"",IF(COUNTIFS(AK_NAMA,C1712,AK_KAT,"KAS")=1,D1712,C1712)))</f>
        <v/>
      </c>
      <c r="M1712" s="103" t="n">
        <f aca="false">IF(L1712="",0,IF(L1712=D1712,E1712,-E1712))</f>
        <v>0</v>
      </c>
      <c r="N1712" s="102" t="str">
        <f aca="false">IF(L1712="","",IFERROR(INDEX(AK_BARIS,MATCH(L1712,AK_NAMA,0)),"?"))</f>
        <v/>
      </c>
      <c r="O1712" s="102" t="str">
        <f aca="false">IF(C1712="","",IFERROR(INDEX(AK_KEL,MATCH(C1712,AK_NAMA,0)),"?"))</f>
        <v/>
      </c>
      <c r="P1712" s="102" t="str">
        <f aca="false">IF(D1712="","",IFERROR(INDEX(AK_KEL,MATCH(D1712,AK_NAMA,0)),"?"))</f>
        <v/>
      </c>
      <c r="Q1712" s="102" t="n">
        <f aca="false">N(Q1711)+IF(AND(N(E1712)&lt;&gt;0,K1712=TAHUN,N(J1712)&lt;=BLN,OR(C1712=BB_AKUN,D1712=BB_AKUN)),1,0)</f>
        <v>877</v>
      </c>
      <c r="R1712" s="104" t="str">
        <f aca="false">IF(OR(C1712&amp;D1712="",N(E1712)=0),"",IF(OR(O1712="?",P1712="?"),"⚠ akun tidak dikenal",IF(C1712=D1712,"⚠ debet = kredit","")))</f>
        <v/>
      </c>
    </row>
    <row r="1713" customFormat="false" ht="15" hidden="false" customHeight="false" outlineLevel="0" collapsed="false">
      <c r="A1713" s="5"/>
      <c r="B1713" s="83"/>
      <c r="C1713" s="5"/>
      <c r="D1713" s="5"/>
      <c r="E1713" s="44"/>
      <c r="F1713" s="5"/>
      <c r="G1713" s="5"/>
      <c r="H1713" s="5"/>
      <c r="I1713" s="5"/>
      <c r="J1713" s="102" t="str">
        <f aca="false">IF(B1713="","",MONTH(B1713))</f>
        <v/>
      </c>
      <c r="K1713" s="102" t="str">
        <f aca="false">IF(B1713="","",YEAR(B1713))</f>
        <v/>
      </c>
      <c r="L1713" s="102" t="str">
        <f aca="false">IF(N(E1713)=0,"",IF(COUNTIFS(AK_NAMA,C1713,AK_KAT,"KAS")+COUNTIFS(AK_NAMA,D1713,AK_KAT,"KAS")&lt;&gt;1,"",IF(COUNTIFS(AK_NAMA,C1713,AK_KAT,"KAS")=1,D1713,C1713)))</f>
        <v/>
      </c>
      <c r="M1713" s="103" t="n">
        <f aca="false">IF(L1713="",0,IF(L1713=D1713,E1713,-E1713))</f>
        <v>0</v>
      </c>
      <c r="N1713" s="102" t="str">
        <f aca="false">IF(L1713="","",IFERROR(INDEX(AK_BARIS,MATCH(L1713,AK_NAMA,0)),"?"))</f>
        <v/>
      </c>
      <c r="O1713" s="102" t="str">
        <f aca="false">IF(C1713="","",IFERROR(INDEX(AK_KEL,MATCH(C1713,AK_NAMA,0)),"?"))</f>
        <v/>
      </c>
      <c r="P1713" s="102" t="str">
        <f aca="false">IF(D1713="","",IFERROR(INDEX(AK_KEL,MATCH(D1713,AK_NAMA,0)),"?"))</f>
        <v/>
      </c>
      <c r="Q1713" s="102" t="n">
        <f aca="false">N(Q1712)+IF(AND(N(E1713)&lt;&gt;0,K1713=TAHUN,N(J1713)&lt;=BLN,OR(C1713=BB_AKUN,D1713=BB_AKUN)),1,0)</f>
        <v>877</v>
      </c>
      <c r="R1713" s="104" t="str">
        <f aca="false">IF(OR(C1713&amp;D1713="",N(E1713)=0),"",IF(OR(O1713="?",P1713="?"),"⚠ akun tidak dikenal",IF(C1713=D1713,"⚠ debet = kredit","")))</f>
        <v/>
      </c>
    </row>
    <row r="1714" customFormat="false" ht="15" hidden="false" customHeight="false" outlineLevel="0" collapsed="false">
      <c r="A1714" s="5"/>
      <c r="B1714" s="83"/>
      <c r="C1714" s="5"/>
      <c r="D1714" s="5"/>
      <c r="E1714" s="44"/>
      <c r="F1714" s="5"/>
      <c r="G1714" s="5"/>
      <c r="H1714" s="5"/>
      <c r="I1714" s="5"/>
      <c r="J1714" s="102" t="str">
        <f aca="false">IF(B1714="","",MONTH(B1714))</f>
        <v/>
      </c>
      <c r="K1714" s="102" t="str">
        <f aca="false">IF(B1714="","",YEAR(B1714))</f>
        <v/>
      </c>
      <c r="L1714" s="102" t="str">
        <f aca="false">IF(N(E1714)=0,"",IF(COUNTIFS(AK_NAMA,C1714,AK_KAT,"KAS")+COUNTIFS(AK_NAMA,D1714,AK_KAT,"KAS")&lt;&gt;1,"",IF(COUNTIFS(AK_NAMA,C1714,AK_KAT,"KAS")=1,D1714,C1714)))</f>
        <v/>
      </c>
      <c r="M1714" s="103" t="n">
        <f aca="false">IF(L1714="",0,IF(L1714=D1714,E1714,-E1714))</f>
        <v>0</v>
      </c>
      <c r="N1714" s="102" t="str">
        <f aca="false">IF(L1714="","",IFERROR(INDEX(AK_BARIS,MATCH(L1714,AK_NAMA,0)),"?"))</f>
        <v/>
      </c>
      <c r="O1714" s="102" t="str">
        <f aca="false">IF(C1714="","",IFERROR(INDEX(AK_KEL,MATCH(C1714,AK_NAMA,0)),"?"))</f>
        <v/>
      </c>
      <c r="P1714" s="102" t="str">
        <f aca="false">IF(D1714="","",IFERROR(INDEX(AK_KEL,MATCH(D1714,AK_NAMA,0)),"?"))</f>
        <v/>
      </c>
      <c r="Q1714" s="102" t="n">
        <f aca="false">N(Q1713)+IF(AND(N(E1714)&lt;&gt;0,K1714=TAHUN,N(J1714)&lt;=BLN,OR(C1714=BB_AKUN,D1714=BB_AKUN)),1,0)</f>
        <v>877</v>
      </c>
      <c r="R1714" s="104" t="str">
        <f aca="false">IF(OR(C1714&amp;D1714="",N(E1714)=0),"",IF(OR(O1714="?",P1714="?"),"⚠ akun tidak dikenal",IF(C1714=D1714,"⚠ debet = kredit","")))</f>
        <v/>
      </c>
    </row>
    <row r="1715" customFormat="false" ht="15" hidden="false" customHeight="false" outlineLevel="0" collapsed="false">
      <c r="A1715" s="5"/>
      <c r="B1715" s="83"/>
      <c r="C1715" s="5"/>
      <c r="D1715" s="5"/>
      <c r="E1715" s="44"/>
      <c r="F1715" s="5"/>
      <c r="G1715" s="5"/>
      <c r="H1715" s="5"/>
      <c r="I1715" s="5"/>
      <c r="J1715" s="102" t="str">
        <f aca="false">IF(B1715="","",MONTH(B1715))</f>
        <v/>
      </c>
      <c r="K1715" s="102" t="str">
        <f aca="false">IF(B1715="","",YEAR(B1715))</f>
        <v/>
      </c>
      <c r="L1715" s="102" t="str">
        <f aca="false">IF(N(E1715)=0,"",IF(COUNTIFS(AK_NAMA,C1715,AK_KAT,"KAS")+COUNTIFS(AK_NAMA,D1715,AK_KAT,"KAS")&lt;&gt;1,"",IF(COUNTIFS(AK_NAMA,C1715,AK_KAT,"KAS")=1,D1715,C1715)))</f>
        <v/>
      </c>
      <c r="M1715" s="103" t="n">
        <f aca="false">IF(L1715="",0,IF(L1715=D1715,E1715,-E1715))</f>
        <v>0</v>
      </c>
      <c r="N1715" s="102" t="str">
        <f aca="false">IF(L1715="","",IFERROR(INDEX(AK_BARIS,MATCH(L1715,AK_NAMA,0)),"?"))</f>
        <v/>
      </c>
      <c r="O1715" s="102" t="str">
        <f aca="false">IF(C1715="","",IFERROR(INDEX(AK_KEL,MATCH(C1715,AK_NAMA,0)),"?"))</f>
        <v/>
      </c>
      <c r="P1715" s="102" t="str">
        <f aca="false">IF(D1715="","",IFERROR(INDEX(AK_KEL,MATCH(D1715,AK_NAMA,0)),"?"))</f>
        <v/>
      </c>
      <c r="Q1715" s="102" t="n">
        <f aca="false">N(Q1714)+IF(AND(N(E1715)&lt;&gt;0,K1715=TAHUN,N(J1715)&lt;=BLN,OR(C1715=BB_AKUN,D1715=BB_AKUN)),1,0)</f>
        <v>877</v>
      </c>
      <c r="R1715" s="104" t="str">
        <f aca="false">IF(OR(C1715&amp;D1715="",N(E1715)=0),"",IF(OR(O1715="?",P1715="?"),"⚠ akun tidak dikenal",IF(C1715=D1715,"⚠ debet = kredit","")))</f>
        <v/>
      </c>
    </row>
    <row r="1716" customFormat="false" ht="15" hidden="false" customHeight="false" outlineLevel="0" collapsed="false">
      <c r="A1716" s="5"/>
      <c r="B1716" s="83"/>
      <c r="C1716" s="5"/>
      <c r="D1716" s="5"/>
      <c r="E1716" s="44"/>
      <c r="F1716" s="5"/>
      <c r="G1716" s="5"/>
      <c r="H1716" s="5"/>
      <c r="I1716" s="5"/>
      <c r="J1716" s="102" t="str">
        <f aca="false">IF(B1716="","",MONTH(B1716))</f>
        <v/>
      </c>
      <c r="K1716" s="102" t="str">
        <f aca="false">IF(B1716="","",YEAR(B1716))</f>
        <v/>
      </c>
      <c r="L1716" s="102" t="str">
        <f aca="false">IF(N(E1716)=0,"",IF(COUNTIFS(AK_NAMA,C1716,AK_KAT,"KAS")+COUNTIFS(AK_NAMA,D1716,AK_KAT,"KAS")&lt;&gt;1,"",IF(COUNTIFS(AK_NAMA,C1716,AK_KAT,"KAS")=1,D1716,C1716)))</f>
        <v/>
      </c>
      <c r="M1716" s="103" t="n">
        <f aca="false">IF(L1716="",0,IF(L1716=D1716,E1716,-E1716))</f>
        <v>0</v>
      </c>
      <c r="N1716" s="102" t="str">
        <f aca="false">IF(L1716="","",IFERROR(INDEX(AK_BARIS,MATCH(L1716,AK_NAMA,0)),"?"))</f>
        <v/>
      </c>
      <c r="O1716" s="102" t="str">
        <f aca="false">IF(C1716="","",IFERROR(INDEX(AK_KEL,MATCH(C1716,AK_NAMA,0)),"?"))</f>
        <v/>
      </c>
      <c r="P1716" s="102" t="str">
        <f aca="false">IF(D1716="","",IFERROR(INDEX(AK_KEL,MATCH(D1716,AK_NAMA,0)),"?"))</f>
        <v/>
      </c>
      <c r="Q1716" s="102" t="n">
        <f aca="false">N(Q1715)+IF(AND(N(E1716)&lt;&gt;0,K1716=TAHUN,N(J1716)&lt;=BLN,OR(C1716=BB_AKUN,D1716=BB_AKUN)),1,0)</f>
        <v>877</v>
      </c>
      <c r="R1716" s="104" t="str">
        <f aca="false">IF(OR(C1716&amp;D1716="",N(E1716)=0),"",IF(OR(O1716="?",P1716="?"),"⚠ akun tidak dikenal",IF(C1716=D1716,"⚠ debet = kredit","")))</f>
        <v/>
      </c>
    </row>
    <row r="1717" customFormat="false" ht="15" hidden="false" customHeight="false" outlineLevel="0" collapsed="false">
      <c r="A1717" s="5"/>
      <c r="B1717" s="83"/>
      <c r="C1717" s="5"/>
      <c r="D1717" s="5"/>
      <c r="E1717" s="44"/>
      <c r="F1717" s="5"/>
      <c r="G1717" s="5"/>
      <c r="H1717" s="5"/>
      <c r="I1717" s="5"/>
      <c r="J1717" s="102" t="str">
        <f aca="false">IF(B1717="","",MONTH(B1717))</f>
        <v/>
      </c>
      <c r="K1717" s="102" t="str">
        <f aca="false">IF(B1717="","",YEAR(B1717))</f>
        <v/>
      </c>
      <c r="L1717" s="102" t="str">
        <f aca="false">IF(N(E1717)=0,"",IF(COUNTIFS(AK_NAMA,C1717,AK_KAT,"KAS")+COUNTIFS(AK_NAMA,D1717,AK_KAT,"KAS")&lt;&gt;1,"",IF(COUNTIFS(AK_NAMA,C1717,AK_KAT,"KAS")=1,D1717,C1717)))</f>
        <v/>
      </c>
      <c r="M1717" s="103" t="n">
        <f aca="false">IF(L1717="",0,IF(L1717=D1717,E1717,-E1717))</f>
        <v>0</v>
      </c>
      <c r="N1717" s="102" t="str">
        <f aca="false">IF(L1717="","",IFERROR(INDEX(AK_BARIS,MATCH(L1717,AK_NAMA,0)),"?"))</f>
        <v/>
      </c>
      <c r="O1717" s="102" t="str">
        <f aca="false">IF(C1717="","",IFERROR(INDEX(AK_KEL,MATCH(C1717,AK_NAMA,0)),"?"))</f>
        <v/>
      </c>
      <c r="P1717" s="102" t="str">
        <f aca="false">IF(D1717="","",IFERROR(INDEX(AK_KEL,MATCH(D1717,AK_NAMA,0)),"?"))</f>
        <v/>
      </c>
      <c r="Q1717" s="102" t="n">
        <f aca="false">N(Q1716)+IF(AND(N(E1717)&lt;&gt;0,K1717=TAHUN,N(J1717)&lt;=BLN,OR(C1717=BB_AKUN,D1717=BB_AKUN)),1,0)</f>
        <v>877</v>
      </c>
      <c r="R1717" s="104" t="str">
        <f aca="false">IF(OR(C1717&amp;D1717="",N(E1717)=0),"",IF(OR(O1717="?",P1717="?"),"⚠ akun tidak dikenal",IF(C1717=D1717,"⚠ debet = kredit","")))</f>
        <v/>
      </c>
    </row>
    <row r="1718" customFormat="false" ht="15" hidden="false" customHeight="false" outlineLevel="0" collapsed="false">
      <c r="A1718" s="5"/>
      <c r="B1718" s="83"/>
      <c r="C1718" s="5"/>
      <c r="D1718" s="5"/>
      <c r="E1718" s="44"/>
      <c r="F1718" s="5"/>
      <c r="G1718" s="5"/>
      <c r="H1718" s="5"/>
      <c r="I1718" s="5"/>
      <c r="J1718" s="102" t="str">
        <f aca="false">IF(B1718="","",MONTH(B1718))</f>
        <v/>
      </c>
      <c r="K1718" s="102" t="str">
        <f aca="false">IF(B1718="","",YEAR(B1718))</f>
        <v/>
      </c>
      <c r="L1718" s="102" t="str">
        <f aca="false">IF(N(E1718)=0,"",IF(COUNTIFS(AK_NAMA,C1718,AK_KAT,"KAS")+COUNTIFS(AK_NAMA,D1718,AK_KAT,"KAS")&lt;&gt;1,"",IF(COUNTIFS(AK_NAMA,C1718,AK_KAT,"KAS")=1,D1718,C1718)))</f>
        <v/>
      </c>
      <c r="M1718" s="103" t="n">
        <f aca="false">IF(L1718="",0,IF(L1718=D1718,E1718,-E1718))</f>
        <v>0</v>
      </c>
      <c r="N1718" s="102" t="str">
        <f aca="false">IF(L1718="","",IFERROR(INDEX(AK_BARIS,MATCH(L1718,AK_NAMA,0)),"?"))</f>
        <v/>
      </c>
      <c r="O1718" s="102" t="str">
        <f aca="false">IF(C1718="","",IFERROR(INDEX(AK_KEL,MATCH(C1718,AK_NAMA,0)),"?"))</f>
        <v/>
      </c>
      <c r="P1718" s="102" t="str">
        <f aca="false">IF(D1718="","",IFERROR(INDEX(AK_KEL,MATCH(D1718,AK_NAMA,0)),"?"))</f>
        <v/>
      </c>
      <c r="Q1718" s="102" t="n">
        <f aca="false">N(Q1717)+IF(AND(N(E1718)&lt;&gt;0,K1718=TAHUN,N(J1718)&lt;=BLN,OR(C1718=BB_AKUN,D1718=BB_AKUN)),1,0)</f>
        <v>877</v>
      </c>
      <c r="R1718" s="104" t="str">
        <f aca="false">IF(OR(C1718&amp;D1718="",N(E1718)=0),"",IF(OR(O1718="?",P1718="?"),"⚠ akun tidak dikenal",IF(C1718=D1718,"⚠ debet = kredit","")))</f>
        <v/>
      </c>
    </row>
    <row r="1719" customFormat="false" ht="15" hidden="false" customHeight="false" outlineLevel="0" collapsed="false">
      <c r="A1719" s="5"/>
      <c r="B1719" s="83"/>
      <c r="C1719" s="5"/>
      <c r="D1719" s="5"/>
      <c r="E1719" s="44"/>
      <c r="F1719" s="5"/>
      <c r="G1719" s="5"/>
      <c r="H1719" s="5"/>
      <c r="I1719" s="5"/>
      <c r="J1719" s="102" t="str">
        <f aca="false">IF(B1719="","",MONTH(B1719))</f>
        <v/>
      </c>
      <c r="K1719" s="102" t="str">
        <f aca="false">IF(B1719="","",YEAR(B1719))</f>
        <v/>
      </c>
      <c r="L1719" s="102" t="str">
        <f aca="false">IF(N(E1719)=0,"",IF(COUNTIFS(AK_NAMA,C1719,AK_KAT,"KAS")+COUNTIFS(AK_NAMA,D1719,AK_KAT,"KAS")&lt;&gt;1,"",IF(COUNTIFS(AK_NAMA,C1719,AK_KAT,"KAS")=1,D1719,C1719)))</f>
        <v/>
      </c>
      <c r="M1719" s="103" t="n">
        <f aca="false">IF(L1719="",0,IF(L1719=D1719,E1719,-E1719))</f>
        <v>0</v>
      </c>
      <c r="N1719" s="102" t="str">
        <f aca="false">IF(L1719="","",IFERROR(INDEX(AK_BARIS,MATCH(L1719,AK_NAMA,0)),"?"))</f>
        <v/>
      </c>
      <c r="O1719" s="102" t="str">
        <f aca="false">IF(C1719="","",IFERROR(INDEX(AK_KEL,MATCH(C1719,AK_NAMA,0)),"?"))</f>
        <v/>
      </c>
      <c r="P1719" s="102" t="str">
        <f aca="false">IF(D1719="","",IFERROR(INDEX(AK_KEL,MATCH(D1719,AK_NAMA,0)),"?"))</f>
        <v/>
      </c>
      <c r="Q1719" s="102" t="n">
        <f aca="false">N(Q1718)+IF(AND(N(E1719)&lt;&gt;0,K1719=TAHUN,N(J1719)&lt;=BLN,OR(C1719=BB_AKUN,D1719=BB_AKUN)),1,0)</f>
        <v>877</v>
      </c>
      <c r="R1719" s="104" t="str">
        <f aca="false">IF(OR(C1719&amp;D1719="",N(E1719)=0),"",IF(OR(O1719="?",P1719="?"),"⚠ akun tidak dikenal",IF(C1719=D1719,"⚠ debet = kredit","")))</f>
        <v/>
      </c>
    </row>
    <row r="1720" customFormat="false" ht="15" hidden="false" customHeight="false" outlineLevel="0" collapsed="false">
      <c r="A1720" s="5"/>
      <c r="B1720" s="83"/>
      <c r="C1720" s="5"/>
      <c r="D1720" s="5"/>
      <c r="E1720" s="44"/>
      <c r="F1720" s="5"/>
      <c r="G1720" s="5"/>
      <c r="H1720" s="5"/>
      <c r="I1720" s="5"/>
      <c r="J1720" s="102" t="str">
        <f aca="false">IF(B1720="","",MONTH(B1720))</f>
        <v/>
      </c>
      <c r="K1720" s="102" t="str">
        <f aca="false">IF(B1720="","",YEAR(B1720))</f>
        <v/>
      </c>
      <c r="L1720" s="102" t="str">
        <f aca="false">IF(N(E1720)=0,"",IF(COUNTIFS(AK_NAMA,C1720,AK_KAT,"KAS")+COUNTIFS(AK_NAMA,D1720,AK_KAT,"KAS")&lt;&gt;1,"",IF(COUNTIFS(AK_NAMA,C1720,AK_KAT,"KAS")=1,D1720,C1720)))</f>
        <v/>
      </c>
      <c r="M1720" s="103" t="n">
        <f aca="false">IF(L1720="",0,IF(L1720=D1720,E1720,-E1720))</f>
        <v>0</v>
      </c>
      <c r="N1720" s="102" t="str">
        <f aca="false">IF(L1720="","",IFERROR(INDEX(AK_BARIS,MATCH(L1720,AK_NAMA,0)),"?"))</f>
        <v/>
      </c>
      <c r="O1720" s="102" t="str">
        <f aca="false">IF(C1720="","",IFERROR(INDEX(AK_KEL,MATCH(C1720,AK_NAMA,0)),"?"))</f>
        <v/>
      </c>
      <c r="P1720" s="102" t="str">
        <f aca="false">IF(D1720="","",IFERROR(INDEX(AK_KEL,MATCH(D1720,AK_NAMA,0)),"?"))</f>
        <v/>
      </c>
      <c r="Q1720" s="102" t="n">
        <f aca="false">N(Q1719)+IF(AND(N(E1720)&lt;&gt;0,K1720=TAHUN,N(J1720)&lt;=BLN,OR(C1720=BB_AKUN,D1720=BB_AKUN)),1,0)</f>
        <v>877</v>
      </c>
      <c r="R1720" s="104" t="str">
        <f aca="false">IF(OR(C1720&amp;D1720="",N(E1720)=0),"",IF(OR(O1720="?",P1720="?"),"⚠ akun tidak dikenal",IF(C1720=D1720,"⚠ debet = kredit","")))</f>
        <v/>
      </c>
    </row>
    <row r="1721" customFormat="false" ht="15" hidden="false" customHeight="false" outlineLevel="0" collapsed="false">
      <c r="A1721" s="5"/>
      <c r="B1721" s="83"/>
      <c r="C1721" s="5"/>
      <c r="D1721" s="5"/>
      <c r="E1721" s="44"/>
      <c r="F1721" s="5"/>
      <c r="G1721" s="5"/>
      <c r="H1721" s="5"/>
      <c r="I1721" s="5"/>
      <c r="J1721" s="102" t="str">
        <f aca="false">IF(B1721="","",MONTH(B1721))</f>
        <v/>
      </c>
      <c r="K1721" s="102" t="str">
        <f aca="false">IF(B1721="","",YEAR(B1721))</f>
        <v/>
      </c>
      <c r="L1721" s="102" t="str">
        <f aca="false">IF(N(E1721)=0,"",IF(COUNTIFS(AK_NAMA,C1721,AK_KAT,"KAS")+COUNTIFS(AK_NAMA,D1721,AK_KAT,"KAS")&lt;&gt;1,"",IF(COUNTIFS(AK_NAMA,C1721,AK_KAT,"KAS")=1,D1721,C1721)))</f>
        <v/>
      </c>
      <c r="M1721" s="103" t="n">
        <f aca="false">IF(L1721="",0,IF(L1721=D1721,E1721,-E1721))</f>
        <v>0</v>
      </c>
      <c r="N1721" s="102" t="str">
        <f aca="false">IF(L1721="","",IFERROR(INDEX(AK_BARIS,MATCH(L1721,AK_NAMA,0)),"?"))</f>
        <v/>
      </c>
      <c r="O1721" s="102" t="str">
        <f aca="false">IF(C1721="","",IFERROR(INDEX(AK_KEL,MATCH(C1721,AK_NAMA,0)),"?"))</f>
        <v/>
      </c>
      <c r="P1721" s="102" t="str">
        <f aca="false">IF(D1721="","",IFERROR(INDEX(AK_KEL,MATCH(D1721,AK_NAMA,0)),"?"))</f>
        <v/>
      </c>
      <c r="Q1721" s="102" t="n">
        <f aca="false">N(Q1720)+IF(AND(N(E1721)&lt;&gt;0,K1721=TAHUN,N(J1721)&lt;=BLN,OR(C1721=BB_AKUN,D1721=BB_AKUN)),1,0)</f>
        <v>877</v>
      </c>
      <c r="R1721" s="104" t="str">
        <f aca="false">IF(OR(C1721&amp;D1721="",N(E1721)=0),"",IF(OR(O1721="?",P1721="?"),"⚠ akun tidak dikenal",IF(C1721=D1721,"⚠ debet = kredit","")))</f>
        <v/>
      </c>
    </row>
    <row r="1722" customFormat="false" ht="15" hidden="false" customHeight="false" outlineLevel="0" collapsed="false">
      <c r="A1722" s="5"/>
      <c r="B1722" s="83"/>
      <c r="C1722" s="5"/>
      <c r="D1722" s="5"/>
      <c r="E1722" s="44"/>
      <c r="F1722" s="5"/>
      <c r="G1722" s="5"/>
      <c r="H1722" s="5"/>
      <c r="I1722" s="5"/>
      <c r="J1722" s="102" t="str">
        <f aca="false">IF(B1722="","",MONTH(B1722))</f>
        <v/>
      </c>
      <c r="K1722" s="102" t="str">
        <f aca="false">IF(B1722="","",YEAR(B1722))</f>
        <v/>
      </c>
      <c r="L1722" s="102" t="str">
        <f aca="false">IF(N(E1722)=0,"",IF(COUNTIFS(AK_NAMA,C1722,AK_KAT,"KAS")+COUNTIFS(AK_NAMA,D1722,AK_KAT,"KAS")&lt;&gt;1,"",IF(COUNTIFS(AK_NAMA,C1722,AK_KAT,"KAS")=1,D1722,C1722)))</f>
        <v/>
      </c>
      <c r="M1722" s="103" t="n">
        <f aca="false">IF(L1722="",0,IF(L1722=D1722,E1722,-E1722))</f>
        <v>0</v>
      </c>
      <c r="N1722" s="102" t="str">
        <f aca="false">IF(L1722="","",IFERROR(INDEX(AK_BARIS,MATCH(L1722,AK_NAMA,0)),"?"))</f>
        <v/>
      </c>
      <c r="O1722" s="102" t="str">
        <f aca="false">IF(C1722="","",IFERROR(INDEX(AK_KEL,MATCH(C1722,AK_NAMA,0)),"?"))</f>
        <v/>
      </c>
      <c r="P1722" s="102" t="str">
        <f aca="false">IF(D1722="","",IFERROR(INDEX(AK_KEL,MATCH(D1722,AK_NAMA,0)),"?"))</f>
        <v/>
      </c>
      <c r="Q1722" s="102" t="n">
        <f aca="false">N(Q1721)+IF(AND(N(E1722)&lt;&gt;0,K1722=TAHUN,N(J1722)&lt;=BLN,OR(C1722=BB_AKUN,D1722=BB_AKUN)),1,0)</f>
        <v>877</v>
      </c>
      <c r="R1722" s="104" t="str">
        <f aca="false">IF(OR(C1722&amp;D1722="",N(E1722)=0),"",IF(OR(O1722="?",P1722="?"),"⚠ akun tidak dikenal",IF(C1722=D1722,"⚠ debet = kredit","")))</f>
        <v/>
      </c>
    </row>
    <row r="1723" customFormat="false" ht="15" hidden="false" customHeight="false" outlineLevel="0" collapsed="false">
      <c r="A1723" s="5"/>
      <c r="B1723" s="83"/>
      <c r="C1723" s="5"/>
      <c r="D1723" s="5"/>
      <c r="E1723" s="44"/>
      <c r="F1723" s="5"/>
      <c r="G1723" s="5"/>
      <c r="H1723" s="5"/>
      <c r="I1723" s="5"/>
      <c r="J1723" s="102" t="str">
        <f aca="false">IF(B1723="","",MONTH(B1723))</f>
        <v/>
      </c>
      <c r="K1723" s="102" t="str">
        <f aca="false">IF(B1723="","",YEAR(B1723))</f>
        <v/>
      </c>
      <c r="L1723" s="102" t="str">
        <f aca="false">IF(N(E1723)=0,"",IF(COUNTIFS(AK_NAMA,C1723,AK_KAT,"KAS")+COUNTIFS(AK_NAMA,D1723,AK_KAT,"KAS")&lt;&gt;1,"",IF(COUNTIFS(AK_NAMA,C1723,AK_KAT,"KAS")=1,D1723,C1723)))</f>
        <v/>
      </c>
      <c r="M1723" s="103" t="n">
        <f aca="false">IF(L1723="",0,IF(L1723=D1723,E1723,-E1723))</f>
        <v>0</v>
      </c>
      <c r="N1723" s="102" t="str">
        <f aca="false">IF(L1723="","",IFERROR(INDEX(AK_BARIS,MATCH(L1723,AK_NAMA,0)),"?"))</f>
        <v/>
      </c>
      <c r="O1723" s="102" t="str">
        <f aca="false">IF(C1723="","",IFERROR(INDEX(AK_KEL,MATCH(C1723,AK_NAMA,0)),"?"))</f>
        <v/>
      </c>
      <c r="P1723" s="102" t="str">
        <f aca="false">IF(D1723="","",IFERROR(INDEX(AK_KEL,MATCH(D1723,AK_NAMA,0)),"?"))</f>
        <v/>
      </c>
      <c r="Q1723" s="102" t="n">
        <f aca="false">N(Q1722)+IF(AND(N(E1723)&lt;&gt;0,K1723=TAHUN,N(J1723)&lt;=BLN,OR(C1723=BB_AKUN,D1723=BB_AKUN)),1,0)</f>
        <v>877</v>
      </c>
      <c r="R1723" s="104" t="str">
        <f aca="false">IF(OR(C1723&amp;D1723="",N(E1723)=0),"",IF(OR(O1723="?",P1723="?"),"⚠ akun tidak dikenal",IF(C1723=D1723,"⚠ debet = kredit","")))</f>
        <v/>
      </c>
    </row>
    <row r="1724" customFormat="false" ht="15" hidden="false" customHeight="false" outlineLevel="0" collapsed="false">
      <c r="A1724" s="5"/>
      <c r="B1724" s="83"/>
      <c r="C1724" s="5"/>
      <c r="D1724" s="5"/>
      <c r="E1724" s="44"/>
      <c r="F1724" s="5"/>
      <c r="G1724" s="5"/>
      <c r="H1724" s="5"/>
      <c r="I1724" s="5"/>
      <c r="J1724" s="102" t="str">
        <f aca="false">IF(B1724="","",MONTH(B1724))</f>
        <v/>
      </c>
      <c r="K1724" s="102" t="str">
        <f aca="false">IF(B1724="","",YEAR(B1724))</f>
        <v/>
      </c>
      <c r="L1724" s="102" t="str">
        <f aca="false">IF(N(E1724)=0,"",IF(COUNTIFS(AK_NAMA,C1724,AK_KAT,"KAS")+COUNTIFS(AK_NAMA,D1724,AK_KAT,"KAS")&lt;&gt;1,"",IF(COUNTIFS(AK_NAMA,C1724,AK_KAT,"KAS")=1,D1724,C1724)))</f>
        <v/>
      </c>
      <c r="M1724" s="103" t="n">
        <f aca="false">IF(L1724="",0,IF(L1724=D1724,E1724,-E1724))</f>
        <v>0</v>
      </c>
      <c r="N1724" s="102" t="str">
        <f aca="false">IF(L1724="","",IFERROR(INDEX(AK_BARIS,MATCH(L1724,AK_NAMA,0)),"?"))</f>
        <v/>
      </c>
      <c r="O1724" s="102" t="str">
        <f aca="false">IF(C1724="","",IFERROR(INDEX(AK_KEL,MATCH(C1724,AK_NAMA,0)),"?"))</f>
        <v/>
      </c>
      <c r="P1724" s="102" t="str">
        <f aca="false">IF(D1724="","",IFERROR(INDEX(AK_KEL,MATCH(D1724,AK_NAMA,0)),"?"))</f>
        <v/>
      </c>
      <c r="Q1724" s="102" t="n">
        <f aca="false">N(Q1723)+IF(AND(N(E1724)&lt;&gt;0,K1724=TAHUN,N(J1724)&lt;=BLN,OR(C1724=BB_AKUN,D1724=BB_AKUN)),1,0)</f>
        <v>877</v>
      </c>
      <c r="R1724" s="104" t="str">
        <f aca="false">IF(OR(C1724&amp;D1724="",N(E1724)=0),"",IF(OR(O1724="?",P1724="?"),"⚠ akun tidak dikenal",IF(C1724=D1724,"⚠ debet = kredit","")))</f>
        <v/>
      </c>
    </row>
    <row r="1725" customFormat="false" ht="15" hidden="false" customHeight="false" outlineLevel="0" collapsed="false">
      <c r="A1725" s="5"/>
      <c r="B1725" s="83"/>
      <c r="C1725" s="5"/>
      <c r="D1725" s="5"/>
      <c r="E1725" s="44"/>
      <c r="F1725" s="5"/>
      <c r="G1725" s="5"/>
      <c r="H1725" s="5"/>
      <c r="I1725" s="5"/>
      <c r="J1725" s="102" t="str">
        <f aca="false">IF(B1725="","",MONTH(B1725))</f>
        <v/>
      </c>
      <c r="K1725" s="102" t="str">
        <f aca="false">IF(B1725="","",YEAR(B1725))</f>
        <v/>
      </c>
      <c r="L1725" s="102" t="str">
        <f aca="false">IF(N(E1725)=0,"",IF(COUNTIFS(AK_NAMA,C1725,AK_KAT,"KAS")+COUNTIFS(AK_NAMA,D1725,AK_KAT,"KAS")&lt;&gt;1,"",IF(COUNTIFS(AK_NAMA,C1725,AK_KAT,"KAS")=1,D1725,C1725)))</f>
        <v/>
      </c>
      <c r="M1725" s="103" t="n">
        <f aca="false">IF(L1725="",0,IF(L1725=D1725,E1725,-E1725))</f>
        <v>0</v>
      </c>
      <c r="N1725" s="102" t="str">
        <f aca="false">IF(L1725="","",IFERROR(INDEX(AK_BARIS,MATCH(L1725,AK_NAMA,0)),"?"))</f>
        <v/>
      </c>
      <c r="O1725" s="102" t="str">
        <f aca="false">IF(C1725="","",IFERROR(INDEX(AK_KEL,MATCH(C1725,AK_NAMA,0)),"?"))</f>
        <v/>
      </c>
      <c r="P1725" s="102" t="str">
        <f aca="false">IF(D1725="","",IFERROR(INDEX(AK_KEL,MATCH(D1725,AK_NAMA,0)),"?"))</f>
        <v/>
      </c>
      <c r="Q1725" s="102" t="n">
        <f aca="false">N(Q1724)+IF(AND(N(E1725)&lt;&gt;0,K1725=TAHUN,N(J1725)&lt;=BLN,OR(C1725=BB_AKUN,D1725=BB_AKUN)),1,0)</f>
        <v>877</v>
      </c>
      <c r="R1725" s="104" t="str">
        <f aca="false">IF(OR(C1725&amp;D1725="",N(E1725)=0),"",IF(OR(O1725="?",P1725="?"),"⚠ akun tidak dikenal",IF(C1725=D1725,"⚠ debet = kredit","")))</f>
        <v/>
      </c>
    </row>
    <row r="1726" customFormat="false" ht="15" hidden="false" customHeight="false" outlineLevel="0" collapsed="false">
      <c r="A1726" s="5"/>
      <c r="B1726" s="83"/>
      <c r="C1726" s="5"/>
      <c r="D1726" s="5"/>
      <c r="E1726" s="44"/>
      <c r="F1726" s="5"/>
      <c r="G1726" s="5"/>
      <c r="H1726" s="5"/>
      <c r="I1726" s="5"/>
      <c r="J1726" s="102" t="str">
        <f aca="false">IF(B1726="","",MONTH(B1726))</f>
        <v/>
      </c>
      <c r="K1726" s="102" t="str">
        <f aca="false">IF(B1726="","",YEAR(B1726))</f>
        <v/>
      </c>
      <c r="L1726" s="102" t="str">
        <f aca="false">IF(N(E1726)=0,"",IF(COUNTIFS(AK_NAMA,C1726,AK_KAT,"KAS")+COUNTIFS(AK_NAMA,D1726,AK_KAT,"KAS")&lt;&gt;1,"",IF(COUNTIFS(AK_NAMA,C1726,AK_KAT,"KAS")=1,D1726,C1726)))</f>
        <v/>
      </c>
      <c r="M1726" s="103" t="n">
        <f aca="false">IF(L1726="",0,IF(L1726=D1726,E1726,-E1726))</f>
        <v>0</v>
      </c>
      <c r="N1726" s="102" t="str">
        <f aca="false">IF(L1726="","",IFERROR(INDEX(AK_BARIS,MATCH(L1726,AK_NAMA,0)),"?"))</f>
        <v/>
      </c>
      <c r="O1726" s="102" t="str">
        <f aca="false">IF(C1726="","",IFERROR(INDEX(AK_KEL,MATCH(C1726,AK_NAMA,0)),"?"))</f>
        <v/>
      </c>
      <c r="P1726" s="102" t="str">
        <f aca="false">IF(D1726="","",IFERROR(INDEX(AK_KEL,MATCH(D1726,AK_NAMA,0)),"?"))</f>
        <v/>
      </c>
      <c r="Q1726" s="102" t="n">
        <f aca="false">N(Q1725)+IF(AND(N(E1726)&lt;&gt;0,K1726=TAHUN,N(J1726)&lt;=BLN,OR(C1726=BB_AKUN,D1726=BB_AKUN)),1,0)</f>
        <v>877</v>
      </c>
      <c r="R1726" s="104" t="str">
        <f aca="false">IF(OR(C1726&amp;D1726="",N(E1726)=0),"",IF(OR(O1726="?",P1726="?"),"⚠ akun tidak dikenal",IF(C1726=D1726,"⚠ debet = kredit","")))</f>
        <v/>
      </c>
    </row>
    <row r="1727" customFormat="false" ht="15" hidden="false" customHeight="false" outlineLevel="0" collapsed="false">
      <c r="A1727" s="5"/>
      <c r="B1727" s="83"/>
      <c r="C1727" s="5"/>
      <c r="D1727" s="5"/>
      <c r="E1727" s="44"/>
      <c r="F1727" s="5"/>
      <c r="G1727" s="5"/>
      <c r="H1727" s="5"/>
      <c r="I1727" s="5"/>
      <c r="J1727" s="102" t="str">
        <f aca="false">IF(B1727="","",MONTH(B1727))</f>
        <v/>
      </c>
      <c r="K1727" s="102" t="str">
        <f aca="false">IF(B1727="","",YEAR(B1727))</f>
        <v/>
      </c>
      <c r="L1727" s="102" t="str">
        <f aca="false">IF(N(E1727)=0,"",IF(COUNTIFS(AK_NAMA,C1727,AK_KAT,"KAS")+COUNTIFS(AK_NAMA,D1727,AK_KAT,"KAS")&lt;&gt;1,"",IF(COUNTIFS(AK_NAMA,C1727,AK_KAT,"KAS")=1,D1727,C1727)))</f>
        <v/>
      </c>
      <c r="M1727" s="103" t="n">
        <f aca="false">IF(L1727="",0,IF(L1727=D1727,E1727,-E1727))</f>
        <v>0</v>
      </c>
      <c r="N1727" s="102" t="str">
        <f aca="false">IF(L1727="","",IFERROR(INDEX(AK_BARIS,MATCH(L1727,AK_NAMA,0)),"?"))</f>
        <v/>
      </c>
      <c r="O1727" s="102" t="str">
        <f aca="false">IF(C1727="","",IFERROR(INDEX(AK_KEL,MATCH(C1727,AK_NAMA,0)),"?"))</f>
        <v/>
      </c>
      <c r="P1727" s="102" t="str">
        <f aca="false">IF(D1727="","",IFERROR(INDEX(AK_KEL,MATCH(D1727,AK_NAMA,0)),"?"))</f>
        <v/>
      </c>
      <c r="Q1727" s="102" t="n">
        <f aca="false">N(Q1726)+IF(AND(N(E1727)&lt;&gt;0,K1727=TAHUN,N(J1727)&lt;=BLN,OR(C1727=BB_AKUN,D1727=BB_AKUN)),1,0)</f>
        <v>877</v>
      </c>
      <c r="R1727" s="104" t="str">
        <f aca="false">IF(OR(C1727&amp;D1727="",N(E1727)=0),"",IF(OR(O1727="?",P1727="?"),"⚠ akun tidak dikenal",IF(C1727=D1727,"⚠ debet = kredit","")))</f>
        <v/>
      </c>
    </row>
    <row r="1728" customFormat="false" ht="15" hidden="false" customHeight="false" outlineLevel="0" collapsed="false">
      <c r="A1728" s="5"/>
      <c r="B1728" s="83"/>
      <c r="C1728" s="5"/>
      <c r="D1728" s="5"/>
      <c r="E1728" s="44"/>
      <c r="F1728" s="5"/>
      <c r="G1728" s="5"/>
      <c r="H1728" s="5"/>
      <c r="I1728" s="5"/>
      <c r="J1728" s="102" t="str">
        <f aca="false">IF(B1728="","",MONTH(B1728))</f>
        <v/>
      </c>
      <c r="K1728" s="102" t="str">
        <f aca="false">IF(B1728="","",YEAR(B1728))</f>
        <v/>
      </c>
      <c r="L1728" s="102" t="str">
        <f aca="false">IF(N(E1728)=0,"",IF(COUNTIFS(AK_NAMA,C1728,AK_KAT,"KAS")+COUNTIFS(AK_NAMA,D1728,AK_KAT,"KAS")&lt;&gt;1,"",IF(COUNTIFS(AK_NAMA,C1728,AK_KAT,"KAS")=1,D1728,C1728)))</f>
        <v/>
      </c>
      <c r="M1728" s="103" t="n">
        <f aca="false">IF(L1728="",0,IF(L1728=D1728,E1728,-E1728))</f>
        <v>0</v>
      </c>
      <c r="N1728" s="102" t="str">
        <f aca="false">IF(L1728="","",IFERROR(INDEX(AK_BARIS,MATCH(L1728,AK_NAMA,0)),"?"))</f>
        <v/>
      </c>
      <c r="O1728" s="102" t="str">
        <f aca="false">IF(C1728="","",IFERROR(INDEX(AK_KEL,MATCH(C1728,AK_NAMA,0)),"?"))</f>
        <v/>
      </c>
      <c r="P1728" s="102" t="str">
        <f aca="false">IF(D1728="","",IFERROR(INDEX(AK_KEL,MATCH(D1728,AK_NAMA,0)),"?"))</f>
        <v/>
      </c>
      <c r="Q1728" s="102" t="n">
        <f aca="false">N(Q1727)+IF(AND(N(E1728)&lt;&gt;0,K1728=TAHUN,N(J1728)&lt;=BLN,OR(C1728=BB_AKUN,D1728=BB_AKUN)),1,0)</f>
        <v>877</v>
      </c>
      <c r="R1728" s="104" t="str">
        <f aca="false">IF(OR(C1728&amp;D1728="",N(E1728)=0),"",IF(OR(O1728="?",P1728="?"),"⚠ akun tidak dikenal",IF(C1728=D1728,"⚠ debet = kredit","")))</f>
        <v/>
      </c>
    </row>
    <row r="1729" customFormat="false" ht="15" hidden="false" customHeight="false" outlineLevel="0" collapsed="false">
      <c r="A1729" s="5"/>
      <c r="B1729" s="83"/>
      <c r="C1729" s="5"/>
      <c r="D1729" s="5"/>
      <c r="E1729" s="44"/>
      <c r="F1729" s="5"/>
      <c r="G1729" s="5"/>
      <c r="H1729" s="5"/>
      <c r="I1729" s="5"/>
      <c r="J1729" s="102" t="str">
        <f aca="false">IF(B1729="","",MONTH(B1729))</f>
        <v/>
      </c>
      <c r="K1729" s="102" t="str">
        <f aca="false">IF(B1729="","",YEAR(B1729))</f>
        <v/>
      </c>
      <c r="L1729" s="102" t="str">
        <f aca="false">IF(N(E1729)=0,"",IF(COUNTIFS(AK_NAMA,C1729,AK_KAT,"KAS")+COUNTIFS(AK_NAMA,D1729,AK_KAT,"KAS")&lt;&gt;1,"",IF(COUNTIFS(AK_NAMA,C1729,AK_KAT,"KAS")=1,D1729,C1729)))</f>
        <v/>
      </c>
      <c r="M1729" s="103" t="n">
        <f aca="false">IF(L1729="",0,IF(L1729=D1729,E1729,-E1729))</f>
        <v>0</v>
      </c>
      <c r="N1729" s="102" t="str">
        <f aca="false">IF(L1729="","",IFERROR(INDEX(AK_BARIS,MATCH(L1729,AK_NAMA,0)),"?"))</f>
        <v/>
      </c>
      <c r="O1729" s="102" t="str">
        <f aca="false">IF(C1729="","",IFERROR(INDEX(AK_KEL,MATCH(C1729,AK_NAMA,0)),"?"))</f>
        <v/>
      </c>
      <c r="P1729" s="102" t="str">
        <f aca="false">IF(D1729="","",IFERROR(INDEX(AK_KEL,MATCH(D1729,AK_NAMA,0)),"?"))</f>
        <v/>
      </c>
      <c r="Q1729" s="102" t="n">
        <f aca="false">N(Q1728)+IF(AND(N(E1729)&lt;&gt;0,K1729=TAHUN,N(J1729)&lt;=BLN,OR(C1729=BB_AKUN,D1729=BB_AKUN)),1,0)</f>
        <v>877</v>
      </c>
      <c r="R1729" s="104" t="str">
        <f aca="false">IF(OR(C1729&amp;D1729="",N(E1729)=0),"",IF(OR(O1729="?",P1729="?"),"⚠ akun tidak dikenal",IF(C1729=D1729,"⚠ debet = kredit","")))</f>
        <v/>
      </c>
    </row>
    <row r="1730" customFormat="false" ht="15" hidden="false" customHeight="false" outlineLevel="0" collapsed="false">
      <c r="A1730" s="5"/>
      <c r="B1730" s="83"/>
      <c r="C1730" s="5"/>
      <c r="D1730" s="5"/>
      <c r="E1730" s="44"/>
      <c r="F1730" s="5"/>
      <c r="G1730" s="5"/>
      <c r="H1730" s="5"/>
      <c r="I1730" s="5"/>
      <c r="J1730" s="102" t="str">
        <f aca="false">IF(B1730="","",MONTH(B1730))</f>
        <v/>
      </c>
      <c r="K1730" s="102" t="str">
        <f aca="false">IF(B1730="","",YEAR(B1730))</f>
        <v/>
      </c>
      <c r="L1730" s="102" t="str">
        <f aca="false">IF(N(E1730)=0,"",IF(COUNTIFS(AK_NAMA,C1730,AK_KAT,"KAS")+COUNTIFS(AK_NAMA,D1730,AK_KAT,"KAS")&lt;&gt;1,"",IF(COUNTIFS(AK_NAMA,C1730,AK_KAT,"KAS")=1,D1730,C1730)))</f>
        <v/>
      </c>
      <c r="M1730" s="103" t="n">
        <f aca="false">IF(L1730="",0,IF(L1730=D1730,E1730,-E1730))</f>
        <v>0</v>
      </c>
      <c r="N1730" s="102" t="str">
        <f aca="false">IF(L1730="","",IFERROR(INDEX(AK_BARIS,MATCH(L1730,AK_NAMA,0)),"?"))</f>
        <v/>
      </c>
      <c r="O1730" s="102" t="str">
        <f aca="false">IF(C1730="","",IFERROR(INDEX(AK_KEL,MATCH(C1730,AK_NAMA,0)),"?"))</f>
        <v/>
      </c>
      <c r="P1730" s="102" t="str">
        <f aca="false">IF(D1730="","",IFERROR(INDEX(AK_KEL,MATCH(D1730,AK_NAMA,0)),"?"))</f>
        <v/>
      </c>
      <c r="Q1730" s="102" t="n">
        <f aca="false">N(Q1729)+IF(AND(N(E1730)&lt;&gt;0,K1730=TAHUN,N(J1730)&lt;=BLN,OR(C1730=BB_AKUN,D1730=BB_AKUN)),1,0)</f>
        <v>877</v>
      </c>
      <c r="R1730" s="104" t="str">
        <f aca="false">IF(OR(C1730&amp;D1730="",N(E1730)=0),"",IF(OR(O1730="?",P1730="?"),"⚠ akun tidak dikenal",IF(C1730=D1730,"⚠ debet = kredit","")))</f>
        <v/>
      </c>
    </row>
    <row r="1731" customFormat="false" ht="15" hidden="false" customHeight="false" outlineLevel="0" collapsed="false">
      <c r="A1731" s="5"/>
      <c r="B1731" s="83"/>
      <c r="C1731" s="5"/>
      <c r="D1731" s="5"/>
      <c r="E1731" s="44"/>
      <c r="F1731" s="5"/>
      <c r="G1731" s="5"/>
      <c r="H1731" s="5"/>
      <c r="I1731" s="5"/>
      <c r="J1731" s="102" t="str">
        <f aca="false">IF(B1731="","",MONTH(B1731))</f>
        <v/>
      </c>
      <c r="K1731" s="102" t="str">
        <f aca="false">IF(B1731="","",YEAR(B1731))</f>
        <v/>
      </c>
      <c r="L1731" s="102" t="str">
        <f aca="false">IF(N(E1731)=0,"",IF(COUNTIFS(AK_NAMA,C1731,AK_KAT,"KAS")+COUNTIFS(AK_NAMA,D1731,AK_KAT,"KAS")&lt;&gt;1,"",IF(COUNTIFS(AK_NAMA,C1731,AK_KAT,"KAS")=1,D1731,C1731)))</f>
        <v/>
      </c>
      <c r="M1731" s="103" t="n">
        <f aca="false">IF(L1731="",0,IF(L1731=D1731,E1731,-E1731))</f>
        <v>0</v>
      </c>
      <c r="N1731" s="102" t="str">
        <f aca="false">IF(L1731="","",IFERROR(INDEX(AK_BARIS,MATCH(L1731,AK_NAMA,0)),"?"))</f>
        <v/>
      </c>
      <c r="O1731" s="102" t="str">
        <f aca="false">IF(C1731="","",IFERROR(INDEX(AK_KEL,MATCH(C1731,AK_NAMA,0)),"?"))</f>
        <v/>
      </c>
      <c r="P1731" s="102" t="str">
        <f aca="false">IF(D1731="","",IFERROR(INDEX(AK_KEL,MATCH(D1731,AK_NAMA,0)),"?"))</f>
        <v/>
      </c>
      <c r="Q1731" s="102" t="n">
        <f aca="false">N(Q1730)+IF(AND(N(E1731)&lt;&gt;0,K1731=TAHUN,N(J1731)&lt;=BLN,OR(C1731=BB_AKUN,D1731=BB_AKUN)),1,0)</f>
        <v>877</v>
      </c>
      <c r="R1731" s="104" t="str">
        <f aca="false">IF(OR(C1731&amp;D1731="",N(E1731)=0),"",IF(OR(O1731="?",P1731="?"),"⚠ akun tidak dikenal",IF(C1731=D1731,"⚠ debet = kredit","")))</f>
        <v/>
      </c>
    </row>
    <row r="1732" customFormat="false" ht="15" hidden="false" customHeight="false" outlineLevel="0" collapsed="false">
      <c r="A1732" s="5"/>
      <c r="B1732" s="83"/>
      <c r="C1732" s="5"/>
      <c r="D1732" s="5"/>
      <c r="E1732" s="44"/>
      <c r="F1732" s="5"/>
      <c r="G1732" s="5"/>
      <c r="H1732" s="5"/>
      <c r="I1732" s="5"/>
      <c r="J1732" s="102" t="str">
        <f aca="false">IF(B1732="","",MONTH(B1732))</f>
        <v/>
      </c>
      <c r="K1732" s="102" t="str">
        <f aca="false">IF(B1732="","",YEAR(B1732))</f>
        <v/>
      </c>
      <c r="L1732" s="102" t="str">
        <f aca="false">IF(N(E1732)=0,"",IF(COUNTIFS(AK_NAMA,C1732,AK_KAT,"KAS")+COUNTIFS(AK_NAMA,D1732,AK_KAT,"KAS")&lt;&gt;1,"",IF(COUNTIFS(AK_NAMA,C1732,AK_KAT,"KAS")=1,D1732,C1732)))</f>
        <v/>
      </c>
      <c r="M1732" s="103" t="n">
        <f aca="false">IF(L1732="",0,IF(L1732=D1732,E1732,-E1732))</f>
        <v>0</v>
      </c>
      <c r="N1732" s="102" t="str">
        <f aca="false">IF(L1732="","",IFERROR(INDEX(AK_BARIS,MATCH(L1732,AK_NAMA,0)),"?"))</f>
        <v/>
      </c>
      <c r="O1732" s="102" t="str">
        <f aca="false">IF(C1732="","",IFERROR(INDEX(AK_KEL,MATCH(C1732,AK_NAMA,0)),"?"))</f>
        <v/>
      </c>
      <c r="P1732" s="102" t="str">
        <f aca="false">IF(D1732="","",IFERROR(INDEX(AK_KEL,MATCH(D1732,AK_NAMA,0)),"?"))</f>
        <v/>
      </c>
      <c r="Q1732" s="102" t="n">
        <f aca="false">N(Q1731)+IF(AND(N(E1732)&lt;&gt;0,K1732=TAHUN,N(J1732)&lt;=BLN,OR(C1732=BB_AKUN,D1732=BB_AKUN)),1,0)</f>
        <v>877</v>
      </c>
      <c r="R1732" s="104" t="str">
        <f aca="false">IF(OR(C1732&amp;D1732="",N(E1732)=0),"",IF(OR(O1732="?",P1732="?"),"⚠ akun tidak dikenal",IF(C1732=D1732,"⚠ debet = kredit","")))</f>
        <v/>
      </c>
    </row>
    <row r="1733" customFormat="false" ht="15" hidden="false" customHeight="false" outlineLevel="0" collapsed="false">
      <c r="A1733" s="5"/>
      <c r="B1733" s="83"/>
      <c r="C1733" s="5"/>
      <c r="D1733" s="5"/>
      <c r="E1733" s="44"/>
      <c r="F1733" s="5"/>
      <c r="G1733" s="5"/>
      <c r="H1733" s="5"/>
      <c r="I1733" s="5"/>
      <c r="J1733" s="102" t="str">
        <f aca="false">IF(B1733="","",MONTH(B1733))</f>
        <v/>
      </c>
      <c r="K1733" s="102" t="str">
        <f aca="false">IF(B1733="","",YEAR(B1733))</f>
        <v/>
      </c>
      <c r="L1733" s="102" t="str">
        <f aca="false">IF(N(E1733)=0,"",IF(COUNTIFS(AK_NAMA,C1733,AK_KAT,"KAS")+COUNTIFS(AK_NAMA,D1733,AK_KAT,"KAS")&lt;&gt;1,"",IF(COUNTIFS(AK_NAMA,C1733,AK_KAT,"KAS")=1,D1733,C1733)))</f>
        <v/>
      </c>
      <c r="M1733" s="103" t="n">
        <f aca="false">IF(L1733="",0,IF(L1733=D1733,E1733,-E1733))</f>
        <v>0</v>
      </c>
      <c r="N1733" s="102" t="str">
        <f aca="false">IF(L1733="","",IFERROR(INDEX(AK_BARIS,MATCH(L1733,AK_NAMA,0)),"?"))</f>
        <v/>
      </c>
      <c r="O1733" s="102" t="str">
        <f aca="false">IF(C1733="","",IFERROR(INDEX(AK_KEL,MATCH(C1733,AK_NAMA,0)),"?"))</f>
        <v/>
      </c>
      <c r="P1733" s="102" t="str">
        <f aca="false">IF(D1733="","",IFERROR(INDEX(AK_KEL,MATCH(D1733,AK_NAMA,0)),"?"))</f>
        <v/>
      </c>
      <c r="Q1733" s="102" t="n">
        <f aca="false">N(Q1732)+IF(AND(N(E1733)&lt;&gt;0,K1733=TAHUN,N(J1733)&lt;=BLN,OR(C1733=BB_AKUN,D1733=BB_AKUN)),1,0)</f>
        <v>877</v>
      </c>
      <c r="R1733" s="104" t="str">
        <f aca="false">IF(OR(C1733&amp;D1733="",N(E1733)=0),"",IF(OR(O1733="?",P1733="?"),"⚠ akun tidak dikenal",IF(C1733=D1733,"⚠ debet = kredit","")))</f>
        <v/>
      </c>
    </row>
    <row r="1734" customFormat="false" ht="15" hidden="false" customHeight="false" outlineLevel="0" collapsed="false">
      <c r="A1734" s="5"/>
      <c r="B1734" s="83"/>
      <c r="C1734" s="5"/>
      <c r="D1734" s="5"/>
      <c r="E1734" s="44"/>
      <c r="F1734" s="5"/>
      <c r="G1734" s="5"/>
      <c r="H1734" s="5"/>
      <c r="I1734" s="5"/>
      <c r="J1734" s="102" t="str">
        <f aca="false">IF(B1734="","",MONTH(B1734))</f>
        <v/>
      </c>
      <c r="K1734" s="102" t="str">
        <f aca="false">IF(B1734="","",YEAR(B1734))</f>
        <v/>
      </c>
      <c r="L1734" s="102" t="str">
        <f aca="false">IF(N(E1734)=0,"",IF(COUNTIFS(AK_NAMA,C1734,AK_KAT,"KAS")+COUNTIFS(AK_NAMA,D1734,AK_KAT,"KAS")&lt;&gt;1,"",IF(COUNTIFS(AK_NAMA,C1734,AK_KAT,"KAS")=1,D1734,C1734)))</f>
        <v/>
      </c>
      <c r="M1734" s="103" t="n">
        <f aca="false">IF(L1734="",0,IF(L1734=D1734,E1734,-E1734))</f>
        <v>0</v>
      </c>
      <c r="N1734" s="102" t="str">
        <f aca="false">IF(L1734="","",IFERROR(INDEX(AK_BARIS,MATCH(L1734,AK_NAMA,0)),"?"))</f>
        <v/>
      </c>
      <c r="O1734" s="102" t="str">
        <f aca="false">IF(C1734="","",IFERROR(INDEX(AK_KEL,MATCH(C1734,AK_NAMA,0)),"?"))</f>
        <v/>
      </c>
      <c r="P1734" s="102" t="str">
        <f aca="false">IF(D1734="","",IFERROR(INDEX(AK_KEL,MATCH(D1734,AK_NAMA,0)),"?"))</f>
        <v/>
      </c>
      <c r="Q1734" s="102" t="n">
        <f aca="false">N(Q1733)+IF(AND(N(E1734)&lt;&gt;0,K1734=TAHUN,N(J1734)&lt;=BLN,OR(C1734=BB_AKUN,D1734=BB_AKUN)),1,0)</f>
        <v>877</v>
      </c>
      <c r="R1734" s="104" t="str">
        <f aca="false">IF(OR(C1734&amp;D1734="",N(E1734)=0),"",IF(OR(O1734="?",P1734="?"),"⚠ akun tidak dikenal",IF(C1734=D1734,"⚠ debet = kredit","")))</f>
        <v/>
      </c>
    </row>
    <row r="1735" customFormat="false" ht="15" hidden="false" customHeight="false" outlineLevel="0" collapsed="false">
      <c r="A1735" s="5"/>
      <c r="B1735" s="83"/>
      <c r="C1735" s="5"/>
      <c r="D1735" s="5"/>
      <c r="E1735" s="44"/>
      <c r="F1735" s="5"/>
      <c r="G1735" s="5"/>
      <c r="H1735" s="5"/>
      <c r="I1735" s="5"/>
      <c r="J1735" s="102" t="str">
        <f aca="false">IF(B1735="","",MONTH(B1735))</f>
        <v/>
      </c>
      <c r="K1735" s="102" t="str">
        <f aca="false">IF(B1735="","",YEAR(B1735))</f>
        <v/>
      </c>
      <c r="L1735" s="102" t="str">
        <f aca="false">IF(N(E1735)=0,"",IF(COUNTIFS(AK_NAMA,C1735,AK_KAT,"KAS")+COUNTIFS(AK_NAMA,D1735,AK_KAT,"KAS")&lt;&gt;1,"",IF(COUNTIFS(AK_NAMA,C1735,AK_KAT,"KAS")=1,D1735,C1735)))</f>
        <v/>
      </c>
      <c r="M1735" s="103" t="n">
        <f aca="false">IF(L1735="",0,IF(L1735=D1735,E1735,-E1735))</f>
        <v>0</v>
      </c>
      <c r="N1735" s="102" t="str">
        <f aca="false">IF(L1735="","",IFERROR(INDEX(AK_BARIS,MATCH(L1735,AK_NAMA,0)),"?"))</f>
        <v/>
      </c>
      <c r="O1735" s="102" t="str">
        <f aca="false">IF(C1735="","",IFERROR(INDEX(AK_KEL,MATCH(C1735,AK_NAMA,0)),"?"))</f>
        <v/>
      </c>
      <c r="P1735" s="102" t="str">
        <f aca="false">IF(D1735="","",IFERROR(INDEX(AK_KEL,MATCH(D1735,AK_NAMA,0)),"?"))</f>
        <v/>
      </c>
      <c r="Q1735" s="102" t="n">
        <f aca="false">N(Q1734)+IF(AND(N(E1735)&lt;&gt;0,K1735=TAHUN,N(J1735)&lt;=BLN,OR(C1735=BB_AKUN,D1735=BB_AKUN)),1,0)</f>
        <v>877</v>
      </c>
      <c r="R1735" s="104" t="str">
        <f aca="false">IF(OR(C1735&amp;D1735="",N(E1735)=0),"",IF(OR(O1735="?",P1735="?"),"⚠ akun tidak dikenal",IF(C1735=D1735,"⚠ debet = kredit","")))</f>
        <v/>
      </c>
    </row>
    <row r="1736" customFormat="false" ht="15" hidden="false" customHeight="false" outlineLevel="0" collapsed="false">
      <c r="A1736" s="5"/>
      <c r="B1736" s="83"/>
      <c r="C1736" s="5"/>
      <c r="D1736" s="5"/>
      <c r="E1736" s="44"/>
      <c r="F1736" s="5"/>
      <c r="G1736" s="5"/>
      <c r="H1736" s="5"/>
      <c r="I1736" s="5"/>
      <c r="J1736" s="102" t="str">
        <f aca="false">IF(B1736="","",MONTH(B1736))</f>
        <v/>
      </c>
      <c r="K1736" s="102" t="str">
        <f aca="false">IF(B1736="","",YEAR(B1736))</f>
        <v/>
      </c>
      <c r="L1736" s="102" t="str">
        <f aca="false">IF(N(E1736)=0,"",IF(COUNTIFS(AK_NAMA,C1736,AK_KAT,"KAS")+COUNTIFS(AK_NAMA,D1736,AK_KAT,"KAS")&lt;&gt;1,"",IF(COUNTIFS(AK_NAMA,C1736,AK_KAT,"KAS")=1,D1736,C1736)))</f>
        <v/>
      </c>
      <c r="M1736" s="103" t="n">
        <f aca="false">IF(L1736="",0,IF(L1736=D1736,E1736,-E1736))</f>
        <v>0</v>
      </c>
      <c r="N1736" s="102" t="str">
        <f aca="false">IF(L1736="","",IFERROR(INDEX(AK_BARIS,MATCH(L1736,AK_NAMA,0)),"?"))</f>
        <v/>
      </c>
      <c r="O1736" s="102" t="str">
        <f aca="false">IF(C1736="","",IFERROR(INDEX(AK_KEL,MATCH(C1736,AK_NAMA,0)),"?"))</f>
        <v/>
      </c>
      <c r="P1736" s="102" t="str">
        <f aca="false">IF(D1736="","",IFERROR(INDEX(AK_KEL,MATCH(D1736,AK_NAMA,0)),"?"))</f>
        <v/>
      </c>
      <c r="Q1736" s="102" t="n">
        <f aca="false">N(Q1735)+IF(AND(N(E1736)&lt;&gt;0,K1736=TAHUN,N(J1736)&lt;=BLN,OR(C1736=BB_AKUN,D1736=BB_AKUN)),1,0)</f>
        <v>877</v>
      </c>
      <c r="R1736" s="104" t="str">
        <f aca="false">IF(OR(C1736&amp;D1736="",N(E1736)=0),"",IF(OR(O1736="?",P1736="?"),"⚠ akun tidak dikenal",IF(C1736=D1736,"⚠ debet = kredit","")))</f>
        <v/>
      </c>
    </row>
    <row r="1737" customFormat="false" ht="15" hidden="false" customHeight="false" outlineLevel="0" collapsed="false">
      <c r="A1737" s="5"/>
      <c r="B1737" s="83"/>
      <c r="C1737" s="5"/>
      <c r="D1737" s="5"/>
      <c r="E1737" s="44"/>
      <c r="F1737" s="5"/>
      <c r="G1737" s="5"/>
      <c r="H1737" s="5"/>
      <c r="I1737" s="5"/>
      <c r="J1737" s="102" t="str">
        <f aca="false">IF(B1737="","",MONTH(B1737))</f>
        <v/>
      </c>
      <c r="K1737" s="102" t="str">
        <f aca="false">IF(B1737="","",YEAR(B1737))</f>
        <v/>
      </c>
      <c r="L1737" s="102" t="str">
        <f aca="false">IF(N(E1737)=0,"",IF(COUNTIFS(AK_NAMA,C1737,AK_KAT,"KAS")+COUNTIFS(AK_NAMA,D1737,AK_KAT,"KAS")&lt;&gt;1,"",IF(COUNTIFS(AK_NAMA,C1737,AK_KAT,"KAS")=1,D1737,C1737)))</f>
        <v/>
      </c>
      <c r="M1737" s="103" t="n">
        <f aca="false">IF(L1737="",0,IF(L1737=D1737,E1737,-E1737))</f>
        <v>0</v>
      </c>
      <c r="N1737" s="102" t="str">
        <f aca="false">IF(L1737="","",IFERROR(INDEX(AK_BARIS,MATCH(L1737,AK_NAMA,0)),"?"))</f>
        <v/>
      </c>
      <c r="O1737" s="102" t="str">
        <f aca="false">IF(C1737="","",IFERROR(INDEX(AK_KEL,MATCH(C1737,AK_NAMA,0)),"?"))</f>
        <v/>
      </c>
      <c r="P1737" s="102" t="str">
        <f aca="false">IF(D1737="","",IFERROR(INDEX(AK_KEL,MATCH(D1737,AK_NAMA,0)),"?"))</f>
        <v/>
      </c>
      <c r="Q1737" s="102" t="n">
        <f aca="false">N(Q1736)+IF(AND(N(E1737)&lt;&gt;0,K1737=TAHUN,N(J1737)&lt;=BLN,OR(C1737=BB_AKUN,D1737=BB_AKUN)),1,0)</f>
        <v>877</v>
      </c>
      <c r="R1737" s="104" t="str">
        <f aca="false">IF(OR(C1737&amp;D1737="",N(E1737)=0),"",IF(OR(O1737="?",P1737="?"),"⚠ akun tidak dikenal",IF(C1737=D1737,"⚠ debet = kredit","")))</f>
        <v/>
      </c>
    </row>
    <row r="1738" customFormat="false" ht="15" hidden="false" customHeight="false" outlineLevel="0" collapsed="false">
      <c r="A1738" s="5"/>
      <c r="B1738" s="83"/>
      <c r="C1738" s="5"/>
      <c r="D1738" s="5"/>
      <c r="E1738" s="44"/>
      <c r="F1738" s="5"/>
      <c r="G1738" s="5"/>
      <c r="H1738" s="5"/>
      <c r="I1738" s="5"/>
      <c r="J1738" s="102" t="str">
        <f aca="false">IF(B1738="","",MONTH(B1738))</f>
        <v/>
      </c>
      <c r="K1738" s="102" t="str">
        <f aca="false">IF(B1738="","",YEAR(B1738))</f>
        <v/>
      </c>
      <c r="L1738" s="102" t="str">
        <f aca="false">IF(N(E1738)=0,"",IF(COUNTIFS(AK_NAMA,C1738,AK_KAT,"KAS")+COUNTIFS(AK_NAMA,D1738,AK_KAT,"KAS")&lt;&gt;1,"",IF(COUNTIFS(AK_NAMA,C1738,AK_KAT,"KAS")=1,D1738,C1738)))</f>
        <v/>
      </c>
      <c r="M1738" s="103" t="n">
        <f aca="false">IF(L1738="",0,IF(L1738=D1738,E1738,-E1738))</f>
        <v>0</v>
      </c>
      <c r="N1738" s="102" t="str">
        <f aca="false">IF(L1738="","",IFERROR(INDEX(AK_BARIS,MATCH(L1738,AK_NAMA,0)),"?"))</f>
        <v/>
      </c>
      <c r="O1738" s="102" t="str">
        <f aca="false">IF(C1738="","",IFERROR(INDEX(AK_KEL,MATCH(C1738,AK_NAMA,0)),"?"))</f>
        <v/>
      </c>
      <c r="P1738" s="102" t="str">
        <f aca="false">IF(D1738="","",IFERROR(INDEX(AK_KEL,MATCH(D1738,AK_NAMA,0)),"?"))</f>
        <v/>
      </c>
      <c r="Q1738" s="102" t="n">
        <f aca="false">N(Q1737)+IF(AND(N(E1738)&lt;&gt;0,K1738=TAHUN,N(J1738)&lt;=BLN,OR(C1738=BB_AKUN,D1738=BB_AKUN)),1,0)</f>
        <v>877</v>
      </c>
      <c r="R1738" s="104" t="str">
        <f aca="false">IF(OR(C1738&amp;D1738="",N(E1738)=0),"",IF(OR(O1738="?",P1738="?"),"⚠ akun tidak dikenal",IF(C1738=D1738,"⚠ debet = kredit","")))</f>
        <v/>
      </c>
    </row>
    <row r="1739" customFormat="false" ht="15" hidden="false" customHeight="false" outlineLevel="0" collapsed="false">
      <c r="A1739" s="5"/>
      <c r="B1739" s="83"/>
      <c r="C1739" s="5"/>
      <c r="D1739" s="5"/>
      <c r="E1739" s="44"/>
      <c r="F1739" s="5"/>
      <c r="G1739" s="5"/>
      <c r="H1739" s="5"/>
      <c r="I1739" s="5"/>
      <c r="J1739" s="102" t="str">
        <f aca="false">IF(B1739="","",MONTH(B1739))</f>
        <v/>
      </c>
      <c r="K1739" s="102" t="str">
        <f aca="false">IF(B1739="","",YEAR(B1739))</f>
        <v/>
      </c>
      <c r="L1739" s="102" t="str">
        <f aca="false">IF(N(E1739)=0,"",IF(COUNTIFS(AK_NAMA,C1739,AK_KAT,"KAS")+COUNTIFS(AK_NAMA,D1739,AK_KAT,"KAS")&lt;&gt;1,"",IF(COUNTIFS(AK_NAMA,C1739,AK_KAT,"KAS")=1,D1739,C1739)))</f>
        <v/>
      </c>
      <c r="M1739" s="103" t="n">
        <f aca="false">IF(L1739="",0,IF(L1739=D1739,E1739,-E1739))</f>
        <v>0</v>
      </c>
      <c r="N1739" s="102" t="str">
        <f aca="false">IF(L1739="","",IFERROR(INDEX(AK_BARIS,MATCH(L1739,AK_NAMA,0)),"?"))</f>
        <v/>
      </c>
      <c r="O1739" s="102" t="str">
        <f aca="false">IF(C1739="","",IFERROR(INDEX(AK_KEL,MATCH(C1739,AK_NAMA,0)),"?"))</f>
        <v/>
      </c>
      <c r="P1739" s="102" t="str">
        <f aca="false">IF(D1739="","",IFERROR(INDEX(AK_KEL,MATCH(D1739,AK_NAMA,0)),"?"))</f>
        <v/>
      </c>
      <c r="Q1739" s="102" t="n">
        <f aca="false">N(Q1738)+IF(AND(N(E1739)&lt;&gt;0,K1739=TAHUN,N(J1739)&lt;=BLN,OR(C1739=BB_AKUN,D1739=BB_AKUN)),1,0)</f>
        <v>877</v>
      </c>
      <c r="R1739" s="104" t="str">
        <f aca="false">IF(OR(C1739&amp;D1739="",N(E1739)=0),"",IF(OR(O1739="?",P1739="?"),"⚠ akun tidak dikenal",IF(C1739=D1739,"⚠ debet = kredit","")))</f>
        <v/>
      </c>
    </row>
    <row r="1740" customFormat="false" ht="15" hidden="false" customHeight="false" outlineLevel="0" collapsed="false">
      <c r="A1740" s="5"/>
      <c r="B1740" s="83"/>
      <c r="C1740" s="5"/>
      <c r="D1740" s="5"/>
      <c r="E1740" s="44"/>
      <c r="F1740" s="5"/>
      <c r="G1740" s="5"/>
      <c r="H1740" s="5"/>
      <c r="I1740" s="5"/>
      <c r="J1740" s="102" t="str">
        <f aca="false">IF(B1740="","",MONTH(B1740))</f>
        <v/>
      </c>
      <c r="K1740" s="102" t="str">
        <f aca="false">IF(B1740="","",YEAR(B1740))</f>
        <v/>
      </c>
      <c r="L1740" s="102" t="str">
        <f aca="false">IF(N(E1740)=0,"",IF(COUNTIFS(AK_NAMA,C1740,AK_KAT,"KAS")+COUNTIFS(AK_NAMA,D1740,AK_KAT,"KAS")&lt;&gt;1,"",IF(COUNTIFS(AK_NAMA,C1740,AK_KAT,"KAS")=1,D1740,C1740)))</f>
        <v/>
      </c>
      <c r="M1740" s="103" t="n">
        <f aca="false">IF(L1740="",0,IF(L1740=D1740,E1740,-E1740))</f>
        <v>0</v>
      </c>
      <c r="N1740" s="102" t="str">
        <f aca="false">IF(L1740="","",IFERROR(INDEX(AK_BARIS,MATCH(L1740,AK_NAMA,0)),"?"))</f>
        <v/>
      </c>
      <c r="O1740" s="102" t="str">
        <f aca="false">IF(C1740="","",IFERROR(INDEX(AK_KEL,MATCH(C1740,AK_NAMA,0)),"?"))</f>
        <v/>
      </c>
      <c r="P1740" s="102" t="str">
        <f aca="false">IF(D1740="","",IFERROR(INDEX(AK_KEL,MATCH(D1740,AK_NAMA,0)),"?"))</f>
        <v/>
      </c>
      <c r="Q1740" s="102" t="n">
        <f aca="false">N(Q1739)+IF(AND(N(E1740)&lt;&gt;0,K1740=TAHUN,N(J1740)&lt;=BLN,OR(C1740=BB_AKUN,D1740=BB_AKUN)),1,0)</f>
        <v>877</v>
      </c>
      <c r="R1740" s="104" t="str">
        <f aca="false">IF(OR(C1740&amp;D1740="",N(E1740)=0),"",IF(OR(O1740="?",P1740="?"),"⚠ akun tidak dikenal",IF(C1740=D1740,"⚠ debet = kredit","")))</f>
        <v/>
      </c>
    </row>
    <row r="1741" customFormat="false" ht="15" hidden="false" customHeight="false" outlineLevel="0" collapsed="false">
      <c r="A1741" s="5"/>
      <c r="B1741" s="83"/>
      <c r="C1741" s="5"/>
      <c r="D1741" s="5"/>
      <c r="E1741" s="44"/>
      <c r="F1741" s="5"/>
      <c r="G1741" s="5"/>
      <c r="H1741" s="5"/>
      <c r="I1741" s="5"/>
      <c r="J1741" s="102" t="str">
        <f aca="false">IF(B1741="","",MONTH(B1741))</f>
        <v/>
      </c>
      <c r="K1741" s="102" t="str">
        <f aca="false">IF(B1741="","",YEAR(B1741))</f>
        <v/>
      </c>
      <c r="L1741" s="102" t="str">
        <f aca="false">IF(N(E1741)=0,"",IF(COUNTIFS(AK_NAMA,C1741,AK_KAT,"KAS")+COUNTIFS(AK_NAMA,D1741,AK_KAT,"KAS")&lt;&gt;1,"",IF(COUNTIFS(AK_NAMA,C1741,AK_KAT,"KAS")=1,D1741,C1741)))</f>
        <v/>
      </c>
      <c r="M1741" s="103" t="n">
        <f aca="false">IF(L1741="",0,IF(L1741=D1741,E1741,-E1741))</f>
        <v>0</v>
      </c>
      <c r="N1741" s="102" t="str">
        <f aca="false">IF(L1741="","",IFERROR(INDEX(AK_BARIS,MATCH(L1741,AK_NAMA,0)),"?"))</f>
        <v/>
      </c>
      <c r="O1741" s="102" t="str">
        <f aca="false">IF(C1741="","",IFERROR(INDEX(AK_KEL,MATCH(C1741,AK_NAMA,0)),"?"))</f>
        <v/>
      </c>
      <c r="P1741" s="102" t="str">
        <f aca="false">IF(D1741="","",IFERROR(INDEX(AK_KEL,MATCH(D1741,AK_NAMA,0)),"?"))</f>
        <v/>
      </c>
      <c r="Q1741" s="102" t="n">
        <f aca="false">N(Q1740)+IF(AND(N(E1741)&lt;&gt;0,K1741=TAHUN,N(J1741)&lt;=BLN,OR(C1741=BB_AKUN,D1741=BB_AKUN)),1,0)</f>
        <v>877</v>
      </c>
      <c r="R1741" s="104" t="str">
        <f aca="false">IF(OR(C1741&amp;D1741="",N(E1741)=0),"",IF(OR(O1741="?",P1741="?"),"⚠ akun tidak dikenal",IF(C1741=D1741,"⚠ debet = kredit","")))</f>
        <v/>
      </c>
    </row>
    <row r="1742" customFormat="false" ht="15" hidden="false" customHeight="false" outlineLevel="0" collapsed="false">
      <c r="A1742" s="5"/>
      <c r="B1742" s="83"/>
      <c r="C1742" s="5"/>
      <c r="D1742" s="5"/>
      <c r="E1742" s="44"/>
      <c r="F1742" s="5"/>
      <c r="G1742" s="5"/>
      <c r="H1742" s="5"/>
      <c r="I1742" s="5"/>
      <c r="J1742" s="102" t="str">
        <f aca="false">IF(B1742="","",MONTH(B1742))</f>
        <v/>
      </c>
      <c r="K1742" s="102" t="str">
        <f aca="false">IF(B1742="","",YEAR(B1742))</f>
        <v/>
      </c>
      <c r="L1742" s="102" t="str">
        <f aca="false">IF(N(E1742)=0,"",IF(COUNTIFS(AK_NAMA,C1742,AK_KAT,"KAS")+COUNTIFS(AK_NAMA,D1742,AK_KAT,"KAS")&lt;&gt;1,"",IF(COUNTIFS(AK_NAMA,C1742,AK_KAT,"KAS")=1,D1742,C1742)))</f>
        <v/>
      </c>
      <c r="M1742" s="103" t="n">
        <f aca="false">IF(L1742="",0,IF(L1742=D1742,E1742,-E1742))</f>
        <v>0</v>
      </c>
      <c r="N1742" s="102" t="str">
        <f aca="false">IF(L1742="","",IFERROR(INDEX(AK_BARIS,MATCH(L1742,AK_NAMA,0)),"?"))</f>
        <v/>
      </c>
      <c r="O1742" s="102" t="str">
        <f aca="false">IF(C1742="","",IFERROR(INDEX(AK_KEL,MATCH(C1742,AK_NAMA,0)),"?"))</f>
        <v/>
      </c>
      <c r="P1742" s="102" t="str">
        <f aca="false">IF(D1742="","",IFERROR(INDEX(AK_KEL,MATCH(D1742,AK_NAMA,0)),"?"))</f>
        <v/>
      </c>
      <c r="Q1742" s="102" t="n">
        <f aca="false">N(Q1741)+IF(AND(N(E1742)&lt;&gt;0,K1742=TAHUN,N(J1742)&lt;=BLN,OR(C1742=BB_AKUN,D1742=BB_AKUN)),1,0)</f>
        <v>877</v>
      </c>
      <c r="R1742" s="104" t="str">
        <f aca="false">IF(OR(C1742&amp;D1742="",N(E1742)=0),"",IF(OR(O1742="?",P1742="?"),"⚠ akun tidak dikenal",IF(C1742=D1742,"⚠ debet = kredit","")))</f>
        <v/>
      </c>
    </row>
    <row r="1743" customFormat="false" ht="15" hidden="false" customHeight="false" outlineLevel="0" collapsed="false">
      <c r="A1743" s="5"/>
      <c r="B1743" s="83"/>
      <c r="C1743" s="5"/>
      <c r="D1743" s="5"/>
      <c r="E1743" s="44"/>
      <c r="F1743" s="5"/>
      <c r="G1743" s="5"/>
      <c r="H1743" s="5"/>
      <c r="I1743" s="5"/>
      <c r="J1743" s="102" t="str">
        <f aca="false">IF(B1743="","",MONTH(B1743))</f>
        <v/>
      </c>
      <c r="K1743" s="102" t="str">
        <f aca="false">IF(B1743="","",YEAR(B1743))</f>
        <v/>
      </c>
      <c r="L1743" s="102" t="str">
        <f aca="false">IF(N(E1743)=0,"",IF(COUNTIFS(AK_NAMA,C1743,AK_KAT,"KAS")+COUNTIFS(AK_NAMA,D1743,AK_KAT,"KAS")&lt;&gt;1,"",IF(COUNTIFS(AK_NAMA,C1743,AK_KAT,"KAS")=1,D1743,C1743)))</f>
        <v/>
      </c>
      <c r="M1743" s="103" t="n">
        <f aca="false">IF(L1743="",0,IF(L1743=D1743,E1743,-E1743))</f>
        <v>0</v>
      </c>
      <c r="N1743" s="102" t="str">
        <f aca="false">IF(L1743="","",IFERROR(INDEX(AK_BARIS,MATCH(L1743,AK_NAMA,0)),"?"))</f>
        <v/>
      </c>
      <c r="O1743" s="102" t="str">
        <f aca="false">IF(C1743="","",IFERROR(INDEX(AK_KEL,MATCH(C1743,AK_NAMA,0)),"?"))</f>
        <v/>
      </c>
      <c r="P1743" s="102" t="str">
        <f aca="false">IF(D1743="","",IFERROR(INDEX(AK_KEL,MATCH(D1743,AK_NAMA,0)),"?"))</f>
        <v/>
      </c>
      <c r="Q1743" s="102" t="n">
        <f aca="false">N(Q1742)+IF(AND(N(E1743)&lt;&gt;0,K1743=TAHUN,N(J1743)&lt;=BLN,OR(C1743=BB_AKUN,D1743=BB_AKUN)),1,0)</f>
        <v>877</v>
      </c>
      <c r="R1743" s="104" t="str">
        <f aca="false">IF(OR(C1743&amp;D1743="",N(E1743)=0),"",IF(OR(O1743="?",P1743="?"),"⚠ akun tidak dikenal",IF(C1743=D1743,"⚠ debet = kredit","")))</f>
        <v/>
      </c>
    </row>
    <row r="1744" customFormat="false" ht="15" hidden="false" customHeight="false" outlineLevel="0" collapsed="false">
      <c r="A1744" s="5"/>
      <c r="B1744" s="83"/>
      <c r="C1744" s="5"/>
      <c r="D1744" s="5"/>
      <c r="E1744" s="44"/>
      <c r="F1744" s="5"/>
      <c r="G1744" s="5"/>
      <c r="H1744" s="5"/>
      <c r="I1744" s="5"/>
      <c r="J1744" s="102" t="str">
        <f aca="false">IF(B1744="","",MONTH(B1744))</f>
        <v/>
      </c>
      <c r="K1744" s="102" t="str">
        <f aca="false">IF(B1744="","",YEAR(B1744))</f>
        <v/>
      </c>
      <c r="L1744" s="102" t="str">
        <f aca="false">IF(N(E1744)=0,"",IF(COUNTIFS(AK_NAMA,C1744,AK_KAT,"KAS")+COUNTIFS(AK_NAMA,D1744,AK_KAT,"KAS")&lt;&gt;1,"",IF(COUNTIFS(AK_NAMA,C1744,AK_KAT,"KAS")=1,D1744,C1744)))</f>
        <v/>
      </c>
      <c r="M1744" s="103" t="n">
        <f aca="false">IF(L1744="",0,IF(L1744=D1744,E1744,-E1744))</f>
        <v>0</v>
      </c>
      <c r="N1744" s="102" t="str">
        <f aca="false">IF(L1744="","",IFERROR(INDEX(AK_BARIS,MATCH(L1744,AK_NAMA,0)),"?"))</f>
        <v/>
      </c>
      <c r="O1744" s="102" t="str">
        <f aca="false">IF(C1744="","",IFERROR(INDEX(AK_KEL,MATCH(C1744,AK_NAMA,0)),"?"))</f>
        <v/>
      </c>
      <c r="P1744" s="102" t="str">
        <f aca="false">IF(D1744="","",IFERROR(INDEX(AK_KEL,MATCH(D1744,AK_NAMA,0)),"?"))</f>
        <v/>
      </c>
      <c r="Q1744" s="102" t="n">
        <f aca="false">N(Q1743)+IF(AND(N(E1744)&lt;&gt;0,K1744=TAHUN,N(J1744)&lt;=BLN,OR(C1744=BB_AKUN,D1744=BB_AKUN)),1,0)</f>
        <v>877</v>
      </c>
      <c r="R1744" s="104" t="str">
        <f aca="false">IF(OR(C1744&amp;D1744="",N(E1744)=0),"",IF(OR(O1744="?",P1744="?"),"⚠ akun tidak dikenal",IF(C1744=D1744,"⚠ debet = kredit","")))</f>
        <v/>
      </c>
    </row>
    <row r="1745" customFormat="false" ht="15" hidden="false" customHeight="false" outlineLevel="0" collapsed="false">
      <c r="A1745" s="5"/>
      <c r="B1745" s="83"/>
      <c r="C1745" s="5"/>
      <c r="D1745" s="5"/>
      <c r="E1745" s="44"/>
      <c r="F1745" s="5"/>
      <c r="G1745" s="5"/>
      <c r="H1745" s="5"/>
      <c r="I1745" s="5"/>
      <c r="J1745" s="102" t="str">
        <f aca="false">IF(B1745="","",MONTH(B1745))</f>
        <v/>
      </c>
      <c r="K1745" s="102" t="str">
        <f aca="false">IF(B1745="","",YEAR(B1745))</f>
        <v/>
      </c>
      <c r="L1745" s="102" t="str">
        <f aca="false">IF(N(E1745)=0,"",IF(COUNTIFS(AK_NAMA,C1745,AK_KAT,"KAS")+COUNTIFS(AK_NAMA,D1745,AK_KAT,"KAS")&lt;&gt;1,"",IF(COUNTIFS(AK_NAMA,C1745,AK_KAT,"KAS")=1,D1745,C1745)))</f>
        <v/>
      </c>
      <c r="M1745" s="103" t="n">
        <f aca="false">IF(L1745="",0,IF(L1745=D1745,E1745,-E1745))</f>
        <v>0</v>
      </c>
      <c r="N1745" s="102" t="str">
        <f aca="false">IF(L1745="","",IFERROR(INDEX(AK_BARIS,MATCH(L1745,AK_NAMA,0)),"?"))</f>
        <v/>
      </c>
      <c r="O1745" s="102" t="str">
        <f aca="false">IF(C1745="","",IFERROR(INDEX(AK_KEL,MATCH(C1745,AK_NAMA,0)),"?"))</f>
        <v/>
      </c>
      <c r="P1745" s="102" t="str">
        <f aca="false">IF(D1745="","",IFERROR(INDEX(AK_KEL,MATCH(D1745,AK_NAMA,0)),"?"))</f>
        <v/>
      </c>
      <c r="Q1745" s="102" t="n">
        <f aca="false">N(Q1744)+IF(AND(N(E1745)&lt;&gt;0,K1745=TAHUN,N(J1745)&lt;=BLN,OR(C1745=BB_AKUN,D1745=BB_AKUN)),1,0)</f>
        <v>877</v>
      </c>
      <c r="R1745" s="104" t="str">
        <f aca="false">IF(OR(C1745&amp;D1745="",N(E1745)=0),"",IF(OR(O1745="?",P1745="?"),"⚠ akun tidak dikenal",IF(C1745=D1745,"⚠ debet = kredit","")))</f>
        <v/>
      </c>
    </row>
    <row r="1746" customFormat="false" ht="15" hidden="false" customHeight="false" outlineLevel="0" collapsed="false">
      <c r="A1746" s="5"/>
      <c r="B1746" s="83"/>
      <c r="C1746" s="5"/>
      <c r="D1746" s="5"/>
      <c r="E1746" s="44"/>
      <c r="F1746" s="5"/>
      <c r="G1746" s="5"/>
      <c r="H1746" s="5"/>
      <c r="I1746" s="5"/>
      <c r="J1746" s="102" t="str">
        <f aca="false">IF(B1746="","",MONTH(B1746))</f>
        <v/>
      </c>
      <c r="K1746" s="102" t="str">
        <f aca="false">IF(B1746="","",YEAR(B1746))</f>
        <v/>
      </c>
      <c r="L1746" s="102" t="str">
        <f aca="false">IF(N(E1746)=0,"",IF(COUNTIFS(AK_NAMA,C1746,AK_KAT,"KAS")+COUNTIFS(AK_NAMA,D1746,AK_KAT,"KAS")&lt;&gt;1,"",IF(COUNTIFS(AK_NAMA,C1746,AK_KAT,"KAS")=1,D1746,C1746)))</f>
        <v/>
      </c>
      <c r="M1746" s="103" t="n">
        <f aca="false">IF(L1746="",0,IF(L1746=D1746,E1746,-E1746))</f>
        <v>0</v>
      </c>
      <c r="N1746" s="102" t="str">
        <f aca="false">IF(L1746="","",IFERROR(INDEX(AK_BARIS,MATCH(L1746,AK_NAMA,0)),"?"))</f>
        <v/>
      </c>
      <c r="O1746" s="102" t="str">
        <f aca="false">IF(C1746="","",IFERROR(INDEX(AK_KEL,MATCH(C1746,AK_NAMA,0)),"?"))</f>
        <v/>
      </c>
      <c r="P1746" s="102" t="str">
        <f aca="false">IF(D1746="","",IFERROR(INDEX(AK_KEL,MATCH(D1746,AK_NAMA,0)),"?"))</f>
        <v/>
      </c>
      <c r="Q1746" s="102" t="n">
        <f aca="false">N(Q1745)+IF(AND(N(E1746)&lt;&gt;0,K1746=TAHUN,N(J1746)&lt;=BLN,OR(C1746=BB_AKUN,D1746=BB_AKUN)),1,0)</f>
        <v>877</v>
      </c>
      <c r="R1746" s="104" t="str">
        <f aca="false">IF(OR(C1746&amp;D1746="",N(E1746)=0),"",IF(OR(O1746="?",P1746="?"),"⚠ akun tidak dikenal",IF(C1746=D1746,"⚠ debet = kredit","")))</f>
        <v/>
      </c>
    </row>
    <row r="1747" customFormat="false" ht="15" hidden="false" customHeight="false" outlineLevel="0" collapsed="false">
      <c r="A1747" s="5"/>
      <c r="B1747" s="83"/>
      <c r="C1747" s="5"/>
      <c r="D1747" s="5"/>
      <c r="E1747" s="44"/>
      <c r="F1747" s="5"/>
      <c r="G1747" s="5"/>
      <c r="H1747" s="5"/>
      <c r="I1747" s="5"/>
      <c r="J1747" s="102" t="str">
        <f aca="false">IF(B1747="","",MONTH(B1747))</f>
        <v/>
      </c>
      <c r="K1747" s="102" t="str">
        <f aca="false">IF(B1747="","",YEAR(B1747))</f>
        <v/>
      </c>
      <c r="L1747" s="102" t="str">
        <f aca="false">IF(N(E1747)=0,"",IF(COUNTIFS(AK_NAMA,C1747,AK_KAT,"KAS")+COUNTIFS(AK_NAMA,D1747,AK_KAT,"KAS")&lt;&gt;1,"",IF(COUNTIFS(AK_NAMA,C1747,AK_KAT,"KAS")=1,D1747,C1747)))</f>
        <v/>
      </c>
      <c r="M1747" s="103" t="n">
        <f aca="false">IF(L1747="",0,IF(L1747=D1747,E1747,-E1747))</f>
        <v>0</v>
      </c>
      <c r="N1747" s="102" t="str">
        <f aca="false">IF(L1747="","",IFERROR(INDEX(AK_BARIS,MATCH(L1747,AK_NAMA,0)),"?"))</f>
        <v/>
      </c>
      <c r="O1747" s="102" t="str">
        <f aca="false">IF(C1747="","",IFERROR(INDEX(AK_KEL,MATCH(C1747,AK_NAMA,0)),"?"))</f>
        <v/>
      </c>
      <c r="P1747" s="102" t="str">
        <f aca="false">IF(D1747="","",IFERROR(INDEX(AK_KEL,MATCH(D1747,AK_NAMA,0)),"?"))</f>
        <v/>
      </c>
      <c r="Q1747" s="102" t="n">
        <f aca="false">N(Q1746)+IF(AND(N(E1747)&lt;&gt;0,K1747=TAHUN,N(J1747)&lt;=BLN,OR(C1747=BB_AKUN,D1747=BB_AKUN)),1,0)</f>
        <v>877</v>
      </c>
      <c r="R1747" s="104" t="str">
        <f aca="false">IF(OR(C1747&amp;D1747="",N(E1747)=0),"",IF(OR(O1747="?",P1747="?"),"⚠ akun tidak dikenal",IF(C1747=D1747,"⚠ debet = kredit","")))</f>
        <v/>
      </c>
    </row>
    <row r="1748" customFormat="false" ht="15" hidden="false" customHeight="false" outlineLevel="0" collapsed="false">
      <c r="A1748" s="5"/>
      <c r="B1748" s="83"/>
      <c r="C1748" s="5"/>
      <c r="D1748" s="5"/>
      <c r="E1748" s="44"/>
      <c r="F1748" s="5"/>
      <c r="G1748" s="5"/>
      <c r="H1748" s="5"/>
      <c r="I1748" s="5"/>
      <c r="J1748" s="102" t="str">
        <f aca="false">IF(B1748="","",MONTH(B1748))</f>
        <v/>
      </c>
      <c r="K1748" s="102" t="str">
        <f aca="false">IF(B1748="","",YEAR(B1748))</f>
        <v/>
      </c>
      <c r="L1748" s="102" t="str">
        <f aca="false">IF(N(E1748)=0,"",IF(COUNTIFS(AK_NAMA,C1748,AK_KAT,"KAS")+COUNTIFS(AK_NAMA,D1748,AK_KAT,"KAS")&lt;&gt;1,"",IF(COUNTIFS(AK_NAMA,C1748,AK_KAT,"KAS")=1,D1748,C1748)))</f>
        <v/>
      </c>
      <c r="M1748" s="103" t="n">
        <f aca="false">IF(L1748="",0,IF(L1748=D1748,E1748,-E1748))</f>
        <v>0</v>
      </c>
      <c r="N1748" s="102" t="str">
        <f aca="false">IF(L1748="","",IFERROR(INDEX(AK_BARIS,MATCH(L1748,AK_NAMA,0)),"?"))</f>
        <v/>
      </c>
      <c r="O1748" s="102" t="str">
        <f aca="false">IF(C1748="","",IFERROR(INDEX(AK_KEL,MATCH(C1748,AK_NAMA,0)),"?"))</f>
        <v/>
      </c>
      <c r="P1748" s="102" t="str">
        <f aca="false">IF(D1748="","",IFERROR(INDEX(AK_KEL,MATCH(D1748,AK_NAMA,0)),"?"))</f>
        <v/>
      </c>
      <c r="Q1748" s="102" t="n">
        <f aca="false">N(Q1747)+IF(AND(N(E1748)&lt;&gt;0,K1748=TAHUN,N(J1748)&lt;=BLN,OR(C1748=BB_AKUN,D1748=BB_AKUN)),1,0)</f>
        <v>877</v>
      </c>
      <c r="R1748" s="104" t="str">
        <f aca="false">IF(OR(C1748&amp;D1748="",N(E1748)=0),"",IF(OR(O1748="?",P1748="?"),"⚠ akun tidak dikenal",IF(C1748=D1748,"⚠ debet = kredit","")))</f>
        <v/>
      </c>
    </row>
    <row r="1749" customFormat="false" ht="15" hidden="false" customHeight="false" outlineLevel="0" collapsed="false">
      <c r="A1749" s="5"/>
      <c r="B1749" s="83"/>
      <c r="C1749" s="5"/>
      <c r="D1749" s="5"/>
      <c r="E1749" s="44"/>
      <c r="F1749" s="5"/>
      <c r="G1749" s="5"/>
      <c r="H1749" s="5"/>
      <c r="I1749" s="5"/>
      <c r="J1749" s="102" t="str">
        <f aca="false">IF(B1749="","",MONTH(B1749))</f>
        <v/>
      </c>
      <c r="K1749" s="102" t="str">
        <f aca="false">IF(B1749="","",YEAR(B1749))</f>
        <v/>
      </c>
      <c r="L1749" s="102" t="str">
        <f aca="false">IF(N(E1749)=0,"",IF(COUNTIFS(AK_NAMA,C1749,AK_KAT,"KAS")+COUNTIFS(AK_NAMA,D1749,AK_KAT,"KAS")&lt;&gt;1,"",IF(COUNTIFS(AK_NAMA,C1749,AK_KAT,"KAS")=1,D1749,C1749)))</f>
        <v/>
      </c>
      <c r="M1749" s="103" t="n">
        <f aca="false">IF(L1749="",0,IF(L1749=D1749,E1749,-E1749))</f>
        <v>0</v>
      </c>
      <c r="N1749" s="102" t="str">
        <f aca="false">IF(L1749="","",IFERROR(INDEX(AK_BARIS,MATCH(L1749,AK_NAMA,0)),"?"))</f>
        <v/>
      </c>
      <c r="O1749" s="102" t="str">
        <f aca="false">IF(C1749="","",IFERROR(INDEX(AK_KEL,MATCH(C1749,AK_NAMA,0)),"?"))</f>
        <v/>
      </c>
      <c r="P1749" s="102" t="str">
        <f aca="false">IF(D1749="","",IFERROR(INDEX(AK_KEL,MATCH(D1749,AK_NAMA,0)),"?"))</f>
        <v/>
      </c>
      <c r="Q1749" s="102" t="n">
        <f aca="false">N(Q1748)+IF(AND(N(E1749)&lt;&gt;0,K1749=TAHUN,N(J1749)&lt;=BLN,OR(C1749=BB_AKUN,D1749=BB_AKUN)),1,0)</f>
        <v>877</v>
      </c>
      <c r="R1749" s="104" t="str">
        <f aca="false">IF(OR(C1749&amp;D1749="",N(E1749)=0),"",IF(OR(O1749="?",P1749="?"),"⚠ akun tidak dikenal",IF(C1749=D1749,"⚠ debet = kredit","")))</f>
        <v/>
      </c>
    </row>
    <row r="1750" customFormat="false" ht="15" hidden="false" customHeight="false" outlineLevel="0" collapsed="false">
      <c r="A1750" s="5"/>
      <c r="B1750" s="83"/>
      <c r="C1750" s="5"/>
      <c r="D1750" s="5"/>
      <c r="E1750" s="44"/>
      <c r="F1750" s="5"/>
      <c r="G1750" s="5"/>
      <c r="H1750" s="5"/>
      <c r="I1750" s="5"/>
      <c r="J1750" s="102" t="str">
        <f aca="false">IF(B1750="","",MONTH(B1750))</f>
        <v/>
      </c>
      <c r="K1750" s="102" t="str">
        <f aca="false">IF(B1750="","",YEAR(B1750))</f>
        <v/>
      </c>
      <c r="L1750" s="102" t="str">
        <f aca="false">IF(N(E1750)=0,"",IF(COUNTIFS(AK_NAMA,C1750,AK_KAT,"KAS")+COUNTIFS(AK_NAMA,D1750,AK_KAT,"KAS")&lt;&gt;1,"",IF(COUNTIFS(AK_NAMA,C1750,AK_KAT,"KAS")=1,D1750,C1750)))</f>
        <v/>
      </c>
      <c r="M1750" s="103" t="n">
        <f aca="false">IF(L1750="",0,IF(L1750=D1750,E1750,-E1750))</f>
        <v>0</v>
      </c>
      <c r="N1750" s="102" t="str">
        <f aca="false">IF(L1750="","",IFERROR(INDEX(AK_BARIS,MATCH(L1750,AK_NAMA,0)),"?"))</f>
        <v/>
      </c>
      <c r="O1750" s="102" t="str">
        <f aca="false">IF(C1750="","",IFERROR(INDEX(AK_KEL,MATCH(C1750,AK_NAMA,0)),"?"))</f>
        <v/>
      </c>
      <c r="P1750" s="102" t="str">
        <f aca="false">IF(D1750="","",IFERROR(INDEX(AK_KEL,MATCH(D1750,AK_NAMA,0)),"?"))</f>
        <v/>
      </c>
      <c r="Q1750" s="102" t="n">
        <f aca="false">N(Q1749)+IF(AND(N(E1750)&lt;&gt;0,K1750=TAHUN,N(J1750)&lt;=BLN,OR(C1750=BB_AKUN,D1750=BB_AKUN)),1,0)</f>
        <v>877</v>
      </c>
      <c r="R1750" s="104" t="str">
        <f aca="false">IF(OR(C1750&amp;D1750="",N(E1750)=0),"",IF(OR(O1750="?",P1750="?"),"⚠ akun tidak dikenal",IF(C1750=D1750,"⚠ debet = kredit","")))</f>
        <v/>
      </c>
    </row>
    <row r="1751" customFormat="false" ht="15" hidden="false" customHeight="false" outlineLevel="0" collapsed="false">
      <c r="A1751" s="5"/>
      <c r="B1751" s="83"/>
      <c r="C1751" s="5"/>
      <c r="D1751" s="5"/>
      <c r="E1751" s="44"/>
      <c r="F1751" s="5"/>
      <c r="G1751" s="5"/>
      <c r="H1751" s="5"/>
      <c r="I1751" s="5"/>
      <c r="J1751" s="102" t="str">
        <f aca="false">IF(B1751="","",MONTH(B1751))</f>
        <v/>
      </c>
      <c r="K1751" s="102" t="str">
        <f aca="false">IF(B1751="","",YEAR(B1751))</f>
        <v/>
      </c>
      <c r="L1751" s="102" t="str">
        <f aca="false">IF(N(E1751)=0,"",IF(COUNTIFS(AK_NAMA,C1751,AK_KAT,"KAS")+COUNTIFS(AK_NAMA,D1751,AK_KAT,"KAS")&lt;&gt;1,"",IF(COUNTIFS(AK_NAMA,C1751,AK_KAT,"KAS")=1,D1751,C1751)))</f>
        <v/>
      </c>
      <c r="M1751" s="103" t="n">
        <f aca="false">IF(L1751="",0,IF(L1751=D1751,E1751,-E1751))</f>
        <v>0</v>
      </c>
      <c r="N1751" s="102" t="str">
        <f aca="false">IF(L1751="","",IFERROR(INDEX(AK_BARIS,MATCH(L1751,AK_NAMA,0)),"?"))</f>
        <v/>
      </c>
      <c r="O1751" s="102" t="str">
        <f aca="false">IF(C1751="","",IFERROR(INDEX(AK_KEL,MATCH(C1751,AK_NAMA,0)),"?"))</f>
        <v/>
      </c>
      <c r="P1751" s="102" t="str">
        <f aca="false">IF(D1751="","",IFERROR(INDEX(AK_KEL,MATCH(D1751,AK_NAMA,0)),"?"))</f>
        <v/>
      </c>
      <c r="Q1751" s="102" t="n">
        <f aca="false">N(Q1750)+IF(AND(N(E1751)&lt;&gt;0,K1751=TAHUN,N(J1751)&lt;=BLN,OR(C1751=BB_AKUN,D1751=BB_AKUN)),1,0)</f>
        <v>877</v>
      </c>
      <c r="R1751" s="104" t="str">
        <f aca="false">IF(OR(C1751&amp;D1751="",N(E1751)=0),"",IF(OR(O1751="?",P1751="?"),"⚠ akun tidak dikenal",IF(C1751=D1751,"⚠ debet = kredit","")))</f>
        <v/>
      </c>
    </row>
    <row r="1752" customFormat="false" ht="15" hidden="false" customHeight="false" outlineLevel="0" collapsed="false">
      <c r="A1752" s="5"/>
      <c r="B1752" s="83"/>
      <c r="C1752" s="5"/>
      <c r="D1752" s="5"/>
      <c r="E1752" s="44"/>
      <c r="F1752" s="5"/>
      <c r="G1752" s="5"/>
      <c r="H1752" s="5"/>
      <c r="I1752" s="5"/>
      <c r="J1752" s="102" t="str">
        <f aca="false">IF(B1752="","",MONTH(B1752))</f>
        <v/>
      </c>
      <c r="K1752" s="102" t="str">
        <f aca="false">IF(B1752="","",YEAR(B1752))</f>
        <v/>
      </c>
      <c r="L1752" s="102" t="str">
        <f aca="false">IF(N(E1752)=0,"",IF(COUNTIFS(AK_NAMA,C1752,AK_KAT,"KAS")+COUNTIFS(AK_NAMA,D1752,AK_KAT,"KAS")&lt;&gt;1,"",IF(COUNTIFS(AK_NAMA,C1752,AK_KAT,"KAS")=1,D1752,C1752)))</f>
        <v/>
      </c>
      <c r="M1752" s="103" t="n">
        <f aca="false">IF(L1752="",0,IF(L1752=D1752,E1752,-E1752))</f>
        <v>0</v>
      </c>
      <c r="N1752" s="102" t="str">
        <f aca="false">IF(L1752="","",IFERROR(INDEX(AK_BARIS,MATCH(L1752,AK_NAMA,0)),"?"))</f>
        <v/>
      </c>
      <c r="O1752" s="102" t="str">
        <f aca="false">IF(C1752="","",IFERROR(INDEX(AK_KEL,MATCH(C1752,AK_NAMA,0)),"?"))</f>
        <v/>
      </c>
      <c r="P1752" s="102" t="str">
        <f aca="false">IF(D1752="","",IFERROR(INDEX(AK_KEL,MATCH(D1752,AK_NAMA,0)),"?"))</f>
        <v/>
      </c>
      <c r="Q1752" s="102" t="n">
        <f aca="false">N(Q1751)+IF(AND(N(E1752)&lt;&gt;0,K1752=TAHUN,N(J1752)&lt;=BLN,OR(C1752=BB_AKUN,D1752=BB_AKUN)),1,0)</f>
        <v>877</v>
      </c>
      <c r="R1752" s="104" t="str">
        <f aca="false">IF(OR(C1752&amp;D1752="",N(E1752)=0),"",IF(OR(O1752="?",P1752="?"),"⚠ akun tidak dikenal",IF(C1752=D1752,"⚠ debet = kredit","")))</f>
        <v/>
      </c>
    </row>
    <row r="1753" customFormat="false" ht="15" hidden="false" customHeight="false" outlineLevel="0" collapsed="false">
      <c r="A1753" s="5"/>
      <c r="B1753" s="83"/>
      <c r="C1753" s="5"/>
      <c r="D1753" s="5"/>
      <c r="E1753" s="44"/>
      <c r="F1753" s="5"/>
      <c r="G1753" s="5"/>
      <c r="H1753" s="5"/>
      <c r="I1753" s="5"/>
      <c r="J1753" s="102" t="str">
        <f aca="false">IF(B1753="","",MONTH(B1753))</f>
        <v/>
      </c>
      <c r="K1753" s="102" t="str">
        <f aca="false">IF(B1753="","",YEAR(B1753))</f>
        <v/>
      </c>
      <c r="L1753" s="102" t="str">
        <f aca="false">IF(N(E1753)=0,"",IF(COUNTIFS(AK_NAMA,C1753,AK_KAT,"KAS")+COUNTIFS(AK_NAMA,D1753,AK_KAT,"KAS")&lt;&gt;1,"",IF(COUNTIFS(AK_NAMA,C1753,AK_KAT,"KAS")=1,D1753,C1753)))</f>
        <v/>
      </c>
      <c r="M1753" s="103" t="n">
        <f aca="false">IF(L1753="",0,IF(L1753=D1753,E1753,-E1753))</f>
        <v>0</v>
      </c>
      <c r="N1753" s="102" t="str">
        <f aca="false">IF(L1753="","",IFERROR(INDEX(AK_BARIS,MATCH(L1753,AK_NAMA,0)),"?"))</f>
        <v/>
      </c>
      <c r="O1753" s="102" t="str">
        <f aca="false">IF(C1753="","",IFERROR(INDEX(AK_KEL,MATCH(C1753,AK_NAMA,0)),"?"))</f>
        <v/>
      </c>
      <c r="P1753" s="102" t="str">
        <f aca="false">IF(D1753="","",IFERROR(INDEX(AK_KEL,MATCH(D1753,AK_NAMA,0)),"?"))</f>
        <v/>
      </c>
      <c r="Q1753" s="102" t="n">
        <f aca="false">N(Q1752)+IF(AND(N(E1753)&lt;&gt;0,K1753=TAHUN,N(J1753)&lt;=BLN,OR(C1753=BB_AKUN,D1753=BB_AKUN)),1,0)</f>
        <v>877</v>
      </c>
      <c r="R1753" s="104" t="str">
        <f aca="false">IF(OR(C1753&amp;D1753="",N(E1753)=0),"",IF(OR(O1753="?",P1753="?"),"⚠ akun tidak dikenal",IF(C1753=D1753,"⚠ debet = kredit","")))</f>
        <v/>
      </c>
    </row>
    <row r="1754" customFormat="false" ht="15" hidden="false" customHeight="false" outlineLevel="0" collapsed="false">
      <c r="A1754" s="5"/>
      <c r="B1754" s="83"/>
      <c r="C1754" s="5"/>
      <c r="D1754" s="5"/>
      <c r="E1754" s="44"/>
      <c r="F1754" s="5"/>
      <c r="G1754" s="5"/>
      <c r="H1754" s="5"/>
      <c r="I1754" s="5"/>
      <c r="J1754" s="102" t="str">
        <f aca="false">IF(B1754="","",MONTH(B1754))</f>
        <v/>
      </c>
      <c r="K1754" s="102" t="str">
        <f aca="false">IF(B1754="","",YEAR(B1754))</f>
        <v/>
      </c>
      <c r="L1754" s="102" t="str">
        <f aca="false">IF(N(E1754)=0,"",IF(COUNTIFS(AK_NAMA,C1754,AK_KAT,"KAS")+COUNTIFS(AK_NAMA,D1754,AK_KAT,"KAS")&lt;&gt;1,"",IF(COUNTIFS(AK_NAMA,C1754,AK_KAT,"KAS")=1,D1754,C1754)))</f>
        <v/>
      </c>
      <c r="M1754" s="103" t="n">
        <f aca="false">IF(L1754="",0,IF(L1754=D1754,E1754,-E1754))</f>
        <v>0</v>
      </c>
      <c r="N1754" s="102" t="str">
        <f aca="false">IF(L1754="","",IFERROR(INDEX(AK_BARIS,MATCH(L1754,AK_NAMA,0)),"?"))</f>
        <v/>
      </c>
      <c r="O1754" s="102" t="str">
        <f aca="false">IF(C1754="","",IFERROR(INDEX(AK_KEL,MATCH(C1754,AK_NAMA,0)),"?"))</f>
        <v/>
      </c>
      <c r="P1754" s="102" t="str">
        <f aca="false">IF(D1754="","",IFERROR(INDEX(AK_KEL,MATCH(D1754,AK_NAMA,0)),"?"))</f>
        <v/>
      </c>
      <c r="Q1754" s="102" t="n">
        <f aca="false">N(Q1753)+IF(AND(N(E1754)&lt;&gt;0,K1754=TAHUN,N(J1754)&lt;=BLN,OR(C1754=BB_AKUN,D1754=BB_AKUN)),1,0)</f>
        <v>877</v>
      </c>
      <c r="R1754" s="104" t="str">
        <f aca="false">IF(OR(C1754&amp;D1754="",N(E1754)=0),"",IF(OR(O1754="?",P1754="?"),"⚠ akun tidak dikenal",IF(C1754=D1754,"⚠ debet = kredit","")))</f>
        <v/>
      </c>
    </row>
    <row r="1755" customFormat="false" ht="15" hidden="false" customHeight="false" outlineLevel="0" collapsed="false">
      <c r="A1755" s="5"/>
      <c r="B1755" s="83"/>
      <c r="C1755" s="5"/>
      <c r="D1755" s="5"/>
      <c r="E1755" s="44"/>
      <c r="F1755" s="5"/>
      <c r="G1755" s="5"/>
      <c r="H1755" s="5"/>
      <c r="I1755" s="5"/>
      <c r="J1755" s="102" t="str">
        <f aca="false">IF(B1755="","",MONTH(B1755))</f>
        <v/>
      </c>
      <c r="K1755" s="102" t="str">
        <f aca="false">IF(B1755="","",YEAR(B1755))</f>
        <v/>
      </c>
      <c r="L1755" s="102" t="str">
        <f aca="false">IF(N(E1755)=0,"",IF(COUNTIFS(AK_NAMA,C1755,AK_KAT,"KAS")+COUNTIFS(AK_NAMA,D1755,AK_KAT,"KAS")&lt;&gt;1,"",IF(COUNTIFS(AK_NAMA,C1755,AK_KAT,"KAS")=1,D1755,C1755)))</f>
        <v/>
      </c>
      <c r="M1755" s="103" t="n">
        <f aca="false">IF(L1755="",0,IF(L1755=D1755,E1755,-E1755))</f>
        <v>0</v>
      </c>
      <c r="N1755" s="102" t="str">
        <f aca="false">IF(L1755="","",IFERROR(INDEX(AK_BARIS,MATCH(L1755,AK_NAMA,0)),"?"))</f>
        <v/>
      </c>
      <c r="O1755" s="102" t="str">
        <f aca="false">IF(C1755="","",IFERROR(INDEX(AK_KEL,MATCH(C1755,AK_NAMA,0)),"?"))</f>
        <v/>
      </c>
      <c r="P1755" s="102" t="str">
        <f aca="false">IF(D1755="","",IFERROR(INDEX(AK_KEL,MATCH(D1755,AK_NAMA,0)),"?"))</f>
        <v/>
      </c>
      <c r="Q1755" s="102" t="n">
        <f aca="false">N(Q1754)+IF(AND(N(E1755)&lt;&gt;0,K1755=TAHUN,N(J1755)&lt;=BLN,OR(C1755=BB_AKUN,D1755=BB_AKUN)),1,0)</f>
        <v>877</v>
      </c>
      <c r="R1755" s="104" t="str">
        <f aca="false">IF(OR(C1755&amp;D1755="",N(E1755)=0),"",IF(OR(O1755="?",P1755="?"),"⚠ akun tidak dikenal",IF(C1755=D1755,"⚠ debet = kredit","")))</f>
        <v/>
      </c>
    </row>
    <row r="1756" customFormat="false" ht="15" hidden="false" customHeight="false" outlineLevel="0" collapsed="false">
      <c r="A1756" s="5"/>
      <c r="B1756" s="83"/>
      <c r="C1756" s="5"/>
      <c r="D1756" s="5"/>
      <c r="E1756" s="44"/>
      <c r="F1756" s="5"/>
      <c r="G1756" s="5"/>
      <c r="H1756" s="5"/>
      <c r="I1756" s="5"/>
      <c r="J1756" s="102" t="str">
        <f aca="false">IF(B1756="","",MONTH(B1756))</f>
        <v/>
      </c>
      <c r="K1756" s="102" t="str">
        <f aca="false">IF(B1756="","",YEAR(B1756))</f>
        <v/>
      </c>
      <c r="L1756" s="102" t="str">
        <f aca="false">IF(N(E1756)=0,"",IF(COUNTIFS(AK_NAMA,C1756,AK_KAT,"KAS")+COUNTIFS(AK_NAMA,D1756,AK_KAT,"KAS")&lt;&gt;1,"",IF(COUNTIFS(AK_NAMA,C1756,AK_KAT,"KAS")=1,D1756,C1756)))</f>
        <v/>
      </c>
      <c r="M1756" s="103" t="n">
        <f aca="false">IF(L1756="",0,IF(L1756=D1756,E1756,-E1756))</f>
        <v>0</v>
      </c>
      <c r="N1756" s="102" t="str">
        <f aca="false">IF(L1756="","",IFERROR(INDEX(AK_BARIS,MATCH(L1756,AK_NAMA,0)),"?"))</f>
        <v/>
      </c>
      <c r="O1756" s="102" t="str">
        <f aca="false">IF(C1756="","",IFERROR(INDEX(AK_KEL,MATCH(C1756,AK_NAMA,0)),"?"))</f>
        <v/>
      </c>
      <c r="P1756" s="102" t="str">
        <f aca="false">IF(D1756="","",IFERROR(INDEX(AK_KEL,MATCH(D1756,AK_NAMA,0)),"?"))</f>
        <v/>
      </c>
      <c r="Q1756" s="102" t="n">
        <f aca="false">N(Q1755)+IF(AND(N(E1756)&lt;&gt;0,K1756=TAHUN,N(J1756)&lt;=BLN,OR(C1756=BB_AKUN,D1756=BB_AKUN)),1,0)</f>
        <v>877</v>
      </c>
      <c r="R1756" s="104" t="str">
        <f aca="false">IF(OR(C1756&amp;D1756="",N(E1756)=0),"",IF(OR(O1756="?",P1756="?"),"⚠ akun tidak dikenal",IF(C1756=D1756,"⚠ debet = kredit","")))</f>
        <v/>
      </c>
    </row>
    <row r="1757" customFormat="false" ht="15" hidden="false" customHeight="false" outlineLevel="0" collapsed="false">
      <c r="A1757" s="5"/>
      <c r="B1757" s="83"/>
      <c r="C1757" s="5"/>
      <c r="D1757" s="5"/>
      <c r="E1757" s="44"/>
      <c r="F1757" s="5"/>
      <c r="G1757" s="5"/>
      <c r="H1757" s="5"/>
      <c r="I1757" s="5"/>
      <c r="J1757" s="102" t="str">
        <f aca="false">IF(B1757="","",MONTH(B1757))</f>
        <v/>
      </c>
      <c r="K1757" s="102" t="str">
        <f aca="false">IF(B1757="","",YEAR(B1757))</f>
        <v/>
      </c>
      <c r="L1757" s="102" t="str">
        <f aca="false">IF(N(E1757)=0,"",IF(COUNTIFS(AK_NAMA,C1757,AK_KAT,"KAS")+COUNTIFS(AK_NAMA,D1757,AK_KAT,"KAS")&lt;&gt;1,"",IF(COUNTIFS(AK_NAMA,C1757,AK_KAT,"KAS")=1,D1757,C1757)))</f>
        <v/>
      </c>
      <c r="M1757" s="103" t="n">
        <f aca="false">IF(L1757="",0,IF(L1757=D1757,E1757,-E1757))</f>
        <v>0</v>
      </c>
      <c r="N1757" s="102" t="str">
        <f aca="false">IF(L1757="","",IFERROR(INDEX(AK_BARIS,MATCH(L1757,AK_NAMA,0)),"?"))</f>
        <v/>
      </c>
      <c r="O1757" s="102" t="str">
        <f aca="false">IF(C1757="","",IFERROR(INDEX(AK_KEL,MATCH(C1757,AK_NAMA,0)),"?"))</f>
        <v/>
      </c>
      <c r="P1757" s="102" t="str">
        <f aca="false">IF(D1757="","",IFERROR(INDEX(AK_KEL,MATCH(D1757,AK_NAMA,0)),"?"))</f>
        <v/>
      </c>
      <c r="Q1757" s="102" t="n">
        <f aca="false">N(Q1756)+IF(AND(N(E1757)&lt;&gt;0,K1757=TAHUN,N(J1757)&lt;=BLN,OR(C1757=BB_AKUN,D1757=BB_AKUN)),1,0)</f>
        <v>877</v>
      </c>
      <c r="R1757" s="104" t="str">
        <f aca="false">IF(OR(C1757&amp;D1757="",N(E1757)=0),"",IF(OR(O1757="?",P1757="?"),"⚠ akun tidak dikenal",IF(C1757=D1757,"⚠ debet = kredit","")))</f>
        <v/>
      </c>
    </row>
    <row r="1758" customFormat="false" ht="15" hidden="false" customHeight="false" outlineLevel="0" collapsed="false">
      <c r="A1758" s="5"/>
      <c r="B1758" s="83"/>
      <c r="C1758" s="5"/>
      <c r="D1758" s="5"/>
      <c r="E1758" s="44"/>
      <c r="F1758" s="5"/>
      <c r="G1758" s="5"/>
      <c r="H1758" s="5"/>
      <c r="I1758" s="5"/>
      <c r="J1758" s="102" t="str">
        <f aca="false">IF(B1758="","",MONTH(B1758))</f>
        <v/>
      </c>
      <c r="K1758" s="102" t="str">
        <f aca="false">IF(B1758="","",YEAR(B1758))</f>
        <v/>
      </c>
      <c r="L1758" s="102" t="str">
        <f aca="false">IF(N(E1758)=0,"",IF(COUNTIFS(AK_NAMA,C1758,AK_KAT,"KAS")+COUNTIFS(AK_NAMA,D1758,AK_KAT,"KAS")&lt;&gt;1,"",IF(COUNTIFS(AK_NAMA,C1758,AK_KAT,"KAS")=1,D1758,C1758)))</f>
        <v/>
      </c>
      <c r="M1758" s="103" t="n">
        <f aca="false">IF(L1758="",0,IF(L1758=D1758,E1758,-E1758))</f>
        <v>0</v>
      </c>
      <c r="N1758" s="102" t="str">
        <f aca="false">IF(L1758="","",IFERROR(INDEX(AK_BARIS,MATCH(L1758,AK_NAMA,0)),"?"))</f>
        <v/>
      </c>
      <c r="O1758" s="102" t="str">
        <f aca="false">IF(C1758="","",IFERROR(INDEX(AK_KEL,MATCH(C1758,AK_NAMA,0)),"?"))</f>
        <v/>
      </c>
      <c r="P1758" s="102" t="str">
        <f aca="false">IF(D1758="","",IFERROR(INDEX(AK_KEL,MATCH(D1758,AK_NAMA,0)),"?"))</f>
        <v/>
      </c>
      <c r="Q1758" s="102" t="n">
        <f aca="false">N(Q1757)+IF(AND(N(E1758)&lt;&gt;0,K1758=TAHUN,N(J1758)&lt;=BLN,OR(C1758=BB_AKUN,D1758=BB_AKUN)),1,0)</f>
        <v>877</v>
      </c>
      <c r="R1758" s="104" t="str">
        <f aca="false">IF(OR(C1758&amp;D1758="",N(E1758)=0),"",IF(OR(O1758="?",P1758="?"),"⚠ akun tidak dikenal",IF(C1758=D1758,"⚠ debet = kredit","")))</f>
        <v/>
      </c>
    </row>
    <row r="1759" customFormat="false" ht="15" hidden="false" customHeight="false" outlineLevel="0" collapsed="false">
      <c r="A1759" s="5"/>
      <c r="B1759" s="83"/>
      <c r="C1759" s="5"/>
      <c r="D1759" s="5"/>
      <c r="E1759" s="44"/>
      <c r="F1759" s="5"/>
      <c r="G1759" s="5"/>
      <c r="H1759" s="5"/>
      <c r="I1759" s="5"/>
      <c r="J1759" s="102" t="str">
        <f aca="false">IF(B1759="","",MONTH(B1759))</f>
        <v/>
      </c>
      <c r="K1759" s="102" t="str">
        <f aca="false">IF(B1759="","",YEAR(B1759))</f>
        <v/>
      </c>
      <c r="L1759" s="102" t="str">
        <f aca="false">IF(N(E1759)=0,"",IF(COUNTIFS(AK_NAMA,C1759,AK_KAT,"KAS")+COUNTIFS(AK_NAMA,D1759,AK_KAT,"KAS")&lt;&gt;1,"",IF(COUNTIFS(AK_NAMA,C1759,AK_KAT,"KAS")=1,D1759,C1759)))</f>
        <v/>
      </c>
      <c r="M1759" s="103" t="n">
        <f aca="false">IF(L1759="",0,IF(L1759=D1759,E1759,-E1759))</f>
        <v>0</v>
      </c>
      <c r="N1759" s="102" t="str">
        <f aca="false">IF(L1759="","",IFERROR(INDEX(AK_BARIS,MATCH(L1759,AK_NAMA,0)),"?"))</f>
        <v/>
      </c>
      <c r="O1759" s="102" t="str">
        <f aca="false">IF(C1759="","",IFERROR(INDEX(AK_KEL,MATCH(C1759,AK_NAMA,0)),"?"))</f>
        <v/>
      </c>
      <c r="P1759" s="102" t="str">
        <f aca="false">IF(D1759="","",IFERROR(INDEX(AK_KEL,MATCH(D1759,AK_NAMA,0)),"?"))</f>
        <v/>
      </c>
      <c r="Q1759" s="102" t="n">
        <f aca="false">N(Q1758)+IF(AND(N(E1759)&lt;&gt;0,K1759=TAHUN,N(J1759)&lt;=BLN,OR(C1759=BB_AKUN,D1759=BB_AKUN)),1,0)</f>
        <v>877</v>
      </c>
      <c r="R1759" s="104" t="str">
        <f aca="false">IF(OR(C1759&amp;D1759="",N(E1759)=0),"",IF(OR(O1759="?",P1759="?"),"⚠ akun tidak dikenal",IF(C1759=D1759,"⚠ debet = kredit","")))</f>
        <v/>
      </c>
    </row>
    <row r="1760" customFormat="false" ht="15" hidden="false" customHeight="false" outlineLevel="0" collapsed="false">
      <c r="A1760" s="5"/>
      <c r="B1760" s="83"/>
      <c r="C1760" s="5"/>
      <c r="D1760" s="5"/>
      <c r="E1760" s="44"/>
      <c r="F1760" s="5"/>
      <c r="G1760" s="5"/>
      <c r="H1760" s="5"/>
      <c r="I1760" s="5"/>
      <c r="J1760" s="102" t="str">
        <f aca="false">IF(B1760="","",MONTH(B1760))</f>
        <v/>
      </c>
      <c r="K1760" s="102" t="str">
        <f aca="false">IF(B1760="","",YEAR(B1760))</f>
        <v/>
      </c>
      <c r="L1760" s="102" t="str">
        <f aca="false">IF(N(E1760)=0,"",IF(COUNTIFS(AK_NAMA,C1760,AK_KAT,"KAS")+COUNTIFS(AK_NAMA,D1760,AK_KAT,"KAS")&lt;&gt;1,"",IF(COUNTIFS(AK_NAMA,C1760,AK_KAT,"KAS")=1,D1760,C1760)))</f>
        <v/>
      </c>
      <c r="M1760" s="103" t="n">
        <f aca="false">IF(L1760="",0,IF(L1760=D1760,E1760,-E1760))</f>
        <v>0</v>
      </c>
      <c r="N1760" s="102" t="str">
        <f aca="false">IF(L1760="","",IFERROR(INDEX(AK_BARIS,MATCH(L1760,AK_NAMA,0)),"?"))</f>
        <v/>
      </c>
      <c r="O1760" s="102" t="str">
        <f aca="false">IF(C1760="","",IFERROR(INDEX(AK_KEL,MATCH(C1760,AK_NAMA,0)),"?"))</f>
        <v/>
      </c>
      <c r="P1760" s="102" t="str">
        <f aca="false">IF(D1760="","",IFERROR(INDEX(AK_KEL,MATCH(D1760,AK_NAMA,0)),"?"))</f>
        <v/>
      </c>
      <c r="Q1760" s="102" t="n">
        <f aca="false">N(Q1759)+IF(AND(N(E1760)&lt;&gt;0,K1760=TAHUN,N(J1760)&lt;=BLN,OR(C1760=BB_AKUN,D1760=BB_AKUN)),1,0)</f>
        <v>877</v>
      </c>
      <c r="R1760" s="104" t="str">
        <f aca="false">IF(OR(C1760&amp;D1760="",N(E1760)=0),"",IF(OR(O1760="?",P1760="?"),"⚠ akun tidak dikenal",IF(C1760=D1760,"⚠ debet = kredit","")))</f>
        <v/>
      </c>
    </row>
    <row r="1761" customFormat="false" ht="15" hidden="false" customHeight="false" outlineLevel="0" collapsed="false">
      <c r="A1761" s="5"/>
      <c r="B1761" s="83"/>
      <c r="C1761" s="5"/>
      <c r="D1761" s="5"/>
      <c r="E1761" s="44"/>
      <c r="F1761" s="5"/>
      <c r="G1761" s="5"/>
      <c r="H1761" s="5"/>
      <c r="I1761" s="5"/>
      <c r="J1761" s="102" t="str">
        <f aca="false">IF(B1761="","",MONTH(B1761))</f>
        <v/>
      </c>
      <c r="K1761" s="102" t="str">
        <f aca="false">IF(B1761="","",YEAR(B1761))</f>
        <v/>
      </c>
      <c r="L1761" s="102" t="str">
        <f aca="false">IF(N(E1761)=0,"",IF(COUNTIFS(AK_NAMA,C1761,AK_KAT,"KAS")+COUNTIFS(AK_NAMA,D1761,AK_KAT,"KAS")&lt;&gt;1,"",IF(COUNTIFS(AK_NAMA,C1761,AK_KAT,"KAS")=1,D1761,C1761)))</f>
        <v/>
      </c>
      <c r="M1761" s="103" t="n">
        <f aca="false">IF(L1761="",0,IF(L1761=D1761,E1761,-E1761))</f>
        <v>0</v>
      </c>
      <c r="N1761" s="102" t="str">
        <f aca="false">IF(L1761="","",IFERROR(INDEX(AK_BARIS,MATCH(L1761,AK_NAMA,0)),"?"))</f>
        <v/>
      </c>
      <c r="O1761" s="102" t="str">
        <f aca="false">IF(C1761="","",IFERROR(INDEX(AK_KEL,MATCH(C1761,AK_NAMA,0)),"?"))</f>
        <v/>
      </c>
      <c r="P1761" s="102" t="str">
        <f aca="false">IF(D1761="","",IFERROR(INDEX(AK_KEL,MATCH(D1761,AK_NAMA,0)),"?"))</f>
        <v/>
      </c>
      <c r="Q1761" s="102" t="n">
        <f aca="false">N(Q1760)+IF(AND(N(E1761)&lt;&gt;0,K1761=TAHUN,N(J1761)&lt;=BLN,OR(C1761=BB_AKUN,D1761=BB_AKUN)),1,0)</f>
        <v>877</v>
      </c>
      <c r="R1761" s="104" t="str">
        <f aca="false">IF(OR(C1761&amp;D1761="",N(E1761)=0),"",IF(OR(O1761="?",P1761="?"),"⚠ akun tidak dikenal",IF(C1761=D1761,"⚠ debet = kredit","")))</f>
        <v/>
      </c>
    </row>
    <row r="1762" customFormat="false" ht="15" hidden="false" customHeight="false" outlineLevel="0" collapsed="false">
      <c r="A1762" s="5"/>
      <c r="B1762" s="83"/>
      <c r="C1762" s="5"/>
      <c r="D1762" s="5"/>
      <c r="E1762" s="44"/>
      <c r="F1762" s="5"/>
      <c r="G1762" s="5"/>
      <c r="H1762" s="5"/>
      <c r="I1762" s="5"/>
      <c r="J1762" s="102" t="str">
        <f aca="false">IF(B1762="","",MONTH(B1762))</f>
        <v/>
      </c>
      <c r="K1762" s="102" t="str">
        <f aca="false">IF(B1762="","",YEAR(B1762))</f>
        <v/>
      </c>
      <c r="L1762" s="102" t="str">
        <f aca="false">IF(N(E1762)=0,"",IF(COUNTIFS(AK_NAMA,C1762,AK_KAT,"KAS")+COUNTIFS(AK_NAMA,D1762,AK_KAT,"KAS")&lt;&gt;1,"",IF(COUNTIFS(AK_NAMA,C1762,AK_KAT,"KAS")=1,D1762,C1762)))</f>
        <v/>
      </c>
      <c r="M1762" s="103" t="n">
        <f aca="false">IF(L1762="",0,IF(L1762=D1762,E1762,-E1762))</f>
        <v>0</v>
      </c>
      <c r="N1762" s="102" t="str">
        <f aca="false">IF(L1762="","",IFERROR(INDEX(AK_BARIS,MATCH(L1762,AK_NAMA,0)),"?"))</f>
        <v/>
      </c>
      <c r="O1762" s="102" t="str">
        <f aca="false">IF(C1762="","",IFERROR(INDEX(AK_KEL,MATCH(C1762,AK_NAMA,0)),"?"))</f>
        <v/>
      </c>
      <c r="P1762" s="102" t="str">
        <f aca="false">IF(D1762="","",IFERROR(INDEX(AK_KEL,MATCH(D1762,AK_NAMA,0)),"?"))</f>
        <v/>
      </c>
      <c r="Q1762" s="102" t="n">
        <f aca="false">N(Q1761)+IF(AND(N(E1762)&lt;&gt;0,K1762=TAHUN,N(J1762)&lt;=BLN,OR(C1762=BB_AKUN,D1762=BB_AKUN)),1,0)</f>
        <v>877</v>
      </c>
      <c r="R1762" s="104" t="str">
        <f aca="false">IF(OR(C1762&amp;D1762="",N(E1762)=0),"",IF(OR(O1762="?",P1762="?"),"⚠ akun tidak dikenal",IF(C1762=D1762,"⚠ debet = kredit","")))</f>
        <v/>
      </c>
    </row>
    <row r="1763" customFormat="false" ht="15" hidden="false" customHeight="false" outlineLevel="0" collapsed="false">
      <c r="A1763" s="5"/>
      <c r="B1763" s="83"/>
      <c r="C1763" s="5"/>
      <c r="D1763" s="5"/>
      <c r="E1763" s="44"/>
      <c r="F1763" s="5"/>
      <c r="G1763" s="5"/>
      <c r="H1763" s="5"/>
      <c r="I1763" s="5"/>
      <c r="J1763" s="102" t="str">
        <f aca="false">IF(B1763="","",MONTH(B1763))</f>
        <v/>
      </c>
      <c r="K1763" s="102" t="str">
        <f aca="false">IF(B1763="","",YEAR(B1763))</f>
        <v/>
      </c>
      <c r="L1763" s="102" t="str">
        <f aca="false">IF(N(E1763)=0,"",IF(COUNTIFS(AK_NAMA,C1763,AK_KAT,"KAS")+COUNTIFS(AK_NAMA,D1763,AK_KAT,"KAS")&lt;&gt;1,"",IF(COUNTIFS(AK_NAMA,C1763,AK_KAT,"KAS")=1,D1763,C1763)))</f>
        <v/>
      </c>
      <c r="M1763" s="103" t="n">
        <f aca="false">IF(L1763="",0,IF(L1763=D1763,E1763,-E1763))</f>
        <v>0</v>
      </c>
      <c r="N1763" s="102" t="str">
        <f aca="false">IF(L1763="","",IFERROR(INDEX(AK_BARIS,MATCH(L1763,AK_NAMA,0)),"?"))</f>
        <v/>
      </c>
      <c r="O1763" s="102" t="str">
        <f aca="false">IF(C1763="","",IFERROR(INDEX(AK_KEL,MATCH(C1763,AK_NAMA,0)),"?"))</f>
        <v/>
      </c>
      <c r="P1763" s="102" t="str">
        <f aca="false">IF(D1763="","",IFERROR(INDEX(AK_KEL,MATCH(D1763,AK_NAMA,0)),"?"))</f>
        <v/>
      </c>
      <c r="Q1763" s="102" t="n">
        <f aca="false">N(Q1762)+IF(AND(N(E1763)&lt;&gt;0,K1763=TAHUN,N(J1763)&lt;=BLN,OR(C1763=BB_AKUN,D1763=BB_AKUN)),1,0)</f>
        <v>877</v>
      </c>
      <c r="R1763" s="104" t="str">
        <f aca="false">IF(OR(C1763&amp;D1763="",N(E1763)=0),"",IF(OR(O1763="?",P1763="?"),"⚠ akun tidak dikenal",IF(C1763=D1763,"⚠ debet = kredit","")))</f>
        <v/>
      </c>
    </row>
    <row r="1764" customFormat="false" ht="15" hidden="false" customHeight="false" outlineLevel="0" collapsed="false">
      <c r="A1764" s="5"/>
      <c r="B1764" s="83"/>
      <c r="C1764" s="5"/>
      <c r="D1764" s="5"/>
      <c r="E1764" s="44"/>
      <c r="F1764" s="5"/>
      <c r="G1764" s="5"/>
      <c r="H1764" s="5"/>
      <c r="I1764" s="5"/>
      <c r="J1764" s="102" t="str">
        <f aca="false">IF(B1764="","",MONTH(B1764))</f>
        <v/>
      </c>
      <c r="K1764" s="102" t="str">
        <f aca="false">IF(B1764="","",YEAR(B1764))</f>
        <v/>
      </c>
      <c r="L1764" s="102" t="str">
        <f aca="false">IF(N(E1764)=0,"",IF(COUNTIFS(AK_NAMA,C1764,AK_KAT,"KAS")+COUNTIFS(AK_NAMA,D1764,AK_KAT,"KAS")&lt;&gt;1,"",IF(COUNTIFS(AK_NAMA,C1764,AK_KAT,"KAS")=1,D1764,C1764)))</f>
        <v/>
      </c>
      <c r="M1764" s="103" t="n">
        <f aca="false">IF(L1764="",0,IF(L1764=D1764,E1764,-E1764))</f>
        <v>0</v>
      </c>
      <c r="N1764" s="102" t="str">
        <f aca="false">IF(L1764="","",IFERROR(INDEX(AK_BARIS,MATCH(L1764,AK_NAMA,0)),"?"))</f>
        <v/>
      </c>
      <c r="O1764" s="102" t="str">
        <f aca="false">IF(C1764="","",IFERROR(INDEX(AK_KEL,MATCH(C1764,AK_NAMA,0)),"?"))</f>
        <v/>
      </c>
      <c r="P1764" s="102" t="str">
        <f aca="false">IF(D1764="","",IFERROR(INDEX(AK_KEL,MATCH(D1764,AK_NAMA,0)),"?"))</f>
        <v/>
      </c>
      <c r="Q1764" s="102" t="n">
        <f aca="false">N(Q1763)+IF(AND(N(E1764)&lt;&gt;0,K1764=TAHUN,N(J1764)&lt;=BLN,OR(C1764=BB_AKUN,D1764=BB_AKUN)),1,0)</f>
        <v>877</v>
      </c>
      <c r="R1764" s="104" t="str">
        <f aca="false">IF(OR(C1764&amp;D1764="",N(E1764)=0),"",IF(OR(O1764="?",P1764="?"),"⚠ akun tidak dikenal",IF(C1764=D1764,"⚠ debet = kredit","")))</f>
        <v/>
      </c>
    </row>
    <row r="1765" customFormat="false" ht="15" hidden="false" customHeight="false" outlineLevel="0" collapsed="false">
      <c r="A1765" s="5"/>
      <c r="B1765" s="83"/>
      <c r="C1765" s="5"/>
      <c r="D1765" s="5"/>
      <c r="E1765" s="44"/>
      <c r="F1765" s="5"/>
      <c r="G1765" s="5"/>
      <c r="H1765" s="5"/>
      <c r="I1765" s="5"/>
      <c r="J1765" s="102" t="str">
        <f aca="false">IF(B1765="","",MONTH(B1765))</f>
        <v/>
      </c>
      <c r="K1765" s="102" t="str">
        <f aca="false">IF(B1765="","",YEAR(B1765))</f>
        <v/>
      </c>
      <c r="L1765" s="102" t="str">
        <f aca="false">IF(N(E1765)=0,"",IF(COUNTIFS(AK_NAMA,C1765,AK_KAT,"KAS")+COUNTIFS(AK_NAMA,D1765,AK_KAT,"KAS")&lt;&gt;1,"",IF(COUNTIFS(AK_NAMA,C1765,AK_KAT,"KAS")=1,D1765,C1765)))</f>
        <v/>
      </c>
      <c r="M1765" s="103" t="n">
        <f aca="false">IF(L1765="",0,IF(L1765=D1765,E1765,-E1765))</f>
        <v>0</v>
      </c>
      <c r="N1765" s="102" t="str">
        <f aca="false">IF(L1765="","",IFERROR(INDEX(AK_BARIS,MATCH(L1765,AK_NAMA,0)),"?"))</f>
        <v/>
      </c>
      <c r="O1765" s="102" t="str">
        <f aca="false">IF(C1765="","",IFERROR(INDEX(AK_KEL,MATCH(C1765,AK_NAMA,0)),"?"))</f>
        <v/>
      </c>
      <c r="P1765" s="102" t="str">
        <f aca="false">IF(D1765="","",IFERROR(INDEX(AK_KEL,MATCH(D1765,AK_NAMA,0)),"?"))</f>
        <v/>
      </c>
      <c r="Q1765" s="102" t="n">
        <f aca="false">N(Q1764)+IF(AND(N(E1765)&lt;&gt;0,K1765=TAHUN,N(J1765)&lt;=BLN,OR(C1765=BB_AKUN,D1765=BB_AKUN)),1,0)</f>
        <v>877</v>
      </c>
      <c r="R1765" s="104" t="str">
        <f aca="false">IF(OR(C1765&amp;D1765="",N(E1765)=0),"",IF(OR(O1765="?",P1765="?"),"⚠ akun tidak dikenal",IF(C1765=D1765,"⚠ debet = kredit","")))</f>
        <v/>
      </c>
    </row>
    <row r="1766" customFormat="false" ht="15" hidden="false" customHeight="false" outlineLevel="0" collapsed="false">
      <c r="A1766" s="5"/>
      <c r="B1766" s="83"/>
      <c r="C1766" s="5"/>
      <c r="D1766" s="5"/>
      <c r="E1766" s="44"/>
      <c r="F1766" s="5"/>
      <c r="G1766" s="5"/>
      <c r="H1766" s="5"/>
      <c r="I1766" s="5"/>
      <c r="J1766" s="102" t="str">
        <f aca="false">IF(B1766="","",MONTH(B1766))</f>
        <v/>
      </c>
      <c r="K1766" s="102" t="str">
        <f aca="false">IF(B1766="","",YEAR(B1766))</f>
        <v/>
      </c>
      <c r="L1766" s="102" t="str">
        <f aca="false">IF(N(E1766)=0,"",IF(COUNTIFS(AK_NAMA,C1766,AK_KAT,"KAS")+COUNTIFS(AK_NAMA,D1766,AK_KAT,"KAS")&lt;&gt;1,"",IF(COUNTIFS(AK_NAMA,C1766,AK_KAT,"KAS")=1,D1766,C1766)))</f>
        <v/>
      </c>
      <c r="M1766" s="103" t="n">
        <f aca="false">IF(L1766="",0,IF(L1766=D1766,E1766,-E1766))</f>
        <v>0</v>
      </c>
      <c r="N1766" s="102" t="str">
        <f aca="false">IF(L1766="","",IFERROR(INDEX(AK_BARIS,MATCH(L1766,AK_NAMA,0)),"?"))</f>
        <v/>
      </c>
      <c r="O1766" s="102" t="str">
        <f aca="false">IF(C1766="","",IFERROR(INDEX(AK_KEL,MATCH(C1766,AK_NAMA,0)),"?"))</f>
        <v/>
      </c>
      <c r="P1766" s="102" t="str">
        <f aca="false">IF(D1766="","",IFERROR(INDEX(AK_KEL,MATCH(D1766,AK_NAMA,0)),"?"))</f>
        <v/>
      </c>
      <c r="Q1766" s="102" t="n">
        <f aca="false">N(Q1765)+IF(AND(N(E1766)&lt;&gt;0,K1766=TAHUN,N(J1766)&lt;=BLN,OR(C1766=BB_AKUN,D1766=BB_AKUN)),1,0)</f>
        <v>877</v>
      </c>
      <c r="R1766" s="104" t="str">
        <f aca="false">IF(OR(C1766&amp;D1766="",N(E1766)=0),"",IF(OR(O1766="?",P1766="?"),"⚠ akun tidak dikenal",IF(C1766=D1766,"⚠ debet = kredit","")))</f>
        <v/>
      </c>
    </row>
    <row r="1767" customFormat="false" ht="15" hidden="false" customHeight="false" outlineLevel="0" collapsed="false">
      <c r="A1767" s="5"/>
      <c r="B1767" s="83"/>
      <c r="C1767" s="5"/>
      <c r="D1767" s="5"/>
      <c r="E1767" s="44"/>
      <c r="F1767" s="5"/>
      <c r="G1767" s="5"/>
      <c r="H1767" s="5"/>
      <c r="I1767" s="5"/>
      <c r="J1767" s="102" t="str">
        <f aca="false">IF(B1767="","",MONTH(B1767))</f>
        <v/>
      </c>
      <c r="K1767" s="102" t="str">
        <f aca="false">IF(B1767="","",YEAR(B1767))</f>
        <v/>
      </c>
      <c r="L1767" s="102" t="str">
        <f aca="false">IF(N(E1767)=0,"",IF(COUNTIFS(AK_NAMA,C1767,AK_KAT,"KAS")+COUNTIFS(AK_NAMA,D1767,AK_KAT,"KAS")&lt;&gt;1,"",IF(COUNTIFS(AK_NAMA,C1767,AK_KAT,"KAS")=1,D1767,C1767)))</f>
        <v/>
      </c>
      <c r="M1767" s="103" t="n">
        <f aca="false">IF(L1767="",0,IF(L1767=D1767,E1767,-E1767))</f>
        <v>0</v>
      </c>
      <c r="N1767" s="102" t="str">
        <f aca="false">IF(L1767="","",IFERROR(INDEX(AK_BARIS,MATCH(L1767,AK_NAMA,0)),"?"))</f>
        <v/>
      </c>
      <c r="O1767" s="102" t="str">
        <f aca="false">IF(C1767="","",IFERROR(INDEX(AK_KEL,MATCH(C1767,AK_NAMA,0)),"?"))</f>
        <v/>
      </c>
      <c r="P1767" s="102" t="str">
        <f aca="false">IF(D1767="","",IFERROR(INDEX(AK_KEL,MATCH(D1767,AK_NAMA,0)),"?"))</f>
        <v/>
      </c>
      <c r="Q1767" s="102" t="n">
        <f aca="false">N(Q1766)+IF(AND(N(E1767)&lt;&gt;0,K1767=TAHUN,N(J1767)&lt;=BLN,OR(C1767=BB_AKUN,D1767=BB_AKUN)),1,0)</f>
        <v>877</v>
      </c>
      <c r="R1767" s="104" t="str">
        <f aca="false">IF(OR(C1767&amp;D1767="",N(E1767)=0),"",IF(OR(O1767="?",P1767="?"),"⚠ akun tidak dikenal",IF(C1767=D1767,"⚠ debet = kredit","")))</f>
        <v/>
      </c>
    </row>
    <row r="1768" customFormat="false" ht="15" hidden="false" customHeight="false" outlineLevel="0" collapsed="false">
      <c r="A1768" s="5"/>
      <c r="B1768" s="83"/>
      <c r="C1768" s="5"/>
      <c r="D1768" s="5"/>
      <c r="E1768" s="44"/>
      <c r="F1768" s="5"/>
      <c r="G1768" s="5"/>
      <c r="H1768" s="5"/>
      <c r="I1768" s="5"/>
      <c r="J1768" s="102" t="str">
        <f aca="false">IF(B1768="","",MONTH(B1768))</f>
        <v/>
      </c>
      <c r="K1768" s="102" t="str">
        <f aca="false">IF(B1768="","",YEAR(B1768))</f>
        <v/>
      </c>
      <c r="L1768" s="102" t="str">
        <f aca="false">IF(N(E1768)=0,"",IF(COUNTIFS(AK_NAMA,C1768,AK_KAT,"KAS")+COUNTIFS(AK_NAMA,D1768,AK_KAT,"KAS")&lt;&gt;1,"",IF(COUNTIFS(AK_NAMA,C1768,AK_KAT,"KAS")=1,D1768,C1768)))</f>
        <v/>
      </c>
      <c r="M1768" s="103" t="n">
        <f aca="false">IF(L1768="",0,IF(L1768=D1768,E1768,-E1768))</f>
        <v>0</v>
      </c>
      <c r="N1768" s="102" t="str">
        <f aca="false">IF(L1768="","",IFERROR(INDEX(AK_BARIS,MATCH(L1768,AK_NAMA,0)),"?"))</f>
        <v/>
      </c>
      <c r="O1768" s="102" t="str">
        <f aca="false">IF(C1768="","",IFERROR(INDEX(AK_KEL,MATCH(C1768,AK_NAMA,0)),"?"))</f>
        <v/>
      </c>
      <c r="P1768" s="102" t="str">
        <f aca="false">IF(D1768="","",IFERROR(INDEX(AK_KEL,MATCH(D1768,AK_NAMA,0)),"?"))</f>
        <v/>
      </c>
      <c r="Q1768" s="102" t="n">
        <f aca="false">N(Q1767)+IF(AND(N(E1768)&lt;&gt;0,K1768=TAHUN,N(J1768)&lt;=BLN,OR(C1768=BB_AKUN,D1768=BB_AKUN)),1,0)</f>
        <v>877</v>
      </c>
      <c r="R1768" s="104" t="str">
        <f aca="false">IF(OR(C1768&amp;D1768="",N(E1768)=0),"",IF(OR(O1768="?",P1768="?"),"⚠ akun tidak dikenal",IF(C1768=D1768,"⚠ debet = kredit","")))</f>
        <v/>
      </c>
    </row>
    <row r="1769" customFormat="false" ht="15" hidden="false" customHeight="false" outlineLevel="0" collapsed="false">
      <c r="A1769" s="5"/>
      <c r="B1769" s="83"/>
      <c r="C1769" s="5"/>
      <c r="D1769" s="5"/>
      <c r="E1769" s="44"/>
      <c r="F1769" s="5"/>
      <c r="G1769" s="5"/>
      <c r="H1769" s="5"/>
      <c r="I1769" s="5"/>
      <c r="J1769" s="102" t="str">
        <f aca="false">IF(B1769="","",MONTH(B1769))</f>
        <v/>
      </c>
      <c r="K1769" s="102" t="str">
        <f aca="false">IF(B1769="","",YEAR(B1769))</f>
        <v/>
      </c>
      <c r="L1769" s="102" t="str">
        <f aca="false">IF(N(E1769)=0,"",IF(COUNTIFS(AK_NAMA,C1769,AK_KAT,"KAS")+COUNTIFS(AK_NAMA,D1769,AK_KAT,"KAS")&lt;&gt;1,"",IF(COUNTIFS(AK_NAMA,C1769,AK_KAT,"KAS")=1,D1769,C1769)))</f>
        <v/>
      </c>
      <c r="M1769" s="103" t="n">
        <f aca="false">IF(L1769="",0,IF(L1769=D1769,E1769,-E1769))</f>
        <v>0</v>
      </c>
      <c r="N1769" s="102" t="str">
        <f aca="false">IF(L1769="","",IFERROR(INDEX(AK_BARIS,MATCH(L1769,AK_NAMA,0)),"?"))</f>
        <v/>
      </c>
      <c r="O1769" s="102" t="str">
        <f aca="false">IF(C1769="","",IFERROR(INDEX(AK_KEL,MATCH(C1769,AK_NAMA,0)),"?"))</f>
        <v/>
      </c>
      <c r="P1769" s="102" t="str">
        <f aca="false">IF(D1769="","",IFERROR(INDEX(AK_KEL,MATCH(D1769,AK_NAMA,0)),"?"))</f>
        <v/>
      </c>
      <c r="Q1769" s="102" t="n">
        <f aca="false">N(Q1768)+IF(AND(N(E1769)&lt;&gt;0,K1769=TAHUN,N(J1769)&lt;=BLN,OR(C1769=BB_AKUN,D1769=BB_AKUN)),1,0)</f>
        <v>877</v>
      </c>
      <c r="R1769" s="104" t="str">
        <f aca="false">IF(OR(C1769&amp;D1769="",N(E1769)=0),"",IF(OR(O1769="?",P1769="?"),"⚠ akun tidak dikenal",IF(C1769=D1769,"⚠ debet = kredit","")))</f>
        <v/>
      </c>
    </row>
    <row r="1770" customFormat="false" ht="15" hidden="false" customHeight="false" outlineLevel="0" collapsed="false">
      <c r="A1770" s="5"/>
      <c r="B1770" s="83"/>
      <c r="C1770" s="5"/>
      <c r="D1770" s="5"/>
      <c r="E1770" s="44"/>
      <c r="F1770" s="5"/>
      <c r="G1770" s="5"/>
      <c r="H1770" s="5"/>
      <c r="I1770" s="5"/>
      <c r="J1770" s="102" t="str">
        <f aca="false">IF(B1770="","",MONTH(B1770))</f>
        <v/>
      </c>
      <c r="K1770" s="102" t="str">
        <f aca="false">IF(B1770="","",YEAR(B1770))</f>
        <v/>
      </c>
      <c r="L1770" s="102" t="str">
        <f aca="false">IF(N(E1770)=0,"",IF(COUNTIFS(AK_NAMA,C1770,AK_KAT,"KAS")+COUNTIFS(AK_NAMA,D1770,AK_KAT,"KAS")&lt;&gt;1,"",IF(COUNTIFS(AK_NAMA,C1770,AK_KAT,"KAS")=1,D1770,C1770)))</f>
        <v/>
      </c>
      <c r="M1770" s="103" t="n">
        <f aca="false">IF(L1770="",0,IF(L1770=D1770,E1770,-E1770))</f>
        <v>0</v>
      </c>
      <c r="N1770" s="102" t="str">
        <f aca="false">IF(L1770="","",IFERROR(INDEX(AK_BARIS,MATCH(L1770,AK_NAMA,0)),"?"))</f>
        <v/>
      </c>
      <c r="O1770" s="102" t="str">
        <f aca="false">IF(C1770="","",IFERROR(INDEX(AK_KEL,MATCH(C1770,AK_NAMA,0)),"?"))</f>
        <v/>
      </c>
      <c r="P1770" s="102" t="str">
        <f aca="false">IF(D1770="","",IFERROR(INDEX(AK_KEL,MATCH(D1770,AK_NAMA,0)),"?"))</f>
        <v/>
      </c>
      <c r="Q1770" s="102" t="n">
        <f aca="false">N(Q1769)+IF(AND(N(E1770)&lt;&gt;0,K1770=TAHUN,N(J1770)&lt;=BLN,OR(C1770=BB_AKUN,D1770=BB_AKUN)),1,0)</f>
        <v>877</v>
      </c>
      <c r="R1770" s="104" t="str">
        <f aca="false">IF(OR(C1770&amp;D1770="",N(E1770)=0),"",IF(OR(O1770="?",P1770="?"),"⚠ akun tidak dikenal",IF(C1770=D1770,"⚠ debet = kredit","")))</f>
        <v/>
      </c>
    </row>
    <row r="1771" customFormat="false" ht="15" hidden="false" customHeight="false" outlineLevel="0" collapsed="false">
      <c r="A1771" s="5"/>
      <c r="B1771" s="83"/>
      <c r="C1771" s="5"/>
      <c r="D1771" s="5"/>
      <c r="E1771" s="44"/>
      <c r="F1771" s="5"/>
      <c r="G1771" s="5"/>
      <c r="H1771" s="5"/>
      <c r="I1771" s="5"/>
      <c r="J1771" s="102" t="str">
        <f aca="false">IF(B1771="","",MONTH(B1771))</f>
        <v/>
      </c>
      <c r="K1771" s="102" t="str">
        <f aca="false">IF(B1771="","",YEAR(B1771))</f>
        <v/>
      </c>
      <c r="L1771" s="102" t="str">
        <f aca="false">IF(N(E1771)=0,"",IF(COUNTIFS(AK_NAMA,C1771,AK_KAT,"KAS")+COUNTIFS(AK_NAMA,D1771,AK_KAT,"KAS")&lt;&gt;1,"",IF(COUNTIFS(AK_NAMA,C1771,AK_KAT,"KAS")=1,D1771,C1771)))</f>
        <v/>
      </c>
      <c r="M1771" s="103" t="n">
        <f aca="false">IF(L1771="",0,IF(L1771=D1771,E1771,-E1771))</f>
        <v>0</v>
      </c>
      <c r="N1771" s="102" t="str">
        <f aca="false">IF(L1771="","",IFERROR(INDEX(AK_BARIS,MATCH(L1771,AK_NAMA,0)),"?"))</f>
        <v/>
      </c>
      <c r="O1771" s="102" t="str">
        <f aca="false">IF(C1771="","",IFERROR(INDEX(AK_KEL,MATCH(C1771,AK_NAMA,0)),"?"))</f>
        <v/>
      </c>
      <c r="P1771" s="102" t="str">
        <f aca="false">IF(D1771="","",IFERROR(INDEX(AK_KEL,MATCH(D1771,AK_NAMA,0)),"?"))</f>
        <v/>
      </c>
      <c r="Q1771" s="102" t="n">
        <f aca="false">N(Q1770)+IF(AND(N(E1771)&lt;&gt;0,K1771=TAHUN,N(J1771)&lt;=BLN,OR(C1771=BB_AKUN,D1771=BB_AKUN)),1,0)</f>
        <v>877</v>
      </c>
      <c r="R1771" s="104" t="str">
        <f aca="false">IF(OR(C1771&amp;D1771="",N(E1771)=0),"",IF(OR(O1771="?",P1771="?"),"⚠ akun tidak dikenal",IF(C1771=D1771,"⚠ debet = kredit","")))</f>
        <v/>
      </c>
    </row>
    <row r="1772" customFormat="false" ht="15" hidden="false" customHeight="false" outlineLevel="0" collapsed="false">
      <c r="A1772" s="5"/>
      <c r="B1772" s="83"/>
      <c r="C1772" s="5"/>
      <c r="D1772" s="5"/>
      <c r="E1772" s="44"/>
      <c r="F1772" s="5"/>
      <c r="G1772" s="5"/>
      <c r="H1772" s="5"/>
      <c r="I1772" s="5"/>
      <c r="J1772" s="102" t="str">
        <f aca="false">IF(B1772="","",MONTH(B1772))</f>
        <v/>
      </c>
      <c r="K1772" s="102" t="str">
        <f aca="false">IF(B1772="","",YEAR(B1772))</f>
        <v/>
      </c>
      <c r="L1772" s="102" t="str">
        <f aca="false">IF(N(E1772)=0,"",IF(COUNTIFS(AK_NAMA,C1772,AK_KAT,"KAS")+COUNTIFS(AK_NAMA,D1772,AK_KAT,"KAS")&lt;&gt;1,"",IF(COUNTIFS(AK_NAMA,C1772,AK_KAT,"KAS")=1,D1772,C1772)))</f>
        <v/>
      </c>
      <c r="M1772" s="103" t="n">
        <f aca="false">IF(L1772="",0,IF(L1772=D1772,E1772,-E1772))</f>
        <v>0</v>
      </c>
      <c r="N1772" s="102" t="str">
        <f aca="false">IF(L1772="","",IFERROR(INDEX(AK_BARIS,MATCH(L1772,AK_NAMA,0)),"?"))</f>
        <v/>
      </c>
      <c r="O1772" s="102" t="str">
        <f aca="false">IF(C1772="","",IFERROR(INDEX(AK_KEL,MATCH(C1772,AK_NAMA,0)),"?"))</f>
        <v/>
      </c>
      <c r="P1772" s="102" t="str">
        <f aca="false">IF(D1772="","",IFERROR(INDEX(AK_KEL,MATCH(D1772,AK_NAMA,0)),"?"))</f>
        <v/>
      </c>
      <c r="Q1772" s="102" t="n">
        <f aca="false">N(Q1771)+IF(AND(N(E1772)&lt;&gt;0,K1772=TAHUN,N(J1772)&lt;=BLN,OR(C1772=BB_AKUN,D1772=BB_AKUN)),1,0)</f>
        <v>877</v>
      </c>
      <c r="R1772" s="104" t="str">
        <f aca="false">IF(OR(C1772&amp;D1772="",N(E1772)=0),"",IF(OR(O1772="?",P1772="?"),"⚠ akun tidak dikenal",IF(C1772=D1772,"⚠ debet = kredit","")))</f>
        <v/>
      </c>
    </row>
    <row r="1773" customFormat="false" ht="15" hidden="false" customHeight="false" outlineLevel="0" collapsed="false">
      <c r="A1773" s="5"/>
      <c r="B1773" s="83"/>
      <c r="C1773" s="5"/>
      <c r="D1773" s="5"/>
      <c r="E1773" s="44"/>
      <c r="F1773" s="5"/>
      <c r="G1773" s="5"/>
      <c r="H1773" s="5"/>
      <c r="I1773" s="5"/>
      <c r="J1773" s="102" t="str">
        <f aca="false">IF(B1773="","",MONTH(B1773))</f>
        <v/>
      </c>
      <c r="K1773" s="102" t="str">
        <f aca="false">IF(B1773="","",YEAR(B1773))</f>
        <v/>
      </c>
      <c r="L1773" s="102" t="str">
        <f aca="false">IF(N(E1773)=0,"",IF(COUNTIFS(AK_NAMA,C1773,AK_KAT,"KAS")+COUNTIFS(AK_NAMA,D1773,AK_KAT,"KAS")&lt;&gt;1,"",IF(COUNTIFS(AK_NAMA,C1773,AK_KAT,"KAS")=1,D1773,C1773)))</f>
        <v/>
      </c>
      <c r="M1773" s="103" t="n">
        <f aca="false">IF(L1773="",0,IF(L1773=D1773,E1773,-E1773))</f>
        <v>0</v>
      </c>
      <c r="N1773" s="102" t="str">
        <f aca="false">IF(L1773="","",IFERROR(INDEX(AK_BARIS,MATCH(L1773,AK_NAMA,0)),"?"))</f>
        <v/>
      </c>
      <c r="O1773" s="102" t="str">
        <f aca="false">IF(C1773="","",IFERROR(INDEX(AK_KEL,MATCH(C1773,AK_NAMA,0)),"?"))</f>
        <v/>
      </c>
      <c r="P1773" s="102" t="str">
        <f aca="false">IF(D1773="","",IFERROR(INDEX(AK_KEL,MATCH(D1773,AK_NAMA,0)),"?"))</f>
        <v/>
      </c>
      <c r="Q1773" s="102" t="n">
        <f aca="false">N(Q1772)+IF(AND(N(E1773)&lt;&gt;0,K1773=TAHUN,N(J1773)&lt;=BLN,OR(C1773=BB_AKUN,D1773=BB_AKUN)),1,0)</f>
        <v>877</v>
      </c>
      <c r="R1773" s="104" t="str">
        <f aca="false">IF(OR(C1773&amp;D1773="",N(E1773)=0),"",IF(OR(O1773="?",P1773="?"),"⚠ akun tidak dikenal",IF(C1773=D1773,"⚠ debet = kredit","")))</f>
        <v/>
      </c>
    </row>
    <row r="1774" customFormat="false" ht="15" hidden="false" customHeight="false" outlineLevel="0" collapsed="false">
      <c r="A1774" s="5"/>
      <c r="B1774" s="83"/>
      <c r="C1774" s="5"/>
      <c r="D1774" s="5"/>
      <c r="E1774" s="44"/>
      <c r="F1774" s="5"/>
      <c r="G1774" s="5"/>
      <c r="H1774" s="5"/>
      <c r="I1774" s="5"/>
      <c r="J1774" s="102" t="str">
        <f aca="false">IF(B1774="","",MONTH(B1774))</f>
        <v/>
      </c>
      <c r="K1774" s="102" t="str">
        <f aca="false">IF(B1774="","",YEAR(B1774))</f>
        <v/>
      </c>
      <c r="L1774" s="102" t="str">
        <f aca="false">IF(N(E1774)=0,"",IF(COUNTIFS(AK_NAMA,C1774,AK_KAT,"KAS")+COUNTIFS(AK_NAMA,D1774,AK_KAT,"KAS")&lt;&gt;1,"",IF(COUNTIFS(AK_NAMA,C1774,AK_KAT,"KAS")=1,D1774,C1774)))</f>
        <v/>
      </c>
      <c r="M1774" s="103" t="n">
        <f aca="false">IF(L1774="",0,IF(L1774=D1774,E1774,-E1774))</f>
        <v>0</v>
      </c>
      <c r="N1774" s="102" t="str">
        <f aca="false">IF(L1774="","",IFERROR(INDEX(AK_BARIS,MATCH(L1774,AK_NAMA,0)),"?"))</f>
        <v/>
      </c>
      <c r="O1774" s="102" t="str">
        <f aca="false">IF(C1774="","",IFERROR(INDEX(AK_KEL,MATCH(C1774,AK_NAMA,0)),"?"))</f>
        <v/>
      </c>
      <c r="P1774" s="102" t="str">
        <f aca="false">IF(D1774="","",IFERROR(INDEX(AK_KEL,MATCH(D1774,AK_NAMA,0)),"?"))</f>
        <v/>
      </c>
      <c r="Q1774" s="102" t="n">
        <f aca="false">N(Q1773)+IF(AND(N(E1774)&lt;&gt;0,K1774=TAHUN,N(J1774)&lt;=BLN,OR(C1774=BB_AKUN,D1774=BB_AKUN)),1,0)</f>
        <v>877</v>
      </c>
      <c r="R1774" s="104" t="str">
        <f aca="false">IF(OR(C1774&amp;D1774="",N(E1774)=0),"",IF(OR(O1774="?",P1774="?"),"⚠ akun tidak dikenal",IF(C1774=D1774,"⚠ debet = kredit","")))</f>
        <v/>
      </c>
    </row>
    <row r="1775" customFormat="false" ht="15" hidden="false" customHeight="false" outlineLevel="0" collapsed="false">
      <c r="A1775" s="5"/>
      <c r="B1775" s="83"/>
      <c r="C1775" s="5"/>
      <c r="D1775" s="5"/>
      <c r="E1775" s="44"/>
      <c r="F1775" s="5"/>
      <c r="G1775" s="5"/>
      <c r="H1775" s="5"/>
      <c r="I1775" s="5"/>
      <c r="J1775" s="102" t="str">
        <f aca="false">IF(B1775="","",MONTH(B1775))</f>
        <v/>
      </c>
      <c r="K1775" s="102" t="str">
        <f aca="false">IF(B1775="","",YEAR(B1775))</f>
        <v/>
      </c>
      <c r="L1775" s="102" t="str">
        <f aca="false">IF(N(E1775)=0,"",IF(COUNTIFS(AK_NAMA,C1775,AK_KAT,"KAS")+COUNTIFS(AK_NAMA,D1775,AK_KAT,"KAS")&lt;&gt;1,"",IF(COUNTIFS(AK_NAMA,C1775,AK_KAT,"KAS")=1,D1775,C1775)))</f>
        <v/>
      </c>
      <c r="M1775" s="103" t="n">
        <f aca="false">IF(L1775="",0,IF(L1775=D1775,E1775,-E1775))</f>
        <v>0</v>
      </c>
      <c r="N1775" s="102" t="str">
        <f aca="false">IF(L1775="","",IFERROR(INDEX(AK_BARIS,MATCH(L1775,AK_NAMA,0)),"?"))</f>
        <v/>
      </c>
      <c r="O1775" s="102" t="str">
        <f aca="false">IF(C1775="","",IFERROR(INDEX(AK_KEL,MATCH(C1775,AK_NAMA,0)),"?"))</f>
        <v/>
      </c>
      <c r="P1775" s="102" t="str">
        <f aca="false">IF(D1775="","",IFERROR(INDEX(AK_KEL,MATCH(D1775,AK_NAMA,0)),"?"))</f>
        <v/>
      </c>
      <c r="Q1775" s="102" t="n">
        <f aca="false">N(Q1774)+IF(AND(N(E1775)&lt;&gt;0,K1775=TAHUN,N(J1775)&lt;=BLN,OR(C1775=BB_AKUN,D1775=BB_AKUN)),1,0)</f>
        <v>877</v>
      </c>
      <c r="R1775" s="104" t="str">
        <f aca="false">IF(OR(C1775&amp;D1775="",N(E1775)=0),"",IF(OR(O1775="?",P1775="?"),"⚠ akun tidak dikenal",IF(C1775=D1775,"⚠ debet = kredit","")))</f>
        <v/>
      </c>
    </row>
    <row r="1776" customFormat="false" ht="15" hidden="false" customHeight="false" outlineLevel="0" collapsed="false">
      <c r="A1776" s="5"/>
      <c r="B1776" s="83"/>
      <c r="C1776" s="5"/>
      <c r="D1776" s="5"/>
      <c r="E1776" s="44"/>
      <c r="F1776" s="5"/>
      <c r="G1776" s="5"/>
      <c r="H1776" s="5"/>
      <c r="I1776" s="5"/>
      <c r="J1776" s="102" t="str">
        <f aca="false">IF(B1776="","",MONTH(B1776))</f>
        <v/>
      </c>
      <c r="K1776" s="102" t="str">
        <f aca="false">IF(B1776="","",YEAR(B1776))</f>
        <v/>
      </c>
      <c r="L1776" s="102" t="str">
        <f aca="false">IF(N(E1776)=0,"",IF(COUNTIFS(AK_NAMA,C1776,AK_KAT,"KAS")+COUNTIFS(AK_NAMA,D1776,AK_KAT,"KAS")&lt;&gt;1,"",IF(COUNTIFS(AK_NAMA,C1776,AK_KAT,"KAS")=1,D1776,C1776)))</f>
        <v/>
      </c>
      <c r="M1776" s="103" t="n">
        <f aca="false">IF(L1776="",0,IF(L1776=D1776,E1776,-E1776))</f>
        <v>0</v>
      </c>
      <c r="N1776" s="102" t="str">
        <f aca="false">IF(L1776="","",IFERROR(INDEX(AK_BARIS,MATCH(L1776,AK_NAMA,0)),"?"))</f>
        <v/>
      </c>
      <c r="O1776" s="102" t="str">
        <f aca="false">IF(C1776="","",IFERROR(INDEX(AK_KEL,MATCH(C1776,AK_NAMA,0)),"?"))</f>
        <v/>
      </c>
      <c r="P1776" s="102" t="str">
        <f aca="false">IF(D1776="","",IFERROR(INDEX(AK_KEL,MATCH(D1776,AK_NAMA,0)),"?"))</f>
        <v/>
      </c>
      <c r="Q1776" s="102" t="n">
        <f aca="false">N(Q1775)+IF(AND(N(E1776)&lt;&gt;0,K1776=TAHUN,N(J1776)&lt;=BLN,OR(C1776=BB_AKUN,D1776=BB_AKUN)),1,0)</f>
        <v>877</v>
      </c>
      <c r="R1776" s="104" t="str">
        <f aca="false">IF(OR(C1776&amp;D1776="",N(E1776)=0),"",IF(OR(O1776="?",P1776="?"),"⚠ akun tidak dikenal",IF(C1776=D1776,"⚠ debet = kredit","")))</f>
        <v/>
      </c>
    </row>
    <row r="1777" customFormat="false" ht="15" hidden="false" customHeight="false" outlineLevel="0" collapsed="false">
      <c r="A1777" s="5"/>
      <c r="B1777" s="83"/>
      <c r="C1777" s="5"/>
      <c r="D1777" s="5"/>
      <c r="E1777" s="44"/>
      <c r="F1777" s="5"/>
      <c r="G1777" s="5"/>
      <c r="H1777" s="5"/>
      <c r="I1777" s="5"/>
      <c r="J1777" s="102" t="str">
        <f aca="false">IF(B1777="","",MONTH(B1777))</f>
        <v/>
      </c>
      <c r="K1777" s="102" t="str">
        <f aca="false">IF(B1777="","",YEAR(B1777))</f>
        <v/>
      </c>
      <c r="L1777" s="102" t="str">
        <f aca="false">IF(N(E1777)=0,"",IF(COUNTIFS(AK_NAMA,C1777,AK_KAT,"KAS")+COUNTIFS(AK_NAMA,D1777,AK_KAT,"KAS")&lt;&gt;1,"",IF(COUNTIFS(AK_NAMA,C1777,AK_KAT,"KAS")=1,D1777,C1777)))</f>
        <v/>
      </c>
      <c r="M1777" s="103" t="n">
        <f aca="false">IF(L1777="",0,IF(L1777=D1777,E1777,-E1777))</f>
        <v>0</v>
      </c>
      <c r="N1777" s="102" t="str">
        <f aca="false">IF(L1777="","",IFERROR(INDEX(AK_BARIS,MATCH(L1777,AK_NAMA,0)),"?"))</f>
        <v/>
      </c>
      <c r="O1777" s="102" t="str">
        <f aca="false">IF(C1777="","",IFERROR(INDEX(AK_KEL,MATCH(C1777,AK_NAMA,0)),"?"))</f>
        <v/>
      </c>
      <c r="P1777" s="102" t="str">
        <f aca="false">IF(D1777="","",IFERROR(INDEX(AK_KEL,MATCH(D1777,AK_NAMA,0)),"?"))</f>
        <v/>
      </c>
      <c r="Q1777" s="102" t="n">
        <f aca="false">N(Q1776)+IF(AND(N(E1777)&lt;&gt;0,K1777=TAHUN,N(J1777)&lt;=BLN,OR(C1777=BB_AKUN,D1777=BB_AKUN)),1,0)</f>
        <v>877</v>
      </c>
      <c r="R1777" s="104" t="str">
        <f aca="false">IF(OR(C1777&amp;D1777="",N(E1777)=0),"",IF(OR(O1777="?",P1777="?"),"⚠ akun tidak dikenal",IF(C1777=D1777,"⚠ debet = kredit","")))</f>
        <v/>
      </c>
    </row>
    <row r="1778" customFormat="false" ht="15" hidden="false" customHeight="false" outlineLevel="0" collapsed="false">
      <c r="A1778" s="5"/>
      <c r="B1778" s="83"/>
      <c r="C1778" s="5"/>
      <c r="D1778" s="5"/>
      <c r="E1778" s="44"/>
      <c r="F1778" s="5"/>
      <c r="G1778" s="5"/>
      <c r="H1778" s="5"/>
      <c r="I1778" s="5"/>
      <c r="J1778" s="102" t="str">
        <f aca="false">IF(B1778="","",MONTH(B1778))</f>
        <v/>
      </c>
      <c r="K1778" s="102" t="str">
        <f aca="false">IF(B1778="","",YEAR(B1778))</f>
        <v/>
      </c>
      <c r="L1778" s="102" t="str">
        <f aca="false">IF(N(E1778)=0,"",IF(COUNTIFS(AK_NAMA,C1778,AK_KAT,"KAS")+COUNTIFS(AK_NAMA,D1778,AK_KAT,"KAS")&lt;&gt;1,"",IF(COUNTIFS(AK_NAMA,C1778,AK_KAT,"KAS")=1,D1778,C1778)))</f>
        <v/>
      </c>
      <c r="M1778" s="103" t="n">
        <f aca="false">IF(L1778="",0,IF(L1778=D1778,E1778,-E1778))</f>
        <v>0</v>
      </c>
      <c r="N1778" s="102" t="str">
        <f aca="false">IF(L1778="","",IFERROR(INDEX(AK_BARIS,MATCH(L1778,AK_NAMA,0)),"?"))</f>
        <v/>
      </c>
      <c r="O1778" s="102" t="str">
        <f aca="false">IF(C1778="","",IFERROR(INDEX(AK_KEL,MATCH(C1778,AK_NAMA,0)),"?"))</f>
        <v/>
      </c>
      <c r="P1778" s="102" t="str">
        <f aca="false">IF(D1778="","",IFERROR(INDEX(AK_KEL,MATCH(D1778,AK_NAMA,0)),"?"))</f>
        <v/>
      </c>
      <c r="Q1778" s="102" t="n">
        <f aca="false">N(Q1777)+IF(AND(N(E1778)&lt;&gt;0,K1778=TAHUN,N(J1778)&lt;=BLN,OR(C1778=BB_AKUN,D1778=BB_AKUN)),1,0)</f>
        <v>877</v>
      </c>
      <c r="R1778" s="104" t="str">
        <f aca="false">IF(OR(C1778&amp;D1778="",N(E1778)=0),"",IF(OR(O1778="?",P1778="?"),"⚠ akun tidak dikenal",IF(C1778=D1778,"⚠ debet = kredit","")))</f>
        <v/>
      </c>
    </row>
    <row r="1779" customFormat="false" ht="15" hidden="false" customHeight="false" outlineLevel="0" collapsed="false">
      <c r="A1779" s="5"/>
      <c r="B1779" s="83"/>
      <c r="C1779" s="5"/>
      <c r="D1779" s="5"/>
      <c r="E1779" s="44"/>
      <c r="F1779" s="5"/>
      <c r="G1779" s="5"/>
      <c r="H1779" s="5"/>
      <c r="I1779" s="5"/>
      <c r="J1779" s="102" t="str">
        <f aca="false">IF(B1779="","",MONTH(B1779))</f>
        <v/>
      </c>
      <c r="K1779" s="102" t="str">
        <f aca="false">IF(B1779="","",YEAR(B1779))</f>
        <v/>
      </c>
      <c r="L1779" s="102" t="str">
        <f aca="false">IF(N(E1779)=0,"",IF(COUNTIFS(AK_NAMA,C1779,AK_KAT,"KAS")+COUNTIFS(AK_NAMA,D1779,AK_KAT,"KAS")&lt;&gt;1,"",IF(COUNTIFS(AK_NAMA,C1779,AK_KAT,"KAS")=1,D1779,C1779)))</f>
        <v/>
      </c>
      <c r="M1779" s="103" t="n">
        <f aca="false">IF(L1779="",0,IF(L1779=D1779,E1779,-E1779))</f>
        <v>0</v>
      </c>
      <c r="N1779" s="102" t="str">
        <f aca="false">IF(L1779="","",IFERROR(INDEX(AK_BARIS,MATCH(L1779,AK_NAMA,0)),"?"))</f>
        <v/>
      </c>
      <c r="O1779" s="102" t="str">
        <f aca="false">IF(C1779="","",IFERROR(INDEX(AK_KEL,MATCH(C1779,AK_NAMA,0)),"?"))</f>
        <v/>
      </c>
      <c r="P1779" s="102" t="str">
        <f aca="false">IF(D1779="","",IFERROR(INDEX(AK_KEL,MATCH(D1779,AK_NAMA,0)),"?"))</f>
        <v/>
      </c>
      <c r="Q1779" s="102" t="n">
        <f aca="false">N(Q1778)+IF(AND(N(E1779)&lt;&gt;0,K1779=TAHUN,N(J1779)&lt;=BLN,OR(C1779=BB_AKUN,D1779=BB_AKUN)),1,0)</f>
        <v>877</v>
      </c>
      <c r="R1779" s="104" t="str">
        <f aca="false">IF(OR(C1779&amp;D1779="",N(E1779)=0),"",IF(OR(O1779="?",P1779="?"),"⚠ akun tidak dikenal",IF(C1779=D1779,"⚠ debet = kredit","")))</f>
        <v/>
      </c>
    </row>
    <row r="1780" customFormat="false" ht="15" hidden="false" customHeight="false" outlineLevel="0" collapsed="false">
      <c r="A1780" s="5"/>
      <c r="B1780" s="83"/>
      <c r="C1780" s="5"/>
      <c r="D1780" s="5"/>
      <c r="E1780" s="44"/>
      <c r="F1780" s="5"/>
      <c r="G1780" s="5"/>
      <c r="H1780" s="5"/>
      <c r="I1780" s="5"/>
      <c r="J1780" s="102" t="str">
        <f aca="false">IF(B1780="","",MONTH(B1780))</f>
        <v/>
      </c>
      <c r="K1780" s="102" t="str">
        <f aca="false">IF(B1780="","",YEAR(B1780))</f>
        <v/>
      </c>
      <c r="L1780" s="102" t="str">
        <f aca="false">IF(N(E1780)=0,"",IF(COUNTIFS(AK_NAMA,C1780,AK_KAT,"KAS")+COUNTIFS(AK_NAMA,D1780,AK_KAT,"KAS")&lt;&gt;1,"",IF(COUNTIFS(AK_NAMA,C1780,AK_KAT,"KAS")=1,D1780,C1780)))</f>
        <v/>
      </c>
      <c r="M1780" s="103" t="n">
        <f aca="false">IF(L1780="",0,IF(L1780=D1780,E1780,-E1780))</f>
        <v>0</v>
      </c>
      <c r="N1780" s="102" t="str">
        <f aca="false">IF(L1780="","",IFERROR(INDEX(AK_BARIS,MATCH(L1780,AK_NAMA,0)),"?"))</f>
        <v/>
      </c>
      <c r="O1780" s="102" t="str">
        <f aca="false">IF(C1780="","",IFERROR(INDEX(AK_KEL,MATCH(C1780,AK_NAMA,0)),"?"))</f>
        <v/>
      </c>
      <c r="P1780" s="102" t="str">
        <f aca="false">IF(D1780="","",IFERROR(INDEX(AK_KEL,MATCH(D1780,AK_NAMA,0)),"?"))</f>
        <v/>
      </c>
      <c r="Q1780" s="102" t="n">
        <f aca="false">N(Q1779)+IF(AND(N(E1780)&lt;&gt;0,K1780=TAHUN,N(J1780)&lt;=BLN,OR(C1780=BB_AKUN,D1780=BB_AKUN)),1,0)</f>
        <v>877</v>
      </c>
      <c r="R1780" s="104" t="str">
        <f aca="false">IF(OR(C1780&amp;D1780="",N(E1780)=0),"",IF(OR(O1780="?",P1780="?"),"⚠ akun tidak dikenal",IF(C1780=D1780,"⚠ debet = kredit","")))</f>
        <v/>
      </c>
    </row>
    <row r="1781" customFormat="false" ht="15" hidden="false" customHeight="false" outlineLevel="0" collapsed="false">
      <c r="A1781" s="5"/>
      <c r="B1781" s="83"/>
      <c r="C1781" s="5"/>
      <c r="D1781" s="5"/>
      <c r="E1781" s="44"/>
      <c r="F1781" s="5"/>
      <c r="G1781" s="5"/>
      <c r="H1781" s="5"/>
      <c r="I1781" s="5"/>
      <c r="J1781" s="102" t="str">
        <f aca="false">IF(B1781="","",MONTH(B1781))</f>
        <v/>
      </c>
      <c r="K1781" s="102" t="str">
        <f aca="false">IF(B1781="","",YEAR(B1781))</f>
        <v/>
      </c>
      <c r="L1781" s="102" t="str">
        <f aca="false">IF(N(E1781)=0,"",IF(COUNTIFS(AK_NAMA,C1781,AK_KAT,"KAS")+COUNTIFS(AK_NAMA,D1781,AK_KAT,"KAS")&lt;&gt;1,"",IF(COUNTIFS(AK_NAMA,C1781,AK_KAT,"KAS")=1,D1781,C1781)))</f>
        <v/>
      </c>
      <c r="M1781" s="103" t="n">
        <f aca="false">IF(L1781="",0,IF(L1781=D1781,E1781,-E1781))</f>
        <v>0</v>
      </c>
      <c r="N1781" s="102" t="str">
        <f aca="false">IF(L1781="","",IFERROR(INDEX(AK_BARIS,MATCH(L1781,AK_NAMA,0)),"?"))</f>
        <v/>
      </c>
      <c r="O1781" s="102" t="str">
        <f aca="false">IF(C1781="","",IFERROR(INDEX(AK_KEL,MATCH(C1781,AK_NAMA,0)),"?"))</f>
        <v/>
      </c>
      <c r="P1781" s="102" t="str">
        <f aca="false">IF(D1781="","",IFERROR(INDEX(AK_KEL,MATCH(D1781,AK_NAMA,0)),"?"))</f>
        <v/>
      </c>
      <c r="Q1781" s="102" t="n">
        <f aca="false">N(Q1780)+IF(AND(N(E1781)&lt;&gt;0,K1781=TAHUN,N(J1781)&lt;=BLN,OR(C1781=BB_AKUN,D1781=BB_AKUN)),1,0)</f>
        <v>877</v>
      </c>
      <c r="R1781" s="104" t="str">
        <f aca="false">IF(OR(C1781&amp;D1781="",N(E1781)=0),"",IF(OR(O1781="?",P1781="?"),"⚠ akun tidak dikenal",IF(C1781=D1781,"⚠ debet = kredit","")))</f>
        <v/>
      </c>
    </row>
    <row r="1782" customFormat="false" ht="15" hidden="false" customHeight="false" outlineLevel="0" collapsed="false">
      <c r="A1782" s="5"/>
      <c r="B1782" s="83"/>
      <c r="C1782" s="5"/>
      <c r="D1782" s="5"/>
      <c r="E1782" s="44"/>
      <c r="F1782" s="5"/>
      <c r="G1782" s="5"/>
      <c r="H1782" s="5"/>
      <c r="I1782" s="5"/>
      <c r="J1782" s="102" t="str">
        <f aca="false">IF(B1782="","",MONTH(B1782))</f>
        <v/>
      </c>
      <c r="K1782" s="102" t="str">
        <f aca="false">IF(B1782="","",YEAR(B1782))</f>
        <v/>
      </c>
      <c r="L1782" s="102" t="str">
        <f aca="false">IF(N(E1782)=0,"",IF(COUNTIFS(AK_NAMA,C1782,AK_KAT,"KAS")+COUNTIFS(AK_NAMA,D1782,AK_KAT,"KAS")&lt;&gt;1,"",IF(COUNTIFS(AK_NAMA,C1782,AK_KAT,"KAS")=1,D1782,C1782)))</f>
        <v/>
      </c>
      <c r="M1782" s="103" t="n">
        <f aca="false">IF(L1782="",0,IF(L1782=D1782,E1782,-E1782))</f>
        <v>0</v>
      </c>
      <c r="N1782" s="102" t="str">
        <f aca="false">IF(L1782="","",IFERROR(INDEX(AK_BARIS,MATCH(L1782,AK_NAMA,0)),"?"))</f>
        <v/>
      </c>
      <c r="O1782" s="102" t="str">
        <f aca="false">IF(C1782="","",IFERROR(INDEX(AK_KEL,MATCH(C1782,AK_NAMA,0)),"?"))</f>
        <v/>
      </c>
      <c r="P1782" s="102" t="str">
        <f aca="false">IF(D1782="","",IFERROR(INDEX(AK_KEL,MATCH(D1782,AK_NAMA,0)),"?"))</f>
        <v/>
      </c>
      <c r="Q1782" s="102" t="n">
        <f aca="false">N(Q1781)+IF(AND(N(E1782)&lt;&gt;0,K1782=TAHUN,N(J1782)&lt;=BLN,OR(C1782=BB_AKUN,D1782=BB_AKUN)),1,0)</f>
        <v>877</v>
      </c>
      <c r="R1782" s="104" t="str">
        <f aca="false">IF(OR(C1782&amp;D1782="",N(E1782)=0),"",IF(OR(O1782="?",P1782="?"),"⚠ akun tidak dikenal",IF(C1782=D1782,"⚠ debet = kredit","")))</f>
        <v/>
      </c>
    </row>
    <row r="1783" customFormat="false" ht="15" hidden="false" customHeight="false" outlineLevel="0" collapsed="false">
      <c r="A1783" s="5"/>
      <c r="B1783" s="83"/>
      <c r="C1783" s="5"/>
      <c r="D1783" s="5"/>
      <c r="E1783" s="44"/>
      <c r="F1783" s="5"/>
      <c r="G1783" s="5"/>
      <c r="H1783" s="5"/>
      <c r="I1783" s="5"/>
      <c r="J1783" s="102" t="str">
        <f aca="false">IF(B1783="","",MONTH(B1783))</f>
        <v/>
      </c>
      <c r="K1783" s="102" t="str">
        <f aca="false">IF(B1783="","",YEAR(B1783))</f>
        <v/>
      </c>
      <c r="L1783" s="102" t="str">
        <f aca="false">IF(N(E1783)=0,"",IF(COUNTIFS(AK_NAMA,C1783,AK_KAT,"KAS")+COUNTIFS(AK_NAMA,D1783,AK_KAT,"KAS")&lt;&gt;1,"",IF(COUNTIFS(AK_NAMA,C1783,AK_KAT,"KAS")=1,D1783,C1783)))</f>
        <v/>
      </c>
      <c r="M1783" s="103" t="n">
        <f aca="false">IF(L1783="",0,IF(L1783=D1783,E1783,-E1783))</f>
        <v>0</v>
      </c>
      <c r="N1783" s="102" t="str">
        <f aca="false">IF(L1783="","",IFERROR(INDEX(AK_BARIS,MATCH(L1783,AK_NAMA,0)),"?"))</f>
        <v/>
      </c>
      <c r="O1783" s="102" t="str">
        <f aca="false">IF(C1783="","",IFERROR(INDEX(AK_KEL,MATCH(C1783,AK_NAMA,0)),"?"))</f>
        <v/>
      </c>
      <c r="P1783" s="102" t="str">
        <f aca="false">IF(D1783="","",IFERROR(INDEX(AK_KEL,MATCH(D1783,AK_NAMA,0)),"?"))</f>
        <v/>
      </c>
      <c r="Q1783" s="102" t="n">
        <f aca="false">N(Q1782)+IF(AND(N(E1783)&lt;&gt;0,K1783=TAHUN,N(J1783)&lt;=BLN,OR(C1783=BB_AKUN,D1783=BB_AKUN)),1,0)</f>
        <v>877</v>
      </c>
      <c r="R1783" s="104" t="str">
        <f aca="false">IF(OR(C1783&amp;D1783="",N(E1783)=0),"",IF(OR(O1783="?",P1783="?"),"⚠ akun tidak dikenal",IF(C1783=D1783,"⚠ debet = kredit","")))</f>
        <v/>
      </c>
    </row>
    <row r="1784" customFormat="false" ht="15" hidden="false" customHeight="false" outlineLevel="0" collapsed="false">
      <c r="A1784" s="5"/>
      <c r="B1784" s="83"/>
      <c r="C1784" s="5"/>
      <c r="D1784" s="5"/>
      <c r="E1784" s="44"/>
      <c r="F1784" s="5"/>
      <c r="G1784" s="5"/>
      <c r="H1784" s="5"/>
      <c r="I1784" s="5"/>
      <c r="J1784" s="102" t="str">
        <f aca="false">IF(B1784="","",MONTH(B1784))</f>
        <v/>
      </c>
      <c r="K1784" s="102" t="str">
        <f aca="false">IF(B1784="","",YEAR(B1784))</f>
        <v/>
      </c>
      <c r="L1784" s="102" t="str">
        <f aca="false">IF(N(E1784)=0,"",IF(COUNTIFS(AK_NAMA,C1784,AK_KAT,"KAS")+COUNTIFS(AK_NAMA,D1784,AK_KAT,"KAS")&lt;&gt;1,"",IF(COUNTIFS(AK_NAMA,C1784,AK_KAT,"KAS")=1,D1784,C1784)))</f>
        <v/>
      </c>
      <c r="M1784" s="103" t="n">
        <f aca="false">IF(L1784="",0,IF(L1784=D1784,E1784,-E1784))</f>
        <v>0</v>
      </c>
      <c r="N1784" s="102" t="str">
        <f aca="false">IF(L1784="","",IFERROR(INDEX(AK_BARIS,MATCH(L1784,AK_NAMA,0)),"?"))</f>
        <v/>
      </c>
      <c r="O1784" s="102" t="str">
        <f aca="false">IF(C1784="","",IFERROR(INDEX(AK_KEL,MATCH(C1784,AK_NAMA,0)),"?"))</f>
        <v/>
      </c>
      <c r="P1784" s="102" t="str">
        <f aca="false">IF(D1784="","",IFERROR(INDEX(AK_KEL,MATCH(D1784,AK_NAMA,0)),"?"))</f>
        <v/>
      </c>
      <c r="Q1784" s="102" t="n">
        <f aca="false">N(Q1783)+IF(AND(N(E1784)&lt;&gt;0,K1784=TAHUN,N(J1784)&lt;=BLN,OR(C1784=BB_AKUN,D1784=BB_AKUN)),1,0)</f>
        <v>877</v>
      </c>
      <c r="R1784" s="104" t="str">
        <f aca="false">IF(OR(C1784&amp;D1784="",N(E1784)=0),"",IF(OR(O1784="?",P1784="?"),"⚠ akun tidak dikenal",IF(C1784=D1784,"⚠ debet = kredit","")))</f>
        <v/>
      </c>
    </row>
    <row r="1785" customFormat="false" ht="15" hidden="false" customHeight="false" outlineLevel="0" collapsed="false">
      <c r="A1785" s="5"/>
      <c r="B1785" s="83"/>
      <c r="C1785" s="5"/>
      <c r="D1785" s="5"/>
      <c r="E1785" s="44"/>
      <c r="F1785" s="5"/>
      <c r="G1785" s="5"/>
      <c r="H1785" s="5"/>
      <c r="I1785" s="5"/>
      <c r="J1785" s="102" t="str">
        <f aca="false">IF(B1785="","",MONTH(B1785))</f>
        <v/>
      </c>
      <c r="K1785" s="102" t="str">
        <f aca="false">IF(B1785="","",YEAR(B1785))</f>
        <v/>
      </c>
      <c r="L1785" s="102" t="str">
        <f aca="false">IF(N(E1785)=0,"",IF(COUNTIFS(AK_NAMA,C1785,AK_KAT,"KAS")+COUNTIFS(AK_NAMA,D1785,AK_KAT,"KAS")&lt;&gt;1,"",IF(COUNTIFS(AK_NAMA,C1785,AK_KAT,"KAS")=1,D1785,C1785)))</f>
        <v/>
      </c>
      <c r="M1785" s="103" t="n">
        <f aca="false">IF(L1785="",0,IF(L1785=D1785,E1785,-E1785))</f>
        <v>0</v>
      </c>
      <c r="N1785" s="102" t="str">
        <f aca="false">IF(L1785="","",IFERROR(INDEX(AK_BARIS,MATCH(L1785,AK_NAMA,0)),"?"))</f>
        <v/>
      </c>
      <c r="O1785" s="102" t="str">
        <f aca="false">IF(C1785="","",IFERROR(INDEX(AK_KEL,MATCH(C1785,AK_NAMA,0)),"?"))</f>
        <v/>
      </c>
      <c r="P1785" s="102" t="str">
        <f aca="false">IF(D1785="","",IFERROR(INDEX(AK_KEL,MATCH(D1785,AK_NAMA,0)),"?"))</f>
        <v/>
      </c>
      <c r="Q1785" s="102" t="n">
        <f aca="false">N(Q1784)+IF(AND(N(E1785)&lt;&gt;0,K1785=TAHUN,N(J1785)&lt;=BLN,OR(C1785=BB_AKUN,D1785=BB_AKUN)),1,0)</f>
        <v>877</v>
      </c>
      <c r="R1785" s="104" t="str">
        <f aca="false">IF(OR(C1785&amp;D1785="",N(E1785)=0),"",IF(OR(O1785="?",P1785="?"),"⚠ akun tidak dikenal",IF(C1785=D1785,"⚠ debet = kredit","")))</f>
        <v/>
      </c>
    </row>
    <row r="1786" customFormat="false" ht="15" hidden="false" customHeight="false" outlineLevel="0" collapsed="false">
      <c r="A1786" s="5"/>
      <c r="B1786" s="83"/>
      <c r="C1786" s="5"/>
      <c r="D1786" s="5"/>
      <c r="E1786" s="44"/>
      <c r="F1786" s="5"/>
      <c r="G1786" s="5"/>
      <c r="H1786" s="5"/>
      <c r="I1786" s="5"/>
      <c r="J1786" s="102" t="str">
        <f aca="false">IF(B1786="","",MONTH(B1786))</f>
        <v/>
      </c>
      <c r="K1786" s="102" t="str">
        <f aca="false">IF(B1786="","",YEAR(B1786))</f>
        <v/>
      </c>
      <c r="L1786" s="102" t="str">
        <f aca="false">IF(N(E1786)=0,"",IF(COUNTIFS(AK_NAMA,C1786,AK_KAT,"KAS")+COUNTIFS(AK_NAMA,D1786,AK_KAT,"KAS")&lt;&gt;1,"",IF(COUNTIFS(AK_NAMA,C1786,AK_KAT,"KAS")=1,D1786,C1786)))</f>
        <v/>
      </c>
      <c r="M1786" s="103" t="n">
        <f aca="false">IF(L1786="",0,IF(L1786=D1786,E1786,-E1786))</f>
        <v>0</v>
      </c>
      <c r="N1786" s="102" t="str">
        <f aca="false">IF(L1786="","",IFERROR(INDEX(AK_BARIS,MATCH(L1786,AK_NAMA,0)),"?"))</f>
        <v/>
      </c>
      <c r="O1786" s="102" t="str">
        <f aca="false">IF(C1786="","",IFERROR(INDEX(AK_KEL,MATCH(C1786,AK_NAMA,0)),"?"))</f>
        <v/>
      </c>
      <c r="P1786" s="102" t="str">
        <f aca="false">IF(D1786="","",IFERROR(INDEX(AK_KEL,MATCH(D1786,AK_NAMA,0)),"?"))</f>
        <v/>
      </c>
      <c r="Q1786" s="102" t="n">
        <f aca="false">N(Q1785)+IF(AND(N(E1786)&lt;&gt;0,K1786=TAHUN,N(J1786)&lt;=BLN,OR(C1786=BB_AKUN,D1786=BB_AKUN)),1,0)</f>
        <v>877</v>
      </c>
      <c r="R1786" s="104" t="str">
        <f aca="false">IF(OR(C1786&amp;D1786="",N(E1786)=0),"",IF(OR(O1786="?",P1786="?"),"⚠ akun tidak dikenal",IF(C1786=D1786,"⚠ debet = kredit","")))</f>
        <v/>
      </c>
    </row>
    <row r="1787" customFormat="false" ht="15" hidden="false" customHeight="false" outlineLevel="0" collapsed="false">
      <c r="A1787" s="5"/>
      <c r="B1787" s="83"/>
      <c r="C1787" s="5"/>
      <c r="D1787" s="5"/>
      <c r="E1787" s="44"/>
      <c r="F1787" s="5"/>
      <c r="G1787" s="5"/>
      <c r="H1787" s="5"/>
      <c r="I1787" s="5"/>
      <c r="J1787" s="102" t="str">
        <f aca="false">IF(B1787="","",MONTH(B1787))</f>
        <v/>
      </c>
      <c r="K1787" s="102" t="str">
        <f aca="false">IF(B1787="","",YEAR(B1787))</f>
        <v/>
      </c>
      <c r="L1787" s="102" t="str">
        <f aca="false">IF(N(E1787)=0,"",IF(COUNTIFS(AK_NAMA,C1787,AK_KAT,"KAS")+COUNTIFS(AK_NAMA,D1787,AK_KAT,"KAS")&lt;&gt;1,"",IF(COUNTIFS(AK_NAMA,C1787,AK_KAT,"KAS")=1,D1787,C1787)))</f>
        <v/>
      </c>
      <c r="M1787" s="103" t="n">
        <f aca="false">IF(L1787="",0,IF(L1787=D1787,E1787,-E1787))</f>
        <v>0</v>
      </c>
      <c r="N1787" s="102" t="str">
        <f aca="false">IF(L1787="","",IFERROR(INDEX(AK_BARIS,MATCH(L1787,AK_NAMA,0)),"?"))</f>
        <v/>
      </c>
      <c r="O1787" s="102" t="str">
        <f aca="false">IF(C1787="","",IFERROR(INDEX(AK_KEL,MATCH(C1787,AK_NAMA,0)),"?"))</f>
        <v/>
      </c>
      <c r="P1787" s="102" t="str">
        <f aca="false">IF(D1787="","",IFERROR(INDEX(AK_KEL,MATCH(D1787,AK_NAMA,0)),"?"))</f>
        <v/>
      </c>
      <c r="Q1787" s="102" t="n">
        <f aca="false">N(Q1786)+IF(AND(N(E1787)&lt;&gt;0,K1787=TAHUN,N(J1787)&lt;=BLN,OR(C1787=BB_AKUN,D1787=BB_AKUN)),1,0)</f>
        <v>877</v>
      </c>
      <c r="R1787" s="104" t="str">
        <f aca="false">IF(OR(C1787&amp;D1787="",N(E1787)=0),"",IF(OR(O1787="?",P1787="?"),"⚠ akun tidak dikenal",IF(C1787=D1787,"⚠ debet = kredit","")))</f>
        <v/>
      </c>
    </row>
    <row r="1788" customFormat="false" ht="15" hidden="false" customHeight="false" outlineLevel="0" collapsed="false">
      <c r="A1788" s="5"/>
      <c r="B1788" s="83"/>
      <c r="C1788" s="5"/>
      <c r="D1788" s="5"/>
      <c r="E1788" s="44"/>
      <c r="F1788" s="5"/>
      <c r="G1788" s="5"/>
      <c r="H1788" s="5"/>
      <c r="I1788" s="5"/>
      <c r="J1788" s="102" t="str">
        <f aca="false">IF(B1788="","",MONTH(B1788))</f>
        <v/>
      </c>
      <c r="K1788" s="102" t="str">
        <f aca="false">IF(B1788="","",YEAR(B1788))</f>
        <v/>
      </c>
      <c r="L1788" s="102" t="str">
        <f aca="false">IF(N(E1788)=0,"",IF(COUNTIFS(AK_NAMA,C1788,AK_KAT,"KAS")+COUNTIFS(AK_NAMA,D1788,AK_KAT,"KAS")&lt;&gt;1,"",IF(COUNTIFS(AK_NAMA,C1788,AK_KAT,"KAS")=1,D1788,C1788)))</f>
        <v/>
      </c>
      <c r="M1788" s="103" t="n">
        <f aca="false">IF(L1788="",0,IF(L1788=D1788,E1788,-E1788))</f>
        <v>0</v>
      </c>
      <c r="N1788" s="102" t="str">
        <f aca="false">IF(L1788="","",IFERROR(INDEX(AK_BARIS,MATCH(L1788,AK_NAMA,0)),"?"))</f>
        <v/>
      </c>
      <c r="O1788" s="102" t="str">
        <f aca="false">IF(C1788="","",IFERROR(INDEX(AK_KEL,MATCH(C1788,AK_NAMA,0)),"?"))</f>
        <v/>
      </c>
      <c r="P1788" s="102" t="str">
        <f aca="false">IF(D1788="","",IFERROR(INDEX(AK_KEL,MATCH(D1788,AK_NAMA,0)),"?"))</f>
        <v/>
      </c>
      <c r="Q1788" s="102" t="n">
        <f aca="false">N(Q1787)+IF(AND(N(E1788)&lt;&gt;0,K1788=TAHUN,N(J1788)&lt;=BLN,OR(C1788=BB_AKUN,D1788=BB_AKUN)),1,0)</f>
        <v>877</v>
      </c>
      <c r="R1788" s="104" t="str">
        <f aca="false">IF(OR(C1788&amp;D1788="",N(E1788)=0),"",IF(OR(O1788="?",P1788="?"),"⚠ akun tidak dikenal",IF(C1788=D1788,"⚠ debet = kredit","")))</f>
        <v/>
      </c>
    </row>
    <row r="1789" customFormat="false" ht="15" hidden="false" customHeight="false" outlineLevel="0" collapsed="false">
      <c r="A1789" s="5"/>
      <c r="B1789" s="83"/>
      <c r="C1789" s="5"/>
      <c r="D1789" s="5"/>
      <c r="E1789" s="44"/>
      <c r="F1789" s="5"/>
      <c r="G1789" s="5"/>
      <c r="H1789" s="5"/>
      <c r="I1789" s="5"/>
      <c r="J1789" s="102" t="str">
        <f aca="false">IF(B1789="","",MONTH(B1789))</f>
        <v/>
      </c>
      <c r="K1789" s="102" t="str">
        <f aca="false">IF(B1789="","",YEAR(B1789))</f>
        <v/>
      </c>
      <c r="L1789" s="102" t="str">
        <f aca="false">IF(N(E1789)=0,"",IF(COUNTIFS(AK_NAMA,C1789,AK_KAT,"KAS")+COUNTIFS(AK_NAMA,D1789,AK_KAT,"KAS")&lt;&gt;1,"",IF(COUNTIFS(AK_NAMA,C1789,AK_KAT,"KAS")=1,D1789,C1789)))</f>
        <v/>
      </c>
      <c r="M1789" s="103" t="n">
        <f aca="false">IF(L1789="",0,IF(L1789=D1789,E1789,-E1789))</f>
        <v>0</v>
      </c>
      <c r="N1789" s="102" t="str">
        <f aca="false">IF(L1789="","",IFERROR(INDEX(AK_BARIS,MATCH(L1789,AK_NAMA,0)),"?"))</f>
        <v/>
      </c>
      <c r="O1789" s="102" t="str">
        <f aca="false">IF(C1789="","",IFERROR(INDEX(AK_KEL,MATCH(C1789,AK_NAMA,0)),"?"))</f>
        <v/>
      </c>
      <c r="P1789" s="102" t="str">
        <f aca="false">IF(D1789="","",IFERROR(INDEX(AK_KEL,MATCH(D1789,AK_NAMA,0)),"?"))</f>
        <v/>
      </c>
      <c r="Q1789" s="102" t="n">
        <f aca="false">N(Q1788)+IF(AND(N(E1789)&lt;&gt;0,K1789=TAHUN,N(J1789)&lt;=BLN,OR(C1789=BB_AKUN,D1789=BB_AKUN)),1,0)</f>
        <v>877</v>
      </c>
      <c r="R1789" s="104" t="str">
        <f aca="false">IF(OR(C1789&amp;D1789="",N(E1789)=0),"",IF(OR(O1789="?",P1789="?"),"⚠ akun tidak dikenal",IF(C1789=D1789,"⚠ debet = kredit","")))</f>
        <v/>
      </c>
    </row>
    <row r="1790" customFormat="false" ht="15" hidden="false" customHeight="false" outlineLevel="0" collapsed="false">
      <c r="A1790" s="5"/>
      <c r="B1790" s="83"/>
      <c r="C1790" s="5"/>
      <c r="D1790" s="5"/>
      <c r="E1790" s="44"/>
      <c r="F1790" s="5"/>
      <c r="G1790" s="5"/>
      <c r="H1790" s="5"/>
      <c r="I1790" s="5"/>
      <c r="J1790" s="102" t="str">
        <f aca="false">IF(B1790="","",MONTH(B1790))</f>
        <v/>
      </c>
      <c r="K1790" s="102" t="str">
        <f aca="false">IF(B1790="","",YEAR(B1790))</f>
        <v/>
      </c>
      <c r="L1790" s="102" t="str">
        <f aca="false">IF(N(E1790)=0,"",IF(COUNTIFS(AK_NAMA,C1790,AK_KAT,"KAS")+COUNTIFS(AK_NAMA,D1790,AK_KAT,"KAS")&lt;&gt;1,"",IF(COUNTIFS(AK_NAMA,C1790,AK_KAT,"KAS")=1,D1790,C1790)))</f>
        <v/>
      </c>
      <c r="M1790" s="103" t="n">
        <f aca="false">IF(L1790="",0,IF(L1790=D1790,E1790,-E1790))</f>
        <v>0</v>
      </c>
      <c r="N1790" s="102" t="str">
        <f aca="false">IF(L1790="","",IFERROR(INDEX(AK_BARIS,MATCH(L1790,AK_NAMA,0)),"?"))</f>
        <v/>
      </c>
      <c r="O1790" s="102" t="str">
        <f aca="false">IF(C1790="","",IFERROR(INDEX(AK_KEL,MATCH(C1790,AK_NAMA,0)),"?"))</f>
        <v/>
      </c>
      <c r="P1790" s="102" t="str">
        <f aca="false">IF(D1790="","",IFERROR(INDEX(AK_KEL,MATCH(D1790,AK_NAMA,0)),"?"))</f>
        <v/>
      </c>
      <c r="Q1790" s="102" t="n">
        <f aca="false">N(Q1789)+IF(AND(N(E1790)&lt;&gt;0,K1790=TAHUN,N(J1790)&lt;=BLN,OR(C1790=BB_AKUN,D1790=BB_AKUN)),1,0)</f>
        <v>877</v>
      </c>
      <c r="R1790" s="104" t="str">
        <f aca="false">IF(OR(C1790&amp;D1790="",N(E1790)=0),"",IF(OR(O1790="?",P1790="?"),"⚠ akun tidak dikenal",IF(C1790=D1790,"⚠ debet = kredit","")))</f>
        <v/>
      </c>
    </row>
    <row r="1791" customFormat="false" ht="15" hidden="false" customHeight="false" outlineLevel="0" collapsed="false">
      <c r="A1791" s="5"/>
      <c r="B1791" s="83"/>
      <c r="C1791" s="5"/>
      <c r="D1791" s="5"/>
      <c r="E1791" s="44"/>
      <c r="F1791" s="5"/>
      <c r="G1791" s="5"/>
      <c r="H1791" s="5"/>
      <c r="I1791" s="5"/>
      <c r="J1791" s="102" t="str">
        <f aca="false">IF(B1791="","",MONTH(B1791))</f>
        <v/>
      </c>
      <c r="K1791" s="102" t="str">
        <f aca="false">IF(B1791="","",YEAR(B1791))</f>
        <v/>
      </c>
      <c r="L1791" s="102" t="str">
        <f aca="false">IF(N(E1791)=0,"",IF(COUNTIFS(AK_NAMA,C1791,AK_KAT,"KAS")+COUNTIFS(AK_NAMA,D1791,AK_KAT,"KAS")&lt;&gt;1,"",IF(COUNTIFS(AK_NAMA,C1791,AK_KAT,"KAS")=1,D1791,C1791)))</f>
        <v/>
      </c>
      <c r="M1791" s="103" t="n">
        <f aca="false">IF(L1791="",0,IF(L1791=D1791,E1791,-E1791))</f>
        <v>0</v>
      </c>
      <c r="N1791" s="102" t="str">
        <f aca="false">IF(L1791="","",IFERROR(INDEX(AK_BARIS,MATCH(L1791,AK_NAMA,0)),"?"))</f>
        <v/>
      </c>
      <c r="O1791" s="102" t="str">
        <f aca="false">IF(C1791="","",IFERROR(INDEX(AK_KEL,MATCH(C1791,AK_NAMA,0)),"?"))</f>
        <v/>
      </c>
      <c r="P1791" s="102" t="str">
        <f aca="false">IF(D1791="","",IFERROR(INDEX(AK_KEL,MATCH(D1791,AK_NAMA,0)),"?"))</f>
        <v/>
      </c>
      <c r="Q1791" s="102" t="n">
        <f aca="false">N(Q1790)+IF(AND(N(E1791)&lt;&gt;0,K1791=TAHUN,N(J1791)&lt;=BLN,OR(C1791=BB_AKUN,D1791=BB_AKUN)),1,0)</f>
        <v>877</v>
      </c>
      <c r="R1791" s="104" t="str">
        <f aca="false">IF(OR(C1791&amp;D1791="",N(E1791)=0),"",IF(OR(O1791="?",P1791="?"),"⚠ akun tidak dikenal",IF(C1791=D1791,"⚠ debet = kredit","")))</f>
        <v/>
      </c>
    </row>
    <row r="1792" customFormat="false" ht="15" hidden="false" customHeight="false" outlineLevel="0" collapsed="false">
      <c r="A1792" s="5"/>
      <c r="B1792" s="83"/>
      <c r="C1792" s="5"/>
      <c r="D1792" s="5"/>
      <c r="E1792" s="44"/>
      <c r="F1792" s="5"/>
      <c r="G1792" s="5"/>
      <c r="H1792" s="5"/>
      <c r="I1792" s="5"/>
      <c r="J1792" s="102" t="str">
        <f aca="false">IF(B1792="","",MONTH(B1792))</f>
        <v/>
      </c>
      <c r="K1792" s="102" t="str">
        <f aca="false">IF(B1792="","",YEAR(B1792))</f>
        <v/>
      </c>
      <c r="L1792" s="102" t="str">
        <f aca="false">IF(N(E1792)=0,"",IF(COUNTIFS(AK_NAMA,C1792,AK_KAT,"KAS")+COUNTIFS(AK_NAMA,D1792,AK_KAT,"KAS")&lt;&gt;1,"",IF(COUNTIFS(AK_NAMA,C1792,AK_KAT,"KAS")=1,D1792,C1792)))</f>
        <v/>
      </c>
      <c r="M1792" s="103" t="n">
        <f aca="false">IF(L1792="",0,IF(L1792=D1792,E1792,-E1792))</f>
        <v>0</v>
      </c>
      <c r="N1792" s="102" t="str">
        <f aca="false">IF(L1792="","",IFERROR(INDEX(AK_BARIS,MATCH(L1792,AK_NAMA,0)),"?"))</f>
        <v/>
      </c>
      <c r="O1792" s="102" t="str">
        <f aca="false">IF(C1792="","",IFERROR(INDEX(AK_KEL,MATCH(C1792,AK_NAMA,0)),"?"))</f>
        <v/>
      </c>
      <c r="P1792" s="102" t="str">
        <f aca="false">IF(D1792="","",IFERROR(INDEX(AK_KEL,MATCH(D1792,AK_NAMA,0)),"?"))</f>
        <v/>
      </c>
      <c r="Q1792" s="102" t="n">
        <f aca="false">N(Q1791)+IF(AND(N(E1792)&lt;&gt;0,K1792=TAHUN,N(J1792)&lt;=BLN,OR(C1792=BB_AKUN,D1792=BB_AKUN)),1,0)</f>
        <v>877</v>
      </c>
      <c r="R1792" s="104" t="str">
        <f aca="false">IF(OR(C1792&amp;D1792="",N(E1792)=0),"",IF(OR(O1792="?",P1792="?"),"⚠ akun tidak dikenal",IF(C1792=D1792,"⚠ debet = kredit","")))</f>
        <v/>
      </c>
    </row>
    <row r="1793" customFormat="false" ht="15" hidden="false" customHeight="false" outlineLevel="0" collapsed="false">
      <c r="A1793" s="5"/>
      <c r="B1793" s="83"/>
      <c r="C1793" s="5"/>
      <c r="D1793" s="5"/>
      <c r="E1793" s="44"/>
      <c r="F1793" s="5"/>
      <c r="G1793" s="5"/>
      <c r="H1793" s="5"/>
      <c r="I1793" s="5"/>
      <c r="J1793" s="102" t="str">
        <f aca="false">IF(B1793="","",MONTH(B1793))</f>
        <v/>
      </c>
      <c r="K1793" s="102" t="str">
        <f aca="false">IF(B1793="","",YEAR(B1793))</f>
        <v/>
      </c>
      <c r="L1793" s="102" t="str">
        <f aca="false">IF(N(E1793)=0,"",IF(COUNTIFS(AK_NAMA,C1793,AK_KAT,"KAS")+COUNTIFS(AK_NAMA,D1793,AK_KAT,"KAS")&lt;&gt;1,"",IF(COUNTIFS(AK_NAMA,C1793,AK_KAT,"KAS")=1,D1793,C1793)))</f>
        <v/>
      </c>
      <c r="M1793" s="103" t="n">
        <f aca="false">IF(L1793="",0,IF(L1793=D1793,E1793,-E1793))</f>
        <v>0</v>
      </c>
      <c r="N1793" s="102" t="str">
        <f aca="false">IF(L1793="","",IFERROR(INDEX(AK_BARIS,MATCH(L1793,AK_NAMA,0)),"?"))</f>
        <v/>
      </c>
      <c r="O1793" s="102" t="str">
        <f aca="false">IF(C1793="","",IFERROR(INDEX(AK_KEL,MATCH(C1793,AK_NAMA,0)),"?"))</f>
        <v/>
      </c>
      <c r="P1793" s="102" t="str">
        <f aca="false">IF(D1793="","",IFERROR(INDEX(AK_KEL,MATCH(D1793,AK_NAMA,0)),"?"))</f>
        <v/>
      </c>
      <c r="Q1793" s="102" t="n">
        <f aca="false">N(Q1792)+IF(AND(N(E1793)&lt;&gt;0,K1793=TAHUN,N(J1793)&lt;=BLN,OR(C1793=BB_AKUN,D1793=BB_AKUN)),1,0)</f>
        <v>877</v>
      </c>
      <c r="R1793" s="104" t="str">
        <f aca="false">IF(OR(C1793&amp;D1793="",N(E1793)=0),"",IF(OR(O1793="?",P1793="?"),"⚠ akun tidak dikenal",IF(C1793=D1793,"⚠ debet = kredit","")))</f>
        <v/>
      </c>
    </row>
    <row r="1794" customFormat="false" ht="15" hidden="false" customHeight="false" outlineLevel="0" collapsed="false">
      <c r="A1794" s="5"/>
      <c r="B1794" s="83"/>
      <c r="C1794" s="5"/>
      <c r="D1794" s="5"/>
      <c r="E1794" s="44"/>
      <c r="F1794" s="5"/>
      <c r="G1794" s="5"/>
      <c r="H1794" s="5"/>
      <c r="I1794" s="5"/>
      <c r="J1794" s="102" t="str">
        <f aca="false">IF(B1794="","",MONTH(B1794))</f>
        <v/>
      </c>
      <c r="K1794" s="102" t="str">
        <f aca="false">IF(B1794="","",YEAR(B1794))</f>
        <v/>
      </c>
      <c r="L1794" s="102" t="str">
        <f aca="false">IF(N(E1794)=0,"",IF(COUNTIFS(AK_NAMA,C1794,AK_KAT,"KAS")+COUNTIFS(AK_NAMA,D1794,AK_KAT,"KAS")&lt;&gt;1,"",IF(COUNTIFS(AK_NAMA,C1794,AK_KAT,"KAS")=1,D1794,C1794)))</f>
        <v/>
      </c>
      <c r="M1794" s="103" t="n">
        <f aca="false">IF(L1794="",0,IF(L1794=D1794,E1794,-E1794))</f>
        <v>0</v>
      </c>
      <c r="N1794" s="102" t="str">
        <f aca="false">IF(L1794="","",IFERROR(INDEX(AK_BARIS,MATCH(L1794,AK_NAMA,0)),"?"))</f>
        <v/>
      </c>
      <c r="O1794" s="102" t="str">
        <f aca="false">IF(C1794="","",IFERROR(INDEX(AK_KEL,MATCH(C1794,AK_NAMA,0)),"?"))</f>
        <v/>
      </c>
      <c r="P1794" s="102" t="str">
        <f aca="false">IF(D1794="","",IFERROR(INDEX(AK_KEL,MATCH(D1794,AK_NAMA,0)),"?"))</f>
        <v/>
      </c>
      <c r="Q1794" s="102" t="n">
        <f aca="false">N(Q1793)+IF(AND(N(E1794)&lt;&gt;0,K1794=TAHUN,N(J1794)&lt;=BLN,OR(C1794=BB_AKUN,D1794=BB_AKUN)),1,0)</f>
        <v>877</v>
      </c>
      <c r="R1794" s="104" t="str">
        <f aca="false">IF(OR(C1794&amp;D1794="",N(E1794)=0),"",IF(OR(O1794="?",P1794="?"),"⚠ akun tidak dikenal",IF(C1794=D1794,"⚠ debet = kredit","")))</f>
        <v/>
      </c>
    </row>
    <row r="1795" customFormat="false" ht="15" hidden="false" customHeight="false" outlineLevel="0" collapsed="false">
      <c r="A1795" s="5"/>
      <c r="B1795" s="83"/>
      <c r="C1795" s="5"/>
      <c r="D1795" s="5"/>
      <c r="E1795" s="44"/>
      <c r="F1795" s="5"/>
      <c r="G1795" s="5"/>
      <c r="H1795" s="5"/>
      <c r="I1795" s="5"/>
      <c r="J1795" s="102" t="str">
        <f aca="false">IF(B1795="","",MONTH(B1795))</f>
        <v/>
      </c>
      <c r="K1795" s="102" t="str">
        <f aca="false">IF(B1795="","",YEAR(B1795))</f>
        <v/>
      </c>
      <c r="L1795" s="102" t="str">
        <f aca="false">IF(N(E1795)=0,"",IF(COUNTIFS(AK_NAMA,C1795,AK_KAT,"KAS")+COUNTIFS(AK_NAMA,D1795,AK_KAT,"KAS")&lt;&gt;1,"",IF(COUNTIFS(AK_NAMA,C1795,AK_KAT,"KAS")=1,D1795,C1795)))</f>
        <v/>
      </c>
      <c r="M1795" s="103" t="n">
        <f aca="false">IF(L1795="",0,IF(L1795=D1795,E1795,-E1795))</f>
        <v>0</v>
      </c>
      <c r="N1795" s="102" t="str">
        <f aca="false">IF(L1795="","",IFERROR(INDEX(AK_BARIS,MATCH(L1795,AK_NAMA,0)),"?"))</f>
        <v/>
      </c>
      <c r="O1795" s="102" t="str">
        <f aca="false">IF(C1795="","",IFERROR(INDEX(AK_KEL,MATCH(C1795,AK_NAMA,0)),"?"))</f>
        <v/>
      </c>
      <c r="P1795" s="102" t="str">
        <f aca="false">IF(D1795="","",IFERROR(INDEX(AK_KEL,MATCH(D1795,AK_NAMA,0)),"?"))</f>
        <v/>
      </c>
      <c r="Q1795" s="102" t="n">
        <f aca="false">N(Q1794)+IF(AND(N(E1795)&lt;&gt;0,K1795=TAHUN,N(J1795)&lt;=BLN,OR(C1795=BB_AKUN,D1795=BB_AKUN)),1,0)</f>
        <v>877</v>
      </c>
      <c r="R1795" s="104" t="str">
        <f aca="false">IF(OR(C1795&amp;D1795="",N(E1795)=0),"",IF(OR(O1795="?",P1795="?"),"⚠ akun tidak dikenal",IF(C1795=D1795,"⚠ debet = kredit","")))</f>
        <v/>
      </c>
    </row>
    <row r="1796" customFormat="false" ht="15" hidden="false" customHeight="false" outlineLevel="0" collapsed="false">
      <c r="A1796" s="5"/>
      <c r="B1796" s="83"/>
      <c r="C1796" s="5"/>
      <c r="D1796" s="5"/>
      <c r="E1796" s="44"/>
      <c r="F1796" s="5"/>
      <c r="G1796" s="5"/>
      <c r="H1796" s="5"/>
      <c r="I1796" s="5"/>
      <c r="J1796" s="102" t="str">
        <f aca="false">IF(B1796="","",MONTH(B1796))</f>
        <v/>
      </c>
      <c r="K1796" s="102" t="str">
        <f aca="false">IF(B1796="","",YEAR(B1796))</f>
        <v/>
      </c>
      <c r="L1796" s="102" t="str">
        <f aca="false">IF(N(E1796)=0,"",IF(COUNTIFS(AK_NAMA,C1796,AK_KAT,"KAS")+COUNTIFS(AK_NAMA,D1796,AK_KAT,"KAS")&lt;&gt;1,"",IF(COUNTIFS(AK_NAMA,C1796,AK_KAT,"KAS")=1,D1796,C1796)))</f>
        <v/>
      </c>
      <c r="M1796" s="103" t="n">
        <f aca="false">IF(L1796="",0,IF(L1796=D1796,E1796,-E1796))</f>
        <v>0</v>
      </c>
      <c r="N1796" s="102" t="str">
        <f aca="false">IF(L1796="","",IFERROR(INDEX(AK_BARIS,MATCH(L1796,AK_NAMA,0)),"?"))</f>
        <v/>
      </c>
      <c r="O1796" s="102" t="str">
        <f aca="false">IF(C1796="","",IFERROR(INDEX(AK_KEL,MATCH(C1796,AK_NAMA,0)),"?"))</f>
        <v/>
      </c>
      <c r="P1796" s="102" t="str">
        <f aca="false">IF(D1796="","",IFERROR(INDEX(AK_KEL,MATCH(D1796,AK_NAMA,0)),"?"))</f>
        <v/>
      </c>
      <c r="Q1796" s="102" t="n">
        <f aca="false">N(Q1795)+IF(AND(N(E1796)&lt;&gt;0,K1796=TAHUN,N(J1796)&lt;=BLN,OR(C1796=BB_AKUN,D1796=BB_AKUN)),1,0)</f>
        <v>877</v>
      </c>
      <c r="R1796" s="104" t="str">
        <f aca="false">IF(OR(C1796&amp;D1796="",N(E1796)=0),"",IF(OR(O1796="?",P1796="?"),"⚠ akun tidak dikenal",IF(C1796=D1796,"⚠ debet = kredit","")))</f>
        <v/>
      </c>
    </row>
    <row r="1797" customFormat="false" ht="15" hidden="false" customHeight="false" outlineLevel="0" collapsed="false">
      <c r="A1797" s="5"/>
      <c r="B1797" s="83"/>
      <c r="C1797" s="5"/>
      <c r="D1797" s="5"/>
      <c r="E1797" s="44"/>
      <c r="F1797" s="5"/>
      <c r="G1797" s="5"/>
      <c r="H1797" s="5"/>
      <c r="I1797" s="5"/>
      <c r="J1797" s="102" t="str">
        <f aca="false">IF(B1797="","",MONTH(B1797))</f>
        <v/>
      </c>
      <c r="K1797" s="102" t="str">
        <f aca="false">IF(B1797="","",YEAR(B1797))</f>
        <v/>
      </c>
      <c r="L1797" s="102" t="str">
        <f aca="false">IF(N(E1797)=0,"",IF(COUNTIFS(AK_NAMA,C1797,AK_KAT,"KAS")+COUNTIFS(AK_NAMA,D1797,AK_KAT,"KAS")&lt;&gt;1,"",IF(COUNTIFS(AK_NAMA,C1797,AK_KAT,"KAS")=1,D1797,C1797)))</f>
        <v/>
      </c>
      <c r="M1797" s="103" t="n">
        <f aca="false">IF(L1797="",0,IF(L1797=D1797,E1797,-E1797))</f>
        <v>0</v>
      </c>
      <c r="N1797" s="102" t="str">
        <f aca="false">IF(L1797="","",IFERROR(INDEX(AK_BARIS,MATCH(L1797,AK_NAMA,0)),"?"))</f>
        <v/>
      </c>
      <c r="O1797" s="102" t="str">
        <f aca="false">IF(C1797="","",IFERROR(INDEX(AK_KEL,MATCH(C1797,AK_NAMA,0)),"?"))</f>
        <v/>
      </c>
      <c r="P1797" s="102" t="str">
        <f aca="false">IF(D1797="","",IFERROR(INDEX(AK_KEL,MATCH(D1797,AK_NAMA,0)),"?"))</f>
        <v/>
      </c>
      <c r="Q1797" s="102" t="n">
        <f aca="false">N(Q1796)+IF(AND(N(E1797)&lt;&gt;0,K1797=TAHUN,N(J1797)&lt;=BLN,OR(C1797=BB_AKUN,D1797=BB_AKUN)),1,0)</f>
        <v>877</v>
      </c>
      <c r="R1797" s="104" t="str">
        <f aca="false">IF(OR(C1797&amp;D1797="",N(E1797)=0),"",IF(OR(O1797="?",P1797="?"),"⚠ akun tidak dikenal",IF(C1797=D1797,"⚠ debet = kredit","")))</f>
        <v/>
      </c>
    </row>
    <row r="1798" customFormat="false" ht="15" hidden="false" customHeight="false" outlineLevel="0" collapsed="false">
      <c r="A1798" s="5"/>
      <c r="B1798" s="83"/>
      <c r="C1798" s="5"/>
      <c r="D1798" s="5"/>
      <c r="E1798" s="44"/>
      <c r="F1798" s="5"/>
      <c r="G1798" s="5"/>
      <c r="H1798" s="5"/>
      <c r="I1798" s="5"/>
      <c r="J1798" s="102" t="str">
        <f aca="false">IF(B1798="","",MONTH(B1798))</f>
        <v/>
      </c>
      <c r="K1798" s="102" t="str">
        <f aca="false">IF(B1798="","",YEAR(B1798))</f>
        <v/>
      </c>
      <c r="L1798" s="102" t="str">
        <f aca="false">IF(N(E1798)=0,"",IF(COUNTIFS(AK_NAMA,C1798,AK_KAT,"KAS")+COUNTIFS(AK_NAMA,D1798,AK_KAT,"KAS")&lt;&gt;1,"",IF(COUNTIFS(AK_NAMA,C1798,AK_KAT,"KAS")=1,D1798,C1798)))</f>
        <v/>
      </c>
      <c r="M1798" s="103" t="n">
        <f aca="false">IF(L1798="",0,IF(L1798=D1798,E1798,-E1798))</f>
        <v>0</v>
      </c>
      <c r="N1798" s="102" t="str">
        <f aca="false">IF(L1798="","",IFERROR(INDEX(AK_BARIS,MATCH(L1798,AK_NAMA,0)),"?"))</f>
        <v/>
      </c>
      <c r="O1798" s="102" t="str">
        <f aca="false">IF(C1798="","",IFERROR(INDEX(AK_KEL,MATCH(C1798,AK_NAMA,0)),"?"))</f>
        <v/>
      </c>
      <c r="P1798" s="102" t="str">
        <f aca="false">IF(D1798="","",IFERROR(INDEX(AK_KEL,MATCH(D1798,AK_NAMA,0)),"?"))</f>
        <v/>
      </c>
      <c r="Q1798" s="102" t="n">
        <f aca="false">N(Q1797)+IF(AND(N(E1798)&lt;&gt;0,K1798=TAHUN,N(J1798)&lt;=BLN,OR(C1798=BB_AKUN,D1798=BB_AKUN)),1,0)</f>
        <v>877</v>
      </c>
      <c r="R1798" s="104" t="str">
        <f aca="false">IF(OR(C1798&amp;D1798="",N(E1798)=0),"",IF(OR(O1798="?",P1798="?"),"⚠ akun tidak dikenal",IF(C1798=D1798,"⚠ debet = kredit","")))</f>
        <v/>
      </c>
    </row>
    <row r="1799" customFormat="false" ht="15" hidden="false" customHeight="false" outlineLevel="0" collapsed="false">
      <c r="A1799" s="5"/>
      <c r="B1799" s="83"/>
      <c r="C1799" s="5"/>
      <c r="D1799" s="5"/>
      <c r="E1799" s="44"/>
      <c r="F1799" s="5"/>
      <c r="G1799" s="5"/>
      <c r="H1799" s="5"/>
      <c r="I1799" s="5"/>
      <c r="J1799" s="102" t="str">
        <f aca="false">IF(B1799="","",MONTH(B1799))</f>
        <v/>
      </c>
      <c r="K1799" s="102" t="str">
        <f aca="false">IF(B1799="","",YEAR(B1799))</f>
        <v/>
      </c>
      <c r="L1799" s="102" t="str">
        <f aca="false">IF(N(E1799)=0,"",IF(COUNTIFS(AK_NAMA,C1799,AK_KAT,"KAS")+COUNTIFS(AK_NAMA,D1799,AK_KAT,"KAS")&lt;&gt;1,"",IF(COUNTIFS(AK_NAMA,C1799,AK_KAT,"KAS")=1,D1799,C1799)))</f>
        <v/>
      </c>
      <c r="M1799" s="103" t="n">
        <f aca="false">IF(L1799="",0,IF(L1799=D1799,E1799,-E1799))</f>
        <v>0</v>
      </c>
      <c r="N1799" s="102" t="str">
        <f aca="false">IF(L1799="","",IFERROR(INDEX(AK_BARIS,MATCH(L1799,AK_NAMA,0)),"?"))</f>
        <v/>
      </c>
      <c r="O1799" s="102" t="str">
        <f aca="false">IF(C1799="","",IFERROR(INDEX(AK_KEL,MATCH(C1799,AK_NAMA,0)),"?"))</f>
        <v/>
      </c>
      <c r="P1799" s="102" t="str">
        <f aca="false">IF(D1799="","",IFERROR(INDEX(AK_KEL,MATCH(D1799,AK_NAMA,0)),"?"))</f>
        <v/>
      </c>
      <c r="Q1799" s="102" t="n">
        <f aca="false">N(Q1798)+IF(AND(N(E1799)&lt;&gt;0,K1799=TAHUN,N(J1799)&lt;=BLN,OR(C1799=BB_AKUN,D1799=BB_AKUN)),1,0)</f>
        <v>877</v>
      </c>
      <c r="R1799" s="104" t="str">
        <f aca="false">IF(OR(C1799&amp;D1799="",N(E1799)=0),"",IF(OR(O1799="?",P1799="?"),"⚠ akun tidak dikenal",IF(C1799=D1799,"⚠ debet = kredit","")))</f>
        <v/>
      </c>
    </row>
    <row r="1800" customFormat="false" ht="15" hidden="false" customHeight="false" outlineLevel="0" collapsed="false">
      <c r="A1800" s="5"/>
      <c r="B1800" s="83"/>
      <c r="C1800" s="5"/>
      <c r="D1800" s="5"/>
      <c r="E1800" s="44"/>
      <c r="F1800" s="5"/>
      <c r="G1800" s="5"/>
      <c r="H1800" s="5"/>
      <c r="I1800" s="5"/>
      <c r="J1800" s="102" t="str">
        <f aca="false">IF(B1800="","",MONTH(B1800))</f>
        <v/>
      </c>
      <c r="K1800" s="102" t="str">
        <f aca="false">IF(B1800="","",YEAR(B1800))</f>
        <v/>
      </c>
      <c r="L1800" s="102" t="str">
        <f aca="false">IF(N(E1800)=0,"",IF(COUNTIFS(AK_NAMA,C1800,AK_KAT,"KAS")+COUNTIFS(AK_NAMA,D1800,AK_KAT,"KAS")&lt;&gt;1,"",IF(COUNTIFS(AK_NAMA,C1800,AK_KAT,"KAS")=1,D1800,C1800)))</f>
        <v/>
      </c>
      <c r="M1800" s="103" t="n">
        <f aca="false">IF(L1800="",0,IF(L1800=D1800,E1800,-E1800))</f>
        <v>0</v>
      </c>
      <c r="N1800" s="102" t="str">
        <f aca="false">IF(L1800="","",IFERROR(INDEX(AK_BARIS,MATCH(L1800,AK_NAMA,0)),"?"))</f>
        <v/>
      </c>
      <c r="O1800" s="102" t="str">
        <f aca="false">IF(C1800="","",IFERROR(INDEX(AK_KEL,MATCH(C1800,AK_NAMA,0)),"?"))</f>
        <v/>
      </c>
      <c r="P1800" s="102" t="str">
        <f aca="false">IF(D1800="","",IFERROR(INDEX(AK_KEL,MATCH(D1800,AK_NAMA,0)),"?"))</f>
        <v/>
      </c>
      <c r="Q1800" s="102" t="n">
        <f aca="false">N(Q1799)+IF(AND(N(E1800)&lt;&gt;0,K1800=TAHUN,N(J1800)&lt;=BLN,OR(C1800=BB_AKUN,D1800=BB_AKUN)),1,0)</f>
        <v>877</v>
      </c>
      <c r="R1800" s="104" t="str">
        <f aca="false">IF(OR(C1800&amp;D1800="",N(E1800)=0),"",IF(OR(O1800="?",P1800="?"),"⚠ akun tidak dikenal",IF(C1800=D1800,"⚠ debet = kredit","")))</f>
        <v/>
      </c>
    </row>
    <row r="1801" customFormat="false" ht="15" hidden="false" customHeight="false" outlineLevel="0" collapsed="false">
      <c r="A1801" s="5"/>
      <c r="B1801" s="83"/>
      <c r="C1801" s="5"/>
      <c r="D1801" s="5"/>
      <c r="E1801" s="44"/>
      <c r="F1801" s="5"/>
      <c r="G1801" s="5"/>
      <c r="H1801" s="5"/>
      <c r="I1801" s="5"/>
      <c r="J1801" s="102" t="str">
        <f aca="false">IF(B1801="","",MONTH(B1801))</f>
        <v/>
      </c>
      <c r="K1801" s="102" t="str">
        <f aca="false">IF(B1801="","",YEAR(B1801))</f>
        <v/>
      </c>
      <c r="L1801" s="102" t="str">
        <f aca="false">IF(N(E1801)=0,"",IF(COUNTIFS(AK_NAMA,C1801,AK_KAT,"KAS")+COUNTIFS(AK_NAMA,D1801,AK_KAT,"KAS")&lt;&gt;1,"",IF(COUNTIFS(AK_NAMA,C1801,AK_KAT,"KAS")=1,D1801,C1801)))</f>
        <v/>
      </c>
      <c r="M1801" s="103" t="n">
        <f aca="false">IF(L1801="",0,IF(L1801=D1801,E1801,-E1801))</f>
        <v>0</v>
      </c>
      <c r="N1801" s="102" t="str">
        <f aca="false">IF(L1801="","",IFERROR(INDEX(AK_BARIS,MATCH(L1801,AK_NAMA,0)),"?"))</f>
        <v/>
      </c>
      <c r="O1801" s="102" t="str">
        <f aca="false">IF(C1801="","",IFERROR(INDEX(AK_KEL,MATCH(C1801,AK_NAMA,0)),"?"))</f>
        <v/>
      </c>
      <c r="P1801" s="102" t="str">
        <f aca="false">IF(D1801="","",IFERROR(INDEX(AK_KEL,MATCH(D1801,AK_NAMA,0)),"?"))</f>
        <v/>
      </c>
      <c r="Q1801" s="102" t="n">
        <f aca="false">N(Q1800)+IF(AND(N(E1801)&lt;&gt;0,K1801=TAHUN,N(J1801)&lt;=BLN,OR(C1801=BB_AKUN,D1801=BB_AKUN)),1,0)</f>
        <v>877</v>
      </c>
      <c r="R1801" s="104" t="str">
        <f aca="false">IF(OR(C1801&amp;D1801="",N(E1801)=0),"",IF(OR(O1801="?",P1801="?"),"⚠ akun tidak dikenal",IF(C1801=D1801,"⚠ debet = kredit","")))</f>
        <v/>
      </c>
    </row>
    <row r="1802" customFormat="false" ht="15" hidden="false" customHeight="false" outlineLevel="0" collapsed="false">
      <c r="A1802" s="5"/>
      <c r="B1802" s="83"/>
      <c r="C1802" s="5"/>
      <c r="D1802" s="5"/>
      <c r="E1802" s="44"/>
      <c r="F1802" s="5"/>
      <c r="G1802" s="5"/>
      <c r="H1802" s="5"/>
      <c r="I1802" s="5"/>
      <c r="J1802" s="102" t="str">
        <f aca="false">IF(B1802="","",MONTH(B1802))</f>
        <v/>
      </c>
      <c r="K1802" s="102" t="str">
        <f aca="false">IF(B1802="","",YEAR(B1802))</f>
        <v/>
      </c>
      <c r="L1802" s="102" t="str">
        <f aca="false">IF(N(E1802)=0,"",IF(COUNTIFS(AK_NAMA,C1802,AK_KAT,"KAS")+COUNTIFS(AK_NAMA,D1802,AK_KAT,"KAS")&lt;&gt;1,"",IF(COUNTIFS(AK_NAMA,C1802,AK_KAT,"KAS")=1,D1802,C1802)))</f>
        <v/>
      </c>
      <c r="M1802" s="103" t="n">
        <f aca="false">IF(L1802="",0,IF(L1802=D1802,E1802,-E1802))</f>
        <v>0</v>
      </c>
      <c r="N1802" s="102" t="str">
        <f aca="false">IF(L1802="","",IFERROR(INDEX(AK_BARIS,MATCH(L1802,AK_NAMA,0)),"?"))</f>
        <v/>
      </c>
      <c r="O1802" s="102" t="str">
        <f aca="false">IF(C1802="","",IFERROR(INDEX(AK_KEL,MATCH(C1802,AK_NAMA,0)),"?"))</f>
        <v/>
      </c>
      <c r="P1802" s="102" t="str">
        <f aca="false">IF(D1802="","",IFERROR(INDEX(AK_KEL,MATCH(D1802,AK_NAMA,0)),"?"))</f>
        <v/>
      </c>
      <c r="Q1802" s="102" t="n">
        <f aca="false">N(Q1801)+IF(AND(N(E1802)&lt;&gt;0,K1802=TAHUN,N(J1802)&lt;=BLN,OR(C1802=BB_AKUN,D1802=BB_AKUN)),1,0)</f>
        <v>877</v>
      </c>
      <c r="R1802" s="104" t="str">
        <f aca="false">IF(OR(C1802&amp;D1802="",N(E1802)=0),"",IF(OR(O1802="?",P1802="?"),"⚠ akun tidak dikenal",IF(C1802=D1802,"⚠ debet = kredit","")))</f>
        <v/>
      </c>
    </row>
    <row r="1803" customFormat="false" ht="15" hidden="false" customHeight="false" outlineLevel="0" collapsed="false">
      <c r="A1803" s="5"/>
      <c r="B1803" s="83"/>
      <c r="C1803" s="5"/>
      <c r="D1803" s="5"/>
      <c r="E1803" s="44"/>
      <c r="F1803" s="5"/>
      <c r="G1803" s="5"/>
      <c r="H1803" s="5"/>
      <c r="I1803" s="5"/>
      <c r="J1803" s="102" t="str">
        <f aca="false">IF(B1803="","",MONTH(B1803))</f>
        <v/>
      </c>
      <c r="K1803" s="102" t="str">
        <f aca="false">IF(B1803="","",YEAR(B1803))</f>
        <v/>
      </c>
      <c r="L1803" s="102" t="str">
        <f aca="false">IF(N(E1803)=0,"",IF(COUNTIFS(AK_NAMA,C1803,AK_KAT,"KAS")+COUNTIFS(AK_NAMA,D1803,AK_KAT,"KAS")&lt;&gt;1,"",IF(COUNTIFS(AK_NAMA,C1803,AK_KAT,"KAS")=1,D1803,C1803)))</f>
        <v/>
      </c>
      <c r="M1803" s="103" t="n">
        <f aca="false">IF(L1803="",0,IF(L1803=D1803,E1803,-E1803))</f>
        <v>0</v>
      </c>
      <c r="N1803" s="102" t="str">
        <f aca="false">IF(L1803="","",IFERROR(INDEX(AK_BARIS,MATCH(L1803,AK_NAMA,0)),"?"))</f>
        <v/>
      </c>
      <c r="O1803" s="102" t="str">
        <f aca="false">IF(C1803="","",IFERROR(INDEX(AK_KEL,MATCH(C1803,AK_NAMA,0)),"?"))</f>
        <v/>
      </c>
      <c r="P1803" s="102" t="str">
        <f aca="false">IF(D1803="","",IFERROR(INDEX(AK_KEL,MATCH(D1803,AK_NAMA,0)),"?"))</f>
        <v/>
      </c>
      <c r="Q1803" s="102" t="n">
        <f aca="false">N(Q1802)+IF(AND(N(E1803)&lt;&gt;0,K1803=TAHUN,N(J1803)&lt;=BLN,OR(C1803=BB_AKUN,D1803=BB_AKUN)),1,0)</f>
        <v>877</v>
      </c>
      <c r="R1803" s="104" t="str">
        <f aca="false">IF(OR(C1803&amp;D1803="",N(E1803)=0),"",IF(OR(O1803="?",P1803="?"),"⚠ akun tidak dikenal",IF(C1803=D1803,"⚠ debet = kredit","")))</f>
        <v/>
      </c>
    </row>
    <row r="1804" customFormat="false" ht="15" hidden="false" customHeight="false" outlineLevel="0" collapsed="false">
      <c r="A1804" s="5"/>
      <c r="B1804" s="83"/>
      <c r="C1804" s="5"/>
      <c r="D1804" s="5"/>
      <c r="E1804" s="44"/>
      <c r="F1804" s="5"/>
      <c r="G1804" s="5"/>
      <c r="H1804" s="5"/>
      <c r="I1804" s="5"/>
      <c r="J1804" s="102" t="str">
        <f aca="false">IF(B1804="","",MONTH(B1804))</f>
        <v/>
      </c>
      <c r="K1804" s="102" t="str">
        <f aca="false">IF(B1804="","",YEAR(B1804))</f>
        <v/>
      </c>
      <c r="L1804" s="102" t="str">
        <f aca="false">IF(N(E1804)=0,"",IF(COUNTIFS(AK_NAMA,C1804,AK_KAT,"KAS")+COUNTIFS(AK_NAMA,D1804,AK_KAT,"KAS")&lt;&gt;1,"",IF(COUNTIFS(AK_NAMA,C1804,AK_KAT,"KAS")=1,D1804,C1804)))</f>
        <v/>
      </c>
      <c r="M1804" s="103" t="n">
        <f aca="false">IF(L1804="",0,IF(L1804=D1804,E1804,-E1804))</f>
        <v>0</v>
      </c>
      <c r="N1804" s="102" t="str">
        <f aca="false">IF(L1804="","",IFERROR(INDEX(AK_BARIS,MATCH(L1804,AK_NAMA,0)),"?"))</f>
        <v/>
      </c>
      <c r="O1804" s="102" t="str">
        <f aca="false">IF(C1804="","",IFERROR(INDEX(AK_KEL,MATCH(C1804,AK_NAMA,0)),"?"))</f>
        <v/>
      </c>
      <c r="P1804" s="102" t="str">
        <f aca="false">IF(D1804="","",IFERROR(INDEX(AK_KEL,MATCH(D1804,AK_NAMA,0)),"?"))</f>
        <v/>
      </c>
      <c r="Q1804" s="102" t="n">
        <f aca="false">N(Q1803)+IF(AND(N(E1804)&lt;&gt;0,K1804=TAHUN,N(J1804)&lt;=BLN,OR(C1804=BB_AKUN,D1804=BB_AKUN)),1,0)</f>
        <v>877</v>
      </c>
      <c r="R1804" s="104" t="str">
        <f aca="false">IF(OR(C1804&amp;D1804="",N(E1804)=0),"",IF(OR(O1804="?",P1804="?"),"⚠ akun tidak dikenal",IF(C1804=D1804,"⚠ debet = kredit","")))</f>
        <v/>
      </c>
    </row>
    <row r="1805" customFormat="false" ht="15" hidden="false" customHeight="false" outlineLevel="0" collapsed="false">
      <c r="A1805" s="5"/>
      <c r="B1805" s="83"/>
      <c r="C1805" s="5"/>
      <c r="D1805" s="5"/>
      <c r="E1805" s="44"/>
      <c r="F1805" s="5"/>
      <c r="G1805" s="5"/>
      <c r="H1805" s="5"/>
      <c r="I1805" s="5"/>
      <c r="J1805" s="102" t="str">
        <f aca="false">IF(B1805="","",MONTH(B1805))</f>
        <v/>
      </c>
      <c r="K1805" s="102" t="str">
        <f aca="false">IF(B1805="","",YEAR(B1805))</f>
        <v/>
      </c>
      <c r="L1805" s="102" t="str">
        <f aca="false">IF(N(E1805)=0,"",IF(COUNTIFS(AK_NAMA,C1805,AK_KAT,"KAS")+COUNTIFS(AK_NAMA,D1805,AK_KAT,"KAS")&lt;&gt;1,"",IF(COUNTIFS(AK_NAMA,C1805,AK_KAT,"KAS")=1,D1805,C1805)))</f>
        <v/>
      </c>
      <c r="M1805" s="103" t="n">
        <f aca="false">IF(L1805="",0,IF(L1805=D1805,E1805,-E1805))</f>
        <v>0</v>
      </c>
      <c r="N1805" s="102" t="str">
        <f aca="false">IF(L1805="","",IFERROR(INDEX(AK_BARIS,MATCH(L1805,AK_NAMA,0)),"?"))</f>
        <v/>
      </c>
      <c r="O1805" s="102" t="str">
        <f aca="false">IF(C1805="","",IFERROR(INDEX(AK_KEL,MATCH(C1805,AK_NAMA,0)),"?"))</f>
        <v/>
      </c>
      <c r="P1805" s="102" t="str">
        <f aca="false">IF(D1805="","",IFERROR(INDEX(AK_KEL,MATCH(D1805,AK_NAMA,0)),"?"))</f>
        <v/>
      </c>
      <c r="Q1805" s="102" t="n">
        <f aca="false">N(Q1804)+IF(AND(N(E1805)&lt;&gt;0,K1805=TAHUN,N(J1805)&lt;=BLN,OR(C1805=BB_AKUN,D1805=BB_AKUN)),1,0)</f>
        <v>877</v>
      </c>
      <c r="R1805" s="104" t="str">
        <f aca="false">IF(OR(C1805&amp;D1805="",N(E1805)=0),"",IF(OR(O1805="?",P1805="?"),"⚠ akun tidak dikenal",IF(C1805=D1805,"⚠ debet = kredit","")))</f>
        <v/>
      </c>
    </row>
    <row r="1806" customFormat="false" ht="15" hidden="false" customHeight="false" outlineLevel="0" collapsed="false">
      <c r="A1806" s="5"/>
      <c r="B1806" s="83"/>
      <c r="C1806" s="5"/>
      <c r="D1806" s="5"/>
      <c r="E1806" s="44"/>
      <c r="F1806" s="5"/>
      <c r="G1806" s="5"/>
      <c r="H1806" s="5"/>
      <c r="I1806" s="5"/>
      <c r="J1806" s="102" t="str">
        <f aca="false">IF(B1806="","",MONTH(B1806))</f>
        <v/>
      </c>
      <c r="K1806" s="102" t="str">
        <f aca="false">IF(B1806="","",YEAR(B1806))</f>
        <v/>
      </c>
      <c r="L1806" s="102" t="str">
        <f aca="false">IF(N(E1806)=0,"",IF(COUNTIFS(AK_NAMA,C1806,AK_KAT,"KAS")+COUNTIFS(AK_NAMA,D1806,AK_KAT,"KAS")&lt;&gt;1,"",IF(COUNTIFS(AK_NAMA,C1806,AK_KAT,"KAS")=1,D1806,C1806)))</f>
        <v/>
      </c>
      <c r="M1806" s="103" t="n">
        <f aca="false">IF(L1806="",0,IF(L1806=D1806,E1806,-E1806))</f>
        <v>0</v>
      </c>
      <c r="N1806" s="102" t="str">
        <f aca="false">IF(L1806="","",IFERROR(INDEX(AK_BARIS,MATCH(L1806,AK_NAMA,0)),"?"))</f>
        <v/>
      </c>
      <c r="O1806" s="102" t="str">
        <f aca="false">IF(C1806="","",IFERROR(INDEX(AK_KEL,MATCH(C1806,AK_NAMA,0)),"?"))</f>
        <v/>
      </c>
      <c r="P1806" s="102" t="str">
        <f aca="false">IF(D1806="","",IFERROR(INDEX(AK_KEL,MATCH(D1806,AK_NAMA,0)),"?"))</f>
        <v/>
      </c>
      <c r="Q1806" s="102" t="n">
        <f aca="false">N(Q1805)+IF(AND(N(E1806)&lt;&gt;0,K1806=TAHUN,N(J1806)&lt;=BLN,OR(C1806=BB_AKUN,D1806=BB_AKUN)),1,0)</f>
        <v>877</v>
      </c>
      <c r="R1806" s="104" t="str">
        <f aca="false">IF(OR(C1806&amp;D1806="",N(E1806)=0),"",IF(OR(O1806="?",P1806="?"),"⚠ akun tidak dikenal",IF(C1806=D1806,"⚠ debet = kredit","")))</f>
        <v/>
      </c>
    </row>
    <row r="1807" customFormat="false" ht="15" hidden="false" customHeight="false" outlineLevel="0" collapsed="false">
      <c r="A1807" s="5"/>
      <c r="B1807" s="83"/>
      <c r="C1807" s="5"/>
      <c r="D1807" s="5"/>
      <c r="E1807" s="44"/>
      <c r="F1807" s="5"/>
      <c r="G1807" s="5"/>
      <c r="H1807" s="5"/>
      <c r="I1807" s="5"/>
      <c r="J1807" s="102" t="str">
        <f aca="false">IF(B1807="","",MONTH(B1807))</f>
        <v/>
      </c>
      <c r="K1807" s="102" t="str">
        <f aca="false">IF(B1807="","",YEAR(B1807))</f>
        <v/>
      </c>
      <c r="L1807" s="102" t="str">
        <f aca="false">IF(N(E1807)=0,"",IF(COUNTIFS(AK_NAMA,C1807,AK_KAT,"KAS")+COUNTIFS(AK_NAMA,D1807,AK_KAT,"KAS")&lt;&gt;1,"",IF(COUNTIFS(AK_NAMA,C1807,AK_KAT,"KAS")=1,D1807,C1807)))</f>
        <v/>
      </c>
      <c r="M1807" s="103" t="n">
        <f aca="false">IF(L1807="",0,IF(L1807=D1807,E1807,-E1807))</f>
        <v>0</v>
      </c>
      <c r="N1807" s="102" t="str">
        <f aca="false">IF(L1807="","",IFERROR(INDEX(AK_BARIS,MATCH(L1807,AK_NAMA,0)),"?"))</f>
        <v/>
      </c>
      <c r="O1807" s="102" t="str">
        <f aca="false">IF(C1807="","",IFERROR(INDEX(AK_KEL,MATCH(C1807,AK_NAMA,0)),"?"))</f>
        <v/>
      </c>
      <c r="P1807" s="102" t="str">
        <f aca="false">IF(D1807="","",IFERROR(INDEX(AK_KEL,MATCH(D1807,AK_NAMA,0)),"?"))</f>
        <v/>
      </c>
      <c r="Q1807" s="102" t="n">
        <f aca="false">N(Q1806)+IF(AND(N(E1807)&lt;&gt;0,K1807=TAHUN,N(J1807)&lt;=BLN,OR(C1807=BB_AKUN,D1807=BB_AKUN)),1,0)</f>
        <v>877</v>
      </c>
      <c r="R1807" s="104" t="str">
        <f aca="false">IF(OR(C1807&amp;D1807="",N(E1807)=0),"",IF(OR(O1807="?",P1807="?"),"⚠ akun tidak dikenal",IF(C1807=D1807,"⚠ debet = kredit","")))</f>
        <v/>
      </c>
    </row>
    <row r="1808" customFormat="false" ht="15" hidden="false" customHeight="false" outlineLevel="0" collapsed="false">
      <c r="A1808" s="5"/>
      <c r="B1808" s="83"/>
      <c r="C1808" s="5"/>
      <c r="D1808" s="5"/>
      <c r="E1808" s="44"/>
      <c r="F1808" s="5"/>
      <c r="G1808" s="5"/>
      <c r="H1808" s="5"/>
      <c r="I1808" s="5"/>
      <c r="J1808" s="102" t="str">
        <f aca="false">IF(B1808="","",MONTH(B1808))</f>
        <v/>
      </c>
      <c r="K1808" s="102" t="str">
        <f aca="false">IF(B1808="","",YEAR(B1808))</f>
        <v/>
      </c>
      <c r="L1808" s="102" t="str">
        <f aca="false">IF(N(E1808)=0,"",IF(COUNTIFS(AK_NAMA,C1808,AK_KAT,"KAS")+COUNTIFS(AK_NAMA,D1808,AK_KAT,"KAS")&lt;&gt;1,"",IF(COUNTIFS(AK_NAMA,C1808,AK_KAT,"KAS")=1,D1808,C1808)))</f>
        <v/>
      </c>
      <c r="M1808" s="103" t="n">
        <f aca="false">IF(L1808="",0,IF(L1808=D1808,E1808,-E1808))</f>
        <v>0</v>
      </c>
      <c r="N1808" s="102" t="str">
        <f aca="false">IF(L1808="","",IFERROR(INDEX(AK_BARIS,MATCH(L1808,AK_NAMA,0)),"?"))</f>
        <v/>
      </c>
      <c r="O1808" s="102" t="str">
        <f aca="false">IF(C1808="","",IFERROR(INDEX(AK_KEL,MATCH(C1808,AK_NAMA,0)),"?"))</f>
        <v/>
      </c>
      <c r="P1808" s="102" t="str">
        <f aca="false">IF(D1808="","",IFERROR(INDEX(AK_KEL,MATCH(D1808,AK_NAMA,0)),"?"))</f>
        <v/>
      </c>
      <c r="Q1808" s="102" t="n">
        <f aca="false">N(Q1807)+IF(AND(N(E1808)&lt;&gt;0,K1808=TAHUN,N(J1808)&lt;=BLN,OR(C1808=BB_AKUN,D1808=BB_AKUN)),1,0)</f>
        <v>877</v>
      </c>
      <c r="R1808" s="104" t="str">
        <f aca="false">IF(OR(C1808&amp;D1808="",N(E1808)=0),"",IF(OR(O1808="?",P1808="?"),"⚠ akun tidak dikenal",IF(C1808=D1808,"⚠ debet = kredit","")))</f>
        <v/>
      </c>
    </row>
    <row r="1809" customFormat="false" ht="15" hidden="false" customHeight="false" outlineLevel="0" collapsed="false">
      <c r="A1809" s="5"/>
      <c r="B1809" s="83"/>
      <c r="C1809" s="5"/>
      <c r="D1809" s="5"/>
      <c r="E1809" s="44"/>
      <c r="F1809" s="5"/>
      <c r="G1809" s="5"/>
      <c r="H1809" s="5"/>
      <c r="I1809" s="5"/>
      <c r="J1809" s="102" t="str">
        <f aca="false">IF(B1809="","",MONTH(B1809))</f>
        <v/>
      </c>
      <c r="K1809" s="102" t="str">
        <f aca="false">IF(B1809="","",YEAR(B1809))</f>
        <v/>
      </c>
      <c r="L1809" s="102" t="str">
        <f aca="false">IF(N(E1809)=0,"",IF(COUNTIFS(AK_NAMA,C1809,AK_KAT,"KAS")+COUNTIFS(AK_NAMA,D1809,AK_KAT,"KAS")&lt;&gt;1,"",IF(COUNTIFS(AK_NAMA,C1809,AK_KAT,"KAS")=1,D1809,C1809)))</f>
        <v/>
      </c>
      <c r="M1809" s="103" t="n">
        <f aca="false">IF(L1809="",0,IF(L1809=D1809,E1809,-E1809))</f>
        <v>0</v>
      </c>
      <c r="N1809" s="102" t="str">
        <f aca="false">IF(L1809="","",IFERROR(INDEX(AK_BARIS,MATCH(L1809,AK_NAMA,0)),"?"))</f>
        <v/>
      </c>
      <c r="O1809" s="102" t="str">
        <f aca="false">IF(C1809="","",IFERROR(INDEX(AK_KEL,MATCH(C1809,AK_NAMA,0)),"?"))</f>
        <v/>
      </c>
      <c r="P1809" s="102" t="str">
        <f aca="false">IF(D1809="","",IFERROR(INDEX(AK_KEL,MATCH(D1809,AK_NAMA,0)),"?"))</f>
        <v/>
      </c>
      <c r="Q1809" s="102" t="n">
        <f aca="false">N(Q1808)+IF(AND(N(E1809)&lt;&gt;0,K1809=TAHUN,N(J1809)&lt;=BLN,OR(C1809=BB_AKUN,D1809=BB_AKUN)),1,0)</f>
        <v>877</v>
      </c>
      <c r="R1809" s="104" t="str">
        <f aca="false">IF(OR(C1809&amp;D1809="",N(E1809)=0),"",IF(OR(O1809="?",P1809="?"),"⚠ akun tidak dikenal",IF(C1809=D1809,"⚠ debet = kredit","")))</f>
        <v/>
      </c>
    </row>
    <row r="1810" customFormat="false" ht="15" hidden="false" customHeight="false" outlineLevel="0" collapsed="false">
      <c r="A1810" s="5"/>
      <c r="B1810" s="83"/>
      <c r="C1810" s="5"/>
      <c r="D1810" s="5"/>
      <c r="E1810" s="44"/>
      <c r="F1810" s="5"/>
      <c r="G1810" s="5"/>
      <c r="H1810" s="5"/>
      <c r="I1810" s="5"/>
      <c r="J1810" s="102" t="str">
        <f aca="false">IF(B1810="","",MONTH(B1810))</f>
        <v/>
      </c>
      <c r="K1810" s="102" t="str">
        <f aca="false">IF(B1810="","",YEAR(B1810))</f>
        <v/>
      </c>
      <c r="L1810" s="102" t="str">
        <f aca="false">IF(N(E1810)=0,"",IF(COUNTIFS(AK_NAMA,C1810,AK_KAT,"KAS")+COUNTIFS(AK_NAMA,D1810,AK_KAT,"KAS")&lt;&gt;1,"",IF(COUNTIFS(AK_NAMA,C1810,AK_KAT,"KAS")=1,D1810,C1810)))</f>
        <v/>
      </c>
      <c r="M1810" s="103" t="n">
        <f aca="false">IF(L1810="",0,IF(L1810=D1810,E1810,-E1810))</f>
        <v>0</v>
      </c>
      <c r="N1810" s="102" t="str">
        <f aca="false">IF(L1810="","",IFERROR(INDEX(AK_BARIS,MATCH(L1810,AK_NAMA,0)),"?"))</f>
        <v/>
      </c>
      <c r="O1810" s="102" t="str">
        <f aca="false">IF(C1810="","",IFERROR(INDEX(AK_KEL,MATCH(C1810,AK_NAMA,0)),"?"))</f>
        <v/>
      </c>
      <c r="P1810" s="102" t="str">
        <f aca="false">IF(D1810="","",IFERROR(INDEX(AK_KEL,MATCH(D1810,AK_NAMA,0)),"?"))</f>
        <v/>
      </c>
      <c r="Q1810" s="102" t="n">
        <f aca="false">N(Q1809)+IF(AND(N(E1810)&lt;&gt;0,K1810=TAHUN,N(J1810)&lt;=BLN,OR(C1810=BB_AKUN,D1810=BB_AKUN)),1,0)</f>
        <v>877</v>
      </c>
      <c r="R1810" s="104" t="str">
        <f aca="false">IF(OR(C1810&amp;D1810="",N(E1810)=0),"",IF(OR(O1810="?",P1810="?"),"⚠ akun tidak dikenal",IF(C1810=D1810,"⚠ debet = kredit","")))</f>
        <v/>
      </c>
    </row>
    <row r="1811" customFormat="false" ht="15" hidden="false" customHeight="false" outlineLevel="0" collapsed="false">
      <c r="A1811" s="5"/>
      <c r="B1811" s="83"/>
      <c r="C1811" s="5"/>
      <c r="D1811" s="5"/>
      <c r="E1811" s="44"/>
      <c r="F1811" s="5"/>
      <c r="G1811" s="5"/>
      <c r="H1811" s="5"/>
      <c r="I1811" s="5"/>
      <c r="J1811" s="102" t="str">
        <f aca="false">IF(B1811="","",MONTH(B1811))</f>
        <v/>
      </c>
      <c r="K1811" s="102" t="str">
        <f aca="false">IF(B1811="","",YEAR(B1811))</f>
        <v/>
      </c>
      <c r="L1811" s="102" t="str">
        <f aca="false">IF(N(E1811)=0,"",IF(COUNTIFS(AK_NAMA,C1811,AK_KAT,"KAS")+COUNTIFS(AK_NAMA,D1811,AK_KAT,"KAS")&lt;&gt;1,"",IF(COUNTIFS(AK_NAMA,C1811,AK_KAT,"KAS")=1,D1811,C1811)))</f>
        <v/>
      </c>
      <c r="M1811" s="103" t="n">
        <f aca="false">IF(L1811="",0,IF(L1811=D1811,E1811,-E1811))</f>
        <v>0</v>
      </c>
      <c r="N1811" s="102" t="str">
        <f aca="false">IF(L1811="","",IFERROR(INDEX(AK_BARIS,MATCH(L1811,AK_NAMA,0)),"?"))</f>
        <v/>
      </c>
      <c r="O1811" s="102" t="str">
        <f aca="false">IF(C1811="","",IFERROR(INDEX(AK_KEL,MATCH(C1811,AK_NAMA,0)),"?"))</f>
        <v/>
      </c>
      <c r="P1811" s="102" t="str">
        <f aca="false">IF(D1811="","",IFERROR(INDEX(AK_KEL,MATCH(D1811,AK_NAMA,0)),"?"))</f>
        <v/>
      </c>
      <c r="Q1811" s="102" t="n">
        <f aca="false">N(Q1810)+IF(AND(N(E1811)&lt;&gt;0,K1811=TAHUN,N(J1811)&lt;=BLN,OR(C1811=BB_AKUN,D1811=BB_AKUN)),1,0)</f>
        <v>877</v>
      </c>
      <c r="R1811" s="104" t="str">
        <f aca="false">IF(OR(C1811&amp;D1811="",N(E1811)=0),"",IF(OR(O1811="?",P1811="?"),"⚠ akun tidak dikenal",IF(C1811=D1811,"⚠ debet = kredit","")))</f>
        <v/>
      </c>
    </row>
    <row r="1812" customFormat="false" ht="15" hidden="false" customHeight="false" outlineLevel="0" collapsed="false">
      <c r="A1812" s="5"/>
      <c r="B1812" s="83"/>
      <c r="C1812" s="5"/>
      <c r="D1812" s="5"/>
      <c r="E1812" s="44"/>
      <c r="F1812" s="5"/>
      <c r="G1812" s="5"/>
      <c r="H1812" s="5"/>
      <c r="I1812" s="5"/>
      <c r="J1812" s="102" t="str">
        <f aca="false">IF(B1812="","",MONTH(B1812))</f>
        <v/>
      </c>
      <c r="K1812" s="102" t="str">
        <f aca="false">IF(B1812="","",YEAR(B1812))</f>
        <v/>
      </c>
      <c r="L1812" s="102" t="str">
        <f aca="false">IF(N(E1812)=0,"",IF(COUNTIFS(AK_NAMA,C1812,AK_KAT,"KAS")+COUNTIFS(AK_NAMA,D1812,AK_KAT,"KAS")&lt;&gt;1,"",IF(COUNTIFS(AK_NAMA,C1812,AK_KAT,"KAS")=1,D1812,C1812)))</f>
        <v/>
      </c>
      <c r="M1812" s="103" t="n">
        <f aca="false">IF(L1812="",0,IF(L1812=D1812,E1812,-E1812))</f>
        <v>0</v>
      </c>
      <c r="N1812" s="102" t="str">
        <f aca="false">IF(L1812="","",IFERROR(INDEX(AK_BARIS,MATCH(L1812,AK_NAMA,0)),"?"))</f>
        <v/>
      </c>
      <c r="O1812" s="102" t="str">
        <f aca="false">IF(C1812="","",IFERROR(INDEX(AK_KEL,MATCH(C1812,AK_NAMA,0)),"?"))</f>
        <v/>
      </c>
      <c r="P1812" s="102" t="str">
        <f aca="false">IF(D1812="","",IFERROR(INDEX(AK_KEL,MATCH(D1812,AK_NAMA,0)),"?"))</f>
        <v/>
      </c>
      <c r="Q1812" s="102" t="n">
        <f aca="false">N(Q1811)+IF(AND(N(E1812)&lt;&gt;0,K1812=TAHUN,N(J1812)&lt;=BLN,OR(C1812=BB_AKUN,D1812=BB_AKUN)),1,0)</f>
        <v>877</v>
      </c>
      <c r="R1812" s="104" t="str">
        <f aca="false">IF(OR(C1812&amp;D1812="",N(E1812)=0),"",IF(OR(O1812="?",P1812="?"),"⚠ akun tidak dikenal",IF(C1812=D1812,"⚠ debet = kredit","")))</f>
        <v/>
      </c>
    </row>
    <row r="1813" customFormat="false" ht="15" hidden="false" customHeight="false" outlineLevel="0" collapsed="false">
      <c r="A1813" s="5"/>
      <c r="B1813" s="83"/>
      <c r="C1813" s="5"/>
      <c r="D1813" s="5"/>
      <c r="E1813" s="44"/>
      <c r="F1813" s="5"/>
      <c r="G1813" s="5"/>
      <c r="H1813" s="5"/>
      <c r="I1813" s="5"/>
      <c r="J1813" s="102" t="str">
        <f aca="false">IF(B1813="","",MONTH(B1813))</f>
        <v/>
      </c>
      <c r="K1813" s="102" t="str">
        <f aca="false">IF(B1813="","",YEAR(B1813))</f>
        <v/>
      </c>
      <c r="L1813" s="102" t="str">
        <f aca="false">IF(N(E1813)=0,"",IF(COUNTIFS(AK_NAMA,C1813,AK_KAT,"KAS")+COUNTIFS(AK_NAMA,D1813,AK_KAT,"KAS")&lt;&gt;1,"",IF(COUNTIFS(AK_NAMA,C1813,AK_KAT,"KAS")=1,D1813,C1813)))</f>
        <v/>
      </c>
      <c r="M1813" s="103" t="n">
        <f aca="false">IF(L1813="",0,IF(L1813=D1813,E1813,-E1813))</f>
        <v>0</v>
      </c>
      <c r="N1813" s="102" t="str">
        <f aca="false">IF(L1813="","",IFERROR(INDEX(AK_BARIS,MATCH(L1813,AK_NAMA,0)),"?"))</f>
        <v/>
      </c>
      <c r="O1813" s="102" t="str">
        <f aca="false">IF(C1813="","",IFERROR(INDEX(AK_KEL,MATCH(C1813,AK_NAMA,0)),"?"))</f>
        <v/>
      </c>
      <c r="P1813" s="102" t="str">
        <f aca="false">IF(D1813="","",IFERROR(INDEX(AK_KEL,MATCH(D1813,AK_NAMA,0)),"?"))</f>
        <v/>
      </c>
      <c r="Q1813" s="102" t="n">
        <f aca="false">N(Q1812)+IF(AND(N(E1813)&lt;&gt;0,K1813=TAHUN,N(J1813)&lt;=BLN,OR(C1813=BB_AKUN,D1813=BB_AKUN)),1,0)</f>
        <v>877</v>
      </c>
      <c r="R1813" s="104" t="str">
        <f aca="false">IF(OR(C1813&amp;D1813="",N(E1813)=0),"",IF(OR(O1813="?",P1813="?"),"⚠ akun tidak dikenal",IF(C1813=D1813,"⚠ debet = kredit","")))</f>
        <v/>
      </c>
    </row>
    <row r="1814" customFormat="false" ht="15" hidden="false" customHeight="false" outlineLevel="0" collapsed="false">
      <c r="A1814" s="5"/>
      <c r="B1814" s="83"/>
      <c r="C1814" s="5"/>
      <c r="D1814" s="5"/>
      <c r="E1814" s="44"/>
      <c r="F1814" s="5"/>
      <c r="G1814" s="5"/>
      <c r="H1814" s="5"/>
      <c r="I1814" s="5"/>
      <c r="J1814" s="102" t="str">
        <f aca="false">IF(B1814="","",MONTH(B1814))</f>
        <v/>
      </c>
      <c r="K1814" s="102" t="str">
        <f aca="false">IF(B1814="","",YEAR(B1814))</f>
        <v/>
      </c>
      <c r="L1814" s="102" t="str">
        <f aca="false">IF(N(E1814)=0,"",IF(COUNTIFS(AK_NAMA,C1814,AK_KAT,"KAS")+COUNTIFS(AK_NAMA,D1814,AK_KAT,"KAS")&lt;&gt;1,"",IF(COUNTIFS(AK_NAMA,C1814,AK_KAT,"KAS")=1,D1814,C1814)))</f>
        <v/>
      </c>
      <c r="M1814" s="103" t="n">
        <f aca="false">IF(L1814="",0,IF(L1814=D1814,E1814,-E1814))</f>
        <v>0</v>
      </c>
      <c r="N1814" s="102" t="str">
        <f aca="false">IF(L1814="","",IFERROR(INDEX(AK_BARIS,MATCH(L1814,AK_NAMA,0)),"?"))</f>
        <v/>
      </c>
      <c r="O1814" s="102" t="str">
        <f aca="false">IF(C1814="","",IFERROR(INDEX(AK_KEL,MATCH(C1814,AK_NAMA,0)),"?"))</f>
        <v/>
      </c>
      <c r="P1814" s="102" t="str">
        <f aca="false">IF(D1814="","",IFERROR(INDEX(AK_KEL,MATCH(D1814,AK_NAMA,0)),"?"))</f>
        <v/>
      </c>
      <c r="Q1814" s="102" t="n">
        <f aca="false">N(Q1813)+IF(AND(N(E1814)&lt;&gt;0,K1814=TAHUN,N(J1814)&lt;=BLN,OR(C1814=BB_AKUN,D1814=BB_AKUN)),1,0)</f>
        <v>877</v>
      </c>
      <c r="R1814" s="104" t="str">
        <f aca="false">IF(OR(C1814&amp;D1814="",N(E1814)=0),"",IF(OR(O1814="?",P1814="?"),"⚠ akun tidak dikenal",IF(C1814=D1814,"⚠ debet = kredit","")))</f>
        <v/>
      </c>
    </row>
    <row r="1815" customFormat="false" ht="15" hidden="false" customHeight="false" outlineLevel="0" collapsed="false">
      <c r="A1815" s="5"/>
      <c r="B1815" s="83"/>
      <c r="C1815" s="5"/>
      <c r="D1815" s="5"/>
      <c r="E1815" s="44"/>
      <c r="F1815" s="5"/>
      <c r="G1815" s="5"/>
      <c r="H1815" s="5"/>
      <c r="I1815" s="5"/>
      <c r="J1815" s="102" t="str">
        <f aca="false">IF(B1815="","",MONTH(B1815))</f>
        <v/>
      </c>
      <c r="K1815" s="102" t="str">
        <f aca="false">IF(B1815="","",YEAR(B1815))</f>
        <v/>
      </c>
      <c r="L1815" s="102" t="str">
        <f aca="false">IF(N(E1815)=0,"",IF(COUNTIFS(AK_NAMA,C1815,AK_KAT,"KAS")+COUNTIFS(AK_NAMA,D1815,AK_KAT,"KAS")&lt;&gt;1,"",IF(COUNTIFS(AK_NAMA,C1815,AK_KAT,"KAS")=1,D1815,C1815)))</f>
        <v/>
      </c>
      <c r="M1815" s="103" t="n">
        <f aca="false">IF(L1815="",0,IF(L1815=D1815,E1815,-E1815))</f>
        <v>0</v>
      </c>
      <c r="N1815" s="102" t="str">
        <f aca="false">IF(L1815="","",IFERROR(INDEX(AK_BARIS,MATCH(L1815,AK_NAMA,0)),"?"))</f>
        <v/>
      </c>
      <c r="O1815" s="102" t="str">
        <f aca="false">IF(C1815="","",IFERROR(INDEX(AK_KEL,MATCH(C1815,AK_NAMA,0)),"?"))</f>
        <v/>
      </c>
      <c r="P1815" s="102" t="str">
        <f aca="false">IF(D1815="","",IFERROR(INDEX(AK_KEL,MATCH(D1815,AK_NAMA,0)),"?"))</f>
        <v/>
      </c>
      <c r="Q1815" s="102" t="n">
        <f aca="false">N(Q1814)+IF(AND(N(E1815)&lt;&gt;0,K1815=TAHUN,N(J1815)&lt;=BLN,OR(C1815=BB_AKUN,D1815=BB_AKUN)),1,0)</f>
        <v>877</v>
      </c>
      <c r="R1815" s="104" t="str">
        <f aca="false">IF(OR(C1815&amp;D1815="",N(E1815)=0),"",IF(OR(O1815="?",P1815="?"),"⚠ akun tidak dikenal",IF(C1815=D1815,"⚠ debet = kredit","")))</f>
        <v/>
      </c>
    </row>
    <row r="1816" customFormat="false" ht="15" hidden="false" customHeight="false" outlineLevel="0" collapsed="false">
      <c r="A1816" s="5"/>
      <c r="B1816" s="83"/>
      <c r="C1816" s="5"/>
      <c r="D1816" s="5"/>
      <c r="E1816" s="44"/>
      <c r="F1816" s="5"/>
      <c r="G1816" s="5"/>
      <c r="H1816" s="5"/>
      <c r="I1816" s="5"/>
      <c r="J1816" s="102" t="str">
        <f aca="false">IF(B1816="","",MONTH(B1816))</f>
        <v/>
      </c>
      <c r="K1816" s="102" t="str">
        <f aca="false">IF(B1816="","",YEAR(B1816))</f>
        <v/>
      </c>
      <c r="L1816" s="102" t="str">
        <f aca="false">IF(N(E1816)=0,"",IF(COUNTIFS(AK_NAMA,C1816,AK_KAT,"KAS")+COUNTIFS(AK_NAMA,D1816,AK_KAT,"KAS")&lt;&gt;1,"",IF(COUNTIFS(AK_NAMA,C1816,AK_KAT,"KAS")=1,D1816,C1816)))</f>
        <v/>
      </c>
      <c r="M1816" s="103" t="n">
        <f aca="false">IF(L1816="",0,IF(L1816=D1816,E1816,-E1816))</f>
        <v>0</v>
      </c>
      <c r="N1816" s="102" t="str">
        <f aca="false">IF(L1816="","",IFERROR(INDEX(AK_BARIS,MATCH(L1816,AK_NAMA,0)),"?"))</f>
        <v/>
      </c>
      <c r="O1816" s="102" t="str">
        <f aca="false">IF(C1816="","",IFERROR(INDEX(AK_KEL,MATCH(C1816,AK_NAMA,0)),"?"))</f>
        <v/>
      </c>
      <c r="P1816" s="102" t="str">
        <f aca="false">IF(D1816="","",IFERROR(INDEX(AK_KEL,MATCH(D1816,AK_NAMA,0)),"?"))</f>
        <v/>
      </c>
      <c r="Q1816" s="102" t="n">
        <f aca="false">N(Q1815)+IF(AND(N(E1816)&lt;&gt;0,K1816=TAHUN,N(J1816)&lt;=BLN,OR(C1816=BB_AKUN,D1816=BB_AKUN)),1,0)</f>
        <v>877</v>
      </c>
      <c r="R1816" s="104" t="str">
        <f aca="false">IF(OR(C1816&amp;D1816="",N(E1816)=0),"",IF(OR(O1816="?",P1816="?"),"⚠ akun tidak dikenal",IF(C1816=D1816,"⚠ debet = kredit","")))</f>
        <v/>
      </c>
    </row>
    <row r="1817" customFormat="false" ht="15" hidden="false" customHeight="false" outlineLevel="0" collapsed="false">
      <c r="A1817" s="5"/>
      <c r="B1817" s="83"/>
      <c r="C1817" s="5"/>
      <c r="D1817" s="5"/>
      <c r="E1817" s="44"/>
      <c r="F1817" s="5"/>
      <c r="G1817" s="5"/>
      <c r="H1817" s="5"/>
      <c r="I1817" s="5"/>
      <c r="J1817" s="102" t="str">
        <f aca="false">IF(B1817="","",MONTH(B1817))</f>
        <v/>
      </c>
      <c r="K1817" s="102" t="str">
        <f aca="false">IF(B1817="","",YEAR(B1817))</f>
        <v/>
      </c>
      <c r="L1817" s="102" t="str">
        <f aca="false">IF(N(E1817)=0,"",IF(COUNTIFS(AK_NAMA,C1817,AK_KAT,"KAS")+COUNTIFS(AK_NAMA,D1817,AK_KAT,"KAS")&lt;&gt;1,"",IF(COUNTIFS(AK_NAMA,C1817,AK_KAT,"KAS")=1,D1817,C1817)))</f>
        <v/>
      </c>
      <c r="M1817" s="103" t="n">
        <f aca="false">IF(L1817="",0,IF(L1817=D1817,E1817,-E1817))</f>
        <v>0</v>
      </c>
      <c r="N1817" s="102" t="str">
        <f aca="false">IF(L1817="","",IFERROR(INDEX(AK_BARIS,MATCH(L1817,AK_NAMA,0)),"?"))</f>
        <v/>
      </c>
      <c r="O1817" s="102" t="str">
        <f aca="false">IF(C1817="","",IFERROR(INDEX(AK_KEL,MATCH(C1817,AK_NAMA,0)),"?"))</f>
        <v/>
      </c>
      <c r="P1817" s="102" t="str">
        <f aca="false">IF(D1817="","",IFERROR(INDEX(AK_KEL,MATCH(D1817,AK_NAMA,0)),"?"))</f>
        <v/>
      </c>
      <c r="Q1817" s="102" t="n">
        <f aca="false">N(Q1816)+IF(AND(N(E1817)&lt;&gt;0,K1817=TAHUN,N(J1817)&lt;=BLN,OR(C1817=BB_AKUN,D1817=BB_AKUN)),1,0)</f>
        <v>877</v>
      </c>
      <c r="R1817" s="104" t="str">
        <f aca="false">IF(OR(C1817&amp;D1817="",N(E1817)=0),"",IF(OR(O1817="?",P1817="?"),"⚠ akun tidak dikenal",IF(C1817=D1817,"⚠ debet = kredit","")))</f>
        <v/>
      </c>
    </row>
    <row r="1818" customFormat="false" ht="15" hidden="false" customHeight="false" outlineLevel="0" collapsed="false">
      <c r="A1818" s="5"/>
      <c r="B1818" s="83"/>
      <c r="C1818" s="5"/>
      <c r="D1818" s="5"/>
      <c r="E1818" s="44"/>
      <c r="F1818" s="5"/>
      <c r="G1818" s="5"/>
      <c r="H1818" s="5"/>
      <c r="I1818" s="5"/>
      <c r="J1818" s="102" t="str">
        <f aca="false">IF(B1818="","",MONTH(B1818))</f>
        <v/>
      </c>
      <c r="K1818" s="102" t="str">
        <f aca="false">IF(B1818="","",YEAR(B1818))</f>
        <v/>
      </c>
      <c r="L1818" s="102" t="str">
        <f aca="false">IF(N(E1818)=0,"",IF(COUNTIFS(AK_NAMA,C1818,AK_KAT,"KAS")+COUNTIFS(AK_NAMA,D1818,AK_KAT,"KAS")&lt;&gt;1,"",IF(COUNTIFS(AK_NAMA,C1818,AK_KAT,"KAS")=1,D1818,C1818)))</f>
        <v/>
      </c>
      <c r="M1818" s="103" t="n">
        <f aca="false">IF(L1818="",0,IF(L1818=D1818,E1818,-E1818))</f>
        <v>0</v>
      </c>
      <c r="N1818" s="102" t="str">
        <f aca="false">IF(L1818="","",IFERROR(INDEX(AK_BARIS,MATCH(L1818,AK_NAMA,0)),"?"))</f>
        <v/>
      </c>
      <c r="O1818" s="102" t="str">
        <f aca="false">IF(C1818="","",IFERROR(INDEX(AK_KEL,MATCH(C1818,AK_NAMA,0)),"?"))</f>
        <v/>
      </c>
      <c r="P1818" s="102" t="str">
        <f aca="false">IF(D1818="","",IFERROR(INDEX(AK_KEL,MATCH(D1818,AK_NAMA,0)),"?"))</f>
        <v/>
      </c>
      <c r="Q1818" s="102" t="n">
        <f aca="false">N(Q1817)+IF(AND(N(E1818)&lt;&gt;0,K1818=TAHUN,N(J1818)&lt;=BLN,OR(C1818=BB_AKUN,D1818=BB_AKUN)),1,0)</f>
        <v>877</v>
      </c>
      <c r="R1818" s="104" t="str">
        <f aca="false">IF(OR(C1818&amp;D1818="",N(E1818)=0),"",IF(OR(O1818="?",P1818="?"),"⚠ akun tidak dikenal",IF(C1818=D1818,"⚠ debet = kredit","")))</f>
        <v/>
      </c>
    </row>
    <row r="1819" customFormat="false" ht="15" hidden="false" customHeight="false" outlineLevel="0" collapsed="false">
      <c r="A1819" s="5"/>
      <c r="B1819" s="83"/>
      <c r="C1819" s="5"/>
      <c r="D1819" s="5"/>
      <c r="E1819" s="44"/>
      <c r="F1819" s="5"/>
      <c r="G1819" s="5"/>
      <c r="H1819" s="5"/>
      <c r="I1819" s="5"/>
      <c r="J1819" s="102" t="str">
        <f aca="false">IF(B1819="","",MONTH(B1819))</f>
        <v/>
      </c>
      <c r="K1819" s="102" t="str">
        <f aca="false">IF(B1819="","",YEAR(B1819))</f>
        <v/>
      </c>
      <c r="L1819" s="102" t="str">
        <f aca="false">IF(N(E1819)=0,"",IF(COUNTIFS(AK_NAMA,C1819,AK_KAT,"KAS")+COUNTIFS(AK_NAMA,D1819,AK_KAT,"KAS")&lt;&gt;1,"",IF(COUNTIFS(AK_NAMA,C1819,AK_KAT,"KAS")=1,D1819,C1819)))</f>
        <v/>
      </c>
      <c r="M1819" s="103" t="n">
        <f aca="false">IF(L1819="",0,IF(L1819=D1819,E1819,-E1819))</f>
        <v>0</v>
      </c>
      <c r="N1819" s="102" t="str">
        <f aca="false">IF(L1819="","",IFERROR(INDEX(AK_BARIS,MATCH(L1819,AK_NAMA,0)),"?"))</f>
        <v/>
      </c>
      <c r="O1819" s="102" t="str">
        <f aca="false">IF(C1819="","",IFERROR(INDEX(AK_KEL,MATCH(C1819,AK_NAMA,0)),"?"))</f>
        <v/>
      </c>
      <c r="P1819" s="102" t="str">
        <f aca="false">IF(D1819="","",IFERROR(INDEX(AK_KEL,MATCH(D1819,AK_NAMA,0)),"?"))</f>
        <v/>
      </c>
      <c r="Q1819" s="102" t="n">
        <f aca="false">N(Q1818)+IF(AND(N(E1819)&lt;&gt;0,K1819=TAHUN,N(J1819)&lt;=BLN,OR(C1819=BB_AKUN,D1819=BB_AKUN)),1,0)</f>
        <v>877</v>
      </c>
      <c r="R1819" s="104" t="str">
        <f aca="false">IF(OR(C1819&amp;D1819="",N(E1819)=0),"",IF(OR(O1819="?",P1819="?"),"⚠ akun tidak dikenal",IF(C1819=D1819,"⚠ debet = kredit","")))</f>
        <v/>
      </c>
    </row>
    <row r="1820" customFormat="false" ht="15" hidden="false" customHeight="false" outlineLevel="0" collapsed="false">
      <c r="A1820" s="5"/>
      <c r="B1820" s="83"/>
      <c r="C1820" s="5"/>
      <c r="D1820" s="5"/>
      <c r="E1820" s="44"/>
      <c r="F1820" s="5"/>
      <c r="G1820" s="5"/>
      <c r="H1820" s="5"/>
      <c r="I1820" s="5"/>
      <c r="J1820" s="102" t="str">
        <f aca="false">IF(B1820="","",MONTH(B1820))</f>
        <v/>
      </c>
      <c r="K1820" s="102" t="str">
        <f aca="false">IF(B1820="","",YEAR(B1820))</f>
        <v/>
      </c>
      <c r="L1820" s="102" t="str">
        <f aca="false">IF(N(E1820)=0,"",IF(COUNTIFS(AK_NAMA,C1820,AK_KAT,"KAS")+COUNTIFS(AK_NAMA,D1820,AK_KAT,"KAS")&lt;&gt;1,"",IF(COUNTIFS(AK_NAMA,C1820,AK_KAT,"KAS")=1,D1820,C1820)))</f>
        <v/>
      </c>
      <c r="M1820" s="103" t="n">
        <f aca="false">IF(L1820="",0,IF(L1820=D1820,E1820,-E1820))</f>
        <v>0</v>
      </c>
      <c r="N1820" s="102" t="str">
        <f aca="false">IF(L1820="","",IFERROR(INDEX(AK_BARIS,MATCH(L1820,AK_NAMA,0)),"?"))</f>
        <v/>
      </c>
      <c r="O1820" s="102" t="str">
        <f aca="false">IF(C1820="","",IFERROR(INDEX(AK_KEL,MATCH(C1820,AK_NAMA,0)),"?"))</f>
        <v/>
      </c>
      <c r="P1820" s="102" t="str">
        <f aca="false">IF(D1820="","",IFERROR(INDEX(AK_KEL,MATCH(D1820,AK_NAMA,0)),"?"))</f>
        <v/>
      </c>
      <c r="Q1820" s="102" t="n">
        <f aca="false">N(Q1819)+IF(AND(N(E1820)&lt;&gt;0,K1820=TAHUN,N(J1820)&lt;=BLN,OR(C1820=BB_AKUN,D1820=BB_AKUN)),1,0)</f>
        <v>877</v>
      </c>
      <c r="R1820" s="104" t="str">
        <f aca="false">IF(OR(C1820&amp;D1820="",N(E1820)=0),"",IF(OR(O1820="?",P1820="?"),"⚠ akun tidak dikenal",IF(C1820=D1820,"⚠ debet = kredit","")))</f>
        <v/>
      </c>
    </row>
    <row r="1821" customFormat="false" ht="15" hidden="false" customHeight="false" outlineLevel="0" collapsed="false">
      <c r="A1821" s="5"/>
      <c r="B1821" s="83"/>
      <c r="C1821" s="5"/>
      <c r="D1821" s="5"/>
      <c r="E1821" s="44"/>
      <c r="F1821" s="5"/>
      <c r="G1821" s="5"/>
      <c r="H1821" s="5"/>
      <c r="I1821" s="5"/>
      <c r="J1821" s="102" t="str">
        <f aca="false">IF(B1821="","",MONTH(B1821))</f>
        <v/>
      </c>
      <c r="K1821" s="102" t="str">
        <f aca="false">IF(B1821="","",YEAR(B1821))</f>
        <v/>
      </c>
      <c r="L1821" s="102" t="str">
        <f aca="false">IF(N(E1821)=0,"",IF(COUNTIFS(AK_NAMA,C1821,AK_KAT,"KAS")+COUNTIFS(AK_NAMA,D1821,AK_KAT,"KAS")&lt;&gt;1,"",IF(COUNTIFS(AK_NAMA,C1821,AK_KAT,"KAS")=1,D1821,C1821)))</f>
        <v/>
      </c>
      <c r="M1821" s="103" t="n">
        <f aca="false">IF(L1821="",0,IF(L1821=D1821,E1821,-E1821))</f>
        <v>0</v>
      </c>
      <c r="N1821" s="102" t="str">
        <f aca="false">IF(L1821="","",IFERROR(INDEX(AK_BARIS,MATCH(L1821,AK_NAMA,0)),"?"))</f>
        <v/>
      </c>
      <c r="O1821" s="102" t="str">
        <f aca="false">IF(C1821="","",IFERROR(INDEX(AK_KEL,MATCH(C1821,AK_NAMA,0)),"?"))</f>
        <v/>
      </c>
      <c r="P1821" s="102" t="str">
        <f aca="false">IF(D1821="","",IFERROR(INDEX(AK_KEL,MATCH(D1821,AK_NAMA,0)),"?"))</f>
        <v/>
      </c>
      <c r="Q1821" s="102" t="n">
        <f aca="false">N(Q1820)+IF(AND(N(E1821)&lt;&gt;0,K1821=TAHUN,N(J1821)&lt;=BLN,OR(C1821=BB_AKUN,D1821=BB_AKUN)),1,0)</f>
        <v>877</v>
      </c>
      <c r="R1821" s="104" t="str">
        <f aca="false">IF(OR(C1821&amp;D1821="",N(E1821)=0),"",IF(OR(O1821="?",P1821="?"),"⚠ akun tidak dikenal",IF(C1821=D1821,"⚠ debet = kredit","")))</f>
        <v/>
      </c>
    </row>
    <row r="1822" customFormat="false" ht="15" hidden="false" customHeight="false" outlineLevel="0" collapsed="false">
      <c r="A1822" s="5"/>
      <c r="B1822" s="83"/>
      <c r="C1822" s="5"/>
      <c r="D1822" s="5"/>
      <c r="E1822" s="44"/>
      <c r="F1822" s="5"/>
      <c r="G1822" s="5"/>
      <c r="H1822" s="5"/>
      <c r="I1822" s="5"/>
      <c r="J1822" s="102" t="str">
        <f aca="false">IF(B1822="","",MONTH(B1822))</f>
        <v/>
      </c>
      <c r="K1822" s="102" t="str">
        <f aca="false">IF(B1822="","",YEAR(B1822))</f>
        <v/>
      </c>
      <c r="L1822" s="102" t="str">
        <f aca="false">IF(N(E1822)=0,"",IF(COUNTIFS(AK_NAMA,C1822,AK_KAT,"KAS")+COUNTIFS(AK_NAMA,D1822,AK_KAT,"KAS")&lt;&gt;1,"",IF(COUNTIFS(AK_NAMA,C1822,AK_KAT,"KAS")=1,D1822,C1822)))</f>
        <v/>
      </c>
      <c r="M1822" s="103" t="n">
        <f aca="false">IF(L1822="",0,IF(L1822=D1822,E1822,-E1822))</f>
        <v>0</v>
      </c>
      <c r="N1822" s="102" t="str">
        <f aca="false">IF(L1822="","",IFERROR(INDEX(AK_BARIS,MATCH(L1822,AK_NAMA,0)),"?"))</f>
        <v/>
      </c>
      <c r="O1822" s="102" t="str">
        <f aca="false">IF(C1822="","",IFERROR(INDEX(AK_KEL,MATCH(C1822,AK_NAMA,0)),"?"))</f>
        <v/>
      </c>
      <c r="P1822" s="102" t="str">
        <f aca="false">IF(D1822="","",IFERROR(INDEX(AK_KEL,MATCH(D1822,AK_NAMA,0)),"?"))</f>
        <v/>
      </c>
      <c r="Q1822" s="102" t="n">
        <f aca="false">N(Q1821)+IF(AND(N(E1822)&lt;&gt;0,K1822=TAHUN,N(J1822)&lt;=BLN,OR(C1822=BB_AKUN,D1822=BB_AKUN)),1,0)</f>
        <v>877</v>
      </c>
      <c r="R1822" s="104" t="str">
        <f aca="false">IF(OR(C1822&amp;D1822="",N(E1822)=0),"",IF(OR(O1822="?",P1822="?"),"⚠ akun tidak dikenal",IF(C1822=D1822,"⚠ debet = kredit","")))</f>
        <v/>
      </c>
    </row>
    <row r="1823" customFormat="false" ht="15" hidden="false" customHeight="false" outlineLevel="0" collapsed="false">
      <c r="A1823" s="5"/>
      <c r="B1823" s="83"/>
      <c r="C1823" s="5"/>
      <c r="D1823" s="5"/>
      <c r="E1823" s="44"/>
      <c r="F1823" s="5"/>
      <c r="G1823" s="5"/>
      <c r="H1823" s="5"/>
      <c r="I1823" s="5"/>
      <c r="J1823" s="102" t="str">
        <f aca="false">IF(B1823="","",MONTH(B1823))</f>
        <v/>
      </c>
      <c r="K1823" s="102" t="str">
        <f aca="false">IF(B1823="","",YEAR(B1823))</f>
        <v/>
      </c>
      <c r="L1823" s="102" t="str">
        <f aca="false">IF(N(E1823)=0,"",IF(COUNTIFS(AK_NAMA,C1823,AK_KAT,"KAS")+COUNTIFS(AK_NAMA,D1823,AK_KAT,"KAS")&lt;&gt;1,"",IF(COUNTIFS(AK_NAMA,C1823,AK_KAT,"KAS")=1,D1823,C1823)))</f>
        <v/>
      </c>
      <c r="M1823" s="103" t="n">
        <f aca="false">IF(L1823="",0,IF(L1823=D1823,E1823,-E1823))</f>
        <v>0</v>
      </c>
      <c r="N1823" s="102" t="str">
        <f aca="false">IF(L1823="","",IFERROR(INDEX(AK_BARIS,MATCH(L1823,AK_NAMA,0)),"?"))</f>
        <v/>
      </c>
      <c r="O1823" s="102" t="str">
        <f aca="false">IF(C1823="","",IFERROR(INDEX(AK_KEL,MATCH(C1823,AK_NAMA,0)),"?"))</f>
        <v/>
      </c>
      <c r="P1823" s="102" t="str">
        <f aca="false">IF(D1823="","",IFERROR(INDEX(AK_KEL,MATCH(D1823,AK_NAMA,0)),"?"))</f>
        <v/>
      </c>
      <c r="Q1823" s="102" t="n">
        <f aca="false">N(Q1822)+IF(AND(N(E1823)&lt;&gt;0,K1823=TAHUN,N(J1823)&lt;=BLN,OR(C1823=BB_AKUN,D1823=BB_AKUN)),1,0)</f>
        <v>877</v>
      </c>
      <c r="R1823" s="104" t="str">
        <f aca="false">IF(OR(C1823&amp;D1823="",N(E1823)=0),"",IF(OR(O1823="?",P1823="?"),"⚠ akun tidak dikenal",IF(C1823=D1823,"⚠ debet = kredit","")))</f>
        <v/>
      </c>
    </row>
    <row r="1824" customFormat="false" ht="15" hidden="false" customHeight="false" outlineLevel="0" collapsed="false">
      <c r="A1824" s="5"/>
      <c r="B1824" s="83"/>
      <c r="C1824" s="5"/>
      <c r="D1824" s="5"/>
      <c r="E1824" s="44"/>
      <c r="F1824" s="5"/>
      <c r="G1824" s="5"/>
      <c r="H1824" s="5"/>
      <c r="I1824" s="5"/>
      <c r="J1824" s="102" t="str">
        <f aca="false">IF(B1824="","",MONTH(B1824))</f>
        <v/>
      </c>
      <c r="K1824" s="102" t="str">
        <f aca="false">IF(B1824="","",YEAR(B1824))</f>
        <v/>
      </c>
      <c r="L1824" s="102" t="str">
        <f aca="false">IF(N(E1824)=0,"",IF(COUNTIFS(AK_NAMA,C1824,AK_KAT,"KAS")+COUNTIFS(AK_NAMA,D1824,AK_KAT,"KAS")&lt;&gt;1,"",IF(COUNTIFS(AK_NAMA,C1824,AK_KAT,"KAS")=1,D1824,C1824)))</f>
        <v/>
      </c>
      <c r="M1824" s="103" t="n">
        <f aca="false">IF(L1824="",0,IF(L1824=D1824,E1824,-E1824))</f>
        <v>0</v>
      </c>
      <c r="N1824" s="102" t="str">
        <f aca="false">IF(L1824="","",IFERROR(INDEX(AK_BARIS,MATCH(L1824,AK_NAMA,0)),"?"))</f>
        <v/>
      </c>
      <c r="O1824" s="102" t="str">
        <f aca="false">IF(C1824="","",IFERROR(INDEX(AK_KEL,MATCH(C1824,AK_NAMA,0)),"?"))</f>
        <v/>
      </c>
      <c r="P1824" s="102" t="str">
        <f aca="false">IF(D1824="","",IFERROR(INDEX(AK_KEL,MATCH(D1824,AK_NAMA,0)),"?"))</f>
        <v/>
      </c>
      <c r="Q1824" s="102" t="n">
        <f aca="false">N(Q1823)+IF(AND(N(E1824)&lt;&gt;0,K1824=TAHUN,N(J1824)&lt;=BLN,OR(C1824=BB_AKUN,D1824=BB_AKUN)),1,0)</f>
        <v>877</v>
      </c>
      <c r="R1824" s="104" t="str">
        <f aca="false">IF(OR(C1824&amp;D1824="",N(E1824)=0),"",IF(OR(O1824="?",P1824="?"),"⚠ akun tidak dikenal",IF(C1824=D1824,"⚠ debet = kredit","")))</f>
        <v/>
      </c>
    </row>
    <row r="1825" customFormat="false" ht="15" hidden="false" customHeight="false" outlineLevel="0" collapsed="false">
      <c r="A1825" s="5"/>
      <c r="B1825" s="83"/>
      <c r="C1825" s="5"/>
      <c r="D1825" s="5"/>
      <c r="E1825" s="44"/>
      <c r="F1825" s="5"/>
      <c r="G1825" s="5"/>
      <c r="H1825" s="5"/>
      <c r="I1825" s="5"/>
      <c r="J1825" s="102" t="str">
        <f aca="false">IF(B1825="","",MONTH(B1825))</f>
        <v/>
      </c>
      <c r="K1825" s="102" t="str">
        <f aca="false">IF(B1825="","",YEAR(B1825))</f>
        <v/>
      </c>
      <c r="L1825" s="102" t="str">
        <f aca="false">IF(N(E1825)=0,"",IF(COUNTIFS(AK_NAMA,C1825,AK_KAT,"KAS")+COUNTIFS(AK_NAMA,D1825,AK_KAT,"KAS")&lt;&gt;1,"",IF(COUNTIFS(AK_NAMA,C1825,AK_KAT,"KAS")=1,D1825,C1825)))</f>
        <v/>
      </c>
      <c r="M1825" s="103" t="n">
        <f aca="false">IF(L1825="",0,IF(L1825=D1825,E1825,-E1825))</f>
        <v>0</v>
      </c>
      <c r="N1825" s="102" t="str">
        <f aca="false">IF(L1825="","",IFERROR(INDEX(AK_BARIS,MATCH(L1825,AK_NAMA,0)),"?"))</f>
        <v/>
      </c>
      <c r="O1825" s="102" t="str">
        <f aca="false">IF(C1825="","",IFERROR(INDEX(AK_KEL,MATCH(C1825,AK_NAMA,0)),"?"))</f>
        <v/>
      </c>
      <c r="P1825" s="102" t="str">
        <f aca="false">IF(D1825="","",IFERROR(INDEX(AK_KEL,MATCH(D1825,AK_NAMA,0)),"?"))</f>
        <v/>
      </c>
      <c r="Q1825" s="102" t="n">
        <f aca="false">N(Q1824)+IF(AND(N(E1825)&lt;&gt;0,K1825=TAHUN,N(J1825)&lt;=BLN,OR(C1825=BB_AKUN,D1825=BB_AKUN)),1,0)</f>
        <v>877</v>
      </c>
      <c r="R1825" s="104" t="str">
        <f aca="false">IF(OR(C1825&amp;D1825="",N(E1825)=0),"",IF(OR(O1825="?",P1825="?"),"⚠ akun tidak dikenal",IF(C1825=D1825,"⚠ debet = kredit","")))</f>
        <v/>
      </c>
    </row>
    <row r="1826" customFormat="false" ht="15" hidden="false" customHeight="false" outlineLevel="0" collapsed="false">
      <c r="A1826" s="5"/>
      <c r="B1826" s="83"/>
      <c r="C1826" s="5"/>
      <c r="D1826" s="5"/>
      <c r="E1826" s="44"/>
      <c r="F1826" s="5"/>
      <c r="G1826" s="5"/>
      <c r="H1826" s="5"/>
      <c r="I1826" s="5"/>
      <c r="J1826" s="102" t="str">
        <f aca="false">IF(B1826="","",MONTH(B1826))</f>
        <v/>
      </c>
      <c r="K1826" s="102" t="str">
        <f aca="false">IF(B1826="","",YEAR(B1826))</f>
        <v/>
      </c>
      <c r="L1826" s="102" t="str">
        <f aca="false">IF(N(E1826)=0,"",IF(COUNTIFS(AK_NAMA,C1826,AK_KAT,"KAS")+COUNTIFS(AK_NAMA,D1826,AK_KAT,"KAS")&lt;&gt;1,"",IF(COUNTIFS(AK_NAMA,C1826,AK_KAT,"KAS")=1,D1826,C1826)))</f>
        <v/>
      </c>
      <c r="M1826" s="103" t="n">
        <f aca="false">IF(L1826="",0,IF(L1826=D1826,E1826,-E1826))</f>
        <v>0</v>
      </c>
      <c r="N1826" s="102" t="str">
        <f aca="false">IF(L1826="","",IFERROR(INDEX(AK_BARIS,MATCH(L1826,AK_NAMA,0)),"?"))</f>
        <v/>
      </c>
      <c r="O1826" s="102" t="str">
        <f aca="false">IF(C1826="","",IFERROR(INDEX(AK_KEL,MATCH(C1826,AK_NAMA,0)),"?"))</f>
        <v/>
      </c>
      <c r="P1826" s="102" t="str">
        <f aca="false">IF(D1826="","",IFERROR(INDEX(AK_KEL,MATCH(D1826,AK_NAMA,0)),"?"))</f>
        <v/>
      </c>
      <c r="Q1826" s="102" t="n">
        <f aca="false">N(Q1825)+IF(AND(N(E1826)&lt;&gt;0,K1826=TAHUN,N(J1826)&lt;=BLN,OR(C1826=BB_AKUN,D1826=BB_AKUN)),1,0)</f>
        <v>877</v>
      </c>
      <c r="R1826" s="104" t="str">
        <f aca="false">IF(OR(C1826&amp;D1826="",N(E1826)=0),"",IF(OR(O1826="?",P1826="?"),"⚠ akun tidak dikenal",IF(C1826=D1826,"⚠ debet = kredit","")))</f>
        <v/>
      </c>
    </row>
    <row r="1827" customFormat="false" ht="15" hidden="false" customHeight="false" outlineLevel="0" collapsed="false">
      <c r="A1827" s="5"/>
      <c r="B1827" s="83"/>
      <c r="C1827" s="5"/>
      <c r="D1827" s="5"/>
      <c r="E1827" s="44"/>
      <c r="F1827" s="5"/>
      <c r="G1827" s="5"/>
      <c r="H1827" s="5"/>
      <c r="I1827" s="5"/>
      <c r="J1827" s="102" t="str">
        <f aca="false">IF(B1827="","",MONTH(B1827))</f>
        <v/>
      </c>
      <c r="K1827" s="102" t="str">
        <f aca="false">IF(B1827="","",YEAR(B1827))</f>
        <v/>
      </c>
      <c r="L1827" s="102" t="str">
        <f aca="false">IF(N(E1827)=0,"",IF(COUNTIFS(AK_NAMA,C1827,AK_KAT,"KAS")+COUNTIFS(AK_NAMA,D1827,AK_KAT,"KAS")&lt;&gt;1,"",IF(COUNTIFS(AK_NAMA,C1827,AK_KAT,"KAS")=1,D1827,C1827)))</f>
        <v/>
      </c>
      <c r="M1827" s="103" t="n">
        <f aca="false">IF(L1827="",0,IF(L1827=D1827,E1827,-E1827))</f>
        <v>0</v>
      </c>
      <c r="N1827" s="102" t="str">
        <f aca="false">IF(L1827="","",IFERROR(INDEX(AK_BARIS,MATCH(L1827,AK_NAMA,0)),"?"))</f>
        <v/>
      </c>
      <c r="O1827" s="102" t="str">
        <f aca="false">IF(C1827="","",IFERROR(INDEX(AK_KEL,MATCH(C1827,AK_NAMA,0)),"?"))</f>
        <v/>
      </c>
      <c r="P1827" s="102" t="str">
        <f aca="false">IF(D1827="","",IFERROR(INDEX(AK_KEL,MATCH(D1827,AK_NAMA,0)),"?"))</f>
        <v/>
      </c>
      <c r="Q1827" s="102" t="n">
        <f aca="false">N(Q1826)+IF(AND(N(E1827)&lt;&gt;0,K1827=TAHUN,N(J1827)&lt;=BLN,OR(C1827=BB_AKUN,D1827=BB_AKUN)),1,0)</f>
        <v>877</v>
      </c>
      <c r="R1827" s="104" t="str">
        <f aca="false">IF(OR(C1827&amp;D1827="",N(E1827)=0),"",IF(OR(O1827="?",P1827="?"),"⚠ akun tidak dikenal",IF(C1827=D1827,"⚠ debet = kredit","")))</f>
        <v/>
      </c>
    </row>
    <row r="1828" customFormat="false" ht="15" hidden="false" customHeight="false" outlineLevel="0" collapsed="false">
      <c r="A1828" s="5"/>
      <c r="B1828" s="83"/>
      <c r="C1828" s="5"/>
      <c r="D1828" s="5"/>
      <c r="E1828" s="44"/>
      <c r="F1828" s="5"/>
      <c r="G1828" s="5"/>
      <c r="H1828" s="5"/>
      <c r="I1828" s="5"/>
      <c r="J1828" s="102" t="str">
        <f aca="false">IF(B1828="","",MONTH(B1828))</f>
        <v/>
      </c>
      <c r="K1828" s="102" t="str">
        <f aca="false">IF(B1828="","",YEAR(B1828))</f>
        <v/>
      </c>
      <c r="L1828" s="102" t="str">
        <f aca="false">IF(N(E1828)=0,"",IF(COUNTIFS(AK_NAMA,C1828,AK_KAT,"KAS")+COUNTIFS(AK_NAMA,D1828,AK_KAT,"KAS")&lt;&gt;1,"",IF(COUNTIFS(AK_NAMA,C1828,AK_KAT,"KAS")=1,D1828,C1828)))</f>
        <v/>
      </c>
      <c r="M1828" s="103" t="n">
        <f aca="false">IF(L1828="",0,IF(L1828=D1828,E1828,-E1828))</f>
        <v>0</v>
      </c>
      <c r="N1828" s="102" t="str">
        <f aca="false">IF(L1828="","",IFERROR(INDEX(AK_BARIS,MATCH(L1828,AK_NAMA,0)),"?"))</f>
        <v/>
      </c>
      <c r="O1828" s="102" t="str">
        <f aca="false">IF(C1828="","",IFERROR(INDEX(AK_KEL,MATCH(C1828,AK_NAMA,0)),"?"))</f>
        <v/>
      </c>
      <c r="P1828" s="102" t="str">
        <f aca="false">IF(D1828="","",IFERROR(INDEX(AK_KEL,MATCH(D1828,AK_NAMA,0)),"?"))</f>
        <v/>
      </c>
      <c r="Q1828" s="102" t="n">
        <f aca="false">N(Q1827)+IF(AND(N(E1828)&lt;&gt;0,K1828=TAHUN,N(J1828)&lt;=BLN,OR(C1828=BB_AKUN,D1828=BB_AKUN)),1,0)</f>
        <v>877</v>
      </c>
      <c r="R1828" s="104" t="str">
        <f aca="false">IF(OR(C1828&amp;D1828="",N(E1828)=0),"",IF(OR(O1828="?",P1828="?"),"⚠ akun tidak dikenal",IF(C1828=D1828,"⚠ debet = kredit","")))</f>
        <v/>
      </c>
    </row>
    <row r="1829" customFormat="false" ht="15" hidden="false" customHeight="false" outlineLevel="0" collapsed="false">
      <c r="A1829" s="5"/>
      <c r="B1829" s="83"/>
      <c r="C1829" s="5"/>
      <c r="D1829" s="5"/>
      <c r="E1829" s="44"/>
      <c r="F1829" s="5"/>
      <c r="G1829" s="5"/>
      <c r="H1829" s="5"/>
      <c r="I1829" s="5"/>
      <c r="J1829" s="102" t="str">
        <f aca="false">IF(B1829="","",MONTH(B1829))</f>
        <v/>
      </c>
      <c r="K1829" s="102" t="str">
        <f aca="false">IF(B1829="","",YEAR(B1829))</f>
        <v/>
      </c>
      <c r="L1829" s="102" t="str">
        <f aca="false">IF(N(E1829)=0,"",IF(COUNTIFS(AK_NAMA,C1829,AK_KAT,"KAS")+COUNTIFS(AK_NAMA,D1829,AK_KAT,"KAS")&lt;&gt;1,"",IF(COUNTIFS(AK_NAMA,C1829,AK_KAT,"KAS")=1,D1829,C1829)))</f>
        <v/>
      </c>
      <c r="M1829" s="103" t="n">
        <f aca="false">IF(L1829="",0,IF(L1829=D1829,E1829,-E1829))</f>
        <v>0</v>
      </c>
      <c r="N1829" s="102" t="str">
        <f aca="false">IF(L1829="","",IFERROR(INDEX(AK_BARIS,MATCH(L1829,AK_NAMA,0)),"?"))</f>
        <v/>
      </c>
      <c r="O1829" s="102" t="str">
        <f aca="false">IF(C1829="","",IFERROR(INDEX(AK_KEL,MATCH(C1829,AK_NAMA,0)),"?"))</f>
        <v/>
      </c>
      <c r="P1829" s="102" t="str">
        <f aca="false">IF(D1829="","",IFERROR(INDEX(AK_KEL,MATCH(D1829,AK_NAMA,0)),"?"))</f>
        <v/>
      </c>
      <c r="Q1829" s="102" t="n">
        <f aca="false">N(Q1828)+IF(AND(N(E1829)&lt;&gt;0,K1829=TAHUN,N(J1829)&lt;=BLN,OR(C1829=BB_AKUN,D1829=BB_AKUN)),1,0)</f>
        <v>877</v>
      </c>
      <c r="R1829" s="104" t="str">
        <f aca="false">IF(OR(C1829&amp;D1829="",N(E1829)=0),"",IF(OR(O1829="?",P1829="?"),"⚠ akun tidak dikenal",IF(C1829=D1829,"⚠ debet = kredit","")))</f>
        <v/>
      </c>
    </row>
    <row r="1830" customFormat="false" ht="15" hidden="false" customHeight="false" outlineLevel="0" collapsed="false">
      <c r="A1830" s="5"/>
      <c r="B1830" s="83"/>
      <c r="C1830" s="5"/>
      <c r="D1830" s="5"/>
      <c r="E1830" s="44"/>
      <c r="F1830" s="5"/>
      <c r="G1830" s="5"/>
      <c r="H1830" s="5"/>
      <c r="I1830" s="5"/>
      <c r="J1830" s="102" t="str">
        <f aca="false">IF(B1830="","",MONTH(B1830))</f>
        <v/>
      </c>
      <c r="K1830" s="102" t="str">
        <f aca="false">IF(B1830="","",YEAR(B1830))</f>
        <v/>
      </c>
      <c r="L1830" s="102" t="str">
        <f aca="false">IF(N(E1830)=0,"",IF(COUNTIFS(AK_NAMA,C1830,AK_KAT,"KAS")+COUNTIFS(AK_NAMA,D1830,AK_KAT,"KAS")&lt;&gt;1,"",IF(COUNTIFS(AK_NAMA,C1830,AK_KAT,"KAS")=1,D1830,C1830)))</f>
        <v/>
      </c>
      <c r="M1830" s="103" t="n">
        <f aca="false">IF(L1830="",0,IF(L1830=D1830,E1830,-E1830))</f>
        <v>0</v>
      </c>
      <c r="N1830" s="102" t="str">
        <f aca="false">IF(L1830="","",IFERROR(INDEX(AK_BARIS,MATCH(L1830,AK_NAMA,0)),"?"))</f>
        <v/>
      </c>
      <c r="O1830" s="102" t="str">
        <f aca="false">IF(C1830="","",IFERROR(INDEX(AK_KEL,MATCH(C1830,AK_NAMA,0)),"?"))</f>
        <v/>
      </c>
      <c r="P1830" s="102" t="str">
        <f aca="false">IF(D1830="","",IFERROR(INDEX(AK_KEL,MATCH(D1830,AK_NAMA,0)),"?"))</f>
        <v/>
      </c>
      <c r="Q1830" s="102" t="n">
        <f aca="false">N(Q1829)+IF(AND(N(E1830)&lt;&gt;0,K1830=TAHUN,N(J1830)&lt;=BLN,OR(C1830=BB_AKUN,D1830=BB_AKUN)),1,0)</f>
        <v>877</v>
      </c>
      <c r="R1830" s="104" t="str">
        <f aca="false">IF(OR(C1830&amp;D1830="",N(E1830)=0),"",IF(OR(O1830="?",P1830="?"),"⚠ akun tidak dikenal",IF(C1830=D1830,"⚠ debet = kredit","")))</f>
        <v/>
      </c>
    </row>
    <row r="1831" customFormat="false" ht="15" hidden="false" customHeight="false" outlineLevel="0" collapsed="false">
      <c r="A1831" s="5"/>
      <c r="B1831" s="83"/>
      <c r="C1831" s="5"/>
      <c r="D1831" s="5"/>
      <c r="E1831" s="44"/>
      <c r="F1831" s="5"/>
      <c r="G1831" s="5"/>
      <c r="H1831" s="5"/>
      <c r="I1831" s="5"/>
      <c r="J1831" s="102" t="str">
        <f aca="false">IF(B1831="","",MONTH(B1831))</f>
        <v/>
      </c>
      <c r="K1831" s="102" t="str">
        <f aca="false">IF(B1831="","",YEAR(B1831))</f>
        <v/>
      </c>
      <c r="L1831" s="102" t="str">
        <f aca="false">IF(N(E1831)=0,"",IF(COUNTIFS(AK_NAMA,C1831,AK_KAT,"KAS")+COUNTIFS(AK_NAMA,D1831,AK_KAT,"KAS")&lt;&gt;1,"",IF(COUNTIFS(AK_NAMA,C1831,AK_KAT,"KAS")=1,D1831,C1831)))</f>
        <v/>
      </c>
      <c r="M1831" s="103" t="n">
        <f aca="false">IF(L1831="",0,IF(L1831=D1831,E1831,-E1831))</f>
        <v>0</v>
      </c>
      <c r="N1831" s="102" t="str">
        <f aca="false">IF(L1831="","",IFERROR(INDEX(AK_BARIS,MATCH(L1831,AK_NAMA,0)),"?"))</f>
        <v/>
      </c>
      <c r="O1831" s="102" t="str">
        <f aca="false">IF(C1831="","",IFERROR(INDEX(AK_KEL,MATCH(C1831,AK_NAMA,0)),"?"))</f>
        <v/>
      </c>
      <c r="P1831" s="102" t="str">
        <f aca="false">IF(D1831="","",IFERROR(INDEX(AK_KEL,MATCH(D1831,AK_NAMA,0)),"?"))</f>
        <v/>
      </c>
      <c r="Q1831" s="102" t="n">
        <f aca="false">N(Q1830)+IF(AND(N(E1831)&lt;&gt;0,K1831=TAHUN,N(J1831)&lt;=BLN,OR(C1831=BB_AKUN,D1831=BB_AKUN)),1,0)</f>
        <v>877</v>
      </c>
      <c r="R1831" s="104" t="str">
        <f aca="false">IF(OR(C1831&amp;D1831="",N(E1831)=0),"",IF(OR(O1831="?",P1831="?"),"⚠ akun tidak dikenal",IF(C1831=D1831,"⚠ debet = kredit","")))</f>
        <v/>
      </c>
    </row>
    <row r="1832" customFormat="false" ht="15" hidden="false" customHeight="false" outlineLevel="0" collapsed="false">
      <c r="A1832" s="5"/>
      <c r="B1832" s="83"/>
      <c r="C1832" s="5"/>
      <c r="D1832" s="5"/>
      <c r="E1832" s="44"/>
      <c r="F1832" s="5"/>
      <c r="G1832" s="5"/>
      <c r="H1832" s="5"/>
      <c r="I1832" s="5"/>
      <c r="J1832" s="102" t="str">
        <f aca="false">IF(B1832="","",MONTH(B1832))</f>
        <v/>
      </c>
      <c r="K1832" s="102" t="str">
        <f aca="false">IF(B1832="","",YEAR(B1832))</f>
        <v/>
      </c>
      <c r="L1832" s="102" t="str">
        <f aca="false">IF(N(E1832)=0,"",IF(COUNTIFS(AK_NAMA,C1832,AK_KAT,"KAS")+COUNTIFS(AK_NAMA,D1832,AK_KAT,"KAS")&lt;&gt;1,"",IF(COUNTIFS(AK_NAMA,C1832,AK_KAT,"KAS")=1,D1832,C1832)))</f>
        <v/>
      </c>
      <c r="M1832" s="103" t="n">
        <f aca="false">IF(L1832="",0,IF(L1832=D1832,E1832,-E1832))</f>
        <v>0</v>
      </c>
      <c r="N1832" s="102" t="str">
        <f aca="false">IF(L1832="","",IFERROR(INDEX(AK_BARIS,MATCH(L1832,AK_NAMA,0)),"?"))</f>
        <v/>
      </c>
      <c r="O1832" s="102" t="str">
        <f aca="false">IF(C1832="","",IFERROR(INDEX(AK_KEL,MATCH(C1832,AK_NAMA,0)),"?"))</f>
        <v/>
      </c>
      <c r="P1832" s="102" t="str">
        <f aca="false">IF(D1832="","",IFERROR(INDEX(AK_KEL,MATCH(D1832,AK_NAMA,0)),"?"))</f>
        <v/>
      </c>
      <c r="Q1832" s="102" t="n">
        <f aca="false">N(Q1831)+IF(AND(N(E1832)&lt;&gt;0,K1832=TAHUN,N(J1832)&lt;=BLN,OR(C1832=BB_AKUN,D1832=BB_AKUN)),1,0)</f>
        <v>877</v>
      </c>
      <c r="R1832" s="104" t="str">
        <f aca="false">IF(OR(C1832&amp;D1832="",N(E1832)=0),"",IF(OR(O1832="?",P1832="?"),"⚠ akun tidak dikenal",IF(C1832=D1832,"⚠ debet = kredit","")))</f>
        <v/>
      </c>
    </row>
    <row r="1833" customFormat="false" ht="15" hidden="false" customHeight="false" outlineLevel="0" collapsed="false">
      <c r="A1833" s="5"/>
      <c r="B1833" s="83"/>
      <c r="C1833" s="5"/>
      <c r="D1833" s="5"/>
      <c r="E1833" s="44"/>
      <c r="F1833" s="5"/>
      <c r="G1833" s="5"/>
      <c r="H1833" s="5"/>
      <c r="I1833" s="5"/>
      <c r="J1833" s="102" t="str">
        <f aca="false">IF(B1833="","",MONTH(B1833))</f>
        <v/>
      </c>
      <c r="K1833" s="102" t="str">
        <f aca="false">IF(B1833="","",YEAR(B1833))</f>
        <v/>
      </c>
      <c r="L1833" s="102" t="str">
        <f aca="false">IF(N(E1833)=0,"",IF(COUNTIFS(AK_NAMA,C1833,AK_KAT,"KAS")+COUNTIFS(AK_NAMA,D1833,AK_KAT,"KAS")&lt;&gt;1,"",IF(COUNTIFS(AK_NAMA,C1833,AK_KAT,"KAS")=1,D1833,C1833)))</f>
        <v/>
      </c>
      <c r="M1833" s="103" t="n">
        <f aca="false">IF(L1833="",0,IF(L1833=D1833,E1833,-E1833))</f>
        <v>0</v>
      </c>
      <c r="N1833" s="102" t="str">
        <f aca="false">IF(L1833="","",IFERROR(INDEX(AK_BARIS,MATCH(L1833,AK_NAMA,0)),"?"))</f>
        <v/>
      </c>
      <c r="O1833" s="102" t="str">
        <f aca="false">IF(C1833="","",IFERROR(INDEX(AK_KEL,MATCH(C1833,AK_NAMA,0)),"?"))</f>
        <v/>
      </c>
      <c r="P1833" s="102" t="str">
        <f aca="false">IF(D1833="","",IFERROR(INDEX(AK_KEL,MATCH(D1833,AK_NAMA,0)),"?"))</f>
        <v/>
      </c>
      <c r="Q1833" s="102" t="n">
        <f aca="false">N(Q1832)+IF(AND(N(E1833)&lt;&gt;0,K1833=TAHUN,N(J1833)&lt;=BLN,OR(C1833=BB_AKUN,D1833=BB_AKUN)),1,0)</f>
        <v>877</v>
      </c>
      <c r="R1833" s="104" t="str">
        <f aca="false">IF(OR(C1833&amp;D1833="",N(E1833)=0),"",IF(OR(O1833="?",P1833="?"),"⚠ akun tidak dikenal",IF(C1833=D1833,"⚠ debet = kredit","")))</f>
        <v/>
      </c>
    </row>
    <row r="1834" customFormat="false" ht="15" hidden="false" customHeight="false" outlineLevel="0" collapsed="false">
      <c r="A1834" s="5"/>
      <c r="B1834" s="83"/>
      <c r="C1834" s="5"/>
      <c r="D1834" s="5"/>
      <c r="E1834" s="44"/>
      <c r="F1834" s="5"/>
      <c r="G1834" s="5"/>
      <c r="H1834" s="5"/>
      <c r="I1834" s="5"/>
      <c r="J1834" s="102" t="str">
        <f aca="false">IF(B1834="","",MONTH(B1834))</f>
        <v/>
      </c>
      <c r="K1834" s="102" t="str">
        <f aca="false">IF(B1834="","",YEAR(B1834))</f>
        <v/>
      </c>
      <c r="L1834" s="102" t="str">
        <f aca="false">IF(N(E1834)=0,"",IF(COUNTIFS(AK_NAMA,C1834,AK_KAT,"KAS")+COUNTIFS(AK_NAMA,D1834,AK_KAT,"KAS")&lt;&gt;1,"",IF(COUNTIFS(AK_NAMA,C1834,AK_KAT,"KAS")=1,D1834,C1834)))</f>
        <v/>
      </c>
      <c r="M1834" s="103" t="n">
        <f aca="false">IF(L1834="",0,IF(L1834=D1834,E1834,-E1834))</f>
        <v>0</v>
      </c>
      <c r="N1834" s="102" t="str">
        <f aca="false">IF(L1834="","",IFERROR(INDEX(AK_BARIS,MATCH(L1834,AK_NAMA,0)),"?"))</f>
        <v/>
      </c>
      <c r="O1834" s="102" t="str">
        <f aca="false">IF(C1834="","",IFERROR(INDEX(AK_KEL,MATCH(C1834,AK_NAMA,0)),"?"))</f>
        <v/>
      </c>
      <c r="P1834" s="102" t="str">
        <f aca="false">IF(D1834="","",IFERROR(INDEX(AK_KEL,MATCH(D1834,AK_NAMA,0)),"?"))</f>
        <v/>
      </c>
      <c r="Q1834" s="102" t="n">
        <f aca="false">N(Q1833)+IF(AND(N(E1834)&lt;&gt;0,K1834=TAHUN,N(J1834)&lt;=BLN,OR(C1834=BB_AKUN,D1834=BB_AKUN)),1,0)</f>
        <v>877</v>
      </c>
      <c r="R1834" s="104" t="str">
        <f aca="false">IF(OR(C1834&amp;D1834="",N(E1834)=0),"",IF(OR(O1834="?",P1834="?"),"⚠ akun tidak dikenal",IF(C1834=D1834,"⚠ debet = kredit","")))</f>
        <v/>
      </c>
    </row>
    <row r="1835" customFormat="false" ht="15" hidden="false" customHeight="false" outlineLevel="0" collapsed="false">
      <c r="A1835" s="5"/>
      <c r="B1835" s="83"/>
      <c r="C1835" s="5"/>
      <c r="D1835" s="5"/>
      <c r="E1835" s="44"/>
      <c r="F1835" s="5"/>
      <c r="G1835" s="5"/>
      <c r="H1835" s="5"/>
      <c r="I1835" s="5"/>
      <c r="J1835" s="102" t="str">
        <f aca="false">IF(B1835="","",MONTH(B1835))</f>
        <v/>
      </c>
      <c r="K1835" s="102" t="str">
        <f aca="false">IF(B1835="","",YEAR(B1835))</f>
        <v/>
      </c>
      <c r="L1835" s="102" t="str">
        <f aca="false">IF(N(E1835)=0,"",IF(COUNTIFS(AK_NAMA,C1835,AK_KAT,"KAS")+COUNTIFS(AK_NAMA,D1835,AK_KAT,"KAS")&lt;&gt;1,"",IF(COUNTIFS(AK_NAMA,C1835,AK_KAT,"KAS")=1,D1835,C1835)))</f>
        <v/>
      </c>
      <c r="M1835" s="103" t="n">
        <f aca="false">IF(L1835="",0,IF(L1835=D1835,E1835,-E1835))</f>
        <v>0</v>
      </c>
      <c r="N1835" s="102" t="str">
        <f aca="false">IF(L1835="","",IFERROR(INDEX(AK_BARIS,MATCH(L1835,AK_NAMA,0)),"?"))</f>
        <v/>
      </c>
      <c r="O1835" s="102" t="str">
        <f aca="false">IF(C1835="","",IFERROR(INDEX(AK_KEL,MATCH(C1835,AK_NAMA,0)),"?"))</f>
        <v/>
      </c>
      <c r="P1835" s="102" t="str">
        <f aca="false">IF(D1835="","",IFERROR(INDEX(AK_KEL,MATCH(D1835,AK_NAMA,0)),"?"))</f>
        <v/>
      </c>
      <c r="Q1835" s="102" t="n">
        <f aca="false">N(Q1834)+IF(AND(N(E1835)&lt;&gt;0,K1835=TAHUN,N(J1835)&lt;=BLN,OR(C1835=BB_AKUN,D1835=BB_AKUN)),1,0)</f>
        <v>877</v>
      </c>
      <c r="R1835" s="104" t="str">
        <f aca="false">IF(OR(C1835&amp;D1835="",N(E1835)=0),"",IF(OR(O1835="?",P1835="?"),"⚠ akun tidak dikenal",IF(C1835=D1835,"⚠ debet = kredit","")))</f>
        <v/>
      </c>
    </row>
    <row r="1836" customFormat="false" ht="15" hidden="false" customHeight="false" outlineLevel="0" collapsed="false">
      <c r="A1836" s="5"/>
      <c r="B1836" s="83"/>
      <c r="C1836" s="5"/>
      <c r="D1836" s="5"/>
      <c r="E1836" s="44"/>
      <c r="F1836" s="5"/>
      <c r="G1836" s="5"/>
      <c r="H1836" s="5"/>
      <c r="I1836" s="5"/>
      <c r="J1836" s="102" t="str">
        <f aca="false">IF(B1836="","",MONTH(B1836))</f>
        <v/>
      </c>
      <c r="K1836" s="102" t="str">
        <f aca="false">IF(B1836="","",YEAR(B1836))</f>
        <v/>
      </c>
      <c r="L1836" s="102" t="str">
        <f aca="false">IF(N(E1836)=0,"",IF(COUNTIFS(AK_NAMA,C1836,AK_KAT,"KAS")+COUNTIFS(AK_NAMA,D1836,AK_KAT,"KAS")&lt;&gt;1,"",IF(COUNTIFS(AK_NAMA,C1836,AK_KAT,"KAS")=1,D1836,C1836)))</f>
        <v/>
      </c>
      <c r="M1836" s="103" t="n">
        <f aca="false">IF(L1836="",0,IF(L1836=D1836,E1836,-E1836))</f>
        <v>0</v>
      </c>
      <c r="N1836" s="102" t="str">
        <f aca="false">IF(L1836="","",IFERROR(INDEX(AK_BARIS,MATCH(L1836,AK_NAMA,0)),"?"))</f>
        <v/>
      </c>
      <c r="O1836" s="102" t="str">
        <f aca="false">IF(C1836="","",IFERROR(INDEX(AK_KEL,MATCH(C1836,AK_NAMA,0)),"?"))</f>
        <v/>
      </c>
      <c r="P1836" s="102" t="str">
        <f aca="false">IF(D1836="","",IFERROR(INDEX(AK_KEL,MATCH(D1836,AK_NAMA,0)),"?"))</f>
        <v/>
      </c>
      <c r="Q1836" s="102" t="n">
        <f aca="false">N(Q1835)+IF(AND(N(E1836)&lt;&gt;0,K1836=TAHUN,N(J1836)&lt;=BLN,OR(C1836=BB_AKUN,D1836=BB_AKUN)),1,0)</f>
        <v>877</v>
      </c>
      <c r="R1836" s="104" t="str">
        <f aca="false">IF(OR(C1836&amp;D1836="",N(E1836)=0),"",IF(OR(O1836="?",P1836="?"),"⚠ akun tidak dikenal",IF(C1836=D1836,"⚠ debet = kredit","")))</f>
        <v/>
      </c>
    </row>
    <row r="1837" customFormat="false" ht="15" hidden="false" customHeight="false" outlineLevel="0" collapsed="false">
      <c r="A1837" s="5"/>
      <c r="B1837" s="83"/>
      <c r="C1837" s="5"/>
      <c r="D1837" s="5"/>
      <c r="E1837" s="44"/>
      <c r="F1837" s="5"/>
      <c r="G1837" s="5"/>
      <c r="H1837" s="5"/>
      <c r="I1837" s="5"/>
      <c r="J1837" s="102" t="str">
        <f aca="false">IF(B1837="","",MONTH(B1837))</f>
        <v/>
      </c>
      <c r="K1837" s="102" t="str">
        <f aca="false">IF(B1837="","",YEAR(B1837))</f>
        <v/>
      </c>
      <c r="L1837" s="102" t="str">
        <f aca="false">IF(N(E1837)=0,"",IF(COUNTIFS(AK_NAMA,C1837,AK_KAT,"KAS")+COUNTIFS(AK_NAMA,D1837,AK_KAT,"KAS")&lt;&gt;1,"",IF(COUNTIFS(AK_NAMA,C1837,AK_KAT,"KAS")=1,D1837,C1837)))</f>
        <v/>
      </c>
      <c r="M1837" s="103" t="n">
        <f aca="false">IF(L1837="",0,IF(L1837=D1837,E1837,-E1837))</f>
        <v>0</v>
      </c>
      <c r="N1837" s="102" t="str">
        <f aca="false">IF(L1837="","",IFERROR(INDEX(AK_BARIS,MATCH(L1837,AK_NAMA,0)),"?"))</f>
        <v/>
      </c>
      <c r="O1837" s="102" t="str">
        <f aca="false">IF(C1837="","",IFERROR(INDEX(AK_KEL,MATCH(C1837,AK_NAMA,0)),"?"))</f>
        <v/>
      </c>
      <c r="P1837" s="102" t="str">
        <f aca="false">IF(D1837="","",IFERROR(INDEX(AK_KEL,MATCH(D1837,AK_NAMA,0)),"?"))</f>
        <v/>
      </c>
      <c r="Q1837" s="102" t="n">
        <f aca="false">N(Q1836)+IF(AND(N(E1837)&lt;&gt;0,K1837=TAHUN,N(J1837)&lt;=BLN,OR(C1837=BB_AKUN,D1837=BB_AKUN)),1,0)</f>
        <v>877</v>
      </c>
      <c r="R1837" s="104" t="str">
        <f aca="false">IF(OR(C1837&amp;D1837="",N(E1837)=0),"",IF(OR(O1837="?",P1837="?"),"⚠ akun tidak dikenal",IF(C1837=D1837,"⚠ debet = kredit","")))</f>
        <v/>
      </c>
    </row>
    <row r="1838" customFormat="false" ht="15" hidden="false" customHeight="false" outlineLevel="0" collapsed="false">
      <c r="A1838" s="5"/>
      <c r="B1838" s="83"/>
      <c r="C1838" s="5"/>
      <c r="D1838" s="5"/>
      <c r="E1838" s="44"/>
      <c r="F1838" s="5"/>
      <c r="G1838" s="5"/>
      <c r="H1838" s="5"/>
      <c r="I1838" s="5"/>
      <c r="J1838" s="102" t="str">
        <f aca="false">IF(B1838="","",MONTH(B1838))</f>
        <v/>
      </c>
      <c r="K1838" s="102" t="str">
        <f aca="false">IF(B1838="","",YEAR(B1838))</f>
        <v/>
      </c>
      <c r="L1838" s="102" t="str">
        <f aca="false">IF(N(E1838)=0,"",IF(COUNTIFS(AK_NAMA,C1838,AK_KAT,"KAS")+COUNTIFS(AK_NAMA,D1838,AK_KAT,"KAS")&lt;&gt;1,"",IF(COUNTIFS(AK_NAMA,C1838,AK_KAT,"KAS")=1,D1838,C1838)))</f>
        <v/>
      </c>
      <c r="M1838" s="103" t="n">
        <f aca="false">IF(L1838="",0,IF(L1838=D1838,E1838,-E1838))</f>
        <v>0</v>
      </c>
      <c r="N1838" s="102" t="str">
        <f aca="false">IF(L1838="","",IFERROR(INDEX(AK_BARIS,MATCH(L1838,AK_NAMA,0)),"?"))</f>
        <v/>
      </c>
      <c r="O1838" s="102" t="str">
        <f aca="false">IF(C1838="","",IFERROR(INDEX(AK_KEL,MATCH(C1838,AK_NAMA,0)),"?"))</f>
        <v/>
      </c>
      <c r="P1838" s="102" t="str">
        <f aca="false">IF(D1838="","",IFERROR(INDEX(AK_KEL,MATCH(D1838,AK_NAMA,0)),"?"))</f>
        <v/>
      </c>
      <c r="Q1838" s="102" t="n">
        <f aca="false">N(Q1837)+IF(AND(N(E1838)&lt;&gt;0,K1838=TAHUN,N(J1838)&lt;=BLN,OR(C1838=BB_AKUN,D1838=BB_AKUN)),1,0)</f>
        <v>877</v>
      </c>
      <c r="R1838" s="104" t="str">
        <f aca="false">IF(OR(C1838&amp;D1838="",N(E1838)=0),"",IF(OR(O1838="?",P1838="?"),"⚠ akun tidak dikenal",IF(C1838=D1838,"⚠ debet = kredit","")))</f>
        <v/>
      </c>
    </row>
    <row r="1839" customFormat="false" ht="15" hidden="false" customHeight="false" outlineLevel="0" collapsed="false">
      <c r="A1839" s="5"/>
      <c r="B1839" s="83"/>
      <c r="C1839" s="5"/>
      <c r="D1839" s="5"/>
      <c r="E1839" s="44"/>
      <c r="F1839" s="5"/>
      <c r="G1839" s="5"/>
      <c r="H1839" s="5"/>
      <c r="I1839" s="5"/>
      <c r="J1839" s="102" t="str">
        <f aca="false">IF(B1839="","",MONTH(B1839))</f>
        <v/>
      </c>
      <c r="K1839" s="102" t="str">
        <f aca="false">IF(B1839="","",YEAR(B1839))</f>
        <v/>
      </c>
      <c r="L1839" s="102" t="str">
        <f aca="false">IF(N(E1839)=0,"",IF(COUNTIFS(AK_NAMA,C1839,AK_KAT,"KAS")+COUNTIFS(AK_NAMA,D1839,AK_KAT,"KAS")&lt;&gt;1,"",IF(COUNTIFS(AK_NAMA,C1839,AK_KAT,"KAS")=1,D1839,C1839)))</f>
        <v/>
      </c>
      <c r="M1839" s="103" t="n">
        <f aca="false">IF(L1839="",0,IF(L1839=D1839,E1839,-E1839))</f>
        <v>0</v>
      </c>
      <c r="N1839" s="102" t="str">
        <f aca="false">IF(L1839="","",IFERROR(INDEX(AK_BARIS,MATCH(L1839,AK_NAMA,0)),"?"))</f>
        <v/>
      </c>
      <c r="O1839" s="102" t="str">
        <f aca="false">IF(C1839="","",IFERROR(INDEX(AK_KEL,MATCH(C1839,AK_NAMA,0)),"?"))</f>
        <v/>
      </c>
      <c r="P1839" s="102" t="str">
        <f aca="false">IF(D1839="","",IFERROR(INDEX(AK_KEL,MATCH(D1839,AK_NAMA,0)),"?"))</f>
        <v/>
      </c>
      <c r="Q1839" s="102" t="n">
        <f aca="false">N(Q1838)+IF(AND(N(E1839)&lt;&gt;0,K1839=TAHUN,N(J1839)&lt;=BLN,OR(C1839=BB_AKUN,D1839=BB_AKUN)),1,0)</f>
        <v>877</v>
      </c>
      <c r="R1839" s="104" t="str">
        <f aca="false">IF(OR(C1839&amp;D1839="",N(E1839)=0),"",IF(OR(O1839="?",P1839="?"),"⚠ akun tidak dikenal",IF(C1839=D1839,"⚠ debet = kredit","")))</f>
        <v/>
      </c>
    </row>
    <row r="1840" customFormat="false" ht="15" hidden="false" customHeight="false" outlineLevel="0" collapsed="false">
      <c r="A1840" s="5"/>
      <c r="B1840" s="83"/>
      <c r="C1840" s="5"/>
      <c r="D1840" s="5"/>
      <c r="E1840" s="44"/>
      <c r="F1840" s="5"/>
      <c r="G1840" s="5"/>
      <c r="H1840" s="5"/>
      <c r="I1840" s="5"/>
      <c r="J1840" s="102" t="str">
        <f aca="false">IF(B1840="","",MONTH(B1840))</f>
        <v/>
      </c>
      <c r="K1840" s="102" t="str">
        <f aca="false">IF(B1840="","",YEAR(B1840))</f>
        <v/>
      </c>
      <c r="L1840" s="102" t="str">
        <f aca="false">IF(N(E1840)=0,"",IF(COUNTIFS(AK_NAMA,C1840,AK_KAT,"KAS")+COUNTIFS(AK_NAMA,D1840,AK_KAT,"KAS")&lt;&gt;1,"",IF(COUNTIFS(AK_NAMA,C1840,AK_KAT,"KAS")=1,D1840,C1840)))</f>
        <v/>
      </c>
      <c r="M1840" s="103" t="n">
        <f aca="false">IF(L1840="",0,IF(L1840=D1840,E1840,-E1840))</f>
        <v>0</v>
      </c>
      <c r="N1840" s="102" t="str">
        <f aca="false">IF(L1840="","",IFERROR(INDEX(AK_BARIS,MATCH(L1840,AK_NAMA,0)),"?"))</f>
        <v/>
      </c>
      <c r="O1840" s="102" t="str">
        <f aca="false">IF(C1840="","",IFERROR(INDEX(AK_KEL,MATCH(C1840,AK_NAMA,0)),"?"))</f>
        <v/>
      </c>
      <c r="P1840" s="102" t="str">
        <f aca="false">IF(D1840="","",IFERROR(INDEX(AK_KEL,MATCH(D1840,AK_NAMA,0)),"?"))</f>
        <v/>
      </c>
      <c r="Q1840" s="102" t="n">
        <f aca="false">N(Q1839)+IF(AND(N(E1840)&lt;&gt;0,K1840=TAHUN,N(J1840)&lt;=BLN,OR(C1840=BB_AKUN,D1840=BB_AKUN)),1,0)</f>
        <v>877</v>
      </c>
      <c r="R1840" s="104" t="str">
        <f aca="false">IF(OR(C1840&amp;D1840="",N(E1840)=0),"",IF(OR(O1840="?",P1840="?"),"⚠ akun tidak dikenal",IF(C1840=D1840,"⚠ debet = kredit","")))</f>
        <v/>
      </c>
    </row>
    <row r="1841" customFormat="false" ht="15" hidden="false" customHeight="false" outlineLevel="0" collapsed="false">
      <c r="A1841" s="5"/>
      <c r="B1841" s="83"/>
      <c r="C1841" s="5"/>
      <c r="D1841" s="5"/>
      <c r="E1841" s="44"/>
      <c r="F1841" s="5"/>
      <c r="G1841" s="5"/>
      <c r="H1841" s="5"/>
      <c r="I1841" s="5"/>
      <c r="J1841" s="102" t="str">
        <f aca="false">IF(B1841="","",MONTH(B1841))</f>
        <v/>
      </c>
      <c r="K1841" s="102" t="str">
        <f aca="false">IF(B1841="","",YEAR(B1841))</f>
        <v/>
      </c>
      <c r="L1841" s="102" t="str">
        <f aca="false">IF(N(E1841)=0,"",IF(COUNTIFS(AK_NAMA,C1841,AK_KAT,"KAS")+COUNTIFS(AK_NAMA,D1841,AK_KAT,"KAS")&lt;&gt;1,"",IF(COUNTIFS(AK_NAMA,C1841,AK_KAT,"KAS")=1,D1841,C1841)))</f>
        <v/>
      </c>
      <c r="M1841" s="103" t="n">
        <f aca="false">IF(L1841="",0,IF(L1841=D1841,E1841,-E1841))</f>
        <v>0</v>
      </c>
      <c r="N1841" s="102" t="str">
        <f aca="false">IF(L1841="","",IFERROR(INDEX(AK_BARIS,MATCH(L1841,AK_NAMA,0)),"?"))</f>
        <v/>
      </c>
      <c r="O1841" s="102" t="str">
        <f aca="false">IF(C1841="","",IFERROR(INDEX(AK_KEL,MATCH(C1841,AK_NAMA,0)),"?"))</f>
        <v/>
      </c>
      <c r="P1841" s="102" t="str">
        <f aca="false">IF(D1841="","",IFERROR(INDEX(AK_KEL,MATCH(D1841,AK_NAMA,0)),"?"))</f>
        <v/>
      </c>
      <c r="Q1841" s="102" t="n">
        <f aca="false">N(Q1840)+IF(AND(N(E1841)&lt;&gt;0,K1841=TAHUN,N(J1841)&lt;=BLN,OR(C1841=BB_AKUN,D1841=BB_AKUN)),1,0)</f>
        <v>877</v>
      </c>
      <c r="R1841" s="104" t="str">
        <f aca="false">IF(OR(C1841&amp;D1841="",N(E1841)=0),"",IF(OR(O1841="?",P1841="?"),"⚠ akun tidak dikenal",IF(C1841=D1841,"⚠ debet = kredit","")))</f>
        <v/>
      </c>
    </row>
    <row r="1842" customFormat="false" ht="15" hidden="false" customHeight="false" outlineLevel="0" collapsed="false">
      <c r="A1842" s="5"/>
      <c r="B1842" s="83"/>
      <c r="C1842" s="5"/>
      <c r="D1842" s="5"/>
      <c r="E1842" s="44"/>
      <c r="F1842" s="5"/>
      <c r="G1842" s="5"/>
      <c r="H1842" s="5"/>
      <c r="I1842" s="5"/>
      <c r="J1842" s="102" t="str">
        <f aca="false">IF(B1842="","",MONTH(B1842))</f>
        <v/>
      </c>
      <c r="K1842" s="102" t="str">
        <f aca="false">IF(B1842="","",YEAR(B1842))</f>
        <v/>
      </c>
      <c r="L1842" s="102" t="str">
        <f aca="false">IF(N(E1842)=0,"",IF(COUNTIFS(AK_NAMA,C1842,AK_KAT,"KAS")+COUNTIFS(AK_NAMA,D1842,AK_KAT,"KAS")&lt;&gt;1,"",IF(COUNTIFS(AK_NAMA,C1842,AK_KAT,"KAS")=1,D1842,C1842)))</f>
        <v/>
      </c>
      <c r="M1842" s="103" t="n">
        <f aca="false">IF(L1842="",0,IF(L1842=D1842,E1842,-E1842))</f>
        <v>0</v>
      </c>
      <c r="N1842" s="102" t="str">
        <f aca="false">IF(L1842="","",IFERROR(INDEX(AK_BARIS,MATCH(L1842,AK_NAMA,0)),"?"))</f>
        <v/>
      </c>
      <c r="O1842" s="102" t="str">
        <f aca="false">IF(C1842="","",IFERROR(INDEX(AK_KEL,MATCH(C1842,AK_NAMA,0)),"?"))</f>
        <v/>
      </c>
      <c r="P1842" s="102" t="str">
        <f aca="false">IF(D1842="","",IFERROR(INDEX(AK_KEL,MATCH(D1842,AK_NAMA,0)),"?"))</f>
        <v/>
      </c>
      <c r="Q1842" s="102" t="n">
        <f aca="false">N(Q1841)+IF(AND(N(E1842)&lt;&gt;0,K1842=TAHUN,N(J1842)&lt;=BLN,OR(C1842=BB_AKUN,D1842=BB_AKUN)),1,0)</f>
        <v>877</v>
      </c>
      <c r="R1842" s="104" t="str">
        <f aca="false">IF(OR(C1842&amp;D1842="",N(E1842)=0),"",IF(OR(O1842="?",P1842="?"),"⚠ akun tidak dikenal",IF(C1842=D1842,"⚠ debet = kredit","")))</f>
        <v/>
      </c>
    </row>
    <row r="1843" customFormat="false" ht="15" hidden="false" customHeight="false" outlineLevel="0" collapsed="false">
      <c r="A1843" s="5"/>
      <c r="B1843" s="83"/>
      <c r="C1843" s="5"/>
      <c r="D1843" s="5"/>
      <c r="E1843" s="44"/>
      <c r="F1843" s="5"/>
      <c r="G1843" s="5"/>
      <c r="H1843" s="5"/>
      <c r="I1843" s="5"/>
      <c r="J1843" s="102" t="str">
        <f aca="false">IF(B1843="","",MONTH(B1843))</f>
        <v/>
      </c>
      <c r="K1843" s="102" t="str">
        <f aca="false">IF(B1843="","",YEAR(B1843))</f>
        <v/>
      </c>
      <c r="L1843" s="102" t="str">
        <f aca="false">IF(N(E1843)=0,"",IF(COUNTIFS(AK_NAMA,C1843,AK_KAT,"KAS")+COUNTIFS(AK_NAMA,D1843,AK_KAT,"KAS")&lt;&gt;1,"",IF(COUNTIFS(AK_NAMA,C1843,AK_KAT,"KAS")=1,D1843,C1843)))</f>
        <v/>
      </c>
      <c r="M1843" s="103" t="n">
        <f aca="false">IF(L1843="",0,IF(L1843=D1843,E1843,-E1843))</f>
        <v>0</v>
      </c>
      <c r="N1843" s="102" t="str">
        <f aca="false">IF(L1843="","",IFERROR(INDEX(AK_BARIS,MATCH(L1843,AK_NAMA,0)),"?"))</f>
        <v/>
      </c>
      <c r="O1843" s="102" t="str">
        <f aca="false">IF(C1843="","",IFERROR(INDEX(AK_KEL,MATCH(C1843,AK_NAMA,0)),"?"))</f>
        <v/>
      </c>
      <c r="P1843" s="102" t="str">
        <f aca="false">IF(D1843="","",IFERROR(INDEX(AK_KEL,MATCH(D1843,AK_NAMA,0)),"?"))</f>
        <v/>
      </c>
      <c r="Q1843" s="102" t="n">
        <f aca="false">N(Q1842)+IF(AND(N(E1843)&lt;&gt;0,K1843=TAHUN,N(J1843)&lt;=BLN,OR(C1843=BB_AKUN,D1843=BB_AKUN)),1,0)</f>
        <v>877</v>
      </c>
      <c r="R1843" s="104" t="str">
        <f aca="false">IF(OR(C1843&amp;D1843="",N(E1843)=0),"",IF(OR(O1843="?",P1843="?"),"⚠ akun tidak dikenal",IF(C1843=D1843,"⚠ debet = kredit","")))</f>
        <v/>
      </c>
    </row>
    <row r="1844" customFormat="false" ht="15" hidden="false" customHeight="false" outlineLevel="0" collapsed="false">
      <c r="A1844" s="5"/>
      <c r="B1844" s="83"/>
      <c r="C1844" s="5"/>
      <c r="D1844" s="5"/>
      <c r="E1844" s="44"/>
      <c r="F1844" s="5"/>
      <c r="G1844" s="5"/>
      <c r="H1844" s="5"/>
      <c r="I1844" s="5"/>
      <c r="J1844" s="102" t="str">
        <f aca="false">IF(B1844="","",MONTH(B1844))</f>
        <v/>
      </c>
      <c r="K1844" s="102" t="str">
        <f aca="false">IF(B1844="","",YEAR(B1844))</f>
        <v/>
      </c>
      <c r="L1844" s="102" t="str">
        <f aca="false">IF(N(E1844)=0,"",IF(COUNTIFS(AK_NAMA,C1844,AK_KAT,"KAS")+COUNTIFS(AK_NAMA,D1844,AK_KAT,"KAS")&lt;&gt;1,"",IF(COUNTIFS(AK_NAMA,C1844,AK_KAT,"KAS")=1,D1844,C1844)))</f>
        <v/>
      </c>
      <c r="M1844" s="103" t="n">
        <f aca="false">IF(L1844="",0,IF(L1844=D1844,E1844,-E1844))</f>
        <v>0</v>
      </c>
      <c r="N1844" s="102" t="str">
        <f aca="false">IF(L1844="","",IFERROR(INDEX(AK_BARIS,MATCH(L1844,AK_NAMA,0)),"?"))</f>
        <v/>
      </c>
      <c r="O1844" s="102" t="str">
        <f aca="false">IF(C1844="","",IFERROR(INDEX(AK_KEL,MATCH(C1844,AK_NAMA,0)),"?"))</f>
        <v/>
      </c>
      <c r="P1844" s="102" t="str">
        <f aca="false">IF(D1844="","",IFERROR(INDEX(AK_KEL,MATCH(D1844,AK_NAMA,0)),"?"))</f>
        <v/>
      </c>
      <c r="Q1844" s="102" t="n">
        <f aca="false">N(Q1843)+IF(AND(N(E1844)&lt;&gt;0,K1844=TAHUN,N(J1844)&lt;=BLN,OR(C1844=BB_AKUN,D1844=BB_AKUN)),1,0)</f>
        <v>877</v>
      </c>
      <c r="R1844" s="104" t="str">
        <f aca="false">IF(OR(C1844&amp;D1844="",N(E1844)=0),"",IF(OR(O1844="?",P1844="?"),"⚠ akun tidak dikenal",IF(C1844=D1844,"⚠ debet = kredit","")))</f>
        <v/>
      </c>
    </row>
    <row r="1845" customFormat="false" ht="15" hidden="false" customHeight="false" outlineLevel="0" collapsed="false">
      <c r="A1845" s="5"/>
      <c r="B1845" s="83"/>
      <c r="C1845" s="5"/>
      <c r="D1845" s="5"/>
      <c r="E1845" s="44"/>
      <c r="F1845" s="5"/>
      <c r="G1845" s="5"/>
      <c r="H1845" s="5"/>
      <c r="I1845" s="5"/>
      <c r="J1845" s="102" t="str">
        <f aca="false">IF(B1845="","",MONTH(B1845))</f>
        <v/>
      </c>
      <c r="K1845" s="102" t="str">
        <f aca="false">IF(B1845="","",YEAR(B1845))</f>
        <v/>
      </c>
      <c r="L1845" s="102" t="str">
        <f aca="false">IF(N(E1845)=0,"",IF(COUNTIFS(AK_NAMA,C1845,AK_KAT,"KAS")+COUNTIFS(AK_NAMA,D1845,AK_KAT,"KAS")&lt;&gt;1,"",IF(COUNTIFS(AK_NAMA,C1845,AK_KAT,"KAS")=1,D1845,C1845)))</f>
        <v/>
      </c>
      <c r="M1845" s="103" t="n">
        <f aca="false">IF(L1845="",0,IF(L1845=D1845,E1845,-E1845))</f>
        <v>0</v>
      </c>
      <c r="N1845" s="102" t="str">
        <f aca="false">IF(L1845="","",IFERROR(INDEX(AK_BARIS,MATCH(L1845,AK_NAMA,0)),"?"))</f>
        <v/>
      </c>
      <c r="O1845" s="102" t="str">
        <f aca="false">IF(C1845="","",IFERROR(INDEX(AK_KEL,MATCH(C1845,AK_NAMA,0)),"?"))</f>
        <v/>
      </c>
      <c r="P1845" s="102" t="str">
        <f aca="false">IF(D1845="","",IFERROR(INDEX(AK_KEL,MATCH(D1845,AK_NAMA,0)),"?"))</f>
        <v/>
      </c>
      <c r="Q1845" s="102" t="n">
        <f aca="false">N(Q1844)+IF(AND(N(E1845)&lt;&gt;0,K1845=TAHUN,N(J1845)&lt;=BLN,OR(C1845=BB_AKUN,D1845=BB_AKUN)),1,0)</f>
        <v>877</v>
      </c>
      <c r="R1845" s="104" t="str">
        <f aca="false">IF(OR(C1845&amp;D1845="",N(E1845)=0),"",IF(OR(O1845="?",P1845="?"),"⚠ akun tidak dikenal",IF(C1845=D1845,"⚠ debet = kredit","")))</f>
        <v/>
      </c>
    </row>
    <row r="1846" customFormat="false" ht="15" hidden="false" customHeight="false" outlineLevel="0" collapsed="false">
      <c r="A1846" s="5"/>
      <c r="B1846" s="83"/>
      <c r="C1846" s="5"/>
      <c r="D1846" s="5"/>
      <c r="E1846" s="44"/>
      <c r="F1846" s="5"/>
      <c r="G1846" s="5"/>
      <c r="H1846" s="5"/>
      <c r="I1846" s="5"/>
      <c r="J1846" s="102" t="str">
        <f aca="false">IF(B1846="","",MONTH(B1846))</f>
        <v/>
      </c>
      <c r="K1846" s="102" t="str">
        <f aca="false">IF(B1846="","",YEAR(B1846))</f>
        <v/>
      </c>
      <c r="L1846" s="102" t="str">
        <f aca="false">IF(N(E1846)=0,"",IF(COUNTIFS(AK_NAMA,C1846,AK_KAT,"KAS")+COUNTIFS(AK_NAMA,D1846,AK_KAT,"KAS")&lt;&gt;1,"",IF(COUNTIFS(AK_NAMA,C1846,AK_KAT,"KAS")=1,D1846,C1846)))</f>
        <v/>
      </c>
      <c r="M1846" s="103" t="n">
        <f aca="false">IF(L1846="",0,IF(L1846=D1846,E1846,-E1846))</f>
        <v>0</v>
      </c>
      <c r="N1846" s="102" t="str">
        <f aca="false">IF(L1846="","",IFERROR(INDEX(AK_BARIS,MATCH(L1846,AK_NAMA,0)),"?"))</f>
        <v/>
      </c>
      <c r="O1846" s="102" t="str">
        <f aca="false">IF(C1846="","",IFERROR(INDEX(AK_KEL,MATCH(C1846,AK_NAMA,0)),"?"))</f>
        <v/>
      </c>
      <c r="P1846" s="102" t="str">
        <f aca="false">IF(D1846="","",IFERROR(INDEX(AK_KEL,MATCH(D1846,AK_NAMA,0)),"?"))</f>
        <v/>
      </c>
      <c r="Q1846" s="102" t="n">
        <f aca="false">N(Q1845)+IF(AND(N(E1846)&lt;&gt;0,K1846=TAHUN,N(J1846)&lt;=BLN,OR(C1846=BB_AKUN,D1846=BB_AKUN)),1,0)</f>
        <v>877</v>
      </c>
      <c r="R1846" s="104" t="str">
        <f aca="false">IF(OR(C1846&amp;D1846="",N(E1846)=0),"",IF(OR(O1846="?",P1846="?"),"⚠ akun tidak dikenal",IF(C1846=D1846,"⚠ debet = kredit","")))</f>
        <v/>
      </c>
    </row>
    <row r="1847" customFormat="false" ht="15" hidden="false" customHeight="false" outlineLevel="0" collapsed="false">
      <c r="A1847" s="5"/>
      <c r="B1847" s="83"/>
      <c r="C1847" s="5"/>
      <c r="D1847" s="5"/>
      <c r="E1847" s="44"/>
      <c r="F1847" s="5"/>
      <c r="G1847" s="5"/>
      <c r="H1847" s="5"/>
      <c r="I1847" s="5"/>
      <c r="J1847" s="102" t="str">
        <f aca="false">IF(B1847="","",MONTH(B1847))</f>
        <v/>
      </c>
      <c r="K1847" s="102" t="str">
        <f aca="false">IF(B1847="","",YEAR(B1847))</f>
        <v/>
      </c>
      <c r="L1847" s="102" t="str">
        <f aca="false">IF(N(E1847)=0,"",IF(COUNTIFS(AK_NAMA,C1847,AK_KAT,"KAS")+COUNTIFS(AK_NAMA,D1847,AK_KAT,"KAS")&lt;&gt;1,"",IF(COUNTIFS(AK_NAMA,C1847,AK_KAT,"KAS")=1,D1847,C1847)))</f>
        <v/>
      </c>
      <c r="M1847" s="103" t="n">
        <f aca="false">IF(L1847="",0,IF(L1847=D1847,E1847,-E1847))</f>
        <v>0</v>
      </c>
      <c r="N1847" s="102" t="str">
        <f aca="false">IF(L1847="","",IFERROR(INDEX(AK_BARIS,MATCH(L1847,AK_NAMA,0)),"?"))</f>
        <v/>
      </c>
      <c r="O1847" s="102" t="str">
        <f aca="false">IF(C1847="","",IFERROR(INDEX(AK_KEL,MATCH(C1847,AK_NAMA,0)),"?"))</f>
        <v/>
      </c>
      <c r="P1847" s="102" t="str">
        <f aca="false">IF(D1847="","",IFERROR(INDEX(AK_KEL,MATCH(D1847,AK_NAMA,0)),"?"))</f>
        <v/>
      </c>
      <c r="Q1847" s="102" t="n">
        <f aca="false">N(Q1846)+IF(AND(N(E1847)&lt;&gt;0,K1847=TAHUN,N(J1847)&lt;=BLN,OR(C1847=BB_AKUN,D1847=BB_AKUN)),1,0)</f>
        <v>877</v>
      </c>
      <c r="R1847" s="104" t="str">
        <f aca="false">IF(OR(C1847&amp;D1847="",N(E1847)=0),"",IF(OR(O1847="?",P1847="?"),"⚠ akun tidak dikenal",IF(C1847=D1847,"⚠ debet = kredit","")))</f>
        <v/>
      </c>
    </row>
    <row r="1848" customFormat="false" ht="15" hidden="false" customHeight="false" outlineLevel="0" collapsed="false">
      <c r="A1848" s="5"/>
      <c r="B1848" s="83"/>
      <c r="C1848" s="5"/>
      <c r="D1848" s="5"/>
      <c r="E1848" s="44"/>
      <c r="F1848" s="5"/>
      <c r="G1848" s="5"/>
      <c r="H1848" s="5"/>
      <c r="I1848" s="5"/>
      <c r="J1848" s="102" t="str">
        <f aca="false">IF(B1848="","",MONTH(B1848))</f>
        <v/>
      </c>
      <c r="K1848" s="102" t="str">
        <f aca="false">IF(B1848="","",YEAR(B1848))</f>
        <v/>
      </c>
      <c r="L1848" s="102" t="str">
        <f aca="false">IF(N(E1848)=0,"",IF(COUNTIFS(AK_NAMA,C1848,AK_KAT,"KAS")+COUNTIFS(AK_NAMA,D1848,AK_KAT,"KAS")&lt;&gt;1,"",IF(COUNTIFS(AK_NAMA,C1848,AK_KAT,"KAS")=1,D1848,C1848)))</f>
        <v/>
      </c>
      <c r="M1848" s="103" t="n">
        <f aca="false">IF(L1848="",0,IF(L1848=D1848,E1848,-E1848))</f>
        <v>0</v>
      </c>
      <c r="N1848" s="102" t="str">
        <f aca="false">IF(L1848="","",IFERROR(INDEX(AK_BARIS,MATCH(L1848,AK_NAMA,0)),"?"))</f>
        <v/>
      </c>
      <c r="O1848" s="102" t="str">
        <f aca="false">IF(C1848="","",IFERROR(INDEX(AK_KEL,MATCH(C1848,AK_NAMA,0)),"?"))</f>
        <v/>
      </c>
      <c r="P1848" s="102" t="str">
        <f aca="false">IF(D1848="","",IFERROR(INDEX(AK_KEL,MATCH(D1848,AK_NAMA,0)),"?"))</f>
        <v/>
      </c>
      <c r="Q1848" s="102" t="n">
        <f aca="false">N(Q1847)+IF(AND(N(E1848)&lt;&gt;0,K1848=TAHUN,N(J1848)&lt;=BLN,OR(C1848=BB_AKUN,D1848=BB_AKUN)),1,0)</f>
        <v>877</v>
      </c>
      <c r="R1848" s="104" t="str">
        <f aca="false">IF(OR(C1848&amp;D1848="",N(E1848)=0),"",IF(OR(O1848="?",P1848="?"),"⚠ akun tidak dikenal",IF(C1848=D1848,"⚠ debet = kredit","")))</f>
        <v/>
      </c>
    </row>
    <row r="1849" customFormat="false" ht="15" hidden="false" customHeight="false" outlineLevel="0" collapsed="false">
      <c r="A1849" s="5"/>
      <c r="B1849" s="83"/>
      <c r="C1849" s="5"/>
      <c r="D1849" s="5"/>
      <c r="E1849" s="44"/>
      <c r="F1849" s="5"/>
      <c r="G1849" s="5"/>
      <c r="H1849" s="5"/>
      <c r="I1849" s="5"/>
      <c r="J1849" s="102" t="str">
        <f aca="false">IF(B1849="","",MONTH(B1849))</f>
        <v/>
      </c>
      <c r="K1849" s="102" t="str">
        <f aca="false">IF(B1849="","",YEAR(B1849))</f>
        <v/>
      </c>
      <c r="L1849" s="102" t="str">
        <f aca="false">IF(N(E1849)=0,"",IF(COUNTIFS(AK_NAMA,C1849,AK_KAT,"KAS")+COUNTIFS(AK_NAMA,D1849,AK_KAT,"KAS")&lt;&gt;1,"",IF(COUNTIFS(AK_NAMA,C1849,AK_KAT,"KAS")=1,D1849,C1849)))</f>
        <v/>
      </c>
      <c r="M1849" s="103" t="n">
        <f aca="false">IF(L1849="",0,IF(L1849=D1849,E1849,-E1849))</f>
        <v>0</v>
      </c>
      <c r="N1849" s="102" t="str">
        <f aca="false">IF(L1849="","",IFERROR(INDEX(AK_BARIS,MATCH(L1849,AK_NAMA,0)),"?"))</f>
        <v/>
      </c>
      <c r="O1849" s="102" t="str">
        <f aca="false">IF(C1849="","",IFERROR(INDEX(AK_KEL,MATCH(C1849,AK_NAMA,0)),"?"))</f>
        <v/>
      </c>
      <c r="P1849" s="102" t="str">
        <f aca="false">IF(D1849="","",IFERROR(INDEX(AK_KEL,MATCH(D1849,AK_NAMA,0)),"?"))</f>
        <v/>
      </c>
      <c r="Q1849" s="102" t="n">
        <f aca="false">N(Q1848)+IF(AND(N(E1849)&lt;&gt;0,K1849=TAHUN,N(J1849)&lt;=BLN,OR(C1849=BB_AKUN,D1849=BB_AKUN)),1,0)</f>
        <v>877</v>
      </c>
      <c r="R1849" s="104" t="str">
        <f aca="false">IF(OR(C1849&amp;D1849="",N(E1849)=0),"",IF(OR(O1849="?",P1849="?"),"⚠ akun tidak dikenal",IF(C1849=D1849,"⚠ debet = kredit","")))</f>
        <v/>
      </c>
    </row>
    <row r="1850" customFormat="false" ht="15" hidden="false" customHeight="false" outlineLevel="0" collapsed="false">
      <c r="A1850" s="5"/>
      <c r="B1850" s="83"/>
      <c r="C1850" s="5"/>
      <c r="D1850" s="5"/>
      <c r="E1850" s="44"/>
      <c r="F1850" s="5"/>
      <c r="G1850" s="5"/>
      <c r="H1850" s="5"/>
      <c r="I1850" s="5"/>
      <c r="J1850" s="102" t="str">
        <f aca="false">IF(B1850="","",MONTH(B1850))</f>
        <v/>
      </c>
      <c r="K1850" s="102" t="str">
        <f aca="false">IF(B1850="","",YEAR(B1850))</f>
        <v/>
      </c>
      <c r="L1850" s="102" t="str">
        <f aca="false">IF(N(E1850)=0,"",IF(COUNTIFS(AK_NAMA,C1850,AK_KAT,"KAS")+COUNTIFS(AK_NAMA,D1850,AK_KAT,"KAS")&lt;&gt;1,"",IF(COUNTIFS(AK_NAMA,C1850,AK_KAT,"KAS")=1,D1850,C1850)))</f>
        <v/>
      </c>
      <c r="M1850" s="103" t="n">
        <f aca="false">IF(L1850="",0,IF(L1850=D1850,E1850,-E1850))</f>
        <v>0</v>
      </c>
      <c r="N1850" s="102" t="str">
        <f aca="false">IF(L1850="","",IFERROR(INDEX(AK_BARIS,MATCH(L1850,AK_NAMA,0)),"?"))</f>
        <v/>
      </c>
      <c r="O1850" s="102" t="str">
        <f aca="false">IF(C1850="","",IFERROR(INDEX(AK_KEL,MATCH(C1850,AK_NAMA,0)),"?"))</f>
        <v/>
      </c>
      <c r="P1850" s="102" t="str">
        <f aca="false">IF(D1850="","",IFERROR(INDEX(AK_KEL,MATCH(D1850,AK_NAMA,0)),"?"))</f>
        <v/>
      </c>
      <c r="Q1850" s="102" t="n">
        <f aca="false">N(Q1849)+IF(AND(N(E1850)&lt;&gt;0,K1850=TAHUN,N(J1850)&lt;=BLN,OR(C1850=BB_AKUN,D1850=BB_AKUN)),1,0)</f>
        <v>877</v>
      </c>
      <c r="R1850" s="104" t="str">
        <f aca="false">IF(OR(C1850&amp;D1850="",N(E1850)=0),"",IF(OR(O1850="?",P1850="?"),"⚠ akun tidak dikenal",IF(C1850=D1850,"⚠ debet = kredit","")))</f>
        <v/>
      </c>
    </row>
    <row r="1851" customFormat="false" ht="15" hidden="false" customHeight="false" outlineLevel="0" collapsed="false">
      <c r="A1851" s="5"/>
      <c r="B1851" s="83"/>
      <c r="C1851" s="5"/>
      <c r="D1851" s="5"/>
      <c r="E1851" s="44"/>
      <c r="F1851" s="5"/>
      <c r="G1851" s="5"/>
      <c r="H1851" s="5"/>
      <c r="I1851" s="5"/>
      <c r="J1851" s="102" t="str">
        <f aca="false">IF(B1851="","",MONTH(B1851))</f>
        <v/>
      </c>
      <c r="K1851" s="102" t="str">
        <f aca="false">IF(B1851="","",YEAR(B1851))</f>
        <v/>
      </c>
      <c r="L1851" s="102" t="str">
        <f aca="false">IF(N(E1851)=0,"",IF(COUNTIFS(AK_NAMA,C1851,AK_KAT,"KAS")+COUNTIFS(AK_NAMA,D1851,AK_KAT,"KAS")&lt;&gt;1,"",IF(COUNTIFS(AK_NAMA,C1851,AK_KAT,"KAS")=1,D1851,C1851)))</f>
        <v/>
      </c>
      <c r="M1851" s="103" t="n">
        <f aca="false">IF(L1851="",0,IF(L1851=D1851,E1851,-E1851))</f>
        <v>0</v>
      </c>
      <c r="N1851" s="102" t="str">
        <f aca="false">IF(L1851="","",IFERROR(INDEX(AK_BARIS,MATCH(L1851,AK_NAMA,0)),"?"))</f>
        <v/>
      </c>
      <c r="O1851" s="102" t="str">
        <f aca="false">IF(C1851="","",IFERROR(INDEX(AK_KEL,MATCH(C1851,AK_NAMA,0)),"?"))</f>
        <v/>
      </c>
      <c r="P1851" s="102" t="str">
        <f aca="false">IF(D1851="","",IFERROR(INDEX(AK_KEL,MATCH(D1851,AK_NAMA,0)),"?"))</f>
        <v/>
      </c>
      <c r="Q1851" s="102" t="n">
        <f aca="false">N(Q1850)+IF(AND(N(E1851)&lt;&gt;0,K1851=TAHUN,N(J1851)&lt;=BLN,OR(C1851=BB_AKUN,D1851=BB_AKUN)),1,0)</f>
        <v>877</v>
      </c>
      <c r="R1851" s="104" t="str">
        <f aca="false">IF(OR(C1851&amp;D1851="",N(E1851)=0),"",IF(OR(O1851="?",P1851="?"),"⚠ akun tidak dikenal",IF(C1851=D1851,"⚠ debet = kredit","")))</f>
        <v/>
      </c>
    </row>
    <row r="1852" customFormat="false" ht="15" hidden="false" customHeight="false" outlineLevel="0" collapsed="false">
      <c r="A1852" s="5"/>
      <c r="B1852" s="83"/>
      <c r="C1852" s="5"/>
      <c r="D1852" s="5"/>
      <c r="E1852" s="44"/>
      <c r="F1852" s="5"/>
      <c r="G1852" s="5"/>
      <c r="H1852" s="5"/>
      <c r="I1852" s="5"/>
      <c r="J1852" s="102" t="str">
        <f aca="false">IF(B1852="","",MONTH(B1852))</f>
        <v/>
      </c>
      <c r="K1852" s="102" t="str">
        <f aca="false">IF(B1852="","",YEAR(B1852))</f>
        <v/>
      </c>
      <c r="L1852" s="102" t="str">
        <f aca="false">IF(N(E1852)=0,"",IF(COUNTIFS(AK_NAMA,C1852,AK_KAT,"KAS")+COUNTIFS(AK_NAMA,D1852,AK_KAT,"KAS")&lt;&gt;1,"",IF(COUNTIFS(AK_NAMA,C1852,AK_KAT,"KAS")=1,D1852,C1852)))</f>
        <v/>
      </c>
      <c r="M1852" s="103" t="n">
        <f aca="false">IF(L1852="",0,IF(L1852=D1852,E1852,-E1852))</f>
        <v>0</v>
      </c>
      <c r="N1852" s="102" t="str">
        <f aca="false">IF(L1852="","",IFERROR(INDEX(AK_BARIS,MATCH(L1852,AK_NAMA,0)),"?"))</f>
        <v/>
      </c>
      <c r="O1852" s="102" t="str">
        <f aca="false">IF(C1852="","",IFERROR(INDEX(AK_KEL,MATCH(C1852,AK_NAMA,0)),"?"))</f>
        <v/>
      </c>
      <c r="P1852" s="102" t="str">
        <f aca="false">IF(D1852="","",IFERROR(INDEX(AK_KEL,MATCH(D1852,AK_NAMA,0)),"?"))</f>
        <v/>
      </c>
      <c r="Q1852" s="102" t="n">
        <f aca="false">N(Q1851)+IF(AND(N(E1852)&lt;&gt;0,K1852=TAHUN,N(J1852)&lt;=BLN,OR(C1852=BB_AKUN,D1852=BB_AKUN)),1,0)</f>
        <v>877</v>
      </c>
      <c r="R1852" s="104" t="str">
        <f aca="false">IF(OR(C1852&amp;D1852="",N(E1852)=0),"",IF(OR(O1852="?",P1852="?"),"⚠ akun tidak dikenal",IF(C1852=D1852,"⚠ debet = kredit","")))</f>
        <v/>
      </c>
    </row>
    <row r="1853" customFormat="false" ht="15" hidden="false" customHeight="false" outlineLevel="0" collapsed="false">
      <c r="A1853" s="5"/>
      <c r="B1853" s="83"/>
      <c r="C1853" s="5"/>
      <c r="D1853" s="5"/>
      <c r="E1853" s="44"/>
      <c r="F1853" s="5"/>
      <c r="G1853" s="5"/>
      <c r="H1853" s="5"/>
      <c r="I1853" s="5"/>
      <c r="J1853" s="102" t="str">
        <f aca="false">IF(B1853="","",MONTH(B1853))</f>
        <v/>
      </c>
      <c r="K1853" s="102" t="str">
        <f aca="false">IF(B1853="","",YEAR(B1853))</f>
        <v/>
      </c>
      <c r="L1853" s="102" t="str">
        <f aca="false">IF(N(E1853)=0,"",IF(COUNTIFS(AK_NAMA,C1853,AK_KAT,"KAS")+COUNTIFS(AK_NAMA,D1853,AK_KAT,"KAS")&lt;&gt;1,"",IF(COUNTIFS(AK_NAMA,C1853,AK_KAT,"KAS")=1,D1853,C1853)))</f>
        <v/>
      </c>
      <c r="M1853" s="103" t="n">
        <f aca="false">IF(L1853="",0,IF(L1853=D1853,E1853,-E1853))</f>
        <v>0</v>
      </c>
      <c r="N1853" s="102" t="str">
        <f aca="false">IF(L1853="","",IFERROR(INDEX(AK_BARIS,MATCH(L1853,AK_NAMA,0)),"?"))</f>
        <v/>
      </c>
      <c r="O1853" s="102" t="str">
        <f aca="false">IF(C1853="","",IFERROR(INDEX(AK_KEL,MATCH(C1853,AK_NAMA,0)),"?"))</f>
        <v/>
      </c>
      <c r="P1853" s="102" t="str">
        <f aca="false">IF(D1853="","",IFERROR(INDEX(AK_KEL,MATCH(D1853,AK_NAMA,0)),"?"))</f>
        <v/>
      </c>
      <c r="Q1853" s="102" t="n">
        <f aca="false">N(Q1852)+IF(AND(N(E1853)&lt;&gt;0,K1853=TAHUN,N(J1853)&lt;=BLN,OR(C1853=BB_AKUN,D1853=BB_AKUN)),1,0)</f>
        <v>877</v>
      </c>
      <c r="R1853" s="104" t="str">
        <f aca="false">IF(OR(C1853&amp;D1853="",N(E1853)=0),"",IF(OR(O1853="?",P1853="?"),"⚠ akun tidak dikenal",IF(C1853=D1853,"⚠ debet = kredit","")))</f>
        <v/>
      </c>
    </row>
    <row r="1854" customFormat="false" ht="15" hidden="false" customHeight="false" outlineLevel="0" collapsed="false">
      <c r="A1854" s="5"/>
      <c r="B1854" s="83"/>
      <c r="C1854" s="5"/>
      <c r="D1854" s="5"/>
      <c r="E1854" s="44"/>
      <c r="F1854" s="5"/>
      <c r="G1854" s="5"/>
      <c r="H1854" s="5"/>
      <c r="I1854" s="5"/>
      <c r="J1854" s="102" t="str">
        <f aca="false">IF(B1854="","",MONTH(B1854))</f>
        <v/>
      </c>
      <c r="K1854" s="102" t="str">
        <f aca="false">IF(B1854="","",YEAR(B1854))</f>
        <v/>
      </c>
      <c r="L1854" s="102" t="str">
        <f aca="false">IF(N(E1854)=0,"",IF(COUNTIFS(AK_NAMA,C1854,AK_KAT,"KAS")+COUNTIFS(AK_NAMA,D1854,AK_KAT,"KAS")&lt;&gt;1,"",IF(COUNTIFS(AK_NAMA,C1854,AK_KAT,"KAS")=1,D1854,C1854)))</f>
        <v/>
      </c>
      <c r="M1854" s="103" t="n">
        <f aca="false">IF(L1854="",0,IF(L1854=D1854,E1854,-E1854))</f>
        <v>0</v>
      </c>
      <c r="N1854" s="102" t="str">
        <f aca="false">IF(L1854="","",IFERROR(INDEX(AK_BARIS,MATCH(L1854,AK_NAMA,0)),"?"))</f>
        <v/>
      </c>
      <c r="O1854" s="102" t="str">
        <f aca="false">IF(C1854="","",IFERROR(INDEX(AK_KEL,MATCH(C1854,AK_NAMA,0)),"?"))</f>
        <v/>
      </c>
      <c r="P1854" s="102" t="str">
        <f aca="false">IF(D1854="","",IFERROR(INDEX(AK_KEL,MATCH(D1854,AK_NAMA,0)),"?"))</f>
        <v/>
      </c>
      <c r="Q1854" s="102" t="n">
        <f aca="false">N(Q1853)+IF(AND(N(E1854)&lt;&gt;0,K1854=TAHUN,N(J1854)&lt;=BLN,OR(C1854=BB_AKUN,D1854=BB_AKUN)),1,0)</f>
        <v>877</v>
      </c>
      <c r="R1854" s="104" t="str">
        <f aca="false">IF(OR(C1854&amp;D1854="",N(E1854)=0),"",IF(OR(O1854="?",P1854="?"),"⚠ akun tidak dikenal",IF(C1854=D1854,"⚠ debet = kredit","")))</f>
        <v/>
      </c>
    </row>
    <row r="1855" customFormat="false" ht="15" hidden="false" customHeight="false" outlineLevel="0" collapsed="false">
      <c r="A1855" s="5"/>
      <c r="B1855" s="83"/>
      <c r="C1855" s="5"/>
      <c r="D1855" s="5"/>
      <c r="E1855" s="44"/>
      <c r="F1855" s="5"/>
      <c r="G1855" s="5"/>
      <c r="H1855" s="5"/>
      <c r="I1855" s="5"/>
      <c r="J1855" s="102" t="str">
        <f aca="false">IF(B1855="","",MONTH(B1855))</f>
        <v/>
      </c>
      <c r="K1855" s="102" t="str">
        <f aca="false">IF(B1855="","",YEAR(B1855))</f>
        <v/>
      </c>
      <c r="L1855" s="102" t="str">
        <f aca="false">IF(N(E1855)=0,"",IF(COUNTIFS(AK_NAMA,C1855,AK_KAT,"KAS")+COUNTIFS(AK_NAMA,D1855,AK_KAT,"KAS")&lt;&gt;1,"",IF(COUNTIFS(AK_NAMA,C1855,AK_KAT,"KAS")=1,D1855,C1855)))</f>
        <v/>
      </c>
      <c r="M1855" s="103" t="n">
        <f aca="false">IF(L1855="",0,IF(L1855=D1855,E1855,-E1855))</f>
        <v>0</v>
      </c>
      <c r="N1855" s="102" t="str">
        <f aca="false">IF(L1855="","",IFERROR(INDEX(AK_BARIS,MATCH(L1855,AK_NAMA,0)),"?"))</f>
        <v/>
      </c>
      <c r="O1855" s="102" t="str">
        <f aca="false">IF(C1855="","",IFERROR(INDEX(AK_KEL,MATCH(C1855,AK_NAMA,0)),"?"))</f>
        <v/>
      </c>
      <c r="P1855" s="102" t="str">
        <f aca="false">IF(D1855="","",IFERROR(INDEX(AK_KEL,MATCH(D1855,AK_NAMA,0)),"?"))</f>
        <v/>
      </c>
      <c r="Q1855" s="102" t="n">
        <f aca="false">N(Q1854)+IF(AND(N(E1855)&lt;&gt;0,K1855=TAHUN,N(J1855)&lt;=BLN,OR(C1855=BB_AKUN,D1855=BB_AKUN)),1,0)</f>
        <v>877</v>
      </c>
      <c r="R1855" s="104" t="str">
        <f aca="false">IF(OR(C1855&amp;D1855="",N(E1855)=0),"",IF(OR(O1855="?",P1855="?"),"⚠ akun tidak dikenal",IF(C1855=D1855,"⚠ debet = kredit","")))</f>
        <v/>
      </c>
    </row>
    <row r="1856" customFormat="false" ht="15" hidden="false" customHeight="false" outlineLevel="0" collapsed="false">
      <c r="A1856" s="5"/>
      <c r="B1856" s="83"/>
      <c r="C1856" s="5"/>
      <c r="D1856" s="5"/>
      <c r="E1856" s="44"/>
      <c r="F1856" s="5"/>
      <c r="G1856" s="5"/>
      <c r="H1856" s="5"/>
      <c r="I1856" s="5"/>
      <c r="J1856" s="102" t="str">
        <f aca="false">IF(B1856="","",MONTH(B1856))</f>
        <v/>
      </c>
      <c r="K1856" s="102" t="str">
        <f aca="false">IF(B1856="","",YEAR(B1856))</f>
        <v/>
      </c>
      <c r="L1856" s="102" t="str">
        <f aca="false">IF(N(E1856)=0,"",IF(COUNTIFS(AK_NAMA,C1856,AK_KAT,"KAS")+COUNTIFS(AK_NAMA,D1856,AK_KAT,"KAS")&lt;&gt;1,"",IF(COUNTIFS(AK_NAMA,C1856,AK_KAT,"KAS")=1,D1856,C1856)))</f>
        <v/>
      </c>
      <c r="M1856" s="103" t="n">
        <f aca="false">IF(L1856="",0,IF(L1856=D1856,E1856,-E1856))</f>
        <v>0</v>
      </c>
      <c r="N1856" s="102" t="str">
        <f aca="false">IF(L1856="","",IFERROR(INDEX(AK_BARIS,MATCH(L1856,AK_NAMA,0)),"?"))</f>
        <v/>
      </c>
      <c r="O1856" s="102" t="str">
        <f aca="false">IF(C1856="","",IFERROR(INDEX(AK_KEL,MATCH(C1856,AK_NAMA,0)),"?"))</f>
        <v/>
      </c>
      <c r="P1856" s="102" t="str">
        <f aca="false">IF(D1856="","",IFERROR(INDEX(AK_KEL,MATCH(D1856,AK_NAMA,0)),"?"))</f>
        <v/>
      </c>
      <c r="Q1856" s="102" t="n">
        <f aca="false">N(Q1855)+IF(AND(N(E1856)&lt;&gt;0,K1856=TAHUN,N(J1856)&lt;=BLN,OR(C1856=BB_AKUN,D1856=BB_AKUN)),1,0)</f>
        <v>877</v>
      </c>
      <c r="R1856" s="104" t="str">
        <f aca="false">IF(OR(C1856&amp;D1856="",N(E1856)=0),"",IF(OR(O1856="?",P1856="?"),"⚠ akun tidak dikenal",IF(C1856=D1856,"⚠ debet = kredit","")))</f>
        <v/>
      </c>
    </row>
    <row r="1857" customFormat="false" ht="15" hidden="false" customHeight="false" outlineLevel="0" collapsed="false">
      <c r="A1857" s="5"/>
      <c r="B1857" s="83"/>
      <c r="C1857" s="5"/>
      <c r="D1857" s="5"/>
      <c r="E1857" s="44"/>
      <c r="F1857" s="5"/>
      <c r="G1857" s="5"/>
      <c r="H1857" s="5"/>
      <c r="I1857" s="5"/>
      <c r="J1857" s="102" t="str">
        <f aca="false">IF(B1857="","",MONTH(B1857))</f>
        <v/>
      </c>
      <c r="K1857" s="102" t="str">
        <f aca="false">IF(B1857="","",YEAR(B1857))</f>
        <v/>
      </c>
      <c r="L1857" s="102" t="str">
        <f aca="false">IF(N(E1857)=0,"",IF(COUNTIFS(AK_NAMA,C1857,AK_KAT,"KAS")+COUNTIFS(AK_NAMA,D1857,AK_KAT,"KAS")&lt;&gt;1,"",IF(COUNTIFS(AK_NAMA,C1857,AK_KAT,"KAS")=1,D1857,C1857)))</f>
        <v/>
      </c>
      <c r="M1857" s="103" t="n">
        <f aca="false">IF(L1857="",0,IF(L1857=D1857,E1857,-E1857))</f>
        <v>0</v>
      </c>
      <c r="N1857" s="102" t="str">
        <f aca="false">IF(L1857="","",IFERROR(INDEX(AK_BARIS,MATCH(L1857,AK_NAMA,0)),"?"))</f>
        <v/>
      </c>
      <c r="O1857" s="102" t="str">
        <f aca="false">IF(C1857="","",IFERROR(INDEX(AK_KEL,MATCH(C1857,AK_NAMA,0)),"?"))</f>
        <v/>
      </c>
      <c r="P1857" s="102" t="str">
        <f aca="false">IF(D1857="","",IFERROR(INDEX(AK_KEL,MATCH(D1857,AK_NAMA,0)),"?"))</f>
        <v/>
      </c>
      <c r="Q1857" s="102" t="n">
        <f aca="false">N(Q1856)+IF(AND(N(E1857)&lt;&gt;0,K1857=TAHUN,N(J1857)&lt;=BLN,OR(C1857=BB_AKUN,D1857=BB_AKUN)),1,0)</f>
        <v>877</v>
      </c>
      <c r="R1857" s="104" t="str">
        <f aca="false">IF(OR(C1857&amp;D1857="",N(E1857)=0),"",IF(OR(O1857="?",P1857="?"),"⚠ akun tidak dikenal",IF(C1857=D1857,"⚠ debet = kredit","")))</f>
        <v/>
      </c>
    </row>
    <row r="1858" customFormat="false" ht="15" hidden="false" customHeight="false" outlineLevel="0" collapsed="false">
      <c r="A1858" s="5"/>
      <c r="B1858" s="83"/>
      <c r="C1858" s="5"/>
      <c r="D1858" s="5"/>
      <c r="E1858" s="44"/>
      <c r="F1858" s="5"/>
      <c r="G1858" s="5"/>
      <c r="H1858" s="5"/>
      <c r="I1858" s="5"/>
      <c r="J1858" s="102" t="str">
        <f aca="false">IF(B1858="","",MONTH(B1858))</f>
        <v/>
      </c>
      <c r="K1858" s="102" t="str">
        <f aca="false">IF(B1858="","",YEAR(B1858))</f>
        <v/>
      </c>
      <c r="L1858" s="102" t="str">
        <f aca="false">IF(N(E1858)=0,"",IF(COUNTIFS(AK_NAMA,C1858,AK_KAT,"KAS")+COUNTIFS(AK_NAMA,D1858,AK_KAT,"KAS")&lt;&gt;1,"",IF(COUNTIFS(AK_NAMA,C1858,AK_KAT,"KAS")=1,D1858,C1858)))</f>
        <v/>
      </c>
      <c r="M1858" s="103" t="n">
        <f aca="false">IF(L1858="",0,IF(L1858=D1858,E1858,-E1858))</f>
        <v>0</v>
      </c>
      <c r="N1858" s="102" t="str">
        <f aca="false">IF(L1858="","",IFERROR(INDEX(AK_BARIS,MATCH(L1858,AK_NAMA,0)),"?"))</f>
        <v/>
      </c>
      <c r="O1858" s="102" t="str">
        <f aca="false">IF(C1858="","",IFERROR(INDEX(AK_KEL,MATCH(C1858,AK_NAMA,0)),"?"))</f>
        <v/>
      </c>
      <c r="P1858" s="102" t="str">
        <f aca="false">IF(D1858="","",IFERROR(INDEX(AK_KEL,MATCH(D1858,AK_NAMA,0)),"?"))</f>
        <v/>
      </c>
      <c r="Q1858" s="102" t="n">
        <f aca="false">N(Q1857)+IF(AND(N(E1858)&lt;&gt;0,K1858=TAHUN,N(J1858)&lt;=BLN,OR(C1858=BB_AKUN,D1858=BB_AKUN)),1,0)</f>
        <v>877</v>
      </c>
      <c r="R1858" s="104" t="str">
        <f aca="false">IF(OR(C1858&amp;D1858="",N(E1858)=0),"",IF(OR(O1858="?",P1858="?"),"⚠ akun tidak dikenal",IF(C1858=D1858,"⚠ debet = kredit","")))</f>
        <v/>
      </c>
    </row>
    <row r="1859" customFormat="false" ht="15" hidden="false" customHeight="false" outlineLevel="0" collapsed="false">
      <c r="A1859" s="5"/>
      <c r="B1859" s="83"/>
      <c r="C1859" s="5"/>
      <c r="D1859" s="5"/>
      <c r="E1859" s="44"/>
      <c r="F1859" s="5"/>
      <c r="G1859" s="5"/>
      <c r="H1859" s="5"/>
      <c r="I1859" s="5"/>
      <c r="J1859" s="102" t="str">
        <f aca="false">IF(B1859="","",MONTH(B1859))</f>
        <v/>
      </c>
      <c r="K1859" s="102" t="str">
        <f aca="false">IF(B1859="","",YEAR(B1859))</f>
        <v/>
      </c>
      <c r="L1859" s="102" t="str">
        <f aca="false">IF(N(E1859)=0,"",IF(COUNTIFS(AK_NAMA,C1859,AK_KAT,"KAS")+COUNTIFS(AK_NAMA,D1859,AK_KAT,"KAS")&lt;&gt;1,"",IF(COUNTIFS(AK_NAMA,C1859,AK_KAT,"KAS")=1,D1859,C1859)))</f>
        <v/>
      </c>
      <c r="M1859" s="103" t="n">
        <f aca="false">IF(L1859="",0,IF(L1859=D1859,E1859,-E1859))</f>
        <v>0</v>
      </c>
      <c r="N1859" s="102" t="str">
        <f aca="false">IF(L1859="","",IFERROR(INDEX(AK_BARIS,MATCH(L1859,AK_NAMA,0)),"?"))</f>
        <v/>
      </c>
      <c r="O1859" s="102" t="str">
        <f aca="false">IF(C1859="","",IFERROR(INDEX(AK_KEL,MATCH(C1859,AK_NAMA,0)),"?"))</f>
        <v/>
      </c>
      <c r="P1859" s="102" t="str">
        <f aca="false">IF(D1859="","",IFERROR(INDEX(AK_KEL,MATCH(D1859,AK_NAMA,0)),"?"))</f>
        <v/>
      </c>
      <c r="Q1859" s="102" t="n">
        <f aca="false">N(Q1858)+IF(AND(N(E1859)&lt;&gt;0,K1859=TAHUN,N(J1859)&lt;=BLN,OR(C1859=BB_AKUN,D1859=BB_AKUN)),1,0)</f>
        <v>877</v>
      </c>
      <c r="R1859" s="104" t="str">
        <f aca="false">IF(OR(C1859&amp;D1859="",N(E1859)=0),"",IF(OR(O1859="?",P1859="?"),"⚠ akun tidak dikenal",IF(C1859=D1859,"⚠ debet = kredit","")))</f>
        <v/>
      </c>
    </row>
    <row r="1860" customFormat="false" ht="15" hidden="false" customHeight="false" outlineLevel="0" collapsed="false">
      <c r="A1860" s="5"/>
      <c r="B1860" s="83"/>
      <c r="C1860" s="5"/>
      <c r="D1860" s="5"/>
      <c r="E1860" s="44"/>
      <c r="F1860" s="5"/>
      <c r="G1860" s="5"/>
      <c r="H1860" s="5"/>
      <c r="I1860" s="5"/>
      <c r="J1860" s="102" t="str">
        <f aca="false">IF(B1860="","",MONTH(B1860))</f>
        <v/>
      </c>
      <c r="K1860" s="102" t="str">
        <f aca="false">IF(B1860="","",YEAR(B1860))</f>
        <v/>
      </c>
      <c r="L1860" s="102" t="str">
        <f aca="false">IF(N(E1860)=0,"",IF(COUNTIFS(AK_NAMA,C1860,AK_KAT,"KAS")+COUNTIFS(AK_NAMA,D1860,AK_KAT,"KAS")&lt;&gt;1,"",IF(COUNTIFS(AK_NAMA,C1860,AK_KAT,"KAS")=1,D1860,C1860)))</f>
        <v/>
      </c>
      <c r="M1860" s="103" t="n">
        <f aca="false">IF(L1860="",0,IF(L1860=D1860,E1860,-E1860))</f>
        <v>0</v>
      </c>
      <c r="N1860" s="102" t="str">
        <f aca="false">IF(L1860="","",IFERROR(INDEX(AK_BARIS,MATCH(L1860,AK_NAMA,0)),"?"))</f>
        <v/>
      </c>
      <c r="O1860" s="102" t="str">
        <f aca="false">IF(C1860="","",IFERROR(INDEX(AK_KEL,MATCH(C1860,AK_NAMA,0)),"?"))</f>
        <v/>
      </c>
      <c r="P1860" s="102" t="str">
        <f aca="false">IF(D1860="","",IFERROR(INDEX(AK_KEL,MATCH(D1860,AK_NAMA,0)),"?"))</f>
        <v/>
      </c>
      <c r="Q1860" s="102" t="n">
        <f aca="false">N(Q1859)+IF(AND(N(E1860)&lt;&gt;0,K1860=TAHUN,N(J1860)&lt;=BLN,OR(C1860=BB_AKUN,D1860=BB_AKUN)),1,0)</f>
        <v>877</v>
      </c>
      <c r="R1860" s="104" t="str">
        <f aca="false">IF(OR(C1860&amp;D1860="",N(E1860)=0),"",IF(OR(O1860="?",P1860="?"),"⚠ akun tidak dikenal",IF(C1860=D1860,"⚠ debet = kredit","")))</f>
        <v/>
      </c>
    </row>
    <row r="1861" customFormat="false" ht="15" hidden="false" customHeight="false" outlineLevel="0" collapsed="false">
      <c r="A1861" s="5"/>
      <c r="B1861" s="83"/>
      <c r="C1861" s="5"/>
      <c r="D1861" s="5"/>
      <c r="E1861" s="44"/>
      <c r="F1861" s="5"/>
      <c r="G1861" s="5"/>
      <c r="H1861" s="5"/>
      <c r="I1861" s="5"/>
      <c r="J1861" s="102" t="str">
        <f aca="false">IF(B1861="","",MONTH(B1861))</f>
        <v/>
      </c>
      <c r="K1861" s="102" t="str">
        <f aca="false">IF(B1861="","",YEAR(B1861))</f>
        <v/>
      </c>
      <c r="L1861" s="102" t="str">
        <f aca="false">IF(N(E1861)=0,"",IF(COUNTIFS(AK_NAMA,C1861,AK_KAT,"KAS")+COUNTIFS(AK_NAMA,D1861,AK_KAT,"KAS")&lt;&gt;1,"",IF(COUNTIFS(AK_NAMA,C1861,AK_KAT,"KAS")=1,D1861,C1861)))</f>
        <v/>
      </c>
      <c r="M1861" s="103" t="n">
        <f aca="false">IF(L1861="",0,IF(L1861=D1861,E1861,-E1861))</f>
        <v>0</v>
      </c>
      <c r="N1861" s="102" t="str">
        <f aca="false">IF(L1861="","",IFERROR(INDEX(AK_BARIS,MATCH(L1861,AK_NAMA,0)),"?"))</f>
        <v/>
      </c>
      <c r="O1861" s="102" t="str">
        <f aca="false">IF(C1861="","",IFERROR(INDEX(AK_KEL,MATCH(C1861,AK_NAMA,0)),"?"))</f>
        <v/>
      </c>
      <c r="P1861" s="102" t="str">
        <f aca="false">IF(D1861="","",IFERROR(INDEX(AK_KEL,MATCH(D1861,AK_NAMA,0)),"?"))</f>
        <v/>
      </c>
      <c r="Q1861" s="102" t="n">
        <f aca="false">N(Q1860)+IF(AND(N(E1861)&lt;&gt;0,K1861=TAHUN,N(J1861)&lt;=BLN,OR(C1861=BB_AKUN,D1861=BB_AKUN)),1,0)</f>
        <v>877</v>
      </c>
      <c r="R1861" s="104" t="str">
        <f aca="false">IF(OR(C1861&amp;D1861="",N(E1861)=0),"",IF(OR(O1861="?",P1861="?"),"⚠ akun tidak dikenal",IF(C1861=D1861,"⚠ debet = kredit","")))</f>
        <v/>
      </c>
    </row>
    <row r="1862" customFormat="false" ht="15" hidden="false" customHeight="false" outlineLevel="0" collapsed="false">
      <c r="A1862" s="5"/>
      <c r="B1862" s="83"/>
      <c r="C1862" s="5"/>
      <c r="D1862" s="5"/>
      <c r="E1862" s="44"/>
      <c r="F1862" s="5"/>
      <c r="G1862" s="5"/>
      <c r="H1862" s="5"/>
      <c r="I1862" s="5"/>
      <c r="J1862" s="102" t="str">
        <f aca="false">IF(B1862="","",MONTH(B1862))</f>
        <v/>
      </c>
      <c r="K1862" s="102" t="str">
        <f aca="false">IF(B1862="","",YEAR(B1862))</f>
        <v/>
      </c>
      <c r="L1862" s="102" t="str">
        <f aca="false">IF(N(E1862)=0,"",IF(COUNTIFS(AK_NAMA,C1862,AK_KAT,"KAS")+COUNTIFS(AK_NAMA,D1862,AK_KAT,"KAS")&lt;&gt;1,"",IF(COUNTIFS(AK_NAMA,C1862,AK_KAT,"KAS")=1,D1862,C1862)))</f>
        <v/>
      </c>
      <c r="M1862" s="103" t="n">
        <f aca="false">IF(L1862="",0,IF(L1862=D1862,E1862,-E1862))</f>
        <v>0</v>
      </c>
      <c r="N1862" s="102" t="str">
        <f aca="false">IF(L1862="","",IFERROR(INDEX(AK_BARIS,MATCH(L1862,AK_NAMA,0)),"?"))</f>
        <v/>
      </c>
      <c r="O1862" s="102" t="str">
        <f aca="false">IF(C1862="","",IFERROR(INDEX(AK_KEL,MATCH(C1862,AK_NAMA,0)),"?"))</f>
        <v/>
      </c>
      <c r="P1862" s="102" t="str">
        <f aca="false">IF(D1862="","",IFERROR(INDEX(AK_KEL,MATCH(D1862,AK_NAMA,0)),"?"))</f>
        <v/>
      </c>
      <c r="Q1862" s="102" t="n">
        <f aca="false">N(Q1861)+IF(AND(N(E1862)&lt;&gt;0,K1862=TAHUN,N(J1862)&lt;=BLN,OR(C1862=BB_AKUN,D1862=BB_AKUN)),1,0)</f>
        <v>877</v>
      </c>
      <c r="R1862" s="104" t="str">
        <f aca="false">IF(OR(C1862&amp;D1862="",N(E1862)=0),"",IF(OR(O1862="?",P1862="?"),"⚠ akun tidak dikenal",IF(C1862=D1862,"⚠ debet = kredit","")))</f>
        <v/>
      </c>
    </row>
    <row r="1863" customFormat="false" ht="15" hidden="false" customHeight="false" outlineLevel="0" collapsed="false">
      <c r="A1863" s="5"/>
      <c r="B1863" s="83"/>
      <c r="C1863" s="5"/>
      <c r="D1863" s="5"/>
      <c r="E1863" s="44"/>
      <c r="F1863" s="5"/>
      <c r="G1863" s="5"/>
      <c r="H1863" s="5"/>
      <c r="I1863" s="5"/>
      <c r="J1863" s="102" t="str">
        <f aca="false">IF(B1863="","",MONTH(B1863))</f>
        <v/>
      </c>
      <c r="K1863" s="102" t="str">
        <f aca="false">IF(B1863="","",YEAR(B1863))</f>
        <v/>
      </c>
      <c r="L1863" s="102" t="str">
        <f aca="false">IF(N(E1863)=0,"",IF(COUNTIFS(AK_NAMA,C1863,AK_KAT,"KAS")+COUNTIFS(AK_NAMA,D1863,AK_KAT,"KAS")&lt;&gt;1,"",IF(COUNTIFS(AK_NAMA,C1863,AK_KAT,"KAS")=1,D1863,C1863)))</f>
        <v/>
      </c>
      <c r="M1863" s="103" t="n">
        <f aca="false">IF(L1863="",0,IF(L1863=D1863,E1863,-E1863))</f>
        <v>0</v>
      </c>
      <c r="N1863" s="102" t="str">
        <f aca="false">IF(L1863="","",IFERROR(INDEX(AK_BARIS,MATCH(L1863,AK_NAMA,0)),"?"))</f>
        <v/>
      </c>
      <c r="O1863" s="102" t="str">
        <f aca="false">IF(C1863="","",IFERROR(INDEX(AK_KEL,MATCH(C1863,AK_NAMA,0)),"?"))</f>
        <v/>
      </c>
      <c r="P1863" s="102" t="str">
        <f aca="false">IF(D1863="","",IFERROR(INDEX(AK_KEL,MATCH(D1863,AK_NAMA,0)),"?"))</f>
        <v/>
      </c>
      <c r="Q1863" s="102" t="n">
        <f aca="false">N(Q1862)+IF(AND(N(E1863)&lt;&gt;0,K1863=TAHUN,N(J1863)&lt;=BLN,OR(C1863=BB_AKUN,D1863=BB_AKUN)),1,0)</f>
        <v>877</v>
      </c>
      <c r="R1863" s="104" t="str">
        <f aca="false">IF(OR(C1863&amp;D1863="",N(E1863)=0),"",IF(OR(O1863="?",P1863="?"),"⚠ akun tidak dikenal",IF(C1863=D1863,"⚠ debet = kredit","")))</f>
        <v/>
      </c>
    </row>
    <row r="1864" customFormat="false" ht="15" hidden="false" customHeight="false" outlineLevel="0" collapsed="false">
      <c r="A1864" s="5"/>
      <c r="B1864" s="83"/>
      <c r="C1864" s="5"/>
      <c r="D1864" s="5"/>
      <c r="E1864" s="44"/>
      <c r="F1864" s="5"/>
      <c r="G1864" s="5"/>
      <c r="H1864" s="5"/>
      <c r="I1864" s="5"/>
      <c r="J1864" s="102" t="str">
        <f aca="false">IF(B1864="","",MONTH(B1864))</f>
        <v/>
      </c>
      <c r="K1864" s="102" t="str">
        <f aca="false">IF(B1864="","",YEAR(B1864))</f>
        <v/>
      </c>
      <c r="L1864" s="102" t="str">
        <f aca="false">IF(N(E1864)=0,"",IF(COUNTIFS(AK_NAMA,C1864,AK_KAT,"KAS")+COUNTIFS(AK_NAMA,D1864,AK_KAT,"KAS")&lt;&gt;1,"",IF(COUNTIFS(AK_NAMA,C1864,AK_KAT,"KAS")=1,D1864,C1864)))</f>
        <v/>
      </c>
      <c r="M1864" s="103" t="n">
        <f aca="false">IF(L1864="",0,IF(L1864=D1864,E1864,-E1864))</f>
        <v>0</v>
      </c>
      <c r="N1864" s="102" t="str">
        <f aca="false">IF(L1864="","",IFERROR(INDEX(AK_BARIS,MATCH(L1864,AK_NAMA,0)),"?"))</f>
        <v/>
      </c>
      <c r="O1864" s="102" t="str">
        <f aca="false">IF(C1864="","",IFERROR(INDEX(AK_KEL,MATCH(C1864,AK_NAMA,0)),"?"))</f>
        <v/>
      </c>
      <c r="P1864" s="102" t="str">
        <f aca="false">IF(D1864="","",IFERROR(INDEX(AK_KEL,MATCH(D1864,AK_NAMA,0)),"?"))</f>
        <v/>
      </c>
      <c r="Q1864" s="102" t="n">
        <f aca="false">N(Q1863)+IF(AND(N(E1864)&lt;&gt;0,K1864=TAHUN,N(J1864)&lt;=BLN,OR(C1864=BB_AKUN,D1864=BB_AKUN)),1,0)</f>
        <v>877</v>
      </c>
      <c r="R1864" s="104" t="str">
        <f aca="false">IF(OR(C1864&amp;D1864="",N(E1864)=0),"",IF(OR(O1864="?",P1864="?"),"⚠ akun tidak dikenal",IF(C1864=D1864,"⚠ debet = kredit","")))</f>
        <v/>
      </c>
    </row>
    <row r="1865" customFormat="false" ht="15" hidden="false" customHeight="false" outlineLevel="0" collapsed="false">
      <c r="A1865" s="5"/>
      <c r="B1865" s="83"/>
      <c r="C1865" s="5"/>
      <c r="D1865" s="5"/>
      <c r="E1865" s="44"/>
      <c r="F1865" s="5"/>
      <c r="G1865" s="5"/>
      <c r="H1865" s="5"/>
      <c r="I1865" s="5"/>
      <c r="J1865" s="102" t="str">
        <f aca="false">IF(B1865="","",MONTH(B1865))</f>
        <v/>
      </c>
      <c r="K1865" s="102" t="str">
        <f aca="false">IF(B1865="","",YEAR(B1865))</f>
        <v/>
      </c>
      <c r="L1865" s="102" t="str">
        <f aca="false">IF(N(E1865)=0,"",IF(COUNTIFS(AK_NAMA,C1865,AK_KAT,"KAS")+COUNTIFS(AK_NAMA,D1865,AK_KAT,"KAS")&lt;&gt;1,"",IF(COUNTIFS(AK_NAMA,C1865,AK_KAT,"KAS")=1,D1865,C1865)))</f>
        <v/>
      </c>
      <c r="M1865" s="103" t="n">
        <f aca="false">IF(L1865="",0,IF(L1865=D1865,E1865,-E1865))</f>
        <v>0</v>
      </c>
      <c r="N1865" s="102" t="str">
        <f aca="false">IF(L1865="","",IFERROR(INDEX(AK_BARIS,MATCH(L1865,AK_NAMA,0)),"?"))</f>
        <v/>
      </c>
      <c r="O1865" s="102" t="str">
        <f aca="false">IF(C1865="","",IFERROR(INDEX(AK_KEL,MATCH(C1865,AK_NAMA,0)),"?"))</f>
        <v/>
      </c>
      <c r="P1865" s="102" t="str">
        <f aca="false">IF(D1865="","",IFERROR(INDEX(AK_KEL,MATCH(D1865,AK_NAMA,0)),"?"))</f>
        <v/>
      </c>
      <c r="Q1865" s="102" t="n">
        <f aca="false">N(Q1864)+IF(AND(N(E1865)&lt;&gt;0,K1865=TAHUN,N(J1865)&lt;=BLN,OR(C1865=BB_AKUN,D1865=BB_AKUN)),1,0)</f>
        <v>877</v>
      </c>
      <c r="R1865" s="104" t="str">
        <f aca="false">IF(OR(C1865&amp;D1865="",N(E1865)=0),"",IF(OR(O1865="?",P1865="?"),"⚠ akun tidak dikenal",IF(C1865=D1865,"⚠ debet = kredit","")))</f>
        <v/>
      </c>
    </row>
    <row r="1866" customFormat="false" ht="15" hidden="false" customHeight="false" outlineLevel="0" collapsed="false">
      <c r="A1866" s="5"/>
      <c r="B1866" s="83"/>
      <c r="C1866" s="5"/>
      <c r="D1866" s="5"/>
      <c r="E1866" s="44"/>
      <c r="F1866" s="5"/>
      <c r="G1866" s="5"/>
      <c r="H1866" s="5"/>
      <c r="I1866" s="5"/>
      <c r="J1866" s="102" t="str">
        <f aca="false">IF(B1866="","",MONTH(B1866))</f>
        <v/>
      </c>
      <c r="K1866" s="102" t="str">
        <f aca="false">IF(B1866="","",YEAR(B1866))</f>
        <v/>
      </c>
      <c r="L1866" s="102" t="str">
        <f aca="false">IF(N(E1866)=0,"",IF(COUNTIFS(AK_NAMA,C1866,AK_KAT,"KAS")+COUNTIFS(AK_NAMA,D1866,AK_KAT,"KAS")&lt;&gt;1,"",IF(COUNTIFS(AK_NAMA,C1866,AK_KAT,"KAS")=1,D1866,C1866)))</f>
        <v/>
      </c>
      <c r="M1866" s="103" t="n">
        <f aca="false">IF(L1866="",0,IF(L1866=D1866,E1866,-E1866))</f>
        <v>0</v>
      </c>
      <c r="N1866" s="102" t="str">
        <f aca="false">IF(L1866="","",IFERROR(INDEX(AK_BARIS,MATCH(L1866,AK_NAMA,0)),"?"))</f>
        <v/>
      </c>
      <c r="O1866" s="102" t="str">
        <f aca="false">IF(C1866="","",IFERROR(INDEX(AK_KEL,MATCH(C1866,AK_NAMA,0)),"?"))</f>
        <v/>
      </c>
      <c r="P1866" s="102" t="str">
        <f aca="false">IF(D1866="","",IFERROR(INDEX(AK_KEL,MATCH(D1866,AK_NAMA,0)),"?"))</f>
        <v/>
      </c>
      <c r="Q1866" s="102" t="n">
        <f aca="false">N(Q1865)+IF(AND(N(E1866)&lt;&gt;0,K1866=TAHUN,N(J1866)&lt;=BLN,OR(C1866=BB_AKUN,D1866=BB_AKUN)),1,0)</f>
        <v>877</v>
      </c>
      <c r="R1866" s="104" t="str">
        <f aca="false">IF(OR(C1866&amp;D1866="",N(E1866)=0),"",IF(OR(O1866="?",P1866="?"),"⚠ akun tidak dikenal",IF(C1866=D1866,"⚠ debet = kredit","")))</f>
        <v/>
      </c>
    </row>
    <row r="1867" customFormat="false" ht="15" hidden="false" customHeight="false" outlineLevel="0" collapsed="false">
      <c r="A1867" s="5"/>
      <c r="B1867" s="83"/>
      <c r="C1867" s="5"/>
      <c r="D1867" s="5"/>
      <c r="E1867" s="44"/>
      <c r="F1867" s="5"/>
      <c r="G1867" s="5"/>
      <c r="H1867" s="5"/>
      <c r="I1867" s="5"/>
      <c r="J1867" s="102" t="str">
        <f aca="false">IF(B1867="","",MONTH(B1867))</f>
        <v/>
      </c>
      <c r="K1867" s="102" t="str">
        <f aca="false">IF(B1867="","",YEAR(B1867))</f>
        <v/>
      </c>
      <c r="L1867" s="102" t="str">
        <f aca="false">IF(N(E1867)=0,"",IF(COUNTIFS(AK_NAMA,C1867,AK_KAT,"KAS")+COUNTIFS(AK_NAMA,D1867,AK_KAT,"KAS")&lt;&gt;1,"",IF(COUNTIFS(AK_NAMA,C1867,AK_KAT,"KAS")=1,D1867,C1867)))</f>
        <v/>
      </c>
      <c r="M1867" s="103" t="n">
        <f aca="false">IF(L1867="",0,IF(L1867=D1867,E1867,-E1867))</f>
        <v>0</v>
      </c>
      <c r="N1867" s="102" t="str">
        <f aca="false">IF(L1867="","",IFERROR(INDEX(AK_BARIS,MATCH(L1867,AK_NAMA,0)),"?"))</f>
        <v/>
      </c>
      <c r="O1867" s="102" t="str">
        <f aca="false">IF(C1867="","",IFERROR(INDEX(AK_KEL,MATCH(C1867,AK_NAMA,0)),"?"))</f>
        <v/>
      </c>
      <c r="P1867" s="102" t="str">
        <f aca="false">IF(D1867="","",IFERROR(INDEX(AK_KEL,MATCH(D1867,AK_NAMA,0)),"?"))</f>
        <v/>
      </c>
      <c r="Q1867" s="102" t="n">
        <f aca="false">N(Q1866)+IF(AND(N(E1867)&lt;&gt;0,K1867=TAHUN,N(J1867)&lt;=BLN,OR(C1867=BB_AKUN,D1867=BB_AKUN)),1,0)</f>
        <v>877</v>
      </c>
      <c r="R1867" s="104" t="str">
        <f aca="false">IF(OR(C1867&amp;D1867="",N(E1867)=0),"",IF(OR(O1867="?",P1867="?"),"⚠ akun tidak dikenal",IF(C1867=D1867,"⚠ debet = kredit","")))</f>
        <v/>
      </c>
    </row>
    <row r="1868" customFormat="false" ht="15" hidden="false" customHeight="false" outlineLevel="0" collapsed="false">
      <c r="A1868" s="5"/>
      <c r="B1868" s="83"/>
      <c r="C1868" s="5"/>
      <c r="D1868" s="5"/>
      <c r="E1868" s="44"/>
      <c r="F1868" s="5"/>
      <c r="G1868" s="5"/>
      <c r="H1868" s="5"/>
      <c r="I1868" s="5"/>
      <c r="J1868" s="102" t="str">
        <f aca="false">IF(B1868="","",MONTH(B1868))</f>
        <v/>
      </c>
      <c r="K1868" s="102" t="str">
        <f aca="false">IF(B1868="","",YEAR(B1868))</f>
        <v/>
      </c>
      <c r="L1868" s="102" t="str">
        <f aca="false">IF(N(E1868)=0,"",IF(COUNTIFS(AK_NAMA,C1868,AK_KAT,"KAS")+COUNTIFS(AK_NAMA,D1868,AK_KAT,"KAS")&lt;&gt;1,"",IF(COUNTIFS(AK_NAMA,C1868,AK_KAT,"KAS")=1,D1868,C1868)))</f>
        <v/>
      </c>
      <c r="M1868" s="103" t="n">
        <f aca="false">IF(L1868="",0,IF(L1868=D1868,E1868,-E1868))</f>
        <v>0</v>
      </c>
      <c r="N1868" s="102" t="str">
        <f aca="false">IF(L1868="","",IFERROR(INDEX(AK_BARIS,MATCH(L1868,AK_NAMA,0)),"?"))</f>
        <v/>
      </c>
      <c r="O1868" s="102" t="str">
        <f aca="false">IF(C1868="","",IFERROR(INDEX(AK_KEL,MATCH(C1868,AK_NAMA,0)),"?"))</f>
        <v/>
      </c>
      <c r="P1868" s="102" t="str">
        <f aca="false">IF(D1868="","",IFERROR(INDEX(AK_KEL,MATCH(D1868,AK_NAMA,0)),"?"))</f>
        <v/>
      </c>
      <c r="Q1868" s="102" t="n">
        <f aca="false">N(Q1867)+IF(AND(N(E1868)&lt;&gt;0,K1868=TAHUN,N(J1868)&lt;=BLN,OR(C1868=BB_AKUN,D1868=BB_AKUN)),1,0)</f>
        <v>877</v>
      </c>
      <c r="R1868" s="104" t="str">
        <f aca="false">IF(OR(C1868&amp;D1868="",N(E1868)=0),"",IF(OR(O1868="?",P1868="?"),"⚠ akun tidak dikenal",IF(C1868=D1868,"⚠ debet = kredit","")))</f>
        <v/>
      </c>
    </row>
    <row r="1869" customFormat="false" ht="15" hidden="false" customHeight="false" outlineLevel="0" collapsed="false">
      <c r="A1869" s="5"/>
      <c r="B1869" s="83"/>
      <c r="C1869" s="5"/>
      <c r="D1869" s="5"/>
      <c r="E1869" s="44"/>
      <c r="F1869" s="5"/>
      <c r="G1869" s="5"/>
      <c r="H1869" s="5"/>
      <c r="I1869" s="5"/>
      <c r="J1869" s="102" t="str">
        <f aca="false">IF(B1869="","",MONTH(B1869))</f>
        <v/>
      </c>
      <c r="K1869" s="102" t="str">
        <f aca="false">IF(B1869="","",YEAR(B1869))</f>
        <v/>
      </c>
      <c r="L1869" s="102" t="str">
        <f aca="false">IF(N(E1869)=0,"",IF(COUNTIFS(AK_NAMA,C1869,AK_KAT,"KAS")+COUNTIFS(AK_NAMA,D1869,AK_KAT,"KAS")&lt;&gt;1,"",IF(COUNTIFS(AK_NAMA,C1869,AK_KAT,"KAS")=1,D1869,C1869)))</f>
        <v/>
      </c>
      <c r="M1869" s="103" t="n">
        <f aca="false">IF(L1869="",0,IF(L1869=D1869,E1869,-E1869))</f>
        <v>0</v>
      </c>
      <c r="N1869" s="102" t="str">
        <f aca="false">IF(L1869="","",IFERROR(INDEX(AK_BARIS,MATCH(L1869,AK_NAMA,0)),"?"))</f>
        <v/>
      </c>
      <c r="O1869" s="102" t="str">
        <f aca="false">IF(C1869="","",IFERROR(INDEX(AK_KEL,MATCH(C1869,AK_NAMA,0)),"?"))</f>
        <v/>
      </c>
      <c r="P1869" s="102" t="str">
        <f aca="false">IF(D1869="","",IFERROR(INDEX(AK_KEL,MATCH(D1869,AK_NAMA,0)),"?"))</f>
        <v/>
      </c>
      <c r="Q1869" s="102" t="n">
        <f aca="false">N(Q1868)+IF(AND(N(E1869)&lt;&gt;0,K1869=TAHUN,N(J1869)&lt;=BLN,OR(C1869=BB_AKUN,D1869=BB_AKUN)),1,0)</f>
        <v>877</v>
      </c>
      <c r="R1869" s="104" t="str">
        <f aca="false">IF(OR(C1869&amp;D1869="",N(E1869)=0),"",IF(OR(O1869="?",P1869="?"),"⚠ akun tidak dikenal",IF(C1869=D1869,"⚠ debet = kredit","")))</f>
        <v/>
      </c>
    </row>
    <row r="1870" customFormat="false" ht="15" hidden="false" customHeight="false" outlineLevel="0" collapsed="false">
      <c r="A1870" s="5"/>
      <c r="B1870" s="83"/>
      <c r="C1870" s="5"/>
      <c r="D1870" s="5"/>
      <c r="E1870" s="44"/>
      <c r="F1870" s="5"/>
      <c r="G1870" s="5"/>
      <c r="H1870" s="5"/>
      <c r="I1870" s="5"/>
      <c r="J1870" s="102" t="str">
        <f aca="false">IF(B1870="","",MONTH(B1870))</f>
        <v/>
      </c>
      <c r="K1870" s="102" t="str">
        <f aca="false">IF(B1870="","",YEAR(B1870))</f>
        <v/>
      </c>
      <c r="L1870" s="102" t="str">
        <f aca="false">IF(N(E1870)=0,"",IF(COUNTIFS(AK_NAMA,C1870,AK_KAT,"KAS")+COUNTIFS(AK_NAMA,D1870,AK_KAT,"KAS")&lt;&gt;1,"",IF(COUNTIFS(AK_NAMA,C1870,AK_KAT,"KAS")=1,D1870,C1870)))</f>
        <v/>
      </c>
      <c r="M1870" s="103" t="n">
        <f aca="false">IF(L1870="",0,IF(L1870=D1870,E1870,-E1870))</f>
        <v>0</v>
      </c>
      <c r="N1870" s="102" t="str">
        <f aca="false">IF(L1870="","",IFERROR(INDEX(AK_BARIS,MATCH(L1870,AK_NAMA,0)),"?"))</f>
        <v/>
      </c>
      <c r="O1870" s="102" t="str">
        <f aca="false">IF(C1870="","",IFERROR(INDEX(AK_KEL,MATCH(C1870,AK_NAMA,0)),"?"))</f>
        <v/>
      </c>
      <c r="P1870" s="102" t="str">
        <f aca="false">IF(D1870="","",IFERROR(INDEX(AK_KEL,MATCH(D1870,AK_NAMA,0)),"?"))</f>
        <v/>
      </c>
      <c r="Q1870" s="102" t="n">
        <f aca="false">N(Q1869)+IF(AND(N(E1870)&lt;&gt;0,K1870=TAHUN,N(J1870)&lt;=BLN,OR(C1870=BB_AKUN,D1870=BB_AKUN)),1,0)</f>
        <v>877</v>
      </c>
      <c r="R1870" s="104" t="str">
        <f aca="false">IF(OR(C1870&amp;D1870="",N(E1870)=0),"",IF(OR(O1870="?",P1870="?"),"⚠ akun tidak dikenal",IF(C1870=D1870,"⚠ debet = kredit","")))</f>
        <v/>
      </c>
    </row>
    <row r="1871" customFormat="false" ht="15" hidden="false" customHeight="false" outlineLevel="0" collapsed="false">
      <c r="A1871" s="5"/>
      <c r="B1871" s="83"/>
      <c r="C1871" s="5"/>
      <c r="D1871" s="5"/>
      <c r="E1871" s="44"/>
      <c r="F1871" s="5"/>
      <c r="G1871" s="5"/>
      <c r="H1871" s="5"/>
      <c r="I1871" s="5"/>
      <c r="J1871" s="102" t="str">
        <f aca="false">IF(B1871="","",MONTH(B1871))</f>
        <v/>
      </c>
      <c r="K1871" s="102" t="str">
        <f aca="false">IF(B1871="","",YEAR(B1871))</f>
        <v/>
      </c>
      <c r="L1871" s="102" t="str">
        <f aca="false">IF(N(E1871)=0,"",IF(COUNTIFS(AK_NAMA,C1871,AK_KAT,"KAS")+COUNTIFS(AK_NAMA,D1871,AK_KAT,"KAS")&lt;&gt;1,"",IF(COUNTIFS(AK_NAMA,C1871,AK_KAT,"KAS")=1,D1871,C1871)))</f>
        <v/>
      </c>
      <c r="M1871" s="103" t="n">
        <f aca="false">IF(L1871="",0,IF(L1871=D1871,E1871,-E1871))</f>
        <v>0</v>
      </c>
      <c r="N1871" s="102" t="str">
        <f aca="false">IF(L1871="","",IFERROR(INDEX(AK_BARIS,MATCH(L1871,AK_NAMA,0)),"?"))</f>
        <v/>
      </c>
      <c r="O1871" s="102" t="str">
        <f aca="false">IF(C1871="","",IFERROR(INDEX(AK_KEL,MATCH(C1871,AK_NAMA,0)),"?"))</f>
        <v/>
      </c>
      <c r="P1871" s="102" t="str">
        <f aca="false">IF(D1871="","",IFERROR(INDEX(AK_KEL,MATCH(D1871,AK_NAMA,0)),"?"))</f>
        <v/>
      </c>
      <c r="Q1871" s="102" t="n">
        <f aca="false">N(Q1870)+IF(AND(N(E1871)&lt;&gt;0,K1871=TAHUN,N(J1871)&lt;=BLN,OR(C1871=BB_AKUN,D1871=BB_AKUN)),1,0)</f>
        <v>877</v>
      </c>
      <c r="R1871" s="104" t="str">
        <f aca="false">IF(OR(C1871&amp;D1871="",N(E1871)=0),"",IF(OR(O1871="?",P1871="?"),"⚠ akun tidak dikenal",IF(C1871=D1871,"⚠ debet = kredit","")))</f>
        <v/>
      </c>
    </row>
    <row r="1872" customFormat="false" ht="15" hidden="false" customHeight="false" outlineLevel="0" collapsed="false">
      <c r="A1872" s="5"/>
      <c r="B1872" s="83"/>
      <c r="C1872" s="5"/>
      <c r="D1872" s="5"/>
      <c r="E1872" s="44"/>
      <c r="F1872" s="5"/>
      <c r="G1872" s="5"/>
      <c r="H1872" s="5"/>
      <c r="I1872" s="5"/>
      <c r="J1872" s="102" t="str">
        <f aca="false">IF(B1872="","",MONTH(B1872))</f>
        <v/>
      </c>
      <c r="K1872" s="102" t="str">
        <f aca="false">IF(B1872="","",YEAR(B1872))</f>
        <v/>
      </c>
      <c r="L1872" s="102" t="str">
        <f aca="false">IF(N(E1872)=0,"",IF(COUNTIFS(AK_NAMA,C1872,AK_KAT,"KAS")+COUNTIFS(AK_NAMA,D1872,AK_KAT,"KAS")&lt;&gt;1,"",IF(COUNTIFS(AK_NAMA,C1872,AK_KAT,"KAS")=1,D1872,C1872)))</f>
        <v/>
      </c>
      <c r="M1872" s="103" t="n">
        <f aca="false">IF(L1872="",0,IF(L1872=D1872,E1872,-E1872))</f>
        <v>0</v>
      </c>
      <c r="N1872" s="102" t="str">
        <f aca="false">IF(L1872="","",IFERROR(INDEX(AK_BARIS,MATCH(L1872,AK_NAMA,0)),"?"))</f>
        <v/>
      </c>
      <c r="O1872" s="102" t="str">
        <f aca="false">IF(C1872="","",IFERROR(INDEX(AK_KEL,MATCH(C1872,AK_NAMA,0)),"?"))</f>
        <v/>
      </c>
      <c r="P1872" s="102" t="str">
        <f aca="false">IF(D1872="","",IFERROR(INDEX(AK_KEL,MATCH(D1872,AK_NAMA,0)),"?"))</f>
        <v/>
      </c>
      <c r="Q1872" s="102" t="n">
        <f aca="false">N(Q1871)+IF(AND(N(E1872)&lt;&gt;0,K1872=TAHUN,N(J1872)&lt;=BLN,OR(C1872=BB_AKUN,D1872=BB_AKUN)),1,0)</f>
        <v>877</v>
      </c>
      <c r="R1872" s="104" t="str">
        <f aca="false">IF(OR(C1872&amp;D1872="",N(E1872)=0),"",IF(OR(O1872="?",P1872="?"),"⚠ akun tidak dikenal",IF(C1872=D1872,"⚠ debet = kredit","")))</f>
        <v/>
      </c>
    </row>
    <row r="1873" customFormat="false" ht="15" hidden="false" customHeight="false" outlineLevel="0" collapsed="false">
      <c r="A1873" s="5"/>
      <c r="B1873" s="83"/>
      <c r="C1873" s="5"/>
      <c r="D1873" s="5"/>
      <c r="E1873" s="44"/>
      <c r="F1873" s="5"/>
      <c r="G1873" s="5"/>
      <c r="H1873" s="5"/>
      <c r="I1873" s="5"/>
      <c r="J1873" s="102" t="str">
        <f aca="false">IF(B1873="","",MONTH(B1873))</f>
        <v/>
      </c>
      <c r="K1873" s="102" t="str">
        <f aca="false">IF(B1873="","",YEAR(B1873))</f>
        <v/>
      </c>
      <c r="L1873" s="102" t="str">
        <f aca="false">IF(N(E1873)=0,"",IF(COUNTIFS(AK_NAMA,C1873,AK_KAT,"KAS")+COUNTIFS(AK_NAMA,D1873,AK_KAT,"KAS")&lt;&gt;1,"",IF(COUNTIFS(AK_NAMA,C1873,AK_KAT,"KAS")=1,D1873,C1873)))</f>
        <v/>
      </c>
      <c r="M1873" s="103" t="n">
        <f aca="false">IF(L1873="",0,IF(L1873=D1873,E1873,-E1873))</f>
        <v>0</v>
      </c>
      <c r="N1873" s="102" t="str">
        <f aca="false">IF(L1873="","",IFERROR(INDEX(AK_BARIS,MATCH(L1873,AK_NAMA,0)),"?"))</f>
        <v/>
      </c>
      <c r="O1873" s="102" t="str">
        <f aca="false">IF(C1873="","",IFERROR(INDEX(AK_KEL,MATCH(C1873,AK_NAMA,0)),"?"))</f>
        <v/>
      </c>
      <c r="P1873" s="102" t="str">
        <f aca="false">IF(D1873="","",IFERROR(INDEX(AK_KEL,MATCH(D1873,AK_NAMA,0)),"?"))</f>
        <v/>
      </c>
      <c r="Q1873" s="102" t="n">
        <f aca="false">N(Q1872)+IF(AND(N(E1873)&lt;&gt;0,K1873=TAHUN,N(J1873)&lt;=BLN,OR(C1873=BB_AKUN,D1873=BB_AKUN)),1,0)</f>
        <v>877</v>
      </c>
      <c r="R1873" s="104" t="str">
        <f aca="false">IF(OR(C1873&amp;D1873="",N(E1873)=0),"",IF(OR(O1873="?",P1873="?"),"⚠ akun tidak dikenal",IF(C1873=D1873,"⚠ debet = kredit","")))</f>
        <v/>
      </c>
    </row>
    <row r="1874" customFormat="false" ht="15" hidden="false" customHeight="false" outlineLevel="0" collapsed="false">
      <c r="A1874" s="5"/>
      <c r="B1874" s="83"/>
      <c r="C1874" s="5"/>
      <c r="D1874" s="5"/>
      <c r="E1874" s="44"/>
      <c r="F1874" s="5"/>
      <c r="G1874" s="5"/>
      <c r="H1874" s="5"/>
      <c r="I1874" s="5"/>
      <c r="J1874" s="102" t="str">
        <f aca="false">IF(B1874="","",MONTH(B1874))</f>
        <v/>
      </c>
      <c r="K1874" s="102" t="str">
        <f aca="false">IF(B1874="","",YEAR(B1874))</f>
        <v/>
      </c>
      <c r="L1874" s="102" t="str">
        <f aca="false">IF(N(E1874)=0,"",IF(COUNTIFS(AK_NAMA,C1874,AK_KAT,"KAS")+COUNTIFS(AK_NAMA,D1874,AK_KAT,"KAS")&lt;&gt;1,"",IF(COUNTIFS(AK_NAMA,C1874,AK_KAT,"KAS")=1,D1874,C1874)))</f>
        <v/>
      </c>
      <c r="M1874" s="103" t="n">
        <f aca="false">IF(L1874="",0,IF(L1874=D1874,E1874,-E1874))</f>
        <v>0</v>
      </c>
      <c r="N1874" s="102" t="str">
        <f aca="false">IF(L1874="","",IFERROR(INDEX(AK_BARIS,MATCH(L1874,AK_NAMA,0)),"?"))</f>
        <v/>
      </c>
      <c r="O1874" s="102" t="str">
        <f aca="false">IF(C1874="","",IFERROR(INDEX(AK_KEL,MATCH(C1874,AK_NAMA,0)),"?"))</f>
        <v/>
      </c>
      <c r="P1874" s="102" t="str">
        <f aca="false">IF(D1874="","",IFERROR(INDEX(AK_KEL,MATCH(D1874,AK_NAMA,0)),"?"))</f>
        <v/>
      </c>
      <c r="Q1874" s="102" t="n">
        <f aca="false">N(Q1873)+IF(AND(N(E1874)&lt;&gt;0,K1874=TAHUN,N(J1874)&lt;=BLN,OR(C1874=BB_AKUN,D1874=BB_AKUN)),1,0)</f>
        <v>877</v>
      </c>
      <c r="R1874" s="104" t="str">
        <f aca="false">IF(OR(C1874&amp;D1874="",N(E1874)=0),"",IF(OR(O1874="?",P1874="?"),"⚠ akun tidak dikenal",IF(C1874=D1874,"⚠ debet = kredit","")))</f>
        <v/>
      </c>
    </row>
    <row r="1875" customFormat="false" ht="15" hidden="false" customHeight="false" outlineLevel="0" collapsed="false">
      <c r="A1875" s="5"/>
      <c r="B1875" s="83"/>
      <c r="C1875" s="5"/>
      <c r="D1875" s="5"/>
      <c r="E1875" s="44"/>
      <c r="F1875" s="5"/>
      <c r="G1875" s="5"/>
      <c r="H1875" s="5"/>
      <c r="I1875" s="5"/>
      <c r="J1875" s="102" t="str">
        <f aca="false">IF(B1875="","",MONTH(B1875))</f>
        <v/>
      </c>
      <c r="K1875" s="102" t="str">
        <f aca="false">IF(B1875="","",YEAR(B1875))</f>
        <v/>
      </c>
      <c r="L1875" s="102" t="str">
        <f aca="false">IF(N(E1875)=0,"",IF(COUNTIFS(AK_NAMA,C1875,AK_KAT,"KAS")+COUNTIFS(AK_NAMA,D1875,AK_KAT,"KAS")&lt;&gt;1,"",IF(COUNTIFS(AK_NAMA,C1875,AK_KAT,"KAS")=1,D1875,C1875)))</f>
        <v/>
      </c>
      <c r="M1875" s="103" t="n">
        <f aca="false">IF(L1875="",0,IF(L1875=D1875,E1875,-E1875))</f>
        <v>0</v>
      </c>
      <c r="N1875" s="102" t="str">
        <f aca="false">IF(L1875="","",IFERROR(INDEX(AK_BARIS,MATCH(L1875,AK_NAMA,0)),"?"))</f>
        <v/>
      </c>
      <c r="O1875" s="102" t="str">
        <f aca="false">IF(C1875="","",IFERROR(INDEX(AK_KEL,MATCH(C1875,AK_NAMA,0)),"?"))</f>
        <v/>
      </c>
      <c r="P1875" s="102" t="str">
        <f aca="false">IF(D1875="","",IFERROR(INDEX(AK_KEL,MATCH(D1875,AK_NAMA,0)),"?"))</f>
        <v/>
      </c>
      <c r="Q1875" s="102" t="n">
        <f aca="false">N(Q1874)+IF(AND(N(E1875)&lt;&gt;0,K1875=TAHUN,N(J1875)&lt;=BLN,OR(C1875=BB_AKUN,D1875=BB_AKUN)),1,0)</f>
        <v>877</v>
      </c>
      <c r="R1875" s="104" t="str">
        <f aca="false">IF(OR(C1875&amp;D1875="",N(E1875)=0),"",IF(OR(O1875="?",P1875="?"),"⚠ akun tidak dikenal",IF(C1875=D1875,"⚠ debet = kredit","")))</f>
        <v/>
      </c>
    </row>
    <row r="1876" customFormat="false" ht="15" hidden="false" customHeight="false" outlineLevel="0" collapsed="false">
      <c r="A1876" s="5"/>
      <c r="B1876" s="83"/>
      <c r="C1876" s="5"/>
      <c r="D1876" s="5"/>
      <c r="E1876" s="44"/>
      <c r="F1876" s="5"/>
      <c r="G1876" s="5"/>
      <c r="H1876" s="5"/>
      <c r="I1876" s="5"/>
      <c r="J1876" s="102" t="str">
        <f aca="false">IF(B1876="","",MONTH(B1876))</f>
        <v/>
      </c>
      <c r="K1876" s="102" t="str">
        <f aca="false">IF(B1876="","",YEAR(B1876))</f>
        <v/>
      </c>
      <c r="L1876" s="102" t="str">
        <f aca="false">IF(N(E1876)=0,"",IF(COUNTIFS(AK_NAMA,C1876,AK_KAT,"KAS")+COUNTIFS(AK_NAMA,D1876,AK_KAT,"KAS")&lt;&gt;1,"",IF(COUNTIFS(AK_NAMA,C1876,AK_KAT,"KAS")=1,D1876,C1876)))</f>
        <v/>
      </c>
      <c r="M1876" s="103" t="n">
        <f aca="false">IF(L1876="",0,IF(L1876=D1876,E1876,-E1876))</f>
        <v>0</v>
      </c>
      <c r="N1876" s="102" t="str">
        <f aca="false">IF(L1876="","",IFERROR(INDEX(AK_BARIS,MATCH(L1876,AK_NAMA,0)),"?"))</f>
        <v/>
      </c>
      <c r="O1876" s="102" t="str">
        <f aca="false">IF(C1876="","",IFERROR(INDEX(AK_KEL,MATCH(C1876,AK_NAMA,0)),"?"))</f>
        <v/>
      </c>
      <c r="P1876" s="102" t="str">
        <f aca="false">IF(D1876="","",IFERROR(INDEX(AK_KEL,MATCH(D1876,AK_NAMA,0)),"?"))</f>
        <v/>
      </c>
      <c r="Q1876" s="102" t="n">
        <f aca="false">N(Q1875)+IF(AND(N(E1876)&lt;&gt;0,K1876=TAHUN,N(J1876)&lt;=BLN,OR(C1876=BB_AKUN,D1876=BB_AKUN)),1,0)</f>
        <v>877</v>
      </c>
      <c r="R1876" s="104" t="str">
        <f aca="false">IF(OR(C1876&amp;D1876="",N(E1876)=0),"",IF(OR(O1876="?",P1876="?"),"⚠ akun tidak dikenal",IF(C1876=D1876,"⚠ debet = kredit","")))</f>
        <v/>
      </c>
    </row>
    <row r="1877" customFormat="false" ht="15" hidden="false" customHeight="false" outlineLevel="0" collapsed="false">
      <c r="A1877" s="5"/>
      <c r="B1877" s="83"/>
      <c r="C1877" s="5"/>
      <c r="D1877" s="5"/>
      <c r="E1877" s="44"/>
      <c r="F1877" s="5"/>
      <c r="G1877" s="5"/>
      <c r="H1877" s="5"/>
      <c r="I1877" s="5"/>
      <c r="J1877" s="102" t="str">
        <f aca="false">IF(B1877="","",MONTH(B1877))</f>
        <v/>
      </c>
      <c r="K1877" s="102" t="str">
        <f aca="false">IF(B1877="","",YEAR(B1877))</f>
        <v/>
      </c>
      <c r="L1877" s="102" t="str">
        <f aca="false">IF(N(E1877)=0,"",IF(COUNTIFS(AK_NAMA,C1877,AK_KAT,"KAS")+COUNTIFS(AK_NAMA,D1877,AK_KAT,"KAS")&lt;&gt;1,"",IF(COUNTIFS(AK_NAMA,C1877,AK_KAT,"KAS")=1,D1877,C1877)))</f>
        <v/>
      </c>
      <c r="M1877" s="103" t="n">
        <f aca="false">IF(L1877="",0,IF(L1877=D1877,E1877,-E1877))</f>
        <v>0</v>
      </c>
      <c r="N1877" s="102" t="str">
        <f aca="false">IF(L1877="","",IFERROR(INDEX(AK_BARIS,MATCH(L1877,AK_NAMA,0)),"?"))</f>
        <v/>
      </c>
      <c r="O1877" s="102" t="str">
        <f aca="false">IF(C1877="","",IFERROR(INDEX(AK_KEL,MATCH(C1877,AK_NAMA,0)),"?"))</f>
        <v/>
      </c>
      <c r="P1877" s="102" t="str">
        <f aca="false">IF(D1877="","",IFERROR(INDEX(AK_KEL,MATCH(D1877,AK_NAMA,0)),"?"))</f>
        <v/>
      </c>
      <c r="Q1877" s="102" t="n">
        <f aca="false">N(Q1876)+IF(AND(N(E1877)&lt;&gt;0,K1877=TAHUN,N(J1877)&lt;=BLN,OR(C1877=BB_AKUN,D1877=BB_AKUN)),1,0)</f>
        <v>877</v>
      </c>
      <c r="R1877" s="104" t="str">
        <f aca="false">IF(OR(C1877&amp;D1877="",N(E1877)=0),"",IF(OR(O1877="?",P1877="?"),"⚠ akun tidak dikenal",IF(C1877=D1877,"⚠ debet = kredit","")))</f>
        <v/>
      </c>
    </row>
    <row r="1878" customFormat="false" ht="15" hidden="false" customHeight="false" outlineLevel="0" collapsed="false">
      <c r="A1878" s="5"/>
      <c r="B1878" s="83"/>
      <c r="C1878" s="5"/>
      <c r="D1878" s="5"/>
      <c r="E1878" s="44"/>
      <c r="F1878" s="5"/>
      <c r="G1878" s="5"/>
      <c r="H1878" s="5"/>
      <c r="I1878" s="5"/>
      <c r="J1878" s="102" t="str">
        <f aca="false">IF(B1878="","",MONTH(B1878))</f>
        <v/>
      </c>
      <c r="K1878" s="102" t="str">
        <f aca="false">IF(B1878="","",YEAR(B1878))</f>
        <v/>
      </c>
      <c r="L1878" s="102" t="str">
        <f aca="false">IF(N(E1878)=0,"",IF(COUNTIFS(AK_NAMA,C1878,AK_KAT,"KAS")+COUNTIFS(AK_NAMA,D1878,AK_KAT,"KAS")&lt;&gt;1,"",IF(COUNTIFS(AK_NAMA,C1878,AK_KAT,"KAS")=1,D1878,C1878)))</f>
        <v/>
      </c>
      <c r="M1878" s="103" t="n">
        <f aca="false">IF(L1878="",0,IF(L1878=D1878,E1878,-E1878))</f>
        <v>0</v>
      </c>
      <c r="N1878" s="102" t="str">
        <f aca="false">IF(L1878="","",IFERROR(INDEX(AK_BARIS,MATCH(L1878,AK_NAMA,0)),"?"))</f>
        <v/>
      </c>
      <c r="O1878" s="102" t="str">
        <f aca="false">IF(C1878="","",IFERROR(INDEX(AK_KEL,MATCH(C1878,AK_NAMA,0)),"?"))</f>
        <v/>
      </c>
      <c r="P1878" s="102" t="str">
        <f aca="false">IF(D1878="","",IFERROR(INDEX(AK_KEL,MATCH(D1878,AK_NAMA,0)),"?"))</f>
        <v/>
      </c>
      <c r="Q1878" s="102" t="n">
        <f aca="false">N(Q1877)+IF(AND(N(E1878)&lt;&gt;0,K1878=TAHUN,N(J1878)&lt;=BLN,OR(C1878=BB_AKUN,D1878=BB_AKUN)),1,0)</f>
        <v>877</v>
      </c>
      <c r="R1878" s="104" t="str">
        <f aca="false">IF(OR(C1878&amp;D1878="",N(E1878)=0),"",IF(OR(O1878="?",P1878="?"),"⚠ akun tidak dikenal",IF(C1878=D1878,"⚠ debet = kredit","")))</f>
        <v/>
      </c>
    </row>
    <row r="1879" customFormat="false" ht="15" hidden="false" customHeight="false" outlineLevel="0" collapsed="false">
      <c r="A1879" s="5"/>
      <c r="B1879" s="83"/>
      <c r="C1879" s="5"/>
      <c r="D1879" s="5"/>
      <c r="E1879" s="44"/>
      <c r="F1879" s="5"/>
      <c r="G1879" s="5"/>
      <c r="H1879" s="5"/>
      <c r="I1879" s="5"/>
      <c r="J1879" s="102" t="str">
        <f aca="false">IF(B1879="","",MONTH(B1879))</f>
        <v/>
      </c>
      <c r="K1879" s="102" t="str">
        <f aca="false">IF(B1879="","",YEAR(B1879))</f>
        <v/>
      </c>
      <c r="L1879" s="102" t="str">
        <f aca="false">IF(N(E1879)=0,"",IF(COUNTIFS(AK_NAMA,C1879,AK_KAT,"KAS")+COUNTIFS(AK_NAMA,D1879,AK_KAT,"KAS")&lt;&gt;1,"",IF(COUNTIFS(AK_NAMA,C1879,AK_KAT,"KAS")=1,D1879,C1879)))</f>
        <v/>
      </c>
      <c r="M1879" s="103" t="n">
        <f aca="false">IF(L1879="",0,IF(L1879=D1879,E1879,-E1879))</f>
        <v>0</v>
      </c>
      <c r="N1879" s="102" t="str">
        <f aca="false">IF(L1879="","",IFERROR(INDEX(AK_BARIS,MATCH(L1879,AK_NAMA,0)),"?"))</f>
        <v/>
      </c>
      <c r="O1879" s="102" t="str">
        <f aca="false">IF(C1879="","",IFERROR(INDEX(AK_KEL,MATCH(C1879,AK_NAMA,0)),"?"))</f>
        <v/>
      </c>
      <c r="P1879" s="102" t="str">
        <f aca="false">IF(D1879="","",IFERROR(INDEX(AK_KEL,MATCH(D1879,AK_NAMA,0)),"?"))</f>
        <v/>
      </c>
      <c r="Q1879" s="102" t="n">
        <f aca="false">N(Q1878)+IF(AND(N(E1879)&lt;&gt;0,K1879=TAHUN,N(J1879)&lt;=BLN,OR(C1879=BB_AKUN,D1879=BB_AKUN)),1,0)</f>
        <v>877</v>
      </c>
      <c r="R1879" s="104" t="str">
        <f aca="false">IF(OR(C1879&amp;D1879="",N(E1879)=0),"",IF(OR(O1879="?",P1879="?"),"⚠ akun tidak dikenal",IF(C1879=D1879,"⚠ debet = kredit","")))</f>
        <v/>
      </c>
    </row>
    <row r="1880" customFormat="false" ht="15" hidden="false" customHeight="false" outlineLevel="0" collapsed="false">
      <c r="A1880" s="5"/>
      <c r="B1880" s="83"/>
      <c r="C1880" s="5"/>
      <c r="D1880" s="5"/>
      <c r="E1880" s="44"/>
      <c r="F1880" s="5"/>
      <c r="G1880" s="5"/>
      <c r="H1880" s="5"/>
      <c r="I1880" s="5"/>
      <c r="J1880" s="102" t="str">
        <f aca="false">IF(B1880="","",MONTH(B1880))</f>
        <v/>
      </c>
      <c r="K1880" s="102" t="str">
        <f aca="false">IF(B1880="","",YEAR(B1880))</f>
        <v/>
      </c>
      <c r="L1880" s="102" t="str">
        <f aca="false">IF(N(E1880)=0,"",IF(COUNTIFS(AK_NAMA,C1880,AK_KAT,"KAS")+COUNTIFS(AK_NAMA,D1880,AK_KAT,"KAS")&lt;&gt;1,"",IF(COUNTIFS(AK_NAMA,C1880,AK_KAT,"KAS")=1,D1880,C1880)))</f>
        <v/>
      </c>
      <c r="M1880" s="103" t="n">
        <f aca="false">IF(L1880="",0,IF(L1880=D1880,E1880,-E1880))</f>
        <v>0</v>
      </c>
      <c r="N1880" s="102" t="str">
        <f aca="false">IF(L1880="","",IFERROR(INDEX(AK_BARIS,MATCH(L1880,AK_NAMA,0)),"?"))</f>
        <v/>
      </c>
      <c r="O1880" s="102" t="str">
        <f aca="false">IF(C1880="","",IFERROR(INDEX(AK_KEL,MATCH(C1880,AK_NAMA,0)),"?"))</f>
        <v/>
      </c>
      <c r="P1880" s="102" t="str">
        <f aca="false">IF(D1880="","",IFERROR(INDEX(AK_KEL,MATCH(D1880,AK_NAMA,0)),"?"))</f>
        <v/>
      </c>
      <c r="Q1880" s="102" t="n">
        <f aca="false">N(Q1879)+IF(AND(N(E1880)&lt;&gt;0,K1880=TAHUN,N(J1880)&lt;=BLN,OR(C1880=BB_AKUN,D1880=BB_AKUN)),1,0)</f>
        <v>877</v>
      </c>
      <c r="R1880" s="104" t="str">
        <f aca="false">IF(OR(C1880&amp;D1880="",N(E1880)=0),"",IF(OR(O1880="?",P1880="?"),"⚠ akun tidak dikenal",IF(C1880=D1880,"⚠ debet = kredit","")))</f>
        <v/>
      </c>
    </row>
    <row r="1881" customFormat="false" ht="15" hidden="false" customHeight="false" outlineLevel="0" collapsed="false">
      <c r="A1881" s="5"/>
      <c r="B1881" s="83"/>
      <c r="C1881" s="5"/>
      <c r="D1881" s="5"/>
      <c r="E1881" s="44"/>
      <c r="F1881" s="5"/>
      <c r="G1881" s="5"/>
      <c r="H1881" s="5"/>
      <c r="I1881" s="5"/>
      <c r="J1881" s="102" t="str">
        <f aca="false">IF(B1881="","",MONTH(B1881))</f>
        <v/>
      </c>
      <c r="K1881" s="102" t="str">
        <f aca="false">IF(B1881="","",YEAR(B1881))</f>
        <v/>
      </c>
      <c r="L1881" s="102" t="str">
        <f aca="false">IF(N(E1881)=0,"",IF(COUNTIFS(AK_NAMA,C1881,AK_KAT,"KAS")+COUNTIFS(AK_NAMA,D1881,AK_KAT,"KAS")&lt;&gt;1,"",IF(COUNTIFS(AK_NAMA,C1881,AK_KAT,"KAS")=1,D1881,C1881)))</f>
        <v/>
      </c>
      <c r="M1881" s="103" t="n">
        <f aca="false">IF(L1881="",0,IF(L1881=D1881,E1881,-E1881))</f>
        <v>0</v>
      </c>
      <c r="N1881" s="102" t="str">
        <f aca="false">IF(L1881="","",IFERROR(INDEX(AK_BARIS,MATCH(L1881,AK_NAMA,0)),"?"))</f>
        <v/>
      </c>
      <c r="O1881" s="102" t="str">
        <f aca="false">IF(C1881="","",IFERROR(INDEX(AK_KEL,MATCH(C1881,AK_NAMA,0)),"?"))</f>
        <v/>
      </c>
      <c r="P1881" s="102" t="str">
        <f aca="false">IF(D1881="","",IFERROR(INDEX(AK_KEL,MATCH(D1881,AK_NAMA,0)),"?"))</f>
        <v/>
      </c>
      <c r="Q1881" s="102" t="n">
        <f aca="false">N(Q1880)+IF(AND(N(E1881)&lt;&gt;0,K1881=TAHUN,N(J1881)&lt;=BLN,OR(C1881=BB_AKUN,D1881=BB_AKUN)),1,0)</f>
        <v>877</v>
      </c>
      <c r="R1881" s="104" t="str">
        <f aca="false">IF(OR(C1881&amp;D1881="",N(E1881)=0),"",IF(OR(O1881="?",P1881="?"),"⚠ akun tidak dikenal",IF(C1881=D1881,"⚠ debet = kredit","")))</f>
        <v/>
      </c>
    </row>
    <row r="1882" customFormat="false" ht="15" hidden="false" customHeight="false" outlineLevel="0" collapsed="false">
      <c r="A1882" s="5"/>
      <c r="B1882" s="83"/>
      <c r="C1882" s="5"/>
      <c r="D1882" s="5"/>
      <c r="E1882" s="44"/>
      <c r="F1882" s="5"/>
      <c r="G1882" s="5"/>
      <c r="H1882" s="5"/>
      <c r="I1882" s="5"/>
      <c r="J1882" s="102" t="str">
        <f aca="false">IF(B1882="","",MONTH(B1882))</f>
        <v/>
      </c>
      <c r="K1882" s="102" t="str">
        <f aca="false">IF(B1882="","",YEAR(B1882))</f>
        <v/>
      </c>
      <c r="L1882" s="102" t="str">
        <f aca="false">IF(N(E1882)=0,"",IF(COUNTIFS(AK_NAMA,C1882,AK_KAT,"KAS")+COUNTIFS(AK_NAMA,D1882,AK_KAT,"KAS")&lt;&gt;1,"",IF(COUNTIFS(AK_NAMA,C1882,AK_KAT,"KAS")=1,D1882,C1882)))</f>
        <v/>
      </c>
      <c r="M1882" s="103" t="n">
        <f aca="false">IF(L1882="",0,IF(L1882=D1882,E1882,-E1882))</f>
        <v>0</v>
      </c>
      <c r="N1882" s="102" t="str">
        <f aca="false">IF(L1882="","",IFERROR(INDEX(AK_BARIS,MATCH(L1882,AK_NAMA,0)),"?"))</f>
        <v/>
      </c>
      <c r="O1882" s="102" t="str">
        <f aca="false">IF(C1882="","",IFERROR(INDEX(AK_KEL,MATCH(C1882,AK_NAMA,0)),"?"))</f>
        <v/>
      </c>
      <c r="P1882" s="102" t="str">
        <f aca="false">IF(D1882="","",IFERROR(INDEX(AK_KEL,MATCH(D1882,AK_NAMA,0)),"?"))</f>
        <v/>
      </c>
      <c r="Q1882" s="102" t="n">
        <f aca="false">N(Q1881)+IF(AND(N(E1882)&lt;&gt;0,K1882=TAHUN,N(J1882)&lt;=BLN,OR(C1882=BB_AKUN,D1882=BB_AKUN)),1,0)</f>
        <v>877</v>
      </c>
      <c r="R1882" s="104" t="str">
        <f aca="false">IF(OR(C1882&amp;D1882="",N(E1882)=0),"",IF(OR(O1882="?",P1882="?"),"⚠ akun tidak dikenal",IF(C1882=D1882,"⚠ debet = kredit","")))</f>
        <v/>
      </c>
    </row>
    <row r="1883" customFormat="false" ht="15" hidden="false" customHeight="false" outlineLevel="0" collapsed="false">
      <c r="A1883" s="5"/>
      <c r="B1883" s="83"/>
      <c r="C1883" s="5"/>
      <c r="D1883" s="5"/>
      <c r="E1883" s="44"/>
      <c r="F1883" s="5"/>
      <c r="G1883" s="5"/>
      <c r="H1883" s="5"/>
      <c r="I1883" s="5"/>
      <c r="J1883" s="102" t="str">
        <f aca="false">IF(B1883="","",MONTH(B1883))</f>
        <v/>
      </c>
      <c r="K1883" s="102" t="str">
        <f aca="false">IF(B1883="","",YEAR(B1883))</f>
        <v/>
      </c>
      <c r="L1883" s="102" t="str">
        <f aca="false">IF(N(E1883)=0,"",IF(COUNTIFS(AK_NAMA,C1883,AK_KAT,"KAS")+COUNTIFS(AK_NAMA,D1883,AK_KAT,"KAS")&lt;&gt;1,"",IF(COUNTIFS(AK_NAMA,C1883,AK_KAT,"KAS")=1,D1883,C1883)))</f>
        <v/>
      </c>
      <c r="M1883" s="103" t="n">
        <f aca="false">IF(L1883="",0,IF(L1883=D1883,E1883,-E1883))</f>
        <v>0</v>
      </c>
      <c r="N1883" s="102" t="str">
        <f aca="false">IF(L1883="","",IFERROR(INDEX(AK_BARIS,MATCH(L1883,AK_NAMA,0)),"?"))</f>
        <v/>
      </c>
      <c r="O1883" s="102" t="str">
        <f aca="false">IF(C1883="","",IFERROR(INDEX(AK_KEL,MATCH(C1883,AK_NAMA,0)),"?"))</f>
        <v/>
      </c>
      <c r="P1883" s="102" t="str">
        <f aca="false">IF(D1883="","",IFERROR(INDEX(AK_KEL,MATCH(D1883,AK_NAMA,0)),"?"))</f>
        <v/>
      </c>
      <c r="Q1883" s="102" t="n">
        <f aca="false">N(Q1882)+IF(AND(N(E1883)&lt;&gt;0,K1883=TAHUN,N(J1883)&lt;=BLN,OR(C1883=BB_AKUN,D1883=BB_AKUN)),1,0)</f>
        <v>877</v>
      </c>
      <c r="R1883" s="104" t="str">
        <f aca="false">IF(OR(C1883&amp;D1883="",N(E1883)=0),"",IF(OR(O1883="?",P1883="?"),"⚠ akun tidak dikenal",IF(C1883=D1883,"⚠ debet = kredit","")))</f>
        <v/>
      </c>
    </row>
    <row r="1884" customFormat="false" ht="15" hidden="false" customHeight="false" outlineLevel="0" collapsed="false">
      <c r="A1884" s="5"/>
      <c r="B1884" s="83"/>
      <c r="C1884" s="5"/>
      <c r="D1884" s="5"/>
      <c r="E1884" s="44"/>
      <c r="F1884" s="5"/>
      <c r="G1884" s="5"/>
      <c r="H1884" s="5"/>
      <c r="I1884" s="5"/>
      <c r="J1884" s="102" t="str">
        <f aca="false">IF(B1884="","",MONTH(B1884))</f>
        <v/>
      </c>
      <c r="K1884" s="102" t="str">
        <f aca="false">IF(B1884="","",YEAR(B1884))</f>
        <v/>
      </c>
      <c r="L1884" s="102" t="str">
        <f aca="false">IF(N(E1884)=0,"",IF(COUNTIFS(AK_NAMA,C1884,AK_KAT,"KAS")+COUNTIFS(AK_NAMA,D1884,AK_KAT,"KAS")&lt;&gt;1,"",IF(COUNTIFS(AK_NAMA,C1884,AK_KAT,"KAS")=1,D1884,C1884)))</f>
        <v/>
      </c>
      <c r="M1884" s="103" t="n">
        <f aca="false">IF(L1884="",0,IF(L1884=D1884,E1884,-E1884))</f>
        <v>0</v>
      </c>
      <c r="N1884" s="102" t="str">
        <f aca="false">IF(L1884="","",IFERROR(INDEX(AK_BARIS,MATCH(L1884,AK_NAMA,0)),"?"))</f>
        <v/>
      </c>
      <c r="O1884" s="102" t="str">
        <f aca="false">IF(C1884="","",IFERROR(INDEX(AK_KEL,MATCH(C1884,AK_NAMA,0)),"?"))</f>
        <v/>
      </c>
      <c r="P1884" s="102" t="str">
        <f aca="false">IF(D1884="","",IFERROR(INDEX(AK_KEL,MATCH(D1884,AK_NAMA,0)),"?"))</f>
        <v/>
      </c>
      <c r="Q1884" s="102" t="n">
        <f aca="false">N(Q1883)+IF(AND(N(E1884)&lt;&gt;0,K1884=TAHUN,N(J1884)&lt;=BLN,OR(C1884=BB_AKUN,D1884=BB_AKUN)),1,0)</f>
        <v>877</v>
      </c>
      <c r="R1884" s="104" t="str">
        <f aca="false">IF(OR(C1884&amp;D1884="",N(E1884)=0),"",IF(OR(O1884="?",P1884="?"),"⚠ akun tidak dikenal",IF(C1884=D1884,"⚠ debet = kredit","")))</f>
        <v/>
      </c>
    </row>
    <row r="1885" customFormat="false" ht="15" hidden="false" customHeight="false" outlineLevel="0" collapsed="false">
      <c r="A1885" s="5"/>
      <c r="B1885" s="83"/>
      <c r="C1885" s="5"/>
      <c r="D1885" s="5"/>
      <c r="E1885" s="44"/>
      <c r="F1885" s="5"/>
      <c r="G1885" s="5"/>
      <c r="H1885" s="5"/>
      <c r="I1885" s="5"/>
      <c r="J1885" s="102" t="str">
        <f aca="false">IF(B1885="","",MONTH(B1885))</f>
        <v/>
      </c>
      <c r="K1885" s="102" t="str">
        <f aca="false">IF(B1885="","",YEAR(B1885))</f>
        <v/>
      </c>
      <c r="L1885" s="102" t="str">
        <f aca="false">IF(N(E1885)=0,"",IF(COUNTIFS(AK_NAMA,C1885,AK_KAT,"KAS")+COUNTIFS(AK_NAMA,D1885,AK_KAT,"KAS")&lt;&gt;1,"",IF(COUNTIFS(AK_NAMA,C1885,AK_KAT,"KAS")=1,D1885,C1885)))</f>
        <v/>
      </c>
      <c r="M1885" s="103" t="n">
        <f aca="false">IF(L1885="",0,IF(L1885=D1885,E1885,-E1885))</f>
        <v>0</v>
      </c>
      <c r="N1885" s="102" t="str">
        <f aca="false">IF(L1885="","",IFERROR(INDEX(AK_BARIS,MATCH(L1885,AK_NAMA,0)),"?"))</f>
        <v/>
      </c>
      <c r="O1885" s="102" t="str">
        <f aca="false">IF(C1885="","",IFERROR(INDEX(AK_KEL,MATCH(C1885,AK_NAMA,0)),"?"))</f>
        <v/>
      </c>
      <c r="P1885" s="102" t="str">
        <f aca="false">IF(D1885="","",IFERROR(INDEX(AK_KEL,MATCH(D1885,AK_NAMA,0)),"?"))</f>
        <v/>
      </c>
      <c r="Q1885" s="102" t="n">
        <f aca="false">N(Q1884)+IF(AND(N(E1885)&lt;&gt;0,K1885=TAHUN,N(J1885)&lt;=BLN,OR(C1885=BB_AKUN,D1885=BB_AKUN)),1,0)</f>
        <v>877</v>
      </c>
      <c r="R1885" s="104" t="str">
        <f aca="false">IF(OR(C1885&amp;D1885="",N(E1885)=0),"",IF(OR(O1885="?",P1885="?"),"⚠ akun tidak dikenal",IF(C1885=D1885,"⚠ debet = kredit","")))</f>
        <v/>
      </c>
    </row>
    <row r="1886" customFormat="false" ht="15" hidden="false" customHeight="false" outlineLevel="0" collapsed="false">
      <c r="A1886" s="5"/>
      <c r="B1886" s="83"/>
      <c r="C1886" s="5"/>
      <c r="D1886" s="5"/>
      <c r="E1886" s="44"/>
      <c r="F1886" s="5"/>
      <c r="G1886" s="5"/>
      <c r="H1886" s="5"/>
      <c r="I1886" s="5"/>
      <c r="J1886" s="102" t="str">
        <f aca="false">IF(B1886="","",MONTH(B1886))</f>
        <v/>
      </c>
      <c r="K1886" s="102" t="str">
        <f aca="false">IF(B1886="","",YEAR(B1886))</f>
        <v/>
      </c>
      <c r="L1886" s="102" t="str">
        <f aca="false">IF(N(E1886)=0,"",IF(COUNTIFS(AK_NAMA,C1886,AK_KAT,"KAS")+COUNTIFS(AK_NAMA,D1886,AK_KAT,"KAS")&lt;&gt;1,"",IF(COUNTIFS(AK_NAMA,C1886,AK_KAT,"KAS")=1,D1886,C1886)))</f>
        <v/>
      </c>
      <c r="M1886" s="103" t="n">
        <f aca="false">IF(L1886="",0,IF(L1886=D1886,E1886,-E1886))</f>
        <v>0</v>
      </c>
      <c r="N1886" s="102" t="str">
        <f aca="false">IF(L1886="","",IFERROR(INDEX(AK_BARIS,MATCH(L1886,AK_NAMA,0)),"?"))</f>
        <v/>
      </c>
      <c r="O1886" s="102" t="str">
        <f aca="false">IF(C1886="","",IFERROR(INDEX(AK_KEL,MATCH(C1886,AK_NAMA,0)),"?"))</f>
        <v/>
      </c>
      <c r="P1886" s="102" t="str">
        <f aca="false">IF(D1886="","",IFERROR(INDEX(AK_KEL,MATCH(D1886,AK_NAMA,0)),"?"))</f>
        <v/>
      </c>
      <c r="Q1886" s="102" t="n">
        <f aca="false">N(Q1885)+IF(AND(N(E1886)&lt;&gt;0,K1886=TAHUN,N(J1886)&lt;=BLN,OR(C1886=BB_AKUN,D1886=BB_AKUN)),1,0)</f>
        <v>877</v>
      </c>
      <c r="R1886" s="104" t="str">
        <f aca="false">IF(OR(C1886&amp;D1886="",N(E1886)=0),"",IF(OR(O1886="?",P1886="?"),"⚠ akun tidak dikenal",IF(C1886=D1886,"⚠ debet = kredit","")))</f>
        <v/>
      </c>
    </row>
    <row r="1887" customFormat="false" ht="15" hidden="false" customHeight="false" outlineLevel="0" collapsed="false">
      <c r="A1887" s="5"/>
      <c r="B1887" s="83"/>
      <c r="C1887" s="5"/>
      <c r="D1887" s="5"/>
      <c r="E1887" s="44"/>
      <c r="F1887" s="5"/>
      <c r="G1887" s="5"/>
      <c r="H1887" s="5"/>
      <c r="I1887" s="5"/>
      <c r="J1887" s="102" t="str">
        <f aca="false">IF(B1887="","",MONTH(B1887))</f>
        <v/>
      </c>
      <c r="K1887" s="102" t="str">
        <f aca="false">IF(B1887="","",YEAR(B1887))</f>
        <v/>
      </c>
      <c r="L1887" s="102" t="str">
        <f aca="false">IF(N(E1887)=0,"",IF(COUNTIFS(AK_NAMA,C1887,AK_KAT,"KAS")+COUNTIFS(AK_NAMA,D1887,AK_KAT,"KAS")&lt;&gt;1,"",IF(COUNTIFS(AK_NAMA,C1887,AK_KAT,"KAS")=1,D1887,C1887)))</f>
        <v/>
      </c>
      <c r="M1887" s="103" t="n">
        <f aca="false">IF(L1887="",0,IF(L1887=D1887,E1887,-E1887))</f>
        <v>0</v>
      </c>
      <c r="N1887" s="102" t="str">
        <f aca="false">IF(L1887="","",IFERROR(INDEX(AK_BARIS,MATCH(L1887,AK_NAMA,0)),"?"))</f>
        <v/>
      </c>
      <c r="O1887" s="102" t="str">
        <f aca="false">IF(C1887="","",IFERROR(INDEX(AK_KEL,MATCH(C1887,AK_NAMA,0)),"?"))</f>
        <v/>
      </c>
      <c r="P1887" s="102" t="str">
        <f aca="false">IF(D1887="","",IFERROR(INDEX(AK_KEL,MATCH(D1887,AK_NAMA,0)),"?"))</f>
        <v/>
      </c>
      <c r="Q1887" s="102" t="n">
        <f aca="false">N(Q1886)+IF(AND(N(E1887)&lt;&gt;0,K1887=TAHUN,N(J1887)&lt;=BLN,OR(C1887=BB_AKUN,D1887=BB_AKUN)),1,0)</f>
        <v>877</v>
      </c>
      <c r="R1887" s="104" t="str">
        <f aca="false">IF(OR(C1887&amp;D1887="",N(E1887)=0),"",IF(OR(O1887="?",P1887="?"),"⚠ akun tidak dikenal",IF(C1887=D1887,"⚠ debet = kredit","")))</f>
        <v/>
      </c>
    </row>
    <row r="1888" customFormat="false" ht="15" hidden="false" customHeight="false" outlineLevel="0" collapsed="false">
      <c r="A1888" s="5"/>
      <c r="B1888" s="83"/>
      <c r="C1888" s="5"/>
      <c r="D1888" s="5"/>
      <c r="E1888" s="44"/>
      <c r="F1888" s="5"/>
      <c r="G1888" s="5"/>
      <c r="H1888" s="5"/>
      <c r="I1888" s="5"/>
      <c r="J1888" s="102" t="str">
        <f aca="false">IF(B1888="","",MONTH(B1888))</f>
        <v/>
      </c>
      <c r="K1888" s="102" t="str">
        <f aca="false">IF(B1888="","",YEAR(B1888))</f>
        <v/>
      </c>
      <c r="L1888" s="102" t="str">
        <f aca="false">IF(N(E1888)=0,"",IF(COUNTIFS(AK_NAMA,C1888,AK_KAT,"KAS")+COUNTIFS(AK_NAMA,D1888,AK_KAT,"KAS")&lt;&gt;1,"",IF(COUNTIFS(AK_NAMA,C1888,AK_KAT,"KAS")=1,D1888,C1888)))</f>
        <v/>
      </c>
      <c r="M1888" s="103" t="n">
        <f aca="false">IF(L1888="",0,IF(L1888=D1888,E1888,-E1888))</f>
        <v>0</v>
      </c>
      <c r="N1888" s="102" t="str">
        <f aca="false">IF(L1888="","",IFERROR(INDEX(AK_BARIS,MATCH(L1888,AK_NAMA,0)),"?"))</f>
        <v/>
      </c>
      <c r="O1888" s="102" t="str">
        <f aca="false">IF(C1888="","",IFERROR(INDEX(AK_KEL,MATCH(C1888,AK_NAMA,0)),"?"))</f>
        <v/>
      </c>
      <c r="P1888" s="102" t="str">
        <f aca="false">IF(D1888="","",IFERROR(INDEX(AK_KEL,MATCH(D1888,AK_NAMA,0)),"?"))</f>
        <v/>
      </c>
      <c r="Q1888" s="102" t="n">
        <f aca="false">N(Q1887)+IF(AND(N(E1888)&lt;&gt;0,K1888=TAHUN,N(J1888)&lt;=BLN,OR(C1888=BB_AKUN,D1888=BB_AKUN)),1,0)</f>
        <v>877</v>
      </c>
      <c r="R1888" s="104" t="str">
        <f aca="false">IF(OR(C1888&amp;D1888="",N(E1888)=0),"",IF(OR(O1888="?",P1888="?"),"⚠ akun tidak dikenal",IF(C1888=D1888,"⚠ debet = kredit","")))</f>
        <v/>
      </c>
    </row>
    <row r="1889" customFormat="false" ht="15" hidden="false" customHeight="false" outlineLevel="0" collapsed="false">
      <c r="A1889" s="5"/>
      <c r="B1889" s="83"/>
      <c r="C1889" s="5"/>
      <c r="D1889" s="5"/>
      <c r="E1889" s="44"/>
      <c r="F1889" s="5"/>
      <c r="G1889" s="5"/>
      <c r="H1889" s="5"/>
      <c r="I1889" s="5"/>
      <c r="J1889" s="102" t="str">
        <f aca="false">IF(B1889="","",MONTH(B1889))</f>
        <v/>
      </c>
      <c r="K1889" s="102" t="str">
        <f aca="false">IF(B1889="","",YEAR(B1889))</f>
        <v/>
      </c>
      <c r="L1889" s="102" t="str">
        <f aca="false">IF(N(E1889)=0,"",IF(COUNTIFS(AK_NAMA,C1889,AK_KAT,"KAS")+COUNTIFS(AK_NAMA,D1889,AK_KAT,"KAS")&lt;&gt;1,"",IF(COUNTIFS(AK_NAMA,C1889,AK_KAT,"KAS")=1,D1889,C1889)))</f>
        <v/>
      </c>
      <c r="M1889" s="103" t="n">
        <f aca="false">IF(L1889="",0,IF(L1889=D1889,E1889,-E1889))</f>
        <v>0</v>
      </c>
      <c r="N1889" s="102" t="str">
        <f aca="false">IF(L1889="","",IFERROR(INDEX(AK_BARIS,MATCH(L1889,AK_NAMA,0)),"?"))</f>
        <v/>
      </c>
      <c r="O1889" s="102" t="str">
        <f aca="false">IF(C1889="","",IFERROR(INDEX(AK_KEL,MATCH(C1889,AK_NAMA,0)),"?"))</f>
        <v/>
      </c>
      <c r="P1889" s="102" t="str">
        <f aca="false">IF(D1889="","",IFERROR(INDEX(AK_KEL,MATCH(D1889,AK_NAMA,0)),"?"))</f>
        <v/>
      </c>
      <c r="Q1889" s="102" t="n">
        <f aca="false">N(Q1888)+IF(AND(N(E1889)&lt;&gt;0,K1889=TAHUN,N(J1889)&lt;=BLN,OR(C1889=BB_AKUN,D1889=BB_AKUN)),1,0)</f>
        <v>877</v>
      </c>
      <c r="R1889" s="104" t="str">
        <f aca="false">IF(OR(C1889&amp;D1889="",N(E1889)=0),"",IF(OR(O1889="?",P1889="?"),"⚠ akun tidak dikenal",IF(C1889=D1889,"⚠ debet = kredit","")))</f>
        <v/>
      </c>
    </row>
    <row r="1890" customFormat="false" ht="15" hidden="false" customHeight="false" outlineLevel="0" collapsed="false">
      <c r="A1890" s="5"/>
      <c r="B1890" s="83"/>
      <c r="C1890" s="5"/>
      <c r="D1890" s="5"/>
      <c r="E1890" s="44"/>
      <c r="F1890" s="5"/>
      <c r="G1890" s="5"/>
      <c r="H1890" s="5"/>
      <c r="I1890" s="5"/>
      <c r="J1890" s="102" t="str">
        <f aca="false">IF(B1890="","",MONTH(B1890))</f>
        <v/>
      </c>
      <c r="K1890" s="102" t="str">
        <f aca="false">IF(B1890="","",YEAR(B1890))</f>
        <v/>
      </c>
      <c r="L1890" s="102" t="str">
        <f aca="false">IF(N(E1890)=0,"",IF(COUNTIFS(AK_NAMA,C1890,AK_KAT,"KAS")+COUNTIFS(AK_NAMA,D1890,AK_KAT,"KAS")&lt;&gt;1,"",IF(COUNTIFS(AK_NAMA,C1890,AK_KAT,"KAS")=1,D1890,C1890)))</f>
        <v/>
      </c>
      <c r="M1890" s="103" t="n">
        <f aca="false">IF(L1890="",0,IF(L1890=D1890,E1890,-E1890))</f>
        <v>0</v>
      </c>
      <c r="N1890" s="102" t="str">
        <f aca="false">IF(L1890="","",IFERROR(INDEX(AK_BARIS,MATCH(L1890,AK_NAMA,0)),"?"))</f>
        <v/>
      </c>
      <c r="O1890" s="102" t="str">
        <f aca="false">IF(C1890="","",IFERROR(INDEX(AK_KEL,MATCH(C1890,AK_NAMA,0)),"?"))</f>
        <v/>
      </c>
      <c r="P1890" s="102" t="str">
        <f aca="false">IF(D1890="","",IFERROR(INDEX(AK_KEL,MATCH(D1890,AK_NAMA,0)),"?"))</f>
        <v/>
      </c>
      <c r="Q1890" s="102" t="n">
        <f aca="false">N(Q1889)+IF(AND(N(E1890)&lt;&gt;0,K1890=TAHUN,N(J1890)&lt;=BLN,OR(C1890=BB_AKUN,D1890=BB_AKUN)),1,0)</f>
        <v>877</v>
      </c>
      <c r="R1890" s="104" t="str">
        <f aca="false">IF(OR(C1890&amp;D1890="",N(E1890)=0),"",IF(OR(O1890="?",P1890="?"),"⚠ akun tidak dikenal",IF(C1890=D1890,"⚠ debet = kredit","")))</f>
        <v/>
      </c>
    </row>
    <row r="1891" customFormat="false" ht="15" hidden="false" customHeight="false" outlineLevel="0" collapsed="false">
      <c r="A1891" s="5"/>
      <c r="B1891" s="83"/>
      <c r="C1891" s="5"/>
      <c r="D1891" s="5"/>
      <c r="E1891" s="44"/>
      <c r="F1891" s="5"/>
      <c r="G1891" s="5"/>
      <c r="H1891" s="5"/>
      <c r="I1891" s="5"/>
      <c r="J1891" s="102" t="str">
        <f aca="false">IF(B1891="","",MONTH(B1891))</f>
        <v/>
      </c>
      <c r="K1891" s="102" t="str">
        <f aca="false">IF(B1891="","",YEAR(B1891))</f>
        <v/>
      </c>
      <c r="L1891" s="102" t="str">
        <f aca="false">IF(N(E1891)=0,"",IF(COUNTIFS(AK_NAMA,C1891,AK_KAT,"KAS")+COUNTIFS(AK_NAMA,D1891,AK_KAT,"KAS")&lt;&gt;1,"",IF(COUNTIFS(AK_NAMA,C1891,AK_KAT,"KAS")=1,D1891,C1891)))</f>
        <v/>
      </c>
      <c r="M1891" s="103" t="n">
        <f aca="false">IF(L1891="",0,IF(L1891=D1891,E1891,-E1891))</f>
        <v>0</v>
      </c>
      <c r="N1891" s="102" t="str">
        <f aca="false">IF(L1891="","",IFERROR(INDEX(AK_BARIS,MATCH(L1891,AK_NAMA,0)),"?"))</f>
        <v/>
      </c>
      <c r="O1891" s="102" t="str">
        <f aca="false">IF(C1891="","",IFERROR(INDEX(AK_KEL,MATCH(C1891,AK_NAMA,0)),"?"))</f>
        <v/>
      </c>
      <c r="P1891" s="102" t="str">
        <f aca="false">IF(D1891="","",IFERROR(INDEX(AK_KEL,MATCH(D1891,AK_NAMA,0)),"?"))</f>
        <v/>
      </c>
      <c r="Q1891" s="102" t="n">
        <f aca="false">N(Q1890)+IF(AND(N(E1891)&lt;&gt;0,K1891=TAHUN,N(J1891)&lt;=BLN,OR(C1891=BB_AKUN,D1891=BB_AKUN)),1,0)</f>
        <v>877</v>
      </c>
      <c r="R1891" s="104" t="str">
        <f aca="false">IF(OR(C1891&amp;D1891="",N(E1891)=0),"",IF(OR(O1891="?",P1891="?"),"⚠ akun tidak dikenal",IF(C1891=D1891,"⚠ debet = kredit","")))</f>
        <v/>
      </c>
    </row>
    <row r="1892" customFormat="false" ht="15" hidden="false" customHeight="false" outlineLevel="0" collapsed="false">
      <c r="A1892" s="5"/>
      <c r="B1892" s="83"/>
      <c r="C1892" s="5"/>
      <c r="D1892" s="5"/>
      <c r="E1892" s="44"/>
      <c r="F1892" s="5"/>
      <c r="G1892" s="5"/>
      <c r="H1892" s="5"/>
      <c r="I1892" s="5"/>
      <c r="J1892" s="102" t="str">
        <f aca="false">IF(B1892="","",MONTH(B1892))</f>
        <v/>
      </c>
      <c r="K1892" s="102" t="str">
        <f aca="false">IF(B1892="","",YEAR(B1892))</f>
        <v/>
      </c>
      <c r="L1892" s="102" t="str">
        <f aca="false">IF(N(E1892)=0,"",IF(COUNTIFS(AK_NAMA,C1892,AK_KAT,"KAS")+COUNTIFS(AK_NAMA,D1892,AK_KAT,"KAS")&lt;&gt;1,"",IF(COUNTIFS(AK_NAMA,C1892,AK_KAT,"KAS")=1,D1892,C1892)))</f>
        <v/>
      </c>
      <c r="M1892" s="103" t="n">
        <f aca="false">IF(L1892="",0,IF(L1892=D1892,E1892,-E1892))</f>
        <v>0</v>
      </c>
      <c r="N1892" s="102" t="str">
        <f aca="false">IF(L1892="","",IFERROR(INDEX(AK_BARIS,MATCH(L1892,AK_NAMA,0)),"?"))</f>
        <v/>
      </c>
      <c r="O1892" s="102" t="str">
        <f aca="false">IF(C1892="","",IFERROR(INDEX(AK_KEL,MATCH(C1892,AK_NAMA,0)),"?"))</f>
        <v/>
      </c>
      <c r="P1892" s="102" t="str">
        <f aca="false">IF(D1892="","",IFERROR(INDEX(AK_KEL,MATCH(D1892,AK_NAMA,0)),"?"))</f>
        <v/>
      </c>
      <c r="Q1892" s="102" t="n">
        <f aca="false">N(Q1891)+IF(AND(N(E1892)&lt;&gt;0,K1892=TAHUN,N(J1892)&lt;=BLN,OR(C1892=BB_AKUN,D1892=BB_AKUN)),1,0)</f>
        <v>877</v>
      </c>
      <c r="R1892" s="104" t="str">
        <f aca="false">IF(OR(C1892&amp;D1892="",N(E1892)=0),"",IF(OR(O1892="?",P1892="?"),"⚠ akun tidak dikenal",IF(C1892=D1892,"⚠ debet = kredit","")))</f>
        <v/>
      </c>
    </row>
    <row r="1893" customFormat="false" ht="15" hidden="false" customHeight="false" outlineLevel="0" collapsed="false">
      <c r="A1893" s="5"/>
      <c r="B1893" s="83"/>
      <c r="C1893" s="5"/>
      <c r="D1893" s="5"/>
      <c r="E1893" s="44"/>
      <c r="F1893" s="5"/>
      <c r="G1893" s="5"/>
      <c r="H1893" s="5"/>
      <c r="I1893" s="5"/>
      <c r="J1893" s="102" t="str">
        <f aca="false">IF(B1893="","",MONTH(B1893))</f>
        <v/>
      </c>
      <c r="K1893" s="102" t="str">
        <f aca="false">IF(B1893="","",YEAR(B1893))</f>
        <v/>
      </c>
      <c r="L1893" s="102" t="str">
        <f aca="false">IF(N(E1893)=0,"",IF(COUNTIFS(AK_NAMA,C1893,AK_KAT,"KAS")+COUNTIFS(AK_NAMA,D1893,AK_KAT,"KAS")&lt;&gt;1,"",IF(COUNTIFS(AK_NAMA,C1893,AK_KAT,"KAS")=1,D1893,C1893)))</f>
        <v/>
      </c>
      <c r="M1893" s="103" t="n">
        <f aca="false">IF(L1893="",0,IF(L1893=D1893,E1893,-E1893))</f>
        <v>0</v>
      </c>
      <c r="N1893" s="102" t="str">
        <f aca="false">IF(L1893="","",IFERROR(INDEX(AK_BARIS,MATCH(L1893,AK_NAMA,0)),"?"))</f>
        <v/>
      </c>
      <c r="O1893" s="102" t="str">
        <f aca="false">IF(C1893="","",IFERROR(INDEX(AK_KEL,MATCH(C1893,AK_NAMA,0)),"?"))</f>
        <v/>
      </c>
      <c r="P1893" s="102" t="str">
        <f aca="false">IF(D1893="","",IFERROR(INDEX(AK_KEL,MATCH(D1893,AK_NAMA,0)),"?"))</f>
        <v/>
      </c>
      <c r="Q1893" s="102" t="n">
        <f aca="false">N(Q1892)+IF(AND(N(E1893)&lt;&gt;0,K1893=TAHUN,N(J1893)&lt;=BLN,OR(C1893=BB_AKUN,D1893=BB_AKUN)),1,0)</f>
        <v>877</v>
      </c>
      <c r="R1893" s="104" t="str">
        <f aca="false">IF(OR(C1893&amp;D1893="",N(E1893)=0),"",IF(OR(O1893="?",P1893="?"),"⚠ akun tidak dikenal",IF(C1893=D1893,"⚠ debet = kredit","")))</f>
        <v/>
      </c>
    </row>
    <row r="1894" customFormat="false" ht="15" hidden="false" customHeight="false" outlineLevel="0" collapsed="false">
      <c r="A1894" s="5"/>
      <c r="B1894" s="83"/>
      <c r="C1894" s="5"/>
      <c r="D1894" s="5"/>
      <c r="E1894" s="44"/>
      <c r="F1894" s="5"/>
      <c r="G1894" s="5"/>
      <c r="H1894" s="5"/>
      <c r="I1894" s="5"/>
      <c r="J1894" s="102" t="str">
        <f aca="false">IF(B1894="","",MONTH(B1894))</f>
        <v/>
      </c>
      <c r="K1894" s="102" t="str">
        <f aca="false">IF(B1894="","",YEAR(B1894))</f>
        <v/>
      </c>
      <c r="L1894" s="102" t="str">
        <f aca="false">IF(N(E1894)=0,"",IF(COUNTIFS(AK_NAMA,C1894,AK_KAT,"KAS")+COUNTIFS(AK_NAMA,D1894,AK_KAT,"KAS")&lt;&gt;1,"",IF(COUNTIFS(AK_NAMA,C1894,AK_KAT,"KAS")=1,D1894,C1894)))</f>
        <v/>
      </c>
      <c r="M1894" s="103" t="n">
        <f aca="false">IF(L1894="",0,IF(L1894=D1894,E1894,-E1894))</f>
        <v>0</v>
      </c>
      <c r="N1894" s="102" t="str">
        <f aca="false">IF(L1894="","",IFERROR(INDEX(AK_BARIS,MATCH(L1894,AK_NAMA,0)),"?"))</f>
        <v/>
      </c>
      <c r="O1894" s="102" t="str">
        <f aca="false">IF(C1894="","",IFERROR(INDEX(AK_KEL,MATCH(C1894,AK_NAMA,0)),"?"))</f>
        <v/>
      </c>
      <c r="P1894" s="102" t="str">
        <f aca="false">IF(D1894="","",IFERROR(INDEX(AK_KEL,MATCH(D1894,AK_NAMA,0)),"?"))</f>
        <v/>
      </c>
      <c r="Q1894" s="102" t="n">
        <f aca="false">N(Q1893)+IF(AND(N(E1894)&lt;&gt;0,K1894=TAHUN,N(J1894)&lt;=BLN,OR(C1894=BB_AKUN,D1894=BB_AKUN)),1,0)</f>
        <v>877</v>
      </c>
      <c r="R1894" s="104" t="str">
        <f aca="false">IF(OR(C1894&amp;D1894="",N(E1894)=0),"",IF(OR(O1894="?",P1894="?"),"⚠ akun tidak dikenal",IF(C1894=D1894,"⚠ debet = kredit","")))</f>
        <v/>
      </c>
    </row>
    <row r="1895" customFormat="false" ht="15" hidden="false" customHeight="false" outlineLevel="0" collapsed="false">
      <c r="A1895" s="5"/>
      <c r="B1895" s="83"/>
      <c r="C1895" s="5"/>
      <c r="D1895" s="5"/>
      <c r="E1895" s="44"/>
      <c r="F1895" s="5"/>
      <c r="G1895" s="5"/>
      <c r="H1895" s="5"/>
      <c r="I1895" s="5"/>
      <c r="J1895" s="102" t="str">
        <f aca="false">IF(B1895="","",MONTH(B1895))</f>
        <v/>
      </c>
      <c r="K1895" s="102" t="str">
        <f aca="false">IF(B1895="","",YEAR(B1895))</f>
        <v/>
      </c>
      <c r="L1895" s="102" t="str">
        <f aca="false">IF(N(E1895)=0,"",IF(COUNTIFS(AK_NAMA,C1895,AK_KAT,"KAS")+COUNTIFS(AK_NAMA,D1895,AK_KAT,"KAS")&lt;&gt;1,"",IF(COUNTIFS(AK_NAMA,C1895,AK_KAT,"KAS")=1,D1895,C1895)))</f>
        <v/>
      </c>
      <c r="M1895" s="103" t="n">
        <f aca="false">IF(L1895="",0,IF(L1895=D1895,E1895,-E1895))</f>
        <v>0</v>
      </c>
      <c r="N1895" s="102" t="str">
        <f aca="false">IF(L1895="","",IFERROR(INDEX(AK_BARIS,MATCH(L1895,AK_NAMA,0)),"?"))</f>
        <v/>
      </c>
      <c r="O1895" s="102" t="str">
        <f aca="false">IF(C1895="","",IFERROR(INDEX(AK_KEL,MATCH(C1895,AK_NAMA,0)),"?"))</f>
        <v/>
      </c>
      <c r="P1895" s="102" t="str">
        <f aca="false">IF(D1895="","",IFERROR(INDEX(AK_KEL,MATCH(D1895,AK_NAMA,0)),"?"))</f>
        <v/>
      </c>
      <c r="Q1895" s="102" t="n">
        <f aca="false">N(Q1894)+IF(AND(N(E1895)&lt;&gt;0,K1895=TAHUN,N(J1895)&lt;=BLN,OR(C1895=BB_AKUN,D1895=BB_AKUN)),1,0)</f>
        <v>877</v>
      </c>
      <c r="R1895" s="104" t="str">
        <f aca="false">IF(OR(C1895&amp;D1895="",N(E1895)=0),"",IF(OR(O1895="?",P1895="?"),"⚠ akun tidak dikenal",IF(C1895=D1895,"⚠ debet = kredit","")))</f>
        <v/>
      </c>
    </row>
    <row r="1896" customFormat="false" ht="15" hidden="false" customHeight="false" outlineLevel="0" collapsed="false">
      <c r="A1896" s="5"/>
      <c r="B1896" s="83"/>
      <c r="C1896" s="5"/>
      <c r="D1896" s="5"/>
      <c r="E1896" s="44"/>
      <c r="F1896" s="5"/>
      <c r="G1896" s="5"/>
      <c r="H1896" s="5"/>
      <c r="I1896" s="5"/>
      <c r="J1896" s="102" t="str">
        <f aca="false">IF(B1896="","",MONTH(B1896))</f>
        <v/>
      </c>
      <c r="K1896" s="102" t="str">
        <f aca="false">IF(B1896="","",YEAR(B1896))</f>
        <v/>
      </c>
      <c r="L1896" s="102" t="str">
        <f aca="false">IF(N(E1896)=0,"",IF(COUNTIFS(AK_NAMA,C1896,AK_KAT,"KAS")+COUNTIFS(AK_NAMA,D1896,AK_KAT,"KAS")&lt;&gt;1,"",IF(COUNTIFS(AK_NAMA,C1896,AK_KAT,"KAS")=1,D1896,C1896)))</f>
        <v/>
      </c>
      <c r="M1896" s="103" t="n">
        <f aca="false">IF(L1896="",0,IF(L1896=D1896,E1896,-E1896))</f>
        <v>0</v>
      </c>
      <c r="N1896" s="102" t="str">
        <f aca="false">IF(L1896="","",IFERROR(INDEX(AK_BARIS,MATCH(L1896,AK_NAMA,0)),"?"))</f>
        <v/>
      </c>
      <c r="O1896" s="102" t="str">
        <f aca="false">IF(C1896="","",IFERROR(INDEX(AK_KEL,MATCH(C1896,AK_NAMA,0)),"?"))</f>
        <v/>
      </c>
      <c r="P1896" s="102" t="str">
        <f aca="false">IF(D1896="","",IFERROR(INDEX(AK_KEL,MATCH(D1896,AK_NAMA,0)),"?"))</f>
        <v/>
      </c>
      <c r="Q1896" s="102" t="n">
        <f aca="false">N(Q1895)+IF(AND(N(E1896)&lt;&gt;0,K1896=TAHUN,N(J1896)&lt;=BLN,OR(C1896=BB_AKUN,D1896=BB_AKUN)),1,0)</f>
        <v>877</v>
      </c>
      <c r="R1896" s="104" t="str">
        <f aca="false">IF(OR(C1896&amp;D1896="",N(E1896)=0),"",IF(OR(O1896="?",P1896="?"),"⚠ akun tidak dikenal",IF(C1896=D1896,"⚠ debet = kredit","")))</f>
        <v/>
      </c>
    </row>
    <row r="1897" customFormat="false" ht="15" hidden="false" customHeight="false" outlineLevel="0" collapsed="false">
      <c r="A1897" s="5"/>
      <c r="B1897" s="83"/>
      <c r="C1897" s="5"/>
      <c r="D1897" s="5"/>
      <c r="E1897" s="44"/>
      <c r="F1897" s="5"/>
      <c r="G1897" s="5"/>
      <c r="H1897" s="5"/>
      <c r="I1897" s="5"/>
      <c r="J1897" s="102" t="str">
        <f aca="false">IF(B1897="","",MONTH(B1897))</f>
        <v/>
      </c>
      <c r="K1897" s="102" t="str">
        <f aca="false">IF(B1897="","",YEAR(B1897))</f>
        <v/>
      </c>
      <c r="L1897" s="102" t="str">
        <f aca="false">IF(N(E1897)=0,"",IF(COUNTIFS(AK_NAMA,C1897,AK_KAT,"KAS")+COUNTIFS(AK_NAMA,D1897,AK_KAT,"KAS")&lt;&gt;1,"",IF(COUNTIFS(AK_NAMA,C1897,AK_KAT,"KAS")=1,D1897,C1897)))</f>
        <v/>
      </c>
      <c r="M1897" s="103" t="n">
        <f aca="false">IF(L1897="",0,IF(L1897=D1897,E1897,-E1897))</f>
        <v>0</v>
      </c>
      <c r="N1897" s="102" t="str">
        <f aca="false">IF(L1897="","",IFERROR(INDEX(AK_BARIS,MATCH(L1897,AK_NAMA,0)),"?"))</f>
        <v/>
      </c>
      <c r="O1897" s="102" t="str">
        <f aca="false">IF(C1897="","",IFERROR(INDEX(AK_KEL,MATCH(C1897,AK_NAMA,0)),"?"))</f>
        <v/>
      </c>
      <c r="P1897" s="102" t="str">
        <f aca="false">IF(D1897="","",IFERROR(INDEX(AK_KEL,MATCH(D1897,AK_NAMA,0)),"?"))</f>
        <v/>
      </c>
      <c r="Q1897" s="102" t="n">
        <f aca="false">N(Q1896)+IF(AND(N(E1897)&lt;&gt;0,K1897=TAHUN,N(J1897)&lt;=BLN,OR(C1897=BB_AKUN,D1897=BB_AKUN)),1,0)</f>
        <v>877</v>
      </c>
      <c r="R1897" s="104" t="str">
        <f aca="false">IF(OR(C1897&amp;D1897="",N(E1897)=0),"",IF(OR(O1897="?",P1897="?"),"⚠ akun tidak dikenal",IF(C1897=D1897,"⚠ debet = kredit","")))</f>
        <v/>
      </c>
    </row>
    <row r="1898" customFormat="false" ht="15" hidden="false" customHeight="false" outlineLevel="0" collapsed="false">
      <c r="A1898" s="5"/>
      <c r="B1898" s="83"/>
      <c r="C1898" s="5"/>
      <c r="D1898" s="5"/>
      <c r="E1898" s="44"/>
      <c r="F1898" s="5"/>
      <c r="G1898" s="5"/>
      <c r="H1898" s="5"/>
      <c r="I1898" s="5"/>
      <c r="J1898" s="102" t="str">
        <f aca="false">IF(B1898="","",MONTH(B1898))</f>
        <v/>
      </c>
      <c r="K1898" s="102" t="str">
        <f aca="false">IF(B1898="","",YEAR(B1898))</f>
        <v/>
      </c>
      <c r="L1898" s="102" t="str">
        <f aca="false">IF(N(E1898)=0,"",IF(COUNTIFS(AK_NAMA,C1898,AK_KAT,"KAS")+COUNTIFS(AK_NAMA,D1898,AK_KAT,"KAS")&lt;&gt;1,"",IF(COUNTIFS(AK_NAMA,C1898,AK_KAT,"KAS")=1,D1898,C1898)))</f>
        <v/>
      </c>
      <c r="M1898" s="103" t="n">
        <f aca="false">IF(L1898="",0,IF(L1898=D1898,E1898,-E1898))</f>
        <v>0</v>
      </c>
      <c r="N1898" s="102" t="str">
        <f aca="false">IF(L1898="","",IFERROR(INDEX(AK_BARIS,MATCH(L1898,AK_NAMA,0)),"?"))</f>
        <v/>
      </c>
      <c r="O1898" s="102" t="str">
        <f aca="false">IF(C1898="","",IFERROR(INDEX(AK_KEL,MATCH(C1898,AK_NAMA,0)),"?"))</f>
        <v/>
      </c>
      <c r="P1898" s="102" t="str">
        <f aca="false">IF(D1898="","",IFERROR(INDEX(AK_KEL,MATCH(D1898,AK_NAMA,0)),"?"))</f>
        <v/>
      </c>
      <c r="Q1898" s="102" t="n">
        <f aca="false">N(Q1897)+IF(AND(N(E1898)&lt;&gt;0,K1898=TAHUN,N(J1898)&lt;=BLN,OR(C1898=BB_AKUN,D1898=BB_AKUN)),1,0)</f>
        <v>877</v>
      </c>
      <c r="R1898" s="104" t="str">
        <f aca="false">IF(OR(C1898&amp;D1898="",N(E1898)=0),"",IF(OR(O1898="?",P1898="?"),"⚠ akun tidak dikenal",IF(C1898=D1898,"⚠ debet = kredit","")))</f>
        <v/>
      </c>
    </row>
    <row r="1899" customFormat="false" ht="15" hidden="false" customHeight="false" outlineLevel="0" collapsed="false">
      <c r="A1899" s="5"/>
      <c r="B1899" s="83"/>
      <c r="C1899" s="5"/>
      <c r="D1899" s="5"/>
      <c r="E1899" s="44"/>
      <c r="F1899" s="5"/>
      <c r="G1899" s="5"/>
      <c r="H1899" s="5"/>
      <c r="I1899" s="5"/>
      <c r="J1899" s="102" t="str">
        <f aca="false">IF(B1899="","",MONTH(B1899))</f>
        <v/>
      </c>
      <c r="K1899" s="102" t="str">
        <f aca="false">IF(B1899="","",YEAR(B1899))</f>
        <v/>
      </c>
      <c r="L1899" s="102" t="str">
        <f aca="false">IF(N(E1899)=0,"",IF(COUNTIFS(AK_NAMA,C1899,AK_KAT,"KAS")+COUNTIFS(AK_NAMA,D1899,AK_KAT,"KAS")&lt;&gt;1,"",IF(COUNTIFS(AK_NAMA,C1899,AK_KAT,"KAS")=1,D1899,C1899)))</f>
        <v/>
      </c>
      <c r="M1899" s="103" t="n">
        <f aca="false">IF(L1899="",0,IF(L1899=D1899,E1899,-E1899))</f>
        <v>0</v>
      </c>
      <c r="N1899" s="102" t="str">
        <f aca="false">IF(L1899="","",IFERROR(INDEX(AK_BARIS,MATCH(L1899,AK_NAMA,0)),"?"))</f>
        <v/>
      </c>
      <c r="O1899" s="102" t="str">
        <f aca="false">IF(C1899="","",IFERROR(INDEX(AK_KEL,MATCH(C1899,AK_NAMA,0)),"?"))</f>
        <v/>
      </c>
      <c r="P1899" s="102" t="str">
        <f aca="false">IF(D1899="","",IFERROR(INDEX(AK_KEL,MATCH(D1899,AK_NAMA,0)),"?"))</f>
        <v/>
      </c>
      <c r="Q1899" s="102" t="n">
        <f aca="false">N(Q1898)+IF(AND(N(E1899)&lt;&gt;0,K1899=TAHUN,N(J1899)&lt;=BLN,OR(C1899=BB_AKUN,D1899=BB_AKUN)),1,0)</f>
        <v>877</v>
      </c>
      <c r="R1899" s="104" t="str">
        <f aca="false">IF(OR(C1899&amp;D1899="",N(E1899)=0),"",IF(OR(O1899="?",P1899="?"),"⚠ akun tidak dikenal",IF(C1899=D1899,"⚠ debet = kredit","")))</f>
        <v/>
      </c>
    </row>
    <row r="1900" customFormat="false" ht="15" hidden="false" customHeight="false" outlineLevel="0" collapsed="false">
      <c r="A1900" s="5"/>
      <c r="B1900" s="83"/>
      <c r="C1900" s="5"/>
      <c r="D1900" s="5"/>
      <c r="E1900" s="44"/>
      <c r="F1900" s="5"/>
      <c r="G1900" s="5"/>
      <c r="H1900" s="5"/>
      <c r="I1900" s="5"/>
      <c r="J1900" s="102" t="str">
        <f aca="false">IF(B1900="","",MONTH(B1900))</f>
        <v/>
      </c>
      <c r="K1900" s="102" t="str">
        <f aca="false">IF(B1900="","",YEAR(B1900))</f>
        <v/>
      </c>
      <c r="L1900" s="102" t="str">
        <f aca="false">IF(N(E1900)=0,"",IF(COUNTIFS(AK_NAMA,C1900,AK_KAT,"KAS")+COUNTIFS(AK_NAMA,D1900,AK_KAT,"KAS")&lt;&gt;1,"",IF(COUNTIFS(AK_NAMA,C1900,AK_KAT,"KAS")=1,D1900,C1900)))</f>
        <v/>
      </c>
      <c r="M1900" s="103" t="n">
        <f aca="false">IF(L1900="",0,IF(L1900=D1900,E1900,-E1900))</f>
        <v>0</v>
      </c>
      <c r="N1900" s="102" t="str">
        <f aca="false">IF(L1900="","",IFERROR(INDEX(AK_BARIS,MATCH(L1900,AK_NAMA,0)),"?"))</f>
        <v/>
      </c>
      <c r="O1900" s="102" t="str">
        <f aca="false">IF(C1900="","",IFERROR(INDEX(AK_KEL,MATCH(C1900,AK_NAMA,0)),"?"))</f>
        <v/>
      </c>
      <c r="P1900" s="102" t="str">
        <f aca="false">IF(D1900="","",IFERROR(INDEX(AK_KEL,MATCH(D1900,AK_NAMA,0)),"?"))</f>
        <v/>
      </c>
      <c r="Q1900" s="102" t="n">
        <f aca="false">N(Q1899)+IF(AND(N(E1900)&lt;&gt;0,K1900=TAHUN,N(J1900)&lt;=BLN,OR(C1900=BB_AKUN,D1900=BB_AKUN)),1,0)</f>
        <v>877</v>
      </c>
      <c r="R1900" s="104" t="str">
        <f aca="false">IF(OR(C1900&amp;D1900="",N(E1900)=0),"",IF(OR(O1900="?",P1900="?"),"⚠ akun tidak dikenal",IF(C1900=D1900,"⚠ debet = kredit","")))</f>
        <v/>
      </c>
    </row>
    <row r="1901" customFormat="false" ht="15" hidden="false" customHeight="false" outlineLevel="0" collapsed="false">
      <c r="A1901" s="5"/>
      <c r="B1901" s="83"/>
      <c r="C1901" s="5"/>
      <c r="D1901" s="5"/>
      <c r="E1901" s="44"/>
      <c r="F1901" s="5"/>
      <c r="G1901" s="5"/>
      <c r="H1901" s="5"/>
      <c r="I1901" s="5"/>
      <c r="J1901" s="102" t="str">
        <f aca="false">IF(B1901="","",MONTH(B1901))</f>
        <v/>
      </c>
      <c r="K1901" s="102" t="str">
        <f aca="false">IF(B1901="","",YEAR(B1901))</f>
        <v/>
      </c>
      <c r="L1901" s="102" t="str">
        <f aca="false">IF(N(E1901)=0,"",IF(COUNTIFS(AK_NAMA,C1901,AK_KAT,"KAS")+COUNTIFS(AK_NAMA,D1901,AK_KAT,"KAS")&lt;&gt;1,"",IF(COUNTIFS(AK_NAMA,C1901,AK_KAT,"KAS")=1,D1901,C1901)))</f>
        <v/>
      </c>
      <c r="M1901" s="103" t="n">
        <f aca="false">IF(L1901="",0,IF(L1901=D1901,E1901,-E1901))</f>
        <v>0</v>
      </c>
      <c r="N1901" s="102" t="str">
        <f aca="false">IF(L1901="","",IFERROR(INDEX(AK_BARIS,MATCH(L1901,AK_NAMA,0)),"?"))</f>
        <v/>
      </c>
      <c r="O1901" s="102" t="str">
        <f aca="false">IF(C1901="","",IFERROR(INDEX(AK_KEL,MATCH(C1901,AK_NAMA,0)),"?"))</f>
        <v/>
      </c>
      <c r="P1901" s="102" t="str">
        <f aca="false">IF(D1901="","",IFERROR(INDEX(AK_KEL,MATCH(D1901,AK_NAMA,0)),"?"))</f>
        <v/>
      </c>
      <c r="Q1901" s="102" t="n">
        <f aca="false">N(Q1900)+IF(AND(N(E1901)&lt;&gt;0,K1901=TAHUN,N(J1901)&lt;=BLN,OR(C1901=BB_AKUN,D1901=BB_AKUN)),1,0)</f>
        <v>877</v>
      </c>
      <c r="R1901" s="104" t="str">
        <f aca="false">IF(OR(C1901&amp;D1901="",N(E1901)=0),"",IF(OR(O1901="?",P1901="?"),"⚠ akun tidak dikenal",IF(C1901=D1901,"⚠ debet = kredit","")))</f>
        <v/>
      </c>
    </row>
    <row r="1902" customFormat="false" ht="15" hidden="false" customHeight="false" outlineLevel="0" collapsed="false">
      <c r="A1902" s="5"/>
      <c r="B1902" s="83"/>
      <c r="C1902" s="5"/>
      <c r="D1902" s="5"/>
      <c r="E1902" s="44"/>
      <c r="F1902" s="5"/>
      <c r="G1902" s="5"/>
      <c r="H1902" s="5"/>
      <c r="I1902" s="5"/>
      <c r="J1902" s="102" t="str">
        <f aca="false">IF(B1902="","",MONTH(B1902))</f>
        <v/>
      </c>
      <c r="K1902" s="102" t="str">
        <f aca="false">IF(B1902="","",YEAR(B1902))</f>
        <v/>
      </c>
      <c r="L1902" s="102" t="str">
        <f aca="false">IF(N(E1902)=0,"",IF(COUNTIFS(AK_NAMA,C1902,AK_KAT,"KAS")+COUNTIFS(AK_NAMA,D1902,AK_KAT,"KAS")&lt;&gt;1,"",IF(COUNTIFS(AK_NAMA,C1902,AK_KAT,"KAS")=1,D1902,C1902)))</f>
        <v/>
      </c>
      <c r="M1902" s="103" t="n">
        <f aca="false">IF(L1902="",0,IF(L1902=D1902,E1902,-E1902))</f>
        <v>0</v>
      </c>
      <c r="N1902" s="102" t="str">
        <f aca="false">IF(L1902="","",IFERROR(INDEX(AK_BARIS,MATCH(L1902,AK_NAMA,0)),"?"))</f>
        <v/>
      </c>
      <c r="O1902" s="102" t="str">
        <f aca="false">IF(C1902="","",IFERROR(INDEX(AK_KEL,MATCH(C1902,AK_NAMA,0)),"?"))</f>
        <v/>
      </c>
      <c r="P1902" s="102" t="str">
        <f aca="false">IF(D1902="","",IFERROR(INDEX(AK_KEL,MATCH(D1902,AK_NAMA,0)),"?"))</f>
        <v/>
      </c>
      <c r="Q1902" s="102" t="n">
        <f aca="false">N(Q1901)+IF(AND(N(E1902)&lt;&gt;0,K1902=TAHUN,N(J1902)&lt;=BLN,OR(C1902=BB_AKUN,D1902=BB_AKUN)),1,0)</f>
        <v>877</v>
      </c>
      <c r="R1902" s="104" t="str">
        <f aca="false">IF(OR(C1902&amp;D1902="",N(E1902)=0),"",IF(OR(O1902="?",P1902="?"),"⚠ akun tidak dikenal",IF(C1902=D1902,"⚠ debet = kredit","")))</f>
        <v/>
      </c>
    </row>
    <row r="1903" customFormat="false" ht="15" hidden="false" customHeight="false" outlineLevel="0" collapsed="false">
      <c r="A1903" s="5"/>
      <c r="B1903" s="83"/>
      <c r="C1903" s="5"/>
      <c r="D1903" s="5"/>
      <c r="E1903" s="44"/>
      <c r="F1903" s="5"/>
      <c r="G1903" s="5"/>
      <c r="H1903" s="5"/>
      <c r="I1903" s="5"/>
      <c r="J1903" s="102" t="str">
        <f aca="false">IF(B1903="","",MONTH(B1903))</f>
        <v/>
      </c>
      <c r="K1903" s="102" t="str">
        <f aca="false">IF(B1903="","",YEAR(B1903))</f>
        <v/>
      </c>
      <c r="L1903" s="102" t="str">
        <f aca="false">IF(N(E1903)=0,"",IF(COUNTIFS(AK_NAMA,C1903,AK_KAT,"KAS")+COUNTIFS(AK_NAMA,D1903,AK_KAT,"KAS")&lt;&gt;1,"",IF(COUNTIFS(AK_NAMA,C1903,AK_KAT,"KAS")=1,D1903,C1903)))</f>
        <v/>
      </c>
      <c r="M1903" s="103" t="n">
        <f aca="false">IF(L1903="",0,IF(L1903=D1903,E1903,-E1903))</f>
        <v>0</v>
      </c>
      <c r="N1903" s="102" t="str">
        <f aca="false">IF(L1903="","",IFERROR(INDEX(AK_BARIS,MATCH(L1903,AK_NAMA,0)),"?"))</f>
        <v/>
      </c>
      <c r="O1903" s="102" t="str">
        <f aca="false">IF(C1903="","",IFERROR(INDEX(AK_KEL,MATCH(C1903,AK_NAMA,0)),"?"))</f>
        <v/>
      </c>
      <c r="P1903" s="102" t="str">
        <f aca="false">IF(D1903="","",IFERROR(INDEX(AK_KEL,MATCH(D1903,AK_NAMA,0)),"?"))</f>
        <v/>
      </c>
      <c r="Q1903" s="102" t="n">
        <f aca="false">N(Q1902)+IF(AND(N(E1903)&lt;&gt;0,K1903=TAHUN,N(J1903)&lt;=BLN,OR(C1903=BB_AKUN,D1903=BB_AKUN)),1,0)</f>
        <v>877</v>
      </c>
      <c r="R1903" s="104" t="str">
        <f aca="false">IF(OR(C1903&amp;D1903="",N(E1903)=0),"",IF(OR(O1903="?",P1903="?"),"⚠ akun tidak dikenal",IF(C1903=D1903,"⚠ debet = kredit","")))</f>
        <v/>
      </c>
    </row>
    <row r="1904" customFormat="false" ht="15" hidden="false" customHeight="false" outlineLevel="0" collapsed="false">
      <c r="A1904" s="5"/>
      <c r="B1904" s="83"/>
      <c r="C1904" s="5"/>
      <c r="D1904" s="5"/>
      <c r="E1904" s="44"/>
      <c r="F1904" s="5"/>
      <c r="G1904" s="5"/>
      <c r="H1904" s="5"/>
      <c r="I1904" s="5"/>
      <c r="J1904" s="102" t="str">
        <f aca="false">IF(B1904="","",MONTH(B1904))</f>
        <v/>
      </c>
      <c r="K1904" s="102" t="str">
        <f aca="false">IF(B1904="","",YEAR(B1904))</f>
        <v/>
      </c>
      <c r="L1904" s="102" t="str">
        <f aca="false">IF(N(E1904)=0,"",IF(COUNTIFS(AK_NAMA,C1904,AK_KAT,"KAS")+COUNTIFS(AK_NAMA,D1904,AK_KAT,"KAS")&lt;&gt;1,"",IF(COUNTIFS(AK_NAMA,C1904,AK_KAT,"KAS")=1,D1904,C1904)))</f>
        <v/>
      </c>
      <c r="M1904" s="103" t="n">
        <f aca="false">IF(L1904="",0,IF(L1904=D1904,E1904,-E1904))</f>
        <v>0</v>
      </c>
      <c r="N1904" s="102" t="str">
        <f aca="false">IF(L1904="","",IFERROR(INDEX(AK_BARIS,MATCH(L1904,AK_NAMA,0)),"?"))</f>
        <v/>
      </c>
      <c r="O1904" s="102" t="str">
        <f aca="false">IF(C1904="","",IFERROR(INDEX(AK_KEL,MATCH(C1904,AK_NAMA,0)),"?"))</f>
        <v/>
      </c>
      <c r="P1904" s="102" t="str">
        <f aca="false">IF(D1904="","",IFERROR(INDEX(AK_KEL,MATCH(D1904,AK_NAMA,0)),"?"))</f>
        <v/>
      </c>
      <c r="Q1904" s="102" t="n">
        <f aca="false">N(Q1903)+IF(AND(N(E1904)&lt;&gt;0,K1904=TAHUN,N(J1904)&lt;=BLN,OR(C1904=BB_AKUN,D1904=BB_AKUN)),1,0)</f>
        <v>877</v>
      </c>
      <c r="R1904" s="104" t="str">
        <f aca="false">IF(OR(C1904&amp;D1904="",N(E1904)=0),"",IF(OR(O1904="?",P1904="?"),"⚠ akun tidak dikenal",IF(C1904=D1904,"⚠ debet = kredit","")))</f>
        <v/>
      </c>
    </row>
    <row r="1905" customFormat="false" ht="15" hidden="false" customHeight="false" outlineLevel="0" collapsed="false">
      <c r="A1905" s="5"/>
      <c r="B1905" s="83"/>
      <c r="C1905" s="5"/>
      <c r="D1905" s="5"/>
      <c r="E1905" s="44"/>
      <c r="F1905" s="5"/>
      <c r="G1905" s="5"/>
      <c r="H1905" s="5"/>
      <c r="I1905" s="5"/>
      <c r="J1905" s="102" t="str">
        <f aca="false">IF(B1905="","",MONTH(B1905))</f>
        <v/>
      </c>
      <c r="K1905" s="102" t="str">
        <f aca="false">IF(B1905="","",YEAR(B1905))</f>
        <v/>
      </c>
      <c r="L1905" s="102" t="str">
        <f aca="false">IF(N(E1905)=0,"",IF(COUNTIFS(AK_NAMA,C1905,AK_KAT,"KAS")+COUNTIFS(AK_NAMA,D1905,AK_KAT,"KAS")&lt;&gt;1,"",IF(COUNTIFS(AK_NAMA,C1905,AK_KAT,"KAS")=1,D1905,C1905)))</f>
        <v/>
      </c>
      <c r="M1905" s="103" t="n">
        <f aca="false">IF(L1905="",0,IF(L1905=D1905,E1905,-E1905))</f>
        <v>0</v>
      </c>
      <c r="N1905" s="102" t="str">
        <f aca="false">IF(L1905="","",IFERROR(INDEX(AK_BARIS,MATCH(L1905,AK_NAMA,0)),"?"))</f>
        <v/>
      </c>
      <c r="O1905" s="102" t="str">
        <f aca="false">IF(C1905="","",IFERROR(INDEX(AK_KEL,MATCH(C1905,AK_NAMA,0)),"?"))</f>
        <v/>
      </c>
      <c r="P1905" s="102" t="str">
        <f aca="false">IF(D1905="","",IFERROR(INDEX(AK_KEL,MATCH(D1905,AK_NAMA,0)),"?"))</f>
        <v/>
      </c>
      <c r="Q1905" s="102" t="n">
        <f aca="false">N(Q1904)+IF(AND(N(E1905)&lt;&gt;0,K1905=TAHUN,N(J1905)&lt;=BLN,OR(C1905=BB_AKUN,D1905=BB_AKUN)),1,0)</f>
        <v>877</v>
      </c>
      <c r="R1905" s="104" t="str">
        <f aca="false">IF(OR(C1905&amp;D1905="",N(E1905)=0),"",IF(OR(O1905="?",P1905="?"),"⚠ akun tidak dikenal",IF(C1905=D1905,"⚠ debet = kredit","")))</f>
        <v/>
      </c>
    </row>
    <row r="1906" customFormat="false" ht="15" hidden="false" customHeight="false" outlineLevel="0" collapsed="false">
      <c r="A1906" s="5"/>
      <c r="B1906" s="83"/>
      <c r="C1906" s="5"/>
      <c r="D1906" s="5"/>
      <c r="E1906" s="44"/>
      <c r="F1906" s="5"/>
      <c r="G1906" s="5"/>
      <c r="H1906" s="5"/>
      <c r="I1906" s="5"/>
      <c r="J1906" s="102" t="str">
        <f aca="false">IF(B1906="","",MONTH(B1906))</f>
        <v/>
      </c>
      <c r="K1906" s="102" t="str">
        <f aca="false">IF(B1906="","",YEAR(B1906))</f>
        <v/>
      </c>
      <c r="L1906" s="102" t="str">
        <f aca="false">IF(N(E1906)=0,"",IF(COUNTIFS(AK_NAMA,C1906,AK_KAT,"KAS")+COUNTIFS(AK_NAMA,D1906,AK_KAT,"KAS")&lt;&gt;1,"",IF(COUNTIFS(AK_NAMA,C1906,AK_KAT,"KAS")=1,D1906,C1906)))</f>
        <v/>
      </c>
      <c r="M1906" s="103" t="n">
        <f aca="false">IF(L1906="",0,IF(L1906=D1906,E1906,-E1906))</f>
        <v>0</v>
      </c>
      <c r="N1906" s="102" t="str">
        <f aca="false">IF(L1906="","",IFERROR(INDEX(AK_BARIS,MATCH(L1906,AK_NAMA,0)),"?"))</f>
        <v/>
      </c>
      <c r="O1906" s="102" t="str">
        <f aca="false">IF(C1906="","",IFERROR(INDEX(AK_KEL,MATCH(C1906,AK_NAMA,0)),"?"))</f>
        <v/>
      </c>
      <c r="P1906" s="102" t="str">
        <f aca="false">IF(D1906="","",IFERROR(INDEX(AK_KEL,MATCH(D1906,AK_NAMA,0)),"?"))</f>
        <v/>
      </c>
      <c r="Q1906" s="102" t="n">
        <f aca="false">N(Q1905)+IF(AND(N(E1906)&lt;&gt;0,K1906=TAHUN,N(J1906)&lt;=BLN,OR(C1906=BB_AKUN,D1906=BB_AKUN)),1,0)</f>
        <v>877</v>
      </c>
      <c r="R1906" s="104" t="str">
        <f aca="false">IF(OR(C1906&amp;D1906="",N(E1906)=0),"",IF(OR(O1906="?",P1906="?"),"⚠ akun tidak dikenal",IF(C1906=D1906,"⚠ debet = kredit","")))</f>
        <v/>
      </c>
    </row>
    <row r="1907" customFormat="false" ht="15" hidden="false" customHeight="false" outlineLevel="0" collapsed="false">
      <c r="A1907" s="5"/>
      <c r="B1907" s="83"/>
      <c r="C1907" s="5"/>
      <c r="D1907" s="5"/>
      <c r="E1907" s="44"/>
      <c r="F1907" s="5"/>
      <c r="G1907" s="5"/>
      <c r="H1907" s="5"/>
      <c r="I1907" s="5"/>
      <c r="J1907" s="102" t="str">
        <f aca="false">IF(B1907="","",MONTH(B1907))</f>
        <v/>
      </c>
      <c r="K1907" s="102" t="str">
        <f aca="false">IF(B1907="","",YEAR(B1907))</f>
        <v/>
      </c>
      <c r="L1907" s="102" t="str">
        <f aca="false">IF(N(E1907)=0,"",IF(COUNTIFS(AK_NAMA,C1907,AK_KAT,"KAS")+COUNTIFS(AK_NAMA,D1907,AK_KAT,"KAS")&lt;&gt;1,"",IF(COUNTIFS(AK_NAMA,C1907,AK_KAT,"KAS")=1,D1907,C1907)))</f>
        <v/>
      </c>
      <c r="M1907" s="103" t="n">
        <f aca="false">IF(L1907="",0,IF(L1907=D1907,E1907,-E1907))</f>
        <v>0</v>
      </c>
      <c r="N1907" s="102" t="str">
        <f aca="false">IF(L1907="","",IFERROR(INDEX(AK_BARIS,MATCH(L1907,AK_NAMA,0)),"?"))</f>
        <v/>
      </c>
      <c r="O1907" s="102" t="str">
        <f aca="false">IF(C1907="","",IFERROR(INDEX(AK_KEL,MATCH(C1907,AK_NAMA,0)),"?"))</f>
        <v/>
      </c>
      <c r="P1907" s="102" t="str">
        <f aca="false">IF(D1907="","",IFERROR(INDEX(AK_KEL,MATCH(D1907,AK_NAMA,0)),"?"))</f>
        <v/>
      </c>
      <c r="Q1907" s="102" t="n">
        <f aca="false">N(Q1906)+IF(AND(N(E1907)&lt;&gt;0,K1907=TAHUN,N(J1907)&lt;=BLN,OR(C1907=BB_AKUN,D1907=BB_AKUN)),1,0)</f>
        <v>877</v>
      </c>
      <c r="R1907" s="104" t="str">
        <f aca="false">IF(OR(C1907&amp;D1907="",N(E1907)=0),"",IF(OR(O1907="?",P1907="?"),"⚠ akun tidak dikenal",IF(C1907=D1907,"⚠ debet = kredit","")))</f>
        <v/>
      </c>
    </row>
    <row r="1908" customFormat="false" ht="15" hidden="false" customHeight="false" outlineLevel="0" collapsed="false">
      <c r="A1908" s="5"/>
      <c r="B1908" s="83"/>
      <c r="C1908" s="5"/>
      <c r="D1908" s="5"/>
      <c r="E1908" s="44"/>
      <c r="F1908" s="5"/>
      <c r="G1908" s="5"/>
      <c r="H1908" s="5"/>
      <c r="I1908" s="5"/>
      <c r="J1908" s="102" t="str">
        <f aca="false">IF(B1908="","",MONTH(B1908))</f>
        <v/>
      </c>
      <c r="K1908" s="102" t="str">
        <f aca="false">IF(B1908="","",YEAR(B1908))</f>
        <v/>
      </c>
      <c r="L1908" s="102" t="str">
        <f aca="false">IF(N(E1908)=0,"",IF(COUNTIFS(AK_NAMA,C1908,AK_KAT,"KAS")+COUNTIFS(AK_NAMA,D1908,AK_KAT,"KAS")&lt;&gt;1,"",IF(COUNTIFS(AK_NAMA,C1908,AK_KAT,"KAS")=1,D1908,C1908)))</f>
        <v/>
      </c>
      <c r="M1908" s="103" t="n">
        <f aca="false">IF(L1908="",0,IF(L1908=D1908,E1908,-E1908))</f>
        <v>0</v>
      </c>
      <c r="N1908" s="102" t="str">
        <f aca="false">IF(L1908="","",IFERROR(INDEX(AK_BARIS,MATCH(L1908,AK_NAMA,0)),"?"))</f>
        <v/>
      </c>
      <c r="O1908" s="102" t="str">
        <f aca="false">IF(C1908="","",IFERROR(INDEX(AK_KEL,MATCH(C1908,AK_NAMA,0)),"?"))</f>
        <v/>
      </c>
      <c r="P1908" s="102" t="str">
        <f aca="false">IF(D1908="","",IFERROR(INDEX(AK_KEL,MATCH(D1908,AK_NAMA,0)),"?"))</f>
        <v/>
      </c>
      <c r="Q1908" s="102" t="n">
        <f aca="false">N(Q1907)+IF(AND(N(E1908)&lt;&gt;0,K1908=TAHUN,N(J1908)&lt;=BLN,OR(C1908=BB_AKUN,D1908=BB_AKUN)),1,0)</f>
        <v>877</v>
      </c>
      <c r="R1908" s="104" t="str">
        <f aca="false">IF(OR(C1908&amp;D1908="",N(E1908)=0),"",IF(OR(O1908="?",P1908="?"),"⚠ akun tidak dikenal",IF(C1908=D1908,"⚠ debet = kredit","")))</f>
        <v/>
      </c>
    </row>
    <row r="1909" customFormat="false" ht="15" hidden="false" customHeight="false" outlineLevel="0" collapsed="false">
      <c r="A1909" s="5"/>
      <c r="B1909" s="83"/>
      <c r="C1909" s="5"/>
      <c r="D1909" s="5"/>
      <c r="E1909" s="44"/>
      <c r="F1909" s="5"/>
      <c r="G1909" s="5"/>
      <c r="H1909" s="5"/>
      <c r="I1909" s="5"/>
      <c r="J1909" s="102" t="str">
        <f aca="false">IF(B1909="","",MONTH(B1909))</f>
        <v/>
      </c>
      <c r="K1909" s="102" t="str">
        <f aca="false">IF(B1909="","",YEAR(B1909))</f>
        <v/>
      </c>
      <c r="L1909" s="102" t="str">
        <f aca="false">IF(N(E1909)=0,"",IF(COUNTIFS(AK_NAMA,C1909,AK_KAT,"KAS")+COUNTIFS(AK_NAMA,D1909,AK_KAT,"KAS")&lt;&gt;1,"",IF(COUNTIFS(AK_NAMA,C1909,AK_KAT,"KAS")=1,D1909,C1909)))</f>
        <v/>
      </c>
      <c r="M1909" s="103" t="n">
        <f aca="false">IF(L1909="",0,IF(L1909=D1909,E1909,-E1909))</f>
        <v>0</v>
      </c>
      <c r="N1909" s="102" t="str">
        <f aca="false">IF(L1909="","",IFERROR(INDEX(AK_BARIS,MATCH(L1909,AK_NAMA,0)),"?"))</f>
        <v/>
      </c>
      <c r="O1909" s="102" t="str">
        <f aca="false">IF(C1909="","",IFERROR(INDEX(AK_KEL,MATCH(C1909,AK_NAMA,0)),"?"))</f>
        <v/>
      </c>
      <c r="P1909" s="102" t="str">
        <f aca="false">IF(D1909="","",IFERROR(INDEX(AK_KEL,MATCH(D1909,AK_NAMA,0)),"?"))</f>
        <v/>
      </c>
      <c r="Q1909" s="102" t="n">
        <f aca="false">N(Q1908)+IF(AND(N(E1909)&lt;&gt;0,K1909=TAHUN,N(J1909)&lt;=BLN,OR(C1909=BB_AKUN,D1909=BB_AKUN)),1,0)</f>
        <v>877</v>
      </c>
      <c r="R1909" s="104" t="str">
        <f aca="false">IF(OR(C1909&amp;D1909="",N(E1909)=0),"",IF(OR(O1909="?",P1909="?"),"⚠ akun tidak dikenal",IF(C1909=D1909,"⚠ debet = kredit","")))</f>
        <v/>
      </c>
    </row>
    <row r="1910" customFormat="false" ht="15" hidden="false" customHeight="false" outlineLevel="0" collapsed="false">
      <c r="A1910" s="5"/>
      <c r="B1910" s="83"/>
      <c r="C1910" s="5"/>
      <c r="D1910" s="5"/>
      <c r="E1910" s="44"/>
      <c r="F1910" s="5"/>
      <c r="G1910" s="5"/>
      <c r="H1910" s="5"/>
      <c r="I1910" s="5"/>
      <c r="J1910" s="102" t="str">
        <f aca="false">IF(B1910="","",MONTH(B1910))</f>
        <v/>
      </c>
      <c r="K1910" s="102" t="str">
        <f aca="false">IF(B1910="","",YEAR(B1910))</f>
        <v/>
      </c>
      <c r="L1910" s="102" t="str">
        <f aca="false">IF(N(E1910)=0,"",IF(COUNTIFS(AK_NAMA,C1910,AK_KAT,"KAS")+COUNTIFS(AK_NAMA,D1910,AK_KAT,"KAS")&lt;&gt;1,"",IF(COUNTIFS(AK_NAMA,C1910,AK_KAT,"KAS")=1,D1910,C1910)))</f>
        <v/>
      </c>
      <c r="M1910" s="103" t="n">
        <f aca="false">IF(L1910="",0,IF(L1910=D1910,E1910,-E1910))</f>
        <v>0</v>
      </c>
      <c r="N1910" s="102" t="str">
        <f aca="false">IF(L1910="","",IFERROR(INDEX(AK_BARIS,MATCH(L1910,AK_NAMA,0)),"?"))</f>
        <v/>
      </c>
      <c r="O1910" s="102" t="str">
        <f aca="false">IF(C1910="","",IFERROR(INDEX(AK_KEL,MATCH(C1910,AK_NAMA,0)),"?"))</f>
        <v/>
      </c>
      <c r="P1910" s="102" t="str">
        <f aca="false">IF(D1910="","",IFERROR(INDEX(AK_KEL,MATCH(D1910,AK_NAMA,0)),"?"))</f>
        <v/>
      </c>
      <c r="Q1910" s="102" t="n">
        <f aca="false">N(Q1909)+IF(AND(N(E1910)&lt;&gt;0,K1910=TAHUN,N(J1910)&lt;=BLN,OR(C1910=BB_AKUN,D1910=BB_AKUN)),1,0)</f>
        <v>877</v>
      </c>
      <c r="R1910" s="104" t="str">
        <f aca="false">IF(OR(C1910&amp;D1910="",N(E1910)=0),"",IF(OR(O1910="?",P1910="?"),"⚠ akun tidak dikenal",IF(C1910=D1910,"⚠ debet = kredit","")))</f>
        <v/>
      </c>
    </row>
    <row r="1911" customFormat="false" ht="15" hidden="false" customHeight="false" outlineLevel="0" collapsed="false">
      <c r="A1911" s="5"/>
      <c r="B1911" s="83"/>
      <c r="C1911" s="5"/>
      <c r="D1911" s="5"/>
      <c r="E1911" s="44"/>
      <c r="F1911" s="5"/>
      <c r="G1911" s="5"/>
      <c r="H1911" s="5"/>
      <c r="I1911" s="5"/>
      <c r="J1911" s="102" t="str">
        <f aca="false">IF(B1911="","",MONTH(B1911))</f>
        <v/>
      </c>
      <c r="K1911" s="102" t="str">
        <f aca="false">IF(B1911="","",YEAR(B1911))</f>
        <v/>
      </c>
      <c r="L1911" s="102" t="str">
        <f aca="false">IF(N(E1911)=0,"",IF(COUNTIFS(AK_NAMA,C1911,AK_KAT,"KAS")+COUNTIFS(AK_NAMA,D1911,AK_KAT,"KAS")&lt;&gt;1,"",IF(COUNTIFS(AK_NAMA,C1911,AK_KAT,"KAS")=1,D1911,C1911)))</f>
        <v/>
      </c>
      <c r="M1911" s="103" t="n">
        <f aca="false">IF(L1911="",0,IF(L1911=D1911,E1911,-E1911))</f>
        <v>0</v>
      </c>
      <c r="N1911" s="102" t="str">
        <f aca="false">IF(L1911="","",IFERROR(INDEX(AK_BARIS,MATCH(L1911,AK_NAMA,0)),"?"))</f>
        <v/>
      </c>
      <c r="O1911" s="102" t="str">
        <f aca="false">IF(C1911="","",IFERROR(INDEX(AK_KEL,MATCH(C1911,AK_NAMA,0)),"?"))</f>
        <v/>
      </c>
      <c r="P1911" s="102" t="str">
        <f aca="false">IF(D1911="","",IFERROR(INDEX(AK_KEL,MATCH(D1911,AK_NAMA,0)),"?"))</f>
        <v/>
      </c>
      <c r="Q1911" s="102" t="n">
        <f aca="false">N(Q1910)+IF(AND(N(E1911)&lt;&gt;0,K1911=TAHUN,N(J1911)&lt;=BLN,OR(C1911=BB_AKUN,D1911=BB_AKUN)),1,0)</f>
        <v>877</v>
      </c>
      <c r="R1911" s="104" t="str">
        <f aca="false">IF(OR(C1911&amp;D1911="",N(E1911)=0),"",IF(OR(O1911="?",P1911="?"),"⚠ akun tidak dikenal",IF(C1911=D1911,"⚠ debet = kredit","")))</f>
        <v/>
      </c>
    </row>
    <row r="1912" customFormat="false" ht="15" hidden="false" customHeight="false" outlineLevel="0" collapsed="false">
      <c r="A1912" s="5"/>
      <c r="B1912" s="83"/>
      <c r="C1912" s="5"/>
      <c r="D1912" s="5"/>
      <c r="E1912" s="44"/>
      <c r="F1912" s="5"/>
      <c r="G1912" s="5"/>
      <c r="H1912" s="5"/>
      <c r="I1912" s="5"/>
      <c r="J1912" s="102" t="str">
        <f aca="false">IF(B1912="","",MONTH(B1912))</f>
        <v/>
      </c>
      <c r="K1912" s="102" t="str">
        <f aca="false">IF(B1912="","",YEAR(B1912))</f>
        <v/>
      </c>
      <c r="L1912" s="102" t="str">
        <f aca="false">IF(N(E1912)=0,"",IF(COUNTIFS(AK_NAMA,C1912,AK_KAT,"KAS")+COUNTIFS(AK_NAMA,D1912,AK_KAT,"KAS")&lt;&gt;1,"",IF(COUNTIFS(AK_NAMA,C1912,AK_KAT,"KAS")=1,D1912,C1912)))</f>
        <v/>
      </c>
      <c r="M1912" s="103" t="n">
        <f aca="false">IF(L1912="",0,IF(L1912=D1912,E1912,-E1912))</f>
        <v>0</v>
      </c>
      <c r="N1912" s="102" t="str">
        <f aca="false">IF(L1912="","",IFERROR(INDEX(AK_BARIS,MATCH(L1912,AK_NAMA,0)),"?"))</f>
        <v/>
      </c>
      <c r="O1912" s="102" t="str">
        <f aca="false">IF(C1912="","",IFERROR(INDEX(AK_KEL,MATCH(C1912,AK_NAMA,0)),"?"))</f>
        <v/>
      </c>
      <c r="P1912" s="102" t="str">
        <f aca="false">IF(D1912="","",IFERROR(INDEX(AK_KEL,MATCH(D1912,AK_NAMA,0)),"?"))</f>
        <v/>
      </c>
      <c r="Q1912" s="102" t="n">
        <f aca="false">N(Q1911)+IF(AND(N(E1912)&lt;&gt;0,K1912=TAHUN,N(J1912)&lt;=BLN,OR(C1912=BB_AKUN,D1912=BB_AKUN)),1,0)</f>
        <v>877</v>
      </c>
      <c r="R1912" s="104" t="str">
        <f aca="false">IF(OR(C1912&amp;D1912="",N(E1912)=0),"",IF(OR(O1912="?",P1912="?"),"⚠ akun tidak dikenal",IF(C1912=D1912,"⚠ debet = kredit","")))</f>
        <v/>
      </c>
    </row>
    <row r="1913" customFormat="false" ht="15" hidden="false" customHeight="false" outlineLevel="0" collapsed="false">
      <c r="A1913" s="5"/>
      <c r="B1913" s="83"/>
      <c r="C1913" s="5"/>
      <c r="D1913" s="5"/>
      <c r="E1913" s="44"/>
      <c r="F1913" s="5"/>
      <c r="G1913" s="5"/>
      <c r="H1913" s="5"/>
      <c r="I1913" s="5"/>
      <c r="J1913" s="102" t="str">
        <f aca="false">IF(B1913="","",MONTH(B1913))</f>
        <v/>
      </c>
      <c r="K1913" s="102" t="str">
        <f aca="false">IF(B1913="","",YEAR(B1913))</f>
        <v/>
      </c>
      <c r="L1913" s="102" t="str">
        <f aca="false">IF(N(E1913)=0,"",IF(COUNTIFS(AK_NAMA,C1913,AK_KAT,"KAS")+COUNTIFS(AK_NAMA,D1913,AK_KAT,"KAS")&lt;&gt;1,"",IF(COUNTIFS(AK_NAMA,C1913,AK_KAT,"KAS")=1,D1913,C1913)))</f>
        <v/>
      </c>
      <c r="M1913" s="103" t="n">
        <f aca="false">IF(L1913="",0,IF(L1913=D1913,E1913,-E1913))</f>
        <v>0</v>
      </c>
      <c r="N1913" s="102" t="str">
        <f aca="false">IF(L1913="","",IFERROR(INDEX(AK_BARIS,MATCH(L1913,AK_NAMA,0)),"?"))</f>
        <v/>
      </c>
      <c r="O1913" s="102" t="str">
        <f aca="false">IF(C1913="","",IFERROR(INDEX(AK_KEL,MATCH(C1913,AK_NAMA,0)),"?"))</f>
        <v/>
      </c>
      <c r="P1913" s="102" t="str">
        <f aca="false">IF(D1913="","",IFERROR(INDEX(AK_KEL,MATCH(D1913,AK_NAMA,0)),"?"))</f>
        <v/>
      </c>
      <c r="Q1913" s="102" t="n">
        <f aca="false">N(Q1912)+IF(AND(N(E1913)&lt;&gt;0,K1913=TAHUN,N(J1913)&lt;=BLN,OR(C1913=BB_AKUN,D1913=BB_AKUN)),1,0)</f>
        <v>877</v>
      </c>
      <c r="R1913" s="104" t="str">
        <f aca="false">IF(OR(C1913&amp;D1913="",N(E1913)=0),"",IF(OR(O1913="?",P1913="?"),"⚠ akun tidak dikenal",IF(C1913=D1913,"⚠ debet = kredit","")))</f>
        <v/>
      </c>
    </row>
    <row r="1914" customFormat="false" ht="15" hidden="false" customHeight="false" outlineLevel="0" collapsed="false">
      <c r="A1914" s="5"/>
      <c r="B1914" s="83"/>
      <c r="C1914" s="5"/>
      <c r="D1914" s="5"/>
      <c r="E1914" s="44"/>
      <c r="F1914" s="5"/>
      <c r="G1914" s="5"/>
      <c r="H1914" s="5"/>
      <c r="I1914" s="5"/>
      <c r="J1914" s="102" t="str">
        <f aca="false">IF(B1914="","",MONTH(B1914))</f>
        <v/>
      </c>
      <c r="K1914" s="102" t="str">
        <f aca="false">IF(B1914="","",YEAR(B1914))</f>
        <v/>
      </c>
      <c r="L1914" s="102" t="str">
        <f aca="false">IF(N(E1914)=0,"",IF(COUNTIFS(AK_NAMA,C1914,AK_KAT,"KAS")+COUNTIFS(AK_NAMA,D1914,AK_KAT,"KAS")&lt;&gt;1,"",IF(COUNTIFS(AK_NAMA,C1914,AK_KAT,"KAS")=1,D1914,C1914)))</f>
        <v/>
      </c>
      <c r="M1914" s="103" t="n">
        <f aca="false">IF(L1914="",0,IF(L1914=D1914,E1914,-E1914))</f>
        <v>0</v>
      </c>
      <c r="N1914" s="102" t="str">
        <f aca="false">IF(L1914="","",IFERROR(INDEX(AK_BARIS,MATCH(L1914,AK_NAMA,0)),"?"))</f>
        <v/>
      </c>
      <c r="O1914" s="102" t="str">
        <f aca="false">IF(C1914="","",IFERROR(INDEX(AK_KEL,MATCH(C1914,AK_NAMA,0)),"?"))</f>
        <v/>
      </c>
      <c r="P1914" s="102" t="str">
        <f aca="false">IF(D1914="","",IFERROR(INDEX(AK_KEL,MATCH(D1914,AK_NAMA,0)),"?"))</f>
        <v/>
      </c>
      <c r="Q1914" s="102" t="n">
        <f aca="false">N(Q1913)+IF(AND(N(E1914)&lt;&gt;0,K1914=TAHUN,N(J1914)&lt;=BLN,OR(C1914=BB_AKUN,D1914=BB_AKUN)),1,0)</f>
        <v>877</v>
      </c>
      <c r="R1914" s="104" t="str">
        <f aca="false">IF(OR(C1914&amp;D1914="",N(E1914)=0),"",IF(OR(O1914="?",P1914="?"),"⚠ akun tidak dikenal",IF(C1914=D1914,"⚠ debet = kredit","")))</f>
        <v/>
      </c>
    </row>
    <row r="1915" customFormat="false" ht="15" hidden="false" customHeight="false" outlineLevel="0" collapsed="false">
      <c r="A1915" s="5"/>
      <c r="B1915" s="83"/>
      <c r="C1915" s="5"/>
      <c r="D1915" s="5"/>
      <c r="E1915" s="44"/>
      <c r="F1915" s="5"/>
      <c r="G1915" s="5"/>
      <c r="H1915" s="5"/>
      <c r="I1915" s="5"/>
      <c r="J1915" s="102" t="str">
        <f aca="false">IF(B1915="","",MONTH(B1915))</f>
        <v/>
      </c>
      <c r="K1915" s="102" t="str">
        <f aca="false">IF(B1915="","",YEAR(B1915))</f>
        <v/>
      </c>
      <c r="L1915" s="102" t="str">
        <f aca="false">IF(N(E1915)=0,"",IF(COUNTIFS(AK_NAMA,C1915,AK_KAT,"KAS")+COUNTIFS(AK_NAMA,D1915,AK_KAT,"KAS")&lt;&gt;1,"",IF(COUNTIFS(AK_NAMA,C1915,AK_KAT,"KAS")=1,D1915,C1915)))</f>
        <v/>
      </c>
      <c r="M1915" s="103" t="n">
        <f aca="false">IF(L1915="",0,IF(L1915=D1915,E1915,-E1915))</f>
        <v>0</v>
      </c>
      <c r="N1915" s="102" t="str">
        <f aca="false">IF(L1915="","",IFERROR(INDEX(AK_BARIS,MATCH(L1915,AK_NAMA,0)),"?"))</f>
        <v/>
      </c>
      <c r="O1915" s="102" t="str">
        <f aca="false">IF(C1915="","",IFERROR(INDEX(AK_KEL,MATCH(C1915,AK_NAMA,0)),"?"))</f>
        <v/>
      </c>
      <c r="P1915" s="102" t="str">
        <f aca="false">IF(D1915="","",IFERROR(INDEX(AK_KEL,MATCH(D1915,AK_NAMA,0)),"?"))</f>
        <v/>
      </c>
      <c r="Q1915" s="102" t="n">
        <f aca="false">N(Q1914)+IF(AND(N(E1915)&lt;&gt;0,K1915=TAHUN,N(J1915)&lt;=BLN,OR(C1915=BB_AKUN,D1915=BB_AKUN)),1,0)</f>
        <v>877</v>
      </c>
      <c r="R1915" s="104" t="str">
        <f aca="false">IF(OR(C1915&amp;D1915="",N(E1915)=0),"",IF(OR(O1915="?",P1915="?"),"⚠ akun tidak dikenal",IF(C1915=D1915,"⚠ debet = kredit","")))</f>
        <v/>
      </c>
    </row>
    <row r="1916" customFormat="false" ht="15" hidden="false" customHeight="false" outlineLevel="0" collapsed="false">
      <c r="A1916" s="5"/>
      <c r="B1916" s="83"/>
      <c r="C1916" s="5"/>
      <c r="D1916" s="5"/>
      <c r="E1916" s="44"/>
      <c r="F1916" s="5"/>
      <c r="G1916" s="5"/>
      <c r="H1916" s="5"/>
      <c r="I1916" s="5"/>
      <c r="J1916" s="102" t="str">
        <f aca="false">IF(B1916="","",MONTH(B1916))</f>
        <v/>
      </c>
      <c r="K1916" s="102" t="str">
        <f aca="false">IF(B1916="","",YEAR(B1916))</f>
        <v/>
      </c>
      <c r="L1916" s="102" t="str">
        <f aca="false">IF(N(E1916)=0,"",IF(COUNTIFS(AK_NAMA,C1916,AK_KAT,"KAS")+COUNTIFS(AK_NAMA,D1916,AK_KAT,"KAS")&lt;&gt;1,"",IF(COUNTIFS(AK_NAMA,C1916,AK_KAT,"KAS")=1,D1916,C1916)))</f>
        <v/>
      </c>
      <c r="M1916" s="103" t="n">
        <f aca="false">IF(L1916="",0,IF(L1916=D1916,E1916,-E1916))</f>
        <v>0</v>
      </c>
      <c r="N1916" s="102" t="str">
        <f aca="false">IF(L1916="","",IFERROR(INDEX(AK_BARIS,MATCH(L1916,AK_NAMA,0)),"?"))</f>
        <v/>
      </c>
      <c r="O1916" s="102" t="str">
        <f aca="false">IF(C1916="","",IFERROR(INDEX(AK_KEL,MATCH(C1916,AK_NAMA,0)),"?"))</f>
        <v/>
      </c>
      <c r="P1916" s="102" t="str">
        <f aca="false">IF(D1916="","",IFERROR(INDEX(AK_KEL,MATCH(D1916,AK_NAMA,0)),"?"))</f>
        <v/>
      </c>
      <c r="Q1916" s="102" t="n">
        <f aca="false">N(Q1915)+IF(AND(N(E1916)&lt;&gt;0,K1916=TAHUN,N(J1916)&lt;=BLN,OR(C1916=BB_AKUN,D1916=BB_AKUN)),1,0)</f>
        <v>877</v>
      </c>
      <c r="R1916" s="104" t="str">
        <f aca="false">IF(OR(C1916&amp;D1916="",N(E1916)=0),"",IF(OR(O1916="?",P1916="?"),"⚠ akun tidak dikenal",IF(C1916=D1916,"⚠ debet = kredit","")))</f>
        <v/>
      </c>
    </row>
    <row r="1917" customFormat="false" ht="15" hidden="false" customHeight="false" outlineLevel="0" collapsed="false">
      <c r="A1917" s="5"/>
      <c r="B1917" s="83"/>
      <c r="C1917" s="5"/>
      <c r="D1917" s="5"/>
      <c r="E1917" s="44"/>
      <c r="F1917" s="5"/>
      <c r="G1917" s="5"/>
      <c r="H1917" s="5"/>
      <c r="I1917" s="5"/>
      <c r="J1917" s="102" t="str">
        <f aca="false">IF(B1917="","",MONTH(B1917))</f>
        <v/>
      </c>
      <c r="K1917" s="102" t="str">
        <f aca="false">IF(B1917="","",YEAR(B1917))</f>
        <v/>
      </c>
      <c r="L1917" s="102" t="str">
        <f aca="false">IF(N(E1917)=0,"",IF(COUNTIFS(AK_NAMA,C1917,AK_KAT,"KAS")+COUNTIFS(AK_NAMA,D1917,AK_KAT,"KAS")&lt;&gt;1,"",IF(COUNTIFS(AK_NAMA,C1917,AK_KAT,"KAS")=1,D1917,C1917)))</f>
        <v/>
      </c>
      <c r="M1917" s="103" t="n">
        <f aca="false">IF(L1917="",0,IF(L1917=D1917,E1917,-E1917))</f>
        <v>0</v>
      </c>
      <c r="N1917" s="102" t="str">
        <f aca="false">IF(L1917="","",IFERROR(INDEX(AK_BARIS,MATCH(L1917,AK_NAMA,0)),"?"))</f>
        <v/>
      </c>
      <c r="O1917" s="102" t="str">
        <f aca="false">IF(C1917="","",IFERROR(INDEX(AK_KEL,MATCH(C1917,AK_NAMA,0)),"?"))</f>
        <v/>
      </c>
      <c r="P1917" s="102" t="str">
        <f aca="false">IF(D1917="","",IFERROR(INDEX(AK_KEL,MATCH(D1917,AK_NAMA,0)),"?"))</f>
        <v/>
      </c>
      <c r="Q1917" s="102" t="n">
        <f aca="false">N(Q1916)+IF(AND(N(E1917)&lt;&gt;0,K1917=TAHUN,N(J1917)&lt;=BLN,OR(C1917=BB_AKUN,D1917=BB_AKUN)),1,0)</f>
        <v>877</v>
      </c>
      <c r="R1917" s="104" t="str">
        <f aca="false">IF(OR(C1917&amp;D1917="",N(E1917)=0),"",IF(OR(O1917="?",P1917="?"),"⚠ akun tidak dikenal",IF(C1917=D1917,"⚠ debet = kredit","")))</f>
        <v/>
      </c>
    </row>
    <row r="1918" customFormat="false" ht="15" hidden="false" customHeight="false" outlineLevel="0" collapsed="false">
      <c r="A1918" s="5"/>
      <c r="B1918" s="83"/>
      <c r="C1918" s="5"/>
      <c r="D1918" s="5"/>
      <c r="E1918" s="44"/>
      <c r="F1918" s="5"/>
      <c r="G1918" s="5"/>
      <c r="H1918" s="5"/>
      <c r="I1918" s="5"/>
      <c r="J1918" s="102" t="str">
        <f aca="false">IF(B1918="","",MONTH(B1918))</f>
        <v/>
      </c>
      <c r="K1918" s="102" t="str">
        <f aca="false">IF(B1918="","",YEAR(B1918))</f>
        <v/>
      </c>
      <c r="L1918" s="102" t="str">
        <f aca="false">IF(N(E1918)=0,"",IF(COUNTIFS(AK_NAMA,C1918,AK_KAT,"KAS")+COUNTIFS(AK_NAMA,D1918,AK_KAT,"KAS")&lt;&gt;1,"",IF(COUNTIFS(AK_NAMA,C1918,AK_KAT,"KAS")=1,D1918,C1918)))</f>
        <v/>
      </c>
      <c r="M1918" s="103" t="n">
        <f aca="false">IF(L1918="",0,IF(L1918=D1918,E1918,-E1918))</f>
        <v>0</v>
      </c>
      <c r="N1918" s="102" t="str">
        <f aca="false">IF(L1918="","",IFERROR(INDEX(AK_BARIS,MATCH(L1918,AK_NAMA,0)),"?"))</f>
        <v/>
      </c>
      <c r="O1918" s="102" t="str">
        <f aca="false">IF(C1918="","",IFERROR(INDEX(AK_KEL,MATCH(C1918,AK_NAMA,0)),"?"))</f>
        <v/>
      </c>
      <c r="P1918" s="102" t="str">
        <f aca="false">IF(D1918="","",IFERROR(INDEX(AK_KEL,MATCH(D1918,AK_NAMA,0)),"?"))</f>
        <v/>
      </c>
      <c r="Q1918" s="102" t="n">
        <f aca="false">N(Q1917)+IF(AND(N(E1918)&lt;&gt;0,K1918=TAHUN,N(J1918)&lt;=BLN,OR(C1918=BB_AKUN,D1918=BB_AKUN)),1,0)</f>
        <v>877</v>
      </c>
      <c r="R1918" s="104" t="str">
        <f aca="false">IF(OR(C1918&amp;D1918="",N(E1918)=0),"",IF(OR(O1918="?",P1918="?"),"⚠ akun tidak dikenal",IF(C1918=D1918,"⚠ debet = kredit","")))</f>
        <v/>
      </c>
    </row>
    <row r="1919" customFormat="false" ht="15" hidden="false" customHeight="false" outlineLevel="0" collapsed="false">
      <c r="A1919" s="5"/>
      <c r="B1919" s="83"/>
      <c r="C1919" s="5"/>
      <c r="D1919" s="5"/>
      <c r="E1919" s="44"/>
      <c r="F1919" s="5"/>
      <c r="G1919" s="5"/>
      <c r="H1919" s="5"/>
      <c r="I1919" s="5"/>
      <c r="J1919" s="102" t="str">
        <f aca="false">IF(B1919="","",MONTH(B1919))</f>
        <v/>
      </c>
      <c r="K1919" s="102" t="str">
        <f aca="false">IF(B1919="","",YEAR(B1919))</f>
        <v/>
      </c>
      <c r="L1919" s="102" t="str">
        <f aca="false">IF(N(E1919)=0,"",IF(COUNTIFS(AK_NAMA,C1919,AK_KAT,"KAS")+COUNTIFS(AK_NAMA,D1919,AK_KAT,"KAS")&lt;&gt;1,"",IF(COUNTIFS(AK_NAMA,C1919,AK_KAT,"KAS")=1,D1919,C1919)))</f>
        <v/>
      </c>
      <c r="M1919" s="103" t="n">
        <f aca="false">IF(L1919="",0,IF(L1919=D1919,E1919,-E1919))</f>
        <v>0</v>
      </c>
      <c r="N1919" s="102" t="str">
        <f aca="false">IF(L1919="","",IFERROR(INDEX(AK_BARIS,MATCH(L1919,AK_NAMA,0)),"?"))</f>
        <v/>
      </c>
      <c r="O1919" s="102" t="str">
        <f aca="false">IF(C1919="","",IFERROR(INDEX(AK_KEL,MATCH(C1919,AK_NAMA,0)),"?"))</f>
        <v/>
      </c>
      <c r="P1919" s="102" t="str">
        <f aca="false">IF(D1919="","",IFERROR(INDEX(AK_KEL,MATCH(D1919,AK_NAMA,0)),"?"))</f>
        <v/>
      </c>
      <c r="Q1919" s="102" t="n">
        <f aca="false">N(Q1918)+IF(AND(N(E1919)&lt;&gt;0,K1919=TAHUN,N(J1919)&lt;=BLN,OR(C1919=BB_AKUN,D1919=BB_AKUN)),1,0)</f>
        <v>877</v>
      </c>
      <c r="R1919" s="104" t="str">
        <f aca="false">IF(OR(C1919&amp;D1919="",N(E1919)=0),"",IF(OR(O1919="?",P1919="?"),"⚠ akun tidak dikenal",IF(C1919=D1919,"⚠ debet = kredit","")))</f>
        <v/>
      </c>
    </row>
    <row r="1920" customFormat="false" ht="15" hidden="false" customHeight="false" outlineLevel="0" collapsed="false">
      <c r="A1920" s="5"/>
      <c r="B1920" s="83"/>
      <c r="C1920" s="5"/>
      <c r="D1920" s="5"/>
      <c r="E1920" s="44"/>
      <c r="F1920" s="5"/>
      <c r="G1920" s="5"/>
      <c r="H1920" s="5"/>
      <c r="I1920" s="5"/>
      <c r="J1920" s="102" t="str">
        <f aca="false">IF(B1920="","",MONTH(B1920))</f>
        <v/>
      </c>
      <c r="K1920" s="102" t="str">
        <f aca="false">IF(B1920="","",YEAR(B1920))</f>
        <v/>
      </c>
      <c r="L1920" s="102" t="str">
        <f aca="false">IF(N(E1920)=0,"",IF(COUNTIFS(AK_NAMA,C1920,AK_KAT,"KAS")+COUNTIFS(AK_NAMA,D1920,AK_KAT,"KAS")&lt;&gt;1,"",IF(COUNTIFS(AK_NAMA,C1920,AK_KAT,"KAS")=1,D1920,C1920)))</f>
        <v/>
      </c>
      <c r="M1920" s="103" t="n">
        <f aca="false">IF(L1920="",0,IF(L1920=D1920,E1920,-E1920))</f>
        <v>0</v>
      </c>
      <c r="N1920" s="102" t="str">
        <f aca="false">IF(L1920="","",IFERROR(INDEX(AK_BARIS,MATCH(L1920,AK_NAMA,0)),"?"))</f>
        <v/>
      </c>
      <c r="O1920" s="102" t="str">
        <f aca="false">IF(C1920="","",IFERROR(INDEX(AK_KEL,MATCH(C1920,AK_NAMA,0)),"?"))</f>
        <v/>
      </c>
      <c r="P1920" s="102" t="str">
        <f aca="false">IF(D1920="","",IFERROR(INDEX(AK_KEL,MATCH(D1920,AK_NAMA,0)),"?"))</f>
        <v/>
      </c>
      <c r="Q1920" s="102" t="n">
        <f aca="false">N(Q1919)+IF(AND(N(E1920)&lt;&gt;0,K1920=TAHUN,N(J1920)&lt;=BLN,OR(C1920=BB_AKUN,D1920=BB_AKUN)),1,0)</f>
        <v>877</v>
      </c>
      <c r="R1920" s="104" t="str">
        <f aca="false">IF(OR(C1920&amp;D1920="",N(E1920)=0),"",IF(OR(O1920="?",P1920="?"),"⚠ akun tidak dikenal",IF(C1920=D1920,"⚠ debet = kredit","")))</f>
        <v/>
      </c>
    </row>
    <row r="1921" customFormat="false" ht="15" hidden="false" customHeight="false" outlineLevel="0" collapsed="false">
      <c r="A1921" s="5"/>
      <c r="B1921" s="83"/>
      <c r="C1921" s="5"/>
      <c r="D1921" s="5"/>
      <c r="E1921" s="44"/>
      <c r="F1921" s="5"/>
      <c r="G1921" s="5"/>
      <c r="H1921" s="5"/>
      <c r="I1921" s="5"/>
      <c r="J1921" s="102" t="str">
        <f aca="false">IF(B1921="","",MONTH(B1921))</f>
        <v/>
      </c>
      <c r="K1921" s="102" t="str">
        <f aca="false">IF(B1921="","",YEAR(B1921))</f>
        <v/>
      </c>
      <c r="L1921" s="102" t="str">
        <f aca="false">IF(N(E1921)=0,"",IF(COUNTIFS(AK_NAMA,C1921,AK_KAT,"KAS")+COUNTIFS(AK_NAMA,D1921,AK_KAT,"KAS")&lt;&gt;1,"",IF(COUNTIFS(AK_NAMA,C1921,AK_KAT,"KAS")=1,D1921,C1921)))</f>
        <v/>
      </c>
      <c r="M1921" s="103" t="n">
        <f aca="false">IF(L1921="",0,IF(L1921=D1921,E1921,-E1921))</f>
        <v>0</v>
      </c>
      <c r="N1921" s="102" t="str">
        <f aca="false">IF(L1921="","",IFERROR(INDEX(AK_BARIS,MATCH(L1921,AK_NAMA,0)),"?"))</f>
        <v/>
      </c>
      <c r="O1921" s="102" t="str">
        <f aca="false">IF(C1921="","",IFERROR(INDEX(AK_KEL,MATCH(C1921,AK_NAMA,0)),"?"))</f>
        <v/>
      </c>
      <c r="P1921" s="102" t="str">
        <f aca="false">IF(D1921="","",IFERROR(INDEX(AK_KEL,MATCH(D1921,AK_NAMA,0)),"?"))</f>
        <v/>
      </c>
      <c r="Q1921" s="102" t="n">
        <f aca="false">N(Q1920)+IF(AND(N(E1921)&lt;&gt;0,K1921=TAHUN,N(J1921)&lt;=BLN,OR(C1921=BB_AKUN,D1921=BB_AKUN)),1,0)</f>
        <v>877</v>
      </c>
      <c r="R1921" s="104" t="str">
        <f aca="false">IF(OR(C1921&amp;D1921="",N(E1921)=0),"",IF(OR(O1921="?",P1921="?"),"⚠ akun tidak dikenal",IF(C1921=D1921,"⚠ debet = kredit","")))</f>
        <v/>
      </c>
    </row>
    <row r="1922" customFormat="false" ht="15" hidden="false" customHeight="false" outlineLevel="0" collapsed="false">
      <c r="A1922" s="5"/>
      <c r="B1922" s="83"/>
      <c r="C1922" s="5"/>
      <c r="D1922" s="5"/>
      <c r="E1922" s="44"/>
      <c r="F1922" s="5"/>
      <c r="G1922" s="5"/>
      <c r="H1922" s="5"/>
      <c r="I1922" s="5"/>
      <c r="J1922" s="102" t="str">
        <f aca="false">IF(B1922="","",MONTH(B1922))</f>
        <v/>
      </c>
      <c r="K1922" s="102" t="str">
        <f aca="false">IF(B1922="","",YEAR(B1922))</f>
        <v/>
      </c>
      <c r="L1922" s="102" t="str">
        <f aca="false">IF(N(E1922)=0,"",IF(COUNTIFS(AK_NAMA,C1922,AK_KAT,"KAS")+COUNTIFS(AK_NAMA,D1922,AK_KAT,"KAS")&lt;&gt;1,"",IF(COUNTIFS(AK_NAMA,C1922,AK_KAT,"KAS")=1,D1922,C1922)))</f>
        <v/>
      </c>
      <c r="M1922" s="103" t="n">
        <f aca="false">IF(L1922="",0,IF(L1922=D1922,E1922,-E1922))</f>
        <v>0</v>
      </c>
      <c r="N1922" s="102" t="str">
        <f aca="false">IF(L1922="","",IFERROR(INDEX(AK_BARIS,MATCH(L1922,AK_NAMA,0)),"?"))</f>
        <v/>
      </c>
      <c r="O1922" s="102" t="str">
        <f aca="false">IF(C1922="","",IFERROR(INDEX(AK_KEL,MATCH(C1922,AK_NAMA,0)),"?"))</f>
        <v/>
      </c>
      <c r="P1922" s="102" t="str">
        <f aca="false">IF(D1922="","",IFERROR(INDEX(AK_KEL,MATCH(D1922,AK_NAMA,0)),"?"))</f>
        <v/>
      </c>
      <c r="Q1922" s="102" t="n">
        <f aca="false">N(Q1921)+IF(AND(N(E1922)&lt;&gt;0,K1922=TAHUN,N(J1922)&lt;=BLN,OR(C1922=BB_AKUN,D1922=BB_AKUN)),1,0)</f>
        <v>877</v>
      </c>
      <c r="R1922" s="104" t="str">
        <f aca="false">IF(OR(C1922&amp;D1922="",N(E1922)=0),"",IF(OR(O1922="?",P1922="?"),"⚠ akun tidak dikenal",IF(C1922=D1922,"⚠ debet = kredit","")))</f>
        <v/>
      </c>
    </row>
    <row r="1923" customFormat="false" ht="15" hidden="false" customHeight="false" outlineLevel="0" collapsed="false">
      <c r="A1923" s="5"/>
      <c r="B1923" s="83"/>
      <c r="C1923" s="5"/>
      <c r="D1923" s="5"/>
      <c r="E1923" s="44"/>
      <c r="F1923" s="5"/>
      <c r="G1923" s="5"/>
      <c r="H1923" s="5"/>
      <c r="I1923" s="5"/>
      <c r="J1923" s="102" t="str">
        <f aca="false">IF(B1923="","",MONTH(B1923))</f>
        <v/>
      </c>
      <c r="K1923" s="102" t="str">
        <f aca="false">IF(B1923="","",YEAR(B1923))</f>
        <v/>
      </c>
      <c r="L1923" s="102" t="str">
        <f aca="false">IF(N(E1923)=0,"",IF(COUNTIFS(AK_NAMA,C1923,AK_KAT,"KAS")+COUNTIFS(AK_NAMA,D1923,AK_KAT,"KAS")&lt;&gt;1,"",IF(COUNTIFS(AK_NAMA,C1923,AK_KAT,"KAS")=1,D1923,C1923)))</f>
        <v/>
      </c>
      <c r="M1923" s="103" t="n">
        <f aca="false">IF(L1923="",0,IF(L1923=D1923,E1923,-E1923))</f>
        <v>0</v>
      </c>
      <c r="N1923" s="102" t="str">
        <f aca="false">IF(L1923="","",IFERROR(INDEX(AK_BARIS,MATCH(L1923,AK_NAMA,0)),"?"))</f>
        <v/>
      </c>
      <c r="O1923" s="102" t="str">
        <f aca="false">IF(C1923="","",IFERROR(INDEX(AK_KEL,MATCH(C1923,AK_NAMA,0)),"?"))</f>
        <v/>
      </c>
      <c r="P1923" s="102" t="str">
        <f aca="false">IF(D1923="","",IFERROR(INDEX(AK_KEL,MATCH(D1923,AK_NAMA,0)),"?"))</f>
        <v/>
      </c>
      <c r="Q1923" s="102" t="n">
        <f aca="false">N(Q1922)+IF(AND(N(E1923)&lt;&gt;0,K1923=TAHUN,N(J1923)&lt;=BLN,OR(C1923=BB_AKUN,D1923=BB_AKUN)),1,0)</f>
        <v>877</v>
      </c>
      <c r="R1923" s="104" t="str">
        <f aca="false">IF(OR(C1923&amp;D1923="",N(E1923)=0),"",IF(OR(O1923="?",P1923="?"),"⚠ akun tidak dikenal",IF(C1923=D1923,"⚠ debet = kredit","")))</f>
        <v/>
      </c>
    </row>
    <row r="1924" customFormat="false" ht="15" hidden="false" customHeight="false" outlineLevel="0" collapsed="false">
      <c r="A1924" s="5"/>
      <c r="B1924" s="83"/>
      <c r="C1924" s="5"/>
      <c r="D1924" s="5"/>
      <c r="E1924" s="44"/>
      <c r="F1924" s="5"/>
      <c r="G1924" s="5"/>
      <c r="H1924" s="5"/>
      <c r="I1924" s="5"/>
      <c r="J1924" s="102" t="str">
        <f aca="false">IF(B1924="","",MONTH(B1924))</f>
        <v/>
      </c>
      <c r="K1924" s="102" t="str">
        <f aca="false">IF(B1924="","",YEAR(B1924))</f>
        <v/>
      </c>
      <c r="L1924" s="102" t="str">
        <f aca="false">IF(N(E1924)=0,"",IF(COUNTIFS(AK_NAMA,C1924,AK_KAT,"KAS")+COUNTIFS(AK_NAMA,D1924,AK_KAT,"KAS")&lt;&gt;1,"",IF(COUNTIFS(AK_NAMA,C1924,AK_KAT,"KAS")=1,D1924,C1924)))</f>
        <v/>
      </c>
      <c r="M1924" s="103" t="n">
        <f aca="false">IF(L1924="",0,IF(L1924=D1924,E1924,-E1924))</f>
        <v>0</v>
      </c>
      <c r="N1924" s="102" t="str">
        <f aca="false">IF(L1924="","",IFERROR(INDEX(AK_BARIS,MATCH(L1924,AK_NAMA,0)),"?"))</f>
        <v/>
      </c>
      <c r="O1924" s="102" t="str">
        <f aca="false">IF(C1924="","",IFERROR(INDEX(AK_KEL,MATCH(C1924,AK_NAMA,0)),"?"))</f>
        <v/>
      </c>
      <c r="P1924" s="102" t="str">
        <f aca="false">IF(D1924="","",IFERROR(INDEX(AK_KEL,MATCH(D1924,AK_NAMA,0)),"?"))</f>
        <v/>
      </c>
      <c r="Q1924" s="102" t="n">
        <f aca="false">N(Q1923)+IF(AND(N(E1924)&lt;&gt;0,K1924=TAHUN,N(J1924)&lt;=BLN,OR(C1924=BB_AKUN,D1924=BB_AKUN)),1,0)</f>
        <v>877</v>
      </c>
      <c r="R1924" s="104" t="str">
        <f aca="false">IF(OR(C1924&amp;D1924="",N(E1924)=0),"",IF(OR(O1924="?",P1924="?"),"⚠ akun tidak dikenal",IF(C1924=D1924,"⚠ debet = kredit","")))</f>
        <v/>
      </c>
    </row>
    <row r="1925" customFormat="false" ht="15" hidden="false" customHeight="false" outlineLevel="0" collapsed="false">
      <c r="A1925" s="5"/>
      <c r="B1925" s="83"/>
      <c r="C1925" s="5"/>
      <c r="D1925" s="5"/>
      <c r="E1925" s="44"/>
      <c r="F1925" s="5"/>
      <c r="G1925" s="5"/>
      <c r="H1925" s="5"/>
      <c r="I1925" s="5"/>
      <c r="J1925" s="102" t="str">
        <f aca="false">IF(B1925="","",MONTH(B1925))</f>
        <v/>
      </c>
      <c r="K1925" s="102" t="str">
        <f aca="false">IF(B1925="","",YEAR(B1925))</f>
        <v/>
      </c>
      <c r="L1925" s="102" t="str">
        <f aca="false">IF(N(E1925)=0,"",IF(COUNTIFS(AK_NAMA,C1925,AK_KAT,"KAS")+COUNTIFS(AK_NAMA,D1925,AK_KAT,"KAS")&lt;&gt;1,"",IF(COUNTIFS(AK_NAMA,C1925,AK_KAT,"KAS")=1,D1925,C1925)))</f>
        <v/>
      </c>
      <c r="M1925" s="103" t="n">
        <f aca="false">IF(L1925="",0,IF(L1925=D1925,E1925,-E1925))</f>
        <v>0</v>
      </c>
      <c r="N1925" s="102" t="str">
        <f aca="false">IF(L1925="","",IFERROR(INDEX(AK_BARIS,MATCH(L1925,AK_NAMA,0)),"?"))</f>
        <v/>
      </c>
      <c r="O1925" s="102" t="str">
        <f aca="false">IF(C1925="","",IFERROR(INDEX(AK_KEL,MATCH(C1925,AK_NAMA,0)),"?"))</f>
        <v/>
      </c>
      <c r="P1925" s="102" t="str">
        <f aca="false">IF(D1925="","",IFERROR(INDEX(AK_KEL,MATCH(D1925,AK_NAMA,0)),"?"))</f>
        <v/>
      </c>
      <c r="Q1925" s="102" t="n">
        <f aca="false">N(Q1924)+IF(AND(N(E1925)&lt;&gt;0,K1925=TAHUN,N(J1925)&lt;=BLN,OR(C1925=BB_AKUN,D1925=BB_AKUN)),1,0)</f>
        <v>877</v>
      </c>
      <c r="R1925" s="104" t="str">
        <f aca="false">IF(OR(C1925&amp;D1925="",N(E1925)=0),"",IF(OR(O1925="?",P1925="?"),"⚠ akun tidak dikenal",IF(C1925=D1925,"⚠ debet = kredit","")))</f>
        <v/>
      </c>
    </row>
    <row r="1926" customFormat="false" ht="15" hidden="false" customHeight="false" outlineLevel="0" collapsed="false">
      <c r="A1926" s="5"/>
      <c r="B1926" s="83"/>
      <c r="C1926" s="5"/>
      <c r="D1926" s="5"/>
      <c r="E1926" s="44"/>
      <c r="F1926" s="5"/>
      <c r="G1926" s="5"/>
      <c r="H1926" s="5"/>
      <c r="I1926" s="5"/>
      <c r="J1926" s="102" t="str">
        <f aca="false">IF(B1926="","",MONTH(B1926))</f>
        <v/>
      </c>
      <c r="K1926" s="102" t="str">
        <f aca="false">IF(B1926="","",YEAR(B1926))</f>
        <v/>
      </c>
      <c r="L1926" s="102" t="str">
        <f aca="false">IF(N(E1926)=0,"",IF(COUNTIFS(AK_NAMA,C1926,AK_KAT,"KAS")+COUNTIFS(AK_NAMA,D1926,AK_KAT,"KAS")&lt;&gt;1,"",IF(COUNTIFS(AK_NAMA,C1926,AK_KAT,"KAS")=1,D1926,C1926)))</f>
        <v/>
      </c>
      <c r="M1926" s="103" t="n">
        <f aca="false">IF(L1926="",0,IF(L1926=D1926,E1926,-E1926))</f>
        <v>0</v>
      </c>
      <c r="N1926" s="102" t="str">
        <f aca="false">IF(L1926="","",IFERROR(INDEX(AK_BARIS,MATCH(L1926,AK_NAMA,0)),"?"))</f>
        <v/>
      </c>
      <c r="O1926" s="102" t="str">
        <f aca="false">IF(C1926="","",IFERROR(INDEX(AK_KEL,MATCH(C1926,AK_NAMA,0)),"?"))</f>
        <v/>
      </c>
      <c r="P1926" s="102" t="str">
        <f aca="false">IF(D1926="","",IFERROR(INDEX(AK_KEL,MATCH(D1926,AK_NAMA,0)),"?"))</f>
        <v/>
      </c>
      <c r="Q1926" s="102" t="n">
        <f aca="false">N(Q1925)+IF(AND(N(E1926)&lt;&gt;0,K1926=TAHUN,N(J1926)&lt;=BLN,OR(C1926=BB_AKUN,D1926=BB_AKUN)),1,0)</f>
        <v>877</v>
      </c>
      <c r="R1926" s="104" t="str">
        <f aca="false">IF(OR(C1926&amp;D1926="",N(E1926)=0),"",IF(OR(O1926="?",P1926="?"),"⚠ akun tidak dikenal",IF(C1926=D1926,"⚠ debet = kredit","")))</f>
        <v/>
      </c>
    </row>
    <row r="1927" customFormat="false" ht="15" hidden="false" customHeight="false" outlineLevel="0" collapsed="false">
      <c r="A1927" s="5"/>
      <c r="B1927" s="83"/>
      <c r="C1927" s="5"/>
      <c r="D1927" s="5"/>
      <c r="E1927" s="44"/>
      <c r="F1927" s="5"/>
      <c r="G1927" s="5"/>
      <c r="H1927" s="5"/>
      <c r="I1927" s="5"/>
      <c r="J1927" s="102" t="str">
        <f aca="false">IF(B1927="","",MONTH(B1927))</f>
        <v/>
      </c>
      <c r="K1927" s="102" t="str">
        <f aca="false">IF(B1927="","",YEAR(B1927))</f>
        <v/>
      </c>
      <c r="L1927" s="102" t="str">
        <f aca="false">IF(N(E1927)=0,"",IF(COUNTIFS(AK_NAMA,C1927,AK_KAT,"KAS")+COUNTIFS(AK_NAMA,D1927,AK_KAT,"KAS")&lt;&gt;1,"",IF(COUNTIFS(AK_NAMA,C1927,AK_KAT,"KAS")=1,D1927,C1927)))</f>
        <v/>
      </c>
      <c r="M1927" s="103" t="n">
        <f aca="false">IF(L1927="",0,IF(L1927=D1927,E1927,-E1927))</f>
        <v>0</v>
      </c>
      <c r="N1927" s="102" t="str">
        <f aca="false">IF(L1927="","",IFERROR(INDEX(AK_BARIS,MATCH(L1927,AK_NAMA,0)),"?"))</f>
        <v/>
      </c>
      <c r="O1927" s="102" t="str">
        <f aca="false">IF(C1927="","",IFERROR(INDEX(AK_KEL,MATCH(C1927,AK_NAMA,0)),"?"))</f>
        <v/>
      </c>
      <c r="P1927" s="102" t="str">
        <f aca="false">IF(D1927="","",IFERROR(INDEX(AK_KEL,MATCH(D1927,AK_NAMA,0)),"?"))</f>
        <v/>
      </c>
      <c r="Q1927" s="102" t="n">
        <f aca="false">N(Q1926)+IF(AND(N(E1927)&lt;&gt;0,K1927=TAHUN,N(J1927)&lt;=BLN,OR(C1927=BB_AKUN,D1927=BB_AKUN)),1,0)</f>
        <v>877</v>
      </c>
      <c r="R1927" s="104" t="str">
        <f aca="false">IF(OR(C1927&amp;D1927="",N(E1927)=0),"",IF(OR(O1927="?",P1927="?"),"⚠ akun tidak dikenal",IF(C1927=D1927,"⚠ debet = kredit","")))</f>
        <v/>
      </c>
    </row>
    <row r="1928" customFormat="false" ht="15" hidden="false" customHeight="false" outlineLevel="0" collapsed="false">
      <c r="A1928" s="5"/>
      <c r="B1928" s="83"/>
      <c r="C1928" s="5"/>
      <c r="D1928" s="5"/>
      <c r="E1928" s="44"/>
      <c r="F1928" s="5"/>
      <c r="G1928" s="5"/>
      <c r="H1928" s="5"/>
      <c r="I1928" s="5"/>
      <c r="J1928" s="102" t="str">
        <f aca="false">IF(B1928="","",MONTH(B1928))</f>
        <v/>
      </c>
      <c r="K1928" s="102" t="str">
        <f aca="false">IF(B1928="","",YEAR(B1928))</f>
        <v/>
      </c>
      <c r="L1928" s="102" t="str">
        <f aca="false">IF(N(E1928)=0,"",IF(COUNTIFS(AK_NAMA,C1928,AK_KAT,"KAS")+COUNTIFS(AK_NAMA,D1928,AK_KAT,"KAS")&lt;&gt;1,"",IF(COUNTIFS(AK_NAMA,C1928,AK_KAT,"KAS")=1,D1928,C1928)))</f>
        <v/>
      </c>
      <c r="M1928" s="103" t="n">
        <f aca="false">IF(L1928="",0,IF(L1928=D1928,E1928,-E1928))</f>
        <v>0</v>
      </c>
      <c r="N1928" s="102" t="str">
        <f aca="false">IF(L1928="","",IFERROR(INDEX(AK_BARIS,MATCH(L1928,AK_NAMA,0)),"?"))</f>
        <v/>
      </c>
      <c r="O1928" s="102" t="str">
        <f aca="false">IF(C1928="","",IFERROR(INDEX(AK_KEL,MATCH(C1928,AK_NAMA,0)),"?"))</f>
        <v/>
      </c>
      <c r="P1928" s="102" t="str">
        <f aca="false">IF(D1928="","",IFERROR(INDEX(AK_KEL,MATCH(D1928,AK_NAMA,0)),"?"))</f>
        <v/>
      </c>
      <c r="Q1928" s="102" t="n">
        <f aca="false">N(Q1927)+IF(AND(N(E1928)&lt;&gt;0,K1928=TAHUN,N(J1928)&lt;=BLN,OR(C1928=BB_AKUN,D1928=BB_AKUN)),1,0)</f>
        <v>877</v>
      </c>
      <c r="R1928" s="104" t="str">
        <f aca="false">IF(OR(C1928&amp;D1928="",N(E1928)=0),"",IF(OR(O1928="?",P1928="?"),"⚠ akun tidak dikenal",IF(C1928=D1928,"⚠ debet = kredit","")))</f>
        <v/>
      </c>
    </row>
    <row r="1929" customFormat="false" ht="15" hidden="false" customHeight="false" outlineLevel="0" collapsed="false">
      <c r="A1929" s="5"/>
      <c r="B1929" s="83"/>
      <c r="C1929" s="5"/>
      <c r="D1929" s="5"/>
      <c r="E1929" s="44"/>
      <c r="F1929" s="5"/>
      <c r="G1929" s="5"/>
      <c r="H1929" s="5"/>
      <c r="I1929" s="5"/>
      <c r="J1929" s="102" t="str">
        <f aca="false">IF(B1929="","",MONTH(B1929))</f>
        <v/>
      </c>
      <c r="K1929" s="102" t="str">
        <f aca="false">IF(B1929="","",YEAR(B1929))</f>
        <v/>
      </c>
      <c r="L1929" s="102" t="str">
        <f aca="false">IF(N(E1929)=0,"",IF(COUNTIFS(AK_NAMA,C1929,AK_KAT,"KAS")+COUNTIFS(AK_NAMA,D1929,AK_KAT,"KAS")&lt;&gt;1,"",IF(COUNTIFS(AK_NAMA,C1929,AK_KAT,"KAS")=1,D1929,C1929)))</f>
        <v/>
      </c>
      <c r="M1929" s="103" t="n">
        <f aca="false">IF(L1929="",0,IF(L1929=D1929,E1929,-E1929))</f>
        <v>0</v>
      </c>
      <c r="N1929" s="102" t="str">
        <f aca="false">IF(L1929="","",IFERROR(INDEX(AK_BARIS,MATCH(L1929,AK_NAMA,0)),"?"))</f>
        <v/>
      </c>
      <c r="O1929" s="102" t="str">
        <f aca="false">IF(C1929="","",IFERROR(INDEX(AK_KEL,MATCH(C1929,AK_NAMA,0)),"?"))</f>
        <v/>
      </c>
      <c r="P1929" s="102" t="str">
        <f aca="false">IF(D1929="","",IFERROR(INDEX(AK_KEL,MATCH(D1929,AK_NAMA,0)),"?"))</f>
        <v/>
      </c>
      <c r="Q1929" s="102" t="n">
        <f aca="false">N(Q1928)+IF(AND(N(E1929)&lt;&gt;0,K1929=TAHUN,N(J1929)&lt;=BLN,OR(C1929=BB_AKUN,D1929=BB_AKUN)),1,0)</f>
        <v>877</v>
      </c>
      <c r="R1929" s="104" t="str">
        <f aca="false">IF(OR(C1929&amp;D1929="",N(E1929)=0),"",IF(OR(O1929="?",P1929="?"),"⚠ akun tidak dikenal",IF(C1929=D1929,"⚠ debet = kredit","")))</f>
        <v/>
      </c>
    </row>
    <row r="1930" customFormat="false" ht="15" hidden="false" customHeight="false" outlineLevel="0" collapsed="false">
      <c r="A1930" s="5"/>
      <c r="B1930" s="83"/>
      <c r="C1930" s="5"/>
      <c r="D1930" s="5"/>
      <c r="E1930" s="44"/>
      <c r="F1930" s="5"/>
      <c r="G1930" s="5"/>
      <c r="H1930" s="5"/>
      <c r="I1930" s="5"/>
      <c r="J1930" s="102" t="str">
        <f aca="false">IF(B1930="","",MONTH(B1930))</f>
        <v/>
      </c>
      <c r="K1930" s="102" t="str">
        <f aca="false">IF(B1930="","",YEAR(B1930))</f>
        <v/>
      </c>
      <c r="L1930" s="102" t="str">
        <f aca="false">IF(N(E1930)=0,"",IF(COUNTIFS(AK_NAMA,C1930,AK_KAT,"KAS")+COUNTIFS(AK_NAMA,D1930,AK_KAT,"KAS")&lt;&gt;1,"",IF(COUNTIFS(AK_NAMA,C1930,AK_KAT,"KAS")=1,D1930,C1930)))</f>
        <v/>
      </c>
      <c r="M1930" s="103" t="n">
        <f aca="false">IF(L1930="",0,IF(L1930=D1930,E1930,-E1930))</f>
        <v>0</v>
      </c>
      <c r="N1930" s="102" t="str">
        <f aca="false">IF(L1930="","",IFERROR(INDEX(AK_BARIS,MATCH(L1930,AK_NAMA,0)),"?"))</f>
        <v/>
      </c>
      <c r="O1930" s="102" t="str">
        <f aca="false">IF(C1930="","",IFERROR(INDEX(AK_KEL,MATCH(C1930,AK_NAMA,0)),"?"))</f>
        <v/>
      </c>
      <c r="P1930" s="102" t="str">
        <f aca="false">IF(D1930="","",IFERROR(INDEX(AK_KEL,MATCH(D1930,AK_NAMA,0)),"?"))</f>
        <v/>
      </c>
      <c r="Q1930" s="102" t="n">
        <f aca="false">N(Q1929)+IF(AND(N(E1930)&lt;&gt;0,K1930=TAHUN,N(J1930)&lt;=BLN,OR(C1930=BB_AKUN,D1930=BB_AKUN)),1,0)</f>
        <v>877</v>
      </c>
      <c r="R1930" s="104" t="str">
        <f aca="false">IF(OR(C1930&amp;D1930="",N(E1930)=0),"",IF(OR(O1930="?",P1930="?"),"⚠ akun tidak dikenal",IF(C1930=D1930,"⚠ debet = kredit","")))</f>
        <v/>
      </c>
    </row>
    <row r="1931" customFormat="false" ht="15" hidden="false" customHeight="false" outlineLevel="0" collapsed="false">
      <c r="A1931" s="5"/>
      <c r="B1931" s="83"/>
      <c r="C1931" s="5"/>
      <c r="D1931" s="5"/>
      <c r="E1931" s="44"/>
      <c r="F1931" s="5"/>
      <c r="G1931" s="5"/>
      <c r="H1931" s="5"/>
      <c r="I1931" s="5"/>
      <c r="J1931" s="102" t="str">
        <f aca="false">IF(B1931="","",MONTH(B1931))</f>
        <v/>
      </c>
      <c r="K1931" s="102" t="str">
        <f aca="false">IF(B1931="","",YEAR(B1931))</f>
        <v/>
      </c>
      <c r="L1931" s="102" t="str">
        <f aca="false">IF(N(E1931)=0,"",IF(COUNTIFS(AK_NAMA,C1931,AK_KAT,"KAS")+COUNTIFS(AK_NAMA,D1931,AK_KAT,"KAS")&lt;&gt;1,"",IF(COUNTIFS(AK_NAMA,C1931,AK_KAT,"KAS")=1,D1931,C1931)))</f>
        <v/>
      </c>
      <c r="M1931" s="103" t="n">
        <f aca="false">IF(L1931="",0,IF(L1931=D1931,E1931,-E1931))</f>
        <v>0</v>
      </c>
      <c r="N1931" s="102" t="str">
        <f aca="false">IF(L1931="","",IFERROR(INDEX(AK_BARIS,MATCH(L1931,AK_NAMA,0)),"?"))</f>
        <v/>
      </c>
      <c r="O1931" s="102" t="str">
        <f aca="false">IF(C1931="","",IFERROR(INDEX(AK_KEL,MATCH(C1931,AK_NAMA,0)),"?"))</f>
        <v/>
      </c>
      <c r="P1931" s="102" t="str">
        <f aca="false">IF(D1931="","",IFERROR(INDEX(AK_KEL,MATCH(D1931,AK_NAMA,0)),"?"))</f>
        <v/>
      </c>
      <c r="Q1931" s="102" t="n">
        <f aca="false">N(Q1930)+IF(AND(N(E1931)&lt;&gt;0,K1931=TAHUN,N(J1931)&lt;=BLN,OR(C1931=BB_AKUN,D1931=BB_AKUN)),1,0)</f>
        <v>877</v>
      </c>
      <c r="R1931" s="104" t="str">
        <f aca="false">IF(OR(C1931&amp;D1931="",N(E1931)=0),"",IF(OR(O1931="?",P1931="?"),"⚠ akun tidak dikenal",IF(C1931=D1931,"⚠ debet = kredit","")))</f>
        <v/>
      </c>
    </row>
    <row r="1932" customFormat="false" ht="15" hidden="false" customHeight="false" outlineLevel="0" collapsed="false">
      <c r="A1932" s="5"/>
      <c r="B1932" s="83"/>
      <c r="C1932" s="5"/>
      <c r="D1932" s="5"/>
      <c r="E1932" s="44"/>
      <c r="F1932" s="5"/>
      <c r="G1932" s="5"/>
      <c r="H1932" s="5"/>
      <c r="I1932" s="5"/>
      <c r="J1932" s="102" t="str">
        <f aca="false">IF(B1932="","",MONTH(B1932))</f>
        <v/>
      </c>
      <c r="K1932" s="102" t="str">
        <f aca="false">IF(B1932="","",YEAR(B1932))</f>
        <v/>
      </c>
      <c r="L1932" s="102" t="str">
        <f aca="false">IF(N(E1932)=0,"",IF(COUNTIFS(AK_NAMA,C1932,AK_KAT,"KAS")+COUNTIFS(AK_NAMA,D1932,AK_KAT,"KAS")&lt;&gt;1,"",IF(COUNTIFS(AK_NAMA,C1932,AK_KAT,"KAS")=1,D1932,C1932)))</f>
        <v/>
      </c>
      <c r="M1932" s="103" t="n">
        <f aca="false">IF(L1932="",0,IF(L1932=D1932,E1932,-E1932))</f>
        <v>0</v>
      </c>
      <c r="N1932" s="102" t="str">
        <f aca="false">IF(L1932="","",IFERROR(INDEX(AK_BARIS,MATCH(L1932,AK_NAMA,0)),"?"))</f>
        <v/>
      </c>
      <c r="O1932" s="102" t="str">
        <f aca="false">IF(C1932="","",IFERROR(INDEX(AK_KEL,MATCH(C1932,AK_NAMA,0)),"?"))</f>
        <v/>
      </c>
      <c r="P1932" s="102" t="str">
        <f aca="false">IF(D1932="","",IFERROR(INDEX(AK_KEL,MATCH(D1932,AK_NAMA,0)),"?"))</f>
        <v/>
      </c>
      <c r="Q1932" s="102" t="n">
        <f aca="false">N(Q1931)+IF(AND(N(E1932)&lt;&gt;0,K1932=TAHUN,N(J1932)&lt;=BLN,OR(C1932=BB_AKUN,D1932=BB_AKUN)),1,0)</f>
        <v>877</v>
      </c>
      <c r="R1932" s="104" t="str">
        <f aca="false">IF(OR(C1932&amp;D1932="",N(E1932)=0),"",IF(OR(O1932="?",P1932="?"),"⚠ akun tidak dikenal",IF(C1932=D1932,"⚠ debet = kredit","")))</f>
        <v/>
      </c>
    </row>
    <row r="1933" customFormat="false" ht="15" hidden="false" customHeight="false" outlineLevel="0" collapsed="false">
      <c r="A1933" s="5"/>
      <c r="B1933" s="83"/>
      <c r="C1933" s="5"/>
      <c r="D1933" s="5"/>
      <c r="E1933" s="44"/>
      <c r="F1933" s="5"/>
      <c r="G1933" s="5"/>
      <c r="H1933" s="5"/>
      <c r="I1933" s="5"/>
      <c r="J1933" s="102" t="str">
        <f aca="false">IF(B1933="","",MONTH(B1933))</f>
        <v/>
      </c>
      <c r="K1933" s="102" t="str">
        <f aca="false">IF(B1933="","",YEAR(B1933))</f>
        <v/>
      </c>
      <c r="L1933" s="102" t="str">
        <f aca="false">IF(N(E1933)=0,"",IF(COUNTIFS(AK_NAMA,C1933,AK_KAT,"KAS")+COUNTIFS(AK_NAMA,D1933,AK_KAT,"KAS")&lt;&gt;1,"",IF(COUNTIFS(AK_NAMA,C1933,AK_KAT,"KAS")=1,D1933,C1933)))</f>
        <v/>
      </c>
      <c r="M1933" s="103" t="n">
        <f aca="false">IF(L1933="",0,IF(L1933=D1933,E1933,-E1933))</f>
        <v>0</v>
      </c>
      <c r="N1933" s="102" t="str">
        <f aca="false">IF(L1933="","",IFERROR(INDEX(AK_BARIS,MATCH(L1933,AK_NAMA,0)),"?"))</f>
        <v/>
      </c>
      <c r="O1933" s="102" t="str">
        <f aca="false">IF(C1933="","",IFERROR(INDEX(AK_KEL,MATCH(C1933,AK_NAMA,0)),"?"))</f>
        <v/>
      </c>
      <c r="P1933" s="102" t="str">
        <f aca="false">IF(D1933="","",IFERROR(INDEX(AK_KEL,MATCH(D1933,AK_NAMA,0)),"?"))</f>
        <v/>
      </c>
      <c r="Q1933" s="102" t="n">
        <f aca="false">N(Q1932)+IF(AND(N(E1933)&lt;&gt;0,K1933=TAHUN,N(J1933)&lt;=BLN,OR(C1933=BB_AKUN,D1933=BB_AKUN)),1,0)</f>
        <v>877</v>
      </c>
      <c r="R1933" s="104" t="str">
        <f aca="false">IF(OR(C1933&amp;D1933="",N(E1933)=0),"",IF(OR(O1933="?",P1933="?"),"⚠ akun tidak dikenal",IF(C1933=D1933,"⚠ debet = kredit","")))</f>
        <v/>
      </c>
    </row>
    <row r="1934" customFormat="false" ht="15" hidden="false" customHeight="false" outlineLevel="0" collapsed="false">
      <c r="A1934" s="5"/>
      <c r="B1934" s="83"/>
      <c r="C1934" s="5"/>
      <c r="D1934" s="5"/>
      <c r="E1934" s="44"/>
      <c r="F1934" s="5"/>
      <c r="G1934" s="5"/>
      <c r="H1934" s="5"/>
      <c r="I1934" s="5"/>
      <c r="J1934" s="102" t="str">
        <f aca="false">IF(B1934="","",MONTH(B1934))</f>
        <v/>
      </c>
      <c r="K1934" s="102" t="str">
        <f aca="false">IF(B1934="","",YEAR(B1934))</f>
        <v/>
      </c>
      <c r="L1934" s="102" t="str">
        <f aca="false">IF(N(E1934)=0,"",IF(COUNTIFS(AK_NAMA,C1934,AK_KAT,"KAS")+COUNTIFS(AK_NAMA,D1934,AK_KAT,"KAS")&lt;&gt;1,"",IF(COUNTIFS(AK_NAMA,C1934,AK_KAT,"KAS")=1,D1934,C1934)))</f>
        <v/>
      </c>
      <c r="M1934" s="103" t="n">
        <f aca="false">IF(L1934="",0,IF(L1934=D1934,E1934,-E1934))</f>
        <v>0</v>
      </c>
      <c r="N1934" s="102" t="str">
        <f aca="false">IF(L1934="","",IFERROR(INDEX(AK_BARIS,MATCH(L1934,AK_NAMA,0)),"?"))</f>
        <v/>
      </c>
      <c r="O1934" s="102" t="str">
        <f aca="false">IF(C1934="","",IFERROR(INDEX(AK_KEL,MATCH(C1934,AK_NAMA,0)),"?"))</f>
        <v/>
      </c>
      <c r="P1934" s="102" t="str">
        <f aca="false">IF(D1934="","",IFERROR(INDEX(AK_KEL,MATCH(D1934,AK_NAMA,0)),"?"))</f>
        <v/>
      </c>
      <c r="Q1934" s="102" t="n">
        <f aca="false">N(Q1933)+IF(AND(N(E1934)&lt;&gt;0,K1934=TAHUN,N(J1934)&lt;=BLN,OR(C1934=BB_AKUN,D1934=BB_AKUN)),1,0)</f>
        <v>877</v>
      </c>
      <c r="R1934" s="104" t="str">
        <f aca="false">IF(OR(C1934&amp;D1934="",N(E1934)=0),"",IF(OR(O1934="?",P1934="?"),"⚠ akun tidak dikenal",IF(C1934=D1934,"⚠ debet = kredit","")))</f>
        <v/>
      </c>
    </row>
    <row r="1935" customFormat="false" ht="15" hidden="false" customHeight="false" outlineLevel="0" collapsed="false">
      <c r="A1935" s="5"/>
      <c r="B1935" s="83"/>
      <c r="C1935" s="5"/>
      <c r="D1935" s="5"/>
      <c r="E1935" s="44"/>
      <c r="F1935" s="5"/>
      <c r="G1935" s="5"/>
      <c r="H1935" s="5"/>
      <c r="I1935" s="5"/>
      <c r="J1935" s="102" t="str">
        <f aca="false">IF(B1935="","",MONTH(B1935))</f>
        <v/>
      </c>
      <c r="K1935" s="102" t="str">
        <f aca="false">IF(B1935="","",YEAR(B1935))</f>
        <v/>
      </c>
      <c r="L1935" s="102" t="str">
        <f aca="false">IF(N(E1935)=0,"",IF(COUNTIFS(AK_NAMA,C1935,AK_KAT,"KAS")+COUNTIFS(AK_NAMA,D1935,AK_KAT,"KAS")&lt;&gt;1,"",IF(COUNTIFS(AK_NAMA,C1935,AK_KAT,"KAS")=1,D1935,C1935)))</f>
        <v/>
      </c>
      <c r="M1935" s="103" t="n">
        <f aca="false">IF(L1935="",0,IF(L1935=D1935,E1935,-E1935))</f>
        <v>0</v>
      </c>
      <c r="N1935" s="102" t="str">
        <f aca="false">IF(L1935="","",IFERROR(INDEX(AK_BARIS,MATCH(L1935,AK_NAMA,0)),"?"))</f>
        <v/>
      </c>
      <c r="O1935" s="102" t="str">
        <f aca="false">IF(C1935="","",IFERROR(INDEX(AK_KEL,MATCH(C1935,AK_NAMA,0)),"?"))</f>
        <v/>
      </c>
      <c r="P1935" s="102" t="str">
        <f aca="false">IF(D1935="","",IFERROR(INDEX(AK_KEL,MATCH(D1935,AK_NAMA,0)),"?"))</f>
        <v/>
      </c>
      <c r="Q1935" s="102" t="n">
        <f aca="false">N(Q1934)+IF(AND(N(E1935)&lt;&gt;0,K1935=TAHUN,N(J1935)&lt;=BLN,OR(C1935=BB_AKUN,D1935=BB_AKUN)),1,0)</f>
        <v>877</v>
      </c>
      <c r="R1935" s="104" t="str">
        <f aca="false">IF(OR(C1935&amp;D1935="",N(E1935)=0),"",IF(OR(O1935="?",P1935="?"),"⚠ akun tidak dikenal",IF(C1935=D1935,"⚠ debet = kredit","")))</f>
        <v/>
      </c>
    </row>
    <row r="1936" customFormat="false" ht="15" hidden="false" customHeight="false" outlineLevel="0" collapsed="false">
      <c r="A1936" s="5"/>
      <c r="B1936" s="83"/>
      <c r="C1936" s="5"/>
      <c r="D1936" s="5"/>
      <c r="E1936" s="44"/>
      <c r="F1936" s="5"/>
      <c r="G1936" s="5"/>
      <c r="H1936" s="5"/>
      <c r="I1936" s="5"/>
      <c r="J1936" s="102" t="str">
        <f aca="false">IF(B1936="","",MONTH(B1936))</f>
        <v/>
      </c>
      <c r="K1936" s="102" t="str">
        <f aca="false">IF(B1936="","",YEAR(B1936))</f>
        <v/>
      </c>
      <c r="L1936" s="102" t="str">
        <f aca="false">IF(N(E1936)=0,"",IF(COUNTIFS(AK_NAMA,C1936,AK_KAT,"KAS")+COUNTIFS(AK_NAMA,D1936,AK_KAT,"KAS")&lt;&gt;1,"",IF(COUNTIFS(AK_NAMA,C1936,AK_KAT,"KAS")=1,D1936,C1936)))</f>
        <v/>
      </c>
      <c r="M1936" s="103" t="n">
        <f aca="false">IF(L1936="",0,IF(L1936=D1936,E1936,-E1936))</f>
        <v>0</v>
      </c>
      <c r="N1936" s="102" t="str">
        <f aca="false">IF(L1936="","",IFERROR(INDEX(AK_BARIS,MATCH(L1936,AK_NAMA,0)),"?"))</f>
        <v/>
      </c>
      <c r="O1936" s="102" t="str">
        <f aca="false">IF(C1936="","",IFERROR(INDEX(AK_KEL,MATCH(C1936,AK_NAMA,0)),"?"))</f>
        <v/>
      </c>
      <c r="P1936" s="102" t="str">
        <f aca="false">IF(D1936="","",IFERROR(INDEX(AK_KEL,MATCH(D1936,AK_NAMA,0)),"?"))</f>
        <v/>
      </c>
      <c r="Q1936" s="102" t="n">
        <f aca="false">N(Q1935)+IF(AND(N(E1936)&lt;&gt;0,K1936=TAHUN,N(J1936)&lt;=BLN,OR(C1936=BB_AKUN,D1936=BB_AKUN)),1,0)</f>
        <v>877</v>
      </c>
      <c r="R1936" s="104" t="str">
        <f aca="false">IF(OR(C1936&amp;D1936="",N(E1936)=0),"",IF(OR(O1936="?",P1936="?"),"⚠ akun tidak dikenal",IF(C1936=D1936,"⚠ debet = kredit","")))</f>
        <v/>
      </c>
    </row>
    <row r="1937" customFormat="false" ht="15" hidden="false" customHeight="false" outlineLevel="0" collapsed="false">
      <c r="A1937" s="5"/>
      <c r="B1937" s="83"/>
      <c r="C1937" s="5"/>
      <c r="D1937" s="5"/>
      <c r="E1937" s="44"/>
      <c r="F1937" s="5"/>
      <c r="G1937" s="5"/>
      <c r="H1937" s="5"/>
      <c r="I1937" s="5"/>
      <c r="J1937" s="102" t="str">
        <f aca="false">IF(B1937="","",MONTH(B1937))</f>
        <v/>
      </c>
      <c r="K1937" s="102" t="str">
        <f aca="false">IF(B1937="","",YEAR(B1937))</f>
        <v/>
      </c>
      <c r="L1937" s="102" t="str">
        <f aca="false">IF(N(E1937)=0,"",IF(COUNTIFS(AK_NAMA,C1937,AK_KAT,"KAS")+COUNTIFS(AK_NAMA,D1937,AK_KAT,"KAS")&lt;&gt;1,"",IF(COUNTIFS(AK_NAMA,C1937,AK_KAT,"KAS")=1,D1937,C1937)))</f>
        <v/>
      </c>
      <c r="M1937" s="103" t="n">
        <f aca="false">IF(L1937="",0,IF(L1937=D1937,E1937,-E1937))</f>
        <v>0</v>
      </c>
      <c r="N1937" s="102" t="str">
        <f aca="false">IF(L1937="","",IFERROR(INDEX(AK_BARIS,MATCH(L1937,AK_NAMA,0)),"?"))</f>
        <v/>
      </c>
      <c r="O1937" s="102" t="str">
        <f aca="false">IF(C1937="","",IFERROR(INDEX(AK_KEL,MATCH(C1937,AK_NAMA,0)),"?"))</f>
        <v/>
      </c>
      <c r="P1937" s="102" t="str">
        <f aca="false">IF(D1937="","",IFERROR(INDEX(AK_KEL,MATCH(D1937,AK_NAMA,0)),"?"))</f>
        <v/>
      </c>
      <c r="Q1937" s="102" t="n">
        <f aca="false">N(Q1936)+IF(AND(N(E1937)&lt;&gt;0,K1937=TAHUN,N(J1937)&lt;=BLN,OR(C1937=BB_AKUN,D1937=BB_AKUN)),1,0)</f>
        <v>877</v>
      </c>
      <c r="R1937" s="104" t="str">
        <f aca="false">IF(OR(C1937&amp;D1937="",N(E1937)=0),"",IF(OR(O1937="?",P1937="?"),"⚠ akun tidak dikenal",IF(C1937=D1937,"⚠ debet = kredit","")))</f>
        <v/>
      </c>
    </row>
    <row r="1938" customFormat="false" ht="15" hidden="false" customHeight="false" outlineLevel="0" collapsed="false">
      <c r="A1938" s="5"/>
      <c r="B1938" s="83"/>
      <c r="C1938" s="5"/>
      <c r="D1938" s="5"/>
      <c r="E1938" s="44"/>
      <c r="F1938" s="5"/>
      <c r="G1938" s="5"/>
      <c r="H1938" s="5"/>
      <c r="I1938" s="5"/>
      <c r="J1938" s="102" t="str">
        <f aca="false">IF(B1938="","",MONTH(B1938))</f>
        <v/>
      </c>
      <c r="K1938" s="102" t="str">
        <f aca="false">IF(B1938="","",YEAR(B1938))</f>
        <v/>
      </c>
      <c r="L1938" s="102" t="str">
        <f aca="false">IF(N(E1938)=0,"",IF(COUNTIFS(AK_NAMA,C1938,AK_KAT,"KAS")+COUNTIFS(AK_NAMA,D1938,AK_KAT,"KAS")&lt;&gt;1,"",IF(COUNTIFS(AK_NAMA,C1938,AK_KAT,"KAS")=1,D1938,C1938)))</f>
        <v/>
      </c>
      <c r="M1938" s="103" t="n">
        <f aca="false">IF(L1938="",0,IF(L1938=D1938,E1938,-E1938))</f>
        <v>0</v>
      </c>
      <c r="N1938" s="102" t="str">
        <f aca="false">IF(L1938="","",IFERROR(INDEX(AK_BARIS,MATCH(L1938,AK_NAMA,0)),"?"))</f>
        <v/>
      </c>
      <c r="O1938" s="102" t="str">
        <f aca="false">IF(C1938="","",IFERROR(INDEX(AK_KEL,MATCH(C1938,AK_NAMA,0)),"?"))</f>
        <v/>
      </c>
      <c r="P1938" s="102" t="str">
        <f aca="false">IF(D1938="","",IFERROR(INDEX(AK_KEL,MATCH(D1938,AK_NAMA,0)),"?"))</f>
        <v/>
      </c>
      <c r="Q1938" s="102" t="n">
        <f aca="false">N(Q1937)+IF(AND(N(E1938)&lt;&gt;0,K1938=TAHUN,N(J1938)&lt;=BLN,OR(C1938=BB_AKUN,D1938=BB_AKUN)),1,0)</f>
        <v>877</v>
      </c>
      <c r="R1938" s="104" t="str">
        <f aca="false">IF(OR(C1938&amp;D1938="",N(E1938)=0),"",IF(OR(O1938="?",P1938="?"),"⚠ akun tidak dikenal",IF(C1938=D1938,"⚠ debet = kredit","")))</f>
        <v/>
      </c>
    </row>
    <row r="1939" customFormat="false" ht="15" hidden="false" customHeight="false" outlineLevel="0" collapsed="false">
      <c r="A1939" s="5"/>
      <c r="B1939" s="83"/>
      <c r="C1939" s="5"/>
      <c r="D1939" s="5"/>
      <c r="E1939" s="44"/>
      <c r="F1939" s="5"/>
      <c r="G1939" s="5"/>
      <c r="H1939" s="5"/>
      <c r="I1939" s="5"/>
      <c r="J1939" s="102" t="str">
        <f aca="false">IF(B1939="","",MONTH(B1939))</f>
        <v/>
      </c>
      <c r="K1939" s="102" t="str">
        <f aca="false">IF(B1939="","",YEAR(B1939))</f>
        <v/>
      </c>
      <c r="L1939" s="102" t="str">
        <f aca="false">IF(N(E1939)=0,"",IF(COUNTIFS(AK_NAMA,C1939,AK_KAT,"KAS")+COUNTIFS(AK_NAMA,D1939,AK_KAT,"KAS")&lt;&gt;1,"",IF(COUNTIFS(AK_NAMA,C1939,AK_KAT,"KAS")=1,D1939,C1939)))</f>
        <v/>
      </c>
      <c r="M1939" s="103" t="n">
        <f aca="false">IF(L1939="",0,IF(L1939=D1939,E1939,-E1939))</f>
        <v>0</v>
      </c>
      <c r="N1939" s="102" t="str">
        <f aca="false">IF(L1939="","",IFERROR(INDEX(AK_BARIS,MATCH(L1939,AK_NAMA,0)),"?"))</f>
        <v/>
      </c>
      <c r="O1939" s="102" t="str">
        <f aca="false">IF(C1939="","",IFERROR(INDEX(AK_KEL,MATCH(C1939,AK_NAMA,0)),"?"))</f>
        <v/>
      </c>
      <c r="P1939" s="102" t="str">
        <f aca="false">IF(D1939="","",IFERROR(INDEX(AK_KEL,MATCH(D1939,AK_NAMA,0)),"?"))</f>
        <v/>
      </c>
      <c r="Q1939" s="102" t="n">
        <f aca="false">N(Q1938)+IF(AND(N(E1939)&lt;&gt;0,K1939=TAHUN,N(J1939)&lt;=BLN,OR(C1939=BB_AKUN,D1939=BB_AKUN)),1,0)</f>
        <v>877</v>
      </c>
      <c r="R1939" s="104" t="str">
        <f aca="false">IF(OR(C1939&amp;D1939="",N(E1939)=0),"",IF(OR(O1939="?",P1939="?"),"⚠ akun tidak dikenal",IF(C1939=D1939,"⚠ debet = kredit","")))</f>
        <v/>
      </c>
    </row>
    <row r="1940" customFormat="false" ht="15" hidden="false" customHeight="false" outlineLevel="0" collapsed="false">
      <c r="A1940" s="5"/>
      <c r="B1940" s="83"/>
      <c r="C1940" s="5"/>
      <c r="D1940" s="5"/>
      <c r="E1940" s="44"/>
      <c r="F1940" s="5"/>
      <c r="G1940" s="5"/>
      <c r="H1940" s="5"/>
      <c r="I1940" s="5"/>
      <c r="J1940" s="102" t="str">
        <f aca="false">IF(B1940="","",MONTH(B1940))</f>
        <v/>
      </c>
      <c r="K1940" s="102" t="str">
        <f aca="false">IF(B1940="","",YEAR(B1940))</f>
        <v/>
      </c>
      <c r="L1940" s="102" t="str">
        <f aca="false">IF(N(E1940)=0,"",IF(COUNTIFS(AK_NAMA,C1940,AK_KAT,"KAS")+COUNTIFS(AK_NAMA,D1940,AK_KAT,"KAS")&lt;&gt;1,"",IF(COUNTIFS(AK_NAMA,C1940,AK_KAT,"KAS")=1,D1940,C1940)))</f>
        <v/>
      </c>
      <c r="M1940" s="103" t="n">
        <f aca="false">IF(L1940="",0,IF(L1940=D1940,E1940,-E1940))</f>
        <v>0</v>
      </c>
      <c r="N1940" s="102" t="str">
        <f aca="false">IF(L1940="","",IFERROR(INDEX(AK_BARIS,MATCH(L1940,AK_NAMA,0)),"?"))</f>
        <v/>
      </c>
      <c r="O1940" s="102" t="str">
        <f aca="false">IF(C1940="","",IFERROR(INDEX(AK_KEL,MATCH(C1940,AK_NAMA,0)),"?"))</f>
        <v/>
      </c>
      <c r="P1940" s="102" t="str">
        <f aca="false">IF(D1940="","",IFERROR(INDEX(AK_KEL,MATCH(D1940,AK_NAMA,0)),"?"))</f>
        <v/>
      </c>
      <c r="Q1940" s="102" t="n">
        <f aca="false">N(Q1939)+IF(AND(N(E1940)&lt;&gt;0,K1940=TAHUN,N(J1940)&lt;=BLN,OR(C1940=BB_AKUN,D1940=BB_AKUN)),1,0)</f>
        <v>877</v>
      </c>
      <c r="R1940" s="104" t="str">
        <f aca="false">IF(OR(C1940&amp;D1940="",N(E1940)=0),"",IF(OR(O1940="?",P1940="?"),"⚠ akun tidak dikenal",IF(C1940=D1940,"⚠ debet = kredit","")))</f>
        <v/>
      </c>
    </row>
    <row r="1941" customFormat="false" ht="15" hidden="false" customHeight="false" outlineLevel="0" collapsed="false">
      <c r="A1941" s="5"/>
      <c r="B1941" s="83"/>
      <c r="C1941" s="5"/>
      <c r="D1941" s="5"/>
      <c r="E1941" s="44"/>
      <c r="F1941" s="5"/>
      <c r="G1941" s="5"/>
      <c r="H1941" s="5"/>
      <c r="I1941" s="5"/>
      <c r="J1941" s="102" t="str">
        <f aca="false">IF(B1941="","",MONTH(B1941))</f>
        <v/>
      </c>
      <c r="K1941" s="102" t="str">
        <f aca="false">IF(B1941="","",YEAR(B1941))</f>
        <v/>
      </c>
      <c r="L1941" s="102" t="str">
        <f aca="false">IF(N(E1941)=0,"",IF(COUNTIFS(AK_NAMA,C1941,AK_KAT,"KAS")+COUNTIFS(AK_NAMA,D1941,AK_KAT,"KAS")&lt;&gt;1,"",IF(COUNTIFS(AK_NAMA,C1941,AK_KAT,"KAS")=1,D1941,C1941)))</f>
        <v/>
      </c>
      <c r="M1941" s="103" t="n">
        <f aca="false">IF(L1941="",0,IF(L1941=D1941,E1941,-E1941))</f>
        <v>0</v>
      </c>
      <c r="N1941" s="102" t="str">
        <f aca="false">IF(L1941="","",IFERROR(INDEX(AK_BARIS,MATCH(L1941,AK_NAMA,0)),"?"))</f>
        <v/>
      </c>
      <c r="O1941" s="102" t="str">
        <f aca="false">IF(C1941="","",IFERROR(INDEX(AK_KEL,MATCH(C1941,AK_NAMA,0)),"?"))</f>
        <v/>
      </c>
      <c r="P1941" s="102" t="str">
        <f aca="false">IF(D1941="","",IFERROR(INDEX(AK_KEL,MATCH(D1941,AK_NAMA,0)),"?"))</f>
        <v/>
      </c>
      <c r="Q1941" s="102" t="n">
        <f aca="false">N(Q1940)+IF(AND(N(E1941)&lt;&gt;0,K1941=TAHUN,N(J1941)&lt;=BLN,OR(C1941=BB_AKUN,D1941=BB_AKUN)),1,0)</f>
        <v>877</v>
      </c>
      <c r="R1941" s="104" t="str">
        <f aca="false">IF(OR(C1941&amp;D1941="",N(E1941)=0),"",IF(OR(O1941="?",P1941="?"),"⚠ akun tidak dikenal",IF(C1941=D1941,"⚠ debet = kredit","")))</f>
        <v/>
      </c>
    </row>
    <row r="1942" customFormat="false" ht="15" hidden="false" customHeight="false" outlineLevel="0" collapsed="false">
      <c r="A1942" s="5"/>
      <c r="B1942" s="83"/>
      <c r="C1942" s="5"/>
      <c r="D1942" s="5"/>
      <c r="E1942" s="44"/>
      <c r="F1942" s="5"/>
      <c r="G1942" s="5"/>
      <c r="H1942" s="5"/>
      <c r="I1942" s="5"/>
      <c r="J1942" s="102" t="str">
        <f aca="false">IF(B1942="","",MONTH(B1942))</f>
        <v/>
      </c>
      <c r="K1942" s="102" t="str">
        <f aca="false">IF(B1942="","",YEAR(B1942))</f>
        <v/>
      </c>
      <c r="L1942" s="102" t="str">
        <f aca="false">IF(N(E1942)=0,"",IF(COUNTIFS(AK_NAMA,C1942,AK_KAT,"KAS")+COUNTIFS(AK_NAMA,D1942,AK_KAT,"KAS")&lt;&gt;1,"",IF(COUNTIFS(AK_NAMA,C1942,AK_KAT,"KAS")=1,D1942,C1942)))</f>
        <v/>
      </c>
      <c r="M1942" s="103" t="n">
        <f aca="false">IF(L1942="",0,IF(L1942=D1942,E1942,-E1942))</f>
        <v>0</v>
      </c>
      <c r="N1942" s="102" t="str">
        <f aca="false">IF(L1942="","",IFERROR(INDEX(AK_BARIS,MATCH(L1942,AK_NAMA,0)),"?"))</f>
        <v/>
      </c>
      <c r="O1942" s="102" t="str">
        <f aca="false">IF(C1942="","",IFERROR(INDEX(AK_KEL,MATCH(C1942,AK_NAMA,0)),"?"))</f>
        <v/>
      </c>
      <c r="P1942" s="102" t="str">
        <f aca="false">IF(D1942="","",IFERROR(INDEX(AK_KEL,MATCH(D1942,AK_NAMA,0)),"?"))</f>
        <v/>
      </c>
      <c r="Q1942" s="102" t="n">
        <f aca="false">N(Q1941)+IF(AND(N(E1942)&lt;&gt;0,K1942=TAHUN,N(J1942)&lt;=BLN,OR(C1942=BB_AKUN,D1942=BB_AKUN)),1,0)</f>
        <v>877</v>
      </c>
      <c r="R1942" s="104" t="str">
        <f aca="false">IF(OR(C1942&amp;D1942="",N(E1942)=0),"",IF(OR(O1942="?",P1942="?"),"⚠ akun tidak dikenal",IF(C1942=D1942,"⚠ debet = kredit","")))</f>
        <v/>
      </c>
    </row>
    <row r="1943" customFormat="false" ht="15" hidden="false" customHeight="false" outlineLevel="0" collapsed="false">
      <c r="A1943" s="5"/>
      <c r="B1943" s="83"/>
      <c r="C1943" s="5"/>
      <c r="D1943" s="5"/>
      <c r="E1943" s="44"/>
      <c r="F1943" s="5"/>
      <c r="G1943" s="5"/>
      <c r="H1943" s="5"/>
      <c r="I1943" s="5"/>
      <c r="J1943" s="102" t="str">
        <f aca="false">IF(B1943="","",MONTH(B1943))</f>
        <v/>
      </c>
      <c r="K1943" s="102" t="str">
        <f aca="false">IF(B1943="","",YEAR(B1943))</f>
        <v/>
      </c>
      <c r="L1943" s="102" t="str">
        <f aca="false">IF(N(E1943)=0,"",IF(COUNTIFS(AK_NAMA,C1943,AK_KAT,"KAS")+COUNTIFS(AK_NAMA,D1943,AK_KAT,"KAS")&lt;&gt;1,"",IF(COUNTIFS(AK_NAMA,C1943,AK_KAT,"KAS")=1,D1943,C1943)))</f>
        <v/>
      </c>
      <c r="M1943" s="103" t="n">
        <f aca="false">IF(L1943="",0,IF(L1943=D1943,E1943,-E1943))</f>
        <v>0</v>
      </c>
      <c r="N1943" s="102" t="str">
        <f aca="false">IF(L1943="","",IFERROR(INDEX(AK_BARIS,MATCH(L1943,AK_NAMA,0)),"?"))</f>
        <v/>
      </c>
      <c r="O1943" s="102" t="str">
        <f aca="false">IF(C1943="","",IFERROR(INDEX(AK_KEL,MATCH(C1943,AK_NAMA,0)),"?"))</f>
        <v/>
      </c>
      <c r="P1943" s="102" t="str">
        <f aca="false">IF(D1943="","",IFERROR(INDEX(AK_KEL,MATCH(D1943,AK_NAMA,0)),"?"))</f>
        <v/>
      </c>
      <c r="Q1943" s="102" t="n">
        <f aca="false">N(Q1942)+IF(AND(N(E1943)&lt;&gt;0,K1943=TAHUN,N(J1943)&lt;=BLN,OR(C1943=BB_AKUN,D1943=BB_AKUN)),1,0)</f>
        <v>877</v>
      </c>
      <c r="R1943" s="104" t="str">
        <f aca="false">IF(OR(C1943&amp;D1943="",N(E1943)=0),"",IF(OR(O1943="?",P1943="?"),"⚠ akun tidak dikenal",IF(C1943=D1943,"⚠ debet = kredit","")))</f>
        <v/>
      </c>
    </row>
    <row r="1944" customFormat="false" ht="15" hidden="false" customHeight="false" outlineLevel="0" collapsed="false">
      <c r="A1944" s="5"/>
      <c r="B1944" s="83"/>
      <c r="C1944" s="5"/>
      <c r="D1944" s="5"/>
      <c r="E1944" s="44"/>
      <c r="F1944" s="5"/>
      <c r="G1944" s="5"/>
      <c r="H1944" s="5"/>
      <c r="I1944" s="5"/>
      <c r="J1944" s="102" t="str">
        <f aca="false">IF(B1944="","",MONTH(B1944))</f>
        <v/>
      </c>
      <c r="K1944" s="102" t="str">
        <f aca="false">IF(B1944="","",YEAR(B1944))</f>
        <v/>
      </c>
      <c r="L1944" s="102" t="str">
        <f aca="false">IF(N(E1944)=0,"",IF(COUNTIFS(AK_NAMA,C1944,AK_KAT,"KAS")+COUNTIFS(AK_NAMA,D1944,AK_KAT,"KAS")&lt;&gt;1,"",IF(COUNTIFS(AK_NAMA,C1944,AK_KAT,"KAS")=1,D1944,C1944)))</f>
        <v/>
      </c>
      <c r="M1944" s="103" t="n">
        <f aca="false">IF(L1944="",0,IF(L1944=D1944,E1944,-E1944))</f>
        <v>0</v>
      </c>
      <c r="N1944" s="102" t="str">
        <f aca="false">IF(L1944="","",IFERROR(INDEX(AK_BARIS,MATCH(L1944,AK_NAMA,0)),"?"))</f>
        <v/>
      </c>
      <c r="O1944" s="102" t="str">
        <f aca="false">IF(C1944="","",IFERROR(INDEX(AK_KEL,MATCH(C1944,AK_NAMA,0)),"?"))</f>
        <v/>
      </c>
      <c r="P1944" s="102" t="str">
        <f aca="false">IF(D1944="","",IFERROR(INDEX(AK_KEL,MATCH(D1944,AK_NAMA,0)),"?"))</f>
        <v/>
      </c>
      <c r="Q1944" s="102" t="n">
        <f aca="false">N(Q1943)+IF(AND(N(E1944)&lt;&gt;0,K1944=TAHUN,N(J1944)&lt;=BLN,OR(C1944=BB_AKUN,D1944=BB_AKUN)),1,0)</f>
        <v>877</v>
      </c>
      <c r="R1944" s="104" t="str">
        <f aca="false">IF(OR(C1944&amp;D1944="",N(E1944)=0),"",IF(OR(O1944="?",P1944="?"),"⚠ akun tidak dikenal",IF(C1944=D1944,"⚠ debet = kredit","")))</f>
        <v/>
      </c>
    </row>
    <row r="1945" customFormat="false" ht="15" hidden="false" customHeight="false" outlineLevel="0" collapsed="false">
      <c r="A1945" s="5"/>
      <c r="B1945" s="83"/>
      <c r="C1945" s="5"/>
      <c r="D1945" s="5"/>
      <c r="E1945" s="44"/>
      <c r="F1945" s="5"/>
      <c r="G1945" s="5"/>
      <c r="H1945" s="5"/>
      <c r="I1945" s="5"/>
      <c r="J1945" s="102" t="str">
        <f aca="false">IF(B1945="","",MONTH(B1945))</f>
        <v/>
      </c>
      <c r="K1945" s="102" t="str">
        <f aca="false">IF(B1945="","",YEAR(B1945))</f>
        <v/>
      </c>
      <c r="L1945" s="102" t="str">
        <f aca="false">IF(N(E1945)=0,"",IF(COUNTIFS(AK_NAMA,C1945,AK_KAT,"KAS")+COUNTIFS(AK_NAMA,D1945,AK_KAT,"KAS")&lt;&gt;1,"",IF(COUNTIFS(AK_NAMA,C1945,AK_KAT,"KAS")=1,D1945,C1945)))</f>
        <v/>
      </c>
      <c r="M1945" s="103" t="n">
        <f aca="false">IF(L1945="",0,IF(L1945=D1945,E1945,-E1945))</f>
        <v>0</v>
      </c>
      <c r="N1945" s="102" t="str">
        <f aca="false">IF(L1945="","",IFERROR(INDEX(AK_BARIS,MATCH(L1945,AK_NAMA,0)),"?"))</f>
        <v/>
      </c>
      <c r="O1945" s="102" t="str">
        <f aca="false">IF(C1945="","",IFERROR(INDEX(AK_KEL,MATCH(C1945,AK_NAMA,0)),"?"))</f>
        <v/>
      </c>
      <c r="P1945" s="102" t="str">
        <f aca="false">IF(D1945="","",IFERROR(INDEX(AK_KEL,MATCH(D1945,AK_NAMA,0)),"?"))</f>
        <v/>
      </c>
      <c r="Q1945" s="102" t="n">
        <f aca="false">N(Q1944)+IF(AND(N(E1945)&lt;&gt;0,K1945=TAHUN,N(J1945)&lt;=BLN,OR(C1945=BB_AKUN,D1945=BB_AKUN)),1,0)</f>
        <v>877</v>
      </c>
      <c r="R1945" s="104" t="str">
        <f aca="false">IF(OR(C1945&amp;D1945="",N(E1945)=0),"",IF(OR(O1945="?",P1945="?"),"⚠ akun tidak dikenal",IF(C1945=D1945,"⚠ debet = kredit","")))</f>
        <v/>
      </c>
    </row>
    <row r="1946" customFormat="false" ht="15" hidden="false" customHeight="false" outlineLevel="0" collapsed="false">
      <c r="A1946" s="5"/>
      <c r="B1946" s="83"/>
      <c r="C1946" s="5"/>
      <c r="D1946" s="5"/>
      <c r="E1946" s="44"/>
      <c r="F1946" s="5"/>
      <c r="G1946" s="5"/>
      <c r="H1946" s="5"/>
      <c r="I1946" s="5"/>
      <c r="J1946" s="102" t="str">
        <f aca="false">IF(B1946="","",MONTH(B1946))</f>
        <v/>
      </c>
      <c r="K1946" s="102" t="str">
        <f aca="false">IF(B1946="","",YEAR(B1946))</f>
        <v/>
      </c>
      <c r="L1946" s="102" t="str">
        <f aca="false">IF(N(E1946)=0,"",IF(COUNTIFS(AK_NAMA,C1946,AK_KAT,"KAS")+COUNTIFS(AK_NAMA,D1946,AK_KAT,"KAS")&lt;&gt;1,"",IF(COUNTIFS(AK_NAMA,C1946,AK_KAT,"KAS")=1,D1946,C1946)))</f>
        <v/>
      </c>
      <c r="M1946" s="103" t="n">
        <f aca="false">IF(L1946="",0,IF(L1946=D1946,E1946,-E1946))</f>
        <v>0</v>
      </c>
      <c r="N1946" s="102" t="str">
        <f aca="false">IF(L1946="","",IFERROR(INDEX(AK_BARIS,MATCH(L1946,AK_NAMA,0)),"?"))</f>
        <v/>
      </c>
      <c r="O1946" s="102" t="str">
        <f aca="false">IF(C1946="","",IFERROR(INDEX(AK_KEL,MATCH(C1946,AK_NAMA,0)),"?"))</f>
        <v/>
      </c>
      <c r="P1946" s="102" t="str">
        <f aca="false">IF(D1946="","",IFERROR(INDEX(AK_KEL,MATCH(D1946,AK_NAMA,0)),"?"))</f>
        <v/>
      </c>
      <c r="Q1946" s="102" t="n">
        <f aca="false">N(Q1945)+IF(AND(N(E1946)&lt;&gt;0,K1946=TAHUN,N(J1946)&lt;=BLN,OR(C1946=BB_AKUN,D1946=BB_AKUN)),1,0)</f>
        <v>877</v>
      </c>
      <c r="R1946" s="104" t="str">
        <f aca="false">IF(OR(C1946&amp;D1946="",N(E1946)=0),"",IF(OR(O1946="?",P1946="?"),"⚠ akun tidak dikenal",IF(C1946=D1946,"⚠ debet = kredit","")))</f>
        <v/>
      </c>
    </row>
    <row r="1947" customFormat="false" ht="15" hidden="false" customHeight="false" outlineLevel="0" collapsed="false">
      <c r="A1947" s="5"/>
      <c r="B1947" s="83"/>
      <c r="C1947" s="5"/>
      <c r="D1947" s="5"/>
      <c r="E1947" s="44"/>
      <c r="F1947" s="5"/>
      <c r="G1947" s="5"/>
      <c r="H1947" s="5"/>
      <c r="I1947" s="5"/>
      <c r="J1947" s="102" t="str">
        <f aca="false">IF(B1947="","",MONTH(B1947))</f>
        <v/>
      </c>
      <c r="K1947" s="102" t="str">
        <f aca="false">IF(B1947="","",YEAR(B1947))</f>
        <v/>
      </c>
      <c r="L1947" s="102" t="str">
        <f aca="false">IF(N(E1947)=0,"",IF(COUNTIFS(AK_NAMA,C1947,AK_KAT,"KAS")+COUNTIFS(AK_NAMA,D1947,AK_KAT,"KAS")&lt;&gt;1,"",IF(COUNTIFS(AK_NAMA,C1947,AK_KAT,"KAS")=1,D1947,C1947)))</f>
        <v/>
      </c>
      <c r="M1947" s="103" t="n">
        <f aca="false">IF(L1947="",0,IF(L1947=D1947,E1947,-E1947))</f>
        <v>0</v>
      </c>
      <c r="N1947" s="102" t="str">
        <f aca="false">IF(L1947="","",IFERROR(INDEX(AK_BARIS,MATCH(L1947,AK_NAMA,0)),"?"))</f>
        <v/>
      </c>
      <c r="O1947" s="102" t="str">
        <f aca="false">IF(C1947="","",IFERROR(INDEX(AK_KEL,MATCH(C1947,AK_NAMA,0)),"?"))</f>
        <v/>
      </c>
      <c r="P1947" s="102" t="str">
        <f aca="false">IF(D1947="","",IFERROR(INDEX(AK_KEL,MATCH(D1947,AK_NAMA,0)),"?"))</f>
        <v/>
      </c>
      <c r="Q1947" s="102" t="n">
        <f aca="false">N(Q1946)+IF(AND(N(E1947)&lt;&gt;0,K1947=TAHUN,N(J1947)&lt;=BLN,OR(C1947=BB_AKUN,D1947=BB_AKUN)),1,0)</f>
        <v>877</v>
      </c>
      <c r="R1947" s="104" t="str">
        <f aca="false">IF(OR(C1947&amp;D1947="",N(E1947)=0),"",IF(OR(O1947="?",P1947="?"),"⚠ akun tidak dikenal",IF(C1947=D1947,"⚠ debet = kredit","")))</f>
        <v/>
      </c>
    </row>
    <row r="1948" customFormat="false" ht="15" hidden="false" customHeight="false" outlineLevel="0" collapsed="false">
      <c r="A1948" s="5"/>
      <c r="B1948" s="83"/>
      <c r="C1948" s="5"/>
      <c r="D1948" s="5"/>
      <c r="E1948" s="44"/>
      <c r="F1948" s="5"/>
      <c r="G1948" s="5"/>
      <c r="H1948" s="5"/>
      <c r="I1948" s="5"/>
      <c r="J1948" s="102" t="str">
        <f aca="false">IF(B1948="","",MONTH(B1948))</f>
        <v/>
      </c>
      <c r="K1948" s="102" t="str">
        <f aca="false">IF(B1948="","",YEAR(B1948))</f>
        <v/>
      </c>
      <c r="L1948" s="102" t="str">
        <f aca="false">IF(N(E1948)=0,"",IF(COUNTIFS(AK_NAMA,C1948,AK_KAT,"KAS")+COUNTIFS(AK_NAMA,D1948,AK_KAT,"KAS")&lt;&gt;1,"",IF(COUNTIFS(AK_NAMA,C1948,AK_KAT,"KAS")=1,D1948,C1948)))</f>
        <v/>
      </c>
      <c r="M1948" s="103" t="n">
        <f aca="false">IF(L1948="",0,IF(L1948=D1948,E1948,-E1948))</f>
        <v>0</v>
      </c>
      <c r="N1948" s="102" t="str">
        <f aca="false">IF(L1948="","",IFERROR(INDEX(AK_BARIS,MATCH(L1948,AK_NAMA,0)),"?"))</f>
        <v/>
      </c>
      <c r="O1948" s="102" t="str">
        <f aca="false">IF(C1948="","",IFERROR(INDEX(AK_KEL,MATCH(C1948,AK_NAMA,0)),"?"))</f>
        <v/>
      </c>
      <c r="P1948" s="102" t="str">
        <f aca="false">IF(D1948="","",IFERROR(INDEX(AK_KEL,MATCH(D1948,AK_NAMA,0)),"?"))</f>
        <v/>
      </c>
      <c r="Q1948" s="102" t="n">
        <f aca="false">N(Q1947)+IF(AND(N(E1948)&lt;&gt;0,K1948=TAHUN,N(J1948)&lt;=BLN,OR(C1948=BB_AKUN,D1948=BB_AKUN)),1,0)</f>
        <v>877</v>
      </c>
      <c r="R1948" s="104" t="str">
        <f aca="false">IF(OR(C1948&amp;D1948="",N(E1948)=0),"",IF(OR(O1948="?",P1948="?"),"⚠ akun tidak dikenal",IF(C1948=D1948,"⚠ debet = kredit","")))</f>
        <v/>
      </c>
    </row>
    <row r="1949" customFormat="false" ht="15" hidden="false" customHeight="false" outlineLevel="0" collapsed="false">
      <c r="A1949" s="5"/>
      <c r="B1949" s="83"/>
      <c r="C1949" s="5"/>
      <c r="D1949" s="5"/>
      <c r="E1949" s="44"/>
      <c r="F1949" s="5"/>
      <c r="G1949" s="5"/>
      <c r="H1949" s="5"/>
      <c r="I1949" s="5"/>
      <c r="J1949" s="102" t="str">
        <f aca="false">IF(B1949="","",MONTH(B1949))</f>
        <v/>
      </c>
      <c r="K1949" s="102" t="str">
        <f aca="false">IF(B1949="","",YEAR(B1949))</f>
        <v/>
      </c>
      <c r="L1949" s="102" t="str">
        <f aca="false">IF(N(E1949)=0,"",IF(COUNTIFS(AK_NAMA,C1949,AK_KAT,"KAS")+COUNTIFS(AK_NAMA,D1949,AK_KAT,"KAS")&lt;&gt;1,"",IF(COUNTIFS(AK_NAMA,C1949,AK_KAT,"KAS")=1,D1949,C1949)))</f>
        <v/>
      </c>
      <c r="M1949" s="103" t="n">
        <f aca="false">IF(L1949="",0,IF(L1949=D1949,E1949,-E1949))</f>
        <v>0</v>
      </c>
      <c r="N1949" s="102" t="str">
        <f aca="false">IF(L1949="","",IFERROR(INDEX(AK_BARIS,MATCH(L1949,AK_NAMA,0)),"?"))</f>
        <v/>
      </c>
      <c r="O1949" s="102" t="str">
        <f aca="false">IF(C1949="","",IFERROR(INDEX(AK_KEL,MATCH(C1949,AK_NAMA,0)),"?"))</f>
        <v/>
      </c>
      <c r="P1949" s="102" t="str">
        <f aca="false">IF(D1949="","",IFERROR(INDEX(AK_KEL,MATCH(D1949,AK_NAMA,0)),"?"))</f>
        <v/>
      </c>
      <c r="Q1949" s="102" t="n">
        <f aca="false">N(Q1948)+IF(AND(N(E1949)&lt;&gt;0,K1949=TAHUN,N(J1949)&lt;=BLN,OR(C1949=BB_AKUN,D1949=BB_AKUN)),1,0)</f>
        <v>877</v>
      </c>
      <c r="R1949" s="104" t="str">
        <f aca="false">IF(OR(C1949&amp;D1949="",N(E1949)=0),"",IF(OR(O1949="?",P1949="?"),"⚠ akun tidak dikenal",IF(C1949=D1949,"⚠ debet = kredit","")))</f>
        <v/>
      </c>
    </row>
    <row r="1950" customFormat="false" ht="15" hidden="false" customHeight="false" outlineLevel="0" collapsed="false">
      <c r="A1950" s="5"/>
      <c r="B1950" s="83"/>
      <c r="C1950" s="5"/>
      <c r="D1950" s="5"/>
      <c r="E1950" s="44"/>
      <c r="F1950" s="5"/>
      <c r="G1950" s="5"/>
      <c r="H1950" s="5"/>
      <c r="I1950" s="5"/>
      <c r="J1950" s="102" t="str">
        <f aca="false">IF(B1950="","",MONTH(B1950))</f>
        <v/>
      </c>
      <c r="K1950" s="102" t="str">
        <f aca="false">IF(B1950="","",YEAR(B1950))</f>
        <v/>
      </c>
      <c r="L1950" s="102" t="str">
        <f aca="false">IF(N(E1950)=0,"",IF(COUNTIFS(AK_NAMA,C1950,AK_KAT,"KAS")+COUNTIFS(AK_NAMA,D1950,AK_KAT,"KAS")&lt;&gt;1,"",IF(COUNTIFS(AK_NAMA,C1950,AK_KAT,"KAS")=1,D1950,C1950)))</f>
        <v/>
      </c>
      <c r="M1950" s="103" t="n">
        <f aca="false">IF(L1950="",0,IF(L1950=D1950,E1950,-E1950))</f>
        <v>0</v>
      </c>
      <c r="N1950" s="102" t="str">
        <f aca="false">IF(L1950="","",IFERROR(INDEX(AK_BARIS,MATCH(L1950,AK_NAMA,0)),"?"))</f>
        <v/>
      </c>
      <c r="O1950" s="102" t="str">
        <f aca="false">IF(C1950="","",IFERROR(INDEX(AK_KEL,MATCH(C1950,AK_NAMA,0)),"?"))</f>
        <v/>
      </c>
      <c r="P1950" s="102" t="str">
        <f aca="false">IF(D1950="","",IFERROR(INDEX(AK_KEL,MATCH(D1950,AK_NAMA,0)),"?"))</f>
        <v/>
      </c>
      <c r="Q1950" s="102" t="n">
        <f aca="false">N(Q1949)+IF(AND(N(E1950)&lt;&gt;0,K1950=TAHUN,N(J1950)&lt;=BLN,OR(C1950=BB_AKUN,D1950=BB_AKUN)),1,0)</f>
        <v>877</v>
      </c>
      <c r="R1950" s="104" t="str">
        <f aca="false">IF(OR(C1950&amp;D1950="",N(E1950)=0),"",IF(OR(O1950="?",P1950="?"),"⚠ akun tidak dikenal",IF(C1950=D1950,"⚠ debet = kredit","")))</f>
        <v/>
      </c>
    </row>
    <row r="1951" customFormat="false" ht="15" hidden="false" customHeight="false" outlineLevel="0" collapsed="false">
      <c r="A1951" s="5"/>
      <c r="B1951" s="83"/>
      <c r="C1951" s="5"/>
      <c r="D1951" s="5"/>
      <c r="E1951" s="44"/>
      <c r="F1951" s="5"/>
      <c r="G1951" s="5"/>
      <c r="H1951" s="5"/>
      <c r="I1951" s="5"/>
      <c r="J1951" s="102" t="str">
        <f aca="false">IF(B1951="","",MONTH(B1951))</f>
        <v/>
      </c>
      <c r="K1951" s="102" t="str">
        <f aca="false">IF(B1951="","",YEAR(B1951))</f>
        <v/>
      </c>
      <c r="L1951" s="102" t="str">
        <f aca="false">IF(N(E1951)=0,"",IF(COUNTIFS(AK_NAMA,C1951,AK_KAT,"KAS")+COUNTIFS(AK_NAMA,D1951,AK_KAT,"KAS")&lt;&gt;1,"",IF(COUNTIFS(AK_NAMA,C1951,AK_KAT,"KAS")=1,D1951,C1951)))</f>
        <v/>
      </c>
      <c r="M1951" s="103" t="n">
        <f aca="false">IF(L1951="",0,IF(L1951=D1951,E1951,-E1951))</f>
        <v>0</v>
      </c>
      <c r="N1951" s="102" t="str">
        <f aca="false">IF(L1951="","",IFERROR(INDEX(AK_BARIS,MATCH(L1951,AK_NAMA,0)),"?"))</f>
        <v/>
      </c>
      <c r="O1951" s="102" t="str">
        <f aca="false">IF(C1951="","",IFERROR(INDEX(AK_KEL,MATCH(C1951,AK_NAMA,0)),"?"))</f>
        <v/>
      </c>
      <c r="P1951" s="102" t="str">
        <f aca="false">IF(D1951="","",IFERROR(INDEX(AK_KEL,MATCH(D1951,AK_NAMA,0)),"?"))</f>
        <v/>
      </c>
      <c r="Q1951" s="102" t="n">
        <f aca="false">N(Q1950)+IF(AND(N(E1951)&lt;&gt;0,K1951=TAHUN,N(J1951)&lt;=BLN,OR(C1951=BB_AKUN,D1951=BB_AKUN)),1,0)</f>
        <v>877</v>
      </c>
      <c r="R1951" s="104" t="str">
        <f aca="false">IF(OR(C1951&amp;D1951="",N(E1951)=0),"",IF(OR(O1951="?",P1951="?"),"⚠ akun tidak dikenal",IF(C1951=D1951,"⚠ debet = kredit","")))</f>
        <v/>
      </c>
    </row>
    <row r="1952" customFormat="false" ht="15" hidden="false" customHeight="false" outlineLevel="0" collapsed="false">
      <c r="A1952" s="5"/>
      <c r="B1952" s="83"/>
      <c r="C1952" s="5"/>
      <c r="D1952" s="5"/>
      <c r="E1952" s="44"/>
      <c r="F1952" s="5"/>
      <c r="G1952" s="5"/>
      <c r="H1952" s="5"/>
      <c r="I1952" s="5"/>
      <c r="J1952" s="102" t="str">
        <f aca="false">IF(B1952="","",MONTH(B1952))</f>
        <v/>
      </c>
      <c r="K1952" s="102" t="str">
        <f aca="false">IF(B1952="","",YEAR(B1952))</f>
        <v/>
      </c>
      <c r="L1952" s="102" t="str">
        <f aca="false">IF(N(E1952)=0,"",IF(COUNTIFS(AK_NAMA,C1952,AK_KAT,"KAS")+COUNTIFS(AK_NAMA,D1952,AK_KAT,"KAS")&lt;&gt;1,"",IF(COUNTIFS(AK_NAMA,C1952,AK_KAT,"KAS")=1,D1952,C1952)))</f>
        <v/>
      </c>
      <c r="M1952" s="103" t="n">
        <f aca="false">IF(L1952="",0,IF(L1952=D1952,E1952,-E1952))</f>
        <v>0</v>
      </c>
      <c r="N1952" s="102" t="str">
        <f aca="false">IF(L1952="","",IFERROR(INDEX(AK_BARIS,MATCH(L1952,AK_NAMA,0)),"?"))</f>
        <v/>
      </c>
      <c r="O1952" s="102" t="str">
        <f aca="false">IF(C1952="","",IFERROR(INDEX(AK_KEL,MATCH(C1952,AK_NAMA,0)),"?"))</f>
        <v/>
      </c>
      <c r="P1952" s="102" t="str">
        <f aca="false">IF(D1952="","",IFERROR(INDEX(AK_KEL,MATCH(D1952,AK_NAMA,0)),"?"))</f>
        <v/>
      </c>
      <c r="Q1952" s="102" t="n">
        <f aca="false">N(Q1951)+IF(AND(N(E1952)&lt;&gt;0,K1952=TAHUN,N(J1952)&lt;=BLN,OR(C1952=BB_AKUN,D1952=BB_AKUN)),1,0)</f>
        <v>877</v>
      </c>
      <c r="R1952" s="104" t="str">
        <f aca="false">IF(OR(C1952&amp;D1952="",N(E1952)=0),"",IF(OR(O1952="?",P1952="?"),"⚠ akun tidak dikenal",IF(C1952=D1952,"⚠ debet = kredit","")))</f>
        <v/>
      </c>
    </row>
    <row r="1953" customFormat="false" ht="15" hidden="false" customHeight="false" outlineLevel="0" collapsed="false">
      <c r="A1953" s="5"/>
      <c r="B1953" s="83"/>
      <c r="C1953" s="5"/>
      <c r="D1953" s="5"/>
      <c r="E1953" s="44"/>
      <c r="F1953" s="5"/>
      <c r="G1953" s="5"/>
      <c r="H1953" s="5"/>
      <c r="I1953" s="5"/>
      <c r="J1953" s="102" t="str">
        <f aca="false">IF(B1953="","",MONTH(B1953))</f>
        <v/>
      </c>
      <c r="K1953" s="102" t="str">
        <f aca="false">IF(B1953="","",YEAR(B1953))</f>
        <v/>
      </c>
      <c r="L1953" s="102" t="str">
        <f aca="false">IF(N(E1953)=0,"",IF(COUNTIFS(AK_NAMA,C1953,AK_KAT,"KAS")+COUNTIFS(AK_NAMA,D1953,AK_KAT,"KAS")&lt;&gt;1,"",IF(COUNTIFS(AK_NAMA,C1953,AK_KAT,"KAS")=1,D1953,C1953)))</f>
        <v/>
      </c>
      <c r="M1953" s="103" t="n">
        <f aca="false">IF(L1953="",0,IF(L1953=D1953,E1953,-E1953))</f>
        <v>0</v>
      </c>
      <c r="N1953" s="102" t="str">
        <f aca="false">IF(L1953="","",IFERROR(INDEX(AK_BARIS,MATCH(L1953,AK_NAMA,0)),"?"))</f>
        <v/>
      </c>
      <c r="O1953" s="102" t="str">
        <f aca="false">IF(C1953="","",IFERROR(INDEX(AK_KEL,MATCH(C1953,AK_NAMA,0)),"?"))</f>
        <v/>
      </c>
      <c r="P1953" s="102" t="str">
        <f aca="false">IF(D1953="","",IFERROR(INDEX(AK_KEL,MATCH(D1953,AK_NAMA,0)),"?"))</f>
        <v/>
      </c>
      <c r="Q1953" s="102" t="n">
        <f aca="false">N(Q1952)+IF(AND(N(E1953)&lt;&gt;0,K1953=TAHUN,N(J1953)&lt;=BLN,OR(C1953=BB_AKUN,D1953=BB_AKUN)),1,0)</f>
        <v>877</v>
      </c>
      <c r="R1953" s="104" t="str">
        <f aca="false">IF(OR(C1953&amp;D1953="",N(E1953)=0),"",IF(OR(O1953="?",P1953="?"),"⚠ akun tidak dikenal",IF(C1953=D1953,"⚠ debet = kredit","")))</f>
        <v/>
      </c>
    </row>
    <row r="1954" customFormat="false" ht="15" hidden="false" customHeight="false" outlineLevel="0" collapsed="false">
      <c r="A1954" s="5"/>
      <c r="B1954" s="83"/>
      <c r="C1954" s="5"/>
      <c r="D1954" s="5"/>
      <c r="E1954" s="44"/>
      <c r="F1954" s="5"/>
      <c r="G1954" s="5"/>
      <c r="H1954" s="5"/>
      <c r="I1954" s="5"/>
      <c r="J1954" s="102" t="str">
        <f aca="false">IF(B1954="","",MONTH(B1954))</f>
        <v/>
      </c>
      <c r="K1954" s="102" t="str">
        <f aca="false">IF(B1954="","",YEAR(B1954))</f>
        <v/>
      </c>
      <c r="L1954" s="102" t="str">
        <f aca="false">IF(N(E1954)=0,"",IF(COUNTIFS(AK_NAMA,C1954,AK_KAT,"KAS")+COUNTIFS(AK_NAMA,D1954,AK_KAT,"KAS")&lt;&gt;1,"",IF(COUNTIFS(AK_NAMA,C1954,AK_KAT,"KAS")=1,D1954,C1954)))</f>
        <v/>
      </c>
      <c r="M1954" s="103" t="n">
        <f aca="false">IF(L1954="",0,IF(L1954=D1954,E1954,-E1954))</f>
        <v>0</v>
      </c>
      <c r="N1954" s="102" t="str">
        <f aca="false">IF(L1954="","",IFERROR(INDEX(AK_BARIS,MATCH(L1954,AK_NAMA,0)),"?"))</f>
        <v/>
      </c>
      <c r="O1954" s="102" t="str">
        <f aca="false">IF(C1954="","",IFERROR(INDEX(AK_KEL,MATCH(C1954,AK_NAMA,0)),"?"))</f>
        <v/>
      </c>
      <c r="P1954" s="102" t="str">
        <f aca="false">IF(D1954="","",IFERROR(INDEX(AK_KEL,MATCH(D1954,AK_NAMA,0)),"?"))</f>
        <v/>
      </c>
      <c r="Q1954" s="102" t="n">
        <f aca="false">N(Q1953)+IF(AND(N(E1954)&lt;&gt;0,K1954=TAHUN,N(J1954)&lt;=BLN,OR(C1954=BB_AKUN,D1954=BB_AKUN)),1,0)</f>
        <v>877</v>
      </c>
      <c r="R1954" s="104" t="str">
        <f aca="false">IF(OR(C1954&amp;D1954="",N(E1954)=0),"",IF(OR(O1954="?",P1954="?"),"⚠ akun tidak dikenal",IF(C1954=D1954,"⚠ debet = kredit","")))</f>
        <v/>
      </c>
    </row>
    <row r="1955" customFormat="false" ht="15" hidden="false" customHeight="false" outlineLevel="0" collapsed="false">
      <c r="A1955" s="5"/>
      <c r="B1955" s="83"/>
      <c r="C1955" s="5"/>
      <c r="D1955" s="5"/>
      <c r="E1955" s="44"/>
      <c r="F1955" s="5"/>
      <c r="G1955" s="5"/>
      <c r="H1955" s="5"/>
      <c r="I1955" s="5"/>
      <c r="J1955" s="102" t="str">
        <f aca="false">IF(B1955="","",MONTH(B1955))</f>
        <v/>
      </c>
      <c r="K1955" s="102" t="str">
        <f aca="false">IF(B1955="","",YEAR(B1955))</f>
        <v/>
      </c>
      <c r="L1955" s="102" t="str">
        <f aca="false">IF(N(E1955)=0,"",IF(COUNTIFS(AK_NAMA,C1955,AK_KAT,"KAS")+COUNTIFS(AK_NAMA,D1955,AK_KAT,"KAS")&lt;&gt;1,"",IF(COUNTIFS(AK_NAMA,C1955,AK_KAT,"KAS")=1,D1955,C1955)))</f>
        <v/>
      </c>
      <c r="M1955" s="103" t="n">
        <f aca="false">IF(L1955="",0,IF(L1955=D1955,E1955,-E1955))</f>
        <v>0</v>
      </c>
      <c r="N1955" s="102" t="str">
        <f aca="false">IF(L1955="","",IFERROR(INDEX(AK_BARIS,MATCH(L1955,AK_NAMA,0)),"?"))</f>
        <v/>
      </c>
      <c r="O1955" s="102" t="str">
        <f aca="false">IF(C1955="","",IFERROR(INDEX(AK_KEL,MATCH(C1955,AK_NAMA,0)),"?"))</f>
        <v/>
      </c>
      <c r="P1955" s="102" t="str">
        <f aca="false">IF(D1955="","",IFERROR(INDEX(AK_KEL,MATCH(D1955,AK_NAMA,0)),"?"))</f>
        <v/>
      </c>
      <c r="Q1955" s="102" t="n">
        <f aca="false">N(Q1954)+IF(AND(N(E1955)&lt;&gt;0,K1955=TAHUN,N(J1955)&lt;=BLN,OR(C1955=BB_AKUN,D1955=BB_AKUN)),1,0)</f>
        <v>877</v>
      </c>
      <c r="R1955" s="104" t="str">
        <f aca="false">IF(OR(C1955&amp;D1955="",N(E1955)=0),"",IF(OR(O1955="?",P1955="?"),"⚠ akun tidak dikenal",IF(C1955=D1955,"⚠ debet = kredit","")))</f>
        <v/>
      </c>
    </row>
    <row r="1956" customFormat="false" ht="15" hidden="false" customHeight="false" outlineLevel="0" collapsed="false">
      <c r="A1956" s="5"/>
      <c r="B1956" s="83"/>
      <c r="C1956" s="5"/>
      <c r="D1956" s="5"/>
      <c r="E1956" s="44"/>
      <c r="F1956" s="5"/>
      <c r="G1956" s="5"/>
      <c r="H1956" s="5"/>
      <c r="I1956" s="5"/>
      <c r="J1956" s="102" t="str">
        <f aca="false">IF(B1956="","",MONTH(B1956))</f>
        <v/>
      </c>
      <c r="K1956" s="102" t="str">
        <f aca="false">IF(B1956="","",YEAR(B1956))</f>
        <v/>
      </c>
      <c r="L1956" s="102" t="str">
        <f aca="false">IF(N(E1956)=0,"",IF(COUNTIFS(AK_NAMA,C1956,AK_KAT,"KAS")+COUNTIFS(AK_NAMA,D1956,AK_KAT,"KAS")&lt;&gt;1,"",IF(COUNTIFS(AK_NAMA,C1956,AK_KAT,"KAS")=1,D1956,C1956)))</f>
        <v/>
      </c>
      <c r="M1956" s="103" t="n">
        <f aca="false">IF(L1956="",0,IF(L1956=D1956,E1956,-E1956))</f>
        <v>0</v>
      </c>
      <c r="N1956" s="102" t="str">
        <f aca="false">IF(L1956="","",IFERROR(INDEX(AK_BARIS,MATCH(L1956,AK_NAMA,0)),"?"))</f>
        <v/>
      </c>
      <c r="O1956" s="102" t="str">
        <f aca="false">IF(C1956="","",IFERROR(INDEX(AK_KEL,MATCH(C1956,AK_NAMA,0)),"?"))</f>
        <v/>
      </c>
      <c r="P1956" s="102" t="str">
        <f aca="false">IF(D1956="","",IFERROR(INDEX(AK_KEL,MATCH(D1956,AK_NAMA,0)),"?"))</f>
        <v/>
      </c>
      <c r="Q1956" s="102" t="n">
        <f aca="false">N(Q1955)+IF(AND(N(E1956)&lt;&gt;0,K1956=TAHUN,N(J1956)&lt;=BLN,OR(C1956=BB_AKUN,D1956=BB_AKUN)),1,0)</f>
        <v>877</v>
      </c>
      <c r="R1956" s="104" t="str">
        <f aca="false">IF(OR(C1956&amp;D1956="",N(E1956)=0),"",IF(OR(O1956="?",P1956="?"),"⚠ akun tidak dikenal",IF(C1956=D1956,"⚠ debet = kredit","")))</f>
        <v/>
      </c>
    </row>
    <row r="1957" customFormat="false" ht="15" hidden="false" customHeight="false" outlineLevel="0" collapsed="false">
      <c r="A1957" s="5"/>
      <c r="B1957" s="83"/>
      <c r="C1957" s="5"/>
      <c r="D1957" s="5"/>
      <c r="E1957" s="44"/>
      <c r="F1957" s="5"/>
      <c r="G1957" s="5"/>
      <c r="H1957" s="5"/>
      <c r="I1957" s="5"/>
      <c r="J1957" s="102" t="str">
        <f aca="false">IF(B1957="","",MONTH(B1957))</f>
        <v/>
      </c>
      <c r="K1957" s="102" t="str">
        <f aca="false">IF(B1957="","",YEAR(B1957))</f>
        <v/>
      </c>
      <c r="L1957" s="102" t="str">
        <f aca="false">IF(N(E1957)=0,"",IF(COUNTIFS(AK_NAMA,C1957,AK_KAT,"KAS")+COUNTIFS(AK_NAMA,D1957,AK_KAT,"KAS")&lt;&gt;1,"",IF(COUNTIFS(AK_NAMA,C1957,AK_KAT,"KAS")=1,D1957,C1957)))</f>
        <v/>
      </c>
      <c r="M1957" s="103" t="n">
        <f aca="false">IF(L1957="",0,IF(L1957=D1957,E1957,-E1957))</f>
        <v>0</v>
      </c>
      <c r="N1957" s="102" t="str">
        <f aca="false">IF(L1957="","",IFERROR(INDEX(AK_BARIS,MATCH(L1957,AK_NAMA,0)),"?"))</f>
        <v/>
      </c>
      <c r="O1957" s="102" t="str">
        <f aca="false">IF(C1957="","",IFERROR(INDEX(AK_KEL,MATCH(C1957,AK_NAMA,0)),"?"))</f>
        <v/>
      </c>
      <c r="P1957" s="102" t="str">
        <f aca="false">IF(D1957="","",IFERROR(INDEX(AK_KEL,MATCH(D1957,AK_NAMA,0)),"?"))</f>
        <v/>
      </c>
      <c r="Q1957" s="102" t="n">
        <f aca="false">N(Q1956)+IF(AND(N(E1957)&lt;&gt;0,K1957=TAHUN,N(J1957)&lt;=BLN,OR(C1957=BB_AKUN,D1957=BB_AKUN)),1,0)</f>
        <v>877</v>
      </c>
      <c r="R1957" s="104" t="str">
        <f aca="false">IF(OR(C1957&amp;D1957="",N(E1957)=0),"",IF(OR(O1957="?",P1957="?"),"⚠ akun tidak dikenal",IF(C1957=D1957,"⚠ debet = kredit","")))</f>
        <v/>
      </c>
    </row>
    <row r="1958" customFormat="false" ht="15" hidden="false" customHeight="false" outlineLevel="0" collapsed="false">
      <c r="A1958" s="5"/>
      <c r="B1958" s="83"/>
      <c r="C1958" s="5"/>
      <c r="D1958" s="5"/>
      <c r="E1958" s="44"/>
      <c r="F1958" s="5"/>
      <c r="G1958" s="5"/>
      <c r="H1958" s="5"/>
      <c r="I1958" s="5"/>
      <c r="J1958" s="102" t="str">
        <f aca="false">IF(B1958="","",MONTH(B1958))</f>
        <v/>
      </c>
      <c r="K1958" s="102" t="str">
        <f aca="false">IF(B1958="","",YEAR(B1958))</f>
        <v/>
      </c>
      <c r="L1958" s="102" t="str">
        <f aca="false">IF(N(E1958)=0,"",IF(COUNTIFS(AK_NAMA,C1958,AK_KAT,"KAS")+COUNTIFS(AK_NAMA,D1958,AK_KAT,"KAS")&lt;&gt;1,"",IF(COUNTIFS(AK_NAMA,C1958,AK_KAT,"KAS")=1,D1958,C1958)))</f>
        <v/>
      </c>
      <c r="M1958" s="103" t="n">
        <f aca="false">IF(L1958="",0,IF(L1958=D1958,E1958,-E1958))</f>
        <v>0</v>
      </c>
      <c r="N1958" s="102" t="str">
        <f aca="false">IF(L1958="","",IFERROR(INDEX(AK_BARIS,MATCH(L1958,AK_NAMA,0)),"?"))</f>
        <v/>
      </c>
      <c r="O1958" s="102" t="str">
        <f aca="false">IF(C1958="","",IFERROR(INDEX(AK_KEL,MATCH(C1958,AK_NAMA,0)),"?"))</f>
        <v/>
      </c>
      <c r="P1958" s="102" t="str">
        <f aca="false">IF(D1958="","",IFERROR(INDEX(AK_KEL,MATCH(D1958,AK_NAMA,0)),"?"))</f>
        <v/>
      </c>
      <c r="Q1958" s="102" t="n">
        <f aca="false">N(Q1957)+IF(AND(N(E1958)&lt;&gt;0,K1958=TAHUN,N(J1958)&lt;=BLN,OR(C1958=BB_AKUN,D1958=BB_AKUN)),1,0)</f>
        <v>877</v>
      </c>
      <c r="R1958" s="104" t="str">
        <f aca="false">IF(OR(C1958&amp;D1958="",N(E1958)=0),"",IF(OR(O1958="?",P1958="?"),"⚠ akun tidak dikenal",IF(C1958=D1958,"⚠ debet = kredit","")))</f>
        <v/>
      </c>
    </row>
    <row r="1959" customFormat="false" ht="15" hidden="false" customHeight="false" outlineLevel="0" collapsed="false">
      <c r="A1959" s="5"/>
      <c r="B1959" s="83"/>
      <c r="C1959" s="5"/>
      <c r="D1959" s="5"/>
      <c r="E1959" s="44"/>
      <c r="F1959" s="5"/>
      <c r="G1959" s="5"/>
      <c r="H1959" s="5"/>
      <c r="I1959" s="5"/>
      <c r="J1959" s="102" t="str">
        <f aca="false">IF(B1959="","",MONTH(B1959))</f>
        <v/>
      </c>
      <c r="K1959" s="102" t="str">
        <f aca="false">IF(B1959="","",YEAR(B1959))</f>
        <v/>
      </c>
      <c r="L1959" s="102" t="str">
        <f aca="false">IF(N(E1959)=0,"",IF(COUNTIFS(AK_NAMA,C1959,AK_KAT,"KAS")+COUNTIFS(AK_NAMA,D1959,AK_KAT,"KAS")&lt;&gt;1,"",IF(COUNTIFS(AK_NAMA,C1959,AK_KAT,"KAS")=1,D1959,C1959)))</f>
        <v/>
      </c>
      <c r="M1959" s="103" t="n">
        <f aca="false">IF(L1959="",0,IF(L1959=D1959,E1959,-E1959))</f>
        <v>0</v>
      </c>
      <c r="N1959" s="102" t="str">
        <f aca="false">IF(L1959="","",IFERROR(INDEX(AK_BARIS,MATCH(L1959,AK_NAMA,0)),"?"))</f>
        <v/>
      </c>
      <c r="O1959" s="102" t="str">
        <f aca="false">IF(C1959="","",IFERROR(INDEX(AK_KEL,MATCH(C1959,AK_NAMA,0)),"?"))</f>
        <v/>
      </c>
      <c r="P1959" s="102" t="str">
        <f aca="false">IF(D1959="","",IFERROR(INDEX(AK_KEL,MATCH(D1959,AK_NAMA,0)),"?"))</f>
        <v/>
      </c>
      <c r="Q1959" s="102" t="n">
        <f aca="false">N(Q1958)+IF(AND(N(E1959)&lt;&gt;0,K1959=TAHUN,N(J1959)&lt;=BLN,OR(C1959=BB_AKUN,D1959=BB_AKUN)),1,0)</f>
        <v>877</v>
      </c>
      <c r="R1959" s="104" t="str">
        <f aca="false">IF(OR(C1959&amp;D1959="",N(E1959)=0),"",IF(OR(O1959="?",P1959="?"),"⚠ akun tidak dikenal",IF(C1959=D1959,"⚠ debet = kredit","")))</f>
        <v/>
      </c>
    </row>
    <row r="1960" customFormat="false" ht="15" hidden="false" customHeight="false" outlineLevel="0" collapsed="false">
      <c r="A1960" s="5"/>
      <c r="B1960" s="83"/>
      <c r="C1960" s="5"/>
      <c r="D1960" s="5"/>
      <c r="E1960" s="44"/>
      <c r="F1960" s="5"/>
      <c r="G1960" s="5"/>
      <c r="H1960" s="5"/>
      <c r="I1960" s="5"/>
      <c r="J1960" s="102" t="str">
        <f aca="false">IF(B1960="","",MONTH(B1960))</f>
        <v/>
      </c>
      <c r="K1960" s="102" t="str">
        <f aca="false">IF(B1960="","",YEAR(B1960))</f>
        <v/>
      </c>
      <c r="L1960" s="102" t="str">
        <f aca="false">IF(N(E1960)=0,"",IF(COUNTIFS(AK_NAMA,C1960,AK_KAT,"KAS")+COUNTIFS(AK_NAMA,D1960,AK_KAT,"KAS")&lt;&gt;1,"",IF(COUNTIFS(AK_NAMA,C1960,AK_KAT,"KAS")=1,D1960,C1960)))</f>
        <v/>
      </c>
      <c r="M1960" s="103" t="n">
        <f aca="false">IF(L1960="",0,IF(L1960=D1960,E1960,-E1960))</f>
        <v>0</v>
      </c>
      <c r="N1960" s="102" t="str">
        <f aca="false">IF(L1960="","",IFERROR(INDEX(AK_BARIS,MATCH(L1960,AK_NAMA,0)),"?"))</f>
        <v/>
      </c>
      <c r="O1960" s="102" t="str">
        <f aca="false">IF(C1960="","",IFERROR(INDEX(AK_KEL,MATCH(C1960,AK_NAMA,0)),"?"))</f>
        <v/>
      </c>
      <c r="P1960" s="102" t="str">
        <f aca="false">IF(D1960="","",IFERROR(INDEX(AK_KEL,MATCH(D1960,AK_NAMA,0)),"?"))</f>
        <v/>
      </c>
      <c r="Q1960" s="102" t="n">
        <f aca="false">N(Q1959)+IF(AND(N(E1960)&lt;&gt;0,K1960=TAHUN,N(J1960)&lt;=BLN,OR(C1960=BB_AKUN,D1960=BB_AKUN)),1,0)</f>
        <v>877</v>
      </c>
      <c r="R1960" s="104" t="str">
        <f aca="false">IF(OR(C1960&amp;D1960="",N(E1960)=0),"",IF(OR(O1960="?",P1960="?"),"⚠ akun tidak dikenal",IF(C1960=D1960,"⚠ debet = kredit","")))</f>
        <v/>
      </c>
    </row>
    <row r="1961" customFormat="false" ht="15" hidden="false" customHeight="false" outlineLevel="0" collapsed="false">
      <c r="A1961" s="5"/>
      <c r="B1961" s="83"/>
      <c r="C1961" s="5"/>
      <c r="D1961" s="5"/>
      <c r="E1961" s="44"/>
      <c r="F1961" s="5"/>
      <c r="G1961" s="5"/>
      <c r="H1961" s="5"/>
      <c r="I1961" s="5"/>
      <c r="J1961" s="102" t="str">
        <f aca="false">IF(B1961="","",MONTH(B1961))</f>
        <v/>
      </c>
      <c r="K1961" s="102" t="str">
        <f aca="false">IF(B1961="","",YEAR(B1961))</f>
        <v/>
      </c>
      <c r="L1961" s="102" t="str">
        <f aca="false">IF(N(E1961)=0,"",IF(COUNTIFS(AK_NAMA,C1961,AK_KAT,"KAS")+COUNTIFS(AK_NAMA,D1961,AK_KAT,"KAS")&lt;&gt;1,"",IF(COUNTIFS(AK_NAMA,C1961,AK_KAT,"KAS")=1,D1961,C1961)))</f>
        <v/>
      </c>
      <c r="M1961" s="103" t="n">
        <f aca="false">IF(L1961="",0,IF(L1961=D1961,E1961,-E1961))</f>
        <v>0</v>
      </c>
      <c r="N1961" s="102" t="str">
        <f aca="false">IF(L1961="","",IFERROR(INDEX(AK_BARIS,MATCH(L1961,AK_NAMA,0)),"?"))</f>
        <v/>
      </c>
      <c r="O1961" s="102" t="str">
        <f aca="false">IF(C1961="","",IFERROR(INDEX(AK_KEL,MATCH(C1961,AK_NAMA,0)),"?"))</f>
        <v/>
      </c>
      <c r="P1961" s="102" t="str">
        <f aca="false">IF(D1961="","",IFERROR(INDEX(AK_KEL,MATCH(D1961,AK_NAMA,0)),"?"))</f>
        <v/>
      </c>
      <c r="Q1961" s="102" t="n">
        <f aca="false">N(Q1960)+IF(AND(N(E1961)&lt;&gt;0,K1961=TAHUN,N(J1961)&lt;=BLN,OR(C1961=BB_AKUN,D1961=BB_AKUN)),1,0)</f>
        <v>877</v>
      </c>
      <c r="R1961" s="104" t="str">
        <f aca="false">IF(OR(C1961&amp;D1961="",N(E1961)=0),"",IF(OR(O1961="?",P1961="?"),"⚠ akun tidak dikenal",IF(C1961=D1961,"⚠ debet = kredit","")))</f>
        <v/>
      </c>
    </row>
    <row r="1962" customFormat="false" ht="15" hidden="false" customHeight="false" outlineLevel="0" collapsed="false">
      <c r="A1962" s="5"/>
      <c r="B1962" s="83"/>
      <c r="C1962" s="5"/>
      <c r="D1962" s="5"/>
      <c r="E1962" s="44"/>
      <c r="F1962" s="5"/>
      <c r="G1962" s="5"/>
      <c r="H1962" s="5"/>
      <c r="I1962" s="5"/>
      <c r="J1962" s="102" t="str">
        <f aca="false">IF(B1962="","",MONTH(B1962))</f>
        <v/>
      </c>
      <c r="K1962" s="102" t="str">
        <f aca="false">IF(B1962="","",YEAR(B1962))</f>
        <v/>
      </c>
      <c r="L1962" s="102" t="str">
        <f aca="false">IF(N(E1962)=0,"",IF(COUNTIFS(AK_NAMA,C1962,AK_KAT,"KAS")+COUNTIFS(AK_NAMA,D1962,AK_KAT,"KAS")&lt;&gt;1,"",IF(COUNTIFS(AK_NAMA,C1962,AK_KAT,"KAS")=1,D1962,C1962)))</f>
        <v/>
      </c>
      <c r="M1962" s="103" t="n">
        <f aca="false">IF(L1962="",0,IF(L1962=D1962,E1962,-E1962))</f>
        <v>0</v>
      </c>
      <c r="N1962" s="102" t="str">
        <f aca="false">IF(L1962="","",IFERROR(INDEX(AK_BARIS,MATCH(L1962,AK_NAMA,0)),"?"))</f>
        <v/>
      </c>
      <c r="O1962" s="102" t="str">
        <f aca="false">IF(C1962="","",IFERROR(INDEX(AK_KEL,MATCH(C1962,AK_NAMA,0)),"?"))</f>
        <v/>
      </c>
      <c r="P1962" s="102" t="str">
        <f aca="false">IF(D1962="","",IFERROR(INDEX(AK_KEL,MATCH(D1962,AK_NAMA,0)),"?"))</f>
        <v/>
      </c>
      <c r="Q1962" s="102" t="n">
        <f aca="false">N(Q1961)+IF(AND(N(E1962)&lt;&gt;0,K1962=TAHUN,N(J1962)&lt;=BLN,OR(C1962=BB_AKUN,D1962=BB_AKUN)),1,0)</f>
        <v>877</v>
      </c>
      <c r="R1962" s="104" t="str">
        <f aca="false">IF(OR(C1962&amp;D1962="",N(E1962)=0),"",IF(OR(O1962="?",P1962="?"),"⚠ akun tidak dikenal",IF(C1962=D1962,"⚠ debet = kredit","")))</f>
        <v/>
      </c>
    </row>
    <row r="1963" customFormat="false" ht="15" hidden="false" customHeight="false" outlineLevel="0" collapsed="false">
      <c r="A1963" s="5"/>
      <c r="B1963" s="83"/>
      <c r="C1963" s="5"/>
      <c r="D1963" s="5"/>
      <c r="E1963" s="44"/>
      <c r="F1963" s="5"/>
      <c r="G1963" s="5"/>
      <c r="H1963" s="5"/>
      <c r="I1963" s="5"/>
      <c r="J1963" s="102" t="str">
        <f aca="false">IF(B1963="","",MONTH(B1963))</f>
        <v/>
      </c>
      <c r="K1963" s="102" t="str">
        <f aca="false">IF(B1963="","",YEAR(B1963))</f>
        <v/>
      </c>
      <c r="L1963" s="102" t="str">
        <f aca="false">IF(N(E1963)=0,"",IF(COUNTIFS(AK_NAMA,C1963,AK_KAT,"KAS")+COUNTIFS(AK_NAMA,D1963,AK_KAT,"KAS")&lt;&gt;1,"",IF(COUNTIFS(AK_NAMA,C1963,AK_KAT,"KAS")=1,D1963,C1963)))</f>
        <v/>
      </c>
      <c r="M1963" s="103" t="n">
        <f aca="false">IF(L1963="",0,IF(L1963=D1963,E1963,-E1963))</f>
        <v>0</v>
      </c>
      <c r="N1963" s="102" t="str">
        <f aca="false">IF(L1963="","",IFERROR(INDEX(AK_BARIS,MATCH(L1963,AK_NAMA,0)),"?"))</f>
        <v/>
      </c>
      <c r="O1963" s="102" t="str">
        <f aca="false">IF(C1963="","",IFERROR(INDEX(AK_KEL,MATCH(C1963,AK_NAMA,0)),"?"))</f>
        <v/>
      </c>
      <c r="P1963" s="102" t="str">
        <f aca="false">IF(D1963="","",IFERROR(INDEX(AK_KEL,MATCH(D1963,AK_NAMA,0)),"?"))</f>
        <v/>
      </c>
      <c r="Q1963" s="102" t="n">
        <f aca="false">N(Q1962)+IF(AND(N(E1963)&lt;&gt;0,K1963=TAHUN,N(J1963)&lt;=BLN,OR(C1963=BB_AKUN,D1963=BB_AKUN)),1,0)</f>
        <v>877</v>
      </c>
      <c r="R1963" s="104" t="str">
        <f aca="false">IF(OR(C1963&amp;D1963="",N(E1963)=0),"",IF(OR(O1963="?",P1963="?"),"⚠ akun tidak dikenal",IF(C1963=D1963,"⚠ debet = kredit","")))</f>
        <v/>
      </c>
    </row>
    <row r="1964" customFormat="false" ht="15" hidden="false" customHeight="false" outlineLevel="0" collapsed="false">
      <c r="A1964" s="5"/>
      <c r="B1964" s="83"/>
      <c r="C1964" s="5"/>
      <c r="D1964" s="5"/>
      <c r="E1964" s="44"/>
      <c r="F1964" s="5"/>
      <c r="G1964" s="5"/>
      <c r="H1964" s="5"/>
      <c r="I1964" s="5"/>
      <c r="J1964" s="102" t="str">
        <f aca="false">IF(B1964="","",MONTH(B1964))</f>
        <v/>
      </c>
      <c r="K1964" s="102" t="str">
        <f aca="false">IF(B1964="","",YEAR(B1964))</f>
        <v/>
      </c>
      <c r="L1964" s="102" t="str">
        <f aca="false">IF(N(E1964)=0,"",IF(COUNTIFS(AK_NAMA,C1964,AK_KAT,"KAS")+COUNTIFS(AK_NAMA,D1964,AK_KAT,"KAS")&lt;&gt;1,"",IF(COUNTIFS(AK_NAMA,C1964,AK_KAT,"KAS")=1,D1964,C1964)))</f>
        <v/>
      </c>
      <c r="M1964" s="103" t="n">
        <f aca="false">IF(L1964="",0,IF(L1964=D1964,E1964,-E1964))</f>
        <v>0</v>
      </c>
      <c r="N1964" s="102" t="str">
        <f aca="false">IF(L1964="","",IFERROR(INDEX(AK_BARIS,MATCH(L1964,AK_NAMA,0)),"?"))</f>
        <v/>
      </c>
      <c r="O1964" s="102" t="str">
        <f aca="false">IF(C1964="","",IFERROR(INDEX(AK_KEL,MATCH(C1964,AK_NAMA,0)),"?"))</f>
        <v/>
      </c>
      <c r="P1964" s="102" t="str">
        <f aca="false">IF(D1964="","",IFERROR(INDEX(AK_KEL,MATCH(D1964,AK_NAMA,0)),"?"))</f>
        <v/>
      </c>
      <c r="Q1964" s="102" t="n">
        <f aca="false">N(Q1963)+IF(AND(N(E1964)&lt;&gt;0,K1964=TAHUN,N(J1964)&lt;=BLN,OR(C1964=BB_AKUN,D1964=BB_AKUN)),1,0)</f>
        <v>877</v>
      </c>
      <c r="R1964" s="104" t="str">
        <f aca="false">IF(OR(C1964&amp;D1964="",N(E1964)=0),"",IF(OR(O1964="?",P1964="?"),"⚠ akun tidak dikenal",IF(C1964=D1964,"⚠ debet = kredit","")))</f>
        <v/>
      </c>
    </row>
    <row r="1965" customFormat="false" ht="15" hidden="false" customHeight="false" outlineLevel="0" collapsed="false">
      <c r="A1965" s="5"/>
      <c r="B1965" s="83"/>
      <c r="C1965" s="5"/>
      <c r="D1965" s="5"/>
      <c r="E1965" s="44"/>
      <c r="F1965" s="5"/>
      <c r="G1965" s="5"/>
      <c r="H1965" s="5"/>
      <c r="I1965" s="5"/>
      <c r="J1965" s="102" t="str">
        <f aca="false">IF(B1965="","",MONTH(B1965))</f>
        <v/>
      </c>
      <c r="K1965" s="102" t="str">
        <f aca="false">IF(B1965="","",YEAR(B1965))</f>
        <v/>
      </c>
      <c r="L1965" s="102" t="str">
        <f aca="false">IF(N(E1965)=0,"",IF(COUNTIFS(AK_NAMA,C1965,AK_KAT,"KAS")+COUNTIFS(AK_NAMA,D1965,AK_KAT,"KAS")&lt;&gt;1,"",IF(COUNTIFS(AK_NAMA,C1965,AK_KAT,"KAS")=1,D1965,C1965)))</f>
        <v/>
      </c>
      <c r="M1965" s="103" t="n">
        <f aca="false">IF(L1965="",0,IF(L1965=D1965,E1965,-E1965))</f>
        <v>0</v>
      </c>
      <c r="N1965" s="102" t="str">
        <f aca="false">IF(L1965="","",IFERROR(INDEX(AK_BARIS,MATCH(L1965,AK_NAMA,0)),"?"))</f>
        <v/>
      </c>
      <c r="O1965" s="102" t="str">
        <f aca="false">IF(C1965="","",IFERROR(INDEX(AK_KEL,MATCH(C1965,AK_NAMA,0)),"?"))</f>
        <v/>
      </c>
      <c r="P1965" s="102" t="str">
        <f aca="false">IF(D1965="","",IFERROR(INDEX(AK_KEL,MATCH(D1965,AK_NAMA,0)),"?"))</f>
        <v/>
      </c>
      <c r="Q1965" s="102" t="n">
        <f aca="false">N(Q1964)+IF(AND(N(E1965)&lt;&gt;0,K1965=TAHUN,N(J1965)&lt;=BLN,OR(C1965=BB_AKUN,D1965=BB_AKUN)),1,0)</f>
        <v>877</v>
      </c>
      <c r="R1965" s="104" t="str">
        <f aca="false">IF(OR(C1965&amp;D1965="",N(E1965)=0),"",IF(OR(O1965="?",P1965="?"),"⚠ akun tidak dikenal",IF(C1965=D1965,"⚠ debet = kredit","")))</f>
        <v/>
      </c>
    </row>
    <row r="1966" customFormat="false" ht="15" hidden="false" customHeight="false" outlineLevel="0" collapsed="false">
      <c r="A1966" s="5"/>
      <c r="B1966" s="83"/>
      <c r="C1966" s="5"/>
      <c r="D1966" s="5"/>
      <c r="E1966" s="44"/>
      <c r="F1966" s="5"/>
      <c r="G1966" s="5"/>
      <c r="H1966" s="5"/>
      <c r="I1966" s="5"/>
      <c r="J1966" s="102" t="str">
        <f aca="false">IF(B1966="","",MONTH(B1966))</f>
        <v/>
      </c>
      <c r="K1966" s="102" t="str">
        <f aca="false">IF(B1966="","",YEAR(B1966))</f>
        <v/>
      </c>
      <c r="L1966" s="102" t="str">
        <f aca="false">IF(N(E1966)=0,"",IF(COUNTIFS(AK_NAMA,C1966,AK_KAT,"KAS")+COUNTIFS(AK_NAMA,D1966,AK_KAT,"KAS")&lt;&gt;1,"",IF(COUNTIFS(AK_NAMA,C1966,AK_KAT,"KAS")=1,D1966,C1966)))</f>
        <v/>
      </c>
      <c r="M1966" s="103" t="n">
        <f aca="false">IF(L1966="",0,IF(L1966=D1966,E1966,-E1966))</f>
        <v>0</v>
      </c>
      <c r="N1966" s="102" t="str">
        <f aca="false">IF(L1966="","",IFERROR(INDEX(AK_BARIS,MATCH(L1966,AK_NAMA,0)),"?"))</f>
        <v/>
      </c>
      <c r="O1966" s="102" t="str">
        <f aca="false">IF(C1966="","",IFERROR(INDEX(AK_KEL,MATCH(C1966,AK_NAMA,0)),"?"))</f>
        <v/>
      </c>
      <c r="P1966" s="102" t="str">
        <f aca="false">IF(D1966="","",IFERROR(INDEX(AK_KEL,MATCH(D1966,AK_NAMA,0)),"?"))</f>
        <v/>
      </c>
      <c r="Q1966" s="102" t="n">
        <f aca="false">N(Q1965)+IF(AND(N(E1966)&lt;&gt;0,K1966=TAHUN,N(J1966)&lt;=BLN,OR(C1966=BB_AKUN,D1966=BB_AKUN)),1,0)</f>
        <v>877</v>
      </c>
      <c r="R1966" s="104" t="str">
        <f aca="false">IF(OR(C1966&amp;D1966="",N(E1966)=0),"",IF(OR(O1966="?",P1966="?"),"⚠ akun tidak dikenal",IF(C1966=D1966,"⚠ debet = kredit","")))</f>
        <v/>
      </c>
    </row>
    <row r="1967" customFormat="false" ht="15" hidden="false" customHeight="false" outlineLevel="0" collapsed="false">
      <c r="A1967" s="5"/>
      <c r="B1967" s="83"/>
      <c r="C1967" s="5"/>
      <c r="D1967" s="5"/>
      <c r="E1967" s="44"/>
      <c r="F1967" s="5"/>
      <c r="G1967" s="5"/>
      <c r="H1967" s="5"/>
      <c r="I1967" s="5"/>
      <c r="J1967" s="102" t="str">
        <f aca="false">IF(B1967="","",MONTH(B1967))</f>
        <v/>
      </c>
      <c r="K1967" s="102" t="str">
        <f aca="false">IF(B1967="","",YEAR(B1967))</f>
        <v/>
      </c>
      <c r="L1967" s="102" t="str">
        <f aca="false">IF(N(E1967)=0,"",IF(COUNTIFS(AK_NAMA,C1967,AK_KAT,"KAS")+COUNTIFS(AK_NAMA,D1967,AK_KAT,"KAS")&lt;&gt;1,"",IF(COUNTIFS(AK_NAMA,C1967,AK_KAT,"KAS")=1,D1967,C1967)))</f>
        <v/>
      </c>
      <c r="M1967" s="103" t="n">
        <f aca="false">IF(L1967="",0,IF(L1967=D1967,E1967,-E1967))</f>
        <v>0</v>
      </c>
      <c r="N1967" s="102" t="str">
        <f aca="false">IF(L1967="","",IFERROR(INDEX(AK_BARIS,MATCH(L1967,AK_NAMA,0)),"?"))</f>
        <v/>
      </c>
      <c r="O1967" s="102" t="str">
        <f aca="false">IF(C1967="","",IFERROR(INDEX(AK_KEL,MATCH(C1967,AK_NAMA,0)),"?"))</f>
        <v/>
      </c>
      <c r="P1967" s="102" t="str">
        <f aca="false">IF(D1967="","",IFERROR(INDEX(AK_KEL,MATCH(D1967,AK_NAMA,0)),"?"))</f>
        <v/>
      </c>
      <c r="Q1967" s="102" t="n">
        <f aca="false">N(Q1966)+IF(AND(N(E1967)&lt;&gt;0,K1967=TAHUN,N(J1967)&lt;=BLN,OR(C1967=BB_AKUN,D1967=BB_AKUN)),1,0)</f>
        <v>877</v>
      </c>
      <c r="R1967" s="104" t="str">
        <f aca="false">IF(OR(C1967&amp;D1967="",N(E1967)=0),"",IF(OR(O1967="?",P1967="?"),"⚠ akun tidak dikenal",IF(C1967=D1967,"⚠ debet = kredit","")))</f>
        <v/>
      </c>
    </row>
    <row r="1968" customFormat="false" ht="15" hidden="false" customHeight="false" outlineLevel="0" collapsed="false">
      <c r="A1968" s="5"/>
      <c r="B1968" s="83"/>
      <c r="C1968" s="5"/>
      <c r="D1968" s="5"/>
      <c r="E1968" s="44"/>
      <c r="F1968" s="5"/>
      <c r="G1968" s="5"/>
      <c r="H1968" s="5"/>
      <c r="I1968" s="5"/>
      <c r="J1968" s="102" t="str">
        <f aca="false">IF(B1968="","",MONTH(B1968))</f>
        <v/>
      </c>
      <c r="K1968" s="102" t="str">
        <f aca="false">IF(B1968="","",YEAR(B1968))</f>
        <v/>
      </c>
      <c r="L1968" s="102" t="str">
        <f aca="false">IF(N(E1968)=0,"",IF(COUNTIFS(AK_NAMA,C1968,AK_KAT,"KAS")+COUNTIFS(AK_NAMA,D1968,AK_KAT,"KAS")&lt;&gt;1,"",IF(COUNTIFS(AK_NAMA,C1968,AK_KAT,"KAS")=1,D1968,C1968)))</f>
        <v/>
      </c>
      <c r="M1968" s="103" t="n">
        <f aca="false">IF(L1968="",0,IF(L1968=D1968,E1968,-E1968))</f>
        <v>0</v>
      </c>
      <c r="N1968" s="102" t="str">
        <f aca="false">IF(L1968="","",IFERROR(INDEX(AK_BARIS,MATCH(L1968,AK_NAMA,0)),"?"))</f>
        <v/>
      </c>
      <c r="O1968" s="102" t="str">
        <f aca="false">IF(C1968="","",IFERROR(INDEX(AK_KEL,MATCH(C1968,AK_NAMA,0)),"?"))</f>
        <v/>
      </c>
      <c r="P1968" s="102" t="str">
        <f aca="false">IF(D1968="","",IFERROR(INDEX(AK_KEL,MATCH(D1968,AK_NAMA,0)),"?"))</f>
        <v/>
      </c>
      <c r="Q1968" s="102" t="n">
        <f aca="false">N(Q1967)+IF(AND(N(E1968)&lt;&gt;0,K1968=TAHUN,N(J1968)&lt;=BLN,OR(C1968=BB_AKUN,D1968=BB_AKUN)),1,0)</f>
        <v>877</v>
      </c>
      <c r="R1968" s="104" t="str">
        <f aca="false">IF(OR(C1968&amp;D1968="",N(E1968)=0),"",IF(OR(O1968="?",P1968="?"),"⚠ akun tidak dikenal",IF(C1968=D1968,"⚠ debet = kredit","")))</f>
        <v/>
      </c>
    </row>
    <row r="1969" customFormat="false" ht="15" hidden="false" customHeight="false" outlineLevel="0" collapsed="false">
      <c r="A1969" s="5"/>
      <c r="B1969" s="83"/>
      <c r="C1969" s="5"/>
      <c r="D1969" s="5"/>
      <c r="E1969" s="44"/>
      <c r="F1969" s="5"/>
      <c r="G1969" s="5"/>
      <c r="H1969" s="5"/>
      <c r="I1969" s="5"/>
      <c r="J1969" s="102" t="str">
        <f aca="false">IF(B1969="","",MONTH(B1969))</f>
        <v/>
      </c>
      <c r="K1969" s="102" t="str">
        <f aca="false">IF(B1969="","",YEAR(B1969))</f>
        <v/>
      </c>
      <c r="L1969" s="102" t="str">
        <f aca="false">IF(N(E1969)=0,"",IF(COUNTIFS(AK_NAMA,C1969,AK_KAT,"KAS")+COUNTIFS(AK_NAMA,D1969,AK_KAT,"KAS")&lt;&gt;1,"",IF(COUNTIFS(AK_NAMA,C1969,AK_KAT,"KAS")=1,D1969,C1969)))</f>
        <v/>
      </c>
      <c r="M1969" s="103" t="n">
        <f aca="false">IF(L1969="",0,IF(L1969=D1969,E1969,-E1969))</f>
        <v>0</v>
      </c>
      <c r="N1969" s="102" t="str">
        <f aca="false">IF(L1969="","",IFERROR(INDEX(AK_BARIS,MATCH(L1969,AK_NAMA,0)),"?"))</f>
        <v/>
      </c>
      <c r="O1969" s="102" t="str">
        <f aca="false">IF(C1969="","",IFERROR(INDEX(AK_KEL,MATCH(C1969,AK_NAMA,0)),"?"))</f>
        <v/>
      </c>
      <c r="P1969" s="102" t="str">
        <f aca="false">IF(D1969="","",IFERROR(INDEX(AK_KEL,MATCH(D1969,AK_NAMA,0)),"?"))</f>
        <v/>
      </c>
      <c r="Q1969" s="102" t="n">
        <f aca="false">N(Q1968)+IF(AND(N(E1969)&lt;&gt;0,K1969=TAHUN,N(J1969)&lt;=BLN,OR(C1969=BB_AKUN,D1969=BB_AKUN)),1,0)</f>
        <v>877</v>
      </c>
      <c r="R1969" s="104" t="str">
        <f aca="false">IF(OR(C1969&amp;D1969="",N(E1969)=0),"",IF(OR(O1969="?",P1969="?"),"⚠ akun tidak dikenal",IF(C1969=D1969,"⚠ debet = kredit","")))</f>
        <v/>
      </c>
    </row>
    <row r="1970" customFormat="false" ht="15" hidden="false" customHeight="false" outlineLevel="0" collapsed="false">
      <c r="A1970" s="5"/>
      <c r="B1970" s="83"/>
      <c r="C1970" s="5"/>
      <c r="D1970" s="5"/>
      <c r="E1970" s="44"/>
      <c r="F1970" s="5"/>
      <c r="G1970" s="5"/>
      <c r="H1970" s="5"/>
      <c r="I1970" s="5"/>
      <c r="J1970" s="102" t="str">
        <f aca="false">IF(B1970="","",MONTH(B1970))</f>
        <v/>
      </c>
      <c r="K1970" s="102" t="str">
        <f aca="false">IF(B1970="","",YEAR(B1970))</f>
        <v/>
      </c>
      <c r="L1970" s="102" t="str">
        <f aca="false">IF(N(E1970)=0,"",IF(COUNTIFS(AK_NAMA,C1970,AK_KAT,"KAS")+COUNTIFS(AK_NAMA,D1970,AK_KAT,"KAS")&lt;&gt;1,"",IF(COUNTIFS(AK_NAMA,C1970,AK_KAT,"KAS")=1,D1970,C1970)))</f>
        <v/>
      </c>
      <c r="M1970" s="103" t="n">
        <f aca="false">IF(L1970="",0,IF(L1970=D1970,E1970,-E1970))</f>
        <v>0</v>
      </c>
      <c r="N1970" s="102" t="str">
        <f aca="false">IF(L1970="","",IFERROR(INDEX(AK_BARIS,MATCH(L1970,AK_NAMA,0)),"?"))</f>
        <v/>
      </c>
      <c r="O1970" s="102" t="str">
        <f aca="false">IF(C1970="","",IFERROR(INDEX(AK_KEL,MATCH(C1970,AK_NAMA,0)),"?"))</f>
        <v/>
      </c>
      <c r="P1970" s="102" t="str">
        <f aca="false">IF(D1970="","",IFERROR(INDEX(AK_KEL,MATCH(D1970,AK_NAMA,0)),"?"))</f>
        <v/>
      </c>
      <c r="Q1970" s="102" t="n">
        <f aca="false">N(Q1969)+IF(AND(N(E1970)&lt;&gt;0,K1970=TAHUN,N(J1970)&lt;=BLN,OR(C1970=BB_AKUN,D1970=BB_AKUN)),1,0)</f>
        <v>877</v>
      </c>
      <c r="R1970" s="104" t="str">
        <f aca="false">IF(OR(C1970&amp;D1970="",N(E1970)=0),"",IF(OR(O1970="?",P1970="?"),"⚠ akun tidak dikenal",IF(C1970=D1970,"⚠ debet = kredit","")))</f>
        <v/>
      </c>
    </row>
    <row r="1971" customFormat="false" ht="15" hidden="false" customHeight="false" outlineLevel="0" collapsed="false">
      <c r="A1971" s="5"/>
      <c r="B1971" s="83"/>
      <c r="C1971" s="5"/>
      <c r="D1971" s="5"/>
      <c r="E1971" s="44"/>
      <c r="F1971" s="5"/>
      <c r="G1971" s="5"/>
      <c r="H1971" s="5"/>
      <c r="I1971" s="5"/>
      <c r="J1971" s="102" t="str">
        <f aca="false">IF(B1971="","",MONTH(B1971))</f>
        <v/>
      </c>
      <c r="K1971" s="102" t="str">
        <f aca="false">IF(B1971="","",YEAR(B1971))</f>
        <v/>
      </c>
      <c r="L1971" s="102" t="str">
        <f aca="false">IF(N(E1971)=0,"",IF(COUNTIFS(AK_NAMA,C1971,AK_KAT,"KAS")+COUNTIFS(AK_NAMA,D1971,AK_KAT,"KAS")&lt;&gt;1,"",IF(COUNTIFS(AK_NAMA,C1971,AK_KAT,"KAS")=1,D1971,C1971)))</f>
        <v/>
      </c>
      <c r="M1971" s="103" t="n">
        <f aca="false">IF(L1971="",0,IF(L1971=D1971,E1971,-E1971))</f>
        <v>0</v>
      </c>
      <c r="N1971" s="102" t="str">
        <f aca="false">IF(L1971="","",IFERROR(INDEX(AK_BARIS,MATCH(L1971,AK_NAMA,0)),"?"))</f>
        <v/>
      </c>
      <c r="O1971" s="102" t="str">
        <f aca="false">IF(C1971="","",IFERROR(INDEX(AK_KEL,MATCH(C1971,AK_NAMA,0)),"?"))</f>
        <v/>
      </c>
      <c r="P1971" s="102" t="str">
        <f aca="false">IF(D1971="","",IFERROR(INDEX(AK_KEL,MATCH(D1971,AK_NAMA,0)),"?"))</f>
        <v/>
      </c>
      <c r="Q1971" s="102" t="n">
        <f aca="false">N(Q1970)+IF(AND(N(E1971)&lt;&gt;0,K1971=TAHUN,N(J1971)&lt;=BLN,OR(C1971=BB_AKUN,D1971=BB_AKUN)),1,0)</f>
        <v>877</v>
      </c>
      <c r="R1971" s="104" t="str">
        <f aca="false">IF(OR(C1971&amp;D1971="",N(E1971)=0),"",IF(OR(O1971="?",P1971="?"),"⚠ akun tidak dikenal",IF(C1971=D1971,"⚠ debet = kredit","")))</f>
        <v/>
      </c>
    </row>
    <row r="1972" customFormat="false" ht="15" hidden="false" customHeight="false" outlineLevel="0" collapsed="false">
      <c r="A1972" s="5"/>
      <c r="B1972" s="83"/>
      <c r="C1972" s="5"/>
      <c r="D1972" s="5"/>
      <c r="E1972" s="44"/>
      <c r="F1972" s="5"/>
      <c r="G1972" s="5"/>
      <c r="H1972" s="5"/>
      <c r="I1972" s="5"/>
      <c r="J1972" s="102" t="str">
        <f aca="false">IF(B1972="","",MONTH(B1972))</f>
        <v/>
      </c>
      <c r="K1972" s="102" t="str">
        <f aca="false">IF(B1972="","",YEAR(B1972))</f>
        <v/>
      </c>
      <c r="L1972" s="102" t="str">
        <f aca="false">IF(N(E1972)=0,"",IF(COUNTIFS(AK_NAMA,C1972,AK_KAT,"KAS")+COUNTIFS(AK_NAMA,D1972,AK_KAT,"KAS")&lt;&gt;1,"",IF(COUNTIFS(AK_NAMA,C1972,AK_KAT,"KAS")=1,D1972,C1972)))</f>
        <v/>
      </c>
      <c r="M1972" s="103" t="n">
        <f aca="false">IF(L1972="",0,IF(L1972=D1972,E1972,-E1972))</f>
        <v>0</v>
      </c>
      <c r="N1972" s="102" t="str">
        <f aca="false">IF(L1972="","",IFERROR(INDEX(AK_BARIS,MATCH(L1972,AK_NAMA,0)),"?"))</f>
        <v/>
      </c>
      <c r="O1972" s="102" t="str">
        <f aca="false">IF(C1972="","",IFERROR(INDEX(AK_KEL,MATCH(C1972,AK_NAMA,0)),"?"))</f>
        <v/>
      </c>
      <c r="P1972" s="102" t="str">
        <f aca="false">IF(D1972="","",IFERROR(INDEX(AK_KEL,MATCH(D1972,AK_NAMA,0)),"?"))</f>
        <v/>
      </c>
      <c r="Q1972" s="102" t="n">
        <f aca="false">N(Q1971)+IF(AND(N(E1972)&lt;&gt;0,K1972=TAHUN,N(J1972)&lt;=BLN,OR(C1972=BB_AKUN,D1972=BB_AKUN)),1,0)</f>
        <v>877</v>
      </c>
      <c r="R1972" s="104" t="str">
        <f aca="false">IF(OR(C1972&amp;D1972="",N(E1972)=0),"",IF(OR(O1972="?",P1972="?"),"⚠ akun tidak dikenal",IF(C1972=D1972,"⚠ debet = kredit","")))</f>
        <v/>
      </c>
    </row>
    <row r="1973" customFormat="false" ht="15" hidden="false" customHeight="false" outlineLevel="0" collapsed="false">
      <c r="A1973" s="5"/>
      <c r="B1973" s="83"/>
      <c r="C1973" s="5"/>
      <c r="D1973" s="5"/>
      <c r="E1973" s="44"/>
      <c r="F1973" s="5"/>
      <c r="G1973" s="5"/>
      <c r="H1973" s="5"/>
      <c r="I1973" s="5"/>
      <c r="J1973" s="102" t="str">
        <f aca="false">IF(B1973="","",MONTH(B1973))</f>
        <v/>
      </c>
      <c r="K1973" s="102" t="str">
        <f aca="false">IF(B1973="","",YEAR(B1973))</f>
        <v/>
      </c>
      <c r="L1973" s="102" t="str">
        <f aca="false">IF(N(E1973)=0,"",IF(COUNTIFS(AK_NAMA,C1973,AK_KAT,"KAS")+COUNTIFS(AK_NAMA,D1973,AK_KAT,"KAS")&lt;&gt;1,"",IF(COUNTIFS(AK_NAMA,C1973,AK_KAT,"KAS")=1,D1973,C1973)))</f>
        <v/>
      </c>
      <c r="M1973" s="103" t="n">
        <f aca="false">IF(L1973="",0,IF(L1973=D1973,E1973,-E1973))</f>
        <v>0</v>
      </c>
      <c r="N1973" s="102" t="str">
        <f aca="false">IF(L1973="","",IFERROR(INDEX(AK_BARIS,MATCH(L1973,AK_NAMA,0)),"?"))</f>
        <v/>
      </c>
      <c r="O1973" s="102" t="str">
        <f aca="false">IF(C1973="","",IFERROR(INDEX(AK_KEL,MATCH(C1973,AK_NAMA,0)),"?"))</f>
        <v/>
      </c>
      <c r="P1973" s="102" t="str">
        <f aca="false">IF(D1973="","",IFERROR(INDEX(AK_KEL,MATCH(D1973,AK_NAMA,0)),"?"))</f>
        <v/>
      </c>
      <c r="Q1973" s="102" t="n">
        <f aca="false">N(Q1972)+IF(AND(N(E1973)&lt;&gt;0,K1973=TAHUN,N(J1973)&lt;=BLN,OR(C1973=BB_AKUN,D1973=BB_AKUN)),1,0)</f>
        <v>877</v>
      </c>
      <c r="R1973" s="104" t="str">
        <f aca="false">IF(OR(C1973&amp;D1973="",N(E1973)=0),"",IF(OR(O1973="?",P1973="?"),"⚠ akun tidak dikenal",IF(C1973=D1973,"⚠ debet = kredit","")))</f>
        <v/>
      </c>
    </row>
    <row r="1974" customFormat="false" ht="15" hidden="false" customHeight="false" outlineLevel="0" collapsed="false">
      <c r="A1974" s="5"/>
      <c r="B1974" s="83"/>
      <c r="C1974" s="5"/>
      <c r="D1974" s="5"/>
      <c r="E1974" s="44"/>
      <c r="F1974" s="5"/>
      <c r="G1974" s="5"/>
      <c r="H1974" s="5"/>
      <c r="I1974" s="5"/>
      <c r="J1974" s="102" t="str">
        <f aca="false">IF(B1974="","",MONTH(B1974))</f>
        <v/>
      </c>
      <c r="K1974" s="102" t="str">
        <f aca="false">IF(B1974="","",YEAR(B1974))</f>
        <v/>
      </c>
      <c r="L1974" s="102" t="str">
        <f aca="false">IF(N(E1974)=0,"",IF(COUNTIFS(AK_NAMA,C1974,AK_KAT,"KAS")+COUNTIFS(AK_NAMA,D1974,AK_KAT,"KAS")&lt;&gt;1,"",IF(COUNTIFS(AK_NAMA,C1974,AK_KAT,"KAS")=1,D1974,C1974)))</f>
        <v/>
      </c>
      <c r="M1974" s="103" t="n">
        <f aca="false">IF(L1974="",0,IF(L1974=D1974,E1974,-E1974))</f>
        <v>0</v>
      </c>
      <c r="N1974" s="102" t="str">
        <f aca="false">IF(L1974="","",IFERROR(INDEX(AK_BARIS,MATCH(L1974,AK_NAMA,0)),"?"))</f>
        <v/>
      </c>
      <c r="O1974" s="102" t="str">
        <f aca="false">IF(C1974="","",IFERROR(INDEX(AK_KEL,MATCH(C1974,AK_NAMA,0)),"?"))</f>
        <v/>
      </c>
      <c r="P1974" s="102" t="str">
        <f aca="false">IF(D1974="","",IFERROR(INDEX(AK_KEL,MATCH(D1974,AK_NAMA,0)),"?"))</f>
        <v/>
      </c>
      <c r="Q1974" s="102" t="n">
        <f aca="false">N(Q1973)+IF(AND(N(E1974)&lt;&gt;0,K1974=TAHUN,N(J1974)&lt;=BLN,OR(C1974=BB_AKUN,D1974=BB_AKUN)),1,0)</f>
        <v>877</v>
      </c>
      <c r="R1974" s="104" t="str">
        <f aca="false">IF(OR(C1974&amp;D1974="",N(E1974)=0),"",IF(OR(O1974="?",P1974="?"),"⚠ akun tidak dikenal",IF(C1974=D1974,"⚠ debet = kredit","")))</f>
        <v/>
      </c>
    </row>
    <row r="1975" customFormat="false" ht="15" hidden="false" customHeight="false" outlineLevel="0" collapsed="false">
      <c r="A1975" s="5"/>
      <c r="B1975" s="83"/>
      <c r="C1975" s="5"/>
      <c r="D1975" s="5"/>
      <c r="E1975" s="44"/>
      <c r="F1975" s="5"/>
      <c r="G1975" s="5"/>
      <c r="H1975" s="5"/>
      <c r="I1975" s="5"/>
      <c r="J1975" s="102" t="str">
        <f aca="false">IF(B1975="","",MONTH(B1975))</f>
        <v/>
      </c>
      <c r="K1975" s="102" t="str">
        <f aca="false">IF(B1975="","",YEAR(B1975))</f>
        <v/>
      </c>
      <c r="L1975" s="102" t="str">
        <f aca="false">IF(N(E1975)=0,"",IF(COUNTIFS(AK_NAMA,C1975,AK_KAT,"KAS")+COUNTIFS(AK_NAMA,D1975,AK_KAT,"KAS")&lt;&gt;1,"",IF(COUNTIFS(AK_NAMA,C1975,AK_KAT,"KAS")=1,D1975,C1975)))</f>
        <v/>
      </c>
      <c r="M1975" s="103" t="n">
        <f aca="false">IF(L1975="",0,IF(L1975=D1975,E1975,-E1975))</f>
        <v>0</v>
      </c>
      <c r="N1975" s="102" t="str">
        <f aca="false">IF(L1975="","",IFERROR(INDEX(AK_BARIS,MATCH(L1975,AK_NAMA,0)),"?"))</f>
        <v/>
      </c>
      <c r="O1975" s="102" t="str">
        <f aca="false">IF(C1975="","",IFERROR(INDEX(AK_KEL,MATCH(C1975,AK_NAMA,0)),"?"))</f>
        <v/>
      </c>
      <c r="P1975" s="102" t="str">
        <f aca="false">IF(D1975="","",IFERROR(INDEX(AK_KEL,MATCH(D1975,AK_NAMA,0)),"?"))</f>
        <v/>
      </c>
      <c r="Q1975" s="102" t="n">
        <f aca="false">N(Q1974)+IF(AND(N(E1975)&lt;&gt;0,K1975=TAHUN,N(J1975)&lt;=BLN,OR(C1975=BB_AKUN,D1975=BB_AKUN)),1,0)</f>
        <v>877</v>
      </c>
      <c r="R1975" s="104" t="str">
        <f aca="false">IF(OR(C1975&amp;D1975="",N(E1975)=0),"",IF(OR(O1975="?",P1975="?"),"⚠ akun tidak dikenal",IF(C1975=D1975,"⚠ debet = kredit","")))</f>
        <v/>
      </c>
    </row>
    <row r="1976" customFormat="false" ht="15" hidden="false" customHeight="false" outlineLevel="0" collapsed="false">
      <c r="A1976" s="5"/>
      <c r="B1976" s="83"/>
      <c r="C1976" s="5"/>
      <c r="D1976" s="5"/>
      <c r="E1976" s="44"/>
      <c r="F1976" s="5"/>
      <c r="G1976" s="5"/>
      <c r="H1976" s="5"/>
      <c r="I1976" s="5"/>
      <c r="J1976" s="102" t="str">
        <f aca="false">IF(B1976="","",MONTH(B1976))</f>
        <v/>
      </c>
      <c r="K1976" s="102" t="str">
        <f aca="false">IF(B1976="","",YEAR(B1976))</f>
        <v/>
      </c>
      <c r="L1976" s="102" t="str">
        <f aca="false">IF(N(E1976)=0,"",IF(COUNTIFS(AK_NAMA,C1976,AK_KAT,"KAS")+COUNTIFS(AK_NAMA,D1976,AK_KAT,"KAS")&lt;&gt;1,"",IF(COUNTIFS(AK_NAMA,C1976,AK_KAT,"KAS")=1,D1976,C1976)))</f>
        <v/>
      </c>
      <c r="M1976" s="103" t="n">
        <f aca="false">IF(L1976="",0,IF(L1976=D1976,E1976,-E1976))</f>
        <v>0</v>
      </c>
      <c r="N1976" s="102" t="str">
        <f aca="false">IF(L1976="","",IFERROR(INDEX(AK_BARIS,MATCH(L1976,AK_NAMA,0)),"?"))</f>
        <v/>
      </c>
      <c r="O1976" s="102" t="str">
        <f aca="false">IF(C1976="","",IFERROR(INDEX(AK_KEL,MATCH(C1976,AK_NAMA,0)),"?"))</f>
        <v/>
      </c>
      <c r="P1976" s="102" t="str">
        <f aca="false">IF(D1976="","",IFERROR(INDEX(AK_KEL,MATCH(D1976,AK_NAMA,0)),"?"))</f>
        <v/>
      </c>
      <c r="Q1976" s="102" t="n">
        <f aca="false">N(Q1975)+IF(AND(N(E1976)&lt;&gt;0,K1976=TAHUN,N(J1976)&lt;=BLN,OR(C1976=BB_AKUN,D1976=BB_AKUN)),1,0)</f>
        <v>877</v>
      </c>
      <c r="R1976" s="104" t="str">
        <f aca="false">IF(OR(C1976&amp;D1976="",N(E1976)=0),"",IF(OR(O1976="?",P1976="?"),"⚠ akun tidak dikenal",IF(C1976=D1976,"⚠ debet = kredit","")))</f>
        <v/>
      </c>
    </row>
    <row r="1977" customFormat="false" ht="15" hidden="false" customHeight="false" outlineLevel="0" collapsed="false">
      <c r="A1977" s="5"/>
      <c r="B1977" s="83"/>
      <c r="C1977" s="5"/>
      <c r="D1977" s="5"/>
      <c r="E1977" s="44"/>
      <c r="F1977" s="5"/>
      <c r="G1977" s="5"/>
      <c r="H1977" s="5"/>
      <c r="I1977" s="5"/>
      <c r="J1977" s="102" t="str">
        <f aca="false">IF(B1977="","",MONTH(B1977))</f>
        <v/>
      </c>
      <c r="K1977" s="102" t="str">
        <f aca="false">IF(B1977="","",YEAR(B1977))</f>
        <v/>
      </c>
      <c r="L1977" s="102" t="str">
        <f aca="false">IF(N(E1977)=0,"",IF(COUNTIFS(AK_NAMA,C1977,AK_KAT,"KAS")+COUNTIFS(AK_NAMA,D1977,AK_KAT,"KAS")&lt;&gt;1,"",IF(COUNTIFS(AK_NAMA,C1977,AK_KAT,"KAS")=1,D1977,C1977)))</f>
        <v/>
      </c>
      <c r="M1977" s="103" t="n">
        <f aca="false">IF(L1977="",0,IF(L1977=D1977,E1977,-E1977))</f>
        <v>0</v>
      </c>
      <c r="N1977" s="102" t="str">
        <f aca="false">IF(L1977="","",IFERROR(INDEX(AK_BARIS,MATCH(L1977,AK_NAMA,0)),"?"))</f>
        <v/>
      </c>
      <c r="O1977" s="102" t="str">
        <f aca="false">IF(C1977="","",IFERROR(INDEX(AK_KEL,MATCH(C1977,AK_NAMA,0)),"?"))</f>
        <v/>
      </c>
      <c r="P1977" s="102" t="str">
        <f aca="false">IF(D1977="","",IFERROR(INDEX(AK_KEL,MATCH(D1977,AK_NAMA,0)),"?"))</f>
        <v/>
      </c>
      <c r="Q1977" s="102" t="n">
        <f aca="false">N(Q1976)+IF(AND(N(E1977)&lt;&gt;0,K1977=TAHUN,N(J1977)&lt;=BLN,OR(C1977=BB_AKUN,D1977=BB_AKUN)),1,0)</f>
        <v>877</v>
      </c>
      <c r="R1977" s="104" t="str">
        <f aca="false">IF(OR(C1977&amp;D1977="",N(E1977)=0),"",IF(OR(O1977="?",P1977="?"),"⚠ akun tidak dikenal",IF(C1977=D1977,"⚠ debet = kredit","")))</f>
        <v/>
      </c>
    </row>
    <row r="1978" customFormat="false" ht="15" hidden="false" customHeight="false" outlineLevel="0" collapsed="false">
      <c r="A1978" s="5"/>
      <c r="B1978" s="83"/>
      <c r="C1978" s="5"/>
      <c r="D1978" s="5"/>
      <c r="E1978" s="44"/>
      <c r="F1978" s="5"/>
      <c r="G1978" s="5"/>
      <c r="H1978" s="5"/>
      <c r="I1978" s="5"/>
      <c r="J1978" s="102" t="str">
        <f aca="false">IF(B1978="","",MONTH(B1978))</f>
        <v/>
      </c>
      <c r="K1978" s="102" t="str">
        <f aca="false">IF(B1978="","",YEAR(B1978))</f>
        <v/>
      </c>
      <c r="L1978" s="102" t="str">
        <f aca="false">IF(N(E1978)=0,"",IF(COUNTIFS(AK_NAMA,C1978,AK_KAT,"KAS")+COUNTIFS(AK_NAMA,D1978,AK_KAT,"KAS")&lt;&gt;1,"",IF(COUNTIFS(AK_NAMA,C1978,AK_KAT,"KAS")=1,D1978,C1978)))</f>
        <v/>
      </c>
      <c r="M1978" s="103" t="n">
        <f aca="false">IF(L1978="",0,IF(L1978=D1978,E1978,-E1978))</f>
        <v>0</v>
      </c>
      <c r="N1978" s="102" t="str">
        <f aca="false">IF(L1978="","",IFERROR(INDEX(AK_BARIS,MATCH(L1978,AK_NAMA,0)),"?"))</f>
        <v/>
      </c>
      <c r="O1978" s="102" t="str">
        <f aca="false">IF(C1978="","",IFERROR(INDEX(AK_KEL,MATCH(C1978,AK_NAMA,0)),"?"))</f>
        <v/>
      </c>
      <c r="P1978" s="102" t="str">
        <f aca="false">IF(D1978="","",IFERROR(INDEX(AK_KEL,MATCH(D1978,AK_NAMA,0)),"?"))</f>
        <v/>
      </c>
      <c r="Q1978" s="102" t="n">
        <f aca="false">N(Q1977)+IF(AND(N(E1978)&lt;&gt;0,K1978=TAHUN,N(J1978)&lt;=BLN,OR(C1978=BB_AKUN,D1978=BB_AKUN)),1,0)</f>
        <v>877</v>
      </c>
      <c r="R1978" s="104" t="str">
        <f aca="false">IF(OR(C1978&amp;D1978="",N(E1978)=0),"",IF(OR(O1978="?",P1978="?"),"⚠ akun tidak dikenal",IF(C1978=D1978,"⚠ debet = kredit","")))</f>
        <v/>
      </c>
    </row>
    <row r="1979" customFormat="false" ht="15" hidden="false" customHeight="false" outlineLevel="0" collapsed="false">
      <c r="A1979" s="5"/>
      <c r="B1979" s="83"/>
      <c r="C1979" s="5"/>
      <c r="D1979" s="5"/>
      <c r="E1979" s="44"/>
      <c r="F1979" s="5"/>
      <c r="G1979" s="5"/>
      <c r="H1979" s="5"/>
      <c r="I1979" s="5"/>
      <c r="J1979" s="102" t="str">
        <f aca="false">IF(B1979="","",MONTH(B1979))</f>
        <v/>
      </c>
      <c r="K1979" s="102" t="str">
        <f aca="false">IF(B1979="","",YEAR(B1979))</f>
        <v/>
      </c>
      <c r="L1979" s="102" t="str">
        <f aca="false">IF(N(E1979)=0,"",IF(COUNTIFS(AK_NAMA,C1979,AK_KAT,"KAS")+COUNTIFS(AK_NAMA,D1979,AK_KAT,"KAS")&lt;&gt;1,"",IF(COUNTIFS(AK_NAMA,C1979,AK_KAT,"KAS")=1,D1979,C1979)))</f>
        <v/>
      </c>
      <c r="M1979" s="103" t="n">
        <f aca="false">IF(L1979="",0,IF(L1979=D1979,E1979,-E1979))</f>
        <v>0</v>
      </c>
      <c r="N1979" s="102" t="str">
        <f aca="false">IF(L1979="","",IFERROR(INDEX(AK_BARIS,MATCH(L1979,AK_NAMA,0)),"?"))</f>
        <v/>
      </c>
      <c r="O1979" s="102" t="str">
        <f aca="false">IF(C1979="","",IFERROR(INDEX(AK_KEL,MATCH(C1979,AK_NAMA,0)),"?"))</f>
        <v/>
      </c>
      <c r="P1979" s="102" t="str">
        <f aca="false">IF(D1979="","",IFERROR(INDEX(AK_KEL,MATCH(D1979,AK_NAMA,0)),"?"))</f>
        <v/>
      </c>
      <c r="Q1979" s="102" t="n">
        <f aca="false">N(Q1978)+IF(AND(N(E1979)&lt;&gt;0,K1979=TAHUN,N(J1979)&lt;=BLN,OR(C1979=BB_AKUN,D1979=BB_AKUN)),1,0)</f>
        <v>877</v>
      </c>
      <c r="R1979" s="104" t="str">
        <f aca="false">IF(OR(C1979&amp;D1979="",N(E1979)=0),"",IF(OR(O1979="?",P1979="?"),"⚠ akun tidak dikenal",IF(C1979=D1979,"⚠ debet = kredit","")))</f>
        <v/>
      </c>
    </row>
    <row r="1980" customFormat="false" ht="15" hidden="false" customHeight="false" outlineLevel="0" collapsed="false">
      <c r="A1980" s="5"/>
      <c r="B1980" s="83"/>
      <c r="C1980" s="5"/>
      <c r="D1980" s="5"/>
      <c r="E1980" s="44"/>
      <c r="F1980" s="5"/>
      <c r="G1980" s="5"/>
      <c r="H1980" s="5"/>
      <c r="I1980" s="5"/>
      <c r="J1980" s="102" t="str">
        <f aca="false">IF(B1980="","",MONTH(B1980))</f>
        <v/>
      </c>
      <c r="K1980" s="102" t="str">
        <f aca="false">IF(B1980="","",YEAR(B1980))</f>
        <v/>
      </c>
      <c r="L1980" s="102" t="str">
        <f aca="false">IF(N(E1980)=0,"",IF(COUNTIFS(AK_NAMA,C1980,AK_KAT,"KAS")+COUNTIFS(AK_NAMA,D1980,AK_KAT,"KAS")&lt;&gt;1,"",IF(COUNTIFS(AK_NAMA,C1980,AK_KAT,"KAS")=1,D1980,C1980)))</f>
        <v/>
      </c>
      <c r="M1980" s="103" t="n">
        <f aca="false">IF(L1980="",0,IF(L1980=D1980,E1980,-E1980))</f>
        <v>0</v>
      </c>
      <c r="N1980" s="102" t="str">
        <f aca="false">IF(L1980="","",IFERROR(INDEX(AK_BARIS,MATCH(L1980,AK_NAMA,0)),"?"))</f>
        <v/>
      </c>
      <c r="O1980" s="102" t="str">
        <f aca="false">IF(C1980="","",IFERROR(INDEX(AK_KEL,MATCH(C1980,AK_NAMA,0)),"?"))</f>
        <v/>
      </c>
      <c r="P1980" s="102" t="str">
        <f aca="false">IF(D1980="","",IFERROR(INDEX(AK_KEL,MATCH(D1980,AK_NAMA,0)),"?"))</f>
        <v/>
      </c>
      <c r="Q1980" s="102" t="n">
        <f aca="false">N(Q1979)+IF(AND(N(E1980)&lt;&gt;0,K1980=TAHUN,N(J1980)&lt;=BLN,OR(C1980=BB_AKUN,D1980=BB_AKUN)),1,0)</f>
        <v>877</v>
      </c>
      <c r="R1980" s="104" t="str">
        <f aca="false">IF(OR(C1980&amp;D1980="",N(E1980)=0),"",IF(OR(O1980="?",P1980="?"),"⚠ akun tidak dikenal",IF(C1980=D1980,"⚠ debet = kredit","")))</f>
        <v/>
      </c>
    </row>
    <row r="1981" customFormat="false" ht="15" hidden="false" customHeight="false" outlineLevel="0" collapsed="false">
      <c r="A1981" s="5"/>
      <c r="B1981" s="83"/>
      <c r="C1981" s="5"/>
      <c r="D1981" s="5"/>
      <c r="E1981" s="44"/>
      <c r="F1981" s="5"/>
      <c r="G1981" s="5"/>
      <c r="H1981" s="5"/>
      <c r="I1981" s="5"/>
      <c r="J1981" s="102" t="str">
        <f aca="false">IF(B1981="","",MONTH(B1981))</f>
        <v/>
      </c>
      <c r="K1981" s="102" t="str">
        <f aca="false">IF(B1981="","",YEAR(B1981))</f>
        <v/>
      </c>
      <c r="L1981" s="102" t="str">
        <f aca="false">IF(N(E1981)=0,"",IF(COUNTIFS(AK_NAMA,C1981,AK_KAT,"KAS")+COUNTIFS(AK_NAMA,D1981,AK_KAT,"KAS")&lt;&gt;1,"",IF(COUNTIFS(AK_NAMA,C1981,AK_KAT,"KAS")=1,D1981,C1981)))</f>
        <v/>
      </c>
      <c r="M1981" s="103" t="n">
        <f aca="false">IF(L1981="",0,IF(L1981=D1981,E1981,-E1981))</f>
        <v>0</v>
      </c>
      <c r="N1981" s="102" t="str">
        <f aca="false">IF(L1981="","",IFERROR(INDEX(AK_BARIS,MATCH(L1981,AK_NAMA,0)),"?"))</f>
        <v/>
      </c>
      <c r="O1981" s="102" t="str">
        <f aca="false">IF(C1981="","",IFERROR(INDEX(AK_KEL,MATCH(C1981,AK_NAMA,0)),"?"))</f>
        <v/>
      </c>
      <c r="P1981" s="102" t="str">
        <f aca="false">IF(D1981="","",IFERROR(INDEX(AK_KEL,MATCH(D1981,AK_NAMA,0)),"?"))</f>
        <v/>
      </c>
      <c r="Q1981" s="102" t="n">
        <f aca="false">N(Q1980)+IF(AND(N(E1981)&lt;&gt;0,K1981=TAHUN,N(J1981)&lt;=BLN,OR(C1981=BB_AKUN,D1981=BB_AKUN)),1,0)</f>
        <v>877</v>
      </c>
      <c r="R1981" s="104" t="str">
        <f aca="false">IF(OR(C1981&amp;D1981="",N(E1981)=0),"",IF(OR(O1981="?",P1981="?"),"⚠ akun tidak dikenal",IF(C1981=D1981,"⚠ debet = kredit","")))</f>
        <v/>
      </c>
    </row>
    <row r="1982" customFormat="false" ht="15" hidden="false" customHeight="false" outlineLevel="0" collapsed="false">
      <c r="A1982" s="5"/>
      <c r="B1982" s="83"/>
      <c r="C1982" s="5"/>
      <c r="D1982" s="5"/>
      <c r="E1982" s="44"/>
      <c r="F1982" s="5"/>
      <c r="G1982" s="5"/>
      <c r="H1982" s="5"/>
      <c r="I1982" s="5"/>
      <c r="J1982" s="102" t="str">
        <f aca="false">IF(B1982="","",MONTH(B1982))</f>
        <v/>
      </c>
      <c r="K1982" s="102" t="str">
        <f aca="false">IF(B1982="","",YEAR(B1982))</f>
        <v/>
      </c>
      <c r="L1982" s="102" t="str">
        <f aca="false">IF(N(E1982)=0,"",IF(COUNTIFS(AK_NAMA,C1982,AK_KAT,"KAS")+COUNTIFS(AK_NAMA,D1982,AK_KAT,"KAS")&lt;&gt;1,"",IF(COUNTIFS(AK_NAMA,C1982,AK_KAT,"KAS")=1,D1982,C1982)))</f>
        <v/>
      </c>
      <c r="M1982" s="103" t="n">
        <f aca="false">IF(L1982="",0,IF(L1982=D1982,E1982,-E1982))</f>
        <v>0</v>
      </c>
      <c r="N1982" s="102" t="str">
        <f aca="false">IF(L1982="","",IFERROR(INDEX(AK_BARIS,MATCH(L1982,AK_NAMA,0)),"?"))</f>
        <v/>
      </c>
      <c r="O1982" s="102" t="str">
        <f aca="false">IF(C1982="","",IFERROR(INDEX(AK_KEL,MATCH(C1982,AK_NAMA,0)),"?"))</f>
        <v/>
      </c>
      <c r="P1982" s="102" t="str">
        <f aca="false">IF(D1982="","",IFERROR(INDEX(AK_KEL,MATCH(D1982,AK_NAMA,0)),"?"))</f>
        <v/>
      </c>
      <c r="Q1982" s="102" t="n">
        <f aca="false">N(Q1981)+IF(AND(N(E1982)&lt;&gt;0,K1982=TAHUN,N(J1982)&lt;=BLN,OR(C1982=BB_AKUN,D1982=BB_AKUN)),1,0)</f>
        <v>877</v>
      </c>
      <c r="R1982" s="104" t="str">
        <f aca="false">IF(OR(C1982&amp;D1982="",N(E1982)=0),"",IF(OR(O1982="?",P1982="?"),"⚠ akun tidak dikenal",IF(C1982=D1982,"⚠ debet = kredit","")))</f>
        <v/>
      </c>
    </row>
    <row r="1983" customFormat="false" ht="15" hidden="false" customHeight="false" outlineLevel="0" collapsed="false">
      <c r="A1983" s="5"/>
      <c r="B1983" s="83"/>
      <c r="C1983" s="5"/>
      <c r="D1983" s="5"/>
      <c r="E1983" s="44"/>
      <c r="F1983" s="5"/>
      <c r="G1983" s="5"/>
      <c r="H1983" s="5"/>
      <c r="I1983" s="5"/>
      <c r="J1983" s="102" t="str">
        <f aca="false">IF(B1983="","",MONTH(B1983))</f>
        <v/>
      </c>
      <c r="K1983" s="102" t="str">
        <f aca="false">IF(B1983="","",YEAR(B1983))</f>
        <v/>
      </c>
      <c r="L1983" s="102" t="str">
        <f aca="false">IF(N(E1983)=0,"",IF(COUNTIFS(AK_NAMA,C1983,AK_KAT,"KAS")+COUNTIFS(AK_NAMA,D1983,AK_KAT,"KAS")&lt;&gt;1,"",IF(COUNTIFS(AK_NAMA,C1983,AK_KAT,"KAS")=1,D1983,C1983)))</f>
        <v/>
      </c>
      <c r="M1983" s="103" t="n">
        <f aca="false">IF(L1983="",0,IF(L1983=D1983,E1983,-E1983))</f>
        <v>0</v>
      </c>
      <c r="N1983" s="102" t="str">
        <f aca="false">IF(L1983="","",IFERROR(INDEX(AK_BARIS,MATCH(L1983,AK_NAMA,0)),"?"))</f>
        <v/>
      </c>
      <c r="O1983" s="102" t="str">
        <f aca="false">IF(C1983="","",IFERROR(INDEX(AK_KEL,MATCH(C1983,AK_NAMA,0)),"?"))</f>
        <v/>
      </c>
      <c r="P1983" s="102" t="str">
        <f aca="false">IF(D1983="","",IFERROR(INDEX(AK_KEL,MATCH(D1983,AK_NAMA,0)),"?"))</f>
        <v/>
      </c>
      <c r="Q1983" s="102" t="n">
        <f aca="false">N(Q1982)+IF(AND(N(E1983)&lt;&gt;0,K1983=TAHUN,N(J1983)&lt;=BLN,OR(C1983=BB_AKUN,D1983=BB_AKUN)),1,0)</f>
        <v>877</v>
      </c>
      <c r="R1983" s="104" t="str">
        <f aca="false">IF(OR(C1983&amp;D1983="",N(E1983)=0),"",IF(OR(O1983="?",P1983="?"),"⚠ akun tidak dikenal",IF(C1983=D1983,"⚠ debet = kredit","")))</f>
        <v/>
      </c>
    </row>
    <row r="1984" customFormat="false" ht="15" hidden="false" customHeight="false" outlineLevel="0" collapsed="false">
      <c r="A1984" s="5"/>
      <c r="B1984" s="83"/>
      <c r="C1984" s="5"/>
      <c r="D1984" s="5"/>
      <c r="E1984" s="44"/>
      <c r="F1984" s="5"/>
      <c r="G1984" s="5"/>
      <c r="H1984" s="5"/>
      <c r="I1984" s="5"/>
      <c r="J1984" s="102" t="str">
        <f aca="false">IF(B1984="","",MONTH(B1984))</f>
        <v/>
      </c>
      <c r="K1984" s="102" t="str">
        <f aca="false">IF(B1984="","",YEAR(B1984))</f>
        <v/>
      </c>
      <c r="L1984" s="102" t="str">
        <f aca="false">IF(N(E1984)=0,"",IF(COUNTIFS(AK_NAMA,C1984,AK_KAT,"KAS")+COUNTIFS(AK_NAMA,D1984,AK_KAT,"KAS")&lt;&gt;1,"",IF(COUNTIFS(AK_NAMA,C1984,AK_KAT,"KAS")=1,D1984,C1984)))</f>
        <v/>
      </c>
      <c r="M1984" s="103" t="n">
        <f aca="false">IF(L1984="",0,IF(L1984=D1984,E1984,-E1984))</f>
        <v>0</v>
      </c>
      <c r="N1984" s="102" t="str">
        <f aca="false">IF(L1984="","",IFERROR(INDEX(AK_BARIS,MATCH(L1984,AK_NAMA,0)),"?"))</f>
        <v/>
      </c>
      <c r="O1984" s="102" t="str">
        <f aca="false">IF(C1984="","",IFERROR(INDEX(AK_KEL,MATCH(C1984,AK_NAMA,0)),"?"))</f>
        <v/>
      </c>
      <c r="P1984" s="102" t="str">
        <f aca="false">IF(D1984="","",IFERROR(INDEX(AK_KEL,MATCH(D1984,AK_NAMA,0)),"?"))</f>
        <v/>
      </c>
      <c r="Q1984" s="102" t="n">
        <f aca="false">N(Q1983)+IF(AND(N(E1984)&lt;&gt;0,K1984=TAHUN,N(J1984)&lt;=BLN,OR(C1984=BB_AKUN,D1984=BB_AKUN)),1,0)</f>
        <v>877</v>
      </c>
      <c r="R1984" s="104" t="str">
        <f aca="false">IF(OR(C1984&amp;D1984="",N(E1984)=0),"",IF(OR(O1984="?",P1984="?"),"⚠ akun tidak dikenal",IF(C1984=D1984,"⚠ debet = kredit","")))</f>
        <v/>
      </c>
    </row>
    <row r="1985" customFormat="false" ht="15" hidden="false" customHeight="false" outlineLevel="0" collapsed="false">
      <c r="A1985" s="5"/>
      <c r="B1985" s="83"/>
      <c r="C1985" s="5"/>
      <c r="D1985" s="5"/>
      <c r="E1985" s="44"/>
      <c r="F1985" s="5"/>
      <c r="G1985" s="5"/>
      <c r="H1985" s="5"/>
      <c r="I1985" s="5"/>
      <c r="J1985" s="102" t="str">
        <f aca="false">IF(B1985="","",MONTH(B1985))</f>
        <v/>
      </c>
      <c r="K1985" s="102" t="str">
        <f aca="false">IF(B1985="","",YEAR(B1985))</f>
        <v/>
      </c>
      <c r="L1985" s="102" t="str">
        <f aca="false">IF(N(E1985)=0,"",IF(COUNTIFS(AK_NAMA,C1985,AK_KAT,"KAS")+COUNTIFS(AK_NAMA,D1985,AK_KAT,"KAS")&lt;&gt;1,"",IF(COUNTIFS(AK_NAMA,C1985,AK_KAT,"KAS")=1,D1985,C1985)))</f>
        <v/>
      </c>
      <c r="M1985" s="103" t="n">
        <f aca="false">IF(L1985="",0,IF(L1985=D1985,E1985,-E1985))</f>
        <v>0</v>
      </c>
      <c r="N1985" s="102" t="str">
        <f aca="false">IF(L1985="","",IFERROR(INDEX(AK_BARIS,MATCH(L1985,AK_NAMA,0)),"?"))</f>
        <v/>
      </c>
      <c r="O1985" s="102" t="str">
        <f aca="false">IF(C1985="","",IFERROR(INDEX(AK_KEL,MATCH(C1985,AK_NAMA,0)),"?"))</f>
        <v/>
      </c>
      <c r="P1985" s="102" t="str">
        <f aca="false">IF(D1985="","",IFERROR(INDEX(AK_KEL,MATCH(D1985,AK_NAMA,0)),"?"))</f>
        <v/>
      </c>
      <c r="Q1985" s="102" t="n">
        <f aca="false">N(Q1984)+IF(AND(N(E1985)&lt;&gt;0,K1985=TAHUN,N(J1985)&lt;=BLN,OR(C1985=BB_AKUN,D1985=BB_AKUN)),1,0)</f>
        <v>877</v>
      </c>
      <c r="R1985" s="104" t="str">
        <f aca="false">IF(OR(C1985&amp;D1985="",N(E1985)=0),"",IF(OR(O1985="?",P1985="?"),"⚠ akun tidak dikenal",IF(C1985=D1985,"⚠ debet = kredit","")))</f>
        <v/>
      </c>
    </row>
    <row r="1986" customFormat="false" ht="15" hidden="false" customHeight="false" outlineLevel="0" collapsed="false">
      <c r="A1986" s="5"/>
      <c r="B1986" s="83"/>
      <c r="C1986" s="5"/>
      <c r="D1986" s="5"/>
      <c r="E1986" s="44"/>
      <c r="F1986" s="5"/>
      <c r="G1986" s="5"/>
      <c r="H1986" s="5"/>
      <c r="I1986" s="5"/>
      <c r="J1986" s="102" t="str">
        <f aca="false">IF(B1986="","",MONTH(B1986))</f>
        <v/>
      </c>
      <c r="K1986" s="102" t="str">
        <f aca="false">IF(B1986="","",YEAR(B1986))</f>
        <v/>
      </c>
      <c r="L1986" s="102" t="str">
        <f aca="false">IF(N(E1986)=0,"",IF(COUNTIFS(AK_NAMA,C1986,AK_KAT,"KAS")+COUNTIFS(AK_NAMA,D1986,AK_KAT,"KAS")&lt;&gt;1,"",IF(COUNTIFS(AK_NAMA,C1986,AK_KAT,"KAS")=1,D1986,C1986)))</f>
        <v/>
      </c>
      <c r="M1986" s="103" t="n">
        <f aca="false">IF(L1986="",0,IF(L1986=D1986,E1986,-E1986))</f>
        <v>0</v>
      </c>
      <c r="N1986" s="102" t="str">
        <f aca="false">IF(L1986="","",IFERROR(INDEX(AK_BARIS,MATCH(L1986,AK_NAMA,0)),"?"))</f>
        <v/>
      </c>
      <c r="O1986" s="102" t="str">
        <f aca="false">IF(C1986="","",IFERROR(INDEX(AK_KEL,MATCH(C1986,AK_NAMA,0)),"?"))</f>
        <v/>
      </c>
      <c r="P1986" s="102" t="str">
        <f aca="false">IF(D1986="","",IFERROR(INDEX(AK_KEL,MATCH(D1986,AK_NAMA,0)),"?"))</f>
        <v/>
      </c>
      <c r="Q1986" s="102" t="n">
        <f aca="false">N(Q1985)+IF(AND(N(E1986)&lt;&gt;0,K1986=TAHUN,N(J1986)&lt;=BLN,OR(C1986=BB_AKUN,D1986=BB_AKUN)),1,0)</f>
        <v>877</v>
      </c>
      <c r="R1986" s="104" t="str">
        <f aca="false">IF(OR(C1986&amp;D1986="",N(E1986)=0),"",IF(OR(O1986="?",P1986="?"),"⚠ akun tidak dikenal",IF(C1986=D1986,"⚠ debet = kredit","")))</f>
        <v/>
      </c>
    </row>
    <row r="1987" customFormat="false" ht="15" hidden="false" customHeight="false" outlineLevel="0" collapsed="false">
      <c r="A1987" s="5"/>
      <c r="B1987" s="83"/>
      <c r="C1987" s="5"/>
      <c r="D1987" s="5"/>
      <c r="E1987" s="44"/>
      <c r="F1987" s="5"/>
      <c r="G1987" s="5"/>
      <c r="H1987" s="5"/>
      <c r="I1987" s="5"/>
      <c r="J1987" s="102" t="str">
        <f aca="false">IF(B1987="","",MONTH(B1987))</f>
        <v/>
      </c>
      <c r="K1987" s="102" t="str">
        <f aca="false">IF(B1987="","",YEAR(B1987))</f>
        <v/>
      </c>
      <c r="L1987" s="102" t="str">
        <f aca="false">IF(N(E1987)=0,"",IF(COUNTIFS(AK_NAMA,C1987,AK_KAT,"KAS")+COUNTIFS(AK_NAMA,D1987,AK_KAT,"KAS")&lt;&gt;1,"",IF(COUNTIFS(AK_NAMA,C1987,AK_KAT,"KAS")=1,D1987,C1987)))</f>
        <v/>
      </c>
      <c r="M1987" s="103" t="n">
        <f aca="false">IF(L1987="",0,IF(L1987=D1987,E1987,-E1987))</f>
        <v>0</v>
      </c>
      <c r="N1987" s="102" t="str">
        <f aca="false">IF(L1987="","",IFERROR(INDEX(AK_BARIS,MATCH(L1987,AK_NAMA,0)),"?"))</f>
        <v/>
      </c>
      <c r="O1987" s="102" t="str">
        <f aca="false">IF(C1987="","",IFERROR(INDEX(AK_KEL,MATCH(C1987,AK_NAMA,0)),"?"))</f>
        <v/>
      </c>
      <c r="P1987" s="102" t="str">
        <f aca="false">IF(D1987="","",IFERROR(INDEX(AK_KEL,MATCH(D1987,AK_NAMA,0)),"?"))</f>
        <v/>
      </c>
      <c r="Q1987" s="102" t="n">
        <f aca="false">N(Q1986)+IF(AND(N(E1987)&lt;&gt;0,K1987=TAHUN,N(J1987)&lt;=BLN,OR(C1987=BB_AKUN,D1987=BB_AKUN)),1,0)</f>
        <v>877</v>
      </c>
      <c r="R1987" s="104" t="str">
        <f aca="false">IF(OR(C1987&amp;D1987="",N(E1987)=0),"",IF(OR(O1987="?",P1987="?"),"⚠ akun tidak dikenal",IF(C1987=D1987,"⚠ debet = kredit","")))</f>
        <v/>
      </c>
    </row>
    <row r="1988" customFormat="false" ht="15" hidden="false" customHeight="false" outlineLevel="0" collapsed="false">
      <c r="A1988" s="5"/>
      <c r="B1988" s="83"/>
      <c r="C1988" s="5"/>
      <c r="D1988" s="5"/>
      <c r="E1988" s="44"/>
      <c r="F1988" s="5"/>
      <c r="G1988" s="5"/>
      <c r="H1988" s="5"/>
      <c r="I1988" s="5"/>
      <c r="J1988" s="102" t="str">
        <f aca="false">IF(B1988="","",MONTH(B1988))</f>
        <v/>
      </c>
      <c r="K1988" s="102" t="str">
        <f aca="false">IF(B1988="","",YEAR(B1988))</f>
        <v/>
      </c>
      <c r="L1988" s="102" t="str">
        <f aca="false">IF(N(E1988)=0,"",IF(COUNTIFS(AK_NAMA,C1988,AK_KAT,"KAS")+COUNTIFS(AK_NAMA,D1988,AK_KAT,"KAS")&lt;&gt;1,"",IF(COUNTIFS(AK_NAMA,C1988,AK_KAT,"KAS")=1,D1988,C1988)))</f>
        <v/>
      </c>
      <c r="M1988" s="103" t="n">
        <f aca="false">IF(L1988="",0,IF(L1988=D1988,E1988,-E1988))</f>
        <v>0</v>
      </c>
      <c r="N1988" s="102" t="str">
        <f aca="false">IF(L1988="","",IFERROR(INDEX(AK_BARIS,MATCH(L1988,AK_NAMA,0)),"?"))</f>
        <v/>
      </c>
      <c r="O1988" s="102" t="str">
        <f aca="false">IF(C1988="","",IFERROR(INDEX(AK_KEL,MATCH(C1988,AK_NAMA,0)),"?"))</f>
        <v/>
      </c>
      <c r="P1988" s="102" t="str">
        <f aca="false">IF(D1988="","",IFERROR(INDEX(AK_KEL,MATCH(D1988,AK_NAMA,0)),"?"))</f>
        <v/>
      </c>
      <c r="Q1988" s="102" t="n">
        <f aca="false">N(Q1987)+IF(AND(N(E1988)&lt;&gt;0,K1988=TAHUN,N(J1988)&lt;=BLN,OR(C1988=BB_AKUN,D1988=BB_AKUN)),1,0)</f>
        <v>877</v>
      </c>
      <c r="R1988" s="104" t="str">
        <f aca="false">IF(OR(C1988&amp;D1988="",N(E1988)=0),"",IF(OR(O1988="?",P1988="?"),"⚠ akun tidak dikenal",IF(C1988=D1988,"⚠ debet = kredit","")))</f>
        <v/>
      </c>
    </row>
    <row r="1989" customFormat="false" ht="15" hidden="false" customHeight="false" outlineLevel="0" collapsed="false">
      <c r="A1989" s="5"/>
      <c r="B1989" s="83"/>
      <c r="C1989" s="5"/>
      <c r="D1989" s="5"/>
      <c r="E1989" s="44"/>
      <c r="F1989" s="5"/>
      <c r="G1989" s="5"/>
      <c r="H1989" s="5"/>
      <c r="I1989" s="5"/>
      <c r="J1989" s="102" t="str">
        <f aca="false">IF(B1989="","",MONTH(B1989))</f>
        <v/>
      </c>
      <c r="K1989" s="102" t="str">
        <f aca="false">IF(B1989="","",YEAR(B1989))</f>
        <v/>
      </c>
      <c r="L1989" s="102" t="str">
        <f aca="false">IF(N(E1989)=0,"",IF(COUNTIFS(AK_NAMA,C1989,AK_KAT,"KAS")+COUNTIFS(AK_NAMA,D1989,AK_KAT,"KAS")&lt;&gt;1,"",IF(COUNTIFS(AK_NAMA,C1989,AK_KAT,"KAS")=1,D1989,C1989)))</f>
        <v/>
      </c>
      <c r="M1989" s="103" t="n">
        <f aca="false">IF(L1989="",0,IF(L1989=D1989,E1989,-E1989))</f>
        <v>0</v>
      </c>
      <c r="N1989" s="102" t="str">
        <f aca="false">IF(L1989="","",IFERROR(INDEX(AK_BARIS,MATCH(L1989,AK_NAMA,0)),"?"))</f>
        <v/>
      </c>
      <c r="O1989" s="102" t="str">
        <f aca="false">IF(C1989="","",IFERROR(INDEX(AK_KEL,MATCH(C1989,AK_NAMA,0)),"?"))</f>
        <v/>
      </c>
      <c r="P1989" s="102" t="str">
        <f aca="false">IF(D1989="","",IFERROR(INDEX(AK_KEL,MATCH(D1989,AK_NAMA,0)),"?"))</f>
        <v/>
      </c>
      <c r="Q1989" s="102" t="n">
        <f aca="false">N(Q1988)+IF(AND(N(E1989)&lt;&gt;0,K1989=TAHUN,N(J1989)&lt;=BLN,OR(C1989=BB_AKUN,D1989=BB_AKUN)),1,0)</f>
        <v>877</v>
      </c>
      <c r="R1989" s="104" t="str">
        <f aca="false">IF(OR(C1989&amp;D1989="",N(E1989)=0),"",IF(OR(O1989="?",P1989="?"),"⚠ akun tidak dikenal",IF(C1989=D1989,"⚠ debet = kredit","")))</f>
        <v/>
      </c>
    </row>
    <row r="1990" customFormat="false" ht="15" hidden="false" customHeight="false" outlineLevel="0" collapsed="false">
      <c r="A1990" s="5"/>
      <c r="B1990" s="83"/>
      <c r="C1990" s="5"/>
      <c r="D1990" s="5"/>
      <c r="E1990" s="44"/>
      <c r="F1990" s="5"/>
      <c r="G1990" s="5"/>
      <c r="H1990" s="5"/>
      <c r="I1990" s="5"/>
      <c r="J1990" s="102" t="str">
        <f aca="false">IF(B1990="","",MONTH(B1990))</f>
        <v/>
      </c>
      <c r="K1990" s="102" t="str">
        <f aca="false">IF(B1990="","",YEAR(B1990))</f>
        <v/>
      </c>
      <c r="L1990" s="102" t="str">
        <f aca="false">IF(N(E1990)=0,"",IF(COUNTIFS(AK_NAMA,C1990,AK_KAT,"KAS")+COUNTIFS(AK_NAMA,D1990,AK_KAT,"KAS")&lt;&gt;1,"",IF(COUNTIFS(AK_NAMA,C1990,AK_KAT,"KAS")=1,D1990,C1990)))</f>
        <v/>
      </c>
      <c r="M1990" s="103" t="n">
        <f aca="false">IF(L1990="",0,IF(L1990=D1990,E1990,-E1990))</f>
        <v>0</v>
      </c>
      <c r="N1990" s="102" t="str">
        <f aca="false">IF(L1990="","",IFERROR(INDEX(AK_BARIS,MATCH(L1990,AK_NAMA,0)),"?"))</f>
        <v/>
      </c>
      <c r="O1990" s="102" t="str">
        <f aca="false">IF(C1990="","",IFERROR(INDEX(AK_KEL,MATCH(C1990,AK_NAMA,0)),"?"))</f>
        <v/>
      </c>
      <c r="P1990" s="102" t="str">
        <f aca="false">IF(D1990="","",IFERROR(INDEX(AK_KEL,MATCH(D1990,AK_NAMA,0)),"?"))</f>
        <v/>
      </c>
      <c r="Q1990" s="102" t="n">
        <f aca="false">N(Q1989)+IF(AND(N(E1990)&lt;&gt;0,K1990=TAHUN,N(J1990)&lt;=BLN,OR(C1990=BB_AKUN,D1990=BB_AKUN)),1,0)</f>
        <v>877</v>
      </c>
      <c r="R1990" s="104" t="str">
        <f aca="false">IF(OR(C1990&amp;D1990="",N(E1990)=0),"",IF(OR(O1990="?",P1990="?"),"⚠ akun tidak dikenal",IF(C1990=D1990,"⚠ debet = kredit","")))</f>
        <v/>
      </c>
    </row>
    <row r="1991" customFormat="false" ht="15" hidden="false" customHeight="false" outlineLevel="0" collapsed="false">
      <c r="A1991" s="5"/>
      <c r="B1991" s="83"/>
      <c r="C1991" s="5"/>
      <c r="D1991" s="5"/>
      <c r="E1991" s="44"/>
      <c r="F1991" s="5"/>
      <c r="G1991" s="5"/>
      <c r="H1991" s="5"/>
      <c r="I1991" s="5"/>
      <c r="J1991" s="102" t="str">
        <f aca="false">IF(B1991="","",MONTH(B1991))</f>
        <v/>
      </c>
      <c r="K1991" s="102" t="str">
        <f aca="false">IF(B1991="","",YEAR(B1991))</f>
        <v/>
      </c>
      <c r="L1991" s="102" t="str">
        <f aca="false">IF(N(E1991)=0,"",IF(COUNTIFS(AK_NAMA,C1991,AK_KAT,"KAS")+COUNTIFS(AK_NAMA,D1991,AK_KAT,"KAS")&lt;&gt;1,"",IF(COUNTIFS(AK_NAMA,C1991,AK_KAT,"KAS")=1,D1991,C1991)))</f>
        <v/>
      </c>
      <c r="M1991" s="103" t="n">
        <f aca="false">IF(L1991="",0,IF(L1991=D1991,E1991,-E1991))</f>
        <v>0</v>
      </c>
      <c r="N1991" s="102" t="str">
        <f aca="false">IF(L1991="","",IFERROR(INDEX(AK_BARIS,MATCH(L1991,AK_NAMA,0)),"?"))</f>
        <v/>
      </c>
      <c r="O1991" s="102" t="str">
        <f aca="false">IF(C1991="","",IFERROR(INDEX(AK_KEL,MATCH(C1991,AK_NAMA,0)),"?"))</f>
        <v/>
      </c>
      <c r="P1991" s="102" t="str">
        <f aca="false">IF(D1991="","",IFERROR(INDEX(AK_KEL,MATCH(D1991,AK_NAMA,0)),"?"))</f>
        <v/>
      </c>
      <c r="Q1991" s="102" t="n">
        <f aca="false">N(Q1990)+IF(AND(N(E1991)&lt;&gt;0,K1991=TAHUN,N(J1991)&lt;=BLN,OR(C1991=BB_AKUN,D1991=BB_AKUN)),1,0)</f>
        <v>877</v>
      </c>
      <c r="R1991" s="104" t="str">
        <f aca="false">IF(OR(C1991&amp;D1991="",N(E1991)=0),"",IF(OR(O1991="?",P1991="?"),"⚠ akun tidak dikenal",IF(C1991=D1991,"⚠ debet = kredit","")))</f>
        <v/>
      </c>
    </row>
    <row r="1992" customFormat="false" ht="15" hidden="false" customHeight="false" outlineLevel="0" collapsed="false">
      <c r="A1992" s="5"/>
      <c r="B1992" s="83"/>
      <c r="C1992" s="5"/>
      <c r="D1992" s="5"/>
      <c r="E1992" s="44"/>
      <c r="F1992" s="5"/>
      <c r="G1992" s="5"/>
      <c r="H1992" s="5"/>
      <c r="I1992" s="5"/>
      <c r="J1992" s="102" t="str">
        <f aca="false">IF(B1992="","",MONTH(B1992))</f>
        <v/>
      </c>
      <c r="K1992" s="102" t="str">
        <f aca="false">IF(B1992="","",YEAR(B1992))</f>
        <v/>
      </c>
      <c r="L1992" s="102" t="str">
        <f aca="false">IF(N(E1992)=0,"",IF(COUNTIFS(AK_NAMA,C1992,AK_KAT,"KAS")+COUNTIFS(AK_NAMA,D1992,AK_KAT,"KAS")&lt;&gt;1,"",IF(COUNTIFS(AK_NAMA,C1992,AK_KAT,"KAS")=1,D1992,C1992)))</f>
        <v/>
      </c>
      <c r="M1992" s="103" t="n">
        <f aca="false">IF(L1992="",0,IF(L1992=D1992,E1992,-E1992))</f>
        <v>0</v>
      </c>
      <c r="N1992" s="102" t="str">
        <f aca="false">IF(L1992="","",IFERROR(INDEX(AK_BARIS,MATCH(L1992,AK_NAMA,0)),"?"))</f>
        <v/>
      </c>
      <c r="O1992" s="102" t="str">
        <f aca="false">IF(C1992="","",IFERROR(INDEX(AK_KEL,MATCH(C1992,AK_NAMA,0)),"?"))</f>
        <v/>
      </c>
      <c r="P1992" s="102" t="str">
        <f aca="false">IF(D1992="","",IFERROR(INDEX(AK_KEL,MATCH(D1992,AK_NAMA,0)),"?"))</f>
        <v/>
      </c>
      <c r="Q1992" s="102" t="n">
        <f aca="false">N(Q1991)+IF(AND(N(E1992)&lt;&gt;0,K1992=TAHUN,N(J1992)&lt;=BLN,OR(C1992=BB_AKUN,D1992=BB_AKUN)),1,0)</f>
        <v>877</v>
      </c>
      <c r="R1992" s="104" t="str">
        <f aca="false">IF(OR(C1992&amp;D1992="",N(E1992)=0),"",IF(OR(O1992="?",P1992="?"),"⚠ akun tidak dikenal",IF(C1992=D1992,"⚠ debet = kredit","")))</f>
        <v/>
      </c>
    </row>
    <row r="1993" customFormat="false" ht="15" hidden="false" customHeight="false" outlineLevel="0" collapsed="false">
      <c r="A1993" s="5"/>
      <c r="B1993" s="83"/>
      <c r="C1993" s="5"/>
      <c r="D1993" s="5"/>
      <c r="E1993" s="44"/>
      <c r="F1993" s="5"/>
      <c r="G1993" s="5"/>
      <c r="H1993" s="5"/>
      <c r="I1993" s="5"/>
      <c r="J1993" s="102" t="str">
        <f aca="false">IF(B1993="","",MONTH(B1993))</f>
        <v/>
      </c>
      <c r="K1993" s="102" t="str">
        <f aca="false">IF(B1993="","",YEAR(B1993))</f>
        <v/>
      </c>
      <c r="L1993" s="102" t="str">
        <f aca="false">IF(N(E1993)=0,"",IF(COUNTIFS(AK_NAMA,C1993,AK_KAT,"KAS")+COUNTIFS(AK_NAMA,D1993,AK_KAT,"KAS")&lt;&gt;1,"",IF(COUNTIFS(AK_NAMA,C1993,AK_KAT,"KAS")=1,D1993,C1993)))</f>
        <v/>
      </c>
      <c r="M1993" s="103" t="n">
        <f aca="false">IF(L1993="",0,IF(L1993=D1993,E1993,-E1993))</f>
        <v>0</v>
      </c>
      <c r="N1993" s="102" t="str">
        <f aca="false">IF(L1993="","",IFERROR(INDEX(AK_BARIS,MATCH(L1993,AK_NAMA,0)),"?"))</f>
        <v/>
      </c>
      <c r="O1993" s="102" t="str">
        <f aca="false">IF(C1993="","",IFERROR(INDEX(AK_KEL,MATCH(C1993,AK_NAMA,0)),"?"))</f>
        <v/>
      </c>
      <c r="P1993" s="102" t="str">
        <f aca="false">IF(D1993="","",IFERROR(INDEX(AK_KEL,MATCH(D1993,AK_NAMA,0)),"?"))</f>
        <v/>
      </c>
      <c r="Q1993" s="102" t="n">
        <f aca="false">N(Q1992)+IF(AND(N(E1993)&lt;&gt;0,K1993=TAHUN,N(J1993)&lt;=BLN,OR(C1993=BB_AKUN,D1993=BB_AKUN)),1,0)</f>
        <v>877</v>
      </c>
      <c r="R1993" s="104" t="str">
        <f aca="false">IF(OR(C1993&amp;D1993="",N(E1993)=0),"",IF(OR(O1993="?",P1993="?"),"⚠ akun tidak dikenal",IF(C1993=D1993,"⚠ debet = kredit","")))</f>
        <v/>
      </c>
    </row>
    <row r="1994" customFormat="false" ht="15" hidden="false" customHeight="false" outlineLevel="0" collapsed="false">
      <c r="A1994" s="5"/>
      <c r="B1994" s="83"/>
      <c r="C1994" s="5"/>
      <c r="D1994" s="5"/>
      <c r="E1994" s="44"/>
      <c r="F1994" s="5"/>
      <c r="G1994" s="5"/>
      <c r="H1994" s="5"/>
      <c r="I1994" s="5"/>
      <c r="J1994" s="102" t="str">
        <f aca="false">IF(B1994="","",MONTH(B1994))</f>
        <v/>
      </c>
      <c r="K1994" s="102" t="str">
        <f aca="false">IF(B1994="","",YEAR(B1994))</f>
        <v/>
      </c>
      <c r="L1994" s="102" t="str">
        <f aca="false">IF(N(E1994)=0,"",IF(COUNTIFS(AK_NAMA,C1994,AK_KAT,"KAS")+COUNTIFS(AK_NAMA,D1994,AK_KAT,"KAS")&lt;&gt;1,"",IF(COUNTIFS(AK_NAMA,C1994,AK_KAT,"KAS")=1,D1994,C1994)))</f>
        <v/>
      </c>
      <c r="M1994" s="103" t="n">
        <f aca="false">IF(L1994="",0,IF(L1994=D1994,E1994,-E1994))</f>
        <v>0</v>
      </c>
      <c r="N1994" s="102" t="str">
        <f aca="false">IF(L1994="","",IFERROR(INDEX(AK_BARIS,MATCH(L1994,AK_NAMA,0)),"?"))</f>
        <v/>
      </c>
      <c r="O1994" s="102" t="str">
        <f aca="false">IF(C1994="","",IFERROR(INDEX(AK_KEL,MATCH(C1994,AK_NAMA,0)),"?"))</f>
        <v/>
      </c>
      <c r="P1994" s="102" t="str">
        <f aca="false">IF(D1994="","",IFERROR(INDEX(AK_KEL,MATCH(D1994,AK_NAMA,0)),"?"))</f>
        <v/>
      </c>
      <c r="Q1994" s="102" t="n">
        <f aca="false">N(Q1993)+IF(AND(N(E1994)&lt;&gt;0,K1994=TAHUN,N(J1994)&lt;=BLN,OR(C1994=BB_AKUN,D1994=BB_AKUN)),1,0)</f>
        <v>877</v>
      </c>
      <c r="R1994" s="104" t="str">
        <f aca="false">IF(OR(C1994&amp;D1994="",N(E1994)=0),"",IF(OR(O1994="?",P1994="?"),"⚠ akun tidak dikenal",IF(C1994=D1994,"⚠ debet = kredit","")))</f>
        <v/>
      </c>
    </row>
    <row r="1995" customFormat="false" ht="15" hidden="false" customHeight="false" outlineLevel="0" collapsed="false">
      <c r="A1995" s="5"/>
      <c r="B1995" s="83"/>
      <c r="C1995" s="5"/>
      <c r="D1995" s="5"/>
      <c r="E1995" s="44"/>
      <c r="F1995" s="5"/>
      <c r="G1995" s="5"/>
      <c r="H1995" s="5"/>
      <c r="I1995" s="5"/>
      <c r="J1995" s="102" t="str">
        <f aca="false">IF(B1995="","",MONTH(B1995))</f>
        <v/>
      </c>
      <c r="K1995" s="102" t="str">
        <f aca="false">IF(B1995="","",YEAR(B1995))</f>
        <v/>
      </c>
      <c r="L1995" s="102" t="str">
        <f aca="false">IF(N(E1995)=0,"",IF(COUNTIFS(AK_NAMA,C1995,AK_KAT,"KAS")+COUNTIFS(AK_NAMA,D1995,AK_KAT,"KAS")&lt;&gt;1,"",IF(COUNTIFS(AK_NAMA,C1995,AK_KAT,"KAS")=1,D1995,C1995)))</f>
        <v/>
      </c>
      <c r="M1995" s="103" t="n">
        <f aca="false">IF(L1995="",0,IF(L1995=D1995,E1995,-E1995))</f>
        <v>0</v>
      </c>
      <c r="N1995" s="102" t="str">
        <f aca="false">IF(L1995="","",IFERROR(INDEX(AK_BARIS,MATCH(L1995,AK_NAMA,0)),"?"))</f>
        <v/>
      </c>
      <c r="O1995" s="102" t="str">
        <f aca="false">IF(C1995="","",IFERROR(INDEX(AK_KEL,MATCH(C1995,AK_NAMA,0)),"?"))</f>
        <v/>
      </c>
      <c r="P1995" s="102" t="str">
        <f aca="false">IF(D1995="","",IFERROR(INDEX(AK_KEL,MATCH(D1995,AK_NAMA,0)),"?"))</f>
        <v/>
      </c>
      <c r="Q1995" s="102" t="n">
        <f aca="false">N(Q1994)+IF(AND(N(E1995)&lt;&gt;0,K1995=TAHUN,N(J1995)&lt;=BLN,OR(C1995=BB_AKUN,D1995=BB_AKUN)),1,0)</f>
        <v>877</v>
      </c>
      <c r="R1995" s="104" t="str">
        <f aca="false">IF(OR(C1995&amp;D1995="",N(E1995)=0),"",IF(OR(O1995="?",P1995="?"),"⚠ akun tidak dikenal",IF(C1995=D1995,"⚠ debet = kredit","")))</f>
        <v/>
      </c>
    </row>
    <row r="1996" customFormat="false" ht="15" hidden="false" customHeight="false" outlineLevel="0" collapsed="false">
      <c r="A1996" s="5"/>
      <c r="B1996" s="83"/>
      <c r="C1996" s="5"/>
      <c r="D1996" s="5"/>
      <c r="E1996" s="44"/>
      <c r="F1996" s="5"/>
      <c r="G1996" s="5"/>
      <c r="H1996" s="5"/>
      <c r="I1996" s="5"/>
      <c r="J1996" s="102" t="str">
        <f aca="false">IF(B1996="","",MONTH(B1996))</f>
        <v/>
      </c>
      <c r="K1996" s="102" t="str">
        <f aca="false">IF(B1996="","",YEAR(B1996))</f>
        <v/>
      </c>
      <c r="L1996" s="102" t="str">
        <f aca="false">IF(N(E1996)=0,"",IF(COUNTIFS(AK_NAMA,C1996,AK_KAT,"KAS")+COUNTIFS(AK_NAMA,D1996,AK_KAT,"KAS")&lt;&gt;1,"",IF(COUNTIFS(AK_NAMA,C1996,AK_KAT,"KAS")=1,D1996,C1996)))</f>
        <v/>
      </c>
      <c r="M1996" s="103" t="n">
        <f aca="false">IF(L1996="",0,IF(L1996=D1996,E1996,-E1996))</f>
        <v>0</v>
      </c>
      <c r="N1996" s="102" t="str">
        <f aca="false">IF(L1996="","",IFERROR(INDEX(AK_BARIS,MATCH(L1996,AK_NAMA,0)),"?"))</f>
        <v/>
      </c>
      <c r="O1996" s="102" t="str">
        <f aca="false">IF(C1996="","",IFERROR(INDEX(AK_KEL,MATCH(C1996,AK_NAMA,0)),"?"))</f>
        <v/>
      </c>
      <c r="P1996" s="102" t="str">
        <f aca="false">IF(D1996="","",IFERROR(INDEX(AK_KEL,MATCH(D1996,AK_NAMA,0)),"?"))</f>
        <v/>
      </c>
      <c r="Q1996" s="102" t="n">
        <f aca="false">N(Q1995)+IF(AND(N(E1996)&lt;&gt;0,K1996=TAHUN,N(J1996)&lt;=BLN,OR(C1996=BB_AKUN,D1996=BB_AKUN)),1,0)</f>
        <v>877</v>
      </c>
      <c r="R1996" s="104" t="str">
        <f aca="false">IF(OR(C1996&amp;D1996="",N(E1996)=0),"",IF(OR(O1996="?",P1996="?"),"⚠ akun tidak dikenal",IF(C1996=D1996,"⚠ debet = kredit","")))</f>
        <v/>
      </c>
    </row>
    <row r="1997" customFormat="false" ht="15" hidden="false" customHeight="false" outlineLevel="0" collapsed="false">
      <c r="A1997" s="5"/>
      <c r="B1997" s="83"/>
      <c r="C1997" s="5"/>
      <c r="D1997" s="5"/>
      <c r="E1997" s="44"/>
      <c r="F1997" s="5"/>
      <c r="G1997" s="5"/>
      <c r="H1997" s="5"/>
      <c r="I1997" s="5"/>
      <c r="J1997" s="102" t="str">
        <f aca="false">IF(B1997="","",MONTH(B1997))</f>
        <v/>
      </c>
      <c r="K1997" s="102" t="str">
        <f aca="false">IF(B1997="","",YEAR(B1997))</f>
        <v/>
      </c>
      <c r="L1997" s="102" t="str">
        <f aca="false">IF(N(E1997)=0,"",IF(COUNTIFS(AK_NAMA,C1997,AK_KAT,"KAS")+COUNTIFS(AK_NAMA,D1997,AK_KAT,"KAS")&lt;&gt;1,"",IF(COUNTIFS(AK_NAMA,C1997,AK_KAT,"KAS")=1,D1997,C1997)))</f>
        <v/>
      </c>
      <c r="M1997" s="103" t="n">
        <f aca="false">IF(L1997="",0,IF(L1997=D1997,E1997,-E1997))</f>
        <v>0</v>
      </c>
      <c r="N1997" s="102" t="str">
        <f aca="false">IF(L1997="","",IFERROR(INDEX(AK_BARIS,MATCH(L1997,AK_NAMA,0)),"?"))</f>
        <v/>
      </c>
      <c r="O1997" s="102" t="str">
        <f aca="false">IF(C1997="","",IFERROR(INDEX(AK_KEL,MATCH(C1997,AK_NAMA,0)),"?"))</f>
        <v/>
      </c>
      <c r="P1997" s="102" t="str">
        <f aca="false">IF(D1997="","",IFERROR(INDEX(AK_KEL,MATCH(D1997,AK_NAMA,0)),"?"))</f>
        <v/>
      </c>
      <c r="Q1997" s="102" t="n">
        <f aca="false">N(Q1996)+IF(AND(N(E1997)&lt;&gt;0,K1997=TAHUN,N(J1997)&lt;=BLN,OR(C1997=BB_AKUN,D1997=BB_AKUN)),1,0)</f>
        <v>877</v>
      </c>
      <c r="R1997" s="104" t="str">
        <f aca="false">IF(OR(C1997&amp;D1997="",N(E1997)=0),"",IF(OR(O1997="?",P1997="?"),"⚠ akun tidak dikenal",IF(C1997=D1997,"⚠ debet = kredit","")))</f>
        <v/>
      </c>
    </row>
    <row r="1998" customFormat="false" ht="15" hidden="false" customHeight="false" outlineLevel="0" collapsed="false">
      <c r="A1998" s="5"/>
      <c r="B1998" s="83"/>
      <c r="C1998" s="5"/>
      <c r="D1998" s="5"/>
      <c r="E1998" s="44"/>
      <c r="F1998" s="5"/>
      <c r="G1998" s="5"/>
      <c r="H1998" s="5"/>
      <c r="I1998" s="5"/>
      <c r="J1998" s="102" t="str">
        <f aca="false">IF(B1998="","",MONTH(B1998))</f>
        <v/>
      </c>
      <c r="K1998" s="102" t="str">
        <f aca="false">IF(B1998="","",YEAR(B1998))</f>
        <v/>
      </c>
      <c r="L1998" s="102" t="str">
        <f aca="false">IF(N(E1998)=0,"",IF(COUNTIFS(AK_NAMA,C1998,AK_KAT,"KAS")+COUNTIFS(AK_NAMA,D1998,AK_KAT,"KAS")&lt;&gt;1,"",IF(COUNTIFS(AK_NAMA,C1998,AK_KAT,"KAS")=1,D1998,C1998)))</f>
        <v/>
      </c>
      <c r="M1998" s="103" t="n">
        <f aca="false">IF(L1998="",0,IF(L1998=D1998,E1998,-E1998))</f>
        <v>0</v>
      </c>
      <c r="N1998" s="102" t="str">
        <f aca="false">IF(L1998="","",IFERROR(INDEX(AK_BARIS,MATCH(L1998,AK_NAMA,0)),"?"))</f>
        <v/>
      </c>
      <c r="O1998" s="102" t="str">
        <f aca="false">IF(C1998="","",IFERROR(INDEX(AK_KEL,MATCH(C1998,AK_NAMA,0)),"?"))</f>
        <v/>
      </c>
      <c r="P1998" s="102" t="str">
        <f aca="false">IF(D1998="","",IFERROR(INDEX(AK_KEL,MATCH(D1998,AK_NAMA,0)),"?"))</f>
        <v/>
      </c>
      <c r="Q1998" s="102" t="n">
        <f aca="false">N(Q1997)+IF(AND(N(E1998)&lt;&gt;0,K1998=TAHUN,N(J1998)&lt;=BLN,OR(C1998=BB_AKUN,D1998=BB_AKUN)),1,0)</f>
        <v>877</v>
      </c>
      <c r="R1998" s="104" t="str">
        <f aca="false">IF(OR(C1998&amp;D1998="",N(E1998)=0),"",IF(OR(O1998="?",P1998="?"),"⚠ akun tidak dikenal",IF(C1998=D1998,"⚠ debet = kredit","")))</f>
        <v/>
      </c>
    </row>
    <row r="1999" customFormat="false" ht="15" hidden="false" customHeight="false" outlineLevel="0" collapsed="false">
      <c r="A1999" s="5"/>
      <c r="B1999" s="83"/>
      <c r="C1999" s="5"/>
      <c r="D1999" s="5"/>
      <c r="E1999" s="44"/>
      <c r="F1999" s="5"/>
      <c r="G1999" s="5"/>
      <c r="H1999" s="5"/>
      <c r="I1999" s="5"/>
      <c r="J1999" s="102" t="str">
        <f aca="false">IF(B1999="","",MONTH(B1999))</f>
        <v/>
      </c>
      <c r="K1999" s="102" t="str">
        <f aca="false">IF(B1999="","",YEAR(B1999))</f>
        <v/>
      </c>
      <c r="L1999" s="102" t="str">
        <f aca="false">IF(N(E1999)=0,"",IF(COUNTIFS(AK_NAMA,C1999,AK_KAT,"KAS")+COUNTIFS(AK_NAMA,D1999,AK_KAT,"KAS")&lt;&gt;1,"",IF(COUNTIFS(AK_NAMA,C1999,AK_KAT,"KAS")=1,D1999,C1999)))</f>
        <v/>
      </c>
      <c r="M1999" s="103" t="n">
        <f aca="false">IF(L1999="",0,IF(L1999=D1999,E1999,-E1999))</f>
        <v>0</v>
      </c>
      <c r="N1999" s="102" t="str">
        <f aca="false">IF(L1999="","",IFERROR(INDEX(AK_BARIS,MATCH(L1999,AK_NAMA,0)),"?"))</f>
        <v/>
      </c>
      <c r="O1999" s="102" t="str">
        <f aca="false">IF(C1999="","",IFERROR(INDEX(AK_KEL,MATCH(C1999,AK_NAMA,0)),"?"))</f>
        <v/>
      </c>
      <c r="P1999" s="102" t="str">
        <f aca="false">IF(D1999="","",IFERROR(INDEX(AK_KEL,MATCH(D1999,AK_NAMA,0)),"?"))</f>
        <v/>
      </c>
      <c r="Q1999" s="102" t="n">
        <f aca="false">N(Q1998)+IF(AND(N(E1999)&lt;&gt;0,K1999=TAHUN,N(J1999)&lt;=BLN,OR(C1999=BB_AKUN,D1999=BB_AKUN)),1,0)</f>
        <v>877</v>
      </c>
      <c r="R1999" s="104" t="str">
        <f aca="false">IF(OR(C1999&amp;D1999="",N(E1999)=0),"",IF(OR(O1999="?",P1999="?"),"⚠ akun tidak dikenal",IF(C1999=D1999,"⚠ debet = kredit","")))</f>
        <v/>
      </c>
    </row>
    <row r="2000" customFormat="false" ht="15" hidden="false" customHeight="false" outlineLevel="0" collapsed="false">
      <c r="A2000" s="5"/>
      <c r="B2000" s="83"/>
      <c r="C2000" s="5"/>
      <c r="D2000" s="5"/>
      <c r="E2000" s="44"/>
      <c r="F2000" s="5"/>
      <c r="G2000" s="5"/>
      <c r="H2000" s="5"/>
      <c r="I2000" s="5"/>
      <c r="J2000" s="102" t="str">
        <f aca="false">IF(B2000="","",MONTH(B2000))</f>
        <v/>
      </c>
      <c r="K2000" s="102" t="str">
        <f aca="false">IF(B2000="","",YEAR(B2000))</f>
        <v/>
      </c>
      <c r="L2000" s="102" t="str">
        <f aca="false">IF(N(E2000)=0,"",IF(COUNTIFS(AK_NAMA,C2000,AK_KAT,"KAS")+COUNTIFS(AK_NAMA,D2000,AK_KAT,"KAS")&lt;&gt;1,"",IF(COUNTIFS(AK_NAMA,C2000,AK_KAT,"KAS")=1,D2000,C2000)))</f>
        <v/>
      </c>
      <c r="M2000" s="103" t="n">
        <f aca="false">IF(L2000="",0,IF(L2000=D2000,E2000,-E2000))</f>
        <v>0</v>
      </c>
      <c r="N2000" s="102" t="str">
        <f aca="false">IF(L2000="","",IFERROR(INDEX(AK_BARIS,MATCH(L2000,AK_NAMA,0)),"?"))</f>
        <v/>
      </c>
      <c r="O2000" s="102" t="str">
        <f aca="false">IF(C2000="","",IFERROR(INDEX(AK_KEL,MATCH(C2000,AK_NAMA,0)),"?"))</f>
        <v/>
      </c>
      <c r="P2000" s="102" t="str">
        <f aca="false">IF(D2000="","",IFERROR(INDEX(AK_KEL,MATCH(D2000,AK_NAMA,0)),"?"))</f>
        <v/>
      </c>
      <c r="Q2000" s="102" t="n">
        <f aca="false">N(Q1999)+IF(AND(N(E2000)&lt;&gt;0,K2000=TAHUN,N(J2000)&lt;=BLN,OR(C2000=BB_AKUN,D2000=BB_AKUN)),1,0)</f>
        <v>877</v>
      </c>
      <c r="R2000" s="104" t="str">
        <f aca="false">IF(OR(C2000&amp;D2000="",N(E2000)=0),"",IF(OR(O2000="?",P2000="?"),"⚠ akun tidak dikenal",IF(C2000=D2000,"⚠ debet = kredit","")))</f>
        <v/>
      </c>
    </row>
    <row r="2001" customFormat="false" ht="15" hidden="false" customHeight="false" outlineLevel="0" collapsed="false">
      <c r="A2001" s="5"/>
      <c r="B2001" s="83"/>
      <c r="C2001" s="5"/>
      <c r="D2001" s="5"/>
      <c r="E2001" s="44"/>
      <c r="F2001" s="5"/>
      <c r="G2001" s="5"/>
      <c r="H2001" s="5"/>
      <c r="I2001" s="5"/>
      <c r="J2001" s="102" t="str">
        <f aca="false">IF(B2001="","",MONTH(B2001))</f>
        <v/>
      </c>
      <c r="K2001" s="102" t="str">
        <f aca="false">IF(B2001="","",YEAR(B2001))</f>
        <v/>
      </c>
      <c r="L2001" s="102" t="str">
        <f aca="false">IF(N(E2001)=0,"",IF(COUNTIFS(AK_NAMA,C2001,AK_KAT,"KAS")+COUNTIFS(AK_NAMA,D2001,AK_KAT,"KAS")&lt;&gt;1,"",IF(COUNTIFS(AK_NAMA,C2001,AK_KAT,"KAS")=1,D2001,C2001)))</f>
        <v/>
      </c>
      <c r="M2001" s="103" t="n">
        <f aca="false">IF(L2001="",0,IF(L2001=D2001,E2001,-E2001))</f>
        <v>0</v>
      </c>
      <c r="N2001" s="102" t="str">
        <f aca="false">IF(L2001="","",IFERROR(INDEX(AK_BARIS,MATCH(L2001,AK_NAMA,0)),"?"))</f>
        <v/>
      </c>
      <c r="O2001" s="102" t="str">
        <f aca="false">IF(C2001="","",IFERROR(INDEX(AK_KEL,MATCH(C2001,AK_NAMA,0)),"?"))</f>
        <v/>
      </c>
      <c r="P2001" s="102" t="str">
        <f aca="false">IF(D2001="","",IFERROR(INDEX(AK_KEL,MATCH(D2001,AK_NAMA,0)),"?"))</f>
        <v/>
      </c>
      <c r="Q2001" s="102" t="n">
        <f aca="false">N(Q2000)+IF(AND(N(E2001)&lt;&gt;0,K2001=TAHUN,N(J2001)&lt;=BLN,OR(C2001=BB_AKUN,D2001=BB_AKUN)),1,0)</f>
        <v>877</v>
      </c>
      <c r="R2001" s="104" t="str">
        <f aca="false">IF(OR(C2001&amp;D2001="",N(E2001)=0),"",IF(OR(O2001="?",P2001="?"),"⚠ akun tidak dikenal",IF(C2001=D2001,"⚠ debet = kredit","")))</f>
        <v/>
      </c>
    </row>
    <row r="2002" customFormat="false" ht="15" hidden="false" customHeight="false" outlineLevel="0" collapsed="false">
      <c r="A2002" s="5"/>
      <c r="B2002" s="83"/>
      <c r="C2002" s="5"/>
      <c r="D2002" s="5"/>
      <c r="E2002" s="44"/>
      <c r="F2002" s="5"/>
      <c r="G2002" s="5"/>
      <c r="H2002" s="5"/>
      <c r="I2002" s="5"/>
      <c r="J2002" s="102" t="str">
        <f aca="false">IF(B2002="","",MONTH(B2002))</f>
        <v/>
      </c>
      <c r="K2002" s="102" t="str">
        <f aca="false">IF(B2002="","",YEAR(B2002))</f>
        <v/>
      </c>
      <c r="L2002" s="102" t="str">
        <f aca="false">IF(N(E2002)=0,"",IF(COUNTIFS(AK_NAMA,C2002,AK_KAT,"KAS")+COUNTIFS(AK_NAMA,D2002,AK_KAT,"KAS")&lt;&gt;1,"",IF(COUNTIFS(AK_NAMA,C2002,AK_KAT,"KAS")=1,D2002,C2002)))</f>
        <v/>
      </c>
      <c r="M2002" s="103" t="n">
        <f aca="false">IF(L2002="",0,IF(L2002=D2002,E2002,-E2002))</f>
        <v>0</v>
      </c>
      <c r="N2002" s="102" t="str">
        <f aca="false">IF(L2002="","",IFERROR(INDEX(AK_BARIS,MATCH(L2002,AK_NAMA,0)),"?"))</f>
        <v/>
      </c>
      <c r="O2002" s="102" t="str">
        <f aca="false">IF(C2002="","",IFERROR(INDEX(AK_KEL,MATCH(C2002,AK_NAMA,0)),"?"))</f>
        <v/>
      </c>
      <c r="P2002" s="102" t="str">
        <f aca="false">IF(D2002="","",IFERROR(INDEX(AK_KEL,MATCH(D2002,AK_NAMA,0)),"?"))</f>
        <v/>
      </c>
      <c r="Q2002" s="102" t="n">
        <f aca="false">N(Q2001)+IF(AND(N(E2002)&lt;&gt;0,K2002=TAHUN,N(J2002)&lt;=BLN,OR(C2002=BB_AKUN,D2002=BB_AKUN)),1,0)</f>
        <v>877</v>
      </c>
      <c r="R2002" s="104" t="str">
        <f aca="false">IF(OR(C2002&amp;D2002="",N(E2002)=0),"",IF(OR(O2002="?",P2002="?"),"⚠ akun tidak dikenal",IF(C2002=D2002,"⚠ debet = kredit","")))</f>
        <v/>
      </c>
    </row>
    <row r="2003" customFormat="false" ht="15" hidden="false" customHeight="false" outlineLevel="0" collapsed="false">
      <c r="A2003" s="5"/>
      <c r="B2003" s="83"/>
      <c r="C2003" s="5"/>
      <c r="D2003" s="5"/>
      <c r="E2003" s="44"/>
      <c r="F2003" s="5"/>
      <c r="G2003" s="5"/>
      <c r="H2003" s="5"/>
      <c r="I2003" s="5"/>
      <c r="J2003" s="102" t="str">
        <f aca="false">IF(B2003="","",MONTH(B2003))</f>
        <v/>
      </c>
      <c r="K2003" s="102" t="str">
        <f aca="false">IF(B2003="","",YEAR(B2003))</f>
        <v/>
      </c>
      <c r="L2003" s="102" t="str">
        <f aca="false">IF(N(E2003)=0,"",IF(COUNTIFS(AK_NAMA,C2003,AK_KAT,"KAS")+COUNTIFS(AK_NAMA,D2003,AK_KAT,"KAS")&lt;&gt;1,"",IF(COUNTIFS(AK_NAMA,C2003,AK_KAT,"KAS")=1,D2003,C2003)))</f>
        <v/>
      </c>
      <c r="M2003" s="103" t="n">
        <f aca="false">IF(L2003="",0,IF(L2003=D2003,E2003,-E2003))</f>
        <v>0</v>
      </c>
      <c r="N2003" s="102" t="str">
        <f aca="false">IF(L2003="","",IFERROR(INDEX(AK_BARIS,MATCH(L2003,AK_NAMA,0)),"?"))</f>
        <v/>
      </c>
      <c r="O2003" s="102" t="str">
        <f aca="false">IF(C2003="","",IFERROR(INDEX(AK_KEL,MATCH(C2003,AK_NAMA,0)),"?"))</f>
        <v/>
      </c>
      <c r="P2003" s="102" t="str">
        <f aca="false">IF(D2003="","",IFERROR(INDEX(AK_KEL,MATCH(D2003,AK_NAMA,0)),"?"))</f>
        <v/>
      </c>
      <c r="Q2003" s="102" t="n">
        <f aca="false">N(Q2002)+IF(AND(N(E2003)&lt;&gt;0,K2003=TAHUN,N(J2003)&lt;=BLN,OR(C2003=BB_AKUN,D2003=BB_AKUN)),1,0)</f>
        <v>877</v>
      </c>
      <c r="R2003" s="104" t="str">
        <f aca="false">IF(OR(C2003&amp;D2003="",N(E2003)=0),"",IF(OR(O2003="?",P2003="?"),"⚠ akun tidak dikenal",IF(C2003=D2003,"⚠ debet = kredit","")))</f>
        <v/>
      </c>
    </row>
    <row r="2004" customFormat="false" ht="15" hidden="false" customHeight="false" outlineLevel="0" collapsed="false">
      <c r="A2004" s="5"/>
      <c r="B2004" s="83"/>
      <c r="C2004" s="5"/>
      <c r="D2004" s="5"/>
      <c r="E2004" s="44"/>
      <c r="F2004" s="5"/>
      <c r="G2004" s="5"/>
      <c r="H2004" s="5"/>
      <c r="I2004" s="5"/>
      <c r="J2004" s="102" t="str">
        <f aca="false">IF(B2004="","",MONTH(B2004))</f>
        <v/>
      </c>
      <c r="K2004" s="102" t="str">
        <f aca="false">IF(B2004="","",YEAR(B2004))</f>
        <v/>
      </c>
      <c r="L2004" s="102" t="str">
        <f aca="false">IF(N(E2004)=0,"",IF(COUNTIFS(AK_NAMA,C2004,AK_KAT,"KAS")+COUNTIFS(AK_NAMA,D2004,AK_KAT,"KAS")&lt;&gt;1,"",IF(COUNTIFS(AK_NAMA,C2004,AK_KAT,"KAS")=1,D2004,C2004)))</f>
        <v/>
      </c>
      <c r="M2004" s="103" t="n">
        <f aca="false">IF(L2004="",0,IF(L2004=D2004,E2004,-E2004))</f>
        <v>0</v>
      </c>
      <c r="N2004" s="102" t="str">
        <f aca="false">IF(L2004="","",IFERROR(INDEX(AK_BARIS,MATCH(L2004,AK_NAMA,0)),"?"))</f>
        <v/>
      </c>
      <c r="O2004" s="102" t="str">
        <f aca="false">IF(C2004="","",IFERROR(INDEX(AK_KEL,MATCH(C2004,AK_NAMA,0)),"?"))</f>
        <v/>
      </c>
      <c r="P2004" s="102" t="str">
        <f aca="false">IF(D2004="","",IFERROR(INDEX(AK_KEL,MATCH(D2004,AK_NAMA,0)),"?"))</f>
        <v/>
      </c>
      <c r="Q2004" s="102" t="n">
        <f aca="false">N(Q2003)+IF(AND(N(E2004)&lt;&gt;0,K2004=TAHUN,N(J2004)&lt;=BLN,OR(C2004=BB_AKUN,D2004=BB_AKUN)),1,0)</f>
        <v>877</v>
      </c>
      <c r="R2004" s="104" t="str">
        <f aca="false">IF(OR(C2004&amp;D2004="",N(E2004)=0),"",IF(OR(O2004="?",P2004="?"),"⚠ akun tidak dikenal",IF(C2004=D2004,"⚠ debet = kredit","")))</f>
        <v/>
      </c>
    </row>
    <row r="2005" customFormat="false" ht="15" hidden="false" customHeight="false" outlineLevel="0" collapsed="false">
      <c r="A2005" s="5"/>
      <c r="B2005" s="83"/>
      <c r="C2005" s="5"/>
      <c r="D2005" s="5"/>
      <c r="E2005" s="44"/>
      <c r="F2005" s="5"/>
      <c r="G2005" s="5"/>
      <c r="H2005" s="5"/>
      <c r="I2005" s="5"/>
      <c r="J2005" s="102" t="str">
        <f aca="false">IF(B2005="","",MONTH(B2005))</f>
        <v/>
      </c>
      <c r="K2005" s="102" t="str">
        <f aca="false">IF(B2005="","",YEAR(B2005))</f>
        <v/>
      </c>
      <c r="L2005" s="102" t="str">
        <f aca="false">IF(N(E2005)=0,"",IF(COUNTIFS(AK_NAMA,C2005,AK_KAT,"KAS")+COUNTIFS(AK_NAMA,D2005,AK_KAT,"KAS")&lt;&gt;1,"",IF(COUNTIFS(AK_NAMA,C2005,AK_KAT,"KAS")=1,D2005,C2005)))</f>
        <v/>
      </c>
      <c r="M2005" s="103" t="n">
        <f aca="false">IF(L2005="",0,IF(L2005=D2005,E2005,-E2005))</f>
        <v>0</v>
      </c>
      <c r="N2005" s="102" t="str">
        <f aca="false">IF(L2005="","",IFERROR(INDEX(AK_BARIS,MATCH(L2005,AK_NAMA,0)),"?"))</f>
        <v/>
      </c>
      <c r="O2005" s="102" t="str">
        <f aca="false">IF(C2005="","",IFERROR(INDEX(AK_KEL,MATCH(C2005,AK_NAMA,0)),"?"))</f>
        <v/>
      </c>
      <c r="P2005" s="102" t="str">
        <f aca="false">IF(D2005="","",IFERROR(INDEX(AK_KEL,MATCH(D2005,AK_NAMA,0)),"?"))</f>
        <v/>
      </c>
      <c r="Q2005" s="102" t="n">
        <f aca="false">N(Q2004)+IF(AND(N(E2005)&lt;&gt;0,K2005=TAHUN,N(J2005)&lt;=BLN,OR(C2005=BB_AKUN,D2005=BB_AKUN)),1,0)</f>
        <v>877</v>
      </c>
      <c r="R2005" s="104" t="str">
        <f aca="false">IF(OR(C2005&amp;D2005="",N(E2005)=0),"",IF(OR(O2005="?",P2005="?"),"⚠ akun tidak dikenal",IF(C2005=D2005,"⚠ debet = kredit","")))</f>
        <v/>
      </c>
    </row>
    <row r="2006" customFormat="false" ht="15" hidden="false" customHeight="false" outlineLevel="0" collapsed="false">
      <c r="A2006" s="5"/>
      <c r="B2006" s="83"/>
      <c r="C2006" s="5"/>
      <c r="D2006" s="5"/>
      <c r="E2006" s="44"/>
      <c r="F2006" s="5"/>
      <c r="G2006" s="5"/>
      <c r="H2006" s="5"/>
      <c r="I2006" s="5"/>
      <c r="J2006" s="102" t="str">
        <f aca="false">IF(B2006="","",MONTH(B2006))</f>
        <v/>
      </c>
      <c r="K2006" s="102" t="str">
        <f aca="false">IF(B2006="","",YEAR(B2006))</f>
        <v/>
      </c>
      <c r="L2006" s="102" t="str">
        <f aca="false">IF(N(E2006)=0,"",IF(COUNTIFS(AK_NAMA,C2006,AK_KAT,"KAS")+COUNTIFS(AK_NAMA,D2006,AK_KAT,"KAS")&lt;&gt;1,"",IF(COUNTIFS(AK_NAMA,C2006,AK_KAT,"KAS")=1,D2006,C2006)))</f>
        <v/>
      </c>
      <c r="M2006" s="103" t="n">
        <f aca="false">IF(L2006="",0,IF(L2006=D2006,E2006,-E2006))</f>
        <v>0</v>
      </c>
      <c r="N2006" s="102" t="str">
        <f aca="false">IF(L2006="","",IFERROR(INDEX(AK_BARIS,MATCH(L2006,AK_NAMA,0)),"?"))</f>
        <v/>
      </c>
      <c r="O2006" s="102" t="str">
        <f aca="false">IF(C2006="","",IFERROR(INDEX(AK_KEL,MATCH(C2006,AK_NAMA,0)),"?"))</f>
        <v/>
      </c>
      <c r="P2006" s="102" t="str">
        <f aca="false">IF(D2006="","",IFERROR(INDEX(AK_KEL,MATCH(D2006,AK_NAMA,0)),"?"))</f>
        <v/>
      </c>
      <c r="Q2006" s="102" t="n">
        <f aca="false">N(Q2005)+IF(AND(N(E2006)&lt;&gt;0,K2006=TAHUN,N(J2006)&lt;=BLN,OR(C2006=BB_AKUN,D2006=BB_AKUN)),1,0)</f>
        <v>877</v>
      </c>
      <c r="R2006" s="104" t="str">
        <f aca="false">IF(OR(C2006&amp;D2006="",N(E2006)=0),"",IF(OR(O2006="?",P2006="?"),"⚠ akun tidak dikenal",IF(C2006=D2006,"⚠ debet = kredit","")))</f>
        <v/>
      </c>
    </row>
    <row r="2007" customFormat="false" ht="15" hidden="false" customHeight="false" outlineLevel="0" collapsed="false">
      <c r="A2007" s="5"/>
      <c r="B2007" s="83"/>
      <c r="C2007" s="5"/>
      <c r="D2007" s="5"/>
      <c r="E2007" s="44"/>
      <c r="F2007" s="5"/>
      <c r="G2007" s="5"/>
      <c r="H2007" s="5"/>
      <c r="I2007" s="5"/>
      <c r="J2007" s="102" t="str">
        <f aca="false">IF(B2007="","",MONTH(B2007))</f>
        <v/>
      </c>
      <c r="K2007" s="102" t="str">
        <f aca="false">IF(B2007="","",YEAR(B2007))</f>
        <v/>
      </c>
      <c r="L2007" s="102" t="str">
        <f aca="false">IF(N(E2007)=0,"",IF(COUNTIFS(AK_NAMA,C2007,AK_KAT,"KAS")+COUNTIFS(AK_NAMA,D2007,AK_KAT,"KAS")&lt;&gt;1,"",IF(COUNTIFS(AK_NAMA,C2007,AK_KAT,"KAS")=1,D2007,C2007)))</f>
        <v/>
      </c>
      <c r="M2007" s="103" t="n">
        <f aca="false">IF(L2007="",0,IF(L2007=D2007,E2007,-E2007))</f>
        <v>0</v>
      </c>
      <c r="N2007" s="102" t="str">
        <f aca="false">IF(L2007="","",IFERROR(INDEX(AK_BARIS,MATCH(L2007,AK_NAMA,0)),"?"))</f>
        <v/>
      </c>
      <c r="O2007" s="102" t="str">
        <f aca="false">IF(C2007="","",IFERROR(INDEX(AK_KEL,MATCH(C2007,AK_NAMA,0)),"?"))</f>
        <v/>
      </c>
      <c r="P2007" s="102" t="str">
        <f aca="false">IF(D2007="","",IFERROR(INDEX(AK_KEL,MATCH(D2007,AK_NAMA,0)),"?"))</f>
        <v/>
      </c>
      <c r="Q2007" s="102" t="n">
        <f aca="false">N(Q2006)+IF(AND(N(E2007)&lt;&gt;0,K2007=TAHUN,N(J2007)&lt;=BLN,OR(C2007=BB_AKUN,D2007=BB_AKUN)),1,0)</f>
        <v>877</v>
      </c>
      <c r="R2007" s="104" t="str">
        <f aca="false">IF(OR(C2007&amp;D2007="",N(E2007)=0),"",IF(OR(O2007="?",P2007="?"),"⚠ akun tidak dikenal",IF(C2007=D2007,"⚠ debet = kredit","")))</f>
        <v/>
      </c>
    </row>
    <row r="2008" customFormat="false" ht="15" hidden="false" customHeight="false" outlineLevel="0" collapsed="false">
      <c r="A2008" s="5"/>
      <c r="B2008" s="83"/>
      <c r="C2008" s="5"/>
      <c r="D2008" s="5"/>
      <c r="E2008" s="44"/>
      <c r="F2008" s="5"/>
      <c r="G2008" s="5"/>
      <c r="H2008" s="5"/>
      <c r="I2008" s="5"/>
      <c r="J2008" s="102" t="str">
        <f aca="false">IF(B2008="","",MONTH(B2008))</f>
        <v/>
      </c>
      <c r="K2008" s="102" t="str">
        <f aca="false">IF(B2008="","",YEAR(B2008))</f>
        <v/>
      </c>
      <c r="L2008" s="102" t="str">
        <f aca="false">IF(N(E2008)=0,"",IF(COUNTIFS(AK_NAMA,C2008,AK_KAT,"KAS")+COUNTIFS(AK_NAMA,D2008,AK_KAT,"KAS")&lt;&gt;1,"",IF(COUNTIFS(AK_NAMA,C2008,AK_KAT,"KAS")=1,D2008,C2008)))</f>
        <v/>
      </c>
      <c r="M2008" s="103" t="n">
        <f aca="false">IF(L2008="",0,IF(L2008=D2008,E2008,-E2008))</f>
        <v>0</v>
      </c>
      <c r="N2008" s="102" t="str">
        <f aca="false">IF(L2008="","",IFERROR(INDEX(AK_BARIS,MATCH(L2008,AK_NAMA,0)),"?"))</f>
        <v/>
      </c>
      <c r="O2008" s="102" t="str">
        <f aca="false">IF(C2008="","",IFERROR(INDEX(AK_KEL,MATCH(C2008,AK_NAMA,0)),"?"))</f>
        <v/>
      </c>
      <c r="P2008" s="102" t="str">
        <f aca="false">IF(D2008="","",IFERROR(INDEX(AK_KEL,MATCH(D2008,AK_NAMA,0)),"?"))</f>
        <v/>
      </c>
      <c r="Q2008" s="102" t="n">
        <f aca="false">N(Q2007)+IF(AND(N(E2008)&lt;&gt;0,K2008=TAHUN,N(J2008)&lt;=BLN,OR(C2008=BB_AKUN,D2008=BB_AKUN)),1,0)</f>
        <v>877</v>
      </c>
      <c r="R2008" s="104" t="str">
        <f aca="false">IF(OR(C2008&amp;D2008="",N(E2008)=0),"",IF(OR(O2008="?",P2008="?"),"⚠ akun tidak dikenal",IF(C2008=D2008,"⚠ debet = kredit","")))</f>
        <v/>
      </c>
    </row>
    <row r="2009" customFormat="false" ht="15" hidden="false" customHeight="false" outlineLevel="0" collapsed="false">
      <c r="A2009" s="5"/>
      <c r="B2009" s="83"/>
      <c r="C2009" s="5"/>
      <c r="D2009" s="5"/>
      <c r="E2009" s="44"/>
      <c r="F2009" s="5"/>
      <c r="G2009" s="5"/>
      <c r="H2009" s="5"/>
      <c r="I2009" s="5"/>
      <c r="J2009" s="102" t="str">
        <f aca="false">IF(B2009="","",MONTH(B2009))</f>
        <v/>
      </c>
      <c r="K2009" s="102" t="str">
        <f aca="false">IF(B2009="","",YEAR(B2009))</f>
        <v/>
      </c>
      <c r="L2009" s="102" t="str">
        <f aca="false">IF(N(E2009)=0,"",IF(COUNTIFS(AK_NAMA,C2009,AK_KAT,"KAS")+COUNTIFS(AK_NAMA,D2009,AK_KAT,"KAS")&lt;&gt;1,"",IF(COUNTIFS(AK_NAMA,C2009,AK_KAT,"KAS")=1,D2009,C2009)))</f>
        <v/>
      </c>
      <c r="M2009" s="103" t="n">
        <f aca="false">IF(L2009="",0,IF(L2009=D2009,E2009,-E2009))</f>
        <v>0</v>
      </c>
      <c r="N2009" s="102" t="str">
        <f aca="false">IF(L2009="","",IFERROR(INDEX(AK_BARIS,MATCH(L2009,AK_NAMA,0)),"?"))</f>
        <v/>
      </c>
      <c r="O2009" s="102" t="str">
        <f aca="false">IF(C2009="","",IFERROR(INDEX(AK_KEL,MATCH(C2009,AK_NAMA,0)),"?"))</f>
        <v/>
      </c>
      <c r="P2009" s="102" t="str">
        <f aca="false">IF(D2009="","",IFERROR(INDEX(AK_KEL,MATCH(D2009,AK_NAMA,0)),"?"))</f>
        <v/>
      </c>
      <c r="Q2009" s="102" t="n">
        <f aca="false">N(Q2008)+IF(AND(N(E2009)&lt;&gt;0,K2009=TAHUN,N(J2009)&lt;=BLN,OR(C2009=BB_AKUN,D2009=BB_AKUN)),1,0)</f>
        <v>877</v>
      </c>
      <c r="R2009" s="104" t="str">
        <f aca="false">IF(OR(C2009&amp;D2009="",N(E2009)=0),"",IF(OR(O2009="?",P2009="?"),"⚠ akun tidak dikenal",IF(C2009=D2009,"⚠ debet = kredit","")))</f>
        <v/>
      </c>
    </row>
    <row r="2010" customFormat="false" ht="15" hidden="false" customHeight="false" outlineLevel="0" collapsed="false">
      <c r="A2010" s="5"/>
      <c r="B2010" s="83"/>
      <c r="C2010" s="5"/>
      <c r="D2010" s="5"/>
      <c r="E2010" s="44"/>
      <c r="F2010" s="5"/>
      <c r="G2010" s="5"/>
      <c r="H2010" s="5"/>
      <c r="I2010" s="5"/>
      <c r="J2010" s="102" t="str">
        <f aca="false">IF(B2010="","",MONTH(B2010))</f>
        <v/>
      </c>
      <c r="K2010" s="102" t="str">
        <f aca="false">IF(B2010="","",YEAR(B2010))</f>
        <v/>
      </c>
      <c r="L2010" s="102" t="str">
        <f aca="false">IF(N(E2010)=0,"",IF(COUNTIFS(AK_NAMA,C2010,AK_KAT,"KAS")+COUNTIFS(AK_NAMA,D2010,AK_KAT,"KAS")&lt;&gt;1,"",IF(COUNTIFS(AK_NAMA,C2010,AK_KAT,"KAS")=1,D2010,C2010)))</f>
        <v/>
      </c>
      <c r="M2010" s="103" t="n">
        <f aca="false">IF(L2010="",0,IF(L2010=D2010,E2010,-E2010))</f>
        <v>0</v>
      </c>
      <c r="N2010" s="102" t="str">
        <f aca="false">IF(L2010="","",IFERROR(INDEX(AK_BARIS,MATCH(L2010,AK_NAMA,0)),"?"))</f>
        <v/>
      </c>
      <c r="O2010" s="102" t="str">
        <f aca="false">IF(C2010="","",IFERROR(INDEX(AK_KEL,MATCH(C2010,AK_NAMA,0)),"?"))</f>
        <v/>
      </c>
      <c r="P2010" s="102" t="str">
        <f aca="false">IF(D2010="","",IFERROR(INDEX(AK_KEL,MATCH(D2010,AK_NAMA,0)),"?"))</f>
        <v/>
      </c>
      <c r="Q2010" s="102" t="n">
        <f aca="false">N(Q2009)+IF(AND(N(E2010)&lt;&gt;0,K2010=TAHUN,N(J2010)&lt;=BLN,OR(C2010=BB_AKUN,D2010=BB_AKUN)),1,0)</f>
        <v>877</v>
      </c>
      <c r="R2010" s="104" t="str">
        <f aca="false">IF(OR(C2010&amp;D2010="",N(E2010)=0),"",IF(OR(O2010="?",P2010="?"),"⚠ akun tidak dikenal",IF(C2010=D2010,"⚠ debet = kredit","")))</f>
        <v/>
      </c>
    </row>
    <row r="2011" customFormat="false" ht="15" hidden="false" customHeight="false" outlineLevel="0" collapsed="false">
      <c r="A2011" s="5"/>
      <c r="B2011" s="83"/>
      <c r="C2011" s="5"/>
      <c r="D2011" s="5"/>
      <c r="E2011" s="44"/>
      <c r="F2011" s="5"/>
      <c r="G2011" s="5"/>
      <c r="H2011" s="5"/>
      <c r="I2011" s="5"/>
      <c r="J2011" s="102" t="str">
        <f aca="false">IF(B2011="","",MONTH(B2011))</f>
        <v/>
      </c>
      <c r="K2011" s="102" t="str">
        <f aca="false">IF(B2011="","",YEAR(B2011))</f>
        <v/>
      </c>
      <c r="L2011" s="102" t="str">
        <f aca="false">IF(N(E2011)=0,"",IF(COUNTIFS(AK_NAMA,C2011,AK_KAT,"KAS")+COUNTIFS(AK_NAMA,D2011,AK_KAT,"KAS")&lt;&gt;1,"",IF(COUNTIFS(AK_NAMA,C2011,AK_KAT,"KAS")=1,D2011,C2011)))</f>
        <v/>
      </c>
      <c r="M2011" s="103" t="n">
        <f aca="false">IF(L2011="",0,IF(L2011=D2011,E2011,-E2011))</f>
        <v>0</v>
      </c>
      <c r="N2011" s="102" t="str">
        <f aca="false">IF(L2011="","",IFERROR(INDEX(AK_BARIS,MATCH(L2011,AK_NAMA,0)),"?"))</f>
        <v/>
      </c>
      <c r="O2011" s="102" t="str">
        <f aca="false">IF(C2011="","",IFERROR(INDEX(AK_KEL,MATCH(C2011,AK_NAMA,0)),"?"))</f>
        <v/>
      </c>
      <c r="P2011" s="102" t="str">
        <f aca="false">IF(D2011="","",IFERROR(INDEX(AK_KEL,MATCH(D2011,AK_NAMA,0)),"?"))</f>
        <v/>
      </c>
      <c r="Q2011" s="102" t="n">
        <f aca="false">N(Q2010)+IF(AND(N(E2011)&lt;&gt;0,K2011=TAHUN,N(J2011)&lt;=BLN,OR(C2011=BB_AKUN,D2011=BB_AKUN)),1,0)</f>
        <v>877</v>
      </c>
      <c r="R2011" s="104" t="str">
        <f aca="false">IF(OR(C2011&amp;D2011="",N(E2011)=0),"",IF(OR(O2011="?",P2011="?"),"⚠ akun tidak dikenal",IF(C2011=D2011,"⚠ debet = kredit","")))</f>
        <v/>
      </c>
    </row>
    <row r="2012" customFormat="false" ht="15" hidden="false" customHeight="false" outlineLevel="0" collapsed="false">
      <c r="A2012" s="5"/>
      <c r="B2012" s="83"/>
      <c r="C2012" s="5"/>
      <c r="D2012" s="5"/>
      <c r="E2012" s="44"/>
      <c r="F2012" s="5"/>
      <c r="G2012" s="5"/>
      <c r="H2012" s="5"/>
      <c r="I2012" s="5"/>
      <c r="J2012" s="102" t="str">
        <f aca="false">IF(B2012="","",MONTH(B2012))</f>
        <v/>
      </c>
      <c r="K2012" s="102" t="str">
        <f aca="false">IF(B2012="","",YEAR(B2012))</f>
        <v/>
      </c>
      <c r="L2012" s="102" t="str">
        <f aca="false">IF(N(E2012)=0,"",IF(COUNTIFS(AK_NAMA,C2012,AK_KAT,"KAS")+COUNTIFS(AK_NAMA,D2012,AK_KAT,"KAS")&lt;&gt;1,"",IF(COUNTIFS(AK_NAMA,C2012,AK_KAT,"KAS")=1,D2012,C2012)))</f>
        <v/>
      </c>
      <c r="M2012" s="103" t="n">
        <f aca="false">IF(L2012="",0,IF(L2012=D2012,E2012,-E2012))</f>
        <v>0</v>
      </c>
      <c r="N2012" s="102" t="str">
        <f aca="false">IF(L2012="","",IFERROR(INDEX(AK_BARIS,MATCH(L2012,AK_NAMA,0)),"?"))</f>
        <v/>
      </c>
      <c r="O2012" s="102" t="str">
        <f aca="false">IF(C2012="","",IFERROR(INDEX(AK_KEL,MATCH(C2012,AK_NAMA,0)),"?"))</f>
        <v/>
      </c>
      <c r="P2012" s="102" t="str">
        <f aca="false">IF(D2012="","",IFERROR(INDEX(AK_KEL,MATCH(D2012,AK_NAMA,0)),"?"))</f>
        <v/>
      </c>
      <c r="Q2012" s="102" t="n">
        <f aca="false">N(Q2011)+IF(AND(N(E2012)&lt;&gt;0,K2012=TAHUN,N(J2012)&lt;=BLN,OR(C2012=BB_AKUN,D2012=BB_AKUN)),1,0)</f>
        <v>877</v>
      </c>
      <c r="R2012" s="104" t="str">
        <f aca="false">IF(OR(C2012&amp;D2012="",N(E2012)=0),"",IF(OR(O2012="?",P2012="?"),"⚠ akun tidak dikenal",IF(C2012=D2012,"⚠ debet = kredit","")))</f>
        <v/>
      </c>
    </row>
    <row r="2013" customFormat="false" ht="15" hidden="false" customHeight="false" outlineLevel="0" collapsed="false">
      <c r="A2013" s="5"/>
      <c r="B2013" s="83"/>
      <c r="C2013" s="5"/>
      <c r="D2013" s="5"/>
      <c r="E2013" s="44"/>
      <c r="F2013" s="5"/>
      <c r="G2013" s="5"/>
      <c r="H2013" s="5"/>
      <c r="I2013" s="5"/>
      <c r="J2013" s="102" t="str">
        <f aca="false">IF(B2013="","",MONTH(B2013))</f>
        <v/>
      </c>
      <c r="K2013" s="102" t="str">
        <f aca="false">IF(B2013="","",YEAR(B2013))</f>
        <v/>
      </c>
      <c r="L2013" s="102" t="str">
        <f aca="false">IF(N(E2013)=0,"",IF(COUNTIFS(AK_NAMA,C2013,AK_KAT,"KAS")+COUNTIFS(AK_NAMA,D2013,AK_KAT,"KAS")&lt;&gt;1,"",IF(COUNTIFS(AK_NAMA,C2013,AK_KAT,"KAS")=1,D2013,C2013)))</f>
        <v/>
      </c>
      <c r="M2013" s="103" t="n">
        <f aca="false">IF(L2013="",0,IF(L2013=D2013,E2013,-E2013))</f>
        <v>0</v>
      </c>
      <c r="N2013" s="102" t="str">
        <f aca="false">IF(L2013="","",IFERROR(INDEX(AK_BARIS,MATCH(L2013,AK_NAMA,0)),"?"))</f>
        <v/>
      </c>
      <c r="O2013" s="102" t="str">
        <f aca="false">IF(C2013="","",IFERROR(INDEX(AK_KEL,MATCH(C2013,AK_NAMA,0)),"?"))</f>
        <v/>
      </c>
      <c r="P2013" s="102" t="str">
        <f aca="false">IF(D2013="","",IFERROR(INDEX(AK_KEL,MATCH(D2013,AK_NAMA,0)),"?"))</f>
        <v/>
      </c>
      <c r="Q2013" s="102" t="n">
        <f aca="false">N(Q2012)+IF(AND(N(E2013)&lt;&gt;0,K2013=TAHUN,N(J2013)&lt;=BLN,OR(C2013=BB_AKUN,D2013=BB_AKUN)),1,0)</f>
        <v>877</v>
      </c>
      <c r="R2013" s="104" t="str">
        <f aca="false">IF(OR(C2013&amp;D2013="",N(E2013)=0),"",IF(OR(O2013="?",P2013="?"),"⚠ akun tidak dikenal",IF(C2013=D2013,"⚠ debet = kredit","")))</f>
        <v/>
      </c>
    </row>
    <row r="2014" customFormat="false" ht="15" hidden="false" customHeight="false" outlineLevel="0" collapsed="false">
      <c r="A2014" s="5"/>
      <c r="B2014" s="83"/>
      <c r="C2014" s="5"/>
      <c r="D2014" s="5"/>
      <c r="E2014" s="44"/>
      <c r="F2014" s="5"/>
      <c r="G2014" s="5"/>
      <c r="H2014" s="5"/>
      <c r="I2014" s="5"/>
      <c r="J2014" s="102" t="str">
        <f aca="false">IF(B2014="","",MONTH(B2014))</f>
        <v/>
      </c>
      <c r="K2014" s="102" t="str">
        <f aca="false">IF(B2014="","",YEAR(B2014))</f>
        <v/>
      </c>
      <c r="L2014" s="102" t="str">
        <f aca="false">IF(N(E2014)=0,"",IF(COUNTIFS(AK_NAMA,C2014,AK_KAT,"KAS")+COUNTIFS(AK_NAMA,D2014,AK_KAT,"KAS")&lt;&gt;1,"",IF(COUNTIFS(AK_NAMA,C2014,AK_KAT,"KAS")=1,D2014,C2014)))</f>
        <v/>
      </c>
      <c r="M2014" s="103" t="n">
        <f aca="false">IF(L2014="",0,IF(L2014=D2014,E2014,-E2014))</f>
        <v>0</v>
      </c>
      <c r="N2014" s="102" t="str">
        <f aca="false">IF(L2014="","",IFERROR(INDEX(AK_BARIS,MATCH(L2014,AK_NAMA,0)),"?"))</f>
        <v/>
      </c>
      <c r="O2014" s="102" t="str">
        <f aca="false">IF(C2014="","",IFERROR(INDEX(AK_KEL,MATCH(C2014,AK_NAMA,0)),"?"))</f>
        <v/>
      </c>
      <c r="P2014" s="102" t="str">
        <f aca="false">IF(D2014="","",IFERROR(INDEX(AK_KEL,MATCH(D2014,AK_NAMA,0)),"?"))</f>
        <v/>
      </c>
      <c r="Q2014" s="102" t="n">
        <f aca="false">N(Q2013)+IF(AND(N(E2014)&lt;&gt;0,K2014=TAHUN,N(J2014)&lt;=BLN,OR(C2014=BB_AKUN,D2014=BB_AKUN)),1,0)</f>
        <v>877</v>
      </c>
      <c r="R2014" s="104" t="str">
        <f aca="false">IF(OR(C2014&amp;D2014="",N(E2014)=0),"",IF(OR(O2014="?",P2014="?"),"⚠ akun tidak dikenal",IF(C2014=D2014,"⚠ debet = kredit","")))</f>
        <v/>
      </c>
    </row>
    <row r="2015" customFormat="false" ht="15" hidden="false" customHeight="false" outlineLevel="0" collapsed="false">
      <c r="A2015" s="5"/>
      <c r="B2015" s="83"/>
      <c r="C2015" s="5"/>
      <c r="D2015" s="5"/>
      <c r="E2015" s="44"/>
      <c r="F2015" s="5"/>
      <c r="G2015" s="5"/>
      <c r="H2015" s="5"/>
      <c r="I2015" s="5"/>
      <c r="J2015" s="102" t="str">
        <f aca="false">IF(B2015="","",MONTH(B2015))</f>
        <v/>
      </c>
      <c r="K2015" s="102" t="str">
        <f aca="false">IF(B2015="","",YEAR(B2015))</f>
        <v/>
      </c>
      <c r="L2015" s="102" t="str">
        <f aca="false">IF(N(E2015)=0,"",IF(COUNTIFS(AK_NAMA,C2015,AK_KAT,"KAS")+COUNTIFS(AK_NAMA,D2015,AK_KAT,"KAS")&lt;&gt;1,"",IF(COUNTIFS(AK_NAMA,C2015,AK_KAT,"KAS")=1,D2015,C2015)))</f>
        <v/>
      </c>
      <c r="M2015" s="103" t="n">
        <f aca="false">IF(L2015="",0,IF(L2015=D2015,E2015,-E2015))</f>
        <v>0</v>
      </c>
      <c r="N2015" s="102" t="str">
        <f aca="false">IF(L2015="","",IFERROR(INDEX(AK_BARIS,MATCH(L2015,AK_NAMA,0)),"?"))</f>
        <v/>
      </c>
      <c r="O2015" s="102" t="str">
        <f aca="false">IF(C2015="","",IFERROR(INDEX(AK_KEL,MATCH(C2015,AK_NAMA,0)),"?"))</f>
        <v/>
      </c>
      <c r="P2015" s="102" t="str">
        <f aca="false">IF(D2015="","",IFERROR(INDEX(AK_KEL,MATCH(D2015,AK_NAMA,0)),"?"))</f>
        <v/>
      </c>
      <c r="Q2015" s="102" t="n">
        <f aca="false">N(Q2014)+IF(AND(N(E2015)&lt;&gt;0,K2015=TAHUN,N(J2015)&lt;=BLN,OR(C2015=BB_AKUN,D2015=BB_AKUN)),1,0)</f>
        <v>877</v>
      </c>
      <c r="R2015" s="104" t="str">
        <f aca="false">IF(OR(C2015&amp;D2015="",N(E2015)=0),"",IF(OR(O2015="?",P2015="?"),"⚠ akun tidak dikenal",IF(C2015=D2015,"⚠ debet = kredit","")))</f>
        <v/>
      </c>
    </row>
    <row r="2016" customFormat="false" ht="15" hidden="false" customHeight="false" outlineLevel="0" collapsed="false">
      <c r="A2016" s="5"/>
      <c r="B2016" s="83"/>
      <c r="C2016" s="5"/>
      <c r="D2016" s="5"/>
      <c r="E2016" s="44"/>
      <c r="F2016" s="5"/>
      <c r="G2016" s="5"/>
      <c r="H2016" s="5"/>
      <c r="I2016" s="5"/>
      <c r="J2016" s="102" t="str">
        <f aca="false">IF(B2016="","",MONTH(B2016))</f>
        <v/>
      </c>
      <c r="K2016" s="102" t="str">
        <f aca="false">IF(B2016="","",YEAR(B2016))</f>
        <v/>
      </c>
      <c r="L2016" s="102" t="str">
        <f aca="false">IF(N(E2016)=0,"",IF(COUNTIFS(AK_NAMA,C2016,AK_KAT,"KAS")+COUNTIFS(AK_NAMA,D2016,AK_KAT,"KAS")&lt;&gt;1,"",IF(COUNTIFS(AK_NAMA,C2016,AK_KAT,"KAS")=1,D2016,C2016)))</f>
        <v/>
      </c>
      <c r="M2016" s="103" t="n">
        <f aca="false">IF(L2016="",0,IF(L2016=D2016,E2016,-E2016))</f>
        <v>0</v>
      </c>
      <c r="N2016" s="102" t="str">
        <f aca="false">IF(L2016="","",IFERROR(INDEX(AK_BARIS,MATCH(L2016,AK_NAMA,0)),"?"))</f>
        <v/>
      </c>
      <c r="O2016" s="102" t="str">
        <f aca="false">IF(C2016="","",IFERROR(INDEX(AK_KEL,MATCH(C2016,AK_NAMA,0)),"?"))</f>
        <v/>
      </c>
      <c r="P2016" s="102" t="str">
        <f aca="false">IF(D2016="","",IFERROR(INDEX(AK_KEL,MATCH(D2016,AK_NAMA,0)),"?"))</f>
        <v/>
      </c>
      <c r="Q2016" s="102" t="n">
        <f aca="false">N(Q2015)+IF(AND(N(E2016)&lt;&gt;0,K2016=TAHUN,N(J2016)&lt;=BLN,OR(C2016=BB_AKUN,D2016=BB_AKUN)),1,0)</f>
        <v>877</v>
      </c>
      <c r="R2016" s="104" t="str">
        <f aca="false">IF(OR(C2016&amp;D2016="",N(E2016)=0),"",IF(OR(O2016="?",P2016="?"),"⚠ akun tidak dikenal",IF(C2016=D2016,"⚠ debet = kredit","")))</f>
        <v/>
      </c>
    </row>
    <row r="2017" customFormat="false" ht="15" hidden="false" customHeight="false" outlineLevel="0" collapsed="false">
      <c r="A2017" s="5"/>
      <c r="B2017" s="83"/>
      <c r="C2017" s="5"/>
      <c r="D2017" s="5"/>
      <c r="E2017" s="44"/>
      <c r="F2017" s="5"/>
      <c r="G2017" s="5"/>
      <c r="H2017" s="5"/>
      <c r="I2017" s="5"/>
      <c r="J2017" s="102" t="str">
        <f aca="false">IF(B2017="","",MONTH(B2017))</f>
        <v/>
      </c>
      <c r="K2017" s="102" t="str">
        <f aca="false">IF(B2017="","",YEAR(B2017))</f>
        <v/>
      </c>
      <c r="L2017" s="102" t="str">
        <f aca="false">IF(N(E2017)=0,"",IF(COUNTIFS(AK_NAMA,C2017,AK_KAT,"KAS")+COUNTIFS(AK_NAMA,D2017,AK_KAT,"KAS")&lt;&gt;1,"",IF(COUNTIFS(AK_NAMA,C2017,AK_KAT,"KAS")=1,D2017,C2017)))</f>
        <v/>
      </c>
      <c r="M2017" s="103" t="n">
        <f aca="false">IF(L2017="",0,IF(L2017=D2017,E2017,-E2017))</f>
        <v>0</v>
      </c>
      <c r="N2017" s="102" t="str">
        <f aca="false">IF(L2017="","",IFERROR(INDEX(AK_BARIS,MATCH(L2017,AK_NAMA,0)),"?"))</f>
        <v/>
      </c>
      <c r="O2017" s="102" t="str">
        <f aca="false">IF(C2017="","",IFERROR(INDEX(AK_KEL,MATCH(C2017,AK_NAMA,0)),"?"))</f>
        <v/>
      </c>
      <c r="P2017" s="102" t="str">
        <f aca="false">IF(D2017="","",IFERROR(INDEX(AK_KEL,MATCH(D2017,AK_NAMA,0)),"?"))</f>
        <v/>
      </c>
      <c r="Q2017" s="102" t="n">
        <f aca="false">N(Q2016)+IF(AND(N(E2017)&lt;&gt;0,K2017=TAHUN,N(J2017)&lt;=BLN,OR(C2017=BB_AKUN,D2017=BB_AKUN)),1,0)</f>
        <v>877</v>
      </c>
      <c r="R2017" s="104" t="str">
        <f aca="false">IF(OR(C2017&amp;D2017="",N(E2017)=0),"",IF(OR(O2017="?",P2017="?"),"⚠ akun tidak dikenal",IF(C2017=D2017,"⚠ debet = kredit","")))</f>
        <v/>
      </c>
    </row>
    <row r="2018" customFormat="false" ht="15" hidden="false" customHeight="false" outlineLevel="0" collapsed="false">
      <c r="A2018" s="5"/>
      <c r="B2018" s="83"/>
      <c r="C2018" s="5"/>
      <c r="D2018" s="5"/>
      <c r="E2018" s="44"/>
      <c r="F2018" s="5"/>
      <c r="G2018" s="5"/>
      <c r="H2018" s="5"/>
      <c r="I2018" s="5"/>
      <c r="J2018" s="102" t="str">
        <f aca="false">IF(B2018="","",MONTH(B2018))</f>
        <v/>
      </c>
      <c r="K2018" s="102" t="str">
        <f aca="false">IF(B2018="","",YEAR(B2018))</f>
        <v/>
      </c>
      <c r="L2018" s="102" t="str">
        <f aca="false">IF(N(E2018)=0,"",IF(COUNTIFS(AK_NAMA,C2018,AK_KAT,"KAS")+COUNTIFS(AK_NAMA,D2018,AK_KAT,"KAS")&lt;&gt;1,"",IF(COUNTIFS(AK_NAMA,C2018,AK_KAT,"KAS")=1,D2018,C2018)))</f>
        <v/>
      </c>
      <c r="M2018" s="103" t="n">
        <f aca="false">IF(L2018="",0,IF(L2018=D2018,E2018,-E2018))</f>
        <v>0</v>
      </c>
      <c r="N2018" s="102" t="str">
        <f aca="false">IF(L2018="","",IFERROR(INDEX(AK_BARIS,MATCH(L2018,AK_NAMA,0)),"?"))</f>
        <v/>
      </c>
      <c r="O2018" s="102" t="str">
        <f aca="false">IF(C2018="","",IFERROR(INDEX(AK_KEL,MATCH(C2018,AK_NAMA,0)),"?"))</f>
        <v/>
      </c>
      <c r="P2018" s="102" t="str">
        <f aca="false">IF(D2018="","",IFERROR(INDEX(AK_KEL,MATCH(D2018,AK_NAMA,0)),"?"))</f>
        <v/>
      </c>
      <c r="Q2018" s="102" t="n">
        <f aca="false">N(Q2017)+IF(AND(N(E2018)&lt;&gt;0,K2018=TAHUN,N(J2018)&lt;=BLN,OR(C2018=BB_AKUN,D2018=BB_AKUN)),1,0)</f>
        <v>877</v>
      </c>
      <c r="R2018" s="104" t="str">
        <f aca="false">IF(OR(C2018&amp;D2018="",N(E2018)=0),"",IF(OR(O2018="?",P2018="?"),"⚠ akun tidak dikenal",IF(C2018=D2018,"⚠ debet = kredit","")))</f>
        <v/>
      </c>
    </row>
    <row r="2019" customFormat="false" ht="15" hidden="false" customHeight="false" outlineLevel="0" collapsed="false">
      <c r="A2019" s="5"/>
      <c r="B2019" s="83"/>
      <c r="C2019" s="5"/>
      <c r="D2019" s="5"/>
      <c r="E2019" s="44"/>
      <c r="F2019" s="5"/>
      <c r="G2019" s="5"/>
      <c r="H2019" s="5"/>
      <c r="I2019" s="5"/>
      <c r="J2019" s="102" t="str">
        <f aca="false">IF(B2019="","",MONTH(B2019))</f>
        <v/>
      </c>
      <c r="K2019" s="102" t="str">
        <f aca="false">IF(B2019="","",YEAR(B2019))</f>
        <v/>
      </c>
      <c r="L2019" s="102" t="str">
        <f aca="false">IF(N(E2019)=0,"",IF(COUNTIFS(AK_NAMA,C2019,AK_KAT,"KAS")+COUNTIFS(AK_NAMA,D2019,AK_KAT,"KAS")&lt;&gt;1,"",IF(COUNTIFS(AK_NAMA,C2019,AK_KAT,"KAS")=1,D2019,C2019)))</f>
        <v/>
      </c>
      <c r="M2019" s="103" t="n">
        <f aca="false">IF(L2019="",0,IF(L2019=D2019,E2019,-E2019))</f>
        <v>0</v>
      </c>
      <c r="N2019" s="102" t="str">
        <f aca="false">IF(L2019="","",IFERROR(INDEX(AK_BARIS,MATCH(L2019,AK_NAMA,0)),"?"))</f>
        <v/>
      </c>
      <c r="O2019" s="102" t="str">
        <f aca="false">IF(C2019="","",IFERROR(INDEX(AK_KEL,MATCH(C2019,AK_NAMA,0)),"?"))</f>
        <v/>
      </c>
      <c r="P2019" s="102" t="str">
        <f aca="false">IF(D2019="","",IFERROR(INDEX(AK_KEL,MATCH(D2019,AK_NAMA,0)),"?"))</f>
        <v/>
      </c>
      <c r="Q2019" s="102" t="n">
        <f aca="false">N(Q2018)+IF(AND(N(E2019)&lt;&gt;0,K2019=TAHUN,N(J2019)&lt;=BLN,OR(C2019=BB_AKUN,D2019=BB_AKUN)),1,0)</f>
        <v>877</v>
      </c>
      <c r="R2019" s="104" t="str">
        <f aca="false">IF(OR(C2019&amp;D2019="",N(E2019)=0),"",IF(OR(O2019="?",P2019="?"),"⚠ akun tidak dikenal",IF(C2019=D2019,"⚠ debet = kredit","")))</f>
        <v/>
      </c>
    </row>
    <row r="2020" customFormat="false" ht="15" hidden="false" customHeight="false" outlineLevel="0" collapsed="false">
      <c r="A2020" s="5"/>
      <c r="B2020" s="83"/>
      <c r="C2020" s="5"/>
      <c r="D2020" s="5"/>
      <c r="E2020" s="44"/>
      <c r="F2020" s="5"/>
      <c r="G2020" s="5"/>
      <c r="H2020" s="5"/>
      <c r="I2020" s="5"/>
      <c r="J2020" s="102" t="str">
        <f aca="false">IF(B2020="","",MONTH(B2020))</f>
        <v/>
      </c>
      <c r="K2020" s="102" t="str">
        <f aca="false">IF(B2020="","",YEAR(B2020))</f>
        <v/>
      </c>
      <c r="L2020" s="102" t="str">
        <f aca="false">IF(N(E2020)=0,"",IF(COUNTIFS(AK_NAMA,C2020,AK_KAT,"KAS")+COUNTIFS(AK_NAMA,D2020,AK_KAT,"KAS")&lt;&gt;1,"",IF(COUNTIFS(AK_NAMA,C2020,AK_KAT,"KAS")=1,D2020,C2020)))</f>
        <v/>
      </c>
      <c r="M2020" s="103" t="n">
        <f aca="false">IF(L2020="",0,IF(L2020=D2020,E2020,-E2020))</f>
        <v>0</v>
      </c>
      <c r="N2020" s="102" t="str">
        <f aca="false">IF(L2020="","",IFERROR(INDEX(AK_BARIS,MATCH(L2020,AK_NAMA,0)),"?"))</f>
        <v/>
      </c>
      <c r="O2020" s="102" t="str">
        <f aca="false">IF(C2020="","",IFERROR(INDEX(AK_KEL,MATCH(C2020,AK_NAMA,0)),"?"))</f>
        <v/>
      </c>
      <c r="P2020" s="102" t="str">
        <f aca="false">IF(D2020="","",IFERROR(INDEX(AK_KEL,MATCH(D2020,AK_NAMA,0)),"?"))</f>
        <v/>
      </c>
      <c r="Q2020" s="102" t="n">
        <f aca="false">N(Q2019)+IF(AND(N(E2020)&lt;&gt;0,K2020=TAHUN,N(J2020)&lt;=BLN,OR(C2020=BB_AKUN,D2020=BB_AKUN)),1,0)</f>
        <v>877</v>
      </c>
      <c r="R2020" s="104" t="str">
        <f aca="false">IF(OR(C2020&amp;D2020="",N(E2020)=0),"",IF(OR(O2020="?",P2020="?"),"⚠ akun tidak dikenal",IF(C2020=D2020,"⚠ debet = kredit","")))</f>
        <v/>
      </c>
    </row>
    <row r="2021" customFormat="false" ht="15" hidden="false" customHeight="false" outlineLevel="0" collapsed="false">
      <c r="A2021" s="5"/>
      <c r="B2021" s="83"/>
      <c r="C2021" s="5"/>
      <c r="D2021" s="5"/>
      <c r="E2021" s="44"/>
      <c r="F2021" s="5"/>
      <c r="G2021" s="5"/>
      <c r="H2021" s="5"/>
      <c r="I2021" s="5"/>
      <c r="J2021" s="102" t="str">
        <f aca="false">IF(B2021="","",MONTH(B2021))</f>
        <v/>
      </c>
      <c r="K2021" s="102" t="str">
        <f aca="false">IF(B2021="","",YEAR(B2021))</f>
        <v/>
      </c>
      <c r="L2021" s="102" t="str">
        <f aca="false">IF(N(E2021)=0,"",IF(COUNTIFS(AK_NAMA,C2021,AK_KAT,"KAS")+COUNTIFS(AK_NAMA,D2021,AK_KAT,"KAS")&lt;&gt;1,"",IF(COUNTIFS(AK_NAMA,C2021,AK_KAT,"KAS")=1,D2021,C2021)))</f>
        <v/>
      </c>
      <c r="M2021" s="103" t="n">
        <f aca="false">IF(L2021="",0,IF(L2021=D2021,E2021,-E2021))</f>
        <v>0</v>
      </c>
      <c r="N2021" s="102" t="str">
        <f aca="false">IF(L2021="","",IFERROR(INDEX(AK_BARIS,MATCH(L2021,AK_NAMA,0)),"?"))</f>
        <v/>
      </c>
      <c r="O2021" s="102" t="str">
        <f aca="false">IF(C2021="","",IFERROR(INDEX(AK_KEL,MATCH(C2021,AK_NAMA,0)),"?"))</f>
        <v/>
      </c>
      <c r="P2021" s="102" t="str">
        <f aca="false">IF(D2021="","",IFERROR(INDEX(AK_KEL,MATCH(D2021,AK_NAMA,0)),"?"))</f>
        <v/>
      </c>
      <c r="Q2021" s="102" t="n">
        <f aca="false">N(Q2020)+IF(AND(N(E2021)&lt;&gt;0,K2021=TAHUN,N(J2021)&lt;=BLN,OR(C2021=BB_AKUN,D2021=BB_AKUN)),1,0)</f>
        <v>877</v>
      </c>
      <c r="R2021" s="104" t="str">
        <f aca="false">IF(OR(C2021&amp;D2021="",N(E2021)=0),"",IF(OR(O2021="?",P2021="?"),"⚠ akun tidak dikenal",IF(C2021=D2021,"⚠ debet = kredit","")))</f>
        <v/>
      </c>
    </row>
    <row r="2022" customFormat="false" ht="15" hidden="false" customHeight="false" outlineLevel="0" collapsed="false">
      <c r="A2022" s="5"/>
      <c r="B2022" s="83"/>
      <c r="C2022" s="5"/>
      <c r="D2022" s="5"/>
      <c r="E2022" s="44"/>
      <c r="F2022" s="5"/>
      <c r="G2022" s="5"/>
      <c r="H2022" s="5"/>
      <c r="I2022" s="5"/>
      <c r="J2022" s="102" t="str">
        <f aca="false">IF(B2022="","",MONTH(B2022))</f>
        <v/>
      </c>
      <c r="K2022" s="102" t="str">
        <f aca="false">IF(B2022="","",YEAR(B2022))</f>
        <v/>
      </c>
      <c r="L2022" s="102" t="str">
        <f aca="false">IF(N(E2022)=0,"",IF(COUNTIFS(AK_NAMA,C2022,AK_KAT,"KAS")+COUNTIFS(AK_NAMA,D2022,AK_KAT,"KAS")&lt;&gt;1,"",IF(COUNTIFS(AK_NAMA,C2022,AK_KAT,"KAS")=1,D2022,C2022)))</f>
        <v/>
      </c>
      <c r="M2022" s="103" t="n">
        <f aca="false">IF(L2022="",0,IF(L2022=D2022,E2022,-E2022))</f>
        <v>0</v>
      </c>
      <c r="N2022" s="102" t="str">
        <f aca="false">IF(L2022="","",IFERROR(INDEX(AK_BARIS,MATCH(L2022,AK_NAMA,0)),"?"))</f>
        <v/>
      </c>
      <c r="O2022" s="102" t="str">
        <f aca="false">IF(C2022="","",IFERROR(INDEX(AK_KEL,MATCH(C2022,AK_NAMA,0)),"?"))</f>
        <v/>
      </c>
      <c r="P2022" s="102" t="str">
        <f aca="false">IF(D2022="","",IFERROR(INDEX(AK_KEL,MATCH(D2022,AK_NAMA,0)),"?"))</f>
        <v/>
      </c>
      <c r="Q2022" s="102" t="n">
        <f aca="false">N(Q2021)+IF(AND(N(E2022)&lt;&gt;0,K2022=TAHUN,N(J2022)&lt;=BLN,OR(C2022=BB_AKUN,D2022=BB_AKUN)),1,0)</f>
        <v>877</v>
      </c>
      <c r="R2022" s="104" t="str">
        <f aca="false">IF(OR(C2022&amp;D2022="",N(E2022)=0),"",IF(OR(O2022="?",P2022="?"),"⚠ akun tidak dikenal",IF(C2022=D2022,"⚠ debet = kredit","")))</f>
        <v/>
      </c>
    </row>
    <row r="2023" customFormat="false" ht="15" hidden="false" customHeight="false" outlineLevel="0" collapsed="false">
      <c r="A2023" s="5"/>
      <c r="B2023" s="83"/>
      <c r="C2023" s="5"/>
      <c r="D2023" s="5"/>
      <c r="E2023" s="44"/>
      <c r="F2023" s="5"/>
      <c r="G2023" s="5"/>
      <c r="H2023" s="5"/>
      <c r="I2023" s="5"/>
      <c r="J2023" s="102" t="str">
        <f aca="false">IF(B2023="","",MONTH(B2023))</f>
        <v/>
      </c>
      <c r="K2023" s="102" t="str">
        <f aca="false">IF(B2023="","",YEAR(B2023))</f>
        <v/>
      </c>
      <c r="L2023" s="102" t="str">
        <f aca="false">IF(N(E2023)=0,"",IF(COUNTIFS(AK_NAMA,C2023,AK_KAT,"KAS")+COUNTIFS(AK_NAMA,D2023,AK_KAT,"KAS")&lt;&gt;1,"",IF(COUNTIFS(AK_NAMA,C2023,AK_KAT,"KAS")=1,D2023,C2023)))</f>
        <v/>
      </c>
      <c r="M2023" s="103" t="n">
        <f aca="false">IF(L2023="",0,IF(L2023=D2023,E2023,-E2023))</f>
        <v>0</v>
      </c>
      <c r="N2023" s="102" t="str">
        <f aca="false">IF(L2023="","",IFERROR(INDEX(AK_BARIS,MATCH(L2023,AK_NAMA,0)),"?"))</f>
        <v/>
      </c>
      <c r="O2023" s="102" t="str">
        <f aca="false">IF(C2023="","",IFERROR(INDEX(AK_KEL,MATCH(C2023,AK_NAMA,0)),"?"))</f>
        <v/>
      </c>
      <c r="P2023" s="102" t="str">
        <f aca="false">IF(D2023="","",IFERROR(INDEX(AK_KEL,MATCH(D2023,AK_NAMA,0)),"?"))</f>
        <v/>
      </c>
      <c r="Q2023" s="102" t="n">
        <f aca="false">N(Q2022)+IF(AND(N(E2023)&lt;&gt;0,K2023=TAHUN,N(J2023)&lt;=BLN,OR(C2023=BB_AKUN,D2023=BB_AKUN)),1,0)</f>
        <v>877</v>
      </c>
      <c r="R2023" s="104" t="str">
        <f aca="false">IF(OR(C2023&amp;D2023="",N(E2023)=0),"",IF(OR(O2023="?",P2023="?"),"⚠ akun tidak dikenal",IF(C2023=D2023,"⚠ debet = kredit","")))</f>
        <v/>
      </c>
    </row>
    <row r="2024" customFormat="false" ht="15" hidden="false" customHeight="false" outlineLevel="0" collapsed="false">
      <c r="A2024" s="5"/>
      <c r="B2024" s="83"/>
      <c r="C2024" s="5"/>
      <c r="D2024" s="5"/>
      <c r="E2024" s="44"/>
      <c r="F2024" s="5"/>
      <c r="G2024" s="5"/>
      <c r="H2024" s="5"/>
      <c r="I2024" s="5"/>
      <c r="J2024" s="102" t="str">
        <f aca="false">IF(B2024="","",MONTH(B2024))</f>
        <v/>
      </c>
      <c r="K2024" s="102" t="str">
        <f aca="false">IF(B2024="","",YEAR(B2024))</f>
        <v/>
      </c>
      <c r="L2024" s="102" t="str">
        <f aca="false">IF(N(E2024)=0,"",IF(COUNTIFS(AK_NAMA,C2024,AK_KAT,"KAS")+COUNTIFS(AK_NAMA,D2024,AK_KAT,"KAS")&lt;&gt;1,"",IF(COUNTIFS(AK_NAMA,C2024,AK_KAT,"KAS")=1,D2024,C2024)))</f>
        <v/>
      </c>
      <c r="M2024" s="103" t="n">
        <f aca="false">IF(L2024="",0,IF(L2024=D2024,E2024,-E2024))</f>
        <v>0</v>
      </c>
      <c r="N2024" s="102" t="str">
        <f aca="false">IF(L2024="","",IFERROR(INDEX(AK_BARIS,MATCH(L2024,AK_NAMA,0)),"?"))</f>
        <v/>
      </c>
      <c r="O2024" s="102" t="str">
        <f aca="false">IF(C2024="","",IFERROR(INDEX(AK_KEL,MATCH(C2024,AK_NAMA,0)),"?"))</f>
        <v/>
      </c>
      <c r="P2024" s="102" t="str">
        <f aca="false">IF(D2024="","",IFERROR(INDEX(AK_KEL,MATCH(D2024,AK_NAMA,0)),"?"))</f>
        <v/>
      </c>
      <c r="Q2024" s="102" t="n">
        <f aca="false">N(Q2023)+IF(AND(N(E2024)&lt;&gt;0,K2024=TAHUN,N(J2024)&lt;=BLN,OR(C2024=BB_AKUN,D2024=BB_AKUN)),1,0)</f>
        <v>877</v>
      </c>
      <c r="R2024" s="104" t="str">
        <f aca="false">IF(OR(C2024&amp;D2024="",N(E2024)=0),"",IF(OR(O2024="?",P2024="?"),"⚠ akun tidak dikenal",IF(C2024=D2024,"⚠ debet = kredit","")))</f>
        <v/>
      </c>
    </row>
    <row r="2025" customFormat="false" ht="15" hidden="false" customHeight="false" outlineLevel="0" collapsed="false">
      <c r="A2025" s="5"/>
      <c r="B2025" s="83"/>
      <c r="C2025" s="5"/>
      <c r="D2025" s="5"/>
      <c r="E2025" s="44"/>
      <c r="F2025" s="5"/>
      <c r="G2025" s="5"/>
      <c r="H2025" s="5"/>
      <c r="I2025" s="5"/>
      <c r="J2025" s="102" t="str">
        <f aca="false">IF(B2025="","",MONTH(B2025))</f>
        <v/>
      </c>
      <c r="K2025" s="102" t="str">
        <f aca="false">IF(B2025="","",YEAR(B2025))</f>
        <v/>
      </c>
      <c r="L2025" s="102" t="str">
        <f aca="false">IF(N(E2025)=0,"",IF(COUNTIFS(AK_NAMA,C2025,AK_KAT,"KAS")+COUNTIFS(AK_NAMA,D2025,AK_KAT,"KAS")&lt;&gt;1,"",IF(COUNTIFS(AK_NAMA,C2025,AK_KAT,"KAS")=1,D2025,C2025)))</f>
        <v/>
      </c>
      <c r="M2025" s="103" t="n">
        <f aca="false">IF(L2025="",0,IF(L2025=D2025,E2025,-E2025))</f>
        <v>0</v>
      </c>
      <c r="N2025" s="102" t="str">
        <f aca="false">IF(L2025="","",IFERROR(INDEX(AK_BARIS,MATCH(L2025,AK_NAMA,0)),"?"))</f>
        <v/>
      </c>
      <c r="O2025" s="102" t="str">
        <f aca="false">IF(C2025="","",IFERROR(INDEX(AK_KEL,MATCH(C2025,AK_NAMA,0)),"?"))</f>
        <v/>
      </c>
      <c r="P2025" s="102" t="str">
        <f aca="false">IF(D2025="","",IFERROR(INDEX(AK_KEL,MATCH(D2025,AK_NAMA,0)),"?"))</f>
        <v/>
      </c>
      <c r="Q2025" s="102" t="n">
        <f aca="false">N(Q2024)+IF(AND(N(E2025)&lt;&gt;0,K2025=TAHUN,N(J2025)&lt;=BLN,OR(C2025=BB_AKUN,D2025=BB_AKUN)),1,0)</f>
        <v>877</v>
      </c>
      <c r="R2025" s="104" t="str">
        <f aca="false">IF(OR(C2025&amp;D2025="",N(E2025)=0),"",IF(OR(O2025="?",P2025="?"),"⚠ akun tidak dikenal",IF(C2025=D2025,"⚠ debet = kredit","")))</f>
        <v/>
      </c>
    </row>
    <row r="2026" customFormat="false" ht="15" hidden="false" customHeight="false" outlineLevel="0" collapsed="false">
      <c r="A2026" s="5"/>
      <c r="B2026" s="83"/>
      <c r="C2026" s="5"/>
      <c r="D2026" s="5"/>
      <c r="E2026" s="44"/>
      <c r="F2026" s="5"/>
      <c r="G2026" s="5"/>
      <c r="H2026" s="5"/>
      <c r="I2026" s="5"/>
      <c r="J2026" s="102" t="str">
        <f aca="false">IF(B2026="","",MONTH(B2026))</f>
        <v/>
      </c>
      <c r="K2026" s="102" t="str">
        <f aca="false">IF(B2026="","",YEAR(B2026))</f>
        <v/>
      </c>
      <c r="L2026" s="102" t="str">
        <f aca="false">IF(N(E2026)=0,"",IF(COUNTIFS(AK_NAMA,C2026,AK_KAT,"KAS")+COUNTIFS(AK_NAMA,D2026,AK_KAT,"KAS")&lt;&gt;1,"",IF(COUNTIFS(AK_NAMA,C2026,AK_KAT,"KAS")=1,D2026,C2026)))</f>
        <v/>
      </c>
      <c r="M2026" s="103" t="n">
        <f aca="false">IF(L2026="",0,IF(L2026=D2026,E2026,-E2026))</f>
        <v>0</v>
      </c>
      <c r="N2026" s="102" t="str">
        <f aca="false">IF(L2026="","",IFERROR(INDEX(AK_BARIS,MATCH(L2026,AK_NAMA,0)),"?"))</f>
        <v/>
      </c>
      <c r="O2026" s="102" t="str">
        <f aca="false">IF(C2026="","",IFERROR(INDEX(AK_KEL,MATCH(C2026,AK_NAMA,0)),"?"))</f>
        <v/>
      </c>
      <c r="P2026" s="102" t="str">
        <f aca="false">IF(D2026="","",IFERROR(INDEX(AK_KEL,MATCH(D2026,AK_NAMA,0)),"?"))</f>
        <v/>
      </c>
      <c r="Q2026" s="102" t="n">
        <f aca="false">N(Q2025)+IF(AND(N(E2026)&lt;&gt;0,K2026=TAHUN,N(J2026)&lt;=BLN,OR(C2026=BB_AKUN,D2026=BB_AKUN)),1,0)</f>
        <v>877</v>
      </c>
      <c r="R2026" s="104" t="str">
        <f aca="false">IF(OR(C2026&amp;D2026="",N(E2026)=0),"",IF(OR(O2026="?",P2026="?"),"⚠ akun tidak dikenal",IF(C2026=D2026,"⚠ debet = kredit","")))</f>
        <v/>
      </c>
    </row>
    <row r="2027" customFormat="false" ht="15" hidden="false" customHeight="false" outlineLevel="0" collapsed="false">
      <c r="A2027" s="5"/>
      <c r="B2027" s="83"/>
      <c r="C2027" s="5"/>
      <c r="D2027" s="5"/>
      <c r="E2027" s="44"/>
      <c r="F2027" s="5"/>
      <c r="G2027" s="5"/>
      <c r="H2027" s="5"/>
      <c r="I2027" s="5"/>
      <c r="J2027" s="102" t="str">
        <f aca="false">IF(B2027="","",MONTH(B2027))</f>
        <v/>
      </c>
      <c r="K2027" s="102" t="str">
        <f aca="false">IF(B2027="","",YEAR(B2027))</f>
        <v/>
      </c>
      <c r="L2027" s="102" t="str">
        <f aca="false">IF(N(E2027)=0,"",IF(COUNTIFS(AK_NAMA,C2027,AK_KAT,"KAS")+COUNTIFS(AK_NAMA,D2027,AK_KAT,"KAS")&lt;&gt;1,"",IF(COUNTIFS(AK_NAMA,C2027,AK_KAT,"KAS")=1,D2027,C2027)))</f>
        <v/>
      </c>
      <c r="M2027" s="103" t="n">
        <f aca="false">IF(L2027="",0,IF(L2027=D2027,E2027,-E2027))</f>
        <v>0</v>
      </c>
      <c r="N2027" s="102" t="str">
        <f aca="false">IF(L2027="","",IFERROR(INDEX(AK_BARIS,MATCH(L2027,AK_NAMA,0)),"?"))</f>
        <v/>
      </c>
      <c r="O2027" s="102" t="str">
        <f aca="false">IF(C2027="","",IFERROR(INDEX(AK_KEL,MATCH(C2027,AK_NAMA,0)),"?"))</f>
        <v/>
      </c>
      <c r="P2027" s="102" t="str">
        <f aca="false">IF(D2027="","",IFERROR(INDEX(AK_KEL,MATCH(D2027,AK_NAMA,0)),"?"))</f>
        <v/>
      </c>
      <c r="Q2027" s="102" t="n">
        <f aca="false">N(Q2026)+IF(AND(N(E2027)&lt;&gt;0,K2027=TAHUN,N(J2027)&lt;=BLN,OR(C2027=BB_AKUN,D2027=BB_AKUN)),1,0)</f>
        <v>877</v>
      </c>
      <c r="R2027" s="104" t="str">
        <f aca="false">IF(OR(C2027&amp;D2027="",N(E2027)=0),"",IF(OR(O2027="?",P2027="?"),"⚠ akun tidak dikenal",IF(C2027=D2027,"⚠ debet = kredit","")))</f>
        <v/>
      </c>
    </row>
    <row r="2028" customFormat="false" ht="15" hidden="false" customHeight="false" outlineLevel="0" collapsed="false">
      <c r="A2028" s="5"/>
      <c r="B2028" s="83"/>
      <c r="C2028" s="5"/>
      <c r="D2028" s="5"/>
      <c r="E2028" s="44"/>
      <c r="F2028" s="5"/>
      <c r="G2028" s="5"/>
      <c r="H2028" s="5"/>
      <c r="I2028" s="5"/>
      <c r="J2028" s="102" t="str">
        <f aca="false">IF(B2028="","",MONTH(B2028))</f>
        <v/>
      </c>
      <c r="K2028" s="102" t="str">
        <f aca="false">IF(B2028="","",YEAR(B2028))</f>
        <v/>
      </c>
      <c r="L2028" s="102" t="str">
        <f aca="false">IF(N(E2028)=0,"",IF(COUNTIFS(AK_NAMA,C2028,AK_KAT,"KAS")+COUNTIFS(AK_NAMA,D2028,AK_KAT,"KAS")&lt;&gt;1,"",IF(COUNTIFS(AK_NAMA,C2028,AK_KAT,"KAS")=1,D2028,C2028)))</f>
        <v/>
      </c>
      <c r="M2028" s="103" t="n">
        <f aca="false">IF(L2028="",0,IF(L2028=D2028,E2028,-E2028))</f>
        <v>0</v>
      </c>
      <c r="N2028" s="102" t="str">
        <f aca="false">IF(L2028="","",IFERROR(INDEX(AK_BARIS,MATCH(L2028,AK_NAMA,0)),"?"))</f>
        <v/>
      </c>
      <c r="O2028" s="102" t="str">
        <f aca="false">IF(C2028="","",IFERROR(INDEX(AK_KEL,MATCH(C2028,AK_NAMA,0)),"?"))</f>
        <v/>
      </c>
      <c r="P2028" s="102" t="str">
        <f aca="false">IF(D2028="","",IFERROR(INDEX(AK_KEL,MATCH(D2028,AK_NAMA,0)),"?"))</f>
        <v/>
      </c>
      <c r="Q2028" s="102" t="n">
        <f aca="false">N(Q2027)+IF(AND(N(E2028)&lt;&gt;0,K2028=TAHUN,N(J2028)&lt;=BLN,OR(C2028=BB_AKUN,D2028=BB_AKUN)),1,0)</f>
        <v>877</v>
      </c>
      <c r="R2028" s="104" t="str">
        <f aca="false">IF(OR(C2028&amp;D2028="",N(E2028)=0),"",IF(OR(O2028="?",P2028="?"),"⚠ akun tidak dikenal",IF(C2028=D2028,"⚠ debet = kredit","")))</f>
        <v/>
      </c>
    </row>
    <row r="2029" customFormat="false" ht="15" hidden="false" customHeight="false" outlineLevel="0" collapsed="false">
      <c r="A2029" s="5"/>
      <c r="B2029" s="83"/>
      <c r="C2029" s="5"/>
      <c r="D2029" s="5"/>
      <c r="E2029" s="44"/>
      <c r="F2029" s="5"/>
      <c r="G2029" s="5"/>
      <c r="H2029" s="5"/>
      <c r="I2029" s="5"/>
      <c r="J2029" s="102" t="str">
        <f aca="false">IF(B2029="","",MONTH(B2029))</f>
        <v/>
      </c>
      <c r="K2029" s="102" t="str">
        <f aca="false">IF(B2029="","",YEAR(B2029))</f>
        <v/>
      </c>
      <c r="L2029" s="102" t="str">
        <f aca="false">IF(N(E2029)=0,"",IF(COUNTIFS(AK_NAMA,C2029,AK_KAT,"KAS")+COUNTIFS(AK_NAMA,D2029,AK_KAT,"KAS")&lt;&gt;1,"",IF(COUNTIFS(AK_NAMA,C2029,AK_KAT,"KAS")=1,D2029,C2029)))</f>
        <v/>
      </c>
      <c r="M2029" s="103" t="n">
        <f aca="false">IF(L2029="",0,IF(L2029=D2029,E2029,-E2029))</f>
        <v>0</v>
      </c>
      <c r="N2029" s="102" t="str">
        <f aca="false">IF(L2029="","",IFERROR(INDEX(AK_BARIS,MATCH(L2029,AK_NAMA,0)),"?"))</f>
        <v/>
      </c>
      <c r="O2029" s="102" t="str">
        <f aca="false">IF(C2029="","",IFERROR(INDEX(AK_KEL,MATCH(C2029,AK_NAMA,0)),"?"))</f>
        <v/>
      </c>
      <c r="P2029" s="102" t="str">
        <f aca="false">IF(D2029="","",IFERROR(INDEX(AK_KEL,MATCH(D2029,AK_NAMA,0)),"?"))</f>
        <v/>
      </c>
      <c r="Q2029" s="102" t="n">
        <f aca="false">N(Q2028)+IF(AND(N(E2029)&lt;&gt;0,K2029=TAHUN,N(J2029)&lt;=BLN,OR(C2029=BB_AKUN,D2029=BB_AKUN)),1,0)</f>
        <v>877</v>
      </c>
      <c r="R2029" s="104" t="str">
        <f aca="false">IF(OR(C2029&amp;D2029="",N(E2029)=0),"",IF(OR(O2029="?",P2029="?"),"⚠ akun tidak dikenal",IF(C2029=D2029,"⚠ debet = kredit","")))</f>
        <v/>
      </c>
    </row>
    <row r="2030" customFormat="false" ht="15" hidden="false" customHeight="false" outlineLevel="0" collapsed="false">
      <c r="A2030" s="5"/>
      <c r="B2030" s="83"/>
      <c r="C2030" s="5"/>
      <c r="D2030" s="5"/>
      <c r="E2030" s="44"/>
      <c r="F2030" s="5"/>
      <c r="G2030" s="5"/>
      <c r="H2030" s="5"/>
      <c r="I2030" s="5"/>
      <c r="J2030" s="102" t="str">
        <f aca="false">IF(B2030="","",MONTH(B2030))</f>
        <v/>
      </c>
      <c r="K2030" s="102" t="str">
        <f aca="false">IF(B2030="","",YEAR(B2030))</f>
        <v/>
      </c>
      <c r="L2030" s="102" t="str">
        <f aca="false">IF(N(E2030)=0,"",IF(COUNTIFS(AK_NAMA,C2030,AK_KAT,"KAS")+COUNTIFS(AK_NAMA,D2030,AK_KAT,"KAS")&lt;&gt;1,"",IF(COUNTIFS(AK_NAMA,C2030,AK_KAT,"KAS")=1,D2030,C2030)))</f>
        <v/>
      </c>
      <c r="M2030" s="103" t="n">
        <f aca="false">IF(L2030="",0,IF(L2030=D2030,E2030,-E2030))</f>
        <v>0</v>
      </c>
      <c r="N2030" s="102" t="str">
        <f aca="false">IF(L2030="","",IFERROR(INDEX(AK_BARIS,MATCH(L2030,AK_NAMA,0)),"?"))</f>
        <v/>
      </c>
      <c r="O2030" s="102" t="str">
        <f aca="false">IF(C2030="","",IFERROR(INDEX(AK_KEL,MATCH(C2030,AK_NAMA,0)),"?"))</f>
        <v/>
      </c>
      <c r="P2030" s="102" t="str">
        <f aca="false">IF(D2030="","",IFERROR(INDEX(AK_KEL,MATCH(D2030,AK_NAMA,0)),"?"))</f>
        <v/>
      </c>
      <c r="Q2030" s="102" t="n">
        <f aca="false">N(Q2029)+IF(AND(N(E2030)&lt;&gt;0,K2030=TAHUN,N(J2030)&lt;=BLN,OR(C2030=BB_AKUN,D2030=BB_AKUN)),1,0)</f>
        <v>877</v>
      </c>
      <c r="R2030" s="104" t="str">
        <f aca="false">IF(OR(C2030&amp;D2030="",N(E2030)=0),"",IF(OR(O2030="?",P2030="?"),"⚠ akun tidak dikenal",IF(C2030=D2030,"⚠ debet = kredit","")))</f>
        <v/>
      </c>
    </row>
    <row r="2031" customFormat="false" ht="15" hidden="false" customHeight="false" outlineLevel="0" collapsed="false">
      <c r="A2031" s="5"/>
      <c r="B2031" s="83"/>
      <c r="C2031" s="5"/>
      <c r="D2031" s="5"/>
      <c r="E2031" s="44"/>
      <c r="F2031" s="5"/>
      <c r="G2031" s="5"/>
      <c r="H2031" s="5"/>
      <c r="I2031" s="5"/>
      <c r="J2031" s="102" t="str">
        <f aca="false">IF(B2031="","",MONTH(B2031))</f>
        <v/>
      </c>
      <c r="K2031" s="102" t="str">
        <f aca="false">IF(B2031="","",YEAR(B2031))</f>
        <v/>
      </c>
      <c r="L2031" s="102" t="str">
        <f aca="false">IF(N(E2031)=0,"",IF(COUNTIFS(AK_NAMA,C2031,AK_KAT,"KAS")+COUNTIFS(AK_NAMA,D2031,AK_KAT,"KAS")&lt;&gt;1,"",IF(COUNTIFS(AK_NAMA,C2031,AK_KAT,"KAS")=1,D2031,C2031)))</f>
        <v/>
      </c>
      <c r="M2031" s="103" t="n">
        <f aca="false">IF(L2031="",0,IF(L2031=D2031,E2031,-E2031))</f>
        <v>0</v>
      </c>
      <c r="N2031" s="102" t="str">
        <f aca="false">IF(L2031="","",IFERROR(INDEX(AK_BARIS,MATCH(L2031,AK_NAMA,0)),"?"))</f>
        <v/>
      </c>
      <c r="O2031" s="102" t="str">
        <f aca="false">IF(C2031="","",IFERROR(INDEX(AK_KEL,MATCH(C2031,AK_NAMA,0)),"?"))</f>
        <v/>
      </c>
      <c r="P2031" s="102" t="str">
        <f aca="false">IF(D2031="","",IFERROR(INDEX(AK_KEL,MATCH(D2031,AK_NAMA,0)),"?"))</f>
        <v/>
      </c>
      <c r="Q2031" s="102" t="n">
        <f aca="false">N(Q2030)+IF(AND(N(E2031)&lt;&gt;0,K2031=TAHUN,N(J2031)&lt;=BLN,OR(C2031=BB_AKUN,D2031=BB_AKUN)),1,0)</f>
        <v>877</v>
      </c>
      <c r="R2031" s="104" t="str">
        <f aca="false">IF(OR(C2031&amp;D2031="",N(E2031)=0),"",IF(OR(O2031="?",P2031="?"),"⚠ akun tidak dikenal",IF(C2031=D2031,"⚠ debet = kredit","")))</f>
        <v/>
      </c>
    </row>
    <row r="2032" customFormat="false" ht="15" hidden="false" customHeight="false" outlineLevel="0" collapsed="false">
      <c r="A2032" s="5"/>
      <c r="B2032" s="83"/>
      <c r="C2032" s="5"/>
      <c r="D2032" s="5"/>
      <c r="E2032" s="44"/>
      <c r="F2032" s="5"/>
      <c r="G2032" s="5"/>
      <c r="H2032" s="5"/>
      <c r="I2032" s="5"/>
      <c r="J2032" s="102" t="str">
        <f aca="false">IF(B2032="","",MONTH(B2032))</f>
        <v/>
      </c>
      <c r="K2032" s="102" t="str">
        <f aca="false">IF(B2032="","",YEAR(B2032))</f>
        <v/>
      </c>
      <c r="L2032" s="102" t="str">
        <f aca="false">IF(N(E2032)=0,"",IF(COUNTIFS(AK_NAMA,C2032,AK_KAT,"KAS")+COUNTIFS(AK_NAMA,D2032,AK_KAT,"KAS")&lt;&gt;1,"",IF(COUNTIFS(AK_NAMA,C2032,AK_KAT,"KAS")=1,D2032,C2032)))</f>
        <v/>
      </c>
      <c r="M2032" s="103" t="n">
        <f aca="false">IF(L2032="",0,IF(L2032=D2032,E2032,-E2032))</f>
        <v>0</v>
      </c>
      <c r="N2032" s="102" t="str">
        <f aca="false">IF(L2032="","",IFERROR(INDEX(AK_BARIS,MATCH(L2032,AK_NAMA,0)),"?"))</f>
        <v/>
      </c>
      <c r="O2032" s="102" t="str">
        <f aca="false">IF(C2032="","",IFERROR(INDEX(AK_KEL,MATCH(C2032,AK_NAMA,0)),"?"))</f>
        <v/>
      </c>
      <c r="P2032" s="102" t="str">
        <f aca="false">IF(D2032="","",IFERROR(INDEX(AK_KEL,MATCH(D2032,AK_NAMA,0)),"?"))</f>
        <v/>
      </c>
      <c r="Q2032" s="102" t="n">
        <f aca="false">N(Q2031)+IF(AND(N(E2032)&lt;&gt;0,K2032=TAHUN,N(J2032)&lt;=BLN,OR(C2032=BB_AKUN,D2032=BB_AKUN)),1,0)</f>
        <v>877</v>
      </c>
      <c r="R2032" s="104" t="str">
        <f aca="false">IF(OR(C2032&amp;D2032="",N(E2032)=0),"",IF(OR(O2032="?",P2032="?"),"⚠ akun tidak dikenal",IF(C2032=D2032,"⚠ debet = kredit","")))</f>
        <v/>
      </c>
    </row>
    <row r="2033" customFormat="false" ht="15" hidden="false" customHeight="false" outlineLevel="0" collapsed="false">
      <c r="A2033" s="5"/>
      <c r="B2033" s="83"/>
      <c r="C2033" s="5"/>
      <c r="D2033" s="5"/>
      <c r="E2033" s="44"/>
      <c r="F2033" s="5"/>
      <c r="G2033" s="5"/>
      <c r="H2033" s="5"/>
      <c r="I2033" s="5"/>
      <c r="J2033" s="102" t="str">
        <f aca="false">IF(B2033="","",MONTH(B2033))</f>
        <v/>
      </c>
      <c r="K2033" s="102" t="str">
        <f aca="false">IF(B2033="","",YEAR(B2033))</f>
        <v/>
      </c>
      <c r="L2033" s="102" t="str">
        <f aca="false">IF(N(E2033)=0,"",IF(COUNTIFS(AK_NAMA,C2033,AK_KAT,"KAS")+COUNTIFS(AK_NAMA,D2033,AK_KAT,"KAS")&lt;&gt;1,"",IF(COUNTIFS(AK_NAMA,C2033,AK_KAT,"KAS")=1,D2033,C2033)))</f>
        <v/>
      </c>
      <c r="M2033" s="103" t="n">
        <f aca="false">IF(L2033="",0,IF(L2033=D2033,E2033,-E2033))</f>
        <v>0</v>
      </c>
      <c r="N2033" s="102" t="str">
        <f aca="false">IF(L2033="","",IFERROR(INDEX(AK_BARIS,MATCH(L2033,AK_NAMA,0)),"?"))</f>
        <v/>
      </c>
      <c r="O2033" s="102" t="str">
        <f aca="false">IF(C2033="","",IFERROR(INDEX(AK_KEL,MATCH(C2033,AK_NAMA,0)),"?"))</f>
        <v/>
      </c>
      <c r="P2033" s="102" t="str">
        <f aca="false">IF(D2033="","",IFERROR(INDEX(AK_KEL,MATCH(D2033,AK_NAMA,0)),"?"))</f>
        <v/>
      </c>
      <c r="Q2033" s="102" t="n">
        <f aca="false">N(Q2032)+IF(AND(N(E2033)&lt;&gt;0,K2033=TAHUN,N(J2033)&lt;=BLN,OR(C2033=BB_AKUN,D2033=BB_AKUN)),1,0)</f>
        <v>877</v>
      </c>
      <c r="R2033" s="104" t="str">
        <f aca="false">IF(OR(C2033&amp;D2033="",N(E2033)=0),"",IF(OR(O2033="?",P2033="?"),"⚠ akun tidak dikenal",IF(C2033=D2033,"⚠ debet = kredit","")))</f>
        <v/>
      </c>
    </row>
    <row r="2034" customFormat="false" ht="15" hidden="false" customHeight="false" outlineLevel="0" collapsed="false">
      <c r="A2034" s="5"/>
      <c r="B2034" s="83"/>
      <c r="C2034" s="5"/>
      <c r="D2034" s="5"/>
      <c r="E2034" s="44"/>
      <c r="F2034" s="5"/>
      <c r="G2034" s="5"/>
      <c r="H2034" s="5"/>
      <c r="I2034" s="5"/>
      <c r="J2034" s="102" t="str">
        <f aca="false">IF(B2034="","",MONTH(B2034))</f>
        <v/>
      </c>
      <c r="K2034" s="102" t="str">
        <f aca="false">IF(B2034="","",YEAR(B2034))</f>
        <v/>
      </c>
      <c r="L2034" s="102" t="str">
        <f aca="false">IF(N(E2034)=0,"",IF(COUNTIFS(AK_NAMA,C2034,AK_KAT,"KAS")+COUNTIFS(AK_NAMA,D2034,AK_KAT,"KAS")&lt;&gt;1,"",IF(COUNTIFS(AK_NAMA,C2034,AK_KAT,"KAS")=1,D2034,C2034)))</f>
        <v/>
      </c>
      <c r="M2034" s="103" t="n">
        <f aca="false">IF(L2034="",0,IF(L2034=D2034,E2034,-E2034))</f>
        <v>0</v>
      </c>
      <c r="N2034" s="102" t="str">
        <f aca="false">IF(L2034="","",IFERROR(INDEX(AK_BARIS,MATCH(L2034,AK_NAMA,0)),"?"))</f>
        <v/>
      </c>
      <c r="O2034" s="102" t="str">
        <f aca="false">IF(C2034="","",IFERROR(INDEX(AK_KEL,MATCH(C2034,AK_NAMA,0)),"?"))</f>
        <v/>
      </c>
      <c r="P2034" s="102" t="str">
        <f aca="false">IF(D2034="","",IFERROR(INDEX(AK_KEL,MATCH(D2034,AK_NAMA,0)),"?"))</f>
        <v/>
      </c>
      <c r="Q2034" s="102" t="n">
        <f aca="false">N(Q2033)+IF(AND(N(E2034)&lt;&gt;0,K2034=TAHUN,N(J2034)&lt;=BLN,OR(C2034=BB_AKUN,D2034=BB_AKUN)),1,0)</f>
        <v>877</v>
      </c>
      <c r="R2034" s="104" t="str">
        <f aca="false">IF(OR(C2034&amp;D2034="",N(E2034)=0),"",IF(OR(O2034="?",P2034="?"),"⚠ akun tidak dikenal",IF(C2034=D2034,"⚠ debet = kredit","")))</f>
        <v/>
      </c>
    </row>
    <row r="2035" customFormat="false" ht="15" hidden="false" customHeight="false" outlineLevel="0" collapsed="false">
      <c r="A2035" s="5"/>
      <c r="B2035" s="83"/>
      <c r="C2035" s="5"/>
      <c r="D2035" s="5"/>
      <c r="E2035" s="44"/>
      <c r="F2035" s="5"/>
      <c r="G2035" s="5"/>
      <c r="H2035" s="5"/>
      <c r="I2035" s="5"/>
      <c r="J2035" s="102" t="str">
        <f aca="false">IF(B2035="","",MONTH(B2035))</f>
        <v/>
      </c>
      <c r="K2035" s="102" t="str">
        <f aca="false">IF(B2035="","",YEAR(B2035))</f>
        <v/>
      </c>
      <c r="L2035" s="102" t="str">
        <f aca="false">IF(N(E2035)=0,"",IF(COUNTIFS(AK_NAMA,C2035,AK_KAT,"KAS")+COUNTIFS(AK_NAMA,D2035,AK_KAT,"KAS")&lt;&gt;1,"",IF(COUNTIFS(AK_NAMA,C2035,AK_KAT,"KAS")=1,D2035,C2035)))</f>
        <v/>
      </c>
      <c r="M2035" s="103" t="n">
        <f aca="false">IF(L2035="",0,IF(L2035=D2035,E2035,-E2035))</f>
        <v>0</v>
      </c>
      <c r="N2035" s="102" t="str">
        <f aca="false">IF(L2035="","",IFERROR(INDEX(AK_BARIS,MATCH(L2035,AK_NAMA,0)),"?"))</f>
        <v/>
      </c>
      <c r="O2035" s="102" t="str">
        <f aca="false">IF(C2035="","",IFERROR(INDEX(AK_KEL,MATCH(C2035,AK_NAMA,0)),"?"))</f>
        <v/>
      </c>
      <c r="P2035" s="102" t="str">
        <f aca="false">IF(D2035="","",IFERROR(INDEX(AK_KEL,MATCH(D2035,AK_NAMA,0)),"?"))</f>
        <v/>
      </c>
      <c r="Q2035" s="102" t="n">
        <f aca="false">N(Q2034)+IF(AND(N(E2035)&lt;&gt;0,K2035=TAHUN,N(J2035)&lt;=BLN,OR(C2035=BB_AKUN,D2035=BB_AKUN)),1,0)</f>
        <v>877</v>
      </c>
      <c r="R2035" s="104" t="str">
        <f aca="false">IF(OR(C2035&amp;D2035="",N(E2035)=0),"",IF(OR(O2035="?",P2035="?"),"⚠ akun tidak dikenal",IF(C2035=D2035,"⚠ debet = kredit","")))</f>
        <v/>
      </c>
    </row>
    <row r="2036" customFormat="false" ht="15" hidden="false" customHeight="false" outlineLevel="0" collapsed="false">
      <c r="A2036" s="5"/>
      <c r="B2036" s="83"/>
      <c r="C2036" s="5"/>
      <c r="D2036" s="5"/>
      <c r="E2036" s="44"/>
      <c r="F2036" s="5"/>
      <c r="G2036" s="5"/>
      <c r="H2036" s="5"/>
      <c r="I2036" s="5"/>
      <c r="J2036" s="102" t="str">
        <f aca="false">IF(B2036="","",MONTH(B2036))</f>
        <v/>
      </c>
      <c r="K2036" s="102" t="str">
        <f aca="false">IF(B2036="","",YEAR(B2036))</f>
        <v/>
      </c>
      <c r="L2036" s="102" t="str">
        <f aca="false">IF(N(E2036)=0,"",IF(COUNTIFS(AK_NAMA,C2036,AK_KAT,"KAS")+COUNTIFS(AK_NAMA,D2036,AK_KAT,"KAS")&lt;&gt;1,"",IF(COUNTIFS(AK_NAMA,C2036,AK_KAT,"KAS")=1,D2036,C2036)))</f>
        <v/>
      </c>
      <c r="M2036" s="103" t="n">
        <f aca="false">IF(L2036="",0,IF(L2036=D2036,E2036,-E2036))</f>
        <v>0</v>
      </c>
      <c r="N2036" s="102" t="str">
        <f aca="false">IF(L2036="","",IFERROR(INDEX(AK_BARIS,MATCH(L2036,AK_NAMA,0)),"?"))</f>
        <v/>
      </c>
      <c r="O2036" s="102" t="str">
        <f aca="false">IF(C2036="","",IFERROR(INDEX(AK_KEL,MATCH(C2036,AK_NAMA,0)),"?"))</f>
        <v/>
      </c>
      <c r="P2036" s="102" t="str">
        <f aca="false">IF(D2036="","",IFERROR(INDEX(AK_KEL,MATCH(D2036,AK_NAMA,0)),"?"))</f>
        <v/>
      </c>
      <c r="Q2036" s="102" t="n">
        <f aca="false">N(Q2035)+IF(AND(N(E2036)&lt;&gt;0,K2036=TAHUN,N(J2036)&lt;=BLN,OR(C2036=BB_AKUN,D2036=BB_AKUN)),1,0)</f>
        <v>877</v>
      </c>
      <c r="R2036" s="104" t="str">
        <f aca="false">IF(OR(C2036&amp;D2036="",N(E2036)=0),"",IF(OR(O2036="?",P2036="?"),"⚠ akun tidak dikenal",IF(C2036=D2036,"⚠ debet = kredit","")))</f>
        <v/>
      </c>
    </row>
    <row r="2037" customFormat="false" ht="15" hidden="false" customHeight="false" outlineLevel="0" collapsed="false">
      <c r="A2037" s="5"/>
      <c r="B2037" s="83"/>
      <c r="C2037" s="5"/>
      <c r="D2037" s="5"/>
      <c r="E2037" s="44"/>
      <c r="F2037" s="5"/>
      <c r="G2037" s="5"/>
      <c r="H2037" s="5"/>
      <c r="I2037" s="5"/>
      <c r="J2037" s="102" t="str">
        <f aca="false">IF(B2037="","",MONTH(B2037))</f>
        <v/>
      </c>
      <c r="K2037" s="102" t="str">
        <f aca="false">IF(B2037="","",YEAR(B2037))</f>
        <v/>
      </c>
      <c r="L2037" s="102" t="str">
        <f aca="false">IF(N(E2037)=0,"",IF(COUNTIFS(AK_NAMA,C2037,AK_KAT,"KAS")+COUNTIFS(AK_NAMA,D2037,AK_KAT,"KAS")&lt;&gt;1,"",IF(COUNTIFS(AK_NAMA,C2037,AK_KAT,"KAS")=1,D2037,C2037)))</f>
        <v/>
      </c>
      <c r="M2037" s="103" t="n">
        <f aca="false">IF(L2037="",0,IF(L2037=D2037,E2037,-E2037))</f>
        <v>0</v>
      </c>
      <c r="N2037" s="102" t="str">
        <f aca="false">IF(L2037="","",IFERROR(INDEX(AK_BARIS,MATCH(L2037,AK_NAMA,0)),"?"))</f>
        <v/>
      </c>
      <c r="O2037" s="102" t="str">
        <f aca="false">IF(C2037="","",IFERROR(INDEX(AK_KEL,MATCH(C2037,AK_NAMA,0)),"?"))</f>
        <v/>
      </c>
      <c r="P2037" s="102" t="str">
        <f aca="false">IF(D2037="","",IFERROR(INDEX(AK_KEL,MATCH(D2037,AK_NAMA,0)),"?"))</f>
        <v/>
      </c>
      <c r="Q2037" s="102" t="n">
        <f aca="false">N(Q2036)+IF(AND(N(E2037)&lt;&gt;0,K2037=TAHUN,N(J2037)&lt;=BLN,OR(C2037=BB_AKUN,D2037=BB_AKUN)),1,0)</f>
        <v>877</v>
      </c>
      <c r="R2037" s="104" t="str">
        <f aca="false">IF(OR(C2037&amp;D2037="",N(E2037)=0),"",IF(OR(O2037="?",P2037="?"),"⚠ akun tidak dikenal",IF(C2037=D2037,"⚠ debet = kredit","")))</f>
        <v/>
      </c>
    </row>
    <row r="2038" customFormat="false" ht="15" hidden="false" customHeight="false" outlineLevel="0" collapsed="false">
      <c r="A2038" s="5"/>
      <c r="B2038" s="83"/>
      <c r="C2038" s="5"/>
      <c r="D2038" s="5"/>
      <c r="E2038" s="44"/>
      <c r="F2038" s="5"/>
      <c r="G2038" s="5"/>
      <c r="H2038" s="5"/>
      <c r="I2038" s="5"/>
      <c r="J2038" s="102" t="str">
        <f aca="false">IF(B2038="","",MONTH(B2038))</f>
        <v/>
      </c>
      <c r="K2038" s="102" t="str">
        <f aca="false">IF(B2038="","",YEAR(B2038))</f>
        <v/>
      </c>
      <c r="L2038" s="102" t="str">
        <f aca="false">IF(N(E2038)=0,"",IF(COUNTIFS(AK_NAMA,C2038,AK_KAT,"KAS")+COUNTIFS(AK_NAMA,D2038,AK_KAT,"KAS")&lt;&gt;1,"",IF(COUNTIFS(AK_NAMA,C2038,AK_KAT,"KAS")=1,D2038,C2038)))</f>
        <v/>
      </c>
      <c r="M2038" s="103" t="n">
        <f aca="false">IF(L2038="",0,IF(L2038=D2038,E2038,-E2038))</f>
        <v>0</v>
      </c>
      <c r="N2038" s="102" t="str">
        <f aca="false">IF(L2038="","",IFERROR(INDEX(AK_BARIS,MATCH(L2038,AK_NAMA,0)),"?"))</f>
        <v/>
      </c>
      <c r="O2038" s="102" t="str">
        <f aca="false">IF(C2038="","",IFERROR(INDEX(AK_KEL,MATCH(C2038,AK_NAMA,0)),"?"))</f>
        <v/>
      </c>
      <c r="P2038" s="102" t="str">
        <f aca="false">IF(D2038="","",IFERROR(INDEX(AK_KEL,MATCH(D2038,AK_NAMA,0)),"?"))</f>
        <v/>
      </c>
      <c r="Q2038" s="102" t="n">
        <f aca="false">N(Q2037)+IF(AND(N(E2038)&lt;&gt;0,K2038=TAHUN,N(J2038)&lt;=BLN,OR(C2038=BB_AKUN,D2038=BB_AKUN)),1,0)</f>
        <v>877</v>
      </c>
      <c r="R2038" s="104" t="str">
        <f aca="false">IF(OR(C2038&amp;D2038="",N(E2038)=0),"",IF(OR(O2038="?",P2038="?"),"⚠ akun tidak dikenal",IF(C2038=D2038,"⚠ debet = kredit","")))</f>
        <v/>
      </c>
    </row>
    <row r="2039" customFormat="false" ht="15" hidden="false" customHeight="false" outlineLevel="0" collapsed="false">
      <c r="A2039" s="5"/>
      <c r="B2039" s="83"/>
      <c r="C2039" s="5"/>
      <c r="D2039" s="5"/>
      <c r="E2039" s="44"/>
      <c r="F2039" s="5"/>
      <c r="G2039" s="5"/>
      <c r="H2039" s="5"/>
      <c r="I2039" s="5"/>
      <c r="J2039" s="102" t="str">
        <f aca="false">IF(B2039="","",MONTH(B2039))</f>
        <v/>
      </c>
      <c r="K2039" s="102" t="str">
        <f aca="false">IF(B2039="","",YEAR(B2039))</f>
        <v/>
      </c>
      <c r="L2039" s="102" t="str">
        <f aca="false">IF(N(E2039)=0,"",IF(COUNTIFS(AK_NAMA,C2039,AK_KAT,"KAS")+COUNTIFS(AK_NAMA,D2039,AK_KAT,"KAS")&lt;&gt;1,"",IF(COUNTIFS(AK_NAMA,C2039,AK_KAT,"KAS")=1,D2039,C2039)))</f>
        <v/>
      </c>
      <c r="M2039" s="103" t="n">
        <f aca="false">IF(L2039="",0,IF(L2039=D2039,E2039,-E2039))</f>
        <v>0</v>
      </c>
      <c r="N2039" s="102" t="str">
        <f aca="false">IF(L2039="","",IFERROR(INDEX(AK_BARIS,MATCH(L2039,AK_NAMA,0)),"?"))</f>
        <v/>
      </c>
      <c r="O2039" s="102" t="str">
        <f aca="false">IF(C2039="","",IFERROR(INDEX(AK_KEL,MATCH(C2039,AK_NAMA,0)),"?"))</f>
        <v/>
      </c>
      <c r="P2039" s="102" t="str">
        <f aca="false">IF(D2039="","",IFERROR(INDEX(AK_KEL,MATCH(D2039,AK_NAMA,0)),"?"))</f>
        <v/>
      </c>
      <c r="Q2039" s="102" t="n">
        <f aca="false">N(Q2038)+IF(AND(N(E2039)&lt;&gt;0,K2039=TAHUN,N(J2039)&lt;=BLN,OR(C2039=BB_AKUN,D2039=BB_AKUN)),1,0)</f>
        <v>877</v>
      </c>
      <c r="R2039" s="104" t="str">
        <f aca="false">IF(OR(C2039&amp;D2039="",N(E2039)=0),"",IF(OR(O2039="?",P2039="?"),"⚠ akun tidak dikenal",IF(C2039=D2039,"⚠ debet = kredit","")))</f>
        <v/>
      </c>
    </row>
    <row r="2040" customFormat="false" ht="15" hidden="false" customHeight="false" outlineLevel="0" collapsed="false">
      <c r="A2040" s="5"/>
      <c r="B2040" s="83"/>
      <c r="C2040" s="5"/>
      <c r="D2040" s="5"/>
      <c r="E2040" s="44"/>
      <c r="F2040" s="5"/>
      <c r="G2040" s="5"/>
      <c r="H2040" s="5"/>
      <c r="I2040" s="5"/>
      <c r="J2040" s="102" t="str">
        <f aca="false">IF(B2040="","",MONTH(B2040))</f>
        <v/>
      </c>
      <c r="K2040" s="102" t="str">
        <f aca="false">IF(B2040="","",YEAR(B2040))</f>
        <v/>
      </c>
      <c r="L2040" s="102" t="str">
        <f aca="false">IF(N(E2040)=0,"",IF(COUNTIFS(AK_NAMA,C2040,AK_KAT,"KAS")+COUNTIFS(AK_NAMA,D2040,AK_KAT,"KAS")&lt;&gt;1,"",IF(COUNTIFS(AK_NAMA,C2040,AK_KAT,"KAS")=1,D2040,C2040)))</f>
        <v/>
      </c>
      <c r="M2040" s="103" t="n">
        <f aca="false">IF(L2040="",0,IF(L2040=D2040,E2040,-E2040))</f>
        <v>0</v>
      </c>
      <c r="N2040" s="102" t="str">
        <f aca="false">IF(L2040="","",IFERROR(INDEX(AK_BARIS,MATCH(L2040,AK_NAMA,0)),"?"))</f>
        <v/>
      </c>
      <c r="O2040" s="102" t="str">
        <f aca="false">IF(C2040="","",IFERROR(INDEX(AK_KEL,MATCH(C2040,AK_NAMA,0)),"?"))</f>
        <v/>
      </c>
      <c r="P2040" s="102" t="str">
        <f aca="false">IF(D2040="","",IFERROR(INDEX(AK_KEL,MATCH(D2040,AK_NAMA,0)),"?"))</f>
        <v/>
      </c>
      <c r="Q2040" s="102" t="n">
        <f aca="false">N(Q2039)+IF(AND(N(E2040)&lt;&gt;0,K2040=TAHUN,N(J2040)&lt;=BLN,OR(C2040=BB_AKUN,D2040=BB_AKUN)),1,0)</f>
        <v>877</v>
      </c>
      <c r="R2040" s="104" t="str">
        <f aca="false">IF(OR(C2040&amp;D2040="",N(E2040)=0),"",IF(OR(O2040="?",P2040="?"),"⚠ akun tidak dikenal",IF(C2040=D2040,"⚠ debet = kredit","")))</f>
        <v/>
      </c>
    </row>
    <row r="2041" customFormat="false" ht="15" hidden="false" customHeight="false" outlineLevel="0" collapsed="false">
      <c r="A2041" s="5"/>
      <c r="B2041" s="83"/>
      <c r="C2041" s="5"/>
      <c r="D2041" s="5"/>
      <c r="E2041" s="44"/>
      <c r="F2041" s="5"/>
      <c r="G2041" s="5"/>
      <c r="H2041" s="5"/>
      <c r="I2041" s="5"/>
      <c r="J2041" s="102" t="str">
        <f aca="false">IF(B2041="","",MONTH(B2041))</f>
        <v/>
      </c>
      <c r="K2041" s="102" t="str">
        <f aca="false">IF(B2041="","",YEAR(B2041))</f>
        <v/>
      </c>
      <c r="L2041" s="102" t="str">
        <f aca="false">IF(N(E2041)=0,"",IF(COUNTIFS(AK_NAMA,C2041,AK_KAT,"KAS")+COUNTIFS(AK_NAMA,D2041,AK_KAT,"KAS")&lt;&gt;1,"",IF(COUNTIFS(AK_NAMA,C2041,AK_KAT,"KAS")=1,D2041,C2041)))</f>
        <v/>
      </c>
      <c r="M2041" s="103" t="n">
        <f aca="false">IF(L2041="",0,IF(L2041=D2041,E2041,-E2041))</f>
        <v>0</v>
      </c>
      <c r="N2041" s="102" t="str">
        <f aca="false">IF(L2041="","",IFERROR(INDEX(AK_BARIS,MATCH(L2041,AK_NAMA,0)),"?"))</f>
        <v/>
      </c>
      <c r="O2041" s="102" t="str">
        <f aca="false">IF(C2041="","",IFERROR(INDEX(AK_KEL,MATCH(C2041,AK_NAMA,0)),"?"))</f>
        <v/>
      </c>
      <c r="P2041" s="102" t="str">
        <f aca="false">IF(D2041="","",IFERROR(INDEX(AK_KEL,MATCH(D2041,AK_NAMA,0)),"?"))</f>
        <v/>
      </c>
      <c r="Q2041" s="102" t="n">
        <f aca="false">N(Q2040)+IF(AND(N(E2041)&lt;&gt;0,K2041=TAHUN,N(J2041)&lt;=BLN,OR(C2041=BB_AKUN,D2041=BB_AKUN)),1,0)</f>
        <v>877</v>
      </c>
      <c r="R2041" s="104" t="str">
        <f aca="false">IF(OR(C2041&amp;D2041="",N(E2041)=0),"",IF(OR(O2041="?",P2041="?"),"⚠ akun tidak dikenal",IF(C2041=D2041,"⚠ debet = kredit","")))</f>
        <v/>
      </c>
    </row>
    <row r="2042" customFormat="false" ht="15" hidden="false" customHeight="false" outlineLevel="0" collapsed="false">
      <c r="A2042" s="5"/>
      <c r="B2042" s="83"/>
      <c r="C2042" s="5"/>
      <c r="D2042" s="5"/>
      <c r="E2042" s="44"/>
      <c r="F2042" s="5"/>
      <c r="G2042" s="5"/>
      <c r="H2042" s="5"/>
      <c r="I2042" s="5"/>
      <c r="J2042" s="102" t="str">
        <f aca="false">IF(B2042="","",MONTH(B2042))</f>
        <v/>
      </c>
      <c r="K2042" s="102" t="str">
        <f aca="false">IF(B2042="","",YEAR(B2042))</f>
        <v/>
      </c>
      <c r="L2042" s="102" t="str">
        <f aca="false">IF(N(E2042)=0,"",IF(COUNTIFS(AK_NAMA,C2042,AK_KAT,"KAS")+COUNTIFS(AK_NAMA,D2042,AK_KAT,"KAS")&lt;&gt;1,"",IF(COUNTIFS(AK_NAMA,C2042,AK_KAT,"KAS")=1,D2042,C2042)))</f>
        <v/>
      </c>
      <c r="M2042" s="103" t="n">
        <f aca="false">IF(L2042="",0,IF(L2042=D2042,E2042,-E2042))</f>
        <v>0</v>
      </c>
      <c r="N2042" s="102" t="str">
        <f aca="false">IF(L2042="","",IFERROR(INDEX(AK_BARIS,MATCH(L2042,AK_NAMA,0)),"?"))</f>
        <v/>
      </c>
      <c r="O2042" s="102" t="str">
        <f aca="false">IF(C2042="","",IFERROR(INDEX(AK_KEL,MATCH(C2042,AK_NAMA,0)),"?"))</f>
        <v/>
      </c>
      <c r="P2042" s="102" t="str">
        <f aca="false">IF(D2042="","",IFERROR(INDEX(AK_KEL,MATCH(D2042,AK_NAMA,0)),"?"))</f>
        <v/>
      </c>
      <c r="Q2042" s="102" t="n">
        <f aca="false">N(Q2041)+IF(AND(N(E2042)&lt;&gt;0,K2042=TAHUN,N(J2042)&lt;=BLN,OR(C2042=BB_AKUN,D2042=BB_AKUN)),1,0)</f>
        <v>877</v>
      </c>
      <c r="R2042" s="104" t="str">
        <f aca="false">IF(OR(C2042&amp;D2042="",N(E2042)=0),"",IF(OR(O2042="?",P2042="?"),"⚠ akun tidak dikenal",IF(C2042=D2042,"⚠ debet = kredit","")))</f>
        <v/>
      </c>
    </row>
    <row r="2043" customFormat="false" ht="15" hidden="false" customHeight="false" outlineLevel="0" collapsed="false">
      <c r="A2043" s="5"/>
      <c r="B2043" s="83"/>
      <c r="C2043" s="5"/>
      <c r="D2043" s="5"/>
      <c r="E2043" s="44"/>
      <c r="F2043" s="5"/>
      <c r="G2043" s="5"/>
      <c r="H2043" s="5"/>
      <c r="I2043" s="5"/>
      <c r="J2043" s="102" t="str">
        <f aca="false">IF(B2043="","",MONTH(B2043))</f>
        <v/>
      </c>
      <c r="K2043" s="102" t="str">
        <f aca="false">IF(B2043="","",YEAR(B2043))</f>
        <v/>
      </c>
      <c r="L2043" s="102" t="str">
        <f aca="false">IF(N(E2043)=0,"",IF(COUNTIFS(AK_NAMA,C2043,AK_KAT,"KAS")+COUNTIFS(AK_NAMA,D2043,AK_KAT,"KAS")&lt;&gt;1,"",IF(COUNTIFS(AK_NAMA,C2043,AK_KAT,"KAS")=1,D2043,C2043)))</f>
        <v/>
      </c>
      <c r="M2043" s="103" t="n">
        <f aca="false">IF(L2043="",0,IF(L2043=D2043,E2043,-E2043))</f>
        <v>0</v>
      </c>
      <c r="N2043" s="102" t="str">
        <f aca="false">IF(L2043="","",IFERROR(INDEX(AK_BARIS,MATCH(L2043,AK_NAMA,0)),"?"))</f>
        <v/>
      </c>
      <c r="O2043" s="102" t="str">
        <f aca="false">IF(C2043="","",IFERROR(INDEX(AK_KEL,MATCH(C2043,AK_NAMA,0)),"?"))</f>
        <v/>
      </c>
      <c r="P2043" s="102" t="str">
        <f aca="false">IF(D2043="","",IFERROR(INDEX(AK_KEL,MATCH(D2043,AK_NAMA,0)),"?"))</f>
        <v/>
      </c>
      <c r="Q2043" s="102" t="n">
        <f aca="false">N(Q2042)+IF(AND(N(E2043)&lt;&gt;0,K2043=TAHUN,N(J2043)&lt;=BLN,OR(C2043=BB_AKUN,D2043=BB_AKUN)),1,0)</f>
        <v>877</v>
      </c>
      <c r="R2043" s="104" t="str">
        <f aca="false">IF(OR(C2043&amp;D2043="",N(E2043)=0),"",IF(OR(O2043="?",P2043="?"),"⚠ akun tidak dikenal",IF(C2043=D2043,"⚠ debet = kredit","")))</f>
        <v/>
      </c>
    </row>
    <row r="2044" customFormat="false" ht="15" hidden="false" customHeight="false" outlineLevel="0" collapsed="false">
      <c r="A2044" s="5"/>
      <c r="B2044" s="83"/>
      <c r="C2044" s="5"/>
      <c r="D2044" s="5"/>
      <c r="E2044" s="44"/>
      <c r="F2044" s="5"/>
      <c r="G2044" s="5"/>
      <c r="H2044" s="5"/>
      <c r="I2044" s="5"/>
      <c r="J2044" s="102" t="str">
        <f aca="false">IF(B2044="","",MONTH(B2044))</f>
        <v/>
      </c>
      <c r="K2044" s="102" t="str">
        <f aca="false">IF(B2044="","",YEAR(B2044))</f>
        <v/>
      </c>
      <c r="L2044" s="102" t="str">
        <f aca="false">IF(N(E2044)=0,"",IF(COUNTIFS(AK_NAMA,C2044,AK_KAT,"KAS")+COUNTIFS(AK_NAMA,D2044,AK_KAT,"KAS")&lt;&gt;1,"",IF(COUNTIFS(AK_NAMA,C2044,AK_KAT,"KAS")=1,D2044,C2044)))</f>
        <v/>
      </c>
      <c r="M2044" s="103" t="n">
        <f aca="false">IF(L2044="",0,IF(L2044=D2044,E2044,-E2044))</f>
        <v>0</v>
      </c>
      <c r="N2044" s="102" t="str">
        <f aca="false">IF(L2044="","",IFERROR(INDEX(AK_BARIS,MATCH(L2044,AK_NAMA,0)),"?"))</f>
        <v/>
      </c>
      <c r="O2044" s="102" t="str">
        <f aca="false">IF(C2044="","",IFERROR(INDEX(AK_KEL,MATCH(C2044,AK_NAMA,0)),"?"))</f>
        <v/>
      </c>
      <c r="P2044" s="102" t="str">
        <f aca="false">IF(D2044="","",IFERROR(INDEX(AK_KEL,MATCH(D2044,AK_NAMA,0)),"?"))</f>
        <v/>
      </c>
      <c r="Q2044" s="102" t="n">
        <f aca="false">N(Q2043)+IF(AND(N(E2044)&lt;&gt;0,K2044=TAHUN,N(J2044)&lt;=BLN,OR(C2044=BB_AKUN,D2044=BB_AKUN)),1,0)</f>
        <v>877</v>
      </c>
      <c r="R2044" s="104" t="str">
        <f aca="false">IF(OR(C2044&amp;D2044="",N(E2044)=0),"",IF(OR(O2044="?",P2044="?"),"⚠ akun tidak dikenal",IF(C2044=D2044,"⚠ debet = kredit","")))</f>
        <v/>
      </c>
    </row>
    <row r="2045" customFormat="false" ht="15" hidden="false" customHeight="false" outlineLevel="0" collapsed="false">
      <c r="A2045" s="5"/>
      <c r="B2045" s="83"/>
      <c r="C2045" s="5"/>
      <c r="D2045" s="5"/>
      <c r="E2045" s="44"/>
      <c r="F2045" s="5"/>
      <c r="G2045" s="5"/>
      <c r="H2045" s="5"/>
      <c r="I2045" s="5"/>
      <c r="J2045" s="102" t="str">
        <f aca="false">IF(B2045="","",MONTH(B2045))</f>
        <v/>
      </c>
      <c r="K2045" s="102" t="str">
        <f aca="false">IF(B2045="","",YEAR(B2045))</f>
        <v/>
      </c>
      <c r="L2045" s="102" t="str">
        <f aca="false">IF(N(E2045)=0,"",IF(COUNTIFS(AK_NAMA,C2045,AK_KAT,"KAS")+COUNTIFS(AK_NAMA,D2045,AK_KAT,"KAS")&lt;&gt;1,"",IF(COUNTIFS(AK_NAMA,C2045,AK_KAT,"KAS")=1,D2045,C2045)))</f>
        <v/>
      </c>
      <c r="M2045" s="103" t="n">
        <f aca="false">IF(L2045="",0,IF(L2045=D2045,E2045,-E2045))</f>
        <v>0</v>
      </c>
      <c r="N2045" s="102" t="str">
        <f aca="false">IF(L2045="","",IFERROR(INDEX(AK_BARIS,MATCH(L2045,AK_NAMA,0)),"?"))</f>
        <v/>
      </c>
      <c r="O2045" s="102" t="str">
        <f aca="false">IF(C2045="","",IFERROR(INDEX(AK_KEL,MATCH(C2045,AK_NAMA,0)),"?"))</f>
        <v/>
      </c>
      <c r="P2045" s="102" t="str">
        <f aca="false">IF(D2045="","",IFERROR(INDEX(AK_KEL,MATCH(D2045,AK_NAMA,0)),"?"))</f>
        <v/>
      </c>
      <c r="Q2045" s="102" t="n">
        <f aca="false">N(Q2044)+IF(AND(N(E2045)&lt;&gt;0,K2045=TAHUN,N(J2045)&lt;=BLN,OR(C2045=BB_AKUN,D2045=BB_AKUN)),1,0)</f>
        <v>877</v>
      </c>
      <c r="R2045" s="104" t="str">
        <f aca="false">IF(OR(C2045&amp;D2045="",N(E2045)=0),"",IF(OR(O2045="?",P2045="?"),"⚠ akun tidak dikenal",IF(C2045=D2045,"⚠ debet = kredit","")))</f>
        <v/>
      </c>
    </row>
    <row r="2046" customFormat="false" ht="15" hidden="false" customHeight="false" outlineLevel="0" collapsed="false">
      <c r="A2046" s="5"/>
      <c r="B2046" s="83"/>
      <c r="C2046" s="5"/>
      <c r="D2046" s="5"/>
      <c r="E2046" s="44"/>
      <c r="F2046" s="5"/>
      <c r="G2046" s="5"/>
      <c r="H2046" s="5"/>
      <c r="I2046" s="5"/>
      <c r="J2046" s="102" t="str">
        <f aca="false">IF(B2046="","",MONTH(B2046))</f>
        <v/>
      </c>
      <c r="K2046" s="102" t="str">
        <f aca="false">IF(B2046="","",YEAR(B2046))</f>
        <v/>
      </c>
      <c r="L2046" s="102" t="str">
        <f aca="false">IF(N(E2046)=0,"",IF(COUNTIFS(AK_NAMA,C2046,AK_KAT,"KAS")+COUNTIFS(AK_NAMA,D2046,AK_KAT,"KAS")&lt;&gt;1,"",IF(COUNTIFS(AK_NAMA,C2046,AK_KAT,"KAS")=1,D2046,C2046)))</f>
        <v/>
      </c>
      <c r="M2046" s="103" t="n">
        <f aca="false">IF(L2046="",0,IF(L2046=D2046,E2046,-E2046))</f>
        <v>0</v>
      </c>
      <c r="N2046" s="102" t="str">
        <f aca="false">IF(L2046="","",IFERROR(INDEX(AK_BARIS,MATCH(L2046,AK_NAMA,0)),"?"))</f>
        <v/>
      </c>
      <c r="O2046" s="102" t="str">
        <f aca="false">IF(C2046="","",IFERROR(INDEX(AK_KEL,MATCH(C2046,AK_NAMA,0)),"?"))</f>
        <v/>
      </c>
      <c r="P2046" s="102" t="str">
        <f aca="false">IF(D2046="","",IFERROR(INDEX(AK_KEL,MATCH(D2046,AK_NAMA,0)),"?"))</f>
        <v/>
      </c>
      <c r="Q2046" s="102" t="n">
        <f aca="false">N(Q2045)+IF(AND(N(E2046)&lt;&gt;0,K2046=TAHUN,N(J2046)&lt;=BLN,OR(C2046=BB_AKUN,D2046=BB_AKUN)),1,0)</f>
        <v>877</v>
      </c>
      <c r="R2046" s="104" t="str">
        <f aca="false">IF(OR(C2046&amp;D2046="",N(E2046)=0),"",IF(OR(O2046="?",P2046="?"),"⚠ akun tidak dikenal",IF(C2046=D2046,"⚠ debet = kredit","")))</f>
        <v/>
      </c>
    </row>
    <row r="2047" customFormat="false" ht="15" hidden="false" customHeight="false" outlineLevel="0" collapsed="false">
      <c r="A2047" s="5"/>
      <c r="B2047" s="83"/>
      <c r="C2047" s="5"/>
      <c r="D2047" s="5"/>
      <c r="E2047" s="44"/>
      <c r="F2047" s="5"/>
      <c r="G2047" s="5"/>
      <c r="H2047" s="5"/>
      <c r="I2047" s="5"/>
      <c r="J2047" s="102" t="str">
        <f aca="false">IF(B2047="","",MONTH(B2047))</f>
        <v/>
      </c>
      <c r="K2047" s="102" t="str">
        <f aca="false">IF(B2047="","",YEAR(B2047))</f>
        <v/>
      </c>
      <c r="L2047" s="102" t="str">
        <f aca="false">IF(N(E2047)=0,"",IF(COUNTIFS(AK_NAMA,C2047,AK_KAT,"KAS")+COUNTIFS(AK_NAMA,D2047,AK_KAT,"KAS")&lt;&gt;1,"",IF(COUNTIFS(AK_NAMA,C2047,AK_KAT,"KAS")=1,D2047,C2047)))</f>
        <v/>
      </c>
      <c r="M2047" s="103" t="n">
        <f aca="false">IF(L2047="",0,IF(L2047=D2047,E2047,-E2047))</f>
        <v>0</v>
      </c>
      <c r="N2047" s="102" t="str">
        <f aca="false">IF(L2047="","",IFERROR(INDEX(AK_BARIS,MATCH(L2047,AK_NAMA,0)),"?"))</f>
        <v/>
      </c>
      <c r="O2047" s="102" t="str">
        <f aca="false">IF(C2047="","",IFERROR(INDEX(AK_KEL,MATCH(C2047,AK_NAMA,0)),"?"))</f>
        <v/>
      </c>
      <c r="P2047" s="102" t="str">
        <f aca="false">IF(D2047="","",IFERROR(INDEX(AK_KEL,MATCH(D2047,AK_NAMA,0)),"?"))</f>
        <v/>
      </c>
      <c r="Q2047" s="102" t="n">
        <f aca="false">N(Q2046)+IF(AND(N(E2047)&lt;&gt;0,K2047=TAHUN,N(J2047)&lt;=BLN,OR(C2047=BB_AKUN,D2047=BB_AKUN)),1,0)</f>
        <v>877</v>
      </c>
      <c r="R2047" s="104" t="str">
        <f aca="false">IF(OR(C2047&amp;D2047="",N(E2047)=0),"",IF(OR(O2047="?",P2047="?"),"⚠ akun tidak dikenal",IF(C2047=D2047,"⚠ debet = kredit","")))</f>
        <v/>
      </c>
    </row>
    <row r="2048" customFormat="false" ht="15" hidden="false" customHeight="false" outlineLevel="0" collapsed="false">
      <c r="A2048" s="5"/>
      <c r="B2048" s="83"/>
      <c r="C2048" s="5"/>
      <c r="D2048" s="5"/>
      <c r="E2048" s="44"/>
      <c r="F2048" s="5"/>
      <c r="G2048" s="5"/>
      <c r="H2048" s="5"/>
      <c r="I2048" s="5"/>
      <c r="J2048" s="102" t="str">
        <f aca="false">IF(B2048="","",MONTH(B2048))</f>
        <v/>
      </c>
      <c r="K2048" s="102" t="str">
        <f aca="false">IF(B2048="","",YEAR(B2048))</f>
        <v/>
      </c>
      <c r="L2048" s="102" t="str">
        <f aca="false">IF(N(E2048)=0,"",IF(COUNTIFS(AK_NAMA,C2048,AK_KAT,"KAS")+COUNTIFS(AK_NAMA,D2048,AK_KAT,"KAS")&lt;&gt;1,"",IF(COUNTIFS(AK_NAMA,C2048,AK_KAT,"KAS")=1,D2048,C2048)))</f>
        <v/>
      </c>
      <c r="M2048" s="103" t="n">
        <f aca="false">IF(L2048="",0,IF(L2048=D2048,E2048,-E2048))</f>
        <v>0</v>
      </c>
      <c r="N2048" s="102" t="str">
        <f aca="false">IF(L2048="","",IFERROR(INDEX(AK_BARIS,MATCH(L2048,AK_NAMA,0)),"?"))</f>
        <v/>
      </c>
      <c r="O2048" s="102" t="str">
        <f aca="false">IF(C2048="","",IFERROR(INDEX(AK_KEL,MATCH(C2048,AK_NAMA,0)),"?"))</f>
        <v/>
      </c>
      <c r="P2048" s="102" t="str">
        <f aca="false">IF(D2048="","",IFERROR(INDEX(AK_KEL,MATCH(D2048,AK_NAMA,0)),"?"))</f>
        <v/>
      </c>
      <c r="Q2048" s="102" t="n">
        <f aca="false">N(Q2047)+IF(AND(N(E2048)&lt;&gt;0,K2048=TAHUN,N(J2048)&lt;=BLN,OR(C2048=BB_AKUN,D2048=BB_AKUN)),1,0)</f>
        <v>877</v>
      </c>
      <c r="R2048" s="104" t="str">
        <f aca="false">IF(OR(C2048&amp;D2048="",N(E2048)=0),"",IF(OR(O2048="?",P2048="?"),"⚠ akun tidak dikenal",IF(C2048=D2048,"⚠ debet = kredit","")))</f>
        <v/>
      </c>
    </row>
    <row r="2049" customFormat="false" ht="15" hidden="false" customHeight="false" outlineLevel="0" collapsed="false">
      <c r="A2049" s="5"/>
      <c r="B2049" s="83"/>
      <c r="C2049" s="5"/>
      <c r="D2049" s="5"/>
      <c r="E2049" s="44"/>
      <c r="F2049" s="5"/>
      <c r="G2049" s="5"/>
      <c r="H2049" s="5"/>
      <c r="I2049" s="5"/>
      <c r="J2049" s="102" t="str">
        <f aca="false">IF(B2049="","",MONTH(B2049))</f>
        <v/>
      </c>
      <c r="K2049" s="102" t="str">
        <f aca="false">IF(B2049="","",YEAR(B2049))</f>
        <v/>
      </c>
      <c r="L2049" s="102" t="str">
        <f aca="false">IF(N(E2049)=0,"",IF(COUNTIFS(AK_NAMA,C2049,AK_KAT,"KAS")+COUNTIFS(AK_NAMA,D2049,AK_KAT,"KAS")&lt;&gt;1,"",IF(COUNTIFS(AK_NAMA,C2049,AK_KAT,"KAS")=1,D2049,C2049)))</f>
        <v/>
      </c>
      <c r="M2049" s="103" t="n">
        <f aca="false">IF(L2049="",0,IF(L2049=D2049,E2049,-E2049))</f>
        <v>0</v>
      </c>
      <c r="N2049" s="102" t="str">
        <f aca="false">IF(L2049="","",IFERROR(INDEX(AK_BARIS,MATCH(L2049,AK_NAMA,0)),"?"))</f>
        <v/>
      </c>
      <c r="O2049" s="102" t="str">
        <f aca="false">IF(C2049="","",IFERROR(INDEX(AK_KEL,MATCH(C2049,AK_NAMA,0)),"?"))</f>
        <v/>
      </c>
      <c r="P2049" s="102" t="str">
        <f aca="false">IF(D2049="","",IFERROR(INDEX(AK_KEL,MATCH(D2049,AK_NAMA,0)),"?"))</f>
        <v/>
      </c>
      <c r="Q2049" s="102" t="n">
        <f aca="false">N(Q2048)+IF(AND(N(E2049)&lt;&gt;0,K2049=TAHUN,N(J2049)&lt;=BLN,OR(C2049=BB_AKUN,D2049=BB_AKUN)),1,0)</f>
        <v>877</v>
      </c>
      <c r="R2049" s="104" t="str">
        <f aca="false">IF(OR(C2049&amp;D2049="",N(E2049)=0),"",IF(OR(O2049="?",P2049="?"),"⚠ akun tidak dikenal",IF(C2049=D2049,"⚠ debet = kredit","")))</f>
        <v/>
      </c>
    </row>
    <row r="2050" customFormat="false" ht="15" hidden="false" customHeight="false" outlineLevel="0" collapsed="false">
      <c r="A2050" s="5"/>
      <c r="B2050" s="83"/>
      <c r="C2050" s="5"/>
      <c r="D2050" s="5"/>
      <c r="E2050" s="44"/>
      <c r="F2050" s="5"/>
      <c r="G2050" s="5"/>
      <c r="H2050" s="5"/>
      <c r="I2050" s="5"/>
      <c r="J2050" s="102" t="str">
        <f aca="false">IF(B2050="","",MONTH(B2050))</f>
        <v/>
      </c>
      <c r="K2050" s="102" t="str">
        <f aca="false">IF(B2050="","",YEAR(B2050))</f>
        <v/>
      </c>
      <c r="L2050" s="102" t="str">
        <f aca="false">IF(N(E2050)=0,"",IF(COUNTIFS(AK_NAMA,C2050,AK_KAT,"KAS")+COUNTIFS(AK_NAMA,D2050,AK_KAT,"KAS")&lt;&gt;1,"",IF(COUNTIFS(AK_NAMA,C2050,AK_KAT,"KAS")=1,D2050,C2050)))</f>
        <v/>
      </c>
      <c r="M2050" s="103" t="n">
        <f aca="false">IF(L2050="",0,IF(L2050=D2050,E2050,-E2050))</f>
        <v>0</v>
      </c>
      <c r="N2050" s="102" t="str">
        <f aca="false">IF(L2050="","",IFERROR(INDEX(AK_BARIS,MATCH(L2050,AK_NAMA,0)),"?"))</f>
        <v/>
      </c>
      <c r="O2050" s="102" t="str">
        <f aca="false">IF(C2050="","",IFERROR(INDEX(AK_KEL,MATCH(C2050,AK_NAMA,0)),"?"))</f>
        <v/>
      </c>
      <c r="P2050" s="102" t="str">
        <f aca="false">IF(D2050="","",IFERROR(INDEX(AK_KEL,MATCH(D2050,AK_NAMA,0)),"?"))</f>
        <v/>
      </c>
      <c r="Q2050" s="102" t="n">
        <f aca="false">N(Q2049)+IF(AND(N(E2050)&lt;&gt;0,K2050=TAHUN,N(J2050)&lt;=BLN,OR(C2050=BB_AKUN,D2050=BB_AKUN)),1,0)</f>
        <v>877</v>
      </c>
      <c r="R2050" s="104" t="str">
        <f aca="false">IF(OR(C2050&amp;D2050="",N(E2050)=0),"",IF(OR(O2050="?",P2050="?"),"⚠ akun tidak dikenal",IF(C2050=D2050,"⚠ debet = kredit","")))</f>
        <v/>
      </c>
    </row>
    <row r="2051" customFormat="false" ht="15" hidden="false" customHeight="false" outlineLevel="0" collapsed="false">
      <c r="A2051" s="5"/>
      <c r="B2051" s="83"/>
      <c r="C2051" s="5"/>
      <c r="D2051" s="5"/>
      <c r="E2051" s="44"/>
      <c r="F2051" s="5"/>
      <c r="G2051" s="5"/>
      <c r="H2051" s="5"/>
      <c r="I2051" s="5"/>
      <c r="J2051" s="102" t="str">
        <f aca="false">IF(B2051="","",MONTH(B2051))</f>
        <v/>
      </c>
      <c r="K2051" s="102" t="str">
        <f aca="false">IF(B2051="","",YEAR(B2051))</f>
        <v/>
      </c>
      <c r="L2051" s="102" t="str">
        <f aca="false">IF(N(E2051)=0,"",IF(COUNTIFS(AK_NAMA,C2051,AK_KAT,"KAS")+COUNTIFS(AK_NAMA,D2051,AK_KAT,"KAS")&lt;&gt;1,"",IF(COUNTIFS(AK_NAMA,C2051,AK_KAT,"KAS")=1,D2051,C2051)))</f>
        <v/>
      </c>
      <c r="M2051" s="103" t="n">
        <f aca="false">IF(L2051="",0,IF(L2051=D2051,E2051,-E2051))</f>
        <v>0</v>
      </c>
      <c r="N2051" s="102" t="str">
        <f aca="false">IF(L2051="","",IFERROR(INDEX(AK_BARIS,MATCH(L2051,AK_NAMA,0)),"?"))</f>
        <v/>
      </c>
      <c r="O2051" s="102" t="str">
        <f aca="false">IF(C2051="","",IFERROR(INDEX(AK_KEL,MATCH(C2051,AK_NAMA,0)),"?"))</f>
        <v/>
      </c>
      <c r="P2051" s="102" t="str">
        <f aca="false">IF(D2051="","",IFERROR(INDEX(AK_KEL,MATCH(D2051,AK_NAMA,0)),"?"))</f>
        <v/>
      </c>
      <c r="Q2051" s="102" t="n">
        <f aca="false">N(Q2050)+IF(AND(N(E2051)&lt;&gt;0,K2051=TAHUN,N(J2051)&lt;=BLN,OR(C2051=BB_AKUN,D2051=BB_AKUN)),1,0)</f>
        <v>877</v>
      </c>
      <c r="R2051" s="104" t="str">
        <f aca="false">IF(OR(C2051&amp;D2051="",N(E2051)=0),"",IF(OR(O2051="?",P2051="?"),"⚠ akun tidak dikenal",IF(C2051=D2051,"⚠ debet = kredit","")))</f>
        <v/>
      </c>
    </row>
    <row r="2052" customFormat="false" ht="15" hidden="false" customHeight="false" outlineLevel="0" collapsed="false">
      <c r="A2052" s="5"/>
      <c r="B2052" s="83"/>
      <c r="C2052" s="5"/>
      <c r="D2052" s="5"/>
      <c r="E2052" s="44"/>
      <c r="F2052" s="5"/>
      <c r="G2052" s="5"/>
      <c r="H2052" s="5"/>
      <c r="I2052" s="5"/>
      <c r="J2052" s="102" t="str">
        <f aca="false">IF(B2052="","",MONTH(B2052))</f>
        <v/>
      </c>
      <c r="K2052" s="102" t="str">
        <f aca="false">IF(B2052="","",YEAR(B2052))</f>
        <v/>
      </c>
      <c r="L2052" s="102" t="str">
        <f aca="false">IF(N(E2052)=0,"",IF(COUNTIFS(AK_NAMA,C2052,AK_KAT,"KAS")+COUNTIFS(AK_NAMA,D2052,AK_KAT,"KAS")&lt;&gt;1,"",IF(COUNTIFS(AK_NAMA,C2052,AK_KAT,"KAS")=1,D2052,C2052)))</f>
        <v/>
      </c>
      <c r="M2052" s="103" t="n">
        <f aca="false">IF(L2052="",0,IF(L2052=D2052,E2052,-E2052))</f>
        <v>0</v>
      </c>
      <c r="N2052" s="102" t="str">
        <f aca="false">IF(L2052="","",IFERROR(INDEX(AK_BARIS,MATCH(L2052,AK_NAMA,0)),"?"))</f>
        <v/>
      </c>
      <c r="O2052" s="102" t="str">
        <f aca="false">IF(C2052="","",IFERROR(INDEX(AK_KEL,MATCH(C2052,AK_NAMA,0)),"?"))</f>
        <v/>
      </c>
      <c r="P2052" s="102" t="str">
        <f aca="false">IF(D2052="","",IFERROR(INDEX(AK_KEL,MATCH(D2052,AK_NAMA,0)),"?"))</f>
        <v/>
      </c>
      <c r="Q2052" s="102" t="n">
        <f aca="false">N(Q2051)+IF(AND(N(E2052)&lt;&gt;0,K2052=TAHUN,N(J2052)&lt;=BLN,OR(C2052=BB_AKUN,D2052=BB_AKUN)),1,0)</f>
        <v>877</v>
      </c>
      <c r="R2052" s="104" t="str">
        <f aca="false">IF(OR(C2052&amp;D2052="",N(E2052)=0),"",IF(OR(O2052="?",P2052="?"),"⚠ akun tidak dikenal",IF(C2052=D2052,"⚠ debet = kredit","")))</f>
        <v/>
      </c>
    </row>
    <row r="2053" customFormat="false" ht="15" hidden="false" customHeight="false" outlineLevel="0" collapsed="false">
      <c r="A2053" s="5"/>
      <c r="B2053" s="83"/>
      <c r="C2053" s="5"/>
      <c r="D2053" s="5"/>
      <c r="E2053" s="44"/>
      <c r="F2053" s="5"/>
      <c r="G2053" s="5"/>
      <c r="H2053" s="5"/>
      <c r="I2053" s="5"/>
      <c r="J2053" s="102" t="str">
        <f aca="false">IF(B2053="","",MONTH(B2053))</f>
        <v/>
      </c>
      <c r="K2053" s="102" t="str">
        <f aca="false">IF(B2053="","",YEAR(B2053))</f>
        <v/>
      </c>
      <c r="L2053" s="102" t="str">
        <f aca="false">IF(N(E2053)=0,"",IF(COUNTIFS(AK_NAMA,C2053,AK_KAT,"KAS")+COUNTIFS(AK_NAMA,D2053,AK_KAT,"KAS")&lt;&gt;1,"",IF(COUNTIFS(AK_NAMA,C2053,AK_KAT,"KAS")=1,D2053,C2053)))</f>
        <v/>
      </c>
      <c r="M2053" s="103" t="n">
        <f aca="false">IF(L2053="",0,IF(L2053=D2053,E2053,-E2053))</f>
        <v>0</v>
      </c>
      <c r="N2053" s="102" t="str">
        <f aca="false">IF(L2053="","",IFERROR(INDEX(AK_BARIS,MATCH(L2053,AK_NAMA,0)),"?"))</f>
        <v/>
      </c>
      <c r="O2053" s="102" t="str">
        <f aca="false">IF(C2053="","",IFERROR(INDEX(AK_KEL,MATCH(C2053,AK_NAMA,0)),"?"))</f>
        <v/>
      </c>
      <c r="P2053" s="102" t="str">
        <f aca="false">IF(D2053="","",IFERROR(INDEX(AK_KEL,MATCH(D2053,AK_NAMA,0)),"?"))</f>
        <v/>
      </c>
      <c r="Q2053" s="102" t="n">
        <f aca="false">N(Q2052)+IF(AND(N(E2053)&lt;&gt;0,K2053=TAHUN,N(J2053)&lt;=BLN,OR(C2053=BB_AKUN,D2053=BB_AKUN)),1,0)</f>
        <v>877</v>
      </c>
      <c r="R2053" s="104" t="str">
        <f aca="false">IF(OR(C2053&amp;D2053="",N(E2053)=0),"",IF(OR(O2053="?",P2053="?"),"⚠ akun tidak dikenal",IF(C2053=D2053,"⚠ debet = kredit","")))</f>
        <v/>
      </c>
    </row>
    <row r="2054" customFormat="false" ht="15" hidden="false" customHeight="false" outlineLevel="0" collapsed="false">
      <c r="A2054" s="5"/>
      <c r="B2054" s="83"/>
      <c r="C2054" s="5"/>
      <c r="D2054" s="5"/>
      <c r="E2054" s="44"/>
      <c r="F2054" s="5"/>
      <c r="G2054" s="5"/>
      <c r="H2054" s="5"/>
      <c r="I2054" s="5"/>
      <c r="J2054" s="102" t="str">
        <f aca="false">IF(B2054="","",MONTH(B2054))</f>
        <v/>
      </c>
      <c r="K2054" s="102" t="str">
        <f aca="false">IF(B2054="","",YEAR(B2054))</f>
        <v/>
      </c>
      <c r="L2054" s="102" t="str">
        <f aca="false">IF(N(E2054)=0,"",IF(COUNTIFS(AK_NAMA,C2054,AK_KAT,"KAS")+COUNTIFS(AK_NAMA,D2054,AK_KAT,"KAS")&lt;&gt;1,"",IF(COUNTIFS(AK_NAMA,C2054,AK_KAT,"KAS")=1,D2054,C2054)))</f>
        <v/>
      </c>
      <c r="M2054" s="103" t="n">
        <f aca="false">IF(L2054="",0,IF(L2054=D2054,E2054,-E2054))</f>
        <v>0</v>
      </c>
      <c r="N2054" s="102" t="str">
        <f aca="false">IF(L2054="","",IFERROR(INDEX(AK_BARIS,MATCH(L2054,AK_NAMA,0)),"?"))</f>
        <v/>
      </c>
      <c r="O2054" s="102" t="str">
        <f aca="false">IF(C2054="","",IFERROR(INDEX(AK_KEL,MATCH(C2054,AK_NAMA,0)),"?"))</f>
        <v/>
      </c>
      <c r="P2054" s="102" t="str">
        <f aca="false">IF(D2054="","",IFERROR(INDEX(AK_KEL,MATCH(D2054,AK_NAMA,0)),"?"))</f>
        <v/>
      </c>
      <c r="Q2054" s="102" t="n">
        <f aca="false">N(Q2053)+IF(AND(N(E2054)&lt;&gt;0,K2054=TAHUN,N(J2054)&lt;=BLN,OR(C2054=BB_AKUN,D2054=BB_AKUN)),1,0)</f>
        <v>877</v>
      </c>
      <c r="R2054" s="104" t="str">
        <f aca="false">IF(OR(C2054&amp;D2054="",N(E2054)=0),"",IF(OR(O2054="?",P2054="?"),"⚠ akun tidak dikenal",IF(C2054=D2054,"⚠ debet = kredit","")))</f>
        <v/>
      </c>
    </row>
    <row r="2055" customFormat="false" ht="15" hidden="false" customHeight="false" outlineLevel="0" collapsed="false">
      <c r="A2055" s="5"/>
      <c r="B2055" s="83"/>
      <c r="C2055" s="5"/>
      <c r="D2055" s="5"/>
      <c r="E2055" s="44"/>
      <c r="F2055" s="5"/>
      <c r="G2055" s="5"/>
      <c r="H2055" s="5"/>
      <c r="I2055" s="5"/>
      <c r="J2055" s="102" t="str">
        <f aca="false">IF(B2055="","",MONTH(B2055))</f>
        <v/>
      </c>
      <c r="K2055" s="102" t="str">
        <f aca="false">IF(B2055="","",YEAR(B2055))</f>
        <v/>
      </c>
      <c r="L2055" s="102" t="str">
        <f aca="false">IF(N(E2055)=0,"",IF(COUNTIFS(AK_NAMA,C2055,AK_KAT,"KAS")+COUNTIFS(AK_NAMA,D2055,AK_KAT,"KAS")&lt;&gt;1,"",IF(COUNTIFS(AK_NAMA,C2055,AK_KAT,"KAS")=1,D2055,C2055)))</f>
        <v/>
      </c>
      <c r="M2055" s="103" t="n">
        <f aca="false">IF(L2055="",0,IF(L2055=D2055,E2055,-E2055))</f>
        <v>0</v>
      </c>
      <c r="N2055" s="102" t="str">
        <f aca="false">IF(L2055="","",IFERROR(INDEX(AK_BARIS,MATCH(L2055,AK_NAMA,0)),"?"))</f>
        <v/>
      </c>
      <c r="O2055" s="102" t="str">
        <f aca="false">IF(C2055="","",IFERROR(INDEX(AK_KEL,MATCH(C2055,AK_NAMA,0)),"?"))</f>
        <v/>
      </c>
      <c r="P2055" s="102" t="str">
        <f aca="false">IF(D2055="","",IFERROR(INDEX(AK_KEL,MATCH(D2055,AK_NAMA,0)),"?"))</f>
        <v/>
      </c>
      <c r="Q2055" s="102" t="n">
        <f aca="false">N(Q2054)+IF(AND(N(E2055)&lt;&gt;0,K2055=TAHUN,N(J2055)&lt;=BLN,OR(C2055=BB_AKUN,D2055=BB_AKUN)),1,0)</f>
        <v>877</v>
      </c>
      <c r="R2055" s="104" t="str">
        <f aca="false">IF(OR(C2055&amp;D2055="",N(E2055)=0),"",IF(OR(O2055="?",P2055="?"),"⚠ akun tidak dikenal",IF(C2055=D2055,"⚠ debet = kredit","")))</f>
        <v/>
      </c>
    </row>
    <row r="2056" customFormat="false" ht="15" hidden="false" customHeight="false" outlineLevel="0" collapsed="false">
      <c r="A2056" s="5"/>
      <c r="B2056" s="83"/>
      <c r="C2056" s="5"/>
      <c r="D2056" s="5"/>
      <c r="E2056" s="44"/>
      <c r="F2056" s="5"/>
      <c r="G2056" s="5"/>
      <c r="H2056" s="5"/>
      <c r="I2056" s="5"/>
      <c r="J2056" s="102" t="str">
        <f aca="false">IF(B2056="","",MONTH(B2056))</f>
        <v/>
      </c>
      <c r="K2056" s="102" t="str">
        <f aca="false">IF(B2056="","",YEAR(B2056))</f>
        <v/>
      </c>
      <c r="L2056" s="102" t="str">
        <f aca="false">IF(N(E2056)=0,"",IF(COUNTIFS(AK_NAMA,C2056,AK_KAT,"KAS")+COUNTIFS(AK_NAMA,D2056,AK_KAT,"KAS")&lt;&gt;1,"",IF(COUNTIFS(AK_NAMA,C2056,AK_KAT,"KAS")=1,D2056,C2056)))</f>
        <v/>
      </c>
      <c r="M2056" s="103" t="n">
        <f aca="false">IF(L2056="",0,IF(L2056=D2056,E2056,-E2056))</f>
        <v>0</v>
      </c>
      <c r="N2056" s="102" t="str">
        <f aca="false">IF(L2056="","",IFERROR(INDEX(AK_BARIS,MATCH(L2056,AK_NAMA,0)),"?"))</f>
        <v/>
      </c>
      <c r="O2056" s="102" t="str">
        <f aca="false">IF(C2056="","",IFERROR(INDEX(AK_KEL,MATCH(C2056,AK_NAMA,0)),"?"))</f>
        <v/>
      </c>
      <c r="P2056" s="102" t="str">
        <f aca="false">IF(D2056="","",IFERROR(INDEX(AK_KEL,MATCH(D2056,AK_NAMA,0)),"?"))</f>
        <v/>
      </c>
      <c r="Q2056" s="102" t="n">
        <f aca="false">N(Q2055)+IF(AND(N(E2056)&lt;&gt;0,K2056=TAHUN,N(J2056)&lt;=BLN,OR(C2056=BB_AKUN,D2056=BB_AKUN)),1,0)</f>
        <v>877</v>
      </c>
      <c r="R2056" s="104" t="str">
        <f aca="false">IF(OR(C2056&amp;D2056="",N(E2056)=0),"",IF(OR(O2056="?",P2056="?"),"⚠ akun tidak dikenal",IF(C2056=D2056,"⚠ debet = kredit","")))</f>
        <v/>
      </c>
    </row>
    <row r="2057" customFormat="false" ht="15" hidden="false" customHeight="false" outlineLevel="0" collapsed="false">
      <c r="A2057" s="5"/>
      <c r="B2057" s="83"/>
      <c r="C2057" s="5"/>
      <c r="D2057" s="5"/>
      <c r="E2057" s="44"/>
      <c r="F2057" s="5"/>
      <c r="G2057" s="5"/>
      <c r="H2057" s="5"/>
      <c r="I2057" s="5"/>
      <c r="J2057" s="102" t="str">
        <f aca="false">IF(B2057="","",MONTH(B2057))</f>
        <v/>
      </c>
      <c r="K2057" s="102" t="str">
        <f aca="false">IF(B2057="","",YEAR(B2057))</f>
        <v/>
      </c>
      <c r="L2057" s="102" t="str">
        <f aca="false">IF(N(E2057)=0,"",IF(COUNTIFS(AK_NAMA,C2057,AK_KAT,"KAS")+COUNTIFS(AK_NAMA,D2057,AK_KAT,"KAS")&lt;&gt;1,"",IF(COUNTIFS(AK_NAMA,C2057,AK_KAT,"KAS")=1,D2057,C2057)))</f>
        <v/>
      </c>
      <c r="M2057" s="103" t="n">
        <f aca="false">IF(L2057="",0,IF(L2057=D2057,E2057,-E2057))</f>
        <v>0</v>
      </c>
      <c r="N2057" s="102" t="str">
        <f aca="false">IF(L2057="","",IFERROR(INDEX(AK_BARIS,MATCH(L2057,AK_NAMA,0)),"?"))</f>
        <v/>
      </c>
      <c r="O2057" s="102" t="str">
        <f aca="false">IF(C2057="","",IFERROR(INDEX(AK_KEL,MATCH(C2057,AK_NAMA,0)),"?"))</f>
        <v/>
      </c>
      <c r="P2057" s="102" t="str">
        <f aca="false">IF(D2057="","",IFERROR(INDEX(AK_KEL,MATCH(D2057,AK_NAMA,0)),"?"))</f>
        <v/>
      </c>
      <c r="Q2057" s="102" t="n">
        <f aca="false">N(Q2056)+IF(AND(N(E2057)&lt;&gt;0,K2057=TAHUN,N(J2057)&lt;=BLN,OR(C2057=BB_AKUN,D2057=BB_AKUN)),1,0)</f>
        <v>877</v>
      </c>
      <c r="R2057" s="104" t="str">
        <f aca="false">IF(OR(C2057&amp;D2057="",N(E2057)=0),"",IF(OR(O2057="?",P2057="?"),"⚠ akun tidak dikenal",IF(C2057=D2057,"⚠ debet = kredit","")))</f>
        <v/>
      </c>
    </row>
    <row r="2058" customFormat="false" ht="15" hidden="false" customHeight="false" outlineLevel="0" collapsed="false">
      <c r="A2058" s="5"/>
      <c r="B2058" s="83"/>
      <c r="C2058" s="5"/>
      <c r="D2058" s="5"/>
      <c r="E2058" s="44"/>
      <c r="F2058" s="5"/>
      <c r="G2058" s="5"/>
      <c r="H2058" s="5"/>
      <c r="I2058" s="5"/>
      <c r="J2058" s="102" t="str">
        <f aca="false">IF(B2058="","",MONTH(B2058))</f>
        <v/>
      </c>
      <c r="K2058" s="102" t="str">
        <f aca="false">IF(B2058="","",YEAR(B2058))</f>
        <v/>
      </c>
      <c r="L2058" s="102" t="str">
        <f aca="false">IF(N(E2058)=0,"",IF(COUNTIFS(AK_NAMA,C2058,AK_KAT,"KAS")+COUNTIFS(AK_NAMA,D2058,AK_KAT,"KAS")&lt;&gt;1,"",IF(COUNTIFS(AK_NAMA,C2058,AK_KAT,"KAS")=1,D2058,C2058)))</f>
        <v/>
      </c>
      <c r="M2058" s="103" t="n">
        <f aca="false">IF(L2058="",0,IF(L2058=D2058,E2058,-E2058))</f>
        <v>0</v>
      </c>
      <c r="N2058" s="102" t="str">
        <f aca="false">IF(L2058="","",IFERROR(INDEX(AK_BARIS,MATCH(L2058,AK_NAMA,0)),"?"))</f>
        <v/>
      </c>
      <c r="O2058" s="102" t="str">
        <f aca="false">IF(C2058="","",IFERROR(INDEX(AK_KEL,MATCH(C2058,AK_NAMA,0)),"?"))</f>
        <v/>
      </c>
      <c r="P2058" s="102" t="str">
        <f aca="false">IF(D2058="","",IFERROR(INDEX(AK_KEL,MATCH(D2058,AK_NAMA,0)),"?"))</f>
        <v/>
      </c>
      <c r="Q2058" s="102" t="n">
        <f aca="false">N(Q2057)+IF(AND(N(E2058)&lt;&gt;0,K2058=TAHUN,N(J2058)&lt;=BLN,OR(C2058=BB_AKUN,D2058=BB_AKUN)),1,0)</f>
        <v>877</v>
      </c>
      <c r="R2058" s="104" t="str">
        <f aca="false">IF(OR(C2058&amp;D2058="",N(E2058)=0),"",IF(OR(O2058="?",P2058="?"),"⚠ akun tidak dikenal",IF(C2058=D2058,"⚠ debet = kredit","")))</f>
        <v/>
      </c>
    </row>
    <row r="2059" customFormat="false" ht="15" hidden="false" customHeight="false" outlineLevel="0" collapsed="false">
      <c r="A2059" s="5"/>
      <c r="B2059" s="83"/>
      <c r="C2059" s="5"/>
      <c r="D2059" s="5"/>
      <c r="E2059" s="44"/>
      <c r="F2059" s="5"/>
      <c r="G2059" s="5"/>
      <c r="H2059" s="5"/>
      <c r="I2059" s="5"/>
      <c r="J2059" s="102" t="str">
        <f aca="false">IF(B2059="","",MONTH(B2059))</f>
        <v/>
      </c>
      <c r="K2059" s="102" t="str">
        <f aca="false">IF(B2059="","",YEAR(B2059))</f>
        <v/>
      </c>
      <c r="L2059" s="102" t="str">
        <f aca="false">IF(N(E2059)=0,"",IF(COUNTIFS(AK_NAMA,C2059,AK_KAT,"KAS")+COUNTIFS(AK_NAMA,D2059,AK_KAT,"KAS")&lt;&gt;1,"",IF(COUNTIFS(AK_NAMA,C2059,AK_KAT,"KAS")=1,D2059,C2059)))</f>
        <v/>
      </c>
      <c r="M2059" s="103" t="n">
        <f aca="false">IF(L2059="",0,IF(L2059=D2059,E2059,-E2059))</f>
        <v>0</v>
      </c>
      <c r="N2059" s="102" t="str">
        <f aca="false">IF(L2059="","",IFERROR(INDEX(AK_BARIS,MATCH(L2059,AK_NAMA,0)),"?"))</f>
        <v/>
      </c>
      <c r="O2059" s="102" t="str">
        <f aca="false">IF(C2059="","",IFERROR(INDEX(AK_KEL,MATCH(C2059,AK_NAMA,0)),"?"))</f>
        <v/>
      </c>
      <c r="P2059" s="102" t="str">
        <f aca="false">IF(D2059="","",IFERROR(INDEX(AK_KEL,MATCH(D2059,AK_NAMA,0)),"?"))</f>
        <v/>
      </c>
      <c r="Q2059" s="102" t="n">
        <f aca="false">N(Q2058)+IF(AND(N(E2059)&lt;&gt;0,K2059=TAHUN,N(J2059)&lt;=BLN,OR(C2059=BB_AKUN,D2059=BB_AKUN)),1,0)</f>
        <v>877</v>
      </c>
      <c r="R2059" s="104" t="str">
        <f aca="false">IF(OR(C2059&amp;D2059="",N(E2059)=0),"",IF(OR(O2059="?",P2059="?"),"⚠ akun tidak dikenal",IF(C2059=D2059,"⚠ debet = kredit","")))</f>
        <v/>
      </c>
    </row>
    <row r="2060" customFormat="false" ht="15" hidden="false" customHeight="false" outlineLevel="0" collapsed="false">
      <c r="A2060" s="5"/>
      <c r="B2060" s="83"/>
      <c r="C2060" s="5"/>
      <c r="D2060" s="5"/>
      <c r="E2060" s="44"/>
      <c r="F2060" s="5"/>
      <c r="G2060" s="5"/>
      <c r="H2060" s="5"/>
      <c r="I2060" s="5"/>
      <c r="J2060" s="102" t="str">
        <f aca="false">IF(B2060="","",MONTH(B2060))</f>
        <v/>
      </c>
      <c r="K2060" s="102" t="str">
        <f aca="false">IF(B2060="","",YEAR(B2060))</f>
        <v/>
      </c>
      <c r="L2060" s="102" t="str">
        <f aca="false">IF(N(E2060)=0,"",IF(COUNTIFS(AK_NAMA,C2060,AK_KAT,"KAS")+COUNTIFS(AK_NAMA,D2060,AK_KAT,"KAS")&lt;&gt;1,"",IF(COUNTIFS(AK_NAMA,C2060,AK_KAT,"KAS")=1,D2060,C2060)))</f>
        <v/>
      </c>
      <c r="M2060" s="103" t="n">
        <f aca="false">IF(L2060="",0,IF(L2060=D2060,E2060,-E2060))</f>
        <v>0</v>
      </c>
      <c r="N2060" s="102" t="str">
        <f aca="false">IF(L2060="","",IFERROR(INDEX(AK_BARIS,MATCH(L2060,AK_NAMA,0)),"?"))</f>
        <v/>
      </c>
      <c r="O2060" s="102" t="str">
        <f aca="false">IF(C2060="","",IFERROR(INDEX(AK_KEL,MATCH(C2060,AK_NAMA,0)),"?"))</f>
        <v/>
      </c>
      <c r="P2060" s="102" t="str">
        <f aca="false">IF(D2060="","",IFERROR(INDEX(AK_KEL,MATCH(D2060,AK_NAMA,0)),"?"))</f>
        <v/>
      </c>
      <c r="Q2060" s="102" t="n">
        <f aca="false">N(Q2059)+IF(AND(N(E2060)&lt;&gt;0,K2060=TAHUN,N(J2060)&lt;=BLN,OR(C2060=BB_AKUN,D2060=BB_AKUN)),1,0)</f>
        <v>877</v>
      </c>
      <c r="R2060" s="104" t="str">
        <f aca="false">IF(OR(C2060&amp;D2060="",N(E2060)=0),"",IF(OR(O2060="?",P2060="?"),"⚠ akun tidak dikenal",IF(C2060=D2060,"⚠ debet = kredit","")))</f>
        <v/>
      </c>
    </row>
    <row r="2061" customFormat="false" ht="15" hidden="false" customHeight="false" outlineLevel="0" collapsed="false">
      <c r="A2061" s="5"/>
      <c r="B2061" s="83"/>
      <c r="C2061" s="5"/>
      <c r="D2061" s="5"/>
      <c r="E2061" s="44"/>
      <c r="F2061" s="5"/>
      <c r="G2061" s="5"/>
      <c r="H2061" s="5"/>
      <c r="I2061" s="5"/>
      <c r="J2061" s="102" t="str">
        <f aca="false">IF(B2061="","",MONTH(B2061))</f>
        <v/>
      </c>
      <c r="K2061" s="102" t="str">
        <f aca="false">IF(B2061="","",YEAR(B2061))</f>
        <v/>
      </c>
      <c r="L2061" s="102" t="str">
        <f aca="false">IF(N(E2061)=0,"",IF(COUNTIFS(AK_NAMA,C2061,AK_KAT,"KAS")+COUNTIFS(AK_NAMA,D2061,AK_KAT,"KAS")&lt;&gt;1,"",IF(COUNTIFS(AK_NAMA,C2061,AK_KAT,"KAS")=1,D2061,C2061)))</f>
        <v/>
      </c>
      <c r="M2061" s="103" t="n">
        <f aca="false">IF(L2061="",0,IF(L2061=D2061,E2061,-E2061))</f>
        <v>0</v>
      </c>
      <c r="N2061" s="102" t="str">
        <f aca="false">IF(L2061="","",IFERROR(INDEX(AK_BARIS,MATCH(L2061,AK_NAMA,0)),"?"))</f>
        <v/>
      </c>
      <c r="O2061" s="102" t="str">
        <f aca="false">IF(C2061="","",IFERROR(INDEX(AK_KEL,MATCH(C2061,AK_NAMA,0)),"?"))</f>
        <v/>
      </c>
      <c r="P2061" s="102" t="str">
        <f aca="false">IF(D2061="","",IFERROR(INDEX(AK_KEL,MATCH(D2061,AK_NAMA,0)),"?"))</f>
        <v/>
      </c>
      <c r="Q2061" s="102" t="n">
        <f aca="false">N(Q2060)+IF(AND(N(E2061)&lt;&gt;0,K2061=TAHUN,N(J2061)&lt;=BLN,OR(C2061=BB_AKUN,D2061=BB_AKUN)),1,0)</f>
        <v>877</v>
      </c>
      <c r="R2061" s="104" t="str">
        <f aca="false">IF(OR(C2061&amp;D2061="",N(E2061)=0),"",IF(OR(O2061="?",P2061="?"),"⚠ akun tidak dikenal",IF(C2061=D2061,"⚠ debet = kredit","")))</f>
        <v/>
      </c>
    </row>
    <row r="2062" customFormat="false" ht="15" hidden="false" customHeight="false" outlineLevel="0" collapsed="false">
      <c r="A2062" s="5"/>
      <c r="B2062" s="83"/>
      <c r="C2062" s="5"/>
      <c r="D2062" s="5"/>
      <c r="E2062" s="44"/>
      <c r="F2062" s="5"/>
      <c r="G2062" s="5"/>
      <c r="H2062" s="5"/>
      <c r="I2062" s="5"/>
      <c r="J2062" s="102" t="str">
        <f aca="false">IF(B2062="","",MONTH(B2062))</f>
        <v/>
      </c>
      <c r="K2062" s="102" t="str">
        <f aca="false">IF(B2062="","",YEAR(B2062))</f>
        <v/>
      </c>
      <c r="L2062" s="102" t="str">
        <f aca="false">IF(N(E2062)=0,"",IF(COUNTIFS(AK_NAMA,C2062,AK_KAT,"KAS")+COUNTIFS(AK_NAMA,D2062,AK_KAT,"KAS")&lt;&gt;1,"",IF(COUNTIFS(AK_NAMA,C2062,AK_KAT,"KAS")=1,D2062,C2062)))</f>
        <v/>
      </c>
      <c r="M2062" s="103" t="n">
        <f aca="false">IF(L2062="",0,IF(L2062=D2062,E2062,-E2062))</f>
        <v>0</v>
      </c>
      <c r="N2062" s="102" t="str">
        <f aca="false">IF(L2062="","",IFERROR(INDEX(AK_BARIS,MATCH(L2062,AK_NAMA,0)),"?"))</f>
        <v/>
      </c>
      <c r="O2062" s="102" t="str">
        <f aca="false">IF(C2062="","",IFERROR(INDEX(AK_KEL,MATCH(C2062,AK_NAMA,0)),"?"))</f>
        <v/>
      </c>
      <c r="P2062" s="102" t="str">
        <f aca="false">IF(D2062="","",IFERROR(INDEX(AK_KEL,MATCH(D2062,AK_NAMA,0)),"?"))</f>
        <v/>
      </c>
      <c r="Q2062" s="102" t="n">
        <f aca="false">N(Q2061)+IF(AND(N(E2062)&lt;&gt;0,K2062=TAHUN,N(J2062)&lt;=BLN,OR(C2062=BB_AKUN,D2062=BB_AKUN)),1,0)</f>
        <v>877</v>
      </c>
      <c r="R2062" s="104" t="str">
        <f aca="false">IF(OR(C2062&amp;D2062="",N(E2062)=0),"",IF(OR(O2062="?",P2062="?"),"⚠ akun tidak dikenal",IF(C2062=D2062,"⚠ debet = kredit","")))</f>
        <v/>
      </c>
    </row>
    <row r="2063" customFormat="false" ht="15" hidden="false" customHeight="false" outlineLevel="0" collapsed="false">
      <c r="A2063" s="5"/>
      <c r="B2063" s="83"/>
      <c r="C2063" s="5"/>
      <c r="D2063" s="5"/>
      <c r="E2063" s="44"/>
      <c r="F2063" s="5"/>
      <c r="G2063" s="5"/>
      <c r="H2063" s="5"/>
      <c r="I2063" s="5"/>
      <c r="J2063" s="102" t="str">
        <f aca="false">IF(B2063="","",MONTH(B2063))</f>
        <v/>
      </c>
      <c r="K2063" s="102" t="str">
        <f aca="false">IF(B2063="","",YEAR(B2063))</f>
        <v/>
      </c>
      <c r="L2063" s="102" t="str">
        <f aca="false">IF(N(E2063)=0,"",IF(COUNTIFS(AK_NAMA,C2063,AK_KAT,"KAS")+COUNTIFS(AK_NAMA,D2063,AK_KAT,"KAS")&lt;&gt;1,"",IF(COUNTIFS(AK_NAMA,C2063,AK_KAT,"KAS")=1,D2063,C2063)))</f>
        <v/>
      </c>
      <c r="M2063" s="103" t="n">
        <f aca="false">IF(L2063="",0,IF(L2063=D2063,E2063,-E2063))</f>
        <v>0</v>
      </c>
      <c r="N2063" s="102" t="str">
        <f aca="false">IF(L2063="","",IFERROR(INDEX(AK_BARIS,MATCH(L2063,AK_NAMA,0)),"?"))</f>
        <v/>
      </c>
      <c r="O2063" s="102" t="str">
        <f aca="false">IF(C2063="","",IFERROR(INDEX(AK_KEL,MATCH(C2063,AK_NAMA,0)),"?"))</f>
        <v/>
      </c>
      <c r="P2063" s="102" t="str">
        <f aca="false">IF(D2063="","",IFERROR(INDEX(AK_KEL,MATCH(D2063,AK_NAMA,0)),"?"))</f>
        <v/>
      </c>
      <c r="Q2063" s="102" t="n">
        <f aca="false">N(Q2062)+IF(AND(N(E2063)&lt;&gt;0,K2063=TAHUN,N(J2063)&lt;=BLN,OR(C2063=BB_AKUN,D2063=BB_AKUN)),1,0)</f>
        <v>877</v>
      </c>
      <c r="R2063" s="104" t="str">
        <f aca="false">IF(OR(C2063&amp;D2063="",N(E2063)=0),"",IF(OR(O2063="?",P2063="?"),"⚠ akun tidak dikenal",IF(C2063=D2063,"⚠ debet = kredit","")))</f>
        <v/>
      </c>
    </row>
    <row r="2064" customFormat="false" ht="15" hidden="false" customHeight="false" outlineLevel="0" collapsed="false">
      <c r="A2064" s="5"/>
      <c r="B2064" s="83"/>
      <c r="C2064" s="5"/>
      <c r="D2064" s="5"/>
      <c r="E2064" s="44"/>
      <c r="F2064" s="5"/>
      <c r="G2064" s="5"/>
      <c r="H2064" s="5"/>
      <c r="I2064" s="5"/>
      <c r="J2064" s="102" t="str">
        <f aca="false">IF(B2064="","",MONTH(B2064))</f>
        <v/>
      </c>
      <c r="K2064" s="102" t="str">
        <f aca="false">IF(B2064="","",YEAR(B2064))</f>
        <v/>
      </c>
      <c r="L2064" s="102" t="str">
        <f aca="false">IF(N(E2064)=0,"",IF(COUNTIFS(AK_NAMA,C2064,AK_KAT,"KAS")+COUNTIFS(AK_NAMA,D2064,AK_KAT,"KAS")&lt;&gt;1,"",IF(COUNTIFS(AK_NAMA,C2064,AK_KAT,"KAS")=1,D2064,C2064)))</f>
        <v/>
      </c>
      <c r="M2064" s="103" t="n">
        <f aca="false">IF(L2064="",0,IF(L2064=D2064,E2064,-E2064))</f>
        <v>0</v>
      </c>
      <c r="N2064" s="102" t="str">
        <f aca="false">IF(L2064="","",IFERROR(INDEX(AK_BARIS,MATCH(L2064,AK_NAMA,0)),"?"))</f>
        <v/>
      </c>
      <c r="O2064" s="102" t="str">
        <f aca="false">IF(C2064="","",IFERROR(INDEX(AK_KEL,MATCH(C2064,AK_NAMA,0)),"?"))</f>
        <v/>
      </c>
      <c r="P2064" s="102" t="str">
        <f aca="false">IF(D2064="","",IFERROR(INDEX(AK_KEL,MATCH(D2064,AK_NAMA,0)),"?"))</f>
        <v/>
      </c>
      <c r="Q2064" s="102" t="n">
        <f aca="false">N(Q2063)+IF(AND(N(E2064)&lt;&gt;0,K2064=TAHUN,N(J2064)&lt;=BLN,OR(C2064=BB_AKUN,D2064=BB_AKUN)),1,0)</f>
        <v>877</v>
      </c>
      <c r="R2064" s="104" t="str">
        <f aca="false">IF(OR(C2064&amp;D2064="",N(E2064)=0),"",IF(OR(O2064="?",P2064="?"),"⚠ akun tidak dikenal",IF(C2064=D2064,"⚠ debet = kredit","")))</f>
        <v/>
      </c>
    </row>
    <row r="2065" customFormat="false" ht="15" hidden="false" customHeight="false" outlineLevel="0" collapsed="false">
      <c r="A2065" s="5"/>
      <c r="B2065" s="83"/>
      <c r="C2065" s="5"/>
      <c r="D2065" s="5"/>
      <c r="E2065" s="44"/>
      <c r="F2065" s="5"/>
      <c r="G2065" s="5"/>
      <c r="H2065" s="5"/>
      <c r="I2065" s="5"/>
      <c r="J2065" s="102" t="str">
        <f aca="false">IF(B2065="","",MONTH(B2065))</f>
        <v/>
      </c>
      <c r="K2065" s="102" t="str">
        <f aca="false">IF(B2065="","",YEAR(B2065))</f>
        <v/>
      </c>
      <c r="L2065" s="102" t="str">
        <f aca="false">IF(N(E2065)=0,"",IF(COUNTIFS(AK_NAMA,C2065,AK_KAT,"KAS")+COUNTIFS(AK_NAMA,D2065,AK_KAT,"KAS")&lt;&gt;1,"",IF(COUNTIFS(AK_NAMA,C2065,AK_KAT,"KAS")=1,D2065,C2065)))</f>
        <v/>
      </c>
      <c r="M2065" s="103" t="n">
        <f aca="false">IF(L2065="",0,IF(L2065=D2065,E2065,-E2065))</f>
        <v>0</v>
      </c>
      <c r="N2065" s="102" t="str">
        <f aca="false">IF(L2065="","",IFERROR(INDEX(AK_BARIS,MATCH(L2065,AK_NAMA,0)),"?"))</f>
        <v/>
      </c>
      <c r="O2065" s="102" t="str">
        <f aca="false">IF(C2065="","",IFERROR(INDEX(AK_KEL,MATCH(C2065,AK_NAMA,0)),"?"))</f>
        <v/>
      </c>
      <c r="P2065" s="102" t="str">
        <f aca="false">IF(D2065="","",IFERROR(INDEX(AK_KEL,MATCH(D2065,AK_NAMA,0)),"?"))</f>
        <v/>
      </c>
      <c r="Q2065" s="102" t="n">
        <f aca="false">N(Q2064)+IF(AND(N(E2065)&lt;&gt;0,K2065=TAHUN,N(J2065)&lt;=BLN,OR(C2065=BB_AKUN,D2065=BB_AKUN)),1,0)</f>
        <v>877</v>
      </c>
      <c r="R2065" s="104" t="str">
        <f aca="false">IF(OR(C2065&amp;D2065="",N(E2065)=0),"",IF(OR(O2065="?",P2065="?"),"⚠ akun tidak dikenal",IF(C2065=D2065,"⚠ debet = kredit","")))</f>
        <v/>
      </c>
    </row>
    <row r="2066" customFormat="false" ht="15" hidden="false" customHeight="false" outlineLevel="0" collapsed="false">
      <c r="A2066" s="5"/>
      <c r="B2066" s="83"/>
      <c r="C2066" s="5"/>
      <c r="D2066" s="5"/>
      <c r="E2066" s="44"/>
      <c r="F2066" s="5"/>
      <c r="G2066" s="5"/>
      <c r="H2066" s="5"/>
      <c r="I2066" s="5"/>
      <c r="J2066" s="102" t="str">
        <f aca="false">IF(B2066="","",MONTH(B2066))</f>
        <v/>
      </c>
      <c r="K2066" s="102" t="str">
        <f aca="false">IF(B2066="","",YEAR(B2066))</f>
        <v/>
      </c>
      <c r="L2066" s="102" t="str">
        <f aca="false">IF(N(E2066)=0,"",IF(COUNTIFS(AK_NAMA,C2066,AK_KAT,"KAS")+COUNTIFS(AK_NAMA,D2066,AK_KAT,"KAS")&lt;&gt;1,"",IF(COUNTIFS(AK_NAMA,C2066,AK_KAT,"KAS")=1,D2066,C2066)))</f>
        <v/>
      </c>
      <c r="M2066" s="103" t="n">
        <f aca="false">IF(L2066="",0,IF(L2066=D2066,E2066,-E2066))</f>
        <v>0</v>
      </c>
      <c r="N2066" s="102" t="str">
        <f aca="false">IF(L2066="","",IFERROR(INDEX(AK_BARIS,MATCH(L2066,AK_NAMA,0)),"?"))</f>
        <v/>
      </c>
      <c r="O2066" s="102" t="str">
        <f aca="false">IF(C2066="","",IFERROR(INDEX(AK_KEL,MATCH(C2066,AK_NAMA,0)),"?"))</f>
        <v/>
      </c>
      <c r="P2066" s="102" t="str">
        <f aca="false">IF(D2066="","",IFERROR(INDEX(AK_KEL,MATCH(D2066,AK_NAMA,0)),"?"))</f>
        <v/>
      </c>
      <c r="Q2066" s="102" t="n">
        <f aca="false">N(Q2065)+IF(AND(N(E2066)&lt;&gt;0,K2066=TAHUN,N(J2066)&lt;=BLN,OR(C2066=BB_AKUN,D2066=BB_AKUN)),1,0)</f>
        <v>877</v>
      </c>
      <c r="R2066" s="104" t="str">
        <f aca="false">IF(OR(C2066&amp;D2066="",N(E2066)=0),"",IF(OR(O2066="?",P2066="?"),"⚠ akun tidak dikenal",IF(C2066=D2066,"⚠ debet = kredit","")))</f>
        <v/>
      </c>
    </row>
    <row r="2067" customFormat="false" ht="15" hidden="false" customHeight="false" outlineLevel="0" collapsed="false">
      <c r="A2067" s="5"/>
      <c r="B2067" s="83"/>
      <c r="C2067" s="5"/>
      <c r="D2067" s="5"/>
      <c r="E2067" s="44"/>
      <c r="F2067" s="5"/>
      <c r="G2067" s="5"/>
      <c r="H2067" s="5"/>
      <c r="I2067" s="5"/>
      <c r="J2067" s="102" t="str">
        <f aca="false">IF(B2067="","",MONTH(B2067))</f>
        <v/>
      </c>
      <c r="K2067" s="102" t="str">
        <f aca="false">IF(B2067="","",YEAR(B2067))</f>
        <v/>
      </c>
      <c r="L2067" s="102" t="str">
        <f aca="false">IF(N(E2067)=0,"",IF(COUNTIFS(AK_NAMA,C2067,AK_KAT,"KAS")+COUNTIFS(AK_NAMA,D2067,AK_KAT,"KAS")&lt;&gt;1,"",IF(COUNTIFS(AK_NAMA,C2067,AK_KAT,"KAS")=1,D2067,C2067)))</f>
        <v/>
      </c>
      <c r="M2067" s="103" t="n">
        <f aca="false">IF(L2067="",0,IF(L2067=D2067,E2067,-E2067))</f>
        <v>0</v>
      </c>
      <c r="N2067" s="102" t="str">
        <f aca="false">IF(L2067="","",IFERROR(INDEX(AK_BARIS,MATCH(L2067,AK_NAMA,0)),"?"))</f>
        <v/>
      </c>
      <c r="O2067" s="102" t="str">
        <f aca="false">IF(C2067="","",IFERROR(INDEX(AK_KEL,MATCH(C2067,AK_NAMA,0)),"?"))</f>
        <v/>
      </c>
      <c r="P2067" s="102" t="str">
        <f aca="false">IF(D2067="","",IFERROR(INDEX(AK_KEL,MATCH(D2067,AK_NAMA,0)),"?"))</f>
        <v/>
      </c>
      <c r="Q2067" s="102" t="n">
        <f aca="false">N(Q2066)+IF(AND(N(E2067)&lt;&gt;0,K2067=TAHUN,N(J2067)&lt;=BLN,OR(C2067=BB_AKUN,D2067=BB_AKUN)),1,0)</f>
        <v>877</v>
      </c>
      <c r="R2067" s="104" t="str">
        <f aca="false">IF(OR(C2067&amp;D2067="",N(E2067)=0),"",IF(OR(O2067="?",P2067="?"),"⚠ akun tidak dikenal",IF(C2067=D2067,"⚠ debet = kredit","")))</f>
        <v/>
      </c>
    </row>
    <row r="2068" customFormat="false" ht="15" hidden="false" customHeight="false" outlineLevel="0" collapsed="false">
      <c r="A2068" s="5"/>
      <c r="B2068" s="83"/>
      <c r="C2068" s="5"/>
      <c r="D2068" s="5"/>
      <c r="E2068" s="44"/>
      <c r="F2068" s="5"/>
      <c r="G2068" s="5"/>
      <c r="H2068" s="5"/>
      <c r="I2068" s="5"/>
      <c r="J2068" s="102" t="str">
        <f aca="false">IF(B2068="","",MONTH(B2068))</f>
        <v/>
      </c>
      <c r="K2068" s="102" t="str">
        <f aca="false">IF(B2068="","",YEAR(B2068))</f>
        <v/>
      </c>
      <c r="L2068" s="102" t="str">
        <f aca="false">IF(N(E2068)=0,"",IF(COUNTIFS(AK_NAMA,C2068,AK_KAT,"KAS")+COUNTIFS(AK_NAMA,D2068,AK_KAT,"KAS")&lt;&gt;1,"",IF(COUNTIFS(AK_NAMA,C2068,AK_KAT,"KAS")=1,D2068,C2068)))</f>
        <v/>
      </c>
      <c r="M2068" s="103" t="n">
        <f aca="false">IF(L2068="",0,IF(L2068=D2068,E2068,-E2068))</f>
        <v>0</v>
      </c>
      <c r="N2068" s="102" t="str">
        <f aca="false">IF(L2068="","",IFERROR(INDEX(AK_BARIS,MATCH(L2068,AK_NAMA,0)),"?"))</f>
        <v/>
      </c>
      <c r="O2068" s="102" t="str">
        <f aca="false">IF(C2068="","",IFERROR(INDEX(AK_KEL,MATCH(C2068,AK_NAMA,0)),"?"))</f>
        <v/>
      </c>
      <c r="P2068" s="102" t="str">
        <f aca="false">IF(D2068="","",IFERROR(INDEX(AK_KEL,MATCH(D2068,AK_NAMA,0)),"?"))</f>
        <v/>
      </c>
      <c r="Q2068" s="102" t="n">
        <f aca="false">N(Q2067)+IF(AND(N(E2068)&lt;&gt;0,K2068=TAHUN,N(J2068)&lt;=BLN,OR(C2068=BB_AKUN,D2068=BB_AKUN)),1,0)</f>
        <v>877</v>
      </c>
      <c r="R2068" s="104" t="str">
        <f aca="false">IF(OR(C2068&amp;D2068="",N(E2068)=0),"",IF(OR(O2068="?",P2068="?"),"⚠ akun tidak dikenal",IF(C2068=D2068,"⚠ debet = kredit","")))</f>
        <v/>
      </c>
    </row>
    <row r="2069" customFormat="false" ht="15" hidden="false" customHeight="false" outlineLevel="0" collapsed="false">
      <c r="A2069" s="5"/>
      <c r="B2069" s="83"/>
      <c r="C2069" s="5"/>
      <c r="D2069" s="5"/>
      <c r="E2069" s="44"/>
      <c r="F2069" s="5"/>
      <c r="G2069" s="5"/>
      <c r="H2069" s="5"/>
      <c r="I2069" s="5"/>
      <c r="J2069" s="102" t="str">
        <f aca="false">IF(B2069="","",MONTH(B2069))</f>
        <v/>
      </c>
      <c r="K2069" s="102" t="str">
        <f aca="false">IF(B2069="","",YEAR(B2069))</f>
        <v/>
      </c>
      <c r="L2069" s="102" t="str">
        <f aca="false">IF(N(E2069)=0,"",IF(COUNTIFS(AK_NAMA,C2069,AK_KAT,"KAS")+COUNTIFS(AK_NAMA,D2069,AK_KAT,"KAS")&lt;&gt;1,"",IF(COUNTIFS(AK_NAMA,C2069,AK_KAT,"KAS")=1,D2069,C2069)))</f>
        <v/>
      </c>
      <c r="M2069" s="103" t="n">
        <f aca="false">IF(L2069="",0,IF(L2069=D2069,E2069,-E2069))</f>
        <v>0</v>
      </c>
      <c r="N2069" s="102" t="str">
        <f aca="false">IF(L2069="","",IFERROR(INDEX(AK_BARIS,MATCH(L2069,AK_NAMA,0)),"?"))</f>
        <v/>
      </c>
      <c r="O2069" s="102" t="str">
        <f aca="false">IF(C2069="","",IFERROR(INDEX(AK_KEL,MATCH(C2069,AK_NAMA,0)),"?"))</f>
        <v/>
      </c>
      <c r="P2069" s="102" t="str">
        <f aca="false">IF(D2069="","",IFERROR(INDEX(AK_KEL,MATCH(D2069,AK_NAMA,0)),"?"))</f>
        <v/>
      </c>
      <c r="Q2069" s="102" t="n">
        <f aca="false">N(Q2068)+IF(AND(N(E2069)&lt;&gt;0,K2069=TAHUN,N(J2069)&lt;=BLN,OR(C2069=BB_AKUN,D2069=BB_AKUN)),1,0)</f>
        <v>877</v>
      </c>
      <c r="R2069" s="104" t="str">
        <f aca="false">IF(OR(C2069&amp;D2069="",N(E2069)=0),"",IF(OR(O2069="?",P2069="?"),"⚠ akun tidak dikenal",IF(C2069=D2069,"⚠ debet = kredit","")))</f>
        <v/>
      </c>
    </row>
    <row r="2070" customFormat="false" ht="15" hidden="false" customHeight="false" outlineLevel="0" collapsed="false">
      <c r="A2070" s="5"/>
      <c r="B2070" s="83"/>
      <c r="C2070" s="5"/>
      <c r="D2070" s="5"/>
      <c r="E2070" s="44"/>
      <c r="F2070" s="5"/>
      <c r="G2070" s="5"/>
      <c r="H2070" s="5"/>
      <c r="I2070" s="5"/>
      <c r="J2070" s="102" t="str">
        <f aca="false">IF(B2070="","",MONTH(B2070))</f>
        <v/>
      </c>
      <c r="K2070" s="102" t="str">
        <f aca="false">IF(B2070="","",YEAR(B2070))</f>
        <v/>
      </c>
      <c r="L2070" s="102" t="str">
        <f aca="false">IF(N(E2070)=0,"",IF(COUNTIFS(AK_NAMA,C2070,AK_KAT,"KAS")+COUNTIFS(AK_NAMA,D2070,AK_KAT,"KAS")&lt;&gt;1,"",IF(COUNTIFS(AK_NAMA,C2070,AK_KAT,"KAS")=1,D2070,C2070)))</f>
        <v/>
      </c>
      <c r="M2070" s="103" t="n">
        <f aca="false">IF(L2070="",0,IF(L2070=D2070,E2070,-E2070))</f>
        <v>0</v>
      </c>
      <c r="N2070" s="102" t="str">
        <f aca="false">IF(L2070="","",IFERROR(INDEX(AK_BARIS,MATCH(L2070,AK_NAMA,0)),"?"))</f>
        <v/>
      </c>
      <c r="O2070" s="102" t="str">
        <f aca="false">IF(C2070="","",IFERROR(INDEX(AK_KEL,MATCH(C2070,AK_NAMA,0)),"?"))</f>
        <v/>
      </c>
      <c r="P2070" s="102" t="str">
        <f aca="false">IF(D2070="","",IFERROR(INDEX(AK_KEL,MATCH(D2070,AK_NAMA,0)),"?"))</f>
        <v/>
      </c>
      <c r="Q2070" s="102" t="n">
        <f aca="false">N(Q2069)+IF(AND(N(E2070)&lt;&gt;0,K2070=TAHUN,N(J2070)&lt;=BLN,OR(C2070=BB_AKUN,D2070=BB_AKUN)),1,0)</f>
        <v>877</v>
      </c>
      <c r="R2070" s="104" t="str">
        <f aca="false">IF(OR(C2070&amp;D2070="",N(E2070)=0),"",IF(OR(O2070="?",P2070="?"),"⚠ akun tidak dikenal",IF(C2070=D2070,"⚠ debet = kredit","")))</f>
        <v/>
      </c>
    </row>
    <row r="2071" customFormat="false" ht="15" hidden="false" customHeight="false" outlineLevel="0" collapsed="false">
      <c r="A2071" s="5"/>
      <c r="B2071" s="83"/>
      <c r="C2071" s="5"/>
      <c r="D2071" s="5"/>
      <c r="E2071" s="44"/>
      <c r="F2071" s="5"/>
      <c r="G2071" s="5"/>
      <c r="H2071" s="5"/>
      <c r="I2071" s="5"/>
      <c r="J2071" s="102" t="str">
        <f aca="false">IF(B2071="","",MONTH(B2071))</f>
        <v/>
      </c>
      <c r="K2071" s="102" t="str">
        <f aca="false">IF(B2071="","",YEAR(B2071))</f>
        <v/>
      </c>
      <c r="L2071" s="102" t="str">
        <f aca="false">IF(N(E2071)=0,"",IF(COUNTIFS(AK_NAMA,C2071,AK_KAT,"KAS")+COUNTIFS(AK_NAMA,D2071,AK_KAT,"KAS")&lt;&gt;1,"",IF(COUNTIFS(AK_NAMA,C2071,AK_KAT,"KAS")=1,D2071,C2071)))</f>
        <v/>
      </c>
      <c r="M2071" s="103" t="n">
        <f aca="false">IF(L2071="",0,IF(L2071=D2071,E2071,-E2071))</f>
        <v>0</v>
      </c>
      <c r="N2071" s="102" t="str">
        <f aca="false">IF(L2071="","",IFERROR(INDEX(AK_BARIS,MATCH(L2071,AK_NAMA,0)),"?"))</f>
        <v/>
      </c>
      <c r="O2071" s="102" t="str">
        <f aca="false">IF(C2071="","",IFERROR(INDEX(AK_KEL,MATCH(C2071,AK_NAMA,0)),"?"))</f>
        <v/>
      </c>
      <c r="P2071" s="102" t="str">
        <f aca="false">IF(D2071="","",IFERROR(INDEX(AK_KEL,MATCH(D2071,AK_NAMA,0)),"?"))</f>
        <v/>
      </c>
      <c r="Q2071" s="102" t="n">
        <f aca="false">N(Q2070)+IF(AND(N(E2071)&lt;&gt;0,K2071=TAHUN,N(J2071)&lt;=BLN,OR(C2071=BB_AKUN,D2071=BB_AKUN)),1,0)</f>
        <v>877</v>
      </c>
      <c r="R2071" s="104" t="str">
        <f aca="false">IF(OR(C2071&amp;D2071="",N(E2071)=0),"",IF(OR(O2071="?",P2071="?"),"⚠ akun tidak dikenal",IF(C2071=D2071,"⚠ debet = kredit","")))</f>
        <v/>
      </c>
    </row>
    <row r="2072" customFormat="false" ht="15" hidden="false" customHeight="false" outlineLevel="0" collapsed="false">
      <c r="A2072" s="5"/>
      <c r="B2072" s="83"/>
      <c r="C2072" s="5"/>
      <c r="D2072" s="5"/>
      <c r="E2072" s="44"/>
      <c r="F2072" s="5"/>
      <c r="G2072" s="5"/>
      <c r="H2072" s="5"/>
      <c r="I2072" s="5"/>
      <c r="J2072" s="102" t="str">
        <f aca="false">IF(B2072="","",MONTH(B2072))</f>
        <v/>
      </c>
      <c r="K2072" s="102" t="str">
        <f aca="false">IF(B2072="","",YEAR(B2072))</f>
        <v/>
      </c>
      <c r="L2072" s="102" t="str">
        <f aca="false">IF(N(E2072)=0,"",IF(COUNTIFS(AK_NAMA,C2072,AK_KAT,"KAS")+COUNTIFS(AK_NAMA,D2072,AK_KAT,"KAS")&lt;&gt;1,"",IF(COUNTIFS(AK_NAMA,C2072,AK_KAT,"KAS")=1,D2072,C2072)))</f>
        <v/>
      </c>
      <c r="M2072" s="103" t="n">
        <f aca="false">IF(L2072="",0,IF(L2072=D2072,E2072,-E2072))</f>
        <v>0</v>
      </c>
      <c r="N2072" s="102" t="str">
        <f aca="false">IF(L2072="","",IFERROR(INDEX(AK_BARIS,MATCH(L2072,AK_NAMA,0)),"?"))</f>
        <v/>
      </c>
      <c r="O2072" s="102" t="str">
        <f aca="false">IF(C2072="","",IFERROR(INDEX(AK_KEL,MATCH(C2072,AK_NAMA,0)),"?"))</f>
        <v/>
      </c>
      <c r="P2072" s="102" t="str">
        <f aca="false">IF(D2072="","",IFERROR(INDEX(AK_KEL,MATCH(D2072,AK_NAMA,0)),"?"))</f>
        <v/>
      </c>
      <c r="Q2072" s="102" t="n">
        <f aca="false">N(Q2071)+IF(AND(N(E2072)&lt;&gt;0,K2072=TAHUN,N(J2072)&lt;=BLN,OR(C2072=BB_AKUN,D2072=BB_AKUN)),1,0)</f>
        <v>877</v>
      </c>
      <c r="R2072" s="104" t="str">
        <f aca="false">IF(OR(C2072&amp;D2072="",N(E2072)=0),"",IF(OR(O2072="?",P2072="?"),"⚠ akun tidak dikenal",IF(C2072=D2072,"⚠ debet = kredit","")))</f>
        <v/>
      </c>
    </row>
    <row r="2073" customFormat="false" ht="15" hidden="false" customHeight="false" outlineLevel="0" collapsed="false">
      <c r="A2073" s="5"/>
      <c r="B2073" s="83"/>
      <c r="C2073" s="5"/>
      <c r="D2073" s="5"/>
      <c r="E2073" s="44"/>
      <c r="F2073" s="5"/>
      <c r="G2073" s="5"/>
      <c r="H2073" s="5"/>
      <c r="I2073" s="5"/>
      <c r="J2073" s="102" t="str">
        <f aca="false">IF(B2073="","",MONTH(B2073))</f>
        <v/>
      </c>
      <c r="K2073" s="102" t="str">
        <f aca="false">IF(B2073="","",YEAR(B2073))</f>
        <v/>
      </c>
      <c r="L2073" s="102" t="str">
        <f aca="false">IF(N(E2073)=0,"",IF(COUNTIFS(AK_NAMA,C2073,AK_KAT,"KAS")+COUNTIFS(AK_NAMA,D2073,AK_KAT,"KAS")&lt;&gt;1,"",IF(COUNTIFS(AK_NAMA,C2073,AK_KAT,"KAS")=1,D2073,C2073)))</f>
        <v/>
      </c>
      <c r="M2073" s="103" t="n">
        <f aca="false">IF(L2073="",0,IF(L2073=D2073,E2073,-E2073))</f>
        <v>0</v>
      </c>
      <c r="N2073" s="102" t="str">
        <f aca="false">IF(L2073="","",IFERROR(INDEX(AK_BARIS,MATCH(L2073,AK_NAMA,0)),"?"))</f>
        <v/>
      </c>
      <c r="O2073" s="102" t="str">
        <f aca="false">IF(C2073="","",IFERROR(INDEX(AK_KEL,MATCH(C2073,AK_NAMA,0)),"?"))</f>
        <v/>
      </c>
      <c r="P2073" s="102" t="str">
        <f aca="false">IF(D2073="","",IFERROR(INDEX(AK_KEL,MATCH(D2073,AK_NAMA,0)),"?"))</f>
        <v/>
      </c>
      <c r="Q2073" s="102" t="n">
        <f aca="false">N(Q2072)+IF(AND(N(E2073)&lt;&gt;0,K2073=TAHUN,N(J2073)&lt;=BLN,OR(C2073=BB_AKUN,D2073=BB_AKUN)),1,0)</f>
        <v>877</v>
      </c>
      <c r="R2073" s="104" t="str">
        <f aca="false">IF(OR(C2073&amp;D2073="",N(E2073)=0),"",IF(OR(O2073="?",P2073="?"),"⚠ akun tidak dikenal",IF(C2073=D2073,"⚠ debet = kredit","")))</f>
        <v/>
      </c>
    </row>
    <row r="2074" customFormat="false" ht="15" hidden="false" customHeight="false" outlineLevel="0" collapsed="false">
      <c r="A2074" s="5"/>
      <c r="B2074" s="83"/>
      <c r="C2074" s="5"/>
      <c r="D2074" s="5"/>
      <c r="E2074" s="44"/>
      <c r="F2074" s="5"/>
      <c r="G2074" s="5"/>
      <c r="H2074" s="5"/>
      <c r="I2074" s="5"/>
      <c r="J2074" s="102" t="str">
        <f aca="false">IF(B2074="","",MONTH(B2074))</f>
        <v/>
      </c>
      <c r="K2074" s="102" t="str">
        <f aca="false">IF(B2074="","",YEAR(B2074))</f>
        <v/>
      </c>
      <c r="L2074" s="102" t="str">
        <f aca="false">IF(N(E2074)=0,"",IF(COUNTIFS(AK_NAMA,C2074,AK_KAT,"KAS")+COUNTIFS(AK_NAMA,D2074,AK_KAT,"KAS")&lt;&gt;1,"",IF(COUNTIFS(AK_NAMA,C2074,AK_KAT,"KAS")=1,D2074,C2074)))</f>
        <v/>
      </c>
      <c r="M2074" s="103" t="n">
        <f aca="false">IF(L2074="",0,IF(L2074=D2074,E2074,-E2074))</f>
        <v>0</v>
      </c>
      <c r="N2074" s="102" t="str">
        <f aca="false">IF(L2074="","",IFERROR(INDEX(AK_BARIS,MATCH(L2074,AK_NAMA,0)),"?"))</f>
        <v/>
      </c>
      <c r="O2074" s="102" t="str">
        <f aca="false">IF(C2074="","",IFERROR(INDEX(AK_KEL,MATCH(C2074,AK_NAMA,0)),"?"))</f>
        <v/>
      </c>
      <c r="P2074" s="102" t="str">
        <f aca="false">IF(D2074="","",IFERROR(INDEX(AK_KEL,MATCH(D2074,AK_NAMA,0)),"?"))</f>
        <v/>
      </c>
      <c r="Q2074" s="102" t="n">
        <f aca="false">N(Q2073)+IF(AND(N(E2074)&lt;&gt;0,K2074=TAHUN,N(J2074)&lt;=BLN,OR(C2074=BB_AKUN,D2074=BB_AKUN)),1,0)</f>
        <v>877</v>
      </c>
      <c r="R2074" s="104" t="str">
        <f aca="false">IF(OR(C2074&amp;D2074="",N(E2074)=0),"",IF(OR(O2074="?",P2074="?"),"⚠ akun tidak dikenal",IF(C2074=D2074,"⚠ debet = kredit","")))</f>
        <v/>
      </c>
    </row>
    <row r="2075" customFormat="false" ht="15" hidden="false" customHeight="false" outlineLevel="0" collapsed="false">
      <c r="A2075" s="5"/>
      <c r="B2075" s="83"/>
      <c r="C2075" s="5"/>
      <c r="D2075" s="5"/>
      <c r="E2075" s="44"/>
      <c r="F2075" s="5"/>
      <c r="G2075" s="5"/>
      <c r="H2075" s="5"/>
      <c r="I2075" s="5"/>
      <c r="J2075" s="102" t="str">
        <f aca="false">IF(B2075="","",MONTH(B2075))</f>
        <v/>
      </c>
      <c r="K2075" s="102" t="str">
        <f aca="false">IF(B2075="","",YEAR(B2075))</f>
        <v/>
      </c>
      <c r="L2075" s="102" t="str">
        <f aca="false">IF(N(E2075)=0,"",IF(COUNTIFS(AK_NAMA,C2075,AK_KAT,"KAS")+COUNTIFS(AK_NAMA,D2075,AK_KAT,"KAS")&lt;&gt;1,"",IF(COUNTIFS(AK_NAMA,C2075,AK_KAT,"KAS")=1,D2075,C2075)))</f>
        <v/>
      </c>
      <c r="M2075" s="103" t="n">
        <f aca="false">IF(L2075="",0,IF(L2075=D2075,E2075,-E2075))</f>
        <v>0</v>
      </c>
      <c r="N2075" s="102" t="str">
        <f aca="false">IF(L2075="","",IFERROR(INDEX(AK_BARIS,MATCH(L2075,AK_NAMA,0)),"?"))</f>
        <v/>
      </c>
      <c r="O2075" s="102" t="str">
        <f aca="false">IF(C2075="","",IFERROR(INDEX(AK_KEL,MATCH(C2075,AK_NAMA,0)),"?"))</f>
        <v/>
      </c>
      <c r="P2075" s="102" t="str">
        <f aca="false">IF(D2075="","",IFERROR(INDEX(AK_KEL,MATCH(D2075,AK_NAMA,0)),"?"))</f>
        <v/>
      </c>
      <c r="Q2075" s="102" t="n">
        <f aca="false">N(Q2074)+IF(AND(N(E2075)&lt;&gt;0,K2075=TAHUN,N(J2075)&lt;=BLN,OR(C2075=BB_AKUN,D2075=BB_AKUN)),1,0)</f>
        <v>877</v>
      </c>
      <c r="R2075" s="104" t="str">
        <f aca="false">IF(OR(C2075&amp;D2075="",N(E2075)=0),"",IF(OR(O2075="?",P2075="?"),"⚠ akun tidak dikenal",IF(C2075=D2075,"⚠ debet = kredit","")))</f>
        <v/>
      </c>
    </row>
    <row r="2076" customFormat="false" ht="15" hidden="false" customHeight="false" outlineLevel="0" collapsed="false">
      <c r="A2076" s="5"/>
      <c r="B2076" s="83"/>
      <c r="C2076" s="5"/>
      <c r="D2076" s="5"/>
      <c r="E2076" s="44"/>
      <c r="F2076" s="5"/>
      <c r="G2076" s="5"/>
      <c r="H2076" s="5"/>
      <c r="I2076" s="5"/>
      <c r="J2076" s="102" t="str">
        <f aca="false">IF(B2076="","",MONTH(B2076))</f>
        <v/>
      </c>
      <c r="K2076" s="102" t="str">
        <f aca="false">IF(B2076="","",YEAR(B2076))</f>
        <v/>
      </c>
      <c r="L2076" s="102" t="str">
        <f aca="false">IF(N(E2076)=0,"",IF(COUNTIFS(AK_NAMA,C2076,AK_KAT,"KAS")+COUNTIFS(AK_NAMA,D2076,AK_KAT,"KAS")&lt;&gt;1,"",IF(COUNTIFS(AK_NAMA,C2076,AK_KAT,"KAS")=1,D2076,C2076)))</f>
        <v/>
      </c>
      <c r="M2076" s="103" t="n">
        <f aca="false">IF(L2076="",0,IF(L2076=D2076,E2076,-E2076))</f>
        <v>0</v>
      </c>
      <c r="N2076" s="102" t="str">
        <f aca="false">IF(L2076="","",IFERROR(INDEX(AK_BARIS,MATCH(L2076,AK_NAMA,0)),"?"))</f>
        <v/>
      </c>
      <c r="O2076" s="102" t="str">
        <f aca="false">IF(C2076="","",IFERROR(INDEX(AK_KEL,MATCH(C2076,AK_NAMA,0)),"?"))</f>
        <v/>
      </c>
      <c r="P2076" s="102" t="str">
        <f aca="false">IF(D2076="","",IFERROR(INDEX(AK_KEL,MATCH(D2076,AK_NAMA,0)),"?"))</f>
        <v/>
      </c>
      <c r="Q2076" s="102" t="n">
        <f aca="false">N(Q2075)+IF(AND(N(E2076)&lt;&gt;0,K2076=TAHUN,N(J2076)&lt;=BLN,OR(C2076=BB_AKUN,D2076=BB_AKUN)),1,0)</f>
        <v>877</v>
      </c>
      <c r="R2076" s="104" t="str">
        <f aca="false">IF(OR(C2076&amp;D2076="",N(E2076)=0),"",IF(OR(O2076="?",P2076="?"),"⚠ akun tidak dikenal",IF(C2076=D2076,"⚠ debet = kredit","")))</f>
        <v/>
      </c>
    </row>
    <row r="2077" customFormat="false" ht="15" hidden="false" customHeight="false" outlineLevel="0" collapsed="false">
      <c r="A2077" s="5"/>
      <c r="B2077" s="83"/>
      <c r="C2077" s="5"/>
      <c r="D2077" s="5"/>
      <c r="E2077" s="44"/>
      <c r="F2077" s="5"/>
      <c r="G2077" s="5"/>
      <c r="H2077" s="5"/>
      <c r="I2077" s="5"/>
      <c r="J2077" s="102" t="str">
        <f aca="false">IF(B2077="","",MONTH(B2077))</f>
        <v/>
      </c>
      <c r="K2077" s="102" t="str">
        <f aca="false">IF(B2077="","",YEAR(B2077))</f>
        <v/>
      </c>
      <c r="L2077" s="102" t="str">
        <f aca="false">IF(N(E2077)=0,"",IF(COUNTIFS(AK_NAMA,C2077,AK_KAT,"KAS")+COUNTIFS(AK_NAMA,D2077,AK_KAT,"KAS")&lt;&gt;1,"",IF(COUNTIFS(AK_NAMA,C2077,AK_KAT,"KAS")=1,D2077,C2077)))</f>
        <v/>
      </c>
      <c r="M2077" s="103" t="n">
        <f aca="false">IF(L2077="",0,IF(L2077=D2077,E2077,-E2077))</f>
        <v>0</v>
      </c>
      <c r="N2077" s="102" t="str">
        <f aca="false">IF(L2077="","",IFERROR(INDEX(AK_BARIS,MATCH(L2077,AK_NAMA,0)),"?"))</f>
        <v/>
      </c>
      <c r="O2077" s="102" t="str">
        <f aca="false">IF(C2077="","",IFERROR(INDEX(AK_KEL,MATCH(C2077,AK_NAMA,0)),"?"))</f>
        <v/>
      </c>
      <c r="P2077" s="102" t="str">
        <f aca="false">IF(D2077="","",IFERROR(INDEX(AK_KEL,MATCH(D2077,AK_NAMA,0)),"?"))</f>
        <v/>
      </c>
      <c r="Q2077" s="102" t="n">
        <f aca="false">N(Q2076)+IF(AND(N(E2077)&lt;&gt;0,K2077=TAHUN,N(J2077)&lt;=BLN,OR(C2077=BB_AKUN,D2077=BB_AKUN)),1,0)</f>
        <v>877</v>
      </c>
      <c r="R2077" s="104" t="str">
        <f aca="false">IF(OR(C2077&amp;D2077="",N(E2077)=0),"",IF(OR(O2077="?",P2077="?"),"⚠ akun tidak dikenal",IF(C2077=D2077,"⚠ debet = kredit","")))</f>
        <v/>
      </c>
    </row>
    <row r="2078" customFormat="false" ht="15" hidden="false" customHeight="false" outlineLevel="0" collapsed="false">
      <c r="A2078" s="5"/>
      <c r="B2078" s="83"/>
      <c r="C2078" s="5"/>
      <c r="D2078" s="5"/>
      <c r="E2078" s="44"/>
      <c r="F2078" s="5"/>
      <c r="G2078" s="5"/>
      <c r="H2078" s="5"/>
      <c r="I2078" s="5"/>
      <c r="J2078" s="102" t="str">
        <f aca="false">IF(B2078="","",MONTH(B2078))</f>
        <v/>
      </c>
      <c r="K2078" s="102" t="str">
        <f aca="false">IF(B2078="","",YEAR(B2078))</f>
        <v/>
      </c>
      <c r="L2078" s="102" t="str">
        <f aca="false">IF(N(E2078)=0,"",IF(COUNTIFS(AK_NAMA,C2078,AK_KAT,"KAS")+COUNTIFS(AK_NAMA,D2078,AK_KAT,"KAS")&lt;&gt;1,"",IF(COUNTIFS(AK_NAMA,C2078,AK_KAT,"KAS")=1,D2078,C2078)))</f>
        <v/>
      </c>
      <c r="M2078" s="103" t="n">
        <f aca="false">IF(L2078="",0,IF(L2078=D2078,E2078,-E2078))</f>
        <v>0</v>
      </c>
      <c r="N2078" s="102" t="str">
        <f aca="false">IF(L2078="","",IFERROR(INDEX(AK_BARIS,MATCH(L2078,AK_NAMA,0)),"?"))</f>
        <v/>
      </c>
      <c r="O2078" s="102" t="str">
        <f aca="false">IF(C2078="","",IFERROR(INDEX(AK_KEL,MATCH(C2078,AK_NAMA,0)),"?"))</f>
        <v/>
      </c>
      <c r="P2078" s="102" t="str">
        <f aca="false">IF(D2078="","",IFERROR(INDEX(AK_KEL,MATCH(D2078,AK_NAMA,0)),"?"))</f>
        <v/>
      </c>
      <c r="Q2078" s="102" t="n">
        <f aca="false">N(Q2077)+IF(AND(N(E2078)&lt;&gt;0,K2078=TAHUN,N(J2078)&lt;=BLN,OR(C2078=BB_AKUN,D2078=BB_AKUN)),1,0)</f>
        <v>877</v>
      </c>
      <c r="R2078" s="104" t="str">
        <f aca="false">IF(OR(C2078&amp;D2078="",N(E2078)=0),"",IF(OR(O2078="?",P2078="?"),"⚠ akun tidak dikenal",IF(C2078=D2078,"⚠ debet = kredit","")))</f>
        <v/>
      </c>
    </row>
    <row r="2079" customFormat="false" ht="15" hidden="false" customHeight="false" outlineLevel="0" collapsed="false">
      <c r="A2079" s="5"/>
      <c r="B2079" s="83"/>
      <c r="C2079" s="5"/>
      <c r="D2079" s="5"/>
      <c r="E2079" s="44"/>
      <c r="F2079" s="5"/>
      <c r="G2079" s="5"/>
      <c r="H2079" s="5"/>
      <c r="I2079" s="5"/>
      <c r="J2079" s="102" t="str">
        <f aca="false">IF(B2079="","",MONTH(B2079))</f>
        <v/>
      </c>
      <c r="K2079" s="102" t="str">
        <f aca="false">IF(B2079="","",YEAR(B2079))</f>
        <v/>
      </c>
      <c r="L2079" s="102" t="str">
        <f aca="false">IF(N(E2079)=0,"",IF(COUNTIFS(AK_NAMA,C2079,AK_KAT,"KAS")+COUNTIFS(AK_NAMA,D2079,AK_KAT,"KAS")&lt;&gt;1,"",IF(COUNTIFS(AK_NAMA,C2079,AK_KAT,"KAS")=1,D2079,C2079)))</f>
        <v/>
      </c>
      <c r="M2079" s="103" t="n">
        <f aca="false">IF(L2079="",0,IF(L2079=D2079,E2079,-E2079))</f>
        <v>0</v>
      </c>
      <c r="N2079" s="102" t="str">
        <f aca="false">IF(L2079="","",IFERROR(INDEX(AK_BARIS,MATCH(L2079,AK_NAMA,0)),"?"))</f>
        <v/>
      </c>
      <c r="O2079" s="102" t="str">
        <f aca="false">IF(C2079="","",IFERROR(INDEX(AK_KEL,MATCH(C2079,AK_NAMA,0)),"?"))</f>
        <v/>
      </c>
      <c r="P2079" s="102" t="str">
        <f aca="false">IF(D2079="","",IFERROR(INDEX(AK_KEL,MATCH(D2079,AK_NAMA,0)),"?"))</f>
        <v/>
      </c>
      <c r="Q2079" s="102" t="n">
        <f aca="false">N(Q2078)+IF(AND(N(E2079)&lt;&gt;0,K2079=TAHUN,N(J2079)&lt;=BLN,OR(C2079=BB_AKUN,D2079=BB_AKUN)),1,0)</f>
        <v>877</v>
      </c>
      <c r="R2079" s="104" t="str">
        <f aca="false">IF(OR(C2079&amp;D2079="",N(E2079)=0),"",IF(OR(O2079="?",P2079="?"),"⚠ akun tidak dikenal",IF(C2079=D2079,"⚠ debet = kredit","")))</f>
        <v/>
      </c>
    </row>
    <row r="2080" customFormat="false" ht="15" hidden="false" customHeight="false" outlineLevel="0" collapsed="false">
      <c r="A2080" s="5"/>
      <c r="B2080" s="83"/>
      <c r="C2080" s="5"/>
      <c r="D2080" s="5"/>
      <c r="E2080" s="44"/>
      <c r="F2080" s="5"/>
      <c r="G2080" s="5"/>
      <c r="H2080" s="5"/>
      <c r="I2080" s="5"/>
      <c r="J2080" s="102" t="str">
        <f aca="false">IF(B2080="","",MONTH(B2080))</f>
        <v/>
      </c>
      <c r="K2080" s="102" t="str">
        <f aca="false">IF(B2080="","",YEAR(B2080))</f>
        <v/>
      </c>
      <c r="L2080" s="102" t="str">
        <f aca="false">IF(N(E2080)=0,"",IF(COUNTIFS(AK_NAMA,C2080,AK_KAT,"KAS")+COUNTIFS(AK_NAMA,D2080,AK_KAT,"KAS")&lt;&gt;1,"",IF(COUNTIFS(AK_NAMA,C2080,AK_KAT,"KAS")=1,D2080,C2080)))</f>
        <v/>
      </c>
      <c r="M2080" s="103" t="n">
        <f aca="false">IF(L2080="",0,IF(L2080=D2080,E2080,-E2080))</f>
        <v>0</v>
      </c>
      <c r="N2080" s="102" t="str">
        <f aca="false">IF(L2080="","",IFERROR(INDEX(AK_BARIS,MATCH(L2080,AK_NAMA,0)),"?"))</f>
        <v/>
      </c>
      <c r="O2080" s="102" t="str">
        <f aca="false">IF(C2080="","",IFERROR(INDEX(AK_KEL,MATCH(C2080,AK_NAMA,0)),"?"))</f>
        <v/>
      </c>
      <c r="P2080" s="102" t="str">
        <f aca="false">IF(D2080="","",IFERROR(INDEX(AK_KEL,MATCH(D2080,AK_NAMA,0)),"?"))</f>
        <v/>
      </c>
      <c r="Q2080" s="102" t="n">
        <f aca="false">N(Q2079)+IF(AND(N(E2080)&lt;&gt;0,K2080=TAHUN,N(J2080)&lt;=BLN,OR(C2080=BB_AKUN,D2080=BB_AKUN)),1,0)</f>
        <v>877</v>
      </c>
      <c r="R2080" s="104" t="str">
        <f aca="false">IF(OR(C2080&amp;D2080="",N(E2080)=0),"",IF(OR(O2080="?",P2080="?"),"⚠ akun tidak dikenal",IF(C2080=D2080,"⚠ debet = kredit","")))</f>
        <v/>
      </c>
    </row>
    <row r="2081" customFormat="false" ht="15" hidden="false" customHeight="false" outlineLevel="0" collapsed="false">
      <c r="A2081" s="5"/>
      <c r="B2081" s="83"/>
      <c r="C2081" s="5"/>
      <c r="D2081" s="5"/>
      <c r="E2081" s="44"/>
      <c r="F2081" s="5"/>
      <c r="G2081" s="5"/>
      <c r="H2081" s="5"/>
      <c r="I2081" s="5"/>
      <c r="J2081" s="102" t="str">
        <f aca="false">IF(B2081="","",MONTH(B2081))</f>
        <v/>
      </c>
      <c r="K2081" s="102" t="str">
        <f aca="false">IF(B2081="","",YEAR(B2081))</f>
        <v/>
      </c>
      <c r="L2081" s="102" t="str">
        <f aca="false">IF(N(E2081)=0,"",IF(COUNTIFS(AK_NAMA,C2081,AK_KAT,"KAS")+COUNTIFS(AK_NAMA,D2081,AK_KAT,"KAS")&lt;&gt;1,"",IF(COUNTIFS(AK_NAMA,C2081,AK_KAT,"KAS")=1,D2081,C2081)))</f>
        <v/>
      </c>
      <c r="M2081" s="103" t="n">
        <f aca="false">IF(L2081="",0,IF(L2081=D2081,E2081,-E2081))</f>
        <v>0</v>
      </c>
      <c r="N2081" s="102" t="str">
        <f aca="false">IF(L2081="","",IFERROR(INDEX(AK_BARIS,MATCH(L2081,AK_NAMA,0)),"?"))</f>
        <v/>
      </c>
      <c r="O2081" s="102" t="str">
        <f aca="false">IF(C2081="","",IFERROR(INDEX(AK_KEL,MATCH(C2081,AK_NAMA,0)),"?"))</f>
        <v/>
      </c>
      <c r="P2081" s="102" t="str">
        <f aca="false">IF(D2081="","",IFERROR(INDEX(AK_KEL,MATCH(D2081,AK_NAMA,0)),"?"))</f>
        <v/>
      </c>
      <c r="Q2081" s="102" t="n">
        <f aca="false">N(Q2080)+IF(AND(N(E2081)&lt;&gt;0,K2081=TAHUN,N(J2081)&lt;=BLN,OR(C2081=BB_AKUN,D2081=BB_AKUN)),1,0)</f>
        <v>877</v>
      </c>
      <c r="R2081" s="104" t="str">
        <f aca="false">IF(OR(C2081&amp;D2081="",N(E2081)=0),"",IF(OR(O2081="?",P2081="?"),"⚠ akun tidak dikenal",IF(C2081=D2081,"⚠ debet = kredit","")))</f>
        <v/>
      </c>
    </row>
    <row r="2082" customFormat="false" ht="15" hidden="false" customHeight="false" outlineLevel="0" collapsed="false">
      <c r="A2082" s="5"/>
      <c r="B2082" s="83"/>
      <c r="C2082" s="5"/>
      <c r="D2082" s="5"/>
      <c r="E2082" s="44"/>
      <c r="F2082" s="5"/>
      <c r="G2082" s="5"/>
      <c r="H2082" s="5"/>
      <c r="I2082" s="5"/>
      <c r="J2082" s="102" t="str">
        <f aca="false">IF(B2082="","",MONTH(B2082))</f>
        <v/>
      </c>
      <c r="K2082" s="102" t="str">
        <f aca="false">IF(B2082="","",YEAR(B2082))</f>
        <v/>
      </c>
      <c r="L2082" s="102" t="str">
        <f aca="false">IF(N(E2082)=0,"",IF(COUNTIFS(AK_NAMA,C2082,AK_KAT,"KAS")+COUNTIFS(AK_NAMA,D2082,AK_KAT,"KAS")&lt;&gt;1,"",IF(COUNTIFS(AK_NAMA,C2082,AK_KAT,"KAS")=1,D2082,C2082)))</f>
        <v/>
      </c>
      <c r="M2082" s="103" t="n">
        <f aca="false">IF(L2082="",0,IF(L2082=D2082,E2082,-E2082))</f>
        <v>0</v>
      </c>
      <c r="N2082" s="102" t="str">
        <f aca="false">IF(L2082="","",IFERROR(INDEX(AK_BARIS,MATCH(L2082,AK_NAMA,0)),"?"))</f>
        <v/>
      </c>
      <c r="O2082" s="102" t="str">
        <f aca="false">IF(C2082="","",IFERROR(INDEX(AK_KEL,MATCH(C2082,AK_NAMA,0)),"?"))</f>
        <v/>
      </c>
      <c r="P2082" s="102" t="str">
        <f aca="false">IF(D2082="","",IFERROR(INDEX(AK_KEL,MATCH(D2082,AK_NAMA,0)),"?"))</f>
        <v/>
      </c>
      <c r="Q2082" s="102" t="n">
        <f aca="false">N(Q2081)+IF(AND(N(E2082)&lt;&gt;0,K2082=TAHUN,N(J2082)&lt;=BLN,OR(C2082=BB_AKUN,D2082=BB_AKUN)),1,0)</f>
        <v>877</v>
      </c>
      <c r="R2082" s="104" t="str">
        <f aca="false">IF(OR(C2082&amp;D2082="",N(E2082)=0),"",IF(OR(O2082="?",P2082="?"),"⚠ akun tidak dikenal",IF(C2082=D2082,"⚠ debet = kredit","")))</f>
        <v/>
      </c>
    </row>
    <row r="2083" customFormat="false" ht="15" hidden="false" customHeight="false" outlineLevel="0" collapsed="false">
      <c r="A2083" s="5"/>
      <c r="B2083" s="83"/>
      <c r="C2083" s="5"/>
      <c r="D2083" s="5"/>
      <c r="E2083" s="44"/>
      <c r="F2083" s="5"/>
      <c r="G2083" s="5"/>
      <c r="H2083" s="5"/>
      <c r="I2083" s="5"/>
      <c r="J2083" s="102" t="str">
        <f aca="false">IF(B2083="","",MONTH(B2083))</f>
        <v/>
      </c>
      <c r="K2083" s="102" t="str">
        <f aca="false">IF(B2083="","",YEAR(B2083))</f>
        <v/>
      </c>
      <c r="L2083" s="102" t="str">
        <f aca="false">IF(N(E2083)=0,"",IF(COUNTIFS(AK_NAMA,C2083,AK_KAT,"KAS")+COUNTIFS(AK_NAMA,D2083,AK_KAT,"KAS")&lt;&gt;1,"",IF(COUNTIFS(AK_NAMA,C2083,AK_KAT,"KAS")=1,D2083,C2083)))</f>
        <v/>
      </c>
      <c r="M2083" s="103" t="n">
        <f aca="false">IF(L2083="",0,IF(L2083=D2083,E2083,-E2083))</f>
        <v>0</v>
      </c>
      <c r="N2083" s="102" t="str">
        <f aca="false">IF(L2083="","",IFERROR(INDEX(AK_BARIS,MATCH(L2083,AK_NAMA,0)),"?"))</f>
        <v/>
      </c>
      <c r="O2083" s="102" t="str">
        <f aca="false">IF(C2083="","",IFERROR(INDEX(AK_KEL,MATCH(C2083,AK_NAMA,0)),"?"))</f>
        <v/>
      </c>
      <c r="P2083" s="102" t="str">
        <f aca="false">IF(D2083="","",IFERROR(INDEX(AK_KEL,MATCH(D2083,AK_NAMA,0)),"?"))</f>
        <v/>
      </c>
      <c r="Q2083" s="102" t="n">
        <f aca="false">N(Q2082)+IF(AND(N(E2083)&lt;&gt;0,K2083=TAHUN,N(J2083)&lt;=BLN,OR(C2083=BB_AKUN,D2083=BB_AKUN)),1,0)</f>
        <v>877</v>
      </c>
      <c r="R2083" s="104" t="str">
        <f aca="false">IF(OR(C2083&amp;D2083="",N(E2083)=0),"",IF(OR(O2083="?",P2083="?"),"⚠ akun tidak dikenal",IF(C2083=D2083,"⚠ debet = kredit","")))</f>
        <v/>
      </c>
    </row>
    <row r="2084" customFormat="false" ht="15" hidden="false" customHeight="false" outlineLevel="0" collapsed="false">
      <c r="A2084" s="5"/>
      <c r="B2084" s="83"/>
      <c r="C2084" s="5"/>
      <c r="D2084" s="5"/>
      <c r="E2084" s="44"/>
      <c r="F2084" s="5"/>
      <c r="G2084" s="5"/>
      <c r="H2084" s="5"/>
      <c r="I2084" s="5"/>
      <c r="J2084" s="102" t="str">
        <f aca="false">IF(B2084="","",MONTH(B2084))</f>
        <v/>
      </c>
      <c r="K2084" s="102" t="str">
        <f aca="false">IF(B2084="","",YEAR(B2084))</f>
        <v/>
      </c>
      <c r="L2084" s="102" t="str">
        <f aca="false">IF(N(E2084)=0,"",IF(COUNTIFS(AK_NAMA,C2084,AK_KAT,"KAS")+COUNTIFS(AK_NAMA,D2084,AK_KAT,"KAS")&lt;&gt;1,"",IF(COUNTIFS(AK_NAMA,C2084,AK_KAT,"KAS")=1,D2084,C2084)))</f>
        <v/>
      </c>
      <c r="M2084" s="103" t="n">
        <f aca="false">IF(L2084="",0,IF(L2084=D2084,E2084,-E2084))</f>
        <v>0</v>
      </c>
      <c r="N2084" s="102" t="str">
        <f aca="false">IF(L2084="","",IFERROR(INDEX(AK_BARIS,MATCH(L2084,AK_NAMA,0)),"?"))</f>
        <v/>
      </c>
      <c r="O2084" s="102" t="str">
        <f aca="false">IF(C2084="","",IFERROR(INDEX(AK_KEL,MATCH(C2084,AK_NAMA,0)),"?"))</f>
        <v/>
      </c>
      <c r="P2084" s="102" t="str">
        <f aca="false">IF(D2084="","",IFERROR(INDEX(AK_KEL,MATCH(D2084,AK_NAMA,0)),"?"))</f>
        <v/>
      </c>
      <c r="Q2084" s="102" t="n">
        <f aca="false">N(Q2083)+IF(AND(N(E2084)&lt;&gt;0,K2084=TAHUN,N(J2084)&lt;=BLN,OR(C2084=BB_AKUN,D2084=BB_AKUN)),1,0)</f>
        <v>877</v>
      </c>
      <c r="R2084" s="104" t="str">
        <f aca="false">IF(OR(C2084&amp;D2084="",N(E2084)=0),"",IF(OR(O2084="?",P2084="?"),"⚠ akun tidak dikenal",IF(C2084=D2084,"⚠ debet = kredit","")))</f>
        <v/>
      </c>
    </row>
    <row r="2085" customFormat="false" ht="15" hidden="false" customHeight="false" outlineLevel="0" collapsed="false">
      <c r="A2085" s="5"/>
      <c r="B2085" s="83"/>
      <c r="C2085" s="5"/>
      <c r="D2085" s="5"/>
      <c r="E2085" s="44"/>
      <c r="F2085" s="5"/>
      <c r="G2085" s="5"/>
      <c r="H2085" s="5"/>
      <c r="I2085" s="5"/>
      <c r="J2085" s="102" t="str">
        <f aca="false">IF(B2085="","",MONTH(B2085))</f>
        <v/>
      </c>
      <c r="K2085" s="102" t="str">
        <f aca="false">IF(B2085="","",YEAR(B2085))</f>
        <v/>
      </c>
      <c r="L2085" s="102" t="str">
        <f aca="false">IF(N(E2085)=0,"",IF(COUNTIFS(AK_NAMA,C2085,AK_KAT,"KAS")+COUNTIFS(AK_NAMA,D2085,AK_KAT,"KAS")&lt;&gt;1,"",IF(COUNTIFS(AK_NAMA,C2085,AK_KAT,"KAS")=1,D2085,C2085)))</f>
        <v/>
      </c>
      <c r="M2085" s="103" t="n">
        <f aca="false">IF(L2085="",0,IF(L2085=D2085,E2085,-E2085))</f>
        <v>0</v>
      </c>
      <c r="N2085" s="102" t="str">
        <f aca="false">IF(L2085="","",IFERROR(INDEX(AK_BARIS,MATCH(L2085,AK_NAMA,0)),"?"))</f>
        <v/>
      </c>
      <c r="O2085" s="102" t="str">
        <f aca="false">IF(C2085="","",IFERROR(INDEX(AK_KEL,MATCH(C2085,AK_NAMA,0)),"?"))</f>
        <v/>
      </c>
      <c r="P2085" s="102" t="str">
        <f aca="false">IF(D2085="","",IFERROR(INDEX(AK_KEL,MATCH(D2085,AK_NAMA,0)),"?"))</f>
        <v/>
      </c>
      <c r="Q2085" s="102" t="n">
        <f aca="false">N(Q2084)+IF(AND(N(E2085)&lt;&gt;0,K2085=TAHUN,N(J2085)&lt;=BLN,OR(C2085=BB_AKUN,D2085=BB_AKUN)),1,0)</f>
        <v>877</v>
      </c>
      <c r="R2085" s="104" t="str">
        <f aca="false">IF(OR(C2085&amp;D2085="",N(E2085)=0),"",IF(OR(O2085="?",P2085="?"),"⚠ akun tidak dikenal",IF(C2085=D2085,"⚠ debet = kredit","")))</f>
        <v/>
      </c>
    </row>
    <row r="2086" customFormat="false" ht="15" hidden="false" customHeight="false" outlineLevel="0" collapsed="false">
      <c r="A2086" s="5"/>
      <c r="B2086" s="83"/>
      <c r="C2086" s="5"/>
      <c r="D2086" s="5"/>
      <c r="E2086" s="44"/>
      <c r="F2086" s="5"/>
      <c r="G2086" s="5"/>
      <c r="H2086" s="5"/>
      <c r="I2086" s="5"/>
      <c r="J2086" s="102" t="str">
        <f aca="false">IF(B2086="","",MONTH(B2086))</f>
        <v/>
      </c>
      <c r="K2086" s="102" t="str">
        <f aca="false">IF(B2086="","",YEAR(B2086))</f>
        <v/>
      </c>
      <c r="L2086" s="102" t="str">
        <f aca="false">IF(N(E2086)=0,"",IF(COUNTIFS(AK_NAMA,C2086,AK_KAT,"KAS")+COUNTIFS(AK_NAMA,D2086,AK_KAT,"KAS")&lt;&gt;1,"",IF(COUNTIFS(AK_NAMA,C2086,AK_KAT,"KAS")=1,D2086,C2086)))</f>
        <v/>
      </c>
      <c r="M2086" s="103" t="n">
        <f aca="false">IF(L2086="",0,IF(L2086=D2086,E2086,-E2086))</f>
        <v>0</v>
      </c>
      <c r="N2086" s="102" t="str">
        <f aca="false">IF(L2086="","",IFERROR(INDEX(AK_BARIS,MATCH(L2086,AK_NAMA,0)),"?"))</f>
        <v/>
      </c>
      <c r="O2086" s="102" t="str">
        <f aca="false">IF(C2086="","",IFERROR(INDEX(AK_KEL,MATCH(C2086,AK_NAMA,0)),"?"))</f>
        <v/>
      </c>
      <c r="P2086" s="102" t="str">
        <f aca="false">IF(D2086="","",IFERROR(INDEX(AK_KEL,MATCH(D2086,AK_NAMA,0)),"?"))</f>
        <v/>
      </c>
      <c r="Q2086" s="102" t="n">
        <f aca="false">N(Q2085)+IF(AND(N(E2086)&lt;&gt;0,K2086=TAHUN,N(J2086)&lt;=BLN,OR(C2086=BB_AKUN,D2086=BB_AKUN)),1,0)</f>
        <v>877</v>
      </c>
      <c r="R2086" s="104" t="str">
        <f aca="false">IF(OR(C2086&amp;D2086="",N(E2086)=0),"",IF(OR(O2086="?",P2086="?"),"⚠ akun tidak dikenal",IF(C2086=D2086,"⚠ debet = kredit","")))</f>
        <v/>
      </c>
    </row>
    <row r="2087" customFormat="false" ht="15" hidden="false" customHeight="false" outlineLevel="0" collapsed="false">
      <c r="A2087" s="5"/>
      <c r="B2087" s="83"/>
      <c r="C2087" s="5"/>
      <c r="D2087" s="5"/>
      <c r="E2087" s="44"/>
      <c r="F2087" s="5"/>
      <c r="G2087" s="5"/>
      <c r="H2087" s="5"/>
      <c r="I2087" s="5"/>
      <c r="J2087" s="102" t="str">
        <f aca="false">IF(B2087="","",MONTH(B2087))</f>
        <v/>
      </c>
      <c r="K2087" s="102" t="str">
        <f aca="false">IF(B2087="","",YEAR(B2087))</f>
        <v/>
      </c>
      <c r="L2087" s="102" t="str">
        <f aca="false">IF(N(E2087)=0,"",IF(COUNTIFS(AK_NAMA,C2087,AK_KAT,"KAS")+COUNTIFS(AK_NAMA,D2087,AK_KAT,"KAS")&lt;&gt;1,"",IF(COUNTIFS(AK_NAMA,C2087,AK_KAT,"KAS")=1,D2087,C2087)))</f>
        <v/>
      </c>
      <c r="M2087" s="103" t="n">
        <f aca="false">IF(L2087="",0,IF(L2087=D2087,E2087,-E2087))</f>
        <v>0</v>
      </c>
      <c r="N2087" s="102" t="str">
        <f aca="false">IF(L2087="","",IFERROR(INDEX(AK_BARIS,MATCH(L2087,AK_NAMA,0)),"?"))</f>
        <v/>
      </c>
      <c r="O2087" s="102" t="str">
        <f aca="false">IF(C2087="","",IFERROR(INDEX(AK_KEL,MATCH(C2087,AK_NAMA,0)),"?"))</f>
        <v/>
      </c>
      <c r="P2087" s="102" t="str">
        <f aca="false">IF(D2087="","",IFERROR(INDEX(AK_KEL,MATCH(D2087,AK_NAMA,0)),"?"))</f>
        <v/>
      </c>
      <c r="Q2087" s="102" t="n">
        <f aca="false">N(Q2086)+IF(AND(N(E2087)&lt;&gt;0,K2087=TAHUN,N(J2087)&lt;=BLN,OR(C2087=BB_AKUN,D2087=BB_AKUN)),1,0)</f>
        <v>877</v>
      </c>
      <c r="R2087" s="104" t="str">
        <f aca="false">IF(OR(C2087&amp;D2087="",N(E2087)=0),"",IF(OR(O2087="?",P2087="?"),"⚠ akun tidak dikenal",IF(C2087=D2087,"⚠ debet = kredit","")))</f>
        <v/>
      </c>
    </row>
    <row r="2088" customFormat="false" ht="15" hidden="false" customHeight="false" outlineLevel="0" collapsed="false">
      <c r="A2088" s="5"/>
      <c r="B2088" s="83"/>
      <c r="C2088" s="5"/>
      <c r="D2088" s="5"/>
      <c r="E2088" s="44"/>
      <c r="F2088" s="5"/>
      <c r="G2088" s="5"/>
      <c r="H2088" s="5"/>
      <c r="I2088" s="5"/>
      <c r="J2088" s="102" t="str">
        <f aca="false">IF(B2088="","",MONTH(B2088))</f>
        <v/>
      </c>
      <c r="K2088" s="102" t="str">
        <f aca="false">IF(B2088="","",YEAR(B2088))</f>
        <v/>
      </c>
      <c r="L2088" s="102" t="str">
        <f aca="false">IF(N(E2088)=0,"",IF(COUNTIFS(AK_NAMA,C2088,AK_KAT,"KAS")+COUNTIFS(AK_NAMA,D2088,AK_KAT,"KAS")&lt;&gt;1,"",IF(COUNTIFS(AK_NAMA,C2088,AK_KAT,"KAS")=1,D2088,C2088)))</f>
        <v/>
      </c>
      <c r="M2088" s="103" t="n">
        <f aca="false">IF(L2088="",0,IF(L2088=D2088,E2088,-E2088))</f>
        <v>0</v>
      </c>
      <c r="N2088" s="102" t="str">
        <f aca="false">IF(L2088="","",IFERROR(INDEX(AK_BARIS,MATCH(L2088,AK_NAMA,0)),"?"))</f>
        <v/>
      </c>
      <c r="O2088" s="102" t="str">
        <f aca="false">IF(C2088="","",IFERROR(INDEX(AK_KEL,MATCH(C2088,AK_NAMA,0)),"?"))</f>
        <v/>
      </c>
      <c r="P2088" s="102" t="str">
        <f aca="false">IF(D2088="","",IFERROR(INDEX(AK_KEL,MATCH(D2088,AK_NAMA,0)),"?"))</f>
        <v/>
      </c>
      <c r="Q2088" s="102" t="n">
        <f aca="false">N(Q2087)+IF(AND(N(E2088)&lt;&gt;0,K2088=TAHUN,N(J2088)&lt;=BLN,OR(C2088=BB_AKUN,D2088=BB_AKUN)),1,0)</f>
        <v>877</v>
      </c>
      <c r="R2088" s="104" t="str">
        <f aca="false">IF(OR(C2088&amp;D2088="",N(E2088)=0),"",IF(OR(O2088="?",P2088="?"),"⚠ akun tidak dikenal",IF(C2088=D2088,"⚠ debet = kredit","")))</f>
        <v/>
      </c>
    </row>
    <row r="2089" customFormat="false" ht="15" hidden="false" customHeight="false" outlineLevel="0" collapsed="false">
      <c r="A2089" s="5"/>
      <c r="B2089" s="83"/>
      <c r="C2089" s="5"/>
      <c r="D2089" s="5"/>
      <c r="E2089" s="44"/>
      <c r="F2089" s="5"/>
      <c r="G2089" s="5"/>
      <c r="H2089" s="5"/>
      <c r="I2089" s="5"/>
      <c r="J2089" s="102" t="str">
        <f aca="false">IF(B2089="","",MONTH(B2089))</f>
        <v/>
      </c>
      <c r="K2089" s="102" t="str">
        <f aca="false">IF(B2089="","",YEAR(B2089))</f>
        <v/>
      </c>
      <c r="L2089" s="102" t="str">
        <f aca="false">IF(N(E2089)=0,"",IF(COUNTIFS(AK_NAMA,C2089,AK_KAT,"KAS")+COUNTIFS(AK_NAMA,D2089,AK_KAT,"KAS")&lt;&gt;1,"",IF(COUNTIFS(AK_NAMA,C2089,AK_KAT,"KAS")=1,D2089,C2089)))</f>
        <v/>
      </c>
      <c r="M2089" s="103" t="n">
        <f aca="false">IF(L2089="",0,IF(L2089=D2089,E2089,-E2089))</f>
        <v>0</v>
      </c>
      <c r="N2089" s="102" t="str">
        <f aca="false">IF(L2089="","",IFERROR(INDEX(AK_BARIS,MATCH(L2089,AK_NAMA,0)),"?"))</f>
        <v/>
      </c>
      <c r="O2089" s="102" t="str">
        <f aca="false">IF(C2089="","",IFERROR(INDEX(AK_KEL,MATCH(C2089,AK_NAMA,0)),"?"))</f>
        <v/>
      </c>
      <c r="P2089" s="102" t="str">
        <f aca="false">IF(D2089="","",IFERROR(INDEX(AK_KEL,MATCH(D2089,AK_NAMA,0)),"?"))</f>
        <v/>
      </c>
      <c r="Q2089" s="102" t="n">
        <f aca="false">N(Q2088)+IF(AND(N(E2089)&lt;&gt;0,K2089=TAHUN,N(J2089)&lt;=BLN,OR(C2089=BB_AKUN,D2089=BB_AKUN)),1,0)</f>
        <v>877</v>
      </c>
      <c r="R2089" s="104" t="str">
        <f aca="false">IF(OR(C2089&amp;D2089="",N(E2089)=0),"",IF(OR(O2089="?",P2089="?"),"⚠ akun tidak dikenal",IF(C2089=D2089,"⚠ debet = kredit","")))</f>
        <v/>
      </c>
    </row>
    <row r="2090" customFormat="false" ht="15" hidden="false" customHeight="false" outlineLevel="0" collapsed="false">
      <c r="A2090" s="5"/>
      <c r="B2090" s="83"/>
      <c r="C2090" s="5"/>
      <c r="D2090" s="5"/>
      <c r="E2090" s="44"/>
      <c r="F2090" s="5"/>
      <c r="G2090" s="5"/>
      <c r="H2090" s="5"/>
      <c r="I2090" s="5"/>
      <c r="J2090" s="102" t="str">
        <f aca="false">IF(B2090="","",MONTH(B2090))</f>
        <v/>
      </c>
      <c r="K2090" s="102" t="str">
        <f aca="false">IF(B2090="","",YEAR(B2090))</f>
        <v/>
      </c>
      <c r="L2090" s="102" t="str">
        <f aca="false">IF(N(E2090)=0,"",IF(COUNTIFS(AK_NAMA,C2090,AK_KAT,"KAS")+COUNTIFS(AK_NAMA,D2090,AK_KAT,"KAS")&lt;&gt;1,"",IF(COUNTIFS(AK_NAMA,C2090,AK_KAT,"KAS")=1,D2090,C2090)))</f>
        <v/>
      </c>
      <c r="M2090" s="103" t="n">
        <f aca="false">IF(L2090="",0,IF(L2090=D2090,E2090,-E2090))</f>
        <v>0</v>
      </c>
      <c r="N2090" s="102" t="str">
        <f aca="false">IF(L2090="","",IFERROR(INDEX(AK_BARIS,MATCH(L2090,AK_NAMA,0)),"?"))</f>
        <v/>
      </c>
      <c r="O2090" s="102" t="str">
        <f aca="false">IF(C2090="","",IFERROR(INDEX(AK_KEL,MATCH(C2090,AK_NAMA,0)),"?"))</f>
        <v/>
      </c>
      <c r="P2090" s="102" t="str">
        <f aca="false">IF(D2090="","",IFERROR(INDEX(AK_KEL,MATCH(D2090,AK_NAMA,0)),"?"))</f>
        <v/>
      </c>
      <c r="Q2090" s="102" t="n">
        <f aca="false">N(Q2089)+IF(AND(N(E2090)&lt;&gt;0,K2090=TAHUN,N(J2090)&lt;=BLN,OR(C2090=BB_AKUN,D2090=BB_AKUN)),1,0)</f>
        <v>877</v>
      </c>
      <c r="R2090" s="104" t="str">
        <f aca="false">IF(OR(C2090&amp;D2090="",N(E2090)=0),"",IF(OR(O2090="?",P2090="?"),"⚠ akun tidak dikenal",IF(C2090=D2090,"⚠ debet = kredit","")))</f>
        <v/>
      </c>
    </row>
    <row r="2091" customFormat="false" ht="15" hidden="false" customHeight="false" outlineLevel="0" collapsed="false">
      <c r="A2091" s="5"/>
      <c r="B2091" s="83"/>
      <c r="C2091" s="5"/>
      <c r="D2091" s="5"/>
      <c r="E2091" s="44"/>
      <c r="F2091" s="5"/>
      <c r="G2091" s="5"/>
      <c r="H2091" s="5"/>
      <c r="I2091" s="5"/>
      <c r="J2091" s="102" t="str">
        <f aca="false">IF(B2091="","",MONTH(B2091))</f>
        <v/>
      </c>
      <c r="K2091" s="102" t="str">
        <f aca="false">IF(B2091="","",YEAR(B2091))</f>
        <v/>
      </c>
      <c r="L2091" s="102" t="str">
        <f aca="false">IF(N(E2091)=0,"",IF(COUNTIFS(AK_NAMA,C2091,AK_KAT,"KAS")+COUNTIFS(AK_NAMA,D2091,AK_KAT,"KAS")&lt;&gt;1,"",IF(COUNTIFS(AK_NAMA,C2091,AK_KAT,"KAS")=1,D2091,C2091)))</f>
        <v/>
      </c>
      <c r="M2091" s="103" t="n">
        <f aca="false">IF(L2091="",0,IF(L2091=D2091,E2091,-E2091))</f>
        <v>0</v>
      </c>
      <c r="N2091" s="102" t="str">
        <f aca="false">IF(L2091="","",IFERROR(INDEX(AK_BARIS,MATCH(L2091,AK_NAMA,0)),"?"))</f>
        <v/>
      </c>
      <c r="O2091" s="102" t="str">
        <f aca="false">IF(C2091="","",IFERROR(INDEX(AK_KEL,MATCH(C2091,AK_NAMA,0)),"?"))</f>
        <v/>
      </c>
      <c r="P2091" s="102" t="str">
        <f aca="false">IF(D2091="","",IFERROR(INDEX(AK_KEL,MATCH(D2091,AK_NAMA,0)),"?"))</f>
        <v/>
      </c>
      <c r="Q2091" s="102" t="n">
        <f aca="false">N(Q2090)+IF(AND(N(E2091)&lt;&gt;0,K2091=TAHUN,N(J2091)&lt;=BLN,OR(C2091=BB_AKUN,D2091=BB_AKUN)),1,0)</f>
        <v>877</v>
      </c>
      <c r="R2091" s="104" t="str">
        <f aca="false">IF(OR(C2091&amp;D2091="",N(E2091)=0),"",IF(OR(O2091="?",P2091="?"),"⚠ akun tidak dikenal",IF(C2091=D2091,"⚠ debet = kredit","")))</f>
        <v/>
      </c>
    </row>
    <row r="2092" customFormat="false" ht="15" hidden="false" customHeight="false" outlineLevel="0" collapsed="false">
      <c r="A2092" s="5"/>
      <c r="B2092" s="83"/>
      <c r="C2092" s="5"/>
      <c r="D2092" s="5"/>
      <c r="E2092" s="44"/>
      <c r="F2092" s="5"/>
      <c r="G2092" s="5"/>
      <c r="H2092" s="5"/>
      <c r="I2092" s="5"/>
      <c r="J2092" s="102" t="str">
        <f aca="false">IF(B2092="","",MONTH(B2092))</f>
        <v/>
      </c>
      <c r="K2092" s="102" t="str">
        <f aca="false">IF(B2092="","",YEAR(B2092))</f>
        <v/>
      </c>
      <c r="L2092" s="102" t="str">
        <f aca="false">IF(N(E2092)=0,"",IF(COUNTIFS(AK_NAMA,C2092,AK_KAT,"KAS")+COUNTIFS(AK_NAMA,D2092,AK_KAT,"KAS")&lt;&gt;1,"",IF(COUNTIFS(AK_NAMA,C2092,AK_KAT,"KAS")=1,D2092,C2092)))</f>
        <v/>
      </c>
      <c r="M2092" s="103" t="n">
        <f aca="false">IF(L2092="",0,IF(L2092=D2092,E2092,-E2092))</f>
        <v>0</v>
      </c>
      <c r="N2092" s="102" t="str">
        <f aca="false">IF(L2092="","",IFERROR(INDEX(AK_BARIS,MATCH(L2092,AK_NAMA,0)),"?"))</f>
        <v/>
      </c>
      <c r="O2092" s="102" t="str">
        <f aca="false">IF(C2092="","",IFERROR(INDEX(AK_KEL,MATCH(C2092,AK_NAMA,0)),"?"))</f>
        <v/>
      </c>
      <c r="P2092" s="102" t="str">
        <f aca="false">IF(D2092="","",IFERROR(INDEX(AK_KEL,MATCH(D2092,AK_NAMA,0)),"?"))</f>
        <v/>
      </c>
      <c r="Q2092" s="102" t="n">
        <f aca="false">N(Q2091)+IF(AND(N(E2092)&lt;&gt;0,K2092=TAHUN,N(J2092)&lt;=BLN,OR(C2092=BB_AKUN,D2092=BB_AKUN)),1,0)</f>
        <v>877</v>
      </c>
      <c r="R2092" s="104" t="str">
        <f aca="false">IF(OR(C2092&amp;D2092="",N(E2092)=0),"",IF(OR(O2092="?",P2092="?"),"⚠ akun tidak dikenal",IF(C2092=D2092,"⚠ debet = kredit","")))</f>
        <v/>
      </c>
    </row>
    <row r="2093" customFormat="false" ht="15" hidden="false" customHeight="false" outlineLevel="0" collapsed="false">
      <c r="A2093" s="5"/>
      <c r="B2093" s="83"/>
      <c r="C2093" s="5"/>
      <c r="D2093" s="5"/>
      <c r="E2093" s="44"/>
      <c r="F2093" s="5"/>
      <c r="G2093" s="5"/>
      <c r="H2093" s="5"/>
      <c r="I2093" s="5"/>
      <c r="J2093" s="102" t="str">
        <f aca="false">IF(B2093="","",MONTH(B2093))</f>
        <v/>
      </c>
      <c r="K2093" s="102" t="str">
        <f aca="false">IF(B2093="","",YEAR(B2093))</f>
        <v/>
      </c>
      <c r="L2093" s="102" t="str">
        <f aca="false">IF(N(E2093)=0,"",IF(COUNTIFS(AK_NAMA,C2093,AK_KAT,"KAS")+COUNTIFS(AK_NAMA,D2093,AK_KAT,"KAS")&lt;&gt;1,"",IF(COUNTIFS(AK_NAMA,C2093,AK_KAT,"KAS")=1,D2093,C2093)))</f>
        <v/>
      </c>
      <c r="M2093" s="103" t="n">
        <f aca="false">IF(L2093="",0,IF(L2093=D2093,E2093,-E2093))</f>
        <v>0</v>
      </c>
      <c r="N2093" s="102" t="str">
        <f aca="false">IF(L2093="","",IFERROR(INDEX(AK_BARIS,MATCH(L2093,AK_NAMA,0)),"?"))</f>
        <v/>
      </c>
      <c r="O2093" s="102" t="str">
        <f aca="false">IF(C2093="","",IFERROR(INDEX(AK_KEL,MATCH(C2093,AK_NAMA,0)),"?"))</f>
        <v/>
      </c>
      <c r="P2093" s="102" t="str">
        <f aca="false">IF(D2093="","",IFERROR(INDEX(AK_KEL,MATCH(D2093,AK_NAMA,0)),"?"))</f>
        <v/>
      </c>
      <c r="Q2093" s="102" t="n">
        <f aca="false">N(Q2092)+IF(AND(N(E2093)&lt;&gt;0,K2093=TAHUN,N(J2093)&lt;=BLN,OR(C2093=BB_AKUN,D2093=BB_AKUN)),1,0)</f>
        <v>877</v>
      </c>
      <c r="R2093" s="104" t="str">
        <f aca="false">IF(OR(C2093&amp;D2093="",N(E2093)=0),"",IF(OR(O2093="?",P2093="?"),"⚠ akun tidak dikenal",IF(C2093=D2093,"⚠ debet = kredit","")))</f>
        <v/>
      </c>
    </row>
    <row r="2094" customFormat="false" ht="15" hidden="false" customHeight="false" outlineLevel="0" collapsed="false">
      <c r="A2094" s="5"/>
      <c r="B2094" s="83"/>
      <c r="C2094" s="5"/>
      <c r="D2094" s="5"/>
      <c r="E2094" s="44"/>
      <c r="F2094" s="5"/>
      <c r="G2094" s="5"/>
      <c r="H2094" s="5"/>
      <c r="I2094" s="5"/>
      <c r="J2094" s="102" t="str">
        <f aca="false">IF(B2094="","",MONTH(B2094))</f>
        <v/>
      </c>
      <c r="K2094" s="102" t="str">
        <f aca="false">IF(B2094="","",YEAR(B2094))</f>
        <v/>
      </c>
      <c r="L2094" s="102" t="str">
        <f aca="false">IF(N(E2094)=0,"",IF(COUNTIFS(AK_NAMA,C2094,AK_KAT,"KAS")+COUNTIFS(AK_NAMA,D2094,AK_KAT,"KAS")&lt;&gt;1,"",IF(COUNTIFS(AK_NAMA,C2094,AK_KAT,"KAS")=1,D2094,C2094)))</f>
        <v/>
      </c>
      <c r="M2094" s="103" t="n">
        <f aca="false">IF(L2094="",0,IF(L2094=D2094,E2094,-E2094))</f>
        <v>0</v>
      </c>
      <c r="N2094" s="102" t="str">
        <f aca="false">IF(L2094="","",IFERROR(INDEX(AK_BARIS,MATCH(L2094,AK_NAMA,0)),"?"))</f>
        <v/>
      </c>
      <c r="O2094" s="102" t="str">
        <f aca="false">IF(C2094="","",IFERROR(INDEX(AK_KEL,MATCH(C2094,AK_NAMA,0)),"?"))</f>
        <v/>
      </c>
      <c r="P2094" s="102" t="str">
        <f aca="false">IF(D2094="","",IFERROR(INDEX(AK_KEL,MATCH(D2094,AK_NAMA,0)),"?"))</f>
        <v/>
      </c>
      <c r="Q2094" s="102" t="n">
        <f aca="false">N(Q2093)+IF(AND(N(E2094)&lt;&gt;0,K2094=TAHUN,N(J2094)&lt;=BLN,OR(C2094=BB_AKUN,D2094=BB_AKUN)),1,0)</f>
        <v>877</v>
      </c>
      <c r="R2094" s="104" t="str">
        <f aca="false">IF(OR(C2094&amp;D2094="",N(E2094)=0),"",IF(OR(O2094="?",P2094="?"),"⚠ akun tidak dikenal",IF(C2094=D2094,"⚠ debet = kredit","")))</f>
        <v/>
      </c>
    </row>
    <row r="2095" customFormat="false" ht="15" hidden="false" customHeight="false" outlineLevel="0" collapsed="false">
      <c r="A2095" s="5"/>
      <c r="B2095" s="83"/>
      <c r="C2095" s="5"/>
      <c r="D2095" s="5"/>
      <c r="E2095" s="44"/>
      <c r="F2095" s="5"/>
      <c r="G2095" s="5"/>
      <c r="H2095" s="5"/>
      <c r="I2095" s="5"/>
      <c r="J2095" s="102" t="str">
        <f aca="false">IF(B2095="","",MONTH(B2095))</f>
        <v/>
      </c>
      <c r="K2095" s="102" t="str">
        <f aca="false">IF(B2095="","",YEAR(B2095))</f>
        <v/>
      </c>
      <c r="L2095" s="102" t="str">
        <f aca="false">IF(N(E2095)=0,"",IF(COUNTIFS(AK_NAMA,C2095,AK_KAT,"KAS")+COUNTIFS(AK_NAMA,D2095,AK_KAT,"KAS")&lt;&gt;1,"",IF(COUNTIFS(AK_NAMA,C2095,AK_KAT,"KAS")=1,D2095,C2095)))</f>
        <v/>
      </c>
      <c r="M2095" s="103" t="n">
        <f aca="false">IF(L2095="",0,IF(L2095=D2095,E2095,-E2095))</f>
        <v>0</v>
      </c>
      <c r="N2095" s="102" t="str">
        <f aca="false">IF(L2095="","",IFERROR(INDEX(AK_BARIS,MATCH(L2095,AK_NAMA,0)),"?"))</f>
        <v/>
      </c>
      <c r="O2095" s="102" t="str">
        <f aca="false">IF(C2095="","",IFERROR(INDEX(AK_KEL,MATCH(C2095,AK_NAMA,0)),"?"))</f>
        <v/>
      </c>
      <c r="P2095" s="102" t="str">
        <f aca="false">IF(D2095="","",IFERROR(INDEX(AK_KEL,MATCH(D2095,AK_NAMA,0)),"?"))</f>
        <v/>
      </c>
      <c r="Q2095" s="102" t="n">
        <f aca="false">N(Q2094)+IF(AND(N(E2095)&lt;&gt;0,K2095=TAHUN,N(J2095)&lt;=BLN,OR(C2095=BB_AKUN,D2095=BB_AKUN)),1,0)</f>
        <v>877</v>
      </c>
      <c r="R2095" s="104" t="str">
        <f aca="false">IF(OR(C2095&amp;D2095="",N(E2095)=0),"",IF(OR(O2095="?",P2095="?"),"⚠ akun tidak dikenal",IF(C2095=D2095,"⚠ debet = kredit","")))</f>
        <v/>
      </c>
    </row>
    <row r="2096" customFormat="false" ht="15" hidden="false" customHeight="false" outlineLevel="0" collapsed="false">
      <c r="A2096" s="5"/>
      <c r="B2096" s="83"/>
      <c r="C2096" s="5"/>
      <c r="D2096" s="5"/>
      <c r="E2096" s="44"/>
      <c r="F2096" s="5"/>
      <c r="G2096" s="5"/>
      <c r="H2096" s="5"/>
      <c r="I2096" s="5"/>
      <c r="J2096" s="102" t="str">
        <f aca="false">IF(B2096="","",MONTH(B2096))</f>
        <v/>
      </c>
      <c r="K2096" s="102" t="str">
        <f aca="false">IF(B2096="","",YEAR(B2096))</f>
        <v/>
      </c>
      <c r="L2096" s="102" t="str">
        <f aca="false">IF(N(E2096)=0,"",IF(COUNTIFS(AK_NAMA,C2096,AK_KAT,"KAS")+COUNTIFS(AK_NAMA,D2096,AK_KAT,"KAS")&lt;&gt;1,"",IF(COUNTIFS(AK_NAMA,C2096,AK_KAT,"KAS")=1,D2096,C2096)))</f>
        <v/>
      </c>
      <c r="M2096" s="103" t="n">
        <f aca="false">IF(L2096="",0,IF(L2096=D2096,E2096,-E2096))</f>
        <v>0</v>
      </c>
      <c r="N2096" s="102" t="str">
        <f aca="false">IF(L2096="","",IFERROR(INDEX(AK_BARIS,MATCH(L2096,AK_NAMA,0)),"?"))</f>
        <v/>
      </c>
      <c r="O2096" s="102" t="str">
        <f aca="false">IF(C2096="","",IFERROR(INDEX(AK_KEL,MATCH(C2096,AK_NAMA,0)),"?"))</f>
        <v/>
      </c>
      <c r="P2096" s="102" t="str">
        <f aca="false">IF(D2096="","",IFERROR(INDEX(AK_KEL,MATCH(D2096,AK_NAMA,0)),"?"))</f>
        <v/>
      </c>
      <c r="Q2096" s="102" t="n">
        <f aca="false">N(Q2095)+IF(AND(N(E2096)&lt;&gt;0,K2096=TAHUN,N(J2096)&lt;=BLN,OR(C2096=BB_AKUN,D2096=BB_AKUN)),1,0)</f>
        <v>877</v>
      </c>
      <c r="R2096" s="104" t="str">
        <f aca="false">IF(OR(C2096&amp;D2096="",N(E2096)=0),"",IF(OR(O2096="?",P2096="?"),"⚠ akun tidak dikenal",IF(C2096=D2096,"⚠ debet = kredit","")))</f>
        <v/>
      </c>
    </row>
    <row r="2097" customFormat="false" ht="15" hidden="false" customHeight="false" outlineLevel="0" collapsed="false">
      <c r="A2097" s="5"/>
      <c r="B2097" s="83"/>
      <c r="C2097" s="5"/>
      <c r="D2097" s="5"/>
      <c r="E2097" s="44"/>
      <c r="F2097" s="5"/>
      <c r="G2097" s="5"/>
      <c r="H2097" s="5"/>
      <c r="I2097" s="5"/>
      <c r="J2097" s="102" t="str">
        <f aca="false">IF(B2097="","",MONTH(B2097))</f>
        <v/>
      </c>
      <c r="K2097" s="102" t="str">
        <f aca="false">IF(B2097="","",YEAR(B2097))</f>
        <v/>
      </c>
      <c r="L2097" s="102" t="str">
        <f aca="false">IF(N(E2097)=0,"",IF(COUNTIFS(AK_NAMA,C2097,AK_KAT,"KAS")+COUNTIFS(AK_NAMA,D2097,AK_KAT,"KAS")&lt;&gt;1,"",IF(COUNTIFS(AK_NAMA,C2097,AK_KAT,"KAS")=1,D2097,C2097)))</f>
        <v/>
      </c>
      <c r="M2097" s="103" t="n">
        <f aca="false">IF(L2097="",0,IF(L2097=D2097,E2097,-E2097))</f>
        <v>0</v>
      </c>
      <c r="N2097" s="102" t="str">
        <f aca="false">IF(L2097="","",IFERROR(INDEX(AK_BARIS,MATCH(L2097,AK_NAMA,0)),"?"))</f>
        <v/>
      </c>
      <c r="O2097" s="102" t="str">
        <f aca="false">IF(C2097="","",IFERROR(INDEX(AK_KEL,MATCH(C2097,AK_NAMA,0)),"?"))</f>
        <v/>
      </c>
      <c r="P2097" s="102" t="str">
        <f aca="false">IF(D2097="","",IFERROR(INDEX(AK_KEL,MATCH(D2097,AK_NAMA,0)),"?"))</f>
        <v/>
      </c>
      <c r="Q2097" s="102" t="n">
        <f aca="false">N(Q2096)+IF(AND(N(E2097)&lt;&gt;0,K2097=TAHUN,N(J2097)&lt;=BLN,OR(C2097=BB_AKUN,D2097=BB_AKUN)),1,0)</f>
        <v>877</v>
      </c>
      <c r="R2097" s="104" t="str">
        <f aca="false">IF(OR(C2097&amp;D2097="",N(E2097)=0),"",IF(OR(O2097="?",P2097="?"),"⚠ akun tidak dikenal",IF(C2097=D2097,"⚠ debet = kredit","")))</f>
        <v/>
      </c>
    </row>
    <row r="2098" customFormat="false" ht="15" hidden="false" customHeight="false" outlineLevel="0" collapsed="false">
      <c r="A2098" s="5"/>
      <c r="B2098" s="83"/>
      <c r="C2098" s="5"/>
      <c r="D2098" s="5"/>
      <c r="E2098" s="44"/>
      <c r="F2098" s="5"/>
      <c r="G2098" s="5"/>
      <c r="H2098" s="5"/>
      <c r="I2098" s="5"/>
      <c r="J2098" s="102" t="str">
        <f aca="false">IF(B2098="","",MONTH(B2098))</f>
        <v/>
      </c>
      <c r="K2098" s="102" t="str">
        <f aca="false">IF(B2098="","",YEAR(B2098))</f>
        <v/>
      </c>
      <c r="L2098" s="102" t="str">
        <f aca="false">IF(N(E2098)=0,"",IF(COUNTIFS(AK_NAMA,C2098,AK_KAT,"KAS")+COUNTIFS(AK_NAMA,D2098,AK_KAT,"KAS")&lt;&gt;1,"",IF(COUNTIFS(AK_NAMA,C2098,AK_KAT,"KAS")=1,D2098,C2098)))</f>
        <v/>
      </c>
      <c r="M2098" s="103" t="n">
        <f aca="false">IF(L2098="",0,IF(L2098=D2098,E2098,-E2098))</f>
        <v>0</v>
      </c>
      <c r="N2098" s="102" t="str">
        <f aca="false">IF(L2098="","",IFERROR(INDEX(AK_BARIS,MATCH(L2098,AK_NAMA,0)),"?"))</f>
        <v/>
      </c>
      <c r="O2098" s="102" t="str">
        <f aca="false">IF(C2098="","",IFERROR(INDEX(AK_KEL,MATCH(C2098,AK_NAMA,0)),"?"))</f>
        <v/>
      </c>
      <c r="P2098" s="102" t="str">
        <f aca="false">IF(D2098="","",IFERROR(INDEX(AK_KEL,MATCH(D2098,AK_NAMA,0)),"?"))</f>
        <v/>
      </c>
      <c r="Q2098" s="102" t="n">
        <f aca="false">N(Q2097)+IF(AND(N(E2098)&lt;&gt;0,K2098=TAHUN,N(J2098)&lt;=BLN,OR(C2098=BB_AKUN,D2098=BB_AKUN)),1,0)</f>
        <v>877</v>
      </c>
      <c r="R2098" s="104" t="str">
        <f aca="false">IF(OR(C2098&amp;D2098="",N(E2098)=0),"",IF(OR(O2098="?",P2098="?"),"⚠ akun tidak dikenal",IF(C2098=D2098,"⚠ debet = kredit","")))</f>
        <v/>
      </c>
    </row>
    <row r="2099" customFormat="false" ht="15" hidden="false" customHeight="false" outlineLevel="0" collapsed="false">
      <c r="A2099" s="5"/>
      <c r="B2099" s="83"/>
      <c r="C2099" s="5"/>
      <c r="D2099" s="5"/>
      <c r="E2099" s="44"/>
      <c r="F2099" s="5"/>
      <c r="G2099" s="5"/>
      <c r="H2099" s="5"/>
      <c r="I2099" s="5"/>
      <c r="J2099" s="102" t="str">
        <f aca="false">IF(B2099="","",MONTH(B2099))</f>
        <v/>
      </c>
      <c r="K2099" s="102" t="str">
        <f aca="false">IF(B2099="","",YEAR(B2099))</f>
        <v/>
      </c>
      <c r="L2099" s="102" t="str">
        <f aca="false">IF(N(E2099)=0,"",IF(COUNTIFS(AK_NAMA,C2099,AK_KAT,"KAS")+COUNTIFS(AK_NAMA,D2099,AK_KAT,"KAS")&lt;&gt;1,"",IF(COUNTIFS(AK_NAMA,C2099,AK_KAT,"KAS")=1,D2099,C2099)))</f>
        <v/>
      </c>
      <c r="M2099" s="103" t="n">
        <f aca="false">IF(L2099="",0,IF(L2099=D2099,E2099,-E2099))</f>
        <v>0</v>
      </c>
      <c r="N2099" s="102" t="str">
        <f aca="false">IF(L2099="","",IFERROR(INDEX(AK_BARIS,MATCH(L2099,AK_NAMA,0)),"?"))</f>
        <v/>
      </c>
      <c r="O2099" s="102" t="str">
        <f aca="false">IF(C2099="","",IFERROR(INDEX(AK_KEL,MATCH(C2099,AK_NAMA,0)),"?"))</f>
        <v/>
      </c>
      <c r="P2099" s="102" t="str">
        <f aca="false">IF(D2099="","",IFERROR(INDEX(AK_KEL,MATCH(D2099,AK_NAMA,0)),"?"))</f>
        <v/>
      </c>
      <c r="Q2099" s="102" t="n">
        <f aca="false">N(Q2098)+IF(AND(N(E2099)&lt;&gt;0,K2099=TAHUN,N(J2099)&lt;=BLN,OR(C2099=BB_AKUN,D2099=BB_AKUN)),1,0)</f>
        <v>877</v>
      </c>
      <c r="R2099" s="104" t="str">
        <f aca="false">IF(OR(C2099&amp;D2099="",N(E2099)=0),"",IF(OR(O2099="?",P2099="?"),"⚠ akun tidak dikenal",IF(C2099=D2099,"⚠ debet = kredit","")))</f>
        <v/>
      </c>
    </row>
    <row r="2100" customFormat="false" ht="15" hidden="false" customHeight="false" outlineLevel="0" collapsed="false">
      <c r="A2100" s="5"/>
      <c r="B2100" s="83"/>
      <c r="C2100" s="5"/>
      <c r="D2100" s="5"/>
      <c r="E2100" s="44"/>
      <c r="F2100" s="5"/>
      <c r="G2100" s="5"/>
      <c r="H2100" s="5"/>
      <c r="I2100" s="5"/>
      <c r="J2100" s="102" t="str">
        <f aca="false">IF(B2100="","",MONTH(B2100))</f>
        <v/>
      </c>
      <c r="K2100" s="102" t="str">
        <f aca="false">IF(B2100="","",YEAR(B2100))</f>
        <v/>
      </c>
      <c r="L2100" s="102" t="str">
        <f aca="false">IF(N(E2100)=0,"",IF(COUNTIFS(AK_NAMA,C2100,AK_KAT,"KAS")+COUNTIFS(AK_NAMA,D2100,AK_KAT,"KAS")&lt;&gt;1,"",IF(COUNTIFS(AK_NAMA,C2100,AK_KAT,"KAS")=1,D2100,C2100)))</f>
        <v/>
      </c>
      <c r="M2100" s="103" t="n">
        <f aca="false">IF(L2100="",0,IF(L2100=D2100,E2100,-E2100))</f>
        <v>0</v>
      </c>
      <c r="N2100" s="102" t="str">
        <f aca="false">IF(L2100="","",IFERROR(INDEX(AK_BARIS,MATCH(L2100,AK_NAMA,0)),"?"))</f>
        <v/>
      </c>
      <c r="O2100" s="102" t="str">
        <f aca="false">IF(C2100="","",IFERROR(INDEX(AK_KEL,MATCH(C2100,AK_NAMA,0)),"?"))</f>
        <v/>
      </c>
      <c r="P2100" s="102" t="str">
        <f aca="false">IF(D2100="","",IFERROR(INDEX(AK_KEL,MATCH(D2100,AK_NAMA,0)),"?"))</f>
        <v/>
      </c>
      <c r="Q2100" s="102" t="n">
        <f aca="false">N(Q2099)+IF(AND(N(E2100)&lt;&gt;0,K2100=TAHUN,N(J2100)&lt;=BLN,OR(C2100=BB_AKUN,D2100=BB_AKUN)),1,0)</f>
        <v>877</v>
      </c>
      <c r="R2100" s="104" t="str">
        <f aca="false">IF(OR(C2100&amp;D2100="",N(E2100)=0),"",IF(OR(O2100="?",P2100="?"),"⚠ akun tidak dikenal",IF(C2100=D2100,"⚠ debet = kredit","")))</f>
        <v/>
      </c>
    </row>
    <row r="2101" customFormat="false" ht="15" hidden="false" customHeight="false" outlineLevel="0" collapsed="false">
      <c r="A2101" s="5"/>
      <c r="B2101" s="83"/>
      <c r="C2101" s="5"/>
      <c r="D2101" s="5"/>
      <c r="E2101" s="44"/>
      <c r="F2101" s="5"/>
      <c r="G2101" s="5"/>
      <c r="H2101" s="5"/>
      <c r="I2101" s="5"/>
      <c r="J2101" s="102" t="str">
        <f aca="false">IF(B2101="","",MONTH(B2101))</f>
        <v/>
      </c>
      <c r="K2101" s="102" t="str">
        <f aca="false">IF(B2101="","",YEAR(B2101))</f>
        <v/>
      </c>
      <c r="L2101" s="102" t="str">
        <f aca="false">IF(N(E2101)=0,"",IF(COUNTIFS(AK_NAMA,C2101,AK_KAT,"KAS")+COUNTIFS(AK_NAMA,D2101,AK_KAT,"KAS")&lt;&gt;1,"",IF(COUNTIFS(AK_NAMA,C2101,AK_KAT,"KAS")=1,D2101,C2101)))</f>
        <v/>
      </c>
      <c r="M2101" s="103" t="n">
        <f aca="false">IF(L2101="",0,IF(L2101=D2101,E2101,-E2101))</f>
        <v>0</v>
      </c>
      <c r="N2101" s="102" t="str">
        <f aca="false">IF(L2101="","",IFERROR(INDEX(AK_BARIS,MATCH(L2101,AK_NAMA,0)),"?"))</f>
        <v/>
      </c>
      <c r="O2101" s="102" t="str">
        <f aca="false">IF(C2101="","",IFERROR(INDEX(AK_KEL,MATCH(C2101,AK_NAMA,0)),"?"))</f>
        <v/>
      </c>
      <c r="P2101" s="102" t="str">
        <f aca="false">IF(D2101="","",IFERROR(INDEX(AK_KEL,MATCH(D2101,AK_NAMA,0)),"?"))</f>
        <v/>
      </c>
      <c r="Q2101" s="102" t="n">
        <f aca="false">N(Q2100)+IF(AND(N(E2101)&lt;&gt;0,K2101=TAHUN,N(J2101)&lt;=BLN,OR(C2101=BB_AKUN,D2101=BB_AKUN)),1,0)</f>
        <v>877</v>
      </c>
      <c r="R2101" s="104" t="str">
        <f aca="false">IF(OR(C2101&amp;D2101="",N(E2101)=0),"",IF(OR(O2101="?",P2101="?"),"⚠ akun tidak dikenal",IF(C2101=D2101,"⚠ debet = kredit","")))</f>
        <v/>
      </c>
    </row>
    <row r="2102" customFormat="false" ht="15" hidden="false" customHeight="false" outlineLevel="0" collapsed="false">
      <c r="A2102" s="5"/>
      <c r="B2102" s="83"/>
      <c r="C2102" s="5"/>
      <c r="D2102" s="5"/>
      <c r="E2102" s="44"/>
      <c r="F2102" s="5"/>
      <c r="G2102" s="5"/>
      <c r="H2102" s="5"/>
      <c r="I2102" s="5"/>
      <c r="J2102" s="102" t="str">
        <f aca="false">IF(B2102="","",MONTH(B2102))</f>
        <v/>
      </c>
      <c r="K2102" s="102" t="str">
        <f aca="false">IF(B2102="","",YEAR(B2102))</f>
        <v/>
      </c>
      <c r="L2102" s="102" t="str">
        <f aca="false">IF(N(E2102)=0,"",IF(COUNTIFS(AK_NAMA,C2102,AK_KAT,"KAS")+COUNTIFS(AK_NAMA,D2102,AK_KAT,"KAS")&lt;&gt;1,"",IF(COUNTIFS(AK_NAMA,C2102,AK_KAT,"KAS")=1,D2102,C2102)))</f>
        <v/>
      </c>
      <c r="M2102" s="103" t="n">
        <f aca="false">IF(L2102="",0,IF(L2102=D2102,E2102,-E2102))</f>
        <v>0</v>
      </c>
      <c r="N2102" s="102" t="str">
        <f aca="false">IF(L2102="","",IFERROR(INDEX(AK_BARIS,MATCH(L2102,AK_NAMA,0)),"?"))</f>
        <v/>
      </c>
      <c r="O2102" s="102" t="str">
        <f aca="false">IF(C2102="","",IFERROR(INDEX(AK_KEL,MATCH(C2102,AK_NAMA,0)),"?"))</f>
        <v/>
      </c>
      <c r="P2102" s="102" t="str">
        <f aca="false">IF(D2102="","",IFERROR(INDEX(AK_KEL,MATCH(D2102,AK_NAMA,0)),"?"))</f>
        <v/>
      </c>
      <c r="Q2102" s="102" t="n">
        <f aca="false">N(Q2101)+IF(AND(N(E2102)&lt;&gt;0,K2102=TAHUN,N(J2102)&lt;=BLN,OR(C2102=BB_AKUN,D2102=BB_AKUN)),1,0)</f>
        <v>877</v>
      </c>
      <c r="R2102" s="104" t="str">
        <f aca="false">IF(OR(C2102&amp;D2102="",N(E2102)=0),"",IF(OR(O2102="?",P2102="?"),"⚠ akun tidak dikenal",IF(C2102=D2102,"⚠ debet = kredit","")))</f>
        <v/>
      </c>
    </row>
    <row r="2103" customFormat="false" ht="15" hidden="false" customHeight="false" outlineLevel="0" collapsed="false">
      <c r="A2103" s="5"/>
      <c r="B2103" s="83"/>
      <c r="C2103" s="5"/>
      <c r="D2103" s="5"/>
      <c r="E2103" s="44"/>
      <c r="F2103" s="5"/>
      <c r="G2103" s="5"/>
      <c r="H2103" s="5"/>
      <c r="I2103" s="5"/>
      <c r="J2103" s="102" t="str">
        <f aca="false">IF(B2103="","",MONTH(B2103))</f>
        <v/>
      </c>
      <c r="K2103" s="102" t="str">
        <f aca="false">IF(B2103="","",YEAR(B2103))</f>
        <v/>
      </c>
      <c r="L2103" s="102" t="str">
        <f aca="false">IF(N(E2103)=0,"",IF(COUNTIFS(AK_NAMA,C2103,AK_KAT,"KAS")+COUNTIFS(AK_NAMA,D2103,AK_KAT,"KAS")&lt;&gt;1,"",IF(COUNTIFS(AK_NAMA,C2103,AK_KAT,"KAS")=1,D2103,C2103)))</f>
        <v/>
      </c>
      <c r="M2103" s="103" t="n">
        <f aca="false">IF(L2103="",0,IF(L2103=D2103,E2103,-E2103))</f>
        <v>0</v>
      </c>
      <c r="N2103" s="102" t="str">
        <f aca="false">IF(L2103="","",IFERROR(INDEX(AK_BARIS,MATCH(L2103,AK_NAMA,0)),"?"))</f>
        <v/>
      </c>
      <c r="O2103" s="102" t="str">
        <f aca="false">IF(C2103="","",IFERROR(INDEX(AK_KEL,MATCH(C2103,AK_NAMA,0)),"?"))</f>
        <v/>
      </c>
      <c r="P2103" s="102" t="str">
        <f aca="false">IF(D2103="","",IFERROR(INDEX(AK_KEL,MATCH(D2103,AK_NAMA,0)),"?"))</f>
        <v/>
      </c>
      <c r="Q2103" s="102" t="n">
        <f aca="false">N(Q2102)+IF(AND(N(E2103)&lt;&gt;0,K2103=TAHUN,N(J2103)&lt;=BLN,OR(C2103=BB_AKUN,D2103=BB_AKUN)),1,0)</f>
        <v>877</v>
      </c>
      <c r="R2103" s="104" t="str">
        <f aca="false">IF(OR(C2103&amp;D2103="",N(E2103)=0),"",IF(OR(O2103="?",P2103="?"),"⚠ akun tidak dikenal",IF(C2103=D2103,"⚠ debet = kredit","")))</f>
        <v/>
      </c>
    </row>
    <row r="2104" customFormat="false" ht="15" hidden="false" customHeight="false" outlineLevel="0" collapsed="false">
      <c r="A2104" s="5"/>
      <c r="B2104" s="83"/>
      <c r="C2104" s="5"/>
      <c r="D2104" s="5"/>
      <c r="E2104" s="44"/>
      <c r="F2104" s="5"/>
      <c r="G2104" s="5"/>
      <c r="H2104" s="5"/>
      <c r="I2104" s="5"/>
      <c r="J2104" s="102" t="str">
        <f aca="false">IF(B2104="","",MONTH(B2104))</f>
        <v/>
      </c>
      <c r="K2104" s="102" t="str">
        <f aca="false">IF(B2104="","",YEAR(B2104))</f>
        <v/>
      </c>
      <c r="L2104" s="102" t="str">
        <f aca="false">IF(N(E2104)=0,"",IF(COUNTIFS(AK_NAMA,C2104,AK_KAT,"KAS")+COUNTIFS(AK_NAMA,D2104,AK_KAT,"KAS")&lt;&gt;1,"",IF(COUNTIFS(AK_NAMA,C2104,AK_KAT,"KAS")=1,D2104,C2104)))</f>
        <v/>
      </c>
      <c r="M2104" s="103" t="n">
        <f aca="false">IF(L2104="",0,IF(L2104=D2104,E2104,-E2104))</f>
        <v>0</v>
      </c>
      <c r="N2104" s="102" t="str">
        <f aca="false">IF(L2104="","",IFERROR(INDEX(AK_BARIS,MATCH(L2104,AK_NAMA,0)),"?"))</f>
        <v/>
      </c>
      <c r="O2104" s="102" t="str">
        <f aca="false">IF(C2104="","",IFERROR(INDEX(AK_KEL,MATCH(C2104,AK_NAMA,0)),"?"))</f>
        <v/>
      </c>
      <c r="P2104" s="102" t="str">
        <f aca="false">IF(D2104="","",IFERROR(INDEX(AK_KEL,MATCH(D2104,AK_NAMA,0)),"?"))</f>
        <v/>
      </c>
      <c r="Q2104" s="102" t="n">
        <f aca="false">N(Q2103)+IF(AND(N(E2104)&lt;&gt;0,K2104=TAHUN,N(J2104)&lt;=BLN,OR(C2104=BB_AKUN,D2104=BB_AKUN)),1,0)</f>
        <v>877</v>
      </c>
      <c r="R2104" s="104" t="str">
        <f aca="false">IF(OR(C2104&amp;D2104="",N(E2104)=0),"",IF(OR(O2104="?",P2104="?"),"⚠ akun tidak dikenal",IF(C2104=D2104,"⚠ debet = kredit","")))</f>
        <v/>
      </c>
    </row>
    <row r="2105" customFormat="false" ht="15" hidden="false" customHeight="false" outlineLevel="0" collapsed="false">
      <c r="A2105" s="5"/>
      <c r="B2105" s="83"/>
      <c r="C2105" s="5"/>
      <c r="D2105" s="5"/>
      <c r="E2105" s="44"/>
      <c r="F2105" s="5"/>
      <c r="G2105" s="5"/>
      <c r="H2105" s="5"/>
      <c r="I2105" s="5"/>
      <c r="J2105" s="102" t="str">
        <f aca="false">IF(B2105="","",MONTH(B2105))</f>
        <v/>
      </c>
      <c r="K2105" s="102" t="str">
        <f aca="false">IF(B2105="","",YEAR(B2105))</f>
        <v/>
      </c>
      <c r="L2105" s="102" t="str">
        <f aca="false">IF(N(E2105)=0,"",IF(COUNTIFS(AK_NAMA,C2105,AK_KAT,"KAS")+COUNTIFS(AK_NAMA,D2105,AK_KAT,"KAS")&lt;&gt;1,"",IF(COUNTIFS(AK_NAMA,C2105,AK_KAT,"KAS")=1,D2105,C2105)))</f>
        <v/>
      </c>
      <c r="M2105" s="103" t="n">
        <f aca="false">IF(L2105="",0,IF(L2105=D2105,E2105,-E2105))</f>
        <v>0</v>
      </c>
      <c r="N2105" s="102" t="str">
        <f aca="false">IF(L2105="","",IFERROR(INDEX(AK_BARIS,MATCH(L2105,AK_NAMA,0)),"?"))</f>
        <v/>
      </c>
      <c r="O2105" s="102" t="str">
        <f aca="false">IF(C2105="","",IFERROR(INDEX(AK_KEL,MATCH(C2105,AK_NAMA,0)),"?"))</f>
        <v/>
      </c>
      <c r="P2105" s="102" t="str">
        <f aca="false">IF(D2105="","",IFERROR(INDEX(AK_KEL,MATCH(D2105,AK_NAMA,0)),"?"))</f>
        <v/>
      </c>
      <c r="Q2105" s="102" t="n">
        <f aca="false">N(Q2104)+IF(AND(N(E2105)&lt;&gt;0,K2105=TAHUN,N(J2105)&lt;=BLN,OR(C2105=BB_AKUN,D2105=BB_AKUN)),1,0)</f>
        <v>877</v>
      </c>
      <c r="R2105" s="104" t="str">
        <f aca="false">IF(OR(C2105&amp;D2105="",N(E2105)=0),"",IF(OR(O2105="?",P2105="?"),"⚠ akun tidak dikenal",IF(C2105=D2105,"⚠ debet = kredit","")))</f>
        <v/>
      </c>
    </row>
    <row r="2106" customFormat="false" ht="15" hidden="false" customHeight="false" outlineLevel="0" collapsed="false">
      <c r="A2106" s="5"/>
      <c r="B2106" s="83"/>
      <c r="C2106" s="5"/>
      <c r="D2106" s="5"/>
      <c r="E2106" s="44"/>
      <c r="F2106" s="5"/>
      <c r="G2106" s="5"/>
      <c r="H2106" s="5"/>
      <c r="I2106" s="5"/>
      <c r="J2106" s="102" t="str">
        <f aca="false">IF(B2106="","",MONTH(B2106))</f>
        <v/>
      </c>
      <c r="K2106" s="102" t="str">
        <f aca="false">IF(B2106="","",YEAR(B2106))</f>
        <v/>
      </c>
      <c r="L2106" s="102" t="str">
        <f aca="false">IF(N(E2106)=0,"",IF(COUNTIFS(AK_NAMA,C2106,AK_KAT,"KAS")+COUNTIFS(AK_NAMA,D2106,AK_KAT,"KAS")&lt;&gt;1,"",IF(COUNTIFS(AK_NAMA,C2106,AK_KAT,"KAS")=1,D2106,C2106)))</f>
        <v/>
      </c>
      <c r="M2106" s="103" t="n">
        <f aca="false">IF(L2106="",0,IF(L2106=D2106,E2106,-E2106))</f>
        <v>0</v>
      </c>
      <c r="N2106" s="102" t="str">
        <f aca="false">IF(L2106="","",IFERROR(INDEX(AK_BARIS,MATCH(L2106,AK_NAMA,0)),"?"))</f>
        <v/>
      </c>
      <c r="O2106" s="102" t="str">
        <f aca="false">IF(C2106="","",IFERROR(INDEX(AK_KEL,MATCH(C2106,AK_NAMA,0)),"?"))</f>
        <v/>
      </c>
      <c r="P2106" s="102" t="str">
        <f aca="false">IF(D2106="","",IFERROR(INDEX(AK_KEL,MATCH(D2106,AK_NAMA,0)),"?"))</f>
        <v/>
      </c>
      <c r="Q2106" s="102" t="n">
        <f aca="false">N(Q2105)+IF(AND(N(E2106)&lt;&gt;0,K2106=TAHUN,N(J2106)&lt;=BLN,OR(C2106=BB_AKUN,D2106=BB_AKUN)),1,0)</f>
        <v>877</v>
      </c>
      <c r="R2106" s="104" t="str">
        <f aca="false">IF(OR(C2106&amp;D2106="",N(E2106)=0),"",IF(OR(O2106="?",P2106="?"),"⚠ akun tidak dikenal",IF(C2106=D2106,"⚠ debet = kredit","")))</f>
        <v/>
      </c>
    </row>
    <row r="2107" customFormat="false" ht="15" hidden="false" customHeight="false" outlineLevel="0" collapsed="false">
      <c r="A2107" s="5"/>
      <c r="B2107" s="83"/>
      <c r="C2107" s="5"/>
      <c r="D2107" s="5"/>
      <c r="E2107" s="44"/>
      <c r="F2107" s="5"/>
      <c r="G2107" s="5"/>
      <c r="H2107" s="5"/>
      <c r="I2107" s="5"/>
      <c r="J2107" s="102" t="str">
        <f aca="false">IF(B2107="","",MONTH(B2107))</f>
        <v/>
      </c>
      <c r="K2107" s="102" t="str">
        <f aca="false">IF(B2107="","",YEAR(B2107))</f>
        <v/>
      </c>
      <c r="L2107" s="102" t="str">
        <f aca="false">IF(N(E2107)=0,"",IF(COUNTIFS(AK_NAMA,C2107,AK_KAT,"KAS")+COUNTIFS(AK_NAMA,D2107,AK_KAT,"KAS")&lt;&gt;1,"",IF(COUNTIFS(AK_NAMA,C2107,AK_KAT,"KAS")=1,D2107,C2107)))</f>
        <v/>
      </c>
      <c r="M2107" s="103" t="n">
        <f aca="false">IF(L2107="",0,IF(L2107=D2107,E2107,-E2107))</f>
        <v>0</v>
      </c>
      <c r="N2107" s="102" t="str">
        <f aca="false">IF(L2107="","",IFERROR(INDEX(AK_BARIS,MATCH(L2107,AK_NAMA,0)),"?"))</f>
        <v/>
      </c>
      <c r="O2107" s="102" t="str">
        <f aca="false">IF(C2107="","",IFERROR(INDEX(AK_KEL,MATCH(C2107,AK_NAMA,0)),"?"))</f>
        <v/>
      </c>
      <c r="P2107" s="102" t="str">
        <f aca="false">IF(D2107="","",IFERROR(INDEX(AK_KEL,MATCH(D2107,AK_NAMA,0)),"?"))</f>
        <v/>
      </c>
      <c r="Q2107" s="102" t="n">
        <f aca="false">N(Q2106)+IF(AND(N(E2107)&lt;&gt;0,K2107=TAHUN,N(J2107)&lt;=BLN,OR(C2107=BB_AKUN,D2107=BB_AKUN)),1,0)</f>
        <v>877</v>
      </c>
      <c r="R2107" s="104" t="str">
        <f aca="false">IF(OR(C2107&amp;D2107="",N(E2107)=0),"",IF(OR(O2107="?",P2107="?"),"⚠ akun tidak dikenal",IF(C2107=D2107,"⚠ debet = kredit","")))</f>
        <v/>
      </c>
    </row>
    <row r="2108" customFormat="false" ht="15" hidden="false" customHeight="false" outlineLevel="0" collapsed="false">
      <c r="A2108" s="5"/>
      <c r="B2108" s="83"/>
      <c r="C2108" s="5"/>
      <c r="D2108" s="5"/>
      <c r="E2108" s="44"/>
      <c r="F2108" s="5"/>
      <c r="G2108" s="5"/>
      <c r="H2108" s="5"/>
      <c r="I2108" s="5"/>
      <c r="J2108" s="102" t="str">
        <f aca="false">IF(B2108="","",MONTH(B2108))</f>
        <v/>
      </c>
      <c r="K2108" s="102" t="str">
        <f aca="false">IF(B2108="","",YEAR(B2108))</f>
        <v/>
      </c>
      <c r="L2108" s="102" t="str">
        <f aca="false">IF(N(E2108)=0,"",IF(COUNTIFS(AK_NAMA,C2108,AK_KAT,"KAS")+COUNTIFS(AK_NAMA,D2108,AK_KAT,"KAS")&lt;&gt;1,"",IF(COUNTIFS(AK_NAMA,C2108,AK_KAT,"KAS")=1,D2108,C2108)))</f>
        <v/>
      </c>
      <c r="M2108" s="103" t="n">
        <f aca="false">IF(L2108="",0,IF(L2108=D2108,E2108,-E2108))</f>
        <v>0</v>
      </c>
      <c r="N2108" s="102" t="str">
        <f aca="false">IF(L2108="","",IFERROR(INDEX(AK_BARIS,MATCH(L2108,AK_NAMA,0)),"?"))</f>
        <v/>
      </c>
      <c r="O2108" s="102" t="str">
        <f aca="false">IF(C2108="","",IFERROR(INDEX(AK_KEL,MATCH(C2108,AK_NAMA,0)),"?"))</f>
        <v/>
      </c>
      <c r="P2108" s="102" t="str">
        <f aca="false">IF(D2108="","",IFERROR(INDEX(AK_KEL,MATCH(D2108,AK_NAMA,0)),"?"))</f>
        <v/>
      </c>
      <c r="Q2108" s="102" t="n">
        <f aca="false">N(Q2107)+IF(AND(N(E2108)&lt;&gt;0,K2108=TAHUN,N(J2108)&lt;=BLN,OR(C2108=BB_AKUN,D2108=BB_AKUN)),1,0)</f>
        <v>877</v>
      </c>
      <c r="R2108" s="104" t="str">
        <f aca="false">IF(OR(C2108&amp;D2108="",N(E2108)=0),"",IF(OR(O2108="?",P2108="?"),"⚠ akun tidak dikenal",IF(C2108=D2108,"⚠ debet = kredit","")))</f>
        <v/>
      </c>
    </row>
    <row r="2109" customFormat="false" ht="15" hidden="false" customHeight="false" outlineLevel="0" collapsed="false">
      <c r="A2109" s="5"/>
      <c r="B2109" s="83"/>
      <c r="C2109" s="5"/>
      <c r="D2109" s="5"/>
      <c r="E2109" s="44"/>
      <c r="F2109" s="5"/>
      <c r="G2109" s="5"/>
      <c r="H2109" s="5"/>
      <c r="I2109" s="5"/>
      <c r="J2109" s="102" t="str">
        <f aca="false">IF(B2109="","",MONTH(B2109))</f>
        <v/>
      </c>
      <c r="K2109" s="102" t="str">
        <f aca="false">IF(B2109="","",YEAR(B2109))</f>
        <v/>
      </c>
      <c r="L2109" s="102" t="str">
        <f aca="false">IF(N(E2109)=0,"",IF(COUNTIFS(AK_NAMA,C2109,AK_KAT,"KAS")+COUNTIFS(AK_NAMA,D2109,AK_KAT,"KAS")&lt;&gt;1,"",IF(COUNTIFS(AK_NAMA,C2109,AK_KAT,"KAS")=1,D2109,C2109)))</f>
        <v/>
      </c>
      <c r="M2109" s="103" t="n">
        <f aca="false">IF(L2109="",0,IF(L2109=D2109,E2109,-E2109))</f>
        <v>0</v>
      </c>
      <c r="N2109" s="102" t="str">
        <f aca="false">IF(L2109="","",IFERROR(INDEX(AK_BARIS,MATCH(L2109,AK_NAMA,0)),"?"))</f>
        <v/>
      </c>
      <c r="O2109" s="102" t="str">
        <f aca="false">IF(C2109="","",IFERROR(INDEX(AK_KEL,MATCH(C2109,AK_NAMA,0)),"?"))</f>
        <v/>
      </c>
      <c r="P2109" s="102" t="str">
        <f aca="false">IF(D2109="","",IFERROR(INDEX(AK_KEL,MATCH(D2109,AK_NAMA,0)),"?"))</f>
        <v/>
      </c>
      <c r="Q2109" s="102" t="n">
        <f aca="false">N(Q2108)+IF(AND(N(E2109)&lt;&gt;0,K2109=TAHUN,N(J2109)&lt;=BLN,OR(C2109=BB_AKUN,D2109=BB_AKUN)),1,0)</f>
        <v>877</v>
      </c>
      <c r="R2109" s="104" t="str">
        <f aca="false">IF(OR(C2109&amp;D2109="",N(E2109)=0),"",IF(OR(O2109="?",P2109="?"),"⚠ akun tidak dikenal",IF(C2109=D2109,"⚠ debet = kredit","")))</f>
        <v/>
      </c>
    </row>
    <row r="2110" customFormat="false" ht="15" hidden="false" customHeight="false" outlineLevel="0" collapsed="false">
      <c r="A2110" s="5"/>
      <c r="B2110" s="83"/>
      <c r="C2110" s="5"/>
      <c r="D2110" s="5"/>
      <c r="E2110" s="44"/>
      <c r="F2110" s="5"/>
      <c r="G2110" s="5"/>
      <c r="H2110" s="5"/>
      <c r="I2110" s="5"/>
      <c r="J2110" s="102" t="str">
        <f aca="false">IF(B2110="","",MONTH(B2110))</f>
        <v/>
      </c>
      <c r="K2110" s="102" t="str">
        <f aca="false">IF(B2110="","",YEAR(B2110))</f>
        <v/>
      </c>
      <c r="L2110" s="102" t="str">
        <f aca="false">IF(N(E2110)=0,"",IF(COUNTIFS(AK_NAMA,C2110,AK_KAT,"KAS")+COUNTIFS(AK_NAMA,D2110,AK_KAT,"KAS")&lt;&gt;1,"",IF(COUNTIFS(AK_NAMA,C2110,AK_KAT,"KAS")=1,D2110,C2110)))</f>
        <v/>
      </c>
      <c r="M2110" s="103" t="n">
        <f aca="false">IF(L2110="",0,IF(L2110=D2110,E2110,-E2110))</f>
        <v>0</v>
      </c>
      <c r="N2110" s="102" t="str">
        <f aca="false">IF(L2110="","",IFERROR(INDEX(AK_BARIS,MATCH(L2110,AK_NAMA,0)),"?"))</f>
        <v/>
      </c>
      <c r="O2110" s="102" t="str">
        <f aca="false">IF(C2110="","",IFERROR(INDEX(AK_KEL,MATCH(C2110,AK_NAMA,0)),"?"))</f>
        <v/>
      </c>
      <c r="P2110" s="102" t="str">
        <f aca="false">IF(D2110="","",IFERROR(INDEX(AK_KEL,MATCH(D2110,AK_NAMA,0)),"?"))</f>
        <v/>
      </c>
      <c r="Q2110" s="102" t="n">
        <f aca="false">N(Q2109)+IF(AND(N(E2110)&lt;&gt;0,K2110=TAHUN,N(J2110)&lt;=BLN,OR(C2110=BB_AKUN,D2110=BB_AKUN)),1,0)</f>
        <v>877</v>
      </c>
      <c r="R2110" s="104" t="str">
        <f aca="false">IF(OR(C2110&amp;D2110="",N(E2110)=0),"",IF(OR(O2110="?",P2110="?"),"⚠ akun tidak dikenal",IF(C2110=D2110,"⚠ debet = kredit","")))</f>
        <v/>
      </c>
    </row>
    <row r="2111" customFormat="false" ht="15" hidden="false" customHeight="false" outlineLevel="0" collapsed="false">
      <c r="A2111" s="5"/>
      <c r="B2111" s="83"/>
      <c r="C2111" s="5"/>
      <c r="D2111" s="5"/>
      <c r="E2111" s="44"/>
      <c r="F2111" s="5"/>
      <c r="G2111" s="5"/>
      <c r="H2111" s="5"/>
      <c r="I2111" s="5"/>
      <c r="J2111" s="102" t="str">
        <f aca="false">IF(B2111="","",MONTH(B2111))</f>
        <v/>
      </c>
      <c r="K2111" s="102" t="str">
        <f aca="false">IF(B2111="","",YEAR(B2111))</f>
        <v/>
      </c>
      <c r="L2111" s="102" t="str">
        <f aca="false">IF(N(E2111)=0,"",IF(COUNTIFS(AK_NAMA,C2111,AK_KAT,"KAS")+COUNTIFS(AK_NAMA,D2111,AK_KAT,"KAS")&lt;&gt;1,"",IF(COUNTIFS(AK_NAMA,C2111,AK_KAT,"KAS")=1,D2111,C2111)))</f>
        <v/>
      </c>
      <c r="M2111" s="103" t="n">
        <f aca="false">IF(L2111="",0,IF(L2111=D2111,E2111,-E2111))</f>
        <v>0</v>
      </c>
      <c r="N2111" s="102" t="str">
        <f aca="false">IF(L2111="","",IFERROR(INDEX(AK_BARIS,MATCH(L2111,AK_NAMA,0)),"?"))</f>
        <v/>
      </c>
      <c r="O2111" s="102" t="str">
        <f aca="false">IF(C2111="","",IFERROR(INDEX(AK_KEL,MATCH(C2111,AK_NAMA,0)),"?"))</f>
        <v/>
      </c>
      <c r="P2111" s="102" t="str">
        <f aca="false">IF(D2111="","",IFERROR(INDEX(AK_KEL,MATCH(D2111,AK_NAMA,0)),"?"))</f>
        <v/>
      </c>
      <c r="Q2111" s="102" t="n">
        <f aca="false">N(Q2110)+IF(AND(N(E2111)&lt;&gt;0,K2111=TAHUN,N(J2111)&lt;=BLN,OR(C2111=BB_AKUN,D2111=BB_AKUN)),1,0)</f>
        <v>877</v>
      </c>
      <c r="R2111" s="104" t="str">
        <f aca="false">IF(OR(C2111&amp;D2111="",N(E2111)=0),"",IF(OR(O2111="?",P2111="?"),"⚠ akun tidak dikenal",IF(C2111=D2111,"⚠ debet = kredit","")))</f>
        <v/>
      </c>
    </row>
    <row r="2112" customFormat="false" ht="15" hidden="false" customHeight="false" outlineLevel="0" collapsed="false">
      <c r="A2112" s="5"/>
      <c r="B2112" s="83"/>
      <c r="C2112" s="5"/>
      <c r="D2112" s="5"/>
      <c r="E2112" s="44"/>
      <c r="F2112" s="5"/>
      <c r="G2112" s="5"/>
      <c r="H2112" s="5"/>
      <c r="I2112" s="5"/>
      <c r="J2112" s="102" t="str">
        <f aca="false">IF(B2112="","",MONTH(B2112))</f>
        <v/>
      </c>
      <c r="K2112" s="102" t="str">
        <f aca="false">IF(B2112="","",YEAR(B2112))</f>
        <v/>
      </c>
      <c r="L2112" s="102" t="str">
        <f aca="false">IF(N(E2112)=0,"",IF(COUNTIFS(AK_NAMA,C2112,AK_KAT,"KAS")+COUNTIFS(AK_NAMA,D2112,AK_KAT,"KAS")&lt;&gt;1,"",IF(COUNTIFS(AK_NAMA,C2112,AK_KAT,"KAS")=1,D2112,C2112)))</f>
        <v/>
      </c>
      <c r="M2112" s="103" t="n">
        <f aca="false">IF(L2112="",0,IF(L2112=D2112,E2112,-E2112))</f>
        <v>0</v>
      </c>
      <c r="N2112" s="102" t="str">
        <f aca="false">IF(L2112="","",IFERROR(INDEX(AK_BARIS,MATCH(L2112,AK_NAMA,0)),"?"))</f>
        <v/>
      </c>
      <c r="O2112" s="102" t="str">
        <f aca="false">IF(C2112="","",IFERROR(INDEX(AK_KEL,MATCH(C2112,AK_NAMA,0)),"?"))</f>
        <v/>
      </c>
      <c r="P2112" s="102" t="str">
        <f aca="false">IF(D2112="","",IFERROR(INDEX(AK_KEL,MATCH(D2112,AK_NAMA,0)),"?"))</f>
        <v/>
      </c>
      <c r="Q2112" s="102" t="n">
        <f aca="false">N(Q2111)+IF(AND(N(E2112)&lt;&gt;0,K2112=TAHUN,N(J2112)&lt;=BLN,OR(C2112=BB_AKUN,D2112=BB_AKUN)),1,0)</f>
        <v>877</v>
      </c>
      <c r="R2112" s="104" t="str">
        <f aca="false">IF(OR(C2112&amp;D2112="",N(E2112)=0),"",IF(OR(O2112="?",P2112="?"),"⚠ akun tidak dikenal",IF(C2112=D2112,"⚠ debet = kredit","")))</f>
        <v/>
      </c>
    </row>
    <row r="2113" customFormat="false" ht="15" hidden="false" customHeight="false" outlineLevel="0" collapsed="false">
      <c r="A2113" s="5"/>
      <c r="B2113" s="83"/>
      <c r="C2113" s="5"/>
      <c r="D2113" s="5"/>
      <c r="E2113" s="44"/>
      <c r="F2113" s="5"/>
      <c r="G2113" s="5"/>
      <c r="H2113" s="5"/>
      <c r="I2113" s="5"/>
      <c r="J2113" s="102" t="str">
        <f aca="false">IF(B2113="","",MONTH(B2113))</f>
        <v/>
      </c>
      <c r="K2113" s="102" t="str">
        <f aca="false">IF(B2113="","",YEAR(B2113))</f>
        <v/>
      </c>
      <c r="L2113" s="102" t="str">
        <f aca="false">IF(N(E2113)=0,"",IF(COUNTIFS(AK_NAMA,C2113,AK_KAT,"KAS")+COUNTIFS(AK_NAMA,D2113,AK_KAT,"KAS")&lt;&gt;1,"",IF(COUNTIFS(AK_NAMA,C2113,AK_KAT,"KAS")=1,D2113,C2113)))</f>
        <v/>
      </c>
      <c r="M2113" s="103" t="n">
        <f aca="false">IF(L2113="",0,IF(L2113=D2113,E2113,-E2113))</f>
        <v>0</v>
      </c>
      <c r="N2113" s="102" t="str">
        <f aca="false">IF(L2113="","",IFERROR(INDEX(AK_BARIS,MATCH(L2113,AK_NAMA,0)),"?"))</f>
        <v/>
      </c>
      <c r="O2113" s="102" t="str">
        <f aca="false">IF(C2113="","",IFERROR(INDEX(AK_KEL,MATCH(C2113,AK_NAMA,0)),"?"))</f>
        <v/>
      </c>
      <c r="P2113" s="102" t="str">
        <f aca="false">IF(D2113="","",IFERROR(INDEX(AK_KEL,MATCH(D2113,AK_NAMA,0)),"?"))</f>
        <v/>
      </c>
      <c r="Q2113" s="102" t="n">
        <f aca="false">N(Q2112)+IF(AND(N(E2113)&lt;&gt;0,K2113=TAHUN,N(J2113)&lt;=BLN,OR(C2113=BB_AKUN,D2113=BB_AKUN)),1,0)</f>
        <v>877</v>
      </c>
      <c r="R2113" s="104" t="str">
        <f aca="false">IF(OR(C2113&amp;D2113="",N(E2113)=0),"",IF(OR(O2113="?",P2113="?"),"⚠ akun tidak dikenal",IF(C2113=D2113,"⚠ debet = kredit","")))</f>
        <v/>
      </c>
    </row>
    <row r="2114" customFormat="false" ht="15" hidden="false" customHeight="false" outlineLevel="0" collapsed="false">
      <c r="A2114" s="5"/>
      <c r="B2114" s="83"/>
      <c r="C2114" s="5"/>
      <c r="D2114" s="5"/>
      <c r="E2114" s="44"/>
      <c r="F2114" s="5"/>
      <c r="G2114" s="5"/>
      <c r="H2114" s="5"/>
      <c r="I2114" s="5"/>
      <c r="J2114" s="102" t="str">
        <f aca="false">IF(B2114="","",MONTH(B2114))</f>
        <v/>
      </c>
      <c r="K2114" s="102" t="str">
        <f aca="false">IF(B2114="","",YEAR(B2114))</f>
        <v/>
      </c>
      <c r="L2114" s="102" t="str">
        <f aca="false">IF(N(E2114)=0,"",IF(COUNTIFS(AK_NAMA,C2114,AK_KAT,"KAS")+COUNTIFS(AK_NAMA,D2114,AK_KAT,"KAS")&lt;&gt;1,"",IF(COUNTIFS(AK_NAMA,C2114,AK_KAT,"KAS")=1,D2114,C2114)))</f>
        <v/>
      </c>
      <c r="M2114" s="103" t="n">
        <f aca="false">IF(L2114="",0,IF(L2114=D2114,E2114,-E2114))</f>
        <v>0</v>
      </c>
      <c r="N2114" s="102" t="str">
        <f aca="false">IF(L2114="","",IFERROR(INDEX(AK_BARIS,MATCH(L2114,AK_NAMA,0)),"?"))</f>
        <v/>
      </c>
      <c r="O2114" s="102" t="str">
        <f aca="false">IF(C2114="","",IFERROR(INDEX(AK_KEL,MATCH(C2114,AK_NAMA,0)),"?"))</f>
        <v/>
      </c>
      <c r="P2114" s="102" t="str">
        <f aca="false">IF(D2114="","",IFERROR(INDEX(AK_KEL,MATCH(D2114,AK_NAMA,0)),"?"))</f>
        <v/>
      </c>
      <c r="Q2114" s="102" t="n">
        <f aca="false">N(Q2113)+IF(AND(N(E2114)&lt;&gt;0,K2114=TAHUN,N(J2114)&lt;=BLN,OR(C2114=BB_AKUN,D2114=BB_AKUN)),1,0)</f>
        <v>877</v>
      </c>
      <c r="R2114" s="104" t="str">
        <f aca="false">IF(OR(C2114&amp;D2114="",N(E2114)=0),"",IF(OR(O2114="?",P2114="?"),"⚠ akun tidak dikenal",IF(C2114=D2114,"⚠ debet = kredit","")))</f>
        <v/>
      </c>
    </row>
    <row r="2115" customFormat="false" ht="15" hidden="false" customHeight="false" outlineLevel="0" collapsed="false">
      <c r="A2115" s="5"/>
      <c r="B2115" s="83"/>
      <c r="C2115" s="5"/>
      <c r="D2115" s="5"/>
      <c r="E2115" s="44"/>
      <c r="F2115" s="5"/>
      <c r="G2115" s="5"/>
      <c r="H2115" s="5"/>
      <c r="I2115" s="5"/>
      <c r="J2115" s="102" t="str">
        <f aca="false">IF(B2115="","",MONTH(B2115))</f>
        <v/>
      </c>
      <c r="K2115" s="102" t="str">
        <f aca="false">IF(B2115="","",YEAR(B2115))</f>
        <v/>
      </c>
      <c r="L2115" s="102" t="str">
        <f aca="false">IF(N(E2115)=0,"",IF(COUNTIFS(AK_NAMA,C2115,AK_KAT,"KAS")+COUNTIFS(AK_NAMA,D2115,AK_KAT,"KAS")&lt;&gt;1,"",IF(COUNTIFS(AK_NAMA,C2115,AK_KAT,"KAS")=1,D2115,C2115)))</f>
        <v/>
      </c>
      <c r="M2115" s="103" t="n">
        <f aca="false">IF(L2115="",0,IF(L2115=D2115,E2115,-E2115))</f>
        <v>0</v>
      </c>
      <c r="N2115" s="102" t="str">
        <f aca="false">IF(L2115="","",IFERROR(INDEX(AK_BARIS,MATCH(L2115,AK_NAMA,0)),"?"))</f>
        <v/>
      </c>
      <c r="O2115" s="102" t="str">
        <f aca="false">IF(C2115="","",IFERROR(INDEX(AK_KEL,MATCH(C2115,AK_NAMA,0)),"?"))</f>
        <v/>
      </c>
      <c r="P2115" s="102" t="str">
        <f aca="false">IF(D2115="","",IFERROR(INDEX(AK_KEL,MATCH(D2115,AK_NAMA,0)),"?"))</f>
        <v/>
      </c>
      <c r="Q2115" s="102" t="n">
        <f aca="false">N(Q2114)+IF(AND(N(E2115)&lt;&gt;0,K2115=TAHUN,N(J2115)&lt;=BLN,OR(C2115=BB_AKUN,D2115=BB_AKUN)),1,0)</f>
        <v>877</v>
      </c>
      <c r="R2115" s="104" t="str">
        <f aca="false">IF(OR(C2115&amp;D2115="",N(E2115)=0),"",IF(OR(O2115="?",P2115="?"),"⚠ akun tidak dikenal",IF(C2115=D2115,"⚠ debet = kredit","")))</f>
        <v/>
      </c>
    </row>
    <row r="2116" customFormat="false" ht="15" hidden="false" customHeight="false" outlineLevel="0" collapsed="false">
      <c r="A2116" s="5"/>
      <c r="B2116" s="83"/>
      <c r="C2116" s="5"/>
      <c r="D2116" s="5"/>
      <c r="E2116" s="44"/>
      <c r="F2116" s="5"/>
      <c r="G2116" s="5"/>
      <c r="H2116" s="5"/>
      <c r="I2116" s="5"/>
      <c r="J2116" s="102" t="str">
        <f aca="false">IF(B2116="","",MONTH(B2116))</f>
        <v/>
      </c>
      <c r="K2116" s="102" t="str">
        <f aca="false">IF(B2116="","",YEAR(B2116))</f>
        <v/>
      </c>
      <c r="L2116" s="102" t="str">
        <f aca="false">IF(N(E2116)=0,"",IF(COUNTIFS(AK_NAMA,C2116,AK_KAT,"KAS")+COUNTIFS(AK_NAMA,D2116,AK_KAT,"KAS")&lt;&gt;1,"",IF(COUNTIFS(AK_NAMA,C2116,AK_KAT,"KAS")=1,D2116,C2116)))</f>
        <v/>
      </c>
      <c r="M2116" s="103" t="n">
        <f aca="false">IF(L2116="",0,IF(L2116=D2116,E2116,-E2116))</f>
        <v>0</v>
      </c>
      <c r="N2116" s="102" t="str">
        <f aca="false">IF(L2116="","",IFERROR(INDEX(AK_BARIS,MATCH(L2116,AK_NAMA,0)),"?"))</f>
        <v/>
      </c>
      <c r="O2116" s="102" t="str">
        <f aca="false">IF(C2116="","",IFERROR(INDEX(AK_KEL,MATCH(C2116,AK_NAMA,0)),"?"))</f>
        <v/>
      </c>
      <c r="P2116" s="102" t="str">
        <f aca="false">IF(D2116="","",IFERROR(INDEX(AK_KEL,MATCH(D2116,AK_NAMA,0)),"?"))</f>
        <v/>
      </c>
      <c r="Q2116" s="102" t="n">
        <f aca="false">N(Q2115)+IF(AND(N(E2116)&lt;&gt;0,K2116=TAHUN,N(J2116)&lt;=BLN,OR(C2116=BB_AKUN,D2116=BB_AKUN)),1,0)</f>
        <v>877</v>
      </c>
      <c r="R2116" s="104" t="str">
        <f aca="false">IF(OR(C2116&amp;D2116="",N(E2116)=0),"",IF(OR(O2116="?",P2116="?"),"⚠ akun tidak dikenal",IF(C2116=D2116,"⚠ debet = kredit","")))</f>
        <v/>
      </c>
    </row>
    <row r="2117" customFormat="false" ht="15" hidden="false" customHeight="false" outlineLevel="0" collapsed="false">
      <c r="A2117" s="5"/>
      <c r="B2117" s="83"/>
      <c r="C2117" s="5"/>
      <c r="D2117" s="5"/>
      <c r="E2117" s="44"/>
      <c r="F2117" s="5"/>
      <c r="G2117" s="5"/>
      <c r="H2117" s="5"/>
      <c r="I2117" s="5"/>
      <c r="J2117" s="102" t="str">
        <f aca="false">IF(B2117="","",MONTH(B2117))</f>
        <v/>
      </c>
      <c r="K2117" s="102" t="str">
        <f aca="false">IF(B2117="","",YEAR(B2117))</f>
        <v/>
      </c>
      <c r="L2117" s="102" t="str">
        <f aca="false">IF(N(E2117)=0,"",IF(COUNTIFS(AK_NAMA,C2117,AK_KAT,"KAS")+COUNTIFS(AK_NAMA,D2117,AK_KAT,"KAS")&lt;&gt;1,"",IF(COUNTIFS(AK_NAMA,C2117,AK_KAT,"KAS")=1,D2117,C2117)))</f>
        <v/>
      </c>
      <c r="M2117" s="103" t="n">
        <f aca="false">IF(L2117="",0,IF(L2117=D2117,E2117,-E2117))</f>
        <v>0</v>
      </c>
      <c r="N2117" s="102" t="str">
        <f aca="false">IF(L2117="","",IFERROR(INDEX(AK_BARIS,MATCH(L2117,AK_NAMA,0)),"?"))</f>
        <v/>
      </c>
      <c r="O2117" s="102" t="str">
        <f aca="false">IF(C2117="","",IFERROR(INDEX(AK_KEL,MATCH(C2117,AK_NAMA,0)),"?"))</f>
        <v/>
      </c>
      <c r="P2117" s="102" t="str">
        <f aca="false">IF(D2117="","",IFERROR(INDEX(AK_KEL,MATCH(D2117,AK_NAMA,0)),"?"))</f>
        <v/>
      </c>
      <c r="Q2117" s="102" t="n">
        <f aca="false">N(Q2116)+IF(AND(N(E2117)&lt;&gt;0,K2117=TAHUN,N(J2117)&lt;=BLN,OR(C2117=BB_AKUN,D2117=BB_AKUN)),1,0)</f>
        <v>877</v>
      </c>
      <c r="R2117" s="104" t="str">
        <f aca="false">IF(OR(C2117&amp;D2117="",N(E2117)=0),"",IF(OR(O2117="?",P2117="?"),"⚠ akun tidak dikenal",IF(C2117=D2117,"⚠ debet = kredit","")))</f>
        <v/>
      </c>
    </row>
    <row r="2118" customFormat="false" ht="15" hidden="false" customHeight="false" outlineLevel="0" collapsed="false">
      <c r="A2118" s="5"/>
      <c r="B2118" s="83"/>
      <c r="C2118" s="5"/>
      <c r="D2118" s="5"/>
      <c r="E2118" s="44"/>
      <c r="F2118" s="5"/>
      <c r="G2118" s="5"/>
      <c r="H2118" s="5"/>
      <c r="I2118" s="5"/>
      <c r="J2118" s="102" t="str">
        <f aca="false">IF(B2118="","",MONTH(B2118))</f>
        <v/>
      </c>
      <c r="K2118" s="102" t="str">
        <f aca="false">IF(B2118="","",YEAR(B2118))</f>
        <v/>
      </c>
      <c r="L2118" s="102" t="str">
        <f aca="false">IF(N(E2118)=0,"",IF(COUNTIFS(AK_NAMA,C2118,AK_KAT,"KAS")+COUNTIFS(AK_NAMA,D2118,AK_KAT,"KAS")&lt;&gt;1,"",IF(COUNTIFS(AK_NAMA,C2118,AK_KAT,"KAS")=1,D2118,C2118)))</f>
        <v/>
      </c>
      <c r="M2118" s="103" t="n">
        <f aca="false">IF(L2118="",0,IF(L2118=D2118,E2118,-E2118))</f>
        <v>0</v>
      </c>
      <c r="N2118" s="102" t="str">
        <f aca="false">IF(L2118="","",IFERROR(INDEX(AK_BARIS,MATCH(L2118,AK_NAMA,0)),"?"))</f>
        <v/>
      </c>
      <c r="O2118" s="102" t="str">
        <f aca="false">IF(C2118="","",IFERROR(INDEX(AK_KEL,MATCH(C2118,AK_NAMA,0)),"?"))</f>
        <v/>
      </c>
      <c r="P2118" s="102" t="str">
        <f aca="false">IF(D2118="","",IFERROR(INDEX(AK_KEL,MATCH(D2118,AK_NAMA,0)),"?"))</f>
        <v/>
      </c>
      <c r="Q2118" s="102" t="n">
        <f aca="false">N(Q2117)+IF(AND(N(E2118)&lt;&gt;0,K2118=TAHUN,N(J2118)&lt;=BLN,OR(C2118=BB_AKUN,D2118=BB_AKUN)),1,0)</f>
        <v>877</v>
      </c>
      <c r="R2118" s="104" t="str">
        <f aca="false">IF(OR(C2118&amp;D2118="",N(E2118)=0),"",IF(OR(O2118="?",P2118="?"),"⚠ akun tidak dikenal",IF(C2118=D2118,"⚠ debet = kredit","")))</f>
        <v/>
      </c>
    </row>
    <row r="2119" customFormat="false" ht="15" hidden="false" customHeight="false" outlineLevel="0" collapsed="false">
      <c r="A2119" s="5"/>
      <c r="B2119" s="83"/>
      <c r="C2119" s="5"/>
      <c r="D2119" s="5"/>
      <c r="E2119" s="44"/>
      <c r="F2119" s="5"/>
      <c r="G2119" s="5"/>
      <c r="H2119" s="5"/>
      <c r="I2119" s="5"/>
      <c r="J2119" s="102" t="str">
        <f aca="false">IF(B2119="","",MONTH(B2119))</f>
        <v/>
      </c>
      <c r="K2119" s="102" t="str">
        <f aca="false">IF(B2119="","",YEAR(B2119))</f>
        <v/>
      </c>
      <c r="L2119" s="102" t="str">
        <f aca="false">IF(N(E2119)=0,"",IF(COUNTIFS(AK_NAMA,C2119,AK_KAT,"KAS")+COUNTIFS(AK_NAMA,D2119,AK_KAT,"KAS")&lt;&gt;1,"",IF(COUNTIFS(AK_NAMA,C2119,AK_KAT,"KAS")=1,D2119,C2119)))</f>
        <v/>
      </c>
      <c r="M2119" s="103" t="n">
        <f aca="false">IF(L2119="",0,IF(L2119=D2119,E2119,-E2119))</f>
        <v>0</v>
      </c>
      <c r="N2119" s="102" t="str">
        <f aca="false">IF(L2119="","",IFERROR(INDEX(AK_BARIS,MATCH(L2119,AK_NAMA,0)),"?"))</f>
        <v/>
      </c>
      <c r="O2119" s="102" t="str">
        <f aca="false">IF(C2119="","",IFERROR(INDEX(AK_KEL,MATCH(C2119,AK_NAMA,0)),"?"))</f>
        <v/>
      </c>
      <c r="P2119" s="102" t="str">
        <f aca="false">IF(D2119="","",IFERROR(INDEX(AK_KEL,MATCH(D2119,AK_NAMA,0)),"?"))</f>
        <v/>
      </c>
      <c r="Q2119" s="102" t="n">
        <f aca="false">N(Q2118)+IF(AND(N(E2119)&lt;&gt;0,K2119=TAHUN,N(J2119)&lt;=BLN,OR(C2119=BB_AKUN,D2119=BB_AKUN)),1,0)</f>
        <v>877</v>
      </c>
      <c r="R2119" s="104" t="str">
        <f aca="false">IF(OR(C2119&amp;D2119="",N(E2119)=0),"",IF(OR(O2119="?",P2119="?"),"⚠ akun tidak dikenal",IF(C2119=D2119,"⚠ debet = kredit","")))</f>
        <v/>
      </c>
    </row>
    <row r="2120" customFormat="false" ht="15" hidden="false" customHeight="false" outlineLevel="0" collapsed="false">
      <c r="A2120" s="5"/>
      <c r="B2120" s="83"/>
      <c r="C2120" s="5"/>
      <c r="D2120" s="5"/>
      <c r="E2120" s="44"/>
      <c r="F2120" s="5"/>
      <c r="G2120" s="5"/>
      <c r="H2120" s="5"/>
      <c r="I2120" s="5"/>
      <c r="J2120" s="102" t="str">
        <f aca="false">IF(B2120="","",MONTH(B2120))</f>
        <v/>
      </c>
      <c r="K2120" s="102" t="str">
        <f aca="false">IF(B2120="","",YEAR(B2120))</f>
        <v/>
      </c>
      <c r="L2120" s="102" t="str">
        <f aca="false">IF(N(E2120)=0,"",IF(COUNTIFS(AK_NAMA,C2120,AK_KAT,"KAS")+COUNTIFS(AK_NAMA,D2120,AK_KAT,"KAS")&lt;&gt;1,"",IF(COUNTIFS(AK_NAMA,C2120,AK_KAT,"KAS")=1,D2120,C2120)))</f>
        <v/>
      </c>
      <c r="M2120" s="103" t="n">
        <f aca="false">IF(L2120="",0,IF(L2120=D2120,E2120,-E2120))</f>
        <v>0</v>
      </c>
      <c r="N2120" s="102" t="str">
        <f aca="false">IF(L2120="","",IFERROR(INDEX(AK_BARIS,MATCH(L2120,AK_NAMA,0)),"?"))</f>
        <v/>
      </c>
      <c r="O2120" s="102" t="str">
        <f aca="false">IF(C2120="","",IFERROR(INDEX(AK_KEL,MATCH(C2120,AK_NAMA,0)),"?"))</f>
        <v/>
      </c>
      <c r="P2120" s="102" t="str">
        <f aca="false">IF(D2120="","",IFERROR(INDEX(AK_KEL,MATCH(D2120,AK_NAMA,0)),"?"))</f>
        <v/>
      </c>
      <c r="Q2120" s="102" t="n">
        <f aca="false">N(Q2119)+IF(AND(N(E2120)&lt;&gt;0,K2120=TAHUN,N(J2120)&lt;=BLN,OR(C2120=BB_AKUN,D2120=BB_AKUN)),1,0)</f>
        <v>877</v>
      </c>
      <c r="R2120" s="104" t="str">
        <f aca="false">IF(OR(C2120&amp;D2120="",N(E2120)=0),"",IF(OR(O2120="?",P2120="?"),"⚠ akun tidak dikenal",IF(C2120=D2120,"⚠ debet = kredit","")))</f>
        <v/>
      </c>
    </row>
    <row r="2121" customFormat="false" ht="15" hidden="false" customHeight="false" outlineLevel="0" collapsed="false">
      <c r="A2121" s="5"/>
      <c r="B2121" s="83"/>
      <c r="C2121" s="5"/>
      <c r="D2121" s="5"/>
      <c r="E2121" s="44"/>
      <c r="F2121" s="5"/>
      <c r="G2121" s="5"/>
      <c r="H2121" s="5"/>
      <c r="I2121" s="5"/>
      <c r="J2121" s="102" t="str">
        <f aca="false">IF(B2121="","",MONTH(B2121))</f>
        <v/>
      </c>
      <c r="K2121" s="102" t="str">
        <f aca="false">IF(B2121="","",YEAR(B2121))</f>
        <v/>
      </c>
      <c r="L2121" s="102" t="str">
        <f aca="false">IF(N(E2121)=0,"",IF(COUNTIFS(AK_NAMA,C2121,AK_KAT,"KAS")+COUNTIFS(AK_NAMA,D2121,AK_KAT,"KAS")&lt;&gt;1,"",IF(COUNTIFS(AK_NAMA,C2121,AK_KAT,"KAS")=1,D2121,C2121)))</f>
        <v/>
      </c>
      <c r="M2121" s="103" t="n">
        <f aca="false">IF(L2121="",0,IF(L2121=D2121,E2121,-E2121))</f>
        <v>0</v>
      </c>
      <c r="N2121" s="102" t="str">
        <f aca="false">IF(L2121="","",IFERROR(INDEX(AK_BARIS,MATCH(L2121,AK_NAMA,0)),"?"))</f>
        <v/>
      </c>
      <c r="O2121" s="102" t="str">
        <f aca="false">IF(C2121="","",IFERROR(INDEX(AK_KEL,MATCH(C2121,AK_NAMA,0)),"?"))</f>
        <v/>
      </c>
      <c r="P2121" s="102" t="str">
        <f aca="false">IF(D2121="","",IFERROR(INDEX(AK_KEL,MATCH(D2121,AK_NAMA,0)),"?"))</f>
        <v/>
      </c>
      <c r="Q2121" s="102" t="n">
        <f aca="false">N(Q2120)+IF(AND(N(E2121)&lt;&gt;0,K2121=TAHUN,N(J2121)&lt;=BLN,OR(C2121=BB_AKUN,D2121=BB_AKUN)),1,0)</f>
        <v>877</v>
      </c>
      <c r="R2121" s="104" t="str">
        <f aca="false">IF(OR(C2121&amp;D2121="",N(E2121)=0),"",IF(OR(O2121="?",P2121="?"),"⚠ akun tidak dikenal",IF(C2121=D2121,"⚠ debet = kredit","")))</f>
        <v/>
      </c>
    </row>
    <row r="2122" customFormat="false" ht="15" hidden="false" customHeight="false" outlineLevel="0" collapsed="false">
      <c r="A2122" s="5"/>
      <c r="B2122" s="83"/>
      <c r="C2122" s="5"/>
      <c r="D2122" s="5"/>
      <c r="E2122" s="44"/>
      <c r="F2122" s="5"/>
      <c r="G2122" s="5"/>
      <c r="H2122" s="5"/>
      <c r="I2122" s="5"/>
      <c r="J2122" s="102" t="str">
        <f aca="false">IF(B2122="","",MONTH(B2122))</f>
        <v/>
      </c>
      <c r="K2122" s="102" t="str">
        <f aca="false">IF(B2122="","",YEAR(B2122))</f>
        <v/>
      </c>
      <c r="L2122" s="102" t="str">
        <f aca="false">IF(N(E2122)=0,"",IF(COUNTIFS(AK_NAMA,C2122,AK_KAT,"KAS")+COUNTIFS(AK_NAMA,D2122,AK_KAT,"KAS")&lt;&gt;1,"",IF(COUNTIFS(AK_NAMA,C2122,AK_KAT,"KAS")=1,D2122,C2122)))</f>
        <v/>
      </c>
      <c r="M2122" s="103" t="n">
        <f aca="false">IF(L2122="",0,IF(L2122=D2122,E2122,-E2122))</f>
        <v>0</v>
      </c>
      <c r="N2122" s="102" t="str">
        <f aca="false">IF(L2122="","",IFERROR(INDEX(AK_BARIS,MATCH(L2122,AK_NAMA,0)),"?"))</f>
        <v/>
      </c>
      <c r="O2122" s="102" t="str">
        <f aca="false">IF(C2122="","",IFERROR(INDEX(AK_KEL,MATCH(C2122,AK_NAMA,0)),"?"))</f>
        <v/>
      </c>
      <c r="P2122" s="102" t="str">
        <f aca="false">IF(D2122="","",IFERROR(INDEX(AK_KEL,MATCH(D2122,AK_NAMA,0)),"?"))</f>
        <v/>
      </c>
      <c r="Q2122" s="102" t="n">
        <f aca="false">N(Q2121)+IF(AND(N(E2122)&lt;&gt;0,K2122=TAHUN,N(J2122)&lt;=BLN,OR(C2122=BB_AKUN,D2122=BB_AKUN)),1,0)</f>
        <v>877</v>
      </c>
      <c r="R2122" s="104" t="str">
        <f aca="false">IF(OR(C2122&amp;D2122="",N(E2122)=0),"",IF(OR(O2122="?",P2122="?"),"⚠ akun tidak dikenal",IF(C2122=D2122,"⚠ debet = kredit","")))</f>
        <v/>
      </c>
    </row>
    <row r="2123" customFormat="false" ht="15" hidden="false" customHeight="false" outlineLevel="0" collapsed="false">
      <c r="A2123" s="5"/>
      <c r="B2123" s="83"/>
      <c r="C2123" s="5"/>
      <c r="D2123" s="5"/>
      <c r="E2123" s="44"/>
      <c r="F2123" s="5"/>
      <c r="G2123" s="5"/>
      <c r="H2123" s="5"/>
      <c r="I2123" s="5"/>
      <c r="J2123" s="102" t="str">
        <f aca="false">IF(B2123="","",MONTH(B2123))</f>
        <v/>
      </c>
      <c r="K2123" s="102" t="str">
        <f aca="false">IF(B2123="","",YEAR(B2123))</f>
        <v/>
      </c>
      <c r="L2123" s="102" t="str">
        <f aca="false">IF(N(E2123)=0,"",IF(COUNTIFS(AK_NAMA,C2123,AK_KAT,"KAS")+COUNTIFS(AK_NAMA,D2123,AK_KAT,"KAS")&lt;&gt;1,"",IF(COUNTIFS(AK_NAMA,C2123,AK_KAT,"KAS")=1,D2123,C2123)))</f>
        <v/>
      </c>
      <c r="M2123" s="103" t="n">
        <f aca="false">IF(L2123="",0,IF(L2123=D2123,E2123,-E2123))</f>
        <v>0</v>
      </c>
      <c r="N2123" s="102" t="str">
        <f aca="false">IF(L2123="","",IFERROR(INDEX(AK_BARIS,MATCH(L2123,AK_NAMA,0)),"?"))</f>
        <v/>
      </c>
      <c r="O2123" s="102" t="str">
        <f aca="false">IF(C2123="","",IFERROR(INDEX(AK_KEL,MATCH(C2123,AK_NAMA,0)),"?"))</f>
        <v/>
      </c>
      <c r="P2123" s="102" t="str">
        <f aca="false">IF(D2123="","",IFERROR(INDEX(AK_KEL,MATCH(D2123,AK_NAMA,0)),"?"))</f>
        <v/>
      </c>
      <c r="Q2123" s="102" t="n">
        <f aca="false">N(Q2122)+IF(AND(N(E2123)&lt;&gt;0,K2123=TAHUN,N(J2123)&lt;=BLN,OR(C2123=BB_AKUN,D2123=BB_AKUN)),1,0)</f>
        <v>877</v>
      </c>
      <c r="R2123" s="104" t="str">
        <f aca="false">IF(OR(C2123&amp;D2123="",N(E2123)=0),"",IF(OR(O2123="?",P2123="?"),"⚠ akun tidak dikenal",IF(C2123=D2123,"⚠ debet = kredit","")))</f>
        <v/>
      </c>
    </row>
    <row r="2124" customFormat="false" ht="15" hidden="false" customHeight="false" outlineLevel="0" collapsed="false">
      <c r="A2124" s="5"/>
      <c r="B2124" s="83"/>
      <c r="C2124" s="5"/>
      <c r="D2124" s="5"/>
      <c r="E2124" s="44"/>
      <c r="F2124" s="5"/>
      <c r="G2124" s="5"/>
      <c r="H2124" s="5"/>
      <c r="I2124" s="5"/>
      <c r="J2124" s="102" t="str">
        <f aca="false">IF(B2124="","",MONTH(B2124))</f>
        <v/>
      </c>
      <c r="K2124" s="102" t="str">
        <f aca="false">IF(B2124="","",YEAR(B2124))</f>
        <v/>
      </c>
      <c r="L2124" s="102" t="str">
        <f aca="false">IF(N(E2124)=0,"",IF(COUNTIFS(AK_NAMA,C2124,AK_KAT,"KAS")+COUNTIFS(AK_NAMA,D2124,AK_KAT,"KAS")&lt;&gt;1,"",IF(COUNTIFS(AK_NAMA,C2124,AK_KAT,"KAS")=1,D2124,C2124)))</f>
        <v/>
      </c>
      <c r="M2124" s="103" t="n">
        <f aca="false">IF(L2124="",0,IF(L2124=D2124,E2124,-E2124))</f>
        <v>0</v>
      </c>
      <c r="N2124" s="102" t="str">
        <f aca="false">IF(L2124="","",IFERROR(INDEX(AK_BARIS,MATCH(L2124,AK_NAMA,0)),"?"))</f>
        <v/>
      </c>
      <c r="O2124" s="102" t="str">
        <f aca="false">IF(C2124="","",IFERROR(INDEX(AK_KEL,MATCH(C2124,AK_NAMA,0)),"?"))</f>
        <v/>
      </c>
      <c r="P2124" s="102" t="str">
        <f aca="false">IF(D2124="","",IFERROR(INDEX(AK_KEL,MATCH(D2124,AK_NAMA,0)),"?"))</f>
        <v/>
      </c>
      <c r="Q2124" s="102" t="n">
        <f aca="false">N(Q2123)+IF(AND(N(E2124)&lt;&gt;0,K2124=TAHUN,N(J2124)&lt;=BLN,OR(C2124=BB_AKUN,D2124=BB_AKUN)),1,0)</f>
        <v>877</v>
      </c>
      <c r="R2124" s="104" t="str">
        <f aca="false">IF(OR(C2124&amp;D2124="",N(E2124)=0),"",IF(OR(O2124="?",P2124="?"),"⚠ akun tidak dikenal",IF(C2124=D2124,"⚠ debet = kredit","")))</f>
        <v/>
      </c>
    </row>
    <row r="2125" customFormat="false" ht="15" hidden="false" customHeight="false" outlineLevel="0" collapsed="false">
      <c r="A2125" s="5"/>
      <c r="B2125" s="83"/>
      <c r="C2125" s="5"/>
      <c r="D2125" s="5"/>
      <c r="E2125" s="44"/>
      <c r="F2125" s="5"/>
      <c r="G2125" s="5"/>
      <c r="H2125" s="5"/>
      <c r="I2125" s="5"/>
      <c r="J2125" s="102" t="str">
        <f aca="false">IF(B2125="","",MONTH(B2125))</f>
        <v/>
      </c>
      <c r="K2125" s="102" t="str">
        <f aca="false">IF(B2125="","",YEAR(B2125))</f>
        <v/>
      </c>
      <c r="L2125" s="102" t="str">
        <f aca="false">IF(N(E2125)=0,"",IF(COUNTIFS(AK_NAMA,C2125,AK_KAT,"KAS")+COUNTIFS(AK_NAMA,D2125,AK_KAT,"KAS")&lt;&gt;1,"",IF(COUNTIFS(AK_NAMA,C2125,AK_KAT,"KAS")=1,D2125,C2125)))</f>
        <v/>
      </c>
      <c r="M2125" s="103" t="n">
        <f aca="false">IF(L2125="",0,IF(L2125=D2125,E2125,-E2125))</f>
        <v>0</v>
      </c>
      <c r="N2125" s="102" t="str">
        <f aca="false">IF(L2125="","",IFERROR(INDEX(AK_BARIS,MATCH(L2125,AK_NAMA,0)),"?"))</f>
        <v/>
      </c>
      <c r="O2125" s="102" t="str">
        <f aca="false">IF(C2125="","",IFERROR(INDEX(AK_KEL,MATCH(C2125,AK_NAMA,0)),"?"))</f>
        <v/>
      </c>
      <c r="P2125" s="102" t="str">
        <f aca="false">IF(D2125="","",IFERROR(INDEX(AK_KEL,MATCH(D2125,AK_NAMA,0)),"?"))</f>
        <v/>
      </c>
      <c r="Q2125" s="102" t="n">
        <f aca="false">N(Q2124)+IF(AND(N(E2125)&lt;&gt;0,K2125=TAHUN,N(J2125)&lt;=BLN,OR(C2125=BB_AKUN,D2125=BB_AKUN)),1,0)</f>
        <v>877</v>
      </c>
      <c r="R2125" s="104" t="str">
        <f aca="false">IF(OR(C2125&amp;D2125="",N(E2125)=0),"",IF(OR(O2125="?",P2125="?"),"⚠ akun tidak dikenal",IF(C2125=D2125,"⚠ debet = kredit","")))</f>
        <v/>
      </c>
    </row>
    <row r="2126" customFormat="false" ht="15" hidden="false" customHeight="false" outlineLevel="0" collapsed="false">
      <c r="A2126" s="5"/>
      <c r="B2126" s="83"/>
      <c r="C2126" s="5"/>
      <c r="D2126" s="5"/>
      <c r="E2126" s="44"/>
      <c r="F2126" s="5"/>
      <c r="G2126" s="5"/>
      <c r="H2126" s="5"/>
      <c r="I2126" s="5"/>
      <c r="J2126" s="102" t="str">
        <f aca="false">IF(B2126="","",MONTH(B2126))</f>
        <v/>
      </c>
      <c r="K2126" s="102" t="str">
        <f aca="false">IF(B2126="","",YEAR(B2126))</f>
        <v/>
      </c>
      <c r="L2126" s="102" t="str">
        <f aca="false">IF(N(E2126)=0,"",IF(COUNTIFS(AK_NAMA,C2126,AK_KAT,"KAS")+COUNTIFS(AK_NAMA,D2126,AK_KAT,"KAS")&lt;&gt;1,"",IF(COUNTIFS(AK_NAMA,C2126,AK_KAT,"KAS")=1,D2126,C2126)))</f>
        <v/>
      </c>
      <c r="M2126" s="103" t="n">
        <f aca="false">IF(L2126="",0,IF(L2126=D2126,E2126,-E2126))</f>
        <v>0</v>
      </c>
      <c r="N2126" s="102" t="str">
        <f aca="false">IF(L2126="","",IFERROR(INDEX(AK_BARIS,MATCH(L2126,AK_NAMA,0)),"?"))</f>
        <v/>
      </c>
      <c r="O2126" s="102" t="str">
        <f aca="false">IF(C2126="","",IFERROR(INDEX(AK_KEL,MATCH(C2126,AK_NAMA,0)),"?"))</f>
        <v/>
      </c>
      <c r="P2126" s="102" t="str">
        <f aca="false">IF(D2126="","",IFERROR(INDEX(AK_KEL,MATCH(D2126,AK_NAMA,0)),"?"))</f>
        <v/>
      </c>
      <c r="Q2126" s="102" t="n">
        <f aca="false">N(Q2125)+IF(AND(N(E2126)&lt;&gt;0,K2126=TAHUN,N(J2126)&lt;=BLN,OR(C2126=BB_AKUN,D2126=BB_AKUN)),1,0)</f>
        <v>877</v>
      </c>
      <c r="R2126" s="104" t="str">
        <f aca="false">IF(OR(C2126&amp;D2126="",N(E2126)=0),"",IF(OR(O2126="?",P2126="?"),"⚠ akun tidak dikenal",IF(C2126=D2126,"⚠ debet = kredit","")))</f>
        <v/>
      </c>
    </row>
    <row r="2127" customFormat="false" ht="15" hidden="false" customHeight="false" outlineLevel="0" collapsed="false">
      <c r="A2127" s="5"/>
      <c r="B2127" s="83"/>
      <c r="C2127" s="5"/>
      <c r="D2127" s="5"/>
      <c r="E2127" s="44"/>
      <c r="F2127" s="5"/>
      <c r="G2127" s="5"/>
      <c r="H2127" s="5"/>
      <c r="I2127" s="5"/>
      <c r="J2127" s="102" t="str">
        <f aca="false">IF(B2127="","",MONTH(B2127))</f>
        <v/>
      </c>
      <c r="K2127" s="102" t="str">
        <f aca="false">IF(B2127="","",YEAR(B2127))</f>
        <v/>
      </c>
      <c r="L2127" s="102" t="str">
        <f aca="false">IF(N(E2127)=0,"",IF(COUNTIFS(AK_NAMA,C2127,AK_KAT,"KAS")+COUNTIFS(AK_NAMA,D2127,AK_KAT,"KAS")&lt;&gt;1,"",IF(COUNTIFS(AK_NAMA,C2127,AK_KAT,"KAS")=1,D2127,C2127)))</f>
        <v/>
      </c>
      <c r="M2127" s="103" t="n">
        <f aca="false">IF(L2127="",0,IF(L2127=D2127,E2127,-E2127))</f>
        <v>0</v>
      </c>
      <c r="N2127" s="102" t="str">
        <f aca="false">IF(L2127="","",IFERROR(INDEX(AK_BARIS,MATCH(L2127,AK_NAMA,0)),"?"))</f>
        <v/>
      </c>
      <c r="O2127" s="102" t="str">
        <f aca="false">IF(C2127="","",IFERROR(INDEX(AK_KEL,MATCH(C2127,AK_NAMA,0)),"?"))</f>
        <v/>
      </c>
      <c r="P2127" s="102" t="str">
        <f aca="false">IF(D2127="","",IFERROR(INDEX(AK_KEL,MATCH(D2127,AK_NAMA,0)),"?"))</f>
        <v/>
      </c>
      <c r="Q2127" s="102" t="n">
        <f aca="false">N(Q2126)+IF(AND(N(E2127)&lt;&gt;0,K2127=TAHUN,N(J2127)&lt;=BLN,OR(C2127=BB_AKUN,D2127=BB_AKUN)),1,0)</f>
        <v>877</v>
      </c>
      <c r="R2127" s="104" t="str">
        <f aca="false">IF(OR(C2127&amp;D2127="",N(E2127)=0),"",IF(OR(O2127="?",P2127="?"),"⚠ akun tidak dikenal",IF(C2127=D2127,"⚠ debet = kredit","")))</f>
        <v/>
      </c>
    </row>
    <row r="2128" customFormat="false" ht="15" hidden="false" customHeight="false" outlineLevel="0" collapsed="false">
      <c r="A2128" s="5"/>
      <c r="B2128" s="83"/>
      <c r="C2128" s="5"/>
      <c r="D2128" s="5"/>
      <c r="E2128" s="44"/>
      <c r="F2128" s="5"/>
      <c r="G2128" s="5"/>
      <c r="H2128" s="5"/>
      <c r="I2128" s="5"/>
      <c r="J2128" s="102" t="str">
        <f aca="false">IF(B2128="","",MONTH(B2128))</f>
        <v/>
      </c>
      <c r="K2128" s="102" t="str">
        <f aca="false">IF(B2128="","",YEAR(B2128))</f>
        <v/>
      </c>
      <c r="L2128" s="102" t="str">
        <f aca="false">IF(N(E2128)=0,"",IF(COUNTIFS(AK_NAMA,C2128,AK_KAT,"KAS")+COUNTIFS(AK_NAMA,D2128,AK_KAT,"KAS")&lt;&gt;1,"",IF(COUNTIFS(AK_NAMA,C2128,AK_KAT,"KAS")=1,D2128,C2128)))</f>
        <v/>
      </c>
      <c r="M2128" s="103" t="n">
        <f aca="false">IF(L2128="",0,IF(L2128=D2128,E2128,-E2128))</f>
        <v>0</v>
      </c>
      <c r="N2128" s="102" t="str">
        <f aca="false">IF(L2128="","",IFERROR(INDEX(AK_BARIS,MATCH(L2128,AK_NAMA,0)),"?"))</f>
        <v/>
      </c>
      <c r="O2128" s="102" t="str">
        <f aca="false">IF(C2128="","",IFERROR(INDEX(AK_KEL,MATCH(C2128,AK_NAMA,0)),"?"))</f>
        <v/>
      </c>
      <c r="P2128" s="102" t="str">
        <f aca="false">IF(D2128="","",IFERROR(INDEX(AK_KEL,MATCH(D2128,AK_NAMA,0)),"?"))</f>
        <v/>
      </c>
      <c r="Q2128" s="102" t="n">
        <f aca="false">N(Q2127)+IF(AND(N(E2128)&lt;&gt;0,K2128=TAHUN,N(J2128)&lt;=BLN,OR(C2128=BB_AKUN,D2128=BB_AKUN)),1,0)</f>
        <v>877</v>
      </c>
      <c r="R2128" s="104" t="str">
        <f aca="false">IF(OR(C2128&amp;D2128="",N(E2128)=0),"",IF(OR(O2128="?",P2128="?"),"⚠ akun tidak dikenal",IF(C2128=D2128,"⚠ debet = kredit","")))</f>
        <v/>
      </c>
    </row>
    <row r="2129" customFormat="false" ht="15" hidden="false" customHeight="false" outlineLevel="0" collapsed="false">
      <c r="A2129" s="5"/>
      <c r="B2129" s="83"/>
      <c r="C2129" s="5"/>
      <c r="D2129" s="5"/>
      <c r="E2129" s="44"/>
      <c r="F2129" s="5"/>
      <c r="G2129" s="5"/>
      <c r="H2129" s="5"/>
      <c r="I2129" s="5"/>
      <c r="J2129" s="102" t="str">
        <f aca="false">IF(B2129="","",MONTH(B2129))</f>
        <v/>
      </c>
      <c r="K2129" s="102" t="str">
        <f aca="false">IF(B2129="","",YEAR(B2129))</f>
        <v/>
      </c>
      <c r="L2129" s="102" t="str">
        <f aca="false">IF(N(E2129)=0,"",IF(COUNTIFS(AK_NAMA,C2129,AK_KAT,"KAS")+COUNTIFS(AK_NAMA,D2129,AK_KAT,"KAS")&lt;&gt;1,"",IF(COUNTIFS(AK_NAMA,C2129,AK_KAT,"KAS")=1,D2129,C2129)))</f>
        <v/>
      </c>
      <c r="M2129" s="103" t="n">
        <f aca="false">IF(L2129="",0,IF(L2129=D2129,E2129,-E2129))</f>
        <v>0</v>
      </c>
      <c r="N2129" s="102" t="str">
        <f aca="false">IF(L2129="","",IFERROR(INDEX(AK_BARIS,MATCH(L2129,AK_NAMA,0)),"?"))</f>
        <v/>
      </c>
      <c r="O2129" s="102" t="str">
        <f aca="false">IF(C2129="","",IFERROR(INDEX(AK_KEL,MATCH(C2129,AK_NAMA,0)),"?"))</f>
        <v/>
      </c>
      <c r="P2129" s="102" t="str">
        <f aca="false">IF(D2129="","",IFERROR(INDEX(AK_KEL,MATCH(D2129,AK_NAMA,0)),"?"))</f>
        <v/>
      </c>
      <c r="Q2129" s="102" t="n">
        <f aca="false">N(Q2128)+IF(AND(N(E2129)&lt;&gt;0,K2129=TAHUN,N(J2129)&lt;=BLN,OR(C2129=BB_AKUN,D2129=BB_AKUN)),1,0)</f>
        <v>877</v>
      </c>
      <c r="R2129" s="104" t="str">
        <f aca="false">IF(OR(C2129&amp;D2129="",N(E2129)=0),"",IF(OR(O2129="?",P2129="?"),"⚠ akun tidak dikenal",IF(C2129=D2129,"⚠ debet = kredit","")))</f>
        <v/>
      </c>
    </row>
    <row r="2130" customFormat="false" ht="15" hidden="false" customHeight="false" outlineLevel="0" collapsed="false">
      <c r="A2130" s="5"/>
      <c r="B2130" s="83"/>
      <c r="C2130" s="5"/>
      <c r="D2130" s="5"/>
      <c r="E2130" s="44"/>
      <c r="F2130" s="5"/>
      <c r="G2130" s="5"/>
      <c r="H2130" s="5"/>
      <c r="I2130" s="5"/>
      <c r="J2130" s="102" t="str">
        <f aca="false">IF(B2130="","",MONTH(B2130))</f>
        <v/>
      </c>
      <c r="K2130" s="102" t="str">
        <f aca="false">IF(B2130="","",YEAR(B2130))</f>
        <v/>
      </c>
      <c r="L2130" s="102" t="str">
        <f aca="false">IF(N(E2130)=0,"",IF(COUNTIFS(AK_NAMA,C2130,AK_KAT,"KAS")+COUNTIFS(AK_NAMA,D2130,AK_KAT,"KAS")&lt;&gt;1,"",IF(COUNTIFS(AK_NAMA,C2130,AK_KAT,"KAS")=1,D2130,C2130)))</f>
        <v/>
      </c>
      <c r="M2130" s="103" t="n">
        <f aca="false">IF(L2130="",0,IF(L2130=D2130,E2130,-E2130))</f>
        <v>0</v>
      </c>
      <c r="N2130" s="102" t="str">
        <f aca="false">IF(L2130="","",IFERROR(INDEX(AK_BARIS,MATCH(L2130,AK_NAMA,0)),"?"))</f>
        <v/>
      </c>
      <c r="O2130" s="102" t="str">
        <f aca="false">IF(C2130="","",IFERROR(INDEX(AK_KEL,MATCH(C2130,AK_NAMA,0)),"?"))</f>
        <v/>
      </c>
      <c r="P2130" s="102" t="str">
        <f aca="false">IF(D2130="","",IFERROR(INDEX(AK_KEL,MATCH(D2130,AK_NAMA,0)),"?"))</f>
        <v/>
      </c>
      <c r="Q2130" s="102" t="n">
        <f aca="false">N(Q2129)+IF(AND(N(E2130)&lt;&gt;0,K2130=TAHUN,N(J2130)&lt;=BLN,OR(C2130=BB_AKUN,D2130=BB_AKUN)),1,0)</f>
        <v>877</v>
      </c>
      <c r="R2130" s="104" t="str">
        <f aca="false">IF(OR(C2130&amp;D2130="",N(E2130)=0),"",IF(OR(O2130="?",P2130="?"),"⚠ akun tidak dikenal",IF(C2130=D2130,"⚠ debet = kredit","")))</f>
        <v/>
      </c>
    </row>
    <row r="2131" customFormat="false" ht="15" hidden="false" customHeight="false" outlineLevel="0" collapsed="false">
      <c r="A2131" s="5"/>
      <c r="B2131" s="83"/>
      <c r="C2131" s="5"/>
      <c r="D2131" s="5"/>
      <c r="E2131" s="44"/>
      <c r="F2131" s="5"/>
      <c r="G2131" s="5"/>
      <c r="H2131" s="5"/>
      <c r="I2131" s="5"/>
      <c r="J2131" s="102" t="str">
        <f aca="false">IF(B2131="","",MONTH(B2131))</f>
        <v/>
      </c>
      <c r="K2131" s="102" t="str">
        <f aca="false">IF(B2131="","",YEAR(B2131))</f>
        <v/>
      </c>
      <c r="L2131" s="102" t="str">
        <f aca="false">IF(N(E2131)=0,"",IF(COUNTIFS(AK_NAMA,C2131,AK_KAT,"KAS")+COUNTIFS(AK_NAMA,D2131,AK_KAT,"KAS")&lt;&gt;1,"",IF(COUNTIFS(AK_NAMA,C2131,AK_KAT,"KAS")=1,D2131,C2131)))</f>
        <v/>
      </c>
      <c r="M2131" s="103" t="n">
        <f aca="false">IF(L2131="",0,IF(L2131=D2131,E2131,-E2131))</f>
        <v>0</v>
      </c>
      <c r="N2131" s="102" t="str">
        <f aca="false">IF(L2131="","",IFERROR(INDEX(AK_BARIS,MATCH(L2131,AK_NAMA,0)),"?"))</f>
        <v/>
      </c>
      <c r="O2131" s="102" t="str">
        <f aca="false">IF(C2131="","",IFERROR(INDEX(AK_KEL,MATCH(C2131,AK_NAMA,0)),"?"))</f>
        <v/>
      </c>
      <c r="P2131" s="102" t="str">
        <f aca="false">IF(D2131="","",IFERROR(INDEX(AK_KEL,MATCH(D2131,AK_NAMA,0)),"?"))</f>
        <v/>
      </c>
      <c r="Q2131" s="102" t="n">
        <f aca="false">N(Q2130)+IF(AND(N(E2131)&lt;&gt;0,K2131=TAHUN,N(J2131)&lt;=BLN,OR(C2131=BB_AKUN,D2131=BB_AKUN)),1,0)</f>
        <v>877</v>
      </c>
      <c r="R2131" s="104" t="str">
        <f aca="false">IF(OR(C2131&amp;D2131="",N(E2131)=0),"",IF(OR(O2131="?",P2131="?"),"⚠ akun tidak dikenal",IF(C2131=D2131,"⚠ debet = kredit","")))</f>
        <v/>
      </c>
    </row>
    <row r="2132" customFormat="false" ht="15" hidden="false" customHeight="false" outlineLevel="0" collapsed="false">
      <c r="A2132" s="5"/>
      <c r="B2132" s="83"/>
      <c r="C2132" s="5"/>
      <c r="D2132" s="5"/>
      <c r="E2132" s="44"/>
      <c r="F2132" s="5"/>
      <c r="G2132" s="5"/>
      <c r="H2132" s="5"/>
      <c r="I2132" s="5"/>
      <c r="J2132" s="102" t="str">
        <f aca="false">IF(B2132="","",MONTH(B2132))</f>
        <v/>
      </c>
      <c r="K2132" s="102" t="str">
        <f aca="false">IF(B2132="","",YEAR(B2132))</f>
        <v/>
      </c>
      <c r="L2132" s="102" t="str">
        <f aca="false">IF(N(E2132)=0,"",IF(COUNTIFS(AK_NAMA,C2132,AK_KAT,"KAS")+COUNTIFS(AK_NAMA,D2132,AK_KAT,"KAS")&lt;&gt;1,"",IF(COUNTIFS(AK_NAMA,C2132,AK_KAT,"KAS")=1,D2132,C2132)))</f>
        <v/>
      </c>
      <c r="M2132" s="103" t="n">
        <f aca="false">IF(L2132="",0,IF(L2132=D2132,E2132,-E2132))</f>
        <v>0</v>
      </c>
      <c r="N2132" s="102" t="str">
        <f aca="false">IF(L2132="","",IFERROR(INDEX(AK_BARIS,MATCH(L2132,AK_NAMA,0)),"?"))</f>
        <v/>
      </c>
      <c r="O2132" s="102" t="str">
        <f aca="false">IF(C2132="","",IFERROR(INDEX(AK_KEL,MATCH(C2132,AK_NAMA,0)),"?"))</f>
        <v/>
      </c>
      <c r="P2132" s="102" t="str">
        <f aca="false">IF(D2132="","",IFERROR(INDEX(AK_KEL,MATCH(D2132,AK_NAMA,0)),"?"))</f>
        <v/>
      </c>
      <c r="Q2132" s="102" t="n">
        <f aca="false">N(Q2131)+IF(AND(N(E2132)&lt;&gt;0,K2132=TAHUN,N(J2132)&lt;=BLN,OR(C2132=BB_AKUN,D2132=BB_AKUN)),1,0)</f>
        <v>877</v>
      </c>
      <c r="R2132" s="104" t="str">
        <f aca="false">IF(OR(C2132&amp;D2132="",N(E2132)=0),"",IF(OR(O2132="?",P2132="?"),"⚠ akun tidak dikenal",IF(C2132=D2132,"⚠ debet = kredit","")))</f>
        <v/>
      </c>
    </row>
    <row r="2133" customFormat="false" ht="15" hidden="false" customHeight="false" outlineLevel="0" collapsed="false">
      <c r="A2133" s="5"/>
      <c r="B2133" s="83"/>
      <c r="C2133" s="5"/>
      <c r="D2133" s="5"/>
      <c r="E2133" s="44"/>
      <c r="F2133" s="5"/>
      <c r="G2133" s="5"/>
      <c r="H2133" s="5"/>
      <c r="I2133" s="5"/>
      <c r="J2133" s="102" t="str">
        <f aca="false">IF(B2133="","",MONTH(B2133))</f>
        <v/>
      </c>
      <c r="K2133" s="102" t="str">
        <f aca="false">IF(B2133="","",YEAR(B2133))</f>
        <v/>
      </c>
      <c r="L2133" s="102" t="str">
        <f aca="false">IF(N(E2133)=0,"",IF(COUNTIFS(AK_NAMA,C2133,AK_KAT,"KAS")+COUNTIFS(AK_NAMA,D2133,AK_KAT,"KAS")&lt;&gt;1,"",IF(COUNTIFS(AK_NAMA,C2133,AK_KAT,"KAS")=1,D2133,C2133)))</f>
        <v/>
      </c>
      <c r="M2133" s="103" t="n">
        <f aca="false">IF(L2133="",0,IF(L2133=D2133,E2133,-E2133))</f>
        <v>0</v>
      </c>
      <c r="N2133" s="102" t="str">
        <f aca="false">IF(L2133="","",IFERROR(INDEX(AK_BARIS,MATCH(L2133,AK_NAMA,0)),"?"))</f>
        <v/>
      </c>
      <c r="O2133" s="102" t="str">
        <f aca="false">IF(C2133="","",IFERROR(INDEX(AK_KEL,MATCH(C2133,AK_NAMA,0)),"?"))</f>
        <v/>
      </c>
      <c r="P2133" s="102" t="str">
        <f aca="false">IF(D2133="","",IFERROR(INDEX(AK_KEL,MATCH(D2133,AK_NAMA,0)),"?"))</f>
        <v/>
      </c>
      <c r="Q2133" s="102" t="n">
        <f aca="false">N(Q2132)+IF(AND(N(E2133)&lt;&gt;0,K2133=TAHUN,N(J2133)&lt;=BLN,OR(C2133=BB_AKUN,D2133=BB_AKUN)),1,0)</f>
        <v>877</v>
      </c>
      <c r="R2133" s="104" t="str">
        <f aca="false">IF(OR(C2133&amp;D2133="",N(E2133)=0),"",IF(OR(O2133="?",P2133="?"),"⚠ akun tidak dikenal",IF(C2133=D2133,"⚠ debet = kredit","")))</f>
        <v/>
      </c>
    </row>
    <row r="2134" customFormat="false" ht="15" hidden="false" customHeight="false" outlineLevel="0" collapsed="false">
      <c r="A2134" s="5"/>
      <c r="B2134" s="83"/>
      <c r="C2134" s="5"/>
      <c r="D2134" s="5"/>
      <c r="E2134" s="44"/>
      <c r="F2134" s="5"/>
      <c r="G2134" s="5"/>
      <c r="H2134" s="5"/>
      <c r="I2134" s="5"/>
      <c r="J2134" s="102" t="str">
        <f aca="false">IF(B2134="","",MONTH(B2134))</f>
        <v/>
      </c>
      <c r="K2134" s="102" t="str">
        <f aca="false">IF(B2134="","",YEAR(B2134))</f>
        <v/>
      </c>
      <c r="L2134" s="102" t="str">
        <f aca="false">IF(N(E2134)=0,"",IF(COUNTIFS(AK_NAMA,C2134,AK_KAT,"KAS")+COUNTIFS(AK_NAMA,D2134,AK_KAT,"KAS")&lt;&gt;1,"",IF(COUNTIFS(AK_NAMA,C2134,AK_KAT,"KAS")=1,D2134,C2134)))</f>
        <v/>
      </c>
      <c r="M2134" s="103" t="n">
        <f aca="false">IF(L2134="",0,IF(L2134=D2134,E2134,-E2134))</f>
        <v>0</v>
      </c>
      <c r="N2134" s="102" t="str">
        <f aca="false">IF(L2134="","",IFERROR(INDEX(AK_BARIS,MATCH(L2134,AK_NAMA,0)),"?"))</f>
        <v/>
      </c>
      <c r="O2134" s="102" t="str">
        <f aca="false">IF(C2134="","",IFERROR(INDEX(AK_KEL,MATCH(C2134,AK_NAMA,0)),"?"))</f>
        <v/>
      </c>
      <c r="P2134" s="102" t="str">
        <f aca="false">IF(D2134="","",IFERROR(INDEX(AK_KEL,MATCH(D2134,AK_NAMA,0)),"?"))</f>
        <v/>
      </c>
      <c r="Q2134" s="102" t="n">
        <f aca="false">N(Q2133)+IF(AND(N(E2134)&lt;&gt;0,K2134=TAHUN,N(J2134)&lt;=BLN,OR(C2134=BB_AKUN,D2134=BB_AKUN)),1,0)</f>
        <v>877</v>
      </c>
      <c r="R2134" s="104" t="str">
        <f aca="false">IF(OR(C2134&amp;D2134="",N(E2134)=0),"",IF(OR(O2134="?",P2134="?"),"⚠ akun tidak dikenal",IF(C2134=D2134,"⚠ debet = kredit","")))</f>
        <v/>
      </c>
    </row>
    <row r="2135" customFormat="false" ht="15" hidden="false" customHeight="false" outlineLevel="0" collapsed="false">
      <c r="A2135" s="5"/>
      <c r="B2135" s="83"/>
      <c r="C2135" s="5"/>
      <c r="D2135" s="5"/>
      <c r="E2135" s="44"/>
      <c r="F2135" s="5"/>
      <c r="G2135" s="5"/>
      <c r="H2135" s="5"/>
      <c r="I2135" s="5"/>
      <c r="J2135" s="102" t="str">
        <f aca="false">IF(B2135="","",MONTH(B2135))</f>
        <v/>
      </c>
      <c r="K2135" s="102" t="str">
        <f aca="false">IF(B2135="","",YEAR(B2135))</f>
        <v/>
      </c>
      <c r="L2135" s="102" t="str">
        <f aca="false">IF(N(E2135)=0,"",IF(COUNTIFS(AK_NAMA,C2135,AK_KAT,"KAS")+COUNTIFS(AK_NAMA,D2135,AK_KAT,"KAS")&lt;&gt;1,"",IF(COUNTIFS(AK_NAMA,C2135,AK_KAT,"KAS")=1,D2135,C2135)))</f>
        <v/>
      </c>
      <c r="M2135" s="103" t="n">
        <f aca="false">IF(L2135="",0,IF(L2135=D2135,E2135,-E2135))</f>
        <v>0</v>
      </c>
      <c r="N2135" s="102" t="str">
        <f aca="false">IF(L2135="","",IFERROR(INDEX(AK_BARIS,MATCH(L2135,AK_NAMA,0)),"?"))</f>
        <v/>
      </c>
      <c r="O2135" s="102" t="str">
        <f aca="false">IF(C2135="","",IFERROR(INDEX(AK_KEL,MATCH(C2135,AK_NAMA,0)),"?"))</f>
        <v/>
      </c>
      <c r="P2135" s="102" t="str">
        <f aca="false">IF(D2135="","",IFERROR(INDEX(AK_KEL,MATCH(D2135,AK_NAMA,0)),"?"))</f>
        <v/>
      </c>
      <c r="Q2135" s="102" t="n">
        <f aca="false">N(Q2134)+IF(AND(N(E2135)&lt;&gt;0,K2135=TAHUN,N(J2135)&lt;=BLN,OR(C2135=BB_AKUN,D2135=BB_AKUN)),1,0)</f>
        <v>877</v>
      </c>
      <c r="R2135" s="104" t="str">
        <f aca="false">IF(OR(C2135&amp;D2135="",N(E2135)=0),"",IF(OR(O2135="?",P2135="?"),"⚠ akun tidak dikenal",IF(C2135=D2135,"⚠ debet = kredit","")))</f>
        <v/>
      </c>
    </row>
    <row r="2136" customFormat="false" ht="15" hidden="false" customHeight="false" outlineLevel="0" collapsed="false">
      <c r="A2136" s="5"/>
      <c r="B2136" s="83"/>
      <c r="C2136" s="5"/>
      <c r="D2136" s="5"/>
      <c r="E2136" s="44"/>
      <c r="F2136" s="5"/>
      <c r="G2136" s="5"/>
      <c r="H2136" s="5"/>
      <c r="I2136" s="5"/>
      <c r="J2136" s="102" t="str">
        <f aca="false">IF(B2136="","",MONTH(B2136))</f>
        <v/>
      </c>
      <c r="K2136" s="102" t="str">
        <f aca="false">IF(B2136="","",YEAR(B2136))</f>
        <v/>
      </c>
      <c r="L2136" s="102" t="str">
        <f aca="false">IF(N(E2136)=0,"",IF(COUNTIFS(AK_NAMA,C2136,AK_KAT,"KAS")+COUNTIFS(AK_NAMA,D2136,AK_KAT,"KAS")&lt;&gt;1,"",IF(COUNTIFS(AK_NAMA,C2136,AK_KAT,"KAS")=1,D2136,C2136)))</f>
        <v/>
      </c>
      <c r="M2136" s="103" t="n">
        <f aca="false">IF(L2136="",0,IF(L2136=D2136,E2136,-E2136))</f>
        <v>0</v>
      </c>
      <c r="N2136" s="102" t="str">
        <f aca="false">IF(L2136="","",IFERROR(INDEX(AK_BARIS,MATCH(L2136,AK_NAMA,0)),"?"))</f>
        <v/>
      </c>
      <c r="O2136" s="102" t="str">
        <f aca="false">IF(C2136="","",IFERROR(INDEX(AK_KEL,MATCH(C2136,AK_NAMA,0)),"?"))</f>
        <v/>
      </c>
      <c r="P2136" s="102" t="str">
        <f aca="false">IF(D2136="","",IFERROR(INDEX(AK_KEL,MATCH(D2136,AK_NAMA,0)),"?"))</f>
        <v/>
      </c>
      <c r="Q2136" s="102" t="n">
        <f aca="false">N(Q2135)+IF(AND(N(E2136)&lt;&gt;0,K2136=TAHUN,N(J2136)&lt;=BLN,OR(C2136=BB_AKUN,D2136=BB_AKUN)),1,0)</f>
        <v>877</v>
      </c>
      <c r="R2136" s="104" t="str">
        <f aca="false">IF(OR(C2136&amp;D2136="",N(E2136)=0),"",IF(OR(O2136="?",P2136="?"),"⚠ akun tidak dikenal",IF(C2136=D2136,"⚠ debet = kredit","")))</f>
        <v/>
      </c>
    </row>
    <row r="2137" customFormat="false" ht="15" hidden="false" customHeight="false" outlineLevel="0" collapsed="false">
      <c r="A2137" s="5"/>
      <c r="B2137" s="83"/>
      <c r="C2137" s="5"/>
      <c r="D2137" s="5"/>
      <c r="E2137" s="44"/>
      <c r="F2137" s="5"/>
      <c r="G2137" s="5"/>
      <c r="H2137" s="5"/>
      <c r="I2137" s="5"/>
      <c r="J2137" s="102" t="str">
        <f aca="false">IF(B2137="","",MONTH(B2137))</f>
        <v/>
      </c>
      <c r="K2137" s="102" t="str">
        <f aca="false">IF(B2137="","",YEAR(B2137))</f>
        <v/>
      </c>
      <c r="L2137" s="102" t="str">
        <f aca="false">IF(N(E2137)=0,"",IF(COUNTIFS(AK_NAMA,C2137,AK_KAT,"KAS")+COUNTIFS(AK_NAMA,D2137,AK_KAT,"KAS")&lt;&gt;1,"",IF(COUNTIFS(AK_NAMA,C2137,AK_KAT,"KAS")=1,D2137,C2137)))</f>
        <v/>
      </c>
      <c r="M2137" s="103" t="n">
        <f aca="false">IF(L2137="",0,IF(L2137=D2137,E2137,-E2137))</f>
        <v>0</v>
      </c>
      <c r="N2137" s="102" t="str">
        <f aca="false">IF(L2137="","",IFERROR(INDEX(AK_BARIS,MATCH(L2137,AK_NAMA,0)),"?"))</f>
        <v/>
      </c>
      <c r="O2137" s="102" t="str">
        <f aca="false">IF(C2137="","",IFERROR(INDEX(AK_KEL,MATCH(C2137,AK_NAMA,0)),"?"))</f>
        <v/>
      </c>
      <c r="P2137" s="102" t="str">
        <f aca="false">IF(D2137="","",IFERROR(INDEX(AK_KEL,MATCH(D2137,AK_NAMA,0)),"?"))</f>
        <v/>
      </c>
      <c r="Q2137" s="102" t="n">
        <f aca="false">N(Q2136)+IF(AND(N(E2137)&lt;&gt;0,K2137=TAHUN,N(J2137)&lt;=BLN,OR(C2137=BB_AKUN,D2137=BB_AKUN)),1,0)</f>
        <v>877</v>
      </c>
      <c r="R2137" s="104" t="str">
        <f aca="false">IF(OR(C2137&amp;D2137="",N(E2137)=0),"",IF(OR(O2137="?",P2137="?"),"⚠ akun tidak dikenal",IF(C2137=D2137,"⚠ debet = kredit","")))</f>
        <v/>
      </c>
    </row>
    <row r="2138" customFormat="false" ht="15" hidden="false" customHeight="false" outlineLevel="0" collapsed="false">
      <c r="A2138" s="5"/>
      <c r="B2138" s="83"/>
      <c r="C2138" s="5"/>
      <c r="D2138" s="5"/>
      <c r="E2138" s="44"/>
      <c r="F2138" s="5"/>
      <c r="G2138" s="5"/>
      <c r="H2138" s="5"/>
      <c r="I2138" s="5"/>
      <c r="J2138" s="102" t="str">
        <f aca="false">IF(B2138="","",MONTH(B2138))</f>
        <v/>
      </c>
      <c r="K2138" s="102" t="str">
        <f aca="false">IF(B2138="","",YEAR(B2138))</f>
        <v/>
      </c>
      <c r="L2138" s="102" t="str">
        <f aca="false">IF(N(E2138)=0,"",IF(COUNTIFS(AK_NAMA,C2138,AK_KAT,"KAS")+COUNTIFS(AK_NAMA,D2138,AK_KAT,"KAS")&lt;&gt;1,"",IF(COUNTIFS(AK_NAMA,C2138,AK_KAT,"KAS")=1,D2138,C2138)))</f>
        <v/>
      </c>
      <c r="M2138" s="103" t="n">
        <f aca="false">IF(L2138="",0,IF(L2138=D2138,E2138,-E2138))</f>
        <v>0</v>
      </c>
      <c r="N2138" s="102" t="str">
        <f aca="false">IF(L2138="","",IFERROR(INDEX(AK_BARIS,MATCH(L2138,AK_NAMA,0)),"?"))</f>
        <v/>
      </c>
      <c r="O2138" s="102" t="str">
        <f aca="false">IF(C2138="","",IFERROR(INDEX(AK_KEL,MATCH(C2138,AK_NAMA,0)),"?"))</f>
        <v/>
      </c>
      <c r="P2138" s="102" t="str">
        <f aca="false">IF(D2138="","",IFERROR(INDEX(AK_KEL,MATCH(D2138,AK_NAMA,0)),"?"))</f>
        <v/>
      </c>
      <c r="Q2138" s="102" t="n">
        <f aca="false">N(Q2137)+IF(AND(N(E2138)&lt;&gt;0,K2138=TAHUN,N(J2138)&lt;=BLN,OR(C2138=BB_AKUN,D2138=BB_AKUN)),1,0)</f>
        <v>877</v>
      </c>
      <c r="R2138" s="104" t="str">
        <f aca="false">IF(OR(C2138&amp;D2138="",N(E2138)=0),"",IF(OR(O2138="?",P2138="?"),"⚠ akun tidak dikenal",IF(C2138=D2138,"⚠ debet = kredit","")))</f>
        <v/>
      </c>
    </row>
    <row r="2139" customFormat="false" ht="15" hidden="false" customHeight="false" outlineLevel="0" collapsed="false">
      <c r="A2139" s="5"/>
      <c r="B2139" s="83"/>
      <c r="C2139" s="5"/>
      <c r="D2139" s="5"/>
      <c r="E2139" s="44"/>
      <c r="F2139" s="5"/>
      <c r="G2139" s="5"/>
      <c r="H2139" s="5"/>
      <c r="I2139" s="5"/>
      <c r="J2139" s="102" t="str">
        <f aca="false">IF(B2139="","",MONTH(B2139))</f>
        <v/>
      </c>
      <c r="K2139" s="102" t="str">
        <f aca="false">IF(B2139="","",YEAR(B2139))</f>
        <v/>
      </c>
      <c r="L2139" s="102" t="str">
        <f aca="false">IF(N(E2139)=0,"",IF(COUNTIFS(AK_NAMA,C2139,AK_KAT,"KAS")+COUNTIFS(AK_NAMA,D2139,AK_KAT,"KAS")&lt;&gt;1,"",IF(COUNTIFS(AK_NAMA,C2139,AK_KAT,"KAS")=1,D2139,C2139)))</f>
        <v/>
      </c>
      <c r="M2139" s="103" t="n">
        <f aca="false">IF(L2139="",0,IF(L2139=D2139,E2139,-E2139))</f>
        <v>0</v>
      </c>
      <c r="N2139" s="102" t="str">
        <f aca="false">IF(L2139="","",IFERROR(INDEX(AK_BARIS,MATCH(L2139,AK_NAMA,0)),"?"))</f>
        <v/>
      </c>
      <c r="O2139" s="102" t="str">
        <f aca="false">IF(C2139="","",IFERROR(INDEX(AK_KEL,MATCH(C2139,AK_NAMA,0)),"?"))</f>
        <v/>
      </c>
      <c r="P2139" s="102" t="str">
        <f aca="false">IF(D2139="","",IFERROR(INDEX(AK_KEL,MATCH(D2139,AK_NAMA,0)),"?"))</f>
        <v/>
      </c>
      <c r="Q2139" s="102" t="n">
        <f aca="false">N(Q2138)+IF(AND(N(E2139)&lt;&gt;0,K2139=TAHUN,N(J2139)&lt;=BLN,OR(C2139=BB_AKUN,D2139=BB_AKUN)),1,0)</f>
        <v>877</v>
      </c>
      <c r="R2139" s="104" t="str">
        <f aca="false">IF(OR(C2139&amp;D2139="",N(E2139)=0),"",IF(OR(O2139="?",P2139="?"),"⚠ akun tidak dikenal",IF(C2139=D2139,"⚠ debet = kredit","")))</f>
        <v/>
      </c>
    </row>
    <row r="2140" customFormat="false" ht="15" hidden="false" customHeight="false" outlineLevel="0" collapsed="false">
      <c r="A2140" s="5"/>
      <c r="B2140" s="83"/>
      <c r="C2140" s="5"/>
      <c r="D2140" s="5"/>
      <c r="E2140" s="44"/>
      <c r="F2140" s="5"/>
      <c r="G2140" s="5"/>
      <c r="H2140" s="5"/>
      <c r="I2140" s="5"/>
      <c r="J2140" s="102" t="str">
        <f aca="false">IF(B2140="","",MONTH(B2140))</f>
        <v/>
      </c>
      <c r="K2140" s="102" t="str">
        <f aca="false">IF(B2140="","",YEAR(B2140))</f>
        <v/>
      </c>
      <c r="L2140" s="102" t="str">
        <f aca="false">IF(N(E2140)=0,"",IF(COUNTIFS(AK_NAMA,C2140,AK_KAT,"KAS")+COUNTIFS(AK_NAMA,D2140,AK_KAT,"KAS")&lt;&gt;1,"",IF(COUNTIFS(AK_NAMA,C2140,AK_KAT,"KAS")=1,D2140,C2140)))</f>
        <v/>
      </c>
      <c r="M2140" s="103" t="n">
        <f aca="false">IF(L2140="",0,IF(L2140=D2140,E2140,-E2140))</f>
        <v>0</v>
      </c>
      <c r="N2140" s="102" t="str">
        <f aca="false">IF(L2140="","",IFERROR(INDEX(AK_BARIS,MATCH(L2140,AK_NAMA,0)),"?"))</f>
        <v/>
      </c>
      <c r="O2140" s="102" t="str">
        <f aca="false">IF(C2140="","",IFERROR(INDEX(AK_KEL,MATCH(C2140,AK_NAMA,0)),"?"))</f>
        <v/>
      </c>
      <c r="P2140" s="102" t="str">
        <f aca="false">IF(D2140="","",IFERROR(INDEX(AK_KEL,MATCH(D2140,AK_NAMA,0)),"?"))</f>
        <v/>
      </c>
      <c r="Q2140" s="102" t="n">
        <f aca="false">N(Q2139)+IF(AND(N(E2140)&lt;&gt;0,K2140=TAHUN,N(J2140)&lt;=BLN,OR(C2140=BB_AKUN,D2140=BB_AKUN)),1,0)</f>
        <v>877</v>
      </c>
      <c r="R2140" s="104" t="str">
        <f aca="false">IF(OR(C2140&amp;D2140="",N(E2140)=0),"",IF(OR(O2140="?",P2140="?"),"⚠ akun tidak dikenal",IF(C2140=D2140,"⚠ debet = kredit","")))</f>
        <v/>
      </c>
    </row>
    <row r="2141" customFormat="false" ht="15" hidden="false" customHeight="false" outlineLevel="0" collapsed="false">
      <c r="A2141" s="5"/>
      <c r="B2141" s="83"/>
      <c r="C2141" s="5"/>
      <c r="D2141" s="5"/>
      <c r="E2141" s="44"/>
      <c r="F2141" s="5"/>
      <c r="G2141" s="5"/>
      <c r="H2141" s="5"/>
      <c r="I2141" s="5"/>
      <c r="J2141" s="102" t="str">
        <f aca="false">IF(B2141="","",MONTH(B2141))</f>
        <v/>
      </c>
      <c r="K2141" s="102" t="str">
        <f aca="false">IF(B2141="","",YEAR(B2141))</f>
        <v/>
      </c>
      <c r="L2141" s="102" t="str">
        <f aca="false">IF(N(E2141)=0,"",IF(COUNTIFS(AK_NAMA,C2141,AK_KAT,"KAS")+COUNTIFS(AK_NAMA,D2141,AK_KAT,"KAS")&lt;&gt;1,"",IF(COUNTIFS(AK_NAMA,C2141,AK_KAT,"KAS")=1,D2141,C2141)))</f>
        <v/>
      </c>
      <c r="M2141" s="103" t="n">
        <f aca="false">IF(L2141="",0,IF(L2141=D2141,E2141,-E2141))</f>
        <v>0</v>
      </c>
      <c r="N2141" s="102" t="str">
        <f aca="false">IF(L2141="","",IFERROR(INDEX(AK_BARIS,MATCH(L2141,AK_NAMA,0)),"?"))</f>
        <v/>
      </c>
      <c r="O2141" s="102" t="str">
        <f aca="false">IF(C2141="","",IFERROR(INDEX(AK_KEL,MATCH(C2141,AK_NAMA,0)),"?"))</f>
        <v/>
      </c>
      <c r="P2141" s="102" t="str">
        <f aca="false">IF(D2141="","",IFERROR(INDEX(AK_KEL,MATCH(D2141,AK_NAMA,0)),"?"))</f>
        <v/>
      </c>
      <c r="Q2141" s="102" t="n">
        <f aca="false">N(Q2140)+IF(AND(N(E2141)&lt;&gt;0,K2141=TAHUN,N(J2141)&lt;=BLN,OR(C2141=BB_AKUN,D2141=BB_AKUN)),1,0)</f>
        <v>877</v>
      </c>
      <c r="R2141" s="104" t="str">
        <f aca="false">IF(OR(C2141&amp;D2141="",N(E2141)=0),"",IF(OR(O2141="?",P2141="?"),"⚠ akun tidak dikenal",IF(C2141=D2141,"⚠ debet = kredit","")))</f>
        <v/>
      </c>
    </row>
    <row r="2142" customFormat="false" ht="15" hidden="false" customHeight="false" outlineLevel="0" collapsed="false">
      <c r="A2142" s="5"/>
      <c r="B2142" s="83"/>
      <c r="C2142" s="5"/>
      <c r="D2142" s="5"/>
      <c r="E2142" s="44"/>
      <c r="F2142" s="5"/>
      <c r="G2142" s="5"/>
      <c r="H2142" s="5"/>
      <c r="I2142" s="5"/>
      <c r="J2142" s="102" t="str">
        <f aca="false">IF(B2142="","",MONTH(B2142))</f>
        <v/>
      </c>
      <c r="K2142" s="102" t="str">
        <f aca="false">IF(B2142="","",YEAR(B2142))</f>
        <v/>
      </c>
      <c r="L2142" s="102" t="str">
        <f aca="false">IF(N(E2142)=0,"",IF(COUNTIFS(AK_NAMA,C2142,AK_KAT,"KAS")+COUNTIFS(AK_NAMA,D2142,AK_KAT,"KAS")&lt;&gt;1,"",IF(COUNTIFS(AK_NAMA,C2142,AK_KAT,"KAS")=1,D2142,C2142)))</f>
        <v/>
      </c>
      <c r="M2142" s="103" t="n">
        <f aca="false">IF(L2142="",0,IF(L2142=D2142,E2142,-E2142))</f>
        <v>0</v>
      </c>
      <c r="N2142" s="102" t="str">
        <f aca="false">IF(L2142="","",IFERROR(INDEX(AK_BARIS,MATCH(L2142,AK_NAMA,0)),"?"))</f>
        <v/>
      </c>
      <c r="O2142" s="102" t="str">
        <f aca="false">IF(C2142="","",IFERROR(INDEX(AK_KEL,MATCH(C2142,AK_NAMA,0)),"?"))</f>
        <v/>
      </c>
      <c r="P2142" s="102" t="str">
        <f aca="false">IF(D2142="","",IFERROR(INDEX(AK_KEL,MATCH(D2142,AK_NAMA,0)),"?"))</f>
        <v/>
      </c>
      <c r="Q2142" s="102" t="n">
        <f aca="false">N(Q2141)+IF(AND(N(E2142)&lt;&gt;0,K2142=TAHUN,N(J2142)&lt;=BLN,OR(C2142=BB_AKUN,D2142=BB_AKUN)),1,0)</f>
        <v>877</v>
      </c>
      <c r="R2142" s="104" t="str">
        <f aca="false">IF(OR(C2142&amp;D2142="",N(E2142)=0),"",IF(OR(O2142="?",P2142="?"),"⚠ akun tidak dikenal",IF(C2142=D2142,"⚠ debet = kredit","")))</f>
        <v/>
      </c>
    </row>
    <row r="2143" customFormat="false" ht="15" hidden="false" customHeight="false" outlineLevel="0" collapsed="false">
      <c r="A2143" s="5"/>
      <c r="B2143" s="83"/>
      <c r="C2143" s="5"/>
      <c r="D2143" s="5"/>
      <c r="E2143" s="44"/>
      <c r="F2143" s="5"/>
      <c r="G2143" s="5"/>
      <c r="H2143" s="5"/>
      <c r="I2143" s="5"/>
      <c r="J2143" s="102" t="str">
        <f aca="false">IF(B2143="","",MONTH(B2143))</f>
        <v/>
      </c>
      <c r="K2143" s="102" t="str">
        <f aca="false">IF(B2143="","",YEAR(B2143))</f>
        <v/>
      </c>
      <c r="L2143" s="102" t="str">
        <f aca="false">IF(N(E2143)=0,"",IF(COUNTIFS(AK_NAMA,C2143,AK_KAT,"KAS")+COUNTIFS(AK_NAMA,D2143,AK_KAT,"KAS")&lt;&gt;1,"",IF(COUNTIFS(AK_NAMA,C2143,AK_KAT,"KAS")=1,D2143,C2143)))</f>
        <v/>
      </c>
      <c r="M2143" s="103" t="n">
        <f aca="false">IF(L2143="",0,IF(L2143=D2143,E2143,-E2143))</f>
        <v>0</v>
      </c>
      <c r="N2143" s="102" t="str">
        <f aca="false">IF(L2143="","",IFERROR(INDEX(AK_BARIS,MATCH(L2143,AK_NAMA,0)),"?"))</f>
        <v/>
      </c>
      <c r="O2143" s="102" t="str">
        <f aca="false">IF(C2143="","",IFERROR(INDEX(AK_KEL,MATCH(C2143,AK_NAMA,0)),"?"))</f>
        <v/>
      </c>
      <c r="P2143" s="102" t="str">
        <f aca="false">IF(D2143="","",IFERROR(INDEX(AK_KEL,MATCH(D2143,AK_NAMA,0)),"?"))</f>
        <v/>
      </c>
      <c r="Q2143" s="102" t="n">
        <f aca="false">N(Q2142)+IF(AND(N(E2143)&lt;&gt;0,K2143=TAHUN,N(J2143)&lt;=BLN,OR(C2143=BB_AKUN,D2143=BB_AKUN)),1,0)</f>
        <v>877</v>
      </c>
      <c r="R2143" s="104" t="str">
        <f aca="false">IF(OR(C2143&amp;D2143="",N(E2143)=0),"",IF(OR(O2143="?",P2143="?"),"⚠ akun tidak dikenal",IF(C2143=D2143,"⚠ debet = kredit","")))</f>
        <v/>
      </c>
    </row>
    <row r="2144" customFormat="false" ht="15" hidden="false" customHeight="false" outlineLevel="0" collapsed="false">
      <c r="A2144" s="5"/>
      <c r="B2144" s="83"/>
      <c r="C2144" s="5"/>
      <c r="D2144" s="5"/>
      <c r="E2144" s="44"/>
      <c r="F2144" s="5"/>
      <c r="G2144" s="5"/>
      <c r="H2144" s="5"/>
      <c r="I2144" s="5"/>
      <c r="J2144" s="102" t="str">
        <f aca="false">IF(B2144="","",MONTH(B2144))</f>
        <v/>
      </c>
      <c r="K2144" s="102" t="str">
        <f aca="false">IF(B2144="","",YEAR(B2144))</f>
        <v/>
      </c>
      <c r="L2144" s="102" t="str">
        <f aca="false">IF(N(E2144)=0,"",IF(COUNTIFS(AK_NAMA,C2144,AK_KAT,"KAS")+COUNTIFS(AK_NAMA,D2144,AK_KAT,"KAS")&lt;&gt;1,"",IF(COUNTIFS(AK_NAMA,C2144,AK_KAT,"KAS")=1,D2144,C2144)))</f>
        <v/>
      </c>
      <c r="M2144" s="103" t="n">
        <f aca="false">IF(L2144="",0,IF(L2144=D2144,E2144,-E2144))</f>
        <v>0</v>
      </c>
      <c r="N2144" s="102" t="str">
        <f aca="false">IF(L2144="","",IFERROR(INDEX(AK_BARIS,MATCH(L2144,AK_NAMA,0)),"?"))</f>
        <v/>
      </c>
      <c r="O2144" s="102" t="str">
        <f aca="false">IF(C2144="","",IFERROR(INDEX(AK_KEL,MATCH(C2144,AK_NAMA,0)),"?"))</f>
        <v/>
      </c>
      <c r="P2144" s="102" t="str">
        <f aca="false">IF(D2144="","",IFERROR(INDEX(AK_KEL,MATCH(D2144,AK_NAMA,0)),"?"))</f>
        <v/>
      </c>
      <c r="Q2144" s="102" t="n">
        <f aca="false">N(Q2143)+IF(AND(N(E2144)&lt;&gt;0,K2144=TAHUN,N(J2144)&lt;=BLN,OR(C2144=BB_AKUN,D2144=BB_AKUN)),1,0)</f>
        <v>877</v>
      </c>
      <c r="R2144" s="104" t="str">
        <f aca="false">IF(OR(C2144&amp;D2144="",N(E2144)=0),"",IF(OR(O2144="?",P2144="?"),"⚠ akun tidak dikenal",IF(C2144=D2144,"⚠ debet = kredit","")))</f>
        <v/>
      </c>
    </row>
    <row r="2145" customFormat="false" ht="15" hidden="false" customHeight="false" outlineLevel="0" collapsed="false">
      <c r="A2145" s="5"/>
      <c r="B2145" s="83"/>
      <c r="C2145" s="5"/>
      <c r="D2145" s="5"/>
      <c r="E2145" s="44"/>
      <c r="F2145" s="5"/>
      <c r="G2145" s="5"/>
      <c r="H2145" s="5"/>
      <c r="I2145" s="5"/>
      <c r="J2145" s="102" t="str">
        <f aca="false">IF(B2145="","",MONTH(B2145))</f>
        <v/>
      </c>
      <c r="K2145" s="102" t="str">
        <f aca="false">IF(B2145="","",YEAR(B2145))</f>
        <v/>
      </c>
      <c r="L2145" s="102" t="str">
        <f aca="false">IF(N(E2145)=0,"",IF(COUNTIFS(AK_NAMA,C2145,AK_KAT,"KAS")+COUNTIFS(AK_NAMA,D2145,AK_KAT,"KAS")&lt;&gt;1,"",IF(COUNTIFS(AK_NAMA,C2145,AK_KAT,"KAS")=1,D2145,C2145)))</f>
        <v/>
      </c>
      <c r="M2145" s="103" t="n">
        <f aca="false">IF(L2145="",0,IF(L2145=D2145,E2145,-E2145))</f>
        <v>0</v>
      </c>
      <c r="N2145" s="102" t="str">
        <f aca="false">IF(L2145="","",IFERROR(INDEX(AK_BARIS,MATCH(L2145,AK_NAMA,0)),"?"))</f>
        <v/>
      </c>
      <c r="O2145" s="102" t="str">
        <f aca="false">IF(C2145="","",IFERROR(INDEX(AK_KEL,MATCH(C2145,AK_NAMA,0)),"?"))</f>
        <v/>
      </c>
      <c r="P2145" s="102" t="str">
        <f aca="false">IF(D2145="","",IFERROR(INDEX(AK_KEL,MATCH(D2145,AK_NAMA,0)),"?"))</f>
        <v/>
      </c>
      <c r="Q2145" s="102" t="n">
        <f aca="false">N(Q2144)+IF(AND(N(E2145)&lt;&gt;0,K2145=TAHUN,N(J2145)&lt;=BLN,OR(C2145=BB_AKUN,D2145=BB_AKUN)),1,0)</f>
        <v>877</v>
      </c>
      <c r="R2145" s="104" t="str">
        <f aca="false">IF(OR(C2145&amp;D2145="",N(E2145)=0),"",IF(OR(O2145="?",P2145="?"),"⚠ akun tidak dikenal",IF(C2145=D2145,"⚠ debet = kredit","")))</f>
        <v/>
      </c>
    </row>
    <row r="2146" customFormat="false" ht="15" hidden="false" customHeight="false" outlineLevel="0" collapsed="false">
      <c r="A2146" s="5"/>
      <c r="B2146" s="83"/>
      <c r="C2146" s="5"/>
      <c r="D2146" s="5"/>
      <c r="E2146" s="44"/>
      <c r="F2146" s="5"/>
      <c r="G2146" s="5"/>
      <c r="H2146" s="5"/>
      <c r="I2146" s="5"/>
      <c r="J2146" s="102" t="str">
        <f aca="false">IF(B2146="","",MONTH(B2146))</f>
        <v/>
      </c>
      <c r="K2146" s="102" t="str">
        <f aca="false">IF(B2146="","",YEAR(B2146))</f>
        <v/>
      </c>
      <c r="L2146" s="102" t="str">
        <f aca="false">IF(N(E2146)=0,"",IF(COUNTIFS(AK_NAMA,C2146,AK_KAT,"KAS")+COUNTIFS(AK_NAMA,D2146,AK_KAT,"KAS")&lt;&gt;1,"",IF(COUNTIFS(AK_NAMA,C2146,AK_KAT,"KAS")=1,D2146,C2146)))</f>
        <v/>
      </c>
      <c r="M2146" s="103" t="n">
        <f aca="false">IF(L2146="",0,IF(L2146=D2146,E2146,-E2146))</f>
        <v>0</v>
      </c>
      <c r="N2146" s="102" t="str">
        <f aca="false">IF(L2146="","",IFERROR(INDEX(AK_BARIS,MATCH(L2146,AK_NAMA,0)),"?"))</f>
        <v/>
      </c>
      <c r="O2146" s="102" t="str">
        <f aca="false">IF(C2146="","",IFERROR(INDEX(AK_KEL,MATCH(C2146,AK_NAMA,0)),"?"))</f>
        <v/>
      </c>
      <c r="P2146" s="102" t="str">
        <f aca="false">IF(D2146="","",IFERROR(INDEX(AK_KEL,MATCH(D2146,AK_NAMA,0)),"?"))</f>
        <v/>
      </c>
      <c r="Q2146" s="102" t="n">
        <f aca="false">N(Q2145)+IF(AND(N(E2146)&lt;&gt;0,K2146=TAHUN,N(J2146)&lt;=BLN,OR(C2146=BB_AKUN,D2146=BB_AKUN)),1,0)</f>
        <v>877</v>
      </c>
      <c r="R2146" s="104" t="str">
        <f aca="false">IF(OR(C2146&amp;D2146="",N(E2146)=0),"",IF(OR(O2146="?",P2146="?"),"⚠ akun tidak dikenal",IF(C2146=D2146,"⚠ debet = kredit","")))</f>
        <v/>
      </c>
    </row>
    <row r="2147" customFormat="false" ht="15" hidden="false" customHeight="false" outlineLevel="0" collapsed="false">
      <c r="A2147" s="5"/>
      <c r="B2147" s="83"/>
      <c r="C2147" s="5"/>
      <c r="D2147" s="5"/>
      <c r="E2147" s="44"/>
      <c r="F2147" s="5"/>
      <c r="G2147" s="5"/>
      <c r="H2147" s="5"/>
      <c r="I2147" s="5"/>
      <c r="J2147" s="102" t="str">
        <f aca="false">IF(B2147="","",MONTH(B2147))</f>
        <v/>
      </c>
      <c r="K2147" s="102" t="str">
        <f aca="false">IF(B2147="","",YEAR(B2147))</f>
        <v/>
      </c>
      <c r="L2147" s="102" t="str">
        <f aca="false">IF(N(E2147)=0,"",IF(COUNTIFS(AK_NAMA,C2147,AK_KAT,"KAS")+COUNTIFS(AK_NAMA,D2147,AK_KAT,"KAS")&lt;&gt;1,"",IF(COUNTIFS(AK_NAMA,C2147,AK_KAT,"KAS")=1,D2147,C2147)))</f>
        <v/>
      </c>
      <c r="M2147" s="103" t="n">
        <f aca="false">IF(L2147="",0,IF(L2147=D2147,E2147,-E2147))</f>
        <v>0</v>
      </c>
      <c r="N2147" s="102" t="str">
        <f aca="false">IF(L2147="","",IFERROR(INDEX(AK_BARIS,MATCH(L2147,AK_NAMA,0)),"?"))</f>
        <v/>
      </c>
      <c r="O2147" s="102" t="str">
        <f aca="false">IF(C2147="","",IFERROR(INDEX(AK_KEL,MATCH(C2147,AK_NAMA,0)),"?"))</f>
        <v/>
      </c>
      <c r="P2147" s="102" t="str">
        <f aca="false">IF(D2147="","",IFERROR(INDEX(AK_KEL,MATCH(D2147,AK_NAMA,0)),"?"))</f>
        <v/>
      </c>
      <c r="Q2147" s="102" t="n">
        <f aca="false">N(Q2146)+IF(AND(N(E2147)&lt;&gt;0,K2147=TAHUN,N(J2147)&lt;=BLN,OR(C2147=BB_AKUN,D2147=BB_AKUN)),1,0)</f>
        <v>877</v>
      </c>
      <c r="R2147" s="104" t="str">
        <f aca="false">IF(OR(C2147&amp;D2147="",N(E2147)=0),"",IF(OR(O2147="?",P2147="?"),"⚠ akun tidak dikenal",IF(C2147=D2147,"⚠ debet = kredit","")))</f>
        <v/>
      </c>
    </row>
    <row r="2148" customFormat="false" ht="15" hidden="false" customHeight="false" outlineLevel="0" collapsed="false">
      <c r="A2148" s="5"/>
      <c r="B2148" s="83"/>
      <c r="C2148" s="5"/>
      <c r="D2148" s="5"/>
      <c r="E2148" s="44"/>
      <c r="F2148" s="5"/>
      <c r="G2148" s="5"/>
      <c r="H2148" s="5"/>
      <c r="I2148" s="5"/>
      <c r="J2148" s="102" t="str">
        <f aca="false">IF(B2148="","",MONTH(B2148))</f>
        <v/>
      </c>
      <c r="K2148" s="102" t="str">
        <f aca="false">IF(B2148="","",YEAR(B2148))</f>
        <v/>
      </c>
      <c r="L2148" s="102" t="str">
        <f aca="false">IF(N(E2148)=0,"",IF(COUNTIFS(AK_NAMA,C2148,AK_KAT,"KAS")+COUNTIFS(AK_NAMA,D2148,AK_KAT,"KAS")&lt;&gt;1,"",IF(COUNTIFS(AK_NAMA,C2148,AK_KAT,"KAS")=1,D2148,C2148)))</f>
        <v/>
      </c>
      <c r="M2148" s="103" t="n">
        <f aca="false">IF(L2148="",0,IF(L2148=D2148,E2148,-E2148))</f>
        <v>0</v>
      </c>
      <c r="N2148" s="102" t="str">
        <f aca="false">IF(L2148="","",IFERROR(INDEX(AK_BARIS,MATCH(L2148,AK_NAMA,0)),"?"))</f>
        <v/>
      </c>
      <c r="O2148" s="102" t="str">
        <f aca="false">IF(C2148="","",IFERROR(INDEX(AK_KEL,MATCH(C2148,AK_NAMA,0)),"?"))</f>
        <v/>
      </c>
      <c r="P2148" s="102" t="str">
        <f aca="false">IF(D2148="","",IFERROR(INDEX(AK_KEL,MATCH(D2148,AK_NAMA,0)),"?"))</f>
        <v/>
      </c>
      <c r="Q2148" s="102" t="n">
        <f aca="false">N(Q2147)+IF(AND(N(E2148)&lt;&gt;0,K2148=TAHUN,N(J2148)&lt;=BLN,OR(C2148=BB_AKUN,D2148=BB_AKUN)),1,0)</f>
        <v>877</v>
      </c>
      <c r="R2148" s="104" t="str">
        <f aca="false">IF(OR(C2148&amp;D2148="",N(E2148)=0),"",IF(OR(O2148="?",P2148="?"),"⚠ akun tidak dikenal",IF(C2148=D2148,"⚠ debet = kredit","")))</f>
        <v/>
      </c>
    </row>
    <row r="2149" customFormat="false" ht="15" hidden="false" customHeight="false" outlineLevel="0" collapsed="false">
      <c r="A2149" s="5"/>
      <c r="B2149" s="83"/>
      <c r="C2149" s="5"/>
      <c r="D2149" s="5"/>
      <c r="E2149" s="44"/>
      <c r="F2149" s="5"/>
      <c r="G2149" s="5"/>
      <c r="H2149" s="5"/>
      <c r="I2149" s="5"/>
      <c r="J2149" s="102" t="str">
        <f aca="false">IF(B2149="","",MONTH(B2149))</f>
        <v/>
      </c>
      <c r="K2149" s="102" t="str">
        <f aca="false">IF(B2149="","",YEAR(B2149))</f>
        <v/>
      </c>
      <c r="L2149" s="102" t="str">
        <f aca="false">IF(N(E2149)=0,"",IF(COUNTIFS(AK_NAMA,C2149,AK_KAT,"KAS")+COUNTIFS(AK_NAMA,D2149,AK_KAT,"KAS")&lt;&gt;1,"",IF(COUNTIFS(AK_NAMA,C2149,AK_KAT,"KAS")=1,D2149,C2149)))</f>
        <v/>
      </c>
      <c r="M2149" s="103" t="n">
        <f aca="false">IF(L2149="",0,IF(L2149=D2149,E2149,-E2149))</f>
        <v>0</v>
      </c>
      <c r="N2149" s="102" t="str">
        <f aca="false">IF(L2149="","",IFERROR(INDEX(AK_BARIS,MATCH(L2149,AK_NAMA,0)),"?"))</f>
        <v/>
      </c>
      <c r="O2149" s="102" t="str">
        <f aca="false">IF(C2149="","",IFERROR(INDEX(AK_KEL,MATCH(C2149,AK_NAMA,0)),"?"))</f>
        <v/>
      </c>
      <c r="P2149" s="102" t="str">
        <f aca="false">IF(D2149="","",IFERROR(INDEX(AK_KEL,MATCH(D2149,AK_NAMA,0)),"?"))</f>
        <v/>
      </c>
      <c r="Q2149" s="102" t="n">
        <f aca="false">N(Q2148)+IF(AND(N(E2149)&lt;&gt;0,K2149=TAHUN,N(J2149)&lt;=BLN,OR(C2149=BB_AKUN,D2149=BB_AKUN)),1,0)</f>
        <v>877</v>
      </c>
      <c r="R2149" s="104" t="str">
        <f aca="false">IF(OR(C2149&amp;D2149="",N(E2149)=0),"",IF(OR(O2149="?",P2149="?"),"⚠ akun tidak dikenal",IF(C2149=D2149,"⚠ debet = kredit","")))</f>
        <v/>
      </c>
    </row>
    <row r="2150" customFormat="false" ht="15" hidden="false" customHeight="false" outlineLevel="0" collapsed="false">
      <c r="A2150" s="5"/>
      <c r="B2150" s="83"/>
      <c r="C2150" s="5"/>
      <c r="D2150" s="5"/>
      <c r="E2150" s="44"/>
      <c r="F2150" s="5"/>
      <c r="G2150" s="5"/>
      <c r="H2150" s="5"/>
      <c r="I2150" s="5"/>
      <c r="J2150" s="102" t="str">
        <f aca="false">IF(B2150="","",MONTH(B2150))</f>
        <v/>
      </c>
      <c r="K2150" s="102" t="str">
        <f aca="false">IF(B2150="","",YEAR(B2150))</f>
        <v/>
      </c>
      <c r="L2150" s="102" t="str">
        <f aca="false">IF(N(E2150)=0,"",IF(COUNTIFS(AK_NAMA,C2150,AK_KAT,"KAS")+COUNTIFS(AK_NAMA,D2150,AK_KAT,"KAS")&lt;&gt;1,"",IF(COUNTIFS(AK_NAMA,C2150,AK_KAT,"KAS")=1,D2150,C2150)))</f>
        <v/>
      </c>
      <c r="M2150" s="103" t="n">
        <f aca="false">IF(L2150="",0,IF(L2150=D2150,E2150,-E2150))</f>
        <v>0</v>
      </c>
      <c r="N2150" s="102" t="str">
        <f aca="false">IF(L2150="","",IFERROR(INDEX(AK_BARIS,MATCH(L2150,AK_NAMA,0)),"?"))</f>
        <v/>
      </c>
      <c r="O2150" s="102" t="str">
        <f aca="false">IF(C2150="","",IFERROR(INDEX(AK_KEL,MATCH(C2150,AK_NAMA,0)),"?"))</f>
        <v/>
      </c>
      <c r="P2150" s="102" t="str">
        <f aca="false">IF(D2150="","",IFERROR(INDEX(AK_KEL,MATCH(D2150,AK_NAMA,0)),"?"))</f>
        <v/>
      </c>
      <c r="Q2150" s="102" t="n">
        <f aca="false">N(Q2149)+IF(AND(N(E2150)&lt;&gt;0,K2150=TAHUN,N(J2150)&lt;=BLN,OR(C2150=BB_AKUN,D2150=BB_AKUN)),1,0)</f>
        <v>877</v>
      </c>
      <c r="R2150" s="104" t="str">
        <f aca="false">IF(OR(C2150&amp;D2150="",N(E2150)=0),"",IF(OR(O2150="?",P2150="?"),"⚠ akun tidak dikenal",IF(C2150=D2150,"⚠ debet = kredit","")))</f>
        <v/>
      </c>
    </row>
    <row r="2151" customFormat="false" ht="15" hidden="false" customHeight="false" outlineLevel="0" collapsed="false">
      <c r="A2151" s="5"/>
      <c r="B2151" s="83"/>
      <c r="C2151" s="5"/>
      <c r="D2151" s="5"/>
      <c r="E2151" s="44"/>
      <c r="F2151" s="5"/>
      <c r="G2151" s="5"/>
      <c r="H2151" s="5"/>
      <c r="I2151" s="5"/>
      <c r="J2151" s="102" t="str">
        <f aca="false">IF(B2151="","",MONTH(B2151))</f>
        <v/>
      </c>
      <c r="K2151" s="102" t="str">
        <f aca="false">IF(B2151="","",YEAR(B2151))</f>
        <v/>
      </c>
      <c r="L2151" s="102" t="str">
        <f aca="false">IF(N(E2151)=0,"",IF(COUNTIFS(AK_NAMA,C2151,AK_KAT,"KAS")+COUNTIFS(AK_NAMA,D2151,AK_KAT,"KAS")&lt;&gt;1,"",IF(COUNTIFS(AK_NAMA,C2151,AK_KAT,"KAS")=1,D2151,C2151)))</f>
        <v/>
      </c>
      <c r="M2151" s="103" t="n">
        <f aca="false">IF(L2151="",0,IF(L2151=D2151,E2151,-E2151))</f>
        <v>0</v>
      </c>
      <c r="N2151" s="102" t="str">
        <f aca="false">IF(L2151="","",IFERROR(INDEX(AK_BARIS,MATCH(L2151,AK_NAMA,0)),"?"))</f>
        <v/>
      </c>
      <c r="O2151" s="102" t="str">
        <f aca="false">IF(C2151="","",IFERROR(INDEX(AK_KEL,MATCH(C2151,AK_NAMA,0)),"?"))</f>
        <v/>
      </c>
      <c r="P2151" s="102" t="str">
        <f aca="false">IF(D2151="","",IFERROR(INDEX(AK_KEL,MATCH(D2151,AK_NAMA,0)),"?"))</f>
        <v/>
      </c>
      <c r="Q2151" s="102" t="n">
        <f aca="false">N(Q2150)+IF(AND(N(E2151)&lt;&gt;0,K2151=TAHUN,N(J2151)&lt;=BLN,OR(C2151=BB_AKUN,D2151=BB_AKUN)),1,0)</f>
        <v>877</v>
      </c>
      <c r="R2151" s="104" t="str">
        <f aca="false">IF(OR(C2151&amp;D2151="",N(E2151)=0),"",IF(OR(O2151="?",P2151="?"),"⚠ akun tidak dikenal",IF(C2151=D2151,"⚠ debet = kredit","")))</f>
        <v/>
      </c>
    </row>
    <row r="2152" customFormat="false" ht="15" hidden="false" customHeight="false" outlineLevel="0" collapsed="false">
      <c r="A2152" s="5"/>
      <c r="B2152" s="83"/>
      <c r="C2152" s="5"/>
      <c r="D2152" s="5"/>
      <c r="E2152" s="44"/>
      <c r="F2152" s="5"/>
      <c r="G2152" s="5"/>
      <c r="H2152" s="5"/>
      <c r="I2152" s="5"/>
      <c r="J2152" s="102" t="str">
        <f aca="false">IF(B2152="","",MONTH(B2152))</f>
        <v/>
      </c>
      <c r="K2152" s="102" t="str">
        <f aca="false">IF(B2152="","",YEAR(B2152))</f>
        <v/>
      </c>
      <c r="L2152" s="102" t="str">
        <f aca="false">IF(N(E2152)=0,"",IF(COUNTIFS(AK_NAMA,C2152,AK_KAT,"KAS")+COUNTIFS(AK_NAMA,D2152,AK_KAT,"KAS")&lt;&gt;1,"",IF(COUNTIFS(AK_NAMA,C2152,AK_KAT,"KAS")=1,D2152,C2152)))</f>
        <v/>
      </c>
      <c r="M2152" s="103" t="n">
        <f aca="false">IF(L2152="",0,IF(L2152=D2152,E2152,-E2152))</f>
        <v>0</v>
      </c>
      <c r="N2152" s="102" t="str">
        <f aca="false">IF(L2152="","",IFERROR(INDEX(AK_BARIS,MATCH(L2152,AK_NAMA,0)),"?"))</f>
        <v/>
      </c>
      <c r="O2152" s="102" t="str">
        <f aca="false">IF(C2152="","",IFERROR(INDEX(AK_KEL,MATCH(C2152,AK_NAMA,0)),"?"))</f>
        <v/>
      </c>
      <c r="P2152" s="102" t="str">
        <f aca="false">IF(D2152="","",IFERROR(INDEX(AK_KEL,MATCH(D2152,AK_NAMA,0)),"?"))</f>
        <v/>
      </c>
      <c r="Q2152" s="102" t="n">
        <f aca="false">N(Q2151)+IF(AND(N(E2152)&lt;&gt;0,K2152=TAHUN,N(J2152)&lt;=BLN,OR(C2152=BB_AKUN,D2152=BB_AKUN)),1,0)</f>
        <v>877</v>
      </c>
      <c r="R2152" s="104" t="str">
        <f aca="false">IF(OR(C2152&amp;D2152="",N(E2152)=0),"",IF(OR(O2152="?",P2152="?"),"⚠ akun tidak dikenal",IF(C2152=D2152,"⚠ debet = kredit","")))</f>
        <v/>
      </c>
    </row>
    <row r="2153" customFormat="false" ht="15" hidden="false" customHeight="false" outlineLevel="0" collapsed="false">
      <c r="A2153" s="5"/>
      <c r="B2153" s="83"/>
      <c r="C2153" s="5"/>
      <c r="D2153" s="5"/>
      <c r="E2153" s="44"/>
      <c r="F2153" s="5"/>
      <c r="G2153" s="5"/>
      <c r="H2153" s="5"/>
      <c r="I2153" s="5"/>
      <c r="J2153" s="102" t="str">
        <f aca="false">IF(B2153="","",MONTH(B2153))</f>
        <v/>
      </c>
      <c r="K2153" s="102" t="str">
        <f aca="false">IF(B2153="","",YEAR(B2153))</f>
        <v/>
      </c>
      <c r="L2153" s="102" t="str">
        <f aca="false">IF(N(E2153)=0,"",IF(COUNTIFS(AK_NAMA,C2153,AK_KAT,"KAS")+COUNTIFS(AK_NAMA,D2153,AK_KAT,"KAS")&lt;&gt;1,"",IF(COUNTIFS(AK_NAMA,C2153,AK_KAT,"KAS")=1,D2153,C2153)))</f>
        <v/>
      </c>
      <c r="M2153" s="103" t="n">
        <f aca="false">IF(L2153="",0,IF(L2153=D2153,E2153,-E2153))</f>
        <v>0</v>
      </c>
      <c r="N2153" s="102" t="str">
        <f aca="false">IF(L2153="","",IFERROR(INDEX(AK_BARIS,MATCH(L2153,AK_NAMA,0)),"?"))</f>
        <v/>
      </c>
      <c r="O2153" s="102" t="str">
        <f aca="false">IF(C2153="","",IFERROR(INDEX(AK_KEL,MATCH(C2153,AK_NAMA,0)),"?"))</f>
        <v/>
      </c>
      <c r="P2153" s="102" t="str">
        <f aca="false">IF(D2153="","",IFERROR(INDEX(AK_KEL,MATCH(D2153,AK_NAMA,0)),"?"))</f>
        <v/>
      </c>
      <c r="Q2153" s="102" t="n">
        <f aca="false">N(Q2152)+IF(AND(N(E2153)&lt;&gt;0,K2153=TAHUN,N(J2153)&lt;=BLN,OR(C2153=BB_AKUN,D2153=BB_AKUN)),1,0)</f>
        <v>877</v>
      </c>
      <c r="R2153" s="104" t="str">
        <f aca="false">IF(OR(C2153&amp;D2153="",N(E2153)=0),"",IF(OR(O2153="?",P2153="?"),"⚠ akun tidak dikenal",IF(C2153=D2153,"⚠ debet = kredit","")))</f>
        <v/>
      </c>
    </row>
    <row r="2154" customFormat="false" ht="15" hidden="false" customHeight="false" outlineLevel="0" collapsed="false">
      <c r="A2154" s="5"/>
      <c r="B2154" s="83"/>
      <c r="C2154" s="5"/>
      <c r="D2154" s="5"/>
      <c r="E2154" s="44"/>
      <c r="F2154" s="5"/>
      <c r="G2154" s="5"/>
      <c r="H2154" s="5"/>
      <c r="I2154" s="5"/>
      <c r="J2154" s="102" t="str">
        <f aca="false">IF(B2154="","",MONTH(B2154))</f>
        <v/>
      </c>
      <c r="K2154" s="102" t="str">
        <f aca="false">IF(B2154="","",YEAR(B2154))</f>
        <v/>
      </c>
      <c r="L2154" s="102" t="str">
        <f aca="false">IF(N(E2154)=0,"",IF(COUNTIFS(AK_NAMA,C2154,AK_KAT,"KAS")+COUNTIFS(AK_NAMA,D2154,AK_KAT,"KAS")&lt;&gt;1,"",IF(COUNTIFS(AK_NAMA,C2154,AK_KAT,"KAS")=1,D2154,C2154)))</f>
        <v/>
      </c>
      <c r="M2154" s="103" t="n">
        <f aca="false">IF(L2154="",0,IF(L2154=D2154,E2154,-E2154))</f>
        <v>0</v>
      </c>
      <c r="N2154" s="102" t="str">
        <f aca="false">IF(L2154="","",IFERROR(INDEX(AK_BARIS,MATCH(L2154,AK_NAMA,0)),"?"))</f>
        <v/>
      </c>
      <c r="O2154" s="102" t="str">
        <f aca="false">IF(C2154="","",IFERROR(INDEX(AK_KEL,MATCH(C2154,AK_NAMA,0)),"?"))</f>
        <v/>
      </c>
      <c r="P2154" s="102" t="str">
        <f aca="false">IF(D2154="","",IFERROR(INDEX(AK_KEL,MATCH(D2154,AK_NAMA,0)),"?"))</f>
        <v/>
      </c>
      <c r="Q2154" s="102" t="n">
        <f aca="false">N(Q2153)+IF(AND(N(E2154)&lt;&gt;0,K2154=TAHUN,N(J2154)&lt;=BLN,OR(C2154=BB_AKUN,D2154=BB_AKUN)),1,0)</f>
        <v>877</v>
      </c>
      <c r="R2154" s="104" t="str">
        <f aca="false">IF(OR(C2154&amp;D2154="",N(E2154)=0),"",IF(OR(O2154="?",P2154="?"),"⚠ akun tidak dikenal",IF(C2154=D2154,"⚠ debet = kredit","")))</f>
        <v/>
      </c>
    </row>
    <row r="2155" customFormat="false" ht="15" hidden="false" customHeight="false" outlineLevel="0" collapsed="false">
      <c r="A2155" s="5"/>
      <c r="B2155" s="83"/>
      <c r="C2155" s="5"/>
      <c r="D2155" s="5"/>
      <c r="E2155" s="44"/>
      <c r="F2155" s="5"/>
      <c r="G2155" s="5"/>
      <c r="H2155" s="5"/>
      <c r="I2155" s="5"/>
      <c r="J2155" s="102" t="str">
        <f aca="false">IF(B2155="","",MONTH(B2155))</f>
        <v/>
      </c>
      <c r="K2155" s="102" t="str">
        <f aca="false">IF(B2155="","",YEAR(B2155))</f>
        <v/>
      </c>
      <c r="L2155" s="102" t="str">
        <f aca="false">IF(N(E2155)=0,"",IF(COUNTIFS(AK_NAMA,C2155,AK_KAT,"KAS")+COUNTIFS(AK_NAMA,D2155,AK_KAT,"KAS")&lt;&gt;1,"",IF(COUNTIFS(AK_NAMA,C2155,AK_KAT,"KAS")=1,D2155,C2155)))</f>
        <v/>
      </c>
      <c r="M2155" s="103" t="n">
        <f aca="false">IF(L2155="",0,IF(L2155=D2155,E2155,-E2155))</f>
        <v>0</v>
      </c>
      <c r="N2155" s="102" t="str">
        <f aca="false">IF(L2155="","",IFERROR(INDEX(AK_BARIS,MATCH(L2155,AK_NAMA,0)),"?"))</f>
        <v/>
      </c>
      <c r="O2155" s="102" t="str">
        <f aca="false">IF(C2155="","",IFERROR(INDEX(AK_KEL,MATCH(C2155,AK_NAMA,0)),"?"))</f>
        <v/>
      </c>
      <c r="P2155" s="102" t="str">
        <f aca="false">IF(D2155="","",IFERROR(INDEX(AK_KEL,MATCH(D2155,AK_NAMA,0)),"?"))</f>
        <v/>
      </c>
      <c r="Q2155" s="102" t="n">
        <f aca="false">N(Q2154)+IF(AND(N(E2155)&lt;&gt;0,K2155=TAHUN,N(J2155)&lt;=BLN,OR(C2155=BB_AKUN,D2155=BB_AKUN)),1,0)</f>
        <v>877</v>
      </c>
      <c r="R2155" s="104" t="str">
        <f aca="false">IF(OR(C2155&amp;D2155="",N(E2155)=0),"",IF(OR(O2155="?",P2155="?"),"⚠ akun tidak dikenal",IF(C2155=D2155,"⚠ debet = kredit","")))</f>
        <v/>
      </c>
    </row>
    <row r="2156" customFormat="false" ht="15" hidden="false" customHeight="false" outlineLevel="0" collapsed="false">
      <c r="A2156" s="5"/>
      <c r="B2156" s="83"/>
      <c r="C2156" s="5"/>
      <c r="D2156" s="5"/>
      <c r="E2156" s="44"/>
      <c r="F2156" s="5"/>
      <c r="G2156" s="5"/>
      <c r="H2156" s="5"/>
      <c r="I2156" s="5"/>
      <c r="J2156" s="102" t="str">
        <f aca="false">IF(B2156="","",MONTH(B2156))</f>
        <v/>
      </c>
      <c r="K2156" s="102" t="str">
        <f aca="false">IF(B2156="","",YEAR(B2156))</f>
        <v/>
      </c>
      <c r="L2156" s="102" t="str">
        <f aca="false">IF(N(E2156)=0,"",IF(COUNTIFS(AK_NAMA,C2156,AK_KAT,"KAS")+COUNTIFS(AK_NAMA,D2156,AK_KAT,"KAS")&lt;&gt;1,"",IF(COUNTIFS(AK_NAMA,C2156,AK_KAT,"KAS")=1,D2156,C2156)))</f>
        <v/>
      </c>
      <c r="M2156" s="103" t="n">
        <f aca="false">IF(L2156="",0,IF(L2156=D2156,E2156,-E2156))</f>
        <v>0</v>
      </c>
      <c r="N2156" s="102" t="str">
        <f aca="false">IF(L2156="","",IFERROR(INDEX(AK_BARIS,MATCH(L2156,AK_NAMA,0)),"?"))</f>
        <v/>
      </c>
      <c r="O2156" s="102" t="str">
        <f aca="false">IF(C2156="","",IFERROR(INDEX(AK_KEL,MATCH(C2156,AK_NAMA,0)),"?"))</f>
        <v/>
      </c>
      <c r="P2156" s="102" t="str">
        <f aca="false">IF(D2156="","",IFERROR(INDEX(AK_KEL,MATCH(D2156,AK_NAMA,0)),"?"))</f>
        <v/>
      </c>
      <c r="Q2156" s="102" t="n">
        <f aca="false">N(Q2155)+IF(AND(N(E2156)&lt;&gt;0,K2156=TAHUN,N(J2156)&lt;=BLN,OR(C2156=BB_AKUN,D2156=BB_AKUN)),1,0)</f>
        <v>877</v>
      </c>
      <c r="R2156" s="104" t="str">
        <f aca="false">IF(OR(C2156&amp;D2156="",N(E2156)=0),"",IF(OR(O2156="?",P2156="?"),"⚠ akun tidak dikenal",IF(C2156=D2156,"⚠ debet = kredit","")))</f>
        <v/>
      </c>
    </row>
    <row r="2157" customFormat="false" ht="15" hidden="false" customHeight="false" outlineLevel="0" collapsed="false">
      <c r="A2157" s="5"/>
      <c r="B2157" s="83"/>
      <c r="C2157" s="5"/>
      <c r="D2157" s="5"/>
      <c r="E2157" s="44"/>
      <c r="F2157" s="5"/>
      <c r="G2157" s="5"/>
      <c r="H2157" s="5"/>
      <c r="I2157" s="5"/>
      <c r="J2157" s="102" t="str">
        <f aca="false">IF(B2157="","",MONTH(B2157))</f>
        <v/>
      </c>
      <c r="K2157" s="102" t="str">
        <f aca="false">IF(B2157="","",YEAR(B2157))</f>
        <v/>
      </c>
      <c r="L2157" s="102" t="str">
        <f aca="false">IF(N(E2157)=0,"",IF(COUNTIFS(AK_NAMA,C2157,AK_KAT,"KAS")+COUNTIFS(AK_NAMA,D2157,AK_KAT,"KAS")&lt;&gt;1,"",IF(COUNTIFS(AK_NAMA,C2157,AK_KAT,"KAS")=1,D2157,C2157)))</f>
        <v/>
      </c>
      <c r="M2157" s="103" t="n">
        <f aca="false">IF(L2157="",0,IF(L2157=D2157,E2157,-E2157))</f>
        <v>0</v>
      </c>
      <c r="N2157" s="102" t="str">
        <f aca="false">IF(L2157="","",IFERROR(INDEX(AK_BARIS,MATCH(L2157,AK_NAMA,0)),"?"))</f>
        <v/>
      </c>
      <c r="O2157" s="102" t="str">
        <f aca="false">IF(C2157="","",IFERROR(INDEX(AK_KEL,MATCH(C2157,AK_NAMA,0)),"?"))</f>
        <v/>
      </c>
      <c r="P2157" s="102" t="str">
        <f aca="false">IF(D2157="","",IFERROR(INDEX(AK_KEL,MATCH(D2157,AK_NAMA,0)),"?"))</f>
        <v/>
      </c>
      <c r="Q2157" s="102" t="n">
        <f aca="false">N(Q2156)+IF(AND(N(E2157)&lt;&gt;0,K2157=TAHUN,N(J2157)&lt;=BLN,OR(C2157=BB_AKUN,D2157=BB_AKUN)),1,0)</f>
        <v>877</v>
      </c>
      <c r="R2157" s="104" t="str">
        <f aca="false">IF(OR(C2157&amp;D2157="",N(E2157)=0),"",IF(OR(O2157="?",P2157="?"),"⚠ akun tidak dikenal",IF(C2157=D2157,"⚠ debet = kredit","")))</f>
        <v/>
      </c>
    </row>
    <row r="2158" customFormat="false" ht="15" hidden="false" customHeight="false" outlineLevel="0" collapsed="false">
      <c r="A2158" s="5"/>
      <c r="B2158" s="83"/>
      <c r="C2158" s="5"/>
      <c r="D2158" s="5"/>
      <c r="E2158" s="44"/>
      <c r="F2158" s="5"/>
      <c r="G2158" s="5"/>
      <c r="H2158" s="5"/>
      <c r="I2158" s="5"/>
      <c r="J2158" s="102" t="str">
        <f aca="false">IF(B2158="","",MONTH(B2158))</f>
        <v/>
      </c>
      <c r="K2158" s="102" t="str">
        <f aca="false">IF(B2158="","",YEAR(B2158))</f>
        <v/>
      </c>
      <c r="L2158" s="102" t="str">
        <f aca="false">IF(N(E2158)=0,"",IF(COUNTIFS(AK_NAMA,C2158,AK_KAT,"KAS")+COUNTIFS(AK_NAMA,D2158,AK_KAT,"KAS")&lt;&gt;1,"",IF(COUNTIFS(AK_NAMA,C2158,AK_KAT,"KAS")=1,D2158,C2158)))</f>
        <v/>
      </c>
      <c r="M2158" s="103" t="n">
        <f aca="false">IF(L2158="",0,IF(L2158=D2158,E2158,-E2158))</f>
        <v>0</v>
      </c>
      <c r="N2158" s="102" t="str">
        <f aca="false">IF(L2158="","",IFERROR(INDEX(AK_BARIS,MATCH(L2158,AK_NAMA,0)),"?"))</f>
        <v/>
      </c>
      <c r="O2158" s="102" t="str">
        <f aca="false">IF(C2158="","",IFERROR(INDEX(AK_KEL,MATCH(C2158,AK_NAMA,0)),"?"))</f>
        <v/>
      </c>
      <c r="P2158" s="102" t="str">
        <f aca="false">IF(D2158="","",IFERROR(INDEX(AK_KEL,MATCH(D2158,AK_NAMA,0)),"?"))</f>
        <v/>
      </c>
      <c r="Q2158" s="102" t="n">
        <f aca="false">N(Q2157)+IF(AND(N(E2158)&lt;&gt;0,K2158=TAHUN,N(J2158)&lt;=BLN,OR(C2158=BB_AKUN,D2158=BB_AKUN)),1,0)</f>
        <v>877</v>
      </c>
      <c r="R2158" s="104" t="str">
        <f aca="false">IF(OR(C2158&amp;D2158="",N(E2158)=0),"",IF(OR(O2158="?",P2158="?"),"⚠ akun tidak dikenal",IF(C2158=D2158,"⚠ debet = kredit","")))</f>
        <v/>
      </c>
    </row>
    <row r="2159" customFormat="false" ht="15" hidden="false" customHeight="false" outlineLevel="0" collapsed="false">
      <c r="A2159" s="5"/>
      <c r="B2159" s="83"/>
      <c r="C2159" s="5"/>
      <c r="D2159" s="5"/>
      <c r="E2159" s="44"/>
      <c r="F2159" s="5"/>
      <c r="G2159" s="5"/>
      <c r="H2159" s="5"/>
      <c r="I2159" s="5"/>
      <c r="J2159" s="102" t="str">
        <f aca="false">IF(B2159="","",MONTH(B2159))</f>
        <v/>
      </c>
      <c r="K2159" s="102" t="str">
        <f aca="false">IF(B2159="","",YEAR(B2159))</f>
        <v/>
      </c>
      <c r="L2159" s="102" t="str">
        <f aca="false">IF(N(E2159)=0,"",IF(COUNTIFS(AK_NAMA,C2159,AK_KAT,"KAS")+COUNTIFS(AK_NAMA,D2159,AK_KAT,"KAS")&lt;&gt;1,"",IF(COUNTIFS(AK_NAMA,C2159,AK_KAT,"KAS")=1,D2159,C2159)))</f>
        <v/>
      </c>
      <c r="M2159" s="103" t="n">
        <f aca="false">IF(L2159="",0,IF(L2159=D2159,E2159,-E2159))</f>
        <v>0</v>
      </c>
      <c r="N2159" s="102" t="str">
        <f aca="false">IF(L2159="","",IFERROR(INDEX(AK_BARIS,MATCH(L2159,AK_NAMA,0)),"?"))</f>
        <v/>
      </c>
      <c r="O2159" s="102" t="str">
        <f aca="false">IF(C2159="","",IFERROR(INDEX(AK_KEL,MATCH(C2159,AK_NAMA,0)),"?"))</f>
        <v/>
      </c>
      <c r="P2159" s="102" t="str">
        <f aca="false">IF(D2159="","",IFERROR(INDEX(AK_KEL,MATCH(D2159,AK_NAMA,0)),"?"))</f>
        <v/>
      </c>
      <c r="Q2159" s="102" t="n">
        <f aca="false">N(Q2158)+IF(AND(N(E2159)&lt;&gt;0,K2159=TAHUN,N(J2159)&lt;=BLN,OR(C2159=BB_AKUN,D2159=BB_AKUN)),1,0)</f>
        <v>877</v>
      </c>
      <c r="R2159" s="104" t="str">
        <f aca="false">IF(OR(C2159&amp;D2159="",N(E2159)=0),"",IF(OR(O2159="?",P2159="?"),"⚠ akun tidak dikenal",IF(C2159=D2159,"⚠ debet = kredit","")))</f>
        <v/>
      </c>
    </row>
    <row r="2160" customFormat="false" ht="15" hidden="false" customHeight="false" outlineLevel="0" collapsed="false">
      <c r="A2160" s="5"/>
      <c r="B2160" s="83"/>
      <c r="C2160" s="5"/>
      <c r="D2160" s="5"/>
      <c r="E2160" s="44"/>
      <c r="F2160" s="5"/>
      <c r="G2160" s="5"/>
      <c r="H2160" s="5"/>
      <c r="I2160" s="5"/>
      <c r="J2160" s="102" t="str">
        <f aca="false">IF(B2160="","",MONTH(B2160))</f>
        <v/>
      </c>
      <c r="K2160" s="102" t="str">
        <f aca="false">IF(B2160="","",YEAR(B2160))</f>
        <v/>
      </c>
      <c r="L2160" s="102" t="str">
        <f aca="false">IF(N(E2160)=0,"",IF(COUNTIFS(AK_NAMA,C2160,AK_KAT,"KAS")+COUNTIFS(AK_NAMA,D2160,AK_KAT,"KAS")&lt;&gt;1,"",IF(COUNTIFS(AK_NAMA,C2160,AK_KAT,"KAS")=1,D2160,C2160)))</f>
        <v/>
      </c>
      <c r="M2160" s="103" t="n">
        <f aca="false">IF(L2160="",0,IF(L2160=D2160,E2160,-E2160))</f>
        <v>0</v>
      </c>
      <c r="N2160" s="102" t="str">
        <f aca="false">IF(L2160="","",IFERROR(INDEX(AK_BARIS,MATCH(L2160,AK_NAMA,0)),"?"))</f>
        <v/>
      </c>
      <c r="O2160" s="102" t="str">
        <f aca="false">IF(C2160="","",IFERROR(INDEX(AK_KEL,MATCH(C2160,AK_NAMA,0)),"?"))</f>
        <v/>
      </c>
      <c r="P2160" s="102" t="str">
        <f aca="false">IF(D2160="","",IFERROR(INDEX(AK_KEL,MATCH(D2160,AK_NAMA,0)),"?"))</f>
        <v/>
      </c>
      <c r="Q2160" s="102" t="n">
        <f aca="false">N(Q2159)+IF(AND(N(E2160)&lt;&gt;0,K2160=TAHUN,N(J2160)&lt;=BLN,OR(C2160=BB_AKUN,D2160=BB_AKUN)),1,0)</f>
        <v>877</v>
      </c>
      <c r="R2160" s="104" t="str">
        <f aca="false">IF(OR(C2160&amp;D2160="",N(E2160)=0),"",IF(OR(O2160="?",P2160="?"),"⚠ akun tidak dikenal",IF(C2160=D2160,"⚠ debet = kredit","")))</f>
        <v/>
      </c>
    </row>
    <row r="2161" customFormat="false" ht="15" hidden="false" customHeight="false" outlineLevel="0" collapsed="false">
      <c r="A2161" s="5"/>
      <c r="B2161" s="83"/>
      <c r="C2161" s="5"/>
      <c r="D2161" s="5"/>
      <c r="E2161" s="44"/>
      <c r="F2161" s="5"/>
      <c r="G2161" s="5"/>
      <c r="H2161" s="5"/>
      <c r="I2161" s="5"/>
      <c r="J2161" s="102" t="str">
        <f aca="false">IF(B2161="","",MONTH(B2161))</f>
        <v/>
      </c>
      <c r="K2161" s="102" t="str">
        <f aca="false">IF(B2161="","",YEAR(B2161))</f>
        <v/>
      </c>
      <c r="L2161" s="102" t="str">
        <f aca="false">IF(N(E2161)=0,"",IF(COUNTIFS(AK_NAMA,C2161,AK_KAT,"KAS")+COUNTIFS(AK_NAMA,D2161,AK_KAT,"KAS")&lt;&gt;1,"",IF(COUNTIFS(AK_NAMA,C2161,AK_KAT,"KAS")=1,D2161,C2161)))</f>
        <v/>
      </c>
      <c r="M2161" s="103" t="n">
        <f aca="false">IF(L2161="",0,IF(L2161=D2161,E2161,-E2161))</f>
        <v>0</v>
      </c>
      <c r="N2161" s="102" t="str">
        <f aca="false">IF(L2161="","",IFERROR(INDEX(AK_BARIS,MATCH(L2161,AK_NAMA,0)),"?"))</f>
        <v/>
      </c>
      <c r="O2161" s="102" t="str">
        <f aca="false">IF(C2161="","",IFERROR(INDEX(AK_KEL,MATCH(C2161,AK_NAMA,0)),"?"))</f>
        <v/>
      </c>
      <c r="P2161" s="102" t="str">
        <f aca="false">IF(D2161="","",IFERROR(INDEX(AK_KEL,MATCH(D2161,AK_NAMA,0)),"?"))</f>
        <v/>
      </c>
      <c r="Q2161" s="102" t="n">
        <f aca="false">N(Q2160)+IF(AND(N(E2161)&lt;&gt;0,K2161=TAHUN,N(J2161)&lt;=BLN,OR(C2161=BB_AKUN,D2161=BB_AKUN)),1,0)</f>
        <v>877</v>
      </c>
      <c r="R2161" s="104" t="str">
        <f aca="false">IF(OR(C2161&amp;D2161="",N(E2161)=0),"",IF(OR(O2161="?",P2161="?"),"⚠ akun tidak dikenal",IF(C2161=D2161,"⚠ debet = kredit","")))</f>
        <v/>
      </c>
    </row>
    <row r="2162" customFormat="false" ht="15" hidden="false" customHeight="false" outlineLevel="0" collapsed="false">
      <c r="A2162" s="5"/>
      <c r="B2162" s="83"/>
      <c r="C2162" s="5"/>
      <c r="D2162" s="5"/>
      <c r="E2162" s="44"/>
      <c r="F2162" s="5"/>
      <c r="G2162" s="5"/>
      <c r="H2162" s="5"/>
      <c r="I2162" s="5"/>
      <c r="J2162" s="102" t="str">
        <f aca="false">IF(B2162="","",MONTH(B2162))</f>
        <v/>
      </c>
      <c r="K2162" s="102" t="str">
        <f aca="false">IF(B2162="","",YEAR(B2162))</f>
        <v/>
      </c>
      <c r="L2162" s="102" t="str">
        <f aca="false">IF(N(E2162)=0,"",IF(COUNTIFS(AK_NAMA,C2162,AK_KAT,"KAS")+COUNTIFS(AK_NAMA,D2162,AK_KAT,"KAS")&lt;&gt;1,"",IF(COUNTIFS(AK_NAMA,C2162,AK_KAT,"KAS")=1,D2162,C2162)))</f>
        <v/>
      </c>
      <c r="M2162" s="103" t="n">
        <f aca="false">IF(L2162="",0,IF(L2162=D2162,E2162,-E2162))</f>
        <v>0</v>
      </c>
      <c r="N2162" s="102" t="str">
        <f aca="false">IF(L2162="","",IFERROR(INDEX(AK_BARIS,MATCH(L2162,AK_NAMA,0)),"?"))</f>
        <v/>
      </c>
      <c r="O2162" s="102" t="str">
        <f aca="false">IF(C2162="","",IFERROR(INDEX(AK_KEL,MATCH(C2162,AK_NAMA,0)),"?"))</f>
        <v/>
      </c>
      <c r="P2162" s="102" t="str">
        <f aca="false">IF(D2162="","",IFERROR(INDEX(AK_KEL,MATCH(D2162,AK_NAMA,0)),"?"))</f>
        <v/>
      </c>
      <c r="Q2162" s="102" t="n">
        <f aca="false">N(Q2161)+IF(AND(N(E2162)&lt;&gt;0,K2162=TAHUN,N(J2162)&lt;=BLN,OR(C2162=BB_AKUN,D2162=BB_AKUN)),1,0)</f>
        <v>877</v>
      </c>
      <c r="R2162" s="104" t="str">
        <f aca="false">IF(OR(C2162&amp;D2162="",N(E2162)=0),"",IF(OR(O2162="?",P2162="?"),"⚠ akun tidak dikenal",IF(C2162=D2162,"⚠ debet = kredit","")))</f>
        <v/>
      </c>
    </row>
    <row r="2163" customFormat="false" ht="15" hidden="false" customHeight="false" outlineLevel="0" collapsed="false">
      <c r="A2163" s="5"/>
      <c r="B2163" s="83"/>
      <c r="C2163" s="5"/>
      <c r="D2163" s="5"/>
      <c r="E2163" s="44"/>
      <c r="F2163" s="5"/>
      <c r="G2163" s="5"/>
      <c r="H2163" s="5"/>
      <c r="I2163" s="5"/>
      <c r="J2163" s="102" t="str">
        <f aca="false">IF(B2163="","",MONTH(B2163))</f>
        <v/>
      </c>
      <c r="K2163" s="102" t="str">
        <f aca="false">IF(B2163="","",YEAR(B2163))</f>
        <v/>
      </c>
      <c r="L2163" s="102" t="str">
        <f aca="false">IF(N(E2163)=0,"",IF(COUNTIFS(AK_NAMA,C2163,AK_KAT,"KAS")+COUNTIFS(AK_NAMA,D2163,AK_KAT,"KAS")&lt;&gt;1,"",IF(COUNTIFS(AK_NAMA,C2163,AK_KAT,"KAS")=1,D2163,C2163)))</f>
        <v/>
      </c>
      <c r="M2163" s="103" t="n">
        <f aca="false">IF(L2163="",0,IF(L2163=D2163,E2163,-E2163))</f>
        <v>0</v>
      </c>
      <c r="N2163" s="102" t="str">
        <f aca="false">IF(L2163="","",IFERROR(INDEX(AK_BARIS,MATCH(L2163,AK_NAMA,0)),"?"))</f>
        <v/>
      </c>
      <c r="O2163" s="102" t="str">
        <f aca="false">IF(C2163="","",IFERROR(INDEX(AK_KEL,MATCH(C2163,AK_NAMA,0)),"?"))</f>
        <v/>
      </c>
      <c r="P2163" s="102" t="str">
        <f aca="false">IF(D2163="","",IFERROR(INDEX(AK_KEL,MATCH(D2163,AK_NAMA,0)),"?"))</f>
        <v/>
      </c>
      <c r="Q2163" s="102" t="n">
        <f aca="false">N(Q2162)+IF(AND(N(E2163)&lt;&gt;0,K2163=TAHUN,N(J2163)&lt;=BLN,OR(C2163=BB_AKUN,D2163=BB_AKUN)),1,0)</f>
        <v>877</v>
      </c>
      <c r="R2163" s="104" t="str">
        <f aca="false">IF(OR(C2163&amp;D2163="",N(E2163)=0),"",IF(OR(O2163="?",P2163="?"),"⚠ akun tidak dikenal",IF(C2163=D2163,"⚠ debet = kredit","")))</f>
        <v/>
      </c>
    </row>
    <row r="2164" customFormat="false" ht="15" hidden="false" customHeight="false" outlineLevel="0" collapsed="false">
      <c r="A2164" s="5"/>
      <c r="B2164" s="83"/>
      <c r="C2164" s="5"/>
      <c r="D2164" s="5"/>
      <c r="E2164" s="44"/>
      <c r="F2164" s="5"/>
      <c r="G2164" s="5"/>
      <c r="H2164" s="5"/>
      <c r="I2164" s="5"/>
      <c r="J2164" s="102" t="str">
        <f aca="false">IF(B2164="","",MONTH(B2164))</f>
        <v/>
      </c>
      <c r="K2164" s="102" t="str">
        <f aca="false">IF(B2164="","",YEAR(B2164))</f>
        <v/>
      </c>
      <c r="L2164" s="102" t="str">
        <f aca="false">IF(N(E2164)=0,"",IF(COUNTIFS(AK_NAMA,C2164,AK_KAT,"KAS")+COUNTIFS(AK_NAMA,D2164,AK_KAT,"KAS")&lt;&gt;1,"",IF(COUNTIFS(AK_NAMA,C2164,AK_KAT,"KAS")=1,D2164,C2164)))</f>
        <v/>
      </c>
      <c r="M2164" s="103" t="n">
        <f aca="false">IF(L2164="",0,IF(L2164=D2164,E2164,-E2164))</f>
        <v>0</v>
      </c>
      <c r="N2164" s="102" t="str">
        <f aca="false">IF(L2164="","",IFERROR(INDEX(AK_BARIS,MATCH(L2164,AK_NAMA,0)),"?"))</f>
        <v/>
      </c>
      <c r="O2164" s="102" t="str">
        <f aca="false">IF(C2164="","",IFERROR(INDEX(AK_KEL,MATCH(C2164,AK_NAMA,0)),"?"))</f>
        <v/>
      </c>
      <c r="P2164" s="102" t="str">
        <f aca="false">IF(D2164="","",IFERROR(INDEX(AK_KEL,MATCH(D2164,AK_NAMA,0)),"?"))</f>
        <v/>
      </c>
      <c r="Q2164" s="102" t="n">
        <f aca="false">N(Q2163)+IF(AND(N(E2164)&lt;&gt;0,K2164=TAHUN,N(J2164)&lt;=BLN,OR(C2164=BB_AKUN,D2164=BB_AKUN)),1,0)</f>
        <v>877</v>
      </c>
      <c r="R2164" s="104" t="str">
        <f aca="false">IF(OR(C2164&amp;D2164="",N(E2164)=0),"",IF(OR(O2164="?",P2164="?"),"⚠ akun tidak dikenal",IF(C2164=D2164,"⚠ debet = kredit","")))</f>
        <v/>
      </c>
    </row>
    <row r="2165" customFormat="false" ht="15" hidden="false" customHeight="false" outlineLevel="0" collapsed="false">
      <c r="A2165" s="5"/>
      <c r="B2165" s="83"/>
      <c r="C2165" s="5"/>
      <c r="D2165" s="5"/>
      <c r="E2165" s="44"/>
      <c r="F2165" s="5"/>
      <c r="G2165" s="5"/>
      <c r="H2165" s="5"/>
      <c r="I2165" s="5"/>
      <c r="J2165" s="102" t="str">
        <f aca="false">IF(B2165="","",MONTH(B2165))</f>
        <v/>
      </c>
      <c r="K2165" s="102" t="str">
        <f aca="false">IF(B2165="","",YEAR(B2165))</f>
        <v/>
      </c>
      <c r="L2165" s="102" t="str">
        <f aca="false">IF(N(E2165)=0,"",IF(COUNTIFS(AK_NAMA,C2165,AK_KAT,"KAS")+COUNTIFS(AK_NAMA,D2165,AK_KAT,"KAS")&lt;&gt;1,"",IF(COUNTIFS(AK_NAMA,C2165,AK_KAT,"KAS")=1,D2165,C2165)))</f>
        <v/>
      </c>
      <c r="M2165" s="103" t="n">
        <f aca="false">IF(L2165="",0,IF(L2165=D2165,E2165,-E2165))</f>
        <v>0</v>
      </c>
      <c r="N2165" s="102" t="str">
        <f aca="false">IF(L2165="","",IFERROR(INDEX(AK_BARIS,MATCH(L2165,AK_NAMA,0)),"?"))</f>
        <v/>
      </c>
      <c r="O2165" s="102" t="str">
        <f aca="false">IF(C2165="","",IFERROR(INDEX(AK_KEL,MATCH(C2165,AK_NAMA,0)),"?"))</f>
        <v/>
      </c>
      <c r="P2165" s="102" t="str">
        <f aca="false">IF(D2165="","",IFERROR(INDEX(AK_KEL,MATCH(D2165,AK_NAMA,0)),"?"))</f>
        <v/>
      </c>
      <c r="Q2165" s="102" t="n">
        <f aca="false">N(Q2164)+IF(AND(N(E2165)&lt;&gt;0,K2165=TAHUN,N(J2165)&lt;=BLN,OR(C2165=BB_AKUN,D2165=BB_AKUN)),1,0)</f>
        <v>877</v>
      </c>
      <c r="R2165" s="104" t="str">
        <f aca="false">IF(OR(C2165&amp;D2165="",N(E2165)=0),"",IF(OR(O2165="?",P2165="?"),"⚠ akun tidak dikenal",IF(C2165=D2165,"⚠ debet = kredit","")))</f>
        <v/>
      </c>
    </row>
    <row r="2166" customFormat="false" ht="15" hidden="false" customHeight="false" outlineLevel="0" collapsed="false">
      <c r="A2166" s="5"/>
      <c r="B2166" s="83"/>
      <c r="C2166" s="5"/>
      <c r="D2166" s="5"/>
      <c r="E2166" s="44"/>
      <c r="F2166" s="5"/>
      <c r="G2166" s="5"/>
      <c r="H2166" s="5"/>
      <c r="I2166" s="5"/>
      <c r="J2166" s="102" t="str">
        <f aca="false">IF(B2166="","",MONTH(B2166))</f>
        <v/>
      </c>
      <c r="K2166" s="102" t="str">
        <f aca="false">IF(B2166="","",YEAR(B2166))</f>
        <v/>
      </c>
      <c r="L2166" s="102" t="str">
        <f aca="false">IF(N(E2166)=0,"",IF(COUNTIFS(AK_NAMA,C2166,AK_KAT,"KAS")+COUNTIFS(AK_NAMA,D2166,AK_KAT,"KAS")&lt;&gt;1,"",IF(COUNTIFS(AK_NAMA,C2166,AK_KAT,"KAS")=1,D2166,C2166)))</f>
        <v/>
      </c>
      <c r="M2166" s="103" t="n">
        <f aca="false">IF(L2166="",0,IF(L2166=D2166,E2166,-E2166))</f>
        <v>0</v>
      </c>
      <c r="N2166" s="102" t="str">
        <f aca="false">IF(L2166="","",IFERROR(INDEX(AK_BARIS,MATCH(L2166,AK_NAMA,0)),"?"))</f>
        <v/>
      </c>
      <c r="O2166" s="102" t="str">
        <f aca="false">IF(C2166="","",IFERROR(INDEX(AK_KEL,MATCH(C2166,AK_NAMA,0)),"?"))</f>
        <v/>
      </c>
      <c r="P2166" s="102" t="str">
        <f aca="false">IF(D2166="","",IFERROR(INDEX(AK_KEL,MATCH(D2166,AK_NAMA,0)),"?"))</f>
        <v/>
      </c>
      <c r="Q2166" s="102" t="n">
        <f aca="false">N(Q2165)+IF(AND(N(E2166)&lt;&gt;0,K2166=TAHUN,N(J2166)&lt;=BLN,OR(C2166=BB_AKUN,D2166=BB_AKUN)),1,0)</f>
        <v>877</v>
      </c>
      <c r="R2166" s="104" t="str">
        <f aca="false">IF(OR(C2166&amp;D2166="",N(E2166)=0),"",IF(OR(O2166="?",P2166="?"),"⚠ akun tidak dikenal",IF(C2166=D2166,"⚠ debet = kredit","")))</f>
        <v/>
      </c>
    </row>
    <row r="2167" customFormat="false" ht="15" hidden="false" customHeight="false" outlineLevel="0" collapsed="false">
      <c r="A2167" s="5"/>
      <c r="B2167" s="83"/>
      <c r="C2167" s="5"/>
      <c r="D2167" s="5"/>
      <c r="E2167" s="44"/>
      <c r="F2167" s="5"/>
      <c r="G2167" s="5"/>
      <c r="H2167" s="5"/>
      <c r="I2167" s="5"/>
      <c r="J2167" s="102" t="str">
        <f aca="false">IF(B2167="","",MONTH(B2167))</f>
        <v/>
      </c>
      <c r="K2167" s="102" t="str">
        <f aca="false">IF(B2167="","",YEAR(B2167))</f>
        <v/>
      </c>
      <c r="L2167" s="102" t="str">
        <f aca="false">IF(N(E2167)=0,"",IF(COUNTIFS(AK_NAMA,C2167,AK_KAT,"KAS")+COUNTIFS(AK_NAMA,D2167,AK_KAT,"KAS")&lt;&gt;1,"",IF(COUNTIFS(AK_NAMA,C2167,AK_KAT,"KAS")=1,D2167,C2167)))</f>
        <v/>
      </c>
      <c r="M2167" s="103" t="n">
        <f aca="false">IF(L2167="",0,IF(L2167=D2167,E2167,-E2167))</f>
        <v>0</v>
      </c>
      <c r="N2167" s="102" t="str">
        <f aca="false">IF(L2167="","",IFERROR(INDEX(AK_BARIS,MATCH(L2167,AK_NAMA,0)),"?"))</f>
        <v/>
      </c>
      <c r="O2167" s="102" t="str">
        <f aca="false">IF(C2167="","",IFERROR(INDEX(AK_KEL,MATCH(C2167,AK_NAMA,0)),"?"))</f>
        <v/>
      </c>
      <c r="P2167" s="102" t="str">
        <f aca="false">IF(D2167="","",IFERROR(INDEX(AK_KEL,MATCH(D2167,AK_NAMA,0)),"?"))</f>
        <v/>
      </c>
      <c r="Q2167" s="102" t="n">
        <f aca="false">N(Q2166)+IF(AND(N(E2167)&lt;&gt;0,K2167=TAHUN,N(J2167)&lt;=BLN,OR(C2167=BB_AKUN,D2167=BB_AKUN)),1,0)</f>
        <v>877</v>
      </c>
      <c r="R2167" s="104" t="str">
        <f aca="false">IF(OR(C2167&amp;D2167="",N(E2167)=0),"",IF(OR(O2167="?",P2167="?"),"⚠ akun tidak dikenal",IF(C2167=D2167,"⚠ debet = kredit","")))</f>
        <v/>
      </c>
    </row>
    <row r="2168" customFormat="false" ht="15" hidden="false" customHeight="false" outlineLevel="0" collapsed="false">
      <c r="A2168" s="5"/>
      <c r="B2168" s="83"/>
      <c r="C2168" s="5"/>
      <c r="D2168" s="5"/>
      <c r="E2168" s="44"/>
      <c r="F2168" s="5"/>
      <c r="G2168" s="5"/>
      <c r="H2168" s="5"/>
      <c r="I2168" s="5"/>
      <c r="J2168" s="102" t="str">
        <f aca="false">IF(B2168="","",MONTH(B2168))</f>
        <v/>
      </c>
      <c r="K2168" s="102" t="str">
        <f aca="false">IF(B2168="","",YEAR(B2168))</f>
        <v/>
      </c>
      <c r="L2168" s="102" t="str">
        <f aca="false">IF(N(E2168)=0,"",IF(COUNTIFS(AK_NAMA,C2168,AK_KAT,"KAS")+COUNTIFS(AK_NAMA,D2168,AK_KAT,"KAS")&lt;&gt;1,"",IF(COUNTIFS(AK_NAMA,C2168,AK_KAT,"KAS")=1,D2168,C2168)))</f>
        <v/>
      </c>
      <c r="M2168" s="103" t="n">
        <f aca="false">IF(L2168="",0,IF(L2168=D2168,E2168,-E2168))</f>
        <v>0</v>
      </c>
      <c r="N2168" s="102" t="str">
        <f aca="false">IF(L2168="","",IFERROR(INDEX(AK_BARIS,MATCH(L2168,AK_NAMA,0)),"?"))</f>
        <v/>
      </c>
      <c r="O2168" s="102" t="str">
        <f aca="false">IF(C2168="","",IFERROR(INDEX(AK_KEL,MATCH(C2168,AK_NAMA,0)),"?"))</f>
        <v/>
      </c>
      <c r="P2168" s="102" t="str">
        <f aca="false">IF(D2168="","",IFERROR(INDEX(AK_KEL,MATCH(D2168,AK_NAMA,0)),"?"))</f>
        <v/>
      </c>
      <c r="Q2168" s="102" t="n">
        <f aca="false">N(Q2167)+IF(AND(N(E2168)&lt;&gt;0,K2168=TAHUN,N(J2168)&lt;=BLN,OR(C2168=BB_AKUN,D2168=BB_AKUN)),1,0)</f>
        <v>877</v>
      </c>
      <c r="R2168" s="104" t="str">
        <f aca="false">IF(OR(C2168&amp;D2168="",N(E2168)=0),"",IF(OR(O2168="?",P2168="?"),"⚠ akun tidak dikenal",IF(C2168=D2168,"⚠ debet = kredit","")))</f>
        <v/>
      </c>
    </row>
    <row r="2169" customFormat="false" ht="15" hidden="false" customHeight="false" outlineLevel="0" collapsed="false">
      <c r="A2169" s="5"/>
      <c r="B2169" s="83"/>
      <c r="C2169" s="5"/>
      <c r="D2169" s="5"/>
      <c r="E2169" s="44"/>
      <c r="F2169" s="5"/>
      <c r="G2169" s="5"/>
      <c r="H2169" s="5"/>
      <c r="I2169" s="5"/>
      <c r="J2169" s="102" t="str">
        <f aca="false">IF(B2169="","",MONTH(B2169))</f>
        <v/>
      </c>
      <c r="K2169" s="102" t="str">
        <f aca="false">IF(B2169="","",YEAR(B2169))</f>
        <v/>
      </c>
      <c r="L2169" s="102" t="str">
        <f aca="false">IF(N(E2169)=0,"",IF(COUNTIFS(AK_NAMA,C2169,AK_KAT,"KAS")+COUNTIFS(AK_NAMA,D2169,AK_KAT,"KAS")&lt;&gt;1,"",IF(COUNTIFS(AK_NAMA,C2169,AK_KAT,"KAS")=1,D2169,C2169)))</f>
        <v/>
      </c>
      <c r="M2169" s="103" t="n">
        <f aca="false">IF(L2169="",0,IF(L2169=D2169,E2169,-E2169))</f>
        <v>0</v>
      </c>
      <c r="N2169" s="102" t="str">
        <f aca="false">IF(L2169="","",IFERROR(INDEX(AK_BARIS,MATCH(L2169,AK_NAMA,0)),"?"))</f>
        <v/>
      </c>
      <c r="O2169" s="102" t="str">
        <f aca="false">IF(C2169="","",IFERROR(INDEX(AK_KEL,MATCH(C2169,AK_NAMA,0)),"?"))</f>
        <v/>
      </c>
      <c r="P2169" s="102" t="str">
        <f aca="false">IF(D2169="","",IFERROR(INDEX(AK_KEL,MATCH(D2169,AK_NAMA,0)),"?"))</f>
        <v/>
      </c>
      <c r="Q2169" s="102" t="n">
        <f aca="false">N(Q2168)+IF(AND(N(E2169)&lt;&gt;0,K2169=TAHUN,N(J2169)&lt;=BLN,OR(C2169=BB_AKUN,D2169=BB_AKUN)),1,0)</f>
        <v>877</v>
      </c>
      <c r="R2169" s="104" t="str">
        <f aca="false">IF(OR(C2169&amp;D2169="",N(E2169)=0),"",IF(OR(O2169="?",P2169="?"),"⚠ akun tidak dikenal",IF(C2169=D2169,"⚠ debet = kredit","")))</f>
        <v/>
      </c>
    </row>
    <row r="2170" customFormat="false" ht="15" hidden="false" customHeight="false" outlineLevel="0" collapsed="false">
      <c r="A2170" s="5"/>
      <c r="B2170" s="83"/>
      <c r="C2170" s="5"/>
      <c r="D2170" s="5"/>
      <c r="E2170" s="44"/>
      <c r="F2170" s="5"/>
      <c r="G2170" s="5"/>
      <c r="H2170" s="5"/>
      <c r="I2170" s="5"/>
      <c r="J2170" s="102" t="str">
        <f aca="false">IF(B2170="","",MONTH(B2170))</f>
        <v/>
      </c>
      <c r="K2170" s="102" t="str">
        <f aca="false">IF(B2170="","",YEAR(B2170))</f>
        <v/>
      </c>
      <c r="L2170" s="102" t="str">
        <f aca="false">IF(N(E2170)=0,"",IF(COUNTIFS(AK_NAMA,C2170,AK_KAT,"KAS")+COUNTIFS(AK_NAMA,D2170,AK_KAT,"KAS")&lt;&gt;1,"",IF(COUNTIFS(AK_NAMA,C2170,AK_KAT,"KAS")=1,D2170,C2170)))</f>
        <v/>
      </c>
      <c r="M2170" s="103" t="n">
        <f aca="false">IF(L2170="",0,IF(L2170=D2170,E2170,-E2170))</f>
        <v>0</v>
      </c>
      <c r="N2170" s="102" t="str">
        <f aca="false">IF(L2170="","",IFERROR(INDEX(AK_BARIS,MATCH(L2170,AK_NAMA,0)),"?"))</f>
        <v/>
      </c>
      <c r="O2170" s="102" t="str">
        <f aca="false">IF(C2170="","",IFERROR(INDEX(AK_KEL,MATCH(C2170,AK_NAMA,0)),"?"))</f>
        <v/>
      </c>
      <c r="P2170" s="102" t="str">
        <f aca="false">IF(D2170="","",IFERROR(INDEX(AK_KEL,MATCH(D2170,AK_NAMA,0)),"?"))</f>
        <v/>
      </c>
      <c r="Q2170" s="102" t="n">
        <f aca="false">N(Q2169)+IF(AND(N(E2170)&lt;&gt;0,K2170=TAHUN,N(J2170)&lt;=BLN,OR(C2170=BB_AKUN,D2170=BB_AKUN)),1,0)</f>
        <v>877</v>
      </c>
      <c r="R2170" s="104" t="str">
        <f aca="false">IF(OR(C2170&amp;D2170="",N(E2170)=0),"",IF(OR(O2170="?",P2170="?"),"⚠ akun tidak dikenal",IF(C2170=D2170,"⚠ debet = kredit","")))</f>
        <v/>
      </c>
    </row>
    <row r="2171" customFormat="false" ht="15" hidden="false" customHeight="false" outlineLevel="0" collapsed="false">
      <c r="A2171" s="5"/>
      <c r="B2171" s="83"/>
      <c r="C2171" s="5"/>
      <c r="D2171" s="5"/>
      <c r="E2171" s="44"/>
      <c r="F2171" s="5"/>
      <c r="G2171" s="5"/>
      <c r="H2171" s="5"/>
      <c r="I2171" s="5"/>
      <c r="J2171" s="102" t="str">
        <f aca="false">IF(B2171="","",MONTH(B2171))</f>
        <v/>
      </c>
      <c r="K2171" s="102" t="str">
        <f aca="false">IF(B2171="","",YEAR(B2171))</f>
        <v/>
      </c>
      <c r="L2171" s="102" t="str">
        <f aca="false">IF(N(E2171)=0,"",IF(COUNTIFS(AK_NAMA,C2171,AK_KAT,"KAS")+COUNTIFS(AK_NAMA,D2171,AK_KAT,"KAS")&lt;&gt;1,"",IF(COUNTIFS(AK_NAMA,C2171,AK_KAT,"KAS")=1,D2171,C2171)))</f>
        <v/>
      </c>
      <c r="M2171" s="103" t="n">
        <f aca="false">IF(L2171="",0,IF(L2171=D2171,E2171,-E2171))</f>
        <v>0</v>
      </c>
      <c r="N2171" s="102" t="str">
        <f aca="false">IF(L2171="","",IFERROR(INDEX(AK_BARIS,MATCH(L2171,AK_NAMA,0)),"?"))</f>
        <v/>
      </c>
      <c r="O2171" s="102" t="str">
        <f aca="false">IF(C2171="","",IFERROR(INDEX(AK_KEL,MATCH(C2171,AK_NAMA,0)),"?"))</f>
        <v/>
      </c>
      <c r="P2171" s="102" t="str">
        <f aca="false">IF(D2171="","",IFERROR(INDEX(AK_KEL,MATCH(D2171,AK_NAMA,0)),"?"))</f>
        <v/>
      </c>
      <c r="Q2171" s="102" t="n">
        <f aca="false">N(Q2170)+IF(AND(N(E2171)&lt;&gt;0,K2171=TAHUN,N(J2171)&lt;=BLN,OR(C2171=BB_AKUN,D2171=BB_AKUN)),1,0)</f>
        <v>877</v>
      </c>
      <c r="R2171" s="104" t="str">
        <f aca="false">IF(OR(C2171&amp;D2171="",N(E2171)=0),"",IF(OR(O2171="?",P2171="?"),"⚠ akun tidak dikenal",IF(C2171=D2171,"⚠ debet = kredit","")))</f>
        <v/>
      </c>
    </row>
    <row r="2172" customFormat="false" ht="15" hidden="false" customHeight="false" outlineLevel="0" collapsed="false">
      <c r="A2172" s="5"/>
      <c r="B2172" s="83"/>
      <c r="C2172" s="5"/>
      <c r="D2172" s="5"/>
      <c r="E2172" s="44"/>
      <c r="F2172" s="5"/>
      <c r="G2172" s="5"/>
      <c r="H2172" s="5"/>
      <c r="I2172" s="5"/>
      <c r="J2172" s="102" t="str">
        <f aca="false">IF(B2172="","",MONTH(B2172))</f>
        <v/>
      </c>
      <c r="K2172" s="102" t="str">
        <f aca="false">IF(B2172="","",YEAR(B2172))</f>
        <v/>
      </c>
      <c r="L2172" s="102" t="str">
        <f aca="false">IF(N(E2172)=0,"",IF(COUNTIFS(AK_NAMA,C2172,AK_KAT,"KAS")+COUNTIFS(AK_NAMA,D2172,AK_KAT,"KAS")&lt;&gt;1,"",IF(COUNTIFS(AK_NAMA,C2172,AK_KAT,"KAS")=1,D2172,C2172)))</f>
        <v/>
      </c>
      <c r="M2172" s="103" t="n">
        <f aca="false">IF(L2172="",0,IF(L2172=D2172,E2172,-E2172))</f>
        <v>0</v>
      </c>
      <c r="N2172" s="102" t="str">
        <f aca="false">IF(L2172="","",IFERROR(INDEX(AK_BARIS,MATCH(L2172,AK_NAMA,0)),"?"))</f>
        <v/>
      </c>
      <c r="O2172" s="102" t="str">
        <f aca="false">IF(C2172="","",IFERROR(INDEX(AK_KEL,MATCH(C2172,AK_NAMA,0)),"?"))</f>
        <v/>
      </c>
      <c r="P2172" s="102" t="str">
        <f aca="false">IF(D2172="","",IFERROR(INDEX(AK_KEL,MATCH(D2172,AK_NAMA,0)),"?"))</f>
        <v/>
      </c>
      <c r="Q2172" s="102" t="n">
        <f aca="false">N(Q2171)+IF(AND(N(E2172)&lt;&gt;0,K2172=TAHUN,N(J2172)&lt;=BLN,OR(C2172=BB_AKUN,D2172=BB_AKUN)),1,0)</f>
        <v>877</v>
      </c>
      <c r="R2172" s="104" t="str">
        <f aca="false">IF(OR(C2172&amp;D2172="",N(E2172)=0),"",IF(OR(O2172="?",P2172="?"),"⚠ akun tidak dikenal",IF(C2172=D2172,"⚠ debet = kredit","")))</f>
        <v/>
      </c>
    </row>
    <row r="2173" customFormat="false" ht="15" hidden="false" customHeight="false" outlineLevel="0" collapsed="false">
      <c r="A2173" s="5"/>
      <c r="B2173" s="83"/>
      <c r="C2173" s="5"/>
      <c r="D2173" s="5"/>
      <c r="E2173" s="44"/>
      <c r="F2173" s="5"/>
      <c r="G2173" s="5"/>
      <c r="H2173" s="5"/>
      <c r="I2173" s="5"/>
      <c r="J2173" s="102" t="str">
        <f aca="false">IF(B2173="","",MONTH(B2173))</f>
        <v/>
      </c>
      <c r="K2173" s="102" t="str">
        <f aca="false">IF(B2173="","",YEAR(B2173))</f>
        <v/>
      </c>
      <c r="L2173" s="102" t="str">
        <f aca="false">IF(N(E2173)=0,"",IF(COUNTIFS(AK_NAMA,C2173,AK_KAT,"KAS")+COUNTIFS(AK_NAMA,D2173,AK_KAT,"KAS")&lt;&gt;1,"",IF(COUNTIFS(AK_NAMA,C2173,AK_KAT,"KAS")=1,D2173,C2173)))</f>
        <v/>
      </c>
      <c r="M2173" s="103" t="n">
        <f aca="false">IF(L2173="",0,IF(L2173=D2173,E2173,-E2173))</f>
        <v>0</v>
      </c>
      <c r="N2173" s="102" t="str">
        <f aca="false">IF(L2173="","",IFERROR(INDEX(AK_BARIS,MATCH(L2173,AK_NAMA,0)),"?"))</f>
        <v/>
      </c>
      <c r="O2173" s="102" t="str">
        <f aca="false">IF(C2173="","",IFERROR(INDEX(AK_KEL,MATCH(C2173,AK_NAMA,0)),"?"))</f>
        <v/>
      </c>
      <c r="P2173" s="102" t="str">
        <f aca="false">IF(D2173="","",IFERROR(INDEX(AK_KEL,MATCH(D2173,AK_NAMA,0)),"?"))</f>
        <v/>
      </c>
      <c r="Q2173" s="102" t="n">
        <f aca="false">N(Q2172)+IF(AND(N(E2173)&lt;&gt;0,K2173=TAHUN,N(J2173)&lt;=BLN,OR(C2173=BB_AKUN,D2173=BB_AKUN)),1,0)</f>
        <v>877</v>
      </c>
      <c r="R2173" s="104" t="str">
        <f aca="false">IF(OR(C2173&amp;D2173="",N(E2173)=0),"",IF(OR(O2173="?",P2173="?"),"⚠ akun tidak dikenal",IF(C2173=D2173,"⚠ debet = kredit","")))</f>
        <v/>
      </c>
    </row>
    <row r="2174" customFormat="false" ht="15" hidden="false" customHeight="false" outlineLevel="0" collapsed="false">
      <c r="A2174" s="5"/>
      <c r="B2174" s="83"/>
      <c r="C2174" s="5"/>
      <c r="D2174" s="5"/>
      <c r="E2174" s="44"/>
      <c r="F2174" s="5"/>
      <c r="G2174" s="5"/>
      <c r="H2174" s="5"/>
      <c r="I2174" s="5"/>
      <c r="J2174" s="102" t="str">
        <f aca="false">IF(B2174="","",MONTH(B2174))</f>
        <v/>
      </c>
      <c r="K2174" s="102" t="str">
        <f aca="false">IF(B2174="","",YEAR(B2174))</f>
        <v/>
      </c>
      <c r="L2174" s="102" t="str">
        <f aca="false">IF(N(E2174)=0,"",IF(COUNTIFS(AK_NAMA,C2174,AK_KAT,"KAS")+COUNTIFS(AK_NAMA,D2174,AK_KAT,"KAS")&lt;&gt;1,"",IF(COUNTIFS(AK_NAMA,C2174,AK_KAT,"KAS")=1,D2174,C2174)))</f>
        <v/>
      </c>
      <c r="M2174" s="103" t="n">
        <f aca="false">IF(L2174="",0,IF(L2174=D2174,E2174,-E2174))</f>
        <v>0</v>
      </c>
      <c r="N2174" s="102" t="str">
        <f aca="false">IF(L2174="","",IFERROR(INDEX(AK_BARIS,MATCH(L2174,AK_NAMA,0)),"?"))</f>
        <v/>
      </c>
      <c r="O2174" s="102" t="str">
        <f aca="false">IF(C2174="","",IFERROR(INDEX(AK_KEL,MATCH(C2174,AK_NAMA,0)),"?"))</f>
        <v/>
      </c>
      <c r="P2174" s="102" t="str">
        <f aca="false">IF(D2174="","",IFERROR(INDEX(AK_KEL,MATCH(D2174,AK_NAMA,0)),"?"))</f>
        <v/>
      </c>
      <c r="Q2174" s="102" t="n">
        <f aca="false">N(Q2173)+IF(AND(N(E2174)&lt;&gt;0,K2174=TAHUN,N(J2174)&lt;=BLN,OR(C2174=BB_AKUN,D2174=BB_AKUN)),1,0)</f>
        <v>877</v>
      </c>
      <c r="R2174" s="104" t="str">
        <f aca="false">IF(OR(C2174&amp;D2174="",N(E2174)=0),"",IF(OR(O2174="?",P2174="?"),"⚠ akun tidak dikenal",IF(C2174=D2174,"⚠ debet = kredit","")))</f>
        <v/>
      </c>
    </row>
    <row r="2175" customFormat="false" ht="15" hidden="false" customHeight="false" outlineLevel="0" collapsed="false">
      <c r="A2175" s="5"/>
      <c r="B2175" s="83"/>
      <c r="C2175" s="5"/>
      <c r="D2175" s="5"/>
      <c r="E2175" s="44"/>
      <c r="F2175" s="5"/>
      <c r="G2175" s="5"/>
      <c r="H2175" s="5"/>
      <c r="I2175" s="5"/>
      <c r="J2175" s="102" t="str">
        <f aca="false">IF(B2175="","",MONTH(B2175))</f>
        <v/>
      </c>
      <c r="K2175" s="102" t="str">
        <f aca="false">IF(B2175="","",YEAR(B2175))</f>
        <v/>
      </c>
      <c r="L2175" s="102" t="str">
        <f aca="false">IF(N(E2175)=0,"",IF(COUNTIFS(AK_NAMA,C2175,AK_KAT,"KAS")+COUNTIFS(AK_NAMA,D2175,AK_KAT,"KAS")&lt;&gt;1,"",IF(COUNTIFS(AK_NAMA,C2175,AK_KAT,"KAS")=1,D2175,C2175)))</f>
        <v/>
      </c>
      <c r="M2175" s="103" t="n">
        <f aca="false">IF(L2175="",0,IF(L2175=D2175,E2175,-E2175))</f>
        <v>0</v>
      </c>
      <c r="N2175" s="102" t="str">
        <f aca="false">IF(L2175="","",IFERROR(INDEX(AK_BARIS,MATCH(L2175,AK_NAMA,0)),"?"))</f>
        <v/>
      </c>
      <c r="O2175" s="102" t="str">
        <f aca="false">IF(C2175="","",IFERROR(INDEX(AK_KEL,MATCH(C2175,AK_NAMA,0)),"?"))</f>
        <v/>
      </c>
      <c r="P2175" s="102" t="str">
        <f aca="false">IF(D2175="","",IFERROR(INDEX(AK_KEL,MATCH(D2175,AK_NAMA,0)),"?"))</f>
        <v/>
      </c>
      <c r="Q2175" s="102" t="n">
        <f aca="false">N(Q2174)+IF(AND(N(E2175)&lt;&gt;0,K2175=TAHUN,N(J2175)&lt;=BLN,OR(C2175=BB_AKUN,D2175=BB_AKUN)),1,0)</f>
        <v>877</v>
      </c>
      <c r="R2175" s="104" t="str">
        <f aca="false">IF(OR(C2175&amp;D2175="",N(E2175)=0),"",IF(OR(O2175="?",P2175="?"),"⚠ akun tidak dikenal",IF(C2175=D2175,"⚠ debet = kredit","")))</f>
        <v/>
      </c>
    </row>
    <row r="2176" customFormat="false" ht="15" hidden="false" customHeight="false" outlineLevel="0" collapsed="false">
      <c r="A2176" s="5"/>
      <c r="B2176" s="83"/>
      <c r="C2176" s="5"/>
      <c r="D2176" s="5"/>
      <c r="E2176" s="44"/>
      <c r="F2176" s="5"/>
      <c r="G2176" s="5"/>
      <c r="H2176" s="5"/>
      <c r="I2176" s="5"/>
      <c r="J2176" s="102" t="str">
        <f aca="false">IF(B2176="","",MONTH(B2176))</f>
        <v/>
      </c>
      <c r="K2176" s="102" t="str">
        <f aca="false">IF(B2176="","",YEAR(B2176))</f>
        <v/>
      </c>
      <c r="L2176" s="102" t="str">
        <f aca="false">IF(N(E2176)=0,"",IF(COUNTIFS(AK_NAMA,C2176,AK_KAT,"KAS")+COUNTIFS(AK_NAMA,D2176,AK_KAT,"KAS")&lt;&gt;1,"",IF(COUNTIFS(AK_NAMA,C2176,AK_KAT,"KAS")=1,D2176,C2176)))</f>
        <v/>
      </c>
      <c r="M2176" s="103" t="n">
        <f aca="false">IF(L2176="",0,IF(L2176=D2176,E2176,-E2176))</f>
        <v>0</v>
      </c>
      <c r="N2176" s="102" t="str">
        <f aca="false">IF(L2176="","",IFERROR(INDEX(AK_BARIS,MATCH(L2176,AK_NAMA,0)),"?"))</f>
        <v/>
      </c>
      <c r="O2176" s="102" t="str">
        <f aca="false">IF(C2176="","",IFERROR(INDEX(AK_KEL,MATCH(C2176,AK_NAMA,0)),"?"))</f>
        <v/>
      </c>
      <c r="P2176" s="102" t="str">
        <f aca="false">IF(D2176="","",IFERROR(INDEX(AK_KEL,MATCH(D2176,AK_NAMA,0)),"?"))</f>
        <v/>
      </c>
      <c r="Q2176" s="102" t="n">
        <f aca="false">N(Q2175)+IF(AND(N(E2176)&lt;&gt;0,K2176=TAHUN,N(J2176)&lt;=BLN,OR(C2176=BB_AKUN,D2176=BB_AKUN)),1,0)</f>
        <v>877</v>
      </c>
      <c r="R2176" s="104" t="str">
        <f aca="false">IF(OR(C2176&amp;D2176="",N(E2176)=0),"",IF(OR(O2176="?",P2176="?"),"⚠ akun tidak dikenal",IF(C2176=D2176,"⚠ debet = kredit","")))</f>
        <v/>
      </c>
    </row>
    <row r="2177" customFormat="false" ht="15" hidden="false" customHeight="false" outlineLevel="0" collapsed="false">
      <c r="A2177" s="5"/>
      <c r="B2177" s="83"/>
      <c r="C2177" s="5"/>
      <c r="D2177" s="5"/>
      <c r="E2177" s="44"/>
      <c r="F2177" s="5"/>
      <c r="G2177" s="5"/>
      <c r="H2177" s="5"/>
      <c r="I2177" s="5"/>
      <c r="J2177" s="102" t="str">
        <f aca="false">IF(B2177="","",MONTH(B2177))</f>
        <v/>
      </c>
      <c r="K2177" s="102" t="str">
        <f aca="false">IF(B2177="","",YEAR(B2177))</f>
        <v/>
      </c>
      <c r="L2177" s="102" t="str">
        <f aca="false">IF(N(E2177)=0,"",IF(COUNTIFS(AK_NAMA,C2177,AK_KAT,"KAS")+COUNTIFS(AK_NAMA,D2177,AK_KAT,"KAS")&lt;&gt;1,"",IF(COUNTIFS(AK_NAMA,C2177,AK_KAT,"KAS")=1,D2177,C2177)))</f>
        <v/>
      </c>
      <c r="M2177" s="103" t="n">
        <f aca="false">IF(L2177="",0,IF(L2177=D2177,E2177,-E2177))</f>
        <v>0</v>
      </c>
      <c r="N2177" s="102" t="str">
        <f aca="false">IF(L2177="","",IFERROR(INDEX(AK_BARIS,MATCH(L2177,AK_NAMA,0)),"?"))</f>
        <v/>
      </c>
      <c r="O2177" s="102" t="str">
        <f aca="false">IF(C2177="","",IFERROR(INDEX(AK_KEL,MATCH(C2177,AK_NAMA,0)),"?"))</f>
        <v/>
      </c>
      <c r="P2177" s="102" t="str">
        <f aca="false">IF(D2177="","",IFERROR(INDEX(AK_KEL,MATCH(D2177,AK_NAMA,0)),"?"))</f>
        <v/>
      </c>
      <c r="Q2177" s="102" t="n">
        <f aca="false">N(Q2176)+IF(AND(N(E2177)&lt;&gt;0,K2177=TAHUN,N(J2177)&lt;=BLN,OR(C2177=BB_AKUN,D2177=BB_AKUN)),1,0)</f>
        <v>877</v>
      </c>
      <c r="R2177" s="104" t="str">
        <f aca="false">IF(OR(C2177&amp;D2177="",N(E2177)=0),"",IF(OR(O2177="?",P2177="?"),"⚠ akun tidak dikenal",IF(C2177=D2177,"⚠ debet = kredit","")))</f>
        <v/>
      </c>
    </row>
    <row r="2178" customFormat="false" ht="15" hidden="false" customHeight="false" outlineLevel="0" collapsed="false">
      <c r="A2178" s="5"/>
      <c r="B2178" s="83"/>
      <c r="C2178" s="5"/>
      <c r="D2178" s="5"/>
      <c r="E2178" s="44"/>
      <c r="F2178" s="5"/>
      <c r="G2178" s="5"/>
      <c r="H2178" s="5"/>
      <c r="I2178" s="5"/>
      <c r="J2178" s="102" t="str">
        <f aca="false">IF(B2178="","",MONTH(B2178))</f>
        <v/>
      </c>
      <c r="K2178" s="102" t="str">
        <f aca="false">IF(B2178="","",YEAR(B2178))</f>
        <v/>
      </c>
      <c r="L2178" s="102" t="str">
        <f aca="false">IF(N(E2178)=0,"",IF(COUNTIFS(AK_NAMA,C2178,AK_KAT,"KAS")+COUNTIFS(AK_NAMA,D2178,AK_KAT,"KAS")&lt;&gt;1,"",IF(COUNTIFS(AK_NAMA,C2178,AK_KAT,"KAS")=1,D2178,C2178)))</f>
        <v/>
      </c>
      <c r="M2178" s="103" t="n">
        <f aca="false">IF(L2178="",0,IF(L2178=D2178,E2178,-E2178))</f>
        <v>0</v>
      </c>
      <c r="N2178" s="102" t="str">
        <f aca="false">IF(L2178="","",IFERROR(INDEX(AK_BARIS,MATCH(L2178,AK_NAMA,0)),"?"))</f>
        <v/>
      </c>
      <c r="O2178" s="102" t="str">
        <f aca="false">IF(C2178="","",IFERROR(INDEX(AK_KEL,MATCH(C2178,AK_NAMA,0)),"?"))</f>
        <v/>
      </c>
      <c r="P2178" s="102" t="str">
        <f aca="false">IF(D2178="","",IFERROR(INDEX(AK_KEL,MATCH(D2178,AK_NAMA,0)),"?"))</f>
        <v/>
      </c>
      <c r="Q2178" s="102" t="n">
        <f aca="false">N(Q2177)+IF(AND(N(E2178)&lt;&gt;0,K2178=TAHUN,N(J2178)&lt;=BLN,OR(C2178=BB_AKUN,D2178=BB_AKUN)),1,0)</f>
        <v>877</v>
      </c>
      <c r="R2178" s="104" t="str">
        <f aca="false">IF(OR(C2178&amp;D2178="",N(E2178)=0),"",IF(OR(O2178="?",P2178="?"),"⚠ akun tidak dikenal",IF(C2178=D2178,"⚠ debet = kredit","")))</f>
        <v/>
      </c>
    </row>
    <row r="2179" customFormat="false" ht="15" hidden="false" customHeight="false" outlineLevel="0" collapsed="false">
      <c r="A2179" s="5"/>
      <c r="B2179" s="83"/>
      <c r="C2179" s="5"/>
      <c r="D2179" s="5"/>
      <c r="E2179" s="44"/>
      <c r="F2179" s="5"/>
      <c r="G2179" s="5"/>
      <c r="H2179" s="5"/>
      <c r="I2179" s="5"/>
      <c r="J2179" s="102" t="str">
        <f aca="false">IF(B2179="","",MONTH(B2179))</f>
        <v/>
      </c>
      <c r="K2179" s="102" t="str">
        <f aca="false">IF(B2179="","",YEAR(B2179))</f>
        <v/>
      </c>
      <c r="L2179" s="102" t="str">
        <f aca="false">IF(N(E2179)=0,"",IF(COUNTIFS(AK_NAMA,C2179,AK_KAT,"KAS")+COUNTIFS(AK_NAMA,D2179,AK_KAT,"KAS")&lt;&gt;1,"",IF(COUNTIFS(AK_NAMA,C2179,AK_KAT,"KAS")=1,D2179,C2179)))</f>
        <v/>
      </c>
      <c r="M2179" s="103" t="n">
        <f aca="false">IF(L2179="",0,IF(L2179=D2179,E2179,-E2179))</f>
        <v>0</v>
      </c>
      <c r="N2179" s="102" t="str">
        <f aca="false">IF(L2179="","",IFERROR(INDEX(AK_BARIS,MATCH(L2179,AK_NAMA,0)),"?"))</f>
        <v/>
      </c>
      <c r="O2179" s="102" t="str">
        <f aca="false">IF(C2179="","",IFERROR(INDEX(AK_KEL,MATCH(C2179,AK_NAMA,0)),"?"))</f>
        <v/>
      </c>
      <c r="P2179" s="102" t="str">
        <f aca="false">IF(D2179="","",IFERROR(INDEX(AK_KEL,MATCH(D2179,AK_NAMA,0)),"?"))</f>
        <v/>
      </c>
      <c r="Q2179" s="102" t="n">
        <f aca="false">N(Q2178)+IF(AND(N(E2179)&lt;&gt;0,K2179=TAHUN,N(J2179)&lt;=BLN,OR(C2179=BB_AKUN,D2179=BB_AKUN)),1,0)</f>
        <v>877</v>
      </c>
      <c r="R2179" s="104" t="str">
        <f aca="false">IF(OR(C2179&amp;D2179="",N(E2179)=0),"",IF(OR(O2179="?",P2179="?"),"⚠ akun tidak dikenal",IF(C2179=D2179,"⚠ debet = kredit","")))</f>
        <v/>
      </c>
    </row>
    <row r="2180" customFormat="false" ht="15" hidden="false" customHeight="false" outlineLevel="0" collapsed="false">
      <c r="A2180" s="5"/>
      <c r="B2180" s="83"/>
      <c r="C2180" s="5"/>
      <c r="D2180" s="5"/>
      <c r="E2180" s="44"/>
      <c r="F2180" s="5"/>
      <c r="G2180" s="5"/>
      <c r="H2180" s="5"/>
      <c r="I2180" s="5"/>
      <c r="J2180" s="102" t="str">
        <f aca="false">IF(B2180="","",MONTH(B2180))</f>
        <v/>
      </c>
      <c r="K2180" s="102" t="str">
        <f aca="false">IF(B2180="","",YEAR(B2180))</f>
        <v/>
      </c>
      <c r="L2180" s="102" t="str">
        <f aca="false">IF(N(E2180)=0,"",IF(COUNTIFS(AK_NAMA,C2180,AK_KAT,"KAS")+COUNTIFS(AK_NAMA,D2180,AK_KAT,"KAS")&lt;&gt;1,"",IF(COUNTIFS(AK_NAMA,C2180,AK_KAT,"KAS")=1,D2180,C2180)))</f>
        <v/>
      </c>
      <c r="M2180" s="103" t="n">
        <f aca="false">IF(L2180="",0,IF(L2180=D2180,E2180,-E2180))</f>
        <v>0</v>
      </c>
      <c r="N2180" s="102" t="str">
        <f aca="false">IF(L2180="","",IFERROR(INDEX(AK_BARIS,MATCH(L2180,AK_NAMA,0)),"?"))</f>
        <v/>
      </c>
      <c r="O2180" s="102" t="str">
        <f aca="false">IF(C2180="","",IFERROR(INDEX(AK_KEL,MATCH(C2180,AK_NAMA,0)),"?"))</f>
        <v/>
      </c>
      <c r="P2180" s="102" t="str">
        <f aca="false">IF(D2180="","",IFERROR(INDEX(AK_KEL,MATCH(D2180,AK_NAMA,0)),"?"))</f>
        <v/>
      </c>
      <c r="Q2180" s="102" t="n">
        <f aca="false">N(Q2179)+IF(AND(N(E2180)&lt;&gt;0,K2180=TAHUN,N(J2180)&lt;=BLN,OR(C2180=BB_AKUN,D2180=BB_AKUN)),1,0)</f>
        <v>877</v>
      </c>
      <c r="R2180" s="104" t="str">
        <f aca="false">IF(OR(C2180&amp;D2180="",N(E2180)=0),"",IF(OR(O2180="?",P2180="?"),"⚠ akun tidak dikenal",IF(C2180=D2180,"⚠ debet = kredit","")))</f>
        <v/>
      </c>
    </row>
    <row r="2181" customFormat="false" ht="15" hidden="false" customHeight="false" outlineLevel="0" collapsed="false">
      <c r="A2181" s="5"/>
      <c r="B2181" s="83"/>
      <c r="C2181" s="5"/>
      <c r="D2181" s="5"/>
      <c r="E2181" s="44"/>
      <c r="F2181" s="5"/>
      <c r="G2181" s="5"/>
      <c r="H2181" s="5"/>
      <c r="I2181" s="5"/>
      <c r="J2181" s="102" t="str">
        <f aca="false">IF(B2181="","",MONTH(B2181))</f>
        <v/>
      </c>
      <c r="K2181" s="102" t="str">
        <f aca="false">IF(B2181="","",YEAR(B2181))</f>
        <v/>
      </c>
      <c r="L2181" s="102" t="str">
        <f aca="false">IF(N(E2181)=0,"",IF(COUNTIFS(AK_NAMA,C2181,AK_KAT,"KAS")+COUNTIFS(AK_NAMA,D2181,AK_KAT,"KAS")&lt;&gt;1,"",IF(COUNTIFS(AK_NAMA,C2181,AK_KAT,"KAS")=1,D2181,C2181)))</f>
        <v/>
      </c>
      <c r="M2181" s="103" t="n">
        <f aca="false">IF(L2181="",0,IF(L2181=D2181,E2181,-E2181))</f>
        <v>0</v>
      </c>
      <c r="N2181" s="102" t="str">
        <f aca="false">IF(L2181="","",IFERROR(INDEX(AK_BARIS,MATCH(L2181,AK_NAMA,0)),"?"))</f>
        <v/>
      </c>
      <c r="O2181" s="102" t="str">
        <f aca="false">IF(C2181="","",IFERROR(INDEX(AK_KEL,MATCH(C2181,AK_NAMA,0)),"?"))</f>
        <v/>
      </c>
      <c r="P2181" s="102" t="str">
        <f aca="false">IF(D2181="","",IFERROR(INDEX(AK_KEL,MATCH(D2181,AK_NAMA,0)),"?"))</f>
        <v/>
      </c>
      <c r="Q2181" s="102" t="n">
        <f aca="false">N(Q2180)+IF(AND(N(E2181)&lt;&gt;0,K2181=TAHUN,N(J2181)&lt;=BLN,OR(C2181=BB_AKUN,D2181=BB_AKUN)),1,0)</f>
        <v>877</v>
      </c>
      <c r="R2181" s="104" t="str">
        <f aca="false">IF(OR(C2181&amp;D2181="",N(E2181)=0),"",IF(OR(O2181="?",P2181="?"),"⚠ akun tidak dikenal",IF(C2181=D2181,"⚠ debet = kredit","")))</f>
        <v/>
      </c>
    </row>
    <row r="2182" customFormat="false" ht="15" hidden="false" customHeight="false" outlineLevel="0" collapsed="false">
      <c r="A2182" s="5"/>
      <c r="B2182" s="83"/>
      <c r="C2182" s="5"/>
      <c r="D2182" s="5"/>
      <c r="E2182" s="44"/>
      <c r="F2182" s="5"/>
      <c r="G2182" s="5"/>
      <c r="H2182" s="5"/>
      <c r="I2182" s="5"/>
      <c r="J2182" s="102" t="str">
        <f aca="false">IF(B2182="","",MONTH(B2182))</f>
        <v/>
      </c>
      <c r="K2182" s="102" t="str">
        <f aca="false">IF(B2182="","",YEAR(B2182))</f>
        <v/>
      </c>
      <c r="L2182" s="102" t="str">
        <f aca="false">IF(N(E2182)=0,"",IF(COUNTIFS(AK_NAMA,C2182,AK_KAT,"KAS")+COUNTIFS(AK_NAMA,D2182,AK_KAT,"KAS")&lt;&gt;1,"",IF(COUNTIFS(AK_NAMA,C2182,AK_KAT,"KAS")=1,D2182,C2182)))</f>
        <v/>
      </c>
      <c r="M2182" s="103" t="n">
        <f aca="false">IF(L2182="",0,IF(L2182=D2182,E2182,-E2182))</f>
        <v>0</v>
      </c>
      <c r="N2182" s="102" t="str">
        <f aca="false">IF(L2182="","",IFERROR(INDEX(AK_BARIS,MATCH(L2182,AK_NAMA,0)),"?"))</f>
        <v/>
      </c>
      <c r="O2182" s="102" t="str">
        <f aca="false">IF(C2182="","",IFERROR(INDEX(AK_KEL,MATCH(C2182,AK_NAMA,0)),"?"))</f>
        <v/>
      </c>
      <c r="P2182" s="102" t="str">
        <f aca="false">IF(D2182="","",IFERROR(INDEX(AK_KEL,MATCH(D2182,AK_NAMA,0)),"?"))</f>
        <v/>
      </c>
      <c r="Q2182" s="102" t="n">
        <f aca="false">N(Q2181)+IF(AND(N(E2182)&lt;&gt;0,K2182=TAHUN,N(J2182)&lt;=BLN,OR(C2182=BB_AKUN,D2182=BB_AKUN)),1,0)</f>
        <v>877</v>
      </c>
      <c r="R2182" s="104" t="str">
        <f aca="false">IF(OR(C2182&amp;D2182="",N(E2182)=0),"",IF(OR(O2182="?",P2182="?"),"⚠ akun tidak dikenal",IF(C2182=D2182,"⚠ debet = kredit","")))</f>
        <v/>
      </c>
    </row>
    <row r="2183" customFormat="false" ht="15" hidden="false" customHeight="false" outlineLevel="0" collapsed="false">
      <c r="A2183" s="5"/>
      <c r="B2183" s="83"/>
      <c r="C2183" s="5"/>
      <c r="D2183" s="5"/>
      <c r="E2183" s="44"/>
      <c r="F2183" s="5"/>
      <c r="G2183" s="5"/>
      <c r="H2183" s="5"/>
      <c r="I2183" s="5"/>
      <c r="J2183" s="102" t="str">
        <f aca="false">IF(B2183="","",MONTH(B2183))</f>
        <v/>
      </c>
      <c r="K2183" s="102" t="str">
        <f aca="false">IF(B2183="","",YEAR(B2183))</f>
        <v/>
      </c>
      <c r="L2183" s="102" t="str">
        <f aca="false">IF(N(E2183)=0,"",IF(COUNTIFS(AK_NAMA,C2183,AK_KAT,"KAS")+COUNTIFS(AK_NAMA,D2183,AK_KAT,"KAS")&lt;&gt;1,"",IF(COUNTIFS(AK_NAMA,C2183,AK_KAT,"KAS")=1,D2183,C2183)))</f>
        <v/>
      </c>
      <c r="M2183" s="103" t="n">
        <f aca="false">IF(L2183="",0,IF(L2183=D2183,E2183,-E2183))</f>
        <v>0</v>
      </c>
      <c r="N2183" s="102" t="str">
        <f aca="false">IF(L2183="","",IFERROR(INDEX(AK_BARIS,MATCH(L2183,AK_NAMA,0)),"?"))</f>
        <v/>
      </c>
      <c r="O2183" s="102" t="str">
        <f aca="false">IF(C2183="","",IFERROR(INDEX(AK_KEL,MATCH(C2183,AK_NAMA,0)),"?"))</f>
        <v/>
      </c>
      <c r="P2183" s="102" t="str">
        <f aca="false">IF(D2183="","",IFERROR(INDEX(AK_KEL,MATCH(D2183,AK_NAMA,0)),"?"))</f>
        <v/>
      </c>
      <c r="Q2183" s="102" t="n">
        <f aca="false">N(Q2182)+IF(AND(N(E2183)&lt;&gt;0,K2183=TAHUN,N(J2183)&lt;=BLN,OR(C2183=BB_AKUN,D2183=BB_AKUN)),1,0)</f>
        <v>877</v>
      </c>
      <c r="R2183" s="104" t="str">
        <f aca="false">IF(OR(C2183&amp;D2183="",N(E2183)=0),"",IF(OR(O2183="?",P2183="?"),"⚠ akun tidak dikenal",IF(C2183=D2183,"⚠ debet = kredit","")))</f>
        <v/>
      </c>
    </row>
    <row r="2184" customFormat="false" ht="15" hidden="false" customHeight="false" outlineLevel="0" collapsed="false">
      <c r="A2184" s="5"/>
      <c r="B2184" s="83"/>
      <c r="C2184" s="5"/>
      <c r="D2184" s="5"/>
      <c r="E2184" s="44"/>
      <c r="F2184" s="5"/>
      <c r="G2184" s="5"/>
      <c r="H2184" s="5"/>
      <c r="I2184" s="5"/>
      <c r="J2184" s="102" t="str">
        <f aca="false">IF(B2184="","",MONTH(B2184))</f>
        <v/>
      </c>
      <c r="K2184" s="102" t="str">
        <f aca="false">IF(B2184="","",YEAR(B2184))</f>
        <v/>
      </c>
      <c r="L2184" s="102" t="str">
        <f aca="false">IF(N(E2184)=0,"",IF(COUNTIFS(AK_NAMA,C2184,AK_KAT,"KAS")+COUNTIFS(AK_NAMA,D2184,AK_KAT,"KAS")&lt;&gt;1,"",IF(COUNTIFS(AK_NAMA,C2184,AK_KAT,"KAS")=1,D2184,C2184)))</f>
        <v/>
      </c>
      <c r="M2184" s="103" t="n">
        <f aca="false">IF(L2184="",0,IF(L2184=D2184,E2184,-E2184))</f>
        <v>0</v>
      </c>
      <c r="N2184" s="102" t="str">
        <f aca="false">IF(L2184="","",IFERROR(INDEX(AK_BARIS,MATCH(L2184,AK_NAMA,0)),"?"))</f>
        <v/>
      </c>
      <c r="O2184" s="102" t="str">
        <f aca="false">IF(C2184="","",IFERROR(INDEX(AK_KEL,MATCH(C2184,AK_NAMA,0)),"?"))</f>
        <v/>
      </c>
      <c r="P2184" s="102" t="str">
        <f aca="false">IF(D2184="","",IFERROR(INDEX(AK_KEL,MATCH(D2184,AK_NAMA,0)),"?"))</f>
        <v/>
      </c>
      <c r="Q2184" s="102" t="n">
        <f aca="false">N(Q2183)+IF(AND(N(E2184)&lt;&gt;0,K2184=TAHUN,N(J2184)&lt;=BLN,OR(C2184=BB_AKUN,D2184=BB_AKUN)),1,0)</f>
        <v>877</v>
      </c>
      <c r="R2184" s="104" t="str">
        <f aca="false">IF(OR(C2184&amp;D2184="",N(E2184)=0),"",IF(OR(O2184="?",P2184="?"),"⚠ akun tidak dikenal",IF(C2184=D2184,"⚠ debet = kredit","")))</f>
        <v/>
      </c>
    </row>
    <row r="2185" customFormat="false" ht="15" hidden="false" customHeight="false" outlineLevel="0" collapsed="false">
      <c r="A2185" s="5"/>
      <c r="B2185" s="83"/>
      <c r="C2185" s="5"/>
      <c r="D2185" s="5"/>
      <c r="E2185" s="44"/>
      <c r="F2185" s="5"/>
      <c r="G2185" s="5"/>
      <c r="H2185" s="5"/>
      <c r="I2185" s="5"/>
      <c r="J2185" s="102" t="str">
        <f aca="false">IF(B2185="","",MONTH(B2185))</f>
        <v/>
      </c>
      <c r="K2185" s="102" t="str">
        <f aca="false">IF(B2185="","",YEAR(B2185))</f>
        <v/>
      </c>
      <c r="L2185" s="102" t="str">
        <f aca="false">IF(N(E2185)=0,"",IF(COUNTIFS(AK_NAMA,C2185,AK_KAT,"KAS")+COUNTIFS(AK_NAMA,D2185,AK_KAT,"KAS")&lt;&gt;1,"",IF(COUNTIFS(AK_NAMA,C2185,AK_KAT,"KAS")=1,D2185,C2185)))</f>
        <v/>
      </c>
      <c r="M2185" s="103" t="n">
        <f aca="false">IF(L2185="",0,IF(L2185=D2185,E2185,-E2185))</f>
        <v>0</v>
      </c>
      <c r="N2185" s="102" t="str">
        <f aca="false">IF(L2185="","",IFERROR(INDEX(AK_BARIS,MATCH(L2185,AK_NAMA,0)),"?"))</f>
        <v/>
      </c>
      <c r="O2185" s="102" t="str">
        <f aca="false">IF(C2185="","",IFERROR(INDEX(AK_KEL,MATCH(C2185,AK_NAMA,0)),"?"))</f>
        <v/>
      </c>
      <c r="P2185" s="102" t="str">
        <f aca="false">IF(D2185="","",IFERROR(INDEX(AK_KEL,MATCH(D2185,AK_NAMA,0)),"?"))</f>
        <v/>
      </c>
      <c r="Q2185" s="102" t="n">
        <f aca="false">N(Q2184)+IF(AND(N(E2185)&lt;&gt;0,K2185=TAHUN,N(J2185)&lt;=BLN,OR(C2185=BB_AKUN,D2185=BB_AKUN)),1,0)</f>
        <v>877</v>
      </c>
      <c r="R2185" s="104" t="str">
        <f aca="false">IF(OR(C2185&amp;D2185="",N(E2185)=0),"",IF(OR(O2185="?",P2185="?"),"⚠ akun tidak dikenal",IF(C2185=D2185,"⚠ debet = kredit","")))</f>
        <v/>
      </c>
    </row>
    <row r="2186" customFormat="false" ht="15" hidden="false" customHeight="false" outlineLevel="0" collapsed="false">
      <c r="A2186" s="5"/>
      <c r="B2186" s="83"/>
      <c r="C2186" s="5"/>
      <c r="D2186" s="5"/>
      <c r="E2186" s="44"/>
      <c r="F2186" s="5"/>
      <c r="G2186" s="5"/>
      <c r="H2186" s="5"/>
      <c r="I2186" s="5"/>
      <c r="J2186" s="102" t="str">
        <f aca="false">IF(B2186="","",MONTH(B2186))</f>
        <v/>
      </c>
      <c r="K2186" s="102" t="str">
        <f aca="false">IF(B2186="","",YEAR(B2186))</f>
        <v/>
      </c>
      <c r="L2186" s="102" t="str">
        <f aca="false">IF(N(E2186)=0,"",IF(COUNTIFS(AK_NAMA,C2186,AK_KAT,"KAS")+COUNTIFS(AK_NAMA,D2186,AK_KAT,"KAS")&lt;&gt;1,"",IF(COUNTIFS(AK_NAMA,C2186,AK_KAT,"KAS")=1,D2186,C2186)))</f>
        <v/>
      </c>
      <c r="M2186" s="103" t="n">
        <f aca="false">IF(L2186="",0,IF(L2186=D2186,E2186,-E2186))</f>
        <v>0</v>
      </c>
      <c r="N2186" s="102" t="str">
        <f aca="false">IF(L2186="","",IFERROR(INDEX(AK_BARIS,MATCH(L2186,AK_NAMA,0)),"?"))</f>
        <v/>
      </c>
      <c r="O2186" s="102" t="str">
        <f aca="false">IF(C2186="","",IFERROR(INDEX(AK_KEL,MATCH(C2186,AK_NAMA,0)),"?"))</f>
        <v/>
      </c>
      <c r="P2186" s="102" t="str">
        <f aca="false">IF(D2186="","",IFERROR(INDEX(AK_KEL,MATCH(D2186,AK_NAMA,0)),"?"))</f>
        <v/>
      </c>
      <c r="Q2186" s="102" t="n">
        <f aca="false">N(Q2185)+IF(AND(N(E2186)&lt;&gt;0,K2186=TAHUN,N(J2186)&lt;=BLN,OR(C2186=BB_AKUN,D2186=BB_AKUN)),1,0)</f>
        <v>877</v>
      </c>
      <c r="R2186" s="104" t="str">
        <f aca="false">IF(OR(C2186&amp;D2186="",N(E2186)=0),"",IF(OR(O2186="?",P2186="?"),"⚠ akun tidak dikenal",IF(C2186=D2186,"⚠ debet = kredit","")))</f>
        <v/>
      </c>
    </row>
    <row r="2187" customFormat="false" ht="15" hidden="false" customHeight="false" outlineLevel="0" collapsed="false">
      <c r="A2187" s="5"/>
      <c r="B2187" s="83"/>
      <c r="C2187" s="5"/>
      <c r="D2187" s="5"/>
      <c r="E2187" s="44"/>
      <c r="F2187" s="5"/>
      <c r="G2187" s="5"/>
      <c r="H2187" s="5"/>
      <c r="I2187" s="5"/>
      <c r="J2187" s="102" t="str">
        <f aca="false">IF(B2187="","",MONTH(B2187))</f>
        <v/>
      </c>
      <c r="K2187" s="102" t="str">
        <f aca="false">IF(B2187="","",YEAR(B2187))</f>
        <v/>
      </c>
      <c r="L2187" s="102" t="str">
        <f aca="false">IF(N(E2187)=0,"",IF(COUNTIFS(AK_NAMA,C2187,AK_KAT,"KAS")+COUNTIFS(AK_NAMA,D2187,AK_KAT,"KAS")&lt;&gt;1,"",IF(COUNTIFS(AK_NAMA,C2187,AK_KAT,"KAS")=1,D2187,C2187)))</f>
        <v/>
      </c>
      <c r="M2187" s="103" t="n">
        <f aca="false">IF(L2187="",0,IF(L2187=D2187,E2187,-E2187))</f>
        <v>0</v>
      </c>
      <c r="N2187" s="102" t="str">
        <f aca="false">IF(L2187="","",IFERROR(INDEX(AK_BARIS,MATCH(L2187,AK_NAMA,0)),"?"))</f>
        <v/>
      </c>
      <c r="O2187" s="102" t="str">
        <f aca="false">IF(C2187="","",IFERROR(INDEX(AK_KEL,MATCH(C2187,AK_NAMA,0)),"?"))</f>
        <v/>
      </c>
      <c r="P2187" s="102" t="str">
        <f aca="false">IF(D2187="","",IFERROR(INDEX(AK_KEL,MATCH(D2187,AK_NAMA,0)),"?"))</f>
        <v/>
      </c>
      <c r="Q2187" s="102" t="n">
        <f aca="false">N(Q2186)+IF(AND(N(E2187)&lt;&gt;0,K2187=TAHUN,N(J2187)&lt;=BLN,OR(C2187=BB_AKUN,D2187=BB_AKUN)),1,0)</f>
        <v>877</v>
      </c>
      <c r="R2187" s="104" t="str">
        <f aca="false">IF(OR(C2187&amp;D2187="",N(E2187)=0),"",IF(OR(O2187="?",P2187="?"),"⚠ akun tidak dikenal",IF(C2187=D2187,"⚠ debet = kredit","")))</f>
        <v/>
      </c>
    </row>
    <row r="2188" customFormat="false" ht="15" hidden="false" customHeight="false" outlineLevel="0" collapsed="false">
      <c r="A2188" s="5"/>
      <c r="B2188" s="83"/>
      <c r="C2188" s="5"/>
      <c r="D2188" s="5"/>
      <c r="E2188" s="44"/>
      <c r="F2188" s="5"/>
      <c r="G2188" s="5"/>
      <c r="H2188" s="5"/>
      <c r="I2188" s="5"/>
      <c r="J2188" s="102" t="str">
        <f aca="false">IF(B2188="","",MONTH(B2188))</f>
        <v/>
      </c>
      <c r="K2188" s="102" t="str">
        <f aca="false">IF(B2188="","",YEAR(B2188))</f>
        <v/>
      </c>
      <c r="L2188" s="102" t="str">
        <f aca="false">IF(N(E2188)=0,"",IF(COUNTIFS(AK_NAMA,C2188,AK_KAT,"KAS")+COUNTIFS(AK_NAMA,D2188,AK_KAT,"KAS")&lt;&gt;1,"",IF(COUNTIFS(AK_NAMA,C2188,AK_KAT,"KAS")=1,D2188,C2188)))</f>
        <v/>
      </c>
      <c r="M2188" s="103" t="n">
        <f aca="false">IF(L2188="",0,IF(L2188=D2188,E2188,-E2188))</f>
        <v>0</v>
      </c>
      <c r="N2188" s="102" t="str">
        <f aca="false">IF(L2188="","",IFERROR(INDEX(AK_BARIS,MATCH(L2188,AK_NAMA,0)),"?"))</f>
        <v/>
      </c>
      <c r="O2188" s="102" t="str">
        <f aca="false">IF(C2188="","",IFERROR(INDEX(AK_KEL,MATCH(C2188,AK_NAMA,0)),"?"))</f>
        <v/>
      </c>
      <c r="P2188" s="102" t="str">
        <f aca="false">IF(D2188="","",IFERROR(INDEX(AK_KEL,MATCH(D2188,AK_NAMA,0)),"?"))</f>
        <v/>
      </c>
      <c r="Q2188" s="102" t="n">
        <f aca="false">N(Q2187)+IF(AND(N(E2188)&lt;&gt;0,K2188=TAHUN,N(J2188)&lt;=BLN,OR(C2188=BB_AKUN,D2188=BB_AKUN)),1,0)</f>
        <v>877</v>
      </c>
      <c r="R2188" s="104" t="str">
        <f aca="false">IF(OR(C2188&amp;D2188="",N(E2188)=0),"",IF(OR(O2188="?",P2188="?"),"⚠ akun tidak dikenal",IF(C2188=D2188,"⚠ debet = kredit","")))</f>
        <v/>
      </c>
    </row>
    <row r="2189" customFormat="false" ht="15" hidden="false" customHeight="false" outlineLevel="0" collapsed="false">
      <c r="A2189" s="5"/>
      <c r="B2189" s="83"/>
      <c r="C2189" s="5"/>
      <c r="D2189" s="5"/>
      <c r="E2189" s="44"/>
      <c r="F2189" s="5"/>
      <c r="G2189" s="5"/>
      <c r="H2189" s="5"/>
      <c r="I2189" s="5"/>
      <c r="J2189" s="102" t="str">
        <f aca="false">IF(B2189="","",MONTH(B2189))</f>
        <v/>
      </c>
      <c r="K2189" s="102" t="str">
        <f aca="false">IF(B2189="","",YEAR(B2189))</f>
        <v/>
      </c>
      <c r="L2189" s="102" t="str">
        <f aca="false">IF(N(E2189)=0,"",IF(COUNTIFS(AK_NAMA,C2189,AK_KAT,"KAS")+COUNTIFS(AK_NAMA,D2189,AK_KAT,"KAS")&lt;&gt;1,"",IF(COUNTIFS(AK_NAMA,C2189,AK_KAT,"KAS")=1,D2189,C2189)))</f>
        <v/>
      </c>
      <c r="M2189" s="103" t="n">
        <f aca="false">IF(L2189="",0,IF(L2189=D2189,E2189,-E2189))</f>
        <v>0</v>
      </c>
      <c r="N2189" s="102" t="str">
        <f aca="false">IF(L2189="","",IFERROR(INDEX(AK_BARIS,MATCH(L2189,AK_NAMA,0)),"?"))</f>
        <v/>
      </c>
      <c r="O2189" s="102" t="str">
        <f aca="false">IF(C2189="","",IFERROR(INDEX(AK_KEL,MATCH(C2189,AK_NAMA,0)),"?"))</f>
        <v/>
      </c>
      <c r="P2189" s="102" t="str">
        <f aca="false">IF(D2189="","",IFERROR(INDEX(AK_KEL,MATCH(D2189,AK_NAMA,0)),"?"))</f>
        <v/>
      </c>
      <c r="Q2189" s="102" t="n">
        <f aca="false">N(Q2188)+IF(AND(N(E2189)&lt;&gt;0,K2189=TAHUN,N(J2189)&lt;=BLN,OR(C2189=BB_AKUN,D2189=BB_AKUN)),1,0)</f>
        <v>877</v>
      </c>
      <c r="R2189" s="104" t="str">
        <f aca="false">IF(OR(C2189&amp;D2189="",N(E2189)=0),"",IF(OR(O2189="?",P2189="?"),"⚠ akun tidak dikenal",IF(C2189=D2189,"⚠ debet = kredit","")))</f>
        <v/>
      </c>
    </row>
    <row r="2190" customFormat="false" ht="15" hidden="false" customHeight="false" outlineLevel="0" collapsed="false">
      <c r="A2190" s="5"/>
      <c r="B2190" s="83"/>
      <c r="C2190" s="5"/>
      <c r="D2190" s="5"/>
      <c r="E2190" s="44"/>
      <c r="F2190" s="5"/>
      <c r="G2190" s="5"/>
      <c r="H2190" s="5"/>
      <c r="I2190" s="5"/>
      <c r="J2190" s="102" t="str">
        <f aca="false">IF(B2190="","",MONTH(B2190))</f>
        <v/>
      </c>
      <c r="K2190" s="102" t="str">
        <f aca="false">IF(B2190="","",YEAR(B2190))</f>
        <v/>
      </c>
      <c r="L2190" s="102" t="str">
        <f aca="false">IF(N(E2190)=0,"",IF(COUNTIFS(AK_NAMA,C2190,AK_KAT,"KAS")+COUNTIFS(AK_NAMA,D2190,AK_KAT,"KAS")&lt;&gt;1,"",IF(COUNTIFS(AK_NAMA,C2190,AK_KAT,"KAS")=1,D2190,C2190)))</f>
        <v/>
      </c>
      <c r="M2190" s="103" t="n">
        <f aca="false">IF(L2190="",0,IF(L2190=D2190,E2190,-E2190))</f>
        <v>0</v>
      </c>
      <c r="N2190" s="102" t="str">
        <f aca="false">IF(L2190="","",IFERROR(INDEX(AK_BARIS,MATCH(L2190,AK_NAMA,0)),"?"))</f>
        <v/>
      </c>
      <c r="O2190" s="102" t="str">
        <f aca="false">IF(C2190="","",IFERROR(INDEX(AK_KEL,MATCH(C2190,AK_NAMA,0)),"?"))</f>
        <v/>
      </c>
      <c r="P2190" s="102" t="str">
        <f aca="false">IF(D2190="","",IFERROR(INDEX(AK_KEL,MATCH(D2190,AK_NAMA,0)),"?"))</f>
        <v/>
      </c>
      <c r="Q2190" s="102" t="n">
        <f aca="false">N(Q2189)+IF(AND(N(E2190)&lt;&gt;0,K2190=TAHUN,N(J2190)&lt;=BLN,OR(C2190=BB_AKUN,D2190=BB_AKUN)),1,0)</f>
        <v>877</v>
      </c>
      <c r="R2190" s="104" t="str">
        <f aca="false">IF(OR(C2190&amp;D2190="",N(E2190)=0),"",IF(OR(O2190="?",P2190="?"),"⚠ akun tidak dikenal",IF(C2190=D2190,"⚠ debet = kredit","")))</f>
        <v/>
      </c>
    </row>
    <row r="2191" customFormat="false" ht="15" hidden="false" customHeight="false" outlineLevel="0" collapsed="false">
      <c r="A2191" s="5"/>
      <c r="B2191" s="83"/>
      <c r="C2191" s="5"/>
      <c r="D2191" s="5"/>
      <c r="E2191" s="44"/>
      <c r="F2191" s="5"/>
      <c r="G2191" s="5"/>
      <c r="H2191" s="5"/>
      <c r="I2191" s="5"/>
      <c r="J2191" s="102" t="str">
        <f aca="false">IF(B2191="","",MONTH(B2191))</f>
        <v/>
      </c>
      <c r="K2191" s="102" t="str">
        <f aca="false">IF(B2191="","",YEAR(B2191))</f>
        <v/>
      </c>
      <c r="L2191" s="102" t="str">
        <f aca="false">IF(N(E2191)=0,"",IF(COUNTIFS(AK_NAMA,C2191,AK_KAT,"KAS")+COUNTIFS(AK_NAMA,D2191,AK_KAT,"KAS")&lt;&gt;1,"",IF(COUNTIFS(AK_NAMA,C2191,AK_KAT,"KAS")=1,D2191,C2191)))</f>
        <v/>
      </c>
      <c r="M2191" s="103" t="n">
        <f aca="false">IF(L2191="",0,IF(L2191=D2191,E2191,-E2191))</f>
        <v>0</v>
      </c>
      <c r="N2191" s="102" t="str">
        <f aca="false">IF(L2191="","",IFERROR(INDEX(AK_BARIS,MATCH(L2191,AK_NAMA,0)),"?"))</f>
        <v/>
      </c>
      <c r="O2191" s="102" t="str">
        <f aca="false">IF(C2191="","",IFERROR(INDEX(AK_KEL,MATCH(C2191,AK_NAMA,0)),"?"))</f>
        <v/>
      </c>
      <c r="P2191" s="102" t="str">
        <f aca="false">IF(D2191="","",IFERROR(INDEX(AK_KEL,MATCH(D2191,AK_NAMA,0)),"?"))</f>
        <v/>
      </c>
      <c r="Q2191" s="102" t="n">
        <f aca="false">N(Q2190)+IF(AND(N(E2191)&lt;&gt;0,K2191=TAHUN,N(J2191)&lt;=BLN,OR(C2191=BB_AKUN,D2191=BB_AKUN)),1,0)</f>
        <v>877</v>
      </c>
      <c r="R2191" s="104" t="str">
        <f aca="false">IF(OR(C2191&amp;D2191="",N(E2191)=0),"",IF(OR(O2191="?",P2191="?"),"⚠ akun tidak dikenal",IF(C2191=D2191,"⚠ debet = kredit","")))</f>
        <v/>
      </c>
    </row>
    <row r="2192" customFormat="false" ht="15" hidden="false" customHeight="false" outlineLevel="0" collapsed="false">
      <c r="A2192" s="5"/>
      <c r="B2192" s="83"/>
      <c r="C2192" s="5"/>
      <c r="D2192" s="5"/>
      <c r="E2192" s="44"/>
      <c r="F2192" s="5"/>
      <c r="G2192" s="5"/>
      <c r="H2192" s="5"/>
      <c r="I2192" s="5"/>
      <c r="J2192" s="102" t="str">
        <f aca="false">IF(B2192="","",MONTH(B2192))</f>
        <v/>
      </c>
      <c r="K2192" s="102" t="str">
        <f aca="false">IF(B2192="","",YEAR(B2192))</f>
        <v/>
      </c>
      <c r="L2192" s="102" t="str">
        <f aca="false">IF(N(E2192)=0,"",IF(COUNTIFS(AK_NAMA,C2192,AK_KAT,"KAS")+COUNTIFS(AK_NAMA,D2192,AK_KAT,"KAS")&lt;&gt;1,"",IF(COUNTIFS(AK_NAMA,C2192,AK_KAT,"KAS")=1,D2192,C2192)))</f>
        <v/>
      </c>
      <c r="M2192" s="103" t="n">
        <f aca="false">IF(L2192="",0,IF(L2192=D2192,E2192,-E2192))</f>
        <v>0</v>
      </c>
      <c r="N2192" s="102" t="str">
        <f aca="false">IF(L2192="","",IFERROR(INDEX(AK_BARIS,MATCH(L2192,AK_NAMA,0)),"?"))</f>
        <v/>
      </c>
      <c r="O2192" s="102" t="str">
        <f aca="false">IF(C2192="","",IFERROR(INDEX(AK_KEL,MATCH(C2192,AK_NAMA,0)),"?"))</f>
        <v/>
      </c>
      <c r="P2192" s="102" t="str">
        <f aca="false">IF(D2192="","",IFERROR(INDEX(AK_KEL,MATCH(D2192,AK_NAMA,0)),"?"))</f>
        <v/>
      </c>
      <c r="Q2192" s="102" t="n">
        <f aca="false">N(Q2191)+IF(AND(N(E2192)&lt;&gt;0,K2192=TAHUN,N(J2192)&lt;=BLN,OR(C2192=BB_AKUN,D2192=BB_AKUN)),1,0)</f>
        <v>877</v>
      </c>
      <c r="R2192" s="104" t="str">
        <f aca="false">IF(OR(C2192&amp;D2192="",N(E2192)=0),"",IF(OR(O2192="?",P2192="?"),"⚠ akun tidak dikenal",IF(C2192=D2192,"⚠ debet = kredit","")))</f>
        <v/>
      </c>
    </row>
    <row r="2193" customFormat="false" ht="15" hidden="false" customHeight="false" outlineLevel="0" collapsed="false">
      <c r="A2193" s="5"/>
      <c r="B2193" s="83"/>
      <c r="C2193" s="5"/>
      <c r="D2193" s="5"/>
      <c r="E2193" s="44"/>
      <c r="F2193" s="5"/>
      <c r="G2193" s="5"/>
      <c r="H2193" s="5"/>
      <c r="I2193" s="5"/>
      <c r="J2193" s="102" t="str">
        <f aca="false">IF(B2193="","",MONTH(B2193))</f>
        <v/>
      </c>
      <c r="K2193" s="102" t="str">
        <f aca="false">IF(B2193="","",YEAR(B2193))</f>
        <v/>
      </c>
      <c r="L2193" s="102" t="str">
        <f aca="false">IF(N(E2193)=0,"",IF(COUNTIFS(AK_NAMA,C2193,AK_KAT,"KAS")+COUNTIFS(AK_NAMA,D2193,AK_KAT,"KAS")&lt;&gt;1,"",IF(COUNTIFS(AK_NAMA,C2193,AK_KAT,"KAS")=1,D2193,C2193)))</f>
        <v/>
      </c>
      <c r="M2193" s="103" t="n">
        <f aca="false">IF(L2193="",0,IF(L2193=D2193,E2193,-E2193))</f>
        <v>0</v>
      </c>
      <c r="N2193" s="102" t="str">
        <f aca="false">IF(L2193="","",IFERROR(INDEX(AK_BARIS,MATCH(L2193,AK_NAMA,0)),"?"))</f>
        <v/>
      </c>
      <c r="O2193" s="102" t="str">
        <f aca="false">IF(C2193="","",IFERROR(INDEX(AK_KEL,MATCH(C2193,AK_NAMA,0)),"?"))</f>
        <v/>
      </c>
      <c r="P2193" s="102" t="str">
        <f aca="false">IF(D2193="","",IFERROR(INDEX(AK_KEL,MATCH(D2193,AK_NAMA,0)),"?"))</f>
        <v/>
      </c>
      <c r="Q2193" s="102" t="n">
        <f aca="false">N(Q2192)+IF(AND(N(E2193)&lt;&gt;0,K2193=TAHUN,N(J2193)&lt;=BLN,OR(C2193=BB_AKUN,D2193=BB_AKUN)),1,0)</f>
        <v>877</v>
      </c>
      <c r="R2193" s="104" t="str">
        <f aca="false">IF(OR(C2193&amp;D2193="",N(E2193)=0),"",IF(OR(O2193="?",P2193="?"),"⚠ akun tidak dikenal",IF(C2193=D2193,"⚠ debet = kredit","")))</f>
        <v/>
      </c>
    </row>
    <row r="2194" customFormat="false" ht="15" hidden="false" customHeight="false" outlineLevel="0" collapsed="false">
      <c r="A2194" s="5"/>
      <c r="B2194" s="83"/>
      <c r="C2194" s="5"/>
      <c r="D2194" s="5"/>
      <c r="E2194" s="44"/>
      <c r="F2194" s="5"/>
      <c r="G2194" s="5"/>
      <c r="H2194" s="5"/>
      <c r="I2194" s="5"/>
      <c r="J2194" s="102" t="str">
        <f aca="false">IF(B2194="","",MONTH(B2194))</f>
        <v/>
      </c>
      <c r="K2194" s="102" t="str">
        <f aca="false">IF(B2194="","",YEAR(B2194))</f>
        <v/>
      </c>
      <c r="L2194" s="102" t="str">
        <f aca="false">IF(N(E2194)=0,"",IF(COUNTIFS(AK_NAMA,C2194,AK_KAT,"KAS")+COUNTIFS(AK_NAMA,D2194,AK_KAT,"KAS")&lt;&gt;1,"",IF(COUNTIFS(AK_NAMA,C2194,AK_KAT,"KAS")=1,D2194,C2194)))</f>
        <v/>
      </c>
      <c r="M2194" s="103" t="n">
        <f aca="false">IF(L2194="",0,IF(L2194=D2194,E2194,-E2194))</f>
        <v>0</v>
      </c>
      <c r="N2194" s="102" t="str">
        <f aca="false">IF(L2194="","",IFERROR(INDEX(AK_BARIS,MATCH(L2194,AK_NAMA,0)),"?"))</f>
        <v/>
      </c>
      <c r="O2194" s="102" t="str">
        <f aca="false">IF(C2194="","",IFERROR(INDEX(AK_KEL,MATCH(C2194,AK_NAMA,0)),"?"))</f>
        <v/>
      </c>
      <c r="P2194" s="102" t="str">
        <f aca="false">IF(D2194="","",IFERROR(INDEX(AK_KEL,MATCH(D2194,AK_NAMA,0)),"?"))</f>
        <v/>
      </c>
      <c r="Q2194" s="102" t="n">
        <f aca="false">N(Q2193)+IF(AND(N(E2194)&lt;&gt;0,K2194=TAHUN,N(J2194)&lt;=BLN,OR(C2194=BB_AKUN,D2194=BB_AKUN)),1,0)</f>
        <v>877</v>
      </c>
      <c r="R2194" s="104" t="str">
        <f aca="false">IF(OR(C2194&amp;D2194="",N(E2194)=0),"",IF(OR(O2194="?",P2194="?"),"⚠ akun tidak dikenal",IF(C2194=D2194,"⚠ debet = kredit","")))</f>
        <v/>
      </c>
    </row>
    <row r="2195" customFormat="false" ht="15" hidden="false" customHeight="false" outlineLevel="0" collapsed="false">
      <c r="A2195" s="5"/>
      <c r="B2195" s="83"/>
      <c r="C2195" s="5"/>
      <c r="D2195" s="5"/>
      <c r="E2195" s="44"/>
      <c r="F2195" s="5"/>
      <c r="G2195" s="5"/>
      <c r="H2195" s="5"/>
      <c r="I2195" s="5"/>
      <c r="J2195" s="102" t="str">
        <f aca="false">IF(B2195="","",MONTH(B2195))</f>
        <v/>
      </c>
      <c r="K2195" s="102" t="str">
        <f aca="false">IF(B2195="","",YEAR(B2195))</f>
        <v/>
      </c>
      <c r="L2195" s="102" t="str">
        <f aca="false">IF(N(E2195)=0,"",IF(COUNTIFS(AK_NAMA,C2195,AK_KAT,"KAS")+COUNTIFS(AK_NAMA,D2195,AK_KAT,"KAS")&lt;&gt;1,"",IF(COUNTIFS(AK_NAMA,C2195,AK_KAT,"KAS")=1,D2195,C2195)))</f>
        <v/>
      </c>
      <c r="M2195" s="103" t="n">
        <f aca="false">IF(L2195="",0,IF(L2195=D2195,E2195,-E2195))</f>
        <v>0</v>
      </c>
      <c r="N2195" s="102" t="str">
        <f aca="false">IF(L2195="","",IFERROR(INDEX(AK_BARIS,MATCH(L2195,AK_NAMA,0)),"?"))</f>
        <v/>
      </c>
      <c r="O2195" s="102" t="str">
        <f aca="false">IF(C2195="","",IFERROR(INDEX(AK_KEL,MATCH(C2195,AK_NAMA,0)),"?"))</f>
        <v/>
      </c>
      <c r="P2195" s="102" t="str">
        <f aca="false">IF(D2195="","",IFERROR(INDEX(AK_KEL,MATCH(D2195,AK_NAMA,0)),"?"))</f>
        <v/>
      </c>
      <c r="Q2195" s="102" t="n">
        <f aca="false">N(Q2194)+IF(AND(N(E2195)&lt;&gt;0,K2195=TAHUN,N(J2195)&lt;=BLN,OR(C2195=BB_AKUN,D2195=BB_AKUN)),1,0)</f>
        <v>877</v>
      </c>
      <c r="R2195" s="104" t="str">
        <f aca="false">IF(OR(C2195&amp;D2195="",N(E2195)=0),"",IF(OR(O2195="?",P2195="?"),"⚠ akun tidak dikenal",IF(C2195=D2195,"⚠ debet = kredit","")))</f>
        <v/>
      </c>
    </row>
    <row r="2196" customFormat="false" ht="15" hidden="false" customHeight="false" outlineLevel="0" collapsed="false">
      <c r="A2196" s="5"/>
      <c r="B2196" s="83"/>
      <c r="C2196" s="5"/>
      <c r="D2196" s="5"/>
      <c r="E2196" s="44"/>
      <c r="F2196" s="5"/>
      <c r="G2196" s="5"/>
      <c r="H2196" s="5"/>
      <c r="I2196" s="5"/>
      <c r="J2196" s="102" t="str">
        <f aca="false">IF(B2196="","",MONTH(B2196))</f>
        <v/>
      </c>
      <c r="K2196" s="102" t="str">
        <f aca="false">IF(B2196="","",YEAR(B2196))</f>
        <v/>
      </c>
      <c r="L2196" s="102" t="str">
        <f aca="false">IF(N(E2196)=0,"",IF(COUNTIFS(AK_NAMA,C2196,AK_KAT,"KAS")+COUNTIFS(AK_NAMA,D2196,AK_KAT,"KAS")&lt;&gt;1,"",IF(COUNTIFS(AK_NAMA,C2196,AK_KAT,"KAS")=1,D2196,C2196)))</f>
        <v/>
      </c>
      <c r="M2196" s="103" t="n">
        <f aca="false">IF(L2196="",0,IF(L2196=D2196,E2196,-E2196))</f>
        <v>0</v>
      </c>
      <c r="N2196" s="102" t="str">
        <f aca="false">IF(L2196="","",IFERROR(INDEX(AK_BARIS,MATCH(L2196,AK_NAMA,0)),"?"))</f>
        <v/>
      </c>
      <c r="O2196" s="102" t="str">
        <f aca="false">IF(C2196="","",IFERROR(INDEX(AK_KEL,MATCH(C2196,AK_NAMA,0)),"?"))</f>
        <v/>
      </c>
      <c r="P2196" s="102" t="str">
        <f aca="false">IF(D2196="","",IFERROR(INDEX(AK_KEL,MATCH(D2196,AK_NAMA,0)),"?"))</f>
        <v/>
      </c>
      <c r="Q2196" s="102" t="n">
        <f aca="false">N(Q2195)+IF(AND(N(E2196)&lt;&gt;0,K2196=TAHUN,N(J2196)&lt;=BLN,OR(C2196=BB_AKUN,D2196=BB_AKUN)),1,0)</f>
        <v>877</v>
      </c>
      <c r="R2196" s="104" t="str">
        <f aca="false">IF(OR(C2196&amp;D2196="",N(E2196)=0),"",IF(OR(O2196="?",P2196="?"),"⚠ akun tidak dikenal",IF(C2196=D2196,"⚠ debet = kredit","")))</f>
        <v/>
      </c>
    </row>
    <row r="2197" customFormat="false" ht="15" hidden="false" customHeight="false" outlineLevel="0" collapsed="false">
      <c r="A2197" s="5"/>
      <c r="B2197" s="83"/>
      <c r="C2197" s="5"/>
      <c r="D2197" s="5"/>
      <c r="E2197" s="44"/>
      <c r="F2197" s="5"/>
      <c r="G2197" s="5"/>
      <c r="H2197" s="5"/>
      <c r="I2197" s="5"/>
      <c r="J2197" s="102" t="str">
        <f aca="false">IF(B2197="","",MONTH(B2197))</f>
        <v/>
      </c>
      <c r="K2197" s="102" t="str">
        <f aca="false">IF(B2197="","",YEAR(B2197))</f>
        <v/>
      </c>
      <c r="L2197" s="102" t="str">
        <f aca="false">IF(N(E2197)=0,"",IF(COUNTIFS(AK_NAMA,C2197,AK_KAT,"KAS")+COUNTIFS(AK_NAMA,D2197,AK_KAT,"KAS")&lt;&gt;1,"",IF(COUNTIFS(AK_NAMA,C2197,AK_KAT,"KAS")=1,D2197,C2197)))</f>
        <v/>
      </c>
      <c r="M2197" s="103" t="n">
        <f aca="false">IF(L2197="",0,IF(L2197=D2197,E2197,-E2197))</f>
        <v>0</v>
      </c>
      <c r="N2197" s="102" t="str">
        <f aca="false">IF(L2197="","",IFERROR(INDEX(AK_BARIS,MATCH(L2197,AK_NAMA,0)),"?"))</f>
        <v/>
      </c>
      <c r="O2197" s="102" t="str">
        <f aca="false">IF(C2197="","",IFERROR(INDEX(AK_KEL,MATCH(C2197,AK_NAMA,0)),"?"))</f>
        <v/>
      </c>
      <c r="P2197" s="102" t="str">
        <f aca="false">IF(D2197="","",IFERROR(INDEX(AK_KEL,MATCH(D2197,AK_NAMA,0)),"?"))</f>
        <v/>
      </c>
      <c r="Q2197" s="102" t="n">
        <f aca="false">N(Q2196)+IF(AND(N(E2197)&lt;&gt;0,K2197=TAHUN,N(J2197)&lt;=BLN,OR(C2197=BB_AKUN,D2197=BB_AKUN)),1,0)</f>
        <v>877</v>
      </c>
      <c r="R2197" s="104" t="str">
        <f aca="false">IF(OR(C2197&amp;D2197="",N(E2197)=0),"",IF(OR(O2197="?",P2197="?"),"⚠ akun tidak dikenal",IF(C2197=D2197,"⚠ debet = kredit","")))</f>
        <v/>
      </c>
    </row>
    <row r="2198" customFormat="false" ht="15" hidden="false" customHeight="false" outlineLevel="0" collapsed="false">
      <c r="A2198" s="5"/>
      <c r="B2198" s="83"/>
      <c r="C2198" s="5"/>
      <c r="D2198" s="5"/>
      <c r="E2198" s="44"/>
      <c r="F2198" s="5"/>
      <c r="G2198" s="5"/>
      <c r="H2198" s="5"/>
      <c r="I2198" s="5"/>
      <c r="J2198" s="102" t="str">
        <f aca="false">IF(B2198="","",MONTH(B2198))</f>
        <v/>
      </c>
      <c r="K2198" s="102" t="str">
        <f aca="false">IF(B2198="","",YEAR(B2198))</f>
        <v/>
      </c>
      <c r="L2198" s="102" t="str">
        <f aca="false">IF(N(E2198)=0,"",IF(COUNTIFS(AK_NAMA,C2198,AK_KAT,"KAS")+COUNTIFS(AK_NAMA,D2198,AK_KAT,"KAS")&lt;&gt;1,"",IF(COUNTIFS(AK_NAMA,C2198,AK_KAT,"KAS")=1,D2198,C2198)))</f>
        <v/>
      </c>
      <c r="M2198" s="103" t="n">
        <f aca="false">IF(L2198="",0,IF(L2198=D2198,E2198,-E2198))</f>
        <v>0</v>
      </c>
      <c r="N2198" s="102" t="str">
        <f aca="false">IF(L2198="","",IFERROR(INDEX(AK_BARIS,MATCH(L2198,AK_NAMA,0)),"?"))</f>
        <v/>
      </c>
      <c r="O2198" s="102" t="str">
        <f aca="false">IF(C2198="","",IFERROR(INDEX(AK_KEL,MATCH(C2198,AK_NAMA,0)),"?"))</f>
        <v/>
      </c>
      <c r="P2198" s="102" t="str">
        <f aca="false">IF(D2198="","",IFERROR(INDEX(AK_KEL,MATCH(D2198,AK_NAMA,0)),"?"))</f>
        <v/>
      </c>
      <c r="Q2198" s="102" t="n">
        <f aca="false">N(Q2197)+IF(AND(N(E2198)&lt;&gt;0,K2198=TAHUN,N(J2198)&lt;=BLN,OR(C2198=BB_AKUN,D2198=BB_AKUN)),1,0)</f>
        <v>877</v>
      </c>
      <c r="R2198" s="104" t="str">
        <f aca="false">IF(OR(C2198&amp;D2198="",N(E2198)=0),"",IF(OR(O2198="?",P2198="?"),"⚠ akun tidak dikenal",IF(C2198=D2198,"⚠ debet = kredit","")))</f>
        <v/>
      </c>
    </row>
    <row r="2199" customFormat="false" ht="15" hidden="false" customHeight="false" outlineLevel="0" collapsed="false">
      <c r="A2199" s="5"/>
      <c r="B2199" s="83"/>
      <c r="C2199" s="5"/>
      <c r="D2199" s="5"/>
      <c r="E2199" s="44"/>
      <c r="F2199" s="5"/>
      <c r="G2199" s="5"/>
      <c r="H2199" s="5"/>
      <c r="I2199" s="5"/>
      <c r="J2199" s="102" t="str">
        <f aca="false">IF(B2199="","",MONTH(B2199))</f>
        <v/>
      </c>
      <c r="K2199" s="102" t="str">
        <f aca="false">IF(B2199="","",YEAR(B2199))</f>
        <v/>
      </c>
      <c r="L2199" s="102" t="str">
        <f aca="false">IF(N(E2199)=0,"",IF(COUNTIFS(AK_NAMA,C2199,AK_KAT,"KAS")+COUNTIFS(AK_NAMA,D2199,AK_KAT,"KAS")&lt;&gt;1,"",IF(COUNTIFS(AK_NAMA,C2199,AK_KAT,"KAS")=1,D2199,C2199)))</f>
        <v/>
      </c>
      <c r="M2199" s="103" t="n">
        <f aca="false">IF(L2199="",0,IF(L2199=D2199,E2199,-E2199))</f>
        <v>0</v>
      </c>
      <c r="N2199" s="102" t="str">
        <f aca="false">IF(L2199="","",IFERROR(INDEX(AK_BARIS,MATCH(L2199,AK_NAMA,0)),"?"))</f>
        <v/>
      </c>
      <c r="O2199" s="102" t="str">
        <f aca="false">IF(C2199="","",IFERROR(INDEX(AK_KEL,MATCH(C2199,AK_NAMA,0)),"?"))</f>
        <v/>
      </c>
      <c r="P2199" s="102" t="str">
        <f aca="false">IF(D2199="","",IFERROR(INDEX(AK_KEL,MATCH(D2199,AK_NAMA,0)),"?"))</f>
        <v/>
      </c>
      <c r="Q2199" s="102" t="n">
        <f aca="false">N(Q2198)+IF(AND(N(E2199)&lt;&gt;0,K2199=TAHUN,N(J2199)&lt;=BLN,OR(C2199=BB_AKUN,D2199=BB_AKUN)),1,0)</f>
        <v>877</v>
      </c>
      <c r="R2199" s="104" t="str">
        <f aca="false">IF(OR(C2199&amp;D2199="",N(E2199)=0),"",IF(OR(O2199="?",P2199="?"),"⚠ akun tidak dikenal",IF(C2199=D2199,"⚠ debet = kredit","")))</f>
        <v/>
      </c>
    </row>
    <row r="2200" customFormat="false" ht="15" hidden="false" customHeight="false" outlineLevel="0" collapsed="false">
      <c r="A2200" s="5"/>
      <c r="B2200" s="83"/>
      <c r="C2200" s="5"/>
      <c r="D2200" s="5"/>
      <c r="E2200" s="44"/>
      <c r="F2200" s="5"/>
      <c r="G2200" s="5"/>
      <c r="H2200" s="5"/>
      <c r="I2200" s="5"/>
      <c r="J2200" s="102" t="str">
        <f aca="false">IF(B2200="","",MONTH(B2200))</f>
        <v/>
      </c>
      <c r="K2200" s="102" t="str">
        <f aca="false">IF(B2200="","",YEAR(B2200))</f>
        <v/>
      </c>
      <c r="L2200" s="102" t="str">
        <f aca="false">IF(N(E2200)=0,"",IF(COUNTIFS(AK_NAMA,C2200,AK_KAT,"KAS")+COUNTIFS(AK_NAMA,D2200,AK_KAT,"KAS")&lt;&gt;1,"",IF(COUNTIFS(AK_NAMA,C2200,AK_KAT,"KAS")=1,D2200,C2200)))</f>
        <v/>
      </c>
      <c r="M2200" s="103" t="n">
        <f aca="false">IF(L2200="",0,IF(L2200=D2200,E2200,-E2200))</f>
        <v>0</v>
      </c>
      <c r="N2200" s="102" t="str">
        <f aca="false">IF(L2200="","",IFERROR(INDEX(AK_BARIS,MATCH(L2200,AK_NAMA,0)),"?"))</f>
        <v/>
      </c>
      <c r="O2200" s="102" t="str">
        <f aca="false">IF(C2200="","",IFERROR(INDEX(AK_KEL,MATCH(C2200,AK_NAMA,0)),"?"))</f>
        <v/>
      </c>
      <c r="P2200" s="102" t="str">
        <f aca="false">IF(D2200="","",IFERROR(INDEX(AK_KEL,MATCH(D2200,AK_NAMA,0)),"?"))</f>
        <v/>
      </c>
      <c r="Q2200" s="102" t="n">
        <f aca="false">N(Q2199)+IF(AND(N(E2200)&lt;&gt;0,K2200=TAHUN,N(J2200)&lt;=BLN,OR(C2200=BB_AKUN,D2200=BB_AKUN)),1,0)</f>
        <v>877</v>
      </c>
      <c r="R2200" s="104" t="str">
        <f aca="false">IF(OR(C2200&amp;D2200="",N(E2200)=0),"",IF(OR(O2200="?",P2200="?"),"⚠ akun tidak dikenal",IF(C2200=D2200,"⚠ debet = kredit","")))</f>
        <v/>
      </c>
    </row>
    <row r="2201" customFormat="false" ht="15" hidden="false" customHeight="false" outlineLevel="0" collapsed="false">
      <c r="A2201" s="5"/>
      <c r="B2201" s="83"/>
      <c r="C2201" s="5"/>
      <c r="D2201" s="5"/>
      <c r="E2201" s="44"/>
      <c r="F2201" s="5"/>
      <c r="G2201" s="5"/>
      <c r="H2201" s="5"/>
      <c r="I2201" s="5"/>
      <c r="J2201" s="102" t="str">
        <f aca="false">IF(B2201="","",MONTH(B2201))</f>
        <v/>
      </c>
      <c r="K2201" s="102" t="str">
        <f aca="false">IF(B2201="","",YEAR(B2201))</f>
        <v/>
      </c>
      <c r="L2201" s="102" t="str">
        <f aca="false">IF(N(E2201)=0,"",IF(COUNTIFS(AK_NAMA,C2201,AK_KAT,"KAS")+COUNTIFS(AK_NAMA,D2201,AK_KAT,"KAS")&lt;&gt;1,"",IF(COUNTIFS(AK_NAMA,C2201,AK_KAT,"KAS")=1,D2201,C2201)))</f>
        <v/>
      </c>
      <c r="M2201" s="103" t="n">
        <f aca="false">IF(L2201="",0,IF(L2201=D2201,E2201,-E2201))</f>
        <v>0</v>
      </c>
      <c r="N2201" s="102" t="str">
        <f aca="false">IF(L2201="","",IFERROR(INDEX(AK_BARIS,MATCH(L2201,AK_NAMA,0)),"?"))</f>
        <v/>
      </c>
      <c r="O2201" s="102" t="str">
        <f aca="false">IF(C2201="","",IFERROR(INDEX(AK_KEL,MATCH(C2201,AK_NAMA,0)),"?"))</f>
        <v/>
      </c>
      <c r="P2201" s="102" t="str">
        <f aca="false">IF(D2201="","",IFERROR(INDEX(AK_KEL,MATCH(D2201,AK_NAMA,0)),"?"))</f>
        <v/>
      </c>
      <c r="Q2201" s="102" t="n">
        <f aca="false">N(Q2200)+IF(AND(N(E2201)&lt;&gt;0,K2201=TAHUN,N(J2201)&lt;=BLN,OR(C2201=BB_AKUN,D2201=BB_AKUN)),1,0)</f>
        <v>877</v>
      </c>
      <c r="R2201" s="104" t="str">
        <f aca="false">IF(OR(C2201&amp;D2201="",N(E2201)=0),"",IF(OR(O2201="?",P2201="?"),"⚠ akun tidak dikenal",IF(C2201=D2201,"⚠ debet = kredit","")))</f>
        <v/>
      </c>
    </row>
    <row r="2202" customFormat="false" ht="15" hidden="false" customHeight="false" outlineLevel="0" collapsed="false">
      <c r="A2202" s="5"/>
      <c r="B2202" s="83"/>
      <c r="C2202" s="5"/>
      <c r="D2202" s="5"/>
      <c r="E2202" s="44"/>
      <c r="F2202" s="5"/>
      <c r="G2202" s="5"/>
      <c r="H2202" s="5"/>
      <c r="I2202" s="5"/>
      <c r="J2202" s="102" t="str">
        <f aca="false">IF(B2202="","",MONTH(B2202))</f>
        <v/>
      </c>
      <c r="K2202" s="102" t="str">
        <f aca="false">IF(B2202="","",YEAR(B2202))</f>
        <v/>
      </c>
      <c r="L2202" s="102" t="str">
        <f aca="false">IF(N(E2202)=0,"",IF(COUNTIFS(AK_NAMA,C2202,AK_KAT,"KAS")+COUNTIFS(AK_NAMA,D2202,AK_KAT,"KAS")&lt;&gt;1,"",IF(COUNTIFS(AK_NAMA,C2202,AK_KAT,"KAS")=1,D2202,C2202)))</f>
        <v/>
      </c>
      <c r="M2202" s="103" t="n">
        <f aca="false">IF(L2202="",0,IF(L2202=D2202,E2202,-E2202))</f>
        <v>0</v>
      </c>
      <c r="N2202" s="102" t="str">
        <f aca="false">IF(L2202="","",IFERROR(INDEX(AK_BARIS,MATCH(L2202,AK_NAMA,0)),"?"))</f>
        <v/>
      </c>
      <c r="O2202" s="102" t="str">
        <f aca="false">IF(C2202="","",IFERROR(INDEX(AK_KEL,MATCH(C2202,AK_NAMA,0)),"?"))</f>
        <v/>
      </c>
      <c r="P2202" s="102" t="str">
        <f aca="false">IF(D2202="","",IFERROR(INDEX(AK_KEL,MATCH(D2202,AK_NAMA,0)),"?"))</f>
        <v/>
      </c>
      <c r="Q2202" s="102" t="n">
        <f aca="false">N(Q2201)+IF(AND(N(E2202)&lt;&gt;0,K2202=TAHUN,N(J2202)&lt;=BLN,OR(C2202=BB_AKUN,D2202=BB_AKUN)),1,0)</f>
        <v>877</v>
      </c>
      <c r="R2202" s="104" t="str">
        <f aca="false">IF(OR(C2202&amp;D2202="",N(E2202)=0),"",IF(OR(O2202="?",P2202="?"),"⚠ akun tidak dikenal",IF(C2202=D2202,"⚠ debet = kredit","")))</f>
        <v/>
      </c>
    </row>
    <row r="2203" customFormat="false" ht="15" hidden="false" customHeight="false" outlineLevel="0" collapsed="false">
      <c r="A2203" s="5"/>
      <c r="B2203" s="83"/>
      <c r="C2203" s="5"/>
      <c r="D2203" s="5"/>
      <c r="E2203" s="44"/>
      <c r="F2203" s="5"/>
      <c r="G2203" s="5"/>
      <c r="H2203" s="5"/>
      <c r="I2203" s="5"/>
      <c r="J2203" s="102" t="str">
        <f aca="false">IF(B2203="","",MONTH(B2203))</f>
        <v/>
      </c>
      <c r="K2203" s="102" t="str">
        <f aca="false">IF(B2203="","",YEAR(B2203))</f>
        <v/>
      </c>
      <c r="L2203" s="102" t="str">
        <f aca="false">IF(N(E2203)=0,"",IF(COUNTIFS(AK_NAMA,C2203,AK_KAT,"KAS")+COUNTIFS(AK_NAMA,D2203,AK_KAT,"KAS")&lt;&gt;1,"",IF(COUNTIFS(AK_NAMA,C2203,AK_KAT,"KAS")=1,D2203,C2203)))</f>
        <v/>
      </c>
      <c r="M2203" s="103" t="n">
        <f aca="false">IF(L2203="",0,IF(L2203=D2203,E2203,-E2203))</f>
        <v>0</v>
      </c>
      <c r="N2203" s="102" t="str">
        <f aca="false">IF(L2203="","",IFERROR(INDEX(AK_BARIS,MATCH(L2203,AK_NAMA,0)),"?"))</f>
        <v/>
      </c>
      <c r="O2203" s="102" t="str">
        <f aca="false">IF(C2203="","",IFERROR(INDEX(AK_KEL,MATCH(C2203,AK_NAMA,0)),"?"))</f>
        <v/>
      </c>
      <c r="P2203" s="102" t="str">
        <f aca="false">IF(D2203="","",IFERROR(INDEX(AK_KEL,MATCH(D2203,AK_NAMA,0)),"?"))</f>
        <v/>
      </c>
      <c r="Q2203" s="102" t="n">
        <f aca="false">N(Q2202)+IF(AND(N(E2203)&lt;&gt;0,K2203=TAHUN,N(J2203)&lt;=BLN,OR(C2203=BB_AKUN,D2203=BB_AKUN)),1,0)</f>
        <v>877</v>
      </c>
      <c r="R2203" s="104" t="str">
        <f aca="false">IF(OR(C2203&amp;D2203="",N(E2203)=0),"",IF(OR(O2203="?",P2203="?"),"⚠ akun tidak dikenal",IF(C2203=D2203,"⚠ debet = kredit","")))</f>
        <v/>
      </c>
    </row>
    <row r="2204" customFormat="false" ht="15" hidden="false" customHeight="false" outlineLevel="0" collapsed="false">
      <c r="A2204" s="5"/>
      <c r="B2204" s="83"/>
      <c r="C2204" s="5"/>
      <c r="D2204" s="5"/>
      <c r="E2204" s="44"/>
      <c r="F2204" s="5"/>
      <c r="G2204" s="5"/>
      <c r="H2204" s="5"/>
      <c r="I2204" s="5"/>
      <c r="J2204" s="102" t="str">
        <f aca="false">IF(B2204="","",MONTH(B2204))</f>
        <v/>
      </c>
      <c r="K2204" s="102" t="str">
        <f aca="false">IF(B2204="","",YEAR(B2204))</f>
        <v/>
      </c>
      <c r="L2204" s="102" t="str">
        <f aca="false">IF(N(E2204)=0,"",IF(COUNTIFS(AK_NAMA,C2204,AK_KAT,"KAS")+COUNTIFS(AK_NAMA,D2204,AK_KAT,"KAS")&lt;&gt;1,"",IF(COUNTIFS(AK_NAMA,C2204,AK_KAT,"KAS")=1,D2204,C2204)))</f>
        <v/>
      </c>
      <c r="M2204" s="103" t="n">
        <f aca="false">IF(L2204="",0,IF(L2204=D2204,E2204,-E2204))</f>
        <v>0</v>
      </c>
      <c r="N2204" s="102" t="str">
        <f aca="false">IF(L2204="","",IFERROR(INDEX(AK_BARIS,MATCH(L2204,AK_NAMA,0)),"?"))</f>
        <v/>
      </c>
      <c r="O2204" s="102" t="str">
        <f aca="false">IF(C2204="","",IFERROR(INDEX(AK_KEL,MATCH(C2204,AK_NAMA,0)),"?"))</f>
        <v/>
      </c>
      <c r="P2204" s="102" t="str">
        <f aca="false">IF(D2204="","",IFERROR(INDEX(AK_KEL,MATCH(D2204,AK_NAMA,0)),"?"))</f>
        <v/>
      </c>
      <c r="Q2204" s="102" t="n">
        <f aca="false">N(Q2203)+IF(AND(N(E2204)&lt;&gt;0,K2204=TAHUN,N(J2204)&lt;=BLN,OR(C2204=BB_AKUN,D2204=BB_AKUN)),1,0)</f>
        <v>877</v>
      </c>
      <c r="R2204" s="104" t="str">
        <f aca="false">IF(OR(C2204&amp;D2204="",N(E2204)=0),"",IF(OR(O2204="?",P2204="?"),"⚠ akun tidak dikenal",IF(C2204=D2204,"⚠ debet = kredit","")))</f>
        <v/>
      </c>
    </row>
    <row r="2205" customFormat="false" ht="15" hidden="false" customHeight="false" outlineLevel="0" collapsed="false">
      <c r="A2205" s="5"/>
      <c r="B2205" s="83"/>
      <c r="C2205" s="5"/>
      <c r="D2205" s="5"/>
      <c r="E2205" s="44"/>
      <c r="F2205" s="5"/>
      <c r="G2205" s="5"/>
      <c r="H2205" s="5"/>
      <c r="I2205" s="5"/>
      <c r="J2205" s="102" t="str">
        <f aca="false">IF(B2205="","",MONTH(B2205))</f>
        <v/>
      </c>
      <c r="K2205" s="102" t="str">
        <f aca="false">IF(B2205="","",YEAR(B2205))</f>
        <v/>
      </c>
      <c r="L2205" s="102" t="str">
        <f aca="false">IF(N(E2205)=0,"",IF(COUNTIFS(AK_NAMA,C2205,AK_KAT,"KAS")+COUNTIFS(AK_NAMA,D2205,AK_KAT,"KAS")&lt;&gt;1,"",IF(COUNTIFS(AK_NAMA,C2205,AK_KAT,"KAS")=1,D2205,C2205)))</f>
        <v/>
      </c>
      <c r="M2205" s="103" t="n">
        <f aca="false">IF(L2205="",0,IF(L2205=D2205,E2205,-E2205))</f>
        <v>0</v>
      </c>
      <c r="N2205" s="102" t="str">
        <f aca="false">IF(L2205="","",IFERROR(INDEX(AK_BARIS,MATCH(L2205,AK_NAMA,0)),"?"))</f>
        <v/>
      </c>
      <c r="O2205" s="102" t="str">
        <f aca="false">IF(C2205="","",IFERROR(INDEX(AK_KEL,MATCH(C2205,AK_NAMA,0)),"?"))</f>
        <v/>
      </c>
      <c r="P2205" s="102" t="str">
        <f aca="false">IF(D2205="","",IFERROR(INDEX(AK_KEL,MATCH(D2205,AK_NAMA,0)),"?"))</f>
        <v/>
      </c>
      <c r="Q2205" s="102" t="n">
        <f aca="false">N(Q2204)+IF(AND(N(E2205)&lt;&gt;0,K2205=TAHUN,N(J2205)&lt;=BLN,OR(C2205=BB_AKUN,D2205=BB_AKUN)),1,0)</f>
        <v>877</v>
      </c>
      <c r="R2205" s="104" t="str">
        <f aca="false">IF(OR(C2205&amp;D2205="",N(E2205)=0),"",IF(OR(O2205="?",P2205="?"),"⚠ akun tidak dikenal",IF(C2205=D2205,"⚠ debet = kredit","")))</f>
        <v/>
      </c>
    </row>
    <row r="2206" customFormat="false" ht="15" hidden="false" customHeight="false" outlineLevel="0" collapsed="false">
      <c r="A2206" s="5"/>
      <c r="B2206" s="83"/>
      <c r="C2206" s="5"/>
      <c r="D2206" s="5"/>
      <c r="E2206" s="44"/>
      <c r="F2206" s="5"/>
      <c r="G2206" s="5"/>
      <c r="H2206" s="5"/>
      <c r="I2206" s="5"/>
      <c r="J2206" s="102" t="str">
        <f aca="false">IF(B2206="","",MONTH(B2206))</f>
        <v/>
      </c>
      <c r="K2206" s="102" t="str">
        <f aca="false">IF(B2206="","",YEAR(B2206))</f>
        <v/>
      </c>
      <c r="L2206" s="102" t="str">
        <f aca="false">IF(N(E2206)=0,"",IF(COUNTIFS(AK_NAMA,C2206,AK_KAT,"KAS")+COUNTIFS(AK_NAMA,D2206,AK_KAT,"KAS")&lt;&gt;1,"",IF(COUNTIFS(AK_NAMA,C2206,AK_KAT,"KAS")=1,D2206,C2206)))</f>
        <v/>
      </c>
      <c r="M2206" s="103" t="n">
        <f aca="false">IF(L2206="",0,IF(L2206=D2206,E2206,-E2206))</f>
        <v>0</v>
      </c>
      <c r="N2206" s="102" t="str">
        <f aca="false">IF(L2206="","",IFERROR(INDEX(AK_BARIS,MATCH(L2206,AK_NAMA,0)),"?"))</f>
        <v/>
      </c>
      <c r="O2206" s="102" t="str">
        <f aca="false">IF(C2206="","",IFERROR(INDEX(AK_KEL,MATCH(C2206,AK_NAMA,0)),"?"))</f>
        <v/>
      </c>
      <c r="P2206" s="102" t="str">
        <f aca="false">IF(D2206="","",IFERROR(INDEX(AK_KEL,MATCH(D2206,AK_NAMA,0)),"?"))</f>
        <v/>
      </c>
      <c r="Q2206" s="102" t="n">
        <f aca="false">N(Q2205)+IF(AND(N(E2206)&lt;&gt;0,K2206=TAHUN,N(J2206)&lt;=BLN,OR(C2206=BB_AKUN,D2206=BB_AKUN)),1,0)</f>
        <v>877</v>
      </c>
      <c r="R2206" s="104" t="str">
        <f aca="false">IF(OR(C2206&amp;D2206="",N(E2206)=0),"",IF(OR(O2206="?",P2206="?"),"⚠ akun tidak dikenal",IF(C2206=D2206,"⚠ debet = kredit","")))</f>
        <v/>
      </c>
    </row>
    <row r="2207" customFormat="false" ht="15" hidden="false" customHeight="false" outlineLevel="0" collapsed="false">
      <c r="A2207" s="5"/>
      <c r="B2207" s="83"/>
      <c r="C2207" s="5"/>
      <c r="D2207" s="5"/>
      <c r="E2207" s="44"/>
      <c r="F2207" s="5"/>
      <c r="G2207" s="5"/>
      <c r="H2207" s="5"/>
      <c r="I2207" s="5"/>
      <c r="J2207" s="102" t="str">
        <f aca="false">IF(B2207="","",MONTH(B2207))</f>
        <v/>
      </c>
      <c r="K2207" s="102" t="str">
        <f aca="false">IF(B2207="","",YEAR(B2207))</f>
        <v/>
      </c>
      <c r="L2207" s="102" t="str">
        <f aca="false">IF(N(E2207)=0,"",IF(COUNTIFS(AK_NAMA,C2207,AK_KAT,"KAS")+COUNTIFS(AK_NAMA,D2207,AK_KAT,"KAS")&lt;&gt;1,"",IF(COUNTIFS(AK_NAMA,C2207,AK_KAT,"KAS")=1,D2207,C2207)))</f>
        <v/>
      </c>
      <c r="M2207" s="103" t="n">
        <f aca="false">IF(L2207="",0,IF(L2207=D2207,E2207,-E2207))</f>
        <v>0</v>
      </c>
      <c r="N2207" s="102" t="str">
        <f aca="false">IF(L2207="","",IFERROR(INDEX(AK_BARIS,MATCH(L2207,AK_NAMA,0)),"?"))</f>
        <v/>
      </c>
      <c r="O2207" s="102" t="str">
        <f aca="false">IF(C2207="","",IFERROR(INDEX(AK_KEL,MATCH(C2207,AK_NAMA,0)),"?"))</f>
        <v/>
      </c>
      <c r="P2207" s="102" t="str">
        <f aca="false">IF(D2207="","",IFERROR(INDEX(AK_KEL,MATCH(D2207,AK_NAMA,0)),"?"))</f>
        <v/>
      </c>
      <c r="Q2207" s="102" t="n">
        <f aca="false">N(Q2206)+IF(AND(N(E2207)&lt;&gt;0,K2207=TAHUN,N(J2207)&lt;=BLN,OR(C2207=BB_AKUN,D2207=BB_AKUN)),1,0)</f>
        <v>877</v>
      </c>
      <c r="R2207" s="104" t="str">
        <f aca="false">IF(OR(C2207&amp;D2207="",N(E2207)=0),"",IF(OR(O2207="?",P2207="?"),"⚠ akun tidak dikenal",IF(C2207=D2207,"⚠ debet = kredit","")))</f>
        <v/>
      </c>
    </row>
    <row r="2208" customFormat="false" ht="15" hidden="false" customHeight="false" outlineLevel="0" collapsed="false">
      <c r="A2208" s="5"/>
      <c r="B2208" s="83"/>
      <c r="C2208" s="5"/>
      <c r="D2208" s="5"/>
      <c r="E2208" s="44"/>
      <c r="F2208" s="5"/>
      <c r="G2208" s="5"/>
      <c r="H2208" s="5"/>
      <c r="I2208" s="5"/>
      <c r="J2208" s="102" t="str">
        <f aca="false">IF(B2208="","",MONTH(B2208))</f>
        <v/>
      </c>
      <c r="K2208" s="102" t="str">
        <f aca="false">IF(B2208="","",YEAR(B2208))</f>
        <v/>
      </c>
      <c r="L2208" s="102" t="str">
        <f aca="false">IF(N(E2208)=0,"",IF(COUNTIFS(AK_NAMA,C2208,AK_KAT,"KAS")+COUNTIFS(AK_NAMA,D2208,AK_KAT,"KAS")&lt;&gt;1,"",IF(COUNTIFS(AK_NAMA,C2208,AK_KAT,"KAS")=1,D2208,C2208)))</f>
        <v/>
      </c>
      <c r="M2208" s="103" t="n">
        <f aca="false">IF(L2208="",0,IF(L2208=D2208,E2208,-E2208))</f>
        <v>0</v>
      </c>
      <c r="N2208" s="102" t="str">
        <f aca="false">IF(L2208="","",IFERROR(INDEX(AK_BARIS,MATCH(L2208,AK_NAMA,0)),"?"))</f>
        <v/>
      </c>
      <c r="O2208" s="102" t="str">
        <f aca="false">IF(C2208="","",IFERROR(INDEX(AK_KEL,MATCH(C2208,AK_NAMA,0)),"?"))</f>
        <v/>
      </c>
      <c r="P2208" s="102" t="str">
        <f aca="false">IF(D2208="","",IFERROR(INDEX(AK_KEL,MATCH(D2208,AK_NAMA,0)),"?"))</f>
        <v/>
      </c>
      <c r="Q2208" s="102" t="n">
        <f aca="false">N(Q2207)+IF(AND(N(E2208)&lt;&gt;0,K2208=TAHUN,N(J2208)&lt;=BLN,OR(C2208=BB_AKUN,D2208=BB_AKUN)),1,0)</f>
        <v>877</v>
      </c>
      <c r="R2208" s="104" t="str">
        <f aca="false">IF(OR(C2208&amp;D2208="",N(E2208)=0),"",IF(OR(O2208="?",P2208="?"),"⚠ akun tidak dikenal",IF(C2208=D2208,"⚠ debet = kredit","")))</f>
        <v/>
      </c>
    </row>
    <row r="2209" customFormat="false" ht="15" hidden="false" customHeight="false" outlineLevel="0" collapsed="false">
      <c r="A2209" s="5"/>
      <c r="B2209" s="83"/>
      <c r="C2209" s="5"/>
      <c r="D2209" s="5"/>
      <c r="E2209" s="44"/>
      <c r="F2209" s="5"/>
      <c r="G2209" s="5"/>
      <c r="H2209" s="5"/>
      <c r="I2209" s="5"/>
      <c r="J2209" s="102" t="str">
        <f aca="false">IF(B2209="","",MONTH(B2209))</f>
        <v/>
      </c>
      <c r="K2209" s="102" t="str">
        <f aca="false">IF(B2209="","",YEAR(B2209))</f>
        <v/>
      </c>
      <c r="L2209" s="102" t="str">
        <f aca="false">IF(N(E2209)=0,"",IF(COUNTIFS(AK_NAMA,C2209,AK_KAT,"KAS")+COUNTIFS(AK_NAMA,D2209,AK_KAT,"KAS")&lt;&gt;1,"",IF(COUNTIFS(AK_NAMA,C2209,AK_KAT,"KAS")=1,D2209,C2209)))</f>
        <v/>
      </c>
      <c r="M2209" s="103" t="n">
        <f aca="false">IF(L2209="",0,IF(L2209=D2209,E2209,-E2209))</f>
        <v>0</v>
      </c>
      <c r="N2209" s="102" t="str">
        <f aca="false">IF(L2209="","",IFERROR(INDEX(AK_BARIS,MATCH(L2209,AK_NAMA,0)),"?"))</f>
        <v/>
      </c>
      <c r="O2209" s="102" t="str">
        <f aca="false">IF(C2209="","",IFERROR(INDEX(AK_KEL,MATCH(C2209,AK_NAMA,0)),"?"))</f>
        <v/>
      </c>
      <c r="P2209" s="102" t="str">
        <f aca="false">IF(D2209="","",IFERROR(INDEX(AK_KEL,MATCH(D2209,AK_NAMA,0)),"?"))</f>
        <v/>
      </c>
      <c r="Q2209" s="102" t="n">
        <f aca="false">N(Q2208)+IF(AND(N(E2209)&lt;&gt;0,K2209=TAHUN,N(J2209)&lt;=BLN,OR(C2209=BB_AKUN,D2209=BB_AKUN)),1,0)</f>
        <v>877</v>
      </c>
      <c r="R2209" s="104" t="str">
        <f aca="false">IF(OR(C2209&amp;D2209="",N(E2209)=0),"",IF(OR(O2209="?",P2209="?"),"⚠ akun tidak dikenal",IF(C2209=D2209,"⚠ debet = kredit","")))</f>
        <v/>
      </c>
    </row>
    <row r="2210" customFormat="false" ht="15" hidden="false" customHeight="false" outlineLevel="0" collapsed="false">
      <c r="A2210" s="5"/>
      <c r="B2210" s="83"/>
      <c r="C2210" s="5"/>
      <c r="D2210" s="5"/>
      <c r="E2210" s="44"/>
      <c r="F2210" s="5"/>
      <c r="G2210" s="5"/>
      <c r="H2210" s="5"/>
      <c r="I2210" s="5"/>
      <c r="J2210" s="102" t="str">
        <f aca="false">IF(B2210="","",MONTH(B2210))</f>
        <v/>
      </c>
      <c r="K2210" s="102" t="str">
        <f aca="false">IF(B2210="","",YEAR(B2210))</f>
        <v/>
      </c>
      <c r="L2210" s="102" t="str">
        <f aca="false">IF(N(E2210)=0,"",IF(COUNTIFS(AK_NAMA,C2210,AK_KAT,"KAS")+COUNTIFS(AK_NAMA,D2210,AK_KAT,"KAS")&lt;&gt;1,"",IF(COUNTIFS(AK_NAMA,C2210,AK_KAT,"KAS")=1,D2210,C2210)))</f>
        <v/>
      </c>
      <c r="M2210" s="103" t="n">
        <f aca="false">IF(L2210="",0,IF(L2210=D2210,E2210,-E2210))</f>
        <v>0</v>
      </c>
      <c r="N2210" s="102" t="str">
        <f aca="false">IF(L2210="","",IFERROR(INDEX(AK_BARIS,MATCH(L2210,AK_NAMA,0)),"?"))</f>
        <v/>
      </c>
      <c r="O2210" s="102" t="str">
        <f aca="false">IF(C2210="","",IFERROR(INDEX(AK_KEL,MATCH(C2210,AK_NAMA,0)),"?"))</f>
        <v/>
      </c>
      <c r="P2210" s="102" t="str">
        <f aca="false">IF(D2210="","",IFERROR(INDEX(AK_KEL,MATCH(D2210,AK_NAMA,0)),"?"))</f>
        <v/>
      </c>
      <c r="Q2210" s="102" t="n">
        <f aca="false">N(Q2209)+IF(AND(N(E2210)&lt;&gt;0,K2210=TAHUN,N(J2210)&lt;=BLN,OR(C2210=BB_AKUN,D2210=BB_AKUN)),1,0)</f>
        <v>877</v>
      </c>
      <c r="R2210" s="104" t="str">
        <f aca="false">IF(OR(C2210&amp;D2210="",N(E2210)=0),"",IF(OR(O2210="?",P2210="?"),"⚠ akun tidak dikenal",IF(C2210=D2210,"⚠ debet = kredit","")))</f>
        <v/>
      </c>
    </row>
    <row r="2211" customFormat="false" ht="15" hidden="false" customHeight="false" outlineLevel="0" collapsed="false">
      <c r="A2211" s="5"/>
      <c r="B2211" s="83"/>
      <c r="C2211" s="5"/>
      <c r="D2211" s="5"/>
      <c r="E2211" s="44"/>
      <c r="F2211" s="5"/>
      <c r="G2211" s="5"/>
      <c r="H2211" s="5"/>
      <c r="I2211" s="5"/>
      <c r="J2211" s="102" t="str">
        <f aca="false">IF(B2211="","",MONTH(B2211))</f>
        <v/>
      </c>
      <c r="K2211" s="102" t="str">
        <f aca="false">IF(B2211="","",YEAR(B2211))</f>
        <v/>
      </c>
      <c r="L2211" s="102" t="str">
        <f aca="false">IF(N(E2211)=0,"",IF(COUNTIFS(AK_NAMA,C2211,AK_KAT,"KAS")+COUNTIFS(AK_NAMA,D2211,AK_KAT,"KAS")&lt;&gt;1,"",IF(COUNTIFS(AK_NAMA,C2211,AK_KAT,"KAS")=1,D2211,C2211)))</f>
        <v/>
      </c>
      <c r="M2211" s="103" t="n">
        <f aca="false">IF(L2211="",0,IF(L2211=D2211,E2211,-E2211))</f>
        <v>0</v>
      </c>
      <c r="N2211" s="102" t="str">
        <f aca="false">IF(L2211="","",IFERROR(INDEX(AK_BARIS,MATCH(L2211,AK_NAMA,0)),"?"))</f>
        <v/>
      </c>
      <c r="O2211" s="102" t="str">
        <f aca="false">IF(C2211="","",IFERROR(INDEX(AK_KEL,MATCH(C2211,AK_NAMA,0)),"?"))</f>
        <v/>
      </c>
      <c r="P2211" s="102" t="str">
        <f aca="false">IF(D2211="","",IFERROR(INDEX(AK_KEL,MATCH(D2211,AK_NAMA,0)),"?"))</f>
        <v/>
      </c>
      <c r="Q2211" s="102" t="n">
        <f aca="false">N(Q2210)+IF(AND(N(E2211)&lt;&gt;0,K2211=TAHUN,N(J2211)&lt;=BLN,OR(C2211=BB_AKUN,D2211=BB_AKUN)),1,0)</f>
        <v>877</v>
      </c>
      <c r="R2211" s="104" t="str">
        <f aca="false">IF(OR(C2211&amp;D2211="",N(E2211)=0),"",IF(OR(O2211="?",P2211="?"),"⚠ akun tidak dikenal",IF(C2211=D2211,"⚠ debet = kredit","")))</f>
        <v/>
      </c>
    </row>
    <row r="2212" customFormat="false" ht="15" hidden="false" customHeight="false" outlineLevel="0" collapsed="false">
      <c r="A2212" s="5"/>
      <c r="B2212" s="83"/>
      <c r="C2212" s="5"/>
      <c r="D2212" s="5"/>
      <c r="E2212" s="44"/>
      <c r="F2212" s="5"/>
      <c r="G2212" s="5"/>
      <c r="H2212" s="5"/>
      <c r="I2212" s="5"/>
      <c r="J2212" s="102" t="str">
        <f aca="false">IF(B2212="","",MONTH(B2212))</f>
        <v/>
      </c>
      <c r="K2212" s="102" t="str">
        <f aca="false">IF(B2212="","",YEAR(B2212))</f>
        <v/>
      </c>
      <c r="L2212" s="102" t="str">
        <f aca="false">IF(N(E2212)=0,"",IF(COUNTIFS(AK_NAMA,C2212,AK_KAT,"KAS")+COUNTIFS(AK_NAMA,D2212,AK_KAT,"KAS")&lt;&gt;1,"",IF(COUNTIFS(AK_NAMA,C2212,AK_KAT,"KAS")=1,D2212,C2212)))</f>
        <v/>
      </c>
      <c r="M2212" s="103" t="n">
        <f aca="false">IF(L2212="",0,IF(L2212=D2212,E2212,-E2212))</f>
        <v>0</v>
      </c>
      <c r="N2212" s="102" t="str">
        <f aca="false">IF(L2212="","",IFERROR(INDEX(AK_BARIS,MATCH(L2212,AK_NAMA,0)),"?"))</f>
        <v/>
      </c>
      <c r="O2212" s="102" t="str">
        <f aca="false">IF(C2212="","",IFERROR(INDEX(AK_KEL,MATCH(C2212,AK_NAMA,0)),"?"))</f>
        <v/>
      </c>
      <c r="P2212" s="102" t="str">
        <f aca="false">IF(D2212="","",IFERROR(INDEX(AK_KEL,MATCH(D2212,AK_NAMA,0)),"?"))</f>
        <v/>
      </c>
      <c r="Q2212" s="102" t="n">
        <f aca="false">N(Q2211)+IF(AND(N(E2212)&lt;&gt;0,K2212=TAHUN,N(J2212)&lt;=BLN,OR(C2212=BB_AKUN,D2212=BB_AKUN)),1,0)</f>
        <v>877</v>
      </c>
      <c r="R2212" s="104" t="str">
        <f aca="false">IF(OR(C2212&amp;D2212="",N(E2212)=0),"",IF(OR(O2212="?",P2212="?"),"⚠ akun tidak dikenal",IF(C2212=D2212,"⚠ debet = kredit","")))</f>
        <v/>
      </c>
    </row>
    <row r="2213" customFormat="false" ht="15" hidden="false" customHeight="false" outlineLevel="0" collapsed="false">
      <c r="A2213" s="5"/>
      <c r="B2213" s="83"/>
      <c r="C2213" s="5"/>
      <c r="D2213" s="5"/>
      <c r="E2213" s="44"/>
      <c r="F2213" s="5"/>
      <c r="G2213" s="5"/>
      <c r="H2213" s="5"/>
      <c r="I2213" s="5"/>
      <c r="J2213" s="102" t="str">
        <f aca="false">IF(B2213="","",MONTH(B2213))</f>
        <v/>
      </c>
      <c r="K2213" s="102" t="str">
        <f aca="false">IF(B2213="","",YEAR(B2213))</f>
        <v/>
      </c>
      <c r="L2213" s="102" t="str">
        <f aca="false">IF(N(E2213)=0,"",IF(COUNTIFS(AK_NAMA,C2213,AK_KAT,"KAS")+COUNTIFS(AK_NAMA,D2213,AK_KAT,"KAS")&lt;&gt;1,"",IF(COUNTIFS(AK_NAMA,C2213,AK_KAT,"KAS")=1,D2213,C2213)))</f>
        <v/>
      </c>
      <c r="M2213" s="103" t="n">
        <f aca="false">IF(L2213="",0,IF(L2213=D2213,E2213,-E2213))</f>
        <v>0</v>
      </c>
      <c r="N2213" s="102" t="str">
        <f aca="false">IF(L2213="","",IFERROR(INDEX(AK_BARIS,MATCH(L2213,AK_NAMA,0)),"?"))</f>
        <v/>
      </c>
      <c r="O2213" s="102" t="str">
        <f aca="false">IF(C2213="","",IFERROR(INDEX(AK_KEL,MATCH(C2213,AK_NAMA,0)),"?"))</f>
        <v/>
      </c>
      <c r="P2213" s="102" t="str">
        <f aca="false">IF(D2213="","",IFERROR(INDEX(AK_KEL,MATCH(D2213,AK_NAMA,0)),"?"))</f>
        <v/>
      </c>
      <c r="Q2213" s="102" t="n">
        <f aca="false">N(Q2212)+IF(AND(N(E2213)&lt;&gt;0,K2213=TAHUN,N(J2213)&lt;=BLN,OR(C2213=BB_AKUN,D2213=BB_AKUN)),1,0)</f>
        <v>877</v>
      </c>
      <c r="R2213" s="104" t="str">
        <f aca="false">IF(OR(C2213&amp;D2213="",N(E2213)=0),"",IF(OR(O2213="?",P2213="?"),"⚠ akun tidak dikenal",IF(C2213=D2213,"⚠ debet = kredit","")))</f>
        <v/>
      </c>
    </row>
    <row r="2214" customFormat="false" ht="15" hidden="false" customHeight="false" outlineLevel="0" collapsed="false">
      <c r="A2214" s="5"/>
      <c r="B2214" s="83"/>
      <c r="C2214" s="5"/>
      <c r="D2214" s="5"/>
      <c r="E2214" s="44"/>
      <c r="F2214" s="5"/>
      <c r="G2214" s="5"/>
      <c r="H2214" s="5"/>
      <c r="I2214" s="5"/>
      <c r="J2214" s="102" t="str">
        <f aca="false">IF(B2214="","",MONTH(B2214))</f>
        <v/>
      </c>
      <c r="K2214" s="102" t="str">
        <f aca="false">IF(B2214="","",YEAR(B2214))</f>
        <v/>
      </c>
      <c r="L2214" s="102" t="str">
        <f aca="false">IF(N(E2214)=0,"",IF(COUNTIFS(AK_NAMA,C2214,AK_KAT,"KAS")+COUNTIFS(AK_NAMA,D2214,AK_KAT,"KAS")&lt;&gt;1,"",IF(COUNTIFS(AK_NAMA,C2214,AK_KAT,"KAS")=1,D2214,C2214)))</f>
        <v/>
      </c>
      <c r="M2214" s="103" t="n">
        <f aca="false">IF(L2214="",0,IF(L2214=D2214,E2214,-E2214))</f>
        <v>0</v>
      </c>
      <c r="N2214" s="102" t="str">
        <f aca="false">IF(L2214="","",IFERROR(INDEX(AK_BARIS,MATCH(L2214,AK_NAMA,0)),"?"))</f>
        <v/>
      </c>
      <c r="O2214" s="102" t="str">
        <f aca="false">IF(C2214="","",IFERROR(INDEX(AK_KEL,MATCH(C2214,AK_NAMA,0)),"?"))</f>
        <v/>
      </c>
      <c r="P2214" s="102" t="str">
        <f aca="false">IF(D2214="","",IFERROR(INDEX(AK_KEL,MATCH(D2214,AK_NAMA,0)),"?"))</f>
        <v/>
      </c>
      <c r="Q2214" s="102" t="n">
        <f aca="false">N(Q2213)+IF(AND(N(E2214)&lt;&gt;0,K2214=TAHUN,N(J2214)&lt;=BLN,OR(C2214=BB_AKUN,D2214=BB_AKUN)),1,0)</f>
        <v>877</v>
      </c>
      <c r="R2214" s="104" t="str">
        <f aca="false">IF(OR(C2214&amp;D2214="",N(E2214)=0),"",IF(OR(O2214="?",P2214="?"),"⚠ akun tidak dikenal",IF(C2214=D2214,"⚠ debet = kredit","")))</f>
        <v/>
      </c>
    </row>
    <row r="2215" customFormat="false" ht="15" hidden="false" customHeight="false" outlineLevel="0" collapsed="false">
      <c r="A2215" s="5"/>
      <c r="B2215" s="83"/>
      <c r="C2215" s="5"/>
      <c r="D2215" s="5"/>
      <c r="E2215" s="44"/>
      <c r="F2215" s="5"/>
      <c r="G2215" s="5"/>
      <c r="H2215" s="5"/>
      <c r="I2215" s="5"/>
      <c r="J2215" s="102" t="str">
        <f aca="false">IF(B2215="","",MONTH(B2215))</f>
        <v/>
      </c>
      <c r="K2215" s="102" t="str">
        <f aca="false">IF(B2215="","",YEAR(B2215))</f>
        <v/>
      </c>
      <c r="L2215" s="102" t="str">
        <f aca="false">IF(N(E2215)=0,"",IF(COUNTIFS(AK_NAMA,C2215,AK_KAT,"KAS")+COUNTIFS(AK_NAMA,D2215,AK_KAT,"KAS")&lt;&gt;1,"",IF(COUNTIFS(AK_NAMA,C2215,AK_KAT,"KAS")=1,D2215,C2215)))</f>
        <v/>
      </c>
      <c r="M2215" s="103" t="n">
        <f aca="false">IF(L2215="",0,IF(L2215=D2215,E2215,-E2215))</f>
        <v>0</v>
      </c>
      <c r="N2215" s="102" t="str">
        <f aca="false">IF(L2215="","",IFERROR(INDEX(AK_BARIS,MATCH(L2215,AK_NAMA,0)),"?"))</f>
        <v/>
      </c>
      <c r="O2215" s="102" t="str">
        <f aca="false">IF(C2215="","",IFERROR(INDEX(AK_KEL,MATCH(C2215,AK_NAMA,0)),"?"))</f>
        <v/>
      </c>
      <c r="P2215" s="102" t="str">
        <f aca="false">IF(D2215="","",IFERROR(INDEX(AK_KEL,MATCH(D2215,AK_NAMA,0)),"?"))</f>
        <v/>
      </c>
      <c r="Q2215" s="102" t="n">
        <f aca="false">N(Q2214)+IF(AND(N(E2215)&lt;&gt;0,K2215=TAHUN,N(J2215)&lt;=BLN,OR(C2215=BB_AKUN,D2215=BB_AKUN)),1,0)</f>
        <v>877</v>
      </c>
      <c r="R2215" s="104" t="str">
        <f aca="false">IF(OR(C2215&amp;D2215="",N(E2215)=0),"",IF(OR(O2215="?",P2215="?"),"⚠ akun tidak dikenal",IF(C2215=D2215,"⚠ debet = kredit","")))</f>
        <v/>
      </c>
    </row>
    <row r="2216" customFormat="false" ht="15" hidden="false" customHeight="false" outlineLevel="0" collapsed="false">
      <c r="A2216" s="5"/>
      <c r="B2216" s="83"/>
      <c r="C2216" s="5"/>
      <c r="D2216" s="5"/>
      <c r="E2216" s="44"/>
      <c r="F2216" s="5"/>
      <c r="G2216" s="5"/>
      <c r="H2216" s="5"/>
      <c r="I2216" s="5"/>
      <c r="J2216" s="102" t="str">
        <f aca="false">IF(B2216="","",MONTH(B2216))</f>
        <v/>
      </c>
      <c r="K2216" s="102" t="str">
        <f aca="false">IF(B2216="","",YEAR(B2216))</f>
        <v/>
      </c>
      <c r="L2216" s="102" t="str">
        <f aca="false">IF(N(E2216)=0,"",IF(COUNTIFS(AK_NAMA,C2216,AK_KAT,"KAS")+COUNTIFS(AK_NAMA,D2216,AK_KAT,"KAS")&lt;&gt;1,"",IF(COUNTIFS(AK_NAMA,C2216,AK_KAT,"KAS")=1,D2216,C2216)))</f>
        <v/>
      </c>
      <c r="M2216" s="103" t="n">
        <f aca="false">IF(L2216="",0,IF(L2216=D2216,E2216,-E2216))</f>
        <v>0</v>
      </c>
      <c r="N2216" s="102" t="str">
        <f aca="false">IF(L2216="","",IFERROR(INDEX(AK_BARIS,MATCH(L2216,AK_NAMA,0)),"?"))</f>
        <v/>
      </c>
      <c r="O2216" s="102" t="str">
        <f aca="false">IF(C2216="","",IFERROR(INDEX(AK_KEL,MATCH(C2216,AK_NAMA,0)),"?"))</f>
        <v/>
      </c>
      <c r="P2216" s="102" t="str">
        <f aca="false">IF(D2216="","",IFERROR(INDEX(AK_KEL,MATCH(D2216,AK_NAMA,0)),"?"))</f>
        <v/>
      </c>
      <c r="Q2216" s="102" t="n">
        <f aca="false">N(Q2215)+IF(AND(N(E2216)&lt;&gt;0,K2216=TAHUN,N(J2216)&lt;=BLN,OR(C2216=BB_AKUN,D2216=BB_AKUN)),1,0)</f>
        <v>877</v>
      </c>
      <c r="R2216" s="104" t="str">
        <f aca="false">IF(OR(C2216&amp;D2216="",N(E2216)=0),"",IF(OR(O2216="?",P2216="?"),"⚠ akun tidak dikenal",IF(C2216=D2216,"⚠ debet = kredit","")))</f>
        <v/>
      </c>
    </row>
    <row r="2217" customFormat="false" ht="15" hidden="false" customHeight="false" outlineLevel="0" collapsed="false">
      <c r="A2217" s="5"/>
      <c r="B2217" s="83"/>
      <c r="C2217" s="5"/>
      <c r="D2217" s="5"/>
      <c r="E2217" s="44"/>
      <c r="F2217" s="5"/>
      <c r="G2217" s="5"/>
      <c r="H2217" s="5"/>
      <c r="I2217" s="5"/>
      <c r="J2217" s="102" t="str">
        <f aca="false">IF(B2217="","",MONTH(B2217))</f>
        <v/>
      </c>
      <c r="K2217" s="102" t="str">
        <f aca="false">IF(B2217="","",YEAR(B2217))</f>
        <v/>
      </c>
      <c r="L2217" s="102" t="str">
        <f aca="false">IF(N(E2217)=0,"",IF(COUNTIFS(AK_NAMA,C2217,AK_KAT,"KAS")+COUNTIFS(AK_NAMA,D2217,AK_KAT,"KAS")&lt;&gt;1,"",IF(COUNTIFS(AK_NAMA,C2217,AK_KAT,"KAS")=1,D2217,C2217)))</f>
        <v/>
      </c>
      <c r="M2217" s="103" t="n">
        <f aca="false">IF(L2217="",0,IF(L2217=D2217,E2217,-E2217))</f>
        <v>0</v>
      </c>
      <c r="N2217" s="102" t="str">
        <f aca="false">IF(L2217="","",IFERROR(INDEX(AK_BARIS,MATCH(L2217,AK_NAMA,0)),"?"))</f>
        <v/>
      </c>
      <c r="O2217" s="102" t="str">
        <f aca="false">IF(C2217="","",IFERROR(INDEX(AK_KEL,MATCH(C2217,AK_NAMA,0)),"?"))</f>
        <v/>
      </c>
      <c r="P2217" s="102" t="str">
        <f aca="false">IF(D2217="","",IFERROR(INDEX(AK_KEL,MATCH(D2217,AK_NAMA,0)),"?"))</f>
        <v/>
      </c>
      <c r="Q2217" s="102" t="n">
        <f aca="false">N(Q2216)+IF(AND(N(E2217)&lt;&gt;0,K2217=TAHUN,N(J2217)&lt;=BLN,OR(C2217=BB_AKUN,D2217=BB_AKUN)),1,0)</f>
        <v>877</v>
      </c>
      <c r="R2217" s="104" t="str">
        <f aca="false">IF(OR(C2217&amp;D2217="",N(E2217)=0),"",IF(OR(O2217="?",P2217="?"),"⚠ akun tidak dikenal",IF(C2217=D2217,"⚠ debet = kredit","")))</f>
        <v/>
      </c>
    </row>
    <row r="2218" customFormat="false" ht="15" hidden="false" customHeight="false" outlineLevel="0" collapsed="false">
      <c r="A2218" s="5"/>
      <c r="B2218" s="83"/>
      <c r="C2218" s="5"/>
      <c r="D2218" s="5"/>
      <c r="E2218" s="44"/>
      <c r="F2218" s="5"/>
      <c r="G2218" s="5"/>
      <c r="H2218" s="5"/>
      <c r="I2218" s="5"/>
      <c r="J2218" s="102" t="str">
        <f aca="false">IF(B2218="","",MONTH(B2218))</f>
        <v/>
      </c>
      <c r="K2218" s="102" t="str">
        <f aca="false">IF(B2218="","",YEAR(B2218))</f>
        <v/>
      </c>
      <c r="L2218" s="102" t="str">
        <f aca="false">IF(N(E2218)=0,"",IF(COUNTIFS(AK_NAMA,C2218,AK_KAT,"KAS")+COUNTIFS(AK_NAMA,D2218,AK_KAT,"KAS")&lt;&gt;1,"",IF(COUNTIFS(AK_NAMA,C2218,AK_KAT,"KAS")=1,D2218,C2218)))</f>
        <v/>
      </c>
      <c r="M2218" s="103" t="n">
        <f aca="false">IF(L2218="",0,IF(L2218=D2218,E2218,-E2218))</f>
        <v>0</v>
      </c>
      <c r="N2218" s="102" t="str">
        <f aca="false">IF(L2218="","",IFERROR(INDEX(AK_BARIS,MATCH(L2218,AK_NAMA,0)),"?"))</f>
        <v/>
      </c>
      <c r="O2218" s="102" t="str">
        <f aca="false">IF(C2218="","",IFERROR(INDEX(AK_KEL,MATCH(C2218,AK_NAMA,0)),"?"))</f>
        <v/>
      </c>
      <c r="P2218" s="102" t="str">
        <f aca="false">IF(D2218="","",IFERROR(INDEX(AK_KEL,MATCH(D2218,AK_NAMA,0)),"?"))</f>
        <v/>
      </c>
      <c r="Q2218" s="102" t="n">
        <f aca="false">N(Q2217)+IF(AND(N(E2218)&lt;&gt;0,K2218=TAHUN,N(J2218)&lt;=BLN,OR(C2218=BB_AKUN,D2218=BB_AKUN)),1,0)</f>
        <v>877</v>
      </c>
      <c r="R2218" s="104" t="str">
        <f aca="false">IF(OR(C2218&amp;D2218="",N(E2218)=0),"",IF(OR(O2218="?",P2218="?"),"⚠ akun tidak dikenal",IF(C2218=D2218,"⚠ debet = kredit","")))</f>
        <v/>
      </c>
    </row>
    <row r="2219" customFormat="false" ht="15" hidden="false" customHeight="false" outlineLevel="0" collapsed="false">
      <c r="A2219" s="5"/>
      <c r="B2219" s="83"/>
      <c r="C2219" s="5"/>
      <c r="D2219" s="5"/>
      <c r="E2219" s="44"/>
      <c r="F2219" s="5"/>
      <c r="G2219" s="5"/>
      <c r="H2219" s="5"/>
      <c r="I2219" s="5"/>
      <c r="J2219" s="102" t="str">
        <f aca="false">IF(B2219="","",MONTH(B2219))</f>
        <v/>
      </c>
      <c r="K2219" s="102" t="str">
        <f aca="false">IF(B2219="","",YEAR(B2219))</f>
        <v/>
      </c>
      <c r="L2219" s="102" t="str">
        <f aca="false">IF(N(E2219)=0,"",IF(COUNTIFS(AK_NAMA,C2219,AK_KAT,"KAS")+COUNTIFS(AK_NAMA,D2219,AK_KAT,"KAS")&lt;&gt;1,"",IF(COUNTIFS(AK_NAMA,C2219,AK_KAT,"KAS")=1,D2219,C2219)))</f>
        <v/>
      </c>
      <c r="M2219" s="103" t="n">
        <f aca="false">IF(L2219="",0,IF(L2219=D2219,E2219,-E2219))</f>
        <v>0</v>
      </c>
      <c r="N2219" s="102" t="str">
        <f aca="false">IF(L2219="","",IFERROR(INDEX(AK_BARIS,MATCH(L2219,AK_NAMA,0)),"?"))</f>
        <v/>
      </c>
      <c r="O2219" s="102" t="str">
        <f aca="false">IF(C2219="","",IFERROR(INDEX(AK_KEL,MATCH(C2219,AK_NAMA,0)),"?"))</f>
        <v/>
      </c>
      <c r="P2219" s="102" t="str">
        <f aca="false">IF(D2219="","",IFERROR(INDEX(AK_KEL,MATCH(D2219,AK_NAMA,0)),"?"))</f>
        <v/>
      </c>
      <c r="Q2219" s="102" t="n">
        <f aca="false">N(Q2218)+IF(AND(N(E2219)&lt;&gt;0,K2219=TAHUN,N(J2219)&lt;=BLN,OR(C2219=BB_AKUN,D2219=BB_AKUN)),1,0)</f>
        <v>877</v>
      </c>
      <c r="R2219" s="104" t="str">
        <f aca="false">IF(OR(C2219&amp;D2219="",N(E2219)=0),"",IF(OR(O2219="?",P2219="?"),"⚠ akun tidak dikenal",IF(C2219=D2219,"⚠ debet = kredit","")))</f>
        <v/>
      </c>
    </row>
    <row r="2220" customFormat="false" ht="15" hidden="false" customHeight="false" outlineLevel="0" collapsed="false">
      <c r="A2220" s="5"/>
      <c r="B2220" s="83"/>
      <c r="C2220" s="5"/>
      <c r="D2220" s="5"/>
      <c r="E2220" s="44"/>
      <c r="F2220" s="5"/>
      <c r="G2220" s="5"/>
      <c r="H2220" s="5"/>
      <c r="I2220" s="5"/>
      <c r="J2220" s="102" t="str">
        <f aca="false">IF(B2220="","",MONTH(B2220))</f>
        <v/>
      </c>
      <c r="K2220" s="102" t="str">
        <f aca="false">IF(B2220="","",YEAR(B2220))</f>
        <v/>
      </c>
      <c r="L2220" s="102" t="str">
        <f aca="false">IF(N(E2220)=0,"",IF(COUNTIFS(AK_NAMA,C2220,AK_KAT,"KAS")+COUNTIFS(AK_NAMA,D2220,AK_KAT,"KAS")&lt;&gt;1,"",IF(COUNTIFS(AK_NAMA,C2220,AK_KAT,"KAS")=1,D2220,C2220)))</f>
        <v/>
      </c>
      <c r="M2220" s="103" t="n">
        <f aca="false">IF(L2220="",0,IF(L2220=D2220,E2220,-E2220))</f>
        <v>0</v>
      </c>
      <c r="N2220" s="102" t="str">
        <f aca="false">IF(L2220="","",IFERROR(INDEX(AK_BARIS,MATCH(L2220,AK_NAMA,0)),"?"))</f>
        <v/>
      </c>
      <c r="O2220" s="102" t="str">
        <f aca="false">IF(C2220="","",IFERROR(INDEX(AK_KEL,MATCH(C2220,AK_NAMA,0)),"?"))</f>
        <v/>
      </c>
      <c r="P2220" s="102" t="str">
        <f aca="false">IF(D2220="","",IFERROR(INDEX(AK_KEL,MATCH(D2220,AK_NAMA,0)),"?"))</f>
        <v/>
      </c>
      <c r="Q2220" s="102" t="n">
        <f aca="false">N(Q2219)+IF(AND(N(E2220)&lt;&gt;0,K2220=TAHUN,N(J2220)&lt;=BLN,OR(C2220=BB_AKUN,D2220=BB_AKUN)),1,0)</f>
        <v>877</v>
      </c>
      <c r="R2220" s="104" t="str">
        <f aca="false">IF(OR(C2220&amp;D2220="",N(E2220)=0),"",IF(OR(O2220="?",P2220="?"),"⚠ akun tidak dikenal",IF(C2220=D2220,"⚠ debet = kredit","")))</f>
        <v/>
      </c>
    </row>
    <row r="2221" customFormat="false" ht="15" hidden="false" customHeight="false" outlineLevel="0" collapsed="false">
      <c r="A2221" s="5"/>
      <c r="B2221" s="83"/>
      <c r="C2221" s="5"/>
      <c r="D2221" s="5"/>
      <c r="E2221" s="44"/>
      <c r="F2221" s="5"/>
      <c r="G2221" s="5"/>
      <c r="H2221" s="5"/>
      <c r="I2221" s="5"/>
      <c r="J2221" s="102" t="str">
        <f aca="false">IF(B2221="","",MONTH(B2221))</f>
        <v/>
      </c>
      <c r="K2221" s="102" t="str">
        <f aca="false">IF(B2221="","",YEAR(B2221))</f>
        <v/>
      </c>
      <c r="L2221" s="102" t="str">
        <f aca="false">IF(N(E2221)=0,"",IF(COUNTIFS(AK_NAMA,C2221,AK_KAT,"KAS")+COUNTIFS(AK_NAMA,D2221,AK_KAT,"KAS")&lt;&gt;1,"",IF(COUNTIFS(AK_NAMA,C2221,AK_KAT,"KAS")=1,D2221,C2221)))</f>
        <v/>
      </c>
      <c r="M2221" s="103" t="n">
        <f aca="false">IF(L2221="",0,IF(L2221=D2221,E2221,-E2221))</f>
        <v>0</v>
      </c>
      <c r="N2221" s="102" t="str">
        <f aca="false">IF(L2221="","",IFERROR(INDEX(AK_BARIS,MATCH(L2221,AK_NAMA,0)),"?"))</f>
        <v/>
      </c>
      <c r="O2221" s="102" t="str">
        <f aca="false">IF(C2221="","",IFERROR(INDEX(AK_KEL,MATCH(C2221,AK_NAMA,0)),"?"))</f>
        <v/>
      </c>
      <c r="P2221" s="102" t="str">
        <f aca="false">IF(D2221="","",IFERROR(INDEX(AK_KEL,MATCH(D2221,AK_NAMA,0)),"?"))</f>
        <v/>
      </c>
      <c r="Q2221" s="102" t="n">
        <f aca="false">N(Q2220)+IF(AND(N(E2221)&lt;&gt;0,K2221=TAHUN,N(J2221)&lt;=BLN,OR(C2221=BB_AKUN,D2221=BB_AKUN)),1,0)</f>
        <v>877</v>
      </c>
      <c r="R2221" s="104" t="str">
        <f aca="false">IF(OR(C2221&amp;D2221="",N(E2221)=0),"",IF(OR(O2221="?",P2221="?"),"⚠ akun tidak dikenal",IF(C2221=D2221,"⚠ debet = kredit","")))</f>
        <v/>
      </c>
    </row>
    <row r="2222" customFormat="false" ht="15" hidden="false" customHeight="false" outlineLevel="0" collapsed="false">
      <c r="A2222" s="5"/>
      <c r="B2222" s="83"/>
      <c r="C2222" s="5"/>
      <c r="D2222" s="5"/>
      <c r="E2222" s="44"/>
      <c r="F2222" s="5"/>
      <c r="G2222" s="5"/>
      <c r="H2222" s="5"/>
      <c r="I2222" s="5"/>
      <c r="J2222" s="102" t="str">
        <f aca="false">IF(B2222="","",MONTH(B2222))</f>
        <v/>
      </c>
      <c r="K2222" s="102" t="str">
        <f aca="false">IF(B2222="","",YEAR(B2222))</f>
        <v/>
      </c>
      <c r="L2222" s="102" t="str">
        <f aca="false">IF(N(E2222)=0,"",IF(COUNTIFS(AK_NAMA,C2222,AK_KAT,"KAS")+COUNTIFS(AK_NAMA,D2222,AK_KAT,"KAS")&lt;&gt;1,"",IF(COUNTIFS(AK_NAMA,C2222,AK_KAT,"KAS")=1,D2222,C2222)))</f>
        <v/>
      </c>
      <c r="M2222" s="103" t="n">
        <f aca="false">IF(L2222="",0,IF(L2222=D2222,E2222,-E2222))</f>
        <v>0</v>
      </c>
      <c r="N2222" s="102" t="str">
        <f aca="false">IF(L2222="","",IFERROR(INDEX(AK_BARIS,MATCH(L2222,AK_NAMA,0)),"?"))</f>
        <v/>
      </c>
      <c r="O2222" s="102" t="str">
        <f aca="false">IF(C2222="","",IFERROR(INDEX(AK_KEL,MATCH(C2222,AK_NAMA,0)),"?"))</f>
        <v/>
      </c>
      <c r="P2222" s="102" t="str">
        <f aca="false">IF(D2222="","",IFERROR(INDEX(AK_KEL,MATCH(D2222,AK_NAMA,0)),"?"))</f>
        <v/>
      </c>
      <c r="Q2222" s="102" t="n">
        <f aca="false">N(Q2221)+IF(AND(N(E2222)&lt;&gt;0,K2222=TAHUN,N(J2222)&lt;=BLN,OR(C2222=BB_AKUN,D2222=BB_AKUN)),1,0)</f>
        <v>877</v>
      </c>
      <c r="R2222" s="104" t="str">
        <f aca="false">IF(OR(C2222&amp;D2222="",N(E2222)=0),"",IF(OR(O2222="?",P2222="?"),"⚠ akun tidak dikenal",IF(C2222=D2222,"⚠ debet = kredit","")))</f>
        <v/>
      </c>
    </row>
    <row r="2223" customFormat="false" ht="15" hidden="false" customHeight="false" outlineLevel="0" collapsed="false">
      <c r="A2223" s="5"/>
      <c r="B2223" s="83"/>
      <c r="C2223" s="5"/>
      <c r="D2223" s="5"/>
      <c r="E2223" s="44"/>
      <c r="F2223" s="5"/>
      <c r="G2223" s="5"/>
      <c r="H2223" s="5"/>
      <c r="I2223" s="5"/>
      <c r="J2223" s="102" t="str">
        <f aca="false">IF(B2223="","",MONTH(B2223))</f>
        <v/>
      </c>
      <c r="K2223" s="102" t="str">
        <f aca="false">IF(B2223="","",YEAR(B2223))</f>
        <v/>
      </c>
      <c r="L2223" s="102" t="str">
        <f aca="false">IF(N(E2223)=0,"",IF(COUNTIFS(AK_NAMA,C2223,AK_KAT,"KAS")+COUNTIFS(AK_NAMA,D2223,AK_KAT,"KAS")&lt;&gt;1,"",IF(COUNTIFS(AK_NAMA,C2223,AK_KAT,"KAS")=1,D2223,C2223)))</f>
        <v/>
      </c>
      <c r="M2223" s="103" t="n">
        <f aca="false">IF(L2223="",0,IF(L2223=D2223,E2223,-E2223))</f>
        <v>0</v>
      </c>
      <c r="N2223" s="102" t="str">
        <f aca="false">IF(L2223="","",IFERROR(INDEX(AK_BARIS,MATCH(L2223,AK_NAMA,0)),"?"))</f>
        <v/>
      </c>
      <c r="O2223" s="102" t="str">
        <f aca="false">IF(C2223="","",IFERROR(INDEX(AK_KEL,MATCH(C2223,AK_NAMA,0)),"?"))</f>
        <v/>
      </c>
      <c r="P2223" s="102" t="str">
        <f aca="false">IF(D2223="","",IFERROR(INDEX(AK_KEL,MATCH(D2223,AK_NAMA,0)),"?"))</f>
        <v/>
      </c>
      <c r="Q2223" s="102" t="n">
        <f aca="false">N(Q2222)+IF(AND(N(E2223)&lt;&gt;0,K2223=TAHUN,N(J2223)&lt;=BLN,OR(C2223=BB_AKUN,D2223=BB_AKUN)),1,0)</f>
        <v>877</v>
      </c>
      <c r="R2223" s="104" t="str">
        <f aca="false">IF(OR(C2223&amp;D2223="",N(E2223)=0),"",IF(OR(O2223="?",P2223="?"),"⚠ akun tidak dikenal",IF(C2223=D2223,"⚠ debet = kredit","")))</f>
        <v/>
      </c>
    </row>
    <row r="2224" customFormat="false" ht="15" hidden="false" customHeight="false" outlineLevel="0" collapsed="false">
      <c r="A2224" s="5"/>
      <c r="B2224" s="83"/>
      <c r="C2224" s="5"/>
      <c r="D2224" s="5"/>
      <c r="E2224" s="44"/>
      <c r="F2224" s="5"/>
      <c r="G2224" s="5"/>
      <c r="H2224" s="5"/>
      <c r="I2224" s="5"/>
      <c r="J2224" s="102" t="str">
        <f aca="false">IF(B2224="","",MONTH(B2224))</f>
        <v/>
      </c>
      <c r="K2224" s="102" t="str">
        <f aca="false">IF(B2224="","",YEAR(B2224))</f>
        <v/>
      </c>
      <c r="L2224" s="102" t="str">
        <f aca="false">IF(N(E2224)=0,"",IF(COUNTIFS(AK_NAMA,C2224,AK_KAT,"KAS")+COUNTIFS(AK_NAMA,D2224,AK_KAT,"KAS")&lt;&gt;1,"",IF(COUNTIFS(AK_NAMA,C2224,AK_KAT,"KAS")=1,D2224,C2224)))</f>
        <v/>
      </c>
      <c r="M2224" s="103" t="n">
        <f aca="false">IF(L2224="",0,IF(L2224=D2224,E2224,-E2224))</f>
        <v>0</v>
      </c>
      <c r="N2224" s="102" t="str">
        <f aca="false">IF(L2224="","",IFERROR(INDEX(AK_BARIS,MATCH(L2224,AK_NAMA,0)),"?"))</f>
        <v/>
      </c>
      <c r="O2224" s="102" t="str">
        <f aca="false">IF(C2224="","",IFERROR(INDEX(AK_KEL,MATCH(C2224,AK_NAMA,0)),"?"))</f>
        <v/>
      </c>
      <c r="P2224" s="102" t="str">
        <f aca="false">IF(D2224="","",IFERROR(INDEX(AK_KEL,MATCH(D2224,AK_NAMA,0)),"?"))</f>
        <v/>
      </c>
      <c r="Q2224" s="102" t="n">
        <f aca="false">N(Q2223)+IF(AND(N(E2224)&lt;&gt;0,K2224=TAHUN,N(J2224)&lt;=BLN,OR(C2224=BB_AKUN,D2224=BB_AKUN)),1,0)</f>
        <v>877</v>
      </c>
      <c r="R2224" s="104" t="str">
        <f aca="false">IF(OR(C2224&amp;D2224="",N(E2224)=0),"",IF(OR(O2224="?",P2224="?"),"⚠ akun tidak dikenal",IF(C2224=D2224,"⚠ debet = kredit","")))</f>
        <v/>
      </c>
    </row>
    <row r="2225" customFormat="false" ht="15" hidden="false" customHeight="false" outlineLevel="0" collapsed="false">
      <c r="A2225" s="5"/>
      <c r="B2225" s="83"/>
      <c r="C2225" s="5"/>
      <c r="D2225" s="5"/>
      <c r="E2225" s="44"/>
      <c r="F2225" s="5"/>
      <c r="G2225" s="5"/>
      <c r="H2225" s="5"/>
      <c r="I2225" s="5"/>
      <c r="J2225" s="102" t="str">
        <f aca="false">IF(B2225="","",MONTH(B2225))</f>
        <v/>
      </c>
      <c r="K2225" s="102" t="str">
        <f aca="false">IF(B2225="","",YEAR(B2225))</f>
        <v/>
      </c>
      <c r="L2225" s="102" t="str">
        <f aca="false">IF(N(E2225)=0,"",IF(COUNTIFS(AK_NAMA,C2225,AK_KAT,"KAS")+COUNTIFS(AK_NAMA,D2225,AK_KAT,"KAS")&lt;&gt;1,"",IF(COUNTIFS(AK_NAMA,C2225,AK_KAT,"KAS")=1,D2225,C2225)))</f>
        <v/>
      </c>
      <c r="M2225" s="103" t="n">
        <f aca="false">IF(L2225="",0,IF(L2225=D2225,E2225,-E2225))</f>
        <v>0</v>
      </c>
      <c r="N2225" s="102" t="str">
        <f aca="false">IF(L2225="","",IFERROR(INDEX(AK_BARIS,MATCH(L2225,AK_NAMA,0)),"?"))</f>
        <v/>
      </c>
      <c r="O2225" s="102" t="str">
        <f aca="false">IF(C2225="","",IFERROR(INDEX(AK_KEL,MATCH(C2225,AK_NAMA,0)),"?"))</f>
        <v/>
      </c>
      <c r="P2225" s="102" t="str">
        <f aca="false">IF(D2225="","",IFERROR(INDEX(AK_KEL,MATCH(D2225,AK_NAMA,0)),"?"))</f>
        <v/>
      </c>
      <c r="Q2225" s="102" t="n">
        <f aca="false">N(Q2224)+IF(AND(N(E2225)&lt;&gt;0,K2225=TAHUN,N(J2225)&lt;=BLN,OR(C2225=BB_AKUN,D2225=BB_AKUN)),1,0)</f>
        <v>877</v>
      </c>
      <c r="R2225" s="104" t="str">
        <f aca="false">IF(OR(C2225&amp;D2225="",N(E2225)=0),"",IF(OR(O2225="?",P2225="?"),"⚠ akun tidak dikenal",IF(C2225=D2225,"⚠ debet = kredit","")))</f>
        <v/>
      </c>
    </row>
    <row r="2226" customFormat="false" ht="15" hidden="false" customHeight="false" outlineLevel="0" collapsed="false">
      <c r="A2226" s="5"/>
      <c r="B2226" s="83"/>
      <c r="C2226" s="5"/>
      <c r="D2226" s="5"/>
      <c r="E2226" s="44"/>
      <c r="F2226" s="5"/>
      <c r="G2226" s="5"/>
      <c r="H2226" s="5"/>
      <c r="I2226" s="5"/>
      <c r="J2226" s="102" t="str">
        <f aca="false">IF(B2226="","",MONTH(B2226))</f>
        <v/>
      </c>
      <c r="K2226" s="102" t="str">
        <f aca="false">IF(B2226="","",YEAR(B2226))</f>
        <v/>
      </c>
      <c r="L2226" s="102" t="str">
        <f aca="false">IF(N(E2226)=0,"",IF(COUNTIFS(AK_NAMA,C2226,AK_KAT,"KAS")+COUNTIFS(AK_NAMA,D2226,AK_KAT,"KAS")&lt;&gt;1,"",IF(COUNTIFS(AK_NAMA,C2226,AK_KAT,"KAS")=1,D2226,C2226)))</f>
        <v/>
      </c>
      <c r="M2226" s="103" t="n">
        <f aca="false">IF(L2226="",0,IF(L2226=D2226,E2226,-E2226))</f>
        <v>0</v>
      </c>
      <c r="N2226" s="102" t="str">
        <f aca="false">IF(L2226="","",IFERROR(INDEX(AK_BARIS,MATCH(L2226,AK_NAMA,0)),"?"))</f>
        <v/>
      </c>
      <c r="O2226" s="102" t="str">
        <f aca="false">IF(C2226="","",IFERROR(INDEX(AK_KEL,MATCH(C2226,AK_NAMA,0)),"?"))</f>
        <v/>
      </c>
      <c r="P2226" s="102" t="str">
        <f aca="false">IF(D2226="","",IFERROR(INDEX(AK_KEL,MATCH(D2226,AK_NAMA,0)),"?"))</f>
        <v/>
      </c>
      <c r="Q2226" s="102" t="n">
        <f aca="false">N(Q2225)+IF(AND(N(E2226)&lt;&gt;0,K2226=TAHUN,N(J2226)&lt;=BLN,OR(C2226=BB_AKUN,D2226=BB_AKUN)),1,0)</f>
        <v>877</v>
      </c>
      <c r="R2226" s="104" t="str">
        <f aca="false">IF(OR(C2226&amp;D2226="",N(E2226)=0),"",IF(OR(O2226="?",P2226="?"),"⚠ akun tidak dikenal",IF(C2226=D2226,"⚠ debet = kredit","")))</f>
        <v/>
      </c>
    </row>
    <row r="2227" customFormat="false" ht="15" hidden="false" customHeight="false" outlineLevel="0" collapsed="false">
      <c r="A2227" s="5"/>
      <c r="B2227" s="83"/>
      <c r="C2227" s="5"/>
      <c r="D2227" s="5"/>
      <c r="E2227" s="44"/>
      <c r="F2227" s="5"/>
      <c r="G2227" s="5"/>
      <c r="H2227" s="5"/>
      <c r="I2227" s="5"/>
      <c r="J2227" s="102" t="str">
        <f aca="false">IF(B2227="","",MONTH(B2227))</f>
        <v/>
      </c>
      <c r="K2227" s="102" t="str">
        <f aca="false">IF(B2227="","",YEAR(B2227))</f>
        <v/>
      </c>
      <c r="L2227" s="102" t="str">
        <f aca="false">IF(N(E2227)=0,"",IF(COUNTIFS(AK_NAMA,C2227,AK_KAT,"KAS")+COUNTIFS(AK_NAMA,D2227,AK_KAT,"KAS")&lt;&gt;1,"",IF(COUNTIFS(AK_NAMA,C2227,AK_KAT,"KAS")=1,D2227,C2227)))</f>
        <v/>
      </c>
      <c r="M2227" s="103" t="n">
        <f aca="false">IF(L2227="",0,IF(L2227=D2227,E2227,-E2227))</f>
        <v>0</v>
      </c>
      <c r="N2227" s="102" t="str">
        <f aca="false">IF(L2227="","",IFERROR(INDEX(AK_BARIS,MATCH(L2227,AK_NAMA,0)),"?"))</f>
        <v/>
      </c>
      <c r="O2227" s="102" t="str">
        <f aca="false">IF(C2227="","",IFERROR(INDEX(AK_KEL,MATCH(C2227,AK_NAMA,0)),"?"))</f>
        <v/>
      </c>
      <c r="P2227" s="102" t="str">
        <f aca="false">IF(D2227="","",IFERROR(INDEX(AK_KEL,MATCH(D2227,AK_NAMA,0)),"?"))</f>
        <v/>
      </c>
      <c r="Q2227" s="102" t="n">
        <f aca="false">N(Q2226)+IF(AND(N(E2227)&lt;&gt;0,K2227=TAHUN,N(J2227)&lt;=BLN,OR(C2227=BB_AKUN,D2227=BB_AKUN)),1,0)</f>
        <v>877</v>
      </c>
      <c r="R2227" s="104" t="str">
        <f aca="false">IF(OR(C2227&amp;D2227="",N(E2227)=0),"",IF(OR(O2227="?",P2227="?"),"⚠ akun tidak dikenal",IF(C2227=D2227,"⚠ debet = kredit","")))</f>
        <v/>
      </c>
    </row>
    <row r="2228" customFormat="false" ht="15" hidden="false" customHeight="false" outlineLevel="0" collapsed="false">
      <c r="A2228" s="5"/>
      <c r="B2228" s="83"/>
      <c r="C2228" s="5"/>
      <c r="D2228" s="5"/>
      <c r="E2228" s="44"/>
      <c r="F2228" s="5"/>
      <c r="G2228" s="5"/>
      <c r="H2228" s="5"/>
      <c r="I2228" s="5"/>
      <c r="J2228" s="102" t="str">
        <f aca="false">IF(B2228="","",MONTH(B2228))</f>
        <v/>
      </c>
      <c r="K2228" s="102" t="str">
        <f aca="false">IF(B2228="","",YEAR(B2228))</f>
        <v/>
      </c>
      <c r="L2228" s="102" t="str">
        <f aca="false">IF(N(E2228)=0,"",IF(COUNTIFS(AK_NAMA,C2228,AK_KAT,"KAS")+COUNTIFS(AK_NAMA,D2228,AK_KAT,"KAS")&lt;&gt;1,"",IF(COUNTIFS(AK_NAMA,C2228,AK_KAT,"KAS")=1,D2228,C2228)))</f>
        <v/>
      </c>
      <c r="M2228" s="103" t="n">
        <f aca="false">IF(L2228="",0,IF(L2228=D2228,E2228,-E2228))</f>
        <v>0</v>
      </c>
      <c r="N2228" s="102" t="str">
        <f aca="false">IF(L2228="","",IFERROR(INDEX(AK_BARIS,MATCH(L2228,AK_NAMA,0)),"?"))</f>
        <v/>
      </c>
      <c r="O2228" s="102" t="str">
        <f aca="false">IF(C2228="","",IFERROR(INDEX(AK_KEL,MATCH(C2228,AK_NAMA,0)),"?"))</f>
        <v/>
      </c>
      <c r="P2228" s="102" t="str">
        <f aca="false">IF(D2228="","",IFERROR(INDEX(AK_KEL,MATCH(D2228,AK_NAMA,0)),"?"))</f>
        <v/>
      </c>
      <c r="Q2228" s="102" t="n">
        <f aca="false">N(Q2227)+IF(AND(N(E2228)&lt;&gt;0,K2228=TAHUN,N(J2228)&lt;=BLN,OR(C2228=BB_AKUN,D2228=BB_AKUN)),1,0)</f>
        <v>877</v>
      </c>
      <c r="R2228" s="104" t="str">
        <f aca="false">IF(OR(C2228&amp;D2228="",N(E2228)=0),"",IF(OR(O2228="?",P2228="?"),"⚠ akun tidak dikenal",IF(C2228=D2228,"⚠ debet = kredit","")))</f>
        <v/>
      </c>
    </row>
    <row r="2229" customFormat="false" ht="15" hidden="false" customHeight="false" outlineLevel="0" collapsed="false">
      <c r="A2229" s="5"/>
      <c r="B2229" s="83"/>
      <c r="C2229" s="5"/>
      <c r="D2229" s="5"/>
      <c r="E2229" s="44"/>
      <c r="F2229" s="5"/>
      <c r="G2229" s="5"/>
      <c r="H2229" s="5"/>
      <c r="I2229" s="5"/>
      <c r="J2229" s="102" t="str">
        <f aca="false">IF(B2229="","",MONTH(B2229))</f>
        <v/>
      </c>
      <c r="K2229" s="102" t="str">
        <f aca="false">IF(B2229="","",YEAR(B2229))</f>
        <v/>
      </c>
      <c r="L2229" s="102" t="str">
        <f aca="false">IF(N(E2229)=0,"",IF(COUNTIFS(AK_NAMA,C2229,AK_KAT,"KAS")+COUNTIFS(AK_NAMA,D2229,AK_KAT,"KAS")&lt;&gt;1,"",IF(COUNTIFS(AK_NAMA,C2229,AK_KAT,"KAS")=1,D2229,C2229)))</f>
        <v/>
      </c>
      <c r="M2229" s="103" t="n">
        <f aca="false">IF(L2229="",0,IF(L2229=D2229,E2229,-E2229))</f>
        <v>0</v>
      </c>
      <c r="N2229" s="102" t="str">
        <f aca="false">IF(L2229="","",IFERROR(INDEX(AK_BARIS,MATCH(L2229,AK_NAMA,0)),"?"))</f>
        <v/>
      </c>
      <c r="O2229" s="102" t="str">
        <f aca="false">IF(C2229="","",IFERROR(INDEX(AK_KEL,MATCH(C2229,AK_NAMA,0)),"?"))</f>
        <v/>
      </c>
      <c r="P2229" s="102" t="str">
        <f aca="false">IF(D2229="","",IFERROR(INDEX(AK_KEL,MATCH(D2229,AK_NAMA,0)),"?"))</f>
        <v/>
      </c>
      <c r="Q2229" s="102" t="n">
        <f aca="false">N(Q2228)+IF(AND(N(E2229)&lt;&gt;0,K2229=TAHUN,N(J2229)&lt;=BLN,OR(C2229=BB_AKUN,D2229=BB_AKUN)),1,0)</f>
        <v>877</v>
      </c>
      <c r="R2229" s="104" t="str">
        <f aca="false">IF(OR(C2229&amp;D2229="",N(E2229)=0),"",IF(OR(O2229="?",P2229="?"),"⚠ akun tidak dikenal",IF(C2229=D2229,"⚠ debet = kredit","")))</f>
        <v/>
      </c>
    </row>
    <row r="2230" customFormat="false" ht="15" hidden="false" customHeight="false" outlineLevel="0" collapsed="false">
      <c r="A2230" s="5"/>
      <c r="B2230" s="83"/>
      <c r="C2230" s="5"/>
      <c r="D2230" s="5"/>
      <c r="E2230" s="44"/>
      <c r="F2230" s="5"/>
      <c r="G2230" s="5"/>
      <c r="H2230" s="5"/>
      <c r="I2230" s="5"/>
      <c r="J2230" s="102" t="str">
        <f aca="false">IF(B2230="","",MONTH(B2230))</f>
        <v/>
      </c>
      <c r="K2230" s="102" t="str">
        <f aca="false">IF(B2230="","",YEAR(B2230))</f>
        <v/>
      </c>
      <c r="L2230" s="102" t="str">
        <f aca="false">IF(N(E2230)=0,"",IF(COUNTIFS(AK_NAMA,C2230,AK_KAT,"KAS")+COUNTIFS(AK_NAMA,D2230,AK_KAT,"KAS")&lt;&gt;1,"",IF(COUNTIFS(AK_NAMA,C2230,AK_KAT,"KAS")=1,D2230,C2230)))</f>
        <v/>
      </c>
      <c r="M2230" s="103" t="n">
        <f aca="false">IF(L2230="",0,IF(L2230=D2230,E2230,-E2230))</f>
        <v>0</v>
      </c>
      <c r="N2230" s="102" t="str">
        <f aca="false">IF(L2230="","",IFERROR(INDEX(AK_BARIS,MATCH(L2230,AK_NAMA,0)),"?"))</f>
        <v/>
      </c>
      <c r="O2230" s="102" t="str">
        <f aca="false">IF(C2230="","",IFERROR(INDEX(AK_KEL,MATCH(C2230,AK_NAMA,0)),"?"))</f>
        <v/>
      </c>
      <c r="P2230" s="102" t="str">
        <f aca="false">IF(D2230="","",IFERROR(INDEX(AK_KEL,MATCH(D2230,AK_NAMA,0)),"?"))</f>
        <v/>
      </c>
      <c r="Q2230" s="102" t="n">
        <f aca="false">N(Q2229)+IF(AND(N(E2230)&lt;&gt;0,K2230=TAHUN,N(J2230)&lt;=BLN,OR(C2230=BB_AKUN,D2230=BB_AKUN)),1,0)</f>
        <v>877</v>
      </c>
      <c r="R2230" s="104" t="str">
        <f aca="false">IF(OR(C2230&amp;D2230="",N(E2230)=0),"",IF(OR(O2230="?",P2230="?"),"⚠ akun tidak dikenal",IF(C2230=D2230,"⚠ debet = kredit","")))</f>
        <v/>
      </c>
    </row>
    <row r="2231" customFormat="false" ht="15" hidden="false" customHeight="false" outlineLevel="0" collapsed="false">
      <c r="A2231" s="5"/>
      <c r="B2231" s="83"/>
      <c r="C2231" s="5"/>
      <c r="D2231" s="5"/>
      <c r="E2231" s="44"/>
      <c r="F2231" s="5"/>
      <c r="G2231" s="5"/>
      <c r="H2231" s="5"/>
      <c r="I2231" s="5"/>
      <c r="J2231" s="102" t="str">
        <f aca="false">IF(B2231="","",MONTH(B2231))</f>
        <v/>
      </c>
      <c r="K2231" s="102" t="str">
        <f aca="false">IF(B2231="","",YEAR(B2231))</f>
        <v/>
      </c>
      <c r="L2231" s="102" t="str">
        <f aca="false">IF(N(E2231)=0,"",IF(COUNTIFS(AK_NAMA,C2231,AK_KAT,"KAS")+COUNTIFS(AK_NAMA,D2231,AK_KAT,"KAS")&lt;&gt;1,"",IF(COUNTIFS(AK_NAMA,C2231,AK_KAT,"KAS")=1,D2231,C2231)))</f>
        <v/>
      </c>
      <c r="M2231" s="103" t="n">
        <f aca="false">IF(L2231="",0,IF(L2231=D2231,E2231,-E2231))</f>
        <v>0</v>
      </c>
      <c r="N2231" s="102" t="str">
        <f aca="false">IF(L2231="","",IFERROR(INDEX(AK_BARIS,MATCH(L2231,AK_NAMA,0)),"?"))</f>
        <v/>
      </c>
      <c r="O2231" s="102" t="str">
        <f aca="false">IF(C2231="","",IFERROR(INDEX(AK_KEL,MATCH(C2231,AK_NAMA,0)),"?"))</f>
        <v/>
      </c>
      <c r="P2231" s="102" t="str">
        <f aca="false">IF(D2231="","",IFERROR(INDEX(AK_KEL,MATCH(D2231,AK_NAMA,0)),"?"))</f>
        <v/>
      </c>
      <c r="Q2231" s="102" t="n">
        <f aca="false">N(Q2230)+IF(AND(N(E2231)&lt;&gt;0,K2231=TAHUN,N(J2231)&lt;=BLN,OR(C2231=BB_AKUN,D2231=BB_AKUN)),1,0)</f>
        <v>877</v>
      </c>
      <c r="R2231" s="104" t="str">
        <f aca="false">IF(OR(C2231&amp;D2231="",N(E2231)=0),"",IF(OR(O2231="?",P2231="?"),"⚠ akun tidak dikenal",IF(C2231=D2231,"⚠ debet = kredit","")))</f>
        <v/>
      </c>
    </row>
    <row r="2232" customFormat="false" ht="15" hidden="false" customHeight="false" outlineLevel="0" collapsed="false">
      <c r="A2232" s="5"/>
      <c r="B2232" s="83"/>
      <c r="C2232" s="5"/>
      <c r="D2232" s="5"/>
      <c r="E2232" s="44"/>
      <c r="F2232" s="5"/>
      <c r="G2232" s="5"/>
      <c r="H2232" s="5"/>
      <c r="I2232" s="5"/>
      <c r="J2232" s="102" t="str">
        <f aca="false">IF(B2232="","",MONTH(B2232))</f>
        <v/>
      </c>
      <c r="K2232" s="102" t="str">
        <f aca="false">IF(B2232="","",YEAR(B2232))</f>
        <v/>
      </c>
      <c r="L2232" s="102" t="str">
        <f aca="false">IF(N(E2232)=0,"",IF(COUNTIFS(AK_NAMA,C2232,AK_KAT,"KAS")+COUNTIFS(AK_NAMA,D2232,AK_KAT,"KAS")&lt;&gt;1,"",IF(COUNTIFS(AK_NAMA,C2232,AK_KAT,"KAS")=1,D2232,C2232)))</f>
        <v/>
      </c>
      <c r="M2232" s="103" t="n">
        <f aca="false">IF(L2232="",0,IF(L2232=D2232,E2232,-E2232))</f>
        <v>0</v>
      </c>
      <c r="N2232" s="102" t="str">
        <f aca="false">IF(L2232="","",IFERROR(INDEX(AK_BARIS,MATCH(L2232,AK_NAMA,0)),"?"))</f>
        <v/>
      </c>
      <c r="O2232" s="102" t="str">
        <f aca="false">IF(C2232="","",IFERROR(INDEX(AK_KEL,MATCH(C2232,AK_NAMA,0)),"?"))</f>
        <v/>
      </c>
      <c r="P2232" s="102" t="str">
        <f aca="false">IF(D2232="","",IFERROR(INDEX(AK_KEL,MATCH(D2232,AK_NAMA,0)),"?"))</f>
        <v/>
      </c>
      <c r="Q2232" s="102" t="n">
        <f aca="false">N(Q2231)+IF(AND(N(E2232)&lt;&gt;0,K2232=TAHUN,N(J2232)&lt;=BLN,OR(C2232=BB_AKUN,D2232=BB_AKUN)),1,0)</f>
        <v>877</v>
      </c>
      <c r="R2232" s="104" t="str">
        <f aca="false">IF(OR(C2232&amp;D2232="",N(E2232)=0),"",IF(OR(O2232="?",P2232="?"),"⚠ akun tidak dikenal",IF(C2232=D2232,"⚠ debet = kredit","")))</f>
        <v/>
      </c>
    </row>
    <row r="2233" customFormat="false" ht="15" hidden="false" customHeight="false" outlineLevel="0" collapsed="false">
      <c r="A2233" s="5"/>
      <c r="B2233" s="83"/>
      <c r="C2233" s="5"/>
      <c r="D2233" s="5"/>
      <c r="E2233" s="44"/>
      <c r="F2233" s="5"/>
      <c r="G2233" s="5"/>
      <c r="H2233" s="5"/>
      <c r="I2233" s="5"/>
      <c r="J2233" s="102" t="str">
        <f aca="false">IF(B2233="","",MONTH(B2233))</f>
        <v/>
      </c>
      <c r="K2233" s="102" t="str">
        <f aca="false">IF(B2233="","",YEAR(B2233))</f>
        <v/>
      </c>
      <c r="L2233" s="102" t="str">
        <f aca="false">IF(N(E2233)=0,"",IF(COUNTIFS(AK_NAMA,C2233,AK_KAT,"KAS")+COUNTIFS(AK_NAMA,D2233,AK_KAT,"KAS")&lt;&gt;1,"",IF(COUNTIFS(AK_NAMA,C2233,AK_KAT,"KAS")=1,D2233,C2233)))</f>
        <v/>
      </c>
      <c r="M2233" s="103" t="n">
        <f aca="false">IF(L2233="",0,IF(L2233=D2233,E2233,-E2233))</f>
        <v>0</v>
      </c>
      <c r="N2233" s="102" t="str">
        <f aca="false">IF(L2233="","",IFERROR(INDEX(AK_BARIS,MATCH(L2233,AK_NAMA,0)),"?"))</f>
        <v/>
      </c>
      <c r="O2233" s="102" t="str">
        <f aca="false">IF(C2233="","",IFERROR(INDEX(AK_KEL,MATCH(C2233,AK_NAMA,0)),"?"))</f>
        <v/>
      </c>
      <c r="P2233" s="102" t="str">
        <f aca="false">IF(D2233="","",IFERROR(INDEX(AK_KEL,MATCH(D2233,AK_NAMA,0)),"?"))</f>
        <v/>
      </c>
      <c r="Q2233" s="102" t="n">
        <f aca="false">N(Q2232)+IF(AND(N(E2233)&lt;&gt;0,K2233=TAHUN,N(J2233)&lt;=BLN,OR(C2233=BB_AKUN,D2233=BB_AKUN)),1,0)</f>
        <v>877</v>
      </c>
      <c r="R2233" s="104" t="str">
        <f aca="false">IF(OR(C2233&amp;D2233="",N(E2233)=0),"",IF(OR(O2233="?",P2233="?"),"⚠ akun tidak dikenal",IF(C2233=D2233,"⚠ debet = kredit","")))</f>
        <v/>
      </c>
    </row>
    <row r="2234" customFormat="false" ht="15" hidden="false" customHeight="false" outlineLevel="0" collapsed="false">
      <c r="A2234" s="5"/>
      <c r="B2234" s="83"/>
      <c r="C2234" s="5"/>
      <c r="D2234" s="5"/>
      <c r="E2234" s="44"/>
      <c r="F2234" s="5"/>
      <c r="G2234" s="5"/>
      <c r="H2234" s="5"/>
      <c r="I2234" s="5"/>
      <c r="J2234" s="102" t="str">
        <f aca="false">IF(B2234="","",MONTH(B2234))</f>
        <v/>
      </c>
      <c r="K2234" s="102" t="str">
        <f aca="false">IF(B2234="","",YEAR(B2234))</f>
        <v/>
      </c>
      <c r="L2234" s="102" t="str">
        <f aca="false">IF(N(E2234)=0,"",IF(COUNTIFS(AK_NAMA,C2234,AK_KAT,"KAS")+COUNTIFS(AK_NAMA,D2234,AK_KAT,"KAS")&lt;&gt;1,"",IF(COUNTIFS(AK_NAMA,C2234,AK_KAT,"KAS")=1,D2234,C2234)))</f>
        <v/>
      </c>
      <c r="M2234" s="103" t="n">
        <f aca="false">IF(L2234="",0,IF(L2234=D2234,E2234,-E2234))</f>
        <v>0</v>
      </c>
      <c r="N2234" s="102" t="str">
        <f aca="false">IF(L2234="","",IFERROR(INDEX(AK_BARIS,MATCH(L2234,AK_NAMA,0)),"?"))</f>
        <v/>
      </c>
      <c r="O2234" s="102" t="str">
        <f aca="false">IF(C2234="","",IFERROR(INDEX(AK_KEL,MATCH(C2234,AK_NAMA,0)),"?"))</f>
        <v/>
      </c>
      <c r="P2234" s="102" t="str">
        <f aca="false">IF(D2234="","",IFERROR(INDEX(AK_KEL,MATCH(D2234,AK_NAMA,0)),"?"))</f>
        <v/>
      </c>
      <c r="Q2234" s="102" t="n">
        <f aca="false">N(Q2233)+IF(AND(N(E2234)&lt;&gt;0,K2234=TAHUN,N(J2234)&lt;=BLN,OR(C2234=BB_AKUN,D2234=BB_AKUN)),1,0)</f>
        <v>877</v>
      </c>
      <c r="R2234" s="104" t="str">
        <f aca="false">IF(OR(C2234&amp;D2234="",N(E2234)=0),"",IF(OR(O2234="?",P2234="?"),"⚠ akun tidak dikenal",IF(C2234=D2234,"⚠ debet = kredit","")))</f>
        <v/>
      </c>
    </row>
    <row r="2235" customFormat="false" ht="15" hidden="false" customHeight="false" outlineLevel="0" collapsed="false">
      <c r="A2235" s="5"/>
      <c r="B2235" s="83"/>
      <c r="C2235" s="5"/>
      <c r="D2235" s="5"/>
      <c r="E2235" s="44"/>
      <c r="F2235" s="5"/>
      <c r="G2235" s="5"/>
      <c r="H2235" s="5"/>
      <c r="I2235" s="5"/>
      <c r="J2235" s="102" t="str">
        <f aca="false">IF(B2235="","",MONTH(B2235))</f>
        <v/>
      </c>
      <c r="K2235" s="102" t="str">
        <f aca="false">IF(B2235="","",YEAR(B2235))</f>
        <v/>
      </c>
      <c r="L2235" s="102" t="str">
        <f aca="false">IF(N(E2235)=0,"",IF(COUNTIFS(AK_NAMA,C2235,AK_KAT,"KAS")+COUNTIFS(AK_NAMA,D2235,AK_KAT,"KAS")&lt;&gt;1,"",IF(COUNTIFS(AK_NAMA,C2235,AK_KAT,"KAS")=1,D2235,C2235)))</f>
        <v/>
      </c>
      <c r="M2235" s="103" t="n">
        <f aca="false">IF(L2235="",0,IF(L2235=D2235,E2235,-E2235))</f>
        <v>0</v>
      </c>
      <c r="N2235" s="102" t="str">
        <f aca="false">IF(L2235="","",IFERROR(INDEX(AK_BARIS,MATCH(L2235,AK_NAMA,0)),"?"))</f>
        <v/>
      </c>
      <c r="O2235" s="102" t="str">
        <f aca="false">IF(C2235="","",IFERROR(INDEX(AK_KEL,MATCH(C2235,AK_NAMA,0)),"?"))</f>
        <v/>
      </c>
      <c r="P2235" s="102" t="str">
        <f aca="false">IF(D2235="","",IFERROR(INDEX(AK_KEL,MATCH(D2235,AK_NAMA,0)),"?"))</f>
        <v/>
      </c>
      <c r="Q2235" s="102" t="n">
        <f aca="false">N(Q2234)+IF(AND(N(E2235)&lt;&gt;0,K2235=TAHUN,N(J2235)&lt;=BLN,OR(C2235=BB_AKUN,D2235=BB_AKUN)),1,0)</f>
        <v>877</v>
      </c>
      <c r="R2235" s="104" t="str">
        <f aca="false">IF(OR(C2235&amp;D2235="",N(E2235)=0),"",IF(OR(O2235="?",P2235="?"),"⚠ akun tidak dikenal",IF(C2235=D2235,"⚠ debet = kredit","")))</f>
        <v/>
      </c>
    </row>
    <row r="2236" customFormat="false" ht="15" hidden="false" customHeight="false" outlineLevel="0" collapsed="false">
      <c r="A2236" s="5"/>
      <c r="B2236" s="83"/>
      <c r="C2236" s="5"/>
      <c r="D2236" s="5"/>
      <c r="E2236" s="44"/>
      <c r="F2236" s="5"/>
      <c r="G2236" s="5"/>
      <c r="H2236" s="5"/>
      <c r="I2236" s="5"/>
      <c r="J2236" s="102" t="str">
        <f aca="false">IF(B2236="","",MONTH(B2236))</f>
        <v/>
      </c>
      <c r="K2236" s="102" t="str">
        <f aca="false">IF(B2236="","",YEAR(B2236))</f>
        <v/>
      </c>
      <c r="L2236" s="102" t="str">
        <f aca="false">IF(N(E2236)=0,"",IF(COUNTIFS(AK_NAMA,C2236,AK_KAT,"KAS")+COUNTIFS(AK_NAMA,D2236,AK_KAT,"KAS")&lt;&gt;1,"",IF(COUNTIFS(AK_NAMA,C2236,AK_KAT,"KAS")=1,D2236,C2236)))</f>
        <v/>
      </c>
      <c r="M2236" s="103" t="n">
        <f aca="false">IF(L2236="",0,IF(L2236=D2236,E2236,-E2236))</f>
        <v>0</v>
      </c>
      <c r="N2236" s="102" t="str">
        <f aca="false">IF(L2236="","",IFERROR(INDEX(AK_BARIS,MATCH(L2236,AK_NAMA,0)),"?"))</f>
        <v/>
      </c>
      <c r="O2236" s="102" t="str">
        <f aca="false">IF(C2236="","",IFERROR(INDEX(AK_KEL,MATCH(C2236,AK_NAMA,0)),"?"))</f>
        <v/>
      </c>
      <c r="P2236" s="102" t="str">
        <f aca="false">IF(D2236="","",IFERROR(INDEX(AK_KEL,MATCH(D2236,AK_NAMA,0)),"?"))</f>
        <v/>
      </c>
      <c r="Q2236" s="102" t="n">
        <f aca="false">N(Q2235)+IF(AND(N(E2236)&lt;&gt;0,K2236=TAHUN,N(J2236)&lt;=BLN,OR(C2236=BB_AKUN,D2236=BB_AKUN)),1,0)</f>
        <v>877</v>
      </c>
      <c r="R2236" s="104" t="str">
        <f aca="false">IF(OR(C2236&amp;D2236="",N(E2236)=0),"",IF(OR(O2236="?",P2236="?"),"⚠ akun tidak dikenal",IF(C2236=D2236,"⚠ debet = kredit","")))</f>
        <v/>
      </c>
    </row>
    <row r="2237" customFormat="false" ht="15" hidden="false" customHeight="false" outlineLevel="0" collapsed="false">
      <c r="A2237" s="5"/>
      <c r="B2237" s="83"/>
      <c r="C2237" s="5"/>
      <c r="D2237" s="5"/>
      <c r="E2237" s="44"/>
      <c r="F2237" s="5"/>
      <c r="G2237" s="5"/>
      <c r="H2237" s="5"/>
      <c r="I2237" s="5"/>
      <c r="J2237" s="102" t="str">
        <f aca="false">IF(B2237="","",MONTH(B2237))</f>
        <v/>
      </c>
      <c r="K2237" s="102" t="str">
        <f aca="false">IF(B2237="","",YEAR(B2237))</f>
        <v/>
      </c>
      <c r="L2237" s="102" t="str">
        <f aca="false">IF(N(E2237)=0,"",IF(COUNTIFS(AK_NAMA,C2237,AK_KAT,"KAS")+COUNTIFS(AK_NAMA,D2237,AK_KAT,"KAS")&lt;&gt;1,"",IF(COUNTIFS(AK_NAMA,C2237,AK_KAT,"KAS")=1,D2237,C2237)))</f>
        <v/>
      </c>
      <c r="M2237" s="103" t="n">
        <f aca="false">IF(L2237="",0,IF(L2237=D2237,E2237,-E2237))</f>
        <v>0</v>
      </c>
      <c r="N2237" s="102" t="str">
        <f aca="false">IF(L2237="","",IFERROR(INDEX(AK_BARIS,MATCH(L2237,AK_NAMA,0)),"?"))</f>
        <v/>
      </c>
      <c r="O2237" s="102" t="str">
        <f aca="false">IF(C2237="","",IFERROR(INDEX(AK_KEL,MATCH(C2237,AK_NAMA,0)),"?"))</f>
        <v/>
      </c>
      <c r="P2237" s="102" t="str">
        <f aca="false">IF(D2237="","",IFERROR(INDEX(AK_KEL,MATCH(D2237,AK_NAMA,0)),"?"))</f>
        <v/>
      </c>
      <c r="Q2237" s="102" t="n">
        <f aca="false">N(Q2236)+IF(AND(N(E2237)&lt;&gt;0,K2237=TAHUN,N(J2237)&lt;=BLN,OR(C2237=BB_AKUN,D2237=BB_AKUN)),1,0)</f>
        <v>877</v>
      </c>
      <c r="R2237" s="104" t="str">
        <f aca="false">IF(OR(C2237&amp;D2237="",N(E2237)=0),"",IF(OR(O2237="?",P2237="?"),"⚠ akun tidak dikenal",IF(C2237=D2237,"⚠ debet = kredit","")))</f>
        <v/>
      </c>
    </row>
    <row r="2238" customFormat="false" ht="15" hidden="false" customHeight="false" outlineLevel="0" collapsed="false">
      <c r="A2238" s="5"/>
      <c r="B2238" s="83"/>
      <c r="C2238" s="5"/>
      <c r="D2238" s="5"/>
      <c r="E2238" s="44"/>
      <c r="F2238" s="5"/>
      <c r="G2238" s="5"/>
      <c r="H2238" s="5"/>
      <c r="I2238" s="5"/>
      <c r="J2238" s="102" t="str">
        <f aca="false">IF(B2238="","",MONTH(B2238))</f>
        <v/>
      </c>
      <c r="K2238" s="102" t="str">
        <f aca="false">IF(B2238="","",YEAR(B2238))</f>
        <v/>
      </c>
      <c r="L2238" s="102" t="str">
        <f aca="false">IF(N(E2238)=0,"",IF(COUNTIFS(AK_NAMA,C2238,AK_KAT,"KAS")+COUNTIFS(AK_NAMA,D2238,AK_KAT,"KAS")&lt;&gt;1,"",IF(COUNTIFS(AK_NAMA,C2238,AK_KAT,"KAS")=1,D2238,C2238)))</f>
        <v/>
      </c>
      <c r="M2238" s="103" t="n">
        <f aca="false">IF(L2238="",0,IF(L2238=D2238,E2238,-E2238))</f>
        <v>0</v>
      </c>
      <c r="N2238" s="102" t="str">
        <f aca="false">IF(L2238="","",IFERROR(INDEX(AK_BARIS,MATCH(L2238,AK_NAMA,0)),"?"))</f>
        <v/>
      </c>
      <c r="O2238" s="102" t="str">
        <f aca="false">IF(C2238="","",IFERROR(INDEX(AK_KEL,MATCH(C2238,AK_NAMA,0)),"?"))</f>
        <v/>
      </c>
      <c r="P2238" s="102" t="str">
        <f aca="false">IF(D2238="","",IFERROR(INDEX(AK_KEL,MATCH(D2238,AK_NAMA,0)),"?"))</f>
        <v/>
      </c>
      <c r="Q2238" s="102" t="n">
        <f aca="false">N(Q2237)+IF(AND(N(E2238)&lt;&gt;0,K2238=TAHUN,N(J2238)&lt;=BLN,OR(C2238=BB_AKUN,D2238=BB_AKUN)),1,0)</f>
        <v>877</v>
      </c>
      <c r="R2238" s="104" t="str">
        <f aca="false">IF(OR(C2238&amp;D2238="",N(E2238)=0),"",IF(OR(O2238="?",P2238="?"),"⚠ akun tidak dikenal",IF(C2238=D2238,"⚠ debet = kredit","")))</f>
        <v/>
      </c>
    </row>
    <row r="2239" customFormat="false" ht="15" hidden="false" customHeight="false" outlineLevel="0" collapsed="false">
      <c r="A2239" s="5"/>
      <c r="B2239" s="83"/>
      <c r="C2239" s="5"/>
      <c r="D2239" s="5"/>
      <c r="E2239" s="44"/>
      <c r="F2239" s="5"/>
      <c r="G2239" s="5"/>
      <c r="H2239" s="5"/>
      <c r="I2239" s="5"/>
      <c r="J2239" s="102" t="str">
        <f aca="false">IF(B2239="","",MONTH(B2239))</f>
        <v/>
      </c>
      <c r="K2239" s="102" t="str">
        <f aca="false">IF(B2239="","",YEAR(B2239))</f>
        <v/>
      </c>
      <c r="L2239" s="102" t="str">
        <f aca="false">IF(N(E2239)=0,"",IF(COUNTIFS(AK_NAMA,C2239,AK_KAT,"KAS")+COUNTIFS(AK_NAMA,D2239,AK_KAT,"KAS")&lt;&gt;1,"",IF(COUNTIFS(AK_NAMA,C2239,AK_KAT,"KAS")=1,D2239,C2239)))</f>
        <v/>
      </c>
      <c r="M2239" s="103" t="n">
        <f aca="false">IF(L2239="",0,IF(L2239=D2239,E2239,-E2239))</f>
        <v>0</v>
      </c>
      <c r="N2239" s="102" t="str">
        <f aca="false">IF(L2239="","",IFERROR(INDEX(AK_BARIS,MATCH(L2239,AK_NAMA,0)),"?"))</f>
        <v/>
      </c>
      <c r="O2239" s="102" t="str">
        <f aca="false">IF(C2239="","",IFERROR(INDEX(AK_KEL,MATCH(C2239,AK_NAMA,0)),"?"))</f>
        <v/>
      </c>
      <c r="P2239" s="102" t="str">
        <f aca="false">IF(D2239="","",IFERROR(INDEX(AK_KEL,MATCH(D2239,AK_NAMA,0)),"?"))</f>
        <v/>
      </c>
      <c r="Q2239" s="102" t="n">
        <f aca="false">N(Q2238)+IF(AND(N(E2239)&lt;&gt;0,K2239=TAHUN,N(J2239)&lt;=BLN,OR(C2239=BB_AKUN,D2239=BB_AKUN)),1,0)</f>
        <v>877</v>
      </c>
      <c r="R2239" s="104" t="str">
        <f aca="false">IF(OR(C2239&amp;D2239="",N(E2239)=0),"",IF(OR(O2239="?",P2239="?"),"⚠ akun tidak dikenal",IF(C2239=D2239,"⚠ debet = kredit","")))</f>
        <v/>
      </c>
    </row>
    <row r="2240" customFormat="false" ht="15" hidden="false" customHeight="false" outlineLevel="0" collapsed="false">
      <c r="A2240" s="5"/>
      <c r="B2240" s="83"/>
      <c r="C2240" s="5"/>
      <c r="D2240" s="5"/>
      <c r="E2240" s="44"/>
      <c r="F2240" s="5"/>
      <c r="G2240" s="5"/>
      <c r="H2240" s="5"/>
      <c r="I2240" s="5"/>
      <c r="J2240" s="102" t="str">
        <f aca="false">IF(B2240="","",MONTH(B2240))</f>
        <v/>
      </c>
      <c r="K2240" s="102" t="str">
        <f aca="false">IF(B2240="","",YEAR(B2240))</f>
        <v/>
      </c>
      <c r="L2240" s="102" t="str">
        <f aca="false">IF(N(E2240)=0,"",IF(COUNTIFS(AK_NAMA,C2240,AK_KAT,"KAS")+COUNTIFS(AK_NAMA,D2240,AK_KAT,"KAS")&lt;&gt;1,"",IF(COUNTIFS(AK_NAMA,C2240,AK_KAT,"KAS")=1,D2240,C2240)))</f>
        <v/>
      </c>
      <c r="M2240" s="103" t="n">
        <f aca="false">IF(L2240="",0,IF(L2240=D2240,E2240,-E2240))</f>
        <v>0</v>
      </c>
      <c r="N2240" s="102" t="str">
        <f aca="false">IF(L2240="","",IFERROR(INDEX(AK_BARIS,MATCH(L2240,AK_NAMA,0)),"?"))</f>
        <v/>
      </c>
      <c r="O2240" s="102" t="str">
        <f aca="false">IF(C2240="","",IFERROR(INDEX(AK_KEL,MATCH(C2240,AK_NAMA,0)),"?"))</f>
        <v/>
      </c>
      <c r="P2240" s="102" t="str">
        <f aca="false">IF(D2240="","",IFERROR(INDEX(AK_KEL,MATCH(D2240,AK_NAMA,0)),"?"))</f>
        <v/>
      </c>
      <c r="Q2240" s="102" t="n">
        <f aca="false">N(Q2239)+IF(AND(N(E2240)&lt;&gt;0,K2240=TAHUN,N(J2240)&lt;=BLN,OR(C2240=BB_AKUN,D2240=BB_AKUN)),1,0)</f>
        <v>877</v>
      </c>
      <c r="R2240" s="104" t="str">
        <f aca="false">IF(OR(C2240&amp;D2240="",N(E2240)=0),"",IF(OR(O2240="?",P2240="?"),"⚠ akun tidak dikenal",IF(C2240=D2240,"⚠ debet = kredit","")))</f>
        <v/>
      </c>
    </row>
    <row r="2241" customFormat="false" ht="15" hidden="false" customHeight="false" outlineLevel="0" collapsed="false">
      <c r="A2241" s="5"/>
      <c r="B2241" s="83"/>
      <c r="C2241" s="5"/>
      <c r="D2241" s="5"/>
      <c r="E2241" s="44"/>
      <c r="F2241" s="5"/>
      <c r="G2241" s="5"/>
      <c r="H2241" s="5"/>
      <c r="I2241" s="5"/>
      <c r="J2241" s="102" t="str">
        <f aca="false">IF(B2241="","",MONTH(B2241))</f>
        <v/>
      </c>
      <c r="K2241" s="102" t="str">
        <f aca="false">IF(B2241="","",YEAR(B2241))</f>
        <v/>
      </c>
      <c r="L2241" s="102" t="str">
        <f aca="false">IF(N(E2241)=0,"",IF(COUNTIFS(AK_NAMA,C2241,AK_KAT,"KAS")+COUNTIFS(AK_NAMA,D2241,AK_KAT,"KAS")&lt;&gt;1,"",IF(COUNTIFS(AK_NAMA,C2241,AK_KAT,"KAS")=1,D2241,C2241)))</f>
        <v/>
      </c>
      <c r="M2241" s="103" t="n">
        <f aca="false">IF(L2241="",0,IF(L2241=D2241,E2241,-E2241))</f>
        <v>0</v>
      </c>
      <c r="N2241" s="102" t="str">
        <f aca="false">IF(L2241="","",IFERROR(INDEX(AK_BARIS,MATCH(L2241,AK_NAMA,0)),"?"))</f>
        <v/>
      </c>
      <c r="O2241" s="102" t="str">
        <f aca="false">IF(C2241="","",IFERROR(INDEX(AK_KEL,MATCH(C2241,AK_NAMA,0)),"?"))</f>
        <v/>
      </c>
      <c r="P2241" s="102" t="str">
        <f aca="false">IF(D2241="","",IFERROR(INDEX(AK_KEL,MATCH(D2241,AK_NAMA,0)),"?"))</f>
        <v/>
      </c>
      <c r="Q2241" s="102" t="n">
        <f aca="false">N(Q2240)+IF(AND(N(E2241)&lt;&gt;0,K2241=TAHUN,N(J2241)&lt;=BLN,OR(C2241=BB_AKUN,D2241=BB_AKUN)),1,0)</f>
        <v>877</v>
      </c>
      <c r="R2241" s="104" t="str">
        <f aca="false">IF(OR(C2241&amp;D2241="",N(E2241)=0),"",IF(OR(O2241="?",P2241="?"),"⚠ akun tidak dikenal",IF(C2241=D2241,"⚠ debet = kredit","")))</f>
        <v/>
      </c>
    </row>
    <row r="2242" customFormat="false" ht="15" hidden="false" customHeight="false" outlineLevel="0" collapsed="false">
      <c r="A2242" s="5"/>
      <c r="B2242" s="83"/>
      <c r="C2242" s="5"/>
      <c r="D2242" s="5"/>
      <c r="E2242" s="44"/>
      <c r="F2242" s="5"/>
      <c r="G2242" s="5"/>
      <c r="H2242" s="5"/>
      <c r="I2242" s="5"/>
      <c r="J2242" s="102" t="str">
        <f aca="false">IF(B2242="","",MONTH(B2242))</f>
        <v/>
      </c>
      <c r="K2242" s="102" t="str">
        <f aca="false">IF(B2242="","",YEAR(B2242))</f>
        <v/>
      </c>
      <c r="L2242" s="102" t="str">
        <f aca="false">IF(N(E2242)=0,"",IF(COUNTIFS(AK_NAMA,C2242,AK_KAT,"KAS")+COUNTIFS(AK_NAMA,D2242,AK_KAT,"KAS")&lt;&gt;1,"",IF(COUNTIFS(AK_NAMA,C2242,AK_KAT,"KAS")=1,D2242,C2242)))</f>
        <v/>
      </c>
      <c r="M2242" s="103" t="n">
        <f aca="false">IF(L2242="",0,IF(L2242=D2242,E2242,-E2242))</f>
        <v>0</v>
      </c>
      <c r="N2242" s="102" t="str">
        <f aca="false">IF(L2242="","",IFERROR(INDEX(AK_BARIS,MATCH(L2242,AK_NAMA,0)),"?"))</f>
        <v/>
      </c>
      <c r="O2242" s="102" t="str">
        <f aca="false">IF(C2242="","",IFERROR(INDEX(AK_KEL,MATCH(C2242,AK_NAMA,0)),"?"))</f>
        <v/>
      </c>
      <c r="P2242" s="102" t="str">
        <f aca="false">IF(D2242="","",IFERROR(INDEX(AK_KEL,MATCH(D2242,AK_NAMA,0)),"?"))</f>
        <v/>
      </c>
      <c r="Q2242" s="102" t="n">
        <f aca="false">N(Q2241)+IF(AND(N(E2242)&lt;&gt;0,K2242=TAHUN,N(J2242)&lt;=BLN,OR(C2242=BB_AKUN,D2242=BB_AKUN)),1,0)</f>
        <v>877</v>
      </c>
      <c r="R2242" s="104" t="str">
        <f aca="false">IF(OR(C2242&amp;D2242="",N(E2242)=0),"",IF(OR(O2242="?",P2242="?"),"⚠ akun tidak dikenal",IF(C2242=D2242,"⚠ debet = kredit","")))</f>
        <v/>
      </c>
    </row>
    <row r="2243" customFormat="false" ht="15" hidden="false" customHeight="false" outlineLevel="0" collapsed="false">
      <c r="A2243" s="5"/>
      <c r="B2243" s="83"/>
      <c r="C2243" s="5"/>
      <c r="D2243" s="5"/>
      <c r="E2243" s="44"/>
      <c r="F2243" s="5"/>
      <c r="G2243" s="5"/>
      <c r="H2243" s="5"/>
      <c r="I2243" s="5"/>
      <c r="J2243" s="102" t="str">
        <f aca="false">IF(B2243="","",MONTH(B2243))</f>
        <v/>
      </c>
      <c r="K2243" s="102" t="str">
        <f aca="false">IF(B2243="","",YEAR(B2243))</f>
        <v/>
      </c>
      <c r="L2243" s="102" t="str">
        <f aca="false">IF(N(E2243)=0,"",IF(COUNTIFS(AK_NAMA,C2243,AK_KAT,"KAS")+COUNTIFS(AK_NAMA,D2243,AK_KAT,"KAS")&lt;&gt;1,"",IF(COUNTIFS(AK_NAMA,C2243,AK_KAT,"KAS")=1,D2243,C2243)))</f>
        <v/>
      </c>
      <c r="M2243" s="103" t="n">
        <f aca="false">IF(L2243="",0,IF(L2243=D2243,E2243,-E2243))</f>
        <v>0</v>
      </c>
      <c r="N2243" s="102" t="str">
        <f aca="false">IF(L2243="","",IFERROR(INDEX(AK_BARIS,MATCH(L2243,AK_NAMA,0)),"?"))</f>
        <v/>
      </c>
      <c r="O2243" s="102" t="str">
        <f aca="false">IF(C2243="","",IFERROR(INDEX(AK_KEL,MATCH(C2243,AK_NAMA,0)),"?"))</f>
        <v/>
      </c>
      <c r="P2243" s="102" t="str">
        <f aca="false">IF(D2243="","",IFERROR(INDEX(AK_KEL,MATCH(D2243,AK_NAMA,0)),"?"))</f>
        <v/>
      </c>
      <c r="Q2243" s="102" t="n">
        <f aca="false">N(Q2242)+IF(AND(N(E2243)&lt;&gt;0,K2243=TAHUN,N(J2243)&lt;=BLN,OR(C2243=BB_AKUN,D2243=BB_AKUN)),1,0)</f>
        <v>877</v>
      </c>
      <c r="R2243" s="104" t="str">
        <f aca="false">IF(OR(C2243&amp;D2243="",N(E2243)=0),"",IF(OR(O2243="?",P2243="?"),"⚠ akun tidak dikenal",IF(C2243=D2243,"⚠ debet = kredit","")))</f>
        <v/>
      </c>
    </row>
    <row r="2244" customFormat="false" ht="15" hidden="false" customHeight="false" outlineLevel="0" collapsed="false">
      <c r="A2244" s="5"/>
      <c r="B2244" s="83"/>
      <c r="C2244" s="5"/>
      <c r="D2244" s="5"/>
      <c r="E2244" s="44"/>
      <c r="F2244" s="5"/>
      <c r="G2244" s="5"/>
      <c r="H2244" s="5"/>
      <c r="I2244" s="5"/>
      <c r="J2244" s="102" t="str">
        <f aca="false">IF(B2244="","",MONTH(B2244))</f>
        <v/>
      </c>
      <c r="K2244" s="102" t="str">
        <f aca="false">IF(B2244="","",YEAR(B2244))</f>
        <v/>
      </c>
      <c r="L2244" s="102" t="str">
        <f aca="false">IF(N(E2244)=0,"",IF(COUNTIFS(AK_NAMA,C2244,AK_KAT,"KAS")+COUNTIFS(AK_NAMA,D2244,AK_KAT,"KAS")&lt;&gt;1,"",IF(COUNTIFS(AK_NAMA,C2244,AK_KAT,"KAS")=1,D2244,C2244)))</f>
        <v/>
      </c>
      <c r="M2244" s="103" t="n">
        <f aca="false">IF(L2244="",0,IF(L2244=D2244,E2244,-E2244))</f>
        <v>0</v>
      </c>
      <c r="N2244" s="102" t="str">
        <f aca="false">IF(L2244="","",IFERROR(INDEX(AK_BARIS,MATCH(L2244,AK_NAMA,0)),"?"))</f>
        <v/>
      </c>
      <c r="O2244" s="102" t="str">
        <f aca="false">IF(C2244="","",IFERROR(INDEX(AK_KEL,MATCH(C2244,AK_NAMA,0)),"?"))</f>
        <v/>
      </c>
      <c r="P2244" s="102" t="str">
        <f aca="false">IF(D2244="","",IFERROR(INDEX(AK_KEL,MATCH(D2244,AK_NAMA,0)),"?"))</f>
        <v/>
      </c>
      <c r="Q2244" s="102" t="n">
        <f aca="false">N(Q2243)+IF(AND(N(E2244)&lt;&gt;0,K2244=TAHUN,N(J2244)&lt;=BLN,OR(C2244=BB_AKUN,D2244=BB_AKUN)),1,0)</f>
        <v>877</v>
      </c>
      <c r="R2244" s="104" t="str">
        <f aca="false">IF(OR(C2244&amp;D2244="",N(E2244)=0),"",IF(OR(O2244="?",P2244="?"),"⚠ akun tidak dikenal",IF(C2244=D2244,"⚠ debet = kredit","")))</f>
        <v/>
      </c>
    </row>
    <row r="2245" customFormat="false" ht="15" hidden="false" customHeight="false" outlineLevel="0" collapsed="false">
      <c r="A2245" s="5"/>
      <c r="B2245" s="83"/>
      <c r="C2245" s="5"/>
      <c r="D2245" s="5"/>
      <c r="E2245" s="44"/>
      <c r="F2245" s="5"/>
      <c r="G2245" s="5"/>
      <c r="H2245" s="5"/>
      <c r="I2245" s="5"/>
      <c r="J2245" s="102" t="str">
        <f aca="false">IF(B2245="","",MONTH(B2245))</f>
        <v/>
      </c>
      <c r="K2245" s="102" t="str">
        <f aca="false">IF(B2245="","",YEAR(B2245))</f>
        <v/>
      </c>
      <c r="L2245" s="102" t="str">
        <f aca="false">IF(N(E2245)=0,"",IF(COUNTIFS(AK_NAMA,C2245,AK_KAT,"KAS")+COUNTIFS(AK_NAMA,D2245,AK_KAT,"KAS")&lt;&gt;1,"",IF(COUNTIFS(AK_NAMA,C2245,AK_KAT,"KAS")=1,D2245,C2245)))</f>
        <v/>
      </c>
      <c r="M2245" s="103" t="n">
        <f aca="false">IF(L2245="",0,IF(L2245=D2245,E2245,-E2245))</f>
        <v>0</v>
      </c>
      <c r="N2245" s="102" t="str">
        <f aca="false">IF(L2245="","",IFERROR(INDEX(AK_BARIS,MATCH(L2245,AK_NAMA,0)),"?"))</f>
        <v/>
      </c>
      <c r="O2245" s="102" t="str">
        <f aca="false">IF(C2245="","",IFERROR(INDEX(AK_KEL,MATCH(C2245,AK_NAMA,0)),"?"))</f>
        <v/>
      </c>
      <c r="P2245" s="102" t="str">
        <f aca="false">IF(D2245="","",IFERROR(INDEX(AK_KEL,MATCH(D2245,AK_NAMA,0)),"?"))</f>
        <v/>
      </c>
      <c r="Q2245" s="102" t="n">
        <f aca="false">N(Q2244)+IF(AND(N(E2245)&lt;&gt;0,K2245=TAHUN,N(J2245)&lt;=BLN,OR(C2245=BB_AKUN,D2245=BB_AKUN)),1,0)</f>
        <v>877</v>
      </c>
      <c r="R2245" s="104" t="str">
        <f aca="false">IF(OR(C2245&amp;D2245="",N(E2245)=0),"",IF(OR(O2245="?",P2245="?"),"⚠ akun tidak dikenal",IF(C2245=D2245,"⚠ debet = kredit","")))</f>
        <v/>
      </c>
    </row>
    <row r="2246" customFormat="false" ht="15" hidden="false" customHeight="false" outlineLevel="0" collapsed="false">
      <c r="A2246" s="5"/>
      <c r="B2246" s="83"/>
      <c r="C2246" s="5"/>
      <c r="D2246" s="5"/>
      <c r="E2246" s="44"/>
      <c r="F2246" s="5"/>
      <c r="G2246" s="5"/>
      <c r="H2246" s="5"/>
      <c r="I2246" s="5"/>
      <c r="J2246" s="102" t="str">
        <f aca="false">IF(B2246="","",MONTH(B2246))</f>
        <v/>
      </c>
      <c r="K2246" s="102" t="str">
        <f aca="false">IF(B2246="","",YEAR(B2246))</f>
        <v/>
      </c>
      <c r="L2246" s="102" t="str">
        <f aca="false">IF(N(E2246)=0,"",IF(COUNTIFS(AK_NAMA,C2246,AK_KAT,"KAS")+COUNTIFS(AK_NAMA,D2246,AK_KAT,"KAS")&lt;&gt;1,"",IF(COUNTIFS(AK_NAMA,C2246,AK_KAT,"KAS")=1,D2246,C2246)))</f>
        <v/>
      </c>
      <c r="M2246" s="103" t="n">
        <f aca="false">IF(L2246="",0,IF(L2246=D2246,E2246,-E2246))</f>
        <v>0</v>
      </c>
      <c r="N2246" s="102" t="str">
        <f aca="false">IF(L2246="","",IFERROR(INDEX(AK_BARIS,MATCH(L2246,AK_NAMA,0)),"?"))</f>
        <v/>
      </c>
      <c r="O2246" s="102" t="str">
        <f aca="false">IF(C2246="","",IFERROR(INDEX(AK_KEL,MATCH(C2246,AK_NAMA,0)),"?"))</f>
        <v/>
      </c>
      <c r="P2246" s="102" t="str">
        <f aca="false">IF(D2246="","",IFERROR(INDEX(AK_KEL,MATCH(D2246,AK_NAMA,0)),"?"))</f>
        <v/>
      </c>
      <c r="Q2246" s="102" t="n">
        <f aca="false">N(Q2245)+IF(AND(N(E2246)&lt;&gt;0,K2246=TAHUN,N(J2246)&lt;=BLN,OR(C2246=BB_AKUN,D2246=BB_AKUN)),1,0)</f>
        <v>877</v>
      </c>
      <c r="R2246" s="104" t="str">
        <f aca="false">IF(OR(C2246&amp;D2246="",N(E2246)=0),"",IF(OR(O2246="?",P2246="?"),"⚠ akun tidak dikenal",IF(C2246=D2246,"⚠ debet = kredit","")))</f>
        <v/>
      </c>
    </row>
    <row r="2247" customFormat="false" ht="15" hidden="false" customHeight="false" outlineLevel="0" collapsed="false">
      <c r="A2247" s="5"/>
      <c r="B2247" s="83"/>
      <c r="C2247" s="5"/>
      <c r="D2247" s="5"/>
      <c r="E2247" s="44"/>
      <c r="F2247" s="5"/>
      <c r="G2247" s="5"/>
      <c r="H2247" s="5"/>
      <c r="I2247" s="5"/>
      <c r="J2247" s="102" t="str">
        <f aca="false">IF(B2247="","",MONTH(B2247))</f>
        <v/>
      </c>
      <c r="K2247" s="102" t="str">
        <f aca="false">IF(B2247="","",YEAR(B2247))</f>
        <v/>
      </c>
      <c r="L2247" s="102" t="str">
        <f aca="false">IF(N(E2247)=0,"",IF(COUNTIFS(AK_NAMA,C2247,AK_KAT,"KAS")+COUNTIFS(AK_NAMA,D2247,AK_KAT,"KAS")&lt;&gt;1,"",IF(COUNTIFS(AK_NAMA,C2247,AK_KAT,"KAS")=1,D2247,C2247)))</f>
        <v/>
      </c>
      <c r="M2247" s="103" t="n">
        <f aca="false">IF(L2247="",0,IF(L2247=D2247,E2247,-E2247))</f>
        <v>0</v>
      </c>
      <c r="N2247" s="102" t="str">
        <f aca="false">IF(L2247="","",IFERROR(INDEX(AK_BARIS,MATCH(L2247,AK_NAMA,0)),"?"))</f>
        <v/>
      </c>
      <c r="O2247" s="102" t="str">
        <f aca="false">IF(C2247="","",IFERROR(INDEX(AK_KEL,MATCH(C2247,AK_NAMA,0)),"?"))</f>
        <v/>
      </c>
      <c r="P2247" s="102" t="str">
        <f aca="false">IF(D2247="","",IFERROR(INDEX(AK_KEL,MATCH(D2247,AK_NAMA,0)),"?"))</f>
        <v/>
      </c>
      <c r="Q2247" s="102" t="n">
        <f aca="false">N(Q2246)+IF(AND(N(E2247)&lt;&gt;0,K2247=TAHUN,N(J2247)&lt;=BLN,OR(C2247=BB_AKUN,D2247=BB_AKUN)),1,0)</f>
        <v>877</v>
      </c>
      <c r="R2247" s="104" t="str">
        <f aca="false">IF(OR(C2247&amp;D2247="",N(E2247)=0),"",IF(OR(O2247="?",P2247="?"),"⚠ akun tidak dikenal",IF(C2247=D2247,"⚠ debet = kredit","")))</f>
        <v/>
      </c>
    </row>
    <row r="2248" customFormat="false" ht="15" hidden="false" customHeight="false" outlineLevel="0" collapsed="false">
      <c r="A2248" s="5"/>
      <c r="B2248" s="83"/>
      <c r="C2248" s="5"/>
      <c r="D2248" s="5"/>
      <c r="E2248" s="44"/>
      <c r="F2248" s="5"/>
      <c r="G2248" s="5"/>
      <c r="H2248" s="5"/>
      <c r="I2248" s="5"/>
      <c r="J2248" s="102" t="str">
        <f aca="false">IF(B2248="","",MONTH(B2248))</f>
        <v/>
      </c>
      <c r="K2248" s="102" t="str">
        <f aca="false">IF(B2248="","",YEAR(B2248))</f>
        <v/>
      </c>
      <c r="L2248" s="102" t="str">
        <f aca="false">IF(N(E2248)=0,"",IF(COUNTIFS(AK_NAMA,C2248,AK_KAT,"KAS")+COUNTIFS(AK_NAMA,D2248,AK_KAT,"KAS")&lt;&gt;1,"",IF(COUNTIFS(AK_NAMA,C2248,AK_KAT,"KAS")=1,D2248,C2248)))</f>
        <v/>
      </c>
      <c r="M2248" s="103" t="n">
        <f aca="false">IF(L2248="",0,IF(L2248=D2248,E2248,-E2248))</f>
        <v>0</v>
      </c>
      <c r="N2248" s="102" t="str">
        <f aca="false">IF(L2248="","",IFERROR(INDEX(AK_BARIS,MATCH(L2248,AK_NAMA,0)),"?"))</f>
        <v/>
      </c>
      <c r="O2248" s="102" t="str">
        <f aca="false">IF(C2248="","",IFERROR(INDEX(AK_KEL,MATCH(C2248,AK_NAMA,0)),"?"))</f>
        <v/>
      </c>
      <c r="P2248" s="102" t="str">
        <f aca="false">IF(D2248="","",IFERROR(INDEX(AK_KEL,MATCH(D2248,AK_NAMA,0)),"?"))</f>
        <v/>
      </c>
      <c r="Q2248" s="102" t="n">
        <f aca="false">N(Q2247)+IF(AND(N(E2248)&lt;&gt;0,K2248=TAHUN,N(J2248)&lt;=BLN,OR(C2248=BB_AKUN,D2248=BB_AKUN)),1,0)</f>
        <v>877</v>
      </c>
      <c r="R2248" s="104" t="str">
        <f aca="false">IF(OR(C2248&amp;D2248="",N(E2248)=0),"",IF(OR(O2248="?",P2248="?"),"⚠ akun tidak dikenal",IF(C2248=D2248,"⚠ debet = kredit","")))</f>
        <v/>
      </c>
    </row>
    <row r="2249" customFormat="false" ht="15" hidden="false" customHeight="false" outlineLevel="0" collapsed="false">
      <c r="A2249" s="5"/>
      <c r="B2249" s="83"/>
      <c r="C2249" s="5"/>
      <c r="D2249" s="5"/>
      <c r="E2249" s="44"/>
      <c r="F2249" s="5"/>
      <c r="G2249" s="5"/>
      <c r="H2249" s="5"/>
      <c r="I2249" s="5"/>
      <c r="J2249" s="102" t="str">
        <f aca="false">IF(B2249="","",MONTH(B2249))</f>
        <v/>
      </c>
      <c r="K2249" s="102" t="str">
        <f aca="false">IF(B2249="","",YEAR(B2249))</f>
        <v/>
      </c>
      <c r="L2249" s="102" t="str">
        <f aca="false">IF(N(E2249)=0,"",IF(COUNTIFS(AK_NAMA,C2249,AK_KAT,"KAS")+COUNTIFS(AK_NAMA,D2249,AK_KAT,"KAS")&lt;&gt;1,"",IF(COUNTIFS(AK_NAMA,C2249,AK_KAT,"KAS")=1,D2249,C2249)))</f>
        <v/>
      </c>
      <c r="M2249" s="103" t="n">
        <f aca="false">IF(L2249="",0,IF(L2249=D2249,E2249,-E2249))</f>
        <v>0</v>
      </c>
      <c r="N2249" s="102" t="str">
        <f aca="false">IF(L2249="","",IFERROR(INDEX(AK_BARIS,MATCH(L2249,AK_NAMA,0)),"?"))</f>
        <v/>
      </c>
      <c r="O2249" s="102" t="str">
        <f aca="false">IF(C2249="","",IFERROR(INDEX(AK_KEL,MATCH(C2249,AK_NAMA,0)),"?"))</f>
        <v/>
      </c>
      <c r="P2249" s="102" t="str">
        <f aca="false">IF(D2249="","",IFERROR(INDEX(AK_KEL,MATCH(D2249,AK_NAMA,0)),"?"))</f>
        <v/>
      </c>
      <c r="Q2249" s="102" t="n">
        <f aca="false">N(Q2248)+IF(AND(N(E2249)&lt;&gt;0,K2249=TAHUN,N(J2249)&lt;=BLN,OR(C2249=BB_AKUN,D2249=BB_AKUN)),1,0)</f>
        <v>877</v>
      </c>
      <c r="R2249" s="104" t="str">
        <f aca="false">IF(OR(C2249&amp;D2249="",N(E2249)=0),"",IF(OR(O2249="?",P2249="?"),"⚠ akun tidak dikenal",IF(C2249=D2249,"⚠ debet = kredit","")))</f>
        <v/>
      </c>
    </row>
    <row r="2250" customFormat="false" ht="15" hidden="false" customHeight="false" outlineLevel="0" collapsed="false">
      <c r="A2250" s="5"/>
      <c r="B2250" s="83"/>
      <c r="C2250" s="5"/>
      <c r="D2250" s="5"/>
      <c r="E2250" s="44"/>
      <c r="F2250" s="5"/>
      <c r="G2250" s="5"/>
      <c r="H2250" s="5"/>
      <c r="I2250" s="5"/>
      <c r="J2250" s="102" t="str">
        <f aca="false">IF(B2250="","",MONTH(B2250))</f>
        <v/>
      </c>
      <c r="K2250" s="102" t="str">
        <f aca="false">IF(B2250="","",YEAR(B2250))</f>
        <v/>
      </c>
      <c r="L2250" s="102" t="str">
        <f aca="false">IF(N(E2250)=0,"",IF(COUNTIFS(AK_NAMA,C2250,AK_KAT,"KAS")+COUNTIFS(AK_NAMA,D2250,AK_KAT,"KAS")&lt;&gt;1,"",IF(COUNTIFS(AK_NAMA,C2250,AK_KAT,"KAS")=1,D2250,C2250)))</f>
        <v/>
      </c>
      <c r="M2250" s="103" t="n">
        <f aca="false">IF(L2250="",0,IF(L2250=D2250,E2250,-E2250))</f>
        <v>0</v>
      </c>
      <c r="N2250" s="102" t="str">
        <f aca="false">IF(L2250="","",IFERROR(INDEX(AK_BARIS,MATCH(L2250,AK_NAMA,0)),"?"))</f>
        <v/>
      </c>
      <c r="O2250" s="102" t="str">
        <f aca="false">IF(C2250="","",IFERROR(INDEX(AK_KEL,MATCH(C2250,AK_NAMA,0)),"?"))</f>
        <v/>
      </c>
      <c r="P2250" s="102" t="str">
        <f aca="false">IF(D2250="","",IFERROR(INDEX(AK_KEL,MATCH(D2250,AK_NAMA,0)),"?"))</f>
        <v/>
      </c>
      <c r="Q2250" s="102" t="n">
        <f aca="false">N(Q2249)+IF(AND(N(E2250)&lt;&gt;0,K2250=TAHUN,N(J2250)&lt;=BLN,OR(C2250=BB_AKUN,D2250=BB_AKUN)),1,0)</f>
        <v>877</v>
      </c>
      <c r="R2250" s="104" t="str">
        <f aca="false">IF(OR(C2250&amp;D2250="",N(E2250)=0),"",IF(OR(O2250="?",P2250="?"),"⚠ akun tidak dikenal",IF(C2250=D2250,"⚠ debet = kredit","")))</f>
        <v/>
      </c>
    </row>
    <row r="2251" customFormat="false" ht="15" hidden="false" customHeight="false" outlineLevel="0" collapsed="false">
      <c r="A2251" s="5"/>
      <c r="B2251" s="83"/>
      <c r="C2251" s="5"/>
      <c r="D2251" s="5"/>
      <c r="E2251" s="44"/>
      <c r="F2251" s="5"/>
      <c r="G2251" s="5"/>
      <c r="H2251" s="5"/>
      <c r="I2251" s="5"/>
      <c r="J2251" s="102" t="str">
        <f aca="false">IF(B2251="","",MONTH(B2251))</f>
        <v/>
      </c>
      <c r="K2251" s="102" t="str">
        <f aca="false">IF(B2251="","",YEAR(B2251))</f>
        <v/>
      </c>
      <c r="L2251" s="102" t="str">
        <f aca="false">IF(N(E2251)=0,"",IF(COUNTIFS(AK_NAMA,C2251,AK_KAT,"KAS")+COUNTIFS(AK_NAMA,D2251,AK_KAT,"KAS")&lt;&gt;1,"",IF(COUNTIFS(AK_NAMA,C2251,AK_KAT,"KAS")=1,D2251,C2251)))</f>
        <v/>
      </c>
      <c r="M2251" s="103" t="n">
        <f aca="false">IF(L2251="",0,IF(L2251=D2251,E2251,-E2251))</f>
        <v>0</v>
      </c>
      <c r="N2251" s="102" t="str">
        <f aca="false">IF(L2251="","",IFERROR(INDEX(AK_BARIS,MATCH(L2251,AK_NAMA,0)),"?"))</f>
        <v/>
      </c>
      <c r="O2251" s="102" t="str">
        <f aca="false">IF(C2251="","",IFERROR(INDEX(AK_KEL,MATCH(C2251,AK_NAMA,0)),"?"))</f>
        <v/>
      </c>
      <c r="P2251" s="102" t="str">
        <f aca="false">IF(D2251="","",IFERROR(INDEX(AK_KEL,MATCH(D2251,AK_NAMA,0)),"?"))</f>
        <v/>
      </c>
      <c r="Q2251" s="102" t="n">
        <f aca="false">N(Q2250)+IF(AND(N(E2251)&lt;&gt;0,K2251=TAHUN,N(J2251)&lt;=BLN,OR(C2251=BB_AKUN,D2251=BB_AKUN)),1,0)</f>
        <v>877</v>
      </c>
      <c r="R2251" s="104" t="str">
        <f aca="false">IF(OR(C2251&amp;D2251="",N(E2251)=0),"",IF(OR(O2251="?",P2251="?"),"⚠ akun tidak dikenal",IF(C2251=D2251,"⚠ debet = kredit","")))</f>
        <v/>
      </c>
    </row>
    <row r="2252" customFormat="false" ht="15" hidden="false" customHeight="false" outlineLevel="0" collapsed="false">
      <c r="A2252" s="5"/>
      <c r="B2252" s="83"/>
      <c r="C2252" s="5"/>
      <c r="D2252" s="5"/>
      <c r="E2252" s="44"/>
      <c r="F2252" s="5"/>
      <c r="G2252" s="5"/>
      <c r="H2252" s="5"/>
      <c r="I2252" s="5"/>
      <c r="J2252" s="102" t="str">
        <f aca="false">IF(B2252="","",MONTH(B2252))</f>
        <v/>
      </c>
      <c r="K2252" s="102" t="str">
        <f aca="false">IF(B2252="","",YEAR(B2252))</f>
        <v/>
      </c>
      <c r="L2252" s="102" t="str">
        <f aca="false">IF(N(E2252)=0,"",IF(COUNTIFS(AK_NAMA,C2252,AK_KAT,"KAS")+COUNTIFS(AK_NAMA,D2252,AK_KAT,"KAS")&lt;&gt;1,"",IF(COUNTIFS(AK_NAMA,C2252,AK_KAT,"KAS")=1,D2252,C2252)))</f>
        <v/>
      </c>
      <c r="M2252" s="103" t="n">
        <f aca="false">IF(L2252="",0,IF(L2252=D2252,E2252,-E2252))</f>
        <v>0</v>
      </c>
      <c r="N2252" s="102" t="str">
        <f aca="false">IF(L2252="","",IFERROR(INDEX(AK_BARIS,MATCH(L2252,AK_NAMA,0)),"?"))</f>
        <v/>
      </c>
      <c r="O2252" s="102" t="str">
        <f aca="false">IF(C2252="","",IFERROR(INDEX(AK_KEL,MATCH(C2252,AK_NAMA,0)),"?"))</f>
        <v/>
      </c>
      <c r="P2252" s="102" t="str">
        <f aca="false">IF(D2252="","",IFERROR(INDEX(AK_KEL,MATCH(D2252,AK_NAMA,0)),"?"))</f>
        <v/>
      </c>
      <c r="Q2252" s="102" t="n">
        <f aca="false">N(Q2251)+IF(AND(N(E2252)&lt;&gt;0,K2252=TAHUN,N(J2252)&lt;=BLN,OR(C2252=BB_AKUN,D2252=BB_AKUN)),1,0)</f>
        <v>877</v>
      </c>
      <c r="R2252" s="104" t="str">
        <f aca="false">IF(OR(C2252&amp;D2252="",N(E2252)=0),"",IF(OR(O2252="?",P2252="?"),"⚠ akun tidak dikenal",IF(C2252=D2252,"⚠ debet = kredit","")))</f>
        <v/>
      </c>
    </row>
    <row r="2253" customFormat="false" ht="15" hidden="false" customHeight="false" outlineLevel="0" collapsed="false">
      <c r="A2253" s="5"/>
      <c r="B2253" s="83"/>
      <c r="C2253" s="5"/>
      <c r="D2253" s="5"/>
      <c r="E2253" s="44"/>
      <c r="F2253" s="5"/>
      <c r="G2253" s="5"/>
      <c r="H2253" s="5"/>
      <c r="I2253" s="5"/>
      <c r="J2253" s="102" t="str">
        <f aca="false">IF(B2253="","",MONTH(B2253))</f>
        <v/>
      </c>
      <c r="K2253" s="102" t="str">
        <f aca="false">IF(B2253="","",YEAR(B2253))</f>
        <v/>
      </c>
      <c r="L2253" s="102" t="str">
        <f aca="false">IF(N(E2253)=0,"",IF(COUNTIFS(AK_NAMA,C2253,AK_KAT,"KAS")+COUNTIFS(AK_NAMA,D2253,AK_KAT,"KAS")&lt;&gt;1,"",IF(COUNTIFS(AK_NAMA,C2253,AK_KAT,"KAS")=1,D2253,C2253)))</f>
        <v/>
      </c>
      <c r="M2253" s="103" t="n">
        <f aca="false">IF(L2253="",0,IF(L2253=D2253,E2253,-E2253))</f>
        <v>0</v>
      </c>
      <c r="N2253" s="102" t="str">
        <f aca="false">IF(L2253="","",IFERROR(INDEX(AK_BARIS,MATCH(L2253,AK_NAMA,0)),"?"))</f>
        <v/>
      </c>
      <c r="O2253" s="102" t="str">
        <f aca="false">IF(C2253="","",IFERROR(INDEX(AK_KEL,MATCH(C2253,AK_NAMA,0)),"?"))</f>
        <v/>
      </c>
      <c r="P2253" s="102" t="str">
        <f aca="false">IF(D2253="","",IFERROR(INDEX(AK_KEL,MATCH(D2253,AK_NAMA,0)),"?"))</f>
        <v/>
      </c>
      <c r="Q2253" s="102" t="n">
        <f aca="false">N(Q2252)+IF(AND(N(E2253)&lt;&gt;0,K2253=TAHUN,N(J2253)&lt;=BLN,OR(C2253=BB_AKUN,D2253=BB_AKUN)),1,0)</f>
        <v>877</v>
      </c>
      <c r="R2253" s="104" t="str">
        <f aca="false">IF(OR(C2253&amp;D2253="",N(E2253)=0),"",IF(OR(O2253="?",P2253="?"),"⚠ akun tidak dikenal",IF(C2253=D2253,"⚠ debet = kredit","")))</f>
        <v/>
      </c>
    </row>
    <row r="2254" customFormat="false" ht="15" hidden="false" customHeight="false" outlineLevel="0" collapsed="false">
      <c r="A2254" s="5"/>
      <c r="B2254" s="83"/>
      <c r="C2254" s="5"/>
      <c r="D2254" s="5"/>
      <c r="E2254" s="44"/>
      <c r="F2254" s="5"/>
      <c r="G2254" s="5"/>
      <c r="H2254" s="5"/>
      <c r="I2254" s="5"/>
      <c r="J2254" s="102" t="str">
        <f aca="false">IF(B2254="","",MONTH(B2254))</f>
        <v/>
      </c>
      <c r="K2254" s="102" t="str">
        <f aca="false">IF(B2254="","",YEAR(B2254))</f>
        <v/>
      </c>
      <c r="L2254" s="102" t="str">
        <f aca="false">IF(N(E2254)=0,"",IF(COUNTIFS(AK_NAMA,C2254,AK_KAT,"KAS")+COUNTIFS(AK_NAMA,D2254,AK_KAT,"KAS")&lt;&gt;1,"",IF(COUNTIFS(AK_NAMA,C2254,AK_KAT,"KAS")=1,D2254,C2254)))</f>
        <v/>
      </c>
      <c r="M2254" s="103" t="n">
        <f aca="false">IF(L2254="",0,IF(L2254=D2254,E2254,-E2254))</f>
        <v>0</v>
      </c>
      <c r="N2254" s="102" t="str">
        <f aca="false">IF(L2254="","",IFERROR(INDEX(AK_BARIS,MATCH(L2254,AK_NAMA,0)),"?"))</f>
        <v/>
      </c>
      <c r="O2254" s="102" t="str">
        <f aca="false">IF(C2254="","",IFERROR(INDEX(AK_KEL,MATCH(C2254,AK_NAMA,0)),"?"))</f>
        <v/>
      </c>
      <c r="P2254" s="102" t="str">
        <f aca="false">IF(D2254="","",IFERROR(INDEX(AK_KEL,MATCH(D2254,AK_NAMA,0)),"?"))</f>
        <v/>
      </c>
      <c r="Q2254" s="102" t="n">
        <f aca="false">N(Q2253)+IF(AND(N(E2254)&lt;&gt;0,K2254=TAHUN,N(J2254)&lt;=BLN,OR(C2254=BB_AKUN,D2254=BB_AKUN)),1,0)</f>
        <v>877</v>
      </c>
      <c r="R2254" s="104" t="str">
        <f aca="false">IF(OR(C2254&amp;D2254="",N(E2254)=0),"",IF(OR(O2254="?",P2254="?"),"⚠ akun tidak dikenal",IF(C2254=D2254,"⚠ debet = kredit","")))</f>
        <v/>
      </c>
    </row>
    <row r="2255" customFormat="false" ht="15" hidden="false" customHeight="false" outlineLevel="0" collapsed="false">
      <c r="A2255" s="5"/>
      <c r="B2255" s="83"/>
      <c r="C2255" s="5"/>
      <c r="D2255" s="5"/>
      <c r="E2255" s="44"/>
      <c r="F2255" s="5"/>
      <c r="G2255" s="5"/>
      <c r="H2255" s="5"/>
      <c r="I2255" s="5"/>
      <c r="J2255" s="102" t="str">
        <f aca="false">IF(B2255="","",MONTH(B2255))</f>
        <v/>
      </c>
      <c r="K2255" s="102" t="str">
        <f aca="false">IF(B2255="","",YEAR(B2255))</f>
        <v/>
      </c>
      <c r="L2255" s="102" t="str">
        <f aca="false">IF(N(E2255)=0,"",IF(COUNTIFS(AK_NAMA,C2255,AK_KAT,"KAS")+COUNTIFS(AK_NAMA,D2255,AK_KAT,"KAS")&lt;&gt;1,"",IF(COUNTIFS(AK_NAMA,C2255,AK_KAT,"KAS")=1,D2255,C2255)))</f>
        <v/>
      </c>
      <c r="M2255" s="103" t="n">
        <f aca="false">IF(L2255="",0,IF(L2255=D2255,E2255,-E2255))</f>
        <v>0</v>
      </c>
      <c r="N2255" s="102" t="str">
        <f aca="false">IF(L2255="","",IFERROR(INDEX(AK_BARIS,MATCH(L2255,AK_NAMA,0)),"?"))</f>
        <v/>
      </c>
      <c r="O2255" s="102" t="str">
        <f aca="false">IF(C2255="","",IFERROR(INDEX(AK_KEL,MATCH(C2255,AK_NAMA,0)),"?"))</f>
        <v/>
      </c>
      <c r="P2255" s="102" t="str">
        <f aca="false">IF(D2255="","",IFERROR(INDEX(AK_KEL,MATCH(D2255,AK_NAMA,0)),"?"))</f>
        <v/>
      </c>
      <c r="Q2255" s="102" t="n">
        <f aca="false">N(Q2254)+IF(AND(N(E2255)&lt;&gt;0,K2255=TAHUN,N(J2255)&lt;=BLN,OR(C2255=BB_AKUN,D2255=BB_AKUN)),1,0)</f>
        <v>877</v>
      </c>
      <c r="R2255" s="104" t="str">
        <f aca="false">IF(OR(C2255&amp;D2255="",N(E2255)=0),"",IF(OR(O2255="?",P2255="?"),"⚠ akun tidak dikenal",IF(C2255=D2255,"⚠ debet = kredit","")))</f>
        <v/>
      </c>
    </row>
    <row r="2256" customFormat="false" ht="15" hidden="false" customHeight="false" outlineLevel="0" collapsed="false">
      <c r="A2256" s="5"/>
      <c r="B2256" s="83"/>
      <c r="C2256" s="5"/>
      <c r="D2256" s="5"/>
      <c r="E2256" s="44"/>
      <c r="F2256" s="5"/>
      <c r="G2256" s="5"/>
      <c r="H2256" s="5"/>
      <c r="I2256" s="5"/>
      <c r="J2256" s="102" t="str">
        <f aca="false">IF(B2256="","",MONTH(B2256))</f>
        <v/>
      </c>
      <c r="K2256" s="102" t="str">
        <f aca="false">IF(B2256="","",YEAR(B2256))</f>
        <v/>
      </c>
      <c r="L2256" s="102" t="str">
        <f aca="false">IF(N(E2256)=0,"",IF(COUNTIFS(AK_NAMA,C2256,AK_KAT,"KAS")+COUNTIFS(AK_NAMA,D2256,AK_KAT,"KAS")&lt;&gt;1,"",IF(COUNTIFS(AK_NAMA,C2256,AK_KAT,"KAS")=1,D2256,C2256)))</f>
        <v/>
      </c>
      <c r="M2256" s="103" t="n">
        <f aca="false">IF(L2256="",0,IF(L2256=D2256,E2256,-E2256))</f>
        <v>0</v>
      </c>
      <c r="N2256" s="102" t="str">
        <f aca="false">IF(L2256="","",IFERROR(INDEX(AK_BARIS,MATCH(L2256,AK_NAMA,0)),"?"))</f>
        <v/>
      </c>
      <c r="O2256" s="102" t="str">
        <f aca="false">IF(C2256="","",IFERROR(INDEX(AK_KEL,MATCH(C2256,AK_NAMA,0)),"?"))</f>
        <v/>
      </c>
      <c r="P2256" s="102" t="str">
        <f aca="false">IF(D2256="","",IFERROR(INDEX(AK_KEL,MATCH(D2256,AK_NAMA,0)),"?"))</f>
        <v/>
      </c>
      <c r="Q2256" s="102" t="n">
        <f aca="false">N(Q2255)+IF(AND(N(E2256)&lt;&gt;0,K2256=TAHUN,N(J2256)&lt;=BLN,OR(C2256=BB_AKUN,D2256=BB_AKUN)),1,0)</f>
        <v>877</v>
      </c>
      <c r="R2256" s="104" t="str">
        <f aca="false">IF(OR(C2256&amp;D2256="",N(E2256)=0),"",IF(OR(O2256="?",P2256="?"),"⚠ akun tidak dikenal",IF(C2256=D2256,"⚠ debet = kredit","")))</f>
        <v/>
      </c>
    </row>
    <row r="2257" customFormat="false" ht="15" hidden="false" customHeight="false" outlineLevel="0" collapsed="false">
      <c r="A2257" s="5"/>
      <c r="B2257" s="83"/>
      <c r="C2257" s="5"/>
      <c r="D2257" s="5"/>
      <c r="E2257" s="44"/>
      <c r="F2257" s="5"/>
      <c r="G2257" s="5"/>
      <c r="H2257" s="5"/>
      <c r="I2257" s="5"/>
      <c r="J2257" s="102" t="str">
        <f aca="false">IF(B2257="","",MONTH(B2257))</f>
        <v/>
      </c>
      <c r="K2257" s="102" t="str">
        <f aca="false">IF(B2257="","",YEAR(B2257))</f>
        <v/>
      </c>
      <c r="L2257" s="102" t="str">
        <f aca="false">IF(N(E2257)=0,"",IF(COUNTIFS(AK_NAMA,C2257,AK_KAT,"KAS")+COUNTIFS(AK_NAMA,D2257,AK_KAT,"KAS")&lt;&gt;1,"",IF(COUNTIFS(AK_NAMA,C2257,AK_KAT,"KAS")=1,D2257,C2257)))</f>
        <v/>
      </c>
      <c r="M2257" s="103" t="n">
        <f aca="false">IF(L2257="",0,IF(L2257=D2257,E2257,-E2257))</f>
        <v>0</v>
      </c>
      <c r="N2257" s="102" t="str">
        <f aca="false">IF(L2257="","",IFERROR(INDEX(AK_BARIS,MATCH(L2257,AK_NAMA,0)),"?"))</f>
        <v/>
      </c>
      <c r="O2257" s="102" t="str">
        <f aca="false">IF(C2257="","",IFERROR(INDEX(AK_KEL,MATCH(C2257,AK_NAMA,0)),"?"))</f>
        <v/>
      </c>
      <c r="P2257" s="102" t="str">
        <f aca="false">IF(D2257="","",IFERROR(INDEX(AK_KEL,MATCH(D2257,AK_NAMA,0)),"?"))</f>
        <v/>
      </c>
      <c r="Q2257" s="102" t="n">
        <f aca="false">N(Q2256)+IF(AND(N(E2257)&lt;&gt;0,K2257=TAHUN,N(J2257)&lt;=BLN,OR(C2257=BB_AKUN,D2257=BB_AKUN)),1,0)</f>
        <v>877</v>
      </c>
      <c r="R2257" s="104" t="str">
        <f aca="false">IF(OR(C2257&amp;D2257="",N(E2257)=0),"",IF(OR(O2257="?",P2257="?"),"⚠ akun tidak dikenal",IF(C2257=D2257,"⚠ debet = kredit","")))</f>
        <v/>
      </c>
    </row>
    <row r="2258" customFormat="false" ht="15" hidden="false" customHeight="false" outlineLevel="0" collapsed="false">
      <c r="A2258" s="5"/>
      <c r="B2258" s="83"/>
      <c r="C2258" s="5"/>
      <c r="D2258" s="5"/>
      <c r="E2258" s="44"/>
      <c r="F2258" s="5"/>
      <c r="G2258" s="5"/>
      <c r="H2258" s="5"/>
      <c r="I2258" s="5"/>
      <c r="J2258" s="102" t="str">
        <f aca="false">IF(B2258="","",MONTH(B2258))</f>
        <v/>
      </c>
      <c r="K2258" s="102" t="str">
        <f aca="false">IF(B2258="","",YEAR(B2258))</f>
        <v/>
      </c>
      <c r="L2258" s="102" t="str">
        <f aca="false">IF(N(E2258)=0,"",IF(COUNTIFS(AK_NAMA,C2258,AK_KAT,"KAS")+COUNTIFS(AK_NAMA,D2258,AK_KAT,"KAS")&lt;&gt;1,"",IF(COUNTIFS(AK_NAMA,C2258,AK_KAT,"KAS")=1,D2258,C2258)))</f>
        <v/>
      </c>
      <c r="M2258" s="103" t="n">
        <f aca="false">IF(L2258="",0,IF(L2258=D2258,E2258,-E2258))</f>
        <v>0</v>
      </c>
      <c r="N2258" s="102" t="str">
        <f aca="false">IF(L2258="","",IFERROR(INDEX(AK_BARIS,MATCH(L2258,AK_NAMA,0)),"?"))</f>
        <v/>
      </c>
      <c r="O2258" s="102" t="str">
        <f aca="false">IF(C2258="","",IFERROR(INDEX(AK_KEL,MATCH(C2258,AK_NAMA,0)),"?"))</f>
        <v/>
      </c>
      <c r="P2258" s="102" t="str">
        <f aca="false">IF(D2258="","",IFERROR(INDEX(AK_KEL,MATCH(D2258,AK_NAMA,0)),"?"))</f>
        <v/>
      </c>
      <c r="Q2258" s="102" t="n">
        <f aca="false">N(Q2257)+IF(AND(N(E2258)&lt;&gt;0,K2258=TAHUN,N(J2258)&lt;=BLN,OR(C2258=BB_AKUN,D2258=BB_AKUN)),1,0)</f>
        <v>877</v>
      </c>
      <c r="R2258" s="104" t="str">
        <f aca="false">IF(OR(C2258&amp;D2258="",N(E2258)=0),"",IF(OR(O2258="?",P2258="?"),"⚠ akun tidak dikenal",IF(C2258=D2258,"⚠ debet = kredit","")))</f>
        <v/>
      </c>
    </row>
    <row r="2259" customFormat="false" ht="15" hidden="false" customHeight="false" outlineLevel="0" collapsed="false">
      <c r="A2259" s="5"/>
      <c r="B2259" s="83"/>
      <c r="C2259" s="5"/>
      <c r="D2259" s="5"/>
      <c r="E2259" s="44"/>
      <c r="F2259" s="5"/>
      <c r="G2259" s="5"/>
      <c r="H2259" s="5"/>
      <c r="I2259" s="5"/>
      <c r="J2259" s="102" t="str">
        <f aca="false">IF(B2259="","",MONTH(B2259))</f>
        <v/>
      </c>
      <c r="K2259" s="102" t="str">
        <f aca="false">IF(B2259="","",YEAR(B2259))</f>
        <v/>
      </c>
      <c r="L2259" s="102" t="str">
        <f aca="false">IF(N(E2259)=0,"",IF(COUNTIFS(AK_NAMA,C2259,AK_KAT,"KAS")+COUNTIFS(AK_NAMA,D2259,AK_KAT,"KAS")&lt;&gt;1,"",IF(COUNTIFS(AK_NAMA,C2259,AK_KAT,"KAS")=1,D2259,C2259)))</f>
        <v/>
      </c>
      <c r="M2259" s="103" t="n">
        <f aca="false">IF(L2259="",0,IF(L2259=D2259,E2259,-E2259))</f>
        <v>0</v>
      </c>
      <c r="N2259" s="102" t="str">
        <f aca="false">IF(L2259="","",IFERROR(INDEX(AK_BARIS,MATCH(L2259,AK_NAMA,0)),"?"))</f>
        <v/>
      </c>
      <c r="O2259" s="102" t="str">
        <f aca="false">IF(C2259="","",IFERROR(INDEX(AK_KEL,MATCH(C2259,AK_NAMA,0)),"?"))</f>
        <v/>
      </c>
      <c r="P2259" s="102" t="str">
        <f aca="false">IF(D2259="","",IFERROR(INDEX(AK_KEL,MATCH(D2259,AK_NAMA,0)),"?"))</f>
        <v/>
      </c>
      <c r="Q2259" s="102" t="n">
        <f aca="false">N(Q2258)+IF(AND(N(E2259)&lt;&gt;0,K2259=TAHUN,N(J2259)&lt;=BLN,OR(C2259=BB_AKUN,D2259=BB_AKUN)),1,0)</f>
        <v>877</v>
      </c>
      <c r="R2259" s="104" t="str">
        <f aca="false">IF(OR(C2259&amp;D2259="",N(E2259)=0),"",IF(OR(O2259="?",P2259="?"),"⚠ akun tidak dikenal",IF(C2259=D2259,"⚠ debet = kredit","")))</f>
        <v/>
      </c>
    </row>
    <row r="2260" customFormat="false" ht="15" hidden="false" customHeight="false" outlineLevel="0" collapsed="false">
      <c r="A2260" s="5"/>
      <c r="B2260" s="83"/>
      <c r="C2260" s="5"/>
      <c r="D2260" s="5"/>
      <c r="E2260" s="44"/>
      <c r="F2260" s="5"/>
      <c r="G2260" s="5"/>
      <c r="H2260" s="5"/>
      <c r="I2260" s="5"/>
      <c r="J2260" s="102" t="str">
        <f aca="false">IF(B2260="","",MONTH(B2260))</f>
        <v/>
      </c>
      <c r="K2260" s="102" t="str">
        <f aca="false">IF(B2260="","",YEAR(B2260))</f>
        <v/>
      </c>
      <c r="L2260" s="102" t="str">
        <f aca="false">IF(N(E2260)=0,"",IF(COUNTIFS(AK_NAMA,C2260,AK_KAT,"KAS")+COUNTIFS(AK_NAMA,D2260,AK_KAT,"KAS")&lt;&gt;1,"",IF(COUNTIFS(AK_NAMA,C2260,AK_KAT,"KAS")=1,D2260,C2260)))</f>
        <v/>
      </c>
      <c r="M2260" s="103" t="n">
        <f aca="false">IF(L2260="",0,IF(L2260=D2260,E2260,-E2260))</f>
        <v>0</v>
      </c>
      <c r="N2260" s="102" t="str">
        <f aca="false">IF(L2260="","",IFERROR(INDEX(AK_BARIS,MATCH(L2260,AK_NAMA,0)),"?"))</f>
        <v/>
      </c>
      <c r="O2260" s="102" t="str">
        <f aca="false">IF(C2260="","",IFERROR(INDEX(AK_KEL,MATCH(C2260,AK_NAMA,0)),"?"))</f>
        <v/>
      </c>
      <c r="P2260" s="102" t="str">
        <f aca="false">IF(D2260="","",IFERROR(INDEX(AK_KEL,MATCH(D2260,AK_NAMA,0)),"?"))</f>
        <v/>
      </c>
      <c r="Q2260" s="102" t="n">
        <f aca="false">N(Q2259)+IF(AND(N(E2260)&lt;&gt;0,K2260=TAHUN,N(J2260)&lt;=BLN,OR(C2260=BB_AKUN,D2260=BB_AKUN)),1,0)</f>
        <v>877</v>
      </c>
      <c r="R2260" s="104" t="str">
        <f aca="false">IF(OR(C2260&amp;D2260="",N(E2260)=0),"",IF(OR(O2260="?",P2260="?"),"⚠ akun tidak dikenal",IF(C2260=D2260,"⚠ debet = kredit","")))</f>
        <v/>
      </c>
    </row>
    <row r="2261" customFormat="false" ht="15" hidden="false" customHeight="false" outlineLevel="0" collapsed="false">
      <c r="A2261" s="5"/>
      <c r="B2261" s="83"/>
      <c r="C2261" s="5"/>
      <c r="D2261" s="5"/>
      <c r="E2261" s="44"/>
      <c r="F2261" s="5"/>
      <c r="G2261" s="5"/>
      <c r="H2261" s="5"/>
      <c r="I2261" s="5"/>
      <c r="J2261" s="102" t="str">
        <f aca="false">IF(B2261="","",MONTH(B2261))</f>
        <v/>
      </c>
      <c r="K2261" s="102" t="str">
        <f aca="false">IF(B2261="","",YEAR(B2261))</f>
        <v/>
      </c>
      <c r="L2261" s="102" t="str">
        <f aca="false">IF(N(E2261)=0,"",IF(COUNTIFS(AK_NAMA,C2261,AK_KAT,"KAS")+COUNTIFS(AK_NAMA,D2261,AK_KAT,"KAS")&lt;&gt;1,"",IF(COUNTIFS(AK_NAMA,C2261,AK_KAT,"KAS")=1,D2261,C2261)))</f>
        <v/>
      </c>
      <c r="M2261" s="103" t="n">
        <f aca="false">IF(L2261="",0,IF(L2261=D2261,E2261,-E2261))</f>
        <v>0</v>
      </c>
      <c r="N2261" s="102" t="str">
        <f aca="false">IF(L2261="","",IFERROR(INDEX(AK_BARIS,MATCH(L2261,AK_NAMA,0)),"?"))</f>
        <v/>
      </c>
      <c r="O2261" s="102" t="str">
        <f aca="false">IF(C2261="","",IFERROR(INDEX(AK_KEL,MATCH(C2261,AK_NAMA,0)),"?"))</f>
        <v/>
      </c>
      <c r="P2261" s="102" t="str">
        <f aca="false">IF(D2261="","",IFERROR(INDEX(AK_KEL,MATCH(D2261,AK_NAMA,0)),"?"))</f>
        <v/>
      </c>
      <c r="Q2261" s="102" t="n">
        <f aca="false">N(Q2260)+IF(AND(N(E2261)&lt;&gt;0,K2261=TAHUN,N(J2261)&lt;=BLN,OR(C2261=BB_AKUN,D2261=BB_AKUN)),1,0)</f>
        <v>877</v>
      </c>
      <c r="R2261" s="104" t="str">
        <f aca="false">IF(OR(C2261&amp;D2261="",N(E2261)=0),"",IF(OR(O2261="?",P2261="?"),"⚠ akun tidak dikenal",IF(C2261=D2261,"⚠ debet = kredit","")))</f>
        <v/>
      </c>
    </row>
    <row r="2262" customFormat="false" ht="15" hidden="false" customHeight="false" outlineLevel="0" collapsed="false">
      <c r="A2262" s="5"/>
      <c r="B2262" s="83"/>
      <c r="C2262" s="5"/>
      <c r="D2262" s="5"/>
      <c r="E2262" s="44"/>
      <c r="F2262" s="5"/>
      <c r="G2262" s="5"/>
      <c r="H2262" s="5"/>
      <c r="I2262" s="5"/>
      <c r="J2262" s="102" t="str">
        <f aca="false">IF(B2262="","",MONTH(B2262))</f>
        <v/>
      </c>
      <c r="K2262" s="102" t="str">
        <f aca="false">IF(B2262="","",YEAR(B2262))</f>
        <v/>
      </c>
      <c r="L2262" s="102" t="str">
        <f aca="false">IF(N(E2262)=0,"",IF(COUNTIFS(AK_NAMA,C2262,AK_KAT,"KAS")+COUNTIFS(AK_NAMA,D2262,AK_KAT,"KAS")&lt;&gt;1,"",IF(COUNTIFS(AK_NAMA,C2262,AK_KAT,"KAS")=1,D2262,C2262)))</f>
        <v/>
      </c>
      <c r="M2262" s="103" t="n">
        <f aca="false">IF(L2262="",0,IF(L2262=D2262,E2262,-E2262))</f>
        <v>0</v>
      </c>
      <c r="N2262" s="102" t="str">
        <f aca="false">IF(L2262="","",IFERROR(INDEX(AK_BARIS,MATCH(L2262,AK_NAMA,0)),"?"))</f>
        <v/>
      </c>
      <c r="O2262" s="102" t="str">
        <f aca="false">IF(C2262="","",IFERROR(INDEX(AK_KEL,MATCH(C2262,AK_NAMA,0)),"?"))</f>
        <v/>
      </c>
      <c r="P2262" s="102" t="str">
        <f aca="false">IF(D2262="","",IFERROR(INDEX(AK_KEL,MATCH(D2262,AK_NAMA,0)),"?"))</f>
        <v/>
      </c>
      <c r="Q2262" s="102" t="n">
        <f aca="false">N(Q2261)+IF(AND(N(E2262)&lt;&gt;0,K2262=TAHUN,N(J2262)&lt;=BLN,OR(C2262=BB_AKUN,D2262=BB_AKUN)),1,0)</f>
        <v>877</v>
      </c>
      <c r="R2262" s="104" t="str">
        <f aca="false">IF(OR(C2262&amp;D2262="",N(E2262)=0),"",IF(OR(O2262="?",P2262="?"),"⚠ akun tidak dikenal",IF(C2262=D2262,"⚠ debet = kredit","")))</f>
        <v/>
      </c>
    </row>
    <row r="2263" customFormat="false" ht="15" hidden="false" customHeight="false" outlineLevel="0" collapsed="false">
      <c r="A2263" s="5"/>
      <c r="B2263" s="83"/>
      <c r="C2263" s="5"/>
      <c r="D2263" s="5"/>
      <c r="E2263" s="44"/>
      <c r="F2263" s="5"/>
      <c r="G2263" s="5"/>
      <c r="H2263" s="5"/>
      <c r="I2263" s="5"/>
      <c r="J2263" s="102" t="str">
        <f aca="false">IF(B2263="","",MONTH(B2263))</f>
        <v/>
      </c>
      <c r="K2263" s="102" t="str">
        <f aca="false">IF(B2263="","",YEAR(B2263))</f>
        <v/>
      </c>
      <c r="L2263" s="102" t="str">
        <f aca="false">IF(N(E2263)=0,"",IF(COUNTIFS(AK_NAMA,C2263,AK_KAT,"KAS")+COUNTIFS(AK_NAMA,D2263,AK_KAT,"KAS")&lt;&gt;1,"",IF(COUNTIFS(AK_NAMA,C2263,AK_KAT,"KAS")=1,D2263,C2263)))</f>
        <v/>
      </c>
      <c r="M2263" s="103" t="n">
        <f aca="false">IF(L2263="",0,IF(L2263=D2263,E2263,-E2263))</f>
        <v>0</v>
      </c>
      <c r="N2263" s="102" t="str">
        <f aca="false">IF(L2263="","",IFERROR(INDEX(AK_BARIS,MATCH(L2263,AK_NAMA,0)),"?"))</f>
        <v/>
      </c>
      <c r="O2263" s="102" t="str">
        <f aca="false">IF(C2263="","",IFERROR(INDEX(AK_KEL,MATCH(C2263,AK_NAMA,0)),"?"))</f>
        <v/>
      </c>
      <c r="P2263" s="102" t="str">
        <f aca="false">IF(D2263="","",IFERROR(INDEX(AK_KEL,MATCH(D2263,AK_NAMA,0)),"?"))</f>
        <v/>
      </c>
      <c r="Q2263" s="102" t="n">
        <f aca="false">N(Q2262)+IF(AND(N(E2263)&lt;&gt;0,K2263=TAHUN,N(J2263)&lt;=BLN,OR(C2263=BB_AKUN,D2263=BB_AKUN)),1,0)</f>
        <v>877</v>
      </c>
      <c r="R2263" s="104" t="str">
        <f aca="false">IF(OR(C2263&amp;D2263="",N(E2263)=0),"",IF(OR(O2263="?",P2263="?"),"⚠ akun tidak dikenal",IF(C2263=D2263,"⚠ debet = kredit","")))</f>
        <v/>
      </c>
    </row>
    <row r="2264" customFormat="false" ht="15" hidden="false" customHeight="false" outlineLevel="0" collapsed="false">
      <c r="A2264" s="5"/>
      <c r="B2264" s="83"/>
      <c r="C2264" s="5"/>
      <c r="D2264" s="5"/>
      <c r="E2264" s="44"/>
      <c r="F2264" s="5"/>
      <c r="G2264" s="5"/>
      <c r="H2264" s="5"/>
      <c r="I2264" s="5"/>
      <c r="J2264" s="102" t="str">
        <f aca="false">IF(B2264="","",MONTH(B2264))</f>
        <v/>
      </c>
      <c r="K2264" s="102" t="str">
        <f aca="false">IF(B2264="","",YEAR(B2264))</f>
        <v/>
      </c>
      <c r="L2264" s="102" t="str">
        <f aca="false">IF(N(E2264)=0,"",IF(COUNTIFS(AK_NAMA,C2264,AK_KAT,"KAS")+COUNTIFS(AK_NAMA,D2264,AK_KAT,"KAS")&lt;&gt;1,"",IF(COUNTIFS(AK_NAMA,C2264,AK_KAT,"KAS")=1,D2264,C2264)))</f>
        <v/>
      </c>
      <c r="M2264" s="103" t="n">
        <f aca="false">IF(L2264="",0,IF(L2264=D2264,E2264,-E2264))</f>
        <v>0</v>
      </c>
      <c r="N2264" s="102" t="str">
        <f aca="false">IF(L2264="","",IFERROR(INDEX(AK_BARIS,MATCH(L2264,AK_NAMA,0)),"?"))</f>
        <v/>
      </c>
      <c r="O2264" s="102" t="str">
        <f aca="false">IF(C2264="","",IFERROR(INDEX(AK_KEL,MATCH(C2264,AK_NAMA,0)),"?"))</f>
        <v/>
      </c>
      <c r="P2264" s="102" t="str">
        <f aca="false">IF(D2264="","",IFERROR(INDEX(AK_KEL,MATCH(D2264,AK_NAMA,0)),"?"))</f>
        <v/>
      </c>
      <c r="Q2264" s="102" t="n">
        <f aca="false">N(Q2263)+IF(AND(N(E2264)&lt;&gt;0,K2264=TAHUN,N(J2264)&lt;=BLN,OR(C2264=BB_AKUN,D2264=BB_AKUN)),1,0)</f>
        <v>877</v>
      </c>
      <c r="R2264" s="104" t="str">
        <f aca="false">IF(OR(C2264&amp;D2264="",N(E2264)=0),"",IF(OR(O2264="?",P2264="?"),"⚠ akun tidak dikenal",IF(C2264=D2264,"⚠ debet = kredit","")))</f>
        <v/>
      </c>
    </row>
    <row r="2265" customFormat="false" ht="15" hidden="false" customHeight="false" outlineLevel="0" collapsed="false">
      <c r="A2265" s="5"/>
      <c r="B2265" s="83"/>
      <c r="C2265" s="5"/>
      <c r="D2265" s="5"/>
      <c r="E2265" s="44"/>
      <c r="F2265" s="5"/>
      <c r="G2265" s="5"/>
      <c r="H2265" s="5"/>
      <c r="I2265" s="5"/>
      <c r="J2265" s="102" t="str">
        <f aca="false">IF(B2265="","",MONTH(B2265))</f>
        <v/>
      </c>
      <c r="K2265" s="102" t="str">
        <f aca="false">IF(B2265="","",YEAR(B2265))</f>
        <v/>
      </c>
      <c r="L2265" s="102" t="str">
        <f aca="false">IF(N(E2265)=0,"",IF(COUNTIFS(AK_NAMA,C2265,AK_KAT,"KAS")+COUNTIFS(AK_NAMA,D2265,AK_KAT,"KAS")&lt;&gt;1,"",IF(COUNTIFS(AK_NAMA,C2265,AK_KAT,"KAS")=1,D2265,C2265)))</f>
        <v/>
      </c>
      <c r="M2265" s="103" t="n">
        <f aca="false">IF(L2265="",0,IF(L2265=D2265,E2265,-E2265))</f>
        <v>0</v>
      </c>
      <c r="N2265" s="102" t="str">
        <f aca="false">IF(L2265="","",IFERROR(INDEX(AK_BARIS,MATCH(L2265,AK_NAMA,0)),"?"))</f>
        <v/>
      </c>
      <c r="O2265" s="102" t="str">
        <f aca="false">IF(C2265="","",IFERROR(INDEX(AK_KEL,MATCH(C2265,AK_NAMA,0)),"?"))</f>
        <v/>
      </c>
      <c r="P2265" s="102" t="str">
        <f aca="false">IF(D2265="","",IFERROR(INDEX(AK_KEL,MATCH(D2265,AK_NAMA,0)),"?"))</f>
        <v/>
      </c>
      <c r="Q2265" s="102" t="n">
        <f aca="false">N(Q2264)+IF(AND(N(E2265)&lt;&gt;0,K2265=TAHUN,N(J2265)&lt;=BLN,OR(C2265=BB_AKUN,D2265=BB_AKUN)),1,0)</f>
        <v>877</v>
      </c>
      <c r="R2265" s="104" t="str">
        <f aca="false">IF(OR(C2265&amp;D2265="",N(E2265)=0),"",IF(OR(O2265="?",P2265="?"),"⚠ akun tidak dikenal",IF(C2265=D2265,"⚠ debet = kredit","")))</f>
        <v/>
      </c>
    </row>
    <row r="2266" customFormat="false" ht="15" hidden="false" customHeight="false" outlineLevel="0" collapsed="false">
      <c r="A2266" s="5"/>
      <c r="B2266" s="83"/>
      <c r="C2266" s="5"/>
      <c r="D2266" s="5"/>
      <c r="E2266" s="44"/>
      <c r="F2266" s="5"/>
      <c r="G2266" s="5"/>
      <c r="H2266" s="5"/>
      <c r="I2266" s="5"/>
      <c r="J2266" s="102" t="str">
        <f aca="false">IF(B2266="","",MONTH(B2266))</f>
        <v/>
      </c>
      <c r="K2266" s="102" t="str">
        <f aca="false">IF(B2266="","",YEAR(B2266))</f>
        <v/>
      </c>
      <c r="L2266" s="102" t="str">
        <f aca="false">IF(N(E2266)=0,"",IF(COUNTIFS(AK_NAMA,C2266,AK_KAT,"KAS")+COUNTIFS(AK_NAMA,D2266,AK_KAT,"KAS")&lt;&gt;1,"",IF(COUNTIFS(AK_NAMA,C2266,AK_KAT,"KAS")=1,D2266,C2266)))</f>
        <v/>
      </c>
      <c r="M2266" s="103" t="n">
        <f aca="false">IF(L2266="",0,IF(L2266=D2266,E2266,-E2266))</f>
        <v>0</v>
      </c>
      <c r="N2266" s="102" t="str">
        <f aca="false">IF(L2266="","",IFERROR(INDEX(AK_BARIS,MATCH(L2266,AK_NAMA,0)),"?"))</f>
        <v/>
      </c>
      <c r="O2266" s="102" t="str">
        <f aca="false">IF(C2266="","",IFERROR(INDEX(AK_KEL,MATCH(C2266,AK_NAMA,0)),"?"))</f>
        <v/>
      </c>
      <c r="P2266" s="102" t="str">
        <f aca="false">IF(D2266="","",IFERROR(INDEX(AK_KEL,MATCH(D2266,AK_NAMA,0)),"?"))</f>
        <v/>
      </c>
      <c r="Q2266" s="102" t="n">
        <f aca="false">N(Q2265)+IF(AND(N(E2266)&lt;&gt;0,K2266=TAHUN,N(J2266)&lt;=BLN,OR(C2266=BB_AKUN,D2266=BB_AKUN)),1,0)</f>
        <v>877</v>
      </c>
      <c r="R2266" s="104" t="str">
        <f aca="false">IF(OR(C2266&amp;D2266="",N(E2266)=0),"",IF(OR(O2266="?",P2266="?"),"⚠ akun tidak dikenal",IF(C2266=D2266,"⚠ debet = kredit","")))</f>
        <v/>
      </c>
    </row>
    <row r="2267" customFormat="false" ht="15" hidden="false" customHeight="false" outlineLevel="0" collapsed="false">
      <c r="A2267" s="5"/>
      <c r="B2267" s="83"/>
      <c r="C2267" s="5"/>
      <c r="D2267" s="5"/>
      <c r="E2267" s="44"/>
      <c r="F2267" s="5"/>
      <c r="G2267" s="5"/>
      <c r="H2267" s="5"/>
      <c r="I2267" s="5"/>
      <c r="J2267" s="102" t="str">
        <f aca="false">IF(B2267="","",MONTH(B2267))</f>
        <v/>
      </c>
      <c r="K2267" s="102" t="str">
        <f aca="false">IF(B2267="","",YEAR(B2267))</f>
        <v/>
      </c>
      <c r="L2267" s="102" t="str">
        <f aca="false">IF(N(E2267)=0,"",IF(COUNTIFS(AK_NAMA,C2267,AK_KAT,"KAS")+COUNTIFS(AK_NAMA,D2267,AK_KAT,"KAS")&lt;&gt;1,"",IF(COUNTIFS(AK_NAMA,C2267,AK_KAT,"KAS")=1,D2267,C2267)))</f>
        <v/>
      </c>
      <c r="M2267" s="103" t="n">
        <f aca="false">IF(L2267="",0,IF(L2267=D2267,E2267,-E2267))</f>
        <v>0</v>
      </c>
      <c r="N2267" s="102" t="str">
        <f aca="false">IF(L2267="","",IFERROR(INDEX(AK_BARIS,MATCH(L2267,AK_NAMA,0)),"?"))</f>
        <v/>
      </c>
      <c r="O2267" s="102" t="str">
        <f aca="false">IF(C2267="","",IFERROR(INDEX(AK_KEL,MATCH(C2267,AK_NAMA,0)),"?"))</f>
        <v/>
      </c>
      <c r="P2267" s="102" t="str">
        <f aca="false">IF(D2267="","",IFERROR(INDEX(AK_KEL,MATCH(D2267,AK_NAMA,0)),"?"))</f>
        <v/>
      </c>
      <c r="Q2267" s="102" t="n">
        <f aca="false">N(Q2266)+IF(AND(N(E2267)&lt;&gt;0,K2267=TAHUN,N(J2267)&lt;=BLN,OR(C2267=BB_AKUN,D2267=BB_AKUN)),1,0)</f>
        <v>877</v>
      </c>
      <c r="R2267" s="104" t="str">
        <f aca="false">IF(OR(C2267&amp;D2267="",N(E2267)=0),"",IF(OR(O2267="?",P2267="?"),"⚠ akun tidak dikenal",IF(C2267=D2267,"⚠ debet = kredit","")))</f>
        <v/>
      </c>
    </row>
    <row r="2268" customFormat="false" ht="15" hidden="false" customHeight="false" outlineLevel="0" collapsed="false">
      <c r="A2268" s="5"/>
      <c r="B2268" s="83"/>
      <c r="C2268" s="5"/>
      <c r="D2268" s="5"/>
      <c r="E2268" s="44"/>
      <c r="F2268" s="5"/>
      <c r="G2268" s="5"/>
      <c r="H2268" s="5"/>
      <c r="I2268" s="5"/>
      <c r="J2268" s="102" t="str">
        <f aca="false">IF(B2268="","",MONTH(B2268))</f>
        <v/>
      </c>
      <c r="K2268" s="102" t="str">
        <f aca="false">IF(B2268="","",YEAR(B2268))</f>
        <v/>
      </c>
      <c r="L2268" s="102" t="str">
        <f aca="false">IF(N(E2268)=0,"",IF(COUNTIFS(AK_NAMA,C2268,AK_KAT,"KAS")+COUNTIFS(AK_NAMA,D2268,AK_KAT,"KAS")&lt;&gt;1,"",IF(COUNTIFS(AK_NAMA,C2268,AK_KAT,"KAS")=1,D2268,C2268)))</f>
        <v/>
      </c>
      <c r="M2268" s="103" t="n">
        <f aca="false">IF(L2268="",0,IF(L2268=D2268,E2268,-E2268))</f>
        <v>0</v>
      </c>
      <c r="N2268" s="102" t="str">
        <f aca="false">IF(L2268="","",IFERROR(INDEX(AK_BARIS,MATCH(L2268,AK_NAMA,0)),"?"))</f>
        <v/>
      </c>
      <c r="O2268" s="102" t="str">
        <f aca="false">IF(C2268="","",IFERROR(INDEX(AK_KEL,MATCH(C2268,AK_NAMA,0)),"?"))</f>
        <v/>
      </c>
      <c r="P2268" s="102" t="str">
        <f aca="false">IF(D2268="","",IFERROR(INDEX(AK_KEL,MATCH(D2268,AK_NAMA,0)),"?"))</f>
        <v/>
      </c>
      <c r="Q2268" s="102" t="n">
        <f aca="false">N(Q2267)+IF(AND(N(E2268)&lt;&gt;0,K2268=TAHUN,N(J2268)&lt;=BLN,OR(C2268=BB_AKUN,D2268=BB_AKUN)),1,0)</f>
        <v>877</v>
      </c>
      <c r="R2268" s="104" t="str">
        <f aca="false">IF(OR(C2268&amp;D2268="",N(E2268)=0),"",IF(OR(O2268="?",P2268="?"),"⚠ akun tidak dikenal",IF(C2268=D2268,"⚠ debet = kredit","")))</f>
        <v/>
      </c>
    </row>
    <row r="2269" customFormat="false" ht="15" hidden="false" customHeight="false" outlineLevel="0" collapsed="false">
      <c r="A2269" s="5"/>
      <c r="B2269" s="83"/>
      <c r="C2269" s="5"/>
      <c r="D2269" s="5"/>
      <c r="E2269" s="44"/>
      <c r="F2269" s="5"/>
      <c r="G2269" s="5"/>
      <c r="H2269" s="5"/>
      <c r="I2269" s="5"/>
      <c r="J2269" s="102" t="str">
        <f aca="false">IF(B2269="","",MONTH(B2269))</f>
        <v/>
      </c>
      <c r="K2269" s="102" t="str">
        <f aca="false">IF(B2269="","",YEAR(B2269))</f>
        <v/>
      </c>
      <c r="L2269" s="102" t="str">
        <f aca="false">IF(N(E2269)=0,"",IF(COUNTIFS(AK_NAMA,C2269,AK_KAT,"KAS")+COUNTIFS(AK_NAMA,D2269,AK_KAT,"KAS")&lt;&gt;1,"",IF(COUNTIFS(AK_NAMA,C2269,AK_KAT,"KAS")=1,D2269,C2269)))</f>
        <v/>
      </c>
      <c r="M2269" s="103" t="n">
        <f aca="false">IF(L2269="",0,IF(L2269=D2269,E2269,-E2269))</f>
        <v>0</v>
      </c>
      <c r="N2269" s="102" t="str">
        <f aca="false">IF(L2269="","",IFERROR(INDEX(AK_BARIS,MATCH(L2269,AK_NAMA,0)),"?"))</f>
        <v/>
      </c>
      <c r="O2269" s="102" t="str">
        <f aca="false">IF(C2269="","",IFERROR(INDEX(AK_KEL,MATCH(C2269,AK_NAMA,0)),"?"))</f>
        <v/>
      </c>
      <c r="P2269" s="102" t="str">
        <f aca="false">IF(D2269="","",IFERROR(INDEX(AK_KEL,MATCH(D2269,AK_NAMA,0)),"?"))</f>
        <v/>
      </c>
      <c r="Q2269" s="102" t="n">
        <f aca="false">N(Q2268)+IF(AND(N(E2269)&lt;&gt;0,K2269=TAHUN,N(J2269)&lt;=BLN,OR(C2269=BB_AKUN,D2269=BB_AKUN)),1,0)</f>
        <v>877</v>
      </c>
      <c r="R2269" s="104" t="str">
        <f aca="false">IF(OR(C2269&amp;D2269="",N(E2269)=0),"",IF(OR(O2269="?",P2269="?"),"⚠ akun tidak dikenal",IF(C2269=D2269,"⚠ debet = kredit","")))</f>
        <v/>
      </c>
    </row>
    <row r="2270" customFormat="false" ht="15" hidden="false" customHeight="false" outlineLevel="0" collapsed="false">
      <c r="A2270" s="5"/>
      <c r="B2270" s="83"/>
      <c r="C2270" s="5"/>
      <c r="D2270" s="5"/>
      <c r="E2270" s="44"/>
      <c r="F2270" s="5"/>
      <c r="G2270" s="5"/>
      <c r="H2270" s="5"/>
      <c r="I2270" s="5"/>
      <c r="J2270" s="102" t="str">
        <f aca="false">IF(B2270="","",MONTH(B2270))</f>
        <v/>
      </c>
      <c r="K2270" s="102" t="str">
        <f aca="false">IF(B2270="","",YEAR(B2270))</f>
        <v/>
      </c>
      <c r="L2270" s="102" t="str">
        <f aca="false">IF(N(E2270)=0,"",IF(COUNTIFS(AK_NAMA,C2270,AK_KAT,"KAS")+COUNTIFS(AK_NAMA,D2270,AK_KAT,"KAS")&lt;&gt;1,"",IF(COUNTIFS(AK_NAMA,C2270,AK_KAT,"KAS")=1,D2270,C2270)))</f>
        <v/>
      </c>
      <c r="M2270" s="103" t="n">
        <f aca="false">IF(L2270="",0,IF(L2270=D2270,E2270,-E2270))</f>
        <v>0</v>
      </c>
      <c r="N2270" s="102" t="str">
        <f aca="false">IF(L2270="","",IFERROR(INDEX(AK_BARIS,MATCH(L2270,AK_NAMA,0)),"?"))</f>
        <v/>
      </c>
      <c r="O2270" s="102" t="str">
        <f aca="false">IF(C2270="","",IFERROR(INDEX(AK_KEL,MATCH(C2270,AK_NAMA,0)),"?"))</f>
        <v/>
      </c>
      <c r="P2270" s="102" t="str">
        <f aca="false">IF(D2270="","",IFERROR(INDEX(AK_KEL,MATCH(D2270,AK_NAMA,0)),"?"))</f>
        <v/>
      </c>
      <c r="Q2270" s="102" t="n">
        <f aca="false">N(Q2269)+IF(AND(N(E2270)&lt;&gt;0,K2270=TAHUN,N(J2270)&lt;=BLN,OR(C2270=BB_AKUN,D2270=BB_AKUN)),1,0)</f>
        <v>877</v>
      </c>
      <c r="R2270" s="104" t="str">
        <f aca="false">IF(OR(C2270&amp;D2270="",N(E2270)=0),"",IF(OR(O2270="?",P2270="?"),"⚠ akun tidak dikenal",IF(C2270=D2270,"⚠ debet = kredit","")))</f>
        <v/>
      </c>
    </row>
    <row r="2271" customFormat="false" ht="15" hidden="false" customHeight="false" outlineLevel="0" collapsed="false">
      <c r="A2271" s="5"/>
      <c r="B2271" s="83"/>
      <c r="C2271" s="5"/>
      <c r="D2271" s="5"/>
      <c r="E2271" s="44"/>
      <c r="F2271" s="5"/>
      <c r="G2271" s="5"/>
      <c r="H2271" s="5"/>
      <c r="I2271" s="5"/>
      <c r="J2271" s="102" t="str">
        <f aca="false">IF(B2271="","",MONTH(B2271))</f>
        <v/>
      </c>
      <c r="K2271" s="102" t="str">
        <f aca="false">IF(B2271="","",YEAR(B2271))</f>
        <v/>
      </c>
      <c r="L2271" s="102" t="str">
        <f aca="false">IF(N(E2271)=0,"",IF(COUNTIFS(AK_NAMA,C2271,AK_KAT,"KAS")+COUNTIFS(AK_NAMA,D2271,AK_KAT,"KAS")&lt;&gt;1,"",IF(COUNTIFS(AK_NAMA,C2271,AK_KAT,"KAS")=1,D2271,C2271)))</f>
        <v/>
      </c>
      <c r="M2271" s="103" t="n">
        <f aca="false">IF(L2271="",0,IF(L2271=D2271,E2271,-E2271))</f>
        <v>0</v>
      </c>
      <c r="N2271" s="102" t="str">
        <f aca="false">IF(L2271="","",IFERROR(INDEX(AK_BARIS,MATCH(L2271,AK_NAMA,0)),"?"))</f>
        <v/>
      </c>
      <c r="O2271" s="102" t="str">
        <f aca="false">IF(C2271="","",IFERROR(INDEX(AK_KEL,MATCH(C2271,AK_NAMA,0)),"?"))</f>
        <v/>
      </c>
      <c r="P2271" s="102" t="str">
        <f aca="false">IF(D2271="","",IFERROR(INDEX(AK_KEL,MATCH(D2271,AK_NAMA,0)),"?"))</f>
        <v/>
      </c>
      <c r="Q2271" s="102" t="n">
        <f aca="false">N(Q2270)+IF(AND(N(E2271)&lt;&gt;0,K2271=TAHUN,N(J2271)&lt;=BLN,OR(C2271=BB_AKUN,D2271=BB_AKUN)),1,0)</f>
        <v>877</v>
      </c>
      <c r="R2271" s="104" t="str">
        <f aca="false">IF(OR(C2271&amp;D2271="",N(E2271)=0),"",IF(OR(O2271="?",P2271="?"),"⚠ akun tidak dikenal",IF(C2271=D2271,"⚠ debet = kredit","")))</f>
        <v/>
      </c>
    </row>
    <row r="2272" customFormat="false" ht="15" hidden="false" customHeight="false" outlineLevel="0" collapsed="false">
      <c r="A2272" s="5"/>
      <c r="B2272" s="83"/>
      <c r="C2272" s="5"/>
      <c r="D2272" s="5"/>
      <c r="E2272" s="44"/>
      <c r="F2272" s="5"/>
      <c r="G2272" s="5"/>
      <c r="H2272" s="5"/>
      <c r="I2272" s="5"/>
      <c r="J2272" s="102" t="str">
        <f aca="false">IF(B2272="","",MONTH(B2272))</f>
        <v/>
      </c>
      <c r="K2272" s="102" t="str">
        <f aca="false">IF(B2272="","",YEAR(B2272))</f>
        <v/>
      </c>
      <c r="L2272" s="102" t="str">
        <f aca="false">IF(N(E2272)=0,"",IF(COUNTIFS(AK_NAMA,C2272,AK_KAT,"KAS")+COUNTIFS(AK_NAMA,D2272,AK_KAT,"KAS")&lt;&gt;1,"",IF(COUNTIFS(AK_NAMA,C2272,AK_KAT,"KAS")=1,D2272,C2272)))</f>
        <v/>
      </c>
      <c r="M2272" s="103" t="n">
        <f aca="false">IF(L2272="",0,IF(L2272=D2272,E2272,-E2272))</f>
        <v>0</v>
      </c>
      <c r="N2272" s="102" t="str">
        <f aca="false">IF(L2272="","",IFERROR(INDEX(AK_BARIS,MATCH(L2272,AK_NAMA,0)),"?"))</f>
        <v/>
      </c>
      <c r="O2272" s="102" t="str">
        <f aca="false">IF(C2272="","",IFERROR(INDEX(AK_KEL,MATCH(C2272,AK_NAMA,0)),"?"))</f>
        <v/>
      </c>
      <c r="P2272" s="102" t="str">
        <f aca="false">IF(D2272="","",IFERROR(INDEX(AK_KEL,MATCH(D2272,AK_NAMA,0)),"?"))</f>
        <v/>
      </c>
      <c r="Q2272" s="102" t="n">
        <f aca="false">N(Q2271)+IF(AND(N(E2272)&lt;&gt;0,K2272=TAHUN,N(J2272)&lt;=BLN,OR(C2272=BB_AKUN,D2272=BB_AKUN)),1,0)</f>
        <v>877</v>
      </c>
      <c r="R2272" s="104" t="str">
        <f aca="false">IF(OR(C2272&amp;D2272="",N(E2272)=0),"",IF(OR(O2272="?",P2272="?"),"⚠ akun tidak dikenal",IF(C2272=D2272,"⚠ debet = kredit","")))</f>
        <v/>
      </c>
    </row>
    <row r="2273" customFormat="false" ht="15" hidden="false" customHeight="false" outlineLevel="0" collapsed="false">
      <c r="A2273" s="5"/>
      <c r="B2273" s="83"/>
      <c r="C2273" s="5"/>
      <c r="D2273" s="5"/>
      <c r="E2273" s="44"/>
      <c r="F2273" s="5"/>
      <c r="G2273" s="5"/>
      <c r="H2273" s="5"/>
      <c r="I2273" s="5"/>
      <c r="J2273" s="102" t="str">
        <f aca="false">IF(B2273="","",MONTH(B2273))</f>
        <v/>
      </c>
      <c r="K2273" s="102" t="str">
        <f aca="false">IF(B2273="","",YEAR(B2273))</f>
        <v/>
      </c>
      <c r="L2273" s="102" t="str">
        <f aca="false">IF(N(E2273)=0,"",IF(COUNTIFS(AK_NAMA,C2273,AK_KAT,"KAS")+COUNTIFS(AK_NAMA,D2273,AK_KAT,"KAS")&lt;&gt;1,"",IF(COUNTIFS(AK_NAMA,C2273,AK_KAT,"KAS")=1,D2273,C2273)))</f>
        <v/>
      </c>
      <c r="M2273" s="103" t="n">
        <f aca="false">IF(L2273="",0,IF(L2273=D2273,E2273,-E2273))</f>
        <v>0</v>
      </c>
      <c r="N2273" s="102" t="str">
        <f aca="false">IF(L2273="","",IFERROR(INDEX(AK_BARIS,MATCH(L2273,AK_NAMA,0)),"?"))</f>
        <v/>
      </c>
      <c r="O2273" s="102" t="str">
        <f aca="false">IF(C2273="","",IFERROR(INDEX(AK_KEL,MATCH(C2273,AK_NAMA,0)),"?"))</f>
        <v/>
      </c>
      <c r="P2273" s="102" t="str">
        <f aca="false">IF(D2273="","",IFERROR(INDEX(AK_KEL,MATCH(D2273,AK_NAMA,0)),"?"))</f>
        <v/>
      </c>
      <c r="Q2273" s="102" t="n">
        <f aca="false">N(Q2272)+IF(AND(N(E2273)&lt;&gt;0,K2273=TAHUN,N(J2273)&lt;=BLN,OR(C2273=BB_AKUN,D2273=BB_AKUN)),1,0)</f>
        <v>877</v>
      </c>
      <c r="R2273" s="104" t="str">
        <f aca="false">IF(OR(C2273&amp;D2273="",N(E2273)=0),"",IF(OR(O2273="?",P2273="?"),"⚠ akun tidak dikenal",IF(C2273=D2273,"⚠ debet = kredit","")))</f>
        <v/>
      </c>
    </row>
    <row r="2274" customFormat="false" ht="15" hidden="false" customHeight="false" outlineLevel="0" collapsed="false">
      <c r="A2274" s="5"/>
      <c r="B2274" s="83"/>
      <c r="C2274" s="5"/>
      <c r="D2274" s="5"/>
      <c r="E2274" s="44"/>
      <c r="F2274" s="5"/>
      <c r="G2274" s="5"/>
      <c r="H2274" s="5"/>
      <c r="I2274" s="5"/>
      <c r="J2274" s="102" t="str">
        <f aca="false">IF(B2274="","",MONTH(B2274))</f>
        <v/>
      </c>
      <c r="K2274" s="102" t="str">
        <f aca="false">IF(B2274="","",YEAR(B2274))</f>
        <v/>
      </c>
      <c r="L2274" s="102" t="str">
        <f aca="false">IF(N(E2274)=0,"",IF(COUNTIFS(AK_NAMA,C2274,AK_KAT,"KAS")+COUNTIFS(AK_NAMA,D2274,AK_KAT,"KAS")&lt;&gt;1,"",IF(COUNTIFS(AK_NAMA,C2274,AK_KAT,"KAS")=1,D2274,C2274)))</f>
        <v/>
      </c>
      <c r="M2274" s="103" t="n">
        <f aca="false">IF(L2274="",0,IF(L2274=D2274,E2274,-E2274))</f>
        <v>0</v>
      </c>
      <c r="N2274" s="102" t="str">
        <f aca="false">IF(L2274="","",IFERROR(INDEX(AK_BARIS,MATCH(L2274,AK_NAMA,0)),"?"))</f>
        <v/>
      </c>
      <c r="O2274" s="102" t="str">
        <f aca="false">IF(C2274="","",IFERROR(INDEX(AK_KEL,MATCH(C2274,AK_NAMA,0)),"?"))</f>
        <v/>
      </c>
      <c r="P2274" s="102" t="str">
        <f aca="false">IF(D2274="","",IFERROR(INDEX(AK_KEL,MATCH(D2274,AK_NAMA,0)),"?"))</f>
        <v/>
      </c>
      <c r="Q2274" s="102" t="n">
        <f aca="false">N(Q2273)+IF(AND(N(E2274)&lt;&gt;0,K2274=TAHUN,N(J2274)&lt;=BLN,OR(C2274=BB_AKUN,D2274=BB_AKUN)),1,0)</f>
        <v>877</v>
      </c>
      <c r="R2274" s="104" t="str">
        <f aca="false">IF(OR(C2274&amp;D2274="",N(E2274)=0),"",IF(OR(O2274="?",P2274="?"),"⚠ akun tidak dikenal",IF(C2274=D2274,"⚠ debet = kredit","")))</f>
        <v/>
      </c>
    </row>
    <row r="2275" customFormat="false" ht="15" hidden="false" customHeight="false" outlineLevel="0" collapsed="false">
      <c r="A2275" s="5"/>
      <c r="B2275" s="83"/>
      <c r="C2275" s="5"/>
      <c r="D2275" s="5"/>
      <c r="E2275" s="44"/>
      <c r="F2275" s="5"/>
      <c r="G2275" s="5"/>
      <c r="H2275" s="5"/>
      <c r="I2275" s="5"/>
      <c r="J2275" s="102" t="str">
        <f aca="false">IF(B2275="","",MONTH(B2275))</f>
        <v/>
      </c>
      <c r="K2275" s="102" t="str">
        <f aca="false">IF(B2275="","",YEAR(B2275))</f>
        <v/>
      </c>
      <c r="L2275" s="102" t="str">
        <f aca="false">IF(N(E2275)=0,"",IF(COUNTIFS(AK_NAMA,C2275,AK_KAT,"KAS")+COUNTIFS(AK_NAMA,D2275,AK_KAT,"KAS")&lt;&gt;1,"",IF(COUNTIFS(AK_NAMA,C2275,AK_KAT,"KAS")=1,D2275,C2275)))</f>
        <v/>
      </c>
      <c r="M2275" s="103" t="n">
        <f aca="false">IF(L2275="",0,IF(L2275=D2275,E2275,-E2275))</f>
        <v>0</v>
      </c>
      <c r="N2275" s="102" t="str">
        <f aca="false">IF(L2275="","",IFERROR(INDEX(AK_BARIS,MATCH(L2275,AK_NAMA,0)),"?"))</f>
        <v/>
      </c>
      <c r="O2275" s="102" t="str">
        <f aca="false">IF(C2275="","",IFERROR(INDEX(AK_KEL,MATCH(C2275,AK_NAMA,0)),"?"))</f>
        <v/>
      </c>
      <c r="P2275" s="102" t="str">
        <f aca="false">IF(D2275="","",IFERROR(INDEX(AK_KEL,MATCH(D2275,AK_NAMA,0)),"?"))</f>
        <v/>
      </c>
      <c r="Q2275" s="102" t="n">
        <f aca="false">N(Q2274)+IF(AND(N(E2275)&lt;&gt;0,K2275=TAHUN,N(J2275)&lt;=BLN,OR(C2275=BB_AKUN,D2275=BB_AKUN)),1,0)</f>
        <v>877</v>
      </c>
      <c r="R2275" s="104" t="str">
        <f aca="false">IF(OR(C2275&amp;D2275="",N(E2275)=0),"",IF(OR(O2275="?",P2275="?"),"⚠ akun tidak dikenal",IF(C2275=D2275,"⚠ debet = kredit","")))</f>
        <v/>
      </c>
    </row>
    <row r="2276" customFormat="false" ht="15" hidden="false" customHeight="false" outlineLevel="0" collapsed="false">
      <c r="A2276" s="5"/>
      <c r="B2276" s="83"/>
      <c r="C2276" s="5"/>
      <c r="D2276" s="5"/>
      <c r="E2276" s="44"/>
      <c r="F2276" s="5"/>
      <c r="G2276" s="5"/>
      <c r="H2276" s="5"/>
      <c r="I2276" s="5"/>
      <c r="J2276" s="102" t="str">
        <f aca="false">IF(B2276="","",MONTH(B2276))</f>
        <v/>
      </c>
      <c r="K2276" s="102" t="str">
        <f aca="false">IF(B2276="","",YEAR(B2276))</f>
        <v/>
      </c>
      <c r="L2276" s="102" t="str">
        <f aca="false">IF(N(E2276)=0,"",IF(COUNTIFS(AK_NAMA,C2276,AK_KAT,"KAS")+COUNTIFS(AK_NAMA,D2276,AK_KAT,"KAS")&lt;&gt;1,"",IF(COUNTIFS(AK_NAMA,C2276,AK_KAT,"KAS")=1,D2276,C2276)))</f>
        <v/>
      </c>
      <c r="M2276" s="103" t="n">
        <f aca="false">IF(L2276="",0,IF(L2276=D2276,E2276,-E2276))</f>
        <v>0</v>
      </c>
      <c r="N2276" s="102" t="str">
        <f aca="false">IF(L2276="","",IFERROR(INDEX(AK_BARIS,MATCH(L2276,AK_NAMA,0)),"?"))</f>
        <v/>
      </c>
      <c r="O2276" s="102" t="str">
        <f aca="false">IF(C2276="","",IFERROR(INDEX(AK_KEL,MATCH(C2276,AK_NAMA,0)),"?"))</f>
        <v/>
      </c>
      <c r="P2276" s="102" t="str">
        <f aca="false">IF(D2276="","",IFERROR(INDEX(AK_KEL,MATCH(D2276,AK_NAMA,0)),"?"))</f>
        <v/>
      </c>
      <c r="Q2276" s="102" t="n">
        <f aca="false">N(Q2275)+IF(AND(N(E2276)&lt;&gt;0,K2276=TAHUN,N(J2276)&lt;=BLN,OR(C2276=BB_AKUN,D2276=BB_AKUN)),1,0)</f>
        <v>877</v>
      </c>
      <c r="R2276" s="104" t="str">
        <f aca="false">IF(OR(C2276&amp;D2276="",N(E2276)=0),"",IF(OR(O2276="?",P2276="?"),"⚠ akun tidak dikenal",IF(C2276=D2276,"⚠ debet = kredit","")))</f>
        <v/>
      </c>
    </row>
    <row r="2277" customFormat="false" ht="15" hidden="false" customHeight="false" outlineLevel="0" collapsed="false">
      <c r="A2277" s="5"/>
      <c r="B2277" s="83"/>
      <c r="C2277" s="5"/>
      <c r="D2277" s="5"/>
      <c r="E2277" s="44"/>
      <c r="F2277" s="5"/>
      <c r="G2277" s="5"/>
      <c r="H2277" s="5"/>
      <c r="I2277" s="5"/>
      <c r="J2277" s="102" t="str">
        <f aca="false">IF(B2277="","",MONTH(B2277))</f>
        <v/>
      </c>
      <c r="K2277" s="102" t="str">
        <f aca="false">IF(B2277="","",YEAR(B2277))</f>
        <v/>
      </c>
      <c r="L2277" s="102" t="str">
        <f aca="false">IF(N(E2277)=0,"",IF(COUNTIFS(AK_NAMA,C2277,AK_KAT,"KAS")+COUNTIFS(AK_NAMA,D2277,AK_KAT,"KAS")&lt;&gt;1,"",IF(COUNTIFS(AK_NAMA,C2277,AK_KAT,"KAS")=1,D2277,C2277)))</f>
        <v/>
      </c>
      <c r="M2277" s="103" t="n">
        <f aca="false">IF(L2277="",0,IF(L2277=D2277,E2277,-E2277))</f>
        <v>0</v>
      </c>
      <c r="N2277" s="102" t="str">
        <f aca="false">IF(L2277="","",IFERROR(INDEX(AK_BARIS,MATCH(L2277,AK_NAMA,0)),"?"))</f>
        <v/>
      </c>
      <c r="O2277" s="102" t="str">
        <f aca="false">IF(C2277="","",IFERROR(INDEX(AK_KEL,MATCH(C2277,AK_NAMA,0)),"?"))</f>
        <v/>
      </c>
      <c r="P2277" s="102" t="str">
        <f aca="false">IF(D2277="","",IFERROR(INDEX(AK_KEL,MATCH(D2277,AK_NAMA,0)),"?"))</f>
        <v/>
      </c>
      <c r="Q2277" s="102" t="n">
        <f aca="false">N(Q2276)+IF(AND(N(E2277)&lt;&gt;0,K2277=TAHUN,N(J2277)&lt;=BLN,OR(C2277=BB_AKUN,D2277=BB_AKUN)),1,0)</f>
        <v>877</v>
      </c>
      <c r="R2277" s="104" t="str">
        <f aca="false">IF(OR(C2277&amp;D2277="",N(E2277)=0),"",IF(OR(O2277="?",P2277="?"),"⚠ akun tidak dikenal",IF(C2277=D2277,"⚠ debet = kredit","")))</f>
        <v/>
      </c>
    </row>
    <row r="2278" customFormat="false" ht="15" hidden="false" customHeight="false" outlineLevel="0" collapsed="false">
      <c r="A2278" s="5"/>
      <c r="B2278" s="83"/>
      <c r="C2278" s="5"/>
      <c r="D2278" s="5"/>
      <c r="E2278" s="44"/>
      <c r="F2278" s="5"/>
      <c r="G2278" s="5"/>
      <c r="H2278" s="5"/>
      <c r="I2278" s="5"/>
      <c r="J2278" s="102" t="str">
        <f aca="false">IF(B2278="","",MONTH(B2278))</f>
        <v/>
      </c>
      <c r="K2278" s="102" t="str">
        <f aca="false">IF(B2278="","",YEAR(B2278))</f>
        <v/>
      </c>
      <c r="L2278" s="102" t="str">
        <f aca="false">IF(N(E2278)=0,"",IF(COUNTIFS(AK_NAMA,C2278,AK_KAT,"KAS")+COUNTIFS(AK_NAMA,D2278,AK_KAT,"KAS")&lt;&gt;1,"",IF(COUNTIFS(AK_NAMA,C2278,AK_KAT,"KAS")=1,D2278,C2278)))</f>
        <v/>
      </c>
      <c r="M2278" s="103" t="n">
        <f aca="false">IF(L2278="",0,IF(L2278=D2278,E2278,-E2278))</f>
        <v>0</v>
      </c>
      <c r="N2278" s="102" t="str">
        <f aca="false">IF(L2278="","",IFERROR(INDEX(AK_BARIS,MATCH(L2278,AK_NAMA,0)),"?"))</f>
        <v/>
      </c>
      <c r="O2278" s="102" t="str">
        <f aca="false">IF(C2278="","",IFERROR(INDEX(AK_KEL,MATCH(C2278,AK_NAMA,0)),"?"))</f>
        <v/>
      </c>
      <c r="P2278" s="102" t="str">
        <f aca="false">IF(D2278="","",IFERROR(INDEX(AK_KEL,MATCH(D2278,AK_NAMA,0)),"?"))</f>
        <v/>
      </c>
      <c r="Q2278" s="102" t="n">
        <f aca="false">N(Q2277)+IF(AND(N(E2278)&lt;&gt;0,K2278=TAHUN,N(J2278)&lt;=BLN,OR(C2278=BB_AKUN,D2278=BB_AKUN)),1,0)</f>
        <v>877</v>
      </c>
      <c r="R2278" s="104" t="str">
        <f aca="false">IF(OR(C2278&amp;D2278="",N(E2278)=0),"",IF(OR(O2278="?",P2278="?"),"⚠ akun tidak dikenal",IF(C2278=D2278,"⚠ debet = kredit","")))</f>
        <v/>
      </c>
    </row>
    <row r="2279" customFormat="false" ht="15" hidden="false" customHeight="false" outlineLevel="0" collapsed="false">
      <c r="A2279" s="5"/>
      <c r="B2279" s="83"/>
      <c r="C2279" s="5"/>
      <c r="D2279" s="5"/>
      <c r="E2279" s="44"/>
      <c r="F2279" s="5"/>
      <c r="G2279" s="5"/>
      <c r="H2279" s="5"/>
      <c r="I2279" s="5"/>
      <c r="J2279" s="102" t="str">
        <f aca="false">IF(B2279="","",MONTH(B2279))</f>
        <v/>
      </c>
      <c r="K2279" s="102" t="str">
        <f aca="false">IF(B2279="","",YEAR(B2279))</f>
        <v/>
      </c>
      <c r="L2279" s="102" t="str">
        <f aca="false">IF(N(E2279)=0,"",IF(COUNTIFS(AK_NAMA,C2279,AK_KAT,"KAS")+COUNTIFS(AK_NAMA,D2279,AK_KAT,"KAS")&lt;&gt;1,"",IF(COUNTIFS(AK_NAMA,C2279,AK_KAT,"KAS")=1,D2279,C2279)))</f>
        <v/>
      </c>
      <c r="M2279" s="103" t="n">
        <f aca="false">IF(L2279="",0,IF(L2279=D2279,E2279,-E2279))</f>
        <v>0</v>
      </c>
      <c r="N2279" s="102" t="str">
        <f aca="false">IF(L2279="","",IFERROR(INDEX(AK_BARIS,MATCH(L2279,AK_NAMA,0)),"?"))</f>
        <v/>
      </c>
      <c r="O2279" s="102" t="str">
        <f aca="false">IF(C2279="","",IFERROR(INDEX(AK_KEL,MATCH(C2279,AK_NAMA,0)),"?"))</f>
        <v/>
      </c>
      <c r="P2279" s="102" t="str">
        <f aca="false">IF(D2279="","",IFERROR(INDEX(AK_KEL,MATCH(D2279,AK_NAMA,0)),"?"))</f>
        <v/>
      </c>
      <c r="Q2279" s="102" t="n">
        <f aca="false">N(Q2278)+IF(AND(N(E2279)&lt;&gt;0,K2279=TAHUN,N(J2279)&lt;=BLN,OR(C2279=BB_AKUN,D2279=BB_AKUN)),1,0)</f>
        <v>877</v>
      </c>
      <c r="R2279" s="104" t="str">
        <f aca="false">IF(OR(C2279&amp;D2279="",N(E2279)=0),"",IF(OR(O2279="?",P2279="?"),"⚠ akun tidak dikenal",IF(C2279=D2279,"⚠ debet = kredit","")))</f>
        <v/>
      </c>
    </row>
    <row r="2280" customFormat="false" ht="15" hidden="false" customHeight="false" outlineLevel="0" collapsed="false">
      <c r="A2280" s="5"/>
      <c r="B2280" s="83"/>
      <c r="C2280" s="5"/>
      <c r="D2280" s="5"/>
      <c r="E2280" s="44"/>
      <c r="F2280" s="5"/>
      <c r="G2280" s="5"/>
      <c r="H2280" s="5"/>
      <c r="I2280" s="5"/>
      <c r="J2280" s="102" t="str">
        <f aca="false">IF(B2280="","",MONTH(B2280))</f>
        <v/>
      </c>
      <c r="K2280" s="102" t="str">
        <f aca="false">IF(B2280="","",YEAR(B2280))</f>
        <v/>
      </c>
      <c r="L2280" s="102" t="str">
        <f aca="false">IF(N(E2280)=0,"",IF(COUNTIFS(AK_NAMA,C2280,AK_KAT,"KAS")+COUNTIFS(AK_NAMA,D2280,AK_KAT,"KAS")&lt;&gt;1,"",IF(COUNTIFS(AK_NAMA,C2280,AK_KAT,"KAS")=1,D2280,C2280)))</f>
        <v/>
      </c>
      <c r="M2280" s="103" t="n">
        <f aca="false">IF(L2280="",0,IF(L2280=D2280,E2280,-E2280))</f>
        <v>0</v>
      </c>
      <c r="N2280" s="102" t="str">
        <f aca="false">IF(L2280="","",IFERROR(INDEX(AK_BARIS,MATCH(L2280,AK_NAMA,0)),"?"))</f>
        <v/>
      </c>
      <c r="O2280" s="102" t="str">
        <f aca="false">IF(C2280="","",IFERROR(INDEX(AK_KEL,MATCH(C2280,AK_NAMA,0)),"?"))</f>
        <v/>
      </c>
      <c r="P2280" s="102" t="str">
        <f aca="false">IF(D2280="","",IFERROR(INDEX(AK_KEL,MATCH(D2280,AK_NAMA,0)),"?"))</f>
        <v/>
      </c>
      <c r="Q2280" s="102" t="n">
        <f aca="false">N(Q2279)+IF(AND(N(E2280)&lt;&gt;0,K2280=TAHUN,N(J2280)&lt;=BLN,OR(C2280=BB_AKUN,D2280=BB_AKUN)),1,0)</f>
        <v>877</v>
      </c>
      <c r="R2280" s="104" t="str">
        <f aca="false">IF(OR(C2280&amp;D2280="",N(E2280)=0),"",IF(OR(O2280="?",P2280="?"),"⚠ akun tidak dikenal",IF(C2280=D2280,"⚠ debet = kredit","")))</f>
        <v/>
      </c>
    </row>
    <row r="2281" customFormat="false" ht="15" hidden="false" customHeight="false" outlineLevel="0" collapsed="false">
      <c r="A2281" s="5"/>
      <c r="B2281" s="83"/>
      <c r="C2281" s="5"/>
      <c r="D2281" s="5"/>
      <c r="E2281" s="44"/>
      <c r="F2281" s="5"/>
      <c r="G2281" s="5"/>
      <c r="H2281" s="5"/>
      <c r="I2281" s="5"/>
      <c r="J2281" s="102" t="str">
        <f aca="false">IF(B2281="","",MONTH(B2281))</f>
        <v/>
      </c>
      <c r="K2281" s="102" t="str">
        <f aca="false">IF(B2281="","",YEAR(B2281))</f>
        <v/>
      </c>
      <c r="L2281" s="102" t="str">
        <f aca="false">IF(N(E2281)=0,"",IF(COUNTIFS(AK_NAMA,C2281,AK_KAT,"KAS")+COUNTIFS(AK_NAMA,D2281,AK_KAT,"KAS")&lt;&gt;1,"",IF(COUNTIFS(AK_NAMA,C2281,AK_KAT,"KAS")=1,D2281,C2281)))</f>
        <v/>
      </c>
      <c r="M2281" s="103" t="n">
        <f aca="false">IF(L2281="",0,IF(L2281=D2281,E2281,-E2281))</f>
        <v>0</v>
      </c>
      <c r="N2281" s="102" t="str">
        <f aca="false">IF(L2281="","",IFERROR(INDEX(AK_BARIS,MATCH(L2281,AK_NAMA,0)),"?"))</f>
        <v/>
      </c>
      <c r="O2281" s="102" t="str">
        <f aca="false">IF(C2281="","",IFERROR(INDEX(AK_KEL,MATCH(C2281,AK_NAMA,0)),"?"))</f>
        <v/>
      </c>
      <c r="P2281" s="102" t="str">
        <f aca="false">IF(D2281="","",IFERROR(INDEX(AK_KEL,MATCH(D2281,AK_NAMA,0)),"?"))</f>
        <v/>
      </c>
      <c r="Q2281" s="102" t="n">
        <f aca="false">N(Q2280)+IF(AND(N(E2281)&lt;&gt;0,K2281=TAHUN,N(J2281)&lt;=BLN,OR(C2281=BB_AKUN,D2281=BB_AKUN)),1,0)</f>
        <v>877</v>
      </c>
      <c r="R2281" s="104" t="str">
        <f aca="false">IF(OR(C2281&amp;D2281="",N(E2281)=0),"",IF(OR(O2281="?",P2281="?"),"⚠ akun tidak dikenal",IF(C2281=D2281,"⚠ debet = kredit","")))</f>
        <v/>
      </c>
    </row>
    <row r="2282" customFormat="false" ht="15" hidden="false" customHeight="false" outlineLevel="0" collapsed="false">
      <c r="A2282" s="5"/>
      <c r="B2282" s="83"/>
      <c r="C2282" s="5"/>
      <c r="D2282" s="5"/>
      <c r="E2282" s="44"/>
      <c r="F2282" s="5"/>
      <c r="G2282" s="5"/>
      <c r="H2282" s="5"/>
      <c r="I2282" s="5"/>
      <c r="J2282" s="102" t="str">
        <f aca="false">IF(B2282="","",MONTH(B2282))</f>
        <v/>
      </c>
      <c r="K2282" s="102" t="str">
        <f aca="false">IF(B2282="","",YEAR(B2282))</f>
        <v/>
      </c>
      <c r="L2282" s="102" t="str">
        <f aca="false">IF(N(E2282)=0,"",IF(COUNTIFS(AK_NAMA,C2282,AK_KAT,"KAS")+COUNTIFS(AK_NAMA,D2282,AK_KAT,"KAS")&lt;&gt;1,"",IF(COUNTIFS(AK_NAMA,C2282,AK_KAT,"KAS")=1,D2282,C2282)))</f>
        <v/>
      </c>
      <c r="M2282" s="103" t="n">
        <f aca="false">IF(L2282="",0,IF(L2282=D2282,E2282,-E2282))</f>
        <v>0</v>
      </c>
      <c r="N2282" s="102" t="str">
        <f aca="false">IF(L2282="","",IFERROR(INDEX(AK_BARIS,MATCH(L2282,AK_NAMA,0)),"?"))</f>
        <v/>
      </c>
      <c r="O2282" s="102" t="str">
        <f aca="false">IF(C2282="","",IFERROR(INDEX(AK_KEL,MATCH(C2282,AK_NAMA,0)),"?"))</f>
        <v/>
      </c>
      <c r="P2282" s="102" t="str">
        <f aca="false">IF(D2282="","",IFERROR(INDEX(AK_KEL,MATCH(D2282,AK_NAMA,0)),"?"))</f>
        <v/>
      </c>
      <c r="Q2282" s="102" t="n">
        <f aca="false">N(Q2281)+IF(AND(N(E2282)&lt;&gt;0,K2282=TAHUN,N(J2282)&lt;=BLN,OR(C2282=BB_AKUN,D2282=BB_AKUN)),1,0)</f>
        <v>877</v>
      </c>
      <c r="R2282" s="104" t="str">
        <f aca="false">IF(OR(C2282&amp;D2282="",N(E2282)=0),"",IF(OR(O2282="?",P2282="?"),"⚠ akun tidak dikenal",IF(C2282=D2282,"⚠ debet = kredit","")))</f>
        <v/>
      </c>
    </row>
    <row r="2283" customFormat="false" ht="15" hidden="false" customHeight="false" outlineLevel="0" collapsed="false">
      <c r="A2283" s="5"/>
      <c r="B2283" s="83"/>
      <c r="C2283" s="5"/>
      <c r="D2283" s="5"/>
      <c r="E2283" s="44"/>
      <c r="F2283" s="5"/>
      <c r="G2283" s="5"/>
      <c r="H2283" s="5"/>
      <c r="I2283" s="5"/>
      <c r="J2283" s="102" t="str">
        <f aca="false">IF(B2283="","",MONTH(B2283))</f>
        <v/>
      </c>
      <c r="K2283" s="102" t="str">
        <f aca="false">IF(B2283="","",YEAR(B2283))</f>
        <v/>
      </c>
      <c r="L2283" s="102" t="str">
        <f aca="false">IF(N(E2283)=0,"",IF(COUNTIFS(AK_NAMA,C2283,AK_KAT,"KAS")+COUNTIFS(AK_NAMA,D2283,AK_KAT,"KAS")&lt;&gt;1,"",IF(COUNTIFS(AK_NAMA,C2283,AK_KAT,"KAS")=1,D2283,C2283)))</f>
        <v/>
      </c>
      <c r="M2283" s="103" t="n">
        <f aca="false">IF(L2283="",0,IF(L2283=D2283,E2283,-E2283))</f>
        <v>0</v>
      </c>
      <c r="N2283" s="102" t="str">
        <f aca="false">IF(L2283="","",IFERROR(INDEX(AK_BARIS,MATCH(L2283,AK_NAMA,0)),"?"))</f>
        <v/>
      </c>
      <c r="O2283" s="102" t="str">
        <f aca="false">IF(C2283="","",IFERROR(INDEX(AK_KEL,MATCH(C2283,AK_NAMA,0)),"?"))</f>
        <v/>
      </c>
      <c r="P2283" s="102" t="str">
        <f aca="false">IF(D2283="","",IFERROR(INDEX(AK_KEL,MATCH(D2283,AK_NAMA,0)),"?"))</f>
        <v/>
      </c>
      <c r="Q2283" s="102" t="n">
        <f aca="false">N(Q2282)+IF(AND(N(E2283)&lt;&gt;0,K2283=TAHUN,N(J2283)&lt;=BLN,OR(C2283=BB_AKUN,D2283=BB_AKUN)),1,0)</f>
        <v>877</v>
      </c>
      <c r="R2283" s="104" t="str">
        <f aca="false">IF(OR(C2283&amp;D2283="",N(E2283)=0),"",IF(OR(O2283="?",P2283="?"),"⚠ akun tidak dikenal",IF(C2283=D2283,"⚠ debet = kredit","")))</f>
        <v/>
      </c>
    </row>
    <row r="2284" customFormat="false" ht="15" hidden="false" customHeight="false" outlineLevel="0" collapsed="false">
      <c r="A2284" s="5"/>
      <c r="B2284" s="83"/>
      <c r="C2284" s="5"/>
      <c r="D2284" s="5"/>
      <c r="E2284" s="44"/>
      <c r="F2284" s="5"/>
      <c r="G2284" s="5"/>
      <c r="H2284" s="5"/>
      <c r="I2284" s="5"/>
      <c r="J2284" s="102" t="str">
        <f aca="false">IF(B2284="","",MONTH(B2284))</f>
        <v/>
      </c>
      <c r="K2284" s="102" t="str">
        <f aca="false">IF(B2284="","",YEAR(B2284))</f>
        <v/>
      </c>
      <c r="L2284" s="102" t="str">
        <f aca="false">IF(N(E2284)=0,"",IF(COUNTIFS(AK_NAMA,C2284,AK_KAT,"KAS")+COUNTIFS(AK_NAMA,D2284,AK_KAT,"KAS")&lt;&gt;1,"",IF(COUNTIFS(AK_NAMA,C2284,AK_KAT,"KAS")=1,D2284,C2284)))</f>
        <v/>
      </c>
      <c r="M2284" s="103" t="n">
        <f aca="false">IF(L2284="",0,IF(L2284=D2284,E2284,-E2284))</f>
        <v>0</v>
      </c>
      <c r="N2284" s="102" t="str">
        <f aca="false">IF(L2284="","",IFERROR(INDEX(AK_BARIS,MATCH(L2284,AK_NAMA,0)),"?"))</f>
        <v/>
      </c>
      <c r="O2284" s="102" t="str">
        <f aca="false">IF(C2284="","",IFERROR(INDEX(AK_KEL,MATCH(C2284,AK_NAMA,0)),"?"))</f>
        <v/>
      </c>
      <c r="P2284" s="102" t="str">
        <f aca="false">IF(D2284="","",IFERROR(INDEX(AK_KEL,MATCH(D2284,AK_NAMA,0)),"?"))</f>
        <v/>
      </c>
      <c r="Q2284" s="102" t="n">
        <f aca="false">N(Q2283)+IF(AND(N(E2284)&lt;&gt;0,K2284=TAHUN,N(J2284)&lt;=BLN,OR(C2284=BB_AKUN,D2284=BB_AKUN)),1,0)</f>
        <v>877</v>
      </c>
      <c r="R2284" s="104" t="str">
        <f aca="false">IF(OR(C2284&amp;D2284="",N(E2284)=0),"",IF(OR(O2284="?",P2284="?"),"⚠ akun tidak dikenal",IF(C2284=D2284,"⚠ debet = kredit","")))</f>
        <v/>
      </c>
    </row>
    <row r="2285" customFormat="false" ht="15" hidden="false" customHeight="false" outlineLevel="0" collapsed="false">
      <c r="A2285" s="5"/>
      <c r="B2285" s="83"/>
      <c r="C2285" s="5"/>
      <c r="D2285" s="5"/>
      <c r="E2285" s="44"/>
      <c r="F2285" s="5"/>
      <c r="G2285" s="5"/>
      <c r="H2285" s="5"/>
      <c r="I2285" s="5"/>
      <c r="J2285" s="102" t="str">
        <f aca="false">IF(B2285="","",MONTH(B2285))</f>
        <v/>
      </c>
      <c r="K2285" s="102" t="str">
        <f aca="false">IF(B2285="","",YEAR(B2285))</f>
        <v/>
      </c>
      <c r="L2285" s="102" t="str">
        <f aca="false">IF(N(E2285)=0,"",IF(COUNTIFS(AK_NAMA,C2285,AK_KAT,"KAS")+COUNTIFS(AK_NAMA,D2285,AK_KAT,"KAS")&lt;&gt;1,"",IF(COUNTIFS(AK_NAMA,C2285,AK_KAT,"KAS")=1,D2285,C2285)))</f>
        <v/>
      </c>
      <c r="M2285" s="103" t="n">
        <f aca="false">IF(L2285="",0,IF(L2285=D2285,E2285,-E2285))</f>
        <v>0</v>
      </c>
      <c r="N2285" s="102" t="str">
        <f aca="false">IF(L2285="","",IFERROR(INDEX(AK_BARIS,MATCH(L2285,AK_NAMA,0)),"?"))</f>
        <v/>
      </c>
      <c r="O2285" s="102" t="str">
        <f aca="false">IF(C2285="","",IFERROR(INDEX(AK_KEL,MATCH(C2285,AK_NAMA,0)),"?"))</f>
        <v/>
      </c>
      <c r="P2285" s="102" t="str">
        <f aca="false">IF(D2285="","",IFERROR(INDEX(AK_KEL,MATCH(D2285,AK_NAMA,0)),"?"))</f>
        <v/>
      </c>
      <c r="Q2285" s="102" t="n">
        <f aca="false">N(Q2284)+IF(AND(N(E2285)&lt;&gt;0,K2285=TAHUN,N(J2285)&lt;=BLN,OR(C2285=BB_AKUN,D2285=BB_AKUN)),1,0)</f>
        <v>877</v>
      </c>
      <c r="R2285" s="104" t="str">
        <f aca="false">IF(OR(C2285&amp;D2285="",N(E2285)=0),"",IF(OR(O2285="?",P2285="?"),"⚠ akun tidak dikenal",IF(C2285=D2285,"⚠ debet = kredit","")))</f>
        <v/>
      </c>
    </row>
    <row r="2286" customFormat="false" ht="15" hidden="false" customHeight="false" outlineLevel="0" collapsed="false">
      <c r="A2286" s="5"/>
      <c r="B2286" s="83"/>
      <c r="C2286" s="5"/>
      <c r="D2286" s="5"/>
      <c r="E2286" s="44"/>
      <c r="F2286" s="5"/>
      <c r="G2286" s="5"/>
      <c r="H2286" s="5"/>
      <c r="I2286" s="5"/>
      <c r="J2286" s="102" t="str">
        <f aca="false">IF(B2286="","",MONTH(B2286))</f>
        <v/>
      </c>
      <c r="K2286" s="102" t="str">
        <f aca="false">IF(B2286="","",YEAR(B2286))</f>
        <v/>
      </c>
      <c r="L2286" s="102" t="str">
        <f aca="false">IF(N(E2286)=0,"",IF(COUNTIFS(AK_NAMA,C2286,AK_KAT,"KAS")+COUNTIFS(AK_NAMA,D2286,AK_KAT,"KAS")&lt;&gt;1,"",IF(COUNTIFS(AK_NAMA,C2286,AK_KAT,"KAS")=1,D2286,C2286)))</f>
        <v/>
      </c>
      <c r="M2286" s="103" t="n">
        <f aca="false">IF(L2286="",0,IF(L2286=D2286,E2286,-E2286))</f>
        <v>0</v>
      </c>
      <c r="N2286" s="102" t="str">
        <f aca="false">IF(L2286="","",IFERROR(INDEX(AK_BARIS,MATCH(L2286,AK_NAMA,0)),"?"))</f>
        <v/>
      </c>
      <c r="O2286" s="102" t="str">
        <f aca="false">IF(C2286="","",IFERROR(INDEX(AK_KEL,MATCH(C2286,AK_NAMA,0)),"?"))</f>
        <v/>
      </c>
      <c r="P2286" s="102" t="str">
        <f aca="false">IF(D2286="","",IFERROR(INDEX(AK_KEL,MATCH(D2286,AK_NAMA,0)),"?"))</f>
        <v/>
      </c>
      <c r="Q2286" s="102" t="n">
        <f aca="false">N(Q2285)+IF(AND(N(E2286)&lt;&gt;0,K2286=TAHUN,N(J2286)&lt;=BLN,OR(C2286=BB_AKUN,D2286=BB_AKUN)),1,0)</f>
        <v>877</v>
      </c>
      <c r="R2286" s="104" t="str">
        <f aca="false">IF(OR(C2286&amp;D2286="",N(E2286)=0),"",IF(OR(O2286="?",P2286="?"),"⚠ akun tidak dikenal",IF(C2286=D2286,"⚠ debet = kredit","")))</f>
        <v/>
      </c>
    </row>
    <row r="2287" customFormat="false" ht="15" hidden="false" customHeight="false" outlineLevel="0" collapsed="false">
      <c r="A2287" s="5"/>
      <c r="B2287" s="83"/>
      <c r="C2287" s="5"/>
      <c r="D2287" s="5"/>
      <c r="E2287" s="44"/>
      <c r="F2287" s="5"/>
      <c r="G2287" s="5"/>
      <c r="H2287" s="5"/>
      <c r="I2287" s="5"/>
      <c r="J2287" s="102" t="str">
        <f aca="false">IF(B2287="","",MONTH(B2287))</f>
        <v/>
      </c>
      <c r="K2287" s="102" t="str">
        <f aca="false">IF(B2287="","",YEAR(B2287))</f>
        <v/>
      </c>
      <c r="L2287" s="102" t="str">
        <f aca="false">IF(N(E2287)=0,"",IF(COUNTIFS(AK_NAMA,C2287,AK_KAT,"KAS")+COUNTIFS(AK_NAMA,D2287,AK_KAT,"KAS")&lt;&gt;1,"",IF(COUNTIFS(AK_NAMA,C2287,AK_KAT,"KAS")=1,D2287,C2287)))</f>
        <v/>
      </c>
      <c r="M2287" s="103" t="n">
        <f aca="false">IF(L2287="",0,IF(L2287=D2287,E2287,-E2287))</f>
        <v>0</v>
      </c>
      <c r="N2287" s="102" t="str">
        <f aca="false">IF(L2287="","",IFERROR(INDEX(AK_BARIS,MATCH(L2287,AK_NAMA,0)),"?"))</f>
        <v/>
      </c>
      <c r="O2287" s="102" t="str">
        <f aca="false">IF(C2287="","",IFERROR(INDEX(AK_KEL,MATCH(C2287,AK_NAMA,0)),"?"))</f>
        <v/>
      </c>
      <c r="P2287" s="102" t="str">
        <f aca="false">IF(D2287="","",IFERROR(INDEX(AK_KEL,MATCH(D2287,AK_NAMA,0)),"?"))</f>
        <v/>
      </c>
      <c r="Q2287" s="102" t="n">
        <f aca="false">N(Q2286)+IF(AND(N(E2287)&lt;&gt;0,K2287=TAHUN,N(J2287)&lt;=BLN,OR(C2287=BB_AKUN,D2287=BB_AKUN)),1,0)</f>
        <v>877</v>
      </c>
      <c r="R2287" s="104" t="str">
        <f aca="false">IF(OR(C2287&amp;D2287="",N(E2287)=0),"",IF(OR(O2287="?",P2287="?"),"⚠ akun tidak dikenal",IF(C2287=D2287,"⚠ debet = kredit","")))</f>
        <v/>
      </c>
    </row>
    <row r="2288" customFormat="false" ht="15" hidden="false" customHeight="false" outlineLevel="0" collapsed="false">
      <c r="A2288" s="5"/>
      <c r="B2288" s="83"/>
      <c r="C2288" s="5"/>
      <c r="D2288" s="5"/>
      <c r="E2288" s="44"/>
      <c r="F2288" s="5"/>
      <c r="G2288" s="5"/>
      <c r="H2288" s="5"/>
      <c r="I2288" s="5"/>
      <c r="J2288" s="102" t="str">
        <f aca="false">IF(B2288="","",MONTH(B2288))</f>
        <v/>
      </c>
      <c r="K2288" s="102" t="str">
        <f aca="false">IF(B2288="","",YEAR(B2288))</f>
        <v/>
      </c>
      <c r="L2288" s="102" t="str">
        <f aca="false">IF(N(E2288)=0,"",IF(COUNTIFS(AK_NAMA,C2288,AK_KAT,"KAS")+COUNTIFS(AK_NAMA,D2288,AK_KAT,"KAS")&lt;&gt;1,"",IF(COUNTIFS(AK_NAMA,C2288,AK_KAT,"KAS")=1,D2288,C2288)))</f>
        <v/>
      </c>
      <c r="M2288" s="103" t="n">
        <f aca="false">IF(L2288="",0,IF(L2288=D2288,E2288,-E2288))</f>
        <v>0</v>
      </c>
      <c r="N2288" s="102" t="str">
        <f aca="false">IF(L2288="","",IFERROR(INDEX(AK_BARIS,MATCH(L2288,AK_NAMA,0)),"?"))</f>
        <v/>
      </c>
      <c r="O2288" s="102" t="str">
        <f aca="false">IF(C2288="","",IFERROR(INDEX(AK_KEL,MATCH(C2288,AK_NAMA,0)),"?"))</f>
        <v/>
      </c>
      <c r="P2288" s="102" t="str">
        <f aca="false">IF(D2288="","",IFERROR(INDEX(AK_KEL,MATCH(D2288,AK_NAMA,0)),"?"))</f>
        <v/>
      </c>
      <c r="Q2288" s="102" t="n">
        <f aca="false">N(Q2287)+IF(AND(N(E2288)&lt;&gt;0,K2288=TAHUN,N(J2288)&lt;=BLN,OR(C2288=BB_AKUN,D2288=BB_AKUN)),1,0)</f>
        <v>877</v>
      </c>
      <c r="R2288" s="104" t="str">
        <f aca="false">IF(OR(C2288&amp;D2288="",N(E2288)=0),"",IF(OR(O2288="?",P2288="?"),"⚠ akun tidak dikenal",IF(C2288=D2288,"⚠ debet = kredit","")))</f>
        <v/>
      </c>
    </row>
    <row r="2289" customFormat="false" ht="15" hidden="false" customHeight="false" outlineLevel="0" collapsed="false">
      <c r="A2289" s="5"/>
      <c r="B2289" s="83"/>
      <c r="C2289" s="5"/>
      <c r="D2289" s="5"/>
      <c r="E2289" s="44"/>
      <c r="F2289" s="5"/>
      <c r="G2289" s="5"/>
      <c r="H2289" s="5"/>
      <c r="I2289" s="5"/>
      <c r="J2289" s="102" t="str">
        <f aca="false">IF(B2289="","",MONTH(B2289))</f>
        <v/>
      </c>
      <c r="K2289" s="102" t="str">
        <f aca="false">IF(B2289="","",YEAR(B2289))</f>
        <v/>
      </c>
      <c r="L2289" s="102" t="str">
        <f aca="false">IF(N(E2289)=0,"",IF(COUNTIFS(AK_NAMA,C2289,AK_KAT,"KAS")+COUNTIFS(AK_NAMA,D2289,AK_KAT,"KAS")&lt;&gt;1,"",IF(COUNTIFS(AK_NAMA,C2289,AK_KAT,"KAS")=1,D2289,C2289)))</f>
        <v/>
      </c>
      <c r="M2289" s="103" t="n">
        <f aca="false">IF(L2289="",0,IF(L2289=D2289,E2289,-E2289))</f>
        <v>0</v>
      </c>
      <c r="N2289" s="102" t="str">
        <f aca="false">IF(L2289="","",IFERROR(INDEX(AK_BARIS,MATCH(L2289,AK_NAMA,0)),"?"))</f>
        <v/>
      </c>
      <c r="O2289" s="102" t="str">
        <f aca="false">IF(C2289="","",IFERROR(INDEX(AK_KEL,MATCH(C2289,AK_NAMA,0)),"?"))</f>
        <v/>
      </c>
      <c r="P2289" s="102" t="str">
        <f aca="false">IF(D2289="","",IFERROR(INDEX(AK_KEL,MATCH(D2289,AK_NAMA,0)),"?"))</f>
        <v/>
      </c>
      <c r="Q2289" s="102" t="n">
        <f aca="false">N(Q2288)+IF(AND(N(E2289)&lt;&gt;0,K2289=TAHUN,N(J2289)&lt;=BLN,OR(C2289=BB_AKUN,D2289=BB_AKUN)),1,0)</f>
        <v>877</v>
      </c>
      <c r="R2289" s="104" t="str">
        <f aca="false">IF(OR(C2289&amp;D2289="",N(E2289)=0),"",IF(OR(O2289="?",P2289="?"),"⚠ akun tidak dikenal",IF(C2289=D2289,"⚠ debet = kredit","")))</f>
        <v/>
      </c>
    </row>
    <row r="2290" customFormat="false" ht="15" hidden="false" customHeight="false" outlineLevel="0" collapsed="false">
      <c r="A2290" s="5"/>
      <c r="B2290" s="83"/>
      <c r="C2290" s="5"/>
      <c r="D2290" s="5"/>
      <c r="E2290" s="44"/>
      <c r="F2290" s="5"/>
      <c r="G2290" s="5"/>
      <c r="H2290" s="5"/>
      <c r="I2290" s="5"/>
      <c r="J2290" s="102" t="str">
        <f aca="false">IF(B2290="","",MONTH(B2290))</f>
        <v/>
      </c>
      <c r="K2290" s="102" t="str">
        <f aca="false">IF(B2290="","",YEAR(B2290))</f>
        <v/>
      </c>
      <c r="L2290" s="102" t="str">
        <f aca="false">IF(N(E2290)=0,"",IF(COUNTIFS(AK_NAMA,C2290,AK_KAT,"KAS")+COUNTIFS(AK_NAMA,D2290,AK_KAT,"KAS")&lt;&gt;1,"",IF(COUNTIFS(AK_NAMA,C2290,AK_KAT,"KAS")=1,D2290,C2290)))</f>
        <v/>
      </c>
      <c r="M2290" s="103" t="n">
        <f aca="false">IF(L2290="",0,IF(L2290=D2290,E2290,-E2290))</f>
        <v>0</v>
      </c>
      <c r="N2290" s="102" t="str">
        <f aca="false">IF(L2290="","",IFERROR(INDEX(AK_BARIS,MATCH(L2290,AK_NAMA,0)),"?"))</f>
        <v/>
      </c>
      <c r="O2290" s="102" t="str">
        <f aca="false">IF(C2290="","",IFERROR(INDEX(AK_KEL,MATCH(C2290,AK_NAMA,0)),"?"))</f>
        <v/>
      </c>
      <c r="P2290" s="102" t="str">
        <f aca="false">IF(D2290="","",IFERROR(INDEX(AK_KEL,MATCH(D2290,AK_NAMA,0)),"?"))</f>
        <v/>
      </c>
      <c r="Q2290" s="102" t="n">
        <f aca="false">N(Q2289)+IF(AND(N(E2290)&lt;&gt;0,K2290=TAHUN,N(J2290)&lt;=BLN,OR(C2290=BB_AKUN,D2290=BB_AKUN)),1,0)</f>
        <v>877</v>
      </c>
      <c r="R2290" s="104" t="str">
        <f aca="false">IF(OR(C2290&amp;D2290="",N(E2290)=0),"",IF(OR(O2290="?",P2290="?"),"⚠ akun tidak dikenal",IF(C2290=D2290,"⚠ debet = kredit","")))</f>
        <v/>
      </c>
    </row>
    <row r="2291" customFormat="false" ht="15" hidden="false" customHeight="false" outlineLevel="0" collapsed="false">
      <c r="A2291" s="5"/>
      <c r="B2291" s="83"/>
      <c r="C2291" s="5"/>
      <c r="D2291" s="5"/>
      <c r="E2291" s="44"/>
      <c r="F2291" s="5"/>
      <c r="G2291" s="5"/>
      <c r="H2291" s="5"/>
      <c r="I2291" s="5"/>
      <c r="J2291" s="102" t="str">
        <f aca="false">IF(B2291="","",MONTH(B2291))</f>
        <v/>
      </c>
      <c r="K2291" s="102" t="str">
        <f aca="false">IF(B2291="","",YEAR(B2291))</f>
        <v/>
      </c>
      <c r="L2291" s="102" t="str">
        <f aca="false">IF(N(E2291)=0,"",IF(COUNTIFS(AK_NAMA,C2291,AK_KAT,"KAS")+COUNTIFS(AK_NAMA,D2291,AK_KAT,"KAS")&lt;&gt;1,"",IF(COUNTIFS(AK_NAMA,C2291,AK_KAT,"KAS")=1,D2291,C2291)))</f>
        <v/>
      </c>
      <c r="M2291" s="103" t="n">
        <f aca="false">IF(L2291="",0,IF(L2291=D2291,E2291,-E2291))</f>
        <v>0</v>
      </c>
      <c r="N2291" s="102" t="str">
        <f aca="false">IF(L2291="","",IFERROR(INDEX(AK_BARIS,MATCH(L2291,AK_NAMA,0)),"?"))</f>
        <v/>
      </c>
      <c r="O2291" s="102" t="str">
        <f aca="false">IF(C2291="","",IFERROR(INDEX(AK_KEL,MATCH(C2291,AK_NAMA,0)),"?"))</f>
        <v/>
      </c>
      <c r="P2291" s="102" t="str">
        <f aca="false">IF(D2291="","",IFERROR(INDEX(AK_KEL,MATCH(D2291,AK_NAMA,0)),"?"))</f>
        <v/>
      </c>
      <c r="Q2291" s="102" t="n">
        <f aca="false">N(Q2290)+IF(AND(N(E2291)&lt;&gt;0,K2291=TAHUN,N(J2291)&lt;=BLN,OR(C2291=BB_AKUN,D2291=BB_AKUN)),1,0)</f>
        <v>877</v>
      </c>
      <c r="R2291" s="104" t="str">
        <f aca="false">IF(OR(C2291&amp;D2291="",N(E2291)=0),"",IF(OR(O2291="?",P2291="?"),"⚠ akun tidak dikenal",IF(C2291=D2291,"⚠ debet = kredit","")))</f>
        <v/>
      </c>
    </row>
    <row r="2292" customFormat="false" ht="15" hidden="false" customHeight="false" outlineLevel="0" collapsed="false">
      <c r="A2292" s="5"/>
      <c r="B2292" s="83"/>
      <c r="C2292" s="5"/>
      <c r="D2292" s="5"/>
      <c r="E2292" s="44"/>
      <c r="F2292" s="5"/>
      <c r="G2292" s="5"/>
      <c r="H2292" s="5"/>
      <c r="I2292" s="5"/>
      <c r="J2292" s="102" t="str">
        <f aca="false">IF(B2292="","",MONTH(B2292))</f>
        <v/>
      </c>
      <c r="K2292" s="102" t="str">
        <f aca="false">IF(B2292="","",YEAR(B2292))</f>
        <v/>
      </c>
      <c r="L2292" s="102" t="str">
        <f aca="false">IF(N(E2292)=0,"",IF(COUNTIFS(AK_NAMA,C2292,AK_KAT,"KAS")+COUNTIFS(AK_NAMA,D2292,AK_KAT,"KAS")&lt;&gt;1,"",IF(COUNTIFS(AK_NAMA,C2292,AK_KAT,"KAS")=1,D2292,C2292)))</f>
        <v/>
      </c>
      <c r="M2292" s="103" t="n">
        <f aca="false">IF(L2292="",0,IF(L2292=D2292,E2292,-E2292))</f>
        <v>0</v>
      </c>
      <c r="N2292" s="102" t="str">
        <f aca="false">IF(L2292="","",IFERROR(INDEX(AK_BARIS,MATCH(L2292,AK_NAMA,0)),"?"))</f>
        <v/>
      </c>
      <c r="O2292" s="102" t="str">
        <f aca="false">IF(C2292="","",IFERROR(INDEX(AK_KEL,MATCH(C2292,AK_NAMA,0)),"?"))</f>
        <v/>
      </c>
      <c r="P2292" s="102" t="str">
        <f aca="false">IF(D2292="","",IFERROR(INDEX(AK_KEL,MATCH(D2292,AK_NAMA,0)),"?"))</f>
        <v/>
      </c>
      <c r="Q2292" s="102" t="n">
        <f aca="false">N(Q2291)+IF(AND(N(E2292)&lt;&gt;0,K2292=TAHUN,N(J2292)&lt;=BLN,OR(C2292=BB_AKUN,D2292=BB_AKUN)),1,0)</f>
        <v>877</v>
      </c>
      <c r="R2292" s="104" t="str">
        <f aca="false">IF(OR(C2292&amp;D2292="",N(E2292)=0),"",IF(OR(O2292="?",P2292="?"),"⚠ akun tidak dikenal",IF(C2292=D2292,"⚠ debet = kredit","")))</f>
        <v/>
      </c>
    </row>
    <row r="2293" customFormat="false" ht="15" hidden="false" customHeight="false" outlineLevel="0" collapsed="false">
      <c r="A2293" s="5"/>
      <c r="B2293" s="83"/>
      <c r="C2293" s="5"/>
      <c r="D2293" s="5"/>
      <c r="E2293" s="44"/>
      <c r="F2293" s="5"/>
      <c r="G2293" s="5"/>
      <c r="H2293" s="5"/>
      <c r="I2293" s="5"/>
      <c r="J2293" s="102" t="str">
        <f aca="false">IF(B2293="","",MONTH(B2293))</f>
        <v/>
      </c>
      <c r="K2293" s="102" t="str">
        <f aca="false">IF(B2293="","",YEAR(B2293))</f>
        <v/>
      </c>
      <c r="L2293" s="102" t="str">
        <f aca="false">IF(N(E2293)=0,"",IF(COUNTIFS(AK_NAMA,C2293,AK_KAT,"KAS")+COUNTIFS(AK_NAMA,D2293,AK_KAT,"KAS")&lt;&gt;1,"",IF(COUNTIFS(AK_NAMA,C2293,AK_KAT,"KAS")=1,D2293,C2293)))</f>
        <v/>
      </c>
      <c r="M2293" s="103" t="n">
        <f aca="false">IF(L2293="",0,IF(L2293=D2293,E2293,-E2293))</f>
        <v>0</v>
      </c>
      <c r="N2293" s="102" t="str">
        <f aca="false">IF(L2293="","",IFERROR(INDEX(AK_BARIS,MATCH(L2293,AK_NAMA,0)),"?"))</f>
        <v/>
      </c>
      <c r="O2293" s="102" t="str">
        <f aca="false">IF(C2293="","",IFERROR(INDEX(AK_KEL,MATCH(C2293,AK_NAMA,0)),"?"))</f>
        <v/>
      </c>
      <c r="P2293" s="102" t="str">
        <f aca="false">IF(D2293="","",IFERROR(INDEX(AK_KEL,MATCH(D2293,AK_NAMA,0)),"?"))</f>
        <v/>
      </c>
      <c r="Q2293" s="102" t="n">
        <f aca="false">N(Q2292)+IF(AND(N(E2293)&lt;&gt;0,K2293=TAHUN,N(J2293)&lt;=BLN,OR(C2293=BB_AKUN,D2293=BB_AKUN)),1,0)</f>
        <v>877</v>
      </c>
      <c r="R2293" s="104" t="str">
        <f aca="false">IF(OR(C2293&amp;D2293="",N(E2293)=0),"",IF(OR(O2293="?",P2293="?"),"⚠ akun tidak dikenal",IF(C2293=D2293,"⚠ debet = kredit","")))</f>
        <v/>
      </c>
    </row>
    <row r="2294" customFormat="false" ht="15" hidden="false" customHeight="false" outlineLevel="0" collapsed="false">
      <c r="A2294" s="5"/>
      <c r="B2294" s="83"/>
      <c r="C2294" s="5"/>
      <c r="D2294" s="5"/>
      <c r="E2294" s="44"/>
      <c r="F2294" s="5"/>
      <c r="G2294" s="5"/>
      <c r="H2294" s="5"/>
      <c r="I2294" s="5"/>
      <c r="J2294" s="102" t="str">
        <f aca="false">IF(B2294="","",MONTH(B2294))</f>
        <v/>
      </c>
      <c r="K2294" s="102" t="str">
        <f aca="false">IF(B2294="","",YEAR(B2294))</f>
        <v/>
      </c>
      <c r="L2294" s="102" t="str">
        <f aca="false">IF(N(E2294)=0,"",IF(COUNTIFS(AK_NAMA,C2294,AK_KAT,"KAS")+COUNTIFS(AK_NAMA,D2294,AK_KAT,"KAS")&lt;&gt;1,"",IF(COUNTIFS(AK_NAMA,C2294,AK_KAT,"KAS")=1,D2294,C2294)))</f>
        <v/>
      </c>
      <c r="M2294" s="103" t="n">
        <f aca="false">IF(L2294="",0,IF(L2294=D2294,E2294,-E2294))</f>
        <v>0</v>
      </c>
      <c r="N2294" s="102" t="str">
        <f aca="false">IF(L2294="","",IFERROR(INDEX(AK_BARIS,MATCH(L2294,AK_NAMA,0)),"?"))</f>
        <v/>
      </c>
      <c r="O2294" s="102" t="str">
        <f aca="false">IF(C2294="","",IFERROR(INDEX(AK_KEL,MATCH(C2294,AK_NAMA,0)),"?"))</f>
        <v/>
      </c>
      <c r="P2294" s="102" t="str">
        <f aca="false">IF(D2294="","",IFERROR(INDEX(AK_KEL,MATCH(D2294,AK_NAMA,0)),"?"))</f>
        <v/>
      </c>
      <c r="Q2294" s="102" t="n">
        <f aca="false">N(Q2293)+IF(AND(N(E2294)&lt;&gt;0,K2294=TAHUN,N(J2294)&lt;=BLN,OR(C2294=BB_AKUN,D2294=BB_AKUN)),1,0)</f>
        <v>877</v>
      </c>
      <c r="R2294" s="104" t="str">
        <f aca="false">IF(OR(C2294&amp;D2294="",N(E2294)=0),"",IF(OR(O2294="?",P2294="?"),"⚠ akun tidak dikenal",IF(C2294=D2294,"⚠ debet = kredit","")))</f>
        <v/>
      </c>
    </row>
    <row r="2295" customFormat="false" ht="15" hidden="false" customHeight="false" outlineLevel="0" collapsed="false">
      <c r="A2295" s="5"/>
      <c r="B2295" s="83"/>
      <c r="C2295" s="5"/>
      <c r="D2295" s="5"/>
      <c r="E2295" s="44"/>
      <c r="F2295" s="5"/>
      <c r="G2295" s="5"/>
      <c r="H2295" s="5"/>
      <c r="I2295" s="5"/>
      <c r="J2295" s="102" t="str">
        <f aca="false">IF(B2295="","",MONTH(B2295))</f>
        <v/>
      </c>
      <c r="K2295" s="102" t="str">
        <f aca="false">IF(B2295="","",YEAR(B2295))</f>
        <v/>
      </c>
      <c r="L2295" s="102" t="str">
        <f aca="false">IF(N(E2295)=0,"",IF(COUNTIFS(AK_NAMA,C2295,AK_KAT,"KAS")+COUNTIFS(AK_NAMA,D2295,AK_KAT,"KAS")&lt;&gt;1,"",IF(COUNTIFS(AK_NAMA,C2295,AK_KAT,"KAS")=1,D2295,C2295)))</f>
        <v/>
      </c>
      <c r="M2295" s="103" t="n">
        <f aca="false">IF(L2295="",0,IF(L2295=D2295,E2295,-E2295))</f>
        <v>0</v>
      </c>
      <c r="N2295" s="102" t="str">
        <f aca="false">IF(L2295="","",IFERROR(INDEX(AK_BARIS,MATCH(L2295,AK_NAMA,0)),"?"))</f>
        <v/>
      </c>
      <c r="O2295" s="102" t="str">
        <f aca="false">IF(C2295="","",IFERROR(INDEX(AK_KEL,MATCH(C2295,AK_NAMA,0)),"?"))</f>
        <v/>
      </c>
      <c r="P2295" s="102" t="str">
        <f aca="false">IF(D2295="","",IFERROR(INDEX(AK_KEL,MATCH(D2295,AK_NAMA,0)),"?"))</f>
        <v/>
      </c>
      <c r="Q2295" s="102" t="n">
        <f aca="false">N(Q2294)+IF(AND(N(E2295)&lt;&gt;0,K2295=TAHUN,N(J2295)&lt;=BLN,OR(C2295=BB_AKUN,D2295=BB_AKUN)),1,0)</f>
        <v>877</v>
      </c>
      <c r="R2295" s="104" t="str">
        <f aca="false">IF(OR(C2295&amp;D2295="",N(E2295)=0),"",IF(OR(O2295="?",P2295="?"),"⚠ akun tidak dikenal",IF(C2295=D2295,"⚠ debet = kredit","")))</f>
        <v/>
      </c>
    </row>
    <row r="2296" customFormat="false" ht="15" hidden="false" customHeight="false" outlineLevel="0" collapsed="false">
      <c r="A2296" s="5"/>
      <c r="B2296" s="83"/>
      <c r="C2296" s="5"/>
      <c r="D2296" s="5"/>
      <c r="E2296" s="44"/>
      <c r="F2296" s="5"/>
      <c r="G2296" s="5"/>
      <c r="H2296" s="5"/>
      <c r="I2296" s="5"/>
      <c r="J2296" s="102" t="str">
        <f aca="false">IF(B2296="","",MONTH(B2296))</f>
        <v/>
      </c>
      <c r="K2296" s="102" t="str">
        <f aca="false">IF(B2296="","",YEAR(B2296))</f>
        <v/>
      </c>
      <c r="L2296" s="102" t="str">
        <f aca="false">IF(N(E2296)=0,"",IF(COUNTIFS(AK_NAMA,C2296,AK_KAT,"KAS")+COUNTIFS(AK_NAMA,D2296,AK_KAT,"KAS")&lt;&gt;1,"",IF(COUNTIFS(AK_NAMA,C2296,AK_KAT,"KAS")=1,D2296,C2296)))</f>
        <v/>
      </c>
      <c r="M2296" s="103" t="n">
        <f aca="false">IF(L2296="",0,IF(L2296=D2296,E2296,-E2296))</f>
        <v>0</v>
      </c>
      <c r="N2296" s="102" t="str">
        <f aca="false">IF(L2296="","",IFERROR(INDEX(AK_BARIS,MATCH(L2296,AK_NAMA,0)),"?"))</f>
        <v/>
      </c>
      <c r="O2296" s="102" t="str">
        <f aca="false">IF(C2296="","",IFERROR(INDEX(AK_KEL,MATCH(C2296,AK_NAMA,0)),"?"))</f>
        <v/>
      </c>
      <c r="P2296" s="102" t="str">
        <f aca="false">IF(D2296="","",IFERROR(INDEX(AK_KEL,MATCH(D2296,AK_NAMA,0)),"?"))</f>
        <v/>
      </c>
      <c r="Q2296" s="102" t="n">
        <f aca="false">N(Q2295)+IF(AND(N(E2296)&lt;&gt;0,K2296=TAHUN,N(J2296)&lt;=BLN,OR(C2296=BB_AKUN,D2296=BB_AKUN)),1,0)</f>
        <v>877</v>
      </c>
      <c r="R2296" s="104" t="str">
        <f aca="false">IF(OR(C2296&amp;D2296="",N(E2296)=0),"",IF(OR(O2296="?",P2296="?"),"⚠ akun tidak dikenal",IF(C2296=D2296,"⚠ debet = kredit","")))</f>
        <v/>
      </c>
    </row>
    <row r="2297" customFormat="false" ht="15" hidden="false" customHeight="false" outlineLevel="0" collapsed="false">
      <c r="A2297" s="5"/>
      <c r="B2297" s="83"/>
      <c r="C2297" s="5"/>
      <c r="D2297" s="5"/>
      <c r="E2297" s="44"/>
      <c r="F2297" s="5"/>
      <c r="G2297" s="5"/>
      <c r="H2297" s="5"/>
      <c r="I2297" s="5"/>
      <c r="J2297" s="102" t="str">
        <f aca="false">IF(B2297="","",MONTH(B2297))</f>
        <v/>
      </c>
      <c r="K2297" s="102" t="str">
        <f aca="false">IF(B2297="","",YEAR(B2297))</f>
        <v/>
      </c>
      <c r="L2297" s="102" t="str">
        <f aca="false">IF(N(E2297)=0,"",IF(COUNTIFS(AK_NAMA,C2297,AK_KAT,"KAS")+COUNTIFS(AK_NAMA,D2297,AK_KAT,"KAS")&lt;&gt;1,"",IF(COUNTIFS(AK_NAMA,C2297,AK_KAT,"KAS")=1,D2297,C2297)))</f>
        <v/>
      </c>
      <c r="M2297" s="103" t="n">
        <f aca="false">IF(L2297="",0,IF(L2297=D2297,E2297,-E2297))</f>
        <v>0</v>
      </c>
      <c r="N2297" s="102" t="str">
        <f aca="false">IF(L2297="","",IFERROR(INDEX(AK_BARIS,MATCH(L2297,AK_NAMA,0)),"?"))</f>
        <v/>
      </c>
      <c r="O2297" s="102" t="str">
        <f aca="false">IF(C2297="","",IFERROR(INDEX(AK_KEL,MATCH(C2297,AK_NAMA,0)),"?"))</f>
        <v/>
      </c>
      <c r="P2297" s="102" t="str">
        <f aca="false">IF(D2297="","",IFERROR(INDEX(AK_KEL,MATCH(D2297,AK_NAMA,0)),"?"))</f>
        <v/>
      </c>
      <c r="Q2297" s="102" t="n">
        <f aca="false">N(Q2296)+IF(AND(N(E2297)&lt;&gt;0,K2297=TAHUN,N(J2297)&lt;=BLN,OR(C2297=BB_AKUN,D2297=BB_AKUN)),1,0)</f>
        <v>877</v>
      </c>
      <c r="R2297" s="104" t="str">
        <f aca="false">IF(OR(C2297&amp;D2297="",N(E2297)=0),"",IF(OR(O2297="?",P2297="?"),"⚠ akun tidak dikenal",IF(C2297=D2297,"⚠ debet = kredit","")))</f>
        <v/>
      </c>
    </row>
    <row r="2298" customFormat="false" ht="15" hidden="false" customHeight="false" outlineLevel="0" collapsed="false">
      <c r="A2298" s="5"/>
      <c r="B2298" s="83"/>
      <c r="C2298" s="5"/>
      <c r="D2298" s="5"/>
      <c r="E2298" s="44"/>
      <c r="F2298" s="5"/>
      <c r="G2298" s="5"/>
      <c r="H2298" s="5"/>
      <c r="I2298" s="5"/>
      <c r="J2298" s="102" t="str">
        <f aca="false">IF(B2298="","",MONTH(B2298))</f>
        <v/>
      </c>
      <c r="K2298" s="102" t="str">
        <f aca="false">IF(B2298="","",YEAR(B2298))</f>
        <v/>
      </c>
      <c r="L2298" s="102" t="str">
        <f aca="false">IF(N(E2298)=0,"",IF(COUNTIFS(AK_NAMA,C2298,AK_KAT,"KAS")+COUNTIFS(AK_NAMA,D2298,AK_KAT,"KAS")&lt;&gt;1,"",IF(COUNTIFS(AK_NAMA,C2298,AK_KAT,"KAS")=1,D2298,C2298)))</f>
        <v/>
      </c>
      <c r="M2298" s="103" t="n">
        <f aca="false">IF(L2298="",0,IF(L2298=D2298,E2298,-E2298))</f>
        <v>0</v>
      </c>
      <c r="N2298" s="102" t="str">
        <f aca="false">IF(L2298="","",IFERROR(INDEX(AK_BARIS,MATCH(L2298,AK_NAMA,0)),"?"))</f>
        <v/>
      </c>
      <c r="O2298" s="102" t="str">
        <f aca="false">IF(C2298="","",IFERROR(INDEX(AK_KEL,MATCH(C2298,AK_NAMA,0)),"?"))</f>
        <v/>
      </c>
      <c r="P2298" s="102" t="str">
        <f aca="false">IF(D2298="","",IFERROR(INDEX(AK_KEL,MATCH(D2298,AK_NAMA,0)),"?"))</f>
        <v/>
      </c>
      <c r="Q2298" s="102" t="n">
        <f aca="false">N(Q2297)+IF(AND(N(E2298)&lt;&gt;0,K2298=TAHUN,N(J2298)&lt;=BLN,OR(C2298=BB_AKUN,D2298=BB_AKUN)),1,0)</f>
        <v>877</v>
      </c>
      <c r="R2298" s="104" t="str">
        <f aca="false">IF(OR(C2298&amp;D2298="",N(E2298)=0),"",IF(OR(O2298="?",P2298="?"),"⚠ akun tidak dikenal",IF(C2298=D2298,"⚠ debet = kredit","")))</f>
        <v/>
      </c>
    </row>
    <row r="2299" customFormat="false" ht="15" hidden="false" customHeight="false" outlineLevel="0" collapsed="false">
      <c r="A2299" s="5"/>
      <c r="B2299" s="83"/>
      <c r="C2299" s="5"/>
      <c r="D2299" s="5"/>
      <c r="E2299" s="44"/>
      <c r="F2299" s="5"/>
      <c r="G2299" s="5"/>
      <c r="H2299" s="5"/>
      <c r="I2299" s="5"/>
      <c r="J2299" s="102" t="str">
        <f aca="false">IF(B2299="","",MONTH(B2299))</f>
        <v/>
      </c>
      <c r="K2299" s="102" t="str">
        <f aca="false">IF(B2299="","",YEAR(B2299))</f>
        <v/>
      </c>
      <c r="L2299" s="102" t="str">
        <f aca="false">IF(N(E2299)=0,"",IF(COUNTIFS(AK_NAMA,C2299,AK_KAT,"KAS")+COUNTIFS(AK_NAMA,D2299,AK_KAT,"KAS")&lt;&gt;1,"",IF(COUNTIFS(AK_NAMA,C2299,AK_KAT,"KAS")=1,D2299,C2299)))</f>
        <v/>
      </c>
      <c r="M2299" s="103" t="n">
        <f aca="false">IF(L2299="",0,IF(L2299=D2299,E2299,-E2299))</f>
        <v>0</v>
      </c>
      <c r="N2299" s="102" t="str">
        <f aca="false">IF(L2299="","",IFERROR(INDEX(AK_BARIS,MATCH(L2299,AK_NAMA,0)),"?"))</f>
        <v/>
      </c>
      <c r="O2299" s="102" t="str">
        <f aca="false">IF(C2299="","",IFERROR(INDEX(AK_KEL,MATCH(C2299,AK_NAMA,0)),"?"))</f>
        <v/>
      </c>
      <c r="P2299" s="102" t="str">
        <f aca="false">IF(D2299="","",IFERROR(INDEX(AK_KEL,MATCH(D2299,AK_NAMA,0)),"?"))</f>
        <v/>
      </c>
      <c r="Q2299" s="102" t="n">
        <f aca="false">N(Q2298)+IF(AND(N(E2299)&lt;&gt;0,K2299=TAHUN,N(J2299)&lt;=BLN,OR(C2299=BB_AKUN,D2299=BB_AKUN)),1,0)</f>
        <v>877</v>
      </c>
      <c r="R2299" s="104" t="str">
        <f aca="false">IF(OR(C2299&amp;D2299="",N(E2299)=0),"",IF(OR(O2299="?",P2299="?"),"⚠ akun tidak dikenal",IF(C2299=D2299,"⚠ debet = kredit","")))</f>
        <v/>
      </c>
    </row>
    <row r="2300" customFormat="false" ht="15" hidden="false" customHeight="false" outlineLevel="0" collapsed="false">
      <c r="A2300" s="5"/>
      <c r="B2300" s="83"/>
      <c r="C2300" s="5"/>
      <c r="D2300" s="5"/>
      <c r="E2300" s="44"/>
      <c r="F2300" s="5"/>
      <c r="G2300" s="5"/>
      <c r="H2300" s="5"/>
      <c r="I2300" s="5"/>
      <c r="J2300" s="102" t="str">
        <f aca="false">IF(B2300="","",MONTH(B2300))</f>
        <v/>
      </c>
      <c r="K2300" s="102" t="str">
        <f aca="false">IF(B2300="","",YEAR(B2300))</f>
        <v/>
      </c>
      <c r="L2300" s="102" t="str">
        <f aca="false">IF(N(E2300)=0,"",IF(COUNTIFS(AK_NAMA,C2300,AK_KAT,"KAS")+COUNTIFS(AK_NAMA,D2300,AK_KAT,"KAS")&lt;&gt;1,"",IF(COUNTIFS(AK_NAMA,C2300,AK_KAT,"KAS")=1,D2300,C2300)))</f>
        <v/>
      </c>
      <c r="M2300" s="103" t="n">
        <f aca="false">IF(L2300="",0,IF(L2300=D2300,E2300,-E2300))</f>
        <v>0</v>
      </c>
      <c r="N2300" s="102" t="str">
        <f aca="false">IF(L2300="","",IFERROR(INDEX(AK_BARIS,MATCH(L2300,AK_NAMA,0)),"?"))</f>
        <v/>
      </c>
      <c r="O2300" s="102" t="str">
        <f aca="false">IF(C2300="","",IFERROR(INDEX(AK_KEL,MATCH(C2300,AK_NAMA,0)),"?"))</f>
        <v/>
      </c>
      <c r="P2300" s="102" t="str">
        <f aca="false">IF(D2300="","",IFERROR(INDEX(AK_KEL,MATCH(D2300,AK_NAMA,0)),"?"))</f>
        <v/>
      </c>
      <c r="Q2300" s="102" t="n">
        <f aca="false">N(Q2299)+IF(AND(N(E2300)&lt;&gt;0,K2300=TAHUN,N(J2300)&lt;=BLN,OR(C2300=BB_AKUN,D2300=BB_AKUN)),1,0)</f>
        <v>877</v>
      </c>
      <c r="R2300" s="104" t="str">
        <f aca="false">IF(OR(C2300&amp;D2300="",N(E2300)=0),"",IF(OR(O2300="?",P2300="?"),"⚠ akun tidak dikenal",IF(C2300=D2300,"⚠ debet = kredit","")))</f>
        <v/>
      </c>
    </row>
    <row r="2301" customFormat="false" ht="15" hidden="false" customHeight="false" outlineLevel="0" collapsed="false">
      <c r="A2301" s="5"/>
      <c r="B2301" s="83"/>
      <c r="C2301" s="5"/>
      <c r="D2301" s="5"/>
      <c r="E2301" s="44"/>
      <c r="F2301" s="5"/>
      <c r="G2301" s="5"/>
      <c r="H2301" s="5"/>
      <c r="I2301" s="5"/>
      <c r="J2301" s="102" t="str">
        <f aca="false">IF(B2301="","",MONTH(B2301))</f>
        <v/>
      </c>
      <c r="K2301" s="102" t="str">
        <f aca="false">IF(B2301="","",YEAR(B2301))</f>
        <v/>
      </c>
      <c r="L2301" s="102" t="str">
        <f aca="false">IF(N(E2301)=0,"",IF(COUNTIFS(AK_NAMA,C2301,AK_KAT,"KAS")+COUNTIFS(AK_NAMA,D2301,AK_KAT,"KAS")&lt;&gt;1,"",IF(COUNTIFS(AK_NAMA,C2301,AK_KAT,"KAS")=1,D2301,C2301)))</f>
        <v/>
      </c>
      <c r="M2301" s="103" t="n">
        <f aca="false">IF(L2301="",0,IF(L2301=D2301,E2301,-E2301))</f>
        <v>0</v>
      </c>
      <c r="N2301" s="102" t="str">
        <f aca="false">IF(L2301="","",IFERROR(INDEX(AK_BARIS,MATCH(L2301,AK_NAMA,0)),"?"))</f>
        <v/>
      </c>
      <c r="O2301" s="102" t="str">
        <f aca="false">IF(C2301="","",IFERROR(INDEX(AK_KEL,MATCH(C2301,AK_NAMA,0)),"?"))</f>
        <v/>
      </c>
      <c r="P2301" s="102" t="str">
        <f aca="false">IF(D2301="","",IFERROR(INDEX(AK_KEL,MATCH(D2301,AK_NAMA,0)),"?"))</f>
        <v/>
      </c>
      <c r="Q2301" s="102" t="n">
        <f aca="false">N(Q2300)+IF(AND(N(E2301)&lt;&gt;0,K2301=TAHUN,N(J2301)&lt;=BLN,OR(C2301=BB_AKUN,D2301=BB_AKUN)),1,0)</f>
        <v>877</v>
      </c>
      <c r="R2301" s="104" t="str">
        <f aca="false">IF(OR(C2301&amp;D2301="",N(E2301)=0),"",IF(OR(O2301="?",P2301="?"),"⚠ akun tidak dikenal",IF(C2301=D2301,"⚠ debet = kredit","")))</f>
        <v/>
      </c>
    </row>
    <row r="2302" customFormat="false" ht="15" hidden="false" customHeight="false" outlineLevel="0" collapsed="false">
      <c r="A2302" s="5"/>
      <c r="B2302" s="83"/>
      <c r="C2302" s="5"/>
      <c r="D2302" s="5"/>
      <c r="E2302" s="44"/>
      <c r="F2302" s="5"/>
      <c r="G2302" s="5"/>
      <c r="H2302" s="5"/>
      <c r="I2302" s="5"/>
      <c r="J2302" s="102" t="str">
        <f aca="false">IF(B2302="","",MONTH(B2302))</f>
        <v/>
      </c>
      <c r="K2302" s="102" t="str">
        <f aca="false">IF(B2302="","",YEAR(B2302))</f>
        <v/>
      </c>
      <c r="L2302" s="102" t="str">
        <f aca="false">IF(N(E2302)=0,"",IF(COUNTIFS(AK_NAMA,C2302,AK_KAT,"KAS")+COUNTIFS(AK_NAMA,D2302,AK_KAT,"KAS")&lt;&gt;1,"",IF(COUNTIFS(AK_NAMA,C2302,AK_KAT,"KAS")=1,D2302,C2302)))</f>
        <v/>
      </c>
      <c r="M2302" s="103" t="n">
        <f aca="false">IF(L2302="",0,IF(L2302=D2302,E2302,-E2302))</f>
        <v>0</v>
      </c>
      <c r="N2302" s="102" t="str">
        <f aca="false">IF(L2302="","",IFERROR(INDEX(AK_BARIS,MATCH(L2302,AK_NAMA,0)),"?"))</f>
        <v/>
      </c>
      <c r="O2302" s="102" t="str">
        <f aca="false">IF(C2302="","",IFERROR(INDEX(AK_KEL,MATCH(C2302,AK_NAMA,0)),"?"))</f>
        <v/>
      </c>
      <c r="P2302" s="102" t="str">
        <f aca="false">IF(D2302="","",IFERROR(INDEX(AK_KEL,MATCH(D2302,AK_NAMA,0)),"?"))</f>
        <v/>
      </c>
      <c r="Q2302" s="102" t="n">
        <f aca="false">N(Q2301)+IF(AND(N(E2302)&lt;&gt;0,K2302=TAHUN,N(J2302)&lt;=BLN,OR(C2302=BB_AKUN,D2302=BB_AKUN)),1,0)</f>
        <v>877</v>
      </c>
      <c r="R2302" s="104" t="str">
        <f aca="false">IF(OR(C2302&amp;D2302="",N(E2302)=0),"",IF(OR(O2302="?",P2302="?"),"⚠ akun tidak dikenal",IF(C2302=D2302,"⚠ debet = kredit","")))</f>
        <v/>
      </c>
    </row>
    <row r="2303" customFormat="false" ht="15" hidden="false" customHeight="false" outlineLevel="0" collapsed="false">
      <c r="A2303" s="5"/>
      <c r="B2303" s="83"/>
      <c r="C2303" s="5"/>
      <c r="D2303" s="5"/>
      <c r="E2303" s="44"/>
      <c r="F2303" s="5"/>
      <c r="G2303" s="5"/>
      <c r="H2303" s="5"/>
      <c r="I2303" s="5"/>
      <c r="J2303" s="102" t="str">
        <f aca="false">IF(B2303="","",MONTH(B2303))</f>
        <v/>
      </c>
      <c r="K2303" s="102" t="str">
        <f aca="false">IF(B2303="","",YEAR(B2303))</f>
        <v/>
      </c>
      <c r="L2303" s="102" t="str">
        <f aca="false">IF(N(E2303)=0,"",IF(COUNTIFS(AK_NAMA,C2303,AK_KAT,"KAS")+COUNTIFS(AK_NAMA,D2303,AK_KAT,"KAS")&lt;&gt;1,"",IF(COUNTIFS(AK_NAMA,C2303,AK_KAT,"KAS")=1,D2303,C2303)))</f>
        <v/>
      </c>
      <c r="M2303" s="103" t="n">
        <f aca="false">IF(L2303="",0,IF(L2303=D2303,E2303,-E2303))</f>
        <v>0</v>
      </c>
      <c r="N2303" s="102" t="str">
        <f aca="false">IF(L2303="","",IFERROR(INDEX(AK_BARIS,MATCH(L2303,AK_NAMA,0)),"?"))</f>
        <v/>
      </c>
      <c r="O2303" s="102" t="str">
        <f aca="false">IF(C2303="","",IFERROR(INDEX(AK_KEL,MATCH(C2303,AK_NAMA,0)),"?"))</f>
        <v/>
      </c>
      <c r="P2303" s="102" t="str">
        <f aca="false">IF(D2303="","",IFERROR(INDEX(AK_KEL,MATCH(D2303,AK_NAMA,0)),"?"))</f>
        <v/>
      </c>
      <c r="Q2303" s="102" t="n">
        <f aca="false">N(Q2302)+IF(AND(N(E2303)&lt;&gt;0,K2303=TAHUN,N(J2303)&lt;=BLN,OR(C2303=BB_AKUN,D2303=BB_AKUN)),1,0)</f>
        <v>877</v>
      </c>
      <c r="R2303" s="104" t="str">
        <f aca="false">IF(OR(C2303&amp;D2303="",N(E2303)=0),"",IF(OR(O2303="?",P2303="?"),"⚠ akun tidak dikenal",IF(C2303=D2303,"⚠ debet = kredit","")))</f>
        <v/>
      </c>
    </row>
    <row r="2304" customFormat="false" ht="15" hidden="false" customHeight="false" outlineLevel="0" collapsed="false">
      <c r="A2304" s="5"/>
      <c r="B2304" s="83"/>
      <c r="C2304" s="5"/>
      <c r="D2304" s="5"/>
      <c r="E2304" s="44"/>
      <c r="F2304" s="5"/>
      <c r="G2304" s="5"/>
      <c r="H2304" s="5"/>
      <c r="I2304" s="5"/>
      <c r="J2304" s="102" t="str">
        <f aca="false">IF(B2304="","",MONTH(B2304))</f>
        <v/>
      </c>
      <c r="K2304" s="102" t="str">
        <f aca="false">IF(B2304="","",YEAR(B2304))</f>
        <v/>
      </c>
      <c r="L2304" s="102" t="str">
        <f aca="false">IF(N(E2304)=0,"",IF(COUNTIFS(AK_NAMA,C2304,AK_KAT,"KAS")+COUNTIFS(AK_NAMA,D2304,AK_KAT,"KAS")&lt;&gt;1,"",IF(COUNTIFS(AK_NAMA,C2304,AK_KAT,"KAS")=1,D2304,C2304)))</f>
        <v/>
      </c>
      <c r="M2304" s="103" t="n">
        <f aca="false">IF(L2304="",0,IF(L2304=D2304,E2304,-E2304))</f>
        <v>0</v>
      </c>
      <c r="N2304" s="102" t="str">
        <f aca="false">IF(L2304="","",IFERROR(INDEX(AK_BARIS,MATCH(L2304,AK_NAMA,0)),"?"))</f>
        <v/>
      </c>
      <c r="O2304" s="102" t="str">
        <f aca="false">IF(C2304="","",IFERROR(INDEX(AK_KEL,MATCH(C2304,AK_NAMA,0)),"?"))</f>
        <v/>
      </c>
      <c r="P2304" s="102" t="str">
        <f aca="false">IF(D2304="","",IFERROR(INDEX(AK_KEL,MATCH(D2304,AK_NAMA,0)),"?"))</f>
        <v/>
      </c>
      <c r="Q2304" s="102" t="n">
        <f aca="false">N(Q2303)+IF(AND(N(E2304)&lt;&gt;0,K2304=TAHUN,N(J2304)&lt;=BLN,OR(C2304=BB_AKUN,D2304=BB_AKUN)),1,0)</f>
        <v>877</v>
      </c>
      <c r="R2304" s="104" t="str">
        <f aca="false">IF(OR(C2304&amp;D2304="",N(E2304)=0),"",IF(OR(O2304="?",P2304="?"),"⚠ akun tidak dikenal",IF(C2304=D2304,"⚠ debet = kredit","")))</f>
        <v/>
      </c>
    </row>
    <row r="2305" customFormat="false" ht="15" hidden="false" customHeight="false" outlineLevel="0" collapsed="false">
      <c r="A2305" s="5"/>
      <c r="B2305" s="83"/>
      <c r="C2305" s="5"/>
      <c r="D2305" s="5"/>
      <c r="E2305" s="44"/>
      <c r="F2305" s="5"/>
      <c r="G2305" s="5"/>
      <c r="H2305" s="5"/>
      <c r="I2305" s="5"/>
      <c r="J2305" s="102" t="str">
        <f aca="false">IF(B2305="","",MONTH(B2305))</f>
        <v/>
      </c>
      <c r="K2305" s="102" t="str">
        <f aca="false">IF(B2305="","",YEAR(B2305))</f>
        <v/>
      </c>
      <c r="L2305" s="102" t="str">
        <f aca="false">IF(N(E2305)=0,"",IF(COUNTIFS(AK_NAMA,C2305,AK_KAT,"KAS")+COUNTIFS(AK_NAMA,D2305,AK_KAT,"KAS")&lt;&gt;1,"",IF(COUNTIFS(AK_NAMA,C2305,AK_KAT,"KAS")=1,D2305,C2305)))</f>
        <v/>
      </c>
      <c r="M2305" s="103" t="n">
        <f aca="false">IF(L2305="",0,IF(L2305=D2305,E2305,-E2305))</f>
        <v>0</v>
      </c>
      <c r="N2305" s="102" t="str">
        <f aca="false">IF(L2305="","",IFERROR(INDEX(AK_BARIS,MATCH(L2305,AK_NAMA,0)),"?"))</f>
        <v/>
      </c>
      <c r="O2305" s="102" t="str">
        <f aca="false">IF(C2305="","",IFERROR(INDEX(AK_KEL,MATCH(C2305,AK_NAMA,0)),"?"))</f>
        <v/>
      </c>
      <c r="P2305" s="102" t="str">
        <f aca="false">IF(D2305="","",IFERROR(INDEX(AK_KEL,MATCH(D2305,AK_NAMA,0)),"?"))</f>
        <v/>
      </c>
      <c r="Q2305" s="102" t="n">
        <f aca="false">N(Q2304)+IF(AND(N(E2305)&lt;&gt;0,K2305=TAHUN,N(J2305)&lt;=BLN,OR(C2305=BB_AKUN,D2305=BB_AKUN)),1,0)</f>
        <v>877</v>
      </c>
      <c r="R2305" s="104" t="str">
        <f aca="false">IF(OR(C2305&amp;D2305="",N(E2305)=0),"",IF(OR(O2305="?",P2305="?"),"⚠ akun tidak dikenal",IF(C2305=D2305,"⚠ debet = kredit","")))</f>
        <v/>
      </c>
    </row>
    <row r="2306" customFormat="false" ht="15" hidden="false" customHeight="false" outlineLevel="0" collapsed="false">
      <c r="A2306" s="5"/>
      <c r="B2306" s="83"/>
      <c r="C2306" s="5"/>
      <c r="D2306" s="5"/>
      <c r="E2306" s="44"/>
      <c r="F2306" s="5"/>
      <c r="G2306" s="5"/>
      <c r="H2306" s="5"/>
      <c r="I2306" s="5"/>
      <c r="J2306" s="102" t="str">
        <f aca="false">IF(B2306="","",MONTH(B2306))</f>
        <v/>
      </c>
      <c r="K2306" s="102" t="str">
        <f aca="false">IF(B2306="","",YEAR(B2306))</f>
        <v/>
      </c>
      <c r="L2306" s="102" t="str">
        <f aca="false">IF(N(E2306)=0,"",IF(COUNTIFS(AK_NAMA,C2306,AK_KAT,"KAS")+COUNTIFS(AK_NAMA,D2306,AK_KAT,"KAS")&lt;&gt;1,"",IF(COUNTIFS(AK_NAMA,C2306,AK_KAT,"KAS")=1,D2306,C2306)))</f>
        <v/>
      </c>
      <c r="M2306" s="103" t="n">
        <f aca="false">IF(L2306="",0,IF(L2306=D2306,E2306,-E2306))</f>
        <v>0</v>
      </c>
      <c r="N2306" s="102" t="str">
        <f aca="false">IF(L2306="","",IFERROR(INDEX(AK_BARIS,MATCH(L2306,AK_NAMA,0)),"?"))</f>
        <v/>
      </c>
      <c r="O2306" s="102" t="str">
        <f aca="false">IF(C2306="","",IFERROR(INDEX(AK_KEL,MATCH(C2306,AK_NAMA,0)),"?"))</f>
        <v/>
      </c>
      <c r="P2306" s="102" t="str">
        <f aca="false">IF(D2306="","",IFERROR(INDEX(AK_KEL,MATCH(D2306,AK_NAMA,0)),"?"))</f>
        <v/>
      </c>
      <c r="Q2306" s="102" t="n">
        <f aca="false">N(Q2305)+IF(AND(N(E2306)&lt;&gt;0,K2306=TAHUN,N(J2306)&lt;=BLN,OR(C2306=BB_AKUN,D2306=BB_AKUN)),1,0)</f>
        <v>877</v>
      </c>
      <c r="R2306" s="104" t="str">
        <f aca="false">IF(OR(C2306&amp;D2306="",N(E2306)=0),"",IF(OR(O2306="?",P2306="?"),"⚠ akun tidak dikenal",IF(C2306=D2306,"⚠ debet = kredit","")))</f>
        <v/>
      </c>
    </row>
    <row r="2307" customFormat="false" ht="15" hidden="false" customHeight="false" outlineLevel="0" collapsed="false">
      <c r="A2307" s="5"/>
      <c r="B2307" s="83"/>
      <c r="C2307" s="5"/>
      <c r="D2307" s="5"/>
      <c r="E2307" s="44"/>
      <c r="F2307" s="5"/>
      <c r="G2307" s="5"/>
      <c r="H2307" s="5"/>
      <c r="I2307" s="5"/>
      <c r="J2307" s="102" t="str">
        <f aca="false">IF(B2307="","",MONTH(B2307))</f>
        <v/>
      </c>
      <c r="K2307" s="102" t="str">
        <f aca="false">IF(B2307="","",YEAR(B2307))</f>
        <v/>
      </c>
      <c r="L2307" s="102" t="str">
        <f aca="false">IF(N(E2307)=0,"",IF(COUNTIFS(AK_NAMA,C2307,AK_KAT,"KAS")+COUNTIFS(AK_NAMA,D2307,AK_KAT,"KAS")&lt;&gt;1,"",IF(COUNTIFS(AK_NAMA,C2307,AK_KAT,"KAS")=1,D2307,C2307)))</f>
        <v/>
      </c>
      <c r="M2307" s="103" t="n">
        <f aca="false">IF(L2307="",0,IF(L2307=D2307,E2307,-E2307))</f>
        <v>0</v>
      </c>
      <c r="N2307" s="102" t="str">
        <f aca="false">IF(L2307="","",IFERROR(INDEX(AK_BARIS,MATCH(L2307,AK_NAMA,0)),"?"))</f>
        <v/>
      </c>
      <c r="O2307" s="102" t="str">
        <f aca="false">IF(C2307="","",IFERROR(INDEX(AK_KEL,MATCH(C2307,AK_NAMA,0)),"?"))</f>
        <v/>
      </c>
      <c r="P2307" s="102" t="str">
        <f aca="false">IF(D2307="","",IFERROR(INDEX(AK_KEL,MATCH(D2307,AK_NAMA,0)),"?"))</f>
        <v/>
      </c>
      <c r="Q2307" s="102" t="n">
        <f aca="false">N(Q2306)+IF(AND(N(E2307)&lt;&gt;0,K2307=TAHUN,N(J2307)&lt;=BLN,OR(C2307=BB_AKUN,D2307=BB_AKUN)),1,0)</f>
        <v>877</v>
      </c>
      <c r="R2307" s="104" t="str">
        <f aca="false">IF(OR(C2307&amp;D2307="",N(E2307)=0),"",IF(OR(O2307="?",P2307="?"),"⚠ akun tidak dikenal",IF(C2307=D2307,"⚠ debet = kredit","")))</f>
        <v/>
      </c>
    </row>
    <row r="2308" customFormat="false" ht="15" hidden="false" customHeight="false" outlineLevel="0" collapsed="false">
      <c r="A2308" s="5"/>
      <c r="B2308" s="83"/>
      <c r="C2308" s="5"/>
      <c r="D2308" s="5"/>
      <c r="E2308" s="44"/>
      <c r="F2308" s="5"/>
      <c r="G2308" s="5"/>
      <c r="H2308" s="5"/>
      <c r="I2308" s="5"/>
      <c r="J2308" s="102" t="str">
        <f aca="false">IF(B2308="","",MONTH(B2308))</f>
        <v/>
      </c>
      <c r="K2308" s="102" t="str">
        <f aca="false">IF(B2308="","",YEAR(B2308))</f>
        <v/>
      </c>
      <c r="L2308" s="102" t="str">
        <f aca="false">IF(N(E2308)=0,"",IF(COUNTIFS(AK_NAMA,C2308,AK_KAT,"KAS")+COUNTIFS(AK_NAMA,D2308,AK_KAT,"KAS")&lt;&gt;1,"",IF(COUNTIFS(AK_NAMA,C2308,AK_KAT,"KAS")=1,D2308,C2308)))</f>
        <v/>
      </c>
      <c r="M2308" s="103" t="n">
        <f aca="false">IF(L2308="",0,IF(L2308=D2308,E2308,-E2308))</f>
        <v>0</v>
      </c>
      <c r="N2308" s="102" t="str">
        <f aca="false">IF(L2308="","",IFERROR(INDEX(AK_BARIS,MATCH(L2308,AK_NAMA,0)),"?"))</f>
        <v/>
      </c>
      <c r="O2308" s="102" t="str">
        <f aca="false">IF(C2308="","",IFERROR(INDEX(AK_KEL,MATCH(C2308,AK_NAMA,0)),"?"))</f>
        <v/>
      </c>
      <c r="P2308" s="102" t="str">
        <f aca="false">IF(D2308="","",IFERROR(INDEX(AK_KEL,MATCH(D2308,AK_NAMA,0)),"?"))</f>
        <v/>
      </c>
      <c r="Q2308" s="102" t="n">
        <f aca="false">N(Q2307)+IF(AND(N(E2308)&lt;&gt;0,K2308=TAHUN,N(J2308)&lt;=BLN,OR(C2308=BB_AKUN,D2308=BB_AKUN)),1,0)</f>
        <v>877</v>
      </c>
      <c r="R2308" s="104" t="str">
        <f aca="false">IF(OR(C2308&amp;D2308="",N(E2308)=0),"",IF(OR(O2308="?",P2308="?"),"⚠ akun tidak dikenal",IF(C2308=D2308,"⚠ debet = kredit","")))</f>
        <v/>
      </c>
    </row>
    <row r="2309" customFormat="false" ht="15" hidden="false" customHeight="false" outlineLevel="0" collapsed="false">
      <c r="A2309" s="5"/>
      <c r="B2309" s="83"/>
      <c r="C2309" s="5"/>
      <c r="D2309" s="5"/>
      <c r="E2309" s="44"/>
      <c r="F2309" s="5"/>
      <c r="G2309" s="5"/>
      <c r="H2309" s="5"/>
      <c r="I2309" s="5"/>
      <c r="J2309" s="102" t="str">
        <f aca="false">IF(B2309="","",MONTH(B2309))</f>
        <v/>
      </c>
      <c r="K2309" s="102" t="str">
        <f aca="false">IF(B2309="","",YEAR(B2309))</f>
        <v/>
      </c>
      <c r="L2309" s="102" t="str">
        <f aca="false">IF(N(E2309)=0,"",IF(COUNTIFS(AK_NAMA,C2309,AK_KAT,"KAS")+COUNTIFS(AK_NAMA,D2309,AK_KAT,"KAS")&lt;&gt;1,"",IF(COUNTIFS(AK_NAMA,C2309,AK_KAT,"KAS")=1,D2309,C2309)))</f>
        <v/>
      </c>
      <c r="M2309" s="103" t="n">
        <f aca="false">IF(L2309="",0,IF(L2309=D2309,E2309,-E2309))</f>
        <v>0</v>
      </c>
      <c r="N2309" s="102" t="str">
        <f aca="false">IF(L2309="","",IFERROR(INDEX(AK_BARIS,MATCH(L2309,AK_NAMA,0)),"?"))</f>
        <v/>
      </c>
      <c r="O2309" s="102" t="str">
        <f aca="false">IF(C2309="","",IFERROR(INDEX(AK_KEL,MATCH(C2309,AK_NAMA,0)),"?"))</f>
        <v/>
      </c>
      <c r="P2309" s="102" t="str">
        <f aca="false">IF(D2309="","",IFERROR(INDEX(AK_KEL,MATCH(D2309,AK_NAMA,0)),"?"))</f>
        <v/>
      </c>
      <c r="Q2309" s="102" t="n">
        <f aca="false">N(Q2308)+IF(AND(N(E2309)&lt;&gt;0,K2309=TAHUN,N(J2309)&lt;=BLN,OR(C2309=BB_AKUN,D2309=BB_AKUN)),1,0)</f>
        <v>877</v>
      </c>
      <c r="R2309" s="104" t="str">
        <f aca="false">IF(OR(C2309&amp;D2309="",N(E2309)=0),"",IF(OR(O2309="?",P2309="?"),"⚠ akun tidak dikenal",IF(C2309=D2309,"⚠ debet = kredit","")))</f>
        <v/>
      </c>
    </row>
    <row r="2310" customFormat="false" ht="15" hidden="false" customHeight="false" outlineLevel="0" collapsed="false">
      <c r="A2310" s="5"/>
      <c r="B2310" s="83"/>
      <c r="C2310" s="5"/>
      <c r="D2310" s="5"/>
      <c r="E2310" s="44"/>
      <c r="F2310" s="5"/>
      <c r="G2310" s="5"/>
      <c r="H2310" s="5"/>
      <c r="I2310" s="5"/>
      <c r="J2310" s="102" t="str">
        <f aca="false">IF(B2310="","",MONTH(B2310))</f>
        <v/>
      </c>
      <c r="K2310" s="102" t="str">
        <f aca="false">IF(B2310="","",YEAR(B2310))</f>
        <v/>
      </c>
      <c r="L2310" s="102" t="str">
        <f aca="false">IF(N(E2310)=0,"",IF(COUNTIFS(AK_NAMA,C2310,AK_KAT,"KAS")+COUNTIFS(AK_NAMA,D2310,AK_KAT,"KAS")&lt;&gt;1,"",IF(COUNTIFS(AK_NAMA,C2310,AK_KAT,"KAS")=1,D2310,C2310)))</f>
        <v/>
      </c>
      <c r="M2310" s="103" t="n">
        <f aca="false">IF(L2310="",0,IF(L2310=D2310,E2310,-E2310))</f>
        <v>0</v>
      </c>
      <c r="N2310" s="102" t="str">
        <f aca="false">IF(L2310="","",IFERROR(INDEX(AK_BARIS,MATCH(L2310,AK_NAMA,0)),"?"))</f>
        <v/>
      </c>
      <c r="O2310" s="102" t="str">
        <f aca="false">IF(C2310="","",IFERROR(INDEX(AK_KEL,MATCH(C2310,AK_NAMA,0)),"?"))</f>
        <v/>
      </c>
      <c r="P2310" s="102" t="str">
        <f aca="false">IF(D2310="","",IFERROR(INDEX(AK_KEL,MATCH(D2310,AK_NAMA,0)),"?"))</f>
        <v/>
      </c>
      <c r="Q2310" s="102" t="n">
        <f aca="false">N(Q2309)+IF(AND(N(E2310)&lt;&gt;0,K2310=TAHUN,N(J2310)&lt;=BLN,OR(C2310=BB_AKUN,D2310=BB_AKUN)),1,0)</f>
        <v>877</v>
      </c>
      <c r="R2310" s="104" t="str">
        <f aca="false">IF(OR(C2310&amp;D2310="",N(E2310)=0),"",IF(OR(O2310="?",P2310="?"),"⚠ akun tidak dikenal",IF(C2310=D2310,"⚠ debet = kredit","")))</f>
        <v/>
      </c>
    </row>
    <row r="2311" customFormat="false" ht="15" hidden="false" customHeight="false" outlineLevel="0" collapsed="false">
      <c r="A2311" s="5"/>
      <c r="B2311" s="83"/>
      <c r="C2311" s="5"/>
      <c r="D2311" s="5"/>
      <c r="E2311" s="44"/>
      <c r="F2311" s="5"/>
      <c r="G2311" s="5"/>
      <c r="H2311" s="5"/>
      <c r="I2311" s="5"/>
      <c r="J2311" s="102" t="str">
        <f aca="false">IF(B2311="","",MONTH(B2311))</f>
        <v/>
      </c>
      <c r="K2311" s="102" t="str">
        <f aca="false">IF(B2311="","",YEAR(B2311))</f>
        <v/>
      </c>
      <c r="L2311" s="102" t="str">
        <f aca="false">IF(N(E2311)=0,"",IF(COUNTIFS(AK_NAMA,C2311,AK_KAT,"KAS")+COUNTIFS(AK_NAMA,D2311,AK_KAT,"KAS")&lt;&gt;1,"",IF(COUNTIFS(AK_NAMA,C2311,AK_KAT,"KAS")=1,D2311,C2311)))</f>
        <v/>
      </c>
      <c r="M2311" s="103" t="n">
        <f aca="false">IF(L2311="",0,IF(L2311=D2311,E2311,-E2311))</f>
        <v>0</v>
      </c>
      <c r="N2311" s="102" t="str">
        <f aca="false">IF(L2311="","",IFERROR(INDEX(AK_BARIS,MATCH(L2311,AK_NAMA,0)),"?"))</f>
        <v/>
      </c>
      <c r="O2311" s="102" t="str">
        <f aca="false">IF(C2311="","",IFERROR(INDEX(AK_KEL,MATCH(C2311,AK_NAMA,0)),"?"))</f>
        <v/>
      </c>
      <c r="P2311" s="102" t="str">
        <f aca="false">IF(D2311="","",IFERROR(INDEX(AK_KEL,MATCH(D2311,AK_NAMA,0)),"?"))</f>
        <v/>
      </c>
      <c r="Q2311" s="102" t="n">
        <f aca="false">N(Q2310)+IF(AND(N(E2311)&lt;&gt;0,K2311=TAHUN,N(J2311)&lt;=BLN,OR(C2311=BB_AKUN,D2311=BB_AKUN)),1,0)</f>
        <v>877</v>
      </c>
      <c r="R2311" s="104" t="str">
        <f aca="false">IF(OR(C2311&amp;D2311="",N(E2311)=0),"",IF(OR(O2311="?",P2311="?"),"⚠ akun tidak dikenal",IF(C2311=D2311,"⚠ debet = kredit","")))</f>
        <v/>
      </c>
    </row>
    <row r="2312" customFormat="false" ht="15" hidden="false" customHeight="false" outlineLevel="0" collapsed="false">
      <c r="A2312" s="5"/>
      <c r="B2312" s="83"/>
      <c r="C2312" s="5"/>
      <c r="D2312" s="5"/>
      <c r="E2312" s="44"/>
      <c r="F2312" s="5"/>
      <c r="G2312" s="5"/>
      <c r="H2312" s="5"/>
      <c r="I2312" s="5"/>
      <c r="J2312" s="102" t="str">
        <f aca="false">IF(B2312="","",MONTH(B2312))</f>
        <v/>
      </c>
      <c r="K2312" s="102" t="str">
        <f aca="false">IF(B2312="","",YEAR(B2312))</f>
        <v/>
      </c>
      <c r="L2312" s="102" t="str">
        <f aca="false">IF(N(E2312)=0,"",IF(COUNTIFS(AK_NAMA,C2312,AK_KAT,"KAS")+COUNTIFS(AK_NAMA,D2312,AK_KAT,"KAS")&lt;&gt;1,"",IF(COUNTIFS(AK_NAMA,C2312,AK_KAT,"KAS")=1,D2312,C2312)))</f>
        <v/>
      </c>
      <c r="M2312" s="103" t="n">
        <f aca="false">IF(L2312="",0,IF(L2312=D2312,E2312,-E2312))</f>
        <v>0</v>
      </c>
      <c r="N2312" s="102" t="str">
        <f aca="false">IF(L2312="","",IFERROR(INDEX(AK_BARIS,MATCH(L2312,AK_NAMA,0)),"?"))</f>
        <v/>
      </c>
      <c r="O2312" s="102" t="str">
        <f aca="false">IF(C2312="","",IFERROR(INDEX(AK_KEL,MATCH(C2312,AK_NAMA,0)),"?"))</f>
        <v/>
      </c>
      <c r="P2312" s="102" t="str">
        <f aca="false">IF(D2312="","",IFERROR(INDEX(AK_KEL,MATCH(D2312,AK_NAMA,0)),"?"))</f>
        <v/>
      </c>
      <c r="Q2312" s="102" t="n">
        <f aca="false">N(Q2311)+IF(AND(N(E2312)&lt;&gt;0,K2312=TAHUN,N(J2312)&lt;=BLN,OR(C2312=BB_AKUN,D2312=BB_AKUN)),1,0)</f>
        <v>877</v>
      </c>
      <c r="R2312" s="104" t="str">
        <f aca="false">IF(OR(C2312&amp;D2312="",N(E2312)=0),"",IF(OR(O2312="?",P2312="?"),"⚠ akun tidak dikenal",IF(C2312=D2312,"⚠ debet = kredit","")))</f>
        <v/>
      </c>
    </row>
    <row r="2313" customFormat="false" ht="15" hidden="false" customHeight="false" outlineLevel="0" collapsed="false">
      <c r="A2313" s="5"/>
      <c r="B2313" s="83"/>
      <c r="C2313" s="5"/>
      <c r="D2313" s="5"/>
      <c r="E2313" s="44"/>
      <c r="F2313" s="5"/>
      <c r="G2313" s="5"/>
      <c r="H2313" s="5"/>
      <c r="I2313" s="5"/>
      <c r="J2313" s="102" t="str">
        <f aca="false">IF(B2313="","",MONTH(B2313))</f>
        <v/>
      </c>
      <c r="K2313" s="102" t="str">
        <f aca="false">IF(B2313="","",YEAR(B2313))</f>
        <v/>
      </c>
      <c r="L2313" s="102" t="str">
        <f aca="false">IF(N(E2313)=0,"",IF(COUNTIFS(AK_NAMA,C2313,AK_KAT,"KAS")+COUNTIFS(AK_NAMA,D2313,AK_KAT,"KAS")&lt;&gt;1,"",IF(COUNTIFS(AK_NAMA,C2313,AK_KAT,"KAS")=1,D2313,C2313)))</f>
        <v/>
      </c>
      <c r="M2313" s="103" t="n">
        <f aca="false">IF(L2313="",0,IF(L2313=D2313,E2313,-E2313))</f>
        <v>0</v>
      </c>
      <c r="N2313" s="102" t="str">
        <f aca="false">IF(L2313="","",IFERROR(INDEX(AK_BARIS,MATCH(L2313,AK_NAMA,0)),"?"))</f>
        <v/>
      </c>
      <c r="O2313" s="102" t="str">
        <f aca="false">IF(C2313="","",IFERROR(INDEX(AK_KEL,MATCH(C2313,AK_NAMA,0)),"?"))</f>
        <v/>
      </c>
      <c r="P2313" s="102" t="str">
        <f aca="false">IF(D2313="","",IFERROR(INDEX(AK_KEL,MATCH(D2313,AK_NAMA,0)),"?"))</f>
        <v/>
      </c>
      <c r="Q2313" s="102" t="n">
        <f aca="false">N(Q2312)+IF(AND(N(E2313)&lt;&gt;0,K2313=TAHUN,N(J2313)&lt;=BLN,OR(C2313=BB_AKUN,D2313=BB_AKUN)),1,0)</f>
        <v>877</v>
      </c>
      <c r="R2313" s="104" t="str">
        <f aca="false">IF(OR(C2313&amp;D2313="",N(E2313)=0),"",IF(OR(O2313="?",P2313="?"),"⚠ akun tidak dikenal",IF(C2313=D2313,"⚠ debet = kredit","")))</f>
        <v/>
      </c>
    </row>
    <row r="2314" customFormat="false" ht="15" hidden="false" customHeight="false" outlineLevel="0" collapsed="false">
      <c r="A2314" s="5"/>
      <c r="B2314" s="83"/>
      <c r="C2314" s="5"/>
      <c r="D2314" s="5"/>
      <c r="E2314" s="44"/>
      <c r="F2314" s="5"/>
      <c r="G2314" s="5"/>
      <c r="H2314" s="5"/>
      <c r="I2314" s="5"/>
      <c r="J2314" s="102" t="str">
        <f aca="false">IF(B2314="","",MONTH(B2314))</f>
        <v/>
      </c>
      <c r="K2314" s="102" t="str">
        <f aca="false">IF(B2314="","",YEAR(B2314))</f>
        <v/>
      </c>
      <c r="L2314" s="102" t="str">
        <f aca="false">IF(N(E2314)=0,"",IF(COUNTIFS(AK_NAMA,C2314,AK_KAT,"KAS")+COUNTIFS(AK_NAMA,D2314,AK_KAT,"KAS")&lt;&gt;1,"",IF(COUNTIFS(AK_NAMA,C2314,AK_KAT,"KAS")=1,D2314,C2314)))</f>
        <v/>
      </c>
      <c r="M2314" s="103" t="n">
        <f aca="false">IF(L2314="",0,IF(L2314=D2314,E2314,-E2314))</f>
        <v>0</v>
      </c>
      <c r="N2314" s="102" t="str">
        <f aca="false">IF(L2314="","",IFERROR(INDEX(AK_BARIS,MATCH(L2314,AK_NAMA,0)),"?"))</f>
        <v/>
      </c>
      <c r="O2314" s="102" t="str">
        <f aca="false">IF(C2314="","",IFERROR(INDEX(AK_KEL,MATCH(C2314,AK_NAMA,0)),"?"))</f>
        <v/>
      </c>
      <c r="P2314" s="102" t="str">
        <f aca="false">IF(D2314="","",IFERROR(INDEX(AK_KEL,MATCH(D2314,AK_NAMA,0)),"?"))</f>
        <v/>
      </c>
      <c r="Q2314" s="102" t="n">
        <f aca="false">N(Q2313)+IF(AND(N(E2314)&lt;&gt;0,K2314=TAHUN,N(J2314)&lt;=BLN,OR(C2314=BB_AKUN,D2314=BB_AKUN)),1,0)</f>
        <v>877</v>
      </c>
      <c r="R2314" s="104" t="str">
        <f aca="false">IF(OR(C2314&amp;D2314="",N(E2314)=0),"",IF(OR(O2314="?",P2314="?"),"⚠ akun tidak dikenal",IF(C2314=D2314,"⚠ debet = kredit","")))</f>
        <v/>
      </c>
    </row>
    <row r="2315" customFormat="false" ht="15" hidden="false" customHeight="false" outlineLevel="0" collapsed="false">
      <c r="A2315" s="5"/>
      <c r="B2315" s="83"/>
      <c r="C2315" s="5"/>
      <c r="D2315" s="5"/>
      <c r="E2315" s="44"/>
      <c r="F2315" s="5"/>
      <c r="G2315" s="5"/>
      <c r="H2315" s="5"/>
      <c r="I2315" s="5"/>
      <c r="J2315" s="102" t="str">
        <f aca="false">IF(B2315="","",MONTH(B2315))</f>
        <v/>
      </c>
      <c r="K2315" s="102" t="str">
        <f aca="false">IF(B2315="","",YEAR(B2315))</f>
        <v/>
      </c>
      <c r="L2315" s="102" t="str">
        <f aca="false">IF(N(E2315)=0,"",IF(COUNTIFS(AK_NAMA,C2315,AK_KAT,"KAS")+COUNTIFS(AK_NAMA,D2315,AK_KAT,"KAS")&lt;&gt;1,"",IF(COUNTIFS(AK_NAMA,C2315,AK_KAT,"KAS")=1,D2315,C2315)))</f>
        <v/>
      </c>
      <c r="M2315" s="103" t="n">
        <f aca="false">IF(L2315="",0,IF(L2315=D2315,E2315,-E2315))</f>
        <v>0</v>
      </c>
      <c r="N2315" s="102" t="str">
        <f aca="false">IF(L2315="","",IFERROR(INDEX(AK_BARIS,MATCH(L2315,AK_NAMA,0)),"?"))</f>
        <v/>
      </c>
      <c r="O2315" s="102" t="str">
        <f aca="false">IF(C2315="","",IFERROR(INDEX(AK_KEL,MATCH(C2315,AK_NAMA,0)),"?"))</f>
        <v/>
      </c>
      <c r="P2315" s="102" t="str">
        <f aca="false">IF(D2315="","",IFERROR(INDEX(AK_KEL,MATCH(D2315,AK_NAMA,0)),"?"))</f>
        <v/>
      </c>
      <c r="Q2315" s="102" t="n">
        <f aca="false">N(Q2314)+IF(AND(N(E2315)&lt;&gt;0,K2315=TAHUN,N(J2315)&lt;=BLN,OR(C2315=BB_AKUN,D2315=BB_AKUN)),1,0)</f>
        <v>877</v>
      </c>
      <c r="R2315" s="104" t="str">
        <f aca="false">IF(OR(C2315&amp;D2315="",N(E2315)=0),"",IF(OR(O2315="?",P2315="?"),"⚠ akun tidak dikenal",IF(C2315=D2315,"⚠ debet = kredit","")))</f>
        <v/>
      </c>
    </row>
    <row r="2316" customFormat="false" ht="15" hidden="false" customHeight="false" outlineLevel="0" collapsed="false">
      <c r="A2316" s="5"/>
      <c r="B2316" s="83"/>
      <c r="C2316" s="5"/>
      <c r="D2316" s="5"/>
      <c r="E2316" s="44"/>
      <c r="F2316" s="5"/>
      <c r="G2316" s="5"/>
      <c r="H2316" s="5"/>
      <c r="I2316" s="5"/>
      <c r="J2316" s="102" t="str">
        <f aca="false">IF(B2316="","",MONTH(B2316))</f>
        <v/>
      </c>
      <c r="K2316" s="102" t="str">
        <f aca="false">IF(B2316="","",YEAR(B2316))</f>
        <v/>
      </c>
      <c r="L2316" s="102" t="str">
        <f aca="false">IF(N(E2316)=0,"",IF(COUNTIFS(AK_NAMA,C2316,AK_KAT,"KAS")+COUNTIFS(AK_NAMA,D2316,AK_KAT,"KAS")&lt;&gt;1,"",IF(COUNTIFS(AK_NAMA,C2316,AK_KAT,"KAS")=1,D2316,C2316)))</f>
        <v/>
      </c>
      <c r="M2316" s="103" t="n">
        <f aca="false">IF(L2316="",0,IF(L2316=D2316,E2316,-E2316))</f>
        <v>0</v>
      </c>
      <c r="N2316" s="102" t="str">
        <f aca="false">IF(L2316="","",IFERROR(INDEX(AK_BARIS,MATCH(L2316,AK_NAMA,0)),"?"))</f>
        <v/>
      </c>
      <c r="O2316" s="102" t="str">
        <f aca="false">IF(C2316="","",IFERROR(INDEX(AK_KEL,MATCH(C2316,AK_NAMA,0)),"?"))</f>
        <v/>
      </c>
      <c r="P2316" s="102" t="str">
        <f aca="false">IF(D2316="","",IFERROR(INDEX(AK_KEL,MATCH(D2316,AK_NAMA,0)),"?"))</f>
        <v/>
      </c>
      <c r="Q2316" s="102" t="n">
        <f aca="false">N(Q2315)+IF(AND(N(E2316)&lt;&gt;0,K2316=TAHUN,N(J2316)&lt;=BLN,OR(C2316=BB_AKUN,D2316=BB_AKUN)),1,0)</f>
        <v>877</v>
      </c>
      <c r="R2316" s="104" t="str">
        <f aca="false">IF(OR(C2316&amp;D2316="",N(E2316)=0),"",IF(OR(O2316="?",P2316="?"),"⚠ akun tidak dikenal",IF(C2316=D2316,"⚠ debet = kredit","")))</f>
        <v/>
      </c>
    </row>
    <row r="2317" customFormat="false" ht="15" hidden="false" customHeight="false" outlineLevel="0" collapsed="false">
      <c r="A2317" s="5"/>
      <c r="B2317" s="83"/>
      <c r="C2317" s="5"/>
      <c r="D2317" s="5"/>
      <c r="E2317" s="44"/>
      <c r="F2317" s="5"/>
      <c r="G2317" s="5"/>
      <c r="H2317" s="5"/>
      <c r="I2317" s="5"/>
      <c r="J2317" s="102" t="str">
        <f aca="false">IF(B2317="","",MONTH(B2317))</f>
        <v/>
      </c>
      <c r="K2317" s="102" t="str">
        <f aca="false">IF(B2317="","",YEAR(B2317))</f>
        <v/>
      </c>
      <c r="L2317" s="102" t="str">
        <f aca="false">IF(N(E2317)=0,"",IF(COUNTIFS(AK_NAMA,C2317,AK_KAT,"KAS")+COUNTIFS(AK_NAMA,D2317,AK_KAT,"KAS")&lt;&gt;1,"",IF(COUNTIFS(AK_NAMA,C2317,AK_KAT,"KAS")=1,D2317,C2317)))</f>
        <v/>
      </c>
      <c r="M2317" s="103" t="n">
        <f aca="false">IF(L2317="",0,IF(L2317=D2317,E2317,-E2317))</f>
        <v>0</v>
      </c>
      <c r="N2317" s="102" t="str">
        <f aca="false">IF(L2317="","",IFERROR(INDEX(AK_BARIS,MATCH(L2317,AK_NAMA,0)),"?"))</f>
        <v/>
      </c>
      <c r="O2317" s="102" t="str">
        <f aca="false">IF(C2317="","",IFERROR(INDEX(AK_KEL,MATCH(C2317,AK_NAMA,0)),"?"))</f>
        <v/>
      </c>
      <c r="P2317" s="102" t="str">
        <f aca="false">IF(D2317="","",IFERROR(INDEX(AK_KEL,MATCH(D2317,AK_NAMA,0)),"?"))</f>
        <v/>
      </c>
      <c r="Q2317" s="102" t="n">
        <f aca="false">N(Q2316)+IF(AND(N(E2317)&lt;&gt;0,K2317=TAHUN,N(J2317)&lt;=BLN,OR(C2317=BB_AKUN,D2317=BB_AKUN)),1,0)</f>
        <v>877</v>
      </c>
      <c r="R2317" s="104" t="str">
        <f aca="false">IF(OR(C2317&amp;D2317="",N(E2317)=0),"",IF(OR(O2317="?",P2317="?"),"⚠ akun tidak dikenal",IF(C2317=D2317,"⚠ debet = kredit","")))</f>
        <v/>
      </c>
    </row>
    <row r="2318" customFormat="false" ht="15" hidden="false" customHeight="false" outlineLevel="0" collapsed="false">
      <c r="A2318" s="5"/>
      <c r="B2318" s="83"/>
      <c r="C2318" s="5"/>
      <c r="D2318" s="5"/>
      <c r="E2318" s="44"/>
      <c r="F2318" s="5"/>
      <c r="G2318" s="5"/>
      <c r="H2318" s="5"/>
      <c r="I2318" s="5"/>
      <c r="J2318" s="102" t="str">
        <f aca="false">IF(B2318="","",MONTH(B2318))</f>
        <v/>
      </c>
      <c r="K2318" s="102" t="str">
        <f aca="false">IF(B2318="","",YEAR(B2318))</f>
        <v/>
      </c>
      <c r="L2318" s="102" t="str">
        <f aca="false">IF(N(E2318)=0,"",IF(COUNTIFS(AK_NAMA,C2318,AK_KAT,"KAS")+COUNTIFS(AK_NAMA,D2318,AK_KAT,"KAS")&lt;&gt;1,"",IF(COUNTIFS(AK_NAMA,C2318,AK_KAT,"KAS")=1,D2318,C2318)))</f>
        <v/>
      </c>
      <c r="M2318" s="103" t="n">
        <f aca="false">IF(L2318="",0,IF(L2318=D2318,E2318,-E2318))</f>
        <v>0</v>
      </c>
      <c r="N2318" s="102" t="str">
        <f aca="false">IF(L2318="","",IFERROR(INDEX(AK_BARIS,MATCH(L2318,AK_NAMA,0)),"?"))</f>
        <v/>
      </c>
      <c r="O2318" s="102" t="str">
        <f aca="false">IF(C2318="","",IFERROR(INDEX(AK_KEL,MATCH(C2318,AK_NAMA,0)),"?"))</f>
        <v/>
      </c>
      <c r="P2318" s="102" t="str">
        <f aca="false">IF(D2318="","",IFERROR(INDEX(AK_KEL,MATCH(D2318,AK_NAMA,0)),"?"))</f>
        <v/>
      </c>
      <c r="Q2318" s="102" t="n">
        <f aca="false">N(Q2317)+IF(AND(N(E2318)&lt;&gt;0,K2318=TAHUN,N(J2318)&lt;=BLN,OR(C2318=BB_AKUN,D2318=BB_AKUN)),1,0)</f>
        <v>877</v>
      </c>
      <c r="R2318" s="104" t="str">
        <f aca="false">IF(OR(C2318&amp;D2318="",N(E2318)=0),"",IF(OR(O2318="?",P2318="?"),"⚠ akun tidak dikenal",IF(C2318=D2318,"⚠ debet = kredit","")))</f>
        <v/>
      </c>
    </row>
    <row r="2319" customFormat="false" ht="15" hidden="false" customHeight="false" outlineLevel="0" collapsed="false">
      <c r="A2319" s="5"/>
      <c r="B2319" s="83"/>
      <c r="C2319" s="5"/>
      <c r="D2319" s="5"/>
      <c r="E2319" s="44"/>
      <c r="F2319" s="5"/>
      <c r="G2319" s="5"/>
      <c r="H2319" s="5"/>
      <c r="I2319" s="5"/>
      <c r="J2319" s="102" t="str">
        <f aca="false">IF(B2319="","",MONTH(B2319))</f>
        <v/>
      </c>
      <c r="K2319" s="102" t="str">
        <f aca="false">IF(B2319="","",YEAR(B2319))</f>
        <v/>
      </c>
      <c r="L2319" s="102" t="str">
        <f aca="false">IF(N(E2319)=0,"",IF(COUNTIFS(AK_NAMA,C2319,AK_KAT,"KAS")+COUNTIFS(AK_NAMA,D2319,AK_KAT,"KAS")&lt;&gt;1,"",IF(COUNTIFS(AK_NAMA,C2319,AK_KAT,"KAS")=1,D2319,C2319)))</f>
        <v/>
      </c>
      <c r="M2319" s="103" t="n">
        <f aca="false">IF(L2319="",0,IF(L2319=D2319,E2319,-E2319))</f>
        <v>0</v>
      </c>
      <c r="N2319" s="102" t="str">
        <f aca="false">IF(L2319="","",IFERROR(INDEX(AK_BARIS,MATCH(L2319,AK_NAMA,0)),"?"))</f>
        <v/>
      </c>
      <c r="O2319" s="102" t="str">
        <f aca="false">IF(C2319="","",IFERROR(INDEX(AK_KEL,MATCH(C2319,AK_NAMA,0)),"?"))</f>
        <v/>
      </c>
      <c r="P2319" s="102" t="str">
        <f aca="false">IF(D2319="","",IFERROR(INDEX(AK_KEL,MATCH(D2319,AK_NAMA,0)),"?"))</f>
        <v/>
      </c>
      <c r="Q2319" s="102" t="n">
        <f aca="false">N(Q2318)+IF(AND(N(E2319)&lt;&gt;0,K2319=TAHUN,N(J2319)&lt;=BLN,OR(C2319=BB_AKUN,D2319=BB_AKUN)),1,0)</f>
        <v>877</v>
      </c>
      <c r="R2319" s="104" t="str">
        <f aca="false">IF(OR(C2319&amp;D2319="",N(E2319)=0),"",IF(OR(O2319="?",P2319="?"),"⚠ akun tidak dikenal",IF(C2319=D2319,"⚠ debet = kredit","")))</f>
        <v/>
      </c>
    </row>
    <row r="2320" customFormat="false" ht="15" hidden="false" customHeight="false" outlineLevel="0" collapsed="false">
      <c r="A2320" s="5"/>
      <c r="B2320" s="83"/>
      <c r="C2320" s="5"/>
      <c r="D2320" s="5"/>
      <c r="E2320" s="44"/>
      <c r="F2320" s="5"/>
      <c r="G2320" s="5"/>
      <c r="H2320" s="5"/>
      <c r="I2320" s="5"/>
      <c r="J2320" s="102" t="str">
        <f aca="false">IF(B2320="","",MONTH(B2320))</f>
        <v/>
      </c>
      <c r="K2320" s="102" t="str">
        <f aca="false">IF(B2320="","",YEAR(B2320))</f>
        <v/>
      </c>
      <c r="L2320" s="102" t="str">
        <f aca="false">IF(N(E2320)=0,"",IF(COUNTIFS(AK_NAMA,C2320,AK_KAT,"KAS")+COUNTIFS(AK_NAMA,D2320,AK_KAT,"KAS")&lt;&gt;1,"",IF(COUNTIFS(AK_NAMA,C2320,AK_KAT,"KAS")=1,D2320,C2320)))</f>
        <v/>
      </c>
      <c r="M2320" s="103" t="n">
        <f aca="false">IF(L2320="",0,IF(L2320=D2320,E2320,-E2320))</f>
        <v>0</v>
      </c>
      <c r="N2320" s="102" t="str">
        <f aca="false">IF(L2320="","",IFERROR(INDEX(AK_BARIS,MATCH(L2320,AK_NAMA,0)),"?"))</f>
        <v/>
      </c>
      <c r="O2320" s="102" t="str">
        <f aca="false">IF(C2320="","",IFERROR(INDEX(AK_KEL,MATCH(C2320,AK_NAMA,0)),"?"))</f>
        <v/>
      </c>
      <c r="P2320" s="102" t="str">
        <f aca="false">IF(D2320="","",IFERROR(INDEX(AK_KEL,MATCH(D2320,AK_NAMA,0)),"?"))</f>
        <v/>
      </c>
      <c r="Q2320" s="102" t="n">
        <f aca="false">N(Q2319)+IF(AND(N(E2320)&lt;&gt;0,K2320=TAHUN,N(J2320)&lt;=BLN,OR(C2320=BB_AKUN,D2320=BB_AKUN)),1,0)</f>
        <v>877</v>
      </c>
      <c r="R2320" s="104" t="str">
        <f aca="false">IF(OR(C2320&amp;D2320="",N(E2320)=0),"",IF(OR(O2320="?",P2320="?"),"⚠ akun tidak dikenal",IF(C2320=D2320,"⚠ debet = kredit","")))</f>
        <v/>
      </c>
    </row>
    <row r="2321" customFormat="false" ht="15" hidden="false" customHeight="false" outlineLevel="0" collapsed="false">
      <c r="A2321" s="5"/>
      <c r="B2321" s="83"/>
      <c r="C2321" s="5"/>
      <c r="D2321" s="5"/>
      <c r="E2321" s="44"/>
      <c r="F2321" s="5"/>
      <c r="G2321" s="5"/>
      <c r="H2321" s="5"/>
      <c r="I2321" s="5"/>
      <c r="J2321" s="102" t="str">
        <f aca="false">IF(B2321="","",MONTH(B2321))</f>
        <v/>
      </c>
      <c r="K2321" s="102" t="str">
        <f aca="false">IF(B2321="","",YEAR(B2321))</f>
        <v/>
      </c>
      <c r="L2321" s="102" t="str">
        <f aca="false">IF(N(E2321)=0,"",IF(COUNTIFS(AK_NAMA,C2321,AK_KAT,"KAS")+COUNTIFS(AK_NAMA,D2321,AK_KAT,"KAS")&lt;&gt;1,"",IF(COUNTIFS(AK_NAMA,C2321,AK_KAT,"KAS")=1,D2321,C2321)))</f>
        <v/>
      </c>
      <c r="M2321" s="103" t="n">
        <f aca="false">IF(L2321="",0,IF(L2321=D2321,E2321,-E2321))</f>
        <v>0</v>
      </c>
      <c r="N2321" s="102" t="str">
        <f aca="false">IF(L2321="","",IFERROR(INDEX(AK_BARIS,MATCH(L2321,AK_NAMA,0)),"?"))</f>
        <v/>
      </c>
      <c r="O2321" s="102" t="str">
        <f aca="false">IF(C2321="","",IFERROR(INDEX(AK_KEL,MATCH(C2321,AK_NAMA,0)),"?"))</f>
        <v/>
      </c>
      <c r="P2321" s="102" t="str">
        <f aca="false">IF(D2321="","",IFERROR(INDEX(AK_KEL,MATCH(D2321,AK_NAMA,0)),"?"))</f>
        <v/>
      </c>
      <c r="Q2321" s="102" t="n">
        <f aca="false">N(Q2320)+IF(AND(N(E2321)&lt;&gt;0,K2321=TAHUN,N(J2321)&lt;=BLN,OR(C2321=BB_AKUN,D2321=BB_AKUN)),1,0)</f>
        <v>877</v>
      </c>
      <c r="R2321" s="104" t="str">
        <f aca="false">IF(OR(C2321&amp;D2321="",N(E2321)=0),"",IF(OR(O2321="?",P2321="?"),"⚠ akun tidak dikenal",IF(C2321=D2321,"⚠ debet = kredit","")))</f>
        <v/>
      </c>
    </row>
    <row r="2322" customFormat="false" ht="15" hidden="false" customHeight="false" outlineLevel="0" collapsed="false">
      <c r="A2322" s="5"/>
      <c r="B2322" s="83"/>
      <c r="C2322" s="5"/>
      <c r="D2322" s="5"/>
      <c r="E2322" s="44"/>
      <c r="F2322" s="5"/>
      <c r="G2322" s="5"/>
      <c r="H2322" s="5"/>
      <c r="I2322" s="5"/>
      <c r="J2322" s="102" t="str">
        <f aca="false">IF(B2322="","",MONTH(B2322))</f>
        <v/>
      </c>
      <c r="K2322" s="102" t="str">
        <f aca="false">IF(B2322="","",YEAR(B2322))</f>
        <v/>
      </c>
      <c r="L2322" s="102" t="str">
        <f aca="false">IF(N(E2322)=0,"",IF(COUNTIFS(AK_NAMA,C2322,AK_KAT,"KAS")+COUNTIFS(AK_NAMA,D2322,AK_KAT,"KAS")&lt;&gt;1,"",IF(COUNTIFS(AK_NAMA,C2322,AK_KAT,"KAS")=1,D2322,C2322)))</f>
        <v/>
      </c>
      <c r="M2322" s="103" t="n">
        <f aca="false">IF(L2322="",0,IF(L2322=D2322,E2322,-E2322))</f>
        <v>0</v>
      </c>
      <c r="N2322" s="102" t="str">
        <f aca="false">IF(L2322="","",IFERROR(INDEX(AK_BARIS,MATCH(L2322,AK_NAMA,0)),"?"))</f>
        <v/>
      </c>
      <c r="O2322" s="102" t="str">
        <f aca="false">IF(C2322="","",IFERROR(INDEX(AK_KEL,MATCH(C2322,AK_NAMA,0)),"?"))</f>
        <v/>
      </c>
      <c r="P2322" s="102" t="str">
        <f aca="false">IF(D2322="","",IFERROR(INDEX(AK_KEL,MATCH(D2322,AK_NAMA,0)),"?"))</f>
        <v/>
      </c>
      <c r="Q2322" s="102" t="n">
        <f aca="false">N(Q2321)+IF(AND(N(E2322)&lt;&gt;0,K2322=TAHUN,N(J2322)&lt;=BLN,OR(C2322=BB_AKUN,D2322=BB_AKUN)),1,0)</f>
        <v>877</v>
      </c>
      <c r="R2322" s="104" t="str">
        <f aca="false">IF(OR(C2322&amp;D2322="",N(E2322)=0),"",IF(OR(O2322="?",P2322="?"),"⚠ akun tidak dikenal",IF(C2322=D2322,"⚠ debet = kredit","")))</f>
        <v/>
      </c>
    </row>
    <row r="2323" customFormat="false" ht="15" hidden="false" customHeight="false" outlineLevel="0" collapsed="false">
      <c r="A2323" s="5"/>
      <c r="B2323" s="83"/>
      <c r="C2323" s="5"/>
      <c r="D2323" s="5"/>
      <c r="E2323" s="44"/>
      <c r="F2323" s="5"/>
      <c r="G2323" s="5"/>
      <c r="H2323" s="5"/>
      <c r="I2323" s="5"/>
      <c r="J2323" s="102" t="str">
        <f aca="false">IF(B2323="","",MONTH(B2323))</f>
        <v/>
      </c>
      <c r="K2323" s="102" t="str">
        <f aca="false">IF(B2323="","",YEAR(B2323))</f>
        <v/>
      </c>
      <c r="L2323" s="102" t="str">
        <f aca="false">IF(N(E2323)=0,"",IF(COUNTIFS(AK_NAMA,C2323,AK_KAT,"KAS")+COUNTIFS(AK_NAMA,D2323,AK_KAT,"KAS")&lt;&gt;1,"",IF(COUNTIFS(AK_NAMA,C2323,AK_KAT,"KAS")=1,D2323,C2323)))</f>
        <v/>
      </c>
      <c r="M2323" s="103" t="n">
        <f aca="false">IF(L2323="",0,IF(L2323=D2323,E2323,-E2323))</f>
        <v>0</v>
      </c>
      <c r="N2323" s="102" t="str">
        <f aca="false">IF(L2323="","",IFERROR(INDEX(AK_BARIS,MATCH(L2323,AK_NAMA,0)),"?"))</f>
        <v/>
      </c>
      <c r="O2323" s="102" t="str">
        <f aca="false">IF(C2323="","",IFERROR(INDEX(AK_KEL,MATCH(C2323,AK_NAMA,0)),"?"))</f>
        <v/>
      </c>
      <c r="P2323" s="102" t="str">
        <f aca="false">IF(D2323="","",IFERROR(INDEX(AK_KEL,MATCH(D2323,AK_NAMA,0)),"?"))</f>
        <v/>
      </c>
      <c r="Q2323" s="102" t="n">
        <f aca="false">N(Q2322)+IF(AND(N(E2323)&lt;&gt;0,K2323=TAHUN,N(J2323)&lt;=BLN,OR(C2323=BB_AKUN,D2323=BB_AKUN)),1,0)</f>
        <v>877</v>
      </c>
      <c r="R2323" s="104" t="str">
        <f aca="false">IF(OR(C2323&amp;D2323="",N(E2323)=0),"",IF(OR(O2323="?",P2323="?"),"⚠ akun tidak dikenal",IF(C2323=D2323,"⚠ debet = kredit","")))</f>
        <v/>
      </c>
    </row>
    <row r="2324" customFormat="false" ht="15" hidden="false" customHeight="false" outlineLevel="0" collapsed="false">
      <c r="A2324" s="5"/>
      <c r="B2324" s="83"/>
      <c r="C2324" s="5"/>
      <c r="D2324" s="5"/>
      <c r="E2324" s="44"/>
      <c r="F2324" s="5"/>
      <c r="G2324" s="5"/>
      <c r="H2324" s="5"/>
      <c r="I2324" s="5"/>
      <c r="J2324" s="102" t="str">
        <f aca="false">IF(B2324="","",MONTH(B2324))</f>
        <v/>
      </c>
      <c r="K2324" s="102" t="str">
        <f aca="false">IF(B2324="","",YEAR(B2324))</f>
        <v/>
      </c>
      <c r="L2324" s="102" t="str">
        <f aca="false">IF(N(E2324)=0,"",IF(COUNTIFS(AK_NAMA,C2324,AK_KAT,"KAS")+COUNTIFS(AK_NAMA,D2324,AK_KAT,"KAS")&lt;&gt;1,"",IF(COUNTIFS(AK_NAMA,C2324,AK_KAT,"KAS")=1,D2324,C2324)))</f>
        <v/>
      </c>
      <c r="M2324" s="103" t="n">
        <f aca="false">IF(L2324="",0,IF(L2324=D2324,E2324,-E2324))</f>
        <v>0</v>
      </c>
      <c r="N2324" s="102" t="str">
        <f aca="false">IF(L2324="","",IFERROR(INDEX(AK_BARIS,MATCH(L2324,AK_NAMA,0)),"?"))</f>
        <v/>
      </c>
      <c r="O2324" s="102" t="str">
        <f aca="false">IF(C2324="","",IFERROR(INDEX(AK_KEL,MATCH(C2324,AK_NAMA,0)),"?"))</f>
        <v/>
      </c>
      <c r="P2324" s="102" t="str">
        <f aca="false">IF(D2324="","",IFERROR(INDEX(AK_KEL,MATCH(D2324,AK_NAMA,0)),"?"))</f>
        <v/>
      </c>
      <c r="Q2324" s="102" t="n">
        <f aca="false">N(Q2323)+IF(AND(N(E2324)&lt;&gt;0,K2324=TAHUN,N(J2324)&lt;=BLN,OR(C2324=BB_AKUN,D2324=BB_AKUN)),1,0)</f>
        <v>877</v>
      </c>
      <c r="R2324" s="104" t="str">
        <f aca="false">IF(OR(C2324&amp;D2324="",N(E2324)=0),"",IF(OR(O2324="?",P2324="?"),"⚠ akun tidak dikenal",IF(C2324=D2324,"⚠ debet = kredit","")))</f>
        <v/>
      </c>
    </row>
    <row r="2325" customFormat="false" ht="15" hidden="false" customHeight="false" outlineLevel="0" collapsed="false">
      <c r="A2325" s="5"/>
      <c r="B2325" s="83"/>
      <c r="C2325" s="5"/>
      <c r="D2325" s="5"/>
      <c r="E2325" s="44"/>
      <c r="F2325" s="5"/>
      <c r="G2325" s="5"/>
      <c r="H2325" s="5"/>
      <c r="I2325" s="5"/>
      <c r="J2325" s="102" t="str">
        <f aca="false">IF(B2325="","",MONTH(B2325))</f>
        <v/>
      </c>
      <c r="K2325" s="102" t="str">
        <f aca="false">IF(B2325="","",YEAR(B2325))</f>
        <v/>
      </c>
      <c r="L2325" s="102" t="str">
        <f aca="false">IF(N(E2325)=0,"",IF(COUNTIFS(AK_NAMA,C2325,AK_KAT,"KAS")+COUNTIFS(AK_NAMA,D2325,AK_KAT,"KAS")&lt;&gt;1,"",IF(COUNTIFS(AK_NAMA,C2325,AK_KAT,"KAS")=1,D2325,C2325)))</f>
        <v/>
      </c>
      <c r="M2325" s="103" t="n">
        <f aca="false">IF(L2325="",0,IF(L2325=D2325,E2325,-E2325))</f>
        <v>0</v>
      </c>
      <c r="N2325" s="102" t="str">
        <f aca="false">IF(L2325="","",IFERROR(INDEX(AK_BARIS,MATCH(L2325,AK_NAMA,0)),"?"))</f>
        <v/>
      </c>
      <c r="O2325" s="102" t="str">
        <f aca="false">IF(C2325="","",IFERROR(INDEX(AK_KEL,MATCH(C2325,AK_NAMA,0)),"?"))</f>
        <v/>
      </c>
      <c r="P2325" s="102" t="str">
        <f aca="false">IF(D2325="","",IFERROR(INDEX(AK_KEL,MATCH(D2325,AK_NAMA,0)),"?"))</f>
        <v/>
      </c>
      <c r="Q2325" s="102" t="n">
        <f aca="false">N(Q2324)+IF(AND(N(E2325)&lt;&gt;0,K2325=TAHUN,N(J2325)&lt;=BLN,OR(C2325=BB_AKUN,D2325=BB_AKUN)),1,0)</f>
        <v>877</v>
      </c>
      <c r="R2325" s="104" t="str">
        <f aca="false">IF(OR(C2325&amp;D2325="",N(E2325)=0),"",IF(OR(O2325="?",P2325="?"),"⚠ akun tidak dikenal",IF(C2325=D2325,"⚠ debet = kredit","")))</f>
        <v/>
      </c>
    </row>
    <row r="2326" customFormat="false" ht="15" hidden="false" customHeight="false" outlineLevel="0" collapsed="false">
      <c r="A2326" s="5"/>
      <c r="B2326" s="83"/>
      <c r="C2326" s="5"/>
      <c r="D2326" s="5"/>
      <c r="E2326" s="44"/>
      <c r="F2326" s="5"/>
      <c r="G2326" s="5"/>
      <c r="H2326" s="5"/>
      <c r="I2326" s="5"/>
      <c r="J2326" s="102" t="str">
        <f aca="false">IF(B2326="","",MONTH(B2326))</f>
        <v/>
      </c>
      <c r="K2326" s="102" t="str">
        <f aca="false">IF(B2326="","",YEAR(B2326))</f>
        <v/>
      </c>
      <c r="L2326" s="102" t="str">
        <f aca="false">IF(N(E2326)=0,"",IF(COUNTIFS(AK_NAMA,C2326,AK_KAT,"KAS")+COUNTIFS(AK_NAMA,D2326,AK_KAT,"KAS")&lt;&gt;1,"",IF(COUNTIFS(AK_NAMA,C2326,AK_KAT,"KAS")=1,D2326,C2326)))</f>
        <v/>
      </c>
      <c r="M2326" s="103" t="n">
        <f aca="false">IF(L2326="",0,IF(L2326=D2326,E2326,-E2326))</f>
        <v>0</v>
      </c>
      <c r="N2326" s="102" t="str">
        <f aca="false">IF(L2326="","",IFERROR(INDEX(AK_BARIS,MATCH(L2326,AK_NAMA,0)),"?"))</f>
        <v/>
      </c>
      <c r="O2326" s="102" t="str">
        <f aca="false">IF(C2326="","",IFERROR(INDEX(AK_KEL,MATCH(C2326,AK_NAMA,0)),"?"))</f>
        <v/>
      </c>
      <c r="P2326" s="102" t="str">
        <f aca="false">IF(D2326="","",IFERROR(INDEX(AK_KEL,MATCH(D2326,AK_NAMA,0)),"?"))</f>
        <v/>
      </c>
      <c r="Q2326" s="102" t="n">
        <f aca="false">N(Q2325)+IF(AND(N(E2326)&lt;&gt;0,K2326=TAHUN,N(J2326)&lt;=BLN,OR(C2326=BB_AKUN,D2326=BB_AKUN)),1,0)</f>
        <v>877</v>
      </c>
      <c r="R2326" s="104" t="str">
        <f aca="false">IF(OR(C2326&amp;D2326="",N(E2326)=0),"",IF(OR(O2326="?",P2326="?"),"⚠ akun tidak dikenal",IF(C2326=D2326,"⚠ debet = kredit","")))</f>
        <v/>
      </c>
    </row>
    <row r="2327" customFormat="false" ht="15" hidden="false" customHeight="false" outlineLevel="0" collapsed="false">
      <c r="A2327" s="5"/>
      <c r="B2327" s="83"/>
      <c r="C2327" s="5"/>
      <c r="D2327" s="5"/>
      <c r="E2327" s="44"/>
      <c r="F2327" s="5"/>
      <c r="G2327" s="5"/>
      <c r="H2327" s="5"/>
      <c r="I2327" s="5"/>
      <c r="J2327" s="102" t="str">
        <f aca="false">IF(B2327="","",MONTH(B2327))</f>
        <v/>
      </c>
      <c r="K2327" s="102" t="str">
        <f aca="false">IF(B2327="","",YEAR(B2327))</f>
        <v/>
      </c>
      <c r="L2327" s="102" t="str">
        <f aca="false">IF(N(E2327)=0,"",IF(COUNTIFS(AK_NAMA,C2327,AK_KAT,"KAS")+COUNTIFS(AK_NAMA,D2327,AK_KAT,"KAS")&lt;&gt;1,"",IF(COUNTIFS(AK_NAMA,C2327,AK_KAT,"KAS")=1,D2327,C2327)))</f>
        <v/>
      </c>
      <c r="M2327" s="103" t="n">
        <f aca="false">IF(L2327="",0,IF(L2327=D2327,E2327,-E2327))</f>
        <v>0</v>
      </c>
      <c r="N2327" s="102" t="str">
        <f aca="false">IF(L2327="","",IFERROR(INDEX(AK_BARIS,MATCH(L2327,AK_NAMA,0)),"?"))</f>
        <v/>
      </c>
      <c r="O2327" s="102" t="str">
        <f aca="false">IF(C2327="","",IFERROR(INDEX(AK_KEL,MATCH(C2327,AK_NAMA,0)),"?"))</f>
        <v/>
      </c>
      <c r="P2327" s="102" t="str">
        <f aca="false">IF(D2327="","",IFERROR(INDEX(AK_KEL,MATCH(D2327,AK_NAMA,0)),"?"))</f>
        <v/>
      </c>
      <c r="Q2327" s="102" t="n">
        <f aca="false">N(Q2326)+IF(AND(N(E2327)&lt;&gt;0,K2327=TAHUN,N(J2327)&lt;=BLN,OR(C2327=BB_AKUN,D2327=BB_AKUN)),1,0)</f>
        <v>877</v>
      </c>
      <c r="R2327" s="104" t="str">
        <f aca="false">IF(OR(C2327&amp;D2327="",N(E2327)=0),"",IF(OR(O2327="?",P2327="?"),"⚠ akun tidak dikenal",IF(C2327=D2327,"⚠ debet = kredit","")))</f>
        <v/>
      </c>
    </row>
    <row r="2328" customFormat="false" ht="15" hidden="false" customHeight="false" outlineLevel="0" collapsed="false">
      <c r="A2328" s="5"/>
      <c r="B2328" s="83"/>
      <c r="C2328" s="5"/>
      <c r="D2328" s="5"/>
      <c r="E2328" s="44"/>
      <c r="F2328" s="5"/>
      <c r="G2328" s="5"/>
      <c r="H2328" s="5"/>
      <c r="I2328" s="5"/>
      <c r="J2328" s="102" t="str">
        <f aca="false">IF(B2328="","",MONTH(B2328))</f>
        <v/>
      </c>
      <c r="K2328" s="102" t="str">
        <f aca="false">IF(B2328="","",YEAR(B2328))</f>
        <v/>
      </c>
      <c r="L2328" s="102" t="str">
        <f aca="false">IF(N(E2328)=0,"",IF(COUNTIFS(AK_NAMA,C2328,AK_KAT,"KAS")+COUNTIFS(AK_NAMA,D2328,AK_KAT,"KAS")&lt;&gt;1,"",IF(COUNTIFS(AK_NAMA,C2328,AK_KAT,"KAS")=1,D2328,C2328)))</f>
        <v/>
      </c>
      <c r="M2328" s="103" t="n">
        <f aca="false">IF(L2328="",0,IF(L2328=D2328,E2328,-E2328))</f>
        <v>0</v>
      </c>
      <c r="N2328" s="102" t="str">
        <f aca="false">IF(L2328="","",IFERROR(INDEX(AK_BARIS,MATCH(L2328,AK_NAMA,0)),"?"))</f>
        <v/>
      </c>
      <c r="O2328" s="102" t="str">
        <f aca="false">IF(C2328="","",IFERROR(INDEX(AK_KEL,MATCH(C2328,AK_NAMA,0)),"?"))</f>
        <v/>
      </c>
      <c r="P2328" s="102" t="str">
        <f aca="false">IF(D2328="","",IFERROR(INDEX(AK_KEL,MATCH(D2328,AK_NAMA,0)),"?"))</f>
        <v/>
      </c>
      <c r="Q2328" s="102" t="n">
        <f aca="false">N(Q2327)+IF(AND(N(E2328)&lt;&gt;0,K2328=TAHUN,N(J2328)&lt;=BLN,OR(C2328=BB_AKUN,D2328=BB_AKUN)),1,0)</f>
        <v>877</v>
      </c>
      <c r="R2328" s="104" t="str">
        <f aca="false">IF(OR(C2328&amp;D2328="",N(E2328)=0),"",IF(OR(O2328="?",P2328="?"),"⚠ akun tidak dikenal",IF(C2328=D2328,"⚠ debet = kredit","")))</f>
        <v/>
      </c>
    </row>
    <row r="2329" customFormat="false" ht="15" hidden="false" customHeight="false" outlineLevel="0" collapsed="false">
      <c r="A2329" s="5"/>
      <c r="B2329" s="83"/>
      <c r="C2329" s="5"/>
      <c r="D2329" s="5"/>
      <c r="E2329" s="44"/>
      <c r="F2329" s="5"/>
      <c r="G2329" s="5"/>
      <c r="H2329" s="5"/>
      <c r="I2329" s="5"/>
      <c r="J2329" s="102" t="str">
        <f aca="false">IF(B2329="","",MONTH(B2329))</f>
        <v/>
      </c>
      <c r="K2329" s="102" t="str">
        <f aca="false">IF(B2329="","",YEAR(B2329))</f>
        <v/>
      </c>
      <c r="L2329" s="102" t="str">
        <f aca="false">IF(N(E2329)=0,"",IF(COUNTIFS(AK_NAMA,C2329,AK_KAT,"KAS")+COUNTIFS(AK_NAMA,D2329,AK_KAT,"KAS")&lt;&gt;1,"",IF(COUNTIFS(AK_NAMA,C2329,AK_KAT,"KAS")=1,D2329,C2329)))</f>
        <v/>
      </c>
      <c r="M2329" s="103" t="n">
        <f aca="false">IF(L2329="",0,IF(L2329=D2329,E2329,-E2329))</f>
        <v>0</v>
      </c>
      <c r="N2329" s="102" t="str">
        <f aca="false">IF(L2329="","",IFERROR(INDEX(AK_BARIS,MATCH(L2329,AK_NAMA,0)),"?"))</f>
        <v/>
      </c>
      <c r="O2329" s="102" t="str">
        <f aca="false">IF(C2329="","",IFERROR(INDEX(AK_KEL,MATCH(C2329,AK_NAMA,0)),"?"))</f>
        <v/>
      </c>
      <c r="P2329" s="102" t="str">
        <f aca="false">IF(D2329="","",IFERROR(INDEX(AK_KEL,MATCH(D2329,AK_NAMA,0)),"?"))</f>
        <v/>
      </c>
      <c r="Q2329" s="102" t="n">
        <f aca="false">N(Q2328)+IF(AND(N(E2329)&lt;&gt;0,K2329=TAHUN,N(J2329)&lt;=BLN,OR(C2329=BB_AKUN,D2329=BB_AKUN)),1,0)</f>
        <v>877</v>
      </c>
      <c r="R2329" s="104" t="str">
        <f aca="false">IF(OR(C2329&amp;D2329="",N(E2329)=0),"",IF(OR(O2329="?",P2329="?"),"⚠ akun tidak dikenal",IF(C2329=D2329,"⚠ debet = kredit","")))</f>
        <v/>
      </c>
    </row>
    <row r="2330" customFormat="false" ht="15" hidden="false" customHeight="false" outlineLevel="0" collapsed="false">
      <c r="A2330" s="5"/>
      <c r="B2330" s="83"/>
      <c r="C2330" s="5"/>
      <c r="D2330" s="5"/>
      <c r="E2330" s="44"/>
      <c r="F2330" s="5"/>
      <c r="G2330" s="5"/>
      <c r="H2330" s="5"/>
      <c r="I2330" s="5"/>
      <c r="J2330" s="102" t="str">
        <f aca="false">IF(B2330="","",MONTH(B2330))</f>
        <v/>
      </c>
      <c r="K2330" s="102" t="str">
        <f aca="false">IF(B2330="","",YEAR(B2330))</f>
        <v/>
      </c>
      <c r="L2330" s="102" t="str">
        <f aca="false">IF(N(E2330)=0,"",IF(COUNTIFS(AK_NAMA,C2330,AK_KAT,"KAS")+COUNTIFS(AK_NAMA,D2330,AK_KAT,"KAS")&lt;&gt;1,"",IF(COUNTIFS(AK_NAMA,C2330,AK_KAT,"KAS")=1,D2330,C2330)))</f>
        <v/>
      </c>
      <c r="M2330" s="103" t="n">
        <f aca="false">IF(L2330="",0,IF(L2330=D2330,E2330,-E2330))</f>
        <v>0</v>
      </c>
      <c r="N2330" s="102" t="str">
        <f aca="false">IF(L2330="","",IFERROR(INDEX(AK_BARIS,MATCH(L2330,AK_NAMA,0)),"?"))</f>
        <v/>
      </c>
      <c r="O2330" s="102" t="str">
        <f aca="false">IF(C2330="","",IFERROR(INDEX(AK_KEL,MATCH(C2330,AK_NAMA,0)),"?"))</f>
        <v/>
      </c>
      <c r="P2330" s="102" t="str">
        <f aca="false">IF(D2330="","",IFERROR(INDEX(AK_KEL,MATCH(D2330,AK_NAMA,0)),"?"))</f>
        <v/>
      </c>
      <c r="Q2330" s="102" t="n">
        <f aca="false">N(Q2329)+IF(AND(N(E2330)&lt;&gt;0,K2330=TAHUN,N(J2330)&lt;=BLN,OR(C2330=BB_AKUN,D2330=BB_AKUN)),1,0)</f>
        <v>877</v>
      </c>
      <c r="R2330" s="104" t="str">
        <f aca="false">IF(OR(C2330&amp;D2330="",N(E2330)=0),"",IF(OR(O2330="?",P2330="?"),"⚠ akun tidak dikenal",IF(C2330=D2330,"⚠ debet = kredit","")))</f>
        <v/>
      </c>
    </row>
    <row r="2331" customFormat="false" ht="15" hidden="false" customHeight="false" outlineLevel="0" collapsed="false">
      <c r="A2331" s="5"/>
      <c r="B2331" s="83"/>
      <c r="C2331" s="5"/>
      <c r="D2331" s="5"/>
      <c r="E2331" s="44"/>
      <c r="F2331" s="5"/>
      <c r="G2331" s="5"/>
      <c r="H2331" s="5"/>
      <c r="I2331" s="5"/>
      <c r="J2331" s="102" t="str">
        <f aca="false">IF(B2331="","",MONTH(B2331))</f>
        <v/>
      </c>
      <c r="K2331" s="102" t="str">
        <f aca="false">IF(B2331="","",YEAR(B2331))</f>
        <v/>
      </c>
      <c r="L2331" s="102" t="str">
        <f aca="false">IF(N(E2331)=0,"",IF(COUNTIFS(AK_NAMA,C2331,AK_KAT,"KAS")+COUNTIFS(AK_NAMA,D2331,AK_KAT,"KAS")&lt;&gt;1,"",IF(COUNTIFS(AK_NAMA,C2331,AK_KAT,"KAS")=1,D2331,C2331)))</f>
        <v/>
      </c>
      <c r="M2331" s="103" t="n">
        <f aca="false">IF(L2331="",0,IF(L2331=D2331,E2331,-E2331))</f>
        <v>0</v>
      </c>
      <c r="N2331" s="102" t="str">
        <f aca="false">IF(L2331="","",IFERROR(INDEX(AK_BARIS,MATCH(L2331,AK_NAMA,0)),"?"))</f>
        <v/>
      </c>
      <c r="O2331" s="102" t="str">
        <f aca="false">IF(C2331="","",IFERROR(INDEX(AK_KEL,MATCH(C2331,AK_NAMA,0)),"?"))</f>
        <v/>
      </c>
      <c r="P2331" s="102" t="str">
        <f aca="false">IF(D2331="","",IFERROR(INDEX(AK_KEL,MATCH(D2331,AK_NAMA,0)),"?"))</f>
        <v/>
      </c>
      <c r="Q2331" s="102" t="n">
        <f aca="false">N(Q2330)+IF(AND(N(E2331)&lt;&gt;0,K2331=TAHUN,N(J2331)&lt;=BLN,OR(C2331=BB_AKUN,D2331=BB_AKUN)),1,0)</f>
        <v>877</v>
      </c>
      <c r="R2331" s="104" t="str">
        <f aca="false">IF(OR(C2331&amp;D2331="",N(E2331)=0),"",IF(OR(O2331="?",P2331="?"),"⚠ akun tidak dikenal",IF(C2331=D2331,"⚠ debet = kredit","")))</f>
        <v/>
      </c>
    </row>
    <row r="2332" customFormat="false" ht="15" hidden="false" customHeight="false" outlineLevel="0" collapsed="false">
      <c r="A2332" s="5"/>
      <c r="B2332" s="83"/>
      <c r="C2332" s="5"/>
      <c r="D2332" s="5"/>
      <c r="E2332" s="44"/>
      <c r="F2332" s="5"/>
      <c r="G2332" s="5"/>
      <c r="H2332" s="5"/>
      <c r="I2332" s="5"/>
      <c r="J2332" s="102" t="str">
        <f aca="false">IF(B2332="","",MONTH(B2332))</f>
        <v/>
      </c>
      <c r="K2332" s="102" t="str">
        <f aca="false">IF(B2332="","",YEAR(B2332))</f>
        <v/>
      </c>
      <c r="L2332" s="102" t="str">
        <f aca="false">IF(N(E2332)=0,"",IF(COUNTIFS(AK_NAMA,C2332,AK_KAT,"KAS")+COUNTIFS(AK_NAMA,D2332,AK_KAT,"KAS")&lt;&gt;1,"",IF(COUNTIFS(AK_NAMA,C2332,AK_KAT,"KAS")=1,D2332,C2332)))</f>
        <v/>
      </c>
      <c r="M2332" s="103" t="n">
        <f aca="false">IF(L2332="",0,IF(L2332=D2332,E2332,-E2332))</f>
        <v>0</v>
      </c>
      <c r="N2332" s="102" t="str">
        <f aca="false">IF(L2332="","",IFERROR(INDEX(AK_BARIS,MATCH(L2332,AK_NAMA,0)),"?"))</f>
        <v/>
      </c>
      <c r="O2332" s="102" t="str">
        <f aca="false">IF(C2332="","",IFERROR(INDEX(AK_KEL,MATCH(C2332,AK_NAMA,0)),"?"))</f>
        <v/>
      </c>
      <c r="P2332" s="102" t="str">
        <f aca="false">IF(D2332="","",IFERROR(INDEX(AK_KEL,MATCH(D2332,AK_NAMA,0)),"?"))</f>
        <v/>
      </c>
      <c r="Q2332" s="102" t="n">
        <f aca="false">N(Q2331)+IF(AND(N(E2332)&lt;&gt;0,K2332=TAHUN,N(J2332)&lt;=BLN,OR(C2332=BB_AKUN,D2332=BB_AKUN)),1,0)</f>
        <v>877</v>
      </c>
      <c r="R2332" s="104" t="str">
        <f aca="false">IF(OR(C2332&amp;D2332="",N(E2332)=0),"",IF(OR(O2332="?",P2332="?"),"⚠ akun tidak dikenal",IF(C2332=D2332,"⚠ debet = kredit","")))</f>
        <v/>
      </c>
    </row>
    <row r="2333" customFormat="false" ht="15" hidden="false" customHeight="false" outlineLevel="0" collapsed="false">
      <c r="A2333" s="5"/>
      <c r="B2333" s="83"/>
      <c r="C2333" s="5"/>
      <c r="D2333" s="5"/>
      <c r="E2333" s="44"/>
      <c r="F2333" s="5"/>
      <c r="G2333" s="5"/>
      <c r="H2333" s="5"/>
      <c r="I2333" s="5"/>
      <c r="J2333" s="102" t="str">
        <f aca="false">IF(B2333="","",MONTH(B2333))</f>
        <v/>
      </c>
      <c r="K2333" s="102" t="str">
        <f aca="false">IF(B2333="","",YEAR(B2333))</f>
        <v/>
      </c>
      <c r="L2333" s="102" t="str">
        <f aca="false">IF(N(E2333)=0,"",IF(COUNTIFS(AK_NAMA,C2333,AK_KAT,"KAS")+COUNTIFS(AK_NAMA,D2333,AK_KAT,"KAS")&lt;&gt;1,"",IF(COUNTIFS(AK_NAMA,C2333,AK_KAT,"KAS")=1,D2333,C2333)))</f>
        <v/>
      </c>
      <c r="M2333" s="103" t="n">
        <f aca="false">IF(L2333="",0,IF(L2333=D2333,E2333,-E2333))</f>
        <v>0</v>
      </c>
      <c r="N2333" s="102" t="str">
        <f aca="false">IF(L2333="","",IFERROR(INDEX(AK_BARIS,MATCH(L2333,AK_NAMA,0)),"?"))</f>
        <v/>
      </c>
      <c r="O2333" s="102" t="str">
        <f aca="false">IF(C2333="","",IFERROR(INDEX(AK_KEL,MATCH(C2333,AK_NAMA,0)),"?"))</f>
        <v/>
      </c>
      <c r="P2333" s="102" t="str">
        <f aca="false">IF(D2333="","",IFERROR(INDEX(AK_KEL,MATCH(D2333,AK_NAMA,0)),"?"))</f>
        <v/>
      </c>
      <c r="Q2333" s="102" t="n">
        <f aca="false">N(Q2332)+IF(AND(N(E2333)&lt;&gt;0,K2333=TAHUN,N(J2333)&lt;=BLN,OR(C2333=BB_AKUN,D2333=BB_AKUN)),1,0)</f>
        <v>877</v>
      </c>
      <c r="R2333" s="104" t="str">
        <f aca="false">IF(OR(C2333&amp;D2333="",N(E2333)=0),"",IF(OR(O2333="?",P2333="?"),"⚠ akun tidak dikenal",IF(C2333=D2333,"⚠ debet = kredit","")))</f>
        <v/>
      </c>
    </row>
    <row r="2334" customFormat="false" ht="15" hidden="false" customHeight="false" outlineLevel="0" collapsed="false">
      <c r="A2334" s="5"/>
      <c r="B2334" s="83"/>
      <c r="C2334" s="5"/>
      <c r="D2334" s="5"/>
      <c r="E2334" s="44"/>
      <c r="F2334" s="5"/>
      <c r="G2334" s="5"/>
      <c r="H2334" s="5"/>
      <c r="I2334" s="5"/>
      <c r="J2334" s="102" t="str">
        <f aca="false">IF(B2334="","",MONTH(B2334))</f>
        <v/>
      </c>
      <c r="K2334" s="102" t="str">
        <f aca="false">IF(B2334="","",YEAR(B2334))</f>
        <v/>
      </c>
      <c r="L2334" s="102" t="str">
        <f aca="false">IF(N(E2334)=0,"",IF(COUNTIFS(AK_NAMA,C2334,AK_KAT,"KAS")+COUNTIFS(AK_NAMA,D2334,AK_KAT,"KAS")&lt;&gt;1,"",IF(COUNTIFS(AK_NAMA,C2334,AK_KAT,"KAS")=1,D2334,C2334)))</f>
        <v/>
      </c>
      <c r="M2334" s="103" t="n">
        <f aca="false">IF(L2334="",0,IF(L2334=D2334,E2334,-E2334))</f>
        <v>0</v>
      </c>
      <c r="N2334" s="102" t="str">
        <f aca="false">IF(L2334="","",IFERROR(INDEX(AK_BARIS,MATCH(L2334,AK_NAMA,0)),"?"))</f>
        <v/>
      </c>
      <c r="O2334" s="102" t="str">
        <f aca="false">IF(C2334="","",IFERROR(INDEX(AK_KEL,MATCH(C2334,AK_NAMA,0)),"?"))</f>
        <v/>
      </c>
      <c r="P2334" s="102" t="str">
        <f aca="false">IF(D2334="","",IFERROR(INDEX(AK_KEL,MATCH(D2334,AK_NAMA,0)),"?"))</f>
        <v/>
      </c>
      <c r="Q2334" s="102" t="n">
        <f aca="false">N(Q2333)+IF(AND(N(E2334)&lt;&gt;0,K2334=TAHUN,N(J2334)&lt;=BLN,OR(C2334=BB_AKUN,D2334=BB_AKUN)),1,0)</f>
        <v>877</v>
      </c>
      <c r="R2334" s="104" t="str">
        <f aca="false">IF(OR(C2334&amp;D2334="",N(E2334)=0),"",IF(OR(O2334="?",P2334="?"),"⚠ akun tidak dikenal",IF(C2334=D2334,"⚠ debet = kredit","")))</f>
        <v/>
      </c>
    </row>
    <row r="2335" customFormat="false" ht="15" hidden="false" customHeight="false" outlineLevel="0" collapsed="false">
      <c r="A2335" s="5"/>
      <c r="B2335" s="83"/>
      <c r="C2335" s="5"/>
      <c r="D2335" s="5"/>
      <c r="E2335" s="44"/>
      <c r="F2335" s="5"/>
      <c r="G2335" s="5"/>
      <c r="H2335" s="5"/>
      <c r="I2335" s="5"/>
      <c r="J2335" s="102" t="str">
        <f aca="false">IF(B2335="","",MONTH(B2335))</f>
        <v/>
      </c>
      <c r="K2335" s="102" t="str">
        <f aca="false">IF(B2335="","",YEAR(B2335))</f>
        <v/>
      </c>
      <c r="L2335" s="102" t="str">
        <f aca="false">IF(N(E2335)=0,"",IF(COUNTIFS(AK_NAMA,C2335,AK_KAT,"KAS")+COUNTIFS(AK_NAMA,D2335,AK_KAT,"KAS")&lt;&gt;1,"",IF(COUNTIFS(AK_NAMA,C2335,AK_KAT,"KAS")=1,D2335,C2335)))</f>
        <v/>
      </c>
      <c r="M2335" s="103" t="n">
        <f aca="false">IF(L2335="",0,IF(L2335=D2335,E2335,-E2335))</f>
        <v>0</v>
      </c>
      <c r="N2335" s="102" t="str">
        <f aca="false">IF(L2335="","",IFERROR(INDEX(AK_BARIS,MATCH(L2335,AK_NAMA,0)),"?"))</f>
        <v/>
      </c>
      <c r="O2335" s="102" t="str">
        <f aca="false">IF(C2335="","",IFERROR(INDEX(AK_KEL,MATCH(C2335,AK_NAMA,0)),"?"))</f>
        <v/>
      </c>
      <c r="P2335" s="102" t="str">
        <f aca="false">IF(D2335="","",IFERROR(INDEX(AK_KEL,MATCH(D2335,AK_NAMA,0)),"?"))</f>
        <v/>
      </c>
      <c r="Q2335" s="102" t="n">
        <f aca="false">N(Q2334)+IF(AND(N(E2335)&lt;&gt;0,K2335=TAHUN,N(J2335)&lt;=BLN,OR(C2335=BB_AKUN,D2335=BB_AKUN)),1,0)</f>
        <v>877</v>
      </c>
      <c r="R2335" s="104" t="str">
        <f aca="false">IF(OR(C2335&amp;D2335="",N(E2335)=0),"",IF(OR(O2335="?",P2335="?"),"⚠ akun tidak dikenal",IF(C2335=D2335,"⚠ debet = kredit","")))</f>
        <v/>
      </c>
    </row>
    <row r="2336" customFormat="false" ht="15" hidden="false" customHeight="false" outlineLevel="0" collapsed="false">
      <c r="A2336" s="5"/>
      <c r="B2336" s="83"/>
      <c r="C2336" s="5"/>
      <c r="D2336" s="5"/>
      <c r="E2336" s="44"/>
      <c r="F2336" s="5"/>
      <c r="G2336" s="5"/>
      <c r="H2336" s="5"/>
      <c r="I2336" s="5"/>
      <c r="J2336" s="102" t="str">
        <f aca="false">IF(B2336="","",MONTH(B2336))</f>
        <v/>
      </c>
      <c r="K2336" s="102" t="str">
        <f aca="false">IF(B2336="","",YEAR(B2336))</f>
        <v/>
      </c>
      <c r="L2336" s="102" t="str">
        <f aca="false">IF(N(E2336)=0,"",IF(COUNTIFS(AK_NAMA,C2336,AK_KAT,"KAS")+COUNTIFS(AK_NAMA,D2336,AK_KAT,"KAS")&lt;&gt;1,"",IF(COUNTIFS(AK_NAMA,C2336,AK_KAT,"KAS")=1,D2336,C2336)))</f>
        <v/>
      </c>
      <c r="M2336" s="103" t="n">
        <f aca="false">IF(L2336="",0,IF(L2336=D2336,E2336,-E2336))</f>
        <v>0</v>
      </c>
      <c r="N2336" s="102" t="str">
        <f aca="false">IF(L2336="","",IFERROR(INDEX(AK_BARIS,MATCH(L2336,AK_NAMA,0)),"?"))</f>
        <v/>
      </c>
      <c r="O2336" s="102" t="str">
        <f aca="false">IF(C2336="","",IFERROR(INDEX(AK_KEL,MATCH(C2336,AK_NAMA,0)),"?"))</f>
        <v/>
      </c>
      <c r="P2336" s="102" t="str">
        <f aca="false">IF(D2336="","",IFERROR(INDEX(AK_KEL,MATCH(D2336,AK_NAMA,0)),"?"))</f>
        <v/>
      </c>
      <c r="Q2336" s="102" t="n">
        <f aca="false">N(Q2335)+IF(AND(N(E2336)&lt;&gt;0,K2336=TAHUN,N(J2336)&lt;=BLN,OR(C2336=BB_AKUN,D2336=BB_AKUN)),1,0)</f>
        <v>877</v>
      </c>
      <c r="R2336" s="104" t="str">
        <f aca="false">IF(OR(C2336&amp;D2336="",N(E2336)=0),"",IF(OR(O2336="?",P2336="?"),"⚠ akun tidak dikenal",IF(C2336=D2336,"⚠ debet = kredit","")))</f>
        <v/>
      </c>
    </row>
    <row r="2337" customFormat="false" ht="15" hidden="false" customHeight="false" outlineLevel="0" collapsed="false">
      <c r="A2337" s="5"/>
      <c r="B2337" s="83"/>
      <c r="C2337" s="5"/>
      <c r="D2337" s="5"/>
      <c r="E2337" s="44"/>
      <c r="F2337" s="5"/>
      <c r="G2337" s="5"/>
      <c r="H2337" s="5"/>
      <c r="I2337" s="5"/>
      <c r="J2337" s="102" t="str">
        <f aca="false">IF(B2337="","",MONTH(B2337))</f>
        <v/>
      </c>
      <c r="K2337" s="102" t="str">
        <f aca="false">IF(B2337="","",YEAR(B2337))</f>
        <v/>
      </c>
      <c r="L2337" s="102" t="str">
        <f aca="false">IF(N(E2337)=0,"",IF(COUNTIFS(AK_NAMA,C2337,AK_KAT,"KAS")+COUNTIFS(AK_NAMA,D2337,AK_KAT,"KAS")&lt;&gt;1,"",IF(COUNTIFS(AK_NAMA,C2337,AK_KAT,"KAS")=1,D2337,C2337)))</f>
        <v/>
      </c>
      <c r="M2337" s="103" t="n">
        <f aca="false">IF(L2337="",0,IF(L2337=D2337,E2337,-E2337))</f>
        <v>0</v>
      </c>
      <c r="N2337" s="102" t="str">
        <f aca="false">IF(L2337="","",IFERROR(INDEX(AK_BARIS,MATCH(L2337,AK_NAMA,0)),"?"))</f>
        <v/>
      </c>
      <c r="O2337" s="102" t="str">
        <f aca="false">IF(C2337="","",IFERROR(INDEX(AK_KEL,MATCH(C2337,AK_NAMA,0)),"?"))</f>
        <v/>
      </c>
      <c r="P2337" s="102" t="str">
        <f aca="false">IF(D2337="","",IFERROR(INDEX(AK_KEL,MATCH(D2337,AK_NAMA,0)),"?"))</f>
        <v/>
      </c>
      <c r="Q2337" s="102" t="n">
        <f aca="false">N(Q2336)+IF(AND(N(E2337)&lt;&gt;0,K2337=TAHUN,N(J2337)&lt;=BLN,OR(C2337=BB_AKUN,D2337=BB_AKUN)),1,0)</f>
        <v>877</v>
      </c>
      <c r="R2337" s="104" t="str">
        <f aca="false">IF(OR(C2337&amp;D2337="",N(E2337)=0),"",IF(OR(O2337="?",P2337="?"),"⚠ akun tidak dikenal",IF(C2337=D2337,"⚠ debet = kredit","")))</f>
        <v/>
      </c>
    </row>
    <row r="2338" customFormat="false" ht="15" hidden="false" customHeight="false" outlineLevel="0" collapsed="false">
      <c r="A2338" s="5"/>
      <c r="B2338" s="83"/>
      <c r="C2338" s="5"/>
      <c r="D2338" s="5"/>
      <c r="E2338" s="44"/>
      <c r="F2338" s="5"/>
      <c r="G2338" s="5"/>
      <c r="H2338" s="5"/>
      <c r="I2338" s="5"/>
      <c r="J2338" s="102" t="str">
        <f aca="false">IF(B2338="","",MONTH(B2338))</f>
        <v/>
      </c>
      <c r="K2338" s="102" t="str">
        <f aca="false">IF(B2338="","",YEAR(B2338))</f>
        <v/>
      </c>
      <c r="L2338" s="102" t="str">
        <f aca="false">IF(N(E2338)=0,"",IF(COUNTIFS(AK_NAMA,C2338,AK_KAT,"KAS")+COUNTIFS(AK_NAMA,D2338,AK_KAT,"KAS")&lt;&gt;1,"",IF(COUNTIFS(AK_NAMA,C2338,AK_KAT,"KAS")=1,D2338,C2338)))</f>
        <v/>
      </c>
      <c r="M2338" s="103" t="n">
        <f aca="false">IF(L2338="",0,IF(L2338=D2338,E2338,-E2338))</f>
        <v>0</v>
      </c>
      <c r="N2338" s="102" t="str">
        <f aca="false">IF(L2338="","",IFERROR(INDEX(AK_BARIS,MATCH(L2338,AK_NAMA,0)),"?"))</f>
        <v/>
      </c>
      <c r="O2338" s="102" t="str">
        <f aca="false">IF(C2338="","",IFERROR(INDEX(AK_KEL,MATCH(C2338,AK_NAMA,0)),"?"))</f>
        <v/>
      </c>
      <c r="P2338" s="102" t="str">
        <f aca="false">IF(D2338="","",IFERROR(INDEX(AK_KEL,MATCH(D2338,AK_NAMA,0)),"?"))</f>
        <v/>
      </c>
      <c r="Q2338" s="102" t="n">
        <f aca="false">N(Q2337)+IF(AND(N(E2338)&lt;&gt;0,K2338=TAHUN,N(J2338)&lt;=BLN,OR(C2338=BB_AKUN,D2338=BB_AKUN)),1,0)</f>
        <v>877</v>
      </c>
      <c r="R2338" s="104" t="str">
        <f aca="false">IF(OR(C2338&amp;D2338="",N(E2338)=0),"",IF(OR(O2338="?",P2338="?"),"⚠ akun tidak dikenal",IF(C2338=D2338,"⚠ debet = kredit","")))</f>
        <v/>
      </c>
    </row>
    <row r="2339" customFormat="false" ht="15" hidden="false" customHeight="false" outlineLevel="0" collapsed="false">
      <c r="A2339" s="5"/>
      <c r="B2339" s="83"/>
      <c r="C2339" s="5"/>
      <c r="D2339" s="5"/>
      <c r="E2339" s="44"/>
      <c r="F2339" s="5"/>
      <c r="G2339" s="5"/>
      <c r="H2339" s="5"/>
      <c r="I2339" s="5"/>
      <c r="J2339" s="102" t="str">
        <f aca="false">IF(B2339="","",MONTH(B2339))</f>
        <v/>
      </c>
      <c r="K2339" s="102" t="str">
        <f aca="false">IF(B2339="","",YEAR(B2339))</f>
        <v/>
      </c>
      <c r="L2339" s="102" t="str">
        <f aca="false">IF(N(E2339)=0,"",IF(COUNTIFS(AK_NAMA,C2339,AK_KAT,"KAS")+COUNTIFS(AK_NAMA,D2339,AK_KAT,"KAS")&lt;&gt;1,"",IF(COUNTIFS(AK_NAMA,C2339,AK_KAT,"KAS")=1,D2339,C2339)))</f>
        <v/>
      </c>
      <c r="M2339" s="103" t="n">
        <f aca="false">IF(L2339="",0,IF(L2339=D2339,E2339,-E2339))</f>
        <v>0</v>
      </c>
      <c r="N2339" s="102" t="str">
        <f aca="false">IF(L2339="","",IFERROR(INDEX(AK_BARIS,MATCH(L2339,AK_NAMA,0)),"?"))</f>
        <v/>
      </c>
      <c r="O2339" s="102" t="str">
        <f aca="false">IF(C2339="","",IFERROR(INDEX(AK_KEL,MATCH(C2339,AK_NAMA,0)),"?"))</f>
        <v/>
      </c>
      <c r="P2339" s="102" t="str">
        <f aca="false">IF(D2339="","",IFERROR(INDEX(AK_KEL,MATCH(D2339,AK_NAMA,0)),"?"))</f>
        <v/>
      </c>
      <c r="Q2339" s="102" t="n">
        <f aca="false">N(Q2338)+IF(AND(N(E2339)&lt;&gt;0,K2339=TAHUN,N(J2339)&lt;=BLN,OR(C2339=BB_AKUN,D2339=BB_AKUN)),1,0)</f>
        <v>877</v>
      </c>
      <c r="R2339" s="104" t="str">
        <f aca="false">IF(OR(C2339&amp;D2339="",N(E2339)=0),"",IF(OR(O2339="?",P2339="?"),"⚠ akun tidak dikenal",IF(C2339=D2339,"⚠ debet = kredit","")))</f>
        <v/>
      </c>
    </row>
    <row r="2340" customFormat="false" ht="15" hidden="false" customHeight="false" outlineLevel="0" collapsed="false">
      <c r="A2340" s="5"/>
      <c r="B2340" s="83"/>
      <c r="C2340" s="5"/>
      <c r="D2340" s="5"/>
      <c r="E2340" s="44"/>
      <c r="F2340" s="5"/>
      <c r="G2340" s="5"/>
      <c r="H2340" s="5"/>
      <c r="I2340" s="5"/>
      <c r="J2340" s="102" t="str">
        <f aca="false">IF(B2340="","",MONTH(B2340))</f>
        <v/>
      </c>
      <c r="K2340" s="102" t="str">
        <f aca="false">IF(B2340="","",YEAR(B2340))</f>
        <v/>
      </c>
      <c r="L2340" s="102" t="str">
        <f aca="false">IF(N(E2340)=0,"",IF(COUNTIFS(AK_NAMA,C2340,AK_KAT,"KAS")+COUNTIFS(AK_NAMA,D2340,AK_KAT,"KAS")&lt;&gt;1,"",IF(COUNTIFS(AK_NAMA,C2340,AK_KAT,"KAS")=1,D2340,C2340)))</f>
        <v/>
      </c>
      <c r="M2340" s="103" t="n">
        <f aca="false">IF(L2340="",0,IF(L2340=D2340,E2340,-E2340))</f>
        <v>0</v>
      </c>
      <c r="N2340" s="102" t="str">
        <f aca="false">IF(L2340="","",IFERROR(INDEX(AK_BARIS,MATCH(L2340,AK_NAMA,0)),"?"))</f>
        <v/>
      </c>
      <c r="O2340" s="102" t="str">
        <f aca="false">IF(C2340="","",IFERROR(INDEX(AK_KEL,MATCH(C2340,AK_NAMA,0)),"?"))</f>
        <v/>
      </c>
      <c r="P2340" s="102" t="str">
        <f aca="false">IF(D2340="","",IFERROR(INDEX(AK_KEL,MATCH(D2340,AK_NAMA,0)),"?"))</f>
        <v/>
      </c>
      <c r="Q2340" s="102" t="n">
        <f aca="false">N(Q2339)+IF(AND(N(E2340)&lt;&gt;0,K2340=TAHUN,N(J2340)&lt;=BLN,OR(C2340=BB_AKUN,D2340=BB_AKUN)),1,0)</f>
        <v>877</v>
      </c>
      <c r="R2340" s="104" t="str">
        <f aca="false">IF(OR(C2340&amp;D2340="",N(E2340)=0),"",IF(OR(O2340="?",P2340="?"),"⚠ akun tidak dikenal",IF(C2340=D2340,"⚠ debet = kredit","")))</f>
        <v/>
      </c>
    </row>
    <row r="2341" customFormat="false" ht="15" hidden="false" customHeight="false" outlineLevel="0" collapsed="false">
      <c r="A2341" s="5"/>
      <c r="B2341" s="83"/>
      <c r="C2341" s="5"/>
      <c r="D2341" s="5"/>
      <c r="E2341" s="44"/>
      <c r="F2341" s="5"/>
      <c r="G2341" s="5"/>
      <c r="H2341" s="5"/>
      <c r="I2341" s="5"/>
      <c r="J2341" s="102" t="str">
        <f aca="false">IF(B2341="","",MONTH(B2341))</f>
        <v/>
      </c>
      <c r="K2341" s="102" t="str">
        <f aca="false">IF(B2341="","",YEAR(B2341))</f>
        <v/>
      </c>
      <c r="L2341" s="102" t="str">
        <f aca="false">IF(N(E2341)=0,"",IF(COUNTIFS(AK_NAMA,C2341,AK_KAT,"KAS")+COUNTIFS(AK_NAMA,D2341,AK_KAT,"KAS")&lt;&gt;1,"",IF(COUNTIFS(AK_NAMA,C2341,AK_KAT,"KAS")=1,D2341,C2341)))</f>
        <v/>
      </c>
      <c r="M2341" s="103" t="n">
        <f aca="false">IF(L2341="",0,IF(L2341=D2341,E2341,-E2341))</f>
        <v>0</v>
      </c>
      <c r="N2341" s="102" t="str">
        <f aca="false">IF(L2341="","",IFERROR(INDEX(AK_BARIS,MATCH(L2341,AK_NAMA,0)),"?"))</f>
        <v/>
      </c>
      <c r="O2341" s="102" t="str">
        <f aca="false">IF(C2341="","",IFERROR(INDEX(AK_KEL,MATCH(C2341,AK_NAMA,0)),"?"))</f>
        <v/>
      </c>
      <c r="P2341" s="102" t="str">
        <f aca="false">IF(D2341="","",IFERROR(INDEX(AK_KEL,MATCH(D2341,AK_NAMA,0)),"?"))</f>
        <v/>
      </c>
      <c r="Q2341" s="102" t="n">
        <f aca="false">N(Q2340)+IF(AND(N(E2341)&lt;&gt;0,K2341=TAHUN,N(J2341)&lt;=BLN,OR(C2341=BB_AKUN,D2341=BB_AKUN)),1,0)</f>
        <v>877</v>
      </c>
      <c r="R2341" s="104" t="str">
        <f aca="false">IF(OR(C2341&amp;D2341="",N(E2341)=0),"",IF(OR(O2341="?",P2341="?"),"⚠ akun tidak dikenal",IF(C2341=D2341,"⚠ debet = kredit","")))</f>
        <v/>
      </c>
    </row>
    <row r="2342" customFormat="false" ht="15" hidden="false" customHeight="false" outlineLevel="0" collapsed="false">
      <c r="A2342" s="5"/>
      <c r="B2342" s="83"/>
      <c r="C2342" s="5"/>
      <c r="D2342" s="5"/>
      <c r="E2342" s="44"/>
      <c r="F2342" s="5"/>
      <c r="G2342" s="5"/>
      <c r="H2342" s="5"/>
      <c r="I2342" s="5"/>
      <c r="J2342" s="102" t="str">
        <f aca="false">IF(B2342="","",MONTH(B2342))</f>
        <v/>
      </c>
      <c r="K2342" s="102" t="str">
        <f aca="false">IF(B2342="","",YEAR(B2342))</f>
        <v/>
      </c>
      <c r="L2342" s="102" t="str">
        <f aca="false">IF(N(E2342)=0,"",IF(COUNTIFS(AK_NAMA,C2342,AK_KAT,"KAS")+COUNTIFS(AK_NAMA,D2342,AK_KAT,"KAS")&lt;&gt;1,"",IF(COUNTIFS(AK_NAMA,C2342,AK_KAT,"KAS")=1,D2342,C2342)))</f>
        <v/>
      </c>
      <c r="M2342" s="103" t="n">
        <f aca="false">IF(L2342="",0,IF(L2342=D2342,E2342,-E2342))</f>
        <v>0</v>
      </c>
      <c r="N2342" s="102" t="str">
        <f aca="false">IF(L2342="","",IFERROR(INDEX(AK_BARIS,MATCH(L2342,AK_NAMA,0)),"?"))</f>
        <v/>
      </c>
      <c r="O2342" s="102" t="str">
        <f aca="false">IF(C2342="","",IFERROR(INDEX(AK_KEL,MATCH(C2342,AK_NAMA,0)),"?"))</f>
        <v/>
      </c>
      <c r="P2342" s="102" t="str">
        <f aca="false">IF(D2342="","",IFERROR(INDEX(AK_KEL,MATCH(D2342,AK_NAMA,0)),"?"))</f>
        <v/>
      </c>
      <c r="Q2342" s="102" t="n">
        <f aca="false">N(Q2341)+IF(AND(N(E2342)&lt;&gt;0,K2342=TAHUN,N(J2342)&lt;=BLN,OR(C2342=BB_AKUN,D2342=BB_AKUN)),1,0)</f>
        <v>877</v>
      </c>
      <c r="R2342" s="104" t="str">
        <f aca="false">IF(OR(C2342&amp;D2342="",N(E2342)=0),"",IF(OR(O2342="?",P2342="?"),"⚠ akun tidak dikenal",IF(C2342=D2342,"⚠ debet = kredit","")))</f>
        <v/>
      </c>
    </row>
    <row r="2343" customFormat="false" ht="15" hidden="false" customHeight="false" outlineLevel="0" collapsed="false">
      <c r="A2343" s="5"/>
      <c r="B2343" s="83"/>
      <c r="C2343" s="5"/>
      <c r="D2343" s="5"/>
      <c r="E2343" s="44"/>
      <c r="F2343" s="5"/>
      <c r="G2343" s="5"/>
      <c r="H2343" s="5"/>
      <c r="I2343" s="5"/>
      <c r="J2343" s="102" t="str">
        <f aca="false">IF(B2343="","",MONTH(B2343))</f>
        <v/>
      </c>
      <c r="K2343" s="102" t="str">
        <f aca="false">IF(B2343="","",YEAR(B2343))</f>
        <v/>
      </c>
      <c r="L2343" s="102" t="str">
        <f aca="false">IF(N(E2343)=0,"",IF(COUNTIFS(AK_NAMA,C2343,AK_KAT,"KAS")+COUNTIFS(AK_NAMA,D2343,AK_KAT,"KAS")&lt;&gt;1,"",IF(COUNTIFS(AK_NAMA,C2343,AK_KAT,"KAS")=1,D2343,C2343)))</f>
        <v/>
      </c>
      <c r="M2343" s="103" t="n">
        <f aca="false">IF(L2343="",0,IF(L2343=D2343,E2343,-E2343))</f>
        <v>0</v>
      </c>
      <c r="N2343" s="102" t="str">
        <f aca="false">IF(L2343="","",IFERROR(INDEX(AK_BARIS,MATCH(L2343,AK_NAMA,0)),"?"))</f>
        <v/>
      </c>
      <c r="O2343" s="102" t="str">
        <f aca="false">IF(C2343="","",IFERROR(INDEX(AK_KEL,MATCH(C2343,AK_NAMA,0)),"?"))</f>
        <v/>
      </c>
      <c r="P2343" s="102" t="str">
        <f aca="false">IF(D2343="","",IFERROR(INDEX(AK_KEL,MATCH(D2343,AK_NAMA,0)),"?"))</f>
        <v/>
      </c>
      <c r="Q2343" s="102" t="n">
        <f aca="false">N(Q2342)+IF(AND(N(E2343)&lt;&gt;0,K2343=TAHUN,N(J2343)&lt;=BLN,OR(C2343=BB_AKUN,D2343=BB_AKUN)),1,0)</f>
        <v>877</v>
      </c>
      <c r="R2343" s="104" t="str">
        <f aca="false">IF(OR(C2343&amp;D2343="",N(E2343)=0),"",IF(OR(O2343="?",P2343="?"),"⚠ akun tidak dikenal",IF(C2343=D2343,"⚠ debet = kredit","")))</f>
        <v/>
      </c>
    </row>
    <row r="2344" customFormat="false" ht="15" hidden="false" customHeight="false" outlineLevel="0" collapsed="false">
      <c r="A2344" s="5"/>
      <c r="B2344" s="83"/>
      <c r="C2344" s="5"/>
      <c r="D2344" s="5"/>
      <c r="E2344" s="44"/>
      <c r="F2344" s="5"/>
      <c r="G2344" s="5"/>
      <c r="H2344" s="5"/>
      <c r="I2344" s="5"/>
      <c r="J2344" s="102" t="str">
        <f aca="false">IF(B2344="","",MONTH(B2344))</f>
        <v/>
      </c>
      <c r="K2344" s="102" t="str">
        <f aca="false">IF(B2344="","",YEAR(B2344))</f>
        <v/>
      </c>
      <c r="L2344" s="102" t="str">
        <f aca="false">IF(N(E2344)=0,"",IF(COUNTIFS(AK_NAMA,C2344,AK_KAT,"KAS")+COUNTIFS(AK_NAMA,D2344,AK_KAT,"KAS")&lt;&gt;1,"",IF(COUNTIFS(AK_NAMA,C2344,AK_KAT,"KAS")=1,D2344,C2344)))</f>
        <v/>
      </c>
      <c r="M2344" s="103" t="n">
        <f aca="false">IF(L2344="",0,IF(L2344=D2344,E2344,-E2344))</f>
        <v>0</v>
      </c>
      <c r="N2344" s="102" t="str">
        <f aca="false">IF(L2344="","",IFERROR(INDEX(AK_BARIS,MATCH(L2344,AK_NAMA,0)),"?"))</f>
        <v/>
      </c>
      <c r="O2344" s="102" t="str">
        <f aca="false">IF(C2344="","",IFERROR(INDEX(AK_KEL,MATCH(C2344,AK_NAMA,0)),"?"))</f>
        <v/>
      </c>
      <c r="P2344" s="102" t="str">
        <f aca="false">IF(D2344="","",IFERROR(INDEX(AK_KEL,MATCH(D2344,AK_NAMA,0)),"?"))</f>
        <v/>
      </c>
      <c r="Q2344" s="102" t="n">
        <f aca="false">N(Q2343)+IF(AND(N(E2344)&lt;&gt;0,K2344=TAHUN,N(J2344)&lt;=BLN,OR(C2344=BB_AKUN,D2344=BB_AKUN)),1,0)</f>
        <v>877</v>
      </c>
      <c r="R2344" s="104" t="str">
        <f aca="false">IF(OR(C2344&amp;D2344="",N(E2344)=0),"",IF(OR(O2344="?",P2344="?"),"⚠ akun tidak dikenal",IF(C2344=D2344,"⚠ debet = kredit","")))</f>
        <v/>
      </c>
    </row>
    <row r="2345" customFormat="false" ht="15" hidden="false" customHeight="false" outlineLevel="0" collapsed="false">
      <c r="A2345" s="5"/>
      <c r="B2345" s="83"/>
      <c r="C2345" s="5"/>
      <c r="D2345" s="5"/>
      <c r="E2345" s="44"/>
      <c r="F2345" s="5"/>
      <c r="G2345" s="5"/>
      <c r="H2345" s="5"/>
      <c r="I2345" s="5"/>
      <c r="J2345" s="102" t="str">
        <f aca="false">IF(B2345="","",MONTH(B2345))</f>
        <v/>
      </c>
      <c r="K2345" s="102" t="str">
        <f aca="false">IF(B2345="","",YEAR(B2345))</f>
        <v/>
      </c>
      <c r="L2345" s="102" t="str">
        <f aca="false">IF(N(E2345)=0,"",IF(COUNTIFS(AK_NAMA,C2345,AK_KAT,"KAS")+COUNTIFS(AK_NAMA,D2345,AK_KAT,"KAS")&lt;&gt;1,"",IF(COUNTIFS(AK_NAMA,C2345,AK_KAT,"KAS")=1,D2345,C2345)))</f>
        <v/>
      </c>
      <c r="M2345" s="103" t="n">
        <f aca="false">IF(L2345="",0,IF(L2345=D2345,E2345,-E2345))</f>
        <v>0</v>
      </c>
      <c r="N2345" s="102" t="str">
        <f aca="false">IF(L2345="","",IFERROR(INDEX(AK_BARIS,MATCH(L2345,AK_NAMA,0)),"?"))</f>
        <v/>
      </c>
      <c r="O2345" s="102" t="str">
        <f aca="false">IF(C2345="","",IFERROR(INDEX(AK_KEL,MATCH(C2345,AK_NAMA,0)),"?"))</f>
        <v/>
      </c>
      <c r="P2345" s="102" t="str">
        <f aca="false">IF(D2345="","",IFERROR(INDEX(AK_KEL,MATCH(D2345,AK_NAMA,0)),"?"))</f>
        <v/>
      </c>
      <c r="Q2345" s="102" t="n">
        <f aca="false">N(Q2344)+IF(AND(N(E2345)&lt;&gt;0,K2345=TAHUN,N(J2345)&lt;=BLN,OR(C2345=BB_AKUN,D2345=BB_AKUN)),1,0)</f>
        <v>877</v>
      </c>
      <c r="R2345" s="104" t="str">
        <f aca="false">IF(OR(C2345&amp;D2345="",N(E2345)=0),"",IF(OR(O2345="?",P2345="?"),"⚠ akun tidak dikenal",IF(C2345=D2345,"⚠ debet = kredit","")))</f>
        <v/>
      </c>
    </row>
    <row r="2346" customFormat="false" ht="15" hidden="false" customHeight="false" outlineLevel="0" collapsed="false">
      <c r="A2346" s="5"/>
      <c r="B2346" s="83"/>
      <c r="C2346" s="5"/>
      <c r="D2346" s="5"/>
      <c r="E2346" s="44"/>
      <c r="F2346" s="5"/>
      <c r="G2346" s="5"/>
      <c r="H2346" s="5"/>
      <c r="I2346" s="5"/>
      <c r="J2346" s="102" t="str">
        <f aca="false">IF(B2346="","",MONTH(B2346))</f>
        <v/>
      </c>
      <c r="K2346" s="102" t="str">
        <f aca="false">IF(B2346="","",YEAR(B2346))</f>
        <v/>
      </c>
      <c r="L2346" s="102" t="str">
        <f aca="false">IF(N(E2346)=0,"",IF(COUNTIFS(AK_NAMA,C2346,AK_KAT,"KAS")+COUNTIFS(AK_NAMA,D2346,AK_KAT,"KAS")&lt;&gt;1,"",IF(COUNTIFS(AK_NAMA,C2346,AK_KAT,"KAS")=1,D2346,C2346)))</f>
        <v/>
      </c>
      <c r="M2346" s="103" t="n">
        <f aca="false">IF(L2346="",0,IF(L2346=D2346,E2346,-E2346))</f>
        <v>0</v>
      </c>
      <c r="N2346" s="102" t="str">
        <f aca="false">IF(L2346="","",IFERROR(INDEX(AK_BARIS,MATCH(L2346,AK_NAMA,0)),"?"))</f>
        <v/>
      </c>
      <c r="O2346" s="102" t="str">
        <f aca="false">IF(C2346="","",IFERROR(INDEX(AK_KEL,MATCH(C2346,AK_NAMA,0)),"?"))</f>
        <v/>
      </c>
      <c r="P2346" s="102" t="str">
        <f aca="false">IF(D2346="","",IFERROR(INDEX(AK_KEL,MATCH(D2346,AK_NAMA,0)),"?"))</f>
        <v/>
      </c>
      <c r="Q2346" s="102" t="n">
        <f aca="false">N(Q2345)+IF(AND(N(E2346)&lt;&gt;0,K2346=TAHUN,N(J2346)&lt;=BLN,OR(C2346=BB_AKUN,D2346=BB_AKUN)),1,0)</f>
        <v>877</v>
      </c>
      <c r="R2346" s="104" t="str">
        <f aca="false">IF(OR(C2346&amp;D2346="",N(E2346)=0),"",IF(OR(O2346="?",P2346="?"),"⚠ akun tidak dikenal",IF(C2346=D2346,"⚠ debet = kredit","")))</f>
        <v/>
      </c>
    </row>
    <row r="2347" customFormat="false" ht="15" hidden="false" customHeight="false" outlineLevel="0" collapsed="false">
      <c r="A2347" s="5"/>
      <c r="B2347" s="83"/>
      <c r="C2347" s="5"/>
      <c r="D2347" s="5"/>
      <c r="E2347" s="44"/>
      <c r="F2347" s="5"/>
      <c r="G2347" s="5"/>
      <c r="H2347" s="5"/>
      <c r="I2347" s="5"/>
      <c r="J2347" s="102" t="str">
        <f aca="false">IF(B2347="","",MONTH(B2347))</f>
        <v/>
      </c>
      <c r="K2347" s="102" t="str">
        <f aca="false">IF(B2347="","",YEAR(B2347))</f>
        <v/>
      </c>
      <c r="L2347" s="102" t="str">
        <f aca="false">IF(N(E2347)=0,"",IF(COUNTIFS(AK_NAMA,C2347,AK_KAT,"KAS")+COUNTIFS(AK_NAMA,D2347,AK_KAT,"KAS")&lt;&gt;1,"",IF(COUNTIFS(AK_NAMA,C2347,AK_KAT,"KAS")=1,D2347,C2347)))</f>
        <v/>
      </c>
      <c r="M2347" s="103" t="n">
        <f aca="false">IF(L2347="",0,IF(L2347=D2347,E2347,-E2347))</f>
        <v>0</v>
      </c>
      <c r="N2347" s="102" t="str">
        <f aca="false">IF(L2347="","",IFERROR(INDEX(AK_BARIS,MATCH(L2347,AK_NAMA,0)),"?"))</f>
        <v/>
      </c>
      <c r="O2347" s="102" t="str">
        <f aca="false">IF(C2347="","",IFERROR(INDEX(AK_KEL,MATCH(C2347,AK_NAMA,0)),"?"))</f>
        <v/>
      </c>
      <c r="P2347" s="102" t="str">
        <f aca="false">IF(D2347="","",IFERROR(INDEX(AK_KEL,MATCH(D2347,AK_NAMA,0)),"?"))</f>
        <v/>
      </c>
      <c r="Q2347" s="102" t="n">
        <f aca="false">N(Q2346)+IF(AND(N(E2347)&lt;&gt;0,K2347=TAHUN,N(J2347)&lt;=BLN,OR(C2347=BB_AKUN,D2347=BB_AKUN)),1,0)</f>
        <v>877</v>
      </c>
      <c r="R2347" s="104" t="str">
        <f aca="false">IF(OR(C2347&amp;D2347="",N(E2347)=0),"",IF(OR(O2347="?",P2347="?"),"⚠ akun tidak dikenal",IF(C2347=D2347,"⚠ debet = kredit","")))</f>
        <v/>
      </c>
    </row>
    <row r="2348" customFormat="false" ht="15" hidden="false" customHeight="false" outlineLevel="0" collapsed="false">
      <c r="A2348" s="5"/>
      <c r="B2348" s="83"/>
      <c r="C2348" s="5"/>
      <c r="D2348" s="5"/>
      <c r="E2348" s="44"/>
      <c r="F2348" s="5"/>
      <c r="G2348" s="5"/>
      <c r="H2348" s="5"/>
      <c r="I2348" s="5"/>
      <c r="J2348" s="102" t="str">
        <f aca="false">IF(B2348="","",MONTH(B2348))</f>
        <v/>
      </c>
      <c r="K2348" s="102" t="str">
        <f aca="false">IF(B2348="","",YEAR(B2348))</f>
        <v/>
      </c>
      <c r="L2348" s="102" t="str">
        <f aca="false">IF(N(E2348)=0,"",IF(COUNTIFS(AK_NAMA,C2348,AK_KAT,"KAS")+COUNTIFS(AK_NAMA,D2348,AK_KAT,"KAS")&lt;&gt;1,"",IF(COUNTIFS(AK_NAMA,C2348,AK_KAT,"KAS")=1,D2348,C2348)))</f>
        <v/>
      </c>
      <c r="M2348" s="103" t="n">
        <f aca="false">IF(L2348="",0,IF(L2348=D2348,E2348,-E2348))</f>
        <v>0</v>
      </c>
      <c r="N2348" s="102" t="str">
        <f aca="false">IF(L2348="","",IFERROR(INDEX(AK_BARIS,MATCH(L2348,AK_NAMA,0)),"?"))</f>
        <v/>
      </c>
      <c r="O2348" s="102" t="str">
        <f aca="false">IF(C2348="","",IFERROR(INDEX(AK_KEL,MATCH(C2348,AK_NAMA,0)),"?"))</f>
        <v/>
      </c>
      <c r="P2348" s="102" t="str">
        <f aca="false">IF(D2348="","",IFERROR(INDEX(AK_KEL,MATCH(D2348,AK_NAMA,0)),"?"))</f>
        <v/>
      </c>
      <c r="Q2348" s="102" t="n">
        <f aca="false">N(Q2347)+IF(AND(N(E2348)&lt;&gt;0,K2348=TAHUN,N(J2348)&lt;=BLN,OR(C2348=BB_AKUN,D2348=BB_AKUN)),1,0)</f>
        <v>877</v>
      </c>
      <c r="R2348" s="104" t="str">
        <f aca="false">IF(OR(C2348&amp;D2348="",N(E2348)=0),"",IF(OR(O2348="?",P2348="?"),"⚠ akun tidak dikenal",IF(C2348=D2348,"⚠ debet = kredit","")))</f>
        <v/>
      </c>
    </row>
    <row r="2349" customFormat="false" ht="15" hidden="false" customHeight="false" outlineLevel="0" collapsed="false">
      <c r="A2349" s="5"/>
      <c r="B2349" s="83"/>
      <c r="C2349" s="5"/>
      <c r="D2349" s="5"/>
      <c r="E2349" s="44"/>
      <c r="F2349" s="5"/>
      <c r="G2349" s="5"/>
      <c r="H2349" s="5"/>
      <c r="I2349" s="5"/>
      <c r="J2349" s="102" t="str">
        <f aca="false">IF(B2349="","",MONTH(B2349))</f>
        <v/>
      </c>
      <c r="K2349" s="102" t="str">
        <f aca="false">IF(B2349="","",YEAR(B2349))</f>
        <v/>
      </c>
      <c r="L2349" s="102" t="str">
        <f aca="false">IF(N(E2349)=0,"",IF(COUNTIFS(AK_NAMA,C2349,AK_KAT,"KAS")+COUNTIFS(AK_NAMA,D2349,AK_KAT,"KAS")&lt;&gt;1,"",IF(COUNTIFS(AK_NAMA,C2349,AK_KAT,"KAS")=1,D2349,C2349)))</f>
        <v/>
      </c>
      <c r="M2349" s="103" t="n">
        <f aca="false">IF(L2349="",0,IF(L2349=D2349,E2349,-E2349))</f>
        <v>0</v>
      </c>
      <c r="N2349" s="102" t="str">
        <f aca="false">IF(L2349="","",IFERROR(INDEX(AK_BARIS,MATCH(L2349,AK_NAMA,0)),"?"))</f>
        <v/>
      </c>
      <c r="O2349" s="102" t="str">
        <f aca="false">IF(C2349="","",IFERROR(INDEX(AK_KEL,MATCH(C2349,AK_NAMA,0)),"?"))</f>
        <v/>
      </c>
      <c r="P2349" s="102" t="str">
        <f aca="false">IF(D2349="","",IFERROR(INDEX(AK_KEL,MATCH(D2349,AK_NAMA,0)),"?"))</f>
        <v/>
      </c>
      <c r="Q2349" s="102" t="n">
        <f aca="false">N(Q2348)+IF(AND(N(E2349)&lt;&gt;0,K2349=TAHUN,N(J2349)&lt;=BLN,OR(C2349=BB_AKUN,D2349=BB_AKUN)),1,0)</f>
        <v>877</v>
      </c>
      <c r="R2349" s="104" t="str">
        <f aca="false">IF(OR(C2349&amp;D2349="",N(E2349)=0),"",IF(OR(O2349="?",P2349="?"),"⚠ akun tidak dikenal",IF(C2349=D2349,"⚠ debet = kredit","")))</f>
        <v/>
      </c>
    </row>
    <row r="2350" customFormat="false" ht="15" hidden="false" customHeight="false" outlineLevel="0" collapsed="false">
      <c r="A2350" s="5"/>
      <c r="B2350" s="83"/>
      <c r="C2350" s="5"/>
      <c r="D2350" s="5"/>
      <c r="E2350" s="44"/>
      <c r="F2350" s="5"/>
      <c r="G2350" s="5"/>
      <c r="H2350" s="5"/>
      <c r="I2350" s="5"/>
      <c r="J2350" s="102" t="str">
        <f aca="false">IF(B2350="","",MONTH(B2350))</f>
        <v/>
      </c>
      <c r="K2350" s="102" t="str">
        <f aca="false">IF(B2350="","",YEAR(B2350))</f>
        <v/>
      </c>
      <c r="L2350" s="102" t="str">
        <f aca="false">IF(N(E2350)=0,"",IF(COUNTIFS(AK_NAMA,C2350,AK_KAT,"KAS")+COUNTIFS(AK_NAMA,D2350,AK_KAT,"KAS")&lt;&gt;1,"",IF(COUNTIFS(AK_NAMA,C2350,AK_KAT,"KAS")=1,D2350,C2350)))</f>
        <v/>
      </c>
      <c r="M2350" s="103" t="n">
        <f aca="false">IF(L2350="",0,IF(L2350=D2350,E2350,-E2350))</f>
        <v>0</v>
      </c>
      <c r="N2350" s="102" t="str">
        <f aca="false">IF(L2350="","",IFERROR(INDEX(AK_BARIS,MATCH(L2350,AK_NAMA,0)),"?"))</f>
        <v/>
      </c>
      <c r="O2350" s="102" t="str">
        <f aca="false">IF(C2350="","",IFERROR(INDEX(AK_KEL,MATCH(C2350,AK_NAMA,0)),"?"))</f>
        <v/>
      </c>
      <c r="P2350" s="102" t="str">
        <f aca="false">IF(D2350="","",IFERROR(INDEX(AK_KEL,MATCH(D2350,AK_NAMA,0)),"?"))</f>
        <v/>
      </c>
      <c r="Q2350" s="102" t="n">
        <f aca="false">N(Q2349)+IF(AND(N(E2350)&lt;&gt;0,K2350=TAHUN,N(J2350)&lt;=BLN,OR(C2350=BB_AKUN,D2350=BB_AKUN)),1,0)</f>
        <v>877</v>
      </c>
      <c r="R2350" s="104" t="str">
        <f aca="false">IF(OR(C2350&amp;D2350="",N(E2350)=0),"",IF(OR(O2350="?",P2350="?"),"⚠ akun tidak dikenal",IF(C2350=D2350,"⚠ debet = kredit","")))</f>
        <v/>
      </c>
    </row>
    <row r="2351" customFormat="false" ht="15" hidden="false" customHeight="false" outlineLevel="0" collapsed="false">
      <c r="A2351" s="5"/>
      <c r="B2351" s="83"/>
      <c r="C2351" s="5"/>
      <c r="D2351" s="5"/>
      <c r="E2351" s="44"/>
      <c r="F2351" s="5"/>
      <c r="G2351" s="5"/>
      <c r="H2351" s="5"/>
      <c r="I2351" s="5"/>
      <c r="J2351" s="102" t="str">
        <f aca="false">IF(B2351="","",MONTH(B2351))</f>
        <v/>
      </c>
      <c r="K2351" s="102" t="str">
        <f aca="false">IF(B2351="","",YEAR(B2351))</f>
        <v/>
      </c>
      <c r="L2351" s="102" t="str">
        <f aca="false">IF(N(E2351)=0,"",IF(COUNTIFS(AK_NAMA,C2351,AK_KAT,"KAS")+COUNTIFS(AK_NAMA,D2351,AK_KAT,"KAS")&lt;&gt;1,"",IF(COUNTIFS(AK_NAMA,C2351,AK_KAT,"KAS")=1,D2351,C2351)))</f>
        <v/>
      </c>
      <c r="M2351" s="103" t="n">
        <f aca="false">IF(L2351="",0,IF(L2351=D2351,E2351,-E2351))</f>
        <v>0</v>
      </c>
      <c r="N2351" s="102" t="str">
        <f aca="false">IF(L2351="","",IFERROR(INDEX(AK_BARIS,MATCH(L2351,AK_NAMA,0)),"?"))</f>
        <v/>
      </c>
      <c r="O2351" s="102" t="str">
        <f aca="false">IF(C2351="","",IFERROR(INDEX(AK_KEL,MATCH(C2351,AK_NAMA,0)),"?"))</f>
        <v/>
      </c>
      <c r="P2351" s="102" t="str">
        <f aca="false">IF(D2351="","",IFERROR(INDEX(AK_KEL,MATCH(D2351,AK_NAMA,0)),"?"))</f>
        <v/>
      </c>
      <c r="Q2351" s="102" t="n">
        <f aca="false">N(Q2350)+IF(AND(N(E2351)&lt;&gt;0,K2351=TAHUN,N(J2351)&lt;=BLN,OR(C2351=BB_AKUN,D2351=BB_AKUN)),1,0)</f>
        <v>877</v>
      </c>
      <c r="R2351" s="104" t="str">
        <f aca="false">IF(OR(C2351&amp;D2351="",N(E2351)=0),"",IF(OR(O2351="?",P2351="?"),"⚠ akun tidak dikenal",IF(C2351=D2351,"⚠ debet = kredit","")))</f>
        <v/>
      </c>
    </row>
    <row r="2352" customFormat="false" ht="15" hidden="false" customHeight="false" outlineLevel="0" collapsed="false">
      <c r="A2352" s="5"/>
      <c r="B2352" s="83"/>
      <c r="C2352" s="5"/>
      <c r="D2352" s="5"/>
      <c r="E2352" s="44"/>
      <c r="F2352" s="5"/>
      <c r="G2352" s="5"/>
      <c r="H2352" s="5"/>
      <c r="I2352" s="5"/>
      <c r="J2352" s="102" t="str">
        <f aca="false">IF(B2352="","",MONTH(B2352))</f>
        <v/>
      </c>
      <c r="K2352" s="102" t="str">
        <f aca="false">IF(B2352="","",YEAR(B2352))</f>
        <v/>
      </c>
      <c r="L2352" s="102" t="str">
        <f aca="false">IF(N(E2352)=0,"",IF(COUNTIFS(AK_NAMA,C2352,AK_KAT,"KAS")+COUNTIFS(AK_NAMA,D2352,AK_KAT,"KAS")&lt;&gt;1,"",IF(COUNTIFS(AK_NAMA,C2352,AK_KAT,"KAS")=1,D2352,C2352)))</f>
        <v/>
      </c>
      <c r="M2352" s="103" t="n">
        <f aca="false">IF(L2352="",0,IF(L2352=D2352,E2352,-E2352))</f>
        <v>0</v>
      </c>
      <c r="N2352" s="102" t="str">
        <f aca="false">IF(L2352="","",IFERROR(INDEX(AK_BARIS,MATCH(L2352,AK_NAMA,0)),"?"))</f>
        <v/>
      </c>
      <c r="O2352" s="102" t="str">
        <f aca="false">IF(C2352="","",IFERROR(INDEX(AK_KEL,MATCH(C2352,AK_NAMA,0)),"?"))</f>
        <v/>
      </c>
      <c r="P2352" s="102" t="str">
        <f aca="false">IF(D2352="","",IFERROR(INDEX(AK_KEL,MATCH(D2352,AK_NAMA,0)),"?"))</f>
        <v/>
      </c>
      <c r="Q2352" s="102" t="n">
        <f aca="false">N(Q2351)+IF(AND(N(E2352)&lt;&gt;0,K2352=TAHUN,N(J2352)&lt;=BLN,OR(C2352=BB_AKUN,D2352=BB_AKUN)),1,0)</f>
        <v>877</v>
      </c>
      <c r="R2352" s="104" t="str">
        <f aca="false">IF(OR(C2352&amp;D2352="",N(E2352)=0),"",IF(OR(O2352="?",P2352="?"),"⚠ akun tidak dikenal",IF(C2352=D2352,"⚠ debet = kredit","")))</f>
        <v/>
      </c>
    </row>
    <row r="2353" customFormat="false" ht="15" hidden="false" customHeight="false" outlineLevel="0" collapsed="false">
      <c r="A2353" s="5"/>
      <c r="B2353" s="83"/>
      <c r="C2353" s="5"/>
      <c r="D2353" s="5"/>
      <c r="E2353" s="44"/>
      <c r="F2353" s="5"/>
      <c r="G2353" s="5"/>
      <c r="H2353" s="5"/>
      <c r="I2353" s="5"/>
      <c r="J2353" s="102" t="str">
        <f aca="false">IF(B2353="","",MONTH(B2353))</f>
        <v/>
      </c>
      <c r="K2353" s="102" t="str">
        <f aca="false">IF(B2353="","",YEAR(B2353))</f>
        <v/>
      </c>
      <c r="L2353" s="102" t="str">
        <f aca="false">IF(N(E2353)=0,"",IF(COUNTIFS(AK_NAMA,C2353,AK_KAT,"KAS")+COUNTIFS(AK_NAMA,D2353,AK_KAT,"KAS")&lt;&gt;1,"",IF(COUNTIFS(AK_NAMA,C2353,AK_KAT,"KAS")=1,D2353,C2353)))</f>
        <v/>
      </c>
      <c r="M2353" s="103" t="n">
        <f aca="false">IF(L2353="",0,IF(L2353=D2353,E2353,-E2353))</f>
        <v>0</v>
      </c>
      <c r="N2353" s="102" t="str">
        <f aca="false">IF(L2353="","",IFERROR(INDEX(AK_BARIS,MATCH(L2353,AK_NAMA,0)),"?"))</f>
        <v/>
      </c>
      <c r="O2353" s="102" t="str">
        <f aca="false">IF(C2353="","",IFERROR(INDEX(AK_KEL,MATCH(C2353,AK_NAMA,0)),"?"))</f>
        <v/>
      </c>
      <c r="P2353" s="102" t="str">
        <f aca="false">IF(D2353="","",IFERROR(INDEX(AK_KEL,MATCH(D2353,AK_NAMA,0)),"?"))</f>
        <v/>
      </c>
      <c r="Q2353" s="102" t="n">
        <f aca="false">N(Q2352)+IF(AND(N(E2353)&lt;&gt;0,K2353=TAHUN,N(J2353)&lt;=BLN,OR(C2353=BB_AKUN,D2353=BB_AKUN)),1,0)</f>
        <v>877</v>
      </c>
      <c r="R2353" s="104" t="str">
        <f aca="false">IF(OR(C2353&amp;D2353="",N(E2353)=0),"",IF(OR(O2353="?",P2353="?"),"⚠ akun tidak dikenal",IF(C2353=D2353,"⚠ debet = kredit","")))</f>
        <v/>
      </c>
    </row>
    <row r="2354" customFormat="false" ht="15" hidden="false" customHeight="false" outlineLevel="0" collapsed="false">
      <c r="A2354" s="5"/>
      <c r="B2354" s="83"/>
      <c r="C2354" s="5"/>
      <c r="D2354" s="5"/>
      <c r="E2354" s="44"/>
      <c r="F2354" s="5"/>
      <c r="G2354" s="5"/>
      <c r="H2354" s="5"/>
      <c r="I2354" s="5"/>
      <c r="J2354" s="102" t="str">
        <f aca="false">IF(B2354="","",MONTH(B2354))</f>
        <v/>
      </c>
      <c r="K2354" s="102" t="str">
        <f aca="false">IF(B2354="","",YEAR(B2354))</f>
        <v/>
      </c>
      <c r="L2354" s="102" t="str">
        <f aca="false">IF(N(E2354)=0,"",IF(COUNTIFS(AK_NAMA,C2354,AK_KAT,"KAS")+COUNTIFS(AK_NAMA,D2354,AK_KAT,"KAS")&lt;&gt;1,"",IF(COUNTIFS(AK_NAMA,C2354,AK_KAT,"KAS")=1,D2354,C2354)))</f>
        <v/>
      </c>
      <c r="M2354" s="103" t="n">
        <f aca="false">IF(L2354="",0,IF(L2354=D2354,E2354,-E2354))</f>
        <v>0</v>
      </c>
      <c r="N2354" s="102" t="str">
        <f aca="false">IF(L2354="","",IFERROR(INDEX(AK_BARIS,MATCH(L2354,AK_NAMA,0)),"?"))</f>
        <v/>
      </c>
      <c r="O2354" s="102" t="str">
        <f aca="false">IF(C2354="","",IFERROR(INDEX(AK_KEL,MATCH(C2354,AK_NAMA,0)),"?"))</f>
        <v/>
      </c>
      <c r="P2354" s="102" t="str">
        <f aca="false">IF(D2354="","",IFERROR(INDEX(AK_KEL,MATCH(D2354,AK_NAMA,0)),"?"))</f>
        <v/>
      </c>
      <c r="Q2354" s="102" t="n">
        <f aca="false">N(Q2353)+IF(AND(N(E2354)&lt;&gt;0,K2354=TAHUN,N(J2354)&lt;=BLN,OR(C2354=BB_AKUN,D2354=BB_AKUN)),1,0)</f>
        <v>877</v>
      </c>
      <c r="R2354" s="104" t="str">
        <f aca="false">IF(OR(C2354&amp;D2354="",N(E2354)=0),"",IF(OR(O2354="?",P2354="?"),"⚠ akun tidak dikenal",IF(C2354=D2354,"⚠ debet = kredit","")))</f>
        <v/>
      </c>
    </row>
    <row r="2355" customFormat="false" ht="15" hidden="false" customHeight="false" outlineLevel="0" collapsed="false">
      <c r="A2355" s="5"/>
      <c r="B2355" s="83"/>
      <c r="C2355" s="5"/>
      <c r="D2355" s="5"/>
      <c r="E2355" s="44"/>
      <c r="F2355" s="5"/>
      <c r="G2355" s="5"/>
      <c r="H2355" s="5"/>
      <c r="I2355" s="5"/>
      <c r="J2355" s="102" t="str">
        <f aca="false">IF(B2355="","",MONTH(B2355))</f>
        <v/>
      </c>
      <c r="K2355" s="102" t="str">
        <f aca="false">IF(B2355="","",YEAR(B2355))</f>
        <v/>
      </c>
      <c r="L2355" s="102" t="str">
        <f aca="false">IF(N(E2355)=0,"",IF(COUNTIFS(AK_NAMA,C2355,AK_KAT,"KAS")+COUNTIFS(AK_NAMA,D2355,AK_KAT,"KAS")&lt;&gt;1,"",IF(COUNTIFS(AK_NAMA,C2355,AK_KAT,"KAS")=1,D2355,C2355)))</f>
        <v/>
      </c>
      <c r="M2355" s="103" t="n">
        <f aca="false">IF(L2355="",0,IF(L2355=D2355,E2355,-E2355))</f>
        <v>0</v>
      </c>
      <c r="N2355" s="102" t="str">
        <f aca="false">IF(L2355="","",IFERROR(INDEX(AK_BARIS,MATCH(L2355,AK_NAMA,0)),"?"))</f>
        <v/>
      </c>
      <c r="O2355" s="102" t="str">
        <f aca="false">IF(C2355="","",IFERROR(INDEX(AK_KEL,MATCH(C2355,AK_NAMA,0)),"?"))</f>
        <v/>
      </c>
      <c r="P2355" s="102" t="str">
        <f aca="false">IF(D2355="","",IFERROR(INDEX(AK_KEL,MATCH(D2355,AK_NAMA,0)),"?"))</f>
        <v/>
      </c>
      <c r="Q2355" s="102" t="n">
        <f aca="false">N(Q2354)+IF(AND(N(E2355)&lt;&gt;0,K2355=TAHUN,N(J2355)&lt;=BLN,OR(C2355=BB_AKUN,D2355=BB_AKUN)),1,0)</f>
        <v>877</v>
      </c>
      <c r="R2355" s="104" t="str">
        <f aca="false">IF(OR(C2355&amp;D2355="",N(E2355)=0),"",IF(OR(O2355="?",P2355="?"),"⚠ akun tidak dikenal",IF(C2355=D2355,"⚠ debet = kredit","")))</f>
        <v/>
      </c>
    </row>
    <row r="2356" customFormat="false" ht="15" hidden="false" customHeight="false" outlineLevel="0" collapsed="false">
      <c r="A2356" s="5"/>
      <c r="B2356" s="83"/>
      <c r="C2356" s="5"/>
      <c r="D2356" s="5"/>
      <c r="E2356" s="44"/>
      <c r="F2356" s="5"/>
      <c r="G2356" s="5"/>
      <c r="H2356" s="5"/>
      <c r="I2356" s="5"/>
      <c r="J2356" s="102" t="str">
        <f aca="false">IF(B2356="","",MONTH(B2356))</f>
        <v/>
      </c>
      <c r="K2356" s="102" t="str">
        <f aca="false">IF(B2356="","",YEAR(B2356))</f>
        <v/>
      </c>
      <c r="L2356" s="102" t="str">
        <f aca="false">IF(N(E2356)=0,"",IF(COUNTIFS(AK_NAMA,C2356,AK_KAT,"KAS")+COUNTIFS(AK_NAMA,D2356,AK_KAT,"KAS")&lt;&gt;1,"",IF(COUNTIFS(AK_NAMA,C2356,AK_KAT,"KAS")=1,D2356,C2356)))</f>
        <v/>
      </c>
      <c r="M2356" s="103" t="n">
        <f aca="false">IF(L2356="",0,IF(L2356=D2356,E2356,-E2356))</f>
        <v>0</v>
      </c>
      <c r="N2356" s="102" t="str">
        <f aca="false">IF(L2356="","",IFERROR(INDEX(AK_BARIS,MATCH(L2356,AK_NAMA,0)),"?"))</f>
        <v/>
      </c>
      <c r="O2356" s="102" t="str">
        <f aca="false">IF(C2356="","",IFERROR(INDEX(AK_KEL,MATCH(C2356,AK_NAMA,0)),"?"))</f>
        <v/>
      </c>
      <c r="P2356" s="102" t="str">
        <f aca="false">IF(D2356="","",IFERROR(INDEX(AK_KEL,MATCH(D2356,AK_NAMA,0)),"?"))</f>
        <v/>
      </c>
      <c r="Q2356" s="102" t="n">
        <f aca="false">N(Q2355)+IF(AND(N(E2356)&lt;&gt;0,K2356=TAHUN,N(J2356)&lt;=BLN,OR(C2356=BB_AKUN,D2356=BB_AKUN)),1,0)</f>
        <v>877</v>
      </c>
      <c r="R2356" s="104" t="str">
        <f aca="false">IF(OR(C2356&amp;D2356="",N(E2356)=0),"",IF(OR(O2356="?",P2356="?"),"⚠ akun tidak dikenal",IF(C2356=D2356,"⚠ debet = kredit","")))</f>
        <v/>
      </c>
    </row>
    <row r="2357" customFormat="false" ht="15" hidden="false" customHeight="false" outlineLevel="0" collapsed="false">
      <c r="A2357" s="5"/>
      <c r="B2357" s="83"/>
      <c r="C2357" s="5"/>
      <c r="D2357" s="5"/>
      <c r="E2357" s="44"/>
      <c r="F2357" s="5"/>
      <c r="G2357" s="5"/>
      <c r="H2357" s="5"/>
      <c r="I2357" s="5"/>
      <c r="J2357" s="102" t="str">
        <f aca="false">IF(B2357="","",MONTH(B2357))</f>
        <v/>
      </c>
      <c r="K2357" s="102" t="str">
        <f aca="false">IF(B2357="","",YEAR(B2357))</f>
        <v/>
      </c>
      <c r="L2357" s="102" t="str">
        <f aca="false">IF(N(E2357)=0,"",IF(COUNTIFS(AK_NAMA,C2357,AK_KAT,"KAS")+COUNTIFS(AK_NAMA,D2357,AK_KAT,"KAS")&lt;&gt;1,"",IF(COUNTIFS(AK_NAMA,C2357,AK_KAT,"KAS")=1,D2357,C2357)))</f>
        <v/>
      </c>
      <c r="M2357" s="103" t="n">
        <f aca="false">IF(L2357="",0,IF(L2357=D2357,E2357,-E2357))</f>
        <v>0</v>
      </c>
      <c r="N2357" s="102" t="str">
        <f aca="false">IF(L2357="","",IFERROR(INDEX(AK_BARIS,MATCH(L2357,AK_NAMA,0)),"?"))</f>
        <v/>
      </c>
      <c r="O2357" s="102" t="str">
        <f aca="false">IF(C2357="","",IFERROR(INDEX(AK_KEL,MATCH(C2357,AK_NAMA,0)),"?"))</f>
        <v/>
      </c>
      <c r="P2357" s="102" t="str">
        <f aca="false">IF(D2357="","",IFERROR(INDEX(AK_KEL,MATCH(D2357,AK_NAMA,0)),"?"))</f>
        <v/>
      </c>
      <c r="Q2357" s="102" t="n">
        <f aca="false">N(Q2356)+IF(AND(N(E2357)&lt;&gt;0,K2357=TAHUN,N(J2357)&lt;=BLN,OR(C2357=BB_AKUN,D2357=BB_AKUN)),1,0)</f>
        <v>877</v>
      </c>
      <c r="R2357" s="104" t="str">
        <f aca="false">IF(OR(C2357&amp;D2357="",N(E2357)=0),"",IF(OR(O2357="?",P2357="?"),"⚠ akun tidak dikenal",IF(C2357=D2357,"⚠ debet = kredit","")))</f>
        <v/>
      </c>
    </row>
    <row r="2358" customFormat="false" ht="15" hidden="false" customHeight="false" outlineLevel="0" collapsed="false">
      <c r="A2358" s="5"/>
      <c r="B2358" s="83"/>
      <c r="C2358" s="5"/>
      <c r="D2358" s="5"/>
      <c r="E2358" s="44"/>
      <c r="F2358" s="5"/>
      <c r="G2358" s="5"/>
      <c r="H2358" s="5"/>
      <c r="I2358" s="5"/>
      <c r="J2358" s="102" t="str">
        <f aca="false">IF(B2358="","",MONTH(B2358))</f>
        <v/>
      </c>
      <c r="K2358" s="102" t="str">
        <f aca="false">IF(B2358="","",YEAR(B2358))</f>
        <v/>
      </c>
      <c r="L2358" s="102" t="str">
        <f aca="false">IF(N(E2358)=0,"",IF(COUNTIFS(AK_NAMA,C2358,AK_KAT,"KAS")+COUNTIFS(AK_NAMA,D2358,AK_KAT,"KAS")&lt;&gt;1,"",IF(COUNTIFS(AK_NAMA,C2358,AK_KAT,"KAS")=1,D2358,C2358)))</f>
        <v/>
      </c>
      <c r="M2358" s="103" t="n">
        <f aca="false">IF(L2358="",0,IF(L2358=D2358,E2358,-E2358))</f>
        <v>0</v>
      </c>
      <c r="N2358" s="102" t="str">
        <f aca="false">IF(L2358="","",IFERROR(INDEX(AK_BARIS,MATCH(L2358,AK_NAMA,0)),"?"))</f>
        <v/>
      </c>
      <c r="O2358" s="102" t="str">
        <f aca="false">IF(C2358="","",IFERROR(INDEX(AK_KEL,MATCH(C2358,AK_NAMA,0)),"?"))</f>
        <v/>
      </c>
      <c r="P2358" s="102" t="str">
        <f aca="false">IF(D2358="","",IFERROR(INDEX(AK_KEL,MATCH(D2358,AK_NAMA,0)),"?"))</f>
        <v/>
      </c>
      <c r="Q2358" s="102" t="n">
        <f aca="false">N(Q2357)+IF(AND(N(E2358)&lt;&gt;0,K2358=TAHUN,N(J2358)&lt;=BLN,OR(C2358=BB_AKUN,D2358=BB_AKUN)),1,0)</f>
        <v>877</v>
      </c>
      <c r="R2358" s="104" t="str">
        <f aca="false">IF(OR(C2358&amp;D2358="",N(E2358)=0),"",IF(OR(O2358="?",P2358="?"),"⚠ akun tidak dikenal",IF(C2358=D2358,"⚠ debet = kredit","")))</f>
        <v/>
      </c>
    </row>
    <row r="2359" customFormat="false" ht="15" hidden="false" customHeight="false" outlineLevel="0" collapsed="false">
      <c r="A2359" s="5"/>
      <c r="B2359" s="83"/>
      <c r="C2359" s="5"/>
      <c r="D2359" s="5"/>
      <c r="E2359" s="44"/>
      <c r="F2359" s="5"/>
      <c r="G2359" s="5"/>
      <c r="H2359" s="5"/>
      <c r="I2359" s="5"/>
      <c r="J2359" s="102" t="str">
        <f aca="false">IF(B2359="","",MONTH(B2359))</f>
        <v/>
      </c>
      <c r="K2359" s="102" t="str">
        <f aca="false">IF(B2359="","",YEAR(B2359))</f>
        <v/>
      </c>
      <c r="L2359" s="102" t="str">
        <f aca="false">IF(N(E2359)=0,"",IF(COUNTIFS(AK_NAMA,C2359,AK_KAT,"KAS")+COUNTIFS(AK_NAMA,D2359,AK_KAT,"KAS")&lt;&gt;1,"",IF(COUNTIFS(AK_NAMA,C2359,AK_KAT,"KAS")=1,D2359,C2359)))</f>
        <v/>
      </c>
      <c r="M2359" s="103" t="n">
        <f aca="false">IF(L2359="",0,IF(L2359=D2359,E2359,-E2359))</f>
        <v>0</v>
      </c>
      <c r="N2359" s="102" t="str">
        <f aca="false">IF(L2359="","",IFERROR(INDEX(AK_BARIS,MATCH(L2359,AK_NAMA,0)),"?"))</f>
        <v/>
      </c>
      <c r="O2359" s="102" t="str">
        <f aca="false">IF(C2359="","",IFERROR(INDEX(AK_KEL,MATCH(C2359,AK_NAMA,0)),"?"))</f>
        <v/>
      </c>
      <c r="P2359" s="102" t="str">
        <f aca="false">IF(D2359="","",IFERROR(INDEX(AK_KEL,MATCH(D2359,AK_NAMA,0)),"?"))</f>
        <v/>
      </c>
      <c r="Q2359" s="102" t="n">
        <f aca="false">N(Q2358)+IF(AND(N(E2359)&lt;&gt;0,K2359=TAHUN,N(J2359)&lt;=BLN,OR(C2359=BB_AKUN,D2359=BB_AKUN)),1,0)</f>
        <v>877</v>
      </c>
      <c r="R2359" s="104" t="str">
        <f aca="false">IF(OR(C2359&amp;D2359="",N(E2359)=0),"",IF(OR(O2359="?",P2359="?"),"⚠ akun tidak dikenal",IF(C2359=D2359,"⚠ debet = kredit","")))</f>
        <v/>
      </c>
    </row>
    <row r="2360" customFormat="false" ht="15" hidden="false" customHeight="false" outlineLevel="0" collapsed="false">
      <c r="A2360" s="5"/>
      <c r="B2360" s="83"/>
      <c r="C2360" s="5"/>
      <c r="D2360" s="5"/>
      <c r="E2360" s="44"/>
      <c r="F2360" s="5"/>
      <c r="G2360" s="5"/>
      <c r="H2360" s="5"/>
      <c r="I2360" s="5"/>
      <c r="J2360" s="102" t="str">
        <f aca="false">IF(B2360="","",MONTH(B2360))</f>
        <v/>
      </c>
      <c r="K2360" s="102" t="str">
        <f aca="false">IF(B2360="","",YEAR(B2360))</f>
        <v/>
      </c>
      <c r="L2360" s="102" t="str">
        <f aca="false">IF(N(E2360)=0,"",IF(COUNTIFS(AK_NAMA,C2360,AK_KAT,"KAS")+COUNTIFS(AK_NAMA,D2360,AK_KAT,"KAS")&lt;&gt;1,"",IF(COUNTIFS(AK_NAMA,C2360,AK_KAT,"KAS")=1,D2360,C2360)))</f>
        <v/>
      </c>
      <c r="M2360" s="103" t="n">
        <f aca="false">IF(L2360="",0,IF(L2360=D2360,E2360,-E2360))</f>
        <v>0</v>
      </c>
      <c r="N2360" s="102" t="str">
        <f aca="false">IF(L2360="","",IFERROR(INDEX(AK_BARIS,MATCH(L2360,AK_NAMA,0)),"?"))</f>
        <v/>
      </c>
      <c r="O2360" s="102" t="str">
        <f aca="false">IF(C2360="","",IFERROR(INDEX(AK_KEL,MATCH(C2360,AK_NAMA,0)),"?"))</f>
        <v/>
      </c>
      <c r="P2360" s="102" t="str">
        <f aca="false">IF(D2360="","",IFERROR(INDEX(AK_KEL,MATCH(D2360,AK_NAMA,0)),"?"))</f>
        <v/>
      </c>
      <c r="Q2360" s="102" t="n">
        <f aca="false">N(Q2359)+IF(AND(N(E2360)&lt;&gt;0,K2360=TAHUN,N(J2360)&lt;=BLN,OR(C2360=BB_AKUN,D2360=BB_AKUN)),1,0)</f>
        <v>877</v>
      </c>
      <c r="R2360" s="104" t="str">
        <f aca="false">IF(OR(C2360&amp;D2360="",N(E2360)=0),"",IF(OR(O2360="?",P2360="?"),"⚠ akun tidak dikenal",IF(C2360=D2360,"⚠ debet = kredit","")))</f>
        <v/>
      </c>
    </row>
    <row r="2361" customFormat="false" ht="15" hidden="false" customHeight="false" outlineLevel="0" collapsed="false">
      <c r="A2361" s="5"/>
      <c r="B2361" s="83"/>
      <c r="C2361" s="5"/>
      <c r="D2361" s="5"/>
      <c r="E2361" s="44"/>
      <c r="F2361" s="5"/>
      <c r="G2361" s="5"/>
      <c r="H2361" s="5"/>
      <c r="I2361" s="5"/>
      <c r="J2361" s="102" t="str">
        <f aca="false">IF(B2361="","",MONTH(B2361))</f>
        <v/>
      </c>
      <c r="K2361" s="102" t="str">
        <f aca="false">IF(B2361="","",YEAR(B2361))</f>
        <v/>
      </c>
      <c r="L2361" s="102" t="str">
        <f aca="false">IF(N(E2361)=0,"",IF(COUNTIFS(AK_NAMA,C2361,AK_KAT,"KAS")+COUNTIFS(AK_NAMA,D2361,AK_KAT,"KAS")&lt;&gt;1,"",IF(COUNTIFS(AK_NAMA,C2361,AK_KAT,"KAS")=1,D2361,C2361)))</f>
        <v/>
      </c>
      <c r="M2361" s="103" t="n">
        <f aca="false">IF(L2361="",0,IF(L2361=D2361,E2361,-E2361))</f>
        <v>0</v>
      </c>
      <c r="N2361" s="102" t="str">
        <f aca="false">IF(L2361="","",IFERROR(INDEX(AK_BARIS,MATCH(L2361,AK_NAMA,0)),"?"))</f>
        <v/>
      </c>
      <c r="O2361" s="102" t="str">
        <f aca="false">IF(C2361="","",IFERROR(INDEX(AK_KEL,MATCH(C2361,AK_NAMA,0)),"?"))</f>
        <v/>
      </c>
      <c r="P2361" s="102" t="str">
        <f aca="false">IF(D2361="","",IFERROR(INDEX(AK_KEL,MATCH(D2361,AK_NAMA,0)),"?"))</f>
        <v/>
      </c>
      <c r="Q2361" s="102" t="n">
        <f aca="false">N(Q2360)+IF(AND(N(E2361)&lt;&gt;0,K2361=TAHUN,N(J2361)&lt;=BLN,OR(C2361=BB_AKUN,D2361=BB_AKUN)),1,0)</f>
        <v>877</v>
      </c>
      <c r="R2361" s="104" t="str">
        <f aca="false">IF(OR(C2361&amp;D2361="",N(E2361)=0),"",IF(OR(O2361="?",P2361="?"),"⚠ akun tidak dikenal",IF(C2361=D2361,"⚠ debet = kredit","")))</f>
        <v/>
      </c>
    </row>
    <row r="2362" customFormat="false" ht="15" hidden="false" customHeight="false" outlineLevel="0" collapsed="false">
      <c r="A2362" s="5"/>
      <c r="B2362" s="83"/>
      <c r="C2362" s="5"/>
      <c r="D2362" s="5"/>
      <c r="E2362" s="44"/>
      <c r="F2362" s="5"/>
      <c r="G2362" s="5"/>
      <c r="H2362" s="5"/>
      <c r="I2362" s="5"/>
      <c r="J2362" s="102" t="str">
        <f aca="false">IF(B2362="","",MONTH(B2362))</f>
        <v/>
      </c>
      <c r="K2362" s="102" t="str">
        <f aca="false">IF(B2362="","",YEAR(B2362))</f>
        <v/>
      </c>
      <c r="L2362" s="102" t="str">
        <f aca="false">IF(N(E2362)=0,"",IF(COUNTIFS(AK_NAMA,C2362,AK_KAT,"KAS")+COUNTIFS(AK_NAMA,D2362,AK_KAT,"KAS")&lt;&gt;1,"",IF(COUNTIFS(AK_NAMA,C2362,AK_KAT,"KAS")=1,D2362,C2362)))</f>
        <v/>
      </c>
      <c r="M2362" s="103" t="n">
        <f aca="false">IF(L2362="",0,IF(L2362=D2362,E2362,-E2362))</f>
        <v>0</v>
      </c>
      <c r="N2362" s="102" t="str">
        <f aca="false">IF(L2362="","",IFERROR(INDEX(AK_BARIS,MATCH(L2362,AK_NAMA,0)),"?"))</f>
        <v/>
      </c>
      <c r="O2362" s="102" t="str">
        <f aca="false">IF(C2362="","",IFERROR(INDEX(AK_KEL,MATCH(C2362,AK_NAMA,0)),"?"))</f>
        <v/>
      </c>
      <c r="P2362" s="102" t="str">
        <f aca="false">IF(D2362="","",IFERROR(INDEX(AK_KEL,MATCH(D2362,AK_NAMA,0)),"?"))</f>
        <v/>
      </c>
      <c r="Q2362" s="102" t="n">
        <f aca="false">N(Q2361)+IF(AND(N(E2362)&lt;&gt;0,K2362=TAHUN,N(J2362)&lt;=BLN,OR(C2362=BB_AKUN,D2362=BB_AKUN)),1,0)</f>
        <v>877</v>
      </c>
      <c r="R2362" s="104" t="str">
        <f aca="false">IF(OR(C2362&amp;D2362="",N(E2362)=0),"",IF(OR(O2362="?",P2362="?"),"⚠ akun tidak dikenal",IF(C2362=D2362,"⚠ debet = kredit","")))</f>
        <v/>
      </c>
    </row>
    <row r="2363" customFormat="false" ht="15" hidden="false" customHeight="false" outlineLevel="0" collapsed="false">
      <c r="A2363" s="5"/>
      <c r="B2363" s="83"/>
      <c r="C2363" s="5"/>
      <c r="D2363" s="5"/>
      <c r="E2363" s="44"/>
      <c r="F2363" s="5"/>
      <c r="G2363" s="5"/>
      <c r="H2363" s="5"/>
      <c r="I2363" s="5"/>
      <c r="J2363" s="102" t="str">
        <f aca="false">IF(B2363="","",MONTH(B2363))</f>
        <v/>
      </c>
      <c r="K2363" s="102" t="str">
        <f aca="false">IF(B2363="","",YEAR(B2363))</f>
        <v/>
      </c>
      <c r="L2363" s="102" t="str">
        <f aca="false">IF(N(E2363)=0,"",IF(COUNTIFS(AK_NAMA,C2363,AK_KAT,"KAS")+COUNTIFS(AK_NAMA,D2363,AK_KAT,"KAS")&lt;&gt;1,"",IF(COUNTIFS(AK_NAMA,C2363,AK_KAT,"KAS")=1,D2363,C2363)))</f>
        <v/>
      </c>
      <c r="M2363" s="103" t="n">
        <f aca="false">IF(L2363="",0,IF(L2363=D2363,E2363,-E2363))</f>
        <v>0</v>
      </c>
      <c r="N2363" s="102" t="str">
        <f aca="false">IF(L2363="","",IFERROR(INDEX(AK_BARIS,MATCH(L2363,AK_NAMA,0)),"?"))</f>
        <v/>
      </c>
      <c r="O2363" s="102" t="str">
        <f aca="false">IF(C2363="","",IFERROR(INDEX(AK_KEL,MATCH(C2363,AK_NAMA,0)),"?"))</f>
        <v/>
      </c>
      <c r="P2363" s="102" t="str">
        <f aca="false">IF(D2363="","",IFERROR(INDEX(AK_KEL,MATCH(D2363,AK_NAMA,0)),"?"))</f>
        <v/>
      </c>
      <c r="Q2363" s="102" t="n">
        <f aca="false">N(Q2362)+IF(AND(N(E2363)&lt;&gt;0,K2363=TAHUN,N(J2363)&lt;=BLN,OR(C2363=BB_AKUN,D2363=BB_AKUN)),1,0)</f>
        <v>877</v>
      </c>
      <c r="R2363" s="104" t="str">
        <f aca="false">IF(OR(C2363&amp;D2363="",N(E2363)=0),"",IF(OR(O2363="?",P2363="?"),"⚠ akun tidak dikenal",IF(C2363=D2363,"⚠ debet = kredit","")))</f>
        <v/>
      </c>
    </row>
    <row r="2364" customFormat="false" ht="15" hidden="false" customHeight="false" outlineLevel="0" collapsed="false">
      <c r="A2364" s="5"/>
      <c r="B2364" s="83"/>
      <c r="C2364" s="5"/>
      <c r="D2364" s="5"/>
      <c r="E2364" s="44"/>
      <c r="F2364" s="5"/>
      <c r="G2364" s="5"/>
      <c r="H2364" s="5"/>
      <c r="I2364" s="5"/>
      <c r="J2364" s="102" t="str">
        <f aca="false">IF(B2364="","",MONTH(B2364))</f>
        <v/>
      </c>
      <c r="K2364" s="102" t="str">
        <f aca="false">IF(B2364="","",YEAR(B2364))</f>
        <v/>
      </c>
      <c r="L2364" s="102" t="str">
        <f aca="false">IF(N(E2364)=0,"",IF(COUNTIFS(AK_NAMA,C2364,AK_KAT,"KAS")+COUNTIFS(AK_NAMA,D2364,AK_KAT,"KAS")&lt;&gt;1,"",IF(COUNTIFS(AK_NAMA,C2364,AK_KAT,"KAS")=1,D2364,C2364)))</f>
        <v/>
      </c>
      <c r="M2364" s="103" t="n">
        <f aca="false">IF(L2364="",0,IF(L2364=D2364,E2364,-E2364))</f>
        <v>0</v>
      </c>
      <c r="N2364" s="102" t="str">
        <f aca="false">IF(L2364="","",IFERROR(INDEX(AK_BARIS,MATCH(L2364,AK_NAMA,0)),"?"))</f>
        <v/>
      </c>
      <c r="O2364" s="102" t="str">
        <f aca="false">IF(C2364="","",IFERROR(INDEX(AK_KEL,MATCH(C2364,AK_NAMA,0)),"?"))</f>
        <v/>
      </c>
      <c r="P2364" s="102" t="str">
        <f aca="false">IF(D2364="","",IFERROR(INDEX(AK_KEL,MATCH(D2364,AK_NAMA,0)),"?"))</f>
        <v/>
      </c>
      <c r="Q2364" s="102" t="n">
        <f aca="false">N(Q2363)+IF(AND(N(E2364)&lt;&gt;0,K2364=TAHUN,N(J2364)&lt;=BLN,OR(C2364=BB_AKUN,D2364=BB_AKUN)),1,0)</f>
        <v>877</v>
      </c>
      <c r="R2364" s="104" t="str">
        <f aca="false">IF(OR(C2364&amp;D2364="",N(E2364)=0),"",IF(OR(O2364="?",P2364="?"),"⚠ akun tidak dikenal",IF(C2364=D2364,"⚠ debet = kredit","")))</f>
        <v/>
      </c>
    </row>
    <row r="2365" customFormat="false" ht="15" hidden="false" customHeight="false" outlineLevel="0" collapsed="false">
      <c r="A2365" s="5"/>
      <c r="B2365" s="83"/>
      <c r="C2365" s="5"/>
      <c r="D2365" s="5"/>
      <c r="E2365" s="44"/>
      <c r="F2365" s="5"/>
      <c r="G2365" s="5"/>
      <c r="H2365" s="5"/>
      <c r="I2365" s="5"/>
      <c r="J2365" s="102" t="str">
        <f aca="false">IF(B2365="","",MONTH(B2365))</f>
        <v/>
      </c>
      <c r="K2365" s="102" t="str">
        <f aca="false">IF(B2365="","",YEAR(B2365))</f>
        <v/>
      </c>
      <c r="L2365" s="102" t="str">
        <f aca="false">IF(N(E2365)=0,"",IF(COUNTIFS(AK_NAMA,C2365,AK_KAT,"KAS")+COUNTIFS(AK_NAMA,D2365,AK_KAT,"KAS")&lt;&gt;1,"",IF(COUNTIFS(AK_NAMA,C2365,AK_KAT,"KAS")=1,D2365,C2365)))</f>
        <v/>
      </c>
      <c r="M2365" s="103" t="n">
        <f aca="false">IF(L2365="",0,IF(L2365=D2365,E2365,-E2365))</f>
        <v>0</v>
      </c>
      <c r="N2365" s="102" t="str">
        <f aca="false">IF(L2365="","",IFERROR(INDEX(AK_BARIS,MATCH(L2365,AK_NAMA,0)),"?"))</f>
        <v/>
      </c>
      <c r="O2365" s="102" t="str">
        <f aca="false">IF(C2365="","",IFERROR(INDEX(AK_KEL,MATCH(C2365,AK_NAMA,0)),"?"))</f>
        <v/>
      </c>
      <c r="P2365" s="102" t="str">
        <f aca="false">IF(D2365="","",IFERROR(INDEX(AK_KEL,MATCH(D2365,AK_NAMA,0)),"?"))</f>
        <v/>
      </c>
      <c r="Q2365" s="102" t="n">
        <f aca="false">N(Q2364)+IF(AND(N(E2365)&lt;&gt;0,K2365=TAHUN,N(J2365)&lt;=BLN,OR(C2365=BB_AKUN,D2365=BB_AKUN)),1,0)</f>
        <v>877</v>
      </c>
      <c r="R2365" s="104" t="str">
        <f aca="false">IF(OR(C2365&amp;D2365="",N(E2365)=0),"",IF(OR(O2365="?",P2365="?"),"⚠ akun tidak dikenal",IF(C2365=D2365,"⚠ debet = kredit","")))</f>
        <v/>
      </c>
    </row>
    <row r="2366" customFormat="false" ht="15" hidden="false" customHeight="false" outlineLevel="0" collapsed="false">
      <c r="A2366" s="5"/>
      <c r="B2366" s="83"/>
      <c r="C2366" s="5"/>
      <c r="D2366" s="5"/>
      <c r="E2366" s="44"/>
      <c r="F2366" s="5"/>
      <c r="G2366" s="5"/>
      <c r="H2366" s="5"/>
      <c r="I2366" s="5"/>
      <c r="J2366" s="102" t="str">
        <f aca="false">IF(B2366="","",MONTH(B2366))</f>
        <v/>
      </c>
      <c r="K2366" s="102" t="str">
        <f aca="false">IF(B2366="","",YEAR(B2366))</f>
        <v/>
      </c>
      <c r="L2366" s="102" t="str">
        <f aca="false">IF(N(E2366)=0,"",IF(COUNTIFS(AK_NAMA,C2366,AK_KAT,"KAS")+COUNTIFS(AK_NAMA,D2366,AK_KAT,"KAS")&lt;&gt;1,"",IF(COUNTIFS(AK_NAMA,C2366,AK_KAT,"KAS")=1,D2366,C2366)))</f>
        <v/>
      </c>
      <c r="M2366" s="103" t="n">
        <f aca="false">IF(L2366="",0,IF(L2366=D2366,E2366,-E2366))</f>
        <v>0</v>
      </c>
      <c r="N2366" s="102" t="str">
        <f aca="false">IF(L2366="","",IFERROR(INDEX(AK_BARIS,MATCH(L2366,AK_NAMA,0)),"?"))</f>
        <v/>
      </c>
      <c r="O2366" s="102" t="str">
        <f aca="false">IF(C2366="","",IFERROR(INDEX(AK_KEL,MATCH(C2366,AK_NAMA,0)),"?"))</f>
        <v/>
      </c>
      <c r="P2366" s="102" t="str">
        <f aca="false">IF(D2366="","",IFERROR(INDEX(AK_KEL,MATCH(D2366,AK_NAMA,0)),"?"))</f>
        <v/>
      </c>
      <c r="Q2366" s="102" t="n">
        <f aca="false">N(Q2365)+IF(AND(N(E2366)&lt;&gt;0,K2366=TAHUN,N(J2366)&lt;=BLN,OR(C2366=BB_AKUN,D2366=BB_AKUN)),1,0)</f>
        <v>877</v>
      </c>
      <c r="R2366" s="104" t="str">
        <f aca="false">IF(OR(C2366&amp;D2366="",N(E2366)=0),"",IF(OR(O2366="?",P2366="?"),"⚠ akun tidak dikenal",IF(C2366=D2366,"⚠ debet = kredit","")))</f>
        <v/>
      </c>
    </row>
    <row r="2367" customFormat="false" ht="15" hidden="false" customHeight="false" outlineLevel="0" collapsed="false">
      <c r="A2367" s="5"/>
      <c r="B2367" s="83"/>
      <c r="C2367" s="5"/>
      <c r="D2367" s="5"/>
      <c r="E2367" s="44"/>
      <c r="F2367" s="5"/>
      <c r="G2367" s="5"/>
      <c r="H2367" s="5"/>
      <c r="I2367" s="5"/>
      <c r="J2367" s="102" t="str">
        <f aca="false">IF(B2367="","",MONTH(B2367))</f>
        <v/>
      </c>
      <c r="K2367" s="102" t="str">
        <f aca="false">IF(B2367="","",YEAR(B2367))</f>
        <v/>
      </c>
      <c r="L2367" s="102" t="str">
        <f aca="false">IF(N(E2367)=0,"",IF(COUNTIFS(AK_NAMA,C2367,AK_KAT,"KAS")+COUNTIFS(AK_NAMA,D2367,AK_KAT,"KAS")&lt;&gt;1,"",IF(COUNTIFS(AK_NAMA,C2367,AK_KAT,"KAS")=1,D2367,C2367)))</f>
        <v/>
      </c>
      <c r="M2367" s="103" t="n">
        <f aca="false">IF(L2367="",0,IF(L2367=D2367,E2367,-E2367))</f>
        <v>0</v>
      </c>
      <c r="N2367" s="102" t="str">
        <f aca="false">IF(L2367="","",IFERROR(INDEX(AK_BARIS,MATCH(L2367,AK_NAMA,0)),"?"))</f>
        <v/>
      </c>
      <c r="O2367" s="102" t="str">
        <f aca="false">IF(C2367="","",IFERROR(INDEX(AK_KEL,MATCH(C2367,AK_NAMA,0)),"?"))</f>
        <v/>
      </c>
      <c r="P2367" s="102" t="str">
        <f aca="false">IF(D2367="","",IFERROR(INDEX(AK_KEL,MATCH(D2367,AK_NAMA,0)),"?"))</f>
        <v/>
      </c>
      <c r="Q2367" s="102" t="n">
        <f aca="false">N(Q2366)+IF(AND(N(E2367)&lt;&gt;0,K2367=TAHUN,N(J2367)&lt;=BLN,OR(C2367=BB_AKUN,D2367=BB_AKUN)),1,0)</f>
        <v>877</v>
      </c>
      <c r="R2367" s="104" t="str">
        <f aca="false">IF(OR(C2367&amp;D2367="",N(E2367)=0),"",IF(OR(O2367="?",P2367="?"),"⚠ akun tidak dikenal",IF(C2367=D2367,"⚠ debet = kredit","")))</f>
        <v/>
      </c>
    </row>
    <row r="2368" customFormat="false" ht="15" hidden="false" customHeight="false" outlineLevel="0" collapsed="false">
      <c r="A2368" s="5"/>
      <c r="B2368" s="83"/>
      <c r="C2368" s="5"/>
      <c r="D2368" s="5"/>
      <c r="E2368" s="44"/>
      <c r="F2368" s="5"/>
      <c r="G2368" s="5"/>
      <c r="H2368" s="5"/>
      <c r="I2368" s="5"/>
      <c r="J2368" s="102" t="str">
        <f aca="false">IF(B2368="","",MONTH(B2368))</f>
        <v/>
      </c>
      <c r="K2368" s="102" t="str">
        <f aca="false">IF(B2368="","",YEAR(B2368))</f>
        <v/>
      </c>
      <c r="L2368" s="102" t="str">
        <f aca="false">IF(N(E2368)=0,"",IF(COUNTIFS(AK_NAMA,C2368,AK_KAT,"KAS")+COUNTIFS(AK_NAMA,D2368,AK_KAT,"KAS")&lt;&gt;1,"",IF(COUNTIFS(AK_NAMA,C2368,AK_KAT,"KAS")=1,D2368,C2368)))</f>
        <v/>
      </c>
      <c r="M2368" s="103" t="n">
        <f aca="false">IF(L2368="",0,IF(L2368=D2368,E2368,-E2368))</f>
        <v>0</v>
      </c>
      <c r="N2368" s="102" t="str">
        <f aca="false">IF(L2368="","",IFERROR(INDEX(AK_BARIS,MATCH(L2368,AK_NAMA,0)),"?"))</f>
        <v/>
      </c>
      <c r="O2368" s="102" t="str">
        <f aca="false">IF(C2368="","",IFERROR(INDEX(AK_KEL,MATCH(C2368,AK_NAMA,0)),"?"))</f>
        <v/>
      </c>
      <c r="P2368" s="102" t="str">
        <f aca="false">IF(D2368="","",IFERROR(INDEX(AK_KEL,MATCH(D2368,AK_NAMA,0)),"?"))</f>
        <v/>
      </c>
      <c r="Q2368" s="102" t="n">
        <f aca="false">N(Q2367)+IF(AND(N(E2368)&lt;&gt;0,K2368=TAHUN,N(J2368)&lt;=BLN,OR(C2368=BB_AKUN,D2368=BB_AKUN)),1,0)</f>
        <v>877</v>
      </c>
      <c r="R2368" s="104" t="str">
        <f aca="false">IF(OR(C2368&amp;D2368="",N(E2368)=0),"",IF(OR(O2368="?",P2368="?"),"⚠ akun tidak dikenal",IF(C2368=D2368,"⚠ debet = kredit","")))</f>
        <v/>
      </c>
    </row>
    <row r="2369" customFormat="false" ht="15" hidden="false" customHeight="false" outlineLevel="0" collapsed="false">
      <c r="A2369" s="5"/>
      <c r="B2369" s="83"/>
      <c r="C2369" s="5"/>
      <c r="D2369" s="5"/>
      <c r="E2369" s="44"/>
      <c r="F2369" s="5"/>
      <c r="G2369" s="5"/>
      <c r="H2369" s="5"/>
      <c r="I2369" s="5"/>
      <c r="J2369" s="102" t="str">
        <f aca="false">IF(B2369="","",MONTH(B2369))</f>
        <v/>
      </c>
      <c r="K2369" s="102" t="str">
        <f aca="false">IF(B2369="","",YEAR(B2369))</f>
        <v/>
      </c>
      <c r="L2369" s="102" t="str">
        <f aca="false">IF(N(E2369)=0,"",IF(COUNTIFS(AK_NAMA,C2369,AK_KAT,"KAS")+COUNTIFS(AK_NAMA,D2369,AK_KAT,"KAS")&lt;&gt;1,"",IF(COUNTIFS(AK_NAMA,C2369,AK_KAT,"KAS")=1,D2369,C2369)))</f>
        <v/>
      </c>
      <c r="M2369" s="103" t="n">
        <f aca="false">IF(L2369="",0,IF(L2369=D2369,E2369,-E2369))</f>
        <v>0</v>
      </c>
      <c r="N2369" s="102" t="str">
        <f aca="false">IF(L2369="","",IFERROR(INDEX(AK_BARIS,MATCH(L2369,AK_NAMA,0)),"?"))</f>
        <v/>
      </c>
      <c r="O2369" s="102" t="str">
        <f aca="false">IF(C2369="","",IFERROR(INDEX(AK_KEL,MATCH(C2369,AK_NAMA,0)),"?"))</f>
        <v/>
      </c>
      <c r="P2369" s="102" t="str">
        <f aca="false">IF(D2369="","",IFERROR(INDEX(AK_KEL,MATCH(D2369,AK_NAMA,0)),"?"))</f>
        <v/>
      </c>
      <c r="Q2369" s="102" t="n">
        <f aca="false">N(Q2368)+IF(AND(N(E2369)&lt;&gt;0,K2369=TAHUN,N(J2369)&lt;=BLN,OR(C2369=BB_AKUN,D2369=BB_AKUN)),1,0)</f>
        <v>877</v>
      </c>
      <c r="R2369" s="104" t="str">
        <f aca="false">IF(OR(C2369&amp;D2369="",N(E2369)=0),"",IF(OR(O2369="?",P2369="?"),"⚠ akun tidak dikenal",IF(C2369=D2369,"⚠ debet = kredit","")))</f>
        <v/>
      </c>
    </row>
    <row r="2370" customFormat="false" ht="15" hidden="false" customHeight="false" outlineLevel="0" collapsed="false">
      <c r="A2370" s="5"/>
      <c r="B2370" s="83"/>
      <c r="C2370" s="5"/>
      <c r="D2370" s="5"/>
      <c r="E2370" s="44"/>
      <c r="F2370" s="5"/>
      <c r="G2370" s="5"/>
      <c r="H2370" s="5"/>
      <c r="I2370" s="5"/>
      <c r="J2370" s="102" t="str">
        <f aca="false">IF(B2370="","",MONTH(B2370))</f>
        <v/>
      </c>
      <c r="K2370" s="102" t="str">
        <f aca="false">IF(B2370="","",YEAR(B2370))</f>
        <v/>
      </c>
      <c r="L2370" s="102" t="str">
        <f aca="false">IF(N(E2370)=0,"",IF(COUNTIFS(AK_NAMA,C2370,AK_KAT,"KAS")+COUNTIFS(AK_NAMA,D2370,AK_KAT,"KAS")&lt;&gt;1,"",IF(COUNTIFS(AK_NAMA,C2370,AK_KAT,"KAS")=1,D2370,C2370)))</f>
        <v/>
      </c>
      <c r="M2370" s="103" t="n">
        <f aca="false">IF(L2370="",0,IF(L2370=D2370,E2370,-E2370))</f>
        <v>0</v>
      </c>
      <c r="N2370" s="102" t="str">
        <f aca="false">IF(L2370="","",IFERROR(INDEX(AK_BARIS,MATCH(L2370,AK_NAMA,0)),"?"))</f>
        <v/>
      </c>
      <c r="O2370" s="102" t="str">
        <f aca="false">IF(C2370="","",IFERROR(INDEX(AK_KEL,MATCH(C2370,AK_NAMA,0)),"?"))</f>
        <v/>
      </c>
      <c r="P2370" s="102" t="str">
        <f aca="false">IF(D2370="","",IFERROR(INDEX(AK_KEL,MATCH(D2370,AK_NAMA,0)),"?"))</f>
        <v/>
      </c>
      <c r="Q2370" s="102" t="n">
        <f aca="false">N(Q2369)+IF(AND(N(E2370)&lt;&gt;0,K2370=TAHUN,N(J2370)&lt;=BLN,OR(C2370=BB_AKUN,D2370=BB_AKUN)),1,0)</f>
        <v>877</v>
      </c>
      <c r="R2370" s="104" t="str">
        <f aca="false">IF(OR(C2370&amp;D2370="",N(E2370)=0),"",IF(OR(O2370="?",P2370="?"),"⚠ akun tidak dikenal",IF(C2370=D2370,"⚠ debet = kredit","")))</f>
        <v/>
      </c>
    </row>
    <row r="2371" customFormat="false" ht="15" hidden="false" customHeight="false" outlineLevel="0" collapsed="false">
      <c r="A2371" s="5"/>
      <c r="B2371" s="83"/>
      <c r="C2371" s="5"/>
      <c r="D2371" s="5"/>
      <c r="E2371" s="44"/>
      <c r="F2371" s="5"/>
      <c r="G2371" s="5"/>
      <c r="H2371" s="5"/>
      <c r="I2371" s="5"/>
      <c r="J2371" s="102" t="str">
        <f aca="false">IF(B2371="","",MONTH(B2371))</f>
        <v/>
      </c>
      <c r="K2371" s="102" t="str">
        <f aca="false">IF(B2371="","",YEAR(B2371))</f>
        <v/>
      </c>
      <c r="L2371" s="102" t="str">
        <f aca="false">IF(N(E2371)=0,"",IF(COUNTIFS(AK_NAMA,C2371,AK_KAT,"KAS")+COUNTIFS(AK_NAMA,D2371,AK_KAT,"KAS")&lt;&gt;1,"",IF(COUNTIFS(AK_NAMA,C2371,AK_KAT,"KAS")=1,D2371,C2371)))</f>
        <v/>
      </c>
      <c r="M2371" s="103" t="n">
        <f aca="false">IF(L2371="",0,IF(L2371=D2371,E2371,-E2371))</f>
        <v>0</v>
      </c>
      <c r="N2371" s="102" t="str">
        <f aca="false">IF(L2371="","",IFERROR(INDEX(AK_BARIS,MATCH(L2371,AK_NAMA,0)),"?"))</f>
        <v/>
      </c>
      <c r="O2371" s="102" t="str">
        <f aca="false">IF(C2371="","",IFERROR(INDEX(AK_KEL,MATCH(C2371,AK_NAMA,0)),"?"))</f>
        <v/>
      </c>
      <c r="P2371" s="102" t="str">
        <f aca="false">IF(D2371="","",IFERROR(INDEX(AK_KEL,MATCH(D2371,AK_NAMA,0)),"?"))</f>
        <v/>
      </c>
      <c r="Q2371" s="102" t="n">
        <f aca="false">N(Q2370)+IF(AND(N(E2371)&lt;&gt;0,K2371=TAHUN,N(J2371)&lt;=BLN,OR(C2371=BB_AKUN,D2371=BB_AKUN)),1,0)</f>
        <v>877</v>
      </c>
      <c r="R2371" s="104" t="str">
        <f aca="false">IF(OR(C2371&amp;D2371="",N(E2371)=0),"",IF(OR(O2371="?",P2371="?"),"⚠ akun tidak dikenal",IF(C2371=D2371,"⚠ debet = kredit","")))</f>
        <v/>
      </c>
    </row>
    <row r="2372" customFormat="false" ht="15" hidden="false" customHeight="false" outlineLevel="0" collapsed="false">
      <c r="A2372" s="5"/>
      <c r="B2372" s="83"/>
      <c r="C2372" s="5"/>
      <c r="D2372" s="5"/>
      <c r="E2372" s="44"/>
      <c r="F2372" s="5"/>
      <c r="G2372" s="5"/>
      <c r="H2372" s="5"/>
      <c r="I2372" s="5"/>
      <c r="J2372" s="102" t="str">
        <f aca="false">IF(B2372="","",MONTH(B2372))</f>
        <v/>
      </c>
      <c r="K2372" s="102" t="str">
        <f aca="false">IF(B2372="","",YEAR(B2372))</f>
        <v/>
      </c>
      <c r="L2372" s="102" t="str">
        <f aca="false">IF(N(E2372)=0,"",IF(COUNTIFS(AK_NAMA,C2372,AK_KAT,"KAS")+COUNTIFS(AK_NAMA,D2372,AK_KAT,"KAS")&lt;&gt;1,"",IF(COUNTIFS(AK_NAMA,C2372,AK_KAT,"KAS")=1,D2372,C2372)))</f>
        <v/>
      </c>
      <c r="M2372" s="103" t="n">
        <f aca="false">IF(L2372="",0,IF(L2372=D2372,E2372,-E2372))</f>
        <v>0</v>
      </c>
      <c r="N2372" s="102" t="str">
        <f aca="false">IF(L2372="","",IFERROR(INDEX(AK_BARIS,MATCH(L2372,AK_NAMA,0)),"?"))</f>
        <v/>
      </c>
      <c r="O2372" s="102" t="str">
        <f aca="false">IF(C2372="","",IFERROR(INDEX(AK_KEL,MATCH(C2372,AK_NAMA,0)),"?"))</f>
        <v/>
      </c>
      <c r="P2372" s="102" t="str">
        <f aca="false">IF(D2372="","",IFERROR(INDEX(AK_KEL,MATCH(D2372,AK_NAMA,0)),"?"))</f>
        <v/>
      </c>
      <c r="Q2372" s="102" t="n">
        <f aca="false">N(Q2371)+IF(AND(N(E2372)&lt;&gt;0,K2372=TAHUN,N(J2372)&lt;=BLN,OR(C2372=BB_AKUN,D2372=BB_AKUN)),1,0)</f>
        <v>877</v>
      </c>
      <c r="R2372" s="104" t="str">
        <f aca="false">IF(OR(C2372&amp;D2372="",N(E2372)=0),"",IF(OR(O2372="?",P2372="?"),"⚠ akun tidak dikenal",IF(C2372=D2372,"⚠ debet = kredit","")))</f>
        <v/>
      </c>
    </row>
    <row r="2373" customFormat="false" ht="15" hidden="false" customHeight="false" outlineLevel="0" collapsed="false">
      <c r="A2373" s="5"/>
      <c r="B2373" s="83"/>
      <c r="C2373" s="5"/>
      <c r="D2373" s="5"/>
      <c r="E2373" s="44"/>
      <c r="F2373" s="5"/>
      <c r="G2373" s="5"/>
      <c r="H2373" s="5"/>
      <c r="I2373" s="5"/>
      <c r="J2373" s="102" t="str">
        <f aca="false">IF(B2373="","",MONTH(B2373))</f>
        <v/>
      </c>
      <c r="K2373" s="102" t="str">
        <f aca="false">IF(B2373="","",YEAR(B2373))</f>
        <v/>
      </c>
      <c r="L2373" s="102" t="str">
        <f aca="false">IF(N(E2373)=0,"",IF(COUNTIFS(AK_NAMA,C2373,AK_KAT,"KAS")+COUNTIFS(AK_NAMA,D2373,AK_KAT,"KAS")&lt;&gt;1,"",IF(COUNTIFS(AK_NAMA,C2373,AK_KAT,"KAS")=1,D2373,C2373)))</f>
        <v/>
      </c>
      <c r="M2373" s="103" t="n">
        <f aca="false">IF(L2373="",0,IF(L2373=D2373,E2373,-E2373))</f>
        <v>0</v>
      </c>
      <c r="N2373" s="102" t="str">
        <f aca="false">IF(L2373="","",IFERROR(INDEX(AK_BARIS,MATCH(L2373,AK_NAMA,0)),"?"))</f>
        <v/>
      </c>
      <c r="O2373" s="102" t="str">
        <f aca="false">IF(C2373="","",IFERROR(INDEX(AK_KEL,MATCH(C2373,AK_NAMA,0)),"?"))</f>
        <v/>
      </c>
      <c r="P2373" s="102" t="str">
        <f aca="false">IF(D2373="","",IFERROR(INDEX(AK_KEL,MATCH(D2373,AK_NAMA,0)),"?"))</f>
        <v/>
      </c>
      <c r="Q2373" s="102" t="n">
        <f aca="false">N(Q2372)+IF(AND(N(E2373)&lt;&gt;0,K2373=TAHUN,N(J2373)&lt;=BLN,OR(C2373=BB_AKUN,D2373=BB_AKUN)),1,0)</f>
        <v>877</v>
      </c>
      <c r="R2373" s="104" t="str">
        <f aca="false">IF(OR(C2373&amp;D2373="",N(E2373)=0),"",IF(OR(O2373="?",P2373="?"),"⚠ akun tidak dikenal",IF(C2373=D2373,"⚠ debet = kredit","")))</f>
        <v/>
      </c>
    </row>
    <row r="2374" customFormat="false" ht="15" hidden="false" customHeight="false" outlineLevel="0" collapsed="false">
      <c r="A2374" s="5"/>
      <c r="B2374" s="83"/>
      <c r="C2374" s="5"/>
      <c r="D2374" s="5"/>
      <c r="E2374" s="44"/>
      <c r="F2374" s="5"/>
      <c r="G2374" s="5"/>
      <c r="H2374" s="5"/>
      <c r="I2374" s="5"/>
      <c r="J2374" s="102" t="str">
        <f aca="false">IF(B2374="","",MONTH(B2374))</f>
        <v/>
      </c>
      <c r="K2374" s="102" t="str">
        <f aca="false">IF(B2374="","",YEAR(B2374))</f>
        <v/>
      </c>
      <c r="L2374" s="102" t="str">
        <f aca="false">IF(N(E2374)=0,"",IF(COUNTIFS(AK_NAMA,C2374,AK_KAT,"KAS")+COUNTIFS(AK_NAMA,D2374,AK_KAT,"KAS")&lt;&gt;1,"",IF(COUNTIFS(AK_NAMA,C2374,AK_KAT,"KAS")=1,D2374,C2374)))</f>
        <v/>
      </c>
      <c r="M2374" s="103" t="n">
        <f aca="false">IF(L2374="",0,IF(L2374=D2374,E2374,-E2374))</f>
        <v>0</v>
      </c>
      <c r="N2374" s="102" t="str">
        <f aca="false">IF(L2374="","",IFERROR(INDEX(AK_BARIS,MATCH(L2374,AK_NAMA,0)),"?"))</f>
        <v/>
      </c>
      <c r="O2374" s="102" t="str">
        <f aca="false">IF(C2374="","",IFERROR(INDEX(AK_KEL,MATCH(C2374,AK_NAMA,0)),"?"))</f>
        <v/>
      </c>
      <c r="P2374" s="102" t="str">
        <f aca="false">IF(D2374="","",IFERROR(INDEX(AK_KEL,MATCH(D2374,AK_NAMA,0)),"?"))</f>
        <v/>
      </c>
      <c r="Q2374" s="102" t="n">
        <f aca="false">N(Q2373)+IF(AND(N(E2374)&lt;&gt;0,K2374=TAHUN,N(J2374)&lt;=BLN,OR(C2374=BB_AKUN,D2374=BB_AKUN)),1,0)</f>
        <v>877</v>
      </c>
      <c r="R2374" s="104" t="str">
        <f aca="false">IF(OR(C2374&amp;D2374="",N(E2374)=0),"",IF(OR(O2374="?",P2374="?"),"⚠ akun tidak dikenal",IF(C2374=D2374,"⚠ debet = kredit","")))</f>
        <v/>
      </c>
    </row>
    <row r="2375" customFormat="false" ht="15" hidden="false" customHeight="false" outlineLevel="0" collapsed="false">
      <c r="A2375" s="5"/>
      <c r="B2375" s="83"/>
      <c r="C2375" s="5"/>
      <c r="D2375" s="5"/>
      <c r="E2375" s="44"/>
      <c r="F2375" s="5"/>
      <c r="G2375" s="5"/>
      <c r="H2375" s="5"/>
      <c r="I2375" s="5"/>
      <c r="J2375" s="102" t="str">
        <f aca="false">IF(B2375="","",MONTH(B2375))</f>
        <v/>
      </c>
      <c r="K2375" s="102" t="str">
        <f aca="false">IF(B2375="","",YEAR(B2375))</f>
        <v/>
      </c>
      <c r="L2375" s="102" t="str">
        <f aca="false">IF(N(E2375)=0,"",IF(COUNTIFS(AK_NAMA,C2375,AK_KAT,"KAS")+COUNTIFS(AK_NAMA,D2375,AK_KAT,"KAS")&lt;&gt;1,"",IF(COUNTIFS(AK_NAMA,C2375,AK_KAT,"KAS")=1,D2375,C2375)))</f>
        <v/>
      </c>
      <c r="M2375" s="103" t="n">
        <f aca="false">IF(L2375="",0,IF(L2375=D2375,E2375,-E2375))</f>
        <v>0</v>
      </c>
      <c r="N2375" s="102" t="str">
        <f aca="false">IF(L2375="","",IFERROR(INDEX(AK_BARIS,MATCH(L2375,AK_NAMA,0)),"?"))</f>
        <v/>
      </c>
      <c r="O2375" s="102" t="str">
        <f aca="false">IF(C2375="","",IFERROR(INDEX(AK_KEL,MATCH(C2375,AK_NAMA,0)),"?"))</f>
        <v/>
      </c>
      <c r="P2375" s="102" t="str">
        <f aca="false">IF(D2375="","",IFERROR(INDEX(AK_KEL,MATCH(D2375,AK_NAMA,0)),"?"))</f>
        <v/>
      </c>
      <c r="Q2375" s="102" t="n">
        <f aca="false">N(Q2374)+IF(AND(N(E2375)&lt;&gt;0,K2375=TAHUN,N(J2375)&lt;=BLN,OR(C2375=BB_AKUN,D2375=BB_AKUN)),1,0)</f>
        <v>877</v>
      </c>
      <c r="R2375" s="104" t="str">
        <f aca="false">IF(OR(C2375&amp;D2375="",N(E2375)=0),"",IF(OR(O2375="?",P2375="?"),"⚠ akun tidak dikenal",IF(C2375=D2375,"⚠ debet = kredit","")))</f>
        <v/>
      </c>
    </row>
    <row r="2376" customFormat="false" ht="15" hidden="false" customHeight="false" outlineLevel="0" collapsed="false">
      <c r="A2376" s="5"/>
      <c r="B2376" s="83"/>
      <c r="C2376" s="5"/>
      <c r="D2376" s="5"/>
      <c r="E2376" s="44"/>
      <c r="F2376" s="5"/>
      <c r="G2376" s="5"/>
      <c r="H2376" s="5"/>
      <c r="I2376" s="5"/>
      <c r="J2376" s="102" t="str">
        <f aca="false">IF(B2376="","",MONTH(B2376))</f>
        <v/>
      </c>
      <c r="K2376" s="102" t="str">
        <f aca="false">IF(B2376="","",YEAR(B2376))</f>
        <v/>
      </c>
      <c r="L2376" s="102" t="str">
        <f aca="false">IF(N(E2376)=0,"",IF(COUNTIFS(AK_NAMA,C2376,AK_KAT,"KAS")+COUNTIFS(AK_NAMA,D2376,AK_KAT,"KAS")&lt;&gt;1,"",IF(COUNTIFS(AK_NAMA,C2376,AK_KAT,"KAS")=1,D2376,C2376)))</f>
        <v/>
      </c>
      <c r="M2376" s="103" t="n">
        <f aca="false">IF(L2376="",0,IF(L2376=D2376,E2376,-E2376))</f>
        <v>0</v>
      </c>
      <c r="N2376" s="102" t="str">
        <f aca="false">IF(L2376="","",IFERROR(INDEX(AK_BARIS,MATCH(L2376,AK_NAMA,0)),"?"))</f>
        <v/>
      </c>
      <c r="O2376" s="102" t="str">
        <f aca="false">IF(C2376="","",IFERROR(INDEX(AK_KEL,MATCH(C2376,AK_NAMA,0)),"?"))</f>
        <v/>
      </c>
      <c r="P2376" s="102" t="str">
        <f aca="false">IF(D2376="","",IFERROR(INDEX(AK_KEL,MATCH(D2376,AK_NAMA,0)),"?"))</f>
        <v/>
      </c>
      <c r="Q2376" s="102" t="n">
        <f aca="false">N(Q2375)+IF(AND(N(E2376)&lt;&gt;0,K2376=TAHUN,N(J2376)&lt;=BLN,OR(C2376=BB_AKUN,D2376=BB_AKUN)),1,0)</f>
        <v>877</v>
      </c>
      <c r="R2376" s="104" t="str">
        <f aca="false">IF(OR(C2376&amp;D2376="",N(E2376)=0),"",IF(OR(O2376="?",P2376="?"),"⚠ akun tidak dikenal",IF(C2376=D2376,"⚠ debet = kredit","")))</f>
        <v/>
      </c>
    </row>
    <row r="2377" customFormat="false" ht="15" hidden="false" customHeight="false" outlineLevel="0" collapsed="false">
      <c r="A2377" s="5"/>
      <c r="B2377" s="83"/>
      <c r="C2377" s="5"/>
      <c r="D2377" s="5"/>
      <c r="E2377" s="44"/>
      <c r="F2377" s="5"/>
      <c r="G2377" s="5"/>
      <c r="H2377" s="5"/>
      <c r="I2377" s="5"/>
      <c r="J2377" s="102" t="str">
        <f aca="false">IF(B2377="","",MONTH(B2377))</f>
        <v/>
      </c>
      <c r="K2377" s="102" t="str">
        <f aca="false">IF(B2377="","",YEAR(B2377))</f>
        <v/>
      </c>
      <c r="L2377" s="102" t="str">
        <f aca="false">IF(N(E2377)=0,"",IF(COUNTIFS(AK_NAMA,C2377,AK_KAT,"KAS")+COUNTIFS(AK_NAMA,D2377,AK_KAT,"KAS")&lt;&gt;1,"",IF(COUNTIFS(AK_NAMA,C2377,AK_KAT,"KAS")=1,D2377,C2377)))</f>
        <v/>
      </c>
      <c r="M2377" s="103" t="n">
        <f aca="false">IF(L2377="",0,IF(L2377=D2377,E2377,-E2377))</f>
        <v>0</v>
      </c>
      <c r="N2377" s="102" t="str">
        <f aca="false">IF(L2377="","",IFERROR(INDEX(AK_BARIS,MATCH(L2377,AK_NAMA,0)),"?"))</f>
        <v/>
      </c>
      <c r="O2377" s="102" t="str">
        <f aca="false">IF(C2377="","",IFERROR(INDEX(AK_KEL,MATCH(C2377,AK_NAMA,0)),"?"))</f>
        <v/>
      </c>
      <c r="P2377" s="102" t="str">
        <f aca="false">IF(D2377="","",IFERROR(INDEX(AK_KEL,MATCH(D2377,AK_NAMA,0)),"?"))</f>
        <v/>
      </c>
      <c r="Q2377" s="102" t="n">
        <f aca="false">N(Q2376)+IF(AND(N(E2377)&lt;&gt;0,K2377=TAHUN,N(J2377)&lt;=BLN,OR(C2377=BB_AKUN,D2377=BB_AKUN)),1,0)</f>
        <v>877</v>
      </c>
      <c r="R2377" s="104" t="str">
        <f aca="false">IF(OR(C2377&amp;D2377="",N(E2377)=0),"",IF(OR(O2377="?",P2377="?"),"⚠ akun tidak dikenal",IF(C2377=D2377,"⚠ debet = kredit","")))</f>
        <v/>
      </c>
    </row>
    <row r="2378" customFormat="false" ht="15" hidden="false" customHeight="false" outlineLevel="0" collapsed="false">
      <c r="A2378" s="5"/>
      <c r="B2378" s="83"/>
      <c r="C2378" s="5"/>
      <c r="D2378" s="5"/>
      <c r="E2378" s="44"/>
      <c r="F2378" s="5"/>
      <c r="G2378" s="5"/>
      <c r="H2378" s="5"/>
      <c r="I2378" s="5"/>
      <c r="J2378" s="102" t="str">
        <f aca="false">IF(B2378="","",MONTH(B2378))</f>
        <v/>
      </c>
      <c r="K2378" s="102" t="str">
        <f aca="false">IF(B2378="","",YEAR(B2378))</f>
        <v/>
      </c>
      <c r="L2378" s="102" t="str">
        <f aca="false">IF(N(E2378)=0,"",IF(COUNTIFS(AK_NAMA,C2378,AK_KAT,"KAS")+COUNTIFS(AK_NAMA,D2378,AK_KAT,"KAS")&lt;&gt;1,"",IF(COUNTIFS(AK_NAMA,C2378,AK_KAT,"KAS")=1,D2378,C2378)))</f>
        <v/>
      </c>
      <c r="M2378" s="103" t="n">
        <f aca="false">IF(L2378="",0,IF(L2378=D2378,E2378,-E2378))</f>
        <v>0</v>
      </c>
      <c r="N2378" s="102" t="str">
        <f aca="false">IF(L2378="","",IFERROR(INDEX(AK_BARIS,MATCH(L2378,AK_NAMA,0)),"?"))</f>
        <v/>
      </c>
      <c r="O2378" s="102" t="str">
        <f aca="false">IF(C2378="","",IFERROR(INDEX(AK_KEL,MATCH(C2378,AK_NAMA,0)),"?"))</f>
        <v/>
      </c>
      <c r="P2378" s="102" t="str">
        <f aca="false">IF(D2378="","",IFERROR(INDEX(AK_KEL,MATCH(D2378,AK_NAMA,0)),"?"))</f>
        <v/>
      </c>
      <c r="Q2378" s="102" t="n">
        <f aca="false">N(Q2377)+IF(AND(N(E2378)&lt;&gt;0,K2378=TAHUN,N(J2378)&lt;=BLN,OR(C2378=BB_AKUN,D2378=BB_AKUN)),1,0)</f>
        <v>877</v>
      </c>
      <c r="R2378" s="104" t="str">
        <f aca="false">IF(OR(C2378&amp;D2378="",N(E2378)=0),"",IF(OR(O2378="?",P2378="?"),"⚠ akun tidak dikenal",IF(C2378=D2378,"⚠ debet = kredit","")))</f>
        <v/>
      </c>
    </row>
    <row r="2379" customFormat="false" ht="15" hidden="false" customHeight="false" outlineLevel="0" collapsed="false">
      <c r="A2379" s="5"/>
      <c r="B2379" s="83"/>
      <c r="C2379" s="5"/>
      <c r="D2379" s="5"/>
      <c r="E2379" s="44"/>
      <c r="F2379" s="5"/>
      <c r="G2379" s="5"/>
      <c r="H2379" s="5"/>
      <c r="I2379" s="5"/>
      <c r="J2379" s="102" t="str">
        <f aca="false">IF(B2379="","",MONTH(B2379))</f>
        <v/>
      </c>
      <c r="K2379" s="102" t="str">
        <f aca="false">IF(B2379="","",YEAR(B2379))</f>
        <v/>
      </c>
      <c r="L2379" s="102" t="str">
        <f aca="false">IF(N(E2379)=0,"",IF(COUNTIFS(AK_NAMA,C2379,AK_KAT,"KAS")+COUNTIFS(AK_NAMA,D2379,AK_KAT,"KAS")&lt;&gt;1,"",IF(COUNTIFS(AK_NAMA,C2379,AK_KAT,"KAS")=1,D2379,C2379)))</f>
        <v/>
      </c>
      <c r="M2379" s="103" t="n">
        <f aca="false">IF(L2379="",0,IF(L2379=D2379,E2379,-E2379))</f>
        <v>0</v>
      </c>
      <c r="N2379" s="102" t="str">
        <f aca="false">IF(L2379="","",IFERROR(INDEX(AK_BARIS,MATCH(L2379,AK_NAMA,0)),"?"))</f>
        <v/>
      </c>
      <c r="O2379" s="102" t="str">
        <f aca="false">IF(C2379="","",IFERROR(INDEX(AK_KEL,MATCH(C2379,AK_NAMA,0)),"?"))</f>
        <v/>
      </c>
      <c r="P2379" s="102" t="str">
        <f aca="false">IF(D2379="","",IFERROR(INDEX(AK_KEL,MATCH(D2379,AK_NAMA,0)),"?"))</f>
        <v/>
      </c>
      <c r="Q2379" s="102" t="n">
        <f aca="false">N(Q2378)+IF(AND(N(E2379)&lt;&gt;0,K2379=TAHUN,N(J2379)&lt;=BLN,OR(C2379=BB_AKUN,D2379=BB_AKUN)),1,0)</f>
        <v>877</v>
      </c>
      <c r="R2379" s="104" t="str">
        <f aca="false">IF(OR(C2379&amp;D2379="",N(E2379)=0),"",IF(OR(O2379="?",P2379="?"),"⚠ akun tidak dikenal",IF(C2379=D2379,"⚠ debet = kredit","")))</f>
        <v/>
      </c>
    </row>
    <row r="2380" customFormat="false" ht="15" hidden="false" customHeight="false" outlineLevel="0" collapsed="false">
      <c r="A2380" s="5"/>
      <c r="B2380" s="83"/>
      <c r="C2380" s="5"/>
      <c r="D2380" s="5"/>
      <c r="E2380" s="44"/>
      <c r="F2380" s="5"/>
      <c r="G2380" s="5"/>
      <c r="H2380" s="5"/>
      <c r="I2380" s="5"/>
      <c r="J2380" s="102" t="str">
        <f aca="false">IF(B2380="","",MONTH(B2380))</f>
        <v/>
      </c>
      <c r="K2380" s="102" t="str">
        <f aca="false">IF(B2380="","",YEAR(B2380))</f>
        <v/>
      </c>
      <c r="L2380" s="102" t="str">
        <f aca="false">IF(N(E2380)=0,"",IF(COUNTIFS(AK_NAMA,C2380,AK_KAT,"KAS")+COUNTIFS(AK_NAMA,D2380,AK_KAT,"KAS")&lt;&gt;1,"",IF(COUNTIFS(AK_NAMA,C2380,AK_KAT,"KAS")=1,D2380,C2380)))</f>
        <v/>
      </c>
      <c r="M2380" s="103" t="n">
        <f aca="false">IF(L2380="",0,IF(L2380=D2380,E2380,-E2380))</f>
        <v>0</v>
      </c>
      <c r="N2380" s="102" t="str">
        <f aca="false">IF(L2380="","",IFERROR(INDEX(AK_BARIS,MATCH(L2380,AK_NAMA,0)),"?"))</f>
        <v/>
      </c>
      <c r="O2380" s="102" t="str">
        <f aca="false">IF(C2380="","",IFERROR(INDEX(AK_KEL,MATCH(C2380,AK_NAMA,0)),"?"))</f>
        <v/>
      </c>
      <c r="P2380" s="102" t="str">
        <f aca="false">IF(D2380="","",IFERROR(INDEX(AK_KEL,MATCH(D2380,AK_NAMA,0)),"?"))</f>
        <v/>
      </c>
      <c r="Q2380" s="102" t="n">
        <f aca="false">N(Q2379)+IF(AND(N(E2380)&lt;&gt;0,K2380=TAHUN,N(J2380)&lt;=BLN,OR(C2380=BB_AKUN,D2380=BB_AKUN)),1,0)</f>
        <v>877</v>
      </c>
      <c r="R2380" s="104" t="str">
        <f aca="false">IF(OR(C2380&amp;D2380="",N(E2380)=0),"",IF(OR(O2380="?",P2380="?"),"⚠ akun tidak dikenal",IF(C2380=D2380,"⚠ debet = kredit","")))</f>
        <v/>
      </c>
    </row>
    <row r="2381" customFormat="false" ht="15" hidden="false" customHeight="false" outlineLevel="0" collapsed="false">
      <c r="A2381" s="5"/>
      <c r="B2381" s="83"/>
      <c r="C2381" s="5"/>
      <c r="D2381" s="5"/>
      <c r="E2381" s="44"/>
      <c r="F2381" s="5"/>
      <c r="G2381" s="5"/>
      <c r="H2381" s="5"/>
      <c r="I2381" s="5"/>
      <c r="J2381" s="102" t="str">
        <f aca="false">IF(B2381="","",MONTH(B2381))</f>
        <v/>
      </c>
      <c r="K2381" s="102" t="str">
        <f aca="false">IF(B2381="","",YEAR(B2381))</f>
        <v/>
      </c>
      <c r="L2381" s="102" t="str">
        <f aca="false">IF(N(E2381)=0,"",IF(COUNTIFS(AK_NAMA,C2381,AK_KAT,"KAS")+COUNTIFS(AK_NAMA,D2381,AK_KAT,"KAS")&lt;&gt;1,"",IF(COUNTIFS(AK_NAMA,C2381,AK_KAT,"KAS")=1,D2381,C2381)))</f>
        <v/>
      </c>
      <c r="M2381" s="103" t="n">
        <f aca="false">IF(L2381="",0,IF(L2381=D2381,E2381,-E2381))</f>
        <v>0</v>
      </c>
      <c r="N2381" s="102" t="str">
        <f aca="false">IF(L2381="","",IFERROR(INDEX(AK_BARIS,MATCH(L2381,AK_NAMA,0)),"?"))</f>
        <v/>
      </c>
      <c r="O2381" s="102" t="str">
        <f aca="false">IF(C2381="","",IFERROR(INDEX(AK_KEL,MATCH(C2381,AK_NAMA,0)),"?"))</f>
        <v/>
      </c>
      <c r="P2381" s="102" t="str">
        <f aca="false">IF(D2381="","",IFERROR(INDEX(AK_KEL,MATCH(D2381,AK_NAMA,0)),"?"))</f>
        <v/>
      </c>
      <c r="Q2381" s="102" t="n">
        <f aca="false">N(Q2380)+IF(AND(N(E2381)&lt;&gt;0,K2381=TAHUN,N(J2381)&lt;=BLN,OR(C2381=BB_AKUN,D2381=BB_AKUN)),1,0)</f>
        <v>877</v>
      </c>
      <c r="R2381" s="104" t="str">
        <f aca="false">IF(OR(C2381&amp;D2381="",N(E2381)=0),"",IF(OR(O2381="?",P2381="?"),"⚠ akun tidak dikenal",IF(C2381=D2381,"⚠ debet = kredit","")))</f>
        <v/>
      </c>
    </row>
    <row r="2382" customFormat="false" ht="15" hidden="false" customHeight="false" outlineLevel="0" collapsed="false">
      <c r="A2382" s="5"/>
      <c r="B2382" s="83"/>
      <c r="C2382" s="5"/>
      <c r="D2382" s="5"/>
      <c r="E2382" s="44"/>
      <c r="F2382" s="5"/>
      <c r="G2382" s="5"/>
      <c r="H2382" s="5"/>
      <c r="I2382" s="5"/>
      <c r="J2382" s="102" t="str">
        <f aca="false">IF(B2382="","",MONTH(B2382))</f>
        <v/>
      </c>
      <c r="K2382" s="102" t="str">
        <f aca="false">IF(B2382="","",YEAR(B2382))</f>
        <v/>
      </c>
      <c r="L2382" s="102" t="str">
        <f aca="false">IF(N(E2382)=0,"",IF(COUNTIFS(AK_NAMA,C2382,AK_KAT,"KAS")+COUNTIFS(AK_NAMA,D2382,AK_KAT,"KAS")&lt;&gt;1,"",IF(COUNTIFS(AK_NAMA,C2382,AK_KAT,"KAS")=1,D2382,C2382)))</f>
        <v/>
      </c>
      <c r="M2382" s="103" t="n">
        <f aca="false">IF(L2382="",0,IF(L2382=D2382,E2382,-E2382))</f>
        <v>0</v>
      </c>
      <c r="N2382" s="102" t="str">
        <f aca="false">IF(L2382="","",IFERROR(INDEX(AK_BARIS,MATCH(L2382,AK_NAMA,0)),"?"))</f>
        <v/>
      </c>
      <c r="O2382" s="102" t="str">
        <f aca="false">IF(C2382="","",IFERROR(INDEX(AK_KEL,MATCH(C2382,AK_NAMA,0)),"?"))</f>
        <v/>
      </c>
      <c r="P2382" s="102" t="str">
        <f aca="false">IF(D2382="","",IFERROR(INDEX(AK_KEL,MATCH(D2382,AK_NAMA,0)),"?"))</f>
        <v/>
      </c>
      <c r="Q2382" s="102" t="n">
        <f aca="false">N(Q2381)+IF(AND(N(E2382)&lt;&gt;0,K2382=TAHUN,N(J2382)&lt;=BLN,OR(C2382=BB_AKUN,D2382=BB_AKUN)),1,0)</f>
        <v>877</v>
      </c>
      <c r="R2382" s="104" t="str">
        <f aca="false">IF(OR(C2382&amp;D2382="",N(E2382)=0),"",IF(OR(O2382="?",P2382="?"),"⚠ akun tidak dikenal",IF(C2382=D2382,"⚠ debet = kredit","")))</f>
        <v/>
      </c>
    </row>
    <row r="2383" customFormat="false" ht="15" hidden="false" customHeight="false" outlineLevel="0" collapsed="false">
      <c r="A2383" s="5"/>
      <c r="B2383" s="83"/>
      <c r="C2383" s="5"/>
      <c r="D2383" s="5"/>
      <c r="E2383" s="44"/>
      <c r="F2383" s="5"/>
      <c r="G2383" s="5"/>
      <c r="H2383" s="5"/>
      <c r="I2383" s="5"/>
      <c r="J2383" s="102" t="str">
        <f aca="false">IF(B2383="","",MONTH(B2383))</f>
        <v/>
      </c>
      <c r="K2383" s="102" t="str">
        <f aca="false">IF(B2383="","",YEAR(B2383))</f>
        <v/>
      </c>
      <c r="L2383" s="102" t="str">
        <f aca="false">IF(N(E2383)=0,"",IF(COUNTIFS(AK_NAMA,C2383,AK_KAT,"KAS")+COUNTIFS(AK_NAMA,D2383,AK_KAT,"KAS")&lt;&gt;1,"",IF(COUNTIFS(AK_NAMA,C2383,AK_KAT,"KAS")=1,D2383,C2383)))</f>
        <v/>
      </c>
      <c r="M2383" s="103" t="n">
        <f aca="false">IF(L2383="",0,IF(L2383=D2383,E2383,-E2383))</f>
        <v>0</v>
      </c>
      <c r="N2383" s="102" t="str">
        <f aca="false">IF(L2383="","",IFERROR(INDEX(AK_BARIS,MATCH(L2383,AK_NAMA,0)),"?"))</f>
        <v/>
      </c>
      <c r="O2383" s="102" t="str">
        <f aca="false">IF(C2383="","",IFERROR(INDEX(AK_KEL,MATCH(C2383,AK_NAMA,0)),"?"))</f>
        <v/>
      </c>
      <c r="P2383" s="102" t="str">
        <f aca="false">IF(D2383="","",IFERROR(INDEX(AK_KEL,MATCH(D2383,AK_NAMA,0)),"?"))</f>
        <v/>
      </c>
      <c r="Q2383" s="102" t="n">
        <f aca="false">N(Q2382)+IF(AND(N(E2383)&lt;&gt;0,K2383=TAHUN,N(J2383)&lt;=BLN,OR(C2383=BB_AKUN,D2383=BB_AKUN)),1,0)</f>
        <v>877</v>
      </c>
      <c r="R2383" s="104" t="str">
        <f aca="false">IF(OR(C2383&amp;D2383="",N(E2383)=0),"",IF(OR(O2383="?",P2383="?"),"⚠ akun tidak dikenal",IF(C2383=D2383,"⚠ debet = kredit","")))</f>
        <v/>
      </c>
    </row>
    <row r="2384" customFormat="false" ht="15" hidden="false" customHeight="false" outlineLevel="0" collapsed="false">
      <c r="A2384" s="5"/>
      <c r="B2384" s="83"/>
      <c r="C2384" s="5"/>
      <c r="D2384" s="5"/>
      <c r="E2384" s="44"/>
      <c r="F2384" s="5"/>
      <c r="G2384" s="5"/>
      <c r="H2384" s="5"/>
      <c r="I2384" s="5"/>
      <c r="J2384" s="102" t="str">
        <f aca="false">IF(B2384="","",MONTH(B2384))</f>
        <v/>
      </c>
      <c r="K2384" s="102" t="str">
        <f aca="false">IF(B2384="","",YEAR(B2384))</f>
        <v/>
      </c>
      <c r="L2384" s="102" t="str">
        <f aca="false">IF(N(E2384)=0,"",IF(COUNTIFS(AK_NAMA,C2384,AK_KAT,"KAS")+COUNTIFS(AK_NAMA,D2384,AK_KAT,"KAS")&lt;&gt;1,"",IF(COUNTIFS(AK_NAMA,C2384,AK_KAT,"KAS")=1,D2384,C2384)))</f>
        <v/>
      </c>
      <c r="M2384" s="103" t="n">
        <f aca="false">IF(L2384="",0,IF(L2384=D2384,E2384,-E2384))</f>
        <v>0</v>
      </c>
      <c r="N2384" s="102" t="str">
        <f aca="false">IF(L2384="","",IFERROR(INDEX(AK_BARIS,MATCH(L2384,AK_NAMA,0)),"?"))</f>
        <v/>
      </c>
      <c r="O2384" s="102" t="str">
        <f aca="false">IF(C2384="","",IFERROR(INDEX(AK_KEL,MATCH(C2384,AK_NAMA,0)),"?"))</f>
        <v/>
      </c>
      <c r="P2384" s="102" t="str">
        <f aca="false">IF(D2384="","",IFERROR(INDEX(AK_KEL,MATCH(D2384,AK_NAMA,0)),"?"))</f>
        <v/>
      </c>
      <c r="Q2384" s="102" t="n">
        <f aca="false">N(Q2383)+IF(AND(N(E2384)&lt;&gt;0,K2384=TAHUN,N(J2384)&lt;=BLN,OR(C2384=BB_AKUN,D2384=BB_AKUN)),1,0)</f>
        <v>877</v>
      </c>
      <c r="R2384" s="104" t="str">
        <f aca="false">IF(OR(C2384&amp;D2384="",N(E2384)=0),"",IF(OR(O2384="?",P2384="?"),"⚠ akun tidak dikenal",IF(C2384=D2384,"⚠ debet = kredit","")))</f>
        <v/>
      </c>
    </row>
    <row r="2385" customFormat="false" ht="15" hidden="false" customHeight="false" outlineLevel="0" collapsed="false">
      <c r="A2385" s="5"/>
      <c r="B2385" s="83"/>
      <c r="C2385" s="5"/>
      <c r="D2385" s="5"/>
      <c r="E2385" s="44"/>
      <c r="F2385" s="5"/>
      <c r="G2385" s="5"/>
      <c r="H2385" s="5"/>
      <c r="I2385" s="5"/>
      <c r="J2385" s="102" t="str">
        <f aca="false">IF(B2385="","",MONTH(B2385))</f>
        <v/>
      </c>
      <c r="K2385" s="102" t="str">
        <f aca="false">IF(B2385="","",YEAR(B2385))</f>
        <v/>
      </c>
      <c r="L2385" s="102" t="str">
        <f aca="false">IF(N(E2385)=0,"",IF(COUNTIFS(AK_NAMA,C2385,AK_KAT,"KAS")+COUNTIFS(AK_NAMA,D2385,AK_KAT,"KAS")&lt;&gt;1,"",IF(COUNTIFS(AK_NAMA,C2385,AK_KAT,"KAS")=1,D2385,C2385)))</f>
        <v/>
      </c>
      <c r="M2385" s="103" t="n">
        <f aca="false">IF(L2385="",0,IF(L2385=D2385,E2385,-E2385))</f>
        <v>0</v>
      </c>
      <c r="N2385" s="102" t="str">
        <f aca="false">IF(L2385="","",IFERROR(INDEX(AK_BARIS,MATCH(L2385,AK_NAMA,0)),"?"))</f>
        <v/>
      </c>
      <c r="O2385" s="102" t="str">
        <f aca="false">IF(C2385="","",IFERROR(INDEX(AK_KEL,MATCH(C2385,AK_NAMA,0)),"?"))</f>
        <v/>
      </c>
      <c r="P2385" s="102" t="str">
        <f aca="false">IF(D2385="","",IFERROR(INDEX(AK_KEL,MATCH(D2385,AK_NAMA,0)),"?"))</f>
        <v/>
      </c>
      <c r="Q2385" s="102" t="n">
        <f aca="false">N(Q2384)+IF(AND(N(E2385)&lt;&gt;0,K2385=TAHUN,N(J2385)&lt;=BLN,OR(C2385=BB_AKUN,D2385=BB_AKUN)),1,0)</f>
        <v>877</v>
      </c>
      <c r="R2385" s="104" t="str">
        <f aca="false">IF(OR(C2385&amp;D2385="",N(E2385)=0),"",IF(OR(O2385="?",P2385="?"),"⚠ akun tidak dikenal",IF(C2385=D2385,"⚠ debet = kredit","")))</f>
        <v/>
      </c>
    </row>
    <row r="2386" customFormat="false" ht="15" hidden="false" customHeight="false" outlineLevel="0" collapsed="false">
      <c r="A2386" s="5"/>
      <c r="B2386" s="83"/>
      <c r="C2386" s="5"/>
      <c r="D2386" s="5"/>
      <c r="E2386" s="44"/>
      <c r="F2386" s="5"/>
      <c r="G2386" s="5"/>
      <c r="H2386" s="5"/>
      <c r="I2386" s="5"/>
      <c r="J2386" s="102" t="str">
        <f aca="false">IF(B2386="","",MONTH(B2386))</f>
        <v/>
      </c>
      <c r="K2386" s="102" t="str">
        <f aca="false">IF(B2386="","",YEAR(B2386))</f>
        <v/>
      </c>
      <c r="L2386" s="102" t="str">
        <f aca="false">IF(N(E2386)=0,"",IF(COUNTIFS(AK_NAMA,C2386,AK_KAT,"KAS")+COUNTIFS(AK_NAMA,D2386,AK_KAT,"KAS")&lt;&gt;1,"",IF(COUNTIFS(AK_NAMA,C2386,AK_KAT,"KAS")=1,D2386,C2386)))</f>
        <v/>
      </c>
      <c r="M2386" s="103" t="n">
        <f aca="false">IF(L2386="",0,IF(L2386=D2386,E2386,-E2386))</f>
        <v>0</v>
      </c>
      <c r="N2386" s="102" t="str">
        <f aca="false">IF(L2386="","",IFERROR(INDEX(AK_BARIS,MATCH(L2386,AK_NAMA,0)),"?"))</f>
        <v/>
      </c>
      <c r="O2386" s="102" t="str">
        <f aca="false">IF(C2386="","",IFERROR(INDEX(AK_KEL,MATCH(C2386,AK_NAMA,0)),"?"))</f>
        <v/>
      </c>
      <c r="P2386" s="102" t="str">
        <f aca="false">IF(D2386="","",IFERROR(INDEX(AK_KEL,MATCH(D2386,AK_NAMA,0)),"?"))</f>
        <v/>
      </c>
      <c r="Q2386" s="102" t="n">
        <f aca="false">N(Q2385)+IF(AND(N(E2386)&lt;&gt;0,K2386=TAHUN,N(J2386)&lt;=BLN,OR(C2386=BB_AKUN,D2386=BB_AKUN)),1,0)</f>
        <v>877</v>
      </c>
      <c r="R2386" s="104" t="str">
        <f aca="false">IF(OR(C2386&amp;D2386="",N(E2386)=0),"",IF(OR(O2386="?",P2386="?"),"⚠ akun tidak dikenal",IF(C2386=D2386,"⚠ debet = kredit","")))</f>
        <v/>
      </c>
    </row>
    <row r="2387" customFormat="false" ht="15" hidden="false" customHeight="false" outlineLevel="0" collapsed="false">
      <c r="A2387" s="5"/>
      <c r="B2387" s="83"/>
      <c r="C2387" s="5"/>
      <c r="D2387" s="5"/>
      <c r="E2387" s="44"/>
      <c r="F2387" s="5"/>
      <c r="G2387" s="5"/>
      <c r="H2387" s="5"/>
      <c r="I2387" s="5"/>
      <c r="J2387" s="102" t="str">
        <f aca="false">IF(B2387="","",MONTH(B2387))</f>
        <v/>
      </c>
      <c r="K2387" s="102" t="str">
        <f aca="false">IF(B2387="","",YEAR(B2387))</f>
        <v/>
      </c>
      <c r="L2387" s="102" t="str">
        <f aca="false">IF(N(E2387)=0,"",IF(COUNTIFS(AK_NAMA,C2387,AK_KAT,"KAS")+COUNTIFS(AK_NAMA,D2387,AK_KAT,"KAS")&lt;&gt;1,"",IF(COUNTIFS(AK_NAMA,C2387,AK_KAT,"KAS")=1,D2387,C2387)))</f>
        <v/>
      </c>
      <c r="M2387" s="103" t="n">
        <f aca="false">IF(L2387="",0,IF(L2387=D2387,E2387,-E2387))</f>
        <v>0</v>
      </c>
      <c r="N2387" s="102" t="str">
        <f aca="false">IF(L2387="","",IFERROR(INDEX(AK_BARIS,MATCH(L2387,AK_NAMA,0)),"?"))</f>
        <v/>
      </c>
      <c r="O2387" s="102" t="str">
        <f aca="false">IF(C2387="","",IFERROR(INDEX(AK_KEL,MATCH(C2387,AK_NAMA,0)),"?"))</f>
        <v/>
      </c>
      <c r="P2387" s="102" t="str">
        <f aca="false">IF(D2387="","",IFERROR(INDEX(AK_KEL,MATCH(D2387,AK_NAMA,0)),"?"))</f>
        <v/>
      </c>
      <c r="Q2387" s="102" t="n">
        <f aca="false">N(Q2386)+IF(AND(N(E2387)&lt;&gt;0,K2387=TAHUN,N(J2387)&lt;=BLN,OR(C2387=BB_AKUN,D2387=BB_AKUN)),1,0)</f>
        <v>877</v>
      </c>
      <c r="R2387" s="104" t="str">
        <f aca="false">IF(OR(C2387&amp;D2387="",N(E2387)=0),"",IF(OR(O2387="?",P2387="?"),"⚠ akun tidak dikenal",IF(C2387=D2387,"⚠ debet = kredit","")))</f>
        <v/>
      </c>
    </row>
    <row r="2388" customFormat="false" ht="15" hidden="false" customHeight="false" outlineLevel="0" collapsed="false">
      <c r="A2388" s="5"/>
      <c r="B2388" s="83"/>
      <c r="C2388" s="5"/>
      <c r="D2388" s="5"/>
      <c r="E2388" s="44"/>
      <c r="F2388" s="5"/>
      <c r="G2388" s="5"/>
      <c r="H2388" s="5"/>
      <c r="I2388" s="5"/>
      <c r="J2388" s="102" t="str">
        <f aca="false">IF(B2388="","",MONTH(B2388))</f>
        <v/>
      </c>
      <c r="K2388" s="102" t="str">
        <f aca="false">IF(B2388="","",YEAR(B2388))</f>
        <v/>
      </c>
      <c r="L2388" s="102" t="str">
        <f aca="false">IF(N(E2388)=0,"",IF(COUNTIFS(AK_NAMA,C2388,AK_KAT,"KAS")+COUNTIFS(AK_NAMA,D2388,AK_KAT,"KAS")&lt;&gt;1,"",IF(COUNTIFS(AK_NAMA,C2388,AK_KAT,"KAS")=1,D2388,C2388)))</f>
        <v/>
      </c>
      <c r="M2388" s="103" t="n">
        <f aca="false">IF(L2388="",0,IF(L2388=D2388,E2388,-E2388))</f>
        <v>0</v>
      </c>
      <c r="N2388" s="102" t="str">
        <f aca="false">IF(L2388="","",IFERROR(INDEX(AK_BARIS,MATCH(L2388,AK_NAMA,0)),"?"))</f>
        <v/>
      </c>
      <c r="O2388" s="102" t="str">
        <f aca="false">IF(C2388="","",IFERROR(INDEX(AK_KEL,MATCH(C2388,AK_NAMA,0)),"?"))</f>
        <v/>
      </c>
      <c r="P2388" s="102" t="str">
        <f aca="false">IF(D2388="","",IFERROR(INDEX(AK_KEL,MATCH(D2388,AK_NAMA,0)),"?"))</f>
        <v/>
      </c>
      <c r="Q2388" s="102" t="n">
        <f aca="false">N(Q2387)+IF(AND(N(E2388)&lt;&gt;0,K2388=TAHUN,N(J2388)&lt;=BLN,OR(C2388=BB_AKUN,D2388=BB_AKUN)),1,0)</f>
        <v>877</v>
      </c>
      <c r="R2388" s="104" t="str">
        <f aca="false">IF(OR(C2388&amp;D2388="",N(E2388)=0),"",IF(OR(O2388="?",P2388="?"),"⚠ akun tidak dikenal",IF(C2388=D2388,"⚠ debet = kredit","")))</f>
        <v/>
      </c>
    </row>
    <row r="2389" customFormat="false" ht="15" hidden="false" customHeight="false" outlineLevel="0" collapsed="false">
      <c r="A2389" s="5"/>
      <c r="B2389" s="83"/>
      <c r="C2389" s="5"/>
      <c r="D2389" s="5"/>
      <c r="E2389" s="44"/>
      <c r="F2389" s="5"/>
      <c r="G2389" s="5"/>
      <c r="H2389" s="5"/>
      <c r="I2389" s="5"/>
      <c r="J2389" s="102" t="str">
        <f aca="false">IF(B2389="","",MONTH(B2389))</f>
        <v/>
      </c>
      <c r="K2389" s="102" t="str">
        <f aca="false">IF(B2389="","",YEAR(B2389))</f>
        <v/>
      </c>
      <c r="L2389" s="102" t="str">
        <f aca="false">IF(N(E2389)=0,"",IF(COUNTIFS(AK_NAMA,C2389,AK_KAT,"KAS")+COUNTIFS(AK_NAMA,D2389,AK_KAT,"KAS")&lt;&gt;1,"",IF(COUNTIFS(AK_NAMA,C2389,AK_KAT,"KAS")=1,D2389,C2389)))</f>
        <v/>
      </c>
      <c r="M2389" s="103" t="n">
        <f aca="false">IF(L2389="",0,IF(L2389=D2389,E2389,-E2389))</f>
        <v>0</v>
      </c>
      <c r="N2389" s="102" t="str">
        <f aca="false">IF(L2389="","",IFERROR(INDEX(AK_BARIS,MATCH(L2389,AK_NAMA,0)),"?"))</f>
        <v/>
      </c>
      <c r="O2389" s="102" t="str">
        <f aca="false">IF(C2389="","",IFERROR(INDEX(AK_KEL,MATCH(C2389,AK_NAMA,0)),"?"))</f>
        <v/>
      </c>
      <c r="P2389" s="102" t="str">
        <f aca="false">IF(D2389="","",IFERROR(INDEX(AK_KEL,MATCH(D2389,AK_NAMA,0)),"?"))</f>
        <v/>
      </c>
      <c r="Q2389" s="102" t="n">
        <f aca="false">N(Q2388)+IF(AND(N(E2389)&lt;&gt;0,K2389=TAHUN,N(J2389)&lt;=BLN,OR(C2389=BB_AKUN,D2389=BB_AKUN)),1,0)</f>
        <v>877</v>
      </c>
      <c r="R2389" s="104" t="str">
        <f aca="false">IF(OR(C2389&amp;D2389="",N(E2389)=0),"",IF(OR(O2389="?",P2389="?"),"⚠ akun tidak dikenal",IF(C2389=D2389,"⚠ debet = kredit","")))</f>
        <v/>
      </c>
    </row>
    <row r="2390" customFormat="false" ht="15" hidden="false" customHeight="false" outlineLevel="0" collapsed="false">
      <c r="A2390" s="5"/>
      <c r="B2390" s="83"/>
      <c r="C2390" s="5"/>
      <c r="D2390" s="5"/>
      <c r="E2390" s="44"/>
      <c r="F2390" s="5"/>
      <c r="G2390" s="5"/>
      <c r="H2390" s="5"/>
      <c r="I2390" s="5"/>
      <c r="J2390" s="102" t="str">
        <f aca="false">IF(B2390="","",MONTH(B2390))</f>
        <v/>
      </c>
      <c r="K2390" s="102" t="str">
        <f aca="false">IF(B2390="","",YEAR(B2390))</f>
        <v/>
      </c>
      <c r="L2390" s="102" t="str">
        <f aca="false">IF(N(E2390)=0,"",IF(COUNTIFS(AK_NAMA,C2390,AK_KAT,"KAS")+COUNTIFS(AK_NAMA,D2390,AK_KAT,"KAS")&lt;&gt;1,"",IF(COUNTIFS(AK_NAMA,C2390,AK_KAT,"KAS")=1,D2390,C2390)))</f>
        <v/>
      </c>
      <c r="M2390" s="103" t="n">
        <f aca="false">IF(L2390="",0,IF(L2390=D2390,E2390,-E2390))</f>
        <v>0</v>
      </c>
      <c r="N2390" s="102" t="str">
        <f aca="false">IF(L2390="","",IFERROR(INDEX(AK_BARIS,MATCH(L2390,AK_NAMA,0)),"?"))</f>
        <v/>
      </c>
      <c r="O2390" s="102" t="str">
        <f aca="false">IF(C2390="","",IFERROR(INDEX(AK_KEL,MATCH(C2390,AK_NAMA,0)),"?"))</f>
        <v/>
      </c>
      <c r="P2390" s="102" t="str">
        <f aca="false">IF(D2390="","",IFERROR(INDEX(AK_KEL,MATCH(D2390,AK_NAMA,0)),"?"))</f>
        <v/>
      </c>
      <c r="Q2390" s="102" t="n">
        <f aca="false">N(Q2389)+IF(AND(N(E2390)&lt;&gt;0,K2390=TAHUN,N(J2390)&lt;=BLN,OR(C2390=BB_AKUN,D2390=BB_AKUN)),1,0)</f>
        <v>877</v>
      </c>
      <c r="R2390" s="104" t="str">
        <f aca="false">IF(OR(C2390&amp;D2390="",N(E2390)=0),"",IF(OR(O2390="?",P2390="?"),"⚠ akun tidak dikenal",IF(C2390=D2390,"⚠ debet = kredit","")))</f>
        <v/>
      </c>
    </row>
    <row r="2391" customFormat="false" ht="15" hidden="false" customHeight="false" outlineLevel="0" collapsed="false">
      <c r="A2391" s="5"/>
      <c r="B2391" s="83"/>
      <c r="C2391" s="5"/>
      <c r="D2391" s="5"/>
      <c r="E2391" s="44"/>
      <c r="F2391" s="5"/>
      <c r="G2391" s="5"/>
      <c r="H2391" s="5"/>
      <c r="I2391" s="5"/>
      <c r="J2391" s="102" t="str">
        <f aca="false">IF(B2391="","",MONTH(B2391))</f>
        <v/>
      </c>
      <c r="K2391" s="102" t="str">
        <f aca="false">IF(B2391="","",YEAR(B2391))</f>
        <v/>
      </c>
      <c r="L2391" s="102" t="str">
        <f aca="false">IF(N(E2391)=0,"",IF(COUNTIFS(AK_NAMA,C2391,AK_KAT,"KAS")+COUNTIFS(AK_NAMA,D2391,AK_KAT,"KAS")&lt;&gt;1,"",IF(COUNTIFS(AK_NAMA,C2391,AK_KAT,"KAS")=1,D2391,C2391)))</f>
        <v/>
      </c>
      <c r="M2391" s="103" t="n">
        <f aca="false">IF(L2391="",0,IF(L2391=D2391,E2391,-E2391))</f>
        <v>0</v>
      </c>
      <c r="N2391" s="102" t="str">
        <f aca="false">IF(L2391="","",IFERROR(INDEX(AK_BARIS,MATCH(L2391,AK_NAMA,0)),"?"))</f>
        <v/>
      </c>
      <c r="O2391" s="102" t="str">
        <f aca="false">IF(C2391="","",IFERROR(INDEX(AK_KEL,MATCH(C2391,AK_NAMA,0)),"?"))</f>
        <v/>
      </c>
      <c r="P2391" s="102" t="str">
        <f aca="false">IF(D2391="","",IFERROR(INDEX(AK_KEL,MATCH(D2391,AK_NAMA,0)),"?"))</f>
        <v/>
      </c>
      <c r="Q2391" s="102" t="n">
        <f aca="false">N(Q2390)+IF(AND(N(E2391)&lt;&gt;0,K2391=TAHUN,N(J2391)&lt;=BLN,OR(C2391=BB_AKUN,D2391=BB_AKUN)),1,0)</f>
        <v>877</v>
      </c>
      <c r="R2391" s="104" t="str">
        <f aca="false">IF(OR(C2391&amp;D2391="",N(E2391)=0),"",IF(OR(O2391="?",P2391="?"),"⚠ akun tidak dikenal",IF(C2391=D2391,"⚠ debet = kredit","")))</f>
        <v/>
      </c>
    </row>
    <row r="2392" customFormat="false" ht="15" hidden="false" customHeight="false" outlineLevel="0" collapsed="false">
      <c r="A2392" s="5"/>
      <c r="B2392" s="83"/>
      <c r="C2392" s="5"/>
      <c r="D2392" s="5"/>
      <c r="E2392" s="44"/>
      <c r="F2392" s="5"/>
      <c r="G2392" s="5"/>
      <c r="H2392" s="5"/>
      <c r="I2392" s="5"/>
      <c r="J2392" s="102" t="str">
        <f aca="false">IF(B2392="","",MONTH(B2392))</f>
        <v/>
      </c>
      <c r="K2392" s="102" t="str">
        <f aca="false">IF(B2392="","",YEAR(B2392))</f>
        <v/>
      </c>
      <c r="L2392" s="102" t="str">
        <f aca="false">IF(N(E2392)=0,"",IF(COUNTIFS(AK_NAMA,C2392,AK_KAT,"KAS")+COUNTIFS(AK_NAMA,D2392,AK_KAT,"KAS")&lt;&gt;1,"",IF(COUNTIFS(AK_NAMA,C2392,AK_KAT,"KAS")=1,D2392,C2392)))</f>
        <v/>
      </c>
      <c r="M2392" s="103" t="n">
        <f aca="false">IF(L2392="",0,IF(L2392=D2392,E2392,-E2392))</f>
        <v>0</v>
      </c>
      <c r="N2392" s="102" t="str">
        <f aca="false">IF(L2392="","",IFERROR(INDEX(AK_BARIS,MATCH(L2392,AK_NAMA,0)),"?"))</f>
        <v/>
      </c>
      <c r="O2392" s="102" t="str">
        <f aca="false">IF(C2392="","",IFERROR(INDEX(AK_KEL,MATCH(C2392,AK_NAMA,0)),"?"))</f>
        <v/>
      </c>
      <c r="P2392" s="102" t="str">
        <f aca="false">IF(D2392="","",IFERROR(INDEX(AK_KEL,MATCH(D2392,AK_NAMA,0)),"?"))</f>
        <v/>
      </c>
      <c r="Q2392" s="102" t="n">
        <f aca="false">N(Q2391)+IF(AND(N(E2392)&lt;&gt;0,K2392=TAHUN,N(J2392)&lt;=BLN,OR(C2392=BB_AKUN,D2392=BB_AKUN)),1,0)</f>
        <v>877</v>
      </c>
      <c r="R2392" s="104" t="str">
        <f aca="false">IF(OR(C2392&amp;D2392="",N(E2392)=0),"",IF(OR(O2392="?",P2392="?"),"⚠ akun tidak dikenal",IF(C2392=D2392,"⚠ debet = kredit","")))</f>
        <v/>
      </c>
    </row>
    <row r="2393" customFormat="false" ht="15" hidden="false" customHeight="false" outlineLevel="0" collapsed="false">
      <c r="A2393" s="5"/>
      <c r="B2393" s="83"/>
      <c r="C2393" s="5"/>
      <c r="D2393" s="5"/>
      <c r="E2393" s="44"/>
      <c r="F2393" s="5"/>
      <c r="G2393" s="5"/>
      <c r="H2393" s="5"/>
      <c r="I2393" s="5"/>
      <c r="J2393" s="102" t="str">
        <f aca="false">IF(B2393="","",MONTH(B2393))</f>
        <v/>
      </c>
      <c r="K2393" s="102" t="str">
        <f aca="false">IF(B2393="","",YEAR(B2393))</f>
        <v/>
      </c>
      <c r="L2393" s="102" t="str">
        <f aca="false">IF(N(E2393)=0,"",IF(COUNTIFS(AK_NAMA,C2393,AK_KAT,"KAS")+COUNTIFS(AK_NAMA,D2393,AK_KAT,"KAS")&lt;&gt;1,"",IF(COUNTIFS(AK_NAMA,C2393,AK_KAT,"KAS")=1,D2393,C2393)))</f>
        <v/>
      </c>
      <c r="M2393" s="103" t="n">
        <f aca="false">IF(L2393="",0,IF(L2393=D2393,E2393,-E2393))</f>
        <v>0</v>
      </c>
      <c r="N2393" s="102" t="str">
        <f aca="false">IF(L2393="","",IFERROR(INDEX(AK_BARIS,MATCH(L2393,AK_NAMA,0)),"?"))</f>
        <v/>
      </c>
      <c r="O2393" s="102" t="str">
        <f aca="false">IF(C2393="","",IFERROR(INDEX(AK_KEL,MATCH(C2393,AK_NAMA,0)),"?"))</f>
        <v/>
      </c>
      <c r="P2393" s="102" t="str">
        <f aca="false">IF(D2393="","",IFERROR(INDEX(AK_KEL,MATCH(D2393,AK_NAMA,0)),"?"))</f>
        <v/>
      </c>
      <c r="Q2393" s="102" t="n">
        <f aca="false">N(Q2392)+IF(AND(N(E2393)&lt;&gt;0,K2393=TAHUN,N(J2393)&lt;=BLN,OR(C2393=BB_AKUN,D2393=BB_AKUN)),1,0)</f>
        <v>877</v>
      </c>
      <c r="R2393" s="104" t="str">
        <f aca="false">IF(OR(C2393&amp;D2393="",N(E2393)=0),"",IF(OR(O2393="?",P2393="?"),"⚠ akun tidak dikenal",IF(C2393=D2393,"⚠ debet = kredit","")))</f>
        <v/>
      </c>
    </row>
    <row r="2394" customFormat="false" ht="15" hidden="false" customHeight="false" outlineLevel="0" collapsed="false">
      <c r="A2394" s="5"/>
      <c r="B2394" s="83"/>
      <c r="C2394" s="5"/>
      <c r="D2394" s="5"/>
      <c r="E2394" s="44"/>
      <c r="F2394" s="5"/>
      <c r="G2394" s="5"/>
      <c r="H2394" s="5"/>
      <c r="I2394" s="5"/>
      <c r="J2394" s="102" t="str">
        <f aca="false">IF(B2394="","",MONTH(B2394))</f>
        <v/>
      </c>
      <c r="K2394" s="102" t="str">
        <f aca="false">IF(B2394="","",YEAR(B2394))</f>
        <v/>
      </c>
      <c r="L2394" s="102" t="str">
        <f aca="false">IF(N(E2394)=0,"",IF(COUNTIFS(AK_NAMA,C2394,AK_KAT,"KAS")+COUNTIFS(AK_NAMA,D2394,AK_KAT,"KAS")&lt;&gt;1,"",IF(COUNTIFS(AK_NAMA,C2394,AK_KAT,"KAS")=1,D2394,C2394)))</f>
        <v/>
      </c>
      <c r="M2394" s="103" t="n">
        <f aca="false">IF(L2394="",0,IF(L2394=D2394,E2394,-E2394))</f>
        <v>0</v>
      </c>
      <c r="N2394" s="102" t="str">
        <f aca="false">IF(L2394="","",IFERROR(INDEX(AK_BARIS,MATCH(L2394,AK_NAMA,0)),"?"))</f>
        <v/>
      </c>
      <c r="O2394" s="102" t="str">
        <f aca="false">IF(C2394="","",IFERROR(INDEX(AK_KEL,MATCH(C2394,AK_NAMA,0)),"?"))</f>
        <v/>
      </c>
      <c r="P2394" s="102" t="str">
        <f aca="false">IF(D2394="","",IFERROR(INDEX(AK_KEL,MATCH(D2394,AK_NAMA,0)),"?"))</f>
        <v/>
      </c>
      <c r="Q2394" s="102" t="n">
        <f aca="false">N(Q2393)+IF(AND(N(E2394)&lt;&gt;0,K2394=TAHUN,N(J2394)&lt;=BLN,OR(C2394=BB_AKUN,D2394=BB_AKUN)),1,0)</f>
        <v>877</v>
      </c>
      <c r="R2394" s="104" t="str">
        <f aca="false">IF(OR(C2394&amp;D2394="",N(E2394)=0),"",IF(OR(O2394="?",P2394="?"),"⚠ akun tidak dikenal",IF(C2394=D2394,"⚠ debet = kredit","")))</f>
        <v/>
      </c>
    </row>
    <row r="2395" customFormat="false" ht="15" hidden="false" customHeight="false" outlineLevel="0" collapsed="false">
      <c r="A2395" s="5"/>
      <c r="B2395" s="83"/>
      <c r="C2395" s="5"/>
      <c r="D2395" s="5"/>
      <c r="E2395" s="44"/>
      <c r="F2395" s="5"/>
      <c r="G2395" s="5"/>
      <c r="H2395" s="5"/>
      <c r="I2395" s="5"/>
      <c r="J2395" s="102" t="str">
        <f aca="false">IF(B2395="","",MONTH(B2395))</f>
        <v/>
      </c>
      <c r="K2395" s="102" t="str">
        <f aca="false">IF(B2395="","",YEAR(B2395))</f>
        <v/>
      </c>
      <c r="L2395" s="102" t="str">
        <f aca="false">IF(N(E2395)=0,"",IF(COUNTIFS(AK_NAMA,C2395,AK_KAT,"KAS")+COUNTIFS(AK_NAMA,D2395,AK_KAT,"KAS")&lt;&gt;1,"",IF(COUNTIFS(AK_NAMA,C2395,AK_KAT,"KAS")=1,D2395,C2395)))</f>
        <v/>
      </c>
      <c r="M2395" s="103" t="n">
        <f aca="false">IF(L2395="",0,IF(L2395=D2395,E2395,-E2395))</f>
        <v>0</v>
      </c>
      <c r="N2395" s="102" t="str">
        <f aca="false">IF(L2395="","",IFERROR(INDEX(AK_BARIS,MATCH(L2395,AK_NAMA,0)),"?"))</f>
        <v/>
      </c>
      <c r="O2395" s="102" t="str">
        <f aca="false">IF(C2395="","",IFERROR(INDEX(AK_KEL,MATCH(C2395,AK_NAMA,0)),"?"))</f>
        <v/>
      </c>
      <c r="P2395" s="102" t="str">
        <f aca="false">IF(D2395="","",IFERROR(INDEX(AK_KEL,MATCH(D2395,AK_NAMA,0)),"?"))</f>
        <v/>
      </c>
      <c r="Q2395" s="102" t="n">
        <f aca="false">N(Q2394)+IF(AND(N(E2395)&lt;&gt;0,K2395=TAHUN,N(J2395)&lt;=BLN,OR(C2395=BB_AKUN,D2395=BB_AKUN)),1,0)</f>
        <v>877</v>
      </c>
      <c r="R2395" s="104" t="str">
        <f aca="false">IF(OR(C2395&amp;D2395="",N(E2395)=0),"",IF(OR(O2395="?",P2395="?"),"⚠ akun tidak dikenal",IF(C2395=D2395,"⚠ debet = kredit","")))</f>
        <v/>
      </c>
    </row>
    <row r="2396" customFormat="false" ht="15" hidden="false" customHeight="false" outlineLevel="0" collapsed="false">
      <c r="A2396" s="5"/>
      <c r="B2396" s="83"/>
      <c r="C2396" s="5"/>
      <c r="D2396" s="5"/>
      <c r="E2396" s="44"/>
      <c r="F2396" s="5"/>
      <c r="G2396" s="5"/>
      <c r="H2396" s="5"/>
      <c r="I2396" s="5"/>
      <c r="J2396" s="102" t="str">
        <f aca="false">IF(B2396="","",MONTH(B2396))</f>
        <v/>
      </c>
      <c r="K2396" s="102" t="str">
        <f aca="false">IF(B2396="","",YEAR(B2396))</f>
        <v/>
      </c>
      <c r="L2396" s="102" t="str">
        <f aca="false">IF(N(E2396)=0,"",IF(COUNTIFS(AK_NAMA,C2396,AK_KAT,"KAS")+COUNTIFS(AK_NAMA,D2396,AK_KAT,"KAS")&lt;&gt;1,"",IF(COUNTIFS(AK_NAMA,C2396,AK_KAT,"KAS")=1,D2396,C2396)))</f>
        <v/>
      </c>
      <c r="M2396" s="103" t="n">
        <f aca="false">IF(L2396="",0,IF(L2396=D2396,E2396,-E2396))</f>
        <v>0</v>
      </c>
      <c r="N2396" s="102" t="str">
        <f aca="false">IF(L2396="","",IFERROR(INDEX(AK_BARIS,MATCH(L2396,AK_NAMA,0)),"?"))</f>
        <v/>
      </c>
      <c r="O2396" s="102" t="str">
        <f aca="false">IF(C2396="","",IFERROR(INDEX(AK_KEL,MATCH(C2396,AK_NAMA,0)),"?"))</f>
        <v/>
      </c>
      <c r="P2396" s="102" t="str">
        <f aca="false">IF(D2396="","",IFERROR(INDEX(AK_KEL,MATCH(D2396,AK_NAMA,0)),"?"))</f>
        <v/>
      </c>
      <c r="Q2396" s="102" t="n">
        <f aca="false">N(Q2395)+IF(AND(N(E2396)&lt;&gt;0,K2396=TAHUN,N(J2396)&lt;=BLN,OR(C2396=BB_AKUN,D2396=BB_AKUN)),1,0)</f>
        <v>877</v>
      </c>
      <c r="R2396" s="104" t="str">
        <f aca="false">IF(OR(C2396&amp;D2396="",N(E2396)=0),"",IF(OR(O2396="?",P2396="?"),"⚠ akun tidak dikenal",IF(C2396=D2396,"⚠ debet = kredit","")))</f>
        <v/>
      </c>
    </row>
    <row r="2397" customFormat="false" ht="15" hidden="false" customHeight="false" outlineLevel="0" collapsed="false">
      <c r="A2397" s="5"/>
      <c r="B2397" s="83"/>
      <c r="C2397" s="5"/>
      <c r="D2397" s="5"/>
      <c r="E2397" s="44"/>
      <c r="F2397" s="5"/>
      <c r="G2397" s="5"/>
      <c r="H2397" s="5"/>
      <c r="I2397" s="5"/>
      <c r="J2397" s="102" t="str">
        <f aca="false">IF(B2397="","",MONTH(B2397))</f>
        <v/>
      </c>
      <c r="K2397" s="102" t="str">
        <f aca="false">IF(B2397="","",YEAR(B2397))</f>
        <v/>
      </c>
      <c r="L2397" s="102" t="str">
        <f aca="false">IF(N(E2397)=0,"",IF(COUNTIFS(AK_NAMA,C2397,AK_KAT,"KAS")+COUNTIFS(AK_NAMA,D2397,AK_KAT,"KAS")&lt;&gt;1,"",IF(COUNTIFS(AK_NAMA,C2397,AK_KAT,"KAS")=1,D2397,C2397)))</f>
        <v/>
      </c>
      <c r="M2397" s="103" t="n">
        <f aca="false">IF(L2397="",0,IF(L2397=D2397,E2397,-E2397))</f>
        <v>0</v>
      </c>
      <c r="N2397" s="102" t="str">
        <f aca="false">IF(L2397="","",IFERROR(INDEX(AK_BARIS,MATCH(L2397,AK_NAMA,0)),"?"))</f>
        <v/>
      </c>
      <c r="O2397" s="102" t="str">
        <f aca="false">IF(C2397="","",IFERROR(INDEX(AK_KEL,MATCH(C2397,AK_NAMA,0)),"?"))</f>
        <v/>
      </c>
      <c r="P2397" s="102" t="str">
        <f aca="false">IF(D2397="","",IFERROR(INDEX(AK_KEL,MATCH(D2397,AK_NAMA,0)),"?"))</f>
        <v/>
      </c>
      <c r="Q2397" s="102" t="n">
        <f aca="false">N(Q2396)+IF(AND(N(E2397)&lt;&gt;0,K2397=TAHUN,N(J2397)&lt;=BLN,OR(C2397=BB_AKUN,D2397=BB_AKUN)),1,0)</f>
        <v>877</v>
      </c>
      <c r="R2397" s="104" t="str">
        <f aca="false">IF(OR(C2397&amp;D2397="",N(E2397)=0),"",IF(OR(O2397="?",P2397="?"),"⚠ akun tidak dikenal",IF(C2397=D2397,"⚠ debet = kredit","")))</f>
        <v/>
      </c>
    </row>
    <row r="2398" customFormat="false" ht="15" hidden="false" customHeight="false" outlineLevel="0" collapsed="false">
      <c r="A2398" s="5"/>
      <c r="B2398" s="83"/>
      <c r="C2398" s="5"/>
      <c r="D2398" s="5"/>
      <c r="E2398" s="44"/>
      <c r="F2398" s="5"/>
      <c r="G2398" s="5"/>
      <c r="H2398" s="5"/>
      <c r="I2398" s="5"/>
      <c r="J2398" s="102" t="str">
        <f aca="false">IF(B2398="","",MONTH(B2398))</f>
        <v/>
      </c>
      <c r="K2398" s="102" t="str">
        <f aca="false">IF(B2398="","",YEAR(B2398))</f>
        <v/>
      </c>
      <c r="L2398" s="102" t="str">
        <f aca="false">IF(N(E2398)=0,"",IF(COUNTIFS(AK_NAMA,C2398,AK_KAT,"KAS")+COUNTIFS(AK_NAMA,D2398,AK_KAT,"KAS")&lt;&gt;1,"",IF(COUNTIFS(AK_NAMA,C2398,AK_KAT,"KAS")=1,D2398,C2398)))</f>
        <v/>
      </c>
      <c r="M2398" s="103" t="n">
        <f aca="false">IF(L2398="",0,IF(L2398=D2398,E2398,-E2398))</f>
        <v>0</v>
      </c>
      <c r="N2398" s="102" t="str">
        <f aca="false">IF(L2398="","",IFERROR(INDEX(AK_BARIS,MATCH(L2398,AK_NAMA,0)),"?"))</f>
        <v/>
      </c>
      <c r="O2398" s="102" t="str">
        <f aca="false">IF(C2398="","",IFERROR(INDEX(AK_KEL,MATCH(C2398,AK_NAMA,0)),"?"))</f>
        <v/>
      </c>
      <c r="P2398" s="102" t="str">
        <f aca="false">IF(D2398="","",IFERROR(INDEX(AK_KEL,MATCH(D2398,AK_NAMA,0)),"?"))</f>
        <v/>
      </c>
      <c r="Q2398" s="102" t="n">
        <f aca="false">N(Q2397)+IF(AND(N(E2398)&lt;&gt;0,K2398=TAHUN,N(J2398)&lt;=BLN,OR(C2398=BB_AKUN,D2398=BB_AKUN)),1,0)</f>
        <v>877</v>
      </c>
      <c r="R2398" s="104" t="str">
        <f aca="false">IF(OR(C2398&amp;D2398="",N(E2398)=0),"",IF(OR(O2398="?",P2398="?"),"⚠ akun tidak dikenal",IF(C2398=D2398,"⚠ debet = kredit","")))</f>
        <v/>
      </c>
    </row>
    <row r="2399" customFormat="false" ht="15" hidden="false" customHeight="false" outlineLevel="0" collapsed="false">
      <c r="A2399" s="5"/>
      <c r="B2399" s="83"/>
      <c r="C2399" s="5"/>
      <c r="D2399" s="5"/>
      <c r="E2399" s="44"/>
      <c r="F2399" s="5"/>
      <c r="G2399" s="5"/>
      <c r="H2399" s="5"/>
      <c r="I2399" s="5"/>
      <c r="J2399" s="102" t="str">
        <f aca="false">IF(B2399="","",MONTH(B2399))</f>
        <v/>
      </c>
      <c r="K2399" s="102" t="str">
        <f aca="false">IF(B2399="","",YEAR(B2399))</f>
        <v/>
      </c>
      <c r="L2399" s="102" t="str">
        <f aca="false">IF(N(E2399)=0,"",IF(COUNTIFS(AK_NAMA,C2399,AK_KAT,"KAS")+COUNTIFS(AK_NAMA,D2399,AK_KAT,"KAS")&lt;&gt;1,"",IF(COUNTIFS(AK_NAMA,C2399,AK_KAT,"KAS")=1,D2399,C2399)))</f>
        <v/>
      </c>
      <c r="M2399" s="103" t="n">
        <f aca="false">IF(L2399="",0,IF(L2399=D2399,E2399,-E2399))</f>
        <v>0</v>
      </c>
      <c r="N2399" s="102" t="str">
        <f aca="false">IF(L2399="","",IFERROR(INDEX(AK_BARIS,MATCH(L2399,AK_NAMA,0)),"?"))</f>
        <v/>
      </c>
      <c r="O2399" s="102" t="str">
        <f aca="false">IF(C2399="","",IFERROR(INDEX(AK_KEL,MATCH(C2399,AK_NAMA,0)),"?"))</f>
        <v/>
      </c>
      <c r="P2399" s="102" t="str">
        <f aca="false">IF(D2399="","",IFERROR(INDEX(AK_KEL,MATCH(D2399,AK_NAMA,0)),"?"))</f>
        <v/>
      </c>
      <c r="Q2399" s="102" t="n">
        <f aca="false">N(Q2398)+IF(AND(N(E2399)&lt;&gt;0,K2399=TAHUN,N(J2399)&lt;=BLN,OR(C2399=BB_AKUN,D2399=BB_AKUN)),1,0)</f>
        <v>877</v>
      </c>
      <c r="R2399" s="104" t="str">
        <f aca="false">IF(OR(C2399&amp;D2399="",N(E2399)=0),"",IF(OR(O2399="?",P2399="?"),"⚠ akun tidak dikenal",IF(C2399=D2399,"⚠ debet = kredit","")))</f>
        <v/>
      </c>
    </row>
    <row r="2400" customFormat="false" ht="15" hidden="false" customHeight="false" outlineLevel="0" collapsed="false">
      <c r="A2400" s="5"/>
      <c r="B2400" s="83"/>
      <c r="C2400" s="5"/>
      <c r="D2400" s="5"/>
      <c r="E2400" s="44"/>
      <c r="F2400" s="5"/>
      <c r="G2400" s="5"/>
      <c r="H2400" s="5"/>
      <c r="I2400" s="5"/>
      <c r="J2400" s="102" t="str">
        <f aca="false">IF(B2400="","",MONTH(B2400))</f>
        <v/>
      </c>
      <c r="K2400" s="102" t="str">
        <f aca="false">IF(B2400="","",YEAR(B2400))</f>
        <v/>
      </c>
      <c r="L2400" s="102" t="str">
        <f aca="false">IF(N(E2400)=0,"",IF(COUNTIFS(AK_NAMA,C2400,AK_KAT,"KAS")+COUNTIFS(AK_NAMA,D2400,AK_KAT,"KAS")&lt;&gt;1,"",IF(COUNTIFS(AK_NAMA,C2400,AK_KAT,"KAS")=1,D2400,C2400)))</f>
        <v/>
      </c>
      <c r="M2400" s="103" t="n">
        <f aca="false">IF(L2400="",0,IF(L2400=D2400,E2400,-E2400))</f>
        <v>0</v>
      </c>
      <c r="N2400" s="102" t="str">
        <f aca="false">IF(L2400="","",IFERROR(INDEX(AK_BARIS,MATCH(L2400,AK_NAMA,0)),"?"))</f>
        <v/>
      </c>
      <c r="O2400" s="102" t="str">
        <f aca="false">IF(C2400="","",IFERROR(INDEX(AK_KEL,MATCH(C2400,AK_NAMA,0)),"?"))</f>
        <v/>
      </c>
      <c r="P2400" s="102" t="str">
        <f aca="false">IF(D2400="","",IFERROR(INDEX(AK_KEL,MATCH(D2400,AK_NAMA,0)),"?"))</f>
        <v/>
      </c>
      <c r="Q2400" s="102" t="n">
        <f aca="false">N(Q2399)+IF(AND(N(E2400)&lt;&gt;0,K2400=TAHUN,N(J2400)&lt;=BLN,OR(C2400=BB_AKUN,D2400=BB_AKUN)),1,0)</f>
        <v>877</v>
      </c>
      <c r="R2400" s="104" t="str">
        <f aca="false">IF(OR(C2400&amp;D2400="",N(E2400)=0),"",IF(OR(O2400="?",P2400="?"),"⚠ akun tidak dikenal",IF(C2400=D2400,"⚠ debet = kredit","")))</f>
        <v/>
      </c>
    </row>
    <row r="2401" customFormat="false" ht="15" hidden="false" customHeight="false" outlineLevel="0" collapsed="false">
      <c r="A2401" s="5"/>
      <c r="B2401" s="83"/>
      <c r="C2401" s="5"/>
      <c r="D2401" s="5"/>
      <c r="E2401" s="44"/>
      <c r="F2401" s="5"/>
      <c r="G2401" s="5"/>
      <c r="H2401" s="5"/>
      <c r="I2401" s="5"/>
      <c r="J2401" s="102" t="str">
        <f aca="false">IF(B2401="","",MONTH(B2401))</f>
        <v/>
      </c>
      <c r="K2401" s="102" t="str">
        <f aca="false">IF(B2401="","",YEAR(B2401))</f>
        <v/>
      </c>
      <c r="L2401" s="102" t="str">
        <f aca="false">IF(N(E2401)=0,"",IF(COUNTIFS(AK_NAMA,C2401,AK_KAT,"KAS")+COUNTIFS(AK_NAMA,D2401,AK_KAT,"KAS")&lt;&gt;1,"",IF(COUNTIFS(AK_NAMA,C2401,AK_KAT,"KAS")=1,D2401,C2401)))</f>
        <v/>
      </c>
      <c r="M2401" s="103" t="n">
        <f aca="false">IF(L2401="",0,IF(L2401=D2401,E2401,-E2401))</f>
        <v>0</v>
      </c>
      <c r="N2401" s="102" t="str">
        <f aca="false">IF(L2401="","",IFERROR(INDEX(AK_BARIS,MATCH(L2401,AK_NAMA,0)),"?"))</f>
        <v/>
      </c>
      <c r="O2401" s="102" t="str">
        <f aca="false">IF(C2401="","",IFERROR(INDEX(AK_KEL,MATCH(C2401,AK_NAMA,0)),"?"))</f>
        <v/>
      </c>
      <c r="P2401" s="102" t="str">
        <f aca="false">IF(D2401="","",IFERROR(INDEX(AK_KEL,MATCH(D2401,AK_NAMA,0)),"?"))</f>
        <v/>
      </c>
      <c r="Q2401" s="102" t="n">
        <f aca="false">N(Q2400)+IF(AND(N(E2401)&lt;&gt;0,K2401=TAHUN,N(J2401)&lt;=BLN,OR(C2401=BB_AKUN,D2401=BB_AKUN)),1,0)</f>
        <v>877</v>
      </c>
      <c r="R2401" s="104" t="str">
        <f aca="false">IF(OR(C2401&amp;D2401="",N(E2401)=0),"",IF(OR(O2401="?",P2401="?"),"⚠ akun tidak dikenal",IF(C2401=D2401,"⚠ debet = kredit","")))</f>
        <v/>
      </c>
    </row>
    <row r="2402" customFormat="false" ht="15" hidden="false" customHeight="false" outlineLevel="0" collapsed="false">
      <c r="A2402" s="5"/>
      <c r="B2402" s="83"/>
      <c r="C2402" s="5"/>
      <c r="D2402" s="5"/>
      <c r="E2402" s="44"/>
      <c r="F2402" s="5"/>
      <c r="G2402" s="5"/>
      <c r="H2402" s="5"/>
      <c r="I2402" s="5"/>
      <c r="J2402" s="102" t="str">
        <f aca="false">IF(B2402="","",MONTH(B2402))</f>
        <v/>
      </c>
      <c r="K2402" s="102" t="str">
        <f aca="false">IF(B2402="","",YEAR(B2402))</f>
        <v/>
      </c>
      <c r="L2402" s="102" t="str">
        <f aca="false">IF(N(E2402)=0,"",IF(COUNTIFS(AK_NAMA,C2402,AK_KAT,"KAS")+COUNTIFS(AK_NAMA,D2402,AK_KAT,"KAS")&lt;&gt;1,"",IF(COUNTIFS(AK_NAMA,C2402,AK_KAT,"KAS")=1,D2402,C2402)))</f>
        <v/>
      </c>
      <c r="M2402" s="103" t="n">
        <f aca="false">IF(L2402="",0,IF(L2402=D2402,E2402,-E2402))</f>
        <v>0</v>
      </c>
      <c r="N2402" s="102" t="str">
        <f aca="false">IF(L2402="","",IFERROR(INDEX(AK_BARIS,MATCH(L2402,AK_NAMA,0)),"?"))</f>
        <v/>
      </c>
      <c r="O2402" s="102" t="str">
        <f aca="false">IF(C2402="","",IFERROR(INDEX(AK_KEL,MATCH(C2402,AK_NAMA,0)),"?"))</f>
        <v/>
      </c>
      <c r="P2402" s="102" t="str">
        <f aca="false">IF(D2402="","",IFERROR(INDEX(AK_KEL,MATCH(D2402,AK_NAMA,0)),"?"))</f>
        <v/>
      </c>
      <c r="Q2402" s="102" t="n">
        <f aca="false">N(Q2401)+IF(AND(N(E2402)&lt;&gt;0,K2402=TAHUN,N(J2402)&lt;=BLN,OR(C2402=BB_AKUN,D2402=BB_AKUN)),1,0)</f>
        <v>877</v>
      </c>
      <c r="R2402" s="104" t="str">
        <f aca="false">IF(OR(C2402&amp;D2402="",N(E2402)=0),"",IF(OR(O2402="?",P2402="?"),"⚠ akun tidak dikenal",IF(C2402=D2402,"⚠ debet = kredit","")))</f>
        <v/>
      </c>
    </row>
    <row r="2403" customFormat="false" ht="15" hidden="false" customHeight="false" outlineLevel="0" collapsed="false">
      <c r="A2403" s="5"/>
      <c r="B2403" s="83"/>
      <c r="C2403" s="5"/>
      <c r="D2403" s="5"/>
      <c r="E2403" s="44"/>
      <c r="F2403" s="5"/>
      <c r="G2403" s="5"/>
      <c r="H2403" s="5"/>
      <c r="I2403" s="5"/>
      <c r="J2403" s="102" t="str">
        <f aca="false">IF(B2403="","",MONTH(B2403))</f>
        <v/>
      </c>
      <c r="K2403" s="102" t="str">
        <f aca="false">IF(B2403="","",YEAR(B2403))</f>
        <v/>
      </c>
      <c r="L2403" s="102" t="str">
        <f aca="false">IF(N(E2403)=0,"",IF(COUNTIFS(AK_NAMA,C2403,AK_KAT,"KAS")+COUNTIFS(AK_NAMA,D2403,AK_KAT,"KAS")&lt;&gt;1,"",IF(COUNTIFS(AK_NAMA,C2403,AK_KAT,"KAS")=1,D2403,C2403)))</f>
        <v/>
      </c>
      <c r="M2403" s="103" t="n">
        <f aca="false">IF(L2403="",0,IF(L2403=D2403,E2403,-E2403))</f>
        <v>0</v>
      </c>
      <c r="N2403" s="102" t="str">
        <f aca="false">IF(L2403="","",IFERROR(INDEX(AK_BARIS,MATCH(L2403,AK_NAMA,0)),"?"))</f>
        <v/>
      </c>
      <c r="O2403" s="102" t="str">
        <f aca="false">IF(C2403="","",IFERROR(INDEX(AK_KEL,MATCH(C2403,AK_NAMA,0)),"?"))</f>
        <v/>
      </c>
      <c r="P2403" s="102" t="str">
        <f aca="false">IF(D2403="","",IFERROR(INDEX(AK_KEL,MATCH(D2403,AK_NAMA,0)),"?"))</f>
        <v/>
      </c>
      <c r="Q2403" s="102" t="n">
        <f aca="false">N(Q2402)+IF(AND(N(E2403)&lt;&gt;0,K2403=TAHUN,N(J2403)&lt;=BLN,OR(C2403=BB_AKUN,D2403=BB_AKUN)),1,0)</f>
        <v>877</v>
      </c>
      <c r="R2403" s="104" t="str">
        <f aca="false">IF(OR(C2403&amp;D2403="",N(E2403)=0),"",IF(OR(O2403="?",P2403="?"),"⚠ akun tidak dikenal",IF(C2403=D2403,"⚠ debet = kredit","")))</f>
        <v/>
      </c>
    </row>
    <row r="2404" customFormat="false" ht="15" hidden="false" customHeight="false" outlineLevel="0" collapsed="false">
      <c r="A2404" s="5"/>
      <c r="B2404" s="83"/>
      <c r="C2404" s="5"/>
      <c r="D2404" s="5"/>
      <c r="E2404" s="44"/>
      <c r="F2404" s="5"/>
      <c r="G2404" s="5"/>
      <c r="H2404" s="5"/>
      <c r="I2404" s="5"/>
      <c r="J2404" s="102" t="str">
        <f aca="false">IF(B2404="","",MONTH(B2404))</f>
        <v/>
      </c>
      <c r="K2404" s="102" t="str">
        <f aca="false">IF(B2404="","",YEAR(B2404))</f>
        <v/>
      </c>
      <c r="L2404" s="102" t="str">
        <f aca="false">IF(N(E2404)=0,"",IF(COUNTIFS(AK_NAMA,C2404,AK_KAT,"KAS")+COUNTIFS(AK_NAMA,D2404,AK_KAT,"KAS")&lt;&gt;1,"",IF(COUNTIFS(AK_NAMA,C2404,AK_KAT,"KAS")=1,D2404,C2404)))</f>
        <v/>
      </c>
      <c r="M2404" s="103" t="n">
        <f aca="false">IF(L2404="",0,IF(L2404=D2404,E2404,-E2404))</f>
        <v>0</v>
      </c>
      <c r="N2404" s="102" t="str">
        <f aca="false">IF(L2404="","",IFERROR(INDEX(AK_BARIS,MATCH(L2404,AK_NAMA,0)),"?"))</f>
        <v/>
      </c>
      <c r="O2404" s="102" t="str">
        <f aca="false">IF(C2404="","",IFERROR(INDEX(AK_KEL,MATCH(C2404,AK_NAMA,0)),"?"))</f>
        <v/>
      </c>
      <c r="P2404" s="102" t="str">
        <f aca="false">IF(D2404="","",IFERROR(INDEX(AK_KEL,MATCH(D2404,AK_NAMA,0)),"?"))</f>
        <v/>
      </c>
      <c r="Q2404" s="102" t="n">
        <f aca="false">N(Q2403)+IF(AND(N(E2404)&lt;&gt;0,K2404=TAHUN,N(J2404)&lt;=BLN,OR(C2404=BB_AKUN,D2404=BB_AKUN)),1,0)</f>
        <v>877</v>
      </c>
      <c r="R2404" s="104" t="str">
        <f aca="false">IF(OR(C2404&amp;D2404="",N(E2404)=0),"",IF(OR(O2404="?",P2404="?"),"⚠ akun tidak dikenal",IF(C2404=D2404,"⚠ debet = kredit","")))</f>
        <v/>
      </c>
    </row>
    <row r="2405" customFormat="false" ht="15" hidden="false" customHeight="false" outlineLevel="0" collapsed="false">
      <c r="A2405" s="5"/>
      <c r="B2405" s="83"/>
      <c r="C2405" s="5"/>
      <c r="D2405" s="5"/>
      <c r="E2405" s="44"/>
      <c r="F2405" s="5"/>
      <c r="G2405" s="5"/>
      <c r="H2405" s="5"/>
      <c r="I2405" s="5"/>
      <c r="J2405" s="102" t="str">
        <f aca="false">IF(B2405="","",MONTH(B2405))</f>
        <v/>
      </c>
      <c r="K2405" s="102" t="str">
        <f aca="false">IF(B2405="","",YEAR(B2405))</f>
        <v/>
      </c>
      <c r="L2405" s="102" t="str">
        <f aca="false">IF(N(E2405)=0,"",IF(COUNTIFS(AK_NAMA,C2405,AK_KAT,"KAS")+COUNTIFS(AK_NAMA,D2405,AK_KAT,"KAS")&lt;&gt;1,"",IF(COUNTIFS(AK_NAMA,C2405,AK_KAT,"KAS")=1,D2405,C2405)))</f>
        <v/>
      </c>
      <c r="M2405" s="103" t="n">
        <f aca="false">IF(L2405="",0,IF(L2405=D2405,E2405,-E2405))</f>
        <v>0</v>
      </c>
      <c r="N2405" s="102" t="str">
        <f aca="false">IF(L2405="","",IFERROR(INDEX(AK_BARIS,MATCH(L2405,AK_NAMA,0)),"?"))</f>
        <v/>
      </c>
      <c r="O2405" s="102" t="str">
        <f aca="false">IF(C2405="","",IFERROR(INDEX(AK_KEL,MATCH(C2405,AK_NAMA,0)),"?"))</f>
        <v/>
      </c>
      <c r="P2405" s="102" t="str">
        <f aca="false">IF(D2405="","",IFERROR(INDEX(AK_KEL,MATCH(D2405,AK_NAMA,0)),"?"))</f>
        <v/>
      </c>
      <c r="Q2405" s="102" t="n">
        <f aca="false">N(Q2404)+IF(AND(N(E2405)&lt;&gt;0,K2405=TAHUN,N(J2405)&lt;=BLN,OR(C2405=BB_AKUN,D2405=BB_AKUN)),1,0)</f>
        <v>877</v>
      </c>
      <c r="R2405" s="104" t="str">
        <f aca="false">IF(OR(C2405&amp;D2405="",N(E2405)=0),"",IF(OR(O2405="?",P2405="?"),"⚠ akun tidak dikenal",IF(C2405=D2405,"⚠ debet = kredit","")))</f>
        <v/>
      </c>
    </row>
    <row r="2406" customFormat="false" ht="15" hidden="false" customHeight="false" outlineLevel="0" collapsed="false">
      <c r="A2406" s="5"/>
      <c r="B2406" s="83"/>
      <c r="C2406" s="5"/>
      <c r="D2406" s="5"/>
      <c r="E2406" s="44"/>
      <c r="F2406" s="5"/>
      <c r="G2406" s="5"/>
      <c r="H2406" s="5"/>
      <c r="I2406" s="5"/>
      <c r="J2406" s="102" t="str">
        <f aca="false">IF(B2406="","",MONTH(B2406))</f>
        <v/>
      </c>
      <c r="K2406" s="102" t="str">
        <f aca="false">IF(B2406="","",YEAR(B2406))</f>
        <v/>
      </c>
      <c r="L2406" s="102" t="str">
        <f aca="false">IF(N(E2406)=0,"",IF(COUNTIFS(AK_NAMA,C2406,AK_KAT,"KAS")+COUNTIFS(AK_NAMA,D2406,AK_KAT,"KAS")&lt;&gt;1,"",IF(COUNTIFS(AK_NAMA,C2406,AK_KAT,"KAS")=1,D2406,C2406)))</f>
        <v/>
      </c>
      <c r="M2406" s="103" t="n">
        <f aca="false">IF(L2406="",0,IF(L2406=D2406,E2406,-E2406))</f>
        <v>0</v>
      </c>
      <c r="N2406" s="102" t="str">
        <f aca="false">IF(L2406="","",IFERROR(INDEX(AK_BARIS,MATCH(L2406,AK_NAMA,0)),"?"))</f>
        <v/>
      </c>
      <c r="O2406" s="102" t="str">
        <f aca="false">IF(C2406="","",IFERROR(INDEX(AK_KEL,MATCH(C2406,AK_NAMA,0)),"?"))</f>
        <v/>
      </c>
      <c r="P2406" s="102" t="str">
        <f aca="false">IF(D2406="","",IFERROR(INDEX(AK_KEL,MATCH(D2406,AK_NAMA,0)),"?"))</f>
        <v/>
      </c>
      <c r="Q2406" s="102" t="n">
        <f aca="false">N(Q2405)+IF(AND(N(E2406)&lt;&gt;0,K2406=TAHUN,N(J2406)&lt;=BLN,OR(C2406=BB_AKUN,D2406=BB_AKUN)),1,0)</f>
        <v>877</v>
      </c>
      <c r="R2406" s="104" t="str">
        <f aca="false">IF(OR(C2406&amp;D2406="",N(E2406)=0),"",IF(OR(O2406="?",P2406="?"),"⚠ akun tidak dikenal",IF(C2406=D2406,"⚠ debet = kredit","")))</f>
        <v/>
      </c>
    </row>
    <row r="2407" customFormat="false" ht="15" hidden="false" customHeight="false" outlineLevel="0" collapsed="false">
      <c r="A2407" s="5"/>
      <c r="B2407" s="83"/>
      <c r="C2407" s="5"/>
      <c r="D2407" s="5"/>
      <c r="E2407" s="44"/>
      <c r="F2407" s="5"/>
      <c r="G2407" s="5"/>
      <c r="H2407" s="5"/>
      <c r="I2407" s="5"/>
      <c r="J2407" s="102" t="str">
        <f aca="false">IF(B2407="","",MONTH(B2407))</f>
        <v/>
      </c>
      <c r="K2407" s="102" t="str">
        <f aca="false">IF(B2407="","",YEAR(B2407))</f>
        <v/>
      </c>
      <c r="L2407" s="102" t="str">
        <f aca="false">IF(N(E2407)=0,"",IF(COUNTIFS(AK_NAMA,C2407,AK_KAT,"KAS")+COUNTIFS(AK_NAMA,D2407,AK_KAT,"KAS")&lt;&gt;1,"",IF(COUNTIFS(AK_NAMA,C2407,AK_KAT,"KAS")=1,D2407,C2407)))</f>
        <v/>
      </c>
      <c r="M2407" s="103" t="n">
        <f aca="false">IF(L2407="",0,IF(L2407=D2407,E2407,-E2407))</f>
        <v>0</v>
      </c>
      <c r="N2407" s="102" t="str">
        <f aca="false">IF(L2407="","",IFERROR(INDEX(AK_BARIS,MATCH(L2407,AK_NAMA,0)),"?"))</f>
        <v/>
      </c>
      <c r="O2407" s="102" t="str">
        <f aca="false">IF(C2407="","",IFERROR(INDEX(AK_KEL,MATCH(C2407,AK_NAMA,0)),"?"))</f>
        <v/>
      </c>
      <c r="P2407" s="102" t="str">
        <f aca="false">IF(D2407="","",IFERROR(INDEX(AK_KEL,MATCH(D2407,AK_NAMA,0)),"?"))</f>
        <v/>
      </c>
      <c r="Q2407" s="102" t="n">
        <f aca="false">N(Q2406)+IF(AND(N(E2407)&lt;&gt;0,K2407=TAHUN,N(J2407)&lt;=BLN,OR(C2407=BB_AKUN,D2407=BB_AKUN)),1,0)</f>
        <v>877</v>
      </c>
      <c r="R2407" s="104" t="str">
        <f aca="false">IF(OR(C2407&amp;D2407="",N(E2407)=0),"",IF(OR(O2407="?",P2407="?"),"⚠ akun tidak dikenal",IF(C2407=D2407,"⚠ debet = kredit","")))</f>
        <v/>
      </c>
    </row>
    <row r="2408" customFormat="false" ht="15" hidden="false" customHeight="false" outlineLevel="0" collapsed="false">
      <c r="A2408" s="5"/>
      <c r="B2408" s="83"/>
      <c r="C2408" s="5"/>
      <c r="D2408" s="5"/>
      <c r="E2408" s="44"/>
      <c r="F2408" s="5"/>
      <c r="G2408" s="5"/>
      <c r="H2408" s="5"/>
      <c r="I2408" s="5"/>
      <c r="J2408" s="102" t="str">
        <f aca="false">IF(B2408="","",MONTH(B2408))</f>
        <v/>
      </c>
      <c r="K2408" s="102" t="str">
        <f aca="false">IF(B2408="","",YEAR(B2408))</f>
        <v/>
      </c>
      <c r="L2408" s="102" t="str">
        <f aca="false">IF(N(E2408)=0,"",IF(COUNTIFS(AK_NAMA,C2408,AK_KAT,"KAS")+COUNTIFS(AK_NAMA,D2408,AK_KAT,"KAS")&lt;&gt;1,"",IF(COUNTIFS(AK_NAMA,C2408,AK_KAT,"KAS")=1,D2408,C2408)))</f>
        <v/>
      </c>
      <c r="M2408" s="103" t="n">
        <f aca="false">IF(L2408="",0,IF(L2408=D2408,E2408,-E2408))</f>
        <v>0</v>
      </c>
      <c r="N2408" s="102" t="str">
        <f aca="false">IF(L2408="","",IFERROR(INDEX(AK_BARIS,MATCH(L2408,AK_NAMA,0)),"?"))</f>
        <v/>
      </c>
      <c r="O2408" s="102" t="str">
        <f aca="false">IF(C2408="","",IFERROR(INDEX(AK_KEL,MATCH(C2408,AK_NAMA,0)),"?"))</f>
        <v/>
      </c>
      <c r="P2408" s="102" t="str">
        <f aca="false">IF(D2408="","",IFERROR(INDEX(AK_KEL,MATCH(D2408,AK_NAMA,0)),"?"))</f>
        <v/>
      </c>
      <c r="Q2408" s="102" t="n">
        <f aca="false">N(Q2407)+IF(AND(N(E2408)&lt;&gt;0,K2408=TAHUN,N(J2408)&lt;=BLN,OR(C2408=BB_AKUN,D2408=BB_AKUN)),1,0)</f>
        <v>877</v>
      </c>
      <c r="R2408" s="104" t="str">
        <f aca="false">IF(OR(C2408&amp;D2408="",N(E2408)=0),"",IF(OR(O2408="?",P2408="?"),"⚠ akun tidak dikenal",IF(C2408=D2408,"⚠ debet = kredit","")))</f>
        <v/>
      </c>
    </row>
    <row r="2409" customFormat="false" ht="15" hidden="false" customHeight="false" outlineLevel="0" collapsed="false">
      <c r="A2409" s="5"/>
      <c r="B2409" s="83"/>
      <c r="C2409" s="5"/>
      <c r="D2409" s="5"/>
      <c r="E2409" s="44"/>
      <c r="F2409" s="5"/>
      <c r="G2409" s="5"/>
      <c r="H2409" s="5"/>
      <c r="I2409" s="5"/>
      <c r="J2409" s="102" t="str">
        <f aca="false">IF(B2409="","",MONTH(B2409))</f>
        <v/>
      </c>
      <c r="K2409" s="102" t="str">
        <f aca="false">IF(B2409="","",YEAR(B2409))</f>
        <v/>
      </c>
      <c r="L2409" s="102" t="str">
        <f aca="false">IF(N(E2409)=0,"",IF(COUNTIFS(AK_NAMA,C2409,AK_KAT,"KAS")+COUNTIFS(AK_NAMA,D2409,AK_KAT,"KAS")&lt;&gt;1,"",IF(COUNTIFS(AK_NAMA,C2409,AK_KAT,"KAS")=1,D2409,C2409)))</f>
        <v/>
      </c>
      <c r="M2409" s="103" t="n">
        <f aca="false">IF(L2409="",0,IF(L2409=D2409,E2409,-E2409))</f>
        <v>0</v>
      </c>
      <c r="N2409" s="102" t="str">
        <f aca="false">IF(L2409="","",IFERROR(INDEX(AK_BARIS,MATCH(L2409,AK_NAMA,0)),"?"))</f>
        <v/>
      </c>
      <c r="O2409" s="102" t="str">
        <f aca="false">IF(C2409="","",IFERROR(INDEX(AK_KEL,MATCH(C2409,AK_NAMA,0)),"?"))</f>
        <v/>
      </c>
      <c r="P2409" s="102" t="str">
        <f aca="false">IF(D2409="","",IFERROR(INDEX(AK_KEL,MATCH(D2409,AK_NAMA,0)),"?"))</f>
        <v/>
      </c>
      <c r="Q2409" s="102" t="n">
        <f aca="false">N(Q2408)+IF(AND(N(E2409)&lt;&gt;0,K2409=TAHUN,N(J2409)&lt;=BLN,OR(C2409=BB_AKUN,D2409=BB_AKUN)),1,0)</f>
        <v>877</v>
      </c>
      <c r="R2409" s="104" t="str">
        <f aca="false">IF(OR(C2409&amp;D2409="",N(E2409)=0),"",IF(OR(O2409="?",P2409="?"),"⚠ akun tidak dikenal",IF(C2409=D2409,"⚠ debet = kredit","")))</f>
        <v/>
      </c>
    </row>
    <row r="2410" customFormat="false" ht="15" hidden="false" customHeight="false" outlineLevel="0" collapsed="false">
      <c r="A2410" s="5"/>
      <c r="B2410" s="83"/>
      <c r="C2410" s="5"/>
      <c r="D2410" s="5"/>
      <c r="E2410" s="44"/>
      <c r="F2410" s="5"/>
      <c r="G2410" s="5"/>
      <c r="H2410" s="5"/>
      <c r="I2410" s="5"/>
      <c r="J2410" s="102" t="str">
        <f aca="false">IF(B2410="","",MONTH(B2410))</f>
        <v/>
      </c>
      <c r="K2410" s="102" t="str">
        <f aca="false">IF(B2410="","",YEAR(B2410))</f>
        <v/>
      </c>
      <c r="L2410" s="102" t="str">
        <f aca="false">IF(N(E2410)=0,"",IF(COUNTIFS(AK_NAMA,C2410,AK_KAT,"KAS")+COUNTIFS(AK_NAMA,D2410,AK_KAT,"KAS")&lt;&gt;1,"",IF(COUNTIFS(AK_NAMA,C2410,AK_KAT,"KAS")=1,D2410,C2410)))</f>
        <v/>
      </c>
      <c r="M2410" s="103" t="n">
        <f aca="false">IF(L2410="",0,IF(L2410=D2410,E2410,-E2410))</f>
        <v>0</v>
      </c>
      <c r="N2410" s="102" t="str">
        <f aca="false">IF(L2410="","",IFERROR(INDEX(AK_BARIS,MATCH(L2410,AK_NAMA,0)),"?"))</f>
        <v/>
      </c>
      <c r="O2410" s="102" t="str">
        <f aca="false">IF(C2410="","",IFERROR(INDEX(AK_KEL,MATCH(C2410,AK_NAMA,0)),"?"))</f>
        <v/>
      </c>
      <c r="P2410" s="102" t="str">
        <f aca="false">IF(D2410="","",IFERROR(INDEX(AK_KEL,MATCH(D2410,AK_NAMA,0)),"?"))</f>
        <v/>
      </c>
      <c r="Q2410" s="102" t="n">
        <f aca="false">N(Q2409)+IF(AND(N(E2410)&lt;&gt;0,K2410=TAHUN,N(J2410)&lt;=BLN,OR(C2410=BB_AKUN,D2410=BB_AKUN)),1,0)</f>
        <v>877</v>
      </c>
      <c r="R2410" s="104" t="str">
        <f aca="false">IF(OR(C2410&amp;D2410="",N(E2410)=0),"",IF(OR(O2410="?",P2410="?"),"⚠ akun tidak dikenal",IF(C2410=D2410,"⚠ debet = kredit","")))</f>
        <v/>
      </c>
    </row>
    <row r="2411" customFormat="false" ht="15" hidden="false" customHeight="false" outlineLevel="0" collapsed="false">
      <c r="A2411" s="5"/>
      <c r="B2411" s="83"/>
      <c r="C2411" s="5"/>
      <c r="D2411" s="5"/>
      <c r="E2411" s="44"/>
      <c r="F2411" s="5"/>
      <c r="G2411" s="5"/>
      <c r="H2411" s="5"/>
      <c r="I2411" s="5"/>
      <c r="J2411" s="102" t="str">
        <f aca="false">IF(B2411="","",MONTH(B2411))</f>
        <v/>
      </c>
      <c r="K2411" s="102" t="str">
        <f aca="false">IF(B2411="","",YEAR(B2411))</f>
        <v/>
      </c>
      <c r="L2411" s="102" t="str">
        <f aca="false">IF(N(E2411)=0,"",IF(COUNTIFS(AK_NAMA,C2411,AK_KAT,"KAS")+COUNTIFS(AK_NAMA,D2411,AK_KAT,"KAS")&lt;&gt;1,"",IF(COUNTIFS(AK_NAMA,C2411,AK_KAT,"KAS")=1,D2411,C2411)))</f>
        <v/>
      </c>
      <c r="M2411" s="103" t="n">
        <f aca="false">IF(L2411="",0,IF(L2411=D2411,E2411,-E2411))</f>
        <v>0</v>
      </c>
      <c r="N2411" s="102" t="str">
        <f aca="false">IF(L2411="","",IFERROR(INDEX(AK_BARIS,MATCH(L2411,AK_NAMA,0)),"?"))</f>
        <v/>
      </c>
      <c r="O2411" s="102" t="str">
        <f aca="false">IF(C2411="","",IFERROR(INDEX(AK_KEL,MATCH(C2411,AK_NAMA,0)),"?"))</f>
        <v/>
      </c>
      <c r="P2411" s="102" t="str">
        <f aca="false">IF(D2411="","",IFERROR(INDEX(AK_KEL,MATCH(D2411,AK_NAMA,0)),"?"))</f>
        <v/>
      </c>
      <c r="Q2411" s="102" t="n">
        <f aca="false">N(Q2410)+IF(AND(N(E2411)&lt;&gt;0,K2411=TAHUN,N(J2411)&lt;=BLN,OR(C2411=BB_AKUN,D2411=BB_AKUN)),1,0)</f>
        <v>877</v>
      </c>
      <c r="R2411" s="104" t="str">
        <f aca="false">IF(OR(C2411&amp;D2411="",N(E2411)=0),"",IF(OR(O2411="?",P2411="?"),"⚠ akun tidak dikenal",IF(C2411=D2411,"⚠ debet = kredit","")))</f>
        <v/>
      </c>
    </row>
    <row r="2412" customFormat="false" ht="15" hidden="false" customHeight="false" outlineLevel="0" collapsed="false">
      <c r="A2412" s="5"/>
      <c r="B2412" s="83"/>
      <c r="C2412" s="5"/>
      <c r="D2412" s="5"/>
      <c r="E2412" s="44"/>
      <c r="F2412" s="5"/>
      <c r="G2412" s="5"/>
      <c r="H2412" s="5"/>
      <c r="I2412" s="5"/>
      <c r="J2412" s="102" t="str">
        <f aca="false">IF(B2412="","",MONTH(B2412))</f>
        <v/>
      </c>
      <c r="K2412" s="102" t="str">
        <f aca="false">IF(B2412="","",YEAR(B2412))</f>
        <v/>
      </c>
      <c r="L2412" s="102" t="str">
        <f aca="false">IF(N(E2412)=0,"",IF(COUNTIFS(AK_NAMA,C2412,AK_KAT,"KAS")+COUNTIFS(AK_NAMA,D2412,AK_KAT,"KAS")&lt;&gt;1,"",IF(COUNTIFS(AK_NAMA,C2412,AK_KAT,"KAS")=1,D2412,C2412)))</f>
        <v/>
      </c>
      <c r="M2412" s="103" t="n">
        <f aca="false">IF(L2412="",0,IF(L2412=D2412,E2412,-E2412))</f>
        <v>0</v>
      </c>
      <c r="N2412" s="102" t="str">
        <f aca="false">IF(L2412="","",IFERROR(INDEX(AK_BARIS,MATCH(L2412,AK_NAMA,0)),"?"))</f>
        <v/>
      </c>
      <c r="O2412" s="102" t="str">
        <f aca="false">IF(C2412="","",IFERROR(INDEX(AK_KEL,MATCH(C2412,AK_NAMA,0)),"?"))</f>
        <v/>
      </c>
      <c r="P2412" s="102" t="str">
        <f aca="false">IF(D2412="","",IFERROR(INDEX(AK_KEL,MATCH(D2412,AK_NAMA,0)),"?"))</f>
        <v/>
      </c>
      <c r="Q2412" s="102" t="n">
        <f aca="false">N(Q2411)+IF(AND(N(E2412)&lt;&gt;0,K2412=TAHUN,N(J2412)&lt;=BLN,OR(C2412=BB_AKUN,D2412=BB_AKUN)),1,0)</f>
        <v>877</v>
      </c>
      <c r="R2412" s="104" t="str">
        <f aca="false">IF(OR(C2412&amp;D2412="",N(E2412)=0),"",IF(OR(O2412="?",P2412="?"),"⚠ akun tidak dikenal",IF(C2412=D2412,"⚠ debet = kredit","")))</f>
        <v/>
      </c>
    </row>
    <row r="2413" customFormat="false" ht="15" hidden="false" customHeight="false" outlineLevel="0" collapsed="false">
      <c r="A2413" s="5"/>
      <c r="B2413" s="83"/>
      <c r="C2413" s="5"/>
      <c r="D2413" s="5"/>
      <c r="E2413" s="44"/>
      <c r="F2413" s="5"/>
      <c r="G2413" s="5"/>
      <c r="H2413" s="5"/>
      <c r="I2413" s="5"/>
      <c r="J2413" s="102" t="str">
        <f aca="false">IF(B2413="","",MONTH(B2413))</f>
        <v/>
      </c>
      <c r="K2413" s="102" t="str">
        <f aca="false">IF(B2413="","",YEAR(B2413))</f>
        <v/>
      </c>
      <c r="L2413" s="102" t="str">
        <f aca="false">IF(N(E2413)=0,"",IF(COUNTIFS(AK_NAMA,C2413,AK_KAT,"KAS")+COUNTIFS(AK_NAMA,D2413,AK_KAT,"KAS")&lt;&gt;1,"",IF(COUNTIFS(AK_NAMA,C2413,AK_KAT,"KAS")=1,D2413,C2413)))</f>
        <v/>
      </c>
      <c r="M2413" s="103" t="n">
        <f aca="false">IF(L2413="",0,IF(L2413=D2413,E2413,-E2413))</f>
        <v>0</v>
      </c>
      <c r="N2413" s="102" t="str">
        <f aca="false">IF(L2413="","",IFERROR(INDEX(AK_BARIS,MATCH(L2413,AK_NAMA,0)),"?"))</f>
        <v/>
      </c>
      <c r="O2413" s="102" t="str">
        <f aca="false">IF(C2413="","",IFERROR(INDEX(AK_KEL,MATCH(C2413,AK_NAMA,0)),"?"))</f>
        <v/>
      </c>
      <c r="P2413" s="102" t="str">
        <f aca="false">IF(D2413="","",IFERROR(INDEX(AK_KEL,MATCH(D2413,AK_NAMA,0)),"?"))</f>
        <v/>
      </c>
      <c r="Q2413" s="102" t="n">
        <f aca="false">N(Q2412)+IF(AND(N(E2413)&lt;&gt;0,K2413=TAHUN,N(J2413)&lt;=BLN,OR(C2413=BB_AKUN,D2413=BB_AKUN)),1,0)</f>
        <v>877</v>
      </c>
      <c r="R2413" s="104" t="str">
        <f aca="false">IF(OR(C2413&amp;D2413="",N(E2413)=0),"",IF(OR(O2413="?",P2413="?"),"⚠ akun tidak dikenal",IF(C2413=D2413,"⚠ debet = kredit","")))</f>
        <v/>
      </c>
    </row>
    <row r="2414" customFormat="false" ht="15" hidden="false" customHeight="false" outlineLevel="0" collapsed="false">
      <c r="A2414" s="5"/>
      <c r="B2414" s="83"/>
      <c r="C2414" s="5"/>
      <c r="D2414" s="5"/>
      <c r="E2414" s="44"/>
      <c r="F2414" s="5"/>
      <c r="G2414" s="5"/>
      <c r="H2414" s="5"/>
      <c r="I2414" s="5"/>
      <c r="J2414" s="102" t="str">
        <f aca="false">IF(B2414="","",MONTH(B2414))</f>
        <v/>
      </c>
      <c r="K2414" s="102" t="str">
        <f aca="false">IF(B2414="","",YEAR(B2414))</f>
        <v/>
      </c>
      <c r="L2414" s="102" t="str">
        <f aca="false">IF(N(E2414)=0,"",IF(COUNTIFS(AK_NAMA,C2414,AK_KAT,"KAS")+COUNTIFS(AK_NAMA,D2414,AK_KAT,"KAS")&lt;&gt;1,"",IF(COUNTIFS(AK_NAMA,C2414,AK_KAT,"KAS")=1,D2414,C2414)))</f>
        <v/>
      </c>
      <c r="M2414" s="103" t="n">
        <f aca="false">IF(L2414="",0,IF(L2414=D2414,E2414,-E2414))</f>
        <v>0</v>
      </c>
      <c r="N2414" s="102" t="str">
        <f aca="false">IF(L2414="","",IFERROR(INDEX(AK_BARIS,MATCH(L2414,AK_NAMA,0)),"?"))</f>
        <v/>
      </c>
      <c r="O2414" s="102" t="str">
        <f aca="false">IF(C2414="","",IFERROR(INDEX(AK_KEL,MATCH(C2414,AK_NAMA,0)),"?"))</f>
        <v/>
      </c>
      <c r="P2414" s="102" t="str">
        <f aca="false">IF(D2414="","",IFERROR(INDEX(AK_KEL,MATCH(D2414,AK_NAMA,0)),"?"))</f>
        <v/>
      </c>
      <c r="Q2414" s="102" t="n">
        <f aca="false">N(Q2413)+IF(AND(N(E2414)&lt;&gt;0,K2414=TAHUN,N(J2414)&lt;=BLN,OR(C2414=BB_AKUN,D2414=BB_AKUN)),1,0)</f>
        <v>877</v>
      </c>
      <c r="R2414" s="104" t="str">
        <f aca="false">IF(OR(C2414&amp;D2414="",N(E2414)=0),"",IF(OR(O2414="?",P2414="?"),"⚠ akun tidak dikenal",IF(C2414=D2414,"⚠ debet = kredit","")))</f>
        <v/>
      </c>
    </row>
    <row r="2415" customFormat="false" ht="15" hidden="false" customHeight="false" outlineLevel="0" collapsed="false">
      <c r="A2415" s="5"/>
      <c r="B2415" s="83"/>
      <c r="C2415" s="5"/>
      <c r="D2415" s="5"/>
      <c r="E2415" s="44"/>
      <c r="F2415" s="5"/>
      <c r="G2415" s="5"/>
      <c r="H2415" s="5"/>
      <c r="I2415" s="5"/>
      <c r="J2415" s="102" t="str">
        <f aca="false">IF(B2415="","",MONTH(B2415))</f>
        <v/>
      </c>
      <c r="K2415" s="102" t="str">
        <f aca="false">IF(B2415="","",YEAR(B2415))</f>
        <v/>
      </c>
      <c r="L2415" s="102" t="str">
        <f aca="false">IF(N(E2415)=0,"",IF(COUNTIFS(AK_NAMA,C2415,AK_KAT,"KAS")+COUNTIFS(AK_NAMA,D2415,AK_KAT,"KAS")&lt;&gt;1,"",IF(COUNTIFS(AK_NAMA,C2415,AK_KAT,"KAS")=1,D2415,C2415)))</f>
        <v/>
      </c>
      <c r="M2415" s="103" t="n">
        <f aca="false">IF(L2415="",0,IF(L2415=D2415,E2415,-E2415))</f>
        <v>0</v>
      </c>
      <c r="N2415" s="102" t="str">
        <f aca="false">IF(L2415="","",IFERROR(INDEX(AK_BARIS,MATCH(L2415,AK_NAMA,0)),"?"))</f>
        <v/>
      </c>
      <c r="O2415" s="102" t="str">
        <f aca="false">IF(C2415="","",IFERROR(INDEX(AK_KEL,MATCH(C2415,AK_NAMA,0)),"?"))</f>
        <v/>
      </c>
      <c r="P2415" s="102" t="str">
        <f aca="false">IF(D2415="","",IFERROR(INDEX(AK_KEL,MATCH(D2415,AK_NAMA,0)),"?"))</f>
        <v/>
      </c>
      <c r="Q2415" s="102" t="n">
        <f aca="false">N(Q2414)+IF(AND(N(E2415)&lt;&gt;0,K2415=TAHUN,N(J2415)&lt;=BLN,OR(C2415=BB_AKUN,D2415=BB_AKUN)),1,0)</f>
        <v>877</v>
      </c>
      <c r="R2415" s="104" t="str">
        <f aca="false">IF(OR(C2415&amp;D2415="",N(E2415)=0),"",IF(OR(O2415="?",P2415="?"),"⚠ akun tidak dikenal",IF(C2415=D2415,"⚠ debet = kredit","")))</f>
        <v/>
      </c>
    </row>
    <row r="2416" customFormat="false" ht="15" hidden="false" customHeight="false" outlineLevel="0" collapsed="false">
      <c r="A2416" s="5"/>
      <c r="B2416" s="83"/>
      <c r="C2416" s="5"/>
      <c r="D2416" s="5"/>
      <c r="E2416" s="44"/>
      <c r="F2416" s="5"/>
      <c r="G2416" s="5"/>
      <c r="H2416" s="5"/>
      <c r="I2416" s="5"/>
      <c r="J2416" s="102" t="str">
        <f aca="false">IF(B2416="","",MONTH(B2416))</f>
        <v/>
      </c>
      <c r="K2416" s="102" t="str">
        <f aca="false">IF(B2416="","",YEAR(B2416))</f>
        <v/>
      </c>
      <c r="L2416" s="102" t="str">
        <f aca="false">IF(N(E2416)=0,"",IF(COUNTIFS(AK_NAMA,C2416,AK_KAT,"KAS")+COUNTIFS(AK_NAMA,D2416,AK_KAT,"KAS")&lt;&gt;1,"",IF(COUNTIFS(AK_NAMA,C2416,AK_KAT,"KAS")=1,D2416,C2416)))</f>
        <v/>
      </c>
      <c r="M2416" s="103" t="n">
        <f aca="false">IF(L2416="",0,IF(L2416=D2416,E2416,-E2416))</f>
        <v>0</v>
      </c>
      <c r="N2416" s="102" t="str">
        <f aca="false">IF(L2416="","",IFERROR(INDEX(AK_BARIS,MATCH(L2416,AK_NAMA,0)),"?"))</f>
        <v/>
      </c>
      <c r="O2416" s="102" t="str">
        <f aca="false">IF(C2416="","",IFERROR(INDEX(AK_KEL,MATCH(C2416,AK_NAMA,0)),"?"))</f>
        <v/>
      </c>
      <c r="P2416" s="102" t="str">
        <f aca="false">IF(D2416="","",IFERROR(INDEX(AK_KEL,MATCH(D2416,AK_NAMA,0)),"?"))</f>
        <v/>
      </c>
      <c r="Q2416" s="102" t="n">
        <f aca="false">N(Q2415)+IF(AND(N(E2416)&lt;&gt;0,K2416=TAHUN,N(J2416)&lt;=BLN,OR(C2416=BB_AKUN,D2416=BB_AKUN)),1,0)</f>
        <v>877</v>
      </c>
      <c r="R2416" s="104" t="str">
        <f aca="false">IF(OR(C2416&amp;D2416="",N(E2416)=0),"",IF(OR(O2416="?",P2416="?"),"⚠ akun tidak dikenal",IF(C2416=D2416,"⚠ debet = kredit","")))</f>
        <v/>
      </c>
    </row>
    <row r="2417" customFormat="false" ht="15" hidden="false" customHeight="false" outlineLevel="0" collapsed="false">
      <c r="A2417" s="5"/>
      <c r="B2417" s="83"/>
      <c r="C2417" s="5"/>
      <c r="D2417" s="5"/>
      <c r="E2417" s="44"/>
      <c r="F2417" s="5"/>
      <c r="G2417" s="5"/>
      <c r="H2417" s="5"/>
      <c r="I2417" s="5"/>
      <c r="J2417" s="102" t="str">
        <f aca="false">IF(B2417="","",MONTH(B2417))</f>
        <v/>
      </c>
      <c r="K2417" s="102" t="str">
        <f aca="false">IF(B2417="","",YEAR(B2417))</f>
        <v/>
      </c>
      <c r="L2417" s="102" t="str">
        <f aca="false">IF(N(E2417)=0,"",IF(COUNTIFS(AK_NAMA,C2417,AK_KAT,"KAS")+COUNTIFS(AK_NAMA,D2417,AK_KAT,"KAS")&lt;&gt;1,"",IF(COUNTIFS(AK_NAMA,C2417,AK_KAT,"KAS")=1,D2417,C2417)))</f>
        <v/>
      </c>
      <c r="M2417" s="103" t="n">
        <f aca="false">IF(L2417="",0,IF(L2417=D2417,E2417,-E2417))</f>
        <v>0</v>
      </c>
      <c r="N2417" s="102" t="str">
        <f aca="false">IF(L2417="","",IFERROR(INDEX(AK_BARIS,MATCH(L2417,AK_NAMA,0)),"?"))</f>
        <v/>
      </c>
      <c r="O2417" s="102" t="str">
        <f aca="false">IF(C2417="","",IFERROR(INDEX(AK_KEL,MATCH(C2417,AK_NAMA,0)),"?"))</f>
        <v/>
      </c>
      <c r="P2417" s="102" t="str">
        <f aca="false">IF(D2417="","",IFERROR(INDEX(AK_KEL,MATCH(D2417,AK_NAMA,0)),"?"))</f>
        <v/>
      </c>
      <c r="Q2417" s="102" t="n">
        <f aca="false">N(Q2416)+IF(AND(N(E2417)&lt;&gt;0,K2417=TAHUN,N(J2417)&lt;=BLN,OR(C2417=BB_AKUN,D2417=BB_AKUN)),1,0)</f>
        <v>877</v>
      </c>
      <c r="R2417" s="104" t="str">
        <f aca="false">IF(OR(C2417&amp;D2417="",N(E2417)=0),"",IF(OR(O2417="?",P2417="?"),"⚠ akun tidak dikenal",IF(C2417=D2417,"⚠ debet = kredit","")))</f>
        <v/>
      </c>
    </row>
    <row r="2418" customFormat="false" ht="15" hidden="false" customHeight="false" outlineLevel="0" collapsed="false">
      <c r="A2418" s="5"/>
      <c r="B2418" s="83"/>
      <c r="C2418" s="5"/>
      <c r="D2418" s="5"/>
      <c r="E2418" s="44"/>
      <c r="F2418" s="5"/>
      <c r="G2418" s="5"/>
      <c r="H2418" s="5"/>
      <c r="I2418" s="5"/>
      <c r="J2418" s="102" t="str">
        <f aca="false">IF(B2418="","",MONTH(B2418))</f>
        <v/>
      </c>
      <c r="K2418" s="102" t="str">
        <f aca="false">IF(B2418="","",YEAR(B2418))</f>
        <v/>
      </c>
      <c r="L2418" s="102" t="str">
        <f aca="false">IF(N(E2418)=0,"",IF(COUNTIFS(AK_NAMA,C2418,AK_KAT,"KAS")+COUNTIFS(AK_NAMA,D2418,AK_KAT,"KAS")&lt;&gt;1,"",IF(COUNTIFS(AK_NAMA,C2418,AK_KAT,"KAS")=1,D2418,C2418)))</f>
        <v/>
      </c>
      <c r="M2418" s="103" t="n">
        <f aca="false">IF(L2418="",0,IF(L2418=D2418,E2418,-E2418))</f>
        <v>0</v>
      </c>
      <c r="N2418" s="102" t="str">
        <f aca="false">IF(L2418="","",IFERROR(INDEX(AK_BARIS,MATCH(L2418,AK_NAMA,0)),"?"))</f>
        <v/>
      </c>
      <c r="O2418" s="102" t="str">
        <f aca="false">IF(C2418="","",IFERROR(INDEX(AK_KEL,MATCH(C2418,AK_NAMA,0)),"?"))</f>
        <v/>
      </c>
      <c r="P2418" s="102" t="str">
        <f aca="false">IF(D2418="","",IFERROR(INDEX(AK_KEL,MATCH(D2418,AK_NAMA,0)),"?"))</f>
        <v/>
      </c>
      <c r="Q2418" s="102" t="n">
        <f aca="false">N(Q2417)+IF(AND(N(E2418)&lt;&gt;0,K2418=TAHUN,N(J2418)&lt;=BLN,OR(C2418=BB_AKUN,D2418=BB_AKUN)),1,0)</f>
        <v>877</v>
      </c>
      <c r="R2418" s="104" t="str">
        <f aca="false">IF(OR(C2418&amp;D2418="",N(E2418)=0),"",IF(OR(O2418="?",P2418="?"),"⚠ akun tidak dikenal",IF(C2418=D2418,"⚠ debet = kredit","")))</f>
        <v/>
      </c>
    </row>
    <row r="2419" customFormat="false" ht="15" hidden="false" customHeight="false" outlineLevel="0" collapsed="false">
      <c r="A2419" s="5"/>
      <c r="B2419" s="83"/>
      <c r="C2419" s="5"/>
      <c r="D2419" s="5"/>
      <c r="E2419" s="44"/>
      <c r="F2419" s="5"/>
      <c r="G2419" s="5"/>
      <c r="H2419" s="5"/>
      <c r="I2419" s="5"/>
      <c r="J2419" s="102" t="str">
        <f aca="false">IF(B2419="","",MONTH(B2419))</f>
        <v/>
      </c>
      <c r="K2419" s="102" t="str">
        <f aca="false">IF(B2419="","",YEAR(B2419))</f>
        <v/>
      </c>
      <c r="L2419" s="102" t="str">
        <f aca="false">IF(N(E2419)=0,"",IF(COUNTIFS(AK_NAMA,C2419,AK_KAT,"KAS")+COUNTIFS(AK_NAMA,D2419,AK_KAT,"KAS")&lt;&gt;1,"",IF(COUNTIFS(AK_NAMA,C2419,AK_KAT,"KAS")=1,D2419,C2419)))</f>
        <v/>
      </c>
      <c r="M2419" s="103" t="n">
        <f aca="false">IF(L2419="",0,IF(L2419=D2419,E2419,-E2419))</f>
        <v>0</v>
      </c>
      <c r="N2419" s="102" t="str">
        <f aca="false">IF(L2419="","",IFERROR(INDEX(AK_BARIS,MATCH(L2419,AK_NAMA,0)),"?"))</f>
        <v/>
      </c>
      <c r="O2419" s="102" t="str">
        <f aca="false">IF(C2419="","",IFERROR(INDEX(AK_KEL,MATCH(C2419,AK_NAMA,0)),"?"))</f>
        <v/>
      </c>
      <c r="P2419" s="102" t="str">
        <f aca="false">IF(D2419="","",IFERROR(INDEX(AK_KEL,MATCH(D2419,AK_NAMA,0)),"?"))</f>
        <v/>
      </c>
      <c r="Q2419" s="102" t="n">
        <f aca="false">N(Q2418)+IF(AND(N(E2419)&lt;&gt;0,K2419=TAHUN,N(J2419)&lt;=BLN,OR(C2419=BB_AKUN,D2419=BB_AKUN)),1,0)</f>
        <v>877</v>
      </c>
      <c r="R2419" s="104" t="str">
        <f aca="false">IF(OR(C2419&amp;D2419="",N(E2419)=0),"",IF(OR(O2419="?",P2419="?"),"⚠ akun tidak dikenal",IF(C2419=D2419,"⚠ debet = kredit","")))</f>
        <v/>
      </c>
    </row>
    <row r="2420" customFormat="false" ht="15" hidden="false" customHeight="false" outlineLevel="0" collapsed="false">
      <c r="A2420" s="5"/>
      <c r="B2420" s="83"/>
      <c r="C2420" s="5"/>
      <c r="D2420" s="5"/>
      <c r="E2420" s="44"/>
      <c r="F2420" s="5"/>
      <c r="G2420" s="5"/>
      <c r="H2420" s="5"/>
      <c r="I2420" s="5"/>
      <c r="J2420" s="102" t="str">
        <f aca="false">IF(B2420="","",MONTH(B2420))</f>
        <v/>
      </c>
      <c r="K2420" s="102" t="str">
        <f aca="false">IF(B2420="","",YEAR(B2420))</f>
        <v/>
      </c>
      <c r="L2420" s="102" t="str">
        <f aca="false">IF(N(E2420)=0,"",IF(COUNTIFS(AK_NAMA,C2420,AK_KAT,"KAS")+COUNTIFS(AK_NAMA,D2420,AK_KAT,"KAS")&lt;&gt;1,"",IF(COUNTIFS(AK_NAMA,C2420,AK_KAT,"KAS")=1,D2420,C2420)))</f>
        <v/>
      </c>
      <c r="M2420" s="103" t="n">
        <f aca="false">IF(L2420="",0,IF(L2420=D2420,E2420,-E2420))</f>
        <v>0</v>
      </c>
      <c r="N2420" s="102" t="str">
        <f aca="false">IF(L2420="","",IFERROR(INDEX(AK_BARIS,MATCH(L2420,AK_NAMA,0)),"?"))</f>
        <v/>
      </c>
      <c r="O2420" s="102" t="str">
        <f aca="false">IF(C2420="","",IFERROR(INDEX(AK_KEL,MATCH(C2420,AK_NAMA,0)),"?"))</f>
        <v/>
      </c>
      <c r="P2420" s="102" t="str">
        <f aca="false">IF(D2420="","",IFERROR(INDEX(AK_KEL,MATCH(D2420,AK_NAMA,0)),"?"))</f>
        <v/>
      </c>
      <c r="Q2420" s="102" t="n">
        <f aca="false">N(Q2419)+IF(AND(N(E2420)&lt;&gt;0,K2420=TAHUN,N(J2420)&lt;=BLN,OR(C2420=BB_AKUN,D2420=BB_AKUN)),1,0)</f>
        <v>877</v>
      </c>
      <c r="R2420" s="104" t="str">
        <f aca="false">IF(OR(C2420&amp;D2420="",N(E2420)=0),"",IF(OR(O2420="?",P2420="?"),"⚠ akun tidak dikenal",IF(C2420=D2420,"⚠ debet = kredit","")))</f>
        <v/>
      </c>
    </row>
    <row r="2421" customFormat="false" ht="15" hidden="false" customHeight="false" outlineLevel="0" collapsed="false">
      <c r="A2421" s="5"/>
      <c r="B2421" s="83"/>
      <c r="C2421" s="5"/>
      <c r="D2421" s="5"/>
      <c r="E2421" s="44"/>
      <c r="F2421" s="5"/>
      <c r="G2421" s="5"/>
      <c r="H2421" s="5"/>
      <c r="I2421" s="5"/>
      <c r="J2421" s="102" t="str">
        <f aca="false">IF(B2421="","",MONTH(B2421))</f>
        <v/>
      </c>
      <c r="K2421" s="102" t="str">
        <f aca="false">IF(B2421="","",YEAR(B2421))</f>
        <v/>
      </c>
      <c r="L2421" s="102" t="str">
        <f aca="false">IF(N(E2421)=0,"",IF(COUNTIFS(AK_NAMA,C2421,AK_KAT,"KAS")+COUNTIFS(AK_NAMA,D2421,AK_KAT,"KAS")&lt;&gt;1,"",IF(COUNTIFS(AK_NAMA,C2421,AK_KAT,"KAS")=1,D2421,C2421)))</f>
        <v/>
      </c>
      <c r="M2421" s="103" t="n">
        <f aca="false">IF(L2421="",0,IF(L2421=D2421,E2421,-E2421))</f>
        <v>0</v>
      </c>
      <c r="N2421" s="102" t="str">
        <f aca="false">IF(L2421="","",IFERROR(INDEX(AK_BARIS,MATCH(L2421,AK_NAMA,0)),"?"))</f>
        <v/>
      </c>
      <c r="O2421" s="102" t="str">
        <f aca="false">IF(C2421="","",IFERROR(INDEX(AK_KEL,MATCH(C2421,AK_NAMA,0)),"?"))</f>
        <v/>
      </c>
      <c r="P2421" s="102" t="str">
        <f aca="false">IF(D2421="","",IFERROR(INDEX(AK_KEL,MATCH(D2421,AK_NAMA,0)),"?"))</f>
        <v/>
      </c>
      <c r="Q2421" s="102" t="n">
        <f aca="false">N(Q2420)+IF(AND(N(E2421)&lt;&gt;0,K2421=TAHUN,N(J2421)&lt;=BLN,OR(C2421=BB_AKUN,D2421=BB_AKUN)),1,0)</f>
        <v>877</v>
      </c>
      <c r="R2421" s="104" t="str">
        <f aca="false">IF(OR(C2421&amp;D2421="",N(E2421)=0),"",IF(OR(O2421="?",P2421="?"),"⚠ akun tidak dikenal",IF(C2421=D2421,"⚠ debet = kredit","")))</f>
        <v/>
      </c>
    </row>
    <row r="2422" customFormat="false" ht="15" hidden="false" customHeight="false" outlineLevel="0" collapsed="false">
      <c r="A2422" s="5"/>
      <c r="B2422" s="83"/>
      <c r="C2422" s="5"/>
      <c r="D2422" s="5"/>
      <c r="E2422" s="44"/>
      <c r="F2422" s="5"/>
      <c r="G2422" s="5"/>
      <c r="H2422" s="5"/>
      <c r="I2422" s="5"/>
      <c r="J2422" s="102" t="str">
        <f aca="false">IF(B2422="","",MONTH(B2422))</f>
        <v/>
      </c>
      <c r="K2422" s="102" t="str">
        <f aca="false">IF(B2422="","",YEAR(B2422))</f>
        <v/>
      </c>
      <c r="L2422" s="102" t="str">
        <f aca="false">IF(N(E2422)=0,"",IF(COUNTIFS(AK_NAMA,C2422,AK_KAT,"KAS")+COUNTIFS(AK_NAMA,D2422,AK_KAT,"KAS")&lt;&gt;1,"",IF(COUNTIFS(AK_NAMA,C2422,AK_KAT,"KAS")=1,D2422,C2422)))</f>
        <v/>
      </c>
      <c r="M2422" s="103" t="n">
        <f aca="false">IF(L2422="",0,IF(L2422=D2422,E2422,-E2422))</f>
        <v>0</v>
      </c>
      <c r="N2422" s="102" t="str">
        <f aca="false">IF(L2422="","",IFERROR(INDEX(AK_BARIS,MATCH(L2422,AK_NAMA,0)),"?"))</f>
        <v/>
      </c>
      <c r="O2422" s="102" t="str">
        <f aca="false">IF(C2422="","",IFERROR(INDEX(AK_KEL,MATCH(C2422,AK_NAMA,0)),"?"))</f>
        <v/>
      </c>
      <c r="P2422" s="102" t="str">
        <f aca="false">IF(D2422="","",IFERROR(INDEX(AK_KEL,MATCH(D2422,AK_NAMA,0)),"?"))</f>
        <v/>
      </c>
      <c r="Q2422" s="102" t="n">
        <f aca="false">N(Q2421)+IF(AND(N(E2422)&lt;&gt;0,K2422=TAHUN,N(J2422)&lt;=BLN,OR(C2422=BB_AKUN,D2422=BB_AKUN)),1,0)</f>
        <v>877</v>
      </c>
      <c r="R2422" s="104" t="str">
        <f aca="false">IF(OR(C2422&amp;D2422="",N(E2422)=0),"",IF(OR(O2422="?",P2422="?"),"⚠ akun tidak dikenal",IF(C2422=D2422,"⚠ debet = kredit","")))</f>
        <v/>
      </c>
    </row>
    <row r="2423" customFormat="false" ht="15" hidden="false" customHeight="false" outlineLevel="0" collapsed="false">
      <c r="A2423" s="5"/>
      <c r="B2423" s="83"/>
      <c r="C2423" s="5"/>
      <c r="D2423" s="5"/>
      <c r="E2423" s="44"/>
      <c r="F2423" s="5"/>
      <c r="G2423" s="5"/>
      <c r="H2423" s="5"/>
      <c r="I2423" s="5"/>
      <c r="J2423" s="102" t="str">
        <f aca="false">IF(B2423="","",MONTH(B2423))</f>
        <v/>
      </c>
      <c r="K2423" s="102" t="str">
        <f aca="false">IF(B2423="","",YEAR(B2423))</f>
        <v/>
      </c>
      <c r="L2423" s="102" t="str">
        <f aca="false">IF(N(E2423)=0,"",IF(COUNTIFS(AK_NAMA,C2423,AK_KAT,"KAS")+COUNTIFS(AK_NAMA,D2423,AK_KAT,"KAS")&lt;&gt;1,"",IF(COUNTIFS(AK_NAMA,C2423,AK_KAT,"KAS")=1,D2423,C2423)))</f>
        <v/>
      </c>
      <c r="M2423" s="103" t="n">
        <f aca="false">IF(L2423="",0,IF(L2423=D2423,E2423,-E2423))</f>
        <v>0</v>
      </c>
      <c r="N2423" s="102" t="str">
        <f aca="false">IF(L2423="","",IFERROR(INDEX(AK_BARIS,MATCH(L2423,AK_NAMA,0)),"?"))</f>
        <v/>
      </c>
      <c r="O2423" s="102" t="str">
        <f aca="false">IF(C2423="","",IFERROR(INDEX(AK_KEL,MATCH(C2423,AK_NAMA,0)),"?"))</f>
        <v/>
      </c>
      <c r="P2423" s="102" t="str">
        <f aca="false">IF(D2423="","",IFERROR(INDEX(AK_KEL,MATCH(D2423,AK_NAMA,0)),"?"))</f>
        <v/>
      </c>
      <c r="Q2423" s="102" t="n">
        <f aca="false">N(Q2422)+IF(AND(N(E2423)&lt;&gt;0,K2423=TAHUN,N(J2423)&lt;=BLN,OR(C2423=BB_AKUN,D2423=BB_AKUN)),1,0)</f>
        <v>877</v>
      </c>
      <c r="R2423" s="104" t="str">
        <f aca="false">IF(OR(C2423&amp;D2423="",N(E2423)=0),"",IF(OR(O2423="?",P2423="?"),"⚠ akun tidak dikenal",IF(C2423=D2423,"⚠ debet = kredit","")))</f>
        <v/>
      </c>
    </row>
    <row r="2424" customFormat="false" ht="15" hidden="false" customHeight="false" outlineLevel="0" collapsed="false">
      <c r="A2424" s="5"/>
      <c r="B2424" s="83"/>
      <c r="C2424" s="5"/>
      <c r="D2424" s="5"/>
      <c r="E2424" s="44"/>
      <c r="F2424" s="5"/>
      <c r="G2424" s="5"/>
      <c r="H2424" s="5"/>
      <c r="I2424" s="5"/>
      <c r="J2424" s="102" t="str">
        <f aca="false">IF(B2424="","",MONTH(B2424))</f>
        <v/>
      </c>
      <c r="K2424" s="102" t="str">
        <f aca="false">IF(B2424="","",YEAR(B2424))</f>
        <v/>
      </c>
      <c r="L2424" s="102" t="str">
        <f aca="false">IF(N(E2424)=0,"",IF(COUNTIFS(AK_NAMA,C2424,AK_KAT,"KAS")+COUNTIFS(AK_NAMA,D2424,AK_KAT,"KAS")&lt;&gt;1,"",IF(COUNTIFS(AK_NAMA,C2424,AK_KAT,"KAS")=1,D2424,C2424)))</f>
        <v/>
      </c>
      <c r="M2424" s="103" t="n">
        <f aca="false">IF(L2424="",0,IF(L2424=D2424,E2424,-E2424))</f>
        <v>0</v>
      </c>
      <c r="N2424" s="102" t="str">
        <f aca="false">IF(L2424="","",IFERROR(INDEX(AK_BARIS,MATCH(L2424,AK_NAMA,0)),"?"))</f>
        <v/>
      </c>
      <c r="O2424" s="102" t="str">
        <f aca="false">IF(C2424="","",IFERROR(INDEX(AK_KEL,MATCH(C2424,AK_NAMA,0)),"?"))</f>
        <v/>
      </c>
      <c r="P2424" s="102" t="str">
        <f aca="false">IF(D2424="","",IFERROR(INDEX(AK_KEL,MATCH(D2424,AK_NAMA,0)),"?"))</f>
        <v/>
      </c>
      <c r="Q2424" s="102" t="n">
        <f aca="false">N(Q2423)+IF(AND(N(E2424)&lt;&gt;0,K2424=TAHUN,N(J2424)&lt;=BLN,OR(C2424=BB_AKUN,D2424=BB_AKUN)),1,0)</f>
        <v>877</v>
      </c>
      <c r="R2424" s="104" t="str">
        <f aca="false">IF(OR(C2424&amp;D2424="",N(E2424)=0),"",IF(OR(O2424="?",P2424="?"),"⚠ akun tidak dikenal",IF(C2424=D2424,"⚠ debet = kredit","")))</f>
        <v/>
      </c>
    </row>
    <row r="2425" customFormat="false" ht="15" hidden="false" customHeight="false" outlineLevel="0" collapsed="false">
      <c r="A2425" s="5"/>
      <c r="B2425" s="83"/>
      <c r="C2425" s="5"/>
      <c r="D2425" s="5"/>
      <c r="E2425" s="44"/>
      <c r="F2425" s="5"/>
      <c r="G2425" s="5"/>
      <c r="H2425" s="5"/>
      <c r="I2425" s="5"/>
      <c r="J2425" s="102" t="str">
        <f aca="false">IF(B2425="","",MONTH(B2425))</f>
        <v/>
      </c>
      <c r="K2425" s="102" t="str">
        <f aca="false">IF(B2425="","",YEAR(B2425))</f>
        <v/>
      </c>
      <c r="L2425" s="102" t="str">
        <f aca="false">IF(N(E2425)=0,"",IF(COUNTIFS(AK_NAMA,C2425,AK_KAT,"KAS")+COUNTIFS(AK_NAMA,D2425,AK_KAT,"KAS")&lt;&gt;1,"",IF(COUNTIFS(AK_NAMA,C2425,AK_KAT,"KAS")=1,D2425,C2425)))</f>
        <v/>
      </c>
      <c r="M2425" s="103" t="n">
        <f aca="false">IF(L2425="",0,IF(L2425=D2425,E2425,-E2425))</f>
        <v>0</v>
      </c>
      <c r="N2425" s="102" t="str">
        <f aca="false">IF(L2425="","",IFERROR(INDEX(AK_BARIS,MATCH(L2425,AK_NAMA,0)),"?"))</f>
        <v/>
      </c>
      <c r="O2425" s="102" t="str">
        <f aca="false">IF(C2425="","",IFERROR(INDEX(AK_KEL,MATCH(C2425,AK_NAMA,0)),"?"))</f>
        <v/>
      </c>
      <c r="P2425" s="102" t="str">
        <f aca="false">IF(D2425="","",IFERROR(INDEX(AK_KEL,MATCH(D2425,AK_NAMA,0)),"?"))</f>
        <v/>
      </c>
      <c r="Q2425" s="102" t="n">
        <f aca="false">N(Q2424)+IF(AND(N(E2425)&lt;&gt;0,K2425=TAHUN,N(J2425)&lt;=BLN,OR(C2425=BB_AKUN,D2425=BB_AKUN)),1,0)</f>
        <v>877</v>
      </c>
      <c r="R2425" s="104" t="str">
        <f aca="false">IF(OR(C2425&amp;D2425="",N(E2425)=0),"",IF(OR(O2425="?",P2425="?"),"⚠ akun tidak dikenal",IF(C2425=D2425,"⚠ debet = kredit","")))</f>
        <v/>
      </c>
    </row>
    <row r="2426" customFormat="false" ht="15" hidden="false" customHeight="false" outlineLevel="0" collapsed="false">
      <c r="A2426" s="5"/>
      <c r="B2426" s="83"/>
      <c r="C2426" s="5"/>
      <c r="D2426" s="5"/>
      <c r="E2426" s="44"/>
      <c r="F2426" s="5"/>
      <c r="G2426" s="5"/>
      <c r="H2426" s="5"/>
      <c r="I2426" s="5"/>
      <c r="J2426" s="102" t="str">
        <f aca="false">IF(B2426="","",MONTH(B2426))</f>
        <v/>
      </c>
      <c r="K2426" s="102" t="str">
        <f aca="false">IF(B2426="","",YEAR(B2426))</f>
        <v/>
      </c>
      <c r="L2426" s="102" t="str">
        <f aca="false">IF(N(E2426)=0,"",IF(COUNTIFS(AK_NAMA,C2426,AK_KAT,"KAS")+COUNTIFS(AK_NAMA,D2426,AK_KAT,"KAS")&lt;&gt;1,"",IF(COUNTIFS(AK_NAMA,C2426,AK_KAT,"KAS")=1,D2426,C2426)))</f>
        <v/>
      </c>
      <c r="M2426" s="103" t="n">
        <f aca="false">IF(L2426="",0,IF(L2426=D2426,E2426,-E2426))</f>
        <v>0</v>
      </c>
      <c r="N2426" s="102" t="str">
        <f aca="false">IF(L2426="","",IFERROR(INDEX(AK_BARIS,MATCH(L2426,AK_NAMA,0)),"?"))</f>
        <v/>
      </c>
      <c r="O2426" s="102" t="str">
        <f aca="false">IF(C2426="","",IFERROR(INDEX(AK_KEL,MATCH(C2426,AK_NAMA,0)),"?"))</f>
        <v/>
      </c>
      <c r="P2426" s="102" t="str">
        <f aca="false">IF(D2426="","",IFERROR(INDEX(AK_KEL,MATCH(D2426,AK_NAMA,0)),"?"))</f>
        <v/>
      </c>
      <c r="Q2426" s="102" t="n">
        <f aca="false">N(Q2425)+IF(AND(N(E2426)&lt;&gt;0,K2426=TAHUN,N(J2426)&lt;=BLN,OR(C2426=BB_AKUN,D2426=BB_AKUN)),1,0)</f>
        <v>877</v>
      </c>
      <c r="R2426" s="104" t="str">
        <f aca="false">IF(OR(C2426&amp;D2426="",N(E2426)=0),"",IF(OR(O2426="?",P2426="?"),"⚠ akun tidak dikenal",IF(C2426=D2426,"⚠ debet = kredit","")))</f>
        <v/>
      </c>
    </row>
    <row r="2427" customFormat="false" ht="15" hidden="false" customHeight="false" outlineLevel="0" collapsed="false">
      <c r="A2427" s="5"/>
      <c r="B2427" s="83"/>
      <c r="C2427" s="5"/>
      <c r="D2427" s="5"/>
      <c r="E2427" s="44"/>
      <c r="F2427" s="5"/>
      <c r="G2427" s="5"/>
      <c r="H2427" s="5"/>
      <c r="I2427" s="5"/>
      <c r="J2427" s="102" t="str">
        <f aca="false">IF(B2427="","",MONTH(B2427))</f>
        <v/>
      </c>
      <c r="K2427" s="102" t="str">
        <f aca="false">IF(B2427="","",YEAR(B2427))</f>
        <v/>
      </c>
      <c r="L2427" s="102" t="str">
        <f aca="false">IF(N(E2427)=0,"",IF(COUNTIFS(AK_NAMA,C2427,AK_KAT,"KAS")+COUNTIFS(AK_NAMA,D2427,AK_KAT,"KAS")&lt;&gt;1,"",IF(COUNTIFS(AK_NAMA,C2427,AK_KAT,"KAS")=1,D2427,C2427)))</f>
        <v/>
      </c>
      <c r="M2427" s="103" t="n">
        <f aca="false">IF(L2427="",0,IF(L2427=D2427,E2427,-E2427))</f>
        <v>0</v>
      </c>
      <c r="N2427" s="102" t="str">
        <f aca="false">IF(L2427="","",IFERROR(INDEX(AK_BARIS,MATCH(L2427,AK_NAMA,0)),"?"))</f>
        <v/>
      </c>
      <c r="O2427" s="102" t="str">
        <f aca="false">IF(C2427="","",IFERROR(INDEX(AK_KEL,MATCH(C2427,AK_NAMA,0)),"?"))</f>
        <v/>
      </c>
      <c r="P2427" s="102" t="str">
        <f aca="false">IF(D2427="","",IFERROR(INDEX(AK_KEL,MATCH(D2427,AK_NAMA,0)),"?"))</f>
        <v/>
      </c>
      <c r="Q2427" s="102" t="n">
        <f aca="false">N(Q2426)+IF(AND(N(E2427)&lt;&gt;0,K2427=TAHUN,N(J2427)&lt;=BLN,OR(C2427=BB_AKUN,D2427=BB_AKUN)),1,0)</f>
        <v>877</v>
      </c>
      <c r="R2427" s="104" t="str">
        <f aca="false">IF(OR(C2427&amp;D2427="",N(E2427)=0),"",IF(OR(O2427="?",P2427="?"),"⚠ akun tidak dikenal",IF(C2427=D2427,"⚠ debet = kredit","")))</f>
        <v/>
      </c>
    </row>
    <row r="2428" customFormat="false" ht="15" hidden="false" customHeight="false" outlineLevel="0" collapsed="false">
      <c r="A2428" s="5"/>
      <c r="B2428" s="83"/>
      <c r="C2428" s="5"/>
      <c r="D2428" s="5"/>
      <c r="E2428" s="44"/>
      <c r="F2428" s="5"/>
      <c r="G2428" s="5"/>
      <c r="H2428" s="5"/>
      <c r="I2428" s="5"/>
      <c r="J2428" s="102" t="str">
        <f aca="false">IF(B2428="","",MONTH(B2428))</f>
        <v/>
      </c>
      <c r="K2428" s="102" t="str">
        <f aca="false">IF(B2428="","",YEAR(B2428))</f>
        <v/>
      </c>
      <c r="L2428" s="102" t="str">
        <f aca="false">IF(N(E2428)=0,"",IF(COUNTIFS(AK_NAMA,C2428,AK_KAT,"KAS")+COUNTIFS(AK_NAMA,D2428,AK_KAT,"KAS")&lt;&gt;1,"",IF(COUNTIFS(AK_NAMA,C2428,AK_KAT,"KAS")=1,D2428,C2428)))</f>
        <v/>
      </c>
      <c r="M2428" s="103" t="n">
        <f aca="false">IF(L2428="",0,IF(L2428=D2428,E2428,-E2428))</f>
        <v>0</v>
      </c>
      <c r="N2428" s="102" t="str">
        <f aca="false">IF(L2428="","",IFERROR(INDEX(AK_BARIS,MATCH(L2428,AK_NAMA,0)),"?"))</f>
        <v/>
      </c>
      <c r="O2428" s="102" t="str">
        <f aca="false">IF(C2428="","",IFERROR(INDEX(AK_KEL,MATCH(C2428,AK_NAMA,0)),"?"))</f>
        <v/>
      </c>
      <c r="P2428" s="102" t="str">
        <f aca="false">IF(D2428="","",IFERROR(INDEX(AK_KEL,MATCH(D2428,AK_NAMA,0)),"?"))</f>
        <v/>
      </c>
      <c r="Q2428" s="102" t="n">
        <f aca="false">N(Q2427)+IF(AND(N(E2428)&lt;&gt;0,K2428=TAHUN,N(J2428)&lt;=BLN,OR(C2428=BB_AKUN,D2428=BB_AKUN)),1,0)</f>
        <v>877</v>
      </c>
      <c r="R2428" s="104" t="str">
        <f aca="false">IF(OR(C2428&amp;D2428="",N(E2428)=0),"",IF(OR(O2428="?",P2428="?"),"⚠ akun tidak dikenal",IF(C2428=D2428,"⚠ debet = kredit","")))</f>
        <v/>
      </c>
    </row>
    <row r="2429" customFormat="false" ht="15" hidden="false" customHeight="false" outlineLevel="0" collapsed="false">
      <c r="A2429" s="5"/>
      <c r="B2429" s="83"/>
      <c r="C2429" s="5"/>
      <c r="D2429" s="5"/>
      <c r="E2429" s="44"/>
      <c r="F2429" s="5"/>
      <c r="G2429" s="5"/>
      <c r="H2429" s="5"/>
      <c r="I2429" s="5"/>
      <c r="J2429" s="102" t="str">
        <f aca="false">IF(B2429="","",MONTH(B2429))</f>
        <v/>
      </c>
      <c r="K2429" s="102" t="str">
        <f aca="false">IF(B2429="","",YEAR(B2429))</f>
        <v/>
      </c>
      <c r="L2429" s="102" t="str">
        <f aca="false">IF(N(E2429)=0,"",IF(COUNTIFS(AK_NAMA,C2429,AK_KAT,"KAS")+COUNTIFS(AK_NAMA,D2429,AK_KAT,"KAS")&lt;&gt;1,"",IF(COUNTIFS(AK_NAMA,C2429,AK_KAT,"KAS")=1,D2429,C2429)))</f>
        <v/>
      </c>
      <c r="M2429" s="103" t="n">
        <f aca="false">IF(L2429="",0,IF(L2429=D2429,E2429,-E2429))</f>
        <v>0</v>
      </c>
      <c r="N2429" s="102" t="str">
        <f aca="false">IF(L2429="","",IFERROR(INDEX(AK_BARIS,MATCH(L2429,AK_NAMA,0)),"?"))</f>
        <v/>
      </c>
      <c r="O2429" s="102" t="str">
        <f aca="false">IF(C2429="","",IFERROR(INDEX(AK_KEL,MATCH(C2429,AK_NAMA,0)),"?"))</f>
        <v/>
      </c>
      <c r="P2429" s="102" t="str">
        <f aca="false">IF(D2429="","",IFERROR(INDEX(AK_KEL,MATCH(D2429,AK_NAMA,0)),"?"))</f>
        <v/>
      </c>
      <c r="Q2429" s="102" t="n">
        <f aca="false">N(Q2428)+IF(AND(N(E2429)&lt;&gt;0,K2429=TAHUN,N(J2429)&lt;=BLN,OR(C2429=BB_AKUN,D2429=BB_AKUN)),1,0)</f>
        <v>877</v>
      </c>
      <c r="R2429" s="104" t="str">
        <f aca="false">IF(OR(C2429&amp;D2429="",N(E2429)=0),"",IF(OR(O2429="?",P2429="?"),"⚠ akun tidak dikenal",IF(C2429=D2429,"⚠ debet = kredit","")))</f>
        <v/>
      </c>
    </row>
    <row r="2430" customFormat="false" ht="15" hidden="false" customHeight="false" outlineLevel="0" collapsed="false">
      <c r="A2430" s="5"/>
      <c r="B2430" s="83"/>
      <c r="C2430" s="5"/>
      <c r="D2430" s="5"/>
      <c r="E2430" s="44"/>
      <c r="F2430" s="5"/>
      <c r="G2430" s="5"/>
      <c r="H2430" s="5"/>
      <c r="I2430" s="5"/>
      <c r="J2430" s="102" t="str">
        <f aca="false">IF(B2430="","",MONTH(B2430))</f>
        <v/>
      </c>
      <c r="K2430" s="102" t="str">
        <f aca="false">IF(B2430="","",YEAR(B2430))</f>
        <v/>
      </c>
      <c r="L2430" s="102" t="str">
        <f aca="false">IF(N(E2430)=0,"",IF(COUNTIFS(AK_NAMA,C2430,AK_KAT,"KAS")+COUNTIFS(AK_NAMA,D2430,AK_KAT,"KAS")&lt;&gt;1,"",IF(COUNTIFS(AK_NAMA,C2430,AK_KAT,"KAS")=1,D2430,C2430)))</f>
        <v/>
      </c>
      <c r="M2430" s="103" t="n">
        <f aca="false">IF(L2430="",0,IF(L2430=D2430,E2430,-E2430))</f>
        <v>0</v>
      </c>
      <c r="N2430" s="102" t="str">
        <f aca="false">IF(L2430="","",IFERROR(INDEX(AK_BARIS,MATCH(L2430,AK_NAMA,0)),"?"))</f>
        <v/>
      </c>
      <c r="O2430" s="102" t="str">
        <f aca="false">IF(C2430="","",IFERROR(INDEX(AK_KEL,MATCH(C2430,AK_NAMA,0)),"?"))</f>
        <v/>
      </c>
      <c r="P2430" s="102" t="str">
        <f aca="false">IF(D2430="","",IFERROR(INDEX(AK_KEL,MATCH(D2430,AK_NAMA,0)),"?"))</f>
        <v/>
      </c>
      <c r="Q2430" s="102" t="n">
        <f aca="false">N(Q2429)+IF(AND(N(E2430)&lt;&gt;0,K2430=TAHUN,N(J2430)&lt;=BLN,OR(C2430=BB_AKUN,D2430=BB_AKUN)),1,0)</f>
        <v>877</v>
      </c>
      <c r="R2430" s="104" t="str">
        <f aca="false">IF(OR(C2430&amp;D2430="",N(E2430)=0),"",IF(OR(O2430="?",P2430="?"),"⚠ akun tidak dikenal",IF(C2430=D2430,"⚠ debet = kredit","")))</f>
        <v/>
      </c>
    </row>
    <row r="2431" customFormat="false" ht="15" hidden="false" customHeight="false" outlineLevel="0" collapsed="false">
      <c r="A2431" s="5"/>
      <c r="B2431" s="83"/>
      <c r="C2431" s="5"/>
      <c r="D2431" s="5"/>
      <c r="E2431" s="44"/>
      <c r="F2431" s="5"/>
      <c r="G2431" s="5"/>
      <c r="H2431" s="5"/>
      <c r="I2431" s="5"/>
      <c r="J2431" s="102" t="str">
        <f aca="false">IF(B2431="","",MONTH(B2431))</f>
        <v/>
      </c>
      <c r="K2431" s="102" t="str">
        <f aca="false">IF(B2431="","",YEAR(B2431))</f>
        <v/>
      </c>
      <c r="L2431" s="102" t="str">
        <f aca="false">IF(N(E2431)=0,"",IF(COUNTIFS(AK_NAMA,C2431,AK_KAT,"KAS")+COUNTIFS(AK_NAMA,D2431,AK_KAT,"KAS")&lt;&gt;1,"",IF(COUNTIFS(AK_NAMA,C2431,AK_KAT,"KAS")=1,D2431,C2431)))</f>
        <v/>
      </c>
      <c r="M2431" s="103" t="n">
        <f aca="false">IF(L2431="",0,IF(L2431=D2431,E2431,-E2431))</f>
        <v>0</v>
      </c>
      <c r="N2431" s="102" t="str">
        <f aca="false">IF(L2431="","",IFERROR(INDEX(AK_BARIS,MATCH(L2431,AK_NAMA,0)),"?"))</f>
        <v/>
      </c>
      <c r="O2431" s="102" t="str">
        <f aca="false">IF(C2431="","",IFERROR(INDEX(AK_KEL,MATCH(C2431,AK_NAMA,0)),"?"))</f>
        <v/>
      </c>
      <c r="P2431" s="102" t="str">
        <f aca="false">IF(D2431="","",IFERROR(INDEX(AK_KEL,MATCH(D2431,AK_NAMA,0)),"?"))</f>
        <v/>
      </c>
      <c r="Q2431" s="102" t="n">
        <f aca="false">N(Q2430)+IF(AND(N(E2431)&lt;&gt;0,K2431=TAHUN,N(J2431)&lt;=BLN,OR(C2431=BB_AKUN,D2431=BB_AKUN)),1,0)</f>
        <v>877</v>
      </c>
      <c r="R2431" s="104" t="str">
        <f aca="false">IF(OR(C2431&amp;D2431="",N(E2431)=0),"",IF(OR(O2431="?",P2431="?"),"⚠ akun tidak dikenal",IF(C2431=D2431,"⚠ debet = kredit","")))</f>
        <v/>
      </c>
    </row>
    <row r="2432" customFormat="false" ht="15" hidden="false" customHeight="false" outlineLevel="0" collapsed="false">
      <c r="A2432" s="5"/>
      <c r="B2432" s="83"/>
      <c r="C2432" s="5"/>
      <c r="D2432" s="5"/>
      <c r="E2432" s="44"/>
      <c r="F2432" s="5"/>
      <c r="G2432" s="5"/>
      <c r="H2432" s="5"/>
      <c r="I2432" s="5"/>
      <c r="J2432" s="102" t="str">
        <f aca="false">IF(B2432="","",MONTH(B2432))</f>
        <v/>
      </c>
      <c r="K2432" s="102" t="str">
        <f aca="false">IF(B2432="","",YEAR(B2432))</f>
        <v/>
      </c>
      <c r="L2432" s="102" t="str">
        <f aca="false">IF(N(E2432)=0,"",IF(COUNTIFS(AK_NAMA,C2432,AK_KAT,"KAS")+COUNTIFS(AK_NAMA,D2432,AK_KAT,"KAS")&lt;&gt;1,"",IF(COUNTIFS(AK_NAMA,C2432,AK_KAT,"KAS")=1,D2432,C2432)))</f>
        <v/>
      </c>
      <c r="M2432" s="103" t="n">
        <f aca="false">IF(L2432="",0,IF(L2432=D2432,E2432,-E2432))</f>
        <v>0</v>
      </c>
      <c r="N2432" s="102" t="str">
        <f aca="false">IF(L2432="","",IFERROR(INDEX(AK_BARIS,MATCH(L2432,AK_NAMA,0)),"?"))</f>
        <v/>
      </c>
      <c r="O2432" s="102" t="str">
        <f aca="false">IF(C2432="","",IFERROR(INDEX(AK_KEL,MATCH(C2432,AK_NAMA,0)),"?"))</f>
        <v/>
      </c>
      <c r="P2432" s="102" t="str">
        <f aca="false">IF(D2432="","",IFERROR(INDEX(AK_KEL,MATCH(D2432,AK_NAMA,0)),"?"))</f>
        <v/>
      </c>
      <c r="Q2432" s="102" t="n">
        <f aca="false">N(Q2431)+IF(AND(N(E2432)&lt;&gt;0,K2432=TAHUN,N(J2432)&lt;=BLN,OR(C2432=BB_AKUN,D2432=BB_AKUN)),1,0)</f>
        <v>877</v>
      </c>
      <c r="R2432" s="104" t="str">
        <f aca="false">IF(OR(C2432&amp;D2432="",N(E2432)=0),"",IF(OR(O2432="?",P2432="?"),"⚠ akun tidak dikenal",IF(C2432=D2432,"⚠ debet = kredit","")))</f>
        <v/>
      </c>
    </row>
    <row r="2433" customFormat="false" ht="15" hidden="false" customHeight="false" outlineLevel="0" collapsed="false">
      <c r="A2433" s="5"/>
      <c r="B2433" s="83"/>
      <c r="C2433" s="5"/>
      <c r="D2433" s="5"/>
      <c r="E2433" s="44"/>
      <c r="F2433" s="5"/>
      <c r="G2433" s="5"/>
      <c r="H2433" s="5"/>
      <c r="I2433" s="5"/>
      <c r="J2433" s="102" t="str">
        <f aca="false">IF(B2433="","",MONTH(B2433))</f>
        <v/>
      </c>
      <c r="K2433" s="102" t="str">
        <f aca="false">IF(B2433="","",YEAR(B2433))</f>
        <v/>
      </c>
      <c r="L2433" s="102" t="str">
        <f aca="false">IF(N(E2433)=0,"",IF(COUNTIFS(AK_NAMA,C2433,AK_KAT,"KAS")+COUNTIFS(AK_NAMA,D2433,AK_KAT,"KAS")&lt;&gt;1,"",IF(COUNTIFS(AK_NAMA,C2433,AK_KAT,"KAS")=1,D2433,C2433)))</f>
        <v/>
      </c>
      <c r="M2433" s="103" t="n">
        <f aca="false">IF(L2433="",0,IF(L2433=D2433,E2433,-E2433))</f>
        <v>0</v>
      </c>
      <c r="N2433" s="102" t="str">
        <f aca="false">IF(L2433="","",IFERROR(INDEX(AK_BARIS,MATCH(L2433,AK_NAMA,0)),"?"))</f>
        <v/>
      </c>
      <c r="O2433" s="102" t="str">
        <f aca="false">IF(C2433="","",IFERROR(INDEX(AK_KEL,MATCH(C2433,AK_NAMA,0)),"?"))</f>
        <v/>
      </c>
      <c r="P2433" s="102" t="str">
        <f aca="false">IF(D2433="","",IFERROR(INDEX(AK_KEL,MATCH(D2433,AK_NAMA,0)),"?"))</f>
        <v/>
      </c>
      <c r="Q2433" s="102" t="n">
        <f aca="false">N(Q2432)+IF(AND(N(E2433)&lt;&gt;0,K2433=TAHUN,N(J2433)&lt;=BLN,OR(C2433=BB_AKUN,D2433=BB_AKUN)),1,0)</f>
        <v>877</v>
      </c>
      <c r="R2433" s="104" t="str">
        <f aca="false">IF(OR(C2433&amp;D2433="",N(E2433)=0),"",IF(OR(O2433="?",P2433="?"),"⚠ akun tidak dikenal",IF(C2433=D2433,"⚠ debet = kredit","")))</f>
        <v/>
      </c>
    </row>
    <row r="2434" customFormat="false" ht="15" hidden="false" customHeight="false" outlineLevel="0" collapsed="false">
      <c r="A2434" s="5"/>
      <c r="B2434" s="83"/>
      <c r="C2434" s="5"/>
      <c r="D2434" s="5"/>
      <c r="E2434" s="44"/>
      <c r="F2434" s="5"/>
      <c r="G2434" s="5"/>
      <c r="H2434" s="5"/>
      <c r="I2434" s="5"/>
      <c r="J2434" s="102" t="str">
        <f aca="false">IF(B2434="","",MONTH(B2434))</f>
        <v/>
      </c>
      <c r="K2434" s="102" t="str">
        <f aca="false">IF(B2434="","",YEAR(B2434))</f>
        <v/>
      </c>
      <c r="L2434" s="102" t="str">
        <f aca="false">IF(N(E2434)=0,"",IF(COUNTIFS(AK_NAMA,C2434,AK_KAT,"KAS")+COUNTIFS(AK_NAMA,D2434,AK_KAT,"KAS")&lt;&gt;1,"",IF(COUNTIFS(AK_NAMA,C2434,AK_KAT,"KAS")=1,D2434,C2434)))</f>
        <v/>
      </c>
      <c r="M2434" s="103" t="n">
        <f aca="false">IF(L2434="",0,IF(L2434=D2434,E2434,-E2434))</f>
        <v>0</v>
      </c>
      <c r="N2434" s="102" t="str">
        <f aca="false">IF(L2434="","",IFERROR(INDEX(AK_BARIS,MATCH(L2434,AK_NAMA,0)),"?"))</f>
        <v/>
      </c>
      <c r="O2434" s="102" t="str">
        <f aca="false">IF(C2434="","",IFERROR(INDEX(AK_KEL,MATCH(C2434,AK_NAMA,0)),"?"))</f>
        <v/>
      </c>
      <c r="P2434" s="102" t="str">
        <f aca="false">IF(D2434="","",IFERROR(INDEX(AK_KEL,MATCH(D2434,AK_NAMA,0)),"?"))</f>
        <v/>
      </c>
      <c r="Q2434" s="102" t="n">
        <f aca="false">N(Q2433)+IF(AND(N(E2434)&lt;&gt;0,K2434=TAHUN,N(J2434)&lt;=BLN,OR(C2434=BB_AKUN,D2434=BB_AKUN)),1,0)</f>
        <v>877</v>
      </c>
      <c r="R2434" s="104" t="str">
        <f aca="false">IF(OR(C2434&amp;D2434="",N(E2434)=0),"",IF(OR(O2434="?",P2434="?"),"⚠ akun tidak dikenal",IF(C2434=D2434,"⚠ debet = kredit","")))</f>
        <v/>
      </c>
    </row>
    <row r="2435" customFormat="false" ht="15" hidden="false" customHeight="false" outlineLevel="0" collapsed="false">
      <c r="A2435" s="5"/>
      <c r="B2435" s="83"/>
      <c r="C2435" s="5"/>
      <c r="D2435" s="5"/>
      <c r="E2435" s="44"/>
      <c r="F2435" s="5"/>
      <c r="G2435" s="5"/>
      <c r="H2435" s="5"/>
      <c r="I2435" s="5"/>
      <c r="J2435" s="102" t="str">
        <f aca="false">IF(B2435="","",MONTH(B2435))</f>
        <v/>
      </c>
      <c r="K2435" s="102" t="str">
        <f aca="false">IF(B2435="","",YEAR(B2435))</f>
        <v/>
      </c>
      <c r="L2435" s="102" t="str">
        <f aca="false">IF(N(E2435)=0,"",IF(COUNTIFS(AK_NAMA,C2435,AK_KAT,"KAS")+COUNTIFS(AK_NAMA,D2435,AK_KAT,"KAS")&lt;&gt;1,"",IF(COUNTIFS(AK_NAMA,C2435,AK_KAT,"KAS")=1,D2435,C2435)))</f>
        <v/>
      </c>
      <c r="M2435" s="103" t="n">
        <f aca="false">IF(L2435="",0,IF(L2435=D2435,E2435,-E2435))</f>
        <v>0</v>
      </c>
      <c r="N2435" s="102" t="str">
        <f aca="false">IF(L2435="","",IFERROR(INDEX(AK_BARIS,MATCH(L2435,AK_NAMA,0)),"?"))</f>
        <v/>
      </c>
      <c r="O2435" s="102" t="str">
        <f aca="false">IF(C2435="","",IFERROR(INDEX(AK_KEL,MATCH(C2435,AK_NAMA,0)),"?"))</f>
        <v/>
      </c>
      <c r="P2435" s="102" t="str">
        <f aca="false">IF(D2435="","",IFERROR(INDEX(AK_KEL,MATCH(D2435,AK_NAMA,0)),"?"))</f>
        <v/>
      </c>
      <c r="Q2435" s="102" t="n">
        <f aca="false">N(Q2434)+IF(AND(N(E2435)&lt;&gt;0,K2435=TAHUN,N(J2435)&lt;=BLN,OR(C2435=BB_AKUN,D2435=BB_AKUN)),1,0)</f>
        <v>877</v>
      </c>
      <c r="R2435" s="104" t="str">
        <f aca="false">IF(OR(C2435&amp;D2435="",N(E2435)=0),"",IF(OR(O2435="?",P2435="?"),"⚠ akun tidak dikenal",IF(C2435=D2435,"⚠ debet = kredit","")))</f>
        <v/>
      </c>
    </row>
    <row r="2436" customFormat="false" ht="15" hidden="false" customHeight="false" outlineLevel="0" collapsed="false">
      <c r="A2436" s="5"/>
      <c r="B2436" s="83"/>
      <c r="C2436" s="5"/>
      <c r="D2436" s="5"/>
      <c r="E2436" s="44"/>
      <c r="F2436" s="5"/>
      <c r="G2436" s="5"/>
      <c r="H2436" s="5"/>
      <c r="I2436" s="5"/>
      <c r="J2436" s="102" t="str">
        <f aca="false">IF(B2436="","",MONTH(B2436))</f>
        <v/>
      </c>
      <c r="K2436" s="102" t="str">
        <f aca="false">IF(B2436="","",YEAR(B2436))</f>
        <v/>
      </c>
      <c r="L2436" s="102" t="str">
        <f aca="false">IF(N(E2436)=0,"",IF(COUNTIFS(AK_NAMA,C2436,AK_KAT,"KAS")+COUNTIFS(AK_NAMA,D2436,AK_KAT,"KAS")&lt;&gt;1,"",IF(COUNTIFS(AK_NAMA,C2436,AK_KAT,"KAS")=1,D2436,C2436)))</f>
        <v/>
      </c>
      <c r="M2436" s="103" t="n">
        <f aca="false">IF(L2436="",0,IF(L2436=D2436,E2436,-E2436))</f>
        <v>0</v>
      </c>
      <c r="N2436" s="102" t="str">
        <f aca="false">IF(L2436="","",IFERROR(INDEX(AK_BARIS,MATCH(L2436,AK_NAMA,0)),"?"))</f>
        <v/>
      </c>
      <c r="O2436" s="102" t="str">
        <f aca="false">IF(C2436="","",IFERROR(INDEX(AK_KEL,MATCH(C2436,AK_NAMA,0)),"?"))</f>
        <v/>
      </c>
      <c r="P2436" s="102" t="str">
        <f aca="false">IF(D2436="","",IFERROR(INDEX(AK_KEL,MATCH(D2436,AK_NAMA,0)),"?"))</f>
        <v/>
      </c>
      <c r="Q2436" s="102" t="n">
        <f aca="false">N(Q2435)+IF(AND(N(E2436)&lt;&gt;0,K2436=TAHUN,N(J2436)&lt;=BLN,OR(C2436=BB_AKUN,D2436=BB_AKUN)),1,0)</f>
        <v>877</v>
      </c>
      <c r="R2436" s="104" t="str">
        <f aca="false">IF(OR(C2436&amp;D2436="",N(E2436)=0),"",IF(OR(O2436="?",P2436="?"),"⚠ akun tidak dikenal",IF(C2436=D2436,"⚠ debet = kredit","")))</f>
        <v/>
      </c>
    </row>
    <row r="2437" customFormat="false" ht="15" hidden="false" customHeight="false" outlineLevel="0" collapsed="false">
      <c r="A2437" s="5"/>
      <c r="B2437" s="83"/>
      <c r="C2437" s="5"/>
      <c r="D2437" s="5"/>
      <c r="E2437" s="44"/>
      <c r="F2437" s="5"/>
      <c r="G2437" s="5"/>
      <c r="H2437" s="5"/>
      <c r="I2437" s="5"/>
      <c r="J2437" s="102" t="str">
        <f aca="false">IF(B2437="","",MONTH(B2437))</f>
        <v/>
      </c>
      <c r="K2437" s="102" t="str">
        <f aca="false">IF(B2437="","",YEAR(B2437))</f>
        <v/>
      </c>
      <c r="L2437" s="102" t="str">
        <f aca="false">IF(N(E2437)=0,"",IF(COUNTIFS(AK_NAMA,C2437,AK_KAT,"KAS")+COUNTIFS(AK_NAMA,D2437,AK_KAT,"KAS")&lt;&gt;1,"",IF(COUNTIFS(AK_NAMA,C2437,AK_KAT,"KAS")=1,D2437,C2437)))</f>
        <v/>
      </c>
      <c r="M2437" s="103" t="n">
        <f aca="false">IF(L2437="",0,IF(L2437=D2437,E2437,-E2437))</f>
        <v>0</v>
      </c>
      <c r="N2437" s="102" t="str">
        <f aca="false">IF(L2437="","",IFERROR(INDEX(AK_BARIS,MATCH(L2437,AK_NAMA,0)),"?"))</f>
        <v/>
      </c>
      <c r="O2437" s="102" t="str">
        <f aca="false">IF(C2437="","",IFERROR(INDEX(AK_KEL,MATCH(C2437,AK_NAMA,0)),"?"))</f>
        <v/>
      </c>
      <c r="P2437" s="102" t="str">
        <f aca="false">IF(D2437="","",IFERROR(INDEX(AK_KEL,MATCH(D2437,AK_NAMA,0)),"?"))</f>
        <v/>
      </c>
      <c r="Q2437" s="102" t="n">
        <f aca="false">N(Q2436)+IF(AND(N(E2437)&lt;&gt;0,K2437=TAHUN,N(J2437)&lt;=BLN,OR(C2437=BB_AKUN,D2437=BB_AKUN)),1,0)</f>
        <v>877</v>
      </c>
      <c r="R2437" s="104" t="str">
        <f aca="false">IF(OR(C2437&amp;D2437="",N(E2437)=0),"",IF(OR(O2437="?",P2437="?"),"⚠ akun tidak dikenal",IF(C2437=D2437,"⚠ debet = kredit","")))</f>
        <v/>
      </c>
    </row>
    <row r="2438" customFormat="false" ht="15" hidden="false" customHeight="false" outlineLevel="0" collapsed="false">
      <c r="A2438" s="5"/>
      <c r="B2438" s="83"/>
      <c r="C2438" s="5"/>
      <c r="D2438" s="5"/>
      <c r="E2438" s="44"/>
      <c r="F2438" s="5"/>
      <c r="G2438" s="5"/>
      <c r="H2438" s="5"/>
      <c r="I2438" s="5"/>
      <c r="J2438" s="102" t="str">
        <f aca="false">IF(B2438="","",MONTH(B2438))</f>
        <v/>
      </c>
      <c r="K2438" s="102" t="str">
        <f aca="false">IF(B2438="","",YEAR(B2438))</f>
        <v/>
      </c>
      <c r="L2438" s="102" t="str">
        <f aca="false">IF(N(E2438)=0,"",IF(COUNTIFS(AK_NAMA,C2438,AK_KAT,"KAS")+COUNTIFS(AK_NAMA,D2438,AK_KAT,"KAS")&lt;&gt;1,"",IF(COUNTIFS(AK_NAMA,C2438,AK_KAT,"KAS")=1,D2438,C2438)))</f>
        <v/>
      </c>
      <c r="M2438" s="103" t="n">
        <f aca="false">IF(L2438="",0,IF(L2438=D2438,E2438,-E2438))</f>
        <v>0</v>
      </c>
      <c r="N2438" s="102" t="str">
        <f aca="false">IF(L2438="","",IFERROR(INDEX(AK_BARIS,MATCH(L2438,AK_NAMA,0)),"?"))</f>
        <v/>
      </c>
      <c r="O2438" s="102" t="str">
        <f aca="false">IF(C2438="","",IFERROR(INDEX(AK_KEL,MATCH(C2438,AK_NAMA,0)),"?"))</f>
        <v/>
      </c>
      <c r="P2438" s="102" t="str">
        <f aca="false">IF(D2438="","",IFERROR(INDEX(AK_KEL,MATCH(D2438,AK_NAMA,0)),"?"))</f>
        <v/>
      </c>
      <c r="Q2438" s="102" t="n">
        <f aca="false">N(Q2437)+IF(AND(N(E2438)&lt;&gt;0,K2438=TAHUN,N(J2438)&lt;=BLN,OR(C2438=BB_AKUN,D2438=BB_AKUN)),1,0)</f>
        <v>877</v>
      </c>
      <c r="R2438" s="104" t="str">
        <f aca="false">IF(OR(C2438&amp;D2438="",N(E2438)=0),"",IF(OR(O2438="?",P2438="?"),"⚠ akun tidak dikenal",IF(C2438=D2438,"⚠ debet = kredit","")))</f>
        <v/>
      </c>
    </row>
    <row r="2439" customFormat="false" ht="15" hidden="false" customHeight="false" outlineLevel="0" collapsed="false">
      <c r="A2439" s="5"/>
      <c r="B2439" s="83"/>
      <c r="C2439" s="5"/>
      <c r="D2439" s="5"/>
      <c r="E2439" s="44"/>
      <c r="F2439" s="5"/>
      <c r="G2439" s="5"/>
      <c r="H2439" s="5"/>
      <c r="I2439" s="5"/>
      <c r="J2439" s="102" t="str">
        <f aca="false">IF(B2439="","",MONTH(B2439))</f>
        <v/>
      </c>
      <c r="K2439" s="102" t="str">
        <f aca="false">IF(B2439="","",YEAR(B2439))</f>
        <v/>
      </c>
      <c r="L2439" s="102" t="str">
        <f aca="false">IF(N(E2439)=0,"",IF(COUNTIFS(AK_NAMA,C2439,AK_KAT,"KAS")+COUNTIFS(AK_NAMA,D2439,AK_KAT,"KAS")&lt;&gt;1,"",IF(COUNTIFS(AK_NAMA,C2439,AK_KAT,"KAS")=1,D2439,C2439)))</f>
        <v/>
      </c>
      <c r="M2439" s="103" t="n">
        <f aca="false">IF(L2439="",0,IF(L2439=D2439,E2439,-E2439))</f>
        <v>0</v>
      </c>
      <c r="N2439" s="102" t="str">
        <f aca="false">IF(L2439="","",IFERROR(INDEX(AK_BARIS,MATCH(L2439,AK_NAMA,0)),"?"))</f>
        <v/>
      </c>
      <c r="O2439" s="102" t="str">
        <f aca="false">IF(C2439="","",IFERROR(INDEX(AK_KEL,MATCH(C2439,AK_NAMA,0)),"?"))</f>
        <v/>
      </c>
      <c r="P2439" s="102" t="str">
        <f aca="false">IF(D2439="","",IFERROR(INDEX(AK_KEL,MATCH(D2439,AK_NAMA,0)),"?"))</f>
        <v/>
      </c>
      <c r="Q2439" s="102" t="n">
        <f aca="false">N(Q2438)+IF(AND(N(E2439)&lt;&gt;0,K2439=TAHUN,N(J2439)&lt;=BLN,OR(C2439=BB_AKUN,D2439=BB_AKUN)),1,0)</f>
        <v>877</v>
      </c>
      <c r="R2439" s="104" t="str">
        <f aca="false">IF(OR(C2439&amp;D2439="",N(E2439)=0),"",IF(OR(O2439="?",P2439="?"),"⚠ akun tidak dikenal",IF(C2439=D2439,"⚠ debet = kredit","")))</f>
        <v/>
      </c>
    </row>
    <row r="2440" customFormat="false" ht="15" hidden="false" customHeight="false" outlineLevel="0" collapsed="false">
      <c r="A2440" s="5"/>
      <c r="B2440" s="83"/>
      <c r="C2440" s="5"/>
      <c r="D2440" s="5"/>
      <c r="E2440" s="44"/>
      <c r="F2440" s="5"/>
      <c r="G2440" s="5"/>
      <c r="H2440" s="5"/>
      <c r="I2440" s="5"/>
      <c r="J2440" s="102" t="str">
        <f aca="false">IF(B2440="","",MONTH(B2440))</f>
        <v/>
      </c>
      <c r="K2440" s="102" t="str">
        <f aca="false">IF(B2440="","",YEAR(B2440))</f>
        <v/>
      </c>
      <c r="L2440" s="102" t="str">
        <f aca="false">IF(N(E2440)=0,"",IF(COUNTIFS(AK_NAMA,C2440,AK_KAT,"KAS")+COUNTIFS(AK_NAMA,D2440,AK_KAT,"KAS")&lt;&gt;1,"",IF(COUNTIFS(AK_NAMA,C2440,AK_KAT,"KAS")=1,D2440,C2440)))</f>
        <v/>
      </c>
      <c r="M2440" s="103" t="n">
        <f aca="false">IF(L2440="",0,IF(L2440=D2440,E2440,-E2440))</f>
        <v>0</v>
      </c>
      <c r="N2440" s="102" t="str">
        <f aca="false">IF(L2440="","",IFERROR(INDEX(AK_BARIS,MATCH(L2440,AK_NAMA,0)),"?"))</f>
        <v/>
      </c>
      <c r="O2440" s="102" t="str">
        <f aca="false">IF(C2440="","",IFERROR(INDEX(AK_KEL,MATCH(C2440,AK_NAMA,0)),"?"))</f>
        <v/>
      </c>
      <c r="P2440" s="102" t="str">
        <f aca="false">IF(D2440="","",IFERROR(INDEX(AK_KEL,MATCH(D2440,AK_NAMA,0)),"?"))</f>
        <v/>
      </c>
      <c r="Q2440" s="102" t="n">
        <f aca="false">N(Q2439)+IF(AND(N(E2440)&lt;&gt;0,K2440=TAHUN,N(J2440)&lt;=BLN,OR(C2440=BB_AKUN,D2440=BB_AKUN)),1,0)</f>
        <v>877</v>
      </c>
      <c r="R2440" s="104" t="str">
        <f aca="false">IF(OR(C2440&amp;D2440="",N(E2440)=0),"",IF(OR(O2440="?",P2440="?"),"⚠ akun tidak dikenal",IF(C2440=D2440,"⚠ debet = kredit","")))</f>
        <v/>
      </c>
    </row>
    <row r="2441" customFormat="false" ht="15" hidden="false" customHeight="false" outlineLevel="0" collapsed="false">
      <c r="A2441" s="5"/>
      <c r="B2441" s="83"/>
      <c r="C2441" s="5"/>
      <c r="D2441" s="5"/>
      <c r="E2441" s="44"/>
      <c r="F2441" s="5"/>
      <c r="G2441" s="5"/>
      <c r="H2441" s="5"/>
      <c r="I2441" s="5"/>
      <c r="J2441" s="102" t="str">
        <f aca="false">IF(B2441="","",MONTH(B2441))</f>
        <v/>
      </c>
      <c r="K2441" s="102" t="str">
        <f aca="false">IF(B2441="","",YEAR(B2441))</f>
        <v/>
      </c>
      <c r="L2441" s="102" t="str">
        <f aca="false">IF(N(E2441)=0,"",IF(COUNTIFS(AK_NAMA,C2441,AK_KAT,"KAS")+COUNTIFS(AK_NAMA,D2441,AK_KAT,"KAS")&lt;&gt;1,"",IF(COUNTIFS(AK_NAMA,C2441,AK_KAT,"KAS")=1,D2441,C2441)))</f>
        <v/>
      </c>
      <c r="M2441" s="103" t="n">
        <f aca="false">IF(L2441="",0,IF(L2441=D2441,E2441,-E2441))</f>
        <v>0</v>
      </c>
      <c r="N2441" s="102" t="str">
        <f aca="false">IF(L2441="","",IFERROR(INDEX(AK_BARIS,MATCH(L2441,AK_NAMA,0)),"?"))</f>
        <v/>
      </c>
      <c r="O2441" s="102" t="str">
        <f aca="false">IF(C2441="","",IFERROR(INDEX(AK_KEL,MATCH(C2441,AK_NAMA,0)),"?"))</f>
        <v/>
      </c>
      <c r="P2441" s="102" t="str">
        <f aca="false">IF(D2441="","",IFERROR(INDEX(AK_KEL,MATCH(D2441,AK_NAMA,0)),"?"))</f>
        <v/>
      </c>
      <c r="Q2441" s="102" t="n">
        <f aca="false">N(Q2440)+IF(AND(N(E2441)&lt;&gt;0,K2441=TAHUN,N(J2441)&lt;=BLN,OR(C2441=BB_AKUN,D2441=BB_AKUN)),1,0)</f>
        <v>877</v>
      </c>
      <c r="R2441" s="104" t="str">
        <f aca="false">IF(OR(C2441&amp;D2441="",N(E2441)=0),"",IF(OR(O2441="?",P2441="?"),"⚠ akun tidak dikenal",IF(C2441=D2441,"⚠ debet = kredit","")))</f>
        <v/>
      </c>
    </row>
    <row r="2442" customFormat="false" ht="15" hidden="false" customHeight="false" outlineLevel="0" collapsed="false">
      <c r="A2442" s="5"/>
      <c r="B2442" s="83"/>
      <c r="C2442" s="5"/>
      <c r="D2442" s="5"/>
      <c r="E2442" s="44"/>
      <c r="F2442" s="5"/>
      <c r="G2442" s="5"/>
      <c r="H2442" s="5"/>
      <c r="I2442" s="5"/>
      <c r="J2442" s="102" t="str">
        <f aca="false">IF(B2442="","",MONTH(B2442))</f>
        <v/>
      </c>
      <c r="K2442" s="102" t="str">
        <f aca="false">IF(B2442="","",YEAR(B2442))</f>
        <v/>
      </c>
      <c r="L2442" s="102" t="str">
        <f aca="false">IF(N(E2442)=0,"",IF(COUNTIFS(AK_NAMA,C2442,AK_KAT,"KAS")+COUNTIFS(AK_NAMA,D2442,AK_KAT,"KAS")&lt;&gt;1,"",IF(COUNTIFS(AK_NAMA,C2442,AK_KAT,"KAS")=1,D2442,C2442)))</f>
        <v/>
      </c>
      <c r="M2442" s="103" t="n">
        <f aca="false">IF(L2442="",0,IF(L2442=D2442,E2442,-E2442))</f>
        <v>0</v>
      </c>
      <c r="N2442" s="102" t="str">
        <f aca="false">IF(L2442="","",IFERROR(INDEX(AK_BARIS,MATCH(L2442,AK_NAMA,0)),"?"))</f>
        <v/>
      </c>
      <c r="O2442" s="102" t="str">
        <f aca="false">IF(C2442="","",IFERROR(INDEX(AK_KEL,MATCH(C2442,AK_NAMA,0)),"?"))</f>
        <v/>
      </c>
      <c r="P2442" s="102" t="str">
        <f aca="false">IF(D2442="","",IFERROR(INDEX(AK_KEL,MATCH(D2442,AK_NAMA,0)),"?"))</f>
        <v/>
      </c>
      <c r="Q2442" s="102" t="n">
        <f aca="false">N(Q2441)+IF(AND(N(E2442)&lt;&gt;0,K2442=TAHUN,N(J2442)&lt;=BLN,OR(C2442=BB_AKUN,D2442=BB_AKUN)),1,0)</f>
        <v>877</v>
      </c>
      <c r="R2442" s="104" t="str">
        <f aca="false">IF(OR(C2442&amp;D2442="",N(E2442)=0),"",IF(OR(O2442="?",P2442="?"),"⚠ akun tidak dikenal",IF(C2442=D2442,"⚠ debet = kredit","")))</f>
        <v/>
      </c>
    </row>
    <row r="2443" customFormat="false" ht="15" hidden="false" customHeight="false" outlineLevel="0" collapsed="false">
      <c r="A2443" s="5"/>
      <c r="B2443" s="83"/>
      <c r="C2443" s="5"/>
      <c r="D2443" s="5"/>
      <c r="E2443" s="44"/>
      <c r="F2443" s="5"/>
      <c r="G2443" s="5"/>
      <c r="H2443" s="5"/>
      <c r="I2443" s="5"/>
      <c r="J2443" s="102" t="str">
        <f aca="false">IF(B2443="","",MONTH(B2443))</f>
        <v/>
      </c>
      <c r="K2443" s="102" t="str">
        <f aca="false">IF(B2443="","",YEAR(B2443))</f>
        <v/>
      </c>
      <c r="L2443" s="102" t="str">
        <f aca="false">IF(N(E2443)=0,"",IF(COUNTIFS(AK_NAMA,C2443,AK_KAT,"KAS")+COUNTIFS(AK_NAMA,D2443,AK_KAT,"KAS")&lt;&gt;1,"",IF(COUNTIFS(AK_NAMA,C2443,AK_KAT,"KAS")=1,D2443,C2443)))</f>
        <v/>
      </c>
      <c r="M2443" s="103" t="n">
        <f aca="false">IF(L2443="",0,IF(L2443=D2443,E2443,-E2443))</f>
        <v>0</v>
      </c>
      <c r="N2443" s="102" t="str">
        <f aca="false">IF(L2443="","",IFERROR(INDEX(AK_BARIS,MATCH(L2443,AK_NAMA,0)),"?"))</f>
        <v/>
      </c>
      <c r="O2443" s="102" t="str">
        <f aca="false">IF(C2443="","",IFERROR(INDEX(AK_KEL,MATCH(C2443,AK_NAMA,0)),"?"))</f>
        <v/>
      </c>
      <c r="P2443" s="102" t="str">
        <f aca="false">IF(D2443="","",IFERROR(INDEX(AK_KEL,MATCH(D2443,AK_NAMA,0)),"?"))</f>
        <v/>
      </c>
      <c r="Q2443" s="102" t="n">
        <f aca="false">N(Q2442)+IF(AND(N(E2443)&lt;&gt;0,K2443=TAHUN,N(J2443)&lt;=BLN,OR(C2443=BB_AKUN,D2443=BB_AKUN)),1,0)</f>
        <v>877</v>
      </c>
      <c r="R2443" s="104" t="str">
        <f aca="false">IF(OR(C2443&amp;D2443="",N(E2443)=0),"",IF(OR(O2443="?",P2443="?"),"⚠ akun tidak dikenal",IF(C2443=D2443,"⚠ debet = kredit","")))</f>
        <v/>
      </c>
    </row>
    <row r="2444" customFormat="false" ht="15" hidden="false" customHeight="false" outlineLevel="0" collapsed="false">
      <c r="A2444" s="5"/>
      <c r="B2444" s="83"/>
      <c r="C2444" s="5"/>
      <c r="D2444" s="5"/>
      <c r="E2444" s="44"/>
      <c r="F2444" s="5"/>
      <c r="G2444" s="5"/>
      <c r="H2444" s="5"/>
      <c r="I2444" s="5"/>
      <c r="J2444" s="102" t="str">
        <f aca="false">IF(B2444="","",MONTH(B2444))</f>
        <v/>
      </c>
      <c r="K2444" s="102" t="str">
        <f aca="false">IF(B2444="","",YEAR(B2444))</f>
        <v/>
      </c>
      <c r="L2444" s="102" t="str">
        <f aca="false">IF(N(E2444)=0,"",IF(COUNTIFS(AK_NAMA,C2444,AK_KAT,"KAS")+COUNTIFS(AK_NAMA,D2444,AK_KAT,"KAS")&lt;&gt;1,"",IF(COUNTIFS(AK_NAMA,C2444,AK_KAT,"KAS")=1,D2444,C2444)))</f>
        <v/>
      </c>
      <c r="M2444" s="103" t="n">
        <f aca="false">IF(L2444="",0,IF(L2444=D2444,E2444,-E2444))</f>
        <v>0</v>
      </c>
      <c r="N2444" s="102" t="str">
        <f aca="false">IF(L2444="","",IFERROR(INDEX(AK_BARIS,MATCH(L2444,AK_NAMA,0)),"?"))</f>
        <v/>
      </c>
      <c r="O2444" s="102" t="str">
        <f aca="false">IF(C2444="","",IFERROR(INDEX(AK_KEL,MATCH(C2444,AK_NAMA,0)),"?"))</f>
        <v/>
      </c>
      <c r="P2444" s="102" t="str">
        <f aca="false">IF(D2444="","",IFERROR(INDEX(AK_KEL,MATCH(D2444,AK_NAMA,0)),"?"))</f>
        <v/>
      </c>
      <c r="Q2444" s="102" t="n">
        <f aca="false">N(Q2443)+IF(AND(N(E2444)&lt;&gt;0,K2444=TAHUN,N(J2444)&lt;=BLN,OR(C2444=BB_AKUN,D2444=BB_AKUN)),1,0)</f>
        <v>877</v>
      </c>
      <c r="R2444" s="104" t="str">
        <f aca="false">IF(OR(C2444&amp;D2444="",N(E2444)=0),"",IF(OR(O2444="?",P2444="?"),"⚠ akun tidak dikenal",IF(C2444=D2444,"⚠ debet = kredit","")))</f>
        <v/>
      </c>
    </row>
    <row r="2445" customFormat="false" ht="15" hidden="false" customHeight="false" outlineLevel="0" collapsed="false">
      <c r="A2445" s="5"/>
      <c r="B2445" s="83"/>
      <c r="C2445" s="5"/>
      <c r="D2445" s="5"/>
      <c r="E2445" s="44"/>
      <c r="F2445" s="5"/>
      <c r="G2445" s="5"/>
      <c r="H2445" s="5"/>
      <c r="I2445" s="5"/>
      <c r="J2445" s="102" t="str">
        <f aca="false">IF(B2445="","",MONTH(B2445))</f>
        <v/>
      </c>
      <c r="K2445" s="102" t="str">
        <f aca="false">IF(B2445="","",YEAR(B2445))</f>
        <v/>
      </c>
      <c r="L2445" s="102" t="str">
        <f aca="false">IF(N(E2445)=0,"",IF(COUNTIFS(AK_NAMA,C2445,AK_KAT,"KAS")+COUNTIFS(AK_NAMA,D2445,AK_KAT,"KAS")&lt;&gt;1,"",IF(COUNTIFS(AK_NAMA,C2445,AK_KAT,"KAS")=1,D2445,C2445)))</f>
        <v/>
      </c>
      <c r="M2445" s="103" t="n">
        <f aca="false">IF(L2445="",0,IF(L2445=D2445,E2445,-E2445))</f>
        <v>0</v>
      </c>
      <c r="N2445" s="102" t="str">
        <f aca="false">IF(L2445="","",IFERROR(INDEX(AK_BARIS,MATCH(L2445,AK_NAMA,0)),"?"))</f>
        <v/>
      </c>
      <c r="O2445" s="102" t="str">
        <f aca="false">IF(C2445="","",IFERROR(INDEX(AK_KEL,MATCH(C2445,AK_NAMA,0)),"?"))</f>
        <v/>
      </c>
      <c r="P2445" s="102" t="str">
        <f aca="false">IF(D2445="","",IFERROR(INDEX(AK_KEL,MATCH(D2445,AK_NAMA,0)),"?"))</f>
        <v/>
      </c>
      <c r="Q2445" s="102" t="n">
        <f aca="false">N(Q2444)+IF(AND(N(E2445)&lt;&gt;0,K2445=TAHUN,N(J2445)&lt;=BLN,OR(C2445=BB_AKUN,D2445=BB_AKUN)),1,0)</f>
        <v>877</v>
      </c>
      <c r="R2445" s="104" t="str">
        <f aca="false">IF(OR(C2445&amp;D2445="",N(E2445)=0),"",IF(OR(O2445="?",P2445="?"),"⚠ akun tidak dikenal",IF(C2445=D2445,"⚠ debet = kredit","")))</f>
        <v/>
      </c>
    </row>
    <row r="2446" customFormat="false" ht="15" hidden="false" customHeight="false" outlineLevel="0" collapsed="false">
      <c r="A2446" s="5"/>
      <c r="B2446" s="83"/>
      <c r="C2446" s="5"/>
      <c r="D2446" s="5"/>
      <c r="E2446" s="44"/>
      <c r="F2446" s="5"/>
      <c r="G2446" s="5"/>
      <c r="H2446" s="5"/>
      <c r="I2446" s="5"/>
      <c r="J2446" s="102" t="str">
        <f aca="false">IF(B2446="","",MONTH(B2446))</f>
        <v/>
      </c>
      <c r="K2446" s="102" t="str">
        <f aca="false">IF(B2446="","",YEAR(B2446))</f>
        <v/>
      </c>
      <c r="L2446" s="102" t="str">
        <f aca="false">IF(N(E2446)=0,"",IF(COUNTIFS(AK_NAMA,C2446,AK_KAT,"KAS")+COUNTIFS(AK_NAMA,D2446,AK_KAT,"KAS")&lt;&gt;1,"",IF(COUNTIFS(AK_NAMA,C2446,AK_KAT,"KAS")=1,D2446,C2446)))</f>
        <v/>
      </c>
      <c r="M2446" s="103" t="n">
        <f aca="false">IF(L2446="",0,IF(L2446=D2446,E2446,-E2446))</f>
        <v>0</v>
      </c>
      <c r="N2446" s="102" t="str">
        <f aca="false">IF(L2446="","",IFERROR(INDEX(AK_BARIS,MATCH(L2446,AK_NAMA,0)),"?"))</f>
        <v/>
      </c>
      <c r="O2446" s="102" t="str">
        <f aca="false">IF(C2446="","",IFERROR(INDEX(AK_KEL,MATCH(C2446,AK_NAMA,0)),"?"))</f>
        <v/>
      </c>
      <c r="P2446" s="102" t="str">
        <f aca="false">IF(D2446="","",IFERROR(INDEX(AK_KEL,MATCH(D2446,AK_NAMA,0)),"?"))</f>
        <v/>
      </c>
      <c r="Q2446" s="102" t="n">
        <f aca="false">N(Q2445)+IF(AND(N(E2446)&lt;&gt;0,K2446=TAHUN,N(J2446)&lt;=BLN,OR(C2446=BB_AKUN,D2446=BB_AKUN)),1,0)</f>
        <v>877</v>
      </c>
      <c r="R2446" s="104" t="str">
        <f aca="false">IF(OR(C2446&amp;D2446="",N(E2446)=0),"",IF(OR(O2446="?",P2446="?"),"⚠ akun tidak dikenal",IF(C2446=D2446,"⚠ debet = kredit","")))</f>
        <v/>
      </c>
    </row>
    <row r="2447" customFormat="false" ht="15" hidden="false" customHeight="false" outlineLevel="0" collapsed="false">
      <c r="A2447" s="5"/>
      <c r="B2447" s="83"/>
      <c r="C2447" s="5"/>
      <c r="D2447" s="5"/>
      <c r="E2447" s="44"/>
      <c r="F2447" s="5"/>
      <c r="G2447" s="5"/>
      <c r="H2447" s="5"/>
      <c r="I2447" s="5"/>
      <c r="J2447" s="102" t="str">
        <f aca="false">IF(B2447="","",MONTH(B2447))</f>
        <v/>
      </c>
      <c r="K2447" s="102" t="str">
        <f aca="false">IF(B2447="","",YEAR(B2447))</f>
        <v/>
      </c>
      <c r="L2447" s="102" t="str">
        <f aca="false">IF(N(E2447)=0,"",IF(COUNTIFS(AK_NAMA,C2447,AK_KAT,"KAS")+COUNTIFS(AK_NAMA,D2447,AK_KAT,"KAS")&lt;&gt;1,"",IF(COUNTIFS(AK_NAMA,C2447,AK_KAT,"KAS")=1,D2447,C2447)))</f>
        <v/>
      </c>
      <c r="M2447" s="103" t="n">
        <f aca="false">IF(L2447="",0,IF(L2447=D2447,E2447,-E2447))</f>
        <v>0</v>
      </c>
      <c r="N2447" s="102" t="str">
        <f aca="false">IF(L2447="","",IFERROR(INDEX(AK_BARIS,MATCH(L2447,AK_NAMA,0)),"?"))</f>
        <v/>
      </c>
      <c r="O2447" s="102" t="str">
        <f aca="false">IF(C2447="","",IFERROR(INDEX(AK_KEL,MATCH(C2447,AK_NAMA,0)),"?"))</f>
        <v/>
      </c>
      <c r="P2447" s="102" t="str">
        <f aca="false">IF(D2447="","",IFERROR(INDEX(AK_KEL,MATCH(D2447,AK_NAMA,0)),"?"))</f>
        <v/>
      </c>
      <c r="Q2447" s="102" t="n">
        <f aca="false">N(Q2446)+IF(AND(N(E2447)&lt;&gt;0,K2447=TAHUN,N(J2447)&lt;=BLN,OR(C2447=BB_AKUN,D2447=BB_AKUN)),1,0)</f>
        <v>877</v>
      </c>
      <c r="R2447" s="104" t="str">
        <f aca="false">IF(OR(C2447&amp;D2447="",N(E2447)=0),"",IF(OR(O2447="?",P2447="?"),"⚠ akun tidak dikenal",IF(C2447=D2447,"⚠ debet = kredit","")))</f>
        <v/>
      </c>
    </row>
    <row r="2448" customFormat="false" ht="15" hidden="false" customHeight="false" outlineLevel="0" collapsed="false">
      <c r="A2448" s="5"/>
      <c r="B2448" s="83"/>
      <c r="C2448" s="5"/>
      <c r="D2448" s="5"/>
      <c r="E2448" s="44"/>
      <c r="F2448" s="5"/>
      <c r="G2448" s="5"/>
      <c r="H2448" s="5"/>
      <c r="I2448" s="5"/>
      <c r="J2448" s="102" t="str">
        <f aca="false">IF(B2448="","",MONTH(B2448))</f>
        <v/>
      </c>
      <c r="K2448" s="102" t="str">
        <f aca="false">IF(B2448="","",YEAR(B2448))</f>
        <v/>
      </c>
      <c r="L2448" s="102" t="str">
        <f aca="false">IF(N(E2448)=0,"",IF(COUNTIFS(AK_NAMA,C2448,AK_KAT,"KAS")+COUNTIFS(AK_NAMA,D2448,AK_KAT,"KAS")&lt;&gt;1,"",IF(COUNTIFS(AK_NAMA,C2448,AK_KAT,"KAS")=1,D2448,C2448)))</f>
        <v/>
      </c>
      <c r="M2448" s="103" t="n">
        <f aca="false">IF(L2448="",0,IF(L2448=D2448,E2448,-E2448))</f>
        <v>0</v>
      </c>
      <c r="N2448" s="102" t="str">
        <f aca="false">IF(L2448="","",IFERROR(INDEX(AK_BARIS,MATCH(L2448,AK_NAMA,0)),"?"))</f>
        <v/>
      </c>
      <c r="O2448" s="102" t="str">
        <f aca="false">IF(C2448="","",IFERROR(INDEX(AK_KEL,MATCH(C2448,AK_NAMA,0)),"?"))</f>
        <v/>
      </c>
      <c r="P2448" s="102" t="str">
        <f aca="false">IF(D2448="","",IFERROR(INDEX(AK_KEL,MATCH(D2448,AK_NAMA,0)),"?"))</f>
        <v/>
      </c>
      <c r="Q2448" s="102" t="n">
        <f aca="false">N(Q2447)+IF(AND(N(E2448)&lt;&gt;0,K2448=TAHUN,N(J2448)&lt;=BLN,OR(C2448=BB_AKUN,D2448=BB_AKUN)),1,0)</f>
        <v>877</v>
      </c>
      <c r="R2448" s="104" t="str">
        <f aca="false">IF(OR(C2448&amp;D2448="",N(E2448)=0),"",IF(OR(O2448="?",P2448="?"),"⚠ akun tidak dikenal",IF(C2448=D2448,"⚠ debet = kredit","")))</f>
        <v/>
      </c>
    </row>
    <row r="2449" customFormat="false" ht="15" hidden="false" customHeight="false" outlineLevel="0" collapsed="false">
      <c r="A2449" s="5"/>
      <c r="B2449" s="83"/>
      <c r="C2449" s="5"/>
      <c r="D2449" s="5"/>
      <c r="E2449" s="44"/>
      <c r="F2449" s="5"/>
      <c r="G2449" s="5"/>
      <c r="H2449" s="5"/>
      <c r="I2449" s="5"/>
      <c r="J2449" s="102" t="str">
        <f aca="false">IF(B2449="","",MONTH(B2449))</f>
        <v/>
      </c>
      <c r="K2449" s="102" t="str">
        <f aca="false">IF(B2449="","",YEAR(B2449))</f>
        <v/>
      </c>
      <c r="L2449" s="102" t="str">
        <f aca="false">IF(N(E2449)=0,"",IF(COUNTIFS(AK_NAMA,C2449,AK_KAT,"KAS")+COUNTIFS(AK_NAMA,D2449,AK_KAT,"KAS")&lt;&gt;1,"",IF(COUNTIFS(AK_NAMA,C2449,AK_KAT,"KAS")=1,D2449,C2449)))</f>
        <v/>
      </c>
      <c r="M2449" s="103" t="n">
        <f aca="false">IF(L2449="",0,IF(L2449=D2449,E2449,-E2449))</f>
        <v>0</v>
      </c>
      <c r="N2449" s="102" t="str">
        <f aca="false">IF(L2449="","",IFERROR(INDEX(AK_BARIS,MATCH(L2449,AK_NAMA,0)),"?"))</f>
        <v/>
      </c>
      <c r="O2449" s="102" t="str">
        <f aca="false">IF(C2449="","",IFERROR(INDEX(AK_KEL,MATCH(C2449,AK_NAMA,0)),"?"))</f>
        <v/>
      </c>
      <c r="P2449" s="102" t="str">
        <f aca="false">IF(D2449="","",IFERROR(INDEX(AK_KEL,MATCH(D2449,AK_NAMA,0)),"?"))</f>
        <v/>
      </c>
      <c r="Q2449" s="102" t="n">
        <f aca="false">N(Q2448)+IF(AND(N(E2449)&lt;&gt;0,K2449=TAHUN,N(J2449)&lt;=BLN,OR(C2449=BB_AKUN,D2449=BB_AKUN)),1,0)</f>
        <v>877</v>
      </c>
      <c r="R2449" s="104" t="str">
        <f aca="false">IF(OR(C2449&amp;D2449="",N(E2449)=0),"",IF(OR(O2449="?",P2449="?"),"⚠ akun tidak dikenal",IF(C2449=D2449,"⚠ debet = kredit","")))</f>
        <v/>
      </c>
    </row>
    <row r="2450" customFormat="false" ht="15" hidden="false" customHeight="false" outlineLevel="0" collapsed="false">
      <c r="A2450" s="5"/>
      <c r="B2450" s="83"/>
      <c r="C2450" s="5"/>
      <c r="D2450" s="5"/>
      <c r="E2450" s="44"/>
      <c r="F2450" s="5"/>
      <c r="G2450" s="5"/>
      <c r="H2450" s="5"/>
      <c r="I2450" s="5"/>
      <c r="J2450" s="102" t="str">
        <f aca="false">IF(B2450="","",MONTH(B2450))</f>
        <v/>
      </c>
      <c r="K2450" s="102" t="str">
        <f aca="false">IF(B2450="","",YEAR(B2450))</f>
        <v/>
      </c>
      <c r="L2450" s="102" t="str">
        <f aca="false">IF(N(E2450)=0,"",IF(COUNTIFS(AK_NAMA,C2450,AK_KAT,"KAS")+COUNTIFS(AK_NAMA,D2450,AK_KAT,"KAS")&lt;&gt;1,"",IF(COUNTIFS(AK_NAMA,C2450,AK_KAT,"KAS")=1,D2450,C2450)))</f>
        <v/>
      </c>
      <c r="M2450" s="103" t="n">
        <f aca="false">IF(L2450="",0,IF(L2450=D2450,E2450,-E2450))</f>
        <v>0</v>
      </c>
      <c r="N2450" s="102" t="str">
        <f aca="false">IF(L2450="","",IFERROR(INDEX(AK_BARIS,MATCH(L2450,AK_NAMA,0)),"?"))</f>
        <v/>
      </c>
      <c r="O2450" s="102" t="str">
        <f aca="false">IF(C2450="","",IFERROR(INDEX(AK_KEL,MATCH(C2450,AK_NAMA,0)),"?"))</f>
        <v/>
      </c>
      <c r="P2450" s="102" t="str">
        <f aca="false">IF(D2450="","",IFERROR(INDEX(AK_KEL,MATCH(D2450,AK_NAMA,0)),"?"))</f>
        <v/>
      </c>
      <c r="Q2450" s="102" t="n">
        <f aca="false">N(Q2449)+IF(AND(N(E2450)&lt;&gt;0,K2450=TAHUN,N(J2450)&lt;=BLN,OR(C2450=BB_AKUN,D2450=BB_AKUN)),1,0)</f>
        <v>877</v>
      </c>
      <c r="R2450" s="104" t="str">
        <f aca="false">IF(OR(C2450&amp;D2450="",N(E2450)=0),"",IF(OR(O2450="?",P2450="?"),"⚠ akun tidak dikenal",IF(C2450=D2450,"⚠ debet = kredit","")))</f>
        <v/>
      </c>
    </row>
    <row r="2451" customFormat="false" ht="15" hidden="false" customHeight="false" outlineLevel="0" collapsed="false">
      <c r="A2451" s="5"/>
      <c r="B2451" s="83"/>
      <c r="C2451" s="5"/>
      <c r="D2451" s="5"/>
      <c r="E2451" s="44"/>
      <c r="F2451" s="5"/>
      <c r="G2451" s="5"/>
      <c r="H2451" s="5"/>
      <c r="I2451" s="5"/>
      <c r="J2451" s="102" t="str">
        <f aca="false">IF(B2451="","",MONTH(B2451))</f>
        <v/>
      </c>
      <c r="K2451" s="102" t="str">
        <f aca="false">IF(B2451="","",YEAR(B2451))</f>
        <v/>
      </c>
      <c r="L2451" s="102" t="str">
        <f aca="false">IF(N(E2451)=0,"",IF(COUNTIFS(AK_NAMA,C2451,AK_KAT,"KAS")+COUNTIFS(AK_NAMA,D2451,AK_KAT,"KAS")&lt;&gt;1,"",IF(COUNTIFS(AK_NAMA,C2451,AK_KAT,"KAS")=1,D2451,C2451)))</f>
        <v/>
      </c>
      <c r="M2451" s="103" t="n">
        <f aca="false">IF(L2451="",0,IF(L2451=D2451,E2451,-E2451))</f>
        <v>0</v>
      </c>
      <c r="N2451" s="102" t="str">
        <f aca="false">IF(L2451="","",IFERROR(INDEX(AK_BARIS,MATCH(L2451,AK_NAMA,0)),"?"))</f>
        <v/>
      </c>
      <c r="O2451" s="102" t="str">
        <f aca="false">IF(C2451="","",IFERROR(INDEX(AK_KEL,MATCH(C2451,AK_NAMA,0)),"?"))</f>
        <v/>
      </c>
      <c r="P2451" s="102" t="str">
        <f aca="false">IF(D2451="","",IFERROR(INDEX(AK_KEL,MATCH(D2451,AK_NAMA,0)),"?"))</f>
        <v/>
      </c>
      <c r="Q2451" s="102" t="n">
        <f aca="false">N(Q2450)+IF(AND(N(E2451)&lt;&gt;0,K2451=TAHUN,N(J2451)&lt;=BLN,OR(C2451=BB_AKUN,D2451=BB_AKUN)),1,0)</f>
        <v>877</v>
      </c>
      <c r="R2451" s="104" t="str">
        <f aca="false">IF(OR(C2451&amp;D2451="",N(E2451)=0),"",IF(OR(O2451="?",P2451="?"),"⚠ akun tidak dikenal",IF(C2451=D2451,"⚠ debet = kredit","")))</f>
        <v/>
      </c>
    </row>
    <row r="2452" customFormat="false" ht="15" hidden="false" customHeight="false" outlineLevel="0" collapsed="false">
      <c r="A2452" s="5"/>
      <c r="B2452" s="83"/>
      <c r="C2452" s="5"/>
      <c r="D2452" s="5"/>
      <c r="E2452" s="44"/>
      <c r="F2452" s="5"/>
      <c r="G2452" s="5"/>
      <c r="H2452" s="5"/>
      <c r="I2452" s="5"/>
      <c r="J2452" s="102" t="str">
        <f aca="false">IF(B2452="","",MONTH(B2452))</f>
        <v/>
      </c>
      <c r="K2452" s="102" t="str">
        <f aca="false">IF(B2452="","",YEAR(B2452))</f>
        <v/>
      </c>
      <c r="L2452" s="102" t="str">
        <f aca="false">IF(N(E2452)=0,"",IF(COUNTIFS(AK_NAMA,C2452,AK_KAT,"KAS")+COUNTIFS(AK_NAMA,D2452,AK_KAT,"KAS")&lt;&gt;1,"",IF(COUNTIFS(AK_NAMA,C2452,AK_KAT,"KAS")=1,D2452,C2452)))</f>
        <v/>
      </c>
      <c r="M2452" s="103" t="n">
        <f aca="false">IF(L2452="",0,IF(L2452=D2452,E2452,-E2452))</f>
        <v>0</v>
      </c>
      <c r="N2452" s="102" t="str">
        <f aca="false">IF(L2452="","",IFERROR(INDEX(AK_BARIS,MATCH(L2452,AK_NAMA,0)),"?"))</f>
        <v/>
      </c>
      <c r="O2452" s="102" t="str">
        <f aca="false">IF(C2452="","",IFERROR(INDEX(AK_KEL,MATCH(C2452,AK_NAMA,0)),"?"))</f>
        <v/>
      </c>
      <c r="P2452" s="102" t="str">
        <f aca="false">IF(D2452="","",IFERROR(INDEX(AK_KEL,MATCH(D2452,AK_NAMA,0)),"?"))</f>
        <v/>
      </c>
      <c r="Q2452" s="102" t="n">
        <f aca="false">N(Q2451)+IF(AND(N(E2452)&lt;&gt;0,K2452=TAHUN,N(J2452)&lt;=BLN,OR(C2452=BB_AKUN,D2452=BB_AKUN)),1,0)</f>
        <v>877</v>
      </c>
      <c r="R2452" s="104" t="str">
        <f aca="false">IF(OR(C2452&amp;D2452="",N(E2452)=0),"",IF(OR(O2452="?",P2452="?"),"⚠ akun tidak dikenal",IF(C2452=D2452,"⚠ debet = kredit","")))</f>
        <v/>
      </c>
    </row>
    <row r="2453" customFormat="false" ht="15" hidden="false" customHeight="false" outlineLevel="0" collapsed="false">
      <c r="A2453" s="5"/>
      <c r="B2453" s="83"/>
      <c r="C2453" s="5"/>
      <c r="D2453" s="5"/>
      <c r="E2453" s="44"/>
      <c r="F2453" s="5"/>
      <c r="G2453" s="5"/>
      <c r="H2453" s="5"/>
      <c r="I2453" s="5"/>
      <c r="J2453" s="102" t="str">
        <f aca="false">IF(B2453="","",MONTH(B2453))</f>
        <v/>
      </c>
      <c r="K2453" s="102" t="str">
        <f aca="false">IF(B2453="","",YEAR(B2453))</f>
        <v/>
      </c>
      <c r="L2453" s="102" t="str">
        <f aca="false">IF(N(E2453)=0,"",IF(COUNTIFS(AK_NAMA,C2453,AK_KAT,"KAS")+COUNTIFS(AK_NAMA,D2453,AK_KAT,"KAS")&lt;&gt;1,"",IF(COUNTIFS(AK_NAMA,C2453,AK_KAT,"KAS")=1,D2453,C2453)))</f>
        <v/>
      </c>
      <c r="M2453" s="103" t="n">
        <f aca="false">IF(L2453="",0,IF(L2453=D2453,E2453,-E2453))</f>
        <v>0</v>
      </c>
      <c r="N2453" s="102" t="str">
        <f aca="false">IF(L2453="","",IFERROR(INDEX(AK_BARIS,MATCH(L2453,AK_NAMA,0)),"?"))</f>
        <v/>
      </c>
      <c r="O2453" s="102" t="str">
        <f aca="false">IF(C2453="","",IFERROR(INDEX(AK_KEL,MATCH(C2453,AK_NAMA,0)),"?"))</f>
        <v/>
      </c>
      <c r="P2453" s="102" t="str">
        <f aca="false">IF(D2453="","",IFERROR(INDEX(AK_KEL,MATCH(D2453,AK_NAMA,0)),"?"))</f>
        <v/>
      </c>
      <c r="Q2453" s="102" t="n">
        <f aca="false">N(Q2452)+IF(AND(N(E2453)&lt;&gt;0,K2453=TAHUN,N(J2453)&lt;=BLN,OR(C2453=BB_AKUN,D2453=BB_AKUN)),1,0)</f>
        <v>877</v>
      </c>
      <c r="R2453" s="104" t="str">
        <f aca="false">IF(OR(C2453&amp;D2453="",N(E2453)=0),"",IF(OR(O2453="?",P2453="?"),"⚠ akun tidak dikenal",IF(C2453=D2453,"⚠ debet = kredit","")))</f>
        <v/>
      </c>
    </row>
    <row r="2454" customFormat="false" ht="15" hidden="false" customHeight="false" outlineLevel="0" collapsed="false">
      <c r="A2454" s="5"/>
      <c r="B2454" s="83"/>
      <c r="C2454" s="5"/>
      <c r="D2454" s="5"/>
      <c r="E2454" s="44"/>
      <c r="F2454" s="5"/>
      <c r="G2454" s="5"/>
      <c r="H2454" s="5"/>
      <c r="I2454" s="5"/>
      <c r="J2454" s="102" t="str">
        <f aca="false">IF(B2454="","",MONTH(B2454))</f>
        <v/>
      </c>
      <c r="K2454" s="102" t="str">
        <f aca="false">IF(B2454="","",YEAR(B2454))</f>
        <v/>
      </c>
      <c r="L2454" s="102" t="str">
        <f aca="false">IF(N(E2454)=0,"",IF(COUNTIFS(AK_NAMA,C2454,AK_KAT,"KAS")+COUNTIFS(AK_NAMA,D2454,AK_KAT,"KAS")&lt;&gt;1,"",IF(COUNTIFS(AK_NAMA,C2454,AK_KAT,"KAS")=1,D2454,C2454)))</f>
        <v/>
      </c>
      <c r="M2454" s="103" t="n">
        <f aca="false">IF(L2454="",0,IF(L2454=D2454,E2454,-E2454))</f>
        <v>0</v>
      </c>
      <c r="N2454" s="102" t="str">
        <f aca="false">IF(L2454="","",IFERROR(INDEX(AK_BARIS,MATCH(L2454,AK_NAMA,0)),"?"))</f>
        <v/>
      </c>
      <c r="O2454" s="102" t="str">
        <f aca="false">IF(C2454="","",IFERROR(INDEX(AK_KEL,MATCH(C2454,AK_NAMA,0)),"?"))</f>
        <v/>
      </c>
      <c r="P2454" s="102" t="str">
        <f aca="false">IF(D2454="","",IFERROR(INDEX(AK_KEL,MATCH(D2454,AK_NAMA,0)),"?"))</f>
        <v/>
      </c>
      <c r="Q2454" s="102" t="n">
        <f aca="false">N(Q2453)+IF(AND(N(E2454)&lt;&gt;0,K2454=TAHUN,N(J2454)&lt;=BLN,OR(C2454=BB_AKUN,D2454=BB_AKUN)),1,0)</f>
        <v>877</v>
      </c>
      <c r="R2454" s="104" t="str">
        <f aca="false">IF(OR(C2454&amp;D2454="",N(E2454)=0),"",IF(OR(O2454="?",P2454="?"),"⚠ akun tidak dikenal",IF(C2454=D2454,"⚠ debet = kredit","")))</f>
        <v/>
      </c>
    </row>
    <row r="2455" customFormat="false" ht="15" hidden="false" customHeight="false" outlineLevel="0" collapsed="false">
      <c r="A2455" s="5"/>
      <c r="B2455" s="83"/>
      <c r="C2455" s="5"/>
      <c r="D2455" s="5"/>
      <c r="E2455" s="44"/>
      <c r="F2455" s="5"/>
      <c r="G2455" s="5"/>
      <c r="H2455" s="5"/>
      <c r="I2455" s="5"/>
      <c r="J2455" s="102" t="str">
        <f aca="false">IF(B2455="","",MONTH(B2455))</f>
        <v/>
      </c>
      <c r="K2455" s="102" t="str">
        <f aca="false">IF(B2455="","",YEAR(B2455))</f>
        <v/>
      </c>
      <c r="L2455" s="102" t="str">
        <f aca="false">IF(N(E2455)=0,"",IF(COUNTIFS(AK_NAMA,C2455,AK_KAT,"KAS")+COUNTIFS(AK_NAMA,D2455,AK_KAT,"KAS")&lt;&gt;1,"",IF(COUNTIFS(AK_NAMA,C2455,AK_KAT,"KAS")=1,D2455,C2455)))</f>
        <v/>
      </c>
      <c r="M2455" s="103" t="n">
        <f aca="false">IF(L2455="",0,IF(L2455=D2455,E2455,-E2455))</f>
        <v>0</v>
      </c>
      <c r="N2455" s="102" t="str">
        <f aca="false">IF(L2455="","",IFERROR(INDEX(AK_BARIS,MATCH(L2455,AK_NAMA,0)),"?"))</f>
        <v/>
      </c>
      <c r="O2455" s="102" t="str">
        <f aca="false">IF(C2455="","",IFERROR(INDEX(AK_KEL,MATCH(C2455,AK_NAMA,0)),"?"))</f>
        <v/>
      </c>
      <c r="P2455" s="102" t="str">
        <f aca="false">IF(D2455="","",IFERROR(INDEX(AK_KEL,MATCH(D2455,AK_NAMA,0)),"?"))</f>
        <v/>
      </c>
      <c r="Q2455" s="102" t="n">
        <f aca="false">N(Q2454)+IF(AND(N(E2455)&lt;&gt;0,K2455=TAHUN,N(J2455)&lt;=BLN,OR(C2455=BB_AKUN,D2455=BB_AKUN)),1,0)</f>
        <v>877</v>
      </c>
      <c r="R2455" s="104" t="str">
        <f aca="false">IF(OR(C2455&amp;D2455="",N(E2455)=0),"",IF(OR(O2455="?",P2455="?"),"⚠ akun tidak dikenal",IF(C2455=D2455,"⚠ debet = kredit","")))</f>
        <v/>
      </c>
    </row>
    <row r="2456" customFormat="false" ht="15" hidden="false" customHeight="false" outlineLevel="0" collapsed="false">
      <c r="A2456" s="5"/>
      <c r="B2456" s="83"/>
      <c r="C2456" s="5"/>
      <c r="D2456" s="5"/>
      <c r="E2456" s="44"/>
      <c r="F2456" s="5"/>
      <c r="G2456" s="5"/>
      <c r="H2456" s="5"/>
      <c r="I2456" s="5"/>
      <c r="J2456" s="102" t="str">
        <f aca="false">IF(B2456="","",MONTH(B2456))</f>
        <v/>
      </c>
      <c r="K2456" s="102" t="str">
        <f aca="false">IF(B2456="","",YEAR(B2456))</f>
        <v/>
      </c>
      <c r="L2456" s="102" t="str">
        <f aca="false">IF(N(E2456)=0,"",IF(COUNTIFS(AK_NAMA,C2456,AK_KAT,"KAS")+COUNTIFS(AK_NAMA,D2456,AK_KAT,"KAS")&lt;&gt;1,"",IF(COUNTIFS(AK_NAMA,C2456,AK_KAT,"KAS")=1,D2456,C2456)))</f>
        <v/>
      </c>
      <c r="M2456" s="103" t="n">
        <f aca="false">IF(L2456="",0,IF(L2456=D2456,E2456,-E2456))</f>
        <v>0</v>
      </c>
      <c r="N2456" s="102" t="str">
        <f aca="false">IF(L2456="","",IFERROR(INDEX(AK_BARIS,MATCH(L2456,AK_NAMA,0)),"?"))</f>
        <v/>
      </c>
      <c r="O2456" s="102" t="str">
        <f aca="false">IF(C2456="","",IFERROR(INDEX(AK_KEL,MATCH(C2456,AK_NAMA,0)),"?"))</f>
        <v/>
      </c>
      <c r="P2456" s="102" t="str">
        <f aca="false">IF(D2456="","",IFERROR(INDEX(AK_KEL,MATCH(D2456,AK_NAMA,0)),"?"))</f>
        <v/>
      </c>
      <c r="Q2456" s="102" t="n">
        <f aca="false">N(Q2455)+IF(AND(N(E2456)&lt;&gt;0,K2456=TAHUN,N(J2456)&lt;=BLN,OR(C2456=BB_AKUN,D2456=BB_AKUN)),1,0)</f>
        <v>877</v>
      </c>
      <c r="R2456" s="104" t="str">
        <f aca="false">IF(OR(C2456&amp;D2456="",N(E2456)=0),"",IF(OR(O2456="?",P2456="?"),"⚠ akun tidak dikenal",IF(C2456=D2456,"⚠ debet = kredit","")))</f>
        <v/>
      </c>
    </row>
    <row r="2457" customFormat="false" ht="15" hidden="false" customHeight="false" outlineLevel="0" collapsed="false">
      <c r="A2457" s="5"/>
      <c r="B2457" s="83"/>
      <c r="C2457" s="5"/>
      <c r="D2457" s="5"/>
      <c r="E2457" s="44"/>
      <c r="F2457" s="5"/>
      <c r="G2457" s="5"/>
      <c r="H2457" s="5"/>
      <c r="I2457" s="5"/>
      <c r="J2457" s="102" t="str">
        <f aca="false">IF(B2457="","",MONTH(B2457))</f>
        <v/>
      </c>
      <c r="K2457" s="102" t="str">
        <f aca="false">IF(B2457="","",YEAR(B2457))</f>
        <v/>
      </c>
      <c r="L2457" s="102" t="str">
        <f aca="false">IF(N(E2457)=0,"",IF(COUNTIFS(AK_NAMA,C2457,AK_KAT,"KAS")+COUNTIFS(AK_NAMA,D2457,AK_KAT,"KAS")&lt;&gt;1,"",IF(COUNTIFS(AK_NAMA,C2457,AK_KAT,"KAS")=1,D2457,C2457)))</f>
        <v/>
      </c>
      <c r="M2457" s="103" t="n">
        <f aca="false">IF(L2457="",0,IF(L2457=D2457,E2457,-E2457))</f>
        <v>0</v>
      </c>
      <c r="N2457" s="102" t="str">
        <f aca="false">IF(L2457="","",IFERROR(INDEX(AK_BARIS,MATCH(L2457,AK_NAMA,0)),"?"))</f>
        <v/>
      </c>
      <c r="O2457" s="102" t="str">
        <f aca="false">IF(C2457="","",IFERROR(INDEX(AK_KEL,MATCH(C2457,AK_NAMA,0)),"?"))</f>
        <v/>
      </c>
      <c r="P2457" s="102" t="str">
        <f aca="false">IF(D2457="","",IFERROR(INDEX(AK_KEL,MATCH(D2457,AK_NAMA,0)),"?"))</f>
        <v/>
      </c>
      <c r="Q2457" s="102" t="n">
        <f aca="false">N(Q2456)+IF(AND(N(E2457)&lt;&gt;0,K2457=TAHUN,N(J2457)&lt;=BLN,OR(C2457=BB_AKUN,D2457=BB_AKUN)),1,0)</f>
        <v>877</v>
      </c>
      <c r="R2457" s="104" t="str">
        <f aca="false">IF(OR(C2457&amp;D2457="",N(E2457)=0),"",IF(OR(O2457="?",P2457="?"),"⚠ akun tidak dikenal",IF(C2457=D2457,"⚠ debet = kredit","")))</f>
        <v/>
      </c>
    </row>
    <row r="2458" customFormat="false" ht="15" hidden="false" customHeight="false" outlineLevel="0" collapsed="false">
      <c r="A2458" s="5"/>
      <c r="B2458" s="83"/>
      <c r="C2458" s="5"/>
      <c r="D2458" s="5"/>
      <c r="E2458" s="44"/>
      <c r="F2458" s="5"/>
      <c r="G2458" s="5"/>
      <c r="H2458" s="5"/>
      <c r="I2458" s="5"/>
      <c r="J2458" s="102" t="str">
        <f aca="false">IF(B2458="","",MONTH(B2458))</f>
        <v/>
      </c>
      <c r="K2458" s="102" t="str">
        <f aca="false">IF(B2458="","",YEAR(B2458))</f>
        <v/>
      </c>
      <c r="L2458" s="102" t="str">
        <f aca="false">IF(N(E2458)=0,"",IF(COUNTIFS(AK_NAMA,C2458,AK_KAT,"KAS")+COUNTIFS(AK_NAMA,D2458,AK_KAT,"KAS")&lt;&gt;1,"",IF(COUNTIFS(AK_NAMA,C2458,AK_KAT,"KAS")=1,D2458,C2458)))</f>
        <v/>
      </c>
      <c r="M2458" s="103" t="n">
        <f aca="false">IF(L2458="",0,IF(L2458=D2458,E2458,-E2458))</f>
        <v>0</v>
      </c>
      <c r="N2458" s="102" t="str">
        <f aca="false">IF(L2458="","",IFERROR(INDEX(AK_BARIS,MATCH(L2458,AK_NAMA,0)),"?"))</f>
        <v/>
      </c>
      <c r="O2458" s="102" t="str">
        <f aca="false">IF(C2458="","",IFERROR(INDEX(AK_KEL,MATCH(C2458,AK_NAMA,0)),"?"))</f>
        <v/>
      </c>
      <c r="P2458" s="102" t="str">
        <f aca="false">IF(D2458="","",IFERROR(INDEX(AK_KEL,MATCH(D2458,AK_NAMA,0)),"?"))</f>
        <v/>
      </c>
      <c r="Q2458" s="102" t="n">
        <f aca="false">N(Q2457)+IF(AND(N(E2458)&lt;&gt;0,K2458=TAHUN,N(J2458)&lt;=BLN,OR(C2458=BB_AKUN,D2458=BB_AKUN)),1,0)</f>
        <v>877</v>
      </c>
      <c r="R2458" s="104" t="str">
        <f aca="false">IF(OR(C2458&amp;D2458="",N(E2458)=0),"",IF(OR(O2458="?",P2458="?"),"⚠ akun tidak dikenal",IF(C2458=D2458,"⚠ debet = kredit","")))</f>
        <v/>
      </c>
    </row>
    <row r="2459" customFormat="false" ht="15" hidden="false" customHeight="false" outlineLevel="0" collapsed="false">
      <c r="A2459" s="5"/>
      <c r="B2459" s="83"/>
      <c r="C2459" s="5"/>
      <c r="D2459" s="5"/>
      <c r="E2459" s="44"/>
      <c r="F2459" s="5"/>
      <c r="G2459" s="5"/>
      <c r="H2459" s="5"/>
      <c r="I2459" s="5"/>
      <c r="J2459" s="102" t="str">
        <f aca="false">IF(B2459="","",MONTH(B2459))</f>
        <v/>
      </c>
      <c r="K2459" s="102" t="str">
        <f aca="false">IF(B2459="","",YEAR(B2459))</f>
        <v/>
      </c>
      <c r="L2459" s="102" t="str">
        <f aca="false">IF(N(E2459)=0,"",IF(COUNTIFS(AK_NAMA,C2459,AK_KAT,"KAS")+COUNTIFS(AK_NAMA,D2459,AK_KAT,"KAS")&lt;&gt;1,"",IF(COUNTIFS(AK_NAMA,C2459,AK_KAT,"KAS")=1,D2459,C2459)))</f>
        <v/>
      </c>
      <c r="M2459" s="103" t="n">
        <f aca="false">IF(L2459="",0,IF(L2459=D2459,E2459,-E2459))</f>
        <v>0</v>
      </c>
      <c r="N2459" s="102" t="str">
        <f aca="false">IF(L2459="","",IFERROR(INDEX(AK_BARIS,MATCH(L2459,AK_NAMA,0)),"?"))</f>
        <v/>
      </c>
      <c r="O2459" s="102" t="str">
        <f aca="false">IF(C2459="","",IFERROR(INDEX(AK_KEL,MATCH(C2459,AK_NAMA,0)),"?"))</f>
        <v/>
      </c>
      <c r="P2459" s="102" t="str">
        <f aca="false">IF(D2459="","",IFERROR(INDEX(AK_KEL,MATCH(D2459,AK_NAMA,0)),"?"))</f>
        <v/>
      </c>
      <c r="Q2459" s="102" t="n">
        <f aca="false">N(Q2458)+IF(AND(N(E2459)&lt;&gt;0,K2459=TAHUN,N(J2459)&lt;=BLN,OR(C2459=BB_AKUN,D2459=BB_AKUN)),1,0)</f>
        <v>877</v>
      </c>
      <c r="R2459" s="104" t="str">
        <f aca="false">IF(OR(C2459&amp;D2459="",N(E2459)=0),"",IF(OR(O2459="?",P2459="?"),"⚠ akun tidak dikenal",IF(C2459=D2459,"⚠ debet = kredit","")))</f>
        <v/>
      </c>
    </row>
    <row r="2460" customFormat="false" ht="15" hidden="false" customHeight="false" outlineLevel="0" collapsed="false">
      <c r="A2460" s="5"/>
      <c r="B2460" s="83"/>
      <c r="C2460" s="5"/>
      <c r="D2460" s="5"/>
      <c r="E2460" s="44"/>
      <c r="F2460" s="5"/>
      <c r="G2460" s="5"/>
      <c r="H2460" s="5"/>
      <c r="I2460" s="5"/>
      <c r="J2460" s="102" t="str">
        <f aca="false">IF(B2460="","",MONTH(B2460))</f>
        <v/>
      </c>
      <c r="K2460" s="102" t="str">
        <f aca="false">IF(B2460="","",YEAR(B2460))</f>
        <v/>
      </c>
      <c r="L2460" s="102" t="str">
        <f aca="false">IF(N(E2460)=0,"",IF(COUNTIFS(AK_NAMA,C2460,AK_KAT,"KAS")+COUNTIFS(AK_NAMA,D2460,AK_KAT,"KAS")&lt;&gt;1,"",IF(COUNTIFS(AK_NAMA,C2460,AK_KAT,"KAS")=1,D2460,C2460)))</f>
        <v/>
      </c>
      <c r="M2460" s="103" t="n">
        <f aca="false">IF(L2460="",0,IF(L2460=D2460,E2460,-E2460))</f>
        <v>0</v>
      </c>
      <c r="N2460" s="102" t="str">
        <f aca="false">IF(L2460="","",IFERROR(INDEX(AK_BARIS,MATCH(L2460,AK_NAMA,0)),"?"))</f>
        <v/>
      </c>
      <c r="O2460" s="102" t="str">
        <f aca="false">IF(C2460="","",IFERROR(INDEX(AK_KEL,MATCH(C2460,AK_NAMA,0)),"?"))</f>
        <v/>
      </c>
      <c r="P2460" s="102" t="str">
        <f aca="false">IF(D2460="","",IFERROR(INDEX(AK_KEL,MATCH(D2460,AK_NAMA,0)),"?"))</f>
        <v/>
      </c>
      <c r="Q2460" s="102" t="n">
        <f aca="false">N(Q2459)+IF(AND(N(E2460)&lt;&gt;0,K2460=TAHUN,N(J2460)&lt;=BLN,OR(C2460=BB_AKUN,D2460=BB_AKUN)),1,0)</f>
        <v>877</v>
      </c>
      <c r="R2460" s="104" t="str">
        <f aca="false">IF(OR(C2460&amp;D2460="",N(E2460)=0),"",IF(OR(O2460="?",P2460="?"),"⚠ akun tidak dikenal",IF(C2460=D2460,"⚠ debet = kredit","")))</f>
        <v/>
      </c>
    </row>
    <row r="2461" customFormat="false" ht="15" hidden="false" customHeight="false" outlineLevel="0" collapsed="false">
      <c r="A2461" s="5"/>
      <c r="B2461" s="83"/>
      <c r="C2461" s="5"/>
      <c r="D2461" s="5"/>
      <c r="E2461" s="44"/>
      <c r="F2461" s="5"/>
      <c r="G2461" s="5"/>
      <c r="H2461" s="5"/>
      <c r="I2461" s="5"/>
      <c r="J2461" s="102" t="str">
        <f aca="false">IF(B2461="","",MONTH(B2461))</f>
        <v/>
      </c>
      <c r="K2461" s="102" t="str">
        <f aca="false">IF(B2461="","",YEAR(B2461))</f>
        <v/>
      </c>
      <c r="L2461" s="102" t="str">
        <f aca="false">IF(N(E2461)=0,"",IF(COUNTIFS(AK_NAMA,C2461,AK_KAT,"KAS")+COUNTIFS(AK_NAMA,D2461,AK_KAT,"KAS")&lt;&gt;1,"",IF(COUNTIFS(AK_NAMA,C2461,AK_KAT,"KAS")=1,D2461,C2461)))</f>
        <v/>
      </c>
      <c r="M2461" s="103" t="n">
        <f aca="false">IF(L2461="",0,IF(L2461=D2461,E2461,-E2461))</f>
        <v>0</v>
      </c>
      <c r="N2461" s="102" t="str">
        <f aca="false">IF(L2461="","",IFERROR(INDEX(AK_BARIS,MATCH(L2461,AK_NAMA,0)),"?"))</f>
        <v/>
      </c>
      <c r="O2461" s="102" t="str">
        <f aca="false">IF(C2461="","",IFERROR(INDEX(AK_KEL,MATCH(C2461,AK_NAMA,0)),"?"))</f>
        <v/>
      </c>
      <c r="P2461" s="102" t="str">
        <f aca="false">IF(D2461="","",IFERROR(INDEX(AK_KEL,MATCH(D2461,AK_NAMA,0)),"?"))</f>
        <v/>
      </c>
      <c r="Q2461" s="102" t="n">
        <f aca="false">N(Q2460)+IF(AND(N(E2461)&lt;&gt;0,K2461=TAHUN,N(J2461)&lt;=BLN,OR(C2461=BB_AKUN,D2461=BB_AKUN)),1,0)</f>
        <v>877</v>
      </c>
      <c r="R2461" s="104" t="str">
        <f aca="false">IF(OR(C2461&amp;D2461="",N(E2461)=0),"",IF(OR(O2461="?",P2461="?"),"⚠ akun tidak dikenal",IF(C2461=D2461,"⚠ debet = kredit","")))</f>
        <v/>
      </c>
    </row>
    <row r="2462" customFormat="false" ht="15" hidden="false" customHeight="false" outlineLevel="0" collapsed="false">
      <c r="A2462" s="5"/>
      <c r="B2462" s="83"/>
      <c r="C2462" s="5"/>
      <c r="D2462" s="5"/>
      <c r="E2462" s="44"/>
      <c r="F2462" s="5"/>
      <c r="G2462" s="5"/>
      <c r="H2462" s="5"/>
      <c r="I2462" s="5"/>
      <c r="J2462" s="102" t="str">
        <f aca="false">IF(B2462="","",MONTH(B2462))</f>
        <v/>
      </c>
      <c r="K2462" s="102" t="str">
        <f aca="false">IF(B2462="","",YEAR(B2462))</f>
        <v/>
      </c>
      <c r="L2462" s="102" t="str">
        <f aca="false">IF(N(E2462)=0,"",IF(COUNTIFS(AK_NAMA,C2462,AK_KAT,"KAS")+COUNTIFS(AK_NAMA,D2462,AK_KAT,"KAS")&lt;&gt;1,"",IF(COUNTIFS(AK_NAMA,C2462,AK_KAT,"KAS")=1,D2462,C2462)))</f>
        <v/>
      </c>
      <c r="M2462" s="103" t="n">
        <f aca="false">IF(L2462="",0,IF(L2462=D2462,E2462,-E2462))</f>
        <v>0</v>
      </c>
      <c r="N2462" s="102" t="str">
        <f aca="false">IF(L2462="","",IFERROR(INDEX(AK_BARIS,MATCH(L2462,AK_NAMA,0)),"?"))</f>
        <v/>
      </c>
      <c r="O2462" s="102" t="str">
        <f aca="false">IF(C2462="","",IFERROR(INDEX(AK_KEL,MATCH(C2462,AK_NAMA,0)),"?"))</f>
        <v/>
      </c>
      <c r="P2462" s="102" t="str">
        <f aca="false">IF(D2462="","",IFERROR(INDEX(AK_KEL,MATCH(D2462,AK_NAMA,0)),"?"))</f>
        <v/>
      </c>
      <c r="Q2462" s="102" t="n">
        <f aca="false">N(Q2461)+IF(AND(N(E2462)&lt;&gt;0,K2462=TAHUN,N(J2462)&lt;=BLN,OR(C2462=BB_AKUN,D2462=BB_AKUN)),1,0)</f>
        <v>877</v>
      </c>
      <c r="R2462" s="104" t="str">
        <f aca="false">IF(OR(C2462&amp;D2462="",N(E2462)=0),"",IF(OR(O2462="?",P2462="?"),"⚠ akun tidak dikenal",IF(C2462=D2462,"⚠ debet = kredit","")))</f>
        <v/>
      </c>
    </row>
    <row r="2463" customFormat="false" ht="15" hidden="false" customHeight="false" outlineLevel="0" collapsed="false">
      <c r="A2463" s="5"/>
      <c r="B2463" s="83"/>
      <c r="C2463" s="5"/>
      <c r="D2463" s="5"/>
      <c r="E2463" s="44"/>
      <c r="F2463" s="5"/>
      <c r="G2463" s="5"/>
      <c r="H2463" s="5"/>
      <c r="I2463" s="5"/>
      <c r="J2463" s="102" t="str">
        <f aca="false">IF(B2463="","",MONTH(B2463))</f>
        <v/>
      </c>
      <c r="K2463" s="102" t="str">
        <f aca="false">IF(B2463="","",YEAR(B2463))</f>
        <v/>
      </c>
      <c r="L2463" s="102" t="str">
        <f aca="false">IF(N(E2463)=0,"",IF(COUNTIFS(AK_NAMA,C2463,AK_KAT,"KAS")+COUNTIFS(AK_NAMA,D2463,AK_KAT,"KAS")&lt;&gt;1,"",IF(COUNTIFS(AK_NAMA,C2463,AK_KAT,"KAS")=1,D2463,C2463)))</f>
        <v/>
      </c>
      <c r="M2463" s="103" t="n">
        <f aca="false">IF(L2463="",0,IF(L2463=D2463,E2463,-E2463))</f>
        <v>0</v>
      </c>
      <c r="N2463" s="102" t="str">
        <f aca="false">IF(L2463="","",IFERROR(INDEX(AK_BARIS,MATCH(L2463,AK_NAMA,0)),"?"))</f>
        <v/>
      </c>
      <c r="O2463" s="102" t="str">
        <f aca="false">IF(C2463="","",IFERROR(INDEX(AK_KEL,MATCH(C2463,AK_NAMA,0)),"?"))</f>
        <v/>
      </c>
      <c r="P2463" s="102" t="str">
        <f aca="false">IF(D2463="","",IFERROR(INDEX(AK_KEL,MATCH(D2463,AK_NAMA,0)),"?"))</f>
        <v/>
      </c>
      <c r="Q2463" s="102" t="n">
        <f aca="false">N(Q2462)+IF(AND(N(E2463)&lt;&gt;0,K2463=TAHUN,N(J2463)&lt;=BLN,OR(C2463=BB_AKUN,D2463=BB_AKUN)),1,0)</f>
        <v>877</v>
      </c>
      <c r="R2463" s="104" t="str">
        <f aca="false">IF(OR(C2463&amp;D2463="",N(E2463)=0),"",IF(OR(O2463="?",P2463="?"),"⚠ akun tidak dikenal",IF(C2463=D2463,"⚠ debet = kredit","")))</f>
        <v/>
      </c>
    </row>
    <row r="2464" customFormat="false" ht="15" hidden="false" customHeight="false" outlineLevel="0" collapsed="false">
      <c r="A2464" s="5"/>
      <c r="B2464" s="83"/>
      <c r="C2464" s="5"/>
      <c r="D2464" s="5"/>
      <c r="E2464" s="44"/>
      <c r="F2464" s="5"/>
      <c r="G2464" s="5"/>
      <c r="H2464" s="5"/>
      <c r="I2464" s="5"/>
      <c r="J2464" s="102" t="str">
        <f aca="false">IF(B2464="","",MONTH(B2464))</f>
        <v/>
      </c>
      <c r="K2464" s="102" t="str">
        <f aca="false">IF(B2464="","",YEAR(B2464))</f>
        <v/>
      </c>
      <c r="L2464" s="102" t="str">
        <f aca="false">IF(N(E2464)=0,"",IF(COUNTIFS(AK_NAMA,C2464,AK_KAT,"KAS")+COUNTIFS(AK_NAMA,D2464,AK_KAT,"KAS")&lt;&gt;1,"",IF(COUNTIFS(AK_NAMA,C2464,AK_KAT,"KAS")=1,D2464,C2464)))</f>
        <v/>
      </c>
      <c r="M2464" s="103" t="n">
        <f aca="false">IF(L2464="",0,IF(L2464=D2464,E2464,-E2464))</f>
        <v>0</v>
      </c>
      <c r="N2464" s="102" t="str">
        <f aca="false">IF(L2464="","",IFERROR(INDEX(AK_BARIS,MATCH(L2464,AK_NAMA,0)),"?"))</f>
        <v/>
      </c>
      <c r="O2464" s="102" t="str">
        <f aca="false">IF(C2464="","",IFERROR(INDEX(AK_KEL,MATCH(C2464,AK_NAMA,0)),"?"))</f>
        <v/>
      </c>
      <c r="P2464" s="102" t="str">
        <f aca="false">IF(D2464="","",IFERROR(INDEX(AK_KEL,MATCH(D2464,AK_NAMA,0)),"?"))</f>
        <v/>
      </c>
      <c r="Q2464" s="102" t="n">
        <f aca="false">N(Q2463)+IF(AND(N(E2464)&lt;&gt;0,K2464=TAHUN,N(J2464)&lt;=BLN,OR(C2464=BB_AKUN,D2464=BB_AKUN)),1,0)</f>
        <v>877</v>
      </c>
      <c r="R2464" s="104" t="str">
        <f aca="false">IF(OR(C2464&amp;D2464="",N(E2464)=0),"",IF(OR(O2464="?",P2464="?"),"⚠ akun tidak dikenal",IF(C2464=D2464,"⚠ debet = kredit","")))</f>
        <v/>
      </c>
    </row>
    <row r="2465" customFormat="false" ht="15" hidden="false" customHeight="false" outlineLevel="0" collapsed="false">
      <c r="A2465" s="5"/>
      <c r="B2465" s="83"/>
      <c r="C2465" s="5"/>
      <c r="D2465" s="5"/>
      <c r="E2465" s="44"/>
      <c r="F2465" s="5"/>
      <c r="G2465" s="5"/>
      <c r="H2465" s="5"/>
      <c r="I2465" s="5"/>
      <c r="J2465" s="102" t="str">
        <f aca="false">IF(B2465="","",MONTH(B2465))</f>
        <v/>
      </c>
      <c r="K2465" s="102" t="str">
        <f aca="false">IF(B2465="","",YEAR(B2465))</f>
        <v/>
      </c>
      <c r="L2465" s="102" t="str">
        <f aca="false">IF(N(E2465)=0,"",IF(COUNTIFS(AK_NAMA,C2465,AK_KAT,"KAS")+COUNTIFS(AK_NAMA,D2465,AK_KAT,"KAS")&lt;&gt;1,"",IF(COUNTIFS(AK_NAMA,C2465,AK_KAT,"KAS")=1,D2465,C2465)))</f>
        <v/>
      </c>
      <c r="M2465" s="103" t="n">
        <f aca="false">IF(L2465="",0,IF(L2465=D2465,E2465,-E2465))</f>
        <v>0</v>
      </c>
      <c r="N2465" s="102" t="str">
        <f aca="false">IF(L2465="","",IFERROR(INDEX(AK_BARIS,MATCH(L2465,AK_NAMA,0)),"?"))</f>
        <v/>
      </c>
      <c r="O2465" s="102" t="str">
        <f aca="false">IF(C2465="","",IFERROR(INDEX(AK_KEL,MATCH(C2465,AK_NAMA,0)),"?"))</f>
        <v/>
      </c>
      <c r="P2465" s="102" t="str">
        <f aca="false">IF(D2465="","",IFERROR(INDEX(AK_KEL,MATCH(D2465,AK_NAMA,0)),"?"))</f>
        <v/>
      </c>
      <c r="Q2465" s="102" t="n">
        <f aca="false">N(Q2464)+IF(AND(N(E2465)&lt;&gt;0,K2465=TAHUN,N(J2465)&lt;=BLN,OR(C2465=BB_AKUN,D2465=BB_AKUN)),1,0)</f>
        <v>877</v>
      </c>
      <c r="R2465" s="104" t="str">
        <f aca="false">IF(OR(C2465&amp;D2465="",N(E2465)=0),"",IF(OR(O2465="?",P2465="?"),"⚠ akun tidak dikenal",IF(C2465=D2465,"⚠ debet = kredit","")))</f>
        <v/>
      </c>
    </row>
    <row r="2466" customFormat="false" ht="15" hidden="false" customHeight="false" outlineLevel="0" collapsed="false">
      <c r="A2466" s="5"/>
      <c r="B2466" s="83"/>
      <c r="C2466" s="5"/>
      <c r="D2466" s="5"/>
      <c r="E2466" s="44"/>
      <c r="F2466" s="5"/>
      <c r="G2466" s="5"/>
      <c r="H2466" s="5"/>
      <c r="I2466" s="5"/>
      <c r="J2466" s="102" t="str">
        <f aca="false">IF(B2466="","",MONTH(B2466))</f>
        <v/>
      </c>
      <c r="K2466" s="102" t="str">
        <f aca="false">IF(B2466="","",YEAR(B2466))</f>
        <v/>
      </c>
      <c r="L2466" s="102" t="str">
        <f aca="false">IF(N(E2466)=0,"",IF(COUNTIFS(AK_NAMA,C2466,AK_KAT,"KAS")+COUNTIFS(AK_NAMA,D2466,AK_KAT,"KAS")&lt;&gt;1,"",IF(COUNTIFS(AK_NAMA,C2466,AK_KAT,"KAS")=1,D2466,C2466)))</f>
        <v/>
      </c>
      <c r="M2466" s="103" t="n">
        <f aca="false">IF(L2466="",0,IF(L2466=D2466,E2466,-E2466))</f>
        <v>0</v>
      </c>
      <c r="N2466" s="102" t="str">
        <f aca="false">IF(L2466="","",IFERROR(INDEX(AK_BARIS,MATCH(L2466,AK_NAMA,0)),"?"))</f>
        <v/>
      </c>
      <c r="O2466" s="102" t="str">
        <f aca="false">IF(C2466="","",IFERROR(INDEX(AK_KEL,MATCH(C2466,AK_NAMA,0)),"?"))</f>
        <v/>
      </c>
      <c r="P2466" s="102" t="str">
        <f aca="false">IF(D2466="","",IFERROR(INDEX(AK_KEL,MATCH(D2466,AK_NAMA,0)),"?"))</f>
        <v/>
      </c>
      <c r="Q2466" s="102" t="n">
        <f aca="false">N(Q2465)+IF(AND(N(E2466)&lt;&gt;0,K2466=TAHUN,N(J2466)&lt;=BLN,OR(C2466=BB_AKUN,D2466=BB_AKUN)),1,0)</f>
        <v>877</v>
      </c>
      <c r="R2466" s="104" t="str">
        <f aca="false">IF(OR(C2466&amp;D2466="",N(E2466)=0),"",IF(OR(O2466="?",P2466="?"),"⚠ akun tidak dikenal",IF(C2466=D2466,"⚠ debet = kredit","")))</f>
        <v/>
      </c>
    </row>
    <row r="2467" customFormat="false" ht="15" hidden="false" customHeight="false" outlineLevel="0" collapsed="false">
      <c r="A2467" s="5"/>
      <c r="B2467" s="83"/>
      <c r="C2467" s="5"/>
      <c r="D2467" s="5"/>
      <c r="E2467" s="44"/>
      <c r="F2467" s="5"/>
      <c r="G2467" s="5"/>
      <c r="H2467" s="5"/>
      <c r="I2467" s="5"/>
      <c r="J2467" s="102" t="str">
        <f aca="false">IF(B2467="","",MONTH(B2467))</f>
        <v/>
      </c>
      <c r="K2467" s="102" t="str">
        <f aca="false">IF(B2467="","",YEAR(B2467))</f>
        <v/>
      </c>
      <c r="L2467" s="102" t="str">
        <f aca="false">IF(N(E2467)=0,"",IF(COUNTIFS(AK_NAMA,C2467,AK_KAT,"KAS")+COUNTIFS(AK_NAMA,D2467,AK_KAT,"KAS")&lt;&gt;1,"",IF(COUNTIFS(AK_NAMA,C2467,AK_KAT,"KAS")=1,D2467,C2467)))</f>
        <v/>
      </c>
      <c r="M2467" s="103" t="n">
        <f aca="false">IF(L2467="",0,IF(L2467=D2467,E2467,-E2467))</f>
        <v>0</v>
      </c>
      <c r="N2467" s="102" t="str">
        <f aca="false">IF(L2467="","",IFERROR(INDEX(AK_BARIS,MATCH(L2467,AK_NAMA,0)),"?"))</f>
        <v/>
      </c>
      <c r="O2467" s="102" t="str">
        <f aca="false">IF(C2467="","",IFERROR(INDEX(AK_KEL,MATCH(C2467,AK_NAMA,0)),"?"))</f>
        <v/>
      </c>
      <c r="P2467" s="102" t="str">
        <f aca="false">IF(D2467="","",IFERROR(INDEX(AK_KEL,MATCH(D2467,AK_NAMA,0)),"?"))</f>
        <v/>
      </c>
      <c r="Q2467" s="102" t="n">
        <f aca="false">N(Q2466)+IF(AND(N(E2467)&lt;&gt;0,K2467=TAHUN,N(J2467)&lt;=BLN,OR(C2467=BB_AKUN,D2467=BB_AKUN)),1,0)</f>
        <v>877</v>
      </c>
      <c r="R2467" s="104" t="str">
        <f aca="false">IF(OR(C2467&amp;D2467="",N(E2467)=0),"",IF(OR(O2467="?",P2467="?"),"⚠ akun tidak dikenal",IF(C2467=D2467,"⚠ debet = kredit","")))</f>
        <v/>
      </c>
    </row>
    <row r="2468" customFormat="false" ht="15" hidden="false" customHeight="false" outlineLevel="0" collapsed="false">
      <c r="A2468" s="5"/>
      <c r="B2468" s="83"/>
      <c r="C2468" s="5"/>
      <c r="D2468" s="5"/>
      <c r="E2468" s="44"/>
      <c r="F2468" s="5"/>
      <c r="G2468" s="5"/>
      <c r="H2468" s="5"/>
      <c r="I2468" s="5"/>
      <c r="J2468" s="102" t="str">
        <f aca="false">IF(B2468="","",MONTH(B2468))</f>
        <v/>
      </c>
      <c r="K2468" s="102" t="str">
        <f aca="false">IF(B2468="","",YEAR(B2468))</f>
        <v/>
      </c>
      <c r="L2468" s="102" t="str">
        <f aca="false">IF(N(E2468)=0,"",IF(COUNTIFS(AK_NAMA,C2468,AK_KAT,"KAS")+COUNTIFS(AK_NAMA,D2468,AK_KAT,"KAS")&lt;&gt;1,"",IF(COUNTIFS(AK_NAMA,C2468,AK_KAT,"KAS")=1,D2468,C2468)))</f>
        <v/>
      </c>
      <c r="M2468" s="103" t="n">
        <f aca="false">IF(L2468="",0,IF(L2468=D2468,E2468,-E2468))</f>
        <v>0</v>
      </c>
      <c r="N2468" s="102" t="str">
        <f aca="false">IF(L2468="","",IFERROR(INDEX(AK_BARIS,MATCH(L2468,AK_NAMA,0)),"?"))</f>
        <v/>
      </c>
      <c r="O2468" s="102" t="str">
        <f aca="false">IF(C2468="","",IFERROR(INDEX(AK_KEL,MATCH(C2468,AK_NAMA,0)),"?"))</f>
        <v/>
      </c>
      <c r="P2468" s="102" t="str">
        <f aca="false">IF(D2468="","",IFERROR(INDEX(AK_KEL,MATCH(D2468,AK_NAMA,0)),"?"))</f>
        <v/>
      </c>
      <c r="Q2468" s="102" t="n">
        <f aca="false">N(Q2467)+IF(AND(N(E2468)&lt;&gt;0,K2468=TAHUN,N(J2468)&lt;=BLN,OR(C2468=BB_AKUN,D2468=BB_AKUN)),1,0)</f>
        <v>877</v>
      </c>
      <c r="R2468" s="104" t="str">
        <f aca="false">IF(OR(C2468&amp;D2468="",N(E2468)=0),"",IF(OR(O2468="?",P2468="?"),"⚠ akun tidak dikenal",IF(C2468=D2468,"⚠ debet = kredit","")))</f>
        <v/>
      </c>
    </row>
    <row r="2469" customFormat="false" ht="15" hidden="false" customHeight="false" outlineLevel="0" collapsed="false">
      <c r="A2469" s="5"/>
      <c r="B2469" s="83"/>
      <c r="C2469" s="5"/>
      <c r="D2469" s="5"/>
      <c r="E2469" s="44"/>
      <c r="F2469" s="5"/>
      <c r="G2469" s="5"/>
      <c r="H2469" s="5"/>
      <c r="I2469" s="5"/>
      <c r="J2469" s="102" t="str">
        <f aca="false">IF(B2469="","",MONTH(B2469))</f>
        <v/>
      </c>
      <c r="K2469" s="102" t="str">
        <f aca="false">IF(B2469="","",YEAR(B2469))</f>
        <v/>
      </c>
      <c r="L2469" s="102" t="str">
        <f aca="false">IF(N(E2469)=0,"",IF(COUNTIFS(AK_NAMA,C2469,AK_KAT,"KAS")+COUNTIFS(AK_NAMA,D2469,AK_KAT,"KAS")&lt;&gt;1,"",IF(COUNTIFS(AK_NAMA,C2469,AK_KAT,"KAS")=1,D2469,C2469)))</f>
        <v/>
      </c>
      <c r="M2469" s="103" t="n">
        <f aca="false">IF(L2469="",0,IF(L2469=D2469,E2469,-E2469))</f>
        <v>0</v>
      </c>
      <c r="N2469" s="102" t="str">
        <f aca="false">IF(L2469="","",IFERROR(INDEX(AK_BARIS,MATCH(L2469,AK_NAMA,0)),"?"))</f>
        <v/>
      </c>
      <c r="O2469" s="102" t="str">
        <f aca="false">IF(C2469="","",IFERROR(INDEX(AK_KEL,MATCH(C2469,AK_NAMA,0)),"?"))</f>
        <v/>
      </c>
      <c r="P2469" s="102" t="str">
        <f aca="false">IF(D2469="","",IFERROR(INDEX(AK_KEL,MATCH(D2469,AK_NAMA,0)),"?"))</f>
        <v/>
      </c>
      <c r="Q2469" s="102" t="n">
        <f aca="false">N(Q2468)+IF(AND(N(E2469)&lt;&gt;0,K2469=TAHUN,N(J2469)&lt;=BLN,OR(C2469=BB_AKUN,D2469=BB_AKUN)),1,0)</f>
        <v>877</v>
      </c>
      <c r="R2469" s="104" t="str">
        <f aca="false">IF(OR(C2469&amp;D2469="",N(E2469)=0),"",IF(OR(O2469="?",P2469="?"),"⚠ akun tidak dikenal",IF(C2469=D2469,"⚠ debet = kredit","")))</f>
        <v/>
      </c>
    </row>
    <row r="2470" customFormat="false" ht="15" hidden="false" customHeight="false" outlineLevel="0" collapsed="false">
      <c r="A2470" s="5"/>
      <c r="B2470" s="83"/>
      <c r="C2470" s="5"/>
      <c r="D2470" s="5"/>
      <c r="E2470" s="44"/>
      <c r="F2470" s="5"/>
      <c r="G2470" s="5"/>
      <c r="H2470" s="5"/>
      <c r="I2470" s="5"/>
      <c r="J2470" s="102" t="str">
        <f aca="false">IF(B2470="","",MONTH(B2470))</f>
        <v/>
      </c>
      <c r="K2470" s="102" t="str">
        <f aca="false">IF(B2470="","",YEAR(B2470))</f>
        <v/>
      </c>
      <c r="L2470" s="102" t="str">
        <f aca="false">IF(N(E2470)=0,"",IF(COUNTIFS(AK_NAMA,C2470,AK_KAT,"KAS")+COUNTIFS(AK_NAMA,D2470,AK_KAT,"KAS")&lt;&gt;1,"",IF(COUNTIFS(AK_NAMA,C2470,AK_KAT,"KAS")=1,D2470,C2470)))</f>
        <v/>
      </c>
      <c r="M2470" s="103" t="n">
        <f aca="false">IF(L2470="",0,IF(L2470=D2470,E2470,-E2470))</f>
        <v>0</v>
      </c>
      <c r="N2470" s="102" t="str">
        <f aca="false">IF(L2470="","",IFERROR(INDEX(AK_BARIS,MATCH(L2470,AK_NAMA,0)),"?"))</f>
        <v/>
      </c>
      <c r="O2470" s="102" t="str">
        <f aca="false">IF(C2470="","",IFERROR(INDEX(AK_KEL,MATCH(C2470,AK_NAMA,0)),"?"))</f>
        <v/>
      </c>
      <c r="P2470" s="102" t="str">
        <f aca="false">IF(D2470="","",IFERROR(INDEX(AK_KEL,MATCH(D2470,AK_NAMA,0)),"?"))</f>
        <v/>
      </c>
      <c r="Q2470" s="102" t="n">
        <f aca="false">N(Q2469)+IF(AND(N(E2470)&lt;&gt;0,K2470=TAHUN,N(J2470)&lt;=BLN,OR(C2470=BB_AKUN,D2470=BB_AKUN)),1,0)</f>
        <v>877</v>
      </c>
      <c r="R2470" s="104" t="str">
        <f aca="false">IF(OR(C2470&amp;D2470="",N(E2470)=0),"",IF(OR(O2470="?",P2470="?"),"⚠ akun tidak dikenal",IF(C2470=D2470,"⚠ debet = kredit","")))</f>
        <v/>
      </c>
    </row>
    <row r="2471" customFormat="false" ht="15" hidden="false" customHeight="false" outlineLevel="0" collapsed="false">
      <c r="A2471" s="5"/>
      <c r="B2471" s="83"/>
      <c r="C2471" s="5"/>
      <c r="D2471" s="5"/>
      <c r="E2471" s="44"/>
      <c r="F2471" s="5"/>
      <c r="G2471" s="5"/>
      <c r="H2471" s="5"/>
      <c r="I2471" s="5"/>
      <c r="J2471" s="102" t="str">
        <f aca="false">IF(B2471="","",MONTH(B2471))</f>
        <v/>
      </c>
      <c r="K2471" s="102" t="str">
        <f aca="false">IF(B2471="","",YEAR(B2471))</f>
        <v/>
      </c>
      <c r="L2471" s="102" t="str">
        <f aca="false">IF(N(E2471)=0,"",IF(COUNTIFS(AK_NAMA,C2471,AK_KAT,"KAS")+COUNTIFS(AK_NAMA,D2471,AK_KAT,"KAS")&lt;&gt;1,"",IF(COUNTIFS(AK_NAMA,C2471,AK_KAT,"KAS")=1,D2471,C2471)))</f>
        <v/>
      </c>
      <c r="M2471" s="103" t="n">
        <f aca="false">IF(L2471="",0,IF(L2471=D2471,E2471,-E2471))</f>
        <v>0</v>
      </c>
      <c r="N2471" s="102" t="str">
        <f aca="false">IF(L2471="","",IFERROR(INDEX(AK_BARIS,MATCH(L2471,AK_NAMA,0)),"?"))</f>
        <v/>
      </c>
      <c r="O2471" s="102" t="str">
        <f aca="false">IF(C2471="","",IFERROR(INDEX(AK_KEL,MATCH(C2471,AK_NAMA,0)),"?"))</f>
        <v/>
      </c>
      <c r="P2471" s="102" t="str">
        <f aca="false">IF(D2471="","",IFERROR(INDEX(AK_KEL,MATCH(D2471,AK_NAMA,0)),"?"))</f>
        <v/>
      </c>
      <c r="Q2471" s="102" t="n">
        <f aca="false">N(Q2470)+IF(AND(N(E2471)&lt;&gt;0,K2471=TAHUN,N(J2471)&lt;=BLN,OR(C2471=BB_AKUN,D2471=BB_AKUN)),1,0)</f>
        <v>877</v>
      </c>
      <c r="R2471" s="104" t="str">
        <f aca="false">IF(OR(C2471&amp;D2471="",N(E2471)=0),"",IF(OR(O2471="?",P2471="?"),"⚠ akun tidak dikenal",IF(C2471=D2471,"⚠ debet = kredit","")))</f>
        <v/>
      </c>
    </row>
    <row r="2472" customFormat="false" ht="15" hidden="false" customHeight="false" outlineLevel="0" collapsed="false">
      <c r="A2472" s="5"/>
      <c r="B2472" s="83"/>
      <c r="C2472" s="5"/>
      <c r="D2472" s="5"/>
      <c r="E2472" s="44"/>
      <c r="F2472" s="5"/>
      <c r="G2472" s="5"/>
      <c r="H2472" s="5"/>
      <c r="I2472" s="5"/>
      <c r="J2472" s="102" t="str">
        <f aca="false">IF(B2472="","",MONTH(B2472))</f>
        <v/>
      </c>
      <c r="K2472" s="102" t="str">
        <f aca="false">IF(B2472="","",YEAR(B2472))</f>
        <v/>
      </c>
      <c r="L2472" s="102" t="str">
        <f aca="false">IF(N(E2472)=0,"",IF(COUNTIFS(AK_NAMA,C2472,AK_KAT,"KAS")+COUNTIFS(AK_NAMA,D2472,AK_KAT,"KAS")&lt;&gt;1,"",IF(COUNTIFS(AK_NAMA,C2472,AK_KAT,"KAS")=1,D2472,C2472)))</f>
        <v/>
      </c>
      <c r="M2472" s="103" t="n">
        <f aca="false">IF(L2472="",0,IF(L2472=D2472,E2472,-E2472))</f>
        <v>0</v>
      </c>
      <c r="N2472" s="102" t="str">
        <f aca="false">IF(L2472="","",IFERROR(INDEX(AK_BARIS,MATCH(L2472,AK_NAMA,0)),"?"))</f>
        <v/>
      </c>
      <c r="O2472" s="102" t="str">
        <f aca="false">IF(C2472="","",IFERROR(INDEX(AK_KEL,MATCH(C2472,AK_NAMA,0)),"?"))</f>
        <v/>
      </c>
      <c r="P2472" s="102" t="str">
        <f aca="false">IF(D2472="","",IFERROR(INDEX(AK_KEL,MATCH(D2472,AK_NAMA,0)),"?"))</f>
        <v/>
      </c>
      <c r="Q2472" s="102" t="n">
        <f aca="false">N(Q2471)+IF(AND(N(E2472)&lt;&gt;0,K2472=TAHUN,N(J2472)&lt;=BLN,OR(C2472=BB_AKUN,D2472=BB_AKUN)),1,0)</f>
        <v>877</v>
      </c>
      <c r="R2472" s="104" t="str">
        <f aca="false">IF(OR(C2472&amp;D2472="",N(E2472)=0),"",IF(OR(O2472="?",P2472="?"),"⚠ akun tidak dikenal",IF(C2472=D2472,"⚠ debet = kredit","")))</f>
        <v/>
      </c>
    </row>
    <row r="2473" customFormat="false" ht="15" hidden="false" customHeight="false" outlineLevel="0" collapsed="false">
      <c r="A2473" s="5"/>
      <c r="B2473" s="83"/>
      <c r="C2473" s="5"/>
      <c r="D2473" s="5"/>
      <c r="E2473" s="44"/>
      <c r="F2473" s="5"/>
      <c r="G2473" s="5"/>
      <c r="H2473" s="5"/>
      <c r="I2473" s="5"/>
      <c r="J2473" s="102" t="str">
        <f aca="false">IF(B2473="","",MONTH(B2473))</f>
        <v/>
      </c>
      <c r="K2473" s="102" t="str">
        <f aca="false">IF(B2473="","",YEAR(B2473))</f>
        <v/>
      </c>
      <c r="L2473" s="102" t="str">
        <f aca="false">IF(N(E2473)=0,"",IF(COUNTIFS(AK_NAMA,C2473,AK_KAT,"KAS")+COUNTIFS(AK_NAMA,D2473,AK_KAT,"KAS")&lt;&gt;1,"",IF(COUNTIFS(AK_NAMA,C2473,AK_KAT,"KAS")=1,D2473,C2473)))</f>
        <v/>
      </c>
      <c r="M2473" s="103" t="n">
        <f aca="false">IF(L2473="",0,IF(L2473=D2473,E2473,-E2473))</f>
        <v>0</v>
      </c>
      <c r="N2473" s="102" t="str">
        <f aca="false">IF(L2473="","",IFERROR(INDEX(AK_BARIS,MATCH(L2473,AK_NAMA,0)),"?"))</f>
        <v/>
      </c>
      <c r="O2473" s="102" t="str">
        <f aca="false">IF(C2473="","",IFERROR(INDEX(AK_KEL,MATCH(C2473,AK_NAMA,0)),"?"))</f>
        <v/>
      </c>
      <c r="P2473" s="102" t="str">
        <f aca="false">IF(D2473="","",IFERROR(INDEX(AK_KEL,MATCH(D2473,AK_NAMA,0)),"?"))</f>
        <v/>
      </c>
      <c r="Q2473" s="102" t="n">
        <f aca="false">N(Q2472)+IF(AND(N(E2473)&lt;&gt;0,K2473=TAHUN,N(J2473)&lt;=BLN,OR(C2473=BB_AKUN,D2473=BB_AKUN)),1,0)</f>
        <v>877</v>
      </c>
      <c r="R2473" s="104" t="str">
        <f aca="false">IF(OR(C2473&amp;D2473="",N(E2473)=0),"",IF(OR(O2473="?",P2473="?"),"⚠ akun tidak dikenal",IF(C2473=D2473,"⚠ debet = kredit","")))</f>
        <v/>
      </c>
    </row>
    <row r="2474" customFormat="false" ht="15" hidden="false" customHeight="false" outlineLevel="0" collapsed="false">
      <c r="A2474" s="5"/>
      <c r="B2474" s="83"/>
      <c r="C2474" s="5"/>
      <c r="D2474" s="5"/>
      <c r="E2474" s="44"/>
      <c r="F2474" s="5"/>
      <c r="G2474" s="5"/>
      <c r="H2474" s="5"/>
      <c r="I2474" s="5"/>
      <c r="J2474" s="102" t="str">
        <f aca="false">IF(B2474="","",MONTH(B2474))</f>
        <v/>
      </c>
      <c r="K2474" s="102" t="str">
        <f aca="false">IF(B2474="","",YEAR(B2474))</f>
        <v/>
      </c>
      <c r="L2474" s="102" t="str">
        <f aca="false">IF(N(E2474)=0,"",IF(COUNTIFS(AK_NAMA,C2474,AK_KAT,"KAS")+COUNTIFS(AK_NAMA,D2474,AK_KAT,"KAS")&lt;&gt;1,"",IF(COUNTIFS(AK_NAMA,C2474,AK_KAT,"KAS")=1,D2474,C2474)))</f>
        <v/>
      </c>
      <c r="M2474" s="103" t="n">
        <f aca="false">IF(L2474="",0,IF(L2474=D2474,E2474,-E2474))</f>
        <v>0</v>
      </c>
      <c r="N2474" s="102" t="str">
        <f aca="false">IF(L2474="","",IFERROR(INDEX(AK_BARIS,MATCH(L2474,AK_NAMA,0)),"?"))</f>
        <v/>
      </c>
      <c r="O2474" s="102" t="str">
        <f aca="false">IF(C2474="","",IFERROR(INDEX(AK_KEL,MATCH(C2474,AK_NAMA,0)),"?"))</f>
        <v/>
      </c>
      <c r="P2474" s="102" t="str">
        <f aca="false">IF(D2474="","",IFERROR(INDEX(AK_KEL,MATCH(D2474,AK_NAMA,0)),"?"))</f>
        <v/>
      </c>
      <c r="Q2474" s="102" t="n">
        <f aca="false">N(Q2473)+IF(AND(N(E2474)&lt;&gt;0,K2474=TAHUN,N(J2474)&lt;=BLN,OR(C2474=BB_AKUN,D2474=BB_AKUN)),1,0)</f>
        <v>877</v>
      </c>
      <c r="R2474" s="104" t="str">
        <f aca="false">IF(OR(C2474&amp;D2474="",N(E2474)=0),"",IF(OR(O2474="?",P2474="?"),"⚠ akun tidak dikenal",IF(C2474=D2474,"⚠ debet = kredit","")))</f>
        <v/>
      </c>
    </row>
    <row r="2475" customFormat="false" ht="15" hidden="false" customHeight="false" outlineLevel="0" collapsed="false">
      <c r="A2475" s="5"/>
      <c r="B2475" s="83"/>
      <c r="C2475" s="5"/>
      <c r="D2475" s="5"/>
      <c r="E2475" s="44"/>
      <c r="F2475" s="5"/>
      <c r="G2475" s="5"/>
      <c r="H2475" s="5"/>
      <c r="I2475" s="5"/>
      <c r="J2475" s="102" t="str">
        <f aca="false">IF(B2475="","",MONTH(B2475))</f>
        <v/>
      </c>
      <c r="K2475" s="102" t="str">
        <f aca="false">IF(B2475="","",YEAR(B2475))</f>
        <v/>
      </c>
      <c r="L2475" s="102" t="str">
        <f aca="false">IF(N(E2475)=0,"",IF(COUNTIFS(AK_NAMA,C2475,AK_KAT,"KAS")+COUNTIFS(AK_NAMA,D2475,AK_KAT,"KAS")&lt;&gt;1,"",IF(COUNTIFS(AK_NAMA,C2475,AK_KAT,"KAS")=1,D2475,C2475)))</f>
        <v/>
      </c>
      <c r="M2475" s="103" t="n">
        <f aca="false">IF(L2475="",0,IF(L2475=D2475,E2475,-E2475))</f>
        <v>0</v>
      </c>
      <c r="N2475" s="102" t="str">
        <f aca="false">IF(L2475="","",IFERROR(INDEX(AK_BARIS,MATCH(L2475,AK_NAMA,0)),"?"))</f>
        <v/>
      </c>
      <c r="O2475" s="102" t="str">
        <f aca="false">IF(C2475="","",IFERROR(INDEX(AK_KEL,MATCH(C2475,AK_NAMA,0)),"?"))</f>
        <v/>
      </c>
      <c r="P2475" s="102" t="str">
        <f aca="false">IF(D2475="","",IFERROR(INDEX(AK_KEL,MATCH(D2475,AK_NAMA,0)),"?"))</f>
        <v/>
      </c>
      <c r="Q2475" s="102" t="n">
        <f aca="false">N(Q2474)+IF(AND(N(E2475)&lt;&gt;0,K2475=TAHUN,N(J2475)&lt;=BLN,OR(C2475=BB_AKUN,D2475=BB_AKUN)),1,0)</f>
        <v>877</v>
      </c>
      <c r="R2475" s="104" t="str">
        <f aca="false">IF(OR(C2475&amp;D2475="",N(E2475)=0),"",IF(OR(O2475="?",P2475="?"),"⚠ akun tidak dikenal",IF(C2475=D2475,"⚠ debet = kredit","")))</f>
        <v/>
      </c>
    </row>
    <row r="2476" customFormat="false" ht="15" hidden="false" customHeight="false" outlineLevel="0" collapsed="false">
      <c r="A2476" s="5"/>
      <c r="B2476" s="83"/>
      <c r="C2476" s="5"/>
      <c r="D2476" s="5"/>
      <c r="E2476" s="44"/>
      <c r="F2476" s="5"/>
      <c r="G2476" s="5"/>
      <c r="H2476" s="5"/>
      <c r="I2476" s="5"/>
      <c r="J2476" s="102" t="str">
        <f aca="false">IF(B2476="","",MONTH(B2476))</f>
        <v/>
      </c>
      <c r="K2476" s="102" t="str">
        <f aca="false">IF(B2476="","",YEAR(B2476))</f>
        <v/>
      </c>
      <c r="L2476" s="102" t="str">
        <f aca="false">IF(N(E2476)=0,"",IF(COUNTIFS(AK_NAMA,C2476,AK_KAT,"KAS")+COUNTIFS(AK_NAMA,D2476,AK_KAT,"KAS")&lt;&gt;1,"",IF(COUNTIFS(AK_NAMA,C2476,AK_KAT,"KAS")=1,D2476,C2476)))</f>
        <v/>
      </c>
      <c r="M2476" s="103" t="n">
        <f aca="false">IF(L2476="",0,IF(L2476=D2476,E2476,-E2476))</f>
        <v>0</v>
      </c>
      <c r="N2476" s="102" t="str">
        <f aca="false">IF(L2476="","",IFERROR(INDEX(AK_BARIS,MATCH(L2476,AK_NAMA,0)),"?"))</f>
        <v/>
      </c>
      <c r="O2476" s="102" t="str">
        <f aca="false">IF(C2476="","",IFERROR(INDEX(AK_KEL,MATCH(C2476,AK_NAMA,0)),"?"))</f>
        <v/>
      </c>
      <c r="P2476" s="102" t="str">
        <f aca="false">IF(D2476="","",IFERROR(INDEX(AK_KEL,MATCH(D2476,AK_NAMA,0)),"?"))</f>
        <v/>
      </c>
      <c r="Q2476" s="102" t="n">
        <f aca="false">N(Q2475)+IF(AND(N(E2476)&lt;&gt;0,K2476=TAHUN,N(J2476)&lt;=BLN,OR(C2476=BB_AKUN,D2476=BB_AKUN)),1,0)</f>
        <v>877</v>
      </c>
      <c r="R2476" s="104" t="str">
        <f aca="false">IF(OR(C2476&amp;D2476="",N(E2476)=0),"",IF(OR(O2476="?",P2476="?"),"⚠ akun tidak dikenal",IF(C2476=D2476,"⚠ debet = kredit","")))</f>
        <v/>
      </c>
    </row>
    <row r="2477" customFormat="false" ht="15" hidden="false" customHeight="false" outlineLevel="0" collapsed="false">
      <c r="A2477" s="5"/>
      <c r="B2477" s="83"/>
      <c r="C2477" s="5"/>
      <c r="D2477" s="5"/>
      <c r="E2477" s="44"/>
      <c r="F2477" s="5"/>
      <c r="G2477" s="5"/>
      <c r="H2477" s="5"/>
      <c r="I2477" s="5"/>
      <c r="J2477" s="102" t="str">
        <f aca="false">IF(B2477="","",MONTH(B2477))</f>
        <v/>
      </c>
      <c r="K2477" s="102" t="str">
        <f aca="false">IF(B2477="","",YEAR(B2477))</f>
        <v/>
      </c>
      <c r="L2477" s="102" t="str">
        <f aca="false">IF(N(E2477)=0,"",IF(COUNTIFS(AK_NAMA,C2477,AK_KAT,"KAS")+COUNTIFS(AK_NAMA,D2477,AK_KAT,"KAS")&lt;&gt;1,"",IF(COUNTIFS(AK_NAMA,C2477,AK_KAT,"KAS")=1,D2477,C2477)))</f>
        <v/>
      </c>
      <c r="M2477" s="103" t="n">
        <f aca="false">IF(L2477="",0,IF(L2477=D2477,E2477,-E2477))</f>
        <v>0</v>
      </c>
      <c r="N2477" s="102" t="str">
        <f aca="false">IF(L2477="","",IFERROR(INDEX(AK_BARIS,MATCH(L2477,AK_NAMA,0)),"?"))</f>
        <v/>
      </c>
      <c r="O2477" s="102" t="str">
        <f aca="false">IF(C2477="","",IFERROR(INDEX(AK_KEL,MATCH(C2477,AK_NAMA,0)),"?"))</f>
        <v/>
      </c>
      <c r="P2477" s="102" t="str">
        <f aca="false">IF(D2477="","",IFERROR(INDEX(AK_KEL,MATCH(D2477,AK_NAMA,0)),"?"))</f>
        <v/>
      </c>
      <c r="Q2477" s="102" t="n">
        <f aca="false">N(Q2476)+IF(AND(N(E2477)&lt;&gt;0,K2477=TAHUN,N(J2477)&lt;=BLN,OR(C2477=BB_AKUN,D2477=BB_AKUN)),1,0)</f>
        <v>877</v>
      </c>
      <c r="R2477" s="104" t="str">
        <f aca="false">IF(OR(C2477&amp;D2477="",N(E2477)=0),"",IF(OR(O2477="?",P2477="?"),"⚠ akun tidak dikenal",IF(C2477=D2477,"⚠ debet = kredit","")))</f>
        <v/>
      </c>
    </row>
    <row r="2478" customFormat="false" ht="15" hidden="false" customHeight="false" outlineLevel="0" collapsed="false">
      <c r="A2478" s="5"/>
      <c r="B2478" s="83"/>
      <c r="C2478" s="5"/>
      <c r="D2478" s="5"/>
      <c r="E2478" s="44"/>
      <c r="F2478" s="5"/>
      <c r="G2478" s="5"/>
      <c r="H2478" s="5"/>
      <c r="I2478" s="5"/>
      <c r="J2478" s="102" t="str">
        <f aca="false">IF(B2478="","",MONTH(B2478))</f>
        <v/>
      </c>
      <c r="K2478" s="102" t="str">
        <f aca="false">IF(B2478="","",YEAR(B2478))</f>
        <v/>
      </c>
      <c r="L2478" s="102" t="str">
        <f aca="false">IF(N(E2478)=0,"",IF(COUNTIFS(AK_NAMA,C2478,AK_KAT,"KAS")+COUNTIFS(AK_NAMA,D2478,AK_KAT,"KAS")&lt;&gt;1,"",IF(COUNTIFS(AK_NAMA,C2478,AK_KAT,"KAS")=1,D2478,C2478)))</f>
        <v/>
      </c>
      <c r="M2478" s="103" t="n">
        <f aca="false">IF(L2478="",0,IF(L2478=D2478,E2478,-E2478))</f>
        <v>0</v>
      </c>
      <c r="N2478" s="102" t="str">
        <f aca="false">IF(L2478="","",IFERROR(INDEX(AK_BARIS,MATCH(L2478,AK_NAMA,0)),"?"))</f>
        <v/>
      </c>
      <c r="O2478" s="102" t="str">
        <f aca="false">IF(C2478="","",IFERROR(INDEX(AK_KEL,MATCH(C2478,AK_NAMA,0)),"?"))</f>
        <v/>
      </c>
      <c r="P2478" s="102" t="str">
        <f aca="false">IF(D2478="","",IFERROR(INDEX(AK_KEL,MATCH(D2478,AK_NAMA,0)),"?"))</f>
        <v/>
      </c>
      <c r="Q2478" s="102" t="n">
        <f aca="false">N(Q2477)+IF(AND(N(E2478)&lt;&gt;0,K2478=TAHUN,N(J2478)&lt;=BLN,OR(C2478=BB_AKUN,D2478=BB_AKUN)),1,0)</f>
        <v>877</v>
      </c>
      <c r="R2478" s="104" t="str">
        <f aca="false">IF(OR(C2478&amp;D2478="",N(E2478)=0),"",IF(OR(O2478="?",P2478="?"),"⚠ akun tidak dikenal",IF(C2478=D2478,"⚠ debet = kredit","")))</f>
        <v/>
      </c>
    </row>
    <row r="2479" customFormat="false" ht="15" hidden="false" customHeight="false" outlineLevel="0" collapsed="false">
      <c r="A2479" s="5"/>
      <c r="B2479" s="83"/>
      <c r="C2479" s="5"/>
      <c r="D2479" s="5"/>
      <c r="E2479" s="44"/>
      <c r="F2479" s="5"/>
      <c r="G2479" s="5"/>
      <c r="H2479" s="5"/>
      <c r="I2479" s="5"/>
      <c r="J2479" s="102" t="str">
        <f aca="false">IF(B2479="","",MONTH(B2479))</f>
        <v/>
      </c>
      <c r="K2479" s="102" t="str">
        <f aca="false">IF(B2479="","",YEAR(B2479))</f>
        <v/>
      </c>
      <c r="L2479" s="102" t="str">
        <f aca="false">IF(N(E2479)=0,"",IF(COUNTIFS(AK_NAMA,C2479,AK_KAT,"KAS")+COUNTIFS(AK_NAMA,D2479,AK_KAT,"KAS")&lt;&gt;1,"",IF(COUNTIFS(AK_NAMA,C2479,AK_KAT,"KAS")=1,D2479,C2479)))</f>
        <v/>
      </c>
      <c r="M2479" s="103" t="n">
        <f aca="false">IF(L2479="",0,IF(L2479=D2479,E2479,-E2479))</f>
        <v>0</v>
      </c>
      <c r="N2479" s="102" t="str">
        <f aca="false">IF(L2479="","",IFERROR(INDEX(AK_BARIS,MATCH(L2479,AK_NAMA,0)),"?"))</f>
        <v/>
      </c>
      <c r="O2479" s="102" t="str">
        <f aca="false">IF(C2479="","",IFERROR(INDEX(AK_KEL,MATCH(C2479,AK_NAMA,0)),"?"))</f>
        <v/>
      </c>
      <c r="P2479" s="102" t="str">
        <f aca="false">IF(D2479="","",IFERROR(INDEX(AK_KEL,MATCH(D2479,AK_NAMA,0)),"?"))</f>
        <v/>
      </c>
      <c r="Q2479" s="102" t="n">
        <f aca="false">N(Q2478)+IF(AND(N(E2479)&lt;&gt;0,K2479=TAHUN,N(J2479)&lt;=BLN,OR(C2479=BB_AKUN,D2479=BB_AKUN)),1,0)</f>
        <v>877</v>
      </c>
      <c r="R2479" s="104" t="str">
        <f aca="false">IF(OR(C2479&amp;D2479="",N(E2479)=0),"",IF(OR(O2479="?",P2479="?"),"⚠ akun tidak dikenal",IF(C2479=D2479,"⚠ debet = kredit","")))</f>
        <v/>
      </c>
    </row>
    <row r="2480" customFormat="false" ht="15" hidden="false" customHeight="false" outlineLevel="0" collapsed="false">
      <c r="A2480" s="5"/>
      <c r="B2480" s="83"/>
      <c r="C2480" s="5"/>
      <c r="D2480" s="5"/>
      <c r="E2480" s="44"/>
      <c r="F2480" s="5"/>
      <c r="G2480" s="5"/>
      <c r="H2480" s="5"/>
      <c r="I2480" s="5"/>
      <c r="J2480" s="102" t="str">
        <f aca="false">IF(B2480="","",MONTH(B2480))</f>
        <v/>
      </c>
      <c r="K2480" s="102" t="str">
        <f aca="false">IF(B2480="","",YEAR(B2480))</f>
        <v/>
      </c>
      <c r="L2480" s="102" t="str">
        <f aca="false">IF(N(E2480)=0,"",IF(COUNTIFS(AK_NAMA,C2480,AK_KAT,"KAS")+COUNTIFS(AK_NAMA,D2480,AK_KAT,"KAS")&lt;&gt;1,"",IF(COUNTIFS(AK_NAMA,C2480,AK_KAT,"KAS")=1,D2480,C2480)))</f>
        <v/>
      </c>
      <c r="M2480" s="103" t="n">
        <f aca="false">IF(L2480="",0,IF(L2480=D2480,E2480,-E2480))</f>
        <v>0</v>
      </c>
      <c r="N2480" s="102" t="str">
        <f aca="false">IF(L2480="","",IFERROR(INDEX(AK_BARIS,MATCH(L2480,AK_NAMA,0)),"?"))</f>
        <v/>
      </c>
      <c r="O2480" s="102" t="str">
        <f aca="false">IF(C2480="","",IFERROR(INDEX(AK_KEL,MATCH(C2480,AK_NAMA,0)),"?"))</f>
        <v/>
      </c>
      <c r="P2480" s="102" t="str">
        <f aca="false">IF(D2480="","",IFERROR(INDEX(AK_KEL,MATCH(D2480,AK_NAMA,0)),"?"))</f>
        <v/>
      </c>
      <c r="Q2480" s="102" t="n">
        <f aca="false">N(Q2479)+IF(AND(N(E2480)&lt;&gt;0,K2480=TAHUN,N(J2480)&lt;=BLN,OR(C2480=BB_AKUN,D2480=BB_AKUN)),1,0)</f>
        <v>877</v>
      </c>
      <c r="R2480" s="104" t="str">
        <f aca="false">IF(OR(C2480&amp;D2480="",N(E2480)=0),"",IF(OR(O2480="?",P2480="?"),"⚠ akun tidak dikenal",IF(C2480=D2480,"⚠ debet = kredit","")))</f>
        <v/>
      </c>
    </row>
    <row r="2481" customFormat="false" ht="15" hidden="false" customHeight="false" outlineLevel="0" collapsed="false">
      <c r="A2481" s="5"/>
      <c r="B2481" s="83"/>
      <c r="C2481" s="5"/>
      <c r="D2481" s="5"/>
      <c r="E2481" s="44"/>
      <c r="F2481" s="5"/>
      <c r="G2481" s="5"/>
      <c r="H2481" s="5"/>
      <c r="I2481" s="5"/>
      <c r="J2481" s="102" t="str">
        <f aca="false">IF(B2481="","",MONTH(B2481))</f>
        <v/>
      </c>
      <c r="K2481" s="102" t="str">
        <f aca="false">IF(B2481="","",YEAR(B2481))</f>
        <v/>
      </c>
      <c r="L2481" s="102" t="str">
        <f aca="false">IF(N(E2481)=0,"",IF(COUNTIFS(AK_NAMA,C2481,AK_KAT,"KAS")+COUNTIFS(AK_NAMA,D2481,AK_KAT,"KAS")&lt;&gt;1,"",IF(COUNTIFS(AK_NAMA,C2481,AK_KAT,"KAS")=1,D2481,C2481)))</f>
        <v/>
      </c>
      <c r="M2481" s="103" t="n">
        <f aca="false">IF(L2481="",0,IF(L2481=D2481,E2481,-E2481))</f>
        <v>0</v>
      </c>
      <c r="N2481" s="102" t="str">
        <f aca="false">IF(L2481="","",IFERROR(INDEX(AK_BARIS,MATCH(L2481,AK_NAMA,0)),"?"))</f>
        <v/>
      </c>
      <c r="O2481" s="102" t="str">
        <f aca="false">IF(C2481="","",IFERROR(INDEX(AK_KEL,MATCH(C2481,AK_NAMA,0)),"?"))</f>
        <v/>
      </c>
      <c r="P2481" s="102" t="str">
        <f aca="false">IF(D2481="","",IFERROR(INDEX(AK_KEL,MATCH(D2481,AK_NAMA,0)),"?"))</f>
        <v/>
      </c>
      <c r="Q2481" s="102" t="n">
        <f aca="false">N(Q2480)+IF(AND(N(E2481)&lt;&gt;0,K2481=TAHUN,N(J2481)&lt;=BLN,OR(C2481=BB_AKUN,D2481=BB_AKUN)),1,0)</f>
        <v>877</v>
      </c>
      <c r="R2481" s="104" t="str">
        <f aca="false">IF(OR(C2481&amp;D2481="",N(E2481)=0),"",IF(OR(O2481="?",P2481="?"),"⚠ akun tidak dikenal",IF(C2481=D2481,"⚠ debet = kredit","")))</f>
        <v/>
      </c>
    </row>
    <row r="2482" customFormat="false" ht="15" hidden="false" customHeight="false" outlineLevel="0" collapsed="false">
      <c r="A2482" s="5"/>
      <c r="B2482" s="83"/>
      <c r="C2482" s="5"/>
      <c r="D2482" s="5"/>
      <c r="E2482" s="44"/>
      <c r="F2482" s="5"/>
      <c r="G2482" s="5"/>
      <c r="H2482" s="5"/>
      <c r="I2482" s="5"/>
      <c r="J2482" s="102" t="str">
        <f aca="false">IF(B2482="","",MONTH(B2482))</f>
        <v/>
      </c>
      <c r="K2482" s="102" t="str">
        <f aca="false">IF(B2482="","",YEAR(B2482))</f>
        <v/>
      </c>
      <c r="L2482" s="102" t="str">
        <f aca="false">IF(N(E2482)=0,"",IF(COUNTIFS(AK_NAMA,C2482,AK_KAT,"KAS")+COUNTIFS(AK_NAMA,D2482,AK_KAT,"KAS")&lt;&gt;1,"",IF(COUNTIFS(AK_NAMA,C2482,AK_KAT,"KAS")=1,D2482,C2482)))</f>
        <v/>
      </c>
      <c r="M2482" s="103" t="n">
        <f aca="false">IF(L2482="",0,IF(L2482=D2482,E2482,-E2482))</f>
        <v>0</v>
      </c>
      <c r="N2482" s="102" t="str">
        <f aca="false">IF(L2482="","",IFERROR(INDEX(AK_BARIS,MATCH(L2482,AK_NAMA,0)),"?"))</f>
        <v/>
      </c>
      <c r="O2482" s="102" t="str">
        <f aca="false">IF(C2482="","",IFERROR(INDEX(AK_KEL,MATCH(C2482,AK_NAMA,0)),"?"))</f>
        <v/>
      </c>
      <c r="P2482" s="102" t="str">
        <f aca="false">IF(D2482="","",IFERROR(INDEX(AK_KEL,MATCH(D2482,AK_NAMA,0)),"?"))</f>
        <v/>
      </c>
      <c r="Q2482" s="102" t="n">
        <f aca="false">N(Q2481)+IF(AND(N(E2482)&lt;&gt;0,K2482=TAHUN,N(J2482)&lt;=BLN,OR(C2482=BB_AKUN,D2482=BB_AKUN)),1,0)</f>
        <v>877</v>
      </c>
      <c r="R2482" s="104" t="str">
        <f aca="false">IF(OR(C2482&amp;D2482="",N(E2482)=0),"",IF(OR(O2482="?",P2482="?"),"⚠ akun tidak dikenal",IF(C2482=D2482,"⚠ debet = kredit","")))</f>
        <v/>
      </c>
    </row>
    <row r="2483" customFormat="false" ht="15" hidden="false" customHeight="false" outlineLevel="0" collapsed="false">
      <c r="A2483" s="5"/>
      <c r="B2483" s="83"/>
      <c r="C2483" s="5"/>
      <c r="D2483" s="5"/>
      <c r="E2483" s="44"/>
      <c r="F2483" s="5"/>
      <c r="G2483" s="5"/>
      <c r="H2483" s="5"/>
      <c r="I2483" s="5"/>
      <c r="J2483" s="102" t="str">
        <f aca="false">IF(B2483="","",MONTH(B2483))</f>
        <v/>
      </c>
      <c r="K2483" s="102" t="str">
        <f aca="false">IF(B2483="","",YEAR(B2483))</f>
        <v/>
      </c>
      <c r="L2483" s="102" t="str">
        <f aca="false">IF(N(E2483)=0,"",IF(COUNTIFS(AK_NAMA,C2483,AK_KAT,"KAS")+COUNTIFS(AK_NAMA,D2483,AK_KAT,"KAS")&lt;&gt;1,"",IF(COUNTIFS(AK_NAMA,C2483,AK_KAT,"KAS")=1,D2483,C2483)))</f>
        <v/>
      </c>
      <c r="M2483" s="103" t="n">
        <f aca="false">IF(L2483="",0,IF(L2483=D2483,E2483,-E2483))</f>
        <v>0</v>
      </c>
      <c r="N2483" s="102" t="str">
        <f aca="false">IF(L2483="","",IFERROR(INDEX(AK_BARIS,MATCH(L2483,AK_NAMA,0)),"?"))</f>
        <v/>
      </c>
      <c r="O2483" s="102" t="str">
        <f aca="false">IF(C2483="","",IFERROR(INDEX(AK_KEL,MATCH(C2483,AK_NAMA,0)),"?"))</f>
        <v/>
      </c>
      <c r="P2483" s="102" t="str">
        <f aca="false">IF(D2483="","",IFERROR(INDEX(AK_KEL,MATCH(D2483,AK_NAMA,0)),"?"))</f>
        <v/>
      </c>
      <c r="Q2483" s="102" t="n">
        <f aca="false">N(Q2482)+IF(AND(N(E2483)&lt;&gt;0,K2483=TAHUN,N(J2483)&lt;=BLN,OR(C2483=BB_AKUN,D2483=BB_AKUN)),1,0)</f>
        <v>877</v>
      </c>
      <c r="R2483" s="104" t="str">
        <f aca="false">IF(OR(C2483&amp;D2483="",N(E2483)=0),"",IF(OR(O2483="?",P2483="?"),"⚠ akun tidak dikenal",IF(C2483=D2483,"⚠ debet = kredit","")))</f>
        <v/>
      </c>
    </row>
    <row r="2484" customFormat="false" ht="15" hidden="false" customHeight="false" outlineLevel="0" collapsed="false">
      <c r="A2484" s="5"/>
      <c r="B2484" s="83"/>
      <c r="C2484" s="5"/>
      <c r="D2484" s="5"/>
      <c r="E2484" s="44"/>
      <c r="F2484" s="5"/>
      <c r="G2484" s="5"/>
      <c r="H2484" s="5"/>
      <c r="I2484" s="5"/>
      <c r="J2484" s="102" t="str">
        <f aca="false">IF(B2484="","",MONTH(B2484))</f>
        <v/>
      </c>
      <c r="K2484" s="102" t="str">
        <f aca="false">IF(B2484="","",YEAR(B2484))</f>
        <v/>
      </c>
      <c r="L2484" s="102" t="str">
        <f aca="false">IF(N(E2484)=0,"",IF(COUNTIFS(AK_NAMA,C2484,AK_KAT,"KAS")+COUNTIFS(AK_NAMA,D2484,AK_KAT,"KAS")&lt;&gt;1,"",IF(COUNTIFS(AK_NAMA,C2484,AK_KAT,"KAS")=1,D2484,C2484)))</f>
        <v/>
      </c>
      <c r="M2484" s="103" t="n">
        <f aca="false">IF(L2484="",0,IF(L2484=D2484,E2484,-E2484))</f>
        <v>0</v>
      </c>
      <c r="N2484" s="102" t="str">
        <f aca="false">IF(L2484="","",IFERROR(INDEX(AK_BARIS,MATCH(L2484,AK_NAMA,0)),"?"))</f>
        <v/>
      </c>
      <c r="O2484" s="102" t="str">
        <f aca="false">IF(C2484="","",IFERROR(INDEX(AK_KEL,MATCH(C2484,AK_NAMA,0)),"?"))</f>
        <v/>
      </c>
      <c r="P2484" s="102" t="str">
        <f aca="false">IF(D2484="","",IFERROR(INDEX(AK_KEL,MATCH(D2484,AK_NAMA,0)),"?"))</f>
        <v/>
      </c>
      <c r="Q2484" s="102" t="n">
        <f aca="false">N(Q2483)+IF(AND(N(E2484)&lt;&gt;0,K2484=TAHUN,N(J2484)&lt;=BLN,OR(C2484=BB_AKUN,D2484=BB_AKUN)),1,0)</f>
        <v>877</v>
      </c>
      <c r="R2484" s="104" t="str">
        <f aca="false">IF(OR(C2484&amp;D2484="",N(E2484)=0),"",IF(OR(O2484="?",P2484="?"),"⚠ akun tidak dikenal",IF(C2484=D2484,"⚠ debet = kredit","")))</f>
        <v/>
      </c>
    </row>
    <row r="2485" customFormat="false" ht="15" hidden="false" customHeight="false" outlineLevel="0" collapsed="false">
      <c r="A2485" s="5"/>
      <c r="B2485" s="83"/>
      <c r="C2485" s="5"/>
      <c r="D2485" s="5"/>
      <c r="E2485" s="44"/>
      <c r="F2485" s="5"/>
      <c r="G2485" s="5"/>
      <c r="H2485" s="5"/>
      <c r="I2485" s="5"/>
      <c r="J2485" s="102" t="str">
        <f aca="false">IF(B2485="","",MONTH(B2485))</f>
        <v/>
      </c>
      <c r="K2485" s="102" t="str">
        <f aca="false">IF(B2485="","",YEAR(B2485))</f>
        <v/>
      </c>
      <c r="L2485" s="102" t="str">
        <f aca="false">IF(N(E2485)=0,"",IF(COUNTIFS(AK_NAMA,C2485,AK_KAT,"KAS")+COUNTIFS(AK_NAMA,D2485,AK_KAT,"KAS")&lt;&gt;1,"",IF(COUNTIFS(AK_NAMA,C2485,AK_KAT,"KAS")=1,D2485,C2485)))</f>
        <v/>
      </c>
      <c r="M2485" s="103" t="n">
        <f aca="false">IF(L2485="",0,IF(L2485=D2485,E2485,-E2485))</f>
        <v>0</v>
      </c>
      <c r="N2485" s="102" t="str">
        <f aca="false">IF(L2485="","",IFERROR(INDEX(AK_BARIS,MATCH(L2485,AK_NAMA,0)),"?"))</f>
        <v/>
      </c>
      <c r="O2485" s="102" t="str">
        <f aca="false">IF(C2485="","",IFERROR(INDEX(AK_KEL,MATCH(C2485,AK_NAMA,0)),"?"))</f>
        <v/>
      </c>
      <c r="P2485" s="102" t="str">
        <f aca="false">IF(D2485="","",IFERROR(INDEX(AK_KEL,MATCH(D2485,AK_NAMA,0)),"?"))</f>
        <v/>
      </c>
      <c r="Q2485" s="102" t="n">
        <f aca="false">N(Q2484)+IF(AND(N(E2485)&lt;&gt;0,K2485=TAHUN,N(J2485)&lt;=BLN,OR(C2485=BB_AKUN,D2485=BB_AKUN)),1,0)</f>
        <v>877</v>
      </c>
      <c r="R2485" s="104" t="str">
        <f aca="false">IF(OR(C2485&amp;D2485="",N(E2485)=0),"",IF(OR(O2485="?",P2485="?"),"⚠ akun tidak dikenal",IF(C2485=D2485,"⚠ debet = kredit","")))</f>
        <v/>
      </c>
    </row>
    <row r="2486" customFormat="false" ht="15" hidden="false" customHeight="false" outlineLevel="0" collapsed="false">
      <c r="A2486" s="5"/>
      <c r="B2486" s="83"/>
      <c r="C2486" s="5"/>
      <c r="D2486" s="5"/>
      <c r="E2486" s="44"/>
      <c r="F2486" s="5"/>
      <c r="G2486" s="5"/>
      <c r="H2486" s="5"/>
      <c r="I2486" s="5"/>
      <c r="J2486" s="102" t="str">
        <f aca="false">IF(B2486="","",MONTH(B2486))</f>
        <v/>
      </c>
      <c r="K2486" s="102" t="str">
        <f aca="false">IF(B2486="","",YEAR(B2486))</f>
        <v/>
      </c>
      <c r="L2486" s="102" t="str">
        <f aca="false">IF(N(E2486)=0,"",IF(COUNTIFS(AK_NAMA,C2486,AK_KAT,"KAS")+COUNTIFS(AK_NAMA,D2486,AK_KAT,"KAS")&lt;&gt;1,"",IF(COUNTIFS(AK_NAMA,C2486,AK_KAT,"KAS")=1,D2486,C2486)))</f>
        <v/>
      </c>
      <c r="M2486" s="103" t="n">
        <f aca="false">IF(L2486="",0,IF(L2486=D2486,E2486,-E2486))</f>
        <v>0</v>
      </c>
      <c r="N2486" s="102" t="str">
        <f aca="false">IF(L2486="","",IFERROR(INDEX(AK_BARIS,MATCH(L2486,AK_NAMA,0)),"?"))</f>
        <v/>
      </c>
      <c r="O2486" s="102" t="str">
        <f aca="false">IF(C2486="","",IFERROR(INDEX(AK_KEL,MATCH(C2486,AK_NAMA,0)),"?"))</f>
        <v/>
      </c>
      <c r="P2486" s="102" t="str">
        <f aca="false">IF(D2486="","",IFERROR(INDEX(AK_KEL,MATCH(D2486,AK_NAMA,0)),"?"))</f>
        <v/>
      </c>
      <c r="Q2486" s="102" t="n">
        <f aca="false">N(Q2485)+IF(AND(N(E2486)&lt;&gt;0,K2486=TAHUN,N(J2486)&lt;=BLN,OR(C2486=BB_AKUN,D2486=BB_AKUN)),1,0)</f>
        <v>877</v>
      </c>
      <c r="R2486" s="104" t="str">
        <f aca="false">IF(OR(C2486&amp;D2486="",N(E2486)=0),"",IF(OR(O2486="?",P2486="?"),"⚠ akun tidak dikenal",IF(C2486=D2486,"⚠ debet = kredit","")))</f>
        <v/>
      </c>
    </row>
    <row r="2487" customFormat="false" ht="15" hidden="false" customHeight="false" outlineLevel="0" collapsed="false">
      <c r="A2487" s="5"/>
      <c r="B2487" s="83"/>
      <c r="C2487" s="5"/>
      <c r="D2487" s="5"/>
      <c r="E2487" s="44"/>
      <c r="F2487" s="5"/>
      <c r="G2487" s="5"/>
      <c r="H2487" s="5"/>
      <c r="I2487" s="5"/>
      <c r="J2487" s="102" t="str">
        <f aca="false">IF(B2487="","",MONTH(B2487))</f>
        <v/>
      </c>
      <c r="K2487" s="102" t="str">
        <f aca="false">IF(B2487="","",YEAR(B2487))</f>
        <v/>
      </c>
      <c r="L2487" s="102" t="str">
        <f aca="false">IF(N(E2487)=0,"",IF(COUNTIFS(AK_NAMA,C2487,AK_KAT,"KAS")+COUNTIFS(AK_NAMA,D2487,AK_KAT,"KAS")&lt;&gt;1,"",IF(COUNTIFS(AK_NAMA,C2487,AK_KAT,"KAS")=1,D2487,C2487)))</f>
        <v/>
      </c>
      <c r="M2487" s="103" t="n">
        <f aca="false">IF(L2487="",0,IF(L2487=D2487,E2487,-E2487))</f>
        <v>0</v>
      </c>
      <c r="N2487" s="102" t="str">
        <f aca="false">IF(L2487="","",IFERROR(INDEX(AK_BARIS,MATCH(L2487,AK_NAMA,0)),"?"))</f>
        <v/>
      </c>
      <c r="O2487" s="102" t="str">
        <f aca="false">IF(C2487="","",IFERROR(INDEX(AK_KEL,MATCH(C2487,AK_NAMA,0)),"?"))</f>
        <v/>
      </c>
      <c r="P2487" s="102" t="str">
        <f aca="false">IF(D2487="","",IFERROR(INDEX(AK_KEL,MATCH(D2487,AK_NAMA,0)),"?"))</f>
        <v/>
      </c>
      <c r="Q2487" s="102" t="n">
        <f aca="false">N(Q2486)+IF(AND(N(E2487)&lt;&gt;0,K2487=TAHUN,N(J2487)&lt;=BLN,OR(C2487=BB_AKUN,D2487=BB_AKUN)),1,0)</f>
        <v>877</v>
      </c>
      <c r="R2487" s="104" t="str">
        <f aca="false">IF(OR(C2487&amp;D2487="",N(E2487)=0),"",IF(OR(O2487="?",P2487="?"),"⚠ akun tidak dikenal",IF(C2487=D2487,"⚠ debet = kredit","")))</f>
        <v/>
      </c>
    </row>
    <row r="2488" customFormat="false" ht="15" hidden="false" customHeight="false" outlineLevel="0" collapsed="false">
      <c r="A2488" s="5"/>
      <c r="B2488" s="83"/>
      <c r="C2488" s="5"/>
      <c r="D2488" s="5"/>
      <c r="E2488" s="44"/>
      <c r="F2488" s="5"/>
      <c r="G2488" s="5"/>
      <c r="H2488" s="5"/>
      <c r="I2488" s="5"/>
      <c r="J2488" s="102" t="str">
        <f aca="false">IF(B2488="","",MONTH(B2488))</f>
        <v/>
      </c>
      <c r="K2488" s="102" t="str">
        <f aca="false">IF(B2488="","",YEAR(B2488))</f>
        <v/>
      </c>
      <c r="L2488" s="102" t="str">
        <f aca="false">IF(N(E2488)=0,"",IF(COUNTIFS(AK_NAMA,C2488,AK_KAT,"KAS")+COUNTIFS(AK_NAMA,D2488,AK_KAT,"KAS")&lt;&gt;1,"",IF(COUNTIFS(AK_NAMA,C2488,AK_KAT,"KAS")=1,D2488,C2488)))</f>
        <v/>
      </c>
      <c r="M2488" s="103" t="n">
        <f aca="false">IF(L2488="",0,IF(L2488=D2488,E2488,-E2488))</f>
        <v>0</v>
      </c>
      <c r="N2488" s="102" t="str">
        <f aca="false">IF(L2488="","",IFERROR(INDEX(AK_BARIS,MATCH(L2488,AK_NAMA,0)),"?"))</f>
        <v/>
      </c>
      <c r="O2488" s="102" t="str">
        <f aca="false">IF(C2488="","",IFERROR(INDEX(AK_KEL,MATCH(C2488,AK_NAMA,0)),"?"))</f>
        <v/>
      </c>
      <c r="P2488" s="102" t="str">
        <f aca="false">IF(D2488="","",IFERROR(INDEX(AK_KEL,MATCH(D2488,AK_NAMA,0)),"?"))</f>
        <v/>
      </c>
      <c r="Q2488" s="102" t="n">
        <f aca="false">N(Q2487)+IF(AND(N(E2488)&lt;&gt;0,K2488=TAHUN,N(J2488)&lt;=BLN,OR(C2488=BB_AKUN,D2488=BB_AKUN)),1,0)</f>
        <v>877</v>
      </c>
      <c r="R2488" s="104" t="str">
        <f aca="false">IF(OR(C2488&amp;D2488="",N(E2488)=0),"",IF(OR(O2488="?",P2488="?"),"⚠ akun tidak dikenal",IF(C2488=D2488,"⚠ debet = kredit","")))</f>
        <v/>
      </c>
    </row>
    <row r="2489" customFormat="false" ht="15" hidden="false" customHeight="false" outlineLevel="0" collapsed="false">
      <c r="A2489" s="5"/>
      <c r="B2489" s="83"/>
      <c r="C2489" s="5"/>
      <c r="D2489" s="5"/>
      <c r="E2489" s="44"/>
      <c r="F2489" s="5"/>
      <c r="G2489" s="5"/>
      <c r="H2489" s="5"/>
      <c r="I2489" s="5"/>
      <c r="J2489" s="102" t="str">
        <f aca="false">IF(B2489="","",MONTH(B2489))</f>
        <v/>
      </c>
      <c r="K2489" s="102" t="str">
        <f aca="false">IF(B2489="","",YEAR(B2489))</f>
        <v/>
      </c>
      <c r="L2489" s="102" t="str">
        <f aca="false">IF(N(E2489)=0,"",IF(COUNTIFS(AK_NAMA,C2489,AK_KAT,"KAS")+COUNTIFS(AK_NAMA,D2489,AK_KAT,"KAS")&lt;&gt;1,"",IF(COUNTIFS(AK_NAMA,C2489,AK_KAT,"KAS")=1,D2489,C2489)))</f>
        <v/>
      </c>
      <c r="M2489" s="103" t="n">
        <f aca="false">IF(L2489="",0,IF(L2489=D2489,E2489,-E2489))</f>
        <v>0</v>
      </c>
      <c r="N2489" s="102" t="str">
        <f aca="false">IF(L2489="","",IFERROR(INDEX(AK_BARIS,MATCH(L2489,AK_NAMA,0)),"?"))</f>
        <v/>
      </c>
      <c r="O2489" s="102" t="str">
        <f aca="false">IF(C2489="","",IFERROR(INDEX(AK_KEL,MATCH(C2489,AK_NAMA,0)),"?"))</f>
        <v/>
      </c>
      <c r="P2489" s="102" t="str">
        <f aca="false">IF(D2489="","",IFERROR(INDEX(AK_KEL,MATCH(D2489,AK_NAMA,0)),"?"))</f>
        <v/>
      </c>
      <c r="Q2489" s="102" t="n">
        <f aca="false">N(Q2488)+IF(AND(N(E2489)&lt;&gt;0,K2489=TAHUN,N(J2489)&lt;=BLN,OR(C2489=BB_AKUN,D2489=BB_AKUN)),1,0)</f>
        <v>877</v>
      </c>
      <c r="R2489" s="104" t="str">
        <f aca="false">IF(OR(C2489&amp;D2489="",N(E2489)=0),"",IF(OR(O2489="?",P2489="?"),"⚠ akun tidak dikenal",IF(C2489=D2489,"⚠ debet = kredit","")))</f>
        <v/>
      </c>
    </row>
    <row r="2490" customFormat="false" ht="15" hidden="false" customHeight="false" outlineLevel="0" collapsed="false">
      <c r="A2490" s="5"/>
      <c r="B2490" s="83"/>
      <c r="C2490" s="5"/>
      <c r="D2490" s="5"/>
      <c r="E2490" s="44"/>
      <c r="F2490" s="5"/>
      <c r="G2490" s="5"/>
      <c r="H2490" s="5"/>
      <c r="I2490" s="5"/>
      <c r="J2490" s="102" t="str">
        <f aca="false">IF(B2490="","",MONTH(B2490))</f>
        <v/>
      </c>
      <c r="K2490" s="102" t="str">
        <f aca="false">IF(B2490="","",YEAR(B2490))</f>
        <v/>
      </c>
      <c r="L2490" s="102" t="str">
        <f aca="false">IF(N(E2490)=0,"",IF(COUNTIFS(AK_NAMA,C2490,AK_KAT,"KAS")+COUNTIFS(AK_NAMA,D2490,AK_KAT,"KAS")&lt;&gt;1,"",IF(COUNTIFS(AK_NAMA,C2490,AK_KAT,"KAS")=1,D2490,C2490)))</f>
        <v/>
      </c>
      <c r="M2490" s="103" t="n">
        <f aca="false">IF(L2490="",0,IF(L2490=D2490,E2490,-E2490))</f>
        <v>0</v>
      </c>
      <c r="N2490" s="102" t="str">
        <f aca="false">IF(L2490="","",IFERROR(INDEX(AK_BARIS,MATCH(L2490,AK_NAMA,0)),"?"))</f>
        <v/>
      </c>
      <c r="O2490" s="102" t="str">
        <f aca="false">IF(C2490="","",IFERROR(INDEX(AK_KEL,MATCH(C2490,AK_NAMA,0)),"?"))</f>
        <v/>
      </c>
      <c r="P2490" s="102" t="str">
        <f aca="false">IF(D2490="","",IFERROR(INDEX(AK_KEL,MATCH(D2490,AK_NAMA,0)),"?"))</f>
        <v/>
      </c>
      <c r="Q2490" s="102" t="n">
        <f aca="false">N(Q2489)+IF(AND(N(E2490)&lt;&gt;0,K2490=TAHUN,N(J2490)&lt;=BLN,OR(C2490=BB_AKUN,D2490=BB_AKUN)),1,0)</f>
        <v>877</v>
      </c>
      <c r="R2490" s="104" t="str">
        <f aca="false">IF(OR(C2490&amp;D2490="",N(E2490)=0),"",IF(OR(O2490="?",P2490="?"),"⚠ akun tidak dikenal",IF(C2490=D2490,"⚠ debet = kredit","")))</f>
        <v/>
      </c>
    </row>
    <row r="2491" customFormat="false" ht="15" hidden="false" customHeight="false" outlineLevel="0" collapsed="false">
      <c r="A2491" s="5"/>
      <c r="B2491" s="83"/>
      <c r="C2491" s="5"/>
      <c r="D2491" s="5"/>
      <c r="E2491" s="44"/>
      <c r="F2491" s="5"/>
      <c r="G2491" s="5"/>
      <c r="H2491" s="5"/>
      <c r="I2491" s="5"/>
      <c r="J2491" s="102" t="str">
        <f aca="false">IF(B2491="","",MONTH(B2491))</f>
        <v/>
      </c>
      <c r="K2491" s="102" t="str">
        <f aca="false">IF(B2491="","",YEAR(B2491))</f>
        <v/>
      </c>
      <c r="L2491" s="102" t="str">
        <f aca="false">IF(N(E2491)=0,"",IF(COUNTIFS(AK_NAMA,C2491,AK_KAT,"KAS")+COUNTIFS(AK_NAMA,D2491,AK_KAT,"KAS")&lt;&gt;1,"",IF(COUNTIFS(AK_NAMA,C2491,AK_KAT,"KAS")=1,D2491,C2491)))</f>
        <v/>
      </c>
      <c r="M2491" s="103" t="n">
        <f aca="false">IF(L2491="",0,IF(L2491=D2491,E2491,-E2491))</f>
        <v>0</v>
      </c>
      <c r="N2491" s="102" t="str">
        <f aca="false">IF(L2491="","",IFERROR(INDEX(AK_BARIS,MATCH(L2491,AK_NAMA,0)),"?"))</f>
        <v/>
      </c>
      <c r="O2491" s="102" t="str">
        <f aca="false">IF(C2491="","",IFERROR(INDEX(AK_KEL,MATCH(C2491,AK_NAMA,0)),"?"))</f>
        <v/>
      </c>
      <c r="P2491" s="102" t="str">
        <f aca="false">IF(D2491="","",IFERROR(INDEX(AK_KEL,MATCH(D2491,AK_NAMA,0)),"?"))</f>
        <v/>
      </c>
      <c r="Q2491" s="102" t="n">
        <f aca="false">N(Q2490)+IF(AND(N(E2491)&lt;&gt;0,K2491=TAHUN,N(J2491)&lt;=BLN,OR(C2491=BB_AKUN,D2491=BB_AKUN)),1,0)</f>
        <v>877</v>
      </c>
      <c r="R2491" s="104" t="str">
        <f aca="false">IF(OR(C2491&amp;D2491="",N(E2491)=0),"",IF(OR(O2491="?",P2491="?"),"⚠ akun tidak dikenal",IF(C2491=D2491,"⚠ debet = kredit","")))</f>
        <v/>
      </c>
    </row>
    <row r="2492" customFormat="false" ht="15" hidden="false" customHeight="false" outlineLevel="0" collapsed="false">
      <c r="A2492" s="5"/>
      <c r="B2492" s="83"/>
      <c r="C2492" s="5"/>
      <c r="D2492" s="5"/>
      <c r="E2492" s="44"/>
      <c r="F2492" s="5"/>
      <c r="G2492" s="5"/>
      <c r="H2492" s="5"/>
      <c r="I2492" s="5"/>
      <c r="J2492" s="102" t="str">
        <f aca="false">IF(B2492="","",MONTH(B2492))</f>
        <v/>
      </c>
      <c r="K2492" s="102" t="str">
        <f aca="false">IF(B2492="","",YEAR(B2492))</f>
        <v/>
      </c>
      <c r="L2492" s="102" t="str">
        <f aca="false">IF(N(E2492)=0,"",IF(COUNTIFS(AK_NAMA,C2492,AK_KAT,"KAS")+COUNTIFS(AK_NAMA,D2492,AK_KAT,"KAS")&lt;&gt;1,"",IF(COUNTIFS(AK_NAMA,C2492,AK_KAT,"KAS")=1,D2492,C2492)))</f>
        <v/>
      </c>
      <c r="M2492" s="103" t="n">
        <f aca="false">IF(L2492="",0,IF(L2492=D2492,E2492,-E2492))</f>
        <v>0</v>
      </c>
      <c r="N2492" s="102" t="str">
        <f aca="false">IF(L2492="","",IFERROR(INDEX(AK_BARIS,MATCH(L2492,AK_NAMA,0)),"?"))</f>
        <v/>
      </c>
      <c r="O2492" s="102" t="str">
        <f aca="false">IF(C2492="","",IFERROR(INDEX(AK_KEL,MATCH(C2492,AK_NAMA,0)),"?"))</f>
        <v/>
      </c>
      <c r="P2492" s="102" t="str">
        <f aca="false">IF(D2492="","",IFERROR(INDEX(AK_KEL,MATCH(D2492,AK_NAMA,0)),"?"))</f>
        <v/>
      </c>
      <c r="Q2492" s="102" t="n">
        <f aca="false">N(Q2491)+IF(AND(N(E2492)&lt;&gt;0,K2492=TAHUN,N(J2492)&lt;=BLN,OR(C2492=BB_AKUN,D2492=BB_AKUN)),1,0)</f>
        <v>877</v>
      </c>
      <c r="R2492" s="104" t="str">
        <f aca="false">IF(OR(C2492&amp;D2492="",N(E2492)=0),"",IF(OR(O2492="?",P2492="?"),"⚠ akun tidak dikenal",IF(C2492=D2492,"⚠ debet = kredit","")))</f>
        <v/>
      </c>
    </row>
    <row r="2493" customFormat="false" ht="15" hidden="false" customHeight="false" outlineLevel="0" collapsed="false">
      <c r="A2493" s="5"/>
      <c r="B2493" s="83"/>
      <c r="C2493" s="5"/>
      <c r="D2493" s="5"/>
      <c r="E2493" s="44"/>
      <c r="F2493" s="5"/>
      <c r="G2493" s="5"/>
      <c r="H2493" s="5"/>
      <c r="I2493" s="5"/>
      <c r="J2493" s="102" t="str">
        <f aca="false">IF(B2493="","",MONTH(B2493))</f>
        <v/>
      </c>
      <c r="K2493" s="102" t="str">
        <f aca="false">IF(B2493="","",YEAR(B2493))</f>
        <v/>
      </c>
      <c r="L2493" s="102" t="str">
        <f aca="false">IF(N(E2493)=0,"",IF(COUNTIFS(AK_NAMA,C2493,AK_KAT,"KAS")+COUNTIFS(AK_NAMA,D2493,AK_KAT,"KAS")&lt;&gt;1,"",IF(COUNTIFS(AK_NAMA,C2493,AK_KAT,"KAS")=1,D2493,C2493)))</f>
        <v/>
      </c>
      <c r="M2493" s="103" t="n">
        <f aca="false">IF(L2493="",0,IF(L2493=D2493,E2493,-E2493))</f>
        <v>0</v>
      </c>
      <c r="N2493" s="102" t="str">
        <f aca="false">IF(L2493="","",IFERROR(INDEX(AK_BARIS,MATCH(L2493,AK_NAMA,0)),"?"))</f>
        <v/>
      </c>
      <c r="O2493" s="102" t="str">
        <f aca="false">IF(C2493="","",IFERROR(INDEX(AK_KEL,MATCH(C2493,AK_NAMA,0)),"?"))</f>
        <v/>
      </c>
      <c r="P2493" s="102" t="str">
        <f aca="false">IF(D2493="","",IFERROR(INDEX(AK_KEL,MATCH(D2493,AK_NAMA,0)),"?"))</f>
        <v/>
      </c>
      <c r="Q2493" s="102" t="n">
        <f aca="false">N(Q2492)+IF(AND(N(E2493)&lt;&gt;0,K2493=TAHUN,N(J2493)&lt;=BLN,OR(C2493=BB_AKUN,D2493=BB_AKUN)),1,0)</f>
        <v>877</v>
      </c>
      <c r="R2493" s="104" t="str">
        <f aca="false">IF(OR(C2493&amp;D2493="",N(E2493)=0),"",IF(OR(O2493="?",P2493="?"),"⚠ akun tidak dikenal",IF(C2493=D2493,"⚠ debet = kredit","")))</f>
        <v/>
      </c>
    </row>
    <row r="2494" customFormat="false" ht="15" hidden="false" customHeight="false" outlineLevel="0" collapsed="false">
      <c r="A2494" s="5"/>
      <c r="B2494" s="83"/>
      <c r="C2494" s="5"/>
      <c r="D2494" s="5"/>
      <c r="E2494" s="44"/>
      <c r="F2494" s="5"/>
      <c r="G2494" s="5"/>
      <c r="H2494" s="5"/>
      <c r="I2494" s="5"/>
      <c r="J2494" s="102" t="str">
        <f aca="false">IF(B2494="","",MONTH(B2494))</f>
        <v/>
      </c>
      <c r="K2494" s="102" t="str">
        <f aca="false">IF(B2494="","",YEAR(B2494))</f>
        <v/>
      </c>
      <c r="L2494" s="102" t="str">
        <f aca="false">IF(N(E2494)=0,"",IF(COUNTIFS(AK_NAMA,C2494,AK_KAT,"KAS")+COUNTIFS(AK_NAMA,D2494,AK_KAT,"KAS")&lt;&gt;1,"",IF(COUNTIFS(AK_NAMA,C2494,AK_KAT,"KAS")=1,D2494,C2494)))</f>
        <v/>
      </c>
      <c r="M2494" s="103" t="n">
        <f aca="false">IF(L2494="",0,IF(L2494=D2494,E2494,-E2494))</f>
        <v>0</v>
      </c>
      <c r="N2494" s="102" t="str">
        <f aca="false">IF(L2494="","",IFERROR(INDEX(AK_BARIS,MATCH(L2494,AK_NAMA,0)),"?"))</f>
        <v/>
      </c>
      <c r="O2494" s="102" t="str">
        <f aca="false">IF(C2494="","",IFERROR(INDEX(AK_KEL,MATCH(C2494,AK_NAMA,0)),"?"))</f>
        <v/>
      </c>
      <c r="P2494" s="102" t="str">
        <f aca="false">IF(D2494="","",IFERROR(INDEX(AK_KEL,MATCH(D2494,AK_NAMA,0)),"?"))</f>
        <v/>
      </c>
      <c r="Q2494" s="102" t="n">
        <f aca="false">N(Q2493)+IF(AND(N(E2494)&lt;&gt;0,K2494=TAHUN,N(J2494)&lt;=BLN,OR(C2494=BB_AKUN,D2494=BB_AKUN)),1,0)</f>
        <v>877</v>
      </c>
      <c r="R2494" s="104" t="str">
        <f aca="false">IF(OR(C2494&amp;D2494="",N(E2494)=0),"",IF(OR(O2494="?",P2494="?"),"⚠ akun tidak dikenal",IF(C2494=D2494,"⚠ debet = kredit","")))</f>
        <v/>
      </c>
    </row>
    <row r="2495" customFormat="false" ht="15" hidden="false" customHeight="false" outlineLevel="0" collapsed="false">
      <c r="A2495" s="5"/>
      <c r="B2495" s="83"/>
      <c r="C2495" s="5"/>
      <c r="D2495" s="5"/>
      <c r="E2495" s="44"/>
      <c r="F2495" s="5"/>
      <c r="G2495" s="5"/>
      <c r="H2495" s="5"/>
      <c r="I2495" s="5"/>
      <c r="J2495" s="102" t="str">
        <f aca="false">IF(B2495="","",MONTH(B2495))</f>
        <v/>
      </c>
      <c r="K2495" s="102" t="str">
        <f aca="false">IF(B2495="","",YEAR(B2495))</f>
        <v/>
      </c>
      <c r="L2495" s="102" t="str">
        <f aca="false">IF(N(E2495)=0,"",IF(COUNTIFS(AK_NAMA,C2495,AK_KAT,"KAS")+COUNTIFS(AK_NAMA,D2495,AK_KAT,"KAS")&lt;&gt;1,"",IF(COUNTIFS(AK_NAMA,C2495,AK_KAT,"KAS")=1,D2495,C2495)))</f>
        <v/>
      </c>
      <c r="M2495" s="103" t="n">
        <f aca="false">IF(L2495="",0,IF(L2495=D2495,E2495,-E2495))</f>
        <v>0</v>
      </c>
      <c r="N2495" s="102" t="str">
        <f aca="false">IF(L2495="","",IFERROR(INDEX(AK_BARIS,MATCH(L2495,AK_NAMA,0)),"?"))</f>
        <v/>
      </c>
      <c r="O2495" s="102" t="str">
        <f aca="false">IF(C2495="","",IFERROR(INDEX(AK_KEL,MATCH(C2495,AK_NAMA,0)),"?"))</f>
        <v/>
      </c>
      <c r="P2495" s="102" t="str">
        <f aca="false">IF(D2495="","",IFERROR(INDEX(AK_KEL,MATCH(D2495,AK_NAMA,0)),"?"))</f>
        <v/>
      </c>
      <c r="Q2495" s="102" t="n">
        <f aca="false">N(Q2494)+IF(AND(N(E2495)&lt;&gt;0,K2495=TAHUN,N(J2495)&lt;=BLN,OR(C2495=BB_AKUN,D2495=BB_AKUN)),1,0)</f>
        <v>877</v>
      </c>
      <c r="R2495" s="104" t="str">
        <f aca="false">IF(OR(C2495&amp;D2495="",N(E2495)=0),"",IF(OR(O2495="?",P2495="?"),"⚠ akun tidak dikenal",IF(C2495=D2495,"⚠ debet = kredit","")))</f>
        <v/>
      </c>
    </row>
    <row r="2496" customFormat="false" ht="15" hidden="false" customHeight="false" outlineLevel="0" collapsed="false">
      <c r="A2496" s="5"/>
      <c r="B2496" s="83"/>
      <c r="C2496" s="5"/>
      <c r="D2496" s="5"/>
      <c r="E2496" s="44"/>
      <c r="F2496" s="5"/>
      <c r="G2496" s="5"/>
      <c r="H2496" s="5"/>
      <c r="I2496" s="5"/>
      <c r="J2496" s="102" t="str">
        <f aca="false">IF(B2496="","",MONTH(B2496))</f>
        <v/>
      </c>
      <c r="K2496" s="102" t="str">
        <f aca="false">IF(B2496="","",YEAR(B2496))</f>
        <v/>
      </c>
      <c r="L2496" s="102" t="str">
        <f aca="false">IF(N(E2496)=0,"",IF(COUNTIFS(AK_NAMA,C2496,AK_KAT,"KAS")+COUNTIFS(AK_NAMA,D2496,AK_KAT,"KAS")&lt;&gt;1,"",IF(COUNTIFS(AK_NAMA,C2496,AK_KAT,"KAS")=1,D2496,C2496)))</f>
        <v/>
      </c>
      <c r="M2496" s="103" t="n">
        <f aca="false">IF(L2496="",0,IF(L2496=D2496,E2496,-E2496))</f>
        <v>0</v>
      </c>
      <c r="N2496" s="102" t="str">
        <f aca="false">IF(L2496="","",IFERROR(INDEX(AK_BARIS,MATCH(L2496,AK_NAMA,0)),"?"))</f>
        <v/>
      </c>
      <c r="O2496" s="102" t="str">
        <f aca="false">IF(C2496="","",IFERROR(INDEX(AK_KEL,MATCH(C2496,AK_NAMA,0)),"?"))</f>
        <v/>
      </c>
      <c r="P2496" s="102" t="str">
        <f aca="false">IF(D2496="","",IFERROR(INDEX(AK_KEL,MATCH(D2496,AK_NAMA,0)),"?"))</f>
        <v/>
      </c>
      <c r="Q2496" s="102" t="n">
        <f aca="false">N(Q2495)+IF(AND(N(E2496)&lt;&gt;0,K2496=TAHUN,N(J2496)&lt;=BLN,OR(C2496=BB_AKUN,D2496=BB_AKUN)),1,0)</f>
        <v>877</v>
      </c>
      <c r="R2496" s="104" t="str">
        <f aca="false">IF(OR(C2496&amp;D2496="",N(E2496)=0),"",IF(OR(O2496="?",P2496="?"),"⚠ akun tidak dikenal",IF(C2496=D2496,"⚠ debet = kredit","")))</f>
        <v/>
      </c>
    </row>
    <row r="2497" customFormat="false" ht="15" hidden="false" customHeight="false" outlineLevel="0" collapsed="false">
      <c r="A2497" s="5"/>
      <c r="B2497" s="83"/>
      <c r="C2497" s="5"/>
      <c r="D2497" s="5"/>
      <c r="E2497" s="44"/>
      <c r="F2497" s="5"/>
      <c r="G2497" s="5"/>
      <c r="H2497" s="5"/>
      <c r="I2497" s="5"/>
      <c r="J2497" s="102" t="str">
        <f aca="false">IF(B2497="","",MONTH(B2497))</f>
        <v/>
      </c>
      <c r="K2497" s="102" t="str">
        <f aca="false">IF(B2497="","",YEAR(B2497))</f>
        <v/>
      </c>
      <c r="L2497" s="102" t="str">
        <f aca="false">IF(N(E2497)=0,"",IF(COUNTIFS(AK_NAMA,C2497,AK_KAT,"KAS")+COUNTIFS(AK_NAMA,D2497,AK_KAT,"KAS")&lt;&gt;1,"",IF(COUNTIFS(AK_NAMA,C2497,AK_KAT,"KAS")=1,D2497,C2497)))</f>
        <v/>
      </c>
      <c r="M2497" s="103" t="n">
        <f aca="false">IF(L2497="",0,IF(L2497=D2497,E2497,-E2497))</f>
        <v>0</v>
      </c>
      <c r="N2497" s="102" t="str">
        <f aca="false">IF(L2497="","",IFERROR(INDEX(AK_BARIS,MATCH(L2497,AK_NAMA,0)),"?"))</f>
        <v/>
      </c>
      <c r="O2497" s="102" t="str">
        <f aca="false">IF(C2497="","",IFERROR(INDEX(AK_KEL,MATCH(C2497,AK_NAMA,0)),"?"))</f>
        <v/>
      </c>
      <c r="P2497" s="102" t="str">
        <f aca="false">IF(D2497="","",IFERROR(INDEX(AK_KEL,MATCH(D2497,AK_NAMA,0)),"?"))</f>
        <v/>
      </c>
      <c r="Q2497" s="102" t="n">
        <f aca="false">N(Q2496)+IF(AND(N(E2497)&lt;&gt;0,K2497=TAHUN,N(J2497)&lt;=BLN,OR(C2497=BB_AKUN,D2497=BB_AKUN)),1,0)</f>
        <v>877</v>
      </c>
      <c r="R2497" s="104" t="str">
        <f aca="false">IF(OR(C2497&amp;D2497="",N(E2497)=0),"",IF(OR(O2497="?",P2497="?"),"⚠ akun tidak dikenal",IF(C2497=D2497,"⚠ debet = kredit","")))</f>
        <v/>
      </c>
    </row>
    <row r="2498" customFormat="false" ht="15" hidden="false" customHeight="false" outlineLevel="0" collapsed="false">
      <c r="A2498" s="5"/>
      <c r="B2498" s="83"/>
      <c r="C2498" s="5"/>
      <c r="D2498" s="5"/>
      <c r="E2498" s="44"/>
      <c r="F2498" s="5"/>
      <c r="G2498" s="5"/>
      <c r="H2498" s="5"/>
      <c r="I2498" s="5"/>
      <c r="J2498" s="102" t="str">
        <f aca="false">IF(B2498="","",MONTH(B2498))</f>
        <v/>
      </c>
      <c r="K2498" s="102" t="str">
        <f aca="false">IF(B2498="","",YEAR(B2498))</f>
        <v/>
      </c>
      <c r="L2498" s="102" t="str">
        <f aca="false">IF(N(E2498)=0,"",IF(COUNTIFS(AK_NAMA,C2498,AK_KAT,"KAS")+COUNTIFS(AK_NAMA,D2498,AK_KAT,"KAS")&lt;&gt;1,"",IF(COUNTIFS(AK_NAMA,C2498,AK_KAT,"KAS")=1,D2498,C2498)))</f>
        <v/>
      </c>
      <c r="M2498" s="103" t="n">
        <f aca="false">IF(L2498="",0,IF(L2498=D2498,E2498,-E2498))</f>
        <v>0</v>
      </c>
      <c r="N2498" s="102" t="str">
        <f aca="false">IF(L2498="","",IFERROR(INDEX(AK_BARIS,MATCH(L2498,AK_NAMA,0)),"?"))</f>
        <v/>
      </c>
      <c r="O2498" s="102" t="str">
        <f aca="false">IF(C2498="","",IFERROR(INDEX(AK_KEL,MATCH(C2498,AK_NAMA,0)),"?"))</f>
        <v/>
      </c>
      <c r="P2498" s="102" t="str">
        <f aca="false">IF(D2498="","",IFERROR(INDEX(AK_KEL,MATCH(D2498,AK_NAMA,0)),"?"))</f>
        <v/>
      </c>
      <c r="Q2498" s="102" t="n">
        <f aca="false">N(Q2497)+IF(AND(N(E2498)&lt;&gt;0,K2498=TAHUN,N(J2498)&lt;=BLN,OR(C2498=BB_AKUN,D2498=BB_AKUN)),1,0)</f>
        <v>877</v>
      </c>
      <c r="R2498" s="104" t="str">
        <f aca="false">IF(OR(C2498&amp;D2498="",N(E2498)=0),"",IF(OR(O2498="?",P2498="?"),"⚠ akun tidak dikenal",IF(C2498=D2498,"⚠ debet = kredit","")))</f>
        <v/>
      </c>
    </row>
    <row r="2499" customFormat="false" ht="15" hidden="false" customHeight="false" outlineLevel="0" collapsed="false">
      <c r="A2499" s="5"/>
      <c r="B2499" s="83"/>
      <c r="C2499" s="5"/>
      <c r="D2499" s="5"/>
      <c r="E2499" s="44"/>
      <c r="F2499" s="5"/>
      <c r="G2499" s="5"/>
      <c r="H2499" s="5"/>
      <c r="I2499" s="5"/>
      <c r="J2499" s="102" t="str">
        <f aca="false">IF(B2499="","",MONTH(B2499))</f>
        <v/>
      </c>
      <c r="K2499" s="102" t="str">
        <f aca="false">IF(B2499="","",YEAR(B2499))</f>
        <v/>
      </c>
      <c r="L2499" s="102" t="str">
        <f aca="false">IF(N(E2499)=0,"",IF(COUNTIFS(AK_NAMA,C2499,AK_KAT,"KAS")+COUNTIFS(AK_NAMA,D2499,AK_KAT,"KAS")&lt;&gt;1,"",IF(COUNTIFS(AK_NAMA,C2499,AK_KAT,"KAS")=1,D2499,C2499)))</f>
        <v/>
      </c>
      <c r="M2499" s="103" t="n">
        <f aca="false">IF(L2499="",0,IF(L2499=D2499,E2499,-E2499))</f>
        <v>0</v>
      </c>
      <c r="N2499" s="102" t="str">
        <f aca="false">IF(L2499="","",IFERROR(INDEX(AK_BARIS,MATCH(L2499,AK_NAMA,0)),"?"))</f>
        <v/>
      </c>
      <c r="O2499" s="102" t="str">
        <f aca="false">IF(C2499="","",IFERROR(INDEX(AK_KEL,MATCH(C2499,AK_NAMA,0)),"?"))</f>
        <v/>
      </c>
      <c r="P2499" s="102" t="str">
        <f aca="false">IF(D2499="","",IFERROR(INDEX(AK_KEL,MATCH(D2499,AK_NAMA,0)),"?"))</f>
        <v/>
      </c>
      <c r="Q2499" s="102" t="n">
        <f aca="false">N(Q2498)+IF(AND(N(E2499)&lt;&gt;0,K2499=TAHUN,N(J2499)&lt;=BLN,OR(C2499=BB_AKUN,D2499=BB_AKUN)),1,0)</f>
        <v>877</v>
      </c>
      <c r="R2499" s="104" t="str">
        <f aca="false">IF(OR(C2499&amp;D2499="",N(E2499)=0),"",IF(OR(O2499="?",P2499="?"),"⚠ akun tidak dikenal",IF(C2499=D2499,"⚠ debet = kredit","")))</f>
        <v/>
      </c>
    </row>
    <row r="2500" customFormat="false" ht="15" hidden="false" customHeight="false" outlineLevel="0" collapsed="false">
      <c r="A2500" s="5"/>
      <c r="B2500" s="83"/>
      <c r="C2500" s="5"/>
      <c r="D2500" s="5"/>
      <c r="E2500" s="44"/>
      <c r="F2500" s="5"/>
      <c r="G2500" s="5"/>
      <c r="H2500" s="5"/>
      <c r="I2500" s="5"/>
      <c r="J2500" s="102" t="str">
        <f aca="false">IF(B2500="","",MONTH(B2500))</f>
        <v/>
      </c>
      <c r="K2500" s="102" t="str">
        <f aca="false">IF(B2500="","",YEAR(B2500))</f>
        <v/>
      </c>
      <c r="L2500" s="102" t="str">
        <f aca="false">IF(N(E2500)=0,"",IF(COUNTIFS(AK_NAMA,C2500,AK_KAT,"KAS")+COUNTIFS(AK_NAMA,D2500,AK_KAT,"KAS")&lt;&gt;1,"",IF(COUNTIFS(AK_NAMA,C2500,AK_KAT,"KAS")=1,D2500,C2500)))</f>
        <v/>
      </c>
      <c r="M2500" s="103" t="n">
        <f aca="false">IF(L2500="",0,IF(L2500=D2500,E2500,-E2500))</f>
        <v>0</v>
      </c>
      <c r="N2500" s="102" t="str">
        <f aca="false">IF(L2500="","",IFERROR(INDEX(AK_BARIS,MATCH(L2500,AK_NAMA,0)),"?"))</f>
        <v/>
      </c>
      <c r="O2500" s="102" t="str">
        <f aca="false">IF(C2500="","",IFERROR(INDEX(AK_KEL,MATCH(C2500,AK_NAMA,0)),"?"))</f>
        <v/>
      </c>
      <c r="P2500" s="102" t="str">
        <f aca="false">IF(D2500="","",IFERROR(INDEX(AK_KEL,MATCH(D2500,AK_NAMA,0)),"?"))</f>
        <v/>
      </c>
      <c r="Q2500" s="102" t="n">
        <f aca="false">N(Q2499)+IF(AND(N(E2500)&lt;&gt;0,K2500=TAHUN,N(J2500)&lt;=BLN,OR(C2500=BB_AKUN,D2500=BB_AKUN)),1,0)</f>
        <v>877</v>
      </c>
      <c r="R2500" s="104" t="str">
        <f aca="false">IF(OR(C2500&amp;D2500="",N(E2500)=0),"",IF(OR(O2500="?",P2500="?"),"⚠ akun tidak dikenal",IF(C2500=D2500,"⚠ debet = kredit","")))</f>
        <v/>
      </c>
    </row>
    <row r="2501" customFormat="false" ht="15" hidden="false" customHeight="false" outlineLevel="0" collapsed="false">
      <c r="A2501" s="5"/>
      <c r="B2501" s="83"/>
      <c r="C2501" s="5"/>
      <c r="D2501" s="5"/>
      <c r="E2501" s="44"/>
      <c r="F2501" s="5"/>
      <c r="G2501" s="5"/>
      <c r="H2501" s="5"/>
      <c r="I2501" s="5"/>
      <c r="J2501" s="102" t="str">
        <f aca="false">IF(B2501="","",MONTH(B2501))</f>
        <v/>
      </c>
      <c r="K2501" s="102" t="str">
        <f aca="false">IF(B2501="","",YEAR(B2501))</f>
        <v/>
      </c>
      <c r="L2501" s="102" t="str">
        <f aca="false">IF(N(E2501)=0,"",IF(COUNTIFS(AK_NAMA,C2501,AK_KAT,"KAS")+COUNTIFS(AK_NAMA,D2501,AK_KAT,"KAS")&lt;&gt;1,"",IF(COUNTIFS(AK_NAMA,C2501,AK_KAT,"KAS")=1,D2501,C2501)))</f>
        <v/>
      </c>
      <c r="M2501" s="103" t="n">
        <f aca="false">IF(L2501="",0,IF(L2501=D2501,E2501,-E2501))</f>
        <v>0</v>
      </c>
      <c r="N2501" s="102" t="str">
        <f aca="false">IF(L2501="","",IFERROR(INDEX(AK_BARIS,MATCH(L2501,AK_NAMA,0)),"?"))</f>
        <v/>
      </c>
      <c r="O2501" s="102" t="str">
        <f aca="false">IF(C2501="","",IFERROR(INDEX(AK_KEL,MATCH(C2501,AK_NAMA,0)),"?"))</f>
        <v/>
      </c>
      <c r="P2501" s="102" t="str">
        <f aca="false">IF(D2501="","",IFERROR(INDEX(AK_KEL,MATCH(D2501,AK_NAMA,0)),"?"))</f>
        <v/>
      </c>
      <c r="Q2501" s="102" t="n">
        <f aca="false">N(Q2500)+IF(AND(N(E2501)&lt;&gt;0,K2501=TAHUN,N(J2501)&lt;=BLN,OR(C2501=BB_AKUN,D2501=BB_AKUN)),1,0)</f>
        <v>877</v>
      </c>
      <c r="R2501" s="104" t="str">
        <f aca="false">IF(OR(C2501&amp;D2501="",N(E2501)=0),"",IF(OR(O2501="?",P2501="?"),"⚠ akun tidak dikenal",IF(C2501=D2501,"⚠ debet = kredit","")))</f>
        <v/>
      </c>
    </row>
    <row r="2502" customFormat="false" ht="15" hidden="false" customHeight="false" outlineLevel="0" collapsed="false">
      <c r="A2502" s="5"/>
      <c r="B2502" s="83"/>
      <c r="C2502" s="5"/>
      <c r="D2502" s="5"/>
      <c r="E2502" s="44"/>
      <c r="F2502" s="5"/>
      <c r="G2502" s="5"/>
      <c r="H2502" s="5"/>
      <c r="I2502" s="5"/>
      <c r="J2502" s="102" t="str">
        <f aca="false">IF(B2502="","",MONTH(B2502))</f>
        <v/>
      </c>
      <c r="K2502" s="102" t="str">
        <f aca="false">IF(B2502="","",YEAR(B2502))</f>
        <v/>
      </c>
      <c r="L2502" s="102" t="str">
        <f aca="false">IF(N(E2502)=0,"",IF(COUNTIFS(AK_NAMA,C2502,AK_KAT,"KAS")+COUNTIFS(AK_NAMA,D2502,AK_KAT,"KAS")&lt;&gt;1,"",IF(COUNTIFS(AK_NAMA,C2502,AK_KAT,"KAS")=1,D2502,C2502)))</f>
        <v/>
      </c>
      <c r="M2502" s="103" t="n">
        <f aca="false">IF(L2502="",0,IF(L2502=D2502,E2502,-E2502))</f>
        <v>0</v>
      </c>
      <c r="N2502" s="102" t="str">
        <f aca="false">IF(L2502="","",IFERROR(INDEX(AK_BARIS,MATCH(L2502,AK_NAMA,0)),"?"))</f>
        <v/>
      </c>
      <c r="O2502" s="102" t="str">
        <f aca="false">IF(C2502="","",IFERROR(INDEX(AK_KEL,MATCH(C2502,AK_NAMA,0)),"?"))</f>
        <v/>
      </c>
      <c r="P2502" s="102" t="str">
        <f aca="false">IF(D2502="","",IFERROR(INDEX(AK_KEL,MATCH(D2502,AK_NAMA,0)),"?"))</f>
        <v/>
      </c>
      <c r="Q2502" s="102" t="n">
        <f aca="false">N(Q2501)+IF(AND(N(E2502)&lt;&gt;0,K2502=TAHUN,N(J2502)&lt;=BLN,OR(C2502=BB_AKUN,D2502=BB_AKUN)),1,0)</f>
        <v>877</v>
      </c>
      <c r="R2502" s="104" t="str">
        <f aca="false">IF(OR(C2502&amp;D2502="",N(E2502)=0),"",IF(OR(O2502="?",P2502="?"),"⚠ akun tidak dikenal",IF(C2502=D2502,"⚠ debet = kredit","")))</f>
        <v/>
      </c>
    </row>
    <row r="2503" customFormat="false" ht="15" hidden="false" customHeight="false" outlineLevel="0" collapsed="false">
      <c r="A2503" s="5"/>
      <c r="B2503" s="83"/>
      <c r="C2503" s="5"/>
      <c r="D2503" s="5"/>
      <c r="E2503" s="44"/>
      <c r="F2503" s="5"/>
      <c r="G2503" s="5"/>
      <c r="H2503" s="5"/>
      <c r="I2503" s="5"/>
      <c r="J2503" s="102" t="str">
        <f aca="false">IF(B2503="","",MONTH(B2503))</f>
        <v/>
      </c>
      <c r="K2503" s="102" t="str">
        <f aca="false">IF(B2503="","",YEAR(B2503))</f>
        <v/>
      </c>
      <c r="L2503" s="102" t="str">
        <f aca="false">IF(N(E2503)=0,"",IF(COUNTIFS(AK_NAMA,C2503,AK_KAT,"KAS")+COUNTIFS(AK_NAMA,D2503,AK_KAT,"KAS")&lt;&gt;1,"",IF(COUNTIFS(AK_NAMA,C2503,AK_KAT,"KAS")=1,D2503,C2503)))</f>
        <v/>
      </c>
      <c r="M2503" s="103" t="n">
        <f aca="false">IF(L2503="",0,IF(L2503=D2503,E2503,-E2503))</f>
        <v>0</v>
      </c>
      <c r="N2503" s="102" t="str">
        <f aca="false">IF(L2503="","",IFERROR(INDEX(AK_BARIS,MATCH(L2503,AK_NAMA,0)),"?"))</f>
        <v/>
      </c>
      <c r="O2503" s="102" t="str">
        <f aca="false">IF(C2503="","",IFERROR(INDEX(AK_KEL,MATCH(C2503,AK_NAMA,0)),"?"))</f>
        <v/>
      </c>
      <c r="P2503" s="102" t="str">
        <f aca="false">IF(D2503="","",IFERROR(INDEX(AK_KEL,MATCH(D2503,AK_NAMA,0)),"?"))</f>
        <v/>
      </c>
      <c r="Q2503" s="102" t="n">
        <f aca="false">N(Q2502)+IF(AND(N(E2503)&lt;&gt;0,K2503=TAHUN,N(J2503)&lt;=BLN,OR(C2503=BB_AKUN,D2503=BB_AKUN)),1,0)</f>
        <v>877</v>
      </c>
      <c r="R2503" s="104" t="str">
        <f aca="false">IF(OR(C2503&amp;D2503="",N(E2503)=0),"",IF(OR(O2503="?",P2503="?"),"⚠ akun tidak dikenal",IF(C2503=D2503,"⚠ debet = kredit","")))</f>
        <v/>
      </c>
    </row>
    <row r="2504" customFormat="false" ht="15" hidden="false" customHeight="false" outlineLevel="0" collapsed="false">
      <c r="A2504" s="5"/>
      <c r="B2504" s="83"/>
      <c r="C2504" s="5"/>
      <c r="D2504" s="5"/>
      <c r="E2504" s="44"/>
      <c r="F2504" s="5"/>
      <c r="G2504" s="5"/>
      <c r="H2504" s="5"/>
      <c r="I2504" s="5"/>
      <c r="J2504" s="102" t="str">
        <f aca="false">IF(B2504="","",MONTH(B2504))</f>
        <v/>
      </c>
      <c r="K2504" s="102" t="str">
        <f aca="false">IF(B2504="","",YEAR(B2504))</f>
        <v/>
      </c>
      <c r="L2504" s="102" t="str">
        <f aca="false">IF(N(E2504)=0,"",IF(COUNTIFS(AK_NAMA,C2504,AK_KAT,"KAS")+COUNTIFS(AK_NAMA,D2504,AK_KAT,"KAS")&lt;&gt;1,"",IF(COUNTIFS(AK_NAMA,C2504,AK_KAT,"KAS")=1,D2504,C2504)))</f>
        <v/>
      </c>
      <c r="M2504" s="103" t="n">
        <f aca="false">IF(L2504="",0,IF(L2504=D2504,E2504,-E2504))</f>
        <v>0</v>
      </c>
      <c r="N2504" s="102" t="str">
        <f aca="false">IF(L2504="","",IFERROR(INDEX(AK_BARIS,MATCH(L2504,AK_NAMA,0)),"?"))</f>
        <v/>
      </c>
      <c r="O2504" s="102" t="str">
        <f aca="false">IF(C2504="","",IFERROR(INDEX(AK_KEL,MATCH(C2504,AK_NAMA,0)),"?"))</f>
        <v/>
      </c>
      <c r="P2504" s="102" t="str">
        <f aca="false">IF(D2504="","",IFERROR(INDEX(AK_KEL,MATCH(D2504,AK_NAMA,0)),"?"))</f>
        <v/>
      </c>
      <c r="Q2504" s="102" t="n">
        <f aca="false">N(Q2503)+IF(AND(N(E2504)&lt;&gt;0,K2504=TAHUN,N(J2504)&lt;=BLN,OR(C2504=BB_AKUN,D2504=BB_AKUN)),1,0)</f>
        <v>877</v>
      </c>
      <c r="R2504" s="104" t="str">
        <f aca="false">IF(OR(C2504&amp;D2504="",N(E2504)=0),"",IF(OR(O2504="?",P2504="?"),"⚠ akun tidak dikenal",IF(C2504=D2504,"⚠ debet = kredit","")))</f>
        <v/>
      </c>
    </row>
    <row r="2505" customFormat="false" ht="15" hidden="false" customHeight="false" outlineLevel="0" collapsed="false">
      <c r="A2505" s="5"/>
      <c r="B2505" s="83"/>
      <c r="C2505" s="5"/>
      <c r="D2505" s="5"/>
      <c r="E2505" s="44"/>
      <c r="F2505" s="5"/>
      <c r="G2505" s="5"/>
      <c r="H2505" s="5"/>
      <c r="I2505" s="5"/>
      <c r="J2505" s="102" t="str">
        <f aca="false">IF(B2505="","",MONTH(B2505))</f>
        <v/>
      </c>
      <c r="K2505" s="102" t="str">
        <f aca="false">IF(B2505="","",YEAR(B2505))</f>
        <v/>
      </c>
      <c r="L2505" s="102" t="str">
        <f aca="false">IF(N(E2505)=0,"",IF(COUNTIFS(AK_NAMA,C2505,AK_KAT,"KAS")+COUNTIFS(AK_NAMA,D2505,AK_KAT,"KAS")&lt;&gt;1,"",IF(COUNTIFS(AK_NAMA,C2505,AK_KAT,"KAS")=1,D2505,C2505)))</f>
        <v/>
      </c>
      <c r="M2505" s="103" t="n">
        <f aca="false">IF(L2505="",0,IF(L2505=D2505,E2505,-E2505))</f>
        <v>0</v>
      </c>
      <c r="N2505" s="102" t="str">
        <f aca="false">IF(L2505="","",IFERROR(INDEX(AK_BARIS,MATCH(L2505,AK_NAMA,0)),"?"))</f>
        <v/>
      </c>
      <c r="O2505" s="102" t="str">
        <f aca="false">IF(C2505="","",IFERROR(INDEX(AK_KEL,MATCH(C2505,AK_NAMA,0)),"?"))</f>
        <v/>
      </c>
      <c r="P2505" s="102" t="str">
        <f aca="false">IF(D2505="","",IFERROR(INDEX(AK_KEL,MATCH(D2505,AK_NAMA,0)),"?"))</f>
        <v/>
      </c>
      <c r="Q2505" s="102" t="n">
        <f aca="false">N(Q2504)+IF(AND(N(E2505)&lt;&gt;0,K2505=TAHUN,N(J2505)&lt;=BLN,OR(C2505=BB_AKUN,D2505=BB_AKUN)),1,0)</f>
        <v>877</v>
      </c>
      <c r="R2505" s="104" t="str">
        <f aca="false">IF(OR(C2505&amp;D2505="",N(E2505)=0),"",IF(OR(O2505="?",P2505="?"),"⚠ akun tidak dikenal",IF(C2505=D2505,"⚠ debet = kredit","")))</f>
        <v/>
      </c>
    </row>
    <row r="2506" customFormat="false" ht="15" hidden="false" customHeight="false" outlineLevel="0" collapsed="false">
      <c r="A2506" s="5"/>
      <c r="B2506" s="83"/>
      <c r="C2506" s="5"/>
      <c r="D2506" s="5"/>
      <c r="E2506" s="44"/>
      <c r="F2506" s="5"/>
      <c r="G2506" s="5"/>
      <c r="H2506" s="5"/>
      <c r="I2506" s="5"/>
      <c r="J2506" s="102" t="str">
        <f aca="false">IF(B2506="","",MONTH(B2506))</f>
        <v/>
      </c>
      <c r="K2506" s="102" t="str">
        <f aca="false">IF(B2506="","",YEAR(B2506))</f>
        <v/>
      </c>
      <c r="L2506" s="102" t="str">
        <f aca="false">IF(N(E2506)=0,"",IF(COUNTIFS(AK_NAMA,C2506,AK_KAT,"KAS")+COUNTIFS(AK_NAMA,D2506,AK_KAT,"KAS")&lt;&gt;1,"",IF(COUNTIFS(AK_NAMA,C2506,AK_KAT,"KAS")=1,D2506,C2506)))</f>
        <v/>
      </c>
      <c r="M2506" s="103" t="n">
        <f aca="false">IF(L2506="",0,IF(L2506=D2506,E2506,-E2506))</f>
        <v>0</v>
      </c>
      <c r="N2506" s="102" t="str">
        <f aca="false">IF(L2506="","",IFERROR(INDEX(AK_BARIS,MATCH(L2506,AK_NAMA,0)),"?"))</f>
        <v/>
      </c>
      <c r="O2506" s="102" t="str">
        <f aca="false">IF(C2506="","",IFERROR(INDEX(AK_KEL,MATCH(C2506,AK_NAMA,0)),"?"))</f>
        <v/>
      </c>
      <c r="P2506" s="102" t="str">
        <f aca="false">IF(D2506="","",IFERROR(INDEX(AK_KEL,MATCH(D2506,AK_NAMA,0)),"?"))</f>
        <v/>
      </c>
      <c r="Q2506" s="102" t="n">
        <f aca="false">N(Q2505)+IF(AND(N(E2506)&lt;&gt;0,K2506=TAHUN,N(J2506)&lt;=BLN,OR(C2506=BB_AKUN,D2506=BB_AKUN)),1,0)</f>
        <v>877</v>
      </c>
      <c r="R2506" s="104" t="str">
        <f aca="false">IF(OR(C2506&amp;D2506="",N(E2506)=0),"",IF(OR(O2506="?",P2506="?"),"⚠ akun tidak dikenal",IF(C2506=D2506,"⚠ debet = kredit","")))</f>
        <v/>
      </c>
    </row>
    <row r="2507" customFormat="false" ht="15" hidden="false" customHeight="false" outlineLevel="0" collapsed="false">
      <c r="A2507" s="5"/>
      <c r="B2507" s="83"/>
      <c r="C2507" s="5"/>
      <c r="D2507" s="5"/>
      <c r="E2507" s="44"/>
      <c r="F2507" s="5"/>
      <c r="G2507" s="5"/>
      <c r="H2507" s="5"/>
      <c r="I2507" s="5"/>
      <c r="J2507" s="102" t="str">
        <f aca="false">IF(B2507="","",MONTH(B2507))</f>
        <v/>
      </c>
      <c r="K2507" s="102" t="str">
        <f aca="false">IF(B2507="","",YEAR(B2507))</f>
        <v/>
      </c>
      <c r="L2507" s="102" t="str">
        <f aca="false">IF(N(E2507)=0,"",IF(COUNTIFS(AK_NAMA,C2507,AK_KAT,"KAS")+COUNTIFS(AK_NAMA,D2507,AK_KAT,"KAS")&lt;&gt;1,"",IF(COUNTIFS(AK_NAMA,C2507,AK_KAT,"KAS")=1,D2507,C2507)))</f>
        <v/>
      </c>
      <c r="M2507" s="103" t="n">
        <f aca="false">IF(L2507="",0,IF(L2507=D2507,E2507,-E2507))</f>
        <v>0</v>
      </c>
      <c r="N2507" s="102" t="str">
        <f aca="false">IF(L2507="","",IFERROR(INDEX(AK_BARIS,MATCH(L2507,AK_NAMA,0)),"?"))</f>
        <v/>
      </c>
      <c r="O2507" s="102" t="str">
        <f aca="false">IF(C2507="","",IFERROR(INDEX(AK_KEL,MATCH(C2507,AK_NAMA,0)),"?"))</f>
        <v/>
      </c>
      <c r="P2507" s="102" t="str">
        <f aca="false">IF(D2507="","",IFERROR(INDEX(AK_KEL,MATCH(D2507,AK_NAMA,0)),"?"))</f>
        <v/>
      </c>
      <c r="Q2507" s="102" t="n">
        <f aca="false">N(Q2506)+IF(AND(N(E2507)&lt;&gt;0,K2507=TAHUN,N(J2507)&lt;=BLN,OR(C2507=BB_AKUN,D2507=BB_AKUN)),1,0)</f>
        <v>877</v>
      </c>
      <c r="R2507" s="104" t="str">
        <f aca="false">IF(OR(C2507&amp;D2507="",N(E2507)=0),"",IF(OR(O2507="?",P2507="?"),"⚠ akun tidak dikenal",IF(C2507=D2507,"⚠ debet = kredit","")))</f>
        <v/>
      </c>
    </row>
    <row r="2508" customFormat="false" ht="15" hidden="false" customHeight="false" outlineLevel="0" collapsed="false">
      <c r="A2508" s="5"/>
      <c r="B2508" s="83"/>
      <c r="C2508" s="5"/>
      <c r="D2508" s="5"/>
      <c r="E2508" s="44"/>
      <c r="F2508" s="5"/>
      <c r="G2508" s="5"/>
      <c r="H2508" s="5"/>
      <c r="I2508" s="5"/>
      <c r="J2508" s="102" t="str">
        <f aca="false">IF(B2508="","",MONTH(B2508))</f>
        <v/>
      </c>
      <c r="K2508" s="102" t="str">
        <f aca="false">IF(B2508="","",YEAR(B2508))</f>
        <v/>
      </c>
      <c r="L2508" s="102" t="str">
        <f aca="false">IF(N(E2508)=0,"",IF(COUNTIFS(AK_NAMA,C2508,AK_KAT,"KAS")+COUNTIFS(AK_NAMA,D2508,AK_KAT,"KAS")&lt;&gt;1,"",IF(COUNTIFS(AK_NAMA,C2508,AK_KAT,"KAS")=1,D2508,C2508)))</f>
        <v/>
      </c>
      <c r="M2508" s="103" t="n">
        <f aca="false">IF(L2508="",0,IF(L2508=D2508,E2508,-E2508))</f>
        <v>0</v>
      </c>
      <c r="N2508" s="102" t="str">
        <f aca="false">IF(L2508="","",IFERROR(INDEX(AK_BARIS,MATCH(L2508,AK_NAMA,0)),"?"))</f>
        <v/>
      </c>
      <c r="O2508" s="102" t="str">
        <f aca="false">IF(C2508="","",IFERROR(INDEX(AK_KEL,MATCH(C2508,AK_NAMA,0)),"?"))</f>
        <v/>
      </c>
      <c r="P2508" s="102" t="str">
        <f aca="false">IF(D2508="","",IFERROR(INDEX(AK_KEL,MATCH(D2508,AK_NAMA,0)),"?"))</f>
        <v/>
      </c>
      <c r="Q2508" s="102" t="n">
        <f aca="false">N(Q2507)+IF(AND(N(E2508)&lt;&gt;0,K2508=TAHUN,N(J2508)&lt;=BLN,OR(C2508=BB_AKUN,D2508=BB_AKUN)),1,0)</f>
        <v>877</v>
      </c>
      <c r="R2508" s="104" t="str">
        <f aca="false">IF(OR(C2508&amp;D2508="",N(E2508)=0),"",IF(OR(O2508="?",P2508="?"),"⚠ akun tidak dikenal",IF(C2508=D2508,"⚠ debet = kredit","")))</f>
        <v/>
      </c>
    </row>
    <row r="2509" customFormat="false" ht="15" hidden="false" customHeight="false" outlineLevel="0" collapsed="false">
      <c r="A2509" s="5"/>
      <c r="B2509" s="83"/>
      <c r="C2509" s="5"/>
      <c r="D2509" s="5"/>
      <c r="E2509" s="44"/>
      <c r="F2509" s="5"/>
      <c r="G2509" s="5"/>
      <c r="H2509" s="5"/>
      <c r="I2509" s="5"/>
      <c r="J2509" s="102" t="str">
        <f aca="false">IF(B2509="","",MONTH(B2509))</f>
        <v/>
      </c>
      <c r="K2509" s="102" t="str">
        <f aca="false">IF(B2509="","",YEAR(B2509))</f>
        <v/>
      </c>
      <c r="L2509" s="102" t="str">
        <f aca="false">IF(N(E2509)=0,"",IF(COUNTIFS(AK_NAMA,C2509,AK_KAT,"KAS")+COUNTIFS(AK_NAMA,D2509,AK_KAT,"KAS")&lt;&gt;1,"",IF(COUNTIFS(AK_NAMA,C2509,AK_KAT,"KAS")=1,D2509,C2509)))</f>
        <v/>
      </c>
      <c r="M2509" s="103" t="n">
        <f aca="false">IF(L2509="",0,IF(L2509=D2509,E2509,-E2509))</f>
        <v>0</v>
      </c>
      <c r="N2509" s="102" t="str">
        <f aca="false">IF(L2509="","",IFERROR(INDEX(AK_BARIS,MATCH(L2509,AK_NAMA,0)),"?"))</f>
        <v/>
      </c>
      <c r="O2509" s="102" t="str">
        <f aca="false">IF(C2509="","",IFERROR(INDEX(AK_KEL,MATCH(C2509,AK_NAMA,0)),"?"))</f>
        <v/>
      </c>
      <c r="P2509" s="102" t="str">
        <f aca="false">IF(D2509="","",IFERROR(INDEX(AK_KEL,MATCH(D2509,AK_NAMA,0)),"?"))</f>
        <v/>
      </c>
      <c r="Q2509" s="102" t="n">
        <f aca="false">N(Q2508)+IF(AND(N(E2509)&lt;&gt;0,K2509=TAHUN,N(J2509)&lt;=BLN,OR(C2509=BB_AKUN,D2509=BB_AKUN)),1,0)</f>
        <v>877</v>
      </c>
      <c r="R2509" s="104" t="str">
        <f aca="false">IF(OR(C2509&amp;D2509="",N(E2509)=0),"",IF(OR(O2509="?",P2509="?"),"⚠ akun tidak dikenal",IF(C2509=D2509,"⚠ debet = kredit","")))</f>
        <v/>
      </c>
    </row>
    <row r="2510" customFormat="false" ht="15" hidden="false" customHeight="false" outlineLevel="0" collapsed="false">
      <c r="A2510" s="5"/>
      <c r="B2510" s="83"/>
      <c r="C2510" s="5"/>
      <c r="D2510" s="5"/>
      <c r="E2510" s="44"/>
      <c r="F2510" s="5"/>
      <c r="G2510" s="5"/>
      <c r="H2510" s="5"/>
      <c r="I2510" s="5"/>
      <c r="J2510" s="102" t="str">
        <f aca="false">IF(B2510="","",MONTH(B2510))</f>
        <v/>
      </c>
      <c r="K2510" s="102" t="str">
        <f aca="false">IF(B2510="","",YEAR(B2510))</f>
        <v/>
      </c>
      <c r="L2510" s="102" t="str">
        <f aca="false">IF(N(E2510)=0,"",IF(COUNTIFS(AK_NAMA,C2510,AK_KAT,"KAS")+COUNTIFS(AK_NAMA,D2510,AK_KAT,"KAS")&lt;&gt;1,"",IF(COUNTIFS(AK_NAMA,C2510,AK_KAT,"KAS")=1,D2510,C2510)))</f>
        <v/>
      </c>
      <c r="M2510" s="103" t="n">
        <f aca="false">IF(L2510="",0,IF(L2510=D2510,E2510,-E2510))</f>
        <v>0</v>
      </c>
      <c r="N2510" s="102" t="str">
        <f aca="false">IF(L2510="","",IFERROR(INDEX(AK_BARIS,MATCH(L2510,AK_NAMA,0)),"?"))</f>
        <v/>
      </c>
      <c r="O2510" s="102" t="str">
        <f aca="false">IF(C2510="","",IFERROR(INDEX(AK_KEL,MATCH(C2510,AK_NAMA,0)),"?"))</f>
        <v/>
      </c>
      <c r="P2510" s="102" t="str">
        <f aca="false">IF(D2510="","",IFERROR(INDEX(AK_KEL,MATCH(D2510,AK_NAMA,0)),"?"))</f>
        <v/>
      </c>
      <c r="Q2510" s="102" t="n">
        <f aca="false">N(Q2509)+IF(AND(N(E2510)&lt;&gt;0,K2510=TAHUN,N(J2510)&lt;=BLN,OR(C2510=BB_AKUN,D2510=BB_AKUN)),1,0)</f>
        <v>877</v>
      </c>
      <c r="R2510" s="104" t="str">
        <f aca="false">IF(OR(C2510&amp;D2510="",N(E2510)=0),"",IF(OR(O2510="?",P2510="?"),"⚠ akun tidak dikenal",IF(C2510=D2510,"⚠ debet = kredit","")))</f>
        <v/>
      </c>
    </row>
    <row r="2511" customFormat="false" ht="15" hidden="false" customHeight="false" outlineLevel="0" collapsed="false">
      <c r="A2511" s="5"/>
      <c r="B2511" s="83"/>
      <c r="C2511" s="5"/>
      <c r="D2511" s="5"/>
      <c r="E2511" s="44"/>
      <c r="F2511" s="5"/>
      <c r="G2511" s="5"/>
      <c r="H2511" s="5"/>
      <c r="I2511" s="5"/>
      <c r="J2511" s="102" t="str">
        <f aca="false">IF(B2511="","",MONTH(B2511))</f>
        <v/>
      </c>
      <c r="K2511" s="102" t="str">
        <f aca="false">IF(B2511="","",YEAR(B2511))</f>
        <v/>
      </c>
      <c r="L2511" s="102" t="str">
        <f aca="false">IF(N(E2511)=0,"",IF(COUNTIFS(AK_NAMA,C2511,AK_KAT,"KAS")+COUNTIFS(AK_NAMA,D2511,AK_KAT,"KAS")&lt;&gt;1,"",IF(COUNTIFS(AK_NAMA,C2511,AK_KAT,"KAS")=1,D2511,C2511)))</f>
        <v/>
      </c>
      <c r="M2511" s="103" t="n">
        <f aca="false">IF(L2511="",0,IF(L2511=D2511,E2511,-E2511))</f>
        <v>0</v>
      </c>
      <c r="N2511" s="102" t="str">
        <f aca="false">IF(L2511="","",IFERROR(INDEX(AK_BARIS,MATCH(L2511,AK_NAMA,0)),"?"))</f>
        <v/>
      </c>
      <c r="O2511" s="102" t="str">
        <f aca="false">IF(C2511="","",IFERROR(INDEX(AK_KEL,MATCH(C2511,AK_NAMA,0)),"?"))</f>
        <v/>
      </c>
      <c r="P2511" s="102" t="str">
        <f aca="false">IF(D2511="","",IFERROR(INDEX(AK_KEL,MATCH(D2511,AK_NAMA,0)),"?"))</f>
        <v/>
      </c>
      <c r="Q2511" s="102" t="n">
        <f aca="false">N(Q2510)+IF(AND(N(E2511)&lt;&gt;0,K2511=TAHUN,N(J2511)&lt;=BLN,OR(C2511=BB_AKUN,D2511=BB_AKUN)),1,0)</f>
        <v>877</v>
      </c>
      <c r="R2511" s="104" t="str">
        <f aca="false">IF(OR(C2511&amp;D2511="",N(E2511)=0),"",IF(OR(O2511="?",P2511="?"),"⚠ akun tidak dikenal",IF(C2511=D2511,"⚠ debet = kredit","")))</f>
        <v/>
      </c>
    </row>
    <row r="2512" customFormat="false" ht="15" hidden="false" customHeight="false" outlineLevel="0" collapsed="false">
      <c r="A2512" s="5"/>
      <c r="B2512" s="83"/>
      <c r="C2512" s="5"/>
      <c r="D2512" s="5"/>
      <c r="E2512" s="44"/>
      <c r="F2512" s="5"/>
      <c r="G2512" s="5"/>
      <c r="H2512" s="5"/>
      <c r="I2512" s="5"/>
      <c r="J2512" s="102" t="str">
        <f aca="false">IF(B2512="","",MONTH(B2512))</f>
        <v/>
      </c>
      <c r="K2512" s="102" t="str">
        <f aca="false">IF(B2512="","",YEAR(B2512))</f>
        <v/>
      </c>
      <c r="L2512" s="102" t="str">
        <f aca="false">IF(N(E2512)=0,"",IF(COUNTIFS(AK_NAMA,C2512,AK_KAT,"KAS")+COUNTIFS(AK_NAMA,D2512,AK_KAT,"KAS")&lt;&gt;1,"",IF(COUNTIFS(AK_NAMA,C2512,AK_KAT,"KAS")=1,D2512,C2512)))</f>
        <v/>
      </c>
      <c r="M2512" s="103" t="n">
        <f aca="false">IF(L2512="",0,IF(L2512=D2512,E2512,-E2512))</f>
        <v>0</v>
      </c>
      <c r="N2512" s="102" t="str">
        <f aca="false">IF(L2512="","",IFERROR(INDEX(AK_BARIS,MATCH(L2512,AK_NAMA,0)),"?"))</f>
        <v/>
      </c>
      <c r="O2512" s="102" t="str">
        <f aca="false">IF(C2512="","",IFERROR(INDEX(AK_KEL,MATCH(C2512,AK_NAMA,0)),"?"))</f>
        <v/>
      </c>
      <c r="P2512" s="102" t="str">
        <f aca="false">IF(D2512="","",IFERROR(INDEX(AK_KEL,MATCH(D2512,AK_NAMA,0)),"?"))</f>
        <v/>
      </c>
      <c r="Q2512" s="102" t="n">
        <f aca="false">N(Q2511)+IF(AND(N(E2512)&lt;&gt;0,K2512=TAHUN,N(J2512)&lt;=BLN,OR(C2512=BB_AKUN,D2512=BB_AKUN)),1,0)</f>
        <v>877</v>
      </c>
      <c r="R2512" s="104" t="str">
        <f aca="false">IF(OR(C2512&amp;D2512="",N(E2512)=0),"",IF(OR(O2512="?",P2512="?"),"⚠ akun tidak dikenal",IF(C2512=D2512,"⚠ debet = kredit","")))</f>
        <v/>
      </c>
    </row>
    <row r="2513" customFormat="false" ht="15" hidden="false" customHeight="false" outlineLevel="0" collapsed="false">
      <c r="A2513" s="5"/>
      <c r="B2513" s="83"/>
      <c r="C2513" s="5"/>
      <c r="D2513" s="5"/>
      <c r="E2513" s="44"/>
      <c r="F2513" s="5"/>
      <c r="G2513" s="5"/>
      <c r="H2513" s="5"/>
      <c r="I2513" s="5"/>
      <c r="J2513" s="102" t="str">
        <f aca="false">IF(B2513="","",MONTH(B2513))</f>
        <v/>
      </c>
      <c r="K2513" s="102" t="str">
        <f aca="false">IF(B2513="","",YEAR(B2513))</f>
        <v/>
      </c>
      <c r="L2513" s="102" t="str">
        <f aca="false">IF(N(E2513)=0,"",IF(COUNTIFS(AK_NAMA,C2513,AK_KAT,"KAS")+COUNTIFS(AK_NAMA,D2513,AK_KAT,"KAS")&lt;&gt;1,"",IF(COUNTIFS(AK_NAMA,C2513,AK_KAT,"KAS")=1,D2513,C2513)))</f>
        <v/>
      </c>
      <c r="M2513" s="103" t="n">
        <f aca="false">IF(L2513="",0,IF(L2513=D2513,E2513,-E2513))</f>
        <v>0</v>
      </c>
      <c r="N2513" s="102" t="str">
        <f aca="false">IF(L2513="","",IFERROR(INDEX(AK_BARIS,MATCH(L2513,AK_NAMA,0)),"?"))</f>
        <v/>
      </c>
      <c r="O2513" s="102" t="str">
        <f aca="false">IF(C2513="","",IFERROR(INDEX(AK_KEL,MATCH(C2513,AK_NAMA,0)),"?"))</f>
        <v/>
      </c>
      <c r="P2513" s="102" t="str">
        <f aca="false">IF(D2513="","",IFERROR(INDEX(AK_KEL,MATCH(D2513,AK_NAMA,0)),"?"))</f>
        <v/>
      </c>
      <c r="Q2513" s="102" t="n">
        <f aca="false">N(Q2512)+IF(AND(N(E2513)&lt;&gt;0,K2513=TAHUN,N(J2513)&lt;=BLN,OR(C2513=BB_AKUN,D2513=BB_AKUN)),1,0)</f>
        <v>877</v>
      </c>
      <c r="R2513" s="104" t="str">
        <f aca="false">IF(OR(C2513&amp;D2513="",N(E2513)=0),"",IF(OR(O2513="?",P2513="?"),"⚠ akun tidak dikenal",IF(C2513=D2513,"⚠ debet = kredit","")))</f>
        <v/>
      </c>
    </row>
    <row r="2514" customFormat="false" ht="15" hidden="false" customHeight="false" outlineLevel="0" collapsed="false">
      <c r="A2514" s="5"/>
      <c r="B2514" s="83"/>
      <c r="C2514" s="5"/>
      <c r="D2514" s="5"/>
      <c r="E2514" s="44"/>
      <c r="F2514" s="5"/>
      <c r="G2514" s="5"/>
      <c r="H2514" s="5"/>
      <c r="I2514" s="5"/>
      <c r="J2514" s="102" t="str">
        <f aca="false">IF(B2514="","",MONTH(B2514))</f>
        <v/>
      </c>
      <c r="K2514" s="102" t="str">
        <f aca="false">IF(B2514="","",YEAR(B2514))</f>
        <v/>
      </c>
      <c r="L2514" s="102" t="str">
        <f aca="false">IF(N(E2514)=0,"",IF(COUNTIFS(AK_NAMA,C2514,AK_KAT,"KAS")+COUNTIFS(AK_NAMA,D2514,AK_KAT,"KAS")&lt;&gt;1,"",IF(COUNTIFS(AK_NAMA,C2514,AK_KAT,"KAS")=1,D2514,C2514)))</f>
        <v/>
      </c>
      <c r="M2514" s="103" t="n">
        <f aca="false">IF(L2514="",0,IF(L2514=D2514,E2514,-E2514))</f>
        <v>0</v>
      </c>
      <c r="N2514" s="102" t="str">
        <f aca="false">IF(L2514="","",IFERROR(INDEX(AK_BARIS,MATCH(L2514,AK_NAMA,0)),"?"))</f>
        <v/>
      </c>
      <c r="O2514" s="102" t="str">
        <f aca="false">IF(C2514="","",IFERROR(INDEX(AK_KEL,MATCH(C2514,AK_NAMA,0)),"?"))</f>
        <v/>
      </c>
      <c r="P2514" s="102" t="str">
        <f aca="false">IF(D2514="","",IFERROR(INDEX(AK_KEL,MATCH(D2514,AK_NAMA,0)),"?"))</f>
        <v/>
      </c>
      <c r="Q2514" s="102" t="n">
        <f aca="false">N(Q2513)+IF(AND(N(E2514)&lt;&gt;0,K2514=TAHUN,N(J2514)&lt;=BLN,OR(C2514=BB_AKUN,D2514=BB_AKUN)),1,0)</f>
        <v>877</v>
      </c>
      <c r="R2514" s="104" t="str">
        <f aca="false">IF(OR(C2514&amp;D2514="",N(E2514)=0),"",IF(OR(O2514="?",P2514="?"),"⚠ akun tidak dikenal",IF(C2514=D2514,"⚠ debet = kredit","")))</f>
        <v/>
      </c>
    </row>
    <row r="2515" customFormat="false" ht="15" hidden="false" customHeight="false" outlineLevel="0" collapsed="false">
      <c r="A2515" s="5"/>
      <c r="B2515" s="83"/>
      <c r="C2515" s="5"/>
      <c r="D2515" s="5"/>
      <c r="E2515" s="44"/>
      <c r="F2515" s="5"/>
      <c r="G2515" s="5"/>
      <c r="H2515" s="5"/>
      <c r="I2515" s="5"/>
      <c r="J2515" s="102" t="str">
        <f aca="false">IF(B2515="","",MONTH(B2515))</f>
        <v/>
      </c>
      <c r="K2515" s="102" t="str">
        <f aca="false">IF(B2515="","",YEAR(B2515))</f>
        <v/>
      </c>
      <c r="L2515" s="102" t="str">
        <f aca="false">IF(N(E2515)=0,"",IF(COUNTIFS(AK_NAMA,C2515,AK_KAT,"KAS")+COUNTIFS(AK_NAMA,D2515,AK_KAT,"KAS")&lt;&gt;1,"",IF(COUNTIFS(AK_NAMA,C2515,AK_KAT,"KAS")=1,D2515,C2515)))</f>
        <v/>
      </c>
      <c r="M2515" s="103" t="n">
        <f aca="false">IF(L2515="",0,IF(L2515=D2515,E2515,-E2515))</f>
        <v>0</v>
      </c>
      <c r="N2515" s="102" t="str">
        <f aca="false">IF(L2515="","",IFERROR(INDEX(AK_BARIS,MATCH(L2515,AK_NAMA,0)),"?"))</f>
        <v/>
      </c>
      <c r="O2515" s="102" t="str">
        <f aca="false">IF(C2515="","",IFERROR(INDEX(AK_KEL,MATCH(C2515,AK_NAMA,0)),"?"))</f>
        <v/>
      </c>
      <c r="P2515" s="102" t="str">
        <f aca="false">IF(D2515="","",IFERROR(INDEX(AK_KEL,MATCH(D2515,AK_NAMA,0)),"?"))</f>
        <v/>
      </c>
      <c r="Q2515" s="102" t="n">
        <f aca="false">N(Q2514)+IF(AND(N(E2515)&lt;&gt;0,K2515=TAHUN,N(J2515)&lt;=BLN,OR(C2515=BB_AKUN,D2515=BB_AKUN)),1,0)</f>
        <v>877</v>
      </c>
      <c r="R2515" s="104" t="str">
        <f aca="false">IF(OR(C2515&amp;D2515="",N(E2515)=0),"",IF(OR(O2515="?",P2515="?"),"⚠ akun tidak dikenal",IF(C2515=D2515,"⚠ debet = kredit","")))</f>
        <v/>
      </c>
    </row>
    <row r="2516" customFormat="false" ht="15" hidden="false" customHeight="false" outlineLevel="0" collapsed="false">
      <c r="A2516" s="5"/>
      <c r="B2516" s="83"/>
      <c r="C2516" s="5"/>
      <c r="D2516" s="5"/>
      <c r="E2516" s="44"/>
      <c r="F2516" s="5"/>
      <c r="G2516" s="5"/>
      <c r="H2516" s="5"/>
      <c r="I2516" s="5"/>
      <c r="J2516" s="102" t="str">
        <f aca="false">IF(B2516="","",MONTH(B2516))</f>
        <v/>
      </c>
      <c r="K2516" s="102" t="str">
        <f aca="false">IF(B2516="","",YEAR(B2516))</f>
        <v/>
      </c>
      <c r="L2516" s="102" t="str">
        <f aca="false">IF(N(E2516)=0,"",IF(COUNTIFS(AK_NAMA,C2516,AK_KAT,"KAS")+COUNTIFS(AK_NAMA,D2516,AK_KAT,"KAS")&lt;&gt;1,"",IF(COUNTIFS(AK_NAMA,C2516,AK_KAT,"KAS")=1,D2516,C2516)))</f>
        <v/>
      </c>
      <c r="M2516" s="103" t="n">
        <f aca="false">IF(L2516="",0,IF(L2516=D2516,E2516,-E2516))</f>
        <v>0</v>
      </c>
      <c r="N2516" s="102" t="str">
        <f aca="false">IF(L2516="","",IFERROR(INDEX(AK_BARIS,MATCH(L2516,AK_NAMA,0)),"?"))</f>
        <v/>
      </c>
      <c r="O2516" s="102" t="str">
        <f aca="false">IF(C2516="","",IFERROR(INDEX(AK_KEL,MATCH(C2516,AK_NAMA,0)),"?"))</f>
        <v/>
      </c>
      <c r="P2516" s="102" t="str">
        <f aca="false">IF(D2516="","",IFERROR(INDEX(AK_KEL,MATCH(D2516,AK_NAMA,0)),"?"))</f>
        <v/>
      </c>
      <c r="Q2516" s="102" t="n">
        <f aca="false">N(Q2515)+IF(AND(N(E2516)&lt;&gt;0,K2516=TAHUN,N(J2516)&lt;=BLN,OR(C2516=BB_AKUN,D2516=BB_AKUN)),1,0)</f>
        <v>877</v>
      </c>
      <c r="R2516" s="104" t="str">
        <f aca="false">IF(OR(C2516&amp;D2516="",N(E2516)=0),"",IF(OR(O2516="?",P2516="?"),"⚠ akun tidak dikenal",IF(C2516=D2516,"⚠ debet = kredit","")))</f>
        <v/>
      </c>
    </row>
    <row r="2517" customFormat="false" ht="15" hidden="false" customHeight="false" outlineLevel="0" collapsed="false">
      <c r="A2517" s="5"/>
      <c r="B2517" s="83"/>
      <c r="C2517" s="5"/>
      <c r="D2517" s="5"/>
      <c r="E2517" s="44"/>
      <c r="F2517" s="5"/>
      <c r="G2517" s="5"/>
      <c r="H2517" s="5"/>
      <c r="I2517" s="5"/>
      <c r="J2517" s="102" t="str">
        <f aca="false">IF(B2517="","",MONTH(B2517))</f>
        <v/>
      </c>
      <c r="K2517" s="102" t="str">
        <f aca="false">IF(B2517="","",YEAR(B2517))</f>
        <v/>
      </c>
      <c r="L2517" s="102" t="str">
        <f aca="false">IF(N(E2517)=0,"",IF(COUNTIFS(AK_NAMA,C2517,AK_KAT,"KAS")+COUNTIFS(AK_NAMA,D2517,AK_KAT,"KAS")&lt;&gt;1,"",IF(COUNTIFS(AK_NAMA,C2517,AK_KAT,"KAS")=1,D2517,C2517)))</f>
        <v/>
      </c>
      <c r="M2517" s="103" t="n">
        <f aca="false">IF(L2517="",0,IF(L2517=D2517,E2517,-E2517))</f>
        <v>0</v>
      </c>
      <c r="N2517" s="102" t="str">
        <f aca="false">IF(L2517="","",IFERROR(INDEX(AK_BARIS,MATCH(L2517,AK_NAMA,0)),"?"))</f>
        <v/>
      </c>
      <c r="O2517" s="102" t="str">
        <f aca="false">IF(C2517="","",IFERROR(INDEX(AK_KEL,MATCH(C2517,AK_NAMA,0)),"?"))</f>
        <v/>
      </c>
      <c r="P2517" s="102" t="str">
        <f aca="false">IF(D2517="","",IFERROR(INDEX(AK_KEL,MATCH(D2517,AK_NAMA,0)),"?"))</f>
        <v/>
      </c>
      <c r="Q2517" s="102" t="n">
        <f aca="false">N(Q2516)+IF(AND(N(E2517)&lt;&gt;0,K2517=TAHUN,N(J2517)&lt;=BLN,OR(C2517=BB_AKUN,D2517=BB_AKUN)),1,0)</f>
        <v>877</v>
      </c>
      <c r="R2517" s="104" t="str">
        <f aca="false">IF(OR(C2517&amp;D2517="",N(E2517)=0),"",IF(OR(O2517="?",P2517="?"),"⚠ akun tidak dikenal",IF(C2517=D2517,"⚠ debet = kredit","")))</f>
        <v/>
      </c>
    </row>
    <row r="2518" customFormat="false" ht="15" hidden="false" customHeight="false" outlineLevel="0" collapsed="false">
      <c r="A2518" s="5"/>
      <c r="B2518" s="83"/>
      <c r="C2518" s="5"/>
      <c r="D2518" s="5"/>
      <c r="E2518" s="44"/>
      <c r="F2518" s="5"/>
      <c r="G2518" s="5"/>
      <c r="H2518" s="5"/>
      <c r="I2518" s="5"/>
      <c r="J2518" s="102" t="str">
        <f aca="false">IF(B2518="","",MONTH(B2518))</f>
        <v/>
      </c>
      <c r="K2518" s="102" t="str">
        <f aca="false">IF(B2518="","",YEAR(B2518))</f>
        <v/>
      </c>
      <c r="L2518" s="102" t="str">
        <f aca="false">IF(N(E2518)=0,"",IF(COUNTIFS(AK_NAMA,C2518,AK_KAT,"KAS")+COUNTIFS(AK_NAMA,D2518,AK_KAT,"KAS")&lt;&gt;1,"",IF(COUNTIFS(AK_NAMA,C2518,AK_KAT,"KAS")=1,D2518,C2518)))</f>
        <v/>
      </c>
      <c r="M2518" s="103" t="n">
        <f aca="false">IF(L2518="",0,IF(L2518=D2518,E2518,-E2518))</f>
        <v>0</v>
      </c>
      <c r="N2518" s="102" t="str">
        <f aca="false">IF(L2518="","",IFERROR(INDEX(AK_BARIS,MATCH(L2518,AK_NAMA,0)),"?"))</f>
        <v/>
      </c>
      <c r="O2518" s="102" t="str">
        <f aca="false">IF(C2518="","",IFERROR(INDEX(AK_KEL,MATCH(C2518,AK_NAMA,0)),"?"))</f>
        <v/>
      </c>
      <c r="P2518" s="102" t="str">
        <f aca="false">IF(D2518="","",IFERROR(INDEX(AK_KEL,MATCH(D2518,AK_NAMA,0)),"?"))</f>
        <v/>
      </c>
      <c r="Q2518" s="102" t="n">
        <f aca="false">N(Q2517)+IF(AND(N(E2518)&lt;&gt;0,K2518=TAHUN,N(J2518)&lt;=BLN,OR(C2518=BB_AKUN,D2518=BB_AKUN)),1,0)</f>
        <v>877</v>
      </c>
      <c r="R2518" s="104" t="str">
        <f aca="false">IF(OR(C2518&amp;D2518="",N(E2518)=0),"",IF(OR(O2518="?",P2518="?"),"⚠ akun tidak dikenal",IF(C2518=D2518,"⚠ debet = kredit","")))</f>
        <v/>
      </c>
    </row>
    <row r="2519" customFormat="false" ht="15" hidden="false" customHeight="false" outlineLevel="0" collapsed="false">
      <c r="A2519" s="5"/>
      <c r="B2519" s="83"/>
      <c r="C2519" s="5"/>
      <c r="D2519" s="5"/>
      <c r="E2519" s="44"/>
      <c r="F2519" s="5"/>
      <c r="G2519" s="5"/>
      <c r="H2519" s="5"/>
      <c r="I2519" s="5"/>
      <c r="J2519" s="102" t="str">
        <f aca="false">IF(B2519="","",MONTH(B2519))</f>
        <v/>
      </c>
      <c r="K2519" s="102" t="str">
        <f aca="false">IF(B2519="","",YEAR(B2519))</f>
        <v/>
      </c>
      <c r="L2519" s="102" t="str">
        <f aca="false">IF(N(E2519)=0,"",IF(COUNTIFS(AK_NAMA,C2519,AK_KAT,"KAS")+COUNTIFS(AK_NAMA,D2519,AK_KAT,"KAS")&lt;&gt;1,"",IF(COUNTIFS(AK_NAMA,C2519,AK_KAT,"KAS")=1,D2519,C2519)))</f>
        <v/>
      </c>
      <c r="M2519" s="103" t="n">
        <f aca="false">IF(L2519="",0,IF(L2519=D2519,E2519,-E2519))</f>
        <v>0</v>
      </c>
      <c r="N2519" s="102" t="str">
        <f aca="false">IF(L2519="","",IFERROR(INDEX(AK_BARIS,MATCH(L2519,AK_NAMA,0)),"?"))</f>
        <v/>
      </c>
      <c r="O2519" s="102" t="str">
        <f aca="false">IF(C2519="","",IFERROR(INDEX(AK_KEL,MATCH(C2519,AK_NAMA,0)),"?"))</f>
        <v/>
      </c>
      <c r="P2519" s="102" t="str">
        <f aca="false">IF(D2519="","",IFERROR(INDEX(AK_KEL,MATCH(D2519,AK_NAMA,0)),"?"))</f>
        <v/>
      </c>
      <c r="Q2519" s="102" t="n">
        <f aca="false">N(Q2518)+IF(AND(N(E2519)&lt;&gt;0,K2519=TAHUN,N(J2519)&lt;=BLN,OR(C2519=BB_AKUN,D2519=BB_AKUN)),1,0)</f>
        <v>877</v>
      </c>
      <c r="R2519" s="104" t="str">
        <f aca="false">IF(OR(C2519&amp;D2519="",N(E2519)=0),"",IF(OR(O2519="?",P2519="?"),"⚠ akun tidak dikenal",IF(C2519=D2519,"⚠ debet = kredit","")))</f>
        <v/>
      </c>
    </row>
    <row r="2520" customFormat="false" ht="15" hidden="false" customHeight="false" outlineLevel="0" collapsed="false">
      <c r="A2520" s="5"/>
      <c r="B2520" s="83"/>
      <c r="C2520" s="5"/>
      <c r="D2520" s="5"/>
      <c r="E2520" s="44"/>
      <c r="F2520" s="5"/>
      <c r="G2520" s="5"/>
      <c r="H2520" s="5"/>
      <c r="I2520" s="5"/>
      <c r="J2520" s="102" t="str">
        <f aca="false">IF(B2520="","",MONTH(B2520))</f>
        <v/>
      </c>
      <c r="K2520" s="102" t="str">
        <f aca="false">IF(B2520="","",YEAR(B2520))</f>
        <v/>
      </c>
      <c r="L2520" s="102" t="str">
        <f aca="false">IF(N(E2520)=0,"",IF(COUNTIFS(AK_NAMA,C2520,AK_KAT,"KAS")+COUNTIFS(AK_NAMA,D2520,AK_KAT,"KAS")&lt;&gt;1,"",IF(COUNTIFS(AK_NAMA,C2520,AK_KAT,"KAS")=1,D2520,C2520)))</f>
        <v/>
      </c>
      <c r="M2520" s="103" t="n">
        <f aca="false">IF(L2520="",0,IF(L2520=D2520,E2520,-E2520))</f>
        <v>0</v>
      </c>
      <c r="N2520" s="102" t="str">
        <f aca="false">IF(L2520="","",IFERROR(INDEX(AK_BARIS,MATCH(L2520,AK_NAMA,0)),"?"))</f>
        <v/>
      </c>
      <c r="O2520" s="102" t="str">
        <f aca="false">IF(C2520="","",IFERROR(INDEX(AK_KEL,MATCH(C2520,AK_NAMA,0)),"?"))</f>
        <v/>
      </c>
      <c r="P2520" s="102" t="str">
        <f aca="false">IF(D2520="","",IFERROR(INDEX(AK_KEL,MATCH(D2520,AK_NAMA,0)),"?"))</f>
        <v/>
      </c>
      <c r="Q2520" s="102" t="n">
        <f aca="false">N(Q2519)+IF(AND(N(E2520)&lt;&gt;0,K2520=TAHUN,N(J2520)&lt;=BLN,OR(C2520=BB_AKUN,D2520=BB_AKUN)),1,0)</f>
        <v>877</v>
      </c>
      <c r="R2520" s="104" t="str">
        <f aca="false">IF(OR(C2520&amp;D2520="",N(E2520)=0),"",IF(OR(O2520="?",P2520="?"),"⚠ akun tidak dikenal",IF(C2520=D2520,"⚠ debet = kredit","")))</f>
        <v/>
      </c>
    </row>
    <row r="2521" customFormat="false" ht="15" hidden="false" customHeight="false" outlineLevel="0" collapsed="false">
      <c r="A2521" s="5"/>
      <c r="B2521" s="83"/>
      <c r="C2521" s="5"/>
      <c r="D2521" s="5"/>
      <c r="E2521" s="44"/>
      <c r="F2521" s="5"/>
      <c r="G2521" s="5"/>
      <c r="H2521" s="5"/>
      <c r="I2521" s="5"/>
      <c r="J2521" s="102" t="str">
        <f aca="false">IF(B2521="","",MONTH(B2521))</f>
        <v/>
      </c>
      <c r="K2521" s="102" t="str">
        <f aca="false">IF(B2521="","",YEAR(B2521))</f>
        <v/>
      </c>
      <c r="L2521" s="102" t="str">
        <f aca="false">IF(N(E2521)=0,"",IF(COUNTIFS(AK_NAMA,C2521,AK_KAT,"KAS")+COUNTIFS(AK_NAMA,D2521,AK_KAT,"KAS")&lt;&gt;1,"",IF(COUNTIFS(AK_NAMA,C2521,AK_KAT,"KAS")=1,D2521,C2521)))</f>
        <v/>
      </c>
      <c r="M2521" s="103" t="n">
        <f aca="false">IF(L2521="",0,IF(L2521=D2521,E2521,-E2521))</f>
        <v>0</v>
      </c>
      <c r="N2521" s="102" t="str">
        <f aca="false">IF(L2521="","",IFERROR(INDEX(AK_BARIS,MATCH(L2521,AK_NAMA,0)),"?"))</f>
        <v/>
      </c>
      <c r="O2521" s="102" t="str">
        <f aca="false">IF(C2521="","",IFERROR(INDEX(AK_KEL,MATCH(C2521,AK_NAMA,0)),"?"))</f>
        <v/>
      </c>
      <c r="P2521" s="102" t="str">
        <f aca="false">IF(D2521="","",IFERROR(INDEX(AK_KEL,MATCH(D2521,AK_NAMA,0)),"?"))</f>
        <v/>
      </c>
      <c r="Q2521" s="102" t="n">
        <f aca="false">N(Q2520)+IF(AND(N(E2521)&lt;&gt;0,K2521=TAHUN,N(J2521)&lt;=BLN,OR(C2521=BB_AKUN,D2521=BB_AKUN)),1,0)</f>
        <v>877</v>
      </c>
      <c r="R2521" s="104" t="str">
        <f aca="false">IF(OR(C2521&amp;D2521="",N(E2521)=0),"",IF(OR(O2521="?",P2521="?"),"⚠ akun tidak dikenal",IF(C2521=D2521,"⚠ debet = kredit","")))</f>
        <v/>
      </c>
    </row>
    <row r="2522" customFormat="false" ht="15" hidden="false" customHeight="false" outlineLevel="0" collapsed="false">
      <c r="A2522" s="5"/>
      <c r="B2522" s="83"/>
      <c r="C2522" s="5"/>
      <c r="D2522" s="5"/>
      <c r="E2522" s="44"/>
      <c r="F2522" s="5"/>
      <c r="G2522" s="5"/>
      <c r="H2522" s="5"/>
      <c r="I2522" s="5"/>
      <c r="J2522" s="102" t="str">
        <f aca="false">IF(B2522="","",MONTH(B2522))</f>
        <v/>
      </c>
      <c r="K2522" s="102" t="str">
        <f aca="false">IF(B2522="","",YEAR(B2522))</f>
        <v/>
      </c>
      <c r="L2522" s="102" t="str">
        <f aca="false">IF(N(E2522)=0,"",IF(COUNTIFS(AK_NAMA,C2522,AK_KAT,"KAS")+COUNTIFS(AK_NAMA,D2522,AK_KAT,"KAS")&lt;&gt;1,"",IF(COUNTIFS(AK_NAMA,C2522,AK_KAT,"KAS")=1,D2522,C2522)))</f>
        <v/>
      </c>
      <c r="M2522" s="103" t="n">
        <f aca="false">IF(L2522="",0,IF(L2522=D2522,E2522,-E2522))</f>
        <v>0</v>
      </c>
      <c r="N2522" s="102" t="str">
        <f aca="false">IF(L2522="","",IFERROR(INDEX(AK_BARIS,MATCH(L2522,AK_NAMA,0)),"?"))</f>
        <v/>
      </c>
      <c r="O2522" s="102" t="str">
        <f aca="false">IF(C2522="","",IFERROR(INDEX(AK_KEL,MATCH(C2522,AK_NAMA,0)),"?"))</f>
        <v/>
      </c>
      <c r="P2522" s="102" t="str">
        <f aca="false">IF(D2522="","",IFERROR(INDEX(AK_KEL,MATCH(D2522,AK_NAMA,0)),"?"))</f>
        <v/>
      </c>
      <c r="Q2522" s="102" t="n">
        <f aca="false">N(Q2521)+IF(AND(N(E2522)&lt;&gt;0,K2522=TAHUN,N(J2522)&lt;=BLN,OR(C2522=BB_AKUN,D2522=BB_AKUN)),1,0)</f>
        <v>877</v>
      </c>
      <c r="R2522" s="104" t="str">
        <f aca="false">IF(OR(C2522&amp;D2522="",N(E2522)=0),"",IF(OR(O2522="?",P2522="?"),"⚠ akun tidak dikenal",IF(C2522=D2522,"⚠ debet = kredit","")))</f>
        <v/>
      </c>
    </row>
    <row r="2523" customFormat="false" ht="15" hidden="false" customHeight="false" outlineLevel="0" collapsed="false">
      <c r="A2523" s="5"/>
      <c r="B2523" s="83"/>
      <c r="C2523" s="5"/>
      <c r="D2523" s="5"/>
      <c r="E2523" s="44"/>
      <c r="F2523" s="5"/>
      <c r="G2523" s="5"/>
      <c r="H2523" s="5"/>
      <c r="I2523" s="5"/>
      <c r="J2523" s="102" t="str">
        <f aca="false">IF(B2523="","",MONTH(B2523))</f>
        <v/>
      </c>
      <c r="K2523" s="102" t="str">
        <f aca="false">IF(B2523="","",YEAR(B2523))</f>
        <v/>
      </c>
      <c r="L2523" s="102" t="str">
        <f aca="false">IF(N(E2523)=0,"",IF(COUNTIFS(AK_NAMA,C2523,AK_KAT,"KAS")+COUNTIFS(AK_NAMA,D2523,AK_KAT,"KAS")&lt;&gt;1,"",IF(COUNTIFS(AK_NAMA,C2523,AK_KAT,"KAS")=1,D2523,C2523)))</f>
        <v/>
      </c>
      <c r="M2523" s="103" t="n">
        <f aca="false">IF(L2523="",0,IF(L2523=D2523,E2523,-E2523))</f>
        <v>0</v>
      </c>
      <c r="N2523" s="102" t="str">
        <f aca="false">IF(L2523="","",IFERROR(INDEX(AK_BARIS,MATCH(L2523,AK_NAMA,0)),"?"))</f>
        <v/>
      </c>
      <c r="O2523" s="102" t="str">
        <f aca="false">IF(C2523="","",IFERROR(INDEX(AK_KEL,MATCH(C2523,AK_NAMA,0)),"?"))</f>
        <v/>
      </c>
      <c r="P2523" s="102" t="str">
        <f aca="false">IF(D2523="","",IFERROR(INDEX(AK_KEL,MATCH(D2523,AK_NAMA,0)),"?"))</f>
        <v/>
      </c>
      <c r="Q2523" s="102" t="n">
        <f aca="false">N(Q2522)+IF(AND(N(E2523)&lt;&gt;0,K2523=TAHUN,N(J2523)&lt;=BLN,OR(C2523=BB_AKUN,D2523=BB_AKUN)),1,0)</f>
        <v>877</v>
      </c>
      <c r="R2523" s="104" t="str">
        <f aca="false">IF(OR(C2523&amp;D2523="",N(E2523)=0),"",IF(OR(O2523="?",P2523="?"),"⚠ akun tidak dikenal",IF(C2523=D2523,"⚠ debet = kredit","")))</f>
        <v/>
      </c>
    </row>
    <row r="2524" customFormat="false" ht="15" hidden="false" customHeight="false" outlineLevel="0" collapsed="false">
      <c r="A2524" s="5"/>
      <c r="B2524" s="83"/>
      <c r="C2524" s="5"/>
      <c r="D2524" s="5"/>
      <c r="E2524" s="44"/>
      <c r="F2524" s="5"/>
      <c r="G2524" s="5"/>
      <c r="H2524" s="5"/>
      <c r="I2524" s="5"/>
      <c r="J2524" s="102" t="str">
        <f aca="false">IF(B2524="","",MONTH(B2524))</f>
        <v/>
      </c>
      <c r="K2524" s="102" t="str">
        <f aca="false">IF(B2524="","",YEAR(B2524))</f>
        <v/>
      </c>
      <c r="L2524" s="102" t="str">
        <f aca="false">IF(N(E2524)=0,"",IF(COUNTIFS(AK_NAMA,C2524,AK_KAT,"KAS")+COUNTIFS(AK_NAMA,D2524,AK_KAT,"KAS")&lt;&gt;1,"",IF(COUNTIFS(AK_NAMA,C2524,AK_KAT,"KAS")=1,D2524,C2524)))</f>
        <v/>
      </c>
      <c r="M2524" s="103" t="n">
        <f aca="false">IF(L2524="",0,IF(L2524=D2524,E2524,-E2524))</f>
        <v>0</v>
      </c>
      <c r="N2524" s="102" t="str">
        <f aca="false">IF(L2524="","",IFERROR(INDEX(AK_BARIS,MATCH(L2524,AK_NAMA,0)),"?"))</f>
        <v/>
      </c>
      <c r="O2524" s="102" t="str">
        <f aca="false">IF(C2524="","",IFERROR(INDEX(AK_KEL,MATCH(C2524,AK_NAMA,0)),"?"))</f>
        <v/>
      </c>
      <c r="P2524" s="102" t="str">
        <f aca="false">IF(D2524="","",IFERROR(INDEX(AK_KEL,MATCH(D2524,AK_NAMA,0)),"?"))</f>
        <v/>
      </c>
      <c r="Q2524" s="102" t="n">
        <f aca="false">N(Q2523)+IF(AND(N(E2524)&lt;&gt;0,K2524=TAHUN,N(J2524)&lt;=BLN,OR(C2524=BB_AKUN,D2524=BB_AKUN)),1,0)</f>
        <v>877</v>
      </c>
      <c r="R2524" s="104" t="str">
        <f aca="false">IF(OR(C2524&amp;D2524="",N(E2524)=0),"",IF(OR(O2524="?",P2524="?"),"⚠ akun tidak dikenal",IF(C2524=D2524,"⚠ debet = kredit","")))</f>
        <v/>
      </c>
    </row>
    <row r="2525" customFormat="false" ht="15" hidden="false" customHeight="false" outlineLevel="0" collapsed="false">
      <c r="A2525" s="5"/>
      <c r="B2525" s="83"/>
      <c r="C2525" s="5"/>
      <c r="D2525" s="5"/>
      <c r="E2525" s="44"/>
      <c r="F2525" s="5"/>
      <c r="G2525" s="5"/>
      <c r="H2525" s="5"/>
      <c r="I2525" s="5"/>
      <c r="J2525" s="102" t="str">
        <f aca="false">IF(B2525="","",MONTH(B2525))</f>
        <v/>
      </c>
      <c r="K2525" s="102" t="str">
        <f aca="false">IF(B2525="","",YEAR(B2525))</f>
        <v/>
      </c>
      <c r="L2525" s="102" t="str">
        <f aca="false">IF(N(E2525)=0,"",IF(COUNTIFS(AK_NAMA,C2525,AK_KAT,"KAS")+COUNTIFS(AK_NAMA,D2525,AK_KAT,"KAS")&lt;&gt;1,"",IF(COUNTIFS(AK_NAMA,C2525,AK_KAT,"KAS")=1,D2525,C2525)))</f>
        <v/>
      </c>
      <c r="M2525" s="103" t="n">
        <f aca="false">IF(L2525="",0,IF(L2525=D2525,E2525,-E2525))</f>
        <v>0</v>
      </c>
      <c r="N2525" s="102" t="str">
        <f aca="false">IF(L2525="","",IFERROR(INDEX(AK_BARIS,MATCH(L2525,AK_NAMA,0)),"?"))</f>
        <v/>
      </c>
      <c r="O2525" s="102" t="str">
        <f aca="false">IF(C2525="","",IFERROR(INDEX(AK_KEL,MATCH(C2525,AK_NAMA,0)),"?"))</f>
        <v/>
      </c>
      <c r="P2525" s="102" t="str">
        <f aca="false">IF(D2525="","",IFERROR(INDEX(AK_KEL,MATCH(D2525,AK_NAMA,0)),"?"))</f>
        <v/>
      </c>
      <c r="Q2525" s="102" t="n">
        <f aca="false">N(Q2524)+IF(AND(N(E2525)&lt;&gt;0,K2525=TAHUN,N(J2525)&lt;=BLN,OR(C2525=BB_AKUN,D2525=BB_AKUN)),1,0)</f>
        <v>877</v>
      </c>
      <c r="R2525" s="104" t="str">
        <f aca="false">IF(OR(C2525&amp;D2525="",N(E2525)=0),"",IF(OR(O2525="?",P2525="?"),"⚠ akun tidak dikenal",IF(C2525=D2525,"⚠ debet = kredit","")))</f>
        <v/>
      </c>
    </row>
    <row r="2526" customFormat="false" ht="15" hidden="false" customHeight="false" outlineLevel="0" collapsed="false">
      <c r="A2526" s="5"/>
      <c r="B2526" s="83"/>
      <c r="C2526" s="5"/>
      <c r="D2526" s="5"/>
      <c r="E2526" s="44"/>
      <c r="F2526" s="5"/>
      <c r="G2526" s="5"/>
      <c r="H2526" s="5"/>
      <c r="I2526" s="5"/>
      <c r="J2526" s="102" t="str">
        <f aca="false">IF(B2526="","",MONTH(B2526))</f>
        <v/>
      </c>
      <c r="K2526" s="102" t="str">
        <f aca="false">IF(B2526="","",YEAR(B2526))</f>
        <v/>
      </c>
      <c r="L2526" s="102" t="str">
        <f aca="false">IF(N(E2526)=0,"",IF(COUNTIFS(AK_NAMA,C2526,AK_KAT,"KAS")+COUNTIFS(AK_NAMA,D2526,AK_KAT,"KAS")&lt;&gt;1,"",IF(COUNTIFS(AK_NAMA,C2526,AK_KAT,"KAS")=1,D2526,C2526)))</f>
        <v/>
      </c>
      <c r="M2526" s="103" t="n">
        <f aca="false">IF(L2526="",0,IF(L2526=D2526,E2526,-E2526))</f>
        <v>0</v>
      </c>
      <c r="N2526" s="102" t="str">
        <f aca="false">IF(L2526="","",IFERROR(INDEX(AK_BARIS,MATCH(L2526,AK_NAMA,0)),"?"))</f>
        <v/>
      </c>
      <c r="O2526" s="102" t="str">
        <f aca="false">IF(C2526="","",IFERROR(INDEX(AK_KEL,MATCH(C2526,AK_NAMA,0)),"?"))</f>
        <v/>
      </c>
      <c r="P2526" s="102" t="str">
        <f aca="false">IF(D2526="","",IFERROR(INDEX(AK_KEL,MATCH(D2526,AK_NAMA,0)),"?"))</f>
        <v/>
      </c>
      <c r="Q2526" s="102" t="n">
        <f aca="false">N(Q2525)+IF(AND(N(E2526)&lt;&gt;0,K2526=TAHUN,N(J2526)&lt;=BLN,OR(C2526=BB_AKUN,D2526=BB_AKUN)),1,0)</f>
        <v>877</v>
      </c>
      <c r="R2526" s="104" t="str">
        <f aca="false">IF(OR(C2526&amp;D2526="",N(E2526)=0),"",IF(OR(O2526="?",P2526="?"),"⚠ akun tidak dikenal",IF(C2526=D2526,"⚠ debet = kredit","")))</f>
        <v/>
      </c>
    </row>
    <row r="2527" customFormat="false" ht="15" hidden="false" customHeight="false" outlineLevel="0" collapsed="false">
      <c r="A2527" s="5"/>
      <c r="B2527" s="83"/>
      <c r="C2527" s="5"/>
      <c r="D2527" s="5"/>
      <c r="E2527" s="44"/>
      <c r="F2527" s="5"/>
      <c r="G2527" s="5"/>
      <c r="H2527" s="5"/>
      <c r="I2527" s="5"/>
      <c r="J2527" s="102" t="str">
        <f aca="false">IF(B2527="","",MONTH(B2527))</f>
        <v/>
      </c>
      <c r="K2527" s="102" t="str">
        <f aca="false">IF(B2527="","",YEAR(B2527))</f>
        <v/>
      </c>
      <c r="L2527" s="102" t="str">
        <f aca="false">IF(N(E2527)=0,"",IF(COUNTIFS(AK_NAMA,C2527,AK_KAT,"KAS")+COUNTIFS(AK_NAMA,D2527,AK_KAT,"KAS")&lt;&gt;1,"",IF(COUNTIFS(AK_NAMA,C2527,AK_KAT,"KAS")=1,D2527,C2527)))</f>
        <v/>
      </c>
      <c r="M2527" s="103" t="n">
        <f aca="false">IF(L2527="",0,IF(L2527=D2527,E2527,-E2527))</f>
        <v>0</v>
      </c>
      <c r="N2527" s="102" t="str">
        <f aca="false">IF(L2527="","",IFERROR(INDEX(AK_BARIS,MATCH(L2527,AK_NAMA,0)),"?"))</f>
        <v/>
      </c>
      <c r="O2527" s="102" t="str">
        <f aca="false">IF(C2527="","",IFERROR(INDEX(AK_KEL,MATCH(C2527,AK_NAMA,0)),"?"))</f>
        <v/>
      </c>
      <c r="P2527" s="102" t="str">
        <f aca="false">IF(D2527="","",IFERROR(INDEX(AK_KEL,MATCH(D2527,AK_NAMA,0)),"?"))</f>
        <v/>
      </c>
      <c r="Q2527" s="102" t="n">
        <f aca="false">N(Q2526)+IF(AND(N(E2527)&lt;&gt;0,K2527=TAHUN,N(J2527)&lt;=BLN,OR(C2527=BB_AKUN,D2527=BB_AKUN)),1,0)</f>
        <v>877</v>
      </c>
      <c r="R2527" s="104" t="str">
        <f aca="false">IF(OR(C2527&amp;D2527="",N(E2527)=0),"",IF(OR(O2527="?",P2527="?"),"⚠ akun tidak dikenal",IF(C2527=D2527,"⚠ debet = kredit","")))</f>
        <v/>
      </c>
    </row>
    <row r="2528" customFormat="false" ht="15" hidden="false" customHeight="false" outlineLevel="0" collapsed="false">
      <c r="A2528" s="5"/>
      <c r="B2528" s="83"/>
      <c r="C2528" s="5"/>
      <c r="D2528" s="5"/>
      <c r="E2528" s="44"/>
      <c r="F2528" s="5"/>
      <c r="G2528" s="5"/>
      <c r="H2528" s="5"/>
      <c r="I2528" s="5"/>
      <c r="J2528" s="102" t="str">
        <f aca="false">IF(B2528="","",MONTH(B2528))</f>
        <v/>
      </c>
      <c r="K2528" s="102" t="str">
        <f aca="false">IF(B2528="","",YEAR(B2528))</f>
        <v/>
      </c>
      <c r="L2528" s="102" t="str">
        <f aca="false">IF(N(E2528)=0,"",IF(COUNTIFS(AK_NAMA,C2528,AK_KAT,"KAS")+COUNTIFS(AK_NAMA,D2528,AK_KAT,"KAS")&lt;&gt;1,"",IF(COUNTIFS(AK_NAMA,C2528,AK_KAT,"KAS")=1,D2528,C2528)))</f>
        <v/>
      </c>
      <c r="M2528" s="103" t="n">
        <f aca="false">IF(L2528="",0,IF(L2528=D2528,E2528,-E2528))</f>
        <v>0</v>
      </c>
      <c r="N2528" s="102" t="str">
        <f aca="false">IF(L2528="","",IFERROR(INDEX(AK_BARIS,MATCH(L2528,AK_NAMA,0)),"?"))</f>
        <v/>
      </c>
      <c r="O2528" s="102" t="str">
        <f aca="false">IF(C2528="","",IFERROR(INDEX(AK_KEL,MATCH(C2528,AK_NAMA,0)),"?"))</f>
        <v/>
      </c>
      <c r="P2528" s="102" t="str">
        <f aca="false">IF(D2528="","",IFERROR(INDEX(AK_KEL,MATCH(D2528,AK_NAMA,0)),"?"))</f>
        <v/>
      </c>
      <c r="Q2528" s="102" t="n">
        <f aca="false">N(Q2527)+IF(AND(N(E2528)&lt;&gt;0,K2528=TAHUN,N(J2528)&lt;=BLN,OR(C2528=BB_AKUN,D2528=BB_AKUN)),1,0)</f>
        <v>877</v>
      </c>
      <c r="R2528" s="104" t="str">
        <f aca="false">IF(OR(C2528&amp;D2528="",N(E2528)=0),"",IF(OR(O2528="?",P2528="?"),"⚠ akun tidak dikenal",IF(C2528=D2528,"⚠ debet = kredit","")))</f>
        <v/>
      </c>
    </row>
    <row r="2529" customFormat="false" ht="15" hidden="false" customHeight="false" outlineLevel="0" collapsed="false">
      <c r="A2529" s="5"/>
      <c r="B2529" s="83"/>
      <c r="C2529" s="5"/>
      <c r="D2529" s="5"/>
      <c r="E2529" s="44"/>
      <c r="F2529" s="5"/>
      <c r="G2529" s="5"/>
      <c r="H2529" s="5"/>
      <c r="I2529" s="5"/>
      <c r="J2529" s="102" t="str">
        <f aca="false">IF(B2529="","",MONTH(B2529))</f>
        <v/>
      </c>
      <c r="K2529" s="102" t="str">
        <f aca="false">IF(B2529="","",YEAR(B2529))</f>
        <v/>
      </c>
      <c r="L2529" s="102" t="str">
        <f aca="false">IF(N(E2529)=0,"",IF(COUNTIFS(AK_NAMA,C2529,AK_KAT,"KAS")+COUNTIFS(AK_NAMA,D2529,AK_KAT,"KAS")&lt;&gt;1,"",IF(COUNTIFS(AK_NAMA,C2529,AK_KAT,"KAS")=1,D2529,C2529)))</f>
        <v/>
      </c>
      <c r="M2529" s="103" t="n">
        <f aca="false">IF(L2529="",0,IF(L2529=D2529,E2529,-E2529))</f>
        <v>0</v>
      </c>
      <c r="N2529" s="102" t="str">
        <f aca="false">IF(L2529="","",IFERROR(INDEX(AK_BARIS,MATCH(L2529,AK_NAMA,0)),"?"))</f>
        <v/>
      </c>
      <c r="O2529" s="102" t="str">
        <f aca="false">IF(C2529="","",IFERROR(INDEX(AK_KEL,MATCH(C2529,AK_NAMA,0)),"?"))</f>
        <v/>
      </c>
      <c r="P2529" s="102" t="str">
        <f aca="false">IF(D2529="","",IFERROR(INDEX(AK_KEL,MATCH(D2529,AK_NAMA,0)),"?"))</f>
        <v/>
      </c>
      <c r="Q2529" s="102" t="n">
        <f aca="false">N(Q2528)+IF(AND(N(E2529)&lt;&gt;0,K2529=TAHUN,N(J2529)&lt;=BLN,OR(C2529=BB_AKUN,D2529=BB_AKUN)),1,0)</f>
        <v>877</v>
      </c>
      <c r="R2529" s="104" t="str">
        <f aca="false">IF(OR(C2529&amp;D2529="",N(E2529)=0),"",IF(OR(O2529="?",P2529="?"),"⚠ akun tidak dikenal",IF(C2529=D2529,"⚠ debet = kredit","")))</f>
        <v/>
      </c>
    </row>
    <row r="2530" customFormat="false" ht="15" hidden="false" customHeight="false" outlineLevel="0" collapsed="false">
      <c r="A2530" s="5"/>
      <c r="B2530" s="83"/>
      <c r="C2530" s="5"/>
      <c r="D2530" s="5"/>
      <c r="E2530" s="44"/>
      <c r="F2530" s="5"/>
      <c r="G2530" s="5"/>
      <c r="H2530" s="5"/>
      <c r="I2530" s="5"/>
      <c r="J2530" s="102" t="str">
        <f aca="false">IF(B2530="","",MONTH(B2530))</f>
        <v/>
      </c>
      <c r="K2530" s="102" t="str">
        <f aca="false">IF(B2530="","",YEAR(B2530))</f>
        <v/>
      </c>
      <c r="L2530" s="102" t="str">
        <f aca="false">IF(N(E2530)=0,"",IF(COUNTIFS(AK_NAMA,C2530,AK_KAT,"KAS")+COUNTIFS(AK_NAMA,D2530,AK_KAT,"KAS")&lt;&gt;1,"",IF(COUNTIFS(AK_NAMA,C2530,AK_KAT,"KAS")=1,D2530,C2530)))</f>
        <v/>
      </c>
      <c r="M2530" s="103" t="n">
        <f aca="false">IF(L2530="",0,IF(L2530=D2530,E2530,-E2530))</f>
        <v>0</v>
      </c>
      <c r="N2530" s="102" t="str">
        <f aca="false">IF(L2530="","",IFERROR(INDEX(AK_BARIS,MATCH(L2530,AK_NAMA,0)),"?"))</f>
        <v/>
      </c>
      <c r="O2530" s="102" t="str">
        <f aca="false">IF(C2530="","",IFERROR(INDEX(AK_KEL,MATCH(C2530,AK_NAMA,0)),"?"))</f>
        <v/>
      </c>
      <c r="P2530" s="102" t="str">
        <f aca="false">IF(D2530="","",IFERROR(INDEX(AK_KEL,MATCH(D2530,AK_NAMA,0)),"?"))</f>
        <v/>
      </c>
      <c r="Q2530" s="102" t="n">
        <f aca="false">N(Q2529)+IF(AND(N(E2530)&lt;&gt;0,K2530=TAHUN,N(J2530)&lt;=BLN,OR(C2530=BB_AKUN,D2530=BB_AKUN)),1,0)</f>
        <v>877</v>
      </c>
      <c r="R2530" s="104" t="str">
        <f aca="false">IF(OR(C2530&amp;D2530="",N(E2530)=0),"",IF(OR(O2530="?",P2530="?"),"⚠ akun tidak dikenal",IF(C2530=D2530,"⚠ debet = kredit","")))</f>
        <v/>
      </c>
    </row>
    <row r="2531" customFormat="false" ht="15" hidden="false" customHeight="false" outlineLevel="0" collapsed="false">
      <c r="A2531" s="5"/>
      <c r="B2531" s="83"/>
      <c r="C2531" s="5"/>
      <c r="D2531" s="5"/>
      <c r="E2531" s="44"/>
      <c r="F2531" s="5"/>
      <c r="G2531" s="5"/>
      <c r="H2531" s="5"/>
      <c r="I2531" s="5"/>
      <c r="J2531" s="102" t="str">
        <f aca="false">IF(B2531="","",MONTH(B2531))</f>
        <v/>
      </c>
      <c r="K2531" s="102" t="str">
        <f aca="false">IF(B2531="","",YEAR(B2531))</f>
        <v/>
      </c>
      <c r="L2531" s="102" t="str">
        <f aca="false">IF(N(E2531)=0,"",IF(COUNTIFS(AK_NAMA,C2531,AK_KAT,"KAS")+COUNTIFS(AK_NAMA,D2531,AK_KAT,"KAS")&lt;&gt;1,"",IF(COUNTIFS(AK_NAMA,C2531,AK_KAT,"KAS")=1,D2531,C2531)))</f>
        <v/>
      </c>
      <c r="M2531" s="103" t="n">
        <f aca="false">IF(L2531="",0,IF(L2531=D2531,E2531,-E2531))</f>
        <v>0</v>
      </c>
      <c r="N2531" s="102" t="str">
        <f aca="false">IF(L2531="","",IFERROR(INDEX(AK_BARIS,MATCH(L2531,AK_NAMA,0)),"?"))</f>
        <v/>
      </c>
      <c r="O2531" s="102" t="str">
        <f aca="false">IF(C2531="","",IFERROR(INDEX(AK_KEL,MATCH(C2531,AK_NAMA,0)),"?"))</f>
        <v/>
      </c>
      <c r="P2531" s="102" t="str">
        <f aca="false">IF(D2531="","",IFERROR(INDEX(AK_KEL,MATCH(D2531,AK_NAMA,0)),"?"))</f>
        <v/>
      </c>
      <c r="Q2531" s="102" t="n">
        <f aca="false">N(Q2530)+IF(AND(N(E2531)&lt;&gt;0,K2531=TAHUN,N(J2531)&lt;=BLN,OR(C2531=BB_AKUN,D2531=BB_AKUN)),1,0)</f>
        <v>877</v>
      </c>
      <c r="R2531" s="104" t="str">
        <f aca="false">IF(OR(C2531&amp;D2531="",N(E2531)=0),"",IF(OR(O2531="?",P2531="?"),"⚠ akun tidak dikenal",IF(C2531=D2531,"⚠ debet = kredit","")))</f>
        <v/>
      </c>
    </row>
    <row r="2532" customFormat="false" ht="15" hidden="false" customHeight="false" outlineLevel="0" collapsed="false">
      <c r="A2532" s="5"/>
      <c r="B2532" s="83"/>
      <c r="C2532" s="5"/>
      <c r="D2532" s="5"/>
      <c r="E2532" s="44"/>
      <c r="F2532" s="5"/>
      <c r="G2532" s="5"/>
      <c r="H2532" s="5"/>
      <c r="I2532" s="5"/>
      <c r="J2532" s="102" t="str">
        <f aca="false">IF(B2532="","",MONTH(B2532))</f>
        <v/>
      </c>
      <c r="K2532" s="102" t="str">
        <f aca="false">IF(B2532="","",YEAR(B2532))</f>
        <v/>
      </c>
      <c r="L2532" s="102" t="str">
        <f aca="false">IF(N(E2532)=0,"",IF(COUNTIFS(AK_NAMA,C2532,AK_KAT,"KAS")+COUNTIFS(AK_NAMA,D2532,AK_KAT,"KAS")&lt;&gt;1,"",IF(COUNTIFS(AK_NAMA,C2532,AK_KAT,"KAS")=1,D2532,C2532)))</f>
        <v/>
      </c>
      <c r="M2532" s="103" t="n">
        <f aca="false">IF(L2532="",0,IF(L2532=D2532,E2532,-E2532))</f>
        <v>0</v>
      </c>
      <c r="N2532" s="102" t="str">
        <f aca="false">IF(L2532="","",IFERROR(INDEX(AK_BARIS,MATCH(L2532,AK_NAMA,0)),"?"))</f>
        <v/>
      </c>
      <c r="O2532" s="102" t="str">
        <f aca="false">IF(C2532="","",IFERROR(INDEX(AK_KEL,MATCH(C2532,AK_NAMA,0)),"?"))</f>
        <v/>
      </c>
      <c r="P2532" s="102" t="str">
        <f aca="false">IF(D2532="","",IFERROR(INDEX(AK_KEL,MATCH(D2532,AK_NAMA,0)),"?"))</f>
        <v/>
      </c>
      <c r="Q2532" s="102" t="n">
        <f aca="false">N(Q2531)+IF(AND(N(E2532)&lt;&gt;0,K2532=TAHUN,N(J2532)&lt;=BLN,OR(C2532=BB_AKUN,D2532=BB_AKUN)),1,0)</f>
        <v>877</v>
      </c>
      <c r="R2532" s="104" t="str">
        <f aca="false">IF(OR(C2532&amp;D2532="",N(E2532)=0),"",IF(OR(O2532="?",P2532="?"),"⚠ akun tidak dikenal",IF(C2532=D2532,"⚠ debet = kredit","")))</f>
        <v/>
      </c>
    </row>
    <row r="2533" customFormat="false" ht="15" hidden="false" customHeight="false" outlineLevel="0" collapsed="false">
      <c r="A2533" s="5"/>
      <c r="B2533" s="83"/>
      <c r="C2533" s="5"/>
      <c r="D2533" s="5"/>
      <c r="E2533" s="44"/>
      <c r="F2533" s="5"/>
      <c r="G2533" s="5"/>
      <c r="H2533" s="5"/>
      <c r="I2533" s="5"/>
      <c r="J2533" s="102" t="str">
        <f aca="false">IF(B2533="","",MONTH(B2533))</f>
        <v/>
      </c>
      <c r="K2533" s="102" t="str">
        <f aca="false">IF(B2533="","",YEAR(B2533))</f>
        <v/>
      </c>
      <c r="L2533" s="102" t="str">
        <f aca="false">IF(N(E2533)=0,"",IF(COUNTIFS(AK_NAMA,C2533,AK_KAT,"KAS")+COUNTIFS(AK_NAMA,D2533,AK_KAT,"KAS")&lt;&gt;1,"",IF(COUNTIFS(AK_NAMA,C2533,AK_KAT,"KAS")=1,D2533,C2533)))</f>
        <v/>
      </c>
      <c r="M2533" s="103" t="n">
        <f aca="false">IF(L2533="",0,IF(L2533=D2533,E2533,-E2533))</f>
        <v>0</v>
      </c>
      <c r="N2533" s="102" t="str">
        <f aca="false">IF(L2533="","",IFERROR(INDEX(AK_BARIS,MATCH(L2533,AK_NAMA,0)),"?"))</f>
        <v/>
      </c>
      <c r="O2533" s="102" t="str">
        <f aca="false">IF(C2533="","",IFERROR(INDEX(AK_KEL,MATCH(C2533,AK_NAMA,0)),"?"))</f>
        <v/>
      </c>
      <c r="P2533" s="102" t="str">
        <f aca="false">IF(D2533="","",IFERROR(INDEX(AK_KEL,MATCH(D2533,AK_NAMA,0)),"?"))</f>
        <v/>
      </c>
      <c r="Q2533" s="102" t="n">
        <f aca="false">N(Q2532)+IF(AND(N(E2533)&lt;&gt;0,K2533=TAHUN,N(J2533)&lt;=BLN,OR(C2533=BB_AKUN,D2533=BB_AKUN)),1,0)</f>
        <v>877</v>
      </c>
      <c r="R2533" s="104" t="str">
        <f aca="false">IF(OR(C2533&amp;D2533="",N(E2533)=0),"",IF(OR(O2533="?",P2533="?"),"⚠ akun tidak dikenal",IF(C2533=D2533,"⚠ debet = kredit","")))</f>
        <v/>
      </c>
    </row>
    <row r="2534" customFormat="false" ht="15" hidden="false" customHeight="false" outlineLevel="0" collapsed="false">
      <c r="A2534" s="5"/>
      <c r="B2534" s="83"/>
      <c r="C2534" s="5"/>
      <c r="D2534" s="5"/>
      <c r="E2534" s="44"/>
      <c r="F2534" s="5"/>
      <c r="G2534" s="5"/>
      <c r="H2534" s="5"/>
      <c r="I2534" s="5"/>
      <c r="J2534" s="102" t="str">
        <f aca="false">IF(B2534="","",MONTH(B2534))</f>
        <v/>
      </c>
      <c r="K2534" s="102" t="str">
        <f aca="false">IF(B2534="","",YEAR(B2534))</f>
        <v/>
      </c>
      <c r="L2534" s="102" t="str">
        <f aca="false">IF(N(E2534)=0,"",IF(COUNTIFS(AK_NAMA,C2534,AK_KAT,"KAS")+COUNTIFS(AK_NAMA,D2534,AK_KAT,"KAS")&lt;&gt;1,"",IF(COUNTIFS(AK_NAMA,C2534,AK_KAT,"KAS")=1,D2534,C2534)))</f>
        <v/>
      </c>
      <c r="M2534" s="103" t="n">
        <f aca="false">IF(L2534="",0,IF(L2534=D2534,E2534,-E2534))</f>
        <v>0</v>
      </c>
      <c r="N2534" s="102" t="str">
        <f aca="false">IF(L2534="","",IFERROR(INDEX(AK_BARIS,MATCH(L2534,AK_NAMA,0)),"?"))</f>
        <v/>
      </c>
      <c r="O2534" s="102" t="str">
        <f aca="false">IF(C2534="","",IFERROR(INDEX(AK_KEL,MATCH(C2534,AK_NAMA,0)),"?"))</f>
        <v/>
      </c>
      <c r="P2534" s="102" t="str">
        <f aca="false">IF(D2534="","",IFERROR(INDEX(AK_KEL,MATCH(D2534,AK_NAMA,0)),"?"))</f>
        <v/>
      </c>
      <c r="Q2534" s="102" t="n">
        <f aca="false">N(Q2533)+IF(AND(N(E2534)&lt;&gt;0,K2534=TAHUN,N(J2534)&lt;=BLN,OR(C2534=BB_AKUN,D2534=BB_AKUN)),1,0)</f>
        <v>877</v>
      </c>
      <c r="R2534" s="104" t="str">
        <f aca="false">IF(OR(C2534&amp;D2534="",N(E2534)=0),"",IF(OR(O2534="?",P2534="?"),"⚠ akun tidak dikenal",IF(C2534=D2534,"⚠ debet = kredit","")))</f>
        <v/>
      </c>
    </row>
    <row r="2535" customFormat="false" ht="15" hidden="false" customHeight="false" outlineLevel="0" collapsed="false">
      <c r="A2535" s="5"/>
      <c r="B2535" s="83"/>
      <c r="C2535" s="5"/>
      <c r="D2535" s="5"/>
      <c r="E2535" s="44"/>
      <c r="F2535" s="5"/>
      <c r="G2535" s="5"/>
      <c r="H2535" s="5"/>
      <c r="I2535" s="5"/>
      <c r="J2535" s="102" t="str">
        <f aca="false">IF(B2535="","",MONTH(B2535))</f>
        <v/>
      </c>
      <c r="K2535" s="102" t="str">
        <f aca="false">IF(B2535="","",YEAR(B2535))</f>
        <v/>
      </c>
      <c r="L2535" s="102" t="str">
        <f aca="false">IF(N(E2535)=0,"",IF(COUNTIFS(AK_NAMA,C2535,AK_KAT,"KAS")+COUNTIFS(AK_NAMA,D2535,AK_KAT,"KAS")&lt;&gt;1,"",IF(COUNTIFS(AK_NAMA,C2535,AK_KAT,"KAS")=1,D2535,C2535)))</f>
        <v/>
      </c>
      <c r="M2535" s="103" t="n">
        <f aca="false">IF(L2535="",0,IF(L2535=D2535,E2535,-E2535))</f>
        <v>0</v>
      </c>
      <c r="N2535" s="102" t="str">
        <f aca="false">IF(L2535="","",IFERROR(INDEX(AK_BARIS,MATCH(L2535,AK_NAMA,0)),"?"))</f>
        <v/>
      </c>
      <c r="O2535" s="102" t="str">
        <f aca="false">IF(C2535="","",IFERROR(INDEX(AK_KEL,MATCH(C2535,AK_NAMA,0)),"?"))</f>
        <v/>
      </c>
      <c r="P2535" s="102" t="str">
        <f aca="false">IF(D2535="","",IFERROR(INDEX(AK_KEL,MATCH(D2535,AK_NAMA,0)),"?"))</f>
        <v/>
      </c>
      <c r="Q2535" s="102" t="n">
        <f aca="false">N(Q2534)+IF(AND(N(E2535)&lt;&gt;0,K2535=TAHUN,N(J2535)&lt;=BLN,OR(C2535=BB_AKUN,D2535=BB_AKUN)),1,0)</f>
        <v>877</v>
      </c>
      <c r="R2535" s="104" t="str">
        <f aca="false">IF(OR(C2535&amp;D2535="",N(E2535)=0),"",IF(OR(O2535="?",P2535="?"),"⚠ akun tidak dikenal",IF(C2535=D2535,"⚠ debet = kredit","")))</f>
        <v/>
      </c>
    </row>
    <row r="2536" customFormat="false" ht="15" hidden="false" customHeight="false" outlineLevel="0" collapsed="false">
      <c r="A2536" s="5"/>
      <c r="B2536" s="83"/>
      <c r="C2536" s="5"/>
      <c r="D2536" s="5"/>
      <c r="E2536" s="44"/>
      <c r="F2536" s="5"/>
      <c r="G2536" s="5"/>
      <c r="H2536" s="5"/>
      <c r="I2536" s="5"/>
      <c r="J2536" s="102" t="str">
        <f aca="false">IF(B2536="","",MONTH(B2536))</f>
        <v/>
      </c>
      <c r="K2536" s="102" t="str">
        <f aca="false">IF(B2536="","",YEAR(B2536))</f>
        <v/>
      </c>
      <c r="L2536" s="102" t="str">
        <f aca="false">IF(N(E2536)=0,"",IF(COUNTIFS(AK_NAMA,C2536,AK_KAT,"KAS")+COUNTIFS(AK_NAMA,D2536,AK_KAT,"KAS")&lt;&gt;1,"",IF(COUNTIFS(AK_NAMA,C2536,AK_KAT,"KAS")=1,D2536,C2536)))</f>
        <v/>
      </c>
      <c r="M2536" s="103" t="n">
        <f aca="false">IF(L2536="",0,IF(L2536=D2536,E2536,-E2536))</f>
        <v>0</v>
      </c>
      <c r="N2536" s="102" t="str">
        <f aca="false">IF(L2536="","",IFERROR(INDEX(AK_BARIS,MATCH(L2536,AK_NAMA,0)),"?"))</f>
        <v/>
      </c>
      <c r="O2536" s="102" t="str">
        <f aca="false">IF(C2536="","",IFERROR(INDEX(AK_KEL,MATCH(C2536,AK_NAMA,0)),"?"))</f>
        <v/>
      </c>
      <c r="P2536" s="102" t="str">
        <f aca="false">IF(D2536="","",IFERROR(INDEX(AK_KEL,MATCH(D2536,AK_NAMA,0)),"?"))</f>
        <v/>
      </c>
      <c r="Q2536" s="102" t="n">
        <f aca="false">N(Q2535)+IF(AND(N(E2536)&lt;&gt;0,K2536=TAHUN,N(J2536)&lt;=BLN,OR(C2536=BB_AKUN,D2536=BB_AKUN)),1,0)</f>
        <v>877</v>
      </c>
      <c r="R2536" s="104" t="str">
        <f aca="false">IF(OR(C2536&amp;D2536="",N(E2536)=0),"",IF(OR(O2536="?",P2536="?"),"⚠ akun tidak dikenal",IF(C2536=D2536,"⚠ debet = kredit","")))</f>
        <v/>
      </c>
    </row>
    <row r="2537" customFormat="false" ht="15" hidden="false" customHeight="false" outlineLevel="0" collapsed="false">
      <c r="A2537" s="5"/>
      <c r="B2537" s="83"/>
      <c r="C2537" s="5"/>
      <c r="D2537" s="5"/>
      <c r="E2537" s="44"/>
      <c r="F2537" s="5"/>
      <c r="G2537" s="5"/>
      <c r="H2537" s="5"/>
      <c r="I2537" s="5"/>
      <c r="J2537" s="102" t="str">
        <f aca="false">IF(B2537="","",MONTH(B2537))</f>
        <v/>
      </c>
      <c r="K2537" s="102" t="str">
        <f aca="false">IF(B2537="","",YEAR(B2537))</f>
        <v/>
      </c>
      <c r="L2537" s="102" t="str">
        <f aca="false">IF(N(E2537)=0,"",IF(COUNTIFS(AK_NAMA,C2537,AK_KAT,"KAS")+COUNTIFS(AK_NAMA,D2537,AK_KAT,"KAS")&lt;&gt;1,"",IF(COUNTIFS(AK_NAMA,C2537,AK_KAT,"KAS")=1,D2537,C2537)))</f>
        <v/>
      </c>
      <c r="M2537" s="103" t="n">
        <f aca="false">IF(L2537="",0,IF(L2537=D2537,E2537,-E2537))</f>
        <v>0</v>
      </c>
      <c r="N2537" s="102" t="str">
        <f aca="false">IF(L2537="","",IFERROR(INDEX(AK_BARIS,MATCH(L2537,AK_NAMA,0)),"?"))</f>
        <v/>
      </c>
      <c r="O2537" s="102" t="str">
        <f aca="false">IF(C2537="","",IFERROR(INDEX(AK_KEL,MATCH(C2537,AK_NAMA,0)),"?"))</f>
        <v/>
      </c>
      <c r="P2537" s="102" t="str">
        <f aca="false">IF(D2537="","",IFERROR(INDEX(AK_KEL,MATCH(D2537,AK_NAMA,0)),"?"))</f>
        <v/>
      </c>
      <c r="Q2537" s="102" t="n">
        <f aca="false">N(Q2536)+IF(AND(N(E2537)&lt;&gt;0,K2537=TAHUN,N(J2537)&lt;=BLN,OR(C2537=BB_AKUN,D2537=BB_AKUN)),1,0)</f>
        <v>877</v>
      </c>
      <c r="R2537" s="104" t="str">
        <f aca="false">IF(OR(C2537&amp;D2537="",N(E2537)=0),"",IF(OR(O2537="?",P2537="?"),"⚠ akun tidak dikenal",IF(C2537=D2537,"⚠ debet = kredit","")))</f>
        <v/>
      </c>
    </row>
    <row r="2538" customFormat="false" ht="15" hidden="false" customHeight="false" outlineLevel="0" collapsed="false">
      <c r="A2538" s="5"/>
      <c r="B2538" s="83"/>
      <c r="C2538" s="5"/>
      <c r="D2538" s="5"/>
      <c r="E2538" s="44"/>
      <c r="F2538" s="5"/>
      <c r="G2538" s="5"/>
      <c r="H2538" s="5"/>
      <c r="I2538" s="5"/>
      <c r="J2538" s="102" t="str">
        <f aca="false">IF(B2538="","",MONTH(B2538))</f>
        <v/>
      </c>
      <c r="K2538" s="102" t="str">
        <f aca="false">IF(B2538="","",YEAR(B2538))</f>
        <v/>
      </c>
      <c r="L2538" s="102" t="str">
        <f aca="false">IF(N(E2538)=0,"",IF(COUNTIFS(AK_NAMA,C2538,AK_KAT,"KAS")+COUNTIFS(AK_NAMA,D2538,AK_KAT,"KAS")&lt;&gt;1,"",IF(COUNTIFS(AK_NAMA,C2538,AK_KAT,"KAS")=1,D2538,C2538)))</f>
        <v/>
      </c>
      <c r="M2538" s="103" t="n">
        <f aca="false">IF(L2538="",0,IF(L2538=D2538,E2538,-E2538))</f>
        <v>0</v>
      </c>
      <c r="N2538" s="102" t="str">
        <f aca="false">IF(L2538="","",IFERROR(INDEX(AK_BARIS,MATCH(L2538,AK_NAMA,0)),"?"))</f>
        <v/>
      </c>
      <c r="O2538" s="102" t="str">
        <f aca="false">IF(C2538="","",IFERROR(INDEX(AK_KEL,MATCH(C2538,AK_NAMA,0)),"?"))</f>
        <v/>
      </c>
      <c r="P2538" s="102" t="str">
        <f aca="false">IF(D2538="","",IFERROR(INDEX(AK_KEL,MATCH(D2538,AK_NAMA,0)),"?"))</f>
        <v/>
      </c>
      <c r="Q2538" s="102" t="n">
        <f aca="false">N(Q2537)+IF(AND(N(E2538)&lt;&gt;0,K2538=TAHUN,N(J2538)&lt;=BLN,OR(C2538=BB_AKUN,D2538=BB_AKUN)),1,0)</f>
        <v>877</v>
      </c>
      <c r="R2538" s="104" t="str">
        <f aca="false">IF(OR(C2538&amp;D2538="",N(E2538)=0),"",IF(OR(O2538="?",P2538="?"),"⚠ akun tidak dikenal",IF(C2538=D2538,"⚠ debet = kredit","")))</f>
        <v/>
      </c>
    </row>
    <row r="2539" customFormat="false" ht="15" hidden="false" customHeight="false" outlineLevel="0" collapsed="false">
      <c r="A2539" s="5"/>
      <c r="B2539" s="83"/>
      <c r="C2539" s="5"/>
      <c r="D2539" s="5"/>
      <c r="E2539" s="44"/>
      <c r="F2539" s="5"/>
      <c r="G2539" s="5"/>
      <c r="H2539" s="5"/>
      <c r="I2539" s="5"/>
      <c r="J2539" s="102" t="str">
        <f aca="false">IF(B2539="","",MONTH(B2539))</f>
        <v/>
      </c>
      <c r="K2539" s="102" t="str">
        <f aca="false">IF(B2539="","",YEAR(B2539))</f>
        <v/>
      </c>
      <c r="L2539" s="102" t="str">
        <f aca="false">IF(N(E2539)=0,"",IF(COUNTIFS(AK_NAMA,C2539,AK_KAT,"KAS")+COUNTIFS(AK_NAMA,D2539,AK_KAT,"KAS")&lt;&gt;1,"",IF(COUNTIFS(AK_NAMA,C2539,AK_KAT,"KAS")=1,D2539,C2539)))</f>
        <v/>
      </c>
      <c r="M2539" s="103" t="n">
        <f aca="false">IF(L2539="",0,IF(L2539=D2539,E2539,-E2539))</f>
        <v>0</v>
      </c>
      <c r="N2539" s="102" t="str">
        <f aca="false">IF(L2539="","",IFERROR(INDEX(AK_BARIS,MATCH(L2539,AK_NAMA,0)),"?"))</f>
        <v/>
      </c>
      <c r="O2539" s="102" t="str">
        <f aca="false">IF(C2539="","",IFERROR(INDEX(AK_KEL,MATCH(C2539,AK_NAMA,0)),"?"))</f>
        <v/>
      </c>
      <c r="P2539" s="102" t="str">
        <f aca="false">IF(D2539="","",IFERROR(INDEX(AK_KEL,MATCH(D2539,AK_NAMA,0)),"?"))</f>
        <v/>
      </c>
      <c r="Q2539" s="102" t="n">
        <f aca="false">N(Q2538)+IF(AND(N(E2539)&lt;&gt;0,K2539=TAHUN,N(J2539)&lt;=BLN,OR(C2539=BB_AKUN,D2539=BB_AKUN)),1,0)</f>
        <v>877</v>
      </c>
      <c r="R2539" s="104" t="str">
        <f aca="false">IF(OR(C2539&amp;D2539="",N(E2539)=0),"",IF(OR(O2539="?",P2539="?"),"⚠ akun tidak dikenal",IF(C2539=D2539,"⚠ debet = kredit","")))</f>
        <v/>
      </c>
    </row>
    <row r="2540" customFormat="false" ht="15" hidden="false" customHeight="false" outlineLevel="0" collapsed="false">
      <c r="A2540" s="5"/>
      <c r="B2540" s="83"/>
      <c r="C2540" s="5"/>
      <c r="D2540" s="5"/>
      <c r="E2540" s="44"/>
      <c r="F2540" s="5"/>
      <c r="G2540" s="5"/>
      <c r="H2540" s="5"/>
      <c r="I2540" s="5"/>
      <c r="J2540" s="102" t="str">
        <f aca="false">IF(B2540="","",MONTH(B2540))</f>
        <v/>
      </c>
      <c r="K2540" s="102" t="str">
        <f aca="false">IF(B2540="","",YEAR(B2540))</f>
        <v/>
      </c>
      <c r="L2540" s="102" t="str">
        <f aca="false">IF(N(E2540)=0,"",IF(COUNTIFS(AK_NAMA,C2540,AK_KAT,"KAS")+COUNTIFS(AK_NAMA,D2540,AK_KAT,"KAS")&lt;&gt;1,"",IF(COUNTIFS(AK_NAMA,C2540,AK_KAT,"KAS")=1,D2540,C2540)))</f>
        <v/>
      </c>
      <c r="M2540" s="103" t="n">
        <f aca="false">IF(L2540="",0,IF(L2540=D2540,E2540,-E2540))</f>
        <v>0</v>
      </c>
      <c r="N2540" s="102" t="str">
        <f aca="false">IF(L2540="","",IFERROR(INDEX(AK_BARIS,MATCH(L2540,AK_NAMA,0)),"?"))</f>
        <v/>
      </c>
      <c r="O2540" s="102" t="str">
        <f aca="false">IF(C2540="","",IFERROR(INDEX(AK_KEL,MATCH(C2540,AK_NAMA,0)),"?"))</f>
        <v/>
      </c>
      <c r="P2540" s="102" t="str">
        <f aca="false">IF(D2540="","",IFERROR(INDEX(AK_KEL,MATCH(D2540,AK_NAMA,0)),"?"))</f>
        <v/>
      </c>
      <c r="Q2540" s="102" t="n">
        <f aca="false">N(Q2539)+IF(AND(N(E2540)&lt;&gt;0,K2540=TAHUN,N(J2540)&lt;=BLN,OR(C2540=BB_AKUN,D2540=BB_AKUN)),1,0)</f>
        <v>877</v>
      </c>
      <c r="R2540" s="104" t="str">
        <f aca="false">IF(OR(C2540&amp;D2540="",N(E2540)=0),"",IF(OR(O2540="?",P2540="?"),"⚠ akun tidak dikenal",IF(C2540=D2540,"⚠ debet = kredit","")))</f>
        <v/>
      </c>
    </row>
    <row r="2541" customFormat="false" ht="15" hidden="false" customHeight="false" outlineLevel="0" collapsed="false">
      <c r="A2541" s="5"/>
      <c r="B2541" s="83"/>
      <c r="C2541" s="5"/>
      <c r="D2541" s="5"/>
      <c r="E2541" s="44"/>
      <c r="F2541" s="5"/>
      <c r="G2541" s="5"/>
      <c r="H2541" s="5"/>
      <c r="I2541" s="5"/>
      <c r="J2541" s="102" t="str">
        <f aca="false">IF(B2541="","",MONTH(B2541))</f>
        <v/>
      </c>
      <c r="K2541" s="102" t="str">
        <f aca="false">IF(B2541="","",YEAR(B2541))</f>
        <v/>
      </c>
      <c r="L2541" s="102" t="str">
        <f aca="false">IF(N(E2541)=0,"",IF(COUNTIFS(AK_NAMA,C2541,AK_KAT,"KAS")+COUNTIFS(AK_NAMA,D2541,AK_KAT,"KAS")&lt;&gt;1,"",IF(COUNTIFS(AK_NAMA,C2541,AK_KAT,"KAS")=1,D2541,C2541)))</f>
        <v/>
      </c>
      <c r="M2541" s="103" t="n">
        <f aca="false">IF(L2541="",0,IF(L2541=D2541,E2541,-E2541))</f>
        <v>0</v>
      </c>
      <c r="N2541" s="102" t="str">
        <f aca="false">IF(L2541="","",IFERROR(INDEX(AK_BARIS,MATCH(L2541,AK_NAMA,0)),"?"))</f>
        <v/>
      </c>
      <c r="O2541" s="102" t="str">
        <f aca="false">IF(C2541="","",IFERROR(INDEX(AK_KEL,MATCH(C2541,AK_NAMA,0)),"?"))</f>
        <v/>
      </c>
      <c r="P2541" s="102" t="str">
        <f aca="false">IF(D2541="","",IFERROR(INDEX(AK_KEL,MATCH(D2541,AK_NAMA,0)),"?"))</f>
        <v/>
      </c>
      <c r="Q2541" s="102" t="n">
        <f aca="false">N(Q2540)+IF(AND(N(E2541)&lt;&gt;0,K2541=TAHUN,N(J2541)&lt;=BLN,OR(C2541=BB_AKUN,D2541=BB_AKUN)),1,0)</f>
        <v>877</v>
      </c>
      <c r="R2541" s="104" t="str">
        <f aca="false">IF(OR(C2541&amp;D2541="",N(E2541)=0),"",IF(OR(O2541="?",P2541="?"),"⚠ akun tidak dikenal",IF(C2541=D2541,"⚠ debet = kredit","")))</f>
        <v/>
      </c>
    </row>
    <row r="2542" customFormat="false" ht="15" hidden="false" customHeight="false" outlineLevel="0" collapsed="false">
      <c r="A2542" s="5"/>
      <c r="B2542" s="83"/>
      <c r="C2542" s="5"/>
      <c r="D2542" s="5"/>
      <c r="E2542" s="44"/>
      <c r="F2542" s="5"/>
      <c r="G2542" s="5"/>
      <c r="H2542" s="5"/>
      <c r="I2542" s="5"/>
      <c r="J2542" s="102" t="str">
        <f aca="false">IF(B2542="","",MONTH(B2542))</f>
        <v/>
      </c>
      <c r="K2542" s="102" t="str">
        <f aca="false">IF(B2542="","",YEAR(B2542))</f>
        <v/>
      </c>
      <c r="L2542" s="102" t="str">
        <f aca="false">IF(N(E2542)=0,"",IF(COUNTIFS(AK_NAMA,C2542,AK_KAT,"KAS")+COUNTIFS(AK_NAMA,D2542,AK_KAT,"KAS")&lt;&gt;1,"",IF(COUNTIFS(AK_NAMA,C2542,AK_KAT,"KAS")=1,D2542,C2542)))</f>
        <v/>
      </c>
      <c r="M2542" s="103" t="n">
        <f aca="false">IF(L2542="",0,IF(L2542=D2542,E2542,-E2542))</f>
        <v>0</v>
      </c>
      <c r="N2542" s="102" t="str">
        <f aca="false">IF(L2542="","",IFERROR(INDEX(AK_BARIS,MATCH(L2542,AK_NAMA,0)),"?"))</f>
        <v/>
      </c>
      <c r="O2542" s="102" t="str">
        <f aca="false">IF(C2542="","",IFERROR(INDEX(AK_KEL,MATCH(C2542,AK_NAMA,0)),"?"))</f>
        <v/>
      </c>
      <c r="P2542" s="102" t="str">
        <f aca="false">IF(D2542="","",IFERROR(INDEX(AK_KEL,MATCH(D2542,AK_NAMA,0)),"?"))</f>
        <v/>
      </c>
      <c r="Q2542" s="102" t="n">
        <f aca="false">N(Q2541)+IF(AND(N(E2542)&lt;&gt;0,K2542=TAHUN,N(J2542)&lt;=BLN,OR(C2542=BB_AKUN,D2542=BB_AKUN)),1,0)</f>
        <v>877</v>
      </c>
      <c r="R2542" s="104" t="str">
        <f aca="false">IF(OR(C2542&amp;D2542="",N(E2542)=0),"",IF(OR(O2542="?",P2542="?"),"⚠ akun tidak dikenal",IF(C2542=D2542,"⚠ debet = kredit","")))</f>
        <v/>
      </c>
    </row>
    <row r="2543" customFormat="false" ht="15" hidden="false" customHeight="false" outlineLevel="0" collapsed="false">
      <c r="A2543" s="5"/>
      <c r="B2543" s="83"/>
      <c r="C2543" s="5"/>
      <c r="D2543" s="5"/>
      <c r="E2543" s="44"/>
      <c r="F2543" s="5"/>
      <c r="G2543" s="5"/>
      <c r="H2543" s="5"/>
      <c r="I2543" s="5"/>
      <c r="J2543" s="102" t="str">
        <f aca="false">IF(B2543="","",MONTH(B2543))</f>
        <v/>
      </c>
      <c r="K2543" s="102" t="str">
        <f aca="false">IF(B2543="","",YEAR(B2543))</f>
        <v/>
      </c>
      <c r="L2543" s="102" t="str">
        <f aca="false">IF(N(E2543)=0,"",IF(COUNTIFS(AK_NAMA,C2543,AK_KAT,"KAS")+COUNTIFS(AK_NAMA,D2543,AK_KAT,"KAS")&lt;&gt;1,"",IF(COUNTIFS(AK_NAMA,C2543,AK_KAT,"KAS")=1,D2543,C2543)))</f>
        <v/>
      </c>
      <c r="M2543" s="103" t="n">
        <f aca="false">IF(L2543="",0,IF(L2543=D2543,E2543,-E2543))</f>
        <v>0</v>
      </c>
      <c r="N2543" s="102" t="str">
        <f aca="false">IF(L2543="","",IFERROR(INDEX(AK_BARIS,MATCH(L2543,AK_NAMA,0)),"?"))</f>
        <v/>
      </c>
      <c r="O2543" s="102" t="str">
        <f aca="false">IF(C2543="","",IFERROR(INDEX(AK_KEL,MATCH(C2543,AK_NAMA,0)),"?"))</f>
        <v/>
      </c>
      <c r="P2543" s="102" t="str">
        <f aca="false">IF(D2543="","",IFERROR(INDEX(AK_KEL,MATCH(D2543,AK_NAMA,0)),"?"))</f>
        <v/>
      </c>
      <c r="Q2543" s="102" t="n">
        <f aca="false">N(Q2542)+IF(AND(N(E2543)&lt;&gt;0,K2543=TAHUN,N(J2543)&lt;=BLN,OR(C2543=BB_AKUN,D2543=BB_AKUN)),1,0)</f>
        <v>877</v>
      </c>
      <c r="R2543" s="104" t="str">
        <f aca="false">IF(OR(C2543&amp;D2543="",N(E2543)=0),"",IF(OR(O2543="?",P2543="?"),"⚠ akun tidak dikenal",IF(C2543=D2543,"⚠ debet = kredit","")))</f>
        <v/>
      </c>
    </row>
    <row r="2544" customFormat="false" ht="15" hidden="false" customHeight="false" outlineLevel="0" collapsed="false">
      <c r="A2544" s="5"/>
      <c r="B2544" s="83"/>
      <c r="C2544" s="5"/>
      <c r="D2544" s="5"/>
      <c r="E2544" s="44"/>
      <c r="F2544" s="5"/>
      <c r="G2544" s="5"/>
      <c r="H2544" s="5"/>
      <c r="I2544" s="5"/>
      <c r="J2544" s="102" t="str">
        <f aca="false">IF(B2544="","",MONTH(B2544))</f>
        <v/>
      </c>
      <c r="K2544" s="102" t="str">
        <f aca="false">IF(B2544="","",YEAR(B2544))</f>
        <v/>
      </c>
      <c r="L2544" s="102" t="str">
        <f aca="false">IF(N(E2544)=0,"",IF(COUNTIFS(AK_NAMA,C2544,AK_KAT,"KAS")+COUNTIFS(AK_NAMA,D2544,AK_KAT,"KAS")&lt;&gt;1,"",IF(COUNTIFS(AK_NAMA,C2544,AK_KAT,"KAS")=1,D2544,C2544)))</f>
        <v/>
      </c>
      <c r="M2544" s="103" t="n">
        <f aca="false">IF(L2544="",0,IF(L2544=D2544,E2544,-E2544))</f>
        <v>0</v>
      </c>
      <c r="N2544" s="102" t="str">
        <f aca="false">IF(L2544="","",IFERROR(INDEX(AK_BARIS,MATCH(L2544,AK_NAMA,0)),"?"))</f>
        <v/>
      </c>
      <c r="O2544" s="102" t="str">
        <f aca="false">IF(C2544="","",IFERROR(INDEX(AK_KEL,MATCH(C2544,AK_NAMA,0)),"?"))</f>
        <v/>
      </c>
      <c r="P2544" s="102" t="str">
        <f aca="false">IF(D2544="","",IFERROR(INDEX(AK_KEL,MATCH(D2544,AK_NAMA,0)),"?"))</f>
        <v/>
      </c>
      <c r="Q2544" s="102" t="n">
        <f aca="false">N(Q2543)+IF(AND(N(E2544)&lt;&gt;0,K2544=TAHUN,N(J2544)&lt;=BLN,OR(C2544=BB_AKUN,D2544=BB_AKUN)),1,0)</f>
        <v>877</v>
      </c>
      <c r="R2544" s="104" t="str">
        <f aca="false">IF(OR(C2544&amp;D2544="",N(E2544)=0),"",IF(OR(O2544="?",P2544="?"),"⚠ akun tidak dikenal",IF(C2544=D2544,"⚠ debet = kredit","")))</f>
        <v/>
      </c>
    </row>
    <row r="2545" customFormat="false" ht="15" hidden="false" customHeight="false" outlineLevel="0" collapsed="false">
      <c r="A2545" s="5"/>
      <c r="B2545" s="83"/>
      <c r="C2545" s="5"/>
      <c r="D2545" s="5"/>
      <c r="E2545" s="44"/>
      <c r="F2545" s="5"/>
      <c r="G2545" s="5"/>
      <c r="H2545" s="5"/>
      <c r="I2545" s="5"/>
      <c r="J2545" s="102" t="str">
        <f aca="false">IF(B2545="","",MONTH(B2545))</f>
        <v/>
      </c>
      <c r="K2545" s="102" t="str">
        <f aca="false">IF(B2545="","",YEAR(B2545))</f>
        <v/>
      </c>
      <c r="L2545" s="102" t="str">
        <f aca="false">IF(N(E2545)=0,"",IF(COUNTIFS(AK_NAMA,C2545,AK_KAT,"KAS")+COUNTIFS(AK_NAMA,D2545,AK_KAT,"KAS")&lt;&gt;1,"",IF(COUNTIFS(AK_NAMA,C2545,AK_KAT,"KAS")=1,D2545,C2545)))</f>
        <v/>
      </c>
      <c r="M2545" s="103" t="n">
        <f aca="false">IF(L2545="",0,IF(L2545=D2545,E2545,-E2545))</f>
        <v>0</v>
      </c>
      <c r="N2545" s="102" t="str">
        <f aca="false">IF(L2545="","",IFERROR(INDEX(AK_BARIS,MATCH(L2545,AK_NAMA,0)),"?"))</f>
        <v/>
      </c>
      <c r="O2545" s="102" t="str">
        <f aca="false">IF(C2545="","",IFERROR(INDEX(AK_KEL,MATCH(C2545,AK_NAMA,0)),"?"))</f>
        <v/>
      </c>
      <c r="P2545" s="102" t="str">
        <f aca="false">IF(D2545="","",IFERROR(INDEX(AK_KEL,MATCH(D2545,AK_NAMA,0)),"?"))</f>
        <v/>
      </c>
      <c r="Q2545" s="102" t="n">
        <f aca="false">N(Q2544)+IF(AND(N(E2545)&lt;&gt;0,K2545=TAHUN,N(J2545)&lt;=BLN,OR(C2545=BB_AKUN,D2545=BB_AKUN)),1,0)</f>
        <v>877</v>
      </c>
      <c r="R2545" s="104" t="str">
        <f aca="false">IF(OR(C2545&amp;D2545="",N(E2545)=0),"",IF(OR(O2545="?",P2545="?"),"⚠ akun tidak dikenal",IF(C2545=D2545,"⚠ debet = kredit","")))</f>
        <v/>
      </c>
    </row>
    <row r="2546" customFormat="false" ht="15" hidden="false" customHeight="false" outlineLevel="0" collapsed="false">
      <c r="A2546" s="5"/>
      <c r="B2546" s="83"/>
      <c r="C2546" s="5"/>
      <c r="D2546" s="5"/>
      <c r="E2546" s="44"/>
      <c r="F2546" s="5"/>
      <c r="G2546" s="5"/>
      <c r="H2546" s="5"/>
      <c r="I2546" s="5"/>
      <c r="J2546" s="102" t="str">
        <f aca="false">IF(B2546="","",MONTH(B2546))</f>
        <v/>
      </c>
      <c r="K2546" s="102" t="str">
        <f aca="false">IF(B2546="","",YEAR(B2546))</f>
        <v/>
      </c>
      <c r="L2546" s="102" t="str">
        <f aca="false">IF(N(E2546)=0,"",IF(COUNTIFS(AK_NAMA,C2546,AK_KAT,"KAS")+COUNTIFS(AK_NAMA,D2546,AK_KAT,"KAS")&lt;&gt;1,"",IF(COUNTIFS(AK_NAMA,C2546,AK_KAT,"KAS")=1,D2546,C2546)))</f>
        <v/>
      </c>
      <c r="M2546" s="103" t="n">
        <f aca="false">IF(L2546="",0,IF(L2546=D2546,E2546,-E2546))</f>
        <v>0</v>
      </c>
      <c r="N2546" s="102" t="str">
        <f aca="false">IF(L2546="","",IFERROR(INDEX(AK_BARIS,MATCH(L2546,AK_NAMA,0)),"?"))</f>
        <v/>
      </c>
      <c r="O2546" s="102" t="str">
        <f aca="false">IF(C2546="","",IFERROR(INDEX(AK_KEL,MATCH(C2546,AK_NAMA,0)),"?"))</f>
        <v/>
      </c>
      <c r="P2546" s="102" t="str">
        <f aca="false">IF(D2546="","",IFERROR(INDEX(AK_KEL,MATCH(D2546,AK_NAMA,0)),"?"))</f>
        <v/>
      </c>
      <c r="Q2546" s="102" t="n">
        <f aca="false">N(Q2545)+IF(AND(N(E2546)&lt;&gt;0,K2546=TAHUN,N(J2546)&lt;=BLN,OR(C2546=BB_AKUN,D2546=BB_AKUN)),1,0)</f>
        <v>877</v>
      </c>
      <c r="R2546" s="104" t="str">
        <f aca="false">IF(OR(C2546&amp;D2546="",N(E2546)=0),"",IF(OR(O2546="?",P2546="?"),"⚠ akun tidak dikenal",IF(C2546=D2546,"⚠ debet = kredit","")))</f>
        <v/>
      </c>
    </row>
    <row r="2547" customFormat="false" ht="15" hidden="false" customHeight="false" outlineLevel="0" collapsed="false">
      <c r="A2547" s="5"/>
      <c r="B2547" s="83"/>
      <c r="C2547" s="5"/>
      <c r="D2547" s="5"/>
      <c r="E2547" s="44"/>
      <c r="F2547" s="5"/>
      <c r="G2547" s="5"/>
      <c r="H2547" s="5"/>
      <c r="I2547" s="5"/>
      <c r="J2547" s="102" t="str">
        <f aca="false">IF(B2547="","",MONTH(B2547))</f>
        <v/>
      </c>
      <c r="K2547" s="102" t="str">
        <f aca="false">IF(B2547="","",YEAR(B2547))</f>
        <v/>
      </c>
      <c r="L2547" s="102" t="str">
        <f aca="false">IF(N(E2547)=0,"",IF(COUNTIFS(AK_NAMA,C2547,AK_KAT,"KAS")+COUNTIFS(AK_NAMA,D2547,AK_KAT,"KAS")&lt;&gt;1,"",IF(COUNTIFS(AK_NAMA,C2547,AK_KAT,"KAS")=1,D2547,C2547)))</f>
        <v/>
      </c>
      <c r="M2547" s="103" t="n">
        <f aca="false">IF(L2547="",0,IF(L2547=D2547,E2547,-E2547))</f>
        <v>0</v>
      </c>
      <c r="N2547" s="102" t="str">
        <f aca="false">IF(L2547="","",IFERROR(INDEX(AK_BARIS,MATCH(L2547,AK_NAMA,0)),"?"))</f>
        <v/>
      </c>
      <c r="O2547" s="102" t="str">
        <f aca="false">IF(C2547="","",IFERROR(INDEX(AK_KEL,MATCH(C2547,AK_NAMA,0)),"?"))</f>
        <v/>
      </c>
      <c r="P2547" s="102" t="str">
        <f aca="false">IF(D2547="","",IFERROR(INDEX(AK_KEL,MATCH(D2547,AK_NAMA,0)),"?"))</f>
        <v/>
      </c>
      <c r="Q2547" s="102" t="n">
        <f aca="false">N(Q2546)+IF(AND(N(E2547)&lt;&gt;0,K2547=TAHUN,N(J2547)&lt;=BLN,OR(C2547=BB_AKUN,D2547=BB_AKUN)),1,0)</f>
        <v>877</v>
      </c>
      <c r="R2547" s="104" t="str">
        <f aca="false">IF(OR(C2547&amp;D2547="",N(E2547)=0),"",IF(OR(O2547="?",P2547="?"),"⚠ akun tidak dikenal",IF(C2547=D2547,"⚠ debet = kredit","")))</f>
        <v/>
      </c>
    </row>
    <row r="2548" customFormat="false" ht="15" hidden="false" customHeight="false" outlineLevel="0" collapsed="false">
      <c r="A2548" s="5"/>
      <c r="B2548" s="83"/>
      <c r="C2548" s="5"/>
      <c r="D2548" s="5"/>
      <c r="E2548" s="44"/>
      <c r="F2548" s="5"/>
      <c r="G2548" s="5"/>
      <c r="H2548" s="5"/>
      <c r="I2548" s="5"/>
      <c r="J2548" s="102" t="str">
        <f aca="false">IF(B2548="","",MONTH(B2548))</f>
        <v/>
      </c>
      <c r="K2548" s="102" t="str">
        <f aca="false">IF(B2548="","",YEAR(B2548))</f>
        <v/>
      </c>
      <c r="L2548" s="102" t="str">
        <f aca="false">IF(N(E2548)=0,"",IF(COUNTIFS(AK_NAMA,C2548,AK_KAT,"KAS")+COUNTIFS(AK_NAMA,D2548,AK_KAT,"KAS")&lt;&gt;1,"",IF(COUNTIFS(AK_NAMA,C2548,AK_KAT,"KAS")=1,D2548,C2548)))</f>
        <v/>
      </c>
      <c r="M2548" s="103" t="n">
        <f aca="false">IF(L2548="",0,IF(L2548=D2548,E2548,-E2548))</f>
        <v>0</v>
      </c>
      <c r="N2548" s="102" t="str">
        <f aca="false">IF(L2548="","",IFERROR(INDEX(AK_BARIS,MATCH(L2548,AK_NAMA,0)),"?"))</f>
        <v/>
      </c>
      <c r="O2548" s="102" t="str">
        <f aca="false">IF(C2548="","",IFERROR(INDEX(AK_KEL,MATCH(C2548,AK_NAMA,0)),"?"))</f>
        <v/>
      </c>
      <c r="P2548" s="102" t="str">
        <f aca="false">IF(D2548="","",IFERROR(INDEX(AK_KEL,MATCH(D2548,AK_NAMA,0)),"?"))</f>
        <v/>
      </c>
      <c r="Q2548" s="102" t="n">
        <f aca="false">N(Q2547)+IF(AND(N(E2548)&lt;&gt;0,K2548=TAHUN,N(J2548)&lt;=BLN,OR(C2548=BB_AKUN,D2548=BB_AKUN)),1,0)</f>
        <v>877</v>
      </c>
      <c r="R2548" s="104" t="str">
        <f aca="false">IF(OR(C2548&amp;D2548="",N(E2548)=0),"",IF(OR(O2548="?",P2548="?"),"⚠ akun tidak dikenal",IF(C2548=D2548,"⚠ debet = kredit","")))</f>
        <v/>
      </c>
    </row>
    <row r="2549" customFormat="false" ht="15" hidden="false" customHeight="false" outlineLevel="0" collapsed="false">
      <c r="A2549" s="5"/>
      <c r="B2549" s="83"/>
      <c r="C2549" s="5"/>
      <c r="D2549" s="5"/>
      <c r="E2549" s="44"/>
      <c r="F2549" s="5"/>
      <c r="G2549" s="5"/>
      <c r="H2549" s="5"/>
      <c r="I2549" s="5"/>
      <c r="J2549" s="102" t="str">
        <f aca="false">IF(B2549="","",MONTH(B2549))</f>
        <v/>
      </c>
      <c r="K2549" s="102" t="str">
        <f aca="false">IF(B2549="","",YEAR(B2549))</f>
        <v/>
      </c>
      <c r="L2549" s="102" t="str">
        <f aca="false">IF(N(E2549)=0,"",IF(COUNTIFS(AK_NAMA,C2549,AK_KAT,"KAS")+COUNTIFS(AK_NAMA,D2549,AK_KAT,"KAS")&lt;&gt;1,"",IF(COUNTIFS(AK_NAMA,C2549,AK_KAT,"KAS")=1,D2549,C2549)))</f>
        <v/>
      </c>
      <c r="M2549" s="103" t="n">
        <f aca="false">IF(L2549="",0,IF(L2549=D2549,E2549,-E2549))</f>
        <v>0</v>
      </c>
      <c r="N2549" s="102" t="str">
        <f aca="false">IF(L2549="","",IFERROR(INDEX(AK_BARIS,MATCH(L2549,AK_NAMA,0)),"?"))</f>
        <v/>
      </c>
      <c r="O2549" s="102" t="str">
        <f aca="false">IF(C2549="","",IFERROR(INDEX(AK_KEL,MATCH(C2549,AK_NAMA,0)),"?"))</f>
        <v/>
      </c>
      <c r="P2549" s="102" t="str">
        <f aca="false">IF(D2549="","",IFERROR(INDEX(AK_KEL,MATCH(D2549,AK_NAMA,0)),"?"))</f>
        <v/>
      </c>
      <c r="Q2549" s="102" t="n">
        <f aca="false">N(Q2548)+IF(AND(N(E2549)&lt;&gt;0,K2549=TAHUN,N(J2549)&lt;=BLN,OR(C2549=BB_AKUN,D2549=BB_AKUN)),1,0)</f>
        <v>877</v>
      </c>
      <c r="R2549" s="104" t="str">
        <f aca="false">IF(OR(C2549&amp;D2549="",N(E2549)=0),"",IF(OR(O2549="?",P2549="?"),"⚠ akun tidak dikenal",IF(C2549=D2549,"⚠ debet = kredit","")))</f>
        <v/>
      </c>
    </row>
    <row r="2550" customFormat="false" ht="15" hidden="false" customHeight="false" outlineLevel="0" collapsed="false">
      <c r="A2550" s="5"/>
      <c r="B2550" s="83"/>
      <c r="C2550" s="5"/>
      <c r="D2550" s="5"/>
      <c r="E2550" s="44"/>
      <c r="F2550" s="5"/>
      <c r="G2550" s="5"/>
      <c r="H2550" s="5"/>
      <c r="I2550" s="5"/>
      <c r="J2550" s="102" t="str">
        <f aca="false">IF(B2550="","",MONTH(B2550))</f>
        <v/>
      </c>
      <c r="K2550" s="102" t="str">
        <f aca="false">IF(B2550="","",YEAR(B2550))</f>
        <v/>
      </c>
      <c r="L2550" s="102" t="str">
        <f aca="false">IF(N(E2550)=0,"",IF(COUNTIFS(AK_NAMA,C2550,AK_KAT,"KAS")+COUNTIFS(AK_NAMA,D2550,AK_KAT,"KAS")&lt;&gt;1,"",IF(COUNTIFS(AK_NAMA,C2550,AK_KAT,"KAS")=1,D2550,C2550)))</f>
        <v/>
      </c>
      <c r="M2550" s="103" t="n">
        <f aca="false">IF(L2550="",0,IF(L2550=D2550,E2550,-E2550))</f>
        <v>0</v>
      </c>
      <c r="N2550" s="102" t="str">
        <f aca="false">IF(L2550="","",IFERROR(INDEX(AK_BARIS,MATCH(L2550,AK_NAMA,0)),"?"))</f>
        <v/>
      </c>
      <c r="O2550" s="102" t="str">
        <f aca="false">IF(C2550="","",IFERROR(INDEX(AK_KEL,MATCH(C2550,AK_NAMA,0)),"?"))</f>
        <v/>
      </c>
      <c r="P2550" s="102" t="str">
        <f aca="false">IF(D2550="","",IFERROR(INDEX(AK_KEL,MATCH(D2550,AK_NAMA,0)),"?"))</f>
        <v/>
      </c>
      <c r="Q2550" s="102" t="n">
        <f aca="false">N(Q2549)+IF(AND(N(E2550)&lt;&gt;0,K2550=TAHUN,N(J2550)&lt;=BLN,OR(C2550=BB_AKUN,D2550=BB_AKUN)),1,0)</f>
        <v>877</v>
      </c>
      <c r="R2550" s="104" t="str">
        <f aca="false">IF(OR(C2550&amp;D2550="",N(E2550)=0),"",IF(OR(O2550="?",P2550="?"),"⚠ akun tidak dikenal",IF(C2550=D2550,"⚠ debet = kredit","")))</f>
        <v/>
      </c>
    </row>
    <row r="2551" customFormat="false" ht="15" hidden="false" customHeight="false" outlineLevel="0" collapsed="false">
      <c r="A2551" s="5"/>
      <c r="B2551" s="83"/>
      <c r="C2551" s="5"/>
      <c r="D2551" s="5"/>
      <c r="E2551" s="44"/>
      <c r="F2551" s="5"/>
      <c r="G2551" s="5"/>
      <c r="H2551" s="5"/>
      <c r="I2551" s="5"/>
      <c r="J2551" s="102" t="str">
        <f aca="false">IF(B2551="","",MONTH(B2551))</f>
        <v/>
      </c>
      <c r="K2551" s="102" t="str">
        <f aca="false">IF(B2551="","",YEAR(B2551))</f>
        <v/>
      </c>
      <c r="L2551" s="102" t="str">
        <f aca="false">IF(N(E2551)=0,"",IF(COUNTIFS(AK_NAMA,C2551,AK_KAT,"KAS")+COUNTIFS(AK_NAMA,D2551,AK_KAT,"KAS")&lt;&gt;1,"",IF(COUNTIFS(AK_NAMA,C2551,AK_KAT,"KAS")=1,D2551,C2551)))</f>
        <v/>
      </c>
      <c r="M2551" s="103" t="n">
        <f aca="false">IF(L2551="",0,IF(L2551=D2551,E2551,-E2551))</f>
        <v>0</v>
      </c>
      <c r="N2551" s="102" t="str">
        <f aca="false">IF(L2551="","",IFERROR(INDEX(AK_BARIS,MATCH(L2551,AK_NAMA,0)),"?"))</f>
        <v/>
      </c>
      <c r="O2551" s="102" t="str">
        <f aca="false">IF(C2551="","",IFERROR(INDEX(AK_KEL,MATCH(C2551,AK_NAMA,0)),"?"))</f>
        <v/>
      </c>
      <c r="P2551" s="102" t="str">
        <f aca="false">IF(D2551="","",IFERROR(INDEX(AK_KEL,MATCH(D2551,AK_NAMA,0)),"?"))</f>
        <v/>
      </c>
      <c r="Q2551" s="102" t="n">
        <f aca="false">N(Q2550)+IF(AND(N(E2551)&lt;&gt;0,K2551=TAHUN,N(J2551)&lt;=BLN,OR(C2551=BB_AKUN,D2551=BB_AKUN)),1,0)</f>
        <v>877</v>
      </c>
      <c r="R2551" s="104" t="str">
        <f aca="false">IF(OR(C2551&amp;D2551="",N(E2551)=0),"",IF(OR(O2551="?",P2551="?"),"⚠ akun tidak dikenal",IF(C2551=D2551,"⚠ debet = kredit","")))</f>
        <v/>
      </c>
    </row>
    <row r="2552" customFormat="false" ht="15" hidden="false" customHeight="false" outlineLevel="0" collapsed="false">
      <c r="A2552" s="5"/>
      <c r="B2552" s="83"/>
      <c r="C2552" s="5"/>
      <c r="D2552" s="5"/>
      <c r="E2552" s="44"/>
      <c r="F2552" s="5"/>
      <c r="G2552" s="5"/>
      <c r="H2552" s="5"/>
      <c r="I2552" s="5"/>
      <c r="J2552" s="102" t="str">
        <f aca="false">IF(B2552="","",MONTH(B2552))</f>
        <v/>
      </c>
      <c r="K2552" s="102" t="str">
        <f aca="false">IF(B2552="","",YEAR(B2552))</f>
        <v/>
      </c>
      <c r="L2552" s="102" t="str">
        <f aca="false">IF(N(E2552)=0,"",IF(COUNTIFS(AK_NAMA,C2552,AK_KAT,"KAS")+COUNTIFS(AK_NAMA,D2552,AK_KAT,"KAS")&lt;&gt;1,"",IF(COUNTIFS(AK_NAMA,C2552,AK_KAT,"KAS")=1,D2552,C2552)))</f>
        <v/>
      </c>
      <c r="M2552" s="103" t="n">
        <f aca="false">IF(L2552="",0,IF(L2552=D2552,E2552,-E2552))</f>
        <v>0</v>
      </c>
      <c r="N2552" s="102" t="str">
        <f aca="false">IF(L2552="","",IFERROR(INDEX(AK_BARIS,MATCH(L2552,AK_NAMA,0)),"?"))</f>
        <v/>
      </c>
      <c r="O2552" s="102" t="str">
        <f aca="false">IF(C2552="","",IFERROR(INDEX(AK_KEL,MATCH(C2552,AK_NAMA,0)),"?"))</f>
        <v/>
      </c>
      <c r="P2552" s="102" t="str">
        <f aca="false">IF(D2552="","",IFERROR(INDEX(AK_KEL,MATCH(D2552,AK_NAMA,0)),"?"))</f>
        <v/>
      </c>
      <c r="Q2552" s="102" t="n">
        <f aca="false">N(Q2551)+IF(AND(N(E2552)&lt;&gt;0,K2552=TAHUN,N(J2552)&lt;=BLN,OR(C2552=BB_AKUN,D2552=BB_AKUN)),1,0)</f>
        <v>877</v>
      </c>
      <c r="R2552" s="104" t="str">
        <f aca="false">IF(OR(C2552&amp;D2552="",N(E2552)=0),"",IF(OR(O2552="?",P2552="?"),"⚠ akun tidak dikenal",IF(C2552=D2552,"⚠ debet = kredit","")))</f>
        <v/>
      </c>
    </row>
    <row r="2553" customFormat="false" ht="15" hidden="false" customHeight="false" outlineLevel="0" collapsed="false">
      <c r="A2553" s="5"/>
      <c r="B2553" s="83"/>
      <c r="C2553" s="5"/>
      <c r="D2553" s="5"/>
      <c r="E2553" s="44"/>
      <c r="F2553" s="5"/>
      <c r="G2553" s="5"/>
      <c r="H2553" s="5"/>
      <c r="I2553" s="5"/>
      <c r="J2553" s="102" t="str">
        <f aca="false">IF(B2553="","",MONTH(B2553))</f>
        <v/>
      </c>
      <c r="K2553" s="102" t="str">
        <f aca="false">IF(B2553="","",YEAR(B2553))</f>
        <v/>
      </c>
      <c r="L2553" s="102" t="str">
        <f aca="false">IF(N(E2553)=0,"",IF(COUNTIFS(AK_NAMA,C2553,AK_KAT,"KAS")+COUNTIFS(AK_NAMA,D2553,AK_KAT,"KAS")&lt;&gt;1,"",IF(COUNTIFS(AK_NAMA,C2553,AK_KAT,"KAS")=1,D2553,C2553)))</f>
        <v/>
      </c>
      <c r="M2553" s="103" t="n">
        <f aca="false">IF(L2553="",0,IF(L2553=D2553,E2553,-E2553))</f>
        <v>0</v>
      </c>
      <c r="N2553" s="102" t="str">
        <f aca="false">IF(L2553="","",IFERROR(INDEX(AK_BARIS,MATCH(L2553,AK_NAMA,0)),"?"))</f>
        <v/>
      </c>
      <c r="O2553" s="102" t="str">
        <f aca="false">IF(C2553="","",IFERROR(INDEX(AK_KEL,MATCH(C2553,AK_NAMA,0)),"?"))</f>
        <v/>
      </c>
      <c r="P2553" s="102" t="str">
        <f aca="false">IF(D2553="","",IFERROR(INDEX(AK_KEL,MATCH(D2553,AK_NAMA,0)),"?"))</f>
        <v/>
      </c>
      <c r="Q2553" s="102" t="n">
        <f aca="false">N(Q2552)+IF(AND(N(E2553)&lt;&gt;0,K2553=TAHUN,N(J2553)&lt;=BLN,OR(C2553=BB_AKUN,D2553=BB_AKUN)),1,0)</f>
        <v>877</v>
      </c>
      <c r="R2553" s="104" t="str">
        <f aca="false">IF(OR(C2553&amp;D2553="",N(E2553)=0),"",IF(OR(O2553="?",P2553="?"),"⚠ akun tidak dikenal",IF(C2553=D2553,"⚠ debet = kredit","")))</f>
        <v/>
      </c>
    </row>
    <row r="2554" customFormat="false" ht="15" hidden="false" customHeight="false" outlineLevel="0" collapsed="false">
      <c r="A2554" s="5"/>
      <c r="B2554" s="83"/>
      <c r="C2554" s="5"/>
      <c r="D2554" s="5"/>
      <c r="E2554" s="44"/>
      <c r="F2554" s="5"/>
      <c r="G2554" s="5"/>
      <c r="H2554" s="5"/>
      <c r="I2554" s="5"/>
      <c r="J2554" s="102" t="str">
        <f aca="false">IF(B2554="","",MONTH(B2554))</f>
        <v/>
      </c>
      <c r="K2554" s="102" t="str">
        <f aca="false">IF(B2554="","",YEAR(B2554))</f>
        <v/>
      </c>
      <c r="L2554" s="102" t="str">
        <f aca="false">IF(N(E2554)=0,"",IF(COUNTIFS(AK_NAMA,C2554,AK_KAT,"KAS")+COUNTIFS(AK_NAMA,D2554,AK_KAT,"KAS")&lt;&gt;1,"",IF(COUNTIFS(AK_NAMA,C2554,AK_KAT,"KAS")=1,D2554,C2554)))</f>
        <v/>
      </c>
      <c r="M2554" s="103" t="n">
        <f aca="false">IF(L2554="",0,IF(L2554=D2554,E2554,-E2554))</f>
        <v>0</v>
      </c>
      <c r="N2554" s="102" t="str">
        <f aca="false">IF(L2554="","",IFERROR(INDEX(AK_BARIS,MATCH(L2554,AK_NAMA,0)),"?"))</f>
        <v/>
      </c>
      <c r="O2554" s="102" t="str">
        <f aca="false">IF(C2554="","",IFERROR(INDEX(AK_KEL,MATCH(C2554,AK_NAMA,0)),"?"))</f>
        <v/>
      </c>
      <c r="P2554" s="102" t="str">
        <f aca="false">IF(D2554="","",IFERROR(INDEX(AK_KEL,MATCH(D2554,AK_NAMA,0)),"?"))</f>
        <v/>
      </c>
      <c r="Q2554" s="102" t="n">
        <f aca="false">N(Q2553)+IF(AND(N(E2554)&lt;&gt;0,K2554=TAHUN,N(J2554)&lt;=BLN,OR(C2554=BB_AKUN,D2554=BB_AKUN)),1,0)</f>
        <v>877</v>
      </c>
      <c r="R2554" s="104" t="str">
        <f aca="false">IF(OR(C2554&amp;D2554="",N(E2554)=0),"",IF(OR(O2554="?",P2554="?"),"⚠ akun tidak dikenal",IF(C2554=D2554,"⚠ debet = kredit","")))</f>
        <v/>
      </c>
    </row>
    <row r="2555" customFormat="false" ht="15" hidden="false" customHeight="false" outlineLevel="0" collapsed="false">
      <c r="A2555" s="5"/>
      <c r="B2555" s="83"/>
      <c r="C2555" s="5"/>
      <c r="D2555" s="5"/>
      <c r="E2555" s="44"/>
      <c r="F2555" s="5"/>
      <c r="G2555" s="5"/>
      <c r="H2555" s="5"/>
      <c r="I2555" s="5"/>
      <c r="J2555" s="102" t="str">
        <f aca="false">IF(B2555="","",MONTH(B2555))</f>
        <v/>
      </c>
      <c r="K2555" s="102" t="str">
        <f aca="false">IF(B2555="","",YEAR(B2555))</f>
        <v/>
      </c>
      <c r="L2555" s="102" t="str">
        <f aca="false">IF(N(E2555)=0,"",IF(COUNTIFS(AK_NAMA,C2555,AK_KAT,"KAS")+COUNTIFS(AK_NAMA,D2555,AK_KAT,"KAS")&lt;&gt;1,"",IF(COUNTIFS(AK_NAMA,C2555,AK_KAT,"KAS")=1,D2555,C2555)))</f>
        <v/>
      </c>
      <c r="M2555" s="103" t="n">
        <f aca="false">IF(L2555="",0,IF(L2555=D2555,E2555,-E2555))</f>
        <v>0</v>
      </c>
      <c r="N2555" s="102" t="str">
        <f aca="false">IF(L2555="","",IFERROR(INDEX(AK_BARIS,MATCH(L2555,AK_NAMA,0)),"?"))</f>
        <v/>
      </c>
      <c r="O2555" s="102" t="str">
        <f aca="false">IF(C2555="","",IFERROR(INDEX(AK_KEL,MATCH(C2555,AK_NAMA,0)),"?"))</f>
        <v/>
      </c>
      <c r="P2555" s="102" t="str">
        <f aca="false">IF(D2555="","",IFERROR(INDEX(AK_KEL,MATCH(D2555,AK_NAMA,0)),"?"))</f>
        <v/>
      </c>
      <c r="Q2555" s="102" t="n">
        <f aca="false">N(Q2554)+IF(AND(N(E2555)&lt;&gt;0,K2555=TAHUN,N(J2555)&lt;=BLN,OR(C2555=BB_AKUN,D2555=BB_AKUN)),1,0)</f>
        <v>877</v>
      </c>
      <c r="R2555" s="104" t="str">
        <f aca="false">IF(OR(C2555&amp;D2555="",N(E2555)=0),"",IF(OR(O2555="?",P2555="?"),"⚠ akun tidak dikenal",IF(C2555=D2555,"⚠ debet = kredit","")))</f>
        <v/>
      </c>
    </row>
    <row r="2556" customFormat="false" ht="15" hidden="false" customHeight="false" outlineLevel="0" collapsed="false">
      <c r="A2556" s="5"/>
      <c r="B2556" s="83"/>
      <c r="C2556" s="5"/>
      <c r="D2556" s="5"/>
      <c r="E2556" s="44"/>
      <c r="F2556" s="5"/>
      <c r="G2556" s="5"/>
      <c r="H2556" s="5"/>
      <c r="I2556" s="5"/>
      <c r="J2556" s="102" t="str">
        <f aca="false">IF(B2556="","",MONTH(B2556))</f>
        <v/>
      </c>
      <c r="K2556" s="102" t="str">
        <f aca="false">IF(B2556="","",YEAR(B2556))</f>
        <v/>
      </c>
      <c r="L2556" s="102" t="str">
        <f aca="false">IF(N(E2556)=0,"",IF(COUNTIFS(AK_NAMA,C2556,AK_KAT,"KAS")+COUNTIFS(AK_NAMA,D2556,AK_KAT,"KAS")&lt;&gt;1,"",IF(COUNTIFS(AK_NAMA,C2556,AK_KAT,"KAS")=1,D2556,C2556)))</f>
        <v/>
      </c>
      <c r="M2556" s="103" t="n">
        <f aca="false">IF(L2556="",0,IF(L2556=D2556,E2556,-E2556))</f>
        <v>0</v>
      </c>
      <c r="N2556" s="102" t="str">
        <f aca="false">IF(L2556="","",IFERROR(INDEX(AK_BARIS,MATCH(L2556,AK_NAMA,0)),"?"))</f>
        <v/>
      </c>
      <c r="O2556" s="102" t="str">
        <f aca="false">IF(C2556="","",IFERROR(INDEX(AK_KEL,MATCH(C2556,AK_NAMA,0)),"?"))</f>
        <v/>
      </c>
      <c r="P2556" s="102" t="str">
        <f aca="false">IF(D2556="","",IFERROR(INDEX(AK_KEL,MATCH(D2556,AK_NAMA,0)),"?"))</f>
        <v/>
      </c>
      <c r="Q2556" s="102" t="n">
        <f aca="false">N(Q2555)+IF(AND(N(E2556)&lt;&gt;0,K2556=TAHUN,N(J2556)&lt;=BLN,OR(C2556=BB_AKUN,D2556=BB_AKUN)),1,0)</f>
        <v>877</v>
      </c>
      <c r="R2556" s="104" t="str">
        <f aca="false">IF(OR(C2556&amp;D2556="",N(E2556)=0),"",IF(OR(O2556="?",P2556="?"),"⚠ akun tidak dikenal",IF(C2556=D2556,"⚠ debet = kredit","")))</f>
        <v/>
      </c>
    </row>
    <row r="2557" customFormat="false" ht="15" hidden="false" customHeight="false" outlineLevel="0" collapsed="false">
      <c r="A2557" s="5"/>
      <c r="B2557" s="83"/>
      <c r="C2557" s="5"/>
      <c r="D2557" s="5"/>
      <c r="E2557" s="44"/>
      <c r="F2557" s="5"/>
      <c r="G2557" s="5"/>
      <c r="H2557" s="5"/>
      <c r="I2557" s="5"/>
      <c r="J2557" s="102" t="str">
        <f aca="false">IF(B2557="","",MONTH(B2557))</f>
        <v/>
      </c>
      <c r="K2557" s="102" t="str">
        <f aca="false">IF(B2557="","",YEAR(B2557))</f>
        <v/>
      </c>
      <c r="L2557" s="102" t="str">
        <f aca="false">IF(N(E2557)=0,"",IF(COUNTIFS(AK_NAMA,C2557,AK_KAT,"KAS")+COUNTIFS(AK_NAMA,D2557,AK_KAT,"KAS")&lt;&gt;1,"",IF(COUNTIFS(AK_NAMA,C2557,AK_KAT,"KAS")=1,D2557,C2557)))</f>
        <v/>
      </c>
      <c r="M2557" s="103" t="n">
        <f aca="false">IF(L2557="",0,IF(L2557=D2557,E2557,-E2557))</f>
        <v>0</v>
      </c>
      <c r="N2557" s="102" t="str">
        <f aca="false">IF(L2557="","",IFERROR(INDEX(AK_BARIS,MATCH(L2557,AK_NAMA,0)),"?"))</f>
        <v/>
      </c>
      <c r="O2557" s="102" t="str">
        <f aca="false">IF(C2557="","",IFERROR(INDEX(AK_KEL,MATCH(C2557,AK_NAMA,0)),"?"))</f>
        <v/>
      </c>
      <c r="P2557" s="102" t="str">
        <f aca="false">IF(D2557="","",IFERROR(INDEX(AK_KEL,MATCH(D2557,AK_NAMA,0)),"?"))</f>
        <v/>
      </c>
      <c r="Q2557" s="102" t="n">
        <f aca="false">N(Q2556)+IF(AND(N(E2557)&lt;&gt;0,K2557=TAHUN,N(J2557)&lt;=BLN,OR(C2557=BB_AKUN,D2557=BB_AKUN)),1,0)</f>
        <v>877</v>
      </c>
      <c r="R2557" s="104" t="str">
        <f aca="false">IF(OR(C2557&amp;D2557="",N(E2557)=0),"",IF(OR(O2557="?",P2557="?"),"⚠ akun tidak dikenal",IF(C2557=D2557,"⚠ debet = kredit","")))</f>
        <v/>
      </c>
    </row>
    <row r="2558" customFormat="false" ht="15" hidden="false" customHeight="false" outlineLevel="0" collapsed="false">
      <c r="A2558" s="5"/>
      <c r="B2558" s="83"/>
      <c r="C2558" s="5"/>
      <c r="D2558" s="5"/>
      <c r="E2558" s="44"/>
      <c r="F2558" s="5"/>
      <c r="G2558" s="5"/>
      <c r="H2558" s="5"/>
      <c r="I2558" s="5"/>
      <c r="J2558" s="102" t="str">
        <f aca="false">IF(B2558="","",MONTH(B2558))</f>
        <v/>
      </c>
      <c r="K2558" s="102" t="str">
        <f aca="false">IF(B2558="","",YEAR(B2558))</f>
        <v/>
      </c>
      <c r="L2558" s="102" t="str">
        <f aca="false">IF(N(E2558)=0,"",IF(COUNTIFS(AK_NAMA,C2558,AK_KAT,"KAS")+COUNTIFS(AK_NAMA,D2558,AK_KAT,"KAS")&lt;&gt;1,"",IF(COUNTIFS(AK_NAMA,C2558,AK_KAT,"KAS")=1,D2558,C2558)))</f>
        <v/>
      </c>
      <c r="M2558" s="103" t="n">
        <f aca="false">IF(L2558="",0,IF(L2558=D2558,E2558,-E2558))</f>
        <v>0</v>
      </c>
      <c r="N2558" s="102" t="str">
        <f aca="false">IF(L2558="","",IFERROR(INDEX(AK_BARIS,MATCH(L2558,AK_NAMA,0)),"?"))</f>
        <v/>
      </c>
      <c r="O2558" s="102" t="str">
        <f aca="false">IF(C2558="","",IFERROR(INDEX(AK_KEL,MATCH(C2558,AK_NAMA,0)),"?"))</f>
        <v/>
      </c>
      <c r="P2558" s="102" t="str">
        <f aca="false">IF(D2558="","",IFERROR(INDEX(AK_KEL,MATCH(D2558,AK_NAMA,0)),"?"))</f>
        <v/>
      </c>
      <c r="Q2558" s="102" t="n">
        <f aca="false">N(Q2557)+IF(AND(N(E2558)&lt;&gt;0,K2558=TAHUN,N(J2558)&lt;=BLN,OR(C2558=BB_AKUN,D2558=BB_AKUN)),1,0)</f>
        <v>877</v>
      </c>
      <c r="R2558" s="104" t="str">
        <f aca="false">IF(OR(C2558&amp;D2558="",N(E2558)=0),"",IF(OR(O2558="?",P2558="?"),"⚠ akun tidak dikenal",IF(C2558=D2558,"⚠ debet = kredit","")))</f>
        <v/>
      </c>
    </row>
    <row r="2559" customFormat="false" ht="15" hidden="false" customHeight="false" outlineLevel="0" collapsed="false">
      <c r="A2559" s="5"/>
      <c r="B2559" s="83"/>
      <c r="C2559" s="5"/>
      <c r="D2559" s="5"/>
      <c r="E2559" s="44"/>
      <c r="F2559" s="5"/>
      <c r="G2559" s="5"/>
      <c r="H2559" s="5"/>
      <c r="I2559" s="5"/>
      <c r="J2559" s="102" t="str">
        <f aca="false">IF(B2559="","",MONTH(B2559))</f>
        <v/>
      </c>
      <c r="K2559" s="102" t="str">
        <f aca="false">IF(B2559="","",YEAR(B2559))</f>
        <v/>
      </c>
      <c r="L2559" s="102" t="str">
        <f aca="false">IF(N(E2559)=0,"",IF(COUNTIFS(AK_NAMA,C2559,AK_KAT,"KAS")+COUNTIFS(AK_NAMA,D2559,AK_KAT,"KAS")&lt;&gt;1,"",IF(COUNTIFS(AK_NAMA,C2559,AK_KAT,"KAS")=1,D2559,C2559)))</f>
        <v/>
      </c>
      <c r="M2559" s="103" t="n">
        <f aca="false">IF(L2559="",0,IF(L2559=D2559,E2559,-E2559))</f>
        <v>0</v>
      </c>
      <c r="N2559" s="102" t="str">
        <f aca="false">IF(L2559="","",IFERROR(INDEX(AK_BARIS,MATCH(L2559,AK_NAMA,0)),"?"))</f>
        <v/>
      </c>
      <c r="O2559" s="102" t="str">
        <f aca="false">IF(C2559="","",IFERROR(INDEX(AK_KEL,MATCH(C2559,AK_NAMA,0)),"?"))</f>
        <v/>
      </c>
      <c r="P2559" s="102" t="str">
        <f aca="false">IF(D2559="","",IFERROR(INDEX(AK_KEL,MATCH(D2559,AK_NAMA,0)),"?"))</f>
        <v/>
      </c>
      <c r="Q2559" s="102" t="n">
        <f aca="false">N(Q2558)+IF(AND(N(E2559)&lt;&gt;0,K2559=TAHUN,N(J2559)&lt;=BLN,OR(C2559=BB_AKUN,D2559=BB_AKUN)),1,0)</f>
        <v>877</v>
      </c>
      <c r="R2559" s="104" t="str">
        <f aca="false">IF(OR(C2559&amp;D2559="",N(E2559)=0),"",IF(OR(O2559="?",P2559="?"),"⚠ akun tidak dikenal",IF(C2559=D2559,"⚠ debet = kredit","")))</f>
        <v/>
      </c>
    </row>
    <row r="2560" customFormat="false" ht="15" hidden="false" customHeight="false" outlineLevel="0" collapsed="false">
      <c r="A2560" s="5"/>
      <c r="B2560" s="83"/>
      <c r="C2560" s="5"/>
      <c r="D2560" s="5"/>
      <c r="E2560" s="44"/>
      <c r="F2560" s="5"/>
      <c r="G2560" s="5"/>
      <c r="H2560" s="5"/>
      <c r="I2560" s="5"/>
      <c r="J2560" s="102" t="str">
        <f aca="false">IF(B2560="","",MONTH(B2560))</f>
        <v/>
      </c>
      <c r="K2560" s="102" t="str">
        <f aca="false">IF(B2560="","",YEAR(B2560))</f>
        <v/>
      </c>
      <c r="L2560" s="102" t="str">
        <f aca="false">IF(N(E2560)=0,"",IF(COUNTIFS(AK_NAMA,C2560,AK_KAT,"KAS")+COUNTIFS(AK_NAMA,D2560,AK_KAT,"KAS")&lt;&gt;1,"",IF(COUNTIFS(AK_NAMA,C2560,AK_KAT,"KAS")=1,D2560,C2560)))</f>
        <v/>
      </c>
      <c r="M2560" s="103" t="n">
        <f aca="false">IF(L2560="",0,IF(L2560=D2560,E2560,-E2560))</f>
        <v>0</v>
      </c>
      <c r="N2560" s="102" t="str">
        <f aca="false">IF(L2560="","",IFERROR(INDEX(AK_BARIS,MATCH(L2560,AK_NAMA,0)),"?"))</f>
        <v/>
      </c>
      <c r="O2560" s="102" t="str">
        <f aca="false">IF(C2560="","",IFERROR(INDEX(AK_KEL,MATCH(C2560,AK_NAMA,0)),"?"))</f>
        <v/>
      </c>
      <c r="P2560" s="102" t="str">
        <f aca="false">IF(D2560="","",IFERROR(INDEX(AK_KEL,MATCH(D2560,AK_NAMA,0)),"?"))</f>
        <v/>
      </c>
      <c r="Q2560" s="102" t="n">
        <f aca="false">N(Q2559)+IF(AND(N(E2560)&lt;&gt;0,K2560=TAHUN,N(J2560)&lt;=BLN,OR(C2560=BB_AKUN,D2560=BB_AKUN)),1,0)</f>
        <v>877</v>
      </c>
      <c r="R2560" s="104" t="str">
        <f aca="false">IF(OR(C2560&amp;D2560="",N(E2560)=0),"",IF(OR(O2560="?",P2560="?"),"⚠ akun tidak dikenal",IF(C2560=D2560,"⚠ debet = kredit","")))</f>
        <v/>
      </c>
    </row>
    <row r="2561" customFormat="false" ht="15" hidden="false" customHeight="false" outlineLevel="0" collapsed="false">
      <c r="A2561" s="5"/>
      <c r="B2561" s="83"/>
      <c r="C2561" s="5"/>
      <c r="D2561" s="5"/>
      <c r="E2561" s="44"/>
      <c r="F2561" s="5"/>
      <c r="G2561" s="5"/>
      <c r="H2561" s="5"/>
      <c r="I2561" s="5"/>
      <c r="J2561" s="102" t="str">
        <f aca="false">IF(B2561="","",MONTH(B2561))</f>
        <v/>
      </c>
      <c r="K2561" s="102" t="str">
        <f aca="false">IF(B2561="","",YEAR(B2561))</f>
        <v/>
      </c>
      <c r="L2561" s="102" t="str">
        <f aca="false">IF(N(E2561)=0,"",IF(COUNTIFS(AK_NAMA,C2561,AK_KAT,"KAS")+COUNTIFS(AK_NAMA,D2561,AK_KAT,"KAS")&lt;&gt;1,"",IF(COUNTIFS(AK_NAMA,C2561,AK_KAT,"KAS")=1,D2561,C2561)))</f>
        <v/>
      </c>
      <c r="M2561" s="103" t="n">
        <f aca="false">IF(L2561="",0,IF(L2561=D2561,E2561,-E2561))</f>
        <v>0</v>
      </c>
      <c r="N2561" s="102" t="str">
        <f aca="false">IF(L2561="","",IFERROR(INDEX(AK_BARIS,MATCH(L2561,AK_NAMA,0)),"?"))</f>
        <v/>
      </c>
      <c r="O2561" s="102" t="str">
        <f aca="false">IF(C2561="","",IFERROR(INDEX(AK_KEL,MATCH(C2561,AK_NAMA,0)),"?"))</f>
        <v/>
      </c>
      <c r="P2561" s="102" t="str">
        <f aca="false">IF(D2561="","",IFERROR(INDEX(AK_KEL,MATCH(D2561,AK_NAMA,0)),"?"))</f>
        <v/>
      </c>
      <c r="Q2561" s="102" t="n">
        <f aca="false">N(Q2560)+IF(AND(N(E2561)&lt;&gt;0,K2561=TAHUN,N(J2561)&lt;=BLN,OR(C2561=BB_AKUN,D2561=BB_AKUN)),1,0)</f>
        <v>877</v>
      </c>
      <c r="R2561" s="104" t="str">
        <f aca="false">IF(OR(C2561&amp;D2561="",N(E2561)=0),"",IF(OR(O2561="?",P2561="?"),"⚠ akun tidak dikenal",IF(C2561=D2561,"⚠ debet = kredit","")))</f>
        <v/>
      </c>
    </row>
    <row r="2562" customFormat="false" ht="15" hidden="false" customHeight="false" outlineLevel="0" collapsed="false">
      <c r="A2562" s="5"/>
      <c r="B2562" s="83"/>
      <c r="C2562" s="5"/>
      <c r="D2562" s="5"/>
      <c r="E2562" s="44"/>
      <c r="F2562" s="5"/>
      <c r="G2562" s="5"/>
      <c r="H2562" s="5"/>
      <c r="I2562" s="5"/>
      <c r="J2562" s="102" t="str">
        <f aca="false">IF(B2562="","",MONTH(B2562))</f>
        <v/>
      </c>
      <c r="K2562" s="102" t="str">
        <f aca="false">IF(B2562="","",YEAR(B2562))</f>
        <v/>
      </c>
      <c r="L2562" s="102" t="str">
        <f aca="false">IF(N(E2562)=0,"",IF(COUNTIFS(AK_NAMA,C2562,AK_KAT,"KAS")+COUNTIFS(AK_NAMA,D2562,AK_KAT,"KAS")&lt;&gt;1,"",IF(COUNTIFS(AK_NAMA,C2562,AK_KAT,"KAS")=1,D2562,C2562)))</f>
        <v/>
      </c>
      <c r="M2562" s="103" t="n">
        <f aca="false">IF(L2562="",0,IF(L2562=D2562,E2562,-E2562))</f>
        <v>0</v>
      </c>
      <c r="N2562" s="102" t="str">
        <f aca="false">IF(L2562="","",IFERROR(INDEX(AK_BARIS,MATCH(L2562,AK_NAMA,0)),"?"))</f>
        <v/>
      </c>
      <c r="O2562" s="102" t="str">
        <f aca="false">IF(C2562="","",IFERROR(INDEX(AK_KEL,MATCH(C2562,AK_NAMA,0)),"?"))</f>
        <v/>
      </c>
      <c r="P2562" s="102" t="str">
        <f aca="false">IF(D2562="","",IFERROR(INDEX(AK_KEL,MATCH(D2562,AK_NAMA,0)),"?"))</f>
        <v/>
      </c>
      <c r="Q2562" s="102" t="n">
        <f aca="false">N(Q2561)+IF(AND(N(E2562)&lt;&gt;0,K2562=TAHUN,N(J2562)&lt;=BLN,OR(C2562=BB_AKUN,D2562=BB_AKUN)),1,0)</f>
        <v>877</v>
      </c>
      <c r="R2562" s="104" t="str">
        <f aca="false">IF(OR(C2562&amp;D2562="",N(E2562)=0),"",IF(OR(O2562="?",P2562="?"),"⚠ akun tidak dikenal",IF(C2562=D2562,"⚠ debet = kredit","")))</f>
        <v/>
      </c>
    </row>
    <row r="2563" customFormat="false" ht="15" hidden="false" customHeight="false" outlineLevel="0" collapsed="false">
      <c r="A2563" s="5"/>
      <c r="B2563" s="83"/>
      <c r="C2563" s="5"/>
      <c r="D2563" s="5"/>
      <c r="E2563" s="44"/>
      <c r="F2563" s="5"/>
      <c r="G2563" s="5"/>
      <c r="H2563" s="5"/>
      <c r="I2563" s="5"/>
      <c r="J2563" s="102" t="str">
        <f aca="false">IF(B2563="","",MONTH(B2563))</f>
        <v/>
      </c>
      <c r="K2563" s="102" t="str">
        <f aca="false">IF(B2563="","",YEAR(B2563))</f>
        <v/>
      </c>
      <c r="L2563" s="102" t="str">
        <f aca="false">IF(N(E2563)=0,"",IF(COUNTIFS(AK_NAMA,C2563,AK_KAT,"KAS")+COUNTIFS(AK_NAMA,D2563,AK_KAT,"KAS")&lt;&gt;1,"",IF(COUNTIFS(AK_NAMA,C2563,AK_KAT,"KAS")=1,D2563,C2563)))</f>
        <v/>
      </c>
      <c r="M2563" s="103" t="n">
        <f aca="false">IF(L2563="",0,IF(L2563=D2563,E2563,-E2563))</f>
        <v>0</v>
      </c>
      <c r="N2563" s="102" t="str">
        <f aca="false">IF(L2563="","",IFERROR(INDEX(AK_BARIS,MATCH(L2563,AK_NAMA,0)),"?"))</f>
        <v/>
      </c>
      <c r="O2563" s="102" t="str">
        <f aca="false">IF(C2563="","",IFERROR(INDEX(AK_KEL,MATCH(C2563,AK_NAMA,0)),"?"))</f>
        <v/>
      </c>
      <c r="P2563" s="102" t="str">
        <f aca="false">IF(D2563="","",IFERROR(INDEX(AK_KEL,MATCH(D2563,AK_NAMA,0)),"?"))</f>
        <v/>
      </c>
      <c r="Q2563" s="102" t="n">
        <f aca="false">N(Q2562)+IF(AND(N(E2563)&lt;&gt;0,K2563=TAHUN,N(J2563)&lt;=BLN,OR(C2563=BB_AKUN,D2563=BB_AKUN)),1,0)</f>
        <v>877</v>
      </c>
      <c r="R2563" s="104" t="str">
        <f aca="false">IF(OR(C2563&amp;D2563="",N(E2563)=0),"",IF(OR(O2563="?",P2563="?"),"⚠ akun tidak dikenal",IF(C2563=D2563,"⚠ debet = kredit","")))</f>
        <v/>
      </c>
    </row>
    <row r="2564" customFormat="false" ht="15" hidden="false" customHeight="false" outlineLevel="0" collapsed="false">
      <c r="A2564" s="5"/>
      <c r="B2564" s="83"/>
      <c r="C2564" s="5"/>
      <c r="D2564" s="5"/>
      <c r="E2564" s="44"/>
      <c r="F2564" s="5"/>
      <c r="G2564" s="5"/>
      <c r="H2564" s="5"/>
      <c r="I2564" s="5"/>
      <c r="J2564" s="102" t="str">
        <f aca="false">IF(B2564="","",MONTH(B2564))</f>
        <v/>
      </c>
      <c r="K2564" s="102" t="str">
        <f aca="false">IF(B2564="","",YEAR(B2564))</f>
        <v/>
      </c>
      <c r="L2564" s="102" t="str">
        <f aca="false">IF(N(E2564)=0,"",IF(COUNTIFS(AK_NAMA,C2564,AK_KAT,"KAS")+COUNTIFS(AK_NAMA,D2564,AK_KAT,"KAS")&lt;&gt;1,"",IF(COUNTIFS(AK_NAMA,C2564,AK_KAT,"KAS")=1,D2564,C2564)))</f>
        <v/>
      </c>
      <c r="M2564" s="103" t="n">
        <f aca="false">IF(L2564="",0,IF(L2564=D2564,E2564,-E2564))</f>
        <v>0</v>
      </c>
      <c r="N2564" s="102" t="str">
        <f aca="false">IF(L2564="","",IFERROR(INDEX(AK_BARIS,MATCH(L2564,AK_NAMA,0)),"?"))</f>
        <v/>
      </c>
      <c r="O2564" s="102" t="str">
        <f aca="false">IF(C2564="","",IFERROR(INDEX(AK_KEL,MATCH(C2564,AK_NAMA,0)),"?"))</f>
        <v/>
      </c>
      <c r="P2564" s="102" t="str">
        <f aca="false">IF(D2564="","",IFERROR(INDEX(AK_KEL,MATCH(D2564,AK_NAMA,0)),"?"))</f>
        <v/>
      </c>
      <c r="Q2564" s="102" t="n">
        <f aca="false">N(Q2563)+IF(AND(N(E2564)&lt;&gt;0,K2564=TAHUN,N(J2564)&lt;=BLN,OR(C2564=BB_AKUN,D2564=BB_AKUN)),1,0)</f>
        <v>877</v>
      </c>
      <c r="R2564" s="104" t="str">
        <f aca="false">IF(OR(C2564&amp;D2564="",N(E2564)=0),"",IF(OR(O2564="?",P2564="?"),"⚠ akun tidak dikenal",IF(C2564=D2564,"⚠ debet = kredit","")))</f>
        <v/>
      </c>
    </row>
    <row r="2565" customFormat="false" ht="15" hidden="false" customHeight="false" outlineLevel="0" collapsed="false">
      <c r="A2565" s="5"/>
      <c r="B2565" s="83"/>
      <c r="C2565" s="5"/>
      <c r="D2565" s="5"/>
      <c r="E2565" s="44"/>
      <c r="F2565" s="5"/>
      <c r="G2565" s="5"/>
      <c r="H2565" s="5"/>
      <c r="I2565" s="5"/>
      <c r="J2565" s="102" t="str">
        <f aca="false">IF(B2565="","",MONTH(B2565))</f>
        <v/>
      </c>
      <c r="K2565" s="102" t="str">
        <f aca="false">IF(B2565="","",YEAR(B2565))</f>
        <v/>
      </c>
      <c r="L2565" s="102" t="str">
        <f aca="false">IF(N(E2565)=0,"",IF(COUNTIFS(AK_NAMA,C2565,AK_KAT,"KAS")+COUNTIFS(AK_NAMA,D2565,AK_KAT,"KAS")&lt;&gt;1,"",IF(COUNTIFS(AK_NAMA,C2565,AK_KAT,"KAS")=1,D2565,C2565)))</f>
        <v/>
      </c>
      <c r="M2565" s="103" t="n">
        <f aca="false">IF(L2565="",0,IF(L2565=D2565,E2565,-E2565))</f>
        <v>0</v>
      </c>
      <c r="N2565" s="102" t="str">
        <f aca="false">IF(L2565="","",IFERROR(INDEX(AK_BARIS,MATCH(L2565,AK_NAMA,0)),"?"))</f>
        <v/>
      </c>
      <c r="O2565" s="102" t="str">
        <f aca="false">IF(C2565="","",IFERROR(INDEX(AK_KEL,MATCH(C2565,AK_NAMA,0)),"?"))</f>
        <v/>
      </c>
      <c r="P2565" s="102" t="str">
        <f aca="false">IF(D2565="","",IFERROR(INDEX(AK_KEL,MATCH(D2565,AK_NAMA,0)),"?"))</f>
        <v/>
      </c>
      <c r="Q2565" s="102" t="n">
        <f aca="false">N(Q2564)+IF(AND(N(E2565)&lt;&gt;0,K2565=TAHUN,N(J2565)&lt;=BLN,OR(C2565=BB_AKUN,D2565=BB_AKUN)),1,0)</f>
        <v>877</v>
      </c>
      <c r="R2565" s="104" t="str">
        <f aca="false">IF(OR(C2565&amp;D2565="",N(E2565)=0),"",IF(OR(O2565="?",P2565="?"),"⚠ akun tidak dikenal",IF(C2565=D2565,"⚠ debet = kredit","")))</f>
        <v/>
      </c>
    </row>
    <row r="2566" customFormat="false" ht="15" hidden="false" customHeight="false" outlineLevel="0" collapsed="false">
      <c r="A2566" s="5"/>
      <c r="B2566" s="83"/>
      <c r="C2566" s="5"/>
      <c r="D2566" s="5"/>
      <c r="E2566" s="44"/>
      <c r="F2566" s="5"/>
      <c r="G2566" s="5"/>
      <c r="H2566" s="5"/>
      <c r="I2566" s="5"/>
      <c r="J2566" s="102" t="str">
        <f aca="false">IF(B2566="","",MONTH(B2566))</f>
        <v/>
      </c>
      <c r="K2566" s="102" t="str">
        <f aca="false">IF(B2566="","",YEAR(B2566))</f>
        <v/>
      </c>
      <c r="L2566" s="102" t="str">
        <f aca="false">IF(N(E2566)=0,"",IF(COUNTIFS(AK_NAMA,C2566,AK_KAT,"KAS")+COUNTIFS(AK_NAMA,D2566,AK_KAT,"KAS")&lt;&gt;1,"",IF(COUNTIFS(AK_NAMA,C2566,AK_KAT,"KAS")=1,D2566,C2566)))</f>
        <v/>
      </c>
      <c r="M2566" s="103" t="n">
        <f aca="false">IF(L2566="",0,IF(L2566=D2566,E2566,-E2566))</f>
        <v>0</v>
      </c>
      <c r="N2566" s="102" t="str">
        <f aca="false">IF(L2566="","",IFERROR(INDEX(AK_BARIS,MATCH(L2566,AK_NAMA,0)),"?"))</f>
        <v/>
      </c>
      <c r="O2566" s="102" t="str">
        <f aca="false">IF(C2566="","",IFERROR(INDEX(AK_KEL,MATCH(C2566,AK_NAMA,0)),"?"))</f>
        <v/>
      </c>
      <c r="P2566" s="102" t="str">
        <f aca="false">IF(D2566="","",IFERROR(INDEX(AK_KEL,MATCH(D2566,AK_NAMA,0)),"?"))</f>
        <v/>
      </c>
      <c r="Q2566" s="102" t="n">
        <f aca="false">N(Q2565)+IF(AND(N(E2566)&lt;&gt;0,K2566=TAHUN,N(J2566)&lt;=BLN,OR(C2566=BB_AKUN,D2566=BB_AKUN)),1,0)</f>
        <v>877</v>
      </c>
      <c r="R2566" s="104" t="str">
        <f aca="false">IF(OR(C2566&amp;D2566="",N(E2566)=0),"",IF(OR(O2566="?",P2566="?"),"⚠ akun tidak dikenal",IF(C2566=D2566,"⚠ debet = kredit","")))</f>
        <v/>
      </c>
    </row>
    <row r="2567" customFormat="false" ht="15" hidden="false" customHeight="false" outlineLevel="0" collapsed="false">
      <c r="A2567" s="5"/>
      <c r="B2567" s="83"/>
      <c r="C2567" s="5"/>
      <c r="D2567" s="5"/>
      <c r="E2567" s="44"/>
      <c r="F2567" s="5"/>
      <c r="G2567" s="5"/>
      <c r="H2567" s="5"/>
      <c r="I2567" s="5"/>
      <c r="J2567" s="102" t="str">
        <f aca="false">IF(B2567="","",MONTH(B2567))</f>
        <v/>
      </c>
      <c r="K2567" s="102" t="str">
        <f aca="false">IF(B2567="","",YEAR(B2567))</f>
        <v/>
      </c>
      <c r="L2567" s="102" t="str">
        <f aca="false">IF(N(E2567)=0,"",IF(COUNTIFS(AK_NAMA,C2567,AK_KAT,"KAS")+COUNTIFS(AK_NAMA,D2567,AK_KAT,"KAS")&lt;&gt;1,"",IF(COUNTIFS(AK_NAMA,C2567,AK_KAT,"KAS")=1,D2567,C2567)))</f>
        <v/>
      </c>
      <c r="M2567" s="103" t="n">
        <f aca="false">IF(L2567="",0,IF(L2567=D2567,E2567,-E2567))</f>
        <v>0</v>
      </c>
      <c r="N2567" s="102" t="str">
        <f aca="false">IF(L2567="","",IFERROR(INDEX(AK_BARIS,MATCH(L2567,AK_NAMA,0)),"?"))</f>
        <v/>
      </c>
      <c r="O2567" s="102" t="str">
        <f aca="false">IF(C2567="","",IFERROR(INDEX(AK_KEL,MATCH(C2567,AK_NAMA,0)),"?"))</f>
        <v/>
      </c>
      <c r="P2567" s="102" t="str">
        <f aca="false">IF(D2567="","",IFERROR(INDEX(AK_KEL,MATCH(D2567,AK_NAMA,0)),"?"))</f>
        <v/>
      </c>
      <c r="Q2567" s="102" t="n">
        <f aca="false">N(Q2566)+IF(AND(N(E2567)&lt;&gt;0,K2567=TAHUN,N(J2567)&lt;=BLN,OR(C2567=BB_AKUN,D2567=BB_AKUN)),1,0)</f>
        <v>877</v>
      </c>
      <c r="R2567" s="104" t="str">
        <f aca="false">IF(OR(C2567&amp;D2567="",N(E2567)=0),"",IF(OR(O2567="?",P2567="?"),"⚠ akun tidak dikenal",IF(C2567=D2567,"⚠ debet = kredit","")))</f>
        <v/>
      </c>
    </row>
    <row r="2568" customFormat="false" ht="15" hidden="false" customHeight="false" outlineLevel="0" collapsed="false">
      <c r="A2568" s="5"/>
      <c r="B2568" s="83"/>
      <c r="C2568" s="5"/>
      <c r="D2568" s="5"/>
      <c r="E2568" s="44"/>
      <c r="F2568" s="5"/>
      <c r="G2568" s="5"/>
      <c r="H2568" s="5"/>
      <c r="I2568" s="5"/>
      <c r="J2568" s="102" t="str">
        <f aca="false">IF(B2568="","",MONTH(B2568))</f>
        <v/>
      </c>
      <c r="K2568" s="102" t="str">
        <f aca="false">IF(B2568="","",YEAR(B2568))</f>
        <v/>
      </c>
      <c r="L2568" s="102" t="str">
        <f aca="false">IF(N(E2568)=0,"",IF(COUNTIFS(AK_NAMA,C2568,AK_KAT,"KAS")+COUNTIFS(AK_NAMA,D2568,AK_KAT,"KAS")&lt;&gt;1,"",IF(COUNTIFS(AK_NAMA,C2568,AK_KAT,"KAS")=1,D2568,C2568)))</f>
        <v/>
      </c>
      <c r="M2568" s="103" t="n">
        <f aca="false">IF(L2568="",0,IF(L2568=D2568,E2568,-E2568))</f>
        <v>0</v>
      </c>
      <c r="N2568" s="102" t="str">
        <f aca="false">IF(L2568="","",IFERROR(INDEX(AK_BARIS,MATCH(L2568,AK_NAMA,0)),"?"))</f>
        <v/>
      </c>
      <c r="O2568" s="102" t="str">
        <f aca="false">IF(C2568="","",IFERROR(INDEX(AK_KEL,MATCH(C2568,AK_NAMA,0)),"?"))</f>
        <v/>
      </c>
      <c r="P2568" s="102" t="str">
        <f aca="false">IF(D2568="","",IFERROR(INDEX(AK_KEL,MATCH(D2568,AK_NAMA,0)),"?"))</f>
        <v/>
      </c>
      <c r="Q2568" s="102" t="n">
        <f aca="false">N(Q2567)+IF(AND(N(E2568)&lt;&gt;0,K2568=TAHUN,N(J2568)&lt;=BLN,OR(C2568=BB_AKUN,D2568=BB_AKUN)),1,0)</f>
        <v>877</v>
      </c>
      <c r="R2568" s="104" t="str">
        <f aca="false">IF(OR(C2568&amp;D2568="",N(E2568)=0),"",IF(OR(O2568="?",P2568="?"),"⚠ akun tidak dikenal",IF(C2568=D2568,"⚠ debet = kredit","")))</f>
        <v/>
      </c>
    </row>
    <row r="2569" customFormat="false" ht="15" hidden="false" customHeight="false" outlineLevel="0" collapsed="false">
      <c r="A2569" s="5"/>
      <c r="B2569" s="83"/>
      <c r="C2569" s="5"/>
      <c r="D2569" s="5"/>
      <c r="E2569" s="44"/>
      <c r="F2569" s="5"/>
      <c r="G2569" s="5"/>
      <c r="H2569" s="5"/>
      <c r="I2569" s="5"/>
      <c r="J2569" s="102" t="str">
        <f aca="false">IF(B2569="","",MONTH(B2569))</f>
        <v/>
      </c>
      <c r="K2569" s="102" t="str">
        <f aca="false">IF(B2569="","",YEAR(B2569))</f>
        <v/>
      </c>
      <c r="L2569" s="102" t="str">
        <f aca="false">IF(N(E2569)=0,"",IF(COUNTIFS(AK_NAMA,C2569,AK_KAT,"KAS")+COUNTIFS(AK_NAMA,D2569,AK_KAT,"KAS")&lt;&gt;1,"",IF(COUNTIFS(AK_NAMA,C2569,AK_KAT,"KAS")=1,D2569,C2569)))</f>
        <v/>
      </c>
      <c r="M2569" s="103" t="n">
        <f aca="false">IF(L2569="",0,IF(L2569=D2569,E2569,-E2569))</f>
        <v>0</v>
      </c>
      <c r="N2569" s="102" t="str">
        <f aca="false">IF(L2569="","",IFERROR(INDEX(AK_BARIS,MATCH(L2569,AK_NAMA,0)),"?"))</f>
        <v/>
      </c>
      <c r="O2569" s="102" t="str">
        <f aca="false">IF(C2569="","",IFERROR(INDEX(AK_KEL,MATCH(C2569,AK_NAMA,0)),"?"))</f>
        <v/>
      </c>
      <c r="P2569" s="102" t="str">
        <f aca="false">IF(D2569="","",IFERROR(INDEX(AK_KEL,MATCH(D2569,AK_NAMA,0)),"?"))</f>
        <v/>
      </c>
      <c r="Q2569" s="102" t="n">
        <f aca="false">N(Q2568)+IF(AND(N(E2569)&lt;&gt;0,K2569=TAHUN,N(J2569)&lt;=BLN,OR(C2569=BB_AKUN,D2569=BB_AKUN)),1,0)</f>
        <v>877</v>
      </c>
      <c r="R2569" s="104" t="str">
        <f aca="false">IF(OR(C2569&amp;D2569="",N(E2569)=0),"",IF(OR(O2569="?",P2569="?"),"⚠ akun tidak dikenal",IF(C2569=D2569,"⚠ debet = kredit","")))</f>
        <v/>
      </c>
    </row>
    <row r="2570" customFormat="false" ht="15" hidden="false" customHeight="false" outlineLevel="0" collapsed="false">
      <c r="A2570" s="5"/>
      <c r="B2570" s="83"/>
      <c r="C2570" s="5"/>
      <c r="D2570" s="5"/>
      <c r="E2570" s="44"/>
      <c r="F2570" s="5"/>
      <c r="G2570" s="5"/>
      <c r="H2570" s="5"/>
      <c r="I2570" s="5"/>
      <c r="J2570" s="102" t="str">
        <f aca="false">IF(B2570="","",MONTH(B2570))</f>
        <v/>
      </c>
      <c r="K2570" s="102" t="str">
        <f aca="false">IF(B2570="","",YEAR(B2570))</f>
        <v/>
      </c>
      <c r="L2570" s="102" t="str">
        <f aca="false">IF(N(E2570)=0,"",IF(COUNTIFS(AK_NAMA,C2570,AK_KAT,"KAS")+COUNTIFS(AK_NAMA,D2570,AK_KAT,"KAS")&lt;&gt;1,"",IF(COUNTIFS(AK_NAMA,C2570,AK_KAT,"KAS")=1,D2570,C2570)))</f>
        <v/>
      </c>
      <c r="M2570" s="103" t="n">
        <f aca="false">IF(L2570="",0,IF(L2570=D2570,E2570,-E2570))</f>
        <v>0</v>
      </c>
      <c r="N2570" s="102" t="str">
        <f aca="false">IF(L2570="","",IFERROR(INDEX(AK_BARIS,MATCH(L2570,AK_NAMA,0)),"?"))</f>
        <v/>
      </c>
      <c r="O2570" s="102" t="str">
        <f aca="false">IF(C2570="","",IFERROR(INDEX(AK_KEL,MATCH(C2570,AK_NAMA,0)),"?"))</f>
        <v/>
      </c>
      <c r="P2570" s="102" t="str">
        <f aca="false">IF(D2570="","",IFERROR(INDEX(AK_KEL,MATCH(D2570,AK_NAMA,0)),"?"))</f>
        <v/>
      </c>
      <c r="Q2570" s="102" t="n">
        <f aca="false">N(Q2569)+IF(AND(N(E2570)&lt;&gt;0,K2570=TAHUN,N(J2570)&lt;=BLN,OR(C2570=BB_AKUN,D2570=BB_AKUN)),1,0)</f>
        <v>877</v>
      </c>
      <c r="R2570" s="104" t="str">
        <f aca="false">IF(OR(C2570&amp;D2570="",N(E2570)=0),"",IF(OR(O2570="?",P2570="?"),"⚠ akun tidak dikenal",IF(C2570=D2570,"⚠ debet = kredit","")))</f>
        <v/>
      </c>
    </row>
    <row r="2571" customFormat="false" ht="15" hidden="false" customHeight="false" outlineLevel="0" collapsed="false">
      <c r="A2571" s="5"/>
      <c r="B2571" s="83"/>
      <c r="C2571" s="5"/>
      <c r="D2571" s="5"/>
      <c r="E2571" s="44"/>
      <c r="F2571" s="5"/>
      <c r="G2571" s="5"/>
      <c r="H2571" s="5"/>
      <c r="I2571" s="5"/>
      <c r="J2571" s="102" t="str">
        <f aca="false">IF(B2571="","",MONTH(B2571))</f>
        <v/>
      </c>
      <c r="K2571" s="102" t="str">
        <f aca="false">IF(B2571="","",YEAR(B2571))</f>
        <v/>
      </c>
      <c r="L2571" s="102" t="str">
        <f aca="false">IF(N(E2571)=0,"",IF(COUNTIFS(AK_NAMA,C2571,AK_KAT,"KAS")+COUNTIFS(AK_NAMA,D2571,AK_KAT,"KAS")&lt;&gt;1,"",IF(COUNTIFS(AK_NAMA,C2571,AK_KAT,"KAS")=1,D2571,C2571)))</f>
        <v/>
      </c>
      <c r="M2571" s="103" t="n">
        <f aca="false">IF(L2571="",0,IF(L2571=D2571,E2571,-E2571))</f>
        <v>0</v>
      </c>
      <c r="N2571" s="102" t="str">
        <f aca="false">IF(L2571="","",IFERROR(INDEX(AK_BARIS,MATCH(L2571,AK_NAMA,0)),"?"))</f>
        <v/>
      </c>
      <c r="O2571" s="102" t="str">
        <f aca="false">IF(C2571="","",IFERROR(INDEX(AK_KEL,MATCH(C2571,AK_NAMA,0)),"?"))</f>
        <v/>
      </c>
      <c r="P2571" s="102" t="str">
        <f aca="false">IF(D2571="","",IFERROR(INDEX(AK_KEL,MATCH(D2571,AK_NAMA,0)),"?"))</f>
        <v/>
      </c>
      <c r="Q2571" s="102" t="n">
        <f aca="false">N(Q2570)+IF(AND(N(E2571)&lt;&gt;0,K2571=TAHUN,N(J2571)&lt;=BLN,OR(C2571=BB_AKUN,D2571=BB_AKUN)),1,0)</f>
        <v>877</v>
      </c>
      <c r="R2571" s="104" t="str">
        <f aca="false">IF(OR(C2571&amp;D2571="",N(E2571)=0),"",IF(OR(O2571="?",P2571="?"),"⚠ akun tidak dikenal",IF(C2571=D2571,"⚠ debet = kredit","")))</f>
        <v/>
      </c>
    </row>
    <row r="2572" customFormat="false" ht="15" hidden="false" customHeight="false" outlineLevel="0" collapsed="false">
      <c r="A2572" s="5"/>
      <c r="B2572" s="83"/>
      <c r="C2572" s="5"/>
      <c r="D2572" s="5"/>
      <c r="E2572" s="44"/>
      <c r="F2572" s="5"/>
      <c r="G2572" s="5"/>
      <c r="H2572" s="5"/>
      <c r="I2572" s="5"/>
      <c r="J2572" s="102" t="str">
        <f aca="false">IF(B2572="","",MONTH(B2572))</f>
        <v/>
      </c>
      <c r="K2572" s="102" t="str">
        <f aca="false">IF(B2572="","",YEAR(B2572))</f>
        <v/>
      </c>
      <c r="L2572" s="102" t="str">
        <f aca="false">IF(N(E2572)=0,"",IF(COUNTIFS(AK_NAMA,C2572,AK_KAT,"KAS")+COUNTIFS(AK_NAMA,D2572,AK_KAT,"KAS")&lt;&gt;1,"",IF(COUNTIFS(AK_NAMA,C2572,AK_KAT,"KAS")=1,D2572,C2572)))</f>
        <v/>
      </c>
      <c r="M2572" s="103" t="n">
        <f aca="false">IF(L2572="",0,IF(L2572=D2572,E2572,-E2572))</f>
        <v>0</v>
      </c>
      <c r="N2572" s="102" t="str">
        <f aca="false">IF(L2572="","",IFERROR(INDEX(AK_BARIS,MATCH(L2572,AK_NAMA,0)),"?"))</f>
        <v/>
      </c>
      <c r="O2572" s="102" t="str">
        <f aca="false">IF(C2572="","",IFERROR(INDEX(AK_KEL,MATCH(C2572,AK_NAMA,0)),"?"))</f>
        <v/>
      </c>
      <c r="P2572" s="102" t="str">
        <f aca="false">IF(D2572="","",IFERROR(INDEX(AK_KEL,MATCH(D2572,AK_NAMA,0)),"?"))</f>
        <v/>
      </c>
      <c r="Q2572" s="102" t="n">
        <f aca="false">N(Q2571)+IF(AND(N(E2572)&lt;&gt;0,K2572=TAHUN,N(J2572)&lt;=BLN,OR(C2572=BB_AKUN,D2572=BB_AKUN)),1,0)</f>
        <v>877</v>
      </c>
      <c r="R2572" s="104" t="str">
        <f aca="false">IF(OR(C2572&amp;D2572="",N(E2572)=0),"",IF(OR(O2572="?",P2572="?"),"⚠ akun tidak dikenal",IF(C2572=D2572,"⚠ debet = kredit","")))</f>
        <v/>
      </c>
    </row>
    <row r="2573" customFormat="false" ht="15" hidden="false" customHeight="false" outlineLevel="0" collapsed="false">
      <c r="A2573" s="5"/>
      <c r="B2573" s="83"/>
      <c r="C2573" s="5"/>
      <c r="D2573" s="5"/>
      <c r="E2573" s="44"/>
      <c r="F2573" s="5"/>
      <c r="G2573" s="5"/>
      <c r="H2573" s="5"/>
      <c r="I2573" s="5"/>
      <c r="J2573" s="102" t="str">
        <f aca="false">IF(B2573="","",MONTH(B2573))</f>
        <v/>
      </c>
      <c r="K2573" s="102" t="str">
        <f aca="false">IF(B2573="","",YEAR(B2573))</f>
        <v/>
      </c>
      <c r="L2573" s="102" t="str">
        <f aca="false">IF(N(E2573)=0,"",IF(COUNTIFS(AK_NAMA,C2573,AK_KAT,"KAS")+COUNTIFS(AK_NAMA,D2573,AK_KAT,"KAS")&lt;&gt;1,"",IF(COUNTIFS(AK_NAMA,C2573,AK_KAT,"KAS")=1,D2573,C2573)))</f>
        <v/>
      </c>
      <c r="M2573" s="103" t="n">
        <f aca="false">IF(L2573="",0,IF(L2573=D2573,E2573,-E2573))</f>
        <v>0</v>
      </c>
      <c r="N2573" s="102" t="str">
        <f aca="false">IF(L2573="","",IFERROR(INDEX(AK_BARIS,MATCH(L2573,AK_NAMA,0)),"?"))</f>
        <v/>
      </c>
      <c r="O2573" s="102" t="str">
        <f aca="false">IF(C2573="","",IFERROR(INDEX(AK_KEL,MATCH(C2573,AK_NAMA,0)),"?"))</f>
        <v/>
      </c>
      <c r="P2573" s="102" t="str">
        <f aca="false">IF(D2573="","",IFERROR(INDEX(AK_KEL,MATCH(D2573,AK_NAMA,0)),"?"))</f>
        <v/>
      </c>
      <c r="Q2573" s="102" t="n">
        <f aca="false">N(Q2572)+IF(AND(N(E2573)&lt;&gt;0,K2573=TAHUN,N(J2573)&lt;=BLN,OR(C2573=BB_AKUN,D2573=BB_AKUN)),1,0)</f>
        <v>877</v>
      </c>
      <c r="R2573" s="104" t="str">
        <f aca="false">IF(OR(C2573&amp;D2573="",N(E2573)=0),"",IF(OR(O2573="?",P2573="?"),"⚠ akun tidak dikenal",IF(C2573=D2573,"⚠ debet = kredit","")))</f>
        <v/>
      </c>
    </row>
    <row r="2574" customFormat="false" ht="15" hidden="false" customHeight="false" outlineLevel="0" collapsed="false">
      <c r="A2574" s="5"/>
      <c r="B2574" s="83"/>
      <c r="C2574" s="5"/>
      <c r="D2574" s="5"/>
      <c r="E2574" s="44"/>
      <c r="F2574" s="5"/>
      <c r="G2574" s="5"/>
      <c r="H2574" s="5"/>
      <c r="I2574" s="5"/>
      <c r="J2574" s="102" t="str">
        <f aca="false">IF(B2574="","",MONTH(B2574))</f>
        <v/>
      </c>
      <c r="K2574" s="102" t="str">
        <f aca="false">IF(B2574="","",YEAR(B2574))</f>
        <v/>
      </c>
      <c r="L2574" s="102" t="str">
        <f aca="false">IF(N(E2574)=0,"",IF(COUNTIFS(AK_NAMA,C2574,AK_KAT,"KAS")+COUNTIFS(AK_NAMA,D2574,AK_KAT,"KAS")&lt;&gt;1,"",IF(COUNTIFS(AK_NAMA,C2574,AK_KAT,"KAS")=1,D2574,C2574)))</f>
        <v/>
      </c>
      <c r="M2574" s="103" t="n">
        <f aca="false">IF(L2574="",0,IF(L2574=D2574,E2574,-E2574))</f>
        <v>0</v>
      </c>
      <c r="N2574" s="102" t="str">
        <f aca="false">IF(L2574="","",IFERROR(INDEX(AK_BARIS,MATCH(L2574,AK_NAMA,0)),"?"))</f>
        <v/>
      </c>
      <c r="O2574" s="102" t="str">
        <f aca="false">IF(C2574="","",IFERROR(INDEX(AK_KEL,MATCH(C2574,AK_NAMA,0)),"?"))</f>
        <v/>
      </c>
      <c r="P2574" s="102" t="str">
        <f aca="false">IF(D2574="","",IFERROR(INDEX(AK_KEL,MATCH(D2574,AK_NAMA,0)),"?"))</f>
        <v/>
      </c>
      <c r="Q2574" s="102" t="n">
        <f aca="false">N(Q2573)+IF(AND(N(E2574)&lt;&gt;0,K2574=TAHUN,N(J2574)&lt;=BLN,OR(C2574=BB_AKUN,D2574=BB_AKUN)),1,0)</f>
        <v>877</v>
      </c>
      <c r="R2574" s="104" t="str">
        <f aca="false">IF(OR(C2574&amp;D2574="",N(E2574)=0),"",IF(OR(O2574="?",P2574="?"),"⚠ akun tidak dikenal",IF(C2574=D2574,"⚠ debet = kredit","")))</f>
        <v/>
      </c>
    </row>
    <row r="2575" customFormat="false" ht="15" hidden="false" customHeight="false" outlineLevel="0" collapsed="false">
      <c r="A2575" s="5"/>
      <c r="B2575" s="83"/>
      <c r="C2575" s="5"/>
      <c r="D2575" s="5"/>
      <c r="E2575" s="44"/>
      <c r="F2575" s="5"/>
      <c r="G2575" s="5"/>
      <c r="H2575" s="5"/>
      <c r="I2575" s="5"/>
      <c r="J2575" s="102" t="str">
        <f aca="false">IF(B2575="","",MONTH(B2575))</f>
        <v/>
      </c>
      <c r="K2575" s="102" t="str">
        <f aca="false">IF(B2575="","",YEAR(B2575))</f>
        <v/>
      </c>
      <c r="L2575" s="102" t="str">
        <f aca="false">IF(N(E2575)=0,"",IF(COUNTIFS(AK_NAMA,C2575,AK_KAT,"KAS")+COUNTIFS(AK_NAMA,D2575,AK_KAT,"KAS")&lt;&gt;1,"",IF(COUNTIFS(AK_NAMA,C2575,AK_KAT,"KAS")=1,D2575,C2575)))</f>
        <v/>
      </c>
      <c r="M2575" s="103" t="n">
        <f aca="false">IF(L2575="",0,IF(L2575=D2575,E2575,-E2575))</f>
        <v>0</v>
      </c>
      <c r="N2575" s="102" t="str">
        <f aca="false">IF(L2575="","",IFERROR(INDEX(AK_BARIS,MATCH(L2575,AK_NAMA,0)),"?"))</f>
        <v/>
      </c>
      <c r="O2575" s="102" t="str">
        <f aca="false">IF(C2575="","",IFERROR(INDEX(AK_KEL,MATCH(C2575,AK_NAMA,0)),"?"))</f>
        <v/>
      </c>
      <c r="P2575" s="102" t="str">
        <f aca="false">IF(D2575="","",IFERROR(INDEX(AK_KEL,MATCH(D2575,AK_NAMA,0)),"?"))</f>
        <v/>
      </c>
      <c r="Q2575" s="102" t="n">
        <f aca="false">N(Q2574)+IF(AND(N(E2575)&lt;&gt;0,K2575=TAHUN,N(J2575)&lt;=BLN,OR(C2575=BB_AKUN,D2575=BB_AKUN)),1,0)</f>
        <v>877</v>
      </c>
      <c r="R2575" s="104" t="str">
        <f aca="false">IF(OR(C2575&amp;D2575="",N(E2575)=0),"",IF(OR(O2575="?",P2575="?"),"⚠ akun tidak dikenal",IF(C2575=D2575,"⚠ debet = kredit","")))</f>
        <v/>
      </c>
    </row>
    <row r="2576" customFormat="false" ht="15" hidden="false" customHeight="false" outlineLevel="0" collapsed="false">
      <c r="A2576" s="5"/>
      <c r="B2576" s="83"/>
      <c r="C2576" s="5"/>
      <c r="D2576" s="5"/>
      <c r="E2576" s="44"/>
      <c r="F2576" s="5"/>
      <c r="G2576" s="5"/>
      <c r="H2576" s="5"/>
      <c r="I2576" s="5"/>
      <c r="J2576" s="102" t="str">
        <f aca="false">IF(B2576="","",MONTH(B2576))</f>
        <v/>
      </c>
      <c r="K2576" s="102" t="str">
        <f aca="false">IF(B2576="","",YEAR(B2576))</f>
        <v/>
      </c>
      <c r="L2576" s="102" t="str">
        <f aca="false">IF(N(E2576)=0,"",IF(COUNTIFS(AK_NAMA,C2576,AK_KAT,"KAS")+COUNTIFS(AK_NAMA,D2576,AK_KAT,"KAS")&lt;&gt;1,"",IF(COUNTIFS(AK_NAMA,C2576,AK_KAT,"KAS")=1,D2576,C2576)))</f>
        <v/>
      </c>
      <c r="M2576" s="103" t="n">
        <f aca="false">IF(L2576="",0,IF(L2576=D2576,E2576,-E2576))</f>
        <v>0</v>
      </c>
      <c r="N2576" s="102" t="str">
        <f aca="false">IF(L2576="","",IFERROR(INDEX(AK_BARIS,MATCH(L2576,AK_NAMA,0)),"?"))</f>
        <v/>
      </c>
      <c r="O2576" s="102" t="str">
        <f aca="false">IF(C2576="","",IFERROR(INDEX(AK_KEL,MATCH(C2576,AK_NAMA,0)),"?"))</f>
        <v/>
      </c>
      <c r="P2576" s="102" t="str">
        <f aca="false">IF(D2576="","",IFERROR(INDEX(AK_KEL,MATCH(D2576,AK_NAMA,0)),"?"))</f>
        <v/>
      </c>
      <c r="Q2576" s="102" t="n">
        <f aca="false">N(Q2575)+IF(AND(N(E2576)&lt;&gt;0,K2576=TAHUN,N(J2576)&lt;=BLN,OR(C2576=BB_AKUN,D2576=BB_AKUN)),1,0)</f>
        <v>877</v>
      </c>
      <c r="R2576" s="104" t="str">
        <f aca="false">IF(OR(C2576&amp;D2576="",N(E2576)=0),"",IF(OR(O2576="?",P2576="?"),"⚠ akun tidak dikenal",IF(C2576=D2576,"⚠ debet = kredit","")))</f>
        <v/>
      </c>
    </row>
    <row r="2577" customFormat="false" ht="15" hidden="false" customHeight="false" outlineLevel="0" collapsed="false">
      <c r="A2577" s="5"/>
      <c r="B2577" s="83"/>
      <c r="C2577" s="5"/>
      <c r="D2577" s="5"/>
      <c r="E2577" s="44"/>
      <c r="F2577" s="5"/>
      <c r="G2577" s="5"/>
      <c r="H2577" s="5"/>
      <c r="I2577" s="5"/>
      <c r="J2577" s="102" t="str">
        <f aca="false">IF(B2577="","",MONTH(B2577))</f>
        <v/>
      </c>
      <c r="K2577" s="102" t="str">
        <f aca="false">IF(B2577="","",YEAR(B2577))</f>
        <v/>
      </c>
      <c r="L2577" s="102" t="str">
        <f aca="false">IF(N(E2577)=0,"",IF(COUNTIFS(AK_NAMA,C2577,AK_KAT,"KAS")+COUNTIFS(AK_NAMA,D2577,AK_KAT,"KAS")&lt;&gt;1,"",IF(COUNTIFS(AK_NAMA,C2577,AK_KAT,"KAS")=1,D2577,C2577)))</f>
        <v/>
      </c>
      <c r="M2577" s="103" t="n">
        <f aca="false">IF(L2577="",0,IF(L2577=D2577,E2577,-E2577))</f>
        <v>0</v>
      </c>
      <c r="N2577" s="102" t="str">
        <f aca="false">IF(L2577="","",IFERROR(INDEX(AK_BARIS,MATCH(L2577,AK_NAMA,0)),"?"))</f>
        <v/>
      </c>
      <c r="O2577" s="102" t="str">
        <f aca="false">IF(C2577="","",IFERROR(INDEX(AK_KEL,MATCH(C2577,AK_NAMA,0)),"?"))</f>
        <v/>
      </c>
      <c r="P2577" s="102" t="str">
        <f aca="false">IF(D2577="","",IFERROR(INDEX(AK_KEL,MATCH(D2577,AK_NAMA,0)),"?"))</f>
        <v/>
      </c>
      <c r="Q2577" s="102" t="n">
        <f aca="false">N(Q2576)+IF(AND(N(E2577)&lt;&gt;0,K2577=TAHUN,N(J2577)&lt;=BLN,OR(C2577=BB_AKUN,D2577=BB_AKUN)),1,0)</f>
        <v>877</v>
      </c>
      <c r="R2577" s="104" t="str">
        <f aca="false">IF(OR(C2577&amp;D2577="",N(E2577)=0),"",IF(OR(O2577="?",P2577="?"),"⚠ akun tidak dikenal",IF(C2577=D2577,"⚠ debet = kredit","")))</f>
        <v/>
      </c>
    </row>
    <row r="2578" customFormat="false" ht="15" hidden="false" customHeight="false" outlineLevel="0" collapsed="false">
      <c r="A2578" s="5"/>
      <c r="B2578" s="83"/>
      <c r="C2578" s="5"/>
      <c r="D2578" s="5"/>
      <c r="E2578" s="44"/>
      <c r="F2578" s="5"/>
      <c r="G2578" s="5"/>
      <c r="H2578" s="5"/>
      <c r="I2578" s="5"/>
      <c r="J2578" s="102" t="str">
        <f aca="false">IF(B2578="","",MONTH(B2578))</f>
        <v/>
      </c>
      <c r="K2578" s="102" t="str">
        <f aca="false">IF(B2578="","",YEAR(B2578))</f>
        <v/>
      </c>
      <c r="L2578" s="102" t="str">
        <f aca="false">IF(N(E2578)=0,"",IF(COUNTIFS(AK_NAMA,C2578,AK_KAT,"KAS")+COUNTIFS(AK_NAMA,D2578,AK_KAT,"KAS")&lt;&gt;1,"",IF(COUNTIFS(AK_NAMA,C2578,AK_KAT,"KAS")=1,D2578,C2578)))</f>
        <v/>
      </c>
      <c r="M2578" s="103" t="n">
        <f aca="false">IF(L2578="",0,IF(L2578=D2578,E2578,-E2578))</f>
        <v>0</v>
      </c>
      <c r="N2578" s="102" t="str">
        <f aca="false">IF(L2578="","",IFERROR(INDEX(AK_BARIS,MATCH(L2578,AK_NAMA,0)),"?"))</f>
        <v/>
      </c>
      <c r="O2578" s="102" t="str">
        <f aca="false">IF(C2578="","",IFERROR(INDEX(AK_KEL,MATCH(C2578,AK_NAMA,0)),"?"))</f>
        <v/>
      </c>
      <c r="P2578" s="102" t="str">
        <f aca="false">IF(D2578="","",IFERROR(INDEX(AK_KEL,MATCH(D2578,AK_NAMA,0)),"?"))</f>
        <v/>
      </c>
      <c r="Q2578" s="102" t="n">
        <f aca="false">N(Q2577)+IF(AND(N(E2578)&lt;&gt;0,K2578=TAHUN,N(J2578)&lt;=BLN,OR(C2578=BB_AKUN,D2578=BB_AKUN)),1,0)</f>
        <v>877</v>
      </c>
      <c r="R2578" s="104" t="str">
        <f aca="false">IF(OR(C2578&amp;D2578="",N(E2578)=0),"",IF(OR(O2578="?",P2578="?"),"⚠ akun tidak dikenal",IF(C2578=D2578,"⚠ debet = kredit","")))</f>
        <v/>
      </c>
    </row>
    <row r="2579" customFormat="false" ht="15" hidden="false" customHeight="false" outlineLevel="0" collapsed="false">
      <c r="A2579" s="5"/>
      <c r="B2579" s="83"/>
      <c r="C2579" s="5"/>
      <c r="D2579" s="5"/>
      <c r="E2579" s="44"/>
      <c r="F2579" s="5"/>
      <c r="G2579" s="5"/>
      <c r="H2579" s="5"/>
      <c r="I2579" s="5"/>
      <c r="J2579" s="102" t="str">
        <f aca="false">IF(B2579="","",MONTH(B2579))</f>
        <v/>
      </c>
      <c r="K2579" s="102" t="str">
        <f aca="false">IF(B2579="","",YEAR(B2579))</f>
        <v/>
      </c>
      <c r="L2579" s="102" t="str">
        <f aca="false">IF(N(E2579)=0,"",IF(COUNTIFS(AK_NAMA,C2579,AK_KAT,"KAS")+COUNTIFS(AK_NAMA,D2579,AK_KAT,"KAS")&lt;&gt;1,"",IF(COUNTIFS(AK_NAMA,C2579,AK_KAT,"KAS")=1,D2579,C2579)))</f>
        <v/>
      </c>
      <c r="M2579" s="103" t="n">
        <f aca="false">IF(L2579="",0,IF(L2579=D2579,E2579,-E2579))</f>
        <v>0</v>
      </c>
      <c r="N2579" s="102" t="str">
        <f aca="false">IF(L2579="","",IFERROR(INDEX(AK_BARIS,MATCH(L2579,AK_NAMA,0)),"?"))</f>
        <v/>
      </c>
      <c r="O2579" s="102" t="str">
        <f aca="false">IF(C2579="","",IFERROR(INDEX(AK_KEL,MATCH(C2579,AK_NAMA,0)),"?"))</f>
        <v/>
      </c>
      <c r="P2579" s="102" t="str">
        <f aca="false">IF(D2579="","",IFERROR(INDEX(AK_KEL,MATCH(D2579,AK_NAMA,0)),"?"))</f>
        <v/>
      </c>
      <c r="Q2579" s="102" t="n">
        <f aca="false">N(Q2578)+IF(AND(N(E2579)&lt;&gt;0,K2579=TAHUN,N(J2579)&lt;=BLN,OR(C2579=BB_AKUN,D2579=BB_AKUN)),1,0)</f>
        <v>877</v>
      </c>
      <c r="R2579" s="104" t="str">
        <f aca="false">IF(OR(C2579&amp;D2579="",N(E2579)=0),"",IF(OR(O2579="?",P2579="?"),"⚠ akun tidak dikenal",IF(C2579=D2579,"⚠ debet = kredit","")))</f>
        <v/>
      </c>
    </row>
    <row r="2580" customFormat="false" ht="15" hidden="false" customHeight="false" outlineLevel="0" collapsed="false">
      <c r="A2580" s="5"/>
      <c r="B2580" s="83"/>
      <c r="C2580" s="5"/>
      <c r="D2580" s="5"/>
      <c r="E2580" s="44"/>
      <c r="F2580" s="5"/>
      <c r="G2580" s="5"/>
      <c r="H2580" s="5"/>
      <c r="I2580" s="5"/>
      <c r="J2580" s="102" t="str">
        <f aca="false">IF(B2580="","",MONTH(B2580))</f>
        <v/>
      </c>
      <c r="K2580" s="102" t="str">
        <f aca="false">IF(B2580="","",YEAR(B2580))</f>
        <v/>
      </c>
      <c r="L2580" s="102" t="str">
        <f aca="false">IF(N(E2580)=0,"",IF(COUNTIFS(AK_NAMA,C2580,AK_KAT,"KAS")+COUNTIFS(AK_NAMA,D2580,AK_KAT,"KAS")&lt;&gt;1,"",IF(COUNTIFS(AK_NAMA,C2580,AK_KAT,"KAS")=1,D2580,C2580)))</f>
        <v/>
      </c>
      <c r="M2580" s="103" t="n">
        <f aca="false">IF(L2580="",0,IF(L2580=D2580,E2580,-E2580))</f>
        <v>0</v>
      </c>
      <c r="N2580" s="102" t="str">
        <f aca="false">IF(L2580="","",IFERROR(INDEX(AK_BARIS,MATCH(L2580,AK_NAMA,0)),"?"))</f>
        <v/>
      </c>
      <c r="O2580" s="102" t="str">
        <f aca="false">IF(C2580="","",IFERROR(INDEX(AK_KEL,MATCH(C2580,AK_NAMA,0)),"?"))</f>
        <v/>
      </c>
      <c r="P2580" s="102" t="str">
        <f aca="false">IF(D2580="","",IFERROR(INDEX(AK_KEL,MATCH(D2580,AK_NAMA,0)),"?"))</f>
        <v/>
      </c>
      <c r="Q2580" s="102" t="n">
        <f aca="false">N(Q2579)+IF(AND(N(E2580)&lt;&gt;0,K2580=TAHUN,N(J2580)&lt;=BLN,OR(C2580=BB_AKUN,D2580=BB_AKUN)),1,0)</f>
        <v>877</v>
      </c>
      <c r="R2580" s="104" t="str">
        <f aca="false">IF(OR(C2580&amp;D2580="",N(E2580)=0),"",IF(OR(O2580="?",P2580="?"),"⚠ akun tidak dikenal",IF(C2580=D2580,"⚠ debet = kredit","")))</f>
        <v/>
      </c>
    </row>
    <row r="2581" customFormat="false" ht="15" hidden="false" customHeight="false" outlineLevel="0" collapsed="false">
      <c r="A2581" s="5"/>
      <c r="B2581" s="83"/>
      <c r="C2581" s="5"/>
      <c r="D2581" s="5"/>
      <c r="E2581" s="44"/>
      <c r="F2581" s="5"/>
      <c r="G2581" s="5"/>
      <c r="H2581" s="5"/>
      <c r="I2581" s="5"/>
      <c r="J2581" s="102" t="str">
        <f aca="false">IF(B2581="","",MONTH(B2581))</f>
        <v/>
      </c>
      <c r="K2581" s="102" t="str">
        <f aca="false">IF(B2581="","",YEAR(B2581))</f>
        <v/>
      </c>
      <c r="L2581" s="102" t="str">
        <f aca="false">IF(N(E2581)=0,"",IF(COUNTIFS(AK_NAMA,C2581,AK_KAT,"KAS")+COUNTIFS(AK_NAMA,D2581,AK_KAT,"KAS")&lt;&gt;1,"",IF(COUNTIFS(AK_NAMA,C2581,AK_KAT,"KAS")=1,D2581,C2581)))</f>
        <v/>
      </c>
      <c r="M2581" s="103" t="n">
        <f aca="false">IF(L2581="",0,IF(L2581=D2581,E2581,-E2581))</f>
        <v>0</v>
      </c>
      <c r="N2581" s="102" t="str">
        <f aca="false">IF(L2581="","",IFERROR(INDEX(AK_BARIS,MATCH(L2581,AK_NAMA,0)),"?"))</f>
        <v/>
      </c>
      <c r="O2581" s="102" t="str">
        <f aca="false">IF(C2581="","",IFERROR(INDEX(AK_KEL,MATCH(C2581,AK_NAMA,0)),"?"))</f>
        <v/>
      </c>
      <c r="P2581" s="102" t="str">
        <f aca="false">IF(D2581="","",IFERROR(INDEX(AK_KEL,MATCH(D2581,AK_NAMA,0)),"?"))</f>
        <v/>
      </c>
      <c r="Q2581" s="102" t="n">
        <f aca="false">N(Q2580)+IF(AND(N(E2581)&lt;&gt;0,K2581=TAHUN,N(J2581)&lt;=BLN,OR(C2581=BB_AKUN,D2581=BB_AKUN)),1,0)</f>
        <v>877</v>
      </c>
      <c r="R2581" s="104" t="str">
        <f aca="false">IF(OR(C2581&amp;D2581="",N(E2581)=0),"",IF(OR(O2581="?",P2581="?"),"⚠ akun tidak dikenal",IF(C2581=D2581,"⚠ debet = kredit","")))</f>
        <v/>
      </c>
    </row>
    <row r="2582" customFormat="false" ht="15" hidden="false" customHeight="false" outlineLevel="0" collapsed="false">
      <c r="A2582" s="5"/>
      <c r="B2582" s="83"/>
      <c r="C2582" s="5"/>
      <c r="D2582" s="5"/>
      <c r="E2582" s="44"/>
      <c r="F2582" s="5"/>
      <c r="G2582" s="5"/>
      <c r="H2582" s="5"/>
      <c r="I2582" s="5"/>
      <c r="J2582" s="102" t="str">
        <f aca="false">IF(B2582="","",MONTH(B2582))</f>
        <v/>
      </c>
      <c r="K2582" s="102" t="str">
        <f aca="false">IF(B2582="","",YEAR(B2582))</f>
        <v/>
      </c>
      <c r="L2582" s="102" t="str">
        <f aca="false">IF(N(E2582)=0,"",IF(COUNTIFS(AK_NAMA,C2582,AK_KAT,"KAS")+COUNTIFS(AK_NAMA,D2582,AK_KAT,"KAS")&lt;&gt;1,"",IF(COUNTIFS(AK_NAMA,C2582,AK_KAT,"KAS")=1,D2582,C2582)))</f>
        <v/>
      </c>
      <c r="M2582" s="103" t="n">
        <f aca="false">IF(L2582="",0,IF(L2582=D2582,E2582,-E2582))</f>
        <v>0</v>
      </c>
      <c r="N2582" s="102" t="str">
        <f aca="false">IF(L2582="","",IFERROR(INDEX(AK_BARIS,MATCH(L2582,AK_NAMA,0)),"?"))</f>
        <v/>
      </c>
      <c r="O2582" s="102" t="str">
        <f aca="false">IF(C2582="","",IFERROR(INDEX(AK_KEL,MATCH(C2582,AK_NAMA,0)),"?"))</f>
        <v/>
      </c>
      <c r="P2582" s="102" t="str">
        <f aca="false">IF(D2582="","",IFERROR(INDEX(AK_KEL,MATCH(D2582,AK_NAMA,0)),"?"))</f>
        <v/>
      </c>
      <c r="Q2582" s="102" t="n">
        <f aca="false">N(Q2581)+IF(AND(N(E2582)&lt;&gt;0,K2582=TAHUN,N(J2582)&lt;=BLN,OR(C2582=BB_AKUN,D2582=BB_AKUN)),1,0)</f>
        <v>877</v>
      </c>
      <c r="R2582" s="104" t="str">
        <f aca="false">IF(OR(C2582&amp;D2582="",N(E2582)=0),"",IF(OR(O2582="?",P2582="?"),"⚠ akun tidak dikenal",IF(C2582=D2582,"⚠ debet = kredit","")))</f>
        <v/>
      </c>
    </row>
    <row r="2583" customFormat="false" ht="15" hidden="false" customHeight="false" outlineLevel="0" collapsed="false">
      <c r="A2583" s="5"/>
      <c r="B2583" s="83"/>
      <c r="C2583" s="5"/>
      <c r="D2583" s="5"/>
      <c r="E2583" s="44"/>
      <c r="F2583" s="5"/>
      <c r="G2583" s="5"/>
      <c r="H2583" s="5"/>
      <c r="I2583" s="5"/>
      <c r="J2583" s="102" t="str">
        <f aca="false">IF(B2583="","",MONTH(B2583))</f>
        <v/>
      </c>
      <c r="K2583" s="102" t="str">
        <f aca="false">IF(B2583="","",YEAR(B2583))</f>
        <v/>
      </c>
      <c r="L2583" s="102" t="str">
        <f aca="false">IF(N(E2583)=0,"",IF(COUNTIFS(AK_NAMA,C2583,AK_KAT,"KAS")+COUNTIFS(AK_NAMA,D2583,AK_KAT,"KAS")&lt;&gt;1,"",IF(COUNTIFS(AK_NAMA,C2583,AK_KAT,"KAS")=1,D2583,C2583)))</f>
        <v/>
      </c>
      <c r="M2583" s="103" t="n">
        <f aca="false">IF(L2583="",0,IF(L2583=D2583,E2583,-E2583))</f>
        <v>0</v>
      </c>
      <c r="N2583" s="102" t="str">
        <f aca="false">IF(L2583="","",IFERROR(INDEX(AK_BARIS,MATCH(L2583,AK_NAMA,0)),"?"))</f>
        <v/>
      </c>
      <c r="O2583" s="102" t="str">
        <f aca="false">IF(C2583="","",IFERROR(INDEX(AK_KEL,MATCH(C2583,AK_NAMA,0)),"?"))</f>
        <v/>
      </c>
      <c r="P2583" s="102" t="str">
        <f aca="false">IF(D2583="","",IFERROR(INDEX(AK_KEL,MATCH(D2583,AK_NAMA,0)),"?"))</f>
        <v/>
      </c>
      <c r="Q2583" s="102" t="n">
        <f aca="false">N(Q2582)+IF(AND(N(E2583)&lt;&gt;0,K2583=TAHUN,N(J2583)&lt;=BLN,OR(C2583=BB_AKUN,D2583=BB_AKUN)),1,0)</f>
        <v>877</v>
      </c>
      <c r="R2583" s="104" t="str">
        <f aca="false">IF(OR(C2583&amp;D2583="",N(E2583)=0),"",IF(OR(O2583="?",P2583="?"),"⚠ akun tidak dikenal",IF(C2583=D2583,"⚠ debet = kredit","")))</f>
        <v/>
      </c>
    </row>
    <row r="2584" customFormat="false" ht="15" hidden="false" customHeight="false" outlineLevel="0" collapsed="false">
      <c r="A2584" s="5"/>
      <c r="B2584" s="83"/>
      <c r="C2584" s="5"/>
      <c r="D2584" s="5"/>
      <c r="E2584" s="44"/>
      <c r="F2584" s="5"/>
      <c r="G2584" s="5"/>
      <c r="H2584" s="5"/>
      <c r="I2584" s="5"/>
      <c r="J2584" s="102" t="str">
        <f aca="false">IF(B2584="","",MONTH(B2584))</f>
        <v/>
      </c>
      <c r="K2584" s="102" t="str">
        <f aca="false">IF(B2584="","",YEAR(B2584))</f>
        <v/>
      </c>
      <c r="L2584" s="102" t="str">
        <f aca="false">IF(N(E2584)=0,"",IF(COUNTIFS(AK_NAMA,C2584,AK_KAT,"KAS")+COUNTIFS(AK_NAMA,D2584,AK_KAT,"KAS")&lt;&gt;1,"",IF(COUNTIFS(AK_NAMA,C2584,AK_KAT,"KAS")=1,D2584,C2584)))</f>
        <v/>
      </c>
      <c r="M2584" s="103" t="n">
        <f aca="false">IF(L2584="",0,IF(L2584=D2584,E2584,-E2584))</f>
        <v>0</v>
      </c>
      <c r="N2584" s="102" t="str">
        <f aca="false">IF(L2584="","",IFERROR(INDEX(AK_BARIS,MATCH(L2584,AK_NAMA,0)),"?"))</f>
        <v/>
      </c>
      <c r="O2584" s="102" t="str">
        <f aca="false">IF(C2584="","",IFERROR(INDEX(AK_KEL,MATCH(C2584,AK_NAMA,0)),"?"))</f>
        <v/>
      </c>
      <c r="P2584" s="102" t="str">
        <f aca="false">IF(D2584="","",IFERROR(INDEX(AK_KEL,MATCH(D2584,AK_NAMA,0)),"?"))</f>
        <v/>
      </c>
      <c r="Q2584" s="102" t="n">
        <f aca="false">N(Q2583)+IF(AND(N(E2584)&lt;&gt;0,K2584=TAHUN,N(J2584)&lt;=BLN,OR(C2584=BB_AKUN,D2584=BB_AKUN)),1,0)</f>
        <v>877</v>
      </c>
      <c r="R2584" s="104" t="str">
        <f aca="false">IF(OR(C2584&amp;D2584="",N(E2584)=0),"",IF(OR(O2584="?",P2584="?"),"⚠ akun tidak dikenal",IF(C2584=D2584,"⚠ debet = kredit","")))</f>
        <v/>
      </c>
    </row>
    <row r="2585" customFormat="false" ht="15" hidden="false" customHeight="false" outlineLevel="0" collapsed="false">
      <c r="A2585" s="5"/>
      <c r="B2585" s="83"/>
      <c r="C2585" s="5"/>
      <c r="D2585" s="5"/>
      <c r="E2585" s="44"/>
      <c r="F2585" s="5"/>
      <c r="G2585" s="5"/>
      <c r="H2585" s="5"/>
      <c r="I2585" s="5"/>
      <c r="J2585" s="102" t="str">
        <f aca="false">IF(B2585="","",MONTH(B2585))</f>
        <v/>
      </c>
      <c r="K2585" s="102" t="str">
        <f aca="false">IF(B2585="","",YEAR(B2585))</f>
        <v/>
      </c>
      <c r="L2585" s="102" t="str">
        <f aca="false">IF(N(E2585)=0,"",IF(COUNTIFS(AK_NAMA,C2585,AK_KAT,"KAS")+COUNTIFS(AK_NAMA,D2585,AK_KAT,"KAS")&lt;&gt;1,"",IF(COUNTIFS(AK_NAMA,C2585,AK_KAT,"KAS")=1,D2585,C2585)))</f>
        <v/>
      </c>
      <c r="M2585" s="103" t="n">
        <f aca="false">IF(L2585="",0,IF(L2585=D2585,E2585,-E2585))</f>
        <v>0</v>
      </c>
      <c r="N2585" s="102" t="str">
        <f aca="false">IF(L2585="","",IFERROR(INDEX(AK_BARIS,MATCH(L2585,AK_NAMA,0)),"?"))</f>
        <v/>
      </c>
      <c r="O2585" s="102" t="str">
        <f aca="false">IF(C2585="","",IFERROR(INDEX(AK_KEL,MATCH(C2585,AK_NAMA,0)),"?"))</f>
        <v/>
      </c>
      <c r="P2585" s="102" t="str">
        <f aca="false">IF(D2585="","",IFERROR(INDEX(AK_KEL,MATCH(D2585,AK_NAMA,0)),"?"))</f>
        <v/>
      </c>
      <c r="Q2585" s="102" t="n">
        <f aca="false">N(Q2584)+IF(AND(N(E2585)&lt;&gt;0,K2585=TAHUN,N(J2585)&lt;=BLN,OR(C2585=BB_AKUN,D2585=BB_AKUN)),1,0)</f>
        <v>877</v>
      </c>
      <c r="R2585" s="104" t="str">
        <f aca="false">IF(OR(C2585&amp;D2585="",N(E2585)=0),"",IF(OR(O2585="?",P2585="?"),"⚠ akun tidak dikenal",IF(C2585=D2585,"⚠ debet = kredit","")))</f>
        <v/>
      </c>
    </row>
    <row r="2586" customFormat="false" ht="15" hidden="false" customHeight="false" outlineLevel="0" collapsed="false">
      <c r="A2586" s="5"/>
      <c r="B2586" s="83"/>
      <c r="C2586" s="5"/>
      <c r="D2586" s="5"/>
      <c r="E2586" s="44"/>
      <c r="F2586" s="5"/>
      <c r="G2586" s="5"/>
      <c r="H2586" s="5"/>
      <c r="I2586" s="5"/>
      <c r="J2586" s="102" t="str">
        <f aca="false">IF(B2586="","",MONTH(B2586))</f>
        <v/>
      </c>
      <c r="K2586" s="102" t="str">
        <f aca="false">IF(B2586="","",YEAR(B2586))</f>
        <v/>
      </c>
      <c r="L2586" s="102" t="str">
        <f aca="false">IF(N(E2586)=0,"",IF(COUNTIFS(AK_NAMA,C2586,AK_KAT,"KAS")+COUNTIFS(AK_NAMA,D2586,AK_KAT,"KAS")&lt;&gt;1,"",IF(COUNTIFS(AK_NAMA,C2586,AK_KAT,"KAS")=1,D2586,C2586)))</f>
        <v/>
      </c>
      <c r="M2586" s="103" t="n">
        <f aca="false">IF(L2586="",0,IF(L2586=D2586,E2586,-E2586))</f>
        <v>0</v>
      </c>
      <c r="N2586" s="102" t="str">
        <f aca="false">IF(L2586="","",IFERROR(INDEX(AK_BARIS,MATCH(L2586,AK_NAMA,0)),"?"))</f>
        <v/>
      </c>
      <c r="O2586" s="102" t="str">
        <f aca="false">IF(C2586="","",IFERROR(INDEX(AK_KEL,MATCH(C2586,AK_NAMA,0)),"?"))</f>
        <v/>
      </c>
      <c r="P2586" s="102" t="str">
        <f aca="false">IF(D2586="","",IFERROR(INDEX(AK_KEL,MATCH(D2586,AK_NAMA,0)),"?"))</f>
        <v/>
      </c>
      <c r="Q2586" s="102" t="n">
        <f aca="false">N(Q2585)+IF(AND(N(E2586)&lt;&gt;0,K2586=TAHUN,N(J2586)&lt;=BLN,OR(C2586=BB_AKUN,D2586=BB_AKUN)),1,0)</f>
        <v>877</v>
      </c>
      <c r="R2586" s="104" t="str">
        <f aca="false">IF(OR(C2586&amp;D2586="",N(E2586)=0),"",IF(OR(O2586="?",P2586="?"),"⚠ akun tidak dikenal",IF(C2586=D2586,"⚠ debet = kredit","")))</f>
        <v/>
      </c>
    </row>
    <row r="2587" customFormat="false" ht="15" hidden="false" customHeight="false" outlineLevel="0" collapsed="false">
      <c r="A2587" s="5"/>
      <c r="B2587" s="83"/>
      <c r="C2587" s="5"/>
      <c r="D2587" s="5"/>
      <c r="E2587" s="44"/>
      <c r="F2587" s="5"/>
      <c r="G2587" s="5"/>
      <c r="H2587" s="5"/>
      <c r="I2587" s="5"/>
      <c r="J2587" s="102" t="str">
        <f aca="false">IF(B2587="","",MONTH(B2587))</f>
        <v/>
      </c>
      <c r="K2587" s="102" t="str">
        <f aca="false">IF(B2587="","",YEAR(B2587))</f>
        <v/>
      </c>
      <c r="L2587" s="102" t="str">
        <f aca="false">IF(N(E2587)=0,"",IF(COUNTIFS(AK_NAMA,C2587,AK_KAT,"KAS")+COUNTIFS(AK_NAMA,D2587,AK_KAT,"KAS")&lt;&gt;1,"",IF(COUNTIFS(AK_NAMA,C2587,AK_KAT,"KAS")=1,D2587,C2587)))</f>
        <v/>
      </c>
      <c r="M2587" s="103" t="n">
        <f aca="false">IF(L2587="",0,IF(L2587=D2587,E2587,-E2587))</f>
        <v>0</v>
      </c>
      <c r="N2587" s="102" t="str">
        <f aca="false">IF(L2587="","",IFERROR(INDEX(AK_BARIS,MATCH(L2587,AK_NAMA,0)),"?"))</f>
        <v/>
      </c>
      <c r="O2587" s="102" t="str">
        <f aca="false">IF(C2587="","",IFERROR(INDEX(AK_KEL,MATCH(C2587,AK_NAMA,0)),"?"))</f>
        <v/>
      </c>
      <c r="P2587" s="102" t="str">
        <f aca="false">IF(D2587="","",IFERROR(INDEX(AK_KEL,MATCH(D2587,AK_NAMA,0)),"?"))</f>
        <v/>
      </c>
      <c r="Q2587" s="102" t="n">
        <f aca="false">N(Q2586)+IF(AND(N(E2587)&lt;&gt;0,K2587=TAHUN,N(J2587)&lt;=BLN,OR(C2587=BB_AKUN,D2587=BB_AKUN)),1,0)</f>
        <v>877</v>
      </c>
      <c r="R2587" s="104" t="str">
        <f aca="false">IF(OR(C2587&amp;D2587="",N(E2587)=0),"",IF(OR(O2587="?",P2587="?"),"⚠ akun tidak dikenal",IF(C2587=D2587,"⚠ debet = kredit","")))</f>
        <v/>
      </c>
    </row>
    <row r="2588" customFormat="false" ht="15" hidden="false" customHeight="false" outlineLevel="0" collapsed="false">
      <c r="A2588" s="5"/>
      <c r="B2588" s="83"/>
      <c r="C2588" s="5"/>
      <c r="D2588" s="5"/>
      <c r="E2588" s="44"/>
      <c r="F2588" s="5"/>
      <c r="G2588" s="5"/>
      <c r="H2588" s="5"/>
      <c r="I2588" s="5"/>
      <c r="J2588" s="102" t="str">
        <f aca="false">IF(B2588="","",MONTH(B2588))</f>
        <v/>
      </c>
      <c r="K2588" s="102" t="str">
        <f aca="false">IF(B2588="","",YEAR(B2588))</f>
        <v/>
      </c>
      <c r="L2588" s="102" t="str">
        <f aca="false">IF(N(E2588)=0,"",IF(COUNTIFS(AK_NAMA,C2588,AK_KAT,"KAS")+COUNTIFS(AK_NAMA,D2588,AK_KAT,"KAS")&lt;&gt;1,"",IF(COUNTIFS(AK_NAMA,C2588,AK_KAT,"KAS")=1,D2588,C2588)))</f>
        <v/>
      </c>
      <c r="M2588" s="103" t="n">
        <f aca="false">IF(L2588="",0,IF(L2588=D2588,E2588,-E2588))</f>
        <v>0</v>
      </c>
      <c r="N2588" s="102" t="str">
        <f aca="false">IF(L2588="","",IFERROR(INDEX(AK_BARIS,MATCH(L2588,AK_NAMA,0)),"?"))</f>
        <v/>
      </c>
      <c r="O2588" s="102" t="str">
        <f aca="false">IF(C2588="","",IFERROR(INDEX(AK_KEL,MATCH(C2588,AK_NAMA,0)),"?"))</f>
        <v/>
      </c>
      <c r="P2588" s="102" t="str">
        <f aca="false">IF(D2588="","",IFERROR(INDEX(AK_KEL,MATCH(D2588,AK_NAMA,0)),"?"))</f>
        <v/>
      </c>
      <c r="Q2588" s="102" t="n">
        <f aca="false">N(Q2587)+IF(AND(N(E2588)&lt;&gt;0,K2588=TAHUN,N(J2588)&lt;=BLN,OR(C2588=BB_AKUN,D2588=BB_AKUN)),1,0)</f>
        <v>877</v>
      </c>
      <c r="R2588" s="104" t="str">
        <f aca="false">IF(OR(C2588&amp;D2588="",N(E2588)=0),"",IF(OR(O2588="?",P2588="?"),"⚠ akun tidak dikenal",IF(C2588=D2588,"⚠ debet = kredit","")))</f>
        <v/>
      </c>
    </row>
    <row r="2589" customFormat="false" ht="15" hidden="false" customHeight="false" outlineLevel="0" collapsed="false">
      <c r="A2589" s="5"/>
      <c r="B2589" s="83"/>
      <c r="C2589" s="5"/>
      <c r="D2589" s="5"/>
      <c r="E2589" s="44"/>
      <c r="F2589" s="5"/>
      <c r="G2589" s="5"/>
      <c r="H2589" s="5"/>
      <c r="I2589" s="5"/>
      <c r="J2589" s="102" t="str">
        <f aca="false">IF(B2589="","",MONTH(B2589))</f>
        <v/>
      </c>
      <c r="K2589" s="102" t="str">
        <f aca="false">IF(B2589="","",YEAR(B2589))</f>
        <v/>
      </c>
      <c r="L2589" s="102" t="str">
        <f aca="false">IF(N(E2589)=0,"",IF(COUNTIFS(AK_NAMA,C2589,AK_KAT,"KAS")+COUNTIFS(AK_NAMA,D2589,AK_KAT,"KAS")&lt;&gt;1,"",IF(COUNTIFS(AK_NAMA,C2589,AK_KAT,"KAS")=1,D2589,C2589)))</f>
        <v/>
      </c>
      <c r="M2589" s="103" t="n">
        <f aca="false">IF(L2589="",0,IF(L2589=D2589,E2589,-E2589))</f>
        <v>0</v>
      </c>
      <c r="N2589" s="102" t="str">
        <f aca="false">IF(L2589="","",IFERROR(INDEX(AK_BARIS,MATCH(L2589,AK_NAMA,0)),"?"))</f>
        <v/>
      </c>
      <c r="O2589" s="102" t="str">
        <f aca="false">IF(C2589="","",IFERROR(INDEX(AK_KEL,MATCH(C2589,AK_NAMA,0)),"?"))</f>
        <v/>
      </c>
      <c r="P2589" s="102" t="str">
        <f aca="false">IF(D2589="","",IFERROR(INDEX(AK_KEL,MATCH(D2589,AK_NAMA,0)),"?"))</f>
        <v/>
      </c>
      <c r="Q2589" s="102" t="n">
        <f aca="false">N(Q2588)+IF(AND(N(E2589)&lt;&gt;0,K2589=TAHUN,N(J2589)&lt;=BLN,OR(C2589=BB_AKUN,D2589=BB_AKUN)),1,0)</f>
        <v>877</v>
      </c>
      <c r="R2589" s="104" t="str">
        <f aca="false">IF(OR(C2589&amp;D2589="",N(E2589)=0),"",IF(OR(O2589="?",P2589="?"),"⚠ akun tidak dikenal",IF(C2589=D2589,"⚠ debet = kredit","")))</f>
        <v/>
      </c>
    </row>
    <row r="2590" customFormat="false" ht="15" hidden="false" customHeight="false" outlineLevel="0" collapsed="false">
      <c r="A2590" s="5"/>
      <c r="B2590" s="83"/>
      <c r="C2590" s="5"/>
      <c r="D2590" s="5"/>
      <c r="E2590" s="44"/>
      <c r="F2590" s="5"/>
      <c r="G2590" s="5"/>
      <c r="H2590" s="5"/>
      <c r="I2590" s="5"/>
      <c r="J2590" s="102" t="str">
        <f aca="false">IF(B2590="","",MONTH(B2590))</f>
        <v/>
      </c>
      <c r="K2590" s="102" t="str">
        <f aca="false">IF(B2590="","",YEAR(B2590))</f>
        <v/>
      </c>
      <c r="L2590" s="102" t="str">
        <f aca="false">IF(N(E2590)=0,"",IF(COUNTIFS(AK_NAMA,C2590,AK_KAT,"KAS")+COUNTIFS(AK_NAMA,D2590,AK_KAT,"KAS")&lt;&gt;1,"",IF(COUNTIFS(AK_NAMA,C2590,AK_KAT,"KAS")=1,D2590,C2590)))</f>
        <v/>
      </c>
      <c r="M2590" s="103" t="n">
        <f aca="false">IF(L2590="",0,IF(L2590=D2590,E2590,-E2590))</f>
        <v>0</v>
      </c>
      <c r="N2590" s="102" t="str">
        <f aca="false">IF(L2590="","",IFERROR(INDEX(AK_BARIS,MATCH(L2590,AK_NAMA,0)),"?"))</f>
        <v/>
      </c>
      <c r="O2590" s="102" t="str">
        <f aca="false">IF(C2590="","",IFERROR(INDEX(AK_KEL,MATCH(C2590,AK_NAMA,0)),"?"))</f>
        <v/>
      </c>
      <c r="P2590" s="102" t="str">
        <f aca="false">IF(D2590="","",IFERROR(INDEX(AK_KEL,MATCH(D2590,AK_NAMA,0)),"?"))</f>
        <v/>
      </c>
      <c r="Q2590" s="102" t="n">
        <f aca="false">N(Q2589)+IF(AND(N(E2590)&lt;&gt;0,K2590=TAHUN,N(J2590)&lt;=BLN,OR(C2590=BB_AKUN,D2590=BB_AKUN)),1,0)</f>
        <v>877</v>
      </c>
      <c r="R2590" s="104" t="str">
        <f aca="false">IF(OR(C2590&amp;D2590="",N(E2590)=0),"",IF(OR(O2590="?",P2590="?"),"⚠ akun tidak dikenal",IF(C2590=D2590,"⚠ debet = kredit","")))</f>
        <v/>
      </c>
    </row>
    <row r="2591" customFormat="false" ht="15" hidden="false" customHeight="false" outlineLevel="0" collapsed="false">
      <c r="A2591" s="5"/>
      <c r="B2591" s="83"/>
      <c r="C2591" s="5"/>
      <c r="D2591" s="5"/>
      <c r="E2591" s="44"/>
      <c r="F2591" s="5"/>
      <c r="G2591" s="5"/>
      <c r="H2591" s="5"/>
      <c r="I2591" s="5"/>
      <c r="J2591" s="102" t="str">
        <f aca="false">IF(B2591="","",MONTH(B2591))</f>
        <v/>
      </c>
      <c r="K2591" s="102" t="str">
        <f aca="false">IF(B2591="","",YEAR(B2591))</f>
        <v/>
      </c>
      <c r="L2591" s="102" t="str">
        <f aca="false">IF(N(E2591)=0,"",IF(COUNTIFS(AK_NAMA,C2591,AK_KAT,"KAS")+COUNTIFS(AK_NAMA,D2591,AK_KAT,"KAS")&lt;&gt;1,"",IF(COUNTIFS(AK_NAMA,C2591,AK_KAT,"KAS")=1,D2591,C2591)))</f>
        <v/>
      </c>
      <c r="M2591" s="103" t="n">
        <f aca="false">IF(L2591="",0,IF(L2591=D2591,E2591,-E2591))</f>
        <v>0</v>
      </c>
      <c r="N2591" s="102" t="str">
        <f aca="false">IF(L2591="","",IFERROR(INDEX(AK_BARIS,MATCH(L2591,AK_NAMA,0)),"?"))</f>
        <v/>
      </c>
      <c r="O2591" s="102" t="str">
        <f aca="false">IF(C2591="","",IFERROR(INDEX(AK_KEL,MATCH(C2591,AK_NAMA,0)),"?"))</f>
        <v/>
      </c>
      <c r="P2591" s="102" t="str">
        <f aca="false">IF(D2591="","",IFERROR(INDEX(AK_KEL,MATCH(D2591,AK_NAMA,0)),"?"))</f>
        <v/>
      </c>
      <c r="Q2591" s="102" t="n">
        <f aca="false">N(Q2590)+IF(AND(N(E2591)&lt;&gt;0,K2591=TAHUN,N(J2591)&lt;=BLN,OR(C2591=BB_AKUN,D2591=BB_AKUN)),1,0)</f>
        <v>877</v>
      </c>
      <c r="R2591" s="104" t="str">
        <f aca="false">IF(OR(C2591&amp;D2591="",N(E2591)=0),"",IF(OR(O2591="?",P2591="?"),"⚠ akun tidak dikenal",IF(C2591=D2591,"⚠ debet = kredit","")))</f>
        <v/>
      </c>
    </row>
    <row r="2592" customFormat="false" ht="15" hidden="false" customHeight="false" outlineLevel="0" collapsed="false">
      <c r="A2592" s="5"/>
      <c r="B2592" s="83"/>
      <c r="C2592" s="5"/>
      <c r="D2592" s="5"/>
      <c r="E2592" s="44"/>
      <c r="F2592" s="5"/>
      <c r="G2592" s="5"/>
      <c r="H2592" s="5"/>
      <c r="I2592" s="5"/>
      <c r="J2592" s="102" t="str">
        <f aca="false">IF(B2592="","",MONTH(B2592))</f>
        <v/>
      </c>
      <c r="K2592" s="102" t="str">
        <f aca="false">IF(B2592="","",YEAR(B2592))</f>
        <v/>
      </c>
      <c r="L2592" s="102" t="str">
        <f aca="false">IF(N(E2592)=0,"",IF(COUNTIFS(AK_NAMA,C2592,AK_KAT,"KAS")+COUNTIFS(AK_NAMA,D2592,AK_KAT,"KAS")&lt;&gt;1,"",IF(COUNTIFS(AK_NAMA,C2592,AK_KAT,"KAS")=1,D2592,C2592)))</f>
        <v/>
      </c>
      <c r="M2592" s="103" t="n">
        <f aca="false">IF(L2592="",0,IF(L2592=D2592,E2592,-E2592))</f>
        <v>0</v>
      </c>
      <c r="N2592" s="102" t="str">
        <f aca="false">IF(L2592="","",IFERROR(INDEX(AK_BARIS,MATCH(L2592,AK_NAMA,0)),"?"))</f>
        <v/>
      </c>
      <c r="O2592" s="102" t="str">
        <f aca="false">IF(C2592="","",IFERROR(INDEX(AK_KEL,MATCH(C2592,AK_NAMA,0)),"?"))</f>
        <v/>
      </c>
      <c r="P2592" s="102" t="str">
        <f aca="false">IF(D2592="","",IFERROR(INDEX(AK_KEL,MATCH(D2592,AK_NAMA,0)),"?"))</f>
        <v/>
      </c>
      <c r="Q2592" s="102" t="n">
        <f aca="false">N(Q2591)+IF(AND(N(E2592)&lt;&gt;0,K2592=TAHUN,N(J2592)&lt;=BLN,OR(C2592=BB_AKUN,D2592=BB_AKUN)),1,0)</f>
        <v>877</v>
      </c>
      <c r="R2592" s="104" t="str">
        <f aca="false">IF(OR(C2592&amp;D2592="",N(E2592)=0),"",IF(OR(O2592="?",P2592="?"),"⚠ akun tidak dikenal",IF(C2592=D2592,"⚠ debet = kredit","")))</f>
        <v/>
      </c>
    </row>
    <row r="2593" customFormat="false" ht="15" hidden="false" customHeight="false" outlineLevel="0" collapsed="false">
      <c r="A2593" s="5"/>
      <c r="B2593" s="83"/>
      <c r="C2593" s="5"/>
      <c r="D2593" s="5"/>
      <c r="E2593" s="44"/>
      <c r="F2593" s="5"/>
      <c r="G2593" s="5"/>
      <c r="H2593" s="5"/>
      <c r="I2593" s="5"/>
      <c r="J2593" s="102" t="str">
        <f aca="false">IF(B2593="","",MONTH(B2593))</f>
        <v/>
      </c>
      <c r="K2593" s="102" t="str">
        <f aca="false">IF(B2593="","",YEAR(B2593))</f>
        <v/>
      </c>
      <c r="L2593" s="102" t="str">
        <f aca="false">IF(N(E2593)=0,"",IF(COUNTIFS(AK_NAMA,C2593,AK_KAT,"KAS")+COUNTIFS(AK_NAMA,D2593,AK_KAT,"KAS")&lt;&gt;1,"",IF(COUNTIFS(AK_NAMA,C2593,AK_KAT,"KAS")=1,D2593,C2593)))</f>
        <v/>
      </c>
      <c r="M2593" s="103" t="n">
        <f aca="false">IF(L2593="",0,IF(L2593=D2593,E2593,-E2593))</f>
        <v>0</v>
      </c>
      <c r="N2593" s="102" t="str">
        <f aca="false">IF(L2593="","",IFERROR(INDEX(AK_BARIS,MATCH(L2593,AK_NAMA,0)),"?"))</f>
        <v/>
      </c>
      <c r="O2593" s="102" t="str">
        <f aca="false">IF(C2593="","",IFERROR(INDEX(AK_KEL,MATCH(C2593,AK_NAMA,0)),"?"))</f>
        <v/>
      </c>
      <c r="P2593" s="102" t="str">
        <f aca="false">IF(D2593="","",IFERROR(INDEX(AK_KEL,MATCH(D2593,AK_NAMA,0)),"?"))</f>
        <v/>
      </c>
      <c r="Q2593" s="102" t="n">
        <f aca="false">N(Q2592)+IF(AND(N(E2593)&lt;&gt;0,K2593=TAHUN,N(J2593)&lt;=BLN,OR(C2593=BB_AKUN,D2593=BB_AKUN)),1,0)</f>
        <v>877</v>
      </c>
      <c r="R2593" s="104" t="str">
        <f aca="false">IF(OR(C2593&amp;D2593="",N(E2593)=0),"",IF(OR(O2593="?",P2593="?"),"⚠ akun tidak dikenal",IF(C2593=D2593,"⚠ debet = kredit","")))</f>
        <v/>
      </c>
    </row>
    <row r="2594" customFormat="false" ht="15" hidden="false" customHeight="false" outlineLevel="0" collapsed="false">
      <c r="A2594" s="5"/>
      <c r="B2594" s="83"/>
      <c r="C2594" s="5"/>
      <c r="D2594" s="5"/>
      <c r="E2594" s="44"/>
      <c r="F2594" s="5"/>
      <c r="G2594" s="5"/>
      <c r="H2594" s="5"/>
      <c r="I2594" s="5"/>
      <c r="J2594" s="102" t="str">
        <f aca="false">IF(B2594="","",MONTH(B2594))</f>
        <v/>
      </c>
      <c r="K2594" s="102" t="str">
        <f aca="false">IF(B2594="","",YEAR(B2594))</f>
        <v/>
      </c>
      <c r="L2594" s="102" t="str">
        <f aca="false">IF(N(E2594)=0,"",IF(COUNTIFS(AK_NAMA,C2594,AK_KAT,"KAS")+COUNTIFS(AK_NAMA,D2594,AK_KAT,"KAS")&lt;&gt;1,"",IF(COUNTIFS(AK_NAMA,C2594,AK_KAT,"KAS")=1,D2594,C2594)))</f>
        <v/>
      </c>
      <c r="M2594" s="103" t="n">
        <f aca="false">IF(L2594="",0,IF(L2594=D2594,E2594,-E2594))</f>
        <v>0</v>
      </c>
      <c r="N2594" s="102" t="str">
        <f aca="false">IF(L2594="","",IFERROR(INDEX(AK_BARIS,MATCH(L2594,AK_NAMA,0)),"?"))</f>
        <v/>
      </c>
      <c r="O2594" s="102" t="str">
        <f aca="false">IF(C2594="","",IFERROR(INDEX(AK_KEL,MATCH(C2594,AK_NAMA,0)),"?"))</f>
        <v/>
      </c>
      <c r="P2594" s="102" t="str">
        <f aca="false">IF(D2594="","",IFERROR(INDEX(AK_KEL,MATCH(D2594,AK_NAMA,0)),"?"))</f>
        <v/>
      </c>
      <c r="Q2594" s="102" t="n">
        <f aca="false">N(Q2593)+IF(AND(N(E2594)&lt;&gt;0,K2594=TAHUN,N(J2594)&lt;=BLN,OR(C2594=BB_AKUN,D2594=BB_AKUN)),1,0)</f>
        <v>877</v>
      </c>
      <c r="R2594" s="104" t="str">
        <f aca="false">IF(OR(C2594&amp;D2594="",N(E2594)=0),"",IF(OR(O2594="?",P2594="?"),"⚠ akun tidak dikenal",IF(C2594=D2594,"⚠ debet = kredit","")))</f>
        <v/>
      </c>
    </row>
    <row r="2595" customFormat="false" ht="15" hidden="false" customHeight="false" outlineLevel="0" collapsed="false">
      <c r="A2595" s="5"/>
      <c r="B2595" s="83"/>
      <c r="C2595" s="5"/>
      <c r="D2595" s="5"/>
      <c r="E2595" s="44"/>
      <c r="F2595" s="5"/>
      <c r="G2595" s="5"/>
      <c r="H2595" s="5"/>
      <c r="I2595" s="5"/>
      <c r="J2595" s="102" t="str">
        <f aca="false">IF(B2595="","",MONTH(B2595))</f>
        <v/>
      </c>
      <c r="K2595" s="102" t="str">
        <f aca="false">IF(B2595="","",YEAR(B2595))</f>
        <v/>
      </c>
      <c r="L2595" s="102" t="str">
        <f aca="false">IF(N(E2595)=0,"",IF(COUNTIFS(AK_NAMA,C2595,AK_KAT,"KAS")+COUNTIFS(AK_NAMA,D2595,AK_KAT,"KAS")&lt;&gt;1,"",IF(COUNTIFS(AK_NAMA,C2595,AK_KAT,"KAS")=1,D2595,C2595)))</f>
        <v/>
      </c>
      <c r="M2595" s="103" t="n">
        <f aca="false">IF(L2595="",0,IF(L2595=D2595,E2595,-E2595))</f>
        <v>0</v>
      </c>
      <c r="N2595" s="102" t="str">
        <f aca="false">IF(L2595="","",IFERROR(INDEX(AK_BARIS,MATCH(L2595,AK_NAMA,0)),"?"))</f>
        <v/>
      </c>
      <c r="O2595" s="102" t="str">
        <f aca="false">IF(C2595="","",IFERROR(INDEX(AK_KEL,MATCH(C2595,AK_NAMA,0)),"?"))</f>
        <v/>
      </c>
      <c r="P2595" s="102" t="str">
        <f aca="false">IF(D2595="","",IFERROR(INDEX(AK_KEL,MATCH(D2595,AK_NAMA,0)),"?"))</f>
        <v/>
      </c>
      <c r="Q2595" s="102" t="n">
        <f aca="false">N(Q2594)+IF(AND(N(E2595)&lt;&gt;0,K2595=TAHUN,N(J2595)&lt;=BLN,OR(C2595=BB_AKUN,D2595=BB_AKUN)),1,0)</f>
        <v>877</v>
      </c>
      <c r="R2595" s="104" t="str">
        <f aca="false">IF(OR(C2595&amp;D2595="",N(E2595)=0),"",IF(OR(O2595="?",P2595="?"),"⚠ akun tidak dikenal",IF(C2595=D2595,"⚠ debet = kredit","")))</f>
        <v/>
      </c>
    </row>
    <row r="2596" customFormat="false" ht="15" hidden="false" customHeight="false" outlineLevel="0" collapsed="false">
      <c r="A2596" s="5"/>
      <c r="B2596" s="83"/>
      <c r="C2596" s="5"/>
      <c r="D2596" s="5"/>
      <c r="E2596" s="44"/>
      <c r="F2596" s="5"/>
      <c r="G2596" s="5"/>
      <c r="H2596" s="5"/>
      <c r="I2596" s="5"/>
      <c r="J2596" s="102" t="str">
        <f aca="false">IF(B2596="","",MONTH(B2596))</f>
        <v/>
      </c>
      <c r="K2596" s="102" t="str">
        <f aca="false">IF(B2596="","",YEAR(B2596))</f>
        <v/>
      </c>
      <c r="L2596" s="102" t="str">
        <f aca="false">IF(N(E2596)=0,"",IF(COUNTIFS(AK_NAMA,C2596,AK_KAT,"KAS")+COUNTIFS(AK_NAMA,D2596,AK_KAT,"KAS")&lt;&gt;1,"",IF(COUNTIFS(AK_NAMA,C2596,AK_KAT,"KAS")=1,D2596,C2596)))</f>
        <v/>
      </c>
      <c r="M2596" s="103" t="n">
        <f aca="false">IF(L2596="",0,IF(L2596=D2596,E2596,-E2596))</f>
        <v>0</v>
      </c>
      <c r="N2596" s="102" t="str">
        <f aca="false">IF(L2596="","",IFERROR(INDEX(AK_BARIS,MATCH(L2596,AK_NAMA,0)),"?"))</f>
        <v/>
      </c>
      <c r="O2596" s="102" t="str">
        <f aca="false">IF(C2596="","",IFERROR(INDEX(AK_KEL,MATCH(C2596,AK_NAMA,0)),"?"))</f>
        <v/>
      </c>
      <c r="P2596" s="102" t="str">
        <f aca="false">IF(D2596="","",IFERROR(INDEX(AK_KEL,MATCH(D2596,AK_NAMA,0)),"?"))</f>
        <v/>
      </c>
      <c r="Q2596" s="102" t="n">
        <f aca="false">N(Q2595)+IF(AND(N(E2596)&lt;&gt;0,K2596=TAHUN,N(J2596)&lt;=BLN,OR(C2596=BB_AKUN,D2596=BB_AKUN)),1,0)</f>
        <v>877</v>
      </c>
      <c r="R2596" s="104" t="str">
        <f aca="false">IF(OR(C2596&amp;D2596="",N(E2596)=0),"",IF(OR(O2596="?",P2596="?"),"⚠ akun tidak dikenal",IF(C2596=D2596,"⚠ debet = kredit","")))</f>
        <v/>
      </c>
    </row>
    <row r="2597" customFormat="false" ht="15" hidden="false" customHeight="false" outlineLevel="0" collapsed="false">
      <c r="A2597" s="5"/>
      <c r="B2597" s="83"/>
      <c r="C2597" s="5"/>
      <c r="D2597" s="5"/>
      <c r="E2597" s="44"/>
      <c r="F2597" s="5"/>
      <c r="G2597" s="5"/>
      <c r="H2597" s="5"/>
      <c r="I2597" s="5"/>
      <c r="J2597" s="102" t="str">
        <f aca="false">IF(B2597="","",MONTH(B2597))</f>
        <v/>
      </c>
      <c r="K2597" s="102" t="str">
        <f aca="false">IF(B2597="","",YEAR(B2597))</f>
        <v/>
      </c>
      <c r="L2597" s="102" t="str">
        <f aca="false">IF(N(E2597)=0,"",IF(COUNTIFS(AK_NAMA,C2597,AK_KAT,"KAS")+COUNTIFS(AK_NAMA,D2597,AK_KAT,"KAS")&lt;&gt;1,"",IF(COUNTIFS(AK_NAMA,C2597,AK_KAT,"KAS")=1,D2597,C2597)))</f>
        <v/>
      </c>
      <c r="M2597" s="103" t="n">
        <f aca="false">IF(L2597="",0,IF(L2597=D2597,E2597,-E2597))</f>
        <v>0</v>
      </c>
      <c r="N2597" s="102" t="str">
        <f aca="false">IF(L2597="","",IFERROR(INDEX(AK_BARIS,MATCH(L2597,AK_NAMA,0)),"?"))</f>
        <v/>
      </c>
      <c r="O2597" s="102" t="str">
        <f aca="false">IF(C2597="","",IFERROR(INDEX(AK_KEL,MATCH(C2597,AK_NAMA,0)),"?"))</f>
        <v/>
      </c>
      <c r="P2597" s="102" t="str">
        <f aca="false">IF(D2597="","",IFERROR(INDEX(AK_KEL,MATCH(D2597,AK_NAMA,0)),"?"))</f>
        <v/>
      </c>
      <c r="Q2597" s="102" t="n">
        <f aca="false">N(Q2596)+IF(AND(N(E2597)&lt;&gt;0,K2597=TAHUN,N(J2597)&lt;=BLN,OR(C2597=BB_AKUN,D2597=BB_AKUN)),1,0)</f>
        <v>877</v>
      </c>
      <c r="R2597" s="104" t="str">
        <f aca="false">IF(OR(C2597&amp;D2597="",N(E2597)=0),"",IF(OR(O2597="?",P2597="?"),"⚠ akun tidak dikenal",IF(C2597=D2597,"⚠ debet = kredit","")))</f>
        <v/>
      </c>
    </row>
    <row r="2598" customFormat="false" ht="15" hidden="false" customHeight="false" outlineLevel="0" collapsed="false">
      <c r="A2598" s="5"/>
      <c r="B2598" s="83"/>
      <c r="C2598" s="5"/>
      <c r="D2598" s="5"/>
      <c r="E2598" s="44"/>
      <c r="F2598" s="5"/>
      <c r="G2598" s="5"/>
      <c r="H2598" s="5"/>
      <c r="I2598" s="5"/>
      <c r="J2598" s="102" t="str">
        <f aca="false">IF(B2598="","",MONTH(B2598))</f>
        <v/>
      </c>
      <c r="K2598" s="102" t="str">
        <f aca="false">IF(B2598="","",YEAR(B2598))</f>
        <v/>
      </c>
      <c r="L2598" s="102" t="str">
        <f aca="false">IF(N(E2598)=0,"",IF(COUNTIFS(AK_NAMA,C2598,AK_KAT,"KAS")+COUNTIFS(AK_NAMA,D2598,AK_KAT,"KAS")&lt;&gt;1,"",IF(COUNTIFS(AK_NAMA,C2598,AK_KAT,"KAS")=1,D2598,C2598)))</f>
        <v/>
      </c>
      <c r="M2598" s="103" t="n">
        <f aca="false">IF(L2598="",0,IF(L2598=D2598,E2598,-E2598))</f>
        <v>0</v>
      </c>
      <c r="N2598" s="102" t="str">
        <f aca="false">IF(L2598="","",IFERROR(INDEX(AK_BARIS,MATCH(L2598,AK_NAMA,0)),"?"))</f>
        <v/>
      </c>
      <c r="O2598" s="102" t="str">
        <f aca="false">IF(C2598="","",IFERROR(INDEX(AK_KEL,MATCH(C2598,AK_NAMA,0)),"?"))</f>
        <v/>
      </c>
      <c r="P2598" s="102" t="str">
        <f aca="false">IF(D2598="","",IFERROR(INDEX(AK_KEL,MATCH(D2598,AK_NAMA,0)),"?"))</f>
        <v/>
      </c>
      <c r="Q2598" s="102" t="n">
        <f aca="false">N(Q2597)+IF(AND(N(E2598)&lt;&gt;0,K2598=TAHUN,N(J2598)&lt;=BLN,OR(C2598=BB_AKUN,D2598=BB_AKUN)),1,0)</f>
        <v>877</v>
      </c>
      <c r="R2598" s="104" t="str">
        <f aca="false">IF(OR(C2598&amp;D2598="",N(E2598)=0),"",IF(OR(O2598="?",P2598="?"),"⚠ akun tidak dikenal",IF(C2598=D2598,"⚠ debet = kredit","")))</f>
        <v/>
      </c>
    </row>
    <row r="2599" customFormat="false" ht="15" hidden="false" customHeight="false" outlineLevel="0" collapsed="false">
      <c r="A2599" s="5"/>
      <c r="B2599" s="83"/>
      <c r="C2599" s="5"/>
      <c r="D2599" s="5"/>
      <c r="E2599" s="44"/>
      <c r="F2599" s="5"/>
      <c r="G2599" s="5"/>
      <c r="H2599" s="5"/>
      <c r="I2599" s="5"/>
      <c r="J2599" s="102" t="str">
        <f aca="false">IF(B2599="","",MONTH(B2599))</f>
        <v/>
      </c>
      <c r="K2599" s="102" t="str">
        <f aca="false">IF(B2599="","",YEAR(B2599))</f>
        <v/>
      </c>
      <c r="L2599" s="102" t="str">
        <f aca="false">IF(N(E2599)=0,"",IF(COUNTIFS(AK_NAMA,C2599,AK_KAT,"KAS")+COUNTIFS(AK_NAMA,D2599,AK_KAT,"KAS")&lt;&gt;1,"",IF(COUNTIFS(AK_NAMA,C2599,AK_KAT,"KAS")=1,D2599,C2599)))</f>
        <v/>
      </c>
      <c r="M2599" s="103" t="n">
        <f aca="false">IF(L2599="",0,IF(L2599=D2599,E2599,-E2599))</f>
        <v>0</v>
      </c>
      <c r="N2599" s="102" t="str">
        <f aca="false">IF(L2599="","",IFERROR(INDEX(AK_BARIS,MATCH(L2599,AK_NAMA,0)),"?"))</f>
        <v/>
      </c>
      <c r="O2599" s="102" t="str">
        <f aca="false">IF(C2599="","",IFERROR(INDEX(AK_KEL,MATCH(C2599,AK_NAMA,0)),"?"))</f>
        <v/>
      </c>
      <c r="P2599" s="102" t="str">
        <f aca="false">IF(D2599="","",IFERROR(INDEX(AK_KEL,MATCH(D2599,AK_NAMA,0)),"?"))</f>
        <v/>
      </c>
      <c r="Q2599" s="102" t="n">
        <f aca="false">N(Q2598)+IF(AND(N(E2599)&lt;&gt;0,K2599=TAHUN,N(J2599)&lt;=BLN,OR(C2599=BB_AKUN,D2599=BB_AKUN)),1,0)</f>
        <v>877</v>
      </c>
      <c r="R2599" s="104" t="str">
        <f aca="false">IF(OR(C2599&amp;D2599="",N(E2599)=0),"",IF(OR(O2599="?",P2599="?"),"⚠ akun tidak dikenal",IF(C2599=D2599,"⚠ debet = kredit","")))</f>
        <v/>
      </c>
    </row>
    <row r="2600" customFormat="false" ht="15" hidden="false" customHeight="false" outlineLevel="0" collapsed="false">
      <c r="A2600" s="5"/>
      <c r="B2600" s="83"/>
      <c r="C2600" s="5"/>
      <c r="D2600" s="5"/>
      <c r="E2600" s="44"/>
      <c r="F2600" s="5"/>
      <c r="G2600" s="5"/>
      <c r="H2600" s="5"/>
      <c r="I2600" s="5"/>
      <c r="J2600" s="102" t="str">
        <f aca="false">IF(B2600="","",MONTH(B2600))</f>
        <v/>
      </c>
      <c r="K2600" s="102" t="str">
        <f aca="false">IF(B2600="","",YEAR(B2600))</f>
        <v/>
      </c>
      <c r="L2600" s="102" t="str">
        <f aca="false">IF(N(E2600)=0,"",IF(COUNTIFS(AK_NAMA,C2600,AK_KAT,"KAS")+COUNTIFS(AK_NAMA,D2600,AK_KAT,"KAS")&lt;&gt;1,"",IF(COUNTIFS(AK_NAMA,C2600,AK_KAT,"KAS")=1,D2600,C2600)))</f>
        <v/>
      </c>
      <c r="M2600" s="103" t="n">
        <f aca="false">IF(L2600="",0,IF(L2600=D2600,E2600,-E2600))</f>
        <v>0</v>
      </c>
      <c r="N2600" s="102" t="str">
        <f aca="false">IF(L2600="","",IFERROR(INDEX(AK_BARIS,MATCH(L2600,AK_NAMA,0)),"?"))</f>
        <v/>
      </c>
      <c r="O2600" s="102" t="str">
        <f aca="false">IF(C2600="","",IFERROR(INDEX(AK_KEL,MATCH(C2600,AK_NAMA,0)),"?"))</f>
        <v/>
      </c>
      <c r="P2600" s="102" t="str">
        <f aca="false">IF(D2600="","",IFERROR(INDEX(AK_KEL,MATCH(D2600,AK_NAMA,0)),"?"))</f>
        <v/>
      </c>
      <c r="Q2600" s="102" t="n">
        <f aca="false">N(Q2599)+IF(AND(N(E2600)&lt;&gt;0,K2600=TAHUN,N(J2600)&lt;=BLN,OR(C2600=BB_AKUN,D2600=BB_AKUN)),1,0)</f>
        <v>877</v>
      </c>
      <c r="R2600" s="104" t="str">
        <f aca="false">IF(OR(C2600&amp;D2600="",N(E2600)=0),"",IF(OR(O2600="?",P2600="?"),"⚠ akun tidak dikenal",IF(C2600=D2600,"⚠ debet = kredit","")))</f>
        <v/>
      </c>
    </row>
    <row r="2601" customFormat="false" ht="15" hidden="false" customHeight="false" outlineLevel="0" collapsed="false">
      <c r="A2601" s="5"/>
      <c r="B2601" s="83"/>
      <c r="C2601" s="5"/>
      <c r="D2601" s="5"/>
      <c r="E2601" s="44"/>
      <c r="F2601" s="5"/>
      <c r="G2601" s="5"/>
      <c r="H2601" s="5"/>
      <c r="I2601" s="5"/>
      <c r="J2601" s="102" t="str">
        <f aca="false">IF(B2601="","",MONTH(B2601))</f>
        <v/>
      </c>
      <c r="K2601" s="102" t="str">
        <f aca="false">IF(B2601="","",YEAR(B2601))</f>
        <v/>
      </c>
      <c r="L2601" s="102" t="str">
        <f aca="false">IF(N(E2601)=0,"",IF(COUNTIFS(AK_NAMA,C2601,AK_KAT,"KAS")+COUNTIFS(AK_NAMA,D2601,AK_KAT,"KAS")&lt;&gt;1,"",IF(COUNTIFS(AK_NAMA,C2601,AK_KAT,"KAS")=1,D2601,C2601)))</f>
        <v/>
      </c>
      <c r="M2601" s="103" t="n">
        <f aca="false">IF(L2601="",0,IF(L2601=D2601,E2601,-E2601))</f>
        <v>0</v>
      </c>
      <c r="N2601" s="102" t="str">
        <f aca="false">IF(L2601="","",IFERROR(INDEX(AK_BARIS,MATCH(L2601,AK_NAMA,0)),"?"))</f>
        <v/>
      </c>
      <c r="O2601" s="102" t="str">
        <f aca="false">IF(C2601="","",IFERROR(INDEX(AK_KEL,MATCH(C2601,AK_NAMA,0)),"?"))</f>
        <v/>
      </c>
      <c r="P2601" s="102" t="str">
        <f aca="false">IF(D2601="","",IFERROR(INDEX(AK_KEL,MATCH(D2601,AK_NAMA,0)),"?"))</f>
        <v/>
      </c>
      <c r="Q2601" s="102" t="n">
        <f aca="false">N(Q2600)+IF(AND(N(E2601)&lt;&gt;0,K2601=TAHUN,N(J2601)&lt;=BLN,OR(C2601=BB_AKUN,D2601=BB_AKUN)),1,0)</f>
        <v>877</v>
      </c>
      <c r="R2601" s="104" t="str">
        <f aca="false">IF(OR(C2601&amp;D2601="",N(E2601)=0),"",IF(OR(O2601="?",P2601="?"),"⚠ akun tidak dikenal",IF(C2601=D2601,"⚠ debet = kredit","")))</f>
        <v/>
      </c>
    </row>
    <row r="2602" customFormat="false" ht="15" hidden="false" customHeight="false" outlineLevel="0" collapsed="false">
      <c r="A2602" s="5"/>
      <c r="B2602" s="83"/>
      <c r="C2602" s="5"/>
      <c r="D2602" s="5"/>
      <c r="E2602" s="44"/>
      <c r="F2602" s="5"/>
      <c r="G2602" s="5"/>
      <c r="H2602" s="5"/>
      <c r="I2602" s="5"/>
      <c r="J2602" s="102" t="str">
        <f aca="false">IF(B2602="","",MONTH(B2602))</f>
        <v/>
      </c>
      <c r="K2602" s="102" t="str">
        <f aca="false">IF(B2602="","",YEAR(B2602))</f>
        <v/>
      </c>
      <c r="L2602" s="102" t="str">
        <f aca="false">IF(N(E2602)=0,"",IF(COUNTIFS(AK_NAMA,C2602,AK_KAT,"KAS")+COUNTIFS(AK_NAMA,D2602,AK_KAT,"KAS")&lt;&gt;1,"",IF(COUNTIFS(AK_NAMA,C2602,AK_KAT,"KAS")=1,D2602,C2602)))</f>
        <v/>
      </c>
      <c r="M2602" s="103" t="n">
        <f aca="false">IF(L2602="",0,IF(L2602=D2602,E2602,-E2602))</f>
        <v>0</v>
      </c>
      <c r="N2602" s="102" t="str">
        <f aca="false">IF(L2602="","",IFERROR(INDEX(AK_BARIS,MATCH(L2602,AK_NAMA,0)),"?"))</f>
        <v/>
      </c>
      <c r="O2602" s="102" t="str">
        <f aca="false">IF(C2602="","",IFERROR(INDEX(AK_KEL,MATCH(C2602,AK_NAMA,0)),"?"))</f>
        <v/>
      </c>
      <c r="P2602" s="102" t="str">
        <f aca="false">IF(D2602="","",IFERROR(INDEX(AK_KEL,MATCH(D2602,AK_NAMA,0)),"?"))</f>
        <v/>
      </c>
      <c r="Q2602" s="102" t="n">
        <f aca="false">N(Q2601)+IF(AND(N(E2602)&lt;&gt;0,K2602=TAHUN,N(J2602)&lt;=BLN,OR(C2602=BB_AKUN,D2602=BB_AKUN)),1,0)</f>
        <v>877</v>
      </c>
      <c r="R2602" s="104" t="str">
        <f aca="false">IF(OR(C2602&amp;D2602="",N(E2602)=0),"",IF(OR(O2602="?",P2602="?"),"⚠ akun tidak dikenal",IF(C2602=D2602,"⚠ debet = kredit","")))</f>
        <v/>
      </c>
    </row>
    <row r="2603" customFormat="false" ht="15" hidden="false" customHeight="false" outlineLevel="0" collapsed="false">
      <c r="A2603" s="5"/>
      <c r="B2603" s="83"/>
      <c r="C2603" s="5"/>
      <c r="D2603" s="5"/>
      <c r="E2603" s="44"/>
      <c r="F2603" s="5"/>
      <c r="G2603" s="5"/>
      <c r="H2603" s="5"/>
      <c r="I2603" s="5"/>
      <c r="J2603" s="102" t="str">
        <f aca="false">IF(B2603="","",MONTH(B2603))</f>
        <v/>
      </c>
      <c r="K2603" s="102" t="str">
        <f aca="false">IF(B2603="","",YEAR(B2603))</f>
        <v/>
      </c>
      <c r="L2603" s="102" t="str">
        <f aca="false">IF(N(E2603)=0,"",IF(COUNTIFS(AK_NAMA,C2603,AK_KAT,"KAS")+COUNTIFS(AK_NAMA,D2603,AK_KAT,"KAS")&lt;&gt;1,"",IF(COUNTIFS(AK_NAMA,C2603,AK_KAT,"KAS")=1,D2603,C2603)))</f>
        <v/>
      </c>
      <c r="M2603" s="103" t="n">
        <f aca="false">IF(L2603="",0,IF(L2603=D2603,E2603,-E2603))</f>
        <v>0</v>
      </c>
      <c r="N2603" s="102" t="str">
        <f aca="false">IF(L2603="","",IFERROR(INDEX(AK_BARIS,MATCH(L2603,AK_NAMA,0)),"?"))</f>
        <v/>
      </c>
      <c r="O2603" s="102" t="str">
        <f aca="false">IF(C2603="","",IFERROR(INDEX(AK_KEL,MATCH(C2603,AK_NAMA,0)),"?"))</f>
        <v/>
      </c>
      <c r="P2603" s="102" t="str">
        <f aca="false">IF(D2603="","",IFERROR(INDEX(AK_KEL,MATCH(D2603,AK_NAMA,0)),"?"))</f>
        <v/>
      </c>
      <c r="Q2603" s="102" t="n">
        <f aca="false">N(Q2602)+IF(AND(N(E2603)&lt;&gt;0,K2603=TAHUN,N(J2603)&lt;=BLN,OR(C2603=BB_AKUN,D2603=BB_AKUN)),1,0)</f>
        <v>877</v>
      </c>
      <c r="R2603" s="104" t="str">
        <f aca="false">IF(OR(C2603&amp;D2603="",N(E2603)=0),"",IF(OR(O2603="?",P2603="?"),"⚠ akun tidak dikenal",IF(C2603=D2603,"⚠ debet = kredit","")))</f>
        <v/>
      </c>
    </row>
    <row r="2604" customFormat="false" ht="15" hidden="false" customHeight="false" outlineLevel="0" collapsed="false">
      <c r="A2604" s="5"/>
      <c r="B2604" s="83"/>
      <c r="C2604" s="5"/>
      <c r="D2604" s="5"/>
      <c r="E2604" s="44"/>
      <c r="F2604" s="5"/>
      <c r="G2604" s="5"/>
      <c r="H2604" s="5"/>
      <c r="I2604" s="5"/>
      <c r="J2604" s="102" t="str">
        <f aca="false">IF(B2604="","",MONTH(B2604))</f>
        <v/>
      </c>
      <c r="K2604" s="102" t="str">
        <f aca="false">IF(B2604="","",YEAR(B2604))</f>
        <v/>
      </c>
      <c r="L2604" s="102" t="str">
        <f aca="false">IF(N(E2604)=0,"",IF(COUNTIFS(AK_NAMA,C2604,AK_KAT,"KAS")+COUNTIFS(AK_NAMA,D2604,AK_KAT,"KAS")&lt;&gt;1,"",IF(COUNTIFS(AK_NAMA,C2604,AK_KAT,"KAS")=1,D2604,C2604)))</f>
        <v/>
      </c>
      <c r="M2604" s="103" t="n">
        <f aca="false">IF(L2604="",0,IF(L2604=D2604,E2604,-E2604))</f>
        <v>0</v>
      </c>
      <c r="N2604" s="102" t="str">
        <f aca="false">IF(L2604="","",IFERROR(INDEX(AK_BARIS,MATCH(L2604,AK_NAMA,0)),"?"))</f>
        <v/>
      </c>
      <c r="O2604" s="102" t="str">
        <f aca="false">IF(C2604="","",IFERROR(INDEX(AK_KEL,MATCH(C2604,AK_NAMA,0)),"?"))</f>
        <v/>
      </c>
      <c r="P2604" s="102" t="str">
        <f aca="false">IF(D2604="","",IFERROR(INDEX(AK_KEL,MATCH(D2604,AK_NAMA,0)),"?"))</f>
        <v/>
      </c>
      <c r="Q2604" s="102" t="n">
        <f aca="false">N(Q2603)+IF(AND(N(E2604)&lt;&gt;0,K2604=TAHUN,N(J2604)&lt;=BLN,OR(C2604=BB_AKUN,D2604=BB_AKUN)),1,0)</f>
        <v>877</v>
      </c>
      <c r="R2604" s="104" t="str">
        <f aca="false">IF(OR(C2604&amp;D2604="",N(E2604)=0),"",IF(OR(O2604="?",P2604="?"),"⚠ akun tidak dikenal",IF(C2604=D2604,"⚠ debet = kredit","")))</f>
        <v/>
      </c>
    </row>
    <row r="2605" customFormat="false" ht="15" hidden="false" customHeight="false" outlineLevel="0" collapsed="false">
      <c r="A2605" s="5"/>
      <c r="B2605" s="83"/>
      <c r="C2605" s="5"/>
      <c r="D2605" s="5"/>
      <c r="E2605" s="44"/>
      <c r="F2605" s="5"/>
      <c r="G2605" s="5"/>
      <c r="H2605" s="5"/>
      <c r="I2605" s="5"/>
      <c r="J2605" s="102" t="str">
        <f aca="false">IF(B2605="","",MONTH(B2605))</f>
        <v/>
      </c>
      <c r="K2605" s="102" t="str">
        <f aca="false">IF(B2605="","",YEAR(B2605))</f>
        <v/>
      </c>
      <c r="L2605" s="102" t="str">
        <f aca="false">IF(N(E2605)=0,"",IF(COUNTIFS(AK_NAMA,C2605,AK_KAT,"KAS")+COUNTIFS(AK_NAMA,D2605,AK_KAT,"KAS")&lt;&gt;1,"",IF(COUNTIFS(AK_NAMA,C2605,AK_KAT,"KAS")=1,D2605,C2605)))</f>
        <v/>
      </c>
      <c r="M2605" s="103" t="n">
        <f aca="false">IF(L2605="",0,IF(L2605=D2605,E2605,-E2605))</f>
        <v>0</v>
      </c>
      <c r="N2605" s="102" t="str">
        <f aca="false">IF(L2605="","",IFERROR(INDEX(AK_BARIS,MATCH(L2605,AK_NAMA,0)),"?"))</f>
        <v/>
      </c>
      <c r="O2605" s="102" t="str">
        <f aca="false">IF(C2605="","",IFERROR(INDEX(AK_KEL,MATCH(C2605,AK_NAMA,0)),"?"))</f>
        <v/>
      </c>
      <c r="P2605" s="102" t="str">
        <f aca="false">IF(D2605="","",IFERROR(INDEX(AK_KEL,MATCH(D2605,AK_NAMA,0)),"?"))</f>
        <v/>
      </c>
      <c r="Q2605" s="102" t="n">
        <f aca="false">N(Q2604)+IF(AND(N(E2605)&lt;&gt;0,K2605=TAHUN,N(J2605)&lt;=BLN,OR(C2605=BB_AKUN,D2605=BB_AKUN)),1,0)</f>
        <v>877</v>
      </c>
      <c r="R2605" s="104" t="str">
        <f aca="false">IF(OR(C2605&amp;D2605="",N(E2605)=0),"",IF(OR(O2605="?",P2605="?"),"⚠ akun tidak dikenal",IF(C2605=D2605,"⚠ debet = kredit","")))</f>
        <v/>
      </c>
    </row>
    <row r="2606" customFormat="false" ht="15" hidden="false" customHeight="false" outlineLevel="0" collapsed="false">
      <c r="A2606" s="5"/>
      <c r="B2606" s="83"/>
      <c r="C2606" s="5"/>
      <c r="D2606" s="5"/>
      <c r="E2606" s="44"/>
      <c r="F2606" s="5"/>
      <c r="G2606" s="5"/>
      <c r="H2606" s="5"/>
      <c r="I2606" s="5"/>
      <c r="J2606" s="102" t="str">
        <f aca="false">IF(B2606="","",MONTH(B2606))</f>
        <v/>
      </c>
      <c r="K2606" s="102" t="str">
        <f aca="false">IF(B2606="","",YEAR(B2606))</f>
        <v/>
      </c>
      <c r="L2606" s="102" t="str">
        <f aca="false">IF(N(E2606)=0,"",IF(COUNTIFS(AK_NAMA,C2606,AK_KAT,"KAS")+COUNTIFS(AK_NAMA,D2606,AK_KAT,"KAS")&lt;&gt;1,"",IF(COUNTIFS(AK_NAMA,C2606,AK_KAT,"KAS")=1,D2606,C2606)))</f>
        <v/>
      </c>
      <c r="M2606" s="103" t="n">
        <f aca="false">IF(L2606="",0,IF(L2606=D2606,E2606,-E2606))</f>
        <v>0</v>
      </c>
      <c r="N2606" s="102" t="str">
        <f aca="false">IF(L2606="","",IFERROR(INDEX(AK_BARIS,MATCH(L2606,AK_NAMA,0)),"?"))</f>
        <v/>
      </c>
      <c r="O2606" s="102" t="str">
        <f aca="false">IF(C2606="","",IFERROR(INDEX(AK_KEL,MATCH(C2606,AK_NAMA,0)),"?"))</f>
        <v/>
      </c>
      <c r="P2606" s="102" t="str">
        <f aca="false">IF(D2606="","",IFERROR(INDEX(AK_KEL,MATCH(D2606,AK_NAMA,0)),"?"))</f>
        <v/>
      </c>
      <c r="Q2606" s="102" t="n">
        <f aca="false">N(Q2605)+IF(AND(N(E2606)&lt;&gt;0,K2606=TAHUN,N(J2606)&lt;=BLN,OR(C2606=BB_AKUN,D2606=BB_AKUN)),1,0)</f>
        <v>877</v>
      </c>
      <c r="R2606" s="104" t="str">
        <f aca="false">IF(OR(C2606&amp;D2606="",N(E2606)=0),"",IF(OR(O2606="?",P2606="?"),"⚠ akun tidak dikenal",IF(C2606=D2606,"⚠ debet = kredit","")))</f>
        <v/>
      </c>
    </row>
    <row r="2607" customFormat="false" ht="15" hidden="false" customHeight="false" outlineLevel="0" collapsed="false">
      <c r="A2607" s="5"/>
      <c r="B2607" s="83"/>
      <c r="C2607" s="5"/>
      <c r="D2607" s="5"/>
      <c r="E2607" s="44"/>
      <c r="F2607" s="5"/>
      <c r="G2607" s="5"/>
      <c r="H2607" s="5"/>
      <c r="I2607" s="5"/>
      <c r="J2607" s="102" t="str">
        <f aca="false">IF(B2607="","",MONTH(B2607))</f>
        <v/>
      </c>
      <c r="K2607" s="102" t="str">
        <f aca="false">IF(B2607="","",YEAR(B2607))</f>
        <v/>
      </c>
      <c r="L2607" s="102" t="str">
        <f aca="false">IF(N(E2607)=0,"",IF(COUNTIFS(AK_NAMA,C2607,AK_KAT,"KAS")+COUNTIFS(AK_NAMA,D2607,AK_KAT,"KAS")&lt;&gt;1,"",IF(COUNTIFS(AK_NAMA,C2607,AK_KAT,"KAS")=1,D2607,C2607)))</f>
        <v/>
      </c>
      <c r="M2607" s="103" t="n">
        <f aca="false">IF(L2607="",0,IF(L2607=D2607,E2607,-E2607))</f>
        <v>0</v>
      </c>
      <c r="N2607" s="102" t="str">
        <f aca="false">IF(L2607="","",IFERROR(INDEX(AK_BARIS,MATCH(L2607,AK_NAMA,0)),"?"))</f>
        <v/>
      </c>
      <c r="O2607" s="102" t="str">
        <f aca="false">IF(C2607="","",IFERROR(INDEX(AK_KEL,MATCH(C2607,AK_NAMA,0)),"?"))</f>
        <v/>
      </c>
      <c r="P2607" s="102" t="str">
        <f aca="false">IF(D2607="","",IFERROR(INDEX(AK_KEL,MATCH(D2607,AK_NAMA,0)),"?"))</f>
        <v/>
      </c>
      <c r="Q2607" s="102" t="n">
        <f aca="false">N(Q2606)+IF(AND(N(E2607)&lt;&gt;0,K2607=TAHUN,N(J2607)&lt;=BLN,OR(C2607=BB_AKUN,D2607=BB_AKUN)),1,0)</f>
        <v>877</v>
      </c>
      <c r="R2607" s="104" t="str">
        <f aca="false">IF(OR(C2607&amp;D2607="",N(E2607)=0),"",IF(OR(O2607="?",P2607="?"),"⚠ akun tidak dikenal",IF(C2607=D2607,"⚠ debet = kredit","")))</f>
        <v/>
      </c>
    </row>
    <row r="2608" customFormat="false" ht="15" hidden="false" customHeight="false" outlineLevel="0" collapsed="false">
      <c r="A2608" s="5"/>
      <c r="B2608" s="83"/>
      <c r="C2608" s="5"/>
      <c r="D2608" s="5"/>
      <c r="E2608" s="44"/>
      <c r="F2608" s="5"/>
      <c r="G2608" s="5"/>
      <c r="H2608" s="5"/>
      <c r="I2608" s="5"/>
      <c r="J2608" s="102" t="str">
        <f aca="false">IF(B2608="","",MONTH(B2608))</f>
        <v/>
      </c>
      <c r="K2608" s="102" t="str">
        <f aca="false">IF(B2608="","",YEAR(B2608))</f>
        <v/>
      </c>
      <c r="L2608" s="102" t="str">
        <f aca="false">IF(N(E2608)=0,"",IF(COUNTIFS(AK_NAMA,C2608,AK_KAT,"KAS")+COUNTIFS(AK_NAMA,D2608,AK_KAT,"KAS")&lt;&gt;1,"",IF(COUNTIFS(AK_NAMA,C2608,AK_KAT,"KAS")=1,D2608,C2608)))</f>
        <v/>
      </c>
      <c r="M2608" s="103" t="n">
        <f aca="false">IF(L2608="",0,IF(L2608=D2608,E2608,-E2608))</f>
        <v>0</v>
      </c>
      <c r="N2608" s="102" t="str">
        <f aca="false">IF(L2608="","",IFERROR(INDEX(AK_BARIS,MATCH(L2608,AK_NAMA,0)),"?"))</f>
        <v/>
      </c>
      <c r="O2608" s="102" t="str">
        <f aca="false">IF(C2608="","",IFERROR(INDEX(AK_KEL,MATCH(C2608,AK_NAMA,0)),"?"))</f>
        <v/>
      </c>
      <c r="P2608" s="102" t="str">
        <f aca="false">IF(D2608="","",IFERROR(INDEX(AK_KEL,MATCH(D2608,AK_NAMA,0)),"?"))</f>
        <v/>
      </c>
      <c r="Q2608" s="102" t="n">
        <f aca="false">N(Q2607)+IF(AND(N(E2608)&lt;&gt;0,K2608=TAHUN,N(J2608)&lt;=BLN,OR(C2608=BB_AKUN,D2608=BB_AKUN)),1,0)</f>
        <v>877</v>
      </c>
      <c r="R2608" s="104" t="str">
        <f aca="false">IF(OR(C2608&amp;D2608="",N(E2608)=0),"",IF(OR(O2608="?",P2608="?"),"⚠ akun tidak dikenal",IF(C2608=D2608,"⚠ debet = kredit","")))</f>
        <v/>
      </c>
    </row>
    <row r="2609" customFormat="false" ht="15" hidden="false" customHeight="false" outlineLevel="0" collapsed="false">
      <c r="A2609" s="5"/>
      <c r="B2609" s="83"/>
      <c r="C2609" s="5"/>
      <c r="D2609" s="5"/>
      <c r="E2609" s="44"/>
      <c r="F2609" s="5"/>
      <c r="G2609" s="5"/>
      <c r="H2609" s="5"/>
      <c r="I2609" s="5"/>
      <c r="J2609" s="102" t="str">
        <f aca="false">IF(B2609="","",MONTH(B2609))</f>
        <v/>
      </c>
      <c r="K2609" s="102" t="str">
        <f aca="false">IF(B2609="","",YEAR(B2609))</f>
        <v/>
      </c>
      <c r="L2609" s="102" t="str">
        <f aca="false">IF(N(E2609)=0,"",IF(COUNTIFS(AK_NAMA,C2609,AK_KAT,"KAS")+COUNTIFS(AK_NAMA,D2609,AK_KAT,"KAS")&lt;&gt;1,"",IF(COUNTIFS(AK_NAMA,C2609,AK_KAT,"KAS")=1,D2609,C2609)))</f>
        <v/>
      </c>
      <c r="M2609" s="103" t="n">
        <f aca="false">IF(L2609="",0,IF(L2609=D2609,E2609,-E2609))</f>
        <v>0</v>
      </c>
      <c r="N2609" s="102" t="str">
        <f aca="false">IF(L2609="","",IFERROR(INDEX(AK_BARIS,MATCH(L2609,AK_NAMA,0)),"?"))</f>
        <v/>
      </c>
      <c r="O2609" s="102" t="str">
        <f aca="false">IF(C2609="","",IFERROR(INDEX(AK_KEL,MATCH(C2609,AK_NAMA,0)),"?"))</f>
        <v/>
      </c>
      <c r="P2609" s="102" t="str">
        <f aca="false">IF(D2609="","",IFERROR(INDEX(AK_KEL,MATCH(D2609,AK_NAMA,0)),"?"))</f>
        <v/>
      </c>
      <c r="Q2609" s="102" t="n">
        <f aca="false">N(Q2608)+IF(AND(N(E2609)&lt;&gt;0,K2609=TAHUN,N(J2609)&lt;=BLN,OR(C2609=BB_AKUN,D2609=BB_AKUN)),1,0)</f>
        <v>877</v>
      </c>
      <c r="R2609" s="104" t="str">
        <f aca="false">IF(OR(C2609&amp;D2609="",N(E2609)=0),"",IF(OR(O2609="?",P2609="?"),"⚠ akun tidak dikenal",IF(C2609=D2609,"⚠ debet = kredit","")))</f>
        <v/>
      </c>
    </row>
    <row r="2610" customFormat="false" ht="15" hidden="false" customHeight="false" outlineLevel="0" collapsed="false">
      <c r="A2610" s="5"/>
      <c r="B2610" s="83"/>
      <c r="C2610" s="5"/>
      <c r="D2610" s="5"/>
      <c r="E2610" s="44"/>
      <c r="F2610" s="5"/>
      <c r="G2610" s="5"/>
      <c r="H2610" s="5"/>
      <c r="I2610" s="5"/>
      <c r="J2610" s="102" t="str">
        <f aca="false">IF(B2610="","",MONTH(B2610))</f>
        <v/>
      </c>
      <c r="K2610" s="102" t="str">
        <f aca="false">IF(B2610="","",YEAR(B2610))</f>
        <v/>
      </c>
      <c r="L2610" s="102" t="str">
        <f aca="false">IF(N(E2610)=0,"",IF(COUNTIFS(AK_NAMA,C2610,AK_KAT,"KAS")+COUNTIFS(AK_NAMA,D2610,AK_KAT,"KAS")&lt;&gt;1,"",IF(COUNTIFS(AK_NAMA,C2610,AK_KAT,"KAS")=1,D2610,C2610)))</f>
        <v/>
      </c>
      <c r="M2610" s="103" t="n">
        <f aca="false">IF(L2610="",0,IF(L2610=D2610,E2610,-E2610))</f>
        <v>0</v>
      </c>
      <c r="N2610" s="102" t="str">
        <f aca="false">IF(L2610="","",IFERROR(INDEX(AK_BARIS,MATCH(L2610,AK_NAMA,0)),"?"))</f>
        <v/>
      </c>
      <c r="O2610" s="102" t="str">
        <f aca="false">IF(C2610="","",IFERROR(INDEX(AK_KEL,MATCH(C2610,AK_NAMA,0)),"?"))</f>
        <v/>
      </c>
      <c r="P2610" s="102" t="str">
        <f aca="false">IF(D2610="","",IFERROR(INDEX(AK_KEL,MATCH(D2610,AK_NAMA,0)),"?"))</f>
        <v/>
      </c>
      <c r="Q2610" s="102" t="n">
        <f aca="false">N(Q2609)+IF(AND(N(E2610)&lt;&gt;0,K2610=TAHUN,N(J2610)&lt;=BLN,OR(C2610=BB_AKUN,D2610=BB_AKUN)),1,0)</f>
        <v>877</v>
      </c>
      <c r="R2610" s="104" t="str">
        <f aca="false">IF(OR(C2610&amp;D2610="",N(E2610)=0),"",IF(OR(O2610="?",P2610="?"),"⚠ akun tidak dikenal",IF(C2610=D2610,"⚠ debet = kredit","")))</f>
        <v/>
      </c>
    </row>
    <row r="2611" customFormat="false" ht="15" hidden="false" customHeight="false" outlineLevel="0" collapsed="false">
      <c r="A2611" s="5"/>
      <c r="B2611" s="83"/>
      <c r="C2611" s="5"/>
      <c r="D2611" s="5"/>
      <c r="E2611" s="44"/>
      <c r="F2611" s="5"/>
      <c r="G2611" s="5"/>
      <c r="H2611" s="5"/>
      <c r="I2611" s="5"/>
      <c r="J2611" s="102" t="str">
        <f aca="false">IF(B2611="","",MONTH(B2611))</f>
        <v/>
      </c>
      <c r="K2611" s="102" t="str">
        <f aca="false">IF(B2611="","",YEAR(B2611))</f>
        <v/>
      </c>
      <c r="L2611" s="102" t="str">
        <f aca="false">IF(N(E2611)=0,"",IF(COUNTIFS(AK_NAMA,C2611,AK_KAT,"KAS")+COUNTIFS(AK_NAMA,D2611,AK_KAT,"KAS")&lt;&gt;1,"",IF(COUNTIFS(AK_NAMA,C2611,AK_KAT,"KAS")=1,D2611,C2611)))</f>
        <v/>
      </c>
      <c r="M2611" s="103" t="n">
        <f aca="false">IF(L2611="",0,IF(L2611=D2611,E2611,-E2611))</f>
        <v>0</v>
      </c>
      <c r="N2611" s="102" t="str">
        <f aca="false">IF(L2611="","",IFERROR(INDEX(AK_BARIS,MATCH(L2611,AK_NAMA,0)),"?"))</f>
        <v/>
      </c>
      <c r="O2611" s="102" t="str">
        <f aca="false">IF(C2611="","",IFERROR(INDEX(AK_KEL,MATCH(C2611,AK_NAMA,0)),"?"))</f>
        <v/>
      </c>
      <c r="P2611" s="102" t="str">
        <f aca="false">IF(D2611="","",IFERROR(INDEX(AK_KEL,MATCH(D2611,AK_NAMA,0)),"?"))</f>
        <v/>
      </c>
      <c r="Q2611" s="102" t="n">
        <f aca="false">N(Q2610)+IF(AND(N(E2611)&lt;&gt;0,K2611=TAHUN,N(J2611)&lt;=BLN,OR(C2611=BB_AKUN,D2611=BB_AKUN)),1,0)</f>
        <v>877</v>
      </c>
      <c r="R2611" s="104" t="str">
        <f aca="false">IF(OR(C2611&amp;D2611="",N(E2611)=0),"",IF(OR(O2611="?",P2611="?"),"⚠ akun tidak dikenal",IF(C2611=D2611,"⚠ debet = kredit","")))</f>
        <v/>
      </c>
    </row>
    <row r="2612" customFormat="false" ht="15" hidden="false" customHeight="false" outlineLevel="0" collapsed="false">
      <c r="A2612" s="5"/>
      <c r="B2612" s="83"/>
      <c r="C2612" s="5"/>
      <c r="D2612" s="5"/>
      <c r="E2612" s="44"/>
      <c r="F2612" s="5"/>
      <c r="G2612" s="5"/>
      <c r="H2612" s="5"/>
      <c r="I2612" s="5"/>
      <c r="J2612" s="102" t="str">
        <f aca="false">IF(B2612="","",MONTH(B2612))</f>
        <v/>
      </c>
      <c r="K2612" s="102" t="str">
        <f aca="false">IF(B2612="","",YEAR(B2612))</f>
        <v/>
      </c>
      <c r="L2612" s="102" t="str">
        <f aca="false">IF(N(E2612)=0,"",IF(COUNTIFS(AK_NAMA,C2612,AK_KAT,"KAS")+COUNTIFS(AK_NAMA,D2612,AK_KAT,"KAS")&lt;&gt;1,"",IF(COUNTIFS(AK_NAMA,C2612,AK_KAT,"KAS")=1,D2612,C2612)))</f>
        <v/>
      </c>
      <c r="M2612" s="103" t="n">
        <f aca="false">IF(L2612="",0,IF(L2612=D2612,E2612,-E2612))</f>
        <v>0</v>
      </c>
      <c r="N2612" s="102" t="str">
        <f aca="false">IF(L2612="","",IFERROR(INDEX(AK_BARIS,MATCH(L2612,AK_NAMA,0)),"?"))</f>
        <v/>
      </c>
      <c r="O2612" s="102" t="str">
        <f aca="false">IF(C2612="","",IFERROR(INDEX(AK_KEL,MATCH(C2612,AK_NAMA,0)),"?"))</f>
        <v/>
      </c>
      <c r="P2612" s="102" t="str">
        <f aca="false">IF(D2612="","",IFERROR(INDEX(AK_KEL,MATCH(D2612,AK_NAMA,0)),"?"))</f>
        <v/>
      </c>
      <c r="Q2612" s="102" t="n">
        <f aca="false">N(Q2611)+IF(AND(N(E2612)&lt;&gt;0,K2612=TAHUN,N(J2612)&lt;=BLN,OR(C2612=BB_AKUN,D2612=BB_AKUN)),1,0)</f>
        <v>877</v>
      </c>
      <c r="R2612" s="104" t="str">
        <f aca="false">IF(OR(C2612&amp;D2612="",N(E2612)=0),"",IF(OR(O2612="?",P2612="?"),"⚠ akun tidak dikenal",IF(C2612=D2612,"⚠ debet = kredit","")))</f>
        <v/>
      </c>
    </row>
    <row r="2613" customFormat="false" ht="15" hidden="false" customHeight="false" outlineLevel="0" collapsed="false">
      <c r="A2613" s="5"/>
      <c r="B2613" s="83"/>
      <c r="C2613" s="5"/>
      <c r="D2613" s="5"/>
      <c r="E2613" s="44"/>
      <c r="F2613" s="5"/>
      <c r="G2613" s="5"/>
      <c r="H2613" s="5"/>
      <c r="I2613" s="5"/>
      <c r="J2613" s="102" t="str">
        <f aca="false">IF(B2613="","",MONTH(B2613))</f>
        <v/>
      </c>
      <c r="K2613" s="102" t="str">
        <f aca="false">IF(B2613="","",YEAR(B2613))</f>
        <v/>
      </c>
      <c r="L2613" s="102" t="str">
        <f aca="false">IF(N(E2613)=0,"",IF(COUNTIFS(AK_NAMA,C2613,AK_KAT,"KAS")+COUNTIFS(AK_NAMA,D2613,AK_KAT,"KAS")&lt;&gt;1,"",IF(COUNTIFS(AK_NAMA,C2613,AK_KAT,"KAS")=1,D2613,C2613)))</f>
        <v/>
      </c>
      <c r="M2613" s="103" t="n">
        <f aca="false">IF(L2613="",0,IF(L2613=D2613,E2613,-E2613))</f>
        <v>0</v>
      </c>
      <c r="N2613" s="102" t="str">
        <f aca="false">IF(L2613="","",IFERROR(INDEX(AK_BARIS,MATCH(L2613,AK_NAMA,0)),"?"))</f>
        <v/>
      </c>
      <c r="O2613" s="102" t="str">
        <f aca="false">IF(C2613="","",IFERROR(INDEX(AK_KEL,MATCH(C2613,AK_NAMA,0)),"?"))</f>
        <v/>
      </c>
      <c r="P2613" s="102" t="str">
        <f aca="false">IF(D2613="","",IFERROR(INDEX(AK_KEL,MATCH(D2613,AK_NAMA,0)),"?"))</f>
        <v/>
      </c>
      <c r="Q2613" s="102" t="n">
        <f aca="false">N(Q2612)+IF(AND(N(E2613)&lt;&gt;0,K2613=TAHUN,N(J2613)&lt;=BLN,OR(C2613=BB_AKUN,D2613=BB_AKUN)),1,0)</f>
        <v>877</v>
      </c>
      <c r="R2613" s="104" t="str">
        <f aca="false">IF(OR(C2613&amp;D2613="",N(E2613)=0),"",IF(OR(O2613="?",P2613="?"),"⚠ akun tidak dikenal",IF(C2613=D2613,"⚠ debet = kredit","")))</f>
        <v/>
      </c>
    </row>
    <row r="2614" customFormat="false" ht="15" hidden="false" customHeight="false" outlineLevel="0" collapsed="false">
      <c r="A2614" s="5"/>
      <c r="B2614" s="83"/>
      <c r="C2614" s="5"/>
      <c r="D2614" s="5"/>
      <c r="E2614" s="44"/>
      <c r="F2614" s="5"/>
      <c r="G2614" s="5"/>
      <c r="H2614" s="5"/>
      <c r="I2614" s="5"/>
      <c r="J2614" s="102" t="str">
        <f aca="false">IF(B2614="","",MONTH(B2614))</f>
        <v/>
      </c>
      <c r="K2614" s="102" t="str">
        <f aca="false">IF(B2614="","",YEAR(B2614))</f>
        <v/>
      </c>
      <c r="L2614" s="102" t="str">
        <f aca="false">IF(N(E2614)=0,"",IF(COUNTIFS(AK_NAMA,C2614,AK_KAT,"KAS")+COUNTIFS(AK_NAMA,D2614,AK_KAT,"KAS")&lt;&gt;1,"",IF(COUNTIFS(AK_NAMA,C2614,AK_KAT,"KAS")=1,D2614,C2614)))</f>
        <v/>
      </c>
      <c r="M2614" s="103" t="n">
        <f aca="false">IF(L2614="",0,IF(L2614=D2614,E2614,-E2614))</f>
        <v>0</v>
      </c>
      <c r="N2614" s="102" t="str">
        <f aca="false">IF(L2614="","",IFERROR(INDEX(AK_BARIS,MATCH(L2614,AK_NAMA,0)),"?"))</f>
        <v/>
      </c>
      <c r="O2614" s="102" t="str">
        <f aca="false">IF(C2614="","",IFERROR(INDEX(AK_KEL,MATCH(C2614,AK_NAMA,0)),"?"))</f>
        <v/>
      </c>
      <c r="P2614" s="102" t="str">
        <f aca="false">IF(D2614="","",IFERROR(INDEX(AK_KEL,MATCH(D2614,AK_NAMA,0)),"?"))</f>
        <v/>
      </c>
      <c r="Q2614" s="102" t="n">
        <f aca="false">N(Q2613)+IF(AND(N(E2614)&lt;&gt;0,K2614=TAHUN,N(J2614)&lt;=BLN,OR(C2614=BB_AKUN,D2614=BB_AKUN)),1,0)</f>
        <v>877</v>
      </c>
      <c r="R2614" s="104" t="str">
        <f aca="false">IF(OR(C2614&amp;D2614="",N(E2614)=0),"",IF(OR(O2614="?",P2614="?"),"⚠ akun tidak dikenal",IF(C2614=D2614,"⚠ debet = kredit","")))</f>
        <v/>
      </c>
    </row>
    <row r="2615" customFormat="false" ht="15" hidden="false" customHeight="false" outlineLevel="0" collapsed="false">
      <c r="A2615" s="5"/>
      <c r="B2615" s="83"/>
      <c r="C2615" s="5"/>
      <c r="D2615" s="5"/>
      <c r="E2615" s="44"/>
      <c r="F2615" s="5"/>
      <c r="G2615" s="5"/>
      <c r="H2615" s="5"/>
      <c r="I2615" s="5"/>
      <c r="J2615" s="102" t="str">
        <f aca="false">IF(B2615="","",MONTH(B2615))</f>
        <v/>
      </c>
      <c r="K2615" s="102" t="str">
        <f aca="false">IF(B2615="","",YEAR(B2615))</f>
        <v/>
      </c>
      <c r="L2615" s="102" t="str">
        <f aca="false">IF(N(E2615)=0,"",IF(COUNTIFS(AK_NAMA,C2615,AK_KAT,"KAS")+COUNTIFS(AK_NAMA,D2615,AK_KAT,"KAS")&lt;&gt;1,"",IF(COUNTIFS(AK_NAMA,C2615,AK_KAT,"KAS")=1,D2615,C2615)))</f>
        <v/>
      </c>
      <c r="M2615" s="103" t="n">
        <f aca="false">IF(L2615="",0,IF(L2615=D2615,E2615,-E2615))</f>
        <v>0</v>
      </c>
      <c r="N2615" s="102" t="str">
        <f aca="false">IF(L2615="","",IFERROR(INDEX(AK_BARIS,MATCH(L2615,AK_NAMA,0)),"?"))</f>
        <v/>
      </c>
      <c r="O2615" s="102" t="str">
        <f aca="false">IF(C2615="","",IFERROR(INDEX(AK_KEL,MATCH(C2615,AK_NAMA,0)),"?"))</f>
        <v/>
      </c>
      <c r="P2615" s="102" t="str">
        <f aca="false">IF(D2615="","",IFERROR(INDEX(AK_KEL,MATCH(D2615,AK_NAMA,0)),"?"))</f>
        <v/>
      </c>
      <c r="Q2615" s="102" t="n">
        <f aca="false">N(Q2614)+IF(AND(N(E2615)&lt;&gt;0,K2615=TAHUN,N(J2615)&lt;=BLN,OR(C2615=BB_AKUN,D2615=BB_AKUN)),1,0)</f>
        <v>877</v>
      </c>
      <c r="R2615" s="104" t="str">
        <f aca="false">IF(OR(C2615&amp;D2615="",N(E2615)=0),"",IF(OR(O2615="?",P2615="?"),"⚠ akun tidak dikenal",IF(C2615=D2615,"⚠ debet = kredit","")))</f>
        <v/>
      </c>
    </row>
    <row r="2616" customFormat="false" ht="15" hidden="false" customHeight="false" outlineLevel="0" collapsed="false">
      <c r="A2616" s="5"/>
      <c r="B2616" s="83"/>
      <c r="C2616" s="5"/>
      <c r="D2616" s="5"/>
      <c r="E2616" s="44"/>
      <c r="F2616" s="5"/>
      <c r="G2616" s="5"/>
      <c r="H2616" s="5"/>
      <c r="I2616" s="5"/>
      <c r="J2616" s="102" t="str">
        <f aca="false">IF(B2616="","",MONTH(B2616))</f>
        <v/>
      </c>
      <c r="K2616" s="102" t="str">
        <f aca="false">IF(B2616="","",YEAR(B2616))</f>
        <v/>
      </c>
      <c r="L2616" s="102" t="str">
        <f aca="false">IF(N(E2616)=0,"",IF(COUNTIFS(AK_NAMA,C2616,AK_KAT,"KAS")+COUNTIFS(AK_NAMA,D2616,AK_KAT,"KAS")&lt;&gt;1,"",IF(COUNTIFS(AK_NAMA,C2616,AK_KAT,"KAS")=1,D2616,C2616)))</f>
        <v/>
      </c>
      <c r="M2616" s="103" t="n">
        <f aca="false">IF(L2616="",0,IF(L2616=D2616,E2616,-E2616))</f>
        <v>0</v>
      </c>
      <c r="N2616" s="102" t="str">
        <f aca="false">IF(L2616="","",IFERROR(INDEX(AK_BARIS,MATCH(L2616,AK_NAMA,0)),"?"))</f>
        <v/>
      </c>
      <c r="O2616" s="102" t="str">
        <f aca="false">IF(C2616="","",IFERROR(INDEX(AK_KEL,MATCH(C2616,AK_NAMA,0)),"?"))</f>
        <v/>
      </c>
      <c r="P2616" s="102" t="str">
        <f aca="false">IF(D2616="","",IFERROR(INDEX(AK_KEL,MATCH(D2616,AK_NAMA,0)),"?"))</f>
        <v/>
      </c>
      <c r="Q2616" s="102" t="n">
        <f aca="false">N(Q2615)+IF(AND(N(E2616)&lt;&gt;0,K2616=TAHUN,N(J2616)&lt;=BLN,OR(C2616=BB_AKUN,D2616=BB_AKUN)),1,0)</f>
        <v>877</v>
      </c>
      <c r="R2616" s="104" t="str">
        <f aca="false">IF(OR(C2616&amp;D2616="",N(E2616)=0),"",IF(OR(O2616="?",P2616="?"),"⚠ akun tidak dikenal",IF(C2616=D2616,"⚠ debet = kredit","")))</f>
        <v/>
      </c>
    </row>
    <row r="2617" customFormat="false" ht="15" hidden="false" customHeight="false" outlineLevel="0" collapsed="false">
      <c r="A2617" s="5"/>
      <c r="B2617" s="83"/>
      <c r="C2617" s="5"/>
      <c r="D2617" s="5"/>
      <c r="E2617" s="44"/>
      <c r="F2617" s="5"/>
      <c r="G2617" s="5"/>
      <c r="H2617" s="5"/>
      <c r="I2617" s="5"/>
      <c r="J2617" s="102" t="str">
        <f aca="false">IF(B2617="","",MONTH(B2617))</f>
        <v/>
      </c>
      <c r="K2617" s="102" t="str">
        <f aca="false">IF(B2617="","",YEAR(B2617))</f>
        <v/>
      </c>
      <c r="L2617" s="102" t="str">
        <f aca="false">IF(N(E2617)=0,"",IF(COUNTIFS(AK_NAMA,C2617,AK_KAT,"KAS")+COUNTIFS(AK_NAMA,D2617,AK_KAT,"KAS")&lt;&gt;1,"",IF(COUNTIFS(AK_NAMA,C2617,AK_KAT,"KAS")=1,D2617,C2617)))</f>
        <v/>
      </c>
      <c r="M2617" s="103" t="n">
        <f aca="false">IF(L2617="",0,IF(L2617=D2617,E2617,-E2617))</f>
        <v>0</v>
      </c>
      <c r="N2617" s="102" t="str">
        <f aca="false">IF(L2617="","",IFERROR(INDEX(AK_BARIS,MATCH(L2617,AK_NAMA,0)),"?"))</f>
        <v/>
      </c>
      <c r="O2617" s="102" t="str">
        <f aca="false">IF(C2617="","",IFERROR(INDEX(AK_KEL,MATCH(C2617,AK_NAMA,0)),"?"))</f>
        <v/>
      </c>
      <c r="P2617" s="102" t="str">
        <f aca="false">IF(D2617="","",IFERROR(INDEX(AK_KEL,MATCH(D2617,AK_NAMA,0)),"?"))</f>
        <v/>
      </c>
      <c r="Q2617" s="102" t="n">
        <f aca="false">N(Q2616)+IF(AND(N(E2617)&lt;&gt;0,K2617=TAHUN,N(J2617)&lt;=BLN,OR(C2617=BB_AKUN,D2617=BB_AKUN)),1,0)</f>
        <v>877</v>
      </c>
      <c r="R2617" s="104" t="str">
        <f aca="false">IF(OR(C2617&amp;D2617="",N(E2617)=0),"",IF(OR(O2617="?",P2617="?"),"⚠ akun tidak dikenal",IF(C2617=D2617,"⚠ debet = kredit","")))</f>
        <v/>
      </c>
    </row>
    <row r="2618" customFormat="false" ht="15" hidden="false" customHeight="false" outlineLevel="0" collapsed="false">
      <c r="A2618" s="5"/>
      <c r="B2618" s="83"/>
      <c r="C2618" s="5"/>
      <c r="D2618" s="5"/>
      <c r="E2618" s="44"/>
      <c r="F2618" s="5"/>
      <c r="G2618" s="5"/>
      <c r="H2618" s="5"/>
      <c r="I2618" s="5"/>
      <c r="J2618" s="102" t="str">
        <f aca="false">IF(B2618="","",MONTH(B2618))</f>
        <v/>
      </c>
      <c r="K2618" s="102" t="str">
        <f aca="false">IF(B2618="","",YEAR(B2618))</f>
        <v/>
      </c>
      <c r="L2618" s="102" t="str">
        <f aca="false">IF(N(E2618)=0,"",IF(COUNTIFS(AK_NAMA,C2618,AK_KAT,"KAS")+COUNTIFS(AK_NAMA,D2618,AK_KAT,"KAS")&lt;&gt;1,"",IF(COUNTIFS(AK_NAMA,C2618,AK_KAT,"KAS")=1,D2618,C2618)))</f>
        <v/>
      </c>
      <c r="M2618" s="103" t="n">
        <f aca="false">IF(L2618="",0,IF(L2618=D2618,E2618,-E2618))</f>
        <v>0</v>
      </c>
      <c r="N2618" s="102" t="str">
        <f aca="false">IF(L2618="","",IFERROR(INDEX(AK_BARIS,MATCH(L2618,AK_NAMA,0)),"?"))</f>
        <v/>
      </c>
      <c r="O2618" s="102" t="str">
        <f aca="false">IF(C2618="","",IFERROR(INDEX(AK_KEL,MATCH(C2618,AK_NAMA,0)),"?"))</f>
        <v/>
      </c>
      <c r="P2618" s="102" t="str">
        <f aca="false">IF(D2618="","",IFERROR(INDEX(AK_KEL,MATCH(D2618,AK_NAMA,0)),"?"))</f>
        <v/>
      </c>
      <c r="Q2618" s="102" t="n">
        <f aca="false">N(Q2617)+IF(AND(N(E2618)&lt;&gt;0,K2618=TAHUN,N(J2618)&lt;=BLN,OR(C2618=BB_AKUN,D2618=BB_AKUN)),1,0)</f>
        <v>877</v>
      </c>
      <c r="R2618" s="104" t="str">
        <f aca="false">IF(OR(C2618&amp;D2618="",N(E2618)=0),"",IF(OR(O2618="?",P2618="?"),"⚠ akun tidak dikenal",IF(C2618=D2618,"⚠ debet = kredit","")))</f>
        <v/>
      </c>
    </row>
    <row r="2619" customFormat="false" ht="15" hidden="false" customHeight="false" outlineLevel="0" collapsed="false">
      <c r="A2619" s="5"/>
      <c r="B2619" s="83"/>
      <c r="C2619" s="5"/>
      <c r="D2619" s="5"/>
      <c r="E2619" s="44"/>
      <c r="F2619" s="5"/>
      <c r="G2619" s="5"/>
      <c r="H2619" s="5"/>
      <c r="I2619" s="5"/>
      <c r="J2619" s="102" t="str">
        <f aca="false">IF(B2619="","",MONTH(B2619))</f>
        <v/>
      </c>
      <c r="K2619" s="102" t="str">
        <f aca="false">IF(B2619="","",YEAR(B2619))</f>
        <v/>
      </c>
      <c r="L2619" s="102" t="str">
        <f aca="false">IF(N(E2619)=0,"",IF(COUNTIFS(AK_NAMA,C2619,AK_KAT,"KAS")+COUNTIFS(AK_NAMA,D2619,AK_KAT,"KAS")&lt;&gt;1,"",IF(COUNTIFS(AK_NAMA,C2619,AK_KAT,"KAS")=1,D2619,C2619)))</f>
        <v/>
      </c>
      <c r="M2619" s="103" t="n">
        <f aca="false">IF(L2619="",0,IF(L2619=D2619,E2619,-E2619))</f>
        <v>0</v>
      </c>
      <c r="N2619" s="102" t="str">
        <f aca="false">IF(L2619="","",IFERROR(INDEX(AK_BARIS,MATCH(L2619,AK_NAMA,0)),"?"))</f>
        <v/>
      </c>
      <c r="O2619" s="102" t="str">
        <f aca="false">IF(C2619="","",IFERROR(INDEX(AK_KEL,MATCH(C2619,AK_NAMA,0)),"?"))</f>
        <v/>
      </c>
      <c r="P2619" s="102" t="str">
        <f aca="false">IF(D2619="","",IFERROR(INDEX(AK_KEL,MATCH(D2619,AK_NAMA,0)),"?"))</f>
        <v/>
      </c>
      <c r="Q2619" s="102" t="n">
        <f aca="false">N(Q2618)+IF(AND(N(E2619)&lt;&gt;0,K2619=TAHUN,N(J2619)&lt;=BLN,OR(C2619=BB_AKUN,D2619=BB_AKUN)),1,0)</f>
        <v>877</v>
      </c>
      <c r="R2619" s="104" t="str">
        <f aca="false">IF(OR(C2619&amp;D2619="",N(E2619)=0),"",IF(OR(O2619="?",P2619="?"),"⚠ akun tidak dikenal",IF(C2619=D2619,"⚠ debet = kredit","")))</f>
        <v/>
      </c>
    </row>
    <row r="2620" customFormat="false" ht="15" hidden="false" customHeight="false" outlineLevel="0" collapsed="false">
      <c r="A2620" s="5"/>
      <c r="B2620" s="83"/>
      <c r="C2620" s="5"/>
      <c r="D2620" s="5"/>
      <c r="E2620" s="44"/>
      <c r="F2620" s="5"/>
      <c r="G2620" s="5"/>
      <c r="H2620" s="5"/>
      <c r="I2620" s="5"/>
      <c r="J2620" s="102" t="str">
        <f aca="false">IF(B2620="","",MONTH(B2620))</f>
        <v/>
      </c>
      <c r="K2620" s="102" t="str">
        <f aca="false">IF(B2620="","",YEAR(B2620))</f>
        <v/>
      </c>
      <c r="L2620" s="102" t="str">
        <f aca="false">IF(N(E2620)=0,"",IF(COUNTIFS(AK_NAMA,C2620,AK_KAT,"KAS")+COUNTIFS(AK_NAMA,D2620,AK_KAT,"KAS")&lt;&gt;1,"",IF(COUNTIFS(AK_NAMA,C2620,AK_KAT,"KAS")=1,D2620,C2620)))</f>
        <v/>
      </c>
      <c r="M2620" s="103" t="n">
        <f aca="false">IF(L2620="",0,IF(L2620=D2620,E2620,-E2620))</f>
        <v>0</v>
      </c>
      <c r="N2620" s="102" t="str">
        <f aca="false">IF(L2620="","",IFERROR(INDEX(AK_BARIS,MATCH(L2620,AK_NAMA,0)),"?"))</f>
        <v/>
      </c>
      <c r="O2620" s="102" t="str">
        <f aca="false">IF(C2620="","",IFERROR(INDEX(AK_KEL,MATCH(C2620,AK_NAMA,0)),"?"))</f>
        <v/>
      </c>
      <c r="P2620" s="102" t="str">
        <f aca="false">IF(D2620="","",IFERROR(INDEX(AK_KEL,MATCH(D2620,AK_NAMA,0)),"?"))</f>
        <v/>
      </c>
      <c r="Q2620" s="102" t="n">
        <f aca="false">N(Q2619)+IF(AND(N(E2620)&lt;&gt;0,K2620=TAHUN,N(J2620)&lt;=BLN,OR(C2620=BB_AKUN,D2620=BB_AKUN)),1,0)</f>
        <v>877</v>
      </c>
      <c r="R2620" s="104" t="str">
        <f aca="false">IF(OR(C2620&amp;D2620="",N(E2620)=0),"",IF(OR(O2620="?",P2620="?"),"⚠ akun tidak dikenal",IF(C2620=D2620,"⚠ debet = kredit","")))</f>
        <v/>
      </c>
    </row>
    <row r="2621" customFormat="false" ht="15" hidden="false" customHeight="false" outlineLevel="0" collapsed="false">
      <c r="A2621" s="5"/>
      <c r="B2621" s="83"/>
      <c r="C2621" s="5"/>
      <c r="D2621" s="5"/>
      <c r="E2621" s="44"/>
      <c r="F2621" s="5"/>
      <c r="G2621" s="5"/>
      <c r="H2621" s="5"/>
      <c r="I2621" s="5"/>
      <c r="J2621" s="102" t="str">
        <f aca="false">IF(B2621="","",MONTH(B2621))</f>
        <v/>
      </c>
      <c r="K2621" s="102" t="str">
        <f aca="false">IF(B2621="","",YEAR(B2621))</f>
        <v/>
      </c>
      <c r="L2621" s="102" t="str">
        <f aca="false">IF(N(E2621)=0,"",IF(COUNTIFS(AK_NAMA,C2621,AK_KAT,"KAS")+COUNTIFS(AK_NAMA,D2621,AK_KAT,"KAS")&lt;&gt;1,"",IF(COUNTIFS(AK_NAMA,C2621,AK_KAT,"KAS")=1,D2621,C2621)))</f>
        <v/>
      </c>
      <c r="M2621" s="103" t="n">
        <f aca="false">IF(L2621="",0,IF(L2621=D2621,E2621,-E2621))</f>
        <v>0</v>
      </c>
      <c r="N2621" s="102" t="str">
        <f aca="false">IF(L2621="","",IFERROR(INDEX(AK_BARIS,MATCH(L2621,AK_NAMA,0)),"?"))</f>
        <v/>
      </c>
      <c r="O2621" s="102" t="str">
        <f aca="false">IF(C2621="","",IFERROR(INDEX(AK_KEL,MATCH(C2621,AK_NAMA,0)),"?"))</f>
        <v/>
      </c>
      <c r="P2621" s="102" t="str">
        <f aca="false">IF(D2621="","",IFERROR(INDEX(AK_KEL,MATCH(D2621,AK_NAMA,0)),"?"))</f>
        <v/>
      </c>
      <c r="Q2621" s="102" t="n">
        <f aca="false">N(Q2620)+IF(AND(N(E2621)&lt;&gt;0,K2621=TAHUN,N(J2621)&lt;=BLN,OR(C2621=BB_AKUN,D2621=BB_AKUN)),1,0)</f>
        <v>877</v>
      </c>
      <c r="R2621" s="104" t="str">
        <f aca="false">IF(OR(C2621&amp;D2621="",N(E2621)=0),"",IF(OR(O2621="?",P2621="?"),"⚠ akun tidak dikenal",IF(C2621=D2621,"⚠ debet = kredit","")))</f>
        <v/>
      </c>
    </row>
    <row r="2622" customFormat="false" ht="15" hidden="false" customHeight="false" outlineLevel="0" collapsed="false">
      <c r="A2622" s="5"/>
      <c r="B2622" s="83"/>
      <c r="C2622" s="5"/>
      <c r="D2622" s="5"/>
      <c r="E2622" s="44"/>
      <c r="F2622" s="5"/>
      <c r="G2622" s="5"/>
      <c r="H2622" s="5"/>
      <c r="I2622" s="5"/>
      <c r="J2622" s="102" t="str">
        <f aca="false">IF(B2622="","",MONTH(B2622))</f>
        <v/>
      </c>
      <c r="K2622" s="102" t="str">
        <f aca="false">IF(B2622="","",YEAR(B2622))</f>
        <v/>
      </c>
      <c r="L2622" s="102" t="str">
        <f aca="false">IF(N(E2622)=0,"",IF(COUNTIFS(AK_NAMA,C2622,AK_KAT,"KAS")+COUNTIFS(AK_NAMA,D2622,AK_KAT,"KAS")&lt;&gt;1,"",IF(COUNTIFS(AK_NAMA,C2622,AK_KAT,"KAS")=1,D2622,C2622)))</f>
        <v/>
      </c>
      <c r="M2622" s="103" t="n">
        <f aca="false">IF(L2622="",0,IF(L2622=D2622,E2622,-E2622))</f>
        <v>0</v>
      </c>
      <c r="N2622" s="102" t="str">
        <f aca="false">IF(L2622="","",IFERROR(INDEX(AK_BARIS,MATCH(L2622,AK_NAMA,0)),"?"))</f>
        <v/>
      </c>
      <c r="O2622" s="102" t="str">
        <f aca="false">IF(C2622="","",IFERROR(INDEX(AK_KEL,MATCH(C2622,AK_NAMA,0)),"?"))</f>
        <v/>
      </c>
      <c r="P2622" s="102" t="str">
        <f aca="false">IF(D2622="","",IFERROR(INDEX(AK_KEL,MATCH(D2622,AK_NAMA,0)),"?"))</f>
        <v/>
      </c>
      <c r="Q2622" s="102" t="n">
        <f aca="false">N(Q2621)+IF(AND(N(E2622)&lt;&gt;0,K2622=TAHUN,N(J2622)&lt;=BLN,OR(C2622=BB_AKUN,D2622=BB_AKUN)),1,0)</f>
        <v>877</v>
      </c>
      <c r="R2622" s="104" t="str">
        <f aca="false">IF(OR(C2622&amp;D2622="",N(E2622)=0),"",IF(OR(O2622="?",P2622="?"),"⚠ akun tidak dikenal",IF(C2622=D2622,"⚠ debet = kredit","")))</f>
        <v/>
      </c>
    </row>
    <row r="2623" customFormat="false" ht="15" hidden="false" customHeight="false" outlineLevel="0" collapsed="false">
      <c r="A2623" s="5"/>
      <c r="B2623" s="83"/>
      <c r="C2623" s="5"/>
      <c r="D2623" s="5"/>
      <c r="E2623" s="44"/>
      <c r="F2623" s="5"/>
      <c r="G2623" s="5"/>
      <c r="H2623" s="5"/>
      <c r="I2623" s="5"/>
      <c r="J2623" s="102" t="str">
        <f aca="false">IF(B2623="","",MONTH(B2623))</f>
        <v/>
      </c>
      <c r="K2623" s="102" t="str">
        <f aca="false">IF(B2623="","",YEAR(B2623))</f>
        <v/>
      </c>
      <c r="L2623" s="102" t="str">
        <f aca="false">IF(N(E2623)=0,"",IF(COUNTIFS(AK_NAMA,C2623,AK_KAT,"KAS")+COUNTIFS(AK_NAMA,D2623,AK_KAT,"KAS")&lt;&gt;1,"",IF(COUNTIFS(AK_NAMA,C2623,AK_KAT,"KAS")=1,D2623,C2623)))</f>
        <v/>
      </c>
      <c r="M2623" s="103" t="n">
        <f aca="false">IF(L2623="",0,IF(L2623=D2623,E2623,-E2623))</f>
        <v>0</v>
      </c>
      <c r="N2623" s="102" t="str">
        <f aca="false">IF(L2623="","",IFERROR(INDEX(AK_BARIS,MATCH(L2623,AK_NAMA,0)),"?"))</f>
        <v/>
      </c>
      <c r="O2623" s="102" t="str">
        <f aca="false">IF(C2623="","",IFERROR(INDEX(AK_KEL,MATCH(C2623,AK_NAMA,0)),"?"))</f>
        <v/>
      </c>
      <c r="P2623" s="102" t="str">
        <f aca="false">IF(D2623="","",IFERROR(INDEX(AK_KEL,MATCH(D2623,AK_NAMA,0)),"?"))</f>
        <v/>
      </c>
      <c r="Q2623" s="102" t="n">
        <f aca="false">N(Q2622)+IF(AND(N(E2623)&lt;&gt;0,K2623=TAHUN,N(J2623)&lt;=BLN,OR(C2623=BB_AKUN,D2623=BB_AKUN)),1,0)</f>
        <v>877</v>
      </c>
      <c r="R2623" s="104" t="str">
        <f aca="false">IF(OR(C2623&amp;D2623="",N(E2623)=0),"",IF(OR(O2623="?",P2623="?"),"⚠ akun tidak dikenal",IF(C2623=D2623,"⚠ debet = kredit","")))</f>
        <v/>
      </c>
    </row>
    <row r="2624" customFormat="false" ht="15" hidden="false" customHeight="false" outlineLevel="0" collapsed="false">
      <c r="A2624" s="5"/>
      <c r="B2624" s="83"/>
      <c r="C2624" s="5"/>
      <c r="D2624" s="5"/>
      <c r="E2624" s="44"/>
      <c r="F2624" s="5"/>
      <c r="G2624" s="5"/>
      <c r="H2624" s="5"/>
      <c r="I2624" s="5"/>
      <c r="J2624" s="102" t="str">
        <f aca="false">IF(B2624="","",MONTH(B2624))</f>
        <v/>
      </c>
      <c r="K2624" s="102" t="str">
        <f aca="false">IF(B2624="","",YEAR(B2624))</f>
        <v/>
      </c>
      <c r="L2624" s="102" t="str">
        <f aca="false">IF(N(E2624)=0,"",IF(COUNTIFS(AK_NAMA,C2624,AK_KAT,"KAS")+COUNTIFS(AK_NAMA,D2624,AK_KAT,"KAS")&lt;&gt;1,"",IF(COUNTIFS(AK_NAMA,C2624,AK_KAT,"KAS")=1,D2624,C2624)))</f>
        <v/>
      </c>
      <c r="M2624" s="103" t="n">
        <f aca="false">IF(L2624="",0,IF(L2624=D2624,E2624,-E2624))</f>
        <v>0</v>
      </c>
      <c r="N2624" s="102" t="str">
        <f aca="false">IF(L2624="","",IFERROR(INDEX(AK_BARIS,MATCH(L2624,AK_NAMA,0)),"?"))</f>
        <v/>
      </c>
      <c r="O2624" s="102" t="str">
        <f aca="false">IF(C2624="","",IFERROR(INDEX(AK_KEL,MATCH(C2624,AK_NAMA,0)),"?"))</f>
        <v/>
      </c>
      <c r="P2624" s="102" t="str">
        <f aca="false">IF(D2624="","",IFERROR(INDEX(AK_KEL,MATCH(D2624,AK_NAMA,0)),"?"))</f>
        <v/>
      </c>
      <c r="Q2624" s="102" t="n">
        <f aca="false">N(Q2623)+IF(AND(N(E2624)&lt;&gt;0,K2624=TAHUN,N(J2624)&lt;=BLN,OR(C2624=BB_AKUN,D2624=BB_AKUN)),1,0)</f>
        <v>877</v>
      </c>
      <c r="R2624" s="104" t="str">
        <f aca="false">IF(OR(C2624&amp;D2624="",N(E2624)=0),"",IF(OR(O2624="?",P2624="?"),"⚠ akun tidak dikenal",IF(C2624=D2624,"⚠ debet = kredit","")))</f>
        <v/>
      </c>
    </row>
    <row r="2625" customFormat="false" ht="15" hidden="false" customHeight="false" outlineLevel="0" collapsed="false">
      <c r="A2625" s="5"/>
      <c r="B2625" s="83"/>
      <c r="C2625" s="5"/>
      <c r="D2625" s="5"/>
      <c r="E2625" s="44"/>
      <c r="F2625" s="5"/>
      <c r="G2625" s="5"/>
      <c r="H2625" s="5"/>
      <c r="I2625" s="5"/>
      <c r="J2625" s="102" t="str">
        <f aca="false">IF(B2625="","",MONTH(B2625))</f>
        <v/>
      </c>
      <c r="K2625" s="102" t="str">
        <f aca="false">IF(B2625="","",YEAR(B2625))</f>
        <v/>
      </c>
      <c r="L2625" s="102" t="str">
        <f aca="false">IF(N(E2625)=0,"",IF(COUNTIFS(AK_NAMA,C2625,AK_KAT,"KAS")+COUNTIFS(AK_NAMA,D2625,AK_KAT,"KAS")&lt;&gt;1,"",IF(COUNTIFS(AK_NAMA,C2625,AK_KAT,"KAS")=1,D2625,C2625)))</f>
        <v/>
      </c>
      <c r="M2625" s="103" t="n">
        <f aca="false">IF(L2625="",0,IF(L2625=D2625,E2625,-E2625))</f>
        <v>0</v>
      </c>
      <c r="N2625" s="102" t="str">
        <f aca="false">IF(L2625="","",IFERROR(INDEX(AK_BARIS,MATCH(L2625,AK_NAMA,0)),"?"))</f>
        <v/>
      </c>
      <c r="O2625" s="102" t="str">
        <f aca="false">IF(C2625="","",IFERROR(INDEX(AK_KEL,MATCH(C2625,AK_NAMA,0)),"?"))</f>
        <v/>
      </c>
      <c r="P2625" s="102" t="str">
        <f aca="false">IF(D2625="","",IFERROR(INDEX(AK_KEL,MATCH(D2625,AK_NAMA,0)),"?"))</f>
        <v/>
      </c>
      <c r="Q2625" s="102" t="n">
        <f aca="false">N(Q2624)+IF(AND(N(E2625)&lt;&gt;0,K2625=TAHUN,N(J2625)&lt;=BLN,OR(C2625=BB_AKUN,D2625=BB_AKUN)),1,0)</f>
        <v>877</v>
      </c>
      <c r="R2625" s="104" t="str">
        <f aca="false">IF(OR(C2625&amp;D2625="",N(E2625)=0),"",IF(OR(O2625="?",P2625="?"),"⚠ akun tidak dikenal",IF(C2625=D2625,"⚠ debet = kredit","")))</f>
        <v/>
      </c>
    </row>
    <row r="2626" customFormat="false" ht="15" hidden="false" customHeight="false" outlineLevel="0" collapsed="false">
      <c r="A2626" s="5"/>
      <c r="B2626" s="83"/>
      <c r="C2626" s="5"/>
      <c r="D2626" s="5"/>
      <c r="E2626" s="44"/>
      <c r="F2626" s="5"/>
      <c r="G2626" s="5"/>
      <c r="H2626" s="5"/>
      <c r="I2626" s="5"/>
      <c r="J2626" s="102" t="str">
        <f aca="false">IF(B2626="","",MONTH(B2626))</f>
        <v/>
      </c>
      <c r="K2626" s="102" t="str">
        <f aca="false">IF(B2626="","",YEAR(B2626))</f>
        <v/>
      </c>
      <c r="L2626" s="102" t="str">
        <f aca="false">IF(N(E2626)=0,"",IF(COUNTIFS(AK_NAMA,C2626,AK_KAT,"KAS")+COUNTIFS(AK_NAMA,D2626,AK_KAT,"KAS")&lt;&gt;1,"",IF(COUNTIFS(AK_NAMA,C2626,AK_KAT,"KAS")=1,D2626,C2626)))</f>
        <v/>
      </c>
      <c r="M2626" s="103" t="n">
        <f aca="false">IF(L2626="",0,IF(L2626=D2626,E2626,-E2626))</f>
        <v>0</v>
      </c>
      <c r="N2626" s="102" t="str">
        <f aca="false">IF(L2626="","",IFERROR(INDEX(AK_BARIS,MATCH(L2626,AK_NAMA,0)),"?"))</f>
        <v/>
      </c>
      <c r="O2626" s="102" t="str">
        <f aca="false">IF(C2626="","",IFERROR(INDEX(AK_KEL,MATCH(C2626,AK_NAMA,0)),"?"))</f>
        <v/>
      </c>
      <c r="P2626" s="102" t="str">
        <f aca="false">IF(D2626="","",IFERROR(INDEX(AK_KEL,MATCH(D2626,AK_NAMA,0)),"?"))</f>
        <v/>
      </c>
      <c r="Q2626" s="102" t="n">
        <f aca="false">N(Q2625)+IF(AND(N(E2626)&lt;&gt;0,K2626=TAHUN,N(J2626)&lt;=BLN,OR(C2626=BB_AKUN,D2626=BB_AKUN)),1,0)</f>
        <v>877</v>
      </c>
      <c r="R2626" s="104" t="str">
        <f aca="false">IF(OR(C2626&amp;D2626="",N(E2626)=0),"",IF(OR(O2626="?",P2626="?"),"⚠ akun tidak dikenal",IF(C2626=D2626,"⚠ debet = kredit","")))</f>
        <v/>
      </c>
    </row>
    <row r="2627" customFormat="false" ht="15" hidden="false" customHeight="false" outlineLevel="0" collapsed="false">
      <c r="A2627" s="5"/>
      <c r="B2627" s="83"/>
      <c r="C2627" s="5"/>
      <c r="D2627" s="5"/>
      <c r="E2627" s="44"/>
      <c r="F2627" s="5"/>
      <c r="G2627" s="5"/>
      <c r="H2627" s="5"/>
      <c r="I2627" s="5"/>
      <c r="J2627" s="102" t="str">
        <f aca="false">IF(B2627="","",MONTH(B2627))</f>
        <v/>
      </c>
      <c r="K2627" s="102" t="str">
        <f aca="false">IF(B2627="","",YEAR(B2627))</f>
        <v/>
      </c>
      <c r="L2627" s="102" t="str">
        <f aca="false">IF(N(E2627)=0,"",IF(COUNTIFS(AK_NAMA,C2627,AK_KAT,"KAS")+COUNTIFS(AK_NAMA,D2627,AK_KAT,"KAS")&lt;&gt;1,"",IF(COUNTIFS(AK_NAMA,C2627,AK_KAT,"KAS")=1,D2627,C2627)))</f>
        <v/>
      </c>
      <c r="M2627" s="103" t="n">
        <f aca="false">IF(L2627="",0,IF(L2627=D2627,E2627,-E2627))</f>
        <v>0</v>
      </c>
      <c r="N2627" s="102" t="str">
        <f aca="false">IF(L2627="","",IFERROR(INDEX(AK_BARIS,MATCH(L2627,AK_NAMA,0)),"?"))</f>
        <v/>
      </c>
      <c r="O2627" s="102" t="str">
        <f aca="false">IF(C2627="","",IFERROR(INDEX(AK_KEL,MATCH(C2627,AK_NAMA,0)),"?"))</f>
        <v/>
      </c>
      <c r="P2627" s="102" t="str">
        <f aca="false">IF(D2627="","",IFERROR(INDEX(AK_KEL,MATCH(D2627,AK_NAMA,0)),"?"))</f>
        <v/>
      </c>
      <c r="Q2627" s="102" t="n">
        <f aca="false">N(Q2626)+IF(AND(N(E2627)&lt;&gt;0,K2627=TAHUN,N(J2627)&lt;=BLN,OR(C2627=BB_AKUN,D2627=BB_AKUN)),1,0)</f>
        <v>877</v>
      </c>
      <c r="R2627" s="104" t="str">
        <f aca="false">IF(OR(C2627&amp;D2627="",N(E2627)=0),"",IF(OR(O2627="?",P2627="?"),"⚠ akun tidak dikenal",IF(C2627=D2627,"⚠ debet = kredit","")))</f>
        <v/>
      </c>
    </row>
    <row r="2628" customFormat="false" ht="15" hidden="false" customHeight="false" outlineLevel="0" collapsed="false">
      <c r="A2628" s="5"/>
      <c r="B2628" s="83"/>
      <c r="C2628" s="5"/>
      <c r="D2628" s="5"/>
      <c r="E2628" s="44"/>
      <c r="F2628" s="5"/>
      <c r="G2628" s="5"/>
      <c r="H2628" s="5"/>
      <c r="I2628" s="5"/>
      <c r="J2628" s="102" t="str">
        <f aca="false">IF(B2628="","",MONTH(B2628))</f>
        <v/>
      </c>
      <c r="K2628" s="102" t="str">
        <f aca="false">IF(B2628="","",YEAR(B2628))</f>
        <v/>
      </c>
      <c r="L2628" s="102" t="str">
        <f aca="false">IF(N(E2628)=0,"",IF(COUNTIFS(AK_NAMA,C2628,AK_KAT,"KAS")+COUNTIFS(AK_NAMA,D2628,AK_KAT,"KAS")&lt;&gt;1,"",IF(COUNTIFS(AK_NAMA,C2628,AK_KAT,"KAS")=1,D2628,C2628)))</f>
        <v/>
      </c>
      <c r="M2628" s="103" t="n">
        <f aca="false">IF(L2628="",0,IF(L2628=D2628,E2628,-E2628))</f>
        <v>0</v>
      </c>
      <c r="N2628" s="102" t="str">
        <f aca="false">IF(L2628="","",IFERROR(INDEX(AK_BARIS,MATCH(L2628,AK_NAMA,0)),"?"))</f>
        <v/>
      </c>
      <c r="O2628" s="102" t="str">
        <f aca="false">IF(C2628="","",IFERROR(INDEX(AK_KEL,MATCH(C2628,AK_NAMA,0)),"?"))</f>
        <v/>
      </c>
      <c r="P2628" s="102" t="str">
        <f aca="false">IF(D2628="","",IFERROR(INDEX(AK_KEL,MATCH(D2628,AK_NAMA,0)),"?"))</f>
        <v/>
      </c>
      <c r="Q2628" s="102" t="n">
        <f aca="false">N(Q2627)+IF(AND(N(E2628)&lt;&gt;0,K2628=TAHUN,N(J2628)&lt;=BLN,OR(C2628=BB_AKUN,D2628=BB_AKUN)),1,0)</f>
        <v>877</v>
      </c>
      <c r="R2628" s="104" t="str">
        <f aca="false">IF(OR(C2628&amp;D2628="",N(E2628)=0),"",IF(OR(O2628="?",P2628="?"),"⚠ akun tidak dikenal",IF(C2628=D2628,"⚠ debet = kredit","")))</f>
        <v/>
      </c>
    </row>
    <row r="2629" customFormat="false" ht="15" hidden="false" customHeight="false" outlineLevel="0" collapsed="false">
      <c r="A2629" s="5"/>
      <c r="B2629" s="83"/>
      <c r="C2629" s="5"/>
      <c r="D2629" s="5"/>
      <c r="E2629" s="44"/>
      <c r="F2629" s="5"/>
      <c r="G2629" s="5"/>
      <c r="H2629" s="5"/>
      <c r="I2629" s="5"/>
      <c r="J2629" s="102" t="str">
        <f aca="false">IF(B2629="","",MONTH(B2629))</f>
        <v/>
      </c>
      <c r="K2629" s="102" t="str">
        <f aca="false">IF(B2629="","",YEAR(B2629))</f>
        <v/>
      </c>
      <c r="L2629" s="102" t="str">
        <f aca="false">IF(N(E2629)=0,"",IF(COUNTIFS(AK_NAMA,C2629,AK_KAT,"KAS")+COUNTIFS(AK_NAMA,D2629,AK_KAT,"KAS")&lt;&gt;1,"",IF(COUNTIFS(AK_NAMA,C2629,AK_KAT,"KAS")=1,D2629,C2629)))</f>
        <v/>
      </c>
      <c r="M2629" s="103" t="n">
        <f aca="false">IF(L2629="",0,IF(L2629=D2629,E2629,-E2629))</f>
        <v>0</v>
      </c>
      <c r="N2629" s="102" t="str">
        <f aca="false">IF(L2629="","",IFERROR(INDEX(AK_BARIS,MATCH(L2629,AK_NAMA,0)),"?"))</f>
        <v/>
      </c>
      <c r="O2629" s="102" t="str">
        <f aca="false">IF(C2629="","",IFERROR(INDEX(AK_KEL,MATCH(C2629,AK_NAMA,0)),"?"))</f>
        <v/>
      </c>
      <c r="P2629" s="102" t="str">
        <f aca="false">IF(D2629="","",IFERROR(INDEX(AK_KEL,MATCH(D2629,AK_NAMA,0)),"?"))</f>
        <v/>
      </c>
      <c r="Q2629" s="102" t="n">
        <f aca="false">N(Q2628)+IF(AND(N(E2629)&lt;&gt;0,K2629=TAHUN,N(J2629)&lt;=BLN,OR(C2629=BB_AKUN,D2629=BB_AKUN)),1,0)</f>
        <v>877</v>
      </c>
      <c r="R2629" s="104" t="str">
        <f aca="false">IF(OR(C2629&amp;D2629="",N(E2629)=0),"",IF(OR(O2629="?",P2629="?"),"⚠ akun tidak dikenal",IF(C2629=D2629,"⚠ debet = kredit","")))</f>
        <v/>
      </c>
    </row>
    <row r="2630" customFormat="false" ht="15" hidden="false" customHeight="false" outlineLevel="0" collapsed="false">
      <c r="A2630" s="5"/>
      <c r="B2630" s="83"/>
      <c r="C2630" s="5"/>
      <c r="D2630" s="5"/>
      <c r="E2630" s="44"/>
      <c r="F2630" s="5"/>
      <c r="G2630" s="5"/>
      <c r="H2630" s="5"/>
      <c r="I2630" s="5"/>
      <c r="J2630" s="102" t="str">
        <f aca="false">IF(B2630="","",MONTH(B2630))</f>
        <v/>
      </c>
      <c r="K2630" s="102" t="str">
        <f aca="false">IF(B2630="","",YEAR(B2630))</f>
        <v/>
      </c>
      <c r="L2630" s="102" t="str">
        <f aca="false">IF(N(E2630)=0,"",IF(COUNTIFS(AK_NAMA,C2630,AK_KAT,"KAS")+COUNTIFS(AK_NAMA,D2630,AK_KAT,"KAS")&lt;&gt;1,"",IF(COUNTIFS(AK_NAMA,C2630,AK_KAT,"KAS")=1,D2630,C2630)))</f>
        <v/>
      </c>
      <c r="M2630" s="103" t="n">
        <f aca="false">IF(L2630="",0,IF(L2630=D2630,E2630,-E2630))</f>
        <v>0</v>
      </c>
      <c r="N2630" s="102" t="str">
        <f aca="false">IF(L2630="","",IFERROR(INDEX(AK_BARIS,MATCH(L2630,AK_NAMA,0)),"?"))</f>
        <v/>
      </c>
      <c r="O2630" s="102" t="str">
        <f aca="false">IF(C2630="","",IFERROR(INDEX(AK_KEL,MATCH(C2630,AK_NAMA,0)),"?"))</f>
        <v/>
      </c>
      <c r="P2630" s="102" t="str">
        <f aca="false">IF(D2630="","",IFERROR(INDEX(AK_KEL,MATCH(D2630,AK_NAMA,0)),"?"))</f>
        <v/>
      </c>
      <c r="Q2630" s="102" t="n">
        <f aca="false">N(Q2629)+IF(AND(N(E2630)&lt;&gt;0,K2630=TAHUN,N(J2630)&lt;=BLN,OR(C2630=BB_AKUN,D2630=BB_AKUN)),1,0)</f>
        <v>877</v>
      </c>
      <c r="R2630" s="104" t="str">
        <f aca="false">IF(OR(C2630&amp;D2630="",N(E2630)=0),"",IF(OR(O2630="?",P2630="?"),"⚠ akun tidak dikenal",IF(C2630=D2630,"⚠ debet = kredit","")))</f>
        <v/>
      </c>
    </row>
    <row r="2631" customFormat="false" ht="15" hidden="false" customHeight="false" outlineLevel="0" collapsed="false">
      <c r="A2631" s="5"/>
      <c r="B2631" s="83"/>
      <c r="C2631" s="5"/>
      <c r="D2631" s="5"/>
      <c r="E2631" s="44"/>
      <c r="F2631" s="5"/>
      <c r="G2631" s="5"/>
      <c r="H2631" s="5"/>
      <c r="I2631" s="5"/>
      <c r="J2631" s="102" t="str">
        <f aca="false">IF(B2631="","",MONTH(B2631))</f>
        <v/>
      </c>
      <c r="K2631" s="102" t="str">
        <f aca="false">IF(B2631="","",YEAR(B2631))</f>
        <v/>
      </c>
      <c r="L2631" s="102" t="str">
        <f aca="false">IF(N(E2631)=0,"",IF(COUNTIFS(AK_NAMA,C2631,AK_KAT,"KAS")+COUNTIFS(AK_NAMA,D2631,AK_KAT,"KAS")&lt;&gt;1,"",IF(COUNTIFS(AK_NAMA,C2631,AK_KAT,"KAS")=1,D2631,C2631)))</f>
        <v/>
      </c>
      <c r="M2631" s="103" t="n">
        <f aca="false">IF(L2631="",0,IF(L2631=D2631,E2631,-E2631))</f>
        <v>0</v>
      </c>
      <c r="N2631" s="102" t="str">
        <f aca="false">IF(L2631="","",IFERROR(INDEX(AK_BARIS,MATCH(L2631,AK_NAMA,0)),"?"))</f>
        <v/>
      </c>
      <c r="O2631" s="102" t="str">
        <f aca="false">IF(C2631="","",IFERROR(INDEX(AK_KEL,MATCH(C2631,AK_NAMA,0)),"?"))</f>
        <v/>
      </c>
      <c r="P2631" s="102" t="str">
        <f aca="false">IF(D2631="","",IFERROR(INDEX(AK_KEL,MATCH(D2631,AK_NAMA,0)),"?"))</f>
        <v/>
      </c>
      <c r="Q2631" s="102" t="n">
        <f aca="false">N(Q2630)+IF(AND(N(E2631)&lt;&gt;0,K2631=TAHUN,N(J2631)&lt;=BLN,OR(C2631=BB_AKUN,D2631=BB_AKUN)),1,0)</f>
        <v>877</v>
      </c>
      <c r="R2631" s="104" t="str">
        <f aca="false">IF(OR(C2631&amp;D2631="",N(E2631)=0),"",IF(OR(O2631="?",P2631="?"),"⚠ akun tidak dikenal",IF(C2631=D2631,"⚠ debet = kredit","")))</f>
        <v/>
      </c>
    </row>
    <row r="2632" customFormat="false" ht="15" hidden="false" customHeight="false" outlineLevel="0" collapsed="false">
      <c r="A2632" s="5"/>
      <c r="B2632" s="83"/>
      <c r="C2632" s="5"/>
      <c r="D2632" s="5"/>
      <c r="E2632" s="44"/>
      <c r="F2632" s="5"/>
      <c r="G2632" s="5"/>
      <c r="H2632" s="5"/>
      <c r="I2632" s="5"/>
      <c r="J2632" s="102" t="str">
        <f aca="false">IF(B2632="","",MONTH(B2632))</f>
        <v/>
      </c>
      <c r="K2632" s="102" t="str">
        <f aca="false">IF(B2632="","",YEAR(B2632))</f>
        <v/>
      </c>
      <c r="L2632" s="102" t="str">
        <f aca="false">IF(N(E2632)=0,"",IF(COUNTIFS(AK_NAMA,C2632,AK_KAT,"KAS")+COUNTIFS(AK_NAMA,D2632,AK_KAT,"KAS")&lt;&gt;1,"",IF(COUNTIFS(AK_NAMA,C2632,AK_KAT,"KAS")=1,D2632,C2632)))</f>
        <v/>
      </c>
      <c r="M2632" s="103" t="n">
        <f aca="false">IF(L2632="",0,IF(L2632=D2632,E2632,-E2632))</f>
        <v>0</v>
      </c>
      <c r="N2632" s="102" t="str">
        <f aca="false">IF(L2632="","",IFERROR(INDEX(AK_BARIS,MATCH(L2632,AK_NAMA,0)),"?"))</f>
        <v/>
      </c>
      <c r="O2632" s="102" t="str">
        <f aca="false">IF(C2632="","",IFERROR(INDEX(AK_KEL,MATCH(C2632,AK_NAMA,0)),"?"))</f>
        <v/>
      </c>
      <c r="P2632" s="102" t="str">
        <f aca="false">IF(D2632="","",IFERROR(INDEX(AK_KEL,MATCH(D2632,AK_NAMA,0)),"?"))</f>
        <v/>
      </c>
      <c r="Q2632" s="102" t="n">
        <f aca="false">N(Q2631)+IF(AND(N(E2632)&lt;&gt;0,K2632=TAHUN,N(J2632)&lt;=BLN,OR(C2632=BB_AKUN,D2632=BB_AKUN)),1,0)</f>
        <v>877</v>
      </c>
      <c r="R2632" s="104" t="str">
        <f aca="false">IF(OR(C2632&amp;D2632="",N(E2632)=0),"",IF(OR(O2632="?",P2632="?"),"⚠ akun tidak dikenal",IF(C2632=D2632,"⚠ debet = kredit","")))</f>
        <v/>
      </c>
    </row>
    <row r="2633" customFormat="false" ht="15" hidden="false" customHeight="false" outlineLevel="0" collapsed="false">
      <c r="A2633" s="5"/>
      <c r="B2633" s="83"/>
      <c r="C2633" s="5"/>
      <c r="D2633" s="5"/>
      <c r="E2633" s="44"/>
      <c r="F2633" s="5"/>
      <c r="G2633" s="5"/>
      <c r="H2633" s="5"/>
      <c r="I2633" s="5"/>
      <c r="J2633" s="102" t="str">
        <f aca="false">IF(B2633="","",MONTH(B2633))</f>
        <v/>
      </c>
      <c r="K2633" s="102" t="str">
        <f aca="false">IF(B2633="","",YEAR(B2633))</f>
        <v/>
      </c>
      <c r="L2633" s="102" t="str">
        <f aca="false">IF(N(E2633)=0,"",IF(COUNTIFS(AK_NAMA,C2633,AK_KAT,"KAS")+COUNTIFS(AK_NAMA,D2633,AK_KAT,"KAS")&lt;&gt;1,"",IF(COUNTIFS(AK_NAMA,C2633,AK_KAT,"KAS")=1,D2633,C2633)))</f>
        <v/>
      </c>
      <c r="M2633" s="103" t="n">
        <f aca="false">IF(L2633="",0,IF(L2633=D2633,E2633,-E2633))</f>
        <v>0</v>
      </c>
      <c r="N2633" s="102" t="str">
        <f aca="false">IF(L2633="","",IFERROR(INDEX(AK_BARIS,MATCH(L2633,AK_NAMA,0)),"?"))</f>
        <v/>
      </c>
      <c r="O2633" s="102" t="str">
        <f aca="false">IF(C2633="","",IFERROR(INDEX(AK_KEL,MATCH(C2633,AK_NAMA,0)),"?"))</f>
        <v/>
      </c>
      <c r="P2633" s="102" t="str">
        <f aca="false">IF(D2633="","",IFERROR(INDEX(AK_KEL,MATCH(D2633,AK_NAMA,0)),"?"))</f>
        <v/>
      </c>
      <c r="Q2633" s="102" t="n">
        <f aca="false">N(Q2632)+IF(AND(N(E2633)&lt;&gt;0,K2633=TAHUN,N(J2633)&lt;=BLN,OR(C2633=BB_AKUN,D2633=BB_AKUN)),1,0)</f>
        <v>877</v>
      </c>
      <c r="R2633" s="104" t="str">
        <f aca="false">IF(OR(C2633&amp;D2633="",N(E2633)=0),"",IF(OR(O2633="?",P2633="?"),"⚠ akun tidak dikenal",IF(C2633=D2633,"⚠ debet = kredit","")))</f>
        <v/>
      </c>
    </row>
    <row r="2634" customFormat="false" ht="15" hidden="false" customHeight="false" outlineLevel="0" collapsed="false">
      <c r="A2634" s="5"/>
      <c r="B2634" s="83"/>
      <c r="C2634" s="5"/>
      <c r="D2634" s="5"/>
      <c r="E2634" s="44"/>
      <c r="F2634" s="5"/>
      <c r="G2634" s="5"/>
      <c r="H2634" s="5"/>
      <c r="I2634" s="5"/>
      <c r="J2634" s="102" t="str">
        <f aca="false">IF(B2634="","",MONTH(B2634))</f>
        <v/>
      </c>
      <c r="K2634" s="102" t="str">
        <f aca="false">IF(B2634="","",YEAR(B2634))</f>
        <v/>
      </c>
      <c r="L2634" s="102" t="str">
        <f aca="false">IF(N(E2634)=0,"",IF(COUNTIFS(AK_NAMA,C2634,AK_KAT,"KAS")+COUNTIFS(AK_NAMA,D2634,AK_KAT,"KAS")&lt;&gt;1,"",IF(COUNTIFS(AK_NAMA,C2634,AK_KAT,"KAS")=1,D2634,C2634)))</f>
        <v/>
      </c>
      <c r="M2634" s="103" t="n">
        <f aca="false">IF(L2634="",0,IF(L2634=D2634,E2634,-E2634))</f>
        <v>0</v>
      </c>
      <c r="N2634" s="102" t="str">
        <f aca="false">IF(L2634="","",IFERROR(INDEX(AK_BARIS,MATCH(L2634,AK_NAMA,0)),"?"))</f>
        <v/>
      </c>
      <c r="O2634" s="102" t="str">
        <f aca="false">IF(C2634="","",IFERROR(INDEX(AK_KEL,MATCH(C2634,AK_NAMA,0)),"?"))</f>
        <v/>
      </c>
      <c r="P2634" s="102" t="str">
        <f aca="false">IF(D2634="","",IFERROR(INDEX(AK_KEL,MATCH(D2634,AK_NAMA,0)),"?"))</f>
        <v/>
      </c>
      <c r="Q2634" s="102" t="n">
        <f aca="false">N(Q2633)+IF(AND(N(E2634)&lt;&gt;0,K2634=TAHUN,N(J2634)&lt;=BLN,OR(C2634=BB_AKUN,D2634=BB_AKUN)),1,0)</f>
        <v>877</v>
      </c>
      <c r="R2634" s="104" t="str">
        <f aca="false">IF(OR(C2634&amp;D2634="",N(E2634)=0),"",IF(OR(O2634="?",P2634="?"),"⚠ akun tidak dikenal",IF(C2634=D2634,"⚠ debet = kredit","")))</f>
        <v/>
      </c>
    </row>
    <row r="2635" customFormat="false" ht="15" hidden="false" customHeight="false" outlineLevel="0" collapsed="false">
      <c r="A2635" s="5"/>
      <c r="B2635" s="83"/>
      <c r="C2635" s="5"/>
      <c r="D2635" s="5"/>
      <c r="E2635" s="44"/>
      <c r="F2635" s="5"/>
      <c r="G2635" s="5"/>
      <c r="H2635" s="5"/>
      <c r="I2635" s="5"/>
      <c r="J2635" s="102" t="str">
        <f aca="false">IF(B2635="","",MONTH(B2635))</f>
        <v/>
      </c>
      <c r="K2635" s="102" t="str">
        <f aca="false">IF(B2635="","",YEAR(B2635))</f>
        <v/>
      </c>
      <c r="L2635" s="102" t="str">
        <f aca="false">IF(N(E2635)=0,"",IF(COUNTIFS(AK_NAMA,C2635,AK_KAT,"KAS")+COUNTIFS(AK_NAMA,D2635,AK_KAT,"KAS")&lt;&gt;1,"",IF(COUNTIFS(AK_NAMA,C2635,AK_KAT,"KAS")=1,D2635,C2635)))</f>
        <v/>
      </c>
      <c r="M2635" s="103" t="n">
        <f aca="false">IF(L2635="",0,IF(L2635=D2635,E2635,-E2635))</f>
        <v>0</v>
      </c>
      <c r="N2635" s="102" t="str">
        <f aca="false">IF(L2635="","",IFERROR(INDEX(AK_BARIS,MATCH(L2635,AK_NAMA,0)),"?"))</f>
        <v/>
      </c>
      <c r="O2635" s="102" t="str">
        <f aca="false">IF(C2635="","",IFERROR(INDEX(AK_KEL,MATCH(C2635,AK_NAMA,0)),"?"))</f>
        <v/>
      </c>
      <c r="P2635" s="102" t="str">
        <f aca="false">IF(D2635="","",IFERROR(INDEX(AK_KEL,MATCH(D2635,AK_NAMA,0)),"?"))</f>
        <v/>
      </c>
      <c r="Q2635" s="102" t="n">
        <f aca="false">N(Q2634)+IF(AND(N(E2635)&lt;&gt;0,K2635=TAHUN,N(J2635)&lt;=BLN,OR(C2635=BB_AKUN,D2635=BB_AKUN)),1,0)</f>
        <v>877</v>
      </c>
      <c r="R2635" s="104" t="str">
        <f aca="false">IF(OR(C2635&amp;D2635="",N(E2635)=0),"",IF(OR(O2635="?",P2635="?"),"⚠ akun tidak dikenal",IF(C2635=D2635,"⚠ debet = kredit","")))</f>
        <v/>
      </c>
    </row>
    <row r="2636" customFormat="false" ht="15" hidden="false" customHeight="false" outlineLevel="0" collapsed="false">
      <c r="A2636" s="5"/>
      <c r="B2636" s="83"/>
      <c r="C2636" s="5"/>
      <c r="D2636" s="5"/>
      <c r="E2636" s="44"/>
      <c r="F2636" s="5"/>
      <c r="G2636" s="5"/>
      <c r="H2636" s="5"/>
      <c r="I2636" s="5"/>
      <c r="J2636" s="102" t="str">
        <f aca="false">IF(B2636="","",MONTH(B2636))</f>
        <v/>
      </c>
      <c r="K2636" s="102" t="str">
        <f aca="false">IF(B2636="","",YEAR(B2636))</f>
        <v/>
      </c>
      <c r="L2636" s="102" t="str">
        <f aca="false">IF(N(E2636)=0,"",IF(COUNTIFS(AK_NAMA,C2636,AK_KAT,"KAS")+COUNTIFS(AK_NAMA,D2636,AK_KAT,"KAS")&lt;&gt;1,"",IF(COUNTIFS(AK_NAMA,C2636,AK_KAT,"KAS")=1,D2636,C2636)))</f>
        <v/>
      </c>
      <c r="M2636" s="103" t="n">
        <f aca="false">IF(L2636="",0,IF(L2636=D2636,E2636,-E2636))</f>
        <v>0</v>
      </c>
      <c r="N2636" s="102" t="str">
        <f aca="false">IF(L2636="","",IFERROR(INDEX(AK_BARIS,MATCH(L2636,AK_NAMA,0)),"?"))</f>
        <v/>
      </c>
      <c r="O2636" s="102" t="str">
        <f aca="false">IF(C2636="","",IFERROR(INDEX(AK_KEL,MATCH(C2636,AK_NAMA,0)),"?"))</f>
        <v/>
      </c>
      <c r="P2636" s="102" t="str">
        <f aca="false">IF(D2636="","",IFERROR(INDEX(AK_KEL,MATCH(D2636,AK_NAMA,0)),"?"))</f>
        <v/>
      </c>
      <c r="Q2636" s="102" t="n">
        <f aca="false">N(Q2635)+IF(AND(N(E2636)&lt;&gt;0,K2636=TAHUN,N(J2636)&lt;=BLN,OR(C2636=BB_AKUN,D2636=BB_AKUN)),1,0)</f>
        <v>877</v>
      </c>
      <c r="R2636" s="104" t="str">
        <f aca="false">IF(OR(C2636&amp;D2636="",N(E2636)=0),"",IF(OR(O2636="?",P2636="?"),"⚠ akun tidak dikenal",IF(C2636=D2636,"⚠ debet = kredit","")))</f>
        <v/>
      </c>
    </row>
    <row r="2637" customFormat="false" ht="15" hidden="false" customHeight="false" outlineLevel="0" collapsed="false">
      <c r="A2637" s="5"/>
      <c r="B2637" s="83"/>
      <c r="C2637" s="5"/>
      <c r="D2637" s="5"/>
      <c r="E2637" s="44"/>
      <c r="F2637" s="5"/>
      <c r="G2637" s="5"/>
      <c r="H2637" s="5"/>
      <c r="I2637" s="5"/>
      <c r="J2637" s="102" t="str">
        <f aca="false">IF(B2637="","",MONTH(B2637))</f>
        <v/>
      </c>
      <c r="K2637" s="102" t="str">
        <f aca="false">IF(B2637="","",YEAR(B2637))</f>
        <v/>
      </c>
      <c r="L2637" s="102" t="str">
        <f aca="false">IF(N(E2637)=0,"",IF(COUNTIFS(AK_NAMA,C2637,AK_KAT,"KAS")+COUNTIFS(AK_NAMA,D2637,AK_KAT,"KAS")&lt;&gt;1,"",IF(COUNTIFS(AK_NAMA,C2637,AK_KAT,"KAS")=1,D2637,C2637)))</f>
        <v/>
      </c>
      <c r="M2637" s="103" t="n">
        <f aca="false">IF(L2637="",0,IF(L2637=D2637,E2637,-E2637))</f>
        <v>0</v>
      </c>
      <c r="N2637" s="102" t="str">
        <f aca="false">IF(L2637="","",IFERROR(INDEX(AK_BARIS,MATCH(L2637,AK_NAMA,0)),"?"))</f>
        <v/>
      </c>
      <c r="O2637" s="102" t="str">
        <f aca="false">IF(C2637="","",IFERROR(INDEX(AK_KEL,MATCH(C2637,AK_NAMA,0)),"?"))</f>
        <v/>
      </c>
      <c r="P2637" s="102" t="str">
        <f aca="false">IF(D2637="","",IFERROR(INDEX(AK_KEL,MATCH(D2637,AK_NAMA,0)),"?"))</f>
        <v/>
      </c>
      <c r="Q2637" s="102" t="n">
        <f aca="false">N(Q2636)+IF(AND(N(E2637)&lt;&gt;0,K2637=TAHUN,N(J2637)&lt;=BLN,OR(C2637=BB_AKUN,D2637=BB_AKUN)),1,0)</f>
        <v>877</v>
      </c>
      <c r="R2637" s="104" t="str">
        <f aca="false">IF(OR(C2637&amp;D2637="",N(E2637)=0),"",IF(OR(O2637="?",P2637="?"),"⚠ akun tidak dikenal",IF(C2637=D2637,"⚠ debet = kredit","")))</f>
        <v/>
      </c>
    </row>
    <row r="2638" customFormat="false" ht="15" hidden="false" customHeight="false" outlineLevel="0" collapsed="false">
      <c r="A2638" s="5"/>
      <c r="B2638" s="83"/>
      <c r="C2638" s="5"/>
      <c r="D2638" s="5"/>
      <c r="E2638" s="44"/>
      <c r="F2638" s="5"/>
      <c r="G2638" s="5"/>
      <c r="H2638" s="5"/>
      <c r="I2638" s="5"/>
      <c r="J2638" s="102" t="str">
        <f aca="false">IF(B2638="","",MONTH(B2638))</f>
        <v/>
      </c>
      <c r="K2638" s="102" t="str">
        <f aca="false">IF(B2638="","",YEAR(B2638))</f>
        <v/>
      </c>
      <c r="L2638" s="102" t="str">
        <f aca="false">IF(N(E2638)=0,"",IF(COUNTIFS(AK_NAMA,C2638,AK_KAT,"KAS")+COUNTIFS(AK_NAMA,D2638,AK_KAT,"KAS")&lt;&gt;1,"",IF(COUNTIFS(AK_NAMA,C2638,AK_KAT,"KAS")=1,D2638,C2638)))</f>
        <v/>
      </c>
      <c r="M2638" s="103" t="n">
        <f aca="false">IF(L2638="",0,IF(L2638=D2638,E2638,-E2638))</f>
        <v>0</v>
      </c>
      <c r="N2638" s="102" t="str">
        <f aca="false">IF(L2638="","",IFERROR(INDEX(AK_BARIS,MATCH(L2638,AK_NAMA,0)),"?"))</f>
        <v/>
      </c>
      <c r="O2638" s="102" t="str">
        <f aca="false">IF(C2638="","",IFERROR(INDEX(AK_KEL,MATCH(C2638,AK_NAMA,0)),"?"))</f>
        <v/>
      </c>
      <c r="P2638" s="102" t="str">
        <f aca="false">IF(D2638="","",IFERROR(INDEX(AK_KEL,MATCH(D2638,AK_NAMA,0)),"?"))</f>
        <v/>
      </c>
      <c r="Q2638" s="102" t="n">
        <f aca="false">N(Q2637)+IF(AND(N(E2638)&lt;&gt;0,K2638=TAHUN,N(J2638)&lt;=BLN,OR(C2638=BB_AKUN,D2638=BB_AKUN)),1,0)</f>
        <v>877</v>
      </c>
      <c r="R2638" s="104" t="str">
        <f aca="false">IF(OR(C2638&amp;D2638="",N(E2638)=0),"",IF(OR(O2638="?",P2638="?"),"⚠ akun tidak dikenal",IF(C2638=D2638,"⚠ debet = kredit","")))</f>
        <v/>
      </c>
    </row>
    <row r="2639" customFormat="false" ht="15" hidden="false" customHeight="false" outlineLevel="0" collapsed="false">
      <c r="A2639" s="5"/>
      <c r="B2639" s="83"/>
      <c r="C2639" s="5"/>
      <c r="D2639" s="5"/>
      <c r="E2639" s="44"/>
      <c r="F2639" s="5"/>
      <c r="G2639" s="5"/>
      <c r="H2639" s="5"/>
      <c r="I2639" s="5"/>
      <c r="J2639" s="102" t="str">
        <f aca="false">IF(B2639="","",MONTH(B2639))</f>
        <v/>
      </c>
      <c r="K2639" s="102" t="str">
        <f aca="false">IF(B2639="","",YEAR(B2639))</f>
        <v/>
      </c>
      <c r="L2639" s="102" t="str">
        <f aca="false">IF(N(E2639)=0,"",IF(COUNTIFS(AK_NAMA,C2639,AK_KAT,"KAS")+COUNTIFS(AK_NAMA,D2639,AK_KAT,"KAS")&lt;&gt;1,"",IF(COUNTIFS(AK_NAMA,C2639,AK_KAT,"KAS")=1,D2639,C2639)))</f>
        <v/>
      </c>
      <c r="M2639" s="103" t="n">
        <f aca="false">IF(L2639="",0,IF(L2639=D2639,E2639,-E2639))</f>
        <v>0</v>
      </c>
      <c r="N2639" s="102" t="str">
        <f aca="false">IF(L2639="","",IFERROR(INDEX(AK_BARIS,MATCH(L2639,AK_NAMA,0)),"?"))</f>
        <v/>
      </c>
      <c r="O2639" s="102" t="str">
        <f aca="false">IF(C2639="","",IFERROR(INDEX(AK_KEL,MATCH(C2639,AK_NAMA,0)),"?"))</f>
        <v/>
      </c>
      <c r="P2639" s="102" t="str">
        <f aca="false">IF(D2639="","",IFERROR(INDEX(AK_KEL,MATCH(D2639,AK_NAMA,0)),"?"))</f>
        <v/>
      </c>
      <c r="Q2639" s="102" t="n">
        <f aca="false">N(Q2638)+IF(AND(N(E2639)&lt;&gt;0,K2639=TAHUN,N(J2639)&lt;=BLN,OR(C2639=BB_AKUN,D2639=BB_AKUN)),1,0)</f>
        <v>877</v>
      </c>
      <c r="R2639" s="104" t="str">
        <f aca="false">IF(OR(C2639&amp;D2639="",N(E2639)=0),"",IF(OR(O2639="?",P2639="?"),"⚠ akun tidak dikenal",IF(C2639=D2639,"⚠ debet = kredit","")))</f>
        <v/>
      </c>
    </row>
    <row r="2640" customFormat="false" ht="15" hidden="false" customHeight="false" outlineLevel="0" collapsed="false">
      <c r="A2640" s="5"/>
      <c r="B2640" s="83"/>
      <c r="C2640" s="5"/>
      <c r="D2640" s="5"/>
      <c r="E2640" s="44"/>
      <c r="F2640" s="5"/>
      <c r="G2640" s="5"/>
      <c r="H2640" s="5"/>
      <c r="I2640" s="5"/>
      <c r="J2640" s="102" t="str">
        <f aca="false">IF(B2640="","",MONTH(B2640))</f>
        <v/>
      </c>
      <c r="K2640" s="102" t="str">
        <f aca="false">IF(B2640="","",YEAR(B2640))</f>
        <v/>
      </c>
      <c r="L2640" s="102" t="str">
        <f aca="false">IF(N(E2640)=0,"",IF(COUNTIFS(AK_NAMA,C2640,AK_KAT,"KAS")+COUNTIFS(AK_NAMA,D2640,AK_KAT,"KAS")&lt;&gt;1,"",IF(COUNTIFS(AK_NAMA,C2640,AK_KAT,"KAS")=1,D2640,C2640)))</f>
        <v/>
      </c>
      <c r="M2640" s="103" t="n">
        <f aca="false">IF(L2640="",0,IF(L2640=D2640,E2640,-E2640))</f>
        <v>0</v>
      </c>
      <c r="N2640" s="102" t="str">
        <f aca="false">IF(L2640="","",IFERROR(INDEX(AK_BARIS,MATCH(L2640,AK_NAMA,0)),"?"))</f>
        <v/>
      </c>
      <c r="O2640" s="102" t="str">
        <f aca="false">IF(C2640="","",IFERROR(INDEX(AK_KEL,MATCH(C2640,AK_NAMA,0)),"?"))</f>
        <v/>
      </c>
      <c r="P2640" s="102" t="str">
        <f aca="false">IF(D2640="","",IFERROR(INDEX(AK_KEL,MATCH(D2640,AK_NAMA,0)),"?"))</f>
        <v/>
      </c>
      <c r="Q2640" s="102" t="n">
        <f aca="false">N(Q2639)+IF(AND(N(E2640)&lt;&gt;0,K2640=TAHUN,N(J2640)&lt;=BLN,OR(C2640=BB_AKUN,D2640=BB_AKUN)),1,0)</f>
        <v>877</v>
      </c>
      <c r="R2640" s="104" t="str">
        <f aca="false">IF(OR(C2640&amp;D2640="",N(E2640)=0),"",IF(OR(O2640="?",P2640="?"),"⚠ akun tidak dikenal",IF(C2640=D2640,"⚠ debet = kredit","")))</f>
        <v/>
      </c>
    </row>
    <row r="2641" customFormat="false" ht="15" hidden="false" customHeight="false" outlineLevel="0" collapsed="false">
      <c r="A2641" s="5"/>
      <c r="B2641" s="83"/>
      <c r="C2641" s="5"/>
      <c r="D2641" s="5"/>
      <c r="E2641" s="44"/>
      <c r="F2641" s="5"/>
      <c r="G2641" s="5"/>
      <c r="H2641" s="5"/>
      <c r="I2641" s="5"/>
      <c r="J2641" s="102" t="str">
        <f aca="false">IF(B2641="","",MONTH(B2641))</f>
        <v/>
      </c>
      <c r="K2641" s="102" t="str">
        <f aca="false">IF(B2641="","",YEAR(B2641))</f>
        <v/>
      </c>
      <c r="L2641" s="102" t="str">
        <f aca="false">IF(N(E2641)=0,"",IF(COUNTIFS(AK_NAMA,C2641,AK_KAT,"KAS")+COUNTIFS(AK_NAMA,D2641,AK_KAT,"KAS")&lt;&gt;1,"",IF(COUNTIFS(AK_NAMA,C2641,AK_KAT,"KAS")=1,D2641,C2641)))</f>
        <v/>
      </c>
      <c r="M2641" s="103" t="n">
        <f aca="false">IF(L2641="",0,IF(L2641=D2641,E2641,-E2641))</f>
        <v>0</v>
      </c>
      <c r="N2641" s="102" t="str">
        <f aca="false">IF(L2641="","",IFERROR(INDEX(AK_BARIS,MATCH(L2641,AK_NAMA,0)),"?"))</f>
        <v/>
      </c>
      <c r="O2641" s="102" t="str">
        <f aca="false">IF(C2641="","",IFERROR(INDEX(AK_KEL,MATCH(C2641,AK_NAMA,0)),"?"))</f>
        <v/>
      </c>
      <c r="P2641" s="102" t="str">
        <f aca="false">IF(D2641="","",IFERROR(INDEX(AK_KEL,MATCH(D2641,AK_NAMA,0)),"?"))</f>
        <v/>
      </c>
      <c r="Q2641" s="102" t="n">
        <f aca="false">N(Q2640)+IF(AND(N(E2641)&lt;&gt;0,K2641=TAHUN,N(J2641)&lt;=BLN,OR(C2641=BB_AKUN,D2641=BB_AKUN)),1,0)</f>
        <v>877</v>
      </c>
      <c r="R2641" s="104" t="str">
        <f aca="false">IF(OR(C2641&amp;D2641="",N(E2641)=0),"",IF(OR(O2641="?",P2641="?"),"⚠ akun tidak dikenal",IF(C2641=D2641,"⚠ debet = kredit","")))</f>
        <v/>
      </c>
    </row>
    <row r="2642" customFormat="false" ht="15" hidden="false" customHeight="false" outlineLevel="0" collapsed="false">
      <c r="A2642" s="5"/>
      <c r="B2642" s="83"/>
      <c r="C2642" s="5"/>
      <c r="D2642" s="5"/>
      <c r="E2642" s="44"/>
      <c r="F2642" s="5"/>
      <c r="G2642" s="5"/>
      <c r="H2642" s="5"/>
      <c r="I2642" s="5"/>
      <c r="J2642" s="102" t="str">
        <f aca="false">IF(B2642="","",MONTH(B2642))</f>
        <v/>
      </c>
      <c r="K2642" s="102" t="str">
        <f aca="false">IF(B2642="","",YEAR(B2642))</f>
        <v/>
      </c>
      <c r="L2642" s="102" t="str">
        <f aca="false">IF(N(E2642)=0,"",IF(COUNTIFS(AK_NAMA,C2642,AK_KAT,"KAS")+COUNTIFS(AK_NAMA,D2642,AK_KAT,"KAS")&lt;&gt;1,"",IF(COUNTIFS(AK_NAMA,C2642,AK_KAT,"KAS")=1,D2642,C2642)))</f>
        <v/>
      </c>
      <c r="M2642" s="103" t="n">
        <f aca="false">IF(L2642="",0,IF(L2642=D2642,E2642,-E2642))</f>
        <v>0</v>
      </c>
      <c r="N2642" s="102" t="str">
        <f aca="false">IF(L2642="","",IFERROR(INDEX(AK_BARIS,MATCH(L2642,AK_NAMA,0)),"?"))</f>
        <v/>
      </c>
      <c r="O2642" s="102" t="str">
        <f aca="false">IF(C2642="","",IFERROR(INDEX(AK_KEL,MATCH(C2642,AK_NAMA,0)),"?"))</f>
        <v/>
      </c>
      <c r="P2642" s="102" t="str">
        <f aca="false">IF(D2642="","",IFERROR(INDEX(AK_KEL,MATCH(D2642,AK_NAMA,0)),"?"))</f>
        <v/>
      </c>
      <c r="Q2642" s="102" t="n">
        <f aca="false">N(Q2641)+IF(AND(N(E2642)&lt;&gt;0,K2642=TAHUN,N(J2642)&lt;=BLN,OR(C2642=BB_AKUN,D2642=BB_AKUN)),1,0)</f>
        <v>877</v>
      </c>
      <c r="R2642" s="104" t="str">
        <f aca="false">IF(OR(C2642&amp;D2642="",N(E2642)=0),"",IF(OR(O2642="?",P2642="?"),"⚠ akun tidak dikenal",IF(C2642=D2642,"⚠ debet = kredit","")))</f>
        <v/>
      </c>
    </row>
    <row r="2643" customFormat="false" ht="15" hidden="false" customHeight="false" outlineLevel="0" collapsed="false">
      <c r="A2643" s="5"/>
      <c r="B2643" s="83"/>
      <c r="C2643" s="5"/>
      <c r="D2643" s="5"/>
      <c r="E2643" s="44"/>
      <c r="F2643" s="5"/>
      <c r="G2643" s="5"/>
      <c r="H2643" s="5"/>
      <c r="I2643" s="5"/>
      <c r="J2643" s="102" t="str">
        <f aca="false">IF(B2643="","",MONTH(B2643))</f>
        <v/>
      </c>
      <c r="K2643" s="102" t="str">
        <f aca="false">IF(B2643="","",YEAR(B2643))</f>
        <v/>
      </c>
      <c r="L2643" s="102" t="str">
        <f aca="false">IF(N(E2643)=0,"",IF(COUNTIFS(AK_NAMA,C2643,AK_KAT,"KAS")+COUNTIFS(AK_NAMA,D2643,AK_KAT,"KAS")&lt;&gt;1,"",IF(COUNTIFS(AK_NAMA,C2643,AK_KAT,"KAS")=1,D2643,C2643)))</f>
        <v/>
      </c>
      <c r="M2643" s="103" t="n">
        <f aca="false">IF(L2643="",0,IF(L2643=D2643,E2643,-E2643))</f>
        <v>0</v>
      </c>
      <c r="N2643" s="102" t="str">
        <f aca="false">IF(L2643="","",IFERROR(INDEX(AK_BARIS,MATCH(L2643,AK_NAMA,0)),"?"))</f>
        <v/>
      </c>
      <c r="O2643" s="102" t="str">
        <f aca="false">IF(C2643="","",IFERROR(INDEX(AK_KEL,MATCH(C2643,AK_NAMA,0)),"?"))</f>
        <v/>
      </c>
      <c r="P2643" s="102" t="str">
        <f aca="false">IF(D2643="","",IFERROR(INDEX(AK_KEL,MATCH(D2643,AK_NAMA,0)),"?"))</f>
        <v/>
      </c>
      <c r="Q2643" s="102" t="n">
        <f aca="false">N(Q2642)+IF(AND(N(E2643)&lt;&gt;0,K2643=TAHUN,N(J2643)&lt;=BLN,OR(C2643=BB_AKUN,D2643=BB_AKUN)),1,0)</f>
        <v>877</v>
      </c>
      <c r="R2643" s="104" t="str">
        <f aca="false">IF(OR(C2643&amp;D2643="",N(E2643)=0),"",IF(OR(O2643="?",P2643="?"),"⚠ akun tidak dikenal",IF(C2643=D2643,"⚠ debet = kredit","")))</f>
        <v/>
      </c>
    </row>
    <row r="2644" customFormat="false" ht="15" hidden="false" customHeight="false" outlineLevel="0" collapsed="false">
      <c r="A2644" s="5"/>
      <c r="B2644" s="83"/>
      <c r="C2644" s="5"/>
      <c r="D2644" s="5"/>
      <c r="E2644" s="44"/>
      <c r="F2644" s="5"/>
      <c r="G2644" s="5"/>
      <c r="H2644" s="5"/>
      <c r="I2644" s="5"/>
      <c r="J2644" s="102" t="str">
        <f aca="false">IF(B2644="","",MONTH(B2644))</f>
        <v/>
      </c>
      <c r="K2644" s="102" t="str">
        <f aca="false">IF(B2644="","",YEAR(B2644))</f>
        <v/>
      </c>
      <c r="L2644" s="102" t="str">
        <f aca="false">IF(N(E2644)=0,"",IF(COUNTIFS(AK_NAMA,C2644,AK_KAT,"KAS")+COUNTIFS(AK_NAMA,D2644,AK_KAT,"KAS")&lt;&gt;1,"",IF(COUNTIFS(AK_NAMA,C2644,AK_KAT,"KAS")=1,D2644,C2644)))</f>
        <v/>
      </c>
      <c r="M2644" s="103" t="n">
        <f aca="false">IF(L2644="",0,IF(L2644=D2644,E2644,-E2644))</f>
        <v>0</v>
      </c>
      <c r="N2644" s="102" t="str">
        <f aca="false">IF(L2644="","",IFERROR(INDEX(AK_BARIS,MATCH(L2644,AK_NAMA,0)),"?"))</f>
        <v/>
      </c>
      <c r="O2644" s="102" t="str">
        <f aca="false">IF(C2644="","",IFERROR(INDEX(AK_KEL,MATCH(C2644,AK_NAMA,0)),"?"))</f>
        <v/>
      </c>
      <c r="P2644" s="102" t="str">
        <f aca="false">IF(D2644="","",IFERROR(INDEX(AK_KEL,MATCH(D2644,AK_NAMA,0)),"?"))</f>
        <v/>
      </c>
      <c r="Q2644" s="102" t="n">
        <f aca="false">N(Q2643)+IF(AND(N(E2644)&lt;&gt;0,K2644=TAHUN,N(J2644)&lt;=BLN,OR(C2644=BB_AKUN,D2644=BB_AKUN)),1,0)</f>
        <v>877</v>
      </c>
      <c r="R2644" s="104" t="str">
        <f aca="false">IF(OR(C2644&amp;D2644="",N(E2644)=0),"",IF(OR(O2644="?",P2644="?"),"⚠ akun tidak dikenal",IF(C2644=D2644,"⚠ debet = kredit","")))</f>
        <v/>
      </c>
    </row>
    <row r="2645" customFormat="false" ht="15" hidden="false" customHeight="false" outlineLevel="0" collapsed="false">
      <c r="A2645" s="5"/>
      <c r="B2645" s="83"/>
      <c r="C2645" s="5"/>
      <c r="D2645" s="5"/>
      <c r="E2645" s="44"/>
      <c r="F2645" s="5"/>
      <c r="G2645" s="5"/>
      <c r="H2645" s="5"/>
      <c r="I2645" s="5"/>
      <c r="J2645" s="102" t="str">
        <f aca="false">IF(B2645="","",MONTH(B2645))</f>
        <v/>
      </c>
      <c r="K2645" s="102" t="str">
        <f aca="false">IF(B2645="","",YEAR(B2645))</f>
        <v/>
      </c>
      <c r="L2645" s="102" t="str">
        <f aca="false">IF(N(E2645)=0,"",IF(COUNTIFS(AK_NAMA,C2645,AK_KAT,"KAS")+COUNTIFS(AK_NAMA,D2645,AK_KAT,"KAS")&lt;&gt;1,"",IF(COUNTIFS(AK_NAMA,C2645,AK_KAT,"KAS")=1,D2645,C2645)))</f>
        <v/>
      </c>
      <c r="M2645" s="103" t="n">
        <f aca="false">IF(L2645="",0,IF(L2645=D2645,E2645,-E2645))</f>
        <v>0</v>
      </c>
      <c r="N2645" s="102" t="str">
        <f aca="false">IF(L2645="","",IFERROR(INDEX(AK_BARIS,MATCH(L2645,AK_NAMA,0)),"?"))</f>
        <v/>
      </c>
      <c r="O2645" s="102" t="str">
        <f aca="false">IF(C2645="","",IFERROR(INDEX(AK_KEL,MATCH(C2645,AK_NAMA,0)),"?"))</f>
        <v/>
      </c>
      <c r="P2645" s="102" t="str">
        <f aca="false">IF(D2645="","",IFERROR(INDEX(AK_KEL,MATCH(D2645,AK_NAMA,0)),"?"))</f>
        <v/>
      </c>
      <c r="Q2645" s="102" t="n">
        <f aca="false">N(Q2644)+IF(AND(N(E2645)&lt;&gt;0,K2645=TAHUN,N(J2645)&lt;=BLN,OR(C2645=BB_AKUN,D2645=BB_AKUN)),1,0)</f>
        <v>877</v>
      </c>
      <c r="R2645" s="104" t="str">
        <f aca="false">IF(OR(C2645&amp;D2645="",N(E2645)=0),"",IF(OR(O2645="?",P2645="?"),"⚠ akun tidak dikenal",IF(C2645=D2645,"⚠ debet = kredit","")))</f>
        <v/>
      </c>
    </row>
    <row r="2646" customFormat="false" ht="15" hidden="false" customHeight="false" outlineLevel="0" collapsed="false">
      <c r="A2646" s="5"/>
      <c r="B2646" s="83"/>
      <c r="C2646" s="5"/>
      <c r="D2646" s="5"/>
      <c r="E2646" s="44"/>
      <c r="F2646" s="5"/>
      <c r="G2646" s="5"/>
      <c r="H2646" s="5"/>
      <c r="I2646" s="5"/>
      <c r="J2646" s="102" t="str">
        <f aca="false">IF(B2646="","",MONTH(B2646))</f>
        <v/>
      </c>
      <c r="K2646" s="102" t="str">
        <f aca="false">IF(B2646="","",YEAR(B2646))</f>
        <v/>
      </c>
      <c r="L2646" s="102" t="str">
        <f aca="false">IF(N(E2646)=0,"",IF(COUNTIFS(AK_NAMA,C2646,AK_KAT,"KAS")+COUNTIFS(AK_NAMA,D2646,AK_KAT,"KAS")&lt;&gt;1,"",IF(COUNTIFS(AK_NAMA,C2646,AK_KAT,"KAS")=1,D2646,C2646)))</f>
        <v/>
      </c>
      <c r="M2646" s="103" t="n">
        <f aca="false">IF(L2646="",0,IF(L2646=D2646,E2646,-E2646))</f>
        <v>0</v>
      </c>
      <c r="N2646" s="102" t="str">
        <f aca="false">IF(L2646="","",IFERROR(INDEX(AK_BARIS,MATCH(L2646,AK_NAMA,0)),"?"))</f>
        <v/>
      </c>
      <c r="O2646" s="102" t="str">
        <f aca="false">IF(C2646="","",IFERROR(INDEX(AK_KEL,MATCH(C2646,AK_NAMA,0)),"?"))</f>
        <v/>
      </c>
      <c r="P2646" s="102" t="str">
        <f aca="false">IF(D2646="","",IFERROR(INDEX(AK_KEL,MATCH(D2646,AK_NAMA,0)),"?"))</f>
        <v/>
      </c>
      <c r="Q2646" s="102" t="n">
        <f aca="false">N(Q2645)+IF(AND(N(E2646)&lt;&gt;0,K2646=TAHUN,N(J2646)&lt;=BLN,OR(C2646=BB_AKUN,D2646=BB_AKUN)),1,0)</f>
        <v>877</v>
      </c>
      <c r="R2646" s="104" t="str">
        <f aca="false">IF(OR(C2646&amp;D2646="",N(E2646)=0),"",IF(OR(O2646="?",P2646="?"),"⚠ akun tidak dikenal",IF(C2646=D2646,"⚠ debet = kredit","")))</f>
        <v/>
      </c>
    </row>
    <row r="2647" customFormat="false" ht="15" hidden="false" customHeight="false" outlineLevel="0" collapsed="false">
      <c r="A2647" s="5"/>
      <c r="B2647" s="83"/>
      <c r="C2647" s="5"/>
      <c r="D2647" s="5"/>
      <c r="E2647" s="44"/>
      <c r="F2647" s="5"/>
      <c r="G2647" s="5"/>
      <c r="H2647" s="5"/>
      <c r="I2647" s="5"/>
      <c r="J2647" s="102" t="str">
        <f aca="false">IF(B2647="","",MONTH(B2647))</f>
        <v/>
      </c>
      <c r="K2647" s="102" t="str">
        <f aca="false">IF(B2647="","",YEAR(B2647))</f>
        <v/>
      </c>
      <c r="L2647" s="102" t="str">
        <f aca="false">IF(N(E2647)=0,"",IF(COUNTIFS(AK_NAMA,C2647,AK_KAT,"KAS")+COUNTIFS(AK_NAMA,D2647,AK_KAT,"KAS")&lt;&gt;1,"",IF(COUNTIFS(AK_NAMA,C2647,AK_KAT,"KAS")=1,D2647,C2647)))</f>
        <v/>
      </c>
      <c r="M2647" s="103" t="n">
        <f aca="false">IF(L2647="",0,IF(L2647=D2647,E2647,-E2647))</f>
        <v>0</v>
      </c>
      <c r="N2647" s="102" t="str">
        <f aca="false">IF(L2647="","",IFERROR(INDEX(AK_BARIS,MATCH(L2647,AK_NAMA,0)),"?"))</f>
        <v/>
      </c>
      <c r="O2647" s="102" t="str">
        <f aca="false">IF(C2647="","",IFERROR(INDEX(AK_KEL,MATCH(C2647,AK_NAMA,0)),"?"))</f>
        <v/>
      </c>
      <c r="P2647" s="102" t="str">
        <f aca="false">IF(D2647="","",IFERROR(INDEX(AK_KEL,MATCH(D2647,AK_NAMA,0)),"?"))</f>
        <v/>
      </c>
      <c r="Q2647" s="102" t="n">
        <f aca="false">N(Q2646)+IF(AND(N(E2647)&lt;&gt;0,K2647=TAHUN,N(J2647)&lt;=BLN,OR(C2647=BB_AKUN,D2647=BB_AKUN)),1,0)</f>
        <v>877</v>
      </c>
      <c r="R2647" s="104" t="str">
        <f aca="false">IF(OR(C2647&amp;D2647="",N(E2647)=0),"",IF(OR(O2647="?",P2647="?"),"⚠ akun tidak dikenal",IF(C2647=D2647,"⚠ debet = kredit","")))</f>
        <v/>
      </c>
    </row>
    <row r="2648" customFormat="false" ht="15" hidden="false" customHeight="false" outlineLevel="0" collapsed="false">
      <c r="A2648" s="5"/>
      <c r="B2648" s="83"/>
      <c r="C2648" s="5"/>
      <c r="D2648" s="5"/>
      <c r="E2648" s="44"/>
      <c r="F2648" s="5"/>
      <c r="G2648" s="5"/>
      <c r="H2648" s="5"/>
      <c r="I2648" s="5"/>
      <c r="J2648" s="102" t="str">
        <f aca="false">IF(B2648="","",MONTH(B2648))</f>
        <v/>
      </c>
      <c r="K2648" s="102" t="str">
        <f aca="false">IF(B2648="","",YEAR(B2648))</f>
        <v/>
      </c>
      <c r="L2648" s="102" t="str">
        <f aca="false">IF(N(E2648)=0,"",IF(COUNTIFS(AK_NAMA,C2648,AK_KAT,"KAS")+COUNTIFS(AK_NAMA,D2648,AK_KAT,"KAS")&lt;&gt;1,"",IF(COUNTIFS(AK_NAMA,C2648,AK_KAT,"KAS")=1,D2648,C2648)))</f>
        <v/>
      </c>
      <c r="M2648" s="103" t="n">
        <f aca="false">IF(L2648="",0,IF(L2648=D2648,E2648,-E2648))</f>
        <v>0</v>
      </c>
      <c r="N2648" s="102" t="str">
        <f aca="false">IF(L2648="","",IFERROR(INDEX(AK_BARIS,MATCH(L2648,AK_NAMA,0)),"?"))</f>
        <v/>
      </c>
      <c r="O2648" s="102" t="str">
        <f aca="false">IF(C2648="","",IFERROR(INDEX(AK_KEL,MATCH(C2648,AK_NAMA,0)),"?"))</f>
        <v/>
      </c>
      <c r="P2648" s="102" t="str">
        <f aca="false">IF(D2648="","",IFERROR(INDEX(AK_KEL,MATCH(D2648,AK_NAMA,0)),"?"))</f>
        <v/>
      </c>
      <c r="Q2648" s="102" t="n">
        <f aca="false">N(Q2647)+IF(AND(N(E2648)&lt;&gt;0,K2648=TAHUN,N(J2648)&lt;=BLN,OR(C2648=BB_AKUN,D2648=BB_AKUN)),1,0)</f>
        <v>877</v>
      </c>
      <c r="R2648" s="104" t="str">
        <f aca="false">IF(OR(C2648&amp;D2648="",N(E2648)=0),"",IF(OR(O2648="?",P2648="?"),"⚠ akun tidak dikenal",IF(C2648=D2648,"⚠ debet = kredit","")))</f>
        <v/>
      </c>
    </row>
    <row r="2649" customFormat="false" ht="15" hidden="false" customHeight="false" outlineLevel="0" collapsed="false">
      <c r="A2649" s="5"/>
      <c r="B2649" s="83"/>
      <c r="C2649" s="5"/>
      <c r="D2649" s="5"/>
      <c r="E2649" s="44"/>
      <c r="F2649" s="5"/>
      <c r="G2649" s="5"/>
      <c r="H2649" s="5"/>
      <c r="I2649" s="5"/>
      <c r="J2649" s="102" t="str">
        <f aca="false">IF(B2649="","",MONTH(B2649))</f>
        <v/>
      </c>
      <c r="K2649" s="102" t="str">
        <f aca="false">IF(B2649="","",YEAR(B2649))</f>
        <v/>
      </c>
      <c r="L2649" s="102" t="str">
        <f aca="false">IF(N(E2649)=0,"",IF(COUNTIFS(AK_NAMA,C2649,AK_KAT,"KAS")+COUNTIFS(AK_NAMA,D2649,AK_KAT,"KAS")&lt;&gt;1,"",IF(COUNTIFS(AK_NAMA,C2649,AK_KAT,"KAS")=1,D2649,C2649)))</f>
        <v/>
      </c>
      <c r="M2649" s="103" t="n">
        <f aca="false">IF(L2649="",0,IF(L2649=D2649,E2649,-E2649))</f>
        <v>0</v>
      </c>
      <c r="N2649" s="102" t="str">
        <f aca="false">IF(L2649="","",IFERROR(INDEX(AK_BARIS,MATCH(L2649,AK_NAMA,0)),"?"))</f>
        <v/>
      </c>
      <c r="O2649" s="102" t="str">
        <f aca="false">IF(C2649="","",IFERROR(INDEX(AK_KEL,MATCH(C2649,AK_NAMA,0)),"?"))</f>
        <v/>
      </c>
      <c r="P2649" s="102" t="str">
        <f aca="false">IF(D2649="","",IFERROR(INDEX(AK_KEL,MATCH(D2649,AK_NAMA,0)),"?"))</f>
        <v/>
      </c>
      <c r="Q2649" s="102" t="n">
        <f aca="false">N(Q2648)+IF(AND(N(E2649)&lt;&gt;0,K2649=TAHUN,N(J2649)&lt;=BLN,OR(C2649=BB_AKUN,D2649=BB_AKUN)),1,0)</f>
        <v>877</v>
      </c>
      <c r="R2649" s="104" t="str">
        <f aca="false">IF(OR(C2649&amp;D2649="",N(E2649)=0),"",IF(OR(O2649="?",P2649="?"),"⚠ akun tidak dikenal",IF(C2649=D2649,"⚠ debet = kredit","")))</f>
        <v/>
      </c>
    </row>
    <row r="2650" customFormat="false" ht="15" hidden="false" customHeight="false" outlineLevel="0" collapsed="false">
      <c r="A2650" s="5"/>
      <c r="B2650" s="83"/>
      <c r="C2650" s="5"/>
      <c r="D2650" s="5"/>
      <c r="E2650" s="44"/>
      <c r="F2650" s="5"/>
      <c r="G2650" s="5"/>
      <c r="H2650" s="5"/>
      <c r="I2650" s="5"/>
      <c r="J2650" s="102" t="str">
        <f aca="false">IF(B2650="","",MONTH(B2650))</f>
        <v/>
      </c>
      <c r="K2650" s="102" t="str">
        <f aca="false">IF(B2650="","",YEAR(B2650))</f>
        <v/>
      </c>
      <c r="L2650" s="102" t="str">
        <f aca="false">IF(N(E2650)=0,"",IF(COUNTIFS(AK_NAMA,C2650,AK_KAT,"KAS")+COUNTIFS(AK_NAMA,D2650,AK_KAT,"KAS")&lt;&gt;1,"",IF(COUNTIFS(AK_NAMA,C2650,AK_KAT,"KAS")=1,D2650,C2650)))</f>
        <v/>
      </c>
      <c r="M2650" s="103" t="n">
        <f aca="false">IF(L2650="",0,IF(L2650=D2650,E2650,-E2650))</f>
        <v>0</v>
      </c>
      <c r="N2650" s="102" t="str">
        <f aca="false">IF(L2650="","",IFERROR(INDEX(AK_BARIS,MATCH(L2650,AK_NAMA,0)),"?"))</f>
        <v/>
      </c>
      <c r="O2650" s="102" t="str">
        <f aca="false">IF(C2650="","",IFERROR(INDEX(AK_KEL,MATCH(C2650,AK_NAMA,0)),"?"))</f>
        <v/>
      </c>
      <c r="P2650" s="102" t="str">
        <f aca="false">IF(D2650="","",IFERROR(INDEX(AK_KEL,MATCH(D2650,AK_NAMA,0)),"?"))</f>
        <v/>
      </c>
      <c r="Q2650" s="102" t="n">
        <f aca="false">N(Q2649)+IF(AND(N(E2650)&lt;&gt;0,K2650=TAHUN,N(J2650)&lt;=BLN,OR(C2650=BB_AKUN,D2650=BB_AKUN)),1,0)</f>
        <v>877</v>
      </c>
      <c r="R2650" s="104" t="str">
        <f aca="false">IF(OR(C2650&amp;D2650="",N(E2650)=0),"",IF(OR(O2650="?",P2650="?"),"⚠ akun tidak dikenal",IF(C2650=D2650,"⚠ debet = kredit","")))</f>
        <v/>
      </c>
    </row>
    <row r="2651" customFormat="false" ht="15" hidden="false" customHeight="false" outlineLevel="0" collapsed="false">
      <c r="A2651" s="5"/>
      <c r="B2651" s="83"/>
      <c r="C2651" s="5"/>
      <c r="D2651" s="5"/>
      <c r="E2651" s="44"/>
      <c r="F2651" s="5"/>
      <c r="G2651" s="5"/>
      <c r="H2651" s="5"/>
      <c r="I2651" s="5"/>
      <c r="J2651" s="102" t="str">
        <f aca="false">IF(B2651="","",MONTH(B2651))</f>
        <v/>
      </c>
      <c r="K2651" s="102" t="str">
        <f aca="false">IF(B2651="","",YEAR(B2651))</f>
        <v/>
      </c>
      <c r="L2651" s="102" t="str">
        <f aca="false">IF(N(E2651)=0,"",IF(COUNTIFS(AK_NAMA,C2651,AK_KAT,"KAS")+COUNTIFS(AK_NAMA,D2651,AK_KAT,"KAS")&lt;&gt;1,"",IF(COUNTIFS(AK_NAMA,C2651,AK_KAT,"KAS")=1,D2651,C2651)))</f>
        <v/>
      </c>
      <c r="M2651" s="103" t="n">
        <f aca="false">IF(L2651="",0,IF(L2651=D2651,E2651,-E2651))</f>
        <v>0</v>
      </c>
      <c r="N2651" s="102" t="str">
        <f aca="false">IF(L2651="","",IFERROR(INDEX(AK_BARIS,MATCH(L2651,AK_NAMA,0)),"?"))</f>
        <v/>
      </c>
      <c r="O2651" s="102" t="str">
        <f aca="false">IF(C2651="","",IFERROR(INDEX(AK_KEL,MATCH(C2651,AK_NAMA,0)),"?"))</f>
        <v/>
      </c>
      <c r="P2651" s="102" t="str">
        <f aca="false">IF(D2651="","",IFERROR(INDEX(AK_KEL,MATCH(D2651,AK_NAMA,0)),"?"))</f>
        <v/>
      </c>
      <c r="Q2651" s="102" t="n">
        <f aca="false">N(Q2650)+IF(AND(N(E2651)&lt;&gt;0,K2651=TAHUN,N(J2651)&lt;=BLN,OR(C2651=BB_AKUN,D2651=BB_AKUN)),1,0)</f>
        <v>877</v>
      </c>
      <c r="R2651" s="104" t="str">
        <f aca="false">IF(OR(C2651&amp;D2651="",N(E2651)=0),"",IF(OR(O2651="?",P2651="?"),"⚠ akun tidak dikenal",IF(C2651=D2651,"⚠ debet = kredit","")))</f>
        <v/>
      </c>
    </row>
    <row r="2652" customFormat="false" ht="15" hidden="false" customHeight="false" outlineLevel="0" collapsed="false">
      <c r="A2652" s="5"/>
      <c r="B2652" s="83"/>
      <c r="C2652" s="5"/>
      <c r="D2652" s="5"/>
      <c r="E2652" s="44"/>
      <c r="F2652" s="5"/>
      <c r="G2652" s="5"/>
      <c r="H2652" s="5"/>
      <c r="I2652" s="5"/>
      <c r="J2652" s="102" t="str">
        <f aca="false">IF(B2652="","",MONTH(B2652))</f>
        <v/>
      </c>
      <c r="K2652" s="102" t="str">
        <f aca="false">IF(B2652="","",YEAR(B2652))</f>
        <v/>
      </c>
      <c r="L2652" s="102" t="str">
        <f aca="false">IF(N(E2652)=0,"",IF(COUNTIFS(AK_NAMA,C2652,AK_KAT,"KAS")+COUNTIFS(AK_NAMA,D2652,AK_KAT,"KAS")&lt;&gt;1,"",IF(COUNTIFS(AK_NAMA,C2652,AK_KAT,"KAS")=1,D2652,C2652)))</f>
        <v/>
      </c>
      <c r="M2652" s="103" t="n">
        <f aca="false">IF(L2652="",0,IF(L2652=D2652,E2652,-E2652))</f>
        <v>0</v>
      </c>
      <c r="N2652" s="102" t="str">
        <f aca="false">IF(L2652="","",IFERROR(INDEX(AK_BARIS,MATCH(L2652,AK_NAMA,0)),"?"))</f>
        <v/>
      </c>
      <c r="O2652" s="102" t="str">
        <f aca="false">IF(C2652="","",IFERROR(INDEX(AK_KEL,MATCH(C2652,AK_NAMA,0)),"?"))</f>
        <v/>
      </c>
      <c r="P2652" s="102" t="str">
        <f aca="false">IF(D2652="","",IFERROR(INDEX(AK_KEL,MATCH(D2652,AK_NAMA,0)),"?"))</f>
        <v/>
      </c>
      <c r="Q2652" s="102" t="n">
        <f aca="false">N(Q2651)+IF(AND(N(E2652)&lt;&gt;0,K2652=TAHUN,N(J2652)&lt;=BLN,OR(C2652=BB_AKUN,D2652=BB_AKUN)),1,0)</f>
        <v>877</v>
      </c>
      <c r="R2652" s="104" t="str">
        <f aca="false">IF(OR(C2652&amp;D2652="",N(E2652)=0),"",IF(OR(O2652="?",P2652="?"),"⚠ akun tidak dikenal",IF(C2652=D2652,"⚠ debet = kredit","")))</f>
        <v/>
      </c>
    </row>
    <row r="2653" customFormat="false" ht="15" hidden="false" customHeight="false" outlineLevel="0" collapsed="false">
      <c r="A2653" s="5"/>
      <c r="B2653" s="83"/>
      <c r="C2653" s="5"/>
      <c r="D2653" s="5"/>
      <c r="E2653" s="44"/>
      <c r="F2653" s="5"/>
      <c r="G2653" s="5"/>
      <c r="H2653" s="5"/>
      <c r="I2653" s="5"/>
      <c r="J2653" s="102" t="str">
        <f aca="false">IF(B2653="","",MONTH(B2653))</f>
        <v/>
      </c>
      <c r="K2653" s="102" t="str">
        <f aca="false">IF(B2653="","",YEAR(B2653))</f>
        <v/>
      </c>
      <c r="L2653" s="102" t="str">
        <f aca="false">IF(N(E2653)=0,"",IF(COUNTIFS(AK_NAMA,C2653,AK_KAT,"KAS")+COUNTIFS(AK_NAMA,D2653,AK_KAT,"KAS")&lt;&gt;1,"",IF(COUNTIFS(AK_NAMA,C2653,AK_KAT,"KAS")=1,D2653,C2653)))</f>
        <v/>
      </c>
      <c r="M2653" s="103" t="n">
        <f aca="false">IF(L2653="",0,IF(L2653=D2653,E2653,-E2653))</f>
        <v>0</v>
      </c>
      <c r="N2653" s="102" t="str">
        <f aca="false">IF(L2653="","",IFERROR(INDEX(AK_BARIS,MATCH(L2653,AK_NAMA,0)),"?"))</f>
        <v/>
      </c>
      <c r="O2653" s="102" t="str">
        <f aca="false">IF(C2653="","",IFERROR(INDEX(AK_KEL,MATCH(C2653,AK_NAMA,0)),"?"))</f>
        <v/>
      </c>
      <c r="P2653" s="102" t="str">
        <f aca="false">IF(D2653="","",IFERROR(INDEX(AK_KEL,MATCH(D2653,AK_NAMA,0)),"?"))</f>
        <v/>
      </c>
      <c r="Q2653" s="102" t="n">
        <f aca="false">N(Q2652)+IF(AND(N(E2653)&lt;&gt;0,K2653=TAHUN,N(J2653)&lt;=BLN,OR(C2653=BB_AKUN,D2653=BB_AKUN)),1,0)</f>
        <v>877</v>
      </c>
      <c r="R2653" s="104" t="str">
        <f aca="false">IF(OR(C2653&amp;D2653="",N(E2653)=0),"",IF(OR(O2653="?",P2653="?"),"⚠ akun tidak dikenal",IF(C2653=D2653,"⚠ debet = kredit","")))</f>
        <v/>
      </c>
    </row>
    <row r="2654" customFormat="false" ht="15" hidden="false" customHeight="false" outlineLevel="0" collapsed="false">
      <c r="A2654" s="5"/>
      <c r="B2654" s="83"/>
      <c r="C2654" s="5"/>
      <c r="D2654" s="5"/>
      <c r="E2654" s="44"/>
      <c r="F2654" s="5"/>
      <c r="G2654" s="5"/>
      <c r="H2654" s="5"/>
      <c r="I2654" s="5"/>
      <c r="J2654" s="102" t="str">
        <f aca="false">IF(B2654="","",MONTH(B2654))</f>
        <v/>
      </c>
      <c r="K2654" s="102" t="str">
        <f aca="false">IF(B2654="","",YEAR(B2654))</f>
        <v/>
      </c>
      <c r="L2654" s="102" t="str">
        <f aca="false">IF(N(E2654)=0,"",IF(COUNTIFS(AK_NAMA,C2654,AK_KAT,"KAS")+COUNTIFS(AK_NAMA,D2654,AK_KAT,"KAS")&lt;&gt;1,"",IF(COUNTIFS(AK_NAMA,C2654,AK_KAT,"KAS")=1,D2654,C2654)))</f>
        <v/>
      </c>
      <c r="M2654" s="103" t="n">
        <f aca="false">IF(L2654="",0,IF(L2654=D2654,E2654,-E2654))</f>
        <v>0</v>
      </c>
      <c r="N2654" s="102" t="str">
        <f aca="false">IF(L2654="","",IFERROR(INDEX(AK_BARIS,MATCH(L2654,AK_NAMA,0)),"?"))</f>
        <v/>
      </c>
      <c r="O2654" s="102" t="str">
        <f aca="false">IF(C2654="","",IFERROR(INDEX(AK_KEL,MATCH(C2654,AK_NAMA,0)),"?"))</f>
        <v/>
      </c>
      <c r="P2654" s="102" t="str">
        <f aca="false">IF(D2654="","",IFERROR(INDEX(AK_KEL,MATCH(D2654,AK_NAMA,0)),"?"))</f>
        <v/>
      </c>
      <c r="Q2654" s="102" t="n">
        <f aca="false">N(Q2653)+IF(AND(N(E2654)&lt;&gt;0,K2654=TAHUN,N(J2654)&lt;=BLN,OR(C2654=BB_AKUN,D2654=BB_AKUN)),1,0)</f>
        <v>877</v>
      </c>
      <c r="R2654" s="104" t="str">
        <f aca="false">IF(OR(C2654&amp;D2654="",N(E2654)=0),"",IF(OR(O2654="?",P2654="?"),"⚠ akun tidak dikenal",IF(C2654=D2654,"⚠ debet = kredit","")))</f>
        <v/>
      </c>
    </row>
    <row r="2655" customFormat="false" ht="15" hidden="false" customHeight="false" outlineLevel="0" collapsed="false">
      <c r="A2655" s="5"/>
      <c r="B2655" s="83"/>
      <c r="C2655" s="5"/>
      <c r="D2655" s="5"/>
      <c r="E2655" s="44"/>
      <c r="F2655" s="5"/>
      <c r="G2655" s="5"/>
      <c r="H2655" s="5"/>
      <c r="I2655" s="5"/>
      <c r="J2655" s="102" t="str">
        <f aca="false">IF(B2655="","",MONTH(B2655))</f>
        <v/>
      </c>
      <c r="K2655" s="102" t="str">
        <f aca="false">IF(B2655="","",YEAR(B2655))</f>
        <v/>
      </c>
      <c r="L2655" s="102" t="str">
        <f aca="false">IF(N(E2655)=0,"",IF(COUNTIFS(AK_NAMA,C2655,AK_KAT,"KAS")+COUNTIFS(AK_NAMA,D2655,AK_KAT,"KAS")&lt;&gt;1,"",IF(COUNTIFS(AK_NAMA,C2655,AK_KAT,"KAS")=1,D2655,C2655)))</f>
        <v/>
      </c>
      <c r="M2655" s="103" t="n">
        <f aca="false">IF(L2655="",0,IF(L2655=D2655,E2655,-E2655))</f>
        <v>0</v>
      </c>
      <c r="N2655" s="102" t="str">
        <f aca="false">IF(L2655="","",IFERROR(INDEX(AK_BARIS,MATCH(L2655,AK_NAMA,0)),"?"))</f>
        <v/>
      </c>
      <c r="O2655" s="102" t="str">
        <f aca="false">IF(C2655="","",IFERROR(INDEX(AK_KEL,MATCH(C2655,AK_NAMA,0)),"?"))</f>
        <v/>
      </c>
      <c r="P2655" s="102" t="str">
        <f aca="false">IF(D2655="","",IFERROR(INDEX(AK_KEL,MATCH(D2655,AK_NAMA,0)),"?"))</f>
        <v/>
      </c>
      <c r="Q2655" s="102" t="n">
        <f aca="false">N(Q2654)+IF(AND(N(E2655)&lt;&gt;0,K2655=TAHUN,N(J2655)&lt;=BLN,OR(C2655=BB_AKUN,D2655=BB_AKUN)),1,0)</f>
        <v>877</v>
      </c>
      <c r="R2655" s="104" t="str">
        <f aca="false">IF(OR(C2655&amp;D2655="",N(E2655)=0),"",IF(OR(O2655="?",P2655="?"),"⚠ akun tidak dikenal",IF(C2655=D2655,"⚠ debet = kredit","")))</f>
        <v/>
      </c>
    </row>
    <row r="2656" customFormat="false" ht="15" hidden="false" customHeight="false" outlineLevel="0" collapsed="false">
      <c r="A2656" s="5"/>
      <c r="B2656" s="83"/>
      <c r="C2656" s="5"/>
      <c r="D2656" s="5"/>
      <c r="E2656" s="44"/>
      <c r="F2656" s="5"/>
      <c r="G2656" s="5"/>
      <c r="H2656" s="5"/>
      <c r="I2656" s="5"/>
      <c r="J2656" s="102" t="str">
        <f aca="false">IF(B2656="","",MONTH(B2656))</f>
        <v/>
      </c>
      <c r="K2656" s="102" t="str">
        <f aca="false">IF(B2656="","",YEAR(B2656))</f>
        <v/>
      </c>
      <c r="L2656" s="102" t="str">
        <f aca="false">IF(N(E2656)=0,"",IF(COUNTIFS(AK_NAMA,C2656,AK_KAT,"KAS")+COUNTIFS(AK_NAMA,D2656,AK_KAT,"KAS")&lt;&gt;1,"",IF(COUNTIFS(AK_NAMA,C2656,AK_KAT,"KAS")=1,D2656,C2656)))</f>
        <v/>
      </c>
      <c r="M2656" s="103" t="n">
        <f aca="false">IF(L2656="",0,IF(L2656=D2656,E2656,-E2656))</f>
        <v>0</v>
      </c>
      <c r="N2656" s="102" t="str">
        <f aca="false">IF(L2656="","",IFERROR(INDEX(AK_BARIS,MATCH(L2656,AK_NAMA,0)),"?"))</f>
        <v/>
      </c>
      <c r="O2656" s="102" t="str">
        <f aca="false">IF(C2656="","",IFERROR(INDEX(AK_KEL,MATCH(C2656,AK_NAMA,0)),"?"))</f>
        <v/>
      </c>
      <c r="P2656" s="102" t="str">
        <f aca="false">IF(D2656="","",IFERROR(INDEX(AK_KEL,MATCH(D2656,AK_NAMA,0)),"?"))</f>
        <v/>
      </c>
      <c r="Q2656" s="102" t="n">
        <f aca="false">N(Q2655)+IF(AND(N(E2656)&lt;&gt;0,K2656=TAHUN,N(J2656)&lt;=BLN,OR(C2656=BB_AKUN,D2656=BB_AKUN)),1,0)</f>
        <v>877</v>
      </c>
      <c r="R2656" s="104" t="str">
        <f aca="false">IF(OR(C2656&amp;D2656="",N(E2656)=0),"",IF(OR(O2656="?",P2656="?"),"⚠ akun tidak dikenal",IF(C2656=D2656,"⚠ debet = kredit","")))</f>
        <v/>
      </c>
    </row>
    <row r="2657" customFormat="false" ht="15" hidden="false" customHeight="false" outlineLevel="0" collapsed="false">
      <c r="A2657" s="5"/>
      <c r="B2657" s="83"/>
      <c r="C2657" s="5"/>
      <c r="D2657" s="5"/>
      <c r="E2657" s="44"/>
      <c r="F2657" s="5"/>
      <c r="G2657" s="5"/>
      <c r="H2657" s="5"/>
      <c r="I2657" s="5"/>
      <c r="J2657" s="102" t="str">
        <f aca="false">IF(B2657="","",MONTH(B2657))</f>
        <v/>
      </c>
      <c r="K2657" s="102" t="str">
        <f aca="false">IF(B2657="","",YEAR(B2657))</f>
        <v/>
      </c>
      <c r="L2657" s="102" t="str">
        <f aca="false">IF(N(E2657)=0,"",IF(COUNTIFS(AK_NAMA,C2657,AK_KAT,"KAS")+COUNTIFS(AK_NAMA,D2657,AK_KAT,"KAS")&lt;&gt;1,"",IF(COUNTIFS(AK_NAMA,C2657,AK_KAT,"KAS")=1,D2657,C2657)))</f>
        <v/>
      </c>
      <c r="M2657" s="103" t="n">
        <f aca="false">IF(L2657="",0,IF(L2657=D2657,E2657,-E2657))</f>
        <v>0</v>
      </c>
      <c r="N2657" s="102" t="str">
        <f aca="false">IF(L2657="","",IFERROR(INDEX(AK_BARIS,MATCH(L2657,AK_NAMA,0)),"?"))</f>
        <v/>
      </c>
      <c r="O2657" s="102" t="str">
        <f aca="false">IF(C2657="","",IFERROR(INDEX(AK_KEL,MATCH(C2657,AK_NAMA,0)),"?"))</f>
        <v/>
      </c>
      <c r="P2657" s="102" t="str">
        <f aca="false">IF(D2657="","",IFERROR(INDEX(AK_KEL,MATCH(D2657,AK_NAMA,0)),"?"))</f>
        <v/>
      </c>
      <c r="Q2657" s="102" t="n">
        <f aca="false">N(Q2656)+IF(AND(N(E2657)&lt;&gt;0,K2657=TAHUN,N(J2657)&lt;=BLN,OR(C2657=BB_AKUN,D2657=BB_AKUN)),1,0)</f>
        <v>877</v>
      </c>
      <c r="R2657" s="104" t="str">
        <f aca="false">IF(OR(C2657&amp;D2657="",N(E2657)=0),"",IF(OR(O2657="?",P2657="?"),"⚠ akun tidak dikenal",IF(C2657=D2657,"⚠ debet = kredit","")))</f>
        <v/>
      </c>
    </row>
    <row r="2658" customFormat="false" ht="15" hidden="false" customHeight="false" outlineLevel="0" collapsed="false">
      <c r="A2658" s="5"/>
      <c r="B2658" s="83"/>
      <c r="C2658" s="5"/>
      <c r="D2658" s="5"/>
      <c r="E2658" s="44"/>
      <c r="F2658" s="5"/>
      <c r="G2658" s="5"/>
      <c r="H2658" s="5"/>
      <c r="I2658" s="5"/>
      <c r="J2658" s="102" t="str">
        <f aca="false">IF(B2658="","",MONTH(B2658))</f>
        <v/>
      </c>
      <c r="K2658" s="102" t="str">
        <f aca="false">IF(B2658="","",YEAR(B2658))</f>
        <v/>
      </c>
      <c r="L2658" s="102" t="str">
        <f aca="false">IF(N(E2658)=0,"",IF(COUNTIFS(AK_NAMA,C2658,AK_KAT,"KAS")+COUNTIFS(AK_NAMA,D2658,AK_KAT,"KAS")&lt;&gt;1,"",IF(COUNTIFS(AK_NAMA,C2658,AK_KAT,"KAS")=1,D2658,C2658)))</f>
        <v/>
      </c>
      <c r="M2658" s="103" t="n">
        <f aca="false">IF(L2658="",0,IF(L2658=D2658,E2658,-E2658))</f>
        <v>0</v>
      </c>
      <c r="N2658" s="102" t="str">
        <f aca="false">IF(L2658="","",IFERROR(INDEX(AK_BARIS,MATCH(L2658,AK_NAMA,0)),"?"))</f>
        <v/>
      </c>
      <c r="O2658" s="102" t="str">
        <f aca="false">IF(C2658="","",IFERROR(INDEX(AK_KEL,MATCH(C2658,AK_NAMA,0)),"?"))</f>
        <v/>
      </c>
      <c r="P2658" s="102" t="str">
        <f aca="false">IF(D2658="","",IFERROR(INDEX(AK_KEL,MATCH(D2658,AK_NAMA,0)),"?"))</f>
        <v/>
      </c>
      <c r="Q2658" s="102" t="n">
        <f aca="false">N(Q2657)+IF(AND(N(E2658)&lt;&gt;0,K2658=TAHUN,N(J2658)&lt;=BLN,OR(C2658=BB_AKUN,D2658=BB_AKUN)),1,0)</f>
        <v>877</v>
      </c>
      <c r="R2658" s="104" t="str">
        <f aca="false">IF(OR(C2658&amp;D2658="",N(E2658)=0),"",IF(OR(O2658="?",P2658="?"),"⚠ akun tidak dikenal",IF(C2658=D2658,"⚠ debet = kredit","")))</f>
        <v/>
      </c>
    </row>
    <row r="2659" customFormat="false" ht="15" hidden="false" customHeight="false" outlineLevel="0" collapsed="false">
      <c r="A2659" s="5"/>
      <c r="B2659" s="83"/>
      <c r="C2659" s="5"/>
      <c r="D2659" s="5"/>
      <c r="E2659" s="44"/>
      <c r="F2659" s="5"/>
      <c r="G2659" s="5"/>
      <c r="H2659" s="5"/>
      <c r="I2659" s="5"/>
      <c r="J2659" s="102" t="str">
        <f aca="false">IF(B2659="","",MONTH(B2659))</f>
        <v/>
      </c>
      <c r="K2659" s="102" t="str">
        <f aca="false">IF(B2659="","",YEAR(B2659))</f>
        <v/>
      </c>
      <c r="L2659" s="102" t="str">
        <f aca="false">IF(N(E2659)=0,"",IF(COUNTIFS(AK_NAMA,C2659,AK_KAT,"KAS")+COUNTIFS(AK_NAMA,D2659,AK_KAT,"KAS")&lt;&gt;1,"",IF(COUNTIFS(AK_NAMA,C2659,AK_KAT,"KAS")=1,D2659,C2659)))</f>
        <v/>
      </c>
      <c r="M2659" s="103" t="n">
        <f aca="false">IF(L2659="",0,IF(L2659=D2659,E2659,-E2659))</f>
        <v>0</v>
      </c>
      <c r="N2659" s="102" t="str">
        <f aca="false">IF(L2659="","",IFERROR(INDEX(AK_BARIS,MATCH(L2659,AK_NAMA,0)),"?"))</f>
        <v/>
      </c>
      <c r="O2659" s="102" t="str">
        <f aca="false">IF(C2659="","",IFERROR(INDEX(AK_KEL,MATCH(C2659,AK_NAMA,0)),"?"))</f>
        <v/>
      </c>
      <c r="P2659" s="102" t="str">
        <f aca="false">IF(D2659="","",IFERROR(INDEX(AK_KEL,MATCH(D2659,AK_NAMA,0)),"?"))</f>
        <v/>
      </c>
      <c r="Q2659" s="102" t="n">
        <f aca="false">N(Q2658)+IF(AND(N(E2659)&lt;&gt;0,K2659=TAHUN,N(J2659)&lt;=BLN,OR(C2659=BB_AKUN,D2659=BB_AKUN)),1,0)</f>
        <v>877</v>
      </c>
      <c r="R2659" s="104" t="str">
        <f aca="false">IF(OR(C2659&amp;D2659="",N(E2659)=0),"",IF(OR(O2659="?",P2659="?"),"⚠ akun tidak dikenal",IF(C2659=D2659,"⚠ debet = kredit","")))</f>
        <v/>
      </c>
    </row>
    <row r="2660" customFormat="false" ht="15" hidden="false" customHeight="false" outlineLevel="0" collapsed="false">
      <c r="A2660" s="5"/>
      <c r="B2660" s="83"/>
      <c r="C2660" s="5"/>
      <c r="D2660" s="5"/>
      <c r="E2660" s="44"/>
      <c r="F2660" s="5"/>
      <c r="G2660" s="5"/>
      <c r="H2660" s="5"/>
      <c r="I2660" s="5"/>
      <c r="J2660" s="102" t="str">
        <f aca="false">IF(B2660="","",MONTH(B2660))</f>
        <v/>
      </c>
      <c r="K2660" s="102" t="str">
        <f aca="false">IF(B2660="","",YEAR(B2660))</f>
        <v/>
      </c>
      <c r="L2660" s="102" t="str">
        <f aca="false">IF(N(E2660)=0,"",IF(COUNTIFS(AK_NAMA,C2660,AK_KAT,"KAS")+COUNTIFS(AK_NAMA,D2660,AK_KAT,"KAS")&lt;&gt;1,"",IF(COUNTIFS(AK_NAMA,C2660,AK_KAT,"KAS")=1,D2660,C2660)))</f>
        <v/>
      </c>
      <c r="M2660" s="103" t="n">
        <f aca="false">IF(L2660="",0,IF(L2660=D2660,E2660,-E2660))</f>
        <v>0</v>
      </c>
      <c r="N2660" s="102" t="str">
        <f aca="false">IF(L2660="","",IFERROR(INDEX(AK_BARIS,MATCH(L2660,AK_NAMA,0)),"?"))</f>
        <v/>
      </c>
      <c r="O2660" s="102" t="str">
        <f aca="false">IF(C2660="","",IFERROR(INDEX(AK_KEL,MATCH(C2660,AK_NAMA,0)),"?"))</f>
        <v/>
      </c>
      <c r="P2660" s="102" t="str">
        <f aca="false">IF(D2660="","",IFERROR(INDEX(AK_KEL,MATCH(D2660,AK_NAMA,0)),"?"))</f>
        <v/>
      </c>
      <c r="Q2660" s="102" t="n">
        <f aca="false">N(Q2659)+IF(AND(N(E2660)&lt;&gt;0,K2660=TAHUN,N(J2660)&lt;=BLN,OR(C2660=BB_AKUN,D2660=BB_AKUN)),1,0)</f>
        <v>877</v>
      </c>
      <c r="R2660" s="104" t="str">
        <f aca="false">IF(OR(C2660&amp;D2660="",N(E2660)=0),"",IF(OR(O2660="?",P2660="?"),"⚠ akun tidak dikenal",IF(C2660=D2660,"⚠ debet = kredit","")))</f>
        <v/>
      </c>
    </row>
    <row r="2661" customFormat="false" ht="15" hidden="false" customHeight="false" outlineLevel="0" collapsed="false">
      <c r="A2661" s="5"/>
      <c r="B2661" s="83"/>
      <c r="C2661" s="5"/>
      <c r="D2661" s="5"/>
      <c r="E2661" s="44"/>
      <c r="F2661" s="5"/>
      <c r="G2661" s="5"/>
      <c r="H2661" s="5"/>
      <c r="I2661" s="5"/>
      <c r="J2661" s="102" t="str">
        <f aca="false">IF(B2661="","",MONTH(B2661))</f>
        <v/>
      </c>
      <c r="K2661" s="102" t="str">
        <f aca="false">IF(B2661="","",YEAR(B2661))</f>
        <v/>
      </c>
      <c r="L2661" s="102" t="str">
        <f aca="false">IF(N(E2661)=0,"",IF(COUNTIFS(AK_NAMA,C2661,AK_KAT,"KAS")+COUNTIFS(AK_NAMA,D2661,AK_KAT,"KAS")&lt;&gt;1,"",IF(COUNTIFS(AK_NAMA,C2661,AK_KAT,"KAS")=1,D2661,C2661)))</f>
        <v/>
      </c>
      <c r="M2661" s="103" t="n">
        <f aca="false">IF(L2661="",0,IF(L2661=D2661,E2661,-E2661))</f>
        <v>0</v>
      </c>
      <c r="N2661" s="102" t="str">
        <f aca="false">IF(L2661="","",IFERROR(INDEX(AK_BARIS,MATCH(L2661,AK_NAMA,0)),"?"))</f>
        <v/>
      </c>
      <c r="O2661" s="102" t="str">
        <f aca="false">IF(C2661="","",IFERROR(INDEX(AK_KEL,MATCH(C2661,AK_NAMA,0)),"?"))</f>
        <v/>
      </c>
      <c r="P2661" s="102" t="str">
        <f aca="false">IF(D2661="","",IFERROR(INDEX(AK_KEL,MATCH(D2661,AK_NAMA,0)),"?"))</f>
        <v/>
      </c>
      <c r="Q2661" s="102" t="n">
        <f aca="false">N(Q2660)+IF(AND(N(E2661)&lt;&gt;0,K2661=TAHUN,N(J2661)&lt;=BLN,OR(C2661=BB_AKUN,D2661=BB_AKUN)),1,0)</f>
        <v>877</v>
      </c>
      <c r="R2661" s="104" t="str">
        <f aca="false">IF(OR(C2661&amp;D2661="",N(E2661)=0),"",IF(OR(O2661="?",P2661="?"),"⚠ akun tidak dikenal",IF(C2661=D2661,"⚠ debet = kredit","")))</f>
        <v/>
      </c>
    </row>
    <row r="2662" customFormat="false" ht="15" hidden="false" customHeight="false" outlineLevel="0" collapsed="false">
      <c r="A2662" s="5"/>
      <c r="B2662" s="83"/>
      <c r="C2662" s="5"/>
      <c r="D2662" s="5"/>
      <c r="E2662" s="44"/>
      <c r="F2662" s="5"/>
      <c r="G2662" s="5"/>
      <c r="H2662" s="5"/>
      <c r="I2662" s="5"/>
      <c r="J2662" s="102" t="str">
        <f aca="false">IF(B2662="","",MONTH(B2662))</f>
        <v/>
      </c>
      <c r="K2662" s="102" t="str">
        <f aca="false">IF(B2662="","",YEAR(B2662))</f>
        <v/>
      </c>
      <c r="L2662" s="102" t="str">
        <f aca="false">IF(N(E2662)=0,"",IF(COUNTIFS(AK_NAMA,C2662,AK_KAT,"KAS")+COUNTIFS(AK_NAMA,D2662,AK_KAT,"KAS")&lt;&gt;1,"",IF(COUNTIFS(AK_NAMA,C2662,AK_KAT,"KAS")=1,D2662,C2662)))</f>
        <v/>
      </c>
      <c r="M2662" s="103" t="n">
        <f aca="false">IF(L2662="",0,IF(L2662=D2662,E2662,-E2662))</f>
        <v>0</v>
      </c>
      <c r="N2662" s="102" t="str">
        <f aca="false">IF(L2662="","",IFERROR(INDEX(AK_BARIS,MATCH(L2662,AK_NAMA,0)),"?"))</f>
        <v/>
      </c>
      <c r="O2662" s="102" t="str">
        <f aca="false">IF(C2662="","",IFERROR(INDEX(AK_KEL,MATCH(C2662,AK_NAMA,0)),"?"))</f>
        <v/>
      </c>
      <c r="P2662" s="102" t="str">
        <f aca="false">IF(D2662="","",IFERROR(INDEX(AK_KEL,MATCH(D2662,AK_NAMA,0)),"?"))</f>
        <v/>
      </c>
      <c r="Q2662" s="102" t="n">
        <f aca="false">N(Q2661)+IF(AND(N(E2662)&lt;&gt;0,K2662=TAHUN,N(J2662)&lt;=BLN,OR(C2662=BB_AKUN,D2662=BB_AKUN)),1,0)</f>
        <v>877</v>
      </c>
      <c r="R2662" s="104" t="str">
        <f aca="false">IF(OR(C2662&amp;D2662="",N(E2662)=0),"",IF(OR(O2662="?",P2662="?"),"⚠ akun tidak dikenal",IF(C2662=D2662,"⚠ debet = kredit","")))</f>
        <v/>
      </c>
    </row>
    <row r="2663" customFormat="false" ht="15" hidden="false" customHeight="false" outlineLevel="0" collapsed="false">
      <c r="A2663" s="5"/>
      <c r="B2663" s="83"/>
      <c r="C2663" s="5"/>
      <c r="D2663" s="5"/>
      <c r="E2663" s="44"/>
      <c r="F2663" s="5"/>
      <c r="G2663" s="5"/>
      <c r="H2663" s="5"/>
      <c r="I2663" s="5"/>
      <c r="J2663" s="102" t="str">
        <f aca="false">IF(B2663="","",MONTH(B2663))</f>
        <v/>
      </c>
      <c r="K2663" s="102" t="str">
        <f aca="false">IF(B2663="","",YEAR(B2663))</f>
        <v/>
      </c>
      <c r="L2663" s="102" t="str">
        <f aca="false">IF(N(E2663)=0,"",IF(COUNTIFS(AK_NAMA,C2663,AK_KAT,"KAS")+COUNTIFS(AK_NAMA,D2663,AK_KAT,"KAS")&lt;&gt;1,"",IF(COUNTIFS(AK_NAMA,C2663,AK_KAT,"KAS")=1,D2663,C2663)))</f>
        <v/>
      </c>
      <c r="M2663" s="103" t="n">
        <f aca="false">IF(L2663="",0,IF(L2663=D2663,E2663,-E2663))</f>
        <v>0</v>
      </c>
      <c r="N2663" s="102" t="str">
        <f aca="false">IF(L2663="","",IFERROR(INDEX(AK_BARIS,MATCH(L2663,AK_NAMA,0)),"?"))</f>
        <v/>
      </c>
      <c r="O2663" s="102" t="str">
        <f aca="false">IF(C2663="","",IFERROR(INDEX(AK_KEL,MATCH(C2663,AK_NAMA,0)),"?"))</f>
        <v/>
      </c>
      <c r="P2663" s="102" t="str">
        <f aca="false">IF(D2663="","",IFERROR(INDEX(AK_KEL,MATCH(D2663,AK_NAMA,0)),"?"))</f>
        <v/>
      </c>
      <c r="Q2663" s="102" t="n">
        <f aca="false">N(Q2662)+IF(AND(N(E2663)&lt;&gt;0,K2663=TAHUN,N(J2663)&lt;=BLN,OR(C2663=BB_AKUN,D2663=BB_AKUN)),1,0)</f>
        <v>877</v>
      </c>
      <c r="R2663" s="104" t="str">
        <f aca="false">IF(OR(C2663&amp;D2663="",N(E2663)=0),"",IF(OR(O2663="?",P2663="?"),"⚠ akun tidak dikenal",IF(C2663=D2663,"⚠ debet = kredit","")))</f>
        <v/>
      </c>
    </row>
    <row r="2664" customFormat="false" ht="15" hidden="false" customHeight="false" outlineLevel="0" collapsed="false">
      <c r="A2664" s="5"/>
      <c r="B2664" s="83"/>
      <c r="C2664" s="5"/>
      <c r="D2664" s="5"/>
      <c r="E2664" s="44"/>
      <c r="F2664" s="5"/>
      <c r="G2664" s="5"/>
      <c r="H2664" s="5"/>
      <c r="I2664" s="5"/>
      <c r="J2664" s="102" t="str">
        <f aca="false">IF(B2664="","",MONTH(B2664))</f>
        <v/>
      </c>
      <c r="K2664" s="102" t="str">
        <f aca="false">IF(B2664="","",YEAR(B2664))</f>
        <v/>
      </c>
      <c r="L2664" s="102" t="str">
        <f aca="false">IF(N(E2664)=0,"",IF(COUNTIFS(AK_NAMA,C2664,AK_KAT,"KAS")+COUNTIFS(AK_NAMA,D2664,AK_KAT,"KAS")&lt;&gt;1,"",IF(COUNTIFS(AK_NAMA,C2664,AK_KAT,"KAS")=1,D2664,C2664)))</f>
        <v/>
      </c>
      <c r="M2664" s="103" t="n">
        <f aca="false">IF(L2664="",0,IF(L2664=D2664,E2664,-E2664))</f>
        <v>0</v>
      </c>
      <c r="N2664" s="102" t="str">
        <f aca="false">IF(L2664="","",IFERROR(INDEX(AK_BARIS,MATCH(L2664,AK_NAMA,0)),"?"))</f>
        <v/>
      </c>
      <c r="O2664" s="102" t="str">
        <f aca="false">IF(C2664="","",IFERROR(INDEX(AK_KEL,MATCH(C2664,AK_NAMA,0)),"?"))</f>
        <v/>
      </c>
      <c r="P2664" s="102" t="str">
        <f aca="false">IF(D2664="","",IFERROR(INDEX(AK_KEL,MATCH(D2664,AK_NAMA,0)),"?"))</f>
        <v/>
      </c>
      <c r="Q2664" s="102" t="n">
        <f aca="false">N(Q2663)+IF(AND(N(E2664)&lt;&gt;0,K2664=TAHUN,N(J2664)&lt;=BLN,OR(C2664=BB_AKUN,D2664=BB_AKUN)),1,0)</f>
        <v>877</v>
      </c>
      <c r="R2664" s="104" t="str">
        <f aca="false">IF(OR(C2664&amp;D2664="",N(E2664)=0),"",IF(OR(O2664="?",P2664="?"),"⚠ akun tidak dikenal",IF(C2664=D2664,"⚠ debet = kredit","")))</f>
        <v/>
      </c>
    </row>
    <row r="2665" customFormat="false" ht="15" hidden="false" customHeight="false" outlineLevel="0" collapsed="false">
      <c r="A2665" s="5"/>
      <c r="B2665" s="83"/>
      <c r="C2665" s="5"/>
      <c r="D2665" s="5"/>
      <c r="E2665" s="44"/>
      <c r="F2665" s="5"/>
      <c r="G2665" s="5"/>
      <c r="H2665" s="5"/>
      <c r="I2665" s="5"/>
      <c r="J2665" s="102" t="str">
        <f aca="false">IF(B2665="","",MONTH(B2665))</f>
        <v/>
      </c>
      <c r="K2665" s="102" t="str">
        <f aca="false">IF(B2665="","",YEAR(B2665))</f>
        <v/>
      </c>
      <c r="L2665" s="102" t="str">
        <f aca="false">IF(N(E2665)=0,"",IF(COUNTIFS(AK_NAMA,C2665,AK_KAT,"KAS")+COUNTIFS(AK_NAMA,D2665,AK_KAT,"KAS")&lt;&gt;1,"",IF(COUNTIFS(AK_NAMA,C2665,AK_KAT,"KAS")=1,D2665,C2665)))</f>
        <v/>
      </c>
      <c r="M2665" s="103" t="n">
        <f aca="false">IF(L2665="",0,IF(L2665=D2665,E2665,-E2665))</f>
        <v>0</v>
      </c>
      <c r="N2665" s="102" t="str">
        <f aca="false">IF(L2665="","",IFERROR(INDEX(AK_BARIS,MATCH(L2665,AK_NAMA,0)),"?"))</f>
        <v/>
      </c>
      <c r="O2665" s="102" t="str">
        <f aca="false">IF(C2665="","",IFERROR(INDEX(AK_KEL,MATCH(C2665,AK_NAMA,0)),"?"))</f>
        <v/>
      </c>
      <c r="P2665" s="102" t="str">
        <f aca="false">IF(D2665="","",IFERROR(INDEX(AK_KEL,MATCH(D2665,AK_NAMA,0)),"?"))</f>
        <v/>
      </c>
      <c r="Q2665" s="102" t="n">
        <f aca="false">N(Q2664)+IF(AND(N(E2665)&lt;&gt;0,K2665=TAHUN,N(J2665)&lt;=BLN,OR(C2665=BB_AKUN,D2665=BB_AKUN)),1,0)</f>
        <v>877</v>
      </c>
      <c r="R2665" s="104" t="str">
        <f aca="false">IF(OR(C2665&amp;D2665="",N(E2665)=0),"",IF(OR(O2665="?",P2665="?"),"⚠ akun tidak dikenal",IF(C2665=D2665,"⚠ debet = kredit","")))</f>
        <v/>
      </c>
    </row>
    <row r="2666" customFormat="false" ht="15" hidden="false" customHeight="false" outlineLevel="0" collapsed="false">
      <c r="A2666" s="5"/>
      <c r="B2666" s="83"/>
      <c r="C2666" s="5"/>
      <c r="D2666" s="5"/>
      <c r="E2666" s="44"/>
      <c r="F2666" s="5"/>
      <c r="G2666" s="5"/>
      <c r="H2666" s="5"/>
      <c r="I2666" s="5"/>
      <c r="J2666" s="102" t="str">
        <f aca="false">IF(B2666="","",MONTH(B2666))</f>
        <v/>
      </c>
      <c r="K2666" s="102" t="str">
        <f aca="false">IF(B2666="","",YEAR(B2666))</f>
        <v/>
      </c>
      <c r="L2666" s="102" t="str">
        <f aca="false">IF(N(E2666)=0,"",IF(COUNTIFS(AK_NAMA,C2666,AK_KAT,"KAS")+COUNTIFS(AK_NAMA,D2666,AK_KAT,"KAS")&lt;&gt;1,"",IF(COUNTIFS(AK_NAMA,C2666,AK_KAT,"KAS")=1,D2666,C2666)))</f>
        <v/>
      </c>
      <c r="M2666" s="103" t="n">
        <f aca="false">IF(L2666="",0,IF(L2666=D2666,E2666,-E2666))</f>
        <v>0</v>
      </c>
      <c r="N2666" s="102" t="str">
        <f aca="false">IF(L2666="","",IFERROR(INDEX(AK_BARIS,MATCH(L2666,AK_NAMA,0)),"?"))</f>
        <v/>
      </c>
      <c r="O2666" s="102" t="str">
        <f aca="false">IF(C2666="","",IFERROR(INDEX(AK_KEL,MATCH(C2666,AK_NAMA,0)),"?"))</f>
        <v/>
      </c>
      <c r="P2666" s="102" t="str">
        <f aca="false">IF(D2666="","",IFERROR(INDEX(AK_KEL,MATCH(D2666,AK_NAMA,0)),"?"))</f>
        <v/>
      </c>
      <c r="Q2666" s="102" t="n">
        <f aca="false">N(Q2665)+IF(AND(N(E2666)&lt;&gt;0,K2666=TAHUN,N(J2666)&lt;=BLN,OR(C2666=BB_AKUN,D2666=BB_AKUN)),1,0)</f>
        <v>877</v>
      </c>
      <c r="R2666" s="104" t="str">
        <f aca="false">IF(OR(C2666&amp;D2666="",N(E2666)=0),"",IF(OR(O2666="?",P2666="?"),"⚠ akun tidak dikenal",IF(C2666=D2666,"⚠ debet = kredit","")))</f>
        <v/>
      </c>
    </row>
    <row r="2667" customFormat="false" ht="15" hidden="false" customHeight="false" outlineLevel="0" collapsed="false">
      <c r="A2667" s="5"/>
      <c r="B2667" s="83"/>
      <c r="C2667" s="5"/>
      <c r="D2667" s="5"/>
      <c r="E2667" s="44"/>
      <c r="F2667" s="5"/>
      <c r="G2667" s="5"/>
      <c r="H2667" s="5"/>
      <c r="I2667" s="5"/>
      <c r="J2667" s="102" t="str">
        <f aca="false">IF(B2667="","",MONTH(B2667))</f>
        <v/>
      </c>
      <c r="K2667" s="102" t="str">
        <f aca="false">IF(B2667="","",YEAR(B2667))</f>
        <v/>
      </c>
      <c r="L2667" s="102" t="str">
        <f aca="false">IF(N(E2667)=0,"",IF(COUNTIFS(AK_NAMA,C2667,AK_KAT,"KAS")+COUNTIFS(AK_NAMA,D2667,AK_KAT,"KAS")&lt;&gt;1,"",IF(COUNTIFS(AK_NAMA,C2667,AK_KAT,"KAS")=1,D2667,C2667)))</f>
        <v/>
      </c>
      <c r="M2667" s="103" t="n">
        <f aca="false">IF(L2667="",0,IF(L2667=D2667,E2667,-E2667))</f>
        <v>0</v>
      </c>
      <c r="N2667" s="102" t="str">
        <f aca="false">IF(L2667="","",IFERROR(INDEX(AK_BARIS,MATCH(L2667,AK_NAMA,0)),"?"))</f>
        <v/>
      </c>
      <c r="O2667" s="102" t="str">
        <f aca="false">IF(C2667="","",IFERROR(INDEX(AK_KEL,MATCH(C2667,AK_NAMA,0)),"?"))</f>
        <v/>
      </c>
      <c r="P2667" s="102" t="str">
        <f aca="false">IF(D2667="","",IFERROR(INDEX(AK_KEL,MATCH(D2667,AK_NAMA,0)),"?"))</f>
        <v/>
      </c>
      <c r="Q2667" s="102" t="n">
        <f aca="false">N(Q2666)+IF(AND(N(E2667)&lt;&gt;0,K2667=TAHUN,N(J2667)&lt;=BLN,OR(C2667=BB_AKUN,D2667=BB_AKUN)),1,0)</f>
        <v>877</v>
      </c>
      <c r="R2667" s="104" t="str">
        <f aca="false">IF(OR(C2667&amp;D2667="",N(E2667)=0),"",IF(OR(O2667="?",P2667="?"),"⚠ akun tidak dikenal",IF(C2667=D2667,"⚠ debet = kredit","")))</f>
        <v/>
      </c>
    </row>
    <row r="2668" customFormat="false" ht="15" hidden="false" customHeight="false" outlineLevel="0" collapsed="false">
      <c r="A2668" s="5"/>
      <c r="B2668" s="83"/>
      <c r="C2668" s="5"/>
      <c r="D2668" s="5"/>
      <c r="E2668" s="44"/>
      <c r="F2668" s="5"/>
      <c r="G2668" s="5"/>
      <c r="H2668" s="5"/>
      <c r="I2668" s="5"/>
      <c r="J2668" s="102" t="str">
        <f aca="false">IF(B2668="","",MONTH(B2668))</f>
        <v/>
      </c>
      <c r="K2668" s="102" t="str">
        <f aca="false">IF(B2668="","",YEAR(B2668))</f>
        <v/>
      </c>
      <c r="L2668" s="102" t="str">
        <f aca="false">IF(N(E2668)=0,"",IF(COUNTIFS(AK_NAMA,C2668,AK_KAT,"KAS")+COUNTIFS(AK_NAMA,D2668,AK_KAT,"KAS")&lt;&gt;1,"",IF(COUNTIFS(AK_NAMA,C2668,AK_KAT,"KAS")=1,D2668,C2668)))</f>
        <v/>
      </c>
      <c r="M2668" s="103" t="n">
        <f aca="false">IF(L2668="",0,IF(L2668=D2668,E2668,-E2668))</f>
        <v>0</v>
      </c>
      <c r="N2668" s="102" t="str">
        <f aca="false">IF(L2668="","",IFERROR(INDEX(AK_BARIS,MATCH(L2668,AK_NAMA,0)),"?"))</f>
        <v/>
      </c>
      <c r="O2668" s="102" t="str">
        <f aca="false">IF(C2668="","",IFERROR(INDEX(AK_KEL,MATCH(C2668,AK_NAMA,0)),"?"))</f>
        <v/>
      </c>
      <c r="P2668" s="102" t="str">
        <f aca="false">IF(D2668="","",IFERROR(INDEX(AK_KEL,MATCH(D2668,AK_NAMA,0)),"?"))</f>
        <v/>
      </c>
      <c r="Q2668" s="102" t="n">
        <f aca="false">N(Q2667)+IF(AND(N(E2668)&lt;&gt;0,K2668=TAHUN,N(J2668)&lt;=BLN,OR(C2668=BB_AKUN,D2668=BB_AKUN)),1,0)</f>
        <v>877</v>
      </c>
      <c r="R2668" s="104" t="str">
        <f aca="false">IF(OR(C2668&amp;D2668="",N(E2668)=0),"",IF(OR(O2668="?",P2668="?"),"⚠ akun tidak dikenal",IF(C2668=D2668,"⚠ debet = kredit","")))</f>
        <v/>
      </c>
    </row>
    <row r="2669" customFormat="false" ht="15" hidden="false" customHeight="false" outlineLevel="0" collapsed="false">
      <c r="A2669" s="5"/>
      <c r="B2669" s="83"/>
      <c r="C2669" s="5"/>
      <c r="D2669" s="5"/>
      <c r="E2669" s="44"/>
      <c r="F2669" s="5"/>
      <c r="G2669" s="5"/>
      <c r="H2669" s="5"/>
      <c r="I2669" s="5"/>
      <c r="J2669" s="102" t="str">
        <f aca="false">IF(B2669="","",MONTH(B2669))</f>
        <v/>
      </c>
      <c r="K2669" s="102" t="str">
        <f aca="false">IF(B2669="","",YEAR(B2669))</f>
        <v/>
      </c>
      <c r="L2669" s="102" t="str">
        <f aca="false">IF(N(E2669)=0,"",IF(COUNTIFS(AK_NAMA,C2669,AK_KAT,"KAS")+COUNTIFS(AK_NAMA,D2669,AK_KAT,"KAS")&lt;&gt;1,"",IF(COUNTIFS(AK_NAMA,C2669,AK_KAT,"KAS")=1,D2669,C2669)))</f>
        <v/>
      </c>
      <c r="M2669" s="103" t="n">
        <f aca="false">IF(L2669="",0,IF(L2669=D2669,E2669,-E2669))</f>
        <v>0</v>
      </c>
      <c r="N2669" s="102" t="str">
        <f aca="false">IF(L2669="","",IFERROR(INDEX(AK_BARIS,MATCH(L2669,AK_NAMA,0)),"?"))</f>
        <v/>
      </c>
      <c r="O2669" s="102" t="str">
        <f aca="false">IF(C2669="","",IFERROR(INDEX(AK_KEL,MATCH(C2669,AK_NAMA,0)),"?"))</f>
        <v/>
      </c>
      <c r="P2669" s="102" t="str">
        <f aca="false">IF(D2669="","",IFERROR(INDEX(AK_KEL,MATCH(D2669,AK_NAMA,0)),"?"))</f>
        <v/>
      </c>
      <c r="Q2669" s="102" t="n">
        <f aca="false">N(Q2668)+IF(AND(N(E2669)&lt;&gt;0,K2669=TAHUN,N(J2669)&lt;=BLN,OR(C2669=BB_AKUN,D2669=BB_AKUN)),1,0)</f>
        <v>877</v>
      </c>
      <c r="R2669" s="104" t="str">
        <f aca="false">IF(OR(C2669&amp;D2669="",N(E2669)=0),"",IF(OR(O2669="?",P2669="?"),"⚠ akun tidak dikenal",IF(C2669=D2669,"⚠ debet = kredit","")))</f>
        <v/>
      </c>
    </row>
    <row r="2670" customFormat="false" ht="15" hidden="false" customHeight="false" outlineLevel="0" collapsed="false">
      <c r="A2670" s="5"/>
      <c r="B2670" s="83"/>
      <c r="C2670" s="5"/>
      <c r="D2670" s="5"/>
      <c r="E2670" s="44"/>
      <c r="F2670" s="5"/>
      <c r="G2670" s="5"/>
      <c r="H2670" s="5"/>
      <c r="I2670" s="5"/>
      <c r="J2670" s="102" t="str">
        <f aca="false">IF(B2670="","",MONTH(B2670))</f>
        <v/>
      </c>
      <c r="K2670" s="102" t="str">
        <f aca="false">IF(B2670="","",YEAR(B2670))</f>
        <v/>
      </c>
      <c r="L2670" s="102" t="str">
        <f aca="false">IF(N(E2670)=0,"",IF(COUNTIFS(AK_NAMA,C2670,AK_KAT,"KAS")+COUNTIFS(AK_NAMA,D2670,AK_KAT,"KAS")&lt;&gt;1,"",IF(COUNTIFS(AK_NAMA,C2670,AK_KAT,"KAS")=1,D2670,C2670)))</f>
        <v/>
      </c>
      <c r="M2670" s="103" t="n">
        <f aca="false">IF(L2670="",0,IF(L2670=D2670,E2670,-E2670))</f>
        <v>0</v>
      </c>
      <c r="N2670" s="102" t="str">
        <f aca="false">IF(L2670="","",IFERROR(INDEX(AK_BARIS,MATCH(L2670,AK_NAMA,0)),"?"))</f>
        <v/>
      </c>
      <c r="O2670" s="102" t="str">
        <f aca="false">IF(C2670="","",IFERROR(INDEX(AK_KEL,MATCH(C2670,AK_NAMA,0)),"?"))</f>
        <v/>
      </c>
      <c r="P2670" s="102" t="str">
        <f aca="false">IF(D2670="","",IFERROR(INDEX(AK_KEL,MATCH(D2670,AK_NAMA,0)),"?"))</f>
        <v/>
      </c>
      <c r="Q2670" s="102" t="n">
        <f aca="false">N(Q2669)+IF(AND(N(E2670)&lt;&gt;0,K2670=TAHUN,N(J2670)&lt;=BLN,OR(C2670=BB_AKUN,D2670=BB_AKUN)),1,0)</f>
        <v>877</v>
      </c>
      <c r="R2670" s="104" t="str">
        <f aca="false">IF(OR(C2670&amp;D2670="",N(E2670)=0),"",IF(OR(O2670="?",P2670="?"),"⚠ akun tidak dikenal",IF(C2670=D2670,"⚠ debet = kredit","")))</f>
        <v/>
      </c>
    </row>
    <row r="2671" customFormat="false" ht="15" hidden="false" customHeight="false" outlineLevel="0" collapsed="false">
      <c r="A2671" s="5"/>
      <c r="B2671" s="83"/>
      <c r="C2671" s="5"/>
      <c r="D2671" s="5"/>
      <c r="E2671" s="44"/>
      <c r="F2671" s="5"/>
      <c r="G2671" s="5"/>
      <c r="H2671" s="5"/>
      <c r="I2671" s="5"/>
      <c r="J2671" s="102" t="str">
        <f aca="false">IF(B2671="","",MONTH(B2671))</f>
        <v/>
      </c>
      <c r="K2671" s="102" t="str">
        <f aca="false">IF(B2671="","",YEAR(B2671))</f>
        <v/>
      </c>
      <c r="L2671" s="102" t="str">
        <f aca="false">IF(N(E2671)=0,"",IF(COUNTIFS(AK_NAMA,C2671,AK_KAT,"KAS")+COUNTIFS(AK_NAMA,D2671,AK_KAT,"KAS")&lt;&gt;1,"",IF(COUNTIFS(AK_NAMA,C2671,AK_KAT,"KAS")=1,D2671,C2671)))</f>
        <v/>
      </c>
      <c r="M2671" s="103" t="n">
        <f aca="false">IF(L2671="",0,IF(L2671=D2671,E2671,-E2671))</f>
        <v>0</v>
      </c>
      <c r="N2671" s="102" t="str">
        <f aca="false">IF(L2671="","",IFERROR(INDEX(AK_BARIS,MATCH(L2671,AK_NAMA,0)),"?"))</f>
        <v/>
      </c>
      <c r="O2671" s="102" t="str">
        <f aca="false">IF(C2671="","",IFERROR(INDEX(AK_KEL,MATCH(C2671,AK_NAMA,0)),"?"))</f>
        <v/>
      </c>
      <c r="P2671" s="102" t="str">
        <f aca="false">IF(D2671="","",IFERROR(INDEX(AK_KEL,MATCH(D2671,AK_NAMA,0)),"?"))</f>
        <v/>
      </c>
      <c r="Q2671" s="102" t="n">
        <f aca="false">N(Q2670)+IF(AND(N(E2671)&lt;&gt;0,K2671=TAHUN,N(J2671)&lt;=BLN,OR(C2671=BB_AKUN,D2671=BB_AKUN)),1,0)</f>
        <v>877</v>
      </c>
      <c r="R2671" s="104" t="str">
        <f aca="false">IF(OR(C2671&amp;D2671="",N(E2671)=0),"",IF(OR(O2671="?",P2671="?"),"⚠ akun tidak dikenal",IF(C2671=D2671,"⚠ debet = kredit","")))</f>
        <v/>
      </c>
    </row>
    <row r="2672" customFormat="false" ht="15" hidden="false" customHeight="false" outlineLevel="0" collapsed="false">
      <c r="A2672" s="5"/>
      <c r="B2672" s="83"/>
      <c r="C2672" s="5"/>
      <c r="D2672" s="5"/>
      <c r="E2672" s="44"/>
      <c r="F2672" s="5"/>
      <c r="G2672" s="5"/>
      <c r="H2672" s="5"/>
      <c r="I2672" s="5"/>
      <c r="J2672" s="102" t="str">
        <f aca="false">IF(B2672="","",MONTH(B2672))</f>
        <v/>
      </c>
      <c r="K2672" s="102" t="str">
        <f aca="false">IF(B2672="","",YEAR(B2672))</f>
        <v/>
      </c>
      <c r="L2672" s="102" t="str">
        <f aca="false">IF(N(E2672)=0,"",IF(COUNTIFS(AK_NAMA,C2672,AK_KAT,"KAS")+COUNTIFS(AK_NAMA,D2672,AK_KAT,"KAS")&lt;&gt;1,"",IF(COUNTIFS(AK_NAMA,C2672,AK_KAT,"KAS")=1,D2672,C2672)))</f>
        <v/>
      </c>
      <c r="M2672" s="103" t="n">
        <f aca="false">IF(L2672="",0,IF(L2672=D2672,E2672,-E2672))</f>
        <v>0</v>
      </c>
      <c r="N2672" s="102" t="str">
        <f aca="false">IF(L2672="","",IFERROR(INDEX(AK_BARIS,MATCH(L2672,AK_NAMA,0)),"?"))</f>
        <v/>
      </c>
      <c r="O2672" s="102" t="str">
        <f aca="false">IF(C2672="","",IFERROR(INDEX(AK_KEL,MATCH(C2672,AK_NAMA,0)),"?"))</f>
        <v/>
      </c>
      <c r="P2672" s="102" t="str">
        <f aca="false">IF(D2672="","",IFERROR(INDEX(AK_KEL,MATCH(D2672,AK_NAMA,0)),"?"))</f>
        <v/>
      </c>
      <c r="Q2672" s="102" t="n">
        <f aca="false">N(Q2671)+IF(AND(N(E2672)&lt;&gt;0,K2672=TAHUN,N(J2672)&lt;=BLN,OR(C2672=BB_AKUN,D2672=BB_AKUN)),1,0)</f>
        <v>877</v>
      </c>
      <c r="R2672" s="104" t="str">
        <f aca="false">IF(OR(C2672&amp;D2672="",N(E2672)=0),"",IF(OR(O2672="?",P2672="?"),"⚠ akun tidak dikenal",IF(C2672=D2672,"⚠ debet = kredit","")))</f>
        <v/>
      </c>
    </row>
    <row r="2673" customFormat="false" ht="15" hidden="false" customHeight="false" outlineLevel="0" collapsed="false">
      <c r="A2673" s="5"/>
      <c r="B2673" s="83"/>
      <c r="C2673" s="5"/>
      <c r="D2673" s="5"/>
      <c r="E2673" s="44"/>
      <c r="F2673" s="5"/>
      <c r="G2673" s="5"/>
      <c r="H2673" s="5"/>
      <c r="I2673" s="5"/>
      <c r="J2673" s="102" t="str">
        <f aca="false">IF(B2673="","",MONTH(B2673))</f>
        <v/>
      </c>
      <c r="K2673" s="102" t="str">
        <f aca="false">IF(B2673="","",YEAR(B2673))</f>
        <v/>
      </c>
      <c r="L2673" s="102" t="str">
        <f aca="false">IF(N(E2673)=0,"",IF(COUNTIFS(AK_NAMA,C2673,AK_KAT,"KAS")+COUNTIFS(AK_NAMA,D2673,AK_KAT,"KAS")&lt;&gt;1,"",IF(COUNTIFS(AK_NAMA,C2673,AK_KAT,"KAS")=1,D2673,C2673)))</f>
        <v/>
      </c>
      <c r="M2673" s="103" t="n">
        <f aca="false">IF(L2673="",0,IF(L2673=D2673,E2673,-E2673))</f>
        <v>0</v>
      </c>
      <c r="N2673" s="102" t="str">
        <f aca="false">IF(L2673="","",IFERROR(INDEX(AK_BARIS,MATCH(L2673,AK_NAMA,0)),"?"))</f>
        <v/>
      </c>
      <c r="O2673" s="102" t="str">
        <f aca="false">IF(C2673="","",IFERROR(INDEX(AK_KEL,MATCH(C2673,AK_NAMA,0)),"?"))</f>
        <v/>
      </c>
      <c r="P2673" s="102" t="str">
        <f aca="false">IF(D2673="","",IFERROR(INDEX(AK_KEL,MATCH(D2673,AK_NAMA,0)),"?"))</f>
        <v/>
      </c>
      <c r="Q2673" s="102" t="n">
        <f aca="false">N(Q2672)+IF(AND(N(E2673)&lt;&gt;0,K2673=TAHUN,N(J2673)&lt;=BLN,OR(C2673=BB_AKUN,D2673=BB_AKUN)),1,0)</f>
        <v>877</v>
      </c>
      <c r="R2673" s="104" t="str">
        <f aca="false">IF(OR(C2673&amp;D2673="",N(E2673)=0),"",IF(OR(O2673="?",P2673="?"),"⚠ akun tidak dikenal",IF(C2673=D2673,"⚠ debet = kredit","")))</f>
        <v/>
      </c>
    </row>
    <row r="2674" customFormat="false" ht="15" hidden="false" customHeight="false" outlineLevel="0" collapsed="false">
      <c r="A2674" s="5"/>
      <c r="B2674" s="83"/>
      <c r="C2674" s="5"/>
      <c r="D2674" s="5"/>
      <c r="E2674" s="44"/>
      <c r="F2674" s="5"/>
      <c r="G2674" s="5"/>
      <c r="H2674" s="5"/>
      <c r="I2674" s="5"/>
      <c r="J2674" s="102" t="str">
        <f aca="false">IF(B2674="","",MONTH(B2674))</f>
        <v/>
      </c>
      <c r="K2674" s="102" t="str">
        <f aca="false">IF(B2674="","",YEAR(B2674))</f>
        <v/>
      </c>
      <c r="L2674" s="102" t="str">
        <f aca="false">IF(N(E2674)=0,"",IF(COUNTIFS(AK_NAMA,C2674,AK_KAT,"KAS")+COUNTIFS(AK_NAMA,D2674,AK_KAT,"KAS")&lt;&gt;1,"",IF(COUNTIFS(AK_NAMA,C2674,AK_KAT,"KAS")=1,D2674,C2674)))</f>
        <v/>
      </c>
      <c r="M2674" s="103" t="n">
        <f aca="false">IF(L2674="",0,IF(L2674=D2674,E2674,-E2674))</f>
        <v>0</v>
      </c>
      <c r="N2674" s="102" t="str">
        <f aca="false">IF(L2674="","",IFERROR(INDEX(AK_BARIS,MATCH(L2674,AK_NAMA,0)),"?"))</f>
        <v/>
      </c>
      <c r="O2674" s="102" t="str">
        <f aca="false">IF(C2674="","",IFERROR(INDEX(AK_KEL,MATCH(C2674,AK_NAMA,0)),"?"))</f>
        <v/>
      </c>
      <c r="P2674" s="102" t="str">
        <f aca="false">IF(D2674="","",IFERROR(INDEX(AK_KEL,MATCH(D2674,AK_NAMA,0)),"?"))</f>
        <v/>
      </c>
      <c r="Q2674" s="102" t="n">
        <f aca="false">N(Q2673)+IF(AND(N(E2674)&lt;&gt;0,K2674=TAHUN,N(J2674)&lt;=BLN,OR(C2674=BB_AKUN,D2674=BB_AKUN)),1,0)</f>
        <v>877</v>
      </c>
      <c r="R2674" s="104" t="str">
        <f aca="false">IF(OR(C2674&amp;D2674="",N(E2674)=0),"",IF(OR(O2674="?",P2674="?"),"⚠ akun tidak dikenal",IF(C2674=D2674,"⚠ debet = kredit","")))</f>
        <v/>
      </c>
    </row>
    <row r="2675" customFormat="false" ht="15" hidden="false" customHeight="false" outlineLevel="0" collapsed="false">
      <c r="A2675" s="5"/>
      <c r="B2675" s="83"/>
      <c r="C2675" s="5"/>
      <c r="D2675" s="5"/>
      <c r="E2675" s="44"/>
      <c r="F2675" s="5"/>
      <c r="G2675" s="5"/>
      <c r="H2675" s="5"/>
      <c r="I2675" s="5"/>
      <c r="J2675" s="102" t="str">
        <f aca="false">IF(B2675="","",MONTH(B2675))</f>
        <v/>
      </c>
      <c r="K2675" s="102" t="str">
        <f aca="false">IF(B2675="","",YEAR(B2675))</f>
        <v/>
      </c>
      <c r="L2675" s="102" t="str">
        <f aca="false">IF(N(E2675)=0,"",IF(COUNTIFS(AK_NAMA,C2675,AK_KAT,"KAS")+COUNTIFS(AK_NAMA,D2675,AK_KAT,"KAS")&lt;&gt;1,"",IF(COUNTIFS(AK_NAMA,C2675,AK_KAT,"KAS")=1,D2675,C2675)))</f>
        <v/>
      </c>
      <c r="M2675" s="103" t="n">
        <f aca="false">IF(L2675="",0,IF(L2675=D2675,E2675,-E2675))</f>
        <v>0</v>
      </c>
      <c r="N2675" s="102" t="str">
        <f aca="false">IF(L2675="","",IFERROR(INDEX(AK_BARIS,MATCH(L2675,AK_NAMA,0)),"?"))</f>
        <v/>
      </c>
      <c r="O2675" s="102" t="str">
        <f aca="false">IF(C2675="","",IFERROR(INDEX(AK_KEL,MATCH(C2675,AK_NAMA,0)),"?"))</f>
        <v/>
      </c>
      <c r="P2675" s="102" t="str">
        <f aca="false">IF(D2675="","",IFERROR(INDEX(AK_KEL,MATCH(D2675,AK_NAMA,0)),"?"))</f>
        <v/>
      </c>
      <c r="Q2675" s="102" t="n">
        <f aca="false">N(Q2674)+IF(AND(N(E2675)&lt;&gt;0,K2675=TAHUN,N(J2675)&lt;=BLN,OR(C2675=BB_AKUN,D2675=BB_AKUN)),1,0)</f>
        <v>877</v>
      </c>
      <c r="R2675" s="104" t="str">
        <f aca="false">IF(OR(C2675&amp;D2675="",N(E2675)=0),"",IF(OR(O2675="?",P2675="?"),"⚠ akun tidak dikenal",IF(C2675=D2675,"⚠ debet = kredit","")))</f>
        <v/>
      </c>
    </row>
    <row r="2676" customFormat="false" ht="15" hidden="false" customHeight="false" outlineLevel="0" collapsed="false">
      <c r="A2676" s="5"/>
      <c r="B2676" s="83"/>
      <c r="C2676" s="5"/>
      <c r="D2676" s="5"/>
      <c r="E2676" s="44"/>
      <c r="F2676" s="5"/>
      <c r="G2676" s="5"/>
      <c r="H2676" s="5"/>
      <c r="I2676" s="5"/>
      <c r="J2676" s="102" t="str">
        <f aca="false">IF(B2676="","",MONTH(B2676))</f>
        <v/>
      </c>
      <c r="K2676" s="102" t="str">
        <f aca="false">IF(B2676="","",YEAR(B2676))</f>
        <v/>
      </c>
      <c r="L2676" s="102" t="str">
        <f aca="false">IF(N(E2676)=0,"",IF(COUNTIFS(AK_NAMA,C2676,AK_KAT,"KAS")+COUNTIFS(AK_NAMA,D2676,AK_KAT,"KAS")&lt;&gt;1,"",IF(COUNTIFS(AK_NAMA,C2676,AK_KAT,"KAS")=1,D2676,C2676)))</f>
        <v/>
      </c>
      <c r="M2676" s="103" t="n">
        <f aca="false">IF(L2676="",0,IF(L2676=D2676,E2676,-E2676))</f>
        <v>0</v>
      </c>
      <c r="N2676" s="102" t="str">
        <f aca="false">IF(L2676="","",IFERROR(INDEX(AK_BARIS,MATCH(L2676,AK_NAMA,0)),"?"))</f>
        <v/>
      </c>
      <c r="O2676" s="102" t="str">
        <f aca="false">IF(C2676="","",IFERROR(INDEX(AK_KEL,MATCH(C2676,AK_NAMA,0)),"?"))</f>
        <v/>
      </c>
      <c r="P2676" s="102" t="str">
        <f aca="false">IF(D2676="","",IFERROR(INDEX(AK_KEL,MATCH(D2676,AK_NAMA,0)),"?"))</f>
        <v/>
      </c>
      <c r="Q2676" s="102" t="n">
        <f aca="false">N(Q2675)+IF(AND(N(E2676)&lt;&gt;0,K2676=TAHUN,N(J2676)&lt;=BLN,OR(C2676=BB_AKUN,D2676=BB_AKUN)),1,0)</f>
        <v>877</v>
      </c>
      <c r="R2676" s="104" t="str">
        <f aca="false">IF(OR(C2676&amp;D2676="",N(E2676)=0),"",IF(OR(O2676="?",P2676="?"),"⚠ akun tidak dikenal",IF(C2676=D2676,"⚠ debet = kredit","")))</f>
        <v/>
      </c>
    </row>
    <row r="2677" customFormat="false" ht="15" hidden="false" customHeight="false" outlineLevel="0" collapsed="false">
      <c r="A2677" s="5"/>
      <c r="B2677" s="83"/>
      <c r="C2677" s="5"/>
      <c r="D2677" s="5"/>
      <c r="E2677" s="44"/>
      <c r="F2677" s="5"/>
      <c r="G2677" s="5"/>
      <c r="H2677" s="5"/>
      <c r="I2677" s="5"/>
      <c r="J2677" s="102" t="str">
        <f aca="false">IF(B2677="","",MONTH(B2677))</f>
        <v/>
      </c>
      <c r="K2677" s="102" t="str">
        <f aca="false">IF(B2677="","",YEAR(B2677))</f>
        <v/>
      </c>
      <c r="L2677" s="102" t="str">
        <f aca="false">IF(N(E2677)=0,"",IF(COUNTIFS(AK_NAMA,C2677,AK_KAT,"KAS")+COUNTIFS(AK_NAMA,D2677,AK_KAT,"KAS")&lt;&gt;1,"",IF(COUNTIFS(AK_NAMA,C2677,AK_KAT,"KAS")=1,D2677,C2677)))</f>
        <v/>
      </c>
      <c r="M2677" s="103" t="n">
        <f aca="false">IF(L2677="",0,IF(L2677=D2677,E2677,-E2677))</f>
        <v>0</v>
      </c>
      <c r="N2677" s="102" t="str">
        <f aca="false">IF(L2677="","",IFERROR(INDEX(AK_BARIS,MATCH(L2677,AK_NAMA,0)),"?"))</f>
        <v/>
      </c>
      <c r="O2677" s="102" t="str">
        <f aca="false">IF(C2677="","",IFERROR(INDEX(AK_KEL,MATCH(C2677,AK_NAMA,0)),"?"))</f>
        <v/>
      </c>
      <c r="P2677" s="102" t="str">
        <f aca="false">IF(D2677="","",IFERROR(INDEX(AK_KEL,MATCH(D2677,AK_NAMA,0)),"?"))</f>
        <v/>
      </c>
      <c r="Q2677" s="102" t="n">
        <f aca="false">N(Q2676)+IF(AND(N(E2677)&lt;&gt;0,K2677=TAHUN,N(J2677)&lt;=BLN,OR(C2677=BB_AKUN,D2677=BB_AKUN)),1,0)</f>
        <v>877</v>
      </c>
      <c r="R2677" s="104" t="str">
        <f aca="false">IF(OR(C2677&amp;D2677="",N(E2677)=0),"",IF(OR(O2677="?",P2677="?"),"⚠ akun tidak dikenal",IF(C2677=D2677,"⚠ debet = kredit","")))</f>
        <v/>
      </c>
    </row>
    <row r="2678" customFormat="false" ht="15" hidden="false" customHeight="false" outlineLevel="0" collapsed="false">
      <c r="A2678" s="5"/>
      <c r="B2678" s="83"/>
      <c r="C2678" s="5"/>
      <c r="D2678" s="5"/>
      <c r="E2678" s="44"/>
      <c r="F2678" s="5"/>
      <c r="G2678" s="5"/>
      <c r="H2678" s="5"/>
      <c r="I2678" s="5"/>
      <c r="J2678" s="102" t="str">
        <f aca="false">IF(B2678="","",MONTH(B2678))</f>
        <v/>
      </c>
      <c r="K2678" s="102" t="str">
        <f aca="false">IF(B2678="","",YEAR(B2678))</f>
        <v/>
      </c>
      <c r="L2678" s="102" t="str">
        <f aca="false">IF(N(E2678)=0,"",IF(COUNTIFS(AK_NAMA,C2678,AK_KAT,"KAS")+COUNTIFS(AK_NAMA,D2678,AK_KAT,"KAS")&lt;&gt;1,"",IF(COUNTIFS(AK_NAMA,C2678,AK_KAT,"KAS")=1,D2678,C2678)))</f>
        <v/>
      </c>
      <c r="M2678" s="103" t="n">
        <f aca="false">IF(L2678="",0,IF(L2678=D2678,E2678,-E2678))</f>
        <v>0</v>
      </c>
      <c r="N2678" s="102" t="str">
        <f aca="false">IF(L2678="","",IFERROR(INDEX(AK_BARIS,MATCH(L2678,AK_NAMA,0)),"?"))</f>
        <v/>
      </c>
      <c r="O2678" s="102" t="str">
        <f aca="false">IF(C2678="","",IFERROR(INDEX(AK_KEL,MATCH(C2678,AK_NAMA,0)),"?"))</f>
        <v/>
      </c>
      <c r="P2678" s="102" t="str">
        <f aca="false">IF(D2678="","",IFERROR(INDEX(AK_KEL,MATCH(D2678,AK_NAMA,0)),"?"))</f>
        <v/>
      </c>
      <c r="Q2678" s="102" t="n">
        <f aca="false">N(Q2677)+IF(AND(N(E2678)&lt;&gt;0,K2678=TAHUN,N(J2678)&lt;=BLN,OR(C2678=BB_AKUN,D2678=BB_AKUN)),1,0)</f>
        <v>877</v>
      </c>
      <c r="R2678" s="104" t="str">
        <f aca="false">IF(OR(C2678&amp;D2678="",N(E2678)=0),"",IF(OR(O2678="?",P2678="?"),"⚠ akun tidak dikenal",IF(C2678=D2678,"⚠ debet = kredit","")))</f>
        <v/>
      </c>
    </row>
    <row r="2679" customFormat="false" ht="15" hidden="false" customHeight="false" outlineLevel="0" collapsed="false">
      <c r="A2679" s="5"/>
      <c r="B2679" s="83"/>
      <c r="C2679" s="5"/>
      <c r="D2679" s="5"/>
      <c r="E2679" s="44"/>
      <c r="F2679" s="5"/>
      <c r="G2679" s="5"/>
      <c r="H2679" s="5"/>
      <c r="I2679" s="5"/>
      <c r="J2679" s="102" t="str">
        <f aca="false">IF(B2679="","",MONTH(B2679))</f>
        <v/>
      </c>
      <c r="K2679" s="102" t="str">
        <f aca="false">IF(B2679="","",YEAR(B2679))</f>
        <v/>
      </c>
      <c r="L2679" s="102" t="str">
        <f aca="false">IF(N(E2679)=0,"",IF(COUNTIFS(AK_NAMA,C2679,AK_KAT,"KAS")+COUNTIFS(AK_NAMA,D2679,AK_KAT,"KAS")&lt;&gt;1,"",IF(COUNTIFS(AK_NAMA,C2679,AK_KAT,"KAS")=1,D2679,C2679)))</f>
        <v/>
      </c>
      <c r="M2679" s="103" t="n">
        <f aca="false">IF(L2679="",0,IF(L2679=D2679,E2679,-E2679))</f>
        <v>0</v>
      </c>
      <c r="N2679" s="102" t="str">
        <f aca="false">IF(L2679="","",IFERROR(INDEX(AK_BARIS,MATCH(L2679,AK_NAMA,0)),"?"))</f>
        <v/>
      </c>
      <c r="O2679" s="102" t="str">
        <f aca="false">IF(C2679="","",IFERROR(INDEX(AK_KEL,MATCH(C2679,AK_NAMA,0)),"?"))</f>
        <v/>
      </c>
      <c r="P2679" s="102" t="str">
        <f aca="false">IF(D2679="","",IFERROR(INDEX(AK_KEL,MATCH(D2679,AK_NAMA,0)),"?"))</f>
        <v/>
      </c>
      <c r="Q2679" s="102" t="n">
        <f aca="false">N(Q2678)+IF(AND(N(E2679)&lt;&gt;0,K2679=TAHUN,N(J2679)&lt;=BLN,OR(C2679=BB_AKUN,D2679=BB_AKUN)),1,0)</f>
        <v>877</v>
      </c>
      <c r="R2679" s="104" t="str">
        <f aca="false">IF(OR(C2679&amp;D2679="",N(E2679)=0),"",IF(OR(O2679="?",P2679="?"),"⚠ akun tidak dikenal",IF(C2679=D2679,"⚠ debet = kredit","")))</f>
        <v/>
      </c>
    </row>
    <row r="2680" customFormat="false" ht="15" hidden="false" customHeight="false" outlineLevel="0" collapsed="false">
      <c r="A2680" s="5"/>
      <c r="B2680" s="83"/>
      <c r="C2680" s="5"/>
      <c r="D2680" s="5"/>
      <c r="E2680" s="44"/>
      <c r="F2680" s="5"/>
      <c r="G2680" s="5"/>
      <c r="H2680" s="5"/>
      <c r="I2680" s="5"/>
      <c r="J2680" s="102" t="str">
        <f aca="false">IF(B2680="","",MONTH(B2680))</f>
        <v/>
      </c>
      <c r="K2680" s="102" t="str">
        <f aca="false">IF(B2680="","",YEAR(B2680))</f>
        <v/>
      </c>
      <c r="L2680" s="102" t="str">
        <f aca="false">IF(N(E2680)=0,"",IF(COUNTIFS(AK_NAMA,C2680,AK_KAT,"KAS")+COUNTIFS(AK_NAMA,D2680,AK_KAT,"KAS")&lt;&gt;1,"",IF(COUNTIFS(AK_NAMA,C2680,AK_KAT,"KAS")=1,D2680,C2680)))</f>
        <v/>
      </c>
      <c r="M2680" s="103" t="n">
        <f aca="false">IF(L2680="",0,IF(L2680=D2680,E2680,-E2680))</f>
        <v>0</v>
      </c>
      <c r="N2680" s="102" t="str">
        <f aca="false">IF(L2680="","",IFERROR(INDEX(AK_BARIS,MATCH(L2680,AK_NAMA,0)),"?"))</f>
        <v/>
      </c>
      <c r="O2680" s="102" t="str">
        <f aca="false">IF(C2680="","",IFERROR(INDEX(AK_KEL,MATCH(C2680,AK_NAMA,0)),"?"))</f>
        <v/>
      </c>
      <c r="P2680" s="102" t="str">
        <f aca="false">IF(D2680="","",IFERROR(INDEX(AK_KEL,MATCH(D2680,AK_NAMA,0)),"?"))</f>
        <v/>
      </c>
      <c r="Q2680" s="102" t="n">
        <f aca="false">N(Q2679)+IF(AND(N(E2680)&lt;&gt;0,K2680=TAHUN,N(J2680)&lt;=BLN,OR(C2680=BB_AKUN,D2680=BB_AKUN)),1,0)</f>
        <v>877</v>
      </c>
      <c r="R2680" s="104" t="str">
        <f aca="false">IF(OR(C2680&amp;D2680="",N(E2680)=0),"",IF(OR(O2680="?",P2680="?"),"⚠ akun tidak dikenal",IF(C2680=D2680,"⚠ debet = kredit","")))</f>
        <v/>
      </c>
    </row>
    <row r="2681" customFormat="false" ht="15" hidden="false" customHeight="false" outlineLevel="0" collapsed="false">
      <c r="A2681" s="5"/>
      <c r="B2681" s="83"/>
      <c r="C2681" s="5"/>
      <c r="D2681" s="5"/>
      <c r="E2681" s="44"/>
      <c r="F2681" s="5"/>
      <c r="G2681" s="5"/>
      <c r="H2681" s="5"/>
      <c r="I2681" s="5"/>
      <c r="J2681" s="102" t="str">
        <f aca="false">IF(B2681="","",MONTH(B2681))</f>
        <v/>
      </c>
      <c r="K2681" s="102" t="str">
        <f aca="false">IF(B2681="","",YEAR(B2681))</f>
        <v/>
      </c>
      <c r="L2681" s="102" t="str">
        <f aca="false">IF(N(E2681)=0,"",IF(COUNTIFS(AK_NAMA,C2681,AK_KAT,"KAS")+COUNTIFS(AK_NAMA,D2681,AK_KAT,"KAS")&lt;&gt;1,"",IF(COUNTIFS(AK_NAMA,C2681,AK_KAT,"KAS")=1,D2681,C2681)))</f>
        <v/>
      </c>
      <c r="M2681" s="103" t="n">
        <f aca="false">IF(L2681="",0,IF(L2681=D2681,E2681,-E2681))</f>
        <v>0</v>
      </c>
      <c r="N2681" s="102" t="str">
        <f aca="false">IF(L2681="","",IFERROR(INDEX(AK_BARIS,MATCH(L2681,AK_NAMA,0)),"?"))</f>
        <v/>
      </c>
      <c r="O2681" s="102" t="str">
        <f aca="false">IF(C2681="","",IFERROR(INDEX(AK_KEL,MATCH(C2681,AK_NAMA,0)),"?"))</f>
        <v/>
      </c>
      <c r="P2681" s="102" t="str">
        <f aca="false">IF(D2681="","",IFERROR(INDEX(AK_KEL,MATCH(D2681,AK_NAMA,0)),"?"))</f>
        <v/>
      </c>
      <c r="Q2681" s="102" t="n">
        <f aca="false">N(Q2680)+IF(AND(N(E2681)&lt;&gt;0,K2681=TAHUN,N(J2681)&lt;=BLN,OR(C2681=BB_AKUN,D2681=BB_AKUN)),1,0)</f>
        <v>877</v>
      </c>
      <c r="R2681" s="104" t="str">
        <f aca="false">IF(OR(C2681&amp;D2681="",N(E2681)=0),"",IF(OR(O2681="?",P2681="?"),"⚠ akun tidak dikenal",IF(C2681=D2681,"⚠ debet = kredit","")))</f>
        <v/>
      </c>
    </row>
    <row r="2682" customFormat="false" ht="15" hidden="false" customHeight="false" outlineLevel="0" collapsed="false">
      <c r="A2682" s="5"/>
      <c r="B2682" s="83"/>
      <c r="C2682" s="5"/>
      <c r="D2682" s="5"/>
      <c r="E2682" s="44"/>
      <c r="F2682" s="5"/>
      <c r="G2682" s="5"/>
      <c r="H2682" s="5"/>
      <c r="I2682" s="5"/>
      <c r="J2682" s="102" t="str">
        <f aca="false">IF(B2682="","",MONTH(B2682))</f>
        <v/>
      </c>
      <c r="K2682" s="102" t="str">
        <f aca="false">IF(B2682="","",YEAR(B2682))</f>
        <v/>
      </c>
      <c r="L2682" s="102" t="str">
        <f aca="false">IF(N(E2682)=0,"",IF(COUNTIFS(AK_NAMA,C2682,AK_KAT,"KAS")+COUNTIFS(AK_NAMA,D2682,AK_KAT,"KAS")&lt;&gt;1,"",IF(COUNTIFS(AK_NAMA,C2682,AK_KAT,"KAS")=1,D2682,C2682)))</f>
        <v/>
      </c>
      <c r="M2682" s="103" t="n">
        <f aca="false">IF(L2682="",0,IF(L2682=D2682,E2682,-E2682))</f>
        <v>0</v>
      </c>
      <c r="N2682" s="102" t="str">
        <f aca="false">IF(L2682="","",IFERROR(INDEX(AK_BARIS,MATCH(L2682,AK_NAMA,0)),"?"))</f>
        <v/>
      </c>
      <c r="O2682" s="102" t="str">
        <f aca="false">IF(C2682="","",IFERROR(INDEX(AK_KEL,MATCH(C2682,AK_NAMA,0)),"?"))</f>
        <v/>
      </c>
      <c r="P2682" s="102" t="str">
        <f aca="false">IF(D2682="","",IFERROR(INDEX(AK_KEL,MATCH(D2682,AK_NAMA,0)),"?"))</f>
        <v/>
      </c>
      <c r="Q2682" s="102" t="n">
        <f aca="false">N(Q2681)+IF(AND(N(E2682)&lt;&gt;0,K2682=TAHUN,N(J2682)&lt;=BLN,OR(C2682=BB_AKUN,D2682=BB_AKUN)),1,0)</f>
        <v>877</v>
      </c>
      <c r="R2682" s="104" t="str">
        <f aca="false">IF(OR(C2682&amp;D2682="",N(E2682)=0),"",IF(OR(O2682="?",P2682="?"),"⚠ akun tidak dikenal",IF(C2682=D2682,"⚠ debet = kredit","")))</f>
        <v/>
      </c>
    </row>
    <row r="2683" customFormat="false" ht="15" hidden="false" customHeight="false" outlineLevel="0" collapsed="false">
      <c r="A2683" s="5"/>
      <c r="B2683" s="83"/>
      <c r="C2683" s="5"/>
      <c r="D2683" s="5"/>
      <c r="E2683" s="44"/>
      <c r="F2683" s="5"/>
      <c r="G2683" s="5"/>
      <c r="H2683" s="5"/>
      <c r="I2683" s="5"/>
      <c r="J2683" s="102" t="str">
        <f aca="false">IF(B2683="","",MONTH(B2683))</f>
        <v/>
      </c>
      <c r="K2683" s="102" t="str">
        <f aca="false">IF(B2683="","",YEAR(B2683))</f>
        <v/>
      </c>
      <c r="L2683" s="102" t="str">
        <f aca="false">IF(N(E2683)=0,"",IF(COUNTIFS(AK_NAMA,C2683,AK_KAT,"KAS")+COUNTIFS(AK_NAMA,D2683,AK_KAT,"KAS")&lt;&gt;1,"",IF(COUNTIFS(AK_NAMA,C2683,AK_KAT,"KAS")=1,D2683,C2683)))</f>
        <v/>
      </c>
      <c r="M2683" s="103" t="n">
        <f aca="false">IF(L2683="",0,IF(L2683=D2683,E2683,-E2683))</f>
        <v>0</v>
      </c>
      <c r="N2683" s="102" t="str">
        <f aca="false">IF(L2683="","",IFERROR(INDEX(AK_BARIS,MATCH(L2683,AK_NAMA,0)),"?"))</f>
        <v/>
      </c>
      <c r="O2683" s="102" t="str">
        <f aca="false">IF(C2683="","",IFERROR(INDEX(AK_KEL,MATCH(C2683,AK_NAMA,0)),"?"))</f>
        <v/>
      </c>
      <c r="P2683" s="102" t="str">
        <f aca="false">IF(D2683="","",IFERROR(INDEX(AK_KEL,MATCH(D2683,AK_NAMA,0)),"?"))</f>
        <v/>
      </c>
      <c r="Q2683" s="102" t="n">
        <f aca="false">N(Q2682)+IF(AND(N(E2683)&lt;&gt;0,K2683=TAHUN,N(J2683)&lt;=BLN,OR(C2683=BB_AKUN,D2683=BB_AKUN)),1,0)</f>
        <v>877</v>
      </c>
      <c r="R2683" s="104" t="str">
        <f aca="false">IF(OR(C2683&amp;D2683="",N(E2683)=0),"",IF(OR(O2683="?",P2683="?"),"⚠ akun tidak dikenal",IF(C2683=D2683,"⚠ debet = kredit","")))</f>
        <v/>
      </c>
    </row>
    <row r="2684" customFormat="false" ht="15" hidden="false" customHeight="false" outlineLevel="0" collapsed="false">
      <c r="A2684" s="5"/>
      <c r="B2684" s="83"/>
      <c r="C2684" s="5"/>
      <c r="D2684" s="5"/>
      <c r="E2684" s="44"/>
      <c r="F2684" s="5"/>
      <c r="G2684" s="5"/>
      <c r="H2684" s="5"/>
      <c r="I2684" s="5"/>
      <c r="J2684" s="102" t="str">
        <f aca="false">IF(B2684="","",MONTH(B2684))</f>
        <v/>
      </c>
      <c r="K2684" s="102" t="str">
        <f aca="false">IF(B2684="","",YEAR(B2684))</f>
        <v/>
      </c>
      <c r="L2684" s="102" t="str">
        <f aca="false">IF(N(E2684)=0,"",IF(COUNTIFS(AK_NAMA,C2684,AK_KAT,"KAS")+COUNTIFS(AK_NAMA,D2684,AK_KAT,"KAS")&lt;&gt;1,"",IF(COUNTIFS(AK_NAMA,C2684,AK_KAT,"KAS")=1,D2684,C2684)))</f>
        <v/>
      </c>
      <c r="M2684" s="103" t="n">
        <f aca="false">IF(L2684="",0,IF(L2684=D2684,E2684,-E2684))</f>
        <v>0</v>
      </c>
      <c r="N2684" s="102" t="str">
        <f aca="false">IF(L2684="","",IFERROR(INDEX(AK_BARIS,MATCH(L2684,AK_NAMA,0)),"?"))</f>
        <v/>
      </c>
      <c r="O2684" s="102" t="str">
        <f aca="false">IF(C2684="","",IFERROR(INDEX(AK_KEL,MATCH(C2684,AK_NAMA,0)),"?"))</f>
        <v/>
      </c>
      <c r="P2684" s="102" t="str">
        <f aca="false">IF(D2684="","",IFERROR(INDEX(AK_KEL,MATCH(D2684,AK_NAMA,0)),"?"))</f>
        <v/>
      </c>
      <c r="Q2684" s="102" t="n">
        <f aca="false">N(Q2683)+IF(AND(N(E2684)&lt;&gt;0,K2684=TAHUN,N(J2684)&lt;=BLN,OR(C2684=BB_AKUN,D2684=BB_AKUN)),1,0)</f>
        <v>877</v>
      </c>
      <c r="R2684" s="104" t="str">
        <f aca="false">IF(OR(C2684&amp;D2684="",N(E2684)=0),"",IF(OR(O2684="?",P2684="?"),"⚠ akun tidak dikenal",IF(C2684=D2684,"⚠ debet = kredit","")))</f>
        <v/>
      </c>
    </row>
    <row r="2685" customFormat="false" ht="15" hidden="false" customHeight="false" outlineLevel="0" collapsed="false">
      <c r="A2685" s="5"/>
      <c r="B2685" s="83"/>
      <c r="C2685" s="5"/>
      <c r="D2685" s="5"/>
      <c r="E2685" s="44"/>
      <c r="F2685" s="5"/>
      <c r="G2685" s="5"/>
      <c r="H2685" s="5"/>
      <c r="I2685" s="5"/>
      <c r="J2685" s="102" t="str">
        <f aca="false">IF(B2685="","",MONTH(B2685))</f>
        <v/>
      </c>
      <c r="K2685" s="102" t="str">
        <f aca="false">IF(B2685="","",YEAR(B2685))</f>
        <v/>
      </c>
      <c r="L2685" s="102" t="str">
        <f aca="false">IF(N(E2685)=0,"",IF(COUNTIFS(AK_NAMA,C2685,AK_KAT,"KAS")+COUNTIFS(AK_NAMA,D2685,AK_KAT,"KAS")&lt;&gt;1,"",IF(COUNTIFS(AK_NAMA,C2685,AK_KAT,"KAS")=1,D2685,C2685)))</f>
        <v/>
      </c>
      <c r="M2685" s="103" t="n">
        <f aca="false">IF(L2685="",0,IF(L2685=D2685,E2685,-E2685))</f>
        <v>0</v>
      </c>
      <c r="N2685" s="102" t="str">
        <f aca="false">IF(L2685="","",IFERROR(INDEX(AK_BARIS,MATCH(L2685,AK_NAMA,0)),"?"))</f>
        <v/>
      </c>
      <c r="O2685" s="102" t="str">
        <f aca="false">IF(C2685="","",IFERROR(INDEX(AK_KEL,MATCH(C2685,AK_NAMA,0)),"?"))</f>
        <v/>
      </c>
      <c r="P2685" s="102" t="str">
        <f aca="false">IF(D2685="","",IFERROR(INDEX(AK_KEL,MATCH(D2685,AK_NAMA,0)),"?"))</f>
        <v/>
      </c>
      <c r="Q2685" s="102" t="n">
        <f aca="false">N(Q2684)+IF(AND(N(E2685)&lt;&gt;0,K2685=TAHUN,N(J2685)&lt;=BLN,OR(C2685=BB_AKUN,D2685=BB_AKUN)),1,0)</f>
        <v>877</v>
      </c>
      <c r="R2685" s="104" t="str">
        <f aca="false">IF(OR(C2685&amp;D2685="",N(E2685)=0),"",IF(OR(O2685="?",P2685="?"),"⚠ akun tidak dikenal",IF(C2685=D2685,"⚠ debet = kredit","")))</f>
        <v/>
      </c>
    </row>
    <row r="2686" customFormat="false" ht="15" hidden="false" customHeight="false" outlineLevel="0" collapsed="false">
      <c r="A2686" s="5"/>
      <c r="B2686" s="83"/>
      <c r="C2686" s="5"/>
      <c r="D2686" s="5"/>
      <c r="E2686" s="44"/>
      <c r="F2686" s="5"/>
      <c r="G2686" s="5"/>
      <c r="H2686" s="5"/>
      <c r="I2686" s="5"/>
      <c r="J2686" s="102" t="str">
        <f aca="false">IF(B2686="","",MONTH(B2686))</f>
        <v/>
      </c>
      <c r="K2686" s="102" t="str">
        <f aca="false">IF(B2686="","",YEAR(B2686))</f>
        <v/>
      </c>
      <c r="L2686" s="102" t="str">
        <f aca="false">IF(N(E2686)=0,"",IF(COUNTIFS(AK_NAMA,C2686,AK_KAT,"KAS")+COUNTIFS(AK_NAMA,D2686,AK_KAT,"KAS")&lt;&gt;1,"",IF(COUNTIFS(AK_NAMA,C2686,AK_KAT,"KAS")=1,D2686,C2686)))</f>
        <v/>
      </c>
      <c r="M2686" s="103" t="n">
        <f aca="false">IF(L2686="",0,IF(L2686=D2686,E2686,-E2686))</f>
        <v>0</v>
      </c>
      <c r="N2686" s="102" t="str">
        <f aca="false">IF(L2686="","",IFERROR(INDEX(AK_BARIS,MATCH(L2686,AK_NAMA,0)),"?"))</f>
        <v/>
      </c>
      <c r="O2686" s="102" t="str">
        <f aca="false">IF(C2686="","",IFERROR(INDEX(AK_KEL,MATCH(C2686,AK_NAMA,0)),"?"))</f>
        <v/>
      </c>
      <c r="P2686" s="102" t="str">
        <f aca="false">IF(D2686="","",IFERROR(INDEX(AK_KEL,MATCH(D2686,AK_NAMA,0)),"?"))</f>
        <v/>
      </c>
      <c r="Q2686" s="102" t="n">
        <f aca="false">N(Q2685)+IF(AND(N(E2686)&lt;&gt;0,K2686=TAHUN,N(J2686)&lt;=BLN,OR(C2686=BB_AKUN,D2686=BB_AKUN)),1,0)</f>
        <v>877</v>
      </c>
      <c r="R2686" s="104" t="str">
        <f aca="false">IF(OR(C2686&amp;D2686="",N(E2686)=0),"",IF(OR(O2686="?",P2686="?"),"⚠ akun tidak dikenal",IF(C2686=D2686,"⚠ debet = kredit","")))</f>
        <v/>
      </c>
    </row>
    <row r="2687" customFormat="false" ht="15" hidden="false" customHeight="false" outlineLevel="0" collapsed="false">
      <c r="A2687" s="5"/>
      <c r="B2687" s="83"/>
      <c r="C2687" s="5"/>
      <c r="D2687" s="5"/>
      <c r="E2687" s="44"/>
      <c r="F2687" s="5"/>
      <c r="G2687" s="5"/>
      <c r="H2687" s="5"/>
      <c r="I2687" s="5"/>
      <c r="J2687" s="102" t="str">
        <f aca="false">IF(B2687="","",MONTH(B2687))</f>
        <v/>
      </c>
      <c r="K2687" s="102" t="str">
        <f aca="false">IF(B2687="","",YEAR(B2687))</f>
        <v/>
      </c>
      <c r="L2687" s="102" t="str">
        <f aca="false">IF(N(E2687)=0,"",IF(COUNTIFS(AK_NAMA,C2687,AK_KAT,"KAS")+COUNTIFS(AK_NAMA,D2687,AK_KAT,"KAS")&lt;&gt;1,"",IF(COUNTIFS(AK_NAMA,C2687,AK_KAT,"KAS")=1,D2687,C2687)))</f>
        <v/>
      </c>
      <c r="M2687" s="103" t="n">
        <f aca="false">IF(L2687="",0,IF(L2687=D2687,E2687,-E2687))</f>
        <v>0</v>
      </c>
      <c r="N2687" s="102" t="str">
        <f aca="false">IF(L2687="","",IFERROR(INDEX(AK_BARIS,MATCH(L2687,AK_NAMA,0)),"?"))</f>
        <v/>
      </c>
      <c r="O2687" s="102" t="str">
        <f aca="false">IF(C2687="","",IFERROR(INDEX(AK_KEL,MATCH(C2687,AK_NAMA,0)),"?"))</f>
        <v/>
      </c>
      <c r="P2687" s="102" t="str">
        <f aca="false">IF(D2687="","",IFERROR(INDEX(AK_KEL,MATCH(D2687,AK_NAMA,0)),"?"))</f>
        <v/>
      </c>
      <c r="Q2687" s="102" t="n">
        <f aca="false">N(Q2686)+IF(AND(N(E2687)&lt;&gt;0,K2687=TAHUN,N(J2687)&lt;=BLN,OR(C2687=BB_AKUN,D2687=BB_AKUN)),1,0)</f>
        <v>877</v>
      </c>
      <c r="R2687" s="104" t="str">
        <f aca="false">IF(OR(C2687&amp;D2687="",N(E2687)=0),"",IF(OR(O2687="?",P2687="?"),"⚠ akun tidak dikenal",IF(C2687=D2687,"⚠ debet = kredit","")))</f>
        <v/>
      </c>
    </row>
    <row r="2688" customFormat="false" ht="15" hidden="false" customHeight="false" outlineLevel="0" collapsed="false">
      <c r="A2688" s="5"/>
      <c r="B2688" s="83"/>
      <c r="C2688" s="5"/>
      <c r="D2688" s="5"/>
      <c r="E2688" s="44"/>
      <c r="F2688" s="5"/>
      <c r="G2688" s="5"/>
      <c r="H2688" s="5"/>
      <c r="I2688" s="5"/>
      <c r="J2688" s="102" t="str">
        <f aca="false">IF(B2688="","",MONTH(B2688))</f>
        <v/>
      </c>
      <c r="K2688" s="102" t="str">
        <f aca="false">IF(B2688="","",YEAR(B2688))</f>
        <v/>
      </c>
      <c r="L2688" s="102" t="str">
        <f aca="false">IF(N(E2688)=0,"",IF(COUNTIFS(AK_NAMA,C2688,AK_KAT,"KAS")+COUNTIFS(AK_NAMA,D2688,AK_KAT,"KAS")&lt;&gt;1,"",IF(COUNTIFS(AK_NAMA,C2688,AK_KAT,"KAS")=1,D2688,C2688)))</f>
        <v/>
      </c>
      <c r="M2688" s="103" t="n">
        <f aca="false">IF(L2688="",0,IF(L2688=D2688,E2688,-E2688))</f>
        <v>0</v>
      </c>
      <c r="N2688" s="102" t="str">
        <f aca="false">IF(L2688="","",IFERROR(INDEX(AK_BARIS,MATCH(L2688,AK_NAMA,0)),"?"))</f>
        <v/>
      </c>
      <c r="O2688" s="102" t="str">
        <f aca="false">IF(C2688="","",IFERROR(INDEX(AK_KEL,MATCH(C2688,AK_NAMA,0)),"?"))</f>
        <v/>
      </c>
      <c r="P2688" s="102" t="str">
        <f aca="false">IF(D2688="","",IFERROR(INDEX(AK_KEL,MATCH(D2688,AK_NAMA,0)),"?"))</f>
        <v/>
      </c>
      <c r="Q2688" s="102" t="n">
        <f aca="false">N(Q2687)+IF(AND(N(E2688)&lt;&gt;0,K2688=TAHUN,N(J2688)&lt;=BLN,OR(C2688=BB_AKUN,D2688=BB_AKUN)),1,0)</f>
        <v>877</v>
      </c>
      <c r="R2688" s="104" t="str">
        <f aca="false">IF(OR(C2688&amp;D2688="",N(E2688)=0),"",IF(OR(O2688="?",P2688="?"),"⚠ akun tidak dikenal",IF(C2688=D2688,"⚠ debet = kredit","")))</f>
        <v/>
      </c>
    </row>
    <row r="2689" customFormat="false" ht="15" hidden="false" customHeight="false" outlineLevel="0" collapsed="false">
      <c r="A2689" s="5"/>
      <c r="B2689" s="83"/>
      <c r="C2689" s="5"/>
      <c r="D2689" s="5"/>
      <c r="E2689" s="44"/>
      <c r="F2689" s="5"/>
      <c r="G2689" s="5"/>
      <c r="H2689" s="5"/>
      <c r="I2689" s="5"/>
      <c r="J2689" s="102" t="str">
        <f aca="false">IF(B2689="","",MONTH(B2689))</f>
        <v/>
      </c>
      <c r="K2689" s="102" t="str">
        <f aca="false">IF(B2689="","",YEAR(B2689))</f>
        <v/>
      </c>
      <c r="L2689" s="102" t="str">
        <f aca="false">IF(N(E2689)=0,"",IF(COUNTIFS(AK_NAMA,C2689,AK_KAT,"KAS")+COUNTIFS(AK_NAMA,D2689,AK_KAT,"KAS")&lt;&gt;1,"",IF(COUNTIFS(AK_NAMA,C2689,AK_KAT,"KAS")=1,D2689,C2689)))</f>
        <v/>
      </c>
      <c r="M2689" s="103" t="n">
        <f aca="false">IF(L2689="",0,IF(L2689=D2689,E2689,-E2689))</f>
        <v>0</v>
      </c>
      <c r="N2689" s="102" t="str">
        <f aca="false">IF(L2689="","",IFERROR(INDEX(AK_BARIS,MATCH(L2689,AK_NAMA,0)),"?"))</f>
        <v/>
      </c>
      <c r="O2689" s="102" t="str">
        <f aca="false">IF(C2689="","",IFERROR(INDEX(AK_KEL,MATCH(C2689,AK_NAMA,0)),"?"))</f>
        <v/>
      </c>
      <c r="P2689" s="102" t="str">
        <f aca="false">IF(D2689="","",IFERROR(INDEX(AK_KEL,MATCH(D2689,AK_NAMA,0)),"?"))</f>
        <v/>
      </c>
      <c r="Q2689" s="102" t="n">
        <f aca="false">N(Q2688)+IF(AND(N(E2689)&lt;&gt;0,K2689=TAHUN,N(J2689)&lt;=BLN,OR(C2689=BB_AKUN,D2689=BB_AKUN)),1,0)</f>
        <v>877</v>
      </c>
      <c r="R2689" s="104" t="str">
        <f aca="false">IF(OR(C2689&amp;D2689="",N(E2689)=0),"",IF(OR(O2689="?",P2689="?"),"⚠ akun tidak dikenal",IF(C2689=D2689,"⚠ debet = kredit","")))</f>
        <v/>
      </c>
    </row>
    <row r="2690" customFormat="false" ht="15" hidden="false" customHeight="false" outlineLevel="0" collapsed="false">
      <c r="A2690" s="5"/>
      <c r="B2690" s="83"/>
      <c r="C2690" s="5"/>
      <c r="D2690" s="5"/>
      <c r="E2690" s="44"/>
      <c r="F2690" s="5"/>
      <c r="G2690" s="5"/>
      <c r="H2690" s="5"/>
      <c r="I2690" s="5"/>
      <c r="J2690" s="102" t="str">
        <f aca="false">IF(B2690="","",MONTH(B2690))</f>
        <v/>
      </c>
      <c r="K2690" s="102" t="str">
        <f aca="false">IF(B2690="","",YEAR(B2690))</f>
        <v/>
      </c>
      <c r="L2690" s="102" t="str">
        <f aca="false">IF(N(E2690)=0,"",IF(COUNTIFS(AK_NAMA,C2690,AK_KAT,"KAS")+COUNTIFS(AK_NAMA,D2690,AK_KAT,"KAS")&lt;&gt;1,"",IF(COUNTIFS(AK_NAMA,C2690,AK_KAT,"KAS")=1,D2690,C2690)))</f>
        <v/>
      </c>
      <c r="M2690" s="103" t="n">
        <f aca="false">IF(L2690="",0,IF(L2690=D2690,E2690,-E2690))</f>
        <v>0</v>
      </c>
      <c r="N2690" s="102" t="str">
        <f aca="false">IF(L2690="","",IFERROR(INDEX(AK_BARIS,MATCH(L2690,AK_NAMA,0)),"?"))</f>
        <v/>
      </c>
      <c r="O2690" s="102" t="str">
        <f aca="false">IF(C2690="","",IFERROR(INDEX(AK_KEL,MATCH(C2690,AK_NAMA,0)),"?"))</f>
        <v/>
      </c>
      <c r="P2690" s="102" t="str">
        <f aca="false">IF(D2690="","",IFERROR(INDEX(AK_KEL,MATCH(D2690,AK_NAMA,0)),"?"))</f>
        <v/>
      </c>
      <c r="Q2690" s="102" t="n">
        <f aca="false">N(Q2689)+IF(AND(N(E2690)&lt;&gt;0,K2690=TAHUN,N(J2690)&lt;=BLN,OR(C2690=BB_AKUN,D2690=BB_AKUN)),1,0)</f>
        <v>877</v>
      </c>
      <c r="R2690" s="104" t="str">
        <f aca="false">IF(OR(C2690&amp;D2690="",N(E2690)=0),"",IF(OR(O2690="?",P2690="?"),"⚠ akun tidak dikenal",IF(C2690=D2690,"⚠ debet = kredit","")))</f>
        <v/>
      </c>
    </row>
    <row r="2691" customFormat="false" ht="15" hidden="false" customHeight="false" outlineLevel="0" collapsed="false">
      <c r="A2691" s="5"/>
      <c r="B2691" s="83"/>
      <c r="C2691" s="5"/>
      <c r="D2691" s="5"/>
      <c r="E2691" s="44"/>
      <c r="F2691" s="5"/>
      <c r="G2691" s="5"/>
      <c r="H2691" s="5"/>
      <c r="I2691" s="5"/>
      <c r="J2691" s="102" t="str">
        <f aca="false">IF(B2691="","",MONTH(B2691))</f>
        <v/>
      </c>
      <c r="K2691" s="102" t="str">
        <f aca="false">IF(B2691="","",YEAR(B2691))</f>
        <v/>
      </c>
      <c r="L2691" s="102" t="str">
        <f aca="false">IF(N(E2691)=0,"",IF(COUNTIFS(AK_NAMA,C2691,AK_KAT,"KAS")+COUNTIFS(AK_NAMA,D2691,AK_KAT,"KAS")&lt;&gt;1,"",IF(COUNTIFS(AK_NAMA,C2691,AK_KAT,"KAS")=1,D2691,C2691)))</f>
        <v/>
      </c>
      <c r="M2691" s="103" t="n">
        <f aca="false">IF(L2691="",0,IF(L2691=D2691,E2691,-E2691))</f>
        <v>0</v>
      </c>
      <c r="N2691" s="102" t="str">
        <f aca="false">IF(L2691="","",IFERROR(INDEX(AK_BARIS,MATCH(L2691,AK_NAMA,0)),"?"))</f>
        <v/>
      </c>
      <c r="O2691" s="102" t="str">
        <f aca="false">IF(C2691="","",IFERROR(INDEX(AK_KEL,MATCH(C2691,AK_NAMA,0)),"?"))</f>
        <v/>
      </c>
      <c r="P2691" s="102" t="str">
        <f aca="false">IF(D2691="","",IFERROR(INDEX(AK_KEL,MATCH(D2691,AK_NAMA,0)),"?"))</f>
        <v/>
      </c>
      <c r="Q2691" s="102" t="n">
        <f aca="false">N(Q2690)+IF(AND(N(E2691)&lt;&gt;0,K2691=TAHUN,N(J2691)&lt;=BLN,OR(C2691=BB_AKUN,D2691=BB_AKUN)),1,0)</f>
        <v>877</v>
      </c>
      <c r="R2691" s="104" t="str">
        <f aca="false">IF(OR(C2691&amp;D2691="",N(E2691)=0),"",IF(OR(O2691="?",P2691="?"),"⚠ akun tidak dikenal",IF(C2691=D2691,"⚠ debet = kredit","")))</f>
        <v/>
      </c>
    </row>
    <row r="2692" customFormat="false" ht="15" hidden="false" customHeight="false" outlineLevel="0" collapsed="false">
      <c r="A2692" s="5"/>
      <c r="B2692" s="83"/>
      <c r="C2692" s="5"/>
      <c r="D2692" s="5"/>
      <c r="E2692" s="44"/>
      <c r="F2692" s="5"/>
      <c r="G2692" s="5"/>
      <c r="H2692" s="5"/>
      <c r="I2692" s="5"/>
      <c r="J2692" s="102" t="str">
        <f aca="false">IF(B2692="","",MONTH(B2692))</f>
        <v/>
      </c>
      <c r="K2692" s="102" t="str">
        <f aca="false">IF(B2692="","",YEAR(B2692))</f>
        <v/>
      </c>
      <c r="L2692" s="102" t="str">
        <f aca="false">IF(N(E2692)=0,"",IF(COUNTIFS(AK_NAMA,C2692,AK_KAT,"KAS")+COUNTIFS(AK_NAMA,D2692,AK_KAT,"KAS")&lt;&gt;1,"",IF(COUNTIFS(AK_NAMA,C2692,AK_KAT,"KAS")=1,D2692,C2692)))</f>
        <v/>
      </c>
      <c r="M2692" s="103" t="n">
        <f aca="false">IF(L2692="",0,IF(L2692=D2692,E2692,-E2692))</f>
        <v>0</v>
      </c>
      <c r="N2692" s="102" t="str">
        <f aca="false">IF(L2692="","",IFERROR(INDEX(AK_BARIS,MATCH(L2692,AK_NAMA,0)),"?"))</f>
        <v/>
      </c>
      <c r="O2692" s="102" t="str">
        <f aca="false">IF(C2692="","",IFERROR(INDEX(AK_KEL,MATCH(C2692,AK_NAMA,0)),"?"))</f>
        <v/>
      </c>
      <c r="P2692" s="102" t="str">
        <f aca="false">IF(D2692="","",IFERROR(INDEX(AK_KEL,MATCH(D2692,AK_NAMA,0)),"?"))</f>
        <v/>
      </c>
      <c r="Q2692" s="102" t="n">
        <f aca="false">N(Q2691)+IF(AND(N(E2692)&lt;&gt;0,K2692=TAHUN,N(J2692)&lt;=BLN,OR(C2692=BB_AKUN,D2692=BB_AKUN)),1,0)</f>
        <v>877</v>
      </c>
      <c r="R2692" s="104" t="str">
        <f aca="false">IF(OR(C2692&amp;D2692="",N(E2692)=0),"",IF(OR(O2692="?",P2692="?"),"⚠ akun tidak dikenal",IF(C2692=D2692,"⚠ debet = kredit","")))</f>
        <v/>
      </c>
    </row>
    <row r="2693" customFormat="false" ht="15" hidden="false" customHeight="false" outlineLevel="0" collapsed="false">
      <c r="A2693" s="5"/>
      <c r="B2693" s="83"/>
      <c r="C2693" s="5"/>
      <c r="D2693" s="5"/>
      <c r="E2693" s="44"/>
      <c r="F2693" s="5"/>
      <c r="G2693" s="5"/>
      <c r="H2693" s="5"/>
      <c r="I2693" s="5"/>
      <c r="J2693" s="102" t="str">
        <f aca="false">IF(B2693="","",MONTH(B2693))</f>
        <v/>
      </c>
      <c r="K2693" s="102" t="str">
        <f aca="false">IF(B2693="","",YEAR(B2693))</f>
        <v/>
      </c>
      <c r="L2693" s="102" t="str">
        <f aca="false">IF(N(E2693)=0,"",IF(COUNTIFS(AK_NAMA,C2693,AK_KAT,"KAS")+COUNTIFS(AK_NAMA,D2693,AK_KAT,"KAS")&lt;&gt;1,"",IF(COUNTIFS(AK_NAMA,C2693,AK_KAT,"KAS")=1,D2693,C2693)))</f>
        <v/>
      </c>
      <c r="M2693" s="103" t="n">
        <f aca="false">IF(L2693="",0,IF(L2693=D2693,E2693,-E2693))</f>
        <v>0</v>
      </c>
      <c r="N2693" s="102" t="str">
        <f aca="false">IF(L2693="","",IFERROR(INDEX(AK_BARIS,MATCH(L2693,AK_NAMA,0)),"?"))</f>
        <v/>
      </c>
      <c r="O2693" s="102" t="str">
        <f aca="false">IF(C2693="","",IFERROR(INDEX(AK_KEL,MATCH(C2693,AK_NAMA,0)),"?"))</f>
        <v/>
      </c>
      <c r="P2693" s="102" t="str">
        <f aca="false">IF(D2693="","",IFERROR(INDEX(AK_KEL,MATCH(D2693,AK_NAMA,0)),"?"))</f>
        <v/>
      </c>
      <c r="Q2693" s="102" t="n">
        <f aca="false">N(Q2692)+IF(AND(N(E2693)&lt;&gt;0,K2693=TAHUN,N(J2693)&lt;=BLN,OR(C2693=BB_AKUN,D2693=BB_AKUN)),1,0)</f>
        <v>877</v>
      </c>
      <c r="R2693" s="104" t="str">
        <f aca="false">IF(OR(C2693&amp;D2693="",N(E2693)=0),"",IF(OR(O2693="?",P2693="?"),"⚠ akun tidak dikenal",IF(C2693=D2693,"⚠ debet = kredit","")))</f>
        <v/>
      </c>
    </row>
    <row r="2694" customFormat="false" ht="15" hidden="false" customHeight="false" outlineLevel="0" collapsed="false">
      <c r="A2694" s="5"/>
      <c r="B2694" s="83"/>
      <c r="C2694" s="5"/>
      <c r="D2694" s="5"/>
      <c r="E2694" s="44"/>
      <c r="F2694" s="5"/>
      <c r="G2694" s="5"/>
      <c r="H2694" s="5"/>
      <c r="I2694" s="5"/>
      <c r="J2694" s="102" t="str">
        <f aca="false">IF(B2694="","",MONTH(B2694))</f>
        <v/>
      </c>
      <c r="K2694" s="102" t="str">
        <f aca="false">IF(B2694="","",YEAR(B2694))</f>
        <v/>
      </c>
      <c r="L2694" s="102" t="str">
        <f aca="false">IF(N(E2694)=0,"",IF(COUNTIFS(AK_NAMA,C2694,AK_KAT,"KAS")+COUNTIFS(AK_NAMA,D2694,AK_KAT,"KAS")&lt;&gt;1,"",IF(COUNTIFS(AK_NAMA,C2694,AK_KAT,"KAS")=1,D2694,C2694)))</f>
        <v/>
      </c>
      <c r="M2694" s="103" t="n">
        <f aca="false">IF(L2694="",0,IF(L2694=D2694,E2694,-E2694))</f>
        <v>0</v>
      </c>
      <c r="N2694" s="102" t="str">
        <f aca="false">IF(L2694="","",IFERROR(INDEX(AK_BARIS,MATCH(L2694,AK_NAMA,0)),"?"))</f>
        <v/>
      </c>
      <c r="O2694" s="102" t="str">
        <f aca="false">IF(C2694="","",IFERROR(INDEX(AK_KEL,MATCH(C2694,AK_NAMA,0)),"?"))</f>
        <v/>
      </c>
      <c r="P2694" s="102" t="str">
        <f aca="false">IF(D2694="","",IFERROR(INDEX(AK_KEL,MATCH(D2694,AK_NAMA,0)),"?"))</f>
        <v/>
      </c>
      <c r="Q2694" s="102" t="n">
        <f aca="false">N(Q2693)+IF(AND(N(E2694)&lt;&gt;0,K2694=TAHUN,N(J2694)&lt;=BLN,OR(C2694=BB_AKUN,D2694=BB_AKUN)),1,0)</f>
        <v>877</v>
      </c>
      <c r="R2694" s="104" t="str">
        <f aca="false">IF(OR(C2694&amp;D2694="",N(E2694)=0),"",IF(OR(O2694="?",P2694="?"),"⚠ akun tidak dikenal",IF(C2694=D2694,"⚠ debet = kredit","")))</f>
        <v/>
      </c>
    </row>
    <row r="2695" customFormat="false" ht="15" hidden="false" customHeight="false" outlineLevel="0" collapsed="false">
      <c r="A2695" s="5"/>
      <c r="B2695" s="83"/>
      <c r="C2695" s="5"/>
      <c r="D2695" s="5"/>
      <c r="E2695" s="44"/>
      <c r="F2695" s="5"/>
      <c r="G2695" s="5"/>
      <c r="H2695" s="5"/>
      <c r="I2695" s="5"/>
      <c r="J2695" s="102" t="str">
        <f aca="false">IF(B2695="","",MONTH(B2695))</f>
        <v/>
      </c>
      <c r="K2695" s="102" t="str">
        <f aca="false">IF(B2695="","",YEAR(B2695))</f>
        <v/>
      </c>
      <c r="L2695" s="102" t="str">
        <f aca="false">IF(N(E2695)=0,"",IF(COUNTIFS(AK_NAMA,C2695,AK_KAT,"KAS")+COUNTIFS(AK_NAMA,D2695,AK_KAT,"KAS")&lt;&gt;1,"",IF(COUNTIFS(AK_NAMA,C2695,AK_KAT,"KAS")=1,D2695,C2695)))</f>
        <v/>
      </c>
      <c r="M2695" s="103" t="n">
        <f aca="false">IF(L2695="",0,IF(L2695=D2695,E2695,-E2695))</f>
        <v>0</v>
      </c>
      <c r="N2695" s="102" t="str">
        <f aca="false">IF(L2695="","",IFERROR(INDEX(AK_BARIS,MATCH(L2695,AK_NAMA,0)),"?"))</f>
        <v/>
      </c>
      <c r="O2695" s="102" t="str">
        <f aca="false">IF(C2695="","",IFERROR(INDEX(AK_KEL,MATCH(C2695,AK_NAMA,0)),"?"))</f>
        <v/>
      </c>
      <c r="P2695" s="102" t="str">
        <f aca="false">IF(D2695="","",IFERROR(INDEX(AK_KEL,MATCH(D2695,AK_NAMA,0)),"?"))</f>
        <v/>
      </c>
      <c r="Q2695" s="102" t="n">
        <f aca="false">N(Q2694)+IF(AND(N(E2695)&lt;&gt;0,K2695=TAHUN,N(J2695)&lt;=BLN,OR(C2695=BB_AKUN,D2695=BB_AKUN)),1,0)</f>
        <v>877</v>
      </c>
      <c r="R2695" s="104" t="str">
        <f aca="false">IF(OR(C2695&amp;D2695="",N(E2695)=0),"",IF(OR(O2695="?",P2695="?"),"⚠ akun tidak dikenal",IF(C2695=D2695,"⚠ debet = kredit","")))</f>
        <v/>
      </c>
    </row>
    <row r="2696" customFormat="false" ht="15" hidden="false" customHeight="false" outlineLevel="0" collapsed="false">
      <c r="A2696" s="5"/>
      <c r="B2696" s="83"/>
      <c r="C2696" s="5"/>
      <c r="D2696" s="5"/>
      <c r="E2696" s="44"/>
      <c r="F2696" s="5"/>
      <c r="G2696" s="5"/>
      <c r="H2696" s="5"/>
      <c r="I2696" s="5"/>
      <c r="J2696" s="102" t="str">
        <f aca="false">IF(B2696="","",MONTH(B2696))</f>
        <v/>
      </c>
      <c r="K2696" s="102" t="str">
        <f aca="false">IF(B2696="","",YEAR(B2696))</f>
        <v/>
      </c>
      <c r="L2696" s="102" t="str">
        <f aca="false">IF(N(E2696)=0,"",IF(COUNTIFS(AK_NAMA,C2696,AK_KAT,"KAS")+COUNTIFS(AK_NAMA,D2696,AK_KAT,"KAS")&lt;&gt;1,"",IF(COUNTIFS(AK_NAMA,C2696,AK_KAT,"KAS")=1,D2696,C2696)))</f>
        <v/>
      </c>
      <c r="M2696" s="103" t="n">
        <f aca="false">IF(L2696="",0,IF(L2696=D2696,E2696,-E2696))</f>
        <v>0</v>
      </c>
      <c r="N2696" s="102" t="str">
        <f aca="false">IF(L2696="","",IFERROR(INDEX(AK_BARIS,MATCH(L2696,AK_NAMA,0)),"?"))</f>
        <v/>
      </c>
      <c r="O2696" s="102" t="str">
        <f aca="false">IF(C2696="","",IFERROR(INDEX(AK_KEL,MATCH(C2696,AK_NAMA,0)),"?"))</f>
        <v/>
      </c>
      <c r="P2696" s="102" t="str">
        <f aca="false">IF(D2696="","",IFERROR(INDEX(AK_KEL,MATCH(D2696,AK_NAMA,0)),"?"))</f>
        <v/>
      </c>
      <c r="Q2696" s="102" t="n">
        <f aca="false">N(Q2695)+IF(AND(N(E2696)&lt;&gt;0,K2696=TAHUN,N(J2696)&lt;=BLN,OR(C2696=BB_AKUN,D2696=BB_AKUN)),1,0)</f>
        <v>877</v>
      </c>
      <c r="R2696" s="104" t="str">
        <f aca="false">IF(OR(C2696&amp;D2696="",N(E2696)=0),"",IF(OR(O2696="?",P2696="?"),"⚠ akun tidak dikenal",IF(C2696=D2696,"⚠ debet = kredit","")))</f>
        <v/>
      </c>
    </row>
    <row r="2697" customFormat="false" ht="15" hidden="false" customHeight="false" outlineLevel="0" collapsed="false">
      <c r="A2697" s="5"/>
      <c r="B2697" s="83"/>
      <c r="C2697" s="5"/>
      <c r="D2697" s="5"/>
      <c r="E2697" s="44"/>
      <c r="F2697" s="5"/>
      <c r="G2697" s="5"/>
      <c r="H2697" s="5"/>
      <c r="I2697" s="5"/>
      <c r="J2697" s="102" t="str">
        <f aca="false">IF(B2697="","",MONTH(B2697))</f>
        <v/>
      </c>
      <c r="K2697" s="102" t="str">
        <f aca="false">IF(B2697="","",YEAR(B2697))</f>
        <v/>
      </c>
      <c r="L2697" s="102" t="str">
        <f aca="false">IF(N(E2697)=0,"",IF(COUNTIFS(AK_NAMA,C2697,AK_KAT,"KAS")+COUNTIFS(AK_NAMA,D2697,AK_KAT,"KAS")&lt;&gt;1,"",IF(COUNTIFS(AK_NAMA,C2697,AK_KAT,"KAS")=1,D2697,C2697)))</f>
        <v/>
      </c>
      <c r="M2697" s="103" t="n">
        <f aca="false">IF(L2697="",0,IF(L2697=D2697,E2697,-E2697))</f>
        <v>0</v>
      </c>
      <c r="N2697" s="102" t="str">
        <f aca="false">IF(L2697="","",IFERROR(INDEX(AK_BARIS,MATCH(L2697,AK_NAMA,0)),"?"))</f>
        <v/>
      </c>
      <c r="O2697" s="102" t="str">
        <f aca="false">IF(C2697="","",IFERROR(INDEX(AK_KEL,MATCH(C2697,AK_NAMA,0)),"?"))</f>
        <v/>
      </c>
      <c r="P2697" s="102" t="str">
        <f aca="false">IF(D2697="","",IFERROR(INDEX(AK_KEL,MATCH(D2697,AK_NAMA,0)),"?"))</f>
        <v/>
      </c>
      <c r="Q2697" s="102" t="n">
        <f aca="false">N(Q2696)+IF(AND(N(E2697)&lt;&gt;0,K2697=TAHUN,N(J2697)&lt;=BLN,OR(C2697=BB_AKUN,D2697=BB_AKUN)),1,0)</f>
        <v>877</v>
      </c>
      <c r="R2697" s="104" t="str">
        <f aca="false">IF(OR(C2697&amp;D2697="",N(E2697)=0),"",IF(OR(O2697="?",P2697="?"),"⚠ akun tidak dikenal",IF(C2697=D2697,"⚠ debet = kredit","")))</f>
        <v/>
      </c>
    </row>
    <row r="2698" customFormat="false" ht="15" hidden="false" customHeight="false" outlineLevel="0" collapsed="false">
      <c r="A2698" s="5"/>
      <c r="B2698" s="83"/>
      <c r="C2698" s="5"/>
      <c r="D2698" s="5"/>
      <c r="E2698" s="44"/>
      <c r="F2698" s="5"/>
      <c r="G2698" s="5"/>
      <c r="H2698" s="5"/>
      <c r="I2698" s="5"/>
      <c r="J2698" s="102" t="str">
        <f aca="false">IF(B2698="","",MONTH(B2698))</f>
        <v/>
      </c>
      <c r="K2698" s="102" t="str">
        <f aca="false">IF(B2698="","",YEAR(B2698))</f>
        <v/>
      </c>
      <c r="L2698" s="102" t="str">
        <f aca="false">IF(N(E2698)=0,"",IF(COUNTIFS(AK_NAMA,C2698,AK_KAT,"KAS")+COUNTIFS(AK_NAMA,D2698,AK_KAT,"KAS")&lt;&gt;1,"",IF(COUNTIFS(AK_NAMA,C2698,AK_KAT,"KAS")=1,D2698,C2698)))</f>
        <v/>
      </c>
      <c r="M2698" s="103" t="n">
        <f aca="false">IF(L2698="",0,IF(L2698=D2698,E2698,-E2698))</f>
        <v>0</v>
      </c>
      <c r="N2698" s="102" t="str">
        <f aca="false">IF(L2698="","",IFERROR(INDEX(AK_BARIS,MATCH(L2698,AK_NAMA,0)),"?"))</f>
        <v/>
      </c>
      <c r="O2698" s="102" t="str">
        <f aca="false">IF(C2698="","",IFERROR(INDEX(AK_KEL,MATCH(C2698,AK_NAMA,0)),"?"))</f>
        <v/>
      </c>
      <c r="P2698" s="102" t="str">
        <f aca="false">IF(D2698="","",IFERROR(INDEX(AK_KEL,MATCH(D2698,AK_NAMA,0)),"?"))</f>
        <v/>
      </c>
      <c r="Q2698" s="102" t="n">
        <f aca="false">N(Q2697)+IF(AND(N(E2698)&lt;&gt;0,K2698=TAHUN,N(J2698)&lt;=BLN,OR(C2698=BB_AKUN,D2698=BB_AKUN)),1,0)</f>
        <v>877</v>
      </c>
      <c r="R2698" s="104" t="str">
        <f aca="false">IF(OR(C2698&amp;D2698="",N(E2698)=0),"",IF(OR(O2698="?",P2698="?"),"⚠ akun tidak dikenal",IF(C2698=D2698,"⚠ debet = kredit","")))</f>
        <v/>
      </c>
    </row>
    <row r="2699" customFormat="false" ht="15" hidden="false" customHeight="false" outlineLevel="0" collapsed="false">
      <c r="A2699" s="5"/>
      <c r="B2699" s="83"/>
      <c r="C2699" s="5"/>
      <c r="D2699" s="5"/>
      <c r="E2699" s="44"/>
      <c r="F2699" s="5"/>
      <c r="G2699" s="5"/>
      <c r="H2699" s="5"/>
      <c r="I2699" s="5"/>
      <c r="J2699" s="102" t="str">
        <f aca="false">IF(B2699="","",MONTH(B2699))</f>
        <v/>
      </c>
      <c r="K2699" s="102" t="str">
        <f aca="false">IF(B2699="","",YEAR(B2699))</f>
        <v/>
      </c>
      <c r="L2699" s="102" t="str">
        <f aca="false">IF(N(E2699)=0,"",IF(COUNTIFS(AK_NAMA,C2699,AK_KAT,"KAS")+COUNTIFS(AK_NAMA,D2699,AK_KAT,"KAS")&lt;&gt;1,"",IF(COUNTIFS(AK_NAMA,C2699,AK_KAT,"KAS")=1,D2699,C2699)))</f>
        <v/>
      </c>
      <c r="M2699" s="103" t="n">
        <f aca="false">IF(L2699="",0,IF(L2699=D2699,E2699,-E2699))</f>
        <v>0</v>
      </c>
      <c r="N2699" s="102" t="str">
        <f aca="false">IF(L2699="","",IFERROR(INDEX(AK_BARIS,MATCH(L2699,AK_NAMA,0)),"?"))</f>
        <v/>
      </c>
      <c r="O2699" s="102" t="str">
        <f aca="false">IF(C2699="","",IFERROR(INDEX(AK_KEL,MATCH(C2699,AK_NAMA,0)),"?"))</f>
        <v/>
      </c>
      <c r="P2699" s="102" t="str">
        <f aca="false">IF(D2699="","",IFERROR(INDEX(AK_KEL,MATCH(D2699,AK_NAMA,0)),"?"))</f>
        <v/>
      </c>
      <c r="Q2699" s="102" t="n">
        <f aca="false">N(Q2698)+IF(AND(N(E2699)&lt;&gt;0,K2699=TAHUN,N(J2699)&lt;=BLN,OR(C2699=BB_AKUN,D2699=BB_AKUN)),1,0)</f>
        <v>877</v>
      </c>
      <c r="R2699" s="104" t="str">
        <f aca="false">IF(OR(C2699&amp;D2699="",N(E2699)=0),"",IF(OR(O2699="?",P2699="?"),"⚠ akun tidak dikenal",IF(C2699=D2699,"⚠ debet = kredit","")))</f>
        <v/>
      </c>
    </row>
    <row r="2700" customFormat="false" ht="15" hidden="false" customHeight="false" outlineLevel="0" collapsed="false">
      <c r="A2700" s="5"/>
      <c r="B2700" s="83"/>
      <c r="C2700" s="5"/>
      <c r="D2700" s="5"/>
      <c r="E2700" s="44"/>
      <c r="F2700" s="5"/>
      <c r="G2700" s="5"/>
      <c r="H2700" s="5"/>
      <c r="I2700" s="5"/>
      <c r="J2700" s="102" t="str">
        <f aca="false">IF(B2700="","",MONTH(B2700))</f>
        <v/>
      </c>
      <c r="K2700" s="102" t="str">
        <f aca="false">IF(B2700="","",YEAR(B2700))</f>
        <v/>
      </c>
      <c r="L2700" s="102" t="str">
        <f aca="false">IF(N(E2700)=0,"",IF(COUNTIFS(AK_NAMA,C2700,AK_KAT,"KAS")+COUNTIFS(AK_NAMA,D2700,AK_KAT,"KAS")&lt;&gt;1,"",IF(COUNTIFS(AK_NAMA,C2700,AK_KAT,"KAS")=1,D2700,C2700)))</f>
        <v/>
      </c>
      <c r="M2700" s="103" t="n">
        <f aca="false">IF(L2700="",0,IF(L2700=D2700,E2700,-E2700))</f>
        <v>0</v>
      </c>
      <c r="N2700" s="102" t="str">
        <f aca="false">IF(L2700="","",IFERROR(INDEX(AK_BARIS,MATCH(L2700,AK_NAMA,0)),"?"))</f>
        <v/>
      </c>
      <c r="O2700" s="102" t="str">
        <f aca="false">IF(C2700="","",IFERROR(INDEX(AK_KEL,MATCH(C2700,AK_NAMA,0)),"?"))</f>
        <v/>
      </c>
      <c r="P2700" s="102" t="str">
        <f aca="false">IF(D2700="","",IFERROR(INDEX(AK_KEL,MATCH(D2700,AK_NAMA,0)),"?"))</f>
        <v/>
      </c>
      <c r="Q2700" s="102" t="n">
        <f aca="false">N(Q2699)+IF(AND(N(E2700)&lt;&gt;0,K2700=TAHUN,N(J2700)&lt;=BLN,OR(C2700=BB_AKUN,D2700=BB_AKUN)),1,0)</f>
        <v>877</v>
      </c>
      <c r="R2700" s="104" t="str">
        <f aca="false">IF(OR(C2700&amp;D2700="",N(E2700)=0),"",IF(OR(O2700="?",P2700="?"),"⚠ akun tidak dikenal",IF(C2700=D2700,"⚠ debet = kredit","")))</f>
        <v/>
      </c>
    </row>
    <row r="2701" customFormat="false" ht="15" hidden="false" customHeight="false" outlineLevel="0" collapsed="false">
      <c r="A2701" s="5"/>
      <c r="B2701" s="83"/>
      <c r="C2701" s="5"/>
      <c r="D2701" s="5"/>
      <c r="E2701" s="44"/>
      <c r="F2701" s="5"/>
      <c r="G2701" s="5"/>
      <c r="H2701" s="5"/>
      <c r="I2701" s="5"/>
      <c r="J2701" s="102" t="str">
        <f aca="false">IF(B2701="","",MONTH(B2701))</f>
        <v/>
      </c>
      <c r="K2701" s="102" t="str">
        <f aca="false">IF(B2701="","",YEAR(B2701))</f>
        <v/>
      </c>
      <c r="L2701" s="102" t="str">
        <f aca="false">IF(N(E2701)=0,"",IF(COUNTIFS(AK_NAMA,C2701,AK_KAT,"KAS")+COUNTIFS(AK_NAMA,D2701,AK_KAT,"KAS")&lt;&gt;1,"",IF(COUNTIFS(AK_NAMA,C2701,AK_KAT,"KAS")=1,D2701,C2701)))</f>
        <v/>
      </c>
      <c r="M2701" s="103" t="n">
        <f aca="false">IF(L2701="",0,IF(L2701=D2701,E2701,-E2701))</f>
        <v>0</v>
      </c>
      <c r="N2701" s="102" t="str">
        <f aca="false">IF(L2701="","",IFERROR(INDEX(AK_BARIS,MATCH(L2701,AK_NAMA,0)),"?"))</f>
        <v/>
      </c>
      <c r="O2701" s="102" t="str">
        <f aca="false">IF(C2701="","",IFERROR(INDEX(AK_KEL,MATCH(C2701,AK_NAMA,0)),"?"))</f>
        <v/>
      </c>
      <c r="P2701" s="102" t="str">
        <f aca="false">IF(D2701="","",IFERROR(INDEX(AK_KEL,MATCH(D2701,AK_NAMA,0)),"?"))</f>
        <v/>
      </c>
      <c r="Q2701" s="102" t="n">
        <f aca="false">N(Q2700)+IF(AND(N(E2701)&lt;&gt;0,K2701=TAHUN,N(J2701)&lt;=BLN,OR(C2701=BB_AKUN,D2701=BB_AKUN)),1,0)</f>
        <v>877</v>
      </c>
      <c r="R2701" s="104" t="str">
        <f aca="false">IF(OR(C2701&amp;D2701="",N(E2701)=0),"",IF(OR(O2701="?",P2701="?"),"⚠ akun tidak dikenal",IF(C2701=D2701,"⚠ debet = kredit","")))</f>
        <v/>
      </c>
    </row>
    <row r="2702" customFormat="false" ht="15" hidden="false" customHeight="false" outlineLevel="0" collapsed="false">
      <c r="A2702" s="5"/>
      <c r="B2702" s="83"/>
      <c r="C2702" s="5"/>
      <c r="D2702" s="5"/>
      <c r="E2702" s="44"/>
      <c r="F2702" s="5"/>
      <c r="G2702" s="5"/>
      <c r="H2702" s="5"/>
      <c r="I2702" s="5"/>
      <c r="J2702" s="102" t="str">
        <f aca="false">IF(B2702="","",MONTH(B2702))</f>
        <v/>
      </c>
      <c r="K2702" s="102" t="str">
        <f aca="false">IF(B2702="","",YEAR(B2702))</f>
        <v/>
      </c>
      <c r="L2702" s="102" t="str">
        <f aca="false">IF(N(E2702)=0,"",IF(COUNTIFS(AK_NAMA,C2702,AK_KAT,"KAS")+COUNTIFS(AK_NAMA,D2702,AK_KAT,"KAS")&lt;&gt;1,"",IF(COUNTIFS(AK_NAMA,C2702,AK_KAT,"KAS")=1,D2702,C2702)))</f>
        <v/>
      </c>
      <c r="M2702" s="103" t="n">
        <f aca="false">IF(L2702="",0,IF(L2702=D2702,E2702,-E2702))</f>
        <v>0</v>
      </c>
      <c r="N2702" s="102" t="str">
        <f aca="false">IF(L2702="","",IFERROR(INDEX(AK_BARIS,MATCH(L2702,AK_NAMA,0)),"?"))</f>
        <v/>
      </c>
      <c r="O2702" s="102" t="str">
        <f aca="false">IF(C2702="","",IFERROR(INDEX(AK_KEL,MATCH(C2702,AK_NAMA,0)),"?"))</f>
        <v/>
      </c>
      <c r="P2702" s="102" t="str">
        <f aca="false">IF(D2702="","",IFERROR(INDEX(AK_KEL,MATCH(D2702,AK_NAMA,0)),"?"))</f>
        <v/>
      </c>
      <c r="Q2702" s="102" t="n">
        <f aca="false">N(Q2701)+IF(AND(N(E2702)&lt;&gt;0,K2702=TAHUN,N(J2702)&lt;=BLN,OR(C2702=BB_AKUN,D2702=BB_AKUN)),1,0)</f>
        <v>877</v>
      </c>
      <c r="R2702" s="104" t="str">
        <f aca="false">IF(OR(C2702&amp;D2702="",N(E2702)=0),"",IF(OR(O2702="?",P2702="?"),"⚠ akun tidak dikenal",IF(C2702=D2702,"⚠ debet = kredit","")))</f>
        <v/>
      </c>
    </row>
    <row r="2703" customFormat="false" ht="15" hidden="false" customHeight="false" outlineLevel="0" collapsed="false">
      <c r="A2703" s="5"/>
      <c r="B2703" s="83"/>
      <c r="C2703" s="5"/>
      <c r="D2703" s="5"/>
      <c r="E2703" s="44"/>
      <c r="F2703" s="5"/>
      <c r="G2703" s="5"/>
      <c r="H2703" s="5"/>
      <c r="I2703" s="5"/>
      <c r="J2703" s="102" t="str">
        <f aca="false">IF(B2703="","",MONTH(B2703))</f>
        <v/>
      </c>
      <c r="K2703" s="102" t="str">
        <f aca="false">IF(B2703="","",YEAR(B2703))</f>
        <v/>
      </c>
      <c r="L2703" s="102" t="str">
        <f aca="false">IF(N(E2703)=0,"",IF(COUNTIFS(AK_NAMA,C2703,AK_KAT,"KAS")+COUNTIFS(AK_NAMA,D2703,AK_KAT,"KAS")&lt;&gt;1,"",IF(COUNTIFS(AK_NAMA,C2703,AK_KAT,"KAS")=1,D2703,C2703)))</f>
        <v/>
      </c>
      <c r="M2703" s="103" t="n">
        <f aca="false">IF(L2703="",0,IF(L2703=D2703,E2703,-E2703))</f>
        <v>0</v>
      </c>
      <c r="N2703" s="102" t="str">
        <f aca="false">IF(L2703="","",IFERROR(INDEX(AK_BARIS,MATCH(L2703,AK_NAMA,0)),"?"))</f>
        <v/>
      </c>
      <c r="O2703" s="102" t="str">
        <f aca="false">IF(C2703="","",IFERROR(INDEX(AK_KEL,MATCH(C2703,AK_NAMA,0)),"?"))</f>
        <v/>
      </c>
      <c r="P2703" s="102" t="str">
        <f aca="false">IF(D2703="","",IFERROR(INDEX(AK_KEL,MATCH(D2703,AK_NAMA,0)),"?"))</f>
        <v/>
      </c>
      <c r="Q2703" s="102" t="n">
        <f aca="false">N(Q2702)+IF(AND(N(E2703)&lt;&gt;0,K2703=TAHUN,N(J2703)&lt;=BLN,OR(C2703=BB_AKUN,D2703=BB_AKUN)),1,0)</f>
        <v>877</v>
      </c>
      <c r="R2703" s="104" t="str">
        <f aca="false">IF(OR(C2703&amp;D2703="",N(E2703)=0),"",IF(OR(O2703="?",P2703="?"),"⚠ akun tidak dikenal",IF(C2703=D2703,"⚠ debet = kredit","")))</f>
        <v/>
      </c>
    </row>
    <row r="2704" customFormat="false" ht="15" hidden="false" customHeight="false" outlineLevel="0" collapsed="false">
      <c r="A2704" s="5"/>
      <c r="B2704" s="83"/>
      <c r="C2704" s="5"/>
      <c r="D2704" s="5"/>
      <c r="E2704" s="44"/>
      <c r="F2704" s="5"/>
      <c r="G2704" s="5"/>
      <c r="H2704" s="5"/>
      <c r="I2704" s="5"/>
      <c r="J2704" s="102" t="str">
        <f aca="false">IF(B2704="","",MONTH(B2704))</f>
        <v/>
      </c>
      <c r="K2704" s="102" t="str">
        <f aca="false">IF(B2704="","",YEAR(B2704))</f>
        <v/>
      </c>
      <c r="L2704" s="102" t="str">
        <f aca="false">IF(N(E2704)=0,"",IF(COUNTIFS(AK_NAMA,C2704,AK_KAT,"KAS")+COUNTIFS(AK_NAMA,D2704,AK_KAT,"KAS")&lt;&gt;1,"",IF(COUNTIFS(AK_NAMA,C2704,AK_KAT,"KAS")=1,D2704,C2704)))</f>
        <v/>
      </c>
      <c r="M2704" s="103" t="n">
        <f aca="false">IF(L2704="",0,IF(L2704=D2704,E2704,-E2704))</f>
        <v>0</v>
      </c>
      <c r="N2704" s="102" t="str">
        <f aca="false">IF(L2704="","",IFERROR(INDEX(AK_BARIS,MATCH(L2704,AK_NAMA,0)),"?"))</f>
        <v/>
      </c>
      <c r="O2704" s="102" t="str">
        <f aca="false">IF(C2704="","",IFERROR(INDEX(AK_KEL,MATCH(C2704,AK_NAMA,0)),"?"))</f>
        <v/>
      </c>
      <c r="P2704" s="102" t="str">
        <f aca="false">IF(D2704="","",IFERROR(INDEX(AK_KEL,MATCH(D2704,AK_NAMA,0)),"?"))</f>
        <v/>
      </c>
      <c r="Q2704" s="102" t="n">
        <f aca="false">N(Q2703)+IF(AND(N(E2704)&lt;&gt;0,K2704=TAHUN,N(J2704)&lt;=BLN,OR(C2704=BB_AKUN,D2704=BB_AKUN)),1,0)</f>
        <v>877</v>
      </c>
      <c r="R2704" s="104" t="str">
        <f aca="false">IF(OR(C2704&amp;D2704="",N(E2704)=0),"",IF(OR(O2704="?",P2704="?"),"⚠ akun tidak dikenal",IF(C2704=D2704,"⚠ debet = kredit","")))</f>
        <v/>
      </c>
    </row>
    <row r="2705" customFormat="false" ht="15" hidden="false" customHeight="false" outlineLevel="0" collapsed="false">
      <c r="A2705" s="5"/>
      <c r="B2705" s="83"/>
      <c r="C2705" s="5"/>
      <c r="D2705" s="5"/>
      <c r="E2705" s="44"/>
      <c r="F2705" s="5"/>
      <c r="G2705" s="5"/>
      <c r="H2705" s="5"/>
      <c r="I2705" s="5"/>
      <c r="J2705" s="102" t="str">
        <f aca="false">IF(B2705="","",MONTH(B2705))</f>
        <v/>
      </c>
      <c r="K2705" s="102" t="str">
        <f aca="false">IF(B2705="","",YEAR(B2705))</f>
        <v/>
      </c>
      <c r="L2705" s="102" t="str">
        <f aca="false">IF(N(E2705)=0,"",IF(COUNTIFS(AK_NAMA,C2705,AK_KAT,"KAS")+COUNTIFS(AK_NAMA,D2705,AK_KAT,"KAS")&lt;&gt;1,"",IF(COUNTIFS(AK_NAMA,C2705,AK_KAT,"KAS")=1,D2705,C2705)))</f>
        <v/>
      </c>
      <c r="M2705" s="103" t="n">
        <f aca="false">IF(L2705="",0,IF(L2705=D2705,E2705,-E2705))</f>
        <v>0</v>
      </c>
      <c r="N2705" s="102" t="str">
        <f aca="false">IF(L2705="","",IFERROR(INDEX(AK_BARIS,MATCH(L2705,AK_NAMA,0)),"?"))</f>
        <v/>
      </c>
      <c r="O2705" s="102" t="str">
        <f aca="false">IF(C2705="","",IFERROR(INDEX(AK_KEL,MATCH(C2705,AK_NAMA,0)),"?"))</f>
        <v/>
      </c>
      <c r="P2705" s="102" t="str">
        <f aca="false">IF(D2705="","",IFERROR(INDEX(AK_KEL,MATCH(D2705,AK_NAMA,0)),"?"))</f>
        <v/>
      </c>
      <c r="Q2705" s="102" t="n">
        <f aca="false">N(Q2704)+IF(AND(N(E2705)&lt;&gt;0,K2705=TAHUN,N(J2705)&lt;=BLN,OR(C2705=BB_AKUN,D2705=BB_AKUN)),1,0)</f>
        <v>877</v>
      </c>
      <c r="R2705" s="104" t="str">
        <f aca="false">IF(OR(C2705&amp;D2705="",N(E2705)=0),"",IF(OR(O2705="?",P2705="?"),"⚠ akun tidak dikenal",IF(C2705=D2705,"⚠ debet = kredit","")))</f>
        <v/>
      </c>
    </row>
    <row r="2706" customFormat="false" ht="15" hidden="false" customHeight="false" outlineLevel="0" collapsed="false">
      <c r="A2706" s="5"/>
      <c r="B2706" s="83"/>
      <c r="C2706" s="5"/>
      <c r="D2706" s="5"/>
      <c r="E2706" s="44"/>
      <c r="F2706" s="5"/>
      <c r="G2706" s="5"/>
      <c r="H2706" s="5"/>
      <c r="I2706" s="5"/>
      <c r="J2706" s="102" t="str">
        <f aca="false">IF(B2706="","",MONTH(B2706))</f>
        <v/>
      </c>
      <c r="K2706" s="102" t="str">
        <f aca="false">IF(B2706="","",YEAR(B2706))</f>
        <v/>
      </c>
      <c r="L2706" s="102" t="str">
        <f aca="false">IF(N(E2706)=0,"",IF(COUNTIFS(AK_NAMA,C2706,AK_KAT,"KAS")+COUNTIFS(AK_NAMA,D2706,AK_KAT,"KAS")&lt;&gt;1,"",IF(COUNTIFS(AK_NAMA,C2706,AK_KAT,"KAS")=1,D2706,C2706)))</f>
        <v/>
      </c>
      <c r="M2706" s="103" t="n">
        <f aca="false">IF(L2706="",0,IF(L2706=D2706,E2706,-E2706))</f>
        <v>0</v>
      </c>
      <c r="N2706" s="102" t="str">
        <f aca="false">IF(L2706="","",IFERROR(INDEX(AK_BARIS,MATCH(L2706,AK_NAMA,0)),"?"))</f>
        <v/>
      </c>
      <c r="O2706" s="102" t="str">
        <f aca="false">IF(C2706="","",IFERROR(INDEX(AK_KEL,MATCH(C2706,AK_NAMA,0)),"?"))</f>
        <v/>
      </c>
      <c r="P2706" s="102" t="str">
        <f aca="false">IF(D2706="","",IFERROR(INDEX(AK_KEL,MATCH(D2706,AK_NAMA,0)),"?"))</f>
        <v/>
      </c>
      <c r="Q2706" s="102" t="n">
        <f aca="false">N(Q2705)+IF(AND(N(E2706)&lt;&gt;0,K2706=TAHUN,N(J2706)&lt;=BLN,OR(C2706=BB_AKUN,D2706=BB_AKUN)),1,0)</f>
        <v>877</v>
      </c>
      <c r="R2706" s="104" t="str">
        <f aca="false">IF(OR(C2706&amp;D2706="",N(E2706)=0),"",IF(OR(O2706="?",P2706="?"),"⚠ akun tidak dikenal",IF(C2706=D2706,"⚠ debet = kredit","")))</f>
        <v/>
      </c>
    </row>
    <row r="2707" customFormat="false" ht="15" hidden="false" customHeight="false" outlineLevel="0" collapsed="false">
      <c r="A2707" s="5"/>
      <c r="B2707" s="83"/>
      <c r="C2707" s="5"/>
      <c r="D2707" s="5"/>
      <c r="E2707" s="44"/>
      <c r="F2707" s="5"/>
      <c r="G2707" s="5"/>
      <c r="H2707" s="5"/>
      <c r="I2707" s="5"/>
      <c r="J2707" s="102" t="str">
        <f aca="false">IF(B2707="","",MONTH(B2707))</f>
        <v/>
      </c>
      <c r="K2707" s="102" t="str">
        <f aca="false">IF(B2707="","",YEAR(B2707))</f>
        <v/>
      </c>
      <c r="L2707" s="102" t="str">
        <f aca="false">IF(N(E2707)=0,"",IF(COUNTIFS(AK_NAMA,C2707,AK_KAT,"KAS")+COUNTIFS(AK_NAMA,D2707,AK_KAT,"KAS")&lt;&gt;1,"",IF(COUNTIFS(AK_NAMA,C2707,AK_KAT,"KAS")=1,D2707,C2707)))</f>
        <v/>
      </c>
      <c r="M2707" s="103" t="n">
        <f aca="false">IF(L2707="",0,IF(L2707=D2707,E2707,-E2707))</f>
        <v>0</v>
      </c>
      <c r="N2707" s="102" t="str">
        <f aca="false">IF(L2707="","",IFERROR(INDEX(AK_BARIS,MATCH(L2707,AK_NAMA,0)),"?"))</f>
        <v/>
      </c>
      <c r="O2707" s="102" t="str">
        <f aca="false">IF(C2707="","",IFERROR(INDEX(AK_KEL,MATCH(C2707,AK_NAMA,0)),"?"))</f>
        <v/>
      </c>
      <c r="P2707" s="102" t="str">
        <f aca="false">IF(D2707="","",IFERROR(INDEX(AK_KEL,MATCH(D2707,AK_NAMA,0)),"?"))</f>
        <v/>
      </c>
      <c r="Q2707" s="102" t="n">
        <f aca="false">N(Q2706)+IF(AND(N(E2707)&lt;&gt;0,K2707=TAHUN,N(J2707)&lt;=BLN,OR(C2707=BB_AKUN,D2707=BB_AKUN)),1,0)</f>
        <v>877</v>
      </c>
      <c r="R2707" s="104" t="str">
        <f aca="false">IF(OR(C2707&amp;D2707="",N(E2707)=0),"",IF(OR(O2707="?",P2707="?"),"⚠ akun tidak dikenal",IF(C2707=D2707,"⚠ debet = kredit","")))</f>
        <v/>
      </c>
    </row>
    <row r="2708" customFormat="false" ht="15" hidden="false" customHeight="false" outlineLevel="0" collapsed="false">
      <c r="A2708" s="5"/>
      <c r="B2708" s="83"/>
      <c r="C2708" s="5"/>
      <c r="D2708" s="5"/>
      <c r="E2708" s="44"/>
      <c r="F2708" s="5"/>
      <c r="G2708" s="5"/>
      <c r="H2708" s="5"/>
      <c r="I2708" s="5"/>
      <c r="J2708" s="102" t="str">
        <f aca="false">IF(B2708="","",MONTH(B2708))</f>
        <v/>
      </c>
      <c r="K2708" s="102" t="str">
        <f aca="false">IF(B2708="","",YEAR(B2708))</f>
        <v/>
      </c>
      <c r="L2708" s="102" t="str">
        <f aca="false">IF(N(E2708)=0,"",IF(COUNTIFS(AK_NAMA,C2708,AK_KAT,"KAS")+COUNTIFS(AK_NAMA,D2708,AK_KAT,"KAS")&lt;&gt;1,"",IF(COUNTIFS(AK_NAMA,C2708,AK_KAT,"KAS")=1,D2708,C2708)))</f>
        <v/>
      </c>
      <c r="M2708" s="103" t="n">
        <f aca="false">IF(L2708="",0,IF(L2708=D2708,E2708,-E2708))</f>
        <v>0</v>
      </c>
      <c r="N2708" s="102" t="str">
        <f aca="false">IF(L2708="","",IFERROR(INDEX(AK_BARIS,MATCH(L2708,AK_NAMA,0)),"?"))</f>
        <v/>
      </c>
      <c r="O2708" s="102" t="str">
        <f aca="false">IF(C2708="","",IFERROR(INDEX(AK_KEL,MATCH(C2708,AK_NAMA,0)),"?"))</f>
        <v/>
      </c>
      <c r="P2708" s="102" t="str">
        <f aca="false">IF(D2708="","",IFERROR(INDEX(AK_KEL,MATCH(D2708,AK_NAMA,0)),"?"))</f>
        <v/>
      </c>
      <c r="Q2708" s="102" t="n">
        <f aca="false">N(Q2707)+IF(AND(N(E2708)&lt;&gt;0,K2708=TAHUN,N(J2708)&lt;=BLN,OR(C2708=BB_AKUN,D2708=BB_AKUN)),1,0)</f>
        <v>877</v>
      </c>
      <c r="R2708" s="104" t="str">
        <f aca="false">IF(OR(C2708&amp;D2708="",N(E2708)=0),"",IF(OR(O2708="?",P2708="?"),"⚠ akun tidak dikenal",IF(C2708=D2708,"⚠ debet = kredit","")))</f>
        <v/>
      </c>
    </row>
    <row r="2709" customFormat="false" ht="15" hidden="false" customHeight="false" outlineLevel="0" collapsed="false">
      <c r="A2709" s="5"/>
      <c r="B2709" s="83"/>
      <c r="C2709" s="5"/>
      <c r="D2709" s="5"/>
      <c r="E2709" s="44"/>
      <c r="F2709" s="5"/>
      <c r="G2709" s="5"/>
      <c r="H2709" s="5"/>
      <c r="I2709" s="5"/>
      <c r="J2709" s="102" t="str">
        <f aca="false">IF(B2709="","",MONTH(B2709))</f>
        <v/>
      </c>
      <c r="K2709" s="102" t="str">
        <f aca="false">IF(B2709="","",YEAR(B2709))</f>
        <v/>
      </c>
      <c r="L2709" s="102" t="str">
        <f aca="false">IF(N(E2709)=0,"",IF(COUNTIFS(AK_NAMA,C2709,AK_KAT,"KAS")+COUNTIFS(AK_NAMA,D2709,AK_KAT,"KAS")&lt;&gt;1,"",IF(COUNTIFS(AK_NAMA,C2709,AK_KAT,"KAS")=1,D2709,C2709)))</f>
        <v/>
      </c>
      <c r="M2709" s="103" t="n">
        <f aca="false">IF(L2709="",0,IF(L2709=D2709,E2709,-E2709))</f>
        <v>0</v>
      </c>
      <c r="N2709" s="102" t="str">
        <f aca="false">IF(L2709="","",IFERROR(INDEX(AK_BARIS,MATCH(L2709,AK_NAMA,0)),"?"))</f>
        <v/>
      </c>
      <c r="O2709" s="102" t="str">
        <f aca="false">IF(C2709="","",IFERROR(INDEX(AK_KEL,MATCH(C2709,AK_NAMA,0)),"?"))</f>
        <v/>
      </c>
      <c r="P2709" s="102" t="str">
        <f aca="false">IF(D2709="","",IFERROR(INDEX(AK_KEL,MATCH(D2709,AK_NAMA,0)),"?"))</f>
        <v/>
      </c>
      <c r="Q2709" s="102" t="n">
        <f aca="false">N(Q2708)+IF(AND(N(E2709)&lt;&gt;0,K2709=TAHUN,N(J2709)&lt;=BLN,OR(C2709=BB_AKUN,D2709=BB_AKUN)),1,0)</f>
        <v>877</v>
      </c>
      <c r="R2709" s="104" t="str">
        <f aca="false">IF(OR(C2709&amp;D2709="",N(E2709)=0),"",IF(OR(O2709="?",P2709="?"),"⚠ akun tidak dikenal",IF(C2709=D2709,"⚠ debet = kredit","")))</f>
        <v/>
      </c>
    </row>
    <row r="2710" customFormat="false" ht="15" hidden="false" customHeight="false" outlineLevel="0" collapsed="false">
      <c r="A2710" s="5"/>
      <c r="B2710" s="83"/>
      <c r="C2710" s="5"/>
      <c r="D2710" s="5"/>
      <c r="E2710" s="44"/>
      <c r="F2710" s="5"/>
      <c r="G2710" s="5"/>
      <c r="H2710" s="5"/>
      <c r="I2710" s="5"/>
      <c r="J2710" s="102" t="str">
        <f aca="false">IF(B2710="","",MONTH(B2710))</f>
        <v/>
      </c>
      <c r="K2710" s="102" t="str">
        <f aca="false">IF(B2710="","",YEAR(B2710))</f>
        <v/>
      </c>
      <c r="L2710" s="102" t="str">
        <f aca="false">IF(N(E2710)=0,"",IF(COUNTIFS(AK_NAMA,C2710,AK_KAT,"KAS")+COUNTIFS(AK_NAMA,D2710,AK_KAT,"KAS")&lt;&gt;1,"",IF(COUNTIFS(AK_NAMA,C2710,AK_KAT,"KAS")=1,D2710,C2710)))</f>
        <v/>
      </c>
      <c r="M2710" s="103" t="n">
        <f aca="false">IF(L2710="",0,IF(L2710=D2710,E2710,-E2710))</f>
        <v>0</v>
      </c>
      <c r="N2710" s="102" t="str">
        <f aca="false">IF(L2710="","",IFERROR(INDEX(AK_BARIS,MATCH(L2710,AK_NAMA,0)),"?"))</f>
        <v/>
      </c>
      <c r="O2710" s="102" t="str">
        <f aca="false">IF(C2710="","",IFERROR(INDEX(AK_KEL,MATCH(C2710,AK_NAMA,0)),"?"))</f>
        <v/>
      </c>
      <c r="P2710" s="102" t="str">
        <f aca="false">IF(D2710="","",IFERROR(INDEX(AK_KEL,MATCH(D2710,AK_NAMA,0)),"?"))</f>
        <v/>
      </c>
      <c r="Q2710" s="102" t="n">
        <f aca="false">N(Q2709)+IF(AND(N(E2710)&lt;&gt;0,K2710=TAHUN,N(J2710)&lt;=BLN,OR(C2710=BB_AKUN,D2710=BB_AKUN)),1,0)</f>
        <v>877</v>
      </c>
      <c r="R2710" s="104" t="str">
        <f aca="false">IF(OR(C2710&amp;D2710="",N(E2710)=0),"",IF(OR(O2710="?",P2710="?"),"⚠ akun tidak dikenal",IF(C2710=D2710,"⚠ debet = kredit","")))</f>
        <v/>
      </c>
    </row>
    <row r="2711" customFormat="false" ht="15" hidden="false" customHeight="false" outlineLevel="0" collapsed="false">
      <c r="A2711" s="5"/>
      <c r="B2711" s="83"/>
      <c r="C2711" s="5"/>
      <c r="D2711" s="5"/>
      <c r="E2711" s="44"/>
      <c r="F2711" s="5"/>
      <c r="G2711" s="5"/>
      <c r="H2711" s="5"/>
      <c r="I2711" s="5"/>
      <c r="J2711" s="102" t="str">
        <f aca="false">IF(B2711="","",MONTH(B2711))</f>
        <v/>
      </c>
      <c r="K2711" s="102" t="str">
        <f aca="false">IF(B2711="","",YEAR(B2711))</f>
        <v/>
      </c>
      <c r="L2711" s="102" t="str">
        <f aca="false">IF(N(E2711)=0,"",IF(COUNTIFS(AK_NAMA,C2711,AK_KAT,"KAS")+COUNTIFS(AK_NAMA,D2711,AK_KAT,"KAS")&lt;&gt;1,"",IF(COUNTIFS(AK_NAMA,C2711,AK_KAT,"KAS")=1,D2711,C2711)))</f>
        <v/>
      </c>
      <c r="M2711" s="103" t="n">
        <f aca="false">IF(L2711="",0,IF(L2711=D2711,E2711,-E2711))</f>
        <v>0</v>
      </c>
      <c r="N2711" s="102" t="str">
        <f aca="false">IF(L2711="","",IFERROR(INDEX(AK_BARIS,MATCH(L2711,AK_NAMA,0)),"?"))</f>
        <v/>
      </c>
      <c r="O2711" s="102" t="str">
        <f aca="false">IF(C2711="","",IFERROR(INDEX(AK_KEL,MATCH(C2711,AK_NAMA,0)),"?"))</f>
        <v/>
      </c>
      <c r="P2711" s="102" t="str">
        <f aca="false">IF(D2711="","",IFERROR(INDEX(AK_KEL,MATCH(D2711,AK_NAMA,0)),"?"))</f>
        <v/>
      </c>
      <c r="Q2711" s="102" t="n">
        <f aca="false">N(Q2710)+IF(AND(N(E2711)&lt;&gt;0,K2711=TAHUN,N(J2711)&lt;=BLN,OR(C2711=BB_AKUN,D2711=BB_AKUN)),1,0)</f>
        <v>877</v>
      </c>
      <c r="R2711" s="104" t="str">
        <f aca="false">IF(OR(C2711&amp;D2711="",N(E2711)=0),"",IF(OR(O2711="?",P2711="?"),"⚠ akun tidak dikenal",IF(C2711=D2711,"⚠ debet = kredit","")))</f>
        <v/>
      </c>
    </row>
    <row r="2712" customFormat="false" ht="15" hidden="false" customHeight="false" outlineLevel="0" collapsed="false">
      <c r="A2712" s="5"/>
      <c r="B2712" s="83"/>
      <c r="C2712" s="5"/>
      <c r="D2712" s="5"/>
      <c r="E2712" s="44"/>
      <c r="F2712" s="5"/>
      <c r="G2712" s="5"/>
      <c r="H2712" s="5"/>
      <c r="I2712" s="5"/>
      <c r="J2712" s="102" t="str">
        <f aca="false">IF(B2712="","",MONTH(B2712))</f>
        <v/>
      </c>
      <c r="K2712" s="102" t="str">
        <f aca="false">IF(B2712="","",YEAR(B2712))</f>
        <v/>
      </c>
      <c r="L2712" s="102" t="str">
        <f aca="false">IF(N(E2712)=0,"",IF(COUNTIFS(AK_NAMA,C2712,AK_KAT,"KAS")+COUNTIFS(AK_NAMA,D2712,AK_KAT,"KAS")&lt;&gt;1,"",IF(COUNTIFS(AK_NAMA,C2712,AK_KAT,"KAS")=1,D2712,C2712)))</f>
        <v/>
      </c>
      <c r="M2712" s="103" t="n">
        <f aca="false">IF(L2712="",0,IF(L2712=D2712,E2712,-E2712))</f>
        <v>0</v>
      </c>
      <c r="N2712" s="102" t="str">
        <f aca="false">IF(L2712="","",IFERROR(INDEX(AK_BARIS,MATCH(L2712,AK_NAMA,0)),"?"))</f>
        <v/>
      </c>
      <c r="O2712" s="102" t="str">
        <f aca="false">IF(C2712="","",IFERROR(INDEX(AK_KEL,MATCH(C2712,AK_NAMA,0)),"?"))</f>
        <v/>
      </c>
      <c r="P2712" s="102" t="str">
        <f aca="false">IF(D2712="","",IFERROR(INDEX(AK_KEL,MATCH(D2712,AK_NAMA,0)),"?"))</f>
        <v/>
      </c>
      <c r="Q2712" s="102" t="n">
        <f aca="false">N(Q2711)+IF(AND(N(E2712)&lt;&gt;0,K2712=TAHUN,N(J2712)&lt;=BLN,OR(C2712=BB_AKUN,D2712=BB_AKUN)),1,0)</f>
        <v>877</v>
      </c>
      <c r="R2712" s="104" t="str">
        <f aca="false">IF(OR(C2712&amp;D2712="",N(E2712)=0),"",IF(OR(O2712="?",P2712="?"),"⚠ akun tidak dikenal",IF(C2712=D2712,"⚠ debet = kredit","")))</f>
        <v/>
      </c>
    </row>
    <row r="2713" customFormat="false" ht="15" hidden="false" customHeight="false" outlineLevel="0" collapsed="false">
      <c r="A2713" s="5"/>
      <c r="B2713" s="83"/>
      <c r="C2713" s="5"/>
      <c r="D2713" s="5"/>
      <c r="E2713" s="44"/>
      <c r="F2713" s="5"/>
      <c r="G2713" s="5"/>
      <c r="H2713" s="5"/>
      <c r="I2713" s="5"/>
      <c r="J2713" s="102" t="str">
        <f aca="false">IF(B2713="","",MONTH(B2713))</f>
        <v/>
      </c>
      <c r="K2713" s="102" t="str">
        <f aca="false">IF(B2713="","",YEAR(B2713))</f>
        <v/>
      </c>
      <c r="L2713" s="102" t="str">
        <f aca="false">IF(N(E2713)=0,"",IF(COUNTIFS(AK_NAMA,C2713,AK_KAT,"KAS")+COUNTIFS(AK_NAMA,D2713,AK_KAT,"KAS")&lt;&gt;1,"",IF(COUNTIFS(AK_NAMA,C2713,AK_KAT,"KAS")=1,D2713,C2713)))</f>
        <v/>
      </c>
      <c r="M2713" s="103" t="n">
        <f aca="false">IF(L2713="",0,IF(L2713=D2713,E2713,-E2713))</f>
        <v>0</v>
      </c>
      <c r="N2713" s="102" t="str">
        <f aca="false">IF(L2713="","",IFERROR(INDEX(AK_BARIS,MATCH(L2713,AK_NAMA,0)),"?"))</f>
        <v/>
      </c>
      <c r="O2713" s="102" t="str">
        <f aca="false">IF(C2713="","",IFERROR(INDEX(AK_KEL,MATCH(C2713,AK_NAMA,0)),"?"))</f>
        <v/>
      </c>
      <c r="P2713" s="102" t="str">
        <f aca="false">IF(D2713="","",IFERROR(INDEX(AK_KEL,MATCH(D2713,AK_NAMA,0)),"?"))</f>
        <v/>
      </c>
      <c r="Q2713" s="102" t="n">
        <f aca="false">N(Q2712)+IF(AND(N(E2713)&lt;&gt;0,K2713=TAHUN,N(J2713)&lt;=BLN,OR(C2713=BB_AKUN,D2713=BB_AKUN)),1,0)</f>
        <v>877</v>
      </c>
      <c r="R2713" s="104" t="str">
        <f aca="false">IF(OR(C2713&amp;D2713="",N(E2713)=0),"",IF(OR(O2713="?",P2713="?"),"⚠ akun tidak dikenal",IF(C2713=D2713,"⚠ debet = kredit","")))</f>
        <v/>
      </c>
    </row>
    <row r="2714" customFormat="false" ht="15" hidden="false" customHeight="false" outlineLevel="0" collapsed="false">
      <c r="A2714" s="5"/>
      <c r="B2714" s="83"/>
      <c r="C2714" s="5"/>
      <c r="D2714" s="5"/>
      <c r="E2714" s="44"/>
      <c r="F2714" s="5"/>
      <c r="G2714" s="5"/>
      <c r="H2714" s="5"/>
      <c r="I2714" s="5"/>
      <c r="J2714" s="102" t="str">
        <f aca="false">IF(B2714="","",MONTH(B2714))</f>
        <v/>
      </c>
      <c r="K2714" s="102" t="str">
        <f aca="false">IF(B2714="","",YEAR(B2714))</f>
        <v/>
      </c>
      <c r="L2714" s="102" t="str">
        <f aca="false">IF(N(E2714)=0,"",IF(COUNTIFS(AK_NAMA,C2714,AK_KAT,"KAS")+COUNTIFS(AK_NAMA,D2714,AK_KAT,"KAS")&lt;&gt;1,"",IF(COUNTIFS(AK_NAMA,C2714,AK_KAT,"KAS")=1,D2714,C2714)))</f>
        <v/>
      </c>
      <c r="M2714" s="103" t="n">
        <f aca="false">IF(L2714="",0,IF(L2714=D2714,E2714,-E2714))</f>
        <v>0</v>
      </c>
      <c r="N2714" s="102" t="str">
        <f aca="false">IF(L2714="","",IFERROR(INDEX(AK_BARIS,MATCH(L2714,AK_NAMA,0)),"?"))</f>
        <v/>
      </c>
      <c r="O2714" s="102" t="str">
        <f aca="false">IF(C2714="","",IFERROR(INDEX(AK_KEL,MATCH(C2714,AK_NAMA,0)),"?"))</f>
        <v/>
      </c>
      <c r="P2714" s="102" t="str">
        <f aca="false">IF(D2714="","",IFERROR(INDEX(AK_KEL,MATCH(D2714,AK_NAMA,0)),"?"))</f>
        <v/>
      </c>
      <c r="Q2714" s="102" t="n">
        <f aca="false">N(Q2713)+IF(AND(N(E2714)&lt;&gt;0,K2714=TAHUN,N(J2714)&lt;=BLN,OR(C2714=BB_AKUN,D2714=BB_AKUN)),1,0)</f>
        <v>877</v>
      </c>
      <c r="R2714" s="104" t="str">
        <f aca="false">IF(OR(C2714&amp;D2714="",N(E2714)=0),"",IF(OR(O2714="?",P2714="?"),"⚠ akun tidak dikenal",IF(C2714=D2714,"⚠ debet = kredit","")))</f>
        <v/>
      </c>
    </row>
    <row r="2715" customFormat="false" ht="15" hidden="false" customHeight="false" outlineLevel="0" collapsed="false">
      <c r="A2715" s="5"/>
      <c r="B2715" s="83"/>
      <c r="C2715" s="5"/>
      <c r="D2715" s="5"/>
      <c r="E2715" s="44"/>
      <c r="F2715" s="5"/>
      <c r="G2715" s="5"/>
      <c r="H2715" s="5"/>
      <c r="I2715" s="5"/>
      <c r="J2715" s="102" t="str">
        <f aca="false">IF(B2715="","",MONTH(B2715))</f>
        <v/>
      </c>
      <c r="K2715" s="102" t="str">
        <f aca="false">IF(B2715="","",YEAR(B2715))</f>
        <v/>
      </c>
      <c r="L2715" s="102" t="str">
        <f aca="false">IF(N(E2715)=0,"",IF(COUNTIFS(AK_NAMA,C2715,AK_KAT,"KAS")+COUNTIFS(AK_NAMA,D2715,AK_KAT,"KAS")&lt;&gt;1,"",IF(COUNTIFS(AK_NAMA,C2715,AK_KAT,"KAS")=1,D2715,C2715)))</f>
        <v/>
      </c>
      <c r="M2715" s="103" t="n">
        <f aca="false">IF(L2715="",0,IF(L2715=D2715,E2715,-E2715))</f>
        <v>0</v>
      </c>
      <c r="N2715" s="102" t="str">
        <f aca="false">IF(L2715="","",IFERROR(INDEX(AK_BARIS,MATCH(L2715,AK_NAMA,0)),"?"))</f>
        <v/>
      </c>
      <c r="O2715" s="102" t="str">
        <f aca="false">IF(C2715="","",IFERROR(INDEX(AK_KEL,MATCH(C2715,AK_NAMA,0)),"?"))</f>
        <v/>
      </c>
      <c r="P2715" s="102" t="str">
        <f aca="false">IF(D2715="","",IFERROR(INDEX(AK_KEL,MATCH(D2715,AK_NAMA,0)),"?"))</f>
        <v/>
      </c>
      <c r="Q2715" s="102" t="n">
        <f aca="false">N(Q2714)+IF(AND(N(E2715)&lt;&gt;0,K2715=TAHUN,N(J2715)&lt;=BLN,OR(C2715=BB_AKUN,D2715=BB_AKUN)),1,0)</f>
        <v>877</v>
      </c>
      <c r="R2715" s="104" t="str">
        <f aca="false">IF(OR(C2715&amp;D2715="",N(E2715)=0),"",IF(OR(O2715="?",P2715="?"),"⚠ akun tidak dikenal",IF(C2715=D2715,"⚠ debet = kredit","")))</f>
        <v/>
      </c>
    </row>
    <row r="2716" customFormat="false" ht="15" hidden="false" customHeight="false" outlineLevel="0" collapsed="false">
      <c r="A2716" s="5"/>
      <c r="B2716" s="83"/>
      <c r="C2716" s="5"/>
      <c r="D2716" s="5"/>
      <c r="E2716" s="44"/>
      <c r="F2716" s="5"/>
      <c r="G2716" s="5"/>
      <c r="H2716" s="5"/>
      <c r="I2716" s="5"/>
      <c r="J2716" s="102" t="str">
        <f aca="false">IF(B2716="","",MONTH(B2716))</f>
        <v/>
      </c>
      <c r="K2716" s="102" t="str">
        <f aca="false">IF(B2716="","",YEAR(B2716))</f>
        <v/>
      </c>
      <c r="L2716" s="102" t="str">
        <f aca="false">IF(N(E2716)=0,"",IF(COUNTIFS(AK_NAMA,C2716,AK_KAT,"KAS")+COUNTIFS(AK_NAMA,D2716,AK_KAT,"KAS")&lt;&gt;1,"",IF(COUNTIFS(AK_NAMA,C2716,AK_KAT,"KAS")=1,D2716,C2716)))</f>
        <v/>
      </c>
      <c r="M2716" s="103" t="n">
        <f aca="false">IF(L2716="",0,IF(L2716=D2716,E2716,-E2716))</f>
        <v>0</v>
      </c>
      <c r="N2716" s="102" t="str">
        <f aca="false">IF(L2716="","",IFERROR(INDEX(AK_BARIS,MATCH(L2716,AK_NAMA,0)),"?"))</f>
        <v/>
      </c>
      <c r="O2716" s="102" t="str">
        <f aca="false">IF(C2716="","",IFERROR(INDEX(AK_KEL,MATCH(C2716,AK_NAMA,0)),"?"))</f>
        <v/>
      </c>
      <c r="P2716" s="102" t="str">
        <f aca="false">IF(D2716="","",IFERROR(INDEX(AK_KEL,MATCH(D2716,AK_NAMA,0)),"?"))</f>
        <v/>
      </c>
      <c r="Q2716" s="102" t="n">
        <f aca="false">N(Q2715)+IF(AND(N(E2716)&lt;&gt;0,K2716=TAHUN,N(J2716)&lt;=BLN,OR(C2716=BB_AKUN,D2716=BB_AKUN)),1,0)</f>
        <v>877</v>
      </c>
      <c r="R2716" s="104" t="str">
        <f aca="false">IF(OR(C2716&amp;D2716="",N(E2716)=0),"",IF(OR(O2716="?",P2716="?"),"⚠ akun tidak dikenal",IF(C2716=D2716,"⚠ debet = kredit","")))</f>
        <v/>
      </c>
    </row>
    <row r="2717" customFormat="false" ht="15" hidden="false" customHeight="false" outlineLevel="0" collapsed="false">
      <c r="A2717" s="5"/>
      <c r="B2717" s="83"/>
      <c r="C2717" s="5"/>
      <c r="D2717" s="5"/>
      <c r="E2717" s="44"/>
      <c r="F2717" s="5"/>
      <c r="G2717" s="5"/>
      <c r="H2717" s="5"/>
      <c r="I2717" s="5"/>
      <c r="J2717" s="102" t="str">
        <f aca="false">IF(B2717="","",MONTH(B2717))</f>
        <v/>
      </c>
      <c r="K2717" s="102" t="str">
        <f aca="false">IF(B2717="","",YEAR(B2717))</f>
        <v/>
      </c>
      <c r="L2717" s="102" t="str">
        <f aca="false">IF(N(E2717)=0,"",IF(COUNTIFS(AK_NAMA,C2717,AK_KAT,"KAS")+COUNTIFS(AK_NAMA,D2717,AK_KAT,"KAS")&lt;&gt;1,"",IF(COUNTIFS(AK_NAMA,C2717,AK_KAT,"KAS")=1,D2717,C2717)))</f>
        <v/>
      </c>
      <c r="M2717" s="103" t="n">
        <f aca="false">IF(L2717="",0,IF(L2717=D2717,E2717,-E2717))</f>
        <v>0</v>
      </c>
      <c r="N2717" s="102" t="str">
        <f aca="false">IF(L2717="","",IFERROR(INDEX(AK_BARIS,MATCH(L2717,AK_NAMA,0)),"?"))</f>
        <v/>
      </c>
      <c r="O2717" s="102" t="str">
        <f aca="false">IF(C2717="","",IFERROR(INDEX(AK_KEL,MATCH(C2717,AK_NAMA,0)),"?"))</f>
        <v/>
      </c>
      <c r="P2717" s="102" t="str">
        <f aca="false">IF(D2717="","",IFERROR(INDEX(AK_KEL,MATCH(D2717,AK_NAMA,0)),"?"))</f>
        <v/>
      </c>
      <c r="Q2717" s="102" t="n">
        <f aca="false">N(Q2716)+IF(AND(N(E2717)&lt;&gt;0,K2717=TAHUN,N(J2717)&lt;=BLN,OR(C2717=BB_AKUN,D2717=BB_AKUN)),1,0)</f>
        <v>877</v>
      </c>
      <c r="R2717" s="104" t="str">
        <f aca="false">IF(OR(C2717&amp;D2717="",N(E2717)=0),"",IF(OR(O2717="?",P2717="?"),"⚠ akun tidak dikenal",IF(C2717=D2717,"⚠ debet = kredit","")))</f>
        <v/>
      </c>
    </row>
    <row r="2718" customFormat="false" ht="15" hidden="false" customHeight="false" outlineLevel="0" collapsed="false">
      <c r="A2718" s="5"/>
      <c r="B2718" s="83"/>
      <c r="C2718" s="5"/>
      <c r="D2718" s="5"/>
      <c r="E2718" s="44"/>
      <c r="F2718" s="5"/>
      <c r="G2718" s="5"/>
      <c r="H2718" s="5"/>
      <c r="I2718" s="5"/>
      <c r="J2718" s="102" t="str">
        <f aca="false">IF(B2718="","",MONTH(B2718))</f>
        <v/>
      </c>
      <c r="K2718" s="102" t="str">
        <f aca="false">IF(B2718="","",YEAR(B2718))</f>
        <v/>
      </c>
      <c r="L2718" s="102" t="str">
        <f aca="false">IF(N(E2718)=0,"",IF(COUNTIFS(AK_NAMA,C2718,AK_KAT,"KAS")+COUNTIFS(AK_NAMA,D2718,AK_KAT,"KAS")&lt;&gt;1,"",IF(COUNTIFS(AK_NAMA,C2718,AK_KAT,"KAS")=1,D2718,C2718)))</f>
        <v/>
      </c>
      <c r="M2718" s="103" t="n">
        <f aca="false">IF(L2718="",0,IF(L2718=D2718,E2718,-E2718))</f>
        <v>0</v>
      </c>
      <c r="N2718" s="102" t="str">
        <f aca="false">IF(L2718="","",IFERROR(INDEX(AK_BARIS,MATCH(L2718,AK_NAMA,0)),"?"))</f>
        <v/>
      </c>
      <c r="O2718" s="102" t="str">
        <f aca="false">IF(C2718="","",IFERROR(INDEX(AK_KEL,MATCH(C2718,AK_NAMA,0)),"?"))</f>
        <v/>
      </c>
      <c r="P2718" s="102" t="str">
        <f aca="false">IF(D2718="","",IFERROR(INDEX(AK_KEL,MATCH(D2718,AK_NAMA,0)),"?"))</f>
        <v/>
      </c>
      <c r="Q2718" s="102" t="n">
        <f aca="false">N(Q2717)+IF(AND(N(E2718)&lt;&gt;0,K2718=TAHUN,N(J2718)&lt;=BLN,OR(C2718=BB_AKUN,D2718=BB_AKUN)),1,0)</f>
        <v>877</v>
      </c>
      <c r="R2718" s="104" t="str">
        <f aca="false">IF(OR(C2718&amp;D2718="",N(E2718)=0),"",IF(OR(O2718="?",P2718="?"),"⚠ akun tidak dikenal",IF(C2718=D2718,"⚠ debet = kredit","")))</f>
        <v/>
      </c>
    </row>
    <row r="2719" customFormat="false" ht="15" hidden="false" customHeight="false" outlineLevel="0" collapsed="false">
      <c r="A2719" s="5"/>
      <c r="B2719" s="83"/>
      <c r="C2719" s="5"/>
      <c r="D2719" s="5"/>
      <c r="E2719" s="44"/>
      <c r="F2719" s="5"/>
      <c r="G2719" s="5"/>
      <c r="H2719" s="5"/>
      <c r="I2719" s="5"/>
      <c r="J2719" s="102" t="str">
        <f aca="false">IF(B2719="","",MONTH(B2719))</f>
        <v/>
      </c>
      <c r="K2719" s="102" t="str">
        <f aca="false">IF(B2719="","",YEAR(B2719))</f>
        <v/>
      </c>
      <c r="L2719" s="102" t="str">
        <f aca="false">IF(N(E2719)=0,"",IF(COUNTIFS(AK_NAMA,C2719,AK_KAT,"KAS")+COUNTIFS(AK_NAMA,D2719,AK_KAT,"KAS")&lt;&gt;1,"",IF(COUNTIFS(AK_NAMA,C2719,AK_KAT,"KAS")=1,D2719,C2719)))</f>
        <v/>
      </c>
      <c r="M2719" s="103" t="n">
        <f aca="false">IF(L2719="",0,IF(L2719=D2719,E2719,-E2719))</f>
        <v>0</v>
      </c>
      <c r="N2719" s="102" t="str">
        <f aca="false">IF(L2719="","",IFERROR(INDEX(AK_BARIS,MATCH(L2719,AK_NAMA,0)),"?"))</f>
        <v/>
      </c>
      <c r="O2719" s="102" t="str">
        <f aca="false">IF(C2719="","",IFERROR(INDEX(AK_KEL,MATCH(C2719,AK_NAMA,0)),"?"))</f>
        <v/>
      </c>
      <c r="P2719" s="102" t="str">
        <f aca="false">IF(D2719="","",IFERROR(INDEX(AK_KEL,MATCH(D2719,AK_NAMA,0)),"?"))</f>
        <v/>
      </c>
      <c r="Q2719" s="102" t="n">
        <f aca="false">N(Q2718)+IF(AND(N(E2719)&lt;&gt;0,K2719=TAHUN,N(J2719)&lt;=BLN,OR(C2719=BB_AKUN,D2719=BB_AKUN)),1,0)</f>
        <v>877</v>
      </c>
      <c r="R2719" s="104" t="str">
        <f aca="false">IF(OR(C2719&amp;D2719="",N(E2719)=0),"",IF(OR(O2719="?",P2719="?"),"⚠ akun tidak dikenal",IF(C2719=D2719,"⚠ debet = kredit","")))</f>
        <v/>
      </c>
    </row>
    <row r="2720" customFormat="false" ht="15" hidden="false" customHeight="false" outlineLevel="0" collapsed="false">
      <c r="A2720" s="5"/>
      <c r="B2720" s="83"/>
      <c r="C2720" s="5"/>
      <c r="D2720" s="5"/>
      <c r="E2720" s="44"/>
      <c r="F2720" s="5"/>
      <c r="G2720" s="5"/>
      <c r="H2720" s="5"/>
      <c r="I2720" s="5"/>
      <c r="J2720" s="102" t="str">
        <f aca="false">IF(B2720="","",MONTH(B2720))</f>
        <v/>
      </c>
      <c r="K2720" s="102" t="str">
        <f aca="false">IF(B2720="","",YEAR(B2720))</f>
        <v/>
      </c>
      <c r="L2720" s="102" t="str">
        <f aca="false">IF(N(E2720)=0,"",IF(COUNTIFS(AK_NAMA,C2720,AK_KAT,"KAS")+COUNTIFS(AK_NAMA,D2720,AK_KAT,"KAS")&lt;&gt;1,"",IF(COUNTIFS(AK_NAMA,C2720,AK_KAT,"KAS")=1,D2720,C2720)))</f>
        <v/>
      </c>
      <c r="M2720" s="103" t="n">
        <f aca="false">IF(L2720="",0,IF(L2720=D2720,E2720,-E2720))</f>
        <v>0</v>
      </c>
      <c r="N2720" s="102" t="str">
        <f aca="false">IF(L2720="","",IFERROR(INDEX(AK_BARIS,MATCH(L2720,AK_NAMA,0)),"?"))</f>
        <v/>
      </c>
      <c r="O2720" s="102" t="str">
        <f aca="false">IF(C2720="","",IFERROR(INDEX(AK_KEL,MATCH(C2720,AK_NAMA,0)),"?"))</f>
        <v/>
      </c>
      <c r="P2720" s="102" t="str">
        <f aca="false">IF(D2720="","",IFERROR(INDEX(AK_KEL,MATCH(D2720,AK_NAMA,0)),"?"))</f>
        <v/>
      </c>
      <c r="Q2720" s="102" t="n">
        <f aca="false">N(Q2719)+IF(AND(N(E2720)&lt;&gt;0,K2720=TAHUN,N(J2720)&lt;=BLN,OR(C2720=BB_AKUN,D2720=BB_AKUN)),1,0)</f>
        <v>877</v>
      </c>
      <c r="R2720" s="104" t="str">
        <f aca="false">IF(OR(C2720&amp;D2720="",N(E2720)=0),"",IF(OR(O2720="?",P2720="?"),"⚠ akun tidak dikenal",IF(C2720=D2720,"⚠ debet = kredit","")))</f>
        <v/>
      </c>
    </row>
    <row r="2721" customFormat="false" ht="15" hidden="false" customHeight="false" outlineLevel="0" collapsed="false">
      <c r="A2721" s="5"/>
      <c r="B2721" s="83"/>
      <c r="C2721" s="5"/>
      <c r="D2721" s="5"/>
      <c r="E2721" s="44"/>
      <c r="F2721" s="5"/>
      <c r="G2721" s="5"/>
      <c r="H2721" s="5"/>
      <c r="I2721" s="5"/>
      <c r="J2721" s="102" t="str">
        <f aca="false">IF(B2721="","",MONTH(B2721))</f>
        <v/>
      </c>
      <c r="K2721" s="102" t="str">
        <f aca="false">IF(B2721="","",YEAR(B2721))</f>
        <v/>
      </c>
      <c r="L2721" s="102" t="str">
        <f aca="false">IF(N(E2721)=0,"",IF(COUNTIFS(AK_NAMA,C2721,AK_KAT,"KAS")+COUNTIFS(AK_NAMA,D2721,AK_KAT,"KAS")&lt;&gt;1,"",IF(COUNTIFS(AK_NAMA,C2721,AK_KAT,"KAS")=1,D2721,C2721)))</f>
        <v/>
      </c>
      <c r="M2721" s="103" t="n">
        <f aca="false">IF(L2721="",0,IF(L2721=D2721,E2721,-E2721))</f>
        <v>0</v>
      </c>
      <c r="N2721" s="102" t="str">
        <f aca="false">IF(L2721="","",IFERROR(INDEX(AK_BARIS,MATCH(L2721,AK_NAMA,0)),"?"))</f>
        <v/>
      </c>
      <c r="O2721" s="102" t="str">
        <f aca="false">IF(C2721="","",IFERROR(INDEX(AK_KEL,MATCH(C2721,AK_NAMA,0)),"?"))</f>
        <v/>
      </c>
      <c r="P2721" s="102" t="str">
        <f aca="false">IF(D2721="","",IFERROR(INDEX(AK_KEL,MATCH(D2721,AK_NAMA,0)),"?"))</f>
        <v/>
      </c>
      <c r="Q2721" s="102" t="n">
        <f aca="false">N(Q2720)+IF(AND(N(E2721)&lt;&gt;0,K2721=TAHUN,N(J2721)&lt;=BLN,OR(C2721=BB_AKUN,D2721=BB_AKUN)),1,0)</f>
        <v>877</v>
      </c>
      <c r="R2721" s="104" t="str">
        <f aca="false">IF(OR(C2721&amp;D2721="",N(E2721)=0),"",IF(OR(O2721="?",P2721="?"),"⚠ akun tidak dikenal",IF(C2721=D2721,"⚠ debet = kredit","")))</f>
        <v/>
      </c>
    </row>
    <row r="2722" customFormat="false" ht="15" hidden="false" customHeight="false" outlineLevel="0" collapsed="false">
      <c r="A2722" s="5"/>
      <c r="B2722" s="83"/>
      <c r="C2722" s="5"/>
      <c r="D2722" s="5"/>
      <c r="E2722" s="44"/>
      <c r="F2722" s="5"/>
      <c r="G2722" s="5"/>
      <c r="H2722" s="5"/>
      <c r="I2722" s="5"/>
      <c r="J2722" s="102" t="str">
        <f aca="false">IF(B2722="","",MONTH(B2722))</f>
        <v/>
      </c>
      <c r="K2722" s="102" t="str">
        <f aca="false">IF(B2722="","",YEAR(B2722))</f>
        <v/>
      </c>
      <c r="L2722" s="102" t="str">
        <f aca="false">IF(N(E2722)=0,"",IF(COUNTIFS(AK_NAMA,C2722,AK_KAT,"KAS")+COUNTIFS(AK_NAMA,D2722,AK_KAT,"KAS")&lt;&gt;1,"",IF(COUNTIFS(AK_NAMA,C2722,AK_KAT,"KAS")=1,D2722,C2722)))</f>
        <v/>
      </c>
      <c r="M2722" s="103" t="n">
        <f aca="false">IF(L2722="",0,IF(L2722=D2722,E2722,-E2722))</f>
        <v>0</v>
      </c>
      <c r="N2722" s="102" t="str">
        <f aca="false">IF(L2722="","",IFERROR(INDEX(AK_BARIS,MATCH(L2722,AK_NAMA,0)),"?"))</f>
        <v/>
      </c>
      <c r="O2722" s="102" t="str">
        <f aca="false">IF(C2722="","",IFERROR(INDEX(AK_KEL,MATCH(C2722,AK_NAMA,0)),"?"))</f>
        <v/>
      </c>
      <c r="P2722" s="102" t="str">
        <f aca="false">IF(D2722="","",IFERROR(INDEX(AK_KEL,MATCH(D2722,AK_NAMA,0)),"?"))</f>
        <v/>
      </c>
      <c r="Q2722" s="102" t="n">
        <f aca="false">N(Q2721)+IF(AND(N(E2722)&lt;&gt;0,K2722=TAHUN,N(J2722)&lt;=BLN,OR(C2722=BB_AKUN,D2722=BB_AKUN)),1,0)</f>
        <v>877</v>
      </c>
      <c r="R2722" s="104" t="str">
        <f aca="false">IF(OR(C2722&amp;D2722="",N(E2722)=0),"",IF(OR(O2722="?",P2722="?"),"⚠ akun tidak dikenal",IF(C2722=D2722,"⚠ debet = kredit","")))</f>
        <v/>
      </c>
    </row>
    <row r="2723" customFormat="false" ht="15" hidden="false" customHeight="false" outlineLevel="0" collapsed="false">
      <c r="A2723" s="5"/>
      <c r="B2723" s="83"/>
      <c r="C2723" s="5"/>
      <c r="D2723" s="5"/>
      <c r="E2723" s="44"/>
      <c r="F2723" s="5"/>
      <c r="G2723" s="5"/>
      <c r="H2723" s="5"/>
      <c r="I2723" s="5"/>
      <c r="J2723" s="102" t="str">
        <f aca="false">IF(B2723="","",MONTH(B2723))</f>
        <v/>
      </c>
      <c r="K2723" s="102" t="str">
        <f aca="false">IF(B2723="","",YEAR(B2723))</f>
        <v/>
      </c>
      <c r="L2723" s="102" t="str">
        <f aca="false">IF(N(E2723)=0,"",IF(COUNTIFS(AK_NAMA,C2723,AK_KAT,"KAS")+COUNTIFS(AK_NAMA,D2723,AK_KAT,"KAS")&lt;&gt;1,"",IF(COUNTIFS(AK_NAMA,C2723,AK_KAT,"KAS")=1,D2723,C2723)))</f>
        <v/>
      </c>
      <c r="M2723" s="103" t="n">
        <f aca="false">IF(L2723="",0,IF(L2723=D2723,E2723,-E2723))</f>
        <v>0</v>
      </c>
      <c r="N2723" s="102" t="str">
        <f aca="false">IF(L2723="","",IFERROR(INDEX(AK_BARIS,MATCH(L2723,AK_NAMA,0)),"?"))</f>
        <v/>
      </c>
      <c r="O2723" s="102" t="str">
        <f aca="false">IF(C2723="","",IFERROR(INDEX(AK_KEL,MATCH(C2723,AK_NAMA,0)),"?"))</f>
        <v/>
      </c>
      <c r="P2723" s="102" t="str">
        <f aca="false">IF(D2723="","",IFERROR(INDEX(AK_KEL,MATCH(D2723,AK_NAMA,0)),"?"))</f>
        <v/>
      </c>
      <c r="Q2723" s="102" t="n">
        <f aca="false">N(Q2722)+IF(AND(N(E2723)&lt;&gt;0,K2723=TAHUN,N(J2723)&lt;=BLN,OR(C2723=BB_AKUN,D2723=BB_AKUN)),1,0)</f>
        <v>877</v>
      </c>
      <c r="R2723" s="104" t="str">
        <f aca="false">IF(OR(C2723&amp;D2723="",N(E2723)=0),"",IF(OR(O2723="?",P2723="?"),"⚠ akun tidak dikenal",IF(C2723=D2723,"⚠ debet = kredit","")))</f>
        <v/>
      </c>
    </row>
    <row r="2724" customFormat="false" ht="15" hidden="false" customHeight="false" outlineLevel="0" collapsed="false">
      <c r="A2724" s="5"/>
      <c r="B2724" s="83"/>
      <c r="C2724" s="5"/>
      <c r="D2724" s="5"/>
      <c r="E2724" s="44"/>
      <c r="F2724" s="5"/>
      <c r="G2724" s="5"/>
      <c r="H2724" s="5"/>
      <c r="I2724" s="5"/>
      <c r="J2724" s="102" t="str">
        <f aca="false">IF(B2724="","",MONTH(B2724))</f>
        <v/>
      </c>
      <c r="K2724" s="102" t="str">
        <f aca="false">IF(B2724="","",YEAR(B2724))</f>
        <v/>
      </c>
      <c r="L2724" s="102" t="str">
        <f aca="false">IF(N(E2724)=0,"",IF(COUNTIFS(AK_NAMA,C2724,AK_KAT,"KAS")+COUNTIFS(AK_NAMA,D2724,AK_KAT,"KAS")&lt;&gt;1,"",IF(COUNTIFS(AK_NAMA,C2724,AK_KAT,"KAS")=1,D2724,C2724)))</f>
        <v/>
      </c>
      <c r="M2724" s="103" t="n">
        <f aca="false">IF(L2724="",0,IF(L2724=D2724,E2724,-E2724))</f>
        <v>0</v>
      </c>
      <c r="N2724" s="102" t="str">
        <f aca="false">IF(L2724="","",IFERROR(INDEX(AK_BARIS,MATCH(L2724,AK_NAMA,0)),"?"))</f>
        <v/>
      </c>
      <c r="O2724" s="102" t="str">
        <f aca="false">IF(C2724="","",IFERROR(INDEX(AK_KEL,MATCH(C2724,AK_NAMA,0)),"?"))</f>
        <v/>
      </c>
      <c r="P2724" s="102" t="str">
        <f aca="false">IF(D2724="","",IFERROR(INDEX(AK_KEL,MATCH(D2724,AK_NAMA,0)),"?"))</f>
        <v/>
      </c>
      <c r="Q2724" s="102" t="n">
        <f aca="false">N(Q2723)+IF(AND(N(E2724)&lt;&gt;0,K2724=TAHUN,N(J2724)&lt;=BLN,OR(C2724=BB_AKUN,D2724=BB_AKUN)),1,0)</f>
        <v>877</v>
      </c>
      <c r="R2724" s="104" t="str">
        <f aca="false">IF(OR(C2724&amp;D2724="",N(E2724)=0),"",IF(OR(O2724="?",P2724="?"),"⚠ akun tidak dikenal",IF(C2724=D2724,"⚠ debet = kredit","")))</f>
        <v/>
      </c>
    </row>
    <row r="2725" customFormat="false" ht="15" hidden="false" customHeight="false" outlineLevel="0" collapsed="false">
      <c r="A2725" s="5"/>
      <c r="B2725" s="83"/>
      <c r="C2725" s="5"/>
      <c r="D2725" s="5"/>
      <c r="E2725" s="44"/>
      <c r="F2725" s="5"/>
      <c r="G2725" s="5"/>
      <c r="H2725" s="5"/>
      <c r="I2725" s="5"/>
      <c r="J2725" s="102" t="str">
        <f aca="false">IF(B2725="","",MONTH(B2725))</f>
        <v/>
      </c>
      <c r="K2725" s="102" t="str">
        <f aca="false">IF(B2725="","",YEAR(B2725))</f>
        <v/>
      </c>
      <c r="L2725" s="102" t="str">
        <f aca="false">IF(N(E2725)=0,"",IF(COUNTIFS(AK_NAMA,C2725,AK_KAT,"KAS")+COUNTIFS(AK_NAMA,D2725,AK_KAT,"KAS")&lt;&gt;1,"",IF(COUNTIFS(AK_NAMA,C2725,AK_KAT,"KAS")=1,D2725,C2725)))</f>
        <v/>
      </c>
      <c r="M2725" s="103" t="n">
        <f aca="false">IF(L2725="",0,IF(L2725=D2725,E2725,-E2725))</f>
        <v>0</v>
      </c>
      <c r="N2725" s="102" t="str">
        <f aca="false">IF(L2725="","",IFERROR(INDEX(AK_BARIS,MATCH(L2725,AK_NAMA,0)),"?"))</f>
        <v/>
      </c>
      <c r="O2725" s="102" t="str">
        <f aca="false">IF(C2725="","",IFERROR(INDEX(AK_KEL,MATCH(C2725,AK_NAMA,0)),"?"))</f>
        <v/>
      </c>
      <c r="P2725" s="102" t="str">
        <f aca="false">IF(D2725="","",IFERROR(INDEX(AK_KEL,MATCH(D2725,AK_NAMA,0)),"?"))</f>
        <v/>
      </c>
      <c r="Q2725" s="102" t="n">
        <f aca="false">N(Q2724)+IF(AND(N(E2725)&lt;&gt;0,K2725=TAHUN,N(J2725)&lt;=BLN,OR(C2725=BB_AKUN,D2725=BB_AKUN)),1,0)</f>
        <v>877</v>
      </c>
      <c r="R2725" s="104" t="str">
        <f aca="false">IF(OR(C2725&amp;D2725="",N(E2725)=0),"",IF(OR(O2725="?",P2725="?"),"⚠ akun tidak dikenal",IF(C2725=D2725,"⚠ debet = kredit","")))</f>
        <v/>
      </c>
    </row>
    <row r="2726" customFormat="false" ht="15" hidden="false" customHeight="false" outlineLevel="0" collapsed="false">
      <c r="A2726" s="5"/>
      <c r="B2726" s="83"/>
      <c r="C2726" s="5"/>
      <c r="D2726" s="5"/>
      <c r="E2726" s="44"/>
      <c r="F2726" s="5"/>
      <c r="G2726" s="5"/>
      <c r="H2726" s="5"/>
      <c r="I2726" s="5"/>
      <c r="J2726" s="102" t="str">
        <f aca="false">IF(B2726="","",MONTH(B2726))</f>
        <v/>
      </c>
      <c r="K2726" s="102" t="str">
        <f aca="false">IF(B2726="","",YEAR(B2726))</f>
        <v/>
      </c>
      <c r="L2726" s="102" t="str">
        <f aca="false">IF(N(E2726)=0,"",IF(COUNTIFS(AK_NAMA,C2726,AK_KAT,"KAS")+COUNTIFS(AK_NAMA,D2726,AK_KAT,"KAS")&lt;&gt;1,"",IF(COUNTIFS(AK_NAMA,C2726,AK_KAT,"KAS")=1,D2726,C2726)))</f>
        <v/>
      </c>
      <c r="M2726" s="103" t="n">
        <f aca="false">IF(L2726="",0,IF(L2726=D2726,E2726,-E2726))</f>
        <v>0</v>
      </c>
      <c r="N2726" s="102" t="str">
        <f aca="false">IF(L2726="","",IFERROR(INDEX(AK_BARIS,MATCH(L2726,AK_NAMA,0)),"?"))</f>
        <v/>
      </c>
      <c r="O2726" s="102" t="str">
        <f aca="false">IF(C2726="","",IFERROR(INDEX(AK_KEL,MATCH(C2726,AK_NAMA,0)),"?"))</f>
        <v/>
      </c>
      <c r="P2726" s="102" t="str">
        <f aca="false">IF(D2726="","",IFERROR(INDEX(AK_KEL,MATCH(D2726,AK_NAMA,0)),"?"))</f>
        <v/>
      </c>
      <c r="Q2726" s="102" t="n">
        <f aca="false">N(Q2725)+IF(AND(N(E2726)&lt;&gt;0,K2726=TAHUN,N(J2726)&lt;=BLN,OR(C2726=BB_AKUN,D2726=BB_AKUN)),1,0)</f>
        <v>877</v>
      </c>
      <c r="R2726" s="104" t="str">
        <f aca="false">IF(OR(C2726&amp;D2726="",N(E2726)=0),"",IF(OR(O2726="?",P2726="?"),"⚠ akun tidak dikenal",IF(C2726=D2726,"⚠ debet = kredit","")))</f>
        <v/>
      </c>
    </row>
    <row r="2727" customFormat="false" ht="15" hidden="false" customHeight="false" outlineLevel="0" collapsed="false">
      <c r="A2727" s="5"/>
      <c r="B2727" s="83"/>
      <c r="C2727" s="5"/>
      <c r="D2727" s="5"/>
      <c r="E2727" s="44"/>
      <c r="F2727" s="5"/>
      <c r="G2727" s="5"/>
      <c r="H2727" s="5"/>
      <c r="I2727" s="5"/>
      <c r="J2727" s="102" t="str">
        <f aca="false">IF(B2727="","",MONTH(B2727))</f>
        <v/>
      </c>
      <c r="K2727" s="102" t="str">
        <f aca="false">IF(B2727="","",YEAR(B2727))</f>
        <v/>
      </c>
      <c r="L2727" s="102" t="str">
        <f aca="false">IF(N(E2727)=0,"",IF(COUNTIFS(AK_NAMA,C2727,AK_KAT,"KAS")+COUNTIFS(AK_NAMA,D2727,AK_KAT,"KAS")&lt;&gt;1,"",IF(COUNTIFS(AK_NAMA,C2727,AK_KAT,"KAS")=1,D2727,C2727)))</f>
        <v/>
      </c>
      <c r="M2727" s="103" t="n">
        <f aca="false">IF(L2727="",0,IF(L2727=D2727,E2727,-E2727))</f>
        <v>0</v>
      </c>
      <c r="N2727" s="102" t="str">
        <f aca="false">IF(L2727="","",IFERROR(INDEX(AK_BARIS,MATCH(L2727,AK_NAMA,0)),"?"))</f>
        <v/>
      </c>
      <c r="O2727" s="102" t="str">
        <f aca="false">IF(C2727="","",IFERROR(INDEX(AK_KEL,MATCH(C2727,AK_NAMA,0)),"?"))</f>
        <v/>
      </c>
      <c r="P2727" s="102" t="str">
        <f aca="false">IF(D2727="","",IFERROR(INDEX(AK_KEL,MATCH(D2727,AK_NAMA,0)),"?"))</f>
        <v/>
      </c>
      <c r="Q2727" s="102" t="n">
        <f aca="false">N(Q2726)+IF(AND(N(E2727)&lt;&gt;0,K2727=TAHUN,N(J2727)&lt;=BLN,OR(C2727=BB_AKUN,D2727=BB_AKUN)),1,0)</f>
        <v>877</v>
      </c>
      <c r="R2727" s="104" t="str">
        <f aca="false">IF(OR(C2727&amp;D2727="",N(E2727)=0),"",IF(OR(O2727="?",P2727="?"),"⚠ akun tidak dikenal",IF(C2727=D2727,"⚠ debet = kredit","")))</f>
        <v/>
      </c>
    </row>
    <row r="2728" customFormat="false" ht="15" hidden="false" customHeight="false" outlineLevel="0" collapsed="false">
      <c r="A2728" s="5"/>
      <c r="B2728" s="83"/>
      <c r="C2728" s="5"/>
      <c r="D2728" s="5"/>
      <c r="E2728" s="44"/>
      <c r="F2728" s="5"/>
      <c r="G2728" s="5"/>
      <c r="H2728" s="5"/>
      <c r="I2728" s="5"/>
      <c r="J2728" s="102" t="str">
        <f aca="false">IF(B2728="","",MONTH(B2728))</f>
        <v/>
      </c>
      <c r="K2728" s="102" t="str">
        <f aca="false">IF(B2728="","",YEAR(B2728))</f>
        <v/>
      </c>
      <c r="L2728" s="102" t="str">
        <f aca="false">IF(N(E2728)=0,"",IF(COUNTIFS(AK_NAMA,C2728,AK_KAT,"KAS")+COUNTIFS(AK_NAMA,D2728,AK_KAT,"KAS")&lt;&gt;1,"",IF(COUNTIFS(AK_NAMA,C2728,AK_KAT,"KAS")=1,D2728,C2728)))</f>
        <v/>
      </c>
      <c r="M2728" s="103" t="n">
        <f aca="false">IF(L2728="",0,IF(L2728=D2728,E2728,-E2728))</f>
        <v>0</v>
      </c>
      <c r="N2728" s="102" t="str">
        <f aca="false">IF(L2728="","",IFERROR(INDEX(AK_BARIS,MATCH(L2728,AK_NAMA,0)),"?"))</f>
        <v/>
      </c>
      <c r="O2728" s="102" t="str">
        <f aca="false">IF(C2728="","",IFERROR(INDEX(AK_KEL,MATCH(C2728,AK_NAMA,0)),"?"))</f>
        <v/>
      </c>
      <c r="P2728" s="102" t="str">
        <f aca="false">IF(D2728="","",IFERROR(INDEX(AK_KEL,MATCH(D2728,AK_NAMA,0)),"?"))</f>
        <v/>
      </c>
      <c r="Q2728" s="102" t="n">
        <f aca="false">N(Q2727)+IF(AND(N(E2728)&lt;&gt;0,K2728=TAHUN,N(J2728)&lt;=BLN,OR(C2728=BB_AKUN,D2728=BB_AKUN)),1,0)</f>
        <v>877</v>
      </c>
      <c r="R2728" s="104" t="str">
        <f aca="false">IF(OR(C2728&amp;D2728="",N(E2728)=0),"",IF(OR(O2728="?",P2728="?"),"⚠ akun tidak dikenal",IF(C2728=D2728,"⚠ debet = kredit","")))</f>
        <v/>
      </c>
    </row>
    <row r="2729" customFormat="false" ht="15" hidden="false" customHeight="false" outlineLevel="0" collapsed="false">
      <c r="A2729" s="5"/>
      <c r="B2729" s="83"/>
      <c r="C2729" s="5"/>
      <c r="D2729" s="5"/>
      <c r="E2729" s="44"/>
      <c r="F2729" s="5"/>
      <c r="G2729" s="5"/>
      <c r="H2729" s="5"/>
      <c r="I2729" s="5"/>
      <c r="J2729" s="102" t="str">
        <f aca="false">IF(B2729="","",MONTH(B2729))</f>
        <v/>
      </c>
      <c r="K2729" s="102" t="str">
        <f aca="false">IF(B2729="","",YEAR(B2729))</f>
        <v/>
      </c>
      <c r="L2729" s="102" t="str">
        <f aca="false">IF(N(E2729)=0,"",IF(COUNTIFS(AK_NAMA,C2729,AK_KAT,"KAS")+COUNTIFS(AK_NAMA,D2729,AK_KAT,"KAS")&lt;&gt;1,"",IF(COUNTIFS(AK_NAMA,C2729,AK_KAT,"KAS")=1,D2729,C2729)))</f>
        <v/>
      </c>
      <c r="M2729" s="103" t="n">
        <f aca="false">IF(L2729="",0,IF(L2729=D2729,E2729,-E2729))</f>
        <v>0</v>
      </c>
      <c r="N2729" s="102" t="str">
        <f aca="false">IF(L2729="","",IFERROR(INDEX(AK_BARIS,MATCH(L2729,AK_NAMA,0)),"?"))</f>
        <v/>
      </c>
      <c r="O2729" s="102" t="str">
        <f aca="false">IF(C2729="","",IFERROR(INDEX(AK_KEL,MATCH(C2729,AK_NAMA,0)),"?"))</f>
        <v/>
      </c>
      <c r="P2729" s="102" t="str">
        <f aca="false">IF(D2729="","",IFERROR(INDEX(AK_KEL,MATCH(D2729,AK_NAMA,0)),"?"))</f>
        <v/>
      </c>
      <c r="Q2729" s="102" t="n">
        <f aca="false">N(Q2728)+IF(AND(N(E2729)&lt;&gt;0,K2729=TAHUN,N(J2729)&lt;=BLN,OR(C2729=BB_AKUN,D2729=BB_AKUN)),1,0)</f>
        <v>877</v>
      </c>
      <c r="R2729" s="104" t="str">
        <f aca="false">IF(OR(C2729&amp;D2729="",N(E2729)=0),"",IF(OR(O2729="?",P2729="?"),"⚠ akun tidak dikenal",IF(C2729=D2729,"⚠ debet = kredit","")))</f>
        <v/>
      </c>
    </row>
    <row r="2730" customFormat="false" ht="15" hidden="false" customHeight="false" outlineLevel="0" collapsed="false">
      <c r="A2730" s="5"/>
      <c r="B2730" s="83"/>
      <c r="C2730" s="5"/>
      <c r="D2730" s="5"/>
      <c r="E2730" s="44"/>
      <c r="F2730" s="5"/>
      <c r="G2730" s="5"/>
      <c r="H2730" s="5"/>
      <c r="I2730" s="5"/>
      <c r="J2730" s="102" t="str">
        <f aca="false">IF(B2730="","",MONTH(B2730))</f>
        <v/>
      </c>
      <c r="K2730" s="102" t="str">
        <f aca="false">IF(B2730="","",YEAR(B2730))</f>
        <v/>
      </c>
      <c r="L2730" s="102" t="str">
        <f aca="false">IF(N(E2730)=0,"",IF(COUNTIFS(AK_NAMA,C2730,AK_KAT,"KAS")+COUNTIFS(AK_NAMA,D2730,AK_KAT,"KAS")&lt;&gt;1,"",IF(COUNTIFS(AK_NAMA,C2730,AK_KAT,"KAS")=1,D2730,C2730)))</f>
        <v/>
      </c>
      <c r="M2730" s="103" t="n">
        <f aca="false">IF(L2730="",0,IF(L2730=D2730,E2730,-E2730))</f>
        <v>0</v>
      </c>
      <c r="N2730" s="102" t="str">
        <f aca="false">IF(L2730="","",IFERROR(INDEX(AK_BARIS,MATCH(L2730,AK_NAMA,0)),"?"))</f>
        <v/>
      </c>
      <c r="O2730" s="102" t="str">
        <f aca="false">IF(C2730="","",IFERROR(INDEX(AK_KEL,MATCH(C2730,AK_NAMA,0)),"?"))</f>
        <v/>
      </c>
      <c r="P2730" s="102" t="str">
        <f aca="false">IF(D2730="","",IFERROR(INDEX(AK_KEL,MATCH(D2730,AK_NAMA,0)),"?"))</f>
        <v/>
      </c>
      <c r="Q2730" s="102" t="n">
        <f aca="false">N(Q2729)+IF(AND(N(E2730)&lt;&gt;0,K2730=TAHUN,N(J2730)&lt;=BLN,OR(C2730=BB_AKUN,D2730=BB_AKUN)),1,0)</f>
        <v>877</v>
      </c>
      <c r="R2730" s="104" t="str">
        <f aca="false">IF(OR(C2730&amp;D2730="",N(E2730)=0),"",IF(OR(O2730="?",P2730="?"),"⚠ akun tidak dikenal",IF(C2730=D2730,"⚠ debet = kredit","")))</f>
        <v/>
      </c>
    </row>
    <row r="2731" customFormat="false" ht="15" hidden="false" customHeight="false" outlineLevel="0" collapsed="false">
      <c r="A2731" s="5"/>
      <c r="B2731" s="83"/>
      <c r="C2731" s="5"/>
      <c r="D2731" s="5"/>
      <c r="E2731" s="44"/>
      <c r="F2731" s="5"/>
      <c r="G2731" s="5"/>
      <c r="H2731" s="5"/>
      <c r="I2731" s="5"/>
      <c r="J2731" s="102" t="str">
        <f aca="false">IF(B2731="","",MONTH(B2731))</f>
        <v/>
      </c>
      <c r="K2731" s="102" t="str">
        <f aca="false">IF(B2731="","",YEAR(B2731))</f>
        <v/>
      </c>
      <c r="L2731" s="102" t="str">
        <f aca="false">IF(N(E2731)=0,"",IF(COUNTIFS(AK_NAMA,C2731,AK_KAT,"KAS")+COUNTIFS(AK_NAMA,D2731,AK_KAT,"KAS")&lt;&gt;1,"",IF(COUNTIFS(AK_NAMA,C2731,AK_KAT,"KAS")=1,D2731,C2731)))</f>
        <v/>
      </c>
      <c r="M2731" s="103" t="n">
        <f aca="false">IF(L2731="",0,IF(L2731=D2731,E2731,-E2731))</f>
        <v>0</v>
      </c>
      <c r="N2731" s="102" t="str">
        <f aca="false">IF(L2731="","",IFERROR(INDEX(AK_BARIS,MATCH(L2731,AK_NAMA,0)),"?"))</f>
        <v/>
      </c>
      <c r="O2731" s="102" t="str">
        <f aca="false">IF(C2731="","",IFERROR(INDEX(AK_KEL,MATCH(C2731,AK_NAMA,0)),"?"))</f>
        <v/>
      </c>
      <c r="P2731" s="102" t="str">
        <f aca="false">IF(D2731="","",IFERROR(INDEX(AK_KEL,MATCH(D2731,AK_NAMA,0)),"?"))</f>
        <v/>
      </c>
      <c r="Q2731" s="102" t="n">
        <f aca="false">N(Q2730)+IF(AND(N(E2731)&lt;&gt;0,K2731=TAHUN,N(J2731)&lt;=BLN,OR(C2731=BB_AKUN,D2731=BB_AKUN)),1,0)</f>
        <v>877</v>
      </c>
      <c r="R2731" s="104" t="str">
        <f aca="false">IF(OR(C2731&amp;D2731="",N(E2731)=0),"",IF(OR(O2731="?",P2731="?"),"⚠ akun tidak dikenal",IF(C2731=D2731,"⚠ debet = kredit","")))</f>
        <v/>
      </c>
    </row>
    <row r="2732" customFormat="false" ht="15" hidden="false" customHeight="false" outlineLevel="0" collapsed="false">
      <c r="A2732" s="5"/>
      <c r="B2732" s="83"/>
      <c r="C2732" s="5"/>
      <c r="D2732" s="5"/>
      <c r="E2732" s="44"/>
      <c r="F2732" s="5"/>
      <c r="G2732" s="5"/>
      <c r="H2732" s="5"/>
      <c r="I2732" s="5"/>
      <c r="J2732" s="102" t="str">
        <f aca="false">IF(B2732="","",MONTH(B2732))</f>
        <v/>
      </c>
      <c r="K2732" s="102" t="str">
        <f aca="false">IF(B2732="","",YEAR(B2732))</f>
        <v/>
      </c>
      <c r="L2732" s="102" t="str">
        <f aca="false">IF(N(E2732)=0,"",IF(COUNTIFS(AK_NAMA,C2732,AK_KAT,"KAS")+COUNTIFS(AK_NAMA,D2732,AK_KAT,"KAS")&lt;&gt;1,"",IF(COUNTIFS(AK_NAMA,C2732,AK_KAT,"KAS")=1,D2732,C2732)))</f>
        <v/>
      </c>
      <c r="M2732" s="103" t="n">
        <f aca="false">IF(L2732="",0,IF(L2732=D2732,E2732,-E2732))</f>
        <v>0</v>
      </c>
      <c r="N2732" s="102" t="str">
        <f aca="false">IF(L2732="","",IFERROR(INDEX(AK_BARIS,MATCH(L2732,AK_NAMA,0)),"?"))</f>
        <v/>
      </c>
      <c r="O2732" s="102" t="str">
        <f aca="false">IF(C2732="","",IFERROR(INDEX(AK_KEL,MATCH(C2732,AK_NAMA,0)),"?"))</f>
        <v/>
      </c>
      <c r="P2732" s="102" t="str">
        <f aca="false">IF(D2732="","",IFERROR(INDEX(AK_KEL,MATCH(D2732,AK_NAMA,0)),"?"))</f>
        <v/>
      </c>
      <c r="Q2732" s="102" t="n">
        <f aca="false">N(Q2731)+IF(AND(N(E2732)&lt;&gt;0,K2732=TAHUN,N(J2732)&lt;=BLN,OR(C2732=BB_AKUN,D2732=BB_AKUN)),1,0)</f>
        <v>877</v>
      </c>
      <c r="R2732" s="104" t="str">
        <f aca="false">IF(OR(C2732&amp;D2732="",N(E2732)=0),"",IF(OR(O2732="?",P2732="?"),"⚠ akun tidak dikenal",IF(C2732=D2732,"⚠ debet = kredit","")))</f>
        <v/>
      </c>
    </row>
    <row r="2733" customFormat="false" ht="15" hidden="false" customHeight="false" outlineLevel="0" collapsed="false">
      <c r="A2733" s="5"/>
      <c r="B2733" s="83"/>
      <c r="C2733" s="5"/>
      <c r="D2733" s="5"/>
      <c r="E2733" s="44"/>
      <c r="F2733" s="5"/>
      <c r="G2733" s="5"/>
      <c r="H2733" s="5"/>
      <c r="I2733" s="5"/>
      <c r="J2733" s="102" t="str">
        <f aca="false">IF(B2733="","",MONTH(B2733))</f>
        <v/>
      </c>
      <c r="K2733" s="102" t="str">
        <f aca="false">IF(B2733="","",YEAR(B2733))</f>
        <v/>
      </c>
      <c r="L2733" s="102" t="str">
        <f aca="false">IF(N(E2733)=0,"",IF(COUNTIFS(AK_NAMA,C2733,AK_KAT,"KAS")+COUNTIFS(AK_NAMA,D2733,AK_KAT,"KAS")&lt;&gt;1,"",IF(COUNTIFS(AK_NAMA,C2733,AK_KAT,"KAS")=1,D2733,C2733)))</f>
        <v/>
      </c>
      <c r="M2733" s="103" t="n">
        <f aca="false">IF(L2733="",0,IF(L2733=D2733,E2733,-E2733))</f>
        <v>0</v>
      </c>
      <c r="N2733" s="102" t="str">
        <f aca="false">IF(L2733="","",IFERROR(INDEX(AK_BARIS,MATCH(L2733,AK_NAMA,0)),"?"))</f>
        <v/>
      </c>
      <c r="O2733" s="102" t="str">
        <f aca="false">IF(C2733="","",IFERROR(INDEX(AK_KEL,MATCH(C2733,AK_NAMA,0)),"?"))</f>
        <v/>
      </c>
      <c r="P2733" s="102" t="str">
        <f aca="false">IF(D2733="","",IFERROR(INDEX(AK_KEL,MATCH(D2733,AK_NAMA,0)),"?"))</f>
        <v/>
      </c>
      <c r="Q2733" s="102" t="n">
        <f aca="false">N(Q2732)+IF(AND(N(E2733)&lt;&gt;0,K2733=TAHUN,N(J2733)&lt;=BLN,OR(C2733=BB_AKUN,D2733=BB_AKUN)),1,0)</f>
        <v>877</v>
      </c>
      <c r="R2733" s="104" t="str">
        <f aca="false">IF(OR(C2733&amp;D2733="",N(E2733)=0),"",IF(OR(O2733="?",P2733="?"),"⚠ akun tidak dikenal",IF(C2733=D2733,"⚠ debet = kredit","")))</f>
        <v/>
      </c>
    </row>
    <row r="2734" customFormat="false" ht="15" hidden="false" customHeight="false" outlineLevel="0" collapsed="false">
      <c r="A2734" s="5"/>
      <c r="B2734" s="83"/>
      <c r="C2734" s="5"/>
      <c r="D2734" s="5"/>
      <c r="E2734" s="44"/>
      <c r="F2734" s="5"/>
      <c r="G2734" s="5"/>
      <c r="H2734" s="5"/>
      <c r="I2734" s="5"/>
      <c r="J2734" s="102" t="str">
        <f aca="false">IF(B2734="","",MONTH(B2734))</f>
        <v/>
      </c>
      <c r="K2734" s="102" t="str">
        <f aca="false">IF(B2734="","",YEAR(B2734))</f>
        <v/>
      </c>
      <c r="L2734" s="102" t="str">
        <f aca="false">IF(N(E2734)=0,"",IF(COUNTIFS(AK_NAMA,C2734,AK_KAT,"KAS")+COUNTIFS(AK_NAMA,D2734,AK_KAT,"KAS")&lt;&gt;1,"",IF(COUNTIFS(AK_NAMA,C2734,AK_KAT,"KAS")=1,D2734,C2734)))</f>
        <v/>
      </c>
      <c r="M2734" s="103" t="n">
        <f aca="false">IF(L2734="",0,IF(L2734=D2734,E2734,-E2734))</f>
        <v>0</v>
      </c>
      <c r="N2734" s="102" t="str">
        <f aca="false">IF(L2734="","",IFERROR(INDEX(AK_BARIS,MATCH(L2734,AK_NAMA,0)),"?"))</f>
        <v/>
      </c>
      <c r="O2734" s="102" t="str">
        <f aca="false">IF(C2734="","",IFERROR(INDEX(AK_KEL,MATCH(C2734,AK_NAMA,0)),"?"))</f>
        <v/>
      </c>
      <c r="P2734" s="102" t="str">
        <f aca="false">IF(D2734="","",IFERROR(INDEX(AK_KEL,MATCH(D2734,AK_NAMA,0)),"?"))</f>
        <v/>
      </c>
      <c r="Q2734" s="102" t="n">
        <f aca="false">N(Q2733)+IF(AND(N(E2734)&lt;&gt;0,K2734=TAHUN,N(J2734)&lt;=BLN,OR(C2734=BB_AKUN,D2734=BB_AKUN)),1,0)</f>
        <v>877</v>
      </c>
      <c r="R2734" s="104" t="str">
        <f aca="false">IF(OR(C2734&amp;D2734="",N(E2734)=0),"",IF(OR(O2734="?",P2734="?"),"⚠ akun tidak dikenal",IF(C2734=D2734,"⚠ debet = kredit","")))</f>
        <v/>
      </c>
    </row>
    <row r="2735" customFormat="false" ht="15" hidden="false" customHeight="false" outlineLevel="0" collapsed="false">
      <c r="A2735" s="5"/>
      <c r="B2735" s="83"/>
      <c r="C2735" s="5"/>
      <c r="D2735" s="5"/>
      <c r="E2735" s="44"/>
      <c r="F2735" s="5"/>
      <c r="G2735" s="5"/>
      <c r="H2735" s="5"/>
      <c r="I2735" s="5"/>
      <c r="J2735" s="102" t="str">
        <f aca="false">IF(B2735="","",MONTH(B2735))</f>
        <v/>
      </c>
      <c r="K2735" s="102" t="str">
        <f aca="false">IF(B2735="","",YEAR(B2735))</f>
        <v/>
      </c>
      <c r="L2735" s="102" t="str">
        <f aca="false">IF(N(E2735)=0,"",IF(COUNTIFS(AK_NAMA,C2735,AK_KAT,"KAS")+COUNTIFS(AK_NAMA,D2735,AK_KAT,"KAS")&lt;&gt;1,"",IF(COUNTIFS(AK_NAMA,C2735,AK_KAT,"KAS")=1,D2735,C2735)))</f>
        <v/>
      </c>
      <c r="M2735" s="103" t="n">
        <f aca="false">IF(L2735="",0,IF(L2735=D2735,E2735,-E2735))</f>
        <v>0</v>
      </c>
      <c r="N2735" s="102" t="str">
        <f aca="false">IF(L2735="","",IFERROR(INDEX(AK_BARIS,MATCH(L2735,AK_NAMA,0)),"?"))</f>
        <v/>
      </c>
      <c r="O2735" s="102" t="str">
        <f aca="false">IF(C2735="","",IFERROR(INDEX(AK_KEL,MATCH(C2735,AK_NAMA,0)),"?"))</f>
        <v/>
      </c>
      <c r="P2735" s="102" t="str">
        <f aca="false">IF(D2735="","",IFERROR(INDEX(AK_KEL,MATCH(D2735,AK_NAMA,0)),"?"))</f>
        <v/>
      </c>
      <c r="Q2735" s="102" t="n">
        <f aca="false">N(Q2734)+IF(AND(N(E2735)&lt;&gt;0,K2735=TAHUN,N(J2735)&lt;=BLN,OR(C2735=BB_AKUN,D2735=BB_AKUN)),1,0)</f>
        <v>877</v>
      </c>
      <c r="R2735" s="104" t="str">
        <f aca="false">IF(OR(C2735&amp;D2735="",N(E2735)=0),"",IF(OR(O2735="?",P2735="?"),"⚠ akun tidak dikenal",IF(C2735=D2735,"⚠ debet = kredit","")))</f>
        <v/>
      </c>
    </row>
    <row r="2736" customFormat="false" ht="15" hidden="false" customHeight="false" outlineLevel="0" collapsed="false">
      <c r="A2736" s="5"/>
      <c r="B2736" s="83"/>
      <c r="C2736" s="5"/>
      <c r="D2736" s="5"/>
      <c r="E2736" s="44"/>
      <c r="F2736" s="5"/>
      <c r="G2736" s="5"/>
      <c r="H2736" s="5"/>
      <c r="I2736" s="5"/>
      <c r="J2736" s="102" t="str">
        <f aca="false">IF(B2736="","",MONTH(B2736))</f>
        <v/>
      </c>
      <c r="K2736" s="102" t="str">
        <f aca="false">IF(B2736="","",YEAR(B2736))</f>
        <v/>
      </c>
      <c r="L2736" s="102" t="str">
        <f aca="false">IF(N(E2736)=0,"",IF(COUNTIFS(AK_NAMA,C2736,AK_KAT,"KAS")+COUNTIFS(AK_NAMA,D2736,AK_KAT,"KAS")&lt;&gt;1,"",IF(COUNTIFS(AK_NAMA,C2736,AK_KAT,"KAS")=1,D2736,C2736)))</f>
        <v/>
      </c>
      <c r="M2736" s="103" t="n">
        <f aca="false">IF(L2736="",0,IF(L2736=D2736,E2736,-E2736))</f>
        <v>0</v>
      </c>
      <c r="N2736" s="102" t="str">
        <f aca="false">IF(L2736="","",IFERROR(INDEX(AK_BARIS,MATCH(L2736,AK_NAMA,0)),"?"))</f>
        <v/>
      </c>
      <c r="O2736" s="102" t="str">
        <f aca="false">IF(C2736="","",IFERROR(INDEX(AK_KEL,MATCH(C2736,AK_NAMA,0)),"?"))</f>
        <v/>
      </c>
      <c r="P2736" s="102" t="str">
        <f aca="false">IF(D2736="","",IFERROR(INDEX(AK_KEL,MATCH(D2736,AK_NAMA,0)),"?"))</f>
        <v/>
      </c>
      <c r="Q2736" s="102" t="n">
        <f aca="false">N(Q2735)+IF(AND(N(E2736)&lt;&gt;0,K2736=TAHUN,N(J2736)&lt;=BLN,OR(C2736=BB_AKUN,D2736=BB_AKUN)),1,0)</f>
        <v>877</v>
      </c>
      <c r="R2736" s="104" t="str">
        <f aca="false">IF(OR(C2736&amp;D2736="",N(E2736)=0),"",IF(OR(O2736="?",P2736="?"),"⚠ akun tidak dikenal",IF(C2736=D2736,"⚠ debet = kredit","")))</f>
        <v/>
      </c>
    </row>
    <row r="2737" customFormat="false" ht="15" hidden="false" customHeight="false" outlineLevel="0" collapsed="false">
      <c r="A2737" s="5"/>
      <c r="B2737" s="83"/>
      <c r="C2737" s="5"/>
      <c r="D2737" s="5"/>
      <c r="E2737" s="44"/>
      <c r="F2737" s="5"/>
      <c r="G2737" s="5"/>
      <c r="H2737" s="5"/>
      <c r="I2737" s="5"/>
      <c r="J2737" s="102" t="str">
        <f aca="false">IF(B2737="","",MONTH(B2737))</f>
        <v/>
      </c>
      <c r="K2737" s="102" t="str">
        <f aca="false">IF(B2737="","",YEAR(B2737))</f>
        <v/>
      </c>
      <c r="L2737" s="102" t="str">
        <f aca="false">IF(N(E2737)=0,"",IF(COUNTIFS(AK_NAMA,C2737,AK_KAT,"KAS")+COUNTIFS(AK_NAMA,D2737,AK_KAT,"KAS")&lt;&gt;1,"",IF(COUNTIFS(AK_NAMA,C2737,AK_KAT,"KAS")=1,D2737,C2737)))</f>
        <v/>
      </c>
      <c r="M2737" s="103" t="n">
        <f aca="false">IF(L2737="",0,IF(L2737=D2737,E2737,-E2737))</f>
        <v>0</v>
      </c>
      <c r="N2737" s="102" t="str">
        <f aca="false">IF(L2737="","",IFERROR(INDEX(AK_BARIS,MATCH(L2737,AK_NAMA,0)),"?"))</f>
        <v/>
      </c>
      <c r="O2737" s="102" t="str">
        <f aca="false">IF(C2737="","",IFERROR(INDEX(AK_KEL,MATCH(C2737,AK_NAMA,0)),"?"))</f>
        <v/>
      </c>
      <c r="P2737" s="102" t="str">
        <f aca="false">IF(D2737="","",IFERROR(INDEX(AK_KEL,MATCH(D2737,AK_NAMA,0)),"?"))</f>
        <v/>
      </c>
      <c r="Q2737" s="102" t="n">
        <f aca="false">N(Q2736)+IF(AND(N(E2737)&lt;&gt;0,K2737=TAHUN,N(J2737)&lt;=BLN,OR(C2737=BB_AKUN,D2737=BB_AKUN)),1,0)</f>
        <v>877</v>
      </c>
      <c r="R2737" s="104" t="str">
        <f aca="false">IF(OR(C2737&amp;D2737="",N(E2737)=0),"",IF(OR(O2737="?",P2737="?"),"⚠ akun tidak dikenal",IF(C2737=D2737,"⚠ debet = kredit","")))</f>
        <v/>
      </c>
    </row>
    <row r="2738" customFormat="false" ht="15" hidden="false" customHeight="false" outlineLevel="0" collapsed="false">
      <c r="A2738" s="5"/>
      <c r="B2738" s="83"/>
      <c r="C2738" s="5"/>
      <c r="D2738" s="5"/>
      <c r="E2738" s="44"/>
      <c r="F2738" s="5"/>
      <c r="G2738" s="5"/>
      <c r="H2738" s="5"/>
      <c r="I2738" s="5"/>
      <c r="J2738" s="102" t="str">
        <f aca="false">IF(B2738="","",MONTH(B2738))</f>
        <v/>
      </c>
      <c r="K2738" s="102" t="str">
        <f aca="false">IF(B2738="","",YEAR(B2738))</f>
        <v/>
      </c>
      <c r="L2738" s="102" t="str">
        <f aca="false">IF(N(E2738)=0,"",IF(COUNTIFS(AK_NAMA,C2738,AK_KAT,"KAS")+COUNTIFS(AK_NAMA,D2738,AK_KAT,"KAS")&lt;&gt;1,"",IF(COUNTIFS(AK_NAMA,C2738,AK_KAT,"KAS")=1,D2738,C2738)))</f>
        <v/>
      </c>
      <c r="M2738" s="103" t="n">
        <f aca="false">IF(L2738="",0,IF(L2738=D2738,E2738,-E2738))</f>
        <v>0</v>
      </c>
      <c r="N2738" s="102" t="str">
        <f aca="false">IF(L2738="","",IFERROR(INDEX(AK_BARIS,MATCH(L2738,AK_NAMA,0)),"?"))</f>
        <v/>
      </c>
      <c r="O2738" s="102" t="str">
        <f aca="false">IF(C2738="","",IFERROR(INDEX(AK_KEL,MATCH(C2738,AK_NAMA,0)),"?"))</f>
        <v/>
      </c>
      <c r="P2738" s="102" t="str">
        <f aca="false">IF(D2738="","",IFERROR(INDEX(AK_KEL,MATCH(D2738,AK_NAMA,0)),"?"))</f>
        <v/>
      </c>
      <c r="Q2738" s="102" t="n">
        <f aca="false">N(Q2737)+IF(AND(N(E2738)&lt;&gt;0,K2738=TAHUN,N(J2738)&lt;=BLN,OR(C2738=BB_AKUN,D2738=BB_AKUN)),1,0)</f>
        <v>877</v>
      </c>
      <c r="R2738" s="104" t="str">
        <f aca="false">IF(OR(C2738&amp;D2738="",N(E2738)=0),"",IF(OR(O2738="?",P2738="?"),"⚠ akun tidak dikenal",IF(C2738=D2738,"⚠ debet = kredit","")))</f>
        <v/>
      </c>
    </row>
    <row r="2739" customFormat="false" ht="15" hidden="false" customHeight="false" outlineLevel="0" collapsed="false">
      <c r="A2739" s="5"/>
      <c r="B2739" s="83"/>
      <c r="C2739" s="5"/>
      <c r="D2739" s="5"/>
      <c r="E2739" s="44"/>
      <c r="F2739" s="5"/>
      <c r="G2739" s="5"/>
      <c r="H2739" s="5"/>
      <c r="I2739" s="5"/>
      <c r="J2739" s="102" t="str">
        <f aca="false">IF(B2739="","",MONTH(B2739))</f>
        <v/>
      </c>
      <c r="K2739" s="102" t="str">
        <f aca="false">IF(B2739="","",YEAR(B2739))</f>
        <v/>
      </c>
      <c r="L2739" s="102" t="str">
        <f aca="false">IF(N(E2739)=0,"",IF(COUNTIFS(AK_NAMA,C2739,AK_KAT,"KAS")+COUNTIFS(AK_NAMA,D2739,AK_KAT,"KAS")&lt;&gt;1,"",IF(COUNTIFS(AK_NAMA,C2739,AK_KAT,"KAS")=1,D2739,C2739)))</f>
        <v/>
      </c>
      <c r="M2739" s="103" t="n">
        <f aca="false">IF(L2739="",0,IF(L2739=D2739,E2739,-E2739))</f>
        <v>0</v>
      </c>
      <c r="N2739" s="102" t="str">
        <f aca="false">IF(L2739="","",IFERROR(INDEX(AK_BARIS,MATCH(L2739,AK_NAMA,0)),"?"))</f>
        <v/>
      </c>
      <c r="O2739" s="102" t="str">
        <f aca="false">IF(C2739="","",IFERROR(INDEX(AK_KEL,MATCH(C2739,AK_NAMA,0)),"?"))</f>
        <v/>
      </c>
      <c r="P2739" s="102" t="str">
        <f aca="false">IF(D2739="","",IFERROR(INDEX(AK_KEL,MATCH(D2739,AK_NAMA,0)),"?"))</f>
        <v/>
      </c>
      <c r="Q2739" s="102" t="n">
        <f aca="false">N(Q2738)+IF(AND(N(E2739)&lt;&gt;0,K2739=TAHUN,N(J2739)&lt;=BLN,OR(C2739=BB_AKUN,D2739=BB_AKUN)),1,0)</f>
        <v>877</v>
      </c>
      <c r="R2739" s="104" t="str">
        <f aca="false">IF(OR(C2739&amp;D2739="",N(E2739)=0),"",IF(OR(O2739="?",P2739="?"),"⚠ akun tidak dikenal",IF(C2739=D2739,"⚠ debet = kredit","")))</f>
        <v/>
      </c>
    </row>
    <row r="2740" customFormat="false" ht="15" hidden="false" customHeight="false" outlineLevel="0" collapsed="false">
      <c r="A2740" s="5"/>
      <c r="B2740" s="83"/>
      <c r="C2740" s="5"/>
      <c r="D2740" s="5"/>
      <c r="E2740" s="44"/>
      <c r="F2740" s="5"/>
      <c r="G2740" s="5"/>
      <c r="H2740" s="5"/>
      <c r="I2740" s="5"/>
      <c r="J2740" s="102" t="str">
        <f aca="false">IF(B2740="","",MONTH(B2740))</f>
        <v/>
      </c>
      <c r="K2740" s="102" t="str">
        <f aca="false">IF(B2740="","",YEAR(B2740))</f>
        <v/>
      </c>
      <c r="L2740" s="102" t="str">
        <f aca="false">IF(N(E2740)=0,"",IF(COUNTIFS(AK_NAMA,C2740,AK_KAT,"KAS")+COUNTIFS(AK_NAMA,D2740,AK_KAT,"KAS")&lt;&gt;1,"",IF(COUNTIFS(AK_NAMA,C2740,AK_KAT,"KAS")=1,D2740,C2740)))</f>
        <v/>
      </c>
      <c r="M2740" s="103" t="n">
        <f aca="false">IF(L2740="",0,IF(L2740=D2740,E2740,-E2740))</f>
        <v>0</v>
      </c>
      <c r="N2740" s="102" t="str">
        <f aca="false">IF(L2740="","",IFERROR(INDEX(AK_BARIS,MATCH(L2740,AK_NAMA,0)),"?"))</f>
        <v/>
      </c>
      <c r="O2740" s="102" t="str">
        <f aca="false">IF(C2740="","",IFERROR(INDEX(AK_KEL,MATCH(C2740,AK_NAMA,0)),"?"))</f>
        <v/>
      </c>
      <c r="P2740" s="102" t="str">
        <f aca="false">IF(D2740="","",IFERROR(INDEX(AK_KEL,MATCH(D2740,AK_NAMA,0)),"?"))</f>
        <v/>
      </c>
      <c r="Q2740" s="102" t="n">
        <f aca="false">N(Q2739)+IF(AND(N(E2740)&lt;&gt;0,K2740=TAHUN,N(J2740)&lt;=BLN,OR(C2740=BB_AKUN,D2740=BB_AKUN)),1,0)</f>
        <v>877</v>
      </c>
      <c r="R2740" s="104" t="str">
        <f aca="false">IF(OR(C2740&amp;D2740="",N(E2740)=0),"",IF(OR(O2740="?",P2740="?"),"⚠ akun tidak dikenal",IF(C2740=D2740,"⚠ debet = kredit","")))</f>
        <v/>
      </c>
    </row>
    <row r="2741" customFormat="false" ht="15" hidden="false" customHeight="false" outlineLevel="0" collapsed="false">
      <c r="A2741" s="5"/>
      <c r="B2741" s="83"/>
      <c r="C2741" s="5"/>
      <c r="D2741" s="5"/>
      <c r="E2741" s="44"/>
      <c r="F2741" s="5"/>
      <c r="G2741" s="5"/>
      <c r="H2741" s="5"/>
      <c r="I2741" s="5"/>
      <c r="J2741" s="102" t="str">
        <f aca="false">IF(B2741="","",MONTH(B2741))</f>
        <v/>
      </c>
      <c r="K2741" s="102" t="str">
        <f aca="false">IF(B2741="","",YEAR(B2741))</f>
        <v/>
      </c>
      <c r="L2741" s="102" t="str">
        <f aca="false">IF(N(E2741)=0,"",IF(COUNTIFS(AK_NAMA,C2741,AK_KAT,"KAS")+COUNTIFS(AK_NAMA,D2741,AK_KAT,"KAS")&lt;&gt;1,"",IF(COUNTIFS(AK_NAMA,C2741,AK_KAT,"KAS")=1,D2741,C2741)))</f>
        <v/>
      </c>
      <c r="M2741" s="103" t="n">
        <f aca="false">IF(L2741="",0,IF(L2741=D2741,E2741,-E2741))</f>
        <v>0</v>
      </c>
      <c r="N2741" s="102" t="str">
        <f aca="false">IF(L2741="","",IFERROR(INDEX(AK_BARIS,MATCH(L2741,AK_NAMA,0)),"?"))</f>
        <v/>
      </c>
      <c r="O2741" s="102" t="str">
        <f aca="false">IF(C2741="","",IFERROR(INDEX(AK_KEL,MATCH(C2741,AK_NAMA,0)),"?"))</f>
        <v/>
      </c>
      <c r="P2741" s="102" t="str">
        <f aca="false">IF(D2741="","",IFERROR(INDEX(AK_KEL,MATCH(D2741,AK_NAMA,0)),"?"))</f>
        <v/>
      </c>
      <c r="Q2741" s="102" t="n">
        <f aca="false">N(Q2740)+IF(AND(N(E2741)&lt;&gt;0,K2741=TAHUN,N(J2741)&lt;=BLN,OR(C2741=BB_AKUN,D2741=BB_AKUN)),1,0)</f>
        <v>877</v>
      </c>
      <c r="R2741" s="104" t="str">
        <f aca="false">IF(OR(C2741&amp;D2741="",N(E2741)=0),"",IF(OR(O2741="?",P2741="?"),"⚠ akun tidak dikenal",IF(C2741=D2741,"⚠ debet = kredit","")))</f>
        <v/>
      </c>
    </row>
    <row r="2742" customFormat="false" ht="15" hidden="false" customHeight="false" outlineLevel="0" collapsed="false">
      <c r="A2742" s="5"/>
      <c r="B2742" s="83"/>
      <c r="C2742" s="5"/>
      <c r="D2742" s="5"/>
      <c r="E2742" s="44"/>
      <c r="F2742" s="5"/>
      <c r="G2742" s="5"/>
      <c r="H2742" s="5"/>
      <c r="I2742" s="5"/>
      <c r="J2742" s="102" t="str">
        <f aca="false">IF(B2742="","",MONTH(B2742))</f>
        <v/>
      </c>
      <c r="K2742" s="102" t="str">
        <f aca="false">IF(B2742="","",YEAR(B2742))</f>
        <v/>
      </c>
      <c r="L2742" s="102" t="str">
        <f aca="false">IF(N(E2742)=0,"",IF(COUNTIFS(AK_NAMA,C2742,AK_KAT,"KAS")+COUNTIFS(AK_NAMA,D2742,AK_KAT,"KAS")&lt;&gt;1,"",IF(COUNTIFS(AK_NAMA,C2742,AK_KAT,"KAS")=1,D2742,C2742)))</f>
        <v/>
      </c>
      <c r="M2742" s="103" t="n">
        <f aca="false">IF(L2742="",0,IF(L2742=D2742,E2742,-E2742))</f>
        <v>0</v>
      </c>
      <c r="N2742" s="102" t="str">
        <f aca="false">IF(L2742="","",IFERROR(INDEX(AK_BARIS,MATCH(L2742,AK_NAMA,0)),"?"))</f>
        <v/>
      </c>
      <c r="O2742" s="102" t="str">
        <f aca="false">IF(C2742="","",IFERROR(INDEX(AK_KEL,MATCH(C2742,AK_NAMA,0)),"?"))</f>
        <v/>
      </c>
      <c r="P2742" s="102" t="str">
        <f aca="false">IF(D2742="","",IFERROR(INDEX(AK_KEL,MATCH(D2742,AK_NAMA,0)),"?"))</f>
        <v/>
      </c>
      <c r="Q2742" s="102" t="n">
        <f aca="false">N(Q2741)+IF(AND(N(E2742)&lt;&gt;0,K2742=TAHUN,N(J2742)&lt;=BLN,OR(C2742=BB_AKUN,D2742=BB_AKUN)),1,0)</f>
        <v>877</v>
      </c>
      <c r="R2742" s="104" t="str">
        <f aca="false">IF(OR(C2742&amp;D2742="",N(E2742)=0),"",IF(OR(O2742="?",P2742="?"),"⚠ akun tidak dikenal",IF(C2742=D2742,"⚠ debet = kredit","")))</f>
        <v/>
      </c>
    </row>
    <row r="2743" customFormat="false" ht="15" hidden="false" customHeight="false" outlineLevel="0" collapsed="false">
      <c r="A2743" s="5"/>
      <c r="B2743" s="83"/>
      <c r="C2743" s="5"/>
      <c r="D2743" s="5"/>
      <c r="E2743" s="44"/>
      <c r="F2743" s="5"/>
      <c r="G2743" s="5"/>
      <c r="H2743" s="5"/>
      <c r="I2743" s="5"/>
      <c r="J2743" s="102" t="str">
        <f aca="false">IF(B2743="","",MONTH(B2743))</f>
        <v/>
      </c>
      <c r="K2743" s="102" t="str">
        <f aca="false">IF(B2743="","",YEAR(B2743))</f>
        <v/>
      </c>
      <c r="L2743" s="102" t="str">
        <f aca="false">IF(N(E2743)=0,"",IF(COUNTIFS(AK_NAMA,C2743,AK_KAT,"KAS")+COUNTIFS(AK_NAMA,D2743,AK_KAT,"KAS")&lt;&gt;1,"",IF(COUNTIFS(AK_NAMA,C2743,AK_KAT,"KAS")=1,D2743,C2743)))</f>
        <v/>
      </c>
      <c r="M2743" s="103" t="n">
        <f aca="false">IF(L2743="",0,IF(L2743=D2743,E2743,-E2743))</f>
        <v>0</v>
      </c>
      <c r="N2743" s="102" t="str">
        <f aca="false">IF(L2743="","",IFERROR(INDEX(AK_BARIS,MATCH(L2743,AK_NAMA,0)),"?"))</f>
        <v/>
      </c>
      <c r="O2743" s="102" t="str">
        <f aca="false">IF(C2743="","",IFERROR(INDEX(AK_KEL,MATCH(C2743,AK_NAMA,0)),"?"))</f>
        <v/>
      </c>
      <c r="P2743" s="102" t="str">
        <f aca="false">IF(D2743="","",IFERROR(INDEX(AK_KEL,MATCH(D2743,AK_NAMA,0)),"?"))</f>
        <v/>
      </c>
      <c r="Q2743" s="102" t="n">
        <f aca="false">N(Q2742)+IF(AND(N(E2743)&lt;&gt;0,K2743=TAHUN,N(J2743)&lt;=BLN,OR(C2743=BB_AKUN,D2743=BB_AKUN)),1,0)</f>
        <v>877</v>
      </c>
      <c r="R2743" s="104" t="str">
        <f aca="false">IF(OR(C2743&amp;D2743="",N(E2743)=0),"",IF(OR(O2743="?",P2743="?"),"⚠ akun tidak dikenal",IF(C2743=D2743,"⚠ debet = kredit","")))</f>
        <v/>
      </c>
    </row>
    <row r="2744" customFormat="false" ht="15" hidden="false" customHeight="false" outlineLevel="0" collapsed="false">
      <c r="A2744" s="5"/>
      <c r="B2744" s="83"/>
      <c r="C2744" s="5"/>
      <c r="D2744" s="5"/>
      <c r="E2744" s="44"/>
      <c r="F2744" s="5"/>
      <c r="G2744" s="5"/>
      <c r="H2744" s="5"/>
      <c r="I2744" s="5"/>
      <c r="J2744" s="102" t="str">
        <f aca="false">IF(B2744="","",MONTH(B2744))</f>
        <v/>
      </c>
      <c r="K2744" s="102" t="str">
        <f aca="false">IF(B2744="","",YEAR(B2744))</f>
        <v/>
      </c>
      <c r="L2744" s="102" t="str">
        <f aca="false">IF(N(E2744)=0,"",IF(COUNTIFS(AK_NAMA,C2744,AK_KAT,"KAS")+COUNTIFS(AK_NAMA,D2744,AK_KAT,"KAS")&lt;&gt;1,"",IF(COUNTIFS(AK_NAMA,C2744,AK_KAT,"KAS")=1,D2744,C2744)))</f>
        <v/>
      </c>
      <c r="M2744" s="103" t="n">
        <f aca="false">IF(L2744="",0,IF(L2744=D2744,E2744,-E2744))</f>
        <v>0</v>
      </c>
      <c r="N2744" s="102" t="str">
        <f aca="false">IF(L2744="","",IFERROR(INDEX(AK_BARIS,MATCH(L2744,AK_NAMA,0)),"?"))</f>
        <v/>
      </c>
      <c r="O2744" s="102" t="str">
        <f aca="false">IF(C2744="","",IFERROR(INDEX(AK_KEL,MATCH(C2744,AK_NAMA,0)),"?"))</f>
        <v/>
      </c>
      <c r="P2744" s="102" t="str">
        <f aca="false">IF(D2744="","",IFERROR(INDEX(AK_KEL,MATCH(D2744,AK_NAMA,0)),"?"))</f>
        <v/>
      </c>
      <c r="Q2744" s="102" t="n">
        <f aca="false">N(Q2743)+IF(AND(N(E2744)&lt;&gt;0,K2744=TAHUN,N(J2744)&lt;=BLN,OR(C2744=BB_AKUN,D2744=BB_AKUN)),1,0)</f>
        <v>877</v>
      </c>
      <c r="R2744" s="104" t="str">
        <f aca="false">IF(OR(C2744&amp;D2744="",N(E2744)=0),"",IF(OR(O2744="?",P2744="?"),"⚠ akun tidak dikenal",IF(C2744=D2744,"⚠ debet = kredit","")))</f>
        <v/>
      </c>
    </row>
    <row r="2745" customFormat="false" ht="15" hidden="false" customHeight="false" outlineLevel="0" collapsed="false">
      <c r="A2745" s="5"/>
      <c r="B2745" s="83"/>
      <c r="C2745" s="5"/>
      <c r="D2745" s="5"/>
      <c r="E2745" s="44"/>
      <c r="F2745" s="5"/>
      <c r="G2745" s="5"/>
      <c r="H2745" s="5"/>
      <c r="I2745" s="5"/>
      <c r="J2745" s="102" t="str">
        <f aca="false">IF(B2745="","",MONTH(B2745))</f>
        <v/>
      </c>
      <c r="K2745" s="102" t="str">
        <f aca="false">IF(B2745="","",YEAR(B2745))</f>
        <v/>
      </c>
      <c r="L2745" s="102" t="str">
        <f aca="false">IF(N(E2745)=0,"",IF(COUNTIFS(AK_NAMA,C2745,AK_KAT,"KAS")+COUNTIFS(AK_NAMA,D2745,AK_KAT,"KAS")&lt;&gt;1,"",IF(COUNTIFS(AK_NAMA,C2745,AK_KAT,"KAS")=1,D2745,C2745)))</f>
        <v/>
      </c>
      <c r="M2745" s="103" t="n">
        <f aca="false">IF(L2745="",0,IF(L2745=D2745,E2745,-E2745))</f>
        <v>0</v>
      </c>
      <c r="N2745" s="102" t="str">
        <f aca="false">IF(L2745="","",IFERROR(INDEX(AK_BARIS,MATCH(L2745,AK_NAMA,0)),"?"))</f>
        <v/>
      </c>
      <c r="O2745" s="102" t="str">
        <f aca="false">IF(C2745="","",IFERROR(INDEX(AK_KEL,MATCH(C2745,AK_NAMA,0)),"?"))</f>
        <v/>
      </c>
      <c r="P2745" s="102" t="str">
        <f aca="false">IF(D2745="","",IFERROR(INDEX(AK_KEL,MATCH(D2745,AK_NAMA,0)),"?"))</f>
        <v/>
      </c>
      <c r="Q2745" s="102" t="n">
        <f aca="false">N(Q2744)+IF(AND(N(E2745)&lt;&gt;0,K2745=TAHUN,N(J2745)&lt;=BLN,OR(C2745=BB_AKUN,D2745=BB_AKUN)),1,0)</f>
        <v>877</v>
      </c>
      <c r="R2745" s="104" t="str">
        <f aca="false">IF(OR(C2745&amp;D2745="",N(E2745)=0),"",IF(OR(O2745="?",P2745="?"),"⚠ akun tidak dikenal",IF(C2745=D2745,"⚠ debet = kredit","")))</f>
        <v/>
      </c>
    </row>
    <row r="2746" customFormat="false" ht="15" hidden="false" customHeight="false" outlineLevel="0" collapsed="false">
      <c r="A2746" s="5"/>
      <c r="B2746" s="83"/>
      <c r="C2746" s="5"/>
      <c r="D2746" s="5"/>
      <c r="E2746" s="44"/>
      <c r="F2746" s="5"/>
      <c r="G2746" s="5"/>
      <c r="H2746" s="5"/>
      <c r="I2746" s="5"/>
      <c r="J2746" s="102" t="str">
        <f aca="false">IF(B2746="","",MONTH(B2746))</f>
        <v/>
      </c>
      <c r="K2746" s="102" t="str">
        <f aca="false">IF(B2746="","",YEAR(B2746))</f>
        <v/>
      </c>
      <c r="L2746" s="102" t="str">
        <f aca="false">IF(N(E2746)=0,"",IF(COUNTIFS(AK_NAMA,C2746,AK_KAT,"KAS")+COUNTIFS(AK_NAMA,D2746,AK_KAT,"KAS")&lt;&gt;1,"",IF(COUNTIFS(AK_NAMA,C2746,AK_KAT,"KAS")=1,D2746,C2746)))</f>
        <v/>
      </c>
      <c r="M2746" s="103" t="n">
        <f aca="false">IF(L2746="",0,IF(L2746=D2746,E2746,-E2746))</f>
        <v>0</v>
      </c>
      <c r="N2746" s="102" t="str">
        <f aca="false">IF(L2746="","",IFERROR(INDEX(AK_BARIS,MATCH(L2746,AK_NAMA,0)),"?"))</f>
        <v/>
      </c>
      <c r="O2746" s="102" t="str">
        <f aca="false">IF(C2746="","",IFERROR(INDEX(AK_KEL,MATCH(C2746,AK_NAMA,0)),"?"))</f>
        <v/>
      </c>
      <c r="P2746" s="102" t="str">
        <f aca="false">IF(D2746="","",IFERROR(INDEX(AK_KEL,MATCH(D2746,AK_NAMA,0)),"?"))</f>
        <v/>
      </c>
      <c r="Q2746" s="102" t="n">
        <f aca="false">N(Q2745)+IF(AND(N(E2746)&lt;&gt;0,K2746=TAHUN,N(J2746)&lt;=BLN,OR(C2746=BB_AKUN,D2746=BB_AKUN)),1,0)</f>
        <v>877</v>
      </c>
      <c r="R2746" s="104" t="str">
        <f aca="false">IF(OR(C2746&amp;D2746="",N(E2746)=0),"",IF(OR(O2746="?",P2746="?"),"⚠ akun tidak dikenal",IF(C2746=D2746,"⚠ debet = kredit","")))</f>
        <v/>
      </c>
    </row>
    <row r="2747" customFormat="false" ht="15" hidden="false" customHeight="false" outlineLevel="0" collapsed="false">
      <c r="A2747" s="5"/>
      <c r="B2747" s="83"/>
      <c r="C2747" s="5"/>
      <c r="D2747" s="5"/>
      <c r="E2747" s="44"/>
      <c r="F2747" s="5"/>
      <c r="G2747" s="5"/>
      <c r="H2747" s="5"/>
      <c r="I2747" s="5"/>
      <c r="J2747" s="102" t="str">
        <f aca="false">IF(B2747="","",MONTH(B2747))</f>
        <v/>
      </c>
      <c r="K2747" s="102" t="str">
        <f aca="false">IF(B2747="","",YEAR(B2747))</f>
        <v/>
      </c>
      <c r="L2747" s="102" t="str">
        <f aca="false">IF(N(E2747)=0,"",IF(COUNTIFS(AK_NAMA,C2747,AK_KAT,"KAS")+COUNTIFS(AK_NAMA,D2747,AK_KAT,"KAS")&lt;&gt;1,"",IF(COUNTIFS(AK_NAMA,C2747,AK_KAT,"KAS")=1,D2747,C2747)))</f>
        <v/>
      </c>
      <c r="M2747" s="103" t="n">
        <f aca="false">IF(L2747="",0,IF(L2747=D2747,E2747,-E2747))</f>
        <v>0</v>
      </c>
      <c r="N2747" s="102" t="str">
        <f aca="false">IF(L2747="","",IFERROR(INDEX(AK_BARIS,MATCH(L2747,AK_NAMA,0)),"?"))</f>
        <v/>
      </c>
      <c r="O2747" s="102" t="str">
        <f aca="false">IF(C2747="","",IFERROR(INDEX(AK_KEL,MATCH(C2747,AK_NAMA,0)),"?"))</f>
        <v/>
      </c>
      <c r="P2747" s="102" t="str">
        <f aca="false">IF(D2747="","",IFERROR(INDEX(AK_KEL,MATCH(D2747,AK_NAMA,0)),"?"))</f>
        <v/>
      </c>
      <c r="Q2747" s="102" t="n">
        <f aca="false">N(Q2746)+IF(AND(N(E2747)&lt;&gt;0,K2747=TAHUN,N(J2747)&lt;=BLN,OR(C2747=BB_AKUN,D2747=BB_AKUN)),1,0)</f>
        <v>877</v>
      </c>
      <c r="R2747" s="104" t="str">
        <f aca="false">IF(OR(C2747&amp;D2747="",N(E2747)=0),"",IF(OR(O2747="?",P2747="?"),"⚠ akun tidak dikenal",IF(C2747=D2747,"⚠ debet = kredit","")))</f>
        <v/>
      </c>
    </row>
    <row r="2748" customFormat="false" ht="15" hidden="false" customHeight="false" outlineLevel="0" collapsed="false">
      <c r="A2748" s="5"/>
      <c r="B2748" s="83"/>
      <c r="C2748" s="5"/>
      <c r="D2748" s="5"/>
      <c r="E2748" s="44"/>
      <c r="F2748" s="5"/>
      <c r="G2748" s="5"/>
      <c r="H2748" s="5"/>
      <c r="I2748" s="5"/>
      <c r="J2748" s="102" t="str">
        <f aca="false">IF(B2748="","",MONTH(B2748))</f>
        <v/>
      </c>
      <c r="K2748" s="102" t="str">
        <f aca="false">IF(B2748="","",YEAR(B2748))</f>
        <v/>
      </c>
      <c r="L2748" s="102" t="str">
        <f aca="false">IF(N(E2748)=0,"",IF(COUNTIFS(AK_NAMA,C2748,AK_KAT,"KAS")+COUNTIFS(AK_NAMA,D2748,AK_KAT,"KAS")&lt;&gt;1,"",IF(COUNTIFS(AK_NAMA,C2748,AK_KAT,"KAS")=1,D2748,C2748)))</f>
        <v/>
      </c>
      <c r="M2748" s="103" t="n">
        <f aca="false">IF(L2748="",0,IF(L2748=D2748,E2748,-E2748))</f>
        <v>0</v>
      </c>
      <c r="N2748" s="102" t="str">
        <f aca="false">IF(L2748="","",IFERROR(INDEX(AK_BARIS,MATCH(L2748,AK_NAMA,0)),"?"))</f>
        <v/>
      </c>
      <c r="O2748" s="102" t="str">
        <f aca="false">IF(C2748="","",IFERROR(INDEX(AK_KEL,MATCH(C2748,AK_NAMA,0)),"?"))</f>
        <v/>
      </c>
      <c r="P2748" s="102" t="str">
        <f aca="false">IF(D2748="","",IFERROR(INDEX(AK_KEL,MATCH(D2748,AK_NAMA,0)),"?"))</f>
        <v/>
      </c>
      <c r="Q2748" s="102" t="n">
        <f aca="false">N(Q2747)+IF(AND(N(E2748)&lt;&gt;0,K2748=TAHUN,N(J2748)&lt;=BLN,OR(C2748=BB_AKUN,D2748=BB_AKUN)),1,0)</f>
        <v>877</v>
      </c>
      <c r="R2748" s="104" t="str">
        <f aca="false">IF(OR(C2748&amp;D2748="",N(E2748)=0),"",IF(OR(O2748="?",P2748="?"),"⚠ akun tidak dikenal",IF(C2748=D2748,"⚠ debet = kredit","")))</f>
        <v/>
      </c>
    </row>
    <row r="2749" customFormat="false" ht="15" hidden="false" customHeight="false" outlineLevel="0" collapsed="false">
      <c r="A2749" s="5"/>
      <c r="B2749" s="83"/>
      <c r="C2749" s="5"/>
      <c r="D2749" s="5"/>
      <c r="E2749" s="44"/>
      <c r="F2749" s="5"/>
      <c r="G2749" s="5"/>
      <c r="H2749" s="5"/>
      <c r="I2749" s="5"/>
      <c r="J2749" s="102" t="str">
        <f aca="false">IF(B2749="","",MONTH(B2749))</f>
        <v/>
      </c>
      <c r="K2749" s="102" t="str">
        <f aca="false">IF(B2749="","",YEAR(B2749))</f>
        <v/>
      </c>
      <c r="L2749" s="102" t="str">
        <f aca="false">IF(N(E2749)=0,"",IF(COUNTIFS(AK_NAMA,C2749,AK_KAT,"KAS")+COUNTIFS(AK_NAMA,D2749,AK_KAT,"KAS")&lt;&gt;1,"",IF(COUNTIFS(AK_NAMA,C2749,AK_KAT,"KAS")=1,D2749,C2749)))</f>
        <v/>
      </c>
      <c r="M2749" s="103" t="n">
        <f aca="false">IF(L2749="",0,IF(L2749=D2749,E2749,-E2749))</f>
        <v>0</v>
      </c>
      <c r="N2749" s="102" t="str">
        <f aca="false">IF(L2749="","",IFERROR(INDEX(AK_BARIS,MATCH(L2749,AK_NAMA,0)),"?"))</f>
        <v/>
      </c>
      <c r="O2749" s="102" t="str">
        <f aca="false">IF(C2749="","",IFERROR(INDEX(AK_KEL,MATCH(C2749,AK_NAMA,0)),"?"))</f>
        <v/>
      </c>
      <c r="P2749" s="102" t="str">
        <f aca="false">IF(D2749="","",IFERROR(INDEX(AK_KEL,MATCH(D2749,AK_NAMA,0)),"?"))</f>
        <v/>
      </c>
      <c r="Q2749" s="102" t="n">
        <f aca="false">N(Q2748)+IF(AND(N(E2749)&lt;&gt;0,K2749=TAHUN,N(J2749)&lt;=BLN,OR(C2749=BB_AKUN,D2749=BB_AKUN)),1,0)</f>
        <v>877</v>
      </c>
      <c r="R2749" s="104" t="str">
        <f aca="false">IF(OR(C2749&amp;D2749="",N(E2749)=0),"",IF(OR(O2749="?",P2749="?"),"⚠ akun tidak dikenal",IF(C2749=D2749,"⚠ debet = kredit","")))</f>
        <v/>
      </c>
    </row>
    <row r="2750" customFormat="false" ht="15" hidden="false" customHeight="false" outlineLevel="0" collapsed="false">
      <c r="A2750" s="5"/>
      <c r="B2750" s="83"/>
      <c r="C2750" s="5"/>
      <c r="D2750" s="5"/>
      <c r="E2750" s="44"/>
      <c r="F2750" s="5"/>
      <c r="G2750" s="5"/>
      <c r="H2750" s="5"/>
      <c r="I2750" s="5"/>
      <c r="J2750" s="102" t="str">
        <f aca="false">IF(B2750="","",MONTH(B2750))</f>
        <v/>
      </c>
      <c r="K2750" s="102" t="str">
        <f aca="false">IF(B2750="","",YEAR(B2750))</f>
        <v/>
      </c>
      <c r="L2750" s="102" t="str">
        <f aca="false">IF(N(E2750)=0,"",IF(COUNTIFS(AK_NAMA,C2750,AK_KAT,"KAS")+COUNTIFS(AK_NAMA,D2750,AK_KAT,"KAS")&lt;&gt;1,"",IF(COUNTIFS(AK_NAMA,C2750,AK_KAT,"KAS")=1,D2750,C2750)))</f>
        <v/>
      </c>
      <c r="M2750" s="103" t="n">
        <f aca="false">IF(L2750="",0,IF(L2750=D2750,E2750,-E2750))</f>
        <v>0</v>
      </c>
      <c r="N2750" s="102" t="str">
        <f aca="false">IF(L2750="","",IFERROR(INDEX(AK_BARIS,MATCH(L2750,AK_NAMA,0)),"?"))</f>
        <v/>
      </c>
      <c r="O2750" s="102" t="str">
        <f aca="false">IF(C2750="","",IFERROR(INDEX(AK_KEL,MATCH(C2750,AK_NAMA,0)),"?"))</f>
        <v/>
      </c>
      <c r="P2750" s="102" t="str">
        <f aca="false">IF(D2750="","",IFERROR(INDEX(AK_KEL,MATCH(D2750,AK_NAMA,0)),"?"))</f>
        <v/>
      </c>
      <c r="Q2750" s="102" t="n">
        <f aca="false">N(Q2749)+IF(AND(N(E2750)&lt;&gt;0,K2750=TAHUN,N(J2750)&lt;=BLN,OR(C2750=BB_AKUN,D2750=BB_AKUN)),1,0)</f>
        <v>877</v>
      </c>
      <c r="R2750" s="104" t="str">
        <f aca="false">IF(OR(C2750&amp;D2750="",N(E2750)=0),"",IF(OR(O2750="?",P2750="?"),"⚠ akun tidak dikenal",IF(C2750=D2750,"⚠ debet = kredit","")))</f>
        <v/>
      </c>
    </row>
    <row r="2751" customFormat="false" ht="15" hidden="false" customHeight="false" outlineLevel="0" collapsed="false">
      <c r="A2751" s="5"/>
      <c r="B2751" s="83"/>
      <c r="C2751" s="5"/>
      <c r="D2751" s="5"/>
      <c r="E2751" s="44"/>
      <c r="F2751" s="5"/>
      <c r="G2751" s="5"/>
      <c r="H2751" s="5"/>
      <c r="I2751" s="5"/>
      <c r="J2751" s="102" t="str">
        <f aca="false">IF(B2751="","",MONTH(B2751))</f>
        <v/>
      </c>
      <c r="K2751" s="102" t="str">
        <f aca="false">IF(B2751="","",YEAR(B2751))</f>
        <v/>
      </c>
      <c r="L2751" s="102" t="str">
        <f aca="false">IF(N(E2751)=0,"",IF(COUNTIFS(AK_NAMA,C2751,AK_KAT,"KAS")+COUNTIFS(AK_NAMA,D2751,AK_KAT,"KAS")&lt;&gt;1,"",IF(COUNTIFS(AK_NAMA,C2751,AK_KAT,"KAS")=1,D2751,C2751)))</f>
        <v/>
      </c>
      <c r="M2751" s="103" t="n">
        <f aca="false">IF(L2751="",0,IF(L2751=D2751,E2751,-E2751))</f>
        <v>0</v>
      </c>
      <c r="N2751" s="102" t="str">
        <f aca="false">IF(L2751="","",IFERROR(INDEX(AK_BARIS,MATCH(L2751,AK_NAMA,0)),"?"))</f>
        <v/>
      </c>
      <c r="O2751" s="102" t="str">
        <f aca="false">IF(C2751="","",IFERROR(INDEX(AK_KEL,MATCH(C2751,AK_NAMA,0)),"?"))</f>
        <v/>
      </c>
      <c r="P2751" s="102" t="str">
        <f aca="false">IF(D2751="","",IFERROR(INDEX(AK_KEL,MATCH(D2751,AK_NAMA,0)),"?"))</f>
        <v/>
      </c>
      <c r="Q2751" s="102" t="n">
        <f aca="false">N(Q2750)+IF(AND(N(E2751)&lt;&gt;0,K2751=TAHUN,N(J2751)&lt;=BLN,OR(C2751=BB_AKUN,D2751=BB_AKUN)),1,0)</f>
        <v>877</v>
      </c>
      <c r="R2751" s="104" t="str">
        <f aca="false">IF(OR(C2751&amp;D2751="",N(E2751)=0),"",IF(OR(O2751="?",P2751="?"),"⚠ akun tidak dikenal",IF(C2751=D2751,"⚠ debet = kredit","")))</f>
        <v/>
      </c>
    </row>
    <row r="2752" customFormat="false" ht="15" hidden="false" customHeight="false" outlineLevel="0" collapsed="false">
      <c r="A2752" s="5"/>
      <c r="B2752" s="83"/>
      <c r="C2752" s="5"/>
      <c r="D2752" s="5"/>
      <c r="E2752" s="44"/>
      <c r="F2752" s="5"/>
      <c r="G2752" s="5"/>
      <c r="H2752" s="5"/>
      <c r="I2752" s="5"/>
      <c r="J2752" s="102" t="str">
        <f aca="false">IF(B2752="","",MONTH(B2752))</f>
        <v/>
      </c>
      <c r="K2752" s="102" t="str">
        <f aca="false">IF(B2752="","",YEAR(B2752))</f>
        <v/>
      </c>
      <c r="L2752" s="102" t="str">
        <f aca="false">IF(N(E2752)=0,"",IF(COUNTIFS(AK_NAMA,C2752,AK_KAT,"KAS")+COUNTIFS(AK_NAMA,D2752,AK_KAT,"KAS")&lt;&gt;1,"",IF(COUNTIFS(AK_NAMA,C2752,AK_KAT,"KAS")=1,D2752,C2752)))</f>
        <v/>
      </c>
      <c r="M2752" s="103" t="n">
        <f aca="false">IF(L2752="",0,IF(L2752=D2752,E2752,-E2752))</f>
        <v>0</v>
      </c>
      <c r="N2752" s="102" t="str">
        <f aca="false">IF(L2752="","",IFERROR(INDEX(AK_BARIS,MATCH(L2752,AK_NAMA,0)),"?"))</f>
        <v/>
      </c>
      <c r="O2752" s="102" t="str">
        <f aca="false">IF(C2752="","",IFERROR(INDEX(AK_KEL,MATCH(C2752,AK_NAMA,0)),"?"))</f>
        <v/>
      </c>
      <c r="P2752" s="102" t="str">
        <f aca="false">IF(D2752="","",IFERROR(INDEX(AK_KEL,MATCH(D2752,AK_NAMA,0)),"?"))</f>
        <v/>
      </c>
      <c r="Q2752" s="102" t="n">
        <f aca="false">N(Q2751)+IF(AND(N(E2752)&lt;&gt;0,K2752=TAHUN,N(J2752)&lt;=BLN,OR(C2752=BB_AKUN,D2752=BB_AKUN)),1,0)</f>
        <v>877</v>
      </c>
      <c r="R2752" s="104" t="str">
        <f aca="false">IF(OR(C2752&amp;D2752="",N(E2752)=0),"",IF(OR(O2752="?",P2752="?"),"⚠ akun tidak dikenal",IF(C2752=D2752,"⚠ debet = kredit","")))</f>
        <v/>
      </c>
    </row>
    <row r="2753" customFormat="false" ht="15" hidden="false" customHeight="false" outlineLevel="0" collapsed="false">
      <c r="A2753" s="5"/>
      <c r="B2753" s="83"/>
      <c r="C2753" s="5"/>
      <c r="D2753" s="5"/>
      <c r="E2753" s="44"/>
      <c r="F2753" s="5"/>
      <c r="G2753" s="5"/>
      <c r="H2753" s="5"/>
      <c r="I2753" s="5"/>
      <c r="J2753" s="102" t="str">
        <f aca="false">IF(B2753="","",MONTH(B2753))</f>
        <v/>
      </c>
      <c r="K2753" s="102" t="str">
        <f aca="false">IF(B2753="","",YEAR(B2753))</f>
        <v/>
      </c>
      <c r="L2753" s="102" t="str">
        <f aca="false">IF(N(E2753)=0,"",IF(COUNTIFS(AK_NAMA,C2753,AK_KAT,"KAS")+COUNTIFS(AK_NAMA,D2753,AK_KAT,"KAS")&lt;&gt;1,"",IF(COUNTIFS(AK_NAMA,C2753,AK_KAT,"KAS")=1,D2753,C2753)))</f>
        <v/>
      </c>
      <c r="M2753" s="103" t="n">
        <f aca="false">IF(L2753="",0,IF(L2753=D2753,E2753,-E2753))</f>
        <v>0</v>
      </c>
      <c r="N2753" s="102" t="str">
        <f aca="false">IF(L2753="","",IFERROR(INDEX(AK_BARIS,MATCH(L2753,AK_NAMA,0)),"?"))</f>
        <v/>
      </c>
      <c r="O2753" s="102" t="str">
        <f aca="false">IF(C2753="","",IFERROR(INDEX(AK_KEL,MATCH(C2753,AK_NAMA,0)),"?"))</f>
        <v/>
      </c>
      <c r="P2753" s="102" t="str">
        <f aca="false">IF(D2753="","",IFERROR(INDEX(AK_KEL,MATCH(D2753,AK_NAMA,0)),"?"))</f>
        <v/>
      </c>
      <c r="Q2753" s="102" t="n">
        <f aca="false">N(Q2752)+IF(AND(N(E2753)&lt;&gt;0,K2753=TAHUN,N(J2753)&lt;=BLN,OR(C2753=BB_AKUN,D2753=BB_AKUN)),1,0)</f>
        <v>877</v>
      </c>
      <c r="R2753" s="104" t="str">
        <f aca="false">IF(OR(C2753&amp;D2753="",N(E2753)=0),"",IF(OR(O2753="?",P2753="?"),"⚠ akun tidak dikenal",IF(C2753=D2753,"⚠ debet = kredit","")))</f>
        <v/>
      </c>
    </row>
    <row r="2754" customFormat="false" ht="15" hidden="false" customHeight="false" outlineLevel="0" collapsed="false">
      <c r="A2754" s="5"/>
      <c r="B2754" s="83"/>
      <c r="C2754" s="5"/>
      <c r="D2754" s="5"/>
      <c r="E2754" s="44"/>
      <c r="F2754" s="5"/>
      <c r="G2754" s="5"/>
      <c r="H2754" s="5"/>
      <c r="I2754" s="5"/>
      <c r="J2754" s="102" t="str">
        <f aca="false">IF(B2754="","",MONTH(B2754))</f>
        <v/>
      </c>
      <c r="K2754" s="102" t="str">
        <f aca="false">IF(B2754="","",YEAR(B2754))</f>
        <v/>
      </c>
      <c r="L2754" s="102" t="str">
        <f aca="false">IF(N(E2754)=0,"",IF(COUNTIFS(AK_NAMA,C2754,AK_KAT,"KAS")+COUNTIFS(AK_NAMA,D2754,AK_KAT,"KAS")&lt;&gt;1,"",IF(COUNTIFS(AK_NAMA,C2754,AK_KAT,"KAS")=1,D2754,C2754)))</f>
        <v/>
      </c>
      <c r="M2754" s="103" t="n">
        <f aca="false">IF(L2754="",0,IF(L2754=D2754,E2754,-E2754))</f>
        <v>0</v>
      </c>
      <c r="N2754" s="102" t="str">
        <f aca="false">IF(L2754="","",IFERROR(INDEX(AK_BARIS,MATCH(L2754,AK_NAMA,0)),"?"))</f>
        <v/>
      </c>
      <c r="O2754" s="102" t="str">
        <f aca="false">IF(C2754="","",IFERROR(INDEX(AK_KEL,MATCH(C2754,AK_NAMA,0)),"?"))</f>
        <v/>
      </c>
      <c r="P2754" s="102" t="str">
        <f aca="false">IF(D2754="","",IFERROR(INDEX(AK_KEL,MATCH(D2754,AK_NAMA,0)),"?"))</f>
        <v/>
      </c>
      <c r="Q2754" s="102" t="n">
        <f aca="false">N(Q2753)+IF(AND(N(E2754)&lt;&gt;0,K2754=TAHUN,N(J2754)&lt;=BLN,OR(C2754=BB_AKUN,D2754=BB_AKUN)),1,0)</f>
        <v>877</v>
      </c>
      <c r="R2754" s="104" t="str">
        <f aca="false">IF(OR(C2754&amp;D2754="",N(E2754)=0),"",IF(OR(O2754="?",P2754="?"),"⚠ akun tidak dikenal",IF(C2754=D2754,"⚠ debet = kredit","")))</f>
        <v/>
      </c>
    </row>
    <row r="2755" customFormat="false" ht="15" hidden="false" customHeight="false" outlineLevel="0" collapsed="false">
      <c r="A2755" s="5"/>
      <c r="B2755" s="83"/>
      <c r="C2755" s="5"/>
      <c r="D2755" s="5"/>
      <c r="E2755" s="44"/>
      <c r="F2755" s="5"/>
      <c r="G2755" s="5"/>
      <c r="H2755" s="5"/>
      <c r="I2755" s="5"/>
      <c r="J2755" s="102" t="str">
        <f aca="false">IF(B2755="","",MONTH(B2755))</f>
        <v/>
      </c>
      <c r="K2755" s="102" t="str">
        <f aca="false">IF(B2755="","",YEAR(B2755))</f>
        <v/>
      </c>
      <c r="L2755" s="102" t="str">
        <f aca="false">IF(N(E2755)=0,"",IF(COUNTIFS(AK_NAMA,C2755,AK_KAT,"KAS")+COUNTIFS(AK_NAMA,D2755,AK_KAT,"KAS")&lt;&gt;1,"",IF(COUNTIFS(AK_NAMA,C2755,AK_KAT,"KAS")=1,D2755,C2755)))</f>
        <v/>
      </c>
      <c r="M2755" s="103" t="n">
        <f aca="false">IF(L2755="",0,IF(L2755=D2755,E2755,-E2755))</f>
        <v>0</v>
      </c>
      <c r="N2755" s="102" t="str">
        <f aca="false">IF(L2755="","",IFERROR(INDEX(AK_BARIS,MATCH(L2755,AK_NAMA,0)),"?"))</f>
        <v/>
      </c>
      <c r="O2755" s="102" t="str">
        <f aca="false">IF(C2755="","",IFERROR(INDEX(AK_KEL,MATCH(C2755,AK_NAMA,0)),"?"))</f>
        <v/>
      </c>
      <c r="P2755" s="102" t="str">
        <f aca="false">IF(D2755="","",IFERROR(INDEX(AK_KEL,MATCH(D2755,AK_NAMA,0)),"?"))</f>
        <v/>
      </c>
      <c r="Q2755" s="102" t="n">
        <f aca="false">N(Q2754)+IF(AND(N(E2755)&lt;&gt;0,K2755=TAHUN,N(J2755)&lt;=BLN,OR(C2755=BB_AKUN,D2755=BB_AKUN)),1,0)</f>
        <v>877</v>
      </c>
      <c r="R2755" s="104" t="str">
        <f aca="false">IF(OR(C2755&amp;D2755="",N(E2755)=0),"",IF(OR(O2755="?",P2755="?"),"⚠ akun tidak dikenal",IF(C2755=D2755,"⚠ debet = kredit","")))</f>
        <v/>
      </c>
    </row>
    <row r="2756" customFormat="false" ht="15" hidden="false" customHeight="false" outlineLevel="0" collapsed="false">
      <c r="A2756" s="5"/>
      <c r="B2756" s="83"/>
      <c r="C2756" s="5"/>
      <c r="D2756" s="5"/>
      <c r="E2756" s="44"/>
      <c r="F2756" s="5"/>
      <c r="G2756" s="5"/>
      <c r="H2756" s="5"/>
      <c r="I2756" s="5"/>
      <c r="J2756" s="102" t="str">
        <f aca="false">IF(B2756="","",MONTH(B2756))</f>
        <v/>
      </c>
      <c r="K2756" s="102" t="str">
        <f aca="false">IF(B2756="","",YEAR(B2756))</f>
        <v/>
      </c>
      <c r="L2756" s="102" t="str">
        <f aca="false">IF(N(E2756)=0,"",IF(COUNTIFS(AK_NAMA,C2756,AK_KAT,"KAS")+COUNTIFS(AK_NAMA,D2756,AK_KAT,"KAS")&lt;&gt;1,"",IF(COUNTIFS(AK_NAMA,C2756,AK_KAT,"KAS")=1,D2756,C2756)))</f>
        <v/>
      </c>
      <c r="M2756" s="103" t="n">
        <f aca="false">IF(L2756="",0,IF(L2756=D2756,E2756,-E2756))</f>
        <v>0</v>
      </c>
      <c r="N2756" s="102" t="str">
        <f aca="false">IF(L2756="","",IFERROR(INDEX(AK_BARIS,MATCH(L2756,AK_NAMA,0)),"?"))</f>
        <v/>
      </c>
      <c r="O2756" s="102" t="str">
        <f aca="false">IF(C2756="","",IFERROR(INDEX(AK_KEL,MATCH(C2756,AK_NAMA,0)),"?"))</f>
        <v/>
      </c>
      <c r="P2756" s="102" t="str">
        <f aca="false">IF(D2756="","",IFERROR(INDEX(AK_KEL,MATCH(D2756,AK_NAMA,0)),"?"))</f>
        <v/>
      </c>
      <c r="Q2756" s="102" t="n">
        <f aca="false">N(Q2755)+IF(AND(N(E2756)&lt;&gt;0,K2756=TAHUN,N(J2756)&lt;=BLN,OR(C2756=BB_AKUN,D2756=BB_AKUN)),1,0)</f>
        <v>877</v>
      </c>
      <c r="R2756" s="104" t="str">
        <f aca="false">IF(OR(C2756&amp;D2756="",N(E2756)=0),"",IF(OR(O2756="?",P2756="?"),"⚠ akun tidak dikenal",IF(C2756=D2756,"⚠ debet = kredit","")))</f>
        <v/>
      </c>
    </row>
    <row r="2757" customFormat="false" ht="15" hidden="false" customHeight="false" outlineLevel="0" collapsed="false">
      <c r="A2757" s="5"/>
      <c r="B2757" s="83"/>
      <c r="C2757" s="5"/>
      <c r="D2757" s="5"/>
      <c r="E2757" s="44"/>
      <c r="F2757" s="5"/>
      <c r="G2757" s="5"/>
      <c r="H2757" s="5"/>
      <c r="I2757" s="5"/>
      <c r="J2757" s="102" t="str">
        <f aca="false">IF(B2757="","",MONTH(B2757))</f>
        <v/>
      </c>
      <c r="K2757" s="102" t="str">
        <f aca="false">IF(B2757="","",YEAR(B2757))</f>
        <v/>
      </c>
      <c r="L2757" s="102" t="str">
        <f aca="false">IF(N(E2757)=0,"",IF(COUNTIFS(AK_NAMA,C2757,AK_KAT,"KAS")+COUNTIFS(AK_NAMA,D2757,AK_KAT,"KAS")&lt;&gt;1,"",IF(COUNTIFS(AK_NAMA,C2757,AK_KAT,"KAS")=1,D2757,C2757)))</f>
        <v/>
      </c>
      <c r="M2757" s="103" t="n">
        <f aca="false">IF(L2757="",0,IF(L2757=D2757,E2757,-E2757))</f>
        <v>0</v>
      </c>
      <c r="N2757" s="102" t="str">
        <f aca="false">IF(L2757="","",IFERROR(INDEX(AK_BARIS,MATCH(L2757,AK_NAMA,0)),"?"))</f>
        <v/>
      </c>
      <c r="O2757" s="102" t="str">
        <f aca="false">IF(C2757="","",IFERROR(INDEX(AK_KEL,MATCH(C2757,AK_NAMA,0)),"?"))</f>
        <v/>
      </c>
      <c r="P2757" s="102" t="str">
        <f aca="false">IF(D2757="","",IFERROR(INDEX(AK_KEL,MATCH(D2757,AK_NAMA,0)),"?"))</f>
        <v/>
      </c>
      <c r="Q2757" s="102" t="n">
        <f aca="false">N(Q2756)+IF(AND(N(E2757)&lt;&gt;0,K2757=TAHUN,N(J2757)&lt;=BLN,OR(C2757=BB_AKUN,D2757=BB_AKUN)),1,0)</f>
        <v>877</v>
      </c>
      <c r="R2757" s="104" t="str">
        <f aca="false">IF(OR(C2757&amp;D2757="",N(E2757)=0),"",IF(OR(O2757="?",P2757="?"),"⚠ akun tidak dikenal",IF(C2757=D2757,"⚠ debet = kredit","")))</f>
        <v/>
      </c>
    </row>
    <row r="2758" customFormat="false" ht="15" hidden="false" customHeight="false" outlineLevel="0" collapsed="false">
      <c r="A2758" s="5"/>
      <c r="B2758" s="83"/>
      <c r="C2758" s="5"/>
      <c r="D2758" s="5"/>
      <c r="E2758" s="44"/>
      <c r="F2758" s="5"/>
      <c r="G2758" s="5"/>
      <c r="H2758" s="5"/>
      <c r="I2758" s="5"/>
      <c r="J2758" s="102" t="str">
        <f aca="false">IF(B2758="","",MONTH(B2758))</f>
        <v/>
      </c>
      <c r="K2758" s="102" t="str">
        <f aca="false">IF(B2758="","",YEAR(B2758))</f>
        <v/>
      </c>
      <c r="L2758" s="102" t="str">
        <f aca="false">IF(N(E2758)=0,"",IF(COUNTIFS(AK_NAMA,C2758,AK_KAT,"KAS")+COUNTIFS(AK_NAMA,D2758,AK_KAT,"KAS")&lt;&gt;1,"",IF(COUNTIFS(AK_NAMA,C2758,AK_KAT,"KAS")=1,D2758,C2758)))</f>
        <v/>
      </c>
      <c r="M2758" s="103" t="n">
        <f aca="false">IF(L2758="",0,IF(L2758=D2758,E2758,-E2758))</f>
        <v>0</v>
      </c>
      <c r="N2758" s="102" t="str">
        <f aca="false">IF(L2758="","",IFERROR(INDEX(AK_BARIS,MATCH(L2758,AK_NAMA,0)),"?"))</f>
        <v/>
      </c>
      <c r="O2758" s="102" t="str">
        <f aca="false">IF(C2758="","",IFERROR(INDEX(AK_KEL,MATCH(C2758,AK_NAMA,0)),"?"))</f>
        <v/>
      </c>
      <c r="P2758" s="102" t="str">
        <f aca="false">IF(D2758="","",IFERROR(INDEX(AK_KEL,MATCH(D2758,AK_NAMA,0)),"?"))</f>
        <v/>
      </c>
      <c r="Q2758" s="102" t="n">
        <f aca="false">N(Q2757)+IF(AND(N(E2758)&lt;&gt;0,K2758=TAHUN,N(J2758)&lt;=BLN,OR(C2758=BB_AKUN,D2758=BB_AKUN)),1,0)</f>
        <v>877</v>
      </c>
      <c r="R2758" s="104" t="str">
        <f aca="false">IF(OR(C2758&amp;D2758="",N(E2758)=0),"",IF(OR(O2758="?",P2758="?"),"⚠ akun tidak dikenal",IF(C2758=D2758,"⚠ debet = kredit","")))</f>
        <v/>
      </c>
    </row>
    <row r="2759" customFormat="false" ht="15" hidden="false" customHeight="false" outlineLevel="0" collapsed="false">
      <c r="A2759" s="5"/>
      <c r="B2759" s="83"/>
      <c r="C2759" s="5"/>
      <c r="D2759" s="5"/>
      <c r="E2759" s="44"/>
      <c r="F2759" s="5"/>
      <c r="G2759" s="5"/>
      <c r="H2759" s="5"/>
      <c r="I2759" s="5"/>
      <c r="J2759" s="102" t="str">
        <f aca="false">IF(B2759="","",MONTH(B2759))</f>
        <v/>
      </c>
      <c r="K2759" s="102" t="str">
        <f aca="false">IF(B2759="","",YEAR(B2759))</f>
        <v/>
      </c>
      <c r="L2759" s="102" t="str">
        <f aca="false">IF(N(E2759)=0,"",IF(COUNTIFS(AK_NAMA,C2759,AK_KAT,"KAS")+COUNTIFS(AK_NAMA,D2759,AK_KAT,"KAS")&lt;&gt;1,"",IF(COUNTIFS(AK_NAMA,C2759,AK_KAT,"KAS")=1,D2759,C2759)))</f>
        <v/>
      </c>
      <c r="M2759" s="103" t="n">
        <f aca="false">IF(L2759="",0,IF(L2759=D2759,E2759,-E2759))</f>
        <v>0</v>
      </c>
      <c r="N2759" s="102" t="str">
        <f aca="false">IF(L2759="","",IFERROR(INDEX(AK_BARIS,MATCH(L2759,AK_NAMA,0)),"?"))</f>
        <v/>
      </c>
      <c r="O2759" s="102" t="str">
        <f aca="false">IF(C2759="","",IFERROR(INDEX(AK_KEL,MATCH(C2759,AK_NAMA,0)),"?"))</f>
        <v/>
      </c>
      <c r="P2759" s="102" t="str">
        <f aca="false">IF(D2759="","",IFERROR(INDEX(AK_KEL,MATCH(D2759,AK_NAMA,0)),"?"))</f>
        <v/>
      </c>
      <c r="Q2759" s="102" t="n">
        <f aca="false">N(Q2758)+IF(AND(N(E2759)&lt;&gt;0,K2759=TAHUN,N(J2759)&lt;=BLN,OR(C2759=BB_AKUN,D2759=BB_AKUN)),1,0)</f>
        <v>877</v>
      </c>
      <c r="R2759" s="104" t="str">
        <f aca="false">IF(OR(C2759&amp;D2759="",N(E2759)=0),"",IF(OR(O2759="?",P2759="?"),"⚠ akun tidak dikenal",IF(C2759=D2759,"⚠ debet = kredit","")))</f>
        <v/>
      </c>
    </row>
    <row r="2760" customFormat="false" ht="15" hidden="false" customHeight="false" outlineLevel="0" collapsed="false">
      <c r="A2760" s="5"/>
      <c r="B2760" s="83"/>
      <c r="C2760" s="5"/>
      <c r="D2760" s="5"/>
      <c r="E2760" s="44"/>
      <c r="F2760" s="5"/>
      <c r="G2760" s="5"/>
      <c r="H2760" s="5"/>
      <c r="I2760" s="5"/>
      <c r="J2760" s="102" t="str">
        <f aca="false">IF(B2760="","",MONTH(B2760))</f>
        <v/>
      </c>
      <c r="K2760" s="102" t="str">
        <f aca="false">IF(B2760="","",YEAR(B2760))</f>
        <v/>
      </c>
      <c r="L2760" s="102" t="str">
        <f aca="false">IF(N(E2760)=0,"",IF(COUNTIFS(AK_NAMA,C2760,AK_KAT,"KAS")+COUNTIFS(AK_NAMA,D2760,AK_KAT,"KAS")&lt;&gt;1,"",IF(COUNTIFS(AK_NAMA,C2760,AK_KAT,"KAS")=1,D2760,C2760)))</f>
        <v/>
      </c>
      <c r="M2760" s="103" t="n">
        <f aca="false">IF(L2760="",0,IF(L2760=D2760,E2760,-E2760))</f>
        <v>0</v>
      </c>
      <c r="N2760" s="102" t="str">
        <f aca="false">IF(L2760="","",IFERROR(INDEX(AK_BARIS,MATCH(L2760,AK_NAMA,0)),"?"))</f>
        <v/>
      </c>
      <c r="O2760" s="102" t="str">
        <f aca="false">IF(C2760="","",IFERROR(INDEX(AK_KEL,MATCH(C2760,AK_NAMA,0)),"?"))</f>
        <v/>
      </c>
      <c r="P2760" s="102" t="str">
        <f aca="false">IF(D2760="","",IFERROR(INDEX(AK_KEL,MATCH(D2760,AK_NAMA,0)),"?"))</f>
        <v/>
      </c>
      <c r="Q2760" s="102" t="n">
        <f aca="false">N(Q2759)+IF(AND(N(E2760)&lt;&gt;0,K2760=TAHUN,N(J2760)&lt;=BLN,OR(C2760=BB_AKUN,D2760=BB_AKUN)),1,0)</f>
        <v>877</v>
      </c>
      <c r="R2760" s="104" t="str">
        <f aca="false">IF(OR(C2760&amp;D2760="",N(E2760)=0),"",IF(OR(O2760="?",P2760="?"),"⚠ akun tidak dikenal",IF(C2760=D2760,"⚠ debet = kredit","")))</f>
        <v/>
      </c>
    </row>
    <row r="2761" customFormat="false" ht="15" hidden="false" customHeight="false" outlineLevel="0" collapsed="false">
      <c r="A2761" s="5"/>
      <c r="B2761" s="83"/>
      <c r="C2761" s="5"/>
      <c r="D2761" s="5"/>
      <c r="E2761" s="44"/>
      <c r="F2761" s="5"/>
      <c r="G2761" s="5"/>
      <c r="H2761" s="5"/>
      <c r="I2761" s="5"/>
      <c r="J2761" s="102" t="str">
        <f aca="false">IF(B2761="","",MONTH(B2761))</f>
        <v/>
      </c>
      <c r="K2761" s="102" t="str">
        <f aca="false">IF(B2761="","",YEAR(B2761))</f>
        <v/>
      </c>
      <c r="L2761" s="102" t="str">
        <f aca="false">IF(N(E2761)=0,"",IF(COUNTIFS(AK_NAMA,C2761,AK_KAT,"KAS")+COUNTIFS(AK_NAMA,D2761,AK_KAT,"KAS")&lt;&gt;1,"",IF(COUNTIFS(AK_NAMA,C2761,AK_KAT,"KAS")=1,D2761,C2761)))</f>
        <v/>
      </c>
      <c r="M2761" s="103" t="n">
        <f aca="false">IF(L2761="",0,IF(L2761=D2761,E2761,-E2761))</f>
        <v>0</v>
      </c>
      <c r="N2761" s="102" t="str">
        <f aca="false">IF(L2761="","",IFERROR(INDEX(AK_BARIS,MATCH(L2761,AK_NAMA,0)),"?"))</f>
        <v/>
      </c>
      <c r="O2761" s="102" t="str">
        <f aca="false">IF(C2761="","",IFERROR(INDEX(AK_KEL,MATCH(C2761,AK_NAMA,0)),"?"))</f>
        <v/>
      </c>
      <c r="P2761" s="102" t="str">
        <f aca="false">IF(D2761="","",IFERROR(INDEX(AK_KEL,MATCH(D2761,AK_NAMA,0)),"?"))</f>
        <v/>
      </c>
      <c r="Q2761" s="102" t="n">
        <f aca="false">N(Q2760)+IF(AND(N(E2761)&lt;&gt;0,K2761=TAHUN,N(J2761)&lt;=BLN,OR(C2761=BB_AKUN,D2761=BB_AKUN)),1,0)</f>
        <v>877</v>
      </c>
      <c r="R2761" s="104" t="str">
        <f aca="false">IF(OR(C2761&amp;D2761="",N(E2761)=0),"",IF(OR(O2761="?",P2761="?"),"⚠ akun tidak dikenal",IF(C2761=D2761,"⚠ debet = kredit","")))</f>
        <v/>
      </c>
    </row>
    <row r="2762" customFormat="false" ht="15" hidden="false" customHeight="false" outlineLevel="0" collapsed="false">
      <c r="A2762" s="5"/>
      <c r="B2762" s="83"/>
      <c r="C2762" s="5"/>
      <c r="D2762" s="5"/>
      <c r="E2762" s="44"/>
      <c r="F2762" s="5"/>
      <c r="G2762" s="5"/>
      <c r="H2762" s="5"/>
      <c r="I2762" s="5"/>
      <c r="J2762" s="102" t="str">
        <f aca="false">IF(B2762="","",MONTH(B2762))</f>
        <v/>
      </c>
      <c r="K2762" s="102" t="str">
        <f aca="false">IF(B2762="","",YEAR(B2762))</f>
        <v/>
      </c>
      <c r="L2762" s="102" t="str">
        <f aca="false">IF(N(E2762)=0,"",IF(COUNTIFS(AK_NAMA,C2762,AK_KAT,"KAS")+COUNTIFS(AK_NAMA,D2762,AK_KAT,"KAS")&lt;&gt;1,"",IF(COUNTIFS(AK_NAMA,C2762,AK_KAT,"KAS")=1,D2762,C2762)))</f>
        <v/>
      </c>
      <c r="M2762" s="103" t="n">
        <f aca="false">IF(L2762="",0,IF(L2762=D2762,E2762,-E2762))</f>
        <v>0</v>
      </c>
      <c r="N2762" s="102" t="str">
        <f aca="false">IF(L2762="","",IFERROR(INDEX(AK_BARIS,MATCH(L2762,AK_NAMA,0)),"?"))</f>
        <v/>
      </c>
      <c r="O2762" s="102" t="str">
        <f aca="false">IF(C2762="","",IFERROR(INDEX(AK_KEL,MATCH(C2762,AK_NAMA,0)),"?"))</f>
        <v/>
      </c>
      <c r="P2762" s="102" t="str">
        <f aca="false">IF(D2762="","",IFERROR(INDEX(AK_KEL,MATCH(D2762,AK_NAMA,0)),"?"))</f>
        <v/>
      </c>
      <c r="Q2762" s="102" t="n">
        <f aca="false">N(Q2761)+IF(AND(N(E2762)&lt;&gt;0,K2762=TAHUN,N(J2762)&lt;=BLN,OR(C2762=BB_AKUN,D2762=BB_AKUN)),1,0)</f>
        <v>877</v>
      </c>
      <c r="R2762" s="104" t="str">
        <f aca="false">IF(OR(C2762&amp;D2762="",N(E2762)=0),"",IF(OR(O2762="?",P2762="?"),"⚠ akun tidak dikenal",IF(C2762=D2762,"⚠ debet = kredit","")))</f>
        <v/>
      </c>
    </row>
    <row r="2763" customFormat="false" ht="15" hidden="false" customHeight="false" outlineLevel="0" collapsed="false">
      <c r="A2763" s="5"/>
      <c r="B2763" s="83"/>
      <c r="C2763" s="5"/>
      <c r="D2763" s="5"/>
      <c r="E2763" s="44"/>
      <c r="F2763" s="5"/>
      <c r="G2763" s="5"/>
      <c r="H2763" s="5"/>
      <c r="I2763" s="5"/>
      <c r="J2763" s="102" t="str">
        <f aca="false">IF(B2763="","",MONTH(B2763))</f>
        <v/>
      </c>
      <c r="K2763" s="102" t="str">
        <f aca="false">IF(B2763="","",YEAR(B2763))</f>
        <v/>
      </c>
      <c r="L2763" s="102" t="str">
        <f aca="false">IF(N(E2763)=0,"",IF(COUNTIFS(AK_NAMA,C2763,AK_KAT,"KAS")+COUNTIFS(AK_NAMA,D2763,AK_KAT,"KAS")&lt;&gt;1,"",IF(COUNTIFS(AK_NAMA,C2763,AK_KAT,"KAS")=1,D2763,C2763)))</f>
        <v/>
      </c>
      <c r="M2763" s="103" t="n">
        <f aca="false">IF(L2763="",0,IF(L2763=D2763,E2763,-E2763))</f>
        <v>0</v>
      </c>
      <c r="N2763" s="102" t="str">
        <f aca="false">IF(L2763="","",IFERROR(INDEX(AK_BARIS,MATCH(L2763,AK_NAMA,0)),"?"))</f>
        <v/>
      </c>
      <c r="O2763" s="102" t="str">
        <f aca="false">IF(C2763="","",IFERROR(INDEX(AK_KEL,MATCH(C2763,AK_NAMA,0)),"?"))</f>
        <v/>
      </c>
      <c r="P2763" s="102" t="str">
        <f aca="false">IF(D2763="","",IFERROR(INDEX(AK_KEL,MATCH(D2763,AK_NAMA,0)),"?"))</f>
        <v/>
      </c>
      <c r="Q2763" s="102" t="n">
        <f aca="false">N(Q2762)+IF(AND(N(E2763)&lt;&gt;0,K2763=TAHUN,N(J2763)&lt;=BLN,OR(C2763=BB_AKUN,D2763=BB_AKUN)),1,0)</f>
        <v>877</v>
      </c>
      <c r="R2763" s="104" t="str">
        <f aca="false">IF(OR(C2763&amp;D2763="",N(E2763)=0),"",IF(OR(O2763="?",P2763="?"),"⚠ akun tidak dikenal",IF(C2763=D2763,"⚠ debet = kredit","")))</f>
        <v/>
      </c>
    </row>
    <row r="2764" customFormat="false" ht="15" hidden="false" customHeight="false" outlineLevel="0" collapsed="false">
      <c r="A2764" s="5"/>
      <c r="B2764" s="83"/>
      <c r="C2764" s="5"/>
      <c r="D2764" s="5"/>
      <c r="E2764" s="44"/>
      <c r="F2764" s="5"/>
      <c r="G2764" s="5"/>
      <c r="H2764" s="5"/>
      <c r="I2764" s="5"/>
      <c r="J2764" s="102" t="str">
        <f aca="false">IF(B2764="","",MONTH(B2764))</f>
        <v/>
      </c>
      <c r="K2764" s="102" t="str">
        <f aca="false">IF(B2764="","",YEAR(B2764))</f>
        <v/>
      </c>
      <c r="L2764" s="102" t="str">
        <f aca="false">IF(N(E2764)=0,"",IF(COUNTIFS(AK_NAMA,C2764,AK_KAT,"KAS")+COUNTIFS(AK_NAMA,D2764,AK_KAT,"KAS")&lt;&gt;1,"",IF(COUNTIFS(AK_NAMA,C2764,AK_KAT,"KAS")=1,D2764,C2764)))</f>
        <v/>
      </c>
      <c r="M2764" s="103" t="n">
        <f aca="false">IF(L2764="",0,IF(L2764=D2764,E2764,-E2764))</f>
        <v>0</v>
      </c>
      <c r="N2764" s="102" t="str">
        <f aca="false">IF(L2764="","",IFERROR(INDEX(AK_BARIS,MATCH(L2764,AK_NAMA,0)),"?"))</f>
        <v/>
      </c>
      <c r="O2764" s="102" t="str">
        <f aca="false">IF(C2764="","",IFERROR(INDEX(AK_KEL,MATCH(C2764,AK_NAMA,0)),"?"))</f>
        <v/>
      </c>
      <c r="P2764" s="102" t="str">
        <f aca="false">IF(D2764="","",IFERROR(INDEX(AK_KEL,MATCH(D2764,AK_NAMA,0)),"?"))</f>
        <v/>
      </c>
      <c r="Q2764" s="102" t="n">
        <f aca="false">N(Q2763)+IF(AND(N(E2764)&lt;&gt;0,K2764=TAHUN,N(J2764)&lt;=BLN,OR(C2764=BB_AKUN,D2764=BB_AKUN)),1,0)</f>
        <v>877</v>
      </c>
      <c r="R2764" s="104" t="str">
        <f aca="false">IF(OR(C2764&amp;D2764="",N(E2764)=0),"",IF(OR(O2764="?",P2764="?"),"⚠ akun tidak dikenal",IF(C2764=D2764,"⚠ debet = kredit","")))</f>
        <v/>
      </c>
    </row>
    <row r="2765" customFormat="false" ht="15" hidden="false" customHeight="false" outlineLevel="0" collapsed="false">
      <c r="A2765" s="5"/>
      <c r="B2765" s="83"/>
      <c r="C2765" s="5"/>
      <c r="D2765" s="5"/>
      <c r="E2765" s="44"/>
      <c r="F2765" s="5"/>
      <c r="G2765" s="5"/>
      <c r="H2765" s="5"/>
      <c r="I2765" s="5"/>
      <c r="J2765" s="102" t="str">
        <f aca="false">IF(B2765="","",MONTH(B2765))</f>
        <v/>
      </c>
      <c r="K2765" s="102" t="str">
        <f aca="false">IF(B2765="","",YEAR(B2765))</f>
        <v/>
      </c>
      <c r="L2765" s="102" t="str">
        <f aca="false">IF(N(E2765)=0,"",IF(COUNTIFS(AK_NAMA,C2765,AK_KAT,"KAS")+COUNTIFS(AK_NAMA,D2765,AK_KAT,"KAS")&lt;&gt;1,"",IF(COUNTIFS(AK_NAMA,C2765,AK_KAT,"KAS")=1,D2765,C2765)))</f>
        <v/>
      </c>
      <c r="M2765" s="103" t="n">
        <f aca="false">IF(L2765="",0,IF(L2765=D2765,E2765,-E2765))</f>
        <v>0</v>
      </c>
      <c r="N2765" s="102" t="str">
        <f aca="false">IF(L2765="","",IFERROR(INDEX(AK_BARIS,MATCH(L2765,AK_NAMA,0)),"?"))</f>
        <v/>
      </c>
      <c r="O2765" s="102" t="str">
        <f aca="false">IF(C2765="","",IFERROR(INDEX(AK_KEL,MATCH(C2765,AK_NAMA,0)),"?"))</f>
        <v/>
      </c>
      <c r="P2765" s="102" t="str">
        <f aca="false">IF(D2765="","",IFERROR(INDEX(AK_KEL,MATCH(D2765,AK_NAMA,0)),"?"))</f>
        <v/>
      </c>
      <c r="Q2765" s="102" t="n">
        <f aca="false">N(Q2764)+IF(AND(N(E2765)&lt;&gt;0,K2765=TAHUN,N(J2765)&lt;=BLN,OR(C2765=BB_AKUN,D2765=BB_AKUN)),1,0)</f>
        <v>877</v>
      </c>
      <c r="R2765" s="104" t="str">
        <f aca="false">IF(OR(C2765&amp;D2765="",N(E2765)=0),"",IF(OR(O2765="?",P2765="?"),"⚠ akun tidak dikenal",IF(C2765=D2765,"⚠ debet = kredit","")))</f>
        <v/>
      </c>
    </row>
    <row r="2766" customFormat="false" ht="15" hidden="false" customHeight="false" outlineLevel="0" collapsed="false">
      <c r="A2766" s="5"/>
      <c r="B2766" s="83"/>
      <c r="C2766" s="5"/>
      <c r="D2766" s="5"/>
      <c r="E2766" s="44"/>
      <c r="F2766" s="5"/>
      <c r="G2766" s="5"/>
      <c r="H2766" s="5"/>
      <c r="I2766" s="5"/>
      <c r="J2766" s="102" t="str">
        <f aca="false">IF(B2766="","",MONTH(B2766))</f>
        <v/>
      </c>
      <c r="K2766" s="102" t="str">
        <f aca="false">IF(B2766="","",YEAR(B2766))</f>
        <v/>
      </c>
      <c r="L2766" s="102" t="str">
        <f aca="false">IF(N(E2766)=0,"",IF(COUNTIFS(AK_NAMA,C2766,AK_KAT,"KAS")+COUNTIFS(AK_NAMA,D2766,AK_KAT,"KAS")&lt;&gt;1,"",IF(COUNTIFS(AK_NAMA,C2766,AK_KAT,"KAS")=1,D2766,C2766)))</f>
        <v/>
      </c>
      <c r="M2766" s="103" t="n">
        <f aca="false">IF(L2766="",0,IF(L2766=D2766,E2766,-E2766))</f>
        <v>0</v>
      </c>
      <c r="N2766" s="102" t="str">
        <f aca="false">IF(L2766="","",IFERROR(INDEX(AK_BARIS,MATCH(L2766,AK_NAMA,0)),"?"))</f>
        <v/>
      </c>
      <c r="O2766" s="102" t="str">
        <f aca="false">IF(C2766="","",IFERROR(INDEX(AK_KEL,MATCH(C2766,AK_NAMA,0)),"?"))</f>
        <v/>
      </c>
      <c r="P2766" s="102" t="str">
        <f aca="false">IF(D2766="","",IFERROR(INDEX(AK_KEL,MATCH(D2766,AK_NAMA,0)),"?"))</f>
        <v/>
      </c>
      <c r="Q2766" s="102" t="n">
        <f aca="false">N(Q2765)+IF(AND(N(E2766)&lt;&gt;0,K2766=TAHUN,N(J2766)&lt;=BLN,OR(C2766=BB_AKUN,D2766=BB_AKUN)),1,0)</f>
        <v>877</v>
      </c>
      <c r="R2766" s="104" t="str">
        <f aca="false">IF(OR(C2766&amp;D2766="",N(E2766)=0),"",IF(OR(O2766="?",P2766="?"),"⚠ akun tidak dikenal",IF(C2766=D2766,"⚠ debet = kredit","")))</f>
        <v/>
      </c>
    </row>
    <row r="2767" customFormat="false" ht="15" hidden="false" customHeight="false" outlineLevel="0" collapsed="false">
      <c r="A2767" s="5"/>
      <c r="B2767" s="83"/>
      <c r="C2767" s="5"/>
      <c r="D2767" s="5"/>
      <c r="E2767" s="44"/>
      <c r="F2767" s="5"/>
      <c r="G2767" s="5"/>
      <c r="H2767" s="5"/>
      <c r="I2767" s="5"/>
      <c r="J2767" s="102" t="str">
        <f aca="false">IF(B2767="","",MONTH(B2767))</f>
        <v/>
      </c>
      <c r="K2767" s="102" t="str">
        <f aca="false">IF(B2767="","",YEAR(B2767))</f>
        <v/>
      </c>
      <c r="L2767" s="102" t="str">
        <f aca="false">IF(N(E2767)=0,"",IF(COUNTIFS(AK_NAMA,C2767,AK_KAT,"KAS")+COUNTIFS(AK_NAMA,D2767,AK_KAT,"KAS")&lt;&gt;1,"",IF(COUNTIFS(AK_NAMA,C2767,AK_KAT,"KAS")=1,D2767,C2767)))</f>
        <v/>
      </c>
      <c r="M2767" s="103" t="n">
        <f aca="false">IF(L2767="",0,IF(L2767=D2767,E2767,-E2767))</f>
        <v>0</v>
      </c>
      <c r="N2767" s="102" t="str">
        <f aca="false">IF(L2767="","",IFERROR(INDEX(AK_BARIS,MATCH(L2767,AK_NAMA,0)),"?"))</f>
        <v/>
      </c>
      <c r="O2767" s="102" t="str">
        <f aca="false">IF(C2767="","",IFERROR(INDEX(AK_KEL,MATCH(C2767,AK_NAMA,0)),"?"))</f>
        <v/>
      </c>
      <c r="P2767" s="102" t="str">
        <f aca="false">IF(D2767="","",IFERROR(INDEX(AK_KEL,MATCH(D2767,AK_NAMA,0)),"?"))</f>
        <v/>
      </c>
      <c r="Q2767" s="102" t="n">
        <f aca="false">N(Q2766)+IF(AND(N(E2767)&lt;&gt;0,K2767=TAHUN,N(J2767)&lt;=BLN,OR(C2767=BB_AKUN,D2767=BB_AKUN)),1,0)</f>
        <v>877</v>
      </c>
      <c r="R2767" s="104" t="str">
        <f aca="false">IF(OR(C2767&amp;D2767="",N(E2767)=0),"",IF(OR(O2767="?",P2767="?"),"⚠ akun tidak dikenal",IF(C2767=D2767,"⚠ debet = kredit","")))</f>
        <v/>
      </c>
    </row>
    <row r="2768" customFormat="false" ht="15" hidden="false" customHeight="false" outlineLevel="0" collapsed="false">
      <c r="A2768" s="5"/>
      <c r="B2768" s="83"/>
      <c r="C2768" s="5"/>
      <c r="D2768" s="5"/>
      <c r="E2768" s="44"/>
      <c r="F2768" s="5"/>
      <c r="G2768" s="5"/>
      <c r="H2768" s="5"/>
      <c r="I2768" s="5"/>
      <c r="J2768" s="102" t="str">
        <f aca="false">IF(B2768="","",MONTH(B2768))</f>
        <v/>
      </c>
      <c r="K2768" s="102" t="str">
        <f aca="false">IF(B2768="","",YEAR(B2768))</f>
        <v/>
      </c>
      <c r="L2768" s="102" t="str">
        <f aca="false">IF(N(E2768)=0,"",IF(COUNTIFS(AK_NAMA,C2768,AK_KAT,"KAS")+COUNTIFS(AK_NAMA,D2768,AK_KAT,"KAS")&lt;&gt;1,"",IF(COUNTIFS(AK_NAMA,C2768,AK_KAT,"KAS")=1,D2768,C2768)))</f>
        <v/>
      </c>
      <c r="M2768" s="103" t="n">
        <f aca="false">IF(L2768="",0,IF(L2768=D2768,E2768,-E2768))</f>
        <v>0</v>
      </c>
      <c r="N2768" s="102" t="str">
        <f aca="false">IF(L2768="","",IFERROR(INDEX(AK_BARIS,MATCH(L2768,AK_NAMA,0)),"?"))</f>
        <v/>
      </c>
      <c r="O2768" s="102" t="str">
        <f aca="false">IF(C2768="","",IFERROR(INDEX(AK_KEL,MATCH(C2768,AK_NAMA,0)),"?"))</f>
        <v/>
      </c>
      <c r="P2768" s="102" t="str">
        <f aca="false">IF(D2768="","",IFERROR(INDEX(AK_KEL,MATCH(D2768,AK_NAMA,0)),"?"))</f>
        <v/>
      </c>
      <c r="Q2768" s="102" t="n">
        <f aca="false">N(Q2767)+IF(AND(N(E2768)&lt;&gt;0,K2768=TAHUN,N(J2768)&lt;=BLN,OR(C2768=BB_AKUN,D2768=BB_AKUN)),1,0)</f>
        <v>877</v>
      </c>
      <c r="R2768" s="104" t="str">
        <f aca="false">IF(OR(C2768&amp;D2768="",N(E2768)=0),"",IF(OR(O2768="?",P2768="?"),"⚠ akun tidak dikenal",IF(C2768=D2768,"⚠ debet = kredit","")))</f>
        <v/>
      </c>
    </row>
    <row r="2769" customFormat="false" ht="15" hidden="false" customHeight="false" outlineLevel="0" collapsed="false">
      <c r="A2769" s="5"/>
      <c r="B2769" s="83"/>
      <c r="C2769" s="5"/>
      <c r="D2769" s="5"/>
      <c r="E2769" s="44"/>
      <c r="F2769" s="5"/>
      <c r="G2769" s="5"/>
      <c r="H2769" s="5"/>
      <c r="I2769" s="5"/>
      <c r="J2769" s="102" t="str">
        <f aca="false">IF(B2769="","",MONTH(B2769))</f>
        <v/>
      </c>
      <c r="K2769" s="102" t="str">
        <f aca="false">IF(B2769="","",YEAR(B2769))</f>
        <v/>
      </c>
      <c r="L2769" s="102" t="str">
        <f aca="false">IF(N(E2769)=0,"",IF(COUNTIFS(AK_NAMA,C2769,AK_KAT,"KAS")+COUNTIFS(AK_NAMA,D2769,AK_KAT,"KAS")&lt;&gt;1,"",IF(COUNTIFS(AK_NAMA,C2769,AK_KAT,"KAS")=1,D2769,C2769)))</f>
        <v/>
      </c>
      <c r="M2769" s="103" t="n">
        <f aca="false">IF(L2769="",0,IF(L2769=D2769,E2769,-E2769))</f>
        <v>0</v>
      </c>
      <c r="N2769" s="102" t="str">
        <f aca="false">IF(L2769="","",IFERROR(INDEX(AK_BARIS,MATCH(L2769,AK_NAMA,0)),"?"))</f>
        <v/>
      </c>
      <c r="O2769" s="102" t="str">
        <f aca="false">IF(C2769="","",IFERROR(INDEX(AK_KEL,MATCH(C2769,AK_NAMA,0)),"?"))</f>
        <v/>
      </c>
      <c r="P2769" s="102" t="str">
        <f aca="false">IF(D2769="","",IFERROR(INDEX(AK_KEL,MATCH(D2769,AK_NAMA,0)),"?"))</f>
        <v/>
      </c>
      <c r="Q2769" s="102" t="n">
        <f aca="false">N(Q2768)+IF(AND(N(E2769)&lt;&gt;0,K2769=TAHUN,N(J2769)&lt;=BLN,OR(C2769=BB_AKUN,D2769=BB_AKUN)),1,0)</f>
        <v>877</v>
      </c>
      <c r="R2769" s="104" t="str">
        <f aca="false">IF(OR(C2769&amp;D2769="",N(E2769)=0),"",IF(OR(O2769="?",P2769="?"),"⚠ akun tidak dikenal",IF(C2769=D2769,"⚠ debet = kredit","")))</f>
        <v/>
      </c>
    </row>
    <row r="2770" customFormat="false" ht="15" hidden="false" customHeight="false" outlineLevel="0" collapsed="false">
      <c r="A2770" s="5"/>
      <c r="B2770" s="83"/>
      <c r="C2770" s="5"/>
      <c r="D2770" s="5"/>
      <c r="E2770" s="44"/>
      <c r="F2770" s="5"/>
      <c r="G2770" s="5"/>
      <c r="H2770" s="5"/>
      <c r="I2770" s="5"/>
      <c r="J2770" s="102" t="str">
        <f aca="false">IF(B2770="","",MONTH(B2770))</f>
        <v/>
      </c>
      <c r="K2770" s="102" t="str">
        <f aca="false">IF(B2770="","",YEAR(B2770))</f>
        <v/>
      </c>
      <c r="L2770" s="102" t="str">
        <f aca="false">IF(N(E2770)=0,"",IF(COUNTIFS(AK_NAMA,C2770,AK_KAT,"KAS")+COUNTIFS(AK_NAMA,D2770,AK_KAT,"KAS")&lt;&gt;1,"",IF(COUNTIFS(AK_NAMA,C2770,AK_KAT,"KAS")=1,D2770,C2770)))</f>
        <v/>
      </c>
      <c r="M2770" s="103" t="n">
        <f aca="false">IF(L2770="",0,IF(L2770=D2770,E2770,-E2770))</f>
        <v>0</v>
      </c>
      <c r="N2770" s="102" t="str">
        <f aca="false">IF(L2770="","",IFERROR(INDEX(AK_BARIS,MATCH(L2770,AK_NAMA,0)),"?"))</f>
        <v/>
      </c>
      <c r="O2770" s="102" t="str">
        <f aca="false">IF(C2770="","",IFERROR(INDEX(AK_KEL,MATCH(C2770,AK_NAMA,0)),"?"))</f>
        <v/>
      </c>
      <c r="P2770" s="102" t="str">
        <f aca="false">IF(D2770="","",IFERROR(INDEX(AK_KEL,MATCH(D2770,AK_NAMA,0)),"?"))</f>
        <v/>
      </c>
      <c r="Q2770" s="102" t="n">
        <f aca="false">N(Q2769)+IF(AND(N(E2770)&lt;&gt;0,K2770=TAHUN,N(J2770)&lt;=BLN,OR(C2770=BB_AKUN,D2770=BB_AKUN)),1,0)</f>
        <v>877</v>
      </c>
      <c r="R2770" s="104" t="str">
        <f aca="false">IF(OR(C2770&amp;D2770="",N(E2770)=0),"",IF(OR(O2770="?",P2770="?"),"⚠ akun tidak dikenal",IF(C2770=D2770,"⚠ debet = kredit","")))</f>
        <v/>
      </c>
    </row>
    <row r="2771" customFormat="false" ht="15" hidden="false" customHeight="false" outlineLevel="0" collapsed="false">
      <c r="A2771" s="5"/>
      <c r="B2771" s="83"/>
      <c r="C2771" s="5"/>
      <c r="D2771" s="5"/>
      <c r="E2771" s="44"/>
      <c r="F2771" s="5"/>
      <c r="G2771" s="5"/>
      <c r="H2771" s="5"/>
      <c r="I2771" s="5"/>
      <c r="J2771" s="102" t="str">
        <f aca="false">IF(B2771="","",MONTH(B2771))</f>
        <v/>
      </c>
      <c r="K2771" s="102" t="str">
        <f aca="false">IF(B2771="","",YEAR(B2771))</f>
        <v/>
      </c>
      <c r="L2771" s="102" t="str">
        <f aca="false">IF(N(E2771)=0,"",IF(COUNTIFS(AK_NAMA,C2771,AK_KAT,"KAS")+COUNTIFS(AK_NAMA,D2771,AK_KAT,"KAS")&lt;&gt;1,"",IF(COUNTIFS(AK_NAMA,C2771,AK_KAT,"KAS")=1,D2771,C2771)))</f>
        <v/>
      </c>
      <c r="M2771" s="103" t="n">
        <f aca="false">IF(L2771="",0,IF(L2771=D2771,E2771,-E2771))</f>
        <v>0</v>
      </c>
      <c r="N2771" s="102" t="str">
        <f aca="false">IF(L2771="","",IFERROR(INDEX(AK_BARIS,MATCH(L2771,AK_NAMA,0)),"?"))</f>
        <v/>
      </c>
      <c r="O2771" s="102" t="str">
        <f aca="false">IF(C2771="","",IFERROR(INDEX(AK_KEL,MATCH(C2771,AK_NAMA,0)),"?"))</f>
        <v/>
      </c>
      <c r="P2771" s="102" t="str">
        <f aca="false">IF(D2771="","",IFERROR(INDEX(AK_KEL,MATCH(D2771,AK_NAMA,0)),"?"))</f>
        <v/>
      </c>
      <c r="Q2771" s="102" t="n">
        <f aca="false">N(Q2770)+IF(AND(N(E2771)&lt;&gt;0,K2771=TAHUN,N(J2771)&lt;=BLN,OR(C2771=BB_AKUN,D2771=BB_AKUN)),1,0)</f>
        <v>877</v>
      </c>
      <c r="R2771" s="104" t="str">
        <f aca="false">IF(OR(C2771&amp;D2771="",N(E2771)=0),"",IF(OR(O2771="?",P2771="?"),"⚠ akun tidak dikenal",IF(C2771=D2771,"⚠ debet = kredit","")))</f>
        <v/>
      </c>
    </row>
    <row r="2772" customFormat="false" ht="15" hidden="false" customHeight="false" outlineLevel="0" collapsed="false">
      <c r="A2772" s="5"/>
      <c r="B2772" s="83"/>
      <c r="C2772" s="5"/>
      <c r="D2772" s="5"/>
      <c r="E2772" s="44"/>
      <c r="F2772" s="5"/>
      <c r="G2772" s="5"/>
      <c r="H2772" s="5"/>
      <c r="I2772" s="5"/>
      <c r="J2772" s="102" t="str">
        <f aca="false">IF(B2772="","",MONTH(B2772))</f>
        <v/>
      </c>
      <c r="K2772" s="102" t="str">
        <f aca="false">IF(B2772="","",YEAR(B2772))</f>
        <v/>
      </c>
      <c r="L2772" s="102" t="str">
        <f aca="false">IF(N(E2772)=0,"",IF(COUNTIFS(AK_NAMA,C2772,AK_KAT,"KAS")+COUNTIFS(AK_NAMA,D2772,AK_KAT,"KAS")&lt;&gt;1,"",IF(COUNTIFS(AK_NAMA,C2772,AK_KAT,"KAS")=1,D2772,C2772)))</f>
        <v/>
      </c>
      <c r="M2772" s="103" t="n">
        <f aca="false">IF(L2772="",0,IF(L2772=D2772,E2772,-E2772))</f>
        <v>0</v>
      </c>
      <c r="N2772" s="102" t="str">
        <f aca="false">IF(L2772="","",IFERROR(INDEX(AK_BARIS,MATCH(L2772,AK_NAMA,0)),"?"))</f>
        <v/>
      </c>
      <c r="O2772" s="102" t="str">
        <f aca="false">IF(C2772="","",IFERROR(INDEX(AK_KEL,MATCH(C2772,AK_NAMA,0)),"?"))</f>
        <v/>
      </c>
      <c r="P2772" s="102" t="str">
        <f aca="false">IF(D2772="","",IFERROR(INDEX(AK_KEL,MATCH(D2772,AK_NAMA,0)),"?"))</f>
        <v/>
      </c>
      <c r="Q2772" s="102" t="n">
        <f aca="false">N(Q2771)+IF(AND(N(E2772)&lt;&gt;0,K2772=TAHUN,N(J2772)&lt;=BLN,OR(C2772=BB_AKUN,D2772=BB_AKUN)),1,0)</f>
        <v>877</v>
      </c>
      <c r="R2772" s="104" t="str">
        <f aca="false">IF(OR(C2772&amp;D2772="",N(E2772)=0),"",IF(OR(O2772="?",P2772="?"),"⚠ akun tidak dikenal",IF(C2772=D2772,"⚠ debet = kredit","")))</f>
        <v/>
      </c>
    </row>
    <row r="2773" customFormat="false" ht="15" hidden="false" customHeight="false" outlineLevel="0" collapsed="false">
      <c r="A2773" s="5"/>
      <c r="B2773" s="83"/>
      <c r="C2773" s="5"/>
      <c r="D2773" s="5"/>
      <c r="E2773" s="44"/>
      <c r="F2773" s="5"/>
      <c r="G2773" s="5"/>
      <c r="H2773" s="5"/>
      <c r="I2773" s="5"/>
      <c r="J2773" s="102" t="str">
        <f aca="false">IF(B2773="","",MONTH(B2773))</f>
        <v/>
      </c>
      <c r="K2773" s="102" t="str">
        <f aca="false">IF(B2773="","",YEAR(B2773))</f>
        <v/>
      </c>
      <c r="L2773" s="102" t="str">
        <f aca="false">IF(N(E2773)=0,"",IF(COUNTIFS(AK_NAMA,C2773,AK_KAT,"KAS")+COUNTIFS(AK_NAMA,D2773,AK_KAT,"KAS")&lt;&gt;1,"",IF(COUNTIFS(AK_NAMA,C2773,AK_KAT,"KAS")=1,D2773,C2773)))</f>
        <v/>
      </c>
      <c r="M2773" s="103" t="n">
        <f aca="false">IF(L2773="",0,IF(L2773=D2773,E2773,-E2773))</f>
        <v>0</v>
      </c>
      <c r="N2773" s="102" t="str">
        <f aca="false">IF(L2773="","",IFERROR(INDEX(AK_BARIS,MATCH(L2773,AK_NAMA,0)),"?"))</f>
        <v/>
      </c>
      <c r="O2773" s="102" t="str">
        <f aca="false">IF(C2773="","",IFERROR(INDEX(AK_KEL,MATCH(C2773,AK_NAMA,0)),"?"))</f>
        <v/>
      </c>
      <c r="P2773" s="102" t="str">
        <f aca="false">IF(D2773="","",IFERROR(INDEX(AK_KEL,MATCH(D2773,AK_NAMA,0)),"?"))</f>
        <v/>
      </c>
      <c r="Q2773" s="102" t="n">
        <f aca="false">N(Q2772)+IF(AND(N(E2773)&lt;&gt;0,K2773=TAHUN,N(J2773)&lt;=BLN,OR(C2773=BB_AKUN,D2773=BB_AKUN)),1,0)</f>
        <v>877</v>
      </c>
      <c r="R2773" s="104" t="str">
        <f aca="false">IF(OR(C2773&amp;D2773="",N(E2773)=0),"",IF(OR(O2773="?",P2773="?"),"⚠ akun tidak dikenal",IF(C2773=D2773,"⚠ debet = kredit","")))</f>
        <v/>
      </c>
    </row>
    <row r="2774" customFormat="false" ht="15" hidden="false" customHeight="false" outlineLevel="0" collapsed="false">
      <c r="A2774" s="5"/>
      <c r="B2774" s="83"/>
      <c r="C2774" s="5"/>
      <c r="D2774" s="5"/>
      <c r="E2774" s="44"/>
      <c r="F2774" s="5"/>
      <c r="G2774" s="5"/>
      <c r="H2774" s="5"/>
      <c r="I2774" s="5"/>
      <c r="J2774" s="102" t="str">
        <f aca="false">IF(B2774="","",MONTH(B2774))</f>
        <v/>
      </c>
      <c r="K2774" s="102" t="str">
        <f aca="false">IF(B2774="","",YEAR(B2774))</f>
        <v/>
      </c>
      <c r="L2774" s="102" t="str">
        <f aca="false">IF(N(E2774)=0,"",IF(COUNTIFS(AK_NAMA,C2774,AK_KAT,"KAS")+COUNTIFS(AK_NAMA,D2774,AK_KAT,"KAS")&lt;&gt;1,"",IF(COUNTIFS(AK_NAMA,C2774,AK_KAT,"KAS")=1,D2774,C2774)))</f>
        <v/>
      </c>
      <c r="M2774" s="103" t="n">
        <f aca="false">IF(L2774="",0,IF(L2774=D2774,E2774,-E2774))</f>
        <v>0</v>
      </c>
      <c r="N2774" s="102" t="str">
        <f aca="false">IF(L2774="","",IFERROR(INDEX(AK_BARIS,MATCH(L2774,AK_NAMA,0)),"?"))</f>
        <v/>
      </c>
      <c r="O2774" s="102" t="str">
        <f aca="false">IF(C2774="","",IFERROR(INDEX(AK_KEL,MATCH(C2774,AK_NAMA,0)),"?"))</f>
        <v/>
      </c>
      <c r="P2774" s="102" t="str">
        <f aca="false">IF(D2774="","",IFERROR(INDEX(AK_KEL,MATCH(D2774,AK_NAMA,0)),"?"))</f>
        <v/>
      </c>
      <c r="Q2774" s="102" t="n">
        <f aca="false">N(Q2773)+IF(AND(N(E2774)&lt;&gt;0,K2774=TAHUN,N(J2774)&lt;=BLN,OR(C2774=BB_AKUN,D2774=BB_AKUN)),1,0)</f>
        <v>877</v>
      </c>
      <c r="R2774" s="104" t="str">
        <f aca="false">IF(OR(C2774&amp;D2774="",N(E2774)=0),"",IF(OR(O2774="?",P2774="?"),"⚠ akun tidak dikenal",IF(C2774=D2774,"⚠ debet = kredit","")))</f>
        <v/>
      </c>
    </row>
    <row r="2775" customFormat="false" ht="15" hidden="false" customHeight="false" outlineLevel="0" collapsed="false">
      <c r="A2775" s="5"/>
      <c r="B2775" s="83"/>
      <c r="C2775" s="5"/>
      <c r="D2775" s="5"/>
      <c r="E2775" s="44"/>
      <c r="F2775" s="5"/>
      <c r="G2775" s="5"/>
      <c r="H2775" s="5"/>
      <c r="I2775" s="5"/>
      <c r="J2775" s="102" t="str">
        <f aca="false">IF(B2775="","",MONTH(B2775))</f>
        <v/>
      </c>
      <c r="K2775" s="102" t="str">
        <f aca="false">IF(B2775="","",YEAR(B2775))</f>
        <v/>
      </c>
      <c r="L2775" s="102" t="str">
        <f aca="false">IF(N(E2775)=0,"",IF(COUNTIFS(AK_NAMA,C2775,AK_KAT,"KAS")+COUNTIFS(AK_NAMA,D2775,AK_KAT,"KAS")&lt;&gt;1,"",IF(COUNTIFS(AK_NAMA,C2775,AK_KAT,"KAS")=1,D2775,C2775)))</f>
        <v/>
      </c>
      <c r="M2775" s="103" t="n">
        <f aca="false">IF(L2775="",0,IF(L2775=D2775,E2775,-E2775))</f>
        <v>0</v>
      </c>
      <c r="N2775" s="102" t="str">
        <f aca="false">IF(L2775="","",IFERROR(INDEX(AK_BARIS,MATCH(L2775,AK_NAMA,0)),"?"))</f>
        <v/>
      </c>
      <c r="O2775" s="102" t="str">
        <f aca="false">IF(C2775="","",IFERROR(INDEX(AK_KEL,MATCH(C2775,AK_NAMA,0)),"?"))</f>
        <v/>
      </c>
      <c r="P2775" s="102" t="str">
        <f aca="false">IF(D2775="","",IFERROR(INDEX(AK_KEL,MATCH(D2775,AK_NAMA,0)),"?"))</f>
        <v/>
      </c>
      <c r="Q2775" s="102" t="n">
        <f aca="false">N(Q2774)+IF(AND(N(E2775)&lt;&gt;0,K2775=TAHUN,N(J2775)&lt;=BLN,OR(C2775=BB_AKUN,D2775=BB_AKUN)),1,0)</f>
        <v>877</v>
      </c>
      <c r="R2775" s="104" t="str">
        <f aca="false">IF(OR(C2775&amp;D2775="",N(E2775)=0),"",IF(OR(O2775="?",P2775="?"),"⚠ akun tidak dikenal",IF(C2775=D2775,"⚠ debet = kredit","")))</f>
        <v/>
      </c>
    </row>
    <row r="2776" customFormat="false" ht="15" hidden="false" customHeight="false" outlineLevel="0" collapsed="false">
      <c r="A2776" s="5"/>
      <c r="B2776" s="83"/>
      <c r="C2776" s="5"/>
      <c r="D2776" s="5"/>
      <c r="E2776" s="44"/>
      <c r="F2776" s="5"/>
      <c r="G2776" s="5"/>
      <c r="H2776" s="5"/>
      <c r="I2776" s="5"/>
      <c r="J2776" s="102" t="str">
        <f aca="false">IF(B2776="","",MONTH(B2776))</f>
        <v/>
      </c>
      <c r="K2776" s="102" t="str">
        <f aca="false">IF(B2776="","",YEAR(B2776))</f>
        <v/>
      </c>
      <c r="L2776" s="102" t="str">
        <f aca="false">IF(N(E2776)=0,"",IF(COUNTIFS(AK_NAMA,C2776,AK_KAT,"KAS")+COUNTIFS(AK_NAMA,D2776,AK_KAT,"KAS")&lt;&gt;1,"",IF(COUNTIFS(AK_NAMA,C2776,AK_KAT,"KAS")=1,D2776,C2776)))</f>
        <v/>
      </c>
      <c r="M2776" s="103" t="n">
        <f aca="false">IF(L2776="",0,IF(L2776=D2776,E2776,-E2776))</f>
        <v>0</v>
      </c>
      <c r="N2776" s="102" t="str">
        <f aca="false">IF(L2776="","",IFERROR(INDEX(AK_BARIS,MATCH(L2776,AK_NAMA,0)),"?"))</f>
        <v/>
      </c>
      <c r="O2776" s="102" t="str">
        <f aca="false">IF(C2776="","",IFERROR(INDEX(AK_KEL,MATCH(C2776,AK_NAMA,0)),"?"))</f>
        <v/>
      </c>
      <c r="P2776" s="102" t="str">
        <f aca="false">IF(D2776="","",IFERROR(INDEX(AK_KEL,MATCH(D2776,AK_NAMA,0)),"?"))</f>
        <v/>
      </c>
      <c r="Q2776" s="102" t="n">
        <f aca="false">N(Q2775)+IF(AND(N(E2776)&lt;&gt;0,K2776=TAHUN,N(J2776)&lt;=BLN,OR(C2776=BB_AKUN,D2776=BB_AKUN)),1,0)</f>
        <v>877</v>
      </c>
      <c r="R2776" s="104" t="str">
        <f aca="false">IF(OR(C2776&amp;D2776="",N(E2776)=0),"",IF(OR(O2776="?",P2776="?"),"⚠ akun tidak dikenal",IF(C2776=D2776,"⚠ debet = kredit","")))</f>
        <v/>
      </c>
    </row>
    <row r="2777" customFormat="false" ht="15" hidden="false" customHeight="false" outlineLevel="0" collapsed="false">
      <c r="A2777" s="5"/>
      <c r="B2777" s="83"/>
      <c r="C2777" s="5"/>
      <c r="D2777" s="5"/>
      <c r="E2777" s="44"/>
      <c r="F2777" s="5"/>
      <c r="G2777" s="5"/>
      <c r="H2777" s="5"/>
      <c r="I2777" s="5"/>
      <c r="J2777" s="102" t="str">
        <f aca="false">IF(B2777="","",MONTH(B2777))</f>
        <v/>
      </c>
      <c r="K2777" s="102" t="str">
        <f aca="false">IF(B2777="","",YEAR(B2777))</f>
        <v/>
      </c>
      <c r="L2777" s="102" t="str">
        <f aca="false">IF(N(E2777)=0,"",IF(COUNTIFS(AK_NAMA,C2777,AK_KAT,"KAS")+COUNTIFS(AK_NAMA,D2777,AK_KAT,"KAS")&lt;&gt;1,"",IF(COUNTIFS(AK_NAMA,C2777,AK_KAT,"KAS")=1,D2777,C2777)))</f>
        <v/>
      </c>
      <c r="M2777" s="103" t="n">
        <f aca="false">IF(L2777="",0,IF(L2777=D2777,E2777,-E2777))</f>
        <v>0</v>
      </c>
      <c r="N2777" s="102" t="str">
        <f aca="false">IF(L2777="","",IFERROR(INDEX(AK_BARIS,MATCH(L2777,AK_NAMA,0)),"?"))</f>
        <v/>
      </c>
      <c r="O2777" s="102" t="str">
        <f aca="false">IF(C2777="","",IFERROR(INDEX(AK_KEL,MATCH(C2777,AK_NAMA,0)),"?"))</f>
        <v/>
      </c>
      <c r="P2777" s="102" t="str">
        <f aca="false">IF(D2777="","",IFERROR(INDEX(AK_KEL,MATCH(D2777,AK_NAMA,0)),"?"))</f>
        <v/>
      </c>
      <c r="Q2777" s="102" t="n">
        <f aca="false">N(Q2776)+IF(AND(N(E2777)&lt;&gt;0,K2777=TAHUN,N(J2777)&lt;=BLN,OR(C2777=BB_AKUN,D2777=BB_AKUN)),1,0)</f>
        <v>877</v>
      </c>
      <c r="R2777" s="104" t="str">
        <f aca="false">IF(OR(C2777&amp;D2777="",N(E2777)=0),"",IF(OR(O2777="?",P2777="?"),"⚠ akun tidak dikenal",IF(C2777=D2777,"⚠ debet = kredit","")))</f>
        <v/>
      </c>
    </row>
    <row r="2778" customFormat="false" ht="15" hidden="false" customHeight="false" outlineLevel="0" collapsed="false">
      <c r="A2778" s="5"/>
      <c r="B2778" s="83"/>
      <c r="C2778" s="5"/>
      <c r="D2778" s="5"/>
      <c r="E2778" s="44"/>
      <c r="F2778" s="5"/>
      <c r="G2778" s="5"/>
      <c r="H2778" s="5"/>
      <c r="I2778" s="5"/>
      <c r="J2778" s="102" t="str">
        <f aca="false">IF(B2778="","",MONTH(B2778))</f>
        <v/>
      </c>
      <c r="K2778" s="102" t="str">
        <f aca="false">IF(B2778="","",YEAR(B2778))</f>
        <v/>
      </c>
      <c r="L2778" s="102" t="str">
        <f aca="false">IF(N(E2778)=0,"",IF(COUNTIFS(AK_NAMA,C2778,AK_KAT,"KAS")+COUNTIFS(AK_NAMA,D2778,AK_KAT,"KAS")&lt;&gt;1,"",IF(COUNTIFS(AK_NAMA,C2778,AK_KAT,"KAS")=1,D2778,C2778)))</f>
        <v/>
      </c>
      <c r="M2778" s="103" t="n">
        <f aca="false">IF(L2778="",0,IF(L2778=D2778,E2778,-E2778))</f>
        <v>0</v>
      </c>
      <c r="N2778" s="102" t="str">
        <f aca="false">IF(L2778="","",IFERROR(INDEX(AK_BARIS,MATCH(L2778,AK_NAMA,0)),"?"))</f>
        <v/>
      </c>
      <c r="O2778" s="102" t="str">
        <f aca="false">IF(C2778="","",IFERROR(INDEX(AK_KEL,MATCH(C2778,AK_NAMA,0)),"?"))</f>
        <v/>
      </c>
      <c r="P2778" s="102" t="str">
        <f aca="false">IF(D2778="","",IFERROR(INDEX(AK_KEL,MATCH(D2778,AK_NAMA,0)),"?"))</f>
        <v/>
      </c>
      <c r="Q2778" s="102" t="n">
        <f aca="false">N(Q2777)+IF(AND(N(E2778)&lt;&gt;0,K2778=TAHUN,N(J2778)&lt;=BLN,OR(C2778=BB_AKUN,D2778=BB_AKUN)),1,0)</f>
        <v>877</v>
      </c>
      <c r="R2778" s="104" t="str">
        <f aca="false">IF(OR(C2778&amp;D2778="",N(E2778)=0),"",IF(OR(O2778="?",P2778="?"),"⚠ akun tidak dikenal",IF(C2778=D2778,"⚠ debet = kredit","")))</f>
        <v/>
      </c>
    </row>
    <row r="2779" customFormat="false" ht="15" hidden="false" customHeight="false" outlineLevel="0" collapsed="false">
      <c r="A2779" s="5"/>
      <c r="B2779" s="83"/>
      <c r="C2779" s="5"/>
      <c r="D2779" s="5"/>
      <c r="E2779" s="44"/>
      <c r="F2779" s="5"/>
      <c r="G2779" s="5"/>
      <c r="H2779" s="5"/>
      <c r="I2779" s="5"/>
      <c r="J2779" s="102" t="str">
        <f aca="false">IF(B2779="","",MONTH(B2779))</f>
        <v/>
      </c>
      <c r="K2779" s="102" t="str">
        <f aca="false">IF(B2779="","",YEAR(B2779))</f>
        <v/>
      </c>
      <c r="L2779" s="102" t="str">
        <f aca="false">IF(N(E2779)=0,"",IF(COUNTIFS(AK_NAMA,C2779,AK_KAT,"KAS")+COUNTIFS(AK_NAMA,D2779,AK_KAT,"KAS")&lt;&gt;1,"",IF(COUNTIFS(AK_NAMA,C2779,AK_KAT,"KAS")=1,D2779,C2779)))</f>
        <v/>
      </c>
      <c r="M2779" s="103" t="n">
        <f aca="false">IF(L2779="",0,IF(L2779=D2779,E2779,-E2779))</f>
        <v>0</v>
      </c>
      <c r="N2779" s="102" t="str">
        <f aca="false">IF(L2779="","",IFERROR(INDEX(AK_BARIS,MATCH(L2779,AK_NAMA,0)),"?"))</f>
        <v/>
      </c>
      <c r="O2779" s="102" t="str">
        <f aca="false">IF(C2779="","",IFERROR(INDEX(AK_KEL,MATCH(C2779,AK_NAMA,0)),"?"))</f>
        <v/>
      </c>
      <c r="P2779" s="102" t="str">
        <f aca="false">IF(D2779="","",IFERROR(INDEX(AK_KEL,MATCH(D2779,AK_NAMA,0)),"?"))</f>
        <v/>
      </c>
      <c r="Q2779" s="102" t="n">
        <f aca="false">N(Q2778)+IF(AND(N(E2779)&lt;&gt;0,K2779=TAHUN,N(J2779)&lt;=BLN,OR(C2779=BB_AKUN,D2779=BB_AKUN)),1,0)</f>
        <v>877</v>
      </c>
      <c r="R2779" s="104" t="str">
        <f aca="false">IF(OR(C2779&amp;D2779="",N(E2779)=0),"",IF(OR(O2779="?",P2779="?"),"⚠ akun tidak dikenal",IF(C2779=D2779,"⚠ debet = kredit","")))</f>
        <v/>
      </c>
    </row>
    <row r="2780" customFormat="false" ht="15" hidden="false" customHeight="false" outlineLevel="0" collapsed="false">
      <c r="A2780" s="5"/>
      <c r="B2780" s="83"/>
      <c r="C2780" s="5"/>
      <c r="D2780" s="5"/>
      <c r="E2780" s="44"/>
      <c r="F2780" s="5"/>
      <c r="G2780" s="5"/>
      <c r="H2780" s="5"/>
      <c r="I2780" s="5"/>
      <c r="J2780" s="102" t="str">
        <f aca="false">IF(B2780="","",MONTH(B2780))</f>
        <v/>
      </c>
      <c r="K2780" s="102" t="str">
        <f aca="false">IF(B2780="","",YEAR(B2780))</f>
        <v/>
      </c>
      <c r="L2780" s="102" t="str">
        <f aca="false">IF(N(E2780)=0,"",IF(COUNTIFS(AK_NAMA,C2780,AK_KAT,"KAS")+COUNTIFS(AK_NAMA,D2780,AK_KAT,"KAS")&lt;&gt;1,"",IF(COUNTIFS(AK_NAMA,C2780,AK_KAT,"KAS")=1,D2780,C2780)))</f>
        <v/>
      </c>
      <c r="M2780" s="103" t="n">
        <f aca="false">IF(L2780="",0,IF(L2780=D2780,E2780,-E2780))</f>
        <v>0</v>
      </c>
      <c r="N2780" s="102" t="str">
        <f aca="false">IF(L2780="","",IFERROR(INDEX(AK_BARIS,MATCH(L2780,AK_NAMA,0)),"?"))</f>
        <v/>
      </c>
      <c r="O2780" s="102" t="str">
        <f aca="false">IF(C2780="","",IFERROR(INDEX(AK_KEL,MATCH(C2780,AK_NAMA,0)),"?"))</f>
        <v/>
      </c>
      <c r="P2780" s="102" t="str">
        <f aca="false">IF(D2780="","",IFERROR(INDEX(AK_KEL,MATCH(D2780,AK_NAMA,0)),"?"))</f>
        <v/>
      </c>
      <c r="Q2780" s="102" t="n">
        <f aca="false">N(Q2779)+IF(AND(N(E2780)&lt;&gt;0,K2780=TAHUN,N(J2780)&lt;=BLN,OR(C2780=BB_AKUN,D2780=BB_AKUN)),1,0)</f>
        <v>877</v>
      </c>
      <c r="R2780" s="104" t="str">
        <f aca="false">IF(OR(C2780&amp;D2780="",N(E2780)=0),"",IF(OR(O2780="?",P2780="?"),"⚠ akun tidak dikenal",IF(C2780=D2780,"⚠ debet = kredit","")))</f>
        <v/>
      </c>
    </row>
    <row r="2781" customFormat="false" ht="15" hidden="false" customHeight="false" outlineLevel="0" collapsed="false">
      <c r="A2781" s="5"/>
      <c r="B2781" s="83"/>
      <c r="C2781" s="5"/>
      <c r="D2781" s="5"/>
      <c r="E2781" s="44"/>
      <c r="F2781" s="5"/>
      <c r="G2781" s="5"/>
      <c r="H2781" s="5"/>
      <c r="I2781" s="5"/>
      <c r="J2781" s="102" t="str">
        <f aca="false">IF(B2781="","",MONTH(B2781))</f>
        <v/>
      </c>
      <c r="K2781" s="102" t="str">
        <f aca="false">IF(B2781="","",YEAR(B2781))</f>
        <v/>
      </c>
      <c r="L2781" s="102" t="str">
        <f aca="false">IF(N(E2781)=0,"",IF(COUNTIFS(AK_NAMA,C2781,AK_KAT,"KAS")+COUNTIFS(AK_NAMA,D2781,AK_KAT,"KAS")&lt;&gt;1,"",IF(COUNTIFS(AK_NAMA,C2781,AK_KAT,"KAS")=1,D2781,C2781)))</f>
        <v/>
      </c>
      <c r="M2781" s="103" t="n">
        <f aca="false">IF(L2781="",0,IF(L2781=D2781,E2781,-E2781))</f>
        <v>0</v>
      </c>
      <c r="N2781" s="102" t="str">
        <f aca="false">IF(L2781="","",IFERROR(INDEX(AK_BARIS,MATCH(L2781,AK_NAMA,0)),"?"))</f>
        <v/>
      </c>
      <c r="O2781" s="102" t="str">
        <f aca="false">IF(C2781="","",IFERROR(INDEX(AK_KEL,MATCH(C2781,AK_NAMA,0)),"?"))</f>
        <v/>
      </c>
      <c r="P2781" s="102" t="str">
        <f aca="false">IF(D2781="","",IFERROR(INDEX(AK_KEL,MATCH(D2781,AK_NAMA,0)),"?"))</f>
        <v/>
      </c>
      <c r="Q2781" s="102" t="n">
        <f aca="false">N(Q2780)+IF(AND(N(E2781)&lt;&gt;0,K2781=TAHUN,N(J2781)&lt;=BLN,OR(C2781=BB_AKUN,D2781=BB_AKUN)),1,0)</f>
        <v>877</v>
      </c>
      <c r="R2781" s="104" t="str">
        <f aca="false">IF(OR(C2781&amp;D2781="",N(E2781)=0),"",IF(OR(O2781="?",P2781="?"),"⚠ akun tidak dikenal",IF(C2781=D2781,"⚠ debet = kredit","")))</f>
        <v/>
      </c>
    </row>
    <row r="2782" customFormat="false" ht="15" hidden="false" customHeight="false" outlineLevel="0" collapsed="false">
      <c r="A2782" s="5"/>
      <c r="B2782" s="83"/>
      <c r="C2782" s="5"/>
      <c r="D2782" s="5"/>
      <c r="E2782" s="44"/>
      <c r="F2782" s="5"/>
      <c r="G2782" s="5"/>
      <c r="H2782" s="5"/>
      <c r="I2782" s="5"/>
      <c r="J2782" s="102" t="str">
        <f aca="false">IF(B2782="","",MONTH(B2782))</f>
        <v/>
      </c>
      <c r="K2782" s="102" t="str">
        <f aca="false">IF(B2782="","",YEAR(B2782))</f>
        <v/>
      </c>
      <c r="L2782" s="102" t="str">
        <f aca="false">IF(N(E2782)=0,"",IF(COUNTIFS(AK_NAMA,C2782,AK_KAT,"KAS")+COUNTIFS(AK_NAMA,D2782,AK_KAT,"KAS")&lt;&gt;1,"",IF(COUNTIFS(AK_NAMA,C2782,AK_KAT,"KAS")=1,D2782,C2782)))</f>
        <v/>
      </c>
      <c r="M2782" s="103" t="n">
        <f aca="false">IF(L2782="",0,IF(L2782=D2782,E2782,-E2782))</f>
        <v>0</v>
      </c>
      <c r="N2782" s="102" t="str">
        <f aca="false">IF(L2782="","",IFERROR(INDEX(AK_BARIS,MATCH(L2782,AK_NAMA,0)),"?"))</f>
        <v/>
      </c>
      <c r="O2782" s="102" t="str">
        <f aca="false">IF(C2782="","",IFERROR(INDEX(AK_KEL,MATCH(C2782,AK_NAMA,0)),"?"))</f>
        <v/>
      </c>
      <c r="P2782" s="102" t="str">
        <f aca="false">IF(D2782="","",IFERROR(INDEX(AK_KEL,MATCH(D2782,AK_NAMA,0)),"?"))</f>
        <v/>
      </c>
      <c r="Q2782" s="102" t="n">
        <f aca="false">N(Q2781)+IF(AND(N(E2782)&lt;&gt;0,K2782=TAHUN,N(J2782)&lt;=BLN,OR(C2782=BB_AKUN,D2782=BB_AKUN)),1,0)</f>
        <v>877</v>
      </c>
      <c r="R2782" s="104" t="str">
        <f aca="false">IF(OR(C2782&amp;D2782="",N(E2782)=0),"",IF(OR(O2782="?",P2782="?"),"⚠ akun tidak dikenal",IF(C2782=D2782,"⚠ debet = kredit","")))</f>
        <v/>
      </c>
    </row>
    <row r="2783" customFormat="false" ht="15" hidden="false" customHeight="false" outlineLevel="0" collapsed="false">
      <c r="A2783" s="5"/>
      <c r="B2783" s="83"/>
      <c r="C2783" s="5"/>
      <c r="D2783" s="5"/>
      <c r="E2783" s="44"/>
      <c r="F2783" s="5"/>
      <c r="G2783" s="5"/>
      <c r="H2783" s="5"/>
      <c r="I2783" s="5"/>
      <c r="J2783" s="102" t="str">
        <f aca="false">IF(B2783="","",MONTH(B2783))</f>
        <v/>
      </c>
      <c r="K2783" s="102" t="str">
        <f aca="false">IF(B2783="","",YEAR(B2783))</f>
        <v/>
      </c>
      <c r="L2783" s="102" t="str">
        <f aca="false">IF(N(E2783)=0,"",IF(COUNTIFS(AK_NAMA,C2783,AK_KAT,"KAS")+COUNTIFS(AK_NAMA,D2783,AK_KAT,"KAS")&lt;&gt;1,"",IF(COUNTIFS(AK_NAMA,C2783,AK_KAT,"KAS")=1,D2783,C2783)))</f>
        <v/>
      </c>
      <c r="M2783" s="103" t="n">
        <f aca="false">IF(L2783="",0,IF(L2783=D2783,E2783,-E2783))</f>
        <v>0</v>
      </c>
      <c r="N2783" s="102" t="str">
        <f aca="false">IF(L2783="","",IFERROR(INDEX(AK_BARIS,MATCH(L2783,AK_NAMA,0)),"?"))</f>
        <v/>
      </c>
      <c r="O2783" s="102" t="str">
        <f aca="false">IF(C2783="","",IFERROR(INDEX(AK_KEL,MATCH(C2783,AK_NAMA,0)),"?"))</f>
        <v/>
      </c>
      <c r="P2783" s="102" t="str">
        <f aca="false">IF(D2783="","",IFERROR(INDEX(AK_KEL,MATCH(D2783,AK_NAMA,0)),"?"))</f>
        <v/>
      </c>
      <c r="Q2783" s="102" t="n">
        <f aca="false">N(Q2782)+IF(AND(N(E2783)&lt;&gt;0,K2783=TAHUN,N(J2783)&lt;=BLN,OR(C2783=BB_AKUN,D2783=BB_AKUN)),1,0)</f>
        <v>877</v>
      </c>
      <c r="R2783" s="104" t="str">
        <f aca="false">IF(OR(C2783&amp;D2783="",N(E2783)=0),"",IF(OR(O2783="?",P2783="?"),"⚠ akun tidak dikenal",IF(C2783=D2783,"⚠ debet = kredit","")))</f>
        <v/>
      </c>
    </row>
    <row r="2784" customFormat="false" ht="15" hidden="false" customHeight="false" outlineLevel="0" collapsed="false">
      <c r="A2784" s="5"/>
      <c r="B2784" s="83"/>
      <c r="C2784" s="5"/>
      <c r="D2784" s="5"/>
      <c r="E2784" s="44"/>
      <c r="F2784" s="5"/>
      <c r="G2784" s="5"/>
      <c r="H2784" s="5"/>
      <c r="I2784" s="5"/>
      <c r="J2784" s="102" t="str">
        <f aca="false">IF(B2784="","",MONTH(B2784))</f>
        <v/>
      </c>
      <c r="K2784" s="102" t="str">
        <f aca="false">IF(B2784="","",YEAR(B2784))</f>
        <v/>
      </c>
      <c r="L2784" s="102" t="str">
        <f aca="false">IF(N(E2784)=0,"",IF(COUNTIFS(AK_NAMA,C2784,AK_KAT,"KAS")+COUNTIFS(AK_NAMA,D2784,AK_KAT,"KAS")&lt;&gt;1,"",IF(COUNTIFS(AK_NAMA,C2784,AK_KAT,"KAS")=1,D2784,C2784)))</f>
        <v/>
      </c>
      <c r="M2784" s="103" t="n">
        <f aca="false">IF(L2784="",0,IF(L2784=D2784,E2784,-E2784))</f>
        <v>0</v>
      </c>
      <c r="N2784" s="102" t="str">
        <f aca="false">IF(L2784="","",IFERROR(INDEX(AK_BARIS,MATCH(L2784,AK_NAMA,0)),"?"))</f>
        <v/>
      </c>
      <c r="O2784" s="102" t="str">
        <f aca="false">IF(C2784="","",IFERROR(INDEX(AK_KEL,MATCH(C2784,AK_NAMA,0)),"?"))</f>
        <v/>
      </c>
      <c r="P2784" s="102" t="str">
        <f aca="false">IF(D2784="","",IFERROR(INDEX(AK_KEL,MATCH(D2784,AK_NAMA,0)),"?"))</f>
        <v/>
      </c>
      <c r="Q2784" s="102" t="n">
        <f aca="false">N(Q2783)+IF(AND(N(E2784)&lt;&gt;0,K2784=TAHUN,N(J2784)&lt;=BLN,OR(C2784=BB_AKUN,D2784=BB_AKUN)),1,0)</f>
        <v>877</v>
      </c>
      <c r="R2784" s="104" t="str">
        <f aca="false">IF(OR(C2784&amp;D2784="",N(E2784)=0),"",IF(OR(O2784="?",P2784="?"),"⚠ akun tidak dikenal",IF(C2784=D2784,"⚠ debet = kredit","")))</f>
        <v/>
      </c>
    </row>
    <row r="2785" customFormat="false" ht="15" hidden="false" customHeight="false" outlineLevel="0" collapsed="false">
      <c r="A2785" s="5"/>
      <c r="B2785" s="83"/>
      <c r="C2785" s="5"/>
      <c r="D2785" s="5"/>
      <c r="E2785" s="44"/>
      <c r="F2785" s="5"/>
      <c r="G2785" s="5"/>
      <c r="H2785" s="5"/>
      <c r="I2785" s="5"/>
      <c r="J2785" s="102" t="str">
        <f aca="false">IF(B2785="","",MONTH(B2785))</f>
        <v/>
      </c>
      <c r="K2785" s="102" t="str">
        <f aca="false">IF(B2785="","",YEAR(B2785))</f>
        <v/>
      </c>
      <c r="L2785" s="102" t="str">
        <f aca="false">IF(N(E2785)=0,"",IF(COUNTIFS(AK_NAMA,C2785,AK_KAT,"KAS")+COUNTIFS(AK_NAMA,D2785,AK_KAT,"KAS")&lt;&gt;1,"",IF(COUNTIFS(AK_NAMA,C2785,AK_KAT,"KAS")=1,D2785,C2785)))</f>
        <v/>
      </c>
      <c r="M2785" s="103" t="n">
        <f aca="false">IF(L2785="",0,IF(L2785=D2785,E2785,-E2785))</f>
        <v>0</v>
      </c>
      <c r="N2785" s="102" t="str">
        <f aca="false">IF(L2785="","",IFERROR(INDEX(AK_BARIS,MATCH(L2785,AK_NAMA,0)),"?"))</f>
        <v/>
      </c>
      <c r="O2785" s="102" t="str">
        <f aca="false">IF(C2785="","",IFERROR(INDEX(AK_KEL,MATCH(C2785,AK_NAMA,0)),"?"))</f>
        <v/>
      </c>
      <c r="P2785" s="102" t="str">
        <f aca="false">IF(D2785="","",IFERROR(INDEX(AK_KEL,MATCH(D2785,AK_NAMA,0)),"?"))</f>
        <v/>
      </c>
      <c r="Q2785" s="102" t="n">
        <f aca="false">N(Q2784)+IF(AND(N(E2785)&lt;&gt;0,K2785=TAHUN,N(J2785)&lt;=BLN,OR(C2785=BB_AKUN,D2785=BB_AKUN)),1,0)</f>
        <v>877</v>
      </c>
      <c r="R2785" s="104" t="str">
        <f aca="false">IF(OR(C2785&amp;D2785="",N(E2785)=0),"",IF(OR(O2785="?",P2785="?"),"⚠ akun tidak dikenal",IF(C2785=D2785,"⚠ debet = kredit","")))</f>
        <v/>
      </c>
    </row>
    <row r="2786" customFormat="false" ht="15" hidden="false" customHeight="false" outlineLevel="0" collapsed="false">
      <c r="A2786" s="5"/>
      <c r="B2786" s="83"/>
      <c r="C2786" s="5"/>
      <c r="D2786" s="5"/>
      <c r="E2786" s="44"/>
      <c r="F2786" s="5"/>
      <c r="G2786" s="5"/>
      <c r="H2786" s="5"/>
      <c r="I2786" s="5"/>
      <c r="J2786" s="102" t="str">
        <f aca="false">IF(B2786="","",MONTH(B2786))</f>
        <v/>
      </c>
      <c r="K2786" s="102" t="str">
        <f aca="false">IF(B2786="","",YEAR(B2786))</f>
        <v/>
      </c>
      <c r="L2786" s="102" t="str">
        <f aca="false">IF(N(E2786)=0,"",IF(COUNTIFS(AK_NAMA,C2786,AK_KAT,"KAS")+COUNTIFS(AK_NAMA,D2786,AK_KAT,"KAS")&lt;&gt;1,"",IF(COUNTIFS(AK_NAMA,C2786,AK_KAT,"KAS")=1,D2786,C2786)))</f>
        <v/>
      </c>
      <c r="M2786" s="103" t="n">
        <f aca="false">IF(L2786="",0,IF(L2786=D2786,E2786,-E2786))</f>
        <v>0</v>
      </c>
      <c r="N2786" s="102" t="str">
        <f aca="false">IF(L2786="","",IFERROR(INDEX(AK_BARIS,MATCH(L2786,AK_NAMA,0)),"?"))</f>
        <v/>
      </c>
      <c r="O2786" s="102" t="str">
        <f aca="false">IF(C2786="","",IFERROR(INDEX(AK_KEL,MATCH(C2786,AK_NAMA,0)),"?"))</f>
        <v/>
      </c>
      <c r="P2786" s="102" t="str">
        <f aca="false">IF(D2786="","",IFERROR(INDEX(AK_KEL,MATCH(D2786,AK_NAMA,0)),"?"))</f>
        <v/>
      </c>
      <c r="Q2786" s="102" t="n">
        <f aca="false">N(Q2785)+IF(AND(N(E2786)&lt;&gt;0,K2786=TAHUN,N(J2786)&lt;=BLN,OR(C2786=BB_AKUN,D2786=BB_AKUN)),1,0)</f>
        <v>877</v>
      </c>
      <c r="R2786" s="104" t="str">
        <f aca="false">IF(OR(C2786&amp;D2786="",N(E2786)=0),"",IF(OR(O2786="?",P2786="?"),"⚠ akun tidak dikenal",IF(C2786=D2786,"⚠ debet = kredit","")))</f>
        <v/>
      </c>
    </row>
    <row r="2787" customFormat="false" ht="15" hidden="false" customHeight="false" outlineLevel="0" collapsed="false">
      <c r="A2787" s="5"/>
      <c r="B2787" s="83"/>
      <c r="C2787" s="5"/>
      <c r="D2787" s="5"/>
      <c r="E2787" s="44"/>
      <c r="F2787" s="5"/>
      <c r="G2787" s="5"/>
      <c r="H2787" s="5"/>
      <c r="I2787" s="5"/>
      <c r="J2787" s="102" t="str">
        <f aca="false">IF(B2787="","",MONTH(B2787))</f>
        <v/>
      </c>
      <c r="K2787" s="102" t="str">
        <f aca="false">IF(B2787="","",YEAR(B2787))</f>
        <v/>
      </c>
      <c r="L2787" s="102" t="str">
        <f aca="false">IF(N(E2787)=0,"",IF(COUNTIFS(AK_NAMA,C2787,AK_KAT,"KAS")+COUNTIFS(AK_NAMA,D2787,AK_KAT,"KAS")&lt;&gt;1,"",IF(COUNTIFS(AK_NAMA,C2787,AK_KAT,"KAS")=1,D2787,C2787)))</f>
        <v/>
      </c>
      <c r="M2787" s="103" t="n">
        <f aca="false">IF(L2787="",0,IF(L2787=D2787,E2787,-E2787))</f>
        <v>0</v>
      </c>
      <c r="N2787" s="102" t="str">
        <f aca="false">IF(L2787="","",IFERROR(INDEX(AK_BARIS,MATCH(L2787,AK_NAMA,0)),"?"))</f>
        <v/>
      </c>
      <c r="O2787" s="102" t="str">
        <f aca="false">IF(C2787="","",IFERROR(INDEX(AK_KEL,MATCH(C2787,AK_NAMA,0)),"?"))</f>
        <v/>
      </c>
      <c r="P2787" s="102" t="str">
        <f aca="false">IF(D2787="","",IFERROR(INDEX(AK_KEL,MATCH(D2787,AK_NAMA,0)),"?"))</f>
        <v/>
      </c>
      <c r="Q2787" s="102" t="n">
        <f aca="false">N(Q2786)+IF(AND(N(E2787)&lt;&gt;0,K2787=TAHUN,N(J2787)&lt;=BLN,OR(C2787=BB_AKUN,D2787=BB_AKUN)),1,0)</f>
        <v>877</v>
      </c>
      <c r="R2787" s="104" t="str">
        <f aca="false">IF(OR(C2787&amp;D2787="",N(E2787)=0),"",IF(OR(O2787="?",P2787="?"),"⚠ akun tidak dikenal",IF(C2787=D2787,"⚠ debet = kredit","")))</f>
        <v/>
      </c>
    </row>
    <row r="2788" customFormat="false" ht="15" hidden="false" customHeight="false" outlineLevel="0" collapsed="false">
      <c r="A2788" s="5"/>
      <c r="B2788" s="83"/>
      <c r="C2788" s="5"/>
      <c r="D2788" s="5"/>
      <c r="E2788" s="44"/>
      <c r="F2788" s="5"/>
      <c r="G2788" s="5"/>
      <c r="H2788" s="5"/>
      <c r="I2788" s="5"/>
      <c r="J2788" s="102" t="str">
        <f aca="false">IF(B2788="","",MONTH(B2788))</f>
        <v/>
      </c>
      <c r="K2788" s="102" t="str">
        <f aca="false">IF(B2788="","",YEAR(B2788))</f>
        <v/>
      </c>
      <c r="L2788" s="102" t="str">
        <f aca="false">IF(N(E2788)=0,"",IF(COUNTIFS(AK_NAMA,C2788,AK_KAT,"KAS")+COUNTIFS(AK_NAMA,D2788,AK_KAT,"KAS")&lt;&gt;1,"",IF(COUNTIFS(AK_NAMA,C2788,AK_KAT,"KAS")=1,D2788,C2788)))</f>
        <v/>
      </c>
      <c r="M2788" s="103" t="n">
        <f aca="false">IF(L2788="",0,IF(L2788=D2788,E2788,-E2788))</f>
        <v>0</v>
      </c>
      <c r="N2788" s="102" t="str">
        <f aca="false">IF(L2788="","",IFERROR(INDEX(AK_BARIS,MATCH(L2788,AK_NAMA,0)),"?"))</f>
        <v/>
      </c>
      <c r="O2788" s="102" t="str">
        <f aca="false">IF(C2788="","",IFERROR(INDEX(AK_KEL,MATCH(C2788,AK_NAMA,0)),"?"))</f>
        <v/>
      </c>
      <c r="P2788" s="102" t="str">
        <f aca="false">IF(D2788="","",IFERROR(INDEX(AK_KEL,MATCH(D2788,AK_NAMA,0)),"?"))</f>
        <v/>
      </c>
      <c r="Q2788" s="102" t="n">
        <f aca="false">N(Q2787)+IF(AND(N(E2788)&lt;&gt;0,K2788=TAHUN,N(J2788)&lt;=BLN,OR(C2788=BB_AKUN,D2788=BB_AKUN)),1,0)</f>
        <v>877</v>
      </c>
      <c r="R2788" s="104" t="str">
        <f aca="false">IF(OR(C2788&amp;D2788="",N(E2788)=0),"",IF(OR(O2788="?",P2788="?"),"⚠ akun tidak dikenal",IF(C2788=D2788,"⚠ debet = kredit","")))</f>
        <v/>
      </c>
    </row>
    <row r="2789" customFormat="false" ht="15" hidden="false" customHeight="false" outlineLevel="0" collapsed="false">
      <c r="A2789" s="5"/>
      <c r="B2789" s="83"/>
      <c r="C2789" s="5"/>
      <c r="D2789" s="5"/>
      <c r="E2789" s="44"/>
      <c r="F2789" s="5"/>
      <c r="G2789" s="5"/>
      <c r="H2789" s="5"/>
      <c r="I2789" s="5"/>
      <c r="J2789" s="102" t="str">
        <f aca="false">IF(B2789="","",MONTH(B2789))</f>
        <v/>
      </c>
      <c r="K2789" s="102" t="str">
        <f aca="false">IF(B2789="","",YEAR(B2789))</f>
        <v/>
      </c>
      <c r="L2789" s="102" t="str">
        <f aca="false">IF(N(E2789)=0,"",IF(COUNTIFS(AK_NAMA,C2789,AK_KAT,"KAS")+COUNTIFS(AK_NAMA,D2789,AK_KAT,"KAS")&lt;&gt;1,"",IF(COUNTIFS(AK_NAMA,C2789,AK_KAT,"KAS")=1,D2789,C2789)))</f>
        <v/>
      </c>
      <c r="M2789" s="103" t="n">
        <f aca="false">IF(L2789="",0,IF(L2789=D2789,E2789,-E2789))</f>
        <v>0</v>
      </c>
      <c r="N2789" s="102" t="str">
        <f aca="false">IF(L2789="","",IFERROR(INDEX(AK_BARIS,MATCH(L2789,AK_NAMA,0)),"?"))</f>
        <v/>
      </c>
      <c r="O2789" s="102" t="str">
        <f aca="false">IF(C2789="","",IFERROR(INDEX(AK_KEL,MATCH(C2789,AK_NAMA,0)),"?"))</f>
        <v/>
      </c>
      <c r="P2789" s="102" t="str">
        <f aca="false">IF(D2789="","",IFERROR(INDEX(AK_KEL,MATCH(D2789,AK_NAMA,0)),"?"))</f>
        <v/>
      </c>
      <c r="Q2789" s="102" t="n">
        <f aca="false">N(Q2788)+IF(AND(N(E2789)&lt;&gt;0,K2789=TAHUN,N(J2789)&lt;=BLN,OR(C2789=BB_AKUN,D2789=BB_AKUN)),1,0)</f>
        <v>877</v>
      </c>
      <c r="R2789" s="104" t="str">
        <f aca="false">IF(OR(C2789&amp;D2789="",N(E2789)=0),"",IF(OR(O2789="?",P2789="?"),"⚠ akun tidak dikenal",IF(C2789=D2789,"⚠ debet = kredit","")))</f>
        <v/>
      </c>
    </row>
    <row r="2790" customFormat="false" ht="15" hidden="false" customHeight="false" outlineLevel="0" collapsed="false">
      <c r="A2790" s="5"/>
      <c r="B2790" s="83"/>
      <c r="C2790" s="5"/>
      <c r="D2790" s="5"/>
      <c r="E2790" s="44"/>
      <c r="F2790" s="5"/>
      <c r="G2790" s="5"/>
      <c r="H2790" s="5"/>
      <c r="I2790" s="5"/>
      <c r="J2790" s="102" t="str">
        <f aca="false">IF(B2790="","",MONTH(B2790))</f>
        <v/>
      </c>
      <c r="K2790" s="102" t="str">
        <f aca="false">IF(B2790="","",YEAR(B2790))</f>
        <v/>
      </c>
      <c r="L2790" s="102" t="str">
        <f aca="false">IF(N(E2790)=0,"",IF(COUNTIFS(AK_NAMA,C2790,AK_KAT,"KAS")+COUNTIFS(AK_NAMA,D2790,AK_KAT,"KAS")&lt;&gt;1,"",IF(COUNTIFS(AK_NAMA,C2790,AK_KAT,"KAS")=1,D2790,C2790)))</f>
        <v/>
      </c>
      <c r="M2790" s="103" t="n">
        <f aca="false">IF(L2790="",0,IF(L2790=D2790,E2790,-E2790))</f>
        <v>0</v>
      </c>
      <c r="N2790" s="102" t="str">
        <f aca="false">IF(L2790="","",IFERROR(INDEX(AK_BARIS,MATCH(L2790,AK_NAMA,0)),"?"))</f>
        <v/>
      </c>
      <c r="O2790" s="102" t="str">
        <f aca="false">IF(C2790="","",IFERROR(INDEX(AK_KEL,MATCH(C2790,AK_NAMA,0)),"?"))</f>
        <v/>
      </c>
      <c r="P2790" s="102" t="str">
        <f aca="false">IF(D2790="","",IFERROR(INDEX(AK_KEL,MATCH(D2790,AK_NAMA,0)),"?"))</f>
        <v/>
      </c>
      <c r="Q2790" s="102" t="n">
        <f aca="false">N(Q2789)+IF(AND(N(E2790)&lt;&gt;0,K2790=TAHUN,N(J2790)&lt;=BLN,OR(C2790=BB_AKUN,D2790=BB_AKUN)),1,0)</f>
        <v>877</v>
      </c>
      <c r="R2790" s="104" t="str">
        <f aca="false">IF(OR(C2790&amp;D2790="",N(E2790)=0),"",IF(OR(O2790="?",P2790="?"),"⚠ akun tidak dikenal",IF(C2790=D2790,"⚠ debet = kredit","")))</f>
        <v/>
      </c>
    </row>
    <row r="2791" customFormat="false" ht="15" hidden="false" customHeight="false" outlineLevel="0" collapsed="false">
      <c r="A2791" s="5"/>
      <c r="B2791" s="83"/>
      <c r="C2791" s="5"/>
      <c r="D2791" s="5"/>
      <c r="E2791" s="44"/>
      <c r="F2791" s="5"/>
      <c r="G2791" s="5"/>
      <c r="H2791" s="5"/>
      <c r="I2791" s="5"/>
      <c r="J2791" s="102" t="str">
        <f aca="false">IF(B2791="","",MONTH(B2791))</f>
        <v/>
      </c>
      <c r="K2791" s="102" t="str">
        <f aca="false">IF(B2791="","",YEAR(B2791))</f>
        <v/>
      </c>
      <c r="L2791" s="102" t="str">
        <f aca="false">IF(N(E2791)=0,"",IF(COUNTIFS(AK_NAMA,C2791,AK_KAT,"KAS")+COUNTIFS(AK_NAMA,D2791,AK_KAT,"KAS")&lt;&gt;1,"",IF(COUNTIFS(AK_NAMA,C2791,AK_KAT,"KAS")=1,D2791,C2791)))</f>
        <v/>
      </c>
      <c r="M2791" s="103" t="n">
        <f aca="false">IF(L2791="",0,IF(L2791=D2791,E2791,-E2791))</f>
        <v>0</v>
      </c>
      <c r="N2791" s="102" t="str">
        <f aca="false">IF(L2791="","",IFERROR(INDEX(AK_BARIS,MATCH(L2791,AK_NAMA,0)),"?"))</f>
        <v/>
      </c>
      <c r="O2791" s="102" t="str">
        <f aca="false">IF(C2791="","",IFERROR(INDEX(AK_KEL,MATCH(C2791,AK_NAMA,0)),"?"))</f>
        <v/>
      </c>
      <c r="P2791" s="102" t="str">
        <f aca="false">IF(D2791="","",IFERROR(INDEX(AK_KEL,MATCH(D2791,AK_NAMA,0)),"?"))</f>
        <v/>
      </c>
      <c r="Q2791" s="102" t="n">
        <f aca="false">N(Q2790)+IF(AND(N(E2791)&lt;&gt;0,K2791=TAHUN,N(J2791)&lt;=BLN,OR(C2791=BB_AKUN,D2791=BB_AKUN)),1,0)</f>
        <v>877</v>
      </c>
      <c r="R2791" s="104" t="str">
        <f aca="false">IF(OR(C2791&amp;D2791="",N(E2791)=0),"",IF(OR(O2791="?",P2791="?"),"⚠ akun tidak dikenal",IF(C2791=D2791,"⚠ debet = kredit","")))</f>
        <v/>
      </c>
    </row>
    <row r="2792" customFormat="false" ht="15" hidden="false" customHeight="false" outlineLevel="0" collapsed="false">
      <c r="A2792" s="5"/>
      <c r="B2792" s="83"/>
      <c r="C2792" s="5"/>
      <c r="D2792" s="5"/>
      <c r="E2792" s="44"/>
      <c r="F2792" s="5"/>
      <c r="G2792" s="5"/>
      <c r="H2792" s="5"/>
      <c r="I2792" s="5"/>
      <c r="J2792" s="102" t="str">
        <f aca="false">IF(B2792="","",MONTH(B2792))</f>
        <v/>
      </c>
      <c r="K2792" s="102" t="str">
        <f aca="false">IF(B2792="","",YEAR(B2792))</f>
        <v/>
      </c>
      <c r="L2792" s="102" t="str">
        <f aca="false">IF(N(E2792)=0,"",IF(COUNTIFS(AK_NAMA,C2792,AK_KAT,"KAS")+COUNTIFS(AK_NAMA,D2792,AK_KAT,"KAS")&lt;&gt;1,"",IF(COUNTIFS(AK_NAMA,C2792,AK_KAT,"KAS")=1,D2792,C2792)))</f>
        <v/>
      </c>
      <c r="M2792" s="103" t="n">
        <f aca="false">IF(L2792="",0,IF(L2792=D2792,E2792,-E2792))</f>
        <v>0</v>
      </c>
      <c r="N2792" s="102" t="str">
        <f aca="false">IF(L2792="","",IFERROR(INDEX(AK_BARIS,MATCH(L2792,AK_NAMA,0)),"?"))</f>
        <v/>
      </c>
      <c r="O2792" s="102" t="str">
        <f aca="false">IF(C2792="","",IFERROR(INDEX(AK_KEL,MATCH(C2792,AK_NAMA,0)),"?"))</f>
        <v/>
      </c>
      <c r="P2792" s="102" t="str">
        <f aca="false">IF(D2792="","",IFERROR(INDEX(AK_KEL,MATCH(D2792,AK_NAMA,0)),"?"))</f>
        <v/>
      </c>
      <c r="Q2792" s="102" t="n">
        <f aca="false">N(Q2791)+IF(AND(N(E2792)&lt;&gt;0,K2792=TAHUN,N(J2792)&lt;=BLN,OR(C2792=BB_AKUN,D2792=BB_AKUN)),1,0)</f>
        <v>877</v>
      </c>
      <c r="R2792" s="104" t="str">
        <f aca="false">IF(OR(C2792&amp;D2792="",N(E2792)=0),"",IF(OR(O2792="?",P2792="?"),"⚠ akun tidak dikenal",IF(C2792=D2792,"⚠ debet = kredit","")))</f>
        <v/>
      </c>
    </row>
    <row r="2793" customFormat="false" ht="15" hidden="false" customHeight="false" outlineLevel="0" collapsed="false">
      <c r="A2793" s="5"/>
      <c r="B2793" s="83"/>
      <c r="C2793" s="5"/>
      <c r="D2793" s="5"/>
      <c r="E2793" s="44"/>
      <c r="F2793" s="5"/>
      <c r="G2793" s="5"/>
      <c r="H2793" s="5"/>
      <c r="I2793" s="5"/>
      <c r="J2793" s="102" t="str">
        <f aca="false">IF(B2793="","",MONTH(B2793))</f>
        <v/>
      </c>
      <c r="K2793" s="102" t="str">
        <f aca="false">IF(B2793="","",YEAR(B2793))</f>
        <v/>
      </c>
      <c r="L2793" s="102" t="str">
        <f aca="false">IF(N(E2793)=0,"",IF(COUNTIFS(AK_NAMA,C2793,AK_KAT,"KAS")+COUNTIFS(AK_NAMA,D2793,AK_KAT,"KAS")&lt;&gt;1,"",IF(COUNTIFS(AK_NAMA,C2793,AK_KAT,"KAS")=1,D2793,C2793)))</f>
        <v/>
      </c>
      <c r="M2793" s="103" t="n">
        <f aca="false">IF(L2793="",0,IF(L2793=D2793,E2793,-E2793))</f>
        <v>0</v>
      </c>
      <c r="N2793" s="102" t="str">
        <f aca="false">IF(L2793="","",IFERROR(INDEX(AK_BARIS,MATCH(L2793,AK_NAMA,0)),"?"))</f>
        <v/>
      </c>
      <c r="O2793" s="102" t="str">
        <f aca="false">IF(C2793="","",IFERROR(INDEX(AK_KEL,MATCH(C2793,AK_NAMA,0)),"?"))</f>
        <v/>
      </c>
      <c r="P2793" s="102" t="str">
        <f aca="false">IF(D2793="","",IFERROR(INDEX(AK_KEL,MATCH(D2793,AK_NAMA,0)),"?"))</f>
        <v/>
      </c>
      <c r="Q2793" s="102" t="n">
        <f aca="false">N(Q2792)+IF(AND(N(E2793)&lt;&gt;0,K2793=TAHUN,N(J2793)&lt;=BLN,OR(C2793=BB_AKUN,D2793=BB_AKUN)),1,0)</f>
        <v>877</v>
      </c>
      <c r="R2793" s="104" t="str">
        <f aca="false">IF(OR(C2793&amp;D2793="",N(E2793)=0),"",IF(OR(O2793="?",P2793="?"),"⚠ akun tidak dikenal",IF(C2793=D2793,"⚠ debet = kredit","")))</f>
        <v/>
      </c>
    </row>
    <row r="2794" customFormat="false" ht="15" hidden="false" customHeight="false" outlineLevel="0" collapsed="false">
      <c r="A2794" s="5"/>
      <c r="B2794" s="83"/>
      <c r="C2794" s="5"/>
      <c r="D2794" s="5"/>
      <c r="E2794" s="44"/>
      <c r="F2794" s="5"/>
      <c r="G2794" s="5"/>
      <c r="H2794" s="5"/>
      <c r="I2794" s="5"/>
      <c r="J2794" s="102" t="str">
        <f aca="false">IF(B2794="","",MONTH(B2794))</f>
        <v/>
      </c>
      <c r="K2794" s="102" t="str">
        <f aca="false">IF(B2794="","",YEAR(B2794))</f>
        <v/>
      </c>
      <c r="L2794" s="102" t="str">
        <f aca="false">IF(N(E2794)=0,"",IF(COUNTIFS(AK_NAMA,C2794,AK_KAT,"KAS")+COUNTIFS(AK_NAMA,D2794,AK_KAT,"KAS")&lt;&gt;1,"",IF(COUNTIFS(AK_NAMA,C2794,AK_KAT,"KAS")=1,D2794,C2794)))</f>
        <v/>
      </c>
      <c r="M2794" s="103" t="n">
        <f aca="false">IF(L2794="",0,IF(L2794=D2794,E2794,-E2794))</f>
        <v>0</v>
      </c>
      <c r="N2794" s="102" t="str">
        <f aca="false">IF(L2794="","",IFERROR(INDEX(AK_BARIS,MATCH(L2794,AK_NAMA,0)),"?"))</f>
        <v/>
      </c>
      <c r="O2794" s="102" t="str">
        <f aca="false">IF(C2794="","",IFERROR(INDEX(AK_KEL,MATCH(C2794,AK_NAMA,0)),"?"))</f>
        <v/>
      </c>
      <c r="P2794" s="102" t="str">
        <f aca="false">IF(D2794="","",IFERROR(INDEX(AK_KEL,MATCH(D2794,AK_NAMA,0)),"?"))</f>
        <v/>
      </c>
      <c r="Q2794" s="102" t="n">
        <f aca="false">N(Q2793)+IF(AND(N(E2794)&lt;&gt;0,K2794=TAHUN,N(J2794)&lt;=BLN,OR(C2794=BB_AKUN,D2794=BB_AKUN)),1,0)</f>
        <v>877</v>
      </c>
      <c r="R2794" s="104" t="str">
        <f aca="false">IF(OR(C2794&amp;D2794="",N(E2794)=0),"",IF(OR(O2794="?",P2794="?"),"⚠ akun tidak dikenal",IF(C2794=D2794,"⚠ debet = kredit","")))</f>
        <v/>
      </c>
    </row>
    <row r="2795" customFormat="false" ht="15" hidden="false" customHeight="false" outlineLevel="0" collapsed="false">
      <c r="A2795" s="5"/>
      <c r="B2795" s="83"/>
      <c r="C2795" s="5"/>
      <c r="D2795" s="5"/>
      <c r="E2795" s="44"/>
      <c r="F2795" s="5"/>
      <c r="G2795" s="5"/>
      <c r="H2795" s="5"/>
      <c r="I2795" s="5"/>
      <c r="J2795" s="102" t="str">
        <f aca="false">IF(B2795="","",MONTH(B2795))</f>
        <v/>
      </c>
      <c r="K2795" s="102" t="str">
        <f aca="false">IF(B2795="","",YEAR(B2795))</f>
        <v/>
      </c>
      <c r="L2795" s="102" t="str">
        <f aca="false">IF(N(E2795)=0,"",IF(COUNTIFS(AK_NAMA,C2795,AK_KAT,"KAS")+COUNTIFS(AK_NAMA,D2795,AK_KAT,"KAS")&lt;&gt;1,"",IF(COUNTIFS(AK_NAMA,C2795,AK_KAT,"KAS")=1,D2795,C2795)))</f>
        <v/>
      </c>
      <c r="M2795" s="103" t="n">
        <f aca="false">IF(L2795="",0,IF(L2795=D2795,E2795,-E2795))</f>
        <v>0</v>
      </c>
      <c r="N2795" s="102" t="str">
        <f aca="false">IF(L2795="","",IFERROR(INDEX(AK_BARIS,MATCH(L2795,AK_NAMA,0)),"?"))</f>
        <v/>
      </c>
      <c r="O2795" s="102" t="str">
        <f aca="false">IF(C2795="","",IFERROR(INDEX(AK_KEL,MATCH(C2795,AK_NAMA,0)),"?"))</f>
        <v/>
      </c>
      <c r="P2795" s="102" t="str">
        <f aca="false">IF(D2795="","",IFERROR(INDEX(AK_KEL,MATCH(D2795,AK_NAMA,0)),"?"))</f>
        <v/>
      </c>
      <c r="Q2795" s="102" t="n">
        <f aca="false">N(Q2794)+IF(AND(N(E2795)&lt;&gt;0,K2795=TAHUN,N(J2795)&lt;=BLN,OR(C2795=BB_AKUN,D2795=BB_AKUN)),1,0)</f>
        <v>877</v>
      </c>
      <c r="R2795" s="104" t="str">
        <f aca="false">IF(OR(C2795&amp;D2795="",N(E2795)=0),"",IF(OR(O2795="?",P2795="?"),"⚠ akun tidak dikenal",IF(C2795=D2795,"⚠ debet = kredit","")))</f>
        <v/>
      </c>
    </row>
    <row r="2796" customFormat="false" ht="15" hidden="false" customHeight="false" outlineLevel="0" collapsed="false">
      <c r="A2796" s="5"/>
      <c r="B2796" s="83"/>
      <c r="C2796" s="5"/>
      <c r="D2796" s="5"/>
      <c r="E2796" s="44"/>
      <c r="F2796" s="5"/>
      <c r="G2796" s="5"/>
      <c r="H2796" s="5"/>
      <c r="I2796" s="5"/>
      <c r="J2796" s="102" t="str">
        <f aca="false">IF(B2796="","",MONTH(B2796))</f>
        <v/>
      </c>
      <c r="K2796" s="102" t="str">
        <f aca="false">IF(B2796="","",YEAR(B2796))</f>
        <v/>
      </c>
      <c r="L2796" s="102" t="str">
        <f aca="false">IF(N(E2796)=0,"",IF(COUNTIFS(AK_NAMA,C2796,AK_KAT,"KAS")+COUNTIFS(AK_NAMA,D2796,AK_KAT,"KAS")&lt;&gt;1,"",IF(COUNTIFS(AK_NAMA,C2796,AK_KAT,"KAS")=1,D2796,C2796)))</f>
        <v/>
      </c>
      <c r="M2796" s="103" t="n">
        <f aca="false">IF(L2796="",0,IF(L2796=D2796,E2796,-E2796))</f>
        <v>0</v>
      </c>
      <c r="N2796" s="102" t="str">
        <f aca="false">IF(L2796="","",IFERROR(INDEX(AK_BARIS,MATCH(L2796,AK_NAMA,0)),"?"))</f>
        <v/>
      </c>
      <c r="O2796" s="102" t="str">
        <f aca="false">IF(C2796="","",IFERROR(INDEX(AK_KEL,MATCH(C2796,AK_NAMA,0)),"?"))</f>
        <v/>
      </c>
      <c r="P2796" s="102" t="str">
        <f aca="false">IF(D2796="","",IFERROR(INDEX(AK_KEL,MATCH(D2796,AK_NAMA,0)),"?"))</f>
        <v/>
      </c>
      <c r="Q2796" s="102" t="n">
        <f aca="false">N(Q2795)+IF(AND(N(E2796)&lt;&gt;0,K2796=TAHUN,N(J2796)&lt;=BLN,OR(C2796=BB_AKUN,D2796=BB_AKUN)),1,0)</f>
        <v>877</v>
      </c>
      <c r="R2796" s="104" t="str">
        <f aca="false">IF(OR(C2796&amp;D2796="",N(E2796)=0),"",IF(OR(O2796="?",P2796="?"),"⚠ akun tidak dikenal",IF(C2796=D2796,"⚠ debet = kredit","")))</f>
        <v/>
      </c>
    </row>
    <row r="2797" customFormat="false" ht="15" hidden="false" customHeight="false" outlineLevel="0" collapsed="false">
      <c r="A2797" s="5"/>
      <c r="B2797" s="83"/>
      <c r="C2797" s="5"/>
      <c r="D2797" s="5"/>
      <c r="E2797" s="44"/>
      <c r="F2797" s="5"/>
      <c r="G2797" s="5"/>
      <c r="H2797" s="5"/>
      <c r="I2797" s="5"/>
      <c r="J2797" s="102" t="str">
        <f aca="false">IF(B2797="","",MONTH(B2797))</f>
        <v/>
      </c>
      <c r="K2797" s="102" t="str">
        <f aca="false">IF(B2797="","",YEAR(B2797))</f>
        <v/>
      </c>
      <c r="L2797" s="102" t="str">
        <f aca="false">IF(N(E2797)=0,"",IF(COUNTIFS(AK_NAMA,C2797,AK_KAT,"KAS")+COUNTIFS(AK_NAMA,D2797,AK_KAT,"KAS")&lt;&gt;1,"",IF(COUNTIFS(AK_NAMA,C2797,AK_KAT,"KAS")=1,D2797,C2797)))</f>
        <v/>
      </c>
      <c r="M2797" s="103" t="n">
        <f aca="false">IF(L2797="",0,IF(L2797=D2797,E2797,-E2797))</f>
        <v>0</v>
      </c>
      <c r="N2797" s="102" t="str">
        <f aca="false">IF(L2797="","",IFERROR(INDEX(AK_BARIS,MATCH(L2797,AK_NAMA,0)),"?"))</f>
        <v/>
      </c>
      <c r="O2797" s="102" t="str">
        <f aca="false">IF(C2797="","",IFERROR(INDEX(AK_KEL,MATCH(C2797,AK_NAMA,0)),"?"))</f>
        <v/>
      </c>
      <c r="P2797" s="102" t="str">
        <f aca="false">IF(D2797="","",IFERROR(INDEX(AK_KEL,MATCH(D2797,AK_NAMA,0)),"?"))</f>
        <v/>
      </c>
      <c r="Q2797" s="102" t="n">
        <f aca="false">N(Q2796)+IF(AND(N(E2797)&lt;&gt;0,K2797=TAHUN,N(J2797)&lt;=BLN,OR(C2797=BB_AKUN,D2797=BB_AKUN)),1,0)</f>
        <v>877</v>
      </c>
      <c r="R2797" s="104" t="str">
        <f aca="false">IF(OR(C2797&amp;D2797="",N(E2797)=0),"",IF(OR(O2797="?",P2797="?"),"⚠ akun tidak dikenal",IF(C2797=D2797,"⚠ debet = kredit","")))</f>
        <v/>
      </c>
    </row>
    <row r="2798" customFormat="false" ht="15" hidden="false" customHeight="false" outlineLevel="0" collapsed="false">
      <c r="A2798" s="5"/>
      <c r="B2798" s="83"/>
      <c r="C2798" s="5"/>
      <c r="D2798" s="5"/>
      <c r="E2798" s="44"/>
      <c r="F2798" s="5"/>
      <c r="G2798" s="5"/>
      <c r="H2798" s="5"/>
      <c r="I2798" s="5"/>
      <c r="J2798" s="102" t="str">
        <f aca="false">IF(B2798="","",MONTH(B2798))</f>
        <v/>
      </c>
      <c r="K2798" s="102" t="str">
        <f aca="false">IF(B2798="","",YEAR(B2798))</f>
        <v/>
      </c>
      <c r="L2798" s="102" t="str">
        <f aca="false">IF(N(E2798)=0,"",IF(COUNTIFS(AK_NAMA,C2798,AK_KAT,"KAS")+COUNTIFS(AK_NAMA,D2798,AK_KAT,"KAS")&lt;&gt;1,"",IF(COUNTIFS(AK_NAMA,C2798,AK_KAT,"KAS")=1,D2798,C2798)))</f>
        <v/>
      </c>
      <c r="M2798" s="103" t="n">
        <f aca="false">IF(L2798="",0,IF(L2798=D2798,E2798,-E2798))</f>
        <v>0</v>
      </c>
      <c r="N2798" s="102" t="str">
        <f aca="false">IF(L2798="","",IFERROR(INDEX(AK_BARIS,MATCH(L2798,AK_NAMA,0)),"?"))</f>
        <v/>
      </c>
      <c r="O2798" s="102" t="str">
        <f aca="false">IF(C2798="","",IFERROR(INDEX(AK_KEL,MATCH(C2798,AK_NAMA,0)),"?"))</f>
        <v/>
      </c>
      <c r="P2798" s="102" t="str">
        <f aca="false">IF(D2798="","",IFERROR(INDEX(AK_KEL,MATCH(D2798,AK_NAMA,0)),"?"))</f>
        <v/>
      </c>
      <c r="Q2798" s="102" t="n">
        <f aca="false">N(Q2797)+IF(AND(N(E2798)&lt;&gt;0,K2798=TAHUN,N(J2798)&lt;=BLN,OR(C2798=BB_AKUN,D2798=BB_AKUN)),1,0)</f>
        <v>877</v>
      </c>
      <c r="R2798" s="104" t="str">
        <f aca="false">IF(OR(C2798&amp;D2798="",N(E2798)=0),"",IF(OR(O2798="?",P2798="?"),"⚠ akun tidak dikenal",IF(C2798=D2798,"⚠ debet = kredit","")))</f>
        <v/>
      </c>
    </row>
    <row r="2799" customFormat="false" ht="15" hidden="false" customHeight="false" outlineLevel="0" collapsed="false">
      <c r="A2799" s="5"/>
      <c r="B2799" s="83"/>
      <c r="C2799" s="5"/>
      <c r="D2799" s="5"/>
      <c r="E2799" s="44"/>
      <c r="F2799" s="5"/>
      <c r="G2799" s="5"/>
      <c r="H2799" s="5"/>
      <c r="I2799" s="5"/>
      <c r="J2799" s="102" t="str">
        <f aca="false">IF(B2799="","",MONTH(B2799))</f>
        <v/>
      </c>
      <c r="K2799" s="102" t="str">
        <f aca="false">IF(B2799="","",YEAR(B2799))</f>
        <v/>
      </c>
      <c r="L2799" s="102" t="str">
        <f aca="false">IF(N(E2799)=0,"",IF(COUNTIFS(AK_NAMA,C2799,AK_KAT,"KAS")+COUNTIFS(AK_NAMA,D2799,AK_KAT,"KAS")&lt;&gt;1,"",IF(COUNTIFS(AK_NAMA,C2799,AK_KAT,"KAS")=1,D2799,C2799)))</f>
        <v/>
      </c>
      <c r="M2799" s="103" t="n">
        <f aca="false">IF(L2799="",0,IF(L2799=D2799,E2799,-E2799))</f>
        <v>0</v>
      </c>
      <c r="N2799" s="102" t="str">
        <f aca="false">IF(L2799="","",IFERROR(INDEX(AK_BARIS,MATCH(L2799,AK_NAMA,0)),"?"))</f>
        <v/>
      </c>
      <c r="O2799" s="102" t="str">
        <f aca="false">IF(C2799="","",IFERROR(INDEX(AK_KEL,MATCH(C2799,AK_NAMA,0)),"?"))</f>
        <v/>
      </c>
      <c r="P2799" s="102" t="str">
        <f aca="false">IF(D2799="","",IFERROR(INDEX(AK_KEL,MATCH(D2799,AK_NAMA,0)),"?"))</f>
        <v/>
      </c>
      <c r="Q2799" s="102" t="n">
        <f aca="false">N(Q2798)+IF(AND(N(E2799)&lt;&gt;0,K2799=TAHUN,N(J2799)&lt;=BLN,OR(C2799=BB_AKUN,D2799=BB_AKUN)),1,0)</f>
        <v>877</v>
      </c>
      <c r="R2799" s="104" t="str">
        <f aca="false">IF(OR(C2799&amp;D2799="",N(E2799)=0),"",IF(OR(O2799="?",P2799="?"),"⚠ akun tidak dikenal",IF(C2799=D2799,"⚠ debet = kredit","")))</f>
        <v/>
      </c>
    </row>
    <row r="2800" customFormat="false" ht="15" hidden="false" customHeight="false" outlineLevel="0" collapsed="false">
      <c r="A2800" s="5"/>
      <c r="B2800" s="83"/>
      <c r="C2800" s="5"/>
      <c r="D2800" s="5"/>
      <c r="E2800" s="44"/>
      <c r="F2800" s="5"/>
      <c r="G2800" s="5"/>
      <c r="H2800" s="5"/>
      <c r="I2800" s="5"/>
      <c r="J2800" s="102" t="str">
        <f aca="false">IF(B2800="","",MONTH(B2800))</f>
        <v/>
      </c>
      <c r="K2800" s="102" t="str">
        <f aca="false">IF(B2800="","",YEAR(B2800))</f>
        <v/>
      </c>
      <c r="L2800" s="102" t="str">
        <f aca="false">IF(N(E2800)=0,"",IF(COUNTIFS(AK_NAMA,C2800,AK_KAT,"KAS")+COUNTIFS(AK_NAMA,D2800,AK_KAT,"KAS")&lt;&gt;1,"",IF(COUNTIFS(AK_NAMA,C2800,AK_KAT,"KAS")=1,D2800,C2800)))</f>
        <v/>
      </c>
      <c r="M2800" s="103" t="n">
        <f aca="false">IF(L2800="",0,IF(L2800=D2800,E2800,-E2800))</f>
        <v>0</v>
      </c>
      <c r="N2800" s="102" t="str">
        <f aca="false">IF(L2800="","",IFERROR(INDEX(AK_BARIS,MATCH(L2800,AK_NAMA,0)),"?"))</f>
        <v/>
      </c>
      <c r="O2800" s="102" t="str">
        <f aca="false">IF(C2800="","",IFERROR(INDEX(AK_KEL,MATCH(C2800,AK_NAMA,0)),"?"))</f>
        <v/>
      </c>
      <c r="P2800" s="102" t="str">
        <f aca="false">IF(D2800="","",IFERROR(INDEX(AK_KEL,MATCH(D2800,AK_NAMA,0)),"?"))</f>
        <v/>
      </c>
      <c r="Q2800" s="102" t="n">
        <f aca="false">N(Q2799)+IF(AND(N(E2800)&lt;&gt;0,K2800=TAHUN,N(J2800)&lt;=BLN,OR(C2800=BB_AKUN,D2800=BB_AKUN)),1,0)</f>
        <v>877</v>
      </c>
      <c r="R2800" s="104" t="str">
        <f aca="false">IF(OR(C2800&amp;D2800="",N(E2800)=0),"",IF(OR(O2800="?",P2800="?"),"⚠ akun tidak dikenal",IF(C2800=D2800,"⚠ debet = kredit","")))</f>
        <v/>
      </c>
    </row>
    <row r="2801" customFormat="false" ht="15" hidden="false" customHeight="false" outlineLevel="0" collapsed="false">
      <c r="A2801" s="5"/>
      <c r="B2801" s="83"/>
      <c r="C2801" s="5"/>
      <c r="D2801" s="5"/>
      <c r="E2801" s="44"/>
      <c r="F2801" s="5"/>
      <c r="G2801" s="5"/>
      <c r="H2801" s="5"/>
      <c r="I2801" s="5"/>
      <c r="J2801" s="102" t="str">
        <f aca="false">IF(B2801="","",MONTH(B2801))</f>
        <v/>
      </c>
      <c r="K2801" s="102" t="str">
        <f aca="false">IF(B2801="","",YEAR(B2801))</f>
        <v/>
      </c>
      <c r="L2801" s="102" t="str">
        <f aca="false">IF(N(E2801)=0,"",IF(COUNTIFS(AK_NAMA,C2801,AK_KAT,"KAS")+COUNTIFS(AK_NAMA,D2801,AK_KAT,"KAS")&lt;&gt;1,"",IF(COUNTIFS(AK_NAMA,C2801,AK_KAT,"KAS")=1,D2801,C2801)))</f>
        <v/>
      </c>
      <c r="M2801" s="103" t="n">
        <f aca="false">IF(L2801="",0,IF(L2801=D2801,E2801,-E2801))</f>
        <v>0</v>
      </c>
      <c r="N2801" s="102" t="str">
        <f aca="false">IF(L2801="","",IFERROR(INDEX(AK_BARIS,MATCH(L2801,AK_NAMA,0)),"?"))</f>
        <v/>
      </c>
      <c r="O2801" s="102" t="str">
        <f aca="false">IF(C2801="","",IFERROR(INDEX(AK_KEL,MATCH(C2801,AK_NAMA,0)),"?"))</f>
        <v/>
      </c>
      <c r="P2801" s="102" t="str">
        <f aca="false">IF(D2801="","",IFERROR(INDEX(AK_KEL,MATCH(D2801,AK_NAMA,0)),"?"))</f>
        <v/>
      </c>
      <c r="Q2801" s="102" t="n">
        <f aca="false">N(Q2800)+IF(AND(N(E2801)&lt;&gt;0,K2801=TAHUN,N(J2801)&lt;=BLN,OR(C2801=BB_AKUN,D2801=BB_AKUN)),1,0)</f>
        <v>877</v>
      </c>
      <c r="R2801" s="104" t="str">
        <f aca="false">IF(OR(C2801&amp;D2801="",N(E2801)=0),"",IF(OR(O2801="?",P2801="?"),"⚠ akun tidak dikenal",IF(C2801=D2801,"⚠ debet = kredit","")))</f>
        <v/>
      </c>
    </row>
    <row r="2802" customFormat="false" ht="15" hidden="false" customHeight="false" outlineLevel="0" collapsed="false">
      <c r="A2802" s="5"/>
      <c r="B2802" s="83"/>
      <c r="C2802" s="5"/>
      <c r="D2802" s="5"/>
      <c r="E2802" s="44"/>
      <c r="F2802" s="5"/>
      <c r="G2802" s="5"/>
      <c r="H2802" s="5"/>
      <c r="I2802" s="5"/>
      <c r="J2802" s="102" t="str">
        <f aca="false">IF(B2802="","",MONTH(B2802))</f>
        <v/>
      </c>
      <c r="K2802" s="102" t="str">
        <f aca="false">IF(B2802="","",YEAR(B2802))</f>
        <v/>
      </c>
      <c r="L2802" s="102" t="str">
        <f aca="false">IF(N(E2802)=0,"",IF(COUNTIFS(AK_NAMA,C2802,AK_KAT,"KAS")+COUNTIFS(AK_NAMA,D2802,AK_KAT,"KAS")&lt;&gt;1,"",IF(COUNTIFS(AK_NAMA,C2802,AK_KAT,"KAS")=1,D2802,C2802)))</f>
        <v/>
      </c>
      <c r="M2802" s="103" t="n">
        <f aca="false">IF(L2802="",0,IF(L2802=D2802,E2802,-E2802))</f>
        <v>0</v>
      </c>
      <c r="N2802" s="102" t="str">
        <f aca="false">IF(L2802="","",IFERROR(INDEX(AK_BARIS,MATCH(L2802,AK_NAMA,0)),"?"))</f>
        <v/>
      </c>
      <c r="O2802" s="102" t="str">
        <f aca="false">IF(C2802="","",IFERROR(INDEX(AK_KEL,MATCH(C2802,AK_NAMA,0)),"?"))</f>
        <v/>
      </c>
      <c r="P2802" s="102" t="str">
        <f aca="false">IF(D2802="","",IFERROR(INDEX(AK_KEL,MATCH(D2802,AK_NAMA,0)),"?"))</f>
        <v/>
      </c>
      <c r="Q2802" s="102" t="n">
        <f aca="false">N(Q2801)+IF(AND(N(E2802)&lt;&gt;0,K2802=TAHUN,N(J2802)&lt;=BLN,OR(C2802=BB_AKUN,D2802=BB_AKUN)),1,0)</f>
        <v>877</v>
      </c>
      <c r="R2802" s="104" t="str">
        <f aca="false">IF(OR(C2802&amp;D2802="",N(E2802)=0),"",IF(OR(O2802="?",P2802="?"),"⚠ akun tidak dikenal",IF(C2802=D2802,"⚠ debet = kredit","")))</f>
        <v/>
      </c>
    </row>
    <row r="2803" customFormat="false" ht="15" hidden="false" customHeight="false" outlineLevel="0" collapsed="false">
      <c r="A2803" s="5"/>
      <c r="B2803" s="83"/>
      <c r="C2803" s="5"/>
      <c r="D2803" s="5"/>
      <c r="E2803" s="44"/>
      <c r="F2803" s="5"/>
      <c r="G2803" s="5"/>
      <c r="H2803" s="5"/>
      <c r="I2803" s="5"/>
      <c r="J2803" s="102" t="str">
        <f aca="false">IF(B2803="","",MONTH(B2803))</f>
        <v/>
      </c>
      <c r="K2803" s="102" t="str">
        <f aca="false">IF(B2803="","",YEAR(B2803))</f>
        <v/>
      </c>
      <c r="L2803" s="102" t="str">
        <f aca="false">IF(N(E2803)=0,"",IF(COUNTIFS(AK_NAMA,C2803,AK_KAT,"KAS")+COUNTIFS(AK_NAMA,D2803,AK_KAT,"KAS")&lt;&gt;1,"",IF(COUNTIFS(AK_NAMA,C2803,AK_KAT,"KAS")=1,D2803,C2803)))</f>
        <v/>
      </c>
      <c r="M2803" s="103" t="n">
        <f aca="false">IF(L2803="",0,IF(L2803=D2803,E2803,-E2803))</f>
        <v>0</v>
      </c>
      <c r="N2803" s="102" t="str">
        <f aca="false">IF(L2803="","",IFERROR(INDEX(AK_BARIS,MATCH(L2803,AK_NAMA,0)),"?"))</f>
        <v/>
      </c>
      <c r="O2803" s="102" t="str">
        <f aca="false">IF(C2803="","",IFERROR(INDEX(AK_KEL,MATCH(C2803,AK_NAMA,0)),"?"))</f>
        <v/>
      </c>
      <c r="P2803" s="102" t="str">
        <f aca="false">IF(D2803="","",IFERROR(INDEX(AK_KEL,MATCH(D2803,AK_NAMA,0)),"?"))</f>
        <v/>
      </c>
      <c r="Q2803" s="102" t="n">
        <f aca="false">N(Q2802)+IF(AND(N(E2803)&lt;&gt;0,K2803=TAHUN,N(J2803)&lt;=BLN,OR(C2803=BB_AKUN,D2803=BB_AKUN)),1,0)</f>
        <v>877</v>
      </c>
      <c r="R2803" s="104" t="str">
        <f aca="false">IF(OR(C2803&amp;D2803="",N(E2803)=0),"",IF(OR(O2803="?",P2803="?"),"⚠ akun tidak dikenal",IF(C2803=D2803,"⚠ debet = kredit","")))</f>
        <v/>
      </c>
    </row>
    <row r="2804" customFormat="false" ht="15" hidden="false" customHeight="false" outlineLevel="0" collapsed="false">
      <c r="A2804" s="5"/>
      <c r="B2804" s="83"/>
      <c r="C2804" s="5"/>
      <c r="D2804" s="5"/>
      <c r="E2804" s="44"/>
      <c r="F2804" s="5"/>
      <c r="G2804" s="5"/>
      <c r="H2804" s="5"/>
      <c r="I2804" s="5"/>
      <c r="J2804" s="102" t="str">
        <f aca="false">IF(B2804="","",MONTH(B2804))</f>
        <v/>
      </c>
      <c r="K2804" s="102" t="str">
        <f aca="false">IF(B2804="","",YEAR(B2804))</f>
        <v/>
      </c>
      <c r="L2804" s="102" t="str">
        <f aca="false">IF(N(E2804)=0,"",IF(COUNTIFS(AK_NAMA,C2804,AK_KAT,"KAS")+COUNTIFS(AK_NAMA,D2804,AK_KAT,"KAS")&lt;&gt;1,"",IF(COUNTIFS(AK_NAMA,C2804,AK_KAT,"KAS")=1,D2804,C2804)))</f>
        <v/>
      </c>
      <c r="M2804" s="103" t="n">
        <f aca="false">IF(L2804="",0,IF(L2804=D2804,E2804,-E2804))</f>
        <v>0</v>
      </c>
      <c r="N2804" s="102" t="str">
        <f aca="false">IF(L2804="","",IFERROR(INDEX(AK_BARIS,MATCH(L2804,AK_NAMA,0)),"?"))</f>
        <v/>
      </c>
      <c r="O2804" s="102" t="str">
        <f aca="false">IF(C2804="","",IFERROR(INDEX(AK_KEL,MATCH(C2804,AK_NAMA,0)),"?"))</f>
        <v/>
      </c>
      <c r="P2804" s="102" t="str">
        <f aca="false">IF(D2804="","",IFERROR(INDEX(AK_KEL,MATCH(D2804,AK_NAMA,0)),"?"))</f>
        <v/>
      </c>
      <c r="Q2804" s="102" t="n">
        <f aca="false">N(Q2803)+IF(AND(N(E2804)&lt;&gt;0,K2804=TAHUN,N(J2804)&lt;=BLN,OR(C2804=BB_AKUN,D2804=BB_AKUN)),1,0)</f>
        <v>877</v>
      </c>
      <c r="R2804" s="104" t="str">
        <f aca="false">IF(OR(C2804&amp;D2804="",N(E2804)=0),"",IF(OR(O2804="?",P2804="?"),"⚠ akun tidak dikenal",IF(C2804=D2804,"⚠ debet = kredit","")))</f>
        <v/>
      </c>
    </row>
    <row r="2805" customFormat="false" ht="15" hidden="false" customHeight="false" outlineLevel="0" collapsed="false">
      <c r="A2805" s="5"/>
      <c r="B2805" s="83"/>
      <c r="C2805" s="5"/>
      <c r="D2805" s="5"/>
      <c r="E2805" s="44"/>
      <c r="F2805" s="5"/>
      <c r="G2805" s="5"/>
      <c r="H2805" s="5"/>
      <c r="I2805" s="5"/>
      <c r="J2805" s="102" t="str">
        <f aca="false">IF(B2805="","",MONTH(B2805))</f>
        <v/>
      </c>
      <c r="K2805" s="102" t="str">
        <f aca="false">IF(B2805="","",YEAR(B2805))</f>
        <v/>
      </c>
      <c r="L2805" s="102" t="str">
        <f aca="false">IF(N(E2805)=0,"",IF(COUNTIFS(AK_NAMA,C2805,AK_KAT,"KAS")+COUNTIFS(AK_NAMA,D2805,AK_KAT,"KAS")&lt;&gt;1,"",IF(COUNTIFS(AK_NAMA,C2805,AK_KAT,"KAS")=1,D2805,C2805)))</f>
        <v/>
      </c>
      <c r="M2805" s="103" t="n">
        <f aca="false">IF(L2805="",0,IF(L2805=D2805,E2805,-E2805))</f>
        <v>0</v>
      </c>
      <c r="N2805" s="102" t="str">
        <f aca="false">IF(L2805="","",IFERROR(INDEX(AK_BARIS,MATCH(L2805,AK_NAMA,0)),"?"))</f>
        <v/>
      </c>
      <c r="O2805" s="102" t="str">
        <f aca="false">IF(C2805="","",IFERROR(INDEX(AK_KEL,MATCH(C2805,AK_NAMA,0)),"?"))</f>
        <v/>
      </c>
      <c r="P2805" s="102" t="str">
        <f aca="false">IF(D2805="","",IFERROR(INDEX(AK_KEL,MATCH(D2805,AK_NAMA,0)),"?"))</f>
        <v/>
      </c>
      <c r="Q2805" s="102" t="n">
        <f aca="false">N(Q2804)+IF(AND(N(E2805)&lt;&gt;0,K2805=TAHUN,N(J2805)&lt;=BLN,OR(C2805=BB_AKUN,D2805=BB_AKUN)),1,0)</f>
        <v>877</v>
      </c>
      <c r="R2805" s="104" t="str">
        <f aca="false">IF(OR(C2805&amp;D2805="",N(E2805)=0),"",IF(OR(O2805="?",P2805="?"),"⚠ akun tidak dikenal",IF(C2805=D2805,"⚠ debet = kredit","")))</f>
        <v/>
      </c>
    </row>
    <row r="2806" customFormat="false" ht="15" hidden="false" customHeight="false" outlineLevel="0" collapsed="false">
      <c r="A2806" s="5"/>
      <c r="B2806" s="83"/>
      <c r="C2806" s="5"/>
      <c r="D2806" s="5"/>
      <c r="E2806" s="44"/>
      <c r="F2806" s="5"/>
      <c r="G2806" s="5"/>
      <c r="H2806" s="5"/>
      <c r="I2806" s="5"/>
      <c r="J2806" s="102" t="str">
        <f aca="false">IF(B2806="","",MONTH(B2806))</f>
        <v/>
      </c>
      <c r="K2806" s="102" t="str">
        <f aca="false">IF(B2806="","",YEAR(B2806))</f>
        <v/>
      </c>
      <c r="L2806" s="102" t="str">
        <f aca="false">IF(N(E2806)=0,"",IF(COUNTIFS(AK_NAMA,C2806,AK_KAT,"KAS")+COUNTIFS(AK_NAMA,D2806,AK_KAT,"KAS")&lt;&gt;1,"",IF(COUNTIFS(AK_NAMA,C2806,AK_KAT,"KAS")=1,D2806,C2806)))</f>
        <v/>
      </c>
      <c r="M2806" s="103" t="n">
        <f aca="false">IF(L2806="",0,IF(L2806=D2806,E2806,-E2806))</f>
        <v>0</v>
      </c>
      <c r="N2806" s="102" t="str">
        <f aca="false">IF(L2806="","",IFERROR(INDEX(AK_BARIS,MATCH(L2806,AK_NAMA,0)),"?"))</f>
        <v/>
      </c>
      <c r="O2806" s="102" t="str">
        <f aca="false">IF(C2806="","",IFERROR(INDEX(AK_KEL,MATCH(C2806,AK_NAMA,0)),"?"))</f>
        <v/>
      </c>
      <c r="P2806" s="102" t="str">
        <f aca="false">IF(D2806="","",IFERROR(INDEX(AK_KEL,MATCH(D2806,AK_NAMA,0)),"?"))</f>
        <v/>
      </c>
      <c r="Q2806" s="102" t="n">
        <f aca="false">N(Q2805)+IF(AND(N(E2806)&lt;&gt;0,K2806=TAHUN,N(J2806)&lt;=BLN,OR(C2806=BB_AKUN,D2806=BB_AKUN)),1,0)</f>
        <v>877</v>
      </c>
      <c r="R2806" s="104" t="str">
        <f aca="false">IF(OR(C2806&amp;D2806="",N(E2806)=0),"",IF(OR(O2806="?",P2806="?"),"⚠ akun tidak dikenal",IF(C2806=D2806,"⚠ debet = kredit","")))</f>
        <v/>
      </c>
    </row>
    <row r="2807" customFormat="false" ht="15" hidden="false" customHeight="false" outlineLevel="0" collapsed="false">
      <c r="A2807" s="5"/>
      <c r="B2807" s="83"/>
      <c r="C2807" s="5"/>
      <c r="D2807" s="5"/>
      <c r="E2807" s="44"/>
      <c r="F2807" s="5"/>
      <c r="G2807" s="5"/>
      <c r="H2807" s="5"/>
      <c r="I2807" s="5"/>
      <c r="J2807" s="102" t="str">
        <f aca="false">IF(B2807="","",MONTH(B2807))</f>
        <v/>
      </c>
      <c r="K2807" s="102" t="str">
        <f aca="false">IF(B2807="","",YEAR(B2807))</f>
        <v/>
      </c>
      <c r="L2807" s="102" t="str">
        <f aca="false">IF(N(E2807)=0,"",IF(COUNTIFS(AK_NAMA,C2807,AK_KAT,"KAS")+COUNTIFS(AK_NAMA,D2807,AK_KAT,"KAS")&lt;&gt;1,"",IF(COUNTIFS(AK_NAMA,C2807,AK_KAT,"KAS")=1,D2807,C2807)))</f>
        <v/>
      </c>
      <c r="M2807" s="103" t="n">
        <f aca="false">IF(L2807="",0,IF(L2807=D2807,E2807,-E2807))</f>
        <v>0</v>
      </c>
      <c r="N2807" s="102" t="str">
        <f aca="false">IF(L2807="","",IFERROR(INDEX(AK_BARIS,MATCH(L2807,AK_NAMA,0)),"?"))</f>
        <v/>
      </c>
      <c r="O2807" s="102" t="str">
        <f aca="false">IF(C2807="","",IFERROR(INDEX(AK_KEL,MATCH(C2807,AK_NAMA,0)),"?"))</f>
        <v/>
      </c>
      <c r="P2807" s="102" t="str">
        <f aca="false">IF(D2807="","",IFERROR(INDEX(AK_KEL,MATCH(D2807,AK_NAMA,0)),"?"))</f>
        <v/>
      </c>
      <c r="Q2807" s="102" t="n">
        <f aca="false">N(Q2806)+IF(AND(N(E2807)&lt;&gt;0,K2807=TAHUN,N(J2807)&lt;=BLN,OR(C2807=BB_AKUN,D2807=BB_AKUN)),1,0)</f>
        <v>877</v>
      </c>
      <c r="R2807" s="104" t="str">
        <f aca="false">IF(OR(C2807&amp;D2807="",N(E2807)=0),"",IF(OR(O2807="?",P2807="?"),"⚠ akun tidak dikenal",IF(C2807=D2807,"⚠ debet = kredit","")))</f>
        <v/>
      </c>
    </row>
    <row r="2808" customFormat="false" ht="15" hidden="false" customHeight="false" outlineLevel="0" collapsed="false">
      <c r="A2808" s="5"/>
      <c r="B2808" s="83"/>
      <c r="C2808" s="5"/>
      <c r="D2808" s="5"/>
      <c r="E2808" s="44"/>
      <c r="F2808" s="5"/>
      <c r="G2808" s="5"/>
      <c r="H2808" s="5"/>
      <c r="I2808" s="5"/>
      <c r="J2808" s="102" t="str">
        <f aca="false">IF(B2808="","",MONTH(B2808))</f>
        <v/>
      </c>
      <c r="K2808" s="102" t="str">
        <f aca="false">IF(B2808="","",YEAR(B2808))</f>
        <v/>
      </c>
      <c r="L2808" s="102" t="str">
        <f aca="false">IF(N(E2808)=0,"",IF(COUNTIFS(AK_NAMA,C2808,AK_KAT,"KAS")+COUNTIFS(AK_NAMA,D2808,AK_KAT,"KAS")&lt;&gt;1,"",IF(COUNTIFS(AK_NAMA,C2808,AK_KAT,"KAS")=1,D2808,C2808)))</f>
        <v/>
      </c>
      <c r="M2808" s="103" t="n">
        <f aca="false">IF(L2808="",0,IF(L2808=D2808,E2808,-E2808))</f>
        <v>0</v>
      </c>
      <c r="N2808" s="102" t="str">
        <f aca="false">IF(L2808="","",IFERROR(INDEX(AK_BARIS,MATCH(L2808,AK_NAMA,0)),"?"))</f>
        <v/>
      </c>
      <c r="O2808" s="102" t="str">
        <f aca="false">IF(C2808="","",IFERROR(INDEX(AK_KEL,MATCH(C2808,AK_NAMA,0)),"?"))</f>
        <v/>
      </c>
      <c r="P2808" s="102" t="str">
        <f aca="false">IF(D2808="","",IFERROR(INDEX(AK_KEL,MATCH(D2808,AK_NAMA,0)),"?"))</f>
        <v/>
      </c>
      <c r="Q2808" s="102" t="n">
        <f aca="false">N(Q2807)+IF(AND(N(E2808)&lt;&gt;0,K2808=TAHUN,N(J2808)&lt;=BLN,OR(C2808=BB_AKUN,D2808=BB_AKUN)),1,0)</f>
        <v>877</v>
      </c>
      <c r="R2808" s="104" t="str">
        <f aca="false">IF(OR(C2808&amp;D2808="",N(E2808)=0),"",IF(OR(O2808="?",P2808="?"),"⚠ akun tidak dikenal",IF(C2808=D2808,"⚠ debet = kredit","")))</f>
        <v/>
      </c>
    </row>
    <row r="2809" customFormat="false" ht="15" hidden="false" customHeight="false" outlineLevel="0" collapsed="false">
      <c r="A2809" s="5"/>
      <c r="B2809" s="83"/>
      <c r="C2809" s="5"/>
      <c r="D2809" s="5"/>
      <c r="E2809" s="44"/>
      <c r="F2809" s="5"/>
      <c r="G2809" s="5"/>
      <c r="H2809" s="5"/>
      <c r="I2809" s="5"/>
      <c r="J2809" s="102" t="str">
        <f aca="false">IF(B2809="","",MONTH(B2809))</f>
        <v/>
      </c>
      <c r="K2809" s="102" t="str">
        <f aca="false">IF(B2809="","",YEAR(B2809))</f>
        <v/>
      </c>
      <c r="L2809" s="102" t="str">
        <f aca="false">IF(N(E2809)=0,"",IF(COUNTIFS(AK_NAMA,C2809,AK_KAT,"KAS")+COUNTIFS(AK_NAMA,D2809,AK_KAT,"KAS")&lt;&gt;1,"",IF(COUNTIFS(AK_NAMA,C2809,AK_KAT,"KAS")=1,D2809,C2809)))</f>
        <v/>
      </c>
      <c r="M2809" s="103" t="n">
        <f aca="false">IF(L2809="",0,IF(L2809=D2809,E2809,-E2809))</f>
        <v>0</v>
      </c>
      <c r="N2809" s="102" t="str">
        <f aca="false">IF(L2809="","",IFERROR(INDEX(AK_BARIS,MATCH(L2809,AK_NAMA,0)),"?"))</f>
        <v/>
      </c>
      <c r="O2809" s="102" t="str">
        <f aca="false">IF(C2809="","",IFERROR(INDEX(AK_KEL,MATCH(C2809,AK_NAMA,0)),"?"))</f>
        <v/>
      </c>
      <c r="P2809" s="102" t="str">
        <f aca="false">IF(D2809="","",IFERROR(INDEX(AK_KEL,MATCH(D2809,AK_NAMA,0)),"?"))</f>
        <v/>
      </c>
      <c r="Q2809" s="102" t="n">
        <f aca="false">N(Q2808)+IF(AND(N(E2809)&lt;&gt;0,K2809=TAHUN,N(J2809)&lt;=BLN,OR(C2809=BB_AKUN,D2809=BB_AKUN)),1,0)</f>
        <v>877</v>
      </c>
      <c r="R2809" s="104" t="str">
        <f aca="false">IF(OR(C2809&amp;D2809="",N(E2809)=0),"",IF(OR(O2809="?",P2809="?"),"⚠ akun tidak dikenal",IF(C2809=D2809,"⚠ debet = kredit","")))</f>
        <v/>
      </c>
    </row>
    <row r="2810" customFormat="false" ht="15" hidden="false" customHeight="false" outlineLevel="0" collapsed="false">
      <c r="A2810" s="5"/>
      <c r="B2810" s="83"/>
      <c r="C2810" s="5"/>
      <c r="D2810" s="5"/>
      <c r="E2810" s="44"/>
      <c r="F2810" s="5"/>
      <c r="G2810" s="5"/>
      <c r="H2810" s="5"/>
      <c r="I2810" s="5"/>
      <c r="J2810" s="102" t="str">
        <f aca="false">IF(B2810="","",MONTH(B2810))</f>
        <v/>
      </c>
      <c r="K2810" s="102" t="str">
        <f aca="false">IF(B2810="","",YEAR(B2810))</f>
        <v/>
      </c>
      <c r="L2810" s="102" t="str">
        <f aca="false">IF(N(E2810)=0,"",IF(COUNTIFS(AK_NAMA,C2810,AK_KAT,"KAS")+COUNTIFS(AK_NAMA,D2810,AK_KAT,"KAS")&lt;&gt;1,"",IF(COUNTIFS(AK_NAMA,C2810,AK_KAT,"KAS")=1,D2810,C2810)))</f>
        <v/>
      </c>
      <c r="M2810" s="103" t="n">
        <f aca="false">IF(L2810="",0,IF(L2810=D2810,E2810,-E2810))</f>
        <v>0</v>
      </c>
      <c r="N2810" s="102" t="str">
        <f aca="false">IF(L2810="","",IFERROR(INDEX(AK_BARIS,MATCH(L2810,AK_NAMA,0)),"?"))</f>
        <v/>
      </c>
      <c r="O2810" s="102" t="str">
        <f aca="false">IF(C2810="","",IFERROR(INDEX(AK_KEL,MATCH(C2810,AK_NAMA,0)),"?"))</f>
        <v/>
      </c>
      <c r="P2810" s="102" t="str">
        <f aca="false">IF(D2810="","",IFERROR(INDEX(AK_KEL,MATCH(D2810,AK_NAMA,0)),"?"))</f>
        <v/>
      </c>
      <c r="Q2810" s="102" t="n">
        <f aca="false">N(Q2809)+IF(AND(N(E2810)&lt;&gt;0,K2810=TAHUN,N(J2810)&lt;=BLN,OR(C2810=BB_AKUN,D2810=BB_AKUN)),1,0)</f>
        <v>877</v>
      </c>
      <c r="R2810" s="104" t="str">
        <f aca="false">IF(OR(C2810&amp;D2810="",N(E2810)=0),"",IF(OR(O2810="?",P2810="?"),"⚠ akun tidak dikenal",IF(C2810=D2810,"⚠ debet = kredit","")))</f>
        <v/>
      </c>
    </row>
    <row r="2811" customFormat="false" ht="15" hidden="false" customHeight="false" outlineLevel="0" collapsed="false">
      <c r="A2811" s="5"/>
      <c r="B2811" s="83"/>
      <c r="C2811" s="5"/>
      <c r="D2811" s="5"/>
      <c r="E2811" s="44"/>
      <c r="F2811" s="5"/>
      <c r="G2811" s="5"/>
      <c r="H2811" s="5"/>
      <c r="I2811" s="5"/>
      <c r="J2811" s="102" t="str">
        <f aca="false">IF(B2811="","",MONTH(B2811))</f>
        <v/>
      </c>
      <c r="K2811" s="102" t="str">
        <f aca="false">IF(B2811="","",YEAR(B2811))</f>
        <v/>
      </c>
      <c r="L2811" s="102" t="str">
        <f aca="false">IF(N(E2811)=0,"",IF(COUNTIFS(AK_NAMA,C2811,AK_KAT,"KAS")+COUNTIFS(AK_NAMA,D2811,AK_KAT,"KAS")&lt;&gt;1,"",IF(COUNTIFS(AK_NAMA,C2811,AK_KAT,"KAS")=1,D2811,C2811)))</f>
        <v/>
      </c>
      <c r="M2811" s="103" t="n">
        <f aca="false">IF(L2811="",0,IF(L2811=D2811,E2811,-E2811))</f>
        <v>0</v>
      </c>
      <c r="N2811" s="102" t="str">
        <f aca="false">IF(L2811="","",IFERROR(INDEX(AK_BARIS,MATCH(L2811,AK_NAMA,0)),"?"))</f>
        <v/>
      </c>
      <c r="O2811" s="102" t="str">
        <f aca="false">IF(C2811="","",IFERROR(INDEX(AK_KEL,MATCH(C2811,AK_NAMA,0)),"?"))</f>
        <v/>
      </c>
      <c r="P2811" s="102" t="str">
        <f aca="false">IF(D2811="","",IFERROR(INDEX(AK_KEL,MATCH(D2811,AK_NAMA,0)),"?"))</f>
        <v/>
      </c>
      <c r="Q2811" s="102" t="n">
        <f aca="false">N(Q2810)+IF(AND(N(E2811)&lt;&gt;0,K2811=TAHUN,N(J2811)&lt;=BLN,OR(C2811=BB_AKUN,D2811=BB_AKUN)),1,0)</f>
        <v>877</v>
      </c>
      <c r="R2811" s="104" t="str">
        <f aca="false">IF(OR(C2811&amp;D2811="",N(E2811)=0),"",IF(OR(O2811="?",P2811="?"),"⚠ akun tidak dikenal",IF(C2811=D2811,"⚠ debet = kredit","")))</f>
        <v/>
      </c>
    </row>
    <row r="2812" customFormat="false" ht="15" hidden="false" customHeight="false" outlineLevel="0" collapsed="false">
      <c r="A2812" s="5"/>
      <c r="B2812" s="83"/>
      <c r="C2812" s="5"/>
      <c r="D2812" s="5"/>
      <c r="E2812" s="44"/>
      <c r="F2812" s="5"/>
      <c r="G2812" s="5"/>
      <c r="H2812" s="5"/>
      <c r="I2812" s="5"/>
      <c r="J2812" s="102" t="str">
        <f aca="false">IF(B2812="","",MONTH(B2812))</f>
        <v/>
      </c>
      <c r="K2812" s="102" t="str">
        <f aca="false">IF(B2812="","",YEAR(B2812))</f>
        <v/>
      </c>
      <c r="L2812" s="102" t="str">
        <f aca="false">IF(N(E2812)=0,"",IF(COUNTIFS(AK_NAMA,C2812,AK_KAT,"KAS")+COUNTIFS(AK_NAMA,D2812,AK_KAT,"KAS")&lt;&gt;1,"",IF(COUNTIFS(AK_NAMA,C2812,AK_KAT,"KAS")=1,D2812,C2812)))</f>
        <v/>
      </c>
      <c r="M2812" s="103" t="n">
        <f aca="false">IF(L2812="",0,IF(L2812=D2812,E2812,-E2812))</f>
        <v>0</v>
      </c>
      <c r="N2812" s="102" t="str">
        <f aca="false">IF(L2812="","",IFERROR(INDEX(AK_BARIS,MATCH(L2812,AK_NAMA,0)),"?"))</f>
        <v/>
      </c>
      <c r="O2812" s="102" t="str">
        <f aca="false">IF(C2812="","",IFERROR(INDEX(AK_KEL,MATCH(C2812,AK_NAMA,0)),"?"))</f>
        <v/>
      </c>
      <c r="P2812" s="102" t="str">
        <f aca="false">IF(D2812="","",IFERROR(INDEX(AK_KEL,MATCH(D2812,AK_NAMA,0)),"?"))</f>
        <v/>
      </c>
      <c r="Q2812" s="102" t="n">
        <f aca="false">N(Q2811)+IF(AND(N(E2812)&lt;&gt;0,K2812=TAHUN,N(J2812)&lt;=BLN,OR(C2812=BB_AKUN,D2812=BB_AKUN)),1,0)</f>
        <v>877</v>
      </c>
      <c r="R2812" s="104" t="str">
        <f aca="false">IF(OR(C2812&amp;D2812="",N(E2812)=0),"",IF(OR(O2812="?",P2812="?"),"⚠ akun tidak dikenal",IF(C2812=D2812,"⚠ debet = kredit","")))</f>
        <v/>
      </c>
    </row>
    <row r="2813" customFormat="false" ht="15" hidden="false" customHeight="false" outlineLevel="0" collapsed="false">
      <c r="A2813" s="5"/>
      <c r="B2813" s="83"/>
      <c r="C2813" s="5"/>
      <c r="D2813" s="5"/>
      <c r="E2813" s="44"/>
      <c r="F2813" s="5"/>
      <c r="G2813" s="5"/>
      <c r="H2813" s="5"/>
      <c r="I2813" s="5"/>
      <c r="J2813" s="102" t="str">
        <f aca="false">IF(B2813="","",MONTH(B2813))</f>
        <v/>
      </c>
      <c r="K2813" s="102" t="str">
        <f aca="false">IF(B2813="","",YEAR(B2813))</f>
        <v/>
      </c>
      <c r="L2813" s="102" t="str">
        <f aca="false">IF(N(E2813)=0,"",IF(COUNTIFS(AK_NAMA,C2813,AK_KAT,"KAS")+COUNTIFS(AK_NAMA,D2813,AK_KAT,"KAS")&lt;&gt;1,"",IF(COUNTIFS(AK_NAMA,C2813,AK_KAT,"KAS")=1,D2813,C2813)))</f>
        <v/>
      </c>
      <c r="M2813" s="103" t="n">
        <f aca="false">IF(L2813="",0,IF(L2813=D2813,E2813,-E2813))</f>
        <v>0</v>
      </c>
      <c r="N2813" s="102" t="str">
        <f aca="false">IF(L2813="","",IFERROR(INDEX(AK_BARIS,MATCH(L2813,AK_NAMA,0)),"?"))</f>
        <v/>
      </c>
      <c r="O2813" s="102" t="str">
        <f aca="false">IF(C2813="","",IFERROR(INDEX(AK_KEL,MATCH(C2813,AK_NAMA,0)),"?"))</f>
        <v/>
      </c>
      <c r="P2813" s="102" t="str">
        <f aca="false">IF(D2813="","",IFERROR(INDEX(AK_KEL,MATCH(D2813,AK_NAMA,0)),"?"))</f>
        <v/>
      </c>
      <c r="Q2813" s="102" t="n">
        <f aca="false">N(Q2812)+IF(AND(N(E2813)&lt;&gt;0,K2813=TAHUN,N(J2813)&lt;=BLN,OR(C2813=BB_AKUN,D2813=BB_AKUN)),1,0)</f>
        <v>877</v>
      </c>
      <c r="R2813" s="104" t="str">
        <f aca="false">IF(OR(C2813&amp;D2813="",N(E2813)=0),"",IF(OR(O2813="?",P2813="?"),"⚠ akun tidak dikenal",IF(C2813=D2813,"⚠ debet = kredit","")))</f>
        <v/>
      </c>
    </row>
    <row r="2814" customFormat="false" ht="15" hidden="false" customHeight="false" outlineLevel="0" collapsed="false">
      <c r="A2814" s="5"/>
      <c r="B2814" s="83"/>
      <c r="C2814" s="5"/>
      <c r="D2814" s="5"/>
      <c r="E2814" s="44"/>
      <c r="F2814" s="5"/>
      <c r="G2814" s="5"/>
      <c r="H2814" s="5"/>
      <c r="I2814" s="5"/>
      <c r="J2814" s="102" t="str">
        <f aca="false">IF(B2814="","",MONTH(B2814))</f>
        <v/>
      </c>
      <c r="K2814" s="102" t="str">
        <f aca="false">IF(B2814="","",YEAR(B2814))</f>
        <v/>
      </c>
      <c r="L2814" s="102" t="str">
        <f aca="false">IF(N(E2814)=0,"",IF(COUNTIFS(AK_NAMA,C2814,AK_KAT,"KAS")+COUNTIFS(AK_NAMA,D2814,AK_KAT,"KAS")&lt;&gt;1,"",IF(COUNTIFS(AK_NAMA,C2814,AK_KAT,"KAS")=1,D2814,C2814)))</f>
        <v/>
      </c>
      <c r="M2814" s="103" t="n">
        <f aca="false">IF(L2814="",0,IF(L2814=D2814,E2814,-E2814))</f>
        <v>0</v>
      </c>
      <c r="N2814" s="102" t="str">
        <f aca="false">IF(L2814="","",IFERROR(INDEX(AK_BARIS,MATCH(L2814,AK_NAMA,0)),"?"))</f>
        <v/>
      </c>
      <c r="O2814" s="102" t="str">
        <f aca="false">IF(C2814="","",IFERROR(INDEX(AK_KEL,MATCH(C2814,AK_NAMA,0)),"?"))</f>
        <v/>
      </c>
      <c r="P2814" s="102" t="str">
        <f aca="false">IF(D2814="","",IFERROR(INDEX(AK_KEL,MATCH(D2814,AK_NAMA,0)),"?"))</f>
        <v/>
      </c>
      <c r="Q2814" s="102" t="n">
        <f aca="false">N(Q2813)+IF(AND(N(E2814)&lt;&gt;0,K2814=TAHUN,N(J2814)&lt;=BLN,OR(C2814=BB_AKUN,D2814=BB_AKUN)),1,0)</f>
        <v>877</v>
      </c>
      <c r="R2814" s="104" t="str">
        <f aca="false">IF(OR(C2814&amp;D2814="",N(E2814)=0),"",IF(OR(O2814="?",P2814="?"),"⚠ akun tidak dikenal",IF(C2814=D2814,"⚠ debet = kredit","")))</f>
        <v/>
      </c>
    </row>
    <row r="2815" customFormat="false" ht="15" hidden="false" customHeight="false" outlineLevel="0" collapsed="false">
      <c r="A2815" s="5"/>
      <c r="B2815" s="83"/>
      <c r="C2815" s="5"/>
      <c r="D2815" s="5"/>
      <c r="E2815" s="44"/>
      <c r="F2815" s="5"/>
      <c r="G2815" s="5"/>
      <c r="H2815" s="5"/>
      <c r="I2815" s="5"/>
      <c r="J2815" s="102" t="str">
        <f aca="false">IF(B2815="","",MONTH(B2815))</f>
        <v/>
      </c>
      <c r="K2815" s="102" t="str">
        <f aca="false">IF(B2815="","",YEAR(B2815))</f>
        <v/>
      </c>
      <c r="L2815" s="102" t="str">
        <f aca="false">IF(N(E2815)=0,"",IF(COUNTIFS(AK_NAMA,C2815,AK_KAT,"KAS")+COUNTIFS(AK_NAMA,D2815,AK_KAT,"KAS")&lt;&gt;1,"",IF(COUNTIFS(AK_NAMA,C2815,AK_KAT,"KAS")=1,D2815,C2815)))</f>
        <v/>
      </c>
      <c r="M2815" s="103" t="n">
        <f aca="false">IF(L2815="",0,IF(L2815=D2815,E2815,-E2815))</f>
        <v>0</v>
      </c>
      <c r="N2815" s="102" t="str">
        <f aca="false">IF(L2815="","",IFERROR(INDEX(AK_BARIS,MATCH(L2815,AK_NAMA,0)),"?"))</f>
        <v/>
      </c>
      <c r="O2815" s="102" t="str">
        <f aca="false">IF(C2815="","",IFERROR(INDEX(AK_KEL,MATCH(C2815,AK_NAMA,0)),"?"))</f>
        <v/>
      </c>
      <c r="P2815" s="102" t="str">
        <f aca="false">IF(D2815="","",IFERROR(INDEX(AK_KEL,MATCH(D2815,AK_NAMA,0)),"?"))</f>
        <v/>
      </c>
      <c r="Q2815" s="102" t="n">
        <f aca="false">N(Q2814)+IF(AND(N(E2815)&lt;&gt;0,K2815=TAHUN,N(J2815)&lt;=BLN,OR(C2815=BB_AKUN,D2815=BB_AKUN)),1,0)</f>
        <v>877</v>
      </c>
      <c r="R2815" s="104" t="str">
        <f aca="false">IF(OR(C2815&amp;D2815="",N(E2815)=0),"",IF(OR(O2815="?",P2815="?"),"⚠ akun tidak dikenal",IF(C2815=D2815,"⚠ debet = kredit","")))</f>
        <v/>
      </c>
    </row>
    <row r="2816" customFormat="false" ht="15" hidden="false" customHeight="false" outlineLevel="0" collapsed="false">
      <c r="A2816" s="5"/>
      <c r="B2816" s="83"/>
      <c r="C2816" s="5"/>
      <c r="D2816" s="5"/>
      <c r="E2816" s="44"/>
      <c r="F2816" s="5"/>
      <c r="G2816" s="5"/>
      <c r="H2816" s="5"/>
      <c r="I2816" s="5"/>
      <c r="J2816" s="102" t="str">
        <f aca="false">IF(B2816="","",MONTH(B2816))</f>
        <v/>
      </c>
      <c r="K2816" s="102" t="str">
        <f aca="false">IF(B2816="","",YEAR(B2816))</f>
        <v/>
      </c>
      <c r="L2816" s="102" t="str">
        <f aca="false">IF(N(E2816)=0,"",IF(COUNTIFS(AK_NAMA,C2816,AK_KAT,"KAS")+COUNTIFS(AK_NAMA,D2816,AK_KAT,"KAS")&lt;&gt;1,"",IF(COUNTIFS(AK_NAMA,C2816,AK_KAT,"KAS")=1,D2816,C2816)))</f>
        <v/>
      </c>
      <c r="M2816" s="103" t="n">
        <f aca="false">IF(L2816="",0,IF(L2816=D2816,E2816,-E2816))</f>
        <v>0</v>
      </c>
      <c r="N2816" s="102" t="str">
        <f aca="false">IF(L2816="","",IFERROR(INDEX(AK_BARIS,MATCH(L2816,AK_NAMA,0)),"?"))</f>
        <v/>
      </c>
      <c r="O2816" s="102" t="str">
        <f aca="false">IF(C2816="","",IFERROR(INDEX(AK_KEL,MATCH(C2816,AK_NAMA,0)),"?"))</f>
        <v/>
      </c>
      <c r="P2816" s="102" t="str">
        <f aca="false">IF(D2816="","",IFERROR(INDEX(AK_KEL,MATCH(D2816,AK_NAMA,0)),"?"))</f>
        <v/>
      </c>
      <c r="Q2816" s="102" t="n">
        <f aca="false">N(Q2815)+IF(AND(N(E2816)&lt;&gt;0,K2816=TAHUN,N(J2816)&lt;=BLN,OR(C2816=BB_AKUN,D2816=BB_AKUN)),1,0)</f>
        <v>877</v>
      </c>
      <c r="R2816" s="104" t="str">
        <f aca="false">IF(OR(C2816&amp;D2816="",N(E2816)=0),"",IF(OR(O2816="?",P2816="?"),"⚠ akun tidak dikenal",IF(C2816=D2816,"⚠ debet = kredit","")))</f>
        <v/>
      </c>
    </row>
    <row r="2817" customFormat="false" ht="15" hidden="false" customHeight="false" outlineLevel="0" collapsed="false">
      <c r="A2817" s="5"/>
      <c r="B2817" s="83"/>
      <c r="C2817" s="5"/>
      <c r="D2817" s="5"/>
      <c r="E2817" s="44"/>
      <c r="F2817" s="5"/>
      <c r="G2817" s="5"/>
      <c r="H2817" s="5"/>
      <c r="I2817" s="5"/>
      <c r="J2817" s="102" t="str">
        <f aca="false">IF(B2817="","",MONTH(B2817))</f>
        <v/>
      </c>
      <c r="K2817" s="102" t="str">
        <f aca="false">IF(B2817="","",YEAR(B2817))</f>
        <v/>
      </c>
      <c r="L2817" s="102" t="str">
        <f aca="false">IF(N(E2817)=0,"",IF(COUNTIFS(AK_NAMA,C2817,AK_KAT,"KAS")+COUNTIFS(AK_NAMA,D2817,AK_KAT,"KAS")&lt;&gt;1,"",IF(COUNTIFS(AK_NAMA,C2817,AK_KAT,"KAS")=1,D2817,C2817)))</f>
        <v/>
      </c>
      <c r="M2817" s="103" t="n">
        <f aca="false">IF(L2817="",0,IF(L2817=D2817,E2817,-E2817))</f>
        <v>0</v>
      </c>
      <c r="N2817" s="102" t="str">
        <f aca="false">IF(L2817="","",IFERROR(INDEX(AK_BARIS,MATCH(L2817,AK_NAMA,0)),"?"))</f>
        <v/>
      </c>
      <c r="O2817" s="102" t="str">
        <f aca="false">IF(C2817="","",IFERROR(INDEX(AK_KEL,MATCH(C2817,AK_NAMA,0)),"?"))</f>
        <v/>
      </c>
      <c r="P2817" s="102" t="str">
        <f aca="false">IF(D2817="","",IFERROR(INDEX(AK_KEL,MATCH(D2817,AK_NAMA,0)),"?"))</f>
        <v/>
      </c>
      <c r="Q2817" s="102" t="n">
        <f aca="false">N(Q2816)+IF(AND(N(E2817)&lt;&gt;0,K2817=TAHUN,N(J2817)&lt;=BLN,OR(C2817=BB_AKUN,D2817=BB_AKUN)),1,0)</f>
        <v>877</v>
      </c>
      <c r="R2817" s="104" t="str">
        <f aca="false">IF(OR(C2817&amp;D2817="",N(E2817)=0),"",IF(OR(O2817="?",P2817="?"),"⚠ akun tidak dikenal",IF(C2817=D2817,"⚠ debet = kredit","")))</f>
        <v/>
      </c>
    </row>
    <row r="2818" customFormat="false" ht="15" hidden="false" customHeight="false" outlineLevel="0" collapsed="false">
      <c r="A2818" s="5"/>
      <c r="B2818" s="83"/>
      <c r="C2818" s="5"/>
      <c r="D2818" s="5"/>
      <c r="E2818" s="44"/>
      <c r="F2818" s="5"/>
      <c r="G2818" s="5"/>
      <c r="H2818" s="5"/>
      <c r="I2818" s="5"/>
      <c r="J2818" s="102" t="str">
        <f aca="false">IF(B2818="","",MONTH(B2818))</f>
        <v/>
      </c>
      <c r="K2818" s="102" t="str">
        <f aca="false">IF(B2818="","",YEAR(B2818))</f>
        <v/>
      </c>
      <c r="L2818" s="102" t="str">
        <f aca="false">IF(N(E2818)=0,"",IF(COUNTIFS(AK_NAMA,C2818,AK_KAT,"KAS")+COUNTIFS(AK_NAMA,D2818,AK_KAT,"KAS")&lt;&gt;1,"",IF(COUNTIFS(AK_NAMA,C2818,AK_KAT,"KAS")=1,D2818,C2818)))</f>
        <v/>
      </c>
      <c r="M2818" s="103" t="n">
        <f aca="false">IF(L2818="",0,IF(L2818=D2818,E2818,-E2818))</f>
        <v>0</v>
      </c>
      <c r="N2818" s="102" t="str">
        <f aca="false">IF(L2818="","",IFERROR(INDEX(AK_BARIS,MATCH(L2818,AK_NAMA,0)),"?"))</f>
        <v/>
      </c>
      <c r="O2818" s="102" t="str">
        <f aca="false">IF(C2818="","",IFERROR(INDEX(AK_KEL,MATCH(C2818,AK_NAMA,0)),"?"))</f>
        <v/>
      </c>
      <c r="P2818" s="102" t="str">
        <f aca="false">IF(D2818="","",IFERROR(INDEX(AK_KEL,MATCH(D2818,AK_NAMA,0)),"?"))</f>
        <v/>
      </c>
      <c r="Q2818" s="102" t="n">
        <f aca="false">N(Q2817)+IF(AND(N(E2818)&lt;&gt;0,K2818=TAHUN,N(J2818)&lt;=BLN,OR(C2818=BB_AKUN,D2818=BB_AKUN)),1,0)</f>
        <v>877</v>
      </c>
      <c r="R2818" s="104" t="str">
        <f aca="false">IF(OR(C2818&amp;D2818="",N(E2818)=0),"",IF(OR(O2818="?",P2818="?"),"⚠ akun tidak dikenal",IF(C2818=D2818,"⚠ debet = kredit","")))</f>
        <v/>
      </c>
    </row>
    <row r="2819" customFormat="false" ht="15" hidden="false" customHeight="false" outlineLevel="0" collapsed="false">
      <c r="A2819" s="5"/>
      <c r="B2819" s="83"/>
      <c r="C2819" s="5"/>
      <c r="D2819" s="5"/>
      <c r="E2819" s="44"/>
      <c r="F2819" s="5"/>
      <c r="G2819" s="5"/>
      <c r="H2819" s="5"/>
      <c r="I2819" s="5"/>
      <c r="J2819" s="102" t="str">
        <f aca="false">IF(B2819="","",MONTH(B2819))</f>
        <v/>
      </c>
      <c r="K2819" s="102" t="str">
        <f aca="false">IF(B2819="","",YEAR(B2819))</f>
        <v/>
      </c>
      <c r="L2819" s="102" t="str">
        <f aca="false">IF(N(E2819)=0,"",IF(COUNTIFS(AK_NAMA,C2819,AK_KAT,"KAS")+COUNTIFS(AK_NAMA,D2819,AK_KAT,"KAS")&lt;&gt;1,"",IF(COUNTIFS(AK_NAMA,C2819,AK_KAT,"KAS")=1,D2819,C2819)))</f>
        <v/>
      </c>
      <c r="M2819" s="103" t="n">
        <f aca="false">IF(L2819="",0,IF(L2819=D2819,E2819,-E2819))</f>
        <v>0</v>
      </c>
      <c r="N2819" s="102" t="str">
        <f aca="false">IF(L2819="","",IFERROR(INDEX(AK_BARIS,MATCH(L2819,AK_NAMA,0)),"?"))</f>
        <v/>
      </c>
      <c r="O2819" s="102" t="str">
        <f aca="false">IF(C2819="","",IFERROR(INDEX(AK_KEL,MATCH(C2819,AK_NAMA,0)),"?"))</f>
        <v/>
      </c>
      <c r="P2819" s="102" t="str">
        <f aca="false">IF(D2819="","",IFERROR(INDEX(AK_KEL,MATCH(D2819,AK_NAMA,0)),"?"))</f>
        <v/>
      </c>
      <c r="Q2819" s="102" t="n">
        <f aca="false">N(Q2818)+IF(AND(N(E2819)&lt;&gt;0,K2819=TAHUN,N(J2819)&lt;=BLN,OR(C2819=BB_AKUN,D2819=BB_AKUN)),1,0)</f>
        <v>877</v>
      </c>
      <c r="R2819" s="104" t="str">
        <f aca="false">IF(OR(C2819&amp;D2819="",N(E2819)=0),"",IF(OR(O2819="?",P2819="?"),"⚠ akun tidak dikenal",IF(C2819=D2819,"⚠ debet = kredit","")))</f>
        <v/>
      </c>
    </row>
    <row r="2820" customFormat="false" ht="15" hidden="false" customHeight="false" outlineLevel="0" collapsed="false">
      <c r="A2820" s="5"/>
      <c r="B2820" s="83"/>
      <c r="C2820" s="5"/>
      <c r="D2820" s="5"/>
      <c r="E2820" s="44"/>
      <c r="F2820" s="5"/>
      <c r="G2820" s="5"/>
      <c r="H2820" s="5"/>
      <c r="I2820" s="5"/>
      <c r="J2820" s="102" t="str">
        <f aca="false">IF(B2820="","",MONTH(B2820))</f>
        <v/>
      </c>
      <c r="K2820" s="102" t="str">
        <f aca="false">IF(B2820="","",YEAR(B2820))</f>
        <v/>
      </c>
      <c r="L2820" s="102" t="str">
        <f aca="false">IF(N(E2820)=0,"",IF(COUNTIFS(AK_NAMA,C2820,AK_KAT,"KAS")+COUNTIFS(AK_NAMA,D2820,AK_KAT,"KAS")&lt;&gt;1,"",IF(COUNTIFS(AK_NAMA,C2820,AK_KAT,"KAS")=1,D2820,C2820)))</f>
        <v/>
      </c>
      <c r="M2820" s="103" t="n">
        <f aca="false">IF(L2820="",0,IF(L2820=D2820,E2820,-E2820))</f>
        <v>0</v>
      </c>
      <c r="N2820" s="102" t="str">
        <f aca="false">IF(L2820="","",IFERROR(INDEX(AK_BARIS,MATCH(L2820,AK_NAMA,0)),"?"))</f>
        <v/>
      </c>
      <c r="O2820" s="102" t="str">
        <f aca="false">IF(C2820="","",IFERROR(INDEX(AK_KEL,MATCH(C2820,AK_NAMA,0)),"?"))</f>
        <v/>
      </c>
      <c r="P2820" s="102" t="str">
        <f aca="false">IF(D2820="","",IFERROR(INDEX(AK_KEL,MATCH(D2820,AK_NAMA,0)),"?"))</f>
        <v/>
      </c>
      <c r="Q2820" s="102" t="n">
        <f aca="false">N(Q2819)+IF(AND(N(E2820)&lt;&gt;0,K2820=TAHUN,N(J2820)&lt;=BLN,OR(C2820=BB_AKUN,D2820=BB_AKUN)),1,0)</f>
        <v>877</v>
      </c>
      <c r="R2820" s="104" t="str">
        <f aca="false">IF(OR(C2820&amp;D2820="",N(E2820)=0),"",IF(OR(O2820="?",P2820="?"),"⚠ akun tidak dikenal",IF(C2820=D2820,"⚠ debet = kredit","")))</f>
        <v/>
      </c>
    </row>
    <row r="2821" customFormat="false" ht="15" hidden="false" customHeight="false" outlineLevel="0" collapsed="false">
      <c r="A2821" s="5"/>
      <c r="B2821" s="83"/>
      <c r="C2821" s="5"/>
      <c r="D2821" s="5"/>
      <c r="E2821" s="44"/>
      <c r="F2821" s="5"/>
      <c r="G2821" s="5"/>
      <c r="H2821" s="5"/>
      <c r="I2821" s="5"/>
      <c r="J2821" s="102" t="str">
        <f aca="false">IF(B2821="","",MONTH(B2821))</f>
        <v/>
      </c>
      <c r="K2821" s="102" t="str">
        <f aca="false">IF(B2821="","",YEAR(B2821))</f>
        <v/>
      </c>
      <c r="L2821" s="102" t="str">
        <f aca="false">IF(N(E2821)=0,"",IF(COUNTIFS(AK_NAMA,C2821,AK_KAT,"KAS")+COUNTIFS(AK_NAMA,D2821,AK_KAT,"KAS")&lt;&gt;1,"",IF(COUNTIFS(AK_NAMA,C2821,AK_KAT,"KAS")=1,D2821,C2821)))</f>
        <v/>
      </c>
      <c r="M2821" s="103" t="n">
        <f aca="false">IF(L2821="",0,IF(L2821=D2821,E2821,-E2821))</f>
        <v>0</v>
      </c>
      <c r="N2821" s="102" t="str">
        <f aca="false">IF(L2821="","",IFERROR(INDEX(AK_BARIS,MATCH(L2821,AK_NAMA,0)),"?"))</f>
        <v/>
      </c>
      <c r="O2821" s="102" t="str">
        <f aca="false">IF(C2821="","",IFERROR(INDEX(AK_KEL,MATCH(C2821,AK_NAMA,0)),"?"))</f>
        <v/>
      </c>
      <c r="P2821" s="102" t="str">
        <f aca="false">IF(D2821="","",IFERROR(INDEX(AK_KEL,MATCH(D2821,AK_NAMA,0)),"?"))</f>
        <v/>
      </c>
      <c r="Q2821" s="102" t="n">
        <f aca="false">N(Q2820)+IF(AND(N(E2821)&lt;&gt;0,K2821=TAHUN,N(J2821)&lt;=BLN,OR(C2821=BB_AKUN,D2821=BB_AKUN)),1,0)</f>
        <v>877</v>
      </c>
      <c r="R2821" s="104" t="str">
        <f aca="false">IF(OR(C2821&amp;D2821="",N(E2821)=0),"",IF(OR(O2821="?",P2821="?"),"⚠ akun tidak dikenal",IF(C2821=D2821,"⚠ debet = kredit","")))</f>
        <v/>
      </c>
    </row>
    <row r="2822" customFormat="false" ht="15" hidden="false" customHeight="false" outlineLevel="0" collapsed="false">
      <c r="A2822" s="5"/>
      <c r="B2822" s="83"/>
      <c r="C2822" s="5"/>
      <c r="D2822" s="5"/>
      <c r="E2822" s="44"/>
      <c r="F2822" s="5"/>
      <c r="G2822" s="5"/>
      <c r="H2822" s="5"/>
      <c r="I2822" s="5"/>
      <c r="J2822" s="102" t="str">
        <f aca="false">IF(B2822="","",MONTH(B2822))</f>
        <v/>
      </c>
      <c r="K2822" s="102" t="str">
        <f aca="false">IF(B2822="","",YEAR(B2822))</f>
        <v/>
      </c>
      <c r="L2822" s="102" t="str">
        <f aca="false">IF(N(E2822)=0,"",IF(COUNTIFS(AK_NAMA,C2822,AK_KAT,"KAS")+COUNTIFS(AK_NAMA,D2822,AK_KAT,"KAS")&lt;&gt;1,"",IF(COUNTIFS(AK_NAMA,C2822,AK_KAT,"KAS")=1,D2822,C2822)))</f>
        <v/>
      </c>
      <c r="M2822" s="103" t="n">
        <f aca="false">IF(L2822="",0,IF(L2822=D2822,E2822,-E2822))</f>
        <v>0</v>
      </c>
      <c r="N2822" s="102" t="str">
        <f aca="false">IF(L2822="","",IFERROR(INDEX(AK_BARIS,MATCH(L2822,AK_NAMA,0)),"?"))</f>
        <v/>
      </c>
      <c r="O2822" s="102" t="str">
        <f aca="false">IF(C2822="","",IFERROR(INDEX(AK_KEL,MATCH(C2822,AK_NAMA,0)),"?"))</f>
        <v/>
      </c>
      <c r="P2822" s="102" t="str">
        <f aca="false">IF(D2822="","",IFERROR(INDEX(AK_KEL,MATCH(D2822,AK_NAMA,0)),"?"))</f>
        <v/>
      </c>
      <c r="Q2822" s="102" t="n">
        <f aca="false">N(Q2821)+IF(AND(N(E2822)&lt;&gt;0,K2822=TAHUN,N(J2822)&lt;=BLN,OR(C2822=BB_AKUN,D2822=BB_AKUN)),1,0)</f>
        <v>877</v>
      </c>
      <c r="R2822" s="104" t="str">
        <f aca="false">IF(OR(C2822&amp;D2822="",N(E2822)=0),"",IF(OR(O2822="?",P2822="?"),"⚠ akun tidak dikenal",IF(C2822=D2822,"⚠ debet = kredit","")))</f>
        <v/>
      </c>
    </row>
    <row r="2823" customFormat="false" ht="15" hidden="false" customHeight="false" outlineLevel="0" collapsed="false">
      <c r="A2823" s="5"/>
      <c r="B2823" s="83"/>
      <c r="C2823" s="5"/>
      <c r="D2823" s="5"/>
      <c r="E2823" s="44"/>
      <c r="F2823" s="5"/>
      <c r="G2823" s="5"/>
      <c r="H2823" s="5"/>
      <c r="I2823" s="5"/>
      <c r="J2823" s="102" t="str">
        <f aca="false">IF(B2823="","",MONTH(B2823))</f>
        <v/>
      </c>
      <c r="K2823" s="102" t="str">
        <f aca="false">IF(B2823="","",YEAR(B2823))</f>
        <v/>
      </c>
      <c r="L2823" s="102" t="str">
        <f aca="false">IF(N(E2823)=0,"",IF(COUNTIFS(AK_NAMA,C2823,AK_KAT,"KAS")+COUNTIFS(AK_NAMA,D2823,AK_KAT,"KAS")&lt;&gt;1,"",IF(COUNTIFS(AK_NAMA,C2823,AK_KAT,"KAS")=1,D2823,C2823)))</f>
        <v/>
      </c>
      <c r="M2823" s="103" t="n">
        <f aca="false">IF(L2823="",0,IF(L2823=D2823,E2823,-E2823))</f>
        <v>0</v>
      </c>
      <c r="N2823" s="102" t="str">
        <f aca="false">IF(L2823="","",IFERROR(INDEX(AK_BARIS,MATCH(L2823,AK_NAMA,0)),"?"))</f>
        <v/>
      </c>
      <c r="O2823" s="102" t="str">
        <f aca="false">IF(C2823="","",IFERROR(INDEX(AK_KEL,MATCH(C2823,AK_NAMA,0)),"?"))</f>
        <v/>
      </c>
      <c r="P2823" s="102" t="str">
        <f aca="false">IF(D2823="","",IFERROR(INDEX(AK_KEL,MATCH(D2823,AK_NAMA,0)),"?"))</f>
        <v/>
      </c>
      <c r="Q2823" s="102" t="n">
        <f aca="false">N(Q2822)+IF(AND(N(E2823)&lt;&gt;0,K2823=TAHUN,N(J2823)&lt;=BLN,OR(C2823=BB_AKUN,D2823=BB_AKUN)),1,0)</f>
        <v>877</v>
      </c>
      <c r="R2823" s="104" t="str">
        <f aca="false">IF(OR(C2823&amp;D2823="",N(E2823)=0),"",IF(OR(O2823="?",P2823="?"),"⚠ akun tidak dikenal",IF(C2823=D2823,"⚠ debet = kredit","")))</f>
        <v/>
      </c>
    </row>
    <row r="2824" customFormat="false" ht="15" hidden="false" customHeight="false" outlineLevel="0" collapsed="false">
      <c r="A2824" s="5"/>
      <c r="B2824" s="83"/>
      <c r="C2824" s="5"/>
      <c r="D2824" s="5"/>
      <c r="E2824" s="44"/>
      <c r="F2824" s="5"/>
      <c r="G2824" s="5"/>
      <c r="H2824" s="5"/>
      <c r="I2824" s="5"/>
      <c r="J2824" s="102" t="str">
        <f aca="false">IF(B2824="","",MONTH(B2824))</f>
        <v/>
      </c>
      <c r="K2824" s="102" t="str">
        <f aca="false">IF(B2824="","",YEAR(B2824))</f>
        <v/>
      </c>
      <c r="L2824" s="102" t="str">
        <f aca="false">IF(N(E2824)=0,"",IF(COUNTIFS(AK_NAMA,C2824,AK_KAT,"KAS")+COUNTIFS(AK_NAMA,D2824,AK_KAT,"KAS")&lt;&gt;1,"",IF(COUNTIFS(AK_NAMA,C2824,AK_KAT,"KAS")=1,D2824,C2824)))</f>
        <v/>
      </c>
      <c r="M2824" s="103" t="n">
        <f aca="false">IF(L2824="",0,IF(L2824=D2824,E2824,-E2824))</f>
        <v>0</v>
      </c>
      <c r="N2824" s="102" t="str">
        <f aca="false">IF(L2824="","",IFERROR(INDEX(AK_BARIS,MATCH(L2824,AK_NAMA,0)),"?"))</f>
        <v/>
      </c>
      <c r="O2824" s="102" t="str">
        <f aca="false">IF(C2824="","",IFERROR(INDEX(AK_KEL,MATCH(C2824,AK_NAMA,0)),"?"))</f>
        <v/>
      </c>
      <c r="P2824" s="102" t="str">
        <f aca="false">IF(D2824="","",IFERROR(INDEX(AK_KEL,MATCH(D2824,AK_NAMA,0)),"?"))</f>
        <v/>
      </c>
      <c r="Q2824" s="102" t="n">
        <f aca="false">N(Q2823)+IF(AND(N(E2824)&lt;&gt;0,K2824=TAHUN,N(J2824)&lt;=BLN,OR(C2824=BB_AKUN,D2824=BB_AKUN)),1,0)</f>
        <v>877</v>
      </c>
      <c r="R2824" s="104" t="str">
        <f aca="false">IF(OR(C2824&amp;D2824="",N(E2824)=0),"",IF(OR(O2824="?",P2824="?"),"⚠ akun tidak dikenal",IF(C2824=D2824,"⚠ debet = kredit","")))</f>
        <v/>
      </c>
    </row>
    <row r="2825" customFormat="false" ht="15" hidden="false" customHeight="false" outlineLevel="0" collapsed="false">
      <c r="A2825" s="5"/>
      <c r="B2825" s="83"/>
      <c r="C2825" s="5"/>
      <c r="D2825" s="5"/>
      <c r="E2825" s="44"/>
      <c r="F2825" s="5"/>
      <c r="G2825" s="5"/>
      <c r="H2825" s="5"/>
      <c r="I2825" s="5"/>
      <c r="J2825" s="102" t="str">
        <f aca="false">IF(B2825="","",MONTH(B2825))</f>
        <v/>
      </c>
      <c r="K2825" s="102" t="str">
        <f aca="false">IF(B2825="","",YEAR(B2825))</f>
        <v/>
      </c>
      <c r="L2825" s="102" t="str">
        <f aca="false">IF(N(E2825)=0,"",IF(COUNTIFS(AK_NAMA,C2825,AK_KAT,"KAS")+COUNTIFS(AK_NAMA,D2825,AK_KAT,"KAS")&lt;&gt;1,"",IF(COUNTIFS(AK_NAMA,C2825,AK_KAT,"KAS")=1,D2825,C2825)))</f>
        <v/>
      </c>
      <c r="M2825" s="103" t="n">
        <f aca="false">IF(L2825="",0,IF(L2825=D2825,E2825,-E2825))</f>
        <v>0</v>
      </c>
      <c r="N2825" s="102" t="str">
        <f aca="false">IF(L2825="","",IFERROR(INDEX(AK_BARIS,MATCH(L2825,AK_NAMA,0)),"?"))</f>
        <v/>
      </c>
      <c r="O2825" s="102" t="str">
        <f aca="false">IF(C2825="","",IFERROR(INDEX(AK_KEL,MATCH(C2825,AK_NAMA,0)),"?"))</f>
        <v/>
      </c>
      <c r="P2825" s="102" t="str">
        <f aca="false">IF(D2825="","",IFERROR(INDEX(AK_KEL,MATCH(D2825,AK_NAMA,0)),"?"))</f>
        <v/>
      </c>
      <c r="Q2825" s="102" t="n">
        <f aca="false">N(Q2824)+IF(AND(N(E2825)&lt;&gt;0,K2825=TAHUN,N(J2825)&lt;=BLN,OR(C2825=BB_AKUN,D2825=BB_AKUN)),1,0)</f>
        <v>877</v>
      </c>
      <c r="R2825" s="104" t="str">
        <f aca="false">IF(OR(C2825&amp;D2825="",N(E2825)=0),"",IF(OR(O2825="?",P2825="?"),"⚠ akun tidak dikenal",IF(C2825=D2825,"⚠ debet = kredit","")))</f>
        <v/>
      </c>
    </row>
    <row r="2826" customFormat="false" ht="15" hidden="false" customHeight="false" outlineLevel="0" collapsed="false">
      <c r="A2826" s="5"/>
      <c r="B2826" s="83"/>
      <c r="C2826" s="5"/>
      <c r="D2826" s="5"/>
      <c r="E2826" s="44"/>
      <c r="F2826" s="5"/>
      <c r="G2826" s="5"/>
      <c r="H2826" s="5"/>
      <c r="I2826" s="5"/>
      <c r="J2826" s="102" t="str">
        <f aca="false">IF(B2826="","",MONTH(B2826))</f>
        <v/>
      </c>
      <c r="K2826" s="102" t="str">
        <f aca="false">IF(B2826="","",YEAR(B2826))</f>
        <v/>
      </c>
      <c r="L2826" s="102" t="str">
        <f aca="false">IF(N(E2826)=0,"",IF(COUNTIFS(AK_NAMA,C2826,AK_KAT,"KAS")+COUNTIFS(AK_NAMA,D2826,AK_KAT,"KAS")&lt;&gt;1,"",IF(COUNTIFS(AK_NAMA,C2826,AK_KAT,"KAS")=1,D2826,C2826)))</f>
        <v/>
      </c>
      <c r="M2826" s="103" t="n">
        <f aca="false">IF(L2826="",0,IF(L2826=D2826,E2826,-E2826))</f>
        <v>0</v>
      </c>
      <c r="N2826" s="102" t="str">
        <f aca="false">IF(L2826="","",IFERROR(INDEX(AK_BARIS,MATCH(L2826,AK_NAMA,0)),"?"))</f>
        <v/>
      </c>
      <c r="O2826" s="102" t="str">
        <f aca="false">IF(C2826="","",IFERROR(INDEX(AK_KEL,MATCH(C2826,AK_NAMA,0)),"?"))</f>
        <v/>
      </c>
      <c r="P2826" s="102" t="str">
        <f aca="false">IF(D2826="","",IFERROR(INDEX(AK_KEL,MATCH(D2826,AK_NAMA,0)),"?"))</f>
        <v/>
      </c>
      <c r="Q2826" s="102" t="n">
        <f aca="false">N(Q2825)+IF(AND(N(E2826)&lt;&gt;0,K2826=TAHUN,N(J2826)&lt;=BLN,OR(C2826=BB_AKUN,D2826=BB_AKUN)),1,0)</f>
        <v>877</v>
      </c>
      <c r="R2826" s="104" t="str">
        <f aca="false">IF(OR(C2826&amp;D2826="",N(E2826)=0),"",IF(OR(O2826="?",P2826="?"),"⚠ akun tidak dikenal",IF(C2826=D2826,"⚠ debet = kredit","")))</f>
        <v/>
      </c>
    </row>
    <row r="2827" customFormat="false" ht="15" hidden="false" customHeight="false" outlineLevel="0" collapsed="false">
      <c r="A2827" s="5"/>
      <c r="B2827" s="83"/>
      <c r="C2827" s="5"/>
      <c r="D2827" s="5"/>
      <c r="E2827" s="44"/>
      <c r="F2827" s="5"/>
      <c r="G2827" s="5"/>
      <c r="H2827" s="5"/>
      <c r="I2827" s="5"/>
      <c r="J2827" s="102" t="str">
        <f aca="false">IF(B2827="","",MONTH(B2827))</f>
        <v/>
      </c>
      <c r="K2827" s="102" t="str">
        <f aca="false">IF(B2827="","",YEAR(B2827))</f>
        <v/>
      </c>
      <c r="L2827" s="102" t="str">
        <f aca="false">IF(N(E2827)=0,"",IF(COUNTIFS(AK_NAMA,C2827,AK_KAT,"KAS")+COUNTIFS(AK_NAMA,D2827,AK_KAT,"KAS")&lt;&gt;1,"",IF(COUNTIFS(AK_NAMA,C2827,AK_KAT,"KAS")=1,D2827,C2827)))</f>
        <v/>
      </c>
      <c r="M2827" s="103" t="n">
        <f aca="false">IF(L2827="",0,IF(L2827=D2827,E2827,-E2827))</f>
        <v>0</v>
      </c>
      <c r="N2827" s="102" t="str">
        <f aca="false">IF(L2827="","",IFERROR(INDEX(AK_BARIS,MATCH(L2827,AK_NAMA,0)),"?"))</f>
        <v/>
      </c>
      <c r="O2827" s="102" t="str">
        <f aca="false">IF(C2827="","",IFERROR(INDEX(AK_KEL,MATCH(C2827,AK_NAMA,0)),"?"))</f>
        <v/>
      </c>
      <c r="P2827" s="102" t="str">
        <f aca="false">IF(D2827="","",IFERROR(INDEX(AK_KEL,MATCH(D2827,AK_NAMA,0)),"?"))</f>
        <v/>
      </c>
      <c r="Q2827" s="102" t="n">
        <f aca="false">N(Q2826)+IF(AND(N(E2827)&lt;&gt;0,K2827=TAHUN,N(J2827)&lt;=BLN,OR(C2827=BB_AKUN,D2827=BB_AKUN)),1,0)</f>
        <v>877</v>
      </c>
      <c r="R2827" s="104" t="str">
        <f aca="false">IF(OR(C2827&amp;D2827="",N(E2827)=0),"",IF(OR(O2827="?",P2827="?"),"⚠ akun tidak dikenal",IF(C2827=D2827,"⚠ debet = kredit","")))</f>
        <v/>
      </c>
    </row>
    <row r="2828" customFormat="false" ht="15" hidden="false" customHeight="false" outlineLevel="0" collapsed="false">
      <c r="A2828" s="5"/>
      <c r="B2828" s="83"/>
      <c r="C2828" s="5"/>
      <c r="D2828" s="5"/>
      <c r="E2828" s="44"/>
      <c r="F2828" s="5"/>
      <c r="G2828" s="5"/>
      <c r="H2828" s="5"/>
      <c r="I2828" s="5"/>
      <c r="J2828" s="102" t="str">
        <f aca="false">IF(B2828="","",MONTH(B2828))</f>
        <v/>
      </c>
      <c r="K2828" s="102" t="str">
        <f aca="false">IF(B2828="","",YEAR(B2828))</f>
        <v/>
      </c>
      <c r="L2828" s="102" t="str">
        <f aca="false">IF(N(E2828)=0,"",IF(COUNTIFS(AK_NAMA,C2828,AK_KAT,"KAS")+COUNTIFS(AK_NAMA,D2828,AK_KAT,"KAS")&lt;&gt;1,"",IF(COUNTIFS(AK_NAMA,C2828,AK_KAT,"KAS")=1,D2828,C2828)))</f>
        <v/>
      </c>
      <c r="M2828" s="103" t="n">
        <f aca="false">IF(L2828="",0,IF(L2828=D2828,E2828,-E2828))</f>
        <v>0</v>
      </c>
      <c r="N2828" s="102" t="str">
        <f aca="false">IF(L2828="","",IFERROR(INDEX(AK_BARIS,MATCH(L2828,AK_NAMA,0)),"?"))</f>
        <v/>
      </c>
      <c r="O2828" s="102" t="str">
        <f aca="false">IF(C2828="","",IFERROR(INDEX(AK_KEL,MATCH(C2828,AK_NAMA,0)),"?"))</f>
        <v/>
      </c>
      <c r="P2828" s="102" t="str">
        <f aca="false">IF(D2828="","",IFERROR(INDEX(AK_KEL,MATCH(D2828,AK_NAMA,0)),"?"))</f>
        <v/>
      </c>
      <c r="Q2828" s="102" t="n">
        <f aca="false">N(Q2827)+IF(AND(N(E2828)&lt;&gt;0,K2828=TAHUN,N(J2828)&lt;=BLN,OR(C2828=BB_AKUN,D2828=BB_AKUN)),1,0)</f>
        <v>877</v>
      </c>
      <c r="R2828" s="104" t="str">
        <f aca="false">IF(OR(C2828&amp;D2828="",N(E2828)=0),"",IF(OR(O2828="?",P2828="?"),"⚠ akun tidak dikenal",IF(C2828=D2828,"⚠ debet = kredit","")))</f>
        <v/>
      </c>
    </row>
    <row r="2829" customFormat="false" ht="15" hidden="false" customHeight="false" outlineLevel="0" collapsed="false">
      <c r="A2829" s="5"/>
      <c r="B2829" s="83"/>
      <c r="C2829" s="5"/>
      <c r="D2829" s="5"/>
      <c r="E2829" s="44"/>
      <c r="F2829" s="5"/>
      <c r="G2829" s="5"/>
      <c r="H2829" s="5"/>
      <c r="I2829" s="5"/>
      <c r="J2829" s="102" t="str">
        <f aca="false">IF(B2829="","",MONTH(B2829))</f>
        <v/>
      </c>
      <c r="K2829" s="102" t="str">
        <f aca="false">IF(B2829="","",YEAR(B2829))</f>
        <v/>
      </c>
      <c r="L2829" s="102" t="str">
        <f aca="false">IF(N(E2829)=0,"",IF(COUNTIFS(AK_NAMA,C2829,AK_KAT,"KAS")+COUNTIFS(AK_NAMA,D2829,AK_KAT,"KAS")&lt;&gt;1,"",IF(COUNTIFS(AK_NAMA,C2829,AK_KAT,"KAS")=1,D2829,C2829)))</f>
        <v/>
      </c>
      <c r="M2829" s="103" t="n">
        <f aca="false">IF(L2829="",0,IF(L2829=D2829,E2829,-E2829))</f>
        <v>0</v>
      </c>
      <c r="N2829" s="102" t="str">
        <f aca="false">IF(L2829="","",IFERROR(INDEX(AK_BARIS,MATCH(L2829,AK_NAMA,0)),"?"))</f>
        <v/>
      </c>
      <c r="O2829" s="102" t="str">
        <f aca="false">IF(C2829="","",IFERROR(INDEX(AK_KEL,MATCH(C2829,AK_NAMA,0)),"?"))</f>
        <v/>
      </c>
      <c r="P2829" s="102" t="str">
        <f aca="false">IF(D2829="","",IFERROR(INDEX(AK_KEL,MATCH(D2829,AK_NAMA,0)),"?"))</f>
        <v/>
      </c>
      <c r="Q2829" s="102" t="n">
        <f aca="false">N(Q2828)+IF(AND(N(E2829)&lt;&gt;0,K2829=TAHUN,N(J2829)&lt;=BLN,OR(C2829=BB_AKUN,D2829=BB_AKUN)),1,0)</f>
        <v>877</v>
      </c>
      <c r="R2829" s="104" t="str">
        <f aca="false">IF(OR(C2829&amp;D2829="",N(E2829)=0),"",IF(OR(O2829="?",P2829="?"),"⚠ akun tidak dikenal",IF(C2829=D2829,"⚠ debet = kredit","")))</f>
        <v/>
      </c>
    </row>
    <row r="2830" customFormat="false" ht="15" hidden="false" customHeight="false" outlineLevel="0" collapsed="false">
      <c r="A2830" s="5"/>
      <c r="B2830" s="83"/>
      <c r="C2830" s="5"/>
      <c r="D2830" s="5"/>
      <c r="E2830" s="44"/>
      <c r="F2830" s="5"/>
      <c r="G2830" s="5"/>
      <c r="H2830" s="5"/>
      <c r="I2830" s="5"/>
      <c r="J2830" s="102" t="str">
        <f aca="false">IF(B2830="","",MONTH(B2830))</f>
        <v/>
      </c>
      <c r="K2830" s="102" t="str">
        <f aca="false">IF(B2830="","",YEAR(B2830))</f>
        <v/>
      </c>
      <c r="L2830" s="102" t="str">
        <f aca="false">IF(N(E2830)=0,"",IF(COUNTIFS(AK_NAMA,C2830,AK_KAT,"KAS")+COUNTIFS(AK_NAMA,D2830,AK_KAT,"KAS")&lt;&gt;1,"",IF(COUNTIFS(AK_NAMA,C2830,AK_KAT,"KAS")=1,D2830,C2830)))</f>
        <v/>
      </c>
      <c r="M2830" s="103" t="n">
        <f aca="false">IF(L2830="",0,IF(L2830=D2830,E2830,-E2830))</f>
        <v>0</v>
      </c>
      <c r="N2830" s="102" t="str">
        <f aca="false">IF(L2830="","",IFERROR(INDEX(AK_BARIS,MATCH(L2830,AK_NAMA,0)),"?"))</f>
        <v/>
      </c>
      <c r="O2830" s="102" t="str">
        <f aca="false">IF(C2830="","",IFERROR(INDEX(AK_KEL,MATCH(C2830,AK_NAMA,0)),"?"))</f>
        <v/>
      </c>
      <c r="P2830" s="102" t="str">
        <f aca="false">IF(D2830="","",IFERROR(INDEX(AK_KEL,MATCH(D2830,AK_NAMA,0)),"?"))</f>
        <v/>
      </c>
      <c r="Q2830" s="102" t="n">
        <f aca="false">N(Q2829)+IF(AND(N(E2830)&lt;&gt;0,K2830=TAHUN,N(J2830)&lt;=BLN,OR(C2830=BB_AKUN,D2830=BB_AKUN)),1,0)</f>
        <v>877</v>
      </c>
      <c r="R2830" s="104" t="str">
        <f aca="false">IF(OR(C2830&amp;D2830="",N(E2830)=0),"",IF(OR(O2830="?",P2830="?"),"⚠ akun tidak dikenal",IF(C2830=D2830,"⚠ debet = kredit","")))</f>
        <v/>
      </c>
    </row>
    <row r="2831" customFormat="false" ht="15" hidden="false" customHeight="false" outlineLevel="0" collapsed="false">
      <c r="A2831" s="5"/>
      <c r="B2831" s="83"/>
      <c r="C2831" s="5"/>
      <c r="D2831" s="5"/>
      <c r="E2831" s="44"/>
      <c r="F2831" s="5"/>
      <c r="G2831" s="5"/>
      <c r="H2831" s="5"/>
      <c r="I2831" s="5"/>
      <c r="J2831" s="102" t="str">
        <f aca="false">IF(B2831="","",MONTH(B2831))</f>
        <v/>
      </c>
      <c r="K2831" s="102" t="str">
        <f aca="false">IF(B2831="","",YEAR(B2831))</f>
        <v/>
      </c>
      <c r="L2831" s="102" t="str">
        <f aca="false">IF(N(E2831)=0,"",IF(COUNTIFS(AK_NAMA,C2831,AK_KAT,"KAS")+COUNTIFS(AK_NAMA,D2831,AK_KAT,"KAS")&lt;&gt;1,"",IF(COUNTIFS(AK_NAMA,C2831,AK_KAT,"KAS")=1,D2831,C2831)))</f>
        <v/>
      </c>
      <c r="M2831" s="103" t="n">
        <f aca="false">IF(L2831="",0,IF(L2831=D2831,E2831,-E2831))</f>
        <v>0</v>
      </c>
      <c r="N2831" s="102" t="str">
        <f aca="false">IF(L2831="","",IFERROR(INDEX(AK_BARIS,MATCH(L2831,AK_NAMA,0)),"?"))</f>
        <v/>
      </c>
      <c r="O2831" s="102" t="str">
        <f aca="false">IF(C2831="","",IFERROR(INDEX(AK_KEL,MATCH(C2831,AK_NAMA,0)),"?"))</f>
        <v/>
      </c>
      <c r="P2831" s="102" t="str">
        <f aca="false">IF(D2831="","",IFERROR(INDEX(AK_KEL,MATCH(D2831,AK_NAMA,0)),"?"))</f>
        <v/>
      </c>
      <c r="Q2831" s="102" t="n">
        <f aca="false">N(Q2830)+IF(AND(N(E2831)&lt;&gt;0,K2831=TAHUN,N(J2831)&lt;=BLN,OR(C2831=BB_AKUN,D2831=BB_AKUN)),1,0)</f>
        <v>877</v>
      </c>
      <c r="R2831" s="104" t="str">
        <f aca="false">IF(OR(C2831&amp;D2831="",N(E2831)=0),"",IF(OR(O2831="?",P2831="?"),"⚠ akun tidak dikenal",IF(C2831=D2831,"⚠ debet = kredit","")))</f>
        <v/>
      </c>
    </row>
    <row r="2832" customFormat="false" ht="15" hidden="false" customHeight="false" outlineLevel="0" collapsed="false">
      <c r="A2832" s="5"/>
      <c r="B2832" s="83"/>
      <c r="C2832" s="5"/>
      <c r="D2832" s="5"/>
      <c r="E2832" s="44"/>
      <c r="F2832" s="5"/>
      <c r="G2832" s="5"/>
      <c r="H2832" s="5"/>
      <c r="I2832" s="5"/>
      <c r="J2832" s="102" t="str">
        <f aca="false">IF(B2832="","",MONTH(B2832))</f>
        <v/>
      </c>
      <c r="K2832" s="102" t="str">
        <f aca="false">IF(B2832="","",YEAR(B2832))</f>
        <v/>
      </c>
      <c r="L2832" s="102" t="str">
        <f aca="false">IF(N(E2832)=0,"",IF(COUNTIFS(AK_NAMA,C2832,AK_KAT,"KAS")+COUNTIFS(AK_NAMA,D2832,AK_KAT,"KAS")&lt;&gt;1,"",IF(COUNTIFS(AK_NAMA,C2832,AK_KAT,"KAS")=1,D2832,C2832)))</f>
        <v/>
      </c>
      <c r="M2832" s="103" t="n">
        <f aca="false">IF(L2832="",0,IF(L2832=D2832,E2832,-E2832))</f>
        <v>0</v>
      </c>
      <c r="N2832" s="102" t="str">
        <f aca="false">IF(L2832="","",IFERROR(INDEX(AK_BARIS,MATCH(L2832,AK_NAMA,0)),"?"))</f>
        <v/>
      </c>
      <c r="O2832" s="102" t="str">
        <f aca="false">IF(C2832="","",IFERROR(INDEX(AK_KEL,MATCH(C2832,AK_NAMA,0)),"?"))</f>
        <v/>
      </c>
      <c r="P2832" s="102" t="str">
        <f aca="false">IF(D2832="","",IFERROR(INDEX(AK_KEL,MATCH(D2832,AK_NAMA,0)),"?"))</f>
        <v/>
      </c>
      <c r="Q2832" s="102" t="n">
        <f aca="false">N(Q2831)+IF(AND(N(E2832)&lt;&gt;0,K2832=TAHUN,N(J2832)&lt;=BLN,OR(C2832=BB_AKUN,D2832=BB_AKUN)),1,0)</f>
        <v>877</v>
      </c>
      <c r="R2832" s="104" t="str">
        <f aca="false">IF(OR(C2832&amp;D2832="",N(E2832)=0),"",IF(OR(O2832="?",P2832="?"),"⚠ akun tidak dikenal",IF(C2832=D2832,"⚠ debet = kredit","")))</f>
        <v/>
      </c>
    </row>
    <row r="2833" customFormat="false" ht="15" hidden="false" customHeight="false" outlineLevel="0" collapsed="false">
      <c r="A2833" s="5"/>
      <c r="B2833" s="83"/>
      <c r="C2833" s="5"/>
      <c r="D2833" s="5"/>
      <c r="E2833" s="44"/>
      <c r="F2833" s="5"/>
      <c r="G2833" s="5"/>
      <c r="H2833" s="5"/>
      <c r="I2833" s="5"/>
      <c r="J2833" s="102" t="str">
        <f aca="false">IF(B2833="","",MONTH(B2833))</f>
        <v/>
      </c>
      <c r="K2833" s="102" t="str">
        <f aca="false">IF(B2833="","",YEAR(B2833))</f>
        <v/>
      </c>
      <c r="L2833" s="102" t="str">
        <f aca="false">IF(N(E2833)=0,"",IF(COUNTIFS(AK_NAMA,C2833,AK_KAT,"KAS")+COUNTIFS(AK_NAMA,D2833,AK_KAT,"KAS")&lt;&gt;1,"",IF(COUNTIFS(AK_NAMA,C2833,AK_KAT,"KAS")=1,D2833,C2833)))</f>
        <v/>
      </c>
      <c r="M2833" s="103" t="n">
        <f aca="false">IF(L2833="",0,IF(L2833=D2833,E2833,-E2833))</f>
        <v>0</v>
      </c>
      <c r="N2833" s="102" t="str">
        <f aca="false">IF(L2833="","",IFERROR(INDEX(AK_BARIS,MATCH(L2833,AK_NAMA,0)),"?"))</f>
        <v/>
      </c>
      <c r="O2833" s="102" t="str">
        <f aca="false">IF(C2833="","",IFERROR(INDEX(AK_KEL,MATCH(C2833,AK_NAMA,0)),"?"))</f>
        <v/>
      </c>
      <c r="P2833" s="102" t="str">
        <f aca="false">IF(D2833="","",IFERROR(INDEX(AK_KEL,MATCH(D2833,AK_NAMA,0)),"?"))</f>
        <v/>
      </c>
      <c r="Q2833" s="102" t="n">
        <f aca="false">N(Q2832)+IF(AND(N(E2833)&lt;&gt;0,K2833=TAHUN,N(J2833)&lt;=BLN,OR(C2833=BB_AKUN,D2833=BB_AKUN)),1,0)</f>
        <v>877</v>
      </c>
      <c r="R2833" s="104" t="str">
        <f aca="false">IF(OR(C2833&amp;D2833="",N(E2833)=0),"",IF(OR(O2833="?",P2833="?"),"⚠ akun tidak dikenal",IF(C2833=D2833,"⚠ debet = kredit","")))</f>
        <v/>
      </c>
    </row>
    <row r="2834" customFormat="false" ht="15" hidden="false" customHeight="false" outlineLevel="0" collapsed="false">
      <c r="A2834" s="5"/>
      <c r="B2834" s="83"/>
      <c r="C2834" s="5"/>
      <c r="D2834" s="5"/>
      <c r="E2834" s="44"/>
      <c r="F2834" s="5"/>
      <c r="G2834" s="5"/>
      <c r="H2834" s="5"/>
      <c r="I2834" s="5"/>
      <c r="J2834" s="102" t="str">
        <f aca="false">IF(B2834="","",MONTH(B2834))</f>
        <v/>
      </c>
      <c r="K2834" s="102" t="str">
        <f aca="false">IF(B2834="","",YEAR(B2834))</f>
        <v/>
      </c>
      <c r="L2834" s="102" t="str">
        <f aca="false">IF(N(E2834)=0,"",IF(COUNTIFS(AK_NAMA,C2834,AK_KAT,"KAS")+COUNTIFS(AK_NAMA,D2834,AK_KAT,"KAS")&lt;&gt;1,"",IF(COUNTIFS(AK_NAMA,C2834,AK_KAT,"KAS")=1,D2834,C2834)))</f>
        <v/>
      </c>
      <c r="M2834" s="103" t="n">
        <f aca="false">IF(L2834="",0,IF(L2834=D2834,E2834,-E2834))</f>
        <v>0</v>
      </c>
      <c r="N2834" s="102" t="str">
        <f aca="false">IF(L2834="","",IFERROR(INDEX(AK_BARIS,MATCH(L2834,AK_NAMA,0)),"?"))</f>
        <v/>
      </c>
      <c r="O2834" s="102" t="str">
        <f aca="false">IF(C2834="","",IFERROR(INDEX(AK_KEL,MATCH(C2834,AK_NAMA,0)),"?"))</f>
        <v/>
      </c>
      <c r="P2834" s="102" t="str">
        <f aca="false">IF(D2834="","",IFERROR(INDEX(AK_KEL,MATCH(D2834,AK_NAMA,0)),"?"))</f>
        <v/>
      </c>
      <c r="Q2834" s="102" t="n">
        <f aca="false">N(Q2833)+IF(AND(N(E2834)&lt;&gt;0,K2834=TAHUN,N(J2834)&lt;=BLN,OR(C2834=BB_AKUN,D2834=BB_AKUN)),1,0)</f>
        <v>877</v>
      </c>
      <c r="R2834" s="104" t="str">
        <f aca="false">IF(OR(C2834&amp;D2834="",N(E2834)=0),"",IF(OR(O2834="?",P2834="?"),"⚠ akun tidak dikenal",IF(C2834=D2834,"⚠ debet = kredit","")))</f>
        <v/>
      </c>
    </row>
    <row r="2835" customFormat="false" ht="15" hidden="false" customHeight="false" outlineLevel="0" collapsed="false">
      <c r="A2835" s="5"/>
      <c r="B2835" s="83"/>
      <c r="C2835" s="5"/>
      <c r="D2835" s="5"/>
      <c r="E2835" s="44"/>
      <c r="F2835" s="5"/>
      <c r="G2835" s="5"/>
      <c r="H2835" s="5"/>
      <c r="I2835" s="5"/>
      <c r="J2835" s="102" t="str">
        <f aca="false">IF(B2835="","",MONTH(B2835))</f>
        <v/>
      </c>
      <c r="K2835" s="102" t="str">
        <f aca="false">IF(B2835="","",YEAR(B2835))</f>
        <v/>
      </c>
      <c r="L2835" s="102" t="str">
        <f aca="false">IF(N(E2835)=0,"",IF(COUNTIFS(AK_NAMA,C2835,AK_KAT,"KAS")+COUNTIFS(AK_NAMA,D2835,AK_KAT,"KAS")&lt;&gt;1,"",IF(COUNTIFS(AK_NAMA,C2835,AK_KAT,"KAS")=1,D2835,C2835)))</f>
        <v/>
      </c>
      <c r="M2835" s="103" t="n">
        <f aca="false">IF(L2835="",0,IF(L2835=D2835,E2835,-E2835))</f>
        <v>0</v>
      </c>
      <c r="N2835" s="102" t="str">
        <f aca="false">IF(L2835="","",IFERROR(INDEX(AK_BARIS,MATCH(L2835,AK_NAMA,0)),"?"))</f>
        <v/>
      </c>
      <c r="O2835" s="102" t="str">
        <f aca="false">IF(C2835="","",IFERROR(INDEX(AK_KEL,MATCH(C2835,AK_NAMA,0)),"?"))</f>
        <v/>
      </c>
      <c r="P2835" s="102" t="str">
        <f aca="false">IF(D2835="","",IFERROR(INDEX(AK_KEL,MATCH(D2835,AK_NAMA,0)),"?"))</f>
        <v/>
      </c>
      <c r="Q2835" s="102" t="n">
        <f aca="false">N(Q2834)+IF(AND(N(E2835)&lt;&gt;0,K2835=TAHUN,N(J2835)&lt;=BLN,OR(C2835=BB_AKUN,D2835=BB_AKUN)),1,0)</f>
        <v>877</v>
      </c>
      <c r="R2835" s="104" t="str">
        <f aca="false">IF(OR(C2835&amp;D2835="",N(E2835)=0),"",IF(OR(O2835="?",P2835="?"),"⚠ akun tidak dikenal",IF(C2835=D2835,"⚠ debet = kredit","")))</f>
        <v/>
      </c>
    </row>
    <row r="2836" customFormat="false" ht="15" hidden="false" customHeight="false" outlineLevel="0" collapsed="false">
      <c r="A2836" s="5"/>
      <c r="B2836" s="83"/>
      <c r="C2836" s="5"/>
      <c r="D2836" s="5"/>
      <c r="E2836" s="44"/>
      <c r="F2836" s="5"/>
      <c r="G2836" s="5"/>
      <c r="H2836" s="5"/>
      <c r="I2836" s="5"/>
      <c r="J2836" s="102" t="str">
        <f aca="false">IF(B2836="","",MONTH(B2836))</f>
        <v/>
      </c>
      <c r="K2836" s="102" t="str">
        <f aca="false">IF(B2836="","",YEAR(B2836))</f>
        <v/>
      </c>
      <c r="L2836" s="102" t="str">
        <f aca="false">IF(N(E2836)=0,"",IF(COUNTIFS(AK_NAMA,C2836,AK_KAT,"KAS")+COUNTIFS(AK_NAMA,D2836,AK_KAT,"KAS")&lt;&gt;1,"",IF(COUNTIFS(AK_NAMA,C2836,AK_KAT,"KAS")=1,D2836,C2836)))</f>
        <v/>
      </c>
      <c r="M2836" s="103" t="n">
        <f aca="false">IF(L2836="",0,IF(L2836=D2836,E2836,-E2836))</f>
        <v>0</v>
      </c>
      <c r="N2836" s="102" t="str">
        <f aca="false">IF(L2836="","",IFERROR(INDEX(AK_BARIS,MATCH(L2836,AK_NAMA,0)),"?"))</f>
        <v/>
      </c>
      <c r="O2836" s="102" t="str">
        <f aca="false">IF(C2836="","",IFERROR(INDEX(AK_KEL,MATCH(C2836,AK_NAMA,0)),"?"))</f>
        <v/>
      </c>
      <c r="P2836" s="102" t="str">
        <f aca="false">IF(D2836="","",IFERROR(INDEX(AK_KEL,MATCH(D2836,AK_NAMA,0)),"?"))</f>
        <v/>
      </c>
      <c r="Q2836" s="102" t="n">
        <f aca="false">N(Q2835)+IF(AND(N(E2836)&lt;&gt;0,K2836=TAHUN,N(J2836)&lt;=BLN,OR(C2836=BB_AKUN,D2836=BB_AKUN)),1,0)</f>
        <v>877</v>
      </c>
      <c r="R2836" s="104" t="str">
        <f aca="false">IF(OR(C2836&amp;D2836="",N(E2836)=0),"",IF(OR(O2836="?",P2836="?"),"⚠ akun tidak dikenal",IF(C2836=D2836,"⚠ debet = kredit","")))</f>
        <v/>
      </c>
    </row>
    <row r="2837" customFormat="false" ht="15" hidden="false" customHeight="false" outlineLevel="0" collapsed="false">
      <c r="A2837" s="5"/>
      <c r="B2837" s="83"/>
      <c r="C2837" s="5"/>
      <c r="D2837" s="5"/>
      <c r="E2837" s="44"/>
      <c r="F2837" s="5"/>
      <c r="G2837" s="5"/>
      <c r="H2837" s="5"/>
      <c r="I2837" s="5"/>
      <c r="J2837" s="102" t="str">
        <f aca="false">IF(B2837="","",MONTH(B2837))</f>
        <v/>
      </c>
      <c r="K2837" s="102" t="str">
        <f aca="false">IF(B2837="","",YEAR(B2837))</f>
        <v/>
      </c>
      <c r="L2837" s="102" t="str">
        <f aca="false">IF(N(E2837)=0,"",IF(COUNTIFS(AK_NAMA,C2837,AK_KAT,"KAS")+COUNTIFS(AK_NAMA,D2837,AK_KAT,"KAS")&lt;&gt;1,"",IF(COUNTIFS(AK_NAMA,C2837,AK_KAT,"KAS")=1,D2837,C2837)))</f>
        <v/>
      </c>
      <c r="M2837" s="103" t="n">
        <f aca="false">IF(L2837="",0,IF(L2837=D2837,E2837,-E2837))</f>
        <v>0</v>
      </c>
      <c r="N2837" s="102" t="str">
        <f aca="false">IF(L2837="","",IFERROR(INDEX(AK_BARIS,MATCH(L2837,AK_NAMA,0)),"?"))</f>
        <v/>
      </c>
      <c r="O2837" s="102" t="str">
        <f aca="false">IF(C2837="","",IFERROR(INDEX(AK_KEL,MATCH(C2837,AK_NAMA,0)),"?"))</f>
        <v/>
      </c>
      <c r="P2837" s="102" t="str">
        <f aca="false">IF(D2837="","",IFERROR(INDEX(AK_KEL,MATCH(D2837,AK_NAMA,0)),"?"))</f>
        <v/>
      </c>
      <c r="Q2837" s="102" t="n">
        <f aca="false">N(Q2836)+IF(AND(N(E2837)&lt;&gt;0,K2837=TAHUN,N(J2837)&lt;=BLN,OR(C2837=BB_AKUN,D2837=BB_AKUN)),1,0)</f>
        <v>877</v>
      </c>
      <c r="R2837" s="104" t="str">
        <f aca="false">IF(OR(C2837&amp;D2837="",N(E2837)=0),"",IF(OR(O2837="?",P2837="?"),"⚠ akun tidak dikenal",IF(C2837=D2837,"⚠ debet = kredit","")))</f>
        <v/>
      </c>
    </row>
    <row r="2838" customFormat="false" ht="15" hidden="false" customHeight="false" outlineLevel="0" collapsed="false">
      <c r="A2838" s="5"/>
      <c r="B2838" s="83"/>
      <c r="C2838" s="5"/>
      <c r="D2838" s="5"/>
      <c r="E2838" s="44"/>
      <c r="F2838" s="5"/>
      <c r="G2838" s="5"/>
      <c r="H2838" s="5"/>
      <c r="I2838" s="5"/>
      <c r="J2838" s="102" t="str">
        <f aca="false">IF(B2838="","",MONTH(B2838))</f>
        <v/>
      </c>
      <c r="K2838" s="102" t="str">
        <f aca="false">IF(B2838="","",YEAR(B2838))</f>
        <v/>
      </c>
      <c r="L2838" s="102" t="str">
        <f aca="false">IF(N(E2838)=0,"",IF(COUNTIFS(AK_NAMA,C2838,AK_KAT,"KAS")+COUNTIFS(AK_NAMA,D2838,AK_KAT,"KAS")&lt;&gt;1,"",IF(COUNTIFS(AK_NAMA,C2838,AK_KAT,"KAS")=1,D2838,C2838)))</f>
        <v/>
      </c>
      <c r="M2838" s="103" t="n">
        <f aca="false">IF(L2838="",0,IF(L2838=D2838,E2838,-E2838))</f>
        <v>0</v>
      </c>
      <c r="N2838" s="102" t="str">
        <f aca="false">IF(L2838="","",IFERROR(INDEX(AK_BARIS,MATCH(L2838,AK_NAMA,0)),"?"))</f>
        <v/>
      </c>
      <c r="O2838" s="102" t="str">
        <f aca="false">IF(C2838="","",IFERROR(INDEX(AK_KEL,MATCH(C2838,AK_NAMA,0)),"?"))</f>
        <v/>
      </c>
      <c r="P2838" s="102" t="str">
        <f aca="false">IF(D2838="","",IFERROR(INDEX(AK_KEL,MATCH(D2838,AK_NAMA,0)),"?"))</f>
        <v/>
      </c>
      <c r="Q2838" s="102" t="n">
        <f aca="false">N(Q2837)+IF(AND(N(E2838)&lt;&gt;0,K2838=TAHUN,N(J2838)&lt;=BLN,OR(C2838=BB_AKUN,D2838=BB_AKUN)),1,0)</f>
        <v>877</v>
      </c>
      <c r="R2838" s="104" t="str">
        <f aca="false">IF(OR(C2838&amp;D2838="",N(E2838)=0),"",IF(OR(O2838="?",P2838="?"),"⚠ akun tidak dikenal",IF(C2838=D2838,"⚠ debet = kredit","")))</f>
        <v/>
      </c>
    </row>
    <row r="2839" customFormat="false" ht="15" hidden="false" customHeight="false" outlineLevel="0" collapsed="false">
      <c r="A2839" s="5"/>
      <c r="B2839" s="83"/>
      <c r="C2839" s="5"/>
      <c r="D2839" s="5"/>
      <c r="E2839" s="44"/>
      <c r="F2839" s="5"/>
      <c r="G2839" s="5"/>
      <c r="H2839" s="5"/>
      <c r="I2839" s="5"/>
      <c r="J2839" s="102" t="str">
        <f aca="false">IF(B2839="","",MONTH(B2839))</f>
        <v/>
      </c>
      <c r="K2839" s="102" t="str">
        <f aca="false">IF(B2839="","",YEAR(B2839))</f>
        <v/>
      </c>
      <c r="L2839" s="102" t="str">
        <f aca="false">IF(N(E2839)=0,"",IF(COUNTIFS(AK_NAMA,C2839,AK_KAT,"KAS")+COUNTIFS(AK_NAMA,D2839,AK_KAT,"KAS")&lt;&gt;1,"",IF(COUNTIFS(AK_NAMA,C2839,AK_KAT,"KAS")=1,D2839,C2839)))</f>
        <v/>
      </c>
      <c r="M2839" s="103" t="n">
        <f aca="false">IF(L2839="",0,IF(L2839=D2839,E2839,-E2839))</f>
        <v>0</v>
      </c>
      <c r="N2839" s="102" t="str">
        <f aca="false">IF(L2839="","",IFERROR(INDEX(AK_BARIS,MATCH(L2839,AK_NAMA,0)),"?"))</f>
        <v/>
      </c>
      <c r="O2839" s="102" t="str">
        <f aca="false">IF(C2839="","",IFERROR(INDEX(AK_KEL,MATCH(C2839,AK_NAMA,0)),"?"))</f>
        <v/>
      </c>
      <c r="P2839" s="102" t="str">
        <f aca="false">IF(D2839="","",IFERROR(INDEX(AK_KEL,MATCH(D2839,AK_NAMA,0)),"?"))</f>
        <v/>
      </c>
      <c r="Q2839" s="102" t="n">
        <f aca="false">N(Q2838)+IF(AND(N(E2839)&lt;&gt;0,K2839=TAHUN,N(J2839)&lt;=BLN,OR(C2839=BB_AKUN,D2839=BB_AKUN)),1,0)</f>
        <v>877</v>
      </c>
      <c r="R2839" s="104" t="str">
        <f aca="false">IF(OR(C2839&amp;D2839="",N(E2839)=0),"",IF(OR(O2839="?",P2839="?"),"⚠ akun tidak dikenal",IF(C2839=D2839,"⚠ debet = kredit","")))</f>
        <v/>
      </c>
    </row>
    <row r="2840" customFormat="false" ht="15" hidden="false" customHeight="false" outlineLevel="0" collapsed="false">
      <c r="A2840" s="5"/>
      <c r="B2840" s="83"/>
      <c r="C2840" s="5"/>
      <c r="D2840" s="5"/>
      <c r="E2840" s="44"/>
      <c r="F2840" s="5"/>
      <c r="G2840" s="5"/>
      <c r="H2840" s="5"/>
      <c r="I2840" s="5"/>
      <c r="J2840" s="102" t="str">
        <f aca="false">IF(B2840="","",MONTH(B2840))</f>
        <v/>
      </c>
      <c r="K2840" s="102" t="str">
        <f aca="false">IF(B2840="","",YEAR(B2840))</f>
        <v/>
      </c>
      <c r="L2840" s="102" t="str">
        <f aca="false">IF(N(E2840)=0,"",IF(COUNTIFS(AK_NAMA,C2840,AK_KAT,"KAS")+COUNTIFS(AK_NAMA,D2840,AK_KAT,"KAS")&lt;&gt;1,"",IF(COUNTIFS(AK_NAMA,C2840,AK_KAT,"KAS")=1,D2840,C2840)))</f>
        <v/>
      </c>
      <c r="M2840" s="103" t="n">
        <f aca="false">IF(L2840="",0,IF(L2840=D2840,E2840,-E2840))</f>
        <v>0</v>
      </c>
      <c r="N2840" s="102" t="str">
        <f aca="false">IF(L2840="","",IFERROR(INDEX(AK_BARIS,MATCH(L2840,AK_NAMA,0)),"?"))</f>
        <v/>
      </c>
      <c r="O2840" s="102" t="str">
        <f aca="false">IF(C2840="","",IFERROR(INDEX(AK_KEL,MATCH(C2840,AK_NAMA,0)),"?"))</f>
        <v/>
      </c>
      <c r="P2840" s="102" t="str">
        <f aca="false">IF(D2840="","",IFERROR(INDEX(AK_KEL,MATCH(D2840,AK_NAMA,0)),"?"))</f>
        <v/>
      </c>
      <c r="Q2840" s="102" t="n">
        <f aca="false">N(Q2839)+IF(AND(N(E2840)&lt;&gt;0,K2840=TAHUN,N(J2840)&lt;=BLN,OR(C2840=BB_AKUN,D2840=BB_AKUN)),1,0)</f>
        <v>877</v>
      </c>
      <c r="R2840" s="104" t="str">
        <f aca="false">IF(OR(C2840&amp;D2840="",N(E2840)=0),"",IF(OR(O2840="?",P2840="?"),"⚠ akun tidak dikenal",IF(C2840=D2840,"⚠ debet = kredit","")))</f>
        <v/>
      </c>
    </row>
    <row r="2841" customFormat="false" ht="15" hidden="false" customHeight="false" outlineLevel="0" collapsed="false">
      <c r="A2841" s="5"/>
      <c r="B2841" s="83"/>
      <c r="C2841" s="5"/>
      <c r="D2841" s="5"/>
      <c r="E2841" s="44"/>
      <c r="F2841" s="5"/>
      <c r="G2841" s="5"/>
      <c r="H2841" s="5"/>
      <c r="I2841" s="5"/>
      <c r="J2841" s="102" t="str">
        <f aca="false">IF(B2841="","",MONTH(B2841))</f>
        <v/>
      </c>
      <c r="K2841" s="102" t="str">
        <f aca="false">IF(B2841="","",YEAR(B2841))</f>
        <v/>
      </c>
      <c r="L2841" s="102" t="str">
        <f aca="false">IF(N(E2841)=0,"",IF(COUNTIFS(AK_NAMA,C2841,AK_KAT,"KAS")+COUNTIFS(AK_NAMA,D2841,AK_KAT,"KAS")&lt;&gt;1,"",IF(COUNTIFS(AK_NAMA,C2841,AK_KAT,"KAS")=1,D2841,C2841)))</f>
        <v/>
      </c>
      <c r="M2841" s="103" t="n">
        <f aca="false">IF(L2841="",0,IF(L2841=D2841,E2841,-E2841))</f>
        <v>0</v>
      </c>
      <c r="N2841" s="102" t="str">
        <f aca="false">IF(L2841="","",IFERROR(INDEX(AK_BARIS,MATCH(L2841,AK_NAMA,0)),"?"))</f>
        <v/>
      </c>
      <c r="O2841" s="102" t="str">
        <f aca="false">IF(C2841="","",IFERROR(INDEX(AK_KEL,MATCH(C2841,AK_NAMA,0)),"?"))</f>
        <v/>
      </c>
      <c r="P2841" s="102" t="str">
        <f aca="false">IF(D2841="","",IFERROR(INDEX(AK_KEL,MATCH(D2841,AK_NAMA,0)),"?"))</f>
        <v/>
      </c>
      <c r="Q2841" s="102" t="n">
        <f aca="false">N(Q2840)+IF(AND(N(E2841)&lt;&gt;0,K2841=TAHUN,N(J2841)&lt;=BLN,OR(C2841=BB_AKUN,D2841=BB_AKUN)),1,0)</f>
        <v>877</v>
      </c>
      <c r="R2841" s="104" t="str">
        <f aca="false">IF(OR(C2841&amp;D2841="",N(E2841)=0),"",IF(OR(O2841="?",P2841="?"),"⚠ akun tidak dikenal",IF(C2841=D2841,"⚠ debet = kredit","")))</f>
        <v/>
      </c>
    </row>
    <row r="2842" customFormat="false" ht="15" hidden="false" customHeight="false" outlineLevel="0" collapsed="false">
      <c r="A2842" s="5"/>
      <c r="B2842" s="83"/>
      <c r="C2842" s="5"/>
      <c r="D2842" s="5"/>
      <c r="E2842" s="44"/>
      <c r="F2842" s="5"/>
      <c r="G2842" s="5"/>
      <c r="H2842" s="5"/>
      <c r="I2842" s="5"/>
      <c r="J2842" s="102" t="str">
        <f aca="false">IF(B2842="","",MONTH(B2842))</f>
        <v/>
      </c>
      <c r="K2842" s="102" t="str">
        <f aca="false">IF(B2842="","",YEAR(B2842))</f>
        <v/>
      </c>
      <c r="L2842" s="102" t="str">
        <f aca="false">IF(N(E2842)=0,"",IF(COUNTIFS(AK_NAMA,C2842,AK_KAT,"KAS")+COUNTIFS(AK_NAMA,D2842,AK_KAT,"KAS")&lt;&gt;1,"",IF(COUNTIFS(AK_NAMA,C2842,AK_KAT,"KAS")=1,D2842,C2842)))</f>
        <v/>
      </c>
      <c r="M2842" s="103" t="n">
        <f aca="false">IF(L2842="",0,IF(L2842=D2842,E2842,-E2842))</f>
        <v>0</v>
      </c>
      <c r="N2842" s="102" t="str">
        <f aca="false">IF(L2842="","",IFERROR(INDEX(AK_BARIS,MATCH(L2842,AK_NAMA,0)),"?"))</f>
        <v/>
      </c>
      <c r="O2842" s="102" t="str">
        <f aca="false">IF(C2842="","",IFERROR(INDEX(AK_KEL,MATCH(C2842,AK_NAMA,0)),"?"))</f>
        <v/>
      </c>
      <c r="P2842" s="102" t="str">
        <f aca="false">IF(D2842="","",IFERROR(INDEX(AK_KEL,MATCH(D2842,AK_NAMA,0)),"?"))</f>
        <v/>
      </c>
      <c r="Q2842" s="102" t="n">
        <f aca="false">N(Q2841)+IF(AND(N(E2842)&lt;&gt;0,K2842=TAHUN,N(J2842)&lt;=BLN,OR(C2842=BB_AKUN,D2842=BB_AKUN)),1,0)</f>
        <v>877</v>
      </c>
      <c r="R2842" s="104" t="str">
        <f aca="false">IF(OR(C2842&amp;D2842="",N(E2842)=0),"",IF(OR(O2842="?",P2842="?"),"⚠ akun tidak dikenal",IF(C2842=D2842,"⚠ debet = kredit","")))</f>
        <v/>
      </c>
    </row>
    <row r="2843" customFormat="false" ht="15" hidden="false" customHeight="false" outlineLevel="0" collapsed="false">
      <c r="A2843" s="5"/>
      <c r="B2843" s="83"/>
      <c r="C2843" s="5"/>
      <c r="D2843" s="5"/>
      <c r="E2843" s="44"/>
      <c r="F2843" s="5"/>
      <c r="G2843" s="5"/>
      <c r="H2843" s="5"/>
      <c r="I2843" s="5"/>
      <c r="J2843" s="102" t="str">
        <f aca="false">IF(B2843="","",MONTH(B2843))</f>
        <v/>
      </c>
      <c r="K2843" s="102" t="str">
        <f aca="false">IF(B2843="","",YEAR(B2843))</f>
        <v/>
      </c>
      <c r="L2843" s="102" t="str">
        <f aca="false">IF(N(E2843)=0,"",IF(COUNTIFS(AK_NAMA,C2843,AK_KAT,"KAS")+COUNTIFS(AK_NAMA,D2843,AK_KAT,"KAS")&lt;&gt;1,"",IF(COUNTIFS(AK_NAMA,C2843,AK_KAT,"KAS")=1,D2843,C2843)))</f>
        <v/>
      </c>
      <c r="M2843" s="103" t="n">
        <f aca="false">IF(L2843="",0,IF(L2843=D2843,E2843,-E2843))</f>
        <v>0</v>
      </c>
      <c r="N2843" s="102" t="str">
        <f aca="false">IF(L2843="","",IFERROR(INDEX(AK_BARIS,MATCH(L2843,AK_NAMA,0)),"?"))</f>
        <v/>
      </c>
      <c r="O2843" s="102" t="str">
        <f aca="false">IF(C2843="","",IFERROR(INDEX(AK_KEL,MATCH(C2843,AK_NAMA,0)),"?"))</f>
        <v/>
      </c>
      <c r="P2843" s="102" t="str">
        <f aca="false">IF(D2843="","",IFERROR(INDEX(AK_KEL,MATCH(D2843,AK_NAMA,0)),"?"))</f>
        <v/>
      </c>
      <c r="Q2843" s="102" t="n">
        <f aca="false">N(Q2842)+IF(AND(N(E2843)&lt;&gt;0,K2843=TAHUN,N(J2843)&lt;=BLN,OR(C2843=BB_AKUN,D2843=BB_AKUN)),1,0)</f>
        <v>877</v>
      </c>
      <c r="R2843" s="104" t="str">
        <f aca="false">IF(OR(C2843&amp;D2843="",N(E2843)=0),"",IF(OR(O2843="?",P2843="?"),"⚠ akun tidak dikenal",IF(C2843=D2843,"⚠ debet = kredit","")))</f>
        <v/>
      </c>
    </row>
    <row r="2844" customFormat="false" ht="15" hidden="false" customHeight="false" outlineLevel="0" collapsed="false">
      <c r="A2844" s="5"/>
      <c r="B2844" s="83"/>
      <c r="C2844" s="5"/>
      <c r="D2844" s="5"/>
      <c r="E2844" s="44"/>
      <c r="F2844" s="5"/>
      <c r="G2844" s="5"/>
      <c r="H2844" s="5"/>
      <c r="I2844" s="5"/>
      <c r="J2844" s="102" t="str">
        <f aca="false">IF(B2844="","",MONTH(B2844))</f>
        <v/>
      </c>
      <c r="K2844" s="102" t="str">
        <f aca="false">IF(B2844="","",YEAR(B2844))</f>
        <v/>
      </c>
      <c r="L2844" s="102" t="str">
        <f aca="false">IF(N(E2844)=0,"",IF(COUNTIFS(AK_NAMA,C2844,AK_KAT,"KAS")+COUNTIFS(AK_NAMA,D2844,AK_KAT,"KAS")&lt;&gt;1,"",IF(COUNTIFS(AK_NAMA,C2844,AK_KAT,"KAS")=1,D2844,C2844)))</f>
        <v/>
      </c>
      <c r="M2844" s="103" t="n">
        <f aca="false">IF(L2844="",0,IF(L2844=D2844,E2844,-E2844))</f>
        <v>0</v>
      </c>
      <c r="N2844" s="102" t="str">
        <f aca="false">IF(L2844="","",IFERROR(INDEX(AK_BARIS,MATCH(L2844,AK_NAMA,0)),"?"))</f>
        <v/>
      </c>
      <c r="O2844" s="102" t="str">
        <f aca="false">IF(C2844="","",IFERROR(INDEX(AK_KEL,MATCH(C2844,AK_NAMA,0)),"?"))</f>
        <v/>
      </c>
      <c r="P2844" s="102" t="str">
        <f aca="false">IF(D2844="","",IFERROR(INDEX(AK_KEL,MATCH(D2844,AK_NAMA,0)),"?"))</f>
        <v/>
      </c>
      <c r="Q2844" s="102" t="n">
        <f aca="false">N(Q2843)+IF(AND(N(E2844)&lt;&gt;0,K2844=TAHUN,N(J2844)&lt;=BLN,OR(C2844=BB_AKUN,D2844=BB_AKUN)),1,0)</f>
        <v>877</v>
      </c>
      <c r="R2844" s="104" t="str">
        <f aca="false">IF(OR(C2844&amp;D2844="",N(E2844)=0),"",IF(OR(O2844="?",P2844="?"),"⚠ akun tidak dikenal",IF(C2844=D2844,"⚠ debet = kredit","")))</f>
        <v/>
      </c>
    </row>
    <row r="2845" customFormat="false" ht="15" hidden="false" customHeight="false" outlineLevel="0" collapsed="false">
      <c r="A2845" s="5"/>
      <c r="B2845" s="83"/>
      <c r="C2845" s="5"/>
      <c r="D2845" s="5"/>
      <c r="E2845" s="44"/>
      <c r="F2845" s="5"/>
      <c r="G2845" s="5"/>
      <c r="H2845" s="5"/>
      <c r="I2845" s="5"/>
      <c r="J2845" s="102" t="str">
        <f aca="false">IF(B2845="","",MONTH(B2845))</f>
        <v/>
      </c>
      <c r="K2845" s="102" t="str">
        <f aca="false">IF(B2845="","",YEAR(B2845))</f>
        <v/>
      </c>
      <c r="L2845" s="102" t="str">
        <f aca="false">IF(N(E2845)=0,"",IF(COUNTIFS(AK_NAMA,C2845,AK_KAT,"KAS")+COUNTIFS(AK_NAMA,D2845,AK_KAT,"KAS")&lt;&gt;1,"",IF(COUNTIFS(AK_NAMA,C2845,AK_KAT,"KAS")=1,D2845,C2845)))</f>
        <v/>
      </c>
      <c r="M2845" s="103" t="n">
        <f aca="false">IF(L2845="",0,IF(L2845=D2845,E2845,-E2845))</f>
        <v>0</v>
      </c>
      <c r="N2845" s="102" t="str">
        <f aca="false">IF(L2845="","",IFERROR(INDEX(AK_BARIS,MATCH(L2845,AK_NAMA,0)),"?"))</f>
        <v/>
      </c>
      <c r="O2845" s="102" t="str">
        <f aca="false">IF(C2845="","",IFERROR(INDEX(AK_KEL,MATCH(C2845,AK_NAMA,0)),"?"))</f>
        <v/>
      </c>
      <c r="P2845" s="102" t="str">
        <f aca="false">IF(D2845="","",IFERROR(INDEX(AK_KEL,MATCH(D2845,AK_NAMA,0)),"?"))</f>
        <v/>
      </c>
      <c r="Q2845" s="102" t="n">
        <f aca="false">N(Q2844)+IF(AND(N(E2845)&lt;&gt;0,K2845=TAHUN,N(J2845)&lt;=BLN,OR(C2845=BB_AKUN,D2845=BB_AKUN)),1,0)</f>
        <v>877</v>
      </c>
      <c r="R2845" s="104" t="str">
        <f aca="false">IF(OR(C2845&amp;D2845="",N(E2845)=0),"",IF(OR(O2845="?",P2845="?"),"⚠ akun tidak dikenal",IF(C2845=D2845,"⚠ debet = kredit","")))</f>
        <v/>
      </c>
    </row>
    <row r="2846" customFormat="false" ht="15" hidden="false" customHeight="false" outlineLevel="0" collapsed="false">
      <c r="A2846" s="5"/>
      <c r="B2846" s="83"/>
      <c r="C2846" s="5"/>
      <c r="D2846" s="5"/>
      <c r="E2846" s="44"/>
      <c r="F2846" s="5"/>
      <c r="G2846" s="5"/>
      <c r="H2846" s="5"/>
      <c r="I2846" s="5"/>
      <c r="J2846" s="102" t="str">
        <f aca="false">IF(B2846="","",MONTH(B2846))</f>
        <v/>
      </c>
      <c r="K2846" s="102" t="str">
        <f aca="false">IF(B2846="","",YEAR(B2846))</f>
        <v/>
      </c>
      <c r="L2846" s="102" t="str">
        <f aca="false">IF(N(E2846)=0,"",IF(COUNTIFS(AK_NAMA,C2846,AK_KAT,"KAS")+COUNTIFS(AK_NAMA,D2846,AK_KAT,"KAS")&lt;&gt;1,"",IF(COUNTIFS(AK_NAMA,C2846,AK_KAT,"KAS")=1,D2846,C2846)))</f>
        <v/>
      </c>
      <c r="M2846" s="103" t="n">
        <f aca="false">IF(L2846="",0,IF(L2846=D2846,E2846,-E2846))</f>
        <v>0</v>
      </c>
      <c r="N2846" s="102" t="str">
        <f aca="false">IF(L2846="","",IFERROR(INDEX(AK_BARIS,MATCH(L2846,AK_NAMA,0)),"?"))</f>
        <v/>
      </c>
      <c r="O2846" s="102" t="str">
        <f aca="false">IF(C2846="","",IFERROR(INDEX(AK_KEL,MATCH(C2846,AK_NAMA,0)),"?"))</f>
        <v/>
      </c>
      <c r="P2846" s="102" t="str">
        <f aca="false">IF(D2846="","",IFERROR(INDEX(AK_KEL,MATCH(D2846,AK_NAMA,0)),"?"))</f>
        <v/>
      </c>
      <c r="Q2846" s="102" t="n">
        <f aca="false">N(Q2845)+IF(AND(N(E2846)&lt;&gt;0,K2846=TAHUN,N(J2846)&lt;=BLN,OR(C2846=BB_AKUN,D2846=BB_AKUN)),1,0)</f>
        <v>877</v>
      </c>
      <c r="R2846" s="104" t="str">
        <f aca="false">IF(OR(C2846&amp;D2846="",N(E2846)=0),"",IF(OR(O2846="?",P2846="?"),"⚠ akun tidak dikenal",IF(C2846=D2846,"⚠ debet = kredit","")))</f>
        <v/>
      </c>
    </row>
    <row r="2847" customFormat="false" ht="15" hidden="false" customHeight="false" outlineLevel="0" collapsed="false">
      <c r="A2847" s="5"/>
      <c r="B2847" s="83"/>
      <c r="C2847" s="5"/>
      <c r="D2847" s="5"/>
      <c r="E2847" s="44"/>
      <c r="F2847" s="5"/>
      <c r="G2847" s="5"/>
      <c r="H2847" s="5"/>
      <c r="I2847" s="5"/>
      <c r="J2847" s="102" t="str">
        <f aca="false">IF(B2847="","",MONTH(B2847))</f>
        <v/>
      </c>
      <c r="K2847" s="102" t="str">
        <f aca="false">IF(B2847="","",YEAR(B2847))</f>
        <v/>
      </c>
      <c r="L2847" s="102" t="str">
        <f aca="false">IF(N(E2847)=0,"",IF(COUNTIFS(AK_NAMA,C2847,AK_KAT,"KAS")+COUNTIFS(AK_NAMA,D2847,AK_KAT,"KAS")&lt;&gt;1,"",IF(COUNTIFS(AK_NAMA,C2847,AK_KAT,"KAS")=1,D2847,C2847)))</f>
        <v/>
      </c>
      <c r="M2847" s="103" t="n">
        <f aca="false">IF(L2847="",0,IF(L2847=D2847,E2847,-E2847))</f>
        <v>0</v>
      </c>
      <c r="N2847" s="102" t="str">
        <f aca="false">IF(L2847="","",IFERROR(INDEX(AK_BARIS,MATCH(L2847,AK_NAMA,0)),"?"))</f>
        <v/>
      </c>
      <c r="O2847" s="102" t="str">
        <f aca="false">IF(C2847="","",IFERROR(INDEX(AK_KEL,MATCH(C2847,AK_NAMA,0)),"?"))</f>
        <v/>
      </c>
      <c r="P2847" s="102" t="str">
        <f aca="false">IF(D2847="","",IFERROR(INDEX(AK_KEL,MATCH(D2847,AK_NAMA,0)),"?"))</f>
        <v/>
      </c>
      <c r="Q2847" s="102" t="n">
        <f aca="false">N(Q2846)+IF(AND(N(E2847)&lt;&gt;0,K2847=TAHUN,N(J2847)&lt;=BLN,OR(C2847=BB_AKUN,D2847=BB_AKUN)),1,0)</f>
        <v>877</v>
      </c>
      <c r="R2847" s="104" t="str">
        <f aca="false">IF(OR(C2847&amp;D2847="",N(E2847)=0),"",IF(OR(O2847="?",P2847="?"),"⚠ akun tidak dikenal",IF(C2847=D2847,"⚠ debet = kredit","")))</f>
        <v/>
      </c>
    </row>
    <row r="2848" customFormat="false" ht="15" hidden="false" customHeight="false" outlineLevel="0" collapsed="false">
      <c r="A2848" s="5"/>
      <c r="B2848" s="83"/>
      <c r="C2848" s="5"/>
      <c r="D2848" s="5"/>
      <c r="E2848" s="44"/>
      <c r="F2848" s="5"/>
      <c r="G2848" s="5"/>
      <c r="H2848" s="5"/>
      <c r="I2848" s="5"/>
      <c r="J2848" s="102" t="str">
        <f aca="false">IF(B2848="","",MONTH(B2848))</f>
        <v/>
      </c>
      <c r="K2848" s="102" t="str">
        <f aca="false">IF(B2848="","",YEAR(B2848))</f>
        <v/>
      </c>
      <c r="L2848" s="102" t="str">
        <f aca="false">IF(N(E2848)=0,"",IF(COUNTIFS(AK_NAMA,C2848,AK_KAT,"KAS")+COUNTIFS(AK_NAMA,D2848,AK_KAT,"KAS")&lt;&gt;1,"",IF(COUNTIFS(AK_NAMA,C2848,AK_KAT,"KAS")=1,D2848,C2848)))</f>
        <v/>
      </c>
      <c r="M2848" s="103" t="n">
        <f aca="false">IF(L2848="",0,IF(L2848=D2848,E2848,-E2848))</f>
        <v>0</v>
      </c>
      <c r="N2848" s="102" t="str">
        <f aca="false">IF(L2848="","",IFERROR(INDEX(AK_BARIS,MATCH(L2848,AK_NAMA,0)),"?"))</f>
        <v/>
      </c>
      <c r="O2848" s="102" t="str">
        <f aca="false">IF(C2848="","",IFERROR(INDEX(AK_KEL,MATCH(C2848,AK_NAMA,0)),"?"))</f>
        <v/>
      </c>
      <c r="P2848" s="102" t="str">
        <f aca="false">IF(D2848="","",IFERROR(INDEX(AK_KEL,MATCH(D2848,AK_NAMA,0)),"?"))</f>
        <v/>
      </c>
      <c r="Q2848" s="102" t="n">
        <f aca="false">N(Q2847)+IF(AND(N(E2848)&lt;&gt;0,K2848=TAHUN,N(J2848)&lt;=BLN,OR(C2848=BB_AKUN,D2848=BB_AKUN)),1,0)</f>
        <v>877</v>
      </c>
      <c r="R2848" s="104" t="str">
        <f aca="false">IF(OR(C2848&amp;D2848="",N(E2848)=0),"",IF(OR(O2848="?",P2848="?"),"⚠ akun tidak dikenal",IF(C2848=D2848,"⚠ debet = kredit","")))</f>
        <v/>
      </c>
    </row>
    <row r="2849" customFormat="false" ht="15" hidden="false" customHeight="false" outlineLevel="0" collapsed="false">
      <c r="A2849" s="5"/>
      <c r="B2849" s="83"/>
      <c r="C2849" s="5"/>
      <c r="D2849" s="5"/>
      <c r="E2849" s="44"/>
      <c r="F2849" s="5"/>
      <c r="G2849" s="5"/>
      <c r="H2849" s="5"/>
      <c r="I2849" s="5"/>
      <c r="J2849" s="102" t="str">
        <f aca="false">IF(B2849="","",MONTH(B2849))</f>
        <v/>
      </c>
      <c r="K2849" s="102" t="str">
        <f aca="false">IF(B2849="","",YEAR(B2849))</f>
        <v/>
      </c>
      <c r="L2849" s="102" t="str">
        <f aca="false">IF(N(E2849)=0,"",IF(COUNTIFS(AK_NAMA,C2849,AK_KAT,"KAS")+COUNTIFS(AK_NAMA,D2849,AK_KAT,"KAS")&lt;&gt;1,"",IF(COUNTIFS(AK_NAMA,C2849,AK_KAT,"KAS")=1,D2849,C2849)))</f>
        <v/>
      </c>
      <c r="M2849" s="103" t="n">
        <f aca="false">IF(L2849="",0,IF(L2849=D2849,E2849,-E2849))</f>
        <v>0</v>
      </c>
      <c r="N2849" s="102" t="str">
        <f aca="false">IF(L2849="","",IFERROR(INDEX(AK_BARIS,MATCH(L2849,AK_NAMA,0)),"?"))</f>
        <v/>
      </c>
      <c r="O2849" s="102" t="str">
        <f aca="false">IF(C2849="","",IFERROR(INDEX(AK_KEL,MATCH(C2849,AK_NAMA,0)),"?"))</f>
        <v/>
      </c>
      <c r="P2849" s="102" t="str">
        <f aca="false">IF(D2849="","",IFERROR(INDEX(AK_KEL,MATCH(D2849,AK_NAMA,0)),"?"))</f>
        <v/>
      </c>
      <c r="Q2849" s="102" t="n">
        <f aca="false">N(Q2848)+IF(AND(N(E2849)&lt;&gt;0,K2849=TAHUN,N(J2849)&lt;=BLN,OR(C2849=BB_AKUN,D2849=BB_AKUN)),1,0)</f>
        <v>877</v>
      </c>
      <c r="R2849" s="104" t="str">
        <f aca="false">IF(OR(C2849&amp;D2849="",N(E2849)=0),"",IF(OR(O2849="?",P2849="?"),"⚠ akun tidak dikenal",IF(C2849=D2849,"⚠ debet = kredit","")))</f>
        <v/>
      </c>
    </row>
    <row r="2850" customFormat="false" ht="15" hidden="false" customHeight="false" outlineLevel="0" collapsed="false">
      <c r="A2850" s="5"/>
      <c r="B2850" s="83"/>
      <c r="C2850" s="5"/>
      <c r="D2850" s="5"/>
      <c r="E2850" s="44"/>
      <c r="F2850" s="5"/>
      <c r="G2850" s="5"/>
      <c r="H2850" s="5"/>
      <c r="I2850" s="5"/>
      <c r="J2850" s="102" t="str">
        <f aca="false">IF(B2850="","",MONTH(B2850))</f>
        <v/>
      </c>
      <c r="K2850" s="102" t="str">
        <f aca="false">IF(B2850="","",YEAR(B2850))</f>
        <v/>
      </c>
      <c r="L2850" s="102" t="str">
        <f aca="false">IF(N(E2850)=0,"",IF(COUNTIFS(AK_NAMA,C2850,AK_KAT,"KAS")+COUNTIFS(AK_NAMA,D2850,AK_KAT,"KAS")&lt;&gt;1,"",IF(COUNTIFS(AK_NAMA,C2850,AK_KAT,"KAS")=1,D2850,C2850)))</f>
        <v/>
      </c>
      <c r="M2850" s="103" t="n">
        <f aca="false">IF(L2850="",0,IF(L2850=D2850,E2850,-E2850))</f>
        <v>0</v>
      </c>
      <c r="N2850" s="102" t="str">
        <f aca="false">IF(L2850="","",IFERROR(INDEX(AK_BARIS,MATCH(L2850,AK_NAMA,0)),"?"))</f>
        <v/>
      </c>
      <c r="O2850" s="102" t="str">
        <f aca="false">IF(C2850="","",IFERROR(INDEX(AK_KEL,MATCH(C2850,AK_NAMA,0)),"?"))</f>
        <v/>
      </c>
      <c r="P2850" s="102" t="str">
        <f aca="false">IF(D2850="","",IFERROR(INDEX(AK_KEL,MATCH(D2850,AK_NAMA,0)),"?"))</f>
        <v/>
      </c>
      <c r="Q2850" s="102" t="n">
        <f aca="false">N(Q2849)+IF(AND(N(E2850)&lt;&gt;0,K2850=TAHUN,N(J2850)&lt;=BLN,OR(C2850=BB_AKUN,D2850=BB_AKUN)),1,0)</f>
        <v>877</v>
      </c>
      <c r="R2850" s="104" t="str">
        <f aca="false">IF(OR(C2850&amp;D2850="",N(E2850)=0),"",IF(OR(O2850="?",P2850="?"),"⚠ akun tidak dikenal",IF(C2850=D2850,"⚠ debet = kredit","")))</f>
        <v/>
      </c>
    </row>
    <row r="2851" customFormat="false" ht="15" hidden="false" customHeight="false" outlineLevel="0" collapsed="false">
      <c r="A2851" s="5"/>
      <c r="B2851" s="83"/>
      <c r="C2851" s="5"/>
      <c r="D2851" s="5"/>
      <c r="E2851" s="44"/>
      <c r="F2851" s="5"/>
      <c r="G2851" s="5"/>
      <c r="H2851" s="5"/>
      <c r="I2851" s="5"/>
      <c r="J2851" s="102" t="str">
        <f aca="false">IF(B2851="","",MONTH(B2851))</f>
        <v/>
      </c>
      <c r="K2851" s="102" t="str">
        <f aca="false">IF(B2851="","",YEAR(B2851))</f>
        <v/>
      </c>
      <c r="L2851" s="102" t="str">
        <f aca="false">IF(N(E2851)=0,"",IF(COUNTIFS(AK_NAMA,C2851,AK_KAT,"KAS")+COUNTIFS(AK_NAMA,D2851,AK_KAT,"KAS")&lt;&gt;1,"",IF(COUNTIFS(AK_NAMA,C2851,AK_KAT,"KAS")=1,D2851,C2851)))</f>
        <v/>
      </c>
      <c r="M2851" s="103" t="n">
        <f aca="false">IF(L2851="",0,IF(L2851=D2851,E2851,-E2851))</f>
        <v>0</v>
      </c>
      <c r="N2851" s="102" t="str">
        <f aca="false">IF(L2851="","",IFERROR(INDEX(AK_BARIS,MATCH(L2851,AK_NAMA,0)),"?"))</f>
        <v/>
      </c>
      <c r="O2851" s="102" t="str">
        <f aca="false">IF(C2851="","",IFERROR(INDEX(AK_KEL,MATCH(C2851,AK_NAMA,0)),"?"))</f>
        <v/>
      </c>
      <c r="P2851" s="102" t="str">
        <f aca="false">IF(D2851="","",IFERROR(INDEX(AK_KEL,MATCH(D2851,AK_NAMA,0)),"?"))</f>
        <v/>
      </c>
      <c r="Q2851" s="102" t="n">
        <f aca="false">N(Q2850)+IF(AND(N(E2851)&lt;&gt;0,K2851=TAHUN,N(J2851)&lt;=BLN,OR(C2851=BB_AKUN,D2851=BB_AKUN)),1,0)</f>
        <v>877</v>
      </c>
      <c r="R2851" s="104" t="str">
        <f aca="false">IF(OR(C2851&amp;D2851="",N(E2851)=0),"",IF(OR(O2851="?",P2851="?"),"⚠ akun tidak dikenal",IF(C2851=D2851,"⚠ debet = kredit","")))</f>
        <v/>
      </c>
    </row>
    <row r="2852" customFormat="false" ht="15" hidden="false" customHeight="false" outlineLevel="0" collapsed="false">
      <c r="A2852" s="5"/>
      <c r="B2852" s="83"/>
      <c r="C2852" s="5"/>
      <c r="D2852" s="5"/>
      <c r="E2852" s="44"/>
      <c r="F2852" s="5"/>
      <c r="G2852" s="5"/>
      <c r="H2852" s="5"/>
      <c r="I2852" s="5"/>
      <c r="J2852" s="102" t="str">
        <f aca="false">IF(B2852="","",MONTH(B2852))</f>
        <v/>
      </c>
      <c r="K2852" s="102" t="str">
        <f aca="false">IF(B2852="","",YEAR(B2852))</f>
        <v/>
      </c>
      <c r="L2852" s="102" t="str">
        <f aca="false">IF(N(E2852)=0,"",IF(COUNTIFS(AK_NAMA,C2852,AK_KAT,"KAS")+COUNTIFS(AK_NAMA,D2852,AK_KAT,"KAS")&lt;&gt;1,"",IF(COUNTIFS(AK_NAMA,C2852,AK_KAT,"KAS")=1,D2852,C2852)))</f>
        <v/>
      </c>
      <c r="M2852" s="103" t="n">
        <f aca="false">IF(L2852="",0,IF(L2852=D2852,E2852,-E2852))</f>
        <v>0</v>
      </c>
      <c r="N2852" s="102" t="str">
        <f aca="false">IF(L2852="","",IFERROR(INDEX(AK_BARIS,MATCH(L2852,AK_NAMA,0)),"?"))</f>
        <v/>
      </c>
      <c r="O2852" s="102" t="str">
        <f aca="false">IF(C2852="","",IFERROR(INDEX(AK_KEL,MATCH(C2852,AK_NAMA,0)),"?"))</f>
        <v/>
      </c>
      <c r="P2852" s="102" t="str">
        <f aca="false">IF(D2852="","",IFERROR(INDEX(AK_KEL,MATCH(D2852,AK_NAMA,0)),"?"))</f>
        <v/>
      </c>
      <c r="Q2852" s="102" t="n">
        <f aca="false">N(Q2851)+IF(AND(N(E2852)&lt;&gt;0,K2852=TAHUN,N(J2852)&lt;=BLN,OR(C2852=BB_AKUN,D2852=BB_AKUN)),1,0)</f>
        <v>877</v>
      </c>
      <c r="R2852" s="104" t="str">
        <f aca="false">IF(OR(C2852&amp;D2852="",N(E2852)=0),"",IF(OR(O2852="?",P2852="?"),"⚠ akun tidak dikenal",IF(C2852=D2852,"⚠ debet = kredit","")))</f>
        <v/>
      </c>
    </row>
    <row r="2853" customFormat="false" ht="15" hidden="false" customHeight="false" outlineLevel="0" collapsed="false">
      <c r="A2853" s="5"/>
      <c r="B2853" s="83"/>
      <c r="C2853" s="5"/>
      <c r="D2853" s="5"/>
      <c r="E2853" s="44"/>
      <c r="F2853" s="5"/>
      <c r="G2853" s="5"/>
      <c r="H2853" s="5"/>
      <c r="I2853" s="5"/>
      <c r="J2853" s="102" t="str">
        <f aca="false">IF(B2853="","",MONTH(B2853))</f>
        <v/>
      </c>
      <c r="K2853" s="102" t="str">
        <f aca="false">IF(B2853="","",YEAR(B2853))</f>
        <v/>
      </c>
      <c r="L2853" s="102" t="str">
        <f aca="false">IF(N(E2853)=0,"",IF(COUNTIFS(AK_NAMA,C2853,AK_KAT,"KAS")+COUNTIFS(AK_NAMA,D2853,AK_KAT,"KAS")&lt;&gt;1,"",IF(COUNTIFS(AK_NAMA,C2853,AK_KAT,"KAS")=1,D2853,C2853)))</f>
        <v/>
      </c>
      <c r="M2853" s="103" t="n">
        <f aca="false">IF(L2853="",0,IF(L2853=D2853,E2853,-E2853))</f>
        <v>0</v>
      </c>
      <c r="N2853" s="102" t="str">
        <f aca="false">IF(L2853="","",IFERROR(INDEX(AK_BARIS,MATCH(L2853,AK_NAMA,0)),"?"))</f>
        <v/>
      </c>
      <c r="O2853" s="102" t="str">
        <f aca="false">IF(C2853="","",IFERROR(INDEX(AK_KEL,MATCH(C2853,AK_NAMA,0)),"?"))</f>
        <v/>
      </c>
      <c r="P2853" s="102" t="str">
        <f aca="false">IF(D2853="","",IFERROR(INDEX(AK_KEL,MATCH(D2853,AK_NAMA,0)),"?"))</f>
        <v/>
      </c>
      <c r="Q2853" s="102" t="n">
        <f aca="false">N(Q2852)+IF(AND(N(E2853)&lt;&gt;0,K2853=TAHUN,N(J2853)&lt;=BLN,OR(C2853=BB_AKUN,D2853=BB_AKUN)),1,0)</f>
        <v>877</v>
      </c>
      <c r="R2853" s="104" t="str">
        <f aca="false">IF(OR(C2853&amp;D2853="",N(E2853)=0),"",IF(OR(O2853="?",P2853="?"),"⚠ akun tidak dikenal",IF(C2853=D2853,"⚠ debet = kredit","")))</f>
        <v/>
      </c>
    </row>
    <row r="2854" customFormat="false" ht="15" hidden="false" customHeight="false" outlineLevel="0" collapsed="false">
      <c r="A2854" s="5"/>
      <c r="B2854" s="83"/>
      <c r="C2854" s="5"/>
      <c r="D2854" s="5"/>
      <c r="E2854" s="44"/>
      <c r="F2854" s="5"/>
      <c r="G2854" s="5"/>
      <c r="H2854" s="5"/>
      <c r="I2854" s="5"/>
      <c r="J2854" s="102" t="str">
        <f aca="false">IF(B2854="","",MONTH(B2854))</f>
        <v/>
      </c>
      <c r="K2854" s="102" t="str">
        <f aca="false">IF(B2854="","",YEAR(B2854))</f>
        <v/>
      </c>
      <c r="L2854" s="102" t="str">
        <f aca="false">IF(N(E2854)=0,"",IF(COUNTIFS(AK_NAMA,C2854,AK_KAT,"KAS")+COUNTIFS(AK_NAMA,D2854,AK_KAT,"KAS")&lt;&gt;1,"",IF(COUNTIFS(AK_NAMA,C2854,AK_KAT,"KAS")=1,D2854,C2854)))</f>
        <v/>
      </c>
      <c r="M2854" s="103" t="n">
        <f aca="false">IF(L2854="",0,IF(L2854=D2854,E2854,-E2854))</f>
        <v>0</v>
      </c>
      <c r="N2854" s="102" t="str">
        <f aca="false">IF(L2854="","",IFERROR(INDEX(AK_BARIS,MATCH(L2854,AK_NAMA,0)),"?"))</f>
        <v/>
      </c>
      <c r="O2854" s="102" t="str">
        <f aca="false">IF(C2854="","",IFERROR(INDEX(AK_KEL,MATCH(C2854,AK_NAMA,0)),"?"))</f>
        <v/>
      </c>
      <c r="P2854" s="102" t="str">
        <f aca="false">IF(D2854="","",IFERROR(INDEX(AK_KEL,MATCH(D2854,AK_NAMA,0)),"?"))</f>
        <v/>
      </c>
      <c r="Q2854" s="102" t="n">
        <f aca="false">N(Q2853)+IF(AND(N(E2854)&lt;&gt;0,K2854=TAHUN,N(J2854)&lt;=BLN,OR(C2854=BB_AKUN,D2854=BB_AKUN)),1,0)</f>
        <v>877</v>
      </c>
      <c r="R2854" s="104" t="str">
        <f aca="false">IF(OR(C2854&amp;D2854="",N(E2854)=0),"",IF(OR(O2854="?",P2854="?"),"⚠ akun tidak dikenal",IF(C2854=D2854,"⚠ debet = kredit","")))</f>
        <v/>
      </c>
    </row>
    <row r="2855" customFormat="false" ht="15" hidden="false" customHeight="false" outlineLevel="0" collapsed="false">
      <c r="A2855" s="5"/>
      <c r="B2855" s="83"/>
      <c r="C2855" s="5"/>
      <c r="D2855" s="5"/>
      <c r="E2855" s="44"/>
      <c r="F2855" s="5"/>
      <c r="G2855" s="5"/>
      <c r="H2855" s="5"/>
      <c r="I2855" s="5"/>
      <c r="J2855" s="102" t="str">
        <f aca="false">IF(B2855="","",MONTH(B2855))</f>
        <v/>
      </c>
      <c r="K2855" s="102" t="str">
        <f aca="false">IF(B2855="","",YEAR(B2855))</f>
        <v/>
      </c>
      <c r="L2855" s="102" t="str">
        <f aca="false">IF(N(E2855)=0,"",IF(COUNTIFS(AK_NAMA,C2855,AK_KAT,"KAS")+COUNTIFS(AK_NAMA,D2855,AK_KAT,"KAS")&lt;&gt;1,"",IF(COUNTIFS(AK_NAMA,C2855,AK_KAT,"KAS")=1,D2855,C2855)))</f>
        <v/>
      </c>
      <c r="M2855" s="103" t="n">
        <f aca="false">IF(L2855="",0,IF(L2855=D2855,E2855,-E2855))</f>
        <v>0</v>
      </c>
      <c r="N2855" s="102" t="str">
        <f aca="false">IF(L2855="","",IFERROR(INDEX(AK_BARIS,MATCH(L2855,AK_NAMA,0)),"?"))</f>
        <v/>
      </c>
      <c r="O2855" s="102" t="str">
        <f aca="false">IF(C2855="","",IFERROR(INDEX(AK_KEL,MATCH(C2855,AK_NAMA,0)),"?"))</f>
        <v/>
      </c>
      <c r="P2855" s="102" t="str">
        <f aca="false">IF(D2855="","",IFERROR(INDEX(AK_KEL,MATCH(D2855,AK_NAMA,0)),"?"))</f>
        <v/>
      </c>
      <c r="Q2855" s="102" t="n">
        <f aca="false">N(Q2854)+IF(AND(N(E2855)&lt;&gt;0,K2855=TAHUN,N(J2855)&lt;=BLN,OR(C2855=BB_AKUN,D2855=BB_AKUN)),1,0)</f>
        <v>877</v>
      </c>
      <c r="R2855" s="104" t="str">
        <f aca="false">IF(OR(C2855&amp;D2855="",N(E2855)=0),"",IF(OR(O2855="?",P2855="?"),"⚠ akun tidak dikenal",IF(C2855=D2855,"⚠ debet = kredit","")))</f>
        <v/>
      </c>
    </row>
    <row r="2856" customFormat="false" ht="15" hidden="false" customHeight="false" outlineLevel="0" collapsed="false">
      <c r="A2856" s="5"/>
      <c r="B2856" s="83"/>
      <c r="C2856" s="5"/>
      <c r="D2856" s="5"/>
      <c r="E2856" s="44"/>
      <c r="F2856" s="5"/>
      <c r="G2856" s="5"/>
      <c r="H2856" s="5"/>
      <c r="I2856" s="5"/>
      <c r="J2856" s="102" t="str">
        <f aca="false">IF(B2856="","",MONTH(B2856))</f>
        <v/>
      </c>
      <c r="K2856" s="102" t="str">
        <f aca="false">IF(B2856="","",YEAR(B2856))</f>
        <v/>
      </c>
      <c r="L2856" s="102" t="str">
        <f aca="false">IF(N(E2856)=0,"",IF(COUNTIFS(AK_NAMA,C2856,AK_KAT,"KAS")+COUNTIFS(AK_NAMA,D2856,AK_KAT,"KAS")&lt;&gt;1,"",IF(COUNTIFS(AK_NAMA,C2856,AK_KAT,"KAS")=1,D2856,C2856)))</f>
        <v/>
      </c>
      <c r="M2856" s="103" t="n">
        <f aca="false">IF(L2856="",0,IF(L2856=D2856,E2856,-E2856))</f>
        <v>0</v>
      </c>
      <c r="N2856" s="102" t="str">
        <f aca="false">IF(L2856="","",IFERROR(INDEX(AK_BARIS,MATCH(L2856,AK_NAMA,0)),"?"))</f>
        <v/>
      </c>
      <c r="O2856" s="102" t="str">
        <f aca="false">IF(C2856="","",IFERROR(INDEX(AK_KEL,MATCH(C2856,AK_NAMA,0)),"?"))</f>
        <v/>
      </c>
      <c r="P2856" s="102" t="str">
        <f aca="false">IF(D2856="","",IFERROR(INDEX(AK_KEL,MATCH(D2856,AK_NAMA,0)),"?"))</f>
        <v/>
      </c>
      <c r="Q2856" s="102" t="n">
        <f aca="false">N(Q2855)+IF(AND(N(E2856)&lt;&gt;0,K2856=TAHUN,N(J2856)&lt;=BLN,OR(C2856=BB_AKUN,D2856=BB_AKUN)),1,0)</f>
        <v>877</v>
      </c>
      <c r="R2856" s="104" t="str">
        <f aca="false">IF(OR(C2856&amp;D2856="",N(E2856)=0),"",IF(OR(O2856="?",P2856="?"),"⚠ akun tidak dikenal",IF(C2856=D2856,"⚠ debet = kredit","")))</f>
        <v/>
      </c>
    </row>
    <row r="2857" customFormat="false" ht="15" hidden="false" customHeight="false" outlineLevel="0" collapsed="false">
      <c r="A2857" s="5"/>
      <c r="B2857" s="83"/>
      <c r="C2857" s="5"/>
      <c r="D2857" s="5"/>
      <c r="E2857" s="44"/>
      <c r="F2857" s="5"/>
      <c r="G2857" s="5"/>
      <c r="H2857" s="5"/>
      <c r="I2857" s="5"/>
      <c r="J2857" s="102" t="str">
        <f aca="false">IF(B2857="","",MONTH(B2857))</f>
        <v/>
      </c>
      <c r="K2857" s="102" t="str">
        <f aca="false">IF(B2857="","",YEAR(B2857))</f>
        <v/>
      </c>
      <c r="L2857" s="102" t="str">
        <f aca="false">IF(N(E2857)=0,"",IF(COUNTIFS(AK_NAMA,C2857,AK_KAT,"KAS")+COUNTIFS(AK_NAMA,D2857,AK_KAT,"KAS")&lt;&gt;1,"",IF(COUNTIFS(AK_NAMA,C2857,AK_KAT,"KAS")=1,D2857,C2857)))</f>
        <v/>
      </c>
      <c r="M2857" s="103" t="n">
        <f aca="false">IF(L2857="",0,IF(L2857=D2857,E2857,-E2857))</f>
        <v>0</v>
      </c>
      <c r="N2857" s="102" t="str">
        <f aca="false">IF(L2857="","",IFERROR(INDEX(AK_BARIS,MATCH(L2857,AK_NAMA,0)),"?"))</f>
        <v/>
      </c>
      <c r="O2857" s="102" t="str">
        <f aca="false">IF(C2857="","",IFERROR(INDEX(AK_KEL,MATCH(C2857,AK_NAMA,0)),"?"))</f>
        <v/>
      </c>
      <c r="P2857" s="102" t="str">
        <f aca="false">IF(D2857="","",IFERROR(INDEX(AK_KEL,MATCH(D2857,AK_NAMA,0)),"?"))</f>
        <v/>
      </c>
      <c r="Q2857" s="102" t="n">
        <f aca="false">N(Q2856)+IF(AND(N(E2857)&lt;&gt;0,K2857=TAHUN,N(J2857)&lt;=BLN,OR(C2857=BB_AKUN,D2857=BB_AKUN)),1,0)</f>
        <v>877</v>
      </c>
      <c r="R2857" s="104" t="str">
        <f aca="false">IF(OR(C2857&amp;D2857="",N(E2857)=0),"",IF(OR(O2857="?",P2857="?"),"⚠ akun tidak dikenal",IF(C2857=D2857,"⚠ debet = kredit","")))</f>
        <v/>
      </c>
    </row>
    <row r="2858" customFormat="false" ht="15" hidden="false" customHeight="false" outlineLevel="0" collapsed="false">
      <c r="A2858" s="5"/>
      <c r="B2858" s="83"/>
      <c r="C2858" s="5"/>
      <c r="D2858" s="5"/>
      <c r="E2858" s="44"/>
      <c r="F2858" s="5"/>
      <c r="G2858" s="5"/>
      <c r="H2858" s="5"/>
      <c r="I2858" s="5"/>
      <c r="J2858" s="102" t="str">
        <f aca="false">IF(B2858="","",MONTH(B2858))</f>
        <v/>
      </c>
      <c r="K2858" s="102" t="str">
        <f aca="false">IF(B2858="","",YEAR(B2858))</f>
        <v/>
      </c>
      <c r="L2858" s="102" t="str">
        <f aca="false">IF(N(E2858)=0,"",IF(COUNTIFS(AK_NAMA,C2858,AK_KAT,"KAS")+COUNTIFS(AK_NAMA,D2858,AK_KAT,"KAS")&lt;&gt;1,"",IF(COUNTIFS(AK_NAMA,C2858,AK_KAT,"KAS")=1,D2858,C2858)))</f>
        <v/>
      </c>
      <c r="M2858" s="103" t="n">
        <f aca="false">IF(L2858="",0,IF(L2858=D2858,E2858,-E2858))</f>
        <v>0</v>
      </c>
      <c r="N2858" s="102" t="str">
        <f aca="false">IF(L2858="","",IFERROR(INDEX(AK_BARIS,MATCH(L2858,AK_NAMA,0)),"?"))</f>
        <v/>
      </c>
      <c r="O2858" s="102" t="str">
        <f aca="false">IF(C2858="","",IFERROR(INDEX(AK_KEL,MATCH(C2858,AK_NAMA,0)),"?"))</f>
        <v/>
      </c>
      <c r="P2858" s="102" t="str">
        <f aca="false">IF(D2858="","",IFERROR(INDEX(AK_KEL,MATCH(D2858,AK_NAMA,0)),"?"))</f>
        <v/>
      </c>
      <c r="Q2858" s="102" t="n">
        <f aca="false">N(Q2857)+IF(AND(N(E2858)&lt;&gt;0,K2858=TAHUN,N(J2858)&lt;=BLN,OR(C2858=BB_AKUN,D2858=BB_AKUN)),1,0)</f>
        <v>877</v>
      </c>
      <c r="R2858" s="104" t="str">
        <f aca="false">IF(OR(C2858&amp;D2858="",N(E2858)=0),"",IF(OR(O2858="?",P2858="?"),"⚠ akun tidak dikenal",IF(C2858=D2858,"⚠ debet = kredit","")))</f>
        <v/>
      </c>
    </row>
    <row r="2859" customFormat="false" ht="15" hidden="false" customHeight="false" outlineLevel="0" collapsed="false">
      <c r="A2859" s="5"/>
      <c r="B2859" s="83"/>
      <c r="C2859" s="5"/>
      <c r="D2859" s="5"/>
      <c r="E2859" s="44"/>
      <c r="F2859" s="5"/>
      <c r="G2859" s="5"/>
      <c r="H2859" s="5"/>
      <c r="I2859" s="5"/>
      <c r="J2859" s="102" t="str">
        <f aca="false">IF(B2859="","",MONTH(B2859))</f>
        <v/>
      </c>
      <c r="K2859" s="102" t="str">
        <f aca="false">IF(B2859="","",YEAR(B2859))</f>
        <v/>
      </c>
      <c r="L2859" s="102" t="str">
        <f aca="false">IF(N(E2859)=0,"",IF(COUNTIFS(AK_NAMA,C2859,AK_KAT,"KAS")+COUNTIFS(AK_NAMA,D2859,AK_KAT,"KAS")&lt;&gt;1,"",IF(COUNTIFS(AK_NAMA,C2859,AK_KAT,"KAS")=1,D2859,C2859)))</f>
        <v/>
      </c>
      <c r="M2859" s="103" t="n">
        <f aca="false">IF(L2859="",0,IF(L2859=D2859,E2859,-E2859))</f>
        <v>0</v>
      </c>
      <c r="N2859" s="102" t="str">
        <f aca="false">IF(L2859="","",IFERROR(INDEX(AK_BARIS,MATCH(L2859,AK_NAMA,0)),"?"))</f>
        <v/>
      </c>
      <c r="O2859" s="102" t="str">
        <f aca="false">IF(C2859="","",IFERROR(INDEX(AK_KEL,MATCH(C2859,AK_NAMA,0)),"?"))</f>
        <v/>
      </c>
      <c r="P2859" s="102" t="str">
        <f aca="false">IF(D2859="","",IFERROR(INDEX(AK_KEL,MATCH(D2859,AK_NAMA,0)),"?"))</f>
        <v/>
      </c>
      <c r="Q2859" s="102" t="n">
        <f aca="false">N(Q2858)+IF(AND(N(E2859)&lt;&gt;0,K2859=TAHUN,N(J2859)&lt;=BLN,OR(C2859=BB_AKUN,D2859=BB_AKUN)),1,0)</f>
        <v>877</v>
      </c>
      <c r="R2859" s="104" t="str">
        <f aca="false">IF(OR(C2859&amp;D2859="",N(E2859)=0),"",IF(OR(O2859="?",P2859="?"),"⚠ akun tidak dikenal",IF(C2859=D2859,"⚠ debet = kredit","")))</f>
        <v/>
      </c>
    </row>
    <row r="2860" customFormat="false" ht="15" hidden="false" customHeight="false" outlineLevel="0" collapsed="false">
      <c r="A2860" s="5"/>
      <c r="B2860" s="83"/>
      <c r="C2860" s="5"/>
      <c r="D2860" s="5"/>
      <c r="E2860" s="44"/>
      <c r="F2860" s="5"/>
      <c r="G2860" s="5"/>
      <c r="H2860" s="5"/>
      <c r="I2860" s="5"/>
      <c r="J2860" s="102" t="str">
        <f aca="false">IF(B2860="","",MONTH(B2860))</f>
        <v/>
      </c>
      <c r="K2860" s="102" t="str">
        <f aca="false">IF(B2860="","",YEAR(B2860))</f>
        <v/>
      </c>
      <c r="L2860" s="102" t="str">
        <f aca="false">IF(N(E2860)=0,"",IF(COUNTIFS(AK_NAMA,C2860,AK_KAT,"KAS")+COUNTIFS(AK_NAMA,D2860,AK_KAT,"KAS")&lt;&gt;1,"",IF(COUNTIFS(AK_NAMA,C2860,AK_KAT,"KAS")=1,D2860,C2860)))</f>
        <v/>
      </c>
      <c r="M2860" s="103" t="n">
        <f aca="false">IF(L2860="",0,IF(L2860=D2860,E2860,-E2860))</f>
        <v>0</v>
      </c>
      <c r="N2860" s="102" t="str">
        <f aca="false">IF(L2860="","",IFERROR(INDEX(AK_BARIS,MATCH(L2860,AK_NAMA,0)),"?"))</f>
        <v/>
      </c>
      <c r="O2860" s="102" t="str">
        <f aca="false">IF(C2860="","",IFERROR(INDEX(AK_KEL,MATCH(C2860,AK_NAMA,0)),"?"))</f>
        <v/>
      </c>
      <c r="P2860" s="102" t="str">
        <f aca="false">IF(D2860="","",IFERROR(INDEX(AK_KEL,MATCH(D2860,AK_NAMA,0)),"?"))</f>
        <v/>
      </c>
      <c r="Q2860" s="102" t="n">
        <f aca="false">N(Q2859)+IF(AND(N(E2860)&lt;&gt;0,K2860=TAHUN,N(J2860)&lt;=BLN,OR(C2860=BB_AKUN,D2860=BB_AKUN)),1,0)</f>
        <v>877</v>
      </c>
      <c r="R2860" s="104" t="str">
        <f aca="false">IF(OR(C2860&amp;D2860="",N(E2860)=0),"",IF(OR(O2860="?",P2860="?"),"⚠ akun tidak dikenal",IF(C2860=D2860,"⚠ debet = kredit","")))</f>
        <v/>
      </c>
    </row>
    <row r="2861" customFormat="false" ht="15" hidden="false" customHeight="false" outlineLevel="0" collapsed="false">
      <c r="A2861" s="5"/>
      <c r="B2861" s="83"/>
      <c r="C2861" s="5"/>
      <c r="D2861" s="5"/>
      <c r="E2861" s="44"/>
      <c r="F2861" s="5"/>
      <c r="G2861" s="5"/>
      <c r="H2861" s="5"/>
      <c r="I2861" s="5"/>
      <c r="J2861" s="102" t="str">
        <f aca="false">IF(B2861="","",MONTH(B2861))</f>
        <v/>
      </c>
      <c r="K2861" s="102" t="str">
        <f aca="false">IF(B2861="","",YEAR(B2861))</f>
        <v/>
      </c>
      <c r="L2861" s="102" t="str">
        <f aca="false">IF(N(E2861)=0,"",IF(COUNTIFS(AK_NAMA,C2861,AK_KAT,"KAS")+COUNTIFS(AK_NAMA,D2861,AK_KAT,"KAS")&lt;&gt;1,"",IF(COUNTIFS(AK_NAMA,C2861,AK_KAT,"KAS")=1,D2861,C2861)))</f>
        <v/>
      </c>
      <c r="M2861" s="103" t="n">
        <f aca="false">IF(L2861="",0,IF(L2861=D2861,E2861,-E2861))</f>
        <v>0</v>
      </c>
      <c r="N2861" s="102" t="str">
        <f aca="false">IF(L2861="","",IFERROR(INDEX(AK_BARIS,MATCH(L2861,AK_NAMA,0)),"?"))</f>
        <v/>
      </c>
      <c r="O2861" s="102" t="str">
        <f aca="false">IF(C2861="","",IFERROR(INDEX(AK_KEL,MATCH(C2861,AK_NAMA,0)),"?"))</f>
        <v/>
      </c>
      <c r="P2861" s="102" t="str">
        <f aca="false">IF(D2861="","",IFERROR(INDEX(AK_KEL,MATCH(D2861,AK_NAMA,0)),"?"))</f>
        <v/>
      </c>
      <c r="Q2861" s="102" t="n">
        <f aca="false">N(Q2860)+IF(AND(N(E2861)&lt;&gt;0,K2861=TAHUN,N(J2861)&lt;=BLN,OR(C2861=BB_AKUN,D2861=BB_AKUN)),1,0)</f>
        <v>877</v>
      </c>
      <c r="R2861" s="104" t="str">
        <f aca="false">IF(OR(C2861&amp;D2861="",N(E2861)=0),"",IF(OR(O2861="?",P2861="?"),"⚠ akun tidak dikenal",IF(C2861=D2861,"⚠ debet = kredit","")))</f>
        <v/>
      </c>
    </row>
    <row r="2862" customFormat="false" ht="15" hidden="false" customHeight="false" outlineLevel="0" collapsed="false">
      <c r="A2862" s="5"/>
      <c r="B2862" s="83"/>
      <c r="C2862" s="5"/>
      <c r="D2862" s="5"/>
      <c r="E2862" s="44"/>
      <c r="F2862" s="5"/>
      <c r="G2862" s="5"/>
      <c r="H2862" s="5"/>
      <c r="I2862" s="5"/>
      <c r="J2862" s="102" t="str">
        <f aca="false">IF(B2862="","",MONTH(B2862))</f>
        <v/>
      </c>
      <c r="K2862" s="102" t="str">
        <f aca="false">IF(B2862="","",YEAR(B2862))</f>
        <v/>
      </c>
      <c r="L2862" s="102" t="str">
        <f aca="false">IF(N(E2862)=0,"",IF(COUNTIFS(AK_NAMA,C2862,AK_KAT,"KAS")+COUNTIFS(AK_NAMA,D2862,AK_KAT,"KAS")&lt;&gt;1,"",IF(COUNTIFS(AK_NAMA,C2862,AK_KAT,"KAS")=1,D2862,C2862)))</f>
        <v/>
      </c>
      <c r="M2862" s="103" t="n">
        <f aca="false">IF(L2862="",0,IF(L2862=D2862,E2862,-E2862))</f>
        <v>0</v>
      </c>
      <c r="N2862" s="102" t="str">
        <f aca="false">IF(L2862="","",IFERROR(INDEX(AK_BARIS,MATCH(L2862,AK_NAMA,0)),"?"))</f>
        <v/>
      </c>
      <c r="O2862" s="102" t="str">
        <f aca="false">IF(C2862="","",IFERROR(INDEX(AK_KEL,MATCH(C2862,AK_NAMA,0)),"?"))</f>
        <v/>
      </c>
      <c r="P2862" s="102" t="str">
        <f aca="false">IF(D2862="","",IFERROR(INDEX(AK_KEL,MATCH(D2862,AK_NAMA,0)),"?"))</f>
        <v/>
      </c>
      <c r="Q2862" s="102" t="n">
        <f aca="false">N(Q2861)+IF(AND(N(E2862)&lt;&gt;0,K2862=TAHUN,N(J2862)&lt;=BLN,OR(C2862=BB_AKUN,D2862=BB_AKUN)),1,0)</f>
        <v>877</v>
      </c>
      <c r="R2862" s="104" t="str">
        <f aca="false">IF(OR(C2862&amp;D2862="",N(E2862)=0),"",IF(OR(O2862="?",P2862="?"),"⚠ akun tidak dikenal",IF(C2862=D2862,"⚠ debet = kredit","")))</f>
        <v/>
      </c>
    </row>
    <row r="2863" customFormat="false" ht="15" hidden="false" customHeight="false" outlineLevel="0" collapsed="false">
      <c r="A2863" s="5"/>
      <c r="B2863" s="83"/>
      <c r="C2863" s="5"/>
      <c r="D2863" s="5"/>
      <c r="E2863" s="44"/>
      <c r="F2863" s="5"/>
      <c r="G2863" s="5"/>
      <c r="H2863" s="5"/>
      <c r="I2863" s="5"/>
      <c r="J2863" s="102" t="str">
        <f aca="false">IF(B2863="","",MONTH(B2863))</f>
        <v/>
      </c>
      <c r="K2863" s="102" t="str">
        <f aca="false">IF(B2863="","",YEAR(B2863))</f>
        <v/>
      </c>
      <c r="L2863" s="102" t="str">
        <f aca="false">IF(N(E2863)=0,"",IF(COUNTIFS(AK_NAMA,C2863,AK_KAT,"KAS")+COUNTIFS(AK_NAMA,D2863,AK_KAT,"KAS")&lt;&gt;1,"",IF(COUNTIFS(AK_NAMA,C2863,AK_KAT,"KAS")=1,D2863,C2863)))</f>
        <v/>
      </c>
      <c r="M2863" s="103" t="n">
        <f aca="false">IF(L2863="",0,IF(L2863=D2863,E2863,-E2863))</f>
        <v>0</v>
      </c>
      <c r="N2863" s="102" t="str">
        <f aca="false">IF(L2863="","",IFERROR(INDEX(AK_BARIS,MATCH(L2863,AK_NAMA,0)),"?"))</f>
        <v/>
      </c>
      <c r="O2863" s="102" t="str">
        <f aca="false">IF(C2863="","",IFERROR(INDEX(AK_KEL,MATCH(C2863,AK_NAMA,0)),"?"))</f>
        <v/>
      </c>
      <c r="P2863" s="102" t="str">
        <f aca="false">IF(D2863="","",IFERROR(INDEX(AK_KEL,MATCH(D2863,AK_NAMA,0)),"?"))</f>
        <v/>
      </c>
      <c r="Q2863" s="102" t="n">
        <f aca="false">N(Q2862)+IF(AND(N(E2863)&lt;&gt;0,K2863=TAHUN,N(J2863)&lt;=BLN,OR(C2863=BB_AKUN,D2863=BB_AKUN)),1,0)</f>
        <v>877</v>
      </c>
      <c r="R2863" s="104" t="str">
        <f aca="false">IF(OR(C2863&amp;D2863="",N(E2863)=0),"",IF(OR(O2863="?",P2863="?"),"⚠ akun tidak dikenal",IF(C2863=D2863,"⚠ debet = kredit","")))</f>
        <v/>
      </c>
    </row>
    <row r="2864" customFormat="false" ht="15" hidden="false" customHeight="false" outlineLevel="0" collapsed="false">
      <c r="A2864" s="5"/>
      <c r="B2864" s="83"/>
      <c r="C2864" s="5"/>
      <c r="D2864" s="5"/>
      <c r="E2864" s="44"/>
      <c r="F2864" s="5"/>
      <c r="G2864" s="5"/>
      <c r="H2864" s="5"/>
      <c r="I2864" s="5"/>
      <c r="J2864" s="102" t="str">
        <f aca="false">IF(B2864="","",MONTH(B2864))</f>
        <v/>
      </c>
      <c r="K2864" s="102" t="str">
        <f aca="false">IF(B2864="","",YEAR(B2864))</f>
        <v/>
      </c>
      <c r="L2864" s="102" t="str">
        <f aca="false">IF(N(E2864)=0,"",IF(COUNTIFS(AK_NAMA,C2864,AK_KAT,"KAS")+COUNTIFS(AK_NAMA,D2864,AK_KAT,"KAS")&lt;&gt;1,"",IF(COUNTIFS(AK_NAMA,C2864,AK_KAT,"KAS")=1,D2864,C2864)))</f>
        <v/>
      </c>
      <c r="M2864" s="103" t="n">
        <f aca="false">IF(L2864="",0,IF(L2864=D2864,E2864,-E2864))</f>
        <v>0</v>
      </c>
      <c r="N2864" s="102" t="str">
        <f aca="false">IF(L2864="","",IFERROR(INDEX(AK_BARIS,MATCH(L2864,AK_NAMA,0)),"?"))</f>
        <v/>
      </c>
      <c r="O2864" s="102" t="str">
        <f aca="false">IF(C2864="","",IFERROR(INDEX(AK_KEL,MATCH(C2864,AK_NAMA,0)),"?"))</f>
        <v/>
      </c>
      <c r="P2864" s="102" t="str">
        <f aca="false">IF(D2864="","",IFERROR(INDEX(AK_KEL,MATCH(D2864,AK_NAMA,0)),"?"))</f>
        <v/>
      </c>
      <c r="Q2864" s="102" t="n">
        <f aca="false">N(Q2863)+IF(AND(N(E2864)&lt;&gt;0,K2864=TAHUN,N(J2864)&lt;=BLN,OR(C2864=BB_AKUN,D2864=BB_AKUN)),1,0)</f>
        <v>877</v>
      </c>
      <c r="R2864" s="104" t="str">
        <f aca="false">IF(OR(C2864&amp;D2864="",N(E2864)=0),"",IF(OR(O2864="?",P2864="?"),"⚠ akun tidak dikenal",IF(C2864=D2864,"⚠ debet = kredit","")))</f>
        <v/>
      </c>
    </row>
    <row r="2865" customFormat="false" ht="15" hidden="false" customHeight="false" outlineLevel="0" collapsed="false">
      <c r="A2865" s="5"/>
      <c r="B2865" s="83"/>
      <c r="C2865" s="5"/>
      <c r="D2865" s="5"/>
      <c r="E2865" s="44"/>
      <c r="F2865" s="5"/>
      <c r="G2865" s="5"/>
      <c r="H2865" s="5"/>
      <c r="I2865" s="5"/>
      <c r="J2865" s="102" t="str">
        <f aca="false">IF(B2865="","",MONTH(B2865))</f>
        <v/>
      </c>
      <c r="K2865" s="102" t="str">
        <f aca="false">IF(B2865="","",YEAR(B2865))</f>
        <v/>
      </c>
      <c r="L2865" s="102" t="str">
        <f aca="false">IF(N(E2865)=0,"",IF(COUNTIFS(AK_NAMA,C2865,AK_KAT,"KAS")+COUNTIFS(AK_NAMA,D2865,AK_KAT,"KAS")&lt;&gt;1,"",IF(COUNTIFS(AK_NAMA,C2865,AK_KAT,"KAS")=1,D2865,C2865)))</f>
        <v/>
      </c>
      <c r="M2865" s="103" t="n">
        <f aca="false">IF(L2865="",0,IF(L2865=D2865,E2865,-E2865))</f>
        <v>0</v>
      </c>
      <c r="N2865" s="102" t="str">
        <f aca="false">IF(L2865="","",IFERROR(INDEX(AK_BARIS,MATCH(L2865,AK_NAMA,0)),"?"))</f>
        <v/>
      </c>
      <c r="O2865" s="102" t="str">
        <f aca="false">IF(C2865="","",IFERROR(INDEX(AK_KEL,MATCH(C2865,AK_NAMA,0)),"?"))</f>
        <v/>
      </c>
      <c r="P2865" s="102" t="str">
        <f aca="false">IF(D2865="","",IFERROR(INDEX(AK_KEL,MATCH(D2865,AK_NAMA,0)),"?"))</f>
        <v/>
      </c>
      <c r="Q2865" s="102" t="n">
        <f aca="false">N(Q2864)+IF(AND(N(E2865)&lt;&gt;0,K2865=TAHUN,N(J2865)&lt;=BLN,OR(C2865=BB_AKUN,D2865=BB_AKUN)),1,0)</f>
        <v>877</v>
      </c>
      <c r="R2865" s="104" t="str">
        <f aca="false">IF(OR(C2865&amp;D2865="",N(E2865)=0),"",IF(OR(O2865="?",P2865="?"),"⚠ akun tidak dikenal",IF(C2865=D2865,"⚠ debet = kredit","")))</f>
        <v/>
      </c>
    </row>
    <row r="2866" customFormat="false" ht="15" hidden="false" customHeight="false" outlineLevel="0" collapsed="false">
      <c r="A2866" s="5"/>
      <c r="B2866" s="83"/>
      <c r="C2866" s="5"/>
      <c r="D2866" s="5"/>
      <c r="E2866" s="44"/>
      <c r="F2866" s="5"/>
      <c r="G2866" s="5"/>
      <c r="H2866" s="5"/>
      <c r="I2866" s="5"/>
      <c r="J2866" s="102" t="str">
        <f aca="false">IF(B2866="","",MONTH(B2866))</f>
        <v/>
      </c>
      <c r="K2866" s="102" t="str">
        <f aca="false">IF(B2866="","",YEAR(B2866))</f>
        <v/>
      </c>
      <c r="L2866" s="102" t="str">
        <f aca="false">IF(N(E2866)=0,"",IF(COUNTIFS(AK_NAMA,C2866,AK_KAT,"KAS")+COUNTIFS(AK_NAMA,D2866,AK_KAT,"KAS")&lt;&gt;1,"",IF(COUNTIFS(AK_NAMA,C2866,AK_KAT,"KAS")=1,D2866,C2866)))</f>
        <v/>
      </c>
      <c r="M2866" s="103" t="n">
        <f aca="false">IF(L2866="",0,IF(L2866=D2866,E2866,-E2866))</f>
        <v>0</v>
      </c>
      <c r="N2866" s="102" t="str">
        <f aca="false">IF(L2866="","",IFERROR(INDEX(AK_BARIS,MATCH(L2866,AK_NAMA,0)),"?"))</f>
        <v/>
      </c>
      <c r="O2866" s="102" t="str">
        <f aca="false">IF(C2866="","",IFERROR(INDEX(AK_KEL,MATCH(C2866,AK_NAMA,0)),"?"))</f>
        <v/>
      </c>
      <c r="P2866" s="102" t="str">
        <f aca="false">IF(D2866="","",IFERROR(INDEX(AK_KEL,MATCH(D2866,AK_NAMA,0)),"?"))</f>
        <v/>
      </c>
      <c r="Q2866" s="102" t="n">
        <f aca="false">N(Q2865)+IF(AND(N(E2866)&lt;&gt;0,K2866=TAHUN,N(J2866)&lt;=BLN,OR(C2866=BB_AKUN,D2866=BB_AKUN)),1,0)</f>
        <v>877</v>
      </c>
      <c r="R2866" s="104" t="str">
        <f aca="false">IF(OR(C2866&amp;D2866="",N(E2866)=0),"",IF(OR(O2866="?",P2866="?"),"⚠ akun tidak dikenal",IF(C2866=D2866,"⚠ debet = kredit","")))</f>
        <v/>
      </c>
    </row>
    <row r="2867" customFormat="false" ht="15" hidden="false" customHeight="false" outlineLevel="0" collapsed="false">
      <c r="A2867" s="5"/>
      <c r="B2867" s="83"/>
      <c r="C2867" s="5"/>
      <c r="D2867" s="5"/>
      <c r="E2867" s="44"/>
      <c r="F2867" s="5"/>
      <c r="G2867" s="5"/>
      <c r="H2867" s="5"/>
      <c r="I2867" s="5"/>
      <c r="J2867" s="102" t="str">
        <f aca="false">IF(B2867="","",MONTH(B2867))</f>
        <v/>
      </c>
      <c r="K2867" s="102" t="str">
        <f aca="false">IF(B2867="","",YEAR(B2867))</f>
        <v/>
      </c>
      <c r="L2867" s="102" t="str">
        <f aca="false">IF(N(E2867)=0,"",IF(COUNTIFS(AK_NAMA,C2867,AK_KAT,"KAS")+COUNTIFS(AK_NAMA,D2867,AK_KAT,"KAS")&lt;&gt;1,"",IF(COUNTIFS(AK_NAMA,C2867,AK_KAT,"KAS")=1,D2867,C2867)))</f>
        <v/>
      </c>
      <c r="M2867" s="103" t="n">
        <f aca="false">IF(L2867="",0,IF(L2867=D2867,E2867,-E2867))</f>
        <v>0</v>
      </c>
      <c r="N2867" s="102" t="str">
        <f aca="false">IF(L2867="","",IFERROR(INDEX(AK_BARIS,MATCH(L2867,AK_NAMA,0)),"?"))</f>
        <v/>
      </c>
      <c r="O2867" s="102" t="str">
        <f aca="false">IF(C2867="","",IFERROR(INDEX(AK_KEL,MATCH(C2867,AK_NAMA,0)),"?"))</f>
        <v/>
      </c>
      <c r="P2867" s="102" t="str">
        <f aca="false">IF(D2867="","",IFERROR(INDEX(AK_KEL,MATCH(D2867,AK_NAMA,0)),"?"))</f>
        <v/>
      </c>
      <c r="Q2867" s="102" t="n">
        <f aca="false">N(Q2866)+IF(AND(N(E2867)&lt;&gt;0,K2867=TAHUN,N(J2867)&lt;=BLN,OR(C2867=BB_AKUN,D2867=BB_AKUN)),1,0)</f>
        <v>877</v>
      </c>
      <c r="R2867" s="104" t="str">
        <f aca="false">IF(OR(C2867&amp;D2867="",N(E2867)=0),"",IF(OR(O2867="?",P2867="?"),"⚠ akun tidak dikenal",IF(C2867=D2867,"⚠ debet = kredit","")))</f>
        <v/>
      </c>
    </row>
    <row r="2868" customFormat="false" ht="15" hidden="false" customHeight="false" outlineLevel="0" collapsed="false">
      <c r="A2868" s="5"/>
      <c r="B2868" s="83"/>
      <c r="C2868" s="5"/>
      <c r="D2868" s="5"/>
      <c r="E2868" s="44"/>
      <c r="F2868" s="5"/>
      <c r="G2868" s="5"/>
      <c r="H2868" s="5"/>
      <c r="I2868" s="5"/>
      <c r="J2868" s="102" t="str">
        <f aca="false">IF(B2868="","",MONTH(B2868))</f>
        <v/>
      </c>
      <c r="K2868" s="102" t="str">
        <f aca="false">IF(B2868="","",YEAR(B2868))</f>
        <v/>
      </c>
      <c r="L2868" s="102" t="str">
        <f aca="false">IF(N(E2868)=0,"",IF(COUNTIFS(AK_NAMA,C2868,AK_KAT,"KAS")+COUNTIFS(AK_NAMA,D2868,AK_KAT,"KAS")&lt;&gt;1,"",IF(COUNTIFS(AK_NAMA,C2868,AK_KAT,"KAS")=1,D2868,C2868)))</f>
        <v/>
      </c>
      <c r="M2868" s="103" t="n">
        <f aca="false">IF(L2868="",0,IF(L2868=D2868,E2868,-E2868))</f>
        <v>0</v>
      </c>
      <c r="N2868" s="102" t="str">
        <f aca="false">IF(L2868="","",IFERROR(INDEX(AK_BARIS,MATCH(L2868,AK_NAMA,0)),"?"))</f>
        <v/>
      </c>
      <c r="O2868" s="102" t="str">
        <f aca="false">IF(C2868="","",IFERROR(INDEX(AK_KEL,MATCH(C2868,AK_NAMA,0)),"?"))</f>
        <v/>
      </c>
      <c r="P2868" s="102" t="str">
        <f aca="false">IF(D2868="","",IFERROR(INDEX(AK_KEL,MATCH(D2868,AK_NAMA,0)),"?"))</f>
        <v/>
      </c>
      <c r="Q2868" s="102" t="n">
        <f aca="false">N(Q2867)+IF(AND(N(E2868)&lt;&gt;0,K2868=TAHUN,N(J2868)&lt;=BLN,OR(C2868=BB_AKUN,D2868=BB_AKUN)),1,0)</f>
        <v>877</v>
      </c>
      <c r="R2868" s="104" t="str">
        <f aca="false">IF(OR(C2868&amp;D2868="",N(E2868)=0),"",IF(OR(O2868="?",P2868="?"),"⚠ akun tidak dikenal",IF(C2868=D2868,"⚠ debet = kredit","")))</f>
        <v/>
      </c>
    </row>
    <row r="2869" customFormat="false" ht="15" hidden="false" customHeight="false" outlineLevel="0" collapsed="false">
      <c r="A2869" s="5"/>
      <c r="B2869" s="83"/>
      <c r="C2869" s="5"/>
      <c r="D2869" s="5"/>
      <c r="E2869" s="44"/>
      <c r="F2869" s="5"/>
      <c r="G2869" s="5"/>
      <c r="H2869" s="5"/>
      <c r="I2869" s="5"/>
      <c r="J2869" s="102" t="str">
        <f aca="false">IF(B2869="","",MONTH(B2869))</f>
        <v/>
      </c>
      <c r="K2869" s="102" t="str">
        <f aca="false">IF(B2869="","",YEAR(B2869))</f>
        <v/>
      </c>
      <c r="L2869" s="102" t="str">
        <f aca="false">IF(N(E2869)=0,"",IF(COUNTIFS(AK_NAMA,C2869,AK_KAT,"KAS")+COUNTIFS(AK_NAMA,D2869,AK_KAT,"KAS")&lt;&gt;1,"",IF(COUNTIFS(AK_NAMA,C2869,AK_KAT,"KAS")=1,D2869,C2869)))</f>
        <v/>
      </c>
      <c r="M2869" s="103" t="n">
        <f aca="false">IF(L2869="",0,IF(L2869=D2869,E2869,-E2869))</f>
        <v>0</v>
      </c>
      <c r="N2869" s="102" t="str">
        <f aca="false">IF(L2869="","",IFERROR(INDEX(AK_BARIS,MATCH(L2869,AK_NAMA,0)),"?"))</f>
        <v/>
      </c>
      <c r="O2869" s="102" t="str">
        <f aca="false">IF(C2869="","",IFERROR(INDEX(AK_KEL,MATCH(C2869,AK_NAMA,0)),"?"))</f>
        <v/>
      </c>
      <c r="P2869" s="102" t="str">
        <f aca="false">IF(D2869="","",IFERROR(INDEX(AK_KEL,MATCH(D2869,AK_NAMA,0)),"?"))</f>
        <v/>
      </c>
      <c r="Q2869" s="102" t="n">
        <f aca="false">N(Q2868)+IF(AND(N(E2869)&lt;&gt;0,K2869=TAHUN,N(J2869)&lt;=BLN,OR(C2869=BB_AKUN,D2869=BB_AKUN)),1,0)</f>
        <v>877</v>
      </c>
      <c r="R2869" s="104" t="str">
        <f aca="false">IF(OR(C2869&amp;D2869="",N(E2869)=0),"",IF(OR(O2869="?",P2869="?"),"⚠ akun tidak dikenal",IF(C2869=D2869,"⚠ debet = kredit","")))</f>
        <v/>
      </c>
    </row>
    <row r="2870" customFormat="false" ht="15" hidden="false" customHeight="false" outlineLevel="0" collapsed="false">
      <c r="A2870" s="5"/>
      <c r="B2870" s="83"/>
      <c r="C2870" s="5"/>
      <c r="D2870" s="5"/>
      <c r="E2870" s="44"/>
      <c r="F2870" s="5"/>
      <c r="G2870" s="5"/>
      <c r="H2870" s="5"/>
      <c r="I2870" s="5"/>
      <c r="J2870" s="102" t="str">
        <f aca="false">IF(B2870="","",MONTH(B2870))</f>
        <v/>
      </c>
      <c r="K2870" s="102" t="str">
        <f aca="false">IF(B2870="","",YEAR(B2870))</f>
        <v/>
      </c>
      <c r="L2870" s="102" t="str">
        <f aca="false">IF(N(E2870)=0,"",IF(COUNTIFS(AK_NAMA,C2870,AK_KAT,"KAS")+COUNTIFS(AK_NAMA,D2870,AK_KAT,"KAS")&lt;&gt;1,"",IF(COUNTIFS(AK_NAMA,C2870,AK_KAT,"KAS")=1,D2870,C2870)))</f>
        <v/>
      </c>
      <c r="M2870" s="103" t="n">
        <f aca="false">IF(L2870="",0,IF(L2870=D2870,E2870,-E2870))</f>
        <v>0</v>
      </c>
      <c r="N2870" s="102" t="str">
        <f aca="false">IF(L2870="","",IFERROR(INDEX(AK_BARIS,MATCH(L2870,AK_NAMA,0)),"?"))</f>
        <v/>
      </c>
      <c r="O2870" s="102" t="str">
        <f aca="false">IF(C2870="","",IFERROR(INDEX(AK_KEL,MATCH(C2870,AK_NAMA,0)),"?"))</f>
        <v/>
      </c>
      <c r="P2870" s="102" t="str">
        <f aca="false">IF(D2870="","",IFERROR(INDEX(AK_KEL,MATCH(D2870,AK_NAMA,0)),"?"))</f>
        <v/>
      </c>
      <c r="Q2870" s="102" t="n">
        <f aca="false">N(Q2869)+IF(AND(N(E2870)&lt;&gt;0,K2870=TAHUN,N(J2870)&lt;=BLN,OR(C2870=BB_AKUN,D2870=BB_AKUN)),1,0)</f>
        <v>877</v>
      </c>
      <c r="R2870" s="104" t="str">
        <f aca="false">IF(OR(C2870&amp;D2870="",N(E2870)=0),"",IF(OR(O2870="?",P2870="?"),"⚠ akun tidak dikenal",IF(C2870=D2870,"⚠ debet = kredit","")))</f>
        <v/>
      </c>
    </row>
    <row r="2871" customFormat="false" ht="15" hidden="false" customHeight="false" outlineLevel="0" collapsed="false">
      <c r="A2871" s="5"/>
      <c r="B2871" s="83"/>
      <c r="C2871" s="5"/>
      <c r="D2871" s="5"/>
      <c r="E2871" s="44"/>
      <c r="F2871" s="5"/>
      <c r="G2871" s="5"/>
      <c r="H2871" s="5"/>
      <c r="I2871" s="5"/>
      <c r="J2871" s="102" t="str">
        <f aca="false">IF(B2871="","",MONTH(B2871))</f>
        <v/>
      </c>
      <c r="K2871" s="102" t="str">
        <f aca="false">IF(B2871="","",YEAR(B2871))</f>
        <v/>
      </c>
      <c r="L2871" s="102" t="str">
        <f aca="false">IF(N(E2871)=0,"",IF(COUNTIFS(AK_NAMA,C2871,AK_KAT,"KAS")+COUNTIFS(AK_NAMA,D2871,AK_KAT,"KAS")&lt;&gt;1,"",IF(COUNTIFS(AK_NAMA,C2871,AK_KAT,"KAS")=1,D2871,C2871)))</f>
        <v/>
      </c>
      <c r="M2871" s="103" t="n">
        <f aca="false">IF(L2871="",0,IF(L2871=D2871,E2871,-E2871))</f>
        <v>0</v>
      </c>
      <c r="N2871" s="102" t="str">
        <f aca="false">IF(L2871="","",IFERROR(INDEX(AK_BARIS,MATCH(L2871,AK_NAMA,0)),"?"))</f>
        <v/>
      </c>
      <c r="O2871" s="102" t="str">
        <f aca="false">IF(C2871="","",IFERROR(INDEX(AK_KEL,MATCH(C2871,AK_NAMA,0)),"?"))</f>
        <v/>
      </c>
      <c r="P2871" s="102" t="str">
        <f aca="false">IF(D2871="","",IFERROR(INDEX(AK_KEL,MATCH(D2871,AK_NAMA,0)),"?"))</f>
        <v/>
      </c>
      <c r="Q2871" s="102" t="n">
        <f aca="false">N(Q2870)+IF(AND(N(E2871)&lt;&gt;0,K2871=TAHUN,N(J2871)&lt;=BLN,OR(C2871=BB_AKUN,D2871=BB_AKUN)),1,0)</f>
        <v>877</v>
      </c>
      <c r="R2871" s="104" t="str">
        <f aca="false">IF(OR(C2871&amp;D2871="",N(E2871)=0),"",IF(OR(O2871="?",P2871="?"),"⚠ akun tidak dikenal",IF(C2871=D2871,"⚠ debet = kredit","")))</f>
        <v/>
      </c>
    </row>
    <row r="2872" customFormat="false" ht="15" hidden="false" customHeight="false" outlineLevel="0" collapsed="false">
      <c r="A2872" s="5"/>
      <c r="B2872" s="83"/>
      <c r="C2872" s="5"/>
      <c r="D2872" s="5"/>
      <c r="E2872" s="44"/>
      <c r="F2872" s="5"/>
      <c r="G2872" s="5"/>
      <c r="H2872" s="5"/>
      <c r="I2872" s="5"/>
      <c r="J2872" s="102" t="str">
        <f aca="false">IF(B2872="","",MONTH(B2872))</f>
        <v/>
      </c>
      <c r="K2872" s="102" t="str">
        <f aca="false">IF(B2872="","",YEAR(B2872))</f>
        <v/>
      </c>
      <c r="L2872" s="102" t="str">
        <f aca="false">IF(N(E2872)=0,"",IF(COUNTIFS(AK_NAMA,C2872,AK_KAT,"KAS")+COUNTIFS(AK_NAMA,D2872,AK_KAT,"KAS")&lt;&gt;1,"",IF(COUNTIFS(AK_NAMA,C2872,AK_KAT,"KAS")=1,D2872,C2872)))</f>
        <v/>
      </c>
      <c r="M2872" s="103" t="n">
        <f aca="false">IF(L2872="",0,IF(L2872=D2872,E2872,-E2872))</f>
        <v>0</v>
      </c>
      <c r="N2872" s="102" t="str">
        <f aca="false">IF(L2872="","",IFERROR(INDEX(AK_BARIS,MATCH(L2872,AK_NAMA,0)),"?"))</f>
        <v/>
      </c>
      <c r="O2872" s="102" t="str">
        <f aca="false">IF(C2872="","",IFERROR(INDEX(AK_KEL,MATCH(C2872,AK_NAMA,0)),"?"))</f>
        <v/>
      </c>
      <c r="P2872" s="102" t="str">
        <f aca="false">IF(D2872="","",IFERROR(INDEX(AK_KEL,MATCH(D2872,AK_NAMA,0)),"?"))</f>
        <v/>
      </c>
      <c r="Q2872" s="102" t="n">
        <f aca="false">N(Q2871)+IF(AND(N(E2872)&lt;&gt;0,K2872=TAHUN,N(J2872)&lt;=BLN,OR(C2872=BB_AKUN,D2872=BB_AKUN)),1,0)</f>
        <v>877</v>
      </c>
      <c r="R2872" s="104" t="str">
        <f aca="false">IF(OR(C2872&amp;D2872="",N(E2872)=0),"",IF(OR(O2872="?",P2872="?"),"⚠ akun tidak dikenal",IF(C2872=D2872,"⚠ debet = kredit","")))</f>
        <v/>
      </c>
    </row>
    <row r="2873" customFormat="false" ht="15" hidden="false" customHeight="false" outlineLevel="0" collapsed="false">
      <c r="A2873" s="5"/>
      <c r="B2873" s="83"/>
      <c r="C2873" s="5"/>
      <c r="D2873" s="5"/>
      <c r="E2873" s="44"/>
      <c r="F2873" s="5"/>
      <c r="G2873" s="5"/>
      <c r="H2873" s="5"/>
      <c r="I2873" s="5"/>
      <c r="J2873" s="102" t="str">
        <f aca="false">IF(B2873="","",MONTH(B2873))</f>
        <v/>
      </c>
      <c r="K2873" s="102" t="str">
        <f aca="false">IF(B2873="","",YEAR(B2873))</f>
        <v/>
      </c>
      <c r="L2873" s="102" t="str">
        <f aca="false">IF(N(E2873)=0,"",IF(COUNTIFS(AK_NAMA,C2873,AK_KAT,"KAS")+COUNTIFS(AK_NAMA,D2873,AK_KAT,"KAS")&lt;&gt;1,"",IF(COUNTIFS(AK_NAMA,C2873,AK_KAT,"KAS")=1,D2873,C2873)))</f>
        <v/>
      </c>
      <c r="M2873" s="103" t="n">
        <f aca="false">IF(L2873="",0,IF(L2873=D2873,E2873,-E2873))</f>
        <v>0</v>
      </c>
      <c r="N2873" s="102" t="str">
        <f aca="false">IF(L2873="","",IFERROR(INDEX(AK_BARIS,MATCH(L2873,AK_NAMA,0)),"?"))</f>
        <v/>
      </c>
      <c r="O2873" s="102" t="str">
        <f aca="false">IF(C2873="","",IFERROR(INDEX(AK_KEL,MATCH(C2873,AK_NAMA,0)),"?"))</f>
        <v/>
      </c>
      <c r="P2873" s="102" t="str">
        <f aca="false">IF(D2873="","",IFERROR(INDEX(AK_KEL,MATCH(D2873,AK_NAMA,0)),"?"))</f>
        <v/>
      </c>
      <c r="Q2873" s="102" t="n">
        <f aca="false">N(Q2872)+IF(AND(N(E2873)&lt;&gt;0,K2873=TAHUN,N(J2873)&lt;=BLN,OR(C2873=BB_AKUN,D2873=BB_AKUN)),1,0)</f>
        <v>877</v>
      </c>
      <c r="R2873" s="104" t="str">
        <f aca="false">IF(OR(C2873&amp;D2873="",N(E2873)=0),"",IF(OR(O2873="?",P2873="?"),"⚠ akun tidak dikenal",IF(C2873=D2873,"⚠ debet = kredit","")))</f>
        <v/>
      </c>
    </row>
    <row r="2874" customFormat="false" ht="15" hidden="false" customHeight="false" outlineLevel="0" collapsed="false">
      <c r="A2874" s="5"/>
      <c r="B2874" s="83"/>
      <c r="C2874" s="5"/>
      <c r="D2874" s="5"/>
      <c r="E2874" s="44"/>
      <c r="F2874" s="5"/>
      <c r="G2874" s="5"/>
      <c r="H2874" s="5"/>
      <c r="I2874" s="5"/>
      <c r="J2874" s="102" t="str">
        <f aca="false">IF(B2874="","",MONTH(B2874))</f>
        <v/>
      </c>
      <c r="K2874" s="102" t="str">
        <f aca="false">IF(B2874="","",YEAR(B2874))</f>
        <v/>
      </c>
      <c r="L2874" s="102" t="str">
        <f aca="false">IF(N(E2874)=0,"",IF(COUNTIFS(AK_NAMA,C2874,AK_KAT,"KAS")+COUNTIFS(AK_NAMA,D2874,AK_KAT,"KAS")&lt;&gt;1,"",IF(COUNTIFS(AK_NAMA,C2874,AK_KAT,"KAS")=1,D2874,C2874)))</f>
        <v/>
      </c>
      <c r="M2874" s="103" t="n">
        <f aca="false">IF(L2874="",0,IF(L2874=D2874,E2874,-E2874))</f>
        <v>0</v>
      </c>
      <c r="N2874" s="102" t="str">
        <f aca="false">IF(L2874="","",IFERROR(INDEX(AK_BARIS,MATCH(L2874,AK_NAMA,0)),"?"))</f>
        <v/>
      </c>
      <c r="O2874" s="102" t="str">
        <f aca="false">IF(C2874="","",IFERROR(INDEX(AK_KEL,MATCH(C2874,AK_NAMA,0)),"?"))</f>
        <v/>
      </c>
      <c r="P2874" s="102" t="str">
        <f aca="false">IF(D2874="","",IFERROR(INDEX(AK_KEL,MATCH(D2874,AK_NAMA,0)),"?"))</f>
        <v/>
      </c>
      <c r="Q2874" s="102" t="n">
        <f aca="false">N(Q2873)+IF(AND(N(E2874)&lt;&gt;0,K2874=TAHUN,N(J2874)&lt;=BLN,OR(C2874=BB_AKUN,D2874=BB_AKUN)),1,0)</f>
        <v>877</v>
      </c>
      <c r="R2874" s="104" t="str">
        <f aca="false">IF(OR(C2874&amp;D2874="",N(E2874)=0),"",IF(OR(O2874="?",P2874="?"),"⚠ akun tidak dikenal",IF(C2874=D2874,"⚠ debet = kredit","")))</f>
        <v/>
      </c>
    </row>
    <row r="2875" customFormat="false" ht="15" hidden="false" customHeight="false" outlineLevel="0" collapsed="false">
      <c r="A2875" s="5"/>
      <c r="B2875" s="83"/>
      <c r="C2875" s="5"/>
      <c r="D2875" s="5"/>
      <c r="E2875" s="44"/>
      <c r="F2875" s="5"/>
      <c r="G2875" s="5"/>
      <c r="H2875" s="5"/>
      <c r="I2875" s="5"/>
      <c r="J2875" s="102" t="str">
        <f aca="false">IF(B2875="","",MONTH(B2875))</f>
        <v/>
      </c>
      <c r="K2875" s="102" t="str">
        <f aca="false">IF(B2875="","",YEAR(B2875))</f>
        <v/>
      </c>
      <c r="L2875" s="102" t="str">
        <f aca="false">IF(N(E2875)=0,"",IF(COUNTIFS(AK_NAMA,C2875,AK_KAT,"KAS")+COUNTIFS(AK_NAMA,D2875,AK_KAT,"KAS")&lt;&gt;1,"",IF(COUNTIFS(AK_NAMA,C2875,AK_KAT,"KAS")=1,D2875,C2875)))</f>
        <v/>
      </c>
      <c r="M2875" s="103" t="n">
        <f aca="false">IF(L2875="",0,IF(L2875=D2875,E2875,-E2875))</f>
        <v>0</v>
      </c>
      <c r="N2875" s="102" t="str">
        <f aca="false">IF(L2875="","",IFERROR(INDEX(AK_BARIS,MATCH(L2875,AK_NAMA,0)),"?"))</f>
        <v/>
      </c>
      <c r="O2875" s="102" t="str">
        <f aca="false">IF(C2875="","",IFERROR(INDEX(AK_KEL,MATCH(C2875,AK_NAMA,0)),"?"))</f>
        <v/>
      </c>
      <c r="P2875" s="102" t="str">
        <f aca="false">IF(D2875="","",IFERROR(INDEX(AK_KEL,MATCH(D2875,AK_NAMA,0)),"?"))</f>
        <v/>
      </c>
      <c r="Q2875" s="102" t="n">
        <f aca="false">N(Q2874)+IF(AND(N(E2875)&lt;&gt;0,K2875=TAHUN,N(J2875)&lt;=BLN,OR(C2875=BB_AKUN,D2875=BB_AKUN)),1,0)</f>
        <v>877</v>
      </c>
      <c r="R2875" s="104" t="str">
        <f aca="false">IF(OR(C2875&amp;D2875="",N(E2875)=0),"",IF(OR(O2875="?",P2875="?"),"⚠ akun tidak dikenal",IF(C2875=D2875,"⚠ debet = kredit","")))</f>
        <v/>
      </c>
    </row>
    <row r="2876" customFormat="false" ht="15" hidden="false" customHeight="false" outlineLevel="0" collapsed="false">
      <c r="A2876" s="5"/>
      <c r="B2876" s="83"/>
      <c r="C2876" s="5"/>
      <c r="D2876" s="5"/>
      <c r="E2876" s="44"/>
      <c r="F2876" s="5"/>
      <c r="G2876" s="5"/>
      <c r="H2876" s="5"/>
      <c r="I2876" s="5"/>
      <c r="J2876" s="102" t="str">
        <f aca="false">IF(B2876="","",MONTH(B2876))</f>
        <v/>
      </c>
      <c r="K2876" s="102" t="str">
        <f aca="false">IF(B2876="","",YEAR(B2876))</f>
        <v/>
      </c>
      <c r="L2876" s="102" t="str">
        <f aca="false">IF(N(E2876)=0,"",IF(COUNTIFS(AK_NAMA,C2876,AK_KAT,"KAS")+COUNTIFS(AK_NAMA,D2876,AK_KAT,"KAS")&lt;&gt;1,"",IF(COUNTIFS(AK_NAMA,C2876,AK_KAT,"KAS")=1,D2876,C2876)))</f>
        <v/>
      </c>
      <c r="M2876" s="103" t="n">
        <f aca="false">IF(L2876="",0,IF(L2876=D2876,E2876,-E2876))</f>
        <v>0</v>
      </c>
      <c r="N2876" s="102" t="str">
        <f aca="false">IF(L2876="","",IFERROR(INDEX(AK_BARIS,MATCH(L2876,AK_NAMA,0)),"?"))</f>
        <v/>
      </c>
      <c r="O2876" s="102" t="str">
        <f aca="false">IF(C2876="","",IFERROR(INDEX(AK_KEL,MATCH(C2876,AK_NAMA,0)),"?"))</f>
        <v/>
      </c>
      <c r="P2876" s="102" t="str">
        <f aca="false">IF(D2876="","",IFERROR(INDEX(AK_KEL,MATCH(D2876,AK_NAMA,0)),"?"))</f>
        <v/>
      </c>
      <c r="Q2876" s="102" t="n">
        <f aca="false">N(Q2875)+IF(AND(N(E2876)&lt;&gt;0,K2876=TAHUN,N(J2876)&lt;=BLN,OR(C2876=BB_AKUN,D2876=BB_AKUN)),1,0)</f>
        <v>877</v>
      </c>
      <c r="R2876" s="104" t="str">
        <f aca="false">IF(OR(C2876&amp;D2876="",N(E2876)=0),"",IF(OR(O2876="?",P2876="?"),"⚠ akun tidak dikenal",IF(C2876=D2876,"⚠ debet = kredit","")))</f>
        <v/>
      </c>
    </row>
    <row r="2877" customFormat="false" ht="15" hidden="false" customHeight="false" outlineLevel="0" collapsed="false">
      <c r="A2877" s="5"/>
      <c r="B2877" s="83"/>
      <c r="C2877" s="5"/>
      <c r="D2877" s="5"/>
      <c r="E2877" s="44"/>
      <c r="F2877" s="5"/>
      <c r="G2877" s="5"/>
      <c r="H2877" s="5"/>
      <c r="I2877" s="5"/>
      <c r="J2877" s="102" t="str">
        <f aca="false">IF(B2877="","",MONTH(B2877))</f>
        <v/>
      </c>
      <c r="K2877" s="102" t="str">
        <f aca="false">IF(B2877="","",YEAR(B2877))</f>
        <v/>
      </c>
      <c r="L2877" s="102" t="str">
        <f aca="false">IF(N(E2877)=0,"",IF(COUNTIFS(AK_NAMA,C2877,AK_KAT,"KAS")+COUNTIFS(AK_NAMA,D2877,AK_KAT,"KAS")&lt;&gt;1,"",IF(COUNTIFS(AK_NAMA,C2877,AK_KAT,"KAS")=1,D2877,C2877)))</f>
        <v/>
      </c>
      <c r="M2877" s="103" t="n">
        <f aca="false">IF(L2877="",0,IF(L2877=D2877,E2877,-E2877))</f>
        <v>0</v>
      </c>
      <c r="N2877" s="102" t="str">
        <f aca="false">IF(L2877="","",IFERROR(INDEX(AK_BARIS,MATCH(L2877,AK_NAMA,0)),"?"))</f>
        <v/>
      </c>
      <c r="O2877" s="102" t="str">
        <f aca="false">IF(C2877="","",IFERROR(INDEX(AK_KEL,MATCH(C2877,AK_NAMA,0)),"?"))</f>
        <v/>
      </c>
      <c r="P2877" s="102" t="str">
        <f aca="false">IF(D2877="","",IFERROR(INDEX(AK_KEL,MATCH(D2877,AK_NAMA,0)),"?"))</f>
        <v/>
      </c>
      <c r="Q2877" s="102" t="n">
        <f aca="false">N(Q2876)+IF(AND(N(E2877)&lt;&gt;0,K2877=TAHUN,N(J2877)&lt;=BLN,OR(C2877=BB_AKUN,D2877=BB_AKUN)),1,0)</f>
        <v>877</v>
      </c>
      <c r="R2877" s="104" t="str">
        <f aca="false">IF(OR(C2877&amp;D2877="",N(E2877)=0),"",IF(OR(O2877="?",P2877="?"),"⚠ akun tidak dikenal",IF(C2877=D2877,"⚠ debet = kredit","")))</f>
        <v/>
      </c>
    </row>
    <row r="2878" customFormat="false" ht="15" hidden="false" customHeight="false" outlineLevel="0" collapsed="false">
      <c r="A2878" s="5"/>
      <c r="B2878" s="83"/>
      <c r="C2878" s="5"/>
      <c r="D2878" s="5"/>
      <c r="E2878" s="44"/>
      <c r="F2878" s="5"/>
      <c r="G2878" s="5"/>
      <c r="H2878" s="5"/>
      <c r="I2878" s="5"/>
      <c r="J2878" s="102" t="str">
        <f aca="false">IF(B2878="","",MONTH(B2878))</f>
        <v/>
      </c>
      <c r="K2878" s="102" t="str">
        <f aca="false">IF(B2878="","",YEAR(B2878))</f>
        <v/>
      </c>
      <c r="L2878" s="102" t="str">
        <f aca="false">IF(N(E2878)=0,"",IF(COUNTIFS(AK_NAMA,C2878,AK_KAT,"KAS")+COUNTIFS(AK_NAMA,D2878,AK_KAT,"KAS")&lt;&gt;1,"",IF(COUNTIFS(AK_NAMA,C2878,AK_KAT,"KAS")=1,D2878,C2878)))</f>
        <v/>
      </c>
      <c r="M2878" s="103" t="n">
        <f aca="false">IF(L2878="",0,IF(L2878=D2878,E2878,-E2878))</f>
        <v>0</v>
      </c>
      <c r="N2878" s="102" t="str">
        <f aca="false">IF(L2878="","",IFERROR(INDEX(AK_BARIS,MATCH(L2878,AK_NAMA,0)),"?"))</f>
        <v/>
      </c>
      <c r="O2878" s="102" t="str">
        <f aca="false">IF(C2878="","",IFERROR(INDEX(AK_KEL,MATCH(C2878,AK_NAMA,0)),"?"))</f>
        <v/>
      </c>
      <c r="P2878" s="102" t="str">
        <f aca="false">IF(D2878="","",IFERROR(INDEX(AK_KEL,MATCH(D2878,AK_NAMA,0)),"?"))</f>
        <v/>
      </c>
      <c r="Q2878" s="102" t="n">
        <f aca="false">N(Q2877)+IF(AND(N(E2878)&lt;&gt;0,K2878=TAHUN,N(J2878)&lt;=BLN,OR(C2878=BB_AKUN,D2878=BB_AKUN)),1,0)</f>
        <v>877</v>
      </c>
      <c r="R2878" s="104" t="str">
        <f aca="false">IF(OR(C2878&amp;D2878="",N(E2878)=0),"",IF(OR(O2878="?",P2878="?"),"⚠ akun tidak dikenal",IF(C2878=D2878,"⚠ debet = kredit","")))</f>
        <v/>
      </c>
    </row>
    <row r="2879" customFormat="false" ht="15" hidden="false" customHeight="false" outlineLevel="0" collapsed="false">
      <c r="A2879" s="5"/>
      <c r="B2879" s="83"/>
      <c r="C2879" s="5"/>
      <c r="D2879" s="5"/>
      <c r="E2879" s="44"/>
      <c r="F2879" s="5"/>
      <c r="G2879" s="5"/>
      <c r="H2879" s="5"/>
      <c r="I2879" s="5"/>
      <c r="J2879" s="102" t="str">
        <f aca="false">IF(B2879="","",MONTH(B2879))</f>
        <v/>
      </c>
      <c r="K2879" s="102" t="str">
        <f aca="false">IF(B2879="","",YEAR(B2879))</f>
        <v/>
      </c>
      <c r="L2879" s="102" t="str">
        <f aca="false">IF(N(E2879)=0,"",IF(COUNTIFS(AK_NAMA,C2879,AK_KAT,"KAS")+COUNTIFS(AK_NAMA,D2879,AK_KAT,"KAS")&lt;&gt;1,"",IF(COUNTIFS(AK_NAMA,C2879,AK_KAT,"KAS")=1,D2879,C2879)))</f>
        <v/>
      </c>
      <c r="M2879" s="103" t="n">
        <f aca="false">IF(L2879="",0,IF(L2879=D2879,E2879,-E2879))</f>
        <v>0</v>
      </c>
      <c r="N2879" s="102" t="str">
        <f aca="false">IF(L2879="","",IFERROR(INDEX(AK_BARIS,MATCH(L2879,AK_NAMA,0)),"?"))</f>
        <v/>
      </c>
      <c r="O2879" s="102" t="str">
        <f aca="false">IF(C2879="","",IFERROR(INDEX(AK_KEL,MATCH(C2879,AK_NAMA,0)),"?"))</f>
        <v/>
      </c>
      <c r="P2879" s="102" t="str">
        <f aca="false">IF(D2879="","",IFERROR(INDEX(AK_KEL,MATCH(D2879,AK_NAMA,0)),"?"))</f>
        <v/>
      </c>
      <c r="Q2879" s="102" t="n">
        <f aca="false">N(Q2878)+IF(AND(N(E2879)&lt;&gt;0,K2879=TAHUN,N(J2879)&lt;=BLN,OR(C2879=BB_AKUN,D2879=BB_AKUN)),1,0)</f>
        <v>877</v>
      </c>
      <c r="R2879" s="104" t="str">
        <f aca="false">IF(OR(C2879&amp;D2879="",N(E2879)=0),"",IF(OR(O2879="?",P2879="?"),"⚠ akun tidak dikenal",IF(C2879=D2879,"⚠ debet = kredit","")))</f>
        <v/>
      </c>
    </row>
    <row r="2880" customFormat="false" ht="15" hidden="false" customHeight="false" outlineLevel="0" collapsed="false">
      <c r="A2880" s="5"/>
      <c r="B2880" s="83"/>
      <c r="C2880" s="5"/>
      <c r="D2880" s="5"/>
      <c r="E2880" s="44"/>
      <c r="F2880" s="5"/>
      <c r="G2880" s="5"/>
      <c r="H2880" s="5"/>
      <c r="I2880" s="5"/>
      <c r="J2880" s="102" t="str">
        <f aca="false">IF(B2880="","",MONTH(B2880))</f>
        <v/>
      </c>
      <c r="K2880" s="102" t="str">
        <f aca="false">IF(B2880="","",YEAR(B2880))</f>
        <v/>
      </c>
      <c r="L2880" s="102" t="str">
        <f aca="false">IF(N(E2880)=0,"",IF(COUNTIFS(AK_NAMA,C2880,AK_KAT,"KAS")+COUNTIFS(AK_NAMA,D2880,AK_KAT,"KAS")&lt;&gt;1,"",IF(COUNTIFS(AK_NAMA,C2880,AK_KAT,"KAS")=1,D2880,C2880)))</f>
        <v/>
      </c>
      <c r="M2880" s="103" t="n">
        <f aca="false">IF(L2880="",0,IF(L2880=D2880,E2880,-E2880))</f>
        <v>0</v>
      </c>
      <c r="N2880" s="102" t="str">
        <f aca="false">IF(L2880="","",IFERROR(INDEX(AK_BARIS,MATCH(L2880,AK_NAMA,0)),"?"))</f>
        <v/>
      </c>
      <c r="O2880" s="102" t="str">
        <f aca="false">IF(C2880="","",IFERROR(INDEX(AK_KEL,MATCH(C2880,AK_NAMA,0)),"?"))</f>
        <v/>
      </c>
      <c r="P2880" s="102" t="str">
        <f aca="false">IF(D2880="","",IFERROR(INDEX(AK_KEL,MATCH(D2880,AK_NAMA,0)),"?"))</f>
        <v/>
      </c>
      <c r="Q2880" s="102" t="n">
        <f aca="false">N(Q2879)+IF(AND(N(E2880)&lt;&gt;0,K2880=TAHUN,N(J2880)&lt;=BLN,OR(C2880=BB_AKUN,D2880=BB_AKUN)),1,0)</f>
        <v>877</v>
      </c>
      <c r="R2880" s="104" t="str">
        <f aca="false">IF(OR(C2880&amp;D2880="",N(E2880)=0),"",IF(OR(O2880="?",P2880="?"),"⚠ akun tidak dikenal",IF(C2880=D2880,"⚠ debet = kredit","")))</f>
        <v/>
      </c>
    </row>
    <row r="2881" customFormat="false" ht="15" hidden="false" customHeight="false" outlineLevel="0" collapsed="false">
      <c r="A2881" s="5"/>
      <c r="B2881" s="83"/>
      <c r="C2881" s="5"/>
      <c r="D2881" s="5"/>
      <c r="E2881" s="44"/>
      <c r="F2881" s="5"/>
      <c r="G2881" s="5"/>
      <c r="H2881" s="5"/>
      <c r="I2881" s="5"/>
      <c r="J2881" s="102" t="str">
        <f aca="false">IF(B2881="","",MONTH(B2881))</f>
        <v/>
      </c>
      <c r="K2881" s="102" t="str">
        <f aca="false">IF(B2881="","",YEAR(B2881))</f>
        <v/>
      </c>
      <c r="L2881" s="102" t="str">
        <f aca="false">IF(N(E2881)=0,"",IF(COUNTIFS(AK_NAMA,C2881,AK_KAT,"KAS")+COUNTIFS(AK_NAMA,D2881,AK_KAT,"KAS")&lt;&gt;1,"",IF(COUNTIFS(AK_NAMA,C2881,AK_KAT,"KAS")=1,D2881,C2881)))</f>
        <v/>
      </c>
      <c r="M2881" s="103" t="n">
        <f aca="false">IF(L2881="",0,IF(L2881=D2881,E2881,-E2881))</f>
        <v>0</v>
      </c>
      <c r="N2881" s="102" t="str">
        <f aca="false">IF(L2881="","",IFERROR(INDEX(AK_BARIS,MATCH(L2881,AK_NAMA,0)),"?"))</f>
        <v/>
      </c>
      <c r="O2881" s="102" t="str">
        <f aca="false">IF(C2881="","",IFERROR(INDEX(AK_KEL,MATCH(C2881,AK_NAMA,0)),"?"))</f>
        <v/>
      </c>
      <c r="P2881" s="102" t="str">
        <f aca="false">IF(D2881="","",IFERROR(INDEX(AK_KEL,MATCH(D2881,AK_NAMA,0)),"?"))</f>
        <v/>
      </c>
      <c r="Q2881" s="102" t="n">
        <f aca="false">N(Q2880)+IF(AND(N(E2881)&lt;&gt;0,K2881=TAHUN,N(J2881)&lt;=BLN,OR(C2881=BB_AKUN,D2881=BB_AKUN)),1,0)</f>
        <v>877</v>
      </c>
      <c r="R2881" s="104" t="str">
        <f aca="false">IF(OR(C2881&amp;D2881="",N(E2881)=0),"",IF(OR(O2881="?",P2881="?"),"⚠ akun tidak dikenal",IF(C2881=D2881,"⚠ debet = kredit","")))</f>
        <v/>
      </c>
    </row>
    <row r="2882" customFormat="false" ht="15" hidden="false" customHeight="false" outlineLevel="0" collapsed="false">
      <c r="A2882" s="5"/>
      <c r="B2882" s="83"/>
      <c r="C2882" s="5"/>
      <c r="D2882" s="5"/>
      <c r="E2882" s="44"/>
      <c r="F2882" s="5"/>
      <c r="G2882" s="5"/>
      <c r="H2882" s="5"/>
      <c r="I2882" s="5"/>
      <c r="J2882" s="102" t="str">
        <f aca="false">IF(B2882="","",MONTH(B2882))</f>
        <v/>
      </c>
      <c r="K2882" s="102" t="str">
        <f aca="false">IF(B2882="","",YEAR(B2882))</f>
        <v/>
      </c>
      <c r="L2882" s="102" t="str">
        <f aca="false">IF(N(E2882)=0,"",IF(COUNTIFS(AK_NAMA,C2882,AK_KAT,"KAS")+COUNTIFS(AK_NAMA,D2882,AK_KAT,"KAS")&lt;&gt;1,"",IF(COUNTIFS(AK_NAMA,C2882,AK_KAT,"KAS")=1,D2882,C2882)))</f>
        <v/>
      </c>
      <c r="M2882" s="103" t="n">
        <f aca="false">IF(L2882="",0,IF(L2882=D2882,E2882,-E2882))</f>
        <v>0</v>
      </c>
      <c r="N2882" s="102" t="str">
        <f aca="false">IF(L2882="","",IFERROR(INDEX(AK_BARIS,MATCH(L2882,AK_NAMA,0)),"?"))</f>
        <v/>
      </c>
      <c r="O2882" s="102" t="str">
        <f aca="false">IF(C2882="","",IFERROR(INDEX(AK_KEL,MATCH(C2882,AK_NAMA,0)),"?"))</f>
        <v/>
      </c>
      <c r="P2882" s="102" t="str">
        <f aca="false">IF(D2882="","",IFERROR(INDEX(AK_KEL,MATCH(D2882,AK_NAMA,0)),"?"))</f>
        <v/>
      </c>
      <c r="Q2882" s="102" t="n">
        <f aca="false">N(Q2881)+IF(AND(N(E2882)&lt;&gt;0,K2882=TAHUN,N(J2882)&lt;=BLN,OR(C2882=BB_AKUN,D2882=BB_AKUN)),1,0)</f>
        <v>877</v>
      </c>
      <c r="R2882" s="104" t="str">
        <f aca="false">IF(OR(C2882&amp;D2882="",N(E2882)=0),"",IF(OR(O2882="?",P2882="?"),"⚠ akun tidak dikenal",IF(C2882=D2882,"⚠ debet = kredit","")))</f>
        <v/>
      </c>
    </row>
    <row r="2883" customFormat="false" ht="15" hidden="false" customHeight="false" outlineLevel="0" collapsed="false">
      <c r="A2883" s="5"/>
      <c r="B2883" s="83"/>
      <c r="C2883" s="5"/>
      <c r="D2883" s="5"/>
      <c r="E2883" s="44"/>
      <c r="F2883" s="5"/>
      <c r="G2883" s="5"/>
      <c r="H2883" s="5"/>
      <c r="I2883" s="5"/>
      <c r="J2883" s="102" t="str">
        <f aca="false">IF(B2883="","",MONTH(B2883))</f>
        <v/>
      </c>
      <c r="K2883" s="102" t="str">
        <f aca="false">IF(B2883="","",YEAR(B2883))</f>
        <v/>
      </c>
      <c r="L2883" s="102" t="str">
        <f aca="false">IF(N(E2883)=0,"",IF(COUNTIFS(AK_NAMA,C2883,AK_KAT,"KAS")+COUNTIFS(AK_NAMA,D2883,AK_KAT,"KAS")&lt;&gt;1,"",IF(COUNTIFS(AK_NAMA,C2883,AK_KAT,"KAS")=1,D2883,C2883)))</f>
        <v/>
      </c>
      <c r="M2883" s="103" t="n">
        <f aca="false">IF(L2883="",0,IF(L2883=D2883,E2883,-E2883))</f>
        <v>0</v>
      </c>
      <c r="N2883" s="102" t="str">
        <f aca="false">IF(L2883="","",IFERROR(INDEX(AK_BARIS,MATCH(L2883,AK_NAMA,0)),"?"))</f>
        <v/>
      </c>
      <c r="O2883" s="102" t="str">
        <f aca="false">IF(C2883="","",IFERROR(INDEX(AK_KEL,MATCH(C2883,AK_NAMA,0)),"?"))</f>
        <v/>
      </c>
      <c r="P2883" s="102" t="str">
        <f aca="false">IF(D2883="","",IFERROR(INDEX(AK_KEL,MATCH(D2883,AK_NAMA,0)),"?"))</f>
        <v/>
      </c>
      <c r="Q2883" s="102" t="n">
        <f aca="false">N(Q2882)+IF(AND(N(E2883)&lt;&gt;0,K2883=TAHUN,N(J2883)&lt;=BLN,OR(C2883=BB_AKUN,D2883=BB_AKUN)),1,0)</f>
        <v>877</v>
      </c>
      <c r="R2883" s="104" t="str">
        <f aca="false">IF(OR(C2883&amp;D2883="",N(E2883)=0),"",IF(OR(O2883="?",P2883="?"),"⚠ akun tidak dikenal",IF(C2883=D2883,"⚠ debet = kredit","")))</f>
        <v/>
      </c>
    </row>
    <row r="2884" customFormat="false" ht="15" hidden="false" customHeight="false" outlineLevel="0" collapsed="false">
      <c r="A2884" s="5"/>
      <c r="B2884" s="83"/>
      <c r="C2884" s="5"/>
      <c r="D2884" s="5"/>
      <c r="E2884" s="44"/>
      <c r="F2884" s="5"/>
      <c r="G2884" s="5"/>
      <c r="H2884" s="5"/>
      <c r="I2884" s="5"/>
      <c r="J2884" s="102" t="str">
        <f aca="false">IF(B2884="","",MONTH(B2884))</f>
        <v/>
      </c>
      <c r="K2884" s="102" t="str">
        <f aca="false">IF(B2884="","",YEAR(B2884))</f>
        <v/>
      </c>
      <c r="L2884" s="102" t="str">
        <f aca="false">IF(N(E2884)=0,"",IF(COUNTIFS(AK_NAMA,C2884,AK_KAT,"KAS")+COUNTIFS(AK_NAMA,D2884,AK_KAT,"KAS")&lt;&gt;1,"",IF(COUNTIFS(AK_NAMA,C2884,AK_KAT,"KAS")=1,D2884,C2884)))</f>
        <v/>
      </c>
      <c r="M2884" s="103" t="n">
        <f aca="false">IF(L2884="",0,IF(L2884=D2884,E2884,-E2884))</f>
        <v>0</v>
      </c>
      <c r="N2884" s="102" t="str">
        <f aca="false">IF(L2884="","",IFERROR(INDEX(AK_BARIS,MATCH(L2884,AK_NAMA,0)),"?"))</f>
        <v/>
      </c>
      <c r="O2884" s="102" t="str">
        <f aca="false">IF(C2884="","",IFERROR(INDEX(AK_KEL,MATCH(C2884,AK_NAMA,0)),"?"))</f>
        <v/>
      </c>
      <c r="P2884" s="102" t="str">
        <f aca="false">IF(D2884="","",IFERROR(INDEX(AK_KEL,MATCH(D2884,AK_NAMA,0)),"?"))</f>
        <v/>
      </c>
      <c r="Q2884" s="102" t="n">
        <f aca="false">N(Q2883)+IF(AND(N(E2884)&lt;&gt;0,K2884=TAHUN,N(J2884)&lt;=BLN,OR(C2884=BB_AKUN,D2884=BB_AKUN)),1,0)</f>
        <v>877</v>
      </c>
      <c r="R2884" s="104" t="str">
        <f aca="false">IF(OR(C2884&amp;D2884="",N(E2884)=0),"",IF(OR(O2884="?",P2884="?"),"⚠ akun tidak dikenal",IF(C2884=D2884,"⚠ debet = kredit","")))</f>
        <v/>
      </c>
    </row>
    <row r="2885" customFormat="false" ht="15" hidden="false" customHeight="false" outlineLevel="0" collapsed="false">
      <c r="A2885" s="5"/>
      <c r="B2885" s="83"/>
      <c r="C2885" s="5"/>
      <c r="D2885" s="5"/>
      <c r="E2885" s="44"/>
      <c r="F2885" s="5"/>
      <c r="G2885" s="5"/>
      <c r="H2885" s="5"/>
      <c r="I2885" s="5"/>
      <c r="J2885" s="102" t="str">
        <f aca="false">IF(B2885="","",MONTH(B2885))</f>
        <v/>
      </c>
      <c r="K2885" s="102" t="str">
        <f aca="false">IF(B2885="","",YEAR(B2885))</f>
        <v/>
      </c>
      <c r="L2885" s="102" t="str">
        <f aca="false">IF(N(E2885)=0,"",IF(COUNTIFS(AK_NAMA,C2885,AK_KAT,"KAS")+COUNTIFS(AK_NAMA,D2885,AK_KAT,"KAS")&lt;&gt;1,"",IF(COUNTIFS(AK_NAMA,C2885,AK_KAT,"KAS")=1,D2885,C2885)))</f>
        <v/>
      </c>
      <c r="M2885" s="103" t="n">
        <f aca="false">IF(L2885="",0,IF(L2885=D2885,E2885,-E2885))</f>
        <v>0</v>
      </c>
      <c r="N2885" s="102" t="str">
        <f aca="false">IF(L2885="","",IFERROR(INDEX(AK_BARIS,MATCH(L2885,AK_NAMA,0)),"?"))</f>
        <v/>
      </c>
      <c r="O2885" s="102" t="str">
        <f aca="false">IF(C2885="","",IFERROR(INDEX(AK_KEL,MATCH(C2885,AK_NAMA,0)),"?"))</f>
        <v/>
      </c>
      <c r="P2885" s="102" t="str">
        <f aca="false">IF(D2885="","",IFERROR(INDEX(AK_KEL,MATCH(D2885,AK_NAMA,0)),"?"))</f>
        <v/>
      </c>
      <c r="Q2885" s="102" t="n">
        <f aca="false">N(Q2884)+IF(AND(N(E2885)&lt;&gt;0,K2885=TAHUN,N(J2885)&lt;=BLN,OR(C2885=BB_AKUN,D2885=BB_AKUN)),1,0)</f>
        <v>877</v>
      </c>
      <c r="R2885" s="104" t="str">
        <f aca="false">IF(OR(C2885&amp;D2885="",N(E2885)=0),"",IF(OR(O2885="?",P2885="?"),"⚠ akun tidak dikenal",IF(C2885=D2885,"⚠ debet = kredit","")))</f>
        <v/>
      </c>
    </row>
    <row r="2886" customFormat="false" ht="15" hidden="false" customHeight="false" outlineLevel="0" collapsed="false">
      <c r="A2886" s="5"/>
      <c r="B2886" s="83"/>
      <c r="C2886" s="5"/>
      <c r="D2886" s="5"/>
      <c r="E2886" s="44"/>
      <c r="F2886" s="5"/>
      <c r="G2886" s="5"/>
      <c r="H2886" s="5"/>
      <c r="I2886" s="5"/>
      <c r="J2886" s="102" t="str">
        <f aca="false">IF(B2886="","",MONTH(B2886))</f>
        <v/>
      </c>
      <c r="K2886" s="102" t="str">
        <f aca="false">IF(B2886="","",YEAR(B2886))</f>
        <v/>
      </c>
      <c r="L2886" s="102" t="str">
        <f aca="false">IF(N(E2886)=0,"",IF(COUNTIFS(AK_NAMA,C2886,AK_KAT,"KAS")+COUNTIFS(AK_NAMA,D2886,AK_KAT,"KAS")&lt;&gt;1,"",IF(COUNTIFS(AK_NAMA,C2886,AK_KAT,"KAS")=1,D2886,C2886)))</f>
        <v/>
      </c>
      <c r="M2886" s="103" t="n">
        <f aca="false">IF(L2886="",0,IF(L2886=D2886,E2886,-E2886))</f>
        <v>0</v>
      </c>
      <c r="N2886" s="102" t="str">
        <f aca="false">IF(L2886="","",IFERROR(INDEX(AK_BARIS,MATCH(L2886,AK_NAMA,0)),"?"))</f>
        <v/>
      </c>
      <c r="O2886" s="102" t="str">
        <f aca="false">IF(C2886="","",IFERROR(INDEX(AK_KEL,MATCH(C2886,AK_NAMA,0)),"?"))</f>
        <v/>
      </c>
      <c r="P2886" s="102" t="str">
        <f aca="false">IF(D2886="","",IFERROR(INDEX(AK_KEL,MATCH(D2886,AK_NAMA,0)),"?"))</f>
        <v/>
      </c>
      <c r="Q2886" s="102" t="n">
        <f aca="false">N(Q2885)+IF(AND(N(E2886)&lt;&gt;0,K2886=TAHUN,N(J2886)&lt;=BLN,OR(C2886=BB_AKUN,D2886=BB_AKUN)),1,0)</f>
        <v>877</v>
      </c>
      <c r="R2886" s="104" t="str">
        <f aca="false">IF(OR(C2886&amp;D2886="",N(E2886)=0),"",IF(OR(O2886="?",P2886="?"),"⚠ akun tidak dikenal",IF(C2886=D2886,"⚠ debet = kredit","")))</f>
        <v/>
      </c>
    </row>
    <row r="2887" customFormat="false" ht="15" hidden="false" customHeight="false" outlineLevel="0" collapsed="false">
      <c r="A2887" s="5"/>
      <c r="B2887" s="83"/>
      <c r="C2887" s="5"/>
      <c r="D2887" s="5"/>
      <c r="E2887" s="44"/>
      <c r="F2887" s="5"/>
      <c r="G2887" s="5"/>
      <c r="H2887" s="5"/>
      <c r="I2887" s="5"/>
      <c r="J2887" s="102" t="str">
        <f aca="false">IF(B2887="","",MONTH(B2887))</f>
        <v/>
      </c>
      <c r="K2887" s="102" t="str">
        <f aca="false">IF(B2887="","",YEAR(B2887))</f>
        <v/>
      </c>
      <c r="L2887" s="102" t="str">
        <f aca="false">IF(N(E2887)=0,"",IF(COUNTIFS(AK_NAMA,C2887,AK_KAT,"KAS")+COUNTIFS(AK_NAMA,D2887,AK_KAT,"KAS")&lt;&gt;1,"",IF(COUNTIFS(AK_NAMA,C2887,AK_KAT,"KAS")=1,D2887,C2887)))</f>
        <v/>
      </c>
      <c r="M2887" s="103" t="n">
        <f aca="false">IF(L2887="",0,IF(L2887=D2887,E2887,-E2887))</f>
        <v>0</v>
      </c>
      <c r="N2887" s="102" t="str">
        <f aca="false">IF(L2887="","",IFERROR(INDEX(AK_BARIS,MATCH(L2887,AK_NAMA,0)),"?"))</f>
        <v/>
      </c>
      <c r="O2887" s="102" t="str">
        <f aca="false">IF(C2887="","",IFERROR(INDEX(AK_KEL,MATCH(C2887,AK_NAMA,0)),"?"))</f>
        <v/>
      </c>
      <c r="P2887" s="102" t="str">
        <f aca="false">IF(D2887="","",IFERROR(INDEX(AK_KEL,MATCH(D2887,AK_NAMA,0)),"?"))</f>
        <v/>
      </c>
      <c r="Q2887" s="102" t="n">
        <f aca="false">N(Q2886)+IF(AND(N(E2887)&lt;&gt;0,K2887=TAHUN,N(J2887)&lt;=BLN,OR(C2887=BB_AKUN,D2887=BB_AKUN)),1,0)</f>
        <v>877</v>
      </c>
      <c r="R2887" s="104" t="str">
        <f aca="false">IF(OR(C2887&amp;D2887="",N(E2887)=0),"",IF(OR(O2887="?",P2887="?"),"⚠ akun tidak dikenal",IF(C2887=D2887,"⚠ debet = kredit","")))</f>
        <v/>
      </c>
    </row>
    <row r="2888" customFormat="false" ht="15" hidden="false" customHeight="false" outlineLevel="0" collapsed="false">
      <c r="A2888" s="5"/>
      <c r="B2888" s="83"/>
      <c r="C2888" s="5"/>
      <c r="D2888" s="5"/>
      <c r="E2888" s="44"/>
      <c r="F2888" s="5"/>
      <c r="G2888" s="5"/>
      <c r="H2888" s="5"/>
      <c r="I2888" s="5"/>
      <c r="J2888" s="102" t="str">
        <f aca="false">IF(B2888="","",MONTH(B2888))</f>
        <v/>
      </c>
      <c r="K2888" s="102" t="str">
        <f aca="false">IF(B2888="","",YEAR(B2888))</f>
        <v/>
      </c>
      <c r="L2888" s="102" t="str">
        <f aca="false">IF(N(E2888)=0,"",IF(COUNTIFS(AK_NAMA,C2888,AK_KAT,"KAS")+COUNTIFS(AK_NAMA,D2888,AK_KAT,"KAS")&lt;&gt;1,"",IF(COUNTIFS(AK_NAMA,C2888,AK_KAT,"KAS")=1,D2888,C2888)))</f>
        <v/>
      </c>
      <c r="M2888" s="103" t="n">
        <f aca="false">IF(L2888="",0,IF(L2888=D2888,E2888,-E2888))</f>
        <v>0</v>
      </c>
      <c r="N2888" s="102" t="str">
        <f aca="false">IF(L2888="","",IFERROR(INDEX(AK_BARIS,MATCH(L2888,AK_NAMA,0)),"?"))</f>
        <v/>
      </c>
      <c r="O2888" s="102" t="str">
        <f aca="false">IF(C2888="","",IFERROR(INDEX(AK_KEL,MATCH(C2888,AK_NAMA,0)),"?"))</f>
        <v/>
      </c>
      <c r="P2888" s="102" t="str">
        <f aca="false">IF(D2888="","",IFERROR(INDEX(AK_KEL,MATCH(D2888,AK_NAMA,0)),"?"))</f>
        <v/>
      </c>
      <c r="Q2888" s="102" t="n">
        <f aca="false">N(Q2887)+IF(AND(N(E2888)&lt;&gt;0,K2888=TAHUN,N(J2888)&lt;=BLN,OR(C2888=BB_AKUN,D2888=BB_AKUN)),1,0)</f>
        <v>877</v>
      </c>
      <c r="R2888" s="104" t="str">
        <f aca="false">IF(OR(C2888&amp;D2888="",N(E2888)=0),"",IF(OR(O2888="?",P2888="?"),"⚠ akun tidak dikenal",IF(C2888=D2888,"⚠ debet = kredit","")))</f>
        <v/>
      </c>
    </row>
    <row r="2889" customFormat="false" ht="15" hidden="false" customHeight="false" outlineLevel="0" collapsed="false">
      <c r="A2889" s="5"/>
      <c r="B2889" s="83"/>
      <c r="C2889" s="5"/>
      <c r="D2889" s="5"/>
      <c r="E2889" s="44"/>
      <c r="F2889" s="5"/>
      <c r="G2889" s="5"/>
      <c r="H2889" s="5"/>
      <c r="I2889" s="5"/>
      <c r="J2889" s="102" t="str">
        <f aca="false">IF(B2889="","",MONTH(B2889))</f>
        <v/>
      </c>
      <c r="K2889" s="102" t="str">
        <f aca="false">IF(B2889="","",YEAR(B2889))</f>
        <v/>
      </c>
      <c r="L2889" s="102" t="str">
        <f aca="false">IF(N(E2889)=0,"",IF(COUNTIFS(AK_NAMA,C2889,AK_KAT,"KAS")+COUNTIFS(AK_NAMA,D2889,AK_KAT,"KAS")&lt;&gt;1,"",IF(COUNTIFS(AK_NAMA,C2889,AK_KAT,"KAS")=1,D2889,C2889)))</f>
        <v/>
      </c>
      <c r="M2889" s="103" t="n">
        <f aca="false">IF(L2889="",0,IF(L2889=D2889,E2889,-E2889))</f>
        <v>0</v>
      </c>
      <c r="N2889" s="102" t="str">
        <f aca="false">IF(L2889="","",IFERROR(INDEX(AK_BARIS,MATCH(L2889,AK_NAMA,0)),"?"))</f>
        <v/>
      </c>
      <c r="O2889" s="102" t="str">
        <f aca="false">IF(C2889="","",IFERROR(INDEX(AK_KEL,MATCH(C2889,AK_NAMA,0)),"?"))</f>
        <v/>
      </c>
      <c r="P2889" s="102" t="str">
        <f aca="false">IF(D2889="","",IFERROR(INDEX(AK_KEL,MATCH(D2889,AK_NAMA,0)),"?"))</f>
        <v/>
      </c>
      <c r="Q2889" s="102" t="n">
        <f aca="false">N(Q2888)+IF(AND(N(E2889)&lt;&gt;0,K2889=TAHUN,N(J2889)&lt;=BLN,OR(C2889=BB_AKUN,D2889=BB_AKUN)),1,0)</f>
        <v>877</v>
      </c>
      <c r="R2889" s="104" t="str">
        <f aca="false">IF(OR(C2889&amp;D2889="",N(E2889)=0),"",IF(OR(O2889="?",P2889="?"),"⚠ akun tidak dikenal",IF(C2889=D2889,"⚠ debet = kredit","")))</f>
        <v/>
      </c>
    </row>
    <row r="2890" customFormat="false" ht="15" hidden="false" customHeight="false" outlineLevel="0" collapsed="false">
      <c r="A2890" s="5"/>
      <c r="B2890" s="83"/>
      <c r="C2890" s="5"/>
      <c r="D2890" s="5"/>
      <c r="E2890" s="44"/>
      <c r="F2890" s="5"/>
      <c r="G2890" s="5"/>
      <c r="H2890" s="5"/>
      <c r="I2890" s="5"/>
      <c r="J2890" s="102" t="str">
        <f aca="false">IF(B2890="","",MONTH(B2890))</f>
        <v/>
      </c>
      <c r="K2890" s="102" t="str">
        <f aca="false">IF(B2890="","",YEAR(B2890))</f>
        <v/>
      </c>
      <c r="L2890" s="102" t="str">
        <f aca="false">IF(N(E2890)=0,"",IF(COUNTIFS(AK_NAMA,C2890,AK_KAT,"KAS")+COUNTIFS(AK_NAMA,D2890,AK_KAT,"KAS")&lt;&gt;1,"",IF(COUNTIFS(AK_NAMA,C2890,AK_KAT,"KAS")=1,D2890,C2890)))</f>
        <v/>
      </c>
      <c r="M2890" s="103" t="n">
        <f aca="false">IF(L2890="",0,IF(L2890=D2890,E2890,-E2890))</f>
        <v>0</v>
      </c>
      <c r="N2890" s="102" t="str">
        <f aca="false">IF(L2890="","",IFERROR(INDEX(AK_BARIS,MATCH(L2890,AK_NAMA,0)),"?"))</f>
        <v/>
      </c>
      <c r="O2890" s="102" t="str">
        <f aca="false">IF(C2890="","",IFERROR(INDEX(AK_KEL,MATCH(C2890,AK_NAMA,0)),"?"))</f>
        <v/>
      </c>
      <c r="P2890" s="102" t="str">
        <f aca="false">IF(D2890="","",IFERROR(INDEX(AK_KEL,MATCH(D2890,AK_NAMA,0)),"?"))</f>
        <v/>
      </c>
      <c r="Q2890" s="102" t="n">
        <f aca="false">N(Q2889)+IF(AND(N(E2890)&lt;&gt;0,K2890=TAHUN,N(J2890)&lt;=BLN,OR(C2890=BB_AKUN,D2890=BB_AKUN)),1,0)</f>
        <v>877</v>
      </c>
      <c r="R2890" s="104" t="str">
        <f aca="false">IF(OR(C2890&amp;D2890="",N(E2890)=0),"",IF(OR(O2890="?",P2890="?"),"⚠ akun tidak dikenal",IF(C2890=D2890,"⚠ debet = kredit","")))</f>
        <v/>
      </c>
    </row>
    <row r="2891" customFormat="false" ht="15" hidden="false" customHeight="false" outlineLevel="0" collapsed="false">
      <c r="A2891" s="5"/>
      <c r="B2891" s="83"/>
      <c r="C2891" s="5"/>
      <c r="D2891" s="5"/>
      <c r="E2891" s="44"/>
      <c r="F2891" s="5"/>
      <c r="G2891" s="5"/>
      <c r="H2891" s="5"/>
      <c r="I2891" s="5"/>
      <c r="J2891" s="102" t="str">
        <f aca="false">IF(B2891="","",MONTH(B2891))</f>
        <v/>
      </c>
      <c r="K2891" s="102" t="str">
        <f aca="false">IF(B2891="","",YEAR(B2891))</f>
        <v/>
      </c>
      <c r="L2891" s="102" t="str">
        <f aca="false">IF(N(E2891)=0,"",IF(COUNTIFS(AK_NAMA,C2891,AK_KAT,"KAS")+COUNTIFS(AK_NAMA,D2891,AK_KAT,"KAS")&lt;&gt;1,"",IF(COUNTIFS(AK_NAMA,C2891,AK_KAT,"KAS")=1,D2891,C2891)))</f>
        <v/>
      </c>
      <c r="M2891" s="103" t="n">
        <f aca="false">IF(L2891="",0,IF(L2891=D2891,E2891,-E2891))</f>
        <v>0</v>
      </c>
      <c r="N2891" s="102" t="str">
        <f aca="false">IF(L2891="","",IFERROR(INDEX(AK_BARIS,MATCH(L2891,AK_NAMA,0)),"?"))</f>
        <v/>
      </c>
      <c r="O2891" s="102" t="str">
        <f aca="false">IF(C2891="","",IFERROR(INDEX(AK_KEL,MATCH(C2891,AK_NAMA,0)),"?"))</f>
        <v/>
      </c>
      <c r="P2891" s="102" t="str">
        <f aca="false">IF(D2891="","",IFERROR(INDEX(AK_KEL,MATCH(D2891,AK_NAMA,0)),"?"))</f>
        <v/>
      </c>
      <c r="Q2891" s="102" t="n">
        <f aca="false">N(Q2890)+IF(AND(N(E2891)&lt;&gt;0,K2891=TAHUN,N(J2891)&lt;=BLN,OR(C2891=BB_AKUN,D2891=BB_AKUN)),1,0)</f>
        <v>877</v>
      </c>
      <c r="R2891" s="104" t="str">
        <f aca="false">IF(OR(C2891&amp;D2891="",N(E2891)=0),"",IF(OR(O2891="?",P2891="?"),"⚠ akun tidak dikenal",IF(C2891=D2891,"⚠ debet = kredit","")))</f>
        <v/>
      </c>
    </row>
    <row r="2892" customFormat="false" ht="15" hidden="false" customHeight="false" outlineLevel="0" collapsed="false">
      <c r="A2892" s="5"/>
      <c r="B2892" s="83"/>
      <c r="C2892" s="5"/>
      <c r="D2892" s="5"/>
      <c r="E2892" s="44"/>
      <c r="F2892" s="5"/>
      <c r="G2892" s="5"/>
      <c r="H2892" s="5"/>
      <c r="I2892" s="5"/>
      <c r="J2892" s="102" t="str">
        <f aca="false">IF(B2892="","",MONTH(B2892))</f>
        <v/>
      </c>
      <c r="K2892" s="102" t="str">
        <f aca="false">IF(B2892="","",YEAR(B2892))</f>
        <v/>
      </c>
      <c r="L2892" s="102" t="str">
        <f aca="false">IF(N(E2892)=0,"",IF(COUNTIFS(AK_NAMA,C2892,AK_KAT,"KAS")+COUNTIFS(AK_NAMA,D2892,AK_KAT,"KAS")&lt;&gt;1,"",IF(COUNTIFS(AK_NAMA,C2892,AK_KAT,"KAS")=1,D2892,C2892)))</f>
        <v/>
      </c>
      <c r="M2892" s="103" t="n">
        <f aca="false">IF(L2892="",0,IF(L2892=D2892,E2892,-E2892))</f>
        <v>0</v>
      </c>
      <c r="N2892" s="102" t="str">
        <f aca="false">IF(L2892="","",IFERROR(INDEX(AK_BARIS,MATCH(L2892,AK_NAMA,0)),"?"))</f>
        <v/>
      </c>
      <c r="O2892" s="102" t="str">
        <f aca="false">IF(C2892="","",IFERROR(INDEX(AK_KEL,MATCH(C2892,AK_NAMA,0)),"?"))</f>
        <v/>
      </c>
      <c r="P2892" s="102" t="str">
        <f aca="false">IF(D2892="","",IFERROR(INDEX(AK_KEL,MATCH(D2892,AK_NAMA,0)),"?"))</f>
        <v/>
      </c>
      <c r="Q2892" s="102" t="n">
        <f aca="false">N(Q2891)+IF(AND(N(E2892)&lt;&gt;0,K2892=TAHUN,N(J2892)&lt;=BLN,OR(C2892=BB_AKUN,D2892=BB_AKUN)),1,0)</f>
        <v>877</v>
      </c>
      <c r="R2892" s="104" t="str">
        <f aca="false">IF(OR(C2892&amp;D2892="",N(E2892)=0),"",IF(OR(O2892="?",P2892="?"),"⚠ akun tidak dikenal",IF(C2892=D2892,"⚠ debet = kredit","")))</f>
        <v/>
      </c>
    </row>
    <row r="2893" customFormat="false" ht="15" hidden="false" customHeight="false" outlineLevel="0" collapsed="false">
      <c r="A2893" s="5"/>
      <c r="B2893" s="83"/>
      <c r="C2893" s="5"/>
      <c r="D2893" s="5"/>
      <c r="E2893" s="44"/>
      <c r="F2893" s="5"/>
      <c r="G2893" s="5"/>
      <c r="H2893" s="5"/>
      <c r="I2893" s="5"/>
      <c r="J2893" s="102" t="str">
        <f aca="false">IF(B2893="","",MONTH(B2893))</f>
        <v/>
      </c>
      <c r="K2893" s="102" t="str">
        <f aca="false">IF(B2893="","",YEAR(B2893))</f>
        <v/>
      </c>
      <c r="L2893" s="102" t="str">
        <f aca="false">IF(N(E2893)=0,"",IF(COUNTIFS(AK_NAMA,C2893,AK_KAT,"KAS")+COUNTIFS(AK_NAMA,D2893,AK_KAT,"KAS")&lt;&gt;1,"",IF(COUNTIFS(AK_NAMA,C2893,AK_KAT,"KAS")=1,D2893,C2893)))</f>
        <v/>
      </c>
      <c r="M2893" s="103" t="n">
        <f aca="false">IF(L2893="",0,IF(L2893=D2893,E2893,-E2893))</f>
        <v>0</v>
      </c>
      <c r="N2893" s="102" t="str">
        <f aca="false">IF(L2893="","",IFERROR(INDEX(AK_BARIS,MATCH(L2893,AK_NAMA,0)),"?"))</f>
        <v/>
      </c>
      <c r="O2893" s="102" t="str">
        <f aca="false">IF(C2893="","",IFERROR(INDEX(AK_KEL,MATCH(C2893,AK_NAMA,0)),"?"))</f>
        <v/>
      </c>
      <c r="P2893" s="102" t="str">
        <f aca="false">IF(D2893="","",IFERROR(INDEX(AK_KEL,MATCH(D2893,AK_NAMA,0)),"?"))</f>
        <v/>
      </c>
      <c r="Q2893" s="102" t="n">
        <f aca="false">N(Q2892)+IF(AND(N(E2893)&lt;&gt;0,K2893=TAHUN,N(J2893)&lt;=BLN,OR(C2893=BB_AKUN,D2893=BB_AKUN)),1,0)</f>
        <v>877</v>
      </c>
      <c r="R2893" s="104" t="str">
        <f aca="false">IF(OR(C2893&amp;D2893="",N(E2893)=0),"",IF(OR(O2893="?",P2893="?"),"⚠ akun tidak dikenal",IF(C2893=D2893,"⚠ debet = kredit","")))</f>
        <v/>
      </c>
    </row>
    <row r="2894" customFormat="false" ht="15" hidden="false" customHeight="false" outlineLevel="0" collapsed="false">
      <c r="A2894" s="5"/>
      <c r="B2894" s="83"/>
      <c r="C2894" s="5"/>
      <c r="D2894" s="5"/>
      <c r="E2894" s="44"/>
      <c r="F2894" s="5"/>
      <c r="G2894" s="5"/>
      <c r="H2894" s="5"/>
      <c r="I2894" s="5"/>
      <c r="J2894" s="102" t="str">
        <f aca="false">IF(B2894="","",MONTH(B2894))</f>
        <v/>
      </c>
      <c r="K2894" s="102" t="str">
        <f aca="false">IF(B2894="","",YEAR(B2894))</f>
        <v/>
      </c>
      <c r="L2894" s="102" t="str">
        <f aca="false">IF(N(E2894)=0,"",IF(COUNTIFS(AK_NAMA,C2894,AK_KAT,"KAS")+COUNTIFS(AK_NAMA,D2894,AK_KAT,"KAS")&lt;&gt;1,"",IF(COUNTIFS(AK_NAMA,C2894,AK_KAT,"KAS")=1,D2894,C2894)))</f>
        <v/>
      </c>
      <c r="M2894" s="103" t="n">
        <f aca="false">IF(L2894="",0,IF(L2894=D2894,E2894,-E2894))</f>
        <v>0</v>
      </c>
      <c r="N2894" s="102" t="str">
        <f aca="false">IF(L2894="","",IFERROR(INDEX(AK_BARIS,MATCH(L2894,AK_NAMA,0)),"?"))</f>
        <v/>
      </c>
      <c r="O2894" s="102" t="str">
        <f aca="false">IF(C2894="","",IFERROR(INDEX(AK_KEL,MATCH(C2894,AK_NAMA,0)),"?"))</f>
        <v/>
      </c>
      <c r="P2894" s="102" t="str">
        <f aca="false">IF(D2894="","",IFERROR(INDEX(AK_KEL,MATCH(D2894,AK_NAMA,0)),"?"))</f>
        <v/>
      </c>
      <c r="Q2894" s="102" t="n">
        <f aca="false">N(Q2893)+IF(AND(N(E2894)&lt;&gt;0,K2894=TAHUN,N(J2894)&lt;=BLN,OR(C2894=BB_AKUN,D2894=BB_AKUN)),1,0)</f>
        <v>877</v>
      </c>
      <c r="R2894" s="104" t="str">
        <f aca="false">IF(OR(C2894&amp;D2894="",N(E2894)=0),"",IF(OR(O2894="?",P2894="?"),"⚠ akun tidak dikenal",IF(C2894=D2894,"⚠ debet = kredit","")))</f>
        <v/>
      </c>
    </row>
    <row r="2895" customFormat="false" ht="15" hidden="false" customHeight="false" outlineLevel="0" collapsed="false">
      <c r="A2895" s="5"/>
      <c r="B2895" s="83"/>
      <c r="C2895" s="5"/>
      <c r="D2895" s="5"/>
      <c r="E2895" s="44"/>
      <c r="F2895" s="5"/>
      <c r="G2895" s="5"/>
      <c r="H2895" s="5"/>
      <c r="I2895" s="5"/>
      <c r="J2895" s="102" t="str">
        <f aca="false">IF(B2895="","",MONTH(B2895))</f>
        <v/>
      </c>
      <c r="K2895" s="102" t="str">
        <f aca="false">IF(B2895="","",YEAR(B2895))</f>
        <v/>
      </c>
      <c r="L2895" s="102" t="str">
        <f aca="false">IF(N(E2895)=0,"",IF(COUNTIFS(AK_NAMA,C2895,AK_KAT,"KAS")+COUNTIFS(AK_NAMA,D2895,AK_KAT,"KAS")&lt;&gt;1,"",IF(COUNTIFS(AK_NAMA,C2895,AK_KAT,"KAS")=1,D2895,C2895)))</f>
        <v/>
      </c>
      <c r="M2895" s="103" t="n">
        <f aca="false">IF(L2895="",0,IF(L2895=D2895,E2895,-E2895))</f>
        <v>0</v>
      </c>
      <c r="N2895" s="102" t="str">
        <f aca="false">IF(L2895="","",IFERROR(INDEX(AK_BARIS,MATCH(L2895,AK_NAMA,0)),"?"))</f>
        <v/>
      </c>
      <c r="O2895" s="102" t="str">
        <f aca="false">IF(C2895="","",IFERROR(INDEX(AK_KEL,MATCH(C2895,AK_NAMA,0)),"?"))</f>
        <v/>
      </c>
      <c r="P2895" s="102" t="str">
        <f aca="false">IF(D2895="","",IFERROR(INDEX(AK_KEL,MATCH(D2895,AK_NAMA,0)),"?"))</f>
        <v/>
      </c>
      <c r="Q2895" s="102" t="n">
        <f aca="false">N(Q2894)+IF(AND(N(E2895)&lt;&gt;0,K2895=TAHUN,N(J2895)&lt;=BLN,OR(C2895=BB_AKUN,D2895=BB_AKUN)),1,0)</f>
        <v>877</v>
      </c>
      <c r="R2895" s="104" t="str">
        <f aca="false">IF(OR(C2895&amp;D2895="",N(E2895)=0),"",IF(OR(O2895="?",P2895="?"),"⚠ akun tidak dikenal",IF(C2895=D2895,"⚠ debet = kredit","")))</f>
        <v/>
      </c>
    </row>
    <row r="2896" customFormat="false" ht="15" hidden="false" customHeight="false" outlineLevel="0" collapsed="false">
      <c r="A2896" s="5"/>
      <c r="B2896" s="83"/>
      <c r="C2896" s="5"/>
      <c r="D2896" s="5"/>
      <c r="E2896" s="44"/>
      <c r="F2896" s="5"/>
      <c r="G2896" s="5"/>
      <c r="H2896" s="5"/>
      <c r="I2896" s="5"/>
      <c r="J2896" s="102" t="str">
        <f aca="false">IF(B2896="","",MONTH(B2896))</f>
        <v/>
      </c>
      <c r="K2896" s="102" t="str">
        <f aca="false">IF(B2896="","",YEAR(B2896))</f>
        <v/>
      </c>
      <c r="L2896" s="102" t="str">
        <f aca="false">IF(N(E2896)=0,"",IF(COUNTIFS(AK_NAMA,C2896,AK_KAT,"KAS")+COUNTIFS(AK_NAMA,D2896,AK_KAT,"KAS")&lt;&gt;1,"",IF(COUNTIFS(AK_NAMA,C2896,AK_KAT,"KAS")=1,D2896,C2896)))</f>
        <v/>
      </c>
      <c r="M2896" s="103" t="n">
        <f aca="false">IF(L2896="",0,IF(L2896=D2896,E2896,-E2896))</f>
        <v>0</v>
      </c>
      <c r="N2896" s="102" t="str">
        <f aca="false">IF(L2896="","",IFERROR(INDEX(AK_BARIS,MATCH(L2896,AK_NAMA,0)),"?"))</f>
        <v/>
      </c>
      <c r="O2896" s="102" t="str">
        <f aca="false">IF(C2896="","",IFERROR(INDEX(AK_KEL,MATCH(C2896,AK_NAMA,0)),"?"))</f>
        <v/>
      </c>
      <c r="P2896" s="102" t="str">
        <f aca="false">IF(D2896="","",IFERROR(INDEX(AK_KEL,MATCH(D2896,AK_NAMA,0)),"?"))</f>
        <v/>
      </c>
      <c r="Q2896" s="102" t="n">
        <f aca="false">N(Q2895)+IF(AND(N(E2896)&lt;&gt;0,K2896=TAHUN,N(J2896)&lt;=BLN,OR(C2896=BB_AKUN,D2896=BB_AKUN)),1,0)</f>
        <v>877</v>
      </c>
      <c r="R2896" s="104" t="str">
        <f aca="false">IF(OR(C2896&amp;D2896="",N(E2896)=0),"",IF(OR(O2896="?",P2896="?"),"⚠ akun tidak dikenal",IF(C2896=D2896,"⚠ debet = kredit","")))</f>
        <v/>
      </c>
    </row>
    <row r="2897" customFormat="false" ht="15" hidden="false" customHeight="false" outlineLevel="0" collapsed="false">
      <c r="A2897" s="5"/>
      <c r="B2897" s="83"/>
      <c r="C2897" s="5"/>
      <c r="D2897" s="5"/>
      <c r="E2897" s="44"/>
      <c r="F2897" s="5"/>
      <c r="G2897" s="5"/>
      <c r="H2897" s="5"/>
      <c r="I2897" s="5"/>
      <c r="J2897" s="102" t="str">
        <f aca="false">IF(B2897="","",MONTH(B2897))</f>
        <v/>
      </c>
      <c r="K2897" s="102" t="str">
        <f aca="false">IF(B2897="","",YEAR(B2897))</f>
        <v/>
      </c>
      <c r="L2897" s="102" t="str">
        <f aca="false">IF(N(E2897)=0,"",IF(COUNTIFS(AK_NAMA,C2897,AK_KAT,"KAS")+COUNTIFS(AK_NAMA,D2897,AK_KAT,"KAS")&lt;&gt;1,"",IF(COUNTIFS(AK_NAMA,C2897,AK_KAT,"KAS")=1,D2897,C2897)))</f>
        <v/>
      </c>
      <c r="M2897" s="103" t="n">
        <f aca="false">IF(L2897="",0,IF(L2897=D2897,E2897,-E2897))</f>
        <v>0</v>
      </c>
      <c r="N2897" s="102" t="str">
        <f aca="false">IF(L2897="","",IFERROR(INDEX(AK_BARIS,MATCH(L2897,AK_NAMA,0)),"?"))</f>
        <v/>
      </c>
      <c r="O2897" s="102" t="str">
        <f aca="false">IF(C2897="","",IFERROR(INDEX(AK_KEL,MATCH(C2897,AK_NAMA,0)),"?"))</f>
        <v/>
      </c>
      <c r="P2897" s="102" t="str">
        <f aca="false">IF(D2897="","",IFERROR(INDEX(AK_KEL,MATCH(D2897,AK_NAMA,0)),"?"))</f>
        <v/>
      </c>
      <c r="Q2897" s="102" t="n">
        <f aca="false">N(Q2896)+IF(AND(N(E2897)&lt;&gt;0,K2897=TAHUN,N(J2897)&lt;=BLN,OR(C2897=BB_AKUN,D2897=BB_AKUN)),1,0)</f>
        <v>877</v>
      </c>
      <c r="R2897" s="104" t="str">
        <f aca="false">IF(OR(C2897&amp;D2897="",N(E2897)=0),"",IF(OR(O2897="?",P2897="?"),"⚠ akun tidak dikenal",IF(C2897=D2897,"⚠ debet = kredit","")))</f>
        <v/>
      </c>
    </row>
    <row r="2898" customFormat="false" ht="15" hidden="false" customHeight="false" outlineLevel="0" collapsed="false">
      <c r="A2898" s="5"/>
      <c r="B2898" s="83"/>
      <c r="C2898" s="5"/>
      <c r="D2898" s="5"/>
      <c r="E2898" s="44"/>
      <c r="F2898" s="5"/>
      <c r="G2898" s="5"/>
      <c r="H2898" s="5"/>
      <c r="I2898" s="5"/>
      <c r="J2898" s="102" t="str">
        <f aca="false">IF(B2898="","",MONTH(B2898))</f>
        <v/>
      </c>
      <c r="K2898" s="102" t="str">
        <f aca="false">IF(B2898="","",YEAR(B2898))</f>
        <v/>
      </c>
      <c r="L2898" s="102" t="str">
        <f aca="false">IF(N(E2898)=0,"",IF(COUNTIFS(AK_NAMA,C2898,AK_KAT,"KAS")+COUNTIFS(AK_NAMA,D2898,AK_KAT,"KAS")&lt;&gt;1,"",IF(COUNTIFS(AK_NAMA,C2898,AK_KAT,"KAS")=1,D2898,C2898)))</f>
        <v/>
      </c>
      <c r="M2898" s="103" t="n">
        <f aca="false">IF(L2898="",0,IF(L2898=D2898,E2898,-E2898))</f>
        <v>0</v>
      </c>
      <c r="N2898" s="102" t="str">
        <f aca="false">IF(L2898="","",IFERROR(INDEX(AK_BARIS,MATCH(L2898,AK_NAMA,0)),"?"))</f>
        <v/>
      </c>
      <c r="O2898" s="102" t="str">
        <f aca="false">IF(C2898="","",IFERROR(INDEX(AK_KEL,MATCH(C2898,AK_NAMA,0)),"?"))</f>
        <v/>
      </c>
      <c r="P2898" s="102" t="str">
        <f aca="false">IF(D2898="","",IFERROR(INDEX(AK_KEL,MATCH(D2898,AK_NAMA,0)),"?"))</f>
        <v/>
      </c>
      <c r="Q2898" s="102" t="n">
        <f aca="false">N(Q2897)+IF(AND(N(E2898)&lt;&gt;0,K2898=TAHUN,N(J2898)&lt;=BLN,OR(C2898=BB_AKUN,D2898=BB_AKUN)),1,0)</f>
        <v>877</v>
      </c>
      <c r="R2898" s="104" t="str">
        <f aca="false">IF(OR(C2898&amp;D2898="",N(E2898)=0),"",IF(OR(O2898="?",P2898="?"),"⚠ akun tidak dikenal",IF(C2898=D2898,"⚠ debet = kredit","")))</f>
        <v/>
      </c>
    </row>
    <row r="2899" customFormat="false" ht="15" hidden="false" customHeight="false" outlineLevel="0" collapsed="false">
      <c r="A2899" s="5"/>
      <c r="B2899" s="83"/>
      <c r="C2899" s="5"/>
      <c r="D2899" s="5"/>
      <c r="E2899" s="44"/>
      <c r="F2899" s="5"/>
      <c r="G2899" s="5"/>
      <c r="H2899" s="5"/>
      <c r="I2899" s="5"/>
      <c r="J2899" s="102" t="str">
        <f aca="false">IF(B2899="","",MONTH(B2899))</f>
        <v/>
      </c>
      <c r="K2899" s="102" t="str">
        <f aca="false">IF(B2899="","",YEAR(B2899))</f>
        <v/>
      </c>
      <c r="L2899" s="102" t="str">
        <f aca="false">IF(N(E2899)=0,"",IF(COUNTIFS(AK_NAMA,C2899,AK_KAT,"KAS")+COUNTIFS(AK_NAMA,D2899,AK_KAT,"KAS")&lt;&gt;1,"",IF(COUNTIFS(AK_NAMA,C2899,AK_KAT,"KAS")=1,D2899,C2899)))</f>
        <v/>
      </c>
      <c r="M2899" s="103" t="n">
        <f aca="false">IF(L2899="",0,IF(L2899=D2899,E2899,-E2899))</f>
        <v>0</v>
      </c>
      <c r="N2899" s="102" t="str">
        <f aca="false">IF(L2899="","",IFERROR(INDEX(AK_BARIS,MATCH(L2899,AK_NAMA,0)),"?"))</f>
        <v/>
      </c>
      <c r="O2899" s="102" t="str">
        <f aca="false">IF(C2899="","",IFERROR(INDEX(AK_KEL,MATCH(C2899,AK_NAMA,0)),"?"))</f>
        <v/>
      </c>
      <c r="P2899" s="102" t="str">
        <f aca="false">IF(D2899="","",IFERROR(INDEX(AK_KEL,MATCH(D2899,AK_NAMA,0)),"?"))</f>
        <v/>
      </c>
      <c r="Q2899" s="102" t="n">
        <f aca="false">N(Q2898)+IF(AND(N(E2899)&lt;&gt;0,K2899=TAHUN,N(J2899)&lt;=BLN,OR(C2899=BB_AKUN,D2899=BB_AKUN)),1,0)</f>
        <v>877</v>
      </c>
      <c r="R2899" s="104" t="str">
        <f aca="false">IF(OR(C2899&amp;D2899="",N(E2899)=0),"",IF(OR(O2899="?",P2899="?"),"⚠ akun tidak dikenal",IF(C2899=D2899,"⚠ debet = kredit","")))</f>
        <v/>
      </c>
    </row>
    <row r="2900" customFormat="false" ht="15" hidden="false" customHeight="false" outlineLevel="0" collapsed="false">
      <c r="A2900" s="5"/>
      <c r="B2900" s="83"/>
      <c r="C2900" s="5"/>
      <c r="D2900" s="5"/>
      <c r="E2900" s="44"/>
      <c r="F2900" s="5"/>
      <c r="G2900" s="5"/>
      <c r="H2900" s="5"/>
      <c r="I2900" s="5"/>
      <c r="J2900" s="102" t="str">
        <f aca="false">IF(B2900="","",MONTH(B2900))</f>
        <v/>
      </c>
      <c r="K2900" s="102" t="str">
        <f aca="false">IF(B2900="","",YEAR(B2900))</f>
        <v/>
      </c>
      <c r="L2900" s="102" t="str">
        <f aca="false">IF(N(E2900)=0,"",IF(COUNTIFS(AK_NAMA,C2900,AK_KAT,"KAS")+COUNTIFS(AK_NAMA,D2900,AK_KAT,"KAS")&lt;&gt;1,"",IF(COUNTIFS(AK_NAMA,C2900,AK_KAT,"KAS")=1,D2900,C2900)))</f>
        <v/>
      </c>
      <c r="M2900" s="103" t="n">
        <f aca="false">IF(L2900="",0,IF(L2900=D2900,E2900,-E2900))</f>
        <v>0</v>
      </c>
      <c r="N2900" s="102" t="str">
        <f aca="false">IF(L2900="","",IFERROR(INDEX(AK_BARIS,MATCH(L2900,AK_NAMA,0)),"?"))</f>
        <v/>
      </c>
      <c r="O2900" s="102" t="str">
        <f aca="false">IF(C2900="","",IFERROR(INDEX(AK_KEL,MATCH(C2900,AK_NAMA,0)),"?"))</f>
        <v/>
      </c>
      <c r="P2900" s="102" t="str">
        <f aca="false">IF(D2900="","",IFERROR(INDEX(AK_KEL,MATCH(D2900,AK_NAMA,0)),"?"))</f>
        <v/>
      </c>
      <c r="Q2900" s="102" t="n">
        <f aca="false">N(Q2899)+IF(AND(N(E2900)&lt;&gt;0,K2900=TAHUN,N(J2900)&lt;=BLN,OR(C2900=BB_AKUN,D2900=BB_AKUN)),1,0)</f>
        <v>877</v>
      </c>
      <c r="R2900" s="104" t="str">
        <f aca="false">IF(OR(C2900&amp;D2900="",N(E2900)=0),"",IF(OR(O2900="?",P2900="?"),"⚠ akun tidak dikenal",IF(C2900=D2900,"⚠ debet = kredit","")))</f>
        <v/>
      </c>
    </row>
    <row r="2901" customFormat="false" ht="15" hidden="false" customHeight="false" outlineLevel="0" collapsed="false">
      <c r="A2901" s="5"/>
      <c r="B2901" s="83"/>
      <c r="C2901" s="5"/>
      <c r="D2901" s="5"/>
      <c r="E2901" s="44"/>
      <c r="F2901" s="5"/>
      <c r="G2901" s="5"/>
      <c r="H2901" s="5"/>
      <c r="I2901" s="5"/>
      <c r="J2901" s="102" t="str">
        <f aca="false">IF(B2901="","",MONTH(B2901))</f>
        <v/>
      </c>
      <c r="K2901" s="102" t="str">
        <f aca="false">IF(B2901="","",YEAR(B2901))</f>
        <v/>
      </c>
      <c r="L2901" s="102" t="str">
        <f aca="false">IF(N(E2901)=0,"",IF(COUNTIFS(AK_NAMA,C2901,AK_KAT,"KAS")+COUNTIFS(AK_NAMA,D2901,AK_KAT,"KAS")&lt;&gt;1,"",IF(COUNTIFS(AK_NAMA,C2901,AK_KAT,"KAS")=1,D2901,C2901)))</f>
        <v/>
      </c>
      <c r="M2901" s="103" t="n">
        <f aca="false">IF(L2901="",0,IF(L2901=D2901,E2901,-E2901))</f>
        <v>0</v>
      </c>
      <c r="N2901" s="102" t="str">
        <f aca="false">IF(L2901="","",IFERROR(INDEX(AK_BARIS,MATCH(L2901,AK_NAMA,0)),"?"))</f>
        <v/>
      </c>
      <c r="O2901" s="102" t="str">
        <f aca="false">IF(C2901="","",IFERROR(INDEX(AK_KEL,MATCH(C2901,AK_NAMA,0)),"?"))</f>
        <v/>
      </c>
      <c r="P2901" s="102" t="str">
        <f aca="false">IF(D2901="","",IFERROR(INDEX(AK_KEL,MATCH(D2901,AK_NAMA,0)),"?"))</f>
        <v/>
      </c>
      <c r="Q2901" s="102" t="n">
        <f aca="false">N(Q2900)+IF(AND(N(E2901)&lt;&gt;0,K2901=TAHUN,N(J2901)&lt;=BLN,OR(C2901=BB_AKUN,D2901=BB_AKUN)),1,0)</f>
        <v>877</v>
      </c>
      <c r="R2901" s="104" t="str">
        <f aca="false">IF(OR(C2901&amp;D2901="",N(E2901)=0),"",IF(OR(O2901="?",P2901="?"),"⚠ akun tidak dikenal",IF(C2901=D2901,"⚠ debet = kredit","")))</f>
        <v/>
      </c>
    </row>
    <row r="2902" customFormat="false" ht="15" hidden="false" customHeight="false" outlineLevel="0" collapsed="false">
      <c r="A2902" s="5"/>
      <c r="B2902" s="83"/>
      <c r="C2902" s="5"/>
      <c r="D2902" s="5"/>
      <c r="E2902" s="44"/>
      <c r="F2902" s="5"/>
      <c r="G2902" s="5"/>
      <c r="H2902" s="5"/>
      <c r="I2902" s="5"/>
      <c r="J2902" s="102" t="str">
        <f aca="false">IF(B2902="","",MONTH(B2902))</f>
        <v/>
      </c>
      <c r="K2902" s="102" t="str">
        <f aca="false">IF(B2902="","",YEAR(B2902))</f>
        <v/>
      </c>
      <c r="L2902" s="102" t="str">
        <f aca="false">IF(N(E2902)=0,"",IF(COUNTIFS(AK_NAMA,C2902,AK_KAT,"KAS")+COUNTIFS(AK_NAMA,D2902,AK_KAT,"KAS")&lt;&gt;1,"",IF(COUNTIFS(AK_NAMA,C2902,AK_KAT,"KAS")=1,D2902,C2902)))</f>
        <v/>
      </c>
      <c r="M2902" s="103" t="n">
        <f aca="false">IF(L2902="",0,IF(L2902=D2902,E2902,-E2902))</f>
        <v>0</v>
      </c>
      <c r="N2902" s="102" t="str">
        <f aca="false">IF(L2902="","",IFERROR(INDEX(AK_BARIS,MATCH(L2902,AK_NAMA,0)),"?"))</f>
        <v/>
      </c>
      <c r="O2902" s="102" t="str">
        <f aca="false">IF(C2902="","",IFERROR(INDEX(AK_KEL,MATCH(C2902,AK_NAMA,0)),"?"))</f>
        <v/>
      </c>
      <c r="P2902" s="102" t="str">
        <f aca="false">IF(D2902="","",IFERROR(INDEX(AK_KEL,MATCH(D2902,AK_NAMA,0)),"?"))</f>
        <v/>
      </c>
      <c r="Q2902" s="102" t="n">
        <f aca="false">N(Q2901)+IF(AND(N(E2902)&lt;&gt;0,K2902=TAHUN,N(J2902)&lt;=BLN,OR(C2902=BB_AKUN,D2902=BB_AKUN)),1,0)</f>
        <v>877</v>
      </c>
      <c r="R2902" s="104" t="str">
        <f aca="false">IF(OR(C2902&amp;D2902="",N(E2902)=0),"",IF(OR(O2902="?",P2902="?"),"⚠ akun tidak dikenal",IF(C2902=D2902,"⚠ debet = kredit","")))</f>
        <v/>
      </c>
    </row>
    <row r="2903" customFormat="false" ht="15" hidden="false" customHeight="false" outlineLevel="0" collapsed="false">
      <c r="A2903" s="5"/>
      <c r="B2903" s="83"/>
      <c r="C2903" s="5"/>
      <c r="D2903" s="5"/>
      <c r="E2903" s="44"/>
      <c r="F2903" s="5"/>
      <c r="G2903" s="5"/>
      <c r="H2903" s="5"/>
      <c r="I2903" s="5"/>
      <c r="J2903" s="102" t="str">
        <f aca="false">IF(B2903="","",MONTH(B2903))</f>
        <v/>
      </c>
      <c r="K2903" s="102" t="str">
        <f aca="false">IF(B2903="","",YEAR(B2903))</f>
        <v/>
      </c>
      <c r="L2903" s="102" t="str">
        <f aca="false">IF(N(E2903)=0,"",IF(COUNTIFS(AK_NAMA,C2903,AK_KAT,"KAS")+COUNTIFS(AK_NAMA,D2903,AK_KAT,"KAS")&lt;&gt;1,"",IF(COUNTIFS(AK_NAMA,C2903,AK_KAT,"KAS")=1,D2903,C2903)))</f>
        <v/>
      </c>
      <c r="M2903" s="103" t="n">
        <f aca="false">IF(L2903="",0,IF(L2903=D2903,E2903,-E2903))</f>
        <v>0</v>
      </c>
      <c r="N2903" s="102" t="str">
        <f aca="false">IF(L2903="","",IFERROR(INDEX(AK_BARIS,MATCH(L2903,AK_NAMA,0)),"?"))</f>
        <v/>
      </c>
      <c r="O2903" s="102" t="str">
        <f aca="false">IF(C2903="","",IFERROR(INDEX(AK_KEL,MATCH(C2903,AK_NAMA,0)),"?"))</f>
        <v/>
      </c>
      <c r="P2903" s="102" t="str">
        <f aca="false">IF(D2903="","",IFERROR(INDEX(AK_KEL,MATCH(D2903,AK_NAMA,0)),"?"))</f>
        <v/>
      </c>
      <c r="Q2903" s="102" t="n">
        <f aca="false">N(Q2902)+IF(AND(N(E2903)&lt;&gt;0,K2903=TAHUN,N(J2903)&lt;=BLN,OR(C2903=BB_AKUN,D2903=BB_AKUN)),1,0)</f>
        <v>877</v>
      </c>
      <c r="R2903" s="104" t="str">
        <f aca="false">IF(OR(C2903&amp;D2903="",N(E2903)=0),"",IF(OR(O2903="?",P2903="?"),"⚠ akun tidak dikenal",IF(C2903=D2903,"⚠ debet = kredit","")))</f>
        <v/>
      </c>
    </row>
    <row r="2904" customFormat="false" ht="15" hidden="false" customHeight="false" outlineLevel="0" collapsed="false">
      <c r="A2904" s="5"/>
      <c r="B2904" s="83"/>
      <c r="C2904" s="5"/>
      <c r="D2904" s="5"/>
      <c r="E2904" s="44"/>
      <c r="F2904" s="5"/>
      <c r="G2904" s="5"/>
      <c r="H2904" s="5"/>
      <c r="I2904" s="5"/>
      <c r="J2904" s="102" t="str">
        <f aca="false">IF(B2904="","",MONTH(B2904))</f>
        <v/>
      </c>
      <c r="K2904" s="102" t="str">
        <f aca="false">IF(B2904="","",YEAR(B2904))</f>
        <v/>
      </c>
      <c r="L2904" s="102" t="str">
        <f aca="false">IF(N(E2904)=0,"",IF(COUNTIFS(AK_NAMA,C2904,AK_KAT,"KAS")+COUNTIFS(AK_NAMA,D2904,AK_KAT,"KAS")&lt;&gt;1,"",IF(COUNTIFS(AK_NAMA,C2904,AK_KAT,"KAS")=1,D2904,C2904)))</f>
        <v/>
      </c>
      <c r="M2904" s="103" t="n">
        <f aca="false">IF(L2904="",0,IF(L2904=D2904,E2904,-E2904))</f>
        <v>0</v>
      </c>
      <c r="N2904" s="102" t="str">
        <f aca="false">IF(L2904="","",IFERROR(INDEX(AK_BARIS,MATCH(L2904,AK_NAMA,0)),"?"))</f>
        <v/>
      </c>
      <c r="O2904" s="102" t="str">
        <f aca="false">IF(C2904="","",IFERROR(INDEX(AK_KEL,MATCH(C2904,AK_NAMA,0)),"?"))</f>
        <v/>
      </c>
      <c r="P2904" s="102" t="str">
        <f aca="false">IF(D2904="","",IFERROR(INDEX(AK_KEL,MATCH(D2904,AK_NAMA,0)),"?"))</f>
        <v/>
      </c>
      <c r="Q2904" s="102" t="n">
        <f aca="false">N(Q2903)+IF(AND(N(E2904)&lt;&gt;0,K2904=TAHUN,N(J2904)&lt;=BLN,OR(C2904=BB_AKUN,D2904=BB_AKUN)),1,0)</f>
        <v>877</v>
      </c>
      <c r="R2904" s="104" t="str">
        <f aca="false">IF(OR(C2904&amp;D2904="",N(E2904)=0),"",IF(OR(O2904="?",P2904="?"),"⚠ akun tidak dikenal",IF(C2904=D2904,"⚠ debet = kredit","")))</f>
        <v/>
      </c>
    </row>
    <row r="2905" customFormat="false" ht="15" hidden="false" customHeight="false" outlineLevel="0" collapsed="false">
      <c r="A2905" s="5"/>
      <c r="B2905" s="83"/>
      <c r="C2905" s="5"/>
      <c r="D2905" s="5"/>
      <c r="E2905" s="44"/>
      <c r="F2905" s="5"/>
      <c r="G2905" s="5"/>
      <c r="H2905" s="5"/>
      <c r="I2905" s="5"/>
      <c r="J2905" s="102" t="str">
        <f aca="false">IF(B2905="","",MONTH(B2905))</f>
        <v/>
      </c>
      <c r="K2905" s="102" t="str">
        <f aca="false">IF(B2905="","",YEAR(B2905))</f>
        <v/>
      </c>
      <c r="L2905" s="102" t="str">
        <f aca="false">IF(N(E2905)=0,"",IF(COUNTIFS(AK_NAMA,C2905,AK_KAT,"KAS")+COUNTIFS(AK_NAMA,D2905,AK_KAT,"KAS")&lt;&gt;1,"",IF(COUNTIFS(AK_NAMA,C2905,AK_KAT,"KAS")=1,D2905,C2905)))</f>
        <v/>
      </c>
      <c r="M2905" s="103" t="n">
        <f aca="false">IF(L2905="",0,IF(L2905=D2905,E2905,-E2905))</f>
        <v>0</v>
      </c>
      <c r="N2905" s="102" t="str">
        <f aca="false">IF(L2905="","",IFERROR(INDEX(AK_BARIS,MATCH(L2905,AK_NAMA,0)),"?"))</f>
        <v/>
      </c>
      <c r="O2905" s="102" t="str">
        <f aca="false">IF(C2905="","",IFERROR(INDEX(AK_KEL,MATCH(C2905,AK_NAMA,0)),"?"))</f>
        <v/>
      </c>
      <c r="P2905" s="102" t="str">
        <f aca="false">IF(D2905="","",IFERROR(INDEX(AK_KEL,MATCH(D2905,AK_NAMA,0)),"?"))</f>
        <v/>
      </c>
      <c r="Q2905" s="102" t="n">
        <f aca="false">N(Q2904)+IF(AND(N(E2905)&lt;&gt;0,K2905=TAHUN,N(J2905)&lt;=BLN,OR(C2905=BB_AKUN,D2905=BB_AKUN)),1,0)</f>
        <v>877</v>
      </c>
      <c r="R2905" s="104" t="str">
        <f aca="false">IF(OR(C2905&amp;D2905="",N(E2905)=0),"",IF(OR(O2905="?",P2905="?"),"⚠ akun tidak dikenal",IF(C2905=D2905,"⚠ debet = kredit","")))</f>
        <v/>
      </c>
    </row>
    <row r="2906" customFormat="false" ht="15" hidden="false" customHeight="false" outlineLevel="0" collapsed="false">
      <c r="A2906" s="5"/>
      <c r="B2906" s="83"/>
      <c r="C2906" s="5"/>
      <c r="D2906" s="5"/>
      <c r="E2906" s="44"/>
      <c r="F2906" s="5"/>
      <c r="G2906" s="5"/>
      <c r="H2906" s="5"/>
      <c r="I2906" s="5"/>
      <c r="J2906" s="102" t="str">
        <f aca="false">IF(B2906="","",MONTH(B2906))</f>
        <v/>
      </c>
      <c r="K2906" s="102" t="str">
        <f aca="false">IF(B2906="","",YEAR(B2906))</f>
        <v/>
      </c>
      <c r="L2906" s="102" t="str">
        <f aca="false">IF(N(E2906)=0,"",IF(COUNTIFS(AK_NAMA,C2906,AK_KAT,"KAS")+COUNTIFS(AK_NAMA,D2906,AK_KAT,"KAS")&lt;&gt;1,"",IF(COUNTIFS(AK_NAMA,C2906,AK_KAT,"KAS")=1,D2906,C2906)))</f>
        <v/>
      </c>
      <c r="M2906" s="103" t="n">
        <f aca="false">IF(L2906="",0,IF(L2906=D2906,E2906,-E2906))</f>
        <v>0</v>
      </c>
      <c r="N2906" s="102" t="str">
        <f aca="false">IF(L2906="","",IFERROR(INDEX(AK_BARIS,MATCH(L2906,AK_NAMA,0)),"?"))</f>
        <v/>
      </c>
      <c r="O2906" s="102" t="str">
        <f aca="false">IF(C2906="","",IFERROR(INDEX(AK_KEL,MATCH(C2906,AK_NAMA,0)),"?"))</f>
        <v/>
      </c>
      <c r="P2906" s="102" t="str">
        <f aca="false">IF(D2906="","",IFERROR(INDEX(AK_KEL,MATCH(D2906,AK_NAMA,0)),"?"))</f>
        <v/>
      </c>
      <c r="Q2906" s="102" t="n">
        <f aca="false">N(Q2905)+IF(AND(N(E2906)&lt;&gt;0,K2906=TAHUN,N(J2906)&lt;=BLN,OR(C2906=BB_AKUN,D2906=BB_AKUN)),1,0)</f>
        <v>877</v>
      </c>
      <c r="R2906" s="104" t="str">
        <f aca="false">IF(OR(C2906&amp;D2906="",N(E2906)=0),"",IF(OR(O2906="?",P2906="?"),"⚠ akun tidak dikenal",IF(C2906=D2906,"⚠ debet = kredit","")))</f>
        <v/>
      </c>
    </row>
    <row r="2907" customFormat="false" ht="15" hidden="false" customHeight="false" outlineLevel="0" collapsed="false">
      <c r="A2907" s="5"/>
      <c r="B2907" s="83"/>
      <c r="C2907" s="5"/>
      <c r="D2907" s="5"/>
      <c r="E2907" s="44"/>
      <c r="F2907" s="5"/>
      <c r="G2907" s="5"/>
      <c r="H2907" s="5"/>
      <c r="I2907" s="5"/>
      <c r="J2907" s="102" t="str">
        <f aca="false">IF(B2907="","",MONTH(B2907))</f>
        <v/>
      </c>
      <c r="K2907" s="102" t="str">
        <f aca="false">IF(B2907="","",YEAR(B2907))</f>
        <v/>
      </c>
      <c r="L2907" s="102" t="str">
        <f aca="false">IF(N(E2907)=0,"",IF(COUNTIFS(AK_NAMA,C2907,AK_KAT,"KAS")+COUNTIFS(AK_NAMA,D2907,AK_KAT,"KAS")&lt;&gt;1,"",IF(COUNTIFS(AK_NAMA,C2907,AK_KAT,"KAS")=1,D2907,C2907)))</f>
        <v/>
      </c>
      <c r="M2907" s="103" t="n">
        <f aca="false">IF(L2907="",0,IF(L2907=D2907,E2907,-E2907))</f>
        <v>0</v>
      </c>
      <c r="N2907" s="102" t="str">
        <f aca="false">IF(L2907="","",IFERROR(INDEX(AK_BARIS,MATCH(L2907,AK_NAMA,0)),"?"))</f>
        <v/>
      </c>
      <c r="O2907" s="102" t="str">
        <f aca="false">IF(C2907="","",IFERROR(INDEX(AK_KEL,MATCH(C2907,AK_NAMA,0)),"?"))</f>
        <v/>
      </c>
      <c r="P2907" s="102" t="str">
        <f aca="false">IF(D2907="","",IFERROR(INDEX(AK_KEL,MATCH(D2907,AK_NAMA,0)),"?"))</f>
        <v/>
      </c>
      <c r="Q2907" s="102" t="n">
        <f aca="false">N(Q2906)+IF(AND(N(E2907)&lt;&gt;0,K2907=TAHUN,N(J2907)&lt;=BLN,OR(C2907=BB_AKUN,D2907=BB_AKUN)),1,0)</f>
        <v>877</v>
      </c>
      <c r="R2907" s="104" t="str">
        <f aca="false">IF(OR(C2907&amp;D2907="",N(E2907)=0),"",IF(OR(O2907="?",P2907="?"),"⚠ akun tidak dikenal",IF(C2907=D2907,"⚠ debet = kredit","")))</f>
        <v/>
      </c>
    </row>
    <row r="2908" customFormat="false" ht="15" hidden="false" customHeight="false" outlineLevel="0" collapsed="false">
      <c r="A2908" s="5"/>
      <c r="B2908" s="83"/>
      <c r="C2908" s="5"/>
      <c r="D2908" s="5"/>
      <c r="E2908" s="44"/>
      <c r="F2908" s="5"/>
      <c r="G2908" s="5"/>
      <c r="H2908" s="5"/>
      <c r="I2908" s="5"/>
      <c r="J2908" s="102" t="str">
        <f aca="false">IF(B2908="","",MONTH(B2908))</f>
        <v/>
      </c>
      <c r="K2908" s="102" t="str">
        <f aca="false">IF(B2908="","",YEAR(B2908))</f>
        <v/>
      </c>
      <c r="L2908" s="102" t="str">
        <f aca="false">IF(N(E2908)=0,"",IF(COUNTIFS(AK_NAMA,C2908,AK_KAT,"KAS")+COUNTIFS(AK_NAMA,D2908,AK_KAT,"KAS")&lt;&gt;1,"",IF(COUNTIFS(AK_NAMA,C2908,AK_KAT,"KAS")=1,D2908,C2908)))</f>
        <v/>
      </c>
      <c r="M2908" s="103" t="n">
        <f aca="false">IF(L2908="",0,IF(L2908=D2908,E2908,-E2908))</f>
        <v>0</v>
      </c>
      <c r="N2908" s="102" t="str">
        <f aca="false">IF(L2908="","",IFERROR(INDEX(AK_BARIS,MATCH(L2908,AK_NAMA,0)),"?"))</f>
        <v/>
      </c>
      <c r="O2908" s="102" t="str">
        <f aca="false">IF(C2908="","",IFERROR(INDEX(AK_KEL,MATCH(C2908,AK_NAMA,0)),"?"))</f>
        <v/>
      </c>
      <c r="P2908" s="102" t="str">
        <f aca="false">IF(D2908="","",IFERROR(INDEX(AK_KEL,MATCH(D2908,AK_NAMA,0)),"?"))</f>
        <v/>
      </c>
      <c r="Q2908" s="102" t="n">
        <f aca="false">N(Q2907)+IF(AND(N(E2908)&lt;&gt;0,K2908=TAHUN,N(J2908)&lt;=BLN,OR(C2908=BB_AKUN,D2908=BB_AKUN)),1,0)</f>
        <v>877</v>
      </c>
      <c r="R2908" s="104" t="str">
        <f aca="false">IF(OR(C2908&amp;D2908="",N(E2908)=0),"",IF(OR(O2908="?",P2908="?"),"⚠ akun tidak dikenal",IF(C2908=D2908,"⚠ debet = kredit","")))</f>
        <v/>
      </c>
    </row>
    <row r="2909" customFormat="false" ht="15" hidden="false" customHeight="false" outlineLevel="0" collapsed="false">
      <c r="A2909" s="5"/>
      <c r="B2909" s="83"/>
      <c r="C2909" s="5"/>
      <c r="D2909" s="5"/>
      <c r="E2909" s="44"/>
      <c r="F2909" s="5"/>
      <c r="G2909" s="5"/>
      <c r="H2909" s="5"/>
      <c r="I2909" s="5"/>
      <c r="J2909" s="102" t="str">
        <f aca="false">IF(B2909="","",MONTH(B2909))</f>
        <v/>
      </c>
      <c r="K2909" s="102" t="str">
        <f aca="false">IF(B2909="","",YEAR(B2909))</f>
        <v/>
      </c>
      <c r="L2909" s="102" t="str">
        <f aca="false">IF(N(E2909)=0,"",IF(COUNTIFS(AK_NAMA,C2909,AK_KAT,"KAS")+COUNTIFS(AK_NAMA,D2909,AK_KAT,"KAS")&lt;&gt;1,"",IF(COUNTIFS(AK_NAMA,C2909,AK_KAT,"KAS")=1,D2909,C2909)))</f>
        <v/>
      </c>
      <c r="M2909" s="103" t="n">
        <f aca="false">IF(L2909="",0,IF(L2909=D2909,E2909,-E2909))</f>
        <v>0</v>
      </c>
      <c r="N2909" s="102" t="str">
        <f aca="false">IF(L2909="","",IFERROR(INDEX(AK_BARIS,MATCH(L2909,AK_NAMA,0)),"?"))</f>
        <v/>
      </c>
      <c r="O2909" s="102" t="str">
        <f aca="false">IF(C2909="","",IFERROR(INDEX(AK_KEL,MATCH(C2909,AK_NAMA,0)),"?"))</f>
        <v/>
      </c>
      <c r="P2909" s="102" t="str">
        <f aca="false">IF(D2909="","",IFERROR(INDEX(AK_KEL,MATCH(D2909,AK_NAMA,0)),"?"))</f>
        <v/>
      </c>
      <c r="Q2909" s="102" t="n">
        <f aca="false">N(Q2908)+IF(AND(N(E2909)&lt;&gt;0,K2909=TAHUN,N(J2909)&lt;=BLN,OR(C2909=BB_AKUN,D2909=BB_AKUN)),1,0)</f>
        <v>877</v>
      </c>
      <c r="R2909" s="104" t="str">
        <f aca="false">IF(OR(C2909&amp;D2909="",N(E2909)=0),"",IF(OR(O2909="?",P2909="?"),"⚠ akun tidak dikenal",IF(C2909=D2909,"⚠ debet = kredit","")))</f>
        <v/>
      </c>
    </row>
    <row r="2910" customFormat="false" ht="15" hidden="false" customHeight="false" outlineLevel="0" collapsed="false">
      <c r="A2910" s="5"/>
      <c r="B2910" s="83"/>
      <c r="C2910" s="5"/>
      <c r="D2910" s="5"/>
      <c r="E2910" s="44"/>
      <c r="F2910" s="5"/>
      <c r="G2910" s="5"/>
      <c r="H2910" s="5"/>
      <c r="I2910" s="5"/>
      <c r="J2910" s="102" t="str">
        <f aca="false">IF(B2910="","",MONTH(B2910))</f>
        <v/>
      </c>
      <c r="K2910" s="102" t="str">
        <f aca="false">IF(B2910="","",YEAR(B2910))</f>
        <v/>
      </c>
      <c r="L2910" s="102" t="str">
        <f aca="false">IF(N(E2910)=0,"",IF(COUNTIFS(AK_NAMA,C2910,AK_KAT,"KAS")+COUNTIFS(AK_NAMA,D2910,AK_KAT,"KAS")&lt;&gt;1,"",IF(COUNTIFS(AK_NAMA,C2910,AK_KAT,"KAS")=1,D2910,C2910)))</f>
        <v/>
      </c>
      <c r="M2910" s="103" t="n">
        <f aca="false">IF(L2910="",0,IF(L2910=D2910,E2910,-E2910))</f>
        <v>0</v>
      </c>
      <c r="N2910" s="102" t="str">
        <f aca="false">IF(L2910="","",IFERROR(INDEX(AK_BARIS,MATCH(L2910,AK_NAMA,0)),"?"))</f>
        <v/>
      </c>
      <c r="O2910" s="102" t="str">
        <f aca="false">IF(C2910="","",IFERROR(INDEX(AK_KEL,MATCH(C2910,AK_NAMA,0)),"?"))</f>
        <v/>
      </c>
      <c r="P2910" s="102" t="str">
        <f aca="false">IF(D2910="","",IFERROR(INDEX(AK_KEL,MATCH(D2910,AK_NAMA,0)),"?"))</f>
        <v/>
      </c>
      <c r="Q2910" s="102" t="n">
        <f aca="false">N(Q2909)+IF(AND(N(E2910)&lt;&gt;0,K2910=TAHUN,N(J2910)&lt;=BLN,OR(C2910=BB_AKUN,D2910=BB_AKUN)),1,0)</f>
        <v>877</v>
      </c>
      <c r="R2910" s="104" t="str">
        <f aca="false">IF(OR(C2910&amp;D2910="",N(E2910)=0),"",IF(OR(O2910="?",P2910="?"),"⚠ akun tidak dikenal",IF(C2910=D2910,"⚠ debet = kredit","")))</f>
        <v/>
      </c>
    </row>
    <row r="2911" customFormat="false" ht="15" hidden="false" customHeight="false" outlineLevel="0" collapsed="false">
      <c r="A2911" s="5"/>
      <c r="B2911" s="83"/>
      <c r="C2911" s="5"/>
      <c r="D2911" s="5"/>
      <c r="E2911" s="44"/>
      <c r="F2911" s="5"/>
      <c r="G2911" s="5"/>
      <c r="H2911" s="5"/>
      <c r="I2911" s="5"/>
      <c r="J2911" s="102" t="str">
        <f aca="false">IF(B2911="","",MONTH(B2911))</f>
        <v/>
      </c>
      <c r="K2911" s="102" t="str">
        <f aca="false">IF(B2911="","",YEAR(B2911))</f>
        <v/>
      </c>
      <c r="L2911" s="102" t="str">
        <f aca="false">IF(N(E2911)=0,"",IF(COUNTIFS(AK_NAMA,C2911,AK_KAT,"KAS")+COUNTIFS(AK_NAMA,D2911,AK_KAT,"KAS")&lt;&gt;1,"",IF(COUNTIFS(AK_NAMA,C2911,AK_KAT,"KAS")=1,D2911,C2911)))</f>
        <v/>
      </c>
      <c r="M2911" s="103" t="n">
        <f aca="false">IF(L2911="",0,IF(L2911=D2911,E2911,-E2911))</f>
        <v>0</v>
      </c>
      <c r="N2911" s="102" t="str">
        <f aca="false">IF(L2911="","",IFERROR(INDEX(AK_BARIS,MATCH(L2911,AK_NAMA,0)),"?"))</f>
        <v/>
      </c>
      <c r="O2911" s="102" t="str">
        <f aca="false">IF(C2911="","",IFERROR(INDEX(AK_KEL,MATCH(C2911,AK_NAMA,0)),"?"))</f>
        <v/>
      </c>
      <c r="P2911" s="102" t="str">
        <f aca="false">IF(D2911="","",IFERROR(INDEX(AK_KEL,MATCH(D2911,AK_NAMA,0)),"?"))</f>
        <v/>
      </c>
      <c r="Q2911" s="102" t="n">
        <f aca="false">N(Q2910)+IF(AND(N(E2911)&lt;&gt;0,K2911=TAHUN,N(J2911)&lt;=BLN,OR(C2911=BB_AKUN,D2911=BB_AKUN)),1,0)</f>
        <v>877</v>
      </c>
      <c r="R2911" s="104" t="str">
        <f aca="false">IF(OR(C2911&amp;D2911="",N(E2911)=0),"",IF(OR(O2911="?",P2911="?"),"⚠ akun tidak dikenal",IF(C2911=D2911,"⚠ debet = kredit","")))</f>
        <v/>
      </c>
    </row>
    <row r="2912" customFormat="false" ht="15" hidden="false" customHeight="false" outlineLevel="0" collapsed="false">
      <c r="A2912" s="5"/>
      <c r="B2912" s="83"/>
      <c r="C2912" s="5"/>
      <c r="D2912" s="5"/>
      <c r="E2912" s="44"/>
      <c r="F2912" s="5"/>
      <c r="G2912" s="5"/>
      <c r="H2912" s="5"/>
      <c r="I2912" s="5"/>
      <c r="J2912" s="102" t="str">
        <f aca="false">IF(B2912="","",MONTH(B2912))</f>
        <v/>
      </c>
      <c r="K2912" s="102" t="str">
        <f aca="false">IF(B2912="","",YEAR(B2912))</f>
        <v/>
      </c>
      <c r="L2912" s="102" t="str">
        <f aca="false">IF(N(E2912)=0,"",IF(COUNTIFS(AK_NAMA,C2912,AK_KAT,"KAS")+COUNTIFS(AK_NAMA,D2912,AK_KAT,"KAS")&lt;&gt;1,"",IF(COUNTIFS(AK_NAMA,C2912,AK_KAT,"KAS")=1,D2912,C2912)))</f>
        <v/>
      </c>
      <c r="M2912" s="103" t="n">
        <f aca="false">IF(L2912="",0,IF(L2912=D2912,E2912,-E2912))</f>
        <v>0</v>
      </c>
      <c r="N2912" s="102" t="str">
        <f aca="false">IF(L2912="","",IFERROR(INDEX(AK_BARIS,MATCH(L2912,AK_NAMA,0)),"?"))</f>
        <v/>
      </c>
      <c r="O2912" s="102" t="str">
        <f aca="false">IF(C2912="","",IFERROR(INDEX(AK_KEL,MATCH(C2912,AK_NAMA,0)),"?"))</f>
        <v/>
      </c>
      <c r="P2912" s="102" t="str">
        <f aca="false">IF(D2912="","",IFERROR(INDEX(AK_KEL,MATCH(D2912,AK_NAMA,0)),"?"))</f>
        <v/>
      </c>
      <c r="Q2912" s="102" t="n">
        <f aca="false">N(Q2911)+IF(AND(N(E2912)&lt;&gt;0,K2912=TAHUN,N(J2912)&lt;=BLN,OR(C2912=BB_AKUN,D2912=BB_AKUN)),1,0)</f>
        <v>877</v>
      </c>
      <c r="R2912" s="104" t="str">
        <f aca="false">IF(OR(C2912&amp;D2912="",N(E2912)=0),"",IF(OR(O2912="?",P2912="?"),"⚠ akun tidak dikenal",IF(C2912=D2912,"⚠ debet = kredit","")))</f>
        <v/>
      </c>
    </row>
    <row r="2913" customFormat="false" ht="15" hidden="false" customHeight="false" outlineLevel="0" collapsed="false">
      <c r="A2913" s="5"/>
      <c r="B2913" s="83"/>
      <c r="C2913" s="5"/>
      <c r="D2913" s="5"/>
      <c r="E2913" s="44"/>
      <c r="F2913" s="5"/>
      <c r="G2913" s="5"/>
      <c r="H2913" s="5"/>
      <c r="I2913" s="5"/>
      <c r="J2913" s="102" t="str">
        <f aca="false">IF(B2913="","",MONTH(B2913))</f>
        <v/>
      </c>
      <c r="K2913" s="102" t="str">
        <f aca="false">IF(B2913="","",YEAR(B2913))</f>
        <v/>
      </c>
      <c r="L2913" s="102" t="str">
        <f aca="false">IF(N(E2913)=0,"",IF(COUNTIFS(AK_NAMA,C2913,AK_KAT,"KAS")+COUNTIFS(AK_NAMA,D2913,AK_KAT,"KAS")&lt;&gt;1,"",IF(COUNTIFS(AK_NAMA,C2913,AK_KAT,"KAS")=1,D2913,C2913)))</f>
        <v/>
      </c>
      <c r="M2913" s="103" t="n">
        <f aca="false">IF(L2913="",0,IF(L2913=D2913,E2913,-E2913))</f>
        <v>0</v>
      </c>
      <c r="N2913" s="102" t="str">
        <f aca="false">IF(L2913="","",IFERROR(INDEX(AK_BARIS,MATCH(L2913,AK_NAMA,0)),"?"))</f>
        <v/>
      </c>
      <c r="O2913" s="102" t="str">
        <f aca="false">IF(C2913="","",IFERROR(INDEX(AK_KEL,MATCH(C2913,AK_NAMA,0)),"?"))</f>
        <v/>
      </c>
      <c r="P2913" s="102" t="str">
        <f aca="false">IF(D2913="","",IFERROR(INDEX(AK_KEL,MATCH(D2913,AK_NAMA,0)),"?"))</f>
        <v/>
      </c>
      <c r="Q2913" s="102" t="n">
        <f aca="false">N(Q2912)+IF(AND(N(E2913)&lt;&gt;0,K2913=TAHUN,N(J2913)&lt;=BLN,OR(C2913=BB_AKUN,D2913=BB_AKUN)),1,0)</f>
        <v>877</v>
      </c>
      <c r="R2913" s="104" t="str">
        <f aca="false">IF(OR(C2913&amp;D2913="",N(E2913)=0),"",IF(OR(O2913="?",P2913="?"),"⚠ akun tidak dikenal",IF(C2913=D2913,"⚠ debet = kredit","")))</f>
        <v/>
      </c>
    </row>
    <row r="2914" customFormat="false" ht="15" hidden="false" customHeight="false" outlineLevel="0" collapsed="false">
      <c r="A2914" s="5"/>
      <c r="B2914" s="83"/>
      <c r="C2914" s="5"/>
      <c r="D2914" s="5"/>
      <c r="E2914" s="44"/>
      <c r="F2914" s="5"/>
      <c r="G2914" s="5"/>
      <c r="H2914" s="5"/>
      <c r="I2914" s="5"/>
      <c r="J2914" s="102" t="str">
        <f aca="false">IF(B2914="","",MONTH(B2914))</f>
        <v/>
      </c>
      <c r="K2914" s="102" t="str">
        <f aca="false">IF(B2914="","",YEAR(B2914))</f>
        <v/>
      </c>
      <c r="L2914" s="102" t="str">
        <f aca="false">IF(N(E2914)=0,"",IF(COUNTIFS(AK_NAMA,C2914,AK_KAT,"KAS")+COUNTIFS(AK_NAMA,D2914,AK_KAT,"KAS")&lt;&gt;1,"",IF(COUNTIFS(AK_NAMA,C2914,AK_KAT,"KAS")=1,D2914,C2914)))</f>
        <v/>
      </c>
      <c r="M2914" s="103" t="n">
        <f aca="false">IF(L2914="",0,IF(L2914=D2914,E2914,-E2914))</f>
        <v>0</v>
      </c>
      <c r="N2914" s="102" t="str">
        <f aca="false">IF(L2914="","",IFERROR(INDEX(AK_BARIS,MATCH(L2914,AK_NAMA,0)),"?"))</f>
        <v/>
      </c>
      <c r="O2914" s="102" t="str">
        <f aca="false">IF(C2914="","",IFERROR(INDEX(AK_KEL,MATCH(C2914,AK_NAMA,0)),"?"))</f>
        <v/>
      </c>
      <c r="P2914" s="102" t="str">
        <f aca="false">IF(D2914="","",IFERROR(INDEX(AK_KEL,MATCH(D2914,AK_NAMA,0)),"?"))</f>
        <v/>
      </c>
      <c r="Q2914" s="102" t="n">
        <f aca="false">N(Q2913)+IF(AND(N(E2914)&lt;&gt;0,K2914=TAHUN,N(J2914)&lt;=BLN,OR(C2914=BB_AKUN,D2914=BB_AKUN)),1,0)</f>
        <v>877</v>
      </c>
      <c r="R2914" s="104" t="str">
        <f aca="false">IF(OR(C2914&amp;D2914="",N(E2914)=0),"",IF(OR(O2914="?",P2914="?"),"⚠ akun tidak dikenal",IF(C2914=D2914,"⚠ debet = kredit","")))</f>
        <v/>
      </c>
    </row>
    <row r="2915" customFormat="false" ht="15" hidden="false" customHeight="false" outlineLevel="0" collapsed="false">
      <c r="A2915" s="5"/>
      <c r="B2915" s="83"/>
      <c r="C2915" s="5"/>
      <c r="D2915" s="5"/>
      <c r="E2915" s="44"/>
      <c r="F2915" s="5"/>
      <c r="G2915" s="5"/>
      <c r="H2915" s="5"/>
      <c r="I2915" s="5"/>
      <c r="J2915" s="102" t="str">
        <f aca="false">IF(B2915="","",MONTH(B2915))</f>
        <v/>
      </c>
      <c r="K2915" s="102" t="str">
        <f aca="false">IF(B2915="","",YEAR(B2915))</f>
        <v/>
      </c>
      <c r="L2915" s="102" t="str">
        <f aca="false">IF(N(E2915)=0,"",IF(COUNTIFS(AK_NAMA,C2915,AK_KAT,"KAS")+COUNTIFS(AK_NAMA,D2915,AK_KAT,"KAS")&lt;&gt;1,"",IF(COUNTIFS(AK_NAMA,C2915,AK_KAT,"KAS")=1,D2915,C2915)))</f>
        <v/>
      </c>
      <c r="M2915" s="103" t="n">
        <f aca="false">IF(L2915="",0,IF(L2915=D2915,E2915,-E2915))</f>
        <v>0</v>
      </c>
      <c r="N2915" s="102" t="str">
        <f aca="false">IF(L2915="","",IFERROR(INDEX(AK_BARIS,MATCH(L2915,AK_NAMA,0)),"?"))</f>
        <v/>
      </c>
      <c r="O2915" s="102" t="str">
        <f aca="false">IF(C2915="","",IFERROR(INDEX(AK_KEL,MATCH(C2915,AK_NAMA,0)),"?"))</f>
        <v/>
      </c>
      <c r="P2915" s="102" t="str">
        <f aca="false">IF(D2915="","",IFERROR(INDEX(AK_KEL,MATCH(D2915,AK_NAMA,0)),"?"))</f>
        <v/>
      </c>
      <c r="Q2915" s="102" t="n">
        <f aca="false">N(Q2914)+IF(AND(N(E2915)&lt;&gt;0,K2915=TAHUN,N(J2915)&lt;=BLN,OR(C2915=BB_AKUN,D2915=BB_AKUN)),1,0)</f>
        <v>877</v>
      </c>
      <c r="R2915" s="104" t="str">
        <f aca="false">IF(OR(C2915&amp;D2915="",N(E2915)=0),"",IF(OR(O2915="?",P2915="?"),"⚠ akun tidak dikenal",IF(C2915=D2915,"⚠ debet = kredit","")))</f>
        <v/>
      </c>
    </row>
    <row r="2916" customFormat="false" ht="15" hidden="false" customHeight="false" outlineLevel="0" collapsed="false">
      <c r="A2916" s="5"/>
      <c r="B2916" s="83"/>
      <c r="C2916" s="5"/>
      <c r="D2916" s="5"/>
      <c r="E2916" s="44"/>
      <c r="F2916" s="5"/>
      <c r="G2916" s="5"/>
      <c r="H2916" s="5"/>
      <c r="I2916" s="5"/>
      <c r="J2916" s="102" t="str">
        <f aca="false">IF(B2916="","",MONTH(B2916))</f>
        <v/>
      </c>
      <c r="K2916" s="102" t="str">
        <f aca="false">IF(B2916="","",YEAR(B2916))</f>
        <v/>
      </c>
      <c r="L2916" s="102" t="str">
        <f aca="false">IF(N(E2916)=0,"",IF(COUNTIFS(AK_NAMA,C2916,AK_KAT,"KAS")+COUNTIFS(AK_NAMA,D2916,AK_KAT,"KAS")&lt;&gt;1,"",IF(COUNTIFS(AK_NAMA,C2916,AK_KAT,"KAS")=1,D2916,C2916)))</f>
        <v/>
      </c>
      <c r="M2916" s="103" t="n">
        <f aca="false">IF(L2916="",0,IF(L2916=D2916,E2916,-E2916))</f>
        <v>0</v>
      </c>
      <c r="N2916" s="102" t="str">
        <f aca="false">IF(L2916="","",IFERROR(INDEX(AK_BARIS,MATCH(L2916,AK_NAMA,0)),"?"))</f>
        <v/>
      </c>
      <c r="O2916" s="102" t="str">
        <f aca="false">IF(C2916="","",IFERROR(INDEX(AK_KEL,MATCH(C2916,AK_NAMA,0)),"?"))</f>
        <v/>
      </c>
      <c r="P2916" s="102" t="str">
        <f aca="false">IF(D2916="","",IFERROR(INDEX(AK_KEL,MATCH(D2916,AK_NAMA,0)),"?"))</f>
        <v/>
      </c>
      <c r="Q2916" s="102" t="n">
        <f aca="false">N(Q2915)+IF(AND(N(E2916)&lt;&gt;0,K2916=TAHUN,N(J2916)&lt;=BLN,OR(C2916=BB_AKUN,D2916=BB_AKUN)),1,0)</f>
        <v>877</v>
      </c>
      <c r="R2916" s="104" t="str">
        <f aca="false">IF(OR(C2916&amp;D2916="",N(E2916)=0),"",IF(OR(O2916="?",P2916="?"),"⚠ akun tidak dikenal",IF(C2916=D2916,"⚠ debet = kredit","")))</f>
        <v/>
      </c>
    </row>
    <row r="2917" customFormat="false" ht="15" hidden="false" customHeight="false" outlineLevel="0" collapsed="false">
      <c r="A2917" s="5"/>
      <c r="B2917" s="83"/>
      <c r="C2917" s="5"/>
      <c r="D2917" s="5"/>
      <c r="E2917" s="44"/>
      <c r="F2917" s="5"/>
      <c r="G2917" s="5"/>
      <c r="H2917" s="5"/>
      <c r="I2917" s="5"/>
      <c r="J2917" s="102" t="str">
        <f aca="false">IF(B2917="","",MONTH(B2917))</f>
        <v/>
      </c>
      <c r="K2917" s="102" t="str">
        <f aca="false">IF(B2917="","",YEAR(B2917))</f>
        <v/>
      </c>
      <c r="L2917" s="102" t="str">
        <f aca="false">IF(N(E2917)=0,"",IF(COUNTIFS(AK_NAMA,C2917,AK_KAT,"KAS")+COUNTIFS(AK_NAMA,D2917,AK_KAT,"KAS")&lt;&gt;1,"",IF(COUNTIFS(AK_NAMA,C2917,AK_KAT,"KAS")=1,D2917,C2917)))</f>
        <v/>
      </c>
      <c r="M2917" s="103" t="n">
        <f aca="false">IF(L2917="",0,IF(L2917=D2917,E2917,-E2917))</f>
        <v>0</v>
      </c>
      <c r="N2917" s="102" t="str">
        <f aca="false">IF(L2917="","",IFERROR(INDEX(AK_BARIS,MATCH(L2917,AK_NAMA,0)),"?"))</f>
        <v/>
      </c>
      <c r="O2917" s="102" t="str">
        <f aca="false">IF(C2917="","",IFERROR(INDEX(AK_KEL,MATCH(C2917,AK_NAMA,0)),"?"))</f>
        <v/>
      </c>
      <c r="P2917" s="102" t="str">
        <f aca="false">IF(D2917="","",IFERROR(INDEX(AK_KEL,MATCH(D2917,AK_NAMA,0)),"?"))</f>
        <v/>
      </c>
      <c r="Q2917" s="102" t="n">
        <f aca="false">N(Q2916)+IF(AND(N(E2917)&lt;&gt;0,K2917=TAHUN,N(J2917)&lt;=BLN,OR(C2917=BB_AKUN,D2917=BB_AKUN)),1,0)</f>
        <v>877</v>
      </c>
      <c r="R2917" s="104" t="str">
        <f aca="false">IF(OR(C2917&amp;D2917="",N(E2917)=0),"",IF(OR(O2917="?",P2917="?"),"⚠ akun tidak dikenal",IF(C2917=D2917,"⚠ debet = kredit","")))</f>
        <v/>
      </c>
    </row>
    <row r="2918" customFormat="false" ht="15" hidden="false" customHeight="false" outlineLevel="0" collapsed="false">
      <c r="A2918" s="5"/>
      <c r="B2918" s="83"/>
      <c r="C2918" s="5"/>
      <c r="D2918" s="5"/>
      <c r="E2918" s="44"/>
      <c r="F2918" s="5"/>
      <c r="G2918" s="5"/>
      <c r="H2918" s="5"/>
      <c r="I2918" s="5"/>
      <c r="J2918" s="102" t="str">
        <f aca="false">IF(B2918="","",MONTH(B2918))</f>
        <v/>
      </c>
      <c r="K2918" s="102" t="str">
        <f aca="false">IF(B2918="","",YEAR(B2918))</f>
        <v/>
      </c>
      <c r="L2918" s="102" t="str">
        <f aca="false">IF(N(E2918)=0,"",IF(COUNTIFS(AK_NAMA,C2918,AK_KAT,"KAS")+COUNTIFS(AK_NAMA,D2918,AK_KAT,"KAS")&lt;&gt;1,"",IF(COUNTIFS(AK_NAMA,C2918,AK_KAT,"KAS")=1,D2918,C2918)))</f>
        <v/>
      </c>
      <c r="M2918" s="103" t="n">
        <f aca="false">IF(L2918="",0,IF(L2918=D2918,E2918,-E2918))</f>
        <v>0</v>
      </c>
      <c r="N2918" s="102" t="str">
        <f aca="false">IF(L2918="","",IFERROR(INDEX(AK_BARIS,MATCH(L2918,AK_NAMA,0)),"?"))</f>
        <v/>
      </c>
      <c r="O2918" s="102" t="str">
        <f aca="false">IF(C2918="","",IFERROR(INDEX(AK_KEL,MATCH(C2918,AK_NAMA,0)),"?"))</f>
        <v/>
      </c>
      <c r="P2918" s="102" t="str">
        <f aca="false">IF(D2918="","",IFERROR(INDEX(AK_KEL,MATCH(D2918,AK_NAMA,0)),"?"))</f>
        <v/>
      </c>
      <c r="Q2918" s="102" t="n">
        <f aca="false">N(Q2917)+IF(AND(N(E2918)&lt;&gt;0,K2918=TAHUN,N(J2918)&lt;=BLN,OR(C2918=BB_AKUN,D2918=BB_AKUN)),1,0)</f>
        <v>877</v>
      </c>
      <c r="R2918" s="104" t="str">
        <f aca="false">IF(OR(C2918&amp;D2918="",N(E2918)=0),"",IF(OR(O2918="?",P2918="?"),"⚠ akun tidak dikenal",IF(C2918=D2918,"⚠ debet = kredit","")))</f>
        <v/>
      </c>
    </row>
    <row r="2919" customFormat="false" ht="15" hidden="false" customHeight="false" outlineLevel="0" collapsed="false">
      <c r="A2919" s="5"/>
      <c r="B2919" s="83"/>
      <c r="C2919" s="5"/>
      <c r="D2919" s="5"/>
      <c r="E2919" s="44"/>
      <c r="F2919" s="5"/>
      <c r="G2919" s="5"/>
      <c r="H2919" s="5"/>
      <c r="I2919" s="5"/>
      <c r="J2919" s="102" t="str">
        <f aca="false">IF(B2919="","",MONTH(B2919))</f>
        <v/>
      </c>
      <c r="K2919" s="102" t="str">
        <f aca="false">IF(B2919="","",YEAR(B2919))</f>
        <v/>
      </c>
      <c r="L2919" s="102" t="str">
        <f aca="false">IF(N(E2919)=0,"",IF(COUNTIFS(AK_NAMA,C2919,AK_KAT,"KAS")+COUNTIFS(AK_NAMA,D2919,AK_KAT,"KAS")&lt;&gt;1,"",IF(COUNTIFS(AK_NAMA,C2919,AK_KAT,"KAS")=1,D2919,C2919)))</f>
        <v/>
      </c>
      <c r="M2919" s="103" t="n">
        <f aca="false">IF(L2919="",0,IF(L2919=D2919,E2919,-E2919))</f>
        <v>0</v>
      </c>
      <c r="N2919" s="102" t="str">
        <f aca="false">IF(L2919="","",IFERROR(INDEX(AK_BARIS,MATCH(L2919,AK_NAMA,0)),"?"))</f>
        <v/>
      </c>
      <c r="O2919" s="102" t="str">
        <f aca="false">IF(C2919="","",IFERROR(INDEX(AK_KEL,MATCH(C2919,AK_NAMA,0)),"?"))</f>
        <v/>
      </c>
      <c r="P2919" s="102" t="str">
        <f aca="false">IF(D2919="","",IFERROR(INDEX(AK_KEL,MATCH(D2919,AK_NAMA,0)),"?"))</f>
        <v/>
      </c>
      <c r="Q2919" s="102" t="n">
        <f aca="false">N(Q2918)+IF(AND(N(E2919)&lt;&gt;0,K2919=TAHUN,N(J2919)&lt;=BLN,OR(C2919=BB_AKUN,D2919=BB_AKUN)),1,0)</f>
        <v>877</v>
      </c>
      <c r="R2919" s="104" t="str">
        <f aca="false">IF(OR(C2919&amp;D2919="",N(E2919)=0),"",IF(OR(O2919="?",P2919="?"),"⚠ akun tidak dikenal",IF(C2919=D2919,"⚠ debet = kredit","")))</f>
        <v/>
      </c>
    </row>
    <row r="2920" customFormat="false" ht="15" hidden="false" customHeight="false" outlineLevel="0" collapsed="false">
      <c r="A2920" s="5"/>
      <c r="B2920" s="83"/>
      <c r="C2920" s="5"/>
      <c r="D2920" s="5"/>
      <c r="E2920" s="44"/>
      <c r="F2920" s="5"/>
      <c r="G2920" s="5"/>
      <c r="H2920" s="5"/>
      <c r="I2920" s="5"/>
      <c r="J2920" s="102" t="str">
        <f aca="false">IF(B2920="","",MONTH(B2920))</f>
        <v/>
      </c>
      <c r="K2920" s="102" t="str">
        <f aca="false">IF(B2920="","",YEAR(B2920))</f>
        <v/>
      </c>
      <c r="L2920" s="102" t="str">
        <f aca="false">IF(N(E2920)=0,"",IF(COUNTIFS(AK_NAMA,C2920,AK_KAT,"KAS")+COUNTIFS(AK_NAMA,D2920,AK_KAT,"KAS")&lt;&gt;1,"",IF(COUNTIFS(AK_NAMA,C2920,AK_KAT,"KAS")=1,D2920,C2920)))</f>
        <v/>
      </c>
      <c r="M2920" s="103" t="n">
        <f aca="false">IF(L2920="",0,IF(L2920=D2920,E2920,-E2920))</f>
        <v>0</v>
      </c>
      <c r="N2920" s="102" t="str">
        <f aca="false">IF(L2920="","",IFERROR(INDEX(AK_BARIS,MATCH(L2920,AK_NAMA,0)),"?"))</f>
        <v/>
      </c>
      <c r="O2920" s="102" t="str">
        <f aca="false">IF(C2920="","",IFERROR(INDEX(AK_KEL,MATCH(C2920,AK_NAMA,0)),"?"))</f>
        <v/>
      </c>
      <c r="P2920" s="102" t="str">
        <f aca="false">IF(D2920="","",IFERROR(INDEX(AK_KEL,MATCH(D2920,AK_NAMA,0)),"?"))</f>
        <v/>
      </c>
      <c r="Q2920" s="102" t="n">
        <f aca="false">N(Q2919)+IF(AND(N(E2920)&lt;&gt;0,K2920=TAHUN,N(J2920)&lt;=BLN,OR(C2920=BB_AKUN,D2920=BB_AKUN)),1,0)</f>
        <v>877</v>
      </c>
      <c r="R2920" s="104" t="str">
        <f aca="false">IF(OR(C2920&amp;D2920="",N(E2920)=0),"",IF(OR(O2920="?",P2920="?"),"⚠ akun tidak dikenal",IF(C2920=D2920,"⚠ debet = kredit","")))</f>
        <v/>
      </c>
    </row>
    <row r="2921" customFormat="false" ht="15" hidden="false" customHeight="false" outlineLevel="0" collapsed="false">
      <c r="A2921" s="5"/>
      <c r="B2921" s="83"/>
      <c r="C2921" s="5"/>
      <c r="D2921" s="5"/>
      <c r="E2921" s="44"/>
      <c r="F2921" s="5"/>
      <c r="G2921" s="5"/>
      <c r="H2921" s="5"/>
      <c r="I2921" s="5"/>
      <c r="J2921" s="102" t="str">
        <f aca="false">IF(B2921="","",MONTH(B2921))</f>
        <v/>
      </c>
      <c r="K2921" s="102" t="str">
        <f aca="false">IF(B2921="","",YEAR(B2921))</f>
        <v/>
      </c>
      <c r="L2921" s="102" t="str">
        <f aca="false">IF(N(E2921)=0,"",IF(COUNTIFS(AK_NAMA,C2921,AK_KAT,"KAS")+COUNTIFS(AK_NAMA,D2921,AK_KAT,"KAS")&lt;&gt;1,"",IF(COUNTIFS(AK_NAMA,C2921,AK_KAT,"KAS")=1,D2921,C2921)))</f>
        <v/>
      </c>
      <c r="M2921" s="103" t="n">
        <f aca="false">IF(L2921="",0,IF(L2921=D2921,E2921,-E2921))</f>
        <v>0</v>
      </c>
      <c r="N2921" s="102" t="str">
        <f aca="false">IF(L2921="","",IFERROR(INDEX(AK_BARIS,MATCH(L2921,AK_NAMA,0)),"?"))</f>
        <v/>
      </c>
      <c r="O2921" s="102" t="str">
        <f aca="false">IF(C2921="","",IFERROR(INDEX(AK_KEL,MATCH(C2921,AK_NAMA,0)),"?"))</f>
        <v/>
      </c>
      <c r="P2921" s="102" t="str">
        <f aca="false">IF(D2921="","",IFERROR(INDEX(AK_KEL,MATCH(D2921,AK_NAMA,0)),"?"))</f>
        <v/>
      </c>
      <c r="Q2921" s="102" t="n">
        <f aca="false">N(Q2920)+IF(AND(N(E2921)&lt;&gt;0,K2921=TAHUN,N(J2921)&lt;=BLN,OR(C2921=BB_AKUN,D2921=BB_AKUN)),1,0)</f>
        <v>877</v>
      </c>
      <c r="R2921" s="104" t="str">
        <f aca="false">IF(OR(C2921&amp;D2921="",N(E2921)=0),"",IF(OR(O2921="?",P2921="?"),"⚠ akun tidak dikenal",IF(C2921=D2921,"⚠ debet = kredit","")))</f>
        <v/>
      </c>
    </row>
    <row r="2922" customFormat="false" ht="15" hidden="false" customHeight="false" outlineLevel="0" collapsed="false">
      <c r="A2922" s="5"/>
      <c r="B2922" s="83"/>
      <c r="C2922" s="5"/>
      <c r="D2922" s="5"/>
      <c r="E2922" s="44"/>
      <c r="F2922" s="5"/>
      <c r="G2922" s="5"/>
      <c r="H2922" s="5"/>
      <c r="I2922" s="5"/>
      <c r="J2922" s="102" t="str">
        <f aca="false">IF(B2922="","",MONTH(B2922))</f>
        <v/>
      </c>
      <c r="K2922" s="102" t="str">
        <f aca="false">IF(B2922="","",YEAR(B2922))</f>
        <v/>
      </c>
      <c r="L2922" s="102" t="str">
        <f aca="false">IF(N(E2922)=0,"",IF(COUNTIFS(AK_NAMA,C2922,AK_KAT,"KAS")+COUNTIFS(AK_NAMA,D2922,AK_KAT,"KAS")&lt;&gt;1,"",IF(COUNTIFS(AK_NAMA,C2922,AK_KAT,"KAS")=1,D2922,C2922)))</f>
        <v/>
      </c>
      <c r="M2922" s="103" t="n">
        <f aca="false">IF(L2922="",0,IF(L2922=D2922,E2922,-E2922))</f>
        <v>0</v>
      </c>
      <c r="N2922" s="102" t="str">
        <f aca="false">IF(L2922="","",IFERROR(INDEX(AK_BARIS,MATCH(L2922,AK_NAMA,0)),"?"))</f>
        <v/>
      </c>
      <c r="O2922" s="102" t="str">
        <f aca="false">IF(C2922="","",IFERROR(INDEX(AK_KEL,MATCH(C2922,AK_NAMA,0)),"?"))</f>
        <v/>
      </c>
      <c r="P2922" s="102" t="str">
        <f aca="false">IF(D2922="","",IFERROR(INDEX(AK_KEL,MATCH(D2922,AK_NAMA,0)),"?"))</f>
        <v/>
      </c>
      <c r="Q2922" s="102" t="n">
        <f aca="false">N(Q2921)+IF(AND(N(E2922)&lt;&gt;0,K2922=TAHUN,N(J2922)&lt;=BLN,OR(C2922=BB_AKUN,D2922=BB_AKUN)),1,0)</f>
        <v>877</v>
      </c>
      <c r="R2922" s="104" t="str">
        <f aca="false">IF(OR(C2922&amp;D2922="",N(E2922)=0),"",IF(OR(O2922="?",P2922="?"),"⚠ akun tidak dikenal",IF(C2922=D2922,"⚠ debet = kredit","")))</f>
        <v/>
      </c>
    </row>
    <row r="2923" customFormat="false" ht="15" hidden="false" customHeight="false" outlineLevel="0" collapsed="false">
      <c r="A2923" s="5"/>
      <c r="B2923" s="83"/>
      <c r="C2923" s="5"/>
      <c r="D2923" s="5"/>
      <c r="E2923" s="44"/>
      <c r="F2923" s="5"/>
      <c r="G2923" s="5"/>
      <c r="H2923" s="5"/>
      <c r="I2923" s="5"/>
      <c r="J2923" s="102" t="str">
        <f aca="false">IF(B2923="","",MONTH(B2923))</f>
        <v/>
      </c>
      <c r="K2923" s="102" t="str">
        <f aca="false">IF(B2923="","",YEAR(B2923))</f>
        <v/>
      </c>
      <c r="L2923" s="102" t="str">
        <f aca="false">IF(N(E2923)=0,"",IF(COUNTIFS(AK_NAMA,C2923,AK_KAT,"KAS")+COUNTIFS(AK_NAMA,D2923,AK_KAT,"KAS")&lt;&gt;1,"",IF(COUNTIFS(AK_NAMA,C2923,AK_KAT,"KAS")=1,D2923,C2923)))</f>
        <v/>
      </c>
      <c r="M2923" s="103" t="n">
        <f aca="false">IF(L2923="",0,IF(L2923=D2923,E2923,-E2923))</f>
        <v>0</v>
      </c>
      <c r="N2923" s="102" t="str">
        <f aca="false">IF(L2923="","",IFERROR(INDEX(AK_BARIS,MATCH(L2923,AK_NAMA,0)),"?"))</f>
        <v/>
      </c>
      <c r="O2923" s="102" t="str">
        <f aca="false">IF(C2923="","",IFERROR(INDEX(AK_KEL,MATCH(C2923,AK_NAMA,0)),"?"))</f>
        <v/>
      </c>
      <c r="P2923" s="102" t="str">
        <f aca="false">IF(D2923="","",IFERROR(INDEX(AK_KEL,MATCH(D2923,AK_NAMA,0)),"?"))</f>
        <v/>
      </c>
      <c r="Q2923" s="102" t="n">
        <f aca="false">N(Q2922)+IF(AND(N(E2923)&lt;&gt;0,K2923=TAHUN,N(J2923)&lt;=BLN,OR(C2923=BB_AKUN,D2923=BB_AKUN)),1,0)</f>
        <v>877</v>
      </c>
      <c r="R2923" s="104" t="str">
        <f aca="false">IF(OR(C2923&amp;D2923="",N(E2923)=0),"",IF(OR(O2923="?",P2923="?"),"⚠ akun tidak dikenal",IF(C2923=D2923,"⚠ debet = kredit","")))</f>
        <v/>
      </c>
    </row>
    <row r="2924" customFormat="false" ht="15" hidden="false" customHeight="false" outlineLevel="0" collapsed="false">
      <c r="A2924" s="5"/>
      <c r="B2924" s="83"/>
      <c r="C2924" s="5"/>
      <c r="D2924" s="5"/>
      <c r="E2924" s="44"/>
      <c r="F2924" s="5"/>
      <c r="G2924" s="5"/>
      <c r="H2924" s="5"/>
      <c r="I2924" s="5"/>
      <c r="J2924" s="102" t="str">
        <f aca="false">IF(B2924="","",MONTH(B2924))</f>
        <v/>
      </c>
      <c r="K2924" s="102" t="str">
        <f aca="false">IF(B2924="","",YEAR(B2924))</f>
        <v/>
      </c>
      <c r="L2924" s="102" t="str">
        <f aca="false">IF(N(E2924)=0,"",IF(COUNTIFS(AK_NAMA,C2924,AK_KAT,"KAS")+COUNTIFS(AK_NAMA,D2924,AK_KAT,"KAS")&lt;&gt;1,"",IF(COUNTIFS(AK_NAMA,C2924,AK_KAT,"KAS")=1,D2924,C2924)))</f>
        <v/>
      </c>
      <c r="M2924" s="103" t="n">
        <f aca="false">IF(L2924="",0,IF(L2924=D2924,E2924,-E2924))</f>
        <v>0</v>
      </c>
      <c r="N2924" s="102" t="str">
        <f aca="false">IF(L2924="","",IFERROR(INDEX(AK_BARIS,MATCH(L2924,AK_NAMA,0)),"?"))</f>
        <v/>
      </c>
      <c r="O2924" s="102" t="str">
        <f aca="false">IF(C2924="","",IFERROR(INDEX(AK_KEL,MATCH(C2924,AK_NAMA,0)),"?"))</f>
        <v/>
      </c>
      <c r="P2924" s="102" t="str">
        <f aca="false">IF(D2924="","",IFERROR(INDEX(AK_KEL,MATCH(D2924,AK_NAMA,0)),"?"))</f>
        <v/>
      </c>
      <c r="Q2924" s="102" t="n">
        <f aca="false">N(Q2923)+IF(AND(N(E2924)&lt;&gt;0,K2924=TAHUN,N(J2924)&lt;=BLN,OR(C2924=BB_AKUN,D2924=BB_AKUN)),1,0)</f>
        <v>877</v>
      </c>
      <c r="R2924" s="104" t="str">
        <f aca="false">IF(OR(C2924&amp;D2924="",N(E2924)=0),"",IF(OR(O2924="?",P2924="?"),"⚠ akun tidak dikenal",IF(C2924=D2924,"⚠ debet = kredit","")))</f>
        <v/>
      </c>
    </row>
    <row r="2925" customFormat="false" ht="15" hidden="false" customHeight="false" outlineLevel="0" collapsed="false">
      <c r="A2925" s="5"/>
      <c r="B2925" s="83"/>
      <c r="C2925" s="5"/>
      <c r="D2925" s="5"/>
      <c r="E2925" s="44"/>
      <c r="F2925" s="5"/>
      <c r="G2925" s="5"/>
      <c r="H2925" s="5"/>
      <c r="I2925" s="5"/>
      <c r="J2925" s="102" t="str">
        <f aca="false">IF(B2925="","",MONTH(B2925))</f>
        <v/>
      </c>
      <c r="K2925" s="102" t="str">
        <f aca="false">IF(B2925="","",YEAR(B2925))</f>
        <v/>
      </c>
      <c r="L2925" s="102" t="str">
        <f aca="false">IF(N(E2925)=0,"",IF(COUNTIFS(AK_NAMA,C2925,AK_KAT,"KAS")+COUNTIFS(AK_NAMA,D2925,AK_KAT,"KAS")&lt;&gt;1,"",IF(COUNTIFS(AK_NAMA,C2925,AK_KAT,"KAS")=1,D2925,C2925)))</f>
        <v/>
      </c>
      <c r="M2925" s="103" t="n">
        <f aca="false">IF(L2925="",0,IF(L2925=D2925,E2925,-E2925))</f>
        <v>0</v>
      </c>
      <c r="N2925" s="102" t="str">
        <f aca="false">IF(L2925="","",IFERROR(INDEX(AK_BARIS,MATCH(L2925,AK_NAMA,0)),"?"))</f>
        <v/>
      </c>
      <c r="O2925" s="102" t="str">
        <f aca="false">IF(C2925="","",IFERROR(INDEX(AK_KEL,MATCH(C2925,AK_NAMA,0)),"?"))</f>
        <v/>
      </c>
      <c r="P2925" s="102" t="str">
        <f aca="false">IF(D2925="","",IFERROR(INDEX(AK_KEL,MATCH(D2925,AK_NAMA,0)),"?"))</f>
        <v/>
      </c>
      <c r="Q2925" s="102" t="n">
        <f aca="false">N(Q2924)+IF(AND(N(E2925)&lt;&gt;0,K2925=TAHUN,N(J2925)&lt;=BLN,OR(C2925=BB_AKUN,D2925=BB_AKUN)),1,0)</f>
        <v>877</v>
      </c>
      <c r="R2925" s="104" t="str">
        <f aca="false">IF(OR(C2925&amp;D2925="",N(E2925)=0),"",IF(OR(O2925="?",P2925="?"),"⚠ akun tidak dikenal",IF(C2925=D2925,"⚠ debet = kredit","")))</f>
        <v/>
      </c>
    </row>
    <row r="2926" customFormat="false" ht="15" hidden="false" customHeight="false" outlineLevel="0" collapsed="false">
      <c r="A2926" s="5"/>
      <c r="B2926" s="83"/>
      <c r="C2926" s="5"/>
      <c r="D2926" s="5"/>
      <c r="E2926" s="44"/>
      <c r="F2926" s="5"/>
      <c r="G2926" s="5"/>
      <c r="H2926" s="5"/>
      <c r="I2926" s="5"/>
      <c r="J2926" s="102" t="str">
        <f aca="false">IF(B2926="","",MONTH(B2926))</f>
        <v/>
      </c>
      <c r="K2926" s="102" t="str">
        <f aca="false">IF(B2926="","",YEAR(B2926))</f>
        <v/>
      </c>
      <c r="L2926" s="102" t="str">
        <f aca="false">IF(N(E2926)=0,"",IF(COUNTIFS(AK_NAMA,C2926,AK_KAT,"KAS")+COUNTIFS(AK_NAMA,D2926,AK_KAT,"KAS")&lt;&gt;1,"",IF(COUNTIFS(AK_NAMA,C2926,AK_KAT,"KAS")=1,D2926,C2926)))</f>
        <v/>
      </c>
      <c r="M2926" s="103" t="n">
        <f aca="false">IF(L2926="",0,IF(L2926=D2926,E2926,-E2926))</f>
        <v>0</v>
      </c>
      <c r="N2926" s="102" t="str">
        <f aca="false">IF(L2926="","",IFERROR(INDEX(AK_BARIS,MATCH(L2926,AK_NAMA,0)),"?"))</f>
        <v/>
      </c>
      <c r="O2926" s="102" t="str">
        <f aca="false">IF(C2926="","",IFERROR(INDEX(AK_KEL,MATCH(C2926,AK_NAMA,0)),"?"))</f>
        <v/>
      </c>
      <c r="P2926" s="102" t="str">
        <f aca="false">IF(D2926="","",IFERROR(INDEX(AK_KEL,MATCH(D2926,AK_NAMA,0)),"?"))</f>
        <v/>
      </c>
      <c r="Q2926" s="102" t="n">
        <f aca="false">N(Q2925)+IF(AND(N(E2926)&lt;&gt;0,K2926=TAHUN,N(J2926)&lt;=BLN,OR(C2926=BB_AKUN,D2926=BB_AKUN)),1,0)</f>
        <v>877</v>
      </c>
      <c r="R2926" s="104" t="str">
        <f aca="false">IF(OR(C2926&amp;D2926="",N(E2926)=0),"",IF(OR(O2926="?",P2926="?"),"⚠ akun tidak dikenal",IF(C2926=D2926,"⚠ debet = kredit","")))</f>
        <v/>
      </c>
    </row>
    <row r="2927" customFormat="false" ht="15" hidden="false" customHeight="false" outlineLevel="0" collapsed="false">
      <c r="A2927" s="5"/>
      <c r="B2927" s="83"/>
      <c r="C2927" s="5"/>
      <c r="D2927" s="5"/>
      <c r="E2927" s="44"/>
      <c r="F2927" s="5"/>
      <c r="G2927" s="5"/>
      <c r="H2927" s="5"/>
      <c r="I2927" s="5"/>
      <c r="J2927" s="102" t="str">
        <f aca="false">IF(B2927="","",MONTH(B2927))</f>
        <v/>
      </c>
      <c r="K2927" s="102" t="str">
        <f aca="false">IF(B2927="","",YEAR(B2927))</f>
        <v/>
      </c>
      <c r="L2927" s="102" t="str">
        <f aca="false">IF(N(E2927)=0,"",IF(COUNTIFS(AK_NAMA,C2927,AK_KAT,"KAS")+COUNTIFS(AK_NAMA,D2927,AK_KAT,"KAS")&lt;&gt;1,"",IF(COUNTIFS(AK_NAMA,C2927,AK_KAT,"KAS")=1,D2927,C2927)))</f>
        <v/>
      </c>
      <c r="M2927" s="103" t="n">
        <f aca="false">IF(L2927="",0,IF(L2927=D2927,E2927,-E2927))</f>
        <v>0</v>
      </c>
      <c r="N2927" s="102" t="str">
        <f aca="false">IF(L2927="","",IFERROR(INDEX(AK_BARIS,MATCH(L2927,AK_NAMA,0)),"?"))</f>
        <v/>
      </c>
      <c r="O2927" s="102" t="str">
        <f aca="false">IF(C2927="","",IFERROR(INDEX(AK_KEL,MATCH(C2927,AK_NAMA,0)),"?"))</f>
        <v/>
      </c>
      <c r="P2927" s="102" t="str">
        <f aca="false">IF(D2927="","",IFERROR(INDEX(AK_KEL,MATCH(D2927,AK_NAMA,0)),"?"))</f>
        <v/>
      </c>
      <c r="Q2927" s="102" t="n">
        <f aca="false">N(Q2926)+IF(AND(N(E2927)&lt;&gt;0,K2927=TAHUN,N(J2927)&lt;=BLN,OR(C2927=BB_AKUN,D2927=BB_AKUN)),1,0)</f>
        <v>877</v>
      </c>
      <c r="R2927" s="104" t="str">
        <f aca="false">IF(OR(C2927&amp;D2927="",N(E2927)=0),"",IF(OR(O2927="?",P2927="?"),"⚠ akun tidak dikenal",IF(C2927=D2927,"⚠ debet = kredit","")))</f>
        <v/>
      </c>
    </row>
    <row r="2928" customFormat="false" ht="15" hidden="false" customHeight="false" outlineLevel="0" collapsed="false">
      <c r="A2928" s="5"/>
      <c r="B2928" s="83"/>
      <c r="C2928" s="5"/>
      <c r="D2928" s="5"/>
      <c r="E2928" s="44"/>
      <c r="F2928" s="5"/>
      <c r="G2928" s="5"/>
      <c r="H2928" s="5"/>
      <c r="I2928" s="5"/>
      <c r="J2928" s="102" t="str">
        <f aca="false">IF(B2928="","",MONTH(B2928))</f>
        <v/>
      </c>
      <c r="K2928" s="102" t="str">
        <f aca="false">IF(B2928="","",YEAR(B2928))</f>
        <v/>
      </c>
      <c r="L2928" s="102" t="str">
        <f aca="false">IF(N(E2928)=0,"",IF(COUNTIFS(AK_NAMA,C2928,AK_KAT,"KAS")+COUNTIFS(AK_NAMA,D2928,AK_KAT,"KAS")&lt;&gt;1,"",IF(COUNTIFS(AK_NAMA,C2928,AK_KAT,"KAS")=1,D2928,C2928)))</f>
        <v/>
      </c>
      <c r="M2928" s="103" t="n">
        <f aca="false">IF(L2928="",0,IF(L2928=D2928,E2928,-E2928))</f>
        <v>0</v>
      </c>
      <c r="N2928" s="102" t="str">
        <f aca="false">IF(L2928="","",IFERROR(INDEX(AK_BARIS,MATCH(L2928,AK_NAMA,0)),"?"))</f>
        <v/>
      </c>
      <c r="O2928" s="102" t="str">
        <f aca="false">IF(C2928="","",IFERROR(INDEX(AK_KEL,MATCH(C2928,AK_NAMA,0)),"?"))</f>
        <v/>
      </c>
      <c r="P2928" s="102" t="str">
        <f aca="false">IF(D2928="","",IFERROR(INDEX(AK_KEL,MATCH(D2928,AK_NAMA,0)),"?"))</f>
        <v/>
      </c>
      <c r="Q2928" s="102" t="n">
        <f aca="false">N(Q2927)+IF(AND(N(E2928)&lt;&gt;0,K2928=TAHUN,N(J2928)&lt;=BLN,OR(C2928=BB_AKUN,D2928=BB_AKUN)),1,0)</f>
        <v>877</v>
      </c>
      <c r="R2928" s="104" t="str">
        <f aca="false">IF(OR(C2928&amp;D2928="",N(E2928)=0),"",IF(OR(O2928="?",P2928="?"),"⚠ akun tidak dikenal",IF(C2928=D2928,"⚠ debet = kredit","")))</f>
        <v/>
      </c>
    </row>
    <row r="2929" customFormat="false" ht="15" hidden="false" customHeight="false" outlineLevel="0" collapsed="false">
      <c r="A2929" s="5"/>
      <c r="B2929" s="83"/>
      <c r="C2929" s="5"/>
      <c r="D2929" s="5"/>
      <c r="E2929" s="44"/>
      <c r="F2929" s="5"/>
      <c r="G2929" s="5"/>
      <c r="H2929" s="5"/>
      <c r="I2929" s="5"/>
      <c r="J2929" s="102" t="str">
        <f aca="false">IF(B2929="","",MONTH(B2929))</f>
        <v/>
      </c>
      <c r="K2929" s="102" t="str">
        <f aca="false">IF(B2929="","",YEAR(B2929))</f>
        <v/>
      </c>
      <c r="L2929" s="102" t="str">
        <f aca="false">IF(N(E2929)=0,"",IF(COUNTIFS(AK_NAMA,C2929,AK_KAT,"KAS")+COUNTIFS(AK_NAMA,D2929,AK_KAT,"KAS")&lt;&gt;1,"",IF(COUNTIFS(AK_NAMA,C2929,AK_KAT,"KAS")=1,D2929,C2929)))</f>
        <v/>
      </c>
      <c r="M2929" s="103" t="n">
        <f aca="false">IF(L2929="",0,IF(L2929=D2929,E2929,-E2929))</f>
        <v>0</v>
      </c>
      <c r="N2929" s="102" t="str">
        <f aca="false">IF(L2929="","",IFERROR(INDEX(AK_BARIS,MATCH(L2929,AK_NAMA,0)),"?"))</f>
        <v/>
      </c>
      <c r="O2929" s="102" t="str">
        <f aca="false">IF(C2929="","",IFERROR(INDEX(AK_KEL,MATCH(C2929,AK_NAMA,0)),"?"))</f>
        <v/>
      </c>
      <c r="P2929" s="102" t="str">
        <f aca="false">IF(D2929="","",IFERROR(INDEX(AK_KEL,MATCH(D2929,AK_NAMA,0)),"?"))</f>
        <v/>
      </c>
      <c r="Q2929" s="102" t="n">
        <f aca="false">N(Q2928)+IF(AND(N(E2929)&lt;&gt;0,K2929=TAHUN,N(J2929)&lt;=BLN,OR(C2929=BB_AKUN,D2929=BB_AKUN)),1,0)</f>
        <v>877</v>
      </c>
      <c r="R2929" s="104" t="str">
        <f aca="false">IF(OR(C2929&amp;D2929="",N(E2929)=0),"",IF(OR(O2929="?",P2929="?"),"⚠ akun tidak dikenal",IF(C2929=D2929,"⚠ debet = kredit","")))</f>
        <v/>
      </c>
    </row>
    <row r="2930" customFormat="false" ht="15" hidden="false" customHeight="false" outlineLevel="0" collapsed="false">
      <c r="A2930" s="5"/>
      <c r="B2930" s="83"/>
      <c r="C2930" s="5"/>
      <c r="D2930" s="5"/>
      <c r="E2930" s="44"/>
      <c r="F2930" s="5"/>
      <c r="G2930" s="5"/>
      <c r="H2930" s="5"/>
      <c r="I2930" s="5"/>
      <c r="J2930" s="102" t="str">
        <f aca="false">IF(B2930="","",MONTH(B2930))</f>
        <v/>
      </c>
      <c r="K2930" s="102" t="str">
        <f aca="false">IF(B2930="","",YEAR(B2930))</f>
        <v/>
      </c>
      <c r="L2930" s="102" t="str">
        <f aca="false">IF(N(E2930)=0,"",IF(COUNTIFS(AK_NAMA,C2930,AK_KAT,"KAS")+COUNTIFS(AK_NAMA,D2930,AK_KAT,"KAS")&lt;&gt;1,"",IF(COUNTIFS(AK_NAMA,C2930,AK_KAT,"KAS")=1,D2930,C2930)))</f>
        <v/>
      </c>
      <c r="M2930" s="103" t="n">
        <f aca="false">IF(L2930="",0,IF(L2930=D2930,E2930,-E2930))</f>
        <v>0</v>
      </c>
      <c r="N2930" s="102" t="str">
        <f aca="false">IF(L2930="","",IFERROR(INDEX(AK_BARIS,MATCH(L2930,AK_NAMA,0)),"?"))</f>
        <v/>
      </c>
      <c r="O2930" s="102" t="str">
        <f aca="false">IF(C2930="","",IFERROR(INDEX(AK_KEL,MATCH(C2930,AK_NAMA,0)),"?"))</f>
        <v/>
      </c>
      <c r="P2930" s="102" t="str">
        <f aca="false">IF(D2930="","",IFERROR(INDEX(AK_KEL,MATCH(D2930,AK_NAMA,0)),"?"))</f>
        <v/>
      </c>
      <c r="Q2930" s="102" t="n">
        <f aca="false">N(Q2929)+IF(AND(N(E2930)&lt;&gt;0,K2930=TAHUN,N(J2930)&lt;=BLN,OR(C2930=BB_AKUN,D2930=BB_AKUN)),1,0)</f>
        <v>877</v>
      </c>
      <c r="R2930" s="104" t="str">
        <f aca="false">IF(OR(C2930&amp;D2930="",N(E2930)=0),"",IF(OR(O2930="?",P2930="?"),"⚠ akun tidak dikenal",IF(C2930=D2930,"⚠ debet = kredit","")))</f>
        <v/>
      </c>
    </row>
    <row r="2931" customFormat="false" ht="15" hidden="false" customHeight="false" outlineLevel="0" collapsed="false">
      <c r="A2931" s="5"/>
      <c r="B2931" s="83"/>
      <c r="C2931" s="5"/>
      <c r="D2931" s="5"/>
      <c r="E2931" s="44"/>
      <c r="F2931" s="5"/>
      <c r="G2931" s="5"/>
      <c r="H2931" s="5"/>
      <c r="I2931" s="5"/>
      <c r="J2931" s="102" t="str">
        <f aca="false">IF(B2931="","",MONTH(B2931))</f>
        <v/>
      </c>
      <c r="K2931" s="102" t="str">
        <f aca="false">IF(B2931="","",YEAR(B2931))</f>
        <v/>
      </c>
      <c r="L2931" s="102" t="str">
        <f aca="false">IF(N(E2931)=0,"",IF(COUNTIFS(AK_NAMA,C2931,AK_KAT,"KAS")+COUNTIFS(AK_NAMA,D2931,AK_KAT,"KAS")&lt;&gt;1,"",IF(COUNTIFS(AK_NAMA,C2931,AK_KAT,"KAS")=1,D2931,C2931)))</f>
        <v/>
      </c>
      <c r="M2931" s="103" t="n">
        <f aca="false">IF(L2931="",0,IF(L2931=D2931,E2931,-E2931))</f>
        <v>0</v>
      </c>
      <c r="N2931" s="102" t="str">
        <f aca="false">IF(L2931="","",IFERROR(INDEX(AK_BARIS,MATCH(L2931,AK_NAMA,0)),"?"))</f>
        <v/>
      </c>
      <c r="O2931" s="102" t="str">
        <f aca="false">IF(C2931="","",IFERROR(INDEX(AK_KEL,MATCH(C2931,AK_NAMA,0)),"?"))</f>
        <v/>
      </c>
      <c r="P2931" s="102" t="str">
        <f aca="false">IF(D2931="","",IFERROR(INDEX(AK_KEL,MATCH(D2931,AK_NAMA,0)),"?"))</f>
        <v/>
      </c>
      <c r="Q2931" s="102" t="n">
        <f aca="false">N(Q2930)+IF(AND(N(E2931)&lt;&gt;0,K2931=TAHUN,N(J2931)&lt;=BLN,OR(C2931=BB_AKUN,D2931=BB_AKUN)),1,0)</f>
        <v>877</v>
      </c>
      <c r="R2931" s="104" t="str">
        <f aca="false">IF(OR(C2931&amp;D2931="",N(E2931)=0),"",IF(OR(O2931="?",P2931="?"),"⚠ akun tidak dikenal",IF(C2931=D2931,"⚠ debet = kredit","")))</f>
        <v/>
      </c>
    </row>
    <row r="2932" customFormat="false" ht="15" hidden="false" customHeight="false" outlineLevel="0" collapsed="false">
      <c r="A2932" s="5"/>
      <c r="B2932" s="83"/>
      <c r="C2932" s="5"/>
      <c r="D2932" s="5"/>
      <c r="E2932" s="44"/>
      <c r="F2932" s="5"/>
      <c r="G2932" s="5"/>
      <c r="H2932" s="5"/>
      <c r="I2932" s="5"/>
      <c r="J2932" s="102" t="str">
        <f aca="false">IF(B2932="","",MONTH(B2932))</f>
        <v/>
      </c>
      <c r="K2932" s="102" t="str">
        <f aca="false">IF(B2932="","",YEAR(B2932))</f>
        <v/>
      </c>
      <c r="L2932" s="102" t="str">
        <f aca="false">IF(N(E2932)=0,"",IF(COUNTIFS(AK_NAMA,C2932,AK_KAT,"KAS")+COUNTIFS(AK_NAMA,D2932,AK_KAT,"KAS")&lt;&gt;1,"",IF(COUNTIFS(AK_NAMA,C2932,AK_KAT,"KAS")=1,D2932,C2932)))</f>
        <v/>
      </c>
      <c r="M2932" s="103" t="n">
        <f aca="false">IF(L2932="",0,IF(L2932=D2932,E2932,-E2932))</f>
        <v>0</v>
      </c>
      <c r="N2932" s="102" t="str">
        <f aca="false">IF(L2932="","",IFERROR(INDEX(AK_BARIS,MATCH(L2932,AK_NAMA,0)),"?"))</f>
        <v/>
      </c>
      <c r="O2932" s="102" t="str">
        <f aca="false">IF(C2932="","",IFERROR(INDEX(AK_KEL,MATCH(C2932,AK_NAMA,0)),"?"))</f>
        <v/>
      </c>
      <c r="P2932" s="102" t="str">
        <f aca="false">IF(D2932="","",IFERROR(INDEX(AK_KEL,MATCH(D2932,AK_NAMA,0)),"?"))</f>
        <v/>
      </c>
      <c r="Q2932" s="102" t="n">
        <f aca="false">N(Q2931)+IF(AND(N(E2932)&lt;&gt;0,K2932=TAHUN,N(J2932)&lt;=BLN,OR(C2932=BB_AKUN,D2932=BB_AKUN)),1,0)</f>
        <v>877</v>
      </c>
      <c r="R2932" s="104" t="str">
        <f aca="false">IF(OR(C2932&amp;D2932="",N(E2932)=0),"",IF(OR(O2932="?",P2932="?"),"⚠ akun tidak dikenal",IF(C2932=D2932,"⚠ debet = kredit","")))</f>
        <v/>
      </c>
    </row>
    <row r="2933" customFormat="false" ht="15" hidden="false" customHeight="false" outlineLevel="0" collapsed="false">
      <c r="A2933" s="5"/>
      <c r="B2933" s="83"/>
      <c r="C2933" s="5"/>
      <c r="D2933" s="5"/>
      <c r="E2933" s="44"/>
      <c r="F2933" s="5"/>
      <c r="G2933" s="5"/>
      <c r="H2933" s="5"/>
      <c r="I2933" s="5"/>
      <c r="J2933" s="102" t="str">
        <f aca="false">IF(B2933="","",MONTH(B2933))</f>
        <v/>
      </c>
      <c r="K2933" s="102" t="str">
        <f aca="false">IF(B2933="","",YEAR(B2933))</f>
        <v/>
      </c>
      <c r="L2933" s="102" t="str">
        <f aca="false">IF(N(E2933)=0,"",IF(COUNTIFS(AK_NAMA,C2933,AK_KAT,"KAS")+COUNTIFS(AK_NAMA,D2933,AK_KAT,"KAS")&lt;&gt;1,"",IF(COUNTIFS(AK_NAMA,C2933,AK_KAT,"KAS")=1,D2933,C2933)))</f>
        <v/>
      </c>
      <c r="M2933" s="103" t="n">
        <f aca="false">IF(L2933="",0,IF(L2933=D2933,E2933,-E2933))</f>
        <v>0</v>
      </c>
      <c r="N2933" s="102" t="str">
        <f aca="false">IF(L2933="","",IFERROR(INDEX(AK_BARIS,MATCH(L2933,AK_NAMA,0)),"?"))</f>
        <v/>
      </c>
      <c r="O2933" s="102" t="str">
        <f aca="false">IF(C2933="","",IFERROR(INDEX(AK_KEL,MATCH(C2933,AK_NAMA,0)),"?"))</f>
        <v/>
      </c>
      <c r="P2933" s="102" t="str">
        <f aca="false">IF(D2933="","",IFERROR(INDEX(AK_KEL,MATCH(D2933,AK_NAMA,0)),"?"))</f>
        <v/>
      </c>
      <c r="Q2933" s="102" t="n">
        <f aca="false">N(Q2932)+IF(AND(N(E2933)&lt;&gt;0,K2933=TAHUN,N(J2933)&lt;=BLN,OR(C2933=BB_AKUN,D2933=BB_AKUN)),1,0)</f>
        <v>877</v>
      </c>
      <c r="R2933" s="104" t="str">
        <f aca="false">IF(OR(C2933&amp;D2933="",N(E2933)=0),"",IF(OR(O2933="?",P2933="?"),"⚠ akun tidak dikenal",IF(C2933=D2933,"⚠ debet = kredit","")))</f>
        <v/>
      </c>
    </row>
    <row r="2934" customFormat="false" ht="15" hidden="false" customHeight="false" outlineLevel="0" collapsed="false">
      <c r="A2934" s="5"/>
      <c r="B2934" s="83"/>
      <c r="C2934" s="5"/>
      <c r="D2934" s="5"/>
      <c r="E2934" s="44"/>
      <c r="F2934" s="5"/>
      <c r="G2934" s="5"/>
      <c r="H2934" s="5"/>
      <c r="I2934" s="5"/>
      <c r="J2934" s="102" t="str">
        <f aca="false">IF(B2934="","",MONTH(B2934))</f>
        <v/>
      </c>
      <c r="K2934" s="102" t="str">
        <f aca="false">IF(B2934="","",YEAR(B2934))</f>
        <v/>
      </c>
      <c r="L2934" s="102" t="str">
        <f aca="false">IF(N(E2934)=0,"",IF(COUNTIFS(AK_NAMA,C2934,AK_KAT,"KAS")+COUNTIFS(AK_NAMA,D2934,AK_KAT,"KAS")&lt;&gt;1,"",IF(COUNTIFS(AK_NAMA,C2934,AK_KAT,"KAS")=1,D2934,C2934)))</f>
        <v/>
      </c>
      <c r="M2934" s="103" t="n">
        <f aca="false">IF(L2934="",0,IF(L2934=D2934,E2934,-E2934))</f>
        <v>0</v>
      </c>
      <c r="N2934" s="102" t="str">
        <f aca="false">IF(L2934="","",IFERROR(INDEX(AK_BARIS,MATCH(L2934,AK_NAMA,0)),"?"))</f>
        <v/>
      </c>
      <c r="O2934" s="102" t="str">
        <f aca="false">IF(C2934="","",IFERROR(INDEX(AK_KEL,MATCH(C2934,AK_NAMA,0)),"?"))</f>
        <v/>
      </c>
      <c r="P2934" s="102" t="str">
        <f aca="false">IF(D2934="","",IFERROR(INDEX(AK_KEL,MATCH(D2934,AK_NAMA,0)),"?"))</f>
        <v/>
      </c>
      <c r="Q2934" s="102" t="n">
        <f aca="false">N(Q2933)+IF(AND(N(E2934)&lt;&gt;0,K2934=TAHUN,N(J2934)&lt;=BLN,OR(C2934=BB_AKUN,D2934=BB_AKUN)),1,0)</f>
        <v>877</v>
      </c>
      <c r="R2934" s="104" t="str">
        <f aca="false">IF(OR(C2934&amp;D2934="",N(E2934)=0),"",IF(OR(O2934="?",P2934="?"),"⚠ akun tidak dikenal",IF(C2934=D2934,"⚠ debet = kredit","")))</f>
        <v/>
      </c>
    </row>
    <row r="2935" customFormat="false" ht="15" hidden="false" customHeight="false" outlineLevel="0" collapsed="false">
      <c r="A2935" s="5"/>
      <c r="B2935" s="83"/>
      <c r="C2935" s="5"/>
      <c r="D2935" s="5"/>
      <c r="E2935" s="44"/>
      <c r="F2935" s="5"/>
      <c r="G2935" s="5"/>
      <c r="H2935" s="5"/>
      <c r="I2935" s="5"/>
      <c r="J2935" s="102" t="str">
        <f aca="false">IF(B2935="","",MONTH(B2935))</f>
        <v/>
      </c>
      <c r="K2935" s="102" t="str">
        <f aca="false">IF(B2935="","",YEAR(B2935))</f>
        <v/>
      </c>
      <c r="L2935" s="102" t="str">
        <f aca="false">IF(N(E2935)=0,"",IF(COUNTIFS(AK_NAMA,C2935,AK_KAT,"KAS")+COUNTIFS(AK_NAMA,D2935,AK_KAT,"KAS")&lt;&gt;1,"",IF(COUNTIFS(AK_NAMA,C2935,AK_KAT,"KAS")=1,D2935,C2935)))</f>
        <v/>
      </c>
      <c r="M2935" s="103" t="n">
        <f aca="false">IF(L2935="",0,IF(L2935=D2935,E2935,-E2935))</f>
        <v>0</v>
      </c>
      <c r="N2935" s="102" t="str">
        <f aca="false">IF(L2935="","",IFERROR(INDEX(AK_BARIS,MATCH(L2935,AK_NAMA,0)),"?"))</f>
        <v/>
      </c>
      <c r="O2935" s="102" t="str">
        <f aca="false">IF(C2935="","",IFERROR(INDEX(AK_KEL,MATCH(C2935,AK_NAMA,0)),"?"))</f>
        <v/>
      </c>
      <c r="P2935" s="102" t="str">
        <f aca="false">IF(D2935="","",IFERROR(INDEX(AK_KEL,MATCH(D2935,AK_NAMA,0)),"?"))</f>
        <v/>
      </c>
      <c r="Q2935" s="102" t="n">
        <f aca="false">N(Q2934)+IF(AND(N(E2935)&lt;&gt;0,K2935=TAHUN,N(J2935)&lt;=BLN,OR(C2935=BB_AKUN,D2935=BB_AKUN)),1,0)</f>
        <v>877</v>
      </c>
      <c r="R2935" s="104" t="str">
        <f aca="false">IF(OR(C2935&amp;D2935="",N(E2935)=0),"",IF(OR(O2935="?",P2935="?"),"⚠ akun tidak dikenal",IF(C2935=D2935,"⚠ debet = kredit","")))</f>
        <v/>
      </c>
    </row>
    <row r="2936" customFormat="false" ht="15" hidden="false" customHeight="false" outlineLevel="0" collapsed="false">
      <c r="A2936" s="5"/>
      <c r="B2936" s="83"/>
      <c r="C2936" s="5"/>
      <c r="D2936" s="5"/>
      <c r="E2936" s="44"/>
      <c r="F2936" s="5"/>
      <c r="G2936" s="5"/>
      <c r="H2936" s="5"/>
      <c r="I2936" s="5"/>
      <c r="J2936" s="102" t="str">
        <f aca="false">IF(B2936="","",MONTH(B2936))</f>
        <v/>
      </c>
      <c r="K2936" s="102" t="str">
        <f aca="false">IF(B2936="","",YEAR(B2936))</f>
        <v/>
      </c>
      <c r="L2936" s="102" t="str">
        <f aca="false">IF(N(E2936)=0,"",IF(COUNTIFS(AK_NAMA,C2936,AK_KAT,"KAS")+COUNTIFS(AK_NAMA,D2936,AK_KAT,"KAS")&lt;&gt;1,"",IF(COUNTIFS(AK_NAMA,C2936,AK_KAT,"KAS")=1,D2936,C2936)))</f>
        <v/>
      </c>
      <c r="M2936" s="103" t="n">
        <f aca="false">IF(L2936="",0,IF(L2936=D2936,E2936,-E2936))</f>
        <v>0</v>
      </c>
      <c r="N2936" s="102" t="str">
        <f aca="false">IF(L2936="","",IFERROR(INDEX(AK_BARIS,MATCH(L2936,AK_NAMA,0)),"?"))</f>
        <v/>
      </c>
      <c r="O2936" s="102" t="str">
        <f aca="false">IF(C2936="","",IFERROR(INDEX(AK_KEL,MATCH(C2936,AK_NAMA,0)),"?"))</f>
        <v/>
      </c>
      <c r="P2936" s="102" t="str">
        <f aca="false">IF(D2936="","",IFERROR(INDEX(AK_KEL,MATCH(D2936,AK_NAMA,0)),"?"))</f>
        <v/>
      </c>
      <c r="Q2936" s="102" t="n">
        <f aca="false">N(Q2935)+IF(AND(N(E2936)&lt;&gt;0,K2936=TAHUN,N(J2936)&lt;=BLN,OR(C2936=BB_AKUN,D2936=BB_AKUN)),1,0)</f>
        <v>877</v>
      </c>
      <c r="R2936" s="104" t="str">
        <f aca="false">IF(OR(C2936&amp;D2936="",N(E2936)=0),"",IF(OR(O2936="?",P2936="?"),"⚠ akun tidak dikenal",IF(C2936=D2936,"⚠ debet = kredit","")))</f>
        <v/>
      </c>
    </row>
    <row r="2937" customFormat="false" ht="15" hidden="false" customHeight="false" outlineLevel="0" collapsed="false">
      <c r="A2937" s="5"/>
      <c r="B2937" s="83"/>
      <c r="C2937" s="5"/>
      <c r="D2937" s="5"/>
      <c r="E2937" s="44"/>
      <c r="F2937" s="5"/>
      <c r="G2937" s="5"/>
      <c r="H2937" s="5"/>
      <c r="I2937" s="5"/>
      <c r="J2937" s="102" t="str">
        <f aca="false">IF(B2937="","",MONTH(B2937))</f>
        <v/>
      </c>
      <c r="K2937" s="102" t="str">
        <f aca="false">IF(B2937="","",YEAR(B2937))</f>
        <v/>
      </c>
      <c r="L2937" s="102" t="str">
        <f aca="false">IF(N(E2937)=0,"",IF(COUNTIFS(AK_NAMA,C2937,AK_KAT,"KAS")+COUNTIFS(AK_NAMA,D2937,AK_KAT,"KAS")&lt;&gt;1,"",IF(COUNTIFS(AK_NAMA,C2937,AK_KAT,"KAS")=1,D2937,C2937)))</f>
        <v/>
      </c>
      <c r="M2937" s="103" t="n">
        <f aca="false">IF(L2937="",0,IF(L2937=D2937,E2937,-E2937))</f>
        <v>0</v>
      </c>
      <c r="N2937" s="102" t="str">
        <f aca="false">IF(L2937="","",IFERROR(INDEX(AK_BARIS,MATCH(L2937,AK_NAMA,0)),"?"))</f>
        <v/>
      </c>
      <c r="O2937" s="102" t="str">
        <f aca="false">IF(C2937="","",IFERROR(INDEX(AK_KEL,MATCH(C2937,AK_NAMA,0)),"?"))</f>
        <v/>
      </c>
      <c r="P2937" s="102" t="str">
        <f aca="false">IF(D2937="","",IFERROR(INDEX(AK_KEL,MATCH(D2937,AK_NAMA,0)),"?"))</f>
        <v/>
      </c>
      <c r="Q2937" s="102" t="n">
        <f aca="false">N(Q2936)+IF(AND(N(E2937)&lt;&gt;0,K2937=TAHUN,N(J2937)&lt;=BLN,OR(C2937=BB_AKUN,D2937=BB_AKUN)),1,0)</f>
        <v>877</v>
      </c>
      <c r="R2937" s="104" t="str">
        <f aca="false">IF(OR(C2937&amp;D2937="",N(E2937)=0),"",IF(OR(O2937="?",P2937="?"),"⚠ akun tidak dikenal",IF(C2937=D2937,"⚠ debet = kredit","")))</f>
        <v/>
      </c>
    </row>
    <row r="2938" customFormat="false" ht="15" hidden="false" customHeight="false" outlineLevel="0" collapsed="false">
      <c r="A2938" s="5"/>
      <c r="B2938" s="83"/>
      <c r="C2938" s="5"/>
      <c r="D2938" s="5"/>
      <c r="E2938" s="44"/>
      <c r="F2938" s="5"/>
      <c r="G2938" s="5"/>
      <c r="H2938" s="5"/>
      <c r="I2938" s="5"/>
      <c r="J2938" s="102" t="str">
        <f aca="false">IF(B2938="","",MONTH(B2938))</f>
        <v/>
      </c>
      <c r="K2938" s="102" t="str">
        <f aca="false">IF(B2938="","",YEAR(B2938))</f>
        <v/>
      </c>
      <c r="L2938" s="102" t="str">
        <f aca="false">IF(N(E2938)=0,"",IF(COUNTIFS(AK_NAMA,C2938,AK_KAT,"KAS")+COUNTIFS(AK_NAMA,D2938,AK_KAT,"KAS")&lt;&gt;1,"",IF(COUNTIFS(AK_NAMA,C2938,AK_KAT,"KAS")=1,D2938,C2938)))</f>
        <v/>
      </c>
      <c r="M2938" s="103" t="n">
        <f aca="false">IF(L2938="",0,IF(L2938=D2938,E2938,-E2938))</f>
        <v>0</v>
      </c>
      <c r="N2938" s="102" t="str">
        <f aca="false">IF(L2938="","",IFERROR(INDEX(AK_BARIS,MATCH(L2938,AK_NAMA,0)),"?"))</f>
        <v/>
      </c>
      <c r="O2938" s="102" t="str">
        <f aca="false">IF(C2938="","",IFERROR(INDEX(AK_KEL,MATCH(C2938,AK_NAMA,0)),"?"))</f>
        <v/>
      </c>
      <c r="P2938" s="102" t="str">
        <f aca="false">IF(D2938="","",IFERROR(INDEX(AK_KEL,MATCH(D2938,AK_NAMA,0)),"?"))</f>
        <v/>
      </c>
      <c r="Q2938" s="102" t="n">
        <f aca="false">N(Q2937)+IF(AND(N(E2938)&lt;&gt;0,K2938=TAHUN,N(J2938)&lt;=BLN,OR(C2938=BB_AKUN,D2938=BB_AKUN)),1,0)</f>
        <v>877</v>
      </c>
      <c r="R2938" s="104" t="str">
        <f aca="false">IF(OR(C2938&amp;D2938="",N(E2938)=0),"",IF(OR(O2938="?",P2938="?"),"⚠ akun tidak dikenal",IF(C2938=D2938,"⚠ debet = kredit","")))</f>
        <v/>
      </c>
    </row>
    <row r="2939" customFormat="false" ht="15" hidden="false" customHeight="false" outlineLevel="0" collapsed="false">
      <c r="A2939" s="5"/>
      <c r="B2939" s="83"/>
      <c r="C2939" s="5"/>
      <c r="D2939" s="5"/>
      <c r="E2939" s="44"/>
      <c r="F2939" s="5"/>
      <c r="G2939" s="5"/>
      <c r="H2939" s="5"/>
      <c r="I2939" s="5"/>
      <c r="J2939" s="102" t="str">
        <f aca="false">IF(B2939="","",MONTH(B2939))</f>
        <v/>
      </c>
      <c r="K2939" s="102" t="str">
        <f aca="false">IF(B2939="","",YEAR(B2939))</f>
        <v/>
      </c>
      <c r="L2939" s="102" t="str">
        <f aca="false">IF(N(E2939)=0,"",IF(COUNTIFS(AK_NAMA,C2939,AK_KAT,"KAS")+COUNTIFS(AK_NAMA,D2939,AK_KAT,"KAS")&lt;&gt;1,"",IF(COUNTIFS(AK_NAMA,C2939,AK_KAT,"KAS")=1,D2939,C2939)))</f>
        <v/>
      </c>
      <c r="M2939" s="103" t="n">
        <f aca="false">IF(L2939="",0,IF(L2939=D2939,E2939,-E2939))</f>
        <v>0</v>
      </c>
      <c r="N2939" s="102" t="str">
        <f aca="false">IF(L2939="","",IFERROR(INDEX(AK_BARIS,MATCH(L2939,AK_NAMA,0)),"?"))</f>
        <v/>
      </c>
      <c r="O2939" s="102" t="str">
        <f aca="false">IF(C2939="","",IFERROR(INDEX(AK_KEL,MATCH(C2939,AK_NAMA,0)),"?"))</f>
        <v/>
      </c>
      <c r="P2939" s="102" t="str">
        <f aca="false">IF(D2939="","",IFERROR(INDEX(AK_KEL,MATCH(D2939,AK_NAMA,0)),"?"))</f>
        <v/>
      </c>
      <c r="Q2939" s="102" t="n">
        <f aca="false">N(Q2938)+IF(AND(N(E2939)&lt;&gt;0,K2939=TAHUN,N(J2939)&lt;=BLN,OR(C2939=BB_AKUN,D2939=BB_AKUN)),1,0)</f>
        <v>877</v>
      </c>
      <c r="R2939" s="104" t="str">
        <f aca="false">IF(OR(C2939&amp;D2939="",N(E2939)=0),"",IF(OR(O2939="?",P2939="?"),"⚠ akun tidak dikenal",IF(C2939=D2939,"⚠ debet = kredit","")))</f>
        <v/>
      </c>
    </row>
    <row r="2940" customFormat="false" ht="15" hidden="false" customHeight="false" outlineLevel="0" collapsed="false">
      <c r="A2940" s="5"/>
      <c r="B2940" s="83"/>
      <c r="C2940" s="5"/>
      <c r="D2940" s="5"/>
      <c r="E2940" s="44"/>
      <c r="F2940" s="5"/>
      <c r="G2940" s="5"/>
      <c r="H2940" s="5"/>
      <c r="I2940" s="5"/>
      <c r="J2940" s="102" t="str">
        <f aca="false">IF(B2940="","",MONTH(B2940))</f>
        <v/>
      </c>
      <c r="K2940" s="102" t="str">
        <f aca="false">IF(B2940="","",YEAR(B2940))</f>
        <v/>
      </c>
      <c r="L2940" s="102" t="str">
        <f aca="false">IF(N(E2940)=0,"",IF(COUNTIFS(AK_NAMA,C2940,AK_KAT,"KAS")+COUNTIFS(AK_NAMA,D2940,AK_KAT,"KAS")&lt;&gt;1,"",IF(COUNTIFS(AK_NAMA,C2940,AK_KAT,"KAS")=1,D2940,C2940)))</f>
        <v/>
      </c>
      <c r="M2940" s="103" t="n">
        <f aca="false">IF(L2940="",0,IF(L2940=D2940,E2940,-E2940))</f>
        <v>0</v>
      </c>
      <c r="N2940" s="102" t="str">
        <f aca="false">IF(L2940="","",IFERROR(INDEX(AK_BARIS,MATCH(L2940,AK_NAMA,0)),"?"))</f>
        <v/>
      </c>
      <c r="O2940" s="102" t="str">
        <f aca="false">IF(C2940="","",IFERROR(INDEX(AK_KEL,MATCH(C2940,AK_NAMA,0)),"?"))</f>
        <v/>
      </c>
      <c r="P2940" s="102" t="str">
        <f aca="false">IF(D2940="","",IFERROR(INDEX(AK_KEL,MATCH(D2940,AK_NAMA,0)),"?"))</f>
        <v/>
      </c>
      <c r="Q2940" s="102" t="n">
        <f aca="false">N(Q2939)+IF(AND(N(E2940)&lt;&gt;0,K2940=TAHUN,N(J2940)&lt;=BLN,OR(C2940=BB_AKUN,D2940=BB_AKUN)),1,0)</f>
        <v>877</v>
      </c>
      <c r="R2940" s="104" t="str">
        <f aca="false">IF(OR(C2940&amp;D2940="",N(E2940)=0),"",IF(OR(O2940="?",P2940="?"),"⚠ akun tidak dikenal",IF(C2940=D2940,"⚠ debet = kredit","")))</f>
        <v/>
      </c>
    </row>
    <row r="2941" customFormat="false" ht="15" hidden="false" customHeight="false" outlineLevel="0" collapsed="false">
      <c r="A2941" s="5"/>
      <c r="B2941" s="83"/>
      <c r="C2941" s="5"/>
      <c r="D2941" s="5"/>
      <c r="E2941" s="44"/>
      <c r="F2941" s="5"/>
      <c r="G2941" s="5"/>
      <c r="H2941" s="5"/>
      <c r="I2941" s="5"/>
      <c r="J2941" s="102" t="str">
        <f aca="false">IF(B2941="","",MONTH(B2941))</f>
        <v/>
      </c>
      <c r="K2941" s="102" t="str">
        <f aca="false">IF(B2941="","",YEAR(B2941))</f>
        <v/>
      </c>
      <c r="L2941" s="102" t="str">
        <f aca="false">IF(N(E2941)=0,"",IF(COUNTIFS(AK_NAMA,C2941,AK_KAT,"KAS")+COUNTIFS(AK_NAMA,D2941,AK_KAT,"KAS")&lt;&gt;1,"",IF(COUNTIFS(AK_NAMA,C2941,AK_KAT,"KAS")=1,D2941,C2941)))</f>
        <v/>
      </c>
      <c r="M2941" s="103" t="n">
        <f aca="false">IF(L2941="",0,IF(L2941=D2941,E2941,-E2941))</f>
        <v>0</v>
      </c>
      <c r="N2941" s="102" t="str">
        <f aca="false">IF(L2941="","",IFERROR(INDEX(AK_BARIS,MATCH(L2941,AK_NAMA,0)),"?"))</f>
        <v/>
      </c>
      <c r="O2941" s="102" t="str">
        <f aca="false">IF(C2941="","",IFERROR(INDEX(AK_KEL,MATCH(C2941,AK_NAMA,0)),"?"))</f>
        <v/>
      </c>
      <c r="P2941" s="102" t="str">
        <f aca="false">IF(D2941="","",IFERROR(INDEX(AK_KEL,MATCH(D2941,AK_NAMA,0)),"?"))</f>
        <v/>
      </c>
      <c r="Q2941" s="102" t="n">
        <f aca="false">N(Q2940)+IF(AND(N(E2941)&lt;&gt;0,K2941=TAHUN,N(J2941)&lt;=BLN,OR(C2941=BB_AKUN,D2941=BB_AKUN)),1,0)</f>
        <v>877</v>
      </c>
      <c r="R2941" s="104" t="str">
        <f aca="false">IF(OR(C2941&amp;D2941="",N(E2941)=0),"",IF(OR(O2941="?",P2941="?"),"⚠ akun tidak dikenal",IF(C2941=D2941,"⚠ debet = kredit","")))</f>
        <v/>
      </c>
    </row>
    <row r="2942" customFormat="false" ht="15" hidden="false" customHeight="false" outlineLevel="0" collapsed="false">
      <c r="A2942" s="5"/>
      <c r="B2942" s="83"/>
      <c r="C2942" s="5"/>
      <c r="D2942" s="5"/>
      <c r="E2942" s="44"/>
      <c r="F2942" s="5"/>
      <c r="G2942" s="5"/>
      <c r="H2942" s="5"/>
      <c r="I2942" s="5"/>
      <c r="J2942" s="102" t="str">
        <f aca="false">IF(B2942="","",MONTH(B2942))</f>
        <v/>
      </c>
      <c r="K2942" s="102" t="str">
        <f aca="false">IF(B2942="","",YEAR(B2942))</f>
        <v/>
      </c>
      <c r="L2942" s="102" t="str">
        <f aca="false">IF(N(E2942)=0,"",IF(COUNTIFS(AK_NAMA,C2942,AK_KAT,"KAS")+COUNTIFS(AK_NAMA,D2942,AK_KAT,"KAS")&lt;&gt;1,"",IF(COUNTIFS(AK_NAMA,C2942,AK_KAT,"KAS")=1,D2942,C2942)))</f>
        <v/>
      </c>
      <c r="M2942" s="103" t="n">
        <f aca="false">IF(L2942="",0,IF(L2942=D2942,E2942,-E2942))</f>
        <v>0</v>
      </c>
      <c r="N2942" s="102" t="str">
        <f aca="false">IF(L2942="","",IFERROR(INDEX(AK_BARIS,MATCH(L2942,AK_NAMA,0)),"?"))</f>
        <v/>
      </c>
      <c r="O2942" s="102" t="str">
        <f aca="false">IF(C2942="","",IFERROR(INDEX(AK_KEL,MATCH(C2942,AK_NAMA,0)),"?"))</f>
        <v/>
      </c>
      <c r="P2942" s="102" t="str">
        <f aca="false">IF(D2942="","",IFERROR(INDEX(AK_KEL,MATCH(D2942,AK_NAMA,0)),"?"))</f>
        <v/>
      </c>
      <c r="Q2942" s="102" t="n">
        <f aca="false">N(Q2941)+IF(AND(N(E2942)&lt;&gt;0,K2942=TAHUN,N(J2942)&lt;=BLN,OR(C2942=BB_AKUN,D2942=BB_AKUN)),1,0)</f>
        <v>877</v>
      </c>
      <c r="R2942" s="104" t="str">
        <f aca="false">IF(OR(C2942&amp;D2942="",N(E2942)=0),"",IF(OR(O2942="?",P2942="?"),"⚠ akun tidak dikenal",IF(C2942=D2942,"⚠ debet = kredit","")))</f>
        <v/>
      </c>
    </row>
    <row r="2943" customFormat="false" ht="15" hidden="false" customHeight="false" outlineLevel="0" collapsed="false">
      <c r="A2943" s="5"/>
      <c r="B2943" s="83"/>
      <c r="C2943" s="5"/>
      <c r="D2943" s="5"/>
      <c r="E2943" s="44"/>
      <c r="F2943" s="5"/>
      <c r="G2943" s="5"/>
      <c r="H2943" s="5"/>
      <c r="I2943" s="5"/>
      <c r="J2943" s="102" t="str">
        <f aca="false">IF(B2943="","",MONTH(B2943))</f>
        <v/>
      </c>
      <c r="K2943" s="102" t="str">
        <f aca="false">IF(B2943="","",YEAR(B2943))</f>
        <v/>
      </c>
      <c r="L2943" s="102" t="str">
        <f aca="false">IF(N(E2943)=0,"",IF(COUNTIFS(AK_NAMA,C2943,AK_KAT,"KAS")+COUNTIFS(AK_NAMA,D2943,AK_KAT,"KAS")&lt;&gt;1,"",IF(COUNTIFS(AK_NAMA,C2943,AK_KAT,"KAS")=1,D2943,C2943)))</f>
        <v/>
      </c>
      <c r="M2943" s="103" t="n">
        <f aca="false">IF(L2943="",0,IF(L2943=D2943,E2943,-E2943))</f>
        <v>0</v>
      </c>
      <c r="N2943" s="102" t="str">
        <f aca="false">IF(L2943="","",IFERROR(INDEX(AK_BARIS,MATCH(L2943,AK_NAMA,0)),"?"))</f>
        <v/>
      </c>
      <c r="O2943" s="102" t="str">
        <f aca="false">IF(C2943="","",IFERROR(INDEX(AK_KEL,MATCH(C2943,AK_NAMA,0)),"?"))</f>
        <v/>
      </c>
      <c r="P2943" s="102" t="str">
        <f aca="false">IF(D2943="","",IFERROR(INDEX(AK_KEL,MATCH(D2943,AK_NAMA,0)),"?"))</f>
        <v/>
      </c>
      <c r="Q2943" s="102" t="n">
        <f aca="false">N(Q2942)+IF(AND(N(E2943)&lt;&gt;0,K2943=TAHUN,N(J2943)&lt;=BLN,OR(C2943=BB_AKUN,D2943=BB_AKUN)),1,0)</f>
        <v>877</v>
      </c>
      <c r="R2943" s="104" t="str">
        <f aca="false">IF(OR(C2943&amp;D2943="",N(E2943)=0),"",IF(OR(O2943="?",P2943="?"),"⚠ akun tidak dikenal",IF(C2943=D2943,"⚠ debet = kredit","")))</f>
        <v/>
      </c>
    </row>
    <row r="2944" customFormat="false" ht="15" hidden="false" customHeight="false" outlineLevel="0" collapsed="false">
      <c r="A2944" s="5"/>
      <c r="B2944" s="83"/>
      <c r="C2944" s="5"/>
      <c r="D2944" s="5"/>
      <c r="E2944" s="44"/>
      <c r="F2944" s="5"/>
      <c r="G2944" s="5"/>
      <c r="H2944" s="5"/>
      <c r="I2944" s="5"/>
      <c r="J2944" s="102" t="str">
        <f aca="false">IF(B2944="","",MONTH(B2944))</f>
        <v/>
      </c>
      <c r="K2944" s="102" t="str">
        <f aca="false">IF(B2944="","",YEAR(B2944))</f>
        <v/>
      </c>
      <c r="L2944" s="102" t="str">
        <f aca="false">IF(N(E2944)=0,"",IF(COUNTIFS(AK_NAMA,C2944,AK_KAT,"KAS")+COUNTIFS(AK_NAMA,D2944,AK_KAT,"KAS")&lt;&gt;1,"",IF(COUNTIFS(AK_NAMA,C2944,AK_KAT,"KAS")=1,D2944,C2944)))</f>
        <v/>
      </c>
      <c r="M2944" s="103" t="n">
        <f aca="false">IF(L2944="",0,IF(L2944=D2944,E2944,-E2944))</f>
        <v>0</v>
      </c>
      <c r="N2944" s="102" t="str">
        <f aca="false">IF(L2944="","",IFERROR(INDEX(AK_BARIS,MATCH(L2944,AK_NAMA,0)),"?"))</f>
        <v/>
      </c>
      <c r="O2944" s="102" t="str">
        <f aca="false">IF(C2944="","",IFERROR(INDEX(AK_KEL,MATCH(C2944,AK_NAMA,0)),"?"))</f>
        <v/>
      </c>
      <c r="P2944" s="102" t="str">
        <f aca="false">IF(D2944="","",IFERROR(INDEX(AK_KEL,MATCH(D2944,AK_NAMA,0)),"?"))</f>
        <v/>
      </c>
      <c r="Q2944" s="102" t="n">
        <f aca="false">N(Q2943)+IF(AND(N(E2944)&lt;&gt;0,K2944=TAHUN,N(J2944)&lt;=BLN,OR(C2944=BB_AKUN,D2944=BB_AKUN)),1,0)</f>
        <v>877</v>
      </c>
      <c r="R2944" s="104" t="str">
        <f aca="false">IF(OR(C2944&amp;D2944="",N(E2944)=0),"",IF(OR(O2944="?",P2944="?"),"⚠ akun tidak dikenal",IF(C2944=D2944,"⚠ debet = kredit","")))</f>
        <v/>
      </c>
    </row>
    <row r="2945" customFormat="false" ht="15" hidden="false" customHeight="false" outlineLevel="0" collapsed="false">
      <c r="A2945" s="5"/>
      <c r="B2945" s="83"/>
      <c r="C2945" s="5"/>
      <c r="D2945" s="5"/>
      <c r="E2945" s="44"/>
      <c r="F2945" s="5"/>
      <c r="G2945" s="5"/>
      <c r="H2945" s="5"/>
      <c r="I2945" s="5"/>
      <c r="J2945" s="102" t="str">
        <f aca="false">IF(B2945="","",MONTH(B2945))</f>
        <v/>
      </c>
      <c r="K2945" s="102" t="str">
        <f aca="false">IF(B2945="","",YEAR(B2945))</f>
        <v/>
      </c>
      <c r="L2945" s="102" t="str">
        <f aca="false">IF(N(E2945)=0,"",IF(COUNTIFS(AK_NAMA,C2945,AK_KAT,"KAS")+COUNTIFS(AK_NAMA,D2945,AK_KAT,"KAS")&lt;&gt;1,"",IF(COUNTIFS(AK_NAMA,C2945,AK_KAT,"KAS")=1,D2945,C2945)))</f>
        <v/>
      </c>
      <c r="M2945" s="103" t="n">
        <f aca="false">IF(L2945="",0,IF(L2945=D2945,E2945,-E2945))</f>
        <v>0</v>
      </c>
      <c r="N2945" s="102" t="str">
        <f aca="false">IF(L2945="","",IFERROR(INDEX(AK_BARIS,MATCH(L2945,AK_NAMA,0)),"?"))</f>
        <v/>
      </c>
      <c r="O2945" s="102" t="str">
        <f aca="false">IF(C2945="","",IFERROR(INDEX(AK_KEL,MATCH(C2945,AK_NAMA,0)),"?"))</f>
        <v/>
      </c>
      <c r="P2945" s="102" t="str">
        <f aca="false">IF(D2945="","",IFERROR(INDEX(AK_KEL,MATCH(D2945,AK_NAMA,0)),"?"))</f>
        <v/>
      </c>
      <c r="Q2945" s="102" t="n">
        <f aca="false">N(Q2944)+IF(AND(N(E2945)&lt;&gt;0,K2945=TAHUN,N(J2945)&lt;=BLN,OR(C2945=BB_AKUN,D2945=BB_AKUN)),1,0)</f>
        <v>877</v>
      </c>
      <c r="R2945" s="104" t="str">
        <f aca="false">IF(OR(C2945&amp;D2945="",N(E2945)=0),"",IF(OR(O2945="?",P2945="?"),"⚠ akun tidak dikenal",IF(C2945=D2945,"⚠ debet = kredit","")))</f>
        <v/>
      </c>
    </row>
    <row r="2946" customFormat="false" ht="15" hidden="false" customHeight="false" outlineLevel="0" collapsed="false">
      <c r="A2946" s="5"/>
      <c r="B2946" s="83"/>
      <c r="C2946" s="5"/>
      <c r="D2946" s="5"/>
      <c r="E2946" s="44"/>
      <c r="F2946" s="5"/>
      <c r="G2946" s="5"/>
      <c r="H2946" s="5"/>
      <c r="I2946" s="5"/>
      <c r="J2946" s="102" t="str">
        <f aca="false">IF(B2946="","",MONTH(B2946))</f>
        <v/>
      </c>
      <c r="K2946" s="102" t="str">
        <f aca="false">IF(B2946="","",YEAR(B2946))</f>
        <v/>
      </c>
      <c r="L2946" s="102" t="str">
        <f aca="false">IF(N(E2946)=0,"",IF(COUNTIFS(AK_NAMA,C2946,AK_KAT,"KAS")+COUNTIFS(AK_NAMA,D2946,AK_KAT,"KAS")&lt;&gt;1,"",IF(COUNTIFS(AK_NAMA,C2946,AK_KAT,"KAS")=1,D2946,C2946)))</f>
        <v/>
      </c>
      <c r="M2946" s="103" t="n">
        <f aca="false">IF(L2946="",0,IF(L2946=D2946,E2946,-E2946))</f>
        <v>0</v>
      </c>
      <c r="N2946" s="102" t="str">
        <f aca="false">IF(L2946="","",IFERROR(INDEX(AK_BARIS,MATCH(L2946,AK_NAMA,0)),"?"))</f>
        <v/>
      </c>
      <c r="O2946" s="102" t="str">
        <f aca="false">IF(C2946="","",IFERROR(INDEX(AK_KEL,MATCH(C2946,AK_NAMA,0)),"?"))</f>
        <v/>
      </c>
      <c r="P2946" s="102" t="str">
        <f aca="false">IF(D2946="","",IFERROR(INDEX(AK_KEL,MATCH(D2946,AK_NAMA,0)),"?"))</f>
        <v/>
      </c>
      <c r="Q2946" s="102" t="n">
        <f aca="false">N(Q2945)+IF(AND(N(E2946)&lt;&gt;0,K2946=TAHUN,N(J2946)&lt;=BLN,OR(C2946=BB_AKUN,D2946=BB_AKUN)),1,0)</f>
        <v>877</v>
      </c>
      <c r="R2946" s="104" t="str">
        <f aca="false">IF(OR(C2946&amp;D2946="",N(E2946)=0),"",IF(OR(O2946="?",P2946="?"),"⚠ akun tidak dikenal",IF(C2946=D2946,"⚠ debet = kredit","")))</f>
        <v/>
      </c>
    </row>
    <row r="2947" customFormat="false" ht="15" hidden="false" customHeight="false" outlineLevel="0" collapsed="false">
      <c r="A2947" s="5"/>
      <c r="B2947" s="83"/>
      <c r="C2947" s="5"/>
      <c r="D2947" s="5"/>
      <c r="E2947" s="44"/>
      <c r="F2947" s="5"/>
      <c r="G2947" s="5"/>
      <c r="H2947" s="5"/>
      <c r="I2947" s="5"/>
      <c r="J2947" s="102" t="str">
        <f aca="false">IF(B2947="","",MONTH(B2947))</f>
        <v/>
      </c>
      <c r="K2947" s="102" t="str">
        <f aca="false">IF(B2947="","",YEAR(B2947))</f>
        <v/>
      </c>
      <c r="L2947" s="102" t="str">
        <f aca="false">IF(N(E2947)=0,"",IF(COUNTIFS(AK_NAMA,C2947,AK_KAT,"KAS")+COUNTIFS(AK_NAMA,D2947,AK_KAT,"KAS")&lt;&gt;1,"",IF(COUNTIFS(AK_NAMA,C2947,AK_KAT,"KAS")=1,D2947,C2947)))</f>
        <v/>
      </c>
      <c r="M2947" s="103" t="n">
        <f aca="false">IF(L2947="",0,IF(L2947=D2947,E2947,-E2947))</f>
        <v>0</v>
      </c>
      <c r="N2947" s="102" t="str">
        <f aca="false">IF(L2947="","",IFERROR(INDEX(AK_BARIS,MATCH(L2947,AK_NAMA,0)),"?"))</f>
        <v/>
      </c>
      <c r="O2947" s="102" t="str">
        <f aca="false">IF(C2947="","",IFERROR(INDEX(AK_KEL,MATCH(C2947,AK_NAMA,0)),"?"))</f>
        <v/>
      </c>
      <c r="P2947" s="102" t="str">
        <f aca="false">IF(D2947="","",IFERROR(INDEX(AK_KEL,MATCH(D2947,AK_NAMA,0)),"?"))</f>
        <v/>
      </c>
      <c r="Q2947" s="102" t="n">
        <f aca="false">N(Q2946)+IF(AND(N(E2947)&lt;&gt;0,K2947=TAHUN,N(J2947)&lt;=BLN,OR(C2947=BB_AKUN,D2947=BB_AKUN)),1,0)</f>
        <v>877</v>
      </c>
      <c r="R2947" s="104" t="str">
        <f aca="false">IF(OR(C2947&amp;D2947="",N(E2947)=0),"",IF(OR(O2947="?",P2947="?"),"⚠ akun tidak dikenal",IF(C2947=D2947,"⚠ debet = kredit","")))</f>
        <v/>
      </c>
    </row>
    <row r="2948" customFormat="false" ht="15" hidden="false" customHeight="false" outlineLevel="0" collapsed="false">
      <c r="A2948" s="5"/>
      <c r="B2948" s="83"/>
      <c r="C2948" s="5"/>
      <c r="D2948" s="5"/>
      <c r="E2948" s="44"/>
      <c r="F2948" s="5"/>
      <c r="G2948" s="5"/>
      <c r="H2948" s="5"/>
      <c r="I2948" s="5"/>
      <c r="J2948" s="102" t="str">
        <f aca="false">IF(B2948="","",MONTH(B2948))</f>
        <v/>
      </c>
      <c r="K2948" s="102" t="str">
        <f aca="false">IF(B2948="","",YEAR(B2948))</f>
        <v/>
      </c>
      <c r="L2948" s="102" t="str">
        <f aca="false">IF(N(E2948)=0,"",IF(COUNTIFS(AK_NAMA,C2948,AK_KAT,"KAS")+COUNTIFS(AK_NAMA,D2948,AK_KAT,"KAS")&lt;&gt;1,"",IF(COUNTIFS(AK_NAMA,C2948,AK_KAT,"KAS")=1,D2948,C2948)))</f>
        <v/>
      </c>
      <c r="M2948" s="103" t="n">
        <f aca="false">IF(L2948="",0,IF(L2948=D2948,E2948,-E2948))</f>
        <v>0</v>
      </c>
      <c r="N2948" s="102" t="str">
        <f aca="false">IF(L2948="","",IFERROR(INDEX(AK_BARIS,MATCH(L2948,AK_NAMA,0)),"?"))</f>
        <v/>
      </c>
      <c r="O2948" s="102" t="str">
        <f aca="false">IF(C2948="","",IFERROR(INDEX(AK_KEL,MATCH(C2948,AK_NAMA,0)),"?"))</f>
        <v/>
      </c>
      <c r="P2948" s="102" t="str">
        <f aca="false">IF(D2948="","",IFERROR(INDEX(AK_KEL,MATCH(D2948,AK_NAMA,0)),"?"))</f>
        <v/>
      </c>
      <c r="Q2948" s="102" t="n">
        <f aca="false">N(Q2947)+IF(AND(N(E2948)&lt;&gt;0,K2948=TAHUN,N(J2948)&lt;=BLN,OR(C2948=BB_AKUN,D2948=BB_AKUN)),1,0)</f>
        <v>877</v>
      </c>
      <c r="R2948" s="104" t="str">
        <f aca="false">IF(OR(C2948&amp;D2948="",N(E2948)=0),"",IF(OR(O2948="?",P2948="?"),"⚠ akun tidak dikenal",IF(C2948=D2948,"⚠ debet = kredit","")))</f>
        <v/>
      </c>
    </row>
    <row r="2949" customFormat="false" ht="15" hidden="false" customHeight="false" outlineLevel="0" collapsed="false">
      <c r="A2949" s="5"/>
      <c r="B2949" s="83"/>
      <c r="C2949" s="5"/>
      <c r="D2949" s="5"/>
      <c r="E2949" s="44"/>
      <c r="F2949" s="5"/>
      <c r="G2949" s="5"/>
      <c r="H2949" s="5"/>
      <c r="I2949" s="5"/>
      <c r="J2949" s="102" t="str">
        <f aca="false">IF(B2949="","",MONTH(B2949))</f>
        <v/>
      </c>
      <c r="K2949" s="102" t="str">
        <f aca="false">IF(B2949="","",YEAR(B2949))</f>
        <v/>
      </c>
      <c r="L2949" s="102" t="str">
        <f aca="false">IF(N(E2949)=0,"",IF(COUNTIFS(AK_NAMA,C2949,AK_KAT,"KAS")+COUNTIFS(AK_NAMA,D2949,AK_KAT,"KAS")&lt;&gt;1,"",IF(COUNTIFS(AK_NAMA,C2949,AK_KAT,"KAS")=1,D2949,C2949)))</f>
        <v/>
      </c>
      <c r="M2949" s="103" t="n">
        <f aca="false">IF(L2949="",0,IF(L2949=D2949,E2949,-E2949))</f>
        <v>0</v>
      </c>
      <c r="N2949" s="102" t="str">
        <f aca="false">IF(L2949="","",IFERROR(INDEX(AK_BARIS,MATCH(L2949,AK_NAMA,0)),"?"))</f>
        <v/>
      </c>
      <c r="O2949" s="102" t="str">
        <f aca="false">IF(C2949="","",IFERROR(INDEX(AK_KEL,MATCH(C2949,AK_NAMA,0)),"?"))</f>
        <v/>
      </c>
      <c r="P2949" s="102" t="str">
        <f aca="false">IF(D2949="","",IFERROR(INDEX(AK_KEL,MATCH(D2949,AK_NAMA,0)),"?"))</f>
        <v/>
      </c>
      <c r="Q2949" s="102" t="n">
        <f aca="false">N(Q2948)+IF(AND(N(E2949)&lt;&gt;0,K2949=TAHUN,N(J2949)&lt;=BLN,OR(C2949=BB_AKUN,D2949=BB_AKUN)),1,0)</f>
        <v>877</v>
      </c>
      <c r="R2949" s="104" t="str">
        <f aca="false">IF(OR(C2949&amp;D2949="",N(E2949)=0),"",IF(OR(O2949="?",P2949="?"),"⚠ akun tidak dikenal",IF(C2949=D2949,"⚠ debet = kredit","")))</f>
        <v/>
      </c>
    </row>
    <row r="2950" customFormat="false" ht="15" hidden="false" customHeight="false" outlineLevel="0" collapsed="false">
      <c r="A2950" s="5"/>
      <c r="B2950" s="83"/>
      <c r="C2950" s="5"/>
      <c r="D2950" s="5"/>
      <c r="E2950" s="44"/>
      <c r="F2950" s="5"/>
      <c r="G2950" s="5"/>
      <c r="H2950" s="5"/>
      <c r="I2950" s="5"/>
      <c r="J2950" s="102" t="str">
        <f aca="false">IF(B2950="","",MONTH(B2950))</f>
        <v/>
      </c>
      <c r="K2950" s="102" t="str">
        <f aca="false">IF(B2950="","",YEAR(B2950))</f>
        <v/>
      </c>
      <c r="L2950" s="102" t="str">
        <f aca="false">IF(N(E2950)=0,"",IF(COUNTIFS(AK_NAMA,C2950,AK_KAT,"KAS")+COUNTIFS(AK_NAMA,D2950,AK_KAT,"KAS")&lt;&gt;1,"",IF(COUNTIFS(AK_NAMA,C2950,AK_KAT,"KAS")=1,D2950,C2950)))</f>
        <v/>
      </c>
      <c r="M2950" s="103" t="n">
        <f aca="false">IF(L2950="",0,IF(L2950=D2950,E2950,-E2950))</f>
        <v>0</v>
      </c>
      <c r="N2950" s="102" t="str">
        <f aca="false">IF(L2950="","",IFERROR(INDEX(AK_BARIS,MATCH(L2950,AK_NAMA,0)),"?"))</f>
        <v/>
      </c>
      <c r="O2950" s="102" t="str">
        <f aca="false">IF(C2950="","",IFERROR(INDEX(AK_KEL,MATCH(C2950,AK_NAMA,0)),"?"))</f>
        <v/>
      </c>
      <c r="P2950" s="102" t="str">
        <f aca="false">IF(D2950="","",IFERROR(INDEX(AK_KEL,MATCH(D2950,AK_NAMA,0)),"?"))</f>
        <v/>
      </c>
      <c r="Q2950" s="102" t="n">
        <f aca="false">N(Q2949)+IF(AND(N(E2950)&lt;&gt;0,K2950=TAHUN,N(J2950)&lt;=BLN,OR(C2950=BB_AKUN,D2950=BB_AKUN)),1,0)</f>
        <v>877</v>
      </c>
      <c r="R2950" s="104" t="str">
        <f aca="false">IF(OR(C2950&amp;D2950="",N(E2950)=0),"",IF(OR(O2950="?",P2950="?"),"⚠ akun tidak dikenal",IF(C2950=D2950,"⚠ debet = kredit","")))</f>
        <v/>
      </c>
    </row>
    <row r="2951" customFormat="false" ht="15" hidden="false" customHeight="false" outlineLevel="0" collapsed="false">
      <c r="A2951" s="5"/>
      <c r="B2951" s="83"/>
      <c r="C2951" s="5"/>
      <c r="D2951" s="5"/>
      <c r="E2951" s="44"/>
      <c r="F2951" s="5"/>
      <c r="G2951" s="5"/>
      <c r="H2951" s="5"/>
      <c r="I2951" s="5"/>
      <c r="J2951" s="102" t="str">
        <f aca="false">IF(B2951="","",MONTH(B2951))</f>
        <v/>
      </c>
      <c r="K2951" s="102" t="str">
        <f aca="false">IF(B2951="","",YEAR(B2951))</f>
        <v/>
      </c>
      <c r="L2951" s="102" t="str">
        <f aca="false">IF(N(E2951)=0,"",IF(COUNTIFS(AK_NAMA,C2951,AK_KAT,"KAS")+COUNTIFS(AK_NAMA,D2951,AK_KAT,"KAS")&lt;&gt;1,"",IF(COUNTIFS(AK_NAMA,C2951,AK_KAT,"KAS")=1,D2951,C2951)))</f>
        <v/>
      </c>
      <c r="M2951" s="103" t="n">
        <f aca="false">IF(L2951="",0,IF(L2951=D2951,E2951,-E2951))</f>
        <v>0</v>
      </c>
      <c r="N2951" s="102" t="str">
        <f aca="false">IF(L2951="","",IFERROR(INDEX(AK_BARIS,MATCH(L2951,AK_NAMA,0)),"?"))</f>
        <v/>
      </c>
      <c r="O2951" s="102" t="str">
        <f aca="false">IF(C2951="","",IFERROR(INDEX(AK_KEL,MATCH(C2951,AK_NAMA,0)),"?"))</f>
        <v/>
      </c>
      <c r="P2951" s="102" t="str">
        <f aca="false">IF(D2951="","",IFERROR(INDEX(AK_KEL,MATCH(D2951,AK_NAMA,0)),"?"))</f>
        <v/>
      </c>
      <c r="Q2951" s="102" t="n">
        <f aca="false">N(Q2950)+IF(AND(N(E2951)&lt;&gt;0,K2951=TAHUN,N(J2951)&lt;=BLN,OR(C2951=BB_AKUN,D2951=BB_AKUN)),1,0)</f>
        <v>877</v>
      </c>
      <c r="R2951" s="104" t="str">
        <f aca="false">IF(OR(C2951&amp;D2951="",N(E2951)=0),"",IF(OR(O2951="?",P2951="?"),"⚠ akun tidak dikenal",IF(C2951=D2951,"⚠ debet = kredit","")))</f>
        <v/>
      </c>
    </row>
    <row r="2952" customFormat="false" ht="15" hidden="false" customHeight="false" outlineLevel="0" collapsed="false">
      <c r="A2952" s="5"/>
      <c r="B2952" s="83"/>
      <c r="C2952" s="5"/>
      <c r="D2952" s="5"/>
      <c r="E2952" s="44"/>
      <c r="F2952" s="5"/>
      <c r="G2952" s="5"/>
      <c r="H2952" s="5"/>
      <c r="I2952" s="5"/>
      <c r="J2952" s="102" t="str">
        <f aca="false">IF(B2952="","",MONTH(B2952))</f>
        <v/>
      </c>
      <c r="K2952" s="102" t="str">
        <f aca="false">IF(B2952="","",YEAR(B2952))</f>
        <v/>
      </c>
      <c r="L2952" s="102" t="str">
        <f aca="false">IF(N(E2952)=0,"",IF(COUNTIFS(AK_NAMA,C2952,AK_KAT,"KAS")+COUNTIFS(AK_NAMA,D2952,AK_KAT,"KAS")&lt;&gt;1,"",IF(COUNTIFS(AK_NAMA,C2952,AK_KAT,"KAS")=1,D2952,C2952)))</f>
        <v/>
      </c>
      <c r="M2952" s="103" t="n">
        <f aca="false">IF(L2952="",0,IF(L2952=D2952,E2952,-E2952))</f>
        <v>0</v>
      </c>
      <c r="N2952" s="102" t="str">
        <f aca="false">IF(L2952="","",IFERROR(INDEX(AK_BARIS,MATCH(L2952,AK_NAMA,0)),"?"))</f>
        <v/>
      </c>
      <c r="O2952" s="102" t="str">
        <f aca="false">IF(C2952="","",IFERROR(INDEX(AK_KEL,MATCH(C2952,AK_NAMA,0)),"?"))</f>
        <v/>
      </c>
      <c r="P2952" s="102" t="str">
        <f aca="false">IF(D2952="","",IFERROR(INDEX(AK_KEL,MATCH(D2952,AK_NAMA,0)),"?"))</f>
        <v/>
      </c>
      <c r="Q2952" s="102" t="n">
        <f aca="false">N(Q2951)+IF(AND(N(E2952)&lt;&gt;0,K2952=TAHUN,N(J2952)&lt;=BLN,OR(C2952=BB_AKUN,D2952=BB_AKUN)),1,0)</f>
        <v>877</v>
      </c>
      <c r="R2952" s="104" t="str">
        <f aca="false">IF(OR(C2952&amp;D2952="",N(E2952)=0),"",IF(OR(O2952="?",P2952="?"),"⚠ akun tidak dikenal",IF(C2952=D2952,"⚠ debet = kredit","")))</f>
        <v/>
      </c>
    </row>
    <row r="2953" customFormat="false" ht="15" hidden="false" customHeight="false" outlineLevel="0" collapsed="false">
      <c r="A2953" s="5"/>
      <c r="B2953" s="83"/>
      <c r="C2953" s="5"/>
      <c r="D2953" s="5"/>
      <c r="E2953" s="44"/>
      <c r="F2953" s="5"/>
      <c r="G2953" s="5"/>
      <c r="H2953" s="5"/>
      <c r="I2953" s="5"/>
      <c r="J2953" s="102" t="str">
        <f aca="false">IF(B2953="","",MONTH(B2953))</f>
        <v/>
      </c>
      <c r="K2953" s="102" t="str">
        <f aca="false">IF(B2953="","",YEAR(B2953))</f>
        <v/>
      </c>
      <c r="L2953" s="102" t="str">
        <f aca="false">IF(N(E2953)=0,"",IF(COUNTIFS(AK_NAMA,C2953,AK_KAT,"KAS")+COUNTIFS(AK_NAMA,D2953,AK_KAT,"KAS")&lt;&gt;1,"",IF(COUNTIFS(AK_NAMA,C2953,AK_KAT,"KAS")=1,D2953,C2953)))</f>
        <v/>
      </c>
      <c r="M2953" s="103" t="n">
        <f aca="false">IF(L2953="",0,IF(L2953=D2953,E2953,-E2953))</f>
        <v>0</v>
      </c>
      <c r="N2953" s="102" t="str">
        <f aca="false">IF(L2953="","",IFERROR(INDEX(AK_BARIS,MATCH(L2953,AK_NAMA,0)),"?"))</f>
        <v/>
      </c>
      <c r="O2953" s="102" t="str">
        <f aca="false">IF(C2953="","",IFERROR(INDEX(AK_KEL,MATCH(C2953,AK_NAMA,0)),"?"))</f>
        <v/>
      </c>
      <c r="P2953" s="102" t="str">
        <f aca="false">IF(D2953="","",IFERROR(INDEX(AK_KEL,MATCH(D2953,AK_NAMA,0)),"?"))</f>
        <v/>
      </c>
      <c r="Q2953" s="102" t="n">
        <f aca="false">N(Q2952)+IF(AND(N(E2953)&lt;&gt;0,K2953=TAHUN,N(J2953)&lt;=BLN,OR(C2953=BB_AKUN,D2953=BB_AKUN)),1,0)</f>
        <v>877</v>
      </c>
      <c r="R2953" s="104" t="str">
        <f aca="false">IF(OR(C2953&amp;D2953="",N(E2953)=0),"",IF(OR(O2953="?",P2953="?"),"⚠ akun tidak dikenal",IF(C2953=D2953,"⚠ debet = kredit","")))</f>
        <v/>
      </c>
    </row>
    <row r="2954" customFormat="false" ht="15" hidden="false" customHeight="false" outlineLevel="0" collapsed="false">
      <c r="A2954" s="5"/>
      <c r="B2954" s="83"/>
      <c r="C2954" s="5"/>
      <c r="D2954" s="5"/>
      <c r="E2954" s="44"/>
      <c r="F2954" s="5"/>
      <c r="G2954" s="5"/>
      <c r="H2954" s="5"/>
      <c r="I2954" s="5"/>
      <c r="J2954" s="102" t="str">
        <f aca="false">IF(B2954="","",MONTH(B2954))</f>
        <v/>
      </c>
      <c r="K2954" s="102" t="str">
        <f aca="false">IF(B2954="","",YEAR(B2954))</f>
        <v/>
      </c>
      <c r="L2954" s="102" t="str">
        <f aca="false">IF(N(E2954)=0,"",IF(COUNTIFS(AK_NAMA,C2954,AK_KAT,"KAS")+COUNTIFS(AK_NAMA,D2954,AK_KAT,"KAS")&lt;&gt;1,"",IF(COUNTIFS(AK_NAMA,C2954,AK_KAT,"KAS")=1,D2954,C2954)))</f>
        <v/>
      </c>
      <c r="M2954" s="103" t="n">
        <f aca="false">IF(L2954="",0,IF(L2954=D2954,E2954,-E2954))</f>
        <v>0</v>
      </c>
      <c r="N2954" s="102" t="str">
        <f aca="false">IF(L2954="","",IFERROR(INDEX(AK_BARIS,MATCH(L2954,AK_NAMA,0)),"?"))</f>
        <v/>
      </c>
      <c r="O2954" s="102" t="str">
        <f aca="false">IF(C2954="","",IFERROR(INDEX(AK_KEL,MATCH(C2954,AK_NAMA,0)),"?"))</f>
        <v/>
      </c>
      <c r="P2954" s="102" t="str">
        <f aca="false">IF(D2954="","",IFERROR(INDEX(AK_KEL,MATCH(D2954,AK_NAMA,0)),"?"))</f>
        <v/>
      </c>
      <c r="Q2954" s="102" t="n">
        <f aca="false">N(Q2953)+IF(AND(N(E2954)&lt;&gt;0,K2954=TAHUN,N(J2954)&lt;=BLN,OR(C2954=BB_AKUN,D2954=BB_AKUN)),1,0)</f>
        <v>877</v>
      </c>
      <c r="R2954" s="104" t="str">
        <f aca="false">IF(OR(C2954&amp;D2954="",N(E2954)=0),"",IF(OR(O2954="?",P2954="?"),"⚠ akun tidak dikenal",IF(C2954=D2954,"⚠ debet = kredit","")))</f>
        <v/>
      </c>
    </row>
    <row r="2955" customFormat="false" ht="15" hidden="false" customHeight="false" outlineLevel="0" collapsed="false">
      <c r="A2955" s="5"/>
      <c r="B2955" s="83"/>
      <c r="C2955" s="5"/>
      <c r="D2955" s="5"/>
      <c r="E2955" s="44"/>
      <c r="F2955" s="5"/>
      <c r="G2955" s="5"/>
      <c r="H2955" s="5"/>
      <c r="I2955" s="5"/>
      <c r="J2955" s="102" t="str">
        <f aca="false">IF(B2955="","",MONTH(B2955))</f>
        <v/>
      </c>
      <c r="K2955" s="102" t="str">
        <f aca="false">IF(B2955="","",YEAR(B2955))</f>
        <v/>
      </c>
      <c r="L2955" s="102" t="str">
        <f aca="false">IF(N(E2955)=0,"",IF(COUNTIFS(AK_NAMA,C2955,AK_KAT,"KAS")+COUNTIFS(AK_NAMA,D2955,AK_KAT,"KAS")&lt;&gt;1,"",IF(COUNTIFS(AK_NAMA,C2955,AK_KAT,"KAS")=1,D2955,C2955)))</f>
        <v/>
      </c>
      <c r="M2955" s="103" t="n">
        <f aca="false">IF(L2955="",0,IF(L2955=D2955,E2955,-E2955))</f>
        <v>0</v>
      </c>
      <c r="N2955" s="102" t="str">
        <f aca="false">IF(L2955="","",IFERROR(INDEX(AK_BARIS,MATCH(L2955,AK_NAMA,0)),"?"))</f>
        <v/>
      </c>
      <c r="O2955" s="102" t="str">
        <f aca="false">IF(C2955="","",IFERROR(INDEX(AK_KEL,MATCH(C2955,AK_NAMA,0)),"?"))</f>
        <v/>
      </c>
      <c r="P2955" s="102" t="str">
        <f aca="false">IF(D2955="","",IFERROR(INDEX(AK_KEL,MATCH(D2955,AK_NAMA,0)),"?"))</f>
        <v/>
      </c>
      <c r="Q2955" s="102" t="n">
        <f aca="false">N(Q2954)+IF(AND(N(E2955)&lt;&gt;0,K2955=TAHUN,N(J2955)&lt;=BLN,OR(C2955=BB_AKUN,D2955=BB_AKUN)),1,0)</f>
        <v>877</v>
      </c>
      <c r="R2955" s="104" t="str">
        <f aca="false">IF(OR(C2955&amp;D2955="",N(E2955)=0),"",IF(OR(O2955="?",P2955="?"),"⚠ akun tidak dikenal",IF(C2955=D2955,"⚠ debet = kredit","")))</f>
        <v/>
      </c>
    </row>
    <row r="2956" customFormat="false" ht="15" hidden="false" customHeight="false" outlineLevel="0" collapsed="false">
      <c r="A2956" s="5"/>
      <c r="B2956" s="83"/>
      <c r="C2956" s="5"/>
      <c r="D2956" s="5"/>
      <c r="E2956" s="44"/>
      <c r="F2956" s="5"/>
      <c r="G2956" s="5"/>
      <c r="H2956" s="5"/>
      <c r="I2956" s="5"/>
      <c r="J2956" s="102" t="str">
        <f aca="false">IF(B2956="","",MONTH(B2956))</f>
        <v/>
      </c>
      <c r="K2956" s="102" t="str">
        <f aca="false">IF(B2956="","",YEAR(B2956))</f>
        <v/>
      </c>
      <c r="L2956" s="102" t="str">
        <f aca="false">IF(N(E2956)=0,"",IF(COUNTIFS(AK_NAMA,C2956,AK_KAT,"KAS")+COUNTIFS(AK_NAMA,D2956,AK_KAT,"KAS")&lt;&gt;1,"",IF(COUNTIFS(AK_NAMA,C2956,AK_KAT,"KAS")=1,D2956,C2956)))</f>
        <v/>
      </c>
      <c r="M2956" s="103" t="n">
        <f aca="false">IF(L2956="",0,IF(L2956=D2956,E2956,-E2956))</f>
        <v>0</v>
      </c>
      <c r="N2956" s="102" t="str">
        <f aca="false">IF(L2956="","",IFERROR(INDEX(AK_BARIS,MATCH(L2956,AK_NAMA,0)),"?"))</f>
        <v/>
      </c>
      <c r="O2956" s="102" t="str">
        <f aca="false">IF(C2956="","",IFERROR(INDEX(AK_KEL,MATCH(C2956,AK_NAMA,0)),"?"))</f>
        <v/>
      </c>
      <c r="P2956" s="102" t="str">
        <f aca="false">IF(D2956="","",IFERROR(INDEX(AK_KEL,MATCH(D2956,AK_NAMA,0)),"?"))</f>
        <v/>
      </c>
      <c r="Q2956" s="102" t="n">
        <f aca="false">N(Q2955)+IF(AND(N(E2956)&lt;&gt;0,K2956=TAHUN,N(J2956)&lt;=BLN,OR(C2956=BB_AKUN,D2956=BB_AKUN)),1,0)</f>
        <v>877</v>
      </c>
      <c r="R2956" s="104" t="str">
        <f aca="false">IF(OR(C2956&amp;D2956="",N(E2956)=0),"",IF(OR(O2956="?",P2956="?"),"⚠ akun tidak dikenal",IF(C2956=D2956,"⚠ debet = kredit","")))</f>
        <v/>
      </c>
    </row>
    <row r="2957" customFormat="false" ht="15" hidden="false" customHeight="false" outlineLevel="0" collapsed="false">
      <c r="A2957" s="5"/>
      <c r="B2957" s="83"/>
      <c r="C2957" s="5"/>
      <c r="D2957" s="5"/>
      <c r="E2957" s="44"/>
      <c r="F2957" s="5"/>
      <c r="G2957" s="5"/>
      <c r="H2957" s="5"/>
      <c r="I2957" s="5"/>
      <c r="J2957" s="102" t="str">
        <f aca="false">IF(B2957="","",MONTH(B2957))</f>
        <v/>
      </c>
      <c r="K2957" s="102" t="str">
        <f aca="false">IF(B2957="","",YEAR(B2957))</f>
        <v/>
      </c>
      <c r="L2957" s="102" t="str">
        <f aca="false">IF(N(E2957)=0,"",IF(COUNTIFS(AK_NAMA,C2957,AK_KAT,"KAS")+COUNTIFS(AK_NAMA,D2957,AK_KAT,"KAS")&lt;&gt;1,"",IF(COUNTIFS(AK_NAMA,C2957,AK_KAT,"KAS")=1,D2957,C2957)))</f>
        <v/>
      </c>
      <c r="M2957" s="103" t="n">
        <f aca="false">IF(L2957="",0,IF(L2957=D2957,E2957,-E2957))</f>
        <v>0</v>
      </c>
      <c r="N2957" s="102" t="str">
        <f aca="false">IF(L2957="","",IFERROR(INDEX(AK_BARIS,MATCH(L2957,AK_NAMA,0)),"?"))</f>
        <v/>
      </c>
      <c r="O2957" s="102" t="str">
        <f aca="false">IF(C2957="","",IFERROR(INDEX(AK_KEL,MATCH(C2957,AK_NAMA,0)),"?"))</f>
        <v/>
      </c>
      <c r="P2957" s="102" t="str">
        <f aca="false">IF(D2957="","",IFERROR(INDEX(AK_KEL,MATCH(D2957,AK_NAMA,0)),"?"))</f>
        <v/>
      </c>
      <c r="Q2957" s="102" t="n">
        <f aca="false">N(Q2956)+IF(AND(N(E2957)&lt;&gt;0,K2957=TAHUN,N(J2957)&lt;=BLN,OR(C2957=BB_AKUN,D2957=BB_AKUN)),1,0)</f>
        <v>877</v>
      </c>
      <c r="R2957" s="104" t="str">
        <f aca="false">IF(OR(C2957&amp;D2957="",N(E2957)=0),"",IF(OR(O2957="?",P2957="?"),"⚠ akun tidak dikenal",IF(C2957=D2957,"⚠ debet = kredit","")))</f>
        <v/>
      </c>
    </row>
    <row r="2958" customFormat="false" ht="15" hidden="false" customHeight="false" outlineLevel="0" collapsed="false">
      <c r="A2958" s="5"/>
      <c r="B2958" s="83"/>
      <c r="C2958" s="5"/>
      <c r="D2958" s="5"/>
      <c r="E2958" s="44"/>
      <c r="F2958" s="5"/>
      <c r="G2958" s="5"/>
      <c r="H2958" s="5"/>
      <c r="I2958" s="5"/>
      <c r="J2958" s="102" t="str">
        <f aca="false">IF(B2958="","",MONTH(B2958))</f>
        <v/>
      </c>
      <c r="K2958" s="102" t="str">
        <f aca="false">IF(B2958="","",YEAR(B2958))</f>
        <v/>
      </c>
      <c r="L2958" s="102" t="str">
        <f aca="false">IF(N(E2958)=0,"",IF(COUNTIFS(AK_NAMA,C2958,AK_KAT,"KAS")+COUNTIFS(AK_NAMA,D2958,AK_KAT,"KAS")&lt;&gt;1,"",IF(COUNTIFS(AK_NAMA,C2958,AK_KAT,"KAS")=1,D2958,C2958)))</f>
        <v/>
      </c>
      <c r="M2958" s="103" t="n">
        <f aca="false">IF(L2958="",0,IF(L2958=D2958,E2958,-E2958))</f>
        <v>0</v>
      </c>
      <c r="N2958" s="102" t="str">
        <f aca="false">IF(L2958="","",IFERROR(INDEX(AK_BARIS,MATCH(L2958,AK_NAMA,0)),"?"))</f>
        <v/>
      </c>
      <c r="O2958" s="102" t="str">
        <f aca="false">IF(C2958="","",IFERROR(INDEX(AK_KEL,MATCH(C2958,AK_NAMA,0)),"?"))</f>
        <v/>
      </c>
      <c r="P2958" s="102" t="str">
        <f aca="false">IF(D2958="","",IFERROR(INDEX(AK_KEL,MATCH(D2958,AK_NAMA,0)),"?"))</f>
        <v/>
      </c>
      <c r="Q2958" s="102" t="n">
        <f aca="false">N(Q2957)+IF(AND(N(E2958)&lt;&gt;0,K2958=TAHUN,N(J2958)&lt;=BLN,OR(C2958=BB_AKUN,D2958=BB_AKUN)),1,0)</f>
        <v>877</v>
      </c>
      <c r="R2958" s="104" t="str">
        <f aca="false">IF(OR(C2958&amp;D2958="",N(E2958)=0),"",IF(OR(O2958="?",P2958="?"),"⚠ akun tidak dikenal",IF(C2958=D2958,"⚠ debet = kredit","")))</f>
        <v/>
      </c>
    </row>
    <row r="2959" customFormat="false" ht="15" hidden="false" customHeight="false" outlineLevel="0" collapsed="false">
      <c r="A2959" s="5"/>
      <c r="B2959" s="83"/>
      <c r="C2959" s="5"/>
      <c r="D2959" s="5"/>
      <c r="E2959" s="44"/>
      <c r="F2959" s="5"/>
      <c r="G2959" s="5"/>
      <c r="H2959" s="5"/>
      <c r="I2959" s="5"/>
      <c r="J2959" s="102" t="str">
        <f aca="false">IF(B2959="","",MONTH(B2959))</f>
        <v/>
      </c>
      <c r="K2959" s="102" t="str">
        <f aca="false">IF(B2959="","",YEAR(B2959))</f>
        <v/>
      </c>
      <c r="L2959" s="102" t="str">
        <f aca="false">IF(N(E2959)=0,"",IF(COUNTIFS(AK_NAMA,C2959,AK_KAT,"KAS")+COUNTIFS(AK_NAMA,D2959,AK_KAT,"KAS")&lt;&gt;1,"",IF(COUNTIFS(AK_NAMA,C2959,AK_KAT,"KAS")=1,D2959,C2959)))</f>
        <v/>
      </c>
      <c r="M2959" s="103" t="n">
        <f aca="false">IF(L2959="",0,IF(L2959=D2959,E2959,-E2959))</f>
        <v>0</v>
      </c>
      <c r="N2959" s="102" t="str">
        <f aca="false">IF(L2959="","",IFERROR(INDEX(AK_BARIS,MATCH(L2959,AK_NAMA,0)),"?"))</f>
        <v/>
      </c>
      <c r="O2959" s="102" t="str">
        <f aca="false">IF(C2959="","",IFERROR(INDEX(AK_KEL,MATCH(C2959,AK_NAMA,0)),"?"))</f>
        <v/>
      </c>
      <c r="P2959" s="102" t="str">
        <f aca="false">IF(D2959="","",IFERROR(INDEX(AK_KEL,MATCH(D2959,AK_NAMA,0)),"?"))</f>
        <v/>
      </c>
      <c r="Q2959" s="102" t="n">
        <f aca="false">N(Q2958)+IF(AND(N(E2959)&lt;&gt;0,K2959=TAHUN,N(J2959)&lt;=BLN,OR(C2959=BB_AKUN,D2959=BB_AKUN)),1,0)</f>
        <v>877</v>
      </c>
      <c r="R2959" s="104" t="str">
        <f aca="false">IF(OR(C2959&amp;D2959="",N(E2959)=0),"",IF(OR(O2959="?",P2959="?"),"⚠ akun tidak dikenal",IF(C2959=D2959,"⚠ debet = kredit","")))</f>
        <v/>
      </c>
    </row>
    <row r="2960" customFormat="false" ht="15" hidden="false" customHeight="false" outlineLevel="0" collapsed="false">
      <c r="A2960" s="5"/>
      <c r="B2960" s="83"/>
      <c r="C2960" s="5"/>
      <c r="D2960" s="5"/>
      <c r="E2960" s="44"/>
      <c r="F2960" s="5"/>
      <c r="G2960" s="5"/>
      <c r="H2960" s="5"/>
      <c r="I2960" s="5"/>
      <c r="J2960" s="102" t="str">
        <f aca="false">IF(B2960="","",MONTH(B2960))</f>
        <v/>
      </c>
      <c r="K2960" s="102" t="str">
        <f aca="false">IF(B2960="","",YEAR(B2960))</f>
        <v/>
      </c>
      <c r="L2960" s="102" t="str">
        <f aca="false">IF(N(E2960)=0,"",IF(COUNTIFS(AK_NAMA,C2960,AK_KAT,"KAS")+COUNTIFS(AK_NAMA,D2960,AK_KAT,"KAS")&lt;&gt;1,"",IF(COUNTIFS(AK_NAMA,C2960,AK_KAT,"KAS")=1,D2960,C2960)))</f>
        <v/>
      </c>
      <c r="M2960" s="103" t="n">
        <f aca="false">IF(L2960="",0,IF(L2960=D2960,E2960,-E2960))</f>
        <v>0</v>
      </c>
      <c r="N2960" s="102" t="str">
        <f aca="false">IF(L2960="","",IFERROR(INDEX(AK_BARIS,MATCH(L2960,AK_NAMA,0)),"?"))</f>
        <v/>
      </c>
      <c r="O2960" s="102" t="str">
        <f aca="false">IF(C2960="","",IFERROR(INDEX(AK_KEL,MATCH(C2960,AK_NAMA,0)),"?"))</f>
        <v/>
      </c>
      <c r="P2960" s="102" t="str">
        <f aca="false">IF(D2960="","",IFERROR(INDEX(AK_KEL,MATCH(D2960,AK_NAMA,0)),"?"))</f>
        <v/>
      </c>
      <c r="Q2960" s="102" t="n">
        <f aca="false">N(Q2959)+IF(AND(N(E2960)&lt;&gt;0,K2960=TAHUN,N(J2960)&lt;=BLN,OR(C2960=BB_AKUN,D2960=BB_AKUN)),1,0)</f>
        <v>877</v>
      </c>
      <c r="R2960" s="104" t="str">
        <f aca="false">IF(OR(C2960&amp;D2960="",N(E2960)=0),"",IF(OR(O2960="?",P2960="?"),"⚠ akun tidak dikenal",IF(C2960=D2960,"⚠ debet = kredit","")))</f>
        <v/>
      </c>
    </row>
    <row r="2961" customFormat="false" ht="15" hidden="false" customHeight="false" outlineLevel="0" collapsed="false">
      <c r="A2961" s="5"/>
      <c r="B2961" s="83"/>
      <c r="C2961" s="5"/>
      <c r="D2961" s="5"/>
      <c r="E2961" s="44"/>
      <c r="F2961" s="5"/>
      <c r="G2961" s="5"/>
      <c r="H2961" s="5"/>
      <c r="I2961" s="5"/>
      <c r="J2961" s="102" t="str">
        <f aca="false">IF(B2961="","",MONTH(B2961))</f>
        <v/>
      </c>
      <c r="K2961" s="102" t="str">
        <f aca="false">IF(B2961="","",YEAR(B2961))</f>
        <v/>
      </c>
      <c r="L2961" s="102" t="str">
        <f aca="false">IF(N(E2961)=0,"",IF(COUNTIFS(AK_NAMA,C2961,AK_KAT,"KAS")+COUNTIFS(AK_NAMA,D2961,AK_KAT,"KAS")&lt;&gt;1,"",IF(COUNTIFS(AK_NAMA,C2961,AK_KAT,"KAS")=1,D2961,C2961)))</f>
        <v/>
      </c>
      <c r="M2961" s="103" t="n">
        <f aca="false">IF(L2961="",0,IF(L2961=D2961,E2961,-E2961))</f>
        <v>0</v>
      </c>
      <c r="N2961" s="102" t="str">
        <f aca="false">IF(L2961="","",IFERROR(INDEX(AK_BARIS,MATCH(L2961,AK_NAMA,0)),"?"))</f>
        <v/>
      </c>
      <c r="O2961" s="102" t="str">
        <f aca="false">IF(C2961="","",IFERROR(INDEX(AK_KEL,MATCH(C2961,AK_NAMA,0)),"?"))</f>
        <v/>
      </c>
      <c r="P2961" s="102" t="str">
        <f aca="false">IF(D2961="","",IFERROR(INDEX(AK_KEL,MATCH(D2961,AK_NAMA,0)),"?"))</f>
        <v/>
      </c>
      <c r="Q2961" s="102" t="n">
        <f aca="false">N(Q2960)+IF(AND(N(E2961)&lt;&gt;0,K2961=TAHUN,N(J2961)&lt;=BLN,OR(C2961=BB_AKUN,D2961=BB_AKUN)),1,0)</f>
        <v>877</v>
      </c>
      <c r="R2961" s="104" t="str">
        <f aca="false">IF(OR(C2961&amp;D2961="",N(E2961)=0),"",IF(OR(O2961="?",P2961="?"),"⚠ akun tidak dikenal",IF(C2961=D2961,"⚠ debet = kredit","")))</f>
        <v/>
      </c>
    </row>
    <row r="2962" customFormat="false" ht="15" hidden="false" customHeight="false" outlineLevel="0" collapsed="false">
      <c r="A2962" s="5"/>
      <c r="B2962" s="83"/>
      <c r="C2962" s="5"/>
      <c r="D2962" s="5"/>
      <c r="E2962" s="44"/>
      <c r="F2962" s="5"/>
      <c r="G2962" s="5"/>
      <c r="H2962" s="5"/>
      <c r="I2962" s="5"/>
      <c r="J2962" s="102" t="str">
        <f aca="false">IF(B2962="","",MONTH(B2962))</f>
        <v/>
      </c>
      <c r="K2962" s="102" t="str">
        <f aca="false">IF(B2962="","",YEAR(B2962))</f>
        <v/>
      </c>
      <c r="L2962" s="102" t="str">
        <f aca="false">IF(N(E2962)=0,"",IF(COUNTIFS(AK_NAMA,C2962,AK_KAT,"KAS")+COUNTIFS(AK_NAMA,D2962,AK_KAT,"KAS")&lt;&gt;1,"",IF(COUNTIFS(AK_NAMA,C2962,AK_KAT,"KAS")=1,D2962,C2962)))</f>
        <v/>
      </c>
      <c r="M2962" s="103" t="n">
        <f aca="false">IF(L2962="",0,IF(L2962=D2962,E2962,-E2962))</f>
        <v>0</v>
      </c>
      <c r="N2962" s="102" t="str">
        <f aca="false">IF(L2962="","",IFERROR(INDEX(AK_BARIS,MATCH(L2962,AK_NAMA,0)),"?"))</f>
        <v/>
      </c>
      <c r="O2962" s="102" t="str">
        <f aca="false">IF(C2962="","",IFERROR(INDEX(AK_KEL,MATCH(C2962,AK_NAMA,0)),"?"))</f>
        <v/>
      </c>
      <c r="P2962" s="102" t="str">
        <f aca="false">IF(D2962="","",IFERROR(INDEX(AK_KEL,MATCH(D2962,AK_NAMA,0)),"?"))</f>
        <v/>
      </c>
      <c r="Q2962" s="102" t="n">
        <f aca="false">N(Q2961)+IF(AND(N(E2962)&lt;&gt;0,K2962=TAHUN,N(J2962)&lt;=BLN,OR(C2962=BB_AKUN,D2962=BB_AKUN)),1,0)</f>
        <v>877</v>
      </c>
      <c r="R2962" s="104" t="str">
        <f aca="false">IF(OR(C2962&amp;D2962="",N(E2962)=0),"",IF(OR(O2962="?",P2962="?"),"⚠ akun tidak dikenal",IF(C2962=D2962,"⚠ debet = kredit","")))</f>
        <v/>
      </c>
    </row>
    <row r="2963" customFormat="false" ht="15" hidden="false" customHeight="false" outlineLevel="0" collapsed="false">
      <c r="A2963" s="5"/>
      <c r="B2963" s="83"/>
      <c r="C2963" s="5"/>
      <c r="D2963" s="5"/>
      <c r="E2963" s="44"/>
      <c r="F2963" s="5"/>
      <c r="G2963" s="5"/>
      <c r="H2963" s="5"/>
      <c r="I2963" s="5"/>
      <c r="J2963" s="102" t="str">
        <f aca="false">IF(B2963="","",MONTH(B2963))</f>
        <v/>
      </c>
      <c r="K2963" s="102" t="str">
        <f aca="false">IF(B2963="","",YEAR(B2963))</f>
        <v/>
      </c>
      <c r="L2963" s="102" t="str">
        <f aca="false">IF(N(E2963)=0,"",IF(COUNTIFS(AK_NAMA,C2963,AK_KAT,"KAS")+COUNTIFS(AK_NAMA,D2963,AK_KAT,"KAS")&lt;&gt;1,"",IF(COUNTIFS(AK_NAMA,C2963,AK_KAT,"KAS")=1,D2963,C2963)))</f>
        <v/>
      </c>
      <c r="M2963" s="103" t="n">
        <f aca="false">IF(L2963="",0,IF(L2963=D2963,E2963,-E2963))</f>
        <v>0</v>
      </c>
      <c r="N2963" s="102" t="str">
        <f aca="false">IF(L2963="","",IFERROR(INDEX(AK_BARIS,MATCH(L2963,AK_NAMA,0)),"?"))</f>
        <v/>
      </c>
      <c r="O2963" s="102" t="str">
        <f aca="false">IF(C2963="","",IFERROR(INDEX(AK_KEL,MATCH(C2963,AK_NAMA,0)),"?"))</f>
        <v/>
      </c>
      <c r="P2963" s="102" t="str">
        <f aca="false">IF(D2963="","",IFERROR(INDEX(AK_KEL,MATCH(D2963,AK_NAMA,0)),"?"))</f>
        <v/>
      </c>
      <c r="Q2963" s="102" t="n">
        <f aca="false">N(Q2962)+IF(AND(N(E2963)&lt;&gt;0,K2963=TAHUN,N(J2963)&lt;=BLN,OR(C2963=BB_AKUN,D2963=BB_AKUN)),1,0)</f>
        <v>877</v>
      </c>
      <c r="R2963" s="104" t="str">
        <f aca="false">IF(OR(C2963&amp;D2963="",N(E2963)=0),"",IF(OR(O2963="?",P2963="?"),"⚠ akun tidak dikenal",IF(C2963=D2963,"⚠ debet = kredit","")))</f>
        <v/>
      </c>
    </row>
    <row r="2964" customFormat="false" ht="15" hidden="false" customHeight="false" outlineLevel="0" collapsed="false">
      <c r="A2964" s="5"/>
      <c r="B2964" s="83"/>
      <c r="C2964" s="5"/>
      <c r="D2964" s="5"/>
      <c r="E2964" s="44"/>
      <c r="F2964" s="5"/>
      <c r="G2964" s="5"/>
      <c r="H2964" s="5"/>
      <c r="I2964" s="5"/>
      <c r="J2964" s="102" t="str">
        <f aca="false">IF(B2964="","",MONTH(B2964))</f>
        <v/>
      </c>
      <c r="K2964" s="102" t="str">
        <f aca="false">IF(B2964="","",YEAR(B2964))</f>
        <v/>
      </c>
      <c r="L2964" s="102" t="str">
        <f aca="false">IF(N(E2964)=0,"",IF(COUNTIFS(AK_NAMA,C2964,AK_KAT,"KAS")+COUNTIFS(AK_NAMA,D2964,AK_KAT,"KAS")&lt;&gt;1,"",IF(COUNTIFS(AK_NAMA,C2964,AK_KAT,"KAS")=1,D2964,C2964)))</f>
        <v/>
      </c>
      <c r="M2964" s="103" t="n">
        <f aca="false">IF(L2964="",0,IF(L2964=D2964,E2964,-E2964))</f>
        <v>0</v>
      </c>
      <c r="N2964" s="102" t="str">
        <f aca="false">IF(L2964="","",IFERROR(INDEX(AK_BARIS,MATCH(L2964,AK_NAMA,0)),"?"))</f>
        <v/>
      </c>
      <c r="O2964" s="102" t="str">
        <f aca="false">IF(C2964="","",IFERROR(INDEX(AK_KEL,MATCH(C2964,AK_NAMA,0)),"?"))</f>
        <v/>
      </c>
      <c r="P2964" s="102" t="str">
        <f aca="false">IF(D2964="","",IFERROR(INDEX(AK_KEL,MATCH(D2964,AK_NAMA,0)),"?"))</f>
        <v/>
      </c>
      <c r="Q2964" s="102" t="n">
        <f aca="false">N(Q2963)+IF(AND(N(E2964)&lt;&gt;0,K2964=TAHUN,N(J2964)&lt;=BLN,OR(C2964=BB_AKUN,D2964=BB_AKUN)),1,0)</f>
        <v>877</v>
      </c>
      <c r="R2964" s="104" t="str">
        <f aca="false">IF(OR(C2964&amp;D2964="",N(E2964)=0),"",IF(OR(O2964="?",P2964="?"),"⚠ akun tidak dikenal",IF(C2964=D2964,"⚠ debet = kredit","")))</f>
        <v/>
      </c>
    </row>
    <row r="2965" customFormat="false" ht="15" hidden="false" customHeight="false" outlineLevel="0" collapsed="false">
      <c r="A2965" s="5"/>
      <c r="B2965" s="83"/>
      <c r="C2965" s="5"/>
      <c r="D2965" s="5"/>
      <c r="E2965" s="44"/>
      <c r="F2965" s="5"/>
      <c r="G2965" s="5"/>
      <c r="H2965" s="5"/>
      <c r="I2965" s="5"/>
      <c r="J2965" s="102" t="str">
        <f aca="false">IF(B2965="","",MONTH(B2965))</f>
        <v/>
      </c>
      <c r="K2965" s="102" t="str">
        <f aca="false">IF(B2965="","",YEAR(B2965))</f>
        <v/>
      </c>
      <c r="L2965" s="102" t="str">
        <f aca="false">IF(N(E2965)=0,"",IF(COUNTIFS(AK_NAMA,C2965,AK_KAT,"KAS")+COUNTIFS(AK_NAMA,D2965,AK_KAT,"KAS")&lt;&gt;1,"",IF(COUNTIFS(AK_NAMA,C2965,AK_KAT,"KAS")=1,D2965,C2965)))</f>
        <v/>
      </c>
      <c r="M2965" s="103" t="n">
        <f aca="false">IF(L2965="",0,IF(L2965=D2965,E2965,-E2965))</f>
        <v>0</v>
      </c>
      <c r="N2965" s="102" t="str">
        <f aca="false">IF(L2965="","",IFERROR(INDEX(AK_BARIS,MATCH(L2965,AK_NAMA,0)),"?"))</f>
        <v/>
      </c>
      <c r="O2965" s="102" t="str">
        <f aca="false">IF(C2965="","",IFERROR(INDEX(AK_KEL,MATCH(C2965,AK_NAMA,0)),"?"))</f>
        <v/>
      </c>
      <c r="P2965" s="102" t="str">
        <f aca="false">IF(D2965="","",IFERROR(INDEX(AK_KEL,MATCH(D2965,AK_NAMA,0)),"?"))</f>
        <v/>
      </c>
      <c r="Q2965" s="102" t="n">
        <f aca="false">N(Q2964)+IF(AND(N(E2965)&lt;&gt;0,K2965=TAHUN,N(J2965)&lt;=BLN,OR(C2965=BB_AKUN,D2965=BB_AKUN)),1,0)</f>
        <v>877</v>
      </c>
      <c r="R2965" s="104" t="str">
        <f aca="false">IF(OR(C2965&amp;D2965="",N(E2965)=0),"",IF(OR(O2965="?",P2965="?"),"⚠ akun tidak dikenal",IF(C2965=D2965,"⚠ debet = kredit","")))</f>
        <v/>
      </c>
    </row>
    <row r="2966" customFormat="false" ht="15" hidden="false" customHeight="false" outlineLevel="0" collapsed="false">
      <c r="A2966" s="5"/>
      <c r="B2966" s="83"/>
      <c r="C2966" s="5"/>
      <c r="D2966" s="5"/>
      <c r="E2966" s="44"/>
      <c r="F2966" s="5"/>
      <c r="G2966" s="5"/>
      <c r="H2966" s="5"/>
      <c r="I2966" s="5"/>
      <c r="J2966" s="102" t="str">
        <f aca="false">IF(B2966="","",MONTH(B2966))</f>
        <v/>
      </c>
      <c r="K2966" s="102" t="str">
        <f aca="false">IF(B2966="","",YEAR(B2966))</f>
        <v/>
      </c>
      <c r="L2966" s="102" t="str">
        <f aca="false">IF(N(E2966)=0,"",IF(COUNTIFS(AK_NAMA,C2966,AK_KAT,"KAS")+COUNTIFS(AK_NAMA,D2966,AK_KAT,"KAS")&lt;&gt;1,"",IF(COUNTIFS(AK_NAMA,C2966,AK_KAT,"KAS")=1,D2966,C2966)))</f>
        <v/>
      </c>
      <c r="M2966" s="103" t="n">
        <f aca="false">IF(L2966="",0,IF(L2966=D2966,E2966,-E2966))</f>
        <v>0</v>
      </c>
      <c r="N2966" s="102" t="str">
        <f aca="false">IF(L2966="","",IFERROR(INDEX(AK_BARIS,MATCH(L2966,AK_NAMA,0)),"?"))</f>
        <v/>
      </c>
      <c r="O2966" s="102" t="str">
        <f aca="false">IF(C2966="","",IFERROR(INDEX(AK_KEL,MATCH(C2966,AK_NAMA,0)),"?"))</f>
        <v/>
      </c>
      <c r="P2966" s="102" t="str">
        <f aca="false">IF(D2966="","",IFERROR(INDEX(AK_KEL,MATCH(D2966,AK_NAMA,0)),"?"))</f>
        <v/>
      </c>
      <c r="Q2966" s="102" t="n">
        <f aca="false">N(Q2965)+IF(AND(N(E2966)&lt;&gt;0,K2966=TAHUN,N(J2966)&lt;=BLN,OR(C2966=BB_AKUN,D2966=BB_AKUN)),1,0)</f>
        <v>877</v>
      </c>
      <c r="R2966" s="104" t="str">
        <f aca="false">IF(OR(C2966&amp;D2966="",N(E2966)=0),"",IF(OR(O2966="?",P2966="?"),"⚠ akun tidak dikenal",IF(C2966=D2966,"⚠ debet = kredit","")))</f>
        <v/>
      </c>
    </row>
    <row r="2967" customFormat="false" ht="15" hidden="false" customHeight="false" outlineLevel="0" collapsed="false">
      <c r="A2967" s="5"/>
      <c r="B2967" s="83"/>
      <c r="C2967" s="5"/>
      <c r="D2967" s="5"/>
      <c r="E2967" s="44"/>
      <c r="F2967" s="5"/>
      <c r="G2967" s="5"/>
      <c r="H2967" s="5"/>
      <c r="I2967" s="5"/>
      <c r="J2967" s="102" t="str">
        <f aca="false">IF(B2967="","",MONTH(B2967))</f>
        <v/>
      </c>
      <c r="K2967" s="102" t="str">
        <f aca="false">IF(B2967="","",YEAR(B2967))</f>
        <v/>
      </c>
      <c r="L2967" s="102" t="str">
        <f aca="false">IF(N(E2967)=0,"",IF(COUNTIFS(AK_NAMA,C2967,AK_KAT,"KAS")+COUNTIFS(AK_NAMA,D2967,AK_KAT,"KAS")&lt;&gt;1,"",IF(COUNTIFS(AK_NAMA,C2967,AK_KAT,"KAS")=1,D2967,C2967)))</f>
        <v/>
      </c>
      <c r="M2967" s="103" t="n">
        <f aca="false">IF(L2967="",0,IF(L2967=D2967,E2967,-E2967))</f>
        <v>0</v>
      </c>
      <c r="N2967" s="102" t="str">
        <f aca="false">IF(L2967="","",IFERROR(INDEX(AK_BARIS,MATCH(L2967,AK_NAMA,0)),"?"))</f>
        <v/>
      </c>
      <c r="O2967" s="102" t="str">
        <f aca="false">IF(C2967="","",IFERROR(INDEX(AK_KEL,MATCH(C2967,AK_NAMA,0)),"?"))</f>
        <v/>
      </c>
      <c r="P2967" s="102" t="str">
        <f aca="false">IF(D2967="","",IFERROR(INDEX(AK_KEL,MATCH(D2967,AK_NAMA,0)),"?"))</f>
        <v/>
      </c>
      <c r="Q2967" s="102" t="n">
        <f aca="false">N(Q2966)+IF(AND(N(E2967)&lt;&gt;0,K2967=TAHUN,N(J2967)&lt;=BLN,OR(C2967=BB_AKUN,D2967=BB_AKUN)),1,0)</f>
        <v>877</v>
      </c>
      <c r="R2967" s="104" t="str">
        <f aca="false">IF(OR(C2967&amp;D2967="",N(E2967)=0),"",IF(OR(O2967="?",P2967="?"),"⚠ akun tidak dikenal",IF(C2967=D2967,"⚠ debet = kredit","")))</f>
        <v/>
      </c>
    </row>
    <row r="2968" customFormat="false" ht="15" hidden="false" customHeight="false" outlineLevel="0" collapsed="false">
      <c r="A2968" s="5"/>
      <c r="B2968" s="83"/>
      <c r="C2968" s="5"/>
      <c r="D2968" s="5"/>
      <c r="E2968" s="44"/>
      <c r="F2968" s="5"/>
      <c r="G2968" s="5"/>
      <c r="H2968" s="5"/>
      <c r="I2968" s="5"/>
      <c r="J2968" s="102" t="str">
        <f aca="false">IF(B2968="","",MONTH(B2968))</f>
        <v/>
      </c>
      <c r="K2968" s="102" t="str">
        <f aca="false">IF(B2968="","",YEAR(B2968))</f>
        <v/>
      </c>
      <c r="L2968" s="102" t="str">
        <f aca="false">IF(N(E2968)=0,"",IF(COUNTIFS(AK_NAMA,C2968,AK_KAT,"KAS")+COUNTIFS(AK_NAMA,D2968,AK_KAT,"KAS")&lt;&gt;1,"",IF(COUNTIFS(AK_NAMA,C2968,AK_KAT,"KAS")=1,D2968,C2968)))</f>
        <v/>
      </c>
      <c r="M2968" s="103" t="n">
        <f aca="false">IF(L2968="",0,IF(L2968=D2968,E2968,-E2968))</f>
        <v>0</v>
      </c>
      <c r="N2968" s="102" t="str">
        <f aca="false">IF(L2968="","",IFERROR(INDEX(AK_BARIS,MATCH(L2968,AK_NAMA,0)),"?"))</f>
        <v/>
      </c>
      <c r="O2968" s="102" t="str">
        <f aca="false">IF(C2968="","",IFERROR(INDEX(AK_KEL,MATCH(C2968,AK_NAMA,0)),"?"))</f>
        <v/>
      </c>
      <c r="P2968" s="102" t="str">
        <f aca="false">IF(D2968="","",IFERROR(INDEX(AK_KEL,MATCH(D2968,AK_NAMA,0)),"?"))</f>
        <v/>
      </c>
      <c r="Q2968" s="102" t="n">
        <f aca="false">N(Q2967)+IF(AND(N(E2968)&lt;&gt;0,K2968=TAHUN,N(J2968)&lt;=BLN,OR(C2968=BB_AKUN,D2968=BB_AKUN)),1,0)</f>
        <v>877</v>
      </c>
      <c r="R2968" s="104" t="str">
        <f aca="false">IF(OR(C2968&amp;D2968="",N(E2968)=0),"",IF(OR(O2968="?",P2968="?"),"⚠ akun tidak dikenal",IF(C2968=D2968,"⚠ debet = kredit","")))</f>
        <v/>
      </c>
    </row>
    <row r="2969" customFormat="false" ht="15" hidden="false" customHeight="false" outlineLevel="0" collapsed="false">
      <c r="A2969" s="5"/>
      <c r="B2969" s="83"/>
      <c r="C2969" s="5"/>
      <c r="D2969" s="5"/>
      <c r="E2969" s="44"/>
      <c r="F2969" s="5"/>
      <c r="G2969" s="5"/>
      <c r="H2969" s="5"/>
      <c r="I2969" s="5"/>
      <c r="J2969" s="102" t="str">
        <f aca="false">IF(B2969="","",MONTH(B2969))</f>
        <v/>
      </c>
      <c r="K2969" s="102" t="str">
        <f aca="false">IF(B2969="","",YEAR(B2969))</f>
        <v/>
      </c>
      <c r="L2969" s="102" t="str">
        <f aca="false">IF(N(E2969)=0,"",IF(COUNTIFS(AK_NAMA,C2969,AK_KAT,"KAS")+COUNTIFS(AK_NAMA,D2969,AK_KAT,"KAS")&lt;&gt;1,"",IF(COUNTIFS(AK_NAMA,C2969,AK_KAT,"KAS")=1,D2969,C2969)))</f>
        <v/>
      </c>
      <c r="M2969" s="103" t="n">
        <f aca="false">IF(L2969="",0,IF(L2969=D2969,E2969,-E2969))</f>
        <v>0</v>
      </c>
      <c r="N2969" s="102" t="str">
        <f aca="false">IF(L2969="","",IFERROR(INDEX(AK_BARIS,MATCH(L2969,AK_NAMA,0)),"?"))</f>
        <v/>
      </c>
      <c r="O2969" s="102" t="str">
        <f aca="false">IF(C2969="","",IFERROR(INDEX(AK_KEL,MATCH(C2969,AK_NAMA,0)),"?"))</f>
        <v/>
      </c>
      <c r="P2969" s="102" t="str">
        <f aca="false">IF(D2969="","",IFERROR(INDEX(AK_KEL,MATCH(D2969,AK_NAMA,0)),"?"))</f>
        <v/>
      </c>
      <c r="Q2969" s="102" t="n">
        <f aca="false">N(Q2968)+IF(AND(N(E2969)&lt;&gt;0,K2969=TAHUN,N(J2969)&lt;=BLN,OR(C2969=BB_AKUN,D2969=BB_AKUN)),1,0)</f>
        <v>877</v>
      </c>
      <c r="R2969" s="104" t="str">
        <f aca="false">IF(OR(C2969&amp;D2969="",N(E2969)=0),"",IF(OR(O2969="?",P2969="?"),"⚠ akun tidak dikenal",IF(C2969=D2969,"⚠ debet = kredit","")))</f>
        <v/>
      </c>
    </row>
    <row r="2970" customFormat="false" ht="15" hidden="false" customHeight="false" outlineLevel="0" collapsed="false">
      <c r="A2970" s="5"/>
      <c r="B2970" s="83"/>
      <c r="C2970" s="5"/>
      <c r="D2970" s="5"/>
      <c r="E2970" s="44"/>
      <c r="F2970" s="5"/>
      <c r="G2970" s="5"/>
      <c r="H2970" s="5"/>
      <c r="I2970" s="5"/>
      <c r="J2970" s="102" t="str">
        <f aca="false">IF(B2970="","",MONTH(B2970))</f>
        <v/>
      </c>
      <c r="K2970" s="102" t="str">
        <f aca="false">IF(B2970="","",YEAR(B2970))</f>
        <v/>
      </c>
      <c r="L2970" s="102" t="str">
        <f aca="false">IF(N(E2970)=0,"",IF(COUNTIFS(AK_NAMA,C2970,AK_KAT,"KAS")+COUNTIFS(AK_NAMA,D2970,AK_KAT,"KAS")&lt;&gt;1,"",IF(COUNTIFS(AK_NAMA,C2970,AK_KAT,"KAS")=1,D2970,C2970)))</f>
        <v/>
      </c>
      <c r="M2970" s="103" t="n">
        <f aca="false">IF(L2970="",0,IF(L2970=D2970,E2970,-E2970))</f>
        <v>0</v>
      </c>
      <c r="N2970" s="102" t="str">
        <f aca="false">IF(L2970="","",IFERROR(INDEX(AK_BARIS,MATCH(L2970,AK_NAMA,0)),"?"))</f>
        <v/>
      </c>
      <c r="O2970" s="102" t="str">
        <f aca="false">IF(C2970="","",IFERROR(INDEX(AK_KEL,MATCH(C2970,AK_NAMA,0)),"?"))</f>
        <v/>
      </c>
      <c r="P2970" s="102" t="str">
        <f aca="false">IF(D2970="","",IFERROR(INDEX(AK_KEL,MATCH(D2970,AK_NAMA,0)),"?"))</f>
        <v/>
      </c>
      <c r="Q2970" s="102" t="n">
        <f aca="false">N(Q2969)+IF(AND(N(E2970)&lt;&gt;0,K2970=TAHUN,N(J2970)&lt;=BLN,OR(C2970=BB_AKUN,D2970=BB_AKUN)),1,0)</f>
        <v>877</v>
      </c>
      <c r="R2970" s="104" t="str">
        <f aca="false">IF(OR(C2970&amp;D2970="",N(E2970)=0),"",IF(OR(O2970="?",P2970="?"),"⚠ akun tidak dikenal",IF(C2970=D2970,"⚠ debet = kredit","")))</f>
        <v/>
      </c>
    </row>
    <row r="2971" customFormat="false" ht="15" hidden="false" customHeight="false" outlineLevel="0" collapsed="false">
      <c r="A2971" s="5"/>
      <c r="B2971" s="83"/>
      <c r="C2971" s="5"/>
      <c r="D2971" s="5"/>
      <c r="E2971" s="44"/>
      <c r="F2971" s="5"/>
      <c r="G2971" s="5"/>
      <c r="H2971" s="5"/>
      <c r="I2971" s="5"/>
      <c r="J2971" s="102" t="str">
        <f aca="false">IF(B2971="","",MONTH(B2971))</f>
        <v/>
      </c>
      <c r="K2971" s="102" t="str">
        <f aca="false">IF(B2971="","",YEAR(B2971))</f>
        <v/>
      </c>
      <c r="L2971" s="102" t="str">
        <f aca="false">IF(N(E2971)=0,"",IF(COUNTIFS(AK_NAMA,C2971,AK_KAT,"KAS")+COUNTIFS(AK_NAMA,D2971,AK_KAT,"KAS")&lt;&gt;1,"",IF(COUNTIFS(AK_NAMA,C2971,AK_KAT,"KAS")=1,D2971,C2971)))</f>
        <v/>
      </c>
      <c r="M2971" s="103" t="n">
        <f aca="false">IF(L2971="",0,IF(L2971=D2971,E2971,-E2971))</f>
        <v>0</v>
      </c>
      <c r="N2971" s="102" t="str">
        <f aca="false">IF(L2971="","",IFERROR(INDEX(AK_BARIS,MATCH(L2971,AK_NAMA,0)),"?"))</f>
        <v/>
      </c>
      <c r="O2971" s="102" t="str">
        <f aca="false">IF(C2971="","",IFERROR(INDEX(AK_KEL,MATCH(C2971,AK_NAMA,0)),"?"))</f>
        <v/>
      </c>
      <c r="P2971" s="102" t="str">
        <f aca="false">IF(D2971="","",IFERROR(INDEX(AK_KEL,MATCH(D2971,AK_NAMA,0)),"?"))</f>
        <v/>
      </c>
      <c r="Q2971" s="102" t="n">
        <f aca="false">N(Q2970)+IF(AND(N(E2971)&lt;&gt;0,K2971=TAHUN,N(J2971)&lt;=BLN,OR(C2971=BB_AKUN,D2971=BB_AKUN)),1,0)</f>
        <v>877</v>
      </c>
      <c r="R2971" s="104" t="str">
        <f aca="false">IF(OR(C2971&amp;D2971="",N(E2971)=0),"",IF(OR(O2971="?",P2971="?"),"⚠ akun tidak dikenal",IF(C2971=D2971,"⚠ debet = kredit","")))</f>
        <v/>
      </c>
    </row>
    <row r="2972" customFormat="false" ht="15" hidden="false" customHeight="false" outlineLevel="0" collapsed="false">
      <c r="A2972" s="5"/>
      <c r="B2972" s="83"/>
      <c r="C2972" s="5"/>
      <c r="D2972" s="5"/>
      <c r="E2972" s="44"/>
      <c r="F2972" s="5"/>
      <c r="G2972" s="5"/>
      <c r="H2972" s="5"/>
      <c r="I2972" s="5"/>
      <c r="J2972" s="102" t="str">
        <f aca="false">IF(B2972="","",MONTH(B2972))</f>
        <v/>
      </c>
      <c r="K2972" s="102" t="str">
        <f aca="false">IF(B2972="","",YEAR(B2972))</f>
        <v/>
      </c>
      <c r="L2972" s="102" t="str">
        <f aca="false">IF(N(E2972)=0,"",IF(COUNTIFS(AK_NAMA,C2972,AK_KAT,"KAS")+COUNTIFS(AK_NAMA,D2972,AK_KAT,"KAS")&lt;&gt;1,"",IF(COUNTIFS(AK_NAMA,C2972,AK_KAT,"KAS")=1,D2972,C2972)))</f>
        <v/>
      </c>
      <c r="M2972" s="103" t="n">
        <f aca="false">IF(L2972="",0,IF(L2972=D2972,E2972,-E2972))</f>
        <v>0</v>
      </c>
      <c r="N2972" s="102" t="str">
        <f aca="false">IF(L2972="","",IFERROR(INDEX(AK_BARIS,MATCH(L2972,AK_NAMA,0)),"?"))</f>
        <v/>
      </c>
      <c r="O2972" s="102" t="str">
        <f aca="false">IF(C2972="","",IFERROR(INDEX(AK_KEL,MATCH(C2972,AK_NAMA,0)),"?"))</f>
        <v/>
      </c>
      <c r="P2972" s="102" t="str">
        <f aca="false">IF(D2972="","",IFERROR(INDEX(AK_KEL,MATCH(D2972,AK_NAMA,0)),"?"))</f>
        <v/>
      </c>
      <c r="Q2972" s="102" t="n">
        <f aca="false">N(Q2971)+IF(AND(N(E2972)&lt;&gt;0,K2972=TAHUN,N(J2972)&lt;=BLN,OR(C2972=BB_AKUN,D2972=BB_AKUN)),1,0)</f>
        <v>877</v>
      </c>
      <c r="R2972" s="104" t="str">
        <f aca="false">IF(OR(C2972&amp;D2972="",N(E2972)=0),"",IF(OR(O2972="?",P2972="?"),"⚠ akun tidak dikenal",IF(C2972=D2972,"⚠ debet = kredit","")))</f>
        <v/>
      </c>
    </row>
    <row r="2973" customFormat="false" ht="15" hidden="false" customHeight="false" outlineLevel="0" collapsed="false">
      <c r="A2973" s="5"/>
      <c r="B2973" s="83"/>
      <c r="C2973" s="5"/>
      <c r="D2973" s="5"/>
      <c r="E2973" s="44"/>
      <c r="F2973" s="5"/>
      <c r="G2973" s="5"/>
      <c r="H2973" s="5"/>
      <c r="I2973" s="5"/>
      <c r="J2973" s="102" t="str">
        <f aca="false">IF(B2973="","",MONTH(B2973))</f>
        <v/>
      </c>
      <c r="K2973" s="102" t="str">
        <f aca="false">IF(B2973="","",YEAR(B2973))</f>
        <v/>
      </c>
      <c r="L2973" s="102" t="str">
        <f aca="false">IF(N(E2973)=0,"",IF(COUNTIFS(AK_NAMA,C2973,AK_KAT,"KAS")+COUNTIFS(AK_NAMA,D2973,AK_KAT,"KAS")&lt;&gt;1,"",IF(COUNTIFS(AK_NAMA,C2973,AK_KAT,"KAS")=1,D2973,C2973)))</f>
        <v/>
      </c>
      <c r="M2973" s="103" t="n">
        <f aca="false">IF(L2973="",0,IF(L2973=D2973,E2973,-E2973))</f>
        <v>0</v>
      </c>
      <c r="N2973" s="102" t="str">
        <f aca="false">IF(L2973="","",IFERROR(INDEX(AK_BARIS,MATCH(L2973,AK_NAMA,0)),"?"))</f>
        <v/>
      </c>
      <c r="O2973" s="102" t="str">
        <f aca="false">IF(C2973="","",IFERROR(INDEX(AK_KEL,MATCH(C2973,AK_NAMA,0)),"?"))</f>
        <v/>
      </c>
      <c r="P2973" s="102" t="str">
        <f aca="false">IF(D2973="","",IFERROR(INDEX(AK_KEL,MATCH(D2973,AK_NAMA,0)),"?"))</f>
        <v/>
      </c>
      <c r="Q2973" s="102" t="n">
        <f aca="false">N(Q2972)+IF(AND(N(E2973)&lt;&gt;0,K2973=TAHUN,N(J2973)&lt;=BLN,OR(C2973=BB_AKUN,D2973=BB_AKUN)),1,0)</f>
        <v>877</v>
      </c>
      <c r="R2973" s="104" t="str">
        <f aca="false">IF(OR(C2973&amp;D2973="",N(E2973)=0),"",IF(OR(O2973="?",P2973="?"),"⚠ akun tidak dikenal",IF(C2973=D2973,"⚠ debet = kredit","")))</f>
        <v/>
      </c>
    </row>
    <row r="2974" customFormat="false" ht="15" hidden="false" customHeight="false" outlineLevel="0" collapsed="false">
      <c r="A2974" s="5"/>
      <c r="B2974" s="83"/>
      <c r="C2974" s="5"/>
      <c r="D2974" s="5"/>
      <c r="E2974" s="44"/>
      <c r="F2974" s="5"/>
      <c r="G2974" s="5"/>
      <c r="H2974" s="5"/>
      <c r="I2974" s="5"/>
      <c r="J2974" s="102" t="str">
        <f aca="false">IF(B2974="","",MONTH(B2974))</f>
        <v/>
      </c>
      <c r="K2974" s="102" t="str">
        <f aca="false">IF(B2974="","",YEAR(B2974))</f>
        <v/>
      </c>
      <c r="L2974" s="102" t="str">
        <f aca="false">IF(N(E2974)=0,"",IF(COUNTIFS(AK_NAMA,C2974,AK_KAT,"KAS")+COUNTIFS(AK_NAMA,D2974,AK_KAT,"KAS")&lt;&gt;1,"",IF(COUNTIFS(AK_NAMA,C2974,AK_KAT,"KAS")=1,D2974,C2974)))</f>
        <v/>
      </c>
      <c r="M2974" s="103" t="n">
        <f aca="false">IF(L2974="",0,IF(L2974=D2974,E2974,-E2974))</f>
        <v>0</v>
      </c>
      <c r="N2974" s="102" t="str">
        <f aca="false">IF(L2974="","",IFERROR(INDEX(AK_BARIS,MATCH(L2974,AK_NAMA,0)),"?"))</f>
        <v/>
      </c>
      <c r="O2974" s="102" t="str">
        <f aca="false">IF(C2974="","",IFERROR(INDEX(AK_KEL,MATCH(C2974,AK_NAMA,0)),"?"))</f>
        <v/>
      </c>
      <c r="P2974" s="102" t="str">
        <f aca="false">IF(D2974="","",IFERROR(INDEX(AK_KEL,MATCH(D2974,AK_NAMA,0)),"?"))</f>
        <v/>
      </c>
      <c r="Q2974" s="102" t="n">
        <f aca="false">N(Q2973)+IF(AND(N(E2974)&lt;&gt;0,K2974=TAHUN,N(J2974)&lt;=BLN,OR(C2974=BB_AKUN,D2974=BB_AKUN)),1,0)</f>
        <v>877</v>
      </c>
      <c r="R2974" s="104" t="str">
        <f aca="false">IF(OR(C2974&amp;D2974="",N(E2974)=0),"",IF(OR(O2974="?",P2974="?"),"⚠ akun tidak dikenal",IF(C2974=D2974,"⚠ debet = kredit","")))</f>
        <v/>
      </c>
    </row>
    <row r="2975" customFormat="false" ht="15" hidden="false" customHeight="false" outlineLevel="0" collapsed="false">
      <c r="A2975" s="5"/>
      <c r="B2975" s="83"/>
      <c r="C2975" s="5"/>
      <c r="D2975" s="5"/>
      <c r="E2975" s="44"/>
      <c r="F2975" s="5"/>
      <c r="G2975" s="5"/>
      <c r="H2975" s="5"/>
      <c r="I2975" s="5"/>
      <c r="J2975" s="102" t="str">
        <f aca="false">IF(B2975="","",MONTH(B2975))</f>
        <v/>
      </c>
      <c r="K2975" s="102" t="str">
        <f aca="false">IF(B2975="","",YEAR(B2975))</f>
        <v/>
      </c>
      <c r="L2975" s="102" t="str">
        <f aca="false">IF(N(E2975)=0,"",IF(COUNTIFS(AK_NAMA,C2975,AK_KAT,"KAS")+COUNTIFS(AK_NAMA,D2975,AK_KAT,"KAS")&lt;&gt;1,"",IF(COUNTIFS(AK_NAMA,C2975,AK_KAT,"KAS")=1,D2975,C2975)))</f>
        <v/>
      </c>
      <c r="M2975" s="103" t="n">
        <f aca="false">IF(L2975="",0,IF(L2975=D2975,E2975,-E2975))</f>
        <v>0</v>
      </c>
      <c r="N2975" s="102" t="str">
        <f aca="false">IF(L2975="","",IFERROR(INDEX(AK_BARIS,MATCH(L2975,AK_NAMA,0)),"?"))</f>
        <v/>
      </c>
      <c r="O2975" s="102" t="str">
        <f aca="false">IF(C2975="","",IFERROR(INDEX(AK_KEL,MATCH(C2975,AK_NAMA,0)),"?"))</f>
        <v/>
      </c>
      <c r="P2975" s="102" t="str">
        <f aca="false">IF(D2975="","",IFERROR(INDEX(AK_KEL,MATCH(D2975,AK_NAMA,0)),"?"))</f>
        <v/>
      </c>
      <c r="Q2975" s="102" t="n">
        <f aca="false">N(Q2974)+IF(AND(N(E2975)&lt;&gt;0,K2975=TAHUN,N(J2975)&lt;=BLN,OR(C2975=BB_AKUN,D2975=BB_AKUN)),1,0)</f>
        <v>877</v>
      </c>
      <c r="R2975" s="104" t="str">
        <f aca="false">IF(OR(C2975&amp;D2975="",N(E2975)=0),"",IF(OR(O2975="?",P2975="?"),"⚠ akun tidak dikenal",IF(C2975=D2975,"⚠ debet = kredit","")))</f>
        <v/>
      </c>
    </row>
    <row r="2976" customFormat="false" ht="15" hidden="false" customHeight="false" outlineLevel="0" collapsed="false">
      <c r="A2976" s="5"/>
      <c r="B2976" s="83"/>
      <c r="C2976" s="5"/>
      <c r="D2976" s="5"/>
      <c r="E2976" s="44"/>
      <c r="F2976" s="5"/>
      <c r="G2976" s="5"/>
      <c r="H2976" s="5"/>
      <c r="I2976" s="5"/>
      <c r="J2976" s="102" t="str">
        <f aca="false">IF(B2976="","",MONTH(B2976))</f>
        <v/>
      </c>
      <c r="K2976" s="102" t="str">
        <f aca="false">IF(B2976="","",YEAR(B2976))</f>
        <v/>
      </c>
      <c r="L2976" s="102" t="str">
        <f aca="false">IF(N(E2976)=0,"",IF(COUNTIFS(AK_NAMA,C2976,AK_KAT,"KAS")+COUNTIFS(AK_NAMA,D2976,AK_KAT,"KAS")&lt;&gt;1,"",IF(COUNTIFS(AK_NAMA,C2976,AK_KAT,"KAS")=1,D2976,C2976)))</f>
        <v/>
      </c>
      <c r="M2976" s="103" t="n">
        <f aca="false">IF(L2976="",0,IF(L2976=D2976,E2976,-E2976))</f>
        <v>0</v>
      </c>
      <c r="N2976" s="102" t="str">
        <f aca="false">IF(L2976="","",IFERROR(INDEX(AK_BARIS,MATCH(L2976,AK_NAMA,0)),"?"))</f>
        <v/>
      </c>
      <c r="O2976" s="102" t="str">
        <f aca="false">IF(C2976="","",IFERROR(INDEX(AK_KEL,MATCH(C2976,AK_NAMA,0)),"?"))</f>
        <v/>
      </c>
      <c r="P2976" s="102" t="str">
        <f aca="false">IF(D2976="","",IFERROR(INDEX(AK_KEL,MATCH(D2976,AK_NAMA,0)),"?"))</f>
        <v/>
      </c>
      <c r="Q2976" s="102" t="n">
        <f aca="false">N(Q2975)+IF(AND(N(E2976)&lt;&gt;0,K2976=TAHUN,N(J2976)&lt;=BLN,OR(C2976=BB_AKUN,D2976=BB_AKUN)),1,0)</f>
        <v>877</v>
      </c>
      <c r="R2976" s="104" t="str">
        <f aca="false">IF(OR(C2976&amp;D2976="",N(E2976)=0),"",IF(OR(O2976="?",P2976="?"),"⚠ akun tidak dikenal",IF(C2976=D2976,"⚠ debet = kredit","")))</f>
        <v/>
      </c>
    </row>
    <row r="2977" customFormat="false" ht="15" hidden="false" customHeight="false" outlineLevel="0" collapsed="false">
      <c r="A2977" s="5"/>
      <c r="B2977" s="83"/>
      <c r="C2977" s="5"/>
      <c r="D2977" s="5"/>
      <c r="E2977" s="44"/>
      <c r="F2977" s="5"/>
      <c r="G2977" s="5"/>
      <c r="H2977" s="5"/>
      <c r="I2977" s="5"/>
      <c r="J2977" s="102" t="str">
        <f aca="false">IF(B2977="","",MONTH(B2977))</f>
        <v/>
      </c>
      <c r="K2977" s="102" t="str">
        <f aca="false">IF(B2977="","",YEAR(B2977))</f>
        <v/>
      </c>
      <c r="L2977" s="102" t="str">
        <f aca="false">IF(N(E2977)=0,"",IF(COUNTIFS(AK_NAMA,C2977,AK_KAT,"KAS")+COUNTIFS(AK_NAMA,D2977,AK_KAT,"KAS")&lt;&gt;1,"",IF(COUNTIFS(AK_NAMA,C2977,AK_KAT,"KAS")=1,D2977,C2977)))</f>
        <v/>
      </c>
      <c r="M2977" s="103" t="n">
        <f aca="false">IF(L2977="",0,IF(L2977=D2977,E2977,-E2977))</f>
        <v>0</v>
      </c>
      <c r="N2977" s="102" t="str">
        <f aca="false">IF(L2977="","",IFERROR(INDEX(AK_BARIS,MATCH(L2977,AK_NAMA,0)),"?"))</f>
        <v/>
      </c>
      <c r="O2977" s="102" t="str">
        <f aca="false">IF(C2977="","",IFERROR(INDEX(AK_KEL,MATCH(C2977,AK_NAMA,0)),"?"))</f>
        <v/>
      </c>
      <c r="P2977" s="102" t="str">
        <f aca="false">IF(D2977="","",IFERROR(INDEX(AK_KEL,MATCH(D2977,AK_NAMA,0)),"?"))</f>
        <v/>
      </c>
      <c r="Q2977" s="102" t="n">
        <f aca="false">N(Q2976)+IF(AND(N(E2977)&lt;&gt;0,K2977=TAHUN,N(J2977)&lt;=BLN,OR(C2977=BB_AKUN,D2977=BB_AKUN)),1,0)</f>
        <v>877</v>
      </c>
      <c r="R2977" s="104" t="str">
        <f aca="false">IF(OR(C2977&amp;D2977="",N(E2977)=0),"",IF(OR(O2977="?",P2977="?"),"⚠ akun tidak dikenal",IF(C2977=D2977,"⚠ debet = kredit","")))</f>
        <v/>
      </c>
    </row>
    <row r="2978" customFormat="false" ht="15" hidden="false" customHeight="false" outlineLevel="0" collapsed="false">
      <c r="A2978" s="5"/>
      <c r="B2978" s="83"/>
      <c r="C2978" s="5"/>
      <c r="D2978" s="5"/>
      <c r="E2978" s="44"/>
      <c r="F2978" s="5"/>
      <c r="G2978" s="5"/>
      <c r="H2978" s="5"/>
      <c r="I2978" s="5"/>
      <c r="J2978" s="102" t="str">
        <f aca="false">IF(B2978="","",MONTH(B2978))</f>
        <v/>
      </c>
      <c r="K2978" s="102" t="str">
        <f aca="false">IF(B2978="","",YEAR(B2978))</f>
        <v/>
      </c>
      <c r="L2978" s="102" t="str">
        <f aca="false">IF(N(E2978)=0,"",IF(COUNTIFS(AK_NAMA,C2978,AK_KAT,"KAS")+COUNTIFS(AK_NAMA,D2978,AK_KAT,"KAS")&lt;&gt;1,"",IF(COUNTIFS(AK_NAMA,C2978,AK_KAT,"KAS")=1,D2978,C2978)))</f>
        <v/>
      </c>
      <c r="M2978" s="103" t="n">
        <f aca="false">IF(L2978="",0,IF(L2978=D2978,E2978,-E2978))</f>
        <v>0</v>
      </c>
      <c r="N2978" s="102" t="str">
        <f aca="false">IF(L2978="","",IFERROR(INDEX(AK_BARIS,MATCH(L2978,AK_NAMA,0)),"?"))</f>
        <v/>
      </c>
      <c r="O2978" s="102" t="str">
        <f aca="false">IF(C2978="","",IFERROR(INDEX(AK_KEL,MATCH(C2978,AK_NAMA,0)),"?"))</f>
        <v/>
      </c>
      <c r="P2978" s="102" t="str">
        <f aca="false">IF(D2978="","",IFERROR(INDEX(AK_KEL,MATCH(D2978,AK_NAMA,0)),"?"))</f>
        <v/>
      </c>
      <c r="Q2978" s="102" t="n">
        <f aca="false">N(Q2977)+IF(AND(N(E2978)&lt;&gt;0,K2978=TAHUN,N(J2978)&lt;=BLN,OR(C2978=BB_AKUN,D2978=BB_AKUN)),1,0)</f>
        <v>877</v>
      </c>
      <c r="R2978" s="104" t="str">
        <f aca="false">IF(OR(C2978&amp;D2978="",N(E2978)=0),"",IF(OR(O2978="?",P2978="?"),"⚠ akun tidak dikenal",IF(C2978=D2978,"⚠ debet = kredit","")))</f>
        <v/>
      </c>
    </row>
    <row r="2979" customFormat="false" ht="15" hidden="false" customHeight="false" outlineLevel="0" collapsed="false">
      <c r="A2979" s="5"/>
      <c r="B2979" s="83"/>
      <c r="C2979" s="5"/>
      <c r="D2979" s="5"/>
      <c r="E2979" s="44"/>
      <c r="F2979" s="5"/>
      <c r="G2979" s="5"/>
      <c r="H2979" s="5"/>
      <c r="I2979" s="5"/>
      <c r="J2979" s="102" t="str">
        <f aca="false">IF(B2979="","",MONTH(B2979))</f>
        <v/>
      </c>
      <c r="K2979" s="102" t="str">
        <f aca="false">IF(B2979="","",YEAR(B2979))</f>
        <v/>
      </c>
      <c r="L2979" s="102" t="str">
        <f aca="false">IF(N(E2979)=0,"",IF(COUNTIFS(AK_NAMA,C2979,AK_KAT,"KAS")+COUNTIFS(AK_NAMA,D2979,AK_KAT,"KAS")&lt;&gt;1,"",IF(COUNTIFS(AK_NAMA,C2979,AK_KAT,"KAS")=1,D2979,C2979)))</f>
        <v/>
      </c>
      <c r="M2979" s="103" t="n">
        <f aca="false">IF(L2979="",0,IF(L2979=D2979,E2979,-E2979))</f>
        <v>0</v>
      </c>
      <c r="N2979" s="102" t="str">
        <f aca="false">IF(L2979="","",IFERROR(INDEX(AK_BARIS,MATCH(L2979,AK_NAMA,0)),"?"))</f>
        <v/>
      </c>
      <c r="O2979" s="102" t="str">
        <f aca="false">IF(C2979="","",IFERROR(INDEX(AK_KEL,MATCH(C2979,AK_NAMA,0)),"?"))</f>
        <v/>
      </c>
      <c r="P2979" s="102" t="str">
        <f aca="false">IF(D2979="","",IFERROR(INDEX(AK_KEL,MATCH(D2979,AK_NAMA,0)),"?"))</f>
        <v/>
      </c>
      <c r="Q2979" s="102" t="n">
        <f aca="false">N(Q2978)+IF(AND(N(E2979)&lt;&gt;0,K2979=TAHUN,N(J2979)&lt;=BLN,OR(C2979=BB_AKUN,D2979=BB_AKUN)),1,0)</f>
        <v>877</v>
      </c>
      <c r="R2979" s="104" t="str">
        <f aca="false">IF(OR(C2979&amp;D2979="",N(E2979)=0),"",IF(OR(O2979="?",P2979="?"),"⚠ akun tidak dikenal",IF(C2979=D2979,"⚠ debet = kredit","")))</f>
        <v/>
      </c>
    </row>
    <row r="2980" customFormat="false" ht="15" hidden="false" customHeight="false" outlineLevel="0" collapsed="false">
      <c r="A2980" s="5"/>
      <c r="B2980" s="83"/>
      <c r="C2980" s="5"/>
      <c r="D2980" s="5"/>
      <c r="E2980" s="44"/>
      <c r="F2980" s="5"/>
      <c r="G2980" s="5"/>
      <c r="H2980" s="5"/>
      <c r="I2980" s="5"/>
      <c r="J2980" s="102" t="str">
        <f aca="false">IF(B2980="","",MONTH(B2980))</f>
        <v/>
      </c>
      <c r="K2980" s="102" t="str">
        <f aca="false">IF(B2980="","",YEAR(B2980))</f>
        <v/>
      </c>
      <c r="L2980" s="102" t="str">
        <f aca="false">IF(N(E2980)=0,"",IF(COUNTIFS(AK_NAMA,C2980,AK_KAT,"KAS")+COUNTIFS(AK_NAMA,D2980,AK_KAT,"KAS")&lt;&gt;1,"",IF(COUNTIFS(AK_NAMA,C2980,AK_KAT,"KAS")=1,D2980,C2980)))</f>
        <v/>
      </c>
      <c r="M2980" s="103" t="n">
        <f aca="false">IF(L2980="",0,IF(L2980=D2980,E2980,-E2980))</f>
        <v>0</v>
      </c>
      <c r="N2980" s="102" t="str">
        <f aca="false">IF(L2980="","",IFERROR(INDEX(AK_BARIS,MATCH(L2980,AK_NAMA,0)),"?"))</f>
        <v/>
      </c>
      <c r="O2980" s="102" t="str">
        <f aca="false">IF(C2980="","",IFERROR(INDEX(AK_KEL,MATCH(C2980,AK_NAMA,0)),"?"))</f>
        <v/>
      </c>
      <c r="P2980" s="102" t="str">
        <f aca="false">IF(D2980="","",IFERROR(INDEX(AK_KEL,MATCH(D2980,AK_NAMA,0)),"?"))</f>
        <v/>
      </c>
      <c r="Q2980" s="102" t="n">
        <f aca="false">N(Q2979)+IF(AND(N(E2980)&lt;&gt;0,K2980=TAHUN,N(J2980)&lt;=BLN,OR(C2980=BB_AKUN,D2980=BB_AKUN)),1,0)</f>
        <v>877</v>
      </c>
      <c r="R2980" s="104" t="str">
        <f aca="false">IF(OR(C2980&amp;D2980="",N(E2980)=0),"",IF(OR(O2980="?",P2980="?"),"⚠ akun tidak dikenal",IF(C2980=D2980,"⚠ debet = kredit","")))</f>
        <v/>
      </c>
    </row>
    <row r="2981" customFormat="false" ht="15" hidden="false" customHeight="false" outlineLevel="0" collapsed="false">
      <c r="A2981" s="5"/>
      <c r="B2981" s="83"/>
      <c r="C2981" s="5"/>
      <c r="D2981" s="5"/>
      <c r="E2981" s="44"/>
      <c r="F2981" s="5"/>
      <c r="G2981" s="5"/>
      <c r="H2981" s="5"/>
      <c r="I2981" s="5"/>
      <c r="J2981" s="102" t="str">
        <f aca="false">IF(B2981="","",MONTH(B2981))</f>
        <v/>
      </c>
      <c r="K2981" s="102" t="str">
        <f aca="false">IF(B2981="","",YEAR(B2981))</f>
        <v/>
      </c>
      <c r="L2981" s="102" t="str">
        <f aca="false">IF(N(E2981)=0,"",IF(COUNTIFS(AK_NAMA,C2981,AK_KAT,"KAS")+COUNTIFS(AK_NAMA,D2981,AK_KAT,"KAS")&lt;&gt;1,"",IF(COUNTIFS(AK_NAMA,C2981,AK_KAT,"KAS")=1,D2981,C2981)))</f>
        <v/>
      </c>
      <c r="M2981" s="103" t="n">
        <f aca="false">IF(L2981="",0,IF(L2981=D2981,E2981,-E2981))</f>
        <v>0</v>
      </c>
      <c r="N2981" s="102" t="str">
        <f aca="false">IF(L2981="","",IFERROR(INDEX(AK_BARIS,MATCH(L2981,AK_NAMA,0)),"?"))</f>
        <v/>
      </c>
      <c r="O2981" s="102" t="str">
        <f aca="false">IF(C2981="","",IFERROR(INDEX(AK_KEL,MATCH(C2981,AK_NAMA,0)),"?"))</f>
        <v/>
      </c>
      <c r="P2981" s="102" t="str">
        <f aca="false">IF(D2981="","",IFERROR(INDEX(AK_KEL,MATCH(D2981,AK_NAMA,0)),"?"))</f>
        <v/>
      </c>
      <c r="Q2981" s="102" t="n">
        <f aca="false">N(Q2980)+IF(AND(N(E2981)&lt;&gt;0,K2981=TAHUN,N(J2981)&lt;=BLN,OR(C2981=BB_AKUN,D2981=BB_AKUN)),1,0)</f>
        <v>877</v>
      </c>
      <c r="R2981" s="104" t="str">
        <f aca="false">IF(OR(C2981&amp;D2981="",N(E2981)=0),"",IF(OR(O2981="?",P2981="?"),"⚠ akun tidak dikenal",IF(C2981=D2981,"⚠ debet = kredit","")))</f>
        <v/>
      </c>
    </row>
    <row r="2982" customFormat="false" ht="15" hidden="false" customHeight="false" outlineLevel="0" collapsed="false">
      <c r="A2982" s="5"/>
      <c r="B2982" s="83"/>
      <c r="C2982" s="5"/>
      <c r="D2982" s="5"/>
      <c r="E2982" s="44"/>
      <c r="F2982" s="5"/>
      <c r="G2982" s="5"/>
      <c r="H2982" s="5"/>
      <c r="I2982" s="5"/>
      <c r="J2982" s="102" t="str">
        <f aca="false">IF(B2982="","",MONTH(B2982))</f>
        <v/>
      </c>
      <c r="K2982" s="102" t="str">
        <f aca="false">IF(B2982="","",YEAR(B2982))</f>
        <v/>
      </c>
      <c r="L2982" s="102" t="str">
        <f aca="false">IF(N(E2982)=0,"",IF(COUNTIFS(AK_NAMA,C2982,AK_KAT,"KAS")+COUNTIFS(AK_NAMA,D2982,AK_KAT,"KAS")&lt;&gt;1,"",IF(COUNTIFS(AK_NAMA,C2982,AK_KAT,"KAS")=1,D2982,C2982)))</f>
        <v/>
      </c>
      <c r="M2982" s="103" t="n">
        <f aca="false">IF(L2982="",0,IF(L2982=D2982,E2982,-E2982))</f>
        <v>0</v>
      </c>
      <c r="N2982" s="102" t="str">
        <f aca="false">IF(L2982="","",IFERROR(INDEX(AK_BARIS,MATCH(L2982,AK_NAMA,0)),"?"))</f>
        <v/>
      </c>
      <c r="O2982" s="102" t="str">
        <f aca="false">IF(C2982="","",IFERROR(INDEX(AK_KEL,MATCH(C2982,AK_NAMA,0)),"?"))</f>
        <v/>
      </c>
      <c r="P2982" s="102" t="str">
        <f aca="false">IF(D2982="","",IFERROR(INDEX(AK_KEL,MATCH(D2982,AK_NAMA,0)),"?"))</f>
        <v/>
      </c>
      <c r="Q2982" s="102" t="n">
        <f aca="false">N(Q2981)+IF(AND(N(E2982)&lt;&gt;0,K2982=TAHUN,N(J2982)&lt;=BLN,OR(C2982=BB_AKUN,D2982=BB_AKUN)),1,0)</f>
        <v>877</v>
      </c>
      <c r="R2982" s="104" t="str">
        <f aca="false">IF(OR(C2982&amp;D2982="",N(E2982)=0),"",IF(OR(O2982="?",P2982="?"),"⚠ akun tidak dikenal",IF(C2982=D2982,"⚠ debet = kredit","")))</f>
        <v/>
      </c>
    </row>
    <row r="2983" customFormat="false" ht="15" hidden="false" customHeight="false" outlineLevel="0" collapsed="false">
      <c r="A2983" s="5"/>
      <c r="B2983" s="83"/>
      <c r="C2983" s="5"/>
      <c r="D2983" s="5"/>
      <c r="E2983" s="44"/>
      <c r="F2983" s="5"/>
      <c r="G2983" s="5"/>
      <c r="H2983" s="5"/>
      <c r="I2983" s="5"/>
      <c r="J2983" s="102" t="str">
        <f aca="false">IF(B2983="","",MONTH(B2983))</f>
        <v/>
      </c>
      <c r="K2983" s="102" t="str">
        <f aca="false">IF(B2983="","",YEAR(B2983))</f>
        <v/>
      </c>
      <c r="L2983" s="102" t="str">
        <f aca="false">IF(N(E2983)=0,"",IF(COUNTIFS(AK_NAMA,C2983,AK_KAT,"KAS")+COUNTIFS(AK_NAMA,D2983,AK_KAT,"KAS")&lt;&gt;1,"",IF(COUNTIFS(AK_NAMA,C2983,AK_KAT,"KAS")=1,D2983,C2983)))</f>
        <v/>
      </c>
      <c r="M2983" s="103" t="n">
        <f aca="false">IF(L2983="",0,IF(L2983=D2983,E2983,-E2983))</f>
        <v>0</v>
      </c>
      <c r="N2983" s="102" t="str">
        <f aca="false">IF(L2983="","",IFERROR(INDEX(AK_BARIS,MATCH(L2983,AK_NAMA,0)),"?"))</f>
        <v/>
      </c>
      <c r="O2983" s="102" t="str">
        <f aca="false">IF(C2983="","",IFERROR(INDEX(AK_KEL,MATCH(C2983,AK_NAMA,0)),"?"))</f>
        <v/>
      </c>
      <c r="P2983" s="102" t="str">
        <f aca="false">IF(D2983="","",IFERROR(INDEX(AK_KEL,MATCH(D2983,AK_NAMA,0)),"?"))</f>
        <v/>
      </c>
      <c r="Q2983" s="102" t="n">
        <f aca="false">N(Q2982)+IF(AND(N(E2983)&lt;&gt;0,K2983=TAHUN,N(J2983)&lt;=BLN,OR(C2983=BB_AKUN,D2983=BB_AKUN)),1,0)</f>
        <v>877</v>
      </c>
      <c r="R2983" s="104" t="str">
        <f aca="false">IF(OR(C2983&amp;D2983="",N(E2983)=0),"",IF(OR(O2983="?",P2983="?"),"⚠ akun tidak dikenal",IF(C2983=D2983,"⚠ debet = kredit","")))</f>
        <v/>
      </c>
    </row>
    <row r="2984" customFormat="false" ht="15" hidden="false" customHeight="false" outlineLevel="0" collapsed="false">
      <c r="A2984" s="5"/>
      <c r="B2984" s="83"/>
      <c r="C2984" s="5"/>
      <c r="D2984" s="5"/>
      <c r="E2984" s="44"/>
      <c r="F2984" s="5"/>
      <c r="G2984" s="5"/>
      <c r="H2984" s="5"/>
      <c r="I2984" s="5"/>
      <c r="J2984" s="102" t="str">
        <f aca="false">IF(B2984="","",MONTH(B2984))</f>
        <v/>
      </c>
      <c r="K2984" s="102" t="str">
        <f aca="false">IF(B2984="","",YEAR(B2984))</f>
        <v/>
      </c>
      <c r="L2984" s="102" t="str">
        <f aca="false">IF(N(E2984)=0,"",IF(COUNTIFS(AK_NAMA,C2984,AK_KAT,"KAS")+COUNTIFS(AK_NAMA,D2984,AK_KAT,"KAS")&lt;&gt;1,"",IF(COUNTIFS(AK_NAMA,C2984,AK_KAT,"KAS")=1,D2984,C2984)))</f>
        <v/>
      </c>
      <c r="M2984" s="103" t="n">
        <f aca="false">IF(L2984="",0,IF(L2984=D2984,E2984,-E2984))</f>
        <v>0</v>
      </c>
      <c r="N2984" s="102" t="str">
        <f aca="false">IF(L2984="","",IFERROR(INDEX(AK_BARIS,MATCH(L2984,AK_NAMA,0)),"?"))</f>
        <v/>
      </c>
      <c r="O2984" s="102" t="str">
        <f aca="false">IF(C2984="","",IFERROR(INDEX(AK_KEL,MATCH(C2984,AK_NAMA,0)),"?"))</f>
        <v/>
      </c>
      <c r="P2984" s="102" t="str">
        <f aca="false">IF(D2984="","",IFERROR(INDEX(AK_KEL,MATCH(D2984,AK_NAMA,0)),"?"))</f>
        <v/>
      </c>
      <c r="Q2984" s="102" t="n">
        <f aca="false">N(Q2983)+IF(AND(N(E2984)&lt;&gt;0,K2984=TAHUN,N(J2984)&lt;=BLN,OR(C2984=BB_AKUN,D2984=BB_AKUN)),1,0)</f>
        <v>877</v>
      </c>
      <c r="R2984" s="104" t="str">
        <f aca="false">IF(OR(C2984&amp;D2984="",N(E2984)=0),"",IF(OR(O2984="?",P2984="?"),"⚠ akun tidak dikenal",IF(C2984=D2984,"⚠ debet = kredit","")))</f>
        <v/>
      </c>
    </row>
    <row r="2985" customFormat="false" ht="15" hidden="false" customHeight="false" outlineLevel="0" collapsed="false">
      <c r="A2985" s="5"/>
      <c r="B2985" s="83"/>
      <c r="C2985" s="5"/>
      <c r="D2985" s="5"/>
      <c r="E2985" s="44"/>
      <c r="F2985" s="5"/>
      <c r="G2985" s="5"/>
      <c r="H2985" s="5"/>
      <c r="I2985" s="5"/>
      <c r="J2985" s="102" t="str">
        <f aca="false">IF(B2985="","",MONTH(B2985))</f>
        <v/>
      </c>
      <c r="K2985" s="102" t="str">
        <f aca="false">IF(B2985="","",YEAR(B2985))</f>
        <v/>
      </c>
      <c r="L2985" s="102" t="str">
        <f aca="false">IF(N(E2985)=0,"",IF(COUNTIFS(AK_NAMA,C2985,AK_KAT,"KAS")+COUNTIFS(AK_NAMA,D2985,AK_KAT,"KAS")&lt;&gt;1,"",IF(COUNTIFS(AK_NAMA,C2985,AK_KAT,"KAS")=1,D2985,C2985)))</f>
        <v/>
      </c>
      <c r="M2985" s="103" t="n">
        <f aca="false">IF(L2985="",0,IF(L2985=D2985,E2985,-E2985))</f>
        <v>0</v>
      </c>
      <c r="N2985" s="102" t="str">
        <f aca="false">IF(L2985="","",IFERROR(INDEX(AK_BARIS,MATCH(L2985,AK_NAMA,0)),"?"))</f>
        <v/>
      </c>
      <c r="O2985" s="102" t="str">
        <f aca="false">IF(C2985="","",IFERROR(INDEX(AK_KEL,MATCH(C2985,AK_NAMA,0)),"?"))</f>
        <v/>
      </c>
      <c r="P2985" s="102" t="str">
        <f aca="false">IF(D2985="","",IFERROR(INDEX(AK_KEL,MATCH(D2985,AK_NAMA,0)),"?"))</f>
        <v/>
      </c>
      <c r="Q2985" s="102" t="n">
        <f aca="false">N(Q2984)+IF(AND(N(E2985)&lt;&gt;0,K2985=TAHUN,N(J2985)&lt;=BLN,OR(C2985=BB_AKUN,D2985=BB_AKUN)),1,0)</f>
        <v>877</v>
      </c>
      <c r="R2985" s="104" t="str">
        <f aca="false">IF(OR(C2985&amp;D2985="",N(E2985)=0),"",IF(OR(O2985="?",P2985="?"),"⚠ akun tidak dikenal",IF(C2985=D2985,"⚠ debet = kredit","")))</f>
        <v/>
      </c>
    </row>
    <row r="2986" customFormat="false" ht="15" hidden="false" customHeight="false" outlineLevel="0" collapsed="false">
      <c r="A2986" s="5"/>
      <c r="B2986" s="83"/>
      <c r="C2986" s="5"/>
      <c r="D2986" s="5"/>
      <c r="E2986" s="44"/>
      <c r="F2986" s="5"/>
      <c r="G2986" s="5"/>
      <c r="H2986" s="5"/>
      <c r="I2986" s="5"/>
      <c r="J2986" s="102" t="str">
        <f aca="false">IF(B2986="","",MONTH(B2986))</f>
        <v/>
      </c>
      <c r="K2986" s="102" t="str">
        <f aca="false">IF(B2986="","",YEAR(B2986))</f>
        <v/>
      </c>
      <c r="L2986" s="102" t="str">
        <f aca="false">IF(N(E2986)=0,"",IF(COUNTIFS(AK_NAMA,C2986,AK_KAT,"KAS")+COUNTIFS(AK_NAMA,D2986,AK_KAT,"KAS")&lt;&gt;1,"",IF(COUNTIFS(AK_NAMA,C2986,AK_KAT,"KAS")=1,D2986,C2986)))</f>
        <v/>
      </c>
      <c r="M2986" s="103" t="n">
        <f aca="false">IF(L2986="",0,IF(L2986=D2986,E2986,-E2986))</f>
        <v>0</v>
      </c>
      <c r="N2986" s="102" t="str">
        <f aca="false">IF(L2986="","",IFERROR(INDEX(AK_BARIS,MATCH(L2986,AK_NAMA,0)),"?"))</f>
        <v/>
      </c>
      <c r="O2986" s="102" t="str">
        <f aca="false">IF(C2986="","",IFERROR(INDEX(AK_KEL,MATCH(C2986,AK_NAMA,0)),"?"))</f>
        <v/>
      </c>
      <c r="P2986" s="102" t="str">
        <f aca="false">IF(D2986="","",IFERROR(INDEX(AK_KEL,MATCH(D2986,AK_NAMA,0)),"?"))</f>
        <v/>
      </c>
      <c r="Q2986" s="102" t="n">
        <f aca="false">N(Q2985)+IF(AND(N(E2986)&lt;&gt;0,K2986=TAHUN,N(J2986)&lt;=BLN,OR(C2986=BB_AKUN,D2986=BB_AKUN)),1,0)</f>
        <v>877</v>
      </c>
      <c r="R2986" s="104" t="str">
        <f aca="false">IF(OR(C2986&amp;D2986="",N(E2986)=0),"",IF(OR(O2986="?",P2986="?"),"⚠ akun tidak dikenal",IF(C2986=D2986,"⚠ debet = kredit","")))</f>
        <v/>
      </c>
    </row>
    <row r="2987" customFormat="false" ht="15" hidden="false" customHeight="false" outlineLevel="0" collapsed="false">
      <c r="A2987" s="5"/>
      <c r="B2987" s="83"/>
      <c r="C2987" s="5"/>
      <c r="D2987" s="5"/>
      <c r="E2987" s="44"/>
      <c r="F2987" s="5"/>
      <c r="G2987" s="5"/>
      <c r="H2987" s="5"/>
      <c r="I2987" s="5"/>
      <c r="J2987" s="102" t="str">
        <f aca="false">IF(B2987="","",MONTH(B2987))</f>
        <v/>
      </c>
      <c r="K2987" s="102" t="str">
        <f aca="false">IF(B2987="","",YEAR(B2987))</f>
        <v/>
      </c>
      <c r="L2987" s="102" t="str">
        <f aca="false">IF(N(E2987)=0,"",IF(COUNTIFS(AK_NAMA,C2987,AK_KAT,"KAS")+COUNTIFS(AK_NAMA,D2987,AK_KAT,"KAS")&lt;&gt;1,"",IF(COUNTIFS(AK_NAMA,C2987,AK_KAT,"KAS")=1,D2987,C2987)))</f>
        <v/>
      </c>
      <c r="M2987" s="103" t="n">
        <f aca="false">IF(L2987="",0,IF(L2987=D2987,E2987,-E2987))</f>
        <v>0</v>
      </c>
      <c r="N2987" s="102" t="str">
        <f aca="false">IF(L2987="","",IFERROR(INDEX(AK_BARIS,MATCH(L2987,AK_NAMA,0)),"?"))</f>
        <v/>
      </c>
      <c r="O2987" s="102" t="str">
        <f aca="false">IF(C2987="","",IFERROR(INDEX(AK_KEL,MATCH(C2987,AK_NAMA,0)),"?"))</f>
        <v/>
      </c>
      <c r="P2987" s="102" t="str">
        <f aca="false">IF(D2987="","",IFERROR(INDEX(AK_KEL,MATCH(D2987,AK_NAMA,0)),"?"))</f>
        <v/>
      </c>
      <c r="Q2987" s="102" t="n">
        <f aca="false">N(Q2986)+IF(AND(N(E2987)&lt;&gt;0,K2987=TAHUN,N(J2987)&lt;=BLN,OR(C2987=BB_AKUN,D2987=BB_AKUN)),1,0)</f>
        <v>877</v>
      </c>
      <c r="R2987" s="104" t="str">
        <f aca="false">IF(OR(C2987&amp;D2987="",N(E2987)=0),"",IF(OR(O2987="?",P2987="?"),"⚠ akun tidak dikenal",IF(C2987=D2987,"⚠ debet = kredit","")))</f>
        <v/>
      </c>
    </row>
    <row r="2988" customFormat="false" ht="15" hidden="false" customHeight="false" outlineLevel="0" collapsed="false">
      <c r="A2988" s="5"/>
      <c r="B2988" s="83"/>
      <c r="C2988" s="5"/>
      <c r="D2988" s="5"/>
      <c r="E2988" s="44"/>
      <c r="F2988" s="5"/>
      <c r="G2988" s="5"/>
      <c r="H2988" s="5"/>
      <c r="I2988" s="5"/>
      <c r="J2988" s="102" t="str">
        <f aca="false">IF(B2988="","",MONTH(B2988))</f>
        <v/>
      </c>
      <c r="K2988" s="102" t="str">
        <f aca="false">IF(B2988="","",YEAR(B2988))</f>
        <v/>
      </c>
      <c r="L2988" s="102" t="str">
        <f aca="false">IF(N(E2988)=0,"",IF(COUNTIFS(AK_NAMA,C2988,AK_KAT,"KAS")+COUNTIFS(AK_NAMA,D2988,AK_KAT,"KAS")&lt;&gt;1,"",IF(COUNTIFS(AK_NAMA,C2988,AK_KAT,"KAS")=1,D2988,C2988)))</f>
        <v/>
      </c>
      <c r="M2988" s="103" t="n">
        <f aca="false">IF(L2988="",0,IF(L2988=D2988,E2988,-E2988))</f>
        <v>0</v>
      </c>
      <c r="N2988" s="102" t="str">
        <f aca="false">IF(L2988="","",IFERROR(INDEX(AK_BARIS,MATCH(L2988,AK_NAMA,0)),"?"))</f>
        <v/>
      </c>
      <c r="O2988" s="102" t="str">
        <f aca="false">IF(C2988="","",IFERROR(INDEX(AK_KEL,MATCH(C2988,AK_NAMA,0)),"?"))</f>
        <v/>
      </c>
      <c r="P2988" s="102" t="str">
        <f aca="false">IF(D2988="","",IFERROR(INDEX(AK_KEL,MATCH(D2988,AK_NAMA,0)),"?"))</f>
        <v/>
      </c>
      <c r="Q2988" s="102" t="n">
        <f aca="false">N(Q2987)+IF(AND(N(E2988)&lt;&gt;0,K2988=TAHUN,N(J2988)&lt;=BLN,OR(C2988=BB_AKUN,D2988=BB_AKUN)),1,0)</f>
        <v>877</v>
      </c>
      <c r="R2988" s="104" t="str">
        <f aca="false">IF(OR(C2988&amp;D2988="",N(E2988)=0),"",IF(OR(O2988="?",P2988="?"),"⚠ akun tidak dikenal",IF(C2988=D2988,"⚠ debet = kredit","")))</f>
        <v/>
      </c>
    </row>
    <row r="2989" customFormat="false" ht="15" hidden="false" customHeight="false" outlineLevel="0" collapsed="false">
      <c r="A2989" s="5"/>
      <c r="B2989" s="83"/>
      <c r="C2989" s="5"/>
      <c r="D2989" s="5"/>
      <c r="E2989" s="44"/>
      <c r="F2989" s="5"/>
      <c r="G2989" s="5"/>
      <c r="H2989" s="5"/>
      <c r="I2989" s="5"/>
      <c r="J2989" s="102" t="str">
        <f aca="false">IF(B2989="","",MONTH(B2989))</f>
        <v/>
      </c>
      <c r="K2989" s="102" t="str">
        <f aca="false">IF(B2989="","",YEAR(B2989))</f>
        <v/>
      </c>
      <c r="L2989" s="102" t="str">
        <f aca="false">IF(N(E2989)=0,"",IF(COUNTIFS(AK_NAMA,C2989,AK_KAT,"KAS")+COUNTIFS(AK_NAMA,D2989,AK_KAT,"KAS")&lt;&gt;1,"",IF(COUNTIFS(AK_NAMA,C2989,AK_KAT,"KAS")=1,D2989,C2989)))</f>
        <v/>
      </c>
      <c r="M2989" s="103" t="n">
        <f aca="false">IF(L2989="",0,IF(L2989=D2989,E2989,-E2989))</f>
        <v>0</v>
      </c>
      <c r="N2989" s="102" t="str">
        <f aca="false">IF(L2989="","",IFERROR(INDEX(AK_BARIS,MATCH(L2989,AK_NAMA,0)),"?"))</f>
        <v/>
      </c>
      <c r="O2989" s="102" t="str">
        <f aca="false">IF(C2989="","",IFERROR(INDEX(AK_KEL,MATCH(C2989,AK_NAMA,0)),"?"))</f>
        <v/>
      </c>
      <c r="P2989" s="102" t="str">
        <f aca="false">IF(D2989="","",IFERROR(INDEX(AK_KEL,MATCH(D2989,AK_NAMA,0)),"?"))</f>
        <v/>
      </c>
      <c r="Q2989" s="102" t="n">
        <f aca="false">N(Q2988)+IF(AND(N(E2989)&lt;&gt;0,K2989=TAHUN,N(J2989)&lt;=BLN,OR(C2989=BB_AKUN,D2989=BB_AKUN)),1,0)</f>
        <v>877</v>
      </c>
      <c r="R2989" s="104" t="str">
        <f aca="false">IF(OR(C2989&amp;D2989="",N(E2989)=0),"",IF(OR(O2989="?",P2989="?"),"⚠ akun tidak dikenal",IF(C2989=D2989,"⚠ debet = kredit","")))</f>
        <v/>
      </c>
    </row>
    <row r="2990" customFormat="false" ht="15" hidden="false" customHeight="false" outlineLevel="0" collapsed="false">
      <c r="A2990" s="5"/>
      <c r="B2990" s="83"/>
      <c r="C2990" s="5"/>
      <c r="D2990" s="5"/>
      <c r="E2990" s="44"/>
      <c r="F2990" s="5"/>
      <c r="G2990" s="5"/>
      <c r="H2990" s="5"/>
      <c r="I2990" s="5"/>
      <c r="J2990" s="102" t="str">
        <f aca="false">IF(B2990="","",MONTH(B2990))</f>
        <v/>
      </c>
      <c r="K2990" s="102" t="str">
        <f aca="false">IF(B2990="","",YEAR(B2990))</f>
        <v/>
      </c>
      <c r="L2990" s="102" t="str">
        <f aca="false">IF(N(E2990)=0,"",IF(COUNTIFS(AK_NAMA,C2990,AK_KAT,"KAS")+COUNTIFS(AK_NAMA,D2990,AK_KAT,"KAS")&lt;&gt;1,"",IF(COUNTIFS(AK_NAMA,C2990,AK_KAT,"KAS")=1,D2990,C2990)))</f>
        <v/>
      </c>
      <c r="M2990" s="103" t="n">
        <f aca="false">IF(L2990="",0,IF(L2990=D2990,E2990,-E2990))</f>
        <v>0</v>
      </c>
      <c r="N2990" s="102" t="str">
        <f aca="false">IF(L2990="","",IFERROR(INDEX(AK_BARIS,MATCH(L2990,AK_NAMA,0)),"?"))</f>
        <v/>
      </c>
      <c r="O2990" s="102" t="str">
        <f aca="false">IF(C2990="","",IFERROR(INDEX(AK_KEL,MATCH(C2990,AK_NAMA,0)),"?"))</f>
        <v/>
      </c>
      <c r="P2990" s="102" t="str">
        <f aca="false">IF(D2990="","",IFERROR(INDEX(AK_KEL,MATCH(D2990,AK_NAMA,0)),"?"))</f>
        <v/>
      </c>
      <c r="Q2990" s="102" t="n">
        <f aca="false">N(Q2989)+IF(AND(N(E2990)&lt;&gt;0,K2990=TAHUN,N(J2990)&lt;=BLN,OR(C2990=BB_AKUN,D2990=BB_AKUN)),1,0)</f>
        <v>877</v>
      </c>
      <c r="R2990" s="104" t="str">
        <f aca="false">IF(OR(C2990&amp;D2990="",N(E2990)=0),"",IF(OR(O2990="?",P2990="?"),"⚠ akun tidak dikenal",IF(C2990=D2990,"⚠ debet = kredit","")))</f>
        <v/>
      </c>
    </row>
    <row r="2991" customFormat="false" ht="15" hidden="false" customHeight="false" outlineLevel="0" collapsed="false">
      <c r="A2991" s="5"/>
      <c r="B2991" s="83"/>
      <c r="C2991" s="5"/>
      <c r="D2991" s="5"/>
      <c r="E2991" s="44"/>
      <c r="F2991" s="5"/>
      <c r="G2991" s="5"/>
      <c r="H2991" s="5"/>
      <c r="I2991" s="5"/>
      <c r="J2991" s="102" t="str">
        <f aca="false">IF(B2991="","",MONTH(B2991))</f>
        <v/>
      </c>
      <c r="K2991" s="102" t="str">
        <f aca="false">IF(B2991="","",YEAR(B2991))</f>
        <v/>
      </c>
      <c r="L2991" s="102" t="str">
        <f aca="false">IF(N(E2991)=0,"",IF(COUNTIFS(AK_NAMA,C2991,AK_KAT,"KAS")+COUNTIFS(AK_NAMA,D2991,AK_KAT,"KAS")&lt;&gt;1,"",IF(COUNTIFS(AK_NAMA,C2991,AK_KAT,"KAS")=1,D2991,C2991)))</f>
        <v/>
      </c>
      <c r="M2991" s="103" t="n">
        <f aca="false">IF(L2991="",0,IF(L2991=D2991,E2991,-E2991))</f>
        <v>0</v>
      </c>
      <c r="N2991" s="102" t="str">
        <f aca="false">IF(L2991="","",IFERROR(INDEX(AK_BARIS,MATCH(L2991,AK_NAMA,0)),"?"))</f>
        <v/>
      </c>
      <c r="O2991" s="102" t="str">
        <f aca="false">IF(C2991="","",IFERROR(INDEX(AK_KEL,MATCH(C2991,AK_NAMA,0)),"?"))</f>
        <v/>
      </c>
      <c r="P2991" s="102" t="str">
        <f aca="false">IF(D2991="","",IFERROR(INDEX(AK_KEL,MATCH(D2991,AK_NAMA,0)),"?"))</f>
        <v/>
      </c>
      <c r="Q2991" s="102" t="n">
        <f aca="false">N(Q2990)+IF(AND(N(E2991)&lt;&gt;0,K2991=TAHUN,N(J2991)&lt;=BLN,OR(C2991=BB_AKUN,D2991=BB_AKUN)),1,0)</f>
        <v>877</v>
      </c>
      <c r="R2991" s="104" t="str">
        <f aca="false">IF(OR(C2991&amp;D2991="",N(E2991)=0),"",IF(OR(O2991="?",P2991="?"),"⚠ akun tidak dikenal",IF(C2991=D2991,"⚠ debet = kredit","")))</f>
        <v/>
      </c>
    </row>
    <row r="2992" customFormat="false" ht="15" hidden="false" customHeight="false" outlineLevel="0" collapsed="false">
      <c r="A2992" s="5"/>
      <c r="B2992" s="83"/>
      <c r="C2992" s="5"/>
      <c r="D2992" s="5"/>
      <c r="E2992" s="44"/>
      <c r="F2992" s="5"/>
      <c r="G2992" s="5"/>
      <c r="H2992" s="5"/>
      <c r="I2992" s="5"/>
      <c r="J2992" s="102" t="str">
        <f aca="false">IF(B2992="","",MONTH(B2992))</f>
        <v/>
      </c>
      <c r="K2992" s="102" t="str">
        <f aca="false">IF(B2992="","",YEAR(B2992))</f>
        <v/>
      </c>
      <c r="L2992" s="102" t="str">
        <f aca="false">IF(N(E2992)=0,"",IF(COUNTIFS(AK_NAMA,C2992,AK_KAT,"KAS")+COUNTIFS(AK_NAMA,D2992,AK_KAT,"KAS")&lt;&gt;1,"",IF(COUNTIFS(AK_NAMA,C2992,AK_KAT,"KAS")=1,D2992,C2992)))</f>
        <v/>
      </c>
      <c r="M2992" s="103" t="n">
        <f aca="false">IF(L2992="",0,IF(L2992=D2992,E2992,-E2992))</f>
        <v>0</v>
      </c>
      <c r="N2992" s="102" t="str">
        <f aca="false">IF(L2992="","",IFERROR(INDEX(AK_BARIS,MATCH(L2992,AK_NAMA,0)),"?"))</f>
        <v/>
      </c>
      <c r="O2992" s="102" t="str">
        <f aca="false">IF(C2992="","",IFERROR(INDEX(AK_KEL,MATCH(C2992,AK_NAMA,0)),"?"))</f>
        <v/>
      </c>
      <c r="P2992" s="102" t="str">
        <f aca="false">IF(D2992="","",IFERROR(INDEX(AK_KEL,MATCH(D2992,AK_NAMA,0)),"?"))</f>
        <v/>
      </c>
      <c r="Q2992" s="102" t="n">
        <f aca="false">N(Q2991)+IF(AND(N(E2992)&lt;&gt;0,K2992=TAHUN,N(J2992)&lt;=BLN,OR(C2992=BB_AKUN,D2992=BB_AKUN)),1,0)</f>
        <v>877</v>
      </c>
      <c r="R2992" s="104" t="str">
        <f aca="false">IF(OR(C2992&amp;D2992="",N(E2992)=0),"",IF(OR(O2992="?",P2992="?"),"⚠ akun tidak dikenal",IF(C2992=D2992,"⚠ debet = kredit","")))</f>
        <v/>
      </c>
    </row>
    <row r="2993" customFormat="false" ht="15" hidden="false" customHeight="false" outlineLevel="0" collapsed="false">
      <c r="A2993" s="5"/>
      <c r="B2993" s="83"/>
      <c r="C2993" s="5"/>
      <c r="D2993" s="5"/>
      <c r="E2993" s="44"/>
      <c r="F2993" s="5"/>
      <c r="G2993" s="5"/>
      <c r="H2993" s="5"/>
      <c r="I2993" s="5"/>
      <c r="J2993" s="102" t="str">
        <f aca="false">IF(B2993="","",MONTH(B2993))</f>
        <v/>
      </c>
      <c r="K2993" s="102" t="str">
        <f aca="false">IF(B2993="","",YEAR(B2993))</f>
        <v/>
      </c>
      <c r="L2993" s="102" t="str">
        <f aca="false">IF(N(E2993)=0,"",IF(COUNTIFS(AK_NAMA,C2993,AK_KAT,"KAS")+COUNTIFS(AK_NAMA,D2993,AK_KAT,"KAS")&lt;&gt;1,"",IF(COUNTIFS(AK_NAMA,C2993,AK_KAT,"KAS")=1,D2993,C2993)))</f>
        <v/>
      </c>
      <c r="M2993" s="103" t="n">
        <f aca="false">IF(L2993="",0,IF(L2993=D2993,E2993,-E2993))</f>
        <v>0</v>
      </c>
      <c r="N2993" s="102" t="str">
        <f aca="false">IF(L2993="","",IFERROR(INDEX(AK_BARIS,MATCH(L2993,AK_NAMA,0)),"?"))</f>
        <v/>
      </c>
      <c r="O2993" s="102" t="str">
        <f aca="false">IF(C2993="","",IFERROR(INDEX(AK_KEL,MATCH(C2993,AK_NAMA,0)),"?"))</f>
        <v/>
      </c>
      <c r="P2993" s="102" t="str">
        <f aca="false">IF(D2993="","",IFERROR(INDEX(AK_KEL,MATCH(D2993,AK_NAMA,0)),"?"))</f>
        <v/>
      </c>
      <c r="Q2993" s="102" t="n">
        <f aca="false">N(Q2992)+IF(AND(N(E2993)&lt;&gt;0,K2993=TAHUN,N(J2993)&lt;=BLN,OR(C2993=BB_AKUN,D2993=BB_AKUN)),1,0)</f>
        <v>877</v>
      </c>
      <c r="R2993" s="104" t="str">
        <f aca="false">IF(OR(C2993&amp;D2993="",N(E2993)=0),"",IF(OR(O2993="?",P2993="?"),"⚠ akun tidak dikenal",IF(C2993=D2993,"⚠ debet = kredit","")))</f>
        <v/>
      </c>
    </row>
    <row r="2994" customFormat="false" ht="15" hidden="false" customHeight="false" outlineLevel="0" collapsed="false">
      <c r="A2994" s="5"/>
      <c r="B2994" s="83"/>
      <c r="C2994" s="5"/>
      <c r="D2994" s="5"/>
      <c r="E2994" s="44"/>
      <c r="F2994" s="5"/>
      <c r="G2994" s="5"/>
      <c r="H2994" s="5"/>
      <c r="I2994" s="5"/>
      <c r="J2994" s="102" t="str">
        <f aca="false">IF(B2994="","",MONTH(B2994))</f>
        <v/>
      </c>
      <c r="K2994" s="102" t="str">
        <f aca="false">IF(B2994="","",YEAR(B2994))</f>
        <v/>
      </c>
      <c r="L2994" s="102" t="str">
        <f aca="false">IF(N(E2994)=0,"",IF(COUNTIFS(AK_NAMA,C2994,AK_KAT,"KAS")+COUNTIFS(AK_NAMA,D2994,AK_KAT,"KAS")&lt;&gt;1,"",IF(COUNTIFS(AK_NAMA,C2994,AK_KAT,"KAS")=1,D2994,C2994)))</f>
        <v/>
      </c>
      <c r="M2994" s="103" t="n">
        <f aca="false">IF(L2994="",0,IF(L2994=D2994,E2994,-E2994))</f>
        <v>0</v>
      </c>
      <c r="N2994" s="102" t="str">
        <f aca="false">IF(L2994="","",IFERROR(INDEX(AK_BARIS,MATCH(L2994,AK_NAMA,0)),"?"))</f>
        <v/>
      </c>
      <c r="O2994" s="102" t="str">
        <f aca="false">IF(C2994="","",IFERROR(INDEX(AK_KEL,MATCH(C2994,AK_NAMA,0)),"?"))</f>
        <v/>
      </c>
      <c r="P2994" s="102" t="str">
        <f aca="false">IF(D2994="","",IFERROR(INDEX(AK_KEL,MATCH(D2994,AK_NAMA,0)),"?"))</f>
        <v/>
      </c>
      <c r="Q2994" s="102" t="n">
        <f aca="false">N(Q2993)+IF(AND(N(E2994)&lt;&gt;0,K2994=TAHUN,N(J2994)&lt;=BLN,OR(C2994=BB_AKUN,D2994=BB_AKUN)),1,0)</f>
        <v>877</v>
      </c>
      <c r="R2994" s="104" t="str">
        <f aca="false">IF(OR(C2994&amp;D2994="",N(E2994)=0),"",IF(OR(O2994="?",P2994="?"),"⚠ akun tidak dikenal",IF(C2994=D2994,"⚠ debet = kredit","")))</f>
        <v/>
      </c>
    </row>
    <row r="2995" customFormat="false" ht="15" hidden="false" customHeight="false" outlineLevel="0" collapsed="false">
      <c r="A2995" s="5"/>
      <c r="B2995" s="83"/>
      <c r="C2995" s="5"/>
      <c r="D2995" s="5"/>
      <c r="E2995" s="44"/>
      <c r="F2995" s="5"/>
      <c r="G2995" s="5"/>
      <c r="H2995" s="5"/>
      <c r="I2995" s="5"/>
      <c r="J2995" s="102" t="str">
        <f aca="false">IF(B2995="","",MONTH(B2995))</f>
        <v/>
      </c>
      <c r="K2995" s="102" t="str">
        <f aca="false">IF(B2995="","",YEAR(B2995))</f>
        <v/>
      </c>
      <c r="L2995" s="102" t="str">
        <f aca="false">IF(N(E2995)=0,"",IF(COUNTIFS(AK_NAMA,C2995,AK_KAT,"KAS")+COUNTIFS(AK_NAMA,D2995,AK_KAT,"KAS")&lt;&gt;1,"",IF(COUNTIFS(AK_NAMA,C2995,AK_KAT,"KAS")=1,D2995,C2995)))</f>
        <v/>
      </c>
      <c r="M2995" s="103" t="n">
        <f aca="false">IF(L2995="",0,IF(L2995=D2995,E2995,-E2995))</f>
        <v>0</v>
      </c>
      <c r="N2995" s="102" t="str">
        <f aca="false">IF(L2995="","",IFERROR(INDEX(AK_BARIS,MATCH(L2995,AK_NAMA,0)),"?"))</f>
        <v/>
      </c>
      <c r="O2995" s="102" t="str">
        <f aca="false">IF(C2995="","",IFERROR(INDEX(AK_KEL,MATCH(C2995,AK_NAMA,0)),"?"))</f>
        <v/>
      </c>
      <c r="P2995" s="102" t="str">
        <f aca="false">IF(D2995="","",IFERROR(INDEX(AK_KEL,MATCH(D2995,AK_NAMA,0)),"?"))</f>
        <v/>
      </c>
      <c r="Q2995" s="102" t="n">
        <f aca="false">N(Q2994)+IF(AND(N(E2995)&lt;&gt;0,K2995=TAHUN,N(J2995)&lt;=BLN,OR(C2995=BB_AKUN,D2995=BB_AKUN)),1,0)</f>
        <v>877</v>
      </c>
      <c r="R2995" s="104" t="str">
        <f aca="false">IF(OR(C2995&amp;D2995="",N(E2995)=0),"",IF(OR(O2995="?",P2995="?"),"⚠ akun tidak dikenal",IF(C2995=D2995,"⚠ debet = kredit","")))</f>
        <v/>
      </c>
    </row>
    <row r="2996" customFormat="false" ht="15" hidden="false" customHeight="false" outlineLevel="0" collapsed="false">
      <c r="A2996" s="5"/>
      <c r="B2996" s="83"/>
      <c r="C2996" s="5"/>
      <c r="D2996" s="5"/>
      <c r="E2996" s="44"/>
      <c r="F2996" s="5"/>
      <c r="G2996" s="5"/>
      <c r="H2996" s="5"/>
      <c r="I2996" s="5"/>
      <c r="J2996" s="102" t="str">
        <f aca="false">IF(B2996="","",MONTH(B2996))</f>
        <v/>
      </c>
      <c r="K2996" s="102" t="str">
        <f aca="false">IF(B2996="","",YEAR(B2996))</f>
        <v/>
      </c>
      <c r="L2996" s="102" t="str">
        <f aca="false">IF(N(E2996)=0,"",IF(COUNTIFS(AK_NAMA,C2996,AK_KAT,"KAS")+COUNTIFS(AK_NAMA,D2996,AK_KAT,"KAS")&lt;&gt;1,"",IF(COUNTIFS(AK_NAMA,C2996,AK_KAT,"KAS")=1,D2996,C2996)))</f>
        <v/>
      </c>
      <c r="M2996" s="103" t="n">
        <f aca="false">IF(L2996="",0,IF(L2996=D2996,E2996,-E2996))</f>
        <v>0</v>
      </c>
      <c r="N2996" s="102" t="str">
        <f aca="false">IF(L2996="","",IFERROR(INDEX(AK_BARIS,MATCH(L2996,AK_NAMA,0)),"?"))</f>
        <v/>
      </c>
      <c r="O2996" s="102" t="str">
        <f aca="false">IF(C2996="","",IFERROR(INDEX(AK_KEL,MATCH(C2996,AK_NAMA,0)),"?"))</f>
        <v/>
      </c>
      <c r="P2996" s="102" t="str">
        <f aca="false">IF(D2996="","",IFERROR(INDEX(AK_KEL,MATCH(D2996,AK_NAMA,0)),"?"))</f>
        <v/>
      </c>
      <c r="Q2996" s="102" t="n">
        <f aca="false">N(Q2995)+IF(AND(N(E2996)&lt;&gt;0,K2996=TAHUN,N(J2996)&lt;=BLN,OR(C2996=BB_AKUN,D2996=BB_AKUN)),1,0)</f>
        <v>877</v>
      </c>
      <c r="R2996" s="104" t="str">
        <f aca="false">IF(OR(C2996&amp;D2996="",N(E2996)=0),"",IF(OR(O2996="?",P2996="?"),"⚠ akun tidak dikenal",IF(C2996=D2996,"⚠ debet = kredit","")))</f>
        <v/>
      </c>
    </row>
    <row r="2997" customFormat="false" ht="15" hidden="false" customHeight="false" outlineLevel="0" collapsed="false">
      <c r="A2997" s="5"/>
      <c r="B2997" s="83"/>
      <c r="C2997" s="5"/>
      <c r="D2997" s="5"/>
      <c r="E2997" s="44"/>
      <c r="F2997" s="5"/>
      <c r="G2997" s="5"/>
      <c r="H2997" s="5"/>
      <c r="I2997" s="5"/>
      <c r="J2997" s="102" t="str">
        <f aca="false">IF(B2997="","",MONTH(B2997))</f>
        <v/>
      </c>
      <c r="K2997" s="102" t="str">
        <f aca="false">IF(B2997="","",YEAR(B2997))</f>
        <v/>
      </c>
      <c r="L2997" s="102" t="str">
        <f aca="false">IF(N(E2997)=0,"",IF(COUNTIFS(AK_NAMA,C2997,AK_KAT,"KAS")+COUNTIFS(AK_NAMA,D2997,AK_KAT,"KAS")&lt;&gt;1,"",IF(COUNTIFS(AK_NAMA,C2997,AK_KAT,"KAS")=1,D2997,C2997)))</f>
        <v/>
      </c>
      <c r="M2997" s="103" t="n">
        <f aca="false">IF(L2997="",0,IF(L2997=D2997,E2997,-E2997))</f>
        <v>0</v>
      </c>
      <c r="N2997" s="102" t="str">
        <f aca="false">IF(L2997="","",IFERROR(INDEX(AK_BARIS,MATCH(L2997,AK_NAMA,0)),"?"))</f>
        <v/>
      </c>
      <c r="O2997" s="102" t="str">
        <f aca="false">IF(C2997="","",IFERROR(INDEX(AK_KEL,MATCH(C2997,AK_NAMA,0)),"?"))</f>
        <v/>
      </c>
      <c r="P2997" s="102" t="str">
        <f aca="false">IF(D2997="","",IFERROR(INDEX(AK_KEL,MATCH(D2997,AK_NAMA,0)),"?"))</f>
        <v/>
      </c>
      <c r="Q2997" s="102" t="n">
        <f aca="false">N(Q2996)+IF(AND(N(E2997)&lt;&gt;0,K2997=TAHUN,N(J2997)&lt;=BLN,OR(C2997=BB_AKUN,D2997=BB_AKUN)),1,0)</f>
        <v>877</v>
      </c>
      <c r="R2997" s="104" t="str">
        <f aca="false">IF(OR(C2997&amp;D2997="",N(E2997)=0),"",IF(OR(O2997="?",P2997="?"),"⚠ akun tidak dikenal",IF(C2997=D2997,"⚠ debet = kredit","")))</f>
        <v/>
      </c>
    </row>
    <row r="2998" customFormat="false" ht="15" hidden="false" customHeight="false" outlineLevel="0" collapsed="false">
      <c r="A2998" s="5"/>
      <c r="B2998" s="83"/>
      <c r="C2998" s="5"/>
      <c r="D2998" s="5"/>
      <c r="E2998" s="44"/>
      <c r="F2998" s="5"/>
      <c r="G2998" s="5"/>
      <c r="H2998" s="5"/>
      <c r="I2998" s="5"/>
      <c r="J2998" s="102" t="str">
        <f aca="false">IF(B2998="","",MONTH(B2998))</f>
        <v/>
      </c>
      <c r="K2998" s="102" t="str">
        <f aca="false">IF(B2998="","",YEAR(B2998))</f>
        <v/>
      </c>
      <c r="L2998" s="102" t="str">
        <f aca="false">IF(N(E2998)=0,"",IF(COUNTIFS(AK_NAMA,C2998,AK_KAT,"KAS")+COUNTIFS(AK_NAMA,D2998,AK_KAT,"KAS")&lt;&gt;1,"",IF(COUNTIFS(AK_NAMA,C2998,AK_KAT,"KAS")=1,D2998,C2998)))</f>
        <v/>
      </c>
      <c r="M2998" s="103" t="n">
        <f aca="false">IF(L2998="",0,IF(L2998=D2998,E2998,-E2998))</f>
        <v>0</v>
      </c>
      <c r="N2998" s="102" t="str">
        <f aca="false">IF(L2998="","",IFERROR(INDEX(AK_BARIS,MATCH(L2998,AK_NAMA,0)),"?"))</f>
        <v/>
      </c>
      <c r="O2998" s="102" t="str">
        <f aca="false">IF(C2998="","",IFERROR(INDEX(AK_KEL,MATCH(C2998,AK_NAMA,0)),"?"))</f>
        <v/>
      </c>
      <c r="P2998" s="102" t="str">
        <f aca="false">IF(D2998="","",IFERROR(INDEX(AK_KEL,MATCH(D2998,AK_NAMA,0)),"?"))</f>
        <v/>
      </c>
      <c r="Q2998" s="102" t="n">
        <f aca="false">N(Q2997)+IF(AND(N(E2998)&lt;&gt;0,K2998=TAHUN,N(J2998)&lt;=BLN,OR(C2998=BB_AKUN,D2998=BB_AKUN)),1,0)</f>
        <v>877</v>
      </c>
      <c r="R2998" s="104" t="str">
        <f aca="false">IF(OR(C2998&amp;D2998="",N(E2998)=0),"",IF(OR(O2998="?",P2998="?"),"⚠ akun tidak dikenal",IF(C2998=D2998,"⚠ debet = kredit","")))</f>
        <v/>
      </c>
    </row>
    <row r="2999" customFormat="false" ht="15" hidden="false" customHeight="false" outlineLevel="0" collapsed="false">
      <c r="A2999" s="5"/>
      <c r="B2999" s="83"/>
      <c r="C2999" s="5"/>
      <c r="D2999" s="5"/>
      <c r="E2999" s="44"/>
      <c r="F2999" s="5"/>
      <c r="G2999" s="5"/>
      <c r="H2999" s="5"/>
      <c r="I2999" s="5"/>
      <c r="J2999" s="102" t="str">
        <f aca="false">IF(B2999="","",MONTH(B2999))</f>
        <v/>
      </c>
      <c r="K2999" s="102" t="str">
        <f aca="false">IF(B2999="","",YEAR(B2999))</f>
        <v/>
      </c>
      <c r="L2999" s="102" t="str">
        <f aca="false">IF(N(E2999)=0,"",IF(COUNTIFS(AK_NAMA,C2999,AK_KAT,"KAS")+COUNTIFS(AK_NAMA,D2999,AK_KAT,"KAS")&lt;&gt;1,"",IF(COUNTIFS(AK_NAMA,C2999,AK_KAT,"KAS")=1,D2999,C2999)))</f>
        <v/>
      </c>
      <c r="M2999" s="103" t="n">
        <f aca="false">IF(L2999="",0,IF(L2999=D2999,E2999,-E2999))</f>
        <v>0</v>
      </c>
      <c r="N2999" s="102" t="str">
        <f aca="false">IF(L2999="","",IFERROR(INDEX(AK_BARIS,MATCH(L2999,AK_NAMA,0)),"?"))</f>
        <v/>
      </c>
      <c r="O2999" s="102" t="str">
        <f aca="false">IF(C2999="","",IFERROR(INDEX(AK_KEL,MATCH(C2999,AK_NAMA,0)),"?"))</f>
        <v/>
      </c>
      <c r="P2999" s="102" t="str">
        <f aca="false">IF(D2999="","",IFERROR(INDEX(AK_KEL,MATCH(D2999,AK_NAMA,0)),"?"))</f>
        <v/>
      </c>
      <c r="Q2999" s="102" t="n">
        <f aca="false">N(Q2998)+IF(AND(N(E2999)&lt;&gt;0,K2999=TAHUN,N(J2999)&lt;=BLN,OR(C2999=BB_AKUN,D2999=BB_AKUN)),1,0)</f>
        <v>877</v>
      </c>
      <c r="R2999" s="104" t="str">
        <f aca="false">IF(OR(C2999&amp;D2999="",N(E2999)=0),"",IF(OR(O2999="?",P2999="?"),"⚠ akun tidak dikenal",IF(C2999=D2999,"⚠ debet = kredit","")))</f>
        <v/>
      </c>
    </row>
    <row r="3000" customFormat="false" ht="15" hidden="false" customHeight="false" outlineLevel="0" collapsed="false">
      <c r="A3000" s="5"/>
      <c r="B3000" s="83"/>
      <c r="C3000" s="5"/>
      <c r="D3000" s="5"/>
      <c r="E3000" s="44"/>
      <c r="F3000" s="5"/>
      <c r="G3000" s="5"/>
      <c r="H3000" s="5"/>
      <c r="I3000" s="5"/>
      <c r="J3000" s="102" t="str">
        <f aca="false">IF(B3000="","",MONTH(B3000))</f>
        <v/>
      </c>
      <c r="K3000" s="102" t="str">
        <f aca="false">IF(B3000="","",YEAR(B3000))</f>
        <v/>
      </c>
      <c r="L3000" s="102" t="str">
        <f aca="false">IF(N(E3000)=0,"",IF(COUNTIFS(AK_NAMA,C3000,AK_KAT,"KAS")+COUNTIFS(AK_NAMA,D3000,AK_KAT,"KAS")&lt;&gt;1,"",IF(COUNTIFS(AK_NAMA,C3000,AK_KAT,"KAS")=1,D3000,C3000)))</f>
        <v/>
      </c>
      <c r="M3000" s="103" t="n">
        <f aca="false">IF(L3000="",0,IF(L3000=D3000,E3000,-E3000))</f>
        <v>0</v>
      </c>
      <c r="N3000" s="102" t="str">
        <f aca="false">IF(L3000="","",IFERROR(INDEX(AK_BARIS,MATCH(L3000,AK_NAMA,0)),"?"))</f>
        <v/>
      </c>
      <c r="O3000" s="102" t="str">
        <f aca="false">IF(C3000="","",IFERROR(INDEX(AK_KEL,MATCH(C3000,AK_NAMA,0)),"?"))</f>
        <v/>
      </c>
      <c r="P3000" s="102" t="str">
        <f aca="false">IF(D3000="","",IFERROR(INDEX(AK_KEL,MATCH(D3000,AK_NAMA,0)),"?"))</f>
        <v/>
      </c>
      <c r="Q3000" s="102" t="n">
        <f aca="false">N(Q2999)+IF(AND(N(E3000)&lt;&gt;0,K3000=TAHUN,N(J3000)&lt;=BLN,OR(C3000=BB_AKUN,D3000=BB_AKUN)),1,0)</f>
        <v>877</v>
      </c>
      <c r="R3000" s="104" t="str">
        <f aca="false">IF(OR(C3000&amp;D3000="",N(E3000)=0),"",IF(OR(O3000="?",P3000="?"),"⚠ akun tidak dikenal",IF(C3000=D3000,"⚠ debet = kredit","")))</f>
        <v/>
      </c>
    </row>
    <row r="3001" customFormat="false" ht="15" hidden="false" customHeight="false" outlineLevel="0" collapsed="false">
      <c r="A3001" s="5"/>
      <c r="B3001" s="83"/>
      <c r="C3001" s="5"/>
      <c r="D3001" s="5"/>
      <c r="E3001" s="44"/>
      <c r="F3001" s="5"/>
      <c r="G3001" s="5"/>
      <c r="H3001" s="5"/>
      <c r="I3001" s="5"/>
      <c r="J3001" s="102" t="str">
        <f aca="false">IF(B3001="","",MONTH(B3001))</f>
        <v/>
      </c>
      <c r="K3001" s="102" t="str">
        <f aca="false">IF(B3001="","",YEAR(B3001))</f>
        <v/>
      </c>
      <c r="L3001" s="102" t="str">
        <f aca="false">IF(N(E3001)=0,"",IF(COUNTIFS(AK_NAMA,C3001,AK_KAT,"KAS")+COUNTIFS(AK_NAMA,D3001,AK_KAT,"KAS")&lt;&gt;1,"",IF(COUNTIFS(AK_NAMA,C3001,AK_KAT,"KAS")=1,D3001,C3001)))</f>
        <v/>
      </c>
      <c r="M3001" s="103" t="n">
        <f aca="false">IF(L3001="",0,IF(L3001=D3001,E3001,-E3001))</f>
        <v>0</v>
      </c>
      <c r="N3001" s="102" t="str">
        <f aca="false">IF(L3001="","",IFERROR(INDEX(AK_BARIS,MATCH(L3001,AK_NAMA,0)),"?"))</f>
        <v/>
      </c>
      <c r="O3001" s="102" t="str">
        <f aca="false">IF(C3001="","",IFERROR(INDEX(AK_KEL,MATCH(C3001,AK_NAMA,0)),"?"))</f>
        <v/>
      </c>
      <c r="P3001" s="102" t="str">
        <f aca="false">IF(D3001="","",IFERROR(INDEX(AK_KEL,MATCH(D3001,AK_NAMA,0)),"?"))</f>
        <v/>
      </c>
      <c r="Q3001" s="102" t="n">
        <f aca="false">N(Q3000)+IF(AND(N(E3001)&lt;&gt;0,K3001=TAHUN,N(J3001)&lt;=BLN,OR(C3001=BB_AKUN,D3001=BB_AKUN)),1,0)</f>
        <v>877</v>
      </c>
      <c r="R3001" s="104" t="str">
        <f aca="false">IF(OR(C3001&amp;D3001="",N(E3001)=0),"",IF(OR(O3001="?",P3001="?"),"⚠ akun tidak dikenal",IF(C3001=D3001,"⚠ debet = kredit","")))</f>
        <v/>
      </c>
    </row>
    <row r="3002" customFormat="false" ht="15" hidden="false" customHeight="false" outlineLevel="0" collapsed="false">
      <c r="A3002" s="5"/>
      <c r="B3002" s="83"/>
      <c r="C3002" s="5"/>
      <c r="D3002" s="5"/>
      <c r="E3002" s="44"/>
      <c r="F3002" s="5"/>
      <c r="G3002" s="5"/>
      <c r="H3002" s="5"/>
      <c r="I3002" s="5"/>
      <c r="J3002" s="102" t="str">
        <f aca="false">IF(B3002="","",MONTH(B3002))</f>
        <v/>
      </c>
      <c r="K3002" s="102" t="str">
        <f aca="false">IF(B3002="","",YEAR(B3002))</f>
        <v/>
      </c>
      <c r="L3002" s="102" t="str">
        <f aca="false">IF(N(E3002)=0,"",IF(COUNTIFS(AK_NAMA,C3002,AK_KAT,"KAS")+COUNTIFS(AK_NAMA,D3002,AK_KAT,"KAS")&lt;&gt;1,"",IF(COUNTIFS(AK_NAMA,C3002,AK_KAT,"KAS")=1,D3002,C3002)))</f>
        <v/>
      </c>
      <c r="M3002" s="103" t="n">
        <f aca="false">IF(L3002="",0,IF(L3002=D3002,E3002,-E3002))</f>
        <v>0</v>
      </c>
      <c r="N3002" s="102" t="str">
        <f aca="false">IF(L3002="","",IFERROR(INDEX(AK_BARIS,MATCH(L3002,AK_NAMA,0)),"?"))</f>
        <v/>
      </c>
      <c r="O3002" s="102" t="str">
        <f aca="false">IF(C3002="","",IFERROR(INDEX(AK_KEL,MATCH(C3002,AK_NAMA,0)),"?"))</f>
        <v/>
      </c>
      <c r="P3002" s="102" t="str">
        <f aca="false">IF(D3002="","",IFERROR(INDEX(AK_KEL,MATCH(D3002,AK_NAMA,0)),"?"))</f>
        <v/>
      </c>
      <c r="Q3002" s="102" t="n">
        <f aca="false">N(Q3001)+IF(AND(N(E3002)&lt;&gt;0,K3002=TAHUN,N(J3002)&lt;=BLN,OR(C3002=BB_AKUN,D3002=BB_AKUN)),1,0)</f>
        <v>877</v>
      </c>
      <c r="R3002" s="104" t="str">
        <f aca="false">IF(OR(C3002&amp;D3002="",N(E3002)=0),"",IF(OR(O3002="?",P3002="?"),"⚠ akun tidak dikenal",IF(C3002=D3002,"⚠ debet = kredit","")))</f>
        <v/>
      </c>
    </row>
    <row r="3003" customFormat="false" ht="15" hidden="false" customHeight="false" outlineLevel="0" collapsed="false">
      <c r="A3003" s="5"/>
      <c r="B3003" s="83"/>
      <c r="C3003" s="5"/>
      <c r="D3003" s="5"/>
      <c r="E3003" s="44"/>
      <c r="F3003" s="5"/>
      <c r="G3003" s="5"/>
      <c r="H3003" s="5"/>
      <c r="I3003" s="5"/>
      <c r="J3003" s="102" t="str">
        <f aca="false">IF(B3003="","",MONTH(B3003))</f>
        <v/>
      </c>
      <c r="K3003" s="102" t="str">
        <f aca="false">IF(B3003="","",YEAR(B3003))</f>
        <v/>
      </c>
      <c r="L3003" s="102" t="str">
        <f aca="false">IF(N(E3003)=0,"",IF(COUNTIFS(AK_NAMA,C3003,AK_KAT,"KAS")+COUNTIFS(AK_NAMA,D3003,AK_KAT,"KAS")&lt;&gt;1,"",IF(COUNTIFS(AK_NAMA,C3003,AK_KAT,"KAS")=1,D3003,C3003)))</f>
        <v/>
      </c>
      <c r="M3003" s="103" t="n">
        <f aca="false">IF(L3003="",0,IF(L3003=D3003,E3003,-E3003))</f>
        <v>0</v>
      </c>
      <c r="N3003" s="102" t="str">
        <f aca="false">IF(L3003="","",IFERROR(INDEX(AK_BARIS,MATCH(L3003,AK_NAMA,0)),"?"))</f>
        <v/>
      </c>
      <c r="O3003" s="102" t="str">
        <f aca="false">IF(C3003="","",IFERROR(INDEX(AK_KEL,MATCH(C3003,AK_NAMA,0)),"?"))</f>
        <v/>
      </c>
      <c r="P3003" s="102" t="str">
        <f aca="false">IF(D3003="","",IFERROR(INDEX(AK_KEL,MATCH(D3003,AK_NAMA,0)),"?"))</f>
        <v/>
      </c>
      <c r="Q3003" s="102" t="n">
        <f aca="false">N(Q3002)+IF(AND(N(E3003)&lt;&gt;0,K3003=TAHUN,N(J3003)&lt;=BLN,OR(C3003=BB_AKUN,D3003=BB_AKUN)),1,0)</f>
        <v>877</v>
      </c>
      <c r="R3003" s="104" t="str">
        <f aca="false">IF(OR(C3003&amp;D3003="",N(E3003)=0),"",IF(OR(O3003="?",P3003="?"),"⚠ akun tidak dikenal",IF(C3003=D3003,"⚠ debet = kredit","")))</f>
        <v/>
      </c>
    </row>
    <row r="3004" customFormat="false" ht="15" hidden="false" customHeight="false" outlineLevel="0" collapsed="false">
      <c r="A3004" s="5"/>
      <c r="B3004" s="83"/>
      <c r="C3004" s="5"/>
      <c r="D3004" s="5"/>
      <c r="E3004" s="44"/>
      <c r="F3004" s="5"/>
      <c r="G3004" s="5"/>
      <c r="H3004" s="5"/>
      <c r="I3004" s="5"/>
      <c r="J3004" s="102" t="str">
        <f aca="false">IF(B3004="","",MONTH(B3004))</f>
        <v/>
      </c>
      <c r="K3004" s="102" t="str">
        <f aca="false">IF(B3004="","",YEAR(B3004))</f>
        <v/>
      </c>
      <c r="L3004" s="102" t="str">
        <f aca="false">IF(N(E3004)=0,"",IF(COUNTIFS(AK_NAMA,C3004,AK_KAT,"KAS")+COUNTIFS(AK_NAMA,D3004,AK_KAT,"KAS")&lt;&gt;1,"",IF(COUNTIFS(AK_NAMA,C3004,AK_KAT,"KAS")=1,D3004,C3004)))</f>
        <v/>
      </c>
      <c r="M3004" s="103" t="n">
        <f aca="false">IF(L3004="",0,IF(L3004=D3004,E3004,-E3004))</f>
        <v>0</v>
      </c>
      <c r="N3004" s="102" t="str">
        <f aca="false">IF(L3004="","",IFERROR(INDEX(AK_BARIS,MATCH(L3004,AK_NAMA,0)),"?"))</f>
        <v/>
      </c>
      <c r="O3004" s="102" t="str">
        <f aca="false">IF(C3004="","",IFERROR(INDEX(AK_KEL,MATCH(C3004,AK_NAMA,0)),"?"))</f>
        <v/>
      </c>
      <c r="P3004" s="102" t="str">
        <f aca="false">IF(D3004="","",IFERROR(INDEX(AK_KEL,MATCH(D3004,AK_NAMA,0)),"?"))</f>
        <v/>
      </c>
      <c r="Q3004" s="102" t="n">
        <f aca="false">N(Q3003)+IF(AND(N(E3004)&lt;&gt;0,K3004=TAHUN,N(J3004)&lt;=BLN,OR(C3004=BB_AKUN,D3004=BB_AKUN)),1,0)</f>
        <v>877</v>
      </c>
      <c r="R3004" s="104" t="str">
        <f aca="false">IF(OR(C3004&amp;D3004="",N(E3004)=0),"",IF(OR(O3004="?",P3004="?"),"⚠ akun tidak dikenal",IF(C3004=D3004,"⚠ debet = kredit","")))</f>
        <v/>
      </c>
    </row>
  </sheetData>
  <autoFilter ref="A4:R3004"/>
  <dataValidations count="2">
    <dataValidation allowBlank="true" error="Pilih akun dari daftar AKUN" errorStyle="stop" errorTitle="Akun tidak ada" operator="between" showDropDown="false" showErrorMessage="true" showInputMessage="false" sqref="C5:D3004" type="list">
      <formula1>AK_NAMA</formula1>
      <formula2>0</formula2>
    </dataValidation>
    <dataValidation allowBlank="true" errorStyle="stop" operator="between" showDropDown="false" showErrorMessage="false" showInputMessage="false" sqref="I5:I3004" type="list">
      <formula1>"UMUM,OTOMATIS,PENYESUAIAN"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887F"/>
    <pageSetUpPr fitToPage="false"/>
  </sheetPr>
  <dimension ref="A1:K15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0"/>
    <col collapsed="false" customWidth="true" hidden="false" outlineLevel="0" max="4" min="4" style="0" width="52"/>
    <col collapsed="false" customWidth="true" hidden="false" outlineLevel="0" max="5" min="5" style="0" width="28"/>
    <col collapsed="false" customWidth="true" hidden="false" outlineLevel="0" max="7" min="6" style="0" width="15"/>
    <col collapsed="false" customWidth="true" hidden="false" outlineLevel="0" max="8" min="8" style="0" width="16"/>
    <col collapsed="false" customWidth="true" hidden="true" outlineLevel="0" max="10" min="9" style="0" width="6"/>
  </cols>
  <sheetData>
    <row r="1" customFormat="false" ht="19.7" hidden="false" customHeight="false" outlineLevel="0" collapsed="false">
      <c r="A1" s="17" t="s">
        <v>28</v>
      </c>
      <c r="B1" s="5"/>
      <c r="C1" s="5"/>
      <c r="D1" s="5"/>
      <c r="E1" s="5"/>
      <c r="F1" s="5"/>
      <c r="G1" s="5"/>
      <c r="H1" s="5"/>
      <c r="I1" s="5"/>
      <c r="J1" s="5"/>
      <c r="K1" s="108" t="n">
        <f aca="false">MAX(J_BB)</f>
        <v>877</v>
      </c>
    </row>
    <row r="2" customFormat="false" ht="15" hidden="false" customHeight="false" outlineLevel="0" collapsed="false">
      <c r="A2" s="18" t="s">
        <v>2696</v>
      </c>
      <c r="B2" s="5"/>
      <c r="C2" s="5"/>
      <c r="D2" s="5"/>
      <c r="E2" s="5"/>
      <c r="F2" s="5"/>
      <c r="G2" s="5"/>
      <c r="H2" s="5"/>
      <c r="I2" s="5"/>
      <c r="J2" s="5"/>
      <c r="K2" s="5"/>
    </row>
    <row r="3" customFormat="false" ht="15" hidden="false" customHeight="false" outlineLevel="0" collapsed="false">
      <c r="A3" s="5"/>
      <c r="B3" s="13" t="s">
        <v>2697</v>
      </c>
      <c r="C3" s="109" t="s">
        <v>461</v>
      </c>
      <c r="D3" s="109"/>
      <c r="E3" s="109"/>
      <c r="F3" s="5"/>
      <c r="G3" s="13" t="s">
        <v>2698</v>
      </c>
      <c r="H3" s="85" t="n">
        <f aca="false">SUM(F10:F1509)</f>
        <v>857394507</v>
      </c>
      <c r="I3" s="5"/>
      <c r="J3" s="5"/>
      <c r="K3" s="5"/>
    </row>
    <row r="4" customFormat="false" ht="15" hidden="false" customHeight="false" outlineLevel="0" collapsed="false">
      <c r="A4" s="5"/>
      <c r="B4" s="10" t="s">
        <v>2699</v>
      </c>
      <c r="C4" s="5" t="str">
        <f aca="false">IFERROR(INDEX(AK_KODE,MATCH(C3,AK_NAMA,0)),"")</f>
        <v>1102</v>
      </c>
      <c r="D4" s="5"/>
      <c r="E4" s="5"/>
      <c r="F4" s="5"/>
      <c r="G4" s="13" t="s">
        <v>2700</v>
      </c>
      <c r="H4" s="85" t="n">
        <f aca="false">SUM(G10:G1509)</f>
        <v>942117084</v>
      </c>
      <c r="I4" s="5"/>
      <c r="J4" s="5"/>
      <c r="K4" s="5"/>
    </row>
    <row r="5" customFormat="false" ht="15" hidden="false" customHeight="false" outlineLevel="0" collapsed="false">
      <c r="A5" s="5"/>
      <c r="B5" s="10" t="s">
        <v>2701</v>
      </c>
      <c r="C5" s="5" t="str">
        <f aca="false">IFERROR(IF(INDEX(AK_NORMAL,MATCH(C3,AK_NAMA,0))="D","Debet","Kredit"),"")</f>
        <v>Debet</v>
      </c>
      <c r="D5" s="5"/>
      <c r="E5" s="5"/>
      <c r="F5" s="5"/>
      <c r="G5" s="13" t="s">
        <v>2702</v>
      </c>
      <c r="H5" s="85" t="n">
        <f aca="false">H9+IF(C5="Debet",H3-H4,H4-H3)</f>
        <v>-2739792</v>
      </c>
      <c r="I5" s="5"/>
      <c r="J5" s="5"/>
      <c r="K5" s="5"/>
    </row>
    <row r="6" customFormat="false" ht="15" hidden="false" customHeight="false" outlineLevel="0" collapsed="false">
      <c r="A6" s="5"/>
      <c r="B6" s="10" t="s">
        <v>2703</v>
      </c>
      <c r="C6" s="5" t="str">
        <f aca="false">"Periode 1 Januari – "&amp;TEXT(DATE(TAHUN,BLN+1,0),"d")&amp;" "&amp;NAMA_BLN&amp;" "&amp;TAHUN</f>
        <v>Periode 1 Januari – 30 September 2026</v>
      </c>
      <c r="D6" s="5"/>
      <c r="E6" s="5"/>
      <c r="F6" s="5"/>
      <c r="G6" s="13" t="s">
        <v>2704</v>
      </c>
      <c r="H6" s="85" t="n">
        <f aca="false">ROUND(H5-IF(C5="Debet",1,-1)*IFERROR(INDEX(MUTASI!$S$6:$S$45,MATCH(C3,MUTASI!$B$6:$B$45,0)),0),0)</f>
        <v>0</v>
      </c>
      <c r="I6" s="5"/>
      <c r="J6" s="5"/>
      <c r="K6" s="5"/>
    </row>
    <row r="7" customFormat="false" ht="15" hidden="false" customHeight="false" outlineLevel="0" collapsed="false">
      <c r="A7" s="5"/>
      <c r="B7" s="5"/>
      <c r="C7" s="5"/>
      <c r="D7" s="110" t="str">
        <f aca="false">IF(MAX(J_BB)&gt;1500,"⚠ Transaksi akun ini &gt; 1500 baris — tambah baris buku besar","")</f>
        <v/>
      </c>
      <c r="E7" s="5"/>
      <c r="F7" s="5"/>
      <c r="G7" s="5"/>
      <c r="H7" s="5"/>
      <c r="I7" s="5"/>
      <c r="J7" s="5"/>
      <c r="K7" s="5"/>
    </row>
    <row r="8" customFormat="false" ht="15" hidden="false" customHeight="false" outlineLevel="0" collapsed="false">
      <c r="A8" s="20" t="s">
        <v>2705</v>
      </c>
      <c r="B8" s="20" t="s">
        <v>420</v>
      </c>
      <c r="C8" s="20" t="s">
        <v>439</v>
      </c>
      <c r="D8" s="20" t="s">
        <v>58</v>
      </c>
      <c r="E8" s="20" t="s">
        <v>2706</v>
      </c>
      <c r="F8" s="20" t="s">
        <v>2707</v>
      </c>
      <c r="G8" s="20" t="s">
        <v>2708</v>
      </c>
      <c r="H8" s="20" t="s">
        <v>2709</v>
      </c>
      <c r="I8" s="5"/>
      <c r="J8" s="5"/>
      <c r="K8" s="5"/>
    </row>
    <row r="9" customFormat="false" ht="15" hidden="false" customHeight="false" outlineLevel="0" collapsed="false">
      <c r="A9" s="5"/>
      <c r="B9" s="5"/>
      <c r="C9" s="5"/>
      <c r="D9" s="111" t="s">
        <v>2710</v>
      </c>
      <c r="E9" s="5"/>
      <c r="F9" s="5"/>
      <c r="G9" s="5"/>
      <c r="H9" s="85" t="n">
        <f aca="false">IFERROR(INDEX(AK_SA,MATCH(C3,AK_NAMA,0)),0)</f>
        <v>81982785</v>
      </c>
      <c r="I9" s="5"/>
      <c r="J9" s="5"/>
      <c r="K9" s="5"/>
    </row>
    <row r="10" customFormat="false" ht="15" hidden="false" customHeight="false" outlineLevel="0" collapsed="false">
      <c r="A10" s="5" t="n">
        <f aca="false">IF(I10="","",J10)</f>
        <v>1</v>
      </c>
      <c r="B10" s="83" t="n">
        <f aca="false">IF(I10="","",INDEX(J_TGL,I10))</f>
        <v>46024</v>
      </c>
      <c r="C10" s="5" t="str">
        <f aca="false">IF(I10="","",INDEX(J_NO,I10))</f>
        <v>JU-0002</v>
      </c>
      <c r="D10" s="5" t="str">
        <f aca="false">IF(I10="","",INDEX(J_KET,I10))</f>
        <v>Pembayaran promosi pengadaan acara gendut berlari acara tgl 11/01/26</v>
      </c>
      <c r="E10" s="5" t="str">
        <f aca="false">IF(I10="","",IF(INDEX(J_DEB,I10)=$C$3,INDEX(J_KRE,I10),INDEX(J_DEB,I10)))</f>
        <v>Biaya Marketing &amp; Promosi</v>
      </c>
      <c r="F10" s="44" t="n">
        <f aca="false">IF(I10="","",IF(INDEX(J_DEB,I10)=$C$3,INDEX(J_NOM,I10),0))</f>
        <v>0</v>
      </c>
      <c r="G10" s="44" t="n">
        <f aca="false">IF(I10="","",IF(INDEX(J_KRE,I10)=$C$3,INDEX(J_NOM,I10),0))</f>
        <v>5000000</v>
      </c>
      <c r="H10" s="44" t="n">
        <f aca="false">IF(I10="","",N(H9)+IF($C$5="Debet",F10-G10,G10-F10))</f>
        <v>76982785</v>
      </c>
      <c r="I10" s="66" t="n">
        <f aca="false">IF(J10&gt;$K$1,"",IFERROR(MATCH(J10,J_BB,0),""))</f>
        <v>2</v>
      </c>
      <c r="J10" s="66" t="n">
        <v>1</v>
      </c>
      <c r="K10" s="5"/>
    </row>
    <row r="11" customFormat="false" ht="15" hidden="false" customHeight="false" outlineLevel="0" collapsed="false">
      <c r="A11" s="5" t="n">
        <f aca="false">IF(I11="","",J11)</f>
        <v>2</v>
      </c>
      <c r="B11" s="83" t="n">
        <f aca="false">IF(I11="","",INDEX(J_TGL,I11))</f>
        <v>46024</v>
      </c>
      <c r="C11" s="5" t="str">
        <f aca="false">IF(I11="","",INDEX(J_NO,I11))</f>
        <v>JU-0003</v>
      </c>
      <c r="D11" s="5" t="str">
        <f aca="false">IF(I11="","",INDEX(J_KET,I11))</f>
        <v>Setoran kepada Owner Januari</v>
      </c>
      <c r="E11" s="5" t="str">
        <f aca="false">IF(I11="","",IF(INDEX(J_DEB,I11)=$C$3,INDEX(J_KRE,I11),INDEX(J_DEB,I11)))</f>
        <v>Prive</v>
      </c>
      <c r="F11" s="44" t="n">
        <f aca="false">IF(I11="","",IF(INDEX(J_DEB,I11)=$C$3,INDEX(J_NOM,I11),0))</f>
        <v>0</v>
      </c>
      <c r="G11" s="44" t="n">
        <f aca="false">IF(I11="","",IF(INDEX(J_KRE,I11)=$C$3,INDEX(J_NOM,I11),0))</f>
        <v>2500000</v>
      </c>
      <c r="H11" s="44" t="n">
        <f aca="false">IF(I11="","",N(H10)+IF($C$5="Debet",F11-G11,G11-F11))</f>
        <v>74482785</v>
      </c>
      <c r="I11" s="66" t="n">
        <f aca="false">IF(J11&gt;$K$1,"",IFERROR(MATCH(J11,J_BB,0),""))</f>
        <v>3</v>
      </c>
      <c r="J11" s="66" t="n">
        <v>2</v>
      </c>
      <c r="K11" s="5"/>
    </row>
    <row r="12" customFormat="false" ht="15" hidden="false" customHeight="false" outlineLevel="0" collapsed="false">
      <c r="A12" s="5" t="n">
        <f aca="false">IF(I12="","",J12)</f>
        <v>3</v>
      </c>
      <c r="B12" s="83" t="n">
        <f aca="false">IF(I12="","",INDEX(J_TGL,I12))</f>
        <v>46025</v>
      </c>
      <c r="C12" s="5" t="str">
        <f aca="false">IF(I12="","",INDEX(J_NO,I12))</f>
        <v>JU-0004</v>
      </c>
      <c r="D12" s="5" t="str">
        <f aca="false">IF(I12="","",INDEX(J_KET,I12))</f>
        <v>Pembayaran nasi gudeg berkah 50box</v>
      </c>
      <c r="E12" s="5" t="str">
        <f aca="false">IF(I12="","",IF(INDEX(J_DEB,I12)=$C$3,INDEX(J_KRE,I12),INDEX(J_DEB,I12)))</f>
        <v>Dana Sosial &amp; CSR</v>
      </c>
      <c r="F12" s="44" t="n">
        <f aca="false">IF(I12="","",IF(INDEX(J_DEB,I12)=$C$3,INDEX(J_NOM,I12),0))</f>
        <v>0</v>
      </c>
      <c r="G12" s="44" t="n">
        <f aca="false">IF(I12="","",IF(INDEX(J_KRE,I12)=$C$3,INDEX(J_NOM,I12),0))</f>
        <v>800000</v>
      </c>
      <c r="H12" s="44" t="n">
        <f aca="false">IF(I12="","",N(H11)+IF($C$5="Debet",F12-G12,G12-F12))</f>
        <v>73682785</v>
      </c>
      <c r="I12" s="66" t="n">
        <f aca="false">IF(J12&gt;$K$1,"",IFERROR(MATCH(J12,J_BB,0),""))</f>
        <v>4</v>
      </c>
      <c r="J12" s="66" t="n">
        <v>3</v>
      </c>
      <c r="K12" s="5"/>
    </row>
    <row r="13" customFormat="false" ht="15" hidden="false" customHeight="false" outlineLevel="0" collapsed="false">
      <c r="A13" s="5" t="n">
        <f aca="false">IF(I13="","",J13)</f>
        <v>4</v>
      </c>
      <c r="B13" s="83" t="n">
        <f aca="false">IF(I13="","",INDEX(J_TGL,I13))</f>
        <v>46025</v>
      </c>
      <c r="C13" s="5" t="str">
        <f aca="false">IF(I13="","",INDEX(J_NO,I13))</f>
        <v>JU-0005</v>
      </c>
      <c r="D13" s="5" t="str">
        <f aca="false">IF(I13="","",INDEX(J_KET,I13))</f>
        <v>Belanja tahu walik 50 pack dan ongkir</v>
      </c>
      <c r="E13" s="5" t="str">
        <f aca="false">IF(I13="","",IF(INDEX(J_DEB,I13)=$C$3,INDEX(J_KRE,I13),INDEX(J_DEB,I13)))</f>
        <v>Biaya Bahan Baku</v>
      </c>
      <c r="F13" s="44" t="n">
        <f aca="false">IF(I13="","",IF(INDEX(J_DEB,I13)=$C$3,INDEX(J_NOM,I13),0))</f>
        <v>0</v>
      </c>
      <c r="G13" s="44" t="n">
        <f aca="false">IF(I13="","",IF(INDEX(J_KRE,I13)=$C$3,INDEX(J_NOM,I13),0))</f>
        <v>442000</v>
      </c>
      <c r="H13" s="44" t="n">
        <f aca="false">IF(I13="","",N(H12)+IF($C$5="Debet",F13-G13,G13-F13))</f>
        <v>73240785</v>
      </c>
      <c r="I13" s="66" t="n">
        <f aca="false">IF(J13&gt;$K$1,"",IFERROR(MATCH(J13,J_BB,0),""))</f>
        <v>5</v>
      </c>
      <c r="J13" s="66" t="n">
        <v>4</v>
      </c>
      <c r="K13" s="5"/>
    </row>
    <row r="14" customFormat="false" ht="15" hidden="false" customHeight="false" outlineLevel="0" collapsed="false">
      <c r="A14" s="5" t="n">
        <f aca="false">IF(I14="","",J14)</f>
        <v>5</v>
      </c>
      <c r="B14" s="83" t="n">
        <f aca="false">IF(I14="","",INDEX(J_TGL,I14))</f>
        <v>46025</v>
      </c>
      <c r="C14" s="5" t="str">
        <f aca="false">IF(I14="","",INDEX(J_NO,I14))</f>
        <v>JU-0006</v>
      </c>
      <c r="D14" s="5" t="str">
        <f aca="false">IF(I14="","",INDEX(J_KET,I14))</f>
        <v>Belanja susu fresmilk gf 2 karton isi 24pcs</v>
      </c>
      <c r="E14" s="5" t="str">
        <f aca="false">IF(I14="","",IF(INDEX(J_DEB,I14)=$C$3,INDEX(J_KRE,I14),INDEX(J_DEB,I14)))</f>
        <v>Biaya Bahan Baku</v>
      </c>
      <c r="F14" s="44" t="n">
        <f aca="false">IF(I14="","",IF(INDEX(J_DEB,I14)=$C$3,INDEX(J_NOM,I14),0))</f>
        <v>0</v>
      </c>
      <c r="G14" s="44" t="n">
        <f aca="false">IF(I14="","",IF(INDEX(J_KRE,I14)=$C$3,INDEX(J_NOM,I14),0))</f>
        <v>494000</v>
      </c>
      <c r="H14" s="44" t="n">
        <f aca="false">IF(I14="","",N(H13)+IF($C$5="Debet",F14-G14,G14-F14))</f>
        <v>72746785</v>
      </c>
      <c r="I14" s="66" t="n">
        <f aca="false">IF(J14&gt;$K$1,"",IFERROR(MATCH(J14,J_BB,0),""))</f>
        <v>6</v>
      </c>
      <c r="J14" s="66" t="n">
        <v>5</v>
      </c>
      <c r="K14" s="5"/>
    </row>
    <row r="15" customFormat="false" ht="15" hidden="false" customHeight="false" outlineLevel="0" collapsed="false">
      <c r="A15" s="5" t="n">
        <f aca="false">IF(I15="","",J15)</f>
        <v>6</v>
      </c>
      <c r="B15" s="83" t="n">
        <f aca="false">IF(I15="","",INDEX(J_TGL,I15))</f>
        <v>46026</v>
      </c>
      <c r="C15" s="5" t="str">
        <f aca="false">IF(I15="","",INDEX(J_NO,I15))</f>
        <v>JU-0007</v>
      </c>
      <c r="D15" s="5" t="str">
        <f aca="false">IF(I15="","",INDEX(J_KET,I15))</f>
        <v>Pindah dana Tunai - BCA</v>
      </c>
      <c r="E15" s="5" t="str">
        <f aca="false">IF(I15="","",IF(INDEX(J_DEB,I15)=$C$3,INDEX(J_KRE,I15),INDEX(J_DEB,I15)))</f>
        <v>Kas Tunai</v>
      </c>
      <c r="F15" s="44" t="n">
        <f aca="false">IF(I15="","",IF(INDEX(J_DEB,I15)=$C$3,INDEX(J_NOM,I15),0))</f>
        <v>1000000</v>
      </c>
      <c r="G15" s="44" t="n">
        <f aca="false">IF(I15="","",IF(INDEX(J_KRE,I15)=$C$3,INDEX(J_NOM,I15),0))</f>
        <v>0</v>
      </c>
      <c r="H15" s="44" t="n">
        <f aca="false">IF(I15="","",N(H14)+IF($C$5="Debet",F15-G15,G15-F15))</f>
        <v>73746785</v>
      </c>
      <c r="I15" s="66" t="n">
        <f aca="false">IF(J15&gt;$K$1,"",IFERROR(MATCH(J15,J_BB,0),""))</f>
        <v>7</v>
      </c>
      <c r="J15" s="66" t="n">
        <v>6</v>
      </c>
      <c r="K15" s="5"/>
    </row>
    <row r="16" customFormat="false" ht="15" hidden="false" customHeight="false" outlineLevel="0" collapsed="false">
      <c r="A16" s="5" t="n">
        <f aca="false">IF(I16="","",J16)</f>
        <v>7</v>
      </c>
      <c r="B16" s="83" t="n">
        <f aca="false">IF(I16="","",INDEX(J_TGL,I16))</f>
        <v>46026</v>
      </c>
      <c r="C16" s="5" t="str">
        <f aca="false">IF(I16="","",INDEX(J_NO,I16))</f>
        <v>JU-0008</v>
      </c>
      <c r="D16" s="5" t="str">
        <f aca="false">IF(I16="","",INDEX(J_KET,I16))</f>
        <v>Belanja tutup strawless PET 1 box isi 1000pcs</v>
      </c>
      <c r="E16" s="5" t="str">
        <f aca="false">IF(I16="","",IF(INDEX(J_DEB,I16)=$C$3,INDEX(J_KRE,I16),INDEX(J_DEB,I16)))</f>
        <v>Biaya Penyajian</v>
      </c>
      <c r="F16" s="44" t="n">
        <f aca="false">IF(I16="","",IF(INDEX(J_DEB,I16)=$C$3,INDEX(J_NOM,I16),0))</f>
        <v>0</v>
      </c>
      <c r="G16" s="44" t="n">
        <f aca="false">IF(I16="","",IF(INDEX(J_KRE,I16)=$C$3,INDEX(J_NOM,I16),0))</f>
        <v>190000</v>
      </c>
      <c r="H16" s="44" t="n">
        <f aca="false">IF(I16="","",N(H15)+IF($C$5="Debet",F16-G16,G16-F16))</f>
        <v>73556785</v>
      </c>
      <c r="I16" s="66" t="n">
        <f aca="false">IF(J16&gt;$K$1,"",IFERROR(MATCH(J16,J_BB,0),""))</f>
        <v>8</v>
      </c>
      <c r="J16" s="66" t="n">
        <v>7</v>
      </c>
      <c r="K16" s="5"/>
    </row>
    <row r="17" customFormat="false" ht="15" hidden="false" customHeight="false" outlineLevel="0" collapsed="false">
      <c r="A17" s="5" t="n">
        <f aca="false">IF(I17="","",J17)</f>
        <v>8</v>
      </c>
      <c r="B17" s="83" t="n">
        <f aca="false">IF(I17="","",INDEX(J_TGL,I17))</f>
        <v>46027</v>
      </c>
      <c r="C17" s="5" t="str">
        <f aca="false">IF(I17="","",INDEX(J_NO,I17))</f>
        <v>JU-0009</v>
      </c>
      <c r="D17" s="5" t="str">
        <f aca="false">IF(I17="","",INDEX(J_KET,I17))</f>
        <v>Pembayaran croissant buttersome batch 132-136 (25Des-4Jan) 67pcs</v>
      </c>
      <c r="E17" s="5" t="str">
        <f aca="false">IF(I17="","",IF(INDEX(J_DEB,I17)=$C$3,INDEX(J_KRE,I17),INDEX(J_DEB,I17)))</f>
        <v>Biaya Bahan Baku</v>
      </c>
      <c r="F17" s="44" t="n">
        <f aca="false">IF(I17="","",IF(INDEX(J_DEB,I17)=$C$3,INDEX(J_NOM,I17),0))</f>
        <v>0</v>
      </c>
      <c r="G17" s="44" t="n">
        <f aca="false">IF(I17="","",IF(INDEX(J_KRE,I17)=$C$3,INDEX(J_NOM,I17),0))</f>
        <v>1496000</v>
      </c>
      <c r="H17" s="44" t="n">
        <f aca="false">IF(I17="","",N(H16)+IF($C$5="Debet",F17-G17,G17-F17))</f>
        <v>72060785</v>
      </c>
      <c r="I17" s="66" t="n">
        <f aca="false">IF(J17&gt;$K$1,"",IFERROR(MATCH(J17,J_BB,0),""))</f>
        <v>9</v>
      </c>
      <c r="J17" s="66" t="n">
        <v>8</v>
      </c>
      <c r="K17" s="5"/>
    </row>
    <row r="18" customFormat="false" ht="15" hidden="false" customHeight="false" outlineLevel="0" collapsed="false">
      <c r="A18" s="5" t="n">
        <f aca="false">IF(I18="","",J18)</f>
        <v>9</v>
      </c>
      <c r="B18" s="83" t="n">
        <f aca="false">IF(I18="","",INDEX(J_TGL,I18))</f>
        <v>46027</v>
      </c>
      <c r="C18" s="5" t="str">
        <f aca="false">IF(I18="","",INDEX(J_NO,I18))</f>
        <v>JU-0010</v>
      </c>
      <c r="D18" s="5" t="str">
        <f aca="false">IF(I18="","",INDEX(J_KET,I18))</f>
        <v>Membayar jasa print cetak stiker untuk botol kombucha event Ragaria 128pcs</v>
      </c>
      <c r="E18" s="5" t="str">
        <f aca="false">IF(I18="","",IF(INDEX(J_DEB,I18)=$C$3,INDEX(J_KRE,I18),INDEX(J_DEB,I18)))</f>
        <v>Biaya Marketing &amp; Promosi</v>
      </c>
      <c r="F18" s="44" t="n">
        <f aca="false">IF(I18="","",IF(INDEX(J_DEB,I18)=$C$3,INDEX(J_NOM,I18),0))</f>
        <v>0</v>
      </c>
      <c r="G18" s="44" t="n">
        <f aca="false">IF(I18="","",IF(INDEX(J_KRE,I18)=$C$3,INDEX(J_NOM,I18),0))</f>
        <v>90000</v>
      </c>
      <c r="H18" s="44" t="n">
        <f aca="false">IF(I18="","",N(H17)+IF($C$5="Debet",F18-G18,G18-F18))</f>
        <v>71970785</v>
      </c>
      <c r="I18" s="66" t="n">
        <f aca="false">IF(J18&gt;$K$1,"",IFERROR(MATCH(J18,J_BB,0),""))</f>
        <v>10</v>
      </c>
      <c r="J18" s="66" t="n">
        <v>9</v>
      </c>
      <c r="K18" s="5"/>
    </row>
    <row r="19" customFormat="false" ht="15" hidden="false" customHeight="false" outlineLevel="0" collapsed="false">
      <c r="A19" s="5" t="n">
        <f aca="false">IF(I19="","",J19)</f>
        <v>10</v>
      </c>
      <c r="B19" s="83" t="n">
        <f aca="false">IF(I19="","",INDEX(J_TGL,I19))</f>
        <v>46028</v>
      </c>
      <c r="C19" s="5" t="str">
        <f aca="false">IF(I19="","",INDEX(J_NO,I19))</f>
        <v>JU-0022</v>
      </c>
      <c r="D19" s="5" t="str">
        <f aca="false">IF(I19="","",INDEX(J_KET,I19))</f>
        <v>Pemasukan penjualan tiket 06/01 event Maharia tgl 16/01</v>
      </c>
      <c r="E19" s="5" t="str">
        <f aca="false">IF(I19="","",IF(INDEX(J_DEB,I19)=$C$3,INDEX(J_KRE,I19),INDEX(J_DEB,I19)))</f>
        <v>Pendapatan non Cafe</v>
      </c>
      <c r="F19" s="44" t="n">
        <f aca="false">IF(I19="","",IF(INDEX(J_DEB,I19)=$C$3,INDEX(J_NOM,I19),0))</f>
        <v>540000</v>
      </c>
      <c r="G19" s="44" t="n">
        <f aca="false">IF(I19="","",IF(INDEX(J_KRE,I19)=$C$3,INDEX(J_NOM,I19),0))</f>
        <v>0</v>
      </c>
      <c r="H19" s="44" t="n">
        <f aca="false">IF(I19="","",N(H18)+IF($C$5="Debet",F19-G19,G19-F19))</f>
        <v>72510785</v>
      </c>
      <c r="I19" s="66" t="n">
        <f aca="false">IF(J19&gt;$K$1,"",IFERROR(MATCH(J19,J_BB,0),""))</f>
        <v>22</v>
      </c>
      <c r="J19" s="66" t="n">
        <v>10</v>
      </c>
      <c r="K19" s="5"/>
    </row>
    <row r="20" customFormat="false" ht="15" hidden="false" customHeight="false" outlineLevel="0" collapsed="false">
      <c r="A20" s="5" t="n">
        <f aca="false">IF(I20="","",J20)</f>
        <v>11</v>
      </c>
      <c r="B20" s="83" t="n">
        <f aca="false">IF(I20="","",INDEX(J_TGL,I20))</f>
        <v>46028</v>
      </c>
      <c r="C20" s="5" t="str">
        <f aca="false">IF(I20="","",INDEX(J_NO,I20))</f>
        <v>JU-0023</v>
      </c>
      <c r="D20" s="5" t="str">
        <f aca="false">IF(I20="","",INDEX(J_KET,I20))</f>
        <v>Pembayaran bagel buttersome batch 4-5 41pcs</v>
      </c>
      <c r="E20" s="5" t="str">
        <f aca="false">IF(I20="","",IF(INDEX(J_DEB,I20)=$C$3,INDEX(J_KRE,I20),INDEX(J_DEB,I20)))</f>
        <v>Biaya Bahan Baku</v>
      </c>
      <c r="F20" s="44" t="n">
        <f aca="false">IF(I20="","",IF(INDEX(J_DEB,I20)=$C$3,INDEX(J_NOM,I20),0))</f>
        <v>0</v>
      </c>
      <c r="G20" s="44" t="n">
        <f aca="false">IF(I20="","",IF(INDEX(J_KRE,I20)=$C$3,INDEX(J_NOM,I20),0))</f>
        <v>521000</v>
      </c>
      <c r="H20" s="44" t="n">
        <f aca="false">IF(I20="","",N(H19)+IF($C$5="Debet",F20-G20,G20-F20))</f>
        <v>71989785</v>
      </c>
      <c r="I20" s="66" t="n">
        <f aca="false">IF(J20&gt;$K$1,"",IFERROR(MATCH(J20,J_BB,0),""))</f>
        <v>23</v>
      </c>
      <c r="J20" s="66" t="n">
        <v>11</v>
      </c>
      <c r="K20" s="5"/>
    </row>
    <row r="21" customFormat="false" ht="15" hidden="false" customHeight="false" outlineLevel="0" collapsed="false">
      <c r="A21" s="5" t="n">
        <f aca="false">IF(I21="","",J21)</f>
        <v>12</v>
      </c>
      <c r="B21" s="83" t="n">
        <f aca="false">IF(I21="","",INDEX(J_TGL,I21))</f>
        <v>46028</v>
      </c>
      <c r="C21" s="5" t="str">
        <f aca="false">IF(I21="","",INDEX(J_NO,I21))</f>
        <v>JU-0024</v>
      </c>
      <c r="D21" s="5" t="str">
        <f aca="false">IF(I21="","",INDEX(J_KET,I21))</f>
        <v>Belanja sabun cuci piring soume premium 5L x2</v>
      </c>
      <c r="E21" s="5" t="str">
        <f aca="false">IF(I21="","",IF(INDEX(J_DEB,I21)=$C$3,INDEX(J_KRE,I21),INDEX(J_DEB,I21)))</f>
        <v>Biaya Operasional Harian</v>
      </c>
      <c r="F21" s="44" t="n">
        <f aca="false">IF(I21="","",IF(INDEX(J_DEB,I21)=$C$3,INDEX(J_NOM,I21),0))</f>
        <v>0</v>
      </c>
      <c r="G21" s="44" t="n">
        <f aca="false">IF(I21="","",IF(INDEX(J_KRE,I21)=$C$3,INDEX(J_NOM,I21),0))</f>
        <v>90000</v>
      </c>
      <c r="H21" s="44" t="n">
        <f aca="false">IF(I21="","",N(H20)+IF($C$5="Debet",F21-G21,G21-F21))</f>
        <v>71899785</v>
      </c>
      <c r="I21" s="66" t="n">
        <f aca="false">IF(J21&gt;$K$1,"",IFERROR(MATCH(J21,J_BB,0),""))</f>
        <v>24</v>
      </c>
      <c r="J21" s="66" t="n">
        <v>12</v>
      </c>
      <c r="K21" s="5"/>
    </row>
    <row r="22" customFormat="false" ht="15" hidden="false" customHeight="false" outlineLevel="0" collapsed="false">
      <c r="A22" s="5" t="n">
        <f aca="false">IF(I22="","",J22)</f>
        <v>13</v>
      </c>
      <c r="B22" s="83" t="n">
        <f aca="false">IF(I22="","",INDEX(J_TGL,I22))</f>
        <v>46028</v>
      </c>
      <c r="C22" s="5" t="str">
        <f aca="false">IF(I22="","",INDEX(J_NO,I22))</f>
        <v>JU-0025</v>
      </c>
      <c r="D22" s="5" t="str">
        <f aca="false">IF(I22="","",INDEX(J_KET,I22))</f>
        <v>Membayar iklan di tik tok</v>
      </c>
      <c r="E22" s="5" t="str">
        <f aca="false">IF(I22="","",IF(INDEX(J_DEB,I22)=$C$3,INDEX(J_KRE,I22),INDEX(J_DEB,I22)))</f>
        <v>Biaya Marketing &amp; Promosi</v>
      </c>
      <c r="F22" s="44" t="n">
        <f aca="false">IF(I22="","",IF(INDEX(J_DEB,I22)=$C$3,INDEX(J_NOM,I22),0))</f>
        <v>0</v>
      </c>
      <c r="G22" s="44" t="n">
        <f aca="false">IF(I22="","",IF(INDEX(J_KRE,I22)=$C$3,INDEX(J_NOM,I22),0))</f>
        <v>50000</v>
      </c>
      <c r="H22" s="44" t="n">
        <f aca="false">IF(I22="","",N(H21)+IF($C$5="Debet",F22-G22,G22-F22))</f>
        <v>71849785</v>
      </c>
      <c r="I22" s="66" t="n">
        <f aca="false">IF(J22&gt;$K$1,"",IFERROR(MATCH(J22,J_BB,0),""))</f>
        <v>25</v>
      </c>
      <c r="J22" s="66" t="n">
        <v>13</v>
      </c>
      <c r="K22" s="5"/>
    </row>
    <row r="23" customFormat="false" ht="15" hidden="false" customHeight="false" outlineLevel="0" collapsed="false">
      <c r="A23" s="5" t="n">
        <f aca="false">IF(I23="","",J23)</f>
        <v>14</v>
      </c>
      <c r="B23" s="83" t="n">
        <f aca="false">IF(I23="","",INDEX(J_TGL,I23))</f>
        <v>46029</v>
      </c>
      <c r="C23" s="5" t="str">
        <f aca="false">IF(I23="","",INDEX(J_NO,I23))</f>
        <v>JU-0026</v>
      </c>
      <c r="D23" s="5" t="str">
        <f aca="false">IF(I23="","",INDEX(J_KET,I23))</f>
        <v>Membayar DP Soloensis live performance at Maharia</v>
      </c>
      <c r="E23" s="5" t="str">
        <f aca="false">IF(I23="","",IF(INDEX(J_DEB,I23)=$C$3,INDEX(J_KRE,I23),INDEX(J_DEB,I23)))</f>
        <v>Biaya Marketing &amp; Promosi</v>
      </c>
      <c r="F23" s="44" t="n">
        <f aca="false">IF(I23="","",IF(INDEX(J_DEB,I23)=$C$3,INDEX(J_NOM,I23),0))</f>
        <v>0</v>
      </c>
      <c r="G23" s="44" t="n">
        <f aca="false">IF(I23="","",IF(INDEX(J_KRE,I23)=$C$3,INDEX(J_NOM,I23),0))</f>
        <v>4000000</v>
      </c>
      <c r="H23" s="44" t="n">
        <f aca="false">IF(I23="","",N(H22)+IF($C$5="Debet",F23-G23,G23-F23))</f>
        <v>67849785</v>
      </c>
      <c r="I23" s="66" t="n">
        <f aca="false">IF(J23&gt;$K$1,"",IFERROR(MATCH(J23,J_BB,0),""))</f>
        <v>26</v>
      </c>
      <c r="J23" s="66" t="n">
        <v>14</v>
      </c>
      <c r="K23" s="5"/>
    </row>
    <row r="24" customFormat="false" ht="15" hidden="false" customHeight="false" outlineLevel="0" collapsed="false">
      <c r="A24" s="5" t="n">
        <f aca="false">IF(I24="","",J24)</f>
        <v>15</v>
      </c>
      <c r="B24" s="83" t="n">
        <f aca="false">IF(I24="","",INDEX(J_TGL,I24))</f>
        <v>46029</v>
      </c>
      <c r="C24" s="5" t="str">
        <f aca="false">IF(I24="","",INDEX(J_NO,I24))</f>
        <v>JU-0027</v>
      </c>
      <c r="D24" s="5" t="str">
        <f aca="false">IF(I24="","",INDEX(J_KET,I24))</f>
        <v>Membayar DP orchestra vendor dan sound untuk event Maharia</v>
      </c>
      <c r="E24" s="5" t="str">
        <f aca="false">IF(I24="","",IF(INDEX(J_DEB,I24)=$C$3,INDEX(J_KRE,I24),INDEX(J_DEB,I24)))</f>
        <v>Biaya Marketing &amp; Promosi</v>
      </c>
      <c r="F24" s="44" t="n">
        <f aca="false">IF(I24="","",IF(INDEX(J_DEB,I24)=$C$3,INDEX(J_NOM,I24),0))</f>
        <v>0</v>
      </c>
      <c r="G24" s="44" t="n">
        <f aca="false">IF(I24="","",IF(INDEX(J_KRE,I24)=$C$3,INDEX(J_NOM,I24),0))</f>
        <v>13400000</v>
      </c>
      <c r="H24" s="44" t="n">
        <f aca="false">IF(I24="","",N(H23)+IF($C$5="Debet",F24-G24,G24-F24))</f>
        <v>54449785</v>
      </c>
      <c r="I24" s="66" t="n">
        <f aca="false">IF(J24&gt;$K$1,"",IFERROR(MATCH(J24,J_BB,0),""))</f>
        <v>27</v>
      </c>
      <c r="J24" s="66" t="n">
        <v>15</v>
      </c>
      <c r="K24" s="5"/>
    </row>
    <row r="25" customFormat="false" ht="15" hidden="false" customHeight="false" outlineLevel="0" collapsed="false">
      <c r="A25" s="5" t="n">
        <f aca="false">IF(I25="","",J25)</f>
        <v>16</v>
      </c>
      <c r="B25" s="83" t="n">
        <f aca="false">IF(I25="","",INDEX(J_TGL,I25))</f>
        <v>46029</v>
      </c>
      <c r="C25" s="5" t="str">
        <f aca="false">IF(I25="","",INDEX(J_NO,I25))</f>
        <v>JU-0028</v>
      </c>
      <c r="D25" s="5" t="str">
        <f aca="false">IF(I25="","",INDEX(J_KET,I25))</f>
        <v>Belanja biji kopi yantos kerinci natural 200gr x4 pack</v>
      </c>
      <c r="E25" s="5" t="str">
        <f aca="false">IF(I25="","",IF(INDEX(J_DEB,I25)=$C$3,INDEX(J_KRE,I25),INDEX(J_DEB,I25)))</f>
        <v>Biaya Bahan Baku</v>
      </c>
      <c r="F25" s="44" t="n">
        <f aca="false">IF(I25="","",IF(INDEX(J_DEB,I25)=$C$3,INDEX(J_NOM,I25),0))</f>
        <v>0</v>
      </c>
      <c r="G25" s="44" t="n">
        <f aca="false">IF(I25="","",IF(INDEX(J_KRE,I25)=$C$3,INDEX(J_NOM,I25),0))</f>
        <v>500000</v>
      </c>
      <c r="H25" s="44" t="n">
        <f aca="false">IF(I25="","",N(H24)+IF($C$5="Debet",F25-G25,G25-F25))</f>
        <v>53949785</v>
      </c>
      <c r="I25" s="66" t="n">
        <f aca="false">IF(J25&gt;$K$1,"",IFERROR(MATCH(J25,J_BB,0),""))</f>
        <v>28</v>
      </c>
      <c r="J25" s="66" t="n">
        <v>16</v>
      </c>
      <c r="K25" s="5"/>
    </row>
    <row r="26" customFormat="false" ht="15" hidden="false" customHeight="false" outlineLevel="0" collapsed="false">
      <c r="A26" s="5" t="n">
        <f aca="false">IF(I26="","",J26)</f>
        <v>17</v>
      </c>
      <c r="B26" s="83" t="n">
        <f aca="false">IF(I26="","",INDEX(J_TGL,I26))</f>
        <v>46029</v>
      </c>
      <c r="C26" s="5" t="str">
        <f aca="false">IF(I26="","",INDEX(J_NO,I26))</f>
        <v>JU-0029</v>
      </c>
      <c r="D26" s="5" t="str">
        <f aca="false">IF(I26="","",INDEX(J_KET,I26))</f>
        <v>Biaya transfer flip</v>
      </c>
      <c r="E26" s="5" t="str">
        <f aca="false">IF(I26="","",IF(INDEX(J_DEB,I26)=$C$3,INDEX(J_KRE,I26),INDEX(J_DEB,I26)))</f>
        <v>Biaya Lainnya</v>
      </c>
      <c r="F26" s="44" t="n">
        <f aca="false">IF(I26="","",IF(INDEX(J_DEB,I26)=$C$3,INDEX(J_NOM,I26),0))</f>
        <v>0</v>
      </c>
      <c r="G26" s="44" t="n">
        <f aca="false">IF(I26="","",IF(INDEX(J_KRE,I26)=$C$3,INDEX(J_NOM,I26),0))</f>
        <v>358</v>
      </c>
      <c r="H26" s="44" t="n">
        <f aca="false">IF(I26="","",N(H25)+IF($C$5="Debet",F26-G26,G26-F26))</f>
        <v>53949427</v>
      </c>
      <c r="I26" s="66" t="n">
        <f aca="false">IF(J26&gt;$K$1,"",IFERROR(MATCH(J26,J_BB,0),""))</f>
        <v>29</v>
      </c>
      <c r="J26" s="66" t="n">
        <v>17</v>
      </c>
      <c r="K26" s="5"/>
    </row>
    <row r="27" customFormat="false" ht="15" hidden="false" customHeight="false" outlineLevel="0" collapsed="false">
      <c r="A27" s="5" t="n">
        <f aca="false">IF(I27="","",J27)</f>
        <v>18</v>
      </c>
      <c r="B27" s="83" t="n">
        <f aca="false">IF(I27="","",INDEX(J_TGL,I27))</f>
        <v>46029</v>
      </c>
      <c r="C27" s="5" t="str">
        <f aca="false">IF(I27="","",INDEX(J_NO,I27))</f>
        <v>JU-0030</v>
      </c>
      <c r="D27" s="5" t="str">
        <f aca="false">IF(I27="","",INDEX(J_KET,I27))</f>
        <v>Membayar hosting website langganan 1 tahun</v>
      </c>
      <c r="E27" s="5" t="str">
        <f aca="false">IF(I27="","",IF(INDEX(J_DEB,I27)=$C$3,INDEX(J_KRE,I27),INDEX(J_DEB,I27)))</f>
        <v>Biaya Marketing &amp; Promosi</v>
      </c>
      <c r="F27" s="44" t="n">
        <f aca="false">IF(I27="","",IF(INDEX(J_DEB,I27)=$C$3,INDEX(J_NOM,I27),0))</f>
        <v>0</v>
      </c>
      <c r="G27" s="44" t="n">
        <f aca="false">IF(I27="","",IF(INDEX(J_KRE,I27)=$C$3,INDEX(J_NOM,I27),0))</f>
        <v>233100</v>
      </c>
      <c r="H27" s="44" t="n">
        <f aca="false">IF(I27="","",N(H26)+IF($C$5="Debet",F27-G27,G27-F27))</f>
        <v>53716327</v>
      </c>
      <c r="I27" s="66" t="n">
        <f aca="false">IF(J27&gt;$K$1,"",IFERROR(MATCH(J27,J_BB,0),""))</f>
        <v>30</v>
      </c>
      <c r="J27" s="66" t="n">
        <v>18</v>
      </c>
      <c r="K27" s="5"/>
    </row>
    <row r="28" customFormat="false" ht="15" hidden="false" customHeight="false" outlineLevel="0" collapsed="false">
      <c r="A28" s="5" t="n">
        <f aca="false">IF(I28="","",J28)</f>
        <v>19</v>
      </c>
      <c r="B28" s="83" t="n">
        <f aca="false">IF(I28="","",INDEX(J_TGL,I28))</f>
        <v>46029</v>
      </c>
      <c r="C28" s="5" t="str">
        <f aca="false">IF(I28="","",INDEX(J_NO,I28))</f>
        <v>JU-0031</v>
      </c>
      <c r="D28" s="5" t="str">
        <f aca="false">IF(I28="","",INDEX(J_KET,I28))</f>
        <v>Biaya transfer flip</v>
      </c>
      <c r="E28" s="5" t="str">
        <f aca="false">IF(I28="","",IF(INDEX(J_DEB,I28)=$C$3,INDEX(J_KRE,I28),INDEX(J_DEB,I28)))</f>
        <v>Biaya Lainnya</v>
      </c>
      <c r="F28" s="44" t="n">
        <f aca="false">IF(I28="","",IF(INDEX(J_DEB,I28)=$C$3,INDEX(J_NOM,I28),0))</f>
        <v>0</v>
      </c>
      <c r="G28" s="44" t="n">
        <f aca="false">IF(I28="","",IF(INDEX(J_KRE,I28)=$C$3,INDEX(J_NOM,I28),0))</f>
        <v>325</v>
      </c>
      <c r="H28" s="44" t="n">
        <f aca="false">IF(I28="","",N(H27)+IF($C$5="Debet",F28-G28,G28-F28))</f>
        <v>53716002</v>
      </c>
      <c r="I28" s="66" t="n">
        <f aca="false">IF(J28&gt;$K$1,"",IFERROR(MATCH(J28,J_BB,0),""))</f>
        <v>31</v>
      </c>
      <c r="J28" s="66" t="n">
        <v>19</v>
      </c>
      <c r="K28" s="5"/>
    </row>
    <row r="29" customFormat="false" ht="15" hidden="false" customHeight="false" outlineLevel="0" collapsed="false">
      <c r="A29" s="5" t="n">
        <f aca="false">IF(I29="","",J29)</f>
        <v>20</v>
      </c>
      <c r="B29" s="83" t="n">
        <f aca="false">IF(I29="","",INDEX(J_TGL,I29))</f>
        <v>46029</v>
      </c>
      <c r="C29" s="5" t="str">
        <f aca="false">IF(I29="","",INDEX(J_NO,I29))</f>
        <v>JU-0032</v>
      </c>
      <c r="D29" s="5" t="str">
        <f aca="false">IF(I29="","",INDEX(J_KET,I29))</f>
        <v>Pemasukan penjualan tiket 07/01 event Maharia tgl 16/01</v>
      </c>
      <c r="E29" s="5" t="str">
        <f aca="false">IF(I29="","",IF(INDEX(J_DEB,I29)=$C$3,INDEX(J_KRE,I29),INDEX(J_DEB,I29)))</f>
        <v>Pendapatan non Cafe</v>
      </c>
      <c r="F29" s="44" t="n">
        <f aca="false">IF(I29="","",IF(INDEX(J_DEB,I29)=$C$3,INDEX(J_NOM,I29),0))</f>
        <v>940000</v>
      </c>
      <c r="G29" s="44" t="n">
        <f aca="false">IF(I29="","",IF(INDEX(J_KRE,I29)=$C$3,INDEX(J_NOM,I29),0))</f>
        <v>0</v>
      </c>
      <c r="H29" s="44" t="n">
        <f aca="false">IF(I29="","",N(H28)+IF($C$5="Debet",F29-G29,G29-F29))</f>
        <v>54656002</v>
      </c>
      <c r="I29" s="66" t="n">
        <f aca="false">IF(J29&gt;$K$1,"",IFERROR(MATCH(J29,J_BB,0),""))</f>
        <v>32</v>
      </c>
      <c r="J29" s="66" t="n">
        <v>20</v>
      </c>
      <c r="K29" s="5"/>
    </row>
    <row r="30" customFormat="false" ht="15" hidden="false" customHeight="false" outlineLevel="0" collapsed="false">
      <c r="A30" s="5" t="n">
        <f aca="false">IF(I30="","",J30)</f>
        <v>21</v>
      </c>
      <c r="B30" s="83" t="n">
        <f aca="false">IF(I30="","",INDEX(J_TGL,I30))</f>
        <v>46030</v>
      </c>
      <c r="C30" s="5" t="str">
        <f aca="false">IF(I30="","",INDEX(J_NO,I30))</f>
        <v>JU-0033</v>
      </c>
      <c r="D30" s="5" t="str">
        <f aca="false">IF(I30="","",INDEX(J_KET,I30))</f>
        <v>Belanja isi ulang galon unlock water x10 galon</v>
      </c>
      <c r="E30" s="5" t="str">
        <f aca="false">IF(I30="","",IF(INDEX(J_DEB,I30)=$C$3,INDEX(J_KRE,I30),INDEX(J_DEB,I30)))</f>
        <v>Biaya Bahan Baku</v>
      </c>
      <c r="F30" s="44" t="n">
        <f aca="false">IF(I30="","",IF(INDEX(J_DEB,I30)=$C$3,INDEX(J_NOM,I30),0))</f>
        <v>0</v>
      </c>
      <c r="G30" s="44" t="n">
        <f aca="false">IF(I30="","",IF(INDEX(J_KRE,I30)=$C$3,INDEX(J_NOM,I30),0))</f>
        <v>180000</v>
      </c>
      <c r="H30" s="44" t="n">
        <f aca="false">IF(I30="","",N(H29)+IF($C$5="Debet",F30-G30,G30-F30))</f>
        <v>54476002</v>
      </c>
      <c r="I30" s="66" t="n">
        <f aca="false">IF(J30&gt;$K$1,"",IFERROR(MATCH(J30,J_BB,0),""))</f>
        <v>33</v>
      </c>
      <c r="J30" s="66" t="n">
        <v>21</v>
      </c>
      <c r="K30" s="5"/>
    </row>
    <row r="31" customFormat="false" ht="15" hidden="false" customHeight="false" outlineLevel="0" collapsed="false">
      <c r="A31" s="5" t="n">
        <f aca="false">IF(I31="","",J31)</f>
        <v>22</v>
      </c>
      <c r="B31" s="83" t="n">
        <f aca="false">IF(I31="","",INDEX(J_TGL,I31))</f>
        <v>46030</v>
      </c>
      <c r="C31" s="5" t="str">
        <f aca="false">IF(I31="","",INDEX(J_NO,I31))</f>
        <v>JU-0034</v>
      </c>
      <c r="D31" s="5" t="str">
        <f aca="false">IF(I31="","",INDEX(J_KET,I31))</f>
        <v>Pemasukan penjualan tiket 08/01 event Maharia tgl 16/01</v>
      </c>
      <c r="E31" s="5" t="str">
        <f aca="false">IF(I31="","",IF(INDEX(J_DEB,I31)=$C$3,INDEX(J_KRE,I31),INDEX(J_DEB,I31)))</f>
        <v>Pendapatan non Cafe</v>
      </c>
      <c r="F31" s="44" t="n">
        <f aca="false">IF(I31="","",IF(INDEX(J_DEB,I31)=$C$3,INDEX(J_NOM,I31),0))</f>
        <v>520000</v>
      </c>
      <c r="G31" s="44" t="n">
        <f aca="false">IF(I31="","",IF(INDEX(J_KRE,I31)=$C$3,INDEX(J_NOM,I31),0))</f>
        <v>0</v>
      </c>
      <c r="H31" s="44" t="n">
        <f aca="false">IF(I31="","",N(H30)+IF($C$5="Debet",F31-G31,G31-F31))</f>
        <v>54996002</v>
      </c>
      <c r="I31" s="66" t="n">
        <f aca="false">IF(J31&gt;$K$1,"",IFERROR(MATCH(J31,J_BB,0),""))</f>
        <v>34</v>
      </c>
      <c r="J31" s="66" t="n">
        <v>22</v>
      </c>
      <c r="K31" s="5"/>
    </row>
    <row r="32" customFormat="false" ht="15" hidden="false" customHeight="false" outlineLevel="0" collapsed="false">
      <c r="A32" s="5" t="n">
        <f aca="false">IF(I32="","",J32)</f>
        <v>23</v>
      </c>
      <c r="B32" s="83" t="n">
        <f aca="false">IF(I32="","",INDEX(J_TGL,I32))</f>
        <v>46031</v>
      </c>
      <c r="C32" s="5" t="str">
        <f aca="false">IF(I32="","",INDEX(J_NO,I32))</f>
        <v>JU-0046</v>
      </c>
      <c r="D32" s="5" t="str">
        <f aca="false">IF(I32="","",INDEX(J_KET,I32))</f>
        <v>Pindah dana tunai ke BCA</v>
      </c>
      <c r="E32" s="5" t="str">
        <f aca="false">IF(I32="","",IF(INDEX(J_DEB,I32)=$C$3,INDEX(J_KRE,I32),INDEX(J_DEB,I32)))</f>
        <v>Kas Tunai</v>
      </c>
      <c r="F32" s="44" t="n">
        <f aca="false">IF(I32="","",IF(INDEX(J_DEB,I32)=$C$3,INDEX(J_NOM,I32),0))</f>
        <v>14000000</v>
      </c>
      <c r="G32" s="44" t="n">
        <f aca="false">IF(I32="","",IF(INDEX(J_KRE,I32)=$C$3,INDEX(J_NOM,I32),0))</f>
        <v>0</v>
      </c>
      <c r="H32" s="44" t="n">
        <f aca="false">IF(I32="","",N(H31)+IF($C$5="Debet",F32-G32,G32-F32))</f>
        <v>68996002</v>
      </c>
      <c r="I32" s="66" t="n">
        <f aca="false">IF(J32&gt;$K$1,"",IFERROR(MATCH(J32,J_BB,0),""))</f>
        <v>46</v>
      </c>
      <c r="J32" s="66" t="n">
        <v>23</v>
      </c>
      <c r="K32" s="5"/>
    </row>
    <row r="33" customFormat="false" ht="15" hidden="false" customHeight="false" outlineLevel="0" collapsed="false">
      <c r="A33" s="5" t="n">
        <f aca="false">IF(I33="","",J33)</f>
        <v>24</v>
      </c>
      <c r="B33" s="83" t="n">
        <f aca="false">IF(I33="","",INDEX(J_TGL,I33))</f>
        <v>46031</v>
      </c>
      <c r="C33" s="5" t="str">
        <f aca="false">IF(I33="","",INDEX(J_NO,I33))</f>
        <v>JU-0047</v>
      </c>
      <c r="D33" s="5" t="str">
        <f aca="false">IF(I33="","",INDEX(J_KET,I33))</f>
        <v>Pemasukan penjualan tiket 09/01 event Maharia tgl 16/01</v>
      </c>
      <c r="E33" s="5" t="str">
        <f aca="false">IF(I33="","",IF(INDEX(J_DEB,I33)=$C$3,INDEX(J_KRE,I33),INDEX(J_DEB,I33)))</f>
        <v>Pendapatan non Cafe</v>
      </c>
      <c r="F33" s="44" t="n">
        <f aca="false">IF(I33="","",IF(INDEX(J_DEB,I33)=$C$3,INDEX(J_NOM,I33),0))</f>
        <v>420000</v>
      </c>
      <c r="G33" s="44" t="n">
        <f aca="false">IF(I33="","",IF(INDEX(J_KRE,I33)=$C$3,INDEX(J_NOM,I33),0))</f>
        <v>0</v>
      </c>
      <c r="H33" s="44" t="n">
        <f aca="false">IF(I33="","",N(H32)+IF($C$5="Debet",F33-G33,G33-F33))</f>
        <v>69416002</v>
      </c>
      <c r="I33" s="66" t="n">
        <f aca="false">IF(J33&gt;$K$1,"",IFERROR(MATCH(J33,J_BB,0),""))</f>
        <v>47</v>
      </c>
      <c r="J33" s="66" t="n">
        <v>24</v>
      </c>
      <c r="K33" s="5"/>
    </row>
    <row r="34" customFormat="false" ht="15" hidden="false" customHeight="false" outlineLevel="0" collapsed="false">
      <c r="A34" s="5" t="n">
        <f aca="false">IF(I34="","",J34)</f>
        <v>25</v>
      </c>
      <c r="B34" s="83" t="n">
        <f aca="false">IF(I34="","",INDEX(J_TGL,I34))</f>
        <v>46032</v>
      </c>
      <c r="C34" s="5" t="str">
        <f aca="false">IF(I34="","",INDEX(J_NO,I34))</f>
        <v>JU-0048</v>
      </c>
      <c r="D34" s="5" t="str">
        <f aca="false">IF(I34="","",INDEX(J_KET,I34))</f>
        <v>Pemasukan penjualan tiket 10/01 event Maharia tgl 16/01</v>
      </c>
      <c r="E34" s="5" t="str">
        <f aca="false">IF(I34="","",IF(INDEX(J_DEB,I34)=$C$3,INDEX(J_KRE,I34),INDEX(J_DEB,I34)))</f>
        <v>Pendapatan non Cafe</v>
      </c>
      <c r="F34" s="44" t="n">
        <f aca="false">IF(I34="","",IF(INDEX(J_DEB,I34)=$C$3,INDEX(J_NOM,I34),0))</f>
        <v>850000</v>
      </c>
      <c r="G34" s="44" t="n">
        <f aca="false">IF(I34="","",IF(INDEX(J_KRE,I34)=$C$3,INDEX(J_NOM,I34),0))</f>
        <v>0</v>
      </c>
      <c r="H34" s="44" t="n">
        <f aca="false">IF(I34="","",N(H33)+IF($C$5="Debet",F34-G34,G34-F34))</f>
        <v>70266002</v>
      </c>
      <c r="I34" s="66" t="n">
        <f aca="false">IF(J34&gt;$K$1,"",IFERROR(MATCH(J34,J_BB,0),""))</f>
        <v>48</v>
      </c>
      <c r="J34" s="66" t="n">
        <v>25</v>
      </c>
      <c r="K34" s="5"/>
    </row>
    <row r="35" customFormat="false" ht="15" hidden="false" customHeight="false" outlineLevel="0" collapsed="false">
      <c r="A35" s="5" t="n">
        <f aca="false">IF(I35="","",J35)</f>
        <v>26</v>
      </c>
      <c r="B35" s="83" t="n">
        <f aca="false">IF(I35="","",INDEX(J_TGL,I35))</f>
        <v>46033</v>
      </c>
      <c r="C35" s="5" t="str">
        <f aca="false">IF(I35="","",INDEX(J_NO,I35))</f>
        <v>JU-0049</v>
      </c>
      <c r="D35" s="5" t="str">
        <f aca="false">IF(I35="","",INDEX(J_KET,I35))</f>
        <v>Belanja susu freshmilk x2ctn, oatly milk x5pcs</v>
      </c>
      <c r="E35" s="5" t="str">
        <f aca="false">IF(I35="","",IF(INDEX(J_DEB,I35)=$C$3,INDEX(J_KRE,I35),INDEX(J_DEB,I35)))</f>
        <v>Biaya Bahan Baku</v>
      </c>
      <c r="F35" s="44" t="n">
        <f aca="false">IF(I35="","",IF(INDEX(J_DEB,I35)=$C$3,INDEX(J_NOM,I35),0))</f>
        <v>0</v>
      </c>
      <c r="G35" s="44" t="n">
        <f aca="false">IF(I35="","",IF(INDEX(J_KRE,I35)=$C$3,INDEX(J_NOM,I35),0))</f>
        <v>819000</v>
      </c>
      <c r="H35" s="44" t="n">
        <f aca="false">IF(I35="","",N(H34)+IF($C$5="Debet",F35-G35,G35-F35))</f>
        <v>69447002</v>
      </c>
      <c r="I35" s="66" t="n">
        <f aca="false">IF(J35&gt;$K$1,"",IFERROR(MATCH(J35,J_BB,0),""))</f>
        <v>49</v>
      </c>
      <c r="J35" s="66" t="n">
        <v>26</v>
      </c>
      <c r="K35" s="5"/>
    </row>
    <row r="36" customFormat="false" ht="15" hidden="false" customHeight="false" outlineLevel="0" collapsed="false">
      <c r="A36" s="5" t="n">
        <f aca="false">IF(I36="","",J36)</f>
        <v>27</v>
      </c>
      <c r="B36" s="83" t="n">
        <f aca="false">IF(I36="","",INDEX(J_TGL,I36))</f>
        <v>46034</v>
      </c>
      <c r="C36" s="5" t="str">
        <f aca="false">IF(I36="","",INDEX(J_NO,I36))</f>
        <v>JU-0050</v>
      </c>
      <c r="D36" s="5" t="str">
        <f aca="false">IF(I36="","",INDEX(J_KET,I36))</f>
        <v>Pemasukan penjualan tiket 12/01 event Maharia tgl 16/01</v>
      </c>
      <c r="E36" s="5" t="str">
        <f aca="false">IF(I36="","",IF(INDEX(J_DEB,I36)=$C$3,INDEX(J_KRE,I36),INDEX(J_DEB,I36)))</f>
        <v>Pendapatan non Cafe</v>
      </c>
      <c r="F36" s="44" t="n">
        <f aca="false">IF(I36="","",IF(INDEX(J_DEB,I36)=$C$3,INDEX(J_NOM,I36),0))</f>
        <v>320000</v>
      </c>
      <c r="G36" s="44" t="n">
        <f aca="false">IF(I36="","",IF(INDEX(J_KRE,I36)=$C$3,INDEX(J_NOM,I36),0))</f>
        <v>0</v>
      </c>
      <c r="H36" s="44" t="n">
        <f aca="false">IF(I36="","",N(H35)+IF($C$5="Debet",F36-G36,G36-F36))</f>
        <v>69767002</v>
      </c>
      <c r="I36" s="66" t="n">
        <f aca="false">IF(J36&gt;$K$1,"",IFERROR(MATCH(J36,J_BB,0),""))</f>
        <v>50</v>
      </c>
      <c r="J36" s="66" t="n">
        <v>27</v>
      </c>
      <c r="K36" s="5"/>
    </row>
    <row r="37" customFormat="false" ht="15" hidden="false" customHeight="false" outlineLevel="0" collapsed="false">
      <c r="A37" s="5" t="n">
        <f aca="false">IF(I37="","",J37)</f>
        <v>28</v>
      </c>
      <c r="B37" s="83" t="n">
        <f aca="false">IF(I37="","",INDEX(J_TGL,I37))</f>
        <v>46034</v>
      </c>
      <c r="C37" s="5" t="str">
        <f aca="false">IF(I37="","",INDEX(J_NO,I37))</f>
        <v>JU-0051</v>
      </c>
      <c r="D37" s="5" t="str">
        <f aca="false">IF(I37="","",INDEX(J_KET,I37))</f>
        <v>Pembelian spare part selang mesin kopi</v>
      </c>
      <c r="E37" s="5" t="str">
        <f aca="false">IF(I37="","",IF(INDEX(J_DEB,I37)=$C$3,INDEX(J_KRE,I37),INDEX(J_DEB,I37)))</f>
        <v>Biaya Lainnya</v>
      </c>
      <c r="F37" s="44" t="n">
        <f aca="false">IF(I37="","",IF(INDEX(J_DEB,I37)=$C$3,INDEX(J_NOM,I37),0))</f>
        <v>0</v>
      </c>
      <c r="G37" s="44" t="n">
        <f aca="false">IF(I37="","",IF(INDEX(J_KRE,I37)=$C$3,INDEX(J_NOM,I37),0))</f>
        <v>350000</v>
      </c>
      <c r="H37" s="44" t="n">
        <f aca="false">IF(I37="","",N(H36)+IF($C$5="Debet",F37-G37,G37-F37))</f>
        <v>69417002</v>
      </c>
      <c r="I37" s="66" t="n">
        <f aca="false">IF(J37&gt;$K$1,"",IFERROR(MATCH(J37,J_BB,0),""))</f>
        <v>51</v>
      </c>
      <c r="J37" s="66" t="n">
        <v>28</v>
      </c>
      <c r="K37" s="5"/>
    </row>
    <row r="38" customFormat="false" ht="15" hidden="false" customHeight="false" outlineLevel="0" collapsed="false">
      <c r="A38" s="5" t="n">
        <f aca="false">IF(I38="","",J38)</f>
        <v>29</v>
      </c>
      <c r="B38" s="83" t="n">
        <f aca="false">IF(I38="","",INDEX(J_TGL,I38))</f>
        <v>46034</v>
      </c>
      <c r="C38" s="5" t="str">
        <f aca="false">IF(I38="","",INDEX(J_NO,I38))</f>
        <v>JU-0052</v>
      </c>
      <c r="D38" s="5" t="str">
        <f aca="false">IF(I38="","",INDEX(J_KET,I38))</f>
        <v>Pembayaran titip jual event Ragaria gendut berlari Jersey GB Reg x3pcs</v>
      </c>
      <c r="E38" s="5" t="str">
        <f aca="false">IF(I38="","",IF(INDEX(J_DEB,I38)=$C$3,INDEX(J_KRE,I38),INDEX(J_DEB,I38)))</f>
        <v>Biaya Marketing &amp; Promosi</v>
      </c>
      <c r="F38" s="44" t="n">
        <f aca="false">IF(I38="","",IF(INDEX(J_DEB,I38)=$C$3,INDEX(J_NOM,I38),0))</f>
        <v>0</v>
      </c>
      <c r="G38" s="44" t="n">
        <f aca="false">IF(I38="","",IF(INDEX(J_KRE,I38)=$C$3,INDEX(J_NOM,I38),0))</f>
        <v>540000</v>
      </c>
      <c r="H38" s="44" t="n">
        <f aca="false">IF(I38="","",N(H37)+IF($C$5="Debet",F38-G38,G38-F38))</f>
        <v>68877002</v>
      </c>
      <c r="I38" s="66" t="n">
        <f aca="false">IF(J38&gt;$K$1,"",IFERROR(MATCH(J38,J_BB,0),""))</f>
        <v>52</v>
      </c>
      <c r="J38" s="66" t="n">
        <v>29</v>
      </c>
      <c r="K38" s="5"/>
    </row>
    <row r="39" customFormat="false" ht="15" hidden="false" customHeight="false" outlineLevel="0" collapsed="false">
      <c r="A39" s="5" t="n">
        <f aca="false">IF(I39="","",J39)</f>
        <v>30</v>
      </c>
      <c r="B39" s="83" t="n">
        <f aca="false">IF(I39="","",INDEX(J_TGL,I39))</f>
        <v>46034</v>
      </c>
      <c r="C39" s="5" t="str">
        <f aca="false">IF(I39="","",INDEX(J_NO,I39))</f>
        <v>JU-0053</v>
      </c>
      <c r="D39" s="5" t="str">
        <f aca="false">IF(I39="","",INDEX(J_KET,I39))</f>
        <v>Pindah dana BCA ke tunai</v>
      </c>
      <c r="E39" s="5" t="str">
        <f aca="false">IF(I39="","",IF(INDEX(J_DEB,I39)=$C$3,INDEX(J_KRE,I39),INDEX(J_DEB,I39)))</f>
        <v>Kas Tunai</v>
      </c>
      <c r="F39" s="44" t="n">
        <f aca="false">IF(I39="","",IF(INDEX(J_DEB,I39)=$C$3,INDEX(J_NOM,I39),0))</f>
        <v>0</v>
      </c>
      <c r="G39" s="44" t="n">
        <f aca="false">IF(I39="","",IF(INDEX(J_KRE,I39)=$C$3,INDEX(J_NOM,I39),0))</f>
        <v>4800000</v>
      </c>
      <c r="H39" s="44" t="n">
        <f aca="false">IF(I39="","",N(H38)+IF($C$5="Debet",F39-G39,G39-F39))</f>
        <v>64077002</v>
      </c>
      <c r="I39" s="66" t="n">
        <f aca="false">IF(J39&gt;$K$1,"",IFERROR(MATCH(J39,J_BB,0),""))</f>
        <v>53</v>
      </c>
      <c r="J39" s="66" t="n">
        <v>30</v>
      </c>
      <c r="K39" s="5"/>
    </row>
    <row r="40" customFormat="false" ht="15" hidden="false" customHeight="false" outlineLevel="0" collapsed="false">
      <c r="A40" s="5" t="n">
        <f aca="false">IF(I40="","",J40)</f>
        <v>31</v>
      </c>
      <c r="B40" s="83" t="n">
        <f aca="false">IF(I40="","",INDEX(J_TGL,I40))</f>
        <v>46035</v>
      </c>
      <c r="C40" s="5" t="str">
        <f aca="false">IF(I40="","",INDEX(J_NO,I40))</f>
        <v>JU-0055</v>
      </c>
      <c r="D40" s="5" t="str">
        <f aca="false">IF(I40="","",INDEX(J_KET,I40))</f>
        <v>Belanja Hario paper filter V60 100pcs x1</v>
      </c>
      <c r="E40" s="5" t="str">
        <f aca="false">IF(I40="","",IF(INDEX(J_DEB,I40)=$C$3,INDEX(J_KRE,I40),INDEX(J_DEB,I40)))</f>
        <v>Biaya Penyajian</v>
      </c>
      <c r="F40" s="44" t="n">
        <f aca="false">IF(I40="","",IF(INDEX(J_DEB,I40)=$C$3,INDEX(J_NOM,I40),0))</f>
        <v>0</v>
      </c>
      <c r="G40" s="44" t="n">
        <f aca="false">IF(I40="","",IF(INDEX(J_KRE,I40)=$C$3,INDEX(J_NOM,I40),0))</f>
        <v>90000</v>
      </c>
      <c r="H40" s="44" t="n">
        <f aca="false">IF(I40="","",N(H39)+IF($C$5="Debet",F40-G40,G40-F40))</f>
        <v>63987002</v>
      </c>
      <c r="I40" s="66" t="n">
        <f aca="false">IF(J40&gt;$K$1,"",IFERROR(MATCH(J40,J_BB,0),""))</f>
        <v>55</v>
      </c>
      <c r="J40" s="66" t="n">
        <v>31</v>
      </c>
      <c r="K40" s="5"/>
    </row>
    <row r="41" customFormat="false" ht="15" hidden="false" customHeight="false" outlineLevel="0" collapsed="false">
      <c r="A41" s="5" t="n">
        <f aca="false">IF(I41="","",J41)</f>
        <v>32</v>
      </c>
      <c r="B41" s="83" t="n">
        <f aca="false">IF(I41="","",INDEX(J_TGL,I41))</f>
        <v>46035</v>
      </c>
      <c r="C41" s="5" t="str">
        <f aca="false">IF(I41="","",INDEX(J_NO,I41))</f>
        <v>JU-0063</v>
      </c>
      <c r="D41" s="5" t="str">
        <f aca="false">IF(I41="","",INDEX(J_KET,I41))</f>
        <v>Pemasukan penjualan tiket 13/01 event Maharia tgl 16/01</v>
      </c>
      <c r="E41" s="5" t="str">
        <f aca="false">IF(I41="","",IF(INDEX(J_DEB,I41)=$C$3,INDEX(J_KRE,I41),INDEX(J_DEB,I41)))</f>
        <v>Pendapatan non Cafe</v>
      </c>
      <c r="F41" s="44" t="n">
        <f aca="false">IF(I41="","",IF(INDEX(J_DEB,I41)=$C$3,INDEX(J_NOM,I41),0))</f>
        <v>120000</v>
      </c>
      <c r="G41" s="44" t="n">
        <f aca="false">IF(I41="","",IF(INDEX(J_KRE,I41)=$C$3,INDEX(J_NOM,I41),0))</f>
        <v>0</v>
      </c>
      <c r="H41" s="44" t="n">
        <f aca="false">IF(I41="","",N(H40)+IF($C$5="Debet",F41-G41,G41-F41))</f>
        <v>64107002</v>
      </c>
      <c r="I41" s="66" t="n">
        <f aca="false">IF(J41&gt;$K$1,"",IFERROR(MATCH(J41,J_BB,0),""))</f>
        <v>63</v>
      </c>
      <c r="J41" s="66" t="n">
        <v>32</v>
      </c>
      <c r="K41" s="5"/>
    </row>
    <row r="42" customFormat="false" ht="15" hidden="false" customHeight="false" outlineLevel="0" collapsed="false">
      <c r="A42" s="5" t="n">
        <f aca="false">IF(I42="","",J42)</f>
        <v>33</v>
      </c>
      <c r="B42" s="83" t="n">
        <f aca="false">IF(I42="","",INDEX(J_TGL,I42))</f>
        <v>46035</v>
      </c>
      <c r="C42" s="5" t="str">
        <f aca="false">IF(I42="","",INDEX(J_NO,I42))</f>
        <v>JU-0064</v>
      </c>
      <c r="D42" s="5" t="str">
        <f aca="false">IF(I42="","",INDEX(J_KET,I42))</f>
        <v>Belanja power supply reparasi alat mesin kopi</v>
      </c>
      <c r="E42" s="5" t="str">
        <f aca="false">IF(I42="","",IF(INDEX(J_DEB,I42)=$C$3,INDEX(J_KRE,I42),INDEX(J_DEB,I42)))</f>
        <v>Biaya Pemeliharaan</v>
      </c>
      <c r="F42" s="44" t="n">
        <f aca="false">IF(I42="","",IF(INDEX(J_DEB,I42)=$C$3,INDEX(J_NOM,I42),0))</f>
        <v>0</v>
      </c>
      <c r="G42" s="44" t="n">
        <f aca="false">IF(I42="","",IF(INDEX(J_KRE,I42)=$C$3,INDEX(J_NOM,I42),0))</f>
        <v>238500</v>
      </c>
      <c r="H42" s="44" t="n">
        <f aca="false">IF(I42="","",N(H41)+IF($C$5="Debet",F42-G42,G42-F42))</f>
        <v>63868502</v>
      </c>
      <c r="I42" s="66" t="n">
        <f aca="false">IF(J42&gt;$K$1,"",IFERROR(MATCH(J42,J_BB,0),""))</f>
        <v>64</v>
      </c>
      <c r="J42" s="66" t="n">
        <v>33</v>
      </c>
      <c r="K42" s="5"/>
    </row>
    <row r="43" customFormat="false" ht="15" hidden="false" customHeight="false" outlineLevel="0" collapsed="false">
      <c r="A43" s="5" t="n">
        <f aca="false">IF(I43="","",J43)</f>
        <v>34</v>
      </c>
      <c r="B43" s="83" t="n">
        <f aca="false">IF(I43="","",INDEX(J_TGL,I43))</f>
        <v>46036</v>
      </c>
      <c r="C43" s="5" t="str">
        <f aca="false">IF(I43="","",INDEX(J_NO,I43))</f>
        <v>JU-0066</v>
      </c>
      <c r="D43" s="5" t="str">
        <f aca="false">IF(I43="","",INDEX(J_KET,I43))</f>
        <v>Pemasukan penjualan tiket 14/01 event Maharia tgl 16/01</v>
      </c>
      <c r="E43" s="5" t="str">
        <f aca="false">IF(I43="","",IF(INDEX(J_DEB,I43)=$C$3,INDEX(J_KRE,I43),INDEX(J_DEB,I43)))</f>
        <v>Pendapatan non Cafe</v>
      </c>
      <c r="F43" s="44" t="n">
        <f aca="false">IF(I43="","",IF(INDEX(J_DEB,I43)=$C$3,INDEX(J_NOM,I43),0))</f>
        <v>1770000</v>
      </c>
      <c r="G43" s="44" t="n">
        <f aca="false">IF(I43="","",IF(INDEX(J_KRE,I43)=$C$3,INDEX(J_NOM,I43),0))</f>
        <v>0</v>
      </c>
      <c r="H43" s="44" t="n">
        <f aca="false">IF(I43="","",N(H42)+IF($C$5="Debet",F43-G43,G43-F43))</f>
        <v>65638502</v>
      </c>
      <c r="I43" s="66" t="n">
        <f aca="false">IF(J43&gt;$K$1,"",IFERROR(MATCH(J43,J_BB,0),""))</f>
        <v>66</v>
      </c>
      <c r="J43" s="66" t="n">
        <v>34</v>
      </c>
      <c r="K43" s="5"/>
    </row>
    <row r="44" customFormat="false" ht="15" hidden="false" customHeight="false" outlineLevel="0" collapsed="false">
      <c r="A44" s="5" t="n">
        <f aca="false">IF(I44="","",J44)</f>
        <v>35</v>
      </c>
      <c r="B44" s="83" t="n">
        <f aca="false">IF(I44="","",INDEX(J_TGL,I44))</f>
        <v>46036</v>
      </c>
      <c r="C44" s="5" t="str">
        <f aca="false">IF(I44="","",INDEX(J_NO,I44))</f>
        <v>JU-0067</v>
      </c>
      <c r="D44" s="5" t="str">
        <f aca="false">IF(I44="","",INDEX(J_KET,I44))</f>
        <v>Pindah dana BCA ke tunai</v>
      </c>
      <c r="E44" s="5" t="str">
        <f aca="false">IF(I44="","",IF(INDEX(J_DEB,I44)=$C$3,INDEX(J_KRE,I44),INDEX(J_DEB,I44)))</f>
        <v>Kas Tunai</v>
      </c>
      <c r="F44" s="44" t="n">
        <f aca="false">IF(I44="","",IF(INDEX(J_DEB,I44)=$C$3,INDEX(J_NOM,I44),0))</f>
        <v>0</v>
      </c>
      <c r="G44" s="44" t="n">
        <f aca="false">IF(I44="","",IF(INDEX(J_KRE,I44)=$C$3,INDEX(J_NOM,I44),0))</f>
        <v>1100000</v>
      </c>
      <c r="H44" s="44" t="n">
        <f aca="false">IF(I44="","",N(H43)+IF($C$5="Debet",F44-G44,G44-F44))</f>
        <v>64538502</v>
      </c>
      <c r="I44" s="66" t="n">
        <f aca="false">IF(J44&gt;$K$1,"",IFERROR(MATCH(J44,J_BB,0),""))</f>
        <v>67</v>
      </c>
      <c r="J44" s="66" t="n">
        <v>35</v>
      </c>
      <c r="K44" s="5"/>
    </row>
    <row r="45" customFormat="false" ht="15" hidden="false" customHeight="false" outlineLevel="0" collapsed="false">
      <c r="A45" s="5" t="n">
        <f aca="false">IF(I45="","",J45)</f>
        <v>36</v>
      </c>
      <c r="B45" s="83" t="n">
        <f aca="false">IF(I45="","",INDEX(J_TGL,I45))</f>
        <v>46036</v>
      </c>
      <c r="C45" s="5" t="str">
        <f aca="false">IF(I45="","",INDEX(J_NO,I45))</f>
        <v>JU-0068</v>
      </c>
      <c r="D45" s="5" t="str">
        <f aca="false">IF(I45="","",INDEX(J_KET,I45))</f>
        <v>Biaya transfer flip</v>
      </c>
      <c r="E45" s="5" t="str">
        <f aca="false">IF(I45="","",IF(INDEX(J_DEB,I45)=$C$3,INDEX(J_KRE,I45),INDEX(J_DEB,I45)))</f>
        <v>Biaya Lainnya</v>
      </c>
      <c r="F45" s="44" t="n">
        <f aca="false">IF(I45="","",IF(INDEX(J_DEB,I45)=$C$3,INDEX(J_NOM,I45),0))</f>
        <v>0</v>
      </c>
      <c r="G45" s="44" t="n">
        <f aca="false">IF(I45="","",IF(INDEX(J_KRE,I45)=$C$3,INDEX(J_NOM,I45),0))</f>
        <v>332</v>
      </c>
      <c r="H45" s="44" t="n">
        <f aca="false">IF(I45="","",N(H44)+IF($C$5="Debet",F45-G45,G45-F45))</f>
        <v>64538170</v>
      </c>
      <c r="I45" s="66" t="n">
        <f aca="false">IF(J45&gt;$K$1,"",IFERROR(MATCH(J45,J_BB,0),""))</f>
        <v>68</v>
      </c>
      <c r="J45" s="66" t="n">
        <v>36</v>
      </c>
      <c r="K45" s="5"/>
    </row>
    <row r="46" customFormat="false" ht="15" hidden="false" customHeight="false" outlineLevel="0" collapsed="false">
      <c r="A46" s="5" t="n">
        <f aca="false">IF(I46="","",J46)</f>
        <v>37</v>
      </c>
      <c r="B46" s="83" t="n">
        <f aca="false">IF(I46="","",INDEX(J_TGL,I46))</f>
        <v>46036</v>
      </c>
      <c r="C46" s="5" t="str">
        <f aca="false">IF(I46="","",INDEX(J_NO,I46))</f>
        <v>JU-0069</v>
      </c>
      <c r="D46" s="5" t="str">
        <f aca="false">IF(I46="","",INDEX(J_KET,I46))</f>
        <v>Pembayaran transportasi tiket travel bus kru Iksan Skuter acara Maharia</v>
      </c>
      <c r="E46" s="5" t="str">
        <f aca="false">IF(I46="","",IF(INDEX(J_DEB,I46)=$C$3,INDEX(J_KRE,I46),INDEX(J_DEB,I46)))</f>
        <v>Biaya Marketing &amp; Promosi</v>
      </c>
      <c r="F46" s="44" t="n">
        <f aca="false">IF(I46="","",IF(INDEX(J_DEB,I46)=$C$3,INDEX(J_NOM,I46),0))</f>
        <v>0</v>
      </c>
      <c r="G46" s="44" t="n">
        <f aca="false">IF(I46="","",IF(INDEX(J_KRE,I46)=$C$3,INDEX(J_NOM,I46),0))</f>
        <v>436000</v>
      </c>
      <c r="H46" s="44" t="n">
        <f aca="false">IF(I46="","",N(H45)+IF($C$5="Debet",F46-G46,G46-F46))</f>
        <v>64102170</v>
      </c>
      <c r="I46" s="66" t="n">
        <f aca="false">IF(J46&gt;$K$1,"",IFERROR(MATCH(J46,J_BB,0),""))</f>
        <v>69</v>
      </c>
      <c r="J46" s="66" t="n">
        <v>37</v>
      </c>
      <c r="K46" s="5"/>
    </row>
    <row r="47" customFormat="false" ht="15" hidden="false" customHeight="false" outlineLevel="0" collapsed="false">
      <c r="A47" s="5" t="n">
        <f aca="false">IF(I47="","",J47)</f>
        <v>38</v>
      </c>
      <c r="B47" s="83" t="n">
        <f aca="false">IF(I47="","",INDEX(J_TGL,I47))</f>
        <v>46036</v>
      </c>
      <c r="C47" s="5" t="str">
        <f aca="false">IF(I47="","",INDEX(J_NO,I47))</f>
        <v>JU-0070</v>
      </c>
      <c r="D47" s="5" t="str">
        <f aca="false">IF(I47="","",INDEX(J_KET,I47))</f>
        <v>Belanja tahu walik isi 10 x100pack stok sebulan</v>
      </c>
      <c r="E47" s="5" t="str">
        <f aca="false">IF(I47="","",IF(INDEX(J_DEB,I47)=$C$3,INDEX(J_KRE,I47),INDEX(J_DEB,I47)))</f>
        <v>Biaya Bahan Baku</v>
      </c>
      <c r="F47" s="44" t="n">
        <f aca="false">IF(I47="","",IF(INDEX(J_DEB,I47)=$C$3,INDEX(J_NOM,I47),0))</f>
        <v>0</v>
      </c>
      <c r="G47" s="44" t="n">
        <f aca="false">IF(I47="","",IF(INDEX(J_KRE,I47)=$C$3,INDEX(J_NOM,I47),0))</f>
        <v>930000</v>
      </c>
      <c r="H47" s="44" t="n">
        <f aca="false">IF(I47="","",N(H46)+IF($C$5="Debet",F47-G47,G47-F47))</f>
        <v>63172170</v>
      </c>
      <c r="I47" s="66" t="n">
        <f aca="false">IF(J47&gt;$K$1,"",IFERROR(MATCH(J47,J_BB,0),""))</f>
        <v>70</v>
      </c>
      <c r="J47" s="66" t="n">
        <v>38</v>
      </c>
      <c r="K47" s="5"/>
    </row>
    <row r="48" customFormat="false" ht="15" hidden="false" customHeight="false" outlineLevel="0" collapsed="false">
      <c r="A48" s="5" t="n">
        <f aca="false">IF(I48="","",J48)</f>
        <v>39</v>
      </c>
      <c r="B48" s="83" t="n">
        <f aca="false">IF(I48="","",INDEX(J_TGL,I48))</f>
        <v>46036</v>
      </c>
      <c r="C48" s="5" t="str">
        <f aca="false">IF(I48="","",INDEX(J_NO,I48))</f>
        <v>JU-0071</v>
      </c>
      <c r="D48" s="5" t="str">
        <f aca="false">IF(I48="","",INDEX(J_KET,I48))</f>
        <v>Frozen food : (1zak : 2kg) straight 8zak, crinkle 4zak, champ 5kg, beef 6kg</v>
      </c>
      <c r="E48" s="5" t="str">
        <f aca="false">IF(I48="","",IF(INDEX(J_DEB,I48)=$C$3,INDEX(J_KRE,I48),INDEX(J_DEB,I48)))</f>
        <v>Biaya Bahan Baku</v>
      </c>
      <c r="F48" s="44" t="n">
        <f aca="false">IF(I48="","",IF(INDEX(J_DEB,I48)=$C$3,INDEX(J_NOM,I48),0))</f>
        <v>0</v>
      </c>
      <c r="G48" s="44" t="n">
        <f aca="false">IF(I48="","",IF(INDEX(J_KRE,I48)=$C$3,INDEX(J_NOM,I48),0))</f>
        <v>1395000</v>
      </c>
      <c r="H48" s="44" t="n">
        <f aca="false">IF(I48="","",N(H47)+IF($C$5="Debet",F48-G48,G48-F48))</f>
        <v>61777170</v>
      </c>
      <c r="I48" s="66" t="n">
        <f aca="false">IF(J48&gt;$K$1,"",IFERROR(MATCH(J48,J_BB,0),""))</f>
        <v>71</v>
      </c>
      <c r="J48" s="66" t="n">
        <v>39</v>
      </c>
      <c r="K48" s="5"/>
    </row>
    <row r="49" customFormat="false" ht="15" hidden="false" customHeight="false" outlineLevel="0" collapsed="false">
      <c r="A49" s="5" t="n">
        <f aca="false">IF(I49="","",J49)</f>
        <v>40</v>
      </c>
      <c r="B49" s="83" t="n">
        <f aca="false">IF(I49="","",INDEX(J_TGL,I49))</f>
        <v>46037</v>
      </c>
      <c r="C49" s="5" t="str">
        <f aca="false">IF(I49="","",INDEX(J_NO,I49))</f>
        <v>JU-0072</v>
      </c>
      <c r="D49" s="5" t="str">
        <f aca="false">IF(I49="","",INDEX(J_KET,I49))</f>
        <v>Pemasukan penjualan tiket 15/01 event Maharia tgl 16/01</v>
      </c>
      <c r="E49" s="5" t="str">
        <f aca="false">IF(I49="","",IF(INDEX(J_DEB,I49)=$C$3,INDEX(J_KRE,I49),INDEX(J_DEB,I49)))</f>
        <v>Pendapatan non Cafe</v>
      </c>
      <c r="F49" s="44" t="n">
        <f aca="false">IF(I49="","",IF(INDEX(J_DEB,I49)=$C$3,INDEX(J_NOM,I49),0))</f>
        <v>550000</v>
      </c>
      <c r="G49" s="44" t="n">
        <f aca="false">IF(I49="","",IF(INDEX(J_KRE,I49)=$C$3,INDEX(J_NOM,I49),0))</f>
        <v>0</v>
      </c>
      <c r="H49" s="44" t="n">
        <f aca="false">IF(I49="","",N(H48)+IF($C$5="Debet",F49-G49,G49-F49))</f>
        <v>62327170</v>
      </c>
      <c r="I49" s="66" t="n">
        <f aca="false">IF(J49&gt;$K$1,"",IFERROR(MATCH(J49,J_BB,0),""))</f>
        <v>72</v>
      </c>
      <c r="J49" s="66" t="n">
        <v>40</v>
      </c>
      <c r="K49" s="5"/>
    </row>
    <row r="50" customFormat="false" ht="15" hidden="false" customHeight="false" outlineLevel="0" collapsed="false">
      <c r="A50" s="5" t="n">
        <f aca="false">IF(I50="","",J50)</f>
        <v>41</v>
      </c>
      <c r="B50" s="83" t="n">
        <f aca="false">IF(I50="","",INDEX(J_TGL,I50))</f>
        <v>46037</v>
      </c>
      <c r="C50" s="5" t="str">
        <f aca="false">IF(I50="","",INDEX(J_NO,I50))</f>
        <v>JU-0073</v>
      </c>
      <c r="D50" s="5" t="str">
        <f aca="false">IF(I50="","",INDEX(J_KET,I50))</f>
        <v>Reimbursment keperluan event (Alif)</v>
      </c>
      <c r="E50" s="5" t="str">
        <f aca="false">IF(I50="","",IF(INDEX(J_DEB,I50)=$C$3,INDEX(J_KRE,I50),INDEX(J_DEB,I50)))</f>
        <v>Biaya Marketing &amp; Promosi</v>
      </c>
      <c r="F50" s="44" t="n">
        <f aca="false">IF(I50="","",IF(INDEX(J_DEB,I50)=$C$3,INDEX(J_NOM,I50),0))</f>
        <v>0</v>
      </c>
      <c r="G50" s="44" t="n">
        <f aca="false">IF(I50="","",IF(INDEX(J_KRE,I50)=$C$3,INDEX(J_NOM,I50),0))</f>
        <v>2055760</v>
      </c>
      <c r="H50" s="44" t="n">
        <f aca="false">IF(I50="","",N(H49)+IF($C$5="Debet",F50-G50,G50-F50))</f>
        <v>60271410</v>
      </c>
      <c r="I50" s="66" t="n">
        <f aca="false">IF(J50&gt;$K$1,"",IFERROR(MATCH(J50,J_BB,0),""))</f>
        <v>73</v>
      </c>
      <c r="J50" s="66" t="n">
        <v>41</v>
      </c>
      <c r="K50" s="5"/>
    </row>
    <row r="51" customFormat="false" ht="15" hidden="false" customHeight="false" outlineLevel="0" collapsed="false">
      <c r="A51" s="5" t="n">
        <f aca="false">IF(I51="","",J51)</f>
        <v>42</v>
      </c>
      <c r="B51" s="83" t="n">
        <f aca="false">IF(I51="","",INDEX(J_TGL,I51))</f>
        <v>46037</v>
      </c>
      <c r="C51" s="5" t="str">
        <f aca="false">IF(I51="","",INDEX(J_NO,I51))</f>
        <v>JU-0074</v>
      </c>
      <c r="D51" s="5" t="str">
        <f aca="false">IF(I51="","",INDEX(J_KET,I51))</f>
        <v>Biaya transfer flip</v>
      </c>
      <c r="E51" s="5" t="str">
        <f aca="false">IF(I51="","",IF(INDEX(J_DEB,I51)=$C$3,INDEX(J_KRE,I51),INDEX(J_DEB,I51)))</f>
        <v>Biaya Lainnya</v>
      </c>
      <c r="F51" s="44" t="n">
        <f aca="false">IF(I51="","",IF(INDEX(J_DEB,I51)=$C$3,INDEX(J_NOM,I51),0))</f>
        <v>0</v>
      </c>
      <c r="G51" s="44" t="n">
        <f aca="false">IF(I51="","",IF(INDEX(J_KRE,I51)=$C$3,INDEX(J_NOM,I51),0))</f>
        <v>325</v>
      </c>
      <c r="H51" s="44" t="n">
        <f aca="false">IF(I51="","",N(H50)+IF($C$5="Debet",F51-G51,G51-F51))</f>
        <v>60271085</v>
      </c>
      <c r="I51" s="66" t="n">
        <f aca="false">IF(J51&gt;$K$1,"",IFERROR(MATCH(J51,J_BB,0),""))</f>
        <v>74</v>
      </c>
      <c r="J51" s="66" t="n">
        <v>42</v>
      </c>
      <c r="K51" s="5"/>
    </row>
    <row r="52" customFormat="false" ht="15" hidden="false" customHeight="false" outlineLevel="0" collapsed="false">
      <c r="A52" s="5" t="n">
        <f aca="false">IF(I52="","",J52)</f>
        <v>43</v>
      </c>
      <c r="B52" s="83" t="n">
        <f aca="false">IF(I52="","",INDEX(J_TGL,I52))</f>
        <v>46037</v>
      </c>
      <c r="C52" s="5" t="str">
        <f aca="false">IF(I52="","",INDEX(J_NO,I52))</f>
        <v>JU-0075</v>
      </c>
      <c r="D52" s="5" t="str">
        <f aca="false">IF(I52="","",INDEX(J_KET,I52))</f>
        <v>Belanja tutup cup strawless x2 box</v>
      </c>
      <c r="E52" s="5" t="str">
        <f aca="false">IF(I52="","",IF(INDEX(J_DEB,I52)=$C$3,INDEX(J_KRE,I52),INDEX(J_DEB,I52)))</f>
        <v>Biaya Penyajian</v>
      </c>
      <c r="F52" s="44" t="n">
        <f aca="false">IF(I52="","",IF(INDEX(J_DEB,I52)=$C$3,INDEX(J_NOM,I52),0))</f>
        <v>0</v>
      </c>
      <c r="G52" s="44" t="n">
        <f aca="false">IF(I52="","",IF(INDEX(J_KRE,I52)=$C$3,INDEX(J_NOM,I52),0))</f>
        <v>380000</v>
      </c>
      <c r="H52" s="44" t="n">
        <f aca="false">IF(I52="","",N(H51)+IF($C$5="Debet",F52-G52,G52-F52))</f>
        <v>59891085</v>
      </c>
      <c r="I52" s="66" t="n">
        <f aca="false">IF(J52&gt;$K$1,"",IFERROR(MATCH(J52,J_BB,0),""))</f>
        <v>75</v>
      </c>
      <c r="J52" s="66" t="n">
        <v>43</v>
      </c>
      <c r="K52" s="5"/>
    </row>
    <row r="53" customFormat="false" ht="15" hidden="false" customHeight="false" outlineLevel="0" collapsed="false">
      <c r="A53" s="5" t="n">
        <f aca="false">IF(I53="","",J53)</f>
        <v>44</v>
      </c>
      <c r="B53" s="83" t="n">
        <f aca="false">IF(I53="","",INDEX(J_TGL,I53))</f>
        <v>46038</v>
      </c>
      <c r="C53" s="5" t="str">
        <f aca="false">IF(I53="","",INDEX(J_NO,I53))</f>
        <v>JU-0076</v>
      </c>
      <c r="D53" s="5" t="str">
        <f aca="false">IF(I53="","",INDEX(J_KET,I53))</f>
        <v>Reimbursment keperluan event, perpanjang hotel artist (Alif)</v>
      </c>
      <c r="E53" s="5" t="str">
        <f aca="false">IF(I53="","",IF(INDEX(J_DEB,I53)=$C$3,INDEX(J_KRE,I53),INDEX(J_DEB,I53)))</f>
        <v>Biaya Marketing &amp; Promosi</v>
      </c>
      <c r="F53" s="44" t="n">
        <f aca="false">IF(I53="","",IF(INDEX(J_DEB,I53)=$C$3,INDEX(J_NOM,I53),0))</f>
        <v>0</v>
      </c>
      <c r="G53" s="44" t="n">
        <f aca="false">IF(I53="","",IF(INDEX(J_KRE,I53)=$C$3,INDEX(J_NOM,I53),0))</f>
        <v>1208058</v>
      </c>
      <c r="H53" s="44" t="n">
        <f aca="false">IF(I53="","",N(H52)+IF($C$5="Debet",F53-G53,G53-F53))</f>
        <v>58683027</v>
      </c>
      <c r="I53" s="66" t="n">
        <f aca="false">IF(J53&gt;$K$1,"",IFERROR(MATCH(J53,J_BB,0),""))</f>
        <v>76</v>
      </c>
      <c r="J53" s="66" t="n">
        <v>44</v>
      </c>
      <c r="K53" s="5"/>
    </row>
    <row r="54" customFormat="false" ht="15" hidden="false" customHeight="false" outlineLevel="0" collapsed="false">
      <c r="A54" s="5" t="n">
        <f aca="false">IF(I54="","",J54)</f>
        <v>45</v>
      </c>
      <c r="B54" s="83" t="n">
        <f aca="false">IF(I54="","",INDEX(J_TGL,I54))</f>
        <v>46038</v>
      </c>
      <c r="C54" s="5" t="str">
        <f aca="false">IF(I54="","",INDEX(J_NO,I54))</f>
        <v>JU-0077</v>
      </c>
      <c r="D54" s="5" t="str">
        <f aca="false">IF(I54="","",INDEX(J_KET,I54))</f>
        <v>Biaya transfer flip</v>
      </c>
      <c r="E54" s="5" t="str">
        <f aca="false">IF(I54="","",IF(INDEX(J_DEB,I54)=$C$3,INDEX(J_KRE,I54),INDEX(J_DEB,I54)))</f>
        <v>Biaya Lainnya</v>
      </c>
      <c r="F54" s="44" t="n">
        <f aca="false">IF(I54="","",IF(INDEX(J_DEB,I54)=$C$3,INDEX(J_NOM,I54),0))</f>
        <v>0</v>
      </c>
      <c r="G54" s="44" t="n">
        <f aca="false">IF(I54="","",IF(INDEX(J_KRE,I54)=$C$3,INDEX(J_NOM,I54),0))</f>
        <v>325</v>
      </c>
      <c r="H54" s="44" t="n">
        <f aca="false">IF(I54="","",N(H53)+IF($C$5="Debet",F54-G54,G54-F54))</f>
        <v>58682702</v>
      </c>
      <c r="I54" s="66" t="n">
        <f aca="false">IF(J54&gt;$K$1,"",IFERROR(MATCH(J54,J_BB,0),""))</f>
        <v>77</v>
      </c>
      <c r="J54" s="66" t="n">
        <v>45</v>
      </c>
      <c r="K54" s="5"/>
    </row>
    <row r="55" customFormat="false" ht="15" hidden="false" customHeight="false" outlineLevel="0" collapsed="false">
      <c r="A55" s="5" t="n">
        <f aca="false">IF(I55="","",J55)</f>
        <v>46</v>
      </c>
      <c r="B55" s="83" t="n">
        <f aca="false">IF(I55="","",INDEX(J_TGL,I55))</f>
        <v>46038</v>
      </c>
      <c r="C55" s="5" t="str">
        <f aca="false">IF(I55="","",INDEX(J_NO,I55))</f>
        <v>JU-0078</v>
      </c>
      <c r="D55" s="5" t="str">
        <f aca="false">IF(I55="","",INDEX(J_KET,I55))</f>
        <v>Pemasukan penjualan tiket 16/01 event Maharia tgl 16/01</v>
      </c>
      <c r="E55" s="5" t="str">
        <f aca="false">IF(I55="","",IF(INDEX(J_DEB,I55)=$C$3,INDEX(J_KRE,I55),INDEX(J_DEB,I55)))</f>
        <v>Pendapatan non Cafe</v>
      </c>
      <c r="F55" s="44" t="n">
        <f aca="false">IF(I55="","",IF(INDEX(J_DEB,I55)=$C$3,INDEX(J_NOM,I55),0))</f>
        <v>1840000</v>
      </c>
      <c r="G55" s="44" t="n">
        <f aca="false">IF(I55="","",IF(INDEX(J_KRE,I55)=$C$3,INDEX(J_NOM,I55),0))</f>
        <v>0</v>
      </c>
      <c r="H55" s="44" t="n">
        <f aca="false">IF(I55="","",N(H54)+IF($C$5="Debet",F55-G55,G55-F55))</f>
        <v>60522702</v>
      </c>
      <c r="I55" s="66" t="n">
        <f aca="false">IF(J55&gt;$K$1,"",IFERROR(MATCH(J55,J_BB,0),""))</f>
        <v>78</v>
      </c>
      <c r="J55" s="66" t="n">
        <v>46</v>
      </c>
      <c r="K55" s="5"/>
    </row>
    <row r="56" customFormat="false" ht="15" hidden="false" customHeight="false" outlineLevel="0" collapsed="false">
      <c r="A56" s="5" t="n">
        <f aca="false">IF(I56="","",J56)</f>
        <v>47</v>
      </c>
      <c r="B56" s="83" t="n">
        <f aca="false">IF(I56="","",INDEX(J_TGL,I56))</f>
        <v>46038</v>
      </c>
      <c r="C56" s="5" t="str">
        <f aca="false">IF(I56="","",INDEX(J_NO,I56))</f>
        <v>JU-0079</v>
      </c>
      <c r="D56" s="5" t="str">
        <f aca="false">IF(I56="","",INDEX(J_KET,I56))</f>
        <v>Biaya admin bank BCA</v>
      </c>
      <c r="E56" s="5" t="str">
        <f aca="false">IF(I56="","",IF(INDEX(J_DEB,I56)=$C$3,INDEX(J_KRE,I56),INDEX(J_DEB,I56)))</f>
        <v>Biaya Lainnya</v>
      </c>
      <c r="F56" s="44" t="n">
        <f aca="false">IF(I56="","",IF(INDEX(J_DEB,I56)=$C$3,INDEX(J_NOM,I56),0))</f>
        <v>0</v>
      </c>
      <c r="G56" s="44" t="n">
        <f aca="false">IF(I56="","",IF(INDEX(J_KRE,I56)=$C$3,INDEX(J_NOM,I56),0))</f>
        <v>10000</v>
      </c>
      <c r="H56" s="44" t="n">
        <f aca="false">IF(I56="","",N(H55)+IF($C$5="Debet",F56-G56,G56-F56))</f>
        <v>60512702</v>
      </c>
      <c r="I56" s="66" t="n">
        <f aca="false">IF(J56&gt;$K$1,"",IFERROR(MATCH(J56,J_BB,0),""))</f>
        <v>79</v>
      </c>
      <c r="J56" s="66" t="n">
        <v>47</v>
      </c>
      <c r="K56" s="5"/>
    </row>
    <row r="57" customFormat="false" ht="15" hidden="false" customHeight="false" outlineLevel="0" collapsed="false">
      <c r="A57" s="5" t="n">
        <f aca="false">IF(I57="","",J57)</f>
        <v>48</v>
      </c>
      <c r="B57" s="83" t="n">
        <f aca="false">IF(I57="","",INDEX(J_TGL,I57))</f>
        <v>46039</v>
      </c>
      <c r="C57" s="5" t="str">
        <f aca="false">IF(I57="","",INDEX(J_NO,I57))</f>
        <v>JU-0083</v>
      </c>
      <c r="D57" s="5" t="str">
        <f aca="false">IF(I57="","",INDEX(J_KET,I57))</f>
        <v>Pindah dana tunai ke BCA</v>
      </c>
      <c r="E57" s="5" t="str">
        <f aca="false">IF(I57="","",IF(INDEX(J_DEB,I57)=$C$3,INDEX(J_KRE,I57),INDEX(J_DEB,I57)))</f>
        <v>Kas Tunai</v>
      </c>
      <c r="F57" s="44" t="n">
        <f aca="false">IF(I57="","",IF(INDEX(J_DEB,I57)=$C$3,INDEX(J_NOM,I57),0))</f>
        <v>14000000</v>
      </c>
      <c r="G57" s="44" t="n">
        <f aca="false">IF(I57="","",IF(INDEX(J_KRE,I57)=$C$3,INDEX(J_NOM,I57),0))</f>
        <v>0</v>
      </c>
      <c r="H57" s="44" t="n">
        <f aca="false">IF(I57="","",N(H56)+IF($C$5="Debet",F57-G57,G57-F57))</f>
        <v>74512702</v>
      </c>
      <c r="I57" s="66" t="n">
        <f aca="false">IF(J57&gt;$K$1,"",IFERROR(MATCH(J57,J_BB,0),""))</f>
        <v>83</v>
      </c>
      <c r="J57" s="66" t="n">
        <v>48</v>
      </c>
      <c r="K57" s="5"/>
    </row>
    <row r="58" customFormat="false" ht="15" hidden="false" customHeight="false" outlineLevel="0" collapsed="false">
      <c r="A58" s="5" t="n">
        <f aca="false">IF(I58="","",J58)</f>
        <v>49</v>
      </c>
      <c r="B58" s="83" t="n">
        <f aca="false">IF(I58="","",INDEX(J_TGL,I58))</f>
        <v>46039</v>
      </c>
      <c r="C58" s="5" t="str">
        <f aca="false">IF(I58="","",INDEX(J_NO,I58))</f>
        <v>JU-0085</v>
      </c>
      <c r="D58" s="5" t="str">
        <f aca="false">IF(I58="","",INDEX(J_KET,I58))</f>
        <v>Belanja simple syrup x1</v>
      </c>
      <c r="E58" s="5" t="str">
        <f aca="false">IF(I58="","",IF(INDEX(J_DEB,I58)=$C$3,INDEX(J_KRE,I58),INDEX(J_DEB,I58)))</f>
        <v>Biaya Bahan Baku</v>
      </c>
      <c r="F58" s="44" t="n">
        <f aca="false">IF(I58="","",IF(INDEX(J_DEB,I58)=$C$3,INDEX(J_NOM,I58),0))</f>
        <v>0</v>
      </c>
      <c r="G58" s="44" t="n">
        <f aca="false">IF(I58="","",IF(INDEX(J_KRE,I58)=$C$3,INDEX(J_NOM,I58),0))</f>
        <v>100000</v>
      </c>
      <c r="H58" s="44" t="n">
        <f aca="false">IF(I58="","",N(H57)+IF($C$5="Debet",F58-G58,G58-F58))</f>
        <v>74412702</v>
      </c>
      <c r="I58" s="66" t="n">
        <f aca="false">IF(J58&gt;$K$1,"",IFERROR(MATCH(J58,J_BB,0),""))</f>
        <v>85</v>
      </c>
      <c r="J58" s="66" t="n">
        <v>49</v>
      </c>
      <c r="K58" s="5"/>
    </row>
    <row r="59" customFormat="false" ht="15" hidden="false" customHeight="false" outlineLevel="0" collapsed="false">
      <c r="A59" s="5" t="n">
        <f aca="false">IF(I59="","",J59)</f>
        <v>50</v>
      </c>
      <c r="B59" s="83" t="n">
        <f aca="false">IF(I59="","",INDEX(J_TGL,I59))</f>
        <v>46040</v>
      </c>
      <c r="C59" s="5" t="str">
        <f aca="false">IF(I59="","",INDEX(J_NO,I59))</f>
        <v>JU-0086</v>
      </c>
      <c r="D59" s="5" t="str">
        <f aca="false">IF(I59="","",INDEX(J_KET,I59))</f>
        <v>Pelunasan orchestra dan sound</v>
      </c>
      <c r="E59" s="5" t="str">
        <f aca="false">IF(I59="","",IF(INDEX(J_DEB,I59)=$C$3,INDEX(J_KRE,I59),INDEX(J_DEB,I59)))</f>
        <v>Biaya Marketing &amp; Promosi</v>
      </c>
      <c r="F59" s="44" t="n">
        <f aca="false">IF(I59="","",IF(INDEX(J_DEB,I59)=$C$3,INDEX(J_NOM,I59),0))</f>
        <v>0</v>
      </c>
      <c r="G59" s="44" t="n">
        <f aca="false">IF(I59="","",IF(INDEX(J_KRE,I59)=$C$3,INDEX(J_NOM,I59),0))</f>
        <v>14400000</v>
      </c>
      <c r="H59" s="44" t="n">
        <f aca="false">IF(I59="","",N(H58)+IF($C$5="Debet",F59-G59,G59-F59))</f>
        <v>60012702</v>
      </c>
      <c r="I59" s="66" t="n">
        <f aca="false">IF(J59&gt;$K$1,"",IFERROR(MATCH(J59,J_BB,0),""))</f>
        <v>86</v>
      </c>
      <c r="J59" s="66" t="n">
        <v>50</v>
      </c>
      <c r="K59" s="5"/>
    </row>
    <row r="60" customFormat="false" ht="15" hidden="false" customHeight="false" outlineLevel="0" collapsed="false">
      <c r="A60" s="5" t="n">
        <f aca="false">IF(I60="","",J60)</f>
        <v>51</v>
      </c>
      <c r="B60" s="83" t="n">
        <f aca="false">IF(I60="","",INDEX(J_TGL,I60))</f>
        <v>46040</v>
      </c>
      <c r="C60" s="5" t="str">
        <f aca="false">IF(I60="","",INDEX(J_NO,I60))</f>
        <v>JU-0087</v>
      </c>
      <c r="D60" s="5" t="str">
        <f aca="false">IF(I60="","",INDEX(J_KET,I60))</f>
        <v>Pelunasan honorarium soloensis perform di Maharia vol.II</v>
      </c>
      <c r="E60" s="5" t="str">
        <f aca="false">IF(I60="","",IF(INDEX(J_DEB,I60)=$C$3,INDEX(J_KRE,I60),INDEX(J_DEB,I60)))</f>
        <v>Biaya Marketing &amp; Promosi</v>
      </c>
      <c r="F60" s="44" t="n">
        <f aca="false">IF(I60="","",IF(INDEX(J_DEB,I60)=$C$3,INDEX(J_NOM,I60),0))</f>
        <v>0</v>
      </c>
      <c r="G60" s="44" t="n">
        <f aca="false">IF(I60="","",IF(INDEX(J_KRE,I60)=$C$3,INDEX(J_NOM,I60),0))</f>
        <v>2500000</v>
      </c>
      <c r="H60" s="44" t="n">
        <f aca="false">IF(I60="","",N(H59)+IF($C$5="Debet",F60-G60,G60-F60))</f>
        <v>57512702</v>
      </c>
      <c r="I60" s="66" t="n">
        <f aca="false">IF(J60&gt;$K$1,"",IFERROR(MATCH(J60,J_BB,0),""))</f>
        <v>87</v>
      </c>
      <c r="J60" s="66" t="n">
        <v>51</v>
      </c>
      <c r="K60" s="5"/>
    </row>
    <row r="61" customFormat="false" ht="15" hidden="false" customHeight="false" outlineLevel="0" collapsed="false">
      <c r="A61" s="5" t="n">
        <f aca="false">IF(I61="","",J61)</f>
        <v>52</v>
      </c>
      <c r="B61" s="83" t="n">
        <f aca="false">IF(I61="","",INDEX(J_TGL,I61))</f>
        <v>46041</v>
      </c>
      <c r="C61" s="5" t="str">
        <f aca="false">IF(I61="","",INDEX(J_NO,I61))</f>
        <v>JU-0088</v>
      </c>
      <c r="D61" s="5" t="str">
        <f aca="false">IF(I61="","",INDEX(J_KET,I61))</f>
        <v>Membayar cicilan utang ke FM Wood (order)</v>
      </c>
      <c r="E61" s="5" t="str">
        <f aca="false">IF(I61="","",IF(INDEX(J_DEB,I61)=$C$3,INDEX(J_KRE,I61),INDEX(J_DEB,I61)))</f>
        <v>Utang Usaha Jangka Panjang</v>
      </c>
      <c r="F61" s="44" t="n">
        <f aca="false">IF(I61="","",IF(INDEX(J_DEB,I61)=$C$3,INDEX(J_NOM,I61),0))</f>
        <v>0</v>
      </c>
      <c r="G61" s="44" t="n">
        <f aca="false">IF(I61="","",IF(INDEX(J_KRE,I61)=$C$3,INDEX(J_NOM,I61),0))</f>
        <v>1420000</v>
      </c>
      <c r="H61" s="44" t="n">
        <f aca="false">IF(I61="","",N(H60)+IF($C$5="Debet",F61-G61,G61-F61))</f>
        <v>56092702</v>
      </c>
      <c r="I61" s="66" t="n">
        <f aca="false">IF(J61&gt;$K$1,"",IFERROR(MATCH(J61,J_BB,0),""))</f>
        <v>88</v>
      </c>
      <c r="J61" s="66" t="n">
        <v>52</v>
      </c>
      <c r="K61" s="5"/>
    </row>
    <row r="62" customFormat="false" ht="15" hidden="false" customHeight="false" outlineLevel="0" collapsed="false">
      <c r="A62" s="5" t="n">
        <f aca="false">IF(I62="","",J62)</f>
        <v>53</v>
      </c>
      <c r="B62" s="83" t="n">
        <f aca="false">IF(I62="","",INDEX(J_TGL,I62))</f>
        <v>46041</v>
      </c>
      <c r="C62" s="5" t="str">
        <f aca="false">IF(I62="","",INDEX(J_NO,I62))</f>
        <v>JU-0089</v>
      </c>
      <c r="D62" s="5" t="str">
        <f aca="false">IF(I62="","",INDEX(J_KET,I62))</f>
        <v>Membayar cicilan utang ke FM Wood (maintenance)</v>
      </c>
      <c r="E62" s="5" t="str">
        <f aca="false">IF(I62="","",IF(INDEX(J_DEB,I62)=$C$3,INDEX(J_KRE,I62),INDEX(J_DEB,I62)))</f>
        <v>Utang Usaha Jangka Panjang</v>
      </c>
      <c r="F62" s="44" t="n">
        <f aca="false">IF(I62="","",IF(INDEX(J_DEB,I62)=$C$3,INDEX(J_NOM,I62),0))</f>
        <v>0</v>
      </c>
      <c r="G62" s="44" t="n">
        <f aca="false">IF(I62="","",IF(INDEX(J_KRE,I62)=$C$3,INDEX(J_NOM,I62),0))</f>
        <v>500000</v>
      </c>
      <c r="H62" s="44" t="n">
        <f aca="false">IF(I62="","",N(H61)+IF($C$5="Debet",F62-G62,G62-F62))</f>
        <v>55592702</v>
      </c>
      <c r="I62" s="66" t="n">
        <f aca="false">IF(J62&gt;$K$1,"",IFERROR(MATCH(J62,J_BB,0),""))</f>
        <v>89</v>
      </c>
      <c r="J62" s="66" t="n">
        <v>53</v>
      </c>
      <c r="K62" s="5"/>
    </row>
    <row r="63" customFormat="false" ht="15" hidden="false" customHeight="false" outlineLevel="0" collapsed="false">
      <c r="A63" s="5" t="n">
        <f aca="false">IF(I63="","",J63)</f>
        <v>54</v>
      </c>
      <c r="B63" s="83" t="n">
        <f aca="false">IF(I63="","",INDEX(J_TGL,I63))</f>
        <v>46041</v>
      </c>
      <c r="C63" s="5" t="str">
        <f aca="false">IF(I63="","",INDEX(J_NO,I63))</f>
        <v>JU-0090</v>
      </c>
      <c r="D63" s="5" t="str">
        <f aca="false">IF(I63="","",INDEX(J_KET,I63))</f>
        <v>Biaya transfer flip (TF reserve tgl 19/03)</v>
      </c>
      <c r="E63" s="5" t="str">
        <f aca="false">IF(I63="","",IF(INDEX(J_DEB,I63)=$C$3,INDEX(J_KRE,I63),INDEX(J_DEB,I63)))</f>
        <v>Biaya Lainnya</v>
      </c>
      <c r="F63" s="44" t="n">
        <f aca="false">IF(I63="","",IF(INDEX(J_DEB,I63)=$C$3,INDEX(J_NOM,I63),0))</f>
        <v>0</v>
      </c>
      <c r="G63" s="44" t="n">
        <f aca="false">IF(I63="","",IF(INDEX(J_KRE,I63)=$C$3,INDEX(J_NOM,I63),0))</f>
        <v>2326</v>
      </c>
      <c r="H63" s="44" t="n">
        <f aca="false">IF(I63="","",N(H62)+IF($C$5="Debet",F63-G63,G63-F63))</f>
        <v>55590376</v>
      </c>
      <c r="I63" s="66" t="n">
        <f aca="false">IF(J63&gt;$K$1,"",IFERROR(MATCH(J63,J_BB,0),""))</f>
        <v>90</v>
      </c>
      <c r="J63" s="66" t="n">
        <v>54</v>
      </c>
      <c r="K63" s="5"/>
    </row>
    <row r="64" customFormat="false" ht="15" hidden="false" customHeight="false" outlineLevel="0" collapsed="false">
      <c r="A64" s="5" t="n">
        <f aca="false">IF(I64="","",J64)</f>
        <v>55</v>
      </c>
      <c r="B64" s="83" t="n">
        <f aca="false">IF(I64="","",INDEX(J_TGL,I64))</f>
        <v>46041</v>
      </c>
      <c r="C64" s="5" t="str">
        <f aca="false">IF(I64="","",INDEX(J_NO,I64))</f>
        <v>JU-0091</v>
      </c>
      <c r="D64" s="5" t="str">
        <f aca="false">IF(I64="","",INDEX(J_KET,I64))</f>
        <v>Belanja cup 12oz x1000pcs (3/01) faktur 12334</v>
      </c>
      <c r="E64" s="5" t="str">
        <f aca="false">IF(I64="","",IF(INDEX(J_DEB,I64)=$C$3,INDEX(J_KRE,I64),INDEX(J_DEB,I64)))</f>
        <v>Biaya Penyajian</v>
      </c>
      <c r="F64" s="44" t="n">
        <f aca="false">IF(I64="","",IF(INDEX(J_DEB,I64)=$C$3,INDEX(J_NOM,I64),0))</f>
        <v>0</v>
      </c>
      <c r="G64" s="44" t="n">
        <f aca="false">IF(I64="","",IF(INDEX(J_KRE,I64)=$C$3,INDEX(J_NOM,I64),0))</f>
        <v>500000</v>
      </c>
      <c r="H64" s="44" t="n">
        <f aca="false">IF(I64="","",N(H63)+IF($C$5="Debet",F64-G64,G64-F64))</f>
        <v>55090376</v>
      </c>
      <c r="I64" s="66" t="n">
        <f aca="false">IF(J64&gt;$K$1,"",IFERROR(MATCH(J64,J_BB,0),""))</f>
        <v>91</v>
      </c>
      <c r="J64" s="66" t="n">
        <v>55</v>
      </c>
      <c r="K64" s="5"/>
    </row>
    <row r="65" customFormat="false" ht="15" hidden="false" customHeight="false" outlineLevel="0" collapsed="false">
      <c r="A65" s="5" t="n">
        <f aca="false">IF(I65="","",J65)</f>
        <v>56</v>
      </c>
      <c r="B65" s="83" t="n">
        <f aca="false">IF(I65="","",INDEX(J_TGL,I65))</f>
        <v>46041</v>
      </c>
      <c r="C65" s="5" t="str">
        <f aca="false">IF(I65="","",INDEX(J_NO,I65))</f>
        <v>JU-0092</v>
      </c>
      <c r="D65" s="5" t="str">
        <f aca="false">IF(I65="","",INDEX(J_KET,I65))</f>
        <v>Belanja cup 12oz x1000pcs (15/01) faktur 12335</v>
      </c>
      <c r="E65" s="5" t="str">
        <f aca="false">IF(I65="","",IF(INDEX(J_DEB,I65)=$C$3,INDEX(J_KRE,I65),INDEX(J_DEB,I65)))</f>
        <v>Biaya Penyajian</v>
      </c>
      <c r="F65" s="44" t="n">
        <f aca="false">IF(I65="","",IF(INDEX(J_DEB,I65)=$C$3,INDEX(J_NOM,I65),0))</f>
        <v>0</v>
      </c>
      <c r="G65" s="44" t="n">
        <f aca="false">IF(I65="","",IF(INDEX(J_KRE,I65)=$C$3,INDEX(J_NOM,I65),0))</f>
        <v>500000</v>
      </c>
      <c r="H65" s="44" t="n">
        <f aca="false">IF(I65="","",N(H64)+IF($C$5="Debet",F65-G65,G65-F65))</f>
        <v>54590376</v>
      </c>
      <c r="I65" s="66" t="n">
        <f aca="false">IF(J65&gt;$K$1,"",IFERROR(MATCH(J65,J_BB,0),""))</f>
        <v>92</v>
      </c>
      <c r="J65" s="66" t="n">
        <v>56</v>
      </c>
      <c r="K65" s="5"/>
    </row>
    <row r="66" customFormat="false" ht="15" hidden="false" customHeight="false" outlineLevel="0" collapsed="false">
      <c r="A66" s="5" t="n">
        <f aca="false">IF(I66="","",J66)</f>
        <v>57</v>
      </c>
      <c r="B66" s="83" t="n">
        <f aca="false">IF(I66="","",INDEX(J_TGL,I66))</f>
        <v>46041</v>
      </c>
      <c r="C66" s="5" t="str">
        <f aca="false">IF(I66="","",INDEX(J_NO,I66))</f>
        <v>JU-0093</v>
      </c>
      <c r="D66" s="5" t="str">
        <f aca="false">IF(I66="","",INDEX(J_KET,I66))</f>
        <v>Belanja susu freshmilk greenfield x12pcs</v>
      </c>
      <c r="E66" s="5" t="str">
        <f aca="false">IF(I66="","",IF(INDEX(J_DEB,I66)=$C$3,INDEX(J_KRE,I66),INDEX(J_DEB,I66)))</f>
        <v>Biaya Bahan Baku</v>
      </c>
      <c r="F66" s="44" t="n">
        <f aca="false">IF(I66="","",IF(INDEX(J_DEB,I66)=$C$3,INDEX(J_NOM,I66),0))</f>
        <v>0</v>
      </c>
      <c r="G66" s="44" t="n">
        <f aca="false">IF(I66="","",IF(INDEX(J_KRE,I66)=$C$3,INDEX(J_NOM,I66),0))</f>
        <v>246000</v>
      </c>
      <c r="H66" s="44" t="n">
        <f aca="false">IF(I66="","",N(H65)+IF($C$5="Debet",F66-G66,G66-F66))</f>
        <v>54344376</v>
      </c>
      <c r="I66" s="66" t="n">
        <f aca="false">IF(J66&gt;$K$1,"",IFERROR(MATCH(J66,J_BB,0),""))</f>
        <v>93</v>
      </c>
      <c r="J66" s="66" t="n">
        <v>57</v>
      </c>
      <c r="K66" s="5"/>
    </row>
    <row r="67" customFormat="false" ht="15" hidden="false" customHeight="false" outlineLevel="0" collapsed="false">
      <c r="A67" s="5" t="n">
        <f aca="false">IF(I67="","",J67)</f>
        <v>58</v>
      </c>
      <c r="B67" s="83" t="n">
        <f aca="false">IF(I67="","",INDEX(J_TGL,I67))</f>
        <v>46041</v>
      </c>
      <c r="C67" s="5" t="str">
        <f aca="false">IF(I67="","",INDEX(J_NO,I67))</f>
        <v>JU-0094</v>
      </c>
      <c r="D67" s="5" t="str">
        <f aca="false">IF(I67="","",INDEX(J_KET,I67))</f>
        <v>Pelunasan sound : tenda sarnavile &amp; baricade rowwing (susulan)</v>
      </c>
      <c r="E67" s="5" t="str">
        <f aca="false">IF(I67="","",IF(INDEX(J_DEB,I67)=$C$3,INDEX(J_KRE,I67),INDEX(J_DEB,I67)))</f>
        <v>Biaya Marketing &amp; Promosi</v>
      </c>
      <c r="F67" s="44" t="n">
        <f aca="false">IF(I67="","",IF(INDEX(J_DEB,I67)=$C$3,INDEX(J_NOM,I67),0))</f>
        <v>0</v>
      </c>
      <c r="G67" s="44" t="n">
        <f aca="false">IF(I67="","",IF(INDEX(J_KRE,I67)=$C$3,INDEX(J_NOM,I67),0))</f>
        <v>1250000</v>
      </c>
      <c r="H67" s="44" t="n">
        <f aca="false">IF(I67="","",N(H66)+IF($C$5="Debet",F67-G67,G67-F67))</f>
        <v>53094376</v>
      </c>
      <c r="I67" s="66" t="n">
        <f aca="false">IF(J67&gt;$K$1,"",IFERROR(MATCH(J67,J_BB,0),""))</f>
        <v>94</v>
      </c>
      <c r="J67" s="66" t="n">
        <v>58</v>
      </c>
      <c r="K67" s="5"/>
    </row>
    <row r="68" customFormat="false" ht="15" hidden="false" customHeight="false" outlineLevel="0" collapsed="false">
      <c r="A68" s="5" t="n">
        <f aca="false">IF(I68="","",J68)</f>
        <v>59</v>
      </c>
      <c r="B68" s="83" t="n">
        <f aca="false">IF(I68="","",INDEX(J_TGL,I68))</f>
        <v>46042</v>
      </c>
      <c r="C68" s="5" t="str">
        <f aca="false">IF(I68="","",INDEX(J_NO,I68))</f>
        <v>JU-0095</v>
      </c>
      <c r="D68" s="5" t="str">
        <f aca="false">IF(I68="","",INDEX(J_KET,I68))</f>
        <v>Pembayaran jasa service AC : overhoal, isi freon, vakum</v>
      </c>
      <c r="E68" s="5" t="str">
        <f aca="false">IF(I68="","",IF(INDEX(J_DEB,I68)=$C$3,INDEX(J_KRE,I68),INDEX(J_DEB,I68)))</f>
        <v>Biaya Pemeliharaan</v>
      </c>
      <c r="F68" s="44" t="n">
        <f aca="false">IF(I68="","",IF(INDEX(J_DEB,I68)=$C$3,INDEX(J_NOM,I68),0))</f>
        <v>0</v>
      </c>
      <c r="G68" s="44" t="n">
        <f aca="false">IF(I68="","",IF(INDEX(J_KRE,I68)=$C$3,INDEX(J_NOM,I68),0))</f>
        <v>490000</v>
      </c>
      <c r="H68" s="44" t="n">
        <f aca="false">IF(I68="","",N(H67)+IF($C$5="Debet",F68-G68,G68-F68))</f>
        <v>52604376</v>
      </c>
      <c r="I68" s="66" t="n">
        <f aca="false">IF(J68&gt;$K$1,"",IFERROR(MATCH(J68,J_BB,0),""))</f>
        <v>95</v>
      </c>
      <c r="J68" s="66" t="n">
        <v>59</v>
      </c>
      <c r="K68" s="5"/>
    </row>
    <row r="69" customFormat="false" ht="15" hidden="false" customHeight="false" outlineLevel="0" collapsed="false">
      <c r="A69" s="5" t="n">
        <f aca="false">IF(I69="","",J69)</f>
        <v>60</v>
      </c>
      <c r="B69" s="83" t="n">
        <f aca="false">IF(I69="","",INDEX(J_TGL,I69))</f>
        <v>46042</v>
      </c>
      <c r="C69" s="5" t="str">
        <f aca="false">IF(I69="","",INDEX(J_NO,I69))</f>
        <v>JU-0096</v>
      </c>
      <c r="D69" s="5" t="str">
        <f aca="false">IF(I69="","",INDEX(J_KET,I69))</f>
        <v>Pembayaran langganan musik spotify</v>
      </c>
      <c r="E69" s="5" t="str">
        <f aca="false">IF(I69="","",IF(INDEX(J_DEB,I69)=$C$3,INDEX(J_KRE,I69),INDEX(J_DEB,I69)))</f>
        <v>Biaya Operasional Harian</v>
      </c>
      <c r="F69" s="44" t="n">
        <f aca="false">IF(I69="","",IF(INDEX(J_DEB,I69)=$C$3,INDEX(J_NOM,I69),0))</f>
        <v>0</v>
      </c>
      <c r="G69" s="44" t="n">
        <f aca="false">IF(I69="","",IF(INDEX(J_KRE,I69)=$C$3,INDEX(J_NOM,I69),0))</f>
        <v>119900</v>
      </c>
      <c r="H69" s="44" t="n">
        <f aca="false">IF(I69="","",N(H68)+IF($C$5="Debet",F69-G69,G69-F69))</f>
        <v>52484476</v>
      </c>
      <c r="I69" s="66" t="n">
        <f aca="false">IF(J69&gt;$K$1,"",IFERROR(MATCH(J69,J_BB,0),""))</f>
        <v>96</v>
      </c>
      <c r="J69" s="66" t="n">
        <v>60</v>
      </c>
      <c r="K69" s="5"/>
    </row>
    <row r="70" customFormat="false" ht="15" hidden="false" customHeight="false" outlineLevel="0" collapsed="false">
      <c r="A70" s="5" t="n">
        <f aca="false">IF(I70="","",J70)</f>
        <v>61</v>
      </c>
      <c r="B70" s="83" t="n">
        <f aca="false">IF(I70="","",INDEX(J_TGL,I70))</f>
        <v>46042</v>
      </c>
      <c r="C70" s="5" t="str">
        <f aca="false">IF(I70="","",INDEX(J_NO,I70))</f>
        <v>JU-0097</v>
      </c>
      <c r="D70" s="5" t="str">
        <f aca="false">IF(I70="","",INDEX(J_KET,I70))</f>
        <v>Biaya top up</v>
      </c>
      <c r="E70" s="5" t="str">
        <f aca="false">IF(I70="","",IF(INDEX(J_DEB,I70)=$C$3,INDEX(J_KRE,I70),INDEX(J_DEB,I70)))</f>
        <v>Biaya Lainnya</v>
      </c>
      <c r="F70" s="44" t="n">
        <f aca="false">IF(I70="","",IF(INDEX(J_DEB,I70)=$C$3,INDEX(J_NOM,I70),0))</f>
        <v>0</v>
      </c>
      <c r="G70" s="44" t="n">
        <f aca="false">IF(I70="","",IF(INDEX(J_KRE,I70)=$C$3,INDEX(J_NOM,I70),0))</f>
        <v>1000</v>
      </c>
      <c r="H70" s="44" t="n">
        <f aca="false">IF(I70="","",N(H69)+IF($C$5="Debet",F70-G70,G70-F70))</f>
        <v>52483476</v>
      </c>
      <c r="I70" s="66" t="n">
        <f aca="false">IF(J70&gt;$K$1,"",IFERROR(MATCH(J70,J_BB,0),""))</f>
        <v>97</v>
      </c>
      <c r="J70" s="66" t="n">
        <v>61</v>
      </c>
      <c r="K70" s="5"/>
    </row>
    <row r="71" customFormat="false" ht="15" hidden="false" customHeight="false" outlineLevel="0" collapsed="false">
      <c r="A71" s="5" t="n">
        <f aca="false">IF(I71="","",J71)</f>
        <v>62</v>
      </c>
      <c r="B71" s="83" t="n">
        <f aca="false">IF(I71="","",INDEX(J_TGL,I71))</f>
        <v>46042</v>
      </c>
      <c r="C71" s="5" t="str">
        <f aca="false">IF(I71="","",INDEX(J_NO,I71))</f>
        <v>JU-0098</v>
      </c>
      <c r="D71" s="5" t="str">
        <f aca="false">IF(I71="","",INDEX(J_KET,I71))</f>
        <v>Pelunasan reimbursment acara Maharia II</v>
      </c>
      <c r="E71" s="5" t="str">
        <f aca="false">IF(I71="","",IF(INDEX(J_DEB,I71)=$C$3,INDEX(J_KRE,I71),INDEX(J_DEB,I71)))</f>
        <v>Biaya Marketing &amp; Promosi</v>
      </c>
      <c r="F71" s="44" t="n">
        <f aca="false">IF(I71="","",IF(INDEX(J_DEB,I71)=$C$3,INDEX(J_NOM,I71),0))</f>
        <v>0</v>
      </c>
      <c r="G71" s="44" t="n">
        <f aca="false">IF(I71="","",IF(INDEX(J_KRE,I71)=$C$3,INDEX(J_NOM,I71),0))</f>
        <v>8642736</v>
      </c>
      <c r="H71" s="44" t="n">
        <f aca="false">IF(I71="","",N(H70)+IF($C$5="Debet",F71-G71,G71-F71))</f>
        <v>43840740</v>
      </c>
      <c r="I71" s="66" t="n">
        <f aca="false">IF(J71&gt;$K$1,"",IFERROR(MATCH(J71,J_BB,0),""))</f>
        <v>98</v>
      </c>
      <c r="J71" s="66" t="n">
        <v>62</v>
      </c>
      <c r="K71" s="5"/>
    </row>
    <row r="72" customFormat="false" ht="15" hidden="false" customHeight="false" outlineLevel="0" collapsed="false">
      <c r="A72" s="5" t="n">
        <f aca="false">IF(I72="","",J72)</f>
        <v>63</v>
      </c>
      <c r="B72" s="83" t="n">
        <f aca="false">IF(I72="","",INDEX(J_TGL,I72))</f>
        <v>46042</v>
      </c>
      <c r="C72" s="5" t="str">
        <f aca="false">IF(I72="","",INDEX(J_NO,I72))</f>
        <v>JU-0099</v>
      </c>
      <c r="D72" s="5" t="str">
        <f aca="false">IF(I72="","",INDEX(J_KET,I72))</f>
        <v>Biaya transfer flip</v>
      </c>
      <c r="E72" s="5" t="str">
        <f aca="false">IF(I72="","",IF(INDEX(J_DEB,I72)=$C$3,INDEX(J_KRE,I72),INDEX(J_DEB,I72)))</f>
        <v>Biaya Lainnya</v>
      </c>
      <c r="F72" s="44" t="n">
        <f aca="false">IF(I72="","",IF(INDEX(J_DEB,I72)=$C$3,INDEX(J_NOM,I72),0))</f>
        <v>0</v>
      </c>
      <c r="G72" s="44" t="n">
        <f aca="false">IF(I72="","",IF(INDEX(J_KRE,I72)=$C$3,INDEX(J_NOM,I72),0))</f>
        <v>2325</v>
      </c>
      <c r="H72" s="44" t="n">
        <f aca="false">IF(I72="","",N(H71)+IF($C$5="Debet",F72-G72,G72-F72))</f>
        <v>43838415</v>
      </c>
      <c r="I72" s="66" t="n">
        <f aca="false">IF(J72&gt;$K$1,"",IFERROR(MATCH(J72,J_BB,0),""))</f>
        <v>99</v>
      </c>
      <c r="J72" s="66" t="n">
        <v>63</v>
      </c>
      <c r="K72" s="5"/>
    </row>
    <row r="73" customFormat="false" ht="15" hidden="false" customHeight="false" outlineLevel="0" collapsed="false">
      <c r="A73" s="5" t="n">
        <f aca="false">IF(I73="","",J73)</f>
        <v>64</v>
      </c>
      <c r="B73" s="83" t="n">
        <f aca="false">IF(I73="","",INDEX(J_TGL,I73))</f>
        <v>46043</v>
      </c>
      <c r="C73" s="5" t="str">
        <f aca="false">IF(I73="","",INDEX(J_NO,I73))</f>
        <v>JU-0100</v>
      </c>
      <c r="D73" s="5" t="str">
        <f aca="false">IF(I73="","",INDEX(J_KET,I73))</f>
        <v>Pindah dana tunai ke BCA</v>
      </c>
      <c r="E73" s="5" t="str">
        <f aca="false">IF(I73="","",IF(INDEX(J_DEB,I73)=$C$3,INDEX(J_KRE,I73),INDEX(J_DEB,I73)))</f>
        <v>Kas Tunai</v>
      </c>
      <c r="F73" s="44" t="n">
        <f aca="false">IF(I73="","",IF(INDEX(J_DEB,I73)=$C$3,INDEX(J_NOM,I73),0))</f>
        <v>1000000</v>
      </c>
      <c r="G73" s="44" t="n">
        <f aca="false">IF(I73="","",IF(INDEX(J_KRE,I73)=$C$3,INDEX(J_NOM,I73),0))</f>
        <v>0</v>
      </c>
      <c r="H73" s="44" t="n">
        <f aca="false">IF(I73="","",N(H72)+IF($C$5="Debet",F73-G73,G73-F73))</f>
        <v>44838415</v>
      </c>
      <c r="I73" s="66" t="n">
        <f aca="false">IF(J73&gt;$K$1,"",IFERROR(MATCH(J73,J_BB,0),""))</f>
        <v>100</v>
      </c>
      <c r="J73" s="66" t="n">
        <v>64</v>
      </c>
      <c r="K73" s="5"/>
    </row>
    <row r="74" customFormat="false" ht="15" hidden="false" customHeight="false" outlineLevel="0" collapsed="false">
      <c r="A74" s="5" t="n">
        <f aca="false">IF(I74="","",J74)</f>
        <v>65</v>
      </c>
      <c r="B74" s="83" t="n">
        <f aca="false">IF(I74="","",INDEX(J_TGL,I74))</f>
        <v>46043</v>
      </c>
      <c r="C74" s="5" t="str">
        <f aca="false">IF(I74="","",INDEX(J_NO,I74))</f>
        <v>JU-0101</v>
      </c>
      <c r="D74" s="5" t="str">
        <f aca="false">IF(I74="","",INDEX(J_KET,I74))</f>
        <v>Belanja susu fresmilk gf x 2 ctn</v>
      </c>
      <c r="E74" s="5" t="str">
        <f aca="false">IF(I74="","",IF(INDEX(J_DEB,I74)=$C$3,INDEX(J_KRE,I74),INDEX(J_DEB,I74)))</f>
        <v>Biaya Bahan Baku</v>
      </c>
      <c r="F74" s="44" t="n">
        <f aca="false">IF(I74="","",IF(INDEX(J_DEB,I74)=$C$3,INDEX(J_NOM,I74),0))</f>
        <v>0</v>
      </c>
      <c r="G74" s="44" t="n">
        <f aca="false">IF(I74="","",IF(INDEX(J_KRE,I74)=$C$3,INDEX(J_NOM,I74),0))</f>
        <v>494000</v>
      </c>
      <c r="H74" s="44" t="n">
        <f aca="false">IF(I74="","",N(H73)+IF($C$5="Debet",F74-G74,G74-F74))</f>
        <v>44344415</v>
      </c>
      <c r="I74" s="66" t="n">
        <f aca="false">IF(J74&gt;$K$1,"",IFERROR(MATCH(J74,J_BB,0),""))</f>
        <v>101</v>
      </c>
      <c r="J74" s="66" t="n">
        <v>65</v>
      </c>
      <c r="K74" s="5"/>
    </row>
    <row r="75" customFormat="false" ht="15" hidden="false" customHeight="false" outlineLevel="0" collapsed="false">
      <c r="A75" s="5" t="n">
        <f aca="false">IF(I75="","",J75)</f>
        <v>66</v>
      </c>
      <c r="B75" s="83" t="n">
        <f aca="false">IF(I75="","",INDEX(J_TGL,I75))</f>
        <v>46043</v>
      </c>
      <c r="C75" s="5" t="str">
        <f aca="false">IF(I75="","",INDEX(J_NO,I75))</f>
        <v>JU-0102</v>
      </c>
      <c r="D75" s="5" t="str">
        <f aca="false">IF(I75="","",INDEX(J_KET,I75))</f>
        <v>Pembayaran fee Iksan Skuter acara Maharia II</v>
      </c>
      <c r="E75" s="5" t="str">
        <f aca="false">IF(I75="","",IF(INDEX(J_DEB,I75)=$C$3,INDEX(J_KRE,I75),INDEX(J_DEB,I75)))</f>
        <v>Biaya Marketing &amp; Promosi</v>
      </c>
      <c r="F75" s="44" t="n">
        <f aca="false">IF(I75="","",IF(INDEX(J_DEB,I75)=$C$3,INDEX(J_NOM,I75),0))</f>
        <v>0</v>
      </c>
      <c r="G75" s="44" t="n">
        <f aca="false">IF(I75="","",IF(INDEX(J_KRE,I75)=$C$3,INDEX(J_NOM,I75),0))</f>
        <v>5800000</v>
      </c>
      <c r="H75" s="44" t="n">
        <f aca="false">IF(I75="","",N(H74)+IF($C$5="Debet",F75-G75,G75-F75))</f>
        <v>38544415</v>
      </c>
      <c r="I75" s="66" t="n">
        <f aca="false">IF(J75&gt;$K$1,"",IFERROR(MATCH(J75,J_BB,0),""))</f>
        <v>102</v>
      </c>
      <c r="J75" s="66" t="n">
        <v>66</v>
      </c>
      <c r="K75" s="5"/>
    </row>
    <row r="76" customFormat="false" ht="15" hidden="false" customHeight="false" outlineLevel="0" collapsed="false">
      <c r="A76" s="5" t="n">
        <f aca="false">IF(I76="","",J76)</f>
        <v>67</v>
      </c>
      <c r="B76" s="83" t="n">
        <f aca="false">IF(I76="","",INDEX(J_TGL,I76))</f>
        <v>46043</v>
      </c>
      <c r="C76" s="5" t="str">
        <f aca="false">IF(I76="","",INDEX(J_NO,I76))</f>
        <v>JU-0103</v>
      </c>
      <c r="D76" s="5" t="str">
        <f aca="false">IF(I76="","",INDEX(J_KET,I76))</f>
        <v>Biaya transfer flip</v>
      </c>
      <c r="E76" s="5" t="str">
        <f aca="false">IF(I76="","",IF(INDEX(J_DEB,I76)=$C$3,INDEX(J_KRE,I76),INDEX(J_DEB,I76)))</f>
        <v>Biaya Lainnya</v>
      </c>
      <c r="F76" s="44" t="n">
        <f aca="false">IF(I76="","",IF(INDEX(J_DEB,I76)=$C$3,INDEX(J_NOM,I76),0))</f>
        <v>0</v>
      </c>
      <c r="G76" s="44" t="n">
        <f aca="false">IF(I76="","",IF(INDEX(J_KRE,I76)=$C$3,INDEX(J_NOM,I76),0))</f>
        <v>2326</v>
      </c>
      <c r="H76" s="44" t="n">
        <f aca="false">IF(I76="","",N(H75)+IF($C$5="Debet",F76-G76,G76-F76))</f>
        <v>38542089</v>
      </c>
      <c r="I76" s="66" t="n">
        <f aca="false">IF(J76&gt;$K$1,"",IFERROR(MATCH(J76,J_BB,0),""))</f>
        <v>103</v>
      </c>
      <c r="J76" s="66" t="n">
        <v>67</v>
      </c>
      <c r="K76" s="5"/>
    </row>
    <row r="77" customFormat="false" ht="15" hidden="false" customHeight="false" outlineLevel="0" collapsed="false">
      <c r="A77" s="5" t="n">
        <f aca="false">IF(I77="","",J77)</f>
        <v>68</v>
      </c>
      <c r="B77" s="83" t="n">
        <f aca="false">IF(I77="","",INDEX(J_TGL,I77))</f>
        <v>46044</v>
      </c>
      <c r="C77" s="5" t="str">
        <f aca="false">IF(I77="","",INDEX(J_NO,I77))</f>
        <v>JU-0104</v>
      </c>
      <c r="D77" s="5" t="str">
        <f aca="false">IF(I77="","",INDEX(J_KET,I77))</f>
        <v>Pindah dana tunai ke BCA</v>
      </c>
      <c r="E77" s="5" t="str">
        <f aca="false">IF(I77="","",IF(INDEX(J_DEB,I77)=$C$3,INDEX(J_KRE,I77),INDEX(J_DEB,I77)))</f>
        <v>Kas Tunai</v>
      </c>
      <c r="F77" s="44" t="n">
        <f aca="false">IF(I77="","",IF(INDEX(J_DEB,I77)=$C$3,INDEX(J_NOM,I77),0))</f>
        <v>500000</v>
      </c>
      <c r="G77" s="44" t="n">
        <f aca="false">IF(I77="","",IF(INDEX(J_KRE,I77)=$C$3,INDEX(J_NOM,I77),0))</f>
        <v>0</v>
      </c>
      <c r="H77" s="44" t="n">
        <f aca="false">IF(I77="","",N(H76)+IF($C$5="Debet",F77-G77,G77-F77))</f>
        <v>39042089</v>
      </c>
      <c r="I77" s="66" t="n">
        <f aca="false">IF(J77&gt;$K$1,"",IFERROR(MATCH(J77,J_BB,0),""))</f>
        <v>104</v>
      </c>
      <c r="J77" s="66" t="n">
        <v>68</v>
      </c>
      <c r="K77" s="5"/>
    </row>
    <row r="78" customFormat="false" ht="15" hidden="false" customHeight="false" outlineLevel="0" collapsed="false">
      <c r="A78" s="5" t="n">
        <f aca="false">IF(I78="","",J78)</f>
        <v>69</v>
      </c>
      <c r="B78" s="83" t="n">
        <f aca="false">IF(I78="","",INDEX(J_TGL,I78))</f>
        <v>46044</v>
      </c>
      <c r="C78" s="5" t="str">
        <f aca="false">IF(I78="","",INDEX(J_NO,I78))</f>
        <v>JU-0105</v>
      </c>
      <c r="D78" s="5" t="str">
        <f aca="false">IF(I78="","",INDEX(J_KET,I78))</f>
        <v>Belanja unlock water x 8 galon (19/01)</v>
      </c>
      <c r="E78" s="5" t="str">
        <f aca="false">IF(I78="","",IF(INDEX(J_DEB,I78)=$C$3,INDEX(J_KRE,I78),INDEX(J_DEB,I78)))</f>
        <v>Biaya Bahan Baku</v>
      </c>
      <c r="F78" s="44" t="n">
        <f aca="false">IF(I78="","",IF(INDEX(J_DEB,I78)=$C$3,INDEX(J_NOM,I78),0))</f>
        <v>0</v>
      </c>
      <c r="G78" s="44" t="n">
        <f aca="false">IF(I78="","",IF(INDEX(J_KRE,I78)=$C$3,INDEX(J_NOM,I78),0))</f>
        <v>144000</v>
      </c>
      <c r="H78" s="44" t="n">
        <f aca="false">IF(I78="","",N(H77)+IF($C$5="Debet",F78-G78,G78-F78))</f>
        <v>38898089</v>
      </c>
      <c r="I78" s="66" t="n">
        <f aca="false">IF(J78&gt;$K$1,"",IFERROR(MATCH(J78,J_BB,0),""))</f>
        <v>105</v>
      </c>
      <c r="J78" s="66" t="n">
        <v>69</v>
      </c>
      <c r="K78" s="5"/>
    </row>
    <row r="79" customFormat="false" ht="15" hidden="false" customHeight="false" outlineLevel="0" collapsed="false">
      <c r="A79" s="5" t="n">
        <f aca="false">IF(I79="","",J79)</f>
        <v>70</v>
      </c>
      <c r="B79" s="83" t="n">
        <f aca="false">IF(I79="","",INDEX(J_TGL,I79))</f>
        <v>46044</v>
      </c>
      <c r="C79" s="5" t="str">
        <f aca="false">IF(I79="","",INDEX(J_NO,I79))</f>
        <v>JU-0106</v>
      </c>
      <c r="D79" s="5" t="str">
        <f aca="false">IF(I79="","",INDEX(J_KET,I79))</f>
        <v>Belanja churros x 300 pcs</v>
      </c>
      <c r="E79" s="5" t="str">
        <f aca="false">IF(I79="","",IF(INDEX(J_DEB,I79)=$C$3,INDEX(J_KRE,I79),INDEX(J_DEB,I79)))</f>
        <v>Biaya Bahan Baku</v>
      </c>
      <c r="F79" s="44" t="n">
        <f aca="false">IF(I79="","",IF(INDEX(J_DEB,I79)=$C$3,INDEX(J_NOM,I79),0))</f>
        <v>0</v>
      </c>
      <c r="G79" s="44" t="n">
        <f aca="false">IF(I79="","",IF(INDEX(J_KRE,I79)=$C$3,INDEX(J_NOM,I79),0))</f>
        <v>360000</v>
      </c>
      <c r="H79" s="44" t="n">
        <f aca="false">IF(I79="","",N(H78)+IF($C$5="Debet",F79-G79,G79-F79))</f>
        <v>38538089</v>
      </c>
      <c r="I79" s="66" t="n">
        <f aca="false">IF(J79&gt;$K$1,"",IFERROR(MATCH(J79,J_BB,0),""))</f>
        <v>106</v>
      </c>
      <c r="J79" s="66" t="n">
        <v>70</v>
      </c>
      <c r="K79" s="5"/>
    </row>
    <row r="80" customFormat="false" ht="15" hidden="false" customHeight="false" outlineLevel="0" collapsed="false">
      <c r="A80" s="5" t="n">
        <f aca="false">IF(I80="","",J80)</f>
        <v>71</v>
      </c>
      <c r="B80" s="83" t="n">
        <f aca="false">IF(I80="","",INDEX(J_TGL,I80))</f>
        <v>46044</v>
      </c>
      <c r="C80" s="5" t="str">
        <f aca="false">IF(I80="","",INDEX(J_NO,I80))</f>
        <v>JU-0107</v>
      </c>
      <c r="D80" s="5" t="str">
        <f aca="false">IF(I80="","",INDEX(J_KET,I80))</f>
        <v>Belanja unlock water x 10 galon (12/01)</v>
      </c>
      <c r="E80" s="5" t="str">
        <f aca="false">IF(I80="","",IF(INDEX(J_DEB,I80)=$C$3,INDEX(J_KRE,I80),INDEX(J_DEB,I80)))</f>
        <v>Biaya Bahan Baku</v>
      </c>
      <c r="F80" s="44" t="n">
        <f aca="false">IF(I80="","",IF(INDEX(J_DEB,I80)=$C$3,INDEX(J_NOM,I80),0))</f>
        <v>0</v>
      </c>
      <c r="G80" s="44" t="n">
        <f aca="false">IF(I80="","",IF(INDEX(J_KRE,I80)=$C$3,INDEX(J_NOM,I80),0))</f>
        <v>180000</v>
      </c>
      <c r="H80" s="44" t="n">
        <f aca="false">IF(I80="","",N(H79)+IF($C$5="Debet",F80-G80,G80-F80))</f>
        <v>38358089</v>
      </c>
      <c r="I80" s="66" t="n">
        <f aca="false">IF(J80&gt;$K$1,"",IFERROR(MATCH(J80,J_BB,0),""))</f>
        <v>107</v>
      </c>
      <c r="J80" s="66" t="n">
        <v>71</v>
      </c>
      <c r="K80" s="5"/>
    </row>
    <row r="81" customFormat="false" ht="15" hidden="false" customHeight="false" outlineLevel="0" collapsed="false">
      <c r="A81" s="5" t="n">
        <f aca="false">IF(I81="","",J81)</f>
        <v>72</v>
      </c>
      <c r="B81" s="83" t="n">
        <f aca="false">IF(I81="","",INDEX(J_TGL,I81))</f>
        <v>46044</v>
      </c>
      <c r="C81" s="5" t="str">
        <f aca="false">IF(I81="","",INDEX(J_NO,I81))</f>
        <v>JU-0108</v>
      </c>
      <c r="D81" s="5" t="str">
        <f aca="false">IF(I81="","",INDEX(J_KET,I81))</f>
        <v>Belanja refill spon pel x 2 pcs</v>
      </c>
      <c r="E81" s="5" t="str">
        <f aca="false">IF(I81="","",IF(INDEX(J_DEB,I81)=$C$3,INDEX(J_KRE,I81),INDEX(J_DEB,I81)))</f>
        <v>Biaya Pemeliharaan</v>
      </c>
      <c r="F81" s="44" t="n">
        <f aca="false">IF(I81="","",IF(INDEX(J_DEB,I81)=$C$3,INDEX(J_NOM,I81),0))</f>
        <v>0</v>
      </c>
      <c r="G81" s="44" t="n">
        <f aca="false">IF(I81="","",IF(INDEX(J_KRE,I81)=$C$3,INDEX(J_NOM,I81),0))</f>
        <v>42850</v>
      </c>
      <c r="H81" s="44" t="n">
        <f aca="false">IF(I81="","",N(H80)+IF($C$5="Debet",F81-G81,G81-F81))</f>
        <v>38315239</v>
      </c>
      <c r="I81" s="66" t="n">
        <f aca="false">IF(J81&gt;$K$1,"",IFERROR(MATCH(J81,J_BB,0),""))</f>
        <v>108</v>
      </c>
      <c r="J81" s="66" t="n">
        <v>72</v>
      </c>
      <c r="K81" s="5"/>
    </row>
    <row r="82" customFormat="false" ht="15" hidden="false" customHeight="false" outlineLevel="0" collapsed="false">
      <c r="A82" s="5" t="n">
        <f aca="false">IF(I82="","",J82)</f>
        <v>73</v>
      </c>
      <c r="B82" s="83" t="n">
        <f aca="false">IF(I82="","",INDEX(J_TGL,I82))</f>
        <v>46044</v>
      </c>
      <c r="C82" s="5" t="str">
        <f aca="false">IF(I82="","",INDEX(J_NO,I82))</f>
        <v>JU-0109</v>
      </c>
      <c r="D82" s="5" t="str">
        <f aca="false">IF(I82="","",INDEX(J_KET,I82))</f>
        <v>Pembayaran langganan aplikasi Majoo</v>
      </c>
      <c r="E82" s="5" t="str">
        <f aca="false">IF(I82="","",IF(INDEX(J_DEB,I82)=$C$3,INDEX(J_KRE,I82),INDEX(J_DEB,I82)))</f>
        <v>Biaya Tagihan Bulanan</v>
      </c>
      <c r="F82" s="44" t="n">
        <f aca="false">IF(I82="","",IF(INDEX(J_DEB,I82)=$C$3,INDEX(J_NOM,I82),0))</f>
        <v>0</v>
      </c>
      <c r="G82" s="44" t="n">
        <f aca="false">IF(I82="","",IF(INDEX(J_KRE,I82)=$C$3,INDEX(J_NOM,I82),0))</f>
        <v>287490</v>
      </c>
      <c r="H82" s="44" t="n">
        <f aca="false">IF(I82="","",N(H81)+IF($C$5="Debet",F82-G82,G82-F82))</f>
        <v>38027749</v>
      </c>
      <c r="I82" s="66" t="n">
        <f aca="false">IF(J82&gt;$K$1,"",IFERROR(MATCH(J82,J_BB,0),""))</f>
        <v>109</v>
      </c>
      <c r="J82" s="66" t="n">
        <v>73</v>
      </c>
      <c r="K82" s="5"/>
    </row>
    <row r="83" customFormat="false" ht="15" hidden="false" customHeight="false" outlineLevel="0" collapsed="false">
      <c r="A83" s="5" t="n">
        <f aca="false">IF(I83="","",J83)</f>
        <v>74</v>
      </c>
      <c r="B83" s="83" t="n">
        <f aca="false">IF(I83="","",INDEX(J_TGL,I83))</f>
        <v>46044</v>
      </c>
      <c r="C83" s="5" t="str">
        <f aca="false">IF(I83="","",INDEX(J_NO,I83))</f>
        <v>JU-0110</v>
      </c>
      <c r="D83" s="5" t="str">
        <f aca="false">IF(I83="","",INDEX(J_KET,I83))</f>
        <v>Belanja kulkas (9/01)</v>
      </c>
      <c r="E83" s="5" t="str">
        <f aca="false">IF(I83="","",IF(INDEX(J_DEB,I83)=$C$3,INDEX(J_KRE,I83),INDEX(J_DEB,I83)))</f>
        <v>Peralatan</v>
      </c>
      <c r="F83" s="44" t="n">
        <f aca="false">IF(I83="","",IF(INDEX(J_DEB,I83)=$C$3,INDEX(J_NOM,I83),0))</f>
        <v>0</v>
      </c>
      <c r="G83" s="44" t="n">
        <f aca="false">IF(I83="","",IF(INDEX(J_KRE,I83)=$C$3,INDEX(J_NOM,I83),0))</f>
        <v>13000000</v>
      </c>
      <c r="H83" s="44" t="n">
        <f aca="false">IF(I83="","",N(H82)+IF($C$5="Debet",F83-G83,G83-F83))</f>
        <v>25027749</v>
      </c>
      <c r="I83" s="66" t="n">
        <f aca="false">IF(J83&gt;$K$1,"",IFERROR(MATCH(J83,J_BB,0),""))</f>
        <v>110</v>
      </c>
      <c r="J83" s="66" t="n">
        <v>74</v>
      </c>
      <c r="K83" s="5"/>
    </row>
    <row r="84" customFormat="false" ht="15" hidden="false" customHeight="false" outlineLevel="0" collapsed="false">
      <c r="A84" s="5" t="n">
        <f aca="false">IF(I84="","",J84)</f>
        <v>75</v>
      </c>
      <c r="B84" s="83" t="n">
        <f aca="false">IF(I84="","",INDEX(J_TGL,I84))</f>
        <v>46044</v>
      </c>
      <c r="C84" s="5" t="str">
        <f aca="false">IF(I84="","",INDEX(J_NO,I84))</f>
        <v>JU-0111</v>
      </c>
      <c r="D84" s="5" t="str">
        <f aca="false">IF(I84="","",INDEX(J_KET,I84))</f>
        <v>Belanja besar bahan baku</v>
      </c>
      <c r="E84" s="5" t="str">
        <f aca="false">IF(I84="","",IF(INDEX(J_DEB,I84)=$C$3,INDEX(J_KRE,I84),INDEX(J_DEB,I84)))</f>
        <v>Biaya Bahan Baku</v>
      </c>
      <c r="F84" s="44" t="n">
        <f aca="false">IF(I84="","",IF(INDEX(J_DEB,I84)=$C$3,INDEX(J_NOM,I84),0))</f>
        <v>0</v>
      </c>
      <c r="G84" s="44" t="n">
        <f aca="false">IF(I84="","",IF(INDEX(J_KRE,I84)=$C$3,INDEX(J_NOM,I84),0))</f>
        <v>712500</v>
      </c>
      <c r="H84" s="44" t="n">
        <f aca="false">IF(I84="","",N(H83)+IF($C$5="Debet",F84-G84,G84-F84))</f>
        <v>24315249</v>
      </c>
      <c r="I84" s="66" t="n">
        <f aca="false">IF(J84&gt;$K$1,"",IFERROR(MATCH(J84,J_BB,0),""))</f>
        <v>111</v>
      </c>
      <c r="J84" s="66" t="n">
        <v>75</v>
      </c>
      <c r="K84" s="5"/>
    </row>
    <row r="85" customFormat="false" ht="15" hidden="false" customHeight="false" outlineLevel="0" collapsed="false">
      <c r="A85" s="5" t="n">
        <f aca="false">IF(I85="","",J85)</f>
        <v>76</v>
      </c>
      <c r="B85" s="83" t="n">
        <f aca="false">IF(I85="","",INDEX(J_TGL,I85))</f>
        <v>46044</v>
      </c>
      <c r="C85" s="5" t="str">
        <f aca="false">IF(I85="","",INDEX(J_NO,I85))</f>
        <v>JU-0112</v>
      </c>
      <c r="D85" s="5" t="str">
        <f aca="false">IF(I85="","",INDEX(J_KET,I85))</f>
        <v>Belanja besar alat-alat</v>
      </c>
      <c r="E85" s="5" t="str">
        <f aca="false">IF(I85="","",IF(INDEX(J_DEB,I85)=$C$3,INDEX(J_KRE,I85),INDEX(J_DEB,I85)))</f>
        <v>Biaya Penyajian</v>
      </c>
      <c r="F85" s="44" t="n">
        <f aca="false">IF(I85="","",IF(INDEX(J_DEB,I85)=$C$3,INDEX(J_NOM,I85),0))</f>
        <v>0</v>
      </c>
      <c r="G85" s="44" t="n">
        <f aca="false">IF(I85="","",IF(INDEX(J_KRE,I85)=$C$3,INDEX(J_NOM,I85),0))</f>
        <v>264000</v>
      </c>
      <c r="H85" s="44" t="n">
        <f aca="false">IF(I85="","",N(H84)+IF($C$5="Debet",F85-G85,G85-F85))</f>
        <v>24051249</v>
      </c>
      <c r="I85" s="66" t="n">
        <f aca="false">IF(J85&gt;$K$1,"",IFERROR(MATCH(J85,J_BB,0),""))</f>
        <v>112</v>
      </c>
      <c r="J85" s="66" t="n">
        <v>76</v>
      </c>
      <c r="K85" s="5"/>
    </row>
    <row r="86" customFormat="false" ht="15" hidden="false" customHeight="false" outlineLevel="0" collapsed="false">
      <c r="A86" s="5" t="n">
        <f aca="false">IF(I86="","",J86)</f>
        <v>77</v>
      </c>
      <c r="B86" s="83" t="n">
        <f aca="false">IF(I86="","",INDEX(J_TGL,I86))</f>
        <v>46044</v>
      </c>
      <c r="C86" s="5" t="str">
        <f aca="false">IF(I86="","",INDEX(J_NO,I86))</f>
        <v>JU-0113</v>
      </c>
      <c r="D86" s="5" t="str">
        <f aca="false">IF(I86="","",INDEX(J_KET,I86))</f>
        <v>Belanja besar perlengkapan dan pemeliharaan restoran</v>
      </c>
      <c r="E86" s="5" t="str">
        <f aca="false">IF(I86="","",IF(INDEX(J_DEB,I86)=$C$3,INDEX(J_KRE,I86),INDEX(J_DEB,I86)))</f>
        <v>Beban Perlengkapan</v>
      </c>
      <c r="F86" s="44" t="n">
        <f aca="false">IF(I86="","",IF(INDEX(J_DEB,I86)=$C$3,INDEX(J_NOM,I86),0))</f>
        <v>0</v>
      </c>
      <c r="G86" s="44" t="n">
        <f aca="false">IF(I86="","",IF(INDEX(J_KRE,I86)=$C$3,INDEX(J_NOM,I86),0))</f>
        <v>260400</v>
      </c>
      <c r="H86" s="44" t="n">
        <f aca="false">IF(I86="","",N(H85)+IF($C$5="Debet",F86-G86,G86-F86))</f>
        <v>23790849</v>
      </c>
      <c r="I86" s="66" t="n">
        <f aca="false">IF(J86&gt;$K$1,"",IFERROR(MATCH(J86,J_BB,0),""))</f>
        <v>113</v>
      </c>
      <c r="J86" s="66" t="n">
        <v>77</v>
      </c>
      <c r="K86" s="5"/>
    </row>
    <row r="87" customFormat="false" ht="15" hidden="false" customHeight="false" outlineLevel="0" collapsed="false">
      <c r="A87" s="5" t="n">
        <f aca="false">IF(I87="","",J87)</f>
        <v>78</v>
      </c>
      <c r="B87" s="83" t="n">
        <f aca="false">IF(I87="","",INDEX(J_TGL,I87))</f>
        <v>46044</v>
      </c>
      <c r="C87" s="5" t="str">
        <f aca="false">IF(I87="","",INDEX(J_NO,I87))</f>
        <v>JU-0114</v>
      </c>
      <c r="D87" s="5" t="str">
        <f aca="false">IF(I87="","",INDEX(J_KET,I87))</f>
        <v>Pindah dana BCA ke tunai</v>
      </c>
      <c r="E87" s="5" t="str">
        <f aca="false">IF(I87="","",IF(INDEX(J_DEB,I87)=$C$3,INDEX(J_KRE,I87),INDEX(J_DEB,I87)))</f>
        <v>Kas Tunai</v>
      </c>
      <c r="F87" s="44" t="n">
        <f aca="false">IF(I87="","",IF(INDEX(J_DEB,I87)=$C$3,INDEX(J_NOM,I87),0))</f>
        <v>0</v>
      </c>
      <c r="G87" s="44" t="n">
        <f aca="false">IF(I87="","",IF(INDEX(J_KRE,I87)=$C$3,INDEX(J_NOM,I87),0))</f>
        <v>100000</v>
      </c>
      <c r="H87" s="44" t="n">
        <f aca="false">IF(I87="","",N(H86)+IF($C$5="Debet",F87-G87,G87-F87))</f>
        <v>23690849</v>
      </c>
      <c r="I87" s="66" t="n">
        <f aca="false">IF(J87&gt;$K$1,"",IFERROR(MATCH(J87,J_BB,0),""))</f>
        <v>114</v>
      </c>
      <c r="J87" s="66" t="n">
        <v>78</v>
      </c>
      <c r="K87" s="5"/>
    </row>
    <row r="88" customFormat="false" ht="15" hidden="false" customHeight="false" outlineLevel="0" collapsed="false">
      <c r="A88" s="5" t="n">
        <f aca="false">IF(I88="","",J88)</f>
        <v>79</v>
      </c>
      <c r="B88" s="83" t="n">
        <f aca="false">IF(I88="","",INDEX(J_TGL,I88))</f>
        <v>46045</v>
      </c>
      <c r="C88" s="5" t="str">
        <f aca="false">IF(I88="","",INDEX(J_NO,I88))</f>
        <v>JU-0115</v>
      </c>
      <c r="D88" s="5" t="str">
        <f aca="false">IF(I88="","",INDEX(J_KET,I88))</f>
        <v>Belanja tofico: 2greentea, 2matcha premium, vanilla, blue curacao. Dripp peach</v>
      </c>
      <c r="E88" s="5" t="str">
        <f aca="false">IF(I88="","",IF(INDEX(J_DEB,I88)=$C$3,INDEX(J_KRE,I88),INDEX(J_DEB,I88)))</f>
        <v>Biaya Bahan Baku</v>
      </c>
      <c r="F88" s="44" t="n">
        <f aca="false">IF(I88="","",IF(INDEX(J_DEB,I88)=$C$3,INDEX(J_NOM,I88),0))</f>
        <v>0</v>
      </c>
      <c r="G88" s="44" t="n">
        <f aca="false">IF(I88="","",IF(INDEX(J_KRE,I88)=$C$3,INDEX(J_NOM,I88),0))</f>
        <v>1141000</v>
      </c>
      <c r="H88" s="44" t="n">
        <f aca="false">IF(I88="","",N(H87)+IF($C$5="Debet",F88-G88,G88-F88))</f>
        <v>22549849</v>
      </c>
      <c r="I88" s="66" t="n">
        <f aca="false">IF(J88&gt;$K$1,"",IFERROR(MATCH(J88,J_BB,0),""))</f>
        <v>115</v>
      </c>
      <c r="J88" s="66" t="n">
        <v>79</v>
      </c>
      <c r="K88" s="5"/>
    </row>
    <row r="89" customFormat="false" ht="15" hidden="false" customHeight="false" outlineLevel="0" collapsed="false">
      <c r="A89" s="5" t="n">
        <f aca="false">IF(I89="","",J89)</f>
        <v>80</v>
      </c>
      <c r="B89" s="83" t="n">
        <f aca="false">IF(I89="","",INDEX(J_TGL,I89))</f>
        <v>46045</v>
      </c>
      <c r="C89" s="5" t="str">
        <f aca="false">IF(I89="","",INDEX(J_NO,I89))</f>
        <v>JU-0116</v>
      </c>
      <c r="D89" s="5" t="str">
        <f aca="false">IF(I89="","",INDEX(J_KET,I89))</f>
        <v>Pembayaran croissant batch 137-141 x 49pcs</v>
      </c>
      <c r="E89" s="5" t="str">
        <f aca="false">IF(I89="","",IF(INDEX(J_DEB,I89)=$C$3,INDEX(J_KRE,I89),INDEX(J_DEB,I89)))</f>
        <v>Biaya Bahan Baku</v>
      </c>
      <c r="F89" s="44" t="n">
        <f aca="false">IF(I89="","",IF(INDEX(J_DEB,I89)=$C$3,INDEX(J_NOM,I89),0))</f>
        <v>0</v>
      </c>
      <c r="G89" s="44" t="n">
        <f aca="false">IF(I89="","",IF(INDEX(J_KRE,I89)=$C$3,INDEX(J_NOM,I89),0))</f>
        <v>1075000</v>
      </c>
      <c r="H89" s="44" t="n">
        <f aca="false">IF(I89="","",N(H88)+IF($C$5="Debet",F89-G89,G89-F89))</f>
        <v>21474849</v>
      </c>
      <c r="I89" s="66" t="n">
        <f aca="false">IF(J89&gt;$K$1,"",IFERROR(MATCH(J89,J_BB,0),""))</f>
        <v>116</v>
      </c>
      <c r="J89" s="66" t="n">
        <v>80</v>
      </c>
      <c r="K89" s="5"/>
    </row>
    <row r="90" customFormat="false" ht="15" hidden="false" customHeight="false" outlineLevel="0" collapsed="false">
      <c r="A90" s="5" t="n">
        <f aca="false">IF(I90="","",J90)</f>
        <v>81</v>
      </c>
      <c r="B90" s="83" t="n">
        <f aca="false">IF(I90="","",INDEX(J_TGL,I90))</f>
        <v>46045</v>
      </c>
      <c r="C90" s="5" t="str">
        <f aca="false">IF(I90="","",INDEX(J_NO,I90))</f>
        <v>JU-0117</v>
      </c>
      <c r="D90" s="5" t="str">
        <f aca="false">IF(I90="","",INDEX(J_KET,I90))</f>
        <v>Pembayaran beli return croissant batch 132-141 x 9pcs</v>
      </c>
      <c r="E90" s="5" t="str">
        <f aca="false">IF(I90="","",IF(INDEX(J_DEB,I90)=$C$3,INDEX(J_KRE,I90),INDEX(J_DEB,I90)))</f>
        <v>Biaya Bahan Baku</v>
      </c>
      <c r="F90" s="44" t="n">
        <f aca="false">IF(I90="","",IF(INDEX(J_DEB,I90)=$C$3,INDEX(J_NOM,I90),0))</f>
        <v>0</v>
      </c>
      <c r="G90" s="44" t="n">
        <f aca="false">IF(I90="","",IF(INDEX(J_KRE,I90)=$C$3,INDEX(J_NOM,I90),0))</f>
        <v>90000</v>
      </c>
      <c r="H90" s="44" t="n">
        <f aca="false">IF(I90="","",N(H89)+IF($C$5="Debet",F90-G90,G90-F90))</f>
        <v>21384849</v>
      </c>
      <c r="I90" s="66" t="n">
        <f aca="false">IF(J90&gt;$K$1,"",IFERROR(MATCH(J90,J_BB,0),""))</f>
        <v>117</v>
      </c>
      <c r="J90" s="66" t="n">
        <v>81</v>
      </c>
      <c r="K90" s="5"/>
    </row>
    <row r="91" customFormat="false" ht="15" hidden="false" customHeight="false" outlineLevel="0" collapsed="false">
      <c r="A91" s="5" t="n">
        <f aca="false">IF(I91="","",J91)</f>
        <v>82</v>
      </c>
      <c r="B91" s="83" t="n">
        <f aca="false">IF(I91="","",INDEX(J_TGL,I91))</f>
        <v>46045</v>
      </c>
      <c r="C91" s="5" t="str">
        <f aca="false">IF(I91="","",INDEX(J_NO,I91))</f>
        <v>JU-0118</v>
      </c>
      <c r="D91" s="5" t="str">
        <f aca="false">IF(I91="","",INDEX(J_KET,I91))</f>
        <v>Pembayaran bagel batch 6 x 50pcs</v>
      </c>
      <c r="E91" s="5" t="str">
        <f aca="false">IF(I91="","",IF(INDEX(J_DEB,I91)=$C$3,INDEX(J_KRE,I91),INDEX(J_DEB,I91)))</f>
        <v>Biaya Bahan Baku</v>
      </c>
      <c r="F91" s="44" t="n">
        <f aca="false">IF(I91="","",IF(INDEX(J_DEB,I91)=$C$3,INDEX(J_NOM,I91),0))</f>
        <v>0</v>
      </c>
      <c r="G91" s="44" t="n">
        <f aca="false">IF(I91="","",IF(INDEX(J_KRE,I91)=$C$3,INDEX(J_NOM,I91),0))</f>
        <v>630000</v>
      </c>
      <c r="H91" s="44" t="n">
        <f aca="false">IF(I91="","",N(H90)+IF($C$5="Debet",F91-G91,G91-F91))</f>
        <v>20754849</v>
      </c>
      <c r="I91" s="66" t="n">
        <f aca="false">IF(J91&gt;$K$1,"",IFERROR(MATCH(J91,J_BB,0),""))</f>
        <v>118</v>
      </c>
      <c r="J91" s="66" t="n">
        <v>82</v>
      </c>
      <c r="K91" s="5"/>
    </row>
    <row r="92" customFormat="false" ht="15" hidden="false" customHeight="false" outlineLevel="0" collapsed="false">
      <c r="A92" s="5" t="n">
        <f aca="false">IF(I92="","",J92)</f>
        <v>83</v>
      </c>
      <c r="B92" s="83" t="n">
        <f aca="false">IF(I92="","",INDEX(J_TGL,I92))</f>
        <v>46047</v>
      </c>
      <c r="C92" s="5" t="str">
        <f aca="false">IF(I92="","",INDEX(J_NO,I92))</f>
        <v>JU-0120</v>
      </c>
      <c r="D92" s="5" t="str">
        <f aca="false">IF(I92="","",INDEX(J_KET,I92))</f>
        <v>Belanja soda cola x 8 botol</v>
      </c>
      <c r="E92" s="5" t="str">
        <f aca="false">IF(I92="","",IF(INDEX(J_DEB,I92)=$C$3,INDEX(J_KRE,I92),INDEX(J_DEB,I92)))</f>
        <v>Biaya Bahan Baku</v>
      </c>
      <c r="F92" s="44" t="n">
        <f aca="false">IF(I92="","",IF(INDEX(J_DEB,I92)=$C$3,INDEX(J_NOM,I92),0))</f>
        <v>0</v>
      </c>
      <c r="G92" s="44" t="n">
        <f aca="false">IF(I92="","",IF(INDEX(J_KRE,I92)=$C$3,INDEX(J_NOM,I92),0))</f>
        <v>221600</v>
      </c>
      <c r="H92" s="44" t="n">
        <f aca="false">IF(I92="","",N(H91)+IF($C$5="Debet",F92-G92,G92-F92))</f>
        <v>20533249</v>
      </c>
      <c r="I92" s="66" t="n">
        <f aca="false">IF(J92&gt;$K$1,"",IFERROR(MATCH(J92,J_BB,0),""))</f>
        <v>120</v>
      </c>
      <c r="J92" s="66" t="n">
        <v>83</v>
      </c>
      <c r="K92" s="5"/>
    </row>
    <row r="93" customFormat="false" ht="15" hidden="false" customHeight="false" outlineLevel="0" collapsed="false">
      <c r="A93" s="5" t="n">
        <f aca="false">IF(I93="","",J93)</f>
        <v>84</v>
      </c>
      <c r="B93" s="83" t="n">
        <f aca="false">IF(I93="","",INDEX(J_TGL,I93))</f>
        <v>46047</v>
      </c>
      <c r="C93" s="5" t="str">
        <f aca="false">IF(I93="","",INDEX(J_NO,I93))</f>
        <v>JU-0121</v>
      </c>
      <c r="D93" s="5" t="str">
        <f aca="false">IF(I93="","",INDEX(J_KET,I93))</f>
        <v>Pembayaran ganti rugi tutup seal botol soda hilang x3 pcs</v>
      </c>
      <c r="E93" s="5" t="str">
        <f aca="false">IF(I93="","",IF(INDEX(J_DEB,I93)=$C$3,INDEX(J_KRE,I93),INDEX(J_DEB,I93)))</f>
        <v>Biaya Lainnya</v>
      </c>
      <c r="F93" s="44" t="n">
        <f aca="false">IF(I93="","",IF(INDEX(J_DEB,I93)=$C$3,INDEX(J_NOM,I93),0))</f>
        <v>0</v>
      </c>
      <c r="G93" s="44" t="n">
        <f aca="false">IF(I93="","",IF(INDEX(J_KRE,I93)=$C$3,INDEX(J_NOM,I93),0))</f>
        <v>18000</v>
      </c>
      <c r="H93" s="44" t="n">
        <f aca="false">IF(I93="","",N(H92)+IF($C$5="Debet",F93-G93,G93-F93))</f>
        <v>20515249</v>
      </c>
      <c r="I93" s="66" t="n">
        <f aca="false">IF(J93&gt;$K$1,"",IFERROR(MATCH(J93,J_BB,0),""))</f>
        <v>121</v>
      </c>
      <c r="J93" s="66" t="n">
        <v>84</v>
      </c>
      <c r="K93" s="5"/>
    </row>
    <row r="94" customFormat="false" ht="15" hidden="false" customHeight="false" outlineLevel="0" collapsed="false">
      <c r="A94" s="5" t="n">
        <f aca="false">IF(I94="","",J94)</f>
        <v>85</v>
      </c>
      <c r="B94" s="83" t="n">
        <f aca="false">IF(I94="","",INDEX(J_TGL,I94))</f>
        <v>46047</v>
      </c>
      <c r="C94" s="5" t="str">
        <f aca="false">IF(I94="","",INDEX(J_NO,I94))</f>
        <v>JU-0122</v>
      </c>
      <c r="D94" s="5" t="str">
        <f aca="false">IF(I94="","",INDEX(J_KET,I94))</f>
        <v>Pindah dana tunai ke BCA</v>
      </c>
      <c r="E94" s="5" t="str">
        <f aca="false">IF(I94="","",IF(INDEX(J_DEB,I94)=$C$3,INDEX(J_KRE,I94),INDEX(J_DEB,I94)))</f>
        <v>Kas Tunai</v>
      </c>
      <c r="F94" s="44" t="n">
        <f aca="false">IF(I94="","",IF(INDEX(J_DEB,I94)=$C$3,INDEX(J_NOM,I94),0))</f>
        <v>500000</v>
      </c>
      <c r="G94" s="44" t="n">
        <f aca="false">IF(I94="","",IF(INDEX(J_KRE,I94)=$C$3,INDEX(J_NOM,I94),0))</f>
        <v>0</v>
      </c>
      <c r="H94" s="44" t="n">
        <f aca="false">IF(I94="","",N(H93)+IF($C$5="Debet",F94-G94,G94-F94))</f>
        <v>21015249</v>
      </c>
      <c r="I94" s="66" t="n">
        <f aca="false">IF(J94&gt;$K$1,"",IFERROR(MATCH(J94,J_BB,0),""))</f>
        <v>122</v>
      </c>
      <c r="J94" s="66" t="n">
        <v>85</v>
      </c>
      <c r="K94" s="5"/>
    </row>
    <row r="95" customFormat="false" ht="15" hidden="false" customHeight="false" outlineLevel="0" collapsed="false">
      <c r="A95" s="5" t="n">
        <f aca="false">IF(I95="","",J95)</f>
        <v>86</v>
      </c>
      <c r="B95" s="83" t="n">
        <f aca="false">IF(I95="","",INDEX(J_TGL,I95))</f>
        <v>46048</v>
      </c>
      <c r="C95" s="5" t="str">
        <f aca="false">IF(I95="","",INDEX(J_NO,I95))</f>
        <v>JU-0123</v>
      </c>
      <c r="D95" s="5" t="str">
        <f aca="false">IF(I95="","",INDEX(J_KET,I95))</f>
        <v>Belanja oatside x 5 pcs</v>
      </c>
      <c r="E95" s="5" t="str">
        <f aca="false">IF(I95="","",IF(INDEX(J_DEB,I95)=$C$3,INDEX(J_KRE,I95),INDEX(J_DEB,I95)))</f>
        <v>Biaya Bahan Baku</v>
      </c>
      <c r="F95" s="44" t="n">
        <f aca="false">IF(I95="","",IF(INDEX(J_DEB,I95)=$C$3,INDEX(J_NOM,I95),0))</f>
        <v>0</v>
      </c>
      <c r="G95" s="44" t="n">
        <f aca="false">IF(I95="","",IF(INDEX(J_KRE,I95)=$C$3,INDEX(J_NOM,I95),0))</f>
        <v>200000</v>
      </c>
      <c r="H95" s="44" t="n">
        <f aca="false">IF(I95="","",N(H94)+IF($C$5="Debet",F95-G95,G95-F95))</f>
        <v>20815249</v>
      </c>
      <c r="I95" s="66" t="n">
        <f aca="false">IF(J95&gt;$K$1,"",IFERROR(MATCH(J95,J_BB,0),""))</f>
        <v>123</v>
      </c>
      <c r="J95" s="66" t="n">
        <v>86</v>
      </c>
      <c r="K95" s="5"/>
    </row>
    <row r="96" customFormat="false" ht="15" hidden="false" customHeight="false" outlineLevel="0" collapsed="false">
      <c r="A96" s="5" t="n">
        <f aca="false">IF(I96="","",J96)</f>
        <v>87</v>
      </c>
      <c r="B96" s="83" t="n">
        <f aca="false">IF(I96="","",INDEX(J_TGL,I96))</f>
        <v>46048</v>
      </c>
      <c r="C96" s="5" t="str">
        <f aca="false">IF(I96="","",INDEX(J_NO,I96))</f>
        <v>JU-0124</v>
      </c>
      <c r="D96" s="5" t="str">
        <f aca="false">IF(I96="","",INDEX(J_KET,I96))</f>
        <v>Belanja makanan berat 3 macam / macam 10 pcs</v>
      </c>
      <c r="E96" s="5" t="str">
        <f aca="false">IF(I96="","",IF(INDEX(J_DEB,I96)=$C$3,INDEX(J_KRE,I96),INDEX(J_DEB,I96)))</f>
        <v>Biaya Bahan Baku</v>
      </c>
      <c r="F96" s="44" t="n">
        <f aca="false">IF(I96="","",IF(INDEX(J_DEB,I96)=$C$3,INDEX(J_NOM,I96),0))</f>
        <v>0</v>
      </c>
      <c r="G96" s="44" t="n">
        <f aca="false">IF(I96="","",IF(INDEX(J_KRE,I96)=$C$3,INDEX(J_NOM,I96),0))</f>
        <v>775000</v>
      </c>
      <c r="H96" s="44" t="n">
        <f aca="false">IF(I96="","",N(H95)+IF($C$5="Debet",F96-G96,G96-F96))</f>
        <v>20040249</v>
      </c>
      <c r="I96" s="66" t="n">
        <f aca="false">IF(J96&gt;$K$1,"",IFERROR(MATCH(J96,J_BB,0),""))</f>
        <v>124</v>
      </c>
      <c r="J96" s="66" t="n">
        <v>87</v>
      </c>
      <c r="K96" s="5"/>
    </row>
    <row r="97" customFormat="false" ht="15" hidden="false" customHeight="false" outlineLevel="0" collapsed="false">
      <c r="A97" s="5" t="n">
        <f aca="false">IF(I97="","",J97)</f>
        <v>88</v>
      </c>
      <c r="B97" s="83" t="n">
        <f aca="false">IF(I97="","",INDEX(J_TGL,I97))</f>
        <v>46048</v>
      </c>
      <c r="C97" s="5" t="str">
        <f aca="false">IF(I97="","",INDEX(J_NO,I97))</f>
        <v>JU-0125</v>
      </c>
      <c r="D97" s="5" t="str">
        <f aca="false">IF(I97="","",INDEX(J_KET,I97))</f>
        <v>Biaya transfer flip</v>
      </c>
      <c r="E97" s="5" t="str">
        <f aca="false">IF(I97="","",IF(INDEX(J_DEB,I97)=$C$3,INDEX(J_KRE,I97),INDEX(J_DEB,I97)))</f>
        <v>Biaya Lainnya</v>
      </c>
      <c r="F97" s="44" t="n">
        <f aca="false">IF(I97="","",IF(INDEX(J_DEB,I97)=$C$3,INDEX(J_NOM,I97),0))</f>
        <v>0</v>
      </c>
      <c r="G97" s="44" t="n">
        <f aca="false">IF(I97="","",IF(INDEX(J_KRE,I97)=$C$3,INDEX(J_NOM,I97),0))</f>
        <v>325</v>
      </c>
      <c r="H97" s="44" t="n">
        <f aca="false">IF(I97="","",N(H96)+IF($C$5="Debet",F97-G97,G97-F97))</f>
        <v>20039924</v>
      </c>
      <c r="I97" s="66" t="n">
        <f aca="false">IF(J97&gt;$K$1,"",IFERROR(MATCH(J97,J_BB,0),""))</f>
        <v>125</v>
      </c>
      <c r="J97" s="66" t="n">
        <v>88</v>
      </c>
      <c r="K97" s="5"/>
    </row>
    <row r="98" customFormat="false" ht="15" hidden="false" customHeight="false" outlineLevel="0" collapsed="false">
      <c r="A98" s="5" t="n">
        <f aca="false">IF(I98="","",J98)</f>
        <v>89</v>
      </c>
      <c r="B98" s="83" t="n">
        <f aca="false">IF(I98="","",INDEX(J_TGL,I98))</f>
        <v>46050</v>
      </c>
      <c r="C98" s="5" t="str">
        <f aca="false">IF(I98="","",INDEX(J_NO,I98))</f>
        <v>JU-0138</v>
      </c>
      <c r="D98" s="5" t="str">
        <f aca="false">IF(I98="","",INDEX(J_KET,I98))</f>
        <v>Pindah dana BCA ke tunai</v>
      </c>
      <c r="E98" s="5" t="str">
        <f aca="false">IF(I98="","",IF(INDEX(J_DEB,I98)=$C$3,INDEX(J_KRE,I98),INDEX(J_DEB,I98)))</f>
        <v>Kas Tunai</v>
      </c>
      <c r="F98" s="44" t="n">
        <f aca="false">IF(I98="","",IF(INDEX(J_DEB,I98)=$C$3,INDEX(J_NOM,I98),0))</f>
        <v>0</v>
      </c>
      <c r="G98" s="44" t="n">
        <f aca="false">IF(I98="","",IF(INDEX(J_KRE,I98)=$C$3,INDEX(J_NOM,I98),0))</f>
        <v>2500000</v>
      </c>
      <c r="H98" s="44" t="n">
        <f aca="false">IF(I98="","",N(H97)+IF($C$5="Debet",F98-G98,G98-F98))</f>
        <v>17539924</v>
      </c>
      <c r="I98" s="66" t="n">
        <f aca="false">IF(J98&gt;$K$1,"",IFERROR(MATCH(J98,J_BB,0),""))</f>
        <v>138</v>
      </c>
      <c r="J98" s="66" t="n">
        <v>89</v>
      </c>
      <c r="K98" s="5"/>
    </row>
    <row r="99" customFormat="false" ht="15" hidden="false" customHeight="false" outlineLevel="0" collapsed="false">
      <c r="A99" s="5" t="n">
        <f aca="false">IF(I99="","",J99)</f>
        <v>90</v>
      </c>
      <c r="B99" s="83" t="n">
        <f aca="false">IF(I99="","",INDEX(J_TGL,I99))</f>
        <v>46050</v>
      </c>
      <c r="C99" s="5" t="str">
        <f aca="false">IF(I99="","",INDEX(J_NO,I99))</f>
        <v>JU-0139</v>
      </c>
      <c r="D99" s="5" t="str">
        <f aca="false">IF(I99="","",INDEX(J_KET,I99))</f>
        <v>Belanja unlock water for espresso x 10 galon</v>
      </c>
      <c r="E99" s="5" t="str">
        <f aca="false">IF(I99="","",IF(INDEX(J_DEB,I99)=$C$3,INDEX(J_KRE,I99),INDEX(J_DEB,I99)))</f>
        <v>Biaya Bahan Baku</v>
      </c>
      <c r="F99" s="44" t="n">
        <f aca="false">IF(I99="","",IF(INDEX(J_DEB,I99)=$C$3,INDEX(J_NOM,I99),0))</f>
        <v>0</v>
      </c>
      <c r="G99" s="44" t="n">
        <f aca="false">IF(I99="","",IF(INDEX(J_KRE,I99)=$C$3,INDEX(J_NOM,I99),0))</f>
        <v>180000</v>
      </c>
      <c r="H99" s="44" t="n">
        <f aca="false">IF(I99="","",N(H98)+IF($C$5="Debet",F99-G99,G99-F99))</f>
        <v>17359924</v>
      </c>
      <c r="I99" s="66" t="n">
        <f aca="false">IF(J99&gt;$K$1,"",IFERROR(MATCH(J99,J_BB,0),""))</f>
        <v>139</v>
      </c>
      <c r="J99" s="66" t="n">
        <v>90</v>
      </c>
      <c r="K99" s="5"/>
    </row>
    <row r="100" customFormat="false" ht="15" hidden="false" customHeight="false" outlineLevel="0" collapsed="false">
      <c r="A100" s="5" t="n">
        <f aca="false">IF(I100="","",J100)</f>
        <v>91</v>
      </c>
      <c r="B100" s="83" t="n">
        <f aca="false">IF(I100="","",INDEX(J_TGL,I100))</f>
        <v>46050</v>
      </c>
      <c r="C100" s="5" t="str">
        <f aca="false">IF(I100="","",INDEX(J_NO,I100))</f>
        <v>JU-0140</v>
      </c>
      <c r="D100" s="5" t="str">
        <f aca="false">IF(I100="","",INDEX(J_KET,I100))</f>
        <v>Owner pinjam</v>
      </c>
      <c r="E100" s="5" t="str">
        <f aca="false">IF(I100="","",IF(INDEX(J_DEB,I100)=$C$3,INDEX(J_KRE,I100),INDEX(J_DEB,I100)))</f>
        <v>Piutang Lainnya</v>
      </c>
      <c r="F100" s="44" t="n">
        <f aca="false">IF(I100="","",IF(INDEX(J_DEB,I100)=$C$3,INDEX(J_NOM,I100),0))</f>
        <v>0</v>
      </c>
      <c r="G100" s="44" t="n">
        <f aca="false">IF(I100="","",IF(INDEX(J_KRE,I100)=$C$3,INDEX(J_NOM,I100),0))</f>
        <v>4000000</v>
      </c>
      <c r="H100" s="44" t="n">
        <f aca="false">IF(I100="","",N(H99)+IF($C$5="Debet",F100-G100,G100-F100))</f>
        <v>13359924</v>
      </c>
      <c r="I100" s="66" t="n">
        <f aca="false">IF(J100&gt;$K$1,"",IFERROR(MATCH(J100,J_BB,0),""))</f>
        <v>140</v>
      </c>
      <c r="J100" s="66" t="n">
        <v>91</v>
      </c>
      <c r="K100" s="5"/>
    </row>
    <row r="101" customFormat="false" ht="15" hidden="false" customHeight="false" outlineLevel="0" collapsed="false">
      <c r="A101" s="5" t="n">
        <f aca="false">IF(I101="","",J101)</f>
        <v>92</v>
      </c>
      <c r="B101" s="83" t="n">
        <f aca="false">IF(I101="","",INDEX(J_TGL,I101))</f>
        <v>46051</v>
      </c>
      <c r="C101" s="5" t="str">
        <f aca="false">IF(I101="","",INDEX(J_NO,I101))</f>
        <v>JU-0141</v>
      </c>
      <c r="D101" s="5" t="str">
        <f aca="false">IF(I101="","",INDEX(J_KET,I101))</f>
        <v>Pemasukan lain (uang hilang dituker lewat potong gaji)</v>
      </c>
      <c r="E101" s="5" t="str">
        <f aca="false">IF(I101="","",IF(INDEX(J_DEB,I101)=$C$3,INDEX(J_KRE,I101),INDEX(J_DEB,I101)))</f>
        <v>Pendapatan Lainnya</v>
      </c>
      <c r="F101" s="44" t="n">
        <f aca="false">IF(I101="","",IF(INDEX(J_DEB,I101)=$C$3,INDEX(J_NOM,I101),0))</f>
        <v>100000</v>
      </c>
      <c r="G101" s="44" t="n">
        <f aca="false">IF(I101="","",IF(INDEX(J_KRE,I101)=$C$3,INDEX(J_NOM,I101),0))</f>
        <v>0</v>
      </c>
      <c r="H101" s="44" t="n">
        <f aca="false">IF(I101="","",N(H100)+IF($C$5="Debet",F101-G101,G101-F101))</f>
        <v>13459924</v>
      </c>
      <c r="I101" s="66" t="n">
        <f aca="false">IF(J101&gt;$K$1,"",IFERROR(MATCH(J101,J_BB,0),""))</f>
        <v>141</v>
      </c>
      <c r="J101" s="66" t="n">
        <v>92</v>
      </c>
      <c r="K101" s="5"/>
    </row>
    <row r="102" customFormat="false" ht="15" hidden="false" customHeight="false" outlineLevel="0" collapsed="false">
      <c r="A102" s="5" t="n">
        <f aca="false">IF(I102="","",J102)</f>
        <v>93</v>
      </c>
      <c r="B102" s="83" t="n">
        <f aca="false">IF(I102="","",INDEX(J_TGL,I102))</f>
        <v>46051</v>
      </c>
      <c r="C102" s="5" t="str">
        <f aca="false">IF(I102="","",INDEX(J_NO,I102))</f>
        <v>JU-0142</v>
      </c>
      <c r="D102" s="5" t="str">
        <f aca="false">IF(I102="","",INDEX(J_KET,I102))</f>
        <v>Membayar gaji pegawai</v>
      </c>
      <c r="E102" s="5" t="str">
        <f aca="false">IF(I102="","",IF(INDEX(J_DEB,I102)=$C$3,INDEX(J_KRE,I102),INDEX(J_DEB,I102)))</f>
        <v>Beban Gaji</v>
      </c>
      <c r="F102" s="44" t="n">
        <f aca="false">IF(I102="","",IF(INDEX(J_DEB,I102)=$C$3,INDEX(J_NOM,I102),0))</f>
        <v>0</v>
      </c>
      <c r="G102" s="44" t="n">
        <f aca="false">IF(I102="","",IF(INDEX(J_KRE,I102)=$C$3,INDEX(J_NOM,I102),0))</f>
        <v>22300000</v>
      </c>
      <c r="H102" s="44" t="n">
        <f aca="false">IF(I102="","",N(H101)+IF($C$5="Debet",F102-G102,G102-F102))</f>
        <v>-8840076</v>
      </c>
      <c r="I102" s="66" t="n">
        <f aca="false">IF(J102&gt;$K$1,"",IFERROR(MATCH(J102,J_BB,0),""))</f>
        <v>142</v>
      </c>
      <c r="J102" s="66" t="n">
        <v>93</v>
      </c>
      <c r="K102" s="5"/>
    </row>
    <row r="103" customFormat="false" ht="15" hidden="false" customHeight="false" outlineLevel="0" collapsed="false">
      <c r="A103" s="5" t="n">
        <f aca="false">IF(I103="","",J103)</f>
        <v>94</v>
      </c>
      <c r="B103" s="83" t="n">
        <f aca="false">IF(I103="","",INDEX(J_TGL,I103))</f>
        <v>46051</v>
      </c>
      <c r="C103" s="5" t="str">
        <f aca="false">IF(I103="","",INDEX(J_NO,I103))</f>
        <v>JU-0143</v>
      </c>
      <c r="D103" s="5" t="str">
        <f aca="false">IF(I103="","",INDEX(J_KET,I103))</f>
        <v>Membayar bonus pegawai</v>
      </c>
      <c r="E103" s="5" t="str">
        <f aca="false">IF(I103="","",IF(INDEX(J_DEB,I103)=$C$3,INDEX(J_KRE,I103),INDEX(J_DEB,I103)))</f>
        <v>Beban Gaji</v>
      </c>
      <c r="F103" s="44" t="n">
        <f aca="false">IF(I103="","",IF(INDEX(J_DEB,I103)=$C$3,INDEX(J_NOM,I103),0))</f>
        <v>0</v>
      </c>
      <c r="G103" s="44" t="n">
        <f aca="false">IF(I103="","",IF(INDEX(J_KRE,I103)=$C$3,INDEX(J_NOM,I103),0))</f>
        <v>2000000</v>
      </c>
      <c r="H103" s="44" t="n">
        <f aca="false">IF(I103="","",N(H102)+IF($C$5="Debet",F103-G103,G103-F103))</f>
        <v>-10840076</v>
      </c>
      <c r="I103" s="66" t="n">
        <f aca="false">IF(J103&gt;$K$1,"",IFERROR(MATCH(J103,J_BB,0),""))</f>
        <v>143</v>
      </c>
      <c r="J103" s="66" t="n">
        <v>94</v>
      </c>
      <c r="K103" s="5"/>
    </row>
    <row r="104" customFormat="false" ht="15" hidden="false" customHeight="false" outlineLevel="0" collapsed="false">
      <c r="A104" s="5" t="n">
        <f aca="false">IF(I104="","",J104)</f>
        <v>95</v>
      </c>
      <c r="B104" s="83" t="n">
        <f aca="false">IF(I104="","",INDEX(J_TGL,I104))</f>
        <v>46051</v>
      </c>
      <c r="C104" s="5" t="str">
        <f aca="false">IF(I104="","",INDEX(J_NO,I104))</f>
        <v>JU-0144</v>
      </c>
      <c r="D104" s="5" t="str">
        <f aca="false">IF(I104="","",INDEX(J_KET,I104))</f>
        <v>Biaya flip untuk transfer gaji</v>
      </c>
      <c r="E104" s="5" t="str">
        <f aca="false">IF(I104="","",IF(INDEX(J_DEB,I104)=$C$3,INDEX(J_KRE,I104),INDEX(J_DEB,I104)))</f>
        <v>Biaya Lainnya</v>
      </c>
      <c r="F104" s="44" t="n">
        <f aca="false">IF(I104="","",IF(INDEX(J_DEB,I104)=$C$3,INDEX(J_NOM,I104),0))</f>
        <v>0</v>
      </c>
      <c r="G104" s="44" t="n">
        <f aca="false">IF(I104="","",IF(INDEX(J_KRE,I104)=$C$3,INDEX(J_NOM,I104),0))</f>
        <v>17651</v>
      </c>
      <c r="H104" s="44" t="n">
        <f aca="false">IF(I104="","",N(H103)+IF($C$5="Debet",F104-G104,G104-F104))</f>
        <v>-10857727</v>
      </c>
      <c r="I104" s="66" t="n">
        <f aca="false">IF(J104&gt;$K$1,"",IFERROR(MATCH(J104,J_BB,0),""))</f>
        <v>144</v>
      </c>
      <c r="J104" s="66" t="n">
        <v>95</v>
      </c>
      <c r="K104" s="5"/>
    </row>
    <row r="105" customFormat="false" ht="15" hidden="false" customHeight="false" outlineLevel="0" collapsed="false">
      <c r="A105" s="5" t="n">
        <f aca="false">IF(I105="","",J105)</f>
        <v>96</v>
      </c>
      <c r="B105" s="83" t="n">
        <f aca="false">IF(I105="","",INDEX(J_TGL,I105))</f>
        <v>46051</v>
      </c>
      <c r="C105" s="5" t="str">
        <f aca="false">IF(I105="","",INDEX(J_NO,I105))</f>
        <v>JU-0145</v>
      </c>
      <c r="D105" s="5" t="str">
        <f aca="false">IF(I105="","",INDEX(J_KET,I105))</f>
        <v>Talangan cicilan BRI jaminan Kopi Parang (biaya sewa tempat)</v>
      </c>
      <c r="E105" s="5" t="str">
        <f aca="false">IF(I105="","",IF(INDEX(J_DEB,I105)=$C$3,INDEX(J_KRE,I105),INDEX(J_DEB,I105)))</f>
        <v>Biaya Sewa Tempat</v>
      </c>
      <c r="F105" s="44" t="n">
        <f aca="false">IF(I105="","",IF(INDEX(J_DEB,I105)=$C$3,INDEX(J_NOM,I105),0))</f>
        <v>0</v>
      </c>
      <c r="G105" s="44" t="n">
        <f aca="false">IF(I105="","",IF(INDEX(J_KRE,I105)=$C$3,INDEX(J_NOM,I105),0))</f>
        <v>10000000</v>
      </c>
      <c r="H105" s="44" t="n">
        <f aca="false">IF(I105="","",N(H104)+IF($C$5="Debet",F105-G105,G105-F105))</f>
        <v>-20857727</v>
      </c>
      <c r="I105" s="66" t="n">
        <f aca="false">IF(J105&gt;$K$1,"",IFERROR(MATCH(J105,J_BB,0),""))</f>
        <v>145</v>
      </c>
      <c r="J105" s="66" t="n">
        <v>96</v>
      </c>
      <c r="K105" s="5"/>
    </row>
    <row r="106" customFormat="false" ht="15" hidden="false" customHeight="false" outlineLevel="0" collapsed="false">
      <c r="A106" s="5" t="n">
        <f aca="false">IF(I106="","",J106)</f>
        <v>97</v>
      </c>
      <c r="B106" s="83" t="n">
        <f aca="false">IF(I106="","",INDEX(J_TGL,I106))</f>
        <v>46051</v>
      </c>
      <c r="C106" s="5" t="str">
        <f aca="false">IF(I106="","",INDEX(J_NO,I106))</f>
        <v>JU-0146</v>
      </c>
      <c r="D106" s="5" t="str">
        <f aca="false">IF(I106="","",INDEX(J_KET,I106))</f>
        <v>Belanja PO biji kopi Yantos 24kg untuk operasional menu kopi</v>
      </c>
      <c r="E106" s="5" t="str">
        <f aca="false">IF(I106="","",IF(INDEX(J_DEB,I106)=$C$3,INDEX(J_KRE,I106),INDEX(J_DEB,I106)))</f>
        <v>Biaya Bahan Baku</v>
      </c>
      <c r="F106" s="44" t="n">
        <f aca="false">IF(I106="","",IF(INDEX(J_DEB,I106)=$C$3,INDEX(J_NOM,I106),0))</f>
        <v>0</v>
      </c>
      <c r="G106" s="44" t="n">
        <f aca="false">IF(I106="","",IF(INDEX(J_KRE,I106)=$C$3,INDEX(J_NOM,I106),0))</f>
        <v>6240000</v>
      </c>
      <c r="H106" s="44" t="n">
        <f aca="false">IF(I106="","",N(H105)+IF($C$5="Debet",F106-G106,G106-F106))</f>
        <v>-27097727</v>
      </c>
      <c r="I106" s="66" t="n">
        <f aca="false">IF(J106&gt;$K$1,"",IFERROR(MATCH(J106,J_BB,0),""))</f>
        <v>146</v>
      </c>
      <c r="J106" s="66" t="n">
        <v>97</v>
      </c>
      <c r="K106" s="5"/>
    </row>
    <row r="107" customFormat="false" ht="15" hidden="false" customHeight="false" outlineLevel="0" collapsed="false">
      <c r="A107" s="5" t="n">
        <f aca="false">IF(I107="","",J107)</f>
        <v>98</v>
      </c>
      <c r="B107" s="83" t="n">
        <f aca="false">IF(I107="","",INDEX(J_TGL,I107))</f>
        <v>46051</v>
      </c>
      <c r="C107" s="5" t="str">
        <f aca="false">IF(I107="","",INDEX(J_NO,I107))</f>
        <v>JU-0147</v>
      </c>
      <c r="D107" s="5" t="str">
        <f aca="false">IF(I107="","",INDEX(J_KET,I107))</f>
        <v>Biaya transfer flip</v>
      </c>
      <c r="E107" s="5" t="str">
        <f aca="false">IF(I107="","",IF(INDEX(J_DEB,I107)=$C$3,INDEX(J_KRE,I107),INDEX(J_DEB,I107)))</f>
        <v>Biaya Lainnya</v>
      </c>
      <c r="F107" s="44" t="n">
        <f aca="false">IF(I107="","",IF(INDEX(J_DEB,I107)=$C$3,INDEX(J_NOM,I107),0))</f>
        <v>0</v>
      </c>
      <c r="G107" s="44" t="n">
        <f aca="false">IF(I107="","",IF(INDEX(J_KRE,I107)=$C$3,INDEX(J_NOM,I107),0))</f>
        <v>2325</v>
      </c>
      <c r="H107" s="44" t="n">
        <f aca="false">IF(I107="","",N(H106)+IF($C$5="Debet",F107-G107,G107-F107))</f>
        <v>-27100052</v>
      </c>
      <c r="I107" s="66" t="n">
        <f aca="false">IF(J107&gt;$K$1,"",IFERROR(MATCH(J107,J_BB,0),""))</f>
        <v>147</v>
      </c>
      <c r="J107" s="66" t="n">
        <v>98</v>
      </c>
      <c r="K107" s="5"/>
    </row>
    <row r="108" customFormat="false" ht="15" hidden="false" customHeight="false" outlineLevel="0" collapsed="false">
      <c r="A108" s="5" t="n">
        <f aca="false">IF(I108="","",J108)</f>
        <v>99</v>
      </c>
      <c r="B108" s="83" t="n">
        <f aca="false">IF(I108="","",INDEX(J_TGL,I108))</f>
        <v>46053</v>
      </c>
      <c r="C108" s="5" t="str">
        <f aca="false">IF(I108="","",INDEX(J_NO,I108))</f>
        <v>JU-0148</v>
      </c>
      <c r="D108" s="5" t="str">
        <f aca="false">IF(I108="","",INDEX(J_KET,I108))</f>
        <v>Pembayaran jasa cetak buku menu</v>
      </c>
      <c r="E108" s="5" t="str">
        <f aca="false">IF(I108="","",IF(INDEX(J_DEB,I108)=$C$3,INDEX(J_KRE,I108),INDEX(J_DEB,I108)))</f>
        <v>Biaya Marketing &amp; Promosi</v>
      </c>
      <c r="F108" s="44" t="n">
        <f aca="false">IF(I108="","",IF(INDEX(J_DEB,I108)=$C$3,INDEX(J_NOM,I108),0))</f>
        <v>0</v>
      </c>
      <c r="G108" s="44" t="n">
        <f aca="false">IF(I108="","",IF(INDEX(J_KRE,I108)=$C$3,INDEX(J_NOM,I108),0))</f>
        <v>150000</v>
      </c>
      <c r="H108" s="44" t="n">
        <f aca="false">IF(I108="","",N(H107)+IF($C$5="Debet",F108-G108,G108-F108))</f>
        <v>-27250052</v>
      </c>
      <c r="I108" s="66" t="n">
        <f aca="false">IF(J108&gt;$K$1,"",IFERROR(MATCH(J108,J_BB,0),""))</f>
        <v>148</v>
      </c>
      <c r="J108" s="66" t="n">
        <v>99</v>
      </c>
      <c r="K108" s="5"/>
    </row>
    <row r="109" customFormat="false" ht="15" hidden="false" customHeight="false" outlineLevel="0" collapsed="false">
      <c r="A109" s="5" t="n">
        <f aca="false">IF(I109="","",J109)</f>
        <v>100</v>
      </c>
      <c r="B109" s="83" t="n">
        <f aca="false">IF(I109="","",INDEX(J_TGL,I109))</f>
        <v>46053</v>
      </c>
      <c r="C109" s="5" t="str">
        <f aca="false">IF(I109="","",INDEX(J_NO,I109))</f>
        <v>JU-0149</v>
      </c>
      <c r="D109" s="5" t="str">
        <f aca="false">IF(I109="","",INDEX(J_KET,I109))</f>
        <v>Biaya transfer flip</v>
      </c>
      <c r="E109" s="5" t="str">
        <f aca="false">IF(I109="","",IF(INDEX(J_DEB,I109)=$C$3,INDEX(J_KRE,I109),INDEX(J_DEB,I109)))</f>
        <v>Biaya Lainnya</v>
      </c>
      <c r="F109" s="44" t="n">
        <f aca="false">IF(I109="","",IF(INDEX(J_DEB,I109)=$C$3,INDEX(J_NOM,I109),0))</f>
        <v>0</v>
      </c>
      <c r="G109" s="44" t="n">
        <f aca="false">IF(I109="","",IF(INDEX(J_KRE,I109)=$C$3,INDEX(J_NOM,I109),0))</f>
        <v>1336</v>
      </c>
      <c r="H109" s="44" t="n">
        <f aca="false">IF(I109="","",N(H108)+IF($C$5="Debet",F109-G109,G109-F109))</f>
        <v>-27251388</v>
      </c>
      <c r="I109" s="66" t="n">
        <f aca="false">IF(J109&gt;$K$1,"",IFERROR(MATCH(J109,J_BB,0),""))</f>
        <v>149</v>
      </c>
      <c r="J109" s="66" t="n">
        <v>100</v>
      </c>
      <c r="K109" s="5"/>
    </row>
    <row r="110" customFormat="false" ht="15" hidden="false" customHeight="false" outlineLevel="0" collapsed="false">
      <c r="A110" s="5" t="n">
        <f aca="false">IF(I110="","",J110)</f>
        <v>101</v>
      </c>
      <c r="B110" s="83" t="n">
        <f aca="false">IF(I110="","",INDEX(J_TGL,I110))</f>
        <v>46053</v>
      </c>
      <c r="C110" s="5" t="str">
        <f aca="false">IF(I110="","",INDEX(J_NO,I110))</f>
        <v>JU-0150</v>
      </c>
      <c r="D110" s="5" t="str">
        <f aca="false">IF(I110="","",INDEX(J_KET,I110))</f>
        <v>Belanja susu freshmilk gf x 3 ctn</v>
      </c>
      <c r="E110" s="5" t="str">
        <f aca="false">IF(I110="","",IF(INDEX(J_DEB,I110)=$C$3,INDEX(J_KRE,I110),INDEX(J_DEB,I110)))</f>
        <v>Biaya Bahan Baku</v>
      </c>
      <c r="F110" s="44" t="n">
        <f aca="false">IF(I110="","",IF(INDEX(J_DEB,I110)=$C$3,INDEX(J_NOM,I110),0))</f>
        <v>0</v>
      </c>
      <c r="G110" s="44" t="n">
        <f aca="false">IF(I110="","",IF(INDEX(J_KRE,I110)=$C$3,INDEX(J_NOM,I110),0))</f>
        <v>741000</v>
      </c>
      <c r="H110" s="44" t="n">
        <f aca="false">IF(I110="","",N(H109)+IF($C$5="Debet",F110-G110,G110-F110))</f>
        <v>-27992388</v>
      </c>
      <c r="I110" s="66" t="n">
        <f aca="false">IF(J110&gt;$K$1,"",IFERROR(MATCH(J110,J_BB,0),""))</f>
        <v>150</v>
      </c>
      <c r="J110" s="66" t="n">
        <v>101</v>
      </c>
      <c r="K110" s="5"/>
    </row>
    <row r="111" customFormat="false" ht="15" hidden="false" customHeight="false" outlineLevel="0" collapsed="false">
      <c r="A111" s="5" t="n">
        <f aca="false">IF(I111="","",J111)</f>
        <v>102</v>
      </c>
      <c r="B111" s="83" t="n">
        <f aca="false">IF(I111="","",INDEX(J_TGL,I111))</f>
        <v>46053</v>
      </c>
      <c r="C111" s="5" t="str">
        <f aca="false">IF(I111="","",INDEX(J_NO,I111))</f>
        <v>JU-0151</v>
      </c>
      <c r="D111" s="5" t="str">
        <f aca="false">IF(I111="","",INDEX(J_KET,I111))</f>
        <v>Pembayaran DP kedua web develop TMS</v>
      </c>
      <c r="E111" s="5" t="str">
        <f aca="false">IF(I111="","",IF(INDEX(J_DEB,I111)=$C$3,INDEX(J_KRE,I111),INDEX(J_DEB,I111)))</f>
        <v>Biaya Marketing &amp; Promosi</v>
      </c>
      <c r="F111" s="44" t="n">
        <f aca="false">IF(I111="","",IF(INDEX(J_DEB,I111)=$C$3,INDEX(J_NOM,I111),0))</f>
        <v>0</v>
      </c>
      <c r="G111" s="44" t="n">
        <f aca="false">IF(I111="","",IF(INDEX(J_KRE,I111)=$C$3,INDEX(J_NOM,I111),0))</f>
        <v>3150000</v>
      </c>
      <c r="H111" s="44" t="n">
        <f aca="false">IF(I111="","",N(H110)+IF($C$5="Debet",F111-G111,G111-F111))</f>
        <v>-31142388</v>
      </c>
      <c r="I111" s="66" t="n">
        <f aca="false">IF(J111&gt;$K$1,"",IFERROR(MATCH(J111,J_BB,0),""))</f>
        <v>151</v>
      </c>
      <c r="J111" s="66" t="n">
        <v>102</v>
      </c>
      <c r="K111" s="5"/>
    </row>
    <row r="112" customFormat="false" ht="15" hidden="false" customHeight="false" outlineLevel="0" collapsed="false">
      <c r="A112" s="5" t="n">
        <f aca="false">IF(I112="","",J112)</f>
        <v>103</v>
      </c>
      <c r="B112" s="83" t="n">
        <f aca="false">IF(I112="","",INDEX(J_TGL,I112))</f>
        <v>46053</v>
      </c>
      <c r="C112" s="5" t="str">
        <f aca="false">IF(I112="","",INDEX(J_NO,I112))</f>
        <v>JU-0152</v>
      </c>
      <c r="D112" s="5" t="str">
        <f aca="false">IF(I112="","",INDEX(J_KET,I112))</f>
        <v>Pembayaran sponsorship kerja sama dengan UNS</v>
      </c>
      <c r="E112" s="5" t="str">
        <f aca="false">IF(I112="","",IF(INDEX(J_DEB,I112)=$C$3,INDEX(J_KRE,I112),INDEX(J_DEB,I112)))</f>
        <v>Dana Sosial &amp; CSR</v>
      </c>
      <c r="F112" s="44" t="n">
        <f aca="false">IF(I112="","",IF(INDEX(J_DEB,I112)=$C$3,INDEX(J_NOM,I112),0))</f>
        <v>0</v>
      </c>
      <c r="G112" s="44" t="n">
        <f aca="false">IF(I112="","",IF(INDEX(J_KRE,I112)=$C$3,INDEX(J_NOM,I112),0))</f>
        <v>2000000</v>
      </c>
      <c r="H112" s="44" t="n">
        <f aca="false">IF(I112="","",N(H111)+IF($C$5="Debet",F112-G112,G112-F112))</f>
        <v>-33142388</v>
      </c>
      <c r="I112" s="66" t="n">
        <f aca="false">IF(J112&gt;$K$1,"",IFERROR(MATCH(J112,J_BB,0),""))</f>
        <v>152</v>
      </c>
      <c r="J112" s="66" t="n">
        <v>103</v>
      </c>
      <c r="K112" s="5"/>
    </row>
    <row r="113" customFormat="false" ht="15" hidden="false" customHeight="false" outlineLevel="0" collapsed="false">
      <c r="A113" s="5" t="n">
        <f aca="false">IF(I113="","",J113)</f>
        <v>104</v>
      </c>
      <c r="B113" s="83" t="n">
        <f aca="false">IF(I113="","",INDEX(J_TGL,I113))</f>
        <v>46053</v>
      </c>
      <c r="C113" s="5" t="str">
        <f aca="false">IF(I113="","",INDEX(J_NO,I113))</f>
        <v>JU-0153</v>
      </c>
      <c r="D113" s="5" t="str">
        <f aca="false">IF(I113="","",INDEX(J_KET,I113))</f>
        <v>Biaya transfer flip</v>
      </c>
      <c r="E113" s="5" t="str">
        <f aca="false">IF(I113="","",IF(INDEX(J_DEB,I113)=$C$3,INDEX(J_KRE,I113),INDEX(J_DEB,I113)))</f>
        <v>Biaya Lainnya</v>
      </c>
      <c r="F113" s="44" t="n">
        <f aca="false">IF(I113="","",IF(INDEX(J_DEB,I113)=$C$3,INDEX(J_NOM,I113),0))</f>
        <v>0</v>
      </c>
      <c r="G113" s="44" t="n">
        <f aca="false">IF(I113="","",IF(INDEX(J_KRE,I113)=$C$3,INDEX(J_NOM,I113),0))</f>
        <v>3326</v>
      </c>
      <c r="H113" s="44" t="n">
        <f aca="false">IF(I113="","",N(H112)+IF($C$5="Debet",F113-G113,G113-F113))</f>
        <v>-33145714</v>
      </c>
      <c r="I113" s="66" t="n">
        <f aca="false">IF(J113&gt;$K$1,"",IFERROR(MATCH(J113,J_BB,0),""))</f>
        <v>153</v>
      </c>
      <c r="J113" s="66" t="n">
        <v>104</v>
      </c>
      <c r="K113" s="5"/>
    </row>
    <row r="114" customFormat="false" ht="15" hidden="false" customHeight="false" outlineLevel="0" collapsed="false">
      <c r="A114" s="5" t="n">
        <f aca="false">IF(I114="","",J114)</f>
        <v>105</v>
      </c>
      <c r="B114" s="83" t="n">
        <f aca="false">IF(I114="","",INDEX(J_TGL,I114))</f>
        <v>46053</v>
      </c>
      <c r="C114" s="5" t="str">
        <f aca="false">IF(I114="","",INDEX(J_NO,I114))</f>
        <v>JU-0155</v>
      </c>
      <c r="D114" s="5" t="str">
        <f aca="false">IF(I114="","",INDEX(J_KET,I114))</f>
        <v>Pembayaran service printer</v>
      </c>
      <c r="E114" s="5" t="str">
        <f aca="false">IF(I114="","",IF(INDEX(J_DEB,I114)=$C$3,INDEX(J_KRE,I114),INDEX(J_DEB,I114)))</f>
        <v>Biaya Pemeliharaan</v>
      </c>
      <c r="F114" s="44" t="n">
        <f aca="false">IF(I114="","",IF(INDEX(J_DEB,I114)=$C$3,INDEX(J_NOM,I114),0))</f>
        <v>0</v>
      </c>
      <c r="G114" s="44" t="n">
        <f aca="false">IF(I114="","",IF(INDEX(J_KRE,I114)=$C$3,INDEX(J_NOM,I114),0))</f>
        <v>950000</v>
      </c>
      <c r="H114" s="44" t="n">
        <f aca="false">IF(I114="","",N(H113)+IF($C$5="Debet",F114-G114,G114-F114))</f>
        <v>-34095714</v>
      </c>
      <c r="I114" s="66" t="n">
        <f aca="false">IF(J114&gt;$K$1,"",IFERROR(MATCH(J114,J_BB,0),""))</f>
        <v>155</v>
      </c>
      <c r="J114" s="66" t="n">
        <v>105</v>
      </c>
      <c r="K114" s="5"/>
    </row>
    <row r="115" customFormat="false" ht="15" hidden="false" customHeight="false" outlineLevel="0" collapsed="false">
      <c r="A115" s="5" t="n">
        <f aca="false">IF(I115="","",J115)</f>
        <v>106</v>
      </c>
      <c r="B115" s="83" t="n">
        <f aca="false">IF(I115="","",INDEX(J_TGL,I115))</f>
        <v>46053</v>
      </c>
      <c r="C115" s="5" t="str">
        <f aca="false">IF(I115="","",INDEX(J_NO,I115))</f>
        <v>JU-0156</v>
      </c>
      <c r="D115" s="5" t="str">
        <f aca="false">IF(I115="","",INDEX(J_KET,I115))</f>
        <v>Biaya transfer flip</v>
      </c>
      <c r="E115" s="5" t="str">
        <f aca="false">IF(I115="","",IF(INDEX(J_DEB,I115)=$C$3,INDEX(J_KRE,I115),INDEX(J_DEB,I115)))</f>
        <v>Biaya Lainnya</v>
      </c>
      <c r="F115" s="44" t="n">
        <f aca="false">IF(I115="","",IF(INDEX(J_DEB,I115)=$C$3,INDEX(J_NOM,I115),0))</f>
        <v>0</v>
      </c>
      <c r="G115" s="44" t="n">
        <f aca="false">IF(I115="","",IF(INDEX(J_KRE,I115)=$C$3,INDEX(J_NOM,I115),0))</f>
        <v>2325</v>
      </c>
      <c r="H115" s="44" t="n">
        <f aca="false">IF(I115="","",N(H114)+IF($C$5="Debet",F115-G115,G115-F115))</f>
        <v>-34098039</v>
      </c>
      <c r="I115" s="66" t="n">
        <f aca="false">IF(J115&gt;$K$1,"",IFERROR(MATCH(J115,J_BB,0),""))</f>
        <v>156</v>
      </c>
      <c r="J115" s="66" t="n">
        <v>106</v>
      </c>
      <c r="K115" s="5"/>
    </row>
    <row r="116" customFormat="false" ht="15" hidden="false" customHeight="false" outlineLevel="0" collapsed="false">
      <c r="A116" s="5" t="n">
        <f aca="false">IF(I116="","",J116)</f>
        <v>107</v>
      </c>
      <c r="B116" s="83" t="n">
        <f aca="false">IF(I116="","",INDEX(J_TGL,I116))</f>
        <v>46053</v>
      </c>
      <c r="C116" s="5" t="str">
        <f aca="false">IF(I116="","",INDEX(J_NO,I116))</f>
        <v>JU-0164</v>
      </c>
      <c r="D116" s="5" t="str">
        <f aca="false">IF(I116="","",INDEX(J_KET,I116))</f>
        <v>Belanja susu UHT  ultamilk x 2 ctn</v>
      </c>
      <c r="E116" s="5" t="str">
        <f aca="false">IF(I116="","",IF(INDEX(J_DEB,I116)=$C$3,INDEX(J_KRE,I116),INDEX(J_DEB,I116)))</f>
        <v>Biaya Bahan Baku</v>
      </c>
      <c r="F116" s="44" t="n">
        <f aca="false">IF(I116="","",IF(INDEX(J_DEB,I116)=$C$3,INDEX(J_NOM,I116),0))</f>
        <v>0</v>
      </c>
      <c r="G116" s="44" t="n">
        <f aca="false">IF(I116="","",IF(INDEX(J_KRE,I116)=$C$3,INDEX(J_NOM,I116),0))</f>
        <v>600000</v>
      </c>
      <c r="H116" s="44" t="n">
        <f aca="false">IF(I116="","",N(H115)+IF($C$5="Debet",F116-G116,G116-F116))</f>
        <v>-34698039</v>
      </c>
      <c r="I116" s="66" t="n">
        <f aca="false">IF(J116&gt;$K$1,"",IFERROR(MATCH(J116,J_BB,0),""))</f>
        <v>164</v>
      </c>
      <c r="J116" s="66" t="n">
        <v>107</v>
      </c>
      <c r="K116" s="5"/>
    </row>
    <row r="117" customFormat="false" ht="15" hidden="false" customHeight="false" outlineLevel="0" collapsed="false">
      <c r="A117" s="5" t="n">
        <f aca="false">IF(I117="","",J117)</f>
        <v>108</v>
      </c>
      <c r="B117" s="83" t="n">
        <f aca="false">IF(I117="","",INDEX(J_TGL,I117))</f>
        <v>46053</v>
      </c>
      <c r="C117" s="5" t="str">
        <f aca="false">IF(I117="","",INDEX(J_NO,I117))</f>
        <v>JU-0165</v>
      </c>
      <c r="D117" s="5" t="str">
        <f aca="false">IF(I117="","",INDEX(J_KET,I117))</f>
        <v>Menerima pelunasan piutang Einstein</v>
      </c>
      <c r="E117" s="5" t="str">
        <f aca="false">IF(I117="","",IF(INDEX(J_DEB,I117)=$C$3,INDEX(J_KRE,I117),INDEX(J_DEB,I117)))</f>
        <v>Piutang Lainnya</v>
      </c>
      <c r="F117" s="44" t="n">
        <f aca="false">IF(I117="","",IF(INDEX(J_DEB,I117)=$C$3,INDEX(J_NOM,I117),0))</f>
        <v>312200</v>
      </c>
      <c r="G117" s="44" t="n">
        <f aca="false">IF(I117="","",IF(INDEX(J_KRE,I117)=$C$3,INDEX(J_NOM,I117),0))</f>
        <v>0</v>
      </c>
      <c r="H117" s="44" t="n">
        <f aca="false">IF(I117="","",N(H116)+IF($C$5="Debet",F117-G117,G117-F117))</f>
        <v>-34385839</v>
      </c>
      <c r="I117" s="66" t="n">
        <f aca="false">IF(J117&gt;$K$1,"",IFERROR(MATCH(J117,J_BB,0),""))</f>
        <v>165</v>
      </c>
      <c r="J117" s="66" t="n">
        <v>108</v>
      </c>
      <c r="K117" s="5"/>
    </row>
    <row r="118" customFormat="false" ht="15" hidden="false" customHeight="false" outlineLevel="0" collapsed="false">
      <c r="A118" s="5" t="n">
        <f aca="false">IF(I118="","",J118)</f>
        <v>109</v>
      </c>
      <c r="B118" s="83" t="n">
        <f aca="false">IF(I118="","",INDEX(J_TGL,I118))</f>
        <v>46053</v>
      </c>
      <c r="C118" s="5" t="str">
        <f aca="false">IF(I118="","",INDEX(J_NO,I118))</f>
        <v>JU-0166</v>
      </c>
      <c r="D118" s="5" t="str">
        <f aca="false">IF(I118="","",INDEX(J_KET,I118))</f>
        <v>Menerima pelunasan piutang Einstein (Yantos)</v>
      </c>
      <c r="E118" s="5" t="str">
        <f aca="false">IF(I118="","",IF(INDEX(J_DEB,I118)=$C$3,INDEX(J_KRE,I118),INDEX(J_DEB,I118)))</f>
        <v>Piutang Usaha Cafe</v>
      </c>
      <c r="F118" s="44" t="n">
        <f aca="false">IF(I118="","",IF(INDEX(J_DEB,I118)=$C$3,INDEX(J_NOM,I118),0))</f>
        <v>1000000</v>
      </c>
      <c r="G118" s="44" t="n">
        <f aca="false">IF(I118="","",IF(INDEX(J_KRE,I118)=$C$3,INDEX(J_NOM,I118),0))</f>
        <v>0</v>
      </c>
      <c r="H118" s="44" t="n">
        <f aca="false">IF(I118="","",N(H117)+IF($C$5="Debet",F118-G118,G118-F118))</f>
        <v>-33385839</v>
      </c>
      <c r="I118" s="66" t="n">
        <f aca="false">IF(J118&gt;$K$1,"",IFERROR(MATCH(J118,J_BB,0),""))</f>
        <v>166</v>
      </c>
      <c r="J118" s="66" t="n">
        <v>109</v>
      </c>
      <c r="K118" s="5"/>
    </row>
    <row r="119" customFormat="false" ht="15" hidden="false" customHeight="false" outlineLevel="0" collapsed="false">
      <c r="A119" s="5" t="n">
        <f aca="false">IF(I119="","",J119)</f>
        <v>110</v>
      </c>
      <c r="B119" s="83" t="n">
        <f aca="false">IF(I119="","",INDEX(J_TGL,I119))</f>
        <v>46053</v>
      </c>
      <c r="C119" s="5" t="str">
        <f aca="false">IF(I119="","",INDEX(J_NO,I119))</f>
        <v>JU-0167</v>
      </c>
      <c r="D119" s="5" t="str">
        <f aca="false">IF(I119="","",INDEX(J_KET,I119))</f>
        <v>Gaji Januari Einstein tidak diambil</v>
      </c>
      <c r="E119" s="5" t="str">
        <f aca="false">IF(I119="","",IF(INDEX(J_DEB,I119)=$C$3,INDEX(J_KRE,I119),INDEX(J_DEB,I119)))</f>
        <v>Utang Usaha Lancar</v>
      </c>
      <c r="F119" s="44" t="n">
        <f aca="false">IF(I119="","",IF(INDEX(J_DEB,I119)=$C$3,INDEX(J_NOM,I119),0))</f>
        <v>2687800</v>
      </c>
      <c r="G119" s="44" t="n">
        <f aca="false">IF(I119="","",IF(INDEX(J_KRE,I119)=$C$3,INDEX(J_NOM,I119),0))</f>
        <v>0</v>
      </c>
      <c r="H119" s="44" t="n">
        <f aca="false">IF(I119="","",N(H118)+IF($C$5="Debet",F119-G119,G119-F119))</f>
        <v>-30698039</v>
      </c>
      <c r="I119" s="66" t="n">
        <f aca="false">IF(J119&gt;$K$1,"",IFERROR(MATCH(J119,J_BB,0),""))</f>
        <v>167</v>
      </c>
      <c r="J119" s="66" t="n">
        <v>110</v>
      </c>
      <c r="K119" s="5"/>
    </row>
    <row r="120" customFormat="false" ht="15" hidden="false" customHeight="false" outlineLevel="0" collapsed="false">
      <c r="A120" s="5" t="n">
        <f aca="false">IF(I120="","",J120)</f>
        <v>111</v>
      </c>
      <c r="B120" s="83" t="n">
        <f aca="false">IF(I120="","",INDEX(J_TGL,I120))</f>
        <v>46053</v>
      </c>
      <c r="C120" s="5" t="str">
        <f aca="false">IF(I120="","",INDEX(J_NO,I120))</f>
        <v>JU-0168</v>
      </c>
      <c r="D120" s="5" t="str">
        <f aca="false">IF(I120="","",INDEX(J_KET,I120))</f>
        <v>Pendapatan bunga rekening bank BCA</v>
      </c>
      <c r="E120" s="5" t="str">
        <f aca="false">IF(I120="","",IF(INDEX(J_DEB,I120)=$C$3,INDEX(J_KRE,I120),INDEX(J_DEB,I120)))</f>
        <v>Pendapatan Lainnya</v>
      </c>
      <c r="F120" s="44" t="n">
        <f aca="false">IF(I120="","",IF(INDEX(J_DEB,I120)=$C$3,INDEX(J_NOM,I120),0))</f>
        <v>948</v>
      </c>
      <c r="G120" s="44" t="n">
        <f aca="false">IF(I120="","",IF(INDEX(J_KRE,I120)=$C$3,INDEX(J_NOM,I120),0))</f>
        <v>0</v>
      </c>
      <c r="H120" s="44" t="n">
        <f aca="false">IF(I120="","",N(H119)+IF($C$5="Debet",F120-G120,G120-F120))</f>
        <v>-30697091</v>
      </c>
      <c r="I120" s="66" t="n">
        <f aca="false">IF(J120&gt;$K$1,"",IFERROR(MATCH(J120,J_BB,0),""))</f>
        <v>168</v>
      </c>
      <c r="J120" s="66" t="n">
        <v>111</v>
      </c>
      <c r="K120" s="5"/>
    </row>
    <row r="121" customFormat="false" ht="15" hidden="false" customHeight="false" outlineLevel="0" collapsed="false">
      <c r="A121" s="5" t="n">
        <f aca="false">IF(I121="","",J121)</f>
        <v>112</v>
      </c>
      <c r="B121" s="83" t="n">
        <f aca="false">IF(I121="","",INDEX(J_TGL,I121))</f>
        <v>46053</v>
      </c>
      <c r="C121" s="5" t="str">
        <f aca="false">IF(I121="","",INDEX(J_NO,I121))</f>
        <v>JU-0169</v>
      </c>
      <c r="D121" s="5" t="str">
        <f aca="false">IF(I121="","",INDEX(J_KET,I121))</f>
        <v>Pengeluaran pajak bunga rekening bank BCA</v>
      </c>
      <c r="E121" s="5" t="str">
        <f aca="false">IF(I121="","",IF(INDEX(J_DEB,I121)=$C$3,INDEX(J_KRE,I121),INDEX(J_DEB,I121)))</f>
        <v>Biaya Lainnya</v>
      </c>
      <c r="F121" s="44" t="n">
        <f aca="false">IF(I121="","",IF(INDEX(J_DEB,I121)=$C$3,INDEX(J_NOM,I121),0))</f>
        <v>0</v>
      </c>
      <c r="G121" s="44" t="n">
        <f aca="false">IF(I121="","",IF(INDEX(J_KRE,I121)=$C$3,INDEX(J_NOM,I121),0))</f>
        <v>189</v>
      </c>
      <c r="H121" s="44" t="n">
        <f aca="false">IF(I121="","",N(H120)+IF($C$5="Debet",F121-G121,G121-F121))</f>
        <v>-30697280</v>
      </c>
      <c r="I121" s="66" t="n">
        <f aca="false">IF(J121&gt;$K$1,"",IFERROR(MATCH(J121,J_BB,0),""))</f>
        <v>169</v>
      </c>
      <c r="J121" s="66" t="n">
        <v>112</v>
      </c>
      <c r="K121" s="5"/>
    </row>
    <row r="122" customFormat="false" ht="15" hidden="false" customHeight="false" outlineLevel="0" collapsed="false">
      <c r="A122" s="5" t="n">
        <f aca="false">IF(I122="","",J122)</f>
        <v>113</v>
      </c>
      <c r="B122" s="83" t="n">
        <f aca="false">IF(I122="","",INDEX(J_TGL,I122))</f>
        <v>46053</v>
      </c>
      <c r="C122" s="5" t="str">
        <f aca="false">IF(I122="","",INDEX(J_NO,I122))</f>
        <v>JU-0170</v>
      </c>
      <c r="D122" s="5" t="str">
        <f aca="false">IF(I122="","",INDEX(J_KET,I122))</f>
        <v>Pindah dana tunai ke BCA</v>
      </c>
      <c r="E122" s="5" t="str">
        <f aca="false">IF(I122="","",IF(INDEX(J_DEB,I122)=$C$3,INDEX(J_KRE,I122),INDEX(J_DEB,I122)))</f>
        <v>Kas Tunai</v>
      </c>
      <c r="F122" s="44" t="n">
        <f aca="false">IF(I122="","",IF(INDEX(J_DEB,I122)=$C$3,INDEX(J_NOM,I122),0))</f>
        <v>6100000</v>
      </c>
      <c r="G122" s="44" t="n">
        <f aca="false">IF(I122="","",IF(INDEX(J_KRE,I122)=$C$3,INDEX(J_NOM,I122),0))</f>
        <v>0</v>
      </c>
      <c r="H122" s="44" t="n">
        <f aca="false">IF(I122="","",N(H121)+IF($C$5="Debet",F122-G122,G122-F122))</f>
        <v>-24597280</v>
      </c>
      <c r="I122" s="66" t="n">
        <f aca="false">IF(J122&gt;$K$1,"",IFERROR(MATCH(J122,J_BB,0),""))</f>
        <v>170</v>
      </c>
      <c r="J122" s="66" t="n">
        <v>113</v>
      </c>
      <c r="K122" s="5"/>
    </row>
    <row r="123" customFormat="false" ht="15" hidden="false" customHeight="false" outlineLevel="0" collapsed="false">
      <c r="A123" s="5" t="n">
        <f aca="false">IF(I123="","",J123)</f>
        <v>114</v>
      </c>
      <c r="B123" s="83" t="n">
        <f aca="false">IF(I123="","",INDEX(J_TGL,I123))</f>
        <v>46053</v>
      </c>
      <c r="C123" s="5" t="str">
        <f aca="false">IF(I123="","",INDEX(J_NO,I123))</f>
        <v>JU-0171</v>
      </c>
      <c r="D123" s="5" t="str">
        <f aca="false">IF(I123="","",INDEX(J_KET,I123))</f>
        <v>Tagihan listrik Januari 2026</v>
      </c>
      <c r="E123" s="5" t="str">
        <f aca="false">IF(I123="","",IF(INDEX(J_DEB,I123)=$C$3,INDEX(J_KRE,I123),INDEX(J_DEB,I123)))</f>
        <v>Biaya Tagihan Bulanan</v>
      </c>
      <c r="F123" s="44" t="n">
        <f aca="false">IF(I123="","",IF(INDEX(J_DEB,I123)=$C$3,INDEX(J_NOM,I123),0))</f>
        <v>0</v>
      </c>
      <c r="G123" s="44" t="n">
        <f aca="false">IF(I123="","",IF(INDEX(J_KRE,I123)=$C$3,INDEX(J_NOM,I123),0))</f>
        <v>3888617</v>
      </c>
      <c r="H123" s="44" t="n">
        <f aca="false">IF(I123="","",N(H122)+IF($C$5="Debet",F123-G123,G123-F123))</f>
        <v>-28485897</v>
      </c>
      <c r="I123" s="66" t="n">
        <f aca="false">IF(J123&gt;$K$1,"",IFERROR(MATCH(J123,J_BB,0),""))</f>
        <v>171</v>
      </c>
      <c r="J123" s="66" t="n">
        <v>114</v>
      </c>
      <c r="K123" s="5"/>
    </row>
    <row r="124" customFormat="false" ht="15" hidden="false" customHeight="false" outlineLevel="0" collapsed="false">
      <c r="A124" s="5" t="n">
        <f aca="false">IF(I124="","",J124)</f>
        <v>115</v>
      </c>
      <c r="B124" s="83" t="n">
        <f aca="false">IF(I124="","",INDEX(J_TGL,I124))</f>
        <v>46053</v>
      </c>
      <c r="C124" s="5" t="str">
        <f aca="false">IF(I124="","",INDEX(J_NO,I124))</f>
        <v>JU-0172</v>
      </c>
      <c r="D124" s="5" t="str">
        <f aca="false">IF(I124="","",INDEX(J_KET,I124))</f>
        <v>Tagihan telepon Januari 2026</v>
      </c>
      <c r="E124" s="5" t="str">
        <f aca="false">IF(I124="","",IF(INDEX(J_DEB,I124)=$C$3,INDEX(J_KRE,I124),INDEX(J_DEB,I124)))</f>
        <v>Biaya Tagihan Bulanan</v>
      </c>
      <c r="F124" s="44" t="n">
        <f aca="false">IF(I124="","",IF(INDEX(J_DEB,I124)=$C$3,INDEX(J_NOM,I124),0))</f>
        <v>0</v>
      </c>
      <c r="G124" s="44" t="n">
        <f aca="false">IF(I124="","",IF(INDEX(J_KRE,I124)=$C$3,INDEX(J_NOM,I124),0))</f>
        <v>56891</v>
      </c>
      <c r="H124" s="44" t="n">
        <f aca="false">IF(I124="","",N(H123)+IF($C$5="Debet",F124-G124,G124-F124))</f>
        <v>-28542788</v>
      </c>
      <c r="I124" s="66" t="n">
        <f aca="false">IF(J124&gt;$K$1,"",IFERROR(MATCH(J124,J_BB,0),""))</f>
        <v>172</v>
      </c>
      <c r="J124" s="66" t="n">
        <v>115</v>
      </c>
      <c r="K124" s="5"/>
    </row>
    <row r="125" customFormat="false" ht="15" hidden="false" customHeight="false" outlineLevel="0" collapsed="false">
      <c r="A125" s="5" t="n">
        <f aca="false">IF(I125="","",J125)</f>
        <v>116</v>
      </c>
      <c r="B125" s="83" t="n">
        <f aca="false">IF(I125="","",INDEX(J_TGL,I125))</f>
        <v>46053</v>
      </c>
      <c r="C125" s="5" t="str">
        <f aca="false">IF(I125="","",INDEX(J_NO,I125))</f>
        <v>JU-0173</v>
      </c>
      <c r="D125" s="5" t="str">
        <f aca="false">IF(I125="","",INDEX(J_KET,I125))</f>
        <v>Tagihan internet Januari 2026</v>
      </c>
      <c r="E125" s="5" t="str">
        <f aca="false">IF(I125="","",IF(INDEX(J_DEB,I125)=$C$3,INDEX(J_KRE,I125),INDEX(J_DEB,I125)))</f>
        <v>Biaya Tagihan Bulanan</v>
      </c>
      <c r="F125" s="44" t="n">
        <f aca="false">IF(I125="","",IF(INDEX(J_DEB,I125)=$C$3,INDEX(J_NOM,I125),0))</f>
        <v>0</v>
      </c>
      <c r="G125" s="44" t="n">
        <f aca="false">IF(I125="","",IF(INDEX(J_KRE,I125)=$C$3,INDEX(J_NOM,I125),0))</f>
        <v>386450</v>
      </c>
      <c r="H125" s="44" t="n">
        <f aca="false">IF(I125="","",N(H124)+IF($C$5="Debet",F125-G125,G125-F125))</f>
        <v>-28929238</v>
      </c>
      <c r="I125" s="66" t="n">
        <f aca="false">IF(J125&gt;$K$1,"",IFERROR(MATCH(J125,J_BB,0),""))</f>
        <v>173</v>
      </c>
      <c r="J125" s="66" t="n">
        <v>116</v>
      </c>
      <c r="K125" s="5"/>
    </row>
    <row r="126" customFormat="false" ht="15" hidden="false" customHeight="false" outlineLevel="0" collapsed="false">
      <c r="A126" s="5" t="n">
        <f aca="false">IF(I126="","",J126)</f>
        <v>117</v>
      </c>
      <c r="B126" s="83" t="n">
        <f aca="false">IF(I126="","",INDEX(J_TGL,I126))</f>
        <v>46053</v>
      </c>
      <c r="C126" s="5" t="str">
        <f aca="false">IF(I126="","",INDEX(J_NO,I126))</f>
        <v>JU-0175</v>
      </c>
      <c r="D126" s="5" t="str">
        <f aca="false">IF(I126="","",INDEX(J_KET,I126))</f>
        <v>Pajak daerah PBJT-CAFE ke Bank Jateng Bapenda</v>
      </c>
      <c r="E126" s="5" t="str">
        <f aca="false">IF(I126="","",IF(INDEX(J_DEB,I126)=$C$3,INDEX(J_KRE,I126),INDEX(J_DEB,I126)))</f>
        <v>Pajak Restoran</v>
      </c>
      <c r="F126" s="44" t="n">
        <f aca="false">IF(I126="","",IF(INDEX(J_DEB,I126)=$C$3,INDEX(J_NOM,I126),0))</f>
        <v>0</v>
      </c>
      <c r="G126" s="44" t="n">
        <f aca="false">IF(I126="","",IF(INDEX(J_KRE,I126)=$C$3,INDEX(J_NOM,I126),0))</f>
        <v>2056200</v>
      </c>
      <c r="H126" s="44" t="n">
        <f aca="false">IF(I126="","",N(H125)+IF($C$5="Debet",F126-G126,G126-F126))</f>
        <v>-30985438</v>
      </c>
      <c r="I126" s="66" t="n">
        <f aca="false">IF(J126&gt;$K$1,"",IFERROR(MATCH(J126,J_BB,0),""))</f>
        <v>175</v>
      </c>
      <c r="J126" s="66" t="n">
        <v>117</v>
      </c>
      <c r="K126" s="5"/>
    </row>
    <row r="127" customFormat="false" ht="15" hidden="false" customHeight="false" outlineLevel="0" collapsed="false">
      <c r="A127" s="5" t="n">
        <f aca="false">IF(I127="","",J127)</f>
        <v>118</v>
      </c>
      <c r="B127" s="83" t="n">
        <f aca="false">IF(I127="","",INDEX(J_TGL,I127))</f>
        <v>46053</v>
      </c>
      <c r="C127" s="5" t="str">
        <f aca="false">IF(I127="","",INDEX(J_NO,I127))</f>
        <v>JU-0176</v>
      </c>
      <c r="D127" s="5" t="str">
        <f aca="false">IF(I127="","",INDEX(J_KET,I127))</f>
        <v>Denda terlambat pembayaran pajak daerah</v>
      </c>
      <c r="E127" s="5" t="str">
        <f aca="false">IF(I127="","",IF(INDEX(J_DEB,I127)=$C$3,INDEX(J_KRE,I127),INDEX(J_DEB,I127)))</f>
        <v>Biaya Lainnya</v>
      </c>
      <c r="F127" s="44" t="n">
        <f aca="false">IF(I127="","",IF(INDEX(J_DEB,I127)=$C$3,INDEX(J_NOM,I127),0))</f>
        <v>0</v>
      </c>
      <c r="G127" s="44" t="n">
        <f aca="false">IF(I127="","",IF(INDEX(J_KRE,I127)=$C$3,INDEX(J_NOM,I127),0))</f>
        <v>20600</v>
      </c>
      <c r="H127" s="44" t="n">
        <f aca="false">IF(I127="","",N(H126)+IF($C$5="Debet",F127-G127,G127-F127))</f>
        <v>-31006038</v>
      </c>
      <c r="I127" s="66" t="n">
        <f aca="false">IF(J127&gt;$K$1,"",IFERROR(MATCH(J127,J_BB,0),""))</f>
        <v>176</v>
      </c>
      <c r="J127" s="66" t="n">
        <v>118</v>
      </c>
      <c r="K127" s="5"/>
    </row>
    <row r="128" customFormat="false" ht="15" hidden="false" customHeight="false" outlineLevel="0" collapsed="false">
      <c r="A128" s="5" t="n">
        <f aca="false">IF(I128="","",J128)</f>
        <v>119</v>
      </c>
      <c r="B128" s="83" t="n">
        <f aca="false">IF(I128="","",INDEX(J_TGL,I128))</f>
        <v>46053</v>
      </c>
      <c r="C128" s="5" t="str">
        <f aca="false">IF(I128="","",INDEX(J_NO,I128))</f>
        <v>JU-0179</v>
      </c>
      <c r="D128" s="5" t="str">
        <f aca="false">IF(I128="","",INDEX(J_KET,I128))</f>
        <v>Realisasi EDC/QRIS omzet bulan Januari</v>
      </c>
      <c r="E128" s="5" t="str">
        <f aca="false">IF(I128="","",IF(INDEX(J_DEB,I128)=$C$3,INDEX(J_KRE,I128),INDEX(J_DEB,I128)))</f>
        <v>Piutang Usaha Cafe</v>
      </c>
      <c r="F128" s="44" t="n">
        <f aca="false">IF(I128="","",IF(INDEX(J_DEB,I128)=$C$3,INDEX(J_NOM,I128),0))</f>
        <v>65445977</v>
      </c>
      <c r="G128" s="44" t="n">
        <f aca="false">IF(I128="","",IF(INDEX(J_KRE,I128)=$C$3,INDEX(J_NOM,I128),0))</f>
        <v>0</v>
      </c>
      <c r="H128" s="44" t="n">
        <f aca="false">IF(I128="","",N(H127)+IF($C$5="Debet",F128-G128,G128-F128))</f>
        <v>34439939</v>
      </c>
      <c r="I128" s="66" t="n">
        <f aca="false">IF(J128&gt;$K$1,"",IFERROR(MATCH(J128,J_BB,0),""))</f>
        <v>179</v>
      </c>
      <c r="J128" s="66" t="n">
        <v>119</v>
      </c>
      <c r="K128" s="5"/>
    </row>
    <row r="129" customFormat="false" ht="15" hidden="false" customHeight="false" outlineLevel="0" collapsed="false">
      <c r="A129" s="5" t="n">
        <f aca="false">IF(I129="","",J129)</f>
        <v>120</v>
      </c>
      <c r="B129" s="83" t="n">
        <f aca="false">IF(I129="","",INDEX(J_TGL,I129))</f>
        <v>46055</v>
      </c>
      <c r="C129" s="5" t="str">
        <f aca="false">IF(I129="","",INDEX(J_NO,I129))</f>
        <v>JU-0185</v>
      </c>
      <c r="D129" s="5" t="str">
        <f aca="false">IF(I129="","",INDEX(J_KET,I129))</f>
        <v>Belanja PO biji kopi Yantos 24kg untuk menu kopi susu/sandikala</v>
      </c>
      <c r="E129" s="5" t="str">
        <f aca="false">IF(I129="","",IF(INDEX(J_DEB,I129)=$C$3,INDEX(J_KRE,I129),INDEX(J_DEB,I129)))</f>
        <v>Biaya Bahan Baku</v>
      </c>
      <c r="F129" s="44" t="n">
        <f aca="false">IF(I129="","",IF(INDEX(J_DEB,I129)=$C$3,INDEX(J_NOM,I129),0))</f>
        <v>0</v>
      </c>
      <c r="G129" s="44" t="n">
        <f aca="false">IF(I129="","",IF(INDEX(J_KRE,I129)=$C$3,INDEX(J_NOM,I129),0))</f>
        <v>5760000</v>
      </c>
      <c r="H129" s="44" t="n">
        <f aca="false">IF(I129="","",N(H128)+IF($C$5="Debet",F129-G129,G129-F129))</f>
        <v>28679939</v>
      </c>
      <c r="I129" s="66" t="n">
        <f aca="false">IF(J129&gt;$K$1,"",IFERROR(MATCH(J129,J_BB,0),""))</f>
        <v>185</v>
      </c>
      <c r="J129" s="66" t="n">
        <v>120</v>
      </c>
      <c r="K129" s="5"/>
    </row>
    <row r="130" customFormat="false" ht="15" hidden="false" customHeight="false" outlineLevel="0" collapsed="false">
      <c r="A130" s="5" t="n">
        <f aca="false">IF(I130="","",J130)</f>
        <v>121</v>
      </c>
      <c r="B130" s="83" t="n">
        <f aca="false">IF(I130="","",INDEX(J_TGL,I130))</f>
        <v>46055</v>
      </c>
      <c r="C130" s="5" t="str">
        <f aca="false">IF(I130="","",INDEX(J_NO,I130))</f>
        <v>JU-0186</v>
      </c>
      <c r="D130" s="5" t="str">
        <f aca="false">IF(I130="","",INDEX(J_KET,I130))</f>
        <v>Belanja PO biji kopi Yantos 3kg untuk menu exotic</v>
      </c>
      <c r="E130" s="5" t="str">
        <f aca="false">IF(I130="","",IF(INDEX(J_DEB,I130)=$C$3,INDEX(J_KRE,I130),INDEX(J_DEB,I130)))</f>
        <v>Biaya Bahan Baku</v>
      </c>
      <c r="F130" s="44" t="n">
        <f aca="false">IF(I130="","",IF(INDEX(J_DEB,I130)=$C$3,INDEX(J_NOM,I130),0))</f>
        <v>0</v>
      </c>
      <c r="G130" s="44" t="n">
        <f aca="false">IF(I130="","",IF(INDEX(J_KRE,I130)=$C$3,INDEX(J_NOM,I130),0))</f>
        <v>900000</v>
      </c>
      <c r="H130" s="44" t="n">
        <f aca="false">IF(I130="","",N(H129)+IF($C$5="Debet",F130-G130,G130-F130))</f>
        <v>27779939</v>
      </c>
      <c r="I130" s="66" t="n">
        <f aca="false">IF(J130&gt;$K$1,"",IFERROR(MATCH(J130,J_BB,0),""))</f>
        <v>186</v>
      </c>
      <c r="J130" s="66" t="n">
        <v>121</v>
      </c>
      <c r="K130" s="5"/>
    </row>
    <row r="131" customFormat="false" ht="15" hidden="false" customHeight="false" outlineLevel="0" collapsed="false">
      <c r="A131" s="5" t="n">
        <f aca="false">IF(I131="","",J131)</f>
        <v>122</v>
      </c>
      <c r="B131" s="83" t="n">
        <f aca="false">IF(I131="","",INDEX(J_TGL,I131))</f>
        <v>46055</v>
      </c>
      <c r="C131" s="5" t="str">
        <f aca="false">IF(I131="","",INDEX(J_NO,I131))</f>
        <v>JU-0187</v>
      </c>
      <c r="D131" s="5" t="str">
        <f aca="false">IF(I131="","",INDEX(J_KET,I131))</f>
        <v>Pengembalian saldo minimal dari BRI Bisnis</v>
      </c>
      <c r="E131" s="5" t="str">
        <f aca="false">IF(I131="","",IF(INDEX(J_DEB,I131)=$C$3,INDEX(J_KRE,I131),INDEX(J_DEB,I131)))</f>
        <v>Piutang Usaha Cafe</v>
      </c>
      <c r="F131" s="44" t="n">
        <f aca="false">IF(I131="","",IF(INDEX(J_DEB,I131)=$C$3,INDEX(J_NOM,I131),0))</f>
        <v>500000</v>
      </c>
      <c r="G131" s="44" t="n">
        <f aca="false">IF(I131="","",IF(INDEX(J_KRE,I131)=$C$3,INDEX(J_NOM,I131),0))</f>
        <v>0</v>
      </c>
      <c r="H131" s="44" t="n">
        <f aca="false">IF(I131="","",N(H130)+IF($C$5="Debet",F131-G131,G131-F131))</f>
        <v>28279939</v>
      </c>
      <c r="I131" s="66" t="n">
        <f aca="false">IF(J131&gt;$K$1,"",IFERROR(MATCH(J131,J_BB,0),""))</f>
        <v>187</v>
      </c>
      <c r="J131" s="66" t="n">
        <v>122</v>
      </c>
      <c r="K131" s="5"/>
    </row>
    <row r="132" customFormat="false" ht="15" hidden="false" customHeight="false" outlineLevel="0" collapsed="false">
      <c r="A132" s="5" t="n">
        <f aca="false">IF(I132="","",J132)</f>
        <v>123</v>
      </c>
      <c r="B132" s="83" t="n">
        <f aca="false">IF(I132="","",INDEX(J_TGL,I132))</f>
        <v>46055</v>
      </c>
      <c r="C132" s="5" t="str">
        <f aca="false">IF(I132="","",INDEX(J_NO,I132))</f>
        <v>JU-0188</v>
      </c>
      <c r="D132" s="5" t="str">
        <f aca="false">IF(I132="","",INDEX(J_KET,I132))</f>
        <v>Biaya transfer flip</v>
      </c>
      <c r="E132" s="5" t="str">
        <f aca="false">IF(I132="","",IF(INDEX(J_DEB,I132)=$C$3,INDEX(J_KRE,I132),INDEX(J_DEB,I132)))</f>
        <v>Biaya Lainnya</v>
      </c>
      <c r="F132" s="44" t="n">
        <f aca="false">IF(I132="","",IF(INDEX(J_DEB,I132)=$C$3,INDEX(J_NOM,I132),0))</f>
        <v>0</v>
      </c>
      <c r="G132" s="44" t="n">
        <f aca="false">IF(I132="","",IF(INDEX(J_KRE,I132)=$C$3,INDEX(J_NOM,I132),0))</f>
        <v>325</v>
      </c>
      <c r="H132" s="44" t="n">
        <f aca="false">IF(I132="","",N(H131)+IF($C$5="Debet",F132-G132,G132-F132))</f>
        <v>28279614</v>
      </c>
      <c r="I132" s="66" t="n">
        <f aca="false">IF(J132&gt;$K$1,"",IFERROR(MATCH(J132,J_BB,0),""))</f>
        <v>188</v>
      </c>
      <c r="J132" s="66" t="n">
        <v>123</v>
      </c>
      <c r="K132" s="5"/>
    </row>
    <row r="133" customFormat="false" ht="15" hidden="false" customHeight="false" outlineLevel="0" collapsed="false">
      <c r="A133" s="5" t="n">
        <f aca="false">IF(I133="","",J133)</f>
        <v>124</v>
      </c>
      <c r="B133" s="83" t="n">
        <f aca="false">IF(I133="","",INDEX(J_TGL,I133))</f>
        <v>46056</v>
      </c>
      <c r="C133" s="5" t="str">
        <f aca="false">IF(I133="","",INDEX(J_NO,I133))</f>
        <v>JU-0194</v>
      </c>
      <c r="D133" s="5" t="str">
        <f aca="false">IF(I133="","",INDEX(J_KET,I133))</f>
        <v>Nasi box berkah x 50 porsi</v>
      </c>
      <c r="E133" s="5" t="str">
        <f aca="false">IF(I133="","",IF(INDEX(J_DEB,I133)=$C$3,INDEX(J_KRE,I133),INDEX(J_DEB,I133)))</f>
        <v>Dana Sosial &amp; CSR</v>
      </c>
      <c r="F133" s="44" t="n">
        <f aca="false">IF(I133="","",IF(INDEX(J_DEB,I133)=$C$3,INDEX(J_NOM,I133),0))</f>
        <v>0</v>
      </c>
      <c r="G133" s="44" t="n">
        <f aca="false">IF(I133="","",IF(INDEX(J_KRE,I133)=$C$3,INDEX(J_NOM,I133),0))</f>
        <v>800000</v>
      </c>
      <c r="H133" s="44" t="n">
        <f aca="false">IF(I133="","",N(H132)+IF($C$5="Debet",F133-G133,G133-F133))</f>
        <v>27479614</v>
      </c>
      <c r="I133" s="66" t="n">
        <f aca="false">IF(J133&gt;$K$1,"",IFERROR(MATCH(J133,J_BB,0),""))</f>
        <v>194</v>
      </c>
      <c r="J133" s="66" t="n">
        <v>124</v>
      </c>
      <c r="K133" s="5"/>
    </row>
    <row r="134" customFormat="false" ht="15" hidden="false" customHeight="false" outlineLevel="0" collapsed="false">
      <c r="A134" s="5" t="n">
        <f aca="false">IF(I134="","",J134)</f>
        <v>125</v>
      </c>
      <c r="B134" s="83" t="n">
        <f aca="false">IF(I134="","",INDEX(J_TGL,I134))</f>
        <v>46057</v>
      </c>
      <c r="C134" s="5" t="str">
        <f aca="false">IF(I134="","",INDEX(J_NO,I134))</f>
        <v>JU-0195</v>
      </c>
      <c r="D134" s="5" t="str">
        <f aca="false">IF(I134="","",INDEX(J_KET,I134))</f>
        <v>Susu UHT ultramilk 5 karton isi 60 pack</v>
      </c>
      <c r="E134" s="5" t="str">
        <f aca="false">IF(I134="","",IF(INDEX(J_DEB,I134)=$C$3,INDEX(J_KRE,I134),INDEX(J_DEB,I134)))</f>
        <v>Biaya Bahan Baku</v>
      </c>
      <c r="F134" s="44" t="n">
        <f aca="false">IF(I134="","",IF(INDEX(J_DEB,I134)=$C$3,INDEX(J_NOM,I134),0))</f>
        <v>0</v>
      </c>
      <c r="G134" s="44" t="n">
        <f aca="false">IF(I134="","",IF(INDEX(J_KRE,I134)=$C$3,INDEX(J_NOM,I134),0))</f>
        <v>1100000</v>
      </c>
      <c r="H134" s="44" t="n">
        <f aca="false">IF(I134="","",N(H133)+IF($C$5="Debet",F134-G134,G134-F134))</f>
        <v>26379614</v>
      </c>
      <c r="I134" s="66" t="n">
        <f aca="false">IF(J134&gt;$K$1,"",IFERROR(MATCH(J134,J_BB,0),""))</f>
        <v>195</v>
      </c>
      <c r="J134" s="66" t="n">
        <v>125</v>
      </c>
      <c r="K134" s="5"/>
    </row>
    <row r="135" customFormat="false" ht="15" hidden="false" customHeight="false" outlineLevel="0" collapsed="false">
      <c r="A135" s="5" t="n">
        <f aca="false">IF(I135="","",J135)</f>
        <v>126</v>
      </c>
      <c r="B135" s="83" t="n">
        <f aca="false">IF(I135="","",INDEX(J_TGL,I135))</f>
        <v>46057</v>
      </c>
      <c r="C135" s="5" t="str">
        <f aca="false">IF(I135="","",INDEX(J_NO,I135))</f>
        <v>JU-0196</v>
      </c>
      <c r="D135" s="5" t="str">
        <f aca="false">IF(I135="","",INDEX(J_KET,I135))</f>
        <v>Tissue 2 dus isi 24 pack</v>
      </c>
      <c r="E135" s="5" t="str">
        <f aca="false">IF(I135="","",IF(INDEX(J_DEB,I135)=$C$3,INDEX(J_KRE,I135),INDEX(J_DEB,I135)))</f>
        <v>Biaya Penyajian</v>
      </c>
      <c r="F135" s="44" t="n">
        <f aca="false">IF(I135="","",IF(INDEX(J_DEB,I135)=$C$3,INDEX(J_NOM,I135),0))</f>
        <v>0</v>
      </c>
      <c r="G135" s="44" t="n">
        <f aca="false">IF(I135="","",IF(INDEX(J_KRE,I135)=$C$3,INDEX(J_NOM,I135),0))</f>
        <v>336010</v>
      </c>
      <c r="H135" s="44" t="n">
        <f aca="false">IF(I135="","",N(H134)+IF($C$5="Debet",F135-G135,G135-F135))</f>
        <v>26043604</v>
      </c>
      <c r="I135" s="66" t="n">
        <f aca="false">IF(J135&gt;$K$1,"",IFERROR(MATCH(J135,J_BB,0),""))</f>
        <v>196</v>
      </c>
      <c r="J135" s="66" t="n">
        <v>126</v>
      </c>
      <c r="K135" s="5"/>
    </row>
    <row r="136" customFormat="false" ht="15" hidden="false" customHeight="false" outlineLevel="0" collapsed="false">
      <c r="A136" s="5" t="n">
        <f aca="false">IF(I136="","",J136)</f>
        <v>127</v>
      </c>
      <c r="B136" s="83" t="n">
        <f aca="false">IF(I136="","",INDEX(J_TGL,I136))</f>
        <v>46058</v>
      </c>
      <c r="C136" s="5" t="str">
        <f aca="false">IF(I136="","",INDEX(J_NO,I136))</f>
        <v>JU-0197</v>
      </c>
      <c r="D136" s="5" t="str">
        <f aca="false">IF(I136="","",INDEX(J_KET,I136))</f>
        <v>Susu UHT ultramilk 10 karton isi 120 pack</v>
      </c>
      <c r="E136" s="5" t="str">
        <f aca="false">IF(I136="","",IF(INDEX(J_DEB,I136)=$C$3,INDEX(J_KRE,I136),INDEX(J_DEB,I136)))</f>
        <v>Biaya Bahan Baku</v>
      </c>
      <c r="F136" s="44" t="n">
        <f aca="false">IF(I136="","",IF(INDEX(J_DEB,I136)=$C$3,INDEX(J_NOM,I136),0))</f>
        <v>0</v>
      </c>
      <c r="G136" s="44" t="n">
        <f aca="false">IF(I136="","",IF(INDEX(J_KRE,I136)=$C$3,INDEX(J_NOM,I136),0))</f>
        <v>2200000</v>
      </c>
      <c r="H136" s="44" t="n">
        <f aca="false">IF(I136="","",N(H135)+IF($C$5="Debet",F136-G136,G136-F136))</f>
        <v>23843604</v>
      </c>
      <c r="I136" s="66" t="n">
        <f aca="false">IF(J136&gt;$K$1,"",IFERROR(MATCH(J136,J_BB,0),""))</f>
        <v>197</v>
      </c>
      <c r="J136" s="66" t="n">
        <v>127</v>
      </c>
      <c r="K136" s="5"/>
    </row>
    <row r="137" customFormat="false" ht="15" hidden="false" customHeight="false" outlineLevel="0" collapsed="false">
      <c r="A137" s="5" t="n">
        <f aca="false">IF(I137="","",J137)</f>
        <v>128</v>
      </c>
      <c r="B137" s="83" t="n">
        <f aca="false">IF(I137="","",INDEX(J_TGL,I137))</f>
        <v>46059</v>
      </c>
      <c r="C137" s="5" t="str">
        <f aca="false">IF(I137="","",INDEX(J_NO,I137))</f>
        <v>JU-0198</v>
      </c>
      <c r="D137" s="5" t="str">
        <f aca="false">IF(I137="","",INDEX(J_KET,I137))</f>
        <v>Pindah dana tunai ke BCA</v>
      </c>
      <c r="E137" s="5" t="str">
        <f aca="false">IF(I137="","",IF(INDEX(J_DEB,I137)=$C$3,INDEX(J_KRE,I137),INDEX(J_DEB,I137)))</f>
        <v>Kas Tunai</v>
      </c>
      <c r="F137" s="44" t="n">
        <f aca="false">IF(I137="","",IF(INDEX(J_DEB,I137)=$C$3,INDEX(J_NOM,I137),0))</f>
        <v>7650000</v>
      </c>
      <c r="G137" s="44" t="n">
        <f aca="false">IF(I137="","",IF(INDEX(J_KRE,I137)=$C$3,INDEX(J_NOM,I137),0))</f>
        <v>0</v>
      </c>
      <c r="H137" s="44" t="n">
        <f aca="false">IF(I137="","",N(H136)+IF($C$5="Debet",F137-G137,G137-F137))</f>
        <v>31493604</v>
      </c>
      <c r="I137" s="66" t="n">
        <f aca="false">IF(J137&gt;$K$1,"",IFERROR(MATCH(J137,J_BB,0),""))</f>
        <v>198</v>
      </c>
      <c r="J137" s="66" t="n">
        <v>128</v>
      </c>
      <c r="K137" s="5"/>
    </row>
    <row r="138" customFormat="false" ht="15" hidden="false" customHeight="false" outlineLevel="0" collapsed="false">
      <c r="A138" s="5" t="n">
        <f aca="false">IF(I138="","",J138)</f>
        <v>129</v>
      </c>
      <c r="B138" s="83" t="n">
        <f aca="false">IF(I138="","",INDEX(J_TGL,I138))</f>
        <v>46059</v>
      </c>
      <c r="C138" s="5" t="str">
        <f aca="false">IF(I138="","",INDEX(J_NO,I138))</f>
        <v>JU-0199</v>
      </c>
      <c r="D138" s="5" t="str">
        <f aca="false">IF(I138="","",INDEX(J_KET,I138))</f>
        <v>Biaya transfer flip</v>
      </c>
      <c r="E138" s="5" t="str">
        <f aca="false">IF(I138="","",IF(INDEX(J_DEB,I138)=$C$3,INDEX(J_KRE,I138),INDEX(J_DEB,I138)))</f>
        <v>Biaya Lainnya</v>
      </c>
      <c r="F138" s="44" t="n">
        <f aca="false">IF(I138="","",IF(INDEX(J_DEB,I138)=$C$3,INDEX(J_NOM,I138),0))</f>
        <v>0</v>
      </c>
      <c r="G138" s="44" t="n">
        <f aca="false">IF(I138="","",IF(INDEX(J_KRE,I138)=$C$3,INDEX(J_NOM,I138),0))</f>
        <v>370</v>
      </c>
      <c r="H138" s="44" t="n">
        <f aca="false">IF(I138="","",N(H137)+IF($C$5="Debet",F138-G138,G138-F138))</f>
        <v>31493234</v>
      </c>
      <c r="I138" s="66" t="n">
        <f aca="false">IF(J138&gt;$K$1,"",IFERROR(MATCH(J138,J_BB,0),""))</f>
        <v>199</v>
      </c>
      <c r="J138" s="66" t="n">
        <v>129</v>
      </c>
      <c r="K138" s="5"/>
    </row>
    <row r="139" customFormat="false" ht="15" hidden="false" customHeight="false" outlineLevel="0" collapsed="false">
      <c r="A139" s="5" t="n">
        <f aca="false">IF(I139="","",J139)</f>
        <v>130</v>
      </c>
      <c r="B139" s="83" t="n">
        <f aca="false">IF(I139="","",INDEX(J_TGL,I139))</f>
        <v>46061</v>
      </c>
      <c r="C139" s="5" t="str">
        <f aca="false">IF(I139="","",INDEX(J_NO,I139))</f>
        <v>JU-0200</v>
      </c>
      <c r="D139" s="5" t="str">
        <f aca="false">IF(I139="","",INDEX(J_KET,I139))</f>
        <v>Frozen food : crinkle 2zak, sosis champ &amp; sosis beef @2kg/item</v>
      </c>
      <c r="E139" s="5" t="str">
        <f aca="false">IF(I139="","",IF(INDEX(J_DEB,I139)=$C$3,INDEX(J_KRE,I139),INDEX(J_DEB,I139)))</f>
        <v>Biaya Bahan Baku</v>
      </c>
      <c r="F139" s="44" t="n">
        <f aca="false">IF(I139="","",IF(INDEX(J_DEB,I139)=$C$3,INDEX(J_NOM,I139),0))</f>
        <v>0</v>
      </c>
      <c r="G139" s="44" t="n">
        <f aca="false">IF(I139="","",IF(INDEX(J_KRE,I139)=$C$3,INDEX(J_NOM,I139),0))</f>
        <v>358500</v>
      </c>
      <c r="H139" s="44" t="n">
        <f aca="false">IF(I139="","",N(H138)+IF($C$5="Debet",F139-G139,G139-F139))</f>
        <v>31134734</v>
      </c>
      <c r="I139" s="66" t="n">
        <f aca="false">IF(J139&gt;$K$1,"",IFERROR(MATCH(J139,J_BB,0),""))</f>
        <v>200</v>
      </c>
      <c r="J139" s="66" t="n">
        <v>130</v>
      </c>
      <c r="K139" s="5"/>
    </row>
    <row r="140" customFormat="false" ht="15" hidden="false" customHeight="false" outlineLevel="0" collapsed="false">
      <c r="A140" s="5" t="n">
        <f aca="false">IF(I140="","",J140)</f>
        <v>131</v>
      </c>
      <c r="B140" s="83" t="n">
        <f aca="false">IF(I140="","",INDEX(J_TGL,I140))</f>
        <v>46061</v>
      </c>
      <c r="C140" s="5" t="str">
        <f aca="false">IF(I140="","",INDEX(J_NO,I140))</f>
        <v>JU-0201</v>
      </c>
      <c r="D140" s="5" t="str">
        <f aca="false">IF(I140="","",INDEX(J_KET,I140))</f>
        <v>Susu Freshmilk greenfield 4 karton isi 48</v>
      </c>
      <c r="E140" s="5" t="str">
        <f aca="false">IF(I140="","",IF(INDEX(J_DEB,I140)=$C$3,INDEX(J_KRE,I140),INDEX(J_DEB,I140)))</f>
        <v>Biaya Bahan Baku</v>
      </c>
      <c r="F140" s="44" t="n">
        <f aca="false">IF(I140="","",IF(INDEX(J_DEB,I140)=$C$3,INDEX(J_NOM,I140),0))</f>
        <v>0</v>
      </c>
      <c r="G140" s="44" t="n">
        <f aca="false">IF(I140="","",IF(INDEX(J_KRE,I140)=$C$3,INDEX(J_NOM,I140),0))</f>
        <v>988000</v>
      </c>
      <c r="H140" s="44" t="n">
        <f aca="false">IF(I140="","",N(H139)+IF($C$5="Debet",F140-G140,G140-F140))</f>
        <v>30146734</v>
      </c>
      <c r="I140" s="66" t="n">
        <f aca="false">IF(J140&gt;$K$1,"",IFERROR(MATCH(J140,J_BB,0),""))</f>
        <v>201</v>
      </c>
      <c r="J140" s="66" t="n">
        <v>131</v>
      </c>
      <c r="K140" s="5"/>
    </row>
    <row r="141" customFormat="false" ht="15" hidden="false" customHeight="false" outlineLevel="0" collapsed="false">
      <c r="A141" s="5" t="n">
        <f aca="false">IF(I141="","",J141)</f>
        <v>132</v>
      </c>
      <c r="B141" s="83" t="n">
        <f aca="false">IF(I141="","",INDEX(J_TGL,I141))</f>
        <v>46062</v>
      </c>
      <c r="C141" s="5" t="str">
        <f aca="false">IF(I141="","",INDEX(J_NO,I141))</f>
        <v>JU-0202</v>
      </c>
      <c r="D141" s="5" t="str">
        <f aca="false">IF(I141="","",INDEX(J_KET,I141))</f>
        <v>Gaji Fabian 3 hari &amp; uang makan (29-31 Januari)</v>
      </c>
      <c r="E141" s="5" t="str">
        <f aca="false">IF(I141="","",IF(INDEX(J_DEB,I141)=$C$3,INDEX(J_KRE,I141),INDEX(J_DEB,I141)))</f>
        <v>Beban Gaji</v>
      </c>
      <c r="F141" s="44" t="n">
        <f aca="false">IF(I141="","",IF(INDEX(J_DEB,I141)=$C$3,INDEX(J_NOM,I141),0))</f>
        <v>0</v>
      </c>
      <c r="G141" s="44" t="n">
        <f aca="false">IF(I141="","",IF(INDEX(J_KRE,I141)=$C$3,INDEX(J_NOM,I141),0))</f>
        <v>150000</v>
      </c>
      <c r="H141" s="44" t="n">
        <f aca="false">IF(I141="","",N(H140)+IF($C$5="Debet",F141-G141,G141-F141))</f>
        <v>29996734</v>
      </c>
      <c r="I141" s="66" t="n">
        <f aca="false">IF(J141&gt;$K$1,"",IFERROR(MATCH(J141,J_BB,0),""))</f>
        <v>202</v>
      </c>
      <c r="J141" s="66" t="n">
        <v>132</v>
      </c>
      <c r="K141" s="5"/>
    </row>
    <row r="142" customFormat="false" ht="15" hidden="false" customHeight="false" outlineLevel="0" collapsed="false">
      <c r="A142" s="5" t="n">
        <f aca="false">IF(I142="","",J142)</f>
        <v>133</v>
      </c>
      <c r="B142" s="83" t="n">
        <f aca="false">IF(I142="","",INDEX(J_TGL,I142))</f>
        <v>46062</v>
      </c>
      <c r="C142" s="5" t="str">
        <f aca="false">IF(I142="","",INDEX(J_NO,I142))</f>
        <v>JU-0203</v>
      </c>
      <c r="D142" s="5" t="str">
        <f aca="false">IF(I142="","",INDEX(J_KET,I142))</f>
        <v>Biaya transfer flip</v>
      </c>
      <c r="E142" s="5" t="str">
        <f aca="false">IF(I142="","",IF(INDEX(J_DEB,I142)=$C$3,INDEX(J_KRE,I142),INDEX(J_DEB,I142)))</f>
        <v>Biaya Lainnya</v>
      </c>
      <c r="F142" s="44" t="n">
        <f aca="false">IF(I142="","",IF(INDEX(J_DEB,I142)=$C$3,INDEX(J_NOM,I142),0))</f>
        <v>0</v>
      </c>
      <c r="G142" s="44" t="n">
        <f aca="false">IF(I142="","",IF(INDEX(J_KRE,I142)=$C$3,INDEX(J_NOM,I142),0))</f>
        <v>830</v>
      </c>
      <c r="H142" s="44" t="n">
        <f aca="false">IF(I142="","",N(H141)+IF($C$5="Debet",F142-G142,G142-F142))</f>
        <v>29995904</v>
      </c>
      <c r="I142" s="66" t="n">
        <f aca="false">IF(J142&gt;$K$1,"",IFERROR(MATCH(J142,J_BB,0),""))</f>
        <v>203</v>
      </c>
      <c r="J142" s="66" t="n">
        <v>133</v>
      </c>
      <c r="K142" s="5"/>
    </row>
    <row r="143" customFormat="false" ht="15" hidden="false" customHeight="false" outlineLevel="0" collapsed="false">
      <c r="A143" s="5" t="n">
        <f aca="false">IF(I143="","",J143)</f>
        <v>134</v>
      </c>
      <c r="B143" s="83" t="n">
        <f aca="false">IF(I143="","",INDEX(J_TGL,I143))</f>
        <v>46062</v>
      </c>
      <c r="C143" s="5" t="str">
        <f aca="false">IF(I143="","",INDEX(J_NO,I143))</f>
        <v>JU-0204</v>
      </c>
      <c r="D143" s="5" t="str">
        <f aca="false">IF(I143="","",INDEX(J_KET,I143))</f>
        <v>Kertas HVS 70gr F4 1 Rim, kabel RCA fml-&gt;ml aux lts T2.A, lampu halogen spot 5W</v>
      </c>
      <c r="E143" s="5" t="str">
        <f aca="false">IF(I143="","",IF(INDEX(J_DEB,I143)=$C$3,INDEX(J_KRE,I143),INDEX(J_DEB,I143)))</f>
        <v>Beban Perlengkapan</v>
      </c>
      <c r="F143" s="44" t="n">
        <f aca="false">IF(I143="","",IF(INDEX(J_DEB,I143)=$C$3,INDEX(J_NOM,I143),0))</f>
        <v>0</v>
      </c>
      <c r="G143" s="44" t="n">
        <f aca="false">IF(I143="","",IF(INDEX(J_KRE,I143)=$C$3,INDEX(J_NOM,I143),0))</f>
        <v>90832</v>
      </c>
      <c r="H143" s="44" t="n">
        <f aca="false">IF(I143="","",N(H142)+IF($C$5="Debet",F143-G143,G143-F143))</f>
        <v>29905072</v>
      </c>
      <c r="I143" s="66" t="n">
        <f aca="false">IF(J143&gt;$K$1,"",IFERROR(MATCH(J143,J_BB,0),""))</f>
        <v>204</v>
      </c>
      <c r="J143" s="66" t="n">
        <v>134</v>
      </c>
      <c r="K143" s="5"/>
    </row>
    <row r="144" customFormat="false" ht="15" hidden="false" customHeight="false" outlineLevel="0" collapsed="false">
      <c r="A144" s="5" t="n">
        <f aca="false">IF(I144="","",J144)</f>
        <v>135</v>
      </c>
      <c r="B144" s="83" t="n">
        <f aca="false">IF(I144="","",INDEX(J_TGL,I144))</f>
        <v>46063</v>
      </c>
      <c r="C144" s="5" t="str">
        <f aca="false">IF(I144="","",INDEX(J_NO,I144))</f>
        <v>JU-0205</v>
      </c>
      <c r="D144" s="5" t="str">
        <f aca="false">IF(I144="","",INDEX(J_KET,I144))</f>
        <v>Tutup cup plastik 2000pcs</v>
      </c>
      <c r="E144" s="5" t="str">
        <f aca="false">IF(I144="","",IF(INDEX(J_DEB,I144)=$C$3,INDEX(J_KRE,I144),INDEX(J_DEB,I144)))</f>
        <v>Biaya Penyajian</v>
      </c>
      <c r="F144" s="44" t="n">
        <f aca="false">IF(I144="","",IF(INDEX(J_DEB,I144)=$C$3,INDEX(J_NOM,I144),0))</f>
        <v>0</v>
      </c>
      <c r="G144" s="44" t="n">
        <f aca="false">IF(I144="","",IF(INDEX(J_KRE,I144)=$C$3,INDEX(J_NOM,I144),0))</f>
        <v>380000</v>
      </c>
      <c r="H144" s="44" t="n">
        <f aca="false">IF(I144="","",N(H143)+IF($C$5="Debet",F144-G144,G144-F144))</f>
        <v>29525072</v>
      </c>
      <c r="I144" s="66" t="n">
        <f aca="false">IF(J144&gt;$K$1,"",IFERROR(MATCH(J144,J_BB,0),""))</f>
        <v>205</v>
      </c>
      <c r="J144" s="66" t="n">
        <v>135</v>
      </c>
      <c r="K144" s="5"/>
    </row>
    <row r="145" customFormat="false" ht="15" hidden="false" customHeight="false" outlineLevel="0" collapsed="false">
      <c r="A145" s="5" t="n">
        <f aca="false">IF(I145="","",J145)</f>
        <v>136</v>
      </c>
      <c r="B145" s="83" t="n">
        <f aca="false">IF(I145="","",INDEX(J_TGL,I145))</f>
        <v>46063</v>
      </c>
      <c r="C145" s="5" t="str">
        <f aca="false">IF(I145="","",INDEX(J_NO,I145))</f>
        <v>JU-0206</v>
      </c>
      <c r="D145" s="5" t="str">
        <f aca="false">IF(I145="","",INDEX(J_KET,I145))</f>
        <v>Cup plastik 12oz 2000pcs faktur 12415 &amp; 12416</v>
      </c>
      <c r="E145" s="5" t="str">
        <f aca="false">IF(I145="","",IF(INDEX(J_DEB,I145)=$C$3,INDEX(J_KRE,I145),INDEX(J_DEB,I145)))</f>
        <v>Biaya Penyajian</v>
      </c>
      <c r="F145" s="44" t="n">
        <f aca="false">IF(I145="","",IF(INDEX(J_DEB,I145)=$C$3,INDEX(J_NOM,I145),0))</f>
        <v>0</v>
      </c>
      <c r="G145" s="44" t="n">
        <f aca="false">IF(I145="","",IF(INDEX(J_KRE,I145)=$C$3,INDEX(J_NOM,I145),0))</f>
        <v>1000000</v>
      </c>
      <c r="H145" s="44" t="n">
        <f aca="false">IF(I145="","",N(H144)+IF($C$5="Debet",F145-G145,G145-F145))</f>
        <v>28525072</v>
      </c>
      <c r="I145" s="66" t="n">
        <f aca="false">IF(J145&gt;$K$1,"",IFERROR(MATCH(J145,J_BB,0),""))</f>
        <v>206</v>
      </c>
      <c r="J145" s="66" t="n">
        <v>136</v>
      </c>
      <c r="K145" s="5"/>
    </row>
    <row r="146" customFormat="false" ht="15" hidden="false" customHeight="false" outlineLevel="0" collapsed="false">
      <c r="A146" s="5" t="n">
        <f aca="false">IF(I146="","",J146)</f>
        <v>137</v>
      </c>
      <c r="B146" s="83" t="n">
        <f aca="false">IF(I146="","",INDEX(J_TGL,I146))</f>
        <v>46064</v>
      </c>
      <c r="C146" s="5" t="str">
        <f aca="false">IF(I146="","",INDEX(J_NO,I146))</f>
        <v>JU-0207</v>
      </c>
      <c r="D146" s="5" t="str">
        <f aca="false">IF(I146="","",INDEX(J_KET,I146))</f>
        <v>Biaya transfer beda bank. BCA ke Bank Jateng</v>
      </c>
      <c r="E146" s="5" t="str">
        <f aca="false">IF(I146="","",IF(INDEX(J_DEB,I146)=$C$3,INDEX(J_KRE,I146),INDEX(J_DEB,I146)))</f>
        <v>Biaya Lainnya</v>
      </c>
      <c r="F146" s="44" t="n">
        <f aca="false">IF(I146="","",IF(INDEX(J_DEB,I146)=$C$3,INDEX(J_NOM,I146),0))</f>
        <v>0</v>
      </c>
      <c r="G146" s="44" t="n">
        <f aca="false">IF(I146="","",IF(INDEX(J_KRE,I146)=$C$3,INDEX(J_NOM,I146),0))</f>
        <v>6500</v>
      </c>
      <c r="H146" s="44" t="n">
        <f aca="false">IF(I146="","",N(H145)+IF($C$5="Debet",F146-G146,G146-F146))</f>
        <v>28518572</v>
      </c>
      <c r="I146" s="66" t="n">
        <f aca="false">IF(J146&gt;$K$1,"",IFERROR(MATCH(J146,J_BB,0),""))</f>
        <v>207</v>
      </c>
      <c r="J146" s="66" t="n">
        <v>137</v>
      </c>
      <c r="K146" s="5"/>
    </row>
    <row r="147" customFormat="false" ht="15" hidden="false" customHeight="false" outlineLevel="0" collapsed="false">
      <c r="A147" s="5" t="n">
        <f aca="false">IF(I147="","",J147)</f>
        <v>138</v>
      </c>
      <c r="B147" s="83" t="n">
        <f aca="false">IF(I147="","",INDEX(J_TGL,I147))</f>
        <v>46064</v>
      </c>
      <c r="C147" s="5" t="str">
        <f aca="false">IF(I147="","",INDEX(J_NO,I147))</f>
        <v>JU-0214</v>
      </c>
      <c r="D147" s="5" t="str">
        <f aca="false">IF(I147="","",INDEX(J_KET,I147))</f>
        <v>Savis tea cold infusion refreshing 500g</v>
      </c>
      <c r="E147" s="5" t="str">
        <f aca="false">IF(I147="","",IF(INDEX(J_DEB,I147)=$C$3,INDEX(J_KRE,I147),INDEX(J_DEB,I147)))</f>
        <v>Biaya Bahan Baku</v>
      </c>
      <c r="F147" s="44" t="n">
        <f aca="false">IF(I147="","",IF(INDEX(J_DEB,I147)=$C$3,INDEX(J_NOM,I147),0))</f>
        <v>0</v>
      </c>
      <c r="G147" s="44" t="n">
        <f aca="false">IF(I147="","",IF(INDEX(J_KRE,I147)=$C$3,INDEX(J_NOM,I147),0))</f>
        <v>250000</v>
      </c>
      <c r="H147" s="44" t="n">
        <f aca="false">IF(I147="","",N(H146)+IF($C$5="Debet",F147-G147,G147-F147))</f>
        <v>28268572</v>
      </c>
      <c r="I147" s="66" t="n">
        <f aca="false">IF(J147&gt;$K$1,"",IFERROR(MATCH(J147,J_BB,0),""))</f>
        <v>214</v>
      </c>
      <c r="J147" s="66" t="n">
        <v>138</v>
      </c>
      <c r="K147" s="5"/>
    </row>
    <row r="148" customFormat="false" ht="15" hidden="false" customHeight="false" outlineLevel="0" collapsed="false">
      <c r="A148" s="5" t="n">
        <f aca="false">IF(I148="","",J148)</f>
        <v>139</v>
      </c>
      <c r="B148" s="83" t="n">
        <f aca="false">IF(I148="","",INDEX(J_TGL,I148))</f>
        <v>46065</v>
      </c>
      <c r="C148" s="5" t="str">
        <f aca="false">IF(I148="","",INDEX(J_NO,I148))</f>
        <v>JU-0217</v>
      </c>
      <c r="D148" s="5" t="str">
        <f aca="false">IF(I148="","",INDEX(J_KET,I148))</f>
        <v>Pindah dana tunai ke BCA</v>
      </c>
      <c r="E148" s="5" t="str">
        <f aca="false">IF(I148="","",IF(INDEX(J_DEB,I148)=$C$3,INDEX(J_KRE,I148),INDEX(J_DEB,I148)))</f>
        <v>Kas Tunai</v>
      </c>
      <c r="F148" s="44" t="n">
        <f aca="false">IF(I148="","",IF(INDEX(J_DEB,I148)=$C$3,INDEX(J_NOM,I148),0))</f>
        <v>5000000</v>
      </c>
      <c r="G148" s="44" t="n">
        <f aca="false">IF(I148="","",IF(INDEX(J_KRE,I148)=$C$3,INDEX(J_NOM,I148),0))</f>
        <v>0</v>
      </c>
      <c r="H148" s="44" t="n">
        <f aca="false">IF(I148="","",N(H147)+IF($C$5="Debet",F148-G148,G148-F148))</f>
        <v>33268572</v>
      </c>
      <c r="I148" s="66" t="n">
        <f aca="false">IF(J148&gt;$K$1,"",IFERROR(MATCH(J148,J_BB,0),""))</f>
        <v>217</v>
      </c>
      <c r="J148" s="66" t="n">
        <v>139</v>
      </c>
      <c r="K148" s="5"/>
    </row>
    <row r="149" customFormat="false" ht="15" hidden="false" customHeight="false" outlineLevel="0" collapsed="false">
      <c r="A149" s="5" t="n">
        <f aca="false">IF(I149="","",J149)</f>
        <v>140</v>
      </c>
      <c r="B149" s="83" t="n">
        <f aca="false">IF(I149="","",INDEX(J_TGL,I149))</f>
        <v>46065</v>
      </c>
      <c r="C149" s="5" t="str">
        <f aca="false">IF(I149="","",INDEX(J_NO,I149))</f>
        <v>JU-0218</v>
      </c>
      <c r="D149" s="5" t="str">
        <f aca="false">IF(I149="","",INDEX(J_KET,I149))</f>
        <v>Pemasukan mencoba mesin EDC baru an. Aflaha AM</v>
      </c>
      <c r="E149" s="5" t="str">
        <f aca="false">IF(I149="","",IF(INDEX(J_DEB,I149)=$C$3,INDEX(J_KRE,I149),INDEX(J_DEB,I149)))</f>
        <v>Pendapatan Lainnya</v>
      </c>
      <c r="F149" s="44" t="n">
        <f aca="false">IF(I149="","",IF(INDEX(J_DEB,I149)=$C$3,INDEX(J_NOM,I149),0))</f>
        <v>5</v>
      </c>
      <c r="G149" s="44" t="n">
        <f aca="false">IF(I149="","",IF(INDEX(J_KRE,I149)=$C$3,INDEX(J_NOM,I149),0))</f>
        <v>0</v>
      </c>
      <c r="H149" s="44" t="n">
        <f aca="false">IF(I149="","",N(H148)+IF($C$5="Debet",F149-G149,G149-F149))</f>
        <v>33268577</v>
      </c>
      <c r="I149" s="66" t="n">
        <f aca="false">IF(J149&gt;$K$1,"",IFERROR(MATCH(J149,J_BB,0),""))</f>
        <v>218</v>
      </c>
      <c r="J149" s="66" t="n">
        <v>140</v>
      </c>
      <c r="K149" s="5"/>
    </row>
    <row r="150" customFormat="false" ht="15" hidden="false" customHeight="false" outlineLevel="0" collapsed="false">
      <c r="A150" s="5" t="n">
        <f aca="false">IF(I150="","",J150)</f>
        <v>141</v>
      </c>
      <c r="B150" s="83" t="n">
        <f aca="false">IF(I150="","",INDEX(J_TGL,I150))</f>
        <v>46066</v>
      </c>
      <c r="C150" s="5" t="str">
        <f aca="false">IF(I150="","",INDEX(J_NO,I150))</f>
        <v>JU-0220</v>
      </c>
      <c r="D150" s="5" t="str">
        <f aca="false">IF(I150="","",INDEX(J_KET,I150))</f>
        <v>Pindah dana tunai ke BCA (Bu Munir)</v>
      </c>
      <c r="E150" s="5" t="str">
        <f aca="false">IF(I150="","",IF(INDEX(J_DEB,I150)=$C$3,INDEX(J_KRE,I150),INDEX(J_DEB,I150)))</f>
        <v>Kas Tunai</v>
      </c>
      <c r="F150" s="44" t="n">
        <f aca="false">IF(I150="","",IF(INDEX(J_DEB,I150)=$C$3,INDEX(J_NOM,I150),0))</f>
        <v>500000</v>
      </c>
      <c r="G150" s="44" t="n">
        <f aca="false">IF(I150="","",IF(INDEX(J_KRE,I150)=$C$3,INDEX(J_NOM,I150),0))</f>
        <v>0</v>
      </c>
      <c r="H150" s="44" t="n">
        <f aca="false">IF(I150="","",N(H149)+IF($C$5="Debet",F150-G150,G150-F150))</f>
        <v>33768577</v>
      </c>
      <c r="I150" s="66" t="n">
        <f aca="false">IF(J150&gt;$K$1,"",IFERROR(MATCH(J150,J_BB,0),""))</f>
        <v>220</v>
      </c>
      <c r="J150" s="66" t="n">
        <v>141</v>
      </c>
      <c r="K150" s="5"/>
    </row>
    <row r="151" customFormat="false" ht="15" hidden="false" customHeight="false" outlineLevel="0" collapsed="false">
      <c r="A151" s="5" t="n">
        <f aca="false">IF(I151="","",J151)</f>
        <v>142</v>
      </c>
      <c r="B151" s="83" t="n">
        <f aca="false">IF(I151="","",INDEX(J_TGL,I151))</f>
        <v>46067</v>
      </c>
      <c r="C151" s="5" t="str">
        <f aca="false">IF(I151="","",INDEX(J_NO,I151))</f>
        <v>JU-0221</v>
      </c>
      <c r="D151" s="5" t="str">
        <f aca="false">IF(I151="","",INDEX(J_KET,I151))</f>
        <v>DP 50% event Solo Voice</v>
      </c>
      <c r="E151" s="5" t="str">
        <f aca="false">IF(I151="","",IF(INDEX(J_DEB,I151)=$C$3,INDEX(J_KRE,I151),INDEX(J_DEB,I151)))</f>
        <v>Pendapatan non Cafe</v>
      </c>
      <c r="F151" s="44" t="n">
        <f aca="false">IF(I151="","",IF(INDEX(J_DEB,I151)=$C$3,INDEX(J_NOM,I151),0))</f>
        <v>855000</v>
      </c>
      <c r="G151" s="44" t="n">
        <f aca="false">IF(I151="","",IF(INDEX(J_KRE,I151)=$C$3,INDEX(J_NOM,I151),0))</f>
        <v>0</v>
      </c>
      <c r="H151" s="44" t="n">
        <f aca="false">IF(I151="","",N(H150)+IF($C$5="Debet",F151-G151,G151-F151))</f>
        <v>34623577</v>
      </c>
      <c r="I151" s="66" t="n">
        <f aca="false">IF(J151&gt;$K$1,"",IFERROR(MATCH(J151,J_BB,0),""))</f>
        <v>221</v>
      </c>
      <c r="J151" s="66" t="n">
        <v>142</v>
      </c>
      <c r="K151" s="5"/>
    </row>
    <row r="152" customFormat="false" ht="15" hidden="false" customHeight="false" outlineLevel="0" collapsed="false">
      <c r="A152" s="5" t="n">
        <f aca="false">IF(I152="","",J152)</f>
        <v>143</v>
      </c>
      <c r="B152" s="83" t="n">
        <f aca="false">IF(I152="","",INDEX(J_TGL,I152))</f>
        <v>46067</v>
      </c>
      <c r="C152" s="5" t="str">
        <f aca="false">IF(I152="","",INDEX(J_NO,I152))</f>
        <v>JU-0222</v>
      </c>
      <c r="D152" s="5" t="str">
        <f aca="false">IF(I152="","",INDEX(J_KET,I152))</f>
        <v>Event solo voice membayar man power angkat2 barang</v>
      </c>
      <c r="E152" s="5" t="str">
        <f aca="false">IF(I152="","",IF(INDEX(J_DEB,I152)=$C$3,INDEX(J_KRE,I152),INDEX(J_DEB,I152)))</f>
        <v>Pendapatan Lainnya</v>
      </c>
      <c r="F152" s="44" t="n">
        <f aca="false">IF(I152="","",IF(INDEX(J_DEB,I152)=$C$3,INDEX(J_NOM,I152),0))</f>
        <v>165000</v>
      </c>
      <c r="G152" s="44" t="n">
        <f aca="false">IF(I152="","",IF(INDEX(J_KRE,I152)=$C$3,INDEX(J_NOM,I152),0))</f>
        <v>0</v>
      </c>
      <c r="H152" s="44" t="n">
        <f aca="false">IF(I152="","",N(H151)+IF($C$5="Debet",F152-G152,G152-F152))</f>
        <v>34788577</v>
      </c>
      <c r="I152" s="66" t="n">
        <f aca="false">IF(J152&gt;$K$1,"",IFERROR(MATCH(J152,J_BB,0),""))</f>
        <v>222</v>
      </c>
      <c r="J152" s="66" t="n">
        <v>143</v>
      </c>
      <c r="K152" s="5"/>
    </row>
    <row r="153" customFormat="false" ht="15" hidden="false" customHeight="false" outlineLevel="0" collapsed="false">
      <c r="A153" s="5" t="n">
        <f aca="false">IF(I153="","",J153)</f>
        <v>144</v>
      </c>
      <c r="B153" s="83" t="n">
        <f aca="false">IF(I153="","",INDEX(J_TGL,I153))</f>
        <v>46067</v>
      </c>
      <c r="C153" s="5" t="str">
        <f aca="false">IF(I153="","",INDEX(J_NO,I153))</f>
        <v>JU-0223</v>
      </c>
      <c r="D153" s="5" t="str">
        <f aca="false">IF(I153="","",INDEX(J_KET,I153))</f>
        <v>Unlock water espresso x 10 galon</v>
      </c>
      <c r="E153" s="5" t="str">
        <f aca="false">IF(I153="","",IF(INDEX(J_DEB,I153)=$C$3,INDEX(J_KRE,I153),INDEX(J_DEB,I153)))</f>
        <v>Biaya Bahan Baku</v>
      </c>
      <c r="F153" s="44" t="n">
        <f aca="false">IF(I153="","",IF(INDEX(J_DEB,I153)=$C$3,INDEX(J_NOM,I153),0))</f>
        <v>0</v>
      </c>
      <c r="G153" s="44" t="n">
        <f aca="false">IF(I153="","",IF(INDEX(J_KRE,I153)=$C$3,INDEX(J_NOM,I153),0))</f>
        <v>190000</v>
      </c>
      <c r="H153" s="44" t="n">
        <f aca="false">IF(I153="","",N(H152)+IF($C$5="Debet",F153-G153,G153-F153))</f>
        <v>34598577</v>
      </c>
      <c r="I153" s="66" t="n">
        <f aca="false">IF(J153&gt;$K$1,"",IFERROR(MATCH(J153,J_BB,0),""))</f>
        <v>223</v>
      </c>
      <c r="J153" s="66" t="n">
        <v>144</v>
      </c>
      <c r="K153" s="5"/>
    </row>
    <row r="154" customFormat="false" ht="15" hidden="false" customHeight="false" outlineLevel="0" collapsed="false">
      <c r="A154" s="5" t="n">
        <f aca="false">IF(I154="","",J154)</f>
        <v>145</v>
      </c>
      <c r="B154" s="83" t="n">
        <f aca="false">IF(I154="","",INDEX(J_TGL,I154))</f>
        <v>46067</v>
      </c>
      <c r="C154" s="5" t="str">
        <f aca="false">IF(I154="","",INDEX(J_NO,I154))</f>
        <v>JU-0224</v>
      </c>
      <c r="D154" s="5" t="str">
        <f aca="false">IF(I154="","",INDEX(J_KET,I154))</f>
        <v>Belanja cairan untuk latihan latte art 30ml x 1 btl. JJ Latte art</v>
      </c>
      <c r="E154" s="5" t="str">
        <f aca="false">IF(I154="","",IF(INDEX(J_DEB,I154)=$C$3,INDEX(J_KRE,I154),INDEX(J_DEB,I154)))</f>
        <v>Biaya Bahan Baku</v>
      </c>
      <c r="F154" s="44" t="n">
        <f aca="false">IF(I154="","",IF(INDEX(J_DEB,I154)=$C$3,INDEX(J_NOM,I154),0))</f>
        <v>0</v>
      </c>
      <c r="G154" s="44" t="n">
        <f aca="false">IF(I154="","",IF(INDEX(J_KRE,I154)=$C$3,INDEX(J_NOM,I154),0))</f>
        <v>102200</v>
      </c>
      <c r="H154" s="44" t="n">
        <f aca="false">IF(I154="","",N(H153)+IF($C$5="Debet",F154-G154,G154-F154))</f>
        <v>34496377</v>
      </c>
      <c r="I154" s="66" t="n">
        <f aca="false">IF(J154&gt;$K$1,"",IFERROR(MATCH(J154,J_BB,0),""))</f>
        <v>224</v>
      </c>
      <c r="J154" s="66" t="n">
        <v>145</v>
      </c>
      <c r="K154" s="5"/>
    </row>
    <row r="155" customFormat="false" ht="15" hidden="false" customHeight="false" outlineLevel="0" collapsed="false">
      <c r="A155" s="5" t="n">
        <f aca="false">IF(I155="","",J155)</f>
        <v>146</v>
      </c>
      <c r="B155" s="83" t="n">
        <f aca="false">IF(I155="","",INDEX(J_TGL,I155))</f>
        <v>46068</v>
      </c>
      <c r="C155" s="5" t="str">
        <f aca="false">IF(I155="","",INDEX(J_NO,I155))</f>
        <v>JU-0225</v>
      </c>
      <c r="D155" s="5" t="str">
        <f aca="false">IF(I155="","",INDEX(J_KET,I155))</f>
        <v>Ready to meal Iga &amp; bebek x 15 pcs/item total 30 pcs</v>
      </c>
      <c r="E155" s="5" t="str">
        <f aca="false">IF(I155="","",IF(INDEX(J_DEB,I155)=$C$3,INDEX(J_KRE,I155),INDEX(J_DEB,I155)))</f>
        <v>Biaya Bahan Baku</v>
      </c>
      <c r="F155" s="44" t="n">
        <f aca="false">IF(I155="","",IF(INDEX(J_DEB,I155)=$C$3,INDEX(J_NOM,I155),0))</f>
        <v>0</v>
      </c>
      <c r="G155" s="44" t="n">
        <f aca="false">IF(I155="","",IF(INDEX(J_KRE,I155)=$C$3,INDEX(J_NOM,I155),0))</f>
        <v>600000</v>
      </c>
      <c r="H155" s="44" t="n">
        <f aca="false">IF(I155="","",N(H154)+IF($C$5="Debet",F155-G155,G155-F155))</f>
        <v>33896377</v>
      </c>
      <c r="I155" s="66" t="n">
        <f aca="false">IF(J155&gt;$K$1,"",IFERROR(MATCH(J155,J_BB,0),""))</f>
        <v>225</v>
      </c>
      <c r="J155" s="66" t="n">
        <v>146</v>
      </c>
      <c r="K155" s="5"/>
    </row>
    <row r="156" customFormat="false" ht="15" hidden="false" customHeight="false" outlineLevel="0" collapsed="false">
      <c r="A156" s="5" t="n">
        <f aca="false">IF(I156="","",J156)</f>
        <v>147</v>
      </c>
      <c r="B156" s="83" t="n">
        <f aca="false">IF(I156="","",INDEX(J_TGL,I156))</f>
        <v>46068</v>
      </c>
      <c r="C156" s="5" t="str">
        <f aca="false">IF(I156="","",INDEX(J_NO,I156))</f>
        <v>JU-0226</v>
      </c>
      <c r="D156" s="5" t="str">
        <f aca="false">IF(I156="","",INDEX(J_KET,I156))</f>
        <v>Biaya transfer flip</v>
      </c>
      <c r="E156" s="5" t="str">
        <f aca="false">IF(I156="","",IF(INDEX(J_DEB,I156)=$C$3,INDEX(J_KRE,I156),INDEX(J_DEB,I156)))</f>
        <v>Biaya Lainnya</v>
      </c>
      <c r="F156" s="44" t="n">
        <f aca="false">IF(I156="","",IF(INDEX(J_DEB,I156)=$C$3,INDEX(J_NOM,I156),0))</f>
        <v>0</v>
      </c>
      <c r="G156" s="44" t="n">
        <f aca="false">IF(I156="","",IF(INDEX(J_KRE,I156)=$C$3,INDEX(J_NOM,I156),0))</f>
        <v>325</v>
      </c>
      <c r="H156" s="44" t="n">
        <f aca="false">IF(I156="","",N(H155)+IF($C$5="Debet",F156-G156,G156-F156))</f>
        <v>33896052</v>
      </c>
      <c r="I156" s="66" t="n">
        <f aca="false">IF(J156&gt;$K$1,"",IFERROR(MATCH(J156,J_BB,0),""))</f>
        <v>226</v>
      </c>
      <c r="J156" s="66" t="n">
        <v>147</v>
      </c>
      <c r="K156" s="5"/>
    </row>
    <row r="157" customFormat="false" ht="15" hidden="false" customHeight="false" outlineLevel="0" collapsed="false">
      <c r="A157" s="5" t="n">
        <f aca="false">IF(I157="","",J157)</f>
        <v>148</v>
      </c>
      <c r="B157" s="83" t="n">
        <f aca="false">IF(I157="","",INDEX(J_TGL,I157))</f>
        <v>46069</v>
      </c>
      <c r="C157" s="5" t="str">
        <f aca="false">IF(I157="","",INDEX(J_NO,I157))</f>
        <v>JU-0228</v>
      </c>
      <c r="D157" s="5" t="str">
        <f aca="false">IF(I157="","",INDEX(J_KET,I157))</f>
        <v>Pelunasan event Solo Voice</v>
      </c>
      <c r="E157" s="5" t="str">
        <f aca="false">IF(I157="","",IF(INDEX(J_DEB,I157)=$C$3,INDEX(J_KRE,I157),INDEX(J_DEB,I157)))</f>
        <v>Pendapatan non Cafe</v>
      </c>
      <c r="F157" s="44" t="n">
        <f aca="false">IF(I157="","",IF(INDEX(J_DEB,I157)=$C$3,INDEX(J_NOM,I157),0))</f>
        <v>1005000</v>
      </c>
      <c r="G157" s="44" t="n">
        <f aca="false">IF(I157="","",IF(INDEX(J_KRE,I157)=$C$3,INDEX(J_NOM,I157),0))</f>
        <v>0</v>
      </c>
      <c r="H157" s="44" t="n">
        <f aca="false">IF(I157="","",N(H156)+IF($C$5="Debet",F157-G157,G157-F157))</f>
        <v>34901052</v>
      </c>
      <c r="I157" s="66" t="n">
        <f aca="false">IF(J157&gt;$K$1,"",IFERROR(MATCH(J157,J_BB,0),""))</f>
        <v>228</v>
      </c>
      <c r="J157" s="66" t="n">
        <v>148</v>
      </c>
      <c r="K157" s="5"/>
    </row>
    <row r="158" customFormat="false" ht="15" hidden="false" customHeight="false" outlineLevel="0" collapsed="false">
      <c r="A158" s="5" t="n">
        <f aca="false">IF(I158="","",J158)</f>
        <v>149</v>
      </c>
      <c r="B158" s="83" t="n">
        <f aca="false">IF(I158="","",INDEX(J_TGL,I158))</f>
        <v>46069</v>
      </c>
      <c r="C158" s="5" t="str">
        <f aca="false">IF(I158="","",INDEX(J_NO,I158))</f>
        <v>JU-0229</v>
      </c>
      <c r="D158" s="5" t="str">
        <f aca="false">IF(I158="","",INDEX(J_KET,I158))</f>
        <v>Membayar cicilan utang ke FM Wood (maintenance)</v>
      </c>
      <c r="E158" s="5" t="str">
        <f aca="false">IF(I158="","",IF(INDEX(J_DEB,I158)=$C$3,INDEX(J_KRE,I158),INDEX(J_DEB,I158)))</f>
        <v>Utang Usaha Jangka Panjang</v>
      </c>
      <c r="F158" s="44" t="n">
        <f aca="false">IF(I158="","",IF(INDEX(J_DEB,I158)=$C$3,INDEX(J_NOM,I158),0))</f>
        <v>0</v>
      </c>
      <c r="G158" s="44" t="n">
        <f aca="false">IF(I158="","",IF(INDEX(J_KRE,I158)=$C$3,INDEX(J_NOM,I158),0))</f>
        <v>522000</v>
      </c>
      <c r="H158" s="44" t="n">
        <f aca="false">IF(I158="","",N(H157)+IF($C$5="Debet",F158-G158,G158-F158))</f>
        <v>34379052</v>
      </c>
      <c r="I158" s="66" t="n">
        <f aca="false">IF(J158&gt;$K$1,"",IFERROR(MATCH(J158,J_BB,0),""))</f>
        <v>229</v>
      </c>
      <c r="J158" s="66" t="n">
        <v>149</v>
      </c>
      <c r="K158" s="5"/>
    </row>
    <row r="159" customFormat="false" ht="15" hidden="false" customHeight="false" outlineLevel="0" collapsed="false">
      <c r="A159" s="5" t="n">
        <f aca="false">IF(I159="","",J159)</f>
        <v>150</v>
      </c>
      <c r="B159" s="83" t="n">
        <f aca="false">IF(I159="","",INDEX(J_TGL,I159))</f>
        <v>46070</v>
      </c>
      <c r="C159" s="5" t="str">
        <f aca="false">IF(I159="","",INDEX(J_NO,I159))</f>
        <v>JU-0231</v>
      </c>
      <c r="D159" s="5" t="str">
        <f aca="false">IF(I159="","",INDEX(J_KET,I159))</f>
        <v>Paper filter hario V60 x 1 pack</v>
      </c>
      <c r="E159" s="5" t="str">
        <f aca="false">IF(I159="","",IF(INDEX(J_DEB,I159)=$C$3,INDEX(J_KRE,I159),INDEX(J_DEB,I159)))</f>
        <v>Biaya Penyajian</v>
      </c>
      <c r="F159" s="44" t="n">
        <f aca="false">IF(I159="","",IF(INDEX(J_DEB,I159)=$C$3,INDEX(J_NOM,I159),0))</f>
        <v>0</v>
      </c>
      <c r="G159" s="44" t="n">
        <f aca="false">IF(I159="","",IF(INDEX(J_KRE,I159)=$C$3,INDEX(J_NOM,I159),0))</f>
        <v>90000</v>
      </c>
      <c r="H159" s="44" t="n">
        <f aca="false">IF(I159="","",N(H158)+IF($C$5="Debet",F159-G159,G159-F159))</f>
        <v>34289052</v>
      </c>
      <c r="I159" s="66" t="n">
        <f aca="false">IF(J159&gt;$K$1,"",IFERROR(MATCH(J159,J_BB,0),""))</f>
        <v>231</v>
      </c>
      <c r="J159" s="66" t="n">
        <v>150</v>
      </c>
      <c r="K159" s="5"/>
    </row>
    <row r="160" customFormat="false" ht="15" hidden="false" customHeight="false" outlineLevel="0" collapsed="false">
      <c r="A160" s="5" t="n">
        <f aca="false">IF(I160="","",J160)</f>
        <v>151</v>
      </c>
      <c r="B160" s="83" t="n">
        <f aca="false">IF(I160="","",INDEX(J_TGL,I160))</f>
        <v>46071</v>
      </c>
      <c r="C160" s="5" t="str">
        <f aca="false">IF(I160="","",INDEX(J_NO,I160))</f>
        <v>JU-0232</v>
      </c>
      <c r="D160" s="5" t="str">
        <f aca="false">IF(I160="","",INDEX(J_KET,I160))</f>
        <v>Tahu walik 30 pack isi 10 (isian menu pepakan ) &amp; 100 pack isi 9 (menu tahu walik)</v>
      </c>
      <c r="E160" s="5" t="str">
        <f aca="false">IF(I160="","",IF(INDEX(J_DEB,I160)=$C$3,INDEX(J_KRE,I160),INDEX(J_DEB,I160)))</f>
        <v>Biaya Bahan Baku</v>
      </c>
      <c r="F160" s="44" t="n">
        <f aca="false">IF(I160="","",IF(INDEX(J_DEB,I160)=$C$3,INDEX(J_NOM,I160),0))</f>
        <v>0</v>
      </c>
      <c r="G160" s="44" t="n">
        <f aca="false">IF(I160="","",IF(INDEX(J_KRE,I160)=$C$3,INDEX(J_NOM,I160),0))</f>
        <v>1135000</v>
      </c>
      <c r="H160" s="44" t="n">
        <f aca="false">IF(I160="","",N(H159)+IF($C$5="Debet",F160-G160,G160-F160))</f>
        <v>33154052</v>
      </c>
      <c r="I160" s="66" t="n">
        <f aca="false">IF(J160&gt;$K$1,"",IFERROR(MATCH(J160,J_BB,0),""))</f>
        <v>232</v>
      </c>
      <c r="J160" s="66" t="n">
        <v>151</v>
      </c>
      <c r="K160" s="5"/>
    </row>
    <row r="161" customFormat="false" ht="15" hidden="false" customHeight="false" outlineLevel="0" collapsed="false">
      <c r="A161" s="5" t="n">
        <f aca="false">IF(I161="","",J161)</f>
        <v>152</v>
      </c>
      <c r="B161" s="83" t="n">
        <f aca="false">IF(I161="","",INDEX(J_TGL,I161))</f>
        <v>46071</v>
      </c>
      <c r="C161" s="5" t="str">
        <f aca="false">IF(I161="","",INDEX(J_NO,I161))</f>
        <v>JU-0233</v>
      </c>
      <c r="D161" s="5" t="str">
        <f aca="false">IF(I161="","",INDEX(J_KET,I161))</f>
        <v>Tenaga angkut2 event Solo Voice x 3 orang</v>
      </c>
      <c r="E161" s="5" t="str">
        <f aca="false">IF(I161="","",IF(INDEX(J_DEB,I161)=$C$3,INDEX(J_KRE,I161),INDEX(J_DEB,I161)))</f>
        <v>Biaya Lainnya</v>
      </c>
      <c r="F161" s="44" t="n">
        <f aca="false">IF(I161="","",IF(INDEX(J_DEB,I161)=$C$3,INDEX(J_NOM,I161),0))</f>
        <v>0</v>
      </c>
      <c r="G161" s="44" t="n">
        <f aca="false">IF(I161="","",IF(INDEX(J_KRE,I161)=$C$3,INDEX(J_NOM,I161),0))</f>
        <v>150000</v>
      </c>
      <c r="H161" s="44" t="n">
        <f aca="false">IF(I161="","",N(H160)+IF($C$5="Debet",F161-G161,G161-F161))</f>
        <v>33004052</v>
      </c>
      <c r="I161" s="66" t="n">
        <f aca="false">IF(J161&gt;$K$1,"",IFERROR(MATCH(J161,J_BB,0),""))</f>
        <v>233</v>
      </c>
      <c r="J161" s="66" t="n">
        <v>152</v>
      </c>
      <c r="K161" s="5"/>
    </row>
    <row r="162" customFormat="false" ht="15" hidden="false" customHeight="false" outlineLevel="0" collapsed="false">
      <c r="A162" s="5" t="n">
        <f aca="false">IF(I162="","",J162)</f>
        <v>153</v>
      </c>
      <c r="B162" s="83" t="n">
        <f aca="false">IF(I162="","",INDEX(J_TGL,I162))</f>
        <v>46071</v>
      </c>
      <c r="C162" s="5" t="str">
        <f aca="false">IF(I162="","",INDEX(J_NO,I162))</f>
        <v>JU-0234</v>
      </c>
      <c r="D162" s="5" t="str">
        <f aca="false">IF(I162="","",INDEX(J_KET,I162))</f>
        <v>Langganan aplikasi kasir Majoo</v>
      </c>
      <c r="E162" s="5" t="str">
        <f aca="false">IF(I162="","",IF(INDEX(J_DEB,I162)=$C$3,INDEX(J_KRE,I162),INDEX(J_DEB,I162)))</f>
        <v>Biaya Tagihan Bulanan</v>
      </c>
      <c r="F162" s="44" t="n">
        <f aca="false">IF(I162="","",IF(INDEX(J_DEB,I162)=$C$3,INDEX(J_NOM,I162),0))</f>
        <v>0</v>
      </c>
      <c r="G162" s="44" t="n">
        <f aca="false">IF(I162="","",IF(INDEX(J_KRE,I162)=$C$3,INDEX(J_NOM,I162),0))</f>
        <v>287490</v>
      </c>
      <c r="H162" s="44" t="n">
        <f aca="false">IF(I162="","",N(H161)+IF($C$5="Debet",F162-G162,G162-F162))</f>
        <v>32716562</v>
      </c>
      <c r="I162" s="66" t="n">
        <f aca="false">IF(J162&gt;$K$1,"",IFERROR(MATCH(J162,J_BB,0),""))</f>
        <v>234</v>
      </c>
      <c r="J162" s="66" t="n">
        <v>153</v>
      </c>
      <c r="K162" s="5"/>
    </row>
    <row r="163" customFormat="false" ht="15" hidden="false" customHeight="false" outlineLevel="0" collapsed="false">
      <c r="A163" s="5" t="n">
        <f aca="false">IF(I163="","",J163)</f>
        <v>154</v>
      </c>
      <c r="B163" s="83" t="n">
        <f aca="false">IF(I163="","",INDEX(J_TGL,I163))</f>
        <v>46071</v>
      </c>
      <c r="C163" s="5" t="str">
        <f aca="false">IF(I163="","",INDEX(J_NO,I163))</f>
        <v>JU-0235</v>
      </c>
      <c r="D163" s="5" t="str">
        <f aca="false">IF(I163="","",INDEX(J_KET,I163))</f>
        <v>Tofico greentea 1 botol &amp; oatside 1 karton</v>
      </c>
      <c r="E163" s="5" t="str">
        <f aca="false">IF(I163="","",IF(INDEX(J_DEB,I163)=$C$3,INDEX(J_KRE,I163),INDEX(J_DEB,I163)))</f>
        <v>Biaya Bahan Baku</v>
      </c>
      <c r="F163" s="44" t="n">
        <f aca="false">IF(I163="","",IF(INDEX(J_DEB,I163)=$C$3,INDEX(J_NOM,I163),0))</f>
        <v>0</v>
      </c>
      <c r="G163" s="44" t="n">
        <f aca="false">IF(I163="","",IF(INDEX(J_KRE,I163)=$C$3,INDEX(J_NOM,I163),0))</f>
        <v>382000</v>
      </c>
      <c r="H163" s="44" t="n">
        <f aca="false">IF(I163="","",N(H162)+IF($C$5="Debet",F163-G163,G163-F163))</f>
        <v>32334562</v>
      </c>
      <c r="I163" s="66" t="n">
        <f aca="false">IF(J163&gt;$K$1,"",IFERROR(MATCH(J163,J_BB,0),""))</f>
        <v>235</v>
      </c>
      <c r="J163" s="66" t="n">
        <v>154</v>
      </c>
      <c r="K163" s="5"/>
    </row>
    <row r="164" customFormat="false" ht="15" hidden="false" customHeight="false" outlineLevel="0" collapsed="false">
      <c r="A164" s="5" t="n">
        <f aca="false">IF(I164="","",J164)</f>
        <v>155</v>
      </c>
      <c r="B164" s="83" t="n">
        <f aca="false">IF(I164="","",INDEX(J_TGL,I164))</f>
        <v>46071</v>
      </c>
      <c r="C164" s="5" t="str">
        <f aca="false">IF(I164="","",INDEX(J_NO,I164))</f>
        <v>JU-0236</v>
      </c>
      <c r="D164" s="5" t="str">
        <f aca="false">IF(I164="","",INDEX(J_KET,I164))</f>
        <v>Churros 2x kirim: 300pcs &amp; 200pcs</v>
      </c>
      <c r="E164" s="5" t="str">
        <f aca="false">IF(I164="","",IF(INDEX(J_DEB,I164)=$C$3,INDEX(J_KRE,I164),INDEX(J_DEB,I164)))</f>
        <v>Biaya Bahan Baku</v>
      </c>
      <c r="F164" s="44" t="n">
        <f aca="false">IF(I164="","",IF(INDEX(J_DEB,I164)=$C$3,INDEX(J_NOM,I164),0))</f>
        <v>0</v>
      </c>
      <c r="G164" s="44" t="n">
        <f aca="false">IF(I164="","",IF(INDEX(J_KRE,I164)=$C$3,INDEX(J_NOM,I164),0))</f>
        <v>600000</v>
      </c>
      <c r="H164" s="44" t="n">
        <f aca="false">IF(I164="","",N(H163)+IF($C$5="Debet",F164-G164,G164-F164))</f>
        <v>31734562</v>
      </c>
      <c r="I164" s="66" t="n">
        <f aca="false">IF(J164&gt;$K$1,"",IFERROR(MATCH(J164,J_BB,0),""))</f>
        <v>236</v>
      </c>
      <c r="J164" s="66" t="n">
        <v>155</v>
      </c>
      <c r="K164" s="5"/>
    </row>
    <row r="165" customFormat="false" ht="15" hidden="false" customHeight="false" outlineLevel="0" collapsed="false">
      <c r="A165" s="5" t="n">
        <f aca="false">IF(I165="","",J165)</f>
        <v>156</v>
      </c>
      <c r="B165" s="83" t="n">
        <f aca="false">IF(I165="","",INDEX(J_TGL,I165))</f>
        <v>46072</v>
      </c>
      <c r="C165" s="5" t="str">
        <f aca="false">IF(I165="","",INDEX(J_NO,I165))</f>
        <v>JU-0237</v>
      </c>
      <c r="D165" s="5" t="str">
        <f aca="false">IF(I165="","",INDEX(J_KET,I165))</f>
        <v>Pembayaran beli return batch 144-149 12pcs</v>
      </c>
      <c r="E165" s="5" t="str">
        <f aca="false">IF(I165="","",IF(INDEX(J_DEB,I165)=$C$3,INDEX(J_KRE,I165),INDEX(J_DEB,I165)))</f>
        <v>Biaya Bahan Baku</v>
      </c>
      <c r="F165" s="44" t="n">
        <f aca="false">IF(I165="","",IF(INDEX(J_DEB,I165)=$C$3,INDEX(J_NOM,I165),0))</f>
        <v>0</v>
      </c>
      <c r="G165" s="44" t="n">
        <f aca="false">IF(I165="","",IF(INDEX(J_KRE,I165)=$C$3,INDEX(J_NOM,I165),0))</f>
        <v>120000</v>
      </c>
      <c r="H165" s="44" t="n">
        <f aca="false">IF(I165="","",N(H164)+IF($C$5="Debet",F165-G165,G165-F165))</f>
        <v>31614562</v>
      </c>
      <c r="I165" s="66" t="n">
        <f aca="false">IF(J165&gt;$K$1,"",IFERROR(MATCH(J165,J_BB,0),""))</f>
        <v>237</v>
      </c>
      <c r="J165" s="66" t="n">
        <v>156</v>
      </c>
      <c r="K165" s="5"/>
    </row>
    <row r="166" customFormat="false" ht="15" hidden="false" customHeight="false" outlineLevel="0" collapsed="false">
      <c r="A166" s="5" t="n">
        <f aca="false">IF(I166="","",J166)</f>
        <v>157</v>
      </c>
      <c r="B166" s="83" t="n">
        <f aca="false">IF(I166="","",INDEX(J_TGL,I166))</f>
        <v>46073</v>
      </c>
      <c r="C166" s="5" t="str">
        <f aca="false">IF(I166="","",INDEX(J_NO,I166))</f>
        <v>JU-0238</v>
      </c>
      <c r="D166" s="5" t="str">
        <f aca="false">IF(I166="","",INDEX(J_KET,I166))</f>
        <v>Soda bluberi x 4 botol 500ml</v>
      </c>
      <c r="E166" s="5" t="str">
        <f aca="false">IF(I166="","",IF(INDEX(J_DEB,I166)=$C$3,INDEX(J_KRE,I166),INDEX(J_DEB,I166)))</f>
        <v>Biaya Bahan Baku</v>
      </c>
      <c r="F166" s="44" t="n">
        <f aca="false">IF(I166="","",IF(INDEX(J_DEB,I166)=$C$3,INDEX(J_NOM,I166),0))</f>
        <v>0</v>
      </c>
      <c r="G166" s="44" t="n">
        <f aca="false">IF(I166="","",IF(INDEX(J_KRE,I166)=$C$3,INDEX(J_NOM,I166),0))</f>
        <v>84000</v>
      </c>
      <c r="H166" s="44" t="n">
        <f aca="false">IF(I166="","",N(H165)+IF($C$5="Debet",F166-G166,G166-F166))</f>
        <v>31530562</v>
      </c>
      <c r="I166" s="66" t="n">
        <f aca="false">IF(J166&gt;$K$1,"",IFERROR(MATCH(J166,J_BB,0),""))</f>
        <v>238</v>
      </c>
      <c r="J166" s="66" t="n">
        <v>157</v>
      </c>
      <c r="K166" s="5"/>
    </row>
    <row r="167" customFormat="false" ht="15" hidden="false" customHeight="false" outlineLevel="0" collapsed="false">
      <c r="A167" s="5" t="n">
        <f aca="false">IF(I167="","",J167)</f>
        <v>158</v>
      </c>
      <c r="B167" s="83" t="n">
        <f aca="false">IF(I167="","",INDEX(J_TGL,I167))</f>
        <v>46073</v>
      </c>
      <c r="C167" s="5" t="str">
        <f aca="false">IF(I167="","",INDEX(J_NO,I167))</f>
        <v>JU-0240</v>
      </c>
      <c r="D167" s="5" t="str">
        <f aca="false">IF(I167="","",INDEX(J_KET,I167))</f>
        <v>Biaya transfer flip</v>
      </c>
      <c r="E167" s="5" t="str">
        <f aca="false">IF(I167="","",IF(INDEX(J_DEB,I167)=$C$3,INDEX(J_KRE,I167),INDEX(J_DEB,I167)))</f>
        <v>Biaya Lainnya</v>
      </c>
      <c r="F167" s="44" t="n">
        <f aca="false">IF(I167="","",IF(INDEX(J_DEB,I167)=$C$3,INDEX(J_NOM,I167),0))</f>
        <v>0</v>
      </c>
      <c r="G167" s="44" t="n">
        <f aca="false">IF(I167="","",IF(INDEX(J_KRE,I167)=$C$3,INDEX(J_NOM,I167),0))</f>
        <v>325</v>
      </c>
      <c r="H167" s="44" t="n">
        <f aca="false">IF(I167="","",N(H166)+IF($C$5="Debet",F167-G167,G167-F167))</f>
        <v>31530237</v>
      </c>
      <c r="I167" s="66" t="n">
        <f aca="false">IF(J167&gt;$K$1,"",IFERROR(MATCH(J167,J_BB,0),""))</f>
        <v>240</v>
      </c>
      <c r="J167" s="66" t="n">
        <v>158</v>
      </c>
      <c r="K167" s="5"/>
    </row>
    <row r="168" customFormat="false" ht="15" hidden="false" customHeight="false" outlineLevel="0" collapsed="false">
      <c r="A168" s="5" t="n">
        <f aca="false">IF(I168="","",J168)</f>
        <v>159</v>
      </c>
      <c r="B168" s="83" t="n">
        <f aca="false">IF(I168="","",INDEX(J_TGL,I168))</f>
        <v>46073</v>
      </c>
      <c r="C168" s="5" t="str">
        <f aca="false">IF(I168="","",INDEX(J_NO,I168))</f>
        <v>JU-0241</v>
      </c>
      <c r="D168" s="5" t="str">
        <f aca="false">IF(I168="","",INDEX(J_KET,I168))</f>
        <v>Unlock water espresso x 10 galon</v>
      </c>
      <c r="E168" s="5" t="str">
        <f aca="false">IF(I168="","",IF(INDEX(J_DEB,I168)=$C$3,INDEX(J_KRE,I168),INDEX(J_DEB,I168)))</f>
        <v>Biaya Bahan Baku</v>
      </c>
      <c r="F168" s="44" t="n">
        <f aca="false">IF(I168="","",IF(INDEX(J_DEB,I168)=$C$3,INDEX(J_NOM,I168),0))</f>
        <v>0</v>
      </c>
      <c r="G168" s="44" t="n">
        <f aca="false">IF(I168="","",IF(INDEX(J_KRE,I168)=$C$3,INDEX(J_NOM,I168),0))</f>
        <v>190000</v>
      </c>
      <c r="H168" s="44" t="n">
        <f aca="false">IF(I168="","",N(H167)+IF($C$5="Debet",F168-G168,G168-F168))</f>
        <v>31340237</v>
      </c>
      <c r="I168" s="66" t="n">
        <f aca="false">IF(J168&gt;$K$1,"",IFERROR(MATCH(J168,J_BB,0),""))</f>
        <v>241</v>
      </c>
      <c r="J168" s="66" t="n">
        <v>159</v>
      </c>
      <c r="K168" s="5"/>
    </row>
    <row r="169" customFormat="false" ht="15" hidden="false" customHeight="false" outlineLevel="0" collapsed="false">
      <c r="A169" s="5" t="n">
        <f aca="false">IF(I169="","",J169)</f>
        <v>160</v>
      </c>
      <c r="B169" s="83" t="n">
        <f aca="false">IF(I169="","",INDEX(J_TGL,I169))</f>
        <v>46074</v>
      </c>
      <c r="C169" s="5" t="str">
        <f aca="false">IF(I169="","",INDEX(J_NO,I169))</f>
        <v>JU-0242</v>
      </c>
      <c r="D169" s="5" t="str">
        <f aca="false">IF(I169="","",INDEX(J_KET,I169))</f>
        <v>Biaya admin bank BCA</v>
      </c>
      <c r="E169" s="5" t="str">
        <f aca="false">IF(I169="","",IF(INDEX(J_DEB,I169)=$C$3,INDEX(J_KRE,I169),INDEX(J_DEB,I169)))</f>
        <v>Biaya Lainnya</v>
      </c>
      <c r="F169" s="44" t="n">
        <f aca="false">IF(I169="","",IF(INDEX(J_DEB,I169)=$C$3,INDEX(J_NOM,I169),0))</f>
        <v>0</v>
      </c>
      <c r="G169" s="44" t="n">
        <f aca="false">IF(I169="","",IF(INDEX(J_KRE,I169)=$C$3,INDEX(J_NOM,I169),0))</f>
        <v>10000</v>
      </c>
      <c r="H169" s="44" t="n">
        <f aca="false">IF(I169="","",N(H168)+IF($C$5="Debet",F169-G169,G169-F169))</f>
        <v>31330237</v>
      </c>
      <c r="I169" s="66" t="n">
        <f aca="false">IF(J169&gt;$K$1,"",IFERROR(MATCH(J169,J_BB,0),""))</f>
        <v>242</v>
      </c>
      <c r="J169" s="66" t="n">
        <v>160</v>
      </c>
      <c r="K169" s="5"/>
    </row>
    <row r="170" customFormat="false" ht="15" hidden="false" customHeight="false" outlineLevel="0" collapsed="false">
      <c r="A170" s="5" t="n">
        <f aca="false">IF(I170="","",J170)</f>
        <v>161</v>
      </c>
      <c r="B170" s="83" t="n">
        <f aca="false">IF(I170="","",INDEX(J_TGL,I170))</f>
        <v>46074</v>
      </c>
      <c r="C170" s="5" t="str">
        <f aca="false">IF(I170="","",INDEX(J_NO,I170))</f>
        <v>JU-0243</v>
      </c>
      <c r="D170" s="5" t="str">
        <f aca="false">IF(I170="","",INDEX(J_KET,I170))</f>
        <v>Pindah dana BCA ke kas warung</v>
      </c>
      <c r="E170" s="5" t="str">
        <f aca="false">IF(I170="","",IF(INDEX(J_DEB,I170)=$C$3,INDEX(J_KRE,I170),INDEX(J_DEB,I170)))</f>
        <v>Kas Warung</v>
      </c>
      <c r="F170" s="44" t="n">
        <f aca="false">IF(I170="","",IF(INDEX(J_DEB,I170)=$C$3,INDEX(J_NOM,I170),0))</f>
        <v>0</v>
      </c>
      <c r="G170" s="44" t="n">
        <f aca="false">IF(I170="","",IF(INDEX(J_KRE,I170)=$C$3,INDEX(J_NOM,I170),0))</f>
        <v>69300</v>
      </c>
      <c r="H170" s="44" t="n">
        <f aca="false">IF(I170="","",N(H169)+IF($C$5="Debet",F170-G170,G170-F170))</f>
        <v>31260937</v>
      </c>
      <c r="I170" s="66" t="n">
        <f aca="false">IF(J170&gt;$K$1,"",IFERROR(MATCH(J170,J_BB,0),""))</f>
        <v>243</v>
      </c>
      <c r="J170" s="66" t="n">
        <v>161</v>
      </c>
      <c r="K170" s="5"/>
    </row>
    <row r="171" customFormat="false" ht="15" hidden="false" customHeight="false" outlineLevel="0" collapsed="false">
      <c r="A171" s="5" t="n">
        <f aca="false">IF(I171="","",J171)</f>
        <v>162</v>
      </c>
      <c r="B171" s="83" t="n">
        <f aca="false">IF(I171="","",INDEX(J_TGL,I171))</f>
        <v>46074</v>
      </c>
      <c r="C171" s="5" t="str">
        <f aca="false">IF(I171="","",INDEX(J_NO,I171))</f>
        <v>JU-0244</v>
      </c>
      <c r="D171" s="5" t="str">
        <f aca="false">IF(I171="","",INDEX(J_KET,I171))</f>
        <v>Biaya transfer flip</v>
      </c>
      <c r="E171" s="5" t="str">
        <f aca="false">IF(I171="","",IF(INDEX(J_DEB,I171)=$C$3,INDEX(J_KRE,I171),INDEX(J_DEB,I171)))</f>
        <v>Biaya Lainnya</v>
      </c>
      <c r="F171" s="44" t="n">
        <f aca="false">IF(I171="","",IF(INDEX(J_DEB,I171)=$C$3,INDEX(J_NOM,I171),0))</f>
        <v>0</v>
      </c>
      <c r="G171" s="44" t="n">
        <f aca="false">IF(I171="","",IF(INDEX(J_KRE,I171)=$C$3,INDEX(J_NOM,I171),0))</f>
        <v>325</v>
      </c>
      <c r="H171" s="44" t="n">
        <f aca="false">IF(I171="","",N(H170)+IF($C$5="Debet",F171-G171,G171-F171))</f>
        <v>31260612</v>
      </c>
      <c r="I171" s="66" t="n">
        <f aca="false">IF(J171&gt;$K$1,"",IFERROR(MATCH(J171,J_BB,0),""))</f>
        <v>244</v>
      </c>
      <c r="J171" s="66" t="n">
        <v>162</v>
      </c>
      <c r="K171" s="5"/>
    </row>
    <row r="172" customFormat="false" ht="15" hidden="false" customHeight="false" outlineLevel="0" collapsed="false">
      <c r="A172" s="5" t="n">
        <f aca="false">IF(I172="","",J172)</f>
        <v>163</v>
      </c>
      <c r="B172" s="83" t="n">
        <f aca="false">IF(I172="","",INDEX(J_TGL,I172))</f>
        <v>46074</v>
      </c>
      <c r="C172" s="5" t="str">
        <f aca="false">IF(I172="","",INDEX(J_NO,I172))</f>
        <v>JU-0245</v>
      </c>
      <c r="D172" s="5" t="str">
        <f aca="false">IF(I172="","",INDEX(J_KET,I172))</f>
        <v>Biji kopi yantos 5 macam total 19 pack</v>
      </c>
      <c r="E172" s="5" t="str">
        <f aca="false">IF(I172="","",IF(INDEX(J_DEB,I172)=$C$3,INDEX(J_KRE,I172),INDEX(J_DEB,I172)))</f>
        <v>Biaya Bahan Baku</v>
      </c>
      <c r="F172" s="44" t="n">
        <f aca="false">IF(I172="","",IF(INDEX(J_DEB,I172)=$C$3,INDEX(J_NOM,I172),0))</f>
        <v>0</v>
      </c>
      <c r="G172" s="44" t="n">
        <f aca="false">IF(I172="","",IF(INDEX(J_KRE,I172)=$C$3,INDEX(J_NOM,I172),0))</f>
        <v>1845000</v>
      </c>
      <c r="H172" s="44" t="n">
        <f aca="false">IF(I172="","",N(H171)+IF($C$5="Debet",F172-G172,G172-F172))</f>
        <v>29415612</v>
      </c>
      <c r="I172" s="66" t="n">
        <f aca="false">IF(J172&gt;$K$1,"",IFERROR(MATCH(J172,J_BB,0),""))</f>
        <v>245</v>
      </c>
      <c r="J172" s="66" t="n">
        <v>163</v>
      </c>
      <c r="K172" s="5"/>
    </row>
    <row r="173" customFormat="false" ht="15" hidden="false" customHeight="false" outlineLevel="0" collapsed="false">
      <c r="A173" s="5" t="n">
        <f aca="false">IF(I173="","",J173)</f>
        <v>164</v>
      </c>
      <c r="B173" s="83" t="n">
        <f aca="false">IF(I173="","",INDEX(J_TGL,I173))</f>
        <v>46074</v>
      </c>
      <c r="C173" s="5" t="str">
        <f aca="false">IF(I173="","",INDEX(J_NO,I173))</f>
        <v>JU-0246</v>
      </c>
      <c r="D173" s="5" t="str">
        <f aca="false">IF(I173="","",INDEX(J_KET,I173))</f>
        <v>Biaya transfer flip</v>
      </c>
      <c r="E173" s="5" t="str">
        <f aca="false">IF(I173="","",IF(INDEX(J_DEB,I173)=$C$3,INDEX(J_KRE,I173),INDEX(J_DEB,I173)))</f>
        <v>Biaya Lainnya</v>
      </c>
      <c r="F173" s="44" t="n">
        <f aca="false">IF(I173="","",IF(INDEX(J_DEB,I173)=$C$3,INDEX(J_NOM,I173),0))</f>
        <v>0</v>
      </c>
      <c r="G173" s="44" t="n">
        <f aca="false">IF(I173="","",IF(INDEX(J_KRE,I173)=$C$3,INDEX(J_NOM,I173),0))</f>
        <v>325</v>
      </c>
      <c r="H173" s="44" t="n">
        <f aca="false">IF(I173="","",N(H172)+IF($C$5="Debet",F173-G173,G173-F173))</f>
        <v>29415287</v>
      </c>
      <c r="I173" s="66" t="n">
        <f aca="false">IF(J173&gt;$K$1,"",IFERROR(MATCH(J173,J_BB,0),""))</f>
        <v>246</v>
      </c>
      <c r="J173" s="66" t="n">
        <v>164</v>
      </c>
      <c r="K173" s="5"/>
    </row>
    <row r="174" customFormat="false" ht="15" hidden="false" customHeight="false" outlineLevel="0" collapsed="false">
      <c r="A174" s="5" t="n">
        <f aca="false">IF(I174="","",J174)</f>
        <v>165</v>
      </c>
      <c r="B174" s="83" t="n">
        <f aca="false">IF(I174="","",INDEX(J_TGL,I174))</f>
        <v>46074</v>
      </c>
      <c r="C174" s="5" t="str">
        <f aca="false">IF(I174="","",INDEX(J_NO,I174))</f>
        <v>JU-0247</v>
      </c>
      <c r="D174" s="5" t="str">
        <f aca="false">IF(I174="","",INDEX(J_KET,I174))</f>
        <v>frozen food/100porsi : FF straight 8zak, crinkle 4z, champ 5kg, beef 5kg</v>
      </c>
      <c r="E174" s="5" t="str">
        <f aca="false">IF(I174="","",IF(INDEX(J_DEB,I174)=$C$3,INDEX(J_KRE,I174),INDEX(J_DEB,I174)))</f>
        <v>Biaya Bahan Baku</v>
      </c>
      <c r="F174" s="44" t="n">
        <f aca="false">IF(I174="","",IF(INDEX(J_DEB,I174)=$C$3,INDEX(J_NOM,I174),0))</f>
        <v>0</v>
      </c>
      <c r="G174" s="44" t="n">
        <f aca="false">IF(I174="","",IF(INDEX(J_KRE,I174)=$C$3,INDEX(J_NOM,I174),0))</f>
        <v>1339000</v>
      </c>
      <c r="H174" s="44" t="n">
        <f aca="false">IF(I174="","",N(H173)+IF($C$5="Debet",F174-G174,G174-F174))</f>
        <v>28076287</v>
      </c>
      <c r="I174" s="66" t="n">
        <f aca="false">IF(J174&gt;$K$1,"",IFERROR(MATCH(J174,J_BB,0),""))</f>
        <v>247</v>
      </c>
      <c r="J174" s="66" t="n">
        <v>165</v>
      </c>
      <c r="K174" s="5"/>
    </row>
    <row r="175" customFormat="false" ht="15" hidden="false" customHeight="false" outlineLevel="0" collapsed="false">
      <c r="A175" s="5" t="n">
        <f aca="false">IF(I175="","",J175)</f>
        <v>166</v>
      </c>
      <c r="B175" s="83" t="n">
        <f aca="false">IF(I175="","",INDEX(J_TGL,I175))</f>
        <v>46074</v>
      </c>
      <c r="C175" s="5" t="str">
        <f aca="false">IF(I175="","",INDEX(J_NO,I175))</f>
        <v>JU-0248</v>
      </c>
      <c r="D175" s="5" t="str">
        <f aca="false">IF(I175="","",INDEX(J_KET,I175))</f>
        <v>Freshmilk gf x 3 ctn, simple syrup x 1 jrg</v>
      </c>
      <c r="E175" s="5" t="str">
        <f aca="false">IF(I175="","",IF(INDEX(J_DEB,I175)=$C$3,INDEX(J_KRE,I175),INDEX(J_DEB,I175)))</f>
        <v>Biaya Bahan Baku</v>
      </c>
      <c r="F175" s="44" t="n">
        <f aca="false">IF(I175="","",IF(INDEX(J_DEB,I175)=$C$3,INDEX(J_NOM,I175),0))</f>
        <v>0</v>
      </c>
      <c r="G175" s="44" t="n">
        <f aca="false">IF(I175="","",IF(INDEX(J_KRE,I175)=$C$3,INDEX(J_NOM,I175),0))</f>
        <v>841000</v>
      </c>
      <c r="H175" s="44" t="n">
        <f aca="false">IF(I175="","",N(H174)+IF($C$5="Debet",F175-G175,G175-F175))</f>
        <v>27235287</v>
      </c>
      <c r="I175" s="66" t="n">
        <f aca="false">IF(J175&gt;$K$1,"",IFERROR(MATCH(J175,J_BB,0),""))</f>
        <v>248</v>
      </c>
      <c r="J175" s="66" t="n">
        <v>166</v>
      </c>
      <c r="K175" s="5"/>
    </row>
    <row r="176" customFormat="false" ht="15" hidden="false" customHeight="false" outlineLevel="0" collapsed="false">
      <c r="A176" s="5" t="n">
        <f aca="false">IF(I176="","",J176)</f>
        <v>167</v>
      </c>
      <c r="B176" s="83" t="n">
        <f aca="false">IF(I176="","",INDEX(J_TGL,I176))</f>
        <v>46074</v>
      </c>
      <c r="C176" s="5" t="str">
        <f aca="false">IF(I176="","",INDEX(J_NO,I176))</f>
        <v>JU-0249</v>
      </c>
      <c r="D176" s="5" t="str">
        <f aca="false">IF(I176="","",INDEX(J_KET,I176))</f>
        <v>Croissant batch 142-149 89pcs Buttersome</v>
      </c>
      <c r="E176" s="5" t="str">
        <f aca="false">IF(I176="","",IF(INDEX(J_DEB,I176)=$C$3,INDEX(J_KRE,I176),INDEX(J_DEB,I176)))</f>
        <v>Biaya Bahan Baku</v>
      </c>
      <c r="F176" s="44" t="n">
        <f aca="false">IF(I176="","",IF(INDEX(J_DEB,I176)=$C$3,INDEX(J_NOM,I176),0))</f>
        <v>0</v>
      </c>
      <c r="G176" s="44" t="n">
        <f aca="false">IF(I176="","",IF(INDEX(J_KRE,I176)=$C$3,INDEX(J_NOM,I176),0))</f>
        <v>1945000</v>
      </c>
      <c r="H176" s="44" t="n">
        <f aca="false">IF(I176="","",N(H175)+IF($C$5="Debet",F176-G176,G176-F176))</f>
        <v>25290287</v>
      </c>
      <c r="I176" s="66" t="n">
        <f aca="false">IF(J176&gt;$K$1,"",IFERROR(MATCH(J176,J_BB,0),""))</f>
        <v>249</v>
      </c>
      <c r="J176" s="66" t="n">
        <v>167</v>
      </c>
      <c r="K176" s="5"/>
    </row>
    <row r="177" customFormat="false" ht="15" hidden="false" customHeight="false" outlineLevel="0" collapsed="false">
      <c r="A177" s="5" t="n">
        <f aca="false">IF(I177="","",J177)</f>
        <v>168</v>
      </c>
      <c r="B177" s="83" t="n">
        <f aca="false">IF(I177="","",INDEX(J_TGL,I177))</f>
        <v>46074</v>
      </c>
      <c r="C177" s="5" t="str">
        <f aca="false">IF(I177="","",INDEX(J_NO,I177))</f>
        <v>JU-0250</v>
      </c>
      <c r="D177" s="5" t="str">
        <f aca="false">IF(I177="","",INDEX(J_KET,I177))</f>
        <v>Tutup cup x 1 box lid strawless PET</v>
      </c>
      <c r="E177" s="5" t="str">
        <f aca="false">IF(I177="","",IF(INDEX(J_DEB,I177)=$C$3,INDEX(J_KRE,I177),INDEX(J_DEB,I177)))</f>
        <v>Biaya Penyajian</v>
      </c>
      <c r="F177" s="44" t="n">
        <f aca="false">IF(I177="","",IF(INDEX(J_DEB,I177)=$C$3,INDEX(J_NOM,I177),0))</f>
        <v>0</v>
      </c>
      <c r="G177" s="44" t="n">
        <f aca="false">IF(I177="","",IF(INDEX(J_KRE,I177)=$C$3,INDEX(J_NOM,I177),0))</f>
        <v>190000</v>
      </c>
      <c r="H177" s="44" t="n">
        <f aca="false">IF(I177="","",N(H176)+IF($C$5="Debet",F177-G177,G177-F177))</f>
        <v>25100287</v>
      </c>
      <c r="I177" s="66" t="n">
        <f aca="false">IF(J177&gt;$K$1,"",IFERROR(MATCH(J177,J_BB,0),""))</f>
        <v>250</v>
      </c>
      <c r="J177" s="66" t="n">
        <v>168</v>
      </c>
      <c r="K177" s="5"/>
    </row>
    <row r="178" customFormat="false" ht="15" hidden="false" customHeight="false" outlineLevel="0" collapsed="false">
      <c r="A178" s="5" t="n">
        <f aca="false">IF(I178="","",J178)</f>
        <v>169</v>
      </c>
      <c r="B178" s="83" t="n">
        <f aca="false">IF(I178="","",INDEX(J_TGL,I178))</f>
        <v>46074</v>
      </c>
      <c r="C178" s="5" t="str">
        <f aca="false">IF(I178="","",INDEX(J_NO,I178))</f>
        <v>JU-0251</v>
      </c>
      <c r="D178" s="5" t="str">
        <f aca="false">IF(I178="","",INDEX(J_KET,I178))</f>
        <v>Print poster promosi makanan berat</v>
      </c>
      <c r="E178" s="5" t="str">
        <f aca="false">IF(I178="","",IF(INDEX(J_DEB,I178)=$C$3,INDEX(J_KRE,I178),INDEX(J_DEB,I178)))</f>
        <v>Biaya Marketing &amp; Promosi</v>
      </c>
      <c r="F178" s="44" t="n">
        <f aca="false">IF(I178="","",IF(INDEX(J_DEB,I178)=$C$3,INDEX(J_NOM,I178),0))</f>
        <v>0</v>
      </c>
      <c r="G178" s="44" t="n">
        <f aca="false">IF(I178="","",IF(INDEX(J_KRE,I178)=$C$3,INDEX(J_NOM,I178),0))</f>
        <v>14500</v>
      </c>
      <c r="H178" s="44" t="n">
        <f aca="false">IF(I178="","",N(H177)+IF($C$5="Debet",F178-G178,G178-F178))</f>
        <v>25085787</v>
      </c>
      <c r="I178" s="66" t="n">
        <f aca="false">IF(J178&gt;$K$1,"",IFERROR(MATCH(J178,J_BB,0),""))</f>
        <v>251</v>
      </c>
      <c r="J178" s="66" t="n">
        <v>169</v>
      </c>
      <c r="K178" s="5"/>
    </row>
    <row r="179" customFormat="false" ht="15" hidden="false" customHeight="false" outlineLevel="0" collapsed="false">
      <c r="A179" s="5" t="n">
        <f aca="false">IF(I179="","",J179)</f>
        <v>170</v>
      </c>
      <c r="B179" s="83" t="n">
        <f aca="false">IF(I179="","",INDEX(J_TGL,I179))</f>
        <v>46074</v>
      </c>
      <c r="C179" s="5" t="str">
        <f aca="false">IF(I179="","",INDEX(J_NO,I179))</f>
        <v>JU-0252</v>
      </c>
      <c r="D179" s="5" t="str">
        <f aca="false">IF(I179="","",INDEX(J_KET,I179))</f>
        <v>Bayar parkir di gajah print</v>
      </c>
      <c r="E179" s="5" t="str">
        <f aca="false">IF(I179="","",IF(INDEX(J_DEB,I179)=$C$3,INDEX(J_KRE,I179),INDEX(J_DEB,I179)))</f>
        <v>Biaya Operasional Harian</v>
      </c>
      <c r="F179" s="44" t="n">
        <f aca="false">IF(I179="","",IF(INDEX(J_DEB,I179)=$C$3,INDEX(J_NOM,I179),0))</f>
        <v>0</v>
      </c>
      <c r="G179" s="44" t="n">
        <f aca="false">IF(I179="","",IF(INDEX(J_KRE,I179)=$C$3,INDEX(J_NOM,I179),0))</f>
        <v>2000</v>
      </c>
      <c r="H179" s="44" t="n">
        <f aca="false">IF(I179="","",N(H178)+IF($C$5="Debet",F179-G179,G179-F179))</f>
        <v>25083787</v>
      </c>
      <c r="I179" s="66" t="n">
        <f aca="false">IF(J179&gt;$K$1,"",IFERROR(MATCH(J179,J_BB,0),""))</f>
        <v>252</v>
      </c>
      <c r="J179" s="66" t="n">
        <v>170</v>
      </c>
      <c r="K179" s="5"/>
    </row>
    <row r="180" customFormat="false" ht="15" hidden="false" customHeight="false" outlineLevel="0" collapsed="false">
      <c r="A180" s="5" t="n">
        <f aca="false">IF(I180="","",J180)</f>
        <v>171</v>
      </c>
      <c r="B180" s="83" t="n">
        <f aca="false">IF(I180="","",INDEX(J_TGL,I180))</f>
        <v>46074</v>
      </c>
      <c r="C180" s="5" t="str">
        <f aca="false">IF(I180="","",INDEX(J_NO,I180))</f>
        <v>JU-0253</v>
      </c>
      <c r="D180" s="5" t="str">
        <f aca="false">IF(I180="","",INDEX(J_KET,I180))</f>
        <v>Pindah dana BCA ke Tunai (tuker pecah TJA)</v>
      </c>
      <c r="E180" s="5" t="str">
        <f aca="false">IF(I180="","",IF(INDEX(J_DEB,I180)=$C$3,INDEX(J_KRE,I180),INDEX(J_DEB,I180)))</f>
        <v>Kas Tunai</v>
      </c>
      <c r="F180" s="44" t="n">
        <f aca="false">IF(I180="","",IF(INDEX(J_DEB,I180)=$C$3,INDEX(J_NOM,I180),0))</f>
        <v>0</v>
      </c>
      <c r="G180" s="44" t="n">
        <f aca="false">IF(I180="","",IF(INDEX(J_KRE,I180)=$C$3,INDEX(J_NOM,I180),0))</f>
        <v>3600000</v>
      </c>
      <c r="H180" s="44" t="n">
        <f aca="false">IF(I180="","",N(H179)+IF($C$5="Debet",F180-G180,G180-F180))</f>
        <v>21483787</v>
      </c>
      <c r="I180" s="66" t="n">
        <f aca="false">IF(J180&gt;$K$1,"",IFERROR(MATCH(J180,J_BB,0),""))</f>
        <v>253</v>
      </c>
      <c r="J180" s="66" t="n">
        <v>171</v>
      </c>
      <c r="K180" s="5"/>
    </row>
    <row r="181" customFormat="false" ht="15" hidden="false" customHeight="false" outlineLevel="0" collapsed="false">
      <c r="A181" s="5" t="n">
        <f aca="false">IF(I181="","",J181)</f>
        <v>172</v>
      </c>
      <c r="B181" s="83" t="n">
        <f aca="false">IF(I181="","",INDEX(J_TGL,I181))</f>
        <v>46074</v>
      </c>
      <c r="C181" s="5" t="str">
        <f aca="false">IF(I181="","",INDEX(J_NO,I181))</f>
        <v>JU-0256</v>
      </c>
      <c r="D181" s="5" t="str">
        <f aca="false">IF(I181="","",INDEX(J_KET,I181))</f>
        <v>Tisu wajah See-U facial tissue x 1 dus isi 40 pack isi 250lbr @6.8k/pack</v>
      </c>
      <c r="E181" s="5" t="str">
        <f aca="false">IF(I181="","",IF(INDEX(J_DEB,I181)=$C$3,INDEX(J_KRE,I181),INDEX(J_DEB,I181)))</f>
        <v>Biaya Penyajian</v>
      </c>
      <c r="F181" s="44" t="n">
        <f aca="false">IF(I181="","",IF(INDEX(J_DEB,I181)=$C$3,INDEX(J_NOM,I181),0))</f>
        <v>0</v>
      </c>
      <c r="G181" s="44" t="n">
        <f aca="false">IF(I181="","",IF(INDEX(J_KRE,I181)=$C$3,INDEX(J_NOM,I181),0))</f>
        <v>272000</v>
      </c>
      <c r="H181" s="44" t="n">
        <f aca="false">IF(I181="","",N(H180)+IF($C$5="Debet",F181-G181,G181-F181))</f>
        <v>21211787</v>
      </c>
      <c r="I181" s="66" t="n">
        <f aca="false">IF(J181&gt;$K$1,"",IFERROR(MATCH(J181,J_BB,0),""))</f>
        <v>256</v>
      </c>
      <c r="J181" s="66" t="n">
        <v>172</v>
      </c>
      <c r="K181" s="5"/>
    </row>
    <row r="182" customFormat="false" ht="15" hidden="false" customHeight="false" outlineLevel="0" collapsed="false">
      <c r="A182" s="5" t="n">
        <f aca="false">IF(I182="","",J182)</f>
        <v>173</v>
      </c>
      <c r="B182" s="83" t="n">
        <f aca="false">IF(I182="","",INDEX(J_TGL,I182))</f>
        <v>46074</v>
      </c>
      <c r="C182" s="5" t="str">
        <f aca="false">IF(I182="","",INDEX(J_NO,I182))</f>
        <v>JU-0264</v>
      </c>
      <c r="D182" s="5" t="str">
        <f aca="false">IF(I182="","",INDEX(J_KET,I182))</f>
        <v>Gaji manager Einstein Januari jadi diambil</v>
      </c>
      <c r="E182" s="5" t="str">
        <f aca="false">IF(I182="","",IF(INDEX(J_DEB,I182)=$C$3,INDEX(J_KRE,I182),INDEX(J_DEB,I182)))</f>
        <v>Utang Usaha Lancar</v>
      </c>
      <c r="F182" s="44" t="n">
        <f aca="false">IF(I182="","",IF(INDEX(J_DEB,I182)=$C$3,INDEX(J_NOM,I182),0))</f>
        <v>0</v>
      </c>
      <c r="G182" s="44" t="n">
        <f aca="false">IF(I182="","",IF(INDEX(J_KRE,I182)=$C$3,INDEX(J_NOM,I182),0))</f>
        <v>2687800</v>
      </c>
      <c r="H182" s="44" t="n">
        <f aca="false">IF(I182="","",N(H181)+IF($C$5="Debet",F182-G182,G182-F182))</f>
        <v>18523987</v>
      </c>
      <c r="I182" s="66" t="n">
        <f aca="false">IF(J182&gt;$K$1,"",IFERROR(MATCH(J182,J_BB,0),""))</f>
        <v>264</v>
      </c>
      <c r="J182" s="66" t="n">
        <v>173</v>
      </c>
      <c r="K182" s="5"/>
    </row>
    <row r="183" customFormat="false" ht="15" hidden="false" customHeight="false" outlineLevel="0" collapsed="false">
      <c r="A183" s="5" t="n">
        <f aca="false">IF(I183="","",J183)</f>
        <v>174</v>
      </c>
      <c r="B183" s="83" t="n">
        <f aca="false">IF(I183="","",INDEX(J_TGL,I183))</f>
        <v>46074</v>
      </c>
      <c r="C183" s="5" t="str">
        <f aca="false">IF(I183="","",INDEX(J_NO,I183))</f>
        <v>JU-0265</v>
      </c>
      <c r="D183" s="5" t="str">
        <f aca="false">IF(I183="","",INDEX(J_KET,I183))</f>
        <v>Biaya transfer flip</v>
      </c>
      <c r="E183" s="5" t="str">
        <f aca="false">IF(I183="","",IF(INDEX(J_DEB,I183)=$C$3,INDEX(J_KRE,I183),INDEX(J_DEB,I183)))</f>
        <v>Biaya Lainnya</v>
      </c>
      <c r="F183" s="44" t="n">
        <f aca="false">IF(I183="","",IF(INDEX(J_DEB,I183)=$C$3,INDEX(J_NOM,I183),0))</f>
        <v>0</v>
      </c>
      <c r="G183" s="44" t="n">
        <f aca="false">IF(I183="","",IF(INDEX(J_KRE,I183)=$C$3,INDEX(J_NOM,I183),0))</f>
        <v>325</v>
      </c>
      <c r="H183" s="44" t="n">
        <f aca="false">IF(I183="","",N(H182)+IF($C$5="Debet",F183-G183,G183-F183))</f>
        <v>18523662</v>
      </c>
      <c r="I183" s="66" t="n">
        <f aca="false">IF(J183&gt;$K$1,"",IFERROR(MATCH(J183,J_BB,0),""))</f>
        <v>265</v>
      </c>
      <c r="J183" s="66" t="n">
        <v>174</v>
      </c>
      <c r="K183" s="5"/>
    </row>
    <row r="184" customFormat="false" ht="15" hidden="false" customHeight="false" outlineLevel="0" collapsed="false">
      <c r="A184" s="5" t="n">
        <f aca="false">IF(I184="","",J184)</f>
        <v>175</v>
      </c>
      <c r="B184" s="83" t="n">
        <f aca="false">IF(I184="","",INDEX(J_TGL,I184))</f>
        <v>46075</v>
      </c>
      <c r="C184" s="5" t="str">
        <f aca="false">IF(I184="","",INDEX(J_NO,I184))</f>
        <v>JU-0266</v>
      </c>
      <c r="D184" s="5" t="str">
        <f aca="false">IF(I184="","",INDEX(J_KET,I184))</f>
        <v>Pindah dana tunai ke BCA</v>
      </c>
      <c r="E184" s="5" t="str">
        <f aca="false">IF(I184="","",IF(INDEX(J_DEB,I184)=$C$3,INDEX(J_KRE,I184),INDEX(J_DEB,I184)))</f>
        <v>Kas Tunai</v>
      </c>
      <c r="F184" s="44" t="n">
        <f aca="false">IF(I184="","",IF(INDEX(J_DEB,I184)=$C$3,INDEX(J_NOM,I184),0))</f>
        <v>5000000</v>
      </c>
      <c r="G184" s="44" t="n">
        <f aca="false">IF(I184="","",IF(INDEX(J_KRE,I184)=$C$3,INDEX(J_NOM,I184),0))</f>
        <v>0</v>
      </c>
      <c r="H184" s="44" t="n">
        <f aca="false">IF(I184="","",N(H183)+IF($C$5="Debet",F184-G184,G184-F184))</f>
        <v>23523662</v>
      </c>
      <c r="I184" s="66" t="n">
        <f aca="false">IF(J184&gt;$K$1,"",IFERROR(MATCH(J184,J_BB,0),""))</f>
        <v>266</v>
      </c>
      <c r="J184" s="66" t="n">
        <v>175</v>
      </c>
      <c r="K184" s="5"/>
    </row>
    <row r="185" customFormat="false" ht="15" hidden="false" customHeight="false" outlineLevel="0" collapsed="false">
      <c r="A185" s="5" t="n">
        <f aca="false">IF(I185="","",J185)</f>
        <v>176</v>
      </c>
      <c r="B185" s="83" t="n">
        <f aca="false">IF(I185="","",INDEX(J_TGL,I185))</f>
        <v>46076</v>
      </c>
      <c r="C185" s="5" t="str">
        <f aca="false">IF(I185="","",INDEX(J_NO,I185))</f>
        <v>JU-0267</v>
      </c>
      <c r="D185" s="5" t="str">
        <f aca="false">IF(I185="","",INDEX(J_KET,I185))</f>
        <v>Tofico / 1 botol : vanila, romma, caramel, blue curacao</v>
      </c>
      <c r="E185" s="5" t="str">
        <f aca="false">IF(I185="","",IF(INDEX(J_DEB,I185)=$C$3,INDEX(J_KRE,I185),INDEX(J_DEB,I185)))</f>
        <v>Biaya Bahan Baku</v>
      </c>
      <c r="F185" s="44" t="n">
        <f aca="false">IF(I185="","",IF(INDEX(J_DEB,I185)=$C$3,INDEX(J_NOM,I185),0))</f>
        <v>0</v>
      </c>
      <c r="G185" s="44" t="n">
        <f aca="false">IF(I185="","",IF(INDEX(J_KRE,I185)=$C$3,INDEX(J_NOM,I185),0))</f>
        <v>440000</v>
      </c>
      <c r="H185" s="44" t="n">
        <f aca="false">IF(I185="","",N(H184)+IF($C$5="Debet",F185-G185,G185-F185))</f>
        <v>23083662</v>
      </c>
      <c r="I185" s="66" t="n">
        <f aca="false">IF(J185&gt;$K$1,"",IFERROR(MATCH(J185,J_BB,0),""))</f>
        <v>267</v>
      </c>
      <c r="J185" s="66" t="n">
        <v>176</v>
      </c>
      <c r="K185" s="5"/>
    </row>
    <row r="186" customFormat="false" ht="15" hidden="false" customHeight="false" outlineLevel="0" collapsed="false">
      <c r="A186" s="5" t="n">
        <f aca="false">IF(I186="","",J186)</f>
        <v>177</v>
      </c>
      <c r="B186" s="83" t="n">
        <f aca="false">IF(I186="","",INDEX(J_TGL,I186))</f>
        <v>46077</v>
      </c>
      <c r="C186" s="5" t="str">
        <f aca="false">IF(I186="","",INDEX(J_NO,I186))</f>
        <v>JU-0269</v>
      </c>
      <c r="D186" s="5" t="str">
        <f aca="false">IF(I186="","",INDEX(J_KET,I186))</f>
        <v>Cup plastik 12oz 2000pcs faktur 12441</v>
      </c>
      <c r="E186" s="5" t="str">
        <f aca="false">IF(I186="","",IF(INDEX(J_DEB,I186)=$C$3,INDEX(J_KRE,I186),INDEX(J_DEB,I186)))</f>
        <v>Biaya Penyajian</v>
      </c>
      <c r="F186" s="44" t="n">
        <f aca="false">IF(I186="","",IF(INDEX(J_DEB,I186)=$C$3,INDEX(J_NOM,I186),0))</f>
        <v>0</v>
      </c>
      <c r="G186" s="44" t="n">
        <f aca="false">IF(I186="","",IF(INDEX(J_KRE,I186)=$C$3,INDEX(J_NOM,I186),0))</f>
        <v>1000000</v>
      </c>
      <c r="H186" s="44" t="n">
        <f aca="false">IF(I186="","",N(H185)+IF($C$5="Debet",F186-G186,G186-F186))</f>
        <v>22083662</v>
      </c>
      <c r="I186" s="66" t="n">
        <f aca="false">IF(J186&gt;$K$1,"",IFERROR(MATCH(J186,J_BB,0),""))</f>
        <v>269</v>
      </c>
      <c r="J186" s="66" t="n">
        <v>177</v>
      </c>
      <c r="K186" s="5"/>
    </row>
    <row r="187" customFormat="false" ht="15" hidden="false" customHeight="false" outlineLevel="0" collapsed="false">
      <c r="A187" s="5" t="n">
        <f aca="false">IF(I187="","",J187)</f>
        <v>178</v>
      </c>
      <c r="B187" s="83" t="n">
        <f aca="false">IF(I187="","",INDEX(J_TGL,I187))</f>
        <v>46077</v>
      </c>
      <c r="C187" s="5" t="str">
        <f aca="false">IF(I187="","",INDEX(J_NO,I187))</f>
        <v>JU-0270</v>
      </c>
      <c r="D187" s="5" t="str">
        <f aca="false">IF(I187="","",INDEX(J_KET,I187))</f>
        <v>Tissue roll toilet 10 pack nota 29/12/25</v>
      </c>
      <c r="E187" s="5" t="str">
        <f aca="false">IF(I187="","",IF(INDEX(J_DEB,I187)=$C$3,INDEX(J_KRE,I187),INDEX(J_DEB,I187)))</f>
        <v>Beban Perlengkapan</v>
      </c>
      <c r="F187" s="44" t="n">
        <f aca="false">IF(I187="","",IF(INDEX(J_DEB,I187)=$C$3,INDEX(J_NOM,I187),0))</f>
        <v>0</v>
      </c>
      <c r="G187" s="44" t="n">
        <f aca="false">IF(I187="","",IF(INDEX(J_KRE,I187)=$C$3,INDEX(J_NOM,I187),0))</f>
        <v>156000</v>
      </c>
      <c r="H187" s="44" t="n">
        <f aca="false">IF(I187="","",N(H186)+IF($C$5="Debet",F187-G187,G187-F187))</f>
        <v>21927662</v>
      </c>
      <c r="I187" s="66" t="n">
        <f aca="false">IF(J187&gt;$K$1,"",IFERROR(MATCH(J187,J_BB,0),""))</f>
        <v>270</v>
      </c>
      <c r="J187" s="66" t="n">
        <v>178</v>
      </c>
      <c r="K187" s="5"/>
    </row>
    <row r="188" customFormat="false" ht="15" hidden="false" customHeight="false" outlineLevel="0" collapsed="false">
      <c r="A188" s="5" t="n">
        <f aca="false">IF(I188="","",J188)</f>
        <v>179</v>
      </c>
      <c r="B188" s="83" t="n">
        <f aca="false">IF(I188="","",INDEX(J_TGL,I188))</f>
        <v>46077</v>
      </c>
      <c r="C188" s="5" t="str">
        <f aca="false">IF(I188="","",INDEX(J_NO,I188))</f>
        <v>JU-0276</v>
      </c>
      <c r="D188" s="5" t="str">
        <f aca="false">IF(I188="","",INDEX(J_KET,I188))</f>
        <v>Talangan cicilan BRI jaminan Kopi Parang (biaya sewa tempat)</v>
      </c>
      <c r="E188" s="5" t="str">
        <f aca="false">IF(I188="","",IF(INDEX(J_DEB,I188)=$C$3,INDEX(J_KRE,I188),INDEX(J_DEB,I188)))</f>
        <v>Biaya Sewa Tempat</v>
      </c>
      <c r="F188" s="44" t="n">
        <f aca="false">IF(I188="","",IF(INDEX(J_DEB,I188)=$C$3,INDEX(J_NOM,I188),0))</f>
        <v>0</v>
      </c>
      <c r="G188" s="44" t="n">
        <f aca="false">IF(I188="","",IF(INDEX(J_KRE,I188)=$C$3,INDEX(J_NOM,I188),0))</f>
        <v>10000000</v>
      </c>
      <c r="H188" s="44" t="n">
        <f aca="false">IF(I188="","",N(H187)+IF($C$5="Debet",F188-G188,G188-F188))</f>
        <v>11927662</v>
      </c>
      <c r="I188" s="66" t="n">
        <f aca="false">IF(J188&gt;$K$1,"",IFERROR(MATCH(J188,J_BB,0),""))</f>
        <v>276</v>
      </c>
      <c r="J188" s="66" t="n">
        <v>179</v>
      </c>
      <c r="K188" s="5"/>
    </row>
    <row r="189" customFormat="false" ht="15" hidden="false" customHeight="false" outlineLevel="0" collapsed="false">
      <c r="A189" s="5" t="n">
        <f aca="false">IF(I189="","",J189)</f>
        <v>180</v>
      </c>
      <c r="B189" s="83" t="n">
        <f aca="false">IF(I189="","",INDEX(J_TGL,I189))</f>
        <v>46079</v>
      </c>
      <c r="C189" s="5" t="str">
        <f aca="false">IF(I189="","",INDEX(J_NO,I189))</f>
        <v>JU-0277</v>
      </c>
      <c r="D189" s="5" t="str">
        <f aca="false">IF(I189="","",INDEX(J_KET,I189))</f>
        <v>Print poster x 4 : heavy meal, mini game</v>
      </c>
      <c r="E189" s="5" t="str">
        <f aca="false">IF(I189="","",IF(INDEX(J_DEB,I189)=$C$3,INDEX(J_KRE,I189),INDEX(J_DEB,I189)))</f>
        <v>Biaya Marketing &amp; Promosi</v>
      </c>
      <c r="F189" s="44" t="n">
        <f aca="false">IF(I189="","",IF(INDEX(J_DEB,I189)=$C$3,INDEX(J_NOM,I189),0))</f>
        <v>0</v>
      </c>
      <c r="G189" s="44" t="n">
        <f aca="false">IF(I189="","",IF(INDEX(J_KRE,I189)=$C$3,INDEX(J_NOM,I189),0))</f>
        <v>26801</v>
      </c>
      <c r="H189" s="44" t="n">
        <f aca="false">IF(I189="","",N(H188)+IF($C$5="Debet",F189-G189,G189-F189))</f>
        <v>11900861</v>
      </c>
      <c r="I189" s="66" t="n">
        <f aca="false">IF(J189&gt;$K$1,"",IFERROR(MATCH(J189,J_BB,0),""))</f>
        <v>277</v>
      </c>
      <c r="J189" s="66" t="n">
        <v>180</v>
      </c>
      <c r="K189" s="5"/>
    </row>
    <row r="190" customFormat="false" ht="15" hidden="false" customHeight="false" outlineLevel="0" collapsed="false">
      <c r="A190" s="5" t="n">
        <f aca="false">IF(I190="","",J190)</f>
        <v>181</v>
      </c>
      <c r="B190" s="83" t="n">
        <f aca="false">IF(I190="","",INDEX(J_TGL,I190))</f>
        <v>46079</v>
      </c>
      <c r="C190" s="5" t="str">
        <f aca="false">IF(I190="","",INDEX(J_NO,I190))</f>
        <v>JU-0278</v>
      </c>
      <c r="D190" s="5" t="str">
        <f aca="false">IF(I190="","",INDEX(J_KET,I190))</f>
        <v>5 isi tabung gas 12kg</v>
      </c>
      <c r="E190" s="5" t="str">
        <f aca="false">IF(I190="","",IF(INDEX(J_DEB,I190)=$C$3,INDEX(J_KRE,I190),INDEX(J_DEB,I190)))</f>
        <v>Biaya Bahan Baku</v>
      </c>
      <c r="F190" s="44" t="n">
        <f aca="false">IF(I190="","",IF(INDEX(J_DEB,I190)=$C$3,INDEX(J_NOM,I190),0))</f>
        <v>0</v>
      </c>
      <c r="G190" s="44" t="n">
        <f aca="false">IF(I190="","",IF(INDEX(J_KRE,I190)=$C$3,INDEX(J_NOM,I190),0))</f>
        <v>950000</v>
      </c>
      <c r="H190" s="44" t="n">
        <f aca="false">IF(I190="","",N(H189)+IF($C$5="Debet",F190-G190,G190-F190))</f>
        <v>10950861</v>
      </c>
      <c r="I190" s="66" t="n">
        <f aca="false">IF(J190&gt;$K$1,"",IFERROR(MATCH(J190,J_BB,0),""))</f>
        <v>278</v>
      </c>
      <c r="J190" s="66" t="n">
        <v>181</v>
      </c>
      <c r="K190" s="5"/>
    </row>
    <row r="191" customFormat="false" ht="15" hidden="false" customHeight="false" outlineLevel="0" collapsed="false">
      <c r="A191" s="5" t="n">
        <f aca="false">IF(I191="","",J191)</f>
        <v>182</v>
      </c>
      <c r="B191" s="83" t="n">
        <f aca="false">IF(I191="","",INDEX(J_TGL,I191))</f>
        <v>46079</v>
      </c>
      <c r="C191" s="5" t="str">
        <f aca="false">IF(I191="","",INDEX(J_NO,I191))</f>
        <v>JU-0279</v>
      </c>
      <c r="D191" s="5" t="str">
        <f aca="false">IF(I191="","",INDEX(J_KET,I191))</f>
        <v>Pindah dana BCA ke kas warung</v>
      </c>
      <c r="E191" s="5" t="str">
        <f aca="false">IF(I191="","",IF(INDEX(J_DEB,I191)=$C$3,INDEX(J_KRE,I191),INDEX(J_DEB,I191)))</f>
        <v>Kas Warung</v>
      </c>
      <c r="F191" s="44" t="n">
        <f aca="false">IF(I191="","",IF(INDEX(J_DEB,I191)=$C$3,INDEX(J_NOM,I191),0))</f>
        <v>0</v>
      </c>
      <c r="G191" s="44" t="n">
        <f aca="false">IF(I191="","",IF(INDEX(J_KRE,I191)=$C$3,INDEX(J_NOM,I191),0))</f>
        <v>500000</v>
      </c>
      <c r="H191" s="44" t="n">
        <f aca="false">IF(I191="","",N(H190)+IF($C$5="Debet",F191-G191,G191-F191))</f>
        <v>10450861</v>
      </c>
      <c r="I191" s="66" t="n">
        <f aca="false">IF(J191&gt;$K$1,"",IFERROR(MATCH(J191,J_BB,0),""))</f>
        <v>279</v>
      </c>
      <c r="J191" s="66" t="n">
        <v>182</v>
      </c>
      <c r="K191" s="5"/>
    </row>
    <row r="192" customFormat="false" ht="15" hidden="false" customHeight="false" outlineLevel="0" collapsed="false">
      <c r="A192" s="5" t="n">
        <f aca="false">IF(I192="","",J192)</f>
        <v>183</v>
      </c>
      <c r="B192" s="83" t="n">
        <f aca="false">IF(I192="","",INDEX(J_TGL,I192))</f>
        <v>46079</v>
      </c>
      <c r="C192" s="5" t="str">
        <f aca="false">IF(I192="","",INDEX(J_NO,I192))</f>
        <v>JU-0280</v>
      </c>
      <c r="D192" s="5" t="str">
        <f aca="false">IF(I192="","",INDEX(J_KET,I192))</f>
        <v>Biaya transfer flip</v>
      </c>
      <c r="E192" s="5" t="str">
        <f aca="false">IF(I192="","",IF(INDEX(J_DEB,I192)=$C$3,INDEX(J_KRE,I192),INDEX(J_DEB,I192)))</f>
        <v>Biaya Lainnya</v>
      </c>
      <c r="F192" s="44" t="n">
        <f aca="false">IF(I192="","",IF(INDEX(J_DEB,I192)=$C$3,INDEX(J_NOM,I192),0))</f>
        <v>0</v>
      </c>
      <c r="G192" s="44" t="n">
        <f aca="false">IF(I192="","",IF(INDEX(J_KRE,I192)=$C$3,INDEX(J_NOM,I192),0))</f>
        <v>348</v>
      </c>
      <c r="H192" s="44" t="n">
        <f aca="false">IF(I192="","",N(H191)+IF($C$5="Debet",F192-G192,G192-F192))</f>
        <v>10450513</v>
      </c>
      <c r="I192" s="66" t="n">
        <f aca="false">IF(J192&gt;$K$1,"",IFERROR(MATCH(J192,J_BB,0),""))</f>
        <v>280</v>
      </c>
      <c r="J192" s="66" t="n">
        <v>183</v>
      </c>
      <c r="K192" s="5"/>
    </row>
    <row r="193" customFormat="false" ht="15" hidden="false" customHeight="false" outlineLevel="0" collapsed="false">
      <c r="A193" s="5" t="n">
        <f aca="false">IF(I193="","",J193)</f>
        <v>184</v>
      </c>
      <c r="B193" s="83" t="n">
        <f aca="false">IF(I193="","",INDEX(J_TGL,I193))</f>
        <v>46081</v>
      </c>
      <c r="C193" s="5" t="str">
        <f aca="false">IF(I193="","",INDEX(J_NO,I193))</f>
        <v>JU-0281</v>
      </c>
      <c r="D193" s="5" t="str">
        <f aca="false">IF(I193="","",INDEX(J_KET,I193))</f>
        <v>Pindah dana tunai ke BCA</v>
      </c>
      <c r="E193" s="5" t="str">
        <f aca="false">IF(I193="","",IF(INDEX(J_DEB,I193)=$C$3,INDEX(J_KRE,I193),INDEX(J_DEB,I193)))</f>
        <v>Kas Tunai</v>
      </c>
      <c r="F193" s="44" t="n">
        <f aca="false">IF(I193="","",IF(INDEX(J_DEB,I193)=$C$3,INDEX(J_NOM,I193),0))</f>
        <v>200000</v>
      </c>
      <c r="G193" s="44" t="n">
        <f aca="false">IF(I193="","",IF(INDEX(J_KRE,I193)=$C$3,INDEX(J_NOM,I193),0))</f>
        <v>0</v>
      </c>
      <c r="H193" s="44" t="n">
        <f aca="false">IF(I193="","",N(H192)+IF($C$5="Debet",F193-G193,G193-F193))</f>
        <v>10650513</v>
      </c>
      <c r="I193" s="66" t="n">
        <f aca="false">IF(J193&gt;$K$1,"",IFERROR(MATCH(J193,J_BB,0),""))</f>
        <v>281</v>
      </c>
      <c r="J193" s="66" t="n">
        <v>184</v>
      </c>
      <c r="K193" s="5"/>
    </row>
    <row r="194" customFormat="false" ht="15" hidden="false" customHeight="false" outlineLevel="0" collapsed="false">
      <c r="A194" s="5" t="n">
        <f aca="false">IF(I194="","",J194)</f>
        <v>185</v>
      </c>
      <c r="B194" s="83" t="n">
        <f aca="false">IF(I194="","",INDEX(J_TGL,I194))</f>
        <v>46081</v>
      </c>
      <c r="C194" s="5" t="str">
        <f aca="false">IF(I194="","",INDEX(J_NO,I194))</f>
        <v>JU-0282</v>
      </c>
      <c r="D194" s="5" t="str">
        <f aca="false">IF(I194="","",INDEX(J_KET,I194))</f>
        <v>Pendapatan bunga rekening bank BCA</v>
      </c>
      <c r="E194" s="5" t="str">
        <f aca="false">IF(I194="","",IF(INDEX(J_DEB,I194)=$C$3,INDEX(J_KRE,I194),INDEX(J_DEB,I194)))</f>
        <v>Pendapatan Lainnya</v>
      </c>
      <c r="F194" s="44" t="n">
        <f aca="false">IF(I194="","",IF(INDEX(J_DEB,I194)=$C$3,INDEX(J_NOM,I194),0))</f>
        <v>627</v>
      </c>
      <c r="G194" s="44" t="n">
        <f aca="false">IF(I194="","",IF(INDEX(J_KRE,I194)=$C$3,INDEX(J_NOM,I194),0))</f>
        <v>0</v>
      </c>
      <c r="H194" s="44" t="n">
        <f aca="false">IF(I194="","",N(H193)+IF($C$5="Debet",F194-G194,G194-F194))</f>
        <v>10651140</v>
      </c>
      <c r="I194" s="66" t="n">
        <f aca="false">IF(J194&gt;$K$1,"",IFERROR(MATCH(J194,J_BB,0),""))</f>
        <v>282</v>
      </c>
      <c r="J194" s="66" t="n">
        <v>185</v>
      </c>
      <c r="K194" s="5"/>
    </row>
    <row r="195" customFormat="false" ht="15" hidden="false" customHeight="false" outlineLevel="0" collapsed="false">
      <c r="A195" s="5" t="n">
        <f aca="false">IF(I195="","",J195)</f>
        <v>186</v>
      </c>
      <c r="B195" s="83" t="n">
        <f aca="false">IF(I195="","",INDEX(J_TGL,I195))</f>
        <v>46081</v>
      </c>
      <c r="C195" s="5" t="str">
        <f aca="false">IF(I195="","",INDEX(J_NO,I195))</f>
        <v>JU-0283</v>
      </c>
      <c r="D195" s="5" t="str">
        <f aca="false">IF(I195="","",INDEX(J_KET,I195))</f>
        <v>Pengeluaran pajak bunga rekening bank BCA</v>
      </c>
      <c r="E195" s="5" t="str">
        <f aca="false">IF(I195="","",IF(INDEX(J_DEB,I195)=$C$3,INDEX(J_KRE,I195),INDEX(J_DEB,I195)))</f>
        <v>Biaya Lainnya</v>
      </c>
      <c r="F195" s="44" t="n">
        <f aca="false">IF(I195="","",IF(INDEX(J_DEB,I195)=$C$3,INDEX(J_NOM,I195),0))</f>
        <v>0</v>
      </c>
      <c r="G195" s="44" t="n">
        <f aca="false">IF(I195="","",IF(INDEX(J_KRE,I195)=$C$3,INDEX(J_NOM,I195),0))</f>
        <v>125</v>
      </c>
      <c r="H195" s="44" t="n">
        <f aca="false">IF(I195="","",N(H194)+IF($C$5="Debet",F195-G195,G195-F195))</f>
        <v>10651015</v>
      </c>
      <c r="I195" s="66" t="n">
        <f aca="false">IF(J195&gt;$K$1,"",IFERROR(MATCH(J195,J_BB,0),""))</f>
        <v>283</v>
      </c>
      <c r="J195" s="66" t="n">
        <v>186</v>
      </c>
      <c r="K195" s="5"/>
    </row>
    <row r="196" customFormat="false" ht="15" hidden="false" customHeight="false" outlineLevel="0" collapsed="false">
      <c r="A196" s="5" t="n">
        <f aca="false">IF(I196="","",J196)</f>
        <v>187</v>
      </c>
      <c r="B196" s="83" t="n">
        <f aca="false">IF(I196="","",INDEX(J_TGL,I196))</f>
        <v>46081</v>
      </c>
      <c r="C196" s="5" t="str">
        <f aca="false">IF(I196="","",INDEX(J_NO,I196))</f>
        <v>JU-0284</v>
      </c>
      <c r="D196" s="5" t="str">
        <f aca="false">IF(I196="","",INDEX(J_KET,I196))</f>
        <v>Membayar gaji pegawai</v>
      </c>
      <c r="E196" s="5" t="str">
        <f aca="false">IF(I196="","",IF(INDEX(J_DEB,I196)=$C$3,INDEX(J_KRE,I196),INDEX(J_DEB,I196)))</f>
        <v>Beban Gaji</v>
      </c>
      <c r="F196" s="44" t="n">
        <f aca="false">IF(I196="","",IF(INDEX(J_DEB,I196)=$C$3,INDEX(J_NOM,I196),0))</f>
        <v>0</v>
      </c>
      <c r="G196" s="44" t="n">
        <f aca="false">IF(I196="","",IF(INDEX(J_KRE,I196)=$C$3,INDEX(J_NOM,I196),0))</f>
        <v>20544500</v>
      </c>
      <c r="H196" s="44" t="n">
        <f aca="false">IF(I196="","",N(H195)+IF($C$5="Debet",F196-G196,G196-F196))</f>
        <v>-9893485</v>
      </c>
      <c r="I196" s="66" t="n">
        <f aca="false">IF(J196&gt;$K$1,"",IFERROR(MATCH(J196,J_BB,0),""))</f>
        <v>284</v>
      </c>
      <c r="J196" s="66" t="n">
        <v>187</v>
      </c>
      <c r="K196" s="5"/>
    </row>
    <row r="197" customFormat="false" ht="15" hidden="false" customHeight="false" outlineLevel="0" collapsed="false">
      <c r="A197" s="5" t="n">
        <f aca="false">IF(I197="","",J197)</f>
        <v>188</v>
      </c>
      <c r="B197" s="83" t="n">
        <f aca="false">IF(I197="","",INDEX(J_TGL,I197))</f>
        <v>46081</v>
      </c>
      <c r="C197" s="5" t="str">
        <f aca="false">IF(I197="","",INDEX(J_NO,I197))</f>
        <v>JU-0285</v>
      </c>
      <c r="D197" s="5" t="str">
        <f aca="false">IF(I197="","",INDEX(J_KET,I197))</f>
        <v>Membayar bonus pegawai</v>
      </c>
      <c r="E197" s="5" t="str">
        <f aca="false">IF(I197="","",IF(INDEX(J_DEB,I197)=$C$3,INDEX(J_KRE,I197),INDEX(J_DEB,I197)))</f>
        <v>Beban Gaji</v>
      </c>
      <c r="F197" s="44" t="n">
        <f aca="false">IF(I197="","",IF(INDEX(J_DEB,I197)=$C$3,INDEX(J_NOM,I197),0))</f>
        <v>0</v>
      </c>
      <c r="G197" s="44" t="n">
        <f aca="false">IF(I197="","",IF(INDEX(J_KRE,I197)=$C$3,INDEX(J_NOM,I197),0))</f>
        <v>1000000</v>
      </c>
      <c r="H197" s="44" t="n">
        <f aca="false">IF(I197="","",N(H196)+IF($C$5="Debet",F197-G197,G197-F197))</f>
        <v>-10893485</v>
      </c>
      <c r="I197" s="66" t="n">
        <f aca="false">IF(J197&gt;$K$1,"",IFERROR(MATCH(J197,J_BB,0),""))</f>
        <v>285</v>
      </c>
      <c r="J197" s="66" t="n">
        <v>188</v>
      </c>
      <c r="K197" s="5"/>
    </row>
    <row r="198" customFormat="false" ht="15" hidden="false" customHeight="false" outlineLevel="0" collapsed="false">
      <c r="A198" s="5" t="n">
        <f aca="false">IF(I198="","",J198)</f>
        <v>189</v>
      </c>
      <c r="B198" s="83" t="n">
        <f aca="false">IF(I198="","",INDEX(J_TGL,I198))</f>
        <v>46081</v>
      </c>
      <c r="C198" s="5" t="str">
        <f aca="false">IF(I198="","",INDEX(J_NO,I198))</f>
        <v>JU-0286</v>
      </c>
      <c r="D198" s="5" t="str">
        <f aca="false">IF(I198="","",INDEX(J_KET,I198))</f>
        <v>Biaya flip untuk transfer gaji</v>
      </c>
      <c r="E198" s="5" t="str">
        <f aca="false">IF(I198="","",IF(INDEX(J_DEB,I198)=$C$3,INDEX(J_KRE,I198),INDEX(J_DEB,I198)))</f>
        <v>Biaya Lainnya</v>
      </c>
      <c r="F198" s="44" t="n">
        <f aca="false">IF(I198="","",IF(INDEX(J_DEB,I198)=$C$3,INDEX(J_NOM,I198),0))</f>
        <v>0</v>
      </c>
      <c r="G198" s="44" t="n">
        <f aca="false">IF(I198="","",IF(INDEX(J_KRE,I198)=$C$3,INDEX(J_NOM,I198),0))</f>
        <v>13276</v>
      </c>
      <c r="H198" s="44" t="n">
        <f aca="false">IF(I198="","",N(H197)+IF($C$5="Debet",F198-G198,G198-F198))</f>
        <v>-10906761</v>
      </c>
      <c r="I198" s="66" t="n">
        <f aca="false">IF(J198&gt;$K$1,"",IFERROR(MATCH(J198,J_BB,0),""))</f>
        <v>286</v>
      </c>
      <c r="J198" s="66" t="n">
        <v>189</v>
      </c>
      <c r="K198" s="5"/>
    </row>
    <row r="199" customFormat="false" ht="15" hidden="false" customHeight="false" outlineLevel="0" collapsed="false">
      <c r="A199" s="5" t="n">
        <f aca="false">IF(I199="","",J199)</f>
        <v>190</v>
      </c>
      <c r="B199" s="83" t="n">
        <f aca="false">IF(I199="","",INDEX(J_TGL,I199))</f>
        <v>46081</v>
      </c>
      <c r="C199" s="5" t="str">
        <f aca="false">IF(I199="","",INDEX(J_NO,I199))</f>
        <v>JU-0287</v>
      </c>
      <c r="D199" s="5" t="str">
        <f aca="false">IF(I199="","",INDEX(J_KET,I199))</f>
        <v>Tagihan listrik Februari 2026</v>
      </c>
      <c r="E199" s="5" t="str">
        <f aca="false">IF(I199="","",IF(INDEX(J_DEB,I199)=$C$3,INDEX(J_KRE,I199),INDEX(J_DEB,I199)))</f>
        <v>Biaya Tagihan Bulanan</v>
      </c>
      <c r="F199" s="44" t="n">
        <f aca="false">IF(I199="","",IF(INDEX(J_DEB,I199)=$C$3,INDEX(J_NOM,I199),0))</f>
        <v>0</v>
      </c>
      <c r="G199" s="44" t="n">
        <f aca="false">IF(I199="","",IF(INDEX(J_KRE,I199)=$C$3,INDEX(J_NOM,I199),0))</f>
        <v>3782053</v>
      </c>
      <c r="H199" s="44" t="n">
        <f aca="false">IF(I199="","",N(H198)+IF($C$5="Debet",F199-G199,G199-F199))</f>
        <v>-14688814</v>
      </c>
      <c r="I199" s="66" t="n">
        <f aca="false">IF(J199&gt;$K$1,"",IFERROR(MATCH(J199,J_BB,0),""))</f>
        <v>287</v>
      </c>
      <c r="J199" s="66" t="n">
        <v>190</v>
      </c>
      <c r="K199" s="5"/>
    </row>
    <row r="200" customFormat="false" ht="15" hidden="false" customHeight="false" outlineLevel="0" collapsed="false">
      <c r="A200" s="5" t="n">
        <f aca="false">IF(I200="","",J200)</f>
        <v>191</v>
      </c>
      <c r="B200" s="83" t="n">
        <f aca="false">IF(I200="","",INDEX(J_TGL,I200))</f>
        <v>46081</v>
      </c>
      <c r="C200" s="5" t="str">
        <f aca="false">IF(I200="","",INDEX(J_NO,I200))</f>
        <v>JU-0288</v>
      </c>
      <c r="D200" s="5" t="str">
        <f aca="false">IF(I200="","",INDEX(J_KET,I200))</f>
        <v>Tagihan telepon Februari 2026</v>
      </c>
      <c r="E200" s="5" t="str">
        <f aca="false">IF(I200="","",IF(INDEX(J_DEB,I200)=$C$3,INDEX(J_KRE,I200),INDEX(J_DEB,I200)))</f>
        <v>Biaya Tagihan Bulanan</v>
      </c>
      <c r="F200" s="44" t="n">
        <f aca="false">IF(I200="","",IF(INDEX(J_DEB,I200)=$C$3,INDEX(J_NOM,I200),0))</f>
        <v>0</v>
      </c>
      <c r="G200" s="44" t="n">
        <f aca="false">IF(I200="","",IF(INDEX(J_KRE,I200)=$C$3,INDEX(J_NOM,I200),0))</f>
        <v>56891</v>
      </c>
      <c r="H200" s="44" t="n">
        <f aca="false">IF(I200="","",N(H199)+IF($C$5="Debet",F200-G200,G200-F200))</f>
        <v>-14745705</v>
      </c>
      <c r="I200" s="66" t="n">
        <f aca="false">IF(J200&gt;$K$1,"",IFERROR(MATCH(J200,J_BB,0),""))</f>
        <v>288</v>
      </c>
      <c r="J200" s="66" t="n">
        <v>191</v>
      </c>
      <c r="K200" s="5"/>
    </row>
    <row r="201" customFormat="false" ht="15" hidden="false" customHeight="false" outlineLevel="0" collapsed="false">
      <c r="A201" s="5" t="n">
        <f aca="false">IF(I201="","",J201)</f>
        <v>192</v>
      </c>
      <c r="B201" s="83" t="n">
        <f aca="false">IF(I201="","",INDEX(J_TGL,I201))</f>
        <v>46081</v>
      </c>
      <c r="C201" s="5" t="str">
        <f aca="false">IF(I201="","",INDEX(J_NO,I201))</f>
        <v>JU-0289</v>
      </c>
      <c r="D201" s="5" t="str">
        <f aca="false">IF(I201="","",INDEX(J_KET,I201))</f>
        <v>Tagihan internet Februari 2026</v>
      </c>
      <c r="E201" s="5" t="str">
        <f aca="false">IF(I201="","",IF(INDEX(J_DEB,I201)=$C$3,INDEX(J_KRE,I201),INDEX(J_DEB,I201)))</f>
        <v>Biaya Tagihan Bulanan</v>
      </c>
      <c r="F201" s="44" t="n">
        <f aca="false">IF(I201="","",IF(INDEX(J_DEB,I201)=$C$3,INDEX(J_NOM,I201),0))</f>
        <v>0</v>
      </c>
      <c r="G201" s="44" t="n">
        <f aca="false">IF(I201="","",IF(INDEX(J_KRE,I201)=$C$3,INDEX(J_NOM,I201),0))</f>
        <v>384950</v>
      </c>
      <c r="H201" s="44" t="n">
        <f aca="false">IF(I201="","",N(H200)+IF($C$5="Debet",F201-G201,G201-F201))</f>
        <v>-15130655</v>
      </c>
      <c r="I201" s="66" t="n">
        <f aca="false">IF(J201&gt;$K$1,"",IFERROR(MATCH(J201,J_BB,0),""))</f>
        <v>289</v>
      </c>
      <c r="J201" s="66" t="n">
        <v>192</v>
      </c>
      <c r="K201" s="5"/>
    </row>
    <row r="202" customFormat="false" ht="15" hidden="false" customHeight="false" outlineLevel="0" collapsed="false">
      <c r="A202" s="5" t="n">
        <f aca="false">IF(I202="","",J202)</f>
        <v>193</v>
      </c>
      <c r="B202" s="83" t="n">
        <f aca="false">IF(I202="","",INDEX(J_TGL,I202))</f>
        <v>46081</v>
      </c>
      <c r="C202" s="5" t="str">
        <f aca="false">IF(I202="","",INDEX(J_NO,I202))</f>
        <v>JU-0290</v>
      </c>
      <c r="D202" s="5" t="str">
        <f aca="false">IF(I202="","",INDEX(J_KET,I202))</f>
        <v>Menerima pelunasan piutang Einstein</v>
      </c>
      <c r="E202" s="5" t="str">
        <f aca="false">IF(I202="","",IF(INDEX(J_DEB,I202)=$C$3,INDEX(J_KRE,I202),INDEX(J_DEB,I202)))</f>
        <v>Piutang Lainnya</v>
      </c>
      <c r="F202" s="44" t="n">
        <f aca="false">IF(I202="","",IF(INDEX(J_DEB,I202)=$C$3,INDEX(J_NOM,I202),0))</f>
        <v>270300</v>
      </c>
      <c r="G202" s="44" t="n">
        <f aca="false">IF(I202="","",IF(INDEX(J_KRE,I202)=$C$3,INDEX(J_NOM,I202),0))</f>
        <v>0</v>
      </c>
      <c r="H202" s="44" t="n">
        <f aca="false">IF(I202="","",N(H201)+IF($C$5="Debet",F202-G202,G202-F202))</f>
        <v>-14860355</v>
      </c>
      <c r="I202" s="66" t="n">
        <f aca="false">IF(J202&gt;$K$1,"",IFERROR(MATCH(J202,J_BB,0),""))</f>
        <v>290</v>
      </c>
      <c r="J202" s="66" t="n">
        <v>193</v>
      </c>
      <c r="K202" s="5"/>
    </row>
    <row r="203" customFormat="false" ht="15" hidden="false" customHeight="false" outlineLevel="0" collapsed="false">
      <c r="A203" s="5" t="n">
        <f aca="false">IF(I203="","",J203)</f>
        <v>194</v>
      </c>
      <c r="B203" s="83" t="n">
        <f aca="false">IF(I203="","",INDEX(J_TGL,I203))</f>
        <v>46081</v>
      </c>
      <c r="C203" s="5" t="str">
        <f aca="false">IF(I203="","",INDEX(J_NO,I203))</f>
        <v>JU-0291</v>
      </c>
      <c r="D203" s="5" t="str">
        <f aca="false">IF(I203="","",INDEX(J_KET,I203))</f>
        <v>Menerima pelunasan piutang Einstein &amp; Yantos (nitip belanja barang)</v>
      </c>
      <c r="E203" s="5" t="str">
        <f aca="false">IF(I203="","",IF(INDEX(J_DEB,I203)=$C$3,INDEX(J_KRE,I203),INDEX(J_DEB,I203)))</f>
        <v>Piutang Usaha Cafe</v>
      </c>
      <c r="F203" s="44" t="n">
        <f aca="false">IF(I203="","",IF(INDEX(J_DEB,I203)=$C$3,INDEX(J_NOM,I203),0))</f>
        <v>189000</v>
      </c>
      <c r="G203" s="44" t="n">
        <f aca="false">IF(I203="","",IF(INDEX(J_KRE,I203)=$C$3,INDEX(J_NOM,I203),0))</f>
        <v>0</v>
      </c>
      <c r="H203" s="44" t="n">
        <f aca="false">IF(I203="","",N(H202)+IF($C$5="Debet",F203-G203,G203-F203))</f>
        <v>-14671355</v>
      </c>
      <c r="I203" s="66" t="n">
        <f aca="false">IF(J203&gt;$K$1,"",IFERROR(MATCH(J203,J_BB,0),""))</f>
        <v>291</v>
      </c>
      <c r="J203" s="66" t="n">
        <v>194</v>
      </c>
      <c r="K203" s="5"/>
    </row>
    <row r="204" customFormat="false" ht="15" hidden="false" customHeight="false" outlineLevel="0" collapsed="false">
      <c r="A204" s="5" t="n">
        <f aca="false">IF(I204="","",J204)</f>
        <v>195</v>
      </c>
      <c r="B204" s="83" t="n">
        <f aca="false">IF(I204="","",INDEX(J_TGL,I204))</f>
        <v>46081</v>
      </c>
      <c r="C204" s="5" t="str">
        <f aca="false">IF(I204="","",INDEX(J_NO,I204))</f>
        <v>JU-0292</v>
      </c>
      <c r="D204" s="5" t="str">
        <f aca="false">IF(I204="","",INDEX(J_KET,I204))</f>
        <v>Menerima pelunasan piutang Einstein (Yantos)</v>
      </c>
      <c r="E204" s="5" t="str">
        <f aca="false">IF(I204="","",IF(INDEX(J_DEB,I204)=$C$3,INDEX(J_KRE,I204),INDEX(J_DEB,I204)))</f>
        <v>Piutang Usaha Cafe</v>
      </c>
      <c r="F204" s="44" t="n">
        <f aca="false">IF(I204="","",IF(INDEX(J_DEB,I204)=$C$3,INDEX(J_NOM,I204),0))</f>
        <v>1000000</v>
      </c>
      <c r="G204" s="44" t="n">
        <f aca="false">IF(I204="","",IF(INDEX(J_KRE,I204)=$C$3,INDEX(J_NOM,I204),0))</f>
        <v>0</v>
      </c>
      <c r="H204" s="44" t="n">
        <f aca="false">IF(I204="","",N(H203)+IF($C$5="Debet",F204-G204,G204-F204))</f>
        <v>-13671355</v>
      </c>
      <c r="I204" s="66" t="n">
        <f aca="false">IF(J204&gt;$K$1,"",IFERROR(MATCH(J204,J_BB,0),""))</f>
        <v>292</v>
      </c>
      <c r="J204" s="66" t="n">
        <v>195</v>
      </c>
      <c r="K204" s="5"/>
    </row>
    <row r="205" customFormat="false" ht="15" hidden="false" customHeight="false" outlineLevel="0" collapsed="false">
      <c r="A205" s="5" t="n">
        <f aca="false">IF(I205="","",J205)</f>
        <v>196</v>
      </c>
      <c r="B205" s="83" t="n">
        <f aca="false">IF(I205="","",INDEX(J_TGL,I205))</f>
        <v>46081</v>
      </c>
      <c r="C205" s="5" t="str">
        <f aca="false">IF(I205="","",INDEX(J_NO,I205))</f>
        <v>JU-0294</v>
      </c>
      <c r="D205" s="5" t="str">
        <f aca="false">IF(I205="","",INDEX(J_KET,I205))</f>
        <v>Gaji direktur Kopi Parang</v>
      </c>
      <c r="E205" s="5" t="str">
        <f aca="false">IF(I205="","",IF(INDEX(J_DEB,I205)=$C$3,INDEX(J_KRE,I205),INDEX(J_DEB,I205)))</f>
        <v>Beban Gaji</v>
      </c>
      <c r="F205" s="44" t="n">
        <f aca="false">IF(I205="","",IF(INDEX(J_DEB,I205)=$C$3,INDEX(J_NOM,I205),0))</f>
        <v>0</v>
      </c>
      <c r="G205" s="44" t="n">
        <f aca="false">IF(I205="","",IF(INDEX(J_KRE,I205)=$C$3,INDEX(J_NOM,I205),0))</f>
        <v>4000000</v>
      </c>
      <c r="H205" s="44" t="n">
        <f aca="false">IF(I205="","",N(H204)+IF($C$5="Debet",F205-G205,G205-F205))</f>
        <v>-17671355</v>
      </c>
      <c r="I205" s="66" t="n">
        <f aca="false">IF(J205&gt;$K$1,"",IFERROR(MATCH(J205,J_BB,0),""))</f>
        <v>294</v>
      </c>
      <c r="J205" s="66" t="n">
        <v>196</v>
      </c>
      <c r="K205" s="5"/>
    </row>
    <row r="206" customFormat="false" ht="15" hidden="false" customHeight="false" outlineLevel="0" collapsed="false">
      <c r="A206" s="5" t="n">
        <f aca="false">IF(I206="","",J206)</f>
        <v>197</v>
      </c>
      <c r="B206" s="83" t="n">
        <f aca="false">IF(I206="","",INDEX(J_TGL,I206))</f>
        <v>46081</v>
      </c>
      <c r="C206" s="5" t="str">
        <f aca="false">IF(I206="","",INDEX(J_NO,I206))</f>
        <v>JU-0295</v>
      </c>
      <c r="D206" s="5" t="str">
        <f aca="false">IF(I206="","",INDEX(J_KET,I206))</f>
        <v>Biaya sewa tempat Februari (dialihkan sebagai prive karena sudah ada biaya sewa)</v>
      </c>
      <c r="E206" s="5" t="str">
        <f aca="false">IF(I206="","",IF(INDEX(J_DEB,I206)=$C$3,INDEX(J_KRE,I206),INDEX(J_DEB,I206)))</f>
        <v>Prive</v>
      </c>
      <c r="F206" s="44" t="n">
        <f aca="false">IF(I206="","",IF(INDEX(J_DEB,I206)=$C$3,INDEX(J_NOM,I206),0))</f>
        <v>0</v>
      </c>
      <c r="G206" s="44" t="n">
        <f aca="false">IF(I206="","",IF(INDEX(J_KRE,I206)=$C$3,INDEX(J_NOM,I206),0))</f>
        <v>2500000</v>
      </c>
      <c r="H206" s="44" t="n">
        <f aca="false">IF(I206="","",N(H205)+IF($C$5="Debet",F206-G206,G206-F206))</f>
        <v>-20171355</v>
      </c>
      <c r="I206" s="66" t="n">
        <f aca="false">IF(J206&gt;$K$1,"",IFERROR(MATCH(J206,J_BB,0),""))</f>
        <v>295</v>
      </c>
      <c r="J206" s="66" t="n">
        <v>197</v>
      </c>
      <c r="K206" s="5"/>
    </row>
    <row r="207" customFormat="false" ht="15" hidden="false" customHeight="false" outlineLevel="0" collapsed="false">
      <c r="A207" s="5" t="n">
        <f aca="false">IF(I207="","",J207)</f>
        <v>198</v>
      </c>
      <c r="B207" s="83" t="n">
        <f aca="false">IF(I207="","",INDEX(J_TGL,I207))</f>
        <v>46081</v>
      </c>
      <c r="C207" s="5" t="str">
        <f aca="false">IF(I207="","",INDEX(J_NO,I207))</f>
        <v>JU-0298</v>
      </c>
      <c r="D207" s="5" t="str">
        <f aca="false">IF(I207="","",INDEX(J_KET,I207))</f>
        <v>Pajak daerah PBJT-CAFE ke Bank Jateng Bapenda</v>
      </c>
      <c r="E207" s="5" t="str">
        <f aca="false">IF(I207="","",IF(INDEX(J_DEB,I207)=$C$3,INDEX(J_KRE,I207),INDEX(J_DEB,I207)))</f>
        <v>Pajak Restoran</v>
      </c>
      <c r="F207" s="44" t="n">
        <f aca="false">IF(I207="","",IF(INDEX(J_DEB,I207)=$C$3,INDEX(J_NOM,I207),0))</f>
        <v>0</v>
      </c>
      <c r="G207" s="44" t="n">
        <f aca="false">IF(I207="","",IF(INDEX(J_KRE,I207)=$C$3,INDEX(J_NOM,I207),0))</f>
        <v>1664000</v>
      </c>
      <c r="H207" s="44" t="n">
        <f aca="false">IF(I207="","",N(H206)+IF($C$5="Debet",F207-G207,G207-F207))</f>
        <v>-21835355</v>
      </c>
      <c r="I207" s="66" t="n">
        <f aca="false">IF(J207&gt;$K$1,"",IFERROR(MATCH(J207,J_BB,0),""))</f>
        <v>298</v>
      </c>
      <c r="J207" s="66" t="n">
        <v>198</v>
      </c>
      <c r="K207" s="5"/>
    </row>
    <row r="208" customFormat="false" ht="15" hidden="false" customHeight="false" outlineLevel="0" collapsed="false">
      <c r="A208" s="5" t="n">
        <f aca="false">IF(I208="","",J208)</f>
        <v>199</v>
      </c>
      <c r="B208" s="83" t="n">
        <f aca="false">IF(I208="","",INDEX(J_TGL,I208))</f>
        <v>46081</v>
      </c>
      <c r="C208" s="5" t="str">
        <f aca="false">IF(I208="","",INDEX(J_NO,I208))</f>
        <v>JU-0299</v>
      </c>
      <c r="D208" s="5" t="str">
        <f aca="false">IF(I208="","",INDEX(J_KET,I208))</f>
        <v>Biaya transfer beda bank. BCA ke Bank Jateng</v>
      </c>
      <c r="E208" s="5" t="str">
        <f aca="false">IF(I208="","",IF(INDEX(J_DEB,I208)=$C$3,INDEX(J_KRE,I208),INDEX(J_DEB,I208)))</f>
        <v>Biaya Lainnya</v>
      </c>
      <c r="F208" s="44" t="n">
        <f aca="false">IF(I208="","",IF(INDEX(J_DEB,I208)=$C$3,INDEX(J_NOM,I208),0))</f>
        <v>0</v>
      </c>
      <c r="G208" s="44" t="n">
        <f aca="false">IF(I208="","",IF(INDEX(J_KRE,I208)=$C$3,INDEX(J_NOM,I208),0))</f>
        <v>6500</v>
      </c>
      <c r="H208" s="44" t="n">
        <f aca="false">IF(I208="","",N(H207)+IF($C$5="Debet",F208-G208,G208-F208))</f>
        <v>-21841855</v>
      </c>
      <c r="I208" s="66" t="n">
        <f aca="false">IF(J208&gt;$K$1,"",IFERROR(MATCH(J208,J_BB,0),""))</f>
        <v>299</v>
      </c>
      <c r="J208" s="66" t="n">
        <v>199</v>
      </c>
      <c r="K208" s="5"/>
    </row>
    <row r="209" customFormat="false" ht="15" hidden="false" customHeight="false" outlineLevel="0" collapsed="false">
      <c r="A209" s="5" t="n">
        <f aca="false">IF(I209="","",J209)</f>
        <v>200</v>
      </c>
      <c r="B209" s="83" t="n">
        <f aca="false">IF(I209="","",INDEX(J_TGL,I209))</f>
        <v>46081</v>
      </c>
      <c r="C209" s="5" t="str">
        <f aca="false">IF(I209="","",INDEX(J_NO,I209))</f>
        <v>JU-0302</v>
      </c>
      <c r="D209" s="5" t="str">
        <f aca="false">IF(I209="","",INDEX(J_KET,I209))</f>
        <v>Realisasi EDC/QRIS omzet bulan Februari</v>
      </c>
      <c r="E209" s="5" t="str">
        <f aca="false">IF(I209="","",IF(INDEX(J_DEB,I209)=$C$3,INDEX(J_KRE,I209),INDEX(J_DEB,I209)))</f>
        <v>Piutang Usaha Cafe</v>
      </c>
      <c r="F209" s="44" t="n">
        <f aca="false">IF(I209="","",IF(INDEX(J_DEB,I209)=$C$3,INDEX(J_NOM,I209),0))</f>
        <v>51087288</v>
      </c>
      <c r="G209" s="44" t="n">
        <f aca="false">IF(I209="","",IF(INDEX(J_KRE,I209)=$C$3,INDEX(J_NOM,I209),0))</f>
        <v>0</v>
      </c>
      <c r="H209" s="44" t="n">
        <f aca="false">IF(I209="","",N(H208)+IF($C$5="Debet",F209-G209,G209-F209))</f>
        <v>29245433</v>
      </c>
      <c r="I209" s="66" t="n">
        <f aca="false">IF(J209&gt;$K$1,"",IFERROR(MATCH(J209,J_BB,0),""))</f>
        <v>302</v>
      </c>
      <c r="J209" s="66" t="n">
        <v>200</v>
      </c>
      <c r="K209" s="5"/>
    </row>
    <row r="210" customFormat="false" ht="15" hidden="false" customHeight="false" outlineLevel="0" collapsed="false">
      <c r="A210" s="5" t="n">
        <f aca="false">IF(I210="","",J210)</f>
        <v>201</v>
      </c>
      <c r="B210" s="83" t="n">
        <f aca="false">IF(I210="","",INDEX(J_TGL,I210))</f>
        <v>46082</v>
      </c>
      <c r="C210" s="5" t="str">
        <f aca="false">IF(I210="","",INDEX(J_NO,I210))</f>
        <v>JU-0308</v>
      </c>
      <c r="D210" s="5" t="str">
        <f aca="false">IF(I210="","",INDEX(J_KET,I210))</f>
        <v>Ramadhan Takjil nasi liwet 120 porsi 26 Feb 2026</v>
      </c>
      <c r="E210" s="5" t="str">
        <f aca="false">IF(I210="","",IF(INDEX(J_DEB,I210)=$C$3,INDEX(J_KRE,I210),INDEX(J_DEB,I210)))</f>
        <v>Dana Sosial &amp; CSR</v>
      </c>
      <c r="F210" s="44" t="n">
        <f aca="false">IF(I210="","",IF(INDEX(J_DEB,I210)=$C$3,INDEX(J_NOM,I210),0))</f>
        <v>0</v>
      </c>
      <c r="G210" s="44" t="n">
        <f aca="false">IF(I210="","",IF(INDEX(J_KRE,I210)=$C$3,INDEX(J_NOM,I210),0))</f>
        <v>1440000</v>
      </c>
      <c r="H210" s="44" t="n">
        <f aca="false">IF(I210="","",N(H209)+IF($C$5="Debet",F210-G210,G210-F210))</f>
        <v>27805433</v>
      </c>
      <c r="I210" s="66" t="n">
        <f aca="false">IF(J210&gt;$K$1,"",IFERROR(MATCH(J210,J_BB,0),""))</f>
        <v>308</v>
      </c>
      <c r="J210" s="66" t="n">
        <v>201</v>
      </c>
      <c r="K210" s="5"/>
    </row>
    <row r="211" customFormat="false" ht="15" hidden="false" customHeight="false" outlineLevel="0" collapsed="false">
      <c r="A211" s="5" t="n">
        <f aca="false">IF(I211="","",J211)</f>
        <v>202</v>
      </c>
      <c r="B211" s="83" t="n">
        <f aca="false">IF(I211="","",INDEX(J_TGL,I211))</f>
        <v>46082</v>
      </c>
      <c r="C211" s="5" t="str">
        <f aca="false">IF(I211="","",INDEX(J_NO,I211))</f>
        <v>JU-0309</v>
      </c>
      <c r="D211" s="5" t="str">
        <f aca="false">IF(I211="","",INDEX(J_KET,I211))</f>
        <v>Pindah dana tunai ke BCA</v>
      </c>
      <c r="E211" s="5" t="str">
        <f aca="false">IF(I211="","",IF(INDEX(J_DEB,I211)=$C$3,INDEX(J_KRE,I211),INDEX(J_DEB,I211)))</f>
        <v>Kas Tunai</v>
      </c>
      <c r="F211" s="44" t="n">
        <f aca="false">IF(I211="","",IF(INDEX(J_DEB,I211)=$C$3,INDEX(J_NOM,I211),0))</f>
        <v>2100000</v>
      </c>
      <c r="G211" s="44" t="n">
        <f aca="false">IF(I211="","",IF(INDEX(J_KRE,I211)=$C$3,INDEX(J_NOM,I211),0))</f>
        <v>0</v>
      </c>
      <c r="H211" s="44" t="n">
        <f aca="false">IF(I211="","",N(H210)+IF($C$5="Debet",F211-G211,G211-F211))</f>
        <v>29905433</v>
      </c>
      <c r="I211" s="66" t="n">
        <f aca="false">IF(J211&gt;$K$1,"",IFERROR(MATCH(J211,J_BB,0),""))</f>
        <v>309</v>
      </c>
      <c r="J211" s="66" t="n">
        <v>202</v>
      </c>
      <c r="K211" s="5"/>
    </row>
    <row r="212" customFormat="false" ht="15" hidden="false" customHeight="false" outlineLevel="0" collapsed="false">
      <c r="A212" s="5" t="n">
        <f aca="false">IF(I212="","",J212)</f>
        <v>203</v>
      </c>
      <c r="B212" s="83" t="n">
        <f aca="false">IF(I212="","",INDEX(J_TGL,I212))</f>
        <v>46082</v>
      </c>
      <c r="C212" s="5" t="str">
        <f aca="false">IF(I212="","",INDEX(J_NO,I212))</f>
        <v>JU-0310</v>
      </c>
      <c r="D212" s="5" t="str">
        <f aca="false">IF(I212="","",INDEX(J_KET,I212))</f>
        <v>Biaya transfer flip</v>
      </c>
      <c r="E212" s="5" t="str">
        <f aca="false">IF(I212="","",IF(INDEX(J_DEB,I212)=$C$3,INDEX(J_KRE,I212),INDEX(J_DEB,I212)))</f>
        <v>Biaya Lainnya</v>
      </c>
      <c r="F212" s="44" t="n">
        <f aca="false">IF(I212="","",IF(INDEX(J_DEB,I212)=$C$3,INDEX(J_NOM,I212),0))</f>
        <v>0</v>
      </c>
      <c r="G212" s="44" t="n">
        <f aca="false">IF(I212="","",IF(INDEX(J_KRE,I212)=$C$3,INDEX(J_NOM,I212),0))</f>
        <v>423</v>
      </c>
      <c r="H212" s="44" t="n">
        <f aca="false">IF(I212="","",N(H211)+IF($C$5="Debet",F212-G212,G212-F212))</f>
        <v>29905010</v>
      </c>
      <c r="I212" s="66" t="n">
        <f aca="false">IF(J212&gt;$K$1,"",IFERROR(MATCH(J212,J_BB,0),""))</f>
        <v>310</v>
      </c>
      <c r="J212" s="66" t="n">
        <v>203</v>
      </c>
      <c r="K212" s="5"/>
    </row>
    <row r="213" customFormat="false" ht="15" hidden="false" customHeight="false" outlineLevel="0" collapsed="false">
      <c r="A213" s="5" t="n">
        <f aca="false">IF(I213="","",J213)</f>
        <v>204</v>
      </c>
      <c r="B213" s="83" t="n">
        <f aca="false">IF(I213="","",INDEX(J_TGL,I213))</f>
        <v>46083</v>
      </c>
      <c r="C213" s="5" t="str">
        <f aca="false">IF(I213="","",INDEX(J_NO,I213))</f>
        <v>JU-0311</v>
      </c>
      <c r="D213" s="5" t="str">
        <f aca="false">IF(I213="","",INDEX(J_KET,I213))</f>
        <v>Koreksi pendapatan event tahun 2025, ada kelebihan bayar dari EO Mba Yuninngar</v>
      </c>
      <c r="E213" s="5" t="str">
        <f aca="false">IF(I213="","",IF(INDEX(J_DEB,I213)=$C$3,INDEX(J_KRE,I213),INDEX(J_DEB,I213)))</f>
        <v>Biaya Lainnya</v>
      </c>
      <c r="F213" s="44" t="n">
        <f aca="false">IF(I213="","",IF(INDEX(J_DEB,I213)=$C$3,INDEX(J_NOM,I213),0))</f>
        <v>0</v>
      </c>
      <c r="G213" s="44" t="n">
        <f aca="false">IF(I213="","",IF(INDEX(J_KRE,I213)=$C$3,INDEX(J_NOM,I213),0))</f>
        <v>577000</v>
      </c>
      <c r="H213" s="44" t="n">
        <f aca="false">IF(I213="","",N(H212)+IF($C$5="Debet",F213-G213,G213-F213))</f>
        <v>29328010</v>
      </c>
      <c r="I213" s="66" t="n">
        <f aca="false">IF(J213&gt;$K$1,"",IFERROR(MATCH(J213,J_BB,0),""))</f>
        <v>311</v>
      </c>
      <c r="J213" s="66" t="n">
        <v>204</v>
      </c>
      <c r="K213" s="5"/>
    </row>
    <row r="214" customFormat="false" ht="15" hidden="false" customHeight="false" outlineLevel="0" collapsed="false">
      <c r="A214" s="5" t="n">
        <f aca="false">IF(I214="","",J214)</f>
        <v>205</v>
      </c>
      <c r="B214" s="83" t="n">
        <f aca="false">IF(I214="","",INDEX(J_TGL,I214))</f>
        <v>46083</v>
      </c>
      <c r="C214" s="5" t="str">
        <f aca="false">IF(I214="","",INDEX(J_NO,I214))</f>
        <v>JU-0312</v>
      </c>
      <c r="D214" s="5" t="str">
        <f aca="false">IF(I214="","",INDEX(J_KET,I214))</f>
        <v>Biaya transfer flip</v>
      </c>
      <c r="E214" s="5" t="str">
        <f aca="false">IF(I214="","",IF(INDEX(J_DEB,I214)=$C$3,INDEX(J_KRE,I214),INDEX(J_DEB,I214)))</f>
        <v>Biaya Lainnya</v>
      </c>
      <c r="F214" s="44" t="n">
        <f aca="false">IF(I214="","",IF(INDEX(J_DEB,I214)=$C$3,INDEX(J_NOM,I214),0))</f>
        <v>0</v>
      </c>
      <c r="G214" s="44" t="n">
        <f aca="false">IF(I214="","",IF(INDEX(J_KRE,I214)=$C$3,INDEX(J_NOM,I214),0))</f>
        <v>325</v>
      </c>
      <c r="H214" s="44" t="n">
        <f aca="false">IF(I214="","",N(H213)+IF($C$5="Debet",F214-G214,G214-F214))</f>
        <v>29327685</v>
      </c>
      <c r="I214" s="66" t="n">
        <f aca="false">IF(J214&gt;$K$1,"",IFERROR(MATCH(J214,J_BB,0),""))</f>
        <v>312</v>
      </c>
      <c r="J214" s="66" t="n">
        <v>205</v>
      </c>
      <c r="K214" s="5"/>
    </row>
    <row r="215" customFormat="false" ht="15" hidden="false" customHeight="false" outlineLevel="0" collapsed="false">
      <c r="A215" s="5" t="n">
        <f aca="false">IF(I215="","",J215)</f>
        <v>206</v>
      </c>
      <c r="B215" s="83" t="n">
        <f aca="false">IF(I215="","",INDEX(J_TGL,I215))</f>
        <v>46084</v>
      </c>
      <c r="C215" s="5" t="str">
        <f aca="false">IF(I215="","",INDEX(J_NO,I215))</f>
        <v>JU-0314</v>
      </c>
      <c r="D215" s="5" t="str">
        <f aca="false">IF(I215="","",INDEX(J_KET,I215))</f>
        <v>Pindah dana kas warung ke BCA</v>
      </c>
      <c r="E215" s="5" t="str">
        <f aca="false">IF(I215="","",IF(INDEX(J_DEB,I215)=$C$3,INDEX(J_KRE,I215),INDEX(J_DEB,I215)))</f>
        <v>Kas Warung</v>
      </c>
      <c r="F215" s="44" t="n">
        <f aca="false">IF(I215="","",IF(INDEX(J_DEB,I215)=$C$3,INDEX(J_NOM,I215),0))</f>
        <v>444000</v>
      </c>
      <c r="G215" s="44" t="n">
        <f aca="false">IF(I215="","",IF(INDEX(J_KRE,I215)=$C$3,INDEX(J_NOM,I215),0))</f>
        <v>0</v>
      </c>
      <c r="H215" s="44" t="n">
        <f aca="false">IF(I215="","",N(H214)+IF($C$5="Debet",F215-G215,G215-F215))</f>
        <v>29771685</v>
      </c>
      <c r="I215" s="66" t="n">
        <f aca="false">IF(J215&gt;$K$1,"",IFERROR(MATCH(J215,J_BB,0),""))</f>
        <v>314</v>
      </c>
      <c r="J215" s="66" t="n">
        <v>206</v>
      </c>
      <c r="K215" s="5"/>
    </row>
    <row r="216" customFormat="false" ht="15" hidden="false" customHeight="false" outlineLevel="0" collapsed="false">
      <c r="A216" s="5" t="n">
        <f aca="false">IF(I216="","",J216)</f>
        <v>207</v>
      </c>
      <c r="B216" s="83" t="n">
        <f aca="false">IF(I216="","",INDEX(J_TGL,I216))</f>
        <v>46086</v>
      </c>
      <c r="C216" s="5" t="str">
        <f aca="false">IF(I216="","",INDEX(J_NO,I216))</f>
        <v>JU-0322</v>
      </c>
      <c r="D216" s="5" t="str">
        <f aca="false">IF(I216="","",INDEX(J_KET,I216))</f>
        <v>Belanja susu arummi cashew milk barista 1L x 2 karton/24pcs stok 2 bulan</v>
      </c>
      <c r="E216" s="5" t="str">
        <f aca="false">IF(I216="","",IF(INDEX(J_DEB,I216)=$C$3,INDEX(J_KRE,I216),INDEX(J_DEB,I216)))</f>
        <v>Biaya Bahan Baku</v>
      </c>
      <c r="F216" s="44" t="n">
        <f aca="false">IF(I216="","",IF(INDEX(J_DEB,I216)=$C$3,INDEX(J_NOM,I216),0))</f>
        <v>0</v>
      </c>
      <c r="G216" s="44" t="n">
        <f aca="false">IF(I216="","",IF(INDEX(J_KRE,I216)=$C$3,INDEX(J_NOM,I216),0))</f>
        <v>755764</v>
      </c>
      <c r="H216" s="44" t="n">
        <f aca="false">IF(I216="","",N(H215)+IF($C$5="Debet",F216-G216,G216-F216))</f>
        <v>29015921</v>
      </c>
      <c r="I216" s="66" t="n">
        <f aca="false">IF(J216&gt;$K$1,"",IFERROR(MATCH(J216,J_BB,0),""))</f>
        <v>322</v>
      </c>
      <c r="J216" s="66" t="n">
        <v>207</v>
      </c>
      <c r="K216" s="5"/>
    </row>
    <row r="217" customFormat="false" ht="15" hidden="false" customHeight="false" outlineLevel="0" collapsed="false">
      <c r="A217" s="5" t="n">
        <f aca="false">IF(I217="","",J217)</f>
        <v>208</v>
      </c>
      <c r="B217" s="83" t="n">
        <f aca="false">IF(I217="","",INDEX(J_TGL,I217))</f>
        <v>46088</v>
      </c>
      <c r="C217" s="5" t="str">
        <f aca="false">IF(I217="","",INDEX(J_NO,I217))</f>
        <v>JU-0323</v>
      </c>
      <c r="D217" s="5" t="str">
        <f aca="false">IF(I217="","",INDEX(J_KET,I217))</f>
        <v>susu UHT  ultramilk x 13 karton</v>
      </c>
      <c r="E217" s="5" t="str">
        <f aca="false">IF(I217="","",IF(INDEX(J_DEB,I217)=$C$3,INDEX(J_KRE,I217),INDEX(J_DEB,I217)))</f>
        <v>Biaya Bahan Baku</v>
      </c>
      <c r="F217" s="44" t="n">
        <f aca="false">IF(I217="","",IF(INDEX(J_DEB,I217)=$C$3,INDEX(J_NOM,I217),0))</f>
        <v>0</v>
      </c>
      <c r="G217" s="44" t="n">
        <f aca="false">IF(I217="","",IF(INDEX(J_KRE,I217)=$C$3,INDEX(J_NOM,I217),0))</f>
        <v>2899000</v>
      </c>
      <c r="H217" s="44" t="n">
        <f aca="false">IF(I217="","",N(H216)+IF($C$5="Debet",F217-G217,G217-F217))</f>
        <v>26116921</v>
      </c>
      <c r="I217" s="66" t="n">
        <f aca="false">IF(J217&gt;$K$1,"",IFERROR(MATCH(J217,J_BB,0),""))</f>
        <v>323</v>
      </c>
      <c r="J217" s="66" t="n">
        <v>208</v>
      </c>
      <c r="K217" s="5"/>
    </row>
    <row r="218" customFormat="false" ht="15" hidden="false" customHeight="false" outlineLevel="0" collapsed="false">
      <c r="A218" s="5" t="n">
        <f aca="false">IF(I218="","",J218)</f>
        <v>209</v>
      </c>
      <c r="B218" s="83" t="n">
        <f aca="false">IF(I218="","",INDEX(J_TGL,I218))</f>
        <v>46088</v>
      </c>
      <c r="C218" s="5" t="str">
        <f aca="false">IF(I218="","",INDEX(J_NO,I218))</f>
        <v>JU-0324</v>
      </c>
      <c r="D218" s="5" t="str">
        <f aca="false">IF(I218="","",INDEX(J_KET,I218))</f>
        <v>Paper filter V60 Hario x 2 pack</v>
      </c>
      <c r="E218" s="5" t="str">
        <f aca="false">IF(I218="","",IF(INDEX(J_DEB,I218)=$C$3,INDEX(J_KRE,I218),INDEX(J_DEB,I218)))</f>
        <v>Biaya Penyajian</v>
      </c>
      <c r="F218" s="44" t="n">
        <f aca="false">IF(I218="","",IF(INDEX(J_DEB,I218)=$C$3,INDEX(J_NOM,I218),0))</f>
        <v>0</v>
      </c>
      <c r="G218" s="44" t="n">
        <f aca="false">IF(I218="","",IF(INDEX(J_KRE,I218)=$C$3,INDEX(J_NOM,I218),0))</f>
        <v>180000</v>
      </c>
      <c r="H218" s="44" t="n">
        <f aca="false">IF(I218="","",N(H217)+IF($C$5="Debet",F218-G218,G218-F218))</f>
        <v>25936921</v>
      </c>
      <c r="I218" s="66" t="n">
        <f aca="false">IF(J218&gt;$K$1,"",IFERROR(MATCH(J218,J_BB,0),""))</f>
        <v>324</v>
      </c>
      <c r="J218" s="66" t="n">
        <v>209</v>
      </c>
      <c r="K218" s="5"/>
    </row>
    <row r="219" customFormat="false" ht="15" hidden="false" customHeight="false" outlineLevel="0" collapsed="false">
      <c r="A219" s="5" t="n">
        <f aca="false">IF(I219="","",J219)</f>
        <v>210</v>
      </c>
      <c r="B219" s="83" t="n">
        <f aca="false">IF(I219="","",INDEX(J_TGL,I219))</f>
        <v>46088</v>
      </c>
      <c r="C219" s="5" t="str">
        <f aca="false">IF(I219="","",INDEX(J_NO,I219))</f>
        <v>JU-0325</v>
      </c>
      <c r="D219" s="5" t="str">
        <f aca="false">IF(I219="","",INDEX(J_KET,I219))</f>
        <v>Storage box hitam 35 L Onyx x 1 pcs</v>
      </c>
      <c r="E219" s="5" t="str">
        <f aca="false">IF(I219="","",IF(INDEX(J_DEB,I219)=$C$3,INDEX(J_KRE,I219),INDEX(J_DEB,I219)))</f>
        <v>Beban Perlengkapan</v>
      </c>
      <c r="F219" s="44" t="n">
        <f aca="false">IF(I219="","",IF(INDEX(J_DEB,I219)=$C$3,INDEX(J_NOM,I219),0))</f>
        <v>0</v>
      </c>
      <c r="G219" s="44" t="n">
        <f aca="false">IF(I219="","",IF(INDEX(J_KRE,I219)=$C$3,INDEX(J_NOM,I219),0))</f>
        <v>72100</v>
      </c>
      <c r="H219" s="44" t="n">
        <f aca="false">IF(I219="","",N(H218)+IF($C$5="Debet",F219-G219,G219-F219))</f>
        <v>25864821</v>
      </c>
      <c r="I219" s="66" t="n">
        <f aca="false">IF(J219&gt;$K$1,"",IFERROR(MATCH(J219,J_BB,0),""))</f>
        <v>325</v>
      </c>
      <c r="J219" s="66" t="n">
        <v>210</v>
      </c>
      <c r="K219" s="5"/>
    </row>
    <row r="220" customFormat="false" ht="15" hidden="false" customHeight="false" outlineLevel="0" collapsed="false">
      <c r="A220" s="5" t="n">
        <f aca="false">IF(I220="","",J220)</f>
        <v>211</v>
      </c>
      <c r="B220" s="83" t="n">
        <f aca="false">IF(I220="","",INDEX(J_TGL,I220))</f>
        <v>46088</v>
      </c>
      <c r="C220" s="5" t="str">
        <f aca="false">IF(I220="","",INDEX(J_NO,I220))</f>
        <v>JU-0326</v>
      </c>
      <c r="D220" s="5" t="str">
        <f aca="false">IF(I220="","",INDEX(J_KET,I220))</f>
        <v>Keranjang hitam YTH 52 x 2 pcs</v>
      </c>
      <c r="E220" s="5" t="str">
        <f aca="false">IF(I220="","",IF(INDEX(J_DEB,I220)=$C$3,INDEX(J_KRE,I220),INDEX(J_DEB,I220)))</f>
        <v>Beban Perlengkapan</v>
      </c>
      <c r="F220" s="44" t="n">
        <f aca="false">IF(I220="","",IF(INDEX(J_DEB,I220)=$C$3,INDEX(J_NOM,I220),0))</f>
        <v>0</v>
      </c>
      <c r="G220" s="44" t="n">
        <f aca="false">IF(I220="","",IF(INDEX(J_KRE,I220)=$C$3,INDEX(J_NOM,I220),0))</f>
        <v>117700</v>
      </c>
      <c r="H220" s="44" t="n">
        <f aca="false">IF(I220="","",N(H219)+IF($C$5="Debet",F220-G220,G220-F220))</f>
        <v>25747121</v>
      </c>
      <c r="I220" s="66" t="n">
        <f aca="false">IF(J220&gt;$K$1,"",IFERROR(MATCH(J220,J_BB,0),""))</f>
        <v>326</v>
      </c>
      <c r="J220" s="66" t="n">
        <v>211</v>
      </c>
      <c r="K220" s="5"/>
    </row>
    <row r="221" customFormat="false" ht="15" hidden="false" customHeight="false" outlineLevel="0" collapsed="false">
      <c r="A221" s="5" t="n">
        <f aca="false">IF(I221="","",J221)</f>
        <v>212</v>
      </c>
      <c r="B221" s="83" t="n">
        <f aca="false">IF(I221="","",INDEX(J_TGL,I221))</f>
        <v>46089</v>
      </c>
      <c r="C221" s="5" t="str">
        <f aca="false">IF(I221="","",INDEX(J_NO,I221))</f>
        <v>JU-0327</v>
      </c>
      <c r="D221" s="5" t="str">
        <f aca="false">IF(I221="","",INDEX(J_KET,I221))</f>
        <v>Pindah dana tunai ke BCA</v>
      </c>
      <c r="E221" s="5" t="str">
        <f aca="false">IF(I221="","",IF(INDEX(J_DEB,I221)=$C$3,INDEX(J_KRE,I221),INDEX(J_DEB,I221)))</f>
        <v>Kas Tunai</v>
      </c>
      <c r="F221" s="44" t="n">
        <f aca="false">IF(I221="","",IF(INDEX(J_DEB,I221)=$C$3,INDEX(J_NOM,I221),0))</f>
        <v>370000</v>
      </c>
      <c r="G221" s="44" t="n">
        <f aca="false">IF(I221="","",IF(INDEX(J_KRE,I221)=$C$3,INDEX(J_NOM,I221),0))</f>
        <v>0</v>
      </c>
      <c r="H221" s="44" t="n">
        <f aca="false">IF(I221="","",N(H220)+IF($C$5="Debet",F221-G221,G221-F221))</f>
        <v>26117121</v>
      </c>
      <c r="I221" s="66" t="n">
        <f aca="false">IF(J221&gt;$K$1,"",IFERROR(MATCH(J221,J_BB,0),""))</f>
        <v>327</v>
      </c>
      <c r="J221" s="66" t="n">
        <v>212</v>
      </c>
      <c r="K221" s="5"/>
    </row>
    <row r="222" customFormat="false" ht="15" hidden="false" customHeight="false" outlineLevel="0" collapsed="false">
      <c r="A222" s="5" t="n">
        <f aca="false">IF(I222="","",J222)</f>
        <v>213</v>
      </c>
      <c r="B222" s="83" t="n">
        <f aca="false">IF(I222="","",INDEX(J_TGL,I222))</f>
        <v>46090</v>
      </c>
      <c r="C222" s="5" t="str">
        <f aca="false">IF(I222="","",INDEX(J_NO,I222))</f>
        <v>JU-0328</v>
      </c>
      <c r="D222" s="5" t="str">
        <f aca="false">IF(I222="","",INDEX(J_KET,I222))</f>
        <v>Tong sampah bulat 1, kotak 1, tempat tisu 1</v>
      </c>
      <c r="E222" s="5" t="str">
        <f aca="false">IF(I222="","",IF(INDEX(J_DEB,I222)=$C$3,INDEX(J_KRE,I222),INDEX(J_DEB,I222)))</f>
        <v>Beban Perlengkapan</v>
      </c>
      <c r="F222" s="44" t="n">
        <f aca="false">IF(I222="","",IF(INDEX(J_DEB,I222)=$C$3,INDEX(J_NOM,I222),0))</f>
        <v>0</v>
      </c>
      <c r="G222" s="44" t="n">
        <f aca="false">IF(I222="","",IF(INDEX(J_KRE,I222)=$C$3,INDEX(J_NOM,I222),0))</f>
        <v>633400</v>
      </c>
      <c r="H222" s="44" t="n">
        <f aca="false">IF(I222="","",N(H221)+IF($C$5="Debet",F222-G222,G222-F222))</f>
        <v>25483721</v>
      </c>
      <c r="I222" s="66" t="n">
        <f aca="false">IF(J222&gt;$K$1,"",IFERROR(MATCH(J222,J_BB,0),""))</f>
        <v>328</v>
      </c>
      <c r="J222" s="66" t="n">
        <v>213</v>
      </c>
      <c r="K222" s="5"/>
    </row>
    <row r="223" customFormat="false" ht="15" hidden="false" customHeight="false" outlineLevel="0" collapsed="false">
      <c r="A223" s="5" t="n">
        <f aca="false">IF(I223="","",J223)</f>
        <v>214</v>
      </c>
      <c r="B223" s="83" t="n">
        <f aca="false">IF(I223="","",INDEX(J_TGL,I223))</f>
        <v>46090</v>
      </c>
      <c r="C223" s="5" t="str">
        <f aca="false">IF(I223="","",INDEX(J_NO,I223))</f>
        <v>JU-0329</v>
      </c>
      <c r="D223" s="5" t="str">
        <f aca="false">IF(I223="","",INDEX(J_KET,I223))</f>
        <v>Ready to meal makanan berat : iga bakar x 15, bebek hitam x 25</v>
      </c>
      <c r="E223" s="5" t="str">
        <f aca="false">IF(I223="","",IF(INDEX(J_DEB,I223)=$C$3,INDEX(J_KRE,I223),INDEX(J_DEB,I223)))</f>
        <v>Biaya Bahan Baku</v>
      </c>
      <c r="F223" s="44" t="n">
        <f aca="false">IF(I223="","",IF(INDEX(J_DEB,I223)=$C$3,INDEX(J_NOM,I223),0))</f>
        <v>0</v>
      </c>
      <c r="G223" s="44" t="n">
        <f aca="false">IF(I223="","",IF(INDEX(J_KRE,I223)=$C$3,INDEX(J_NOM,I223),0))</f>
        <v>750000</v>
      </c>
      <c r="H223" s="44" t="n">
        <f aca="false">IF(I223="","",N(H222)+IF($C$5="Debet",F223-G223,G223-F223))</f>
        <v>24733721</v>
      </c>
      <c r="I223" s="66" t="n">
        <f aca="false">IF(J223&gt;$K$1,"",IFERROR(MATCH(J223,J_BB,0),""))</f>
        <v>329</v>
      </c>
      <c r="J223" s="66" t="n">
        <v>214</v>
      </c>
      <c r="K223" s="5"/>
    </row>
    <row r="224" customFormat="false" ht="15" hidden="false" customHeight="false" outlineLevel="0" collapsed="false">
      <c r="A224" s="5" t="n">
        <f aca="false">IF(I224="","",J224)</f>
        <v>215</v>
      </c>
      <c r="B224" s="83" t="n">
        <f aca="false">IF(I224="","",INDEX(J_TGL,I224))</f>
        <v>46090</v>
      </c>
      <c r="C224" s="5" t="str">
        <f aca="false">IF(I224="","",INDEX(J_NO,I224))</f>
        <v>JU-0330</v>
      </c>
      <c r="D224" s="5" t="str">
        <f aca="false">IF(I224="","",INDEX(J_KET,I224))</f>
        <v>Buttersome pembelian return croissant batch 150-157 x 13 pcs</v>
      </c>
      <c r="E224" s="5" t="str">
        <f aca="false">IF(I224="","",IF(INDEX(J_DEB,I224)=$C$3,INDEX(J_KRE,I224),INDEX(J_DEB,I224)))</f>
        <v>Biaya Bahan Baku</v>
      </c>
      <c r="F224" s="44" t="n">
        <f aca="false">IF(I224="","",IF(INDEX(J_DEB,I224)=$C$3,INDEX(J_NOM,I224),0))</f>
        <v>0</v>
      </c>
      <c r="G224" s="44" t="n">
        <f aca="false">IF(I224="","",IF(INDEX(J_KRE,I224)=$C$3,INDEX(J_NOM,I224),0))</f>
        <v>130000</v>
      </c>
      <c r="H224" s="44" t="n">
        <f aca="false">IF(I224="","",N(H223)+IF($C$5="Debet",F224-G224,G224-F224))</f>
        <v>24603721</v>
      </c>
      <c r="I224" s="66" t="n">
        <f aca="false">IF(J224&gt;$K$1,"",IFERROR(MATCH(J224,J_BB,0),""))</f>
        <v>330</v>
      </c>
      <c r="J224" s="66" t="n">
        <v>215</v>
      </c>
      <c r="K224" s="5"/>
    </row>
    <row r="225" customFormat="false" ht="15" hidden="false" customHeight="false" outlineLevel="0" collapsed="false">
      <c r="A225" s="5" t="n">
        <f aca="false">IF(I225="","",J225)</f>
        <v>216</v>
      </c>
      <c r="B225" s="83" t="n">
        <f aca="false">IF(I225="","",INDEX(J_TGL,I225))</f>
        <v>46090</v>
      </c>
      <c r="C225" s="5" t="str">
        <f aca="false">IF(I225="","",INDEX(J_NO,I225))</f>
        <v>JU-0331</v>
      </c>
      <c r="D225" s="5" t="str">
        <f aca="false">IF(I225="","",INDEX(J_KET,I225))</f>
        <v>Biaya transfer flip</v>
      </c>
      <c r="E225" s="5" t="str">
        <f aca="false">IF(I225="","",IF(INDEX(J_DEB,I225)=$C$3,INDEX(J_KRE,I225),INDEX(J_DEB,I225)))</f>
        <v>Biaya Lainnya</v>
      </c>
      <c r="F225" s="44" t="n">
        <f aca="false">IF(I225="","",IF(INDEX(J_DEB,I225)=$C$3,INDEX(J_NOM,I225),0))</f>
        <v>0</v>
      </c>
      <c r="G225" s="44" t="n">
        <f aca="false">IF(I225="","",IF(INDEX(J_KRE,I225)=$C$3,INDEX(J_NOM,I225),0))</f>
        <v>443</v>
      </c>
      <c r="H225" s="44" t="n">
        <f aca="false">IF(I225="","",N(H224)+IF($C$5="Debet",F225-G225,G225-F225))</f>
        <v>24603278</v>
      </c>
      <c r="I225" s="66" t="n">
        <f aca="false">IF(J225&gt;$K$1,"",IFERROR(MATCH(J225,J_BB,0),""))</f>
        <v>331</v>
      </c>
      <c r="J225" s="66" t="n">
        <v>216</v>
      </c>
      <c r="K225" s="5"/>
    </row>
    <row r="226" customFormat="false" ht="15" hidden="false" customHeight="false" outlineLevel="0" collapsed="false">
      <c r="A226" s="5" t="n">
        <f aca="false">IF(I226="","",J226)</f>
        <v>217</v>
      </c>
      <c r="B226" s="83" t="n">
        <f aca="false">IF(I226="","",INDEX(J_TGL,I226))</f>
        <v>46090</v>
      </c>
      <c r="C226" s="5" t="str">
        <f aca="false">IF(I226="","",INDEX(J_NO,I226))</f>
        <v>JU-0332</v>
      </c>
      <c r="D226" s="5" t="str">
        <f aca="false">IF(I226="","",INDEX(J_KET,I226))</f>
        <v>susu Freshmilk greenfield x 3 karton</v>
      </c>
      <c r="E226" s="5" t="str">
        <f aca="false">IF(I226="","",IF(INDEX(J_DEB,I226)=$C$3,INDEX(J_KRE,I226),INDEX(J_DEB,I226)))</f>
        <v>Biaya Bahan Baku</v>
      </c>
      <c r="F226" s="44" t="n">
        <f aca="false">IF(I226="","",IF(INDEX(J_DEB,I226)=$C$3,INDEX(J_NOM,I226),0))</f>
        <v>0</v>
      </c>
      <c r="G226" s="44" t="n">
        <f aca="false">IF(I226="","",IF(INDEX(J_KRE,I226)=$C$3,INDEX(J_NOM,I226),0))</f>
        <v>741000</v>
      </c>
      <c r="H226" s="44" t="n">
        <f aca="false">IF(I226="","",N(H225)+IF($C$5="Debet",F226-G226,G226-F226))</f>
        <v>23862278</v>
      </c>
      <c r="I226" s="66" t="n">
        <f aca="false">IF(J226&gt;$K$1,"",IFERROR(MATCH(J226,J_BB,0),""))</f>
        <v>332</v>
      </c>
      <c r="J226" s="66" t="n">
        <v>217</v>
      </c>
      <c r="K226" s="5"/>
    </row>
    <row r="227" customFormat="false" ht="15" hidden="false" customHeight="false" outlineLevel="0" collapsed="false">
      <c r="A227" s="5" t="n">
        <f aca="false">IF(I227="","",J227)</f>
        <v>218</v>
      </c>
      <c r="B227" s="83" t="n">
        <f aca="false">IF(I227="","",INDEX(J_TGL,I227))</f>
        <v>46091</v>
      </c>
      <c r="C227" s="5" t="str">
        <f aca="false">IF(I227="","",INDEX(J_NO,I227))</f>
        <v>JU-0333</v>
      </c>
      <c r="D227" s="5" t="str">
        <f aca="false">IF(I227="","",INDEX(J_KET,I227))</f>
        <v>Buttersome pembayaran croissant batch 150-157 x 85 pcs</v>
      </c>
      <c r="E227" s="5" t="str">
        <f aca="false">IF(I227="","",IF(INDEX(J_DEB,I227)=$C$3,INDEX(J_KRE,I227),INDEX(J_DEB,I227)))</f>
        <v>Biaya Bahan Baku</v>
      </c>
      <c r="F227" s="44" t="n">
        <f aca="false">IF(I227="","",IF(INDEX(J_DEB,I227)=$C$3,INDEX(J_NOM,I227),0))</f>
        <v>0</v>
      </c>
      <c r="G227" s="44" t="n">
        <f aca="false">IF(I227="","",IF(INDEX(J_KRE,I227)=$C$3,INDEX(J_NOM,I227),0))</f>
        <v>1877000</v>
      </c>
      <c r="H227" s="44" t="n">
        <f aca="false">IF(I227="","",N(H226)+IF($C$5="Debet",F227-G227,G227-F227))</f>
        <v>21985278</v>
      </c>
      <c r="I227" s="66" t="n">
        <f aca="false">IF(J227&gt;$K$1,"",IFERROR(MATCH(J227,J_BB,0),""))</f>
        <v>333</v>
      </c>
      <c r="J227" s="66" t="n">
        <v>218</v>
      </c>
      <c r="K227" s="5"/>
    </row>
    <row r="228" customFormat="false" ht="15" hidden="false" customHeight="false" outlineLevel="0" collapsed="false">
      <c r="A228" s="5" t="n">
        <f aca="false">IF(I228="","",J228)</f>
        <v>219</v>
      </c>
      <c r="B228" s="83" t="n">
        <f aca="false">IF(I228="","",INDEX(J_TGL,I228))</f>
        <v>46091</v>
      </c>
      <c r="C228" s="5" t="str">
        <f aca="false">IF(I228="","",INDEX(J_NO,I228))</f>
        <v>JU-0334</v>
      </c>
      <c r="D228" s="5" t="str">
        <f aca="false">IF(I228="","",INDEX(J_KET,I228))</f>
        <v>Biaya menyerahkan kucing2 ke tempat adopsi / surrender fee</v>
      </c>
      <c r="E228" s="5" t="str">
        <f aca="false">IF(I228="","",IF(INDEX(J_DEB,I228)=$C$3,INDEX(J_KRE,I228),INDEX(J_DEB,I228)))</f>
        <v>Biaya Lainnya</v>
      </c>
      <c r="F228" s="44" t="n">
        <f aca="false">IF(I228="","",IF(INDEX(J_DEB,I228)=$C$3,INDEX(J_NOM,I228),0))</f>
        <v>0</v>
      </c>
      <c r="G228" s="44" t="n">
        <f aca="false">IF(I228="","",IF(INDEX(J_KRE,I228)=$C$3,INDEX(J_NOM,I228),0))</f>
        <v>450000</v>
      </c>
      <c r="H228" s="44" t="n">
        <f aca="false">IF(I228="","",N(H227)+IF($C$5="Debet",F228-G228,G228-F228))</f>
        <v>21535278</v>
      </c>
      <c r="I228" s="66" t="n">
        <f aca="false">IF(J228&gt;$K$1,"",IFERROR(MATCH(J228,J_BB,0),""))</f>
        <v>334</v>
      </c>
      <c r="J228" s="66" t="n">
        <v>219</v>
      </c>
      <c r="K228" s="5"/>
    </row>
    <row r="229" customFormat="false" ht="15" hidden="false" customHeight="false" outlineLevel="0" collapsed="false">
      <c r="A229" s="5" t="n">
        <f aca="false">IF(I229="","",J229)</f>
        <v>220</v>
      </c>
      <c r="B229" s="83" t="n">
        <f aca="false">IF(I229="","",INDEX(J_TGL,I229))</f>
        <v>46091</v>
      </c>
      <c r="C229" s="5" t="str">
        <f aca="false">IF(I229="","",INDEX(J_NO,I229))</f>
        <v>JU-0335</v>
      </c>
      <c r="D229" s="5" t="str">
        <f aca="false">IF(I229="","",INDEX(J_KET,I229))</f>
        <v>Biaya transfer flip</v>
      </c>
      <c r="E229" s="5" t="str">
        <f aca="false">IF(I229="","",IF(INDEX(J_DEB,I229)=$C$3,INDEX(J_KRE,I229),INDEX(J_DEB,I229)))</f>
        <v>Biaya Lainnya</v>
      </c>
      <c r="F229" s="44" t="n">
        <f aca="false">IF(I229="","",IF(INDEX(J_DEB,I229)=$C$3,INDEX(J_NOM,I229),0))</f>
        <v>0</v>
      </c>
      <c r="G229" s="44" t="n">
        <f aca="false">IF(I229="","",IF(INDEX(J_KRE,I229)=$C$3,INDEX(J_NOM,I229),0))</f>
        <v>337</v>
      </c>
      <c r="H229" s="44" t="n">
        <f aca="false">IF(I229="","",N(H228)+IF($C$5="Debet",F229-G229,G229-F229))</f>
        <v>21534941</v>
      </c>
      <c r="I229" s="66" t="n">
        <f aca="false">IF(J229&gt;$K$1,"",IFERROR(MATCH(J229,J_BB,0),""))</f>
        <v>335</v>
      </c>
      <c r="J229" s="66" t="n">
        <v>220</v>
      </c>
      <c r="K229" s="5"/>
    </row>
    <row r="230" customFormat="false" ht="15" hidden="false" customHeight="false" outlineLevel="0" collapsed="false">
      <c r="A230" s="5" t="n">
        <f aca="false">IF(I230="","",J230)</f>
        <v>221</v>
      </c>
      <c r="B230" s="83" t="n">
        <f aca="false">IF(I230="","",INDEX(J_TGL,I230))</f>
        <v>46091</v>
      </c>
      <c r="C230" s="5" t="str">
        <f aca="false">IF(I230="","",INDEX(J_NO,I230))</f>
        <v>JU-0336</v>
      </c>
      <c r="D230" s="5" t="str">
        <f aca="false">IF(I230="","",INDEX(J_KET,I230))</f>
        <v>Belanja gula pasir x 17 kg</v>
      </c>
      <c r="E230" s="5" t="str">
        <f aca="false">IF(I230="","",IF(INDEX(J_DEB,I230)=$C$3,INDEX(J_KRE,I230),INDEX(J_DEB,I230)))</f>
        <v>Biaya Bahan Baku</v>
      </c>
      <c r="F230" s="44" t="n">
        <f aca="false">IF(I230="","",IF(INDEX(J_DEB,I230)=$C$3,INDEX(J_NOM,I230),0))</f>
        <v>0</v>
      </c>
      <c r="G230" s="44" t="n">
        <f aca="false">IF(I230="","",IF(INDEX(J_KRE,I230)=$C$3,INDEX(J_NOM,I230),0))</f>
        <v>302600</v>
      </c>
      <c r="H230" s="44" t="n">
        <f aca="false">IF(I230="","",N(H229)+IF($C$5="Debet",F230-G230,G230-F230))</f>
        <v>21232341</v>
      </c>
      <c r="I230" s="66" t="n">
        <f aca="false">IF(J230&gt;$K$1,"",IFERROR(MATCH(J230,J_BB,0),""))</f>
        <v>336</v>
      </c>
      <c r="J230" s="66" t="n">
        <v>221</v>
      </c>
      <c r="K230" s="5"/>
    </row>
    <row r="231" customFormat="false" ht="15" hidden="false" customHeight="false" outlineLevel="0" collapsed="false">
      <c r="A231" s="5" t="n">
        <f aca="false">IF(I231="","",J231)</f>
        <v>222</v>
      </c>
      <c r="B231" s="83" t="n">
        <f aca="false">IF(I231="","",INDEX(J_TGL,I231))</f>
        <v>46091</v>
      </c>
      <c r="C231" s="5" t="str">
        <f aca="false">IF(I231="","",INDEX(J_NO,I231))</f>
        <v>JU-0337</v>
      </c>
      <c r="D231" s="5" t="str">
        <f aca="false">IF(I231="","",INDEX(J_KET,I231))</f>
        <v>Parcel hampers Ramadhan THR x 15 bungkus</v>
      </c>
      <c r="E231" s="5" t="str">
        <f aca="false">IF(I231="","",IF(INDEX(J_DEB,I231)=$C$3,INDEX(J_KRE,I231),INDEX(J_DEB,I231)))</f>
        <v>Beban Gaji</v>
      </c>
      <c r="F231" s="44" t="n">
        <f aca="false">IF(I231="","",IF(INDEX(J_DEB,I231)=$C$3,INDEX(J_NOM,I231),0))</f>
        <v>0</v>
      </c>
      <c r="G231" s="44" t="n">
        <f aca="false">IF(I231="","",IF(INDEX(J_KRE,I231)=$C$3,INDEX(J_NOM,I231),0))</f>
        <v>1350000</v>
      </c>
      <c r="H231" s="44" t="n">
        <f aca="false">IF(I231="","",N(H230)+IF($C$5="Debet",F231-G231,G231-F231))</f>
        <v>19882341</v>
      </c>
      <c r="I231" s="66" t="n">
        <f aca="false">IF(J231&gt;$K$1,"",IFERROR(MATCH(J231,J_BB,0),""))</f>
        <v>337</v>
      </c>
      <c r="J231" s="66" t="n">
        <v>222</v>
      </c>
      <c r="K231" s="5"/>
    </row>
    <row r="232" customFormat="false" ht="15" hidden="false" customHeight="false" outlineLevel="0" collapsed="false">
      <c r="A232" s="5" t="n">
        <f aca="false">IF(I232="","",J232)</f>
        <v>223</v>
      </c>
      <c r="B232" s="83" t="n">
        <f aca="false">IF(I232="","",INDEX(J_TGL,I232))</f>
        <v>46091</v>
      </c>
      <c r="C232" s="5" t="str">
        <f aca="false">IF(I232="","",INDEX(J_NO,I232))</f>
        <v>JU-0338</v>
      </c>
      <c r="D232" s="5" t="str">
        <f aca="false">IF(I232="","",INDEX(J_KET,I232))</f>
        <v>soda bluberi refill x7</v>
      </c>
      <c r="E232" s="5" t="str">
        <f aca="false">IF(I232="","",IF(INDEX(J_DEB,I232)=$C$3,INDEX(J_KRE,I232),INDEX(J_DEB,I232)))</f>
        <v>Biaya Bahan Baku</v>
      </c>
      <c r="F232" s="44" t="n">
        <f aca="false">IF(I232="","",IF(INDEX(J_DEB,I232)=$C$3,INDEX(J_NOM,I232),0))</f>
        <v>0</v>
      </c>
      <c r="G232" s="44" t="n">
        <f aca="false">IF(I232="","",IF(INDEX(J_KRE,I232)=$C$3,INDEX(J_NOM,I232),0))</f>
        <v>150500</v>
      </c>
      <c r="H232" s="44" t="n">
        <f aca="false">IF(I232="","",N(H231)+IF($C$5="Debet",F232-G232,G232-F232))</f>
        <v>19731841</v>
      </c>
      <c r="I232" s="66" t="n">
        <f aca="false">IF(J232&gt;$K$1,"",IFERROR(MATCH(J232,J_BB,0),""))</f>
        <v>338</v>
      </c>
      <c r="J232" s="66" t="n">
        <v>223</v>
      </c>
      <c r="K232" s="5"/>
    </row>
    <row r="233" customFormat="false" ht="15" hidden="false" customHeight="false" outlineLevel="0" collapsed="false">
      <c r="A233" s="5" t="n">
        <f aca="false">IF(I233="","",J233)</f>
        <v>224</v>
      </c>
      <c r="B233" s="83" t="n">
        <f aca="false">IF(I233="","",INDEX(J_TGL,I233))</f>
        <v>46092</v>
      </c>
      <c r="C233" s="5" t="str">
        <f aca="false">IF(I233="","",INDEX(J_NO,I233))</f>
        <v>JU-0339</v>
      </c>
      <c r="D233" s="5" t="str">
        <f aca="false">IF(I233="","",INDEX(J_KET,I233))</f>
        <v>28/02/26 unlock water x 7 galon</v>
      </c>
      <c r="E233" s="5" t="str">
        <f aca="false">IF(I233="","",IF(INDEX(J_DEB,I233)=$C$3,INDEX(J_KRE,I233),INDEX(J_DEB,I233)))</f>
        <v>Biaya Bahan Baku</v>
      </c>
      <c r="F233" s="44" t="n">
        <f aca="false">IF(I233="","",IF(INDEX(J_DEB,I233)=$C$3,INDEX(J_NOM,I233),0))</f>
        <v>0</v>
      </c>
      <c r="G233" s="44" t="n">
        <f aca="false">IF(I233="","",IF(INDEX(J_KRE,I233)=$C$3,INDEX(J_NOM,I233),0))</f>
        <v>133000</v>
      </c>
      <c r="H233" s="44" t="n">
        <f aca="false">IF(I233="","",N(H232)+IF($C$5="Debet",F233-G233,G233-F233))</f>
        <v>19598841</v>
      </c>
      <c r="I233" s="66" t="n">
        <f aca="false">IF(J233&gt;$K$1,"",IFERROR(MATCH(J233,J_BB,0),""))</f>
        <v>339</v>
      </c>
      <c r="J233" s="66" t="n">
        <v>224</v>
      </c>
      <c r="K233" s="5"/>
    </row>
    <row r="234" customFormat="false" ht="15" hidden="false" customHeight="false" outlineLevel="0" collapsed="false">
      <c r="A234" s="5" t="n">
        <f aca="false">IF(I234="","",J234)</f>
        <v>225</v>
      </c>
      <c r="B234" s="83" t="n">
        <f aca="false">IF(I234="","",INDEX(J_TGL,I234))</f>
        <v>46092</v>
      </c>
      <c r="C234" s="5" t="str">
        <f aca="false">IF(I234="","",INDEX(J_NO,I234))</f>
        <v>JU-0340</v>
      </c>
      <c r="D234" s="5" t="str">
        <f aca="false">IF(I234="","",INDEX(J_KET,I234))</f>
        <v>01/03/26 unlock water x 10 galon</v>
      </c>
      <c r="E234" s="5" t="str">
        <f aca="false">IF(I234="","",IF(INDEX(J_DEB,I234)=$C$3,INDEX(J_KRE,I234),INDEX(J_DEB,I234)))</f>
        <v>Biaya Bahan Baku</v>
      </c>
      <c r="F234" s="44" t="n">
        <f aca="false">IF(I234="","",IF(INDEX(J_DEB,I234)=$C$3,INDEX(J_NOM,I234),0))</f>
        <v>0</v>
      </c>
      <c r="G234" s="44" t="n">
        <f aca="false">IF(I234="","",IF(INDEX(J_KRE,I234)=$C$3,INDEX(J_NOM,I234),0))</f>
        <v>190000</v>
      </c>
      <c r="H234" s="44" t="n">
        <f aca="false">IF(I234="","",N(H233)+IF($C$5="Debet",F234-G234,G234-F234))</f>
        <v>19408841</v>
      </c>
      <c r="I234" s="66" t="n">
        <f aca="false">IF(J234&gt;$K$1,"",IFERROR(MATCH(J234,J_BB,0),""))</f>
        <v>340</v>
      </c>
      <c r="J234" s="66" t="n">
        <v>225</v>
      </c>
      <c r="K234" s="5"/>
    </row>
    <row r="235" customFormat="false" ht="15" hidden="false" customHeight="false" outlineLevel="0" collapsed="false">
      <c r="A235" s="5" t="n">
        <f aca="false">IF(I235="","",J235)</f>
        <v>226</v>
      </c>
      <c r="B235" s="83" t="n">
        <f aca="false">IF(I235="","",INDEX(J_TGL,I235))</f>
        <v>46093</v>
      </c>
      <c r="C235" s="5" t="str">
        <f aca="false">IF(I235="","",INDEX(J_NO,I235))</f>
        <v>JU-0341</v>
      </c>
      <c r="D235" s="5" t="str">
        <f aca="false">IF(I235="","",INDEX(J_KET,I235))</f>
        <v>Pindah dana BCA ke tunai</v>
      </c>
      <c r="E235" s="5" t="str">
        <f aca="false">IF(I235="","",IF(INDEX(J_DEB,I235)=$C$3,INDEX(J_KRE,I235),INDEX(J_DEB,I235)))</f>
        <v>Kas Tunai</v>
      </c>
      <c r="F235" s="44" t="n">
        <f aca="false">IF(I235="","",IF(INDEX(J_DEB,I235)=$C$3,INDEX(J_NOM,I235),0))</f>
        <v>0</v>
      </c>
      <c r="G235" s="44" t="n">
        <f aca="false">IF(I235="","",IF(INDEX(J_KRE,I235)=$C$3,INDEX(J_NOM,I235),0))</f>
        <v>500000</v>
      </c>
      <c r="H235" s="44" t="n">
        <f aca="false">IF(I235="","",N(H234)+IF($C$5="Debet",F235-G235,G235-F235))</f>
        <v>18908841</v>
      </c>
      <c r="I235" s="66" t="n">
        <f aca="false">IF(J235&gt;$K$1,"",IFERROR(MATCH(J235,J_BB,0),""))</f>
        <v>341</v>
      </c>
      <c r="J235" s="66" t="n">
        <v>226</v>
      </c>
      <c r="K235" s="5"/>
    </row>
    <row r="236" customFormat="false" ht="15" hidden="false" customHeight="false" outlineLevel="0" collapsed="false">
      <c r="A236" s="5" t="n">
        <f aca="false">IF(I236="","",J236)</f>
        <v>227</v>
      </c>
      <c r="B236" s="83" t="n">
        <f aca="false">IF(I236="","",INDEX(J_TGL,I236))</f>
        <v>46093</v>
      </c>
      <c r="C236" s="5" t="str">
        <f aca="false">IF(I236="","",INDEX(J_NO,I236))</f>
        <v>JU-0342</v>
      </c>
      <c r="D236" s="5" t="str">
        <f aca="false">IF(I236="","",INDEX(J_KET,I236))</f>
        <v>Bayar servis AC x 3 unit</v>
      </c>
      <c r="E236" s="5" t="str">
        <f aca="false">IF(I236="","",IF(INDEX(J_DEB,I236)=$C$3,INDEX(J_KRE,I236),INDEX(J_DEB,I236)))</f>
        <v>Biaya Pemeliharaan</v>
      </c>
      <c r="F236" s="44" t="n">
        <f aca="false">IF(I236="","",IF(INDEX(J_DEB,I236)=$C$3,INDEX(J_NOM,I236),0))</f>
        <v>0</v>
      </c>
      <c r="G236" s="44" t="n">
        <f aca="false">IF(I236="","",IF(INDEX(J_KRE,I236)=$C$3,INDEX(J_NOM,I236),0))</f>
        <v>210000</v>
      </c>
      <c r="H236" s="44" t="n">
        <f aca="false">IF(I236="","",N(H235)+IF($C$5="Debet",F236-G236,G236-F236))</f>
        <v>18698841</v>
      </c>
      <c r="I236" s="66" t="n">
        <f aca="false">IF(J236&gt;$K$1,"",IFERROR(MATCH(J236,J_BB,0),""))</f>
        <v>342</v>
      </c>
      <c r="J236" s="66" t="n">
        <v>227</v>
      </c>
      <c r="K236" s="5"/>
    </row>
    <row r="237" customFormat="false" ht="15" hidden="false" customHeight="false" outlineLevel="0" collapsed="false">
      <c r="A237" s="5" t="n">
        <f aca="false">IF(I237="","",J237)</f>
        <v>228</v>
      </c>
      <c r="B237" s="83" t="n">
        <f aca="false">IF(I237="","",INDEX(J_TGL,I237))</f>
        <v>46093</v>
      </c>
      <c r="C237" s="5" t="str">
        <f aca="false">IF(I237="","",INDEX(J_NO,I237))</f>
        <v>JU-0343</v>
      </c>
      <c r="D237" s="5" t="str">
        <f aca="false">IF(I237="","",INDEX(J_KET,I237))</f>
        <v>Bayar titip jual Quesillo penjualan periode 6-12 Maret x 20pcs</v>
      </c>
      <c r="E237" s="5" t="str">
        <f aca="false">IF(I237="","",IF(INDEX(J_DEB,I237)=$C$3,INDEX(J_KRE,I237),INDEX(J_DEB,I237)))</f>
        <v>Biaya Operasional Harian</v>
      </c>
      <c r="F237" s="44" t="n">
        <f aca="false">IF(I237="","",IF(INDEX(J_DEB,I237)=$C$3,INDEX(J_NOM,I237),0))</f>
        <v>0</v>
      </c>
      <c r="G237" s="44" t="n">
        <f aca="false">IF(I237="","",IF(INDEX(J_KRE,I237)=$C$3,INDEX(J_NOM,I237),0))</f>
        <v>380000</v>
      </c>
      <c r="H237" s="44" t="n">
        <f aca="false">IF(I237="","",N(H236)+IF($C$5="Debet",F237-G237,G237-F237))</f>
        <v>18318841</v>
      </c>
      <c r="I237" s="66" t="n">
        <f aca="false">IF(J237&gt;$K$1,"",IFERROR(MATCH(J237,J_BB,0),""))</f>
        <v>343</v>
      </c>
      <c r="J237" s="66" t="n">
        <v>228</v>
      </c>
      <c r="K237" s="5"/>
    </row>
    <row r="238" customFormat="false" ht="15" hidden="false" customHeight="false" outlineLevel="0" collapsed="false">
      <c r="A238" s="5" t="n">
        <f aca="false">IF(I238="","",J238)</f>
        <v>229</v>
      </c>
      <c r="B238" s="83" t="n">
        <f aca="false">IF(I238="","",INDEX(J_TGL,I238))</f>
        <v>46095</v>
      </c>
      <c r="C238" s="5" t="str">
        <f aca="false">IF(I238="","",INDEX(J_NO,I238))</f>
        <v>JU-0351</v>
      </c>
      <c r="D238" s="5" t="str">
        <f aca="false">IF(I238="","",INDEX(J_KET,I238))</f>
        <v>Alat bill holder stainless 60 cm x 2 pcs</v>
      </c>
      <c r="E238" s="5" t="str">
        <f aca="false">IF(I238="","",IF(INDEX(J_DEB,I238)=$C$3,INDEX(J_KRE,I238),INDEX(J_DEB,I238)))</f>
        <v>Beban Perlengkapan</v>
      </c>
      <c r="F238" s="44" t="n">
        <f aca="false">IF(I238="","",IF(INDEX(J_DEB,I238)=$C$3,INDEX(J_NOM,I238),0))</f>
        <v>0</v>
      </c>
      <c r="G238" s="44" t="n">
        <f aca="false">IF(I238="","",IF(INDEX(J_KRE,I238)=$C$3,INDEX(J_NOM,I238),0))</f>
        <v>101356</v>
      </c>
      <c r="H238" s="44" t="n">
        <f aca="false">IF(I238="","",N(H237)+IF($C$5="Debet",F238-G238,G238-F238))</f>
        <v>18217485</v>
      </c>
      <c r="I238" s="66" t="n">
        <f aca="false">IF(J238&gt;$K$1,"",IFERROR(MATCH(J238,J_BB,0),""))</f>
        <v>351</v>
      </c>
      <c r="J238" s="66" t="n">
        <v>229</v>
      </c>
      <c r="K238" s="5"/>
    </row>
    <row r="239" customFormat="false" ht="15" hidden="false" customHeight="false" outlineLevel="0" collapsed="false">
      <c r="A239" s="5" t="n">
        <f aca="false">IF(I239="","",J239)</f>
        <v>230</v>
      </c>
      <c r="B239" s="83" t="n">
        <f aca="false">IF(I239="","",INDEX(J_TGL,I239))</f>
        <v>46096</v>
      </c>
      <c r="C239" s="5" t="str">
        <f aca="false">IF(I239="","",INDEX(J_NO,I239))</f>
        <v>JU-0352</v>
      </c>
      <c r="D239" s="5" t="str">
        <f aca="false">IF(I239="","",INDEX(J_KET,I239))</f>
        <v>Takeaway cup x 3.500 pcs invoice ke-1/3 faktur 12455</v>
      </c>
      <c r="E239" s="5" t="str">
        <f aca="false">IF(I239="","",IF(INDEX(J_DEB,I239)=$C$3,INDEX(J_KRE,I239),INDEX(J_DEB,I239)))</f>
        <v>Biaya Penyajian</v>
      </c>
      <c r="F239" s="44" t="n">
        <f aca="false">IF(I239="","",IF(INDEX(J_DEB,I239)=$C$3,INDEX(J_NOM,I239),0))</f>
        <v>0</v>
      </c>
      <c r="G239" s="44" t="n">
        <f aca="false">IF(I239="","",IF(INDEX(J_KRE,I239)=$C$3,INDEX(J_NOM,I239),0))</f>
        <v>1627500</v>
      </c>
      <c r="H239" s="44" t="n">
        <f aca="false">IF(I239="","",N(H238)+IF($C$5="Debet",F239-G239,G239-F239))</f>
        <v>16589985</v>
      </c>
      <c r="I239" s="66" t="n">
        <f aca="false">IF(J239&gt;$K$1,"",IFERROR(MATCH(J239,J_BB,0),""))</f>
        <v>352</v>
      </c>
      <c r="J239" s="66" t="n">
        <v>230</v>
      </c>
      <c r="K239" s="5"/>
    </row>
    <row r="240" customFormat="false" ht="15" hidden="false" customHeight="false" outlineLevel="0" collapsed="false">
      <c r="A240" s="5" t="n">
        <f aca="false">IF(I240="","",J240)</f>
        <v>231</v>
      </c>
      <c r="B240" s="83" t="n">
        <f aca="false">IF(I240="","",INDEX(J_TGL,I240))</f>
        <v>46096</v>
      </c>
      <c r="C240" s="5" t="str">
        <f aca="false">IF(I240="","",INDEX(J_NO,I240))</f>
        <v>JU-0353</v>
      </c>
      <c r="D240" s="5" t="str">
        <f aca="false">IF(I240="","",INDEX(J_KET,I240))</f>
        <v>Pre-order Yantos biji kopi pasuruhan natural x 24 kg</v>
      </c>
      <c r="E240" s="5" t="str">
        <f aca="false">IF(I240="","",IF(INDEX(J_DEB,I240)=$C$3,INDEX(J_KRE,I240),INDEX(J_DEB,I240)))</f>
        <v>Biaya Bahan Baku</v>
      </c>
      <c r="F240" s="44" t="n">
        <f aca="false">IF(I240="","",IF(INDEX(J_DEB,I240)=$C$3,INDEX(J_NOM,I240),0))</f>
        <v>0</v>
      </c>
      <c r="G240" s="44" t="n">
        <f aca="false">IF(I240="","",IF(INDEX(J_KRE,I240)=$C$3,INDEX(J_NOM,I240),0))</f>
        <v>6240000</v>
      </c>
      <c r="H240" s="44" t="n">
        <f aca="false">IF(I240="","",N(H239)+IF($C$5="Debet",F240-G240,G240-F240))</f>
        <v>10349985</v>
      </c>
      <c r="I240" s="66" t="n">
        <f aca="false">IF(J240&gt;$K$1,"",IFERROR(MATCH(J240,J_BB,0),""))</f>
        <v>353</v>
      </c>
      <c r="J240" s="66" t="n">
        <v>231</v>
      </c>
      <c r="K240" s="5"/>
    </row>
    <row r="241" customFormat="false" ht="15" hidden="false" customHeight="false" outlineLevel="0" collapsed="false">
      <c r="A241" s="5" t="n">
        <f aca="false">IF(I241="","",J241)</f>
        <v>232</v>
      </c>
      <c r="B241" s="83" t="n">
        <f aca="false">IF(I241="","",INDEX(J_TGL,I241))</f>
        <v>46096</v>
      </c>
      <c r="C241" s="5" t="str">
        <f aca="false">IF(I241="","",INDEX(J_NO,I241))</f>
        <v>JU-0354</v>
      </c>
      <c r="D241" s="5" t="str">
        <f aca="false">IF(I241="","",INDEX(J_KET,I241))</f>
        <v>Bayar Yantos biji kopi 5 macam total 18 pack @200gr dan 2 kg</v>
      </c>
      <c r="E241" s="5" t="str">
        <f aca="false">IF(I241="","",IF(INDEX(J_DEB,I241)=$C$3,INDEX(J_KRE,I241),INDEX(J_DEB,I241)))</f>
        <v>Biaya Bahan Baku</v>
      </c>
      <c r="F241" s="44" t="n">
        <f aca="false">IF(I241="","",IF(INDEX(J_DEB,I241)=$C$3,INDEX(J_NOM,I241),0))</f>
        <v>0</v>
      </c>
      <c r="G241" s="44" t="n">
        <f aca="false">IF(I241="","",IF(INDEX(J_KRE,I241)=$C$3,INDEX(J_NOM,I241),0))</f>
        <v>2065000</v>
      </c>
      <c r="H241" s="44" t="n">
        <f aca="false">IF(I241="","",N(H240)+IF($C$5="Debet",F241-G241,G241-F241))</f>
        <v>8284985</v>
      </c>
      <c r="I241" s="66" t="n">
        <f aca="false">IF(J241&gt;$K$1,"",IFERROR(MATCH(J241,J_BB,0),""))</f>
        <v>354</v>
      </c>
      <c r="J241" s="66" t="n">
        <v>232</v>
      </c>
      <c r="K241" s="5"/>
    </row>
    <row r="242" customFormat="false" ht="15" hidden="false" customHeight="false" outlineLevel="0" collapsed="false">
      <c r="A242" s="5" t="n">
        <f aca="false">IF(I242="","",J242)</f>
        <v>233</v>
      </c>
      <c r="B242" s="83" t="n">
        <f aca="false">IF(I242="","",INDEX(J_TGL,I242))</f>
        <v>46096</v>
      </c>
      <c r="C242" s="5" t="str">
        <f aca="false">IF(I242="","",INDEX(J_NO,I242))</f>
        <v>JU-0355</v>
      </c>
      <c r="D242" s="5" t="str">
        <f aca="false">IF(I242="","",INDEX(J_KET,I242))</f>
        <v>Tutup takeaway cup x 4.000 pcs invoice ke-1/2</v>
      </c>
      <c r="E242" s="5" t="str">
        <f aca="false">IF(I242="","",IF(INDEX(J_DEB,I242)=$C$3,INDEX(J_KRE,I242),INDEX(J_DEB,I242)))</f>
        <v>Biaya Penyajian</v>
      </c>
      <c r="F242" s="44" t="n">
        <f aca="false">IF(I242="","",IF(INDEX(J_DEB,I242)=$C$3,INDEX(J_NOM,I242),0))</f>
        <v>0</v>
      </c>
      <c r="G242" s="44" t="n">
        <f aca="false">IF(I242="","",IF(INDEX(J_KRE,I242)=$C$3,INDEX(J_NOM,I242),0))</f>
        <v>760000</v>
      </c>
      <c r="H242" s="44" t="n">
        <f aca="false">IF(I242="","",N(H241)+IF($C$5="Debet",F242-G242,G242-F242))</f>
        <v>7524985</v>
      </c>
      <c r="I242" s="66" t="n">
        <f aca="false">IF(J242&gt;$K$1,"",IFERROR(MATCH(J242,J_BB,0),""))</f>
        <v>355</v>
      </c>
      <c r="J242" s="66" t="n">
        <v>233</v>
      </c>
      <c r="K242" s="5"/>
    </row>
    <row r="243" customFormat="false" ht="15" hidden="false" customHeight="false" outlineLevel="0" collapsed="false">
      <c r="A243" s="5" t="n">
        <f aca="false">IF(I243="","",J243)</f>
        <v>234</v>
      </c>
      <c r="B243" s="83" t="n">
        <f aca="false">IF(I243="","",INDEX(J_TGL,I243))</f>
        <v>46099</v>
      </c>
      <c r="C243" s="5" t="str">
        <f aca="false">IF(I243="","",INDEX(J_NO,I243))</f>
        <v>JU-0357</v>
      </c>
      <c r="D243" s="5" t="str">
        <f aca="false">IF(I243="","",INDEX(J_KET,I243))</f>
        <v>Pindah dana tunai ke BCA</v>
      </c>
      <c r="E243" s="5" t="str">
        <f aca="false">IF(I243="","",IF(INDEX(J_DEB,I243)=$C$3,INDEX(J_KRE,I243),INDEX(J_DEB,I243)))</f>
        <v>Kas Tunai</v>
      </c>
      <c r="F243" s="44" t="n">
        <f aca="false">IF(I243="","",IF(INDEX(J_DEB,I243)=$C$3,INDEX(J_NOM,I243),0))</f>
        <v>5000000</v>
      </c>
      <c r="G243" s="44" t="n">
        <f aca="false">IF(I243="","",IF(INDEX(J_KRE,I243)=$C$3,INDEX(J_NOM,I243),0))</f>
        <v>0</v>
      </c>
      <c r="H243" s="44" t="n">
        <f aca="false">IF(I243="","",N(H242)+IF($C$5="Debet",F243-G243,G243-F243))</f>
        <v>12524985</v>
      </c>
      <c r="I243" s="66" t="n">
        <f aca="false">IF(J243&gt;$K$1,"",IFERROR(MATCH(J243,J_BB,0),""))</f>
        <v>357</v>
      </c>
      <c r="J243" s="66" t="n">
        <v>234</v>
      </c>
      <c r="K243" s="5"/>
    </row>
    <row r="244" customFormat="false" ht="15" hidden="false" customHeight="false" outlineLevel="0" collapsed="false">
      <c r="A244" s="5" t="n">
        <f aca="false">IF(I244="","",J244)</f>
        <v>235</v>
      </c>
      <c r="B244" s="83" t="n">
        <f aca="false">IF(I244="","",INDEX(J_TGL,I244))</f>
        <v>46099</v>
      </c>
      <c r="C244" s="5" t="str">
        <f aca="false">IF(I244="","",INDEX(J_NO,I244))</f>
        <v>JU-0362</v>
      </c>
      <c r="D244" s="5" t="str">
        <f aca="false">IF(I244="","",INDEX(J_KET,I244))</f>
        <v>Soda bluberi 500ml x 5 botol</v>
      </c>
      <c r="E244" s="5" t="str">
        <f aca="false">IF(I244="","",IF(INDEX(J_DEB,I244)=$C$3,INDEX(J_KRE,I244),INDEX(J_DEB,I244)))</f>
        <v>Biaya Bahan Baku</v>
      </c>
      <c r="F244" s="44" t="n">
        <f aca="false">IF(I244="","",IF(INDEX(J_DEB,I244)=$C$3,INDEX(J_NOM,I244),0))</f>
        <v>0</v>
      </c>
      <c r="G244" s="44" t="n">
        <f aca="false">IF(I244="","",IF(INDEX(J_KRE,I244)=$C$3,INDEX(J_NOM,I244),0))</f>
        <v>105000</v>
      </c>
      <c r="H244" s="44" t="n">
        <f aca="false">IF(I244="","",N(H243)+IF($C$5="Debet",F244-G244,G244-F244))</f>
        <v>12419985</v>
      </c>
      <c r="I244" s="66" t="n">
        <f aca="false">IF(J244&gt;$K$1,"",IFERROR(MATCH(J244,J_BB,0),""))</f>
        <v>362</v>
      </c>
      <c r="J244" s="66" t="n">
        <v>235</v>
      </c>
      <c r="K244" s="5"/>
    </row>
    <row r="245" customFormat="false" ht="15" hidden="false" customHeight="false" outlineLevel="0" collapsed="false">
      <c r="A245" s="5" t="n">
        <f aca="false">IF(I245="","",J245)</f>
        <v>236</v>
      </c>
      <c r="B245" s="83" t="n">
        <f aca="false">IF(I245="","",INDEX(J_TGL,I245))</f>
        <v>46099</v>
      </c>
      <c r="C245" s="5" t="str">
        <f aca="false">IF(I245="","",INDEX(J_NO,I245))</f>
        <v>JU-0363</v>
      </c>
      <c r="D245" s="5" t="str">
        <f aca="false">IF(I245="","",INDEX(J_KET,I245))</f>
        <v>Butterscotch x 1 botol</v>
      </c>
      <c r="E245" s="5" t="str">
        <f aca="false">IF(I245="","",IF(INDEX(J_DEB,I245)=$C$3,INDEX(J_KRE,I245),INDEX(J_DEB,I245)))</f>
        <v>Biaya Bahan Baku</v>
      </c>
      <c r="F245" s="44" t="n">
        <f aca="false">IF(I245="","",IF(INDEX(J_DEB,I245)=$C$3,INDEX(J_NOM,I245),0))</f>
        <v>0</v>
      </c>
      <c r="G245" s="44" t="n">
        <f aca="false">IF(I245="","",IF(INDEX(J_KRE,I245)=$C$3,INDEX(J_NOM,I245),0))</f>
        <v>100000</v>
      </c>
      <c r="H245" s="44" t="n">
        <f aca="false">IF(I245="","",N(H244)+IF($C$5="Debet",F245-G245,G245-F245))</f>
        <v>12319985</v>
      </c>
      <c r="I245" s="66" t="n">
        <f aca="false">IF(J245&gt;$K$1,"",IFERROR(MATCH(J245,J_BB,0),""))</f>
        <v>363</v>
      </c>
      <c r="J245" s="66" t="n">
        <v>236</v>
      </c>
      <c r="K245" s="5"/>
    </row>
    <row r="246" customFormat="false" ht="15" hidden="false" customHeight="false" outlineLevel="0" collapsed="false">
      <c r="A246" s="5" t="n">
        <f aca="false">IF(I246="","",J246)</f>
        <v>237</v>
      </c>
      <c r="B246" s="83" t="n">
        <f aca="false">IF(I246="","",INDEX(J_TGL,I246))</f>
        <v>46099</v>
      </c>
      <c r="C246" s="5" t="str">
        <f aca="false">IF(I246="","",INDEX(J_NO,I246))</f>
        <v>JU-0364</v>
      </c>
      <c r="D246" s="5" t="str">
        <f aca="false">IF(I246="","",INDEX(J_KET,I246))</f>
        <v>Savis tea cold infusion refreshing 500gr x 2 pack</v>
      </c>
      <c r="E246" s="5" t="str">
        <f aca="false">IF(I246="","",IF(INDEX(J_DEB,I246)=$C$3,INDEX(J_KRE,I246),INDEX(J_DEB,I246)))</f>
        <v>Biaya Bahan Baku</v>
      </c>
      <c r="F246" s="44" t="n">
        <f aca="false">IF(I246="","",IF(INDEX(J_DEB,I246)=$C$3,INDEX(J_NOM,I246),0))</f>
        <v>0</v>
      </c>
      <c r="G246" s="44" t="n">
        <f aca="false">IF(I246="","",IF(INDEX(J_KRE,I246)=$C$3,INDEX(J_NOM,I246),0))</f>
        <v>500000</v>
      </c>
      <c r="H246" s="44" t="n">
        <f aca="false">IF(I246="","",N(H245)+IF($C$5="Debet",F246-G246,G246-F246))</f>
        <v>11819985</v>
      </c>
      <c r="I246" s="66" t="n">
        <f aca="false">IF(J246&gt;$K$1,"",IFERROR(MATCH(J246,J_BB,0),""))</f>
        <v>364</v>
      </c>
      <c r="J246" s="66" t="n">
        <v>237</v>
      </c>
      <c r="K246" s="5"/>
    </row>
    <row r="247" customFormat="false" ht="15" hidden="false" customHeight="false" outlineLevel="0" collapsed="false">
      <c r="A247" s="5" t="n">
        <f aca="false">IF(I247="","",J247)</f>
        <v>238</v>
      </c>
      <c r="B247" s="83" t="n">
        <f aca="false">IF(I247="","",INDEX(J_TGL,I247))</f>
        <v>46099</v>
      </c>
      <c r="C247" s="5" t="str">
        <f aca="false">IF(I247="","",INDEX(J_NO,I247))</f>
        <v>JU-0365</v>
      </c>
      <c r="D247" s="5" t="str">
        <f aca="false">IF(I247="","",INDEX(J_KET,I247))</f>
        <v>Clover klin : soume premium SCP 5L x 4pcs</v>
      </c>
      <c r="E247" s="5" t="str">
        <f aca="false">IF(I247="","",IF(INDEX(J_DEB,I247)=$C$3,INDEX(J_KRE,I247),INDEX(J_DEB,I247)))</f>
        <v>Biaya Pemeliharaan</v>
      </c>
      <c r="F247" s="44" t="n">
        <f aca="false">IF(I247="","",IF(INDEX(J_DEB,I247)=$C$3,INDEX(J_NOM,I247),0))</f>
        <v>0</v>
      </c>
      <c r="G247" s="44" t="n">
        <f aca="false">IF(I247="","",IF(INDEX(J_KRE,I247)=$C$3,INDEX(J_NOM,I247),0))</f>
        <v>180000</v>
      </c>
      <c r="H247" s="44" t="n">
        <f aca="false">IF(I247="","",N(H246)+IF($C$5="Debet",F247-G247,G247-F247))</f>
        <v>11639985</v>
      </c>
      <c r="I247" s="66" t="n">
        <f aca="false">IF(J247&gt;$K$1,"",IFERROR(MATCH(J247,J_BB,0),""))</f>
        <v>365</v>
      </c>
      <c r="J247" s="66" t="n">
        <v>238</v>
      </c>
      <c r="K247" s="5"/>
    </row>
    <row r="248" customFormat="false" ht="15" hidden="false" customHeight="false" outlineLevel="0" collapsed="false">
      <c r="A248" s="5" t="n">
        <f aca="false">IF(I248="","",J248)</f>
        <v>239</v>
      </c>
      <c r="B248" s="83" t="n">
        <f aca="false">IF(I248="","",INDEX(J_TGL,I248))</f>
        <v>46100</v>
      </c>
      <c r="C248" s="5" t="str">
        <f aca="false">IF(I248="","",INDEX(J_NO,I248))</f>
        <v>JU-0366</v>
      </c>
      <c r="D248" s="5" t="str">
        <f aca="false">IF(I248="","",INDEX(J_KET,I248))</f>
        <v>Freshmilk x4, Tofico : greentea x1 vanilla x1, dripp peach x1, paper filter v60 x1, oatside x2</v>
      </c>
      <c r="E248" s="5" t="str">
        <f aca="false">IF(I248="","",IF(INDEX(J_DEB,I248)=$C$3,INDEX(J_KRE,I248),INDEX(J_DEB,I248)))</f>
        <v>Biaya Bahan Baku</v>
      </c>
      <c r="F248" s="44" t="n">
        <f aca="false">IF(I248="","",IF(INDEX(J_DEB,I248)=$C$3,INDEX(J_NOM,I248),0))</f>
        <v>0</v>
      </c>
      <c r="G248" s="44" t="n">
        <f aca="false">IF(I248="","",IF(INDEX(J_KRE,I248)=$C$3,INDEX(J_NOM,I248),0))</f>
        <v>1873000</v>
      </c>
      <c r="H248" s="44" t="n">
        <f aca="false">IF(I248="","",N(H247)+IF($C$5="Debet",F248-G248,G248-F248))</f>
        <v>9766985</v>
      </c>
      <c r="I248" s="66" t="n">
        <f aca="false">IF(J248&gt;$K$1,"",IFERROR(MATCH(J248,J_BB,0),""))</f>
        <v>366</v>
      </c>
      <c r="J248" s="66" t="n">
        <v>239</v>
      </c>
      <c r="K248" s="5"/>
    </row>
    <row r="249" customFormat="false" ht="15" hidden="false" customHeight="false" outlineLevel="0" collapsed="false">
      <c r="A249" s="5" t="n">
        <f aca="false">IF(I249="","",J249)</f>
        <v>240</v>
      </c>
      <c r="B249" s="83" t="n">
        <f aca="false">IF(I249="","",INDEX(J_TGL,I249))</f>
        <v>46100</v>
      </c>
      <c r="C249" s="5" t="str">
        <f aca="false">IF(I249="","",INDEX(J_NO,I249))</f>
        <v>JU-0367</v>
      </c>
      <c r="D249" s="5" t="str">
        <f aca="false">IF(I249="","",INDEX(J_KET,I249))</f>
        <v>Bayar titip jual Quesillo penjualan periode 13-18 Maret x 16pcs</v>
      </c>
      <c r="E249" s="5" t="str">
        <f aca="false">IF(I249="","",IF(INDEX(J_DEB,I249)=$C$3,INDEX(J_KRE,I249),INDEX(J_DEB,I249)))</f>
        <v>Biaya Operasional Harian</v>
      </c>
      <c r="F249" s="44" t="n">
        <f aca="false">IF(I249="","",IF(INDEX(J_DEB,I249)=$C$3,INDEX(J_NOM,I249),0))</f>
        <v>0</v>
      </c>
      <c r="G249" s="44" t="n">
        <f aca="false">IF(I249="","",IF(INDEX(J_KRE,I249)=$C$3,INDEX(J_NOM,I249),0))</f>
        <v>304000</v>
      </c>
      <c r="H249" s="44" t="n">
        <f aca="false">IF(I249="","",N(H248)+IF($C$5="Debet",F249-G249,G249-F249))</f>
        <v>9462985</v>
      </c>
      <c r="I249" s="66" t="n">
        <f aca="false">IF(J249&gt;$K$1,"",IFERROR(MATCH(J249,J_BB,0),""))</f>
        <v>367</v>
      </c>
      <c r="J249" s="66" t="n">
        <v>240</v>
      </c>
      <c r="K249" s="5"/>
    </row>
    <row r="250" customFormat="false" ht="15" hidden="false" customHeight="false" outlineLevel="0" collapsed="false">
      <c r="A250" s="5" t="n">
        <f aca="false">IF(I250="","",J250)</f>
        <v>241</v>
      </c>
      <c r="B250" s="83" t="n">
        <f aca="false">IF(I250="","",INDEX(J_TGL,I250))</f>
        <v>46100</v>
      </c>
      <c r="C250" s="5" t="str">
        <f aca="false">IF(I250="","",INDEX(J_NO,I250))</f>
        <v>JU-0369</v>
      </c>
      <c r="D250" s="5" t="str">
        <f aca="false">IF(I250="","",INDEX(J_KET,I250))</f>
        <v>THR 2026 by transfer</v>
      </c>
      <c r="E250" s="5" t="str">
        <f aca="false">IF(I250="","",IF(INDEX(J_DEB,I250)=$C$3,INDEX(J_KRE,I250),INDEX(J_DEB,I250)))</f>
        <v>Beban Gaji</v>
      </c>
      <c r="F250" s="44" t="n">
        <f aca="false">IF(I250="","",IF(INDEX(J_DEB,I250)=$C$3,INDEX(J_NOM,I250),0))</f>
        <v>0</v>
      </c>
      <c r="G250" s="44" t="n">
        <f aca="false">IF(I250="","",IF(INDEX(J_KRE,I250)=$C$3,INDEX(J_NOM,I250),0))</f>
        <v>9800000</v>
      </c>
      <c r="H250" s="44" t="n">
        <f aca="false">IF(I250="","",N(H249)+IF($C$5="Debet",F250-G250,G250-F250))</f>
        <v>-337015</v>
      </c>
      <c r="I250" s="66" t="n">
        <f aca="false">IF(J250&gt;$K$1,"",IFERROR(MATCH(J250,J_BB,0),""))</f>
        <v>369</v>
      </c>
      <c r="J250" s="66" t="n">
        <v>241</v>
      </c>
      <c r="K250" s="5"/>
    </row>
    <row r="251" customFormat="false" ht="15" hidden="false" customHeight="false" outlineLevel="0" collapsed="false">
      <c r="A251" s="5" t="n">
        <f aca="false">IF(I251="","",J251)</f>
        <v>242</v>
      </c>
      <c r="B251" s="83" t="n">
        <f aca="false">IF(I251="","",INDEX(J_TGL,I251))</f>
        <v>46100</v>
      </c>
      <c r="C251" s="5" t="str">
        <f aca="false">IF(I251="","",INDEX(J_NO,I251))</f>
        <v>JU-0370</v>
      </c>
      <c r="D251" s="5" t="str">
        <f aca="false">IF(I251="","",INDEX(J_KET,I251))</f>
        <v>Biaya transfer flip</v>
      </c>
      <c r="E251" s="5" t="str">
        <f aca="false">IF(I251="","",IF(INDEX(J_DEB,I251)=$C$3,INDEX(J_KRE,I251),INDEX(J_DEB,I251)))</f>
        <v>Biaya Lainnya</v>
      </c>
      <c r="F251" s="44" t="n">
        <f aca="false">IF(I251="","",IF(INDEX(J_DEB,I251)=$C$3,INDEX(J_NOM,I251),0))</f>
        <v>0</v>
      </c>
      <c r="G251" s="44" t="n">
        <f aca="false">IF(I251="","",IF(INDEX(J_KRE,I251)=$C$3,INDEX(J_NOM,I251),0))</f>
        <v>4663</v>
      </c>
      <c r="H251" s="44" t="n">
        <f aca="false">IF(I251="","",N(H250)+IF($C$5="Debet",F251-G251,G251-F251))</f>
        <v>-341678</v>
      </c>
      <c r="I251" s="66" t="n">
        <f aca="false">IF(J251&gt;$K$1,"",IFERROR(MATCH(J251,J_BB,0),""))</f>
        <v>370</v>
      </c>
      <c r="J251" s="66" t="n">
        <v>242</v>
      </c>
      <c r="K251" s="5"/>
    </row>
    <row r="252" customFormat="false" ht="15" hidden="false" customHeight="false" outlineLevel="0" collapsed="false">
      <c r="A252" s="5" t="n">
        <f aca="false">IF(I252="","",J252)</f>
        <v>243</v>
      </c>
      <c r="B252" s="83" t="n">
        <f aca="false">IF(I252="","",INDEX(J_TGL,I252))</f>
        <v>46101</v>
      </c>
      <c r="C252" s="5" t="str">
        <f aca="false">IF(I252="","",INDEX(J_NO,I252))</f>
        <v>JU-0372</v>
      </c>
      <c r="D252" s="5" t="str">
        <f aca="false">IF(I252="","",INDEX(J_KET,I252))</f>
        <v>Biaya admin BCA</v>
      </c>
      <c r="E252" s="5" t="str">
        <f aca="false">IF(I252="","",IF(INDEX(J_DEB,I252)=$C$3,INDEX(J_KRE,I252),INDEX(J_DEB,I252)))</f>
        <v>Biaya Lainnya</v>
      </c>
      <c r="F252" s="44" t="n">
        <f aca="false">IF(I252="","",IF(INDEX(J_DEB,I252)=$C$3,INDEX(J_NOM,I252),0))</f>
        <v>0</v>
      </c>
      <c r="G252" s="44" t="n">
        <f aca="false">IF(I252="","",IF(INDEX(J_KRE,I252)=$C$3,INDEX(J_NOM,I252),0))</f>
        <v>10000</v>
      </c>
      <c r="H252" s="44" t="n">
        <f aca="false">IF(I252="","",N(H251)+IF($C$5="Debet",F252-G252,G252-F252))</f>
        <v>-351678</v>
      </c>
      <c r="I252" s="66" t="n">
        <f aca="false">IF(J252&gt;$K$1,"",IFERROR(MATCH(J252,J_BB,0),""))</f>
        <v>372</v>
      </c>
      <c r="J252" s="66" t="n">
        <v>243</v>
      </c>
      <c r="K252" s="5"/>
    </row>
    <row r="253" customFormat="false" ht="15" hidden="false" customHeight="false" outlineLevel="0" collapsed="false">
      <c r="A253" s="5" t="n">
        <f aca="false">IF(I253="","",J253)</f>
        <v>244</v>
      </c>
      <c r="B253" s="83" t="n">
        <f aca="false">IF(I253="","",INDEX(J_TGL,I253))</f>
        <v>46104</v>
      </c>
      <c r="C253" s="5" t="str">
        <f aca="false">IF(I253="","",INDEX(J_NO,I253))</f>
        <v>JU-0373</v>
      </c>
      <c r="D253" s="5" t="str">
        <f aca="false">IF(I253="","",INDEX(J_KET,I253))</f>
        <v>Pindah dana tunai ke BCA</v>
      </c>
      <c r="E253" s="5" t="str">
        <f aca="false">IF(I253="","",IF(INDEX(J_DEB,I253)=$C$3,INDEX(J_KRE,I253),INDEX(J_DEB,I253)))</f>
        <v>Kas Tunai</v>
      </c>
      <c r="F253" s="44" t="n">
        <f aca="false">IF(I253="","",IF(INDEX(J_DEB,I253)=$C$3,INDEX(J_NOM,I253),0))</f>
        <v>23000</v>
      </c>
      <c r="G253" s="44" t="n">
        <f aca="false">IF(I253="","",IF(INDEX(J_KRE,I253)=$C$3,INDEX(J_NOM,I253),0))</f>
        <v>0</v>
      </c>
      <c r="H253" s="44" t="n">
        <f aca="false">IF(I253="","",N(H252)+IF($C$5="Debet",F253-G253,G253-F253))</f>
        <v>-328678</v>
      </c>
      <c r="I253" s="66" t="n">
        <f aca="false">IF(J253&gt;$K$1,"",IFERROR(MATCH(J253,J_BB,0),""))</f>
        <v>373</v>
      </c>
      <c r="J253" s="66" t="n">
        <v>244</v>
      </c>
      <c r="K253" s="5"/>
    </row>
    <row r="254" customFormat="false" ht="15" hidden="false" customHeight="false" outlineLevel="0" collapsed="false">
      <c r="A254" s="5" t="n">
        <f aca="false">IF(I254="","",J254)</f>
        <v>245</v>
      </c>
      <c r="B254" s="83" t="n">
        <f aca="false">IF(I254="","",INDEX(J_TGL,I254))</f>
        <v>46104</v>
      </c>
      <c r="C254" s="5" t="str">
        <f aca="false">IF(I254="","",INDEX(J_NO,I254))</f>
        <v>JU-0374</v>
      </c>
      <c r="D254" s="5" t="str">
        <f aca="false">IF(I254="","",INDEX(J_KET,I254))</f>
        <v>Pembayaran langganan aplikasi Majoo</v>
      </c>
      <c r="E254" s="5" t="str">
        <f aca="false">IF(I254="","",IF(INDEX(J_DEB,I254)=$C$3,INDEX(J_KRE,I254),INDEX(J_DEB,I254)))</f>
        <v>Biaya Tagihan Bulanan</v>
      </c>
      <c r="F254" s="44" t="n">
        <f aca="false">IF(I254="","",IF(INDEX(J_DEB,I254)=$C$3,INDEX(J_NOM,I254),0))</f>
        <v>0</v>
      </c>
      <c r="G254" s="44" t="n">
        <f aca="false">IF(I254="","",IF(INDEX(J_KRE,I254)=$C$3,INDEX(J_NOM,I254),0))</f>
        <v>287490</v>
      </c>
      <c r="H254" s="44" t="n">
        <f aca="false">IF(I254="","",N(H253)+IF($C$5="Debet",F254-G254,G254-F254))</f>
        <v>-616168</v>
      </c>
      <c r="I254" s="66" t="n">
        <f aca="false">IF(J254&gt;$K$1,"",IFERROR(MATCH(J254,J_BB,0),""))</f>
        <v>374</v>
      </c>
      <c r="J254" s="66" t="n">
        <v>245</v>
      </c>
      <c r="K254" s="5"/>
    </row>
    <row r="255" customFormat="false" ht="15" hidden="false" customHeight="false" outlineLevel="0" collapsed="false">
      <c r="A255" s="5" t="n">
        <f aca="false">IF(I255="","",J255)</f>
        <v>246</v>
      </c>
      <c r="B255" s="83" t="n">
        <f aca="false">IF(I255="","",INDEX(J_TGL,I255))</f>
        <v>46104</v>
      </c>
      <c r="C255" s="5" t="str">
        <f aca="false">IF(I255="","",INDEX(J_NO,I255))</f>
        <v>JU-0375</v>
      </c>
      <c r="D255" s="5" t="str">
        <f aca="false">IF(I255="","",INDEX(J_KET,I255))</f>
        <v>Einstein pinjam uang karna masalah akun BRI miliknya</v>
      </c>
      <c r="E255" s="5" t="str">
        <f aca="false">IF(I255="","",IF(INDEX(J_DEB,I255)=$C$3,INDEX(J_KRE,I255),INDEX(J_DEB,I255)))</f>
        <v>Piutang Lainnya</v>
      </c>
      <c r="F255" s="44" t="n">
        <f aca="false">IF(I255="","",IF(INDEX(J_DEB,I255)=$C$3,INDEX(J_NOM,I255),0))</f>
        <v>0</v>
      </c>
      <c r="G255" s="44" t="n">
        <f aca="false">IF(I255="","",IF(INDEX(J_KRE,I255)=$C$3,INDEX(J_NOM,I255),0))</f>
        <v>800000</v>
      </c>
      <c r="H255" s="44" t="n">
        <f aca="false">IF(I255="","",N(H254)+IF($C$5="Debet",F255-G255,G255-F255))</f>
        <v>-1416168</v>
      </c>
      <c r="I255" s="66" t="n">
        <f aca="false">IF(J255&gt;$K$1,"",IFERROR(MATCH(J255,J_BB,0),""))</f>
        <v>375</v>
      </c>
      <c r="J255" s="66" t="n">
        <v>246</v>
      </c>
      <c r="K255" s="5"/>
    </row>
    <row r="256" customFormat="false" ht="15" hidden="false" customHeight="false" outlineLevel="0" collapsed="false">
      <c r="A256" s="5" t="n">
        <f aca="false">IF(I256="","",J256)</f>
        <v>247</v>
      </c>
      <c r="B256" s="83" t="n">
        <f aca="false">IF(I256="","",INDEX(J_TGL,I256))</f>
        <v>46104</v>
      </c>
      <c r="C256" s="5" t="str">
        <f aca="false">IF(I256="","",INDEX(J_NO,I256))</f>
        <v>JU-0376</v>
      </c>
      <c r="D256" s="5" t="str">
        <f aca="false">IF(I256="","",INDEX(J_KET,I256))</f>
        <v>Biaya transfer flip</v>
      </c>
      <c r="E256" s="5" t="str">
        <f aca="false">IF(I256="","",IF(INDEX(J_DEB,I256)=$C$3,INDEX(J_KRE,I256),INDEX(J_DEB,I256)))</f>
        <v>Biaya Lainnya</v>
      </c>
      <c r="F256" s="44" t="n">
        <f aca="false">IF(I256="","",IF(INDEX(J_DEB,I256)=$C$3,INDEX(J_NOM,I256),0))</f>
        <v>0</v>
      </c>
      <c r="G256" s="44" t="n">
        <f aca="false">IF(I256="","",IF(INDEX(J_KRE,I256)=$C$3,INDEX(J_NOM,I256),0))</f>
        <v>335</v>
      </c>
      <c r="H256" s="44" t="n">
        <f aca="false">IF(I256="","",N(H255)+IF($C$5="Debet",F256-G256,G256-F256))</f>
        <v>-1416503</v>
      </c>
      <c r="I256" s="66" t="n">
        <f aca="false">IF(J256&gt;$K$1,"",IFERROR(MATCH(J256,J_BB,0),""))</f>
        <v>376</v>
      </c>
      <c r="J256" s="66" t="n">
        <v>247</v>
      </c>
      <c r="K256" s="5"/>
    </row>
    <row r="257" customFormat="false" ht="15" hidden="false" customHeight="false" outlineLevel="0" collapsed="false">
      <c r="A257" s="5" t="n">
        <f aca="false">IF(I257="","",J257)</f>
        <v>248</v>
      </c>
      <c r="B257" s="83" t="n">
        <f aca="false">IF(I257="","",INDEX(J_TGL,I257))</f>
        <v>46105</v>
      </c>
      <c r="C257" s="5" t="str">
        <f aca="false">IF(I257="","",INDEX(J_NO,I257))</f>
        <v>JU-0377</v>
      </c>
      <c r="D257" s="5" t="str">
        <f aca="false">IF(I257="","",INDEX(J_KET,I257))</f>
        <v>Isi ulang galon unlock water for espresso x 7 gln</v>
      </c>
      <c r="E257" s="5" t="str">
        <f aca="false">IF(I257="","",IF(INDEX(J_DEB,I257)=$C$3,INDEX(J_KRE,I257),INDEX(J_DEB,I257)))</f>
        <v>Biaya Bahan Baku</v>
      </c>
      <c r="F257" s="44" t="n">
        <f aca="false">IF(I257="","",IF(INDEX(J_DEB,I257)=$C$3,INDEX(J_NOM,I257),0))</f>
        <v>0</v>
      </c>
      <c r="G257" s="44" t="n">
        <f aca="false">IF(I257="","",IF(INDEX(J_KRE,I257)=$C$3,INDEX(J_NOM,I257),0))</f>
        <v>133000</v>
      </c>
      <c r="H257" s="44" t="n">
        <f aca="false">IF(I257="","",N(H256)+IF($C$5="Debet",F257-G257,G257-F257))</f>
        <v>-1549503</v>
      </c>
      <c r="I257" s="66" t="n">
        <f aca="false">IF(J257&gt;$K$1,"",IFERROR(MATCH(J257,J_BB,0),""))</f>
        <v>377</v>
      </c>
      <c r="J257" s="66" t="n">
        <v>248</v>
      </c>
      <c r="K257" s="5"/>
    </row>
    <row r="258" customFormat="false" ht="15" hidden="false" customHeight="false" outlineLevel="0" collapsed="false">
      <c r="A258" s="5" t="n">
        <f aca="false">IF(I258="","",J258)</f>
        <v>249</v>
      </c>
      <c r="B258" s="83" t="n">
        <f aca="false">IF(I258="","",INDEX(J_TGL,I258))</f>
        <v>46105</v>
      </c>
      <c r="C258" s="5" t="str">
        <f aca="false">IF(I258="","",INDEX(J_NO,I258))</f>
        <v>JU-0378</v>
      </c>
      <c r="D258" s="5" t="str">
        <f aca="false">IF(I258="","",INDEX(J_KET,I258))</f>
        <v>Membayar part time Sdr. Muslih 2 hari tgl 22&amp;23 ramai hari lebaran</v>
      </c>
      <c r="E258" s="5" t="str">
        <f aca="false">IF(I258="","",IF(INDEX(J_DEB,I258)=$C$3,INDEX(J_KRE,I258),INDEX(J_DEB,I258)))</f>
        <v>Beban Gaji</v>
      </c>
      <c r="F258" s="44" t="n">
        <f aca="false">IF(I258="","",IF(INDEX(J_DEB,I258)=$C$3,INDEX(J_NOM,I258),0))</f>
        <v>0</v>
      </c>
      <c r="G258" s="44" t="n">
        <f aca="false">IF(I258="","",IF(INDEX(J_KRE,I258)=$C$3,INDEX(J_NOM,I258),0))</f>
        <v>100000</v>
      </c>
      <c r="H258" s="44" t="n">
        <f aca="false">IF(I258="","",N(H257)+IF($C$5="Debet",F258-G258,G258-F258))</f>
        <v>-1649503</v>
      </c>
      <c r="I258" s="66" t="n">
        <f aca="false">IF(J258&gt;$K$1,"",IFERROR(MATCH(J258,J_BB,0),""))</f>
        <v>378</v>
      </c>
      <c r="J258" s="66" t="n">
        <v>249</v>
      </c>
      <c r="K258" s="5"/>
    </row>
    <row r="259" customFormat="false" ht="15" hidden="false" customHeight="false" outlineLevel="0" collapsed="false">
      <c r="A259" s="5" t="n">
        <f aca="false">IF(I259="","",J259)</f>
        <v>250</v>
      </c>
      <c r="B259" s="83" t="n">
        <f aca="false">IF(I259="","",INDEX(J_TGL,I259))</f>
        <v>46106</v>
      </c>
      <c r="C259" s="5" t="str">
        <f aca="false">IF(I259="","",INDEX(J_NO,I259))</f>
        <v>JU-0379</v>
      </c>
      <c r="D259" s="5" t="str">
        <f aca="false">IF(I259="","",INDEX(J_KET,I259))</f>
        <v>Pemasukan pembayaran belanja tong sampah bulat dikembalikan karena dibatalkan penjual</v>
      </c>
      <c r="E259" s="5" t="str">
        <f aca="false">IF(I259="","",IF(INDEX(J_DEB,I259)=$C$3,INDEX(J_KRE,I259),INDEX(J_DEB,I259)))</f>
        <v>Pendapatan Lainnya</v>
      </c>
      <c r="F259" s="44" t="n">
        <f aca="false">IF(I259="","",IF(INDEX(J_DEB,I259)=$C$3,INDEX(J_NOM,I259),0))</f>
        <v>218152</v>
      </c>
      <c r="G259" s="44" t="n">
        <f aca="false">IF(I259="","",IF(INDEX(J_KRE,I259)=$C$3,INDEX(J_NOM,I259),0))</f>
        <v>0</v>
      </c>
      <c r="H259" s="44" t="n">
        <f aca="false">IF(I259="","",N(H258)+IF($C$5="Debet",F259-G259,G259-F259))</f>
        <v>-1431351</v>
      </c>
      <c r="I259" s="66" t="n">
        <f aca="false">IF(J259&gt;$K$1,"",IFERROR(MATCH(J259,J_BB,0),""))</f>
        <v>379</v>
      </c>
      <c r="J259" s="66" t="n">
        <v>250</v>
      </c>
      <c r="K259" s="5"/>
    </row>
    <row r="260" customFormat="false" ht="15" hidden="false" customHeight="false" outlineLevel="0" collapsed="false">
      <c r="A260" s="5" t="n">
        <f aca="false">IF(I260="","",J260)</f>
        <v>251</v>
      </c>
      <c r="B260" s="83" t="n">
        <f aca="false">IF(I260="","",INDEX(J_TGL,I260))</f>
        <v>46107</v>
      </c>
      <c r="C260" s="5" t="str">
        <f aca="false">IF(I260="","",INDEX(J_NO,I260))</f>
        <v>JU-0380</v>
      </c>
      <c r="D260" s="5" t="str">
        <f aca="false">IF(I260="","",INDEX(J_KET,I260))</f>
        <v>Talangan cicilan BRI jaminan Kopi Parang (biaya sewa tempat)</v>
      </c>
      <c r="E260" s="5" t="str">
        <f aca="false">IF(I260="","",IF(INDEX(J_DEB,I260)=$C$3,INDEX(J_KRE,I260),INDEX(J_DEB,I260)))</f>
        <v>Biaya Sewa Tempat</v>
      </c>
      <c r="F260" s="44" t="n">
        <f aca="false">IF(I260="","",IF(INDEX(J_DEB,I260)=$C$3,INDEX(J_NOM,I260),0))</f>
        <v>0</v>
      </c>
      <c r="G260" s="44" t="n">
        <f aca="false">IF(I260="","",IF(INDEX(J_KRE,I260)=$C$3,INDEX(J_NOM,I260),0))</f>
        <v>10000000</v>
      </c>
      <c r="H260" s="44" t="n">
        <f aca="false">IF(I260="","",N(H259)+IF($C$5="Debet",F260-G260,G260-F260))</f>
        <v>-11431351</v>
      </c>
      <c r="I260" s="66" t="n">
        <f aca="false">IF(J260&gt;$K$1,"",IFERROR(MATCH(J260,J_BB,0),""))</f>
        <v>380</v>
      </c>
      <c r="J260" s="66" t="n">
        <v>251</v>
      </c>
      <c r="K260" s="5"/>
    </row>
    <row r="261" customFormat="false" ht="15" hidden="false" customHeight="false" outlineLevel="0" collapsed="false">
      <c r="A261" s="5" t="n">
        <f aca="false">IF(I261="","",J261)</f>
        <v>252</v>
      </c>
      <c r="B261" s="83" t="n">
        <f aca="false">IF(I261="","",INDEX(J_TGL,I261))</f>
        <v>46107</v>
      </c>
      <c r="C261" s="5" t="str">
        <f aca="false">IF(I261="","",INDEX(J_NO,I261))</f>
        <v>JU-0381</v>
      </c>
      <c r="D261" s="5" t="str">
        <f aca="false">IF(I261="","",INDEX(J_KET,I261))</f>
        <v>Membayar cicilan utang ke FM Wood (maintenance) &amp; tenaga FM Wood untuk Kopi Parang</v>
      </c>
      <c r="E261" s="5" t="str">
        <f aca="false">IF(I261="","",IF(INDEX(J_DEB,I261)=$C$3,INDEX(J_KRE,I261),INDEX(J_DEB,I261)))</f>
        <v>Utang Usaha Jangka Panjang</v>
      </c>
      <c r="F261" s="44" t="n">
        <f aca="false">IF(I261="","",IF(INDEX(J_DEB,I261)=$C$3,INDEX(J_NOM,I261),0))</f>
        <v>0</v>
      </c>
      <c r="G261" s="44" t="n">
        <f aca="false">IF(I261="","",IF(INDEX(J_KRE,I261)=$C$3,INDEX(J_NOM,I261),0))</f>
        <v>1378500</v>
      </c>
      <c r="H261" s="44" t="n">
        <f aca="false">IF(I261="","",N(H260)+IF($C$5="Debet",F261-G261,G261-F261))</f>
        <v>-12809851</v>
      </c>
      <c r="I261" s="66" t="n">
        <f aca="false">IF(J261&gt;$K$1,"",IFERROR(MATCH(J261,J_BB,0),""))</f>
        <v>381</v>
      </c>
      <c r="J261" s="66" t="n">
        <v>252</v>
      </c>
      <c r="K261" s="5"/>
    </row>
    <row r="262" customFormat="false" ht="15" hidden="false" customHeight="false" outlineLevel="0" collapsed="false">
      <c r="A262" s="5" t="n">
        <f aca="false">IF(I262="","",J262)</f>
        <v>253</v>
      </c>
      <c r="B262" s="83" t="n">
        <f aca="false">IF(I262="","",INDEX(J_TGL,I262))</f>
        <v>46108</v>
      </c>
      <c r="C262" s="5" t="str">
        <f aca="false">IF(I262="","",INDEX(J_NO,I262))</f>
        <v>JU-0383</v>
      </c>
      <c r="D262" s="5" t="str">
        <f aca="false">IF(I262="","",INDEX(J_KET,I262))</f>
        <v>Membayar part time Sdr. Muslih 1 hari tgl 24 ramai hari lebaran</v>
      </c>
      <c r="E262" s="5" t="str">
        <f aca="false">IF(I262="","",IF(INDEX(J_DEB,I262)=$C$3,INDEX(J_KRE,I262),INDEX(J_DEB,I262)))</f>
        <v>Beban Gaji</v>
      </c>
      <c r="F262" s="44" t="n">
        <f aca="false">IF(I262="","",IF(INDEX(J_DEB,I262)=$C$3,INDEX(J_NOM,I262),0))</f>
        <v>0</v>
      </c>
      <c r="G262" s="44" t="n">
        <f aca="false">IF(I262="","",IF(INDEX(J_KRE,I262)=$C$3,INDEX(J_NOM,I262),0))</f>
        <v>50000</v>
      </c>
      <c r="H262" s="44" t="n">
        <f aca="false">IF(I262="","",N(H261)+IF($C$5="Debet",F262-G262,G262-F262))</f>
        <v>-12859851</v>
      </c>
      <c r="I262" s="66" t="n">
        <f aca="false">IF(J262&gt;$K$1,"",IFERROR(MATCH(J262,J_BB,0),""))</f>
        <v>383</v>
      </c>
      <c r="J262" s="66" t="n">
        <v>253</v>
      </c>
      <c r="K262" s="5"/>
    </row>
    <row r="263" customFormat="false" ht="15" hidden="false" customHeight="false" outlineLevel="0" collapsed="false">
      <c r="A263" s="5" t="n">
        <f aca="false">IF(I263="","",J263)</f>
        <v>254</v>
      </c>
      <c r="B263" s="83" t="n">
        <f aca="false">IF(I263="","",INDEX(J_TGL,I263))</f>
        <v>46108</v>
      </c>
      <c r="C263" s="5" t="str">
        <f aca="false">IF(I263="","",INDEX(J_NO,I263))</f>
        <v>JU-0384</v>
      </c>
      <c r="D263" s="5" t="str">
        <f aca="false">IF(I263="","",INDEX(J_KET,I263))</f>
        <v>Belanja shopee lap microfiber 2 macam x 15pcs</v>
      </c>
      <c r="E263" s="5" t="str">
        <f aca="false">IF(I263="","",IF(INDEX(J_DEB,I263)=$C$3,INDEX(J_KRE,I263),INDEX(J_DEB,I263)))</f>
        <v>Beban Perlengkapan</v>
      </c>
      <c r="F263" s="44" t="n">
        <f aca="false">IF(I263="","",IF(INDEX(J_DEB,I263)=$C$3,INDEX(J_NOM,I263),0))</f>
        <v>0</v>
      </c>
      <c r="G263" s="44" t="n">
        <f aca="false">IF(I263="","",IF(INDEX(J_KRE,I263)=$C$3,INDEX(J_NOM,I263),0))</f>
        <v>186100</v>
      </c>
      <c r="H263" s="44" t="n">
        <f aca="false">IF(I263="","",N(H262)+IF($C$5="Debet",F263-G263,G263-F263))</f>
        <v>-13045951</v>
      </c>
      <c r="I263" s="66" t="n">
        <f aca="false">IF(J263&gt;$K$1,"",IFERROR(MATCH(J263,J_BB,0),""))</f>
        <v>384</v>
      </c>
      <c r="J263" s="66" t="n">
        <v>254</v>
      </c>
      <c r="K263" s="5"/>
    </row>
    <row r="264" customFormat="false" ht="15" hidden="false" customHeight="false" outlineLevel="0" collapsed="false">
      <c r="A264" s="5" t="n">
        <f aca="false">IF(I264="","",J264)</f>
        <v>255</v>
      </c>
      <c r="B264" s="83" t="n">
        <f aca="false">IF(I264="","",INDEX(J_TGL,I264))</f>
        <v>46108</v>
      </c>
      <c r="C264" s="5" t="str">
        <f aca="false">IF(I264="","",INDEX(J_NO,I264))</f>
        <v>JU-0385</v>
      </c>
      <c r="D264" s="5" t="str">
        <f aca="false">IF(I264="","",INDEX(J_KET,I264))</f>
        <v>Belanja shopee SKM dairy champ 2.5kg x 8 pcs (1dus)</v>
      </c>
      <c r="E264" s="5" t="str">
        <f aca="false">IF(I264="","",IF(INDEX(J_DEB,I264)=$C$3,INDEX(J_KRE,I264),INDEX(J_DEB,I264)))</f>
        <v>Biaya Bahan Baku</v>
      </c>
      <c r="F264" s="44" t="n">
        <f aca="false">IF(I264="","",IF(INDEX(J_DEB,I264)=$C$3,INDEX(J_NOM,I264),0))</f>
        <v>0</v>
      </c>
      <c r="G264" s="44" t="n">
        <f aca="false">IF(I264="","",IF(INDEX(J_KRE,I264)=$C$3,INDEX(J_NOM,I264),0))</f>
        <v>527603</v>
      </c>
      <c r="H264" s="44" t="n">
        <f aca="false">IF(I264="","",N(H263)+IF($C$5="Debet",F264-G264,G264-F264))</f>
        <v>-13573554</v>
      </c>
      <c r="I264" s="66" t="n">
        <f aca="false">IF(J264&gt;$K$1,"",IFERROR(MATCH(J264,J_BB,0),""))</f>
        <v>385</v>
      </c>
      <c r="J264" s="66" t="n">
        <v>255</v>
      </c>
      <c r="K264" s="5"/>
    </row>
    <row r="265" customFormat="false" ht="15" hidden="false" customHeight="false" outlineLevel="0" collapsed="false">
      <c r="A265" s="5" t="n">
        <f aca="false">IF(I265="","",J265)</f>
        <v>256</v>
      </c>
      <c r="B265" s="83" t="n">
        <f aca="false">IF(I265="","",INDEX(J_TGL,I265))</f>
        <v>46108</v>
      </c>
      <c r="C265" s="5" t="str">
        <f aca="false">IF(I265="","",INDEX(J_NO,I265))</f>
        <v>JU-0394</v>
      </c>
      <c r="D265" s="5" t="str">
        <f aca="false">IF(I265="","",INDEX(J_KET,I265))</f>
        <v>Buttersome pembayaran croissant batch 158-163 75 pcs</v>
      </c>
      <c r="E265" s="5" t="str">
        <f aca="false">IF(I265="","",IF(INDEX(J_DEB,I265)=$C$3,INDEX(J_KRE,I265),INDEX(J_DEB,I265)))</f>
        <v>Biaya Bahan Baku</v>
      </c>
      <c r="F265" s="44" t="n">
        <f aca="false">IF(I265="","",IF(INDEX(J_DEB,I265)=$C$3,INDEX(J_NOM,I265),0))</f>
        <v>0</v>
      </c>
      <c r="G265" s="44" t="n">
        <f aca="false">IF(I265="","",IF(INDEX(J_KRE,I265)=$C$3,INDEX(J_NOM,I265),0))</f>
        <v>1632000</v>
      </c>
      <c r="H265" s="44" t="n">
        <f aca="false">IF(I265="","",N(H264)+IF($C$5="Debet",F265-G265,G265-F265))</f>
        <v>-15205554</v>
      </c>
      <c r="I265" s="66" t="n">
        <f aca="false">IF(J265&gt;$K$1,"",IFERROR(MATCH(J265,J_BB,0),""))</f>
        <v>394</v>
      </c>
      <c r="J265" s="66" t="n">
        <v>256</v>
      </c>
      <c r="K265" s="5"/>
    </row>
    <row r="266" customFormat="false" ht="15" hidden="false" customHeight="false" outlineLevel="0" collapsed="false">
      <c r="A266" s="5" t="n">
        <f aca="false">IF(I266="","",J266)</f>
        <v>257</v>
      </c>
      <c r="B266" s="83" t="n">
        <f aca="false">IF(I266="","",INDEX(J_TGL,I266))</f>
        <v>46108</v>
      </c>
      <c r="C266" s="5" t="str">
        <f aca="false">IF(I266="","",INDEX(J_NO,I266))</f>
        <v>JU-0395</v>
      </c>
      <c r="D266" s="5" t="str">
        <f aca="false">IF(I266="","",INDEX(J_KET,I266))</f>
        <v>Buttersome pembelian return croissant batch 158-163 3 pcs</v>
      </c>
      <c r="E266" s="5" t="str">
        <f aca="false">IF(I266="","",IF(INDEX(J_DEB,I266)=$C$3,INDEX(J_KRE,I266),INDEX(J_DEB,I266)))</f>
        <v>Biaya Bahan Baku</v>
      </c>
      <c r="F266" s="44" t="n">
        <f aca="false">IF(I266="","",IF(INDEX(J_DEB,I266)=$C$3,INDEX(J_NOM,I266),0))</f>
        <v>0</v>
      </c>
      <c r="G266" s="44" t="n">
        <f aca="false">IF(I266="","",IF(INDEX(J_KRE,I266)=$C$3,INDEX(J_NOM,I266),0))</f>
        <v>30000</v>
      </c>
      <c r="H266" s="44" t="n">
        <f aca="false">IF(I266="","",N(H265)+IF($C$5="Debet",F266-G266,G266-F266))</f>
        <v>-15235554</v>
      </c>
      <c r="I266" s="66" t="n">
        <f aca="false">IF(J266&gt;$K$1,"",IFERROR(MATCH(J266,J_BB,0),""))</f>
        <v>395</v>
      </c>
      <c r="J266" s="66" t="n">
        <v>257</v>
      </c>
      <c r="K266" s="5"/>
    </row>
    <row r="267" customFormat="false" ht="15" hidden="false" customHeight="false" outlineLevel="0" collapsed="false">
      <c r="A267" s="5" t="n">
        <f aca="false">IF(I267="","",J267)</f>
        <v>258</v>
      </c>
      <c r="B267" s="83" t="n">
        <f aca="false">IF(I267="","",INDEX(J_TGL,I267))</f>
        <v>46108</v>
      </c>
      <c r="C267" s="5" t="str">
        <f aca="false">IF(I267="","",INDEX(J_NO,I267))</f>
        <v>JU-0396</v>
      </c>
      <c r="D267" s="5" t="str">
        <f aca="false">IF(I267="","",INDEX(J_KET,I267))</f>
        <v>Belanja unlock water x 10 galon</v>
      </c>
      <c r="E267" s="5" t="str">
        <f aca="false">IF(I267="","",IF(INDEX(J_DEB,I267)=$C$3,INDEX(J_KRE,I267),INDEX(J_DEB,I267)))</f>
        <v>Biaya Bahan Baku</v>
      </c>
      <c r="F267" s="44" t="n">
        <f aca="false">IF(I267="","",IF(INDEX(J_DEB,I267)=$C$3,INDEX(J_NOM,I267),0))</f>
        <v>0</v>
      </c>
      <c r="G267" s="44" t="n">
        <f aca="false">IF(I267="","",IF(INDEX(J_KRE,I267)=$C$3,INDEX(J_NOM,I267),0))</f>
        <v>190000</v>
      </c>
      <c r="H267" s="44" t="n">
        <f aca="false">IF(I267="","",N(H266)+IF($C$5="Debet",F267-G267,G267-F267))</f>
        <v>-15425554</v>
      </c>
      <c r="I267" s="66" t="n">
        <f aca="false">IF(J267&gt;$K$1,"",IFERROR(MATCH(J267,J_BB,0),""))</f>
        <v>396</v>
      </c>
      <c r="J267" s="66" t="n">
        <v>258</v>
      </c>
      <c r="K267" s="5"/>
    </row>
    <row r="268" customFormat="false" ht="15" hidden="false" customHeight="false" outlineLevel="0" collapsed="false">
      <c r="A268" s="5" t="n">
        <f aca="false">IF(I268="","",J268)</f>
        <v>259</v>
      </c>
      <c r="B268" s="83" t="n">
        <f aca="false">IF(I268="","",INDEX(J_TGL,I268))</f>
        <v>46109</v>
      </c>
      <c r="C268" s="5" t="str">
        <f aca="false">IF(I268="","",INDEX(J_NO,I268))</f>
        <v>JU-0397</v>
      </c>
      <c r="D268" s="5" t="str">
        <f aca="false">IF(I268="","",INDEX(J_KET,I268))</f>
        <v>Biaya transfer flip untuk reserve</v>
      </c>
      <c r="E268" s="5" t="str">
        <f aca="false">IF(I268="","",IF(INDEX(J_DEB,I268)=$C$3,INDEX(J_KRE,I268),INDEX(J_DEB,I268)))</f>
        <v>Biaya Lainnya</v>
      </c>
      <c r="F268" s="44" t="n">
        <f aca="false">IF(I268="","",IF(INDEX(J_DEB,I268)=$C$3,INDEX(J_NOM,I268),0))</f>
        <v>0</v>
      </c>
      <c r="G268" s="44" t="n">
        <f aca="false">IF(I268="","",IF(INDEX(J_KRE,I268)=$C$3,INDEX(J_NOM,I268),0))</f>
        <v>1325</v>
      </c>
      <c r="H268" s="44" t="n">
        <f aca="false">IF(I268="","",N(H267)+IF($C$5="Debet",F268-G268,G268-F268))</f>
        <v>-15426879</v>
      </c>
      <c r="I268" s="66" t="n">
        <f aca="false">IF(J268&gt;$K$1,"",IFERROR(MATCH(J268,J_BB,0),""))</f>
        <v>397</v>
      </c>
      <c r="J268" s="66" t="n">
        <v>259</v>
      </c>
      <c r="K268" s="5"/>
    </row>
    <row r="269" customFormat="false" ht="15" hidden="false" customHeight="false" outlineLevel="0" collapsed="false">
      <c r="A269" s="5" t="n">
        <f aca="false">IF(I269="","",J269)</f>
        <v>260</v>
      </c>
      <c r="B269" s="83" t="n">
        <f aca="false">IF(I269="","",INDEX(J_TGL,I269))</f>
        <v>46109</v>
      </c>
      <c r="C269" s="5" t="str">
        <f aca="false">IF(I269="","",INDEX(J_NO,I269))</f>
        <v>JU-0398</v>
      </c>
      <c r="D269" s="5" t="str">
        <f aca="false">IF(I269="","",INDEX(J_KET,I269))</f>
        <v>Belanja asbak stainless steel anti karat warna gold x 30pcs (stok Kopar 15pcs)</v>
      </c>
      <c r="E269" s="5" t="str">
        <f aca="false">IF(I269="","",IF(INDEX(J_DEB,I269)=$C$3,INDEX(J_KRE,I269),INDEX(J_DEB,I269)))</f>
        <v>Beban Perlengkapan</v>
      </c>
      <c r="F269" s="44" t="n">
        <f aca="false">IF(I269="","",IF(INDEX(J_DEB,I269)=$C$3,INDEX(J_NOM,I269),0))</f>
        <v>0</v>
      </c>
      <c r="G269" s="44" t="n">
        <f aca="false">IF(I269="","",IF(INDEX(J_KRE,I269)=$C$3,INDEX(J_NOM,I269),0))</f>
        <v>283210</v>
      </c>
      <c r="H269" s="44" t="n">
        <f aca="false">IF(I269="","",N(H268)+IF($C$5="Debet",F269-G269,G269-F269))</f>
        <v>-15710089</v>
      </c>
      <c r="I269" s="66" t="n">
        <f aca="false">IF(J269&gt;$K$1,"",IFERROR(MATCH(J269,J_BB,0),""))</f>
        <v>398</v>
      </c>
      <c r="J269" s="66" t="n">
        <v>260</v>
      </c>
      <c r="K269" s="5"/>
    </row>
    <row r="270" customFormat="false" ht="15" hidden="false" customHeight="false" outlineLevel="0" collapsed="false">
      <c r="A270" s="5" t="n">
        <f aca="false">IF(I270="","",J270)</f>
        <v>261</v>
      </c>
      <c r="B270" s="83" t="n">
        <f aca="false">IF(I270="","",INDEX(J_TGL,I270))</f>
        <v>46109</v>
      </c>
      <c r="C270" s="5" t="str">
        <f aca="false">IF(I270="","",INDEX(J_NO,I270))</f>
        <v>JU-0399</v>
      </c>
      <c r="D270" s="5" t="str">
        <f aca="false">IF(I270="","",INDEX(J_KET,I270))</f>
        <v>Pindah dana tunai ke BCA</v>
      </c>
      <c r="E270" s="5" t="str">
        <f aca="false">IF(I270="","",IF(INDEX(J_DEB,I270)=$C$3,INDEX(J_KRE,I270),INDEX(J_DEB,I270)))</f>
        <v>Kas Tunai</v>
      </c>
      <c r="F270" s="44" t="n">
        <f aca="false">IF(I270="","",IF(INDEX(J_DEB,I270)=$C$3,INDEX(J_NOM,I270),0))</f>
        <v>3000000</v>
      </c>
      <c r="G270" s="44" t="n">
        <f aca="false">IF(I270="","",IF(INDEX(J_KRE,I270)=$C$3,INDEX(J_NOM,I270),0))</f>
        <v>0</v>
      </c>
      <c r="H270" s="44" t="n">
        <f aca="false">IF(I270="","",N(H269)+IF($C$5="Debet",F270-G270,G270-F270))</f>
        <v>-12710089</v>
      </c>
      <c r="I270" s="66" t="n">
        <f aca="false">IF(J270&gt;$K$1,"",IFERROR(MATCH(J270,J_BB,0),""))</f>
        <v>399</v>
      </c>
      <c r="J270" s="66" t="n">
        <v>261</v>
      </c>
      <c r="K270" s="5"/>
    </row>
    <row r="271" customFormat="false" ht="15" hidden="false" customHeight="false" outlineLevel="0" collapsed="false">
      <c r="A271" s="5" t="n">
        <f aca="false">IF(I271="","",J271)</f>
        <v>262</v>
      </c>
      <c r="B271" s="83" t="n">
        <f aca="false">IF(I271="","",INDEX(J_TGL,I271))</f>
        <v>46109</v>
      </c>
      <c r="C271" s="5" t="str">
        <f aca="false">IF(I271="","",INDEX(J_NO,I271))</f>
        <v>JU-0400</v>
      </c>
      <c r="D271" s="5" t="str">
        <f aca="false">IF(I271="","",INDEX(J_KET,I271))</f>
        <v>Belanja kursi trailtop lipat warna hijau lapis x 10 unit</v>
      </c>
      <c r="E271" s="5" t="str">
        <f aca="false">IF(I271="","",IF(INDEX(J_DEB,I271)=$C$3,INDEX(J_KRE,I271),INDEX(J_DEB,I271)))</f>
        <v>Peralatan</v>
      </c>
      <c r="F271" s="44" t="n">
        <f aca="false">IF(I271="","",IF(INDEX(J_DEB,I271)=$C$3,INDEX(J_NOM,I271),0))</f>
        <v>0</v>
      </c>
      <c r="G271" s="44" t="n">
        <f aca="false">IF(I271="","",IF(INDEX(J_KRE,I271)=$C$3,INDEX(J_NOM,I271),0))</f>
        <v>1742240</v>
      </c>
      <c r="H271" s="44" t="n">
        <f aca="false">IF(I271="","",N(H270)+IF($C$5="Debet",F271-G271,G271-F271))</f>
        <v>-14452329</v>
      </c>
      <c r="I271" s="66" t="n">
        <f aca="false">IF(J271&gt;$K$1,"",IFERROR(MATCH(J271,J_BB,0),""))</f>
        <v>400</v>
      </c>
      <c r="J271" s="66" t="n">
        <v>262</v>
      </c>
      <c r="K271" s="5"/>
    </row>
    <row r="272" customFormat="false" ht="15" hidden="false" customHeight="false" outlineLevel="0" collapsed="false">
      <c r="A272" s="5" t="n">
        <f aca="false">IF(I272="","",J272)</f>
        <v>263</v>
      </c>
      <c r="B272" s="83" t="n">
        <f aca="false">IF(I272="","",INDEX(J_TGL,I272))</f>
        <v>46110</v>
      </c>
      <c r="C272" s="5" t="str">
        <f aca="false">IF(I272="","",INDEX(J_NO,I272))</f>
        <v>JU-0401</v>
      </c>
      <c r="D272" s="5" t="str">
        <f aca="false">IF(I272="","",INDEX(J_KET,I272))</f>
        <v>Belanja frozen food : 5 crinkle, 8 straight, 6 champ, 6 beef breakfast</v>
      </c>
      <c r="E272" s="5" t="str">
        <f aca="false">IF(I272="","",IF(INDEX(J_DEB,I272)=$C$3,INDEX(J_KRE,I272),INDEX(J_DEB,I272)))</f>
        <v>Biaya Bahan Baku</v>
      </c>
      <c r="F272" s="44" t="n">
        <f aca="false">IF(I272="","",IF(INDEX(J_DEB,I272)=$C$3,INDEX(J_NOM,I272),0))</f>
        <v>0</v>
      </c>
      <c r="G272" s="44" t="n">
        <f aca="false">IF(I272="","",IF(INDEX(J_KRE,I272)=$C$3,INDEX(J_NOM,I272),0))</f>
        <v>1512000</v>
      </c>
      <c r="H272" s="44" t="n">
        <f aca="false">IF(I272="","",N(H271)+IF($C$5="Debet",F272-G272,G272-F272))</f>
        <v>-15964329</v>
      </c>
      <c r="I272" s="66" t="n">
        <f aca="false">IF(J272&gt;$K$1,"",IFERROR(MATCH(J272,J_BB,0),""))</f>
        <v>401</v>
      </c>
      <c r="J272" s="66" t="n">
        <v>263</v>
      </c>
      <c r="K272" s="5"/>
    </row>
    <row r="273" customFormat="false" ht="15" hidden="false" customHeight="false" outlineLevel="0" collapsed="false">
      <c r="A273" s="5" t="n">
        <f aca="false">IF(I273="","",J273)</f>
        <v>264</v>
      </c>
      <c r="B273" s="83" t="n">
        <f aca="false">IF(I273="","",INDEX(J_TGL,I273))</f>
        <v>46110</v>
      </c>
      <c r="C273" s="5" t="str">
        <f aca="false">IF(I273="","",INDEX(J_NO,I273))</f>
        <v>JU-0402</v>
      </c>
      <c r="D273" s="5" t="str">
        <f aca="false">IF(I273="","",INDEX(J_KET,I273))</f>
        <v>Membayar gaji pegawai</v>
      </c>
      <c r="E273" s="5" t="str">
        <f aca="false">IF(I273="","",IF(INDEX(J_DEB,I273)=$C$3,INDEX(J_KRE,I273),INDEX(J_DEB,I273)))</f>
        <v>Beban Gaji</v>
      </c>
      <c r="F273" s="44" t="n">
        <f aca="false">IF(I273="","",IF(INDEX(J_DEB,I273)=$C$3,INDEX(J_NOM,I273),0))</f>
        <v>0</v>
      </c>
      <c r="G273" s="44" t="n">
        <f aca="false">IF(I273="","",IF(INDEX(J_KRE,I273)=$C$3,INDEX(J_NOM,I273),0))</f>
        <v>18567000</v>
      </c>
      <c r="H273" s="44" t="n">
        <f aca="false">IF(I273="","",N(H272)+IF($C$5="Debet",F273-G273,G273-F273))</f>
        <v>-34531329</v>
      </c>
      <c r="I273" s="66" t="n">
        <f aca="false">IF(J273&gt;$K$1,"",IFERROR(MATCH(J273,J_BB,0),""))</f>
        <v>402</v>
      </c>
      <c r="J273" s="66" t="n">
        <v>264</v>
      </c>
      <c r="K273" s="5"/>
    </row>
    <row r="274" customFormat="false" ht="15" hidden="false" customHeight="false" outlineLevel="0" collapsed="false">
      <c r="A274" s="5" t="n">
        <f aca="false">IF(I274="","",J274)</f>
        <v>265</v>
      </c>
      <c r="B274" s="83" t="n">
        <f aca="false">IF(I274="","",INDEX(J_TGL,I274))</f>
        <v>46110</v>
      </c>
      <c r="C274" s="5" t="str">
        <f aca="false">IF(I274="","",INDEX(J_NO,I274))</f>
        <v>JU-0403</v>
      </c>
      <c r="D274" s="5" t="str">
        <f aca="false">IF(I274="","",INDEX(J_KET,I274))</f>
        <v>Membayar bonus pegawai</v>
      </c>
      <c r="E274" s="5" t="str">
        <f aca="false">IF(I274="","",IF(INDEX(J_DEB,I274)=$C$3,INDEX(J_KRE,I274),INDEX(J_DEB,I274)))</f>
        <v>Beban Gaji</v>
      </c>
      <c r="F274" s="44" t="n">
        <f aca="false">IF(I274="","",IF(INDEX(J_DEB,I274)=$C$3,INDEX(J_NOM,I274),0))</f>
        <v>0</v>
      </c>
      <c r="G274" s="44" t="n">
        <f aca="false">IF(I274="","",IF(INDEX(J_KRE,I274)=$C$3,INDEX(J_NOM,I274),0))</f>
        <v>1500000</v>
      </c>
      <c r="H274" s="44" t="n">
        <f aca="false">IF(I274="","",N(H273)+IF($C$5="Debet",F274-G274,G274-F274))</f>
        <v>-36031329</v>
      </c>
      <c r="I274" s="66" t="n">
        <f aca="false">IF(J274&gt;$K$1,"",IFERROR(MATCH(J274,J_BB,0),""))</f>
        <v>403</v>
      </c>
      <c r="J274" s="66" t="n">
        <v>265</v>
      </c>
      <c r="K274" s="5"/>
    </row>
    <row r="275" customFormat="false" ht="15" hidden="false" customHeight="false" outlineLevel="0" collapsed="false">
      <c r="A275" s="5" t="n">
        <f aca="false">IF(I275="","",J275)</f>
        <v>266</v>
      </c>
      <c r="B275" s="83" t="n">
        <f aca="false">IF(I275="","",INDEX(J_TGL,I275))</f>
        <v>46110</v>
      </c>
      <c r="C275" s="5" t="str">
        <f aca="false">IF(I275="","",INDEX(J_NO,I275))</f>
        <v>JU-0404</v>
      </c>
      <c r="D275" s="5" t="str">
        <f aca="false">IF(I275="","",INDEX(J_KET,I275))</f>
        <v>Biaya flip untuk transfer gaji</v>
      </c>
      <c r="E275" s="5" t="str">
        <f aca="false">IF(I275="","",IF(INDEX(J_DEB,I275)=$C$3,INDEX(J_KRE,I275),INDEX(J_DEB,I275)))</f>
        <v>Biaya Lainnya</v>
      </c>
      <c r="F275" s="44" t="n">
        <f aca="false">IF(I275="","",IF(INDEX(J_DEB,I275)=$C$3,INDEX(J_NOM,I275),0))</f>
        <v>0</v>
      </c>
      <c r="G275" s="44" t="n">
        <f aca="false">IF(I275="","",IF(INDEX(J_KRE,I275)=$C$3,INDEX(J_NOM,I275),0))</f>
        <v>13877</v>
      </c>
      <c r="H275" s="44" t="n">
        <f aca="false">IF(I275="","",N(H274)+IF($C$5="Debet",F275-G275,G275-F275))</f>
        <v>-36045206</v>
      </c>
      <c r="I275" s="66" t="n">
        <f aca="false">IF(J275&gt;$K$1,"",IFERROR(MATCH(J275,J_BB,0),""))</f>
        <v>404</v>
      </c>
      <c r="J275" s="66" t="n">
        <v>266</v>
      </c>
      <c r="K275" s="5"/>
    </row>
    <row r="276" customFormat="false" ht="15" hidden="false" customHeight="false" outlineLevel="0" collapsed="false">
      <c r="A276" s="5" t="n">
        <f aca="false">IF(I276="","",J276)</f>
        <v>267</v>
      </c>
      <c r="B276" s="83" t="n">
        <f aca="false">IF(I276="","",INDEX(J_TGL,I276))</f>
        <v>46111</v>
      </c>
      <c r="C276" s="5" t="str">
        <f aca="false">IF(I276="","",INDEX(J_NO,I276))</f>
        <v>JU-0406</v>
      </c>
      <c r="D276" s="5" t="str">
        <f aca="false">IF(I276="","",INDEX(J_KET,I276))</f>
        <v>koreksi</v>
      </c>
      <c r="E276" s="5" t="str">
        <f aca="false">IF(I276="","",IF(INDEX(J_DEB,I276)=$C$3,INDEX(J_KRE,I276),INDEX(J_DEB,I276)))</f>
        <v>Biaya Lainnya</v>
      </c>
      <c r="F276" s="44" t="n">
        <f aca="false">IF(I276="","",IF(INDEX(J_DEB,I276)=$C$3,INDEX(J_NOM,I276),0))</f>
        <v>0</v>
      </c>
      <c r="G276" s="44" t="n">
        <f aca="false">IF(I276="","",IF(INDEX(J_KRE,I276)=$C$3,INDEX(J_NOM,I276),0))</f>
        <v>500</v>
      </c>
      <c r="H276" s="44" t="n">
        <f aca="false">IF(I276="","",N(H275)+IF($C$5="Debet",F276-G276,G276-F276))</f>
        <v>-36045706</v>
      </c>
      <c r="I276" s="66" t="n">
        <f aca="false">IF(J276&gt;$K$1,"",IFERROR(MATCH(J276,J_BB,0),""))</f>
        <v>406</v>
      </c>
      <c r="J276" s="66" t="n">
        <v>267</v>
      </c>
      <c r="K276" s="5"/>
    </row>
    <row r="277" customFormat="false" ht="15" hidden="false" customHeight="false" outlineLevel="0" collapsed="false">
      <c r="A277" s="5" t="n">
        <f aca="false">IF(I277="","",J277)</f>
        <v>268</v>
      </c>
      <c r="B277" s="83" t="n">
        <f aca="false">IF(I277="","",INDEX(J_TGL,I277))</f>
        <v>46111</v>
      </c>
      <c r="C277" s="5" t="str">
        <f aca="false">IF(I277="","",INDEX(J_NO,I277))</f>
        <v>JU-0407</v>
      </c>
      <c r="D277" s="5" t="str">
        <f aca="false">IF(I277="","",INDEX(J_KET,I277))</f>
        <v>Belanja cokelat java dark x 3 kg</v>
      </c>
      <c r="E277" s="5" t="str">
        <f aca="false">IF(I277="","",IF(INDEX(J_DEB,I277)=$C$3,INDEX(J_KRE,I277),INDEX(J_DEB,I277)))</f>
        <v>Biaya Bahan Baku</v>
      </c>
      <c r="F277" s="44" t="n">
        <f aca="false">IF(I277="","",IF(INDEX(J_DEB,I277)=$C$3,INDEX(J_NOM,I277),0))</f>
        <v>0</v>
      </c>
      <c r="G277" s="44" t="n">
        <f aca="false">IF(I277="","",IF(INDEX(J_KRE,I277)=$C$3,INDEX(J_NOM,I277),0))</f>
        <v>684000</v>
      </c>
      <c r="H277" s="44" t="n">
        <f aca="false">IF(I277="","",N(H276)+IF($C$5="Debet",F277-G277,G277-F277))</f>
        <v>-36729706</v>
      </c>
      <c r="I277" s="66" t="n">
        <f aca="false">IF(J277&gt;$K$1,"",IFERROR(MATCH(J277,J_BB,0),""))</f>
        <v>407</v>
      </c>
      <c r="J277" s="66" t="n">
        <v>268</v>
      </c>
      <c r="K277" s="5"/>
    </row>
    <row r="278" customFormat="false" ht="15" hidden="false" customHeight="false" outlineLevel="0" collapsed="false">
      <c r="A278" s="5" t="n">
        <f aca="false">IF(I278="","",J278)</f>
        <v>269</v>
      </c>
      <c r="B278" s="83" t="n">
        <f aca="false">IF(I278="","",INDEX(J_TGL,I278))</f>
        <v>46111</v>
      </c>
      <c r="C278" s="5" t="str">
        <f aca="false">IF(I278="","",INDEX(J_NO,I278))</f>
        <v>JU-0408</v>
      </c>
      <c r="D278" s="5" t="str">
        <f aca="false">IF(I278="","",INDEX(J_KET,I278))</f>
        <v>Pembayaran DP pesan minyak bimoli 18L x 4 jerigen</v>
      </c>
      <c r="E278" s="5" t="str">
        <f aca="false">IF(I278="","",IF(INDEX(J_DEB,I278)=$C$3,INDEX(J_KRE,I278),INDEX(J_DEB,I278)))</f>
        <v>Biaya Bahan Baku</v>
      </c>
      <c r="F278" s="44" t="n">
        <f aca="false">IF(I278="","",IF(INDEX(J_DEB,I278)=$C$3,INDEX(J_NOM,I278),0))</f>
        <v>0</v>
      </c>
      <c r="G278" s="44" t="n">
        <f aca="false">IF(I278="","",IF(INDEX(J_KRE,I278)=$C$3,INDEX(J_NOM,I278),0))</f>
        <v>830000</v>
      </c>
      <c r="H278" s="44" t="n">
        <f aca="false">IF(I278="","",N(H277)+IF($C$5="Debet",F278-G278,G278-F278))</f>
        <v>-37559706</v>
      </c>
      <c r="I278" s="66" t="n">
        <f aca="false">IF(J278&gt;$K$1,"",IFERROR(MATCH(J278,J_BB,0),""))</f>
        <v>408</v>
      </c>
      <c r="J278" s="66" t="n">
        <v>269</v>
      </c>
      <c r="K278" s="5"/>
    </row>
    <row r="279" customFormat="false" ht="15" hidden="false" customHeight="false" outlineLevel="0" collapsed="false">
      <c r="A279" s="5" t="n">
        <f aca="false">IF(I279="","",J279)</f>
        <v>270</v>
      </c>
      <c r="B279" s="83" t="n">
        <f aca="false">IF(I279="","",INDEX(J_TGL,I279))</f>
        <v>46112</v>
      </c>
      <c r="C279" s="5" t="str">
        <f aca="false">IF(I279="","",INDEX(J_NO,I279))</f>
        <v>JU-0409</v>
      </c>
      <c r="D279" s="5" t="str">
        <f aca="false">IF(I279="","",INDEX(J_KET,I279))</f>
        <v>Gaji direktur Kopi Parang Maret 2026</v>
      </c>
      <c r="E279" s="5" t="str">
        <f aca="false">IF(I279="","",IF(INDEX(J_DEB,I279)=$C$3,INDEX(J_KRE,I279),INDEX(J_DEB,I279)))</f>
        <v>Beban Gaji</v>
      </c>
      <c r="F279" s="44" t="n">
        <f aca="false">IF(I279="","",IF(INDEX(J_DEB,I279)=$C$3,INDEX(J_NOM,I279),0))</f>
        <v>0</v>
      </c>
      <c r="G279" s="44" t="n">
        <f aca="false">IF(I279="","",IF(INDEX(J_KRE,I279)=$C$3,INDEX(J_NOM,I279),0))</f>
        <v>4000000</v>
      </c>
      <c r="H279" s="44" t="n">
        <f aca="false">IF(I279="","",N(H278)+IF($C$5="Debet",F279-G279,G279-F279))</f>
        <v>-41559706</v>
      </c>
      <c r="I279" s="66" t="n">
        <f aca="false">IF(J279&gt;$K$1,"",IFERROR(MATCH(J279,J_BB,0),""))</f>
        <v>409</v>
      </c>
      <c r="J279" s="66" t="n">
        <v>270</v>
      </c>
      <c r="K279" s="5"/>
    </row>
    <row r="280" customFormat="false" ht="15" hidden="false" customHeight="false" outlineLevel="0" collapsed="false">
      <c r="A280" s="5" t="n">
        <f aca="false">IF(I280="","",J280)</f>
        <v>271</v>
      </c>
      <c r="B280" s="83" t="n">
        <f aca="false">IF(I280="","",INDEX(J_TGL,I280))</f>
        <v>46112</v>
      </c>
      <c r="C280" s="5" t="str">
        <f aca="false">IF(I280="","",INDEX(J_NO,I280))</f>
        <v>JU-0410</v>
      </c>
      <c r="D280" s="5" t="str">
        <f aca="false">IF(I280="","",INDEX(J_KET,I280))</f>
        <v>Biaya sewa tempat bulan Maret 2026 (diubah jadi prive)</v>
      </c>
      <c r="E280" s="5" t="str">
        <f aca="false">IF(I280="","",IF(INDEX(J_DEB,I280)=$C$3,INDEX(J_KRE,I280),INDEX(J_DEB,I280)))</f>
        <v>Prive</v>
      </c>
      <c r="F280" s="44" t="n">
        <f aca="false">IF(I280="","",IF(INDEX(J_DEB,I280)=$C$3,INDEX(J_NOM,I280),0))</f>
        <v>0</v>
      </c>
      <c r="G280" s="44" t="n">
        <f aca="false">IF(I280="","",IF(INDEX(J_KRE,I280)=$C$3,INDEX(J_NOM,I280),0))</f>
        <v>2500000</v>
      </c>
      <c r="H280" s="44" t="n">
        <f aca="false">IF(I280="","",N(H279)+IF($C$5="Debet",F280-G280,G280-F280))</f>
        <v>-44059706</v>
      </c>
      <c r="I280" s="66" t="n">
        <f aca="false">IF(J280&gt;$K$1,"",IFERROR(MATCH(J280,J_BB,0),""))</f>
        <v>410</v>
      </c>
      <c r="J280" s="66" t="n">
        <v>271</v>
      </c>
      <c r="K280" s="5"/>
    </row>
    <row r="281" customFormat="false" ht="15" hidden="false" customHeight="false" outlineLevel="0" collapsed="false">
      <c r="A281" s="5" t="n">
        <f aca="false">IF(I281="","",J281)</f>
        <v>272</v>
      </c>
      <c r="B281" s="83" t="n">
        <f aca="false">IF(I281="","",INDEX(J_TGL,I281))</f>
        <v>46112</v>
      </c>
      <c r="C281" s="5" t="str">
        <f aca="false">IF(I281="","",INDEX(J_NO,I281))</f>
        <v>JU-0411</v>
      </c>
      <c r="D281" s="5" t="str">
        <f aca="false">IF(I281="","",INDEX(J_KET,I281))</f>
        <v>Tagihan listrik Maret 2026</v>
      </c>
      <c r="E281" s="5" t="str">
        <f aca="false">IF(I281="","",IF(INDEX(J_DEB,I281)=$C$3,INDEX(J_KRE,I281),INDEX(J_DEB,I281)))</f>
        <v>Biaya Tagihan Bulanan</v>
      </c>
      <c r="F281" s="44" t="n">
        <f aca="false">IF(I281="","",IF(INDEX(J_DEB,I281)=$C$3,INDEX(J_NOM,I281),0))</f>
        <v>0</v>
      </c>
      <c r="G281" s="44" t="n">
        <f aca="false">IF(I281="","",IF(INDEX(J_KRE,I281)=$C$3,INDEX(J_NOM,I281),0))</f>
        <v>3936281</v>
      </c>
      <c r="H281" s="44" t="n">
        <f aca="false">IF(I281="","",N(H280)+IF($C$5="Debet",F281-G281,G281-F281))</f>
        <v>-47995987</v>
      </c>
      <c r="I281" s="66" t="n">
        <f aca="false">IF(J281&gt;$K$1,"",IFERROR(MATCH(J281,J_BB,0),""))</f>
        <v>411</v>
      </c>
      <c r="J281" s="66" t="n">
        <v>272</v>
      </c>
      <c r="K281" s="5"/>
    </row>
    <row r="282" customFormat="false" ht="15" hidden="false" customHeight="false" outlineLevel="0" collapsed="false">
      <c r="A282" s="5" t="n">
        <f aca="false">IF(I282="","",J282)</f>
        <v>273</v>
      </c>
      <c r="B282" s="83" t="n">
        <f aca="false">IF(I282="","",INDEX(J_TGL,I282))</f>
        <v>46112</v>
      </c>
      <c r="C282" s="5" t="str">
        <f aca="false">IF(I282="","",INDEX(J_NO,I282))</f>
        <v>JU-0412</v>
      </c>
      <c r="D282" s="5" t="str">
        <f aca="false">IF(I282="","",INDEX(J_KET,I282))</f>
        <v>Tagihan telepon Maret 2026</v>
      </c>
      <c r="E282" s="5" t="str">
        <f aca="false">IF(I282="","",IF(INDEX(J_DEB,I282)=$C$3,INDEX(J_KRE,I282),INDEX(J_DEB,I282)))</f>
        <v>Biaya Tagihan Bulanan</v>
      </c>
      <c r="F282" s="44" t="n">
        <f aca="false">IF(I282="","",IF(INDEX(J_DEB,I282)=$C$3,INDEX(J_NOM,I282),0))</f>
        <v>0</v>
      </c>
      <c r="G282" s="44" t="n">
        <f aca="false">IF(I282="","",IF(INDEX(J_KRE,I282)=$C$3,INDEX(J_NOM,I282),0))</f>
        <v>56891</v>
      </c>
      <c r="H282" s="44" t="n">
        <f aca="false">IF(I282="","",N(H281)+IF($C$5="Debet",F282-G282,G282-F282))</f>
        <v>-48052878</v>
      </c>
      <c r="I282" s="66" t="n">
        <f aca="false">IF(J282&gt;$K$1,"",IFERROR(MATCH(J282,J_BB,0),""))</f>
        <v>412</v>
      </c>
      <c r="J282" s="66" t="n">
        <v>273</v>
      </c>
      <c r="K282" s="5"/>
    </row>
    <row r="283" customFormat="false" ht="15" hidden="false" customHeight="false" outlineLevel="0" collapsed="false">
      <c r="A283" s="5" t="n">
        <f aca="false">IF(I283="","",J283)</f>
        <v>274</v>
      </c>
      <c r="B283" s="83" t="n">
        <f aca="false">IF(I283="","",INDEX(J_TGL,I283))</f>
        <v>46112</v>
      </c>
      <c r="C283" s="5" t="str">
        <f aca="false">IF(I283="","",INDEX(J_NO,I283))</f>
        <v>JU-0413</v>
      </c>
      <c r="D283" s="5" t="str">
        <f aca="false">IF(I283="","",INDEX(J_KET,I283))</f>
        <v>Tagihan internet Maret 2026</v>
      </c>
      <c r="E283" s="5" t="str">
        <f aca="false">IF(I283="","",IF(INDEX(J_DEB,I283)=$C$3,INDEX(J_KRE,I283),INDEX(J_DEB,I283)))</f>
        <v>Biaya Tagihan Bulanan</v>
      </c>
      <c r="F283" s="44" t="n">
        <f aca="false">IF(I283="","",IF(INDEX(J_DEB,I283)=$C$3,INDEX(J_NOM,I283),0))</f>
        <v>0</v>
      </c>
      <c r="G283" s="44" t="n">
        <f aca="false">IF(I283="","",IF(INDEX(J_KRE,I283)=$C$3,INDEX(J_NOM,I283),0))</f>
        <v>383120</v>
      </c>
      <c r="H283" s="44" t="n">
        <f aca="false">IF(I283="","",N(H282)+IF($C$5="Debet",F283-G283,G283-F283))</f>
        <v>-48435998</v>
      </c>
      <c r="I283" s="66" t="n">
        <f aca="false">IF(J283&gt;$K$1,"",IFERROR(MATCH(J283,J_BB,0),""))</f>
        <v>413</v>
      </c>
      <c r="J283" s="66" t="n">
        <v>274</v>
      </c>
      <c r="K283" s="5"/>
    </row>
    <row r="284" customFormat="false" ht="15" hidden="false" customHeight="false" outlineLevel="0" collapsed="false">
      <c r="A284" s="5" t="n">
        <f aca="false">IF(I284="","",J284)</f>
        <v>275</v>
      </c>
      <c r="B284" s="83" t="n">
        <f aca="false">IF(I284="","",INDEX(J_TGL,I284))</f>
        <v>46112</v>
      </c>
      <c r="C284" s="5" t="str">
        <f aca="false">IF(I284="","",INDEX(J_NO,I284))</f>
        <v>JU-0414</v>
      </c>
      <c r="D284" s="5" t="str">
        <f aca="false">IF(I284="","",INDEX(J_KET,I284))</f>
        <v>Menerima pelunasan piutang Einstein tagihan nota Kopi Parang</v>
      </c>
      <c r="E284" s="5" t="str">
        <f aca="false">IF(I284="","",IF(INDEX(J_DEB,I284)=$C$3,INDEX(J_KRE,I284),INDEX(J_DEB,I284)))</f>
        <v>Piutang Lainnya</v>
      </c>
      <c r="F284" s="44" t="n">
        <f aca="false">IF(I284="","",IF(INDEX(J_DEB,I284)=$C$3,INDEX(J_NOM,I284),0))</f>
        <v>273500</v>
      </c>
      <c r="G284" s="44" t="n">
        <f aca="false">IF(I284="","",IF(INDEX(J_KRE,I284)=$C$3,INDEX(J_NOM,I284),0))</f>
        <v>0</v>
      </c>
      <c r="H284" s="44" t="n">
        <f aca="false">IF(I284="","",N(H283)+IF($C$5="Debet",F284-G284,G284-F284))</f>
        <v>-48162498</v>
      </c>
      <c r="I284" s="66" t="n">
        <f aca="false">IF(J284&gt;$K$1,"",IFERROR(MATCH(J284,J_BB,0),""))</f>
        <v>414</v>
      </c>
      <c r="J284" s="66" t="n">
        <v>275</v>
      </c>
      <c r="K284" s="5"/>
    </row>
    <row r="285" customFormat="false" ht="15" hidden="false" customHeight="false" outlineLevel="0" collapsed="false">
      <c r="A285" s="5" t="n">
        <f aca="false">IF(I285="","",J285)</f>
        <v>276</v>
      </c>
      <c r="B285" s="83" t="n">
        <f aca="false">IF(I285="","",INDEX(J_TGL,I285))</f>
        <v>46112</v>
      </c>
      <c r="C285" s="5" t="str">
        <f aca="false">IF(I285="","",INDEX(J_NO,I285))</f>
        <v>JU-0415</v>
      </c>
      <c r="D285" s="5" t="str">
        <f aca="false">IF(I285="","",INDEX(J_KET,I285))</f>
        <v>Menerima pelunasan piutang Einstein pinjam (isi saldo norek BRI)</v>
      </c>
      <c r="E285" s="5" t="str">
        <f aca="false">IF(I285="","",IF(INDEX(J_DEB,I285)=$C$3,INDEX(J_KRE,I285),INDEX(J_DEB,I285)))</f>
        <v>Piutang Lainnya</v>
      </c>
      <c r="F285" s="44" t="n">
        <f aca="false">IF(I285="","",IF(INDEX(J_DEB,I285)=$C$3,INDEX(J_NOM,I285),0))</f>
        <v>800000</v>
      </c>
      <c r="G285" s="44" t="n">
        <f aca="false">IF(I285="","",IF(INDEX(J_KRE,I285)=$C$3,INDEX(J_NOM,I285),0))</f>
        <v>0</v>
      </c>
      <c r="H285" s="44" t="n">
        <f aca="false">IF(I285="","",N(H284)+IF($C$5="Debet",F285-G285,G285-F285))</f>
        <v>-47362498</v>
      </c>
      <c r="I285" s="66" t="n">
        <f aca="false">IF(J285&gt;$K$1,"",IFERROR(MATCH(J285,J_BB,0),""))</f>
        <v>415</v>
      </c>
      <c r="J285" s="66" t="n">
        <v>276</v>
      </c>
      <c r="K285" s="5"/>
    </row>
    <row r="286" customFormat="false" ht="15" hidden="false" customHeight="false" outlineLevel="0" collapsed="false">
      <c r="A286" s="5" t="n">
        <f aca="false">IF(I286="","",J286)</f>
        <v>277</v>
      </c>
      <c r="B286" s="83" t="n">
        <f aca="false">IF(I286="","",INDEX(J_TGL,I286))</f>
        <v>46112</v>
      </c>
      <c r="C286" s="5" t="str">
        <f aca="false">IF(I286="","",INDEX(J_NO,I286))</f>
        <v>JU-0416</v>
      </c>
      <c r="D286" s="5" t="str">
        <f aca="false">IF(I286="","",INDEX(J_KET,I286))</f>
        <v>Menerima pelunasan piutang Yantos</v>
      </c>
      <c r="E286" s="5" t="str">
        <f aca="false">IF(I286="","",IF(INDEX(J_DEB,I286)=$C$3,INDEX(J_KRE,I286),INDEX(J_DEB,I286)))</f>
        <v>Piutang Usaha Cafe</v>
      </c>
      <c r="F286" s="44" t="n">
        <f aca="false">IF(I286="","",IF(INDEX(J_DEB,I286)=$C$3,INDEX(J_NOM,I286),0))</f>
        <v>1000000</v>
      </c>
      <c r="G286" s="44" t="n">
        <f aca="false">IF(I286="","",IF(INDEX(J_KRE,I286)=$C$3,INDEX(J_NOM,I286),0))</f>
        <v>0</v>
      </c>
      <c r="H286" s="44" t="n">
        <f aca="false">IF(I286="","",N(H285)+IF($C$5="Debet",F286-G286,G286-F286))</f>
        <v>-46362498</v>
      </c>
      <c r="I286" s="66" t="n">
        <f aca="false">IF(J286&gt;$K$1,"",IFERROR(MATCH(J286,J_BB,0),""))</f>
        <v>416</v>
      </c>
      <c r="J286" s="66" t="n">
        <v>277</v>
      </c>
      <c r="K286" s="5"/>
    </row>
    <row r="287" customFormat="false" ht="15" hidden="false" customHeight="false" outlineLevel="0" collapsed="false">
      <c r="A287" s="5" t="n">
        <f aca="false">IF(I287="","",J287)</f>
        <v>278</v>
      </c>
      <c r="B287" s="83" t="n">
        <f aca="false">IF(I287="","",INDEX(J_TGL,I287))</f>
        <v>46112</v>
      </c>
      <c r="C287" s="5" t="str">
        <f aca="false">IF(I287="","",INDEX(J_NO,I287))</f>
        <v>JU-0417</v>
      </c>
      <c r="D287" s="5" t="str">
        <f aca="false">IF(I287="","",INDEX(J_KET,I287))</f>
        <v>Menerima pelunasan piutang Yantos (nitip belanja barang) x 30 pouch beans</v>
      </c>
      <c r="E287" s="5" t="str">
        <f aca="false">IF(I287="","",IF(INDEX(J_DEB,I287)=$C$3,INDEX(J_KRE,I287),INDEX(J_DEB,I287)))</f>
        <v>Piutang Usaha Cafe</v>
      </c>
      <c r="F287" s="44" t="n">
        <f aca="false">IF(I287="","",IF(INDEX(J_DEB,I287)=$C$3,INDEX(J_NOM,I287),0))</f>
        <v>157500</v>
      </c>
      <c r="G287" s="44" t="n">
        <f aca="false">IF(I287="","",IF(INDEX(J_KRE,I287)=$C$3,INDEX(J_NOM,I287),0))</f>
        <v>0</v>
      </c>
      <c r="H287" s="44" t="n">
        <f aca="false">IF(I287="","",N(H286)+IF($C$5="Debet",F287-G287,G287-F287))</f>
        <v>-46204998</v>
      </c>
      <c r="I287" s="66" t="n">
        <f aca="false">IF(J287&gt;$K$1,"",IFERROR(MATCH(J287,J_BB,0),""))</f>
        <v>417</v>
      </c>
      <c r="J287" s="66" t="n">
        <v>278</v>
      </c>
      <c r="K287" s="5"/>
    </row>
    <row r="288" customFormat="false" ht="15" hidden="false" customHeight="false" outlineLevel="0" collapsed="false">
      <c r="A288" s="5" t="n">
        <f aca="false">IF(I288="","",J288)</f>
        <v>279</v>
      </c>
      <c r="B288" s="83" t="n">
        <f aca="false">IF(I288="","",INDEX(J_TGL,I288))</f>
        <v>46112</v>
      </c>
      <c r="C288" s="5" t="str">
        <f aca="false">IF(I288="","",INDEX(J_NO,I288))</f>
        <v>JU-0418</v>
      </c>
      <c r="D288" s="5" t="str">
        <f aca="false">IF(I288="","",INDEX(J_KET,I288))</f>
        <v>Menerima pelunasan piutang Yantos (nitip gosend beans) tgl 15 Mar 2026</v>
      </c>
      <c r="E288" s="5" t="str">
        <f aca="false">IF(I288="","",IF(INDEX(J_DEB,I288)=$C$3,INDEX(J_KRE,I288),INDEX(J_DEB,I288)))</f>
        <v>Piutang Usaha Cafe</v>
      </c>
      <c r="F288" s="44" t="n">
        <f aca="false">IF(I288="","",IF(INDEX(J_DEB,I288)=$C$3,INDEX(J_NOM,I288),0))</f>
        <v>19500</v>
      </c>
      <c r="G288" s="44" t="n">
        <f aca="false">IF(I288="","",IF(INDEX(J_KRE,I288)=$C$3,INDEX(J_NOM,I288),0))</f>
        <v>0</v>
      </c>
      <c r="H288" s="44" t="n">
        <f aca="false">IF(I288="","",N(H287)+IF($C$5="Debet",F288-G288,G288-F288))</f>
        <v>-46185498</v>
      </c>
      <c r="I288" s="66" t="n">
        <f aca="false">IF(J288&gt;$K$1,"",IFERROR(MATCH(J288,J_BB,0),""))</f>
        <v>418</v>
      </c>
      <c r="J288" s="66" t="n">
        <v>279</v>
      </c>
      <c r="K288" s="5"/>
    </row>
    <row r="289" customFormat="false" ht="15" hidden="false" customHeight="false" outlineLevel="0" collapsed="false">
      <c r="A289" s="5" t="n">
        <f aca="false">IF(I289="","",J289)</f>
        <v>280</v>
      </c>
      <c r="B289" s="83" t="n">
        <f aca="false">IF(I289="","",INDEX(J_TGL,I289))</f>
        <v>46112</v>
      </c>
      <c r="C289" s="5" t="str">
        <f aca="false">IF(I289="","",INDEX(J_NO,I289))</f>
        <v>JU-0424</v>
      </c>
      <c r="D289" s="5" t="str">
        <f aca="false">IF(I289="","",INDEX(J_KET,I289))</f>
        <v>Pendapatan bunga rekening bank BCA</v>
      </c>
      <c r="E289" s="5" t="str">
        <f aca="false">IF(I289="","",IF(INDEX(J_DEB,I289)=$C$3,INDEX(J_KRE,I289),INDEX(J_DEB,I289)))</f>
        <v>Pendapatan Lainnya</v>
      </c>
      <c r="F289" s="44" t="n">
        <f aca="false">IF(I289="","",IF(INDEX(J_DEB,I289)=$C$3,INDEX(J_NOM,I289),0))</f>
        <v>547</v>
      </c>
      <c r="G289" s="44" t="n">
        <f aca="false">IF(I289="","",IF(INDEX(J_KRE,I289)=$C$3,INDEX(J_NOM,I289),0))</f>
        <v>0</v>
      </c>
      <c r="H289" s="44" t="n">
        <f aca="false">IF(I289="","",N(H288)+IF($C$5="Debet",F289-G289,G289-F289))</f>
        <v>-46184951</v>
      </c>
      <c r="I289" s="66" t="n">
        <f aca="false">IF(J289&gt;$K$1,"",IFERROR(MATCH(J289,J_BB,0),""))</f>
        <v>424</v>
      </c>
      <c r="J289" s="66" t="n">
        <v>280</v>
      </c>
      <c r="K289" s="5"/>
    </row>
    <row r="290" customFormat="false" ht="15" hidden="false" customHeight="false" outlineLevel="0" collapsed="false">
      <c r="A290" s="5" t="n">
        <f aca="false">IF(I290="","",J290)</f>
        <v>281</v>
      </c>
      <c r="B290" s="83" t="n">
        <f aca="false">IF(I290="","",INDEX(J_TGL,I290))</f>
        <v>46112</v>
      </c>
      <c r="C290" s="5" t="str">
        <f aca="false">IF(I290="","",INDEX(J_NO,I290))</f>
        <v>JU-0425</v>
      </c>
      <c r="D290" s="5" t="str">
        <f aca="false">IF(I290="","",INDEX(J_KET,I290))</f>
        <v>Pengeluaran pajak bunga rekening bank BCA</v>
      </c>
      <c r="E290" s="5" t="str">
        <f aca="false">IF(I290="","",IF(INDEX(J_DEB,I290)=$C$3,INDEX(J_KRE,I290),INDEX(J_DEB,I290)))</f>
        <v>Biaya Lainnya</v>
      </c>
      <c r="F290" s="44" t="n">
        <f aca="false">IF(I290="","",IF(INDEX(J_DEB,I290)=$C$3,INDEX(J_NOM,I290),0))</f>
        <v>0</v>
      </c>
      <c r="G290" s="44" t="n">
        <f aca="false">IF(I290="","",IF(INDEX(J_KRE,I290)=$C$3,INDEX(J_NOM,I290),0))</f>
        <v>110</v>
      </c>
      <c r="H290" s="44" t="n">
        <f aca="false">IF(I290="","",N(H289)+IF($C$5="Debet",F290-G290,G290-F290))</f>
        <v>-46185061</v>
      </c>
      <c r="I290" s="66" t="n">
        <f aca="false">IF(J290&gt;$K$1,"",IFERROR(MATCH(J290,J_BB,0),""))</f>
        <v>425</v>
      </c>
      <c r="J290" s="66" t="n">
        <v>281</v>
      </c>
      <c r="K290" s="5"/>
    </row>
    <row r="291" customFormat="false" ht="15" hidden="false" customHeight="false" outlineLevel="0" collapsed="false">
      <c r="A291" s="5" t="n">
        <f aca="false">IF(I291="","",J291)</f>
        <v>282</v>
      </c>
      <c r="B291" s="83" t="n">
        <f aca="false">IF(I291="","",INDEX(J_TGL,I291))</f>
        <v>46112</v>
      </c>
      <c r="C291" s="5" t="str">
        <f aca="false">IF(I291="","",INDEX(J_NO,I291))</f>
        <v>JU-0426</v>
      </c>
      <c r="D291" s="5" t="str">
        <f aca="false">IF(I291="","",INDEX(J_KET,I291))</f>
        <v>koreksi pendapatan bunga rekening bank BCA</v>
      </c>
      <c r="E291" s="5" t="str">
        <f aca="false">IF(I291="","",IF(INDEX(J_DEB,I291)=$C$3,INDEX(J_KRE,I291),INDEX(J_DEB,I291)))</f>
        <v>Pendapatan Lainnya</v>
      </c>
      <c r="F291" s="44" t="n">
        <f aca="false">IF(I291="","",IF(INDEX(J_DEB,I291)=$C$3,INDEX(J_NOM,I291),0))</f>
        <v>3</v>
      </c>
      <c r="G291" s="44" t="n">
        <f aca="false">IF(I291="","",IF(INDEX(J_KRE,I291)=$C$3,INDEX(J_NOM,I291),0))</f>
        <v>0</v>
      </c>
      <c r="H291" s="44" t="n">
        <f aca="false">IF(I291="","",N(H290)+IF($C$5="Debet",F291-G291,G291-F291))</f>
        <v>-46185058</v>
      </c>
      <c r="I291" s="66" t="n">
        <f aca="false">IF(J291&gt;$K$1,"",IFERROR(MATCH(J291,J_BB,0),""))</f>
        <v>426</v>
      </c>
      <c r="J291" s="66" t="n">
        <v>282</v>
      </c>
      <c r="K291" s="5"/>
    </row>
    <row r="292" customFormat="false" ht="15" hidden="false" customHeight="false" outlineLevel="0" collapsed="false">
      <c r="A292" s="5" t="n">
        <f aca="false">IF(I292="","",J292)</f>
        <v>283</v>
      </c>
      <c r="B292" s="83" t="n">
        <f aca="false">IF(I292="","",INDEX(J_TGL,I292))</f>
        <v>46112</v>
      </c>
      <c r="C292" s="5" t="str">
        <f aca="false">IF(I292="","",INDEX(J_NO,I292))</f>
        <v>JU-0428</v>
      </c>
      <c r="D292" s="5" t="str">
        <f aca="false">IF(I292="","",INDEX(J_KET,I292))</f>
        <v>Pajak daerah PBJT-CAFE ke Bank Jateng Bapenda</v>
      </c>
      <c r="E292" s="5" t="str">
        <f aca="false">IF(I292="","",IF(INDEX(J_DEB,I292)=$C$3,INDEX(J_KRE,I292),INDEX(J_DEB,I292)))</f>
        <v>Pajak Restoran</v>
      </c>
      <c r="F292" s="44" t="n">
        <f aca="false">IF(I292="","",IF(INDEX(J_DEB,I292)=$C$3,INDEX(J_NOM,I292),0))</f>
        <v>0</v>
      </c>
      <c r="G292" s="44" t="n">
        <f aca="false">IF(I292="","",IF(INDEX(J_KRE,I292)=$C$3,INDEX(J_NOM,I292),0))</f>
        <v>2310000</v>
      </c>
      <c r="H292" s="44" t="n">
        <f aca="false">IF(I292="","",N(H291)+IF($C$5="Debet",F292-G292,G292-F292))</f>
        <v>-48495058</v>
      </c>
      <c r="I292" s="66" t="n">
        <f aca="false">IF(J292&gt;$K$1,"",IFERROR(MATCH(J292,J_BB,0),""))</f>
        <v>428</v>
      </c>
      <c r="J292" s="66" t="n">
        <v>283</v>
      </c>
      <c r="K292" s="5"/>
    </row>
    <row r="293" customFormat="false" ht="15" hidden="false" customHeight="false" outlineLevel="0" collapsed="false">
      <c r="A293" s="5" t="n">
        <f aca="false">IF(I293="","",J293)</f>
        <v>284</v>
      </c>
      <c r="B293" s="83" t="n">
        <f aca="false">IF(I293="","",INDEX(J_TGL,I293))</f>
        <v>46112</v>
      </c>
      <c r="C293" s="5" t="str">
        <f aca="false">IF(I293="","",INDEX(J_NO,I293))</f>
        <v>JU-0429</v>
      </c>
      <c r="D293" s="5" t="str">
        <f aca="false">IF(I293="","",INDEX(J_KET,I293))</f>
        <v>Denda terlambat pembayaran pajak daerah</v>
      </c>
      <c r="E293" s="5" t="str">
        <f aca="false">IF(I293="","",IF(INDEX(J_DEB,I293)=$C$3,INDEX(J_KRE,I293),INDEX(J_DEB,I293)))</f>
        <v>Biaya Lainnya</v>
      </c>
      <c r="F293" s="44" t="n">
        <f aca="false">IF(I293="","",IF(INDEX(J_DEB,I293)=$C$3,INDEX(J_NOM,I293),0))</f>
        <v>0</v>
      </c>
      <c r="G293" s="44" t="n">
        <f aca="false">IF(I293="","",IF(INDEX(J_KRE,I293)=$C$3,INDEX(J_NOM,I293),0))</f>
        <v>23100</v>
      </c>
      <c r="H293" s="44" t="n">
        <f aca="false">IF(I293="","",N(H292)+IF($C$5="Debet",F293-G293,G293-F293))</f>
        <v>-48518158</v>
      </c>
      <c r="I293" s="66" t="n">
        <f aca="false">IF(J293&gt;$K$1,"",IFERROR(MATCH(J293,J_BB,0),""))</f>
        <v>429</v>
      </c>
      <c r="J293" s="66" t="n">
        <v>284</v>
      </c>
      <c r="K293" s="5"/>
    </row>
    <row r="294" customFormat="false" ht="15" hidden="false" customHeight="false" outlineLevel="0" collapsed="false">
      <c r="A294" s="5" t="n">
        <f aca="false">IF(I294="","",J294)</f>
        <v>285</v>
      </c>
      <c r="B294" s="83" t="n">
        <f aca="false">IF(I294="","",INDEX(J_TGL,I294))</f>
        <v>46112</v>
      </c>
      <c r="C294" s="5" t="str">
        <f aca="false">IF(I294="","",INDEX(J_NO,I294))</f>
        <v>JU-0430</v>
      </c>
      <c r="D294" s="5" t="str">
        <f aca="false">IF(I294="","",INDEX(J_KET,I294))</f>
        <v>Biaya transfer beda bank. BCA ke Bank Jateng</v>
      </c>
      <c r="E294" s="5" t="str">
        <f aca="false">IF(I294="","",IF(INDEX(J_DEB,I294)=$C$3,INDEX(J_KRE,I294),INDEX(J_DEB,I294)))</f>
        <v>Biaya Lainnya</v>
      </c>
      <c r="F294" s="44" t="n">
        <f aca="false">IF(I294="","",IF(INDEX(J_DEB,I294)=$C$3,INDEX(J_NOM,I294),0))</f>
        <v>0</v>
      </c>
      <c r="G294" s="44" t="n">
        <f aca="false">IF(I294="","",IF(INDEX(J_KRE,I294)=$C$3,INDEX(J_NOM,I294),0))</f>
        <v>5000</v>
      </c>
      <c r="H294" s="44" t="n">
        <f aca="false">IF(I294="","",N(H293)+IF($C$5="Debet",F294-G294,G294-F294))</f>
        <v>-48523158</v>
      </c>
      <c r="I294" s="66" t="n">
        <f aca="false">IF(J294&gt;$K$1,"",IFERROR(MATCH(J294,J_BB,0),""))</f>
        <v>430</v>
      </c>
      <c r="J294" s="66" t="n">
        <v>285</v>
      </c>
      <c r="K294" s="5"/>
    </row>
    <row r="295" customFormat="false" ht="15" hidden="false" customHeight="false" outlineLevel="0" collapsed="false">
      <c r="A295" s="5" t="n">
        <f aca="false">IF(I295="","",J295)</f>
        <v>286</v>
      </c>
      <c r="B295" s="83" t="n">
        <f aca="false">IF(I295="","",INDEX(J_TGL,I295))</f>
        <v>46112</v>
      </c>
      <c r="C295" s="5" t="str">
        <f aca="false">IF(I295="","",INDEX(J_NO,I295))</f>
        <v>JU-0433</v>
      </c>
      <c r="D295" s="5" t="str">
        <f aca="false">IF(I295="","",INDEX(J_KET,I295))</f>
        <v>Realisasi EDC/QRIS omzet bulan Maret</v>
      </c>
      <c r="E295" s="5" t="str">
        <f aca="false">IF(I295="","",IF(INDEX(J_DEB,I295)=$C$3,INDEX(J_KRE,I295),INDEX(J_DEB,I295)))</f>
        <v>Piutang Usaha Cafe</v>
      </c>
      <c r="F295" s="44" t="n">
        <f aca="false">IF(I295="","",IF(INDEX(J_DEB,I295)=$C$3,INDEX(J_NOM,I295),0))</f>
        <v>70132244</v>
      </c>
      <c r="G295" s="44" t="n">
        <f aca="false">IF(I295="","",IF(INDEX(J_KRE,I295)=$C$3,INDEX(J_NOM,I295),0))</f>
        <v>0</v>
      </c>
      <c r="H295" s="44" t="n">
        <f aca="false">IF(I295="","",N(H294)+IF($C$5="Debet",F295-G295,G295-F295))</f>
        <v>21609086</v>
      </c>
      <c r="I295" s="66" t="n">
        <f aca="false">IF(J295&gt;$K$1,"",IFERROR(MATCH(J295,J_BB,0),""))</f>
        <v>433</v>
      </c>
      <c r="J295" s="66" t="n">
        <v>286</v>
      </c>
      <c r="K295" s="5"/>
    </row>
    <row r="296" customFormat="false" ht="15" hidden="false" customHeight="false" outlineLevel="0" collapsed="false">
      <c r="A296" s="5" t="n">
        <f aca="false">IF(I296="","",J296)</f>
        <v>287</v>
      </c>
      <c r="B296" s="83" t="n">
        <f aca="false">IF(I296="","",INDEX(J_TGL,I296))</f>
        <v>46113</v>
      </c>
      <c r="C296" s="5" t="str">
        <f aca="false">IF(I296="","",INDEX(J_NO,I296))</f>
        <v>JU-0439</v>
      </c>
      <c r="D296" s="5" t="str">
        <f aca="false">IF(I296="","",INDEX(J_KET,I296))</f>
        <v>Pembayaran pelunasan pesan minyak bimoli 18L x 4 jerigen</v>
      </c>
      <c r="E296" s="5" t="str">
        <f aca="false">IF(I296="","",IF(INDEX(J_DEB,I296)=$C$3,INDEX(J_KRE,I296),INDEX(J_DEB,I296)))</f>
        <v>Biaya Bahan Baku</v>
      </c>
      <c r="F296" s="44" t="n">
        <f aca="false">IF(I296="","",IF(INDEX(J_DEB,I296)=$C$3,INDEX(J_NOM,I296),0))</f>
        <v>0</v>
      </c>
      <c r="G296" s="44" t="n">
        <f aca="false">IF(I296="","",IF(INDEX(J_KRE,I296)=$C$3,INDEX(J_NOM,I296),0))</f>
        <v>830000</v>
      </c>
      <c r="H296" s="44" t="n">
        <f aca="false">IF(I296="","",N(H295)+IF($C$5="Debet",F296-G296,G296-F296))</f>
        <v>20779086</v>
      </c>
      <c r="I296" s="66" t="n">
        <f aca="false">IF(J296&gt;$K$1,"",IFERROR(MATCH(J296,J_BB,0),""))</f>
        <v>439</v>
      </c>
      <c r="J296" s="66" t="n">
        <v>287</v>
      </c>
      <c r="K296" s="5"/>
    </row>
    <row r="297" customFormat="false" ht="15" hidden="false" customHeight="false" outlineLevel="0" collapsed="false">
      <c r="A297" s="5" t="n">
        <f aca="false">IF(I297="","",J297)</f>
        <v>288</v>
      </c>
      <c r="B297" s="83" t="n">
        <f aca="false">IF(I297="","",INDEX(J_TGL,I297))</f>
        <v>46113</v>
      </c>
      <c r="C297" s="5" t="str">
        <f aca="false">IF(I297="","",INDEX(J_NO,I297))</f>
        <v>JU-0441</v>
      </c>
      <c r="D297" s="5" t="str">
        <f aca="false">IF(I297="","",INDEX(J_KET,I297))</f>
        <v>Pindah dana BCA ke tunai (tukar pecah TJA)</v>
      </c>
      <c r="E297" s="5" t="str">
        <f aca="false">IF(I297="","",IF(INDEX(J_DEB,I297)=$C$3,INDEX(J_KRE,I297),INDEX(J_DEB,I297)))</f>
        <v>Kas Tunai</v>
      </c>
      <c r="F297" s="44" t="n">
        <f aca="false">IF(I297="","",IF(INDEX(J_DEB,I297)=$C$3,INDEX(J_NOM,I297),0))</f>
        <v>0</v>
      </c>
      <c r="G297" s="44" t="n">
        <f aca="false">IF(I297="","",IF(INDEX(J_KRE,I297)=$C$3,INDEX(J_NOM,I297),0))</f>
        <v>3000000</v>
      </c>
      <c r="H297" s="44" t="n">
        <f aca="false">IF(I297="","",N(H296)+IF($C$5="Debet",F297-G297,G297-F297))</f>
        <v>17779086</v>
      </c>
      <c r="I297" s="66" t="n">
        <f aca="false">IF(J297&gt;$K$1,"",IFERROR(MATCH(J297,J_BB,0),""))</f>
        <v>441</v>
      </c>
      <c r="J297" s="66" t="n">
        <v>288</v>
      </c>
      <c r="K297" s="5"/>
    </row>
    <row r="298" customFormat="false" ht="15" hidden="false" customHeight="false" outlineLevel="0" collapsed="false">
      <c r="A298" s="5" t="n">
        <f aca="false">IF(I298="","",J298)</f>
        <v>289</v>
      </c>
      <c r="B298" s="83" t="n">
        <f aca="false">IF(I298="","",INDEX(J_TGL,I298))</f>
        <v>46113</v>
      </c>
      <c r="C298" s="5" t="str">
        <f aca="false">IF(I298="","",INDEX(J_NO,I298))</f>
        <v>JU-0442</v>
      </c>
      <c r="D298" s="5" t="str">
        <f aca="false">IF(I298="","",INDEX(J_KET,I298))</f>
        <v>Pindah dana tunai ke BCA (setor tunai by Bank)</v>
      </c>
      <c r="E298" s="5" t="str">
        <f aca="false">IF(I298="","",IF(INDEX(J_DEB,I298)=$C$3,INDEX(J_KRE,I298),INDEX(J_DEB,I298)))</f>
        <v>Kas Tunai</v>
      </c>
      <c r="F298" s="44" t="n">
        <f aca="false">IF(I298="","",IF(INDEX(J_DEB,I298)=$C$3,INDEX(J_NOM,I298),0))</f>
        <v>922000</v>
      </c>
      <c r="G298" s="44" t="n">
        <f aca="false">IF(I298="","",IF(INDEX(J_KRE,I298)=$C$3,INDEX(J_NOM,I298),0))</f>
        <v>0</v>
      </c>
      <c r="H298" s="44" t="n">
        <f aca="false">IF(I298="","",N(H297)+IF($C$5="Debet",F298-G298,G298-F298))</f>
        <v>18701086</v>
      </c>
      <c r="I298" s="66" t="n">
        <f aca="false">IF(J298&gt;$K$1,"",IFERROR(MATCH(J298,J_BB,0),""))</f>
        <v>442</v>
      </c>
      <c r="J298" s="66" t="n">
        <v>289</v>
      </c>
      <c r="K298" s="5"/>
    </row>
    <row r="299" customFormat="false" ht="15" hidden="false" customHeight="false" outlineLevel="0" collapsed="false">
      <c r="A299" s="5" t="n">
        <f aca="false">IF(I299="","",J299)</f>
        <v>290</v>
      </c>
      <c r="B299" s="83" t="n">
        <f aca="false">IF(I299="","",INDEX(J_TGL,I299))</f>
        <v>46114</v>
      </c>
      <c r="C299" s="5" t="str">
        <f aca="false">IF(I299="","",INDEX(J_NO,I299))</f>
        <v>JU-0445</v>
      </c>
      <c r="D299" s="5" t="str">
        <f aca="false">IF(I299="","",INDEX(J_KET,I299))</f>
        <v>Belanja susu freshmilk gf x 3 karton</v>
      </c>
      <c r="E299" s="5" t="str">
        <f aca="false">IF(I299="","",IF(INDEX(J_DEB,I299)=$C$3,INDEX(J_KRE,I299),INDEX(J_DEB,I299)))</f>
        <v>Biaya Bahan Baku</v>
      </c>
      <c r="F299" s="44" t="n">
        <f aca="false">IF(I299="","",IF(INDEX(J_DEB,I299)=$C$3,INDEX(J_NOM,I299),0))</f>
        <v>0</v>
      </c>
      <c r="G299" s="44" t="n">
        <f aca="false">IF(I299="","",IF(INDEX(J_KRE,I299)=$C$3,INDEX(J_NOM,I299),0))</f>
        <v>741000</v>
      </c>
      <c r="H299" s="44" t="n">
        <f aca="false">IF(I299="","",N(H298)+IF($C$5="Debet",F299-G299,G299-F299))</f>
        <v>17960086</v>
      </c>
      <c r="I299" s="66" t="n">
        <f aca="false">IF(J299&gt;$K$1,"",IFERROR(MATCH(J299,J_BB,0),""))</f>
        <v>445</v>
      </c>
      <c r="J299" s="66" t="n">
        <v>290</v>
      </c>
      <c r="K299" s="5"/>
    </row>
    <row r="300" customFormat="false" ht="15" hidden="false" customHeight="false" outlineLevel="0" collapsed="false">
      <c r="A300" s="5" t="n">
        <f aca="false">IF(I300="","",J300)</f>
        <v>291</v>
      </c>
      <c r="B300" s="83" t="n">
        <f aca="false">IF(I300="","",INDEX(J_TGL,I300))</f>
        <v>46114</v>
      </c>
      <c r="C300" s="5" t="str">
        <f aca="false">IF(I300="","",INDEX(J_NO,I300))</f>
        <v>JU-0446</v>
      </c>
      <c r="D300" s="5" t="str">
        <f aca="false">IF(I300="","",INDEX(J_KET,I300))</f>
        <v>Membayar Manhattan Quesillo 2 batch 21 pcs</v>
      </c>
      <c r="E300" s="5" t="str">
        <f aca="false">IF(I300="","",IF(INDEX(J_DEB,I300)=$C$3,INDEX(J_KRE,I300),INDEX(J_DEB,I300)))</f>
        <v>Biaya Bahan Baku</v>
      </c>
      <c r="F300" s="44" t="n">
        <f aca="false">IF(I300="","",IF(INDEX(J_DEB,I300)=$C$3,INDEX(J_NOM,I300),0))</f>
        <v>0</v>
      </c>
      <c r="G300" s="44" t="n">
        <f aca="false">IF(I300="","",IF(INDEX(J_KRE,I300)=$C$3,INDEX(J_NOM,I300),0))</f>
        <v>315000</v>
      </c>
      <c r="H300" s="44" t="n">
        <f aca="false">IF(I300="","",N(H299)+IF($C$5="Debet",F300-G300,G300-F300))</f>
        <v>17645086</v>
      </c>
      <c r="I300" s="66" t="n">
        <f aca="false">IF(J300&gt;$K$1,"",IFERROR(MATCH(J300,J_BB,0),""))</f>
        <v>446</v>
      </c>
      <c r="J300" s="66" t="n">
        <v>291</v>
      </c>
      <c r="K300" s="5"/>
    </row>
    <row r="301" customFormat="false" ht="15" hidden="false" customHeight="false" outlineLevel="0" collapsed="false">
      <c r="A301" s="5" t="n">
        <f aca="false">IF(I301="","",J301)</f>
        <v>292</v>
      </c>
      <c r="B301" s="83" t="n">
        <f aca="false">IF(I301="","",INDEX(J_TGL,I301))</f>
        <v>46115</v>
      </c>
      <c r="C301" s="5" t="str">
        <f aca="false">IF(I301="","",INDEX(J_NO,I301))</f>
        <v>JU-0447</v>
      </c>
      <c r="D301" s="5" t="str">
        <f aca="false">IF(I301="","",INDEX(J_KET,I301))</f>
        <v>Pindah dana tunai ke BCA (tukar uang)</v>
      </c>
      <c r="E301" s="5" t="str">
        <f aca="false">IF(I301="","",IF(INDEX(J_DEB,I301)=$C$3,INDEX(J_KRE,I301),INDEX(J_DEB,I301)))</f>
        <v>Kas Tunai</v>
      </c>
      <c r="F301" s="44" t="n">
        <f aca="false">IF(I301="","",IF(INDEX(J_DEB,I301)=$C$3,INDEX(J_NOM,I301),0))</f>
        <v>5000000</v>
      </c>
      <c r="G301" s="44" t="n">
        <f aca="false">IF(I301="","",IF(INDEX(J_KRE,I301)=$C$3,INDEX(J_NOM,I301),0))</f>
        <v>0</v>
      </c>
      <c r="H301" s="44" t="n">
        <f aca="false">IF(I301="","",N(H300)+IF($C$5="Debet",F301-G301,G301-F301))</f>
        <v>22645086</v>
      </c>
      <c r="I301" s="66" t="n">
        <f aca="false">IF(J301&gt;$K$1,"",IFERROR(MATCH(J301,J_BB,0),""))</f>
        <v>447</v>
      </c>
      <c r="J301" s="66" t="n">
        <v>292</v>
      </c>
      <c r="K301" s="5"/>
    </row>
    <row r="302" customFormat="false" ht="15" hidden="false" customHeight="false" outlineLevel="0" collapsed="false">
      <c r="A302" s="5" t="n">
        <f aca="false">IF(I302="","",J302)</f>
        <v>293</v>
      </c>
      <c r="B302" s="83" t="n">
        <f aca="false">IF(I302="","",INDEX(J_TGL,I302))</f>
        <v>46115</v>
      </c>
      <c r="C302" s="5" t="str">
        <f aca="false">IF(I302="","",INDEX(J_NO,I302))</f>
        <v>JU-0448</v>
      </c>
      <c r="D302" s="5" t="str">
        <f aca="false">IF(I302="","",INDEX(J_KET,I302))</f>
        <v>Belanja churros frozen x 400pcs</v>
      </c>
      <c r="E302" s="5" t="str">
        <f aca="false">IF(I302="","",IF(INDEX(J_DEB,I302)=$C$3,INDEX(J_KRE,I302),INDEX(J_DEB,I302)))</f>
        <v>Biaya Bahan Baku</v>
      </c>
      <c r="F302" s="44" t="n">
        <f aca="false">IF(I302="","",IF(INDEX(J_DEB,I302)=$C$3,INDEX(J_NOM,I302),0))</f>
        <v>0</v>
      </c>
      <c r="G302" s="44" t="n">
        <f aca="false">IF(I302="","",IF(INDEX(J_KRE,I302)=$C$3,INDEX(J_NOM,I302),0))</f>
        <v>480000</v>
      </c>
      <c r="H302" s="44" t="n">
        <f aca="false">IF(I302="","",N(H301)+IF($C$5="Debet",F302-G302,G302-F302))</f>
        <v>22165086</v>
      </c>
      <c r="I302" s="66" t="n">
        <f aca="false">IF(J302&gt;$K$1,"",IFERROR(MATCH(J302,J_BB,0),""))</f>
        <v>448</v>
      </c>
      <c r="J302" s="66" t="n">
        <v>293</v>
      </c>
      <c r="K302" s="5"/>
    </row>
    <row r="303" customFormat="false" ht="15" hidden="false" customHeight="false" outlineLevel="0" collapsed="false">
      <c r="A303" s="5" t="n">
        <f aca="false">IF(I303="","",J303)</f>
        <v>294</v>
      </c>
      <c r="B303" s="83" t="n">
        <f aca="false">IF(I303="","",INDEX(J_TGL,I303))</f>
        <v>46115</v>
      </c>
      <c r="C303" s="5" t="str">
        <f aca="false">IF(I303="","",INDEX(J_NO,I303))</f>
        <v>JU-0449</v>
      </c>
      <c r="D303" s="5" t="str">
        <f aca="false">IF(I303="","",INDEX(J_KET,I303))</f>
        <v>saldo Kopi Parang masuk rekening Einstein</v>
      </c>
      <c r="E303" s="5" t="str">
        <f aca="false">IF(I303="","",IF(INDEX(J_DEB,I303)=$C$3,INDEX(J_KRE,I303),INDEX(J_DEB,I303)))</f>
        <v>Piutang Lainnya</v>
      </c>
      <c r="F303" s="44" t="n">
        <f aca="false">IF(I303="","",IF(INDEX(J_DEB,I303)=$C$3,INDEX(J_NOM,I303),0))</f>
        <v>0</v>
      </c>
      <c r="G303" s="44" t="n">
        <f aca="false">IF(I303="","",IF(INDEX(J_KRE,I303)=$C$3,INDEX(J_NOM,I303),0))</f>
        <v>500000</v>
      </c>
      <c r="H303" s="44" t="n">
        <f aca="false">IF(I303="","",N(H302)+IF($C$5="Debet",F303-G303,G303-F303))</f>
        <v>21665086</v>
      </c>
      <c r="I303" s="66" t="n">
        <f aca="false">IF(J303&gt;$K$1,"",IFERROR(MATCH(J303,J_BB,0),""))</f>
        <v>449</v>
      </c>
      <c r="J303" s="66" t="n">
        <v>294</v>
      </c>
      <c r="K303" s="5"/>
    </row>
    <row r="304" customFormat="false" ht="15" hidden="false" customHeight="false" outlineLevel="0" collapsed="false">
      <c r="A304" s="5" t="n">
        <f aca="false">IF(I304="","",J304)</f>
        <v>295</v>
      </c>
      <c r="B304" s="83" t="n">
        <f aca="false">IF(I304="","",INDEX(J_TGL,I304))</f>
        <v>46115</v>
      </c>
      <c r="C304" s="5" t="str">
        <f aca="false">IF(I304="","",INDEX(J_NO,I304))</f>
        <v>JU-0450</v>
      </c>
      <c r="D304" s="5" t="str">
        <f aca="false">IF(I304="","",INDEX(J_KET,I304))</f>
        <v>Belanja alat tiang bracket display 1.5m x 8 pcs &amp; daun bracket kayu 40cm x 24 pcs</v>
      </c>
      <c r="E304" s="5" t="str">
        <f aca="false">IF(I304="","",IF(INDEX(J_DEB,I304)=$C$3,INDEX(J_KRE,I304),INDEX(J_DEB,I304)))</f>
        <v>Beban Perlengkapan</v>
      </c>
      <c r="F304" s="44" t="n">
        <f aca="false">IF(I304="","",IF(INDEX(J_DEB,I304)=$C$3,INDEX(J_NOM,I304),0))</f>
        <v>0</v>
      </c>
      <c r="G304" s="44" t="n">
        <f aca="false">IF(I304="","",IF(INDEX(J_KRE,I304)=$C$3,INDEX(J_NOM,I304),0))</f>
        <v>1268852</v>
      </c>
      <c r="H304" s="44" t="n">
        <f aca="false">IF(I304="","",N(H303)+IF($C$5="Debet",F304-G304,G304-F304))</f>
        <v>20396234</v>
      </c>
      <c r="I304" s="66" t="n">
        <f aca="false">IF(J304&gt;$K$1,"",IFERROR(MATCH(J304,J_BB,0),""))</f>
        <v>450</v>
      </c>
      <c r="J304" s="66" t="n">
        <v>295</v>
      </c>
      <c r="K304" s="5"/>
    </row>
    <row r="305" customFormat="false" ht="15" hidden="false" customHeight="false" outlineLevel="0" collapsed="false">
      <c r="A305" s="5" t="n">
        <f aca="false">IF(I305="","",J305)</f>
        <v>296</v>
      </c>
      <c r="B305" s="83" t="n">
        <f aca="false">IF(I305="","",INDEX(J_TGL,I305))</f>
        <v>46116</v>
      </c>
      <c r="C305" s="5" t="str">
        <f aca="false">IF(I305="","",INDEX(J_NO,I305))</f>
        <v>JU-0451</v>
      </c>
      <c r="D305" s="5" t="str">
        <f aca="false">IF(I305="","",INDEX(J_KET,I305))</f>
        <v>Belanja afur wastafel bibir saringan 1 1/2"</v>
      </c>
      <c r="E305" s="5" t="str">
        <f aca="false">IF(I305="","",IF(INDEX(J_DEB,I305)=$C$3,INDEX(J_KRE,I305),INDEX(J_DEB,I305)))</f>
        <v>Beban Perlengkapan</v>
      </c>
      <c r="F305" s="44" t="n">
        <f aca="false">IF(I305="","",IF(INDEX(J_DEB,I305)=$C$3,INDEX(J_NOM,I305),0))</f>
        <v>0</v>
      </c>
      <c r="G305" s="44" t="n">
        <f aca="false">IF(I305="","",IF(INDEX(J_KRE,I305)=$C$3,INDEX(J_NOM,I305),0))</f>
        <v>32247</v>
      </c>
      <c r="H305" s="44" t="n">
        <f aca="false">IF(I305="","",N(H304)+IF($C$5="Debet",F305-G305,G305-F305))</f>
        <v>20363987</v>
      </c>
      <c r="I305" s="66" t="n">
        <f aca="false">IF(J305&gt;$K$1,"",IFERROR(MATCH(J305,J_BB,0),""))</f>
        <v>451</v>
      </c>
      <c r="J305" s="66" t="n">
        <v>296</v>
      </c>
      <c r="K305" s="5"/>
    </row>
    <row r="306" customFormat="false" ht="15" hidden="false" customHeight="false" outlineLevel="0" collapsed="false">
      <c r="A306" s="5" t="n">
        <f aca="false">IF(I306="","",J306)</f>
        <v>297</v>
      </c>
      <c r="B306" s="83" t="n">
        <f aca="false">IF(I306="","",INDEX(J_TGL,I306))</f>
        <v>46116</v>
      </c>
      <c r="C306" s="5" t="str">
        <f aca="false">IF(I306="","",INDEX(J_NO,I306))</f>
        <v>JU-0452</v>
      </c>
      <c r="D306" s="5" t="str">
        <f aca="false">IF(I306="","",INDEX(J_KET,I306))</f>
        <v>Einstein pinjam dulu sembari mengurus masalah akun BRI Bisnisnya</v>
      </c>
      <c r="E306" s="5" t="str">
        <f aca="false">IF(I306="","",IF(INDEX(J_DEB,I306)=$C$3,INDEX(J_KRE,I306),INDEX(J_DEB,I306)))</f>
        <v>Piutang Lainnya</v>
      </c>
      <c r="F306" s="44" t="n">
        <f aca="false">IF(I306="","",IF(INDEX(J_DEB,I306)=$C$3,INDEX(J_NOM,I306),0))</f>
        <v>0</v>
      </c>
      <c r="G306" s="44" t="n">
        <f aca="false">IF(I306="","",IF(INDEX(J_KRE,I306)=$C$3,INDEX(J_NOM,I306),0))</f>
        <v>800000</v>
      </c>
      <c r="H306" s="44" t="n">
        <f aca="false">IF(I306="","",N(H305)+IF($C$5="Debet",F306-G306,G306-F306))</f>
        <v>19563987</v>
      </c>
      <c r="I306" s="66" t="n">
        <f aca="false">IF(J306&gt;$K$1,"",IFERROR(MATCH(J306,J_BB,0),""))</f>
        <v>452</v>
      </c>
      <c r="J306" s="66" t="n">
        <v>297</v>
      </c>
      <c r="K306" s="5"/>
    </row>
    <row r="307" customFormat="false" ht="15" hidden="false" customHeight="false" outlineLevel="0" collapsed="false">
      <c r="A307" s="5" t="n">
        <f aca="false">IF(I307="","",J307)</f>
        <v>298</v>
      </c>
      <c r="B307" s="83" t="n">
        <f aca="false">IF(I307="","",INDEX(J_TGL,I307))</f>
        <v>46116</v>
      </c>
      <c r="C307" s="5" t="str">
        <f aca="false">IF(I307="","",INDEX(J_NO,I307))</f>
        <v>JU-0453</v>
      </c>
      <c r="D307" s="5" t="str">
        <f aca="false">IF(I307="","",INDEX(J_KET,I307))</f>
        <v>Biaya transfer</v>
      </c>
      <c r="E307" s="5" t="str">
        <f aca="false">IF(I307="","",IF(INDEX(J_DEB,I307)=$C$3,INDEX(J_KRE,I307),INDEX(J_DEB,I307)))</f>
        <v>Biaya Lainnya</v>
      </c>
      <c r="F307" s="44" t="n">
        <f aca="false">IF(I307="","",IF(INDEX(J_DEB,I307)=$C$3,INDEX(J_NOM,I307),0))</f>
        <v>0</v>
      </c>
      <c r="G307" s="44" t="n">
        <f aca="false">IF(I307="","",IF(INDEX(J_KRE,I307)=$C$3,INDEX(J_NOM,I307),0))</f>
        <v>339</v>
      </c>
      <c r="H307" s="44" t="n">
        <f aca="false">IF(I307="","",N(H306)+IF($C$5="Debet",F307-G307,G307-F307))</f>
        <v>19563648</v>
      </c>
      <c r="I307" s="66" t="n">
        <f aca="false">IF(J307&gt;$K$1,"",IFERROR(MATCH(J307,J_BB,0),""))</f>
        <v>453</v>
      </c>
      <c r="J307" s="66" t="n">
        <v>298</v>
      </c>
      <c r="K307" s="5"/>
    </row>
    <row r="308" customFormat="false" ht="15" hidden="false" customHeight="false" outlineLevel="0" collapsed="false">
      <c r="A308" s="5" t="n">
        <f aca="false">IF(I308="","",J308)</f>
        <v>299</v>
      </c>
      <c r="B308" s="83" t="n">
        <f aca="false">IF(I308="","",INDEX(J_TGL,I308))</f>
        <v>46116</v>
      </c>
      <c r="C308" s="5" t="str">
        <f aca="false">IF(I308="","",INDEX(J_NO,I308))</f>
        <v>JU-0454</v>
      </c>
      <c r="D308" s="5" t="str">
        <f aca="false">IF(I308="","",INDEX(J_KET,I308))</f>
        <v>Belanja unlock water x 8 galon</v>
      </c>
      <c r="E308" s="5" t="str">
        <f aca="false">IF(I308="","",IF(INDEX(J_DEB,I308)=$C$3,INDEX(J_KRE,I308),INDEX(J_DEB,I308)))</f>
        <v>Biaya Bahan Baku</v>
      </c>
      <c r="F308" s="44" t="n">
        <f aca="false">IF(I308="","",IF(INDEX(J_DEB,I308)=$C$3,INDEX(J_NOM,I308),0))</f>
        <v>0</v>
      </c>
      <c r="G308" s="44" t="n">
        <f aca="false">IF(I308="","",IF(INDEX(J_KRE,I308)=$C$3,INDEX(J_NOM,I308),0))</f>
        <v>152000</v>
      </c>
      <c r="H308" s="44" t="n">
        <f aca="false">IF(I308="","",N(H307)+IF($C$5="Debet",F308-G308,G308-F308))</f>
        <v>19411648</v>
      </c>
      <c r="I308" s="66" t="n">
        <f aca="false">IF(J308&gt;$K$1,"",IFERROR(MATCH(J308,J_BB,0),""))</f>
        <v>454</v>
      </c>
      <c r="J308" s="66" t="n">
        <v>299</v>
      </c>
      <c r="K308" s="5"/>
    </row>
    <row r="309" customFormat="false" ht="15" hidden="false" customHeight="false" outlineLevel="0" collapsed="false">
      <c r="A309" s="5" t="n">
        <f aca="false">IF(I309="","",J309)</f>
        <v>300</v>
      </c>
      <c r="B309" s="83" t="n">
        <f aca="false">IF(I309="","",INDEX(J_TGL,I309))</f>
        <v>46116</v>
      </c>
      <c r="C309" s="5" t="str">
        <f aca="false">IF(I309="","",INDEX(J_NO,I309))</f>
        <v>JU-0455</v>
      </c>
      <c r="D309" s="5" t="str">
        <f aca="false">IF(I309="","",INDEX(J_KET,I309))</f>
        <v>Kembalian belanja olshop : storage box, kursi lipat, afur</v>
      </c>
      <c r="E309" s="5" t="str">
        <f aca="false">IF(I309="","",IF(INDEX(J_DEB,I309)=$C$3,INDEX(J_KRE,I309),INDEX(J_DEB,I309)))</f>
        <v>Pendapatan Lainnya</v>
      </c>
      <c r="F309" s="44" t="n">
        <f aca="false">IF(I309="","",IF(INDEX(J_DEB,I309)=$C$3,INDEX(J_NOM,I309),0))</f>
        <v>32782</v>
      </c>
      <c r="G309" s="44" t="n">
        <f aca="false">IF(I309="","",IF(INDEX(J_KRE,I309)=$C$3,INDEX(J_NOM,I309),0))</f>
        <v>0</v>
      </c>
      <c r="H309" s="44" t="n">
        <f aca="false">IF(I309="","",N(H308)+IF($C$5="Debet",F309-G309,G309-F309))</f>
        <v>19444430</v>
      </c>
      <c r="I309" s="66" t="n">
        <f aca="false">IF(J309&gt;$K$1,"",IFERROR(MATCH(J309,J_BB,0),""))</f>
        <v>455</v>
      </c>
      <c r="J309" s="66" t="n">
        <v>300</v>
      </c>
      <c r="K309" s="5"/>
    </row>
    <row r="310" customFormat="false" ht="15" hidden="false" customHeight="false" outlineLevel="0" collapsed="false">
      <c r="A310" s="5" t="n">
        <f aca="false">IF(I310="","",J310)</f>
        <v>301</v>
      </c>
      <c r="B310" s="83" t="n">
        <f aca="false">IF(I310="","",INDEX(J_TGL,I310))</f>
        <v>46116</v>
      </c>
      <c r="C310" s="5" t="str">
        <f aca="false">IF(I310="","",INDEX(J_NO,I310))</f>
        <v>JU-0456</v>
      </c>
      <c r="D310" s="5" t="str">
        <f aca="false">IF(I310="","",INDEX(J_KET,I310))</f>
        <v>koreksi</v>
      </c>
      <c r="E310" s="5" t="str">
        <f aca="false">IF(I310="","",IF(INDEX(J_DEB,I310)=$C$3,INDEX(J_KRE,I310),INDEX(J_DEB,I310)))</f>
        <v>Biaya Lainnya</v>
      </c>
      <c r="F310" s="44" t="n">
        <f aca="false">IF(I310="","",IF(INDEX(J_DEB,I310)=$C$3,INDEX(J_NOM,I310),0))</f>
        <v>0</v>
      </c>
      <c r="G310" s="44" t="n">
        <f aca="false">IF(I310="","",IF(INDEX(J_KRE,I310)=$C$3,INDEX(J_NOM,I310),0))</f>
        <v>19000</v>
      </c>
      <c r="H310" s="44" t="n">
        <f aca="false">IF(I310="","",N(H309)+IF($C$5="Debet",F310-G310,G310-F310))</f>
        <v>19425430</v>
      </c>
      <c r="I310" s="66" t="n">
        <f aca="false">IF(J310&gt;$K$1,"",IFERROR(MATCH(J310,J_BB,0),""))</f>
        <v>456</v>
      </c>
      <c r="J310" s="66" t="n">
        <v>301</v>
      </c>
      <c r="K310" s="5"/>
    </row>
    <row r="311" customFormat="false" ht="15" hidden="false" customHeight="false" outlineLevel="0" collapsed="false">
      <c r="A311" s="5" t="n">
        <f aca="false">IF(I311="","",J311)</f>
        <v>302</v>
      </c>
      <c r="B311" s="83" t="n">
        <f aca="false">IF(I311="","",INDEX(J_TGL,I311))</f>
        <v>46119</v>
      </c>
      <c r="C311" s="5" t="str">
        <f aca="false">IF(I311="","",INDEX(J_NO,I311))</f>
        <v>JU-0465</v>
      </c>
      <c r="D311" s="5" t="str">
        <f aca="false">IF(I311="","",INDEX(J_KET,I311))</f>
        <v>Pindah dana BCA ke tunai (penjualan Yantos diteruskan by transfer BCA)</v>
      </c>
      <c r="E311" s="5" t="str">
        <f aca="false">IF(I311="","",IF(INDEX(J_DEB,I311)=$C$3,INDEX(J_KRE,I311),INDEX(J_DEB,I311)))</f>
        <v>Kas Tunai</v>
      </c>
      <c r="F311" s="44" t="n">
        <f aca="false">IF(I311="","",IF(INDEX(J_DEB,I311)=$C$3,INDEX(J_NOM,I311),0))</f>
        <v>0</v>
      </c>
      <c r="G311" s="44" t="n">
        <f aca="false">IF(I311="","",IF(INDEX(J_KRE,I311)=$C$3,INDEX(J_NOM,I311),0))</f>
        <v>90000</v>
      </c>
      <c r="H311" s="44" t="n">
        <f aca="false">IF(I311="","",N(H310)+IF($C$5="Debet",F311-G311,G311-F311))</f>
        <v>19335430</v>
      </c>
      <c r="I311" s="66" t="n">
        <f aca="false">IF(J311&gt;$K$1,"",IFERROR(MATCH(J311,J_BB,0),""))</f>
        <v>465</v>
      </c>
      <c r="J311" s="66" t="n">
        <v>302</v>
      </c>
      <c r="K311" s="5"/>
    </row>
    <row r="312" customFormat="false" ht="15" hidden="false" customHeight="false" outlineLevel="0" collapsed="false">
      <c r="A312" s="5" t="n">
        <f aca="false">IF(I312="","",J312)</f>
        <v>303</v>
      </c>
      <c r="B312" s="83" t="n">
        <f aca="false">IF(I312="","",INDEX(J_TGL,I312))</f>
        <v>46119</v>
      </c>
      <c r="C312" s="5" t="str">
        <f aca="false">IF(I312="","",INDEX(J_NO,I312))</f>
        <v>JU-0466</v>
      </c>
      <c r="D312" s="5" t="str">
        <f aca="false">IF(I312="","",INDEX(J_KET,I312))</f>
        <v>Pindah dana tunai ke BCA (tukar uang)</v>
      </c>
      <c r="E312" s="5" t="str">
        <f aca="false">IF(I312="","",IF(INDEX(J_DEB,I312)=$C$3,INDEX(J_KRE,I312),INDEX(J_DEB,I312)))</f>
        <v>Kas Tunai</v>
      </c>
      <c r="F312" s="44" t="n">
        <f aca="false">IF(I312="","",IF(INDEX(J_DEB,I312)=$C$3,INDEX(J_NOM,I312),0))</f>
        <v>2500000</v>
      </c>
      <c r="G312" s="44" t="n">
        <f aca="false">IF(I312="","",IF(INDEX(J_KRE,I312)=$C$3,INDEX(J_NOM,I312),0))</f>
        <v>0</v>
      </c>
      <c r="H312" s="44" t="n">
        <f aca="false">IF(I312="","",N(H311)+IF($C$5="Debet",F312-G312,G312-F312))</f>
        <v>21835430</v>
      </c>
      <c r="I312" s="66" t="n">
        <f aca="false">IF(J312&gt;$K$1,"",IFERROR(MATCH(J312,J_BB,0),""))</f>
        <v>466</v>
      </c>
      <c r="J312" s="66" t="n">
        <v>303</v>
      </c>
      <c r="K312" s="5"/>
    </row>
    <row r="313" customFormat="false" ht="15" hidden="false" customHeight="false" outlineLevel="0" collapsed="false">
      <c r="A313" s="5" t="n">
        <f aca="false">IF(I313="","",J313)</f>
        <v>304</v>
      </c>
      <c r="B313" s="83" t="n">
        <f aca="false">IF(I313="","",INDEX(J_TGL,I313))</f>
        <v>46120</v>
      </c>
      <c r="C313" s="5" t="str">
        <f aca="false">IF(I313="","",INDEX(J_NO,I313))</f>
        <v>JU-0468</v>
      </c>
      <c r="D313" s="5" t="str">
        <f aca="false">IF(I313="","",INDEX(J_KET,I313))</f>
        <v>Pindah dana BCA ke kas warung (dana belanja) tambahan</v>
      </c>
      <c r="E313" s="5" t="str">
        <f aca="false">IF(I313="","",IF(INDEX(J_DEB,I313)=$C$3,INDEX(J_KRE,I313),INDEX(J_DEB,I313)))</f>
        <v>Kas Warung</v>
      </c>
      <c r="F313" s="44" t="n">
        <f aca="false">IF(I313="","",IF(INDEX(J_DEB,I313)=$C$3,INDEX(J_NOM,I313),0))</f>
        <v>0</v>
      </c>
      <c r="G313" s="44" t="n">
        <f aca="false">IF(I313="","",IF(INDEX(J_KRE,I313)=$C$3,INDEX(J_NOM,I313),0))</f>
        <v>500000</v>
      </c>
      <c r="H313" s="44" t="n">
        <f aca="false">IF(I313="","",N(H312)+IF($C$5="Debet",F313-G313,G313-F313))</f>
        <v>21335430</v>
      </c>
      <c r="I313" s="66" t="n">
        <f aca="false">IF(J313&gt;$K$1,"",IFERROR(MATCH(J313,J_BB,0),""))</f>
        <v>468</v>
      </c>
      <c r="J313" s="66" t="n">
        <v>304</v>
      </c>
      <c r="K313" s="5"/>
    </row>
    <row r="314" customFormat="false" ht="15" hidden="false" customHeight="false" outlineLevel="0" collapsed="false">
      <c r="A314" s="5" t="n">
        <f aca="false">IF(I314="","",J314)</f>
        <v>305</v>
      </c>
      <c r="B314" s="83" t="n">
        <f aca="false">IF(I314="","",INDEX(J_TGL,I314))</f>
        <v>46120</v>
      </c>
      <c r="C314" s="5" t="str">
        <f aca="false">IF(I314="","",INDEX(J_NO,I314))</f>
        <v>JU-0469</v>
      </c>
      <c r="D314" s="5" t="str">
        <f aca="false">IF(I314="","",INDEX(J_KET,I314))</f>
        <v>Biaya transfer</v>
      </c>
      <c r="E314" s="5" t="str">
        <f aca="false">IF(I314="","",IF(INDEX(J_DEB,I314)=$C$3,INDEX(J_KRE,I314),INDEX(J_DEB,I314)))</f>
        <v>Biaya Lainnya</v>
      </c>
      <c r="F314" s="44" t="n">
        <f aca="false">IF(I314="","",IF(INDEX(J_DEB,I314)=$C$3,INDEX(J_NOM,I314),0))</f>
        <v>0</v>
      </c>
      <c r="G314" s="44" t="n">
        <f aca="false">IF(I314="","",IF(INDEX(J_KRE,I314)=$C$3,INDEX(J_NOM,I314),0))</f>
        <v>395</v>
      </c>
      <c r="H314" s="44" t="n">
        <f aca="false">IF(I314="","",N(H313)+IF($C$5="Debet",F314-G314,G314-F314))</f>
        <v>21335035</v>
      </c>
      <c r="I314" s="66" t="n">
        <f aca="false">IF(J314&gt;$K$1,"",IFERROR(MATCH(J314,J_BB,0),""))</f>
        <v>469</v>
      </c>
      <c r="J314" s="66" t="n">
        <v>305</v>
      </c>
      <c r="K314" s="5"/>
    </row>
    <row r="315" customFormat="false" ht="15" hidden="false" customHeight="false" outlineLevel="0" collapsed="false">
      <c r="A315" s="5" t="n">
        <f aca="false">IF(I315="","",J315)</f>
        <v>306</v>
      </c>
      <c r="B315" s="83" t="n">
        <f aca="false">IF(I315="","",INDEX(J_TGL,I315))</f>
        <v>46120</v>
      </c>
      <c r="C315" s="5" t="str">
        <f aca="false">IF(I315="","",INDEX(J_NO,I315))</f>
        <v>JU-0470</v>
      </c>
      <c r="D315" s="5" t="str">
        <f aca="false">IF(I315="","",INDEX(J_KET,I315))</f>
        <v>Belanja susu UHT ultramilk x 5 dus</v>
      </c>
      <c r="E315" s="5" t="str">
        <f aca="false">IF(I315="","",IF(INDEX(J_DEB,I315)=$C$3,INDEX(J_KRE,I315),INDEX(J_DEB,I315)))</f>
        <v>Biaya Bahan Baku</v>
      </c>
      <c r="F315" s="44" t="n">
        <f aca="false">IF(I315="","",IF(INDEX(J_DEB,I315)=$C$3,INDEX(J_NOM,I315),0))</f>
        <v>0</v>
      </c>
      <c r="G315" s="44" t="n">
        <f aca="false">IF(I315="","",IF(INDEX(J_KRE,I315)=$C$3,INDEX(J_NOM,I315),0))</f>
        <v>1115000</v>
      </c>
      <c r="H315" s="44" t="n">
        <f aca="false">IF(I315="","",N(H314)+IF($C$5="Debet",F315-G315,G315-F315))</f>
        <v>20220035</v>
      </c>
      <c r="I315" s="66" t="n">
        <f aca="false">IF(J315&gt;$K$1,"",IFERROR(MATCH(J315,J_BB,0),""))</f>
        <v>470</v>
      </c>
      <c r="J315" s="66" t="n">
        <v>306</v>
      </c>
      <c r="K315" s="5"/>
    </row>
    <row r="316" customFormat="false" ht="15" hidden="false" customHeight="false" outlineLevel="0" collapsed="false">
      <c r="A316" s="5" t="n">
        <f aca="false">IF(I316="","",J316)</f>
        <v>307</v>
      </c>
      <c r="B316" s="83" t="n">
        <f aca="false">IF(I316="","",INDEX(J_TGL,I316))</f>
        <v>46120</v>
      </c>
      <c r="C316" s="5" t="str">
        <f aca="false">IF(I316="","",INDEX(J_NO,I316))</f>
        <v>JU-0471</v>
      </c>
      <c r="D316" s="5" t="str">
        <f aca="false">IF(I316="","",INDEX(J_KET,I316))</f>
        <v>Pindah dana tunai ke BCA (tukar uang)</v>
      </c>
      <c r="E316" s="5" t="str">
        <f aca="false">IF(I316="","",IF(INDEX(J_DEB,I316)=$C$3,INDEX(J_KRE,I316),INDEX(J_DEB,I316)))</f>
        <v>Kas Tunai</v>
      </c>
      <c r="F316" s="44" t="n">
        <f aca="false">IF(I316="","",IF(INDEX(J_DEB,I316)=$C$3,INDEX(J_NOM,I316),0))</f>
        <v>260000</v>
      </c>
      <c r="G316" s="44" t="n">
        <f aca="false">IF(I316="","",IF(INDEX(J_KRE,I316)=$C$3,INDEX(J_NOM,I316),0))</f>
        <v>0</v>
      </c>
      <c r="H316" s="44" t="n">
        <f aca="false">IF(I316="","",N(H315)+IF($C$5="Debet",F316-G316,G316-F316))</f>
        <v>20480035</v>
      </c>
      <c r="I316" s="66" t="n">
        <f aca="false">IF(J316&gt;$K$1,"",IFERROR(MATCH(J316,J_BB,0),""))</f>
        <v>471</v>
      </c>
      <c r="J316" s="66" t="n">
        <v>307</v>
      </c>
      <c r="K316" s="5"/>
    </row>
    <row r="317" customFormat="false" ht="15" hidden="false" customHeight="false" outlineLevel="0" collapsed="false">
      <c r="A317" s="5" t="n">
        <f aca="false">IF(I317="","",J317)</f>
        <v>308</v>
      </c>
      <c r="B317" s="83" t="n">
        <f aca="false">IF(I317="","",INDEX(J_TGL,I317))</f>
        <v>46121</v>
      </c>
      <c r="C317" s="5" t="str">
        <f aca="false">IF(I317="","",INDEX(J_NO,I317))</f>
        <v>JU-0473</v>
      </c>
      <c r="D317" s="5" t="str">
        <f aca="false">IF(I317="","",INDEX(J_KET,I317))</f>
        <v>Pembayaran langganan musik spotify</v>
      </c>
      <c r="E317" s="5" t="str">
        <f aca="false">IF(I317="","",IF(INDEX(J_DEB,I317)=$C$3,INDEX(J_KRE,I317),INDEX(J_DEB,I317)))</f>
        <v>Biaya Tagihan Bulanan</v>
      </c>
      <c r="F317" s="44" t="n">
        <f aca="false">IF(I317="","",IF(INDEX(J_DEB,I317)=$C$3,INDEX(J_NOM,I317),0))</f>
        <v>0</v>
      </c>
      <c r="G317" s="44" t="n">
        <f aca="false">IF(I317="","",IF(INDEX(J_KRE,I317)=$C$3,INDEX(J_NOM,I317),0))</f>
        <v>119000</v>
      </c>
      <c r="H317" s="44" t="n">
        <f aca="false">IF(I317="","",N(H316)+IF($C$5="Debet",F317-G317,G317-F317))</f>
        <v>20361035</v>
      </c>
      <c r="I317" s="66" t="n">
        <f aca="false">IF(J317&gt;$K$1,"",IFERROR(MATCH(J317,J_BB,0),""))</f>
        <v>473</v>
      </c>
      <c r="J317" s="66" t="n">
        <v>308</v>
      </c>
      <c r="K317" s="5"/>
    </row>
    <row r="318" customFormat="false" ht="15" hidden="false" customHeight="false" outlineLevel="0" collapsed="false">
      <c r="A318" s="5" t="n">
        <f aca="false">IF(I318="","",J318)</f>
        <v>309</v>
      </c>
      <c r="B318" s="83" t="n">
        <f aca="false">IF(I318="","",INDEX(J_TGL,I318))</f>
        <v>46122</v>
      </c>
      <c r="C318" s="5" t="str">
        <f aca="false">IF(I318="","",INDEX(J_NO,I318))</f>
        <v>JU-0481</v>
      </c>
      <c r="D318" s="5" t="str">
        <f aca="false">IF(I318="","",INDEX(J_KET,I318))</f>
        <v>Simple syrup 100rb Hario V60 90k</v>
      </c>
      <c r="E318" s="5" t="str">
        <f aca="false">IF(I318="","",IF(INDEX(J_DEB,I318)=$C$3,INDEX(J_KRE,I318),INDEX(J_DEB,I318)))</f>
        <v>Biaya Bahan Baku</v>
      </c>
      <c r="F318" s="44" t="n">
        <f aca="false">IF(I318="","",IF(INDEX(J_DEB,I318)=$C$3,INDEX(J_NOM,I318),0))</f>
        <v>0</v>
      </c>
      <c r="G318" s="44" t="n">
        <f aca="false">IF(I318="","",IF(INDEX(J_KRE,I318)=$C$3,INDEX(J_NOM,I318),0))</f>
        <v>190000</v>
      </c>
      <c r="H318" s="44" t="n">
        <f aca="false">IF(I318="","",N(H317)+IF($C$5="Debet",F318-G318,G318-F318))</f>
        <v>20171035</v>
      </c>
      <c r="I318" s="66" t="n">
        <f aca="false">IF(J318&gt;$K$1,"",IFERROR(MATCH(J318,J_BB,0),""))</f>
        <v>481</v>
      </c>
      <c r="J318" s="66" t="n">
        <v>309</v>
      </c>
      <c r="K318" s="5"/>
    </row>
    <row r="319" customFormat="false" ht="15" hidden="false" customHeight="false" outlineLevel="0" collapsed="false">
      <c r="A319" s="5" t="n">
        <f aca="false">IF(I319="","",J319)</f>
        <v>310</v>
      </c>
      <c r="B319" s="83" t="n">
        <f aca="false">IF(I319="","",INDEX(J_TGL,I319))</f>
        <v>46122</v>
      </c>
      <c r="C319" s="5" t="str">
        <f aca="false">IF(I319="","",INDEX(J_NO,I319))</f>
        <v>JU-0482</v>
      </c>
      <c r="D319" s="5" t="str">
        <f aca="false">IF(I319="","",INDEX(J_KET,I319))</f>
        <v>Belanja biji kopi Yantos 5 jenis</v>
      </c>
      <c r="E319" s="5" t="str">
        <f aca="false">IF(I319="","",IF(INDEX(J_DEB,I319)=$C$3,INDEX(J_KRE,I319),INDEX(J_DEB,I319)))</f>
        <v>Biaya Bahan Baku</v>
      </c>
      <c r="F319" s="44" t="n">
        <f aca="false">IF(I319="","",IF(INDEX(J_DEB,I319)=$C$3,INDEX(J_NOM,I319),0))</f>
        <v>0</v>
      </c>
      <c r="G319" s="44" t="n">
        <f aca="false">IF(I319="","",IF(INDEX(J_KRE,I319)=$C$3,INDEX(J_NOM,I319),0))</f>
        <v>2450000</v>
      </c>
      <c r="H319" s="44" t="n">
        <f aca="false">IF(I319="","",N(H318)+IF($C$5="Debet",F319-G319,G319-F319))</f>
        <v>17721035</v>
      </c>
      <c r="I319" s="66" t="n">
        <f aca="false">IF(J319&gt;$K$1,"",IFERROR(MATCH(J319,J_BB,0),""))</f>
        <v>482</v>
      </c>
      <c r="J319" s="66" t="n">
        <v>310</v>
      </c>
      <c r="K319" s="5"/>
    </row>
    <row r="320" customFormat="false" ht="15" hidden="false" customHeight="false" outlineLevel="0" collapsed="false">
      <c r="A320" s="5" t="n">
        <f aca="false">IF(I320="","",J320)</f>
        <v>311</v>
      </c>
      <c r="B320" s="83" t="n">
        <f aca="false">IF(I320="","",INDEX(J_TGL,I320))</f>
        <v>46123</v>
      </c>
      <c r="C320" s="5" t="str">
        <f aca="false">IF(I320="","",INDEX(J_NO,I320))</f>
        <v>JU-0483</v>
      </c>
      <c r="D320" s="5" t="str">
        <f aca="false">IF(I320="","",INDEX(J_KET,I320))</f>
        <v>Pindah dana tunai ke BCA (FM tukar uang)</v>
      </c>
      <c r="E320" s="5" t="str">
        <f aca="false">IF(I320="","",IF(INDEX(J_DEB,I320)=$C$3,INDEX(J_KRE,I320),INDEX(J_DEB,I320)))</f>
        <v>Kas Tunai</v>
      </c>
      <c r="F320" s="44" t="n">
        <f aca="false">IF(I320="","",IF(INDEX(J_DEB,I320)=$C$3,INDEX(J_NOM,I320),0))</f>
        <v>9000000</v>
      </c>
      <c r="G320" s="44" t="n">
        <f aca="false">IF(I320="","",IF(INDEX(J_KRE,I320)=$C$3,INDEX(J_NOM,I320),0))</f>
        <v>0</v>
      </c>
      <c r="H320" s="44" t="n">
        <f aca="false">IF(I320="","",N(H319)+IF($C$5="Debet",F320-G320,G320-F320))</f>
        <v>26721035</v>
      </c>
      <c r="I320" s="66" t="n">
        <f aca="false">IF(J320&gt;$K$1,"",IFERROR(MATCH(J320,J_BB,0),""))</f>
        <v>483</v>
      </c>
      <c r="J320" s="66" t="n">
        <v>311</v>
      </c>
      <c r="K320" s="5"/>
    </row>
    <row r="321" customFormat="false" ht="15" hidden="false" customHeight="false" outlineLevel="0" collapsed="false">
      <c r="A321" s="5" t="n">
        <f aca="false">IF(I321="","",J321)</f>
        <v>312</v>
      </c>
      <c r="B321" s="83" t="n">
        <f aca="false">IF(I321="","",INDEX(J_TGL,I321))</f>
        <v>46123</v>
      </c>
      <c r="C321" s="5" t="str">
        <f aca="false">IF(I321="","",INDEX(J_NO,I321))</f>
        <v>JU-0484</v>
      </c>
      <c r="D321" s="5" t="str">
        <f aca="false">IF(I321="","",INDEX(J_KET,I321))</f>
        <v>Belanja tokped tramontina pisau set asahan</v>
      </c>
      <c r="E321" s="5" t="str">
        <f aca="false">IF(I321="","",IF(INDEX(J_DEB,I321)=$C$3,INDEX(J_KRE,I321),INDEX(J_DEB,I321)))</f>
        <v>Peralatan</v>
      </c>
      <c r="F321" s="44" t="n">
        <f aca="false">IF(I321="","",IF(INDEX(J_DEB,I321)=$C$3,INDEX(J_NOM,I321),0))</f>
        <v>0</v>
      </c>
      <c r="G321" s="44" t="n">
        <f aca="false">IF(I321="","",IF(INDEX(J_KRE,I321)=$C$3,INDEX(J_NOM,I321),0))</f>
        <v>265895</v>
      </c>
      <c r="H321" s="44" t="n">
        <f aca="false">IF(I321="","",N(H320)+IF($C$5="Debet",F321-G321,G321-F321))</f>
        <v>26455140</v>
      </c>
      <c r="I321" s="66" t="n">
        <f aca="false">IF(J321&gt;$K$1,"",IFERROR(MATCH(J321,J_BB,0),""))</f>
        <v>484</v>
      </c>
      <c r="J321" s="66" t="n">
        <v>312</v>
      </c>
      <c r="K321" s="5"/>
    </row>
    <row r="322" customFormat="false" ht="15" hidden="false" customHeight="false" outlineLevel="0" collapsed="false">
      <c r="A322" s="5" t="n">
        <f aca="false">IF(I322="","",J322)</f>
        <v>313</v>
      </c>
      <c r="B322" s="83" t="n">
        <f aca="false">IF(I322="","",INDEX(J_TGL,I322))</f>
        <v>46123</v>
      </c>
      <c r="C322" s="5" t="str">
        <f aca="false">IF(I322="","",INDEX(J_NO,I322))</f>
        <v>JU-0485</v>
      </c>
      <c r="D322" s="5" t="str">
        <f aca="false">IF(I322="","",INDEX(J_KET,I322))</f>
        <v>Pembayaran tiramisu batch 1-2 12 pcs</v>
      </c>
      <c r="E322" s="5" t="str">
        <f aca="false">IF(I322="","",IF(INDEX(J_DEB,I322)=$C$3,INDEX(J_KRE,I322),INDEX(J_DEB,I322)))</f>
        <v>Biaya Bahan Baku</v>
      </c>
      <c r="F322" s="44" t="n">
        <f aca="false">IF(I322="","",IF(INDEX(J_DEB,I322)=$C$3,INDEX(J_NOM,I322),0))</f>
        <v>0</v>
      </c>
      <c r="G322" s="44" t="n">
        <f aca="false">IF(I322="","",IF(INDEX(J_KRE,I322)=$C$3,INDEX(J_NOM,I322),0))</f>
        <v>159000</v>
      </c>
      <c r="H322" s="44" t="n">
        <f aca="false">IF(I322="","",N(H321)+IF($C$5="Debet",F322-G322,G322-F322))</f>
        <v>26296140</v>
      </c>
      <c r="I322" s="66" t="n">
        <f aca="false">IF(J322&gt;$K$1,"",IFERROR(MATCH(J322,J_BB,0),""))</f>
        <v>485</v>
      </c>
      <c r="J322" s="66" t="n">
        <v>313</v>
      </c>
      <c r="K322" s="5"/>
    </row>
    <row r="323" customFormat="false" ht="15" hidden="false" customHeight="false" outlineLevel="0" collapsed="false">
      <c r="A323" s="5" t="n">
        <f aca="false">IF(I323="","",J323)</f>
        <v>314</v>
      </c>
      <c r="B323" s="83" t="n">
        <f aca="false">IF(I323="","",INDEX(J_TGL,I323))</f>
        <v>46123</v>
      </c>
      <c r="C323" s="5" t="str">
        <f aca="false">IF(I323="","",INDEX(J_NO,I323))</f>
        <v>JU-0486</v>
      </c>
      <c r="D323" s="5" t="str">
        <f aca="false">IF(I323="","",INDEX(J_KET,I323))</f>
        <v>Biaya transfer flip</v>
      </c>
      <c r="E323" s="5" t="str">
        <f aca="false">IF(I323="","",IF(INDEX(J_DEB,I323)=$C$3,INDEX(J_KRE,I323),INDEX(J_DEB,I323)))</f>
        <v>Biaya Lainnya</v>
      </c>
      <c r="F323" s="44" t="n">
        <f aca="false">IF(I323="","",IF(INDEX(J_DEB,I323)=$C$3,INDEX(J_NOM,I323),0))</f>
        <v>0</v>
      </c>
      <c r="G323" s="44" t="n">
        <f aca="false">IF(I323="","",IF(INDEX(J_KRE,I323)=$C$3,INDEX(J_NOM,I323),0))</f>
        <v>382</v>
      </c>
      <c r="H323" s="44" t="n">
        <f aca="false">IF(I323="","",N(H322)+IF($C$5="Debet",F323-G323,G323-F323))</f>
        <v>26295758</v>
      </c>
      <c r="I323" s="66" t="n">
        <f aca="false">IF(J323&gt;$K$1,"",IFERROR(MATCH(J323,J_BB,0),""))</f>
        <v>486</v>
      </c>
      <c r="J323" s="66" t="n">
        <v>314</v>
      </c>
      <c r="K323" s="5"/>
    </row>
    <row r="324" customFormat="false" ht="15" hidden="false" customHeight="false" outlineLevel="0" collapsed="false">
      <c r="A324" s="5" t="n">
        <f aca="false">IF(I324="","",J324)</f>
        <v>315</v>
      </c>
      <c r="B324" s="83" t="n">
        <f aca="false">IF(I324="","",INDEX(J_TGL,I324))</f>
        <v>46125</v>
      </c>
      <c r="C324" s="5" t="str">
        <f aca="false">IF(I324="","",INDEX(J_NO,I324))</f>
        <v>JU-0487</v>
      </c>
      <c r="D324" s="5" t="str">
        <f aca="false">IF(I324="","",INDEX(J_KET,I324))</f>
        <v>Belanja unlock water x 10 galon</v>
      </c>
      <c r="E324" s="5" t="str">
        <f aca="false">IF(I324="","",IF(INDEX(J_DEB,I324)=$C$3,INDEX(J_KRE,I324),INDEX(J_DEB,I324)))</f>
        <v>Biaya Bahan Baku</v>
      </c>
      <c r="F324" s="44" t="n">
        <f aca="false">IF(I324="","",IF(INDEX(J_DEB,I324)=$C$3,INDEX(J_NOM,I324),0))</f>
        <v>0</v>
      </c>
      <c r="G324" s="44" t="n">
        <f aca="false">IF(I324="","",IF(INDEX(J_KRE,I324)=$C$3,INDEX(J_NOM,I324),0))</f>
        <v>190000</v>
      </c>
      <c r="H324" s="44" t="n">
        <f aca="false">IF(I324="","",N(H323)+IF($C$5="Debet",F324-G324,G324-F324))</f>
        <v>26105758</v>
      </c>
      <c r="I324" s="66" t="n">
        <f aca="false">IF(J324&gt;$K$1,"",IFERROR(MATCH(J324,J_BB,0),""))</f>
        <v>487</v>
      </c>
      <c r="J324" s="66" t="n">
        <v>315</v>
      </c>
      <c r="K324" s="5"/>
    </row>
    <row r="325" customFormat="false" ht="15" hidden="false" customHeight="false" outlineLevel="0" collapsed="false">
      <c r="A325" s="5" t="n">
        <f aca="false">IF(I325="","",J325)</f>
        <v>316</v>
      </c>
      <c r="B325" s="83" t="n">
        <f aca="false">IF(I325="","",INDEX(J_TGL,I325))</f>
        <v>46125</v>
      </c>
      <c r="C325" s="5" t="str">
        <f aca="false">IF(I325="","",INDEX(J_NO,I325))</f>
        <v>JU-0488</v>
      </c>
      <c r="D325" s="5" t="str">
        <f aca="false">IF(I325="","",INDEX(J_KET,I325))</f>
        <v>Pindah dana BCA ke kas warung (dana belanja) refill</v>
      </c>
      <c r="E325" s="5" t="str">
        <f aca="false">IF(I325="","",IF(INDEX(J_DEB,I325)=$C$3,INDEX(J_KRE,I325),INDEX(J_DEB,I325)))</f>
        <v>Kas Warung</v>
      </c>
      <c r="F325" s="44" t="n">
        <f aca="false">IF(I325="","",IF(INDEX(J_DEB,I325)=$C$3,INDEX(J_NOM,I325),0))</f>
        <v>0</v>
      </c>
      <c r="G325" s="44" t="n">
        <f aca="false">IF(I325="","",IF(INDEX(J_KRE,I325)=$C$3,INDEX(J_NOM,I325),0))</f>
        <v>1000000</v>
      </c>
      <c r="H325" s="44" t="n">
        <f aca="false">IF(I325="","",N(H324)+IF($C$5="Debet",F325-G325,G325-F325))</f>
        <v>25105758</v>
      </c>
      <c r="I325" s="66" t="n">
        <f aca="false">IF(J325&gt;$K$1,"",IFERROR(MATCH(J325,J_BB,0),""))</f>
        <v>488</v>
      </c>
      <c r="J325" s="66" t="n">
        <v>316</v>
      </c>
      <c r="K325" s="5"/>
    </row>
    <row r="326" customFormat="false" ht="15" hidden="false" customHeight="false" outlineLevel="0" collapsed="false">
      <c r="A326" s="5" t="n">
        <f aca="false">IF(I326="","",J326)</f>
        <v>317</v>
      </c>
      <c r="B326" s="83" t="n">
        <f aca="false">IF(I326="","",INDEX(J_TGL,I326))</f>
        <v>46125</v>
      </c>
      <c r="C326" s="5" t="str">
        <f aca="false">IF(I326="","",INDEX(J_NO,I326))</f>
        <v>JU-0489</v>
      </c>
      <c r="D326" s="5" t="str">
        <f aca="false">IF(I326="","",INDEX(J_KET,I326))</f>
        <v>Biaya transfer</v>
      </c>
      <c r="E326" s="5" t="str">
        <f aca="false">IF(I326="","",IF(INDEX(J_DEB,I326)=$C$3,INDEX(J_KRE,I326),INDEX(J_DEB,I326)))</f>
        <v>Biaya Lainnya</v>
      </c>
      <c r="F326" s="44" t="n">
        <f aca="false">IF(I326="","",IF(INDEX(J_DEB,I326)=$C$3,INDEX(J_NOM,I326),0))</f>
        <v>0</v>
      </c>
      <c r="G326" s="44" t="n">
        <f aca="false">IF(I326="","",IF(INDEX(J_KRE,I326)=$C$3,INDEX(J_NOM,I326),0))</f>
        <v>407</v>
      </c>
      <c r="H326" s="44" t="n">
        <f aca="false">IF(I326="","",N(H325)+IF($C$5="Debet",F326-G326,G326-F326))</f>
        <v>25105351</v>
      </c>
      <c r="I326" s="66" t="n">
        <f aca="false">IF(J326&gt;$K$1,"",IFERROR(MATCH(J326,J_BB,0),""))</f>
        <v>489</v>
      </c>
      <c r="J326" s="66" t="n">
        <v>317</v>
      </c>
      <c r="K326" s="5"/>
    </row>
    <row r="327" customFormat="false" ht="15" hidden="false" customHeight="false" outlineLevel="0" collapsed="false">
      <c r="A327" s="5" t="n">
        <f aca="false">IF(I327="","",J327)</f>
        <v>318</v>
      </c>
      <c r="B327" s="83" t="n">
        <f aca="false">IF(I327="","",INDEX(J_TGL,I327))</f>
        <v>46125</v>
      </c>
      <c r="C327" s="5" t="str">
        <f aca="false">IF(I327="","",INDEX(J_NO,I327))</f>
        <v>JU-0490</v>
      </c>
      <c r="D327" s="5" t="str">
        <f aca="false">IF(I327="","",INDEX(J_KET,I327))</f>
        <v>Belanja tahu walik isi 10 x 30 pack, isi 9 x 39 pack</v>
      </c>
      <c r="E327" s="5" t="str">
        <f aca="false">IF(I327="","",IF(INDEX(J_DEB,I327)=$C$3,INDEX(J_KRE,I327),INDEX(J_DEB,I327)))</f>
        <v>Biaya Bahan Baku</v>
      </c>
      <c r="F327" s="44" t="n">
        <f aca="false">IF(I327="","",IF(INDEX(J_DEB,I327)=$C$3,INDEX(J_NOM,I327),0))</f>
        <v>0</v>
      </c>
      <c r="G327" s="44" t="n">
        <f aca="false">IF(I327="","",IF(INDEX(J_KRE,I327)=$C$3,INDEX(J_NOM,I327),0))</f>
        <v>652000</v>
      </c>
      <c r="H327" s="44" t="n">
        <f aca="false">IF(I327="","",N(H326)+IF($C$5="Debet",F327-G327,G327-F327))</f>
        <v>24453351</v>
      </c>
      <c r="I327" s="66" t="n">
        <f aca="false">IF(J327&gt;$K$1,"",IFERROR(MATCH(J327,J_BB,0),""))</f>
        <v>490</v>
      </c>
      <c r="J327" s="66" t="n">
        <v>318</v>
      </c>
      <c r="K327" s="5"/>
    </row>
    <row r="328" customFormat="false" ht="15" hidden="false" customHeight="false" outlineLevel="0" collapsed="false">
      <c r="A328" s="5" t="n">
        <f aca="false">IF(I328="","",J328)</f>
        <v>319</v>
      </c>
      <c r="B328" s="83" t="n">
        <f aca="false">IF(I328="","",INDEX(J_TGL,I328))</f>
        <v>46126</v>
      </c>
      <c r="C328" s="5" t="str">
        <f aca="false">IF(I328="","",INDEX(J_NO,I328))</f>
        <v>JU-0491</v>
      </c>
      <c r="D328" s="5" t="str">
        <f aca="false">IF(I328="","",INDEX(J_KET,I328))</f>
        <v>kitchen towel tissue x 24pack</v>
      </c>
      <c r="E328" s="5" t="str">
        <f aca="false">IF(I328="","",IF(INDEX(J_DEB,I328)=$C$3,INDEX(J_KRE,I328),INDEX(J_DEB,I328)))</f>
        <v>Biaya Pemeliharaan</v>
      </c>
      <c r="F328" s="44" t="n">
        <f aca="false">IF(I328="","",IF(INDEX(J_DEB,I328)=$C$3,INDEX(J_NOM,I328),0))</f>
        <v>0</v>
      </c>
      <c r="G328" s="44" t="n">
        <f aca="false">IF(I328="","",IF(INDEX(J_KRE,I328)=$C$3,INDEX(J_NOM,I328),0))</f>
        <v>336010</v>
      </c>
      <c r="H328" s="44" t="n">
        <f aca="false">IF(I328="","",N(H327)+IF($C$5="Debet",F328-G328,G328-F328))</f>
        <v>24117341</v>
      </c>
      <c r="I328" s="66" t="n">
        <f aca="false">IF(J328&gt;$K$1,"",IFERROR(MATCH(J328,J_BB,0),""))</f>
        <v>491</v>
      </c>
      <c r="J328" s="66" t="n">
        <v>319</v>
      </c>
      <c r="K328" s="5"/>
    </row>
    <row r="329" customFormat="false" ht="15" hidden="false" customHeight="false" outlineLevel="0" collapsed="false">
      <c r="A329" s="5" t="n">
        <f aca="false">IF(I329="","",J329)</f>
        <v>320</v>
      </c>
      <c r="B329" s="83" t="n">
        <f aca="false">IF(I329="","",INDEX(J_TGL,I329))</f>
        <v>46126</v>
      </c>
      <c r="C329" s="5" t="str">
        <f aca="false">IF(I329="","",INDEX(J_NO,I329))</f>
        <v>JU-0492</v>
      </c>
      <c r="D329" s="5" t="str">
        <f aca="false">IF(I329="","",INDEX(J_KET,I329))</f>
        <v>yantos biji kopi untuk manual brew 4 jenis total 14 pack</v>
      </c>
      <c r="E329" s="5" t="str">
        <f aca="false">IF(I329="","",IF(INDEX(J_DEB,I329)=$C$3,INDEX(J_KRE,I329),INDEX(J_DEB,I329)))</f>
        <v>Biaya Bahan Baku</v>
      </c>
      <c r="F329" s="44" t="n">
        <f aca="false">IF(I329="","",IF(INDEX(J_DEB,I329)=$C$3,INDEX(J_NOM,I329),0))</f>
        <v>0</v>
      </c>
      <c r="G329" s="44" t="n">
        <f aca="false">IF(I329="","",IF(INDEX(J_KRE,I329)=$C$3,INDEX(J_NOM,I329),0))</f>
        <v>1295000</v>
      </c>
      <c r="H329" s="44" t="n">
        <f aca="false">IF(I329="","",N(H328)+IF($C$5="Debet",F329-G329,G329-F329))</f>
        <v>22822341</v>
      </c>
      <c r="I329" s="66" t="n">
        <f aca="false">IF(J329&gt;$K$1,"",IFERROR(MATCH(J329,J_BB,0),""))</f>
        <v>492</v>
      </c>
      <c r="J329" s="66" t="n">
        <v>320</v>
      </c>
      <c r="K329" s="5"/>
    </row>
    <row r="330" customFormat="false" ht="15" hidden="false" customHeight="false" outlineLevel="0" collapsed="false">
      <c r="A330" s="5" t="n">
        <f aca="false">IF(I330="","",J330)</f>
        <v>321</v>
      </c>
      <c r="B330" s="83" t="n">
        <f aca="false">IF(I330="","",INDEX(J_TGL,I330))</f>
        <v>46127</v>
      </c>
      <c r="C330" s="5" t="str">
        <f aca="false">IF(I330="","",INDEX(J_NO,I330))</f>
        <v>JU-0508</v>
      </c>
      <c r="D330" s="5" t="str">
        <f aca="false">IF(I330="","",INDEX(J_KET,I330))</f>
        <v>Takeaway cup x 3.500 pcs invoice ke-2/3 faktur 12456</v>
      </c>
      <c r="E330" s="5" t="str">
        <f aca="false">IF(I330="","",IF(INDEX(J_DEB,I330)=$C$3,INDEX(J_KRE,I330),INDEX(J_DEB,I330)))</f>
        <v>Biaya Penyajian</v>
      </c>
      <c r="F330" s="44" t="n">
        <f aca="false">IF(I330="","",IF(INDEX(J_DEB,I330)=$C$3,INDEX(J_NOM,I330),0))</f>
        <v>0</v>
      </c>
      <c r="G330" s="44" t="n">
        <f aca="false">IF(I330="","",IF(INDEX(J_KRE,I330)=$C$3,INDEX(J_NOM,I330),0))</f>
        <v>1627500</v>
      </c>
      <c r="H330" s="44" t="n">
        <f aca="false">IF(I330="","",N(H329)+IF($C$5="Debet",F330-G330,G330-F330))</f>
        <v>21194841</v>
      </c>
      <c r="I330" s="66" t="n">
        <f aca="false">IF(J330&gt;$K$1,"",IFERROR(MATCH(J330,J_BB,0),""))</f>
        <v>508</v>
      </c>
      <c r="J330" s="66" t="n">
        <v>321</v>
      </c>
      <c r="K330" s="5"/>
    </row>
    <row r="331" customFormat="false" ht="15" hidden="false" customHeight="false" outlineLevel="0" collapsed="false">
      <c r="A331" s="5" t="n">
        <f aca="false">IF(I331="","",J331)</f>
        <v>322</v>
      </c>
      <c r="B331" s="83" t="n">
        <f aca="false">IF(I331="","",INDEX(J_TGL,I331))</f>
        <v>46127</v>
      </c>
      <c r="C331" s="5" t="str">
        <f aca="false">IF(I331="","",INDEX(J_NO,I331))</f>
        <v>JU-0509</v>
      </c>
      <c r="D331" s="5" t="str">
        <f aca="false">IF(I331="","",INDEX(J_KET,I331))</f>
        <v>Tutup takeaway cup x 5.000 pcs invoice ke-2/2 lunas</v>
      </c>
      <c r="E331" s="5" t="str">
        <f aca="false">IF(I331="","",IF(INDEX(J_DEB,I331)=$C$3,INDEX(J_KRE,I331),INDEX(J_DEB,I331)))</f>
        <v>Biaya Penyajian</v>
      </c>
      <c r="F331" s="44" t="n">
        <f aca="false">IF(I331="","",IF(INDEX(J_DEB,I331)=$C$3,INDEX(J_NOM,I331),0))</f>
        <v>0</v>
      </c>
      <c r="G331" s="44" t="n">
        <f aca="false">IF(I331="","",IF(INDEX(J_KRE,I331)=$C$3,INDEX(J_NOM,I331),0))</f>
        <v>950000</v>
      </c>
      <c r="H331" s="44" t="n">
        <f aca="false">IF(I331="","",N(H330)+IF($C$5="Debet",F331-G331,G331-F331))</f>
        <v>20244841</v>
      </c>
      <c r="I331" s="66" t="n">
        <f aca="false">IF(J331&gt;$K$1,"",IFERROR(MATCH(J331,J_BB,0),""))</f>
        <v>509</v>
      </c>
      <c r="J331" s="66" t="n">
        <v>322</v>
      </c>
      <c r="K331" s="5"/>
    </row>
    <row r="332" customFormat="false" ht="15" hidden="false" customHeight="false" outlineLevel="0" collapsed="false">
      <c r="A332" s="5" t="n">
        <f aca="false">IF(I332="","",J332)</f>
        <v>323</v>
      </c>
      <c r="B332" s="83" t="n">
        <f aca="false">IF(I332="","",INDEX(J_TGL,I332))</f>
        <v>46127</v>
      </c>
      <c r="C332" s="5" t="str">
        <f aca="false">IF(I332="","",INDEX(J_NO,I332))</f>
        <v>JU-0510</v>
      </c>
      <c r="D332" s="5" t="str">
        <f aca="false">IF(I332="","",INDEX(J_KET,I332))</f>
        <v>Print poster promosi sarapan menu baru Arunika &amp; menu baru peremajaan (3lbr)</v>
      </c>
      <c r="E332" s="5" t="str">
        <f aca="false">IF(I332="","",IF(INDEX(J_DEB,I332)=$C$3,INDEX(J_KRE,I332),INDEX(J_DEB,I332)))</f>
        <v>Biaya Marketing &amp; Promosi</v>
      </c>
      <c r="F332" s="44" t="n">
        <f aca="false">IF(I332="","",IF(INDEX(J_DEB,I332)=$C$3,INDEX(J_NOM,I332),0))</f>
        <v>0</v>
      </c>
      <c r="G332" s="44" t="n">
        <f aca="false">IF(I332="","",IF(INDEX(J_KRE,I332)=$C$3,INDEX(J_NOM,I332),0))</f>
        <v>21100</v>
      </c>
      <c r="H332" s="44" t="n">
        <f aca="false">IF(I332="","",N(H331)+IF($C$5="Debet",F332-G332,G332-F332))</f>
        <v>20223741</v>
      </c>
      <c r="I332" s="66" t="n">
        <f aca="false">IF(J332&gt;$K$1,"",IFERROR(MATCH(J332,J_BB,0),""))</f>
        <v>510</v>
      </c>
      <c r="J332" s="66" t="n">
        <v>323</v>
      </c>
      <c r="K332" s="5"/>
    </row>
    <row r="333" customFormat="false" ht="15" hidden="false" customHeight="false" outlineLevel="0" collapsed="false">
      <c r="A333" s="5" t="n">
        <f aca="false">IF(I333="","",J333)</f>
        <v>324</v>
      </c>
      <c r="B333" s="83" t="n">
        <f aca="false">IF(I333="","",INDEX(J_TGL,I333))</f>
        <v>46128</v>
      </c>
      <c r="C333" s="5" t="str">
        <f aca="false">IF(I333="","",INDEX(J_NO,I333))</f>
        <v>JU-0511</v>
      </c>
      <c r="D333" s="5" t="str">
        <f aca="false">IF(I333="","",INDEX(J_KET,I333))</f>
        <v>Pindah dana BCA ke tunai (tarik tunai pecahan)</v>
      </c>
      <c r="E333" s="5" t="str">
        <f aca="false">IF(I333="","",IF(INDEX(J_DEB,I333)=$C$3,INDEX(J_KRE,I333),INDEX(J_DEB,I333)))</f>
        <v>Kas Tunai</v>
      </c>
      <c r="F333" s="44" t="n">
        <f aca="false">IF(I333="","",IF(INDEX(J_DEB,I333)=$C$3,INDEX(J_NOM,I333),0))</f>
        <v>0</v>
      </c>
      <c r="G333" s="44" t="n">
        <f aca="false">IF(I333="","",IF(INDEX(J_KRE,I333)=$C$3,INDEX(J_NOM,I333),0))</f>
        <v>4000000</v>
      </c>
      <c r="H333" s="44" t="n">
        <f aca="false">IF(I333="","",N(H332)+IF($C$5="Debet",F333-G333,G333-F333))</f>
        <v>16223741</v>
      </c>
      <c r="I333" s="66" t="n">
        <f aca="false">IF(J333&gt;$K$1,"",IFERROR(MATCH(J333,J_BB,0),""))</f>
        <v>511</v>
      </c>
      <c r="J333" s="66" t="n">
        <v>324</v>
      </c>
      <c r="K333" s="5"/>
    </row>
    <row r="334" customFormat="false" ht="15" hidden="false" customHeight="false" outlineLevel="0" collapsed="false">
      <c r="A334" s="5" t="n">
        <f aca="false">IF(I334="","",J334)</f>
        <v>325</v>
      </c>
      <c r="B334" s="83" t="n">
        <f aca="false">IF(I334="","",INDEX(J_TGL,I334))</f>
        <v>46128</v>
      </c>
      <c r="C334" s="5" t="str">
        <f aca="false">IF(I334="","",INDEX(J_NO,I334))</f>
        <v>JU-0512</v>
      </c>
      <c r="D334" s="5" t="str">
        <f aca="false">IF(I334="","",INDEX(J_KET,I334))</f>
        <v>Pindah dana tunai ke BCA (setor tunai by Bank)</v>
      </c>
      <c r="E334" s="5" t="str">
        <f aca="false">IF(I334="","",IF(INDEX(J_DEB,I334)=$C$3,INDEX(J_KRE,I334),INDEX(J_DEB,I334)))</f>
        <v>Kas Tunai</v>
      </c>
      <c r="F334" s="44" t="n">
        <f aca="false">IF(I334="","",IF(INDEX(J_DEB,I334)=$C$3,INDEX(J_NOM,I334),0))</f>
        <v>1926000</v>
      </c>
      <c r="G334" s="44" t="n">
        <f aca="false">IF(I334="","",IF(INDEX(J_KRE,I334)=$C$3,INDEX(J_NOM,I334),0))</f>
        <v>0</v>
      </c>
      <c r="H334" s="44" t="n">
        <f aca="false">IF(I334="","",N(H333)+IF($C$5="Debet",F334-G334,G334-F334))</f>
        <v>18149741</v>
      </c>
      <c r="I334" s="66" t="n">
        <f aca="false">IF(J334&gt;$K$1,"",IFERROR(MATCH(J334,J_BB,0),""))</f>
        <v>512</v>
      </c>
      <c r="J334" s="66" t="n">
        <v>325</v>
      </c>
      <c r="K334" s="5"/>
    </row>
    <row r="335" customFormat="false" ht="15" hidden="false" customHeight="false" outlineLevel="0" collapsed="false">
      <c r="A335" s="5" t="n">
        <f aca="false">IF(I335="","",J335)</f>
        <v>326</v>
      </c>
      <c r="B335" s="83" t="n">
        <f aca="false">IF(I335="","",INDEX(J_TGL,I335))</f>
        <v>46128</v>
      </c>
      <c r="C335" s="5" t="str">
        <f aca="false">IF(I335="","",INDEX(J_NO,I335))</f>
        <v>JU-0513</v>
      </c>
      <c r="D335" s="5" t="str">
        <f aca="false">IF(I335="","",INDEX(J_KET,I335))</f>
        <v>Belanja cairan untuk latihan latte art 30ml x 2 btl</v>
      </c>
      <c r="E335" s="5" t="str">
        <f aca="false">IF(I335="","",IF(INDEX(J_DEB,I335)=$C$3,INDEX(J_KRE,I335),INDEX(J_DEB,I335)))</f>
        <v>Biaya Marketing &amp; Promosi</v>
      </c>
      <c r="F335" s="44" t="n">
        <f aca="false">IF(I335="","",IF(INDEX(J_DEB,I335)=$C$3,INDEX(J_NOM,I335),0))</f>
        <v>0</v>
      </c>
      <c r="G335" s="44" t="n">
        <f aca="false">IF(I335="","",IF(INDEX(J_KRE,I335)=$C$3,INDEX(J_NOM,I335),0))</f>
        <v>211940</v>
      </c>
      <c r="H335" s="44" t="n">
        <f aca="false">IF(I335="","",N(H334)+IF($C$5="Debet",F335-G335,G335-F335))</f>
        <v>17937801</v>
      </c>
      <c r="I335" s="66" t="n">
        <f aca="false">IF(J335&gt;$K$1,"",IFERROR(MATCH(J335,J_BB,0),""))</f>
        <v>513</v>
      </c>
      <c r="J335" s="66" t="n">
        <v>326</v>
      </c>
      <c r="K335" s="5"/>
    </row>
    <row r="336" customFormat="false" ht="15" hidden="false" customHeight="false" outlineLevel="0" collapsed="false">
      <c r="A336" s="5" t="n">
        <f aca="false">IF(I336="","",J336)</f>
        <v>327</v>
      </c>
      <c r="B336" s="83" t="n">
        <f aca="false">IF(I336="","",INDEX(J_TGL,I336))</f>
        <v>46129</v>
      </c>
      <c r="C336" s="5" t="str">
        <f aca="false">IF(I336="","",INDEX(J_NO,I336))</f>
        <v>JU-0514</v>
      </c>
      <c r="D336" s="5" t="str">
        <f aca="false">IF(I336="","",INDEX(J_KET,I336))</f>
        <v>DP beans Yantos kopsu 40kg &amp; espresso 24kg</v>
      </c>
      <c r="E336" s="5" t="str">
        <f aca="false">IF(I336="","",IF(INDEX(J_DEB,I336)=$C$3,INDEX(J_KRE,I336),INDEX(J_DEB,I336)))</f>
        <v>Biaya Bahan Baku</v>
      </c>
      <c r="F336" s="44" t="n">
        <f aca="false">IF(I336="","",IF(INDEX(J_DEB,I336)=$C$3,INDEX(J_NOM,I336),0))</f>
        <v>0</v>
      </c>
      <c r="G336" s="44" t="n">
        <f aca="false">IF(I336="","",IF(INDEX(J_KRE,I336)=$C$3,INDEX(J_NOM,I336),0))</f>
        <v>9120000</v>
      </c>
      <c r="H336" s="44" t="n">
        <f aca="false">IF(I336="","",N(H335)+IF($C$5="Debet",F336-G336,G336-F336))</f>
        <v>8817801</v>
      </c>
      <c r="I336" s="66" t="n">
        <f aca="false">IF(J336&gt;$K$1,"",IFERROR(MATCH(J336,J_BB,0),""))</f>
        <v>514</v>
      </c>
      <c r="J336" s="66" t="n">
        <v>327</v>
      </c>
      <c r="K336" s="5"/>
    </row>
    <row r="337" customFormat="false" ht="15" hidden="false" customHeight="false" outlineLevel="0" collapsed="false">
      <c r="A337" s="5" t="n">
        <f aca="false">IF(I337="","",J337)</f>
        <v>328</v>
      </c>
      <c r="B337" s="83" t="n">
        <f aca="false">IF(I337="","",INDEX(J_TGL,I337))</f>
        <v>46129</v>
      </c>
      <c r="C337" s="5" t="str">
        <f aca="false">IF(I337="","",INDEX(J_NO,I337))</f>
        <v>JU-0515</v>
      </c>
      <c r="D337" s="5" t="str">
        <f aca="false">IF(I337="","",INDEX(J_KET,I337))</f>
        <v>Belanja susu freshmilk gf x 3 ctn</v>
      </c>
      <c r="E337" s="5" t="str">
        <f aca="false">IF(I337="","",IF(INDEX(J_DEB,I337)=$C$3,INDEX(J_KRE,I337),INDEX(J_DEB,I337)))</f>
        <v>Biaya Bahan Baku</v>
      </c>
      <c r="F337" s="44" t="n">
        <f aca="false">IF(I337="","",IF(INDEX(J_DEB,I337)=$C$3,INDEX(J_NOM,I337),0))</f>
        <v>0</v>
      </c>
      <c r="G337" s="44" t="n">
        <f aca="false">IF(I337="","",IF(INDEX(J_KRE,I337)=$C$3,INDEX(J_NOM,I337),0))</f>
        <v>741000</v>
      </c>
      <c r="H337" s="44" t="n">
        <f aca="false">IF(I337="","",N(H336)+IF($C$5="Debet",F337-G337,G337-F337))</f>
        <v>8076801</v>
      </c>
      <c r="I337" s="66" t="n">
        <f aca="false">IF(J337&gt;$K$1,"",IFERROR(MATCH(J337,J_BB,0),""))</f>
        <v>515</v>
      </c>
      <c r="J337" s="66" t="n">
        <v>328</v>
      </c>
      <c r="K337" s="5"/>
    </row>
    <row r="338" customFormat="false" ht="15" hidden="false" customHeight="false" outlineLevel="0" collapsed="false">
      <c r="A338" s="5" t="n">
        <f aca="false">IF(I338="","",J338)</f>
        <v>329</v>
      </c>
      <c r="B338" s="83" t="n">
        <f aca="false">IF(I338="","",INDEX(J_TGL,I338))</f>
        <v>46129</v>
      </c>
      <c r="C338" s="5" t="str">
        <f aca="false">IF(I338="","",INDEX(J_NO,I338))</f>
        <v>JU-0516</v>
      </c>
      <c r="D338" s="5" t="str">
        <f aca="false">IF(I338="","",INDEX(J_KET,I338))</f>
        <v>Biaya admin bank BCA</v>
      </c>
      <c r="E338" s="5" t="str">
        <f aca="false">IF(I338="","",IF(INDEX(J_DEB,I338)=$C$3,INDEX(J_KRE,I338),INDEX(J_DEB,I338)))</f>
        <v>Biaya Lainnya</v>
      </c>
      <c r="F338" s="44" t="n">
        <f aca="false">IF(I338="","",IF(INDEX(J_DEB,I338)=$C$3,INDEX(J_NOM,I338),0))</f>
        <v>0</v>
      </c>
      <c r="G338" s="44" t="n">
        <f aca="false">IF(I338="","",IF(INDEX(J_KRE,I338)=$C$3,INDEX(J_NOM,I338),0))</f>
        <v>10000</v>
      </c>
      <c r="H338" s="44" t="n">
        <f aca="false">IF(I338="","",N(H337)+IF($C$5="Debet",F338-G338,G338-F338))</f>
        <v>8066801</v>
      </c>
      <c r="I338" s="66" t="n">
        <f aca="false">IF(J338&gt;$K$1,"",IFERROR(MATCH(J338,J_BB,0),""))</f>
        <v>516</v>
      </c>
      <c r="J338" s="66" t="n">
        <v>329</v>
      </c>
      <c r="K338" s="5"/>
    </row>
    <row r="339" customFormat="false" ht="15" hidden="false" customHeight="false" outlineLevel="0" collapsed="false">
      <c r="A339" s="5" t="n">
        <f aca="false">IF(I339="","",J339)</f>
        <v>330</v>
      </c>
      <c r="B339" s="83" t="n">
        <f aca="false">IF(I339="","",INDEX(J_TGL,I339))</f>
        <v>46130</v>
      </c>
      <c r="C339" s="5" t="str">
        <f aca="false">IF(I339="","",INDEX(J_NO,I339))</f>
        <v>JU-0517</v>
      </c>
      <c r="D339" s="5" t="str">
        <f aca="false">IF(I339="","",INDEX(J_KET,I339))</f>
        <v>Biaya transfer flip</v>
      </c>
      <c r="E339" s="5" t="str">
        <f aca="false">IF(I339="","",IF(INDEX(J_DEB,I339)=$C$3,INDEX(J_KRE,I339),INDEX(J_DEB,I339)))</f>
        <v>Biaya Lainnya</v>
      </c>
      <c r="F339" s="44" t="n">
        <f aca="false">IF(I339="","",IF(INDEX(J_DEB,I339)=$C$3,INDEX(J_NOM,I339),0))</f>
        <v>0</v>
      </c>
      <c r="G339" s="44" t="n">
        <f aca="false">IF(I339="","",IF(INDEX(J_KRE,I339)=$C$3,INDEX(J_NOM,I339),0))</f>
        <v>1341</v>
      </c>
      <c r="H339" s="44" t="n">
        <f aca="false">IF(I339="","",N(H338)+IF($C$5="Debet",F339-G339,G339-F339))</f>
        <v>8065460</v>
      </c>
      <c r="I339" s="66" t="n">
        <f aca="false">IF(J339&gt;$K$1,"",IFERROR(MATCH(J339,J_BB,0),""))</f>
        <v>517</v>
      </c>
      <c r="J339" s="66" t="n">
        <v>330</v>
      </c>
      <c r="K339" s="5"/>
    </row>
    <row r="340" customFormat="false" ht="15" hidden="false" customHeight="false" outlineLevel="0" collapsed="false">
      <c r="A340" s="5" t="n">
        <f aca="false">IF(I340="","",J340)</f>
        <v>331</v>
      </c>
      <c r="B340" s="83" t="n">
        <f aca="false">IF(I340="","",INDEX(J_TGL,I340))</f>
        <v>46130</v>
      </c>
      <c r="C340" s="5" t="str">
        <f aca="false">IF(I340="","",INDEX(J_NO,I340))</f>
        <v>JU-0518</v>
      </c>
      <c r="D340" s="5" t="str">
        <f aca="false">IF(I340="","",INDEX(J_KET,I340))</f>
        <v>Belanja susu UHT ultramilk x 6 dus</v>
      </c>
      <c r="E340" s="5" t="str">
        <f aca="false">IF(I340="","",IF(INDEX(J_DEB,I340)=$C$3,INDEX(J_KRE,I340),INDEX(J_DEB,I340)))</f>
        <v>Biaya Bahan Baku</v>
      </c>
      <c r="F340" s="44" t="n">
        <f aca="false">IF(I340="","",IF(INDEX(J_DEB,I340)=$C$3,INDEX(J_NOM,I340),0))</f>
        <v>0</v>
      </c>
      <c r="G340" s="44" t="n">
        <f aca="false">IF(I340="","",IF(INDEX(J_KRE,I340)=$C$3,INDEX(J_NOM,I340),0))</f>
        <v>1338000</v>
      </c>
      <c r="H340" s="44" t="n">
        <f aca="false">IF(I340="","",N(H339)+IF($C$5="Debet",F340-G340,G340-F340))</f>
        <v>6727460</v>
      </c>
      <c r="I340" s="66" t="n">
        <f aca="false">IF(J340&gt;$K$1,"",IFERROR(MATCH(J340,J_BB,0),""))</f>
        <v>518</v>
      </c>
      <c r="J340" s="66" t="n">
        <v>331</v>
      </c>
      <c r="K340" s="5"/>
    </row>
    <row r="341" customFormat="false" ht="15" hidden="false" customHeight="false" outlineLevel="0" collapsed="false">
      <c r="A341" s="5" t="n">
        <f aca="false">IF(I341="","",J341)</f>
        <v>332</v>
      </c>
      <c r="B341" s="83" t="n">
        <f aca="false">IF(I341="","",INDEX(J_TGL,I341))</f>
        <v>46131</v>
      </c>
      <c r="C341" s="5" t="str">
        <f aca="false">IF(I341="","",INDEX(J_NO,I341))</f>
        <v>JU-0519</v>
      </c>
      <c r="D341" s="5" t="str">
        <f aca="false">IF(I341="","",INDEX(J_KET,I341))</f>
        <v>Belanja alat deteksi uang palsu Joyko MD-100 x 1pc</v>
      </c>
      <c r="E341" s="5" t="str">
        <f aca="false">IF(I341="","",IF(INDEX(J_DEB,I341)=$C$3,INDEX(J_KRE,I341),INDEX(J_DEB,I341)))</f>
        <v>Peralatan</v>
      </c>
      <c r="F341" s="44" t="n">
        <f aca="false">IF(I341="","",IF(INDEX(J_DEB,I341)=$C$3,INDEX(J_NOM,I341),0))</f>
        <v>0</v>
      </c>
      <c r="G341" s="44" t="n">
        <f aca="false">IF(I341="","",IF(INDEX(J_KRE,I341)=$C$3,INDEX(J_NOM,I341),0))</f>
        <v>93553</v>
      </c>
      <c r="H341" s="44" t="n">
        <f aca="false">IF(I341="","",N(H340)+IF($C$5="Debet",F341-G341,G341-F341))</f>
        <v>6633907</v>
      </c>
      <c r="I341" s="66" t="n">
        <f aca="false">IF(J341&gt;$K$1,"",IFERROR(MATCH(J341,J_BB,0),""))</f>
        <v>519</v>
      </c>
      <c r="J341" s="66" t="n">
        <v>332</v>
      </c>
      <c r="K341" s="5"/>
    </row>
    <row r="342" customFormat="false" ht="15" hidden="false" customHeight="false" outlineLevel="0" collapsed="false">
      <c r="A342" s="5" t="n">
        <f aca="false">IF(I342="","",J342)</f>
        <v>333</v>
      </c>
      <c r="B342" s="83" t="n">
        <f aca="false">IF(I342="","",INDEX(J_TGL,I342))</f>
        <v>46131</v>
      </c>
      <c r="C342" s="5" t="str">
        <f aca="false">IF(I342="","",INDEX(J_NO,I342))</f>
        <v>JU-0520</v>
      </c>
      <c r="D342" s="5" t="str">
        <f aca="false">IF(I342="","",INDEX(J_KET,I342))</f>
        <v>koreksi</v>
      </c>
      <c r="E342" s="5" t="str">
        <f aca="false">IF(I342="","",IF(INDEX(J_DEB,I342)=$C$3,INDEX(J_KRE,I342),INDEX(J_DEB,I342)))</f>
        <v>Pendapatan Lainnya</v>
      </c>
      <c r="F342" s="44" t="n">
        <f aca="false">IF(I342="","",IF(INDEX(J_DEB,I342)=$C$3,INDEX(J_NOM,I342),0))</f>
        <v>1</v>
      </c>
      <c r="G342" s="44" t="n">
        <f aca="false">IF(I342="","",IF(INDEX(J_KRE,I342)=$C$3,INDEX(J_NOM,I342),0))</f>
        <v>0</v>
      </c>
      <c r="H342" s="44" t="n">
        <f aca="false">IF(I342="","",N(H341)+IF($C$5="Debet",F342-G342,G342-F342))</f>
        <v>6633908</v>
      </c>
      <c r="I342" s="66" t="n">
        <f aca="false">IF(J342&gt;$K$1,"",IFERROR(MATCH(J342,J_BB,0),""))</f>
        <v>520</v>
      </c>
      <c r="J342" s="66" t="n">
        <v>333</v>
      </c>
      <c r="K342" s="5"/>
    </row>
    <row r="343" customFormat="false" ht="15" hidden="false" customHeight="false" outlineLevel="0" collapsed="false">
      <c r="A343" s="5" t="n">
        <f aca="false">IF(I343="","",J343)</f>
        <v>334</v>
      </c>
      <c r="B343" s="83" t="n">
        <f aca="false">IF(I343="","",INDEX(J_TGL,I343))</f>
        <v>46132</v>
      </c>
      <c r="C343" s="5" t="str">
        <f aca="false">IF(I343="","",INDEX(J_NO,I343))</f>
        <v>JU-0521</v>
      </c>
      <c r="D343" s="5" t="str">
        <f aca="false">IF(I343="","",INDEX(J_KET,I343))</f>
        <v>Pindah dana BCA ke kas warung (dana belanja besar 1/2)</v>
      </c>
      <c r="E343" s="5" t="str">
        <f aca="false">IF(I343="","",IF(INDEX(J_DEB,I343)=$C$3,INDEX(J_KRE,I343),INDEX(J_DEB,I343)))</f>
        <v>Kas Warung</v>
      </c>
      <c r="F343" s="44" t="n">
        <f aca="false">IF(I343="","",IF(INDEX(J_DEB,I343)=$C$3,INDEX(J_NOM,I343),0))</f>
        <v>0</v>
      </c>
      <c r="G343" s="44" t="n">
        <f aca="false">IF(I343="","",IF(INDEX(J_KRE,I343)=$C$3,INDEX(J_NOM,I343),0))</f>
        <v>4000000</v>
      </c>
      <c r="H343" s="44" t="n">
        <f aca="false">IF(I343="","",N(H342)+IF($C$5="Debet",F343-G343,G343-F343))</f>
        <v>2633908</v>
      </c>
      <c r="I343" s="66" t="n">
        <f aca="false">IF(J343&gt;$K$1,"",IFERROR(MATCH(J343,J_BB,0),""))</f>
        <v>521</v>
      </c>
      <c r="J343" s="66" t="n">
        <v>334</v>
      </c>
      <c r="K343" s="5"/>
    </row>
    <row r="344" customFormat="false" ht="15" hidden="false" customHeight="false" outlineLevel="0" collapsed="false">
      <c r="A344" s="5" t="n">
        <f aca="false">IF(I344="","",J344)</f>
        <v>335</v>
      </c>
      <c r="B344" s="83" t="n">
        <f aca="false">IF(I344="","",INDEX(J_TGL,I344))</f>
        <v>46132</v>
      </c>
      <c r="C344" s="5" t="str">
        <f aca="false">IF(I344="","",INDEX(J_NO,I344))</f>
        <v>JU-0522</v>
      </c>
      <c r="D344" s="5" t="str">
        <f aca="false">IF(I344="","",INDEX(J_KET,I344))</f>
        <v>Biaya transfer</v>
      </c>
      <c r="E344" s="5" t="str">
        <f aca="false">IF(I344="","",IF(INDEX(J_DEB,I344)=$C$3,INDEX(J_KRE,I344),INDEX(J_DEB,I344)))</f>
        <v>Biaya Lainnya</v>
      </c>
      <c r="F344" s="44" t="n">
        <f aca="false">IF(I344="","",IF(INDEX(J_DEB,I344)=$C$3,INDEX(J_NOM,I344),0))</f>
        <v>0</v>
      </c>
      <c r="G344" s="44" t="n">
        <f aca="false">IF(I344="","",IF(INDEX(J_KRE,I344)=$C$3,INDEX(J_NOM,I344),0))</f>
        <v>1327</v>
      </c>
      <c r="H344" s="44" t="n">
        <f aca="false">IF(I344="","",N(H343)+IF($C$5="Debet",F344-G344,G344-F344))</f>
        <v>2632581</v>
      </c>
      <c r="I344" s="66" t="n">
        <f aca="false">IF(J344&gt;$K$1,"",IFERROR(MATCH(J344,J_BB,0),""))</f>
        <v>522</v>
      </c>
      <c r="J344" s="66" t="n">
        <v>335</v>
      </c>
      <c r="K344" s="5"/>
    </row>
    <row r="345" customFormat="false" ht="15" hidden="false" customHeight="false" outlineLevel="0" collapsed="false">
      <c r="A345" s="5" t="n">
        <f aca="false">IF(I345="","",J345)</f>
        <v>336</v>
      </c>
      <c r="B345" s="83" t="n">
        <f aca="false">IF(I345="","",INDEX(J_TGL,I345))</f>
        <v>46132</v>
      </c>
      <c r="C345" s="5" t="str">
        <f aca="false">IF(I345="","",INDEX(J_NO,I345))</f>
        <v>JU-0523</v>
      </c>
      <c r="D345" s="5" t="str">
        <f aca="false">IF(I345="","",INDEX(J_KET,I345))</f>
        <v>Membayar PBB tahun 2026</v>
      </c>
      <c r="E345" s="5" t="str">
        <f aca="false">IF(I345="","",IF(INDEX(J_DEB,I345)=$C$3,INDEX(J_KRE,I345),INDEX(J_DEB,I345)))</f>
        <v>Biaya Lainnya</v>
      </c>
      <c r="F345" s="44" t="n">
        <f aca="false">IF(I345="","",IF(INDEX(J_DEB,I345)=$C$3,INDEX(J_NOM,I345),0))</f>
        <v>0</v>
      </c>
      <c r="G345" s="44" t="n">
        <f aca="false">IF(I345="","",IF(INDEX(J_KRE,I345)=$C$3,INDEX(J_NOM,I345),0))</f>
        <v>888888</v>
      </c>
      <c r="H345" s="44" t="n">
        <f aca="false">IF(I345="","",N(H344)+IF($C$5="Debet",F345-G345,G345-F345))</f>
        <v>1743693</v>
      </c>
      <c r="I345" s="66" t="n">
        <f aca="false">IF(J345&gt;$K$1,"",IFERROR(MATCH(J345,J_BB,0),""))</f>
        <v>523</v>
      </c>
      <c r="J345" s="66" t="n">
        <v>336</v>
      </c>
      <c r="K345" s="5"/>
    </row>
    <row r="346" customFormat="false" ht="15" hidden="false" customHeight="false" outlineLevel="0" collapsed="false">
      <c r="A346" s="5" t="n">
        <f aca="false">IF(I346="","",J346)</f>
        <v>337</v>
      </c>
      <c r="B346" s="83" t="n">
        <f aca="false">IF(I346="","",INDEX(J_TGL,I346))</f>
        <v>46132</v>
      </c>
      <c r="C346" s="5" t="str">
        <f aca="false">IF(I346="","",INDEX(J_NO,I346))</f>
        <v>JU-0524</v>
      </c>
      <c r="D346" s="5" t="str">
        <f aca="false">IF(I346="","",INDEX(J_KET,I346))</f>
        <v>Biaya admin tokopedia</v>
      </c>
      <c r="E346" s="5" t="str">
        <f aca="false">IF(I346="","",IF(INDEX(J_DEB,I346)=$C$3,INDEX(J_KRE,I346),INDEX(J_DEB,I346)))</f>
        <v>Biaya Lainnya</v>
      </c>
      <c r="F346" s="44" t="n">
        <f aca="false">IF(I346="","",IF(INDEX(J_DEB,I346)=$C$3,INDEX(J_NOM,I346),0))</f>
        <v>0</v>
      </c>
      <c r="G346" s="44" t="n">
        <f aca="false">IF(I346="","",IF(INDEX(J_KRE,I346)=$C$3,INDEX(J_NOM,I346),0))</f>
        <v>1000</v>
      </c>
      <c r="H346" s="44" t="n">
        <f aca="false">IF(I346="","",N(H345)+IF($C$5="Debet",F346-G346,G346-F346))</f>
        <v>1742693</v>
      </c>
      <c r="I346" s="66" t="n">
        <f aca="false">IF(J346&gt;$K$1,"",IFERROR(MATCH(J346,J_BB,0),""))</f>
        <v>524</v>
      </c>
      <c r="J346" s="66" t="n">
        <v>337</v>
      </c>
      <c r="K346" s="5"/>
    </row>
    <row r="347" customFormat="false" ht="15" hidden="false" customHeight="false" outlineLevel="0" collapsed="false">
      <c r="A347" s="5" t="n">
        <f aca="false">IF(I347="","",J347)</f>
        <v>338</v>
      </c>
      <c r="B347" s="83" t="n">
        <f aca="false">IF(I347="","",INDEX(J_TGL,I347))</f>
        <v>46132</v>
      </c>
      <c r="C347" s="5" t="str">
        <f aca="false">IF(I347="","",INDEX(J_NO,I347))</f>
        <v>JU-0525</v>
      </c>
      <c r="D347" s="5" t="str">
        <f aca="false">IF(I347="","",INDEX(J_KET,I347))</f>
        <v>Takeaway cup x 3.000 pcs invoice ke-3/3 faktur 12457. Pelunasan 10rb pcs 12oz PET cup</v>
      </c>
      <c r="E347" s="5" t="str">
        <f aca="false">IF(I347="","",IF(INDEX(J_DEB,I347)=$C$3,INDEX(J_KRE,I347),INDEX(J_DEB,I347)))</f>
        <v>Biaya Penyajian</v>
      </c>
      <c r="F347" s="44" t="n">
        <f aca="false">IF(I347="","",IF(INDEX(J_DEB,I347)=$C$3,INDEX(J_NOM,I347),0))</f>
        <v>0</v>
      </c>
      <c r="G347" s="44" t="n">
        <f aca="false">IF(I347="","",IF(INDEX(J_KRE,I347)=$C$3,INDEX(J_NOM,I347),0))</f>
        <v>1395000</v>
      </c>
      <c r="H347" s="44" t="n">
        <f aca="false">IF(I347="","",N(H346)+IF($C$5="Debet",F347-G347,G347-F347))</f>
        <v>347693</v>
      </c>
      <c r="I347" s="66" t="n">
        <f aca="false">IF(J347&gt;$K$1,"",IFERROR(MATCH(J347,J_BB,0),""))</f>
        <v>525</v>
      </c>
      <c r="J347" s="66" t="n">
        <v>338</v>
      </c>
      <c r="K347" s="5"/>
    </row>
    <row r="348" customFormat="false" ht="15" hidden="false" customHeight="false" outlineLevel="0" collapsed="false">
      <c r="A348" s="5" t="n">
        <f aca="false">IF(I348="","",J348)</f>
        <v>339</v>
      </c>
      <c r="B348" s="83" t="n">
        <f aca="false">IF(I348="","",INDEX(J_TGL,I348))</f>
        <v>46132</v>
      </c>
      <c r="C348" s="5" t="str">
        <f aca="false">IF(I348="","",INDEX(J_NO,I348))</f>
        <v>JU-0526</v>
      </c>
      <c r="D348" s="5" t="str">
        <f aca="false">IF(I348="","",INDEX(J_KET,I348))</f>
        <v>Pembayaran langganan aplikasi Majoo</v>
      </c>
      <c r="E348" s="5" t="str">
        <f aca="false">IF(I348="","",IF(INDEX(J_DEB,I348)=$C$3,INDEX(J_KRE,I348),INDEX(J_DEB,I348)))</f>
        <v>Biaya Tagihan Bulanan</v>
      </c>
      <c r="F348" s="44" t="n">
        <f aca="false">IF(I348="","",IF(INDEX(J_DEB,I348)=$C$3,INDEX(J_NOM,I348),0))</f>
        <v>0</v>
      </c>
      <c r="G348" s="44" t="n">
        <f aca="false">IF(I348="","",IF(INDEX(J_KRE,I348)=$C$3,INDEX(J_NOM,I348),0))</f>
        <v>287490</v>
      </c>
      <c r="H348" s="44" t="n">
        <f aca="false">IF(I348="","",N(H347)+IF($C$5="Debet",F348-G348,G348-F348))</f>
        <v>60203</v>
      </c>
      <c r="I348" s="66" t="n">
        <f aca="false">IF(J348&gt;$K$1,"",IFERROR(MATCH(J348,J_BB,0),""))</f>
        <v>526</v>
      </c>
      <c r="J348" s="66" t="n">
        <v>339</v>
      </c>
      <c r="K348" s="5"/>
    </row>
    <row r="349" customFormat="false" ht="15" hidden="false" customHeight="false" outlineLevel="0" collapsed="false">
      <c r="A349" s="5" t="n">
        <f aca="false">IF(I349="","",J349)</f>
        <v>340</v>
      </c>
      <c r="B349" s="83" t="n">
        <f aca="false">IF(I349="","",INDEX(J_TGL,I349))</f>
        <v>46132</v>
      </c>
      <c r="C349" s="5" t="str">
        <f aca="false">IF(I349="","",INDEX(J_NO,I349))</f>
        <v>JU-0527</v>
      </c>
      <c r="D349" s="5" t="str">
        <f aca="false">IF(I349="","",INDEX(J_KET,I349))</f>
        <v>Refill gas 12kg x 2 tabung</v>
      </c>
      <c r="E349" s="5" t="str">
        <f aca="false">IF(I349="","",IF(INDEX(J_DEB,I349)=$C$3,INDEX(J_KRE,I349),INDEX(J_DEB,I349)))</f>
        <v>Biaya Bahan Baku</v>
      </c>
      <c r="F349" s="44" t="n">
        <f aca="false">IF(I349="","",IF(INDEX(J_DEB,I349)=$C$3,INDEX(J_NOM,I349),0))</f>
        <v>0</v>
      </c>
      <c r="G349" s="44" t="n">
        <f aca="false">IF(I349="","",IF(INDEX(J_KRE,I349)=$C$3,INDEX(J_NOM,I349),0))</f>
        <v>460000</v>
      </c>
      <c r="H349" s="44" t="n">
        <f aca="false">IF(I349="","",N(H348)+IF($C$5="Debet",F349-G349,G349-F349))</f>
        <v>-399797</v>
      </c>
      <c r="I349" s="66" t="n">
        <f aca="false">IF(J349&gt;$K$1,"",IFERROR(MATCH(J349,J_BB,0),""))</f>
        <v>527</v>
      </c>
      <c r="J349" s="66" t="n">
        <v>340</v>
      </c>
      <c r="K349" s="5"/>
    </row>
    <row r="350" customFormat="false" ht="15" hidden="false" customHeight="false" outlineLevel="0" collapsed="false">
      <c r="A350" s="5" t="n">
        <f aca="false">IF(I350="","",J350)</f>
        <v>341</v>
      </c>
      <c r="B350" s="83" t="n">
        <f aca="false">IF(I350="","",INDEX(J_TGL,I350))</f>
        <v>46132</v>
      </c>
      <c r="C350" s="5" t="str">
        <f aca="false">IF(I350="","",INDEX(J_NO,I350))</f>
        <v>JU-0528</v>
      </c>
      <c r="D350" s="5" t="str">
        <f aca="false">IF(I350="","",INDEX(J_KET,I350))</f>
        <v>Pindah dana BCA ke kas warung (dana belanja besar 2/2) (lewat Seabank)</v>
      </c>
      <c r="E350" s="5" t="str">
        <f aca="false">IF(I350="","",IF(INDEX(J_DEB,I350)=$C$3,INDEX(J_KRE,I350),INDEX(J_DEB,I350)))</f>
        <v>Kas Warung</v>
      </c>
      <c r="F350" s="44" t="n">
        <f aca="false">IF(I350="","",IF(INDEX(J_DEB,I350)=$C$3,INDEX(J_NOM,I350),0))</f>
        <v>0</v>
      </c>
      <c r="G350" s="44" t="n">
        <f aca="false">IF(I350="","",IF(INDEX(J_KRE,I350)=$C$3,INDEX(J_NOM,I350),0))</f>
        <v>4000000</v>
      </c>
      <c r="H350" s="44" t="n">
        <f aca="false">IF(I350="","",N(H349)+IF($C$5="Debet",F350-G350,G350-F350))</f>
        <v>-4399797</v>
      </c>
      <c r="I350" s="66" t="n">
        <f aca="false">IF(J350&gt;$K$1,"",IFERROR(MATCH(J350,J_BB,0),""))</f>
        <v>528</v>
      </c>
      <c r="J350" s="66" t="n">
        <v>341</v>
      </c>
      <c r="K350" s="5"/>
    </row>
    <row r="351" customFormat="false" ht="15" hidden="false" customHeight="false" outlineLevel="0" collapsed="false">
      <c r="A351" s="5" t="n">
        <f aca="false">IF(I351="","",J351)</f>
        <v>342</v>
      </c>
      <c r="B351" s="83" t="n">
        <f aca="false">IF(I351="","",INDEX(J_TGL,I351))</f>
        <v>46132</v>
      </c>
      <c r="C351" s="5" t="str">
        <f aca="false">IF(I351="","",INDEX(J_NO,I351))</f>
        <v>JU-0529</v>
      </c>
      <c r="D351" s="5" t="str">
        <f aca="false">IF(I351="","",INDEX(J_KET,I351))</f>
        <v>Pembayaran nasi gudeg berkah 50box</v>
      </c>
      <c r="E351" s="5" t="str">
        <f aca="false">IF(I351="","",IF(INDEX(J_DEB,I351)=$C$3,INDEX(J_KRE,I351),INDEX(J_DEB,I351)))</f>
        <v>Dana Sosial &amp; CSR</v>
      </c>
      <c r="F351" s="44" t="n">
        <f aca="false">IF(I351="","",IF(INDEX(J_DEB,I351)=$C$3,INDEX(J_NOM,I351),0))</f>
        <v>0</v>
      </c>
      <c r="G351" s="44" t="n">
        <f aca="false">IF(I351="","",IF(INDEX(J_KRE,I351)=$C$3,INDEX(J_NOM,I351),0))</f>
        <v>800000</v>
      </c>
      <c r="H351" s="44" t="n">
        <f aca="false">IF(I351="","",N(H350)+IF($C$5="Debet",F351-G351,G351-F351))</f>
        <v>-5199797</v>
      </c>
      <c r="I351" s="66" t="n">
        <f aca="false">IF(J351&gt;$K$1,"",IFERROR(MATCH(J351,J_BB,0),""))</f>
        <v>529</v>
      </c>
      <c r="J351" s="66" t="n">
        <v>342</v>
      </c>
      <c r="K351" s="5"/>
    </row>
    <row r="352" customFormat="false" ht="15" hidden="false" customHeight="false" outlineLevel="0" collapsed="false">
      <c r="A352" s="5" t="n">
        <f aca="false">IF(I352="","",J352)</f>
        <v>343</v>
      </c>
      <c r="B352" s="83" t="n">
        <f aca="false">IF(I352="","",INDEX(J_TGL,I352))</f>
        <v>46132</v>
      </c>
      <c r="C352" s="5" t="str">
        <f aca="false">IF(I352="","",INDEX(J_NO,I352))</f>
        <v>JU-0530</v>
      </c>
      <c r="D352" s="5" t="str">
        <f aca="false">IF(I352="","",INDEX(J_KET,I352))</f>
        <v>Einstein pinjam pesan nasi gudeg berkah 20box</v>
      </c>
      <c r="E352" s="5" t="str">
        <f aca="false">IF(I352="","",IF(INDEX(J_DEB,I352)=$C$3,INDEX(J_KRE,I352),INDEX(J_DEB,I352)))</f>
        <v>Piutang Lainnya</v>
      </c>
      <c r="F352" s="44" t="n">
        <f aca="false">IF(I352="","",IF(INDEX(J_DEB,I352)=$C$3,INDEX(J_NOM,I352),0))</f>
        <v>0</v>
      </c>
      <c r="G352" s="44" t="n">
        <f aca="false">IF(I352="","",IF(INDEX(J_KRE,I352)=$C$3,INDEX(J_NOM,I352),0))</f>
        <v>320000</v>
      </c>
      <c r="H352" s="44" t="n">
        <f aca="false">IF(I352="","",N(H351)+IF($C$5="Debet",F352-G352,G352-F352))</f>
        <v>-5519797</v>
      </c>
      <c r="I352" s="66" t="n">
        <f aca="false">IF(J352&gt;$K$1,"",IFERROR(MATCH(J352,J_BB,0),""))</f>
        <v>530</v>
      </c>
      <c r="J352" s="66" t="n">
        <v>343</v>
      </c>
      <c r="K352" s="5"/>
    </row>
    <row r="353" customFormat="false" ht="15" hidden="false" customHeight="false" outlineLevel="0" collapsed="false">
      <c r="A353" s="5" t="n">
        <f aca="false">IF(I353="","",J353)</f>
        <v>344</v>
      </c>
      <c r="B353" s="83" t="n">
        <f aca="false">IF(I353="","",INDEX(J_TGL,I353))</f>
        <v>46132</v>
      </c>
      <c r="C353" s="5" t="str">
        <f aca="false">IF(I353="","",INDEX(J_NO,I353))</f>
        <v>JU-0531</v>
      </c>
      <c r="D353" s="5" t="str">
        <f aca="false">IF(I353="","",INDEX(J_KET,I353))</f>
        <v>Belanja frozen food : 9 straight, 4 crinkle, 6 champ, 8 beef breakfast</v>
      </c>
      <c r="E353" s="5" t="str">
        <f aca="false">IF(I353="","",IF(INDEX(J_DEB,I353)=$C$3,INDEX(J_KRE,I353),INDEX(J_DEB,I353)))</f>
        <v>Biaya Bahan Baku</v>
      </c>
      <c r="F353" s="44" t="n">
        <f aca="false">IF(I353="","",IF(INDEX(J_DEB,I353)=$C$3,INDEX(J_NOM,I353),0))</f>
        <v>0</v>
      </c>
      <c r="G353" s="44" t="n">
        <f aca="false">IF(I353="","",IF(INDEX(J_KRE,I353)=$C$3,INDEX(J_NOM,I353),0))</f>
        <v>1622000</v>
      </c>
      <c r="H353" s="44" t="n">
        <f aca="false">IF(I353="","",N(H352)+IF($C$5="Debet",F353-G353,G353-F353))</f>
        <v>-7141797</v>
      </c>
      <c r="I353" s="66" t="n">
        <f aca="false">IF(J353&gt;$K$1,"",IFERROR(MATCH(J353,J_BB,0),""))</f>
        <v>531</v>
      </c>
      <c r="J353" s="66" t="n">
        <v>344</v>
      </c>
      <c r="K353" s="5"/>
    </row>
    <row r="354" customFormat="false" ht="15" hidden="false" customHeight="false" outlineLevel="0" collapsed="false">
      <c r="A354" s="5" t="n">
        <f aca="false">IF(I354="","",J354)</f>
        <v>345</v>
      </c>
      <c r="B354" s="83" t="n">
        <f aca="false">IF(I354="","",INDEX(J_TGL,I354))</f>
        <v>46133</v>
      </c>
      <c r="C354" s="5" t="str">
        <f aca="false">IF(I354="","",INDEX(J_NO,I354))</f>
        <v>JU-0532</v>
      </c>
      <c r="D354" s="5" t="str">
        <f aca="false">IF(I354="","",INDEX(J_KET,I354))</f>
        <v>Pelunasan beans Yantos kopsu 40kg &amp; espresso 24kg</v>
      </c>
      <c r="E354" s="5" t="str">
        <f aca="false">IF(I354="","",IF(INDEX(J_DEB,I354)=$C$3,INDEX(J_KRE,I354),INDEX(J_DEB,I354)))</f>
        <v>Biaya Bahan Baku</v>
      </c>
      <c r="F354" s="44" t="n">
        <f aca="false">IF(I354="","",IF(INDEX(J_DEB,I354)=$C$3,INDEX(J_NOM,I354),0))</f>
        <v>0</v>
      </c>
      <c r="G354" s="44" t="n">
        <f aca="false">IF(I354="","",IF(INDEX(J_KRE,I354)=$C$3,INDEX(J_NOM,I354),0))</f>
        <v>9120000</v>
      </c>
      <c r="H354" s="44" t="n">
        <f aca="false">IF(I354="","",N(H353)+IF($C$5="Debet",F354-G354,G354-F354))</f>
        <v>-16261797</v>
      </c>
      <c r="I354" s="66" t="n">
        <f aca="false">IF(J354&gt;$K$1,"",IFERROR(MATCH(J354,J_BB,0),""))</f>
        <v>532</v>
      </c>
      <c r="J354" s="66" t="n">
        <v>345</v>
      </c>
      <c r="K354" s="5"/>
    </row>
    <row r="355" customFormat="false" ht="15" hidden="false" customHeight="false" outlineLevel="0" collapsed="false">
      <c r="A355" s="5" t="n">
        <f aca="false">IF(I355="","",J355)</f>
        <v>346</v>
      </c>
      <c r="B355" s="83" t="n">
        <f aca="false">IF(I355="","",INDEX(J_TGL,I355))</f>
        <v>46133</v>
      </c>
      <c r="C355" s="5" t="str">
        <f aca="false">IF(I355="","",INDEX(J_NO,I355))</f>
        <v>JU-0533</v>
      </c>
      <c r="D355" s="5" t="str">
        <f aca="false">IF(I355="","",INDEX(J_KET,I355))</f>
        <v>UHT ultramilk 15 karton</v>
      </c>
      <c r="E355" s="5" t="str">
        <f aca="false">IF(I355="","",IF(INDEX(J_DEB,I355)=$C$3,INDEX(J_KRE,I355),INDEX(J_DEB,I355)))</f>
        <v>Biaya Bahan Baku</v>
      </c>
      <c r="F355" s="44" t="n">
        <f aca="false">IF(I355="","",IF(INDEX(J_DEB,I355)=$C$3,INDEX(J_NOM,I355),0))</f>
        <v>0</v>
      </c>
      <c r="G355" s="44" t="n">
        <f aca="false">IF(I355="","",IF(INDEX(J_KRE,I355)=$C$3,INDEX(J_NOM,I355),0))</f>
        <v>3345000</v>
      </c>
      <c r="H355" s="44" t="n">
        <f aca="false">IF(I355="","",N(H354)+IF($C$5="Debet",F355-G355,G355-F355))</f>
        <v>-19606797</v>
      </c>
      <c r="I355" s="66" t="n">
        <f aca="false">IF(J355&gt;$K$1,"",IFERROR(MATCH(J355,J_BB,0),""))</f>
        <v>533</v>
      </c>
      <c r="J355" s="66" t="n">
        <v>346</v>
      </c>
      <c r="K355" s="5"/>
    </row>
    <row r="356" customFormat="false" ht="15" hidden="false" customHeight="false" outlineLevel="0" collapsed="false">
      <c r="A356" s="5" t="n">
        <f aca="false">IF(I356="","",J356)</f>
        <v>347</v>
      </c>
      <c r="B356" s="83" t="n">
        <f aca="false">IF(I356="","",INDEX(J_TGL,I356))</f>
        <v>46134</v>
      </c>
      <c r="C356" s="5" t="str">
        <f aca="false">IF(I356="","",INDEX(J_NO,I356))</f>
        <v>JU-0534</v>
      </c>
      <c r="D356" s="5" t="str">
        <f aca="false">IF(I356="","",INDEX(J_KET,I356))</f>
        <v>Jasa membuat mokup nasi food grade printing 1000pcs</v>
      </c>
      <c r="E356" s="5" t="str">
        <f aca="false">IF(I356="","",IF(INDEX(J_DEB,I356)=$C$3,INDEX(J_KRE,I356),INDEX(J_DEB,I356)))</f>
        <v>Biaya Marketing &amp; Promosi</v>
      </c>
      <c r="F356" s="44" t="n">
        <f aca="false">IF(I356="","",IF(INDEX(J_DEB,I356)=$C$3,INDEX(J_NOM,I356),0))</f>
        <v>0</v>
      </c>
      <c r="G356" s="44" t="n">
        <f aca="false">IF(I356="","",IF(INDEX(J_KRE,I356)=$C$3,INDEX(J_NOM,I356),0))</f>
        <v>600000</v>
      </c>
      <c r="H356" s="44" t="n">
        <f aca="false">IF(I356="","",N(H355)+IF($C$5="Debet",F356-G356,G356-F356))</f>
        <v>-20206797</v>
      </c>
      <c r="I356" s="66" t="n">
        <f aca="false">IF(J356&gt;$K$1,"",IFERROR(MATCH(J356,J_BB,0),""))</f>
        <v>534</v>
      </c>
      <c r="J356" s="66" t="n">
        <v>347</v>
      </c>
      <c r="K356" s="5"/>
    </row>
    <row r="357" customFormat="false" ht="15" hidden="false" customHeight="false" outlineLevel="0" collapsed="false">
      <c r="A357" s="5" t="n">
        <f aca="false">IF(I357="","",J357)</f>
        <v>348</v>
      </c>
      <c r="B357" s="83" t="n">
        <f aca="false">IF(I357="","",INDEX(J_TGL,I357))</f>
        <v>46134</v>
      </c>
      <c r="C357" s="5" t="str">
        <f aca="false">IF(I357="","",INDEX(J_NO,I357))</f>
        <v>JU-0535</v>
      </c>
      <c r="D357" s="5" t="str">
        <f aca="false">IF(I357="","",INDEX(J_KET,I357))</f>
        <v>7 soda bluberi &amp; 3 botol baru</v>
      </c>
      <c r="E357" s="5" t="str">
        <f aca="false">IF(I357="","",IF(INDEX(J_DEB,I357)=$C$3,INDEX(J_KRE,I357),INDEX(J_DEB,I357)))</f>
        <v>Biaya Bahan Baku</v>
      </c>
      <c r="F357" s="44" t="n">
        <f aca="false">IF(I357="","",IF(INDEX(J_DEB,I357)=$C$3,INDEX(J_NOM,I357),0))</f>
        <v>0</v>
      </c>
      <c r="G357" s="44" t="n">
        <f aca="false">IF(I357="","",IF(INDEX(J_KRE,I357)=$C$3,INDEX(J_NOM,I357),0))</f>
        <v>150500</v>
      </c>
      <c r="H357" s="44" t="n">
        <f aca="false">IF(I357="","",N(H356)+IF($C$5="Debet",F357-G357,G357-F357))</f>
        <v>-20357297</v>
      </c>
      <c r="I357" s="66" t="n">
        <f aca="false">IF(J357&gt;$K$1,"",IFERROR(MATCH(J357,J_BB,0),""))</f>
        <v>535</v>
      </c>
      <c r="J357" s="66" t="n">
        <v>348</v>
      </c>
      <c r="K357" s="5"/>
    </row>
    <row r="358" customFormat="false" ht="15" hidden="false" customHeight="false" outlineLevel="0" collapsed="false">
      <c r="A358" s="5" t="n">
        <f aca="false">IF(I358="","",J358)</f>
        <v>349</v>
      </c>
      <c r="B358" s="83" t="n">
        <f aca="false">IF(I358="","",INDEX(J_TGL,I358))</f>
        <v>46134</v>
      </c>
      <c r="C358" s="5" t="str">
        <f aca="false">IF(I358="","",INDEX(J_NO,I358))</f>
        <v>JU-0536</v>
      </c>
      <c r="D358" s="5" t="str">
        <f aca="false">IF(I358="","",INDEX(J_KET,I358))</f>
        <v>3 botol baru soda</v>
      </c>
      <c r="E358" s="5" t="str">
        <f aca="false">IF(I358="","",IF(INDEX(J_DEB,I358)=$C$3,INDEX(J_KRE,I358),INDEX(J_DEB,I358)))</f>
        <v>Biaya Penyajian</v>
      </c>
      <c r="F358" s="44" t="n">
        <f aca="false">IF(I358="","",IF(INDEX(J_DEB,I358)=$C$3,INDEX(J_NOM,I358),0))</f>
        <v>0</v>
      </c>
      <c r="G358" s="44" t="n">
        <f aca="false">IF(I358="","",IF(INDEX(J_KRE,I358)=$C$3,INDEX(J_NOM,I358),0))</f>
        <v>18000</v>
      </c>
      <c r="H358" s="44" t="n">
        <f aca="false">IF(I358="","",N(H357)+IF($C$5="Debet",F358-G358,G358-F358))</f>
        <v>-20375297</v>
      </c>
      <c r="I358" s="66" t="n">
        <f aca="false">IF(J358&gt;$K$1,"",IFERROR(MATCH(J358,J_BB,0),""))</f>
        <v>536</v>
      </c>
      <c r="J358" s="66" t="n">
        <v>349</v>
      </c>
      <c r="K358" s="5"/>
    </row>
    <row r="359" customFormat="false" ht="15" hidden="false" customHeight="false" outlineLevel="0" collapsed="false">
      <c r="A359" s="5" t="n">
        <f aca="false">IF(I359="","",J359)</f>
        <v>350</v>
      </c>
      <c r="B359" s="83" t="n">
        <f aca="false">IF(I359="","",INDEX(J_TGL,I359))</f>
        <v>46134</v>
      </c>
      <c r="C359" s="5" t="str">
        <f aca="false">IF(I359="","",INDEX(J_NO,I359))</f>
        <v>JU-0537</v>
      </c>
      <c r="D359" s="5" t="str">
        <f aca="false">IF(I359="","",INDEX(J_KET,I359))</f>
        <v>Pembayaran quesillo 8pcs &amp; 2 loyang tiramisu</v>
      </c>
      <c r="E359" s="5" t="str">
        <f aca="false">IF(I359="","",IF(INDEX(J_DEB,I359)=$C$3,INDEX(J_KRE,I359),INDEX(J_DEB,I359)))</f>
        <v>Biaya Bahan Baku</v>
      </c>
      <c r="F359" s="44" t="n">
        <f aca="false">IF(I359="","",IF(INDEX(J_DEB,I359)=$C$3,INDEX(J_NOM,I359),0))</f>
        <v>0</v>
      </c>
      <c r="G359" s="44" t="n">
        <f aca="false">IF(I359="","",IF(INDEX(J_KRE,I359)=$C$3,INDEX(J_NOM,I359),0))</f>
        <v>360000</v>
      </c>
      <c r="H359" s="44" t="n">
        <f aca="false">IF(I359="","",N(H358)+IF($C$5="Debet",F359-G359,G359-F359))</f>
        <v>-20735297</v>
      </c>
      <c r="I359" s="66" t="n">
        <f aca="false">IF(J359&gt;$K$1,"",IFERROR(MATCH(J359,J_BB,0),""))</f>
        <v>537</v>
      </c>
      <c r="J359" s="66" t="n">
        <v>350</v>
      </c>
      <c r="K359" s="5"/>
    </row>
    <row r="360" customFormat="false" ht="15" hidden="false" customHeight="false" outlineLevel="0" collapsed="false">
      <c r="A360" s="5" t="n">
        <f aca="false">IF(I360="","",J360)</f>
        <v>351</v>
      </c>
      <c r="B360" s="83" t="n">
        <f aca="false">IF(I360="","",INDEX(J_TGL,I360))</f>
        <v>46135</v>
      </c>
      <c r="C360" s="5" t="str">
        <f aca="false">IF(I360="","",INDEX(J_NO,I360))</f>
        <v>JU-0539</v>
      </c>
      <c r="D360" s="5" t="str">
        <f aca="false">IF(I360="","",INDEX(J_KET,I360))</f>
        <v>Pembayaran croissant batch 164-171 112pcs</v>
      </c>
      <c r="E360" s="5" t="str">
        <f aca="false">IF(I360="","",IF(INDEX(J_DEB,I360)=$C$3,INDEX(J_KRE,I360),INDEX(J_DEB,I360)))</f>
        <v>Biaya Bahan Baku</v>
      </c>
      <c r="F360" s="44" t="n">
        <f aca="false">IF(I360="","",IF(INDEX(J_DEB,I360)=$C$3,INDEX(J_NOM,I360),0))</f>
        <v>0</v>
      </c>
      <c r="G360" s="44" t="n">
        <f aca="false">IF(I360="","",IF(INDEX(J_KRE,I360)=$C$3,INDEX(J_NOM,I360),0))</f>
        <v>2454000</v>
      </c>
      <c r="H360" s="44" t="n">
        <f aca="false">IF(I360="","",N(H359)+IF($C$5="Debet",F360-G360,G360-F360))</f>
        <v>-23189297</v>
      </c>
      <c r="I360" s="66" t="n">
        <f aca="false">IF(J360&gt;$K$1,"",IFERROR(MATCH(J360,J_BB,0),""))</f>
        <v>539</v>
      </c>
      <c r="J360" s="66" t="n">
        <v>351</v>
      </c>
      <c r="K360" s="5"/>
    </row>
    <row r="361" customFormat="false" ht="15" hidden="false" customHeight="false" outlineLevel="0" collapsed="false">
      <c r="A361" s="5" t="n">
        <f aca="false">IF(I361="","",J361)</f>
        <v>352</v>
      </c>
      <c r="B361" s="83" t="n">
        <f aca="false">IF(I361="","",INDEX(J_TGL,I361))</f>
        <v>46135</v>
      </c>
      <c r="C361" s="5" t="str">
        <f aca="false">IF(I361="","",INDEX(J_NO,I361))</f>
        <v>JU-0540</v>
      </c>
      <c r="D361" s="5" t="str">
        <f aca="false">IF(I361="","",INDEX(J_KET,I361))</f>
        <v>Pembayaran buy return</v>
      </c>
      <c r="E361" s="5" t="str">
        <f aca="false">IF(I361="","",IF(INDEX(J_DEB,I361)=$C$3,INDEX(J_KRE,I361),INDEX(J_DEB,I361)))</f>
        <v>Biaya Lainnya</v>
      </c>
      <c r="F361" s="44" t="n">
        <f aca="false">IF(I361="","",IF(INDEX(J_DEB,I361)=$C$3,INDEX(J_NOM,I361),0))</f>
        <v>0</v>
      </c>
      <c r="G361" s="44" t="n">
        <f aca="false">IF(I361="","",IF(INDEX(J_KRE,I361)=$C$3,INDEX(J_NOM,I361),0))</f>
        <v>30000</v>
      </c>
      <c r="H361" s="44" t="n">
        <f aca="false">IF(I361="","",N(H360)+IF($C$5="Debet",F361-G361,G361-F361))</f>
        <v>-23219297</v>
      </c>
      <c r="I361" s="66" t="n">
        <f aca="false">IF(J361&gt;$K$1,"",IFERROR(MATCH(J361,J_BB,0),""))</f>
        <v>540</v>
      </c>
      <c r="J361" s="66" t="n">
        <v>352</v>
      </c>
      <c r="K361" s="5"/>
    </row>
    <row r="362" customFormat="false" ht="15" hidden="false" customHeight="false" outlineLevel="0" collapsed="false">
      <c r="A362" s="5" t="n">
        <f aca="false">IF(I362="","",J362)</f>
        <v>353</v>
      </c>
      <c r="B362" s="83" t="n">
        <f aca="false">IF(I362="","",INDEX(J_TGL,I362))</f>
        <v>46136</v>
      </c>
      <c r="C362" s="5" t="str">
        <f aca="false">IF(I362="","",INDEX(J_NO,I362))</f>
        <v>JU-0546</v>
      </c>
      <c r="D362" s="5" t="str">
        <f aca="false">IF(I362="","",INDEX(J_KET,I362))</f>
        <v>Pindah dana tunai ke BCA (Bu Istu tukar uang)</v>
      </c>
      <c r="E362" s="5" t="str">
        <f aca="false">IF(I362="","",IF(INDEX(J_DEB,I362)=$C$3,INDEX(J_KRE,I362),INDEX(J_DEB,I362)))</f>
        <v>Kas Tunai</v>
      </c>
      <c r="F362" s="44" t="n">
        <f aca="false">IF(I362="","",IF(INDEX(J_DEB,I362)=$C$3,INDEX(J_NOM,I362),0))</f>
        <v>5000000</v>
      </c>
      <c r="G362" s="44" t="n">
        <f aca="false">IF(I362="","",IF(INDEX(J_KRE,I362)=$C$3,INDEX(J_NOM,I362),0))</f>
        <v>0</v>
      </c>
      <c r="H362" s="44" t="n">
        <f aca="false">IF(I362="","",N(H361)+IF($C$5="Debet",F362-G362,G362-F362))</f>
        <v>-18219297</v>
      </c>
      <c r="I362" s="66" t="n">
        <f aca="false">IF(J362&gt;$K$1,"",IFERROR(MATCH(J362,J_BB,0),""))</f>
        <v>546</v>
      </c>
      <c r="J362" s="66" t="n">
        <v>353</v>
      </c>
      <c r="K362" s="5"/>
    </row>
    <row r="363" customFormat="false" ht="15" hidden="false" customHeight="false" outlineLevel="0" collapsed="false">
      <c r="A363" s="5" t="n">
        <f aca="false">IF(I363="","",J363)</f>
        <v>354</v>
      </c>
      <c r="B363" s="83" t="n">
        <f aca="false">IF(I363="","",INDEX(J_TGL,I363))</f>
        <v>46136</v>
      </c>
      <c r="C363" s="5" t="str">
        <f aca="false">IF(I363="","",INDEX(J_NO,I363))</f>
        <v>JU-0547</v>
      </c>
      <c r="D363" s="5" t="str">
        <f aca="false">IF(I363="","",INDEX(J_KET,I363))</f>
        <v>seasonal beans 1 pack &amp; 2 kg Aloha beli beans di Pinara</v>
      </c>
      <c r="E363" s="5" t="str">
        <f aca="false">IF(I363="","",IF(INDEX(J_DEB,I363)=$C$3,INDEX(J_KRE,I363),INDEX(J_DEB,I363)))</f>
        <v>Biaya Bahan Baku</v>
      </c>
      <c r="F363" s="44" t="n">
        <f aca="false">IF(I363="","",IF(INDEX(J_DEB,I363)=$C$3,INDEX(J_NOM,I363),0))</f>
        <v>0</v>
      </c>
      <c r="G363" s="44" t="n">
        <f aca="false">IF(I363="","",IF(INDEX(J_KRE,I363)=$C$3,INDEX(J_NOM,I363),0))</f>
        <v>620000</v>
      </c>
      <c r="H363" s="44" t="n">
        <f aca="false">IF(I363="","",N(H362)+IF($C$5="Debet",F363-G363,G363-F363))</f>
        <v>-18839297</v>
      </c>
      <c r="I363" s="66" t="n">
        <f aca="false">IF(J363&gt;$K$1,"",IFERROR(MATCH(J363,J_BB,0),""))</f>
        <v>547</v>
      </c>
      <c r="J363" s="66" t="n">
        <v>354</v>
      </c>
      <c r="K363" s="5"/>
    </row>
    <row r="364" customFormat="false" ht="15" hidden="false" customHeight="false" outlineLevel="0" collapsed="false">
      <c r="A364" s="5" t="n">
        <f aca="false">IF(I364="","",J364)</f>
        <v>355</v>
      </c>
      <c r="B364" s="83" t="n">
        <f aca="false">IF(I364="","",INDEX(J_TGL,I364))</f>
        <v>46136</v>
      </c>
      <c r="C364" s="5" t="str">
        <f aca="false">IF(I364="","",INDEX(J_NO,I364))</f>
        <v>JU-0548</v>
      </c>
      <c r="D364" s="5" t="str">
        <f aca="false">IF(I364="","",INDEX(J_KET,I364))</f>
        <v>Hario v60 2pack kertas filter</v>
      </c>
      <c r="E364" s="5" t="str">
        <f aca="false">IF(I364="","",IF(INDEX(J_DEB,I364)=$C$3,INDEX(J_KRE,I364),INDEX(J_DEB,I364)))</f>
        <v>Biaya Penyajian</v>
      </c>
      <c r="F364" s="44" t="n">
        <f aca="false">IF(I364="","",IF(INDEX(J_DEB,I364)=$C$3,INDEX(J_NOM,I364),0))</f>
        <v>0</v>
      </c>
      <c r="G364" s="44" t="n">
        <f aca="false">IF(I364="","",IF(INDEX(J_KRE,I364)=$C$3,INDEX(J_NOM,I364),0))</f>
        <v>180000</v>
      </c>
      <c r="H364" s="44" t="n">
        <f aca="false">IF(I364="","",N(H363)+IF($C$5="Debet",F364-G364,G364-F364))</f>
        <v>-19019297</v>
      </c>
      <c r="I364" s="66" t="n">
        <f aca="false">IF(J364&gt;$K$1,"",IFERROR(MATCH(J364,J_BB,0),""))</f>
        <v>548</v>
      </c>
      <c r="J364" s="66" t="n">
        <v>355</v>
      </c>
      <c r="K364" s="5"/>
    </row>
    <row r="365" customFormat="false" ht="15" hidden="false" customHeight="false" outlineLevel="0" collapsed="false">
      <c r="A365" s="5" t="n">
        <f aca="false">IF(I365="","",J365)</f>
        <v>356</v>
      </c>
      <c r="B365" s="83" t="n">
        <f aca="false">IF(I365="","",INDEX(J_TGL,I365))</f>
        <v>46136</v>
      </c>
      <c r="C365" s="5" t="str">
        <f aca="false">IF(I365="","",INDEX(J_NO,I365))</f>
        <v>JU-0549</v>
      </c>
      <c r="D365" s="5" t="str">
        <f aca="false">IF(I365="","",INDEX(J_KET,I365))</f>
        <v>Tofico matcha premium x 2btl</v>
      </c>
      <c r="E365" s="5" t="str">
        <f aca="false">IF(I365="","",IF(INDEX(J_DEB,I365)=$C$3,INDEX(J_KRE,I365),INDEX(J_DEB,I365)))</f>
        <v>Biaya Bahan Baku</v>
      </c>
      <c r="F365" s="44" t="n">
        <f aca="false">IF(I365="","",IF(INDEX(J_DEB,I365)=$C$3,INDEX(J_NOM,I365),0))</f>
        <v>0</v>
      </c>
      <c r="G365" s="44" t="n">
        <f aca="false">IF(I365="","",IF(INDEX(J_KRE,I365)=$C$3,INDEX(J_NOM,I365),0))</f>
        <v>430000</v>
      </c>
      <c r="H365" s="44" t="n">
        <f aca="false">IF(I365="","",N(H364)+IF($C$5="Debet",F365-G365,G365-F365))</f>
        <v>-19449297</v>
      </c>
      <c r="I365" s="66" t="n">
        <f aca="false">IF(J365&gt;$K$1,"",IFERROR(MATCH(J365,J_BB,0),""))</f>
        <v>549</v>
      </c>
      <c r="J365" s="66" t="n">
        <v>356</v>
      </c>
      <c r="K365" s="5"/>
    </row>
    <row r="366" customFormat="false" ht="15" hidden="false" customHeight="false" outlineLevel="0" collapsed="false">
      <c r="A366" s="5" t="n">
        <f aca="false">IF(I366="","",J366)</f>
        <v>357</v>
      </c>
      <c r="B366" s="83" t="n">
        <f aca="false">IF(I366="","",INDEX(J_TGL,I366))</f>
        <v>46137</v>
      </c>
      <c r="C366" s="5" t="str">
        <f aca="false">IF(I366="","",INDEX(J_NO,I366))</f>
        <v>JU-0550</v>
      </c>
      <c r="D366" s="5" t="str">
        <f aca="false">IF(I366="","",INDEX(J_KET,I366))</f>
        <v>Pindah dana tunai ke BCA (FM tukar uang)</v>
      </c>
      <c r="E366" s="5" t="str">
        <f aca="false">IF(I366="","",IF(INDEX(J_DEB,I366)=$C$3,INDEX(J_KRE,I366),INDEX(J_DEB,I366)))</f>
        <v>Kas Tunai</v>
      </c>
      <c r="F366" s="44" t="n">
        <f aca="false">IF(I366="","",IF(INDEX(J_DEB,I366)=$C$3,INDEX(J_NOM,I366),0))</f>
        <v>5000000</v>
      </c>
      <c r="G366" s="44" t="n">
        <f aca="false">IF(I366="","",IF(INDEX(J_KRE,I366)=$C$3,INDEX(J_NOM,I366),0))</f>
        <v>0</v>
      </c>
      <c r="H366" s="44" t="n">
        <f aca="false">IF(I366="","",N(H365)+IF($C$5="Debet",F366-G366,G366-F366))</f>
        <v>-14449297</v>
      </c>
      <c r="I366" s="66" t="n">
        <f aca="false">IF(J366&gt;$K$1,"",IFERROR(MATCH(J366,J_BB,0),""))</f>
        <v>550</v>
      </c>
      <c r="J366" s="66" t="n">
        <v>357</v>
      </c>
      <c r="K366" s="5"/>
    </row>
    <row r="367" customFormat="false" ht="15" hidden="false" customHeight="false" outlineLevel="0" collapsed="false">
      <c r="A367" s="5" t="n">
        <f aca="false">IF(I367="","",J367)</f>
        <v>358</v>
      </c>
      <c r="B367" s="83" t="n">
        <f aca="false">IF(I367="","",INDEX(J_TGL,I367))</f>
        <v>46137</v>
      </c>
      <c r="C367" s="5" t="str">
        <f aca="false">IF(I367="","",INDEX(J_NO,I367))</f>
        <v>JU-0551</v>
      </c>
      <c r="D367" s="5" t="str">
        <f aca="false">IF(I367="","",INDEX(J_KET,I367))</f>
        <v>Talangan cicilan BRI jaminan Kopi Parang (biaya sewa tempat)</v>
      </c>
      <c r="E367" s="5" t="str">
        <f aca="false">IF(I367="","",IF(INDEX(J_DEB,I367)=$C$3,INDEX(J_KRE,I367),INDEX(J_DEB,I367)))</f>
        <v>Biaya Sewa Tempat</v>
      </c>
      <c r="F367" s="44" t="n">
        <f aca="false">IF(I367="","",IF(INDEX(J_DEB,I367)=$C$3,INDEX(J_NOM,I367),0))</f>
        <v>0</v>
      </c>
      <c r="G367" s="44" t="n">
        <f aca="false">IF(I367="","",IF(INDEX(J_KRE,I367)=$C$3,INDEX(J_NOM,I367),0))</f>
        <v>10000000</v>
      </c>
      <c r="H367" s="44" t="n">
        <f aca="false">IF(I367="","",N(H366)+IF($C$5="Debet",F367-G367,G367-F367))</f>
        <v>-24449297</v>
      </c>
      <c r="I367" s="66" t="n">
        <f aca="false">IF(J367&gt;$K$1,"",IFERROR(MATCH(J367,J_BB,0),""))</f>
        <v>551</v>
      </c>
      <c r="J367" s="66" t="n">
        <v>358</v>
      </c>
      <c r="K367" s="5"/>
    </row>
    <row r="368" customFormat="false" ht="15" hidden="false" customHeight="false" outlineLevel="0" collapsed="false">
      <c r="A368" s="5" t="n">
        <f aca="false">IF(I368="","",J368)</f>
        <v>359</v>
      </c>
      <c r="B368" s="83" t="n">
        <f aca="false">IF(I368="","",INDEX(J_TGL,I368))</f>
        <v>46137</v>
      </c>
      <c r="C368" s="5" t="str">
        <f aca="false">IF(I368="","",INDEX(J_NO,I368))</f>
        <v>JU-0552</v>
      </c>
      <c r="D368" s="5" t="str">
        <f aca="false">IF(I368="","",INDEX(J_KET,I368))</f>
        <v>Sponsor Artefac UNS</v>
      </c>
      <c r="E368" s="5" t="str">
        <f aca="false">IF(I368="","",IF(INDEX(J_DEB,I368)=$C$3,INDEX(J_KRE,I368),INDEX(J_DEB,I368)))</f>
        <v>Biaya Marketing &amp; Promosi</v>
      </c>
      <c r="F368" s="44" t="n">
        <f aca="false">IF(I368="","",IF(INDEX(J_DEB,I368)=$C$3,INDEX(J_NOM,I368),0))</f>
        <v>0</v>
      </c>
      <c r="G368" s="44" t="n">
        <f aca="false">IF(I368="","",IF(INDEX(J_KRE,I368)=$C$3,INDEX(J_NOM,I368),0))</f>
        <v>1500000</v>
      </c>
      <c r="H368" s="44" t="n">
        <f aca="false">IF(I368="","",N(H367)+IF($C$5="Debet",F368-G368,G368-F368))</f>
        <v>-25949297</v>
      </c>
      <c r="I368" s="66" t="n">
        <f aca="false">IF(J368&gt;$K$1,"",IFERROR(MATCH(J368,J_BB,0),""))</f>
        <v>552</v>
      </c>
      <c r="J368" s="66" t="n">
        <v>359</v>
      </c>
      <c r="K368" s="5"/>
    </row>
    <row r="369" customFormat="false" ht="15" hidden="false" customHeight="false" outlineLevel="0" collapsed="false">
      <c r="A369" s="5" t="n">
        <f aca="false">IF(I369="","",J369)</f>
        <v>360</v>
      </c>
      <c r="B369" s="83" t="n">
        <f aca="false">IF(I369="","",INDEX(J_TGL,I369))</f>
        <v>46138</v>
      </c>
      <c r="C369" s="5" t="str">
        <f aca="false">IF(I369="","",INDEX(J_NO,I369))</f>
        <v>JU-0554</v>
      </c>
      <c r="D369" s="5" t="str">
        <f aca="false">IF(I369="","",INDEX(J_KET,I369))</f>
        <v>Tahu walik isi 9 60pak isi 10 x45pak</v>
      </c>
      <c r="E369" s="5" t="str">
        <f aca="false">IF(I369="","",IF(INDEX(J_DEB,I369)=$C$3,INDEX(J_KRE,I369),INDEX(J_DEB,I369)))</f>
        <v>Biaya Bahan Baku</v>
      </c>
      <c r="F369" s="44" t="n">
        <f aca="false">IF(I369="","",IF(INDEX(J_DEB,I369)=$C$3,INDEX(J_NOM,I369),0))</f>
        <v>0</v>
      </c>
      <c r="G369" s="44" t="n">
        <f aca="false">IF(I369="","",IF(INDEX(J_KRE,I369)=$C$3,INDEX(J_NOM,I369),0))</f>
        <v>942500</v>
      </c>
      <c r="H369" s="44" t="n">
        <f aca="false">IF(I369="","",N(H368)+IF($C$5="Debet",F369-G369,G369-F369))</f>
        <v>-26891797</v>
      </c>
      <c r="I369" s="66" t="n">
        <f aca="false">IF(J369&gt;$K$1,"",IFERROR(MATCH(J369,J_BB,0),""))</f>
        <v>554</v>
      </c>
      <c r="J369" s="66" t="n">
        <v>360</v>
      </c>
      <c r="K369" s="5"/>
    </row>
    <row r="370" customFormat="false" ht="15" hidden="false" customHeight="false" outlineLevel="0" collapsed="false">
      <c r="A370" s="5" t="n">
        <f aca="false">IF(I370="","",J370)</f>
        <v>361</v>
      </c>
      <c r="B370" s="83" t="n">
        <f aca="false">IF(I370="","",INDEX(J_TGL,I370))</f>
        <v>46138</v>
      </c>
      <c r="C370" s="5" t="str">
        <f aca="false">IF(I370="","",INDEX(J_NO,I370))</f>
        <v>JU-0555</v>
      </c>
      <c r="D370" s="5" t="str">
        <f aca="false">IF(I370="","",INDEX(J_KET,I370))</f>
        <v>Churros x 320pcs</v>
      </c>
      <c r="E370" s="5" t="str">
        <f aca="false">IF(I370="","",IF(INDEX(J_DEB,I370)=$C$3,INDEX(J_KRE,I370),INDEX(J_DEB,I370)))</f>
        <v>Biaya Bahan Baku</v>
      </c>
      <c r="F370" s="44" t="n">
        <f aca="false">IF(I370="","",IF(INDEX(J_DEB,I370)=$C$3,INDEX(J_NOM,I370),0))</f>
        <v>0</v>
      </c>
      <c r="G370" s="44" t="n">
        <f aca="false">IF(I370="","",IF(INDEX(J_KRE,I370)=$C$3,INDEX(J_NOM,I370),0))</f>
        <v>384000</v>
      </c>
      <c r="H370" s="44" t="n">
        <f aca="false">IF(I370="","",N(H369)+IF($C$5="Debet",F370-G370,G370-F370))</f>
        <v>-27275797</v>
      </c>
      <c r="I370" s="66" t="n">
        <f aca="false">IF(J370&gt;$K$1,"",IFERROR(MATCH(J370,J_BB,0),""))</f>
        <v>555</v>
      </c>
      <c r="J370" s="66" t="n">
        <v>361</v>
      </c>
      <c r="K370" s="5"/>
    </row>
    <row r="371" customFormat="false" ht="15" hidden="false" customHeight="false" outlineLevel="0" collapsed="false">
      <c r="A371" s="5" t="n">
        <f aca="false">IF(I371="","",J371)</f>
        <v>362</v>
      </c>
      <c r="B371" s="83" t="n">
        <f aca="false">IF(I371="","",INDEX(J_TGL,I371))</f>
        <v>46139</v>
      </c>
      <c r="C371" s="5" t="str">
        <f aca="false">IF(I371="","",INDEX(J_NO,I371))</f>
        <v>JU-0557</v>
      </c>
      <c r="D371" s="5" t="str">
        <f aca="false">IF(I371="","",INDEX(J_KET,I371))</f>
        <v>Gelas 245ml x 24pcs</v>
      </c>
      <c r="E371" s="5" t="str">
        <f aca="false">IF(I371="","",IF(INDEX(J_DEB,I371)=$C$3,INDEX(J_KRE,I371),INDEX(J_DEB,I371)))</f>
        <v>Biaya Penyajian</v>
      </c>
      <c r="F371" s="44" t="n">
        <f aca="false">IF(I371="","",IF(INDEX(J_DEB,I371)=$C$3,INDEX(J_NOM,I371),0))</f>
        <v>0</v>
      </c>
      <c r="G371" s="44" t="n">
        <f aca="false">IF(I371="","",IF(INDEX(J_KRE,I371)=$C$3,INDEX(J_NOM,I371),0))</f>
        <v>428659</v>
      </c>
      <c r="H371" s="44" t="n">
        <f aca="false">IF(I371="","",N(H370)+IF($C$5="Debet",F371-G371,G371-F371))</f>
        <v>-27704456</v>
      </c>
      <c r="I371" s="66" t="n">
        <f aca="false">IF(J371&gt;$K$1,"",IFERROR(MATCH(J371,J_BB,0),""))</f>
        <v>557</v>
      </c>
      <c r="J371" s="66" t="n">
        <v>362</v>
      </c>
      <c r="K371" s="5"/>
    </row>
    <row r="372" customFormat="false" ht="15" hidden="false" customHeight="false" outlineLevel="0" collapsed="false">
      <c r="A372" s="5" t="n">
        <f aca="false">IF(I372="","",J372)</f>
        <v>363</v>
      </c>
      <c r="B372" s="83" t="n">
        <f aca="false">IF(I372="","",INDEX(J_TGL,I372))</f>
        <v>46139</v>
      </c>
      <c r="C372" s="5" t="str">
        <f aca="false">IF(I372="","",INDEX(J_NO,I372))</f>
        <v>JU-0558</v>
      </c>
      <c r="D372" s="5" t="str">
        <f aca="false">IF(I372="","",INDEX(J_KET,I372))</f>
        <v>Tatakan plastik x 30pcs</v>
      </c>
      <c r="E372" s="5" t="str">
        <f aca="false">IF(I372="","",IF(INDEX(J_DEB,I372)=$C$3,INDEX(J_KRE,I372),INDEX(J_DEB,I372)))</f>
        <v>Beban Perlengkapan</v>
      </c>
      <c r="F372" s="44" t="n">
        <f aca="false">IF(I372="","",IF(INDEX(J_DEB,I372)=$C$3,INDEX(J_NOM,I372),0))</f>
        <v>0</v>
      </c>
      <c r="G372" s="44" t="n">
        <f aca="false">IF(I372="","",IF(INDEX(J_KRE,I372)=$C$3,INDEX(J_NOM,I372),0))</f>
        <v>102300</v>
      </c>
      <c r="H372" s="44" t="n">
        <f aca="false">IF(I372="","",N(H371)+IF($C$5="Debet",F372-G372,G372-F372))</f>
        <v>-27806756</v>
      </c>
      <c r="I372" s="66" t="n">
        <f aca="false">IF(J372&gt;$K$1,"",IFERROR(MATCH(J372,J_BB,0),""))</f>
        <v>558</v>
      </c>
      <c r="J372" s="66" t="n">
        <v>363</v>
      </c>
      <c r="K372" s="5"/>
    </row>
    <row r="373" customFormat="false" ht="15" hidden="false" customHeight="false" outlineLevel="0" collapsed="false">
      <c r="A373" s="5" t="n">
        <f aca="false">IF(I373="","",J373)</f>
        <v>364</v>
      </c>
      <c r="B373" s="83" t="n">
        <f aca="false">IF(I373="","",INDEX(J_TGL,I373))</f>
        <v>46139</v>
      </c>
      <c r="C373" s="5" t="str">
        <f aca="false">IF(I373="","",INDEX(J_NO,I373))</f>
        <v>JU-0559</v>
      </c>
      <c r="D373" s="5" t="str">
        <f aca="false">IF(I373="","",INDEX(J_KET,I373))</f>
        <v>2 kg Aloha beli beans di Pinara</v>
      </c>
      <c r="E373" s="5" t="str">
        <f aca="false">IF(I373="","",IF(INDEX(J_DEB,I373)=$C$3,INDEX(J_KRE,I373),INDEX(J_DEB,I373)))</f>
        <v>Biaya Bahan Baku</v>
      </c>
      <c r="F373" s="44" t="n">
        <f aca="false">IF(I373="","",IF(INDEX(J_DEB,I373)=$C$3,INDEX(J_NOM,I373),0))</f>
        <v>0</v>
      </c>
      <c r="G373" s="44" t="n">
        <f aca="false">IF(I373="","",IF(INDEX(J_KRE,I373)=$C$3,INDEX(J_NOM,I373),0))</f>
        <v>590000</v>
      </c>
      <c r="H373" s="44" t="n">
        <f aca="false">IF(I373="","",N(H372)+IF($C$5="Debet",F373-G373,G373-F373))</f>
        <v>-28396756</v>
      </c>
      <c r="I373" s="66" t="n">
        <f aca="false">IF(J373&gt;$K$1,"",IFERROR(MATCH(J373,J_BB,0),""))</f>
        <v>559</v>
      </c>
      <c r="J373" s="66" t="n">
        <v>364</v>
      </c>
      <c r="K373" s="5"/>
    </row>
    <row r="374" customFormat="false" ht="15" hidden="false" customHeight="false" outlineLevel="0" collapsed="false">
      <c r="A374" s="5" t="n">
        <f aca="false">IF(I374="","",J374)</f>
        <v>365</v>
      </c>
      <c r="B374" s="83" t="n">
        <f aca="false">IF(I374="","",INDEX(J_TGL,I374))</f>
        <v>46139</v>
      </c>
      <c r="C374" s="5" t="str">
        <f aca="false">IF(I374="","",INDEX(J_NO,I374))</f>
        <v>JU-0560</v>
      </c>
      <c r="D374" s="5" t="str">
        <f aca="false">IF(I374="","",INDEX(J_KET,I374))</f>
        <v>koreksi</v>
      </c>
      <c r="E374" s="5" t="str">
        <f aca="false">IF(I374="","",IF(INDEX(J_DEB,I374)=$C$3,INDEX(J_KRE,I374),INDEX(J_DEB,I374)))</f>
        <v>Pendapatan Lainnya</v>
      </c>
      <c r="F374" s="44" t="n">
        <f aca="false">IF(I374="","",IF(INDEX(J_DEB,I374)=$C$3,INDEX(J_NOM,I374),0))</f>
        <v>112</v>
      </c>
      <c r="G374" s="44" t="n">
        <f aca="false">IF(I374="","",IF(INDEX(J_KRE,I374)=$C$3,INDEX(J_NOM,I374),0))</f>
        <v>0</v>
      </c>
      <c r="H374" s="44" t="n">
        <f aca="false">IF(I374="","",N(H373)+IF($C$5="Debet",F374-G374,G374-F374))</f>
        <v>-28396644</v>
      </c>
      <c r="I374" s="66" t="n">
        <f aca="false">IF(J374&gt;$K$1,"",IFERROR(MATCH(J374,J_BB,0),""))</f>
        <v>560</v>
      </c>
      <c r="J374" s="66" t="n">
        <v>365</v>
      </c>
      <c r="K374" s="5"/>
    </row>
    <row r="375" customFormat="false" ht="15" hidden="false" customHeight="false" outlineLevel="0" collapsed="false">
      <c r="A375" s="5" t="n">
        <f aca="false">IF(I375="","",J375)</f>
        <v>366</v>
      </c>
      <c r="B375" s="83" t="n">
        <f aca="false">IF(I375="","",INDEX(J_TGL,I375))</f>
        <v>46139</v>
      </c>
      <c r="C375" s="5" t="str">
        <f aca="false">IF(I375="","",INDEX(J_NO,I375))</f>
        <v>JU-0569</v>
      </c>
      <c r="D375" s="5" t="str">
        <f aca="false">IF(I375="","",INDEX(J_KET,I375))</f>
        <v>Biaya transfer flip</v>
      </c>
      <c r="E375" s="5" t="str">
        <f aca="false">IF(I375="","",IF(INDEX(J_DEB,I375)=$C$3,INDEX(J_KRE,I375),INDEX(J_DEB,I375)))</f>
        <v>Biaya Lainnya</v>
      </c>
      <c r="F375" s="44" t="n">
        <f aca="false">IF(I375="","",IF(INDEX(J_DEB,I375)=$C$3,INDEX(J_NOM,I375),0))</f>
        <v>0</v>
      </c>
      <c r="G375" s="44" t="n">
        <f aca="false">IF(I375="","",IF(INDEX(J_KRE,I375)=$C$3,INDEX(J_NOM,I375),0))</f>
        <v>1335</v>
      </c>
      <c r="H375" s="44" t="n">
        <f aca="false">IF(I375="","",N(H374)+IF($C$5="Debet",F375-G375,G375-F375))</f>
        <v>-28397979</v>
      </c>
      <c r="I375" s="66" t="n">
        <f aca="false">IF(J375&gt;$K$1,"",IFERROR(MATCH(J375,J_BB,0),""))</f>
        <v>569</v>
      </c>
      <c r="J375" s="66" t="n">
        <v>366</v>
      </c>
      <c r="K375" s="5"/>
    </row>
    <row r="376" customFormat="false" ht="15" hidden="false" customHeight="false" outlineLevel="0" collapsed="false">
      <c r="A376" s="5" t="n">
        <f aca="false">IF(I376="","",J376)</f>
        <v>367</v>
      </c>
      <c r="B376" s="83" t="n">
        <f aca="false">IF(I376="","",INDEX(J_TGL,I376))</f>
        <v>46141</v>
      </c>
      <c r="C376" s="5" t="str">
        <f aca="false">IF(I376="","",INDEX(J_NO,I376))</f>
        <v>JU-0570</v>
      </c>
      <c r="D376" s="5" t="str">
        <f aca="false">IF(I376="","",INDEX(J_KET,I376))</f>
        <v>Biaya transfer flip</v>
      </c>
      <c r="E376" s="5" t="str">
        <f aca="false">IF(I376="","",IF(INDEX(J_DEB,I376)=$C$3,INDEX(J_KRE,I376),INDEX(J_DEB,I376)))</f>
        <v>Biaya Lainnya</v>
      </c>
      <c r="F376" s="44" t="n">
        <f aca="false">IF(I376="","",IF(INDEX(J_DEB,I376)=$C$3,INDEX(J_NOM,I376),0))</f>
        <v>0</v>
      </c>
      <c r="G376" s="44" t="n">
        <f aca="false">IF(I376="","",IF(INDEX(J_KRE,I376)=$C$3,INDEX(J_NOM,I376),0))</f>
        <v>2437</v>
      </c>
      <c r="H376" s="44" t="n">
        <f aca="false">IF(I376="","",N(H375)+IF($C$5="Debet",F376-G376,G376-F376))</f>
        <v>-28400416</v>
      </c>
      <c r="I376" s="66" t="n">
        <f aca="false">IF(J376&gt;$K$1,"",IFERROR(MATCH(J376,J_BB,0),""))</f>
        <v>570</v>
      </c>
      <c r="J376" s="66" t="n">
        <v>367</v>
      </c>
      <c r="K376" s="5"/>
    </row>
    <row r="377" customFormat="false" ht="15" hidden="false" customHeight="false" outlineLevel="0" collapsed="false">
      <c r="A377" s="5" t="n">
        <f aca="false">IF(I377="","",J377)</f>
        <v>368</v>
      </c>
      <c r="B377" s="83" t="n">
        <f aca="false">IF(I377="","",INDEX(J_TGL,I377))</f>
        <v>46141</v>
      </c>
      <c r="C377" s="5" t="str">
        <f aca="false">IF(I377="","",INDEX(J_NO,I377))</f>
        <v>JU-0571</v>
      </c>
      <c r="D377" s="5" t="str">
        <f aca="false">IF(I377="","",INDEX(J_KET,I377))</f>
        <v>Membayar gaji pegawai</v>
      </c>
      <c r="E377" s="5" t="str">
        <f aca="false">IF(I377="","",IF(INDEX(J_DEB,I377)=$C$3,INDEX(J_KRE,I377),INDEX(J_DEB,I377)))</f>
        <v>Beban Gaji</v>
      </c>
      <c r="F377" s="44" t="n">
        <f aca="false">IF(I377="","",IF(INDEX(J_DEB,I377)=$C$3,INDEX(J_NOM,I377),0))</f>
        <v>0</v>
      </c>
      <c r="G377" s="44" t="n">
        <f aca="false">IF(I377="","",IF(INDEX(J_KRE,I377)=$C$3,INDEX(J_NOM,I377),0))</f>
        <v>21266000</v>
      </c>
      <c r="H377" s="44" t="n">
        <f aca="false">IF(I377="","",N(H376)+IF($C$5="Debet",F377-G377,G377-F377))</f>
        <v>-49666416</v>
      </c>
      <c r="I377" s="66" t="n">
        <f aca="false">IF(J377&gt;$K$1,"",IFERROR(MATCH(J377,J_BB,0),""))</f>
        <v>571</v>
      </c>
      <c r="J377" s="66" t="n">
        <v>368</v>
      </c>
      <c r="K377" s="5"/>
    </row>
    <row r="378" customFormat="false" ht="15" hidden="false" customHeight="false" outlineLevel="0" collapsed="false">
      <c r="A378" s="5" t="n">
        <f aca="false">IF(I378="","",J378)</f>
        <v>369</v>
      </c>
      <c r="B378" s="83" t="n">
        <f aca="false">IF(I378="","",INDEX(J_TGL,I378))</f>
        <v>46141</v>
      </c>
      <c r="C378" s="5" t="str">
        <f aca="false">IF(I378="","",INDEX(J_NO,I378))</f>
        <v>JU-0572</v>
      </c>
      <c r="D378" s="5" t="str">
        <f aca="false">IF(I378="","",INDEX(J_KET,I378))</f>
        <v>Membayar bonus pegawai</v>
      </c>
      <c r="E378" s="5" t="str">
        <f aca="false">IF(I378="","",IF(INDEX(J_DEB,I378)=$C$3,INDEX(J_KRE,I378),INDEX(J_DEB,I378)))</f>
        <v>Beban Gaji</v>
      </c>
      <c r="F378" s="44" t="n">
        <f aca="false">IF(I378="","",IF(INDEX(J_DEB,I378)=$C$3,INDEX(J_NOM,I378),0))</f>
        <v>0</v>
      </c>
      <c r="G378" s="44" t="n">
        <f aca="false">IF(I378="","",IF(INDEX(J_KRE,I378)=$C$3,INDEX(J_NOM,I378),0))</f>
        <v>1000000</v>
      </c>
      <c r="H378" s="44" t="n">
        <f aca="false">IF(I378="","",N(H377)+IF($C$5="Debet",F378-G378,G378-F378))</f>
        <v>-50666416</v>
      </c>
      <c r="I378" s="66" t="n">
        <f aca="false">IF(J378&gt;$K$1,"",IFERROR(MATCH(J378,J_BB,0),""))</f>
        <v>572</v>
      </c>
      <c r="J378" s="66" t="n">
        <v>369</v>
      </c>
      <c r="K378" s="5"/>
    </row>
    <row r="379" customFormat="false" ht="15" hidden="false" customHeight="false" outlineLevel="0" collapsed="false">
      <c r="A379" s="5" t="n">
        <f aca="false">IF(I379="","",J379)</f>
        <v>370</v>
      </c>
      <c r="B379" s="83" t="n">
        <f aca="false">IF(I379="","",INDEX(J_TGL,I379))</f>
        <v>46141</v>
      </c>
      <c r="C379" s="5" t="str">
        <f aca="false">IF(I379="","",INDEX(J_NO,I379))</f>
        <v>JU-0573</v>
      </c>
      <c r="D379" s="5" t="str">
        <f aca="false">IF(I379="","",INDEX(J_KET,I379))</f>
        <v>Biaya flip untuk transfer gaji</v>
      </c>
      <c r="E379" s="5" t="str">
        <f aca="false">IF(I379="","",IF(INDEX(J_DEB,I379)=$C$3,INDEX(J_KRE,I379),INDEX(J_DEB,I379)))</f>
        <v>Biaya Lainnya</v>
      </c>
      <c r="F379" s="44" t="n">
        <f aca="false">IF(I379="","",IF(INDEX(J_DEB,I379)=$C$3,INDEX(J_NOM,I379),0))</f>
        <v>0</v>
      </c>
      <c r="G379" s="44" t="n">
        <f aca="false">IF(I379="","",IF(INDEX(J_KRE,I379)=$C$3,INDEX(J_NOM,I379),0))</f>
        <v>12977</v>
      </c>
      <c r="H379" s="44" t="n">
        <f aca="false">IF(I379="","",N(H378)+IF($C$5="Debet",F379-G379,G379-F379))</f>
        <v>-50679393</v>
      </c>
      <c r="I379" s="66" t="n">
        <f aca="false">IF(J379&gt;$K$1,"",IFERROR(MATCH(J379,J_BB,0),""))</f>
        <v>573</v>
      </c>
      <c r="J379" s="66" t="n">
        <v>370</v>
      </c>
      <c r="K379" s="5"/>
    </row>
    <row r="380" customFormat="false" ht="15" hidden="false" customHeight="false" outlineLevel="0" collapsed="false">
      <c r="A380" s="5" t="n">
        <f aca="false">IF(I380="","",J380)</f>
        <v>371</v>
      </c>
      <c r="B380" s="83" t="n">
        <f aca="false">IF(I380="","",INDEX(J_TGL,I380))</f>
        <v>46141</v>
      </c>
      <c r="C380" s="5" t="str">
        <f aca="false">IF(I380="","",INDEX(J_NO,I380))</f>
        <v>JU-0574</v>
      </c>
      <c r="D380" s="5" t="str">
        <f aca="false">IF(I380="","",INDEX(J_KET,I380))</f>
        <v>Belanja unlock water x 12 galon</v>
      </c>
      <c r="E380" s="5" t="str">
        <f aca="false">IF(I380="","",IF(INDEX(J_DEB,I380)=$C$3,INDEX(J_KRE,I380),INDEX(J_DEB,I380)))</f>
        <v>Biaya Bahan Baku</v>
      </c>
      <c r="F380" s="44" t="n">
        <f aca="false">IF(I380="","",IF(INDEX(J_DEB,I380)=$C$3,INDEX(J_NOM,I380),0))</f>
        <v>0</v>
      </c>
      <c r="G380" s="44" t="n">
        <f aca="false">IF(I380="","",IF(INDEX(J_KRE,I380)=$C$3,INDEX(J_NOM,I380),0))</f>
        <v>228000</v>
      </c>
      <c r="H380" s="44" t="n">
        <f aca="false">IF(I380="","",N(H379)+IF($C$5="Debet",F380-G380,G380-F380))</f>
        <v>-50907393</v>
      </c>
      <c r="I380" s="66" t="n">
        <f aca="false">IF(J380&gt;$K$1,"",IFERROR(MATCH(J380,J_BB,0),""))</f>
        <v>574</v>
      </c>
      <c r="J380" s="66" t="n">
        <v>371</v>
      </c>
      <c r="K380" s="5"/>
    </row>
    <row r="381" customFormat="false" ht="15" hidden="false" customHeight="false" outlineLevel="0" collapsed="false">
      <c r="A381" s="5" t="n">
        <f aca="false">IF(I381="","",J381)</f>
        <v>372</v>
      </c>
      <c r="B381" s="83" t="n">
        <f aca="false">IF(I381="","",INDEX(J_TGL,I381))</f>
        <v>46141</v>
      </c>
      <c r="C381" s="5" t="str">
        <f aca="false">IF(I381="","",INDEX(J_NO,I381))</f>
        <v>JU-0575</v>
      </c>
      <c r="D381" s="5" t="str">
        <f aca="false">IF(I381="","",INDEX(J_KET,I381))</f>
        <v>Pindah dana tunai ke BCA (untuk gaji)</v>
      </c>
      <c r="E381" s="5" t="str">
        <f aca="false">IF(I381="","",IF(INDEX(J_DEB,I381)=$C$3,INDEX(J_KRE,I381),INDEX(J_DEB,I381)))</f>
        <v>Kas Tunai</v>
      </c>
      <c r="F381" s="44" t="n">
        <f aca="false">IF(I381="","",IF(INDEX(J_DEB,I381)=$C$3,INDEX(J_NOM,I381),0))</f>
        <v>2000000</v>
      </c>
      <c r="G381" s="44" t="n">
        <f aca="false">IF(I381="","",IF(INDEX(J_KRE,I381)=$C$3,INDEX(J_NOM,I381),0))</f>
        <v>0</v>
      </c>
      <c r="H381" s="44" t="n">
        <f aca="false">IF(I381="","",N(H380)+IF($C$5="Debet",F381-G381,G381-F381))</f>
        <v>-48907393</v>
      </c>
      <c r="I381" s="66" t="n">
        <f aca="false">IF(J381&gt;$K$1,"",IFERROR(MATCH(J381,J_BB,0),""))</f>
        <v>575</v>
      </c>
      <c r="J381" s="66" t="n">
        <v>372</v>
      </c>
      <c r="K381" s="5"/>
    </row>
    <row r="382" customFormat="false" ht="15" hidden="false" customHeight="false" outlineLevel="0" collapsed="false">
      <c r="A382" s="5" t="n">
        <f aca="false">IF(I382="","",J382)</f>
        <v>373</v>
      </c>
      <c r="B382" s="83" t="n">
        <f aca="false">IF(I382="","",INDEX(J_TGL,I382))</f>
        <v>46142</v>
      </c>
      <c r="C382" s="5" t="str">
        <f aca="false">IF(I382="","",INDEX(J_NO,I382))</f>
        <v>JU-0576</v>
      </c>
      <c r="D382" s="5" t="str">
        <f aca="false">IF(I382="","",INDEX(J_KET,I382))</f>
        <v>koreksi</v>
      </c>
      <c r="E382" s="5" t="str">
        <f aca="false">IF(I382="","",IF(INDEX(J_DEB,I382)=$C$3,INDEX(J_KRE,I382),INDEX(J_DEB,I382)))</f>
        <v>Pendapatan Lainnya</v>
      </c>
      <c r="F382" s="44" t="n">
        <f aca="false">IF(I382="","",IF(INDEX(J_DEB,I382)=$C$3,INDEX(J_NOM,I382),0))</f>
        <v>1</v>
      </c>
      <c r="G382" s="44" t="n">
        <f aca="false">IF(I382="","",IF(INDEX(J_KRE,I382)=$C$3,INDEX(J_NOM,I382),0))</f>
        <v>0</v>
      </c>
      <c r="H382" s="44" t="n">
        <f aca="false">IF(I382="","",N(H381)+IF($C$5="Debet",F382-G382,G382-F382))</f>
        <v>-48907392</v>
      </c>
      <c r="I382" s="66" t="n">
        <f aca="false">IF(J382&gt;$K$1,"",IFERROR(MATCH(J382,J_BB,0),""))</f>
        <v>576</v>
      </c>
      <c r="J382" s="66" t="n">
        <v>373</v>
      </c>
      <c r="K382" s="5"/>
    </row>
    <row r="383" customFormat="false" ht="15" hidden="false" customHeight="false" outlineLevel="0" collapsed="false">
      <c r="A383" s="5" t="n">
        <f aca="false">IF(I383="","",J383)</f>
        <v>374</v>
      </c>
      <c r="B383" s="83" t="n">
        <f aca="false">IF(I383="","",INDEX(J_TGL,I383))</f>
        <v>46142</v>
      </c>
      <c r="C383" s="5" t="str">
        <f aca="false">IF(I383="","",INDEX(J_NO,I383))</f>
        <v>JU-0577</v>
      </c>
      <c r="D383" s="5" t="str">
        <f aca="false">IF(I383="","",INDEX(J_KET,I383))</f>
        <v>Pendapatan bunga dari seabank</v>
      </c>
      <c r="E383" s="5" t="str">
        <f aca="false">IF(I383="","",IF(INDEX(J_DEB,I383)=$C$3,INDEX(J_KRE,I383),INDEX(J_DEB,I383)))</f>
        <v>Pendapatan Lainnya</v>
      </c>
      <c r="F383" s="44" t="n">
        <f aca="false">IF(I383="","",IF(INDEX(J_DEB,I383)=$C$3,INDEX(J_NOM,I383),0))</f>
        <v>212210</v>
      </c>
      <c r="G383" s="44" t="n">
        <f aca="false">IF(I383="","",IF(INDEX(J_KRE,I383)=$C$3,INDEX(J_NOM,I383),0))</f>
        <v>0</v>
      </c>
      <c r="H383" s="44" t="n">
        <f aca="false">IF(I383="","",N(H382)+IF($C$5="Debet",F383-G383,G383-F383))</f>
        <v>-48695182</v>
      </c>
      <c r="I383" s="66" t="n">
        <f aca="false">IF(J383&gt;$K$1,"",IFERROR(MATCH(J383,J_BB,0),""))</f>
        <v>577</v>
      </c>
      <c r="J383" s="66" t="n">
        <v>374</v>
      </c>
      <c r="K383" s="5"/>
    </row>
    <row r="384" customFormat="false" ht="15" hidden="false" customHeight="false" outlineLevel="0" collapsed="false">
      <c r="A384" s="5" t="n">
        <f aca="false">IF(I384="","",J384)</f>
        <v>375</v>
      </c>
      <c r="B384" s="83" t="n">
        <f aca="false">IF(I384="","",INDEX(J_TGL,I384))</f>
        <v>46142</v>
      </c>
      <c r="C384" s="5" t="str">
        <f aca="false">IF(I384="","",INDEX(J_NO,I384))</f>
        <v>JU-0578</v>
      </c>
      <c r="D384" s="5" t="str">
        <f aca="false">IF(I384="","",INDEX(J_KET,I384))</f>
        <v>Gaji direktur Kopi Parang April 2026</v>
      </c>
      <c r="E384" s="5" t="str">
        <f aca="false">IF(I384="","",IF(INDEX(J_DEB,I384)=$C$3,INDEX(J_KRE,I384),INDEX(J_DEB,I384)))</f>
        <v>Beban Gaji</v>
      </c>
      <c r="F384" s="44" t="n">
        <f aca="false">IF(I384="","",IF(INDEX(J_DEB,I384)=$C$3,INDEX(J_NOM,I384),0))</f>
        <v>0</v>
      </c>
      <c r="G384" s="44" t="n">
        <f aca="false">IF(I384="","",IF(INDEX(J_KRE,I384)=$C$3,INDEX(J_NOM,I384),0))</f>
        <v>4000000</v>
      </c>
      <c r="H384" s="44" t="n">
        <f aca="false">IF(I384="","",N(H383)+IF($C$5="Debet",F384-G384,G384-F384))</f>
        <v>-52695182</v>
      </c>
      <c r="I384" s="66" t="n">
        <f aca="false">IF(J384&gt;$K$1,"",IFERROR(MATCH(J384,J_BB,0),""))</f>
        <v>578</v>
      </c>
      <c r="J384" s="66" t="n">
        <v>375</v>
      </c>
      <c r="K384" s="5"/>
    </row>
    <row r="385" customFormat="false" ht="15" hidden="false" customHeight="false" outlineLevel="0" collapsed="false">
      <c r="A385" s="5" t="n">
        <f aca="false">IF(I385="","",J385)</f>
        <v>376</v>
      </c>
      <c r="B385" s="83" t="n">
        <f aca="false">IF(I385="","",INDEX(J_TGL,I385))</f>
        <v>46142</v>
      </c>
      <c r="C385" s="5" t="str">
        <f aca="false">IF(I385="","",INDEX(J_NO,I385))</f>
        <v>JU-0579</v>
      </c>
      <c r="D385" s="5" t="str">
        <f aca="false">IF(I385="","",INDEX(J_KET,I385))</f>
        <v>Biaya sewa tempat bulan April 2026</v>
      </c>
      <c r="E385" s="5" t="str">
        <f aca="false">IF(I385="","",IF(INDEX(J_DEB,I385)=$C$3,INDEX(J_KRE,I385),INDEX(J_DEB,I385)))</f>
        <v>Prive</v>
      </c>
      <c r="F385" s="44" t="n">
        <f aca="false">IF(I385="","",IF(INDEX(J_DEB,I385)=$C$3,INDEX(J_NOM,I385),0))</f>
        <v>0</v>
      </c>
      <c r="G385" s="44" t="n">
        <f aca="false">IF(I385="","",IF(INDEX(J_KRE,I385)=$C$3,INDEX(J_NOM,I385),0))</f>
        <v>2500000</v>
      </c>
      <c r="H385" s="44" t="n">
        <f aca="false">IF(I385="","",N(H384)+IF($C$5="Debet",F385-G385,G385-F385))</f>
        <v>-55195182</v>
      </c>
      <c r="I385" s="66" t="n">
        <f aca="false">IF(J385&gt;$K$1,"",IFERROR(MATCH(J385,J_BB,0),""))</f>
        <v>579</v>
      </c>
      <c r="J385" s="66" t="n">
        <v>376</v>
      </c>
      <c r="K385" s="5"/>
    </row>
    <row r="386" customFormat="false" ht="15" hidden="false" customHeight="false" outlineLevel="0" collapsed="false">
      <c r="A386" s="5" t="n">
        <f aca="false">IF(I386="","",J386)</f>
        <v>377</v>
      </c>
      <c r="B386" s="83" t="n">
        <f aca="false">IF(I386="","",INDEX(J_TGL,I386))</f>
        <v>46142</v>
      </c>
      <c r="C386" s="5" t="str">
        <f aca="false">IF(I386="","",INDEX(J_NO,I386))</f>
        <v>JU-0580</v>
      </c>
      <c r="D386" s="5" t="str">
        <f aca="false">IF(I386="","",INDEX(J_KET,I386))</f>
        <v>Menerima pelunasan piutang Einstein tagihan nota Kopi Parang</v>
      </c>
      <c r="E386" s="5" t="str">
        <f aca="false">IF(I386="","",IF(INDEX(J_DEB,I386)=$C$3,INDEX(J_KRE,I386),INDEX(J_DEB,I386)))</f>
        <v>Piutang Lainnya</v>
      </c>
      <c r="F386" s="44" t="n">
        <f aca="false">IF(I386="","",IF(INDEX(J_DEB,I386)=$C$3,INDEX(J_NOM,I386),0))</f>
        <v>252300</v>
      </c>
      <c r="G386" s="44" t="n">
        <f aca="false">IF(I386="","",IF(INDEX(J_KRE,I386)=$C$3,INDEX(J_NOM,I386),0))</f>
        <v>0</v>
      </c>
      <c r="H386" s="44" t="n">
        <f aca="false">IF(I386="","",N(H385)+IF($C$5="Debet",F386-G386,G386-F386))</f>
        <v>-54942882</v>
      </c>
      <c r="I386" s="66" t="n">
        <f aca="false">IF(J386&gt;$K$1,"",IFERROR(MATCH(J386,J_BB,0),""))</f>
        <v>580</v>
      </c>
      <c r="J386" s="66" t="n">
        <v>377</v>
      </c>
      <c r="K386" s="5"/>
    </row>
    <row r="387" customFormat="false" ht="15" hidden="false" customHeight="false" outlineLevel="0" collapsed="false">
      <c r="A387" s="5" t="n">
        <f aca="false">IF(I387="","",J387)</f>
        <v>378</v>
      </c>
      <c r="B387" s="83" t="n">
        <f aca="false">IF(I387="","",INDEX(J_TGL,I387))</f>
        <v>46142</v>
      </c>
      <c r="C387" s="5" t="str">
        <f aca="false">IF(I387="","",INDEX(J_NO,I387))</f>
        <v>JU-0581</v>
      </c>
      <c r="D387" s="5" t="str">
        <f aca="false">IF(I387="","",INDEX(J_KET,I387))</f>
        <v>Menerima pelunasan piutang Einstein pinjam (saldo Kopi Parang untuk bonus karyawan H+lebaran)</v>
      </c>
      <c r="E387" s="5" t="str">
        <f aca="false">IF(I387="","",IF(INDEX(J_DEB,I387)=$C$3,INDEX(J_KRE,I387),INDEX(J_DEB,I387)))</f>
        <v>Piutang Lainnya</v>
      </c>
      <c r="F387" s="44" t="n">
        <f aca="false">IF(I387="","",IF(INDEX(J_DEB,I387)=$C$3,INDEX(J_NOM,I387),0))</f>
        <v>500000</v>
      </c>
      <c r="G387" s="44" t="n">
        <f aca="false">IF(I387="","",IF(INDEX(J_KRE,I387)=$C$3,INDEX(J_NOM,I387),0))</f>
        <v>0</v>
      </c>
      <c r="H387" s="44" t="n">
        <f aca="false">IF(I387="","",N(H386)+IF($C$5="Debet",F387-G387,G387-F387))</f>
        <v>-54442882</v>
      </c>
      <c r="I387" s="66" t="n">
        <f aca="false">IF(J387&gt;$K$1,"",IFERROR(MATCH(J387,J_BB,0),""))</f>
        <v>581</v>
      </c>
      <c r="J387" s="66" t="n">
        <v>378</v>
      </c>
      <c r="K387" s="5"/>
    </row>
    <row r="388" customFormat="false" ht="15" hidden="false" customHeight="false" outlineLevel="0" collapsed="false">
      <c r="A388" s="5" t="n">
        <f aca="false">IF(I388="","",J388)</f>
        <v>379</v>
      </c>
      <c r="B388" s="83" t="n">
        <f aca="false">IF(I388="","",INDEX(J_TGL,I388))</f>
        <v>46142</v>
      </c>
      <c r="C388" s="5" t="str">
        <f aca="false">IF(I388="","",INDEX(J_NO,I388))</f>
        <v>JU-0582</v>
      </c>
      <c r="D388" s="5" t="str">
        <f aca="false">IF(I388="","",INDEX(J_KET,I388))</f>
        <v>Menerima pelunasan piutang Yantos</v>
      </c>
      <c r="E388" s="5" t="str">
        <f aca="false">IF(I388="","",IF(INDEX(J_DEB,I388)=$C$3,INDEX(J_KRE,I388),INDEX(J_DEB,I388)))</f>
        <v>Piutang Usaha Cafe</v>
      </c>
      <c r="F388" s="44" t="n">
        <f aca="false">IF(I388="","",IF(INDEX(J_DEB,I388)=$C$3,INDEX(J_NOM,I388),0))</f>
        <v>1000000</v>
      </c>
      <c r="G388" s="44" t="n">
        <f aca="false">IF(I388="","",IF(INDEX(J_KRE,I388)=$C$3,INDEX(J_NOM,I388),0))</f>
        <v>0</v>
      </c>
      <c r="H388" s="44" t="n">
        <f aca="false">IF(I388="","",N(H387)+IF($C$5="Debet",F388-G388,G388-F388))</f>
        <v>-53442882</v>
      </c>
      <c r="I388" s="66" t="n">
        <f aca="false">IF(J388&gt;$K$1,"",IFERROR(MATCH(J388,J_BB,0),""))</f>
        <v>582</v>
      </c>
      <c r="J388" s="66" t="n">
        <v>379</v>
      </c>
      <c r="K388" s="5"/>
    </row>
    <row r="389" customFormat="false" ht="15" hidden="false" customHeight="false" outlineLevel="0" collapsed="false">
      <c r="A389" s="5" t="n">
        <f aca="false">IF(I389="","",J389)</f>
        <v>380</v>
      </c>
      <c r="B389" s="83" t="n">
        <f aca="false">IF(I389="","",INDEX(J_TGL,I389))</f>
        <v>46142</v>
      </c>
      <c r="C389" s="5" t="str">
        <f aca="false">IF(I389="","",INDEX(J_NO,I389))</f>
        <v>JU-0583</v>
      </c>
      <c r="D389" s="5" t="str">
        <f aca="false">IF(I389="","",INDEX(J_KET,I389))</f>
        <v>Tagihan listrik April 2026</v>
      </c>
      <c r="E389" s="5" t="str">
        <f aca="false">IF(I389="","",IF(INDEX(J_DEB,I389)=$C$3,INDEX(J_KRE,I389),INDEX(J_DEB,I389)))</f>
        <v>Biaya Tagihan Bulanan</v>
      </c>
      <c r="F389" s="44" t="n">
        <f aca="false">IF(I389="","",IF(INDEX(J_DEB,I389)=$C$3,INDEX(J_NOM,I389),0))</f>
        <v>0</v>
      </c>
      <c r="G389" s="44" t="n">
        <f aca="false">IF(I389="","",IF(INDEX(J_KRE,I389)=$C$3,INDEX(J_NOM,I389),0))</f>
        <v>4110411</v>
      </c>
      <c r="H389" s="44" t="n">
        <f aca="false">IF(I389="","",N(H388)+IF($C$5="Debet",F389-G389,G389-F389))</f>
        <v>-57553293</v>
      </c>
      <c r="I389" s="66" t="n">
        <f aca="false">IF(J389&gt;$K$1,"",IFERROR(MATCH(J389,J_BB,0),""))</f>
        <v>583</v>
      </c>
      <c r="J389" s="66" t="n">
        <v>380</v>
      </c>
      <c r="K389" s="5"/>
    </row>
    <row r="390" customFormat="false" ht="15" hidden="false" customHeight="false" outlineLevel="0" collapsed="false">
      <c r="A390" s="5" t="n">
        <f aca="false">IF(I390="","",J390)</f>
        <v>381</v>
      </c>
      <c r="B390" s="83" t="n">
        <f aca="false">IF(I390="","",INDEX(J_TGL,I390))</f>
        <v>46142</v>
      </c>
      <c r="C390" s="5" t="str">
        <f aca="false">IF(I390="","",INDEX(J_NO,I390))</f>
        <v>JU-0584</v>
      </c>
      <c r="D390" s="5" t="str">
        <f aca="false">IF(I390="","",INDEX(J_KET,I390))</f>
        <v>Tagihan telepon April 2026</v>
      </c>
      <c r="E390" s="5" t="str">
        <f aca="false">IF(I390="","",IF(INDEX(J_DEB,I390)=$C$3,INDEX(J_KRE,I390),INDEX(J_DEB,I390)))</f>
        <v>Biaya Tagihan Bulanan</v>
      </c>
      <c r="F390" s="44" t="n">
        <f aca="false">IF(I390="","",IF(INDEX(J_DEB,I390)=$C$3,INDEX(J_NOM,I390),0))</f>
        <v>0</v>
      </c>
      <c r="G390" s="44" t="n">
        <f aca="false">IF(I390="","",IF(INDEX(J_KRE,I390)=$C$3,INDEX(J_NOM,I390),0))</f>
        <v>57391</v>
      </c>
      <c r="H390" s="44" t="n">
        <f aca="false">IF(I390="","",N(H389)+IF($C$5="Debet",F390-G390,G390-F390))</f>
        <v>-57610684</v>
      </c>
      <c r="I390" s="66" t="n">
        <f aca="false">IF(J390&gt;$K$1,"",IFERROR(MATCH(J390,J_BB,0),""))</f>
        <v>584</v>
      </c>
      <c r="J390" s="66" t="n">
        <v>381</v>
      </c>
      <c r="K390" s="5"/>
    </row>
    <row r="391" customFormat="false" ht="15" hidden="false" customHeight="false" outlineLevel="0" collapsed="false">
      <c r="A391" s="5" t="n">
        <f aca="false">IF(I391="","",J391)</f>
        <v>382</v>
      </c>
      <c r="B391" s="83" t="n">
        <f aca="false">IF(I391="","",INDEX(J_TGL,I391))</f>
        <v>46142</v>
      </c>
      <c r="C391" s="5" t="str">
        <f aca="false">IF(I391="","",INDEX(J_NO,I391))</f>
        <v>JU-0585</v>
      </c>
      <c r="D391" s="5" t="str">
        <f aca="false">IF(I391="","",INDEX(J_KET,I391))</f>
        <v>Tagihan internet April 2026</v>
      </c>
      <c r="E391" s="5" t="str">
        <f aca="false">IF(I391="","",IF(INDEX(J_DEB,I391)=$C$3,INDEX(J_KRE,I391),INDEX(J_DEB,I391)))</f>
        <v>Biaya Tagihan Bulanan</v>
      </c>
      <c r="F391" s="44" t="n">
        <f aca="false">IF(I391="","",IF(INDEX(J_DEB,I391)=$C$3,INDEX(J_NOM,I391),0))</f>
        <v>0</v>
      </c>
      <c r="G391" s="44" t="n">
        <f aca="false">IF(I391="","",IF(INDEX(J_KRE,I391)=$C$3,INDEX(J_NOM,I391),0))</f>
        <v>383120</v>
      </c>
      <c r="H391" s="44" t="n">
        <f aca="false">IF(I391="","",N(H390)+IF($C$5="Debet",F391-G391,G391-F391))</f>
        <v>-57993804</v>
      </c>
      <c r="I391" s="66" t="n">
        <f aca="false">IF(J391&gt;$K$1,"",IFERROR(MATCH(J391,J_BB,0),""))</f>
        <v>585</v>
      </c>
      <c r="J391" s="66" t="n">
        <v>382</v>
      </c>
      <c r="K391" s="5"/>
    </row>
    <row r="392" customFormat="false" ht="15" hidden="false" customHeight="false" outlineLevel="0" collapsed="false">
      <c r="A392" s="5" t="n">
        <f aca="false">IF(I392="","",J392)</f>
        <v>383</v>
      </c>
      <c r="B392" s="83" t="n">
        <f aca="false">IF(I392="","",INDEX(J_TGL,I392))</f>
        <v>46142</v>
      </c>
      <c r="C392" s="5" t="str">
        <f aca="false">IF(I392="","",INDEX(J_NO,I392))</f>
        <v>JU-0586</v>
      </c>
      <c r="D392" s="5" t="str">
        <f aca="false">IF(I392="","",INDEX(J_KET,I392))</f>
        <v>Pendapatan bunga rekening bank BCA</v>
      </c>
      <c r="E392" s="5" t="str">
        <f aca="false">IF(I392="","",IF(INDEX(J_DEB,I392)=$C$3,INDEX(J_KRE,I392),INDEX(J_DEB,I392)))</f>
        <v>Pendapatan Lainnya</v>
      </c>
      <c r="F392" s="44" t="n">
        <f aca="false">IF(I392="","",IF(INDEX(J_DEB,I392)=$C$3,INDEX(J_NOM,I392),0))</f>
        <v>589</v>
      </c>
      <c r="G392" s="44" t="n">
        <f aca="false">IF(I392="","",IF(INDEX(J_KRE,I392)=$C$3,INDEX(J_NOM,I392),0))</f>
        <v>0</v>
      </c>
      <c r="H392" s="44" t="n">
        <f aca="false">IF(I392="","",N(H391)+IF($C$5="Debet",F392-G392,G392-F392))</f>
        <v>-57993215</v>
      </c>
      <c r="I392" s="66" t="n">
        <f aca="false">IF(J392&gt;$K$1,"",IFERROR(MATCH(J392,J_BB,0),""))</f>
        <v>586</v>
      </c>
      <c r="J392" s="66" t="n">
        <v>383</v>
      </c>
      <c r="K392" s="5"/>
    </row>
    <row r="393" customFormat="false" ht="15" hidden="false" customHeight="false" outlineLevel="0" collapsed="false">
      <c r="A393" s="5" t="n">
        <f aca="false">IF(I393="","",J393)</f>
        <v>384</v>
      </c>
      <c r="B393" s="83" t="n">
        <f aca="false">IF(I393="","",INDEX(J_TGL,I393))</f>
        <v>46142</v>
      </c>
      <c r="C393" s="5" t="str">
        <f aca="false">IF(I393="","",INDEX(J_NO,I393))</f>
        <v>JU-0587</v>
      </c>
      <c r="D393" s="5" t="str">
        <f aca="false">IF(I393="","",INDEX(J_KET,I393))</f>
        <v>Pengeluaran pajak bunga rekening bank BCA</v>
      </c>
      <c r="E393" s="5" t="str">
        <f aca="false">IF(I393="","",IF(INDEX(J_DEB,I393)=$C$3,INDEX(J_KRE,I393),INDEX(J_DEB,I393)))</f>
        <v>Biaya Lainnya</v>
      </c>
      <c r="F393" s="44" t="n">
        <f aca="false">IF(I393="","",IF(INDEX(J_DEB,I393)=$C$3,INDEX(J_NOM,I393),0))</f>
        <v>0</v>
      </c>
      <c r="G393" s="44" t="n">
        <f aca="false">IF(I393="","",IF(INDEX(J_KRE,I393)=$C$3,INDEX(J_NOM,I393),0))</f>
        <v>118</v>
      </c>
      <c r="H393" s="44" t="n">
        <f aca="false">IF(I393="","",N(H392)+IF($C$5="Debet",F393-G393,G393-F393))</f>
        <v>-57993333</v>
      </c>
      <c r="I393" s="66" t="n">
        <f aca="false">IF(J393&gt;$K$1,"",IFERROR(MATCH(J393,J_BB,0),""))</f>
        <v>587</v>
      </c>
      <c r="J393" s="66" t="n">
        <v>384</v>
      </c>
      <c r="K393" s="5"/>
    </row>
    <row r="394" customFormat="false" ht="15" hidden="false" customHeight="false" outlineLevel="0" collapsed="false">
      <c r="A394" s="5" t="n">
        <f aca="false">IF(I394="","",J394)</f>
        <v>385</v>
      </c>
      <c r="B394" s="83" t="n">
        <f aca="false">IF(I394="","",INDEX(J_TGL,I394))</f>
        <v>46142</v>
      </c>
      <c r="C394" s="5" t="str">
        <f aca="false">IF(I394="","",INDEX(J_NO,I394))</f>
        <v>JU-0588</v>
      </c>
      <c r="D394" s="5" t="str">
        <f aca="false">IF(I394="","",INDEX(J_KET,I394))</f>
        <v>koreksi pendapatan bunga rekening bank BCA</v>
      </c>
      <c r="E394" s="5" t="str">
        <f aca="false">IF(I394="","",IF(INDEX(J_DEB,I394)=$C$3,INDEX(J_KRE,I394),INDEX(J_DEB,I394)))</f>
        <v>Pendapatan Lainnya</v>
      </c>
      <c r="F394" s="44" t="n">
        <f aca="false">IF(I394="","",IF(INDEX(J_DEB,I394)=$C$3,INDEX(J_NOM,I394),0))</f>
        <v>1</v>
      </c>
      <c r="G394" s="44" t="n">
        <f aca="false">IF(I394="","",IF(INDEX(J_KRE,I394)=$C$3,INDEX(J_NOM,I394),0))</f>
        <v>0</v>
      </c>
      <c r="H394" s="44" t="n">
        <f aca="false">IF(I394="","",N(H393)+IF($C$5="Debet",F394-G394,G394-F394))</f>
        <v>-57993332</v>
      </c>
      <c r="I394" s="66" t="n">
        <f aca="false">IF(J394&gt;$K$1,"",IFERROR(MATCH(J394,J_BB,0),""))</f>
        <v>588</v>
      </c>
      <c r="J394" s="66" t="n">
        <v>385</v>
      </c>
      <c r="K394" s="5"/>
    </row>
    <row r="395" customFormat="false" ht="15" hidden="false" customHeight="false" outlineLevel="0" collapsed="false">
      <c r="A395" s="5" t="n">
        <f aca="false">IF(I395="","",J395)</f>
        <v>386</v>
      </c>
      <c r="B395" s="83" t="n">
        <f aca="false">IF(I395="","",INDEX(J_TGL,I395))</f>
        <v>46142</v>
      </c>
      <c r="C395" s="5" t="str">
        <f aca="false">IF(I395="","",INDEX(J_NO,I395))</f>
        <v>JU-0590</v>
      </c>
      <c r="D395" s="5" t="str">
        <f aca="false">IF(I395="","",INDEX(J_KET,I395))</f>
        <v>Pajak daerah PBJT-CAFE ke Bank Jateng Bapenda</v>
      </c>
      <c r="E395" s="5" t="str">
        <f aca="false">IF(I395="","",IF(INDEX(J_DEB,I395)=$C$3,INDEX(J_KRE,I395),INDEX(J_DEB,I395)))</f>
        <v>Pajak Restoran</v>
      </c>
      <c r="F395" s="44" t="n">
        <f aca="false">IF(I395="","",IF(INDEX(J_DEB,I395)=$C$3,INDEX(J_NOM,I395),0))</f>
        <v>0</v>
      </c>
      <c r="G395" s="44" t="n">
        <f aca="false">IF(I395="","",IF(INDEX(J_KRE,I395)=$C$3,INDEX(J_NOM,I395),0))</f>
        <v>2058000</v>
      </c>
      <c r="H395" s="44" t="n">
        <f aca="false">IF(I395="","",N(H394)+IF($C$5="Debet",F395-G395,G395-F395))</f>
        <v>-60051332</v>
      </c>
      <c r="I395" s="66" t="n">
        <f aca="false">IF(J395&gt;$K$1,"",IFERROR(MATCH(J395,J_BB,0),""))</f>
        <v>590</v>
      </c>
      <c r="J395" s="66" t="n">
        <v>386</v>
      </c>
      <c r="K395" s="5"/>
    </row>
    <row r="396" customFormat="false" ht="15" hidden="false" customHeight="false" outlineLevel="0" collapsed="false">
      <c r="A396" s="5" t="n">
        <f aca="false">IF(I396="","",J396)</f>
        <v>387</v>
      </c>
      <c r="B396" s="83" t="n">
        <f aca="false">IF(I396="","",INDEX(J_TGL,I396))</f>
        <v>46142</v>
      </c>
      <c r="C396" s="5" t="str">
        <f aca="false">IF(I396="","",INDEX(J_NO,I396))</f>
        <v>JU-0591</v>
      </c>
      <c r="D396" s="5" t="str">
        <f aca="false">IF(I396="","",INDEX(J_KET,I396))</f>
        <v>Biaya transfer beda bank. BCA ke Bank Jateng</v>
      </c>
      <c r="E396" s="5" t="str">
        <f aca="false">IF(I396="","",IF(INDEX(J_DEB,I396)=$C$3,INDEX(J_KRE,I396),INDEX(J_DEB,I396)))</f>
        <v>Biaya Lainnya</v>
      </c>
      <c r="F396" s="44" t="n">
        <f aca="false">IF(I396="","",IF(INDEX(J_DEB,I396)=$C$3,INDEX(J_NOM,I396),0))</f>
        <v>0</v>
      </c>
      <c r="G396" s="44" t="n">
        <f aca="false">IF(I396="","",IF(INDEX(J_KRE,I396)=$C$3,INDEX(J_NOM,I396),0))</f>
        <v>6500</v>
      </c>
      <c r="H396" s="44" t="n">
        <f aca="false">IF(I396="","",N(H395)+IF($C$5="Debet",F396-G396,G396-F396))</f>
        <v>-60057832</v>
      </c>
      <c r="I396" s="66" t="n">
        <f aca="false">IF(J396&gt;$K$1,"",IFERROR(MATCH(J396,J_BB,0),""))</f>
        <v>591</v>
      </c>
      <c r="J396" s="66" t="n">
        <v>387</v>
      </c>
      <c r="K396" s="5"/>
    </row>
    <row r="397" customFormat="false" ht="15" hidden="false" customHeight="false" outlineLevel="0" collapsed="false">
      <c r="A397" s="5" t="n">
        <f aca="false">IF(I397="","",J397)</f>
        <v>388</v>
      </c>
      <c r="B397" s="83" t="n">
        <f aca="false">IF(I397="","",INDEX(J_TGL,I397))</f>
        <v>46142</v>
      </c>
      <c r="C397" s="5" t="str">
        <f aca="false">IF(I397="","",INDEX(J_NO,I397))</f>
        <v>JU-0594</v>
      </c>
      <c r="D397" s="5" t="str">
        <f aca="false">IF(I397="","",INDEX(J_KET,I397))</f>
        <v>Realisasi EDC/QRIS omzet bulan April</v>
      </c>
      <c r="E397" s="5" t="str">
        <f aca="false">IF(I397="","",IF(INDEX(J_DEB,I397)=$C$3,INDEX(J_KRE,I397),INDEX(J_DEB,I397)))</f>
        <v>Piutang Usaha Cafe</v>
      </c>
      <c r="F397" s="44" t="n">
        <f aca="false">IF(I397="","",IF(INDEX(J_DEB,I397)=$C$3,INDEX(J_NOM,I397),0))</f>
        <v>65351488</v>
      </c>
      <c r="G397" s="44" t="n">
        <f aca="false">IF(I397="","",IF(INDEX(J_KRE,I397)=$C$3,INDEX(J_NOM,I397),0))</f>
        <v>0</v>
      </c>
      <c r="H397" s="44" t="n">
        <f aca="false">IF(I397="","",N(H396)+IF($C$5="Debet",F397-G397,G397-F397))</f>
        <v>5293656</v>
      </c>
      <c r="I397" s="66" t="n">
        <f aca="false">IF(J397&gt;$K$1,"",IFERROR(MATCH(J397,J_BB,0),""))</f>
        <v>594</v>
      </c>
      <c r="J397" s="66" t="n">
        <v>388</v>
      </c>
      <c r="K397" s="5"/>
    </row>
    <row r="398" customFormat="false" ht="15" hidden="false" customHeight="false" outlineLevel="0" collapsed="false">
      <c r="A398" s="5" t="n">
        <f aca="false">IF(I398="","",J398)</f>
        <v>389</v>
      </c>
      <c r="B398" s="83" t="n">
        <f aca="false">IF(I398="","",INDEX(J_TGL,I398))</f>
        <v>46144</v>
      </c>
      <c r="C398" s="5" t="str">
        <f aca="false">IF(I398="","",INDEX(J_NO,I398))</f>
        <v>JU-0601</v>
      </c>
      <c r="D398" s="5" t="str">
        <f aca="false">IF(I398="","",INDEX(J_KET,I398))</f>
        <v>Freshmilk GF x 3 karton</v>
      </c>
      <c r="E398" s="5" t="str">
        <f aca="false">IF(I398="","",IF(INDEX(J_DEB,I398)=$C$3,INDEX(J_KRE,I398),INDEX(J_DEB,I398)))</f>
        <v>Biaya Bahan Baku</v>
      </c>
      <c r="F398" s="44" t="n">
        <f aca="false">IF(I398="","",IF(INDEX(J_DEB,I398)=$C$3,INDEX(J_NOM,I398),0))</f>
        <v>0</v>
      </c>
      <c r="G398" s="44" t="n">
        <f aca="false">IF(I398="","",IF(INDEX(J_KRE,I398)=$C$3,INDEX(J_NOM,I398),0))</f>
        <v>741000</v>
      </c>
      <c r="H398" s="44" t="n">
        <f aca="false">IF(I398="","",N(H397)+IF($C$5="Debet",F398-G398,G398-F398))</f>
        <v>4552656</v>
      </c>
      <c r="I398" s="66" t="n">
        <f aca="false">IF(J398&gt;$K$1,"",IFERROR(MATCH(J398,J_BB,0),""))</f>
        <v>601</v>
      </c>
      <c r="J398" s="66" t="n">
        <v>389</v>
      </c>
      <c r="K398" s="5"/>
    </row>
    <row r="399" customFormat="false" ht="15" hidden="false" customHeight="false" outlineLevel="0" collapsed="false">
      <c r="A399" s="5" t="n">
        <f aca="false">IF(I399="","",J399)</f>
        <v>390</v>
      </c>
      <c r="B399" s="83" t="n">
        <f aca="false">IF(I399="","",INDEX(J_TGL,I399))</f>
        <v>46144</v>
      </c>
      <c r="C399" s="5" t="str">
        <f aca="false">IF(I399="","",INDEX(J_NO,I399))</f>
        <v>JU-0602</v>
      </c>
      <c r="D399" s="5" t="str">
        <f aca="false">IF(I399="","",INDEX(J_KET,I399))</f>
        <v>Unlock water x 11 galon</v>
      </c>
      <c r="E399" s="5" t="str">
        <f aca="false">IF(I399="","",IF(INDEX(J_DEB,I399)=$C$3,INDEX(J_KRE,I399),INDEX(J_DEB,I399)))</f>
        <v>Biaya Bahan Baku</v>
      </c>
      <c r="F399" s="44" t="n">
        <f aca="false">IF(I399="","",IF(INDEX(J_DEB,I399)=$C$3,INDEX(J_NOM,I399),0))</f>
        <v>0</v>
      </c>
      <c r="G399" s="44" t="n">
        <f aca="false">IF(I399="","",IF(INDEX(J_KRE,I399)=$C$3,INDEX(J_NOM,I399),0))</f>
        <v>209000</v>
      </c>
      <c r="H399" s="44" t="n">
        <f aca="false">IF(I399="","",N(H398)+IF($C$5="Debet",F399-G399,G399-F399))</f>
        <v>4343656</v>
      </c>
      <c r="I399" s="66" t="n">
        <f aca="false">IF(J399&gt;$K$1,"",IFERROR(MATCH(J399,J_BB,0),""))</f>
        <v>602</v>
      </c>
      <c r="J399" s="66" t="n">
        <v>390</v>
      </c>
      <c r="K399" s="5"/>
    </row>
    <row r="400" customFormat="false" ht="15" hidden="false" customHeight="false" outlineLevel="0" collapsed="false">
      <c r="A400" s="5" t="n">
        <f aca="false">IF(I400="","",J400)</f>
        <v>391</v>
      </c>
      <c r="B400" s="83" t="n">
        <f aca="false">IF(I400="","",INDEX(J_TGL,I400))</f>
        <v>46146</v>
      </c>
      <c r="C400" s="5" t="str">
        <f aca="false">IF(I400="","",INDEX(J_NO,I400))</f>
        <v>JU-0605</v>
      </c>
      <c r="D400" s="5" t="str">
        <f aca="false">IF(I400="","",INDEX(J_KET,I400))</f>
        <v>Pindah dana tunai ke BCA (gaji mas hakim jasa parkir)</v>
      </c>
      <c r="E400" s="5" t="str">
        <f aca="false">IF(I400="","",IF(INDEX(J_DEB,I400)=$C$3,INDEX(J_KRE,I400),INDEX(J_DEB,I400)))</f>
        <v>Kas Tunai</v>
      </c>
      <c r="F400" s="44" t="n">
        <f aca="false">IF(I400="","",IF(INDEX(J_DEB,I400)=$C$3,INDEX(J_NOM,I400),0))</f>
        <v>200000</v>
      </c>
      <c r="G400" s="44" t="n">
        <f aca="false">IF(I400="","",IF(INDEX(J_KRE,I400)=$C$3,INDEX(J_NOM,I400),0))</f>
        <v>0</v>
      </c>
      <c r="H400" s="44" t="n">
        <f aca="false">IF(I400="","",N(H399)+IF($C$5="Debet",F400-G400,G400-F400))</f>
        <v>4543656</v>
      </c>
      <c r="I400" s="66" t="n">
        <f aca="false">IF(J400&gt;$K$1,"",IFERROR(MATCH(J400,J_BB,0),""))</f>
        <v>605</v>
      </c>
      <c r="J400" s="66" t="n">
        <v>391</v>
      </c>
      <c r="K400" s="5"/>
    </row>
    <row r="401" customFormat="false" ht="15" hidden="false" customHeight="false" outlineLevel="0" collapsed="false">
      <c r="A401" s="5" t="n">
        <f aca="false">IF(I401="","",J401)</f>
        <v>392</v>
      </c>
      <c r="B401" s="83" t="n">
        <f aca="false">IF(I401="","",INDEX(J_TGL,I401))</f>
        <v>46146</v>
      </c>
      <c r="C401" s="5" t="str">
        <f aca="false">IF(I401="","",INDEX(J_NO,I401))</f>
        <v>JU-0607</v>
      </c>
      <c r="D401" s="5" t="str">
        <f aca="false">IF(I401="","",INDEX(J_KET,I401))</f>
        <v>Pindah dana BCA ke Tunai (tuker pecah TJA)</v>
      </c>
      <c r="E401" s="5" t="str">
        <f aca="false">IF(I401="","",IF(INDEX(J_DEB,I401)=$C$3,INDEX(J_KRE,I401),INDEX(J_DEB,I401)))</f>
        <v>Kas Tunai</v>
      </c>
      <c r="F401" s="44" t="n">
        <f aca="false">IF(I401="","",IF(INDEX(J_DEB,I401)=$C$3,INDEX(J_NOM,I401),0))</f>
        <v>0</v>
      </c>
      <c r="G401" s="44" t="n">
        <f aca="false">IF(I401="","",IF(INDEX(J_KRE,I401)=$C$3,INDEX(J_NOM,I401),0))</f>
        <v>3000000</v>
      </c>
      <c r="H401" s="44" t="n">
        <f aca="false">IF(I401="","",N(H400)+IF($C$5="Debet",F401-G401,G401-F401))</f>
        <v>1543656</v>
      </c>
      <c r="I401" s="66" t="n">
        <f aca="false">IF(J401&gt;$K$1,"",IFERROR(MATCH(J401,J_BB,0),""))</f>
        <v>607</v>
      </c>
      <c r="J401" s="66" t="n">
        <v>392</v>
      </c>
      <c r="K401" s="5"/>
    </row>
    <row r="402" customFormat="false" ht="15" hidden="false" customHeight="false" outlineLevel="0" collapsed="false">
      <c r="A402" s="5" t="n">
        <f aca="false">IF(I402="","",J402)</f>
        <v>393</v>
      </c>
      <c r="B402" s="83" t="n">
        <f aca="false">IF(I402="","",INDEX(J_TGL,I402))</f>
        <v>46146</v>
      </c>
      <c r="C402" s="5" t="str">
        <f aca="false">IF(I402="","",INDEX(J_NO,I402))</f>
        <v>JU-0614</v>
      </c>
      <c r="D402" s="5" t="str">
        <f aca="false">IF(I402="","",INDEX(J_KET,I402))</f>
        <v>Tiramisu 3 batch Rstk : Apr tgl 19&amp;24, Mei tgl 2 /batch 9pcs = 27pcs</v>
      </c>
      <c r="E402" s="5" t="str">
        <f aca="false">IF(I402="","",IF(INDEX(J_DEB,I402)=$C$3,INDEX(J_KRE,I402),INDEX(J_DEB,I402)))</f>
        <v>Biaya Bahan Baku</v>
      </c>
      <c r="F402" s="44" t="n">
        <f aca="false">IF(I402="","",IF(INDEX(J_DEB,I402)=$C$3,INDEX(J_NOM,I402),0))</f>
        <v>0</v>
      </c>
      <c r="G402" s="44" t="n">
        <f aca="false">IF(I402="","",IF(INDEX(J_KRE,I402)=$C$3,INDEX(J_NOM,I402),0))</f>
        <v>360000</v>
      </c>
      <c r="H402" s="44" t="n">
        <f aca="false">IF(I402="","",N(H401)+IF($C$5="Debet",F402-G402,G402-F402))</f>
        <v>1183656</v>
      </c>
      <c r="I402" s="66" t="n">
        <f aca="false">IF(J402&gt;$K$1,"",IFERROR(MATCH(J402,J_BB,0),""))</f>
        <v>614</v>
      </c>
      <c r="J402" s="66" t="n">
        <v>393</v>
      </c>
      <c r="K402" s="5"/>
    </row>
    <row r="403" customFormat="false" ht="15" hidden="false" customHeight="false" outlineLevel="0" collapsed="false">
      <c r="A403" s="5" t="n">
        <f aca="false">IF(I403="","",J403)</f>
        <v>394</v>
      </c>
      <c r="B403" s="83" t="n">
        <f aca="false">IF(I403="","",INDEX(J_TGL,I403))</f>
        <v>46147</v>
      </c>
      <c r="C403" s="5" t="str">
        <f aca="false">IF(I403="","",INDEX(J_NO,I403))</f>
        <v>JU-0615</v>
      </c>
      <c r="D403" s="5" t="str">
        <f aca="false">IF(I403="","",INDEX(J_KET,I403))</f>
        <v>Tisu wajah See-U facial tissue x 1 dus isi 40 pack isi 250lbr @7.250k/pack</v>
      </c>
      <c r="E403" s="5" t="str">
        <f aca="false">IF(I403="","",IF(INDEX(J_DEB,I403)=$C$3,INDEX(J_KRE,I403),INDEX(J_DEB,I403)))</f>
        <v>Biaya Penyajian</v>
      </c>
      <c r="F403" s="44" t="n">
        <f aca="false">IF(I403="","",IF(INDEX(J_DEB,I403)=$C$3,INDEX(J_NOM,I403),0))</f>
        <v>0</v>
      </c>
      <c r="G403" s="44" t="n">
        <f aca="false">IF(I403="","",IF(INDEX(J_KRE,I403)=$C$3,INDEX(J_NOM,I403),0))</f>
        <v>290000</v>
      </c>
      <c r="H403" s="44" t="n">
        <f aca="false">IF(I403="","",N(H402)+IF($C$5="Debet",F403-G403,G403-F403))</f>
        <v>893656</v>
      </c>
      <c r="I403" s="66" t="n">
        <f aca="false">IF(J403&gt;$K$1,"",IFERROR(MATCH(J403,J_BB,0),""))</f>
        <v>615</v>
      </c>
      <c r="J403" s="66" t="n">
        <v>394</v>
      </c>
      <c r="K403" s="5"/>
    </row>
    <row r="404" customFormat="false" ht="15" hidden="false" customHeight="false" outlineLevel="0" collapsed="false">
      <c r="A404" s="5" t="n">
        <f aca="false">IF(I404="","",J404)</f>
        <v>395</v>
      </c>
      <c r="B404" s="83" t="n">
        <f aca="false">IF(I404="","",INDEX(J_TGL,I404))</f>
        <v>46147</v>
      </c>
      <c r="C404" s="5" t="str">
        <f aca="false">IF(I404="","",INDEX(J_NO,I404))</f>
        <v>JU-0616</v>
      </c>
      <c r="D404" s="5" t="str">
        <f aca="false">IF(I404="","",INDEX(J_KET,I404))</f>
        <v>Sponsorship fotografi</v>
      </c>
      <c r="E404" s="5" t="str">
        <f aca="false">IF(I404="","",IF(INDEX(J_DEB,I404)=$C$3,INDEX(J_KRE,I404),INDEX(J_DEB,I404)))</f>
        <v>Biaya Marketing &amp; Promosi</v>
      </c>
      <c r="F404" s="44" t="n">
        <f aca="false">IF(I404="","",IF(INDEX(J_DEB,I404)=$C$3,INDEX(J_NOM,I404),0))</f>
        <v>0</v>
      </c>
      <c r="G404" s="44" t="n">
        <f aca="false">IF(I404="","",IF(INDEX(J_KRE,I404)=$C$3,INDEX(J_NOM,I404),0))</f>
        <v>290000</v>
      </c>
      <c r="H404" s="44" t="n">
        <f aca="false">IF(I404="","",N(H403)+IF($C$5="Debet",F404-G404,G404-F404))</f>
        <v>603656</v>
      </c>
      <c r="I404" s="66" t="n">
        <f aca="false">IF(J404&gt;$K$1,"",IFERROR(MATCH(J404,J_BB,0),""))</f>
        <v>616</v>
      </c>
      <c r="J404" s="66" t="n">
        <v>395</v>
      </c>
      <c r="K404" s="5"/>
    </row>
    <row r="405" customFormat="false" ht="15" hidden="false" customHeight="false" outlineLevel="0" collapsed="false">
      <c r="A405" s="5" t="n">
        <f aca="false">IF(I405="","",J405)</f>
        <v>396</v>
      </c>
      <c r="B405" s="83" t="n">
        <f aca="false">IF(I405="","",INDEX(J_TGL,I405))</f>
        <v>46147</v>
      </c>
      <c r="C405" s="5" t="str">
        <f aca="false">IF(I405="","",INDEX(J_NO,I405))</f>
        <v>JU-0617</v>
      </c>
      <c r="D405" s="5" t="str">
        <f aca="false">IF(I405="","",INDEX(J_KET,I405))</f>
        <v>Penjualan di event artefak 2 hari di Karang Anyar by UNS</v>
      </c>
      <c r="E405" s="5" t="str">
        <f aca="false">IF(I405="","",IF(INDEX(J_DEB,I405)=$C$3,INDEX(J_KRE,I405),INDEX(J_DEB,I405)))</f>
        <v>Pendapatan non Cafe</v>
      </c>
      <c r="F405" s="44" t="n">
        <f aca="false">IF(I405="","",IF(INDEX(J_DEB,I405)=$C$3,INDEX(J_NOM,I405),0))</f>
        <v>1040000</v>
      </c>
      <c r="G405" s="44" t="n">
        <f aca="false">IF(I405="","",IF(INDEX(J_KRE,I405)=$C$3,INDEX(J_NOM,I405),0))</f>
        <v>0</v>
      </c>
      <c r="H405" s="44" t="n">
        <f aca="false">IF(I405="","",N(H404)+IF($C$5="Debet",F405-G405,G405-F405))</f>
        <v>1643656</v>
      </c>
      <c r="I405" s="66" t="n">
        <f aca="false">IF(J405&gt;$K$1,"",IFERROR(MATCH(J405,J_BB,0),""))</f>
        <v>617</v>
      </c>
      <c r="J405" s="66" t="n">
        <v>396</v>
      </c>
      <c r="K405" s="5"/>
    </row>
    <row r="406" customFormat="false" ht="15" hidden="false" customHeight="false" outlineLevel="0" collapsed="false">
      <c r="A406" s="5" t="n">
        <f aca="false">IF(I406="","",J406)</f>
        <v>397</v>
      </c>
      <c r="B406" s="83" t="n">
        <f aca="false">IF(I406="","",INDEX(J_TGL,I406))</f>
        <v>46148</v>
      </c>
      <c r="C406" s="5" t="str">
        <f aca="false">IF(I406="","",INDEX(J_NO,I406))</f>
        <v>JU-0618</v>
      </c>
      <c r="D406" s="5" t="str">
        <f aca="false">IF(I406="","",INDEX(J_KET,I406))</f>
        <v>Biaya transfer flip</v>
      </c>
      <c r="E406" s="5" t="str">
        <f aca="false">IF(I406="","",IF(INDEX(J_DEB,I406)=$C$3,INDEX(J_KRE,I406),INDEX(J_DEB,I406)))</f>
        <v>Biaya Lainnya</v>
      </c>
      <c r="F406" s="44" t="n">
        <f aca="false">IF(I406="","",IF(INDEX(J_DEB,I406)=$C$3,INDEX(J_NOM,I406),0))</f>
        <v>0</v>
      </c>
      <c r="G406" s="44" t="n">
        <f aca="false">IF(I406="","",IF(INDEX(J_KRE,I406)=$C$3,INDEX(J_NOM,I406),0))</f>
        <v>2325</v>
      </c>
      <c r="H406" s="44" t="n">
        <f aca="false">IF(I406="","",N(H405)+IF($C$5="Debet",F406-G406,G406-F406))</f>
        <v>1641331</v>
      </c>
      <c r="I406" s="66" t="n">
        <f aca="false">IF(J406&gt;$K$1,"",IFERROR(MATCH(J406,J_BB,0),""))</f>
        <v>618</v>
      </c>
      <c r="J406" s="66" t="n">
        <v>397</v>
      </c>
      <c r="K406" s="5"/>
    </row>
    <row r="407" customFormat="false" ht="15" hidden="false" customHeight="false" outlineLevel="0" collapsed="false">
      <c r="A407" s="5" t="n">
        <f aca="false">IF(I407="","",J407)</f>
        <v>398</v>
      </c>
      <c r="B407" s="83" t="n">
        <f aca="false">IF(I407="","",INDEX(J_TGL,I407))</f>
        <v>46148</v>
      </c>
      <c r="C407" s="5" t="str">
        <f aca="false">IF(I407="","",INDEX(J_NO,I407))</f>
        <v>JU-0619</v>
      </c>
      <c r="D407" s="5" t="str">
        <f aca="false">IF(I407="","",INDEX(J_KET,I407))</f>
        <v>Pindah dana tunai ke BCA(Afa tukar uang)</v>
      </c>
      <c r="E407" s="5" t="str">
        <f aca="false">IF(I407="","",IF(INDEX(J_DEB,I407)=$C$3,INDEX(J_KRE,I407),INDEX(J_DEB,I407)))</f>
        <v>Kas Tunai</v>
      </c>
      <c r="F407" s="44" t="n">
        <f aca="false">IF(I407="","",IF(INDEX(J_DEB,I407)=$C$3,INDEX(J_NOM,I407),0))</f>
        <v>55500</v>
      </c>
      <c r="G407" s="44" t="n">
        <f aca="false">IF(I407="","",IF(INDEX(J_KRE,I407)=$C$3,INDEX(J_NOM,I407),0))</f>
        <v>0</v>
      </c>
      <c r="H407" s="44" t="n">
        <f aca="false">IF(I407="","",N(H406)+IF($C$5="Debet",F407-G407,G407-F407))</f>
        <v>1696831</v>
      </c>
      <c r="I407" s="66" t="n">
        <f aca="false">IF(J407&gt;$K$1,"",IFERROR(MATCH(J407,J_BB,0),""))</f>
        <v>619</v>
      </c>
      <c r="J407" s="66" t="n">
        <v>398</v>
      </c>
      <c r="K407" s="5"/>
    </row>
    <row r="408" customFormat="false" ht="15" hidden="false" customHeight="false" outlineLevel="0" collapsed="false">
      <c r="A408" s="5" t="n">
        <f aca="false">IF(I408="","",J408)</f>
        <v>399</v>
      </c>
      <c r="B408" s="83" t="n">
        <f aca="false">IF(I408="","",INDEX(J_TGL,I408))</f>
        <v>46148</v>
      </c>
      <c r="C408" s="5" t="str">
        <f aca="false">IF(I408="","",INDEX(J_NO,I408))</f>
        <v>JU-0620</v>
      </c>
      <c r="D408" s="5" t="str">
        <f aca="false">IF(I408="","",INDEX(J_KET,I408))</f>
        <v>Yantos tukar bayar beli ember x5pcs acara fotografi</v>
      </c>
      <c r="E408" s="5" t="str">
        <f aca="false">IF(I408="","",IF(INDEX(J_DEB,I408)=$C$3,INDEX(J_KRE,I408),INDEX(J_DEB,I408)))</f>
        <v>Pendapatan Lainnya</v>
      </c>
      <c r="F408" s="44" t="n">
        <f aca="false">IF(I408="","",IF(INDEX(J_DEB,I408)=$C$3,INDEX(J_NOM,I408),0))</f>
        <v>115000</v>
      </c>
      <c r="G408" s="44" t="n">
        <f aca="false">IF(I408="","",IF(INDEX(J_KRE,I408)=$C$3,INDEX(J_NOM,I408),0))</f>
        <v>0</v>
      </c>
      <c r="H408" s="44" t="n">
        <f aca="false">IF(I408="","",N(H407)+IF($C$5="Debet",F408-G408,G408-F408))</f>
        <v>1811831</v>
      </c>
      <c r="I408" s="66" t="n">
        <f aca="false">IF(J408&gt;$K$1,"",IFERROR(MATCH(J408,J_BB,0),""))</f>
        <v>620</v>
      </c>
      <c r="J408" s="66" t="n">
        <v>399</v>
      </c>
      <c r="K408" s="5"/>
    </row>
    <row r="409" customFormat="false" ht="15" hidden="false" customHeight="false" outlineLevel="0" collapsed="false">
      <c r="A409" s="5" t="n">
        <f aca="false">IF(I409="","",J409)</f>
        <v>400</v>
      </c>
      <c r="B409" s="83" t="n">
        <f aca="false">IF(I409="","",INDEX(J_TGL,I409))</f>
        <v>46148</v>
      </c>
      <c r="C409" s="5" t="str">
        <f aca="false">IF(I409="","",INDEX(J_NO,I409))</f>
        <v>JU-0621</v>
      </c>
      <c r="D409" s="5" t="str">
        <f aca="false">IF(I409="","",INDEX(J_KET,I409))</f>
        <v>Tisu wajah See-U facial tissue x 1 dus isi 40 pack isi 250lbr @7.250k/pack</v>
      </c>
      <c r="E409" s="5" t="str">
        <f aca="false">IF(I409="","",IF(INDEX(J_DEB,I409)=$C$3,INDEX(J_KRE,I409),INDEX(J_DEB,I409)))</f>
        <v>Biaya Penyajian</v>
      </c>
      <c r="F409" s="44" t="n">
        <f aca="false">IF(I409="","",IF(INDEX(J_DEB,I409)=$C$3,INDEX(J_NOM,I409),0))</f>
        <v>0</v>
      </c>
      <c r="G409" s="44" t="n">
        <f aca="false">IF(I409="","",IF(INDEX(J_KRE,I409)=$C$3,INDEX(J_NOM,I409),0))</f>
        <v>290000</v>
      </c>
      <c r="H409" s="44" t="n">
        <f aca="false">IF(I409="","",N(H408)+IF($C$5="Debet",F409-G409,G409-F409))</f>
        <v>1521831</v>
      </c>
      <c r="I409" s="66" t="n">
        <f aca="false">IF(J409&gt;$K$1,"",IFERROR(MATCH(J409,J_BB,0),""))</f>
        <v>621</v>
      </c>
      <c r="J409" s="66" t="n">
        <v>400</v>
      </c>
      <c r="K409" s="5"/>
    </row>
    <row r="410" customFormat="false" ht="15" hidden="false" customHeight="false" outlineLevel="0" collapsed="false">
      <c r="A410" s="5" t="n">
        <f aca="false">IF(I410="","",J410)</f>
        <v>401</v>
      </c>
      <c r="B410" s="83" t="n">
        <f aca="false">IF(I410="","",INDEX(J_TGL,I410))</f>
        <v>46149</v>
      </c>
      <c r="C410" s="5" t="str">
        <f aca="false">IF(I410="","",INDEX(J_NO,I410))</f>
        <v>JU-0624</v>
      </c>
      <c r="D410" s="5" t="str">
        <f aca="false">IF(I410="","",INDEX(J_KET,I410))</f>
        <v>lampu otomatis nyala x 4 pcs untuk rak kantor/gudang</v>
      </c>
      <c r="E410" s="5" t="str">
        <f aca="false">IF(I410="","",IF(INDEX(J_DEB,I410)=$C$3,INDEX(J_KRE,I410),INDEX(J_DEB,I410)))</f>
        <v>Biaya Pemeliharaan</v>
      </c>
      <c r="F410" s="44" t="n">
        <f aca="false">IF(I410="","",IF(INDEX(J_DEB,I410)=$C$3,INDEX(J_NOM,I410),0))</f>
        <v>0</v>
      </c>
      <c r="G410" s="44" t="n">
        <f aca="false">IF(I410="","",IF(INDEX(J_KRE,I410)=$C$3,INDEX(J_NOM,I410),0))</f>
        <v>111249</v>
      </c>
      <c r="H410" s="44" t="n">
        <f aca="false">IF(I410="","",N(H409)+IF($C$5="Debet",F410-G410,G410-F410))</f>
        <v>1410582</v>
      </c>
      <c r="I410" s="66" t="n">
        <f aca="false">IF(J410&gt;$K$1,"",IFERROR(MATCH(J410,J_BB,0),""))</f>
        <v>624</v>
      </c>
      <c r="J410" s="66" t="n">
        <v>401</v>
      </c>
      <c r="K410" s="5"/>
    </row>
    <row r="411" customFormat="false" ht="15" hidden="false" customHeight="false" outlineLevel="0" collapsed="false">
      <c r="A411" s="5" t="n">
        <f aca="false">IF(I411="","",J411)</f>
        <v>402</v>
      </c>
      <c r="B411" s="83" t="n">
        <f aca="false">IF(I411="","",INDEX(J_TGL,I411))</f>
        <v>46149</v>
      </c>
      <c r="C411" s="5" t="str">
        <f aca="false">IF(I411="","",INDEX(J_NO,I411))</f>
        <v>JU-0625</v>
      </c>
      <c r="D411" s="5" t="str">
        <f aca="false">IF(I411="","",INDEX(J_KET,I411))</f>
        <v>Bon karyawan Sdr. Rangga diangsur selama 6 bulan Gaji Mei-Okt 2026</v>
      </c>
      <c r="E411" s="5" t="str">
        <f aca="false">IF(I411="","",IF(INDEX(J_DEB,I411)=$C$3,INDEX(J_KRE,I411),INDEX(J_DEB,I411)))</f>
        <v>Piutang Lainnya</v>
      </c>
      <c r="F411" s="44" t="n">
        <f aca="false">IF(I411="","",IF(INDEX(J_DEB,I411)=$C$3,INDEX(J_NOM,I411),0))</f>
        <v>0</v>
      </c>
      <c r="G411" s="44" t="n">
        <f aca="false">IF(I411="","",IF(INDEX(J_KRE,I411)=$C$3,INDEX(J_NOM,I411),0))</f>
        <v>2000000</v>
      </c>
      <c r="H411" s="44" t="n">
        <f aca="false">IF(I411="","",N(H410)+IF($C$5="Debet",F411-G411,G411-F411))</f>
        <v>-589418</v>
      </c>
      <c r="I411" s="66" t="n">
        <f aca="false">IF(J411&gt;$K$1,"",IFERROR(MATCH(J411,J_BB,0),""))</f>
        <v>625</v>
      </c>
      <c r="J411" s="66" t="n">
        <v>402</v>
      </c>
      <c r="K411" s="5"/>
    </row>
    <row r="412" customFormat="false" ht="15" hidden="false" customHeight="false" outlineLevel="0" collapsed="false">
      <c r="A412" s="5" t="n">
        <f aca="false">IF(I412="","",J412)</f>
        <v>403</v>
      </c>
      <c r="B412" s="83" t="n">
        <f aca="false">IF(I412="","",INDEX(J_TGL,I412))</f>
        <v>46150</v>
      </c>
      <c r="C412" s="5" t="str">
        <f aca="false">IF(I412="","",INDEX(J_NO,I412))</f>
        <v>JU-0626</v>
      </c>
      <c r="D412" s="5" t="str">
        <f aca="false">IF(I412="","",INDEX(J_KET,I412))</f>
        <v>Pindah dana tunai ke BCA (FM tukar uang)</v>
      </c>
      <c r="E412" s="5" t="str">
        <f aca="false">IF(I412="","",IF(INDEX(J_DEB,I412)=$C$3,INDEX(J_KRE,I412),INDEX(J_DEB,I412)))</f>
        <v>Kas Tunai</v>
      </c>
      <c r="F412" s="44" t="n">
        <f aca="false">IF(I412="","",IF(INDEX(J_DEB,I412)=$C$3,INDEX(J_NOM,I412),0))</f>
        <v>7000000</v>
      </c>
      <c r="G412" s="44" t="n">
        <f aca="false">IF(I412="","",IF(INDEX(J_KRE,I412)=$C$3,INDEX(J_NOM,I412),0))</f>
        <v>0</v>
      </c>
      <c r="H412" s="44" t="n">
        <f aca="false">IF(I412="","",N(H411)+IF($C$5="Debet",F412-G412,G412-F412))</f>
        <v>6410582</v>
      </c>
      <c r="I412" s="66" t="n">
        <f aca="false">IF(J412&gt;$K$1,"",IFERROR(MATCH(J412,J_BB,0),""))</f>
        <v>626</v>
      </c>
      <c r="J412" s="66" t="n">
        <v>403</v>
      </c>
      <c r="K412" s="5"/>
    </row>
    <row r="413" customFormat="false" ht="15" hidden="false" customHeight="false" outlineLevel="0" collapsed="false">
      <c r="A413" s="5" t="n">
        <f aca="false">IF(I413="","",J413)</f>
        <v>404</v>
      </c>
      <c r="B413" s="83" t="n">
        <f aca="false">IF(I413="","",INDEX(J_TGL,I413))</f>
        <v>46151</v>
      </c>
      <c r="C413" s="5" t="str">
        <f aca="false">IF(I413="","",INDEX(J_NO,I413))</f>
        <v>JU-0633</v>
      </c>
      <c r="D413" s="5" t="str">
        <f aca="false">IF(I413="","",INDEX(J_KET,I413))</f>
        <v>Pembayaran langganan musik spotify</v>
      </c>
      <c r="E413" s="5" t="str">
        <f aca="false">IF(I413="","",IF(INDEX(J_DEB,I413)=$C$3,INDEX(J_KRE,I413),INDEX(J_DEB,I413)))</f>
        <v>Biaya Tagihan Bulanan</v>
      </c>
      <c r="F413" s="44" t="n">
        <f aca="false">IF(I413="","",IF(INDEX(J_DEB,I413)=$C$3,INDEX(J_NOM,I413),0))</f>
        <v>0</v>
      </c>
      <c r="G413" s="44" t="n">
        <f aca="false">IF(I413="","",IF(INDEX(J_KRE,I413)=$C$3,INDEX(J_NOM,I413),0))</f>
        <v>119000</v>
      </c>
      <c r="H413" s="44" t="n">
        <f aca="false">IF(I413="","",N(H412)+IF($C$5="Debet",F413-G413,G413-F413))</f>
        <v>6291582</v>
      </c>
      <c r="I413" s="66" t="n">
        <f aca="false">IF(J413&gt;$K$1,"",IFERROR(MATCH(J413,J_BB,0),""))</f>
        <v>633</v>
      </c>
      <c r="J413" s="66" t="n">
        <v>404</v>
      </c>
      <c r="K413" s="5"/>
    </row>
    <row r="414" customFormat="false" ht="15" hidden="false" customHeight="false" outlineLevel="0" collapsed="false">
      <c r="A414" s="5" t="n">
        <f aca="false">IF(I414="","",J414)</f>
        <v>405</v>
      </c>
      <c r="B414" s="83" t="n">
        <f aca="false">IF(I414="","",INDEX(J_TGL,I414))</f>
        <v>46151</v>
      </c>
      <c r="C414" s="5" t="str">
        <f aca="false">IF(I414="","",INDEX(J_NO,I414))</f>
        <v>JU-0634</v>
      </c>
      <c r="D414" s="5" t="str">
        <f aca="false">IF(I414="","",INDEX(J_KET,I414))</f>
        <v>Jar kombucha 11L x 3bj , 9L x 4biji</v>
      </c>
      <c r="E414" s="5" t="str">
        <f aca="false">IF(I414="","",IF(INDEX(J_DEB,I414)=$C$3,INDEX(J_KRE,I414),INDEX(J_DEB,I414)))</f>
        <v>Biaya Bahan Baku</v>
      </c>
      <c r="F414" s="44" t="n">
        <f aca="false">IF(I414="","",IF(INDEX(J_DEB,I414)=$C$3,INDEX(J_NOM,I414),0))</f>
        <v>0</v>
      </c>
      <c r="G414" s="44" t="n">
        <f aca="false">IF(I414="","",IF(INDEX(J_KRE,I414)=$C$3,INDEX(J_NOM,I414),0))</f>
        <v>691000</v>
      </c>
      <c r="H414" s="44" t="n">
        <f aca="false">IF(I414="","",N(H413)+IF($C$5="Debet",F414-G414,G414-F414))</f>
        <v>5600582</v>
      </c>
      <c r="I414" s="66" t="n">
        <f aca="false">IF(J414&gt;$K$1,"",IFERROR(MATCH(J414,J_BB,0),""))</f>
        <v>634</v>
      </c>
      <c r="J414" s="66" t="n">
        <v>405</v>
      </c>
      <c r="K414" s="5"/>
    </row>
    <row r="415" customFormat="false" ht="15" hidden="false" customHeight="false" outlineLevel="0" collapsed="false">
      <c r="A415" s="5" t="n">
        <f aca="false">IF(I415="","",J415)</f>
        <v>406</v>
      </c>
      <c r="B415" s="83" t="n">
        <f aca="false">IF(I415="","",INDEX(J_TGL,I415))</f>
        <v>46151</v>
      </c>
      <c r="C415" s="5" t="str">
        <f aca="false">IF(I415="","",INDEX(J_NO,I415))</f>
        <v>JU-0635</v>
      </c>
      <c r="D415" s="5" t="str">
        <f aca="false">IF(I415="","",INDEX(J_KET,I415))</f>
        <v>Biaya transfer flip</v>
      </c>
      <c r="E415" s="5" t="str">
        <f aca="false">IF(I415="","",IF(INDEX(J_DEB,I415)=$C$3,INDEX(J_KRE,I415),INDEX(J_DEB,I415)))</f>
        <v>Biaya Lainnya</v>
      </c>
      <c r="F415" s="44" t="n">
        <f aca="false">IF(I415="","",IF(INDEX(J_DEB,I415)=$C$3,INDEX(J_NOM,I415),0))</f>
        <v>0</v>
      </c>
      <c r="G415" s="44" t="n">
        <f aca="false">IF(I415="","",IF(INDEX(J_KRE,I415)=$C$3,INDEX(J_NOM,I415),0))</f>
        <v>448</v>
      </c>
      <c r="H415" s="44" t="n">
        <f aca="false">IF(I415="","",N(H414)+IF($C$5="Debet",F415-G415,G415-F415))</f>
        <v>5600134</v>
      </c>
      <c r="I415" s="66" t="n">
        <f aca="false">IF(J415&gt;$K$1,"",IFERROR(MATCH(J415,J_BB,0),""))</f>
        <v>635</v>
      </c>
      <c r="J415" s="66" t="n">
        <v>406</v>
      </c>
      <c r="K415" s="5"/>
    </row>
    <row r="416" customFormat="false" ht="15" hidden="false" customHeight="false" outlineLevel="0" collapsed="false">
      <c r="A416" s="5" t="n">
        <f aca="false">IF(I416="","",J416)</f>
        <v>407</v>
      </c>
      <c r="B416" s="83" t="n">
        <f aca="false">IF(I416="","",INDEX(J_TGL,I416))</f>
        <v>46152</v>
      </c>
      <c r="C416" s="5" t="str">
        <f aca="false">IF(I416="","",INDEX(J_NO,I416))</f>
        <v>JU-0637</v>
      </c>
      <c r="D416" s="5" t="str">
        <f aca="false">IF(I416="","",INDEX(J_KET,I416))</f>
        <v>botol soda x1</v>
      </c>
      <c r="E416" s="5" t="str">
        <f aca="false">IF(I416="","",IF(INDEX(J_DEB,I416)=$C$3,INDEX(J_KRE,I416),INDEX(J_DEB,I416)))</f>
        <v>Biaya Penyajian</v>
      </c>
      <c r="F416" s="44" t="n">
        <f aca="false">IF(I416="","",IF(INDEX(J_DEB,I416)=$C$3,INDEX(J_NOM,I416),0))</f>
        <v>0</v>
      </c>
      <c r="G416" s="44" t="n">
        <f aca="false">IF(I416="","",IF(INDEX(J_KRE,I416)=$C$3,INDEX(J_NOM,I416),0))</f>
        <v>6000</v>
      </c>
      <c r="H416" s="44" t="n">
        <f aca="false">IF(I416="","",N(H415)+IF($C$5="Debet",F416-G416,G416-F416))</f>
        <v>5594134</v>
      </c>
      <c r="I416" s="66" t="n">
        <f aca="false">IF(J416&gt;$K$1,"",IFERROR(MATCH(J416,J_BB,0),""))</f>
        <v>637</v>
      </c>
      <c r="J416" s="66" t="n">
        <v>407</v>
      </c>
      <c r="K416" s="5"/>
    </row>
    <row r="417" customFormat="false" ht="15" hidden="false" customHeight="false" outlineLevel="0" collapsed="false">
      <c r="A417" s="5" t="n">
        <f aca="false">IF(I417="","",J417)</f>
        <v>408</v>
      </c>
      <c r="B417" s="83" t="n">
        <f aca="false">IF(I417="","",INDEX(J_TGL,I417))</f>
        <v>46153</v>
      </c>
      <c r="C417" s="5" t="str">
        <f aca="false">IF(I417="","",INDEX(J_NO,I417))</f>
        <v>JU-0638</v>
      </c>
      <c r="D417" s="5" t="str">
        <f aca="false">IF(I417="","",INDEX(J_KET,I417))</f>
        <v>Pindah dana tunai ke BCA (Afa tukar uang)</v>
      </c>
      <c r="E417" s="5" t="str">
        <f aca="false">IF(I417="","",IF(INDEX(J_DEB,I417)=$C$3,INDEX(J_KRE,I417),INDEX(J_DEB,I417)))</f>
        <v>Kas Tunai</v>
      </c>
      <c r="F417" s="44" t="n">
        <f aca="false">IF(I417="","",IF(INDEX(J_DEB,I417)=$C$3,INDEX(J_NOM,I417),0))</f>
        <v>2500000</v>
      </c>
      <c r="G417" s="44" t="n">
        <f aca="false">IF(I417="","",IF(INDEX(J_KRE,I417)=$C$3,INDEX(J_NOM,I417),0))</f>
        <v>0</v>
      </c>
      <c r="H417" s="44" t="n">
        <f aca="false">IF(I417="","",N(H416)+IF($C$5="Debet",F417-G417,G417-F417))</f>
        <v>8094134</v>
      </c>
      <c r="I417" s="66" t="n">
        <f aca="false">IF(J417&gt;$K$1,"",IFERROR(MATCH(J417,J_BB,0),""))</f>
        <v>638</v>
      </c>
      <c r="J417" s="66" t="n">
        <v>408</v>
      </c>
      <c r="K417" s="5"/>
    </row>
    <row r="418" customFormat="false" ht="15" hidden="false" customHeight="false" outlineLevel="0" collapsed="false">
      <c r="A418" s="5" t="n">
        <f aca="false">IF(I418="","",J418)</f>
        <v>409</v>
      </c>
      <c r="B418" s="83" t="n">
        <f aca="false">IF(I418="","",INDEX(J_TGL,I418))</f>
        <v>46153</v>
      </c>
      <c r="C418" s="5" t="str">
        <f aca="false">IF(I418="","",INDEX(J_NO,I418))</f>
        <v>JU-0639</v>
      </c>
      <c r="D418" s="5" t="str">
        <f aca="false">IF(I418="","",INDEX(J_KET,I418))</f>
        <v>koreksi</v>
      </c>
      <c r="E418" s="5" t="str">
        <f aca="false">IF(I418="","",IF(INDEX(J_DEB,I418)=$C$3,INDEX(J_KRE,I418),INDEX(J_DEB,I418)))</f>
        <v>Pendapatan Lainnya</v>
      </c>
      <c r="F418" s="44" t="n">
        <f aca="false">IF(I418="","",IF(INDEX(J_DEB,I418)=$C$3,INDEX(J_NOM,I418),0))</f>
        <v>1</v>
      </c>
      <c r="G418" s="44" t="n">
        <f aca="false">IF(I418="","",IF(INDEX(J_KRE,I418)=$C$3,INDEX(J_NOM,I418),0))</f>
        <v>0</v>
      </c>
      <c r="H418" s="44" t="n">
        <f aca="false">IF(I418="","",N(H417)+IF($C$5="Debet",F418-G418,G418-F418))</f>
        <v>8094135</v>
      </c>
      <c r="I418" s="66" t="n">
        <f aca="false">IF(J418&gt;$K$1,"",IFERROR(MATCH(J418,J_BB,0),""))</f>
        <v>639</v>
      </c>
      <c r="J418" s="66" t="n">
        <v>409</v>
      </c>
      <c r="K418" s="5"/>
    </row>
    <row r="419" customFormat="false" ht="15" hidden="false" customHeight="false" outlineLevel="0" collapsed="false">
      <c r="A419" s="5" t="n">
        <f aca="false">IF(I419="","",J419)</f>
        <v>410</v>
      </c>
      <c r="B419" s="83" t="n">
        <f aca="false">IF(I419="","",INDEX(J_TGL,I419))</f>
        <v>46154</v>
      </c>
      <c r="C419" s="5" t="str">
        <f aca="false">IF(I419="","",INDEX(J_NO,I419))</f>
        <v>JU-0640</v>
      </c>
      <c r="D419" s="5" t="str">
        <f aca="false">IF(I419="","",INDEX(J_KET,I419))</f>
        <v>unlock water x 10 galon</v>
      </c>
      <c r="E419" s="5" t="str">
        <f aca="false">IF(I419="","",IF(INDEX(J_DEB,I419)=$C$3,INDEX(J_KRE,I419),INDEX(J_DEB,I419)))</f>
        <v>Biaya Bahan Baku</v>
      </c>
      <c r="F419" s="44" t="n">
        <f aca="false">IF(I419="","",IF(INDEX(J_DEB,I419)=$C$3,INDEX(J_NOM,I419),0))</f>
        <v>0</v>
      </c>
      <c r="G419" s="44" t="n">
        <f aca="false">IF(I419="","",IF(INDEX(J_KRE,I419)=$C$3,INDEX(J_NOM,I419),0))</f>
        <v>190000</v>
      </c>
      <c r="H419" s="44" t="n">
        <f aca="false">IF(I419="","",N(H418)+IF($C$5="Debet",F419-G419,G419-F419))</f>
        <v>7904135</v>
      </c>
      <c r="I419" s="66" t="n">
        <f aca="false">IF(J419&gt;$K$1,"",IFERROR(MATCH(J419,J_BB,0),""))</f>
        <v>640</v>
      </c>
      <c r="J419" s="66" t="n">
        <v>410</v>
      </c>
      <c r="K419" s="5"/>
    </row>
    <row r="420" customFormat="false" ht="15" hidden="false" customHeight="false" outlineLevel="0" collapsed="false">
      <c r="A420" s="5" t="n">
        <f aca="false">IF(I420="","",J420)</f>
        <v>411</v>
      </c>
      <c r="B420" s="83" t="n">
        <f aca="false">IF(I420="","",INDEX(J_TGL,I420))</f>
        <v>46154</v>
      </c>
      <c r="C420" s="5" t="str">
        <f aca="false">IF(I420="","",INDEX(J_NO,I420))</f>
        <v>JU-0641</v>
      </c>
      <c r="D420" s="5" t="str">
        <f aca="false">IF(I420="","",INDEX(J_KET,I420))</f>
        <v>croissant pembayaran batch 172-179 102pcs</v>
      </c>
      <c r="E420" s="5" t="str">
        <f aca="false">IF(I420="","",IF(INDEX(J_DEB,I420)=$C$3,INDEX(J_KRE,I420),INDEX(J_DEB,I420)))</f>
        <v>Biaya Bahan Baku</v>
      </c>
      <c r="F420" s="44" t="n">
        <f aca="false">IF(I420="","",IF(INDEX(J_DEB,I420)=$C$3,INDEX(J_NOM,I420),0))</f>
        <v>0</v>
      </c>
      <c r="G420" s="44" t="n">
        <f aca="false">IF(I420="","",IF(INDEX(J_KRE,I420)=$C$3,INDEX(J_NOM,I420),0))</f>
        <v>2228000</v>
      </c>
      <c r="H420" s="44" t="n">
        <f aca="false">IF(I420="","",N(H419)+IF($C$5="Debet",F420-G420,G420-F420))</f>
        <v>5676135</v>
      </c>
      <c r="I420" s="66" t="n">
        <f aca="false">IF(J420&gt;$K$1,"",IFERROR(MATCH(J420,J_BB,0),""))</f>
        <v>641</v>
      </c>
      <c r="J420" s="66" t="n">
        <v>411</v>
      </c>
      <c r="K420" s="5"/>
    </row>
    <row r="421" customFormat="false" ht="15" hidden="false" customHeight="false" outlineLevel="0" collapsed="false">
      <c r="A421" s="5" t="n">
        <f aca="false">IF(I421="","",J421)</f>
        <v>412</v>
      </c>
      <c r="B421" s="83" t="n">
        <f aca="false">IF(I421="","",INDEX(J_TGL,I421))</f>
        <v>46154</v>
      </c>
      <c r="C421" s="5" t="str">
        <f aca="false">IF(I421="","",INDEX(J_NO,I421))</f>
        <v>JU-0642</v>
      </c>
      <c r="D421" s="5" t="str">
        <f aca="false">IF(I421="","",INDEX(J_KET,I421))</f>
        <v>croissant pembayaran buy return</v>
      </c>
      <c r="E421" s="5" t="str">
        <f aca="false">IF(I421="","",IF(INDEX(J_DEB,I421)=$C$3,INDEX(J_KRE,I421),INDEX(J_DEB,I421)))</f>
        <v>Biaya Bahan Baku</v>
      </c>
      <c r="F421" s="44" t="n">
        <f aca="false">IF(I421="","",IF(INDEX(J_DEB,I421)=$C$3,INDEX(J_NOM,I421),0))</f>
        <v>0</v>
      </c>
      <c r="G421" s="44" t="n">
        <f aca="false">IF(I421="","",IF(INDEX(J_KRE,I421)=$C$3,INDEX(J_NOM,I421),0))</f>
        <v>100000</v>
      </c>
      <c r="H421" s="44" t="n">
        <f aca="false">IF(I421="","",N(H420)+IF($C$5="Debet",F421-G421,G421-F421))</f>
        <v>5576135</v>
      </c>
      <c r="I421" s="66" t="n">
        <f aca="false">IF(J421&gt;$K$1,"",IFERROR(MATCH(J421,J_BB,0),""))</f>
        <v>642</v>
      </c>
      <c r="J421" s="66" t="n">
        <v>412</v>
      </c>
      <c r="K421" s="5"/>
    </row>
    <row r="422" customFormat="false" ht="15" hidden="false" customHeight="false" outlineLevel="0" collapsed="false">
      <c r="A422" s="5" t="n">
        <f aca="false">IF(I422="","",J422)</f>
        <v>413</v>
      </c>
      <c r="B422" s="83" t="n">
        <f aca="false">IF(I422="","",INDEX(J_TGL,I422))</f>
        <v>46154</v>
      </c>
      <c r="C422" s="5" t="str">
        <f aca="false">IF(I422="","",INDEX(J_NO,I422))</f>
        <v>JU-0643</v>
      </c>
      <c r="D422" s="5" t="str">
        <f aca="false">IF(I422="","",INDEX(J_KET,I422))</f>
        <v>bayar quesillo 7pcs restock tgl 19 April</v>
      </c>
      <c r="E422" s="5" t="str">
        <f aca="false">IF(I422="","",IF(INDEX(J_DEB,I422)=$C$3,INDEX(J_KRE,I422),INDEX(J_DEB,I422)))</f>
        <v>Biaya Bahan Baku</v>
      </c>
      <c r="F422" s="44" t="n">
        <f aca="false">IF(I422="","",IF(INDEX(J_DEB,I422)=$C$3,INDEX(J_NOM,I422),0))</f>
        <v>0</v>
      </c>
      <c r="G422" s="44" t="n">
        <f aca="false">IF(I422="","",IF(INDEX(J_KRE,I422)=$C$3,INDEX(J_NOM,I422),0))</f>
        <v>105000</v>
      </c>
      <c r="H422" s="44" t="n">
        <f aca="false">IF(I422="","",N(H421)+IF($C$5="Debet",F422-G422,G422-F422))</f>
        <v>5471135</v>
      </c>
      <c r="I422" s="66" t="n">
        <f aca="false">IF(J422&gt;$K$1,"",IFERROR(MATCH(J422,J_BB,0),""))</f>
        <v>643</v>
      </c>
      <c r="J422" s="66" t="n">
        <v>413</v>
      </c>
      <c r="K422" s="5"/>
    </row>
    <row r="423" customFormat="false" ht="15" hidden="false" customHeight="false" outlineLevel="0" collapsed="false">
      <c r="A423" s="5" t="n">
        <f aca="false">IF(I423="","",J423)</f>
        <v>414</v>
      </c>
      <c r="B423" s="83" t="n">
        <f aca="false">IF(I423="","",INDEX(J_TGL,I423))</f>
        <v>46154</v>
      </c>
      <c r="C423" s="5" t="str">
        <f aca="false">IF(I423="","",INDEX(J_NO,I423))</f>
        <v>JU-0644</v>
      </c>
      <c r="D423" s="5" t="str">
        <f aca="false">IF(I423="","",INDEX(J_KET,I423))</f>
        <v>kabel colokan/olor extension anti air x2</v>
      </c>
      <c r="E423" s="5" t="str">
        <f aca="false">IF(I423="","",IF(INDEX(J_DEB,I423)=$C$3,INDEX(J_KRE,I423),INDEX(J_DEB,I423)))</f>
        <v>Beban Perlengkapan</v>
      </c>
      <c r="F423" s="44" t="n">
        <f aca="false">IF(I423="","",IF(INDEX(J_DEB,I423)=$C$3,INDEX(J_NOM,I423),0))</f>
        <v>0</v>
      </c>
      <c r="G423" s="44" t="n">
        <f aca="false">IF(I423="","",IF(INDEX(J_KRE,I423)=$C$3,INDEX(J_NOM,I423),0))</f>
        <v>219000</v>
      </c>
      <c r="H423" s="44" t="n">
        <f aca="false">IF(I423="","",N(H422)+IF($C$5="Debet",F423-G423,G423-F423))</f>
        <v>5252135</v>
      </c>
      <c r="I423" s="66" t="n">
        <f aca="false">IF(J423&gt;$K$1,"",IFERROR(MATCH(J423,J_BB,0),""))</f>
        <v>644</v>
      </c>
      <c r="J423" s="66" t="n">
        <v>414</v>
      </c>
      <c r="K423" s="5"/>
    </row>
    <row r="424" customFormat="false" ht="15" hidden="false" customHeight="false" outlineLevel="0" collapsed="false">
      <c r="A424" s="5" t="n">
        <f aca="false">IF(I424="","",J424)</f>
        <v>415</v>
      </c>
      <c r="B424" s="83" t="n">
        <f aca="false">IF(I424="","",INDEX(J_TGL,I424))</f>
        <v>46155</v>
      </c>
      <c r="C424" s="5" t="str">
        <f aca="false">IF(I424="","",INDEX(J_NO,I424))</f>
        <v>JU-0645</v>
      </c>
      <c r="D424" s="5" t="str">
        <f aca="false">IF(I424="","",INDEX(J_KET,I424))</f>
        <v>biji kopi Yantos</v>
      </c>
      <c r="E424" s="5" t="str">
        <f aca="false">IF(I424="","",IF(INDEX(J_DEB,I424)=$C$3,INDEX(J_KRE,I424),INDEX(J_DEB,I424)))</f>
        <v>Biaya Bahan Baku</v>
      </c>
      <c r="F424" s="44" t="n">
        <f aca="false">IF(I424="","",IF(INDEX(J_DEB,I424)=$C$3,INDEX(J_NOM,I424),0))</f>
        <v>0</v>
      </c>
      <c r="G424" s="44" t="n">
        <f aca="false">IF(I424="","",IF(INDEX(J_KRE,I424)=$C$3,INDEX(J_NOM,I424),0))</f>
        <v>3885000</v>
      </c>
      <c r="H424" s="44" t="n">
        <f aca="false">IF(I424="","",N(H423)+IF($C$5="Debet",F424-G424,G424-F424))</f>
        <v>1367135</v>
      </c>
      <c r="I424" s="66" t="n">
        <f aca="false">IF(J424&gt;$K$1,"",IFERROR(MATCH(J424,J_BB,0),""))</f>
        <v>645</v>
      </c>
      <c r="J424" s="66" t="n">
        <v>415</v>
      </c>
      <c r="K424" s="5"/>
    </row>
    <row r="425" customFormat="false" ht="15" hidden="false" customHeight="false" outlineLevel="0" collapsed="false">
      <c r="A425" s="5" t="n">
        <f aca="false">IF(I425="","",J425)</f>
        <v>416</v>
      </c>
      <c r="B425" s="83" t="n">
        <f aca="false">IF(I425="","",INDEX(J_TGL,I425))</f>
        <v>46155</v>
      </c>
      <c r="C425" s="5" t="str">
        <f aca="false">IF(I425="","",INDEX(J_NO,I425))</f>
        <v>JU-0646</v>
      </c>
      <c r="D425" s="5" t="str">
        <f aca="false">IF(I425="","",INDEX(J_KET,I425))</f>
        <v>paper leakproof 500pcs</v>
      </c>
      <c r="E425" s="5" t="str">
        <f aca="false">IF(I425="","",IF(INDEX(J_DEB,I425)=$C$3,INDEX(J_KRE,I425),INDEX(J_DEB,I425)))</f>
        <v>Biaya Penyajian</v>
      </c>
      <c r="F425" s="44" t="n">
        <f aca="false">IF(I425="","",IF(INDEX(J_DEB,I425)=$C$3,INDEX(J_NOM,I425),0))</f>
        <v>0</v>
      </c>
      <c r="G425" s="44" t="n">
        <f aca="false">IF(I425="","",IF(INDEX(J_KRE,I425)=$C$3,INDEX(J_NOM,I425),0))</f>
        <v>35000</v>
      </c>
      <c r="H425" s="44" t="n">
        <f aca="false">IF(I425="","",N(H424)+IF($C$5="Debet",F425-G425,G425-F425))</f>
        <v>1332135</v>
      </c>
      <c r="I425" s="66" t="n">
        <f aca="false">IF(J425&gt;$K$1,"",IFERROR(MATCH(J425,J_BB,0),""))</f>
        <v>646</v>
      </c>
      <c r="J425" s="66" t="n">
        <v>416</v>
      </c>
      <c r="K425" s="5"/>
    </row>
    <row r="426" customFormat="false" ht="15" hidden="false" customHeight="false" outlineLevel="0" collapsed="false">
      <c r="A426" s="5" t="n">
        <f aca="false">IF(I426="","",J426)</f>
        <v>417</v>
      </c>
      <c r="B426" s="83" t="n">
        <f aca="false">IF(I426="","",INDEX(J_TGL,I426))</f>
        <v>46155</v>
      </c>
      <c r="C426" s="5" t="str">
        <f aca="false">IF(I426="","",INDEX(J_NO,I426))</f>
        <v>JU-0647</v>
      </c>
      <c r="D426" s="5" t="str">
        <f aca="false">IF(I426="","",INDEX(J_KET,I426))</f>
        <v>almari besi loker 12 pintu</v>
      </c>
      <c r="E426" s="5" t="str">
        <f aca="false">IF(I426="","",IF(INDEX(J_DEB,I426)=$C$3,INDEX(J_KRE,I426),INDEX(J_DEB,I426)))</f>
        <v>Peralatan</v>
      </c>
      <c r="F426" s="44" t="n">
        <f aca="false">IF(I426="","",IF(INDEX(J_DEB,I426)=$C$3,INDEX(J_NOM,I426),0))</f>
        <v>0</v>
      </c>
      <c r="G426" s="44" t="n">
        <f aca="false">IF(I426="","",IF(INDEX(J_KRE,I426)=$C$3,INDEX(J_NOM,I426),0))</f>
        <v>1792100</v>
      </c>
      <c r="H426" s="44" t="n">
        <f aca="false">IF(I426="","",N(H425)+IF($C$5="Debet",F426-G426,G426-F426))</f>
        <v>-459965</v>
      </c>
      <c r="I426" s="66" t="n">
        <f aca="false">IF(J426&gt;$K$1,"",IFERROR(MATCH(J426,J_BB,0),""))</f>
        <v>647</v>
      </c>
      <c r="J426" s="66" t="n">
        <v>417</v>
      </c>
      <c r="K426" s="5"/>
    </row>
    <row r="427" customFormat="false" ht="15" hidden="false" customHeight="false" outlineLevel="0" collapsed="false">
      <c r="A427" s="5" t="n">
        <f aca="false">IF(I427="","",J427)</f>
        <v>418</v>
      </c>
      <c r="B427" s="83" t="n">
        <f aca="false">IF(I427="","",INDEX(J_TGL,I427))</f>
        <v>46155</v>
      </c>
      <c r="C427" s="5" t="str">
        <f aca="false">IF(I427="","",INDEX(J_NO,I427))</f>
        <v>JU-0648</v>
      </c>
      <c r="D427" s="5" t="str">
        <f aca="false">IF(I427="","",INDEX(J_KET,I427))</f>
        <v>Yantos nitip beli kemasan biji kopi zipper valve 100pcs</v>
      </c>
      <c r="E427" s="5" t="str">
        <f aca="false">IF(I427="","",IF(INDEX(J_DEB,I427)=$C$3,INDEX(J_KRE,I427),INDEX(J_DEB,I427)))</f>
        <v>Piutang Usaha Cafe</v>
      </c>
      <c r="F427" s="44" t="n">
        <f aca="false">IF(I427="","",IF(INDEX(J_DEB,I427)=$C$3,INDEX(J_NOM,I427),0))</f>
        <v>0</v>
      </c>
      <c r="G427" s="44" t="n">
        <f aca="false">IF(I427="","",IF(INDEX(J_KRE,I427)=$C$3,INDEX(J_NOM,I427),0))</f>
        <v>369822</v>
      </c>
      <c r="H427" s="44" t="n">
        <f aca="false">IF(I427="","",N(H426)+IF($C$5="Debet",F427-G427,G427-F427))</f>
        <v>-829787</v>
      </c>
      <c r="I427" s="66" t="n">
        <f aca="false">IF(J427&gt;$K$1,"",IFERROR(MATCH(J427,J_BB,0),""))</f>
        <v>648</v>
      </c>
      <c r="J427" s="66" t="n">
        <v>418</v>
      </c>
      <c r="K427" s="5"/>
    </row>
    <row r="428" customFormat="false" ht="15" hidden="false" customHeight="false" outlineLevel="0" collapsed="false">
      <c r="A428" s="5" t="n">
        <f aca="false">IF(I428="","",J428)</f>
        <v>419</v>
      </c>
      <c r="B428" s="83" t="n">
        <f aca="false">IF(I428="","",INDEX(J_TGL,I428))</f>
        <v>46156</v>
      </c>
      <c r="C428" s="5" t="str">
        <f aca="false">IF(I428="","",INDEX(J_NO,I428))</f>
        <v>JU-0649</v>
      </c>
      <c r="D428" s="5" t="str">
        <f aca="false">IF(I428="","",INDEX(J_KET,I428))</f>
        <v>paper hario v60 x 2 pack</v>
      </c>
      <c r="E428" s="5" t="str">
        <f aca="false">IF(I428="","",IF(INDEX(J_DEB,I428)=$C$3,INDEX(J_KRE,I428),INDEX(J_DEB,I428)))</f>
        <v>Biaya Penyajian</v>
      </c>
      <c r="F428" s="44" t="n">
        <f aca="false">IF(I428="","",IF(INDEX(J_DEB,I428)=$C$3,INDEX(J_NOM,I428),0))</f>
        <v>0</v>
      </c>
      <c r="G428" s="44" t="n">
        <f aca="false">IF(I428="","",IF(INDEX(J_KRE,I428)=$C$3,INDEX(J_NOM,I428),0))</f>
        <v>180000</v>
      </c>
      <c r="H428" s="44" t="n">
        <f aca="false">IF(I428="","",N(H427)+IF($C$5="Debet",F428-G428,G428-F428))</f>
        <v>-1009787</v>
      </c>
      <c r="I428" s="66" t="n">
        <f aca="false">IF(J428&gt;$K$1,"",IFERROR(MATCH(J428,J_BB,0),""))</f>
        <v>649</v>
      </c>
      <c r="J428" s="66" t="n">
        <v>419</v>
      </c>
      <c r="K428" s="5"/>
    </row>
    <row r="429" customFormat="false" ht="15" hidden="false" customHeight="false" outlineLevel="0" collapsed="false">
      <c r="A429" s="5" t="n">
        <f aca="false">IF(I429="","",J429)</f>
        <v>420</v>
      </c>
      <c r="B429" s="83" t="n">
        <f aca="false">IF(I429="","",INDEX(J_TGL,I429))</f>
        <v>46156</v>
      </c>
      <c r="C429" s="5" t="str">
        <f aca="false">IF(I429="","",INDEX(J_NO,I429))</f>
        <v>JU-0650</v>
      </c>
      <c r="D429" s="5" t="str">
        <f aca="false">IF(I429="","",INDEX(J_KET,I429))</f>
        <v>susu freshmilk greenfield x 3 karton</v>
      </c>
      <c r="E429" s="5" t="str">
        <f aca="false">IF(I429="","",IF(INDEX(J_DEB,I429)=$C$3,INDEX(J_KRE,I429),INDEX(J_DEB,I429)))</f>
        <v>Biaya Bahan Baku</v>
      </c>
      <c r="F429" s="44" t="n">
        <f aca="false">IF(I429="","",IF(INDEX(J_DEB,I429)=$C$3,INDEX(J_NOM,I429),0))</f>
        <v>0</v>
      </c>
      <c r="G429" s="44" t="n">
        <f aca="false">IF(I429="","",IF(INDEX(J_KRE,I429)=$C$3,INDEX(J_NOM,I429),0))</f>
        <v>741000</v>
      </c>
      <c r="H429" s="44" t="n">
        <f aca="false">IF(I429="","",N(H428)+IF($C$5="Debet",F429-G429,G429-F429))</f>
        <v>-1750787</v>
      </c>
      <c r="I429" s="66" t="n">
        <f aca="false">IF(J429&gt;$K$1,"",IFERROR(MATCH(J429,J_BB,0),""))</f>
        <v>650</v>
      </c>
      <c r="J429" s="66" t="n">
        <v>420</v>
      </c>
      <c r="K429" s="5"/>
    </row>
    <row r="430" customFormat="false" ht="15" hidden="false" customHeight="false" outlineLevel="0" collapsed="false">
      <c r="A430" s="5" t="n">
        <f aca="false">IF(I430="","",J430)</f>
        <v>421</v>
      </c>
      <c r="B430" s="83" t="n">
        <f aca="false">IF(I430="","",INDEX(J_TGL,I430))</f>
        <v>46157</v>
      </c>
      <c r="C430" s="5" t="str">
        <f aca="false">IF(I430="","",INDEX(J_NO,I430))</f>
        <v>JU-0651</v>
      </c>
      <c r="D430" s="5" t="str">
        <f aca="false">IF(I430="","",INDEX(J_KET,I430))</f>
        <v>Yantos nitip beli kemasan kaleng biji kopi 10pcs</v>
      </c>
      <c r="E430" s="5" t="str">
        <f aca="false">IF(I430="","",IF(INDEX(J_DEB,I430)=$C$3,INDEX(J_KRE,I430),INDEX(J_DEB,I430)))</f>
        <v>Piutang Usaha Cafe</v>
      </c>
      <c r="F430" s="44" t="n">
        <f aca="false">IF(I430="","",IF(INDEX(J_DEB,I430)=$C$3,INDEX(J_NOM,I430),0))</f>
        <v>0</v>
      </c>
      <c r="G430" s="44" t="n">
        <f aca="false">IF(I430="","",IF(INDEX(J_KRE,I430)=$C$3,INDEX(J_NOM,I430),0))</f>
        <v>328000</v>
      </c>
      <c r="H430" s="44" t="n">
        <f aca="false">IF(I430="","",N(H429)+IF($C$5="Debet",F430-G430,G430-F430))</f>
        <v>-2078787</v>
      </c>
      <c r="I430" s="66" t="n">
        <f aca="false">IF(J430&gt;$K$1,"",IFERROR(MATCH(J430,J_BB,0),""))</f>
        <v>651</v>
      </c>
      <c r="J430" s="66" t="n">
        <v>421</v>
      </c>
      <c r="K430" s="5"/>
    </row>
    <row r="431" customFormat="false" ht="15" hidden="false" customHeight="false" outlineLevel="0" collapsed="false">
      <c r="A431" s="5" t="n">
        <f aca="false">IF(I431="","",J431)</f>
        <v>422</v>
      </c>
      <c r="B431" s="83" t="n">
        <f aca="false">IF(I431="","",INDEX(J_TGL,I431))</f>
        <v>46157</v>
      </c>
      <c r="C431" s="5" t="str">
        <f aca="false">IF(I431="","",INDEX(J_NO,I431))</f>
        <v>JU-0652</v>
      </c>
      <c r="D431" s="5" t="str">
        <f aca="false">IF(I431="","",INDEX(J_KET,I431))</f>
        <v>Pindah dana tunai ke BCA (FM tukar uang)</v>
      </c>
      <c r="E431" s="5" t="str">
        <f aca="false">IF(I431="","",IF(INDEX(J_DEB,I431)=$C$3,INDEX(J_KRE,I431),INDEX(J_DEB,I431)))</f>
        <v>Kas Tunai</v>
      </c>
      <c r="F431" s="44" t="n">
        <f aca="false">IF(I431="","",IF(INDEX(J_DEB,I431)=$C$3,INDEX(J_NOM,I431),0))</f>
        <v>3000000</v>
      </c>
      <c r="G431" s="44" t="n">
        <f aca="false">IF(I431="","",IF(INDEX(J_KRE,I431)=$C$3,INDEX(J_NOM,I431),0))</f>
        <v>0</v>
      </c>
      <c r="H431" s="44" t="n">
        <f aca="false">IF(I431="","",N(H430)+IF($C$5="Debet",F431-G431,G431-F431))</f>
        <v>921213</v>
      </c>
      <c r="I431" s="66" t="n">
        <f aca="false">IF(J431&gt;$K$1,"",IFERROR(MATCH(J431,J_BB,0),""))</f>
        <v>652</v>
      </c>
      <c r="J431" s="66" t="n">
        <v>422</v>
      </c>
      <c r="K431" s="5"/>
    </row>
    <row r="432" customFormat="false" ht="15" hidden="false" customHeight="false" outlineLevel="0" collapsed="false">
      <c r="A432" s="5" t="n">
        <f aca="false">IF(I432="","",J432)</f>
        <v>423</v>
      </c>
      <c r="B432" s="83" t="n">
        <f aca="false">IF(I432="","",INDEX(J_TGL,I432))</f>
        <v>46157</v>
      </c>
      <c r="C432" s="5" t="str">
        <f aca="false">IF(I432="","",INDEX(J_NO,I432))</f>
        <v>JU-0653</v>
      </c>
      <c r="D432" s="5" t="str">
        <f aca="false">IF(I432="","",INDEX(J_KET,I432))</f>
        <v>Biaya admin BCA</v>
      </c>
      <c r="E432" s="5" t="str">
        <f aca="false">IF(I432="","",IF(INDEX(J_DEB,I432)=$C$3,INDEX(J_KRE,I432),INDEX(J_DEB,I432)))</f>
        <v>Biaya Lainnya</v>
      </c>
      <c r="F432" s="44" t="n">
        <f aca="false">IF(I432="","",IF(INDEX(J_DEB,I432)=$C$3,INDEX(J_NOM,I432),0))</f>
        <v>0</v>
      </c>
      <c r="G432" s="44" t="n">
        <f aca="false">IF(I432="","",IF(INDEX(J_KRE,I432)=$C$3,INDEX(J_NOM,I432),0))</f>
        <v>10000</v>
      </c>
      <c r="H432" s="44" t="n">
        <f aca="false">IF(I432="","",N(H431)+IF($C$5="Debet",F432-G432,G432-F432))</f>
        <v>911213</v>
      </c>
      <c r="I432" s="66" t="n">
        <f aca="false">IF(J432&gt;$K$1,"",IFERROR(MATCH(J432,J_BB,0),""))</f>
        <v>653</v>
      </c>
      <c r="J432" s="66" t="n">
        <v>423</v>
      </c>
      <c r="K432" s="5"/>
    </row>
    <row r="433" customFormat="false" ht="15" hidden="false" customHeight="false" outlineLevel="0" collapsed="false">
      <c r="A433" s="5" t="n">
        <f aca="false">IF(I433="","",J433)</f>
        <v>424</v>
      </c>
      <c r="B433" s="83" t="n">
        <f aca="false">IF(I433="","",INDEX(J_TGL,I433))</f>
        <v>46158</v>
      </c>
      <c r="C433" s="5" t="str">
        <f aca="false">IF(I433="","",INDEX(J_NO,I433))</f>
        <v>JU-0654</v>
      </c>
      <c r="D433" s="5" t="str">
        <f aca="false">IF(I433="","",INDEX(J_KET,I433))</f>
        <v>Pindah dana tunai ke BCA (Afa tukar uang)</v>
      </c>
      <c r="E433" s="5" t="str">
        <f aca="false">IF(I433="","",IF(INDEX(J_DEB,I433)=$C$3,INDEX(J_KRE,I433),INDEX(J_DEB,I433)))</f>
        <v>Kas Tunai</v>
      </c>
      <c r="F433" s="44" t="n">
        <f aca="false">IF(I433="","",IF(INDEX(J_DEB,I433)=$C$3,INDEX(J_NOM,I433),0))</f>
        <v>50000</v>
      </c>
      <c r="G433" s="44" t="n">
        <f aca="false">IF(I433="","",IF(INDEX(J_KRE,I433)=$C$3,INDEX(J_NOM,I433),0))</f>
        <v>0</v>
      </c>
      <c r="H433" s="44" t="n">
        <f aca="false">IF(I433="","",N(H432)+IF($C$5="Debet",F433-G433,G433-F433))</f>
        <v>961213</v>
      </c>
      <c r="I433" s="66" t="n">
        <f aca="false">IF(J433&gt;$K$1,"",IFERROR(MATCH(J433,J_BB,0),""))</f>
        <v>654</v>
      </c>
      <c r="J433" s="66" t="n">
        <v>424</v>
      </c>
      <c r="K433" s="5"/>
    </row>
    <row r="434" customFormat="false" ht="15" hidden="false" customHeight="false" outlineLevel="0" collapsed="false">
      <c r="A434" s="5" t="n">
        <f aca="false">IF(I434="","",J434)</f>
        <v>425</v>
      </c>
      <c r="B434" s="83" t="n">
        <f aca="false">IF(I434="","",INDEX(J_TGL,I434))</f>
        <v>46159</v>
      </c>
      <c r="C434" s="5" t="str">
        <f aca="false">IF(I434="","",INDEX(J_NO,I434))</f>
        <v>JU-0655</v>
      </c>
      <c r="D434" s="5" t="str">
        <f aca="false">IF(I434="","",INDEX(J_KET,I434))</f>
        <v>Pindah dana tunai ke BCA (Afa tukar uang)</v>
      </c>
      <c r="E434" s="5" t="str">
        <f aca="false">IF(I434="","",IF(INDEX(J_DEB,I434)=$C$3,INDEX(J_KRE,I434),INDEX(J_DEB,I434)))</f>
        <v>Kas Tunai</v>
      </c>
      <c r="F434" s="44" t="n">
        <f aca="false">IF(I434="","",IF(INDEX(J_DEB,I434)=$C$3,INDEX(J_NOM,I434),0))</f>
        <v>500000</v>
      </c>
      <c r="G434" s="44" t="n">
        <f aca="false">IF(I434="","",IF(INDEX(J_KRE,I434)=$C$3,INDEX(J_NOM,I434),0))</f>
        <v>0</v>
      </c>
      <c r="H434" s="44" t="n">
        <f aca="false">IF(I434="","",N(H433)+IF($C$5="Debet",F434-G434,G434-F434))</f>
        <v>1461213</v>
      </c>
      <c r="I434" s="66" t="n">
        <f aca="false">IF(J434&gt;$K$1,"",IFERROR(MATCH(J434,J_BB,0),""))</f>
        <v>655</v>
      </c>
      <c r="J434" s="66" t="n">
        <v>425</v>
      </c>
      <c r="K434" s="5"/>
    </row>
    <row r="435" customFormat="false" ht="15" hidden="false" customHeight="false" outlineLevel="0" collapsed="false">
      <c r="A435" s="5" t="n">
        <f aca="false">IF(I435="","",J435)</f>
        <v>426</v>
      </c>
      <c r="B435" s="83" t="n">
        <f aca="false">IF(I435="","",INDEX(J_TGL,I435))</f>
        <v>46160</v>
      </c>
      <c r="C435" s="5" t="str">
        <f aca="false">IF(I435="","",INDEX(J_NO,I435))</f>
        <v>JU-0656</v>
      </c>
      <c r="D435" s="5" t="str">
        <f aca="false">IF(I435="","",INDEX(J_KET,I435))</f>
        <v>Pindah dana reserve ke kas warung (pinjam untuk dana belanja)</v>
      </c>
      <c r="E435" s="5" t="str">
        <f aca="false">IF(I435="","",IF(INDEX(J_DEB,I435)=$C$3,INDEX(J_KRE,I435),INDEX(J_DEB,I435)))</f>
        <v>Kas Warung</v>
      </c>
      <c r="F435" s="44" t="n">
        <f aca="false">IF(I435="","",IF(INDEX(J_DEB,I435)=$C$3,INDEX(J_NOM,I435),0))</f>
        <v>0</v>
      </c>
      <c r="G435" s="44" t="n">
        <f aca="false">IF(I435="","",IF(INDEX(J_KRE,I435)=$C$3,INDEX(J_NOM,I435),0))</f>
        <v>2500000</v>
      </c>
      <c r="H435" s="44" t="n">
        <f aca="false">IF(I435="","",N(H434)+IF($C$5="Debet",F435-G435,G435-F435))</f>
        <v>-1038787</v>
      </c>
      <c r="I435" s="66" t="n">
        <f aca="false">IF(J435&gt;$K$1,"",IFERROR(MATCH(J435,J_BB,0),""))</f>
        <v>656</v>
      </c>
      <c r="J435" s="66" t="n">
        <v>426</v>
      </c>
      <c r="K435" s="5"/>
    </row>
    <row r="436" customFormat="false" ht="15" hidden="false" customHeight="false" outlineLevel="0" collapsed="false">
      <c r="A436" s="5" t="n">
        <f aca="false">IF(I436="","",J436)</f>
        <v>427</v>
      </c>
      <c r="B436" s="83" t="n">
        <f aca="false">IF(I436="","",INDEX(J_TGL,I436))</f>
        <v>46160</v>
      </c>
      <c r="C436" s="5" t="str">
        <f aca="false">IF(I436="","",INDEX(J_NO,I436))</f>
        <v>JU-0657</v>
      </c>
      <c r="D436" s="5" t="str">
        <f aca="false">IF(I436="","",INDEX(J_KET,I436))</f>
        <v>Biaya transfer flip</v>
      </c>
      <c r="E436" s="5" t="str">
        <f aca="false">IF(I436="","",IF(INDEX(J_DEB,I436)=$C$3,INDEX(J_KRE,I436),INDEX(J_DEB,I436)))</f>
        <v>Biaya Lainnya</v>
      </c>
      <c r="F436" s="44" t="n">
        <f aca="false">IF(I436="","",IF(INDEX(J_DEB,I436)=$C$3,INDEX(J_NOM,I436),0))</f>
        <v>0</v>
      </c>
      <c r="G436" s="44" t="n">
        <f aca="false">IF(I436="","",IF(INDEX(J_KRE,I436)=$C$3,INDEX(J_NOM,I436),0))</f>
        <v>345</v>
      </c>
      <c r="H436" s="44" t="n">
        <f aca="false">IF(I436="","",N(H435)+IF($C$5="Debet",F436-G436,G436-F436))</f>
        <v>-1039132</v>
      </c>
      <c r="I436" s="66" t="n">
        <f aca="false">IF(J436&gt;$K$1,"",IFERROR(MATCH(J436,J_BB,0),""))</f>
        <v>657</v>
      </c>
      <c r="J436" s="66" t="n">
        <v>427</v>
      </c>
      <c r="K436" s="5"/>
    </row>
    <row r="437" customFormat="false" ht="15" hidden="false" customHeight="false" outlineLevel="0" collapsed="false">
      <c r="A437" s="5" t="n">
        <f aca="false">IF(I437="","",J437)</f>
        <v>428</v>
      </c>
      <c r="B437" s="83" t="n">
        <f aca="false">IF(I437="","",INDEX(J_TGL,I437))</f>
        <v>46160</v>
      </c>
      <c r="C437" s="5" t="str">
        <f aca="false">IF(I437="","",INDEX(J_NO,I437))</f>
        <v>JU-0658</v>
      </c>
      <c r="D437" s="5" t="str">
        <f aca="false">IF(I437="","",INDEX(J_KET,I437))</f>
        <v>Pindah dana reserve ke kas warung (pinjam untuk dana belanja)</v>
      </c>
      <c r="E437" s="5" t="str">
        <f aca="false">IF(I437="","",IF(INDEX(J_DEB,I437)=$C$3,INDEX(J_KRE,I437),INDEX(J_DEB,I437)))</f>
        <v>Kas Warung</v>
      </c>
      <c r="F437" s="44" t="n">
        <f aca="false">IF(I437="","",IF(INDEX(J_DEB,I437)=$C$3,INDEX(J_NOM,I437),0))</f>
        <v>0</v>
      </c>
      <c r="G437" s="44" t="n">
        <f aca="false">IF(I437="","",IF(INDEX(J_KRE,I437)=$C$3,INDEX(J_NOM,I437),0))</f>
        <v>3500000</v>
      </c>
      <c r="H437" s="44" t="n">
        <f aca="false">IF(I437="","",N(H436)+IF($C$5="Debet",F437-G437,G437-F437))</f>
        <v>-4539132</v>
      </c>
      <c r="I437" s="66" t="n">
        <f aca="false">IF(J437&gt;$K$1,"",IFERROR(MATCH(J437,J_BB,0),""))</f>
        <v>658</v>
      </c>
      <c r="J437" s="66" t="n">
        <v>428</v>
      </c>
      <c r="K437" s="5"/>
    </row>
    <row r="438" customFormat="false" ht="15" hidden="false" customHeight="false" outlineLevel="0" collapsed="false">
      <c r="A438" s="5" t="n">
        <f aca="false">IF(I438="","",J438)</f>
        <v>429</v>
      </c>
      <c r="B438" s="83" t="n">
        <f aca="false">IF(I438="","",INDEX(J_TGL,I438))</f>
        <v>46160</v>
      </c>
      <c r="C438" s="5" t="str">
        <f aca="false">IF(I438="","",INDEX(J_NO,I438))</f>
        <v>JU-0659</v>
      </c>
      <c r="D438" s="5" t="str">
        <f aca="false">IF(I438="","",INDEX(J_KET,I438))</f>
        <v>Biaya transfer flip</v>
      </c>
      <c r="E438" s="5" t="str">
        <f aca="false">IF(I438="","",IF(INDEX(J_DEB,I438)=$C$3,INDEX(J_KRE,I438),INDEX(J_DEB,I438)))</f>
        <v>Biaya Lainnya</v>
      </c>
      <c r="F438" s="44" t="n">
        <f aca="false">IF(I438="","",IF(INDEX(J_DEB,I438)=$C$3,INDEX(J_NOM,I438),0))</f>
        <v>0</v>
      </c>
      <c r="G438" s="44" t="n">
        <f aca="false">IF(I438="","",IF(INDEX(J_KRE,I438)=$C$3,INDEX(J_NOM,I438),0))</f>
        <v>2325</v>
      </c>
      <c r="H438" s="44" t="n">
        <f aca="false">IF(I438="","",N(H437)+IF($C$5="Debet",F438-G438,G438-F438))</f>
        <v>-4541457</v>
      </c>
      <c r="I438" s="66" t="n">
        <f aca="false">IF(J438&gt;$K$1,"",IFERROR(MATCH(J438,J_BB,0),""))</f>
        <v>659</v>
      </c>
      <c r="J438" s="66" t="n">
        <v>429</v>
      </c>
      <c r="K438" s="5"/>
    </row>
    <row r="439" customFormat="false" ht="15" hidden="false" customHeight="false" outlineLevel="0" collapsed="false">
      <c r="A439" s="5" t="n">
        <f aca="false">IF(I439="","",J439)</f>
        <v>430</v>
      </c>
      <c r="B439" s="83" t="n">
        <f aca="false">IF(I439="","",INDEX(J_TGL,I439))</f>
        <v>46161</v>
      </c>
      <c r="C439" s="5" t="str">
        <f aca="false">IF(I439="","",INDEX(J_NO,I439))</f>
        <v>JU-0664</v>
      </c>
      <c r="D439" s="5" t="str">
        <f aca="false">IF(I439="","",INDEX(J_KET,I439))</f>
        <v>SKM dairy champ 2.5kg x 5pack total 12.5kg</v>
      </c>
      <c r="E439" s="5" t="str">
        <f aca="false">IF(I439="","",IF(INDEX(J_DEB,I439)=$C$3,INDEX(J_KRE,I439),INDEX(J_DEB,I439)))</f>
        <v>Biaya Bahan Baku</v>
      </c>
      <c r="F439" s="44" t="n">
        <f aca="false">IF(I439="","",IF(INDEX(J_DEB,I439)=$C$3,INDEX(J_NOM,I439),0))</f>
        <v>0</v>
      </c>
      <c r="G439" s="44" t="n">
        <f aca="false">IF(I439="","",IF(INDEX(J_KRE,I439)=$C$3,INDEX(J_NOM,I439),0))</f>
        <v>334833</v>
      </c>
      <c r="H439" s="44" t="n">
        <f aca="false">IF(I439="","",N(H438)+IF($C$5="Debet",F439-G439,G439-F439))</f>
        <v>-4876290</v>
      </c>
      <c r="I439" s="66" t="n">
        <f aca="false">IF(J439&gt;$K$1,"",IFERROR(MATCH(J439,J_BB,0),""))</f>
        <v>664</v>
      </c>
      <c r="J439" s="66" t="n">
        <v>430</v>
      </c>
      <c r="K439" s="5"/>
    </row>
    <row r="440" customFormat="false" ht="15" hidden="false" customHeight="false" outlineLevel="0" collapsed="false">
      <c r="A440" s="5" t="n">
        <f aca="false">IF(I440="","",J440)</f>
        <v>431</v>
      </c>
      <c r="B440" s="83" t="n">
        <f aca="false">IF(I440="","",INDEX(J_TGL,I440))</f>
        <v>46161</v>
      </c>
      <c r="C440" s="5" t="str">
        <f aca="false">IF(I440="","",INDEX(J_NO,I440))</f>
        <v>JU-0665</v>
      </c>
      <c r="D440" s="5" t="str">
        <f aca="false">IF(I440="","",INDEX(J_KET,I440))</f>
        <v>Parama 10 barang qty 21pcs</v>
      </c>
      <c r="E440" s="5" t="str">
        <f aca="false">IF(I440="","",IF(INDEX(J_DEB,I440)=$C$3,INDEX(J_KRE,I440),INDEX(J_DEB,I440)))</f>
        <v>Biaya Bahan Baku</v>
      </c>
      <c r="F440" s="44" t="n">
        <f aca="false">IF(I440="","",IF(INDEX(J_DEB,I440)=$C$3,INDEX(J_NOM,I440),0))</f>
        <v>0</v>
      </c>
      <c r="G440" s="44" t="n">
        <f aca="false">IF(I440="","",IF(INDEX(J_KRE,I440)=$C$3,INDEX(J_NOM,I440),0))</f>
        <v>3194000</v>
      </c>
      <c r="H440" s="44" t="n">
        <f aca="false">IF(I440="","",N(H439)+IF($C$5="Debet",F440-G440,G440-F440))</f>
        <v>-8070290</v>
      </c>
      <c r="I440" s="66" t="n">
        <f aca="false">IF(J440&gt;$K$1,"",IFERROR(MATCH(J440,J_BB,0),""))</f>
        <v>665</v>
      </c>
      <c r="J440" s="66" t="n">
        <v>431</v>
      </c>
      <c r="K440" s="5"/>
    </row>
    <row r="441" customFormat="false" ht="15" hidden="false" customHeight="false" outlineLevel="0" collapsed="false">
      <c r="A441" s="5" t="n">
        <f aca="false">IF(I441="","",J441)</f>
        <v>432</v>
      </c>
      <c r="B441" s="83" t="n">
        <f aca="false">IF(I441="","",INDEX(J_TGL,I441))</f>
        <v>46161</v>
      </c>
      <c r="C441" s="5" t="str">
        <f aca="false">IF(I441="","",INDEX(J_NO,I441))</f>
        <v>JU-0666</v>
      </c>
      <c r="D441" s="5" t="str">
        <f aca="false">IF(I441="","",INDEX(J_KET,I441))</f>
        <v>100gr dried rose mawar</v>
      </c>
      <c r="E441" s="5" t="str">
        <f aca="false">IF(I441="","",IF(INDEX(J_DEB,I441)=$C$3,INDEX(J_KRE,I441),INDEX(J_DEB,I441)))</f>
        <v>Biaya Bahan Baku</v>
      </c>
      <c r="F441" s="44" t="n">
        <f aca="false">IF(I441="","",IF(INDEX(J_DEB,I441)=$C$3,INDEX(J_NOM,I441),0))</f>
        <v>0</v>
      </c>
      <c r="G441" s="44" t="n">
        <f aca="false">IF(I441="","",IF(INDEX(J_KRE,I441)=$C$3,INDEX(J_NOM,I441),0))</f>
        <v>40000</v>
      </c>
      <c r="H441" s="44" t="n">
        <f aca="false">IF(I441="","",N(H440)+IF($C$5="Debet",F441-G441,G441-F441))</f>
        <v>-8110290</v>
      </c>
      <c r="I441" s="66" t="n">
        <f aca="false">IF(J441&gt;$K$1,"",IFERROR(MATCH(J441,J_BB,0),""))</f>
        <v>666</v>
      </c>
      <c r="J441" s="66" t="n">
        <v>432</v>
      </c>
      <c r="K441" s="5"/>
    </row>
    <row r="442" customFormat="false" ht="15" hidden="false" customHeight="false" outlineLevel="0" collapsed="false">
      <c r="A442" s="5" t="n">
        <f aca="false">IF(I442="","",J442)</f>
        <v>433</v>
      </c>
      <c r="B442" s="83" t="n">
        <f aca="false">IF(I442="","",INDEX(J_TGL,I442))</f>
        <v>46162</v>
      </c>
      <c r="C442" s="5" t="str">
        <f aca="false">IF(I442="","",INDEX(J_NO,I442))</f>
        <v>JU-0667</v>
      </c>
      <c r="D442" s="5" t="str">
        <f aca="false">IF(I442="","",INDEX(J_KET,I442))</f>
        <v>26pcs tiramisu x 3 batch tgl 6,9,17 Mei</v>
      </c>
      <c r="E442" s="5" t="str">
        <f aca="false">IF(I442="","",IF(INDEX(J_DEB,I442)=$C$3,INDEX(J_KRE,I442),INDEX(J_DEB,I442)))</f>
        <v>Biaya Bahan Baku</v>
      </c>
      <c r="F442" s="44" t="n">
        <f aca="false">IF(I442="","",IF(INDEX(J_DEB,I442)=$C$3,INDEX(J_NOM,I442),0))</f>
        <v>0</v>
      </c>
      <c r="G442" s="44" t="n">
        <f aca="false">IF(I442="","",IF(INDEX(J_KRE,I442)=$C$3,INDEX(J_NOM,I442),0))</f>
        <v>347000</v>
      </c>
      <c r="H442" s="44" t="n">
        <f aca="false">IF(I442="","",N(H441)+IF($C$5="Debet",F442-G442,G442-F442))</f>
        <v>-8457290</v>
      </c>
      <c r="I442" s="66" t="n">
        <f aca="false">IF(J442&gt;$K$1,"",IFERROR(MATCH(J442,J_BB,0),""))</f>
        <v>667</v>
      </c>
      <c r="J442" s="66" t="n">
        <v>433</v>
      </c>
      <c r="K442" s="5"/>
    </row>
    <row r="443" customFormat="false" ht="15" hidden="false" customHeight="false" outlineLevel="0" collapsed="false">
      <c r="A443" s="5" t="n">
        <f aca="false">IF(I443="","",J443)</f>
        <v>434</v>
      </c>
      <c r="B443" s="83" t="n">
        <f aca="false">IF(I443="","",INDEX(J_TGL,I443))</f>
        <v>46163</v>
      </c>
      <c r="C443" s="5" t="str">
        <f aca="false">IF(I443="","",INDEX(J_NO,I443))</f>
        <v>JU-0668</v>
      </c>
      <c r="D443" s="5" t="str">
        <f aca="false">IF(I443="","",INDEX(J_KET,I443))</f>
        <v>servis AC 2 unit</v>
      </c>
      <c r="E443" s="5" t="str">
        <f aca="false">IF(I443="","",IF(INDEX(J_DEB,I443)=$C$3,INDEX(J_KRE,I443),INDEX(J_DEB,I443)))</f>
        <v>Biaya Pemeliharaan</v>
      </c>
      <c r="F443" s="44" t="n">
        <f aca="false">IF(I443="","",IF(INDEX(J_DEB,I443)=$C$3,INDEX(J_NOM,I443),0))</f>
        <v>0</v>
      </c>
      <c r="G443" s="44" t="n">
        <f aca="false">IF(I443="","",IF(INDEX(J_KRE,I443)=$C$3,INDEX(J_NOM,I443),0))</f>
        <v>140000</v>
      </c>
      <c r="H443" s="44" t="n">
        <f aca="false">IF(I443="","",N(H442)+IF($C$5="Debet",F443-G443,G443-F443))</f>
        <v>-8597290</v>
      </c>
      <c r="I443" s="66" t="n">
        <f aca="false">IF(J443&gt;$K$1,"",IFERROR(MATCH(J443,J_BB,0),""))</f>
        <v>668</v>
      </c>
      <c r="J443" s="66" t="n">
        <v>434</v>
      </c>
      <c r="K443" s="5"/>
    </row>
    <row r="444" customFormat="false" ht="15" hidden="false" customHeight="false" outlineLevel="0" collapsed="false">
      <c r="A444" s="5" t="n">
        <f aca="false">IF(I444="","",J444)</f>
        <v>435</v>
      </c>
      <c r="B444" s="83" t="n">
        <f aca="false">IF(I444="","",INDEX(J_TGL,I444))</f>
        <v>46163</v>
      </c>
      <c r="C444" s="5" t="str">
        <f aca="false">IF(I444="","",INDEX(J_NO,I444))</f>
        <v>JU-0669</v>
      </c>
      <c r="D444" s="5" t="str">
        <f aca="false">IF(I444="","",INDEX(J_KET,I444))</f>
        <v>Pembayaran langganan aplikasi Majoo</v>
      </c>
      <c r="E444" s="5" t="str">
        <f aca="false">IF(I444="","",IF(INDEX(J_DEB,I444)=$C$3,INDEX(J_KRE,I444),INDEX(J_DEB,I444)))</f>
        <v>Biaya Tagihan Bulanan</v>
      </c>
      <c r="F444" s="44" t="n">
        <f aca="false">IF(I444="","",IF(INDEX(J_DEB,I444)=$C$3,INDEX(J_NOM,I444),0))</f>
        <v>0</v>
      </c>
      <c r="G444" s="44" t="n">
        <f aca="false">IF(I444="","",IF(INDEX(J_KRE,I444)=$C$3,INDEX(J_NOM,I444),0))</f>
        <v>287490</v>
      </c>
      <c r="H444" s="44" t="n">
        <f aca="false">IF(I444="","",N(H443)+IF($C$5="Debet",F444-G444,G444-F444))</f>
        <v>-8884780</v>
      </c>
      <c r="I444" s="66" t="n">
        <f aca="false">IF(J444&gt;$K$1,"",IFERROR(MATCH(J444,J_BB,0),""))</f>
        <v>669</v>
      </c>
      <c r="J444" s="66" t="n">
        <v>435</v>
      </c>
      <c r="K444" s="5"/>
    </row>
    <row r="445" customFormat="false" ht="15" hidden="false" customHeight="false" outlineLevel="0" collapsed="false">
      <c r="A445" s="5" t="n">
        <f aca="false">IF(I445="","",J445)</f>
        <v>436</v>
      </c>
      <c r="B445" s="83" t="n">
        <f aca="false">IF(I445="","",INDEX(J_TGL,I445))</f>
        <v>46163</v>
      </c>
      <c r="C445" s="5" t="str">
        <f aca="false">IF(I445="","",INDEX(J_NO,I445))</f>
        <v>JU-0670</v>
      </c>
      <c r="D445" s="5" t="str">
        <f aca="false">IF(I445="","",INDEX(J_KET,I445))</f>
        <v>14 karton UHT ultamilk</v>
      </c>
      <c r="E445" s="5" t="str">
        <f aca="false">IF(I445="","",IF(INDEX(J_DEB,I445)=$C$3,INDEX(J_KRE,I445),INDEX(J_DEB,I445)))</f>
        <v>Biaya Bahan Baku</v>
      </c>
      <c r="F445" s="44" t="n">
        <f aca="false">IF(I445="","",IF(INDEX(J_DEB,I445)=$C$3,INDEX(J_NOM,I445),0))</f>
        <v>0</v>
      </c>
      <c r="G445" s="44" t="n">
        <f aca="false">IF(I445="","",IF(INDEX(J_KRE,I445)=$C$3,INDEX(J_NOM,I445),0))</f>
        <v>3122000</v>
      </c>
      <c r="H445" s="44" t="n">
        <f aca="false">IF(I445="","",N(H444)+IF($C$5="Debet",F445-G445,G445-F445))</f>
        <v>-12006780</v>
      </c>
      <c r="I445" s="66" t="n">
        <f aca="false">IF(J445&gt;$K$1,"",IFERROR(MATCH(J445,J_BB,0),""))</f>
        <v>670</v>
      </c>
      <c r="J445" s="66" t="n">
        <v>436</v>
      </c>
      <c r="K445" s="5"/>
    </row>
    <row r="446" customFormat="false" ht="15" hidden="false" customHeight="false" outlineLevel="0" collapsed="false">
      <c r="A446" s="5" t="n">
        <f aca="false">IF(I446="","",J446)</f>
        <v>437</v>
      </c>
      <c r="B446" s="83" t="n">
        <f aca="false">IF(I446="","",INDEX(J_TGL,I446))</f>
        <v>46163</v>
      </c>
      <c r="C446" s="5" t="str">
        <f aca="false">IF(I446="","",INDEX(J_NO,I446))</f>
        <v>JU-0671</v>
      </c>
      <c r="D446" s="5" t="str">
        <f aca="false">IF(I446="","",INDEX(J_KET,I446))</f>
        <v>10 galon unlock water tgl 16</v>
      </c>
      <c r="E446" s="5" t="str">
        <f aca="false">IF(I446="","",IF(INDEX(J_DEB,I446)=$C$3,INDEX(J_KRE,I446),INDEX(J_DEB,I446)))</f>
        <v>Biaya Bahan Baku</v>
      </c>
      <c r="F446" s="44" t="n">
        <f aca="false">IF(I446="","",IF(INDEX(J_DEB,I446)=$C$3,INDEX(J_NOM,I446),0))</f>
        <v>0</v>
      </c>
      <c r="G446" s="44" t="n">
        <f aca="false">IF(I446="","",IF(INDEX(J_KRE,I446)=$C$3,INDEX(J_NOM,I446),0))</f>
        <v>190000</v>
      </c>
      <c r="H446" s="44" t="n">
        <f aca="false">IF(I446="","",N(H445)+IF($C$5="Debet",F446-G446,G446-F446))</f>
        <v>-12196780</v>
      </c>
      <c r="I446" s="66" t="n">
        <f aca="false">IF(J446&gt;$K$1,"",IFERROR(MATCH(J446,J_BB,0),""))</f>
        <v>671</v>
      </c>
      <c r="J446" s="66" t="n">
        <v>437</v>
      </c>
      <c r="K446" s="5"/>
    </row>
    <row r="447" customFormat="false" ht="15" hidden="false" customHeight="false" outlineLevel="0" collapsed="false">
      <c r="A447" s="5" t="n">
        <f aca="false">IF(I447="","",J447)</f>
        <v>438</v>
      </c>
      <c r="B447" s="83" t="n">
        <f aca="false">IF(I447="","",INDEX(J_TGL,I447))</f>
        <v>46163</v>
      </c>
      <c r="C447" s="5" t="str">
        <f aca="false">IF(I447="","",INDEX(J_NO,I447))</f>
        <v>JU-0672</v>
      </c>
      <c r="D447" s="5" t="str">
        <f aca="false">IF(I447="","",INDEX(J_KET,I447))</f>
        <v>koreksi</v>
      </c>
      <c r="E447" s="5" t="str">
        <f aca="false">IF(I447="","",IF(INDEX(J_DEB,I447)=$C$3,INDEX(J_KRE,I447),INDEX(J_DEB,I447)))</f>
        <v>Pendapatan Lainnya</v>
      </c>
      <c r="F447" s="44" t="n">
        <f aca="false">IF(I447="","",IF(INDEX(J_DEB,I447)=$C$3,INDEX(J_NOM,I447),0))</f>
        <v>1</v>
      </c>
      <c r="G447" s="44" t="n">
        <f aca="false">IF(I447="","",IF(INDEX(J_KRE,I447)=$C$3,INDEX(J_NOM,I447),0))</f>
        <v>0</v>
      </c>
      <c r="H447" s="44" t="n">
        <f aca="false">IF(I447="","",N(H446)+IF($C$5="Debet",F447-G447,G447-F447))</f>
        <v>-12196779</v>
      </c>
      <c r="I447" s="66" t="n">
        <f aca="false">IF(J447&gt;$K$1,"",IFERROR(MATCH(J447,J_BB,0),""))</f>
        <v>672</v>
      </c>
      <c r="J447" s="66" t="n">
        <v>438</v>
      </c>
      <c r="K447" s="5"/>
    </row>
    <row r="448" customFormat="false" ht="15" hidden="false" customHeight="false" outlineLevel="0" collapsed="false">
      <c r="A448" s="5" t="n">
        <f aca="false">IF(I448="","",J448)</f>
        <v>439</v>
      </c>
      <c r="B448" s="83" t="n">
        <f aca="false">IF(I448="","",INDEX(J_TGL,I448))</f>
        <v>46164</v>
      </c>
      <c r="C448" s="5" t="str">
        <f aca="false">IF(I448="","",INDEX(J_NO,I448))</f>
        <v>JU-0673</v>
      </c>
      <c r="D448" s="5" t="str">
        <f aca="false">IF(I448="","",INDEX(J_KET,I448))</f>
        <v>spare part kipas kulkas</v>
      </c>
      <c r="E448" s="5" t="str">
        <f aca="false">IF(I448="","",IF(INDEX(J_DEB,I448)=$C$3,INDEX(J_KRE,I448),INDEX(J_DEB,I448)))</f>
        <v>Biaya Pemeliharaan</v>
      </c>
      <c r="F448" s="44" t="n">
        <f aca="false">IF(I448="","",IF(INDEX(J_DEB,I448)=$C$3,INDEX(J_NOM,I448),0))</f>
        <v>0</v>
      </c>
      <c r="G448" s="44" t="n">
        <f aca="false">IF(I448="","",IF(INDEX(J_KRE,I448)=$C$3,INDEX(J_NOM,I448),0))</f>
        <v>24000</v>
      </c>
      <c r="H448" s="44" t="n">
        <f aca="false">IF(I448="","",N(H447)+IF($C$5="Debet",F448-G448,G448-F448))</f>
        <v>-12220779</v>
      </c>
      <c r="I448" s="66" t="n">
        <f aca="false">IF(J448&gt;$K$1,"",IFERROR(MATCH(J448,J_BB,0),""))</f>
        <v>673</v>
      </c>
      <c r="J448" s="66" t="n">
        <v>439</v>
      </c>
      <c r="K448" s="5"/>
    </row>
    <row r="449" customFormat="false" ht="15" hidden="false" customHeight="false" outlineLevel="0" collapsed="false">
      <c r="A449" s="5" t="n">
        <f aca="false">IF(I449="","",J449)</f>
        <v>440</v>
      </c>
      <c r="B449" s="83" t="n">
        <f aca="false">IF(I449="","",INDEX(J_TGL,I449))</f>
        <v>46164</v>
      </c>
      <c r="C449" s="5" t="str">
        <f aca="false">IF(I449="","",INDEX(J_NO,I449))</f>
        <v>JU-0674</v>
      </c>
      <c r="D449" s="5" t="str">
        <f aca="false">IF(I449="","",INDEX(J_KET,I449))</f>
        <v>Print cetak menu, stiker, pamflet total 8 nota dg 3 nota keliru karna miskom jd tdk terpakai</v>
      </c>
      <c r="E449" s="5" t="str">
        <f aca="false">IF(I449="","",IF(INDEX(J_DEB,I449)=$C$3,INDEX(J_KRE,I449),INDEX(J_DEB,I449)))</f>
        <v>Biaya Marketing &amp; Promosi</v>
      </c>
      <c r="F449" s="44" t="n">
        <f aca="false">IF(I449="","",IF(INDEX(J_DEB,I449)=$C$3,INDEX(J_NOM,I449),0))</f>
        <v>0</v>
      </c>
      <c r="G449" s="44" t="n">
        <f aca="false">IF(I449="","",IF(INDEX(J_KRE,I449)=$C$3,INDEX(J_NOM,I449),0))</f>
        <v>213000</v>
      </c>
      <c r="H449" s="44" t="n">
        <f aca="false">IF(I449="","",N(H448)+IF($C$5="Debet",F449-G449,G449-F449))</f>
        <v>-12433779</v>
      </c>
      <c r="I449" s="66" t="n">
        <f aca="false">IF(J449&gt;$K$1,"",IFERROR(MATCH(J449,J_BB,0),""))</f>
        <v>674</v>
      </c>
      <c r="J449" s="66" t="n">
        <v>440</v>
      </c>
      <c r="K449" s="5"/>
    </row>
    <row r="450" customFormat="false" ht="15" hidden="false" customHeight="false" outlineLevel="0" collapsed="false">
      <c r="A450" s="5" t="n">
        <f aca="false">IF(I450="","",J450)</f>
        <v>441</v>
      </c>
      <c r="B450" s="83" t="n">
        <f aca="false">IF(I450="","",INDEX(J_TGL,I450))</f>
        <v>46164</v>
      </c>
      <c r="C450" s="5" t="str">
        <f aca="false">IF(I450="","",INDEX(J_NO,I450))</f>
        <v>JU-0675</v>
      </c>
      <c r="D450" s="5" t="str">
        <f aca="false">IF(I450="","",INDEX(J_KET,I450))</f>
        <v>spons untuk pel cooger</v>
      </c>
      <c r="E450" s="5" t="str">
        <f aca="false">IF(I450="","",IF(INDEX(J_DEB,I450)=$C$3,INDEX(J_KRE,I450),INDEX(J_DEB,I450)))</f>
        <v>Beban Perlengkapan</v>
      </c>
      <c r="F450" s="44" t="n">
        <f aca="false">IF(I450="","",IF(INDEX(J_DEB,I450)=$C$3,INDEX(J_NOM,I450),0))</f>
        <v>0</v>
      </c>
      <c r="G450" s="44" t="n">
        <f aca="false">IF(I450="","",IF(INDEX(J_KRE,I450)=$C$3,INDEX(J_NOM,I450),0))</f>
        <v>31900</v>
      </c>
      <c r="H450" s="44" t="n">
        <f aca="false">IF(I450="","",N(H449)+IF($C$5="Debet",F450-G450,G450-F450))</f>
        <v>-12465679</v>
      </c>
      <c r="I450" s="66" t="n">
        <f aca="false">IF(J450&gt;$K$1,"",IFERROR(MATCH(J450,J_BB,0),""))</f>
        <v>675</v>
      </c>
      <c r="J450" s="66" t="n">
        <v>441</v>
      </c>
      <c r="K450" s="5"/>
    </row>
    <row r="451" customFormat="false" ht="15" hidden="false" customHeight="false" outlineLevel="0" collapsed="false">
      <c r="A451" s="5" t="n">
        <f aca="false">IF(I451="","",J451)</f>
        <v>442</v>
      </c>
      <c r="B451" s="83" t="n">
        <f aca="false">IF(I451="","",INDEX(J_TGL,I451))</f>
        <v>46164</v>
      </c>
      <c r="C451" s="5" t="str">
        <f aca="false">IF(I451="","",INDEX(J_NO,I451))</f>
        <v>JU-0676</v>
      </c>
      <c r="D451" s="5" t="str">
        <f aca="false">IF(I451="","",INDEX(J_KET,I451))</f>
        <v>perpanjang nomor kartu Kopi Parang Belanja 360 hari</v>
      </c>
      <c r="E451" s="5" t="str">
        <f aca="false">IF(I451="","",IF(INDEX(J_DEB,I451)=$C$3,INDEX(J_KRE,I451),INDEX(J_DEB,I451)))</f>
        <v>Biaya Operasional Harian</v>
      </c>
      <c r="F451" s="44" t="n">
        <f aca="false">IF(I451="","",IF(INDEX(J_DEB,I451)=$C$3,INDEX(J_NOM,I451),0))</f>
        <v>0</v>
      </c>
      <c r="G451" s="44" t="n">
        <f aca="false">IF(I451="","",IF(INDEX(J_KRE,I451)=$C$3,INDEX(J_NOM,I451),0))</f>
        <v>110000</v>
      </c>
      <c r="H451" s="44" t="n">
        <f aca="false">IF(I451="","",N(H450)+IF($C$5="Debet",F451-G451,G451-F451))</f>
        <v>-12575679</v>
      </c>
      <c r="I451" s="66" t="n">
        <f aca="false">IF(J451&gt;$K$1,"",IFERROR(MATCH(J451,J_BB,0),""))</f>
        <v>676</v>
      </c>
      <c r="J451" s="66" t="n">
        <v>442</v>
      </c>
      <c r="K451" s="5"/>
    </row>
    <row r="452" customFormat="false" ht="15" hidden="false" customHeight="false" outlineLevel="0" collapsed="false">
      <c r="A452" s="5" t="n">
        <f aca="false">IF(I452="","",J452)</f>
        <v>443</v>
      </c>
      <c r="B452" s="83" t="n">
        <f aca="false">IF(I452="","",INDEX(J_TGL,I452))</f>
        <v>46164</v>
      </c>
      <c r="C452" s="5" t="str">
        <f aca="false">IF(I452="","",INDEX(J_NO,I452))</f>
        <v>JU-0677</v>
      </c>
      <c r="D452" s="5" t="str">
        <f aca="false">IF(I452="","",INDEX(J_KET,I452))</f>
        <v>admin dan pembulatan</v>
      </c>
      <c r="E452" s="5" t="str">
        <f aca="false">IF(I452="","",IF(INDEX(J_DEB,I452)=$C$3,INDEX(J_KRE,I452),INDEX(J_DEB,I452)))</f>
        <v>Biaya Lainnya</v>
      </c>
      <c r="F452" s="44" t="n">
        <f aca="false">IF(I452="","",IF(INDEX(J_DEB,I452)=$C$3,INDEX(J_NOM,I452),0))</f>
        <v>0</v>
      </c>
      <c r="G452" s="44" t="n">
        <f aca="false">IF(I452="","",IF(INDEX(J_KRE,I452)=$C$3,INDEX(J_NOM,I452),0))</f>
        <v>2000</v>
      </c>
      <c r="H452" s="44" t="n">
        <f aca="false">IF(I452="","",N(H451)+IF($C$5="Debet",F452-G452,G452-F452))</f>
        <v>-12577679</v>
      </c>
      <c r="I452" s="66" t="n">
        <f aca="false">IF(J452&gt;$K$1,"",IFERROR(MATCH(J452,J_BB,0),""))</f>
        <v>677</v>
      </c>
      <c r="J452" s="66" t="n">
        <v>443</v>
      </c>
      <c r="K452" s="5"/>
    </row>
    <row r="453" customFormat="false" ht="15" hidden="false" customHeight="false" outlineLevel="0" collapsed="false">
      <c r="A453" s="5" t="n">
        <f aca="false">IF(I453="","",J453)</f>
        <v>444</v>
      </c>
      <c r="B453" s="83" t="n">
        <f aca="false">IF(I453="","",INDEX(J_TGL,I453))</f>
        <v>46165</v>
      </c>
      <c r="C453" s="5" t="str">
        <f aca="false">IF(I453="","",INDEX(J_NO,I453))</f>
        <v>JU-0678</v>
      </c>
      <c r="D453" s="5" t="str">
        <f aca="false">IF(I453="","",INDEX(J_KET,I453))</f>
        <v>menu french fries dan pepakan</v>
      </c>
      <c r="E453" s="5" t="str">
        <f aca="false">IF(I453="","",IF(INDEX(J_DEB,I453)=$C$3,INDEX(J_KRE,I453),INDEX(J_DEB,I453)))</f>
        <v>Biaya Bahan Baku</v>
      </c>
      <c r="F453" s="44" t="n">
        <f aca="false">IF(I453="","",IF(INDEX(J_DEB,I453)=$C$3,INDEX(J_NOM,I453),0))</f>
        <v>0</v>
      </c>
      <c r="G453" s="44" t="n">
        <f aca="false">IF(I453="","",IF(INDEX(J_KRE,I453)=$C$3,INDEX(J_NOM,I453),0))</f>
        <v>1992000</v>
      </c>
      <c r="H453" s="44" t="n">
        <f aca="false">IF(I453="","",N(H452)+IF($C$5="Debet",F453-G453,G453-F453))</f>
        <v>-14569679</v>
      </c>
      <c r="I453" s="66" t="n">
        <f aca="false">IF(J453&gt;$K$1,"",IFERROR(MATCH(J453,J_BB,0),""))</f>
        <v>678</v>
      </c>
      <c r="J453" s="66" t="n">
        <v>444</v>
      </c>
      <c r="K453" s="5"/>
    </row>
    <row r="454" customFormat="false" ht="15" hidden="false" customHeight="false" outlineLevel="0" collapsed="false">
      <c r="A454" s="5" t="n">
        <f aca="false">IF(I454="","",J454)</f>
        <v>445</v>
      </c>
      <c r="B454" s="83" t="n">
        <f aca="false">IF(I454="","",INDEX(J_TGL,I454))</f>
        <v>46167</v>
      </c>
      <c r="C454" s="5" t="str">
        <f aca="false">IF(I454="","",INDEX(J_NO,I454))</f>
        <v>JU-0680</v>
      </c>
      <c r="D454" s="5" t="str">
        <f aca="false">IF(I454="","",INDEX(J_KET,I454))</f>
        <v>pel cooger dan 2 busa</v>
      </c>
      <c r="E454" s="5" t="str">
        <f aca="false">IF(I454="","",IF(INDEX(J_DEB,I454)=$C$3,INDEX(J_KRE,I454),INDEX(J_DEB,I454)))</f>
        <v>Beban Perlengkapan</v>
      </c>
      <c r="F454" s="44" t="n">
        <f aca="false">IF(I454="","",IF(INDEX(J_DEB,I454)=$C$3,INDEX(J_NOM,I454),0))</f>
        <v>0</v>
      </c>
      <c r="G454" s="44" t="n">
        <f aca="false">IF(I454="","",IF(INDEX(J_KRE,I454)=$C$3,INDEX(J_NOM,I454),0))</f>
        <v>90984</v>
      </c>
      <c r="H454" s="44" t="n">
        <f aca="false">IF(I454="","",N(H453)+IF($C$5="Debet",F454-G454,G454-F454))</f>
        <v>-14660663</v>
      </c>
      <c r="I454" s="66" t="n">
        <f aca="false">IF(J454&gt;$K$1,"",IFERROR(MATCH(J454,J_BB,0),""))</f>
        <v>680</v>
      </c>
      <c r="J454" s="66" t="n">
        <v>445</v>
      </c>
      <c r="K454" s="5"/>
    </row>
    <row r="455" customFormat="false" ht="15" hidden="false" customHeight="false" outlineLevel="0" collapsed="false">
      <c r="A455" s="5" t="n">
        <f aca="false">IF(I455="","",J455)</f>
        <v>446</v>
      </c>
      <c r="B455" s="83" t="n">
        <f aca="false">IF(I455="","",INDEX(J_TGL,I455))</f>
        <v>46167</v>
      </c>
      <c r="C455" s="5" t="str">
        <f aca="false">IF(I455="","",INDEX(J_NO,I455))</f>
        <v>JU-0681</v>
      </c>
      <c r="D455" s="5" t="str">
        <f aca="false">IF(I455="","",INDEX(J_KET,I455))</f>
        <v>Talangan cicilan BRI jaminan Kopi Parang (biaya sewa tempat)</v>
      </c>
      <c r="E455" s="5" t="str">
        <f aca="false">IF(I455="","",IF(INDEX(J_DEB,I455)=$C$3,INDEX(J_KRE,I455),INDEX(J_DEB,I455)))</f>
        <v>Biaya Sewa Tempat</v>
      </c>
      <c r="F455" s="44" t="n">
        <f aca="false">IF(I455="","",IF(INDEX(J_DEB,I455)=$C$3,INDEX(J_NOM,I455),0))</f>
        <v>0</v>
      </c>
      <c r="G455" s="44" t="n">
        <f aca="false">IF(I455="","",IF(INDEX(J_KRE,I455)=$C$3,INDEX(J_NOM,I455),0))</f>
        <v>10000000</v>
      </c>
      <c r="H455" s="44" t="n">
        <f aca="false">IF(I455="","",N(H454)+IF($C$5="Debet",F455-G455,G455-F455))</f>
        <v>-24660663</v>
      </c>
      <c r="I455" s="66" t="n">
        <f aca="false">IF(J455&gt;$K$1,"",IFERROR(MATCH(J455,J_BB,0),""))</f>
        <v>681</v>
      </c>
      <c r="J455" s="66" t="n">
        <v>446</v>
      </c>
      <c r="K455" s="5"/>
    </row>
    <row r="456" customFormat="false" ht="15" hidden="false" customHeight="false" outlineLevel="0" collapsed="false">
      <c r="A456" s="5" t="n">
        <f aca="false">IF(I456="","",J456)</f>
        <v>447</v>
      </c>
      <c r="B456" s="83" t="n">
        <f aca="false">IF(I456="","",INDEX(J_TGL,I456))</f>
        <v>46168</v>
      </c>
      <c r="C456" s="5" t="str">
        <f aca="false">IF(I456="","",INDEX(J_NO,I456))</f>
        <v>JU-0682</v>
      </c>
      <c r="D456" s="5" t="str">
        <f aca="false">IF(I456="","",INDEX(J_KET,I456))</f>
        <v>Tahu walik dan ongkir</v>
      </c>
      <c r="E456" s="5" t="str">
        <f aca="false">IF(I456="","",IF(INDEX(J_DEB,I456)=$C$3,INDEX(J_KRE,I456),INDEX(J_DEB,I456)))</f>
        <v>Biaya Bahan Baku</v>
      </c>
      <c r="F456" s="44" t="n">
        <f aca="false">IF(I456="","",IF(INDEX(J_DEB,I456)=$C$3,INDEX(J_NOM,I456),0))</f>
        <v>0</v>
      </c>
      <c r="G456" s="44" t="n">
        <f aca="false">IF(I456="","",IF(INDEX(J_KRE,I456)=$C$3,INDEX(J_NOM,I456),0))</f>
        <v>1140000</v>
      </c>
      <c r="H456" s="44" t="n">
        <f aca="false">IF(I456="","",N(H455)+IF($C$5="Debet",F456-G456,G456-F456))</f>
        <v>-25800663</v>
      </c>
      <c r="I456" s="66" t="n">
        <f aca="false">IF(J456&gt;$K$1,"",IFERROR(MATCH(J456,J_BB,0),""))</f>
        <v>682</v>
      </c>
      <c r="J456" s="66" t="n">
        <v>447</v>
      </c>
      <c r="K456" s="5"/>
    </row>
    <row r="457" customFormat="false" ht="15" hidden="false" customHeight="false" outlineLevel="0" collapsed="false">
      <c r="A457" s="5" t="n">
        <f aca="false">IF(I457="","",J457)</f>
        <v>448</v>
      </c>
      <c r="B457" s="83" t="n">
        <f aca="false">IF(I457="","",INDEX(J_TGL,I457))</f>
        <v>46168</v>
      </c>
      <c r="C457" s="5" t="str">
        <f aca="false">IF(I457="","",INDEX(J_NO,I457))</f>
        <v>JU-0683</v>
      </c>
      <c r="D457" s="5" t="str">
        <f aca="false">IF(I457="","",INDEX(J_KET,I457))</f>
        <v>15 galon unlock water tgl 23</v>
      </c>
      <c r="E457" s="5" t="str">
        <f aca="false">IF(I457="","",IF(INDEX(J_DEB,I457)=$C$3,INDEX(J_KRE,I457),INDEX(J_DEB,I457)))</f>
        <v>Biaya Bahan Baku</v>
      </c>
      <c r="F457" s="44" t="n">
        <f aca="false">IF(I457="","",IF(INDEX(J_DEB,I457)=$C$3,INDEX(J_NOM,I457),0))</f>
        <v>0</v>
      </c>
      <c r="G457" s="44" t="n">
        <f aca="false">IF(I457="","",IF(INDEX(J_KRE,I457)=$C$3,INDEX(J_NOM,I457),0))</f>
        <v>285000</v>
      </c>
      <c r="H457" s="44" t="n">
        <f aca="false">IF(I457="","",N(H456)+IF($C$5="Debet",F457-G457,G457-F457))</f>
        <v>-26085663</v>
      </c>
      <c r="I457" s="66" t="n">
        <f aca="false">IF(J457&gt;$K$1,"",IFERROR(MATCH(J457,J_BB,0),""))</f>
        <v>683</v>
      </c>
      <c r="J457" s="66" t="n">
        <v>448</v>
      </c>
      <c r="K457" s="5"/>
    </row>
    <row r="458" customFormat="false" ht="15" hidden="false" customHeight="false" outlineLevel="0" collapsed="false">
      <c r="A458" s="5" t="n">
        <f aca="false">IF(I458="","",J458)</f>
        <v>449</v>
      </c>
      <c r="B458" s="83" t="n">
        <f aca="false">IF(I458="","",INDEX(J_TGL,I458))</f>
        <v>46170</v>
      </c>
      <c r="C458" s="5" t="str">
        <f aca="false">IF(I458="","",INDEX(J_NO,I458))</f>
        <v>JU-0693</v>
      </c>
      <c r="D458" s="5" t="str">
        <f aca="false">IF(I458="","",INDEX(J_KET,I458))</f>
        <v>cairan pembersih : clover klin</v>
      </c>
      <c r="E458" s="5" t="str">
        <f aca="false">IF(I458="","",IF(INDEX(J_DEB,I458)=$C$3,INDEX(J_KRE,I458),INDEX(J_DEB,I458)))</f>
        <v>Biaya Pemeliharaan</v>
      </c>
      <c r="F458" s="44" t="n">
        <f aca="false">IF(I458="","",IF(INDEX(J_DEB,I458)=$C$3,INDEX(J_NOM,I458),0))</f>
        <v>0</v>
      </c>
      <c r="G458" s="44" t="n">
        <f aca="false">IF(I458="","",IF(INDEX(J_KRE,I458)=$C$3,INDEX(J_NOM,I458),0))</f>
        <v>295000</v>
      </c>
      <c r="H458" s="44" t="n">
        <f aca="false">IF(I458="","",N(H457)+IF($C$5="Debet",F458-G458,G458-F458))</f>
        <v>-26380663</v>
      </c>
      <c r="I458" s="66" t="n">
        <f aca="false">IF(J458&gt;$K$1,"",IFERROR(MATCH(J458,J_BB,0),""))</f>
        <v>693</v>
      </c>
      <c r="J458" s="66" t="n">
        <v>449</v>
      </c>
      <c r="K458" s="5"/>
    </row>
    <row r="459" customFormat="false" ht="15" hidden="false" customHeight="false" outlineLevel="0" collapsed="false">
      <c r="A459" s="5" t="n">
        <f aca="false">IF(I459="","",J459)</f>
        <v>450</v>
      </c>
      <c r="B459" s="83" t="n">
        <f aca="false">IF(I459="","",INDEX(J_TGL,I459))</f>
        <v>46170</v>
      </c>
      <c r="C459" s="5" t="str">
        <f aca="false">IF(I459="","",INDEX(J_NO,I459))</f>
        <v>JU-0694</v>
      </c>
      <c r="D459" s="5" t="str">
        <f aca="false">IF(I459="","",INDEX(J_KET,I459))</f>
        <v>Pindah dana tunai ke BCA(Afa tukar uang)</v>
      </c>
      <c r="E459" s="5" t="str">
        <f aca="false">IF(I459="","",IF(INDEX(J_DEB,I459)=$C$3,INDEX(J_KRE,I459),INDEX(J_DEB,I459)))</f>
        <v>Kas Tunai</v>
      </c>
      <c r="F459" s="44" t="n">
        <f aca="false">IF(I459="","",IF(INDEX(J_DEB,I459)=$C$3,INDEX(J_NOM,I459),0))</f>
        <v>270000</v>
      </c>
      <c r="G459" s="44" t="n">
        <f aca="false">IF(I459="","",IF(INDEX(J_KRE,I459)=$C$3,INDEX(J_NOM,I459),0))</f>
        <v>0</v>
      </c>
      <c r="H459" s="44" t="n">
        <f aca="false">IF(I459="","",N(H458)+IF($C$5="Debet",F459-G459,G459-F459))</f>
        <v>-26110663</v>
      </c>
      <c r="I459" s="66" t="n">
        <f aca="false">IF(J459&gt;$K$1,"",IFERROR(MATCH(J459,J_BB,0),""))</f>
        <v>694</v>
      </c>
      <c r="J459" s="66" t="n">
        <v>450</v>
      </c>
      <c r="K459" s="5"/>
    </row>
    <row r="460" customFormat="false" ht="15" hidden="false" customHeight="false" outlineLevel="0" collapsed="false">
      <c r="A460" s="5" t="n">
        <f aca="false">IF(I460="","",J460)</f>
        <v>451</v>
      </c>
      <c r="B460" s="83" t="n">
        <f aca="false">IF(I460="","",INDEX(J_TGL,I460))</f>
        <v>46170</v>
      </c>
      <c r="C460" s="5" t="str">
        <f aca="false">IF(I460="","",INDEX(J_NO,I460))</f>
        <v>JU-0695</v>
      </c>
      <c r="D460" s="5" t="str">
        <f aca="false">IF(I460="","",INDEX(J_KET,I460))</f>
        <v>Pindah dana BCA ke tunai (Afa tukar uang)</v>
      </c>
      <c r="E460" s="5" t="str">
        <f aca="false">IF(I460="","",IF(INDEX(J_DEB,I460)=$C$3,INDEX(J_KRE,I460),INDEX(J_DEB,I460)))</f>
        <v>Kas Tunai</v>
      </c>
      <c r="F460" s="44" t="n">
        <f aca="false">IF(I460="","",IF(INDEX(J_DEB,I460)=$C$3,INDEX(J_NOM,I460),0))</f>
        <v>0</v>
      </c>
      <c r="G460" s="44" t="n">
        <f aca="false">IF(I460="","",IF(INDEX(J_KRE,I460)=$C$3,INDEX(J_NOM,I460),0))</f>
        <v>2705000</v>
      </c>
      <c r="H460" s="44" t="n">
        <f aca="false">IF(I460="","",N(H459)+IF($C$5="Debet",F460-G460,G460-F460))</f>
        <v>-28815663</v>
      </c>
      <c r="I460" s="66" t="n">
        <f aca="false">IF(J460&gt;$K$1,"",IFERROR(MATCH(J460,J_BB,0),""))</f>
        <v>695</v>
      </c>
      <c r="J460" s="66" t="n">
        <v>451</v>
      </c>
      <c r="K460" s="5"/>
    </row>
    <row r="461" customFormat="false" ht="15" hidden="false" customHeight="false" outlineLevel="0" collapsed="false">
      <c r="A461" s="5" t="n">
        <f aca="false">IF(I461="","",J461)</f>
        <v>452</v>
      </c>
      <c r="B461" s="83" t="n">
        <f aca="false">IF(I461="","",INDEX(J_TGL,I461))</f>
        <v>46170</v>
      </c>
      <c r="C461" s="5" t="str">
        <f aca="false">IF(I461="","",INDEX(J_NO,I461))</f>
        <v>JU-0696</v>
      </c>
      <c r="D461" s="5" t="str">
        <f aca="false">IF(I461="","",INDEX(J_KET,I461))</f>
        <v>Afa pinjam untuk transfer</v>
      </c>
      <c r="E461" s="5" t="str">
        <f aca="false">IF(I461="","",IF(INDEX(J_DEB,I461)=$C$3,INDEX(J_KRE,I461),INDEX(J_DEB,I461)))</f>
        <v>Biaya Lainnya</v>
      </c>
      <c r="F461" s="44" t="n">
        <f aca="false">IF(I461="","",IF(INDEX(J_DEB,I461)=$C$3,INDEX(J_NOM,I461),0))</f>
        <v>0</v>
      </c>
      <c r="G461" s="44" t="n">
        <f aca="false">IF(I461="","",IF(INDEX(J_KRE,I461)=$C$3,INDEX(J_NOM,I461),0))</f>
        <v>325</v>
      </c>
      <c r="H461" s="44" t="n">
        <f aca="false">IF(I461="","",N(H460)+IF($C$5="Debet",F461-G461,G461-F461))</f>
        <v>-28815988</v>
      </c>
      <c r="I461" s="66" t="n">
        <f aca="false">IF(J461&gt;$K$1,"",IFERROR(MATCH(J461,J_BB,0),""))</f>
        <v>696</v>
      </c>
      <c r="J461" s="66" t="n">
        <v>452</v>
      </c>
      <c r="K461" s="5"/>
    </row>
    <row r="462" customFormat="false" ht="15" hidden="false" customHeight="false" outlineLevel="0" collapsed="false">
      <c r="A462" s="5" t="n">
        <f aca="false">IF(I462="","",J462)</f>
        <v>453</v>
      </c>
      <c r="B462" s="83" t="n">
        <f aca="false">IF(I462="","",INDEX(J_TGL,I462))</f>
        <v>46170</v>
      </c>
      <c r="C462" s="5" t="str">
        <f aca="false">IF(I462="","",INDEX(J_NO,I462))</f>
        <v>JU-0698</v>
      </c>
      <c r="D462" s="5" t="str">
        <f aca="false">IF(I462="","",INDEX(J_KET,I462))</f>
        <v>500 set papercup +ongkir</v>
      </c>
      <c r="E462" s="5" t="str">
        <f aca="false">IF(I462="","",IF(INDEX(J_DEB,I462)=$C$3,INDEX(J_KRE,I462),INDEX(J_DEB,I462)))</f>
        <v>Biaya Penyajian</v>
      </c>
      <c r="F462" s="44" t="n">
        <f aca="false">IF(I462="","",IF(INDEX(J_DEB,I462)=$C$3,INDEX(J_NOM,I462),0))</f>
        <v>0</v>
      </c>
      <c r="G462" s="44" t="n">
        <f aca="false">IF(I462="","",IF(INDEX(J_KRE,I462)=$C$3,INDEX(J_NOM,I462),0))</f>
        <v>870000</v>
      </c>
      <c r="H462" s="44" t="n">
        <f aca="false">IF(I462="","",N(H461)+IF($C$5="Debet",F462-G462,G462-F462))</f>
        <v>-29685988</v>
      </c>
      <c r="I462" s="66" t="n">
        <f aca="false">IF(J462&gt;$K$1,"",IFERROR(MATCH(J462,J_BB,0),""))</f>
        <v>698</v>
      </c>
      <c r="J462" s="66" t="n">
        <v>453</v>
      </c>
      <c r="K462" s="5"/>
    </row>
    <row r="463" customFormat="false" ht="15" hidden="false" customHeight="false" outlineLevel="0" collapsed="false">
      <c r="A463" s="5" t="n">
        <f aca="false">IF(I463="","",J463)</f>
        <v>454</v>
      </c>
      <c r="B463" s="83" t="n">
        <f aca="false">IF(I463="","",INDEX(J_TGL,I463))</f>
        <v>46170</v>
      </c>
      <c r="C463" s="5" t="str">
        <f aca="false">IF(I463="","",INDEX(J_NO,I463))</f>
        <v>JU-0699</v>
      </c>
      <c r="D463" s="5" t="str">
        <f aca="false">IF(I463="","",INDEX(J_KET,I463))</f>
        <v>UHT 13 karton</v>
      </c>
      <c r="E463" s="5" t="str">
        <f aca="false">IF(I463="","",IF(INDEX(J_DEB,I463)=$C$3,INDEX(J_KRE,I463),INDEX(J_DEB,I463)))</f>
        <v>Biaya Bahan Baku</v>
      </c>
      <c r="F463" s="44" t="n">
        <f aca="false">IF(I463="","",IF(INDEX(J_DEB,I463)=$C$3,INDEX(J_NOM,I463),0))</f>
        <v>0</v>
      </c>
      <c r="G463" s="44" t="n">
        <f aca="false">IF(I463="","",IF(INDEX(J_KRE,I463)=$C$3,INDEX(J_NOM,I463),0))</f>
        <v>2899000</v>
      </c>
      <c r="H463" s="44" t="n">
        <f aca="false">IF(I463="","",N(H462)+IF($C$5="Debet",F463-G463,G463-F463))</f>
        <v>-32584988</v>
      </c>
      <c r="I463" s="66" t="n">
        <f aca="false">IF(J463&gt;$K$1,"",IFERROR(MATCH(J463,J_BB,0),""))</f>
        <v>699</v>
      </c>
      <c r="J463" s="66" t="n">
        <v>454</v>
      </c>
      <c r="K463" s="5"/>
    </row>
    <row r="464" customFormat="false" ht="15" hidden="false" customHeight="false" outlineLevel="0" collapsed="false">
      <c r="A464" s="5" t="n">
        <f aca="false">IF(I464="","",J464)</f>
        <v>455</v>
      </c>
      <c r="B464" s="83" t="n">
        <f aca="false">IF(I464="","",INDEX(J_TGL,I464))</f>
        <v>46171</v>
      </c>
      <c r="C464" s="5" t="str">
        <f aca="false">IF(I464="","",INDEX(J_NO,I464))</f>
        <v>JU-0700</v>
      </c>
      <c r="D464" s="5" t="str">
        <f aca="false">IF(I464="","",INDEX(J_KET,I464))</f>
        <v>Membayar gaji pegawai dan bonus</v>
      </c>
      <c r="E464" s="5" t="str">
        <f aca="false">IF(I464="","",IF(INDEX(J_DEB,I464)=$C$3,INDEX(J_KRE,I464),INDEX(J_DEB,I464)))</f>
        <v>Beban Gaji</v>
      </c>
      <c r="F464" s="44" t="n">
        <f aca="false">IF(I464="","",IF(INDEX(J_DEB,I464)=$C$3,INDEX(J_NOM,I464),0))</f>
        <v>0</v>
      </c>
      <c r="G464" s="44" t="n">
        <f aca="false">IF(I464="","",IF(INDEX(J_KRE,I464)=$C$3,INDEX(J_NOM,I464),0))</f>
        <v>24125333</v>
      </c>
      <c r="H464" s="44" t="n">
        <f aca="false">IF(I464="","",N(H463)+IF($C$5="Debet",F464-G464,G464-F464))</f>
        <v>-56710321</v>
      </c>
      <c r="I464" s="66" t="n">
        <f aca="false">IF(J464&gt;$K$1,"",IFERROR(MATCH(J464,J_BB,0),""))</f>
        <v>700</v>
      </c>
      <c r="J464" s="66" t="n">
        <v>455</v>
      </c>
      <c r="K464" s="5"/>
    </row>
    <row r="465" customFormat="false" ht="15" hidden="false" customHeight="false" outlineLevel="0" collapsed="false">
      <c r="A465" s="5" t="n">
        <f aca="false">IF(I465="","",J465)</f>
        <v>456</v>
      </c>
      <c r="B465" s="83" t="n">
        <f aca="false">IF(I465="","",INDEX(J_TGL,I465))</f>
        <v>46171</v>
      </c>
      <c r="C465" s="5" t="str">
        <f aca="false">IF(I465="","",INDEX(J_NO,I465))</f>
        <v>JU-0701</v>
      </c>
      <c r="D465" s="5" t="str">
        <f aca="false">IF(I465="","",INDEX(J_KET,I465))</f>
        <v>Cicilan kasbon rangga</v>
      </c>
      <c r="E465" s="5" t="str">
        <f aca="false">IF(I465="","",IF(INDEX(J_DEB,I465)=$C$3,INDEX(J_KRE,I465),INDEX(J_DEB,I465)))</f>
        <v>Piutang Lainnya</v>
      </c>
      <c r="F465" s="44" t="n">
        <f aca="false">IF(I465="","",IF(INDEX(J_DEB,I465)=$C$3,INDEX(J_NOM,I465),0))</f>
        <v>333333</v>
      </c>
      <c r="G465" s="44" t="n">
        <f aca="false">IF(I465="","",IF(INDEX(J_KRE,I465)=$C$3,INDEX(J_NOM,I465),0))</f>
        <v>0</v>
      </c>
      <c r="H465" s="44" t="n">
        <f aca="false">IF(I465="","",N(H464)+IF($C$5="Debet",F465-G465,G465-F465))</f>
        <v>-56376988</v>
      </c>
      <c r="I465" s="66" t="n">
        <f aca="false">IF(J465&gt;$K$1,"",IFERROR(MATCH(J465,J_BB,0),""))</f>
        <v>701</v>
      </c>
      <c r="J465" s="66" t="n">
        <v>456</v>
      </c>
      <c r="K465" s="5"/>
    </row>
    <row r="466" customFormat="false" ht="15" hidden="false" customHeight="false" outlineLevel="0" collapsed="false">
      <c r="A466" s="5" t="n">
        <f aca="false">IF(I466="","",J466)</f>
        <v>457</v>
      </c>
      <c r="B466" s="83" t="n">
        <f aca="false">IF(I466="","",INDEX(J_TGL,I466))</f>
        <v>46171</v>
      </c>
      <c r="C466" s="5" t="str">
        <f aca="false">IF(I466="","",INDEX(J_NO,I466))</f>
        <v>JU-0702</v>
      </c>
      <c r="D466" s="5" t="str">
        <f aca="false">IF(I466="","",INDEX(J_KET,I466))</f>
        <v>Biaya flip untuk transfer gaji</v>
      </c>
      <c r="E466" s="5" t="str">
        <f aca="false">IF(I466="","",IF(INDEX(J_DEB,I466)=$C$3,INDEX(J_KRE,I466),INDEX(J_DEB,I466)))</f>
        <v>Biaya Lainnya</v>
      </c>
      <c r="F466" s="44" t="n">
        <f aca="false">IF(I466="","",IF(INDEX(J_DEB,I466)=$C$3,INDEX(J_NOM,I466),0))</f>
        <v>0</v>
      </c>
      <c r="G466" s="44" t="n">
        <f aca="false">IF(I466="","",IF(INDEX(J_KRE,I466)=$C$3,INDEX(J_NOM,I466),0))</f>
        <v>13299</v>
      </c>
      <c r="H466" s="44" t="n">
        <f aca="false">IF(I466="","",N(H465)+IF($C$5="Debet",F466-G466,G466-F466))</f>
        <v>-56390287</v>
      </c>
      <c r="I466" s="66" t="n">
        <f aca="false">IF(J466&gt;$K$1,"",IFERROR(MATCH(J466,J_BB,0),""))</f>
        <v>702</v>
      </c>
      <c r="J466" s="66" t="n">
        <v>457</v>
      </c>
      <c r="K466" s="5"/>
    </row>
    <row r="467" customFormat="false" ht="15" hidden="false" customHeight="false" outlineLevel="0" collapsed="false">
      <c r="A467" s="5" t="n">
        <f aca="false">IF(I467="","",J467)</f>
        <v>458</v>
      </c>
      <c r="B467" s="83" t="n">
        <f aca="false">IF(I467="","",INDEX(J_TGL,I467))</f>
        <v>46171</v>
      </c>
      <c r="C467" s="5" t="str">
        <f aca="false">IF(I467="","",INDEX(J_NO,I467))</f>
        <v>JU-0703</v>
      </c>
      <c r="D467" s="5" t="str">
        <f aca="false">IF(I467="","",INDEX(J_KET,I467))</f>
        <v>Gaji direktur Kopi Parang Mei 2026</v>
      </c>
      <c r="E467" s="5" t="str">
        <f aca="false">IF(I467="","",IF(INDEX(J_DEB,I467)=$C$3,INDEX(J_KRE,I467),INDEX(J_DEB,I467)))</f>
        <v>Beban Gaji</v>
      </c>
      <c r="F467" s="44" t="n">
        <f aca="false">IF(I467="","",IF(INDEX(J_DEB,I467)=$C$3,INDEX(J_NOM,I467),0))</f>
        <v>0</v>
      </c>
      <c r="G467" s="44" t="n">
        <f aca="false">IF(I467="","",IF(INDEX(J_KRE,I467)=$C$3,INDEX(J_NOM,I467),0))</f>
        <v>4000000</v>
      </c>
      <c r="H467" s="44" t="n">
        <f aca="false">IF(I467="","",N(H466)+IF($C$5="Debet",F467-G467,G467-F467))</f>
        <v>-60390287</v>
      </c>
      <c r="I467" s="66" t="n">
        <f aca="false">IF(J467&gt;$K$1,"",IFERROR(MATCH(J467,J_BB,0),""))</f>
        <v>703</v>
      </c>
      <c r="J467" s="66" t="n">
        <v>458</v>
      </c>
      <c r="K467" s="5"/>
    </row>
    <row r="468" customFormat="false" ht="15" hidden="false" customHeight="false" outlineLevel="0" collapsed="false">
      <c r="A468" s="5" t="n">
        <f aca="false">IF(I468="","",J468)</f>
        <v>459</v>
      </c>
      <c r="B468" s="83" t="n">
        <f aca="false">IF(I468="","",INDEX(J_TGL,I468))</f>
        <v>46171</v>
      </c>
      <c r="C468" s="5" t="str">
        <f aca="false">IF(I468="","",INDEX(J_NO,I468))</f>
        <v>JU-0704</v>
      </c>
      <c r="D468" s="5" t="str">
        <f aca="false">IF(I468="","",INDEX(J_KET,I468))</f>
        <v>Biaya sewa tempat bulan Mei 2026</v>
      </c>
      <c r="E468" s="5" t="str">
        <f aca="false">IF(I468="","",IF(INDEX(J_DEB,I468)=$C$3,INDEX(J_KRE,I468),INDEX(J_DEB,I468)))</f>
        <v>Prive</v>
      </c>
      <c r="F468" s="44" t="n">
        <f aca="false">IF(I468="","",IF(INDEX(J_DEB,I468)=$C$3,INDEX(J_NOM,I468),0))</f>
        <v>0</v>
      </c>
      <c r="G468" s="44" t="n">
        <f aca="false">IF(I468="","",IF(INDEX(J_KRE,I468)=$C$3,INDEX(J_NOM,I468),0))</f>
        <v>2500000</v>
      </c>
      <c r="H468" s="44" t="n">
        <f aca="false">IF(I468="","",N(H467)+IF($C$5="Debet",F468-G468,G468-F468))</f>
        <v>-62890287</v>
      </c>
      <c r="I468" s="66" t="n">
        <f aca="false">IF(J468&gt;$K$1,"",IFERROR(MATCH(J468,J_BB,0),""))</f>
        <v>704</v>
      </c>
      <c r="J468" s="66" t="n">
        <v>459</v>
      </c>
      <c r="K468" s="5"/>
    </row>
    <row r="469" customFormat="false" ht="15" hidden="false" customHeight="false" outlineLevel="0" collapsed="false">
      <c r="A469" s="5" t="n">
        <f aca="false">IF(I469="","",J469)</f>
        <v>460</v>
      </c>
      <c r="B469" s="83" t="n">
        <f aca="false">IF(I469="","",INDEX(J_TGL,I469))</f>
        <v>46171</v>
      </c>
      <c r="C469" s="5" t="str">
        <f aca="false">IF(I469="","",INDEX(J_NO,I469))</f>
        <v>JU-0705</v>
      </c>
      <c r="D469" s="5" t="str">
        <f aca="false">IF(I469="","",INDEX(J_KET,I469))</f>
        <v>pinjam saldo seabank nuker rangga belanja di super indo</v>
      </c>
      <c r="E469" s="5" t="str">
        <f aca="false">IF(I469="","",IF(INDEX(J_DEB,I469)=$C$3,INDEX(J_KRE,I469),INDEX(J_DEB,I469)))</f>
        <v>Biaya Bahan Baku</v>
      </c>
      <c r="F469" s="44" t="n">
        <f aca="false">IF(I469="","",IF(INDEX(J_DEB,I469)=$C$3,INDEX(J_NOM,I469),0))</f>
        <v>0</v>
      </c>
      <c r="G469" s="44" t="n">
        <f aca="false">IF(I469="","",IF(INDEX(J_KRE,I469)=$C$3,INDEX(J_NOM,I469),0))</f>
        <v>236540</v>
      </c>
      <c r="H469" s="44" t="n">
        <f aca="false">IF(I469="","",N(H468)+IF($C$5="Debet",F469-G469,G469-F469))</f>
        <v>-63126827</v>
      </c>
      <c r="I469" s="66" t="n">
        <f aca="false">IF(J469&gt;$K$1,"",IFERROR(MATCH(J469,J_BB,0),""))</f>
        <v>705</v>
      </c>
      <c r="J469" s="66" t="n">
        <v>460</v>
      </c>
      <c r="K469" s="5"/>
    </row>
    <row r="470" customFormat="false" ht="15" hidden="false" customHeight="false" outlineLevel="0" collapsed="false">
      <c r="A470" s="5" t="n">
        <f aca="false">IF(I470="","",J470)</f>
        <v>461</v>
      </c>
      <c r="B470" s="83" t="n">
        <f aca="false">IF(I470="","",INDEX(J_TGL,I470))</f>
        <v>46171</v>
      </c>
      <c r="C470" s="5" t="str">
        <f aca="false">IF(I470="","",INDEX(J_NO,I470))</f>
        <v>JU-0706</v>
      </c>
      <c r="D470" s="5" t="str">
        <f aca="false">IF(I470="","",INDEX(J_KET,I470))</f>
        <v>koreksi</v>
      </c>
      <c r="E470" s="5" t="str">
        <f aca="false">IF(I470="","",IF(INDEX(J_DEB,I470)=$C$3,INDEX(J_KRE,I470),INDEX(J_DEB,I470)))</f>
        <v>Pendapatan Lainnya</v>
      </c>
      <c r="F470" s="44" t="n">
        <f aca="false">IF(I470="","",IF(INDEX(J_DEB,I470)=$C$3,INDEX(J_NOM,I470),0))</f>
        <v>1</v>
      </c>
      <c r="G470" s="44" t="n">
        <f aca="false">IF(I470="","",IF(INDEX(J_KRE,I470)=$C$3,INDEX(J_NOM,I470),0))</f>
        <v>0</v>
      </c>
      <c r="H470" s="44" t="n">
        <f aca="false">IF(I470="","",N(H469)+IF($C$5="Debet",F470-G470,G470-F470))</f>
        <v>-63126826</v>
      </c>
      <c r="I470" s="66" t="n">
        <f aca="false">IF(J470&gt;$K$1,"",IFERROR(MATCH(J470,J_BB,0),""))</f>
        <v>706</v>
      </c>
      <c r="J470" s="66" t="n">
        <v>461</v>
      </c>
      <c r="K470" s="5"/>
    </row>
    <row r="471" customFormat="false" ht="15" hidden="false" customHeight="false" outlineLevel="0" collapsed="false">
      <c r="A471" s="5" t="n">
        <f aca="false">IF(I471="","",J471)</f>
        <v>462</v>
      </c>
      <c r="B471" s="83" t="n">
        <f aca="false">IF(I471="","",INDEX(J_TGL,I471))</f>
        <v>46171</v>
      </c>
      <c r="C471" s="5" t="str">
        <f aca="false">IF(I471="","",INDEX(J_NO,I471))</f>
        <v>JU-0707</v>
      </c>
      <c r="D471" s="5" t="str">
        <f aca="false">IF(I471="","",INDEX(J_KET,I471))</f>
        <v>Pendapatan bunga dari seabank</v>
      </c>
      <c r="E471" s="5" t="str">
        <f aca="false">IF(I471="","",IF(INDEX(J_DEB,I471)=$C$3,INDEX(J_KRE,I471),INDEX(J_DEB,I471)))</f>
        <v>Pendapatan Lainnya</v>
      </c>
      <c r="F471" s="44" t="n">
        <f aca="false">IF(I471="","",IF(INDEX(J_DEB,I471)=$C$3,INDEX(J_NOM,I471),0))</f>
        <v>16758</v>
      </c>
      <c r="G471" s="44" t="n">
        <f aca="false">IF(I471="","",IF(INDEX(J_KRE,I471)=$C$3,INDEX(J_NOM,I471),0))</f>
        <v>0</v>
      </c>
      <c r="H471" s="44" t="n">
        <f aca="false">IF(I471="","",N(H470)+IF($C$5="Debet",F471-G471,G471-F471))</f>
        <v>-63110068</v>
      </c>
      <c r="I471" s="66" t="n">
        <f aca="false">IF(J471&gt;$K$1,"",IFERROR(MATCH(J471,J_BB,0),""))</f>
        <v>707</v>
      </c>
      <c r="J471" s="66" t="n">
        <v>462</v>
      </c>
      <c r="K471" s="5"/>
    </row>
    <row r="472" customFormat="false" ht="15" hidden="false" customHeight="false" outlineLevel="0" collapsed="false">
      <c r="A472" s="5" t="n">
        <f aca="false">IF(I472="","",J472)</f>
        <v>463</v>
      </c>
      <c r="B472" s="83" t="n">
        <f aca="false">IF(I472="","",INDEX(J_TGL,I472))</f>
        <v>46171</v>
      </c>
      <c r="C472" s="5" t="str">
        <f aca="false">IF(I472="","",INDEX(J_NO,I472))</f>
        <v>JU-0708</v>
      </c>
      <c r="D472" s="5" t="str">
        <f aca="false">IF(I472="","",INDEX(J_KET,I472))</f>
        <v>Pindah dana tunai ke BCA (FM tukar uang)</v>
      </c>
      <c r="E472" s="5" t="str">
        <f aca="false">IF(I472="","",IF(INDEX(J_DEB,I472)=$C$3,INDEX(J_KRE,I472),INDEX(J_DEB,I472)))</f>
        <v>Kas Tunai</v>
      </c>
      <c r="F472" s="44" t="n">
        <f aca="false">IF(I472="","",IF(INDEX(J_DEB,I472)=$C$3,INDEX(J_NOM,I472),0))</f>
        <v>9000000</v>
      </c>
      <c r="G472" s="44" t="n">
        <f aca="false">IF(I472="","",IF(INDEX(J_KRE,I472)=$C$3,INDEX(J_NOM,I472),0))</f>
        <v>0</v>
      </c>
      <c r="H472" s="44" t="n">
        <f aca="false">IF(I472="","",N(H471)+IF($C$5="Debet",F472-G472,G472-F472))</f>
        <v>-54110068</v>
      </c>
      <c r="I472" s="66" t="n">
        <f aca="false">IF(J472&gt;$K$1,"",IFERROR(MATCH(J472,J_BB,0),""))</f>
        <v>708</v>
      </c>
      <c r="J472" s="66" t="n">
        <v>463</v>
      </c>
      <c r="K472" s="5"/>
    </row>
    <row r="473" customFormat="false" ht="15" hidden="false" customHeight="false" outlineLevel="0" collapsed="false">
      <c r="A473" s="5" t="n">
        <f aca="false">IF(I473="","",J473)</f>
        <v>464</v>
      </c>
      <c r="B473" s="83" t="n">
        <f aca="false">IF(I473="","",INDEX(J_TGL,I473))</f>
        <v>46171</v>
      </c>
      <c r="C473" s="5" t="str">
        <f aca="false">IF(I473="","",INDEX(J_NO,I473))</f>
        <v>JU-0709</v>
      </c>
      <c r="D473" s="5" t="str">
        <f aca="false">IF(I473="","",INDEX(J_KET,I473))</f>
        <v>18pcs tiramisu 2 batch tgl 20 &amp; 24 Mei</v>
      </c>
      <c r="E473" s="5" t="str">
        <f aca="false">IF(I473="","",IF(INDEX(J_DEB,I473)=$C$3,INDEX(J_KRE,I473),INDEX(J_DEB,I473)))</f>
        <v>Biaya Bahan Baku</v>
      </c>
      <c r="F473" s="44" t="n">
        <f aca="false">IF(I473="","",IF(INDEX(J_DEB,I473)=$C$3,INDEX(J_NOM,I473),0))</f>
        <v>0</v>
      </c>
      <c r="G473" s="44" t="n">
        <f aca="false">IF(I473="","",IF(INDEX(J_KRE,I473)=$C$3,INDEX(J_NOM,I473),0))</f>
        <v>240000</v>
      </c>
      <c r="H473" s="44" t="n">
        <f aca="false">IF(I473="","",N(H472)+IF($C$5="Debet",F473-G473,G473-F473))</f>
        <v>-54350068</v>
      </c>
      <c r="I473" s="66" t="n">
        <f aca="false">IF(J473&gt;$K$1,"",IFERROR(MATCH(J473,J_BB,0),""))</f>
        <v>709</v>
      </c>
      <c r="J473" s="66" t="n">
        <v>464</v>
      </c>
      <c r="K473" s="5"/>
    </row>
    <row r="474" customFormat="false" ht="15" hidden="false" customHeight="false" outlineLevel="0" collapsed="false">
      <c r="A474" s="5" t="n">
        <f aca="false">IF(I474="","",J474)</f>
        <v>465</v>
      </c>
      <c r="B474" s="83" t="n">
        <f aca="false">IF(I474="","",INDEX(J_TGL,I474))</f>
        <v>46172</v>
      </c>
      <c r="C474" s="5" t="str">
        <f aca="false">IF(I474="","",INDEX(J_NO,I474))</f>
        <v>JU-0710</v>
      </c>
      <c r="D474" s="5" t="str">
        <f aca="false">IF(I474="","",INDEX(J_KET,I474))</f>
        <v>silica gel untuk simpan dried</v>
      </c>
      <c r="E474" s="5" t="str">
        <f aca="false">IF(I474="","",IF(INDEX(J_DEB,I474)=$C$3,INDEX(J_KRE,I474),INDEX(J_DEB,I474)))</f>
        <v>Biaya Pemeliharaan</v>
      </c>
      <c r="F474" s="44" t="n">
        <f aca="false">IF(I474="","",IF(INDEX(J_DEB,I474)=$C$3,INDEX(J_NOM,I474),0))</f>
        <v>0</v>
      </c>
      <c r="G474" s="44" t="n">
        <f aca="false">IF(I474="","",IF(INDEX(J_KRE,I474)=$C$3,INDEX(J_NOM,I474),0))</f>
        <v>10000</v>
      </c>
      <c r="H474" s="44" t="n">
        <f aca="false">IF(I474="","",N(H473)+IF($C$5="Debet",F474-G474,G474-F474))</f>
        <v>-54360068</v>
      </c>
      <c r="I474" s="66" t="n">
        <f aca="false">IF(J474&gt;$K$1,"",IFERROR(MATCH(J474,J_BB,0),""))</f>
        <v>710</v>
      </c>
      <c r="J474" s="66" t="n">
        <v>465</v>
      </c>
      <c r="K474" s="5"/>
    </row>
    <row r="475" customFormat="false" ht="15" hidden="false" customHeight="false" outlineLevel="0" collapsed="false">
      <c r="A475" s="5" t="n">
        <f aca="false">IF(I475="","",J475)</f>
        <v>466</v>
      </c>
      <c r="B475" s="83" t="n">
        <f aca="false">IF(I475="","",INDEX(J_TGL,I475))</f>
        <v>46172</v>
      </c>
      <c r="C475" s="5" t="str">
        <f aca="false">IF(I475="","",INDEX(J_NO,I475))</f>
        <v>JU-0712</v>
      </c>
      <c r="D475" s="5" t="str">
        <f aca="false">IF(I475="","",INDEX(J_KET,I475))</f>
        <v>DP pemasangan turbin ventilator x 3 unit</v>
      </c>
      <c r="E475" s="5" t="str">
        <f aca="false">IF(I475="","",IF(INDEX(J_DEB,I475)=$C$3,INDEX(J_KRE,I475),INDEX(J_DEB,I475)))</f>
        <v>Biaya Pemeliharaan</v>
      </c>
      <c r="F475" s="44" t="n">
        <f aca="false">IF(I475="","",IF(INDEX(J_DEB,I475)=$C$3,INDEX(J_NOM,I475),0))</f>
        <v>0</v>
      </c>
      <c r="G475" s="44" t="n">
        <f aca="false">IF(I475="","",IF(INDEX(J_KRE,I475)=$C$3,INDEX(J_NOM,I475),0))</f>
        <v>3000000</v>
      </c>
      <c r="H475" s="44" t="n">
        <f aca="false">IF(I475="","",N(H474)+IF($C$5="Debet",F475-G475,G475-F475))</f>
        <v>-57360068</v>
      </c>
      <c r="I475" s="66" t="n">
        <f aca="false">IF(J475&gt;$K$1,"",IFERROR(MATCH(J475,J_BB,0),""))</f>
        <v>712</v>
      </c>
      <c r="J475" s="66" t="n">
        <v>466</v>
      </c>
      <c r="K475" s="5"/>
    </row>
    <row r="476" customFormat="false" ht="15" hidden="false" customHeight="false" outlineLevel="0" collapsed="false">
      <c r="A476" s="5" t="n">
        <f aca="false">IF(I476="","",J476)</f>
        <v>467</v>
      </c>
      <c r="B476" s="83" t="n">
        <f aca="false">IF(I476="","",INDEX(J_TGL,I476))</f>
        <v>46172</v>
      </c>
      <c r="C476" s="5" t="str">
        <f aca="false">IF(I476="","",INDEX(J_NO,I476))</f>
        <v>JU-0713</v>
      </c>
      <c r="D476" s="5" t="str">
        <f aca="false">IF(I476="","",INDEX(J_KET,I476))</f>
        <v>cuci servis AC kantor x 1 unit</v>
      </c>
      <c r="E476" s="5" t="str">
        <f aca="false">IF(I476="","",IF(INDEX(J_DEB,I476)=$C$3,INDEX(J_KRE,I476),INDEX(J_DEB,I476)))</f>
        <v>Biaya Pemeliharaan</v>
      </c>
      <c r="F476" s="44" t="n">
        <f aca="false">IF(I476="","",IF(INDEX(J_DEB,I476)=$C$3,INDEX(J_NOM,I476),0))</f>
        <v>0</v>
      </c>
      <c r="G476" s="44" t="n">
        <f aca="false">IF(I476="","",IF(INDEX(J_KRE,I476)=$C$3,INDEX(J_NOM,I476),0))</f>
        <v>70000</v>
      </c>
      <c r="H476" s="44" t="n">
        <f aca="false">IF(I476="","",N(H475)+IF($C$5="Debet",F476-G476,G476-F476))</f>
        <v>-57430068</v>
      </c>
      <c r="I476" s="66" t="n">
        <f aca="false">IF(J476&gt;$K$1,"",IFERROR(MATCH(J476,J_BB,0),""))</f>
        <v>713</v>
      </c>
      <c r="J476" s="66" t="n">
        <v>467</v>
      </c>
      <c r="K476" s="5"/>
    </row>
    <row r="477" customFormat="false" ht="15" hidden="false" customHeight="false" outlineLevel="0" collapsed="false">
      <c r="A477" s="5" t="n">
        <f aca="false">IF(I477="","",J477)</f>
        <v>468</v>
      </c>
      <c r="B477" s="83" t="n">
        <f aca="false">IF(I477="","",INDEX(J_TGL,I477))</f>
        <v>46172</v>
      </c>
      <c r="C477" s="5" t="str">
        <f aca="false">IF(I477="","",INDEX(J_NO,I477))</f>
        <v>JU-0714</v>
      </c>
      <c r="D477" s="5" t="str">
        <f aca="false">IF(I477="","",INDEX(J_KET,I477))</f>
        <v>pembersih kit device 6in1</v>
      </c>
      <c r="E477" s="5" t="str">
        <f aca="false">IF(I477="","",IF(INDEX(J_DEB,I477)=$C$3,INDEX(J_KRE,I477),INDEX(J_DEB,I477)))</f>
        <v>Biaya Pemeliharaan</v>
      </c>
      <c r="F477" s="44" t="n">
        <f aca="false">IF(I477="","",IF(INDEX(J_DEB,I477)=$C$3,INDEX(J_NOM,I477),0))</f>
        <v>0</v>
      </c>
      <c r="G477" s="44" t="n">
        <f aca="false">IF(I477="","",IF(INDEX(J_KRE,I477)=$C$3,INDEX(J_NOM,I477),0))</f>
        <v>30599</v>
      </c>
      <c r="H477" s="44" t="n">
        <f aca="false">IF(I477="","",N(H476)+IF($C$5="Debet",F477-G477,G477-F477))</f>
        <v>-57460667</v>
      </c>
      <c r="I477" s="66" t="n">
        <f aca="false">IF(J477&gt;$K$1,"",IFERROR(MATCH(J477,J_BB,0),""))</f>
        <v>714</v>
      </c>
      <c r="J477" s="66" t="n">
        <v>468</v>
      </c>
      <c r="K477" s="5"/>
    </row>
    <row r="478" customFormat="false" ht="15" hidden="false" customHeight="false" outlineLevel="0" collapsed="false">
      <c r="A478" s="5" t="n">
        <f aca="false">IF(I478="","",J478)</f>
        <v>469</v>
      </c>
      <c r="B478" s="83" t="n">
        <f aca="false">IF(I478="","",INDEX(J_TGL,I478))</f>
        <v>46172</v>
      </c>
      <c r="C478" s="5" t="str">
        <f aca="false">IF(I478="","",INDEX(J_NO,I478))</f>
        <v>JU-0715</v>
      </c>
      <c r="D478" s="5" t="str">
        <f aca="false">IF(I478="","",INDEX(J_KET,I478))</f>
        <v>Buah dan chili flakes titipane Belicia</v>
      </c>
      <c r="E478" s="5" t="str">
        <f aca="false">IF(I478="","",IF(INDEX(J_DEB,I478)=$C$3,INDEX(J_KRE,I478),INDEX(J_DEB,I478)))</f>
        <v>Biaya Bahan Baku</v>
      </c>
      <c r="F478" s="44" t="n">
        <f aca="false">IF(I478="","",IF(INDEX(J_DEB,I478)=$C$3,INDEX(J_NOM,I478),0))</f>
        <v>0</v>
      </c>
      <c r="G478" s="44" t="n">
        <f aca="false">IF(I478="","",IF(INDEX(J_KRE,I478)=$C$3,INDEX(J_NOM,I478),0))</f>
        <v>1022000</v>
      </c>
      <c r="H478" s="44" t="n">
        <f aca="false">IF(I478="","",N(H477)+IF($C$5="Debet",F478-G478,G478-F478))</f>
        <v>-58482667</v>
      </c>
      <c r="I478" s="66" t="n">
        <f aca="false">IF(J478&gt;$K$1,"",IFERROR(MATCH(J478,J_BB,0),""))</f>
        <v>715</v>
      </c>
      <c r="J478" s="66" t="n">
        <v>469</v>
      </c>
      <c r="K478" s="5"/>
    </row>
    <row r="479" customFormat="false" ht="15" hidden="false" customHeight="false" outlineLevel="0" collapsed="false">
      <c r="A479" s="5" t="n">
        <f aca="false">IF(I479="","",J479)</f>
        <v>470</v>
      </c>
      <c r="B479" s="83" t="n">
        <f aca="false">IF(I479="","",INDEX(J_TGL,I479))</f>
        <v>46172</v>
      </c>
      <c r="C479" s="5" t="str">
        <f aca="false">IF(I479="","",INDEX(J_NO,I479))</f>
        <v>JU-0716</v>
      </c>
      <c r="D479" s="5" t="str">
        <f aca="false">IF(I479="","",INDEX(J_KET,I479))</f>
        <v>Biaya transfer flip</v>
      </c>
      <c r="E479" s="5" t="str">
        <f aca="false">IF(I479="","",IF(INDEX(J_DEB,I479)=$C$3,INDEX(J_KRE,I479),INDEX(J_DEB,I479)))</f>
        <v>Biaya Lainnya</v>
      </c>
      <c r="F479" s="44" t="n">
        <f aca="false">IF(I479="","",IF(INDEX(J_DEB,I479)=$C$3,INDEX(J_NOM,I479),0))</f>
        <v>0</v>
      </c>
      <c r="G479" s="44" t="n">
        <f aca="false">IF(I479="","",IF(INDEX(J_KRE,I479)=$C$3,INDEX(J_NOM,I479),0))</f>
        <v>325</v>
      </c>
      <c r="H479" s="44" t="n">
        <f aca="false">IF(I479="","",N(H478)+IF($C$5="Debet",F479-G479,G479-F479))</f>
        <v>-58482992</v>
      </c>
      <c r="I479" s="66" t="n">
        <f aca="false">IF(J479&gt;$K$1,"",IFERROR(MATCH(J479,J_BB,0),""))</f>
        <v>716</v>
      </c>
      <c r="J479" s="66" t="n">
        <v>470</v>
      </c>
      <c r="K479" s="5"/>
    </row>
    <row r="480" customFormat="false" ht="15" hidden="false" customHeight="false" outlineLevel="0" collapsed="false">
      <c r="A480" s="5" t="n">
        <f aca="false">IF(I480="","",J480)</f>
        <v>471</v>
      </c>
      <c r="B480" s="83" t="n">
        <f aca="false">IF(I480="","",INDEX(J_TGL,I480))</f>
        <v>46173</v>
      </c>
      <c r="C480" s="5" t="str">
        <f aca="false">IF(I480="","",INDEX(J_NO,I480))</f>
        <v>JU-0717</v>
      </c>
      <c r="D480" s="5" t="str">
        <f aca="false">IF(I480="","",INDEX(J_KET,I480))</f>
        <v>Pindah dana tunai ke BCA (Bu Istu tukar uang)</v>
      </c>
      <c r="E480" s="5" t="str">
        <f aca="false">IF(I480="","",IF(INDEX(J_DEB,I480)=$C$3,INDEX(J_KRE,I480),INDEX(J_DEB,I480)))</f>
        <v>Kas Tunai</v>
      </c>
      <c r="F480" s="44" t="n">
        <f aca="false">IF(I480="","",IF(INDEX(J_DEB,I480)=$C$3,INDEX(J_NOM,I480),0))</f>
        <v>400000</v>
      </c>
      <c r="G480" s="44" t="n">
        <f aca="false">IF(I480="","",IF(INDEX(J_KRE,I480)=$C$3,INDEX(J_NOM,I480),0))</f>
        <v>0</v>
      </c>
      <c r="H480" s="44" t="n">
        <f aca="false">IF(I480="","",N(H479)+IF($C$5="Debet",F480-G480,G480-F480))</f>
        <v>-58082992</v>
      </c>
      <c r="I480" s="66" t="n">
        <f aca="false">IF(J480&gt;$K$1,"",IFERROR(MATCH(J480,J_BB,0),""))</f>
        <v>717</v>
      </c>
      <c r="J480" s="66" t="n">
        <v>471</v>
      </c>
      <c r="K480" s="5"/>
    </row>
    <row r="481" customFormat="false" ht="15" hidden="false" customHeight="false" outlineLevel="0" collapsed="false">
      <c r="A481" s="5" t="n">
        <f aca="false">IF(I481="","",J481)</f>
        <v>472</v>
      </c>
      <c r="B481" s="83" t="n">
        <f aca="false">IF(I481="","",INDEX(J_TGL,I481))</f>
        <v>46173</v>
      </c>
      <c r="C481" s="5" t="str">
        <f aca="false">IF(I481="","",INDEX(J_NO,I481))</f>
        <v>JU-0718</v>
      </c>
      <c r="D481" s="5" t="str">
        <f aca="false">IF(I481="","",INDEX(J_KET,I481))</f>
        <v>Pembayaran nasi gudeg berkah 50box</v>
      </c>
      <c r="E481" s="5" t="str">
        <f aca="false">IF(I481="","",IF(INDEX(J_DEB,I481)=$C$3,INDEX(J_KRE,I481),INDEX(J_DEB,I481)))</f>
        <v>Dana Sosial &amp; CSR</v>
      </c>
      <c r="F481" s="44" t="n">
        <f aca="false">IF(I481="","",IF(INDEX(J_DEB,I481)=$C$3,INDEX(J_NOM,I481),0))</f>
        <v>0</v>
      </c>
      <c r="G481" s="44" t="n">
        <f aca="false">IF(I481="","",IF(INDEX(J_KRE,I481)=$C$3,INDEX(J_NOM,I481),0))</f>
        <v>850000</v>
      </c>
      <c r="H481" s="44" t="n">
        <f aca="false">IF(I481="","",N(H480)+IF($C$5="Debet",F481-G481,G481-F481))</f>
        <v>-58932992</v>
      </c>
      <c r="I481" s="66" t="n">
        <f aca="false">IF(J481&gt;$K$1,"",IFERROR(MATCH(J481,J_BB,0),""))</f>
        <v>718</v>
      </c>
      <c r="J481" s="66" t="n">
        <v>472</v>
      </c>
      <c r="K481" s="5"/>
    </row>
    <row r="482" customFormat="false" ht="15" hidden="false" customHeight="false" outlineLevel="0" collapsed="false">
      <c r="A482" s="5" t="n">
        <f aca="false">IF(I482="","",J482)</f>
        <v>473</v>
      </c>
      <c r="B482" s="83" t="n">
        <f aca="false">IF(I482="","",INDEX(J_TGL,I482))</f>
        <v>46173</v>
      </c>
      <c r="C482" s="5" t="str">
        <f aca="false">IF(I482="","",INDEX(J_NO,I482))</f>
        <v>JU-0719</v>
      </c>
      <c r="D482" s="5" t="str">
        <f aca="false">IF(I482="","",INDEX(J_KET,I482))</f>
        <v>Pengeluaran pajak bunga rekening bank BCA</v>
      </c>
      <c r="E482" s="5" t="str">
        <f aca="false">IF(I482="","",IF(INDEX(J_DEB,I482)=$C$3,INDEX(J_KRE,I482),INDEX(J_DEB,I482)))</f>
        <v>Biaya Lainnya</v>
      </c>
      <c r="F482" s="44" t="n">
        <f aca="false">IF(I482="","",IF(INDEX(J_DEB,I482)=$C$3,INDEX(J_NOM,I482),0))</f>
        <v>0</v>
      </c>
      <c r="G482" s="44" t="n">
        <f aca="false">IF(I482="","",IF(INDEX(J_KRE,I482)=$C$3,INDEX(J_NOM,I482),0))</f>
        <v>117</v>
      </c>
      <c r="H482" s="44" t="n">
        <f aca="false">IF(I482="","",N(H481)+IF($C$5="Debet",F482-G482,G482-F482))</f>
        <v>-58933109</v>
      </c>
      <c r="I482" s="66" t="n">
        <f aca="false">IF(J482&gt;$K$1,"",IFERROR(MATCH(J482,J_BB,0),""))</f>
        <v>719</v>
      </c>
      <c r="J482" s="66" t="n">
        <v>473</v>
      </c>
      <c r="K482" s="5"/>
    </row>
    <row r="483" customFormat="false" ht="15" hidden="false" customHeight="false" outlineLevel="0" collapsed="false">
      <c r="A483" s="5" t="n">
        <f aca="false">IF(I483="","",J483)</f>
        <v>474</v>
      </c>
      <c r="B483" s="83" t="n">
        <f aca="false">IF(I483="","",INDEX(J_TGL,I483))</f>
        <v>46173</v>
      </c>
      <c r="C483" s="5" t="str">
        <f aca="false">IF(I483="","",INDEX(J_NO,I483))</f>
        <v>JU-0720</v>
      </c>
      <c r="D483" s="5" t="str">
        <f aca="false">IF(I483="","",INDEX(J_KET,I483))</f>
        <v>Pendapatan bunga rekening bank BCA</v>
      </c>
      <c r="E483" s="5" t="str">
        <f aca="false">IF(I483="","",IF(INDEX(J_DEB,I483)=$C$3,INDEX(J_KRE,I483),INDEX(J_DEB,I483)))</f>
        <v>Pendapatan Lainnya</v>
      </c>
      <c r="F483" s="44" t="n">
        <f aca="false">IF(I483="","",IF(INDEX(J_DEB,I483)=$C$3,INDEX(J_NOM,I483),0))</f>
        <v>581</v>
      </c>
      <c r="G483" s="44" t="n">
        <f aca="false">IF(I483="","",IF(INDEX(J_KRE,I483)=$C$3,INDEX(J_NOM,I483),0))</f>
        <v>0</v>
      </c>
      <c r="H483" s="44" t="n">
        <f aca="false">IF(I483="","",N(H482)+IF($C$5="Debet",F483-G483,G483-F483))</f>
        <v>-58932528</v>
      </c>
      <c r="I483" s="66" t="n">
        <f aca="false">IF(J483&gt;$K$1,"",IFERROR(MATCH(J483,J_BB,0),""))</f>
        <v>720</v>
      </c>
      <c r="J483" s="66" t="n">
        <v>474</v>
      </c>
      <c r="K483" s="5"/>
    </row>
    <row r="484" customFormat="false" ht="15" hidden="false" customHeight="false" outlineLevel="0" collapsed="false">
      <c r="A484" s="5" t="n">
        <f aca="false">IF(I484="","",J484)</f>
        <v>475</v>
      </c>
      <c r="B484" s="83" t="n">
        <f aca="false">IF(I484="","",INDEX(J_TGL,I484))</f>
        <v>46173</v>
      </c>
      <c r="C484" s="5" t="str">
        <f aca="false">IF(I484="","",INDEX(J_NO,I484))</f>
        <v>JU-0721</v>
      </c>
      <c r="D484" s="5" t="str">
        <f aca="false">IF(I484="","",INDEX(J_KET,I484))</f>
        <v>koreksi pendapatan bunga rekening bank BCA</v>
      </c>
      <c r="E484" s="5" t="str">
        <f aca="false">IF(I484="","",IF(INDEX(J_DEB,I484)=$C$3,INDEX(J_KRE,I484),INDEX(J_DEB,I484)))</f>
        <v>Pendapatan Lainnya</v>
      </c>
      <c r="F484" s="44" t="n">
        <f aca="false">IF(I484="","",IF(INDEX(J_DEB,I484)=$C$3,INDEX(J_NOM,I484),0))</f>
        <v>5</v>
      </c>
      <c r="G484" s="44" t="n">
        <f aca="false">IF(I484="","",IF(INDEX(J_KRE,I484)=$C$3,INDEX(J_NOM,I484),0))</f>
        <v>0</v>
      </c>
      <c r="H484" s="44" t="n">
        <f aca="false">IF(I484="","",N(H483)+IF($C$5="Debet",F484-G484,G484-F484))</f>
        <v>-58932523</v>
      </c>
      <c r="I484" s="66" t="n">
        <f aca="false">IF(J484&gt;$K$1,"",IFERROR(MATCH(J484,J_BB,0),""))</f>
        <v>721</v>
      </c>
      <c r="J484" s="66" t="n">
        <v>475</v>
      </c>
      <c r="K484" s="5"/>
    </row>
    <row r="485" customFormat="false" ht="15" hidden="false" customHeight="false" outlineLevel="0" collapsed="false">
      <c r="A485" s="5" t="n">
        <f aca="false">IF(I485="","",J485)</f>
        <v>476</v>
      </c>
      <c r="B485" s="83" t="n">
        <f aca="false">IF(I485="","",INDEX(J_TGL,I485))</f>
        <v>46173</v>
      </c>
      <c r="C485" s="5" t="str">
        <f aca="false">IF(I485="","",INDEX(J_NO,I485))</f>
        <v>JU-0722</v>
      </c>
      <c r="D485" s="5" t="str">
        <f aca="false">IF(I485="","",INDEX(J_KET,I485))</f>
        <v>paper cup hot 8oz</v>
      </c>
      <c r="E485" s="5" t="str">
        <f aca="false">IF(I485="","",IF(INDEX(J_DEB,I485)=$C$3,INDEX(J_KRE,I485),INDEX(J_DEB,I485)))</f>
        <v>Biaya Penyajian</v>
      </c>
      <c r="F485" s="44" t="n">
        <f aca="false">IF(I485="","",IF(INDEX(J_DEB,I485)=$C$3,INDEX(J_NOM,I485),0))</f>
        <v>0</v>
      </c>
      <c r="G485" s="44" t="n">
        <f aca="false">IF(I485="","",IF(INDEX(J_KRE,I485)=$C$3,INDEX(J_NOM,I485),0))</f>
        <v>62000</v>
      </c>
      <c r="H485" s="44" t="n">
        <f aca="false">IF(I485="","",N(H484)+IF($C$5="Debet",F485-G485,G485-F485))</f>
        <v>-58994523</v>
      </c>
      <c r="I485" s="66" t="n">
        <f aca="false">IF(J485&gt;$K$1,"",IFERROR(MATCH(J485,J_BB,0),""))</f>
        <v>722</v>
      </c>
      <c r="J485" s="66" t="n">
        <v>476</v>
      </c>
      <c r="K485" s="5"/>
    </row>
    <row r="486" customFormat="false" ht="15" hidden="false" customHeight="false" outlineLevel="0" collapsed="false">
      <c r="A486" s="5" t="n">
        <f aca="false">IF(I486="","",J486)</f>
        <v>477</v>
      </c>
      <c r="B486" s="83" t="n">
        <f aca="false">IF(I486="","",INDEX(J_TGL,I486))</f>
        <v>46173</v>
      </c>
      <c r="C486" s="5" t="str">
        <f aca="false">IF(I486="","",INDEX(J_NO,I486))</f>
        <v>JU-0726</v>
      </c>
      <c r="D486" s="5" t="str">
        <f aca="false">IF(I486="","",INDEX(J_KET,I486))</f>
        <v>Menerima pelunasan piutang Einstein tagihan Mei nota Kopi Parang</v>
      </c>
      <c r="E486" s="5" t="str">
        <f aca="false">IF(I486="","",IF(INDEX(J_DEB,I486)=$C$3,INDEX(J_KRE,I486),INDEX(J_DEB,I486)))</f>
        <v>Piutang Lainnya</v>
      </c>
      <c r="F486" s="44" t="n">
        <f aca="false">IF(I486="","",IF(INDEX(J_DEB,I486)=$C$3,INDEX(J_NOM,I486),0))</f>
        <v>320000</v>
      </c>
      <c r="G486" s="44" t="n">
        <f aca="false">IF(I486="","",IF(INDEX(J_KRE,I486)=$C$3,INDEX(J_NOM,I486),0))</f>
        <v>0</v>
      </c>
      <c r="H486" s="44" t="n">
        <f aca="false">IF(I486="","",N(H485)+IF($C$5="Debet",F486-G486,G486-F486))</f>
        <v>-58674523</v>
      </c>
      <c r="I486" s="66" t="n">
        <f aca="false">IF(J486&gt;$K$1,"",IFERROR(MATCH(J486,J_BB,0),""))</f>
        <v>726</v>
      </c>
      <c r="J486" s="66" t="n">
        <v>477</v>
      </c>
      <c r="K486" s="5"/>
    </row>
    <row r="487" customFormat="false" ht="15" hidden="false" customHeight="false" outlineLevel="0" collapsed="false">
      <c r="A487" s="5" t="n">
        <f aca="false">IF(I487="","",J487)</f>
        <v>478</v>
      </c>
      <c r="B487" s="83" t="n">
        <f aca="false">IF(I487="","",INDEX(J_TGL,I487))</f>
        <v>46173</v>
      </c>
      <c r="C487" s="5" t="str">
        <f aca="false">IF(I487="","",INDEX(J_NO,I487))</f>
        <v>JU-0727</v>
      </c>
      <c r="D487" s="5" t="str">
        <f aca="false">IF(I487="","",INDEX(J_KET,I487))</f>
        <v>Menerima pelunasan Einstein order nasi gudeg 20 box</v>
      </c>
      <c r="E487" s="5" t="str">
        <f aca="false">IF(I487="","",IF(INDEX(J_DEB,I487)=$C$3,INDEX(J_KRE,I487),INDEX(J_DEB,I487)))</f>
        <v>Piutang Lainnya</v>
      </c>
      <c r="F487" s="44" t="n">
        <f aca="false">IF(I487="","",IF(INDEX(J_DEB,I487)=$C$3,INDEX(J_NOM,I487),0))</f>
        <v>228300</v>
      </c>
      <c r="G487" s="44" t="n">
        <f aca="false">IF(I487="","",IF(INDEX(J_KRE,I487)=$C$3,INDEX(J_NOM,I487),0))</f>
        <v>0</v>
      </c>
      <c r="H487" s="44" t="n">
        <f aca="false">IF(I487="","",N(H486)+IF($C$5="Debet",F487-G487,G487-F487))</f>
        <v>-58446223</v>
      </c>
      <c r="I487" s="66" t="n">
        <f aca="false">IF(J487&gt;$K$1,"",IFERROR(MATCH(J487,J_BB,0),""))</f>
        <v>727</v>
      </c>
      <c r="J487" s="66" t="n">
        <v>478</v>
      </c>
      <c r="K487" s="5"/>
    </row>
    <row r="488" customFormat="false" ht="15" hidden="false" customHeight="false" outlineLevel="0" collapsed="false">
      <c r="A488" s="5" t="n">
        <f aca="false">IF(I488="","",J488)</f>
        <v>479</v>
      </c>
      <c r="B488" s="83" t="n">
        <f aca="false">IF(I488="","",INDEX(J_TGL,I488))</f>
        <v>46173</v>
      </c>
      <c r="C488" s="5" t="str">
        <f aca="false">IF(I488="","",INDEX(J_NO,I488))</f>
        <v>JU-0728</v>
      </c>
      <c r="D488" s="5" t="str">
        <f aca="false">IF(I488="","",INDEX(J_KET,I488))</f>
        <v>Menerima pelunasan piutang Yantos (packing valve)</v>
      </c>
      <c r="E488" s="5" t="str">
        <f aca="false">IF(I488="","",IF(INDEX(J_DEB,I488)=$C$3,INDEX(J_KRE,I488),INDEX(J_DEB,I488)))</f>
        <v>Piutang Usaha Cafe</v>
      </c>
      <c r="F488" s="44" t="n">
        <f aca="false">IF(I488="","",IF(INDEX(J_DEB,I488)=$C$3,INDEX(J_NOM,I488),0))</f>
        <v>369822</v>
      </c>
      <c r="G488" s="44" t="n">
        <f aca="false">IF(I488="","",IF(INDEX(J_KRE,I488)=$C$3,INDEX(J_NOM,I488),0))</f>
        <v>0</v>
      </c>
      <c r="H488" s="44" t="n">
        <f aca="false">IF(I488="","",N(H487)+IF($C$5="Debet",F488-G488,G488-F488))</f>
        <v>-58076401</v>
      </c>
      <c r="I488" s="66" t="n">
        <f aca="false">IF(J488&gt;$K$1,"",IFERROR(MATCH(J488,J_BB,0),""))</f>
        <v>728</v>
      </c>
      <c r="J488" s="66" t="n">
        <v>479</v>
      </c>
      <c r="K488" s="5"/>
    </row>
    <row r="489" customFormat="false" ht="15" hidden="false" customHeight="false" outlineLevel="0" collapsed="false">
      <c r="A489" s="5" t="n">
        <f aca="false">IF(I489="","",J489)</f>
        <v>480</v>
      </c>
      <c r="B489" s="83" t="n">
        <f aca="false">IF(I489="","",INDEX(J_TGL,I489))</f>
        <v>46173</v>
      </c>
      <c r="C489" s="5" t="str">
        <f aca="false">IF(I489="","",INDEX(J_NO,I489))</f>
        <v>JU-0729</v>
      </c>
      <c r="D489" s="5" t="str">
        <f aca="false">IF(I489="","",INDEX(J_KET,I489))</f>
        <v>Menerima pelunasan piutang Yantos (kaleng beans)</v>
      </c>
      <c r="E489" s="5" t="str">
        <f aca="false">IF(I489="","",IF(INDEX(J_DEB,I489)=$C$3,INDEX(J_KRE,I489),INDEX(J_DEB,I489)))</f>
        <v>Piutang Usaha Cafe</v>
      </c>
      <c r="F489" s="44" t="n">
        <f aca="false">IF(I489="","",IF(INDEX(J_DEB,I489)=$C$3,INDEX(J_NOM,I489),0))</f>
        <v>328000</v>
      </c>
      <c r="G489" s="44" t="n">
        <f aca="false">IF(I489="","",IF(INDEX(J_KRE,I489)=$C$3,INDEX(J_NOM,I489),0))</f>
        <v>0</v>
      </c>
      <c r="H489" s="44" t="n">
        <f aca="false">IF(I489="","",N(H488)+IF($C$5="Debet",F489-G489,G489-F489))</f>
        <v>-57748401</v>
      </c>
      <c r="I489" s="66" t="n">
        <f aca="false">IF(J489&gt;$K$1,"",IFERROR(MATCH(J489,J_BB,0),""))</f>
        <v>729</v>
      </c>
      <c r="J489" s="66" t="n">
        <v>480</v>
      </c>
      <c r="K489" s="5"/>
    </row>
    <row r="490" customFormat="false" ht="15" hidden="false" customHeight="false" outlineLevel="0" collapsed="false">
      <c r="A490" s="5" t="n">
        <f aca="false">IF(I490="","",J490)</f>
        <v>481</v>
      </c>
      <c r="B490" s="83" t="n">
        <f aca="false">IF(I490="","",INDEX(J_TGL,I490))</f>
        <v>46173</v>
      </c>
      <c r="C490" s="5" t="str">
        <f aca="false">IF(I490="","",INDEX(J_NO,I490))</f>
        <v>JU-0730</v>
      </c>
      <c r="D490" s="5" t="str">
        <f aca="false">IF(I490="","",INDEX(J_KET,I490))</f>
        <v>Tagihan listrik Mei 2026</v>
      </c>
      <c r="E490" s="5" t="str">
        <f aca="false">IF(I490="","",IF(INDEX(J_DEB,I490)=$C$3,INDEX(J_KRE,I490),INDEX(J_DEB,I490)))</f>
        <v>Biaya Tagihan Bulanan</v>
      </c>
      <c r="F490" s="44" t="n">
        <f aca="false">IF(I490="","",IF(INDEX(J_DEB,I490)=$C$3,INDEX(J_NOM,I490),0))</f>
        <v>0</v>
      </c>
      <c r="G490" s="44" t="n">
        <f aca="false">IF(I490="","",IF(INDEX(J_KRE,I490)=$C$3,INDEX(J_NOM,I490),0))</f>
        <v>4413810</v>
      </c>
      <c r="H490" s="44" t="n">
        <f aca="false">IF(I490="","",N(H489)+IF($C$5="Debet",F490-G490,G490-F490))</f>
        <v>-62162211</v>
      </c>
      <c r="I490" s="66" t="n">
        <f aca="false">IF(J490&gt;$K$1,"",IFERROR(MATCH(J490,J_BB,0),""))</f>
        <v>730</v>
      </c>
      <c r="J490" s="66" t="n">
        <v>481</v>
      </c>
      <c r="K490" s="5"/>
    </row>
    <row r="491" customFormat="false" ht="15" hidden="false" customHeight="false" outlineLevel="0" collapsed="false">
      <c r="A491" s="5" t="n">
        <f aca="false">IF(I491="","",J491)</f>
        <v>482</v>
      </c>
      <c r="B491" s="83" t="n">
        <f aca="false">IF(I491="","",INDEX(J_TGL,I491))</f>
        <v>46173</v>
      </c>
      <c r="C491" s="5" t="str">
        <f aca="false">IF(I491="","",INDEX(J_NO,I491))</f>
        <v>JU-0731</v>
      </c>
      <c r="D491" s="5" t="str">
        <f aca="false">IF(I491="","",INDEX(J_KET,I491))</f>
        <v>Tagihan telepon Mei 2026</v>
      </c>
      <c r="E491" s="5" t="str">
        <f aca="false">IF(I491="","",IF(INDEX(J_DEB,I491)=$C$3,INDEX(J_KRE,I491),INDEX(J_DEB,I491)))</f>
        <v>Biaya Tagihan Bulanan</v>
      </c>
      <c r="F491" s="44" t="n">
        <f aca="false">IF(I491="","",IF(INDEX(J_DEB,I491)=$C$3,INDEX(J_NOM,I491),0))</f>
        <v>0</v>
      </c>
      <c r="G491" s="44" t="n">
        <f aca="false">IF(I491="","",IF(INDEX(J_KRE,I491)=$C$3,INDEX(J_NOM,I491),0))</f>
        <v>57391</v>
      </c>
      <c r="H491" s="44" t="n">
        <f aca="false">IF(I491="","",N(H490)+IF($C$5="Debet",F491-G491,G491-F491))</f>
        <v>-62219602</v>
      </c>
      <c r="I491" s="66" t="n">
        <f aca="false">IF(J491&gt;$K$1,"",IFERROR(MATCH(J491,J_BB,0),""))</f>
        <v>731</v>
      </c>
      <c r="J491" s="66" t="n">
        <v>482</v>
      </c>
      <c r="K491" s="5"/>
    </row>
    <row r="492" customFormat="false" ht="15" hidden="false" customHeight="false" outlineLevel="0" collapsed="false">
      <c r="A492" s="5" t="n">
        <f aca="false">IF(I492="","",J492)</f>
        <v>483</v>
      </c>
      <c r="B492" s="83" t="n">
        <f aca="false">IF(I492="","",INDEX(J_TGL,I492))</f>
        <v>46173</v>
      </c>
      <c r="C492" s="5" t="str">
        <f aca="false">IF(I492="","",INDEX(J_NO,I492))</f>
        <v>JU-0732</v>
      </c>
      <c r="D492" s="5" t="str">
        <f aca="false">IF(I492="","",INDEX(J_KET,I492))</f>
        <v>Tagihan internet Mei 2026</v>
      </c>
      <c r="E492" s="5" t="str">
        <f aca="false">IF(I492="","",IF(INDEX(J_DEB,I492)=$C$3,INDEX(J_KRE,I492),INDEX(J_DEB,I492)))</f>
        <v>Biaya Tagihan Bulanan</v>
      </c>
      <c r="F492" s="44" t="n">
        <f aca="false">IF(I492="","",IF(INDEX(J_DEB,I492)=$C$3,INDEX(J_NOM,I492),0))</f>
        <v>0</v>
      </c>
      <c r="G492" s="44" t="n">
        <f aca="false">IF(I492="","",IF(INDEX(J_KRE,I492)=$C$3,INDEX(J_NOM,I492),0))</f>
        <v>384450</v>
      </c>
      <c r="H492" s="44" t="n">
        <f aca="false">IF(I492="","",N(H491)+IF($C$5="Debet",F492-G492,G492-F492))</f>
        <v>-62604052</v>
      </c>
      <c r="I492" s="66" t="n">
        <f aca="false">IF(J492&gt;$K$1,"",IFERROR(MATCH(J492,J_BB,0),""))</f>
        <v>732</v>
      </c>
      <c r="J492" s="66" t="n">
        <v>483</v>
      </c>
      <c r="K492" s="5"/>
    </row>
    <row r="493" customFormat="false" ht="15" hidden="false" customHeight="false" outlineLevel="0" collapsed="false">
      <c r="A493" s="5" t="n">
        <f aca="false">IF(I493="","",J493)</f>
        <v>484</v>
      </c>
      <c r="B493" s="83" t="n">
        <f aca="false">IF(I493="","",INDEX(J_TGL,I493))</f>
        <v>46173</v>
      </c>
      <c r="C493" s="5" t="str">
        <f aca="false">IF(I493="","",INDEX(J_NO,I493))</f>
        <v>JU-0733</v>
      </c>
      <c r="D493" s="5" t="str">
        <f aca="false">IF(I493="","",INDEX(J_KET,I493))</f>
        <v>Pembayaran pajak restoran bulan Mei</v>
      </c>
      <c r="E493" s="5" t="str">
        <f aca="false">IF(I493="","",IF(INDEX(J_DEB,I493)=$C$3,INDEX(J_KRE,I493),INDEX(J_DEB,I493)))</f>
        <v>Pajak Restoran</v>
      </c>
      <c r="F493" s="44" t="n">
        <f aca="false">IF(I493="","",IF(INDEX(J_DEB,I493)=$C$3,INDEX(J_NOM,I493),0))</f>
        <v>0</v>
      </c>
      <c r="G493" s="44" t="n">
        <f aca="false">IF(I493="","",IF(INDEX(J_KRE,I493)=$C$3,INDEX(J_NOM,I493),0))</f>
        <v>2257000</v>
      </c>
      <c r="H493" s="44" t="n">
        <f aca="false">IF(I493="","",N(H492)+IF($C$5="Debet",F493-G493,G493-F493))</f>
        <v>-64861052</v>
      </c>
      <c r="I493" s="66" t="n">
        <f aca="false">IF(J493&gt;$K$1,"",IFERROR(MATCH(J493,J_BB,0),""))</f>
        <v>733</v>
      </c>
      <c r="J493" s="66" t="n">
        <v>484</v>
      </c>
      <c r="K493" s="5"/>
    </row>
    <row r="494" customFormat="false" ht="15" hidden="false" customHeight="false" outlineLevel="0" collapsed="false">
      <c r="A494" s="5" t="n">
        <f aca="false">IF(I494="","",J494)</f>
        <v>485</v>
      </c>
      <c r="B494" s="83" t="n">
        <f aca="false">IF(I494="","",INDEX(J_TGL,I494))</f>
        <v>46173</v>
      </c>
      <c r="C494" s="5" t="str">
        <f aca="false">IF(I494="","",INDEX(J_NO,I494))</f>
        <v>JU-0734</v>
      </c>
      <c r="D494" s="5" t="str">
        <f aca="false">IF(I494="","",INDEX(J_KET,I494))</f>
        <v>Tambahan biaya administrasi bank utk pembayaran pajak restoran</v>
      </c>
      <c r="E494" s="5" t="str">
        <f aca="false">IF(I494="","",IF(INDEX(J_DEB,I494)=$C$3,INDEX(J_KRE,I494),INDEX(J_DEB,I494)))</f>
        <v>Biaya Lainnya</v>
      </c>
      <c r="F494" s="44" t="n">
        <f aca="false">IF(I494="","",IF(INDEX(J_DEB,I494)=$C$3,INDEX(J_NOM,I494),0))</f>
        <v>0</v>
      </c>
      <c r="G494" s="44" t="n">
        <f aca="false">IF(I494="","",IF(INDEX(J_KRE,I494)=$C$3,INDEX(J_NOM,I494),0))</f>
        <v>5000</v>
      </c>
      <c r="H494" s="44" t="n">
        <f aca="false">IF(I494="","",N(H493)+IF($C$5="Debet",F494-G494,G494-F494))</f>
        <v>-64866052</v>
      </c>
      <c r="I494" s="66" t="n">
        <f aca="false">IF(J494&gt;$K$1,"",IFERROR(MATCH(J494,J_BB,0),""))</f>
        <v>734</v>
      </c>
      <c r="J494" s="66" t="n">
        <v>485</v>
      </c>
      <c r="K494" s="5"/>
    </row>
    <row r="495" customFormat="false" ht="15" hidden="false" customHeight="false" outlineLevel="0" collapsed="false">
      <c r="A495" s="5" t="n">
        <f aca="false">IF(I495="","",J495)</f>
        <v>486</v>
      </c>
      <c r="B495" s="83" t="n">
        <f aca="false">IF(I495="","",INDEX(J_TGL,I495))</f>
        <v>46173</v>
      </c>
      <c r="C495" s="5" t="str">
        <f aca="false">IF(I495="","",INDEX(J_NO,I495))</f>
        <v>JU-0738</v>
      </c>
      <c r="D495" s="5" t="str">
        <f aca="false">IF(I495="","",INDEX(J_KET,I495))</f>
        <v>Realisasi EDC/QRIS omzet bulan Mei</v>
      </c>
      <c r="E495" s="5" t="str">
        <f aca="false">IF(I495="","",IF(INDEX(J_DEB,I495)=$C$3,INDEX(J_KRE,I495),INDEX(J_DEB,I495)))</f>
        <v>Piutang Usaha Cafe</v>
      </c>
      <c r="F495" s="44" t="n">
        <f aca="false">IF(I495="","",IF(INDEX(J_DEB,I495)=$C$3,INDEX(J_NOM,I495),0))</f>
        <v>78701874</v>
      </c>
      <c r="G495" s="44" t="n">
        <f aca="false">IF(I495="","",IF(INDEX(J_KRE,I495)=$C$3,INDEX(J_NOM,I495),0))</f>
        <v>0</v>
      </c>
      <c r="H495" s="44" t="n">
        <f aca="false">IF(I495="","",N(H494)+IF($C$5="Debet",F495-G495,G495-F495))</f>
        <v>13835822</v>
      </c>
      <c r="I495" s="66" t="n">
        <f aca="false">IF(J495&gt;$K$1,"",IFERROR(MATCH(J495,J_BB,0),""))</f>
        <v>738</v>
      </c>
      <c r="J495" s="66" t="n">
        <v>486</v>
      </c>
      <c r="K495" s="5"/>
    </row>
    <row r="496" customFormat="false" ht="15" hidden="false" customHeight="false" outlineLevel="0" collapsed="false">
      <c r="A496" s="5" t="n">
        <f aca="false">IF(I496="","",J496)</f>
        <v>487</v>
      </c>
      <c r="B496" s="83" t="n">
        <f aca="false">IF(I496="","",INDEX(J_TGL,I496))</f>
        <v>46174</v>
      </c>
      <c r="C496" s="5" t="str">
        <f aca="false">IF(I496="","",INDEX(J_NO,I496))</f>
        <v>JU-0745</v>
      </c>
      <c r="D496" s="5" t="str">
        <f aca="false">IF(I496="","",INDEX(J_KET,I496))</f>
        <v>Biaya admin bank BCA</v>
      </c>
      <c r="E496" s="5" t="str">
        <f aca="false">IF(I496="","",IF(INDEX(J_DEB,I496)=$C$3,INDEX(J_KRE,I496),INDEX(J_DEB,I496)))</f>
        <v>Biaya Lainnya</v>
      </c>
      <c r="F496" s="44" t="n">
        <f aca="false">IF(I496="","",IF(INDEX(J_DEB,I496)=$C$3,INDEX(J_NOM,I496),0))</f>
        <v>0</v>
      </c>
      <c r="G496" s="44" t="n">
        <f aca="false">IF(I496="","",IF(INDEX(J_KRE,I496)=$C$3,INDEX(J_NOM,I496),0))</f>
        <v>10000</v>
      </c>
      <c r="H496" s="44" t="n">
        <f aca="false">IF(I496="","",N(H495)+IF($C$5="Debet",F496-G496,G496-F496))</f>
        <v>13825822</v>
      </c>
      <c r="I496" s="66" t="n">
        <f aca="false">IF(J496&gt;$K$1,"",IFERROR(MATCH(J496,J_BB,0),""))</f>
        <v>745</v>
      </c>
      <c r="J496" s="66" t="n">
        <v>487</v>
      </c>
      <c r="K496" s="5"/>
    </row>
    <row r="497" customFormat="false" ht="15" hidden="false" customHeight="false" outlineLevel="0" collapsed="false">
      <c r="A497" s="5" t="n">
        <f aca="false">IF(I497="","",J497)</f>
        <v>488</v>
      </c>
      <c r="B497" s="83" t="n">
        <f aca="false">IF(I497="","",INDEX(J_TGL,I497))</f>
        <v>46174</v>
      </c>
      <c r="C497" s="5" t="str">
        <f aca="false">IF(I497="","",INDEX(J_NO,I497))</f>
        <v>JU-0746</v>
      </c>
      <c r="D497" s="5" t="str">
        <f aca="false">IF(I497="","",INDEX(J_KET,I497))</f>
        <v>cangkir 220ml Alicia x 1 pc</v>
      </c>
      <c r="E497" s="5" t="str">
        <f aca="false">IF(I497="","",IF(INDEX(J_DEB,I497)=$C$3,INDEX(J_KRE,I497),INDEX(J_DEB,I497)))</f>
        <v>Biaya Penyajian</v>
      </c>
      <c r="F497" s="44" t="n">
        <f aca="false">IF(I497="","",IF(INDEX(J_DEB,I497)=$C$3,INDEX(J_NOM,I497),0))</f>
        <v>0</v>
      </c>
      <c r="G497" s="44" t="n">
        <f aca="false">IF(I497="","",IF(INDEX(J_KRE,I497)=$C$3,INDEX(J_NOM,I497),0))</f>
        <v>82190</v>
      </c>
      <c r="H497" s="44" t="n">
        <f aca="false">IF(I497="","",N(H496)+IF($C$5="Debet",F497-G497,G497-F497))</f>
        <v>13743632</v>
      </c>
      <c r="I497" s="66" t="n">
        <f aca="false">IF(J497&gt;$K$1,"",IFERROR(MATCH(J497,J_BB,0),""))</f>
        <v>746</v>
      </c>
      <c r="J497" s="66" t="n">
        <v>488</v>
      </c>
      <c r="K497" s="5"/>
    </row>
    <row r="498" customFormat="false" ht="15" hidden="false" customHeight="false" outlineLevel="0" collapsed="false">
      <c r="A498" s="5" t="n">
        <f aca="false">IF(I498="","",J498)</f>
        <v>489</v>
      </c>
      <c r="B498" s="83" t="n">
        <f aca="false">IF(I498="","",INDEX(J_TGL,I498))</f>
        <v>46176</v>
      </c>
      <c r="C498" s="5" t="str">
        <f aca="false">IF(I498="","",INDEX(J_NO,I498))</f>
        <v>JU-0747</v>
      </c>
      <c r="D498" s="5" t="str">
        <f aca="false">IF(I498="","",INDEX(J_KET,I498))</f>
        <v>Pindah dana BCA ke Tunai (tuker pecah TJA)</v>
      </c>
      <c r="E498" s="5" t="str">
        <f aca="false">IF(I498="","",IF(INDEX(J_DEB,I498)=$C$3,INDEX(J_KRE,I498),INDEX(J_DEB,I498)))</f>
        <v>Kas Tunai</v>
      </c>
      <c r="F498" s="44" t="n">
        <f aca="false">IF(I498="","",IF(INDEX(J_DEB,I498)=$C$3,INDEX(J_NOM,I498),0))</f>
        <v>0</v>
      </c>
      <c r="G498" s="44" t="n">
        <f aca="false">IF(I498="","",IF(INDEX(J_KRE,I498)=$C$3,INDEX(J_NOM,I498),0))</f>
        <v>3000000</v>
      </c>
      <c r="H498" s="44" t="n">
        <f aca="false">IF(I498="","",N(H497)+IF($C$5="Debet",F498-G498,G498-F498))</f>
        <v>10743632</v>
      </c>
      <c r="I498" s="66" t="n">
        <f aca="false">IF(J498&gt;$K$1,"",IFERROR(MATCH(J498,J_BB,0),""))</f>
        <v>747</v>
      </c>
      <c r="J498" s="66" t="n">
        <v>489</v>
      </c>
      <c r="K498" s="5"/>
    </row>
    <row r="499" customFormat="false" ht="15" hidden="false" customHeight="false" outlineLevel="0" collapsed="false">
      <c r="A499" s="5" t="n">
        <f aca="false">IF(I499="","",J499)</f>
        <v>490</v>
      </c>
      <c r="B499" s="83" t="n">
        <f aca="false">IF(I499="","",INDEX(J_TGL,I499))</f>
        <v>46176</v>
      </c>
      <c r="C499" s="5" t="str">
        <f aca="false">IF(I499="","",INDEX(J_NO,I499))</f>
        <v>JU-0748</v>
      </c>
      <c r="D499" s="5" t="str">
        <f aca="false">IF(I499="","",INDEX(J_KET,I499))</f>
        <v>Refill gas 12kg x 4 tabung</v>
      </c>
      <c r="E499" s="5" t="str">
        <f aca="false">IF(I499="","",IF(INDEX(J_DEB,I499)=$C$3,INDEX(J_KRE,I499),INDEX(J_DEB,I499)))</f>
        <v>Biaya Bahan Baku</v>
      </c>
      <c r="F499" s="44" t="n">
        <f aca="false">IF(I499="","",IF(INDEX(J_DEB,I499)=$C$3,INDEX(J_NOM,I499),0))</f>
        <v>0</v>
      </c>
      <c r="G499" s="44" t="n">
        <f aca="false">IF(I499="","",IF(INDEX(J_KRE,I499)=$C$3,INDEX(J_NOM,I499),0))</f>
        <v>912000</v>
      </c>
      <c r="H499" s="44" t="n">
        <f aca="false">IF(I499="","",N(H498)+IF($C$5="Debet",F499-G499,G499-F499))</f>
        <v>9831632</v>
      </c>
      <c r="I499" s="66" t="n">
        <f aca="false">IF(J499&gt;$K$1,"",IFERROR(MATCH(J499,J_BB,0),""))</f>
        <v>748</v>
      </c>
      <c r="J499" s="66" t="n">
        <v>490</v>
      </c>
      <c r="K499" s="5"/>
    </row>
    <row r="500" customFormat="false" ht="15" hidden="false" customHeight="false" outlineLevel="0" collapsed="false">
      <c r="A500" s="5" t="n">
        <f aca="false">IF(I500="","",J500)</f>
        <v>491</v>
      </c>
      <c r="B500" s="83" t="n">
        <f aca="false">IF(I500="","",INDEX(J_TGL,I500))</f>
        <v>46176</v>
      </c>
      <c r="C500" s="5" t="str">
        <f aca="false">IF(I500="","",INDEX(J_NO,I500))</f>
        <v>JU-0749</v>
      </c>
      <c r="D500" s="5" t="str">
        <f aca="false">IF(I500="","",INDEX(J_KET,I500))</f>
        <v>Pelunasan pemasangan turbin ventilator x 3 unit</v>
      </c>
      <c r="E500" s="5" t="str">
        <f aca="false">IF(I500="","",IF(INDEX(J_DEB,I500)=$C$3,INDEX(J_KRE,I500),INDEX(J_DEB,I500)))</f>
        <v>Biaya Pemeliharaan</v>
      </c>
      <c r="F500" s="44" t="n">
        <f aca="false">IF(I500="","",IF(INDEX(J_DEB,I500)=$C$3,INDEX(J_NOM,I500),0))</f>
        <v>0</v>
      </c>
      <c r="G500" s="44" t="n">
        <f aca="false">IF(I500="","",IF(INDEX(J_KRE,I500)=$C$3,INDEX(J_NOM,I500),0))</f>
        <v>3300000</v>
      </c>
      <c r="H500" s="44" t="n">
        <f aca="false">IF(I500="","",N(H499)+IF($C$5="Debet",F500-G500,G500-F500))</f>
        <v>6531632</v>
      </c>
      <c r="I500" s="66" t="n">
        <f aca="false">IF(J500&gt;$K$1,"",IFERROR(MATCH(J500,J_BB,0),""))</f>
        <v>749</v>
      </c>
      <c r="J500" s="66" t="n">
        <v>491</v>
      </c>
      <c r="K500" s="5"/>
    </row>
    <row r="501" customFormat="false" ht="15" hidden="false" customHeight="false" outlineLevel="0" collapsed="false">
      <c r="A501" s="5" t="n">
        <f aca="false">IF(I501="","",J501)</f>
        <v>492</v>
      </c>
      <c r="B501" s="83" t="n">
        <f aca="false">IF(I501="","",INDEX(J_TGL,I501))</f>
        <v>46176</v>
      </c>
      <c r="C501" s="5" t="str">
        <f aca="false">IF(I501="","",INDEX(J_NO,I501))</f>
        <v>JU-0750</v>
      </c>
      <c r="D501" s="5" t="str">
        <f aca="false">IF(I501="","",INDEX(J_KET,I501))</f>
        <v>Pindah dana tunai ke BCA (Afa tukar uang)</v>
      </c>
      <c r="E501" s="5" t="str">
        <f aca="false">IF(I501="","",IF(INDEX(J_DEB,I501)=$C$3,INDEX(J_KRE,I501),INDEX(J_DEB,I501)))</f>
        <v>Kas Tunai</v>
      </c>
      <c r="F501" s="44" t="n">
        <f aca="false">IF(I501="","",IF(INDEX(J_DEB,I501)=$C$3,INDEX(J_NOM,I501),0))</f>
        <v>2500000</v>
      </c>
      <c r="G501" s="44" t="n">
        <f aca="false">IF(I501="","",IF(INDEX(J_KRE,I501)=$C$3,INDEX(J_NOM,I501),0))</f>
        <v>0</v>
      </c>
      <c r="H501" s="44" t="n">
        <f aca="false">IF(I501="","",N(H500)+IF($C$5="Debet",F501-G501,G501-F501))</f>
        <v>9031632</v>
      </c>
      <c r="I501" s="66" t="n">
        <f aca="false">IF(J501&gt;$K$1,"",IFERROR(MATCH(J501,J_BB,0),""))</f>
        <v>750</v>
      </c>
      <c r="J501" s="66" t="n">
        <v>492</v>
      </c>
      <c r="K501" s="5"/>
    </row>
    <row r="502" customFormat="false" ht="15" hidden="false" customHeight="false" outlineLevel="0" collapsed="false">
      <c r="A502" s="5" t="n">
        <f aca="false">IF(I502="","",J502)</f>
        <v>493</v>
      </c>
      <c r="B502" s="83" t="n">
        <f aca="false">IF(I502="","",INDEX(J_TGL,I502))</f>
        <v>46177</v>
      </c>
      <c r="C502" s="5" t="str">
        <f aca="false">IF(I502="","",INDEX(J_NO,I502))</f>
        <v>JU-0751</v>
      </c>
      <c r="D502" s="5" t="str">
        <f aca="false">IF(I502="","",INDEX(J_KET,I502))</f>
        <v>Pindah dana tunai ke BCA (setor tunai by Bank)</v>
      </c>
      <c r="E502" s="5" t="str">
        <f aca="false">IF(I502="","",IF(INDEX(J_DEB,I502)=$C$3,INDEX(J_KRE,I502),INDEX(J_DEB,I502)))</f>
        <v>Kas Tunai</v>
      </c>
      <c r="F502" s="44" t="n">
        <f aca="false">IF(I502="","",IF(INDEX(J_DEB,I502)=$C$3,INDEX(J_NOM,I502),0))</f>
        <v>4878000</v>
      </c>
      <c r="G502" s="44" t="n">
        <f aca="false">IF(I502="","",IF(INDEX(J_KRE,I502)=$C$3,INDEX(J_NOM,I502),0))</f>
        <v>0</v>
      </c>
      <c r="H502" s="44" t="n">
        <f aca="false">IF(I502="","",N(H501)+IF($C$5="Debet",F502-G502,G502-F502))</f>
        <v>13909632</v>
      </c>
      <c r="I502" s="66" t="n">
        <f aca="false">IF(J502&gt;$K$1,"",IFERROR(MATCH(J502,J_BB,0),""))</f>
        <v>751</v>
      </c>
      <c r="J502" s="66" t="n">
        <v>493</v>
      </c>
      <c r="K502" s="5"/>
    </row>
    <row r="503" customFormat="false" ht="15" hidden="false" customHeight="false" outlineLevel="0" collapsed="false">
      <c r="A503" s="5" t="n">
        <f aca="false">IF(I503="","",J503)</f>
        <v>494</v>
      </c>
      <c r="B503" s="83" t="n">
        <f aca="false">IF(I503="","",INDEX(J_TGL,I503))</f>
        <v>46177</v>
      </c>
      <c r="C503" s="5" t="str">
        <f aca="false">IF(I503="","",INDEX(J_NO,I503))</f>
        <v>JU-0752</v>
      </c>
      <c r="D503" s="5" t="str">
        <f aca="false">IF(I503="","",INDEX(J_KET,I503))</f>
        <v>PET botol takeaway 250ml</v>
      </c>
      <c r="E503" s="5" t="str">
        <f aca="false">IF(I503="","",IF(INDEX(J_DEB,I503)=$C$3,INDEX(J_KRE,I503),INDEX(J_DEB,I503)))</f>
        <v>Biaya Penyajian</v>
      </c>
      <c r="F503" s="44" t="n">
        <f aca="false">IF(I503="","",IF(INDEX(J_DEB,I503)=$C$3,INDEX(J_NOM,I503),0))</f>
        <v>0</v>
      </c>
      <c r="G503" s="44" t="n">
        <f aca="false">IF(I503="","",IF(INDEX(J_KRE,I503)=$C$3,INDEX(J_NOM,I503),0))</f>
        <v>1275000</v>
      </c>
      <c r="H503" s="44" t="n">
        <f aca="false">IF(I503="","",N(H502)+IF($C$5="Debet",F503-G503,G503-F503))</f>
        <v>12634632</v>
      </c>
      <c r="I503" s="66" t="n">
        <f aca="false">IF(J503&gt;$K$1,"",IFERROR(MATCH(J503,J_BB,0),""))</f>
        <v>752</v>
      </c>
      <c r="J503" s="66" t="n">
        <v>494</v>
      </c>
      <c r="K503" s="5"/>
    </row>
    <row r="504" customFormat="false" ht="15" hidden="false" customHeight="false" outlineLevel="0" collapsed="false">
      <c r="A504" s="5" t="n">
        <f aca="false">IF(I504="","",J504)</f>
        <v>495</v>
      </c>
      <c r="B504" s="83" t="n">
        <f aca="false">IF(I504="","",INDEX(J_TGL,I504))</f>
        <v>46177</v>
      </c>
      <c r="C504" s="5" t="str">
        <f aca="false">IF(I504="","",INDEX(J_NO,I504))</f>
        <v>JU-0753</v>
      </c>
      <c r="D504" s="5" t="str">
        <f aca="false">IF(I504="","",INDEX(J_KET,I504))</f>
        <v>Churros frozen</v>
      </c>
      <c r="E504" s="5" t="str">
        <f aca="false">IF(I504="","",IF(INDEX(J_DEB,I504)=$C$3,INDEX(J_KRE,I504),INDEX(J_DEB,I504)))</f>
        <v>Biaya Bahan Baku</v>
      </c>
      <c r="F504" s="44" t="n">
        <f aca="false">IF(I504="","",IF(INDEX(J_DEB,I504)=$C$3,INDEX(J_NOM,I504),0))</f>
        <v>0</v>
      </c>
      <c r="G504" s="44" t="n">
        <f aca="false">IF(I504="","",IF(INDEX(J_KRE,I504)=$C$3,INDEX(J_NOM,I504),0))</f>
        <v>360000</v>
      </c>
      <c r="H504" s="44" t="n">
        <f aca="false">IF(I504="","",N(H503)+IF($C$5="Debet",F504-G504,G504-F504))</f>
        <v>12274632</v>
      </c>
      <c r="I504" s="66" t="n">
        <f aca="false">IF(J504&gt;$K$1,"",IFERROR(MATCH(J504,J_BB,0),""))</f>
        <v>753</v>
      </c>
      <c r="J504" s="66" t="n">
        <v>495</v>
      </c>
      <c r="K504" s="5"/>
    </row>
    <row r="505" customFormat="false" ht="15" hidden="false" customHeight="false" outlineLevel="0" collapsed="false">
      <c r="A505" s="5" t="n">
        <f aca="false">IF(I505="","",J505)</f>
        <v>496</v>
      </c>
      <c r="B505" s="83" t="n">
        <f aca="false">IF(I505="","",INDEX(J_TGL,I505))</f>
        <v>46177</v>
      </c>
      <c r="C505" s="5" t="str">
        <f aca="false">IF(I505="","",INDEX(J_NO,I505))</f>
        <v>JU-0754</v>
      </c>
      <c r="D505" s="5" t="str">
        <f aca="false">IF(I505="","",INDEX(J_KET,I505))</f>
        <v>Unlock water</v>
      </c>
      <c r="E505" s="5" t="str">
        <f aca="false">IF(I505="","",IF(INDEX(J_DEB,I505)=$C$3,INDEX(J_KRE,I505),INDEX(J_DEB,I505)))</f>
        <v>Biaya Bahan Baku</v>
      </c>
      <c r="F505" s="44" t="n">
        <f aca="false">IF(I505="","",IF(INDEX(J_DEB,I505)=$C$3,INDEX(J_NOM,I505),0))</f>
        <v>0</v>
      </c>
      <c r="G505" s="44" t="n">
        <f aca="false">IF(I505="","",IF(INDEX(J_KRE,I505)=$C$3,INDEX(J_NOM,I505),0))</f>
        <v>228000</v>
      </c>
      <c r="H505" s="44" t="n">
        <f aca="false">IF(I505="","",N(H504)+IF($C$5="Debet",F505-G505,G505-F505))</f>
        <v>12046632</v>
      </c>
      <c r="I505" s="66" t="n">
        <f aca="false">IF(J505&gt;$K$1,"",IFERROR(MATCH(J505,J_BB,0),""))</f>
        <v>754</v>
      </c>
      <c r="J505" s="66" t="n">
        <v>496</v>
      </c>
      <c r="K505" s="5"/>
    </row>
    <row r="506" customFormat="false" ht="15" hidden="false" customHeight="false" outlineLevel="0" collapsed="false">
      <c r="A506" s="5" t="n">
        <f aca="false">IF(I506="","",J506)</f>
        <v>497</v>
      </c>
      <c r="B506" s="83" t="n">
        <f aca="false">IF(I506="","",INDEX(J_TGL,I506))</f>
        <v>46177</v>
      </c>
      <c r="C506" s="5" t="str">
        <f aca="false">IF(I506="","",INDEX(J_NO,I506))</f>
        <v>JU-0755</v>
      </c>
      <c r="D506" s="5" t="str">
        <f aca="false">IF(I506="","",INDEX(J_KET,I506))</f>
        <v>Tiramisu 2 batch tgl 29 &amp; 31 Mei (18pcs)</v>
      </c>
      <c r="E506" s="5" t="str">
        <f aca="false">IF(I506="","",IF(INDEX(J_DEB,I506)=$C$3,INDEX(J_KRE,I506),INDEX(J_DEB,I506)))</f>
        <v>Biaya Bahan Baku</v>
      </c>
      <c r="F506" s="44" t="n">
        <f aca="false">IF(I506="","",IF(INDEX(J_DEB,I506)=$C$3,INDEX(J_NOM,I506),0))</f>
        <v>0</v>
      </c>
      <c r="G506" s="44" t="n">
        <f aca="false">IF(I506="","",IF(INDEX(J_KRE,I506)=$C$3,INDEX(J_NOM,I506),0))</f>
        <v>240000</v>
      </c>
      <c r="H506" s="44" t="n">
        <f aca="false">IF(I506="","",N(H505)+IF($C$5="Debet",F506-G506,G506-F506))</f>
        <v>11806632</v>
      </c>
      <c r="I506" s="66" t="n">
        <f aca="false">IF(J506&gt;$K$1,"",IFERROR(MATCH(J506,J_BB,0),""))</f>
        <v>755</v>
      </c>
      <c r="J506" s="66" t="n">
        <v>497</v>
      </c>
      <c r="K506" s="5"/>
    </row>
    <row r="507" customFormat="false" ht="15" hidden="false" customHeight="false" outlineLevel="0" collapsed="false">
      <c r="A507" s="5" t="n">
        <f aca="false">IF(I507="","",J507)</f>
        <v>498</v>
      </c>
      <c r="B507" s="83" t="n">
        <f aca="false">IF(I507="","",INDEX(J_TGL,I507))</f>
        <v>46178</v>
      </c>
      <c r="C507" s="5" t="str">
        <f aca="false">IF(I507="","",INDEX(J_NO,I507))</f>
        <v>JU-0756</v>
      </c>
      <c r="D507" s="5" t="str">
        <f aca="false">IF(I507="","",INDEX(J_KET,I507))</f>
        <v>Biji kopi/beans Yantos 8kg</v>
      </c>
      <c r="E507" s="5" t="str">
        <f aca="false">IF(I507="","",IF(INDEX(J_DEB,I507)=$C$3,INDEX(J_KRE,I507),INDEX(J_DEB,I507)))</f>
        <v>Biaya Bahan Baku</v>
      </c>
      <c r="F507" s="44" t="n">
        <f aca="false">IF(I507="","",IF(INDEX(J_DEB,I507)=$C$3,INDEX(J_NOM,I507),0))</f>
        <v>0</v>
      </c>
      <c r="G507" s="44" t="n">
        <f aca="false">IF(I507="","",IF(INDEX(J_KRE,I507)=$C$3,INDEX(J_NOM,I507),0))</f>
        <v>1675000</v>
      </c>
      <c r="H507" s="44" t="n">
        <f aca="false">IF(I507="","",N(H506)+IF($C$5="Debet",F507-G507,G507-F507))</f>
        <v>10131632</v>
      </c>
      <c r="I507" s="66" t="n">
        <f aca="false">IF(J507&gt;$K$1,"",IFERROR(MATCH(J507,J_BB,0),""))</f>
        <v>756</v>
      </c>
      <c r="J507" s="66" t="n">
        <v>498</v>
      </c>
      <c r="K507" s="5"/>
    </row>
    <row r="508" customFormat="false" ht="15" hidden="false" customHeight="false" outlineLevel="0" collapsed="false">
      <c r="A508" s="5" t="n">
        <f aca="false">IF(I508="","",J508)</f>
        <v>499</v>
      </c>
      <c r="B508" s="83" t="n">
        <f aca="false">IF(I508="","",INDEX(J_TGL,I508))</f>
        <v>46180</v>
      </c>
      <c r="C508" s="5" t="str">
        <f aca="false">IF(I508="","",INDEX(J_NO,I508))</f>
        <v>JU-0757</v>
      </c>
      <c r="D508" s="5" t="str">
        <f aca="false">IF(I508="","",INDEX(J_KET,I508))</f>
        <v>Sirup playful pistachio</v>
      </c>
      <c r="E508" s="5" t="str">
        <f aca="false">IF(I508="","",IF(INDEX(J_DEB,I508)=$C$3,INDEX(J_KRE,I508),INDEX(J_DEB,I508)))</f>
        <v>Biaya Bahan Baku</v>
      </c>
      <c r="F508" s="44" t="n">
        <f aca="false">IF(I508="","",IF(INDEX(J_DEB,I508)=$C$3,INDEX(J_NOM,I508),0))</f>
        <v>0</v>
      </c>
      <c r="G508" s="44" t="n">
        <f aca="false">IF(I508="","",IF(INDEX(J_KRE,I508)=$C$3,INDEX(J_NOM,I508),0))</f>
        <v>232559</v>
      </c>
      <c r="H508" s="44" t="n">
        <f aca="false">IF(I508="","",N(H507)+IF($C$5="Debet",F508-G508,G508-F508))</f>
        <v>9899073</v>
      </c>
      <c r="I508" s="66" t="n">
        <f aca="false">IF(J508&gt;$K$1,"",IFERROR(MATCH(J508,J_BB,0),""))</f>
        <v>757</v>
      </c>
      <c r="J508" s="66" t="n">
        <v>499</v>
      </c>
      <c r="K508" s="5"/>
    </row>
    <row r="509" customFormat="false" ht="15" hidden="false" customHeight="false" outlineLevel="0" collapsed="false">
      <c r="A509" s="5" t="n">
        <f aca="false">IF(I509="","",J509)</f>
        <v>500</v>
      </c>
      <c r="B509" s="83" t="n">
        <f aca="false">IF(I509="","",INDEX(J_TGL,I509))</f>
        <v>46180</v>
      </c>
      <c r="C509" s="5" t="str">
        <f aca="false">IF(I509="","",INDEX(J_NO,I509))</f>
        <v>JU-0758</v>
      </c>
      <c r="D509" s="5" t="str">
        <f aca="false">IF(I509="","",INDEX(J_KET,I509))</f>
        <v>Spare part manometer mesin kopi</v>
      </c>
      <c r="E509" s="5" t="str">
        <f aca="false">IF(I509="","",IF(INDEX(J_DEB,I509)=$C$3,INDEX(J_KRE,I509),INDEX(J_DEB,I509)))</f>
        <v>Biaya Pemeliharaan</v>
      </c>
      <c r="F509" s="44" t="n">
        <f aca="false">IF(I509="","",IF(INDEX(J_DEB,I509)=$C$3,INDEX(J_NOM,I509),0))</f>
        <v>0</v>
      </c>
      <c r="G509" s="44" t="n">
        <f aca="false">IF(I509="","",IF(INDEX(J_KRE,I509)=$C$3,INDEX(J_NOM,I509),0))</f>
        <v>626387</v>
      </c>
      <c r="H509" s="44" t="n">
        <f aca="false">IF(I509="","",N(H508)+IF($C$5="Debet",F509-G509,G509-F509))</f>
        <v>9272686</v>
      </c>
      <c r="I509" s="66" t="n">
        <f aca="false">IF(J509&gt;$K$1,"",IFERROR(MATCH(J509,J_BB,0),""))</f>
        <v>758</v>
      </c>
      <c r="J509" s="66" t="n">
        <v>500</v>
      </c>
      <c r="K509" s="5"/>
    </row>
    <row r="510" customFormat="false" ht="15" hidden="false" customHeight="false" outlineLevel="0" collapsed="false">
      <c r="A510" s="5" t="n">
        <f aca="false">IF(I510="","",J510)</f>
        <v>501</v>
      </c>
      <c r="B510" s="83" t="n">
        <f aca="false">IF(I510="","",INDEX(J_TGL,I510))</f>
        <v>46181</v>
      </c>
      <c r="C510" s="5" t="str">
        <f aca="false">IF(I510="","",INDEX(J_NO,I510))</f>
        <v>JU-0759</v>
      </c>
      <c r="D510" s="5" t="str">
        <f aca="false">IF(I510="","",INDEX(J_KET,I510))</f>
        <v>croissant pembayaran batch 180-187 97pcs</v>
      </c>
      <c r="E510" s="5" t="str">
        <f aca="false">IF(I510="","",IF(INDEX(J_DEB,I510)=$C$3,INDEX(J_KRE,I510),INDEX(J_DEB,I510)))</f>
        <v>Biaya Bahan Baku</v>
      </c>
      <c r="F510" s="44" t="n">
        <f aca="false">IF(I510="","",IF(INDEX(J_DEB,I510)=$C$3,INDEX(J_NOM,I510),0))</f>
        <v>0</v>
      </c>
      <c r="G510" s="44" t="n">
        <f aca="false">IF(I510="","",IF(INDEX(J_KRE,I510)=$C$3,INDEX(J_NOM,I510),0))</f>
        <v>2135000</v>
      </c>
      <c r="H510" s="44" t="n">
        <f aca="false">IF(I510="","",N(H509)+IF($C$5="Debet",F510-G510,G510-F510))</f>
        <v>7137686</v>
      </c>
      <c r="I510" s="66" t="n">
        <f aca="false">IF(J510&gt;$K$1,"",IFERROR(MATCH(J510,J_BB,0),""))</f>
        <v>759</v>
      </c>
      <c r="J510" s="66" t="n">
        <v>501</v>
      </c>
      <c r="K510" s="5"/>
    </row>
    <row r="511" customFormat="false" ht="15" hidden="false" customHeight="false" outlineLevel="0" collapsed="false">
      <c r="A511" s="5" t="n">
        <f aca="false">IF(I511="","",J511)</f>
        <v>502</v>
      </c>
      <c r="B511" s="83" t="n">
        <f aca="false">IF(I511="","",INDEX(J_TGL,I511))</f>
        <v>46181</v>
      </c>
      <c r="C511" s="5" t="str">
        <f aca="false">IF(I511="","",INDEX(J_NO,I511))</f>
        <v>JU-0760</v>
      </c>
      <c r="D511" s="5" t="str">
        <f aca="false">IF(I511="","",INDEX(J_KET,I511))</f>
        <v>croissant pembayaran buy return</v>
      </c>
      <c r="E511" s="5" t="str">
        <f aca="false">IF(I511="","",IF(INDEX(J_DEB,I511)=$C$3,INDEX(J_KRE,I511),INDEX(J_DEB,I511)))</f>
        <v>Biaya Bahan Baku</v>
      </c>
      <c r="F511" s="44" t="n">
        <f aca="false">IF(I511="","",IF(INDEX(J_DEB,I511)=$C$3,INDEX(J_NOM,I511),0))</f>
        <v>0</v>
      </c>
      <c r="G511" s="44" t="n">
        <f aca="false">IF(I511="","",IF(INDEX(J_KRE,I511)=$C$3,INDEX(J_NOM,I511),0))</f>
        <v>130000</v>
      </c>
      <c r="H511" s="44" t="n">
        <f aca="false">IF(I511="","",N(H510)+IF($C$5="Debet",F511-G511,G511-F511))</f>
        <v>7007686</v>
      </c>
      <c r="I511" s="66" t="n">
        <f aca="false">IF(J511&gt;$K$1,"",IFERROR(MATCH(J511,J_BB,0),""))</f>
        <v>760</v>
      </c>
      <c r="J511" s="66" t="n">
        <v>502</v>
      </c>
      <c r="K511" s="5"/>
    </row>
    <row r="512" customFormat="false" ht="15" hidden="false" customHeight="false" outlineLevel="0" collapsed="false">
      <c r="A512" s="5" t="n">
        <f aca="false">IF(I512="","",J512)</f>
        <v>503</v>
      </c>
      <c r="B512" s="83" t="n">
        <f aca="false">IF(I512="","",INDEX(J_TGL,I512))</f>
        <v>46181</v>
      </c>
      <c r="C512" s="5" t="str">
        <f aca="false">IF(I512="","",INDEX(J_NO,I512))</f>
        <v>JU-0761</v>
      </c>
      <c r="D512" s="5" t="str">
        <f aca="false">IF(I512="","",INDEX(J_KET,I512))</f>
        <v>Plastik gantungan baju 4pcs untuk display kaos</v>
      </c>
      <c r="E512" s="5" t="str">
        <f aca="false">IF(I512="","",IF(INDEX(J_DEB,I512)=$C$3,INDEX(J_KRE,I512),INDEX(J_DEB,I512)))</f>
        <v>Biaya Marketing &amp; Promosi</v>
      </c>
      <c r="F512" s="44" t="n">
        <f aca="false">IF(I512="","",IF(INDEX(J_DEB,I512)=$C$3,INDEX(J_NOM,I512),0))</f>
        <v>0</v>
      </c>
      <c r="G512" s="44" t="n">
        <f aca="false">IF(I512="","",IF(INDEX(J_KRE,I512)=$C$3,INDEX(J_NOM,I512),0))</f>
        <v>69200</v>
      </c>
      <c r="H512" s="44" t="n">
        <f aca="false">IF(I512="","",N(H511)+IF($C$5="Debet",F512-G512,G512-F512))</f>
        <v>6938486</v>
      </c>
      <c r="I512" s="66" t="n">
        <f aca="false">IF(J512&gt;$K$1,"",IFERROR(MATCH(J512,J_BB,0),""))</f>
        <v>761</v>
      </c>
      <c r="J512" s="66" t="n">
        <v>503</v>
      </c>
      <c r="K512" s="5"/>
    </row>
    <row r="513" customFormat="false" ht="15" hidden="false" customHeight="false" outlineLevel="0" collapsed="false">
      <c r="A513" s="5" t="n">
        <f aca="false">IF(I513="","",J513)</f>
        <v>504</v>
      </c>
      <c r="B513" s="83" t="n">
        <f aca="false">IF(I513="","",INDEX(J_TGL,I513))</f>
        <v>46182</v>
      </c>
      <c r="C513" s="5" t="str">
        <f aca="false">IF(I513="","",INDEX(J_NO,I513))</f>
        <v>JU-0762</v>
      </c>
      <c r="D513" s="5" t="str">
        <f aca="false">IF(I513="","",INDEX(J_KET,I513))</f>
        <v>susu freshmilk greenfield</v>
      </c>
      <c r="E513" s="5" t="str">
        <f aca="false">IF(I513="","",IF(INDEX(J_DEB,I513)=$C$3,INDEX(J_KRE,I513),INDEX(J_DEB,I513)))</f>
        <v>Biaya Bahan Baku</v>
      </c>
      <c r="F513" s="44" t="n">
        <f aca="false">IF(I513="","",IF(INDEX(J_DEB,I513)=$C$3,INDEX(J_NOM,I513),0))</f>
        <v>0</v>
      </c>
      <c r="G513" s="44" t="n">
        <f aca="false">IF(I513="","",IF(INDEX(J_KRE,I513)=$C$3,INDEX(J_NOM,I513),0))</f>
        <v>988000</v>
      </c>
      <c r="H513" s="44" t="n">
        <f aca="false">IF(I513="","",N(H512)+IF($C$5="Debet",F513-G513,G513-F513))</f>
        <v>5950486</v>
      </c>
      <c r="I513" s="66" t="n">
        <f aca="false">IF(J513&gt;$K$1,"",IFERROR(MATCH(J513,J_BB,0),""))</f>
        <v>762</v>
      </c>
      <c r="J513" s="66" t="n">
        <v>504</v>
      </c>
      <c r="K513" s="5"/>
    </row>
    <row r="514" customFormat="false" ht="15" hidden="false" customHeight="false" outlineLevel="0" collapsed="false">
      <c r="A514" s="5" t="n">
        <f aca="false">IF(I514="","",J514)</f>
        <v>505</v>
      </c>
      <c r="B514" s="83" t="n">
        <f aca="false">IF(I514="","",INDEX(J_TGL,I514))</f>
        <v>46182</v>
      </c>
      <c r="C514" s="5" t="str">
        <f aca="false">IF(I514="","",INDEX(J_NO,I514))</f>
        <v>JU-0763</v>
      </c>
      <c r="D514" s="5" t="str">
        <f aca="false">IF(I514="","",INDEX(J_KET,I514))</f>
        <v>Pembayaran langganan musik spotify</v>
      </c>
      <c r="E514" s="5" t="str">
        <f aca="false">IF(I514="","",IF(INDEX(J_DEB,I514)=$C$3,INDEX(J_KRE,I514),INDEX(J_DEB,I514)))</f>
        <v>Biaya Tagihan Bulanan</v>
      </c>
      <c r="F514" s="44" t="n">
        <f aca="false">IF(I514="","",IF(INDEX(J_DEB,I514)=$C$3,INDEX(J_NOM,I514),0))</f>
        <v>0</v>
      </c>
      <c r="G514" s="44" t="n">
        <f aca="false">IF(I514="","",IF(INDEX(J_KRE,I514)=$C$3,INDEX(J_NOM,I514),0))</f>
        <v>119000</v>
      </c>
      <c r="H514" s="44" t="n">
        <f aca="false">IF(I514="","",N(H513)+IF($C$5="Debet",F514-G514,G514-F514))</f>
        <v>5831486</v>
      </c>
      <c r="I514" s="66" t="n">
        <f aca="false">IF(J514&gt;$K$1,"",IFERROR(MATCH(J514,J_BB,0),""))</f>
        <v>763</v>
      </c>
      <c r="J514" s="66" t="n">
        <v>505</v>
      </c>
      <c r="K514" s="5"/>
    </row>
    <row r="515" customFormat="false" ht="15" hidden="false" customHeight="false" outlineLevel="0" collapsed="false">
      <c r="A515" s="5" t="n">
        <f aca="false">IF(I515="","",J515)</f>
        <v>506</v>
      </c>
      <c r="B515" s="83" t="n">
        <f aca="false">IF(I515="","",INDEX(J_TGL,I515))</f>
        <v>46182</v>
      </c>
      <c r="C515" s="5" t="str">
        <f aca="false">IF(I515="","",INDEX(J_NO,I515))</f>
        <v>JU-0764</v>
      </c>
      <c r="D515" s="5" t="str">
        <f aca="false">IF(I515="","",INDEX(J_KET,I515))</f>
        <v>koreksi</v>
      </c>
      <c r="E515" s="5" t="str">
        <f aca="false">IF(I515="","",IF(INDEX(J_DEB,I515)=$C$3,INDEX(J_KRE,I515),INDEX(J_DEB,I515)))</f>
        <v>Pendapatan Lainnya</v>
      </c>
      <c r="F515" s="44" t="n">
        <f aca="false">IF(I515="","",IF(INDEX(J_DEB,I515)=$C$3,INDEX(J_NOM,I515),0))</f>
        <v>1</v>
      </c>
      <c r="G515" s="44" t="n">
        <f aca="false">IF(I515="","",IF(INDEX(J_KRE,I515)=$C$3,INDEX(J_NOM,I515),0))</f>
        <v>0</v>
      </c>
      <c r="H515" s="44" t="n">
        <f aca="false">IF(I515="","",N(H514)+IF($C$5="Debet",F515-G515,G515-F515))</f>
        <v>5831487</v>
      </c>
      <c r="I515" s="66" t="n">
        <f aca="false">IF(J515&gt;$K$1,"",IFERROR(MATCH(J515,J_BB,0),""))</f>
        <v>764</v>
      </c>
      <c r="J515" s="66" t="n">
        <v>506</v>
      </c>
      <c r="K515" s="5"/>
    </row>
    <row r="516" customFormat="false" ht="15" hidden="false" customHeight="false" outlineLevel="0" collapsed="false">
      <c r="A516" s="5" t="n">
        <f aca="false">IF(I516="","",J516)</f>
        <v>507</v>
      </c>
      <c r="B516" s="83" t="n">
        <f aca="false">IF(I516="","",INDEX(J_TGL,I516))</f>
        <v>46182</v>
      </c>
      <c r="C516" s="5" t="str">
        <f aca="false">IF(I516="","",INDEX(J_NO,I516))</f>
        <v>JU-0765</v>
      </c>
      <c r="D516" s="5" t="str">
        <f aca="false">IF(I516="","",INDEX(J_KET,I516))</f>
        <v>print MMT background booth</v>
      </c>
      <c r="E516" s="5" t="str">
        <f aca="false">IF(I516="","",IF(INDEX(J_DEB,I516)=$C$3,INDEX(J_KRE,I516),INDEX(J_DEB,I516)))</f>
        <v>Biaya Marketing &amp; Promosi</v>
      </c>
      <c r="F516" s="44" t="n">
        <f aca="false">IF(I516="","",IF(INDEX(J_DEB,I516)=$C$3,INDEX(J_NOM,I516),0))</f>
        <v>0</v>
      </c>
      <c r="G516" s="44" t="n">
        <f aca="false">IF(I516="","",IF(INDEX(J_KRE,I516)=$C$3,INDEX(J_NOM,I516),0))</f>
        <v>249001</v>
      </c>
      <c r="H516" s="44" t="n">
        <f aca="false">IF(I516="","",N(H515)+IF($C$5="Debet",F516-G516,G516-F516))</f>
        <v>5582486</v>
      </c>
      <c r="I516" s="66" t="n">
        <f aca="false">IF(J516&gt;$K$1,"",IFERROR(MATCH(J516,J_BB,0),""))</f>
        <v>765</v>
      </c>
      <c r="J516" s="66" t="n">
        <v>507</v>
      </c>
      <c r="K516" s="5"/>
    </row>
    <row r="517" customFormat="false" ht="15" hidden="false" customHeight="false" outlineLevel="0" collapsed="false">
      <c r="A517" s="5" t="n">
        <f aca="false">IF(I517="","",J517)</f>
        <v>508</v>
      </c>
      <c r="B517" s="83" t="n">
        <f aca="false">IF(I517="","",INDEX(J_TGL,I517))</f>
        <v>46182</v>
      </c>
      <c r="C517" s="5" t="str">
        <f aca="false">IF(I517="","",INDEX(J_NO,I517))</f>
        <v>JU-0766</v>
      </c>
      <c r="D517" s="5" t="str">
        <f aca="false">IF(I517="","",INDEX(J_KET,I517))</f>
        <v>dosing cup portafilter wadah bubuk kopi espresso</v>
      </c>
      <c r="E517" s="5" t="str">
        <f aca="false">IF(I517="","",IF(INDEX(J_DEB,I517)=$C$3,INDEX(J_KRE,I517),INDEX(J_DEB,I517)))</f>
        <v>Biaya Penyajian</v>
      </c>
      <c r="F517" s="44" t="n">
        <f aca="false">IF(I517="","",IF(INDEX(J_DEB,I517)=$C$3,INDEX(J_NOM,I517),0))</f>
        <v>0</v>
      </c>
      <c r="G517" s="44" t="n">
        <f aca="false">IF(I517="","",IF(INDEX(J_KRE,I517)=$C$3,INDEX(J_NOM,I517),0))</f>
        <v>60900</v>
      </c>
      <c r="H517" s="44" t="n">
        <f aca="false">IF(I517="","",N(H516)+IF($C$5="Debet",F517-G517,G517-F517))</f>
        <v>5521586</v>
      </c>
      <c r="I517" s="66" t="n">
        <f aca="false">IF(J517&gt;$K$1,"",IFERROR(MATCH(J517,J_BB,0),""))</f>
        <v>766</v>
      </c>
      <c r="J517" s="66" t="n">
        <v>508</v>
      </c>
      <c r="K517" s="5"/>
    </row>
    <row r="518" customFormat="false" ht="15" hidden="false" customHeight="false" outlineLevel="0" collapsed="false">
      <c r="A518" s="5" t="n">
        <f aca="false">IF(I518="","",J518)</f>
        <v>509</v>
      </c>
      <c r="B518" s="83" t="n">
        <f aca="false">IF(I518="","",INDEX(J_TGL,I518))</f>
        <v>46182</v>
      </c>
      <c r="C518" s="5" t="str">
        <f aca="false">IF(I518="","",INDEX(J_NO,I518))</f>
        <v>JU-0767</v>
      </c>
      <c r="D518" s="5" t="str">
        <f aca="false">IF(I518="","",INDEX(J_KET,I518))</f>
        <v>Pindah dana BCA ke tunai (Beli tukar uang)</v>
      </c>
      <c r="E518" s="5" t="str">
        <f aca="false">IF(I518="","",IF(INDEX(J_DEB,I518)=$C$3,INDEX(J_KRE,I518),INDEX(J_DEB,I518)))</f>
        <v>Kas Tunai</v>
      </c>
      <c r="F518" s="44" t="n">
        <f aca="false">IF(I518="","",IF(INDEX(J_DEB,I518)=$C$3,INDEX(J_NOM,I518),0))</f>
        <v>0</v>
      </c>
      <c r="G518" s="44" t="n">
        <f aca="false">IF(I518="","",IF(INDEX(J_KRE,I518)=$C$3,INDEX(J_NOM,I518),0))</f>
        <v>106000</v>
      </c>
      <c r="H518" s="44" t="n">
        <f aca="false">IF(I518="","",N(H517)+IF($C$5="Debet",F518-G518,G518-F518))</f>
        <v>5415586</v>
      </c>
      <c r="I518" s="66" t="n">
        <f aca="false">IF(J518&gt;$K$1,"",IFERROR(MATCH(J518,J_BB,0),""))</f>
        <v>767</v>
      </c>
      <c r="J518" s="66" t="n">
        <v>509</v>
      </c>
      <c r="K518" s="5"/>
    </row>
    <row r="519" customFormat="false" ht="15" hidden="false" customHeight="false" outlineLevel="0" collapsed="false">
      <c r="A519" s="5" t="n">
        <f aca="false">IF(I519="","",J519)</f>
        <v>510</v>
      </c>
      <c r="B519" s="83" t="n">
        <f aca="false">IF(I519="","",INDEX(J_TGL,I519))</f>
        <v>46183</v>
      </c>
      <c r="C519" s="5" t="str">
        <f aca="false">IF(I519="","",INDEX(J_NO,I519))</f>
        <v>JU-0768</v>
      </c>
      <c r="D519" s="5" t="str">
        <f aca="false">IF(I519="","",INDEX(J_KET,I519))</f>
        <v>540pcs stiker botol 230ml - waterproof</v>
      </c>
      <c r="E519" s="5" t="str">
        <f aca="false">IF(I519="","",IF(INDEX(J_DEB,I519)=$C$3,INDEX(J_KRE,I519),INDEX(J_DEB,I519)))</f>
        <v>Biaya Penyajian</v>
      </c>
      <c r="F519" s="44" t="n">
        <f aca="false">IF(I519="","",IF(INDEX(J_DEB,I519)=$C$3,INDEX(J_NOM,I519),0))</f>
        <v>0</v>
      </c>
      <c r="G519" s="44" t="n">
        <f aca="false">IF(I519="","",IF(INDEX(J_KRE,I519)=$C$3,INDEX(J_NOM,I519),0))</f>
        <v>359601</v>
      </c>
      <c r="H519" s="44" t="n">
        <f aca="false">IF(I519="","",N(H518)+IF($C$5="Debet",F519-G519,G519-F519))</f>
        <v>5055985</v>
      </c>
      <c r="I519" s="66" t="n">
        <f aca="false">IF(J519&gt;$K$1,"",IFERROR(MATCH(J519,J_BB,0),""))</f>
        <v>768</v>
      </c>
      <c r="J519" s="66" t="n">
        <v>510</v>
      </c>
      <c r="K519" s="5"/>
    </row>
    <row r="520" customFormat="false" ht="15" hidden="false" customHeight="false" outlineLevel="0" collapsed="false">
      <c r="A520" s="5" t="n">
        <f aca="false">IF(I520="","",J520)</f>
        <v>511</v>
      </c>
      <c r="B520" s="83" t="n">
        <f aca="false">IF(I520="","",INDEX(J_TGL,I520))</f>
        <v>46183</v>
      </c>
      <c r="C520" s="5" t="str">
        <f aca="false">IF(I520="","",INDEX(J_NO,I520))</f>
        <v>JU-0769</v>
      </c>
      <c r="D520" s="5" t="str">
        <f aca="false">IF(I520="","",INDEX(J_KET,I520))</f>
        <v>kulkas showcase cooler 192L</v>
      </c>
      <c r="E520" s="5" t="str">
        <f aca="false">IF(I520="","",IF(INDEX(J_DEB,I520)=$C$3,INDEX(J_KRE,I520),INDEX(J_DEB,I520)))</f>
        <v>Peralatan</v>
      </c>
      <c r="F520" s="44" t="n">
        <f aca="false">IF(I520="","",IF(INDEX(J_DEB,I520)=$C$3,INDEX(J_NOM,I520),0))</f>
        <v>0</v>
      </c>
      <c r="G520" s="44" t="n">
        <f aca="false">IF(I520="","",IF(INDEX(J_KRE,I520)=$C$3,INDEX(J_NOM,I520),0))</f>
        <v>3759000</v>
      </c>
      <c r="H520" s="44" t="n">
        <f aca="false">IF(I520="","",N(H519)+IF($C$5="Debet",F520-G520,G520-F520))</f>
        <v>1296985</v>
      </c>
      <c r="I520" s="66" t="n">
        <f aca="false">IF(J520&gt;$K$1,"",IFERROR(MATCH(J520,J_BB,0),""))</f>
        <v>769</v>
      </c>
      <c r="J520" s="66" t="n">
        <v>511</v>
      </c>
      <c r="K520" s="5"/>
    </row>
    <row r="521" customFormat="false" ht="15" hidden="false" customHeight="false" outlineLevel="0" collapsed="false">
      <c r="A521" s="5" t="n">
        <f aca="false">IF(I521="","",J521)</f>
        <v>512</v>
      </c>
      <c r="B521" s="83" t="n">
        <f aca="false">IF(I521="","",INDEX(J_TGL,I521))</f>
        <v>46184</v>
      </c>
      <c r="C521" s="5" t="str">
        <f aca="false">IF(I521="","",INDEX(J_NO,I521))</f>
        <v>JU-0777</v>
      </c>
      <c r="D521" s="5" t="str">
        <f aca="false">IF(I521="","",INDEX(J_KET,I521))</f>
        <v>Takeaway cup 12oz+lid x 3.000 set faktur 12656</v>
      </c>
      <c r="E521" s="5" t="str">
        <f aca="false">IF(I521="","",IF(INDEX(J_DEB,I521)=$C$3,INDEX(J_KRE,I521),INDEX(J_DEB,I521)))</f>
        <v>Biaya Penyajian</v>
      </c>
      <c r="F521" s="44" t="n">
        <f aca="false">IF(I521="","",IF(INDEX(J_DEB,I521)=$C$3,INDEX(J_NOM,I521),0))</f>
        <v>0</v>
      </c>
      <c r="G521" s="44" t="n">
        <f aca="false">IF(I521="","",IF(INDEX(J_KRE,I521)=$C$3,INDEX(J_NOM,I521),0))</f>
        <v>2250000</v>
      </c>
      <c r="H521" s="44" t="n">
        <f aca="false">IF(I521="","",N(H520)+IF($C$5="Debet",F521-G521,G521-F521))</f>
        <v>-953015</v>
      </c>
      <c r="I521" s="66" t="n">
        <f aca="false">IF(J521&gt;$K$1,"",IFERROR(MATCH(J521,J_BB,0),""))</f>
        <v>777</v>
      </c>
      <c r="J521" s="66" t="n">
        <v>512</v>
      </c>
      <c r="K521" s="5"/>
    </row>
    <row r="522" customFormat="false" ht="15" hidden="false" customHeight="false" outlineLevel="0" collapsed="false">
      <c r="A522" s="5" t="n">
        <f aca="false">IF(I522="","",J522)</f>
        <v>513</v>
      </c>
      <c r="B522" s="83" t="n">
        <f aca="false">IF(I522="","",INDEX(J_TGL,I522))</f>
        <v>46184</v>
      </c>
      <c r="C522" s="5" t="str">
        <f aca="false">IF(I522="","",INDEX(J_NO,I522))</f>
        <v>JU-0778</v>
      </c>
      <c r="D522" s="5" t="str">
        <f aca="false">IF(I522="","",INDEX(J_KET,I522))</f>
        <v>Takeaway cup+lid  8oz x 500 set faktur 12657</v>
      </c>
      <c r="E522" s="5" t="str">
        <f aca="false">IF(I522="","",IF(INDEX(J_DEB,I522)=$C$3,INDEX(J_KRE,I522),INDEX(J_DEB,I522)))</f>
        <v>Biaya Penyajian</v>
      </c>
      <c r="F522" s="44" t="n">
        <f aca="false">IF(I522="","",IF(INDEX(J_DEB,I522)=$C$3,INDEX(J_NOM,I522),0))</f>
        <v>0</v>
      </c>
      <c r="G522" s="44" t="n">
        <f aca="false">IF(I522="","",IF(INDEX(J_KRE,I522)=$C$3,INDEX(J_NOM,I522),0))</f>
        <v>800000</v>
      </c>
      <c r="H522" s="44" t="n">
        <f aca="false">IF(I522="","",N(H521)+IF($C$5="Debet",F522-G522,G522-F522))</f>
        <v>-1753015</v>
      </c>
      <c r="I522" s="66" t="n">
        <f aca="false">IF(J522&gt;$K$1,"",IFERROR(MATCH(J522,J_BB,0),""))</f>
        <v>778</v>
      </c>
      <c r="J522" s="66" t="n">
        <v>513</v>
      </c>
      <c r="K522" s="5"/>
    </row>
    <row r="523" customFormat="false" ht="15" hidden="false" customHeight="false" outlineLevel="0" collapsed="false">
      <c r="A523" s="5" t="n">
        <f aca="false">IF(I523="","",J523)</f>
        <v>514</v>
      </c>
      <c r="B523" s="83" t="n">
        <f aca="false">IF(I523="","",INDEX(J_TGL,I523))</f>
        <v>46184</v>
      </c>
      <c r="C523" s="5" t="str">
        <f aca="false">IF(I523="","",INDEX(J_NO,I523))</f>
        <v>JU-0779</v>
      </c>
      <c r="D523" s="5" t="str">
        <f aca="false">IF(I523="","",INDEX(J_KET,I523))</f>
        <v>Unlock water</v>
      </c>
      <c r="E523" s="5" t="str">
        <f aca="false">IF(I523="","",IF(INDEX(J_DEB,I523)=$C$3,INDEX(J_KRE,I523),INDEX(J_DEB,I523)))</f>
        <v>Biaya Bahan Baku</v>
      </c>
      <c r="F523" s="44" t="n">
        <f aca="false">IF(I523="","",IF(INDEX(J_DEB,I523)=$C$3,INDEX(J_NOM,I523),0))</f>
        <v>0</v>
      </c>
      <c r="G523" s="44" t="n">
        <f aca="false">IF(I523="","",IF(INDEX(J_KRE,I523)=$C$3,INDEX(J_NOM,I523),0))</f>
        <v>304000</v>
      </c>
      <c r="H523" s="44" t="n">
        <f aca="false">IF(I523="","",N(H522)+IF($C$5="Debet",F523-G523,G523-F523))</f>
        <v>-2057015</v>
      </c>
      <c r="I523" s="66" t="n">
        <f aca="false">IF(J523&gt;$K$1,"",IFERROR(MATCH(J523,J_BB,0),""))</f>
        <v>779</v>
      </c>
      <c r="J523" s="66" t="n">
        <v>514</v>
      </c>
      <c r="K523" s="5"/>
    </row>
    <row r="524" customFormat="false" ht="15" hidden="false" customHeight="false" outlineLevel="0" collapsed="false">
      <c r="A524" s="5" t="n">
        <f aca="false">IF(I524="","",J524)</f>
        <v>515</v>
      </c>
      <c r="B524" s="83" t="n">
        <f aca="false">IF(I524="","",INDEX(J_TGL,I524))</f>
        <v>46184</v>
      </c>
      <c r="C524" s="5" t="str">
        <f aca="false">IF(I524="","",INDEX(J_NO,I524))</f>
        <v>JU-0780</v>
      </c>
      <c r="D524" s="5" t="str">
        <f aca="false">IF(I524="","",INDEX(J_KET,I524))</f>
        <v>poster menu UNS dan banner sold out</v>
      </c>
      <c r="E524" s="5" t="str">
        <f aca="false">IF(I524="","",IF(INDEX(J_DEB,I524)=$C$3,INDEX(J_KRE,I524),INDEX(J_DEB,I524)))</f>
        <v>Biaya Marketing &amp; Promosi</v>
      </c>
      <c r="F524" s="44" t="n">
        <f aca="false">IF(I524="","",IF(INDEX(J_DEB,I524)=$C$3,INDEX(J_NOM,I524),0))</f>
        <v>0</v>
      </c>
      <c r="G524" s="44" t="n">
        <f aca="false">IF(I524="","",IF(INDEX(J_KRE,I524)=$C$3,INDEX(J_NOM,I524),0))</f>
        <v>74201</v>
      </c>
      <c r="H524" s="44" t="n">
        <f aca="false">IF(I524="","",N(H523)+IF($C$5="Debet",F524-G524,G524-F524))</f>
        <v>-2131216</v>
      </c>
      <c r="I524" s="66" t="n">
        <f aca="false">IF(J524&gt;$K$1,"",IFERROR(MATCH(J524,J_BB,0),""))</f>
        <v>780</v>
      </c>
      <c r="J524" s="66" t="n">
        <v>515</v>
      </c>
      <c r="K524" s="5"/>
    </row>
    <row r="525" customFormat="false" ht="15" hidden="false" customHeight="false" outlineLevel="0" collapsed="false">
      <c r="A525" s="5" t="n">
        <f aca="false">IF(I525="","",J525)</f>
        <v>516</v>
      </c>
      <c r="B525" s="83" t="n">
        <f aca="false">IF(I525="","",INDEX(J_TGL,I525))</f>
        <v>46184</v>
      </c>
      <c r="C525" s="5" t="str">
        <f aca="false">IF(I525="","",INDEX(J_NO,I525))</f>
        <v>JU-0781</v>
      </c>
      <c r="D525" s="5" t="str">
        <f aca="false">IF(I525="","",INDEX(J_KET,I525))</f>
        <v>cremaer x 2 (creamer)</v>
      </c>
      <c r="E525" s="5" t="str">
        <f aca="false">IF(I525="","",IF(INDEX(J_DEB,I525)=$C$3,INDEX(J_KRE,I525),INDEX(J_DEB,I525)))</f>
        <v>Biaya Bahan Baku</v>
      </c>
      <c r="F525" s="44" t="n">
        <f aca="false">IF(I525="","",IF(INDEX(J_DEB,I525)=$C$3,INDEX(J_NOM,I525),0))</f>
        <v>0</v>
      </c>
      <c r="G525" s="44" t="n">
        <f aca="false">IF(I525="","",IF(INDEX(J_KRE,I525)=$C$3,INDEX(J_NOM,I525),0))</f>
        <v>110000</v>
      </c>
      <c r="H525" s="44" t="n">
        <f aca="false">IF(I525="","",N(H524)+IF($C$5="Debet",F525-G525,G525-F525))</f>
        <v>-2241216</v>
      </c>
      <c r="I525" s="66" t="n">
        <f aca="false">IF(J525&gt;$K$1,"",IFERROR(MATCH(J525,J_BB,0),""))</f>
        <v>781</v>
      </c>
      <c r="J525" s="66" t="n">
        <v>516</v>
      </c>
      <c r="K525" s="5"/>
    </row>
    <row r="526" customFormat="false" ht="15" hidden="false" customHeight="false" outlineLevel="0" collapsed="false">
      <c r="A526" s="5" t="n">
        <f aca="false">IF(I526="","",J526)</f>
        <v>517</v>
      </c>
      <c r="B526" s="83" t="n">
        <f aca="false">IF(I526="","",INDEX(J_TGL,I526))</f>
        <v>46185</v>
      </c>
      <c r="C526" s="5" t="str">
        <f aca="false">IF(I526="","",INDEX(J_NO,I526))</f>
        <v>JU-0782</v>
      </c>
      <c r="D526" s="5" t="str">
        <f aca="false">IF(I526="","",INDEX(J_KET,I526))</f>
        <v>kupon &amp; golden tiket Artefact UNS</v>
      </c>
      <c r="E526" s="5" t="str">
        <f aca="false">IF(I526="","",IF(INDEX(J_DEB,I526)=$C$3,INDEX(J_KRE,I526),INDEX(J_DEB,I526)))</f>
        <v>Biaya Marketing &amp; Promosi</v>
      </c>
      <c r="F526" s="44" t="n">
        <f aca="false">IF(I526="","",IF(INDEX(J_DEB,I526)=$C$3,INDEX(J_NOM,I526),0))</f>
        <v>0</v>
      </c>
      <c r="G526" s="44" t="n">
        <f aca="false">IF(I526="","",IF(INDEX(J_KRE,I526)=$C$3,INDEX(J_NOM,I526),0))</f>
        <v>37601</v>
      </c>
      <c r="H526" s="44" t="n">
        <f aca="false">IF(I526="","",N(H525)+IF($C$5="Debet",F526-G526,G526-F526))</f>
        <v>-2278817</v>
      </c>
      <c r="I526" s="66" t="n">
        <f aca="false">IF(J526&gt;$K$1,"",IFERROR(MATCH(J526,J_BB,0),""))</f>
        <v>782</v>
      </c>
      <c r="J526" s="66" t="n">
        <v>517</v>
      </c>
      <c r="K526" s="5"/>
    </row>
    <row r="527" customFormat="false" ht="15" hidden="false" customHeight="false" outlineLevel="0" collapsed="false">
      <c r="A527" s="5" t="n">
        <f aca="false">IF(I527="","",J527)</f>
        <v>518</v>
      </c>
      <c r="B527" s="83" t="n">
        <f aca="false">IF(I527="","",INDEX(J_TGL,I527))</f>
        <v>46185</v>
      </c>
      <c r="C527" s="5" t="str">
        <f aca="false">IF(I527="","",INDEX(J_NO,I527))</f>
        <v>JU-0785</v>
      </c>
      <c r="D527" s="5" t="str">
        <f aca="false">IF(I527="","",INDEX(J_KET,I527))</f>
        <v>Pindah dana BCA ke tunai (Beli tukar uang)</v>
      </c>
      <c r="E527" s="5" t="str">
        <f aca="false">IF(I527="","",IF(INDEX(J_DEB,I527)=$C$3,INDEX(J_KRE,I527),INDEX(J_DEB,I527)))</f>
        <v>Kas Tunai</v>
      </c>
      <c r="F527" s="44" t="n">
        <f aca="false">IF(I527="","",IF(INDEX(J_DEB,I527)=$C$3,INDEX(J_NOM,I527),0))</f>
        <v>0</v>
      </c>
      <c r="G527" s="44" t="n">
        <f aca="false">IF(I527="","",IF(INDEX(J_KRE,I527)=$C$3,INDEX(J_NOM,I527),0))</f>
        <v>51000</v>
      </c>
      <c r="H527" s="44" t="n">
        <f aca="false">IF(I527="","",N(H526)+IF($C$5="Debet",F527-G527,G527-F527))</f>
        <v>-2329817</v>
      </c>
      <c r="I527" s="66" t="n">
        <f aca="false">IF(J527&gt;$K$1,"",IFERROR(MATCH(J527,J_BB,0),""))</f>
        <v>785</v>
      </c>
      <c r="J527" s="66" t="n">
        <v>518</v>
      </c>
      <c r="K527" s="5"/>
    </row>
    <row r="528" customFormat="false" ht="15" hidden="false" customHeight="false" outlineLevel="0" collapsed="false">
      <c r="A528" s="5" t="n">
        <f aca="false">IF(I528="","",J528)</f>
        <v>519</v>
      </c>
      <c r="B528" s="83" t="n">
        <f aca="false">IF(I528="","",INDEX(J_TGL,I528))</f>
        <v>46186</v>
      </c>
      <c r="C528" s="5" t="str">
        <f aca="false">IF(I528="","",INDEX(J_NO,I528))</f>
        <v>JU-0786</v>
      </c>
      <c r="D528" s="5" t="str">
        <f aca="false">IF(I528="","",INDEX(J_KET,I528))</f>
        <v>Pindah dana tunai ke BCA (FM tukar uang)</v>
      </c>
      <c r="E528" s="5" t="str">
        <f aca="false">IF(I528="","",IF(INDEX(J_DEB,I528)=$C$3,INDEX(J_KRE,I528),INDEX(J_DEB,I528)))</f>
        <v>Kas Tunai</v>
      </c>
      <c r="F528" s="44" t="n">
        <f aca="false">IF(I528="","",IF(INDEX(J_DEB,I528)=$C$3,INDEX(J_NOM,I528),0))</f>
        <v>12000000</v>
      </c>
      <c r="G528" s="44" t="n">
        <f aca="false">IF(I528="","",IF(INDEX(J_KRE,I528)=$C$3,INDEX(J_NOM,I528),0))</f>
        <v>0</v>
      </c>
      <c r="H528" s="44" t="n">
        <f aca="false">IF(I528="","",N(H527)+IF($C$5="Debet",F528-G528,G528-F528))</f>
        <v>9670183</v>
      </c>
      <c r="I528" s="66" t="n">
        <f aca="false">IF(J528&gt;$K$1,"",IFERROR(MATCH(J528,J_BB,0),""))</f>
        <v>786</v>
      </c>
      <c r="J528" s="66" t="n">
        <v>519</v>
      </c>
      <c r="K528" s="5"/>
    </row>
    <row r="529" customFormat="false" ht="15" hidden="false" customHeight="false" outlineLevel="0" collapsed="false">
      <c r="A529" s="5" t="n">
        <f aca="false">IF(I529="","",J529)</f>
        <v>520</v>
      </c>
      <c r="B529" s="83" t="n">
        <f aca="false">IF(I529="","",INDEX(J_TGL,I529))</f>
        <v>46186</v>
      </c>
      <c r="C529" s="5" t="str">
        <f aca="false">IF(I529="","",INDEX(J_NO,I529))</f>
        <v>JU-0787</v>
      </c>
      <c r="D529" s="5" t="str">
        <f aca="false">IF(I529="","",INDEX(J_KET,I529))</f>
        <v>Biaya jalan/makan event artefack</v>
      </c>
      <c r="E529" s="5" t="str">
        <f aca="false">IF(I529="","",IF(INDEX(J_DEB,I529)=$C$3,INDEX(J_KRE,I529),INDEX(J_DEB,I529)))</f>
        <v>Biaya Marketing &amp; Promosi</v>
      </c>
      <c r="F529" s="44" t="n">
        <f aca="false">IF(I529="","",IF(INDEX(J_DEB,I529)=$C$3,INDEX(J_NOM,I529),0))</f>
        <v>0</v>
      </c>
      <c r="G529" s="44" t="n">
        <f aca="false">IF(I529="","",IF(INDEX(J_KRE,I529)=$C$3,INDEX(J_NOM,I529),0))</f>
        <v>40000</v>
      </c>
      <c r="H529" s="44" t="n">
        <f aca="false">IF(I529="","",N(H528)+IF($C$5="Debet",F529-G529,G529-F529))</f>
        <v>9630183</v>
      </c>
      <c r="I529" s="66" t="n">
        <f aca="false">IF(J529&gt;$K$1,"",IFERROR(MATCH(J529,J_BB,0),""))</f>
        <v>787</v>
      </c>
      <c r="J529" s="66" t="n">
        <v>520</v>
      </c>
      <c r="K529" s="5"/>
    </row>
    <row r="530" customFormat="false" ht="15" hidden="false" customHeight="false" outlineLevel="0" collapsed="false">
      <c r="A530" s="5" t="n">
        <f aca="false">IF(I530="","",J530)</f>
        <v>521</v>
      </c>
      <c r="B530" s="83" t="n">
        <f aca="false">IF(I530="","",INDEX(J_TGL,I530))</f>
        <v>46186</v>
      </c>
      <c r="C530" s="5" t="str">
        <f aca="false">IF(I530="","",INDEX(J_NO,I530))</f>
        <v>JU-0788</v>
      </c>
      <c r="D530" s="5" t="str">
        <f aca="false">IF(I530="","",INDEX(J_KET,I530))</f>
        <v>Biaya ongkir kirim milac whipping cream</v>
      </c>
      <c r="E530" s="5" t="str">
        <f aca="false">IF(I530="","",IF(INDEX(J_DEB,I530)=$C$3,INDEX(J_KRE,I530),INDEX(J_DEB,I530)))</f>
        <v>Biaya Operasional Harian</v>
      </c>
      <c r="F530" s="44" t="n">
        <f aca="false">IF(I530="","",IF(INDEX(J_DEB,I530)=$C$3,INDEX(J_NOM,I530),0))</f>
        <v>0</v>
      </c>
      <c r="G530" s="44" t="n">
        <f aca="false">IF(I530="","",IF(INDEX(J_KRE,I530)=$C$3,INDEX(J_NOM,I530),0))</f>
        <v>12500</v>
      </c>
      <c r="H530" s="44" t="n">
        <f aca="false">IF(I530="","",N(H529)+IF($C$5="Debet",F530-G530,G530-F530))</f>
        <v>9617683</v>
      </c>
      <c r="I530" s="66" t="n">
        <f aca="false">IF(J530&gt;$K$1,"",IFERROR(MATCH(J530,J_BB,0),""))</f>
        <v>788</v>
      </c>
      <c r="J530" s="66" t="n">
        <v>521</v>
      </c>
      <c r="K530" s="5"/>
    </row>
    <row r="531" customFormat="false" ht="15" hidden="false" customHeight="false" outlineLevel="0" collapsed="false">
      <c r="A531" s="5" t="n">
        <f aca="false">IF(I531="","",J531)</f>
        <v>522</v>
      </c>
      <c r="B531" s="83" t="n">
        <f aca="false">IF(I531="","",INDEX(J_TGL,I531))</f>
        <v>46186</v>
      </c>
      <c r="C531" s="5" t="str">
        <f aca="false">IF(I531="","",INDEX(J_NO,I531))</f>
        <v>JU-0789</v>
      </c>
      <c r="D531" s="5" t="str">
        <f aca="false">IF(I531="","",INDEX(J_KET,I531))</f>
        <v>Biaya admin top up gopay bayar gosend</v>
      </c>
      <c r="E531" s="5" t="str">
        <f aca="false">IF(I531="","",IF(INDEX(J_DEB,I531)=$C$3,INDEX(J_KRE,I531),INDEX(J_DEB,I531)))</f>
        <v>Biaya Lainnya</v>
      </c>
      <c r="F531" s="44" t="n">
        <f aca="false">IF(I531="","",IF(INDEX(J_DEB,I531)=$C$3,INDEX(J_NOM,I531),0))</f>
        <v>0</v>
      </c>
      <c r="G531" s="44" t="n">
        <f aca="false">IF(I531="","",IF(INDEX(J_KRE,I531)=$C$3,INDEX(J_NOM,I531),0))</f>
        <v>1000</v>
      </c>
      <c r="H531" s="44" t="n">
        <f aca="false">IF(I531="","",N(H530)+IF($C$5="Debet",F531-G531,G531-F531))</f>
        <v>9616683</v>
      </c>
      <c r="I531" s="66" t="n">
        <f aca="false">IF(J531&gt;$K$1,"",IFERROR(MATCH(J531,J_BB,0),""))</f>
        <v>789</v>
      </c>
      <c r="J531" s="66" t="n">
        <v>522</v>
      </c>
      <c r="K531" s="5"/>
    </row>
    <row r="532" customFormat="false" ht="15" hidden="false" customHeight="false" outlineLevel="0" collapsed="false">
      <c r="A532" s="5" t="n">
        <f aca="false">IF(I532="","",J532)</f>
        <v>523</v>
      </c>
      <c r="B532" s="83" t="n">
        <f aca="false">IF(I532="","",INDEX(J_TGL,I532))</f>
        <v>46186</v>
      </c>
      <c r="C532" s="5" t="str">
        <f aca="false">IF(I532="","",INDEX(J_NO,I532))</f>
        <v>JU-0790</v>
      </c>
      <c r="D532" s="5" t="str">
        <f aca="false">IF(I532="","",INDEX(J_KET,I532))</f>
        <v>Milac whipping cream</v>
      </c>
      <c r="E532" s="5" t="str">
        <f aca="false">IF(I532="","",IF(INDEX(J_DEB,I532)=$C$3,INDEX(J_KRE,I532),INDEX(J_DEB,I532)))</f>
        <v>Biaya Bahan Baku</v>
      </c>
      <c r="F532" s="44" t="n">
        <f aca="false">IF(I532="","",IF(INDEX(J_DEB,I532)=$C$3,INDEX(J_NOM,I532),0))</f>
        <v>0</v>
      </c>
      <c r="G532" s="44" t="n">
        <f aca="false">IF(I532="","",IF(INDEX(J_KRE,I532)=$C$3,INDEX(J_NOM,I532),0))</f>
        <v>320000</v>
      </c>
      <c r="H532" s="44" t="n">
        <f aca="false">IF(I532="","",N(H531)+IF($C$5="Debet",F532-G532,G532-F532))</f>
        <v>9296683</v>
      </c>
      <c r="I532" s="66" t="n">
        <f aca="false">IF(J532&gt;$K$1,"",IFERROR(MATCH(J532,J_BB,0),""))</f>
        <v>790</v>
      </c>
      <c r="J532" s="66" t="n">
        <v>523</v>
      </c>
      <c r="K532" s="5"/>
    </row>
    <row r="533" customFormat="false" ht="15" hidden="false" customHeight="false" outlineLevel="0" collapsed="false">
      <c r="A533" s="5" t="n">
        <f aca="false">IF(I533="","",J533)</f>
        <v>524</v>
      </c>
      <c r="B533" s="83" t="n">
        <f aca="false">IF(I533="","",INDEX(J_TGL,I533))</f>
        <v>46186</v>
      </c>
      <c r="C533" s="5" t="str">
        <f aca="false">IF(I533="","",INDEX(J_NO,I533))</f>
        <v>JU-0791</v>
      </c>
      <c r="D533" s="5" t="str">
        <f aca="false">IF(I533="","",INDEX(J_KET,I533))</f>
        <v>Biaya transfer flip</v>
      </c>
      <c r="E533" s="5" t="str">
        <f aca="false">IF(I533="","",IF(INDEX(J_DEB,I533)=$C$3,INDEX(J_KRE,I533),INDEX(J_DEB,I533)))</f>
        <v>Biaya Lainnya</v>
      </c>
      <c r="F533" s="44" t="n">
        <f aca="false">IF(I533="","",IF(INDEX(J_DEB,I533)=$C$3,INDEX(J_NOM,I533),0))</f>
        <v>0</v>
      </c>
      <c r="G533" s="44" t="n">
        <f aca="false">IF(I533="","",IF(INDEX(J_KRE,I533)=$C$3,INDEX(J_NOM,I533),0))</f>
        <v>396</v>
      </c>
      <c r="H533" s="44" t="n">
        <f aca="false">IF(I533="","",N(H532)+IF($C$5="Debet",F533-G533,G533-F533))</f>
        <v>9296287</v>
      </c>
      <c r="I533" s="66" t="n">
        <f aca="false">IF(J533&gt;$K$1,"",IFERROR(MATCH(J533,J_BB,0),""))</f>
        <v>791</v>
      </c>
      <c r="J533" s="66" t="n">
        <v>524</v>
      </c>
      <c r="K533" s="5"/>
    </row>
    <row r="534" customFormat="false" ht="15" hidden="false" customHeight="false" outlineLevel="0" collapsed="false">
      <c r="A534" s="5" t="n">
        <f aca="false">IF(I534="","",J534)</f>
        <v>525</v>
      </c>
      <c r="B534" s="83" t="n">
        <f aca="false">IF(I534="","",INDEX(J_TGL,I534))</f>
        <v>46189</v>
      </c>
      <c r="C534" s="5" t="str">
        <f aca="false">IF(I534="","",INDEX(J_NO,I534))</f>
        <v>JU-0798</v>
      </c>
      <c r="D534" s="5" t="str">
        <f aca="false">IF(I534="","",INDEX(J_KET,I534))</f>
        <v>Tiramisu 2 batch tgl 04 &amp; 10 Jun (18pcs)</v>
      </c>
      <c r="E534" s="5" t="str">
        <f aca="false">IF(I534="","",IF(INDEX(J_DEB,I534)=$C$3,INDEX(J_KRE,I534),INDEX(J_DEB,I534)))</f>
        <v>Biaya Bahan Baku</v>
      </c>
      <c r="F534" s="44" t="n">
        <f aca="false">IF(I534="","",IF(INDEX(J_DEB,I534)=$C$3,INDEX(J_NOM,I534),0))</f>
        <v>0</v>
      </c>
      <c r="G534" s="44" t="n">
        <f aca="false">IF(I534="","",IF(INDEX(J_KRE,I534)=$C$3,INDEX(J_NOM,I534),0))</f>
        <v>240000</v>
      </c>
      <c r="H534" s="44" t="n">
        <f aca="false">IF(I534="","",N(H533)+IF($C$5="Debet",F534-G534,G534-F534))</f>
        <v>9056287</v>
      </c>
      <c r="I534" s="66" t="n">
        <f aca="false">IF(J534&gt;$K$1,"",IFERROR(MATCH(J534,J_BB,0),""))</f>
        <v>798</v>
      </c>
      <c r="J534" s="66" t="n">
        <v>525</v>
      </c>
      <c r="K534" s="5"/>
    </row>
    <row r="535" customFormat="false" ht="15" hidden="false" customHeight="false" outlineLevel="0" collapsed="false">
      <c r="A535" s="5" t="n">
        <f aca="false">IF(I535="","",J535)</f>
        <v>526</v>
      </c>
      <c r="B535" s="83" t="n">
        <f aca="false">IF(I535="","",INDEX(J_TGL,I535))</f>
        <v>46190</v>
      </c>
      <c r="C535" s="5" t="str">
        <f aca="false">IF(I535="","",INDEX(J_NO,I535))</f>
        <v>JU-0799</v>
      </c>
      <c r="D535" s="5" t="str">
        <f aca="false">IF(I535="","",INDEX(J_KET,I535))</f>
        <v>Unlock water</v>
      </c>
      <c r="E535" s="5" t="str">
        <f aca="false">IF(I535="","",IF(INDEX(J_DEB,I535)=$C$3,INDEX(J_KRE,I535),INDEX(J_DEB,I535)))</f>
        <v>Biaya Bahan Baku</v>
      </c>
      <c r="F535" s="44" t="n">
        <f aca="false">IF(I535="","",IF(INDEX(J_DEB,I535)=$C$3,INDEX(J_NOM,I535),0))</f>
        <v>0</v>
      </c>
      <c r="G535" s="44" t="n">
        <f aca="false">IF(I535="","",IF(INDEX(J_KRE,I535)=$C$3,INDEX(J_NOM,I535),0))</f>
        <v>266000</v>
      </c>
      <c r="H535" s="44" t="n">
        <f aca="false">IF(I535="","",N(H534)+IF($C$5="Debet",F535-G535,G535-F535))</f>
        <v>8790287</v>
      </c>
      <c r="I535" s="66" t="n">
        <f aca="false">IF(J535&gt;$K$1,"",IFERROR(MATCH(J535,J_BB,0),""))</f>
        <v>799</v>
      </c>
      <c r="J535" s="66" t="n">
        <v>526</v>
      </c>
      <c r="K535" s="5"/>
    </row>
    <row r="536" customFormat="false" ht="15" hidden="false" customHeight="false" outlineLevel="0" collapsed="false">
      <c r="A536" s="5" t="n">
        <f aca="false">IF(I536="","",J536)</f>
        <v>527</v>
      </c>
      <c r="B536" s="83" t="n">
        <f aca="false">IF(I536="","",INDEX(J_TGL,I536))</f>
        <v>46190</v>
      </c>
      <c r="C536" s="5" t="str">
        <f aca="false">IF(I536="","",INDEX(J_NO,I536))</f>
        <v>JU-0800</v>
      </c>
      <c r="D536" s="5" t="str">
        <f aca="false">IF(I536="","",INDEX(J_KET,I536))</f>
        <v>koreksi</v>
      </c>
      <c r="E536" s="5" t="str">
        <f aca="false">IF(I536="","",IF(INDEX(J_DEB,I536)=$C$3,INDEX(J_KRE,I536),INDEX(J_DEB,I536)))</f>
        <v>Pendapatan Lainnya</v>
      </c>
      <c r="F536" s="44" t="n">
        <f aca="false">IF(I536="","",IF(INDEX(J_DEB,I536)=$C$3,INDEX(J_NOM,I536),0))</f>
        <v>2</v>
      </c>
      <c r="G536" s="44" t="n">
        <f aca="false">IF(I536="","",IF(INDEX(J_KRE,I536)=$C$3,INDEX(J_NOM,I536),0))</f>
        <v>0</v>
      </c>
      <c r="H536" s="44" t="n">
        <f aca="false">IF(I536="","",N(H535)+IF($C$5="Debet",F536-G536,G536-F536))</f>
        <v>8790289</v>
      </c>
      <c r="I536" s="66" t="n">
        <f aca="false">IF(J536&gt;$K$1,"",IFERROR(MATCH(J536,J_BB,0),""))</f>
        <v>800</v>
      </c>
      <c r="J536" s="66" t="n">
        <v>527</v>
      </c>
      <c r="K536" s="5"/>
    </row>
    <row r="537" customFormat="false" ht="15" hidden="false" customHeight="false" outlineLevel="0" collapsed="false">
      <c r="A537" s="5" t="n">
        <f aca="false">IF(I537="","",J537)</f>
        <v>528</v>
      </c>
      <c r="B537" s="83" t="n">
        <f aca="false">IF(I537="","",INDEX(J_TGL,I537))</f>
        <v>46190</v>
      </c>
      <c r="C537" s="5" t="str">
        <f aca="false">IF(I537="","",INDEX(J_NO,I537))</f>
        <v>JU-0801</v>
      </c>
      <c r="D537" s="5" t="str">
        <f aca="false">IF(I537="","",INDEX(J_KET,I537))</f>
        <v>spare part blender</v>
      </c>
      <c r="E537" s="5" t="str">
        <f aca="false">IF(I537="","",IF(INDEX(J_DEB,I537)=$C$3,INDEX(J_KRE,I537),INDEX(J_DEB,I537)))</f>
        <v>Biaya Pemeliharaan</v>
      </c>
      <c r="F537" s="44" t="n">
        <f aca="false">IF(I537="","",IF(INDEX(J_DEB,I537)=$C$3,INDEX(J_NOM,I537),0))</f>
        <v>0</v>
      </c>
      <c r="G537" s="44" t="n">
        <f aca="false">IF(I537="","",IF(INDEX(J_KRE,I537)=$C$3,INDEX(J_NOM,I537),0))</f>
        <v>27000</v>
      </c>
      <c r="H537" s="44" t="n">
        <f aca="false">IF(I537="","",N(H536)+IF($C$5="Debet",F537-G537,G537-F537))</f>
        <v>8763289</v>
      </c>
      <c r="I537" s="66" t="n">
        <f aca="false">IF(J537&gt;$K$1,"",IFERROR(MATCH(J537,J_BB,0),""))</f>
        <v>801</v>
      </c>
      <c r="J537" s="66" t="n">
        <v>528</v>
      </c>
      <c r="K537" s="5"/>
    </row>
    <row r="538" customFormat="false" ht="15" hidden="false" customHeight="false" outlineLevel="0" collapsed="false">
      <c r="A538" s="5" t="n">
        <f aca="false">IF(I538="","",J538)</f>
        <v>529</v>
      </c>
      <c r="B538" s="83" t="n">
        <f aca="false">IF(I538="","",INDEX(J_TGL,I538))</f>
        <v>46190</v>
      </c>
      <c r="C538" s="5" t="str">
        <f aca="false">IF(I538="","",INDEX(J_NO,I538))</f>
        <v>JU-0802</v>
      </c>
      <c r="D538" s="5" t="str">
        <f aca="false">IF(I538="","",INDEX(J_KET,I538))</f>
        <v>Pindah dana BCA ke Tunai (tuker pecah TJA)</v>
      </c>
      <c r="E538" s="5" t="str">
        <f aca="false">IF(I538="","",IF(INDEX(J_DEB,I538)=$C$3,INDEX(J_KRE,I538),INDEX(J_DEB,I538)))</f>
        <v>Kas Tunai</v>
      </c>
      <c r="F538" s="44" t="n">
        <f aca="false">IF(I538="","",IF(INDEX(J_DEB,I538)=$C$3,INDEX(J_NOM,I538),0))</f>
        <v>0</v>
      </c>
      <c r="G538" s="44" t="n">
        <f aca="false">IF(I538="","",IF(INDEX(J_KRE,I538)=$C$3,INDEX(J_NOM,I538),0))</f>
        <v>2000000</v>
      </c>
      <c r="H538" s="44" t="n">
        <f aca="false">IF(I538="","",N(H537)+IF($C$5="Debet",F538-G538,G538-F538))</f>
        <v>6763289</v>
      </c>
      <c r="I538" s="66" t="n">
        <f aca="false">IF(J538&gt;$K$1,"",IFERROR(MATCH(J538,J_BB,0),""))</f>
        <v>802</v>
      </c>
      <c r="J538" s="66" t="n">
        <v>529</v>
      </c>
      <c r="K538" s="5"/>
    </row>
    <row r="539" customFormat="false" ht="15" hidden="false" customHeight="false" outlineLevel="0" collapsed="false">
      <c r="A539" s="5" t="n">
        <f aca="false">IF(I539="","",J539)</f>
        <v>530</v>
      </c>
      <c r="B539" s="83" t="n">
        <f aca="false">IF(I539="","",INDEX(J_TGL,I539))</f>
        <v>46191</v>
      </c>
      <c r="C539" s="5" t="str">
        <f aca="false">IF(I539="","",INDEX(J_NO,I539))</f>
        <v>JU-0803</v>
      </c>
      <c r="D539" s="5" t="str">
        <f aca="false">IF(I539="","",INDEX(J_KET,I539))</f>
        <v>Service show case kulkas dapur</v>
      </c>
      <c r="E539" s="5" t="str">
        <f aca="false">IF(I539="","",IF(INDEX(J_DEB,I539)=$C$3,INDEX(J_KRE,I539),INDEX(J_DEB,I539)))</f>
        <v>Biaya Pemeliharaan</v>
      </c>
      <c r="F539" s="44" t="n">
        <f aca="false">IF(I539="","",IF(INDEX(J_DEB,I539)=$C$3,INDEX(J_NOM,I539),0))</f>
        <v>0</v>
      </c>
      <c r="G539" s="44" t="n">
        <f aca="false">IF(I539="","",IF(INDEX(J_KRE,I539)=$C$3,INDEX(J_NOM,I539),0))</f>
        <v>380000</v>
      </c>
      <c r="H539" s="44" t="n">
        <f aca="false">IF(I539="","",N(H538)+IF($C$5="Debet",F539-G539,G539-F539))</f>
        <v>6383289</v>
      </c>
      <c r="I539" s="66" t="n">
        <f aca="false">IF(J539&gt;$K$1,"",IFERROR(MATCH(J539,J_BB,0),""))</f>
        <v>803</v>
      </c>
      <c r="J539" s="66" t="n">
        <v>530</v>
      </c>
      <c r="K539" s="5"/>
    </row>
    <row r="540" customFormat="false" ht="15" hidden="false" customHeight="false" outlineLevel="0" collapsed="false">
      <c r="A540" s="5" t="n">
        <f aca="false">IF(I540="","",J540)</f>
        <v>531</v>
      </c>
      <c r="B540" s="83" t="n">
        <f aca="false">IF(I540="","",INDEX(J_TGL,I540))</f>
        <v>46191</v>
      </c>
      <c r="C540" s="5" t="str">
        <f aca="false">IF(I540="","",INDEX(J_NO,I540))</f>
        <v>JU-0804</v>
      </c>
      <c r="D540" s="5" t="str">
        <f aca="false">IF(I540="","",INDEX(J_KET,I540))</f>
        <v>Biji kopi/beans Yantos 24kg</v>
      </c>
      <c r="E540" s="5" t="str">
        <f aca="false">IF(I540="","",IF(INDEX(J_DEB,I540)=$C$3,INDEX(J_KRE,I540),INDEX(J_DEB,I540)))</f>
        <v>Biaya Bahan Baku</v>
      </c>
      <c r="F540" s="44" t="n">
        <f aca="false">IF(I540="","",IF(INDEX(J_DEB,I540)=$C$3,INDEX(J_NOM,I540),0))</f>
        <v>0</v>
      </c>
      <c r="G540" s="44" t="n">
        <f aca="false">IF(I540="","",IF(INDEX(J_KRE,I540)=$C$3,INDEX(J_NOM,I540),0))</f>
        <v>7200000</v>
      </c>
      <c r="H540" s="44" t="n">
        <f aca="false">IF(I540="","",N(H539)+IF($C$5="Debet",F540-G540,G540-F540))</f>
        <v>-816711</v>
      </c>
      <c r="I540" s="66" t="n">
        <f aca="false">IF(J540&gt;$K$1,"",IFERROR(MATCH(J540,J_BB,0),""))</f>
        <v>804</v>
      </c>
      <c r="J540" s="66" t="n">
        <v>531</v>
      </c>
      <c r="K540" s="5"/>
    </row>
    <row r="541" customFormat="false" ht="15" hidden="false" customHeight="false" outlineLevel="0" collapsed="false">
      <c r="A541" s="5" t="n">
        <f aca="false">IF(I541="","",J541)</f>
        <v>532</v>
      </c>
      <c r="B541" s="83" t="n">
        <f aca="false">IF(I541="","",INDEX(J_TGL,I541))</f>
        <v>46192</v>
      </c>
      <c r="C541" s="5" t="str">
        <f aca="false">IF(I541="","",INDEX(J_NO,I541))</f>
        <v>JU-0805</v>
      </c>
      <c r="D541" s="5" t="str">
        <f aca="false">IF(I541="","",INDEX(J_KET,I541))</f>
        <v>Raket nyamuk</v>
      </c>
      <c r="E541" s="5" t="str">
        <f aca="false">IF(I541="","",IF(INDEX(J_DEB,I541)=$C$3,INDEX(J_KRE,I541),INDEX(J_DEB,I541)))</f>
        <v>Beban Perlengkapan</v>
      </c>
      <c r="F541" s="44" t="n">
        <f aca="false">IF(I541="","",IF(INDEX(J_DEB,I541)=$C$3,INDEX(J_NOM,I541),0))</f>
        <v>0</v>
      </c>
      <c r="G541" s="44" t="n">
        <f aca="false">IF(I541="","",IF(INDEX(J_KRE,I541)=$C$3,INDEX(J_NOM,I541),0))</f>
        <v>75000</v>
      </c>
      <c r="H541" s="44" t="n">
        <f aca="false">IF(I541="","",N(H540)+IF($C$5="Debet",F541-G541,G541-F541))</f>
        <v>-891711</v>
      </c>
      <c r="I541" s="66" t="n">
        <f aca="false">IF(J541&gt;$K$1,"",IFERROR(MATCH(J541,J_BB,0),""))</f>
        <v>805</v>
      </c>
      <c r="J541" s="66" t="n">
        <v>532</v>
      </c>
      <c r="K541" s="5"/>
    </row>
    <row r="542" customFormat="false" ht="15" hidden="false" customHeight="false" outlineLevel="0" collapsed="false">
      <c r="A542" s="5" t="n">
        <f aca="false">IF(I542="","",J542)</f>
        <v>533</v>
      </c>
      <c r="B542" s="83" t="n">
        <f aca="false">IF(I542="","",INDEX(J_TGL,I542))</f>
        <v>46192</v>
      </c>
      <c r="C542" s="5" t="str">
        <f aca="false">IF(I542="","",INDEX(J_NO,I542))</f>
        <v>JU-0806</v>
      </c>
      <c r="D542" s="5" t="str">
        <f aca="false">IF(I542="","",INDEX(J_KET,I542))</f>
        <v>Biaya transfer flip</v>
      </c>
      <c r="E542" s="5" t="str">
        <f aca="false">IF(I542="","",IF(INDEX(J_DEB,I542)=$C$3,INDEX(J_KRE,I542),INDEX(J_DEB,I542)))</f>
        <v>Biaya Lainnya</v>
      </c>
      <c r="F542" s="44" t="n">
        <f aca="false">IF(I542="","",IF(INDEX(J_DEB,I542)=$C$3,INDEX(J_NOM,I542),0))</f>
        <v>0</v>
      </c>
      <c r="G542" s="44" t="n">
        <f aca="false">IF(I542="","",IF(INDEX(J_KRE,I542)=$C$3,INDEX(J_NOM,I542),0))</f>
        <v>335</v>
      </c>
      <c r="H542" s="44" t="n">
        <f aca="false">IF(I542="","",N(H541)+IF($C$5="Debet",F542-G542,G542-F542))</f>
        <v>-892046</v>
      </c>
      <c r="I542" s="66" t="n">
        <f aca="false">IF(J542&gt;$K$1,"",IFERROR(MATCH(J542,J_BB,0),""))</f>
        <v>806</v>
      </c>
      <c r="J542" s="66" t="n">
        <v>533</v>
      </c>
      <c r="K542" s="5"/>
    </row>
    <row r="543" customFormat="false" ht="15" hidden="false" customHeight="false" outlineLevel="0" collapsed="false">
      <c r="A543" s="5" t="n">
        <f aca="false">IF(I543="","",J543)</f>
        <v>534</v>
      </c>
      <c r="B543" s="83" t="n">
        <f aca="false">IF(I543="","",INDEX(J_TGL,I543))</f>
        <v>46193</v>
      </c>
      <c r="C543" s="5" t="str">
        <f aca="false">IF(I543="","",INDEX(J_NO,I543))</f>
        <v>JU-0807</v>
      </c>
      <c r="D543" s="5" t="str">
        <f aca="false">IF(I543="","",INDEX(J_KET,I543))</f>
        <v>Pembayaran langganan aplikasi Majoo</v>
      </c>
      <c r="E543" s="5" t="str">
        <f aca="false">IF(I543="","",IF(INDEX(J_DEB,I543)=$C$3,INDEX(J_KRE,I543),INDEX(J_DEB,I543)))</f>
        <v>Biaya Tagihan Bulanan</v>
      </c>
      <c r="F543" s="44" t="n">
        <f aca="false">IF(I543="","",IF(INDEX(J_DEB,I543)=$C$3,INDEX(J_NOM,I543),0))</f>
        <v>0</v>
      </c>
      <c r="G543" s="44" t="n">
        <f aca="false">IF(I543="","",IF(INDEX(J_KRE,I543)=$C$3,INDEX(J_NOM,I543),0))</f>
        <v>287490</v>
      </c>
      <c r="H543" s="44" t="n">
        <f aca="false">IF(I543="","",N(H542)+IF($C$5="Debet",F543-G543,G543-F543))</f>
        <v>-1179536</v>
      </c>
      <c r="I543" s="66" t="n">
        <f aca="false">IF(J543&gt;$K$1,"",IFERROR(MATCH(J543,J_BB,0),""))</f>
        <v>807</v>
      </c>
      <c r="J543" s="66" t="n">
        <v>534</v>
      </c>
      <c r="K543" s="5"/>
    </row>
    <row r="544" customFormat="false" ht="15" hidden="false" customHeight="false" outlineLevel="0" collapsed="false">
      <c r="A544" s="5" t="n">
        <f aca="false">IF(I544="","",J544)</f>
        <v>535</v>
      </c>
      <c r="B544" s="83" t="n">
        <f aca="false">IF(I544="","",INDEX(J_TGL,I544))</f>
        <v>46195</v>
      </c>
      <c r="C544" s="5" t="str">
        <f aca="false">IF(I544="","",INDEX(J_NO,I544))</f>
        <v>JU-0814</v>
      </c>
      <c r="D544" s="5" t="str">
        <f aca="false">IF(I544="","",INDEX(J_KET,I544))</f>
        <v>Pindah dana tunai ke kas warung (tambahan belanja)</v>
      </c>
      <c r="E544" s="5" t="str">
        <f aca="false">IF(I544="","",IF(INDEX(J_DEB,I544)=$C$3,INDEX(J_KRE,I544),INDEX(J_DEB,I544)))</f>
        <v>Kas Warung</v>
      </c>
      <c r="F544" s="44" t="n">
        <f aca="false">IF(I544="","",IF(INDEX(J_DEB,I544)=$C$3,INDEX(J_NOM,I544),0))</f>
        <v>0</v>
      </c>
      <c r="G544" s="44" t="n">
        <f aca="false">IF(I544="","",IF(INDEX(J_KRE,I544)=$C$3,INDEX(J_NOM,I544),0))</f>
        <v>3000000</v>
      </c>
      <c r="H544" s="44" t="n">
        <f aca="false">IF(I544="","",N(H543)+IF($C$5="Debet",F544-G544,G544-F544))</f>
        <v>-4179536</v>
      </c>
      <c r="I544" s="66" t="n">
        <f aca="false">IF(J544&gt;$K$1,"",IFERROR(MATCH(J544,J_BB,0),""))</f>
        <v>814</v>
      </c>
      <c r="J544" s="66" t="n">
        <v>535</v>
      </c>
      <c r="K544" s="5"/>
    </row>
    <row r="545" customFormat="false" ht="15" hidden="false" customHeight="false" outlineLevel="0" collapsed="false">
      <c r="A545" s="5" t="n">
        <f aca="false">IF(I545="","",J545)</f>
        <v>536</v>
      </c>
      <c r="B545" s="83" t="n">
        <f aca="false">IF(I545="","",INDEX(J_TGL,I545))</f>
        <v>46195</v>
      </c>
      <c r="C545" s="5" t="str">
        <f aca="false">IF(I545="","",INDEX(J_NO,I545))</f>
        <v>JU-0815</v>
      </c>
      <c r="D545" s="5" t="str">
        <f aca="false">IF(I545="","",INDEX(J_KET,I545))</f>
        <v>Pindah dana tunai ke BCA (Afa tukar uang)</v>
      </c>
      <c r="E545" s="5" t="str">
        <f aca="false">IF(I545="","",IF(INDEX(J_DEB,I545)=$C$3,INDEX(J_KRE,I545),INDEX(J_DEB,I545)))</f>
        <v>Kas Tunai</v>
      </c>
      <c r="F545" s="44" t="n">
        <f aca="false">IF(I545="","",IF(INDEX(J_DEB,I545)=$C$3,INDEX(J_NOM,I545),0))</f>
        <v>250000</v>
      </c>
      <c r="G545" s="44" t="n">
        <f aca="false">IF(I545="","",IF(INDEX(J_KRE,I545)=$C$3,INDEX(J_NOM,I545),0))</f>
        <v>0</v>
      </c>
      <c r="H545" s="44" t="n">
        <f aca="false">IF(I545="","",N(H544)+IF($C$5="Debet",F545-G545,G545-F545))</f>
        <v>-3929536</v>
      </c>
      <c r="I545" s="66" t="n">
        <f aca="false">IF(J545&gt;$K$1,"",IFERROR(MATCH(J545,J_BB,0),""))</f>
        <v>815</v>
      </c>
      <c r="J545" s="66" t="n">
        <v>536</v>
      </c>
      <c r="K545" s="5"/>
    </row>
    <row r="546" customFormat="false" ht="15" hidden="false" customHeight="false" outlineLevel="0" collapsed="false">
      <c r="A546" s="5" t="n">
        <f aca="false">IF(I546="","",J546)</f>
        <v>537</v>
      </c>
      <c r="B546" s="83" t="n">
        <f aca="false">IF(I546="","",INDEX(J_TGL,I546))</f>
        <v>46195</v>
      </c>
      <c r="C546" s="5" t="str">
        <f aca="false">IF(I546="","",INDEX(J_NO,I546))</f>
        <v>JU-0816</v>
      </c>
      <c r="D546" s="5" t="str">
        <f aca="false">IF(I546="","",INDEX(J_KET,I546))</f>
        <v>Biaya transfer flip</v>
      </c>
      <c r="E546" s="5" t="str">
        <f aca="false">IF(I546="","",IF(INDEX(J_DEB,I546)=$C$3,INDEX(J_KRE,I546),INDEX(J_DEB,I546)))</f>
        <v>Biaya Lainnya</v>
      </c>
      <c r="F546" s="44" t="n">
        <f aca="false">IF(I546="","",IF(INDEX(J_DEB,I546)=$C$3,INDEX(J_NOM,I546),0))</f>
        <v>0</v>
      </c>
      <c r="G546" s="44" t="n">
        <f aca="false">IF(I546="","",IF(INDEX(J_KRE,I546)=$C$3,INDEX(J_NOM,I546),0))</f>
        <v>348</v>
      </c>
      <c r="H546" s="44" t="n">
        <f aca="false">IF(I546="","",N(H545)+IF($C$5="Debet",F546-G546,G546-F546))</f>
        <v>-3929884</v>
      </c>
      <c r="I546" s="66" t="n">
        <f aca="false">IF(J546&gt;$K$1,"",IFERROR(MATCH(J546,J_BB,0),""))</f>
        <v>816</v>
      </c>
      <c r="J546" s="66" t="n">
        <v>537</v>
      </c>
      <c r="K546" s="5"/>
    </row>
    <row r="547" customFormat="false" ht="15" hidden="false" customHeight="false" outlineLevel="0" collapsed="false">
      <c r="A547" s="5" t="n">
        <f aca="false">IF(I547="","",J547)</f>
        <v>538</v>
      </c>
      <c r="B547" s="83" t="n">
        <f aca="false">IF(I547="","",INDEX(J_TGL,I547))</f>
        <v>46195</v>
      </c>
      <c r="C547" s="5" t="str">
        <f aca="false">IF(I547="","",INDEX(J_NO,I547))</f>
        <v>JU-0817</v>
      </c>
      <c r="D547" s="5" t="str">
        <f aca="false">IF(I547="","",INDEX(J_KET,I547))</f>
        <v>donat artefak</v>
      </c>
      <c r="E547" s="5" t="str">
        <f aca="false">IF(I547="","",IF(INDEX(J_DEB,I547)=$C$3,INDEX(J_KRE,I547),INDEX(J_DEB,I547)))</f>
        <v>Biaya Bahan Baku</v>
      </c>
      <c r="F547" s="44" t="n">
        <f aca="false">IF(I547="","",IF(INDEX(J_DEB,I547)=$C$3,INDEX(J_NOM,I547),0))</f>
        <v>0</v>
      </c>
      <c r="G547" s="44" t="n">
        <f aca="false">IF(I547="","",IF(INDEX(J_KRE,I547)=$C$3,INDEX(J_NOM,I547),0))</f>
        <v>140000</v>
      </c>
      <c r="H547" s="44" t="n">
        <f aca="false">IF(I547="","",N(H546)+IF($C$5="Debet",F547-G547,G547-F547))</f>
        <v>-4069884</v>
      </c>
      <c r="I547" s="66" t="n">
        <f aca="false">IF(J547&gt;$K$1,"",IFERROR(MATCH(J547,J_BB,0),""))</f>
        <v>817</v>
      </c>
      <c r="J547" s="66" t="n">
        <v>538</v>
      </c>
      <c r="K547" s="5"/>
    </row>
    <row r="548" customFormat="false" ht="15" hidden="false" customHeight="false" outlineLevel="0" collapsed="false">
      <c r="A548" s="5" t="n">
        <f aca="false">IF(I548="","",J548)</f>
        <v>539</v>
      </c>
      <c r="B548" s="83" t="n">
        <f aca="false">IF(I548="","",INDEX(J_TGL,I548))</f>
        <v>46195</v>
      </c>
      <c r="C548" s="5" t="str">
        <f aca="false">IF(I548="","",INDEX(J_NO,I548))</f>
        <v>JU-0818</v>
      </c>
      <c r="D548" s="5" t="str">
        <f aca="false">IF(I548="","",INDEX(J_KET,I548))</f>
        <v>faktur 22 Juli 1 dus facial isi 40 pack</v>
      </c>
      <c r="E548" s="5" t="str">
        <f aca="false">IF(I548="","",IF(INDEX(J_DEB,I548)=$C$3,INDEX(J_KRE,I548),INDEX(J_DEB,I548)))</f>
        <v>Beban Perlengkapan</v>
      </c>
      <c r="F548" s="44" t="n">
        <f aca="false">IF(I548="","",IF(INDEX(J_DEB,I548)=$C$3,INDEX(J_NOM,I548),0))</f>
        <v>0</v>
      </c>
      <c r="G548" s="44" t="n">
        <f aca="false">IF(I548="","",IF(INDEX(J_KRE,I548)=$C$3,INDEX(J_NOM,I548),0))</f>
        <v>290000</v>
      </c>
      <c r="H548" s="44" t="n">
        <f aca="false">IF(I548="","",N(H547)+IF($C$5="Debet",F548-G548,G548-F548))</f>
        <v>-4359884</v>
      </c>
      <c r="I548" s="66" t="n">
        <f aca="false">IF(J548&gt;$K$1,"",IFERROR(MATCH(J548,J_BB,0),""))</f>
        <v>818</v>
      </c>
      <c r="J548" s="66" t="n">
        <v>539</v>
      </c>
      <c r="K548" s="5"/>
    </row>
    <row r="549" customFormat="false" ht="15" hidden="false" customHeight="false" outlineLevel="0" collapsed="false">
      <c r="A549" s="5" t="n">
        <f aca="false">IF(I549="","",J549)</f>
        <v>540</v>
      </c>
      <c r="B549" s="83" t="n">
        <f aca="false">IF(I549="","",INDEX(J_TGL,I549))</f>
        <v>46195</v>
      </c>
      <c r="C549" s="5" t="str">
        <f aca="false">IF(I549="","",INDEX(J_NO,I549))</f>
        <v>JU-0819</v>
      </c>
      <c r="D549" s="5" t="str">
        <f aca="false">IF(I549="","",INDEX(J_KET,I549))</f>
        <v>faktur 22 Juli kitchen towel 2 dus isi 24 pack</v>
      </c>
      <c r="E549" s="5" t="str">
        <f aca="false">IF(I549="","",IF(INDEX(J_DEB,I549)=$C$3,INDEX(J_KRE,I549),INDEX(J_DEB,I549)))</f>
        <v>Beban Perlengkapan</v>
      </c>
      <c r="F549" s="44" t="n">
        <f aca="false">IF(I549="","",IF(INDEX(J_DEB,I549)=$C$3,INDEX(J_NOM,I549),0))</f>
        <v>0</v>
      </c>
      <c r="G549" s="44" t="n">
        <f aca="false">IF(I549="","",IF(INDEX(J_KRE,I549)=$C$3,INDEX(J_NOM,I549),0))</f>
        <v>336010</v>
      </c>
      <c r="H549" s="44" t="n">
        <f aca="false">IF(I549="","",N(H548)+IF($C$5="Debet",F549-G549,G549-F549))</f>
        <v>-4695894</v>
      </c>
      <c r="I549" s="66" t="n">
        <f aca="false">IF(J549&gt;$K$1,"",IFERROR(MATCH(J549,J_BB,0),""))</f>
        <v>819</v>
      </c>
      <c r="J549" s="66" t="n">
        <v>540</v>
      </c>
      <c r="K549" s="5"/>
    </row>
    <row r="550" customFormat="false" ht="15" hidden="false" customHeight="false" outlineLevel="0" collapsed="false">
      <c r="A550" s="5" t="n">
        <f aca="false">IF(I550="","",J550)</f>
        <v>541</v>
      </c>
      <c r="B550" s="83" t="n">
        <f aca="false">IF(I550="","",INDEX(J_TGL,I550))</f>
        <v>46196</v>
      </c>
      <c r="C550" s="5" t="str">
        <f aca="false">IF(I550="","",INDEX(J_NO,I550))</f>
        <v>JU-0820</v>
      </c>
      <c r="D550" s="5" t="str">
        <f aca="false">IF(I550="","",INDEX(J_KET,I550))</f>
        <v>Belanja kursi trailtop lipat warna hijau lapis x 10 unit</v>
      </c>
      <c r="E550" s="5" t="str">
        <f aca="false">IF(I550="","",IF(INDEX(J_DEB,I550)=$C$3,INDEX(J_KRE,I550),INDEX(J_DEB,I550)))</f>
        <v>Peralatan</v>
      </c>
      <c r="F550" s="44" t="n">
        <f aca="false">IF(I550="","",IF(INDEX(J_DEB,I550)=$C$3,INDEX(J_NOM,I550),0))</f>
        <v>0</v>
      </c>
      <c r="G550" s="44" t="n">
        <f aca="false">IF(I550="","",IF(INDEX(J_KRE,I550)=$C$3,INDEX(J_NOM,I550),0))</f>
        <v>1891980</v>
      </c>
      <c r="H550" s="44" t="n">
        <f aca="false">IF(I550="","",N(H549)+IF($C$5="Debet",F550-G550,G550-F550))</f>
        <v>-6587874</v>
      </c>
      <c r="I550" s="66" t="n">
        <f aca="false">IF(J550&gt;$K$1,"",IFERROR(MATCH(J550,J_BB,0),""))</f>
        <v>820</v>
      </c>
      <c r="J550" s="66" t="n">
        <v>541</v>
      </c>
      <c r="K550" s="5"/>
    </row>
    <row r="551" customFormat="false" ht="15" hidden="false" customHeight="false" outlineLevel="0" collapsed="false">
      <c r="A551" s="5" t="n">
        <f aca="false">IF(I551="","",J551)</f>
        <v>542</v>
      </c>
      <c r="B551" s="83" t="n">
        <f aca="false">IF(I551="","",INDEX(J_TGL,I551))</f>
        <v>46196</v>
      </c>
      <c r="C551" s="5" t="str">
        <f aca="false">IF(I551="","",INDEX(J_NO,I551))</f>
        <v>JU-0821</v>
      </c>
      <c r="D551" s="5" t="str">
        <f aca="false">IF(I551="","",INDEX(J_KET,I551))</f>
        <v>Belanja alat di solo micro</v>
      </c>
      <c r="E551" s="5" t="str">
        <f aca="false">IF(I551="","",IF(INDEX(J_DEB,I551)=$C$3,INDEX(J_KRE,I551),INDEX(J_DEB,I551)))</f>
        <v>Beban Perlengkapan</v>
      </c>
      <c r="F551" s="44" t="n">
        <f aca="false">IF(I551="","",IF(INDEX(J_DEB,I551)=$C$3,INDEX(J_NOM,I551),0))</f>
        <v>0</v>
      </c>
      <c r="G551" s="44" t="n">
        <f aca="false">IF(I551="","",IF(INDEX(J_KRE,I551)=$C$3,INDEX(J_NOM,I551),0))</f>
        <v>276000</v>
      </c>
      <c r="H551" s="44" t="n">
        <f aca="false">IF(I551="","",N(H550)+IF($C$5="Debet",F551-G551,G551-F551))</f>
        <v>-6863874</v>
      </c>
      <c r="I551" s="66" t="n">
        <f aca="false">IF(J551&gt;$K$1,"",IFERROR(MATCH(J551,J_BB,0),""))</f>
        <v>821</v>
      </c>
      <c r="J551" s="66" t="n">
        <v>542</v>
      </c>
      <c r="K551" s="5"/>
    </row>
    <row r="552" customFormat="false" ht="15" hidden="false" customHeight="false" outlineLevel="0" collapsed="false">
      <c r="A552" s="5" t="n">
        <f aca="false">IF(I552="","",J552)</f>
        <v>543</v>
      </c>
      <c r="B552" s="83" t="n">
        <f aca="false">IF(I552="","",INDEX(J_TGL,I552))</f>
        <v>46196</v>
      </c>
      <c r="C552" s="5" t="str">
        <f aca="false">IF(I552="","",INDEX(J_NO,I552))</f>
        <v>JU-0822</v>
      </c>
      <c r="D552" s="5" t="str">
        <f aca="false">IF(I552="","",INDEX(J_KET,I552))</f>
        <v>Unlock water</v>
      </c>
      <c r="E552" s="5" t="str">
        <f aca="false">IF(I552="","",IF(INDEX(J_DEB,I552)=$C$3,INDEX(J_KRE,I552),INDEX(J_DEB,I552)))</f>
        <v>Biaya Bahan Baku</v>
      </c>
      <c r="F552" s="44" t="n">
        <f aca="false">IF(I552="","",IF(INDEX(J_DEB,I552)=$C$3,INDEX(J_NOM,I552),0))</f>
        <v>0</v>
      </c>
      <c r="G552" s="44" t="n">
        <f aca="false">IF(I552="","",IF(INDEX(J_KRE,I552)=$C$3,INDEX(J_NOM,I552),0))</f>
        <v>247000</v>
      </c>
      <c r="H552" s="44" t="n">
        <f aca="false">IF(I552="","",N(H551)+IF($C$5="Debet",F552-G552,G552-F552))</f>
        <v>-7110874</v>
      </c>
      <c r="I552" s="66" t="n">
        <f aca="false">IF(J552&gt;$K$1,"",IFERROR(MATCH(J552,J_BB,0),""))</f>
        <v>822</v>
      </c>
      <c r="J552" s="66" t="n">
        <v>543</v>
      </c>
      <c r="K552" s="5"/>
    </row>
    <row r="553" customFormat="false" ht="15" hidden="false" customHeight="false" outlineLevel="0" collapsed="false">
      <c r="A553" s="5" t="n">
        <f aca="false">IF(I553="","",J553)</f>
        <v>544</v>
      </c>
      <c r="B553" s="83" t="n">
        <f aca="false">IF(I553="","",INDEX(J_TGL,I553))</f>
        <v>46196</v>
      </c>
      <c r="C553" s="5" t="str">
        <f aca="false">IF(I553="","",INDEX(J_NO,I553))</f>
        <v>JU-0823</v>
      </c>
      <c r="D553" s="5" t="str">
        <f aca="false">IF(I553="","",INDEX(J_KET,I553))</f>
        <v>Cocoa : palm sugar, whipping cream, goldenfill</v>
      </c>
      <c r="E553" s="5" t="str">
        <f aca="false">IF(I553="","",IF(INDEX(J_DEB,I553)=$C$3,INDEX(J_KRE,I553),INDEX(J_DEB,I553)))</f>
        <v>Biaya Bahan Baku</v>
      </c>
      <c r="F553" s="44" t="n">
        <f aca="false">IF(I553="","",IF(INDEX(J_DEB,I553)=$C$3,INDEX(J_NOM,I553),0))</f>
        <v>0</v>
      </c>
      <c r="G553" s="44" t="n">
        <f aca="false">IF(I553="","",IF(INDEX(J_KRE,I553)=$C$3,INDEX(J_NOM,I553),0))</f>
        <v>2163610</v>
      </c>
      <c r="H553" s="44" t="n">
        <f aca="false">IF(I553="","",N(H552)+IF($C$5="Debet",F553-G553,G553-F553))</f>
        <v>-9274484</v>
      </c>
      <c r="I553" s="66" t="n">
        <f aca="false">IF(J553&gt;$K$1,"",IFERROR(MATCH(J553,J_BB,0),""))</f>
        <v>823</v>
      </c>
      <c r="J553" s="66" t="n">
        <v>544</v>
      </c>
      <c r="K553" s="5"/>
    </row>
    <row r="554" customFormat="false" ht="15" hidden="false" customHeight="false" outlineLevel="0" collapsed="false">
      <c r="A554" s="5" t="n">
        <f aca="false">IF(I554="","",J554)</f>
        <v>545</v>
      </c>
      <c r="B554" s="83" t="n">
        <f aca="false">IF(I554="","",INDEX(J_TGL,I554))</f>
        <v>46196</v>
      </c>
      <c r="C554" s="5" t="str">
        <f aca="false">IF(I554="","",INDEX(J_NO,I554))</f>
        <v>JU-0824</v>
      </c>
      <c r="D554" s="5" t="str">
        <f aca="false">IF(I554="","",INDEX(J_KET,I554))</f>
        <v>susu freshmilk greenfield</v>
      </c>
      <c r="E554" s="5" t="str">
        <f aca="false">IF(I554="","",IF(INDEX(J_DEB,I554)=$C$3,INDEX(J_KRE,I554),INDEX(J_DEB,I554)))</f>
        <v>Biaya Bahan Baku</v>
      </c>
      <c r="F554" s="44" t="n">
        <f aca="false">IF(I554="","",IF(INDEX(J_DEB,I554)=$C$3,INDEX(J_NOM,I554),0))</f>
        <v>0</v>
      </c>
      <c r="G554" s="44" t="n">
        <f aca="false">IF(I554="","",IF(INDEX(J_KRE,I554)=$C$3,INDEX(J_NOM,I554),0))</f>
        <v>741000</v>
      </c>
      <c r="H554" s="44" t="n">
        <f aca="false">IF(I554="","",N(H553)+IF($C$5="Debet",F554-G554,G554-F554))</f>
        <v>-10015484</v>
      </c>
      <c r="I554" s="66" t="n">
        <f aca="false">IF(J554&gt;$K$1,"",IFERROR(MATCH(J554,J_BB,0),""))</f>
        <v>824</v>
      </c>
      <c r="J554" s="66" t="n">
        <v>545</v>
      </c>
      <c r="K554" s="5"/>
    </row>
    <row r="555" customFormat="false" ht="15" hidden="false" customHeight="false" outlineLevel="0" collapsed="false">
      <c r="A555" s="5" t="n">
        <f aca="false">IF(I555="","",J555)</f>
        <v>546</v>
      </c>
      <c r="B555" s="83" t="n">
        <f aca="false">IF(I555="","",INDEX(J_TGL,I555))</f>
        <v>46196</v>
      </c>
      <c r="C555" s="5" t="str">
        <f aca="false">IF(I555="","",INDEX(J_NO,I555))</f>
        <v>JU-0825</v>
      </c>
      <c r="D555" s="5" t="str">
        <f aca="false">IF(I555="","",INDEX(J_KET,I555))</f>
        <v>susu UHT &amp; oat</v>
      </c>
      <c r="E555" s="5" t="str">
        <f aca="false">IF(I555="","",IF(INDEX(J_DEB,I555)=$C$3,INDEX(J_KRE,I555),INDEX(J_DEB,I555)))</f>
        <v>Biaya Bahan Baku</v>
      </c>
      <c r="F555" s="44" t="n">
        <f aca="false">IF(I555="","",IF(INDEX(J_DEB,I555)=$C$3,INDEX(J_NOM,I555),0))</f>
        <v>0</v>
      </c>
      <c r="G555" s="44" t="n">
        <f aca="false">IF(I555="","",IF(INDEX(J_KRE,I555)=$C$3,INDEX(J_NOM,I555),0))</f>
        <v>4652000</v>
      </c>
      <c r="H555" s="44" t="n">
        <f aca="false">IF(I555="","",N(H554)+IF($C$5="Debet",F555-G555,G555-F555))</f>
        <v>-14667484</v>
      </c>
      <c r="I555" s="66" t="n">
        <f aca="false">IF(J555&gt;$K$1,"",IFERROR(MATCH(J555,J_BB,0),""))</f>
        <v>825</v>
      </c>
      <c r="J555" s="66" t="n">
        <v>546</v>
      </c>
      <c r="K555" s="5"/>
    </row>
    <row r="556" customFormat="false" ht="15" hidden="false" customHeight="false" outlineLevel="0" collapsed="false">
      <c r="A556" s="5" t="n">
        <f aca="false">IF(I556="","",J556)</f>
        <v>547</v>
      </c>
      <c r="B556" s="83" t="n">
        <f aca="false">IF(I556="","",INDEX(J_TGL,I556))</f>
        <v>46196</v>
      </c>
      <c r="C556" s="5" t="str">
        <f aca="false">IF(I556="","",INDEX(J_NO,I556))</f>
        <v>JU-0826</v>
      </c>
      <c r="D556" s="5" t="str">
        <f aca="false">IF(I556="","",INDEX(J_KET,I556))</f>
        <v>Faktur 23 Juli Handsoap 1, Pel 1, Kaca 1</v>
      </c>
      <c r="E556" s="5" t="str">
        <f aca="false">IF(I556="","",IF(INDEX(J_DEB,I556)=$C$3,INDEX(J_KRE,I556),INDEX(J_DEB,I556)))</f>
        <v>Beban Perlengkapan</v>
      </c>
      <c r="F556" s="44" t="n">
        <f aca="false">IF(I556="","",IF(INDEX(J_DEB,I556)=$C$3,INDEX(J_NOM,I556),0))</f>
        <v>0</v>
      </c>
      <c r="G556" s="44" t="n">
        <f aca="false">IF(I556="","",IF(INDEX(J_KRE,I556)=$C$3,INDEX(J_NOM,I556),0))</f>
        <v>160000</v>
      </c>
      <c r="H556" s="44" t="n">
        <f aca="false">IF(I556="","",N(H555)+IF($C$5="Debet",F556-G556,G556-F556))</f>
        <v>-14827484</v>
      </c>
      <c r="I556" s="66" t="n">
        <f aca="false">IF(J556&gt;$K$1,"",IFERROR(MATCH(J556,J_BB,0),""))</f>
        <v>826</v>
      </c>
      <c r="J556" s="66" t="n">
        <v>547</v>
      </c>
      <c r="K556" s="5"/>
    </row>
    <row r="557" customFormat="false" ht="15" hidden="false" customHeight="false" outlineLevel="0" collapsed="false">
      <c r="A557" s="5" t="n">
        <f aca="false">IF(I557="","",J557)</f>
        <v>548</v>
      </c>
      <c r="B557" s="83" t="n">
        <f aca="false">IF(I557="","",INDEX(J_TGL,I557))</f>
        <v>46198</v>
      </c>
      <c r="C557" s="5" t="str">
        <f aca="false">IF(I557="","",INDEX(J_NO,I557))</f>
        <v>JU-0827</v>
      </c>
      <c r="D557" s="5" t="str">
        <f aca="false">IF(I557="","",INDEX(J_KET,I557))</f>
        <v>savis tea</v>
      </c>
      <c r="E557" s="5" t="str">
        <f aca="false">IF(I557="","",IF(INDEX(J_DEB,I557)=$C$3,INDEX(J_KRE,I557),INDEX(J_DEB,I557)))</f>
        <v>Biaya Bahan Baku</v>
      </c>
      <c r="F557" s="44" t="n">
        <f aca="false">IF(I557="","",IF(INDEX(J_DEB,I557)=$C$3,INDEX(J_NOM,I557),0))</f>
        <v>0</v>
      </c>
      <c r="G557" s="44" t="n">
        <f aca="false">IF(I557="","",IF(INDEX(J_KRE,I557)=$C$3,INDEX(J_NOM,I557),0))</f>
        <v>686937</v>
      </c>
      <c r="H557" s="44" t="n">
        <f aca="false">IF(I557="","",N(H556)+IF($C$5="Debet",F557-G557,G557-F557))</f>
        <v>-15514421</v>
      </c>
      <c r="I557" s="66" t="n">
        <f aca="false">IF(J557&gt;$K$1,"",IFERROR(MATCH(J557,J_BB,0),""))</f>
        <v>827</v>
      </c>
      <c r="J557" s="66" t="n">
        <v>548</v>
      </c>
      <c r="K557" s="5"/>
    </row>
    <row r="558" customFormat="false" ht="15" hidden="false" customHeight="false" outlineLevel="0" collapsed="false">
      <c r="A558" s="5" t="n">
        <f aca="false">IF(I558="","",J558)</f>
        <v>549</v>
      </c>
      <c r="B558" s="83" t="n">
        <f aca="false">IF(I558="","",INDEX(J_TGL,I558))</f>
        <v>46200</v>
      </c>
      <c r="C558" s="5" t="str">
        <f aca="false">IF(I558="","",INDEX(J_NO,I558))</f>
        <v>JU-0828</v>
      </c>
      <c r="D558" s="5" t="str">
        <f aca="false">IF(I558="","",INDEX(J_KET,I558))</f>
        <v>Biji kopi/beans Yantos 25 pack</v>
      </c>
      <c r="E558" s="5" t="str">
        <f aca="false">IF(I558="","",IF(INDEX(J_DEB,I558)=$C$3,INDEX(J_KRE,I558),INDEX(J_DEB,I558)))</f>
        <v>Biaya Bahan Baku</v>
      </c>
      <c r="F558" s="44" t="n">
        <f aca="false">IF(I558="","",IF(INDEX(J_DEB,I558)=$C$3,INDEX(J_NOM,I558),0))</f>
        <v>0</v>
      </c>
      <c r="G558" s="44" t="n">
        <f aca="false">IF(I558="","",IF(INDEX(J_KRE,I558)=$C$3,INDEX(J_NOM,I558),0))</f>
        <v>3000000</v>
      </c>
      <c r="H558" s="44" t="n">
        <f aca="false">IF(I558="","",N(H557)+IF($C$5="Debet",F558-G558,G558-F558))</f>
        <v>-18514421</v>
      </c>
      <c r="I558" s="66" t="n">
        <f aca="false">IF(J558&gt;$K$1,"",IFERROR(MATCH(J558,J_BB,0),""))</f>
        <v>828</v>
      </c>
      <c r="J558" s="66" t="n">
        <v>549</v>
      </c>
      <c r="K558" s="5"/>
    </row>
    <row r="559" customFormat="false" ht="15" hidden="false" customHeight="false" outlineLevel="0" collapsed="false">
      <c r="A559" s="5" t="n">
        <f aca="false">IF(I559="","",J559)</f>
        <v>550</v>
      </c>
      <c r="B559" s="83" t="n">
        <f aca="false">IF(I559="","",INDEX(J_TGL,I559))</f>
        <v>46200</v>
      </c>
      <c r="C559" s="5" t="str">
        <f aca="false">IF(I559="","",INDEX(J_NO,I559))</f>
        <v>JU-0829</v>
      </c>
      <c r="D559" s="5" t="str">
        <f aca="false">IF(I559="","",INDEX(J_KET,I559))</f>
        <v>Tiramisu 2 batch tgl 16 &amp; 23 Jun (18pcs)</v>
      </c>
      <c r="E559" s="5" t="str">
        <f aca="false">IF(I559="","",IF(INDEX(J_DEB,I559)=$C$3,INDEX(J_KRE,I559),INDEX(J_DEB,I559)))</f>
        <v>Biaya Bahan Baku</v>
      </c>
      <c r="F559" s="44" t="n">
        <f aca="false">IF(I559="","",IF(INDEX(J_DEB,I559)=$C$3,INDEX(J_NOM,I559),0))</f>
        <v>0</v>
      </c>
      <c r="G559" s="44" t="n">
        <f aca="false">IF(I559="","",IF(INDEX(J_KRE,I559)=$C$3,INDEX(J_NOM,I559),0))</f>
        <v>240000</v>
      </c>
      <c r="H559" s="44" t="n">
        <f aca="false">IF(I559="","",N(H558)+IF($C$5="Debet",F559-G559,G559-F559))</f>
        <v>-18754421</v>
      </c>
      <c r="I559" s="66" t="n">
        <f aca="false">IF(J559&gt;$K$1,"",IFERROR(MATCH(J559,J_BB,0),""))</f>
        <v>829</v>
      </c>
      <c r="J559" s="66" t="n">
        <v>550</v>
      </c>
      <c r="K559" s="5"/>
    </row>
    <row r="560" customFormat="false" ht="15" hidden="false" customHeight="false" outlineLevel="0" collapsed="false">
      <c r="A560" s="5" t="n">
        <f aca="false">IF(I560="","",J560)</f>
        <v>551</v>
      </c>
      <c r="B560" s="83" t="n">
        <f aca="false">IF(I560="","",INDEX(J_TGL,I560))</f>
        <v>46200</v>
      </c>
      <c r="C560" s="5" t="str">
        <f aca="false">IF(I560="","",INDEX(J_NO,I560))</f>
        <v>JU-0830</v>
      </c>
      <c r="D560" s="5" t="str">
        <f aca="false">IF(I560="","",INDEX(J_KET,I560))</f>
        <v>Tahu walik dan ongkir</v>
      </c>
      <c r="E560" s="5" t="str">
        <f aca="false">IF(I560="","",IF(INDEX(J_DEB,I560)=$C$3,INDEX(J_KRE,I560),INDEX(J_DEB,I560)))</f>
        <v>Biaya Bahan Baku</v>
      </c>
      <c r="F560" s="44" t="n">
        <f aca="false">IF(I560="","",IF(INDEX(J_DEB,I560)=$C$3,INDEX(J_NOM,I560),0))</f>
        <v>0</v>
      </c>
      <c r="G560" s="44" t="n">
        <f aca="false">IF(I560="","",IF(INDEX(J_KRE,I560)=$C$3,INDEX(J_NOM,I560),0))</f>
        <v>1007000</v>
      </c>
      <c r="H560" s="44" t="n">
        <f aca="false">IF(I560="","",N(H559)+IF($C$5="Debet",F560-G560,G560-F560))</f>
        <v>-19761421</v>
      </c>
      <c r="I560" s="66" t="n">
        <f aca="false">IF(J560&gt;$K$1,"",IFERROR(MATCH(J560,J_BB,0),""))</f>
        <v>830</v>
      </c>
      <c r="J560" s="66" t="n">
        <v>551</v>
      </c>
      <c r="K560" s="5"/>
    </row>
    <row r="561" customFormat="false" ht="15" hidden="false" customHeight="false" outlineLevel="0" collapsed="false">
      <c r="A561" s="5" t="n">
        <f aca="false">IF(I561="","",J561)</f>
        <v>552</v>
      </c>
      <c r="B561" s="83" t="n">
        <f aca="false">IF(I561="","",INDEX(J_TGL,I561))</f>
        <v>46200</v>
      </c>
      <c r="C561" s="5" t="str">
        <f aca="false">IF(I561="","",INDEX(J_NO,I561))</f>
        <v>JU-0831</v>
      </c>
      <c r="D561" s="5" t="str">
        <f aca="false">IF(I561="","",INDEX(J_KET,I561))</f>
        <v>Belanja frozen food : 9 straight, 4 crinkle, 6 champ, 8 beef breakfast</v>
      </c>
      <c r="E561" s="5" t="str">
        <f aca="false">IF(I561="","",IF(INDEX(J_DEB,I561)=$C$3,INDEX(J_KRE,I561),INDEX(J_DEB,I561)))</f>
        <v>Biaya Bahan Baku</v>
      </c>
      <c r="F561" s="44" t="n">
        <f aca="false">IF(I561="","",IF(INDEX(J_DEB,I561)=$C$3,INDEX(J_NOM,I561),0))</f>
        <v>0</v>
      </c>
      <c r="G561" s="44" t="n">
        <f aca="false">IF(I561="","",IF(INDEX(J_KRE,I561)=$C$3,INDEX(J_NOM,I561),0))</f>
        <v>910000</v>
      </c>
      <c r="H561" s="44" t="n">
        <f aca="false">IF(I561="","",N(H560)+IF($C$5="Debet",F561-G561,G561-F561))</f>
        <v>-20671421</v>
      </c>
      <c r="I561" s="66" t="n">
        <f aca="false">IF(J561&gt;$K$1,"",IFERROR(MATCH(J561,J_BB,0),""))</f>
        <v>831</v>
      </c>
      <c r="J561" s="66" t="n">
        <v>552</v>
      </c>
      <c r="K561" s="5"/>
    </row>
    <row r="562" customFormat="false" ht="15" hidden="false" customHeight="false" outlineLevel="0" collapsed="false">
      <c r="A562" s="5" t="n">
        <f aca="false">IF(I562="","",J562)</f>
        <v>553</v>
      </c>
      <c r="B562" s="83" t="n">
        <f aca="false">IF(I562="","",INDEX(J_TGL,I562))</f>
        <v>46200</v>
      </c>
      <c r="C562" s="5" t="str">
        <f aca="false">IF(I562="","",INDEX(J_NO,I562))</f>
        <v>JU-0832</v>
      </c>
      <c r="D562" s="5" t="str">
        <f aca="false">IF(I562="","",INDEX(J_KET,I562))</f>
        <v>Buah</v>
      </c>
      <c r="E562" s="5" t="str">
        <f aca="false">IF(I562="","",IF(INDEX(J_DEB,I562)=$C$3,INDEX(J_KRE,I562),INDEX(J_DEB,I562)))</f>
        <v>Biaya Bahan Baku</v>
      </c>
      <c r="F562" s="44" t="n">
        <f aca="false">IF(I562="","",IF(INDEX(J_DEB,I562)=$C$3,INDEX(J_NOM,I562),0))</f>
        <v>0</v>
      </c>
      <c r="G562" s="44" t="n">
        <f aca="false">IF(I562="","",IF(INDEX(J_KRE,I562)=$C$3,INDEX(J_NOM,I562),0))</f>
        <v>262000</v>
      </c>
      <c r="H562" s="44" t="n">
        <f aca="false">IF(I562="","",N(H561)+IF($C$5="Debet",F562-G562,G562-F562))</f>
        <v>-20933421</v>
      </c>
      <c r="I562" s="66" t="n">
        <f aca="false">IF(J562&gt;$K$1,"",IFERROR(MATCH(J562,J_BB,0),""))</f>
        <v>832</v>
      </c>
      <c r="J562" s="66" t="n">
        <v>553</v>
      </c>
      <c r="K562" s="5"/>
    </row>
    <row r="563" customFormat="false" ht="15" hidden="false" customHeight="false" outlineLevel="0" collapsed="false">
      <c r="A563" s="5" t="n">
        <f aca="false">IF(I563="","",J563)</f>
        <v>554</v>
      </c>
      <c r="B563" s="83" t="n">
        <f aca="false">IF(I563="","",INDEX(J_TGL,I563))</f>
        <v>46200</v>
      </c>
      <c r="C563" s="5" t="str">
        <f aca="false">IF(I563="","",INDEX(J_NO,I563))</f>
        <v>JU-0833</v>
      </c>
      <c r="D563" s="5" t="str">
        <f aca="false">IF(I563="","",INDEX(J_KET,I563))</f>
        <v>Unlock water</v>
      </c>
      <c r="E563" s="5" t="str">
        <f aca="false">IF(I563="","",IF(INDEX(J_DEB,I563)=$C$3,INDEX(J_KRE,I563),INDEX(J_DEB,I563)))</f>
        <v>Biaya Bahan Baku</v>
      </c>
      <c r="F563" s="44" t="n">
        <f aca="false">IF(I563="","",IF(INDEX(J_DEB,I563)=$C$3,INDEX(J_NOM,I563),0))</f>
        <v>0</v>
      </c>
      <c r="G563" s="44" t="n">
        <f aca="false">IF(I563="","",IF(INDEX(J_KRE,I563)=$C$3,INDEX(J_NOM,I563),0))</f>
        <v>247000</v>
      </c>
      <c r="H563" s="44" t="n">
        <f aca="false">IF(I563="","",N(H562)+IF($C$5="Debet",F563-G563,G563-F563))</f>
        <v>-21180421</v>
      </c>
      <c r="I563" s="66" t="n">
        <f aca="false">IF(J563&gt;$K$1,"",IFERROR(MATCH(J563,J_BB,0),""))</f>
        <v>833</v>
      </c>
      <c r="J563" s="66" t="n">
        <v>554</v>
      </c>
      <c r="K563" s="5"/>
    </row>
    <row r="564" customFormat="false" ht="15" hidden="false" customHeight="false" outlineLevel="0" collapsed="false">
      <c r="A564" s="5" t="n">
        <f aca="false">IF(I564="","",J564)</f>
        <v>555</v>
      </c>
      <c r="B564" s="83" t="n">
        <f aca="false">IF(I564="","",INDEX(J_TGL,I564))</f>
        <v>46201</v>
      </c>
      <c r="C564" s="5" t="str">
        <f aca="false">IF(I564="","",INDEX(J_NO,I564))</f>
        <v>JU-0834</v>
      </c>
      <c r="D564" s="5" t="str">
        <f aca="false">IF(I564="","",INDEX(J_KET,I564))</f>
        <v>Tofico, Dripp, Hario paper filter</v>
      </c>
      <c r="E564" s="5" t="str">
        <f aca="false">IF(I564="","",IF(INDEX(J_DEB,I564)=$C$3,INDEX(J_KRE,I564),INDEX(J_DEB,I564)))</f>
        <v>Biaya Penyajian</v>
      </c>
      <c r="F564" s="44" t="n">
        <f aca="false">IF(I564="","",IF(INDEX(J_DEB,I564)=$C$3,INDEX(J_NOM,I564),0))</f>
        <v>0</v>
      </c>
      <c r="G564" s="44" t="n">
        <f aca="false">IF(I564="","",IF(INDEX(J_KRE,I564)=$C$3,INDEX(J_NOM,I564),0))</f>
        <v>1007000</v>
      </c>
      <c r="H564" s="44" t="n">
        <f aca="false">IF(I564="","",N(H563)+IF($C$5="Debet",F564-G564,G564-F564))</f>
        <v>-22187421</v>
      </c>
      <c r="I564" s="66" t="n">
        <f aca="false">IF(J564&gt;$K$1,"",IFERROR(MATCH(J564,J_BB,0),""))</f>
        <v>834</v>
      </c>
      <c r="J564" s="66" t="n">
        <v>555</v>
      </c>
      <c r="K564" s="5"/>
    </row>
    <row r="565" customFormat="false" ht="15" hidden="false" customHeight="false" outlineLevel="0" collapsed="false">
      <c r="A565" s="5" t="n">
        <f aca="false">IF(I565="","",J565)</f>
        <v>556</v>
      </c>
      <c r="B565" s="83" t="n">
        <f aca="false">IF(I565="","",INDEX(J_TGL,I565))</f>
        <v>46201</v>
      </c>
      <c r="C565" s="5" t="str">
        <f aca="false">IF(I565="","",INDEX(J_NO,I565))</f>
        <v>JU-0835</v>
      </c>
      <c r="D565" s="5" t="str">
        <f aca="false">IF(I565="","",INDEX(J_KET,I565))</f>
        <v>Renew Logo Kopi Parang</v>
      </c>
      <c r="E565" s="5" t="str">
        <f aca="false">IF(I565="","",IF(INDEX(J_DEB,I565)=$C$3,INDEX(J_KRE,I565),INDEX(J_DEB,I565)))</f>
        <v>Biaya Marketing &amp; Promosi</v>
      </c>
      <c r="F565" s="44" t="n">
        <f aca="false">IF(I565="","",IF(INDEX(J_DEB,I565)=$C$3,INDEX(J_NOM,I565),0))</f>
        <v>0</v>
      </c>
      <c r="G565" s="44" t="n">
        <f aca="false">IF(I565="","",IF(INDEX(J_KRE,I565)=$C$3,INDEX(J_NOM,I565),0))</f>
        <v>2000000</v>
      </c>
      <c r="H565" s="44" t="n">
        <f aca="false">IF(I565="","",N(H564)+IF($C$5="Debet",F565-G565,G565-F565))</f>
        <v>-24187421</v>
      </c>
      <c r="I565" s="66" t="n">
        <f aca="false">IF(J565&gt;$K$1,"",IFERROR(MATCH(J565,J_BB,0),""))</f>
        <v>835</v>
      </c>
      <c r="J565" s="66" t="n">
        <v>556</v>
      </c>
      <c r="K565" s="5"/>
    </row>
    <row r="566" customFormat="false" ht="15" hidden="false" customHeight="false" outlineLevel="0" collapsed="false">
      <c r="A566" s="5" t="n">
        <f aca="false">IF(I566="","",J566)</f>
        <v>557</v>
      </c>
      <c r="B566" s="83" t="n">
        <f aca="false">IF(I566="","",INDEX(J_TGL,I566))</f>
        <v>46201</v>
      </c>
      <c r="C566" s="5" t="str">
        <f aca="false">IF(I566="","",INDEX(J_NO,I566))</f>
        <v>JU-0836</v>
      </c>
      <c r="D566" s="5" t="str">
        <f aca="false">IF(I566="","",INDEX(J_KET,I566))</f>
        <v>Biaya transfer flip</v>
      </c>
      <c r="E566" s="5" t="str">
        <f aca="false">IF(I566="","",IF(INDEX(J_DEB,I566)=$C$3,INDEX(J_KRE,I566),INDEX(J_DEB,I566)))</f>
        <v>Biaya Lainnya</v>
      </c>
      <c r="F566" s="44" t="n">
        <f aca="false">IF(I566="","",IF(INDEX(J_DEB,I566)=$C$3,INDEX(J_NOM,I566),0))</f>
        <v>0</v>
      </c>
      <c r="G566" s="44" t="n">
        <f aca="false">IF(I566="","",IF(INDEX(J_KRE,I566)=$C$3,INDEX(J_NOM,I566),0))</f>
        <v>325</v>
      </c>
      <c r="H566" s="44" t="n">
        <f aca="false">IF(I566="","",N(H565)+IF($C$5="Debet",F566-G566,G566-F566))</f>
        <v>-24187746</v>
      </c>
      <c r="I566" s="66" t="n">
        <f aca="false">IF(J566&gt;$K$1,"",IFERROR(MATCH(J566,J_BB,0),""))</f>
        <v>836</v>
      </c>
      <c r="J566" s="66" t="n">
        <v>557</v>
      </c>
      <c r="K566" s="5"/>
    </row>
    <row r="567" customFormat="false" ht="15" hidden="false" customHeight="false" outlineLevel="0" collapsed="false">
      <c r="A567" s="5" t="n">
        <f aca="false">IF(I567="","",J567)</f>
        <v>558</v>
      </c>
      <c r="B567" s="83" t="n">
        <f aca="false">IF(I567="","",INDEX(J_TGL,I567))</f>
        <v>46201</v>
      </c>
      <c r="C567" s="5" t="str">
        <f aca="false">IF(I567="","",INDEX(J_NO,I567))</f>
        <v>JU-0838</v>
      </c>
      <c r="D567" s="5" t="str">
        <f aca="false">IF(I567="","",INDEX(J_KET,I567))</f>
        <v>Pindah dana tunai ke BCA (FM tukar uang)</v>
      </c>
      <c r="E567" s="5" t="str">
        <f aca="false">IF(I567="","",IF(INDEX(J_DEB,I567)=$C$3,INDEX(J_KRE,I567),INDEX(J_DEB,I567)))</f>
        <v>Kas Tunai</v>
      </c>
      <c r="F567" s="44" t="n">
        <f aca="false">IF(I567="","",IF(INDEX(J_DEB,I567)=$C$3,INDEX(J_NOM,I567),0))</f>
        <v>8000000</v>
      </c>
      <c r="G567" s="44" t="n">
        <f aca="false">IF(I567="","",IF(INDEX(J_KRE,I567)=$C$3,INDEX(J_NOM,I567),0))</f>
        <v>0</v>
      </c>
      <c r="H567" s="44" t="n">
        <f aca="false">IF(I567="","",N(H566)+IF($C$5="Debet",F567-G567,G567-F567))</f>
        <v>-16187746</v>
      </c>
      <c r="I567" s="66" t="n">
        <f aca="false">IF(J567&gt;$K$1,"",IFERROR(MATCH(J567,J_BB,0),""))</f>
        <v>838</v>
      </c>
      <c r="J567" s="66" t="n">
        <v>558</v>
      </c>
      <c r="K567" s="5"/>
    </row>
    <row r="568" customFormat="false" ht="15" hidden="false" customHeight="false" outlineLevel="0" collapsed="false">
      <c r="A568" s="5" t="n">
        <f aca="false">IF(I568="","",J568)</f>
        <v>559</v>
      </c>
      <c r="B568" s="83" t="n">
        <f aca="false">IF(I568="","",INDEX(J_TGL,I568))</f>
        <v>46202</v>
      </c>
      <c r="C568" s="5" t="str">
        <f aca="false">IF(I568="","",INDEX(J_NO,I568))</f>
        <v>JU-0840</v>
      </c>
      <c r="D568" s="5" t="str">
        <f aca="false">IF(I568="","",INDEX(J_KET,I568))</f>
        <v>Pindah dana kas warung ke BCA (kembalian belanja)</v>
      </c>
      <c r="E568" s="5" t="str">
        <f aca="false">IF(I568="","",IF(INDEX(J_DEB,I568)=$C$3,INDEX(J_KRE,I568),INDEX(J_DEB,I568)))</f>
        <v>Kas Warung</v>
      </c>
      <c r="F568" s="44" t="n">
        <f aca="false">IF(I568="","",IF(INDEX(J_DEB,I568)=$C$3,INDEX(J_NOM,I568),0))</f>
        <v>112078</v>
      </c>
      <c r="G568" s="44" t="n">
        <f aca="false">IF(I568="","",IF(INDEX(J_KRE,I568)=$C$3,INDEX(J_NOM,I568),0))</f>
        <v>0</v>
      </c>
      <c r="H568" s="44" t="n">
        <f aca="false">IF(I568="","",N(H567)+IF($C$5="Debet",F568-G568,G568-F568))</f>
        <v>-16075668</v>
      </c>
      <c r="I568" s="66" t="n">
        <f aca="false">IF(J568&gt;$K$1,"",IFERROR(MATCH(J568,J_BB,0),""))</f>
        <v>840</v>
      </c>
      <c r="J568" s="66" t="n">
        <v>559</v>
      </c>
      <c r="K568" s="5"/>
    </row>
    <row r="569" customFormat="false" ht="15" hidden="false" customHeight="false" outlineLevel="0" collapsed="false">
      <c r="A569" s="5" t="n">
        <f aca="false">IF(I569="","",J569)</f>
        <v>560</v>
      </c>
      <c r="B569" s="83" t="n">
        <f aca="false">IF(I569="","",INDEX(J_TGL,I569))</f>
        <v>46202</v>
      </c>
      <c r="C569" s="5" t="str">
        <f aca="false">IF(I569="","",INDEX(J_NO,I569))</f>
        <v>JU-0847</v>
      </c>
      <c r="D569" s="5" t="str">
        <f aca="false">IF(I569="","",INDEX(J_KET,I569))</f>
        <v>Buah strawberry</v>
      </c>
      <c r="E569" s="5" t="str">
        <f aca="false">IF(I569="","",IF(INDEX(J_DEB,I569)=$C$3,INDEX(J_KRE,I569),INDEX(J_DEB,I569)))</f>
        <v>Biaya Bahan Baku</v>
      </c>
      <c r="F569" s="44" t="n">
        <f aca="false">IF(I569="","",IF(INDEX(J_DEB,I569)=$C$3,INDEX(J_NOM,I569),0))</f>
        <v>0</v>
      </c>
      <c r="G569" s="44" t="n">
        <f aca="false">IF(I569="","",IF(INDEX(J_KRE,I569)=$C$3,INDEX(J_NOM,I569),0))</f>
        <v>165000</v>
      </c>
      <c r="H569" s="44" t="n">
        <f aca="false">IF(I569="","",N(H568)+IF($C$5="Debet",F569-G569,G569-F569))</f>
        <v>-16240668</v>
      </c>
      <c r="I569" s="66" t="n">
        <f aca="false">IF(J569&gt;$K$1,"",IFERROR(MATCH(J569,J_BB,0),""))</f>
        <v>847</v>
      </c>
      <c r="J569" s="66" t="n">
        <v>560</v>
      </c>
      <c r="K569" s="5"/>
    </row>
    <row r="570" customFormat="false" ht="15" hidden="false" customHeight="false" outlineLevel="0" collapsed="false">
      <c r="A570" s="5" t="n">
        <f aca="false">IF(I570="","",J570)</f>
        <v>561</v>
      </c>
      <c r="B570" s="83" t="n">
        <f aca="false">IF(I570="","",INDEX(J_TGL,I570))</f>
        <v>46202</v>
      </c>
      <c r="C570" s="5" t="str">
        <f aca="false">IF(I570="","",INDEX(J_NO,I570))</f>
        <v>JU-0848</v>
      </c>
      <c r="D570" s="5" t="str">
        <f aca="false">IF(I570="","",INDEX(J_KET,I570))</f>
        <v>Membayar gaji pegawai</v>
      </c>
      <c r="E570" s="5" t="str">
        <f aca="false">IF(I570="","",IF(INDEX(J_DEB,I570)=$C$3,INDEX(J_KRE,I570),INDEX(J_DEB,I570)))</f>
        <v>Beban Gaji</v>
      </c>
      <c r="F570" s="44" t="n">
        <f aca="false">IF(I570="","",IF(INDEX(J_DEB,I570)=$C$3,INDEX(J_NOM,I570),0))</f>
        <v>0</v>
      </c>
      <c r="G570" s="44" t="n">
        <f aca="false">IF(I570="","",IF(INDEX(J_KRE,I570)=$C$3,INDEX(J_NOM,I570),0))</f>
        <v>22993333</v>
      </c>
      <c r="H570" s="44" t="n">
        <f aca="false">IF(I570="","",N(H569)+IF($C$5="Debet",F570-G570,G570-F570))</f>
        <v>-39234001</v>
      </c>
      <c r="I570" s="66" t="n">
        <f aca="false">IF(J570&gt;$K$1,"",IFERROR(MATCH(J570,J_BB,0),""))</f>
        <v>848</v>
      </c>
      <c r="J570" s="66" t="n">
        <v>561</v>
      </c>
      <c r="K570" s="5"/>
    </row>
    <row r="571" customFormat="false" ht="15" hidden="false" customHeight="false" outlineLevel="0" collapsed="false">
      <c r="A571" s="5" t="n">
        <f aca="false">IF(I571="","",J571)</f>
        <v>562</v>
      </c>
      <c r="B571" s="83" t="n">
        <f aca="false">IF(I571="","",INDEX(J_TGL,I571))</f>
        <v>46202</v>
      </c>
      <c r="C571" s="5" t="str">
        <f aca="false">IF(I571="","",INDEX(J_NO,I571))</f>
        <v>JU-0849</v>
      </c>
      <c r="D571" s="5" t="str">
        <f aca="false">IF(I571="","",INDEX(J_KET,I571))</f>
        <v>Membayar bonus pegawai</v>
      </c>
      <c r="E571" s="5" t="str">
        <f aca="false">IF(I571="","",IF(INDEX(J_DEB,I571)=$C$3,INDEX(J_KRE,I571),INDEX(J_DEB,I571)))</f>
        <v>Beban Gaji</v>
      </c>
      <c r="F571" s="44" t="n">
        <f aca="false">IF(I571="","",IF(INDEX(J_DEB,I571)=$C$3,INDEX(J_NOM,I571),0))</f>
        <v>0</v>
      </c>
      <c r="G571" s="44" t="n">
        <f aca="false">IF(I571="","",IF(INDEX(J_KRE,I571)=$C$3,INDEX(J_NOM,I571),0))</f>
        <v>2300000</v>
      </c>
      <c r="H571" s="44" t="n">
        <f aca="false">IF(I571="","",N(H570)+IF($C$5="Debet",F571-G571,G571-F571))</f>
        <v>-41534001</v>
      </c>
      <c r="I571" s="66" t="n">
        <f aca="false">IF(J571&gt;$K$1,"",IFERROR(MATCH(J571,J_BB,0),""))</f>
        <v>849</v>
      </c>
      <c r="J571" s="66" t="n">
        <v>562</v>
      </c>
      <c r="K571" s="5"/>
    </row>
    <row r="572" customFormat="false" ht="15" hidden="false" customHeight="false" outlineLevel="0" collapsed="false">
      <c r="A572" s="5" t="n">
        <f aca="false">IF(I572="","",J572)</f>
        <v>563</v>
      </c>
      <c r="B572" s="83" t="n">
        <f aca="false">IF(I572="","",INDEX(J_TGL,I572))</f>
        <v>46202</v>
      </c>
      <c r="C572" s="5" t="str">
        <f aca="false">IF(I572="","",INDEX(J_NO,I572))</f>
        <v>JU-0850</v>
      </c>
      <c r="D572" s="5" t="str">
        <f aca="false">IF(I572="","",INDEX(J_KET,I572))</f>
        <v>Cicilan kasbon rangga</v>
      </c>
      <c r="E572" s="5" t="str">
        <f aca="false">IF(I572="","",IF(INDEX(J_DEB,I572)=$C$3,INDEX(J_KRE,I572),INDEX(J_DEB,I572)))</f>
        <v>Piutang Lainnya</v>
      </c>
      <c r="F572" s="44" t="n">
        <f aca="false">IF(I572="","",IF(INDEX(J_DEB,I572)=$C$3,INDEX(J_NOM,I572),0))</f>
        <v>333333</v>
      </c>
      <c r="G572" s="44" t="n">
        <f aca="false">IF(I572="","",IF(INDEX(J_KRE,I572)=$C$3,INDEX(J_NOM,I572),0))</f>
        <v>0</v>
      </c>
      <c r="H572" s="44" t="n">
        <f aca="false">IF(I572="","",N(H571)+IF($C$5="Debet",F572-G572,G572-F572))</f>
        <v>-41200668</v>
      </c>
      <c r="I572" s="66" t="n">
        <f aca="false">IF(J572&gt;$K$1,"",IFERROR(MATCH(J572,J_BB,0),""))</f>
        <v>850</v>
      </c>
      <c r="J572" s="66" t="n">
        <v>563</v>
      </c>
      <c r="K572" s="5"/>
    </row>
    <row r="573" customFormat="false" ht="15" hidden="false" customHeight="false" outlineLevel="0" collapsed="false">
      <c r="A573" s="5" t="n">
        <f aca="false">IF(I573="","",J573)</f>
        <v>564</v>
      </c>
      <c r="B573" s="83" t="n">
        <f aca="false">IF(I573="","",INDEX(J_TGL,I573))</f>
        <v>46202</v>
      </c>
      <c r="C573" s="5" t="str">
        <f aca="false">IF(I573="","",INDEX(J_NO,I573))</f>
        <v>JU-0851</v>
      </c>
      <c r="D573" s="5" t="str">
        <f aca="false">IF(I573="","",INDEX(J_KET,I573))</f>
        <v>Biaya flip untuk transfer gaji</v>
      </c>
      <c r="E573" s="5" t="str">
        <f aca="false">IF(I573="","",IF(INDEX(J_DEB,I573)=$C$3,INDEX(J_KRE,I573),INDEX(J_DEB,I573)))</f>
        <v>Biaya Lainnya</v>
      </c>
      <c r="F573" s="44" t="n">
        <f aca="false">IF(I573="","",IF(INDEX(J_DEB,I573)=$C$3,INDEX(J_NOM,I573),0))</f>
        <v>0</v>
      </c>
      <c r="G573" s="44" t="n">
        <f aca="false">IF(I573="","",IF(INDEX(J_KRE,I573)=$C$3,INDEX(J_NOM,I573),0))</f>
        <v>15652</v>
      </c>
      <c r="H573" s="44" t="n">
        <f aca="false">IF(I573="","",N(H572)+IF($C$5="Debet",F573-G573,G573-F573))</f>
        <v>-41216320</v>
      </c>
      <c r="I573" s="66" t="n">
        <f aca="false">IF(J573&gt;$K$1,"",IFERROR(MATCH(J573,J_BB,0),""))</f>
        <v>851</v>
      </c>
      <c r="J573" s="66" t="n">
        <v>564</v>
      </c>
      <c r="K573" s="5"/>
    </row>
    <row r="574" customFormat="false" ht="15" hidden="false" customHeight="false" outlineLevel="0" collapsed="false">
      <c r="A574" s="5" t="n">
        <f aca="false">IF(I574="","",J574)</f>
        <v>565</v>
      </c>
      <c r="B574" s="83" t="n">
        <f aca="false">IF(I574="","",INDEX(J_TGL,I574))</f>
        <v>46202</v>
      </c>
      <c r="C574" s="5" t="str">
        <f aca="false">IF(I574="","",INDEX(J_NO,I574))</f>
        <v>JU-0852</v>
      </c>
      <c r="D574" s="5" t="str">
        <f aca="false">IF(I574="","",INDEX(J_KET,I574))</f>
        <v>Gaji direktur Kopi Parang Juni 2026</v>
      </c>
      <c r="E574" s="5" t="str">
        <f aca="false">IF(I574="","",IF(INDEX(J_DEB,I574)=$C$3,INDEX(J_KRE,I574),INDEX(J_DEB,I574)))</f>
        <v>Beban Gaji</v>
      </c>
      <c r="F574" s="44" t="n">
        <f aca="false">IF(I574="","",IF(INDEX(J_DEB,I574)=$C$3,INDEX(J_NOM,I574),0))</f>
        <v>0</v>
      </c>
      <c r="G574" s="44" t="n">
        <f aca="false">IF(I574="","",IF(INDEX(J_KRE,I574)=$C$3,INDEX(J_NOM,I574),0))</f>
        <v>4000000</v>
      </c>
      <c r="H574" s="44" t="n">
        <f aca="false">IF(I574="","",N(H573)+IF($C$5="Debet",F574-G574,G574-F574))</f>
        <v>-45216320</v>
      </c>
      <c r="I574" s="66" t="n">
        <f aca="false">IF(J574&gt;$K$1,"",IFERROR(MATCH(J574,J_BB,0),""))</f>
        <v>852</v>
      </c>
      <c r="J574" s="66" t="n">
        <v>565</v>
      </c>
      <c r="K574" s="5"/>
    </row>
    <row r="575" customFormat="false" ht="15" hidden="false" customHeight="false" outlineLevel="0" collapsed="false">
      <c r="A575" s="5" t="n">
        <f aca="false">IF(I575="","",J575)</f>
        <v>566</v>
      </c>
      <c r="B575" s="83" t="n">
        <f aca="false">IF(I575="","",INDEX(J_TGL,I575))</f>
        <v>46202</v>
      </c>
      <c r="C575" s="5" t="str">
        <f aca="false">IF(I575="","",INDEX(J_NO,I575))</f>
        <v>JU-0853</v>
      </c>
      <c r="D575" s="5" t="str">
        <f aca="false">IF(I575="","",INDEX(J_KET,I575))</f>
        <v>Biaya sewa tempat bulan Juni 2026</v>
      </c>
      <c r="E575" s="5" t="str">
        <f aca="false">IF(I575="","",IF(INDEX(J_DEB,I575)=$C$3,INDEX(J_KRE,I575),INDEX(J_DEB,I575)))</f>
        <v>Prive</v>
      </c>
      <c r="F575" s="44" t="n">
        <f aca="false">IF(I575="","",IF(INDEX(J_DEB,I575)=$C$3,INDEX(J_NOM,I575),0))</f>
        <v>0</v>
      </c>
      <c r="G575" s="44" t="n">
        <f aca="false">IF(I575="","",IF(INDEX(J_KRE,I575)=$C$3,INDEX(J_NOM,I575),0))</f>
        <v>2500000</v>
      </c>
      <c r="H575" s="44" t="n">
        <f aca="false">IF(I575="","",N(H574)+IF($C$5="Debet",F575-G575,G575-F575))</f>
        <v>-47716320</v>
      </c>
      <c r="I575" s="66" t="n">
        <f aca="false">IF(J575&gt;$K$1,"",IFERROR(MATCH(J575,J_BB,0),""))</f>
        <v>853</v>
      </c>
      <c r="J575" s="66" t="n">
        <v>566</v>
      </c>
      <c r="K575" s="5"/>
    </row>
    <row r="576" customFormat="false" ht="15" hidden="false" customHeight="false" outlineLevel="0" collapsed="false">
      <c r="A576" s="5" t="n">
        <f aca="false">IF(I576="","",J576)</f>
        <v>567</v>
      </c>
      <c r="B576" s="83" t="n">
        <f aca="false">IF(I576="","",INDEX(J_TGL,I576))</f>
        <v>46202</v>
      </c>
      <c r="C576" s="5" t="str">
        <f aca="false">IF(I576="","",INDEX(J_NO,I576))</f>
        <v>JU-0854</v>
      </c>
      <c r="D576" s="5" t="str">
        <f aca="false">IF(I576="","",INDEX(J_KET,I576))</f>
        <v>Pindah dana tunai ke BCA (Afa tukar uang)</v>
      </c>
      <c r="E576" s="5" t="str">
        <f aca="false">IF(I576="","",IF(INDEX(J_DEB,I576)=$C$3,INDEX(J_KRE,I576),INDEX(J_DEB,I576)))</f>
        <v>Kas Tunai</v>
      </c>
      <c r="F576" s="44" t="n">
        <f aca="false">IF(I576="","",IF(INDEX(J_DEB,I576)=$C$3,INDEX(J_NOM,I576),0))</f>
        <v>76000</v>
      </c>
      <c r="G576" s="44" t="n">
        <f aca="false">IF(I576="","",IF(INDEX(J_KRE,I576)=$C$3,INDEX(J_NOM,I576),0))</f>
        <v>0</v>
      </c>
      <c r="H576" s="44" t="n">
        <f aca="false">IF(I576="","",N(H575)+IF($C$5="Debet",F576-G576,G576-F576))</f>
        <v>-47640320</v>
      </c>
      <c r="I576" s="66" t="n">
        <f aca="false">IF(J576&gt;$K$1,"",IFERROR(MATCH(J576,J_BB,0),""))</f>
        <v>854</v>
      </c>
      <c r="J576" s="66" t="n">
        <v>567</v>
      </c>
      <c r="K576" s="5"/>
    </row>
    <row r="577" customFormat="false" ht="15" hidden="false" customHeight="false" outlineLevel="0" collapsed="false">
      <c r="A577" s="5" t="n">
        <f aca="false">IF(I577="","",J577)</f>
        <v>568</v>
      </c>
      <c r="B577" s="83" t="n">
        <f aca="false">IF(I577="","",INDEX(J_TGL,I577))</f>
        <v>46202</v>
      </c>
      <c r="C577" s="5" t="str">
        <f aca="false">IF(I577="","",INDEX(J_NO,I577))</f>
        <v>JU-0855</v>
      </c>
      <c r="D577" s="5" t="str">
        <f aca="false">IF(I577="","",INDEX(J_KET,I577))</f>
        <v>Pindah dana tunai ke BCA (Untuk bonus karyawan)</v>
      </c>
      <c r="E577" s="5" t="str">
        <f aca="false">IF(I577="","",IF(INDEX(J_DEB,I577)=$C$3,INDEX(J_KRE,I577),INDEX(J_DEB,I577)))</f>
        <v>Kas Tunai</v>
      </c>
      <c r="F577" s="44" t="n">
        <f aca="false">IF(I577="","",IF(INDEX(J_DEB,I577)=$C$3,INDEX(J_NOM,I577),0))</f>
        <v>1300000</v>
      </c>
      <c r="G577" s="44" t="n">
        <f aca="false">IF(I577="","",IF(INDEX(J_KRE,I577)=$C$3,INDEX(J_NOM,I577),0))</f>
        <v>0</v>
      </c>
      <c r="H577" s="44" t="n">
        <f aca="false">IF(I577="","",N(H576)+IF($C$5="Debet",F577-G577,G577-F577))</f>
        <v>-46340320</v>
      </c>
      <c r="I577" s="66" t="n">
        <f aca="false">IF(J577&gt;$K$1,"",IFERROR(MATCH(J577,J_BB,0),""))</f>
        <v>855</v>
      </c>
      <c r="J577" s="66" t="n">
        <v>568</v>
      </c>
      <c r="K577" s="5"/>
    </row>
    <row r="578" customFormat="false" ht="15" hidden="false" customHeight="false" outlineLevel="0" collapsed="false">
      <c r="A578" s="5" t="n">
        <f aca="false">IF(I578="","",J578)</f>
        <v>569</v>
      </c>
      <c r="B578" s="83" t="n">
        <f aca="false">IF(I578="","",INDEX(J_TGL,I578))</f>
        <v>46202</v>
      </c>
      <c r="C578" s="5" t="str">
        <f aca="false">IF(I578="","",INDEX(J_NO,I578))</f>
        <v>JU-0856</v>
      </c>
      <c r="D578" s="5" t="str">
        <f aca="false">IF(I578="","",INDEX(J_KET,I578))</f>
        <v>Churros frozen</v>
      </c>
      <c r="E578" s="5" t="str">
        <f aca="false">IF(I578="","",IF(INDEX(J_DEB,I578)=$C$3,INDEX(J_KRE,I578),INDEX(J_DEB,I578)))</f>
        <v>Biaya Bahan Baku</v>
      </c>
      <c r="F578" s="44" t="n">
        <f aca="false">IF(I578="","",IF(INDEX(J_DEB,I578)=$C$3,INDEX(J_NOM,I578),0))</f>
        <v>0</v>
      </c>
      <c r="G578" s="44" t="n">
        <f aca="false">IF(I578="","",IF(INDEX(J_KRE,I578)=$C$3,INDEX(J_NOM,I578),0))</f>
        <v>400000</v>
      </c>
      <c r="H578" s="44" t="n">
        <f aca="false">IF(I578="","",N(H577)+IF($C$5="Debet",F578-G578,G578-F578))</f>
        <v>-46740320</v>
      </c>
      <c r="I578" s="66" t="n">
        <f aca="false">IF(J578&gt;$K$1,"",IFERROR(MATCH(J578,J_BB,0),""))</f>
        <v>856</v>
      </c>
      <c r="J578" s="66" t="n">
        <v>569</v>
      </c>
      <c r="K578" s="5"/>
    </row>
    <row r="579" customFormat="false" ht="15" hidden="false" customHeight="false" outlineLevel="0" collapsed="false">
      <c r="A579" s="5" t="n">
        <f aca="false">IF(I579="","",J579)</f>
        <v>570</v>
      </c>
      <c r="B579" s="83" t="n">
        <f aca="false">IF(I579="","",INDEX(J_TGL,I579))</f>
        <v>46202</v>
      </c>
      <c r="C579" s="5" t="str">
        <f aca="false">IF(I579="","",INDEX(J_NO,I579))</f>
        <v>JU-0857</v>
      </c>
      <c r="D579" s="5" t="str">
        <f aca="false">IF(I579="","",INDEX(J_KET,I579))</f>
        <v>croissant pembayaran batch 188-195 104pcs</v>
      </c>
      <c r="E579" s="5" t="str">
        <f aca="false">IF(I579="","",IF(INDEX(J_DEB,I579)=$C$3,INDEX(J_KRE,I579),INDEX(J_DEB,I579)))</f>
        <v>Biaya Bahan Baku</v>
      </c>
      <c r="F579" s="44" t="n">
        <f aca="false">IF(I579="","",IF(INDEX(J_DEB,I579)=$C$3,INDEX(J_NOM,I579),0))</f>
        <v>0</v>
      </c>
      <c r="G579" s="44" t="n">
        <f aca="false">IF(I579="","",IF(INDEX(J_KRE,I579)=$C$3,INDEX(J_NOM,I579),0))</f>
        <v>2272000</v>
      </c>
      <c r="H579" s="44" t="n">
        <f aca="false">IF(I579="","",N(H578)+IF($C$5="Debet",F579-G579,G579-F579))</f>
        <v>-49012320</v>
      </c>
      <c r="I579" s="66" t="n">
        <f aca="false">IF(J579&gt;$K$1,"",IFERROR(MATCH(J579,J_BB,0),""))</f>
        <v>857</v>
      </c>
      <c r="J579" s="66" t="n">
        <v>570</v>
      </c>
      <c r="K579" s="5"/>
    </row>
    <row r="580" customFormat="false" ht="15" hidden="false" customHeight="false" outlineLevel="0" collapsed="false">
      <c r="A580" s="5" t="n">
        <f aca="false">IF(I580="","",J580)</f>
        <v>571</v>
      </c>
      <c r="B580" s="83" t="n">
        <f aca="false">IF(I580="","",INDEX(J_TGL,I580))</f>
        <v>46202</v>
      </c>
      <c r="C580" s="5" t="str">
        <f aca="false">IF(I580="","",INDEX(J_NO,I580))</f>
        <v>JU-0858</v>
      </c>
      <c r="D580" s="5" t="str">
        <f aca="false">IF(I580="","",INDEX(J_KET,I580))</f>
        <v>croissant pembayaran buy return</v>
      </c>
      <c r="E580" s="5" t="str">
        <f aca="false">IF(I580="","",IF(INDEX(J_DEB,I580)=$C$3,INDEX(J_KRE,I580),INDEX(J_DEB,I580)))</f>
        <v>Biaya Bahan Baku</v>
      </c>
      <c r="F580" s="44" t="n">
        <f aca="false">IF(I580="","",IF(INDEX(J_DEB,I580)=$C$3,INDEX(J_NOM,I580),0))</f>
        <v>0</v>
      </c>
      <c r="G580" s="44" t="n">
        <f aca="false">IF(I580="","",IF(INDEX(J_KRE,I580)=$C$3,INDEX(J_NOM,I580),0))</f>
        <v>40000</v>
      </c>
      <c r="H580" s="44" t="n">
        <f aca="false">IF(I580="","",N(H579)+IF($C$5="Debet",F580-G580,G580-F580))</f>
        <v>-49052320</v>
      </c>
      <c r="I580" s="66" t="n">
        <f aca="false">IF(J580&gt;$K$1,"",IFERROR(MATCH(J580,J_BB,0),""))</f>
        <v>858</v>
      </c>
      <c r="J580" s="66" t="n">
        <v>571</v>
      </c>
      <c r="K580" s="5"/>
    </row>
    <row r="581" customFormat="false" ht="15" hidden="false" customHeight="false" outlineLevel="0" collapsed="false">
      <c r="A581" s="5" t="n">
        <f aca="false">IF(I581="","",J581)</f>
        <v>572</v>
      </c>
      <c r="B581" s="83" t="n">
        <f aca="false">IF(I581="","",INDEX(J_TGL,I581))</f>
        <v>46203</v>
      </c>
      <c r="C581" s="5" t="str">
        <f aca="false">IF(I581="","",INDEX(J_NO,I581))</f>
        <v>JU-0859</v>
      </c>
      <c r="D581" s="5" t="str">
        <f aca="false">IF(I581="","",INDEX(J_KET,I581))</f>
        <v>Tissue 2 dus isi 24 pack kitchen towel</v>
      </c>
      <c r="E581" s="5" t="str">
        <f aca="false">IF(I581="","",IF(INDEX(J_DEB,I581)=$C$3,INDEX(J_KRE,I581),INDEX(J_DEB,I581)))</f>
        <v>Biaya Penyajian</v>
      </c>
      <c r="F581" s="44" t="n">
        <f aca="false">IF(I581="","",IF(INDEX(J_DEB,I581)=$C$3,INDEX(J_NOM,I581),0))</f>
        <v>0</v>
      </c>
      <c r="G581" s="44" t="n">
        <f aca="false">IF(I581="","",IF(INDEX(J_KRE,I581)=$C$3,INDEX(J_NOM,I581),0))</f>
        <v>336010</v>
      </c>
      <c r="H581" s="44" t="n">
        <f aca="false">IF(I581="","",N(H580)+IF($C$5="Debet",F581-G581,G581-F581))</f>
        <v>-49388330</v>
      </c>
      <c r="I581" s="66" t="n">
        <f aca="false">IF(J581&gt;$K$1,"",IFERROR(MATCH(J581,J_BB,0),""))</f>
        <v>859</v>
      </c>
      <c r="J581" s="66" t="n">
        <v>572</v>
      </c>
      <c r="K581" s="5"/>
    </row>
    <row r="582" customFormat="false" ht="15" hidden="false" customHeight="false" outlineLevel="0" collapsed="false">
      <c r="A582" s="5" t="n">
        <f aca="false">IF(I582="","",J582)</f>
        <v>573</v>
      </c>
      <c r="B582" s="83" t="n">
        <f aca="false">IF(I582="","",INDEX(J_TGL,I582))</f>
        <v>46203</v>
      </c>
      <c r="C582" s="5" t="str">
        <f aca="false">IF(I582="","",INDEX(J_NO,I582))</f>
        <v>JU-0860</v>
      </c>
      <c r="D582" s="5" t="str">
        <f aca="false">IF(I582="","",INDEX(J_KET,I582))</f>
        <v>Belanja simple syrup</v>
      </c>
      <c r="E582" s="5" t="str">
        <f aca="false">IF(I582="","",IF(INDEX(J_DEB,I582)=$C$3,INDEX(J_KRE,I582),INDEX(J_DEB,I582)))</f>
        <v>Biaya Bahan Baku</v>
      </c>
      <c r="F582" s="44" t="n">
        <f aca="false">IF(I582="","",IF(INDEX(J_DEB,I582)=$C$3,INDEX(J_NOM,I582),0))</f>
        <v>0</v>
      </c>
      <c r="G582" s="44" t="n">
        <f aca="false">IF(I582="","",IF(INDEX(J_KRE,I582)=$C$3,INDEX(J_NOM,I582),0))</f>
        <v>100000</v>
      </c>
      <c r="H582" s="44" t="n">
        <f aca="false">IF(I582="","",N(H581)+IF($C$5="Debet",F582-G582,G582-F582))</f>
        <v>-49488330</v>
      </c>
      <c r="I582" s="66" t="n">
        <f aca="false">IF(J582&gt;$K$1,"",IFERROR(MATCH(J582,J_BB,0),""))</f>
        <v>860</v>
      </c>
      <c r="J582" s="66" t="n">
        <v>573</v>
      </c>
      <c r="K582" s="5"/>
    </row>
    <row r="583" customFormat="false" ht="15" hidden="false" customHeight="false" outlineLevel="0" collapsed="false">
      <c r="A583" s="5" t="n">
        <f aca="false">IF(I583="","",J583)</f>
        <v>574</v>
      </c>
      <c r="B583" s="83" t="n">
        <f aca="false">IF(I583="","",INDEX(J_TGL,I583))</f>
        <v>46203</v>
      </c>
      <c r="C583" s="5" t="str">
        <f aca="false">IF(I583="","",INDEX(J_NO,I583))</f>
        <v>JU-0861</v>
      </c>
      <c r="D583" s="5" t="str">
        <f aca="false">IF(I583="","",INDEX(J_KET,I583))</f>
        <v>Tagihan listrik Juni 2026</v>
      </c>
      <c r="E583" s="5" t="str">
        <f aca="false">IF(I583="","",IF(INDEX(J_DEB,I583)=$C$3,INDEX(J_KRE,I583),INDEX(J_DEB,I583)))</f>
        <v>Biaya Tagihan Bulanan</v>
      </c>
      <c r="F583" s="44" t="n">
        <f aca="false">IF(I583="","",IF(INDEX(J_DEB,I583)=$C$3,INDEX(J_NOM,I583),0))</f>
        <v>0</v>
      </c>
      <c r="G583" s="44" t="n">
        <f aca="false">IF(I583="","",IF(INDEX(J_KRE,I583)=$C$3,INDEX(J_NOM,I583),0))</f>
        <v>4295934</v>
      </c>
      <c r="H583" s="44" t="n">
        <f aca="false">IF(I583="","",N(H582)+IF($C$5="Debet",F583-G583,G583-F583))</f>
        <v>-53784264</v>
      </c>
      <c r="I583" s="66" t="n">
        <f aca="false">IF(J583&gt;$K$1,"",IFERROR(MATCH(J583,J_BB,0),""))</f>
        <v>861</v>
      </c>
      <c r="J583" s="66" t="n">
        <v>574</v>
      </c>
      <c r="K583" s="5"/>
    </row>
    <row r="584" customFormat="false" ht="15" hidden="false" customHeight="false" outlineLevel="0" collapsed="false">
      <c r="A584" s="5" t="n">
        <f aca="false">IF(I584="","",J584)</f>
        <v>575</v>
      </c>
      <c r="B584" s="83" t="n">
        <f aca="false">IF(I584="","",INDEX(J_TGL,I584))</f>
        <v>46203</v>
      </c>
      <c r="C584" s="5" t="str">
        <f aca="false">IF(I584="","",INDEX(J_NO,I584))</f>
        <v>JU-0862</v>
      </c>
      <c r="D584" s="5" t="str">
        <f aca="false">IF(I584="","",INDEX(J_KET,I584))</f>
        <v>Tagihan telepon Juni 2026</v>
      </c>
      <c r="E584" s="5" t="str">
        <f aca="false">IF(I584="","",IF(INDEX(J_DEB,I584)=$C$3,INDEX(J_KRE,I584),INDEX(J_DEB,I584)))</f>
        <v>Biaya Tagihan Bulanan</v>
      </c>
      <c r="F584" s="44" t="n">
        <f aca="false">IF(I584="","",IF(INDEX(J_DEB,I584)=$C$3,INDEX(J_NOM,I584),0))</f>
        <v>0</v>
      </c>
      <c r="G584" s="44" t="n">
        <f aca="false">IF(I584="","",IF(INDEX(J_KRE,I584)=$C$3,INDEX(J_NOM,I584),0))</f>
        <v>57391</v>
      </c>
      <c r="H584" s="44" t="n">
        <f aca="false">IF(I584="","",N(H583)+IF($C$5="Debet",F584-G584,G584-F584))</f>
        <v>-53841655</v>
      </c>
      <c r="I584" s="66" t="n">
        <f aca="false">IF(J584&gt;$K$1,"",IFERROR(MATCH(J584,J_BB,0),""))</f>
        <v>862</v>
      </c>
      <c r="J584" s="66" t="n">
        <v>575</v>
      </c>
      <c r="K584" s="5"/>
    </row>
    <row r="585" customFormat="false" ht="15" hidden="false" customHeight="false" outlineLevel="0" collapsed="false">
      <c r="A585" s="5" t="n">
        <f aca="false">IF(I585="","",J585)</f>
        <v>576</v>
      </c>
      <c r="B585" s="83" t="n">
        <f aca="false">IF(I585="","",INDEX(J_TGL,I585))</f>
        <v>46203</v>
      </c>
      <c r="C585" s="5" t="str">
        <f aca="false">IF(I585="","",INDEX(J_NO,I585))</f>
        <v>JU-0863</v>
      </c>
      <c r="D585" s="5" t="str">
        <f aca="false">IF(I585="","",INDEX(J_KET,I585))</f>
        <v>Tagihan internet Juni 2026</v>
      </c>
      <c r="E585" s="5" t="str">
        <f aca="false">IF(I585="","",IF(INDEX(J_DEB,I585)=$C$3,INDEX(J_KRE,I585),INDEX(J_DEB,I585)))</f>
        <v>Biaya Tagihan Bulanan</v>
      </c>
      <c r="F585" s="44" t="n">
        <f aca="false">IF(I585="","",IF(INDEX(J_DEB,I585)=$C$3,INDEX(J_NOM,I585),0))</f>
        <v>0</v>
      </c>
      <c r="G585" s="44" t="n">
        <f aca="false">IF(I585="","",IF(INDEX(J_KRE,I585)=$C$3,INDEX(J_NOM,I585),0))</f>
        <v>386950</v>
      </c>
      <c r="H585" s="44" t="n">
        <f aca="false">IF(I585="","",N(H584)+IF($C$5="Debet",F585-G585,G585-F585))</f>
        <v>-54228605</v>
      </c>
      <c r="I585" s="66" t="n">
        <f aca="false">IF(J585&gt;$K$1,"",IFERROR(MATCH(J585,J_BB,0),""))</f>
        <v>863</v>
      </c>
      <c r="J585" s="66" t="n">
        <v>576</v>
      </c>
      <c r="K585" s="5"/>
    </row>
    <row r="586" customFormat="false" ht="15" hidden="false" customHeight="false" outlineLevel="0" collapsed="false">
      <c r="A586" s="5" t="n">
        <f aca="false">IF(I586="","",J586)</f>
        <v>577</v>
      </c>
      <c r="B586" s="83" t="n">
        <f aca="false">IF(I586="","",INDEX(J_TGL,I586))</f>
        <v>46203</v>
      </c>
      <c r="C586" s="5" t="str">
        <f aca="false">IF(I586="","",INDEX(J_NO,I586))</f>
        <v>JU-0864</v>
      </c>
      <c r="D586" s="5" t="str">
        <f aca="false">IF(I586="","",INDEX(J_KET,I586))</f>
        <v>Pembayaran pajak restoran bulan Juni</v>
      </c>
      <c r="E586" s="5" t="str">
        <f aca="false">IF(I586="","",IF(INDEX(J_DEB,I586)=$C$3,INDEX(J_KRE,I586),INDEX(J_DEB,I586)))</f>
        <v>Pajak Restoran</v>
      </c>
      <c r="F586" s="44" t="n">
        <f aca="false">IF(I586="","",IF(INDEX(J_DEB,I586)=$C$3,INDEX(J_NOM,I586),0))</f>
        <v>0</v>
      </c>
      <c r="G586" s="44" t="n">
        <f aca="false">IF(I586="","",IF(INDEX(J_KRE,I586)=$C$3,INDEX(J_NOM,I586),0))</f>
        <v>2232000</v>
      </c>
      <c r="H586" s="44" t="n">
        <f aca="false">IF(I586="","",N(H585)+IF($C$5="Debet",F586-G586,G586-F586))</f>
        <v>-56460605</v>
      </c>
      <c r="I586" s="66" t="n">
        <f aca="false">IF(J586&gt;$K$1,"",IFERROR(MATCH(J586,J_BB,0),""))</f>
        <v>864</v>
      </c>
      <c r="J586" s="66" t="n">
        <v>577</v>
      </c>
      <c r="K586" s="5"/>
    </row>
    <row r="587" customFormat="false" ht="15" hidden="false" customHeight="false" outlineLevel="0" collapsed="false">
      <c r="A587" s="5" t="n">
        <f aca="false">IF(I587="","",J587)</f>
        <v>578</v>
      </c>
      <c r="B587" s="83" t="n">
        <f aca="false">IF(I587="","",INDEX(J_TGL,I587))</f>
        <v>46203</v>
      </c>
      <c r="C587" s="5" t="str">
        <f aca="false">IF(I587="","",INDEX(J_NO,I587))</f>
        <v>JU-0865</v>
      </c>
      <c r="D587" s="5" t="str">
        <f aca="false">IF(I587="","",INDEX(J_KET,I587))</f>
        <v>Tambahan biaya administrasi bank utk pembayaran pajak restoran</v>
      </c>
      <c r="E587" s="5" t="str">
        <f aca="false">IF(I587="","",IF(INDEX(J_DEB,I587)=$C$3,INDEX(J_KRE,I587),INDEX(J_DEB,I587)))</f>
        <v>Biaya Lainnya</v>
      </c>
      <c r="F587" s="44" t="n">
        <f aca="false">IF(I587="","",IF(INDEX(J_DEB,I587)=$C$3,INDEX(J_NOM,I587),0))</f>
        <v>0</v>
      </c>
      <c r="G587" s="44" t="n">
        <f aca="false">IF(I587="","",IF(INDEX(J_KRE,I587)=$C$3,INDEX(J_NOM,I587),0))</f>
        <v>5000</v>
      </c>
      <c r="H587" s="44" t="n">
        <f aca="false">IF(I587="","",N(H586)+IF($C$5="Debet",F587-G587,G587-F587))</f>
        <v>-56465605</v>
      </c>
      <c r="I587" s="66" t="n">
        <f aca="false">IF(J587&gt;$K$1,"",IFERROR(MATCH(J587,J_BB,0),""))</f>
        <v>865</v>
      </c>
      <c r="J587" s="66" t="n">
        <v>578</v>
      </c>
      <c r="K587" s="5"/>
    </row>
    <row r="588" customFormat="false" ht="15" hidden="false" customHeight="false" outlineLevel="0" collapsed="false">
      <c r="A588" s="5" t="n">
        <f aca="false">IF(I588="","",J588)</f>
        <v>579</v>
      </c>
      <c r="B588" s="83" t="n">
        <f aca="false">IF(I588="","",INDEX(J_TGL,I588))</f>
        <v>46203</v>
      </c>
      <c r="C588" s="5" t="str">
        <f aca="false">IF(I588="","",INDEX(J_NO,I588))</f>
        <v>JU-0866</v>
      </c>
      <c r="D588" s="5" t="str">
        <f aca="false">IF(I588="","",INDEX(J_KET,I588))</f>
        <v>Pengeluaran pajak bunga rekening bank BCA</v>
      </c>
      <c r="E588" s="5" t="str">
        <f aca="false">IF(I588="","",IF(INDEX(J_DEB,I588)=$C$3,INDEX(J_KRE,I588),INDEX(J_DEB,I588)))</f>
        <v>Biaya Lainnya</v>
      </c>
      <c r="F588" s="44" t="n">
        <f aca="false">IF(I588="","",IF(INDEX(J_DEB,I588)=$C$3,INDEX(J_NOM,I588),0))</f>
        <v>0</v>
      </c>
      <c r="G588" s="44" t="n">
        <f aca="false">IF(I588="","",IF(INDEX(J_KRE,I588)=$C$3,INDEX(J_NOM,I588),0))</f>
        <v>203</v>
      </c>
      <c r="H588" s="44" t="n">
        <f aca="false">IF(I588="","",N(H587)+IF($C$5="Debet",F588-G588,G588-F588))</f>
        <v>-56465808</v>
      </c>
      <c r="I588" s="66" t="n">
        <f aca="false">IF(J588&gt;$K$1,"",IFERROR(MATCH(J588,J_BB,0),""))</f>
        <v>866</v>
      </c>
      <c r="J588" s="66" t="n">
        <v>579</v>
      </c>
      <c r="K588" s="5"/>
    </row>
    <row r="589" customFormat="false" ht="15" hidden="false" customHeight="false" outlineLevel="0" collapsed="false">
      <c r="A589" s="5" t="n">
        <f aca="false">IF(I589="","",J589)</f>
        <v>580</v>
      </c>
      <c r="B589" s="83" t="n">
        <f aca="false">IF(I589="","",INDEX(J_TGL,I589))</f>
        <v>46203</v>
      </c>
      <c r="C589" s="5" t="str">
        <f aca="false">IF(I589="","",INDEX(J_NO,I589))</f>
        <v>JU-0867</v>
      </c>
      <c r="D589" s="5" t="str">
        <f aca="false">IF(I589="","",INDEX(J_KET,I589))</f>
        <v>Pendapatan bunga rekening bank BCA</v>
      </c>
      <c r="E589" s="5" t="str">
        <f aca="false">IF(I589="","",IF(INDEX(J_DEB,I589)=$C$3,INDEX(J_KRE,I589),INDEX(J_DEB,I589)))</f>
        <v>Pendapatan Lainnya</v>
      </c>
      <c r="F589" s="44" t="n">
        <f aca="false">IF(I589="","",IF(INDEX(J_DEB,I589)=$C$3,INDEX(J_NOM,I589),0))</f>
        <v>1011</v>
      </c>
      <c r="G589" s="44" t="n">
        <f aca="false">IF(I589="","",IF(INDEX(J_KRE,I589)=$C$3,INDEX(J_NOM,I589),0))</f>
        <v>0</v>
      </c>
      <c r="H589" s="44" t="n">
        <f aca="false">IF(I589="","",N(H588)+IF($C$5="Debet",F589-G589,G589-F589))</f>
        <v>-56464797</v>
      </c>
      <c r="I589" s="66" t="n">
        <f aca="false">IF(J589&gt;$K$1,"",IFERROR(MATCH(J589,J_BB,0),""))</f>
        <v>867</v>
      </c>
      <c r="J589" s="66" t="n">
        <v>580</v>
      </c>
      <c r="K589" s="5"/>
    </row>
    <row r="590" customFormat="false" ht="15" hidden="false" customHeight="false" outlineLevel="0" collapsed="false">
      <c r="A590" s="5" t="n">
        <f aca="false">IF(I590="","",J590)</f>
        <v>581</v>
      </c>
      <c r="B590" s="83" t="n">
        <f aca="false">IF(I590="","",INDEX(J_TGL,I590))</f>
        <v>46203</v>
      </c>
      <c r="C590" s="5" t="str">
        <f aca="false">IF(I590="","",INDEX(J_NO,I590))</f>
        <v>JU-0868</v>
      </c>
      <c r="D590" s="5" t="str">
        <f aca="false">IF(I590="","",INDEX(J_KET,I590))</f>
        <v>koreksi pendapatan bunga rekening bank BCA</v>
      </c>
      <c r="E590" s="5" t="str">
        <f aca="false">IF(I590="","",IF(INDEX(J_DEB,I590)=$C$3,INDEX(J_KRE,I590),INDEX(J_DEB,I590)))</f>
        <v>Pendapatan Lainnya</v>
      </c>
      <c r="F590" s="44" t="n">
        <f aca="false">IF(I590="","",IF(INDEX(J_DEB,I590)=$C$3,INDEX(J_NOM,I590),0))</f>
        <v>2</v>
      </c>
      <c r="G590" s="44" t="n">
        <f aca="false">IF(I590="","",IF(INDEX(J_KRE,I590)=$C$3,INDEX(J_NOM,I590),0))</f>
        <v>0</v>
      </c>
      <c r="H590" s="44" t="n">
        <f aca="false">IF(I590="","",N(H589)+IF($C$5="Debet",F590-G590,G590-F590))</f>
        <v>-56464795</v>
      </c>
      <c r="I590" s="66" t="n">
        <f aca="false">IF(J590&gt;$K$1,"",IFERROR(MATCH(J590,J_BB,0),""))</f>
        <v>868</v>
      </c>
      <c r="J590" s="66" t="n">
        <v>581</v>
      </c>
      <c r="K590" s="5"/>
    </row>
    <row r="591" customFormat="false" ht="15" hidden="false" customHeight="false" outlineLevel="0" collapsed="false">
      <c r="A591" s="5" t="n">
        <f aca="false">IF(I591="","",J591)</f>
        <v>582</v>
      </c>
      <c r="B591" s="83" t="n">
        <f aca="false">IF(I591="","",INDEX(J_TGL,I591))</f>
        <v>46203</v>
      </c>
      <c r="C591" s="5" t="str">
        <f aca="false">IF(I591="","",INDEX(J_NO,I591))</f>
        <v>JU-0869</v>
      </c>
      <c r="D591" s="5" t="str">
        <f aca="false">IF(I591="","",INDEX(J_KET,I591))</f>
        <v>Menerima pelunasan piutang Einstein tagihan Juni nota Kopi Parang</v>
      </c>
      <c r="E591" s="5" t="str">
        <f aca="false">IF(I591="","",IF(INDEX(J_DEB,I591)=$C$3,INDEX(J_KRE,I591),INDEX(J_DEB,I591)))</f>
        <v>Piutang Lainnya</v>
      </c>
      <c r="F591" s="44" t="n">
        <f aca="false">IF(I591="","",IF(INDEX(J_DEB,I591)=$C$3,INDEX(J_NOM,I591),0))</f>
        <v>354900</v>
      </c>
      <c r="G591" s="44" t="n">
        <f aca="false">IF(I591="","",IF(INDEX(J_KRE,I591)=$C$3,INDEX(J_NOM,I591),0))</f>
        <v>0</v>
      </c>
      <c r="H591" s="44" t="n">
        <f aca="false">IF(I591="","",N(H590)+IF($C$5="Debet",F591-G591,G591-F591))</f>
        <v>-56109895</v>
      </c>
      <c r="I591" s="66" t="n">
        <f aca="false">IF(J591&gt;$K$1,"",IFERROR(MATCH(J591,J_BB,0),""))</f>
        <v>869</v>
      </c>
      <c r="J591" s="66" t="n">
        <v>582</v>
      </c>
      <c r="K591" s="5"/>
    </row>
    <row r="592" customFormat="false" ht="15" hidden="false" customHeight="false" outlineLevel="0" collapsed="false">
      <c r="A592" s="5" t="n">
        <f aca="false">IF(I592="","",J592)</f>
        <v>583</v>
      </c>
      <c r="B592" s="83" t="n">
        <f aca="false">IF(I592="","",INDEX(J_TGL,I592))</f>
        <v>46203</v>
      </c>
      <c r="C592" s="5" t="str">
        <f aca="false">IF(I592="","",INDEX(J_NO,I592))</f>
        <v>JU-0871</v>
      </c>
      <c r="D592" s="5" t="str">
        <f aca="false">IF(I592="","",INDEX(J_KET,I592))</f>
        <v>Nasi gudeg x 50 porsi untuk jamaah Yasin</v>
      </c>
      <c r="E592" s="5" t="str">
        <f aca="false">IF(I592="","",IF(INDEX(J_DEB,I592)=$C$3,INDEX(J_KRE,I592),INDEX(J_DEB,I592)))</f>
        <v>Dana Sosial &amp; CSR</v>
      </c>
      <c r="F592" s="44" t="n">
        <f aca="false">IF(I592="","",IF(INDEX(J_DEB,I592)=$C$3,INDEX(J_NOM,I592),0))</f>
        <v>0</v>
      </c>
      <c r="G592" s="44" t="n">
        <f aca="false">IF(I592="","",IF(INDEX(J_KRE,I592)=$C$3,INDEX(J_NOM,I592),0))</f>
        <v>850000</v>
      </c>
      <c r="H592" s="44" t="n">
        <f aca="false">IF(I592="","",N(H591)+IF($C$5="Debet",F592-G592,G592-F592))</f>
        <v>-56959895</v>
      </c>
      <c r="I592" s="66" t="n">
        <f aca="false">IF(J592&gt;$K$1,"",IFERROR(MATCH(J592,J_BB,0),""))</f>
        <v>871</v>
      </c>
      <c r="J592" s="66" t="n">
        <v>583</v>
      </c>
      <c r="K592" s="5"/>
    </row>
    <row r="593" customFormat="false" ht="15" hidden="false" customHeight="false" outlineLevel="0" collapsed="false">
      <c r="A593" s="5" t="n">
        <f aca="false">IF(I593="","",J593)</f>
        <v>584</v>
      </c>
      <c r="B593" s="83" t="n">
        <f aca="false">IF(I593="","",INDEX(J_TGL,I593))</f>
        <v>46203</v>
      </c>
      <c r="C593" s="5" t="str">
        <f aca="false">IF(I593="","",INDEX(J_NO,I593))</f>
        <v>JU-0874</v>
      </c>
      <c r="D593" s="5" t="str">
        <f aca="false">IF(I593="","",INDEX(J_KET,I593))</f>
        <v>Realisasi EDC/QRIS omzet bulan Juni</v>
      </c>
      <c r="E593" s="5" t="str">
        <f aca="false">IF(I593="","",IF(INDEX(J_DEB,I593)=$C$3,INDEX(J_KRE,I593),INDEX(J_DEB,I593)))</f>
        <v>Piutang Usaha Cafe</v>
      </c>
      <c r="F593" s="44" t="n">
        <f aca="false">IF(I593="","",IF(INDEX(J_DEB,I593)=$C$3,INDEX(J_NOM,I593),0))</f>
        <v>79446227</v>
      </c>
      <c r="G593" s="44" t="n">
        <f aca="false">IF(I593="","",IF(INDEX(J_KRE,I593)=$C$3,INDEX(J_NOM,I593),0))</f>
        <v>0</v>
      </c>
      <c r="H593" s="44" t="n">
        <f aca="false">IF(I593="","",N(H592)+IF($C$5="Debet",F593-G593,G593-F593))</f>
        <v>22486332</v>
      </c>
      <c r="I593" s="66" t="n">
        <f aca="false">IF(J593&gt;$K$1,"",IFERROR(MATCH(J593,J_BB,0),""))</f>
        <v>874</v>
      </c>
      <c r="J593" s="66" t="n">
        <v>584</v>
      </c>
      <c r="K593" s="5"/>
    </row>
    <row r="594" customFormat="false" ht="15" hidden="false" customHeight="false" outlineLevel="0" collapsed="false">
      <c r="A594" s="5" t="n">
        <f aca="false">IF(I594="","",J594)</f>
        <v>585</v>
      </c>
      <c r="B594" s="83" t="n">
        <f aca="false">IF(I594="","",INDEX(J_TGL,I594))</f>
        <v>46204</v>
      </c>
      <c r="C594" s="5" t="str">
        <f aca="false">IF(I594="","",INDEX(J_NO,I594))</f>
        <v>JU-0880</v>
      </c>
      <c r="D594" s="5" t="str">
        <f aca="false">IF(I594="","",INDEX(J_KET,I594))</f>
        <v>Biaya admin BCA</v>
      </c>
      <c r="E594" s="5" t="str">
        <f aca="false">IF(I594="","",IF(INDEX(J_DEB,I594)=$C$3,INDEX(J_KRE,I594),INDEX(J_DEB,I594)))</f>
        <v>Biaya Lainnya</v>
      </c>
      <c r="F594" s="44" t="n">
        <f aca="false">IF(I594="","",IF(INDEX(J_DEB,I594)=$C$3,INDEX(J_NOM,I594),0))</f>
        <v>0</v>
      </c>
      <c r="G594" s="44" t="n">
        <f aca="false">IF(I594="","",IF(INDEX(J_KRE,I594)=$C$3,INDEX(J_NOM,I594),0))</f>
        <v>10000</v>
      </c>
      <c r="H594" s="44" t="n">
        <f aca="false">IF(I594="","",N(H593)+IF($C$5="Debet",F594-G594,G594-F594))</f>
        <v>22476332</v>
      </c>
      <c r="I594" s="66" t="n">
        <f aca="false">IF(J594&gt;$K$1,"",IFERROR(MATCH(J594,J_BB,0),""))</f>
        <v>880</v>
      </c>
      <c r="J594" s="66" t="n">
        <v>585</v>
      </c>
      <c r="K594" s="5"/>
    </row>
    <row r="595" customFormat="false" ht="15" hidden="false" customHeight="false" outlineLevel="0" collapsed="false">
      <c r="A595" s="5" t="n">
        <f aca="false">IF(I595="","",J595)</f>
        <v>586</v>
      </c>
      <c r="B595" s="83" t="n">
        <f aca="false">IF(I595="","",INDEX(J_TGL,I595))</f>
        <v>46205</v>
      </c>
      <c r="C595" s="5" t="str">
        <f aca="false">IF(I595="","",INDEX(J_NO,I595))</f>
        <v>JU-0881</v>
      </c>
      <c r="D595" s="5" t="str">
        <f aca="false">IF(I595="","",INDEX(J_KET,I595))</f>
        <v>Pembayaran DP ketiga web develop TMS (termin IV)</v>
      </c>
      <c r="E595" s="5" t="str">
        <f aca="false">IF(I595="","",IF(INDEX(J_DEB,I595)=$C$3,INDEX(J_KRE,I595),INDEX(J_DEB,I595)))</f>
        <v>Biaya Marketing &amp; Promosi</v>
      </c>
      <c r="F595" s="44" t="n">
        <f aca="false">IF(I595="","",IF(INDEX(J_DEB,I595)=$C$3,INDEX(J_NOM,I595),0))</f>
        <v>0</v>
      </c>
      <c r="G595" s="44" t="n">
        <f aca="false">IF(I595="","",IF(INDEX(J_KRE,I595)=$C$3,INDEX(J_NOM,I595),0))</f>
        <v>2500000</v>
      </c>
      <c r="H595" s="44" t="n">
        <f aca="false">IF(I595="","",N(H594)+IF($C$5="Debet",F595-G595,G595-F595))</f>
        <v>19976332</v>
      </c>
      <c r="I595" s="66" t="n">
        <f aca="false">IF(J595&gt;$K$1,"",IFERROR(MATCH(J595,J_BB,0),""))</f>
        <v>881</v>
      </c>
      <c r="J595" s="66" t="n">
        <v>586</v>
      </c>
      <c r="K595" s="5"/>
    </row>
    <row r="596" customFormat="false" ht="15" hidden="false" customHeight="false" outlineLevel="0" collapsed="false">
      <c r="A596" s="5" t="n">
        <f aca="false">IF(I596="","",J596)</f>
        <v>587</v>
      </c>
      <c r="B596" s="83" t="n">
        <f aca="false">IF(I596="","",INDEX(J_TGL,I596))</f>
        <v>46205</v>
      </c>
      <c r="C596" s="5" t="str">
        <f aca="false">IF(I596="","",INDEX(J_NO,I596))</f>
        <v>JU-0882</v>
      </c>
      <c r="D596" s="5" t="str">
        <f aca="false">IF(I596="","",INDEX(J_KET,I596))</f>
        <v>Biaya transfer flip</v>
      </c>
      <c r="E596" s="5" t="str">
        <f aca="false">IF(I596="","",IF(INDEX(J_DEB,I596)=$C$3,INDEX(J_KRE,I596),INDEX(J_DEB,I596)))</f>
        <v>Biaya Lainnya</v>
      </c>
      <c r="F596" s="44" t="n">
        <f aca="false">IF(I596="","",IF(INDEX(J_DEB,I596)=$C$3,INDEX(J_NOM,I596),0))</f>
        <v>0</v>
      </c>
      <c r="G596" s="44" t="n">
        <f aca="false">IF(I596="","",IF(INDEX(J_KRE,I596)=$C$3,INDEX(J_NOM,I596),0))</f>
        <v>344</v>
      </c>
      <c r="H596" s="44" t="n">
        <f aca="false">IF(I596="","",N(H595)+IF($C$5="Debet",F596-G596,G596-F596))</f>
        <v>19975988</v>
      </c>
      <c r="I596" s="66" t="n">
        <f aca="false">IF(J596&gt;$K$1,"",IFERROR(MATCH(J596,J_BB,0),""))</f>
        <v>882</v>
      </c>
      <c r="J596" s="66" t="n">
        <v>587</v>
      </c>
      <c r="K596" s="5"/>
    </row>
    <row r="597" customFormat="false" ht="15" hidden="false" customHeight="false" outlineLevel="0" collapsed="false">
      <c r="A597" s="5" t="n">
        <f aca="false">IF(I597="","",J597)</f>
        <v>588</v>
      </c>
      <c r="B597" s="83" t="n">
        <f aca="false">IF(I597="","",INDEX(J_TGL,I597))</f>
        <v>46206</v>
      </c>
      <c r="C597" s="5" t="str">
        <f aca="false">IF(I597="","",INDEX(J_NO,I597))</f>
        <v>JU-0883</v>
      </c>
      <c r="D597" s="5" t="str">
        <f aca="false">IF(I597="","",INDEX(J_KET,I597))</f>
        <v>Pindah dana BCA ke tunai (Afa tukar uang)</v>
      </c>
      <c r="E597" s="5" t="str">
        <f aca="false">IF(I597="","",IF(INDEX(J_DEB,I597)=$C$3,INDEX(J_KRE,I597),INDEX(J_DEB,I597)))</f>
        <v>Kas Tunai</v>
      </c>
      <c r="F597" s="44" t="n">
        <f aca="false">IF(I597="","",IF(INDEX(J_DEB,I597)=$C$3,INDEX(J_NOM,I597),0))</f>
        <v>0</v>
      </c>
      <c r="G597" s="44" t="n">
        <f aca="false">IF(I597="","",IF(INDEX(J_KRE,I597)=$C$3,INDEX(J_NOM,I597),0))</f>
        <v>174000</v>
      </c>
      <c r="H597" s="44" t="n">
        <f aca="false">IF(I597="","",N(H596)+IF($C$5="Debet",F597-G597,G597-F597))</f>
        <v>19801988</v>
      </c>
      <c r="I597" s="66" t="n">
        <f aca="false">IF(J597&gt;$K$1,"",IFERROR(MATCH(J597,J_BB,0),""))</f>
        <v>883</v>
      </c>
      <c r="J597" s="66" t="n">
        <v>588</v>
      </c>
      <c r="K597" s="5"/>
    </row>
    <row r="598" customFormat="false" ht="15" hidden="false" customHeight="false" outlineLevel="0" collapsed="false">
      <c r="A598" s="5" t="n">
        <f aca="false">IF(I598="","",J598)</f>
        <v>589</v>
      </c>
      <c r="B598" s="83" t="n">
        <f aca="false">IF(I598="","",INDEX(J_TGL,I598))</f>
        <v>46207</v>
      </c>
      <c r="C598" s="5" t="str">
        <f aca="false">IF(I598="","",INDEX(J_NO,I598))</f>
        <v>JU-0884</v>
      </c>
      <c r="D598" s="5" t="str">
        <f aca="false">IF(I598="","",INDEX(J_KET,I598))</f>
        <v>botol kaca</v>
      </c>
      <c r="E598" s="5" t="str">
        <f aca="false">IF(I598="","",IF(INDEX(J_DEB,I598)=$C$3,INDEX(J_KRE,I598),INDEX(J_DEB,I598)))</f>
        <v>Beban Perlengkapan</v>
      </c>
      <c r="F598" s="44" t="n">
        <f aca="false">IF(I598="","",IF(INDEX(J_DEB,I598)=$C$3,INDEX(J_NOM,I598),0))</f>
        <v>0</v>
      </c>
      <c r="G598" s="44" t="n">
        <f aca="false">IF(I598="","",IF(INDEX(J_KRE,I598)=$C$3,INDEX(J_NOM,I598),0))</f>
        <v>128850</v>
      </c>
      <c r="H598" s="44" t="n">
        <f aca="false">IF(I598="","",N(H597)+IF($C$5="Debet",F598-G598,G598-F598))</f>
        <v>19673138</v>
      </c>
      <c r="I598" s="66" t="n">
        <f aca="false">IF(J598&gt;$K$1,"",IFERROR(MATCH(J598,J_BB,0),""))</f>
        <v>884</v>
      </c>
      <c r="J598" s="66" t="n">
        <v>589</v>
      </c>
      <c r="K598" s="5"/>
    </row>
    <row r="599" customFormat="false" ht="15" hidden="false" customHeight="false" outlineLevel="0" collapsed="false">
      <c r="A599" s="5" t="n">
        <f aca="false">IF(I599="","",J599)</f>
        <v>590</v>
      </c>
      <c r="B599" s="83" t="n">
        <f aca="false">IF(I599="","",INDEX(J_TGL,I599))</f>
        <v>46207</v>
      </c>
      <c r="C599" s="5" t="str">
        <f aca="false">IF(I599="","",INDEX(J_NO,I599))</f>
        <v>JU-0891</v>
      </c>
      <c r="D599" s="5" t="str">
        <f aca="false">IF(I599="","",INDEX(J_KET,I599))</f>
        <v>Pindah dana tunai ke BCA (Afa tukar uang)</v>
      </c>
      <c r="E599" s="5" t="str">
        <f aca="false">IF(I599="","",IF(INDEX(J_DEB,I599)=$C$3,INDEX(J_KRE,I599),INDEX(J_DEB,I599)))</f>
        <v>Kas Tunai</v>
      </c>
      <c r="F599" s="44" t="n">
        <f aca="false">IF(I599="","",IF(INDEX(J_DEB,I599)=$C$3,INDEX(J_NOM,I599),0))</f>
        <v>2500000</v>
      </c>
      <c r="G599" s="44" t="n">
        <f aca="false">IF(I599="","",IF(INDEX(J_KRE,I599)=$C$3,INDEX(J_NOM,I599),0))</f>
        <v>0</v>
      </c>
      <c r="H599" s="44" t="n">
        <f aca="false">IF(I599="","",N(H598)+IF($C$5="Debet",F599-G599,G599-F599))</f>
        <v>22173138</v>
      </c>
      <c r="I599" s="66" t="n">
        <f aca="false">IF(J599&gt;$K$1,"",IFERROR(MATCH(J599,J_BB,0),""))</f>
        <v>891</v>
      </c>
      <c r="J599" s="66" t="n">
        <v>590</v>
      </c>
      <c r="K599" s="5"/>
    </row>
    <row r="600" customFormat="false" ht="15" hidden="false" customHeight="false" outlineLevel="0" collapsed="false">
      <c r="A600" s="5" t="n">
        <f aca="false">IF(I600="","",J600)</f>
        <v>591</v>
      </c>
      <c r="B600" s="83" t="n">
        <f aca="false">IF(I600="","",INDEX(J_TGL,I600))</f>
        <v>46209</v>
      </c>
      <c r="C600" s="5" t="str">
        <f aca="false">IF(I600="","",INDEX(J_NO,I600))</f>
        <v>JU-0892</v>
      </c>
      <c r="D600" s="5" t="str">
        <f aca="false">IF(I600="","",INDEX(J_KET,I600))</f>
        <v>paper hario v60</v>
      </c>
      <c r="E600" s="5" t="str">
        <f aca="false">IF(I600="","",IF(INDEX(J_DEB,I600)=$C$3,INDEX(J_KRE,I600),INDEX(J_DEB,I600)))</f>
        <v>Beban Perlengkapan</v>
      </c>
      <c r="F600" s="44" t="n">
        <f aca="false">IF(I600="","",IF(INDEX(J_DEB,I600)=$C$3,INDEX(J_NOM,I600),0))</f>
        <v>0</v>
      </c>
      <c r="G600" s="44" t="n">
        <f aca="false">IF(I600="","",IF(INDEX(J_KRE,I600)=$C$3,INDEX(J_NOM,I600),0))</f>
        <v>95000</v>
      </c>
      <c r="H600" s="44" t="n">
        <f aca="false">IF(I600="","",N(H599)+IF($C$5="Debet",F600-G600,G600-F600))</f>
        <v>22078138</v>
      </c>
      <c r="I600" s="66" t="n">
        <f aca="false">IF(J600&gt;$K$1,"",IFERROR(MATCH(J600,J_BB,0),""))</f>
        <v>892</v>
      </c>
      <c r="J600" s="66" t="n">
        <v>591</v>
      </c>
      <c r="K600" s="5"/>
    </row>
    <row r="601" customFormat="false" ht="15" hidden="false" customHeight="false" outlineLevel="0" collapsed="false">
      <c r="A601" s="5" t="n">
        <f aca="false">IF(I601="","",J601)</f>
        <v>592</v>
      </c>
      <c r="B601" s="83" t="n">
        <f aca="false">IF(I601="","",INDEX(J_TGL,I601))</f>
        <v>46209</v>
      </c>
      <c r="C601" s="5" t="str">
        <f aca="false">IF(I601="","",INDEX(J_NO,I601))</f>
        <v>JU-0893</v>
      </c>
      <c r="D601" s="5" t="str">
        <f aca="false">IF(I601="","",INDEX(J_KET,I601))</f>
        <v>koreksi</v>
      </c>
      <c r="E601" s="5" t="str">
        <f aca="false">IF(I601="","",IF(INDEX(J_DEB,I601)=$C$3,INDEX(J_KRE,I601),INDEX(J_DEB,I601)))</f>
        <v>Pendapatan Lainnya</v>
      </c>
      <c r="F601" s="44" t="n">
        <f aca="false">IF(I601="","",IF(INDEX(J_DEB,I601)=$C$3,INDEX(J_NOM,I601),0))</f>
        <v>3</v>
      </c>
      <c r="G601" s="44" t="n">
        <f aca="false">IF(I601="","",IF(INDEX(J_KRE,I601)=$C$3,INDEX(J_NOM,I601),0))</f>
        <v>0</v>
      </c>
      <c r="H601" s="44" t="n">
        <f aca="false">IF(I601="","",N(H600)+IF($C$5="Debet",F601-G601,G601-F601))</f>
        <v>22078141</v>
      </c>
      <c r="I601" s="66" t="n">
        <f aca="false">IF(J601&gt;$K$1,"",IFERROR(MATCH(J601,J_BB,0),""))</f>
        <v>893</v>
      </c>
      <c r="J601" s="66" t="n">
        <v>592</v>
      </c>
      <c r="K601" s="5"/>
    </row>
    <row r="602" customFormat="false" ht="15" hidden="false" customHeight="false" outlineLevel="0" collapsed="false">
      <c r="A602" s="5" t="n">
        <f aca="false">IF(I602="","",J602)</f>
        <v>593</v>
      </c>
      <c r="B602" s="83" t="n">
        <f aca="false">IF(I602="","",INDEX(J_TGL,I602))</f>
        <v>46209</v>
      </c>
      <c r="C602" s="5" t="str">
        <f aca="false">IF(I602="","",INDEX(J_NO,I602))</f>
        <v>JU-0894</v>
      </c>
      <c r="D602" s="5" t="str">
        <f aca="false">IF(I602="","",INDEX(J_KET,I602))</f>
        <v>cangkir espresso Alicia x 1 pc</v>
      </c>
      <c r="E602" s="5" t="str">
        <f aca="false">IF(I602="","",IF(INDEX(J_DEB,I602)=$C$3,INDEX(J_KRE,I602),INDEX(J_DEB,I602)))</f>
        <v>Biaya Penyajian</v>
      </c>
      <c r="F602" s="44" t="n">
        <f aca="false">IF(I602="","",IF(INDEX(J_DEB,I602)=$C$3,INDEX(J_NOM,I602),0))</f>
        <v>0</v>
      </c>
      <c r="G602" s="44" t="n">
        <f aca="false">IF(I602="","",IF(INDEX(J_KRE,I602)=$C$3,INDEX(J_NOM,I602),0))</f>
        <v>84650</v>
      </c>
      <c r="H602" s="44" t="n">
        <f aca="false">IF(I602="","",N(H601)+IF($C$5="Debet",F602-G602,G602-F602))</f>
        <v>21993491</v>
      </c>
      <c r="I602" s="66" t="n">
        <f aca="false">IF(J602&gt;$K$1,"",IFERROR(MATCH(J602,J_BB,0),""))</f>
        <v>894</v>
      </c>
      <c r="J602" s="66" t="n">
        <v>593</v>
      </c>
      <c r="K602" s="5"/>
    </row>
    <row r="603" customFormat="false" ht="15" hidden="false" customHeight="false" outlineLevel="0" collapsed="false">
      <c r="A603" s="5" t="n">
        <f aca="false">IF(I603="","",J603)</f>
        <v>594</v>
      </c>
      <c r="B603" s="83" t="n">
        <f aca="false">IF(I603="","",INDEX(J_TGL,I603))</f>
        <v>46210</v>
      </c>
      <c r="C603" s="5" t="str">
        <f aca="false">IF(I603="","",INDEX(J_NO,I603))</f>
        <v>JU-0895</v>
      </c>
      <c r="D603" s="5" t="str">
        <f aca="false">IF(I603="","",INDEX(J_KET,I603))</f>
        <v>Unlock water</v>
      </c>
      <c r="E603" s="5" t="str">
        <f aca="false">IF(I603="","",IF(INDEX(J_DEB,I603)=$C$3,INDEX(J_KRE,I603),INDEX(J_DEB,I603)))</f>
        <v>Biaya Bahan Baku</v>
      </c>
      <c r="F603" s="44" t="n">
        <f aca="false">IF(I603="","",IF(INDEX(J_DEB,I603)=$C$3,INDEX(J_NOM,I603),0))</f>
        <v>0</v>
      </c>
      <c r="G603" s="44" t="n">
        <f aca="false">IF(I603="","",IF(INDEX(J_KRE,I603)=$C$3,INDEX(J_NOM,I603),0))</f>
        <v>228000</v>
      </c>
      <c r="H603" s="44" t="n">
        <f aca="false">IF(I603="","",N(H602)+IF($C$5="Debet",F603-G603,G603-F603))</f>
        <v>21765491</v>
      </c>
      <c r="I603" s="66" t="n">
        <f aca="false">IF(J603&gt;$K$1,"",IFERROR(MATCH(J603,J_BB,0),""))</f>
        <v>895</v>
      </c>
      <c r="J603" s="66" t="n">
        <v>594</v>
      </c>
      <c r="K603" s="5"/>
    </row>
    <row r="604" customFormat="false" ht="15" hidden="false" customHeight="false" outlineLevel="0" collapsed="false">
      <c r="A604" s="5" t="n">
        <f aca="false">IF(I604="","",J604)</f>
        <v>595</v>
      </c>
      <c r="B604" s="83" t="n">
        <f aca="false">IF(I604="","",INDEX(J_TGL,I604))</f>
        <v>46211</v>
      </c>
      <c r="C604" s="5" t="str">
        <f aca="false">IF(I604="","",INDEX(J_NO,I604))</f>
        <v>JU-0896</v>
      </c>
      <c r="D604" s="5" t="str">
        <f aca="false">IF(I604="","",INDEX(J_KET,I604))</f>
        <v>Yantos pinjam untuk beli beans</v>
      </c>
      <c r="E604" s="5" t="str">
        <f aca="false">IF(I604="","",IF(INDEX(J_DEB,I604)=$C$3,INDEX(J_KRE,I604),INDEX(J_DEB,I604)))</f>
        <v>Piutang Usaha Cafe</v>
      </c>
      <c r="F604" s="44" t="n">
        <f aca="false">IF(I604="","",IF(INDEX(J_DEB,I604)=$C$3,INDEX(J_NOM,I604),0))</f>
        <v>0</v>
      </c>
      <c r="G604" s="44" t="n">
        <f aca="false">IF(I604="","",IF(INDEX(J_KRE,I604)=$C$3,INDEX(J_NOM,I604),0))</f>
        <v>6000000</v>
      </c>
      <c r="H604" s="44" t="n">
        <f aca="false">IF(I604="","",N(H603)+IF($C$5="Debet",F604-G604,G604-F604))</f>
        <v>15765491</v>
      </c>
      <c r="I604" s="66" t="n">
        <f aca="false">IF(J604&gt;$K$1,"",IFERROR(MATCH(J604,J_BB,0),""))</f>
        <v>896</v>
      </c>
      <c r="J604" s="66" t="n">
        <v>595</v>
      </c>
      <c r="K604" s="5"/>
    </row>
    <row r="605" customFormat="false" ht="15" hidden="false" customHeight="false" outlineLevel="0" collapsed="false">
      <c r="A605" s="5" t="n">
        <f aca="false">IF(I605="","",J605)</f>
        <v>596</v>
      </c>
      <c r="B605" s="83" t="n">
        <f aca="false">IF(I605="","",INDEX(J_TGL,I605))</f>
        <v>46211</v>
      </c>
      <c r="C605" s="5" t="str">
        <f aca="false">IF(I605="","",INDEX(J_NO,I605))</f>
        <v>JU-0897</v>
      </c>
      <c r="D605" s="5" t="str">
        <f aca="false">IF(I605="","",INDEX(J_KET,I605))</f>
        <v>Pindah dana tunai ke BCA (setor tunai by Bank)</v>
      </c>
      <c r="E605" s="5" t="str">
        <f aca="false">IF(I605="","",IF(INDEX(J_DEB,I605)=$C$3,INDEX(J_KRE,I605),INDEX(J_DEB,I605)))</f>
        <v>Kas Tunai</v>
      </c>
      <c r="F605" s="44" t="n">
        <f aca="false">IF(I605="","",IF(INDEX(J_DEB,I605)=$C$3,INDEX(J_NOM,I605),0))</f>
        <v>746000</v>
      </c>
      <c r="G605" s="44" t="n">
        <f aca="false">IF(I605="","",IF(INDEX(J_KRE,I605)=$C$3,INDEX(J_NOM,I605),0))</f>
        <v>0</v>
      </c>
      <c r="H605" s="44" t="n">
        <f aca="false">IF(I605="","",N(H604)+IF($C$5="Debet",F605-G605,G605-F605))</f>
        <v>16511491</v>
      </c>
      <c r="I605" s="66" t="n">
        <f aca="false">IF(J605&gt;$K$1,"",IFERROR(MATCH(J605,J_BB,0),""))</f>
        <v>897</v>
      </c>
      <c r="J605" s="66" t="n">
        <v>596</v>
      </c>
      <c r="K605" s="5"/>
    </row>
    <row r="606" customFormat="false" ht="15" hidden="false" customHeight="false" outlineLevel="0" collapsed="false">
      <c r="A606" s="5" t="n">
        <f aca="false">IF(I606="","",J606)</f>
        <v>597</v>
      </c>
      <c r="B606" s="83" t="n">
        <f aca="false">IF(I606="","",INDEX(J_TGL,I606))</f>
        <v>46211</v>
      </c>
      <c r="C606" s="5" t="str">
        <f aca="false">IF(I606="","",INDEX(J_NO,I606))</f>
        <v>JU-0898</v>
      </c>
      <c r="D606" s="5" t="str">
        <f aca="false">IF(I606="","",INDEX(J_KET,I606))</f>
        <v>Pindah dana BCA ke tunai</v>
      </c>
      <c r="E606" s="5" t="str">
        <f aca="false">IF(I606="","",IF(INDEX(J_DEB,I606)=$C$3,INDEX(J_KRE,I606),INDEX(J_DEB,I606)))</f>
        <v>Kas Tunai</v>
      </c>
      <c r="F606" s="44" t="n">
        <f aca="false">IF(I606="","",IF(INDEX(J_DEB,I606)=$C$3,INDEX(J_NOM,I606),0))</f>
        <v>0</v>
      </c>
      <c r="G606" s="44" t="n">
        <f aca="false">IF(I606="","",IF(INDEX(J_KRE,I606)=$C$3,INDEX(J_NOM,I606),0))</f>
        <v>4000000</v>
      </c>
      <c r="H606" s="44" t="n">
        <f aca="false">IF(I606="","",N(H605)+IF($C$5="Debet",F606-G606,G606-F606))</f>
        <v>12511491</v>
      </c>
      <c r="I606" s="66" t="n">
        <f aca="false">IF(J606&gt;$K$1,"",IFERROR(MATCH(J606,J_BB,0),""))</f>
        <v>898</v>
      </c>
      <c r="J606" s="66" t="n">
        <v>597</v>
      </c>
      <c r="K606" s="5"/>
    </row>
    <row r="607" customFormat="false" ht="15" hidden="false" customHeight="false" outlineLevel="0" collapsed="false">
      <c r="A607" s="5" t="n">
        <f aca="false">IF(I607="","",J607)</f>
        <v>598</v>
      </c>
      <c r="B607" s="83" t="n">
        <f aca="false">IF(I607="","",INDEX(J_TGL,I607))</f>
        <v>46211</v>
      </c>
      <c r="C607" s="5" t="str">
        <f aca="false">IF(I607="","",INDEX(J_NO,I607))</f>
        <v>JU-0899</v>
      </c>
      <c r="D607" s="5" t="str">
        <f aca="false">IF(I607="","",INDEX(J_KET,I607))</f>
        <v>PET botol tutup takeaway 1000ml</v>
      </c>
      <c r="E607" s="5" t="str">
        <f aca="false">IF(I607="","",IF(INDEX(J_DEB,I607)=$C$3,INDEX(J_KRE,I607),INDEX(J_DEB,I607)))</f>
        <v>Biaya Penyajian</v>
      </c>
      <c r="F607" s="44" t="n">
        <f aca="false">IF(I607="","",IF(INDEX(J_DEB,I607)=$C$3,INDEX(J_NOM,I607),0))</f>
        <v>0</v>
      </c>
      <c r="G607" s="44" t="n">
        <f aca="false">IF(I607="","",IF(INDEX(J_KRE,I607)=$C$3,INDEX(J_NOM,I607),0))</f>
        <v>109200</v>
      </c>
      <c r="H607" s="44" t="n">
        <f aca="false">IF(I607="","",N(H606)+IF($C$5="Debet",F607-G607,G607-F607))</f>
        <v>12402291</v>
      </c>
      <c r="I607" s="66" t="n">
        <f aca="false">IF(J607&gt;$K$1,"",IFERROR(MATCH(J607,J_BB,0),""))</f>
        <v>899</v>
      </c>
      <c r="J607" s="66" t="n">
        <v>598</v>
      </c>
      <c r="K607" s="5"/>
    </row>
    <row r="608" customFormat="false" ht="15" hidden="false" customHeight="false" outlineLevel="0" collapsed="false">
      <c r="A608" s="5" t="n">
        <f aca="false">IF(I608="","",J608)</f>
        <v>599</v>
      </c>
      <c r="B608" s="83" t="n">
        <f aca="false">IF(I608="","",INDEX(J_TGL,I608))</f>
        <v>46211</v>
      </c>
      <c r="C608" s="5" t="str">
        <f aca="false">IF(I608="","",INDEX(J_NO,I608))</f>
        <v>JU-0900</v>
      </c>
      <c r="D608" s="5" t="str">
        <f aca="false">IF(I608="","",INDEX(J_KET,I608))</f>
        <v>Menerima pelunasan Yantos pinjam uang untuk beli beans</v>
      </c>
      <c r="E608" s="5" t="str">
        <f aca="false">IF(I608="","",IF(INDEX(J_DEB,I608)=$C$3,INDEX(J_KRE,I608),INDEX(J_DEB,I608)))</f>
        <v>Piutang Usaha Cafe</v>
      </c>
      <c r="F608" s="44" t="n">
        <f aca="false">IF(I608="","",IF(INDEX(J_DEB,I608)=$C$3,INDEX(J_NOM,I608),0))</f>
        <v>6000000</v>
      </c>
      <c r="G608" s="44" t="n">
        <f aca="false">IF(I608="","",IF(INDEX(J_KRE,I608)=$C$3,INDEX(J_NOM,I608),0))</f>
        <v>0</v>
      </c>
      <c r="H608" s="44" t="n">
        <f aca="false">IF(I608="","",N(H607)+IF($C$5="Debet",F608-G608,G608-F608))</f>
        <v>18402291</v>
      </c>
      <c r="I608" s="66" t="n">
        <f aca="false">IF(J608&gt;$K$1,"",IFERROR(MATCH(J608,J_BB,0),""))</f>
        <v>900</v>
      </c>
      <c r="J608" s="66" t="n">
        <v>599</v>
      </c>
      <c r="K608" s="5"/>
    </row>
    <row r="609" customFormat="false" ht="15" hidden="false" customHeight="false" outlineLevel="0" collapsed="false">
      <c r="A609" s="5" t="n">
        <f aca="false">IF(I609="","",J609)</f>
        <v>600</v>
      </c>
      <c r="B609" s="83" t="n">
        <f aca="false">IF(I609="","",INDEX(J_TGL,I609))</f>
        <v>46211</v>
      </c>
      <c r="C609" s="5" t="str">
        <f aca="false">IF(I609="","",INDEX(J_NO,I609))</f>
        <v>JU-0901</v>
      </c>
      <c r="D609" s="5" t="str">
        <f aca="false">IF(I609="","",INDEX(J_KET,I609))</f>
        <v>Biji kopi/beans Yantos</v>
      </c>
      <c r="E609" s="5" t="str">
        <f aca="false">IF(I609="","",IF(INDEX(J_DEB,I609)=$C$3,INDEX(J_KRE,I609),INDEX(J_DEB,I609)))</f>
        <v>Biaya Bahan Baku</v>
      </c>
      <c r="F609" s="44" t="n">
        <f aca="false">IF(I609="","",IF(INDEX(J_DEB,I609)=$C$3,INDEX(J_NOM,I609),0))</f>
        <v>0</v>
      </c>
      <c r="G609" s="44" t="n">
        <f aca="false">IF(I609="","",IF(INDEX(J_KRE,I609)=$C$3,INDEX(J_NOM,I609),0))</f>
        <v>2940000</v>
      </c>
      <c r="H609" s="44" t="n">
        <f aca="false">IF(I609="","",N(H608)+IF($C$5="Debet",F609-G609,G609-F609))</f>
        <v>15462291</v>
      </c>
      <c r="I609" s="66" t="n">
        <f aca="false">IF(J609&gt;$K$1,"",IFERROR(MATCH(J609,J_BB,0),""))</f>
        <v>901</v>
      </c>
      <c r="J609" s="66" t="n">
        <v>600</v>
      </c>
      <c r="K609" s="5"/>
    </row>
    <row r="610" customFormat="false" ht="15" hidden="false" customHeight="false" outlineLevel="0" collapsed="false">
      <c r="A610" s="5" t="n">
        <f aca="false">IF(I610="","",J610)</f>
        <v>601</v>
      </c>
      <c r="B610" s="83" t="n">
        <f aca="false">IF(I610="","",INDEX(J_TGL,I610))</f>
        <v>46212</v>
      </c>
      <c r="C610" s="5" t="str">
        <f aca="false">IF(I610="","",INDEX(J_NO,I610))</f>
        <v>JU-0902</v>
      </c>
      <c r="D610" s="5" t="str">
        <f aca="false">IF(I610="","",INDEX(J_KET,I610))</f>
        <v>Pembayaran langganan musik spotify</v>
      </c>
      <c r="E610" s="5" t="str">
        <f aca="false">IF(I610="","",IF(INDEX(J_DEB,I610)=$C$3,INDEX(J_KRE,I610),INDEX(J_DEB,I610)))</f>
        <v>Biaya Tagihan Bulanan</v>
      </c>
      <c r="F610" s="44" t="n">
        <f aca="false">IF(I610="","",IF(INDEX(J_DEB,I610)=$C$3,INDEX(J_NOM,I610),0))</f>
        <v>0</v>
      </c>
      <c r="G610" s="44" t="n">
        <f aca="false">IF(I610="","",IF(INDEX(J_KRE,I610)=$C$3,INDEX(J_NOM,I610),0))</f>
        <v>119000</v>
      </c>
      <c r="H610" s="44" t="n">
        <f aca="false">IF(I610="","",N(H609)+IF($C$5="Debet",F610-G610,G610-F610))</f>
        <v>15343291</v>
      </c>
      <c r="I610" s="66" t="n">
        <f aca="false">IF(J610&gt;$K$1,"",IFERROR(MATCH(J610,J_BB,0),""))</f>
        <v>902</v>
      </c>
      <c r="J610" s="66" t="n">
        <v>601</v>
      </c>
      <c r="K610" s="5"/>
    </row>
    <row r="611" customFormat="false" ht="15" hidden="false" customHeight="false" outlineLevel="0" collapsed="false">
      <c r="A611" s="5" t="n">
        <f aca="false">IF(I611="","",J611)</f>
        <v>602</v>
      </c>
      <c r="B611" s="83" t="n">
        <f aca="false">IF(I611="","",INDEX(J_TGL,I611))</f>
        <v>46213</v>
      </c>
      <c r="C611" s="5" t="str">
        <f aca="false">IF(I611="","",INDEX(J_NO,I611))</f>
        <v>JU-0903</v>
      </c>
      <c r="D611" s="5" t="str">
        <f aca="false">IF(I611="","",INDEX(J_KET,I611))</f>
        <v>susu freshmilk greenfield</v>
      </c>
      <c r="E611" s="5" t="str">
        <f aca="false">IF(I611="","",IF(INDEX(J_DEB,I611)=$C$3,INDEX(J_KRE,I611),INDEX(J_DEB,I611)))</f>
        <v>Biaya Bahan Baku</v>
      </c>
      <c r="F611" s="44" t="n">
        <f aca="false">IF(I611="","",IF(INDEX(J_DEB,I611)=$C$3,INDEX(J_NOM,I611),0))</f>
        <v>0</v>
      </c>
      <c r="G611" s="44" t="n">
        <f aca="false">IF(I611="","",IF(INDEX(J_KRE,I611)=$C$3,INDEX(J_NOM,I611),0))</f>
        <v>741000</v>
      </c>
      <c r="H611" s="44" t="n">
        <f aca="false">IF(I611="","",N(H610)+IF($C$5="Debet",F611-G611,G611-F611))</f>
        <v>14602291</v>
      </c>
      <c r="I611" s="66" t="n">
        <f aca="false">IF(J611&gt;$K$1,"",IFERROR(MATCH(J611,J_BB,0),""))</f>
        <v>903</v>
      </c>
      <c r="J611" s="66" t="n">
        <v>602</v>
      </c>
      <c r="K611" s="5"/>
    </row>
    <row r="612" customFormat="false" ht="15" hidden="false" customHeight="false" outlineLevel="0" collapsed="false">
      <c r="A612" s="5" t="n">
        <f aca="false">IF(I612="","",J612)</f>
        <v>603</v>
      </c>
      <c r="B612" s="83" t="n">
        <f aca="false">IF(I612="","",INDEX(J_TGL,I612))</f>
        <v>46213</v>
      </c>
      <c r="C612" s="5" t="str">
        <f aca="false">IF(I612="","",INDEX(J_NO,I612))</f>
        <v>JU-0904</v>
      </c>
      <c r="D612" s="5" t="str">
        <f aca="false">IF(I612="","",INDEX(J_KET,I612))</f>
        <v>Pindah dana BCA ke tunai (Beli tukar uang)</v>
      </c>
      <c r="E612" s="5" t="str">
        <f aca="false">IF(I612="","",IF(INDEX(J_DEB,I612)=$C$3,INDEX(J_KRE,I612),INDEX(J_DEB,I612)))</f>
        <v>Kas Tunai</v>
      </c>
      <c r="F612" s="44" t="n">
        <f aca="false">IF(I612="","",IF(INDEX(J_DEB,I612)=$C$3,INDEX(J_NOM,I612),0))</f>
        <v>0</v>
      </c>
      <c r="G612" s="44" t="n">
        <f aca="false">IF(I612="","",IF(INDEX(J_KRE,I612)=$C$3,INDEX(J_NOM,I612),0))</f>
        <v>108000</v>
      </c>
      <c r="H612" s="44" t="n">
        <f aca="false">IF(I612="","",N(H611)+IF($C$5="Debet",F612-G612,G612-F612))</f>
        <v>14494291</v>
      </c>
      <c r="I612" s="66" t="n">
        <f aca="false">IF(J612&gt;$K$1,"",IFERROR(MATCH(J612,J_BB,0),""))</f>
        <v>904</v>
      </c>
      <c r="J612" s="66" t="n">
        <v>603</v>
      </c>
      <c r="K612" s="5"/>
    </row>
    <row r="613" customFormat="false" ht="15" hidden="false" customHeight="false" outlineLevel="0" collapsed="false">
      <c r="A613" s="5" t="n">
        <f aca="false">IF(I613="","",J613)</f>
        <v>604</v>
      </c>
      <c r="B613" s="83" t="n">
        <f aca="false">IF(I613="","",INDEX(J_TGL,I613))</f>
        <v>46214</v>
      </c>
      <c r="C613" s="5" t="str">
        <f aca="false">IF(I613="","",INDEX(J_NO,I613))</f>
        <v>JU-0905</v>
      </c>
      <c r="D613" s="5" t="str">
        <f aca="false">IF(I613="","",INDEX(J_KET,I613))</f>
        <v>Pindah dana tunai ke BCA (FM tukar uang)</v>
      </c>
      <c r="E613" s="5" t="str">
        <f aca="false">IF(I613="","",IF(INDEX(J_DEB,I613)=$C$3,INDEX(J_KRE,I613),INDEX(J_DEB,I613)))</f>
        <v>Kas Tunai</v>
      </c>
      <c r="F613" s="44" t="n">
        <f aca="false">IF(I613="","",IF(INDEX(J_DEB,I613)=$C$3,INDEX(J_NOM,I613),0))</f>
        <v>7000000</v>
      </c>
      <c r="G613" s="44" t="n">
        <f aca="false">IF(I613="","",IF(INDEX(J_KRE,I613)=$C$3,INDEX(J_NOM,I613),0))</f>
        <v>0</v>
      </c>
      <c r="H613" s="44" t="n">
        <f aca="false">IF(I613="","",N(H612)+IF($C$5="Debet",F613-G613,G613-F613))</f>
        <v>21494291</v>
      </c>
      <c r="I613" s="66" t="n">
        <f aca="false">IF(J613&gt;$K$1,"",IFERROR(MATCH(J613,J_BB,0),""))</f>
        <v>905</v>
      </c>
      <c r="J613" s="66" t="n">
        <v>604</v>
      </c>
      <c r="K613" s="5"/>
    </row>
    <row r="614" customFormat="false" ht="15" hidden="false" customHeight="false" outlineLevel="0" collapsed="false">
      <c r="A614" s="5" t="n">
        <f aca="false">IF(I614="","",J614)</f>
        <v>605</v>
      </c>
      <c r="B614" s="83" t="n">
        <f aca="false">IF(I614="","",INDEX(J_TGL,I614))</f>
        <v>46214</v>
      </c>
      <c r="C614" s="5" t="str">
        <f aca="false">IF(I614="","",INDEX(J_NO,I614))</f>
        <v>JU-0906</v>
      </c>
      <c r="D614" s="5" t="str">
        <f aca="false">IF(I614="","",INDEX(J_KET,I614))</f>
        <v>Bayar Premium Claude AI</v>
      </c>
      <c r="E614" s="5" t="str">
        <f aca="false">IF(I614="","",IF(INDEX(J_DEB,I614)=$C$3,INDEX(J_KRE,I614),INDEX(J_DEB,I614)))</f>
        <v>Biaya Tagihan Bulanan</v>
      </c>
      <c r="F614" s="44" t="n">
        <f aca="false">IF(I614="","",IF(INDEX(J_DEB,I614)=$C$3,INDEX(J_NOM,I614),0))</f>
        <v>0</v>
      </c>
      <c r="G614" s="44" t="n">
        <f aca="false">IF(I614="","",IF(INDEX(J_KRE,I614)=$C$3,INDEX(J_NOM,I614),0))</f>
        <v>389000</v>
      </c>
      <c r="H614" s="44" t="n">
        <f aca="false">IF(I614="","",N(H613)+IF($C$5="Debet",F614-G614,G614-F614))</f>
        <v>21105291</v>
      </c>
      <c r="I614" s="66" t="n">
        <f aca="false">IF(J614&gt;$K$1,"",IFERROR(MATCH(J614,J_BB,0),""))</f>
        <v>906</v>
      </c>
      <c r="J614" s="66" t="n">
        <v>605</v>
      </c>
      <c r="K614" s="5"/>
    </row>
    <row r="615" customFormat="false" ht="15" hidden="false" customHeight="false" outlineLevel="0" collapsed="false">
      <c r="A615" s="5" t="n">
        <f aca="false">IF(I615="","",J615)</f>
        <v>606</v>
      </c>
      <c r="B615" s="83" t="n">
        <f aca="false">IF(I615="","",INDEX(J_TGL,I615))</f>
        <v>46215</v>
      </c>
      <c r="C615" s="5" t="str">
        <f aca="false">IF(I615="","",INDEX(J_NO,I615))</f>
        <v>JU-0907</v>
      </c>
      <c r="D615" s="5" t="str">
        <f aca="false">IF(I615="","",INDEX(J_KET,I615))</f>
        <v>Unlock water</v>
      </c>
      <c r="E615" s="5" t="str">
        <f aca="false">IF(I615="","",IF(INDEX(J_DEB,I615)=$C$3,INDEX(J_KRE,I615),INDEX(J_DEB,I615)))</f>
        <v>Biaya Bahan Baku</v>
      </c>
      <c r="F615" s="44" t="n">
        <f aca="false">IF(I615="","",IF(INDEX(J_DEB,I615)=$C$3,INDEX(J_NOM,I615),0))</f>
        <v>0</v>
      </c>
      <c r="G615" s="44" t="n">
        <f aca="false">IF(I615="","",IF(INDEX(J_KRE,I615)=$C$3,INDEX(J_NOM,I615),0))</f>
        <v>247000</v>
      </c>
      <c r="H615" s="44" t="n">
        <f aca="false">IF(I615="","",N(H614)+IF($C$5="Debet",F615-G615,G615-F615))</f>
        <v>20858291</v>
      </c>
      <c r="I615" s="66" t="n">
        <f aca="false">IF(J615&gt;$K$1,"",IFERROR(MATCH(J615,J_BB,0),""))</f>
        <v>907</v>
      </c>
      <c r="J615" s="66" t="n">
        <v>606</v>
      </c>
      <c r="K615" s="5"/>
    </row>
    <row r="616" customFormat="false" ht="15" hidden="false" customHeight="false" outlineLevel="0" collapsed="false">
      <c r="A616" s="5" t="n">
        <f aca="false">IF(I616="","",J616)</f>
        <v>607</v>
      </c>
      <c r="B616" s="83" t="n">
        <f aca="false">IF(I616="","",INDEX(J_TGL,I616))</f>
        <v>46215</v>
      </c>
      <c r="C616" s="5" t="str">
        <f aca="false">IF(I616="","",INDEX(J_NO,I616))</f>
        <v>JU-0908</v>
      </c>
      <c r="D616" s="5" t="str">
        <f aca="false">IF(I616="","",INDEX(J_KET,I616))</f>
        <v>Biji kopi/beans Yantos</v>
      </c>
      <c r="E616" s="5" t="str">
        <f aca="false">IF(I616="","",IF(INDEX(J_DEB,I616)=$C$3,INDEX(J_KRE,I616),INDEX(J_DEB,I616)))</f>
        <v>Biaya Bahan Baku</v>
      </c>
      <c r="F616" s="44" t="n">
        <f aca="false">IF(I616="","",IF(INDEX(J_DEB,I616)=$C$3,INDEX(J_NOM,I616),0))</f>
        <v>0</v>
      </c>
      <c r="G616" s="44" t="n">
        <f aca="false">IF(I616="","",IF(INDEX(J_KRE,I616)=$C$3,INDEX(J_NOM,I616),0))</f>
        <v>3000000</v>
      </c>
      <c r="H616" s="44" t="n">
        <f aca="false">IF(I616="","",N(H615)+IF($C$5="Debet",F616-G616,G616-F616))</f>
        <v>17858291</v>
      </c>
      <c r="I616" s="66" t="n">
        <f aca="false">IF(J616&gt;$K$1,"",IFERROR(MATCH(J616,J_BB,0),""))</f>
        <v>908</v>
      </c>
      <c r="J616" s="66" t="n">
        <v>607</v>
      </c>
      <c r="K616" s="5"/>
    </row>
    <row r="617" customFormat="false" ht="15" hidden="false" customHeight="false" outlineLevel="0" collapsed="false">
      <c r="A617" s="5" t="n">
        <f aca="false">IF(I617="","",J617)</f>
        <v>608</v>
      </c>
      <c r="B617" s="83" t="n">
        <f aca="false">IF(I617="","",INDEX(J_TGL,I617))</f>
        <v>46216</v>
      </c>
      <c r="C617" s="5" t="str">
        <f aca="false">IF(I617="","",INDEX(J_NO,I617))</f>
        <v>JU-0909</v>
      </c>
      <c r="D617" s="5" t="str">
        <f aca="false">IF(I617="","",INDEX(J_KET,I617))</f>
        <v>Pencairan gaji supervisor Januari-Juni 2026</v>
      </c>
      <c r="E617" s="5" t="str">
        <f aca="false">IF(I617="","",IF(INDEX(J_DEB,I617)=$C$3,INDEX(J_KRE,I617),INDEX(J_DEB,I617)))</f>
        <v>Utang Usaha Lancar</v>
      </c>
      <c r="F617" s="44" t="n">
        <f aca="false">IF(I617="","",IF(INDEX(J_DEB,I617)=$C$3,INDEX(J_NOM,I617),0))</f>
        <v>0</v>
      </c>
      <c r="G617" s="44" t="n">
        <f aca="false">IF(I617="","",IF(INDEX(J_KRE,I617)=$C$3,INDEX(J_NOM,I617),0))</f>
        <v>6000000</v>
      </c>
      <c r="H617" s="44" t="n">
        <f aca="false">IF(I617="","",N(H616)+IF($C$5="Debet",F617-G617,G617-F617))</f>
        <v>11858291</v>
      </c>
      <c r="I617" s="66" t="n">
        <f aca="false">IF(J617&gt;$K$1,"",IFERROR(MATCH(J617,J_BB,0),""))</f>
        <v>909</v>
      </c>
      <c r="J617" s="66" t="n">
        <v>608</v>
      </c>
      <c r="K617" s="5"/>
    </row>
    <row r="618" customFormat="false" ht="15" hidden="false" customHeight="false" outlineLevel="0" collapsed="false">
      <c r="A618" s="5" t="n">
        <f aca="false">IF(I618="","",J618)</f>
        <v>609</v>
      </c>
      <c r="B618" s="83" t="n">
        <f aca="false">IF(I618="","",INDEX(J_TGL,I618))</f>
        <v>46217</v>
      </c>
      <c r="C618" s="5" t="str">
        <f aca="false">IF(I618="","",INDEX(J_NO,I618))</f>
        <v>JU-0919</v>
      </c>
      <c r="D618" s="5" t="str">
        <f aca="false">IF(I618="","",INDEX(J_KET,I618))</f>
        <v>Tiramisu 2 batch tgl 27 Jun &amp; 7 Jul</v>
      </c>
      <c r="E618" s="5" t="str">
        <f aca="false">IF(I618="","",IF(INDEX(J_DEB,I618)=$C$3,INDEX(J_KRE,I618),INDEX(J_DEB,I618)))</f>
        <v>Biaya Bahan Baku</v>
      </c>
      <c r="F618" s="44" t="n">
        <f aca="false">IF(I618="","",IF(INDEX(J_DEB,I618)=$C$3,INDEX(J_NOM,I618),0))</f>
        <v>0</v>
      </c>
      <c r="G618" s="44" t="n">
        <f aca="false">IF(I618="","",IF(INDEX(J_KRE,I618)=$C$3,INDEX(J_NOM,I618),0))</f>
        <v>186800</v>
      </c>
      <c r="H618" s="44" t="n">
        <f aca="false">IF(I618="","",N(H617)+IF($C$5="Debet",F618-G618,G618-F618))</f>
        <v>11671491</v>
      </c>
      <c r="I618" s="66" t="n">
        <f aca="false">IF(J618&gt;$K$1,"",IFERROR(MATCH(J618,J_BB,0),""))</f>
        <v>919</v>
      </c>
      <c r="J618" s="66" t="n">
        <v>609</v>
      </c>
      <c r="K618" s="5"/>
    </row>
    <row r="619" customFormat="false" ht="15" hidden="false" customHeight="false" outlineLevel="0" collapsed="false">
      <c r="A619" s="5" t="n">
        <f aca="false">IF(I619="","",J619)</f>
        <v>610</v>
      </c>
      <c r="B619" s="83" t="n">
        <f aca="false">IF(I619="","",INDEX(J_TGL,I619))</f>
        <v>46218</v>
      </c>
      <c r="C619" s="5" t="str">
        <f aca="false">IF(I619="","",INDEX(J_NO,I619))</f>
        <v>JU-0921</v>
      </c>
      <c r="D619" s="5" t="str">
        <f aca="false">IF(I619="","",INDEX(J_KET,I619))</f>
        <v>lampu tembak joglo</v>
      </c>
      <c r="E619" s="5" t="str">
        <f aca="false">IF(I619="","",IF(INDEX(J_DEB,I619)=$C$3,INDEX(J_KRE,I619),INDEX(J_DEB,I619)))</f>
        <v>Peralatan</v>
      </c>
      <c r="F619" s="44" t="n">
        <f aca="false">IF(I619="","",IF(INDEX(J_DEB,I619)=$C$3,INDEX(J_NOM,I619),0))</f>
        <v>0</v>
      </c>
      <c r="G619" s="44" t="n">
        <f aca="false">IF(I619="","",IF(INDEX(J_KRE,I619)=$C$3,INDEX(J_NOM,I619),0))</f>
        <v>586500</v>
      </c>
      <c r="H619" s="44" t="n">
        <f aca="false">IF(I619="","",N(H618)+IF($C$5="Debet",F619-G619,G619-F619))</f>
        <v>11084991</v>
      </c>
      <c r="I619" s="66" t="n">
        <f aca="false">IF(J619&gt;$K$1,"",IFERROR(MATCH(J619,J_BB,0),""))</f>
        <v>921</v>
      </c>
      <c r="J619" s="66" t="n">
        <v>610</v>
      </c>
      <c r="K619" s="5"/>
    </row>
    <row r="620" customFormat="false" ht="15" hidden="false" customHeight="false" outlineLevel="0" collapsed="false">
      <c r="A620" s="5" t="n">
        <f aca="false">IF(I620="","",J620)</f>
        <v>611</v>
      </c>
      <c r="B620" s="83" t="n">
        <f aca="false">IF(I620="","",INDEX(J_TGL,I620))</f>
        <v>46218</v>
      </c>
      <c r="C620" s="5" t="str">
        <f aca="false">IF(I620="","",INDEX(J_NO,I620))</f>
        <v>JU-0922</v>
      </c>
      <c r="D620" s="5" t="str">
        <f aca="false">IF(I620="","",INDEX(J_KET,I620))</f>
        <v>Belanja meja lipat dinding warna hitam x 3 unit</v>
      </c>
      <c r="E620" s="5" t="str">
        <f aca="false">IF(I620="","",IF(INDEX(J_DEB,I620)=$C$3,INDEX(J_KRE,I620),INDEX(J_DEB,I620)))</f>
        <v>Peralatan</v>
      </c>
      <c r="F620" s="44" t="n">
        <f aca="false">IF(I620="","",IF(INDEX(J_DEB,I620)=$C$3,INDEX(J_NOM,I620),0))</f>
        <v>0</v>
      </c>
      <c r="G620" s="44" t="n">
        <f aca="false">IF(I620="","",IF(INDEX(J_KRE,I620)=$C$3,INDEX(J_NOM,I620),0))</f>
        <v>482820</v>
      </c>
      <c r="H620" s="44" t="n">
        <f aca="false">IF(I620="","",N(H619)+IF($C$5="Debet",F620-G620,G620-F620))</f>
        <v>10602171</v>
      </c>
      <c r="I620" s="66" t="n">
        <f aca="false">IF(J620&gt;$K$1,"",IFERROR(MATCH(J620,J_BB,0),""))</f>
        <v>922</v>
      </c>
      <c r="J620" s="66" t="n">
        <v>611</v>
      </c>
      <c r="K620" s="5"/>
    </row>
    <row r="621" customFormat="false" ht="15" hidden="false" customHeight="false" outlineLevel="0" collapsed="false">
      <c r="A621" s="5" t="n">
        <f aca="false">IF(I621="","",J621)</f>
        <v>612</v>
      </c>
      <c r="B621" s="83" t="n">
        <f aca="false">IF(I621="","",INDEX(J_TGL,I621))</f>
        <v>46220</v>
      </c>
      <c r="C621" s="5" t="str">
        <f aca="false">IF(I621="","",INDEX(J_NO,I621))</f>
        <v>JU-0923</v>
      </c>
      <c r="D621" s="5" t="str">
        <f aca="false">IF(I621="","",INDEX(J_KET,I621))</f>
        <v>Belanja dispenser sabun &amp; dispenser tissue</v>
      </c>
      <c r="E621" s="5" t="str">
        <f aca="false">IF(I621="","",IF(INDEX(J_DEB,I621)=$C$3,INDEX(J_KRE,I621),INDEX(J_DEB,I621)))</f>
        <v>Beban Perlengkapan</v>
      </c>
      <c r="F621" s="44" t="n">
        <f aca="false">IF(I621="","",IF(INDEX(J_DEB,I621)=$C$3,INDEX(J_NOM,I621),0))</f>
        <v>0</v>
      </c>
      <c r="G621" s="44" t="n">
        <f aca="false">IF(I621="","",IF(INDEX(J_KRE,I621)=$C$3,INDEX(J_NOM,I621),0))</f>
        <v>404498</v>
      </c>
      <c r="H621" s="44" t="n">
        <f aca="false">IF(I621="","",N(H620)+IF($C$5="Debet",F621-G621,G621-F621))</f>
        <v>10197673</v>
      </c>
      <c r="I621" s="66" t="n">
        <f aca="false">IF(J621&gt;$K$1,"",IFERROR(MATCH(J621,J_BB,0),""))</f>
        <v>923</v>
      </c>
      <c r="J621" s="66" t="n">
        <v>612</v>
      </c>
      <c r="K621" s="5"/>
    </row>
    <row r="622" customFormat="false" ht="15" hidden="false" customHeight="false" outlineLevel="0" collapsed="false">
      <c r="A622" s="5" t="n">
        <f aca="false">IF(I622="","",J622)</f>
        <v>613</v>
      </c>
      <c r="B622" s="83" t="n">
        <f aca="false">IF(I622="","",INDEX(J_TGL,I622))</f>
        <v>46220</v>
      </c>
      <c r="C622" s="5" t="str">
        <f aca="false">IF(I622="","",INDEX(J_NO,I622))</f>
        <v>JU-0924</v>
      </c>
      <c r="D622" s="5" t="str">
        <f aca="false">IF(I622="","",INDEX(J_KET,I622))</f>
        <v>Biji kopi/beans Yantos</v>
      </c>
      <c r="E622" s="5" t="str">
        <f aca="false">IF(I622="","",IF(INDEX(J_DEB,I622)=$C$3,INDEX(J_KRE,I622),INDEX(J_DEB,I622)))</f>
        <v>Biaya Bahan Baku</v>
      </c>
      <c r="F622" s="44" t="n">
        <f aca="false">IF(I622="","",IF(INDEX(J_DEB,I622)=$C$3,INDEX(J_NOM,I622),0))</f>
        <v>0</v>
      </c>
      <c r="G622" s="44" t="n">
        <f aca="false">IF(I622="","",IF(INDEX(J_KRE,I622)=$C$3,INDEX(J_NOM,I622),0))</f>
        <v>1340000</v>
      </c>
      <c r="H622" s="44" t="n">
        <f aca="false">IF(I622="","",N(H621)+IF($C$5="Debet",F622-G622,G622-F622))</f>
        <v>8857673</v>
      </c>
      <c r="I622" s="66" t="n">
        <f aca="false">IF(J622&gt;$K$1,"",IFERROR(MATCH(J622,J_BB,0),""))</f>
        <v>924</v>
      </c>
      <c r="J622" s="66" t="n">
        <v>613</v>
      </c>
      <c r="K622" s="5"/>
    </row>
    <row r="623" customFormat="false" ht="15" hidden="false" customHeight="false" outlineLevel="0" collapsed="false">
      <c r="A623" s="5" t="n">
        <f aca="false">IF(I623="","",J623)</f>
        <v>614</v>
      </c>
      <c r="B623" s="83" t="n">
        <f aca="false">IF(I623="","",INDEX(J_TGL,I623))</f>
        <v>46220</v>
      </c>
      <c r="C623" s="5" t="str">
        <f aca="false">IF(I623="","",INDEX(J_NO,I623))</f>
        <v>JU-0925</v>
      </c>
      <c r="D623" s="5" t="str">
        <f aca="false">IF(I623="","",INDEX(J_KET,I623))</f>
        <v>servis AC</v>
      </c>
      <c r="E623" s="5" t="str">
        <f aca="false">IF(I623="","",IF(INDEX(J_DEB,I623)=$C$3,INDEX(J_KRE,I623),INDEX(J_DEB,I623)))</f>
        <v>Biaya Pemeliharaan</v>
      </c>
      <c r="F623" s="44" t="n">
        <f aca="false">IF(I623="","",IF(INDEX(J_DEB,I623)=$C$3,INDEX(J_NOM,I623),0))</f>
        <v>0</v>
      </c>
      <c r="G623" s="44" t="n">
        <f aca="false">IF(I623="","",IF(INDEX(J_KRE,I623)=$C$3,INDEX(J_NOM,I623),0))</f>
        <v>270000</v>
      </c>
      <c r="H623" s="44" t="n">
        <f aca="false">IF(I623="","",N(H622)+IF($C$5="Debet",F623-G623,G623-F623))</f>
        <v>8587673</v>
      </c>
      <c r="I623" s="66" t="n">
        <f aca="false">IF(J623&gt;$K$1,"",IFERROR(MATCH(J623,J_BB,0),""))</f>
        <v>925</v>
      </c>
      <c r="J623" s="66" t="n">
        <v>614</v>
      </c>
      <c r="K623" s="5"/>
    </row>
    <row r="624" customFormat="false" ht="15" hidden="false" customHeight="false" outlineLevel="0" collapsed="false">
      <c r="A624" s="5" t="n">
        <f aca="false">IF(I624="","",J624)</f>
        <v>615</v>
      </c>
      <c r="B624" s="83" t="n">
        <f aca="false">IF(I624="","",INDEX(J_TGL,I624))</f>
        <v>46222</v>
      </c>
      <c r="C624" s="5" t="str">
        <f aca="false">IF(I624="","",INDEX(J_NO,I624))</f>
        <v>JU-0926</v>
      </c>
      <c r="D624" s="5" t="str">
        <f aca="false">IF(I624="","",INDEX(J_KET,I624))</f>
        <v>kabel colokan/olor extension 4 lubang 3M x 5pcs</v>
      </c>
      <c r="E624" s="5" t="str">
        <f aca="false">IF(I624="","",IF(INDEX(J_DEB,I624)=$C$3,INDEX(J_KRE,I624),INDEX(J_DEB,I624)))</f>
        <v>Beban Perlengkapan</v>
      </c>
      <c r="F624" s="44" t="n">
        <f aca="false">IF(I624="","",IF(INDEX(J_DEB,I624)=$C$3,INDEX(J_NOM,I624),0))</f>
        <v>0</v>
      </c>
      <c r="G624" s="44" t="n">
        <f aca="false">IF(I624="","",IF(INDEX(J_KRE,I624)=$C$3,INDEX(J_NOM,I624),0))</f>
        <v>155000</v>
      </c>
      <c r="H624" s="44" t="n">
        <f aca="false">IF(I624="","",N(H623)+IF($C$5="Debet",F624-G624,G624-F624))</f>
        <v>8432673</v>
      </c>
      <c r="I624" s="66" t="n">
        <f aca="false">IF(J624&gt;$K$1,"",IFERROR(MATCH(J624,J_BB,0),""))</f>
        <v>926</v>
      </c>
      <c r="J624" s="66" t="n">
        <v>615</v>
      </c>
      <c r="K624" s="5"/>
    </row>
    <row r="625" customFormat="false" ht="15" hidden="false" customHeight="false" outlineLevel="0" collapsed="false">
      <c r="A625" s="5" t="n">
        <f aca="false">IF(I625="","",J625)</f>
        <v>616</v>
      </c>
      <c r="B625" s="83" t="n">
        <f aca="false">IF(I625="","",INDEX(J_TGL,I625))</f>
        <v>46222</v>
      </c>
      <c r="C625" s="5" t="str">
        <f aca="false">IF(I625="","",INDEX(J_NO,I625))</f>
        <v>JU-0927</v>
      </c>
      <c r="D625" s="5" t="str">
        <f aca="false">IF(I625="","",INDEX(J_KET,I625))</f>
        <v>stiker pitahaya</v>
      </c>
      <c r="E625" s="5" t="str">
        <f aca="false">IF(I625="","",IF(INDEX(J_DEB,I625)=$C$3,INDEX(J_KRE,I625),INDEX(J_DEB,I625)))</f>
        <v>Beban Perlengkapan</v>
      </c>
      <c r="F625" s="44" t="n">
        <f aca="false">IF(I625="","",IF(INDEX(J_DEB,I625)=$C$3,INDEX(J_NOM,I625),0))</f>
        <v>0</v>
      </c>
      <c r="G625" s="44" t="n">
        <f aca="false">IF(I625="","",IF(INDEX(J_KRE,I625)=$C$3,INDEX(J_NOM,I625),0))</f>
        <v>18500</v>
      </c>
      <c r="H625" s="44" t="n">
        <f aca="false">IF(I625="","",N(H624)+IF($C$5="Debet",F625-G625,G625-F625))</f>
        <v>8414173</v>
      </c>
      <c r="I625" s="66" t="n">
        <f aca="false">IF(J625&gt;$K$1,"",IFERROR(MATCH(J625,J_BB,0),""))</f>
        <v>927</v>
      </c>
      <c r="J625" s="66" t="n">
        <v>616</v>
      </c>
      <c r="K625" s="5"/>
    </row>
    <row r="626" customFormat="false" ht="15" hidden="false" customHeight="false" outlineLevel="0" collapsed="false">
      <c r="A626" s="5" t="n">
        <f aca="false">IF(I626="","",J626)</f>
        <v>617</v>
      </c>
      <c r="B626" s="83" t="n">
        <f aca="false">IF(I626="","",INDEX(J_TGL,I626))</f>
        <v>46222</v>
      </c>
      <c r="C626" s="5" t="str">
        <f aca="false">IF(I626="","",INDEX(J_NO,I626))</f>
        <v>JU-0928</v>
      </c>
      <c r="D626" s="5" t="str">
        <f aca="false">IF(I626="","",INDEX(J_KET,I626))</f>
        <v>lampu meja event lukis</v>
      </c>
      <c r="E626" s="5" t="str">
        <f aca="false">IF(I626="","",IF(INDEX(J_DEB,I626)=$C$3,INDEX(J_KRE,I626),INDEX(J_DEB,I626)))</f>
        <v>Peralatan</v>
      </c>
      <c r="F626" s="44" t="n">
        <f aca="false">IF(I626="","",IF(INDEX(J_DEB,I626)=$C$3,INDEX(J_NOM,I626),0))</f>
        <v>0</v>
      </c>
      <c r="G626" s="44" t="n">
        <f aca="false">IF(I626="","",IF(INDEX(J_KRE,I626)=$C$3,INDEX(J_NOM,I626),0))</f>
        <v>204900</v>
      </c>
      <c r="H626" s="44" t="n">
        <f aca="false">IF(I626="","",N(H625)+IF($C$5="Debet",F626-G626,G626-F626))</f>
        <v>8209273</v>
      </c>
      <c r="I626" s="66" t="n">
        <f aca="false">IF(J626&gt;$K$1,"",IFERROR(MATCH(J626,J_BB,0),""))</f>
        <v>928</v>
      </c>
      <c r="J626" s="66" t="n">
        <v>617</v>
      </c>
      <c r="K626" s="5"/>
    </row>
    <row r="627" customFormat="false" ht="15" hidden="false" customHeight="false" outlineLevel="0" collapsed="false">
      <c r="A627" s="5" t="n">
        <f aca="false">IF(I627="","",J627)</f>
        <v>618</v>
      </c>
      <c r="B627" s="83" t="n">
        <f aca="false">IF(I627="","",INDEX(J_TGL,I627))</f>
        <v>46223</v>
      </c>
      <c r="C627" s="5" t="str">
        <f aca="false">IF(I627="","",INDEX(J_NO,I627))</f>
        <v>JU-0936</v>
      </c>
      <c r="D627" s="5" t="str">
        <f aca="false">IF(I627="","",INDEX(J_KET,I627))</f>
        <v>Belanja sabun cuci piring soume premium 5L x4</v>
      </c>
      <c r="E627" s="5" t="str">
        <f aca="false">IF(I627="","",IF(INDEX(J_DEB,I627)=$C$3,INDEX(J_KRE,I627),INDEX(J_DEB,I627)))</f>
        <v>Biaya Operasional Harian</v>
      </c>
      <c r="F627" s="44" t="n">
        <f aca="false">IF(I627="","",IF(INDEX(J_DEB,I627)=$C$3,INDEX(J_NOM,I627),0))</f>
        <v>0</v>
      </c>
      <c r="G627" s="44" t="n">
        <f aca="false">IF(I627="","",IF(INDEX(J_KRE,I627)=$C$3,INDEX(J_NOM,I627),0))</f>
        <v>220000</v>
      </c>
      <c r="H627" s="44" t="n">
        <f aca="false">IF(I627="","",N(H626)+IF($C$5="Debet",F627-G627,G627-F627))</f>
        <v>7989273</v>
      </c>
      <c r="I627" s="66" t="n">
        <f aca="false">IF(J627&gt;$K$1,"",IFERROR(MATCH(J627,J_BB,0),""))</f>
        <v>936</v>
      </c>
      <c r="J627" s="66" t="n">
        <v>618</v>
      </c>
      <c r="K627" s="5"/>
    </row>
    <row r="628" customFormat="false" ht="15" hidden="false" customHeight="false" outlineLevel="0" collapsed="false">
      <c r="A628" s="5" t="n">
        <f aca="false">IF(I628="","",J628)</f>
        <v>619</v>
      </c>
      <c r="B628" s="83" t="n">
        <f aca="false">IF(I628="","",INDEX(J_TGL,I628))</f>
        <v>46223</v>
      </c>
      <c r="C628" s="5" t="str">
        <f aca="false">IF(I628="","",INDEX(J_NO,I628))</f>
        <v>JU-0937</v>
      </c>
      <c r="D628" s="5" t="str">
        <f aca="false">IF(I628="","",INDEX(J_KET,I628))</f>
        <v>Rak siku ambalan / penyangga</v>
      </c>
      <c r="E628" s="5" t="str">
        <f aca="false">IF(I628="","",IF(INDEX(J_DEB,I628)=$C$3,INDEX(J_KRE,I628),INDEX(J_DEB,I628)))</f>
        <v>Beban Perlengkapan</v>
      </c>
      <c r="F628" s="44" t="n">
        <f aca="false">IF(I628="","",IF(INDEX(J_DEB,I628)=$C$3,INDEX(J_NOM,I628),0))</f>
        <v>0</v>
      </c>
      <c r="G628" s="44" t="n">
        <f aca="false">IF(I628="","",IF(INDEX(J_KRE,I628)=$C$3,INDEX(J_NOM,I628),0))</f>
        <v>70875</v>
      </c>
      <c r="H628" s="44" t="n">
        <f aca="false">IF(I628="","",N(H627)+IF($C$5="Debet",F628-G628,G628-F628))</f>
        <v>7918398</v>
      </c>
      <c r="I628" s="66" t="n">
        <f aca="false">IF(J628&gt;$K$1,"",IFERROR(MATCH(J628,J_BB,0),""))</f>
        <v>937</v>
      </c>
      <c r="J628" s="66" t="n">
        <v>619</v>
      </c>
      <c r="K628" s="5"/>
    </row>
    <row r="629" customFormat="false" ht="15" hidden="false" customHeight="false" outlineLevel="0" collapsed="false">
      <c r="A629" s="5" t="n">
        <f aca="false">IF(I629="","",J629)</f>
        <v>620</v>
      </c>
      <c r="B629" s="83" t="n">
        <f aca="false">IF(I629="","",INDEX(J_TGL,I629))</f>
        <v>46223</v>
      </c>
      <c r="C629" s="5" t="str">
        <f aca="false">IF(I629="","",INDEX(J_NO,I629))</f>
        <v>JU-0938</v>
      </c>
      <c r="D629" s="5" t="str">
        <f aca="false">IF(I629="","",INDEX(J_KET,I629))</f>
        <v>Dispenser spray + parfum ruangan &amp; wadah tissue</v>
      </c>
      <c r="E629" s="5" t="str">
        <f aca="false">IF(I629="","",IF(INDEX(J_DEB,I629)=$C$3,INDEX(J_KRE,I629),INDEX(J_DEB,I629)))</f>
        <v>Beban Perlengkapan</v>
      </c>
      <c r="F629" s="44" t="n">
        <f aca="false">IF(I629="","",IF(INDEX(J_DEB,I629)=$C$3,INDEX(J_NOM,I629),0))</f>
        <v>0</v>
      </c>
      <c r="G629" s="44" t="n">
        <f aca="false">IF(I629="","",IF(INDEX(J_KRE,I629)=$C$3,INDEX(J_NOM,I629),0))</f>
        <v>203480</v>
      </c>
      <c r="H629" s="44" t="n">
        <f aca="false">IF(I629="","",N(H628)+IF($C$5="Debet",F629-G629,G629-F629))</f>
        <v>7714918</v>
      </c>
      <c r="I629" s="66" t="n">
        <f aca="false">IF(J629&gt;$K$1,"",IFERROR(MATCH(J629,J_BB,0),""))</f>
        <v>938</v>
      </c>
      <c r="J629" s="66" t="n">
        <v>620</v>
      </c>
      <c r="K629" s="5"/>
    </row>
    <row r="630" customFormat="false" ht="15" hidden="false" customHeight="false" outlineLevel="0" collapsed="false">
      <c r="A630" s="5" t="n">
        <f aca="false">IF(I630="","",J630)</f>
        <v>621</v>
      </c>
      <c r="B630" s="83" t="n">
        <f aca="false">IF(I630="","",INDEX(J_TGL,I630))</f>
        <v>46223</v>
      </c>
      <c r="C630" s="5" t="str">
        <f aca="false">IF(I630="","",INDEX(J_NO,I630))</f>
        <v>JU-0939</v>
      </c>
      <c r="D630" s="5" t="str">
        <f aca="false">IF(I630="","",INDEX(J_KET,I630))</f>
        <v>Finish ulang meja bar, restorasi</v>
      </c>
      <c r="E630" s="5" t="str">
        <f aca="false">IF(I630="","",IF(INDEX(J_DEB,I630)=$C$3,INDEX(J_KRE,I630),INDEX(J_DEB,I630)))</f>
        <v>Biaya Pemeliharaan</v>
      </c>
      <c r="F630" s="44" t="n">
        <f aca="false">IF(I630="","",IF(INDEX(J_DEB,I630)=$C$3,INDEX(J_NOM,I630),0))</f>
        <v>0</v>
      </c>
      <c r="G630" s="44" t="n">
        <f aca="false">IF(I630="","",IF(INDEX(J_KRE,I630)=$C$3,INDEX(J_NOM,I630),0))</f>
        <v>394000</v>
      </c>
      <c r="H630" s="44" t="n">
        <f aca="false">IF(I630="","",N(H629)+IF($C$5="Debet",F630-G630,G630-F630))</f>
        <v>7320918</v>
      </c>
      <c r="I630" s="66" t="n">
        <f aca="false">IF(J630&gt;$K$1,"",IFERROR(MATCH(J630,J_BB,0),""))</f>
        <v>939</v>
      </c>
      <c r="J630" s="66" t="n">
        <v>621</v>
      </c>
      <c r="K630" s="5"/>
    </row>
    <row r="631" customFormat="false" ht="15" hidden="false" customHeight="false" outlineLevel="0" collapsed="false">
      <c r="A631" s="5" t="n">
        <f aca="false">IF(I631="","",J631)</f>
        <v>622</v>
      </c>
      <c r="B631" s="83" t="n">
        <f aca="false">IF(I631="","",INDEX(J_TGL,I631))</f>
        <v>46223</v>
      </c>
      <c r="C631" s="5" t="str">
        <f aca="false">IF(I631="","",INDEX(J_NO,I631))</f>
        <v>JU-0940</v>
      </c>
      <c r="D631" s="5" t="str">
        <f aca="false">IF(I631="","",INDEX(J_KET,I631))</f>
        <v>Pindah dana tunai ke BCA (FM tukar uang)</v>
      </c>
      <c r="E631" s="5" t="str">
        <f aca="false">IF(I631="","",IF(INDEX(J_DEB,I631)=$C$3,INDEX(J_KRE,I631),INDEX(J_DEB,I631)))</f>
        <v>Kas Tunai</v>
      </c>
      <c r="F631" s="44" t="n">
        <f aca="false">IF(I631="","",IF(INDEX(J_DEB,I631)=$C$3,INDEX(J_NOM,I631),0))</f>
        <v>6000000</v>
      </c>
      <c r="G631" s="44" t="n">
        <f aca="false">IF(I631="","",IF(INDEX(J_KRE,I631)=$C$3,INDEX(J_NOM,I631),0))</f>
        <v>0</v>
      </c>
      <c r="H631" s="44" t="n">
        <f aca="false">IF(I631="","",N(H630)+IF($C$5="Debet",F631-G631,G631-F631))</f>
        <v>13320918</v>
      </c>
      <c r="I631" s="66" t="n">
        <f aca="false">IF(J631&gt;$K$1,"",IFERROR(MATCH(J631,J_BB,0),""))</f>
        <v>940</v>
      </c>
      <c r="J631" s="66" t="n">
        <v>622</v>
      </c>
      <c r="K631" s="5"/>
    </row>
    <row r="632" customFormat="false" ht="15" hidden="false" customHeight="false" outlineLevel="0" collapsed="false">
      <c r="A632" s="5" t="n">
        <f aca="false">IF(I632="","",J632)</f>
        <v>623</v>
      </c>
      <c r="B632" s="83" t="n">
        <f aca="false">IF(I632="","",INDEX(J_TGL,I632))</f>
        <v>46224</v>
      </c>
      <c r="C632" s="5" t="str">
        <f aca="false">IF(I632="","",INDEX(J_NO,I632))</f>
        <v>JU-0942</v>
      </c>
      <c r="D632" s="5" t="str">
        <f aca="false">IF(I632="","",INDEX(J_KET,I632))</f>
        <v>Pembayaran langganan aplikasi Majoo</v>
      </c>
      <c r="E632" s="5" t="str">
        <f aca="false">IF(I632="","",IF(INDEX(J_DEB,I632)=$C$3,INDEX(J_KRE,I632),INDEX(J_DEB,I632)))</f>
        <v>Biaya Tagihan Bulanan</v>
      </c>
      <c r="F632" s="44" t="n">
        <f aca="false">IF(I632="","",IF(INDEX(J_DEB,I632)=$C$3,INDEX(J_NOM,I632),0))</f>
        <v>0</v>
      </c>
      <c r="G632" s="44" t="n">
        <f aca="false">IF(I632="","",IF(INDEX(J_KRE,I632)=$C$3,INDEX(J_NOM,I632),0))</f>
        <v>287490</v>
      </c>
      <c r="H632" s="44" t="n">
        <f aca="false">IF(I632="","",N(H631)+IF($C$5="Debet",F632-G632,G632-F632))</f>
        <v>13033428</v>
      </c>
      <c r="I632" s="66" t="n">
        <f aca="false">IF(J632&gt;$K$1,"",IFERROR(MATCH(J632,J_BB,0),""))</f>
        <v>942</v>
      </c>
      <c r="J632" s="66" t="n">
        <v>623</v>
      </c>
      <c r="K632" s="5"/>
    </row>
    <row r="633" customFormat="false" ht="15" hidden="false" customHeight="false" outlineLevel="0" collapsed="false">
      <c r="A633" s="5" t="n">
        <f aca="false">IF(I633="","",J633)</f>
        <v>624</v>
      </c>
      <c r="B633" s="83" t="n">
        <f aca="false">IF(I633="","",INDEX(J_TGL,I633))</f>
        <v>46224</v>
      </c>
      <c r="C633" s="5" t="str">
        <f aca="false">IF(I633="","",INDEX(J_NO,I633))</f>
        <v>JU-0944</v>
      </c>
      <c r="D633" s="5" t="str">
        <f aca="false">IF(I633="","",INDEX(J_KET,I633))</f>
        <v>Biaya transfer flip</v>
      </c>
      <c r="E633" s="5" t="str">
        <f aca="false">IF(I633="","",IF(INDEX(J_DEB,I633)=$C$3,INDEX(J_KRE,I633),INDEX(J_DEB,I633)))</f>
        <v>Biaya Lainnya</v>
      </c>
      <c r="F633" s="44" t="n">
        <f aca="false">IF(I633="","",IF(INDEX(J_DEB,I633)=$C$3,INDEX(J_NOM,I633),0))</f>
        <v>0</v>
      </c>
      <c r="G633" s="44" t="n">
        <f aca="false">IF(I633="","",IF(INDEX(J_KRE,I633)=$C$3,INDEX(J_NOM,I633),0))</f>
        <v>784</v>
      </c>
      <c r="H633" s="44" t="n">
        <f aca="false">IF(I633="","",N(H632)+IF($C$5="Debet",F633-G633,G633-F633))</f>
        <v>13032644</v>
      </c>
      <c r="I633" s="66" t="n">
        <f aca="false">IF(J633&gt;$K$1,"",IFERROR(MATCH(J633,J_BB,0),""))</f>
        <v>944</v>
      </c>
      <c r="J633" s="66" t="n">
        <v>624</v>
      </c>
      <c r="K633" s="5"/>
    </row>
    <row r="634" customFormat="false" ht="15" hidden="false" customHeight="false" outlineLevel="0" collapsed="false">
      <c r="A634" s="5" t="n">
        <f aca="false">IF(I634="","",J634)</f>
        <v>625</v>
      </c>
      <c r="B634" s="83" t="n">
        <f aca="false">IF(I634="","",INDEX(J_TGL,I634))</f>
        <v>46224</v>
      </c>
      <c r="C634" s="5" t="str">
        <f aca="false">IF(I634="","",INDEX(J_NO,I634))</f>
        <v>JU-0945</v>
      </c>
      <c r="D634" s="5" t="str">
        <f aca="false">IF(I634="","",INDEX(J_KET,I634))</f>
        <v>croissant pembayaran batch 196-203 110pcs</v>
      </c>
      <c r="E634" s="5" t="str">
        <f aca="false">IF(I634="","",IF(INDEX(J_DEB,I634)=$C$3,INDEX(J_KRE,I634),INDEX(J_DEB,I634)))</f>
        <v>Biaya Bahan Baku</v>
      </c>
      <c r="F634" s="44" t="n">
        <f aca="false">IF(I634="","",IF(INDEX(J_DEB,I634)=$C$3,INDEX(J_NOM,I634),0))</f>
        <v>0</v>
      </c>
      <c r="G634" s="44" t="n">
        <f aca="false">IF(I634="","",IF(INDEX(J_KRE,I634)=$C$3,INDEX(J_NOM,I634),0))</f>
        <v>2412000</v>
      </c>
      <c r="H634" s="44" t="n">
        <f aca="false">IF(I634="","",N(H633)+IF($C$5="Debet",F634-G634,G634-F634))</f>
        <v>10620644</v>
      </c>
      <c r="I634" s="66" t="n">
        <f aca="false">IF(J634&gt;$K$1,"",IFERROR(MATCH(J634,J_BB,0),""))</f>
        <v>945</v>
      </c>
      <c r="J634" s="66" t="n">
        <v>625</v>
      </c>
      <c r="K634" s="5"/>
    </row>
    <row r="635" customFormat="false" ht="15" hidden="false" customHeight="false" outlineLevel="0" collapsed="false">
      <c r="A635" s="5" t="n">
        <f aca="false">IF(I635="","",J635)</f>
        <v>626</v>
      </c>
      <c r="B635" s="83" t="n">
        <f aca="false">IF(I635="","",INDEX(J_TGL,I635))</f>
        <v>46224</v>
      </c>
      <c r="C635" s="5" t="str">
        <f aca="false">IF(I635="","",INDEX(J_NO,I635))</f>
        <v>JU-0946</v>
      </c>
      <c r="D635" s="5" t="str">
        <f aca="false">IF(I635="","",INDEX(J_KET,I635))</f>
        <v>croissant pembayaran buy return</v>
      </c>
      <c r="E635" s="5" t="str">
        <f aca="false">IF(I635="","",IF(INDEX(J_DEB,I635)=$C$3,INDEX(J_KRE,I635),INDEX(J_DEB,I635)))</f>
        <v>Biaya Bahan Baku</v>
      </c>
      <c r="F635" s="44" t="n">
        <f aca="false">IF(I635="","",IF(INDEX(J_DEB,I635)=$C$3,INDEX(J_NOM,I635),0))</f>
        <v>0</v>
      </c>
      <c r="G635" s="44" t="n">
        <f aca="false">IF(I635="","",IF(INDEX(J_KRE,I635)=$C$3,INDEX(J_NOM,I635),0))</f>
        <v>30000</v>
      </c>
      <c r="H635" s="44" t="n">
        <f aca="false">IF(I635="","",N(H634)+IF($C$5="Debet",F635-G635,G635-F635))</f>
        <v>10590644</v>
      </c>
      <c r="I635" s="66" t="n">
        <f aca="false">IF(J635&gt;$K$1,"",IFERROR(MATCH(J635,J_BB,0),""))</f>
        <v>946</v>
      </c>
      <c r="J635" s="66" t="n">
        <v>626</v>
      </c>
      <c r="K635" s="5"/>
    </row>
    <row r="636" customFormat="false" ht="15" hidden="false" customHeight="false" outlineLevel="0" collapsed="false">
      <c r="A636" s="5" t="n">
        <f aca="false">IF(I636="","",J636)</f>
        <v>627</v>
      </c>
      <c r="B636" s="83" t="n">
        <f aca="false">IF(I636="","",INDEX(J_TGL,I636))</f>
        <v>46224</v>
      </c>
      <c r="C636" s="5" t="str">
        <f aca="false">IF(I636="","",INDEX(J_NO,I636))</f>
        <v>JU-0947</v>
      </c>
      <c r="D636" s="5" t="str">
        <f aca="false">IF(I636="","",INDEX(J_KET,I636))</f>
        <v>Pindah dana tunai ke BCA (setor tunai by Bank)</v>
      </c>
      <c r="E636" s="5" t="str">
        <f aca="false">IF(I636="","",IF(INDEX(J_DEB,I636)=$C$3,INDEX(J_KRE,I636),INDEX(J_DEB,I636)))</f>
        <v>Kas Tunai</v>
      </c>
      <c r="F636" s="44" t="n">
        <f aca="false">IF(I636="","",IF(INDEX(J_DEB,I636)=$C$3,INDEX(J_NOM,I636),0))</f>
        <v>976000</v>
      </c>
      <c r="G636" s="44" t="n">
        <f aca="false">IF(I636="","",IF(INDEX(J_KRE,I636)=$C$3,INDEX(J_NOM,I636),0))</f>
        <v>0</v>
      </c>
      <c r="H636" s="44" t="n">
        <f aca="false">IF(I636="","",N(H635)+IF($C$5="Debet",F636-G636,G636-F636))</f>
        <v>11566644</v>
      </c>
      <c r="I636" s="66" t="n">
        <f aca="false">IF(J636&gt;$K$1,"",IFERROR(MATCH(J636,J_BB,0),""))</f>
        <v>947</v>
      </c>
      <c r="J636" s="66" t="n">
        <v>627</v>
      </c>
      <c r="K636" s="5"/>
    </row>
    <row r="637" customFormat="false" ht="15" hidden="false" customHeight="false" outlineLevel="0" collapsed="false">
      <c r="A637" s="5" t="n">
        <f aca="false">IF(I637="","",J637)</f>
        <v>628</v>
      </c>
      <c r="B637" s="83" t="n">
        <f aca="false">IF(I637="","",INDEX(J_TGL,I637))</f>
        <v>46224</v>
      </c>
      <c r="C637" s="5" t="str">
        <f aca="false">IF(I637="","",INDEX(J_NO,I637))</f>
        <v>JU-0948</v>
      </c>
      <c r="D637" s="5" t="str">
        <f aca="false">IF(I637="","",INDEX(J_KET,I637))</f>
        <v>Pindah dana BCA ke tunai</v>
      </c>
      <c r="E637" s="5" t="str">
        <f aca="false">IF(I637="","",IF(INDEX(J_DEB,I637)=$C$3,INDEX(J_KRE,I637),INDEX(J_DEB,I637)))</f>
        <v>Kas Tunai</v>
      </c>
      <c r="F637" s="44" t="n">
        <f aca="false">IF(I637="","",IF(INDEX(J_DEB,I637)=$C$3,INDEX(J_NOM,I637),0))</f>
        <v>0</v>
      </c>
      <c r="G637" s="44" t="n">
        <f aca="false">IF(I637="","",IF(INDEX(J_KRE,I637)=$C$3,INDEX(J_NOM,I637),0))</f>
        <v>100000</v>
      </c>
      <c r="H637" s="44" t="n">
        <f aca="false">IF(I637="","",N(H636)+IF($C$5="Debet",F637-G637,G637-F637))</f>
        <v>11466644</v>
      </c>
      <c r="I637" s="66" t="n">
        <f aca="false">IF(J637&gt;$K$1,"",IFERROR(MATCH(J637,J_BB,0),""))</f>
        <v>948</v>
      </c>
      <c r="J637" s="66" t="n">
        <v>628</v>
      </c>
      <c r="K637" s="5"/>
    </row>
    <row r="638" customFormat="false" ht="15" hidden="false" customHeight="false" outlineLevel="0" collapsed="false">
      <c r="A638" s="5" t="n">
        <f aca="false">IF(I638="","",J638)</f>
        <v>629</v>
      </c>
      <c r="B638" s="83" t="n">
        <f aca="false">IF(I638="","",INDEX(J_TGL,I638))</f>
        <v>46224</v>
      </c>
      <c r="C638" s="5" t="str">
        <f aca="false">IF(I638="","",INDEX(J_NO,I638))</f>
        <v>JU-0949</v>
      </c>
      <c r="D638" s="5" t="str">
        <f aca="false">IF(I638="","",INDEX(J_KET,I638))</f>
        <v>Biaya admin tarik tunai bank BSI</v>
      </c>
      <c r="E638" s="5" t="str">
        <f aca="false">IF(I638="","",IF(INDEX(J_DEB,I638)=$C$3,INDEX(J_KRE,I638),INDEX(J_DEB,I638)))</f>
        <v>Biaya Lainnya</v>
      </c>
      <c r="F638" s="44" t="n">
        <f aca="false">IF(I638="","",IF(INDEX(J_DEB,I638)=$C$3,INDEX(J_NOM,I638),0))</f>
        <v>0</v>
      </c>
      <c r="G638" s="44" t="n">
        <f aca="false">IF(I638="","",IF(INDEX(J_KRE,I638)=$C$3,INDEX(J_NOM,I638),0))</f>
        <v>7500</v>
      </c>
      <c r="H638" s="44" t="n">
        <f aca="false">IF(I638="","",N(H637)+IF($C$5="Debet",F638-G638,G638-F638))</f>
        <v>11459144</v>
      </c>
      <c r="I638" s="66" t="n">
        <f aca="false">IF(J638&gt;$K$1,"",IFERROR(MATCH(J638,J_BB,0),""))</f>
        <v>949</v>
      </c>
      <c r="J638" s="66" t="n">
        <v>629</v>
      </c>
      <c r="K638" s="5"/>
    </row>
    <row r="639" customFormat="false" ht="15" hidden="false" customHeight="false" outlineLevel="0" collapsed="false">
      <c r="A639" s="5" t="n">
        <f aca="false">IF(I639="","",J639)</f>
        <v>630</v>
      </c>
      <c r="B639" s="83" t="n">
        <f aca="false">IF(I639="","",INDEX(J_TGL,I639))</f>
        <v>46224</v>
      </c>
      <c r="C639" s="5" t="str">
        <f aca="false">IF(I639="","",INDEX(J_NO,I639))</f>
        <v>JU-0950</v>
      </c>
      <c r="D639" s="5" t="str">
        <f aca="false">IF(I639="","",INDEX(J_KET,I639))</f>
        <v>Pindah dana BCA ke tunai (tarik tunai pecahan)</v>
      </c>
      <c r="E639" s="5" t="str">
        <f aca="false">IF(I639="","",IF(INDEX(J_DEB,I639)=$C$3,INDEX(J_KRE,I639),INDEX(J_DEB,I639)))</f>
        <v>Kas Tunai</v>
      </c>
      <c r="F639" s="44" t="n">
        <f aca="false">IF(I639="","",IF(INDEX(J_DEB,I639)=$C$3,INDEX(J_NOM,I639),0))</f>
        <v>0</v>
      </c>
      <c r="G639" s="44" t="n">
        <f aca="false">IF(I639="","",IF(INDEX(J_KRE,I639)=$C$3,INDEX(J_NOM,I639),0))</f>
        <v>4000000</v>
      </c>
      <c r="H639" s="44" t="n">
        <f aca="false">IF(I639="","",N(H638)+IF($C$5="Debet",F639-G639,G639-F639))</f>
        <v>7459144</v>
      </c>
      <c r="I639" s="66" t="n">
        <f aca="false">IF(J639&gt;$K$1,"",IFERROR(MATCH(J639,J_BB,0),""))</f>
        <v>950</v>
      </c>
      <c r="J639" s="66" t="n">
        <v>630</v>
      </c>
      <c r="K639" s="5"/>
    </row>
    <row r="640" customFormat="false" ht="15" hidden="false" customHeight="false" outlineLevel="0" collapsed="false">
      <c r="A640" s="5" t="n">
        <f aca="false">IF(I640="","",J640)</f>
        <v>631</v>
      </c>
      <c r="B640" s="83" t="n">
        <f aca="false">IF(I640="","",INDEX(J_TGL,I640))</f>
        <v>46225</v>
      </c>
      <c r="C640" s="5" t="str">
        <f aca="false">IF(I640="","",INDEX(J_NO,I640))</f>
        <v>JU-0951</v>
      </c>
      <c r="D640" s="5" t="str">
        <f aca="false">IF(I640="","",INDEX(J_KET,I640))</f>
        <v>Belanja di Parama</v>
      </c>
      <c r="E640" s="5" t="str">
        <f aca="false">IF(I640="","",IF(INDEX(J_DEB,I640)=$C$3,INDEX(J_KRE,I640),INDEX(J_DEB,I640)))</f>
        <v>Biaya Bahan Baku</v>
      </c>
      <c r="F640" s="44" t="n">
        <f aca="false">IF(I640="","",IF(INDEX(J_DEB,I640)=$C$3,INDEX(J_NOM,I640),0))</f>
        <v>0</v>
      </c>
      <c r="G640" s="44" t="n">
        <f aca="false">IF(I640="","",IF(INDEX(J_KRE,I640)=$C$3,INDEX(J_NOM,I640),0))</f>
        <v>1327000</v>
      </c>
      <c r="H640" s="44" t="n">
        <f aca="false">IF(I640="","",N(H639)+IF($C$5="Debet",F640-G640,G640-F640))</f>
        <v>6132144</v>
      </c>
      <c r="I640" s="66" t="n">
        <f aca="false">IF(J640&gt;$K$1,"",IFERROR(MATCH(J640,J_BB,0),""))</f>
        <v>951</v>
      </c>
      <c r="J640" s="66" t="n">
        <v>631</v>
      </c>
      <c r="K640" s="5"/>
    </row>
    <row r="641" customFormat="false" ht="15" hidden="false" customHeight="false" outlineLevel="0" collapsed="false">
      <c r="A641" s="5" t="n">
        <f aca="false">IF(I641="","",J641)</f>
        <v>632</v>
      </c>
      <c r="B641" s="83" t="n">
        <f aca="false">IF(I641="","",INDEX(J_TGL,I641))</f>
        <v>46225</v>
      </c>
      <c r="C641" s="5" t="str">
        <f aca="false">IF(I641="","",INDEX(J_NO,I641))</f>
        <v>JU-0952</v>
      </c>
      <c r="D641" s="5" t="str">
        <f aca="false">IF(I641="","",INDEX(J_KET,I641))</f>
        <v>savis tea</v>
      </c>
      <c r="E641" s="5" t="str">
        <f aca="false">IF(I641="","",IF(INDEX(J_DEB,I641)=$C$3,INDEX(J_KRE,I641),INDEX(J_DEB,I641)))</f>
        <v>Biaya Bahan Baku</v>
      </c>
      <c r="F641" s="44" t="n">
        <f aca="false">IF(I641="","",IF(INDEX(J_DEB,I641)=$C$3,INDEX(J_NOM,I641),0))</f>
        <v>0</v>
      </c>
      <c r="G641" s="44" t="n">
        <f aca="false">IF(I641="","",IF(INDEX(J_KRE,I641)=$C$3,INDEX(J_NOM,I641),0))</f>
        <v>662162</v>
      </c>
      <c r="H641" s="44" t="n">
        <f aca="false">IF(I641="","",N(H640)+IF($C$5="Debet",F641-G641,G641-F641))</f>
        <v>5469982</v>
      </c>
      <c r="I641" s="66" t="n">
        <f aca="false">IF(J641&gt;$K$1,"",IFERROR(MATCH(J641,J_BB,0),""))</f>
        <v>952</v>
      </c>
      <c r="J641" s="66" t="n">
        <v>632</v>
      </c>
      <c r="K641" s="5"/>
    </row>
    <row r="642" customFormat="false" ht="15" hidden="false" customHeight="false" outlineLevel="0" collapsed="false">
      <c r="A642" s="5" t="n">
        <f aca="false">IF(I642="","",J642)</f>
        <v>633</v>
      </c>
      <c r="B642" s="83" t="n">
        <f aca="false">IF(I642="","",INDEX(J_TGL,I642))</f>
        <v>46226</v>
      </c>
      <c r="C642" s="5" t="str">
        <f aca="false">IF(I642="","",INDEX(J_NO,I642))</f>
        <v>JU-0953</v>
      </c>
      <c r="D642" s="5" t="str">
        <f aca="false">IF(I642="","",INDEX(J_KET,I642))</f>
        <v>servis printer</v>
      </c>
      <c r="E642" s="5" t="str">
        <f aca="false">IF(I642="","",IF(INDEX(J_DEB,I642)=$C$3,INDEX(J_KRE,I642),INDEX(J_DEB,I642)))</f>
        <v>Biaya Pemeliharaan</v>
      </c>
      <c r="F642" s="44" t="n">
        <f aca="false">IF(I642="","",IF(INDEX(J_DEB,I642)=$C$3,INDEX(J_NOM,I642),0))</f>
        <v>0</v>
      </c>
      <c r="G642" s="44" t="n">
        <f aca="false">IF(I642="","",IF(INDEX(J_KRE,I642)=$C$3,INDEX(J_NOM,I642),0))</f>
        <v>550000</v>
      </c>
      <c r="H642" s="44" t="n">
        <f aca="false">IF(I642="","",N(H641)+IF($C$5="Debet",F642-G642,G642-F642))</f>
        <v>4919982</v>
      </c>
      <c r="I642" s="66" t="n">
        <f aca="false">IF(J642&gt;$K$1,"",IFERROR(MATCH(J642,J_BB,0),""))</f>
        <v>953</v>
      </c>
      <c r="J642" s="66" t="n">
        <v>633</v>
      </c>
      <c r="K642" s="5"/>
    </row>
    <row r="643" customFormat="false" ht="15" hidden="false" customHeight="false" outlineLevel="0" collapsed="false">
      <c r="A643" s="5" t="n">
        <f aca="false">IF(I643="","",J643)</f>
        <v>634</v>
      </c>
      <c r="B643" s="83" t="n">
        <f aca="false">IF(I643="","",INDEX(J_TGL,I643))</f>
        <v>46226</v>
      </c>
      <c r="C643" s="5" t="str">
        <f aca="false">IF(I643="","",INDEX(J_NO,I643))</f>
        <v>JU-0954</v>
      </c>
      <c r="D643" s="5" t="str">
        <f aca="false">IF(I643="","",INDEX(J_KET,I643))</f>
        <v>Biaya transfer flip</v>
      </c>
      <c r="E643" s="5" t="str">
        <f aca="false">IF(I643="","",IF(INDEX(J_DEB,I643)=$C$3,INDEX(J_KRE,I643),INDEX(J_DEB,I643)))</f>
        <v>Biaya Lainnya</v>
      </c>
      <c r="F643" s="44" t="n">
        <f aca="false">IF(I643="","",IF(INDEX(J_DEB,I643)=$C$3,INDEX(J_NOM,I643),0))</f>
        <v>0</v>
      </c>
      <c r="G643" s="44" t="n">
        <f aca="false">IF(I643="","",IF(INDEX(J_KRE,I643)=$C$3,INDEX(J_NOM,I643),0))</f>
        <v>325</v>
      </c>
      <c r="H643" s="44" t="n">
        <f aca="false">IF(I643="","",N(H642)+IF($C$5="Debet",F643-G643,G643-F643))</f>
        <v>4919657</v>
      </c>
      <c r="I643" s="66" t="n">
        <f aca="false">IF(J643&gt;$K$1,"",IFERROR(MATCH(J643,J_BB,0),""))</f>
        <v>954</v>
      </c>
      <c r="J643" s="66" t="n">
        <v>634</v>
      </c>
      <c r="K643" s="5"/>
    </row>
    <row r="644" customFormat="false" ht="15" hidden="false" customHeight="false" outlineLevel="0" collapsed="false">
      <c r="A644" s="5" t="n">
        <f aca="false">IF(I644="","",J644)</f>
        <v>635</v>
      </c>
      <c r="B644" s="83" t="n">
        <f aca="false">IF(I644="","",INDEX(J_TGL,I644))</f>
        <v>46227</v>
      </c>
      <c r="C644" s="5" t="str">
        <f aca="false">IF(I644="","",INDEX(J_NO,I644))</f>
        <v>JU-0955</v>
      </c>
      <c r="D644" s="5" t="str">
        <f aca="false">IF(I644="","",INDEX(J_KET,I644))</f>
        <v>Churros frozen</v>
      </c>
      <c r="E644" s="5" t="str">
        <f aca="false">IF(I644="","",IF(INDEX(J_DEB,I644)=$C$3,INDEX(J_KRE,I644),INDEX(J_DEB,I644)))</f>
        <v>Biaya Bahan Baku</v>
      </c>
      <c r="F644" s="44" t="n">
        <f aca="false">IF(I644="","",IF(INDEX(J_DEB,I644)=$C$3,INDEX(J_NOM,I644),0))</f>
        <v>0</v>
      </c>
      <c r="G644" s="44" t="n">
        <f aca="false">IF(I644="","",IF(INDEX(J_KRE,I644)=$C$3,INDEX(J_NOM,I644),0))</f>
        <v>400000</v>
      </c>
      <c r="H644" s="44" t="n">
        <f aca="false">IF(I644="","",N(H643)+IF($C$5="Debet",F644-G644,G644-F644))</f>
        <v>4519657</v>
      </c>
      <c r="I644" s="66" t="n">
        <f aca="false">IF(J644&gt;$K$1,"",IFERROR(MATCH(J644,J_BB,0),""))</f>
        <v>955</v>
      </c>
      <c r="J644" s="66" t="n">
        <v>635</v>
      </c>
      <c r="K644" s="5"/>
    </row>
    <row r="645" customFormat="false" ht="15" hidden="false" customHeight="false" outlineLevel="0" collapsed="false">
      <c r="A645" s="5" t="n">
        <f aca="false">IF(I645="","",J645)</f>
        <v>636</v>
      </c>
      <c r="B645" s="83" t="n">
        <f aca="false">IF(I645="","",INDEX(J_TGL,I645))</f>
        <v>46228</v>
      </c>
      <c r="C645" s="5" t="str">
        <f aca="false">IF(I645="","",INDEX(J_NO,I645))</f>
        <v>JU-0956</v>
      </c>
      <c r="D645" s="5" t="str">
        <f aca="false">IF(I645="","",INDEX(J_KET,I645))</f>
        <v>Pembuatan sistem</v>
      </c>
      <c r="E645" s="5" t="str">
        <f aca="false">IF(I645="","",IF(INDEX(J_DEB,I645)=$C$3,INDEX(J_KRE,I645),INDEX(J_DEB,I645)))</f>
        <v>Biaya Penyajian</v>
      </c>
      <c r="F645" s="44" t="n">
        <f aca="false">IF(I645="","",IF(INDEX(J_DEB,I645)=$C$3,INDEX(J_NOM,I645),0))</f>
        <v>0</v>
      </c>
      <c r="G645" s="44" t="n">
        <f aca="false">IF(I645="","",IF(INDEX(J_KRE,I645)=$C$3,INDEX(J_NOM,I645),0))</f>
        <v>740000</v>
      </c>
      <c r="H645" s="44" t="n">
        <f aca="false">IF(I645="","",N(H644)+IF($C$5="Debet",F645-G645,G645-F645))</f>
        <v>3779657</v>
      </c>
      <c r="I645" s="66" t="n">
        <f aca="false">IF(J645&gt;$K$1,"",IFERROR(MATCH(J645,J_BB,0),""))</f>
        <v>956</v>
      </c>
      <c r="J645" s="66" t="n">
        <v>636</v>
      </c>
      <c r="K645" s="5"/>
    </row>
    <row r="646" customFormat="false" ht="15" hidden="false" customHeight="false" outlineLevel="0" collapsed="false">
      <c r="A646" s="5" t="n">
        <f aca="false">IF(I646="","",J646)</f>
        <v>637</v>
      </c>
      <c r="B646" s="83" t="n">
        <f aca="false">IF(I646="","",INDEX(J_TGL,I646))</f>
        <v>46230</v>
      </c>
      <c r="C646" s="5" t="str">
        <f aca="false">IF(I646="","",INDEX(J_NO,I646))</f>
        <v>JU-0957</v>
      </c>
      <c r="D646" s="5" t="str">
        <f aca="false">IF(I646="","",INDEX(J_KET,I646))</f>
        <v>PET botol tutup takeaway 1000ml</v>
      </c>
      <c r="E646" s="5" t="str">
        <f aca="false">IF(I646="","",IF(INDEX(J_DEB,I646)=$C$3,INDEX(J_KRE,I646),INDEX(J_DEB,I646)))</f>
        <v>Biaya Penyajian</v>
      </c>
      <c r="F646" s="44" t="n">
        <f aca="false">IF(I646="","",IF(INDEX(J_DEB,I646)=$C$3,INDEX(J_NOM,I646),0))</f>
        <v>0</v>
      </c>
      <c r="G646" s="44" t="n">
        <f aca="false">IF(I646="","",IF(INDEX(J_KRE,I646)=$C$3,INDEX(J_NOM,I646),0))</f>
        <v>162000</v>
      </c>
      <c r="H646" s="44" t="n">
        <f aca="false">IF(I646="","",N(H645)+IF($C$5="Debet",F646-G646,G646-F646))</f>
        <v>3617657</v>
      </c>
      <c r="I646" s="66" t="n">
        <f aca="false">IF(J646&gt;$K$1,"",IFERROR(MATCH(J646,J_BB,0),""))</f>
        <v>957</v>
      </c>
      <c r="J646" s="66" t="n">
        <v>637</v>
      </c>
      <c r="K646" s="5"/>
    </row>
    <row r="647" customFormat="false" ht="15" hidden="false" customHeight="false" outlineLevel="0" collapsed="false">
      <c r="A647" s="5" t="n">
        <f aca="false">IF(I647="","",J647)</f>
        <v>638</v>
      </c>
      <c r="B647" s="83" t="n">
        <f aca="false">IF(I647="","",INDEX(J_TGL,I647))</f>
        <v>46230</v>
      </c>
      <c r="C647" s="5" t="str">
        <f aca="false">IF(I647="","",INDEX(J_NO,I647))</f>
        <v>JU-0958</v>
      </c>
      <c r="D647" s="5" t="str">
        <f aca="false">IF(I647="","",INDEX(J_KET,I647))</f>
        <v>Buah &amp; rempah</v>
      </c>
      <c r="E647" s="5" t="str">
        <f aca="false">IF(I647="","",IF(INDEX(J_DEB,I647)=$C$3,INDEX(J_KRE,I647),INDEX(J_DEB,I647)))</f>
        <v>Biaya Bahan Baku</v>
      </c>
      <c r="F647" s="44" t="n">
        <f aca="false">IF(I647="","",IF(INDEX(J_DEB,I647)=$C$3,INDEX(J_NOM,I647),0))</f>
        <v>0</v>
      </c>
      <c r="G647" s="44" t="n">
        <f aca="false">IF(I647="","",IF(INDEX(J_KRE,I647)=$C$3,INDEX(J_NOM,I647),0))</f>
        <v>717000</v>
      </c>
      <c r="H647" s="44" t="n">
        <f aca="false">IF(I647="","",N(H646)+IF($C$5="Debet",F647-G647,G647-F647))</f>
        <v>2900657</v>
      </c>
      <c r="I647" s="66" t="n">
        <f aca="false">IF(J647&gt;$K$1,"",IFERROR(MATCH(J647,J_BB,0),""))</f>
        <v>958</v>
      </c>
      <c r="J647" s="66" t="n">
        <v>638</v>
      </c>
      <c r="K647" s="5"/>
    </row>
    <row r="648" customFormat="false" ht="15" hidden="false" customHeight="false" outlineLevel="0" collapsed="false">
      <c r="A648" s="5" t="n">
        <f aca="false">IF(I648="","",J648)</f>
        <v>639</v>
      </c>
      <c r="B648" s="83" t="n">
        <f aca="false">IF(I648="","",INDEX(J_TGL,I648))</f>
        <v>46230</v>
      </c>
      <c r="C648" s="5" t="str">
        <f aca="false">IF(I648="","",INDEX(J_NO,I648))</f>
        <v>JU-0959</v>
      </c>
      <c r="D648" s="5" t="str">
        <f aca="false">IF(I648="","",INDEX(J_KET,I648))</f>
        <v>Menu snack (baru) ubi mochi, fried tape singkong</v>
      </c>
      <c r="E648" s="5" t="str">
        <f aca="false">IF(I648="","",IF(INDEX(J_DEB,I648)=$C$3,INDEX(J_KRE,I648),INDEX(J_DEB,I648)))</f>
        <v>Biaya Bahan Baku</v>
      </c>
      <c r="F648" s="44" t="n">
        <f aca="false">IF(I648="","",IF(INDEX(J_DEB,I648)=$C$3,INDEX(J_NOM,I648),0))</f>
        <v>0</v>
      </c>
      <c r="G648" s="44" t="n">
        <f aca="false">IF(I648="","",IF(INDEX(J_KRE,I648)=$C$3,INDEX(J_NOM,I648),0))</f>
        <v>789432</v>
      </c>
      <c r="H648" s="44" t="n">
        <f aca="false">IF(I648="","",N(H647)+IF($C$5="Debet",F648-G648,G648-F648))</f>
        <v>2111225</v>
      </c>
      <c r="I648" s="66" t="n">
        <f aca="false">IF(J648&gt;$K$1,"",IFERROR(MATCH(J648,J_BB,0),""))</f>
        <v>959</v>
      </c>
      <c r="J648" s="66" t="n">
        <v>639</v>
      </c>
      <c r="K648" s="5"/>
    </row>
    <row r="649" customFormat="false" ht="15" hidden="false" customHeight="false" outlineLevel="0" collapsed="false">
      <c r="A649" s="5" t="n">
        <f aca="false">IF(I649="","",J649)</f>
        <v>640</v>
      </c>
      <c r="B649" s="83" t="n">
        <f aca="false">IF(I649="","",INDEX(J_TGL,I649))</f>
        <v>46230</v>
      </c>
      <c r="C649" s="5" t="str">
        <f aca="false">IF(I649="","",INDEX(J_NO,I649))</f>
        <v>JU-0960</v>
      </c>
      <c r="D649" s="5" t="str">
        <f aca="false">IF(I649="","",INDEX(J_KET,I649))</f>
        <v>Unlock water</v>
      </c>
      <c r="E649" s="5" t="str">
        <f aca="false">IF(I649="","",IF(INDEX(J_DEB,I649)=$C$3,INDEX(J_KRE,I649),INDEX(J_DEB,I649)))</f>
        <v>Biaya Bahan Baku</v>
      </c>
      <c r="F649" s="44" t="n">
        <f aca="false">IF(I649="","",IF(INDEX(J_DEB,I649)=$C$3,INDEX(J_NOM,I649),0))</f>
        <v>0</v>
      </c>
      <c r="G649" s="44" t="n">
        <f aca="false">IF(I649="","",IF(INDEX(J_KRE,I649)=$C$3,INDEX(J_NOM,I649),0))</f>
        <v>301000</v>
      </c>
      <c r="H649" s="44" t="n">
        <f aca="false">IF(I649="","",N(H648)+IF($C$5="Debet",F649-G649,G649-F649))</f>
        <v>1810225</v>
      </c>
      <c r="I649" s="66" t="n">
        <f aca="false">IF(J649&gt;$K$1,"",IFERROR(MATCH(J649,J_BB,0),""))</f>
        <v>960</v>
      </c>
      <c r="J649" s="66" t="n">
        <v>640</v>
      </c>
      <c r="K649" s="5"/>
    </row>
    <row r="650" customFormat="false" ht="15" hidden="false" customHeight="false" outlineLevel="0" collapsed="false">
      <c r="A650" s="5" t="n">
        <f aca="false">IF(I650="","",J650)</f>
        <v>641</v>
      </c>
      <c r="B650" s="83" t="n">
        <f aca="false">IF(I650="","",INDEX(J_TGL,I650))</f>
        <v>46230</v>
      </c>
      <c r="C650" s="5" t="str">
        <f aca="false">IF(I650="","",INDEX(J_NO,I650))</f>
        <v>JU-0961</v>
      </c>
      <c r="D650" s="5" t="str">
        <f aca="false">IF(I650="","",INDEX(J_KET,I650))</f>
        <v>Belanja dispenser tissue toilet</v>
      </c>
      <c r="E650" s="5" t="str">
        <f aca="false">IF(I650="","",IF(INDEX(J_DEB,I650)=$C$3,INDEX(J_KRE,I650),INDEX(J_DEB,I650)))</f>
        <v>Beban Perlengkapan</v>
      </c>
      <c r="F650" s="44" t="n">
        <f aca="false">IF(I650="","",IF(INDEX(J_DEB,I650)=$C$3,INDEX(J_NOM,I650),0))</f>
        <v>0</v>
      </c>
      <c r="G650" s="44" t="n">
        <f aca="false">IF(I650="","",IF(INDEX(J_KRE,I650)=$C$3,INDEX(J_NOM,I650),0))</f>
        <v>216273</v>
      </c>
      <c r="H650" s="44" t="n">
        <f aca="false">IF(I650="","",N(H649)+IF($C$5="Debet",F650-G650,G650-F650))</f>
        <v>1593952</v>
      </c>
      <c r="I650" s="66" t="n">
        <f aca="false">IF(J650&gt;$K$1,"",IFERROR(MATCH(J650,J_BB,0),""))</f>
        <v>961</v>
      </c>
      <c r="J650" s="66" t="n">
        <v>641</v>
      </c>
      <c r="K650" s="5"/>
    </row>
    <row r="651" customFormat="false" ht="15" hidden="false" customHeight="false" outlineLevel="0" collapsed="false">
      <c r="A651" s="5" t="n">
        <f aca="false">IF(I651="","",J651)</f>
        <v>642</v>
      </c>
      <c r="B651" s="83" t="n">
        <f aca="false">IF(I651="","",INDEX(J_TGL,I651))</f>
        <v>46231</v>
      </c>
      <c r="C651" s="5" t="str">
        <f aca="false">IF(I651="","",INDEX(J_NO,I651))</f>
        <v>JU-0968</v>
      </c>
      <c r="D651" s="5" t="str">
        <f aca="false">IF(I651="","",INDEX(J_KET,I651))</f>
        <v>susu freshmilk greenfield</v>
      </c>
      <c r="E651" s="5" t="str">
        <f aca="false">IF(I651="","",IF(INDEX(J_DEB,I651)=$C$3,INDEX(J_KRE,I651),INDEX(J_DEB,I651)))</f>
        <v>Biaya Bahan Baku</v>
      </c>
      <c r="F651" s="44" t="n">
        <f aca="false">IF(I651="","",IF(INDEX(J_DEB,I651)=$C$3,INDEX(J_NOM,I651),0))</f>
        <v>0</v>
      </c>
      <c r="G651" s="44" t="n">
        <f aca="false">IF(I651="","",IF(INDEX(J_KRE,I651)=$C$3,INDEX(J_NOM,I651),0))</f>
        <v>353100</v>
      </c>
      <c r="H651" s="44" t="n">
        <f aca="false">IF(I651="","",N(H650)+IF($C$5="Debet",F651-G651,G651-F651))</f>
        <v>1240852</v>
      </c>
      <c r="I651" s="66" t="n">
        <f aca="false">IF(J651&gt;$K$1,"",IFERROR(MATCH(J651,J_BB,0),""))</f>
        <v>968</v>
      </c>
      <c r="J651" s="66" t="n">
        <v>642</v>
      </c>
      <c r="K651" s="5"/>
    </row>
    <row r="652" customFormat="false" ht="15" hidden="false" customHeight="false" outlineLevel="0" collapsed="false">
      <c r="A652" s="5" t="n">
        <f aca="false">IF(I652="","",J652)</f>
        <v>643</v>
      </c>
      <c r="B652" s="83" t="n">
        <f aca="false">IF(I652="","",INDEX(J_TGL,I652))</f>
        <v>46231</v>
      </c>
      <c r="C652" s="5" t="str">
        <f aca="false">IF(I652="","",INDEX(J_NO,I652))</f>
        <v>JU-0969</v>
      </c>
      <c r="D652" s="5" t="str">
        <f aca="false">IF(I652="","",INDEX(J_KET,I652))</f>
        <v>Biaya transfer flip</v>
      </c>
      <c r="E652" s="5" t="str">
        <f aca="false">IF(I652="","",IF(INDEX(J_DEB,I652)=$C$3,INDEX(J_KRE,I652),INDEX(J_DEB,I652)))</f>
        <v>Biaya Lainnya</v>
      </c>
      <c r="F652" s="44" t="n">
        <f aca="false">IF(I652="","",IF(INDEX(J_DEB,I652)=$C$3,INDEX(J_NOM,I652),0))</f>
        <v>0</v>
      </c>
      <c r="G652" s="44" t="n">
        <f aca="false">IF(I652="","",IF(INDEX(J_KRE,I652)=$C$3,INDEX(J_NOM,I652),0))</f>
        <v>325</v>
      </c>
      <c r="H652" s="44" t="n">
        <f aca="false">IF(I652="","",N(H651)+IF($C$5="Debet",F652-G652,G652-F652))</f>
        <v>1240527</v>
      </c>
      <c r="I652" s="66" t="n">
        <f aca="false">IF(J652&gt;$K$1,"",IFERROR(MATCH(J652,J_BB,0),""))</f>
        <v>969</v>
      </c>
      <c r="J652" s="66" t="n">
        <v>643</v>
      </c>
      <c r="K652" s="5"/>
    </row>
    <row r="653" customFormat="false" ht="15" hidden="false" customHeight="false" outlineLevel="0" collapsed="false">
      <c r="A653" s="5" t="n">
        <f aca="false">IF(I653="","",J653)</f>
        <v>644</v>
      </c>
      <c r="B653" s="83" t="n">
        <f aca="false">IF(I653="","",INDEX(J_TGL,I653))</f>
        <v>46232</v>
      </c>
      <c r="C653" s="5" t="str">
        <f aca="false">IF(I653="","",INDEX(J_NO,I653))</f>
        <v>JU-0970</v>
      </c>
      <c r="D653" s="5" t="str">
        <f aca="false">IF(I653="","",INDEX(J_KET,I653))</f>
        <v>Membayar bonus pegawai</v>
      </c>
      <c r="E653" s="5" t="str">
        <f aca="false">IF(I653="","",IF(INDEX(J_DEB,I653)=$C$3,INDEX(J_KRE,I653),INDEX(J_DEB,I653)))</f>
        <v>Beban Gaji</v>
      </c>
      <c r="F653" s="44" t="n">
        <f aca="false">IF(I653="","",IF(INDEX(J_DEB,I653)=$C$3,INDEX(J_NOM,I653),0))</f>
        <v>0</v>
      </c>
      <c r="G653" s="44" t="n">
        <f aca="false">IF(I653="","",IF(INDEX(J_KRE,I653)=$C$3,INDEX(J_NOM,I653),0))</f>
        <v>2894000</v>
      </c>
      <c r="H653" s="44" t="n">
        <f aca="false">IF(I653="","",N(H652)+IF($C$5="Debet",F653-G653,G653-F653))</f>
        <v>-1653473</v>
      </c>
      <c r="I653" s="66" t="n">
        <f aca="false">IF(J653&gt;$K$1,"",IFERROR(MATCH(J653,J_BB,0),""))</f>
        <v>970</v>
      </c>
      <c r="J653" s="66" t="n">
        <v>644</v>
      </c>
      <c r="K653" s="5"/>
    </row>
    <row r="654" customFormat="false" ht="15" hidden="false" customHeight="false" outlineLevel="0" collapsed="false">
      <c r="A654" s="5" t="n">
        <f aca="false">IF(I654="","",J654)</f>
        <v>645</v>
      </c>
      <c r="B654" s="83" t="n">
        <f aca="false">IF(I654="","",INDEX(J_TGL,I654))</f>
        <v>46232</v>
      </c>
      <c r="C654" s="5" t="str">
        <f aca="false">IF(I654="","",INDEX(J_NO,I654))</f>
        <v>JU-0971</v>
      </c>
      <c r="D654" s="5" t="str">
        <f aca="false">IF(I654="","",INDEX(J_KET,I654))</f>
        <v>Biji kopi/beans Yantos</v>
      </c>
      <c r="E654" s="5" t="str">
        <f aca="false">IF(I654="","",IF(INDEX(J_DEB,I654)=$C$3,INDEX(J_KRE,I654),INDEX(J_DEB,I654)))</f>
        <v>Biaya Bahan Baku</v>
      </c>
      <c r="F654" s="44" t="n">
        <f aca="false">IF(I654="","",IF(INDEX(J_DEB,I654)=$C$3,INDEX(J_NOM,I654),0))</f>
        <v>0</v>
      </c>
      <c r="G654" s="44" t="n">
        <f aca="false">IF(I654="","",IF(INDEX(J_KRE,I654)=$C$3,INDEX(J_NOM,I654),0))</f>
        <v>2570000</v>
      </c>
      <c r="H654" s="44" t="n">
        <f aca="false">IF(I654="","",N(H653)+IF($C$5="Debet",F654-G654,G654-F654))</f>
        <v>-4223473</v>
      </c>
      <c r="I654" s="66" t="n">
        <f aca="false">IF(J654&gt;$K$1,"",IFERROR(MATCH(J654,J_BB,0),""))</f>
        <v>971</v>
      </c>
      <c r="J654" s="66" t="n">
        <v>645</v>
      </c>
      <c r="K654" s="5"/>
    </row>
    <row r="655" customFormat="false" ht="15" hidden="false" customHeight="false" outlineLevel="0" collapsed="false">
      <c r="A655" s="5" t="n">
        <f aca="false">IF(I655="","",J655)</f>
        <v>646</v>
      </c>
      <c r="B655" s="83" t="n">
        <f aca="false">IF(I655="","",INDEX(J_TGL,I655))</f>
        <v>46232</v>
      </c>
      <c r="C655" s="5" t="str">
        <f aca="false">IF(I655="","",INDEX(J_NO,I655))</f>
        <v>JU-0972</v>
      </c>
      <c r="D655" s="5" t="str">
        <f aca="false">IF(I655="","",INDEX(J_KET,I655))</f>
        <v>Biji kopi/beans Yantos</v>
      </c>
      <c r="E655" s="5" t="str">
        <f aca="false">IF(I655="","",IF(INDEX(J_DEB,I655)=$C$3,INDEX(J_KRE,I655),INDEX(J_DEB,I655)))</f>
        <v>Biaya Bahan Baku</v>
      </c>
      <c r="F655" s="44" t="n">
        <f aca="false">IF(I655="","",IF(INDEX(J_DEB,I655)=$C$3,INDEX(J_NOM,I655),0))</f>
        <v>0</v>
      </c>
      <c r="G655" s="44" t="n">
        <f aca="false">IF(I655="","",IF(INDEX(J_KRE,I655)=$C$3,INDEX(J_NOM,I655),0))</f>
        <v>7200000</v>
      </c>
      <c r="H655" s="44" t="n">
        <f aca="false">IF(I655="","",N(H654)+IF($C$5="Debet",F655-G655,G655-F655))</f>
        <v>-11423473</v>
      </c>
      <c r="I655" s="66" t="n">
        <f aca="false">IF(J655&gt;$K$1,"",IFERROR(MATCH(J655,J_BB,0),""))</f>
        <v>972</v>
      </c>
      <c r="J655" s="66" t="n">
        <v>646</v>
      </c>
      <c r="K655" s="5"/>
    </row>
    <row r="656" customFormat="false" ht="15" hidden="false" customHeight="false" outlineLevel="0" collapsed="false">
      <c r="A656" s="5" t="n">
        <f aca="false">IF(I656="","",J656)</f>
        <v>647</v>
      </c>
      <c r="B656" s="83" t="n">
        <f aca="false">IF(I656="","",INDEX(J_TGL,I656))</f>
        <v>46232</v>
      </c>
      <c r="C656" s="5" t="str">
        <f aca="false">IF(I656="","",INDEX(J_NO,I656))</f>
        <v>JU-0973</v>
      </c>
      <c r="D656" s="5" t="str">
        <f aca="false">IF(I656="","",INDEX(J_KET,I656))</f>
        <v>Biaya sewa tempat bulan Juli 2026</v>
      </c>
      <c r="E656" s="5" t="str">
        <f aca="false">IF(I656="","",IF(INDEX(J_DEB,I656)=$C$3,INDEX(J_KRE,I656),INDEX(J_DEB,I656)))</f>
        <v>Biaya Sewa Tempat</v>
      </c>
      <c r="F656" s="44" t="n">
        <f aca="false">IF(I656="","",IF(INDEX(J_DEB,I656)=$C$3,INDEX(J_NOM,I656),0))</f>
        <v>0</v>
      </c>
      <c r="G656" s="44" t="n">
        <f aca="false">IF(I656="","",IF(INDEX(J_KRE,I656)=$C$3,INDEX(J_NOM,I656),0))</f>
        <v>10000000</v>
      </c>
      <c r="H656" s="44" t="n">
        <f aca="false">IF(I656="","",N(H655)+IF($C$5="Debet",F656-G656,G656-F656))</f>
        <v>-21423473</v>
      </c>
      <c r="I656" s="66" t="n">
        <f aca="false">IF(J656&gt;$K$1,"",IFERROR(MATCH(J656,J_BB,0),""))</f>
        <v>973</v>
      </c>
      <c r="J656" s="66" t="n">
        <v>647</v>
      </c>
      <c r="K656" s="5"/>
    </row>
    <row r="657" customFormat="false" ht="15" hidden="false" customHeight="false" outlineLevel="0" collapsed="false">
      <c r="A657" s="5" t="n">
        <f aca="false">IF(I657="","",J657)</f>
        <v>648</v>
      </c>
      <c r="B657" s="83" t="n">
        <f aca="false">IF(I657="","",INDEX(J_TGL,I657))</f>
        <v>46233</v>
      </c>
      <c r="C657" s="5" t="str">
        <f aca="false">IF(I657="","",INDEX(J_NO,I657))</f>
        <v>JU-0974</v>
      </c>
      <c r="D657" s="5" t="str">
        <f aca="false">IF(I657="","",INDEX(J_KET,I657))</f>
        <v>Gaji direktur Kopi Parang 2026 *ralat penarikan laba by owner</v>
      </c>
      <c r="E657" s="5" t="str">
        <f aca="false">IF(I657="","",IF(INDEX(J_DEB,I657)=$C$3,INDEX(J_KRE,I657),INDEX(J_DEB,I657)))</f>
        <v>Prive</v>
      </c>
      <c r="F657" s="44" t="n">
        <f aca="false">IF(I657="","",IF(INDEX(J_DEB,I657)=$C$3,INDEX(J_NOM,I657),0))</f>
        <v>0</v>
      </c>
      <c r="G657" s="44" t="n">
        <f aca="false">IF(I657="","",IF(INDEX(J_KRE,I657)=$C$3,INDEX(J_NOM,I657),0))</f>
        <v>4000000</v>
      </c>
      <c r="H657" s="44" t="n">
        <f aca="false">IF(I657="","",N(H656)+IF($C$5="Debet",F657-G657,G657-F657))</f>
        <v>-25423473</v>
      </c>
      <c r="I657" s="66" t="n">
        <f aca="false">IF(J657&gt;$K$1,"",IFERROR(MATCH(J657,J_BB,0),""))</f>
        <v>974</v>
      </c>
      <c r="J657" s="66" t="n">
        <v>648</v>
      </c>
      <c r="K657" s="5"/>
    </row>
    <row r="658" customFormat="false" ht="15" hidden="false" customHeight="false" outlineLevel="0" collapsed="false">
      <c r="A658" s="5" t="n">
        <f aca="false">IF(I658="","",J658)</f>
        <v>649</v>
      </c>
      <c r="B658" s="83" t="n">
        <f aca="false">IF(I658="","",INDEX(J_TGL,I658))</f>
        <v>46233</v>
      </c>
      <c r="C658" s="5" t="str">
        <f aca="false">IF(I658="","",INDEX(J_NO,I658))</f>
        <v>JU-0975</v>
      </c>
      <c r="D658" s="5" t="str">
        <f aca="false">IF(I658="","",INDEX(J_KET,I658))</f>
        <v>nampan anyaman 24rb untuk event yoga tgl 2 &amp; ongkir next day 21rb</v>
      </c>
      <c r="E658" s="5" t="str">
        <f aca="false">IF(I658="","",IF(INDEX(J_DEB,I658)=$C$3,INDEX(J_KRE,I658),INDEX(J_DEB,I658)))</f>
        <v>Biaya Marketing &amp; Promosi</v>
      </c>
      <c r="F658" s="44" t="n">
        <f aca="false">IF(I658="","",IF(INDEX(J_DEB,I658)=$C$3,INDEX(J_NOM,I658),0))</f>
        <v>0</v>
      </c>
      <c r="G658" s="44" t="n">
        <f aca="false">IF(I658="","",IF(INDEX(J_KRE,I658)=$C$3,INDEX(J_NOM,I658),0))</f>
        <v>46500</v>
      </c>
      <c r="H658" s="44" t="n">
        <f aca="false">IF(I658="","",N(H657)+IF($C$5="Debet",F658-G658,G658-F658))</f>
        <v>-25469973</v>
      </c>
      <c r="I658" s="66" t="n">
        <f aca="false">IF(J658&gt;$K$1,"",IFERROR(MATCH(J658,J_BB,0),""))</f>
        <v>975</v>
      </c>
      <c r="J658" s="66" t="n">
        <v>649</v>
      </c>
      <c r="K658" s="5"/>
    </row>
    <row r="659" customFormat="false" ht="15" hidden="false" customHeight="false" outlineLevel="0" collapsed="false">
      <c r="A659" s="5" t="n">
        <f aca="false">IF(I659="","",J659)</f>
        <v>650</v>
      </c>
      <c r="B659" s="83" t="n">
        <f aca="false">IF(I659="","",INDEX(J_TGL,I659))</f>
        <v>46233</v>
      </c>
      <c r="C659" s="5" t="str">
        <f aca="false">IF(I659="","",INDEX(J_NO,I659))</f>
        <v>JU-0976</v>
      </c>
      <c r="D659" s="5" t="str">
        <f aca="false">IF(I659="","",INDEX(J_KET,I659))</f>
        <v>Susu freshmilk greenfield x 5 karton</v>
      </c>
      <c r="E659" s="5" t="str">
        <f aca="false">IF(I659="","",IF(INDEX(J_DEB,I659)=$C$3,INDEX(J_KRE,I659),INDEX(J_DEB,I659)))</f>
        <v>Biaya Bahan Baku</v>
      </c>
      <c r="F659" s="44" t="n">
        <f aca="false">IF(I659="","",IF(INDEX(J_DEB,I659)=$C$3,INDEX(J_NOM,I659),0))</f>
        <v>0</v>
      </c>
      <c r="G659" s="44" t="n">
        <f aca="false">IF(I659="","",IF(INDEX(J_KRE,I659)=$C$3,INDEX(J_NOM,I659),0))</f>
        <v>1235000</v>
      </c>
      <c r="H659" s="44" t="n">
        <f aca="false">IF(I659="","",N(H658)+IF($C$5="Debet",F659-G659,G659-F659))</f>
        <v>-26704973</v>
      </c>
      <c r="I659" s="66" t="n">
        <f aca="false">IF(J659&gt;$K$1,"",IFERROR(MATCH(J659,J_BB,0),""))</f>
        <v>976</v>
      </c>
      <c r="J659" s="66" t="n">
        <v>650</v>
      </c>
      <c r="K659" s="5"/>
    </row>
    <row r="660" customFormat="false" ht="15" hidden="false" customHeight="false" outlineLevel="0" collapsed="false">
      <c r="A660" s="5" t="n">
        <f aca="false">IF(I660="","",J660)</f>
        <v>651</v>
      </c>
      <c r="B660" s="83" t="n">
        <f aca="false">IF(I660="","",INDEX(J_TGL,I660))</f>
        <v>46234</v>
      </c>
      <c r="C660" s="5" t="str">
        <f aca="false">IF(I660="","",INDEX(J_NO,I660))</f>
        <v>JU-0977</v>
      </c>
      <c r="D660" s="5" t="str">
        <f aca="false">IF(I660="","",INDEX(J_KET,I660))</f>
        <v>Membayar gaji pegawai</v>
      </c>
      <c r="E660" s="5" t="str">
        <f aca="false">IF(I660="","",IF(INDEX(J_DEB,I660)=$C$3,INDEX(J_KRE,I660),INDEX(J_DEB,I660)))</f>
        <v>Beban Gaji</v>
      </c>
      <c r="F660" s="44" t="n">
        <f aca="false">IF(I660="","",IF(INDEX(J_DEB,I660)=$C$3,INDEX(J_NOM,I660),0))</f>
        <v>0</v>
      </c>
      <c r="G660" s="44" t="n">
        <f aca="false">IF(I660="","",IF(INDEX(J_KRE,I660)=$C$3,INDEX(J_NOM,I660),0))</f>
        <v>19867333</v>
      </c>
      <c r="H660" s="44" t="n">
        <f aca="false">IF(I660="","",N(H659)+IF($C$5="Debet",F660-G660,G660-F660))</f>
        <v>-46572306</v>
      </c>
      <c r="I660" s="66" t="n">
        <f aca="false">IF(J660&gt;$K$1,"",IFERROR(MATCH(J660,J_BB,0),""))</f>
        <v>977</v>
      </c>
      <c r="J660" s="66" t="n">
        <v>651</v>
      </c>
      <c r="K660" s="5"/>
    </row>
    <row r="661" customFormat="false" ht="15" hidden="false" customHeight="false" outlineLevel="0" collapsed="false">
      <c r="A661" s="5" t="n">
        <f aca="false">IF(I661="","",J661)</f>
        <v>652</v>
      </c>
      <c r="B661" s="83" t="n">
        <f aca="false">IF(I661="","",INDEX(J_TGL,I661))</f>
        <v>46234</v>
      </c>
      <c r="C661" s="5" t="str">
        <f aca="false">IF(I661="","",INDEX(J_NO,I661))</f>
        <v>JU-0978</v>
      </c>
      <c r="D661" s="5" t="str">
        <f aca="false">IF(I661="","",INDEX(J_KET,I661))</f>
        <v>Cicilan kasbon rangga</v>
      </c>
      <c r="E661" s="5" t="str">
        <f aca="false">IF(I661="","",IF(INDEX(J_DEB,I661)=$C$3,INDEX(J_KRE,I661),INDEX(J_DEB,I661)))</f>
        <v>Piutang Lainnya</v>
      </c>
      <c r="F661" s="44" t="n">
        <f aca="false">IF(I661="","",IF(INDEX(J_DEB,I661)=$C$3,INDEX(J_NOM,I661),0))</f>
        <v>333333</v>
      </c>
      <c r="G661" s="44" t="n">
        <f aca="false">IF(I661="","",IF(INDEX(J_KRE,I661)=$C$3,INDEX(J_NOM,I661),0))</f>
        <v>0</v>
      </c>
      <c r="H661" s="44" t="n">
        <f aca="false">IF(I661="","",N(H660)+IF($C$5="Debet",F661-G661,G661-F661))</f>
        <v>-46238973</v>
      </c>
      <c r="I661" s="66" t="n">
        <f aca="false">IF(J661&gt;$K$1,"",IFERROR(MATCH(J661,J_BB,0),""))</f>
        <v>978</v>
      </c>
      <c r="J661" s="66" t="n">
        <v>652</v>
      </c>
      <c r="K661" s="5"/>
    </row>
    <row r="662" customFormat="false" ht="15" hidden="false" customHeight="false" outlineLevel="0" collapsed="false">
      <c r="A662" s="5" t="n">
        <f aca="false">IF(I662="","",J662)</f>
        <v>653</v>
      </c>
      <c r="B662" s="83" t="n">
        <f aca="false">IF(I662="","",INDEX(J_TGL,I662))</f>
        <v>46234</v>
      </c>
      <c r="C662" s="5" t="str">
        <f aca="false">IF(I662="","",INDEX(J_NO,I662))</f>
        <v>JU-0979</v>
      </c>
      <c r="D662" s="5" t="str">
        <f aca="false">IF(I662="","",INDEX(J_KET,I662))</f>
        <v>Biaya flip untuk transfer gaji</v>
      </c>
      <c r="E662" s="5" t="str">
        <f aca="false">IF(I662="","",IF(INDEX(J_DEB,I662)=$C$3,INDEX(J_KRE,I662),INDEX(J_DEB,I662)))</f>
        <v>Biaya Lainnya</v>
      </c>
      <c r="F662" s="44" t="n">
        <f aca="false">IF(I662="","",IF(INDEX(J_DEB,I662)=$C$3,INDEX(J_NOM,I662),0))</f>
        <v>0</v>
      </c>
      <c r="G662" s="44" t="n">
        <f aca="false">IF(I662="","",IF(INDEX(J_KRE,I662)=$C$3,INDEX(J_NOM,I662),0))</f>
        <v>13977</v>
      </c>
      <c r="H662" s="44" t="n">
        <f aca="false">IF(I662="","",N(H661)+IF($C$5="Debet",F662-G662,G662-F662))</f>
        <v>-46252950</v>
      </c>
      <c r="I662" s="66" t="n">
        <f aca="false">IF(J662&gt;$K$1,"",IFERROR(MATCH(J662,J_BB,0),""))</f>
        <v>979</v>
      </c>
      <c r="J662" s="66" t="n">
        <v>653</v>
      </c>
      <c r="K662" s="5"/>
    </row>
    <row r="663" customFormat="false" ht="15" hidden="false" customHeight="false" outlineLevel="0" collapsed="false">
      <c r="A663" s="5" t="n">
        <f aca="false">IF(I663="","",J663)</f>
        <v>654</v>
      </c>
      <c r="B663" s="83" t="n">
        <f aca="false">IF(I663="","",INDEX(J_TGL,I663))</f>
        <v>46234</v>
      </c>
      <c r="C663" s="5" t="str">
        <f aca="false">IF(I663="","",INDEX(J_NO,I663))</f>
        <v>JU-0980</v>
      </c>
      <c r="D663" s="5" t="str">
        <f aca="false">IF(I663="","",INDEX(J_KET,I663))</f>
        <v>Tiramisu 3 batch 12, 18, 24 Juli 24pcs</v>
      </c>
      <c r="E663" s="5" t="str">
        <f aca="false">IF(I663="","",IF(INDEX(J_DEB,I663)=$C$3,INDEX(J_KRE,I663),INDEX(J_DEB,I663)))</f>
        <v>Biaya Bahan Baku</v>
      </c>
      <c r="F663" s="44" t="n">
        <f aca="false">IF(I663="","",IF(INDEX(J_DEB,I663)=$C$3,INDEX(J_NOM,I663),0))</f>
        <v>0</v>
      </c>
      <c r="G663" s="44" t="n">
        <f aca="false">IF(I663="","",IF(INDEX(J_KRE,I663)=$C$3,INDEX(J_NOM,I663),0))</f>
        <v>320000</v>
      </c>
      <c r="H663" s="44" t="n">
        <f aca="false">IF(I663="","",N(H662)+IF($C$5="Debet",F663-G663,G663-F663))</f>
        <v>-46572950</v>
      </c>
      <c r="I663" s="66" t="n">
        <f aca="false">IF(J663&gt;$K$1,"",IFERROR(MATCH(J663,J_BB,0),""))</f>
        <v>980</v>
      </c>
      <c r="J663" s="66" t="n">
        <v>654</v>
      </c>
      <c r="K663" s="5"/>
    </row>
    <row r="664" customFormat="false" ht="15" hidden="false" customHeight="false" outlineLevel="0" collapsed="false">
      <c r="A664" s="5" t="n">
        <f aca="false">IF(I664="","",J664)</f>
        <v>655</v>
      </c>
      <c r="B664" s="83" t="n">
        <f aca="false">IF(I664="","",INDEX(J_TGL,I664))</f>
        <v>46234</v>
      </c>
      <c r="C664" s="5" t="str">
        <f aca="false">IF(I664="","",INDEX(J_NO,I664))</f>
        <v>JU-0981</v>
      </c>
      <c r="D664" s="5" t="str">
        <f aca="false">IF(I664="","",INDEX(J_KET,I664))</f>
        <v>Unlock water x 13 galon nota tgl 17/7</v>
      </c>
      <c r="E664" s="5" t="str">
        <f aca="false">IF(I664="","",IF(INDEX(J_DEB,I664)=$C$3,INDEX(J_KRE,I664),INDEX(J_DEB,I664)))</f>
        <v>Biaya Bahan Baku</v>
      </c>
      <c r="F664" s="44" t="n">
        <f aca="false">IF(I664="","",IF(INDEX(J_DEB,I664)=$C$3,INDEX(J_NOM,I664),0))</f>
        <v>0</v>
      </c>
      <c r="G664" s="44" t="n">
        <f aca="false">IF(I664="","",IF(INDEX(J_KRE,I664)=$C$3,INDEX(J_NOM,I664),0))</f>
        <v>247000</v>
      </c>
      <c r="H664" s="44" t="n">
        <f aca="false">IF(I664="","",N(H663)+IF($C$5="Debet",F664-G664,G664-F664))</f>
        <v>-46819950</v>
      </c>
      <c r="I664" s="66" t="n">
        <f aca="false">IF(J664&gt;$K$1,"",IFERROR(MATCH(J664,J_BB,0),""))</f>
        <v>981</v>
      </c>
      <c r="J664" s="66" t="n">
        <v>655</v>
      </c>
      <c r="K664" s="5"/>
    </row>
    <row r="665" customFormat="false" ht="15" hidden="false" customHeight="false" outlineLevel="0" collapsed="false">
      <c r="A665" s="5" t="n">
        <f aca="false">IF(I665="","",J665)</f>
        <v>656</v>
      </c>
      <c r="B665" s="83" t="n">
        <f aca="false">IF(I665="","",INDEX(J_TGL,I665))</f>
        <v>46234</v>
      </c>
      <c r="C665" s="5" t="str">
        <f aca="false">IF(I665="","",INDEX(J_NO,I665))</f>
        <v>JU-0982</v>
      </c>
      <c r="D665" s="5" t="str">
        <f aca="false">IF(I665="","",INDEX(J_KET,I665))</f>
        <v>Pengeluaran pajak bunga rekening bank BCA</v>
      </c>
      <c r="E665" s="5" t="str">
        <f aca="false">IF(I665="","",IF(INDEX(J_DEB,I665)=$C$3,INDEX(J_KRE,I665),INDEX(J_DEB,I665)))</f>
        <v>Biaya Lainnya</v>
      </c>
      <c r="F665" s="44" t="n">
        <f aca="false">IF(I665="","",IF(INDEX(J_DEB,I665)=$C$3,INDEX(J_NOM,I665),0))</f>
        <v>0</v>
      </c>
      <c r="G665" s="44" t="n">
        <f aca="false">IF(I665="","",IF(INDEX(J_KRE,I665)=$C$3,INDEX(J_NOM,I665),0))</f>
        <v>225</v>
      </c>
      <c r="H665" s="44" t="n">
        <f aca="false">IF(I665="","",N(H664)+IF($C$5="Debet",F665-G665,G665-F665))</f>
        <v>-46820175</v>
      </c>
      <c r="I665" s="66" t="n">
        <f aca="false">IF(J665&gt;$K$1,"",IFERROR(MATCH(J665,J_BB,0),""))</f>
        <v>982</v>
      </c>
      <c r="J665" s="66" t="n">
        <v>656</v>
      </c>
      <c r="K665" s="5"/>
    </row>
    <row r="666" customFormat="false" ht="15" hidden="false" customHeight="false" outlineLevel="0" collapsed="false">
      <c r="A666" s="5" t="n">
        <f aca="false">IF(I666="","",J666)</f>
        <v>657</v>
      </c>
      <c r="B666" s="83" t="n">
        <f aca="false">IF(I666="","",INDEX(J_TGL,I666))</f>
        <v>46234</v>
      </c>
      <c r="C666" s="5" t="str">
        <f aca="false">IF(I666="","",INDEX(J_NO,I666))</f>
        <v>JU-0983</v>
      </c>
      <c r="D666" s="5" t="str">
        <f aca="false">IF(I666="","",INDEX(J_KET,I666))</f>
        <v>Pendapatan bunga rekening bank BCA</v>
      </c>
      <c r="E666" s="5" t="str">
        <f aca="false">IF(I666="","",IF(INDEX(J_DEB,I666)=$C$3,INDEX(J_KRE,I666),INDEX(J_DEB,I666)))</f>
        <v>Pendapatan Lainnya</v>
      </c>
      <c r="F666" s="44" t="n">
        <f aca="false">IF(I666="","",IF(INDEX(J_DEB,I666)=$C$3,INDEX(J_NOM,I666),0))</f>
        <v>1127</v>
      </c>
      <c r="G666" s="44" t="n">
        <f aca="false">IF(I666="","",IF(INDEX(J_KRE,I666)=$C$3,INDEX(J_NOM,I666),0))</f>
        <v>0</v>
      </c>
      <c r="H666" s="44" t="n">
        <f aca="false">IF(I666="","",N(H665)+IF($C$5="Debet",F666-G666,G666-F666))</f>
        <v>-46819048</v>
      </c>
      <c r="I666" s="66" t="n">
        <f aca="false">IF(J666&gt;$K$1,"",IFERROR(MATCH(J666,J_BB,0),""))</f>
        <v>983</v>
      </c>
      <c r="J666" s="66" t="n">
        <v>657</v>
      </c>
      <c r="K666" s="5"/>
    </row>
    <row r="667" customFormat="false" ht="15" hidden="false" customHeight="false" outlineLevel="0" collapsed="false">
      <c r="A667" s="5" t="n">
        <f aca="false">IF(I667="","",J667)</f>
        <v>658</v>
      </c>
      <c r="B667" s="83" t="n">
        <f aca="false">IF(I667="","",INDEX(J_TGL,I667))</f>
        <v>46234</v>
      </c>
      <c r="C667" s="5" t="str">
        <f aca="false">IF(I667="","",INDEX(J_NO,I667))</f>
        <v>JU-0984</v>
      </c>
      <c r="D667" s="5" t="str">
        <f aca="false">IF(I667="","",INDEX(J_KET,I667))</f>
        <v>Menerima pelunasan piutang Einstein tagihan Juli nota Kopi Parang</v>
      </c>
      <c r="E667" s="5" t="str">
        <f aca="false">IF(I667="","",IF(INDEX(J_DEB,I667)=$C$3,INDEX(J_KRE,I667),INDEX(J_DEB,I667)))</f>
        <v>Piutang Lainnya</v>
      </c>
      <c r="F667" s="44" t="n">
        <f aca="false">IF(I667="","",IF(INDEX(J_DEB,I667)=$C$3,INDEX(J_NOM,I667),0))</f>
        <v>583800</v>
      </c>
      <c r="G667" s="44" t="n">
        <f aca="false">IF(I667="","",IF(INDEX(J_KRE,I667)=$C$3,INDEX(J_NOM,I667),0))</f>
        <v>0</v>
      </c>
      <c r="H667" s="44" t="n">
        <f aca="false">IF(I667="","",N(H666)+IF($C$5="Debet",F667-G667,G667-F667))</f>
        <v>-46235248</v>
      </c>
      <c r="I667" s="66" t="n">
        <f aca="false">IF(J667&gt;$K$1,"",IFERROR(MATCH(J667,J_BB,0),""))</f>
        <v>984</v>
      </c>
      <c r="J667" s="66" t="n">
        <v>658</v>
      </c>
      <c r="K667" s="5"/>
    </row>
    <row r="668" customFormat="false" ht="15" hidden="false" customHeight="false" outlineLevel="0" collapsed="false">
      <c r="A668" s="5" t="n">
        <f aca="false">IF(I668="","",J668)</f>
        <v>659</v>
      </c>
      <c r="B668" s="83" t="n">
        <f aca="false">IF(I668="","",INDEX(J_TGL,I668))</f>
        <v>46234</v>
      </c>
      <c r="C668" s="5" t="str">
        <f aca="false">IF(I668="","",INDEX(J_NO,I668))</f>
        <v>JU-0985</v>
      </c>
      <c r="D668" s="5" t="str">
        <f aca="false">IF(I668="","",INDEX(J_KET,I668))</f>
        <v>Nasi gudeg 100 box @15rb/porsi</v>
      </c>
      <c r="E668" s="5" t="str">
        <f aca="false">IF(I668="","",IF(INDEX(J_DEB,I668)=$C$3,INDEX(J_KRE,I668),INDEX(J_DEB,I668)))</f>
        <v>Dana Sosial &amp; CSR</v>
      </c>
      <c r="F668" s="44" t="n">
        <f aca="false">IF(I668="","",IF(INDEX(J_DEB,I668)=$C$3,INDEX(J_NOM,I668),0))</f>
        <v>0</v>
      </c>
      <c r="G668" s="44" t="n">
        <f aca="false">IF(I668="","",IF(INDEX(J_KRE,I668)=$C$3,INDEX(J_NOM,I668),0))</f>
        <v>1500000</v>
      </c>
      <c r="H668" s="44" t="n">
        <f aca="false">IF(I668="","",N(H667)+IF($C$5="Debet",F668-G668,G668-F668))</f>
        <v>-47735248</v>
      </c>
      <c r="I668" s="66" t="n">
        <f aca="false">IF(J668&gt;$K$1,"",IFERROR(MATCH(J668,J_BB,0),""))</f>
        <v>985</v>
      </c>
      <c r="J668" s="66" t="n">
        <v>659</v>
      </c>
      <c r="K668" s="5"/>
    </row>
    <row r="669" customFormat="false" ht="15" hidden="false" customHeight="false" outlineLevel="0" collapsed="false">
      <c r="A669" s="5" t="n">
        <f aca="false">IF(I669="","",J669)</f>
        <v>660</v>
      </c>
      <c r="B669" s="83" t="n">
        <f aca="false">IF(I669="","",INDEX(J_TGL,I669))</f>
        <v>46234</v>
      </c>
      <c r="C669" s="5" t="str">
        <f aca="false">IF(I669="","",INDEX(J_NO,I669))</f>
        <v>JU-0986</v>
      </c>
      <c r="D669" s="5" t="str">
        <f aca="false">IF(I669="","",INDEX(J_KET,I669))</f>
        <v>Tagihan listrik Juli 2026</v>
      </c>
      <c r="E669" s="5" t="str">
        <f aca="false">IF(I669="","",IF(INDEX(J_DEB,I669)=$C$3,INDEX(J_KRE,I669),INDEX(J_DEB,I669)))</f>
        <v>Biaya Tagihan Bulanan</v>
      </c>
      <c r="F669" s="44" t="n">
        <f aca="false">IF(I669="","",IF(INDEX(J_DEB,I669)=$C$3,INDEX(J_NOM,I669),0))</f>
        <v>0</v>
      </c>
      <c r="G669" s="44" t="n">
        <f aca="false">IF(I669="","",IF(INDEX(J_KRE,I669)=$C$3,INDEX(J_NOM,I669),0))</f>
        <v>4286399</v>
      </c>
      <c r="H669" s="44" t="n">
        <f aca="false">IF(I669="","",N(H668)+IF($C$5="Debet",F669-G669,G669-F669))</f>
        <v>-52021647</v>
      </c>
      <c r="I669" s="66" t="n">
        <f aca="false">IF(J669&gt;$K$1,"",IFERROR(MATCH(J669,J_BB,0),""))</f>
        <v>986</v>
      </c>
      <c r="J669" s="66" t="n">
        <v>660</v>
      </c>
      <c r="K669" s="5"/>
    </row>
    <row r="670" customFormat="false" ht="15" hidden="false" customHeight="false" outlineLevel="0" collapsed="false">
      <c r="A670" s="5" t="n">
        <f aca="false">IF(I670="","",J670)</f>
        <v>661</v>
      </c>
      <c r="B670" s="83" t="n">
        <f aca="false">IF(I670="","",INDEX(J_TGL,I670))</f>
        <v>46234</v>
      </c>
      <c r="C670" s="5" t="str">
        <f aca="false">IF(I670="","",INDEX(J_NO,I670))</f>
        <v>JU-0987</v>
      </c>
      <c r="D670" s="5" t="str">
        <f aca="false">IF(I670="","",INDEX(J_KET,I670))</f>
        <v>Tagihan telepon Juli 2026</v>
      </c>
      <c r="E670" s="5" t="str">
        <f aca="false">IF(I670="","",IF(INDEX(J_DEB,I670)=$C$3,INDEX(J_KRE,I670),INDEX(J_DEB,I670)))</f>
        <v>Biaya Tagihan Bulanan</v>
      </c>
      <c r="F670" s="44" t="n">
        <f aca="false">IF(I670="","",IF(INDEX(J_DEB,I670)=$C$3,INDEX(J_NOM,I670),0))</f>
        <v>0</v>
      </c>
      <c r="G670" s="44" t="n">
        <f aca="false">IF(I670="","",IF(INDEX(J_KRE,I670)=$C$3,INDEX(J_NOM,I670),0))</f>
        <v>56891</v>
      </c>
      <c r="H670" s="44" t="n">
        <f aca="false">IF(I670="","",N(H669)+IF($C$5="Debet",F670-G670,G670-F670))</f>
        <v>-52078538</v>
      </c>
      <c r="I670" s="66" t="n">
        <f aca="false">IF(J670&gt;$K$1,"",IFERROR(MATCH(J670,J_BB,0),""))</f>
        <v>987</v>
      </c>
      <c r="J670" s="66" t="n">
        <v>661</v>
      </c>
      <c r="K670" s="5"/>
    </row>
    <row r="671" customFormat="false" ht="15" hidden="false" customHeight="false" outlineLevel="0" collapsed="false">
      <c r="A671" s="5" t="n">
        <f aca="false">IF(I671="","",J671)</f>
        <v>662</v>
      </c>
      <c r="B671" s="83" t="n">
        <f aca="false">IF(I671="","",INDEX(J_TGL,I671))</f>
        <v>46234</v>
      </c>
      <c r="C671" s="5" t="str">
        <f aca="false">IF(I671="","",INDEX(J_NO,I671))</f>
        <v>JU-0988</v>
      </c>
      <c r="D671" s="5" t="str">
        <f aca="false">IF(I671="","",INDEX(J_KET,I671))</f>
        <v>Tagihan internet Juli 2026</v>
      </c>
      <c r="E671" s="5" t="str">
        <f aca="false">IF(I671="","",IF(INDEX(J_DEB,I671)=$C$3,INDEX(J_KRE,I671),INDEX(J_DEB,I671)))</f>
        <v>Biaya Tagihan Bulanan</v>
      </c>
      <c r="F671" s="44" t="n">
        <f aca="false">IF(I671="","",IF(INDEX(J_DEB,I671)=$C$3,INDEX(J_NOM,I671),0))</f>
        <v>0</v>
      </c>
      <c r="G671" s="44" t="n">
        <f aca="false">IF(I671="","",IF(INDEX(J_KRE,I671)=$C$3,INDEX(J_NOM,I671),0))</f>
        <v>386450</v>
      </c>
      <c r="H671" s="44" t="n">
        <f aca="false">IF(I671="","",N(H670)+IF($C$5="Debet",F671-G671,G671-F671))</f>
        <v>-52464988</v>
      </c>
      <c r="I671" s="66" t="n">
        <f aca="false">IF(J671&gt;$K$1,"",IFERROR(MATCH(J671,J_BB,0),""))</f>
        <v>988</v>
      </c>
      <c r="J671" s="66" t="n">
        <v>662</v>
      </c>
      <c r="K671" s="5"/>
    </row>
    <row r="672" customFormat="false" ht="15" hidden="false" customHeight="false" outlineLevel="0" collapsed="false">
      <c r="A672" s="5" t="n">
        <f aca="false">IF(I672="","",J672)</f>
        <v>663</v>
      </c>
      <c r="B672" s="83" t="n">
        <f aca="false">IF(I672="","",INDEX(J_TGL,I672))</f>
        <v>46234</v>
      </c>
      <c r="C672" s="5" t="str">
        <f aca="false">IF(I672="","",INDEX(J_NO,I672))</f>
        <v>JU-0989</v>
      </c>
      <c r="D672" s="5" t="str">
        <f aca="false">IF(I672="","",INDEX(J_KET,I672))</f>
        <v>Pembayaran pajak restoran bulan Juli</v>
      </c>
      <c r="E672" s="5" t="str">
        <f aca="false">IF(I672="","",IF(INDEX(J_DEB,I672)=$C$3,INDEX(J_KRE,I672),INDEX(J_DEB,I672)))</f>
        <v>Pajak Restoran</v>
      </c>
      <c r="F672" s="44" t="n">
        <f aca="false">IF(I672="","",IF(INDEX(J_DEB,I672)=$C$3,INDEX(J_NOM,I672),0))</f>
        <v>0</v>
      </c>
      <c r="G672" s="44" t="n">
        <f aca="false">IF(I672="","",IF(INDEX(J_KRE,I672)=$C$3,INDEX(J_NOM,I672),0))</f>
        <v>2094000</v>
      </c>
      <c r="H672" s="44" t="n">
        <f aca="false">IF(I672="","",N(H671)+IF($C$5="Debet",F672-G672,G672-F672))</f>
        <v>-54558988</v>
      </c>
      <c r="I672" s="66" t="n">
        <f aca="false">IF(J672&gt;$K$1,"",IFERROR(MATCH(J672,J_BB,0),""))</f>
        <v>989</v>
      </c>
      <c r="J672" s="66" t="n">
        <v>663</v>
      </c>
      <c r="K672" s="5"/>
    </row>
    <row r="673" customFormat="false" ht="15" hidden="false" customHeight="false" outlineLevel="0" collapsed="false">
      <c r="A673" s="5" t="n">
        <f aca="false">IF(I673="","",J673)</f>
        <v>664</v>
      </c>
      <c r="B673" s="83" t="n">
        <f aca="false">IF(I673="","",INDEX(J_TGL,I673))</f>
        <v>46234</v>
      </c>
      <c r="C673" s="5" t="str">
        <f aca="false">IF(I673="","",INDEX(J_NO,I673))</f>
        <v>JU-0990</v>
      </c>
      <c r="D673" s="5" t="str">
        <f aca="false">IF(I673="","",INDEX(J_KET,I673))</f>
        <v>Tambahan biaya administrasi bank utk pembayaran pajak restoran</v>
      </c>
      <c r="E673" s="5" t="str">
        <f aca="false">IF(I673="","",IF(INDEX(J_DEB,I673)=$C$3,INDEX(J_KRE,I673),INDEX(J_DEB,I673)))</f>
        <v>Biaya Lainnya</v>
      </c>
      <c r="F673" s="44" t="n">
        <f aca="false">IF(I673="","",IF(INDEX(J_DEB,I673)=$C$3,INDEX(J_NOM,I673),0))</f>
        <v>0</v>
      </c>
      <c r="G673" s="44" t="n">
        <f aca="false">IF(I673="","",IF(INDEX(J_KRE,I673)=$C$3,INDEX(J_NOM,I673),0))</f>
        <v>5000</v>
      </c>
      <c r="H673" s="44" t="n">
        <f aca="false">IF(I673="","",N(H672)+IF($C$5="Debet",F673-G673,G673-F673))</f>
        <v>-54563988</v>
      </c>
      <c r="I673" s="66" t="n">
        <f aca="false">IF(J673&gt;$K$1,"",IFERROR(MATCH(J673,J_BB,0),""))</f>
        <v>990</v>
      </c>
      <c r="J673" s="66" t="n">
        <v>664</v>
      </c>
      <c r="K673" s="5"/>
    </row>
    <row r="674" customFormat="false" ht="15" hidden="false" customHeight="false" outlineLevel="0" collapsed="false">
      <c r="A674" s="5" t="n">
        <f aca="false">IF(I674="","",J674)</f>
        <v>665</v>
      </c>
      <c r="B674" s="83" t="n">
        <f aca="false">IF(I674="","",INDEX(J_TGL,I674))</f>
        <v>46234</v>
      </c>
      <c r="C674" s="5" t="str">
        <f aca="false">IF(I674="","",INDEX(J_NO,I674))</f>
        <v>JU-0991</v>
      </c>
      <c r="D674" s="5" t="str">
        <f aca="false">IF(I674="","",INDEX(J_KET,I674))</f>
        <v>Unlock water</v>
      </c>
      <c r="E674" s="5" t="str">
        <f aca="false">IF(I674="","",IF(INDEX(J_DEB,I674)=$C$3,INDEX(J_KRE,I674),INDEX(J_DEB,I674)))</f>
        <v>Biaya Bahan Baku</v>
      </c>
      <c r="F674" s="44" t="n">
        <f aca="false">IF(I674="","",IF(INDEX(J_DEB,I674)=$C$3,INDEX(J_NOM,I674),0))</f>
        <v>0</v>
      </c>
      <c r="G674" s="44" t="n">
        <f aca="false">IF(I674="","",IF(INDEX(J_KRE,I674)=$C$3,INDEX(J_NOM,I674),0))</f>
        <v>266000</v>
      </c>
      <c r="H674" s="44" t="n">
        <f aca="false">IF(I674="","",N(H673)+IF($C$5="Debet",F674-G674,G674-F674))</f>
        <v>-54829988</v>
      </c>
      <c r="I674" s="66" t="n">
        <f aca="false">IF(J674&gt;$K$1,"",IFERROR(MATCH(J674,J_BB,0),""))</f>
        <v>991</v>
      </c>
      <c r="J674" s="66" t="n">
        <v>665</v>
      </c>
      <c r="K674" s="5"/>
    </row>
    <row r="675" customFormat="false" ht="15" hidden="false" customHeight="false" outlineLevel="0" collapsed="false">
      <c r="A675" s="5" t="n">
        <f aca="false">IF(I675="","",J675)</f>
        <v>666</v>
      </c>
      <c r="B675" s="83" t="n">
        <f aca="false">IF(I675="","",INDEX(J_TGL,I675))</f>
        <v>46234</v>
      </c>
      <c r="C675" s="5" t="str">
        <f aca="false">IF(I675="","",INDEX(J_NO,I675))</f>
        <v>JU-0992</v>
      </c>
      <c r="D675" s="5" t="str">
        <f aca="false">IF(I675="","",INDEX(J_KET,I675))</f>
        <v>botol kaca kombucha 330ml x 30 pcs dg ongkir 60k</v>
      </c>
      <c r="E675" s="5" t="str">
        <f aca="false">IF(I675="","",IF(INDEX(J_DEB,I675)=$C$3,INDEX(J_KRE,I675),INDEX(J_DEB,I675)))</f>
        <v>Biaya Penyajian</v>
      </c>
      <c r="F675" s="44" t="n">
        <f aca="false">IF(I675="","",IF(INDEX(J_DEB,I675)=$C$3,INDEX(J_NOM,I675),0))</f>
        <v>0</v>
      </c>
      <c r="G675" s="44" t="n">
        <f aca="false">IF(I675="","",IF(INDEX(J_KRE,I675)=$C$3,INDEX(J_NOM,I675),0))</f>
        <v>318500</v>
      </c>
      <c r="H675" s="44" t="n">
        <f aca="false">IF(I675="","",N(H674)+IF($C$5="Debet",F675-G675,G675-F675))</f>
        <v>-55148488</v>
      </c>
      <c r="I675" s="66" t="n">
        <f aca="false">IF(J675&gt;$K$1,"",IFERROR(MATCH(J675,J_BB,0),""))</f>
        <v>992</v>
      </c>
      <c r="J675" s="66" t="n">
        <v>666</v>
      </c>
      <c r="K675" s="5"/>
    </row>
    <row r="676" customFormat="false" ht="15" hidden="false" customHeight="false" outlineLevel="0" collapsed="false">
      <c r="A676" s="5" t="n">
        <f aca="false">IF(I676="","",J676)</f>
        <v>667</v>
      </c>
      <c r="B676" s="83" t="n">
        <f aca="false">IF(I676="","",INDEX(J_TGL,I676))</f>
        <v>46234</v>
      </c>
      <c r="C676" s="5" t="str">
        <f aca="false">IF(I676="","",INDEX(J_NO,I676))</f>
        <v>JU-0993</v>
      </c>
      <c r="D676" s="5" t="str">
        <f aca="false">IF(I676="","",INDEX(J_KET,I676))</f>
        <v>Einstein pinjam untuk beli nasi box 100 porsi (CSR Yantos &amp; Eins)</v>
      </c>
      <c r="E676" s="5" t="str">
        <f aca="false">IF(I676="","",IF(INDEX(J_DEB,I676)=$C$3,INDEX(J_KRE,I676),INDEX(J_DEB,I676)))</f>
        <v>Piutang Lainnya</v>
      </c>
      <c r="F676" s="44" t="n">
        <f aca="false">IF(I676="","",IF(INDEX(J_DEB,I676)=$C$3,INDEX(J_NOM,I676),0))</f>
        <v>0</v>
      </c>
      <c r="G676" s="44" t="n">
        <f aca="false">IF(I676="","",IF(INDEX(J_KRE,I676)=$C$3,INDEX(J_NOM,I676),0))</f>
        <v>1500000</v>
      </c>
      <c r="H676" s="44" t="n">
        <f aca="false">IF(I676="","",N(H675)+IF($C$5="Debet",F676-G676,G676-F676))</f>
        <v>-56648488</v>
      </c>
      <c r="I676" s="66" t="n">
        <f aca="false">IF(J676&gt;$K$1,"",IFERROR(MATCH(J676,J_BB,0),""))</f>
        <v>993</v>
      </c>
      <c r="J676" s="66" t="n">
        <v>667</v>
      </c>
      <c r="K676" s="5"/>
    </row>
    <row r="677" customFormat="false" ht="15" hidden="false" customHeight="false" outlineLevel="0" collapsed="false">
      <c r="A677" s="5" t="n">
        <f aca="false">IF(I677="","",J677)</f>
        <v>668</v>
      </c>
      <c r="B677" s="83" t="n">
        <f aca="false">IF(I677="","",INDEX(J_TGL,I677))</f>
        <v>46234</v>
      </c>
      <c r="C677" s="5" t="str">
        <f aca="false">IF(I677="","",INDEX(J_NO,I677))</f>
        <v>JU-0996</v>
      </c>
      <c r="D677" s="5" t="str">
        <f aca="false">IF(I677="","",INDEX(J_KET,I677))</f>
        <v>Realisasi EDC/QRIS omzet bulan Juli</v>
      </c>
      <c r="E677" s="5" t="str">
        <f aca="false">IF(I677="","",IF(INDEX(J_DEB,I677)=$C$3,INDEX(J_KRE,I677),INDEX(J_DEB,I677)))</f>
        <v>Piutang Usaha Cafe</v>
      </c>
      <c r="F677" s="44" t="n">
        <f aca="false">IF(I677="","",IF(INDEX(J_DEB,I677)=$C$3,INDEX(J_NOM,I677),0))</f>
        <v>69038181</v>
      </c>
      <c r="G677" s="44" t="n">
        <f aca="false">IF(I677="","",IF(INDEX(J_KRE,I677)=$C$3,INDEX(J_NOM,I677),0))</f>
        <v>0</v>
      </c>
      <c r="H677" s="44" t="n">
        <f aca="false">IF(I677="","",N(H676)+IF($C$5="Debet",F677-G677,G677-F677))</f>
        <v>12389693</v>
      </c>
      <c r="I677" s="66" t="n">
        <f aca="false">IF(J677&gt;$K$1,"",IFERROR(MATCH(J677,J_BB,0),""))</f>
        <v>996</v>
      </c>
      <c r="J677" s="66" t="n">
        <v>668</v>
      </c>
      <c r="K677" s="5"/>
    </row>
    <row r="678" customFormat="false" ht="15" hidden="false" customHeight="false" outlineLevel="0" collapsed="false">
      <c r="A678" s="5" t="n">
        <f aca="false">IF(I678="","",J678)</f>
        <v>669</v>
      </c>
      <c r="B678" s="83" t="n">
        <f aca="false">IF(I678="","",INDEX(J_TGL,I678))</f>
        <v>46235</v>
      </c>
      <c r="C678" s="5" t="str">
        <f aca="false">IF(I678="","",INDEX(J_NO,I678))</f>
        <v>JU-1002</v>
      </c>
      <c r="D678" s="5" t="str">
        <f aca="false">IF(I678="","",INDEX(J_KET,I678))</f>
        <v>Pindah dana ke BCA dari tunai (FM tukar uang)</v>
      </c>
      <c r="E678" s="5" t="str">
        <f aca="false">IF(I678="","",IF(INDEX(J_DEB,I678)=$C$3,INDEX(J_KRE,I678),INDEX(J_DEB,I678)))</f>
        <v>Kas Tunai</v>
      </c>
      <c r="F678" s="44" t="n">
        <f aca="false">IF(I678="","",IF(INDEX(J_DEB,I678)=$C$3,INDEX(J_NOM,I678),0))</f>
        <v>7000000</v>
      </c>
      <c r="G678" s="44" t="n">
        <f aca="false">IF(I678="","",IF(INDEX(J_KRE,I678)=$C$3,INDEX(J_NOM,I678),0))</f>
        <v>0</v>
      </c>
      <c r="H678" s="44" t="n">
        <f aca="false">IF(I678="","",N(H677)+IF($C$5="Debet",F678-G678,G678-F678))</f>
        <v>19389693</v>
      </c>
      <c r="I678" s="66" t="n">
        <f aca="false">IF(J678&gt;$K$1,"",IFERROR(MATCH(J678,J_BB,0),""))</f>
        <v>1002</v>
      </c>
      <c r="J678" s="66" t="n">
        <v>669</v>
      </c>
      <c r="K678" s="5"/>
    </row>
    <row r="679" customFormat="false" ht="15" hidden="false" customHeight="false" outlineLevel="0" collapsed="false">
      <c r="A679" s="5" t="n">
        <f aca="false">IF(I679="","",J679)</f>
        <v>670</v>
      </c>
      <c r="B679" s="83" t="n">
        <f aca="false">IF(I679="","",INDEX(J_TGL,I679))</f>
        <v>46235</v>
      </c>
      <c r="C679" s="5" t="str">
        <f aca="false">IF(I679="","",INDEX(J_NO,I679))</f>
        <v>JU-1003</v>
      </c>
      <c r="D679" s="5" t="str">
        <f aca="false">IF(I679="","",INDEX(J_KET,I679))</f>
        <v>Biaya admin bank BCA</v>
      </c>
      <c r="E679" s="5" t="str">
        <f aca="false">IF(I679="","",IF(INDEX(J_DEB,I679)=$C$3,INDEX(J_KRE,I679),INDEX(J_DEB,I679)))</f>
        <v>Biaya Lainnya</v>
      </c>
      <c r="F679" s="44" t="n">
        <f aca="false">IF(I679="","",IF(INDEX(J_DEB,I679)=$C$3,INDEX(J_NOM,I679),0))</f>
        <v>0</v>
      </c>
      <c r="G679" s="44" t="n">
        <f aca="false">IF(I679="","",IF(INDEX(J_KRE,I679)=$C$3,INDEX(J_NOM,I679),0))</f>
        <v>10000</v>
      </c>
      <c r="H679" s="44" t="n">
        <f aca="false">IF(I679="","",N(H678)+IF($C$5="Debet",F679-G679,G679-F679))</f>
        <v>19379693</v>
      </c>
      <c r="I679" s="66" t="n">
        <f aca="false">IF(J679&gt;$K$1,"",IFERROR(MATCH(J679,J_BB,0),""))</f>
        <v>1003</v>
      </c>
      <c r="J679" s="66" t="n">
        <v>670</v>
      </c>
      <c r="K679" s="5"/>
    </row>
    <row r="680" customFormat="false" ht="15" hidden="false" customHeight="false" outlineLevel="0" collapsed="false">
      <c r="A680" s="5" t="n">
        <f aca="false">IF(I680="","",J680)</f>
        <v>671</v>
      </c>
      <c r="B680" s="83" t="n">
        <f aca="false">IF(I680="","",INDEX(J_TGL,I680))</f>
        <v>46236</v>
      </c>
      <c r="C680" s="5" t="str">
        <f aca="false">IF(I680="","",INDEX(J_NO,I680))</f>
        <v>JU-1004</v>
      </c>
      <c r="D680" s="5" t="str">
        <f aca="false">IF(I680="","",INDEX(J_KET,I680))</f>
        <v>Pendapatan dari pax event Yoga</v>
      </c>
      <c r="E680" s="5" t="str">
        <f aca="false">IF(I680="","",IF(INDEX(J_DEB,I680)=$C$3,INDEX(J_KRE,I680),INDEX(J_DEB,I680)))</f>
        <v>Pendapatan non Cafe</v>
      </c>
      <c r="F680" s="44" t="n">
        <f aca="false">IF(I680="","",IF(INDEX(J_DEB,I680)=$C$3,INDEX(J_NOM,I680),0))</f>
        <v>1410000</v>
      </c>
      <c r="G680" s="44" t="n">
        <f aca="false">IF(I680="","",IF(INDEX(J_KRE,I680)=$C$3,INDEX(J_NOM,I680),0))</f>
        <v>0</v>
      </c>
      <c r="H680" s="44" t="n">
        <f aca="false">IF(I680="","",N(H679)+IF($C$5="Debet",F680-G680,G680-F680))</f>
        <v>20789693</v>
      </c>
      <c r="I680" s="66" t="n">
        <f aca="false">IF(J680&gt;$K$1,"",IFERROR(MATCH(J680,J_BB,0),""))</f>
        <v>1004</v>
      </c>
      <c r="J680" s="66" t="n">
        <v>671</v>
      </c>
      <c r="K680" s="5"/>
    </row>
    <row r="681" customFormat="false" ht="15" hidden="false" customHeight="false" outlineLevel="0" collapsed="false">
      <c r="A681" s="5" t="n">
        <f aca="false">IF(I681="","",J681)</f>
        <v>672</v>
      </c>
      <c r="B681" s="83" t="n">
        <f aca="false">IF(I681="","",INDEX(J_TGL,I681))</f>
        <v>46236</v>
      </c>
      <c r="C681" s="5" t="str">
        <f aca="false">IF(I681="","",INDEX(J_NO,I681))</f>
        <v>JU-1005</v>
      </c>
      <c r="D681" s="5" t="str">
        <f aca="false">IF(I681="","",INDEX(J_KET,I681))</f>
        <v>Pembayaran aktifasi event dari brand OPPO (event Yoga tgl 2)</v>
      </c>
      <c r="E681" s="5" t="str">
        <f aca="false">IF(I681="","",IF(INDEX(J_DEB,I681)=$C$3,INDEX(J_KRE,I681),INDEX(J_DEB,I681)))</f>
        <v>Pendapatan non Cafe</v>
      </c>
      <c r="F681" s="44" t="n">
        <f aca="false">IF(I681="","",IF(INDEX(J_DEB,I681)=$C$3,INDEX(J_NOM,I681),0))</f>
        <v>200000</v>
      </c>
      <c r="G681" s="44" t="n">
        <f aca="false">IF(I681="","",IF(INDEX(J_KRE,I681)=$C$3,INDEX(J_NOM,I681),0))</f>
        <v>0</v>
      </c>
      <c r="H681" s="44" t="n">
        <f aca="false">IF(I681="","",N(H680)+IF($C$5="Debet",F681-G681,G681-F681))</f>
        <v>20989693</v>
      </c>
      <c r="I681" s="66" t="n">
        <f aca="false">IF(J681&gt;$K$1,"",IFERROR(MATCH(J681,J_BB,0),""))</f>
        <v>1005</v>
      </c>
      <c r="J681" s="66" t="n">
        <v>672</v>
      </c>
      <c r="K681" s="5"/>
    </row>
    <row r="682" customFormat="false" ht="15" hidden="false" customHeight="false" outlineLevel="0" collapsed="false">
      <c r="A682" s="5" t="n">
        <f aca="false">IF(I682="","",J682)</f>
        <v>673</v>
      </c>
      <c r="B682" s="83" t="n">
        <f aca="false">IF(I682="","",INDEX(J_TGL,I682))</f>
        <v>46237</v>
      </c>
      <c r="C682" s="5" t="str">
        <f aca="false">IF(I682="","",INDEX(J_NO,I682))</f>
        <v>JU-1006</v>
      </c>
      <c r="D682" s="5" t="str">
        <f aca="false">IF(I682="","",INDEX(J_KET,I682))</f>
        <v>Pindah dana ke BCA dari tunai (Afa tukar uang)</v>
      </c>
      <c r="E682" s="5" t="str">
        <f aca="false">IF(I682="","",IF(INDEX(J_DEB,I682)=$C$3,INDEX(J_KRE,I682),INDEX(J_DEB,I682)))</f>
        <v>Kas Tunai</v>
      </c>
      <c r="F682" s="44" t="n">
        <f aca="false">IF(I682="","",IF(INDEX(J_DEB,I682)=$C$3,INDEX(J_NOM,I682),0))</f>
        <v>4000000</v>
      </c>
      <c r="G682" s="44" t="n">
        <f aca="false">IF(I682="","",IF(INDEX(J_KRE,I682)=$C$3,INDEX(J_NOM,I682),0))</f>
        <v>0</v>
      </c>
      <c r="H682" s="44" t="n">
        <f aca="false">IF(I682="","",N(H681)+IF($C$5="Debet",F682-G682,G682-F682))</f>
        <v>24989693</v>
      </c>
      <c r="I682" s="66" t="n">
        <f aca="false">IF(J682&gt;$K$1,"",IFERROR(MATCH(J682,J_BB,0),""))</f>
        <v>1006</v>
      </c>
      <c r="J682" s="66" t="n">
        <v>673</v>
      </c>
      <c r="K682" s="5"/>
    </row>
    <row r="683" customFormat="false" ht="15" hidden="false" customHeight="false" outlineLevel="0" collapsed="false">
      <c r="A683" s="5" t="n">
        <f aca="false">IF(I683="","",J683)</f>
        <v>674</v>
      </c>
      <c r="B683" s="83" t="n">
        <f aca="false">IF(I683="","",INDEX(J_TGL,I683))</f>
        <v>46237</v>
      </c>
      <c r="C683" s="5" t="str">
        <f aca="false">IF(I683="","",INDEX(J_NO,I683))</f>
        <v>JU-1007</v>
      </c>
      <c r="D683" s="5" t="str">
        <f aca="false">IF(I683="","",INDEX(J_KET,I683))</f>
        <v>Pembayaran DP snack kukusan event Yoga @2k x 30pcs</v>
      </c>
      <c r="E683" s="5" t="str">
        <f aca="false">IF(I683="","",IF(INDEX(J_DEB,I683)=$C$3,INDEX(J_KRE,I683),INDEX(J_DEB,I683)))</f>
        <v>Biaya Marketing &amp; Promosi</v>
      </c>
      <c r="F683" s="44" t="n">
        <f aca="false">IF(I683="","",IF(INDEX(J_DEB,I683)=$C$3,INDEX(J_NOM,I683),0))</f>
        <v>0</v>
      </c>
      <c r="G683" s="44" t="n">
        <f aca="false">IF(I683="","",IF(INDEX(J_KRE,I683)=$C$3,INDEX(J_NOM,I683),0))</f>
        <v>20000</v>
      </c>
      <c r="H683" s="44" t="n">
        <f aca="false">IF(I683="","",N(H682)+IF($C$5="Debet",F683-G683,G683-F683))</f>
        <v>24969693</v>
      </c>
      <c r="I683" s="66" t="n">
        <f aca="false">IF(J683&gt;$K$1,"",IFERROR(MATCH(J683,J_BB,0),""))</f>
        <v>1007</v>
      </c>
      <c r="J683" s="66" t="n">
        <v>674</v>
      </c>
      <c r="K683" s="5"/>
    </row>
    <row r="684" customFormat="false" ht="15" hidden="false" customHeight="false" outlineLevel="0" collapsed="false">
      <c r="A684" s="5" t="n">
        <f aca="false">IF(I684="","",J684)</f>
        <v>675</v>
      </c>
      <c r="B684" s="83" t="n">
        <f aca="false">IF(I684="","",INDEX(J_TGL,I684))</f>
        <v>46237</v>
      </c>
      <c r="C684" s="5" t="str">
        <f aca="false">IF(I684="","",INDEX(J_NO,I684))</f>
        <v>JU-1008</v>
      </c>
      <c r="D684" s="5" t="str">
        <f aca="false">IF(I684="","",INDEX(J_KET,I684))</f>
        <v>Biaya transfer flip</v>
      </c>
      <c r="E684" s="5" t="str">
        <f aca="false">IF(I684="","",IF(INDEX(J_DEB,I684)=$C$3,INDEX(J_KRE,I684),INDEX(J_DEB,I684)))</f>
        <v>Biaya Lainnya</v>
      </c>
      <c r="F684" s="44" t="n">
        <f aca="false">IF(I684="","",IF(INDEX(J_DEB,I684)=$C$3,INDEX(J_NOM,I684),0))</f>
        <v>0</v>
      </c>
      <c r="G684" s="44" t="n">
        <f aca="false">IF(I684="","",IF(INDEX(J_KRE,I684)=$C$3,INDEX(J_NOM,I684),0))</f>
        <v>355</v>
      </c>
      <c r="H684" s="44" t="n">
        <f aca="false">IF(I684="","",N(H683)+IF($C$5="Debet",F684-G684,G684-F684))</f>
        <v>24969338</v>
      </c>
      <c r="I684" s="66" t="n">
        <f aca="false">IF(J684&gt;$K$1,"",IFERROR(MATCH(J684,J_BB,0),""))</f>
        <v>1008</v>
      </c>
      <c r="J684" s="66" t="n">
        <v>675</v>
      </c>
      <c r="K684" s="5"/>
    </row>
    <row r="685" customFormat="false" ht="15" hidden="false" customHeight="false" outlineLevel="0" collapsed="false">
      <c r="A685" s="5" t="n">
        <f aca="false">IF(I685="","",J685)</f>
        <v>676</v>
      </c>
      <c r="B685" s="83" t="n">
        <f aca="false">IF(I685="","",INDEX(J_TGL,I685))</f>
        <v>46237</v>
      </c>
      <c r="C685" s="5" t="str">
        <f aca="false">IF(I685="","",INDEX(J_NO,I685))</f>
        <v>JU-1010</v>
      </c>
      <c r="D685" s="5" t="str">
        <f aca="false">IF(I685="","",INDEX(J_KET,I685))</f>
        <v>Pindah dana ke bank dari kas warung (kembalian belanja)</v>
      </c>
      <c r="E685" s="5" t="str">
        <f aca="false">IF(I685="","",IF(INDEX(J_DEB,I685)=$C$3,INDEX(J_KRE,I685),INDEX(J_DEB,I685)))</f>
        <v>Kas Warung</v>
      </c>
      <c r="F685" s="44" t="n">
        <f aca="false">IF(I685="","",IF(INDEX(J_DEB,I685)=$C$3,INDEX(J_NOM,I685),0))</f>
        <v>26000</v>
      </c>
      <c r="G685" s="44" t="n">
        <f aca="false">IF(I685="","",IF(INDEX(J_KRE,I685)=$C$3,INDEX(J_NOM,I685),0))</f>
        <v>0</v>
      </c>
      <c r="H685" s="44" t="n">
        <f aca="false">IF(I685="","",N(H684)+IF($C$5="Debet",F685-G685,G685-F685))</f>
        <v>24995338</v>
      </c>
      <c r="I685" s="66" t="n">
        <f aca="false">IF(J685&gt;$K$1,"",IFERROR(MATCH(J685,J_BB,0),""))</f>
        <v>1010</v>
      </c>
      <c r="J685" s="66" t="n">
        <v>676</v>
      </c>
      <c r="K685" s="5"/>
    </row>
    <row r="686" customFormat="false" ht="15" hidden="false" customHeight="false" outlineLevel="0" collapsed="false">
      <c r="A686" s="5" t="n">
        <f aca="false">IF(I686="","",J686)</f>
        <v>677</v>
      </c>
      <c r="B686" s="83" t="n">
        <f aca="false">IF(I686="","",INDEX(J_TGL,I686))</f>
        <v>46237</v>
      </c>
      <c r="C686" s="5" t="str">
        <f aca="false">IF(I686="","",INDEX(J_NO,I686))</f>
        <v>JU-1012</v>
      </c>
      <c r="D686" s="5" t="str">
        <f aca="false">IF(I686="","",INDEX(J_KET,I686))</f>
        <v>Kipas pendingin ruangan air cooler 15L</v>
      </c>
      <c r="E686" s="5" t="str">
        <f aca="false">IF(I686="","",IF(INDEX(J_DEB,I686)=$C$3,INDEX(J_KRE,I686),INDEX(J_DEB,I686)))</f>
        <v>Peralatan</v>
      </c>
      <c r="F686" s="44" t="n">
        <f aca="false">IF(I686="","",IF(INDEX(J_DEB,I686)=$C$3,INDEX(J_NOM,I686),0))</f>
        <v>0</v>
      </c>
      <c r="G686" s="44" t="n">
        <f aca="false">IF(I686="","",IF(INDEX(J_KRE,I686)=$C$3,INDEX(J_NOM,I686),0))</f>
        <v>1071787</v>
      </c>
      <c r="H686" s="44" t="n">
        <f aca="false">IF(I686="","",N(H685)+IF($C$5="Debet",F686-G686,G686-F686))</f>
        <v>23923551</v>
      </c>
      <c r="I686" s="66" t="n">
        <f aca="false">IF(J686&gt;$K$1,"",IFERROR(MATCH(J686,J_BB,0),""))</f>
        <v>1012</v>
      </c>
      <c r="J686" s="66" t="n">
        <v>677</v>
      </c>
      <c r="K686" s="5"/>
    </row>
    <row r="687" customFormat="false" ht="15" hidden="false" customHeight="false" outlineLevel="0" collapsed="false">
      <c r="A687" s="5" t="n">
        <f aca="false">IF(I687="","",J687)</f>
        <v>678</v>
      </c>
      <c r="B687" s="83" t="n">
        <f aca="false">IF(I687="","",INDEX(J_TGL,I687))</f>
        <v>46238</v>
      </c>
      <c r="C687" s="5" t="str">
        <f aca="false">IF(I687="","",INDEX(J_NO,I687))</f>
        <v>JU-1020</v>
      </c>
      <c r="D687" s="5" t="str">
        <f aca="false">IF(I687="","",INDEX(J_KET,I687))</f>
        <v>UHT Ultramilk x 20 karton</v>
      </c>
      <c r="E687" s="5" t="str">
        <f aca="false">IF(I687="","",IF(INDEX(J_DEB,I687)=$C$3,INDEX(J_KRE,I687),INDEX(J_DEB,I687)))</f>
        <v>Biaya Bahan Baku</v>
      </c>
      <c r="F687" s="44" t="n">
        <f aca="false">IF(I687="","",IF(INDEX(J_DEB,I687)=$C$3,INDEX(J_NOM,I687),0))</f>
        <v>0</v>
      </c>
      <c r="G687" s="44" t="n">
        <f aca="false">IF(I687="","",IF(INDEX(J_KRE,I687)=$C$3,INDEX(J_NOM,I687),0))</f>
        <v>4460000</v>
      </c>
      <c r="H687" s="44" t="n">
        <f aca="false">IF(I687="","",N(H686)+IF($C$5="Debet",F687-G687,G687-F687))</f>
        <v>19463551</v>
      </c>
      <c r="I687" s="66" t="n">
        <f aca="false">IF(J687&gt;$K$1,"",IFERROR(MATCH(J687,J_BB,0),""))</f>
        <v>1020</v>
      </c>
      <c r="J687" s="66" t="n">
        <v>678</v>
      </c>
      <c r="K687" s="5"/>
    </row>
    <row r="688" customFormat="false" ht="15" hidden="false" customHeight="false" outlineLevel="0" collapsed="false">
      <c r="A688" s="5" t="n">
        <f aca="false">IF(I688="","",J688)</f>
        <v>679</v>
      </c>
      <c r="B688" s="83" t="n">
        <f aca="false">IF(I688="","",INDEX(J_TGL,I688))</f>
        <v>46238</v>
      </c>
      <c r="C688" s="5" t="str">
        <f aca="false">IF(I688="","",INDEX(J_NO,I688))</f>
        <v>JU-1021</v>
      </c>
      <c r="D688" s="5" t="str">
        <f aca="false">IF(I688="","",INDEX(J_KET,I688))</f>
        <v>Pemasukan transaksi lewat Grab Merchant</v>
      </c>
      <c r="E688" s="5" t="str">
        <f aca="false">IF(I688="","",IF(INDEX(J_DEB,I688)=$C$3,INDEX(J_KRE,I688),INDEX(J_DEB,I688)))</f>
        <v>Pendapatan Cafe</v>
      </c>
      <c r="F688" s="44" t="n">
        <f aca="false">IF(I688="","",IF(INDEX(J_DEB,I688)=$C$3,INDEX(J_NOM,I688),0))</f>
        <v>48800</v>
      </c>
      <c r="G688" s="44" t="n">
        <f aca="false">IF(I688="","",IF(INDEX(J_KRE,I688)=$C$3,INDEX(J_NOM,I688),0))</f>
        <v>0</v>
      </c>
      <c r="H688" s="44" t="n">
        <f aca="false">IF(I688="","",N(H687)+IF($C$5="Debet",F688-G688,G688-F688))</f>
        <v>19512351</v>
      </c>
      <c r="I688" s="66" t="n">
        <f aca="false">IF(J688&gt;$K$1,"",IFERROR(MATCH(J688,J_BB,0),""))</f>
        <v>1021</v>
      </c>
      <c r="J688" s="66" t="n">
        <v>679</v>
      </c>
      <c r="K688" s="5"/>
    </row>
    <row r="689" customFormat="false" ht="15" hidden="false" customHeight="false" outlineLevel="0" collapsed="false">
      <c r="A689" s="5" t="n">
        <f aca="false">IF(I689="","",J689)</f>
        <v>680</v>
      </c>
      <c r="B689" s="83" t="n">
        <f aca="false">IF(I689="","",INDEX(J_TGL,I689))</f>
        <v>46238</v>
      </c>
      <c r="C689" s="5" t="str">
        <f aca="false">IF(I689="","",INDEX(J_NO,I689))</f>
        <v>JU-1022</v>
      </c>
      <c r="D689" s="5" t="str">
        <f aca="false">IF(I689="","",INDEX(J_KET,I689))</f>
        <v>Papercup, kresek takeaway, tictas, saola</v>
      </c>
      <c r="E689" s="5" t="str">
        <f aca="false">IF(I689="","",IF(INDEX(J_DEB,I689)=$C$3,INDEX(J_KRE,I689),INDEX(J_DEB,I689)))</f>
        <v>Beban Perlengkapan</v>
      </c>
      <c r="F689" s="44" t="n">
        <f aca="false">IF(I689="","",IF(INDEX(J_DEB,I689)=$C$3,INDEX(J_NOM,I689),0))</f>
        <v>0</v>
      </c>
      <c r="G689" s="44" t="n">
        <f aca="false">IF(I689="","",IF(INDEX(J_KRE,I689)=$C$3,INDEX(J_NOM,I689),0))</f>
        <v>161000</v>
      </c>
      <c r="H689" s="44" t="n">
        <f aca="false">IF(I689="","",N(H688)+IF($C$5="Debet",F689-G689,G689-F689))</f>
        <v>19351351</v>
      </c>
      <c r="I689" s="66" t="n">
        <f aca="false">IF(J689&gt;$K$1,"",IFERROR(MATCH(J689,J_BB,0),""))</f>
        <v>1022</v>
      </c>
      <c r="J689" s="66" t="n">
        <v>680</v>
      </c>
      <c r="K689" s="5"/>
    </row>
    <row r="690" customFormat="false" ht="15" hidden="false" customHeight="false" outlineLevel="0" collapsed="false">
      <c r="A690" s="5" t="n">
        <f aca="false">IF(I690="","",J690)</f>
        <v>681</v>
      </c>
      <c r="B690" s="83" t="n">
        <f aca="false">IF(I690="","",INDEX(J_TGL,I690))</f>
        <v>46239</v>
      </c>
      <c r="C690" s="5" t="str">
        <f aca="false">IF(I690="","",INDEX(J_NO,I690))</f>
        <v>JU-1023</v>
      </c>
      <c r="D690" s="5" t="str">
        <f aca="false">IF(I690="","",INDEX(J_KET,I690))</f>
        <v>Pindah dana koreksi saldo</v>
      </c>
      <c r="E690" s="5" t="str">
        <f aca="false">IF(I690="","",IF(INDEX(J_DEB,I690)=$C$3,INDEX(J_KRE,I690),INDEX(J_DEB,I690)))</f>
        <v>Kas Tunai</v>
      </c>
      <c r="F690" s="44" t="n">
        <f aca="false">IF(I690="","",IF(INDEX(J_DEB,I690)=$C$3,INDEX(J_NOM,I690),0))</f>
        <v>0</v>
      </c>
      <c r="G690" s="44" t="n">
        <f aca="false">IF(I690="","",IF(INDEX(J_KRE,I690)=$C$3,INDEX(J_NOM,I690),0))</f>
        <v>3800000</v>
      </c>
      <c r="H690" s="44" t="n">
        <f aca="false">IF(I690="","",N(H689)+IF($C$5="Debet",F690-G690,G690-F690))</f>
        <v>15551351</v>
      </c>
      <c r="I690" s="66" t="n">
        <f aca="false">IF(J690&gt;$K$1,"",IFERROR(MATCH(J690,J_BB,0),""))</f>
        <v>1023</v>
      </c>
      <c r="J690" s="66" t="n">
        <v>681</v>
      </c>
      <c r="K690" s="5"/>
    </row>
    <row r="691" customFormat="false" ht="15" hidden="false" customHeight="false" outlineLevel="0" collapsed="false">
      <c r="A691" s="5" t="n">
        <f aca="false">IF(I691="","",J691)</f>
        <v>682</v>
      </c>
      <c r="B691" s="83" t="n">
        <f aca="false">IF(I691="","",INDEX(J_TGL,I691))</f>
        <v>46239</v>
      </c>
      <c r="C691" s="5" t="str">
        <f aca="false">IF(I691="","",INDEX(J_NO,I691))</f>
        <v>JU-1024</v>
      </c>
      <c r="D691" s="5" t="str">
        <f aca="false">IF(I691="","",INDEX(J_KET,I691))</f>
        <v>koreksi saldo kas bank</v>
      </c>
      <c r="E691" s="5" t="str">
        <f aca="false">IF(I691="","",IF(INDEX(J_DEB,I691)=$C$3,INDEX(J_KRE,I691),INDEX(J_DEB,I691)))</f>
        <v>Biaya Lainnya</v>
      </c>
      <c r="F691" s="44" t="n">
        <f aca="false">IF(I691="","",IF(INDEX(J_DEB,I691)=$C$3,INDEX(J_NOM,I691),0))</f>
        <v>0</v>
      </c>
      <c r="G691" s="44" t="n">
        <f aca="false">IF(I691="","",IF(INDEX(J_KRE,I691)=$C$3,INDEX(J_NOM,I691),0))</f>
        <v>373999</v>
      </c>
      <c r="H691" s="44" t="n">
        <f aca="false">IF(I691="","",N(H690)+IF($C$5="Debet",F691-G691,G691-F691))</f>
        <v>15177352</v>
      </c>
      <c r="I691" s="66" t="n">
        <f aca="false">IF(J691&gt;$K$1,"",IFERROR(MATCH(J691,J_BB,0),""))</f>
        <v>1024</v>
      </c>
      <c r="J691" s="66" t="n">
        <v>682</v>
      </c>
      <c r="K691" s="5"/>
    </row>
    <row r="692" customFormat="false" ht="15" hidden="false" customHeight="false" outlineLevel="0" collapsed="false">
      <c r="A692" s="5" t="n">
        <f aca="false">IF(I692="","",J692)</f>
        <v>683</v>
      </c>
      <c r="B692" s="83" t="n">
        <f aca="false">IF(I692="","",INDEX(J_TGL,I692))</f>
        <v>46239</v>
      </c>
      <c r="C692" s="5" t="str">
        <f aca="false">IF(I692="","",INDEX(J_NO,I692))</f>
        <v>JU-1026</v>
      </c>
      <c r="D692" s="5" t="str">
        <f aca="false">IF(I692="","",INDEX(J_KET,I692))</f>
        <v>HVS dan manual book cupping kopi</v>
      </c>
      <c r="E692" s="5" t="str">
        <f aca="false">IF(I692="","",IF(INDEX(J_DEB,I692)=$C$3,INDEX(J_KRE,I692),INDEX(J_DEB,I692)))</f>
        <v>Beban Perlengkapan</v>
      </c>
      <c r="F692" s="44" t="n">
        <f aca="false">IF(I692="","",IF(INDEX(J_DEB,I692)=$C$3,INDEX(J_NOM,I692),0))</f>
        <v>0</v>
      </c>
      <c r="G692" s="44" t="n">
        <f aca="false">IF(I692="","",IF(INDEX(J_KRE,I692)=$C$3,INDEX(J_NOM,I692),0))</f>
        <v>69000</v>
      </c>
      <c r="H692" s="44" t="n">
        <f aca="false">IF(I692="","",N(H691)+IF($C$5="Debet",F692-G692,G692-F692))</f>
        <v>15108352</v>
      </c>
      <c r="I692" s="66" t="n">
        <f aca="false">IF(J692&gt;$K$1,"",IFERROR(MATCH(J692,J_BB,0),""))</f>
        <v>1026</v>
      </c>
      <c r="J692" s="66" t="n">
        <v>683</v>
      </c>
      <c r="K692" s="5"/>
    </row>
    <row r="693" customFormat="false" ht="15" hidden="false" customHeight="false" outlineLevel="0" collapsed="false">
      <c r="A693" s="5" t="n">
        <f aca="false">IF(I693="","",J693)</f>
        <v>684</v>
      </c>
      <c r="B693" s="83" t="n">
        <f aca="false">IF(I693="","",INDEX(J_TGL,I693))</f>
        <v>46240</v>
      </c>
      <c r="C693" s="5" t="str">
        <f aca="false">IF(I693="","",INDEX(J_NO,I693))</f>
        <v>JU-1027</v>
      </c>
      <c r="D693" s="5" t="str">
        <f aca="false">IF(I693="","",INDEX(J_KET,I693))</f>
        <v>Pindah dana ke BCA dari tunai</v>
      </c>
      <c r="E693" s="5" t="str">
        <f aca="false">IF(I693="","",IF(INDEX(J_DEB,I693)=$C$3,INDEX(J_KRE,I693),INDEX(J_DEB,I693)))</f>
        <v>Kas Tunai</v>
      </c>
      <c r="F693" s="44" t="n">
        <f aca="false">IF(I693="","",IF(INDEX(J_DEB,I693)=$C$3,INDEX(J_NOM,I693),0))</f>
        <v>2000000</v>
      </c>
      <c r="G693" s="44" t="n">
        <f aca="false">IF(I693="","",IF(INDEX(J_KRE,I693)=$C$3,INDEX(J_NOM,I693),0))</f>
        <v>0</v>
      </c>
      <c r="H693" s="44" t="n">
        <f aca="false">IF(I693="","",N(H692)+IF($C$5="Debet",F693-G693,G693-F693))</f>
        <v>17108352</v>
      </c>
      <c r="I693" s="66" t="n">
        <f aca="false">IF(J693&gt;$K$1,"",IFERROR(MATCH(J693,J_BB,0),""))</f>
        <v>1027</v>
      </c>
      <c r="J693" s="66" t="n">
        <v>684</v>
      </c>
      <c r="K693" s="5"/>
    </row>
    <row r="694" customFormat="false" ht="15" hidden="false" customHeight="false" outlineLevel="0" collapsed="false">
      <c r="A694" s="5" t="n">
        <f aca="false">IF(I694="","",J694)</f>
        <v>685</v>
      </c>
      <c r="B694" s="83" t="n">
        <f aca="false">IF(I694="","",INDEX(J_TGL,I694))</f>
        <v>46240</v>
      </c>
      <c r="C694" s="5" t="str">
        <f aca="false">IF(I694="","",INDEX(J_NO,I694))</f>
        <v>JU-1029</v>
      </c>
      <c r="D694" s="5" t="str">
        <f aca="false">IF(I694="","",INDEX(J_KET,I694))</f>
        <v>Pindah dana ke BCA dari tunai (Belicia tuker)</v>
      </c>
      <c r="E694" s="5" t="str">
        <f aca="false">IF(I694="","",IF(INDEX(J_DEB,I694)=$C$3,INDEX(J_KRE,I694),INDEX(J_DEB,I694)))</f>
        <v>Kas Tunai</v>
      </c>
      <c r="F694" s="44" t="n">
        <f aca="false">IF(I694="","",IF(INDEX(J_DEB,I694)=$C$3,INDEX(J_NOM,I694),0))</f>
        <v>151000</v>
      </c>
      <c r="G694" s="44" t="n">
        <f aca="false">IF(I694="","",IF(INDEX(J_KRE,I694)=$C$3,INDEX(J_NOM,I694),0))</f>
        <v>0</v>
      </c>
      <c r="H694" s="44" t="n">
        <f aca="false">IF(I694="","",N(H693)+IF($C$5="Debet",F694-G694,G694-F694))</f>
        <v>17259352</v>
      </c>
      <c r="I694" s="66" t="n">
        <f aca="false">IF(J694&gt;$K$1,"",IFERROR(MATCH(J694,J_BB,0),""))</f>
        <v>1029</v>
      </c>
      <c r="J694" s="66" t="n">
        <v>685</v>
      </c>
      <c r="K694" s="5"/>
    </row>
    <row r="695" customFormat="false" ht="15" hidden="false" customHeight="false" outlineLevel="0" collapsed="false">
      <c r="A695" s="5" t="n">
        <f aca="false">IF(I695="","",J695)</f>
        <v>686</v>
      </c>
      <c r="B695" s="83" t="n">
        <f aca="false">IF(I695="","",INDEX(J_TGL,I695))</f>
        <v>46242</v>
      </c>
      <c r="C695" s="5" t="str">
        <f aca="false">IF(I695="","",INDEX(J_NO,I695))</f>
        <v>JU-1031</v>
      </c>
      <c r="D695" s="5" t="str">
        <f aca="false">IF(I695="","",INDEX(J_KET,I695))</f>
        <v>Pembayaran langganan musik spotify</v>
      </c>
      <c r="E695" s="5" t="str">
        <f aca="false">IF(I695="","",IF(INDEX(J_DEB,I695)=$C$3,INDEX(J_KRE,I695),INDEX(J_DEB,I695)))</f>
        <v>Biaya Tagihan Bulanan</v>
      </c>
      <c r="F695" s="44" t="n">
        <f aca="false">IF(I695="","",IF(INDEX(J_DEB,I695)=$C$3,INDEX(J_NOM,I695),0))</f>
        <v>0</v>
      </c>
      <c r="G695" s="44" t="n">
        <f aca="false">IF(I695="","",IF(INDEX(J_KRE,I695)=$C$3,INDEX(J_NOM,I695),0))</f>
        <v>119000</v>
      </c>
      <c r="H695" s="44" t="n">
        <f aca="false">IF(I695="","",N(H694)+IF($C$5="Debet",F695-G695,G695-F695))</f>
        <v>17140352</v>
      </c>
      <c r="I695" s="66" t="n">
        <f aca="false">IF(J695&gt;$K$1,"",IFERROR(MATCH(J695,J_BB,0),""))</f>
        <v>1031</v>
      </c>
      <c r="J695" s="66" t="n">
        <v>686</v>
      </c>
      <c r="K695" s="5"/>
    </row>
    <row r="696" customFormat="false" ht="15" hidden="false" customHeight="false" outlineLevel="0" collapsed="false">
      <c r="A696" s="5" t="n">
        <f aca="false">IF(I696="","",J696)</f>
        <v>687</v>
      </c>
      <c r="B696" s="83" t="n">
        <f aca="false">IF(I696="","",INDEX(J_TGL,I696))</f>
        <v>46242</v>
      </c>
      <c r="C696" s="5" t="str">
        <f aca="false">IF(I696="","",INDEX(J_NO,I696))</f>
        <v>JU-1032</v>
      </c>
      <c r="D696" s="5" t="str">
        <f aca="false">IF(I696="","",INDEX(J_KET,I696))</f>
        <v>top up nomor gopay akun spotify</v>
      </c>
      <c r="E696" s="5" t="str">
        <f aca="false">IF(I696="","",IF(INDEX(J_DEB,I696)=$C$3,INDEX(J_KRE,I696),INDEX(J_DEB,I696)))</f>
        <v>Biaya Lainnya</v>
      </c>
      <c r="F696" s="44" t="n">
        <f aca="false">IF(I696="","",IF(INDEX(J_DEB,I696)=$C$3,INDEX(J_NOM,I696),0))</f>
        <v>0</v>
      </c>
      <c r="G696" s="44" t="n">
        <f aca="false">IF(I696="","",IF(INDEX(J_KRE,I696)=$C$3,INDEX(J_NOM,I696),0))</f>
        <v>1000</v>
      </c>
      <c r="H696" s="44" t="n">
        <f aca="false">IF(I696="","",N(H695)+IF($C$5="Debet",F696-G696,G696-F696))</f>
        <v>17139352</v>
      </c>
      <c r="I696" s="66" t="n">
        <f aca="false">IF(J696&gt;$K$1,"",IFERROR(MATCH(J696,J_BB,0),""))</f>
        <v>1032</v>
      </c>
      <c r="J696" s="66" t="n">
        <v>687</v>
      </c>
      <c r="K696" s="5"/>
    </row>
    <row r="697" customFormat="false" ht="15" hidden="false" customHeight="false" outlineLevel="0" collapsed="false">
      <c r="A697" s="5" t="n">
        <f aca="false">IF(I697="","",J697)</f>
        <v>688</v>
      </c>
      <c r="B697" s="83" t="n">
        <f aca="false">IF(I697="","",INDEX(J_TGL,I697))</f>
        <v>46243</v>
      </c>
      <c r="C697" s="5" t="str">
        <f aca="false">IF(I697="","",INDEX(J_NO,I697))</f>
        <v>JU-1033</v>
      </c>
      <c r="D697" s="5" t="str">
        <f aca="false">IF(I697="","",INDEX(J_KET,I697))</f>
        <v>Pindah dana dari Bank ke Kas Warung ( refill dana darurat, beli regulator, duplikat kunci, tuker uang kasir )</v>
      </c>
      <c r="E697" s="5" t="str">
        <f aca="false">IF(I697="","",IF(INDEX(J_DEB,I697)=$C$3,INDEX(J_KRE,I697),INDEX(J_DEB,I697)))</f>
        <v>Kas Warung</v>
      </c>
      <c r="F697" s="44" t="n">
        <f aca="false">IF(I697="","",IF(INDEX(J_DEB,I697)=$C$3,INDEX(J_NOM,I697),0))</f>
        <v>0</v>
      </c>
      <c r="G697" s="44" t="n">
        <f aca="false">IF(I697="","",IF(INDEX(J_KRE,I697)=$C$3,INDEX(J_NOM,I697),0))</f>
        <v>870000</v>
      </c>
      <c r="H697" s="44" t="n">
        <f aca="false">IF(I697="","",N(H696)+IF($C$5="Debet",F697-G697,G697-F697))</f>
        <v>16269352</v>
      </c>
      <c r="I697" s="66" t="n">
        <f aca="false">IF(J697&gt;$K$1,"",IFERROR(MATCH(J697,J_BB,0),""))</f>
        <v>1033</v>
      </c>
      <c r="J697" s="66" t="n">
        <v>688</v>
      </c>
      <c r="K697" s="5"/>
    </row>
    <row r="698" customFormat="false" ht="15" hidden="false" customHeight="false" outlineLevel="0" collapsed="false">
      <c r="A698" s="5" t="n">
        <f aca="false">IF(I698="","",J698)</f>
        <v>689</v>
      </c>
      <c r="B698" s="83" t="n">
        <f aca="false">IF(I698="","",INDEX(J_TGL,I698))</f>
        <v>46243</v>
      </c>
      <c r="C698" s="5" t="str">
        <f aca="false">IF(I698="","",INDEX(J_NO,I698))</f>
        <v>JU-1034</v>
      </c>
      <c r="D698" s="5" t="str">
        <f aca="false">IF(I698="","",INDEX(J_KET,I698))</f>
        <v>Biaya transfer flip</v>
      </c>
      <c r="E698" s="5" t="str">
        <f aca="false">IF(I698="","",IF(INDEX(J_DEB,I698)=$C$3,INDEX(J_KRE,I698),INDEX(J_DEB,I698)))</f>
        <v>Biaya Lainnya</v>
      </c>
      <c r="F698" s="44" t="n">
        <f aca="false">IF(I698="","",IF(INDEX(J_DEB,I698)=$C$3,INDEX(J_NOM,I698),0))</f>
        <v>0</v>
      </c>
      <c r="G698" s="44" t="n">
        <f aca="false">IF(I698="","",IF(INDEX(J_KRE,I698)=$C$3,INDEX(J_NOM,I698),0))</f>
        <v>325</v>
      </c>
      <c r="H698" s="44" t="n">
        <f aca="false">IF(I698="","",N(H697)+IF($C$5="Debet",F698-G698,G698-F698))</f>
        <v>16269027</v>
      </c>
      <c r="I698" s="66" t="n">
        <f aca="false">IF(J698&gt;$K$1,"",IFERROR(MATCH(J698,J_BB,0),""))</f>
        <v>1034</v>
      </c>
      <c r="J698" s="66" t="n">
        <v>689</v>
      </c>
      <c r="K698" s="5"/>
    </row>
    <row r="699" customFormat="false" ht="15" hidden="false" customHeight="false" outlineLevel="0" collapsed="false">
      <c r="A699" s="5" t="n">
        <f aca="false">IF(I699="","",J699)</f>
        <v>690</v>
      </c>
      <c r="B699" s="83" t="n">
        <f aca="false">IF(I699="","",INDEX(J_TGL,I699))</f>
        <v>46244</v>
      </c>
      <c r="C699" s="5" t="str">
        <f aca="false">IF(I699="","",INDEX(J_NO,I699))</f>
        <v>JU-1035</v>
      </c>
      <c r="D699" s="5" t="str">
        <f aca="false">IF(I699="","",INDEX(J_KET,I699))</f>
        <v>Toples kaca untuk display buah dried x 6 pcs</v>
      </c>
      <c r="E699" s="5" t="str">
        <f aca="false">IF(I699="","",IF(INDEX(J_DEB,I699)=$C$3,INDEX(J_KRE,I699),INDEX(J_DEB,I699)))</f>
        <v>Beban Perlengkapan</v>
      </c>
      <c r="F699" s="44" t="n">
        <f aca="false">IF(I699="","",IF(INDEX(J_DEB,I699)=$C$3,INDEX(J_NOM,I699),0))</f>
        <v>0</v>
      </c>
      <c r="G699" s="44" t="n">
        <f aca="false">IF(I699="","",IF(INDEX(J_KRE,I699)=$C$3,INDEX(J_NOM,I699),0))</f>
        <v>109800</v>
      </c>
      <c r="H699" s="44" t="n">
        <f aca="false">IF(I699="","",N(H698)+IF($C$5="Debet",F699-G699,G699-F699))</f>
        <v>16159227</v>
      </c>
      <c r="I699" s="66" t="n">
        <f aca="false">IF(J699&gt;$K$1,"",IFERROR(MATCH(J699,J_BB,0),""))</f>
        <v>1035</v>
      </c>
      <c r="J699" s="66" t="n">
        <v>690</v>
      </c>
      <c r="K699" s="5"/>
    </row>
    <row r="700" customFormat="false" ht="15" hidden="false" customHeight="false" outlineLevel="0" collapsed="false">
      <c r="A700" s="5" t="n">
        <f aca="false">IF(I700="","",J700)</f>
        <v>691</v>
      </c>
      <c r="B700" s="83" t="n">
        <f aca="false">IF(I700="","",INDEX(J_TGL,I700))</f>
        <v>46244</v>
      </c>
      <c r="C700" s="5" t="str">
        <f aca="false">IF(I700="","",INDEX(J_NO,I700))</f>
        <v>JU-1037</v>
      </c>
      <c r="D700" s="5" t="str">
        <f aca="false">IF(I700="","",INDEX(J_KET,I700))</f>
        <v>Hario immersion dripper switch 02 V60 x 3 pcs</v>
      </c>
      <c r="E700" s="5" t="str">
        <f aca="false">IF(I700="","",IF(INDEX(J_DEB,I700)=$C$3,INDEX(J_KRE,I700),INDEX(J_DEB,I700)))</f>
        <v>Peralatan</v>
      </c>
      <c r="F700" s="44" t="n">
        <f aca="false">IF(I700="","",IF(INDEX(J_DEB,I700)=$C$3,INDEX(J_NOM,I700),0))</f>
        <v>0</v>
      </c>
      <c r="G700" s="44" t="n">
        <f aca="false">IF(I700="","",IF(INDEX(J_KRE,I700)=$C$3,INDEX(J_NOM,I700),0))</f>
        <v>2140800</v>
      </c>
      <c r="H700" s="44" t="n">
        <f aca="false">IF(I700="","",N(H699)+IF($C$5="Debet",F700-G700,G700-F700))</f>
        <v>14018427</v>
      </c>
      <c r="I700" s="66" t="n">
        <f aca="false">IF(J700&gt;$K$1,"",IFERROR(MATCH(J700,J_BB,0),""))</f>
        <v>1037</v>
      </c>
      <c r="J700" s="66" t="n">
        <v>691</v>
      </c>
      <c r="K700" s="5"/>
    </row>
    <row r="701" customFormat="false" ht="15" hidden="false" customHeight="false" outlineLevel="0" collapsed="false">
      <c r="A701" s="5" t="n">
        <f aca="false">IF(I701="","",J701)</f>
        <v>692</v>
      </c>
      <c r="B701" s="83" t="n">
        <f aca="false">IF(I701="","",INDEX(J_TGL,I701))</f>
        <v>46245</v>
      </c>
      <c r="C701" s="5" t="str">
        <f aca="false">IF(I701="","",INDEX(J_NO,I701))</f>
        <v>JU-1042</v>
      </c>
      <c r="D701" s="5" t="str">
        <f aca="false">IF(I701="","",INDEX(J_KET,I701))</f>
        <v>Tiramisu 2 batch 29 Juli &amp; 3 Agustus (return 3) 15 pcs</v>
      </c>
      <c r="E701" s="5" t="str">
        <f aca="false">IF(I701="","",IF(INDEX(J_DEB,I701)=$C$3,INDEX(J_KRE,I701),INDEX(J_DEB,I701)))</f>
        <v>Biaya Bahan Baku</v>
      </c>
      <c r="F701" s="44" t="n">
        <f aca="false">IF(I701="","",IF(INDEX(J_DEB,I701)=$C$3,INDEX(J_NOM,I701),0))</f>
        <v>0</v>
      </c>
      <c r="G701" s="44" t="n">
        <f aca="false">IF(I701="","",IF(INDEX(J_KRE,I701)=$C$3,INDEX(J_NOM,I701),0))</f>
        <v>200000</v>
      </c>
      <c r="H701" s="44" t="n">
        <f aca="false">IF(I701="","",N(H700)+IF($C$5="Debet",F701-G701,G701-F701))</f>
        <v>13818427</v>
      </c>
      <c r="I701" s="66" t="n">
        <f aca="false">IF(J701&gt;$K$1,"",IFERROR(MATCH(J701,J_BB,0),""))</f>
        <v>1042</v>
      </c>
      <c r="J701" s="66" t="n">
        <v>692</v>
      </c>
      <c r="K701" s="5"/>
    </row>
    <row r="702" customFormat="false" ht="15" hidden="false" customHeight="false" outlineLevel="0" collapsed="false">
      <c r="A702" s="5" t="n">
        <f aca="false">IF(I702="","",J702)</f>
        <v>693</v>
      </c>
      <c r="B702" s="83" t="n">
        <f aca="false">IF(I702="","",INDEX(J_TGL,I702))</f>
        <v>46245</v>
      </c>
      <c r="C702" s="5" t="str">
        <f aca="false">IF(I702="","",INDEX(J_NO,I702))</f>
        <v>JU-1043</v>
      </c>
      <c r="D702" s="5" t="str">
        <f aca="false">IF(I702="","",INDEX(J_KET,I702))</f>
        <v>Print poster menu "baru"</v>
      </c>
      <c r="E702" s="5" t="str">
        <f aca="false">IF(I702="","",IF(INDEX(J_DEB,I702)=$C$3,INDEX(J_KRE,I702),INDEX(J_DEB,I702)))</f>
        <v>Biaya Marketing &amp; Promosi</v>
      </c>
      <c r="F702" s="44" t="n">
        <f aca="false">IF(I702="","",IF(INDEX(J_DEB,I702)=$C$3,INDEX(J_NOM,I702),0))</f>
        <v>0</v>
      </c>
      <c r="G702" s="44" t="n">
        <f aca="false">IF(I702="","",IF(INDEX(J_KRE,I702)=$C$3,INDEX(J_NOM,I702),0))</f>
        <v>28500</v>
      </c>
      <c r="H702" s="44" t="n">
        <f aca="false">IF(I702="","",N(H701)+IF($C$5="Debet",F702-G702,G702-F702))</f>
        <v>13789927</v>
      </c>
      <c r="I702" s="66" t="n">
        <f aca="false">IF(J702&gt;$K$1,"",IFERROR(MATCH(J702,J_BB,0),""))</f>
        <v>1043</v>
      </c>
      <c r="J702" s="66" t="n">
        <v>693</v>
      </c>
      <c r="K702" s="5"/>
    </row>
    <row r="703" customFormat="false" ht="15" hidden="false" customHeight="false" outlineLevel="0" collapsed="false">
      <c r="A703" s="5" t="n">
        <f aca="false">IF(I703="","",J703)</f>
        <v>694</v>
      </c>
      <c r="B703" s="83" t="n">
        <f aca="false">IF(I703="","",INDEX(J_TGL,I703))</f>
        <v>46245</v>
      </c>
      <c r="C703" s="5" t="str">
        <f aca="false">IF(I703="","",INDEX(J_NO,I703))</f>
        <v>JU-1044</v>
      </c>
      <c r="D703" s="5" t="str">
        <f aca="false">IF(I703="","",INDEX(J_KET,I703))</f>
        <v>Spray pengusir tikus</v>
      </c>
      <c r="E703" s="5" t="str">
        <f aca="false">IF(I703="","",IF(INDEX(J_DEB,I703)=$C$3,INDEX(J_KRE,I703),INDEX(J_DEB,I703)))</f>
        <v>Beban Perlengkapan</v>
      </c>
      <c r="F703" s="44" t="n">
        <f aca="false">IF(I703="","",IF(INDEX(J_DEB,I703)=$C$3,INDEX(J_NOM,I703),0))</f>
        <v>0</v>
      </c>
      <c r="G703" s="44" t="n">
        <f aca="false">IF(I703="","",IF(INDEX(J_KRE,I703)=$C$3,INDEX(J_NOM,I703),0))</f>
        <v>65149</v>
      </c>
      <c r="H703" s="44" t="n">
        <f aca="false">IF(I703="","",N(H702)+IF($C$5="Debet",F703-G703,G703-F703))</f>
        <v>13724778</v>
      </c>
      <c r="I703" s="66" t="n">
        <f aca="false">IF(J703&gt;$K$1,"",IFERROR(MATCH(J703,J_BB,0),""))</f>
        <v>1044</v>
      </c>
      <c r="J703" s="66" t="n">
        <v>694</v>
      </c>
      <c r="K703" s="5"/>
    </row>
    <row r="704" customFormat="false" ht="15" hidden="false" customHeight="false" outlineLevel="0" collapsed="false">
      <c r="A704" s="5" t="n">
        <f aca="false">IF(I704="","",J704)</f>
        <v>695</v>
      </c>
      <c r="B704" s="83" t="n">
        <f aca="false">IF(I704="","",INDEX(J_TGL,I704))</f>
        <v>46245</v>
      </c>
      <c r="C704" s="5" t="str">
        <f aca="false">IF(I704="","",INDEX(J_NO,I704))</f>
        <v>JU-1045</v>
      </c>
      <c r="D704" s="5" t="str">
        <f aca="false">IF(I704="","",INDEX(J_KET,I704))</f>
        <v>Biji kopi/beans Yantos</v>
      </c>
      <c r="E704" s="5" t="str">
        <f aca="false">IF(I704="","",IF(INDEX(J_DEB,I704)=$C$3,INDEX(J_KRE,I704),INDEX(J_DEB,I704)))</f>
        <v>Biaya Bahan Baku</v>
      </c>
      <c r="F704" s="44" t="n">
        <f aca="false">IF(I704="","",IF(INDEX(J_DEB,I704)=$C$3,INDEX(J_NOM,I704),0))</f>
        <v>0</v>
      </c>
      <c r="G704" s="44" t="n">
        <f aca="false">IF(I704="","",IF(INDEX(J_KRE,I704)=$C$3,INDEX(J_NOM,I704),0))</f>
        <v>1325000</v>
      </c>
      <c r="H704" s="44" t="n">
        <f aca="false">IF(I704="","",N(H703)+IF($C$5="Debet",F704-G704,G704-F704))</f>
        <v>12399778</v>
      </c>
      <c r="I704" s="66" t="n">
        <f aca="false">IF(J704&gt;$K$1,"",IFERROR(MATCH(J704,J_BB,0),""))</f>
        <v>1045</v>
      </c>
      <c r="J704" s="66" t="n">
        <v>695</v>
      </c>
      <c r="K704" s="5"/>
    </row>
    <row r="705" customFormat="false" ht="15" hidden="false" customHeight="false" outlineLevel="0" collapsed="false">
      <c r="A705" s="5" t="n">
        <f aca="false">IF(I705="","",J705)</f>
        <v>696</v>
      </c>
      <c r="B705" s="83" t="n">
        <f aca="false">IF(I705="","",INDEX(J_TGL,I705))</f>
        <v>46245</v>
      </c>
      <c r="C705" s="5" t="str">
        <f aca="false">IF(I705="","",INDEX(J_NO,I705))</f>
        <v>JU-1046</v>
      </c>
      <c r="D705" s="5" t="str">
        <f aca="false">IF(I705="","",INDEX(J_KET,I705))</f>
        <v>Tiramisu 2 batch 8 &amp; 14 Agustus (return 9) 9 pcs</v>
      </c>
      <c r="E705" s="5" t="str">
        <f aca="false">IF(I705="","",IF(INDEX(J_DEB,I705)=$C$3,INDEX(J_KRE,I705),INDEX(J_DEB,I705)))</f>
        <v>Biaya Bahan Baku</v>
      </c>
      <c r="F705" s="44" t="n">
        <f aca="false">IF(I705="","",IF(INDEX(J_DEB,I705)=$C$3,INDEX(J_NOM,I705),0))</f>
        <v>0</v>
      </c>
      <c r="G705" s="44" t="n">
        <f aca="false">IF(I705="","",IF(INDEX(J_KRE,I705)=$C$3,INDEX(J_NOM,I705),0))</f>
        <v>120000</v>
      </c>
      <c r="H705" s="44" t="n">
        <f aca="false">IF(I705="","",N(H704)+IF($C$5="Debet",F705-G705,G705-F705))</f>
        <v>12279778</v>
      </c>
      <c r="I705" s="66" t="n">
        <f aca="false">IF(J705&gt;$K$1,"",IFERROR(MATCH(J705,J_BB,0),""))</f>
        <v>1046</v>
      </c>
      <c r="J705" s="66" t="n">
        <v>696</v>
      </c>
      <c r="K705" s="5"/>
    </row>
    <row r="706" customFormat="false" ht="15" hidden="false" customHeight="false" outlineLevel="0" collapsed="false">
      <c r="A706" s="5" t="n">
        <f aca="false">IF(I706="","",J706)</f>
        <v>697</v>
      </c>
      <c r="B706" s="83" t="n">
        <f aca="false">IF(I706="","",INDEX(J_TGL,I706))</f>
        <v>46246</v>
      </c>
      <c r="C706" s="5" t="str">
        <f aca="false">IF(I706="","",INDEX(J_NO,I706))</f>
        <v>JU-1047</v>
      </c>
      <c r="D706" s="5" t="str">
        <f aca="false">IF(I706="","",INDEX(J_KET,I706))</f>
        <v>Unlock water</v>
      </c>
      <c r="E706" s="5" t="str">
        <f aca="false">IF(I706="","",IF(INDEX(J_DEB,I706)=$C$3,INDEX(J_KRE,I706),INDEX(J_DEB,I706)))</f>
        <v>Biaya Bahan Baku</v>
      </c>
      <c r="F706" s="44" t="n">
        <f aca="false">IF(I706="","",IF(INDEX(J_DEB,I706)=$C$3,INDEX(J_NOM,I706),0))</f>
        <v>0</v>
      </c>
      <c r="G706" s="44" t="n">
        <f aca="false">IF(I706="","",IF(INDEX(J_KRE,I706)=$C$3,INDEX(J_NOM,I706),0))</f>
        <v>266000</v>
      </c>
      <c r="H706" s="44" t="n">
        <f aca="false">IF(I706="","",N(H705)+IF($C$5="Debet",F706-G706,G706-F706))</f>
        <v>12013778</v>
      </c>
      <c r="I706" s="66" t="n">
        <f aca="false">IF(J706&gt;$K$1,"",IFERROR(MATCH(J706,J_BB,0),""))</f>
        <v>1047</v>
      </c>
      <c r="J706" s="66" t="n">
        <v>697</v>
      </c>
      <c r="K706" s="5"/>
    </row>
    <row r="707" customFormat="false" ht="15" hidden="false" customHeight="false" outlineLevel="0" collapsed="false">
      <c r="A707" s="5" t="n">
        <f aca="false">IF(I707="","",J707)</f>
        <v>698</v>
      </c>
      <c r="B707" s="83" t="n">
        <f aca="false">IF(I707="","",INDEX(J_TGL,I707))</f>
        <v>46246</v>
      </c>
      <c r="C707" s="5" t="str">
        <f aca="false">IF(I707="","",INDEX(J_NO,I707))</f>
        <v>JU-1048</v>
      </c>
      <c r="D707" s="5" t="str">
        <f aca="false">IF(I707="","",INDEX(J_KET,I707))</f>
        <v>Pindah dana ke tunai dari BCA</v>
      </c>
      <c r="E707" s="5" t="str">
        <f aca="false">IF(I707="","",IF(INDEX(J_DEB,I707)=$C$3,INDEX(J_KRE,I707),INDEX(J_DEB,I707)))</f>
        <v>Kas Tunai</v>
      </c>
      <c r="F707" s="44" t="n">
        <f aca="false">IF(I707="","",IF(INDEX(J_DEB,I707)=$C$3,INDEX(J_NOM,I707),0))</f>
        <v>0</v>
      </c>
      <c r="G707" s="44" t="n">
        <f aca="false">IF(I707="","",IF(INDEX(J_KRE,I707)=$C$3,INDEX(J_NOM,I707),0))</f>
        <v>5000000</v>
      </c>
      <c r="H707" s="44" t="n">
        <f aca="false">IF(I707="","",N(H706)+IF($C$5="Debet",F707-G707,G707-F707))</f>
        <v>7013778</v>
      </c>
      <c r="I707" s="66" t="n">
        <f aca="false">IF(J707&gt;$K$1,"",IFERROR(MATCH(J707,J_BB,0),""))</f>
        <v>1048</v>
      </c>
      <c r="J707" s="66" t="n">
        <v>698</v>
      </c>
      <c r="K707" s="5"/>
    </row>
    <row r="708" customFormat="false" ht="15" hidden="false" customHeight="false" outlineLevel="0" collapsed="false">
      <c r="A708" s="5" t="n">
        <f aca="false">IF(I708="","",J708)</f>
        <v>699</v>
      </c>
      <c r="B708" s="83" t="n">
        <f aca="false">IF(I708="","",INDEX(J_TGL,I708))</f>
        <v>46246</v>
      </c>
      <c r="C708" s="5" t="str">
        <f aca="false">IF(I708="","",INDEX(J_NO,I708))</f>
        <v>JU-1049</v>
      </c>
      <c r="D708" s="5" t="str">
        <f aca="false">IF(I708="","",INDEX(J_KET,I708))</f>
        <v>Cliton alat frother susu elektrik x 1 pc</v>
      </c>
      <c r="E708" s="5" t="str">
        <f aca="false">IF(I708="","",IF(INDEX(J_DEB,I708)=$C$3,INDEX(J_KRE,I708),INDEX(J_DEB,I708)))</f>
        <v>Beban Perlengkapan</v>
      </c>
      <c r="F708" s="44" t="n">
        <f aca="false">IF(I708="","",IF(INDEX(J_DEB,I708)=$C$3,INDEX(J_NOM,I708),0))</f>
        <v>0</v>
      </c>
      <c r="G708" s="44" t="n">
        <f aca="false">IF(I708="","",IF(INDEX(J_KRE,I708)=$C$3,INDEX(J_NOM,I708),0))</f>
        <v>129500</v>
      </c>
      <c r="H708" s="44" t="n">
        <f aca="false">IF(I708="","",N(H707)+IF($C$5="Debet",F708-G708,G708-F708))</f>
        <v>6884278</v>
      </c>
      <c r="I708" s="66" t="n">
        <f aca="false">IF(J708&gt;$K$1,"",IFERROR(MATCH(J708,J_BB,0),""))</f>
        <v>1049</v>
      </c>
      <c r="J708" s="66" t="n">
        <v>699</v>
      </c>
      <c r="K708" s="5"/>
    </row>
    <row r="709" customFormat="false" ht="15" hidden="false" customHeight="false" outlineLevel="0" collapsed="false">
      <c r="A709" s="5" t="n">
        <f aca="false">IF(I709="","",J709)</f>
        <v>700</v>
      </c>
      <c r="B709" s="83" t="n">
        <f aca="false">IF(I709="","",INDEX(J_TGL,I709))</f>
        <v>46247</v>
      </c>
      <c r="C709" s="5" t="str">
        <f aca="false">IF(I709="","",INDEX(J_NO,I709))</f>
        <v>JU-1052</v>
      </c>
      <c r="D709" s="5" t="str">
        <f aca="false">IF(I709="","",INDEX(J_KET,I709))</f>
        <v>Nasi Ayam goreng 18 porsi, Jamaah Yasin di kantor</v>
      </c>
      <c r="E709" s="5" t="str">
        <f aca="false">IF(I709="","",IF(INDEX(J_DEB,I709)=$C$3,INDEX(J_KRE,I709),INDEX(J_DEB,I709)))</f>
        <v>Dana Sosial &amp; CSR</v>
      </c>
      <c r="F709" s="44" t="n">
        <f aca="false">IF(I709="","",IF(INDEX(J_DEB,I709)=$C$3,INDEX(J_NOM,I709),0))</f>
        <v>0</v>
      </c>
      <c r="G709" s="44" t="n">
        <f aca="false">IF(I709="","",IF(INDEX(J_KRE,I709)=$C$3,INDEX(J_NOM,I709),0))</f>
        <v>360000</v>
      </c>
      <c r="H709" s="44" t="n">
        <f aca="false">IF(I709="","",N(H708)+IF($C$5="Debet",F709-G709,G709-F709))</f>
        <v>6524278</v>
      </c>
      <c r="I709" s="66" t="n">
        <f aca="false">IF(J709&gt;$K$1,"",IFERROR(MATCH(J709,J_BB,0),""))</f>
        <v>1052</v>
      </c>
      <c r="J709" s="66" t="n">
        <v>700</v>
      </c>
      <c r="K709" s="5"/>
    </row>
    <row r="710" customFormat="false" ht="15" hidden="false" customHeight="false" outlineLevel="0" collapsed="false">
      <c r="A710" s="5" t="n">
        <f aca="false">IF(I710="","",J710)</f>
        <v>701</v>
      </c>
      <c r="B710" s="83" t="n">
        <f aca="false">IF(I710="","",INDEX(J_TGL,I710))</f>
        <v>46247</v>
      </c>
      <c r="C710" s="5" t="str">
        <f aca="false">IF(I710="","",INDEX(J_NO,I710))</f>
        <v>JU-1053</v>
      </c>
      <c r="D710" s="5" t="str">
        <f aca="false">IF(I710="","",INDEX(J_KET,I710))</f>
        <v>Biaya transfer flip</v>
      </c>
      <c r="E710" s="5" t="str">
        <f aca="false">IF(I710="","",IF(INDEX(J_DEB,I710)=$C$3,INDEX(J_KRE,I710),INDEX(J_DEB,I710)))</f>
        <v>Biaya Lainnya</v>
      </c>
      <c r="F710" s="44" t="n">
        <f aca="false">IF(I710="","",IF(INDEX(J_DEB,I710)=$C$3,INDEX(J_NOM,I710),0))</f>
        <v>0</v>
      </c>
      <c r="G710" s="44" t="n">
        <f aca="false">IF(I710="","",IF(INDEX(J_KRE,I710)=$C$3,INDEX(J_NOM,I710),0))</f>
        <v>325</v>
      </c>
      <c r="H710" s="44" t="n">
        <f aca="false">IF(I710="","",N(H709)+IF($C$5="Debet",F710-G710,G710-F710))</f>
        <v>6523953</v>
      </c>
      <c r="I710" s="66" t="n">
        <f aca="false">IF(J710&gt;$K$1,"",IFERROR(MATCH(J710,J_BB,0),""))</f>
        <v>1053</v>
      </c>
      <c r="J710" s="66" t="n">
        <v>701</v>
      </c>
      <c r="K710" s="5"/>
    </row>
    <row r="711" customFormat="false" ht="15" hidden="false" customHeight="false" outlineLevel="0" collapsed="false">
      <c r="A711" s="5" t="n">
        <f aca="false">IF(I711="","",J711)</f>
        <v>702</v>
      </c>
      <c r="B711" s="83" t="n">
        <f aca="false">IF(I711="","",INDEX(J_TGL,I711))</f>
        <v>46247</v>
      </c>
      <c r="C711" s="5" t="str">
        <f aca="false">IF(I711="","",INDEX(J_NO,I711))</f>
        <v>JU-1054</v>
      </c>
      <c r="D711" s="5" t="str">
        <f aca="false">IF(I711="","",INDEX(J_KET,I711))</f>
        <v>Pembayaran bill tgl 27/7</v>
      </c>
      <c r="E711" s="5" t="str">
        <f aca="false">IF(I711="","",IF(INDEX(J_DEB,I711)=$C$3,INDEX(J_KRE,I711),INDEX(J_DEB,I711)))</f>
        <v>Pendapatan Cafe</v>
      </c>
      <c r="F711" s="44" t="n">
        <f aca="false">IF(I711="","",IF(INDEX(J_DEB,I711)=$C$3,INDEX(J_NOM,I711),0))</f>
        <v>27000</v>
      </c>
      <c r="G711" s="44" t="n">
        <f aca="false">IF(I711="","",IF(INDEX(J_KRE,I711)=$C$3,INDEX(J_NOM,I711),0))</f>
        <v>0</v>
      </c>
      <c r="H711" s="44" t="n">
        <f aca="false">IF(I711="","",N(H710)+IF($C$5="Debet",F711-G711,G711-F711))</f>
        <v>6550953</v>
      </c>
      <c r="I711" s="66" t="n">
        <f aca="false">IF(J711&gt;$K$1,"",IFERROR(MATCH(J711,J_BB,0),""))</f>
        <v>1054</v>
      </c>
      <c r="J711" s="66" t="n">
        <v>702</v>
      </c>
      <c r="K711" s="5"/>
    </row>
    <row r="712" customFormat="false" ht="15" hidden="false" customHeight="false" outlineLevel="0" collapsed="false">
      <c r="A712" s="5" t="n">
        <f aca="false">IF(I712="","",J712)</f>
        <v>703</v>
      </c>
      <c r="B712" s="83" t="n">
        <f aca="false">IF(I712="","",INDEX(J_TGL,I712))</f>
        <v>46248</v>
      </c>
      <c r="C712" s="5" t="str">
        <f aca="false">IF(I712="","",INDEX(J_NO,I712))</f>
        <v>JU-1055</v>
      </c>
      <c r="D712" s="5" t="str">
        <f aca="false">IF(I712="","",INDEX(J_KET,I712))</f>
        <v>Rak kulkas wadah snacks x 3 pcs</v>
      </c>
      <c r="E712" s="5" t="str">
        <f aca="false">IF(I712="","",IF(INDEX(J_DEB,I712)=$C$3,INDEX(J_KRE,I712),INDEX(J_DEB,I712)))</f>
        <v>Beban Perlengkapan</v>
      </c>
      <c r="F712" s="44" t="n">
        <f aca="false">IF(I712="","",IF(INDEX(J_DEB,I712)=$C$3,INDEX(J_NOM,I712),0))</f>
        <v>0</v>
      </c>
      <c r="G712" s="44" t="n">
        <f aca="false">IF(I712="","",IF(INDEX(J_KRE,I712)=$C$3,INDEX(J_NOM,I712),0))</f>
        <v>169100</v>
      </c>
      <c r="H712" s="44" t="n">
        <f aca="false">IF(I712="","",N(H711)+IF($C$5="Debet",F712-G712,G712-F712))</f>
        <v>6381853</v>
      </c>
      <c r="I712" s="66" t="n">
        <f aca="false">IF(J712&gt;$K$1,"",IFERROR(MATCH(J712,J_BB,0),""))</f>
        <v>1055</v>
      </c>
      <c r="J712" s="66" t="n">
        <v>703</v>
      </c>
      <c r="K712" s="5"/>
    </row>
    <row r="713" customFormat="false" ht="15" hidden="false" customHeight="false" outlineLevel="0" collapsed="false">
      <c r="A713" s="5" t="n">
        <f aca="false">IF(I713="","",J713)</f>
        <v>704</v>
      </c>
      <c r="B713" s="83" t="n">
        <f aca="false">IF(I713="","",INDEX(J_TGL,I713))</f>
        <v>46249</v>
      </c>
      <c r="C713" s="5" t="str">
        <f aca="false">IF(I713="","",INDEX(J_NO,I713))</f>
        <v>JU-1056</v>
      </c>
      <c r="D713" s="5" t="str">
        <f aca="false">IF(I713="","",INDEX(J_KET,I713))</f>
        <v>Pindah dana ke tunai dari BCA</v>
      </c>
      <c r="E713" s="5" t="str">
        <f aca="false">IF(I713="","",IF(INDEX(J_DEB,I713)=$C$3,INDEX(J_KRE,I713),INDEX(J_DEB,I713)))</f>
        <v>Kas Tunai</v>
      </c>
      <c r="F713" s="44" t="n">
        <f aca="false">IF(I713="","",IF(INDEX(J_DEB,I713)=$C$3,INDEX(J_NOM,I713),0))</f>
        <v>0</v>
      </c>
      <c r="G713" s="44" t="n">
        <f aca="false">IF(I713="","",IF(INDEX(J_KRE,I713)=$C$3,INDEX(J_NOM,I713),0))</f>
        <v>570000</v>
      </c>
      <c r="H713" s="44" t="n">
        <f aca="false">IF(I713="","",N(H712)+IF($C$5="Debet",F713-G713,G713-F713))</f>
        <v>5811853</v>
      </c>
      <c r="I713" s="66" t="n">
        <f aca="false">IF(J713&gt;$K$1,"",IFERROR(MATCH(J713,J_BB,0),""))</f>
        <v>1056</v>
      </c>
      <c r="J713" s="66" t="n">
        <v>704</v>
      </c>
      <c r="K713" s="5"/>
    </row>
    <row r="714" customFormat="false" ht="15" hidden="false" customHeight="false" outlineLevel="0" collapsed="false">
      <c r="A714" s="5" t="n">
        <f aca="false">IF(I714="","",J714)</f>
        <v>705</v>
      </c>
      <c r="B714" s="83" t="n">
        <f aca="false">IF(I714="","",INDEX(J_TGL,I714))</f>
        <v>46250</v>
      </c>
      <c r="C714" s="5" t="str">
        <f aca="false">IF(I714="","",INDEX(J_NO,I714))</f>
        <v>JU-1057</v>
      </c>
      <c r="D714" s="5" t="str">
        <f aca="false">IF(I714="","",INDEX(J_KET,I714))</f>
        <v>Belanja frozen food : 5 zak straight, 3 zak crinkle, 3kg champ, 3kg beef breakfast</v>
      </c>
      <c r="E714" s="5" t="str">
        <f aca="false">IF(I714="","",IF(INDEX(J_DEB,I714)=$C$3,INDEX(J_KRE,I714),INDEX(J_DEB,I714)))</f>
        <v>Biaya Bahan Baku</v>
      </c>
      <c r="F714" s="44" t="n">
        <f aca="false">IF(I714="","",IF(INDEX(J_DEB,I714)=$C$3,INDEX(J_NOM,I714),0))</f>
        <v>0</v>
      </c>
      <c r="G714" s="44" t="n">
        <f aca="false">IF(I714="","",IF(INDEX(J_KRE,I714)=$C$3,INDEX(J_NOM,I714),0))</f>
        <v>871000</v>
      </c>
      <c r="H714" s="44" t="n">
        <f aca="false">IF(I714="","",N(H713)+IF($C$5="Debet",F714-G714,G714-F714))</f>
        <v>4940853</v>
      </c>
      <c r="I714" s="66" t="n">
        <f aca="false">IF(J714&gt;$K$1,"",IFERROR(MATCH(J714,J_BB,0),""))</f>
        <v>1057</v>
      </c>
      <c r="J714" s="66" t="n">
        <v>705</v>
      </c>
      <c r="K714" s="5"/>
    </row>
    <row r="715" customFormat="false" ht="15" hidden="false" customHeight="false" outlineLevel="0" collapsed="false">
      <c r="A715" s="5" t="n">
        <f aca="false">IF(I715="","",J715)</f>
        <v>706</v>
      </c>
      <c r="B715" s="83" t="n">
        <f aca="false">IF(I715="","",INDEX(J_TGL,I715))</f>
        <v>46251</v>
      </c>
      <c r="C715" s="5" t="str">
        <f aca="false">IF(I715="","",INDEX(J_NO,I715))</f>
        <v>JU-1058</v>
      </c>
      <c r="D715" s="5" t="str">
        <f aca="false">IF(I715="","",INDEX(J_KET,I715))</f>
        <v>Chasen bambu 80 prongs, nampan saji, dispenser galon elektrik</v>
      </c>
      <c r="E715" s="5" t="str">
        <f aca="false">IF(I715="","",IF(INDEX(J_DEB,I715)=$C$3,INDEX(J_KRE,I715),INDEX(J_DEB,I715)))</f>
        <v>Beban Perlengkapan</v>
      </c>
      <c r="F715" s="44" t="n">
        <f aca="false">IF(I715="","",IF(INDEX(J_DEB,I715)=$C$3,INDEX(J_NOM,I715),0))</f>
        <v>0</v>
      </c>
      <c r="G715" s="44" t="n">
        <f aca="false">IF(I715="","",IF(INDEX(J_KRE,I715)=$C$3,INDEX(J_NOM,I715),0))</f>
        <v>443350</v>
      </c>
      <c r="H715" s="44" t="n">
        <f aca="false">IF(I715="","",N(H714)+IF($C$5="Debet",F715-G715,G715-F715))</f>
        <v>4497503</v>
      </c>
      <c r="I715" s="66" t="n">
        <f aca="false">IF(J715&gt;$K$1,"",IFERROR(MATCH(J715,J_BB,0),""))</f>
        <v>1058</v>
      </c>
      <c r="J715" s="66" t="n">
        <v>706</v>
      </c>
      <c r="K715" s="5"/>
    </row>
    <row r="716" customFormat="false" ht="15" hidden="false" customHeight="false" outlineLevel="0" collapsed="false">
      <c r="A716" s="5" t="n">
        <f aca="false">IF(I716="","",J716)</f>
        <v>707</v>
      </c>
      <c r="B716" s="83" t="n">
        <f aca="false">IF(I716="","",INDEX(J_TGL,I716))</f>
        <v>46251</v>
      </c>
      <c r="C716" s="5" t="str">
        <f aca="false">IF(I716="","",INDEX(J_NO,I716))</f>
        <v>JU-1059</v>
      </c>
      <c r="D716" s="5" t="str">
        <f aca="false">IF(I716="","",INDEX(J_KET,I716))</f>
        <v>Uang saku 3 orang anak magang </v>
      </c>
      <c r="E716" s="5" t="str">
        <f aca="false">IF(I716="","",IF(INDEX(J_DEB,I716)=$C$3,INDEX(J_KRE,I716),INDEX(J_DEB,I716)))</f>
        <v>Beban Gaji</v>
      </c>
      <c r="F716" s="44" t="n">
        <f aca="false">IF(I716="","",IF(INDEX(J_DEB,I716)=$C$3,INDEX(J_NOM,I716),0))</f>
        <v>0</v>
      </c>
      <c r="G716" s="44" t="n">
        <f aca="false">IF(I716="","",IF(INDEX(J_KRE,I716)=$C$3,INDEX(J_NOM,I716),0))</f>
        <v>1500000</v>
      </c>
      <c r="H716" s="44" t="n">
        <f aca="false">IF(I716="","",N(H715)+IF($C$5="Debet",F716-G716,G716-F716))</f>
        <v>2997503</v>
      </c>
      <c r="I716" s="66" t="n">
        <f aca="false">IF(J716&gt;$K$1,"",IFERROR(MATCH(J716,J_BB,0),""))</f>
        <v>1059</v>
      </c>
      <c r="J716" s="66" t="n">
        <v>707</v>
      </c>
      <c r="K716" s="5"/>
    </row>
    <row r="717" customFormat="false" ht="15" hidden="false" customHeight="false" outlineLevel="0" collapsed="false">
      <c r="A717" s="5" t="n">
        <f aca="false">IF(I717="","",J717)</f>
        <v>708</v>
      </c>
      <c r="B717" s="83" t="n">
        <f aca="false">IF(I717="","",INDEX(J_TGL,I717))</f>
        <v>46251</v>
      </c>
      <c r="C717" s="5" t="str">
        <f aca="false">IF(I717="","",INDEX(J_NO,I717))</f>
        <v>JU-1060</v>
      </c>
      <c r="D717" s="5" t="str">
        <f aca="false">IF(I717="","",INDEX(J_KET,I717))</f>
        <v>Biaya transfer flip</v>
      </c>
      <c r="E717" s="5" t="str">
        <f aca="false">IF(I717="","",IF(INDEX(J_DEB,I717)=$C$3,INDEX(J_KRE,I717),INDEX(J_DEB,I717)))</f>
        <v>Biaya Lainnya</v>
      </c>
      <c r="F717" s="44" t="n">
        <f aca="false">IF(I717="","",IF(INDEX(J_DEB,I717)=$C$3,INDEX(J_NOM,I717),0))</f>
        <v>0</v>
      </c>
      <c r="G717" s="44" t="n">
        <f aca="false">IF(I717="","",IF(INDEX(J_KRE,I717)=$C$3,INDEX(J_NOM,I717),0))</f>
        <v>447</v>
      </c>
      <c r="H717" s="44" t="n">
        <f aca="false">IF(I717="","",N(H716)+IF($C$5="Debet",F717-G717,G717-F717))</f>
        <v>2997056</v>
      </c>
      <c r="I717" s="66" t="n">
        <f aca="false">IF(J717&gt;$K$1,"",IFERROR(MATCH(J717,J_BB,0),""))</f>
        <v>1060</v>
      </c>
      <c r="J717" s="66" t="n">
        <v>708</v>
      </c>
      <c r="K717" s="5"/>
    </row>
    <row r="718" customFormat="false" ht="15" hidden="false" customHeight="false" outlineLevel="0" collapsed="false">
      <c r="A718" s="5" t="n">
        <f aca="false">IF(I718="","",J718)</f>
        <v>709</v>
      </c>
      <c r="B718" s="83" t="n">
        <f aca="false">IF(I718="","",INDEX(J_TGL,I718))</f>
        <v>46251</v>
      </c>
      <c r="C718" s="5" t="str">
        <f aca="false">IF(I718="","",INDEX(J_NO,I718))</f>
        <v>JU-1061</v>
      </c>
      <c r="D718" s="5" t="str">
        <f aca="false">IF(I718="","",INDEX(J_KET,I718))</f>
        <v>Pindah dana ke BCA dari tunai</v>
      </c>
      <c r="E718" s="5" t="str">
        <f aca="false">IF(I718="","",IF(INDEX(J_DEB,I718)=$C$3,INDEX(J_KRE,I718),INDEX(J_DEB,I718)))</f>
        <v>Kas Tunai</v>
      </c>
      <c r="F718" s="44" t="n">
        <f aca="false">IF(I718="","",IF(INDEX(J_DEB,I718)=$C$3,INDEX(J_NOM,I718),0))</f>
        <v>500000</v>
      </c>
      <c r="G718" s="44" t="n">
        <f aca="false">IF(I718="","",IF(INDEX(J_KRE,I718)=$C$3,INDEX(J_NOM,I718),0))</f>
        <v>0</v>
      </c>
      <c r="H718" s="44" t="n">
        <f aca="false">IF(I718="","",N(H717)+IF($C$5="Debet",F718-G718,G718-F718))</f>
        <v>3497056</v>
      </c>
      <c r="I718" s="66" t="n">
        <f aca="false">IF(J718&gt;$K$1,"",IFERROR(MATCH(J718,J_BB,0),""))</f>
        <v>1061</v>
      </c>
      <c r="J718" s="66" t="n">
        <v>709</v>
      </c>
      <c r="K718" s="5"/>
    </row>
    <row r="719" customFormat="false" ht="15" hidden="false" customHeight="false" outlineLevel="0" collapsed="false">
      <c r="A719" s="5" t="n">
        <f aca="false">IF(I719="","",J719)</f>
        <v>710</v>
      </c>
      <c r="B719" s="83" t="n">
        <f aca="false">IF(I719="","",INDEX(J_TGL,I719))</f>
        <v>46252</v>
      </c>
      <c r="C719" s="5" t="str">
        <f aca="false">IF(I719="","",INDEX(J_NO,I719))</f>
        <v>JU-1062</v>
      </c>
      <c r="D719" s="5" t="str">
        <f aca="false">IF(I719="","",INDEX(J_KET,I719))</f>
        <v>croissant pembayaran batch 204-211 97pcs</v>
      </c>
      <c r="E719" s="5" t="str">
        <f aca="false">IF(I719="","",IF(INDEX(J_DEB,I719)=$C$3,INDEX(J_KRE,I719),INDEX(J_DEB,I719)))</f>
        <v>Biaya Bahan Baku</v>
      </c>
      <c r="F719" s="44" t="n">
        <f aca="false">IF(I719="","",IF(INDEX(J_DEB,I719)=$C$3,INDEX(J_NOM,I719),0))</f>
        <v>0</v>
      </c>
      <c r="G719" s="44" t="n">
        <f aca="false">IF(I719="","",IF(INDEX(J_KRE,I719)=$C$3,INDEX(J_NOM,I719),0))</f>
        <v>2134000</v>
      </c>
      <c r="H719" s="44" t="n">
        <f aca="false">IF(I719="","",N(H718)+IF($C$5="Debet",F719-G719,G719-F719))</f>
        <v>1363056</v>
      </c>
      <c r="I719" s="66" t="n">
        <f aca="false">IF(J719&gt;$K$1,"",IFERROR(MATCH(J719,J_BB,0),""))</f>
        <v>1062</v>
      </c>
      <c r="J719" s="66" t="n">
        <v>710</v>
      </c>
      <c r="K719" s="5"/>
    </row>
    <row r="720" customFormat="false" ht="15" hidden="false" customHeight="false" outlineLevel="0" collapsed="false">
      <c r="A720" s="5" t="n">
        <f aca="false">IF(I720="","",J720)</f>
        <v>711</v>
      </c>
      <c r="B720" s="83" t="n">
        <f aca="false">IF(I720="","",INDEX(J_TGL,I720))</f>
        <v>46252</v>
      </c>
      <c r="C720" s="5" t="str">
        <f aca="false">IF(I720="","",INDEX(J_NO,I720))</f>
        <v>JU-1063</v>
      </c>
      <c r="D720" s="5" t="str">
        <f aca="false">IF(I720="","",INDEX(J_KET,I720))</f>
        <v>croissant pembayaran buy return</v>
      </c>
      <c r="E720" s="5" t="str">
        <f aca="false">IF(I720="","",IF(INDEX(J_DEB,I720)=$C$3,INDEX(J_KRE,I720),INDEX(J_DEB,I720)))</f>
        <v>Biaya Bahan Baku</v>
      </c>
      <c r="F720" s="44" t="n">
        <f aca="false">IF(I720="","",IF(INDEX(J_DEB,I720)=$C$3,INDEX(J_NOM,I720),0))</f>
        <v>0</v>
      </c>
      <c r="G720" s="44" t="n">
        <f aca="false">IF(I720="","",IF(INDEX(J_KRE,I720)=$C$3,INDEX(J_NOM,I720),0))</f>
        <v>80000</v>
      </c>
      <c r="H720" s="44" t="n">
        <f aca="false">IF(I720="","",N(H719)+IF($C$5="Debet",F720-G720,G720-F720))</f>
        <v>1283056</v>
      </c>
      <c r="I720" s="66" t="n">
        <f aca="false">IF(J720&gt;$K$1,"",IFERROR(MATCH(J720,J_BB,0),""))</f>
        <v>1063</v>
      </c>
      <c r="J720" s="66" t="n">
        <v>711</v>
      </c>
      <c r="K720" s="5"/>
    </row>
    <row r="721" customFormat="false" ht="15" hidden="false" customHeight="false" outlineLevel="0" collapsed="false">
      <c r="A721" s="5" t="n">
        <f aca="false">IF(I721="","",J721)</f>
        <v>712</v>
      </c>
      <c r="B721" s="83" t="n">
        <f aca="false">IF(I721="","",INDEX(J_TGL,I721))</f>
        <v>46252</v>
      </c>
      <c r="C721" s="5" t="str">
        <f aca="false">IF(I721="","",INDEX(J_NO,I721))</f>
        <v>JU-1064</v>
      </c>
      <c r="D721" s="5" t="str">
        <f aca="false">IF(I721="","",INDEX(J_KET,I721))</f>
        <v>Pemasukan penjualan dried lemon 100gr </v>
      </c>
      <c r="E721" s="5" t="str">
        <f aca="false">IF(I721="","",IF(INDEX(J_DEB,I721)=$C$3,INDEX(J_KRE,I721),INDEX(J_DEB,I721)))</f>
        <v>Pendapatan non Cafe</v>
      </c>
      <c r="F721" s="44" t="n">
        <f aca="false">IF(I721="","",IF(INDEX(J_DEB,I721)=$C$3,INDEX(J_NOM,I721),0))</f>
        <v>68800</v>
      </c>
      <c r="G721" s="44" t="n">
        <f aca="false">IF(I721="","",IF(INDEX(J_KRE,I721)=$C$3,INDEX(J_NOM,I721),0))</f>
        <v>0</v>
      </c>
      <c r="H721" s="44" t="n">
        <f aca="false">IF(I721="","",N(H720)+IF($C$5="Debet",F721-G721,G721-F721))</f>
        <v>1351856</v>
      </c>
      <c r="I721" s="66" t="n">
        <f aca="false">IF(J721&gt;$K$1,"",IFERROR(MATCH(J721,J_BB,0),""))</f>
        <v>1064</v>
      </c>
      <c r="J721" s="66" t="n">
        <v>712</v>
      </c>
      <c r="K721" s="5"/>
    </row>
    <row r="722" customFormat="false" ht="15" hidden="false" customHeight="false" outlineLevel="0" collapsed="false">
      <c r="A722" s="5" t="n">
        <f aca="false">IF(I722="","",J722)</f>
        <v>713</v>
      </c>
      <c r="B722" s="83" t="n">
        <f aca="false">IF(I722="","",INDEX(J_TGL,I722))</f>
        <v>46252</v>
      </c>
      <c r="C722" s="5" t="str">
        <f aca="false">IF(I722="","",INDEX(J_NO,I722))</f>
        <v>JU-1065</v>
      </c>
      <c r="D722" s="5" t="str">
        <f aca="false">IF(I722="","",INDEX(J_KET,I722))</f>
        <v>Pindah dana ke BCA dari tunai</v>
      </c>
      <c r="E722" s="5" t="str">
        <f aca="false">IF(I722="","",IF(INDEX(J_DEB,I722)=$C$3,INDEX(J_KRE,I722),INDEX(J_DEB,I722)))</f>
        <v>Kas Tunai</v>
      </c>
      <c r="F722" s="44" t="n">
        <f aca="false">IF(I722="","",IF(INDEX(J_DEB,I722)=$C$3,INDEX(J_NOM,I722),0))</f>
        <v>210000</v>
      </c>
      <c r="G722" s="44" t="n">
        <f aca="false">IF(I722="","",IF(INDEX(J_KRE,I722)=$C$3,INDEX(J_NOM,I722),0))</f>
        <v>0</v>
      </c>
      <c r="H722" s="44" t="n">
        <f aca="false">IF(I722="","",N(H721)+IF($C$5="Debet",F722-G722,G722-F722))</f>
        <v>1561856</v>
      </c>
      <c r="I722" s="66" t="n">
        <f aca="false">IF(J722&gt;$K$1,"",IFERROR(MATCH(J722,J_BB,0),""))</f>
        <v>1065</v>
      </c>
      <c r="J722" s="66" t="n">
        <v>713</v>
      </c>
      <c r="K722" s="5"/>
    </row>
    <row r="723" customFormat="false" ht="15" hidden="false" customHeight="false" outlineLevel="0" collapsed="false">
      <c r="A723" s="5" t="n">
        <f aca="false">IF(I723="","",J723)</f>
        <v>714</v>
      </c>
      <c r="B723" s="83" t="n">
        <f aca="false">IF(I723="","",INDEX(J_TGL,I723))</f>
        <v>46253</v>
      </c>
      <c r="C723" s="5" t="str">
        <f aca="false">IF(I723="","",INDEX(J_NO,I723))</f>
        <v>JU-1073</v>
      </c>
      <c r="D723" s="5" t="str">
        <f aca="false">IF(I723="","",INDEX(J_KET,I723))</f>
        <v>Tahu walik dan ongkir</v>
      </c>
      <c r="E723" s="5" t="str">
        <f aca="false">IF(I723="","",IF(INDEX(J_DEB,I723)=$C$3,INDEX(J_KRE,I723),INDEX(J_DEB,I723)))</f>
        <v>Biaya Bahan Baku</v>
      </c>
      <c r="F723" s="44" t="n">
        <f aca="false">IF(I723="","",IF(INDEX(J_DEB,I723)=$C$3,INDEX(J_NOM,I723),0))</f>
        <v>0</v>
      </c>
      <c r="G723" s="44" t="n">
        <f aca="false">IF(I723="","",IF(INDEX(J_KRE,I723)=$C$3,INDEX(J_NOM,I723),0))</f>
        <v>753000</v>
      </c>
      <c r="H723" s="44" t="n">
        <f aca="false">IF(I723="","",N(H722)+IF($C$5="Debet",F723-G723,G723-F723))</f>
        <v>808856</v>
      </c>
      <c r="I723" s="66" t="n">
        <f aca="false">IF(J723&gt;$K$1,"",IFERROR(MATCH(J723,J_BB,0),""))</f>
        <v>1073</v>
      </c>
      <c r="J723" s="66" t="n">
        <v>714</v>
      </c>
      <c r="K723" s="5"/>
    </row>
    <row r="724" customFormat="false" ht="15" hidden="false" customHeight="false" outlineLevel="0" collapsed="false">
      <c r="A724" s="5" t="n">
        <f aca="false">IF(I724="","",J724)</f>
        <v>715</v>
      </c>
      <c r="B724" s="83" t="n">
        <f aca="false">IF(I724="","",INDEX(J_TGL,I724))</f>
        <v>46253</v>
      </c>
      <c r="C724" s="5" t="str">
        <f aca="false">IF(I724="","",INDEX(J_NO,I724))</f>
        <v>JU-1074</v>
      </c>
      <c r="D724" s="5" t="str">
        <f aca="false">IF(I724="","",INDEX(J_KET,I724))</f>
        <v>Unlock water</v>
      </c>
      <c r="E724" s="5" t="str">
        <f aca="false">IF(I724="","",IF(INDEX(J_DEB,I724)=$C$3,INDEX(J_KRE,I724),INDEX(J_DEB,I724)))</f>
        <v>Biaya Bahan Baku</v>
      </c>
      <c r="F724" s="44" t="n">
        <f aca="false">IF(I724="","",IF(INDEX(J_DEB,I724)=$C$3,INDEX(J_NOM,I724),0))</f>
        <v>0</v>
      </c>
      <c r="G724" s="44" t="n">
        <f aca="false">IF(I724="","",IF(INDEX(J_KRE,I724)=$C$3,INDEX(J_NOM,I724),0))</f>
        <v>266000</v>
      </c>
      <c r="H724" s="44" t="n">
        <f aca="false">IF(I724="","",N(H723)+IF($C$5="Debet",F724-G724,G724-F724))</f>
        <v>542856</v>
      </c>
      <c r="I724" s="66" t="n">
        <f aca="false">IF(J724&gt;$K$1,"",IFERROR(MATCH(J724,J_BB,0),""))</f>
        <v>1074</v>
      </c>
      <c r="J724" s="66" t="n">
        <v>715</v>
      </c>
      <c r="K724" s="5"/>
    </row>
    <row r="725" customFormat="false" ht="15" hidden="false" customHeight="false" outlineLevel="0" collapsed="false">
      <c r="A725" s="5" t="n">
        <f aca="false">IF(I725="","",J725)</f>
        <v>716</v>
      </c>
      <c r="B725" s="83" t="n">
        <f aca="false">IF(I725="","",INDEX(J_TGL,I725))</f>
        <v>46253</v>
      </c>
      <c r="C725" s="5" t="str">
        <f aca="false">IF(I725="","",INDEX(J_NO,I725))</f>
        <v>JU-1075</v>
      </c>
      <c r="D725" s="5" t="str">
        <f aca="false">IF(I725="","",INDEX(J_KET,I725))</f>
        <v>pembulatan</v>
      </c>
      <c r="E725" s="5" t="str">
        <f aca="false">IF(I725="","",IF(INDEX(J_DEB,I725)=$C$3,INDEX(J_KRE,I725),INDEX(J_DEB,I725)))</f>
        <v>Pendapatan Lainnya</v>
      </c>
      <c r="F725" s="44" t="n">
        <f aca="false">IF(I725="","",IF(INDEX(J_DEB,I725)=$C$3,INDEX(J_NOM,I725),0))</f>
        <v>4</v>
      </c>
      <c r="G725" s="44" t="n">
        <f aca="false">IF(I725="","",IF(INDEX(J_KRE,I725)=$C$3,INDEX(J_NOM,I725),0))</f>
        <v>0</v>
      </c>
      <c r="H725" s="44" t="n">
        <f aca="false">IF(I725="","",N(H724)+IF($C$5="Debet",F725-G725,G725-F725))</f>
        <v>542860</v>
      </c>
      <c r="I725" s="66" t="n">
        <f aca="false">IF(J725&gt;$K$1,"",IFERROR(MATCH(J725,J_BB,0),""))</f>
        <v>1075</v>
      </c>
      <c r="J725" s="66" t="n">
        <v>716</v>
      </c>
      <c r="K725" s="5"/>
    </row>
    <row r="726" customFormat="false" ht="15" hidden="false" customHeight="false" outlineLevel="0" collapsed="false">
      <c r="A726" s="5" t="n">
        <f aca="false">IF(I726="","",J726)</f>
        <v>717</v>
      </c>
      <c r="B726" s="83" t="n">
        <f aca="false">IF(I726="","",INDEX(J_TGL,I726))</f>
        <v>46253</v>
      </c>
      <c r="C726" s="5" t="str">
        <f aca="false">IF(I726="","",INDEX(J_NO,I726))</f>
        <v>JU-1077</v>
      </c>
      <c r="D726" s="5" t="str">
        <f aca="false">IF(I726="","",INDEX(J_KET,I726))</f>
        <v>Buah apel 3kg, nanas 4pcs</v>
      </c>
      <c r="E726" s="5" t="str">
        <f aca="false">IF(I726="","",IF(INDEX(J_DEB,I726)=$C$3,INDEX(J_KRE,I726),INDEX(J_DEB,I726)))</f>
        <v>Biaya Bahan Baku</v>
      </c>
      <c r="F726" s="44" t="n">
        <f aca="false">IF(I726="","",IF(INDEX(J_DEB,I726)=$C$3,INDEX(J_NOM,I726),0))</f>
        <v>0</v>
      </c>
      <c r="G726" s="44" t="n">
        <f aca="false">IF(I726="","",IF(INDEX(J_KRE,I726)=$C$3,INDEX(J_NOM,I726),0))</f>
        <v>183000</v>
      </c>
      <c r="H726" s="44" t="n">
        <f aca="false">IF(I726="","",N(H725)+IF($C$5="Debet",F726-G726,G726-F726))</f>
        <v>359860</v>
      </c>
      <c r="I726" s="66" t="n">
        <f aca="false">IF(J726&gt;$K$1,"",IFERROR(MATCH(J726,J_BB,0),""))</f>
        <v>1077</v>
      </c>
      <c r="J726" s="66" t="n">
        <v>717</v>
      </c>
      <c r="K726" s="5"/>
    </row>
    <row r="727" customFormat="false" ht="15" hidden="false" customHeight="false" outlineLevel="0" collapsed="false">
      <c r="A727" s="5" t="n">
        <f aca="false">IF(I727="","",J727)</f>
        <v>718</v>
      </c>
      <c r="B727" s="83" t="n">
        <f aca="false">IF(I727="","",INDEX(J_TGL,I727))</f>
        <v>46253</v>
      </c>
      <c r="C727" s="5" t="str">
        <f aca="false">IF(I727="","",INDEX(J_NO,I727))</f>
        <v>JU-1078</v>
      </c>
      <c r="D727" s="5" t="str">
        <f aca="false">IF(I727="","",INDEX(J_KET,I727))</f>
        <v>Biaya transfer flip</v>
      </c>
      <c r="E727" s="5" t="str">
        <f aca="false">IF(I727="","",IF(INDEX(J_DEB,I727)=$C$3,INDEX(J_KRE,I727),INDEX(J_DEB,I727)))</f>
        <v>Biaya Lainnya</v>
      </c>
      <c r="F727" s="44" t="n">
        <f aca="false">IF(I727="","",IF(INDEX(J_DEB,I727)=$C$3,INDEX(J_NOM,I727),0))</f>
        <v>0</v>
      </c>
      <c r="G727" s="44" t="n">
        <f aca="false">IF(I727="","",IF(INDEX(J_KRE,I727)=$C$3,INDEX(J_NOM,I727),0))</f>
        <v>325</v>
      </c>
      <c r="H727" s="44" t="n">
        <f aca="false">IF(I727="","",N(H726)+IF($C$5="Debet",F727-G727,G727-F727))</f>
        <v>359535</v>
      </c>
      <c r="I727" s="66" t="n">
        <f aca="false">IF(J727&gt;$K$1,"",IFERROR(MATCH(J727,J_BB,0),""))</f>
        <v>1078</v>
      </c>
      <c r="J727" s="66" t="n">
        <v>718</v>
      </c>
      <c r="K727" s="5"/>
    </row>
    <row r="728" customFormat="false" ht="15" hidden="false" customHeight="false" outlineLevel="0" collapsed="false">
      <c r="A728" s="5" t="n">
        <f aca="false">IF(I728="","",J728)</f>
        <v>719</v>
      </c>
      <c r="B728" s="83" t="n">
        <f aca="false">IF(I728="","",INDEX(J_TGL,I728))</f>
        <v>46253</v>
      </c>
      <c r="C728" s="5" t="str">
        <f aca="false">IF(I728="","",INDEX(J_NO,I728))</f>
        <v>JU-1079</v>
      </c>
      <c r="D728" s="5" t="str">
        <f aca="false">IF(I728="","",INDEX(J_KET,I728))</f>
        <v>Bonus Dylan lewat Einstein blm diberikan</v>
      </c>
      <c r="E728" s="5" t="str">
        <f aca="false">IF(I728="","",IF(INDEX(J_DEB,I728)=$C$3,INDEX(J_KRE,I728),INDEX(J_DEB,I728)))</f>
        <v>Piutang Lainnya</v>
      </c>
      <c r="F728" s="44" t="n">
        <f aca="false">IF(I728="","",IF(INDEX(J_DEB,I728)=$C$3,INDEX(J_NOM,I728),0))</f>
        <v>0</v>
      </c>
      <c r="G728" s="44" t="n">
        <f aca="false">IF(I728="","",IF(INDEX(J_KRE,I728)=$C$3,INDEX(J_NOM,I728),0))</f>
        <v>100000</v>
      </c>
      <c r="H728" s="44" t="n">
        <f aca="false">IF(I728="","",N(H727)+IF($C$5="Debet",F728-G728,G728-F728))</f>
        <v>259535</v>
      </c>
      <c r="I728" s="66" t="n">
        <f aca="false">IF(J728&gt;$K$1,"",IFERROR(MATCH(J728,J_BB,0),""))</f>
        <v>1079</v>
      </c>
      <c r="J728" s="66" t="n">
        <v>719</v>
      </c>
      <c r="K728" s="5"/>
    </row>
    <row r="729" customFormat="false" ht="15" hidden="false" customHeight="false" outlineLevel="0" collapsed="false">
      <c r="A729" s="5" t="n">
        <f aca="false">IF(I729="","",J729)</f>
        <v>720</v>
      </c>
      <c r="B729" s="83" t="n">
        <f aca="false">IF(I729="","",INDEX(J_TGL,I729))</f>
        <v>46255</v>
      </c>
      <c r="C729" s="5" t="str">
        <f aca="false">IF(I729="","",INDEX(J_NO,I729))</f>
        <v>JU-1080</v>
      </c>
      <c r="D729" s="5" t="str">
        <f aca="false">IF(I729="","",INDEX(J_KET,I729))</f>
        <v>Pembayaran langganan aplikasi Majoo</v>
      </c>
      <c r="E729" s="5" t="str">
        <f aca="false">IF(I729="","",IF(INDEX(J_DEB,I729)=$C$3,INDEX(J_KRE,I729),INDEX(J_DEB,I729)))</f>
        <v>Biaya Tagihan Bulanan</v>
      </c>
      <c r="F729" s="44" t="n">
        <f aca="false">IF(I729="","",IF(INDEX(J_DEB,I729)=$C$3,INDEX(J_NOM,I729),0))</f>
        <v>0</v>
      </c>
      <c r="G729" s="44" t="n">
        <f aca="false">IF(I729="","",IF(INDEX(J_KRE,I729)=$C$3,INDEX(J_NOM,I729),0))</f>
        <v>287490</v>
      </c>
      <c r="H729" s="44" t="n">
        <f aca="false">IF(I729="","",N(H728)+IF($C$5="Debet",F729-G729,G729-F729))</f>
        <v>-27955</v>
      </c>
      <c r="I729" s="66" t="n">
        <f aca="false">IF(J729&gt;$K$1,"",IFERROR(MATCH(J729,J_BB,0),""))</f>
        <v>1080</v>
      </c>
      <c r="J729" s="66" t="n">
        <v>720</v>
      </c>
      <c r="K729" s="5"/>
    </row>
    <row r="730" customFormat="false" ht="15" hidden="false" customHeight="false" outlineLevel="0" collapsed="false">
      <c r="A730" s="5" t="n">
        <f aca="false">IF(I730="","",J730)</f>
        <v>721</v>
      </c>
      <c r="B730" s="83" t="n">
        <f aca="false">IF(I730="","",INDEX(J_TGL,I730))</f>
        <v>46256</v>
      </c>
      <c r="C730" s="5" t="str">
        <f aca="false">IF(I730="","",INDEX(J_NO,I730))</f>
        <v>JU-1081</v>
      </c>
      <c r="D730" s="5" t="str">
        <f aca="false">IF(I730="","",INDEX(J_KET,I730))</f>
        <v>Biaya sewa tempat bulan Agustus 2026</v>
      </c>
      <c r="E730" s="5" t="str">
        <f aca="false">IF(I730="","",IF(INDEX(J_DEB,I730)=$C$3,INDEX(J_KRE,I730),INDEX(J_DEB,I730)))</f>
        <v>Biaya Sewa Tempat</v>
      </c>
      <c r="F730" s="44" t="n">
        <f aca="false">IF(I730="","",IF(INDEX(J_DEB,I730)=$C$3,INDEX(J_NOM,I730),0))</f>
        <v>0</v>
      </c>
      <c r="G730" s="44" t="n">
        <f aca="false">IF(I730="","",IF(INDEX(J_KRE,I730)=$C$3,INDEX(J_NOM,I730),0))</f>
        <v>10000000</v>
      </c>
      <c r="H730" s="44" t="n">
        <f aca="false">IF(I730="","",N(H729)+IF($C$5="Debet",F730-G730,G730-F730))</f>
        <v>-10027955</v>
      </c>
      <c r="I730" s="66" t="n">
        <f aca="false">IF(J730&gt;$K$1,"",IFERROR(MATCH(J730,J_BB,0),""))</f>
        <v>1081</v>
      </c>
      <c r="J730" s="66" t="n">
        <v>721</v>
      </c>
      <c r="K730" s="5"/>
    </row>
    <row r="731" customFormat="false" ht="15" hidden="false" customHeight="false" outlineLevel="0" collapsed="false">
      <c r="A731" s="5" t="n">
        <f aca="false">IF(I731="","",J731)</f>
        <v>722</v>
      </c>
      <c r="B731" s="83" t="n">
        <f aca="false">IF(I731="","",INDEX(J_TGL,I731))</f>
        <v>46256</v>
      </c>
      <c r="C731" s="5" t="str">
        <f aca="false">IF(I731="","",INDEX(J_NO,I731))</f>
        <v>JU-1082</v>
      </c>
      <c r="D731" s="5" t="str">
        <f aca="false">IF(I731="","",INDEX(J_KET,I731))</f>
        <v>Refill gas 12kg x 4 tabung nota tgl 22/8/26</v>
      </c>
      <c r="E731" s="5" t="str">
        <f aca="false">IF(I731="","",IF(INDEX(J_DEB,I731)=$C$3,INDEX(J_KRE,I731),INDEX(J_DEB,I731)))</f>
        <v>Biaya Bahan Baku</v>
      </c>
      <c r="F731" s="44" t="n">
        <f aca="false">IF(I731="","",IF(INDEX(J_DEB,I731)=$C$3,INDEX(J_NOM,I731),0))</f>
        <v>0</v>
      </c>
      <c r="G731" s="44" t="n">
        <f aca="false">IF(I731="","",IF(INDEX(J_KRE,I731)=$C$3,INDEX(J_NOM,I731),0))</f>
        <v>880000</v>
      </c>
      <c r="H731" s="44" t="n">
        <f aca="false">IF(I731="","",N(H730)+IF($C$5="Debet",F731-G731,G731-F731))</f>
        <v>-10907955</v>
      </c>
      <c r="I731" s="66" t="n">
        <f aca="false">IF(J731&gt;$K$1,"",IFERROR(MATCH(J731,J_BB,0),""))</f>
        <v>1082</v>
      </c>
      <c r="J731" s="66" t="n">
        <v>722</v>
      </c>
      <c r="K731" s="5"/>
    </row>
    <row r="732" customFormat="false" ht="15" hidden="false" customHeight="false" outlineLevel="0" collapsed="false">
      <c r="A732" s="5" t="n">
        <f aca="false">IF(I732="","",J732)</f>
        <v>723</v>
      </c>
      <c r="B732" s="83" t="n">
        <f aca="false">IF(I732="","",INDEX(J_TGL,I732))</f>
        <v>46257</v>
      </c>
      <c r="C732" s="5" t="str">
        <f aca="false">IF(I732="","",INDEX(J_NO,I732))</f>
        <v>JU-1083</v>
      </c>
      <c r="D732" s="5" t="str">
        <f aca="false">IF(I732="","",INDEX(J_KET,I732))</f>
        <v>Unlock water</v>
      </c>
      <c r="E732" s="5" t="str">
        <f aca="false">IF(I732="","",IF(INDEX(J_DEB,I732)=$C$3,INDEX(J_KRE,I732),INDEX(J_DEB,I732)))</f>
        <v>Biaya Bahan Baku</v>
      </c>
      <c r="F732" s="44" t="n">
        <f aca="false">IF(I732="","",IF(INDEX(J_DEB,I732)=$C$3,INDEX(J_NOM,I732),0))</f>
        <v>0</v>
      </c>
      <c r="G732" s="44" t="n">
        <f aca="false">IF(I732="","",IF(INDEX(J_KRE,I732)=$C$3,INDEX(J_NOM,I732),0))</f>
        <v>266000</v>
      </c>
      <c r="H732" s="44" t="n">
        <f aca="false">IF(I732="","",N(H731)+IF($C$5="Debet",F732-G732,G732-F732))</f>
        <v>-11173955</v>
      </c>
      <c r="I732" s="66" t="n">
        <f aca="false">IF(J732&gt;$K$1,"",IFERROR(MATCH(J732,J_BB,0),""))</f>
        <v>1083</v>
      </c>
      <c r="J732" s="66" t="n">
        <v>723</v>
      </c>
      <c r="K732" s="5"/>
    </row>
    <row r="733" customFormat="false" ht="15" hidden="false" customHeight="false" outlineLevel="0" collapsed="false">
      <c r="A733" s="5" t="n">
        <f aca="false">IF(I733="","",J733)</f>
        <v>724</v>
      </c>
      <c r="B733" s="83" t="n">
        <f aca="false">IF(I733="","",INDEX(J_TGL,I733))</f>
        <v>46257</v>
      </c>
      <c r="C733" s="5" t="str">
        <f aca="false">IF(I733="","",INDEX(J_NO,I733))</f>
        <v>JU-1084</v>
      </c>
      <c r="D733" s="5" t="str">
        <f aca="false">IF(I733="","",INDEX(J_KET,I733))</f>
        <v>Biji kopi/beans Yantos</v>
      </c>
      <c r="E733" s="5" t="str">
        <f aca="false">IF(I733="","",IF(INDEX(J_DEB,I733)=$C$3,INDEX(J_KRE,I733),INDEX(J_DEB,I733)))</f>
        <v>Biaya Bahan Baku</v>
      </c>
      <c r="F733" s="44" t="n">
        <f aca="false">IF(I733="","",IF(INDEX(J_DEB,I733)=$C$3,INDEX(J_NOM,I733),0))</f>
        <v>0</v>
      </c>
      <c r="G733" s="44" t="n">
        <f aca="false">IF(I733="","",IF(INDEX(J_KRE,I733)=$C$3,INDEX(J_NOM,I733),0))</f>
        <v>1375000</v>
      </c>
      <c r="H733" s="44" t="n">
        <f aca="false">IF(I733="","",N(H732)+IF($C$5="Debet",F733-G733,G733-F733))</f>
        <v>-12548955</v>
      </c>
      <c r="I733" s="66" t="n">
        <f aca="false">IF(J733&gt;$K$1,"",IFERROR(MATCH(J733,J_BB,0),""))</f>
        <v>1084</v>
      </c>
      <c r="J733" s="66" t="n">
        <v>724</v>
      </c>
      <c r="K733" s="5"/>
    </row>
    <row r="734" customFormat="false" ht="15" hidden="false" customHeight="false" outlineLevel="0" collapsed="false">
      <c r="A734" s="5" t="n">
        <f aca="false">IF(I734="","",J734)</f>
        <v>725</v>
      </c>
      <c r="B734" s="83" t="n">
        <f aca="false">IF(I734="","",INDEX(J_TGL,I734))</f>
        <v>46257</v>
      </c>
      <c r="C734" s="5" t="str">
        <f aca="false">IF(I734="","",INDEX(J_NO,I734))</f>
        <v>JU-1085</v>
      </c>
      <c r="D734" s="5" t="str">
        <f aca="false">IF(I734="","",INDEX(J_KET,I734))</f>
        <v>Biji kopi/beans Yantos</v>
      </c>
      <c r="E734" s="5" t="str">
        <f aca="false">IF(I734="","",IF(INDEX(J_DEB,I734)=$C$3,INDEX(J_KRE,I734),INDEX(J_DEB,I734)))</f>
        <v>Biaya Bahan Baku</v>
      </c>
      <c r="F734" s="44" t="n">
        <f aca="false">IF(I734="","",IF(INDEX(J_DEB,I734)=$C$3,INDEX(J_NOM,I734),0))</f>
        <v>0</v>
      </c>
      <c r="G734" s="44" t="n">
        <f aca="false">IF(I734="","",IF(INDEX(J_KRE,I734)=$C$3,INDEX(J_NOM,I734),0))</f>
        <v>2252000</v>
      </c>
      <c r="H734" s="44" t="n">
        <f aca="false">IF(I734="","",N(H733)+IF($C$5="Debet",F734-G734,G734-F734))</f>
        <v>-14800955</v>
      </c>
      <c r="I734" s="66" t="n">
        <f aca="false">IF(J734&gt;$K$1,"",IFERROR(MATCH(J734,J_BB,0),""))</f>
        <v>1085</v>
      </c>
      <c r="J734" s="66" t="n">
        <v>725</v>
      </c>
      <c r="K734" s="5"/>
    </row>
    <row r="735" customFormat="false" ht="15" hidden="false" customHeight="false" outlineLevel="0" collapsed="false">
      <c r="A735" s="5" t="n">
        <f aca="false">IF(I735="","",J735)</f>
        <v>726</v>
      </c>
      <c r="B735" s="83" t="n">
        <f aca="false">IF(I735="","",INDEX(J_TGL,I735))</f>
        <v>46257</v>
      </c>
      <c r="C735" s="5" t="str">
        <f aca="false">IF(I735="","",INDEX(J_NO,I735))</f>
        <v>JU-1086</v>
      </c>
      <c r="D735" s="5" t="str">
        <f aca="false">IF(I735="","",INDEX(J_KET,I735))</f>
        <v>Pindah dana ke BCA dari tunai</v>
      </c>
      <c r="E735" s="5" t="str">
        <f aca="false">IF(I735="","",IF(INDEX(J_DEB,I735)=$C$3,INDEX(J_KRE,I735),INDEX(J_DEB,I735)))</f>
        <v>Kas Tunai</v>
      </c>
      <c r="F735" s="44" t="n">
        <f aca="false">IF(I735="","",IF(INDEX(J_DEB,I735)=$C$3,INDEX(J_NOM,I735),0))</f>
        <v>30000</v>
      </c>
      <c r="G735" s="44" t="n">
        <f aca="false">IF(I735="","",IF(INDEX(J_KRE,I735)=$C$3,INDEX(J_NOM,I735),0))</f>
        <v>0</v>
      </c>
      <c r="H735" s="44" t="n">
        <f aca="false">IF(I735="","",N(H734)+IF($C$5="Debet",F735-G735,G735-F735))</f>
        <v>-14770955</v>
      </c>
      <c r="I735" s="66" t="n">
        <f aca="false">IF(J735&gt;$K$1,"",IFERROR(MATCH(J735,J_BB,0),""))</f>
        <v>1086</v>
      </c>
      <c r="J735" s="66" t="n">
        <v>726</v>
      </c>
      <c r="K735" s="5"/>
    </row>
    <row r="736" customFormat="false" ht="15" hidden="false" customHeight="false" outlineLevel="0" collapsed="false">
      <c r="A736" s="5" t="n">
        <f aca="false">IF(I736="","",J736)</f>
        <v>727</v>
      </c>
      <c r="B736" s="83" t="n">
        <f aca="false">IF(I736="","",INDEX(J_TGL,I736))</f>
        <v>46258</v>
      </c>
      <c r="C736" s="5" t="str">
        <f aca="false">IF(I736="","",INDEX(J_NO,I736))</f>
        <v>JU-1087</v>
      </c>
      <c r="D736" s="5" t="str">
        <f aca="false">IF(I736="","",INDEX(J_KET,I736))</f>
        <v>Pindah dana bank ke kas warung (dana belanja bulanan)</v>
      </c>
      <c r="E736" s="5" t="str">
        <f aca="false">IF(I736="","",IF(INDEX(J_DEB,I736)=$C$3,INDEX(J_KRE,I736),INDEX(J_DEB,I736)))</f>
        <v>Kas Warung</v>
      </c>
      <c r="F736" s="44" t="n">
        <f aca="false">IF(I736="","",IF(INDEX(J_DEB,I736)=$C$3,INDEX(J_NOM,I736),0))</f>
        <v>0</v>
      </c>
      <c r="G736" s="44" t="n">
        <f aca="false">IF(I736="","",IF(INDEX(J_KRE,I736)=$C$3,INDEX(J_NOM,I736),0))</f>
        <v>5000000</v>
      </c>
      <c r="H736" s="44" t="n">
        <f aca="false">IF(I736="","",N(H735)+IF($C$5="Debet",F736-G736,G736-F736))</f>
        <v>-19770955</v>
      </c>
      <c r="I736" s="66" t="n">
        <f aca="false">IF(J736&gt;$K$1,"",IFERROR(MATCH(J736,J_BB,0),""))</f>
        <v>1087</v>
      </c>
      <c r="J736" s="66" t="n">
        <v>727</v>
      </c>
      <c r="K736" s="5"/>
    </row>
    <row r="737" customFormat="false" ht="15" hidden="false" customHeight="false" outlineLevel="0" collapsed="false">
      <c r="A737" s="5" t="n">
        <f aca="false">IF(I737="","",J737)</f>
        <v>728</v>
      </c>
      <c r="B737" s="83" t="n">
        <f aca="false">IF(I737="","",INDEX(J_TGL,I737))</f>
        <v>46258</v>
      </c>
      <c r="C737" s="5" t="str">
        <f aca="false">IF(I737="","",INDEX(J_NO,I737))</f>
        <v>JU-1088</v>
      </c>
      <c r="D737" s="5" t="str">
        <f aca="false">IF(I737="","",INDEX(J_KET,I737))</f>
        <v>Biaya transfer flip</v>
      </c>
      <c r="E737" s="5" t="str">
        <f aca="false">IF(I737="","",IF(INDEX(J_DEB,I737)=$C$3,INDEX(J_KRE,I737),INDEX(J_DEB,I737)))</f>
        <v>Biaya Lainnya</v>
      </c>
      <c r="F737" s="44" t="n">
        <f aca="false">IF(I737="","",IF(INDEX(J_DEB,I737)=$C$3,INDEX(J_NOM,I737),0))</f>
        <v>0</v>
      </c>
      <c r="G737" s="44" t="n">
        <f aca="false">IF(I737="","",IF(INDEX(J_KRE,I737)=$C$3,INDEX(J_NOM,I737),0))</f>
        <v>452</v>
      </c>
      <c r="H737" s="44" t="n">
        <f aca="false">IF(I737="","",N(H736)+IF($C$5="Debet",F737-G737,G737-F737))</f>
        <v>-19771407</v>
      </c>
      <c r="I737" s="66" t="n">
        <f aca="false">IF(J737&gt;$K$1,"",IFERROR(MATCH(J737,J_BB,0),""))</f>
        <v>1088</v>
      </c>
      <c r="J737" s="66" t="n">
        <v>728</v>
      </c>
      <c r="K737" s="5"/>
    </row>
    <row r="738" customFormat="false" ht="15" hidden="false" customHeight="false" outlineLevel="0" collapsed="false">
      <c r="A738" s="5" t="n">
        <f aca="false">IF(I738="","",J738)</f>
        <v>729</v>
      </c>
      <c r="B738" s="83" t="n">
        <f aca="false">IF(I738="","",INDEX(J_TGL,I738))</f>
        <v>46258</v>
      </c>
      <c r="C738" s="5" t="str">
        <f aca="false">IF(I738="","",INDEX(J_NO,I738))</f>
        <v>JU-1089</v>
      </c>
      <c r="D738" s="5" t="str">
        <f aca="false">IF(I738="","",INDEX(J_KET,I738))</f>
        <v>Cocoa : palm sugar, millac whipping cream, dairy champ</v>
      </c>
      <c r="E738" s="5" t="str">
        <f aca="false">IF(I738="","",IF(INDEX(J_DEB,I738)=$C$3,INDEX(J_KRE,I738),INDEX(J_DEB,I738)))</f>
        <v>Biaya Bahan Baku</v>
      </c>
      <c r="F738" s="44" t="n">
        <f aca="false">IF(I738="","",IF(INDEX(J_DEB,I738)=$C$3,INDEX(J_NOM,I738),0))</f>
        <v>0</v>
      </c>
      <c r="G738" s="44" t="n">
        <f aca="false">IF(I738="","",IF(INDEX(J_KRE,I738)=$C$3,INDEX(J_NOM,I738),0))</f>
        <v>1803920</v>
      </c>
      <c r="H738" s="44" t="n">
        <f aca="false">IF(I738="","",N(H737)+IF($C$5="Debet",F738-G738,G738-F738))</f>
        <v>-21575327</v>
      </c>
      <c r="I738" s="66" t="n">
        <f aca="false">IF(J738&gt;$K$1,"",IFERROR(MATCH(J738,J_BB,0),""))</f>
        <v>1089</v>
      </c>
      <c r="J738" s="66" t="n">
        <v>729</v>
      </c>
      <c r="K738" s="5"/>
    </row>
    <row r="739" customFormat="false" ht="15" hidden="false" customHeight="false" outlineLevel="0" collapsed="false">
      <c r="A739" s="5" t="n">
        <f aca="false">IF(I739="","",J739)</f>
        <v>730</v>
      </c>
      <c r="B739" s="83" t="n">
        <f aca="false">IF(I739="","",INDEX(J_TGL,I739))</f>
        <v>46258</v>
      </c>
      <c r="C739" s="5" t="str">
        <f aca="false">IF(I739="","",INDEX(J_NO,I739))</f>
        <v>JU-1090</v>
      </c>
      <c r="D739" s="5" t="str">
        <f aca="false">IF(I739="","",INDEX(J_KET,I739))</f>
        <v>Rak kulkas wadah snacks x 1 pc</v>
      </c>
      <c r="E739" s="5" t="str">
        <f aca="false">IF(I739="","",IF(INDEX(J_DEB,I739)=$C$3,INDEX(J_KRE,I739),INDEX(J_DEB,I739)))</f>
        <v>Beban Perlengkapan</v>
      </c>
      <c r="F739" s="44" t="n">
        <f aca="false">IF(I739="","",IF(INDEX(J_DEB,I739)=$C$3,INDEX(J_NOM,I739),0))</f>
        <v>0</v>
      </c>
      <c r="G739" s="44" t="n">
        <f aca="false">IF(I739="","",IF(INDEX(J_KRE,I739)=$C$3,INDEX(J_NOM,I739),0))</f>
        <v>51875</v>
      </c>
      <c r="H739" s="44" t="n">
        <f aca="false">IF(I739="","",N(H738)+IF($C$5="Debet",F739-G739,G739-F739))</f>
        <v>-21627202</v>
      </c>
      <c r="I739" s="66" t="n">
        <f aca="false">IF(J739&gt;$K$1,"",IFERROR(MATCH(J739,J_BB,0),""))</f>
        <v>1090</v>
      </c>
      <c r="J739" s="66" t="n">
        <v>730</v>
      </c>
      <c r="K739" s="5"/>
    </row>
    <row r="740" customFormat="false" ht="15" hidden="false" customHeight="false" outlineLevel="0" collapsed="false">
      <c r="A740" s="5" t="n">
        <f aca="false">IF(I740="","",J740)</f>
        <v>731</v>
      </c>
      <c r="B740" s="83" t="n">
        <f aca="false">IF(I740="","",INDEX(J_TGL,I740))</f>
        <v>46258</v>
      </c>
      <c r="C740" s="5" t="str">
        <f aca="false">IF(I740="","",INDEX(J_NO,I740))</f>
        <v>JU-1091</v>
      </c>
      <c r="D740" s="5" t="str">
        <f aca="false">IF(I740="","",INDEX(J_KET,I740))</f>
        <v>Parama : syrup vanilla, caramel, romma, greentea 2, gula cair, peach 3</v>
      </c>
      <c r="E740" s="5" t="str">
        <f aca="false">IF(I740="","",IF(INDEX(J_DEB,I740)=$C$3,INDEX(J_KRE,I740),INDEX(J_DEB,I740)))</f>
        <v>Biaya Bahan Baku</v>
      </c>
      <c r="F740" s="44" t="n">
        <f aca="false">IF(I740="","",IF(INDEX(J_DEB,I740)=$C$3,INDEX(J_NOM,I740),0))</f>
        <v>0</v>
      </c>
      <c r="G740" s="44" t="n">
        <f aca="false">IF(I740="","",IF(INDEX(J_KRE,I740)=$C$3,INDEX(J_NOM,I740),0))</f>
        <v>1153000</v>
      </c>
      <c r="H740" s="44" t="n">
        <f aca="false">IF(I740="","",N(H739)+IF($C$5="Debet",F740-G740,G740-F740))</f>
        <v>-22780202</v>
      </c>
      <c r="I740" s="66" t="n">
        <f aca="false">IF(J740&gt;$K$1,"",IFERROR(MATCH(J740,J_BB,0),""))</f>
        <v>1091</v>
      </c>
      <c r="J740" s="66" t="n">
        <v>731</v>
      </c>
      <c r="K740" s="5"/>
    </row>
    <row r="741" customFormat="false" ht="15" hidden="false" customHeight="false" outlineLevel="0" collapsed="false">
      <c r="A741" s="5" t="n">
        <f aca="false">IF(I741="","",J741)</f>
        <v>732</v>
      </c>
      <c r="B741" s="83" t="n">
        <f aca="false">IF(I741="","",INDEX(J_TGL,I741))</f>
        <v>46259</v>
      </c>
      <c r="C741" s="5" t="str">
        <f aca="false">IF(I741="","",INDEX(J_NO,I741))</f>
        <v>JU-1092</v>
      </c>
      <c r="D741" s="5" t="str">
        <f aca="false">IF(I741="","",INDEX(J_KET,I741))</f>
        <v>Pindah dana ke tunai dari BCA</v>
      </c>
      <c r="E741" s="5" t="str">
        <f aca="false">IF(I741="","",IF(INDEX(J_DEB,I741)=$C$3,INDEX(J_KRE,I741),INDEX(J_DEB,I741)))</f>
        <v>Kas Tunai</v>
      </c>
      <c r="F741" s="44" t="n">
        <f aca="false">IF(I741="","",IF(INDEX(J_DEB,I741)=$C$3,INDEX(J_NOM,I741),0))</f>
        <v>0</v>
      </c>
      <c r="G741" s="44" t="n">
        <f aca="false">IF(I741="","",IF(INDEX(J_KRE,I741)=$C$3,INDEX(J_NOM,I741),0))</f>
        <v>2100000</v>
      </c>
      <c r="H741" s="44" t="n">
        <f aca="false">IF(I741="","",N(H740)+IF($C$5="Debet",F741-G741,G741-F741))</f>
        <v>-24880202</v>
      </c>
      <c r="I741" s="66" t="n">
        <f aca="false">IF(J741&gt;$K$1,"",IFERROR(MATCH(J741,J_BB,0),""))</f>
        <v>1092</v>
      </c>
      <c r="J741" s="66" t="n">
        <v>732</v>
      </c>
      <c r="K741" s="5"/>
    </row>
    <row r="742" customFormat="false" ht="15" hidden="false" customHeight="false" outlineLevel="0" collapsed="false">
      <c r="A742" s="5" t="n">
        <f aca="false">IF(I742="","",J742)</f>
        <v>733</v>
      </c>
      <c r="B742" s="83" t="n">
        <f aca="false">IF(I742="","",INDEX(J_TGL,I742))</f>
        <v>46259</v>
      </c>
      <c r="C742" s="5" t="str">
        <f aca="false">IF(I742="","",INDEX(J_NO,I742))</f>
        <v>JU-1093</v>
      </c>
      <c r="D742" s="5" t="str">
        <f aca="false">IF(I742="","",INDEX(J_KET,I742))</f>
        <v>Pindah dana ke tunai dari BCA</v>
      </c>
      <c r="E742" s="5" t="str">
        <f aca="false">IF(I742="","",IF(INDEX(J_DEB,I742)=$C$3,INDEX(J_KRE,I742),INDEX(J_DEB,I742)))</f>
        <v>Kas Tunai</v>
      </c>
      <c r="F742" s="44" t="n">
        <f aca="false">IF(I742="","",IF(INDEX(J_DEB,I742)=$C$3,INDEX(J_NOM,I742),0))</f>
        <v>0</v>
      </c>
      <c r="G742" s="44" t="n">
        <f aca="false">IF(I742="","",IF(INDEX(J_KRE,I742)=$C$3,INDEX(J_NOM,I742),0))</f>
        <v>310000</v>
      </c>
      <c r="H742" s="44" t="n">
        <f aca="false">IF(I742="","",N(H741)+IF($C$5="Debet",F742-G742,G742-F742))</f>
        <v>-25190202</v>
      </c>
      <c r="I742" s="66" t="n">
        <f aca="false">IF(J742&gt;$K$1,"",IFERROR(MATCH(J742,J_BB,0),""))</f>
        <v>1093</v>
      </c>
      <c r="J742" s="66" t="n">
        <v>733</v>
      </c>
      <c r="K742" s="5"/>
    </row>
    <row r="743" customFormat="false" ht="15" hidden="false" customHeight="false" outlineLevel="0" collapsed="false">
      <c r="A743" s="5" t="n">
        <f aca="false">IF(I743="","",J743)</f>
        <v>734</v>
      </c>
      <c r="B743" s="83" t="n">
        <f aca="false">IF(I743="","",INDEX(J_TGL,I743))</f>
        <v>46260</v>
      </c>
      <c r="C743" s="5" t="str">
        <f aca="false">IF(I743="","",INDEX(J_NO,I743))</f>
        <v>JU-1094</v>
      </c>
      <c r="D743" s="5" t="str">
        <f aca="false">IF(I743="","",INDEX(J_KET,I743))</f>
        <v>lomba moctail di hotel Dharmawangsa</v>
      </c>
      <c r="E743" s="5" t="str">
        <f aca="false">IF(I743="","",IF(INDEX(J_DEB,I743)=$C$3,INDEX(J_KRE,I743),INDEX(J_DEB,I743)))</f>
        <v>Biaya Marketing &amp; Promosi</v>
      </c>
      <c r="F743" s="44" t="n">
        <f aca="false">IF(I743="","",IF(INDEX(J_DEB,I743)=$C$3,INDEX(J_NOM,I743),0))</f>
        <v>0</v>
      </c>
      <c r="G743" s="44" t="n">
        <f aca="false">IF(I743="","",IF(INDEX(J_KRE,I743)=$C$3,INDEX(J_NOM,I743),0))</f>
        <v>100000</v>
      </c>
      <c r="H743" s="44" t="n">
        <f aca="false">IF(I743="","",N(H742)+IF($C$5="Debet",F743-G743,G743-F743))</f>
        <v>-25290202</v>
      </c>
      <c r="I743" s="66" t="n">
        <f aca="false">IF(J743&gt;$K$1,"",IFERROR(MATCH(J743,J_BB,0),""))</f>
        <v>1094</v>
      </c>
      <c r="J743" s="66" t="n">
        <v>734</v>
      </c>
      <c r="K743" s="5"/>
    </row>
    <row r="744" customFormat="false" ht="15" hidden="false" customHeight="false" outlineLevel="0" collapsed="false">
      <c r="A744" s="5" t="n">
        <f aca="false">IF(I744="","",J744)</f>
        <v>735</v>
      </c>
      <c r="B744" s="83" t="n">
        <f aca="false">IF(I744="","",INDEX(J_TGL,I744))</f>
        <v>46260</v>
      </c>
      <c r="C744" s="5" t="str">
        <f aca="false">IF(I744="","",INDEX(J_NO,I744))</f>
        <v>JU-1095</v>
      </c>
      <c r="D744" s="5" t="str">
        <f aca="false">IF(I744="","",INDEX(J_KET,I744))</f>
        <v>reimburse traktir makan kru </v>
      </c>
      <c r="E744" s="5" t="str">
        <f aca="false">IF(I744="","",IF(INDEX(J_DEB,I744)=$C$3,INDEX(J_KRE,I744),INDEX(J_DEB,I744)))</f>
        <v>Biaya Operasional Harian</v>
      </c>
      <c r="F744" s="44" t="n">
        <f aca="false">IF(I744="","",IF(INDEX(J_DEB,I744)=$C$3,INDEX(J_NOM,I744),0))</f>
        <v>0</v>
      </c>
      <c r="G744" s="44" t="n">
        <f aca="false">IF(I744="","",IF(INDEX(J_KRE,I744)=$C$3,INDEX(J_NOM,I744),0))</f>
        <v>114000</v>
      </c>
      <c r="H744" s="44" t="n">
        <f aca="false">IF(I744="","",N(H743)+IF($C$5="Debet",F744-G744,G744-F744))</f>
        <v>-25404202</v>
      </c>
      <c r="I744" s="66" t="n">
        <f aca="false">IF(J744&gt;$K$1,"",IFERROR(MATCH(J744,J_BB,0),""))</f>
        <v>1095</v>
      </c>
      <c r="J744" s="66" t="n">
        <v>735</v>
      </c>
      <c r="K744" s="5"/>
    </row>
    <row r="745" customFormat="false" ht="15" hidden="false" customHeight="false" outlineLevel="0" collapsed="false">
      <c r="A745" s="5" t="n">
        <f aca="false">IF(I745="","",J745)</f>
        <v>736</v>
      </c>
      <c r="B745" s="83" t="n">
        <f aca="false">IF(I745="","",INDEX(J_TGL,I745))</f>
        <v>46260</v>
      </c>
      <c r="C745" s="5" t="str">
        <f aca="false">IF(I745="","",INDEX(J_NO,I745))</f>
        <v>JU-1096</v>
      </c>
      <c r="D745" s="5" t="str">
        <f aca="false">IF(I745="","",INDEX(J_KET,I745))</f>
        <v>Biaya transfer flip</v>
      </c>
      <c r="E745" s="5" t="str">
        <f aca="false">IF(I745="","",IF(INDEX(J_DEB,I745)=$C$3,INDEX(J_KRE,I745),INDEX(J_DEB,I745)))</f>
        <v>Biaya Lainnya</v>
      </c>
      <c r="F745" s="44" t="n">
        <f aca="false">IF(I745="","",IF(INDEX(J_DEB,I745)=$C$3,INDEX(J_NOM,I745),0))</f>
        <v>0</v>
      </c>
      <c r="G745" s="44" t="n">
        <f aca="false">IF(I745="","",IF(INDEX(J_KRE,I745)=$C$3,INDEX(J_NOM,I745),0))</f>
        <v>326</v>
      </c>
      <c r="H745" s="44" t="n">
        <f aca="false">IF(I745="","",N(H744)+IF($C$5="Debet",F745-G745,G745-F745))</f>
        <v>-25404528</v>
      </c>
      <c r="I745" s="66" t="n">
        <f aca="false">IF(J745&gt;$K$1,"",IFERROR(MATCH(J745,J_BB,0),""))</f>
        <v>1096</v>
      </c>
      <c r="J745" s="66" t="n">
        <v>736</v>
      </c>
      <c r="K745" s="5"/>
    </row>
    <row r="746" customFormat="false" ht="15" hidden="false" customHeight="false" outlineLevel="0" collapsed="false">
      <c r="A746" s="5" t="n">
        <f aca="false">IF(I746="","",J746)</f>
        <v>737</v>
      </c>
      <c r="B746" s="83" t="n">
        <f aca="false">IF(I746="","",INDEX(J_TGL,I746))</f>
        <v>46260</v>
      </c>
      <c r="C746" s="5" t="str">
        <f aca="false">IF(I746="","",INDEX(J_NO,I746))</f>
        <v>JU-1097</v>
      </c>
      <c r="D746" s="5" t="str">
        <f aca="false">IF(I746="","",INDEX(J_KET,I746))</f>
        <v>Membayar gaji pegawai</v>
      </c>
      <c r="E746" s="5" t="str">
        <f aca="false">IF(I746="","",IF(INDEX(J_DEB,I746)=$C$3,INDEX(J_KRE,I746),INDEX(J_DEB,I746)))</f>
        <v>Beban Gaji</v>
      </c>
      <c r="F746" s="44" t="n">
        <f aca="false">IF(I746="","",IF(INDEX(J_DEB,I746)=$C$3,INDEX(J_NOM,I746),0))</f>
        <v>0</v>
      </c>
      <c r="G746" s="44" t="n">
        <f aca="false">IF(I746="","",IF(INDEX(J_KRE,I746)=$C$3,INDEX(J_NOM,I746),0))</f>
        <v>21569333</v>
      </c>
      <c r="H746" s="44" t="n">
        <f aca="false">IF(I746="","",N(H745)+IF($C$5="Debet",F746-G746,G746-F746))</f>
        <v>-46973861</v>
      </c>
      <c r="I746" s="66" t="n">
        <f aca="false">IF(J746&gt;$K$1,"",IFERROR(MATCH(J746,J_BB,0),""))</f>
        <v>1097</v>
      </c>
      <c r="J746" s="66" t="n">
        <v>737</v>
      </c>
      <c r="K746" s="5"/>
    </row>
    <row r="747" customFormat="false" ht="15" hidden="false" customHeight="false" outlineLevel="0" collapsed="false">
      <c r="A747" s="5" t="n">
        <f aca="false">IF(I747="","",J747)</f>
        <v>738</v>
      </c>
      <c r="B747" s="83" t="n">
        <f aca="false">IF(I747="","",INDEX(J_TGL,I747))</f>
        <v>46261</v>
      </c>
      <c r="C747" s="5" t="str">
        <f aca="false">IF(I747="","",INDEX(J_NO,I747))</f>
        <v>JU-1098</v>
      </c>
      <c r="D747" s="5" t="str">
        <f aca="false">IF(I747="","",INDEX(J_KET,I747))</f>
        <v>Takeaway cup+lid  12oz x 2000 INV 22/7/26</v>
      </c>
      <c r="E747" s="5" t="str">
        <f aca="false">IF(I747="","",IF(INDEX(J_DEB,I747)=$C$3,INDEX(J_KRE,I747),INDEX(J_DEB,I747)))</f>
        <v>Biaya Penyajian</v>
      </c>
      <c r="F747" s="44" t="n">
        <f aca="false">IF(I747="","",IF(INDEX(J_DEB,I747)=$C$3,INDEX(J_NOM,I747),0))</f>
        <v>0</v>
      </c>
      <c r="G747" s="44" t="n">
        <f aca="false">IF(I747="","",IF(INDEX(J_KRE,I747)=$C$3,INDEX(J_NOM,I747),0))</f>
        <v>1500000</v>
      </c>
      <c r="H747" s="44" t="n">
        <f aca="false">IF(I747="","",N(H746)+IF($C$5="Debet",F747-G747,G747-F747))</f>
        <v>-48473861</v>
      </c>
      <c r="I747" s="66" t="n">
        <f aca="false">IF(J747&gt;$K$1,"",IFERROR(MATCH(J747,J_BB,0),""))</f>
        <v>1098</v>
      </c>
      <c r="J747" s="66" t="n">
        <v>738</v>
      </c>
      <c r="K747" s="5"/>
    </row>
    <row r="748" customFormat="false" ht="15" hidden="false" customHeight="false" outlineLevel="0" collapsed="false">
      <c r="A748" s="5" t="n">
        <f aca="false">IF(I748="","",J748)</f>
        <v>739</v>
      </c>
      <c r="B748" s="83" t="n">
        <f aca="false">IF(I748="","",INDEX(J_TGL,I748))</f>
        <v>46261</v>
      </c>
      <c r="C748" s="5" t="str">
        <f aca="false">IF(I748="","",INDEX(J_NO,I748))</f>
        <v>JU-1099</v>
      </c>
      <c r="D748" s="5" t="str">
        <f aca="false">IF(I748="","",INDEX(J_KET,I748))</f>
        <v>Takeaway cup+lid  12oz x 2000 INV 8/8/26</v>
      </c>
      <c r="E748" s="5" t="str">
        <f aca="false">IF(I748="","",IF(INDEX(J_DEB,I748)=$C$3,INDEX(J_KRE,I748),INDEX(J_DEB,I748)))</f>
        <v>Biaya Penyajian</v>
      </c>
      <c r="F748" s="44" t="n">
        <f aca="false">IF(I748="","",IF(INDEX(J_DEB,I748)=$C$3,INDEX(J_NOM,I748),0))</f>
        <v>0</v>
      </c>
      <c r="G748" s="44" t="n">
        <f aca="false">IF(I748="","",IF(INDEX(J_KRE,I748)=$C$3,INDEX(J_NOM,I748),0))</f>
        <v>1470000</v>
      </c>
      <c r="H748" s="44" t="n">
        <f aca="false">IF(I748="","",N(H747)+IF($C$5="Debet",F748-G748,G748-F748))</f>
        <v>-49943861</v>
      </c>
      <c r="I748" s="66" t="n">
        <f aca="false">IF(J748&gt;$K$1,"",IFERROR(MATCH(J748,J_BB,0),""))</f>
        <v>1099</v>
      </c>
      <c r="J748" s="66" t="n">
        <v>739</v>
      </c>
      <c r="K748" s="5"/>
    </row>
    <row r="749" customFormat="false" ht="15" hidden="false" customHeight="false" outlineLevel="0" collapsed="false">
      <c r="A749" s="5" t="n">
        <f aca="false">IF(I749="","",J749)</f>
        <v>740</v>
      </c>
      <c r="B749" s="83" t="n">
        <f aca="false">IF(I749="","",INDEX(J_TGL,I749))</f>
        <v>46262</v>
      </c>
      <c r="C749" s="5" t="str">
        <f aca="false">IF(I749="","",INDEX(J_NO,I749))</f>
        <v>JU-1101</v>
      </c>
      <c r="D749" s="5" t="str">
        <f aca="false">IF(I749="","",INDEX(J_KET,I749))</f>
        <v>Alas anti slip x 5 pcs</v>
      </c>
      <c r="E749" s="5" t="str">
        <f aca="false">IF(I749="","",IF(INDEX(J_DEB,I749)=$C$3,INDEX(J_KRE,I749),INDEX(J_DEB,I749)))</f>
        <v>Beban Perlengkapan</v>
      </c>
      <c r="F749" s="44" t="n">
        <f aca="false">IF(I749="","",IF(INDEX(J_DEB,I749)=$C$3,INDEX(J_NOM,I749),0))</f>
        <v>0</v>
      </c>
      <c r="G749" s="44" t="n">
        <f aca="false">IF(I749="","",IF(INDEX(J_KRE,I749)=$C$3,INDEX(J_NOM,I749),0))</f>
        <v>102000</v>
      </c>
      <c r="H749" s="44" t="n">
        <f aca="false">IF(I749="","",N(H748)+IF($C$5="Debet",F749-G749,G749-F749))</f>
        <v>-50045861</v>
      </c>
      <c r="I749" s="66" t="n">
        <f aca="false">IF(J749&gt;$K$1,"",IFERROR(MATCH(J749,J_BB,0),""))</f>
        <v>1101</v>
      </c>
      <c r="J749" s="66" t="n">
        <v>740</v>
      </c>
      <c r="K749" s="5"/>
    </row>
    <row r="750" customFormat="false" ht="15" hidden="false" customHeight="false" outlineLevel="0" collapsed="false">
      <c r="A750" s="5" t="n">
        <f aca="false">IF(I750="","",J750)</f>
        <v>741</v>
      </c>
      <c r="B750" s="83" t="n">
        <f aca="false">IF(I750="","",INDEX(J_TGL,I750))</f>
        <v>46262</v>
      </c>
      <c r="C750" s="5" t="str">
        <f aca="false">IF(I750="","",INDEX(J_NO,I750))</f>
        <v>JU-1102</v>
      </c>
      <c r="D750" s="5" t="str">
        <f aca="false">IF(I750="","",INDEX(J_KET,I750))</f>
        <v>Bayar Premium Claude AI</v>
      </c>
      <c r="E750" s="5" t="str">
        <f aca="false">IF(I750="","",IF(INDEX(J_DEB,I750)=$C$3,INDEX(J_KRE,I750),INDEX(J_DEB,I750)))</f>
        <v>Biaya Tagihan Bulanan</v>
      </c>
      <c r="F750" s="44" t="n">
        <f aca="false">IF(I750="","",IF(INDEX(J_DEB,I750)=$C$3,INDEX(J_NOM,I750),0))</f>
        <v>0</v>
      </c>
      <c r="G750" s="44" t="n">
        <f aca="false">IF(I750="","",IF(INDEX(J_KRE,I750)=$C$3,INDEX(J_NOM,I750),0))</f>
        <v>389000</v>
      </c>
      <c r="H750" s="44" t="n">
        <f aca="false">IF(I750="","",N(H749)+IF($C$5="Debet",F750-G750,G750-F750))</f>
        <v>-50434861</v>
      </c>
      <c r="I750" s="66" t="n">
        <f aca="false">IF(J750&gt;$K$1,"",IFERROR(MATCH(J750,J_BB,0),""))</f>
        <v>1102</v>
      </c>
      <c r="J750" s="66" t="n">
        <v>741</v>
      </c>
      <c r="K750" s="5"/>
    </row>
    <row r="751" customFormat="false" ht="15" hidden="false" customHeight="false" outlineLevel="0" collapsed="false">
      <c r="A751" s="5" t="n">
        <f aca="false">IF(I751="","",J751)</f>
        <v>742</v>
      </c>
      <c r="B751" s="83" t="n">
        <f aca="false">IF(I751="","",INDEX(J_TGL,I751))</f>
        <v>46263</v>
      </c>
      <c r="C751" s="5" t="str">
        <f aca="false">IF(I751="","",INDEX(J_NO,I751))</f>
        <v>JU-1103</v>
      </c>
      <c r="D751" s="5" t="str">
        <f aca="false">IF(I751="","",INDEX(J_KET,I751))</f>
        <v>Membayar bonus pegawai</v>
      </c>
      <c r="E751" s="5" t="str">
        <f aca="false">IF(I751="","",IF(INDEX(J_DEB,I751)=$C$3,INDEX(J_KRE,I751),INDEX(J_DEB,I751)))</f>
        <v>Beban Gaji</v>
      </c>
      <c r="F751" s="44" t="n">
        <f aca="false">IF(I751="","",IF(INDEX(J_DEB,I751)=$C$3,INDEX(J_NOM,I751),0))</f>
        <v>0</v>
      </c>
      <c r="G751" s="44" t="n">
        <f aca="false">IF(I751="","",IF(INDEX(J_KRE,I751)=$C$3,INDEX(J_NOM,I751),0))</f>
        <v>1100000</v>
      </c>
      <c r="H751" s="44" t="n">
        <f aca="false">IF(I751="","",N(H750)+IF($C$5="Debet",F751-G751,G751-F751))</f>
        <v>-51534861</v>
      </c>
      <c r="I751" s="66" t="n">
        <f aca="false">IF(J751&gt;$K$1,"",IFERROR(MATCH(J751,J_BB,0),""))</f>
        <v>1103</v>
      </c>
      <c r="J751" s="66" t="n">
        <v>742</v>
      </c>
      <c r="K751" s="5"/>
    </row>
    <row r="752" customFormat="false" ht="15" hidden="false" customHeight="false" outlineLevel="0" collapsed="false">
      <c r="A752" s="5" t="n">
        <f aca="false">IF(I752="","",J752)</f>
        <v>743</v>
      </c>
      <c r="B752" s="83" t="n">
        <f aca="false">IF(I752="","",INDEX(J_TGL,I752))</f>
        <v>46263</v>
      </c>
      <c r="C752" s="5" t="str">
        <f aca="false">IF(I752="","",INDEX(J_NO,I752))</f>
        <v>JU-1104</v>
      </c>
      <c r="D752" s="5" t="str">
        <f aca="false">IF(I752="","",INDEX(J_KET,I752))</f>
        <v>Cicilan kasbon rangga</v>
      </c>
      <c r="E752" s="5" t="str">
        <f aca="false">IF(I752="","",IF(INDEX(J_DEB,I752)=$C$3,INDEX(J_KRE,I752),INDEX(J_DEB,I752)))</f>
        <v>Piutang Lainnya</v>
      </c>
      <c r="F752" s="44" t="n">
        <f aca="false">IF(I752="","",IF(INDEX(J_DEB,I752)=$C$3,INDEX(J_NOM,I752),0))</f>
        <v>333333</v>
      </c>
      <c r="G752" s="44" t="n">
        <f aca="false">IF(I752="","",IF(INDEX(J_KRE,I752)=$C$3,INDEX(J_NOM,I752),0))</f>
        <v>0</v>
      </c>
      <c r="H752" s="44" t="n">
        <f aca="false">IF(I752="","",N(H751)+IF($C$5="Debet",F752-G752,G752-F752))</f>
        <v>-51201528</v>
      </c>
      <c r="I752" s="66" t="n">
        <f aca="false">IF(J752&gt;$K$1,"",IFERROR(MATCH(J752,J_BB,0),""))</f>
        <v>1104</v>
      </c>
      <c r="J752" s="66" t="n">
        <v>743</v>
      </c>
      <c r="K752" s="5"/>
    </row>
    <row r="753" customFormat="false" ht="15" hidden="false" customHeight="false" outlineLevel="0" collapsed="false">
      <c r="A753" s="5" t="n">
        <f aca="false">IF(I753="","",J753)</f>
        <v>744</v>
      </c>
      <c r="B753" s="83" t="n">
        <f aca="false">IF(I753="","",INDEX(J_TGL,I753))</f>
        <v>46263</v>
      </c>
      <c r="C753" s="5" t="str">
        <f aca="false">IF(I753="","",INDEX(J_NO,I753))</f>
        <v>JU-1105</v>
      </c>
      <c r="D753" s="5" t="str">
        <f aca="false">IF(I753="","",INDEX(J_KET,I753))</f>
        <v>Biaya flip untuk transfer gaji</v>
      </c>
      <c r="E753" s="5" t="str">
        <f aca="false">IF(I753="","",IF(INDEX(J_DEB,I753)=$C$3,INDEX(J_KRE,I753),INDEX(J_DEB,I753)))</f>
        <v>Biaya Lainnya</v>
      </c>
      <c r="F753" s="44" t="n">
        <f aca="false">IF(I753="","",IF(INDEX(J_DEB,I753)=$C$3,INDEX(J_NOM,I753),0))</f>
        <v>0</v>
      </c>
      <c r="G753" s="44" t="n">
        <f aca="false">IF(I753="","",IF(INDEX(J_KRE,I753)=$C$3,INDEX(J_NOM,I753),0))</f>
        <v>2301</v>
      </c>
      <c r="H753" s="44" t="n">
        <f aca="false">IF(I753="","",N(H752)+IF($C$5="Debet",F753-G753,G753-F753))</f>
        <v>-51203829</v>
      </c>
      <c r="I753" s="66" t="n">
        <f aca="false">IF(J753&gt;$K$1,"",IFERROR(MATCH(J753,J_BB,0),""))</f>
        <v>1105</v>
      </c>
      <c r="J753" s="66" t="n">
        <v>744</v>
      </c>
      <c r="K753" s="5"/>
    </row>
    <row r="754" customFormat="false" ht="15" hidden="false" customHeight="false" outlineLevel="0" collapsed="false">
      <c r="A754" s="5" t="n">
        <f aca="false">IF(I754="","",J754)</f>
        <v>745</v>
      </c>
      <c r="B754" s="83" t="n">
        <f aca="false">IF(I754="","",INDEX(J_TGL,I754))</f>
        <v>46263</v>
      </c>
      <c r="C754" s="5" t="str">
        <f aca="false">IF(I754="","",INDEX(J_NO,I754))</f>
        <v>JU-1106</v>
      </c>
      <c r="D754" s="5" t="str">
        <f aca="false">IF(I754="","",INDEX(J_KET,I754))</f>
        <v>Pindah dana bank ke kas warung (tambahan belanja)</v>
      </c>
      <c r="E754" s="5" t="str">
        <f aca="false">IF(I754="","",IF(INDEX(J_DEB,I754)=$C$3,INDEX(J_KRE,I754),INDEX(J_DEB,I754)))</f>
        <v>Kas Warung</v>
      </c>
      <c r="F754" s="44" t="n">
        <f aca="false">IF(I754="","",IF(INDEX(J_DEB,I754)=$C$3,INDEX(J_NOM,I754),0))</f>
        <v>0</v>
      </c>
      <c r="G754" s="44" t="n">
        <f aca="false">IF(I754="","",IF(INDEX(J_KRE,I754)=$C$3,INDEX(J_NOM,I754),0))</f>
        <v>500000</v>
      </c>
      <c r="H754" s="44" t="n">
        <f aca="false">IF(I754="","",N(H753)+IF($C$5="Debet",F754-G754,G754-F754))</f>
        <v>-51703829</v>
      </c>
      <c r="I754" s="66" t="n">
        <f aca="false">IF(J754&gt;$K$1,"",IFERROR(MATCH(J754,J_BB,0),""))</f>
        <v>1106</v>
      </c>
      <c r="J754" s="66" t="n">
        <v>745</v>
      </c>
      <c r="K754" s="5"/>
    </row>
    <row r="755" customFormat="false" ht="15" hidden="false" customHeight="false" outlineLevel="0" collapsed="false">
      <c r="A755" s="5" t="n">
        <f aca="false">IF(I755="","",J755)</f>
        <v>746</v>
      </c>
      <c r="B755" s="83" t="n">
        <f aca="false">IF(I755="","",INDEX(J_TGL,I755))</f>
        <v>46263</v>
      </c>
      <c r="C755" s="5" t="str">
        <f aca="false">IF(I755="","",INDEX(J_NO,I755))</f>
        <v>JU-1107</v>
      </c>
      <c r="D755" s="5" t="str">
        <f aca="false">IF(I755="","",INDEX(J_KET,I755))</f>
        <v>Biaya transfer flip</v>
      </c>
      <c r="E755" s="5" t="str">
        <f aca="false">IF(I755="","",IF(INDEX(J_DEB,I755)=$C$3,INDEX(J_KRE,I755),INDEX(J_DEB,I755)))</f>
        <v>Biaya Lainnya</v>
      </c>
      <c r="F755" s="44" t="n">
        <f aca="false">IF(I755="","",IF(INDEX(J_DEB,I755)=$C$3,INDEX(J_NOM,I755),0))</f>
        <v>0</v>
      </c>
      <c r="G755" s="44" t="n">
        <f aca="false">IF(I755="","",IF(INDEX(J_KRE,I755)=$C$3,INDEX(J_NOM,I755),0))</f>
        <v>378</v>
      </c>
      <c r="H755" s="44" t="n">
        <f aca="false">IF(I755="","",N(H754)+IF($C$5="Debet",F755-G755,G755-F755))</f>
        <v>-51704207</v>
      </c>
      <c r="I755" s="66" t="n">
        <f aca="false">IF(J755&gt;$K$1,"",IFERROR(MATCH(J755,J_BB,0),""))</f>
        <v>1107</v>
      </c>
      <c r="J755" s="66" t="n">
        <v>746</v>
      </c>
      <c r="K755" s="5"/>
    </row>
    <row r="756" customFormat="false" ht="15" hidden="false" customHeight="false" outlineLevel="0" collapsed="false">
      <c r="A756" s="5" t="n">
        <f aca="false">IF(I756="","",J756)</f>
        <v>747</v>
      </c>
      <c r="B756" s="83" t="n">
        <f aca="false">IF(I756="","",INDEX(J_TGL,I756))</f>
        <v>46263</v>
      </c>
      <c r="C756" s="5" t="str">
        <f aca="false">IF(I756="","",INDEX(J_NO,I756))</f>
        <v>JU-1108</v>
      </c>
      <c r="D756" s="5" t="str">
        <f aca="false">IF(I756="","",INDEX(J_KET,I756))</f>
        <v>DP sewa booth tenant di SCP</v>
      </c>
      <c r="E756" s="5" t="str">
        <f aca="false">IF(I756="","",IF(INDEX(J_DEB,I756)=$C$3,INDEX(J_KRE,I756),INDEX(J_DEB,I756)))</f>
        <v>Biaya Marketing &amp; Promosi</v>
      </c>
      <c r="F756" s="44" t="n">
        <f aca="false">IF(I756="","",IF(INDEX(J_DEB,I756)=$C$3,INDEX(J_NOM,I756),0))</f>
        <v>0</v>
      </c>
      <c r="G756" s="44" t="n">
        <f aca="false">IF(I756="","",IF(INDEX(J_KRE,I756)=$C$3,INDEX(J_NOM,I756),0))</f>
        <v>1500000</v>
      </c>
      <c r="H756" s="44" t="n">
        <f aca="false">IF(I756="","",N(H755)+IF($C$5="Debet",F756-G756,G756-F756))</f>
        <v>-53204207</v>
      </c>
      <c r="I756" s="66" t="n">
        <f aca="false">IF(J756&gt;$K$1,"",IFERROR(MATCH(J756,J_BB,0),""))</f>
        <v>1108</v>
      </c>
      <c r="J756" s="66" t="n">
        <v>747</v>
      </c>
      <c r="K756" s="5"/>
    </row>
    <row r="757" customFormat="false" ht="15" hidden="false" customHeight="false" outlineLevel="0" collapsed="false">
      <c r="A757" s="5" t="n">
        <f aca="false">IF(I757="","",J757)</f>
        <v>748</v>
      </c>
      <c r="B757" s="83" t="n">
        <f aca="false">IF(I757="","",INDEX(J_TGL,I757))</f>
        <v>46263</v>
      </c>
      <c r="C757" s="5" t="str">
        <f aca="false">IF(I757="","",INDEX(J_NO,I757))</f>
        <v>JU-1109</v>
      </c>
      <c r="D757" s="5" t="str">
        <f aca="false">IF(I757="","",INDEX(J_KET,I757))</f>
        <v>Bachtiar menukar selisih kasir tgl 21 dg potong gaji</v>
      </c>
      <c r="E757" s="5" t="str">
        <f aca="false">IF(I757="","",IF(INDEX(J_DEB,I757)=$C$3,INDEX(J_KRE,I757),INDEX(J_DEB,I757)))</f>
        <v>Pendapatan Lainnya</v>
      </c>
      <c r="F757" s="44" t="n">
        <f aca="false">IF(I757="","",IF(INDEX(J_DEB,I757)=$C$3,INDEX(J_NOM,I757),0))</f>
        <v>100000</v>
      </c>
      <c r="G757" s="44" t="n">
        <f aca="false">IF(I757="","",IF(INDEX(J_KRE,I757)=$C$3,INDEX(J_NOM,I757),0))</f>
        <v>0</v>
      </c>
      <c r="H757" s="44" t="n">
        <f aca="false">IF(I757="","",N(H756)+IF($C$5="Debet",F757-G757,G757-F757))</f>
        <v>-53104207</v>
      </c>
      <c r="I757" s="66" t="n">
        <f aca="false">IF(J757&gt;$K$1,"",IFERROR(MATCH(J757,J_BB,0),""))</f>
        <v>1109</v>
      </c>
      <c r="J757" s="66" t="n">
        <v>748</v>
      </c>
      <c r="K757" s="5"/>
    </row>
    <row r="758" customFormat="false" ht="15" hidden="false" customHeight="false" outlineLevel="0" collapsed="false">
      <c r="A758" s="5" t="n">
        <f aca="false">IF(I758="","",J758)</f>
        <v>749</v>
      </c>
      <c r="B758" s="83" t="n">
        <f aca="false">IF(I758="","",INDEX(J_TGL,I758))</f>
        <v>46263</v>
      </c>
      <c r="C758" s="5" t="str">
        <f aca="false">IF(I758="","",INDEX(J_NO,I758))</f>
        <v>JU-1110</v>
      </c>
      <c r="D758" s="5" t="str">
        <f aca="false">IF(I758="","",INDEX(J_KET,I758))</f>
        <v>Pindah dana ke BCA dari tunai</v>
      </c>
      <c r="E758" s="5" t="str">
        <f aca="false">IF(I758="","",IF(INDEX(J_DEB,I758)=$C$3,INDEX(J_KRE,I758),INDEX(J_DEB,I758)))</f>
        <v>Kas Tunai</v>
      </c>
      <c r="F758" s="44" t="n">
        <f aca="false">IF(I758="","",IF(INDEX(J_DEB,I758)=$C$3,INDEX(J_NOM,I758),0))</f>
        <v>1500000</v>
      </c>
      <c r="G758" s="44" t="n">
        <f aca="false">IF(I758="","",IF(INDEX(J_KRE,I758)=$C$3,INDEX(J_NOM,I758),0))</f>
        <v>0</v>
      </c>
      <c r="H758" s="44" t="n">
        <f aca="false">IF(I758="","",N(H757)+IF($C$5="Debet",F758-G758,G758-F758))</f>
        <v>-51604207</v>
      </c>
      <c r="I758" s="66" t="n">
        <f aca="false">IF(J758&gt;$K$1,"",IFERROR(MATCH(J758,J_BB,0),""))</f>
        <v>1110</v>
      </c>
      <c r="J758" s="66" t="n">
        <v>749</v>
      </c>
      <c r="K758" s="5"/>
    </row>
    <row r="759" customFormat="false" ht="15" hidden="false" customHeight="false" outlineLevel="0" collapsed="false">
      <c r="A759" s="5" t="n">
        <f aca="false">IF(I759="","",J759)</f>
        <v>750</v>
      </c>
      <c r="B759" s="83" t="n">
        <f aca="false">IF(I759="","",INDEX(J_TGL,I759))</f>
        <v>46263</v>
      </c>
      <c r="C759" s="5" t="str">
        <f aca="false">IF(I759="","",INDEX(J_NO,I759))</f>
        <v>JU-1111</v>
      </c>
      <c r="D759" s="5" t="str">
        <f aca="false">IF(I759="","",INDEX(J_KET,I759))</f>
        <v>Menerima pelunasan piutang Einstein tagihan nota Agustus 1-27, pinjam uang, nota hadiah tgl 27/7 Kopi Parang</v>
      </c>
      <c r="E759" s="5" t="str">
        <f aca="false">IF(I759="","",IF(INDEX(J_DEB,I759)=$C$3,INDEX(J_KRE,I759),INDEX(J_DEB,I759)))</f>
        <v>Piutang Lainnya</v>
      </c>
      <c r="F759" s="44" t="n">
        <f aca="false">IF(I759="","",IF(INDEX(J_DEB,I759)=$C$3,INDEX(J_NOM,I759),0))</f>
        <v>589500</v>
      </c>
      <c r="G759" s="44" t="n">
        <f aca="false">IF(I759="","",IF(INDEX(J_KRE,I759)=$C$3,INDEX(J_NOM,I759),0))</f>
        <v>0</v>
      </c>
      <c r="H759" s="44" t="n">
        <f aca="false">IF(I759="","",N(H758)+IF($C$5="Debet",F759-G759,G759-F759))</f>
        <v>-51014707</v>
      </c>
      <c r="I759" s="66" t="n">
        <f aca="false">IF(J759&gt;$K$1,"",IFERROR(MATCH(J759,J_BB,0),""))</f>
        <v>1111</v>
      </c>
      <c r="J759" s="66" t="n">
        <v>750</v>
      </c>
      <c r="K759" s="5"/>
    </row>
    <row r="760" customFormat="false" ht="15" hidden="false" customHeight="false" outlineLevel="0" collapsed="false">
      <c r="A760" s="5" t="n">
        <f aca="false">IF(I760="","",J760)</f>
        <v>751</v>
      </c>
      <c r="B760" s="83" t="n">
        <f aca="false">IF(I760="","",INDEX(J_TGL,I760))</f>
        <v>46264</v>
      </c>
      <c r="C760" s="5" t="str">
        <f aca="false">IF(I760="","",INDEX(J_NO,I760))</f>
        <v>JU-1112</v>
      </c>
      <c r="D760" s="5" t="str">
        <f aca="false">IF(I760="","",INDEX(J_KET,I760))</f>
        <v>Buah : naga 2kg, strawberry 5kg, sunkist 3kg</v>
      </c>
      <c r="E760" s="5" t="str">
        <f aca="false">IF(I760="","",IF(INDEX(J_DEB,I760)=$C$3,INDEX(J_KRE,I760),INDEX(J_DEB,I760)))</f>
        <v>Biaya Bahan Baku</v>
      </c>
      <c r="F760" s="44" t="n">
        <f aca="false">IF(I760="","",IF(INDEX(J_DEB,I760)=$C$3,INDEX(J_NOM,I760),0))</f>
        <v>0</v>
      </c>
      <c r="G760" s="44" t="n">
        <f aca="false">IF(I760="","",IF(INDEX(J_KRE,I760)=$C$3,INDEX(J_NOM,I760),0))</f>
        <v>570000</v>
      </c>
      <c r="H760" s="44" t="n">
        <f aca="false">IF(I760="","",N(H759)+IF($C$5="Debet",F760-G760,G760-F760))</f>
        <v>-51584707</v>
      </c>
      <c r="I760" s="66" t="n">
        <f aca="false">IF(J760&gt;$K$1,"",IFERROR(MATCH(J760,J_BB,0),""))</f>
        <v>1112</v>
      </c>
      <c r="J760" s="66" t="n">
        <v>751</v>
      </c>
      <c r="K760" s="5"/>
    </row>
    <row r="761" customFormat="false" ht="15" hidden="false" customHeight="false" outlineLevel="0" collapsed="false">
      <c r="A761" s="5" t="n">
        <f aca="false">IF(I761="","",J761)</f>
        <v>752</v>
      </c>
      <c r="B761" s="83" t="n">
        <f aca="false">IF(I761="","",INDEX(J_TGL,I761))</f>
        <v>46264</v>
      </c>
      <c r="C761" s="5" t="str">
        <f aca="false">IF(I761="","",INDEX(J_NO,I761))</f>
        <v>JU-1113</v>
      </c>
      <c r="D761" s="5" t="str">
        <f aca="false">IF(I761="","",INDEX(J_KET,I761))</f>
        <v>Biaya transfer flip</v>
      </c>
      <c r="E761" s="5" t="str">
        <f aca="false">IF(I761="","",IF(INDEX(J_DEB,I761)=$C$3,INDEX(J_KRE,I761),INDEX(J_DEB,I761)))</f>
        <v>Biaya Lainnya</v>
      </c>
      <c r="F761" s="44" t="n">
        <f aca="false">IF(I761="","",IF(INDEX(J_DEB,I761)=$C$3,INDEX(J_NOM,I761),0))</f>
        <v>0</v>
      </c>
      <c r="G761" s="44" t="n">
        <f aca="false">IF(I761="","",IF(INDEX(J_KRE,I761)=$C$3,INDEX(J_NOM,I761),0))</f>
        <v>325</v>
      </c>
      <c r="H761" s="44" t="n">
        <f aca="false">IF(I761="","",N(H760)+IF($C$5="Debet",F761-G761,G761-F761))</f>
        <v>-51585032</v>
      </c>
      <c r="I761" s="66" t="n">
        <f aca="false">IF(J761&gt;$K$1,"",IFERROR(MATCH(J761,J_BB,0),""))</f>
        <v>1113</v>
      </c>
      <c r="J761" s="66" t="n">
        <v>752</v>
      </c>
      <c r="K761" s="5"/>
    </row>
    <row r="762" customFormat="false" ht="15" hidden="false" customHeight="false" outlineLevel="0" collapsed="false">
      <c r="A762" s="5" t="n">
        <f aca="false">IF(I762="","",J762)</f>
        <v>753</v>
      </c>
      <c r="B762" s="83" t="n">
        <f aca="false">IF(I762="","",INDEX(J_TGL,I762))</f>
        <v>46265</v>
      </c>
      <c r="C762" s="5" t="str">
        <f aca="false">IF(I762="","",INDEX(J_NO,I762))</f>
        <v>JU-1115</v>
      </c>
      <c r="D762" s="5" t="str">
        <f aca="false">IF(I762="","",INDEX(J_KET,I762))</f>
        <v>Pengeluaran pajak bunga rekening bank BCA</v>
      </c>
      <c r="E762" s="5" t="str">
        <f aca="false">IF(I762="","",IF(INDEX(J_DEB,I762)=$C$3,INDEX(J_KRE,I762),INDEX(J_DEB,I762)))</f>
        <v>Biaya Lainnya</v>
      </c>
      <c r="F762" s="44" t="n">
        <f aca="false">IF(I762="","",IF(INDEX(J_DEB,I762)=$C$3,INDEX(J_NOM,I762),0))</f>
        <v>0</v>
      </c>
      <c r="G762" s="44" t="n">
        <f aca="false">IF(I762="","",IF(INDEX(J_KRE,I762)=$C$3,INDEX(J_NOM,I762),0))</f>
        <v>183</v>
      </c>
      <c r="H762" s="44" t="n">
        <f aca="false">IF(I762="","",N(H761)+IF($C$5="Debet",F762-G762,G762-F762))</f>
        <v>-51585215</v>
      </c>
      <c r="I762" s="66" t="n">
        <f aca="false">IF(J762&gt;$K$1,"",IFERROR(MATCH(J762,J_BB,0),""))</f>
        <v>1115</v>
      </c>
      <c r="J762" s="66" t="n">
        <v>753</v>
      </c>
      <c r="K762" s="5"/>
    </row>
    <row r="763" customFormat="false" ht="15" hidden="false" customHeight="false" outlineLevel="0" collapsed="false">
      <c r="A763" s="5" t="n">
        <f aca="false">IF(I763="","",J763)</f>
        <v>754</v>
      </c>
      <c r="B763" s="83" t="n">
        <f aca="false">IF(I763="","",INDEX(J_TGL,I763))</f>
        <v>46265</v>
      </c>
      <c r="C763" s="5" t="str">
        <f aca="false">IF(I763="","",INDEX(J_NO,I763))</f>
        <v>JU-1116</v>
      </c>
      <c r="D763" s="5" t="str">
        <f aca="false">IF(I763="","",INDEX(J_KET,I763))</f>
        <v>Pendapatan bunga rekening bank BCA</v>
      </c>
      <c r="E763" s="5" t="str">
        <f aca="false">IF(I763="","",IF(INDEX(J_DEB,I763)=$C$3,INDEX(J_KRE,I763),INDEX(J_DEB,I763)))</f>
        <v>Pendapatan Lainnya</v>
      </c>
      <c r="F763" s="44" t="n">
        <f aca="false">IF(I763="","",IF(INDEX(J_DEB,I763)=$C$3,INDEX(J_NOM,I763),0))</f>
        <v>914</v>
      </c>
      <c r="G763" s="44" t="n">
        <f aca="false">IF(I763="","",IF(INDEX(J_KRE,I763)=$C$3,INDEX(J_NOM,I763),0))</f>
        <v>0</v>
      </c>
      <c r="H763" s="44" t="n">
        <f aca="false">IF(I763="","",N(H762)+IF($C$5="Debet",F763-G763,G763-F763))</f>
        <v>-51584301</v>
      </c>
      <c r="I763" s="66" t="n">
        <f aca="false">IF(J763&gt;$K$1,"",IFERROR(MATCH(J763,J_BB,0),""))</f>
        <v>1116</v>
      </c>
      <c r="J763" s="66" t="n">
        <v>754</v>
      </c>
      <c r="K763" s="5"/>
    </row>
    <row r="764" customFormat="false" ht="15" hidden="false" customHeight="false" outlineLevel="0" collapsed="false">
      <c r="A764" s="5" t="n">
        <f aca="false">IF(I764="","",J764)</f>
        <v>755</v>
      </c>
      <c r="B764" s="83" t="n">
        <f aca="false">IF(I764="","",INDEX(J_TGL,I764))</f>
        <v>46265</v>
      </c>
      <c r="C764" s="5" t="str">
        <f aca="false">IF(I764="","",INDEX(J_NO,I764))</f>
        <v>JU-1117</v>
      </c>
      <c r="D764" s="5" t="str">
        <f aca="false">IF(I764="","",INDEX(J_KET,I764))</f>
        <v>koreksi pendapatan bunga rekening bank BCA</v>
      </c>
      <c r="E764" s="5" t="str">
        <f aca="false">IF(I764="","",IF(INDEX(J_DEB,I764)=$C$3,INDEX(J_KRE,I764),INDEX(J_DEB,I764)))</f>
        <v>Pendapatan Lainnya</v>
      </c>
      <c r="F764" s="44" t="n">
        <f aca="false">IF(I764="","",IF(INDEX(J_DEB,I764)=$C$3,INDEX(J_NOM,I764),0))</f>
        <v>2</v>
      </c>
      <c r="G764" s="44" t="n">
        <f aca="false">IF(I764="","",IF(INDEX(J_KRE,I764)=$C$3,INDEX(J_NOM,I764),0))</f>
        <v>0</v>
      </c>
      <c r="H764" s="44" t="n">
        <f aca="false">IF(I764="","",N(H763)+IF($C$5="Debet",F764-G764,G764-F764))</f>
        <v>-51584299</v>
      </c>
      <c r="I764" s="66" t="n">
        <f aca="false">IF(J764&gt;$K$1,"",IFERROR(MATCH(J764,J_BB,0),""))</f>
        <v>1117</v>
      </c>
      <c r="J764" s="66" t="n">
        <v>755</v>
      </c>
      <c r="K764" s="5"/>
    </row>
    <row r="765" customFormat="false" ht="15" hidden="false" customHeight="false" outlineLevel="0" collapsed="false">
      <c r="A765" s="5" t="n">
        <f aca="false">IF(I765="","",J765)</f>
        <v>756</v>
      </c>
      <c r="B765" s="83" t="n">
        <f aca="false">IF(I765="","",INDEX(J_TGL,I765))</f>
        <v>46265</v>
      </c>
      <c r="C765" s="5" t="str">
        <f aca="false">IF(I765="","",INDEX(J_NO,I765))</f>
        <v>JU-1118</v>
      </c>
      <c r="D765" s="5" t="str">
        <f aca="false">IF(I765="","",INDEX(J_KET,I765))</f>
        <v>Tagihan listrik Agustus 2026</v>
      </c>
      <c r="E765" s="5" t="str">
        <f aca="false">IF(I765="","",IF(INDEX(J_DEB,I765)=$C$3,INDEX(J_KRE,I765),INDEX(J_DEB,I765)))</f>
        <v>Biaya Tagihan Bulanan</v>
      </c>
      <c r="F765" s="44" t="n">
        <f aca="false">IF(I765="","",IF(INDEX(J_DEB,I765)=$C$3,INDEX(J_NOM,I765),0))</f>
        <v>0</v>
      </c>
      <c r="G765" s="44" t="n">
        <f aca="false">IF(I765="","",IF(INDEX(J_KRE,I765)=$C$3,INDEX(J_NOM,I765),0))</f>
        <v>4174831</v>
      </c>
      <c r="H765" s="44" t="n">
        <f aca="false">IF(I765="","",N(H764)+IF($C$5="Debet",F765-G765,G765-F765))</f>
        <v>-55759130</v>
      </c>
      <c r="I765" s="66" t="n">
        <f aca="false">IF(J765&gt;$K$1,"",IFERROR(MATCH(J765,J_BB,0),""))</f>
        <v>1118</v>
      </c>
      <c r="J765" s="66" t="n">
        <v>756</v>
      </c>
      <c r="K765" s="5"/>
    </row>
    <row r="766" customFormat="false" ht="15" hidden="false" customHeight="false" outlineLevel="0" collapsed="false">
      <c r="A766" s="5" t="n">
        <f aca="false">IF(I766="","",J766)</f>
        <v>757</v>
      </c>
      <c r="B766" s="83" t="n">
        <f aca="false">IF(I766="","",INDEX(J_TGL,I766))</f>
        <v>46265</v>
      </c>
      <c r="C766" s="5" t="str">
        <f aca="false">IF(I766="","",INDEX(J_NO,I766))</f>
        <v>JU-1119</v>
      </c>
      <c r="D766" s="5" t="str">
        <f aca="false">IF(I766="","",INDEX(J_KET,I766))</f>
        <v>Pembayaran pajak restoran bulan Agustus</v>
      </c>
      <c r="E766" s="5" t="str">
        <f aca="false">IF(I766="","",IF(INDEX(J_DEB,I766)=$C$3,INDEX(J_KRE,I766),INDEX(J_DEB,I766)))</f>
        <v>Pajak Restoran</v>
      </c>
      <c r="F766" s="44" t="n">
        <f aca="false">IF(I766="","",IF(INDEX(J_DEB,I766)=$C$3,INDEX(J_NOM,I766),0))</f>
        <v>0</v>
      </c>
      <c r="G766" s="44" t="n">
        <f aca="false">IF(I766="","",IF(INDEX(J_KRE,I766)=$C$3,INDEX(J_NOM,I766),0))</f>
        <v>1995100</v>
      </c>
      <c r="H766" s="44" t="n">
        <f aca="false">IF(I766="","",N(H765)+IF($C$5="Debet",F766-G766,G766-F766))</f>
        <v>-57754230</v>
      </c>
      <c r="I766" s="66" t="n">
        <f aca="false">IF(J766&gt;$K$1,"",IFERROR(MATCH(J766,J_BB,0),""))</f>
        <v>1119</v>
      </c>
      <c r="J766" s="66" t="n">
        <v>757</v>
      </c>
      <c r="K766" s="5"/>
    </row>
    <row r="767" customFormat="false" ht="15" hidden="false" customHeight="false" outlineLevel="0" collapsed="false">
      <c r="A767" s="5" t="n">
        <f aca="false">IF(I767="","",J767)</f>
        <v>758</v>
      </c>
      <c r="B767" s="83" t="n">
        <f aca="false">IF(I767="","",INDEX(J_TGL,I767))</f>
        <v>46265</v>
      </c>
      <c r="C767" s="5" t="str">
        <f aca="false">IF(I767="","",INDEX(J_NO,I767))</f>
        <v>JU-1120</v>
      </c>
      <c r="D767" s="5" t="str">
        <f aca="false">IF(I767="","",INDEX(J_KET,I767))</f>
        <v>Tambahan biaya administrasi bank utk pembayaran pajak restoran</v>
      </c>
      <c r="E767" s="5" t="str">
        <f aca="false">IF(I767="","",IF(INDEX(J_DEB,I767)=$C$3,INDEX(J_KRE,I767),INDEX(J_DEB,I767)))</f>
        <v>Biaya Lainnya</v>
      </c>
      <c r="F767" s="44" t="n">
        <f aca="false">IF(I767="","",IF(INDEX(J_DEB,I767)=$C$3,INDEX(J_NOM,I767),0))</f>
        <v>0</v>
      </c>
      <c r="G767" s="44" t="n">
        <f aca="false">IF(I767="","",IF(INDEX(J_KRE,I767)=$C$3,INDEX(J_NOM,I767),0))</f>
        <v>5000</v>
      </c>
      <c r="H767" s="44" t="n">
        <f aca="false">IF(I767="","",N(H766)+IF($C$5="Debet",F767-G767,G767-F767))</f>
        <v>-57759230</v>
      </c>
      <c r="I767" s="66" t="n">
        <f aca="false">IF(J767&gt;$K$1,"",IFERROR(MATCH(J767,J_BB,0),""))</f>
        <v>1120</v>
      </c>
      <c r="J767" s="66" t="n">
        <v>758</v>
      </c>
      <c r="K767" s="5"/>
    </row>
    <row r="768" customFormat="false" ht="15" hidden="false" customHeight="false" outlineLevel="0" collapsed="false">
      <c r="A768" s="5" t="n">
        <f aca="false">IF(I768="","",J768)</f>
        <v>759</v>
      </c>
      <c r="B768" s="83" t="n">
        <f aca="false">IF(I768="","",INDEX(J_TGL,I768))</f>
        <v>46265</v>
      </c>
      <c r="C768" s="5" t="str">
        <f aca="false">IF(I768="","",INDEX(J_NO,I768))</f>
        <v>JU-1121</v>
      </c>
      <c r="D768" s="5" t="str">
        <f aca="false">IF(I768="","",INDEX(J_KET,I768))</f>
        <v>Tagihan internet Agustus 2026</v>
      </c>
      <c r="E768" s="5" t="str">
        <f aca="false">IF(I768="","",IF(INDEX(J_DEB,I768)=$C$3,INDEX(J_KRE,I768),INDEX(J_DEB,I768)))</f>
        <v>Biaya Tagihan Bulanan</v>
      </c>
      <c r="F768" s="44" t="n">
        <f aca="false">IF(I768="","",IF(INDEX(J_DEB,I768)=$C$3,INDEX(J_NOM,I768),0))</f>
        <v>0</v>
      </c>
      <c r="G768" s="44" t="n">
        <f aca="false">IF(I768="","",IF(INDEX(J_KRE,I768)=$C$3,INDEX(J_NOM,I768),0))</f>
        <v>386950</v>
      </c>
      <c r="H768" s="44" t="n">
        <f aca="false">IF(I768="","",N(H767)+IF($C$5="Debet",F768-G768,G768-F768))</f>
        <v>-58146180</v>
      </c>
      <c r="I768" s="66" t="n">
        <f aca="false">IF(J768&gt;$K$1,"",IFERROR(MATCH(J768,J_BB,0),""))</f>
        <v>1121</v>
      </c>
      <c r="J768" s="66" t="n">
        <v>759</v>
      </c>
      <c r="K768" s="5"/>
    </row>
    <row r="769" customFormat="false" ht="15" hidden="false" customHeight="false" outlineLevel="0" collapsed="false">
      <c r="A769" s="5" t="n">
        <f aca="false">IF(I769="","",J769)</f>
        <v>760</v>
      </c>
      <c r="B769" s="83" t="n">
        <f aca="false">IF(I769="","",INDEX(J_TGL,I769))</f>
        <v>46265</v>
      </c>
      <c r="C769" s="5" t="str">
        <f aca="false">IF(I769="","",INDEX(J_NO,I769))</f>
        <v>JU-1122</v>
      </c>
      <c r="D769" s="5" t="str">
        <f aca="false">IF(I769="","",INDEX(J_KET,I769))</f>
        <v>Tagihan telepon Agustus 2026</v>
      </c>
      <c r="E769" s="5" t="str">
        <f aca="false">IF(I769="","",IF(INDEX(J_DEB,I769)=$C$3,INDEX(J_KRE,I769),INDEX(J_DEB,I769)))</f>
        <v>Biaya Tagihan Bulanan</v>
      </c>
      <c r="F769" s="44" t="n">
        <f aca="false">IF(I769="","",IF(INDEX(J_DEB,I769)=$C$3,INDEX(J_NOM,I769),0))</f>
        <v>0</v>
      </c>
      <c r="G769" s="44" t="n">
        <f aca="false">IF(I769="","",IF(INDEX(J_KRE,I769)=$C$3,INDEX(J_NOM,I769),0))</f>
        <v>57391</v>
      </c>
      <c r="H769" s="44" t="n">
        <f aca="false">IF(I769="","",N(H768)+IF($C$5="Debet",F769-G769,G769-F769))</f>
        <v>-58203571</v>
      </c>
      <c r="I769" s="66" t="n">
        <f aca="false">IF(J769&gt;$K$1,"",IFERROR(MATCH(J769,J_BB,0),""))</f>
        <v>1122</v>
      </c>
      <c r="J769" s="66" t="n">
        <v>760</v>
      </c>
      <c r="K769" s="5"/>
    </row>
    <row r="770" customFormat="false" ht="15" hidden="false" customHeight="false" outlineLevel="0" collapsed="false">
      <c r="A770" s="5" t="n">
        <f aca="false">IF(I770="","",J770)</f>
        <v>761</v>
      </c>
      <c r="B770" s="83" t="n">
        <f aca="false">IF(I770="","",INDEX(J_TGL,I770))</f>
        <v>46265</v>
      </c>
      <c r="C770" s="5" t="str">
        <f aca="false">IF(I770="","",INDEX(J_NO,I770))</f>
        <v>JU-1125</v>
      </c>
      <c r="D770" s="5" t="str">
        <f aca="false">IF(I770="","",INDEX(J_KET,I770))</f>
        <v>Realisasi EDC/QRIS omzet bulan Agustus</v>
      </c>
      <c r="E770" s="5" t="str">
        <f aca="false">IF(I770="","",IF(INDEX(J_DEB,I770)=$C$3,INDEX(J_KRE,I770),INDEX(J_DEB,I770)))</f>
        <v>Piutang Usaha Cafe</v>
      </c>
      <c r="F770" s="44" t="n">
        <f aca="false">IF(I770="","",IF(INDEX(J_DEB,I770)=$C$3,INDEX(J_NOM,I770),0))</f>
        <v>72484184</v>
      </c>
      <c r="G770" s="44" t="n">
        <f aca="false">IF(I770="","",IF(INDEX(J_KRE,I770)=$C$3,INDEX(J_NOM,I770),0))</f>
        <v>0</v>
      </c>
      <c r="H770" s="44" t="n">
        <f aca="false">IF(I770="","",N(H769)+IF($C$5="Debet",F770-G770,G770-F770))</f>
        <v>14280613</v>
      </c>
      <c r="I770" s="66" t="n">
        <f aca="false">IF(J770&gt;$K$1,"",IFERROR(MATCH(J770,J_BB,0),""))</f>
        <v>1125</v>
      </c>
      <c r="J770" s="66" t="n">
        <v>761</v>
      </c>
      <c r="K770" s="5"/>
    </row>
    <row r="771" customFormat="false" ht="15" hidden="false" customHeight="false" outlineLevel="0" collapsed="false">
      <c r="A771" s="5" t="n">
        <f aca="false">IF(I771="","",J771)</f>
        <v>762</v>
      </c>
      <c r="B771" s="83" t="n">
        <f aca="false">IF(I771="","",INDEX(J_TGL,I771))</f>
        <v>46266</v>
      </c>
      <c r="C771" s="5" t="str">
        <f aca="false">IF(I771="","",INDEX(J_NO,I771))</f>
        <v>JU-1131</v>
      </c>
      <c r="D771" s="5" t="str">
        <f aca="false">IF(I771="","",INDEX(J_KET,I771))</f>
        <v>Unlock water</v>
      </c>
      <c r="E771" s="5" t="str">
        <f aca="false">IF(I771="","",IF(INDEX(J_DEB,I771)=$C$3,INDEX(J_KRE,I771),INDEX(J_DEB,I771)))</f>
        <v>Biaya Bahan Baku</v>
      </c>
      <c r="F771" s="44" t="n">
        <f aca="false">IF(I771="","",IF(INDEX(J_DEB,I771)=$C$3,INDEX(J_NOM,I771),0))</f>
        <v>0</v>
      </c>
      <c r="G771" s="44" t="n">
        <f aca="false">IF(I771="","",IF(INDEX(J_KRE,I771)=$C$3,INDEX(J_NOM,I771),0))</f>
        <v>266000</v>
      </c>
      <c r="H771" s="44" t="n">
        <f aca="false">IF(I771="","",N(H770)+IF($C$5="Debet",F771-G771,G771-F771))</f>
        <v>14014613</v>
      </c>
      <c r="I771" s="66" t="n">
        <f aca="false">IF(J771&gt;$K$1,"",IFERROR(MATCH(J771,J_BB,0),""))</f>
        <v>1131</v>
      </c>
      <c r="J771" s="66" t="n">
        <v>762</v>
      </c>
      <c r="K771" s="5"/>
    </row>
    <row r="772" customFormat="false" ht="15" hidden="false" customHeight="false" outlineLevel="0" collapsed="false">
      <c r="A772" s="5" t="n">
        <f aca="false">IF(I772="","",J772)</f>
        <v>763</v>
      </c>
      <c r="B772" s="83" t="n">
        <f aca="false">IF(I772="","",INDEX(J_TGL,I772))</f>
        <v>46266</v>
      </c>
      <c r="C772" s="5" t="str">
        <f aca="false">IF(I772="","",INDEX(J_NO,I772))</f>
        <v>JU-1132</v>
      </c>
      <c r="D772" s="5" t="str">
        <f aca="false">IF(I772="","",INDEX(J_KET,I772))</f>
        <v>Belanja frozen food : 3 zak straight, 4 zak crinkle, 4kg champ, 5kg beef breakfast</v>
      </c>
      <c r="E772" s="5" t="str">
        <f aca="false">IF(I772="","",IF(INDEX(J_DEB,I772)=$C$3,INDEX(J_KRE,I772),INDEX(J_DEB,I772)))</f>
        <v>Biaya Bahan Baku</v>
      </c>
      <c r="F772" s="44" t="n">
        <f aca="false">IF(I772="","",IF(INDEX(J_DEB,I772)=$C$3,INDEX(J_NOM,I772),0))</f>
        <v>0</v>
      </c>
      <c r="G772" s="44" t="n">
        <f aca="false">IF(I772="","",IF(INDEX(J_KRE,I772)=$C$3,INDEX(J_NOM,I772),0))</f>
        <v>972000</v>
      </c>
      <c r="H772" s="44" t="n">
        <f aca="false">IF(I772="","",N(H771)+IF($C$5="Debet",F772-G772,G772-F772))</f>
        <v>13042613</v>
      </c>
      <c r="I772" s="66" t="n">
        <f aca="false">IF(J772&gt;$K$1,"",IFERROR(MATCH(J772,J_BB,0),""))</f>
        <v>1132</v>
      </c>
      <c r="J772" s="66" t="n">
        <v>763</v>
      </c>
      <c r="K772" s="5"/>
    </row>
    <row r="773" customFormat="false" ht="15" hidden="false" customHeight="false" outlineLevel="0" collapsed="false">
      <c r="A773" s="5" t="n">
        <f aca="false">IF(I773="","",J773)</f>
        <v>764</v>
      </c>
      <c r="B773" s="83" t="n">
        <f aca="false">IF(I773="","",INDEX(J_TGL,I773))</f>
        <v>46266</v>
      </c>
      <c r="C773" s="5" t="str">
        <f aca="false">IF(I773="","",INDEX(J_NO,I773))</f>
        <v>JU-1133</v>
      </c>
      <c r="D773" s="5" t="str">
        <f aca="false">IF(I773="","",INDEX(J_KET,I773))</f>
        <v>Pindah dana ke tunai dari BCA (Afa tukar)</v>
      </c>
      <c r="E773" s="5" t="str">
        <f aca="false">IF(I773="","",IF(INDEX(J_DEB,I773)=$C$3,INDEX(J_KRE,I773),INDEX(J_DEB,I773)))</f>
        <v>Kas Tunai</v>
      </c>
      <c r="F773" s="44" t="n">
        <f aca="false">IF(I773="","",IF(INDEX(J_DEB,I773)=$C$3,INDEX(J_NOM,I773),0))</f>
        <v>2500000</v>
      </c>
      <c r="G773" s="44" t="n">
        <f aca="false">IF(I773="","",IF(INDEX(J_KRE,I773)=$C$3,INDEX(J_NOM,I773),0))</f>
        <v>0</v>
      </c>
      <c r="H773" s="44" t="n">
        <f aca="false">IF(I773="","",N(H772)+IF($C$5="Debet",F773-G773,G773-F773))</f>
        <v>15542613</v>
      </c>
      <c r="I773" s="66" t="n">
        <f aca="false">IF(J773&gt;$K$1,"",IFERROR(MATCH(J773,J_BB,0),""))</f>
        <v>1133</v>
      </c>
      <c r="J773" s="66" t="n">
        <v>764</v>
      </c>
      <c r="K773" s="5"/>
    </row>
    <row r="774" customFormat="false" ht="15" hidden="false" customHeight="false" outlineLevel="0" collapsed="false">
      <c r="A774" s="5" t="n">
        <f aca="false">IF(I774="","",J774)</f>
        <v>765</v>
      </c>
      <c r="B774" s="83" t="n">
        <f aca="false">IF(I774="","",INDEX(J_TGL,I774))</f>
        <v>46266</v>
      </c>
      <c r="C774" s="5" t="str">
        <f aca="false">IF(I774="","",INDEX(J_NO,I774))</f>
        <v>JU-1134</v>
      </c>
      <c r="D774" s="5" t="str">
        <f aca="false">IF(I774="","",INDEX(J_KET,I774))</f>
        <v>Biaya admin bank BCA</v>
      </c>
      <c r="E774" s="5" t="str">
        <f aca="false">IF(I774="","",IF(INDEX(J_DEB,I774)=$C$3,INDEX(J_KRE,I774),INDEX(J_DEB,I774)))</f>
        <v>Biaya Lainnya</v>
      </c>
      <c r="F774" s="44" t="n">
        <f aca="false">IF(I774="","",IF(INDEX(J_DEB,I774)=$C$3,INDEX(J_NOM,I774),0))</f>
        <v>0</v>
      </c>
      <c r="G774" s="44" t="n">
        <f aca="false">IF(I774="","",IF(INDEX(J_KRE,I774)=$C$3,INDEX(J_NOM,I774),0))</f>
        <v>10000</v>
      </c>
      <c r="H774" s="44" t="n">
        <f aca="false">IF(I774="","",N(H773)+IF($C$5="Debet",F774-G774,G774-F774))</f>
        <v>15532613</v>
      </c>
      <c r="I774" s="66" t="n">
        <f aca="false">IF(J774&gt;$K$1,"",IFERROR(MATCH(J774,J_BB,0),""))</f>
        <v>1134</v>
      </c>
      <c r="J774" s="66" t="n">
        <v>765</v>
      </c>
      <c r="K774" s="5"/>
    </row>
    <row r="775" customFormat="false" ht="15" hidden="false" customHeight="false" outlineLevel="0" collapsed="false">
      <c r="A775" s="5" t="n">
        <f aca="false">IF(I775="","",J775)</f>
        <v>766</v>
      </c>
      <c r="B775" s="83" t="n">
        <f aca="false">IF(I775="","",INDEX(J_TGL,I775))</f>
        <v>46267</v>
      </c>
      <c r="C775" s="5" t="str">
        <f aca="false">IF(I775="","",INDEX(J_NO,I775))</f>
        <v>JU-1135</v>
      </c>
      <c r="D775" s="5" t="str">
        <f aca="false">IF(I775="","",INDEX(J_KET,I775))</f>
        <v>Pelunasan sewa booth tenant di SCP</v>
      </c>
      <c r="E775" s="5" t="str">
        <f aca="false">IF(I775="","",IF(INDEX(J_DEB,I775)=$C$3,INDEX(J_KRE,I775),INDEX(J_DEB,I775)))</f>
        <v>Biaya Marketing &amp; Promosi</v>
      </c>
      <c r="F775" s="44" t="n">
        <f aca="false">IF(I775="","",IF(INDEX(J_DEB,I775)=$C$3,INDEX(J_NOM,I775),0))</f>
        <v>0</v>
      </c>
      <c r="G775" s="44" t="n">
        <f aca="false">IF(I775="","",IF(INDEX(J_KRE,I775)=$C$3,INDEX(J_NOM,I775),0))</f>
        <v>2500000</v>
      </c>
      <c r="H775" s="44" t="n">
        <f aca="false">IF(I775="","",N(H774)+IF($C$5="Debet",F775-G775,G775-F775))</f>
        <v>13032613</v>
      </c>
      <c r="I775" s="66" t="n">
        <f aca="false">IF(J775&gt;$K$1,"",IFERROR(MATCH(J775,J_BB,0),""))</f>
        <v>1135</v>
      </c>
      <c r="J775" s="66" t="n">
        <v>766</v>
      </c>
      <c r="K775" s="5"/>
    </row>
    <row r="776" customFormat="false" ht="15" hidden="false" customHeight="false" outlineLevel="0" collapsed="false">
      <c r="A776" s="5" t="n">
        <f aca="false">IF(I776="","",J776)</f>
        <v>767</v>
      </c>
      <c r="B776" s="83" t="n">
        <f aca="false">IF(I776="","",INDEX(J_TGL,I776))</f>
        <v>46267</v>
      </c>
      <c r="C776" s="5" t="str">
        <f aca="false">IF(I776="","",INDEX(J_NO,I776))</f>
        <v>JU-1136</v>
      </c>
      <c r="D776" s="5" t="str">
        <f aca="false">IF(I776="","",INDEX(J_KET,I776))</f>
        <v>Dosing cup portafilter 58mm x 1 pc</v>
      </c>
      <c r="E776" s="5" t="str">
        <f aca="false">IF(I776="","",IF(INDEX(J_DEB,I776)=$C$3,INDEX(J_KRE,I776),INDEX(J_DEB,I776)))</f>
        <v>Peralatan</v>
      </c>
      <c r="F776" s="44" t="n">
        <f aca="false">IF(I776="","",IF(INDEX(J_DEB,I776)=$C$3,INDEX(J_NOM,I776),0))</f>
        <v>0</v>
      </c>
      <c r="G776" s="44" t="n">
        <f aca="false">IF(I776="","",IF(INDEX(J_KRE,I776)=$C$3,INDEX(J_NOM,I776),0))</f>
        <v>42575</v>
      </c>
      <c r="H776" s="44" t="n">
        <f aca="false">IF(I776="","",N(H775)+IF($C$5="Debet",F776-G776,G776-F776))</f>
        <v>12990038</v>
      </c>
      <c r="I776" s="66" t="n">
        <f aca="false">IF(J776&gt;$K$1,"",IFERROR(MATCH(J776,J_BB,0),""))</f>
        <v>1136</v>
      </c>
      <c r="J776" s="66" t="n">
        <v>767</v>
      </c>
      <c r="K776" s="5"/>
    </row>
    <row r="777" customFormat="false" ht="15" hidden="false" customHeight="false" outlineLevel="0" collapsed="false">
      <c r="A777" s="5" t="n">
        <f aca="false">IF(I777="","",J777)</f>
        <v>768</v>
      </c>
      <c r="B777" s="83" t="n">
        <f aca="false">IF(I777="","",INDEX(J_TGL,I777))</f>
        <v>46267</v>
      </c>
      <c r="C777" s="5" t="str">
        <f aca="false">IF(I777="","",INDEX(J_NO,I777))</f>
        <v>JU-1137</v>
      </c>
      <c r="D777" s="5" t="str">
        <f aca="false">IF(I777="","",INDEX(J_KET,I777))</f>
        <v>Sendok daun silver x 12 pcs</v>
      </c>
      <c r="E777" s="5" t="str">
        <f aca="false">IF(I777="","",IF(INDEX(J_DEB,I777)=$C$3,INDEX(J_KRE,I777),INDEX(J_DEB,I777)))</f>
        <v>Beban Perlengkapan</v>
      </c>
      <c r="F777" s="44" t="n">
        <f aca="false">IF(I777="","",IF(INDEX(J_DEB,I777)=$C$3,INDEX(J_NOM,I777),0))</f>
        <v>0</v>
      </c>
      <c r="G777" s="44" t="n">
        <f aca="false">IF(I777="","",IF(INDEX(J_KRE,I777)=$C$3,INDEX(J_NOM,I777),0))</f>
        <v>27160</v>
      </c>
      <c r="H777" s="44" t="n">
        <f aca="false">IF(I777="","",N(H776)+IF($C$5="Debet",F777-G777,G777-F777))</f>
        <v>12962878</v>
      </c>
      <c r="I777" s="66" t="n">
        <f aca="false">IF(J777&gt;$K$1,"",IFERROR(MATCH(J777,J_BB,0),""))</f>
        <v>1137</v>
      </c>
      <c r="J777" s="66" t="n">
        <v>768</v>
      </c>
      <c r="K777" s="5"/>
    </row>
    <row r="778" customFormat="false" ht="15" hidden="false" customHeight="false" outlineLevel="0" collapsed="false">
      <c r="A778" s="5" t="n">
        <f aca="false">IF(I778="","",J778)</f>
        <v>769</v>
      </c>
      <c r="B778" s="83" t="n">
        <f aca="false">IF(I778="","",INDEX(J_TGL,I778))</f>
        <v>46267</v>
      </c>
      <c r="C778" s="5" t="str">
        <f aca="false">IF(I778="","",INDEX(J_NO,I778))</f>
        <v>JU-1138</v>
      </c>
      <c r="D778" s="5" t="str">
        <f aca="false">IF(I778="","",INDEX(J_KET,I778))</f>
        <v>Air freshener x 4 pcs</v>
      </c>
      <c r="E778" s="5" t="str">
        <f aca="false">IF(I778="","",IF(INDEX(J_DEB,I778)=$C$3,INDEX(J_KRE,I778),INDEX(J_DEB,I778)))</f>
        <v>Beban Perlengkapan</v>
      </c>
      <c r="F778" s="44" t="n">
        <f aca="false">IF(I778="","",IF(INDEX(J_DEB,I778)=$C$3,INDEX(J_NOM,I778),0))</f>
        <v>0</v>
      </c>
      <c r="G778" s="44" t="n">
        <f aca="false">IF(I778="","",IF(INDEX(J_KRE,I778)=$C$3,INDEX(J_NOM,I778),0))</f>
        <v>126918</v>
      </c>
      <c r="H778" s="44" t="n">
        <f aca="false">IF(I778="","",N(H777)+IF($C$5="Debet",F778-G778,G778-F778))</f>
        <v>12835960</v>
      </c>
      <c r="I778" s="66" t="n">
        <f aca="false">IF(J778&gt;$K$1,"",IFERROR(MATCH(J778,J_BB,0),""))</f>
        <v>1138</v>
      </c>
      <c r="J778" s="66" t="n">
        <v>769</v>
      </c>
      <c r="K778" s="5"/>
    </row>
    <row r="779" customFormat="false" ht="15" hidden="false" customHeight="false" outlineLevel="0" collapsed="false">
      <c r="A779" s="5" t="n">
        <f aca="false">IF(I779="","",J779)</f>
        <v>770</v>
      </c>
      <c r="B779" s="83" t="n">
        <f aca="false">IF(I779="","",INDEX(J_TGL,I779))</f>
        <v>46267</v>
      </c>
      <c r="C779" s="5" t="str">
        <f aca="false">IF(I779="","",INDEX(J_NO,I779))</f>
        <v>JU-1139</v>
      </c>
      <c r="D779" s="5" t="str">
        <f aca="false">IF(I779="","",INDEX(J_KET,I779))</f>
        <v>Kemeja nolan dark grey uk. xl x 1 pc</v>
      </c>
      <c r="E779" s="5" t="str">
        <f aca="false">IF(I779="","",IF(INDEX(J_DEB,I779)=$C$3,INDEX(J_KRE,I779),INDEX(J_DEB,I779)))</f>
        <v>Beban Perlengkapan</v>
      </c>
      <c r="F779" s="44" t="n">
        <f aca="false">IF(I779="","",IF(INDEX(J_DEB,I779)=$C$3,INDEX(J_NOM,I779),0))</f>
        <v>0</v>
      </c>
      <c r="G779" s="44" t="n">
        <f aca="false">IF(I779="","",IF(INDEX(J_KRE,I779)=$C$3,INDEX(J_NOM,I779),0))</f>
        <v>147598</v>
      </c>
      <c r="H779" s="44" t="n">
        <f aca="false">IF(I779="","",N(H778)+IF($C$5="Debet",F779-G779,G779-F779))</f>
        <v>12688362</v>
      </c>
      <c r="I779" s="66" t="n">
        <f aca="false">IF(J779&gt;$K$1,"",IFERROR(MATCH(J779,J_BB,0),""))</f>
        <v>1139</v>
      </c>
      <c r="J779" s="66" t="n">
        <v>770</v>
      </c>
      <c r="K779" s="5"/>
    </row>
    <row r="780" customFormat="false" ht="15" hidden="false" customHeight="false" outlineLevel="0" collapsed="false">
      <c r="A780" s="5" t="n">
        <f aca="false">IF(I780="","",J780)</f>
        <v>771</v>
      </c>
      <c r="B780" s="83" t="n">
        <f aca="false">IF(I780="","",INDEX(J_TGL,I780))</f>
        <v>46267</v>
      </c>
      <c r="C780" s="5" t="str">
        <f aca="false">IF(I780="","",INDEX(J_NO,I780))</f>
        <v>JU-1140</v>
      </c>
      <c r="D780" s="5" t="str">
        <f aca="false">IF(I780="","",INDEX(J_KET,I780))</f>
        <v>Sendok kopi rose gold x 24 pcs</v>
      </c>
      <c r="E780" s="5" t="str">
        <f aca="false">IF(I780="","",IF(INDEX(J_DEB,I780)=$C$3,INDEX(J_KRE,I780),INDEX(J_DEB,I780)))</f>
        <v>Beban Perlengkapan</v>
      </c>
      <c r="F780" s="44" t="n">
        <f aca="false">IF(I780="","",IF(INDEX(J_DEB,I780)=$C$3,INDEX(J_NOM,I780),0))</f>
        <v>0</v>
      </c>
      <c r="G780" s="44" t="n">
        <f aca="false">IF(I780="","",IF(INDEX(J_KRE,I780)=$C$3,INDEX(J_NOM,I780),0))</f>
        <v>120880</v>
      </c>
      <c r="H780" s="44" t="n">
        <f aca="false">IF(I780="","",N(H779)+IF($C$5="Debet",F780-G780,G780-F780))</f>
        <v>12567482</v>
      </c>
      <c r="I780" s="66" t="n">
        <f aca="false">IF(J780&gt;$K$1,"",IFERROR(MATCH(J780,J_BB,0),""))</f>
        <v>1140</v>
      </c>
      <c r="J780" s="66" t="n">
        <v>771</v>
      </c>
      <c r="K780" s="5"/>
    </row>
    <row r="781" customFormat="false" ht="15" hidden="false" customHeight="false" outlineLevel="0" collapsed="false">
      <c r="A781" s="5" t="n">
        <f aca="false">IF(I781="","",J781)</f>
        <v>772</v>
      </c>
      <c r="B781" s="83" t="n">
        <f aca="false">IF(I781="","",INDEX(J_TGL,I781))</f>
        <v>46267</v>
      </c>
      <c r="C781" s="5" t="str">
        <f aca="false">IF(I781="","",INDEX(J_NO,I781))</f>
        <v>JU-1141</v>
      </c>
      <c r="D781" s="5" t="str">
        <f aca="false">IF(I781="","",INDEX(J_KET,I781))</f>
        <v>Timbangan kopi kapastitas 3kg x 3 unit</v>
      </c>
      <c r="E781" s="5" t="str">
        <f aca="false">IF(I781="","",IF(INDEX(J_DEB,I781)=$C$3,INDEX(J_KRE,I781),INDEX(J_DEB,I781)))</f>
        <v>Peralatan</v>
      </c>
      <c r="F781" s="44" t="n">
        <f aca="false">IF(I781="","",IF(INDEX(J_DEB,I781)=$C$3,INDEX(J_NOM,I781),0))</f>
        <v>0</v>
      </c>
      <c r="G781" s="44" t="n">
        <f aca="false">IF(I781="","",IF(INDEX(J_KRE,I781)=$C$3,INDEX(J_NOM,I781),0))</f>
        <v>592030</v>
      </c>
      <c r="H781" s="44" t="n">
        <f aca="false">IF(I781="","",N(H780)+IF($C$5="Debet",F781-G781,G781-F781))</f>
        <v>11975452</v>
      </c>
      <c r="I781" s="66" t="n">
        <f aca="false">IF(J781&gt;$K$1,"",IFERROR(MATCH(J781,J_BB,0),""))</f>
        <v>1141</v>
      </c>
      <c r="J781" s="66" t="n">
        <v>772</v>
      </c>
      <c r="K781" s="5"/>
    </row>
    <row r="782" customFormat="false" ht="15" hidden="false" customHeight="false" outlineLevel="0" collapsed="false">
      <c r="A782" s="5" t="n">
        <f aca="false">IF(I782="","",J782)</f>
        <v>773</v>
      </c>
      <c r="B782" s="83" t="n">
        <f aca="false">IF(I782="","",INDEX(J_TGL,I782))</f>
        <v>46267</v>
      </c>
      <c r="C782" s="5" t="str">
        <f aca="false">IF(I782="","",INDEX(J_NO,I782))</f>
        <v>JU-1142</v>
      </c>
      <c r="D782" s="5" t="str">
        <f aca="false">IF(I782="","",INDEX(J_KET,I782))</f>
        <v>Kakagear raptor 350ml x 1</v>
      </c>
      <c r="E782" s="5" t="str">
        <f aca="false">IF(I782="","",IF(INDEX(J_DEB,I782)=$C$3,INDEX(J_KRE,I782),INDEX(J_DEB,I782)))</f>
        <v>Peralatan</v>
      </c>
      <c r="F782" s="44" t="n">
        <f aca="false">IF(I782="","",IF(INDEX(J_DEB,I782)=$C$3,INDEX(J_NOM,I782),0))</f>
        <v>0</v>
      </c>
      <c r="G782" s="44" t="n">
        <f aca="false">IF(I782="","",IF(INDEX(J_KRE,I782)=$C$3,INDEX(J_NOM,I782),0))</f>
        <v>667280</v>
      </c>
      <c r="H782" s="44" t="n">
        <f aca="false">IF(I782="","",N(H781)+IF($C$5="Debet",F782-G782,G782-F782))</f>
        <v>11308172</v>
      </c>
      <c r="I782" s="66" t="n">
        <f aca="false">IF(J782&gt;$K$1,"",IFERROR(MATCH(J782,J_BB,0),""))</f>
        <v>1142</v>
      </c>
      <c r="J782" s="66" t="n">
        <v>773</v>
      </c>
      <c r="K782" s="5"/>
    </row>
    <row r="783" customFormat="false" ht="15" hidden="false" customHeight="false" outlineLevel="0" collapsed="false">
      <c r="A783" s="5" t="n">
        <f aca="false">IF(I783="","",J783)</f>
        <v>774</v>
      </c>
      <c r="B783" s="83" t="n">
        <f aca="false">IF(I783="","",INDEX(J_TGL,I783))</f>
        <v>46268</v>
      </c>
      <c r="C783" s="5" t="str">
        <f aca="false">IF(I783="","",INDEX(J_NO,I783))</f>
        <v>JU-1149</v>
      </c>
      <c r="D783" s="5" t="str">
        <f aca="false">IF(I783="","",INDEX(J_KET,I783))</f>
        <v>Tahu walik dan ongkir</v>
      </c>
      <c r="E783" s="5" t="str">
        <f aca="false">IF(I783="","",IF(INDEX(J_DEB,I783)=$C$3,INDEX(J_KRE,I783),INDEX(J_DEB,I783)))</f>
        <v>Biaya Bahan Baku</v>
      </c>
      <c r="F783" s="44" t="n">
        <f aca="false">IF(I783="","",IF(INDEX(J_DEB,I783)=$C$3,INDEX(J_NOM,I783),0))</f>
        <v>0</v>
      </c>
      <c r="G783" s="44" t="n">
        <f aca="false">IF(I783="","",IF(INDEX(J_KRE,I783)=$C$3,INDEX(J_NOM,I783),0))</f>
        <v>946000</v>
      </c>
      <c r="H783" s="44" t="n">
        <f aca="false">IF(I783="","",N(H782)+IF($C$5="Debet",F783-G783,G783-F783))</f>
        <v>10362172</v>
      </c>
      <c r="I783" s="66" t="n">
        <f aca="false">IF(J783&gt;$K$1,"",IFERROR(MATCH(J783,J_BB,0),""))</f>
        <v>1149</v>
      </c>
      <c r="J783" s="66" t="n">
        <v>774</v>
      </c>
      <c r="K783" s="5"/>
    </row>
    <row r="784" customFormat="false" ht="15" hidden="false" customHeight="false" outlineLevel="0" collapsed="false">
      <c r="A784" s="5" t="n">
        <f aca="false">IF(I784="","",J784)</f>
        <v>775</v>
      </c>
      <c r="B784" s="83" t="n">
        <f aca="false">IF(I784="","",INDEX(J_TGL,I784))</f>
        <v>46268</v>
      </c>
      <c r="C784" s="5" t="str">
        <f aca="false">IF(I784="","",INDEX(J_NO,I784))</f>
        <v>JU-1150</v>
      </c>
      <c r="D784" s="5" t="str">
        <f aca="false">IF(I784="","",INDEX(J_KET,I784))</f>
        <v>Membayar biaya part time x5 hari Sdr. Lutfi (tgl 25,26,27,1,2)</v>
      </c>
      <c r="E784" s="5" t="str">
        <f aca="false">IF(I784="","",IF(INDEX(J_DEB,I784)=$C$3,INDEX(J_KRE,I784),INDEX(J_DEB,I784)))</f>
        <v>Beban Gaji</v>
      </c>
      <c r="F784" s="44" t="n">
        <f aca="false">IF(I784="","",IF(INDEX(J_DEB,I784)=$C$3,INDEX(J_NOM,I784),0))</f>
        <v>0</v>
      </c>
      <c r="G784" s="44" t="n">
        <f aca="false">IF(I784="","",IF(INDEX(J_KRE,I784)=$C$3,INDEX(J_NOM,I784),0))</f>
        <v>250000</v>
      </c>
      <c r="H784" s="44" t="n">
        <f aca="false">IF(I784="","",N(H783)+IF($C$5="Debet",F784-G784,G784-F784))</f>
        <v>10112172</v>
      </c>
      <c r="I784" s="66" t="n">
        <f aca="false">IF(J784&gt;$K$1,"",IFERROR(MATCH(J784,J_BB,0),""))</f>
        <v>1150</v>
      </c>
      <c r="J784" s="66" t="n">
        <v>775</v>
      </c>
      <c r="K784" s="5"/>
    </row>
    <row r="785" customFormat="false" ht="15" hidden="false" customHeight="false" outlineLevel="0" collapsed="false">
      <c r="A785" s="5" t="n">
        <f aca="false">IF(I785="","",J785)</f>
        <v>776</v>
      </c>
      <c r="B785" s="83" t="n">
        <f aca="false">IF(I785="","",INDEX(J_TGL,I785))</f>
        <v>46268</v>
      </c>
      <c r="C785" s="5" t="str">
        <f aca="false">IF(I785="","",INDEX(J_NO,I785))</f>
        <v>JU-1151</v>
      </c>
      <c r="D785" s="5" t="str">
        <f aca="false">IF(I785="","",INDEX(J_KET,I785))</f>
        <v>Biaya transfer flip</v>
      </c>
      <c r="E785" s="5" t="str">
        <f aca="false">IF(I785="","",IF(INDEX(J_DEB,I785)=$C$3,INDEX(J_KRE,I785),INDEX(J_DEB,I785)))</f>
        <v>Biaya Lainnya</v>
      </c>
      <c r="F785" s="44" t="n">
        <f aca="false">IF(I785="","",IF(INDEX(J_DEB,I785)=$C$3,INDEX(J_NOM,I785),0))</f>
        <v>0</v>
      </c>
      <c r="G785" s="44" t="n">
        <f aca="false">IF(I785="","",IF(INDEX(J_KRE,I785)=$C$3,INDEX(J_NOM,I785),0))</f>
        <v>354</v>
      </c>
      <c r="H785" s="44" t="n">
        <f aca="false">IF(I785="","",N(H784)+IF($C$5="Debet",F785-G785,G785-F785))</f>
        <v>10111818</v>
      </c>
      <c r="I785" s="66" t="n">
        <f aca="false">IF(J785&gt;$K$1,"",IFERROR(MATCH(J785,J_BB,0),""))</f>
        <v>1151</v>
      </c>
      <c r="J785" s="66" t="n">
        <v>776</v>
      </c>
      <c r="K785" s="5"/>
    </row>
    <row r="786" customFormat="false" ht="15" hidden="false" customHeight="false" outlineLevel="0" collapsed="false">
      <c r="A786" s="5" t="n">
        <f aca="false">IF(I786="","",J786)</f>
        <v>777</v>
      </c>
      <c r="B786" s="83" t="n">
        <f aca="false">IF(I786="","",INDEX(J_TGL,I786))</f>
        <v>46268</v>
      </c>
      <c r="C786" s="5" t="str">
        <f aca="false">IF(I786="","",INDEX(J_NO,I786))</f>
        <v>JU-1152</v>
      </c>
      <c r="D786" s="5" t="str">
        <f aca="false">IF(I786="","",INDEX(J_KET,I786))</f>
        <v>Biji kopi/beans Yantos</v>
      </c>
      <c r="E786" s="5" t="str">
        <f aca="false">IF(I786="","",IF(INDEX(J_DEB,I786)=$C$3,INDEX(J_KRE,I786),INDEX(J_DEB,I786)))</f>
        <v>Biaya Bahan Baku</v>
      </c>
      <c r="F786" s="44" t="n">
        <f aca="false">IF(I786="","",IF(INDEX(J_DEB,I786)=$C$3,INDEX(J_NOM,I786),0))</f>
        <v>0</v>
      </c>
      <c r="G786" s="44" t="n">
        <f aca="false">IF(I786="","",IF(INDEX(J_KRE,I786)=$C$3,INDEX(J_NOM,I786),0))</f>
        <v>2364300</v>
      </c>
      <c r="H786" s="44" t="n">
        <f aca="false">IF(I786="","",N(H785)+IF($C$5="Debet",F786-G786,G786-F786))</f>
        <v>7747518</v>
      </c>
      <c r="I786" s="66" t="n">
        <f aca="false">IF(J786&gt;$K$1,"",IFERROR(MATCH(J786,J_BB,0),""))</f>
        <v>1152</v>
      </c>
      <c r="J786" s="66" t="n">
        <v>777</v>
      </c>
      <c r="K786" s="5"/>
    </row>
    <row r="787" customFormat="false" ht="15" hidden="false" customHeight="false" outlineLevel="0" collapsed="false">
      <c r="A787" s="5" t="n">
        <f aca="false">IF(I787="","",J787)</f>
        <v>778</v>
      </c>
      <c r="B787" s="83" t="n">
        <f aca="false">IF(I787="","",INDEX(J_TGL,I787))</f>
        <v>46268</v>
      </c>
      <c r="C787" s="5" t="str">
        <f aca="false">IF(I787="","",INDEX(J_NO,I787))</f>
        <v>JU-1153</v>
      </c>
      <c r="D787" s="5" t="str">
        <f aca="false">IF(I787="","",INDEX(J_KET,I787))</f>
        <v>Biji kopi/beans Yantos</v>
      </c>
      <c r="E787" s="5" t="str">
        <f aca="false">IF(I787="","",IF(INDEX(J_DEB,I787)=$C$3,INDEX(J_KRE,I787),INDEX(J_DEB,I787)))</f>
        <v>Biaya Bahan Baku</v>
      </c>
      <c r="F787" s="44" t="n">
        <f aca="false">IF(I787="","",IF(INDEX(J_DEB,I787)=$C$3,INDEX(J_NOM,I787),0))</f>
        <v>0</v>
      </c>
      <c r="G787" s="44" t="n">
        <f aca="false">IF(I787="","",IF(INDEX(J_KRE,I787)=$C$3,INDEX(J_NOM,I787),0))</f>
        <v>7224000</v>
      </c>
      <c r="H787" s="44" t="n">
        <f aca="false">IF(I787="","",N(H786)+IF($C$5="Debet",F787-G787,G787-F787))</f>
        <v>523518</v>
      </c>
      <c r="I787" s="66" t="n">
        <f aca="false">IF(J787&gt;$K$1,"",IFERROR(MATCH(J787,J_BB,0),""))</f>
        <v>1153</v>
      </c>
      <c r="J787" s="66" t="n">
        <v>778</v>
      </c>
      <c r="K787" s="5"/>
    </row>
    <row r="788" customFormat="false" ht="15" hidden="false" customHeight="false" outlineLevel="0" collapsed="false">
      <c r="A788" s="5" t="n">
        <f aca="false">IF(I788="","",J788)</f>
        <v>779</v>
      </c>
      <c r="B788" s="83" t="n">
        <f aca="false">IF(I788="","",INDEX(J_TGL,I788))</f>
        <v>46268</v>
      </c>
      <c r="C788" s="5" t="str">
        <f aca="false">IF(I788="","",INDEX(J_NO,I788))</f>
        <v>JU-1154</v>
      </c>
      <c r="D788" s="5" t="str">
        <f aca="false">IF(I788="","",INDEX(J_KET,I788))</f>
        <v>Sablon rompi vest 3 pcs</v>
      </c>
      <c r="E788" s="5" t="str">
        <f aca="false">IF(I788="","",IF(INDEX(J_DEB,I788)=$C$3,INDEX(J_KRE,I788),INDEX(J_DEB,I788)))</f>
        <v>Beban Perlengkapan</v>
      </c>
      <c r="F788" s="44" t="n">
        <f aca="false">IF(I788="","",IF(INDEX(J_DEB,I788)=$C$3,INDEX(J_NOM,I788),0))</f>
        <v>0</v>
      </c>
      <c r="G788" s="44" t="n">
        <f aca="false">IF(I788="","",IF(INDEX(J_KRE,I788)=$C$3,INDEX(J_NOM,I788),0))</f>
        <v>315000</v>
      </c>
      <c r="H788" s="44" t="n">
        <f aca="false">IF(I788="","",N(H787)+IF($C$5="Debet",F788-G788,G788-F788))</f>
        <v>208518</v>
      </c>
      <c r="I788" s="66" t="n">
        <f aca="false">IF(J788&gt;$K$1,"",IFERROR(MATCH(J788,J_BB,0),""))</f>
        <v>1154</v>
      </c>
      <c r="J788" s="66" t="n">
        <v>779</v>
      </c>
      <c r="K788" s="5"/>
    </row>
    <row r="789" customFormat="false" ht="15" hidden="false" customHeight="false" outlineLevel="0" collapsed="false">
      <c r="A789" s="5" t="n">
        <f aca="false">IF(I789="","",J789)</f>
        <v>780</v>
      </c>
      <c r="B789" s="83" t="n">
        <f aca="false">IF(I789="","",INDEX(J_TGL,I789))</f>
        <v>46268</v>
      </c>
      <c r="C789" s="5" t="str">
        <f aca="false">IF(I789="","",INDEX(J_NO,I789))</f>
        <v>JU-1155</v>
      </c>
      <c r="D789" s="5" t="str">
        <f aca="false">IF(I789="","",INDEX(J_KET,I789))</f>
        <v>Clover klin : soume premium SCP 5L x 2pcs &amp; pembersih kaca 5L x 1</v>
      </c>
      <c r="E789" s="5" t="str">
        <f aca="false">IF(I789="","",IF(INDEX(J_DEB,I789)=$C$3,INDEX(J_KRE,I789),INDEX(J_DEB,I789)))</f>
        <v>Beban Perlengkapan</v>
      </c>
      <c r="F789" s="44" t="n">
        <f aca="false">IF(I789="","",IF(INDEX(J_DEB,I789)=$C$3,INDEX(J_NOM,I789),0))</f>
        <v>0</v>
      </c>
      <c r="G789" s="44" t="n">
        <f aca="false">IF(I789="","",IF(INDEX(J_KRE,I789)=$C$3,INDEX(J_NOM,I789),0))</f>
        <v>160000</v>
      </c>
      <c r="H789" s="44" t="n">
        <f aca="false">IF(I789="","",N(H788)+IF($C$5="Debet",F789-G789,G789-F789))</f>
        <v>48518</v>
      </c>
      <c r="I789" s="66" t="n">
        <f aca="false">IF(J789&gt;$K$1,"",IFERROR(MATCH(J789,J_BB,0),""))</f>
        <v>1155</v>
      </c>
      <c r="J789" s="66" t="n">
        <v>780</v>
      </c>
      <c r="K789" s="5"/>
    </row>
    <row r="790" customFormat="false" ht="15" hidden="false" customHeight="false" outlineLevel="0" collapsed="false">
      <c r="A790" s="5" t="n">
        <f aca="false">IF(I790="","",J790)</f>
        <v>781</v>
      </c>
      <c r="B790" s="83" t="n">
        <f aca="false">IF(I790="","",INDEX(J_TGL,I790))</f>
        <v>46269</v>
      </c>
      <c r="C790" s="5" t="str">
        <f aca="false">IF(I790="","",INDEX(J_NO,I790))</f>
        <v>JU-1156</v>
      </c>
      <c r="D790" s="5" t="str">
        <f aca="false">IF(I790="","",INDEX(J_KET,I790))</f>
        <v>Pindah dana ke BCA dari tunai (setor)</v>
      </c>
      <c r="E790" s="5" t="str">
        <f aca="false">IF(I790="","",IF(INDEX(J_DEB,I790)=$C$3,INDEX(J_KRE,I790),INDEX(J_DEB,I790)))</f>
        <v>Kas Tunai</v>
      </c>
      <c r="F790" s="44" t="n">
        <f aca="false">IF(I790="","",IF(INDEX(J_DEB,I790)=$C$3,INDEX(J_NOM,I790),0))</f>
        <v>5698000</v>
      </c>
      <c r="G790" s="44" t="n">
        <f aca="false">IF(I790="","",IF(INDEX(J_KRE,I790)=$C$3,INDEX(J_NOM,I790),0))</f>
        <v>0</v>
      </c>
      <c r="H790" s="44" t="n">
        <f aca="false">IF(I790="","",N(H789)+IF($C$5="Debet",F790-G790,G790-F790))</f>
        <v>5746518</v>
      </c>
      <c r="I790" s="66" t="n">
        <f aca="false">IF(J790&gt;$K$1,"",IFERROR(MATCH(J790,J_BB,0),""))</f>
        <v>1156</v>
      </c>
      <c r="J790" s="66" t="n">
        <v>781</v>
      </c>
      <c r="K790" s="5"/>
    </row>
    <row r="791" customFormat="false" ht="15" hidden="false" customHeight="false" outlineLevel="0" collapsed="false">
      <c r="A791" s="5" t="n">
        <f aca="false">IF(I791="","",J791)</f>
        <v>782</v>
      </c>
      <c r="B791" s="83" t="n">
        <f aca="false">IF(I791="","",INDEX(J_TGL,I791))</f>
        <v>46270</v>
      </c>
      <c r="C791" s="5" t="str">
        <f aca="false">IF(I791="","",INDEX(J_NO,I791))</f>
        <v>JU-1157</v>
      </c>
      <c r="D791" s="5" t="str">
        <f aca="false">IF(I791="","",INDEX(J_KET,I791))</f>
        <v>Belanja churros x 300 pcs dan ongkir</v>
      </c>
      <c r="E791" s="5" t="str">
        <f aca="false">IF(I791="","",IF(INDEX(J_DEB,I791)=$C$3,INDEX(J_KRE,I791),INDEX(J_DEB,I791)))</f>
        <v>Biaya Bahan Baku</v>
      </c>
      <c r="F791" s="44" t="n">
        <f aca="false">IF(I791="","",IF(INDEX(J_DEB,I791)=$C$3,INDEX(J_NOM,I791),0))</f>
        <v>0</v>
      </c>
      <c r="G791" s="44" t="n">
        <f aca="false">IF(I791="","",IF(INDEX(J_KRE,I791)=$C$3,INDEX(J_NOM,I791),0))</f>
        <v>400000</v>
      </c>
      <c r="H791" s="44" t="n">
        <f aca="false">IF(I791="","",N(H790)+IF($C$5="Debet",F791-G791,G791-F791))</f>
        <v>5346518</v>
      </c>
      <c r="I791" s="66" t="n">
        <f aca="false">IF(J791&gt;$K$1,"",IFERROR(MATCH(J791,J_BB,0),""))</f>
        <v>1157</v>
      </c>
      <c r="J791" s="66" t="n">
        <v>782</v>
      </c>
      <c r="K791" s="5"/>
    </row>
    <row r="792" customFormat="false" ht="15" hidden="false" customHeight="false" outlineLevel="0" collapsed="false">
      <c r="A792" s="5" t="n">
        <f aca="false">IF(I792="","",J792)</f>
        <v>783</v>
      </c>
      <c r="B792" s="83" t="n">
        <f aca="false">IF(I792="","",INDEX(J_TGL,I792))</f>
        <v>46270</v>
      </c>
      <c r="C792" s="5" t="str">
        <f aca="false">IF(I792="","",INDEX(J_NO,I792))</f>
        <v>JU-1158</v>
      </c>
      <c r="D792" s="5" t="str">
        <f aca="false">IF(I792="","",INDEX(J_KET,I792))</f>
        <v>Biji kopi/beans Yantos</v>
      </c>
      <c r="E792" s="5" t="str">
        <f aca="false">IF(I792="","",IF(INDEX(J_DEB,I792)=$C$3,INDEX(J_KRE,I792),INDEX(J_DEB,I792)))</f>
        <v>Biaya Bahan Baku</v>
      </c>
      <c r="F792" s="44" t="n">
        <f aca="false">IF(I792="","",IF(INDEX(J_DEB,I792)=$C$3,INDEX(J_NOM,I792),0))</f>
        <v>0</v>
      </c>
      <c r="G792" s="44" t="n">
        <f aca="false">IF(I792="","",IF(INDEX(J_KRE,I792)=$C$3,INDEX(J_NOM,I792),0))</f>
        <v>7224000</v>
      </c>
      <c r="H792" s="44" t="n">
        <f aca="false">IF(I792="","",N(H791)+IF($C$5="Debet",F792-G792,G792-F792))</f>
        <v>-1877482</v>
      </c>
      <c r="I792" s="66" t="n">
        <f aca="false">IF(J792&gt;$K$1,"",IFERROR(MATCH(J792,J_BB,0),""))</f>
        <v>1158</v>
      </c>
      <c r="J792" s="66" t="n">
        <v>783</v>
      </c>
      <c r="K792" s="5"/>
    </row>
    <row r="793" customFormat="false" ht="15" hidden="false" customHeight="false" outlineLevel="0" collapsed="false">
      <c r="A793" s="5" t="n">
        <f aca="false">IF(I793="","",J793)</f>
        <v>784</v>
      </c>
      <c r="B793" s="83" t="n">
        <f aca="false">IF(I793="","",INDEX(J_TGL,I793))</f>
        <v>46270</v>
      </c>
      <c r="C793" s="5" t="str">
        <f aca="false">IF(I793="","",INDEX(J_NO,I793))</f>
        <v>JU-1159</v>
      </c>
      <c r="D793" s="5" t="str">
        <f aca="false">IF(I793="","",INDEX(J_KET,I793))</f>
        <v>Sembako x 13 dan ongkir </v>
      </c>
      <c r="E793" s="5" t="str">
        <f aca="false">IF(I793="","",IF(INDEX(J_DEB,I793)=$C$3,INDEX(J_KRE,I793),INDEX(J_DEB,I793)))</f>
        <v>Dana Sosial &amp; CSR</v>
      </c>
      <c r="F793" s="44" t="n">
        <f aca="false">IF(I793="","",IF(INDEX(J_DEB,I793)=$C$3,INDEX(J_NOM,I793),0))</f>
        <v>0</v>
      </c>
      <c r="G793" s="44" t="n">
        <f aca="false">IF(I793="","",IF(INDEX(J_KRE,I793)=$C$3,INDEX(J_NOM,I793),0))</f>
        <v>839000</v>
      </c>
      <c r="H793" s="44" t="n">
        <f aca="false">IF(I793="","",N(H792)+IF($C$5="Debet",F793-G793,G793-F793))</f>
        <v>-2716482</v>
      </c>
      <c r="I793" s="66" t="n">
        <f aca="false">IF(J793&gt;$K$1,"",IFERROR(MATCH(J793,J_BB,0),""))</f>
        <v>1159</v>
      </c>
      <c r="J793" s="66" t="n">
        <v>784</v>
      </c>
      <c r="K793" s="5"/>
    </row>
    <row r="794" customFormat="false" ht="15" hidden="false" customHeight="false" outlineLevel="0" collapsed="false">
      <c r="A794" s="5" t="n">
        <f aca="false">IF(I794="","",J794)</f>
        <v>785</v>
      </c>
      <c r="B794" s="83" t="n">
        <f aca="false">IF(I794="","",INDEX(J_TGL,I794))</f>
        <v>46270</v>
      </c>
      <c r="C794" s="5" t="str">
        <f aca="false">IF(I794="","",INDEX(J_NO,I794))</f>
        <v>JU-1160</v>
      </c>
      <c r="D794" s="5" t="str">
        <f aca="false">IF(I794="","",INDEX(J_KET,I794))</f>
        <v>Yantos pinjam untuk bayar print stiker</v>
      </c>
      <c r="E794" s="5" t="str">
        <f aca="false">IF(I794="","",IF(INDEX(J_DEB,I794)=$C$3,INDEX(J_KRE,I794),INDEX(J_DEB,I794)))</f>
        <v>Piutang Lainnya</v>
      </c>
      <c r="F794" s="44" t="n">
        <f aca="false">IF(I794="","",IF(INDEX(J_DEB,I794)=$C$3,INDEX(J_NOM,I794),0))</f>
        <v>0</v>
      </c>
      <c r="G794" s="44" t="n">
        <f aca="false">IF(I794="","",IF(INDEX(J_KRE,I794)=$C$3,INDEX(J_NOM,I794),0))</f>
        <v>304500</v>
      </c>
      <c r="H794" s="44" t="n">
        <f aca="false">IF(I794="","",N(H793)+IF($C$5="Debet",F794-G794,G794-F794))</f>
        <v>-3020982</v>
      </c>
      <c r="I794" s="66" t="n">
        <f aca="false">IF(J794&gt;$K$1,"",IFERROR(MATCH(J794,J_BB,0),""))</f>
        <v>1160</v>
      </c>
      <c r="J794" s="66" t="n">
        <v>785</v>
      </c>
      <c r="K794" s="5"/>
    </row>
    <row r="795" customFormat="false" ht="15" hidden="false" customHeight="false" outlineLevel="0" collapsed="false">
      <c r="A795" s="5" t="n">
        <f aca="false">IF(I795="","",J795)</f>
        <v>786</v>
      </c>
      <c r="B795" s="83" t="n">
        <f aca="false">IF(I795="","",INDEX(J_TGL,I795))</f>
        <v>46270</v>
      </c>
      <c r="C795" s="5" t="str">
        <f aca="false">IF(I795="","",INDEX(J_NO,I795))</f>
        <v>JU-1161</v>
      </c>
      <c r="D795" s="5" t="str">
        <f aca="false">IF(I795="","",INDEX(J_KET,I795))</f>
        <v>Print cetak menu 2 x (di Gajah terkendala cutting, jadi diulang di Natural)</v>
      </c>
      <c r="E795" s="5" t="str">
        <f aca="false">IF(I795="","",IF(INDEX(J_DEB,I795)=$C$3,INDEX(J_KRE,I795),INDEX(J_DEB,I795)))</f>
        <v>Biaya Marketing &amp; Promosi</v>
      </c>
      <c r="F795" s="44" t="n">
        <f aca="false">IF(I795="","",IF(INDEX(J_DEB,I795)=$C$3,INDEX(J_NOM,I795),0))</f>
        <v>0</v>
      </c>
      <c r="G795" s="44" t="n">
        <f aca="false">IF(I795="","",IF(INDEX(J_KRE,I795)=$C$3,INDEX(J_NOM,I795),0))</f>
        <v>86000</v>
      </c>
      <c r="H795" s="44" t="n">
        <f aca="false">IF(I795="","",N(H794)+IF($C$5="Debet",F795-G795,G795-F795))</f>
        <v>-3106982</v>
      </c>
      <c r="I795" s="66" t="n">
        <f aca="false">IF(J795&gt;$K$1,"",IFERROR(MATCH(J795,J_BB,0),""))</f>
        <v>1161</v>
      </c>
      <c r="J795" s="66" t="n">
        <v>786</v>
      </c>
      <c r="K795" s="5"/>
    </row>
    <row r="796" customFormat="false" ht="15" hidden="false" customHeight="false" outlineLevel="0" collapsed="false">
      <c r="A796" s="5" t="n">
        <f aca="false">IF(I796="","",J796)</f>
        <v>787</v>
      </c>
      <c r="B796" s="83" t="n">
        <f aca="false">IF(I796="","",INDEX(J_TGL,I796))</f>
        <v>46270</v>
      </c>
      <c r="C796" s="5" t="str">
        <f aca="false">IF(I796="","",INDEX(J_NO,I796))</f>
        <v>JU-1162</v>
      </c>
      <c r="D796" s="5" t="str">
        <f aca="false">IF(I796="","",INDEX(J_KET,I796))</f>
        <v>Pindah dana bank ke kas warung (tambahan dana darurat untuk belanja)</v>
      </c>
      <c r="E796" s="5" t="str">
        <f aca="false">IF(I796="","",IF(INDEX(J_DEB,I796)=$C$3,INDEX(J_KRE,I796),INDEX(J_DEB,I796)))</f>
        <v>Kas Warung</v>
      </c>
      <c r="F796" s="44" t="n">
        <f aca="false">IF(I796="","",IF(INDEX(J_DEB,I796)=$C$3,INDEX(J_NOM,I796),0))</f>
        <v>0</v>
      </c>
      <c r="G796" s="44" t="n">
        <f aca="false">IF(I796="","",IF(INDEX(J_KRE,I796)=$C$3,INDEX(J_NOM,I796),0))</f>
        <v>500000</v>
      </c>
      <c r="H796" s="44" t="n">
        <f aca="false">IF(I796="","",N(H795)+IF($C$5="Debet",F796-G796,G796-F796))</f>
        <v>-3606982</v>
      </c>
      <c r="I796" s="66" t="n">
        <f aca="false">IF(J796&gt;$K$1,"",IFERROR(MATCH(J796,J_BB,0),""))</f>
        <v>1162</v>
      </c>
      <c r="J796" s="66" t="n">
        <v>787</v>
      </c>
      <c r="K796" s="5"/>
    </row>
    <row r="797" customFormat="false" ht="15" hidden="false" customHeight="false" outlineLevel="0" collapsed="false">
      <c r="A797" s="5" t="n">
        <f aca="false">IF(I797="","",J797)</f>
        <v>788</v>
      </c>
      <c r="B797" s="83" t="n">
        <f aca="false">IF(I797="","",INDEX(J_TGL,I797))</f>
        <v>46270</v>
      </c>
      <c r="C797" s="5" t="str">
        <f aca="false">IF(I797="","",INDEX(J_NO,I797))</f>
        <v>JU-1163</v>
      </c>
      <c r="D797" s="5" t="str">
        <f aca="false">IF(I797="","",INDEX(J_KET,I797))</f>
        <v>Biaya transfer flip</v>
      </c>
      <c r="E797" s="5" t="str">
        <f aca="false">IF(I797="","",IF(INDEX(J_DEB,I797)=$C$3,INDEX(J_KRE,I797),INDEX(J_DEB,I797)))</f>
        <v>Biaya Lainnya</v>
      </c>
      <c r="F797" s="44" t="n">
        <f aca="false">IF(I797="","",IF(INDEX(J_DEB,I797)=$C$3,INDEX(J_NOM,I797),0))</f>
        <v>0</v>
      </c>
      <c r="G797" s="44" t="n">
        <f aca="false">IF(I797="","",IF(INDEX(J_KRE,I797)=$C$3,INDEX(J_NOM,I797),0))</f>
        <v>330</v>
      </c>
      <c r="H797" s="44" t="n">
        <f aca="false">IF(I797="","",N(H796)+IF($C$5="Debet",F797-G797,G797-F797))</f>
        <v>-3607312</v>
      </c>
      <c r="I797" s="66" t="n">
        <f aca="false">IF(J797&gt;$K$1,"",IFERROR(MATCH(J797,J_BB,0),""))</f>
        <v>1163</v>
      </c>
      <c r="J797" s="66" t="n">
        <v>788</v>
      </c>
      <c r="K797" s="5"/>
    </row>
    <row r="798" customFormat="false" ht="15" hidden="false" customHeight="false" outlineLevel="0" collapsed="false">
      <c r="A798" s="5" t="n">
        <f aca="false">IF(I798="","",J798)</f>
        <v>789</v>
      </c>
      <c r="B798" s="83" t="n">
        <f aca="false">IF(I798="","",INDEX(J_TGL,I798))</f>
        <v>46270</v>
      </c>
      <c r="C798" s="5" t="str">
        <f aca="false">IF(I798="","",INDEX(J_NO,I798))</f>
        <v>JU-1164</v>
      </c>
      <c r="D798" s="5" t="str">
        <f aca="false">IF(I798="","",INDEX(J_KET,I798))</f>
        <v>INV-20260827-0242 tissue facial 1 dus 40 pack</v>
      </c>
      <c r="E798" s="5" t="str">
        <f aca="false">IF(I798="","",IF(INDEX(J_DEB,I798)=$C$3,INDEX(J_KRE,I798),INDEX(J_DEB,I798)))</f>
        <v>Beban Perlengkapan</v>
      </c>
      <c r="F798" s="44" t="n">
        <f aca="false">IF(I798="","",IF(INDEX(J_DEB,I798)=$C$3,INDEX(J_NOM,I798),0))</f>
        <v>0</v>
      </c>
      <c r="G798" s="44" t="n">
        <f aca="false">IF(I798="","",IF(INDEX(J_KRE,I798)=$C$3,INDEX(J_NOM,I798),0))</f>
        <v>290000</v>
      </c>
      <c r="H798" s="44" t="n">
        <f aca="false">IF(I798="","",N(H797)+IF($C$5="Debet",F798-G798,G798-F798))</f>
        <v>-3897312</v>
      </c>
      <c r="I798" s="66" t="n">
        <f aca="false">IF(J798&gt;$K$1,"",IFERROR(MATCH(J798,J_BB,0),""))</f>
        <v>1164</v>
      </c>
      <c r="J798" s="66" t="n">
        <v>789</v>
      </c>
      <c r="K798" s="5"/>
    </row>
    <row r="799" customFormat="false" ht="15" hidden="false" customHeight="false" outlineLevel="0" collapsed="false">
      <c r="A799" s="5" t="n">
        <f aca="false">IF(I799="","",J799)</f>
        <v>790</v>
      </c>
      <c r="B799" s="83" t="n">
        <f aca="false">IF(I799="","",INDEX(J_TGL,I799))</f>
        <v>46270</v>
      </c>
      <c r="C799" s="5" t="str">
        <f aca="false">IF(I799="","",INDEX(J_NO,I799))</f>
        <v>JU-1165</v>
      </c>
      <c r="D799" s="5" t="str">
        <f aca="false">IF(I799="","",INDEX(J_KET,I799))</f>
        <v>UHT Ultramilk x 17 karton</v>
      </c>
      <c r="E799" s="5" t="str">
        <f aca="false">IF(I799="","",IF(INDEX(J_DEB,I799)=$C$3,INDEX(J_KRE,I799),INDEX(J_DEB,I799)))</f>
        <v>Biaya Bahan Baku</v>
      </c>
      <c r="F799" s="44" t="n">
        <f aca="false">IF(I799="","",IF(INDEX(J_DEB,I799)=$C$3,INDEX(J_NOM,I799),0))</f>
        <v>0</v>
      </c>
      <c r="G799" s="44" t="n">
        <f aca="false">IF(I799="","",IF(INDEX(J_KRE,I799)=$C$3,INDEX(J_NOM,I799),0))</f>
        <v>3791000</v>
      </c>
      <c r="H799" s="44" t="n">
        <f aca="false">IF(I799="","",N(H798)+IF($C$5="Debet",F799-G799,G799-F799))</f>
        <v>-7688312</v>
      </c>
      <c r="I799" s="66" t="n">
        <f aca="false">IF(J799&gt;$K$1,"",IFERROR(MATCH(J799,J_BB,0),""))</f>
        <v>1165</v>
      </c>
      <c r="J799" s="66" t="n">
        <v>790</v>
      </c>
      <c r="K799" s="5"/>
    </row>
    <row r="800" customFormat="false" ht="15" hidden="false" customHeight="false" outlineLevel="0" collapsed="false">
      <c r="A800" s="5" t="n">
        <f aca="false">IF(I800="","",J800)</f>
        <v>791</v>
      </c>
      <c r="B800" s="83" t="n">
        <f aca="false">IF(I800="","",INDEX(J_TGL,I800))</f>
        <v>46272</v>
      </c>
      <c r="C800" s="5" t="str">
        <f aca="false">IF(I800="","",INDEX(J_NO,I800))</f>
        <v>JU-1166</v>
      </c>
      <c r="D800" s="5" t="str">
        <f aca="false">IF(I800="","",INDEX(J_KET,I800))</f>
        <v>croissant pembayaran batch 212-219 96pcs</v>
      </c>
      <c r="E800" s="5" t="str">
        <f aca="false">IF(I800="","",IF(INDEX(J_DEB,I800)=$C$3,INDEX(J_KRE,I800),INDEX(J_DEB,I800)))</f>
        <v>Biaya Bahan Baku</v>
      </c>
      <c r="F800" s="44" t="n">
        <f aca="false">IF(I800="","",IF(INDEX(J_DEB,I800)=$C$3,INDEX(J_NOM,I800),0))</f>
        <v>0</v>
      </c>
      <c r="G800" s="44" t="n">
        <f aca="false">IF(I800="","",IF(INDEX(J_KRE,I800)=$C$3,INDEX(J_NOM,I800),0))</f>
        <v>2121000</v>
      </c>
      <c r="H800" s="44" t="n">
        <f aca="false">IF(I800="","",N(H799)+IF($C$5="Debet",F800-G800,G800-F800))</f>
        <v>-9809312</v>
      </c>
      <c r="I800" s="66" t="n">
        <f aca="false">IF(J800&gt;$K$1,"",IFERROR(MATCH(J800,J_BB,0),""))</f>
        <v>1166</v>
      </c>
      <c r="J800" s="66" t="n">
        <v>791</v>
      </c>
      <c r="K800" s="5"/>
    </row>
    <row r="801" customFormat="false" ht="15" hidden="false" customHeight="false" outlineLevel="0" collapsed="false">
      <c r="A801" s="5" t="n">
        <f aca="false">IF(I801="","",J801)</f>
        <v>792</v>
      </c>
      <c r="B801" s="83" t="n">
        <f aca="false">IF(I801="","",INDEX(J_TGL,I801))</f>
        <v>46272</v>
      </c>
      <c r="C801" s="5" t="str">
        <f aca="false">IF(I801="","",INDEX(J_NO,I801))</f>
        <v>JU-1167</v>
      </c>
      <c r="D801" s="5" t="str">
        <f aca="false">IF(I801="","",INDEX(J_KET,I801))</f>
        <v>croissant pembayaran buy return</v>
      </c>
      <c r="E801" s="5" t="str">
        <f aca="false">IF(I801="","",IF(INDEX(J_DEB,I801)=$C$3,INDEX(J_KRE,I801),INDEX(J_DEB,I801)))</f>
        <v>Biaya Bahan Baku</v>
      </c>
      <c r="F801" s="44" t="n">
        <f aca="false">IF(I801="","",IF(INDEX(J_DEB,I801)=$C$3,INDEX(J_NOM,I801),0))</f>
        <v>0</v>
      </c>
      <c r="G801" s="44" t="n">
        <f aca="false">IF(I801="","",IF(INDEX(J_KRE,I801)=$C$3,INDEX(J_NOM,I801),0))</f>
        <v>90000</v>
      </c>
      <c r="H801" s="44" t="n">
        <f aca="false">IF(I801="","",N(H800)+IF($C$5="Debet",F801-G801,G801-F801))</f>
        <v>-9899312</v>
      </c>
      <c r="I801" s="66" t="n">
        <f aca="false">IF(J801&gt;$K$1,"",IFERROR(MATCH(J801,J_BB,0),""))</f>
        <v>1167</v>
      </c>
      <c r="J801" s="66" t="n">
        <v>792</v>
      </c>
      <c r="K801" s="5"/>
    </row>
    <row r="802" customFormat="false" ht="15" hidden="false" customHeight="false" outlineLevel="0" collapsed="false">
      <c r="A802" s="5" t="n">
        <f aca="false">IF(I802="","",J802)</f>
        <v>793</v>
      </c>
      <c r="B802" s="83" t="n">
        <f aca="false">IF(I802="","",INDEX(J_TGL,I802))</f>
        <v>46273</v>
      </c>
      <c r="C802" s="5" t="str">
        <f aca="false">IF(I802="","",INDEX(J_NO,I802))</f>
        <v>JU-1170</v>
      </c>
      <c r="D802" s="5" t="str">
        <f aca="false">IF(I802="","",INDEX(J_KET,I802))</f>
        <v>ubi mochi ori 12 x 18, fried tape singkong cinnamon 6 x 22</v>
      </c>
      <c r="E802" s="5" t="str">
        <f aca="false">IF(I802="","",IF(INDEX(J_DEB,I802)=$C$3,INDEX(J_KRE,I802),INDEX(J_DEB,I802)))</f>
        <v>Biaya Bahan Baku</v>
      </c>
      <c r="F802" s="44" t="n">
        <f aca="false">IF(I802="","",IF(INDEX(J_DEB,I802)=$C$3,INDEX(J_NOM,I802),0))</f>
        <v>0</v>
      </c>
      <c r="G802" s="44" t="n">
        <f aca="false">IF(I802="","",IF(INDEX(J_KRE,I802)=$C$3,INDEX(J_NOM,I802),0))</f>
        <v>355834</v>
      </c>
      <c r="H802" s="44" t="n">
        <f aca="false">IF(I802="","",N(H801)+IF($C$5="Debet",F802-G802,G802-F802))</f>
        <v>-10255146</v>
      </c>
      <c r="I802" s="66" t="n">
        <f aca="false">IF(J802&gt;$K$1,"",IFERROR(MATCH(J802,J_BB,0),""))</f>
        <v>1170</v>
      </c>
      <c r="J802" s="66" t="n">
        <v>793</v>
      </c>
      <c r="K802" s="5"/>
    </row>
    <row r="803" customFormat="false" ht="15" hidden="false" customHeight="false" outlineLevel="0" collapsed="false">
      <c r="A803" s="5" t="n">
        <f aca="false">IF(I803="","",J803)</f>
        <v>794</v>
      </c>
      <c r="B803" s="83" t="n">
        <f aca="false">IF(I803="","",INDEX(J_TGL,I803))</f>
        <v>46273</v>
      </c>
      <c r="C803" s="5" t="str">
        <f aca="false">IF(I803="","",INDEX(J_NO,I803))</f>
        <v>JU-1171</v>
      </c>
      <c r="D803" s="5" t="str">
        <f aca="false">IF(I803="","",INDEX(J_KET,I803))</f>
        <v>ubi mochi mozza 3 x 22, fried tape singkong cinnamon 6 x 4</v>
      </c>
      <c r="E803" s="5" t="str">
        <f aca="false">IF(I803="","",IF(INDEX(J_DEB,I803)=$C$3,INDEX(J_KRE,I803),INDEX(J_DEB,I803)))</f>
        <v>Biaya Bahan Baku</v>
      </c>
      <c r="F803" s="44" t="n">
        <f aca="false">IF(I803="","",IF(INDEX(J_DEB,I803)=$C$3,INDEX(J_NOM,I803),0))</f>
        <v>0</v>
      </c>
      <c r="G803" s="44" t="n">
        <f aca="false">IF(I803="","",IF(INDEX(J_KRE,I803)=$C$3,INDEX(J_NOM,I803),0))</f>
        <v>307370</v>
      </c>
      <c r="H803" s="44" t="n">
        <f aca="false">IF(I803="","",N(H802)+IF($C$5="Debet",F803-G803,G803-F803))</f>
        <v>-10562516</v>
      </c>
      <c r="I803" s="66" t="n">
        <f aca="false">IF(J803&gt;$K$1,"",IFERROR(MATCH(J803,J_BB,0),""))</f>
        <v>1171</v>
      </c>
      <c r="J803" s="66" t="n">
        <v>794</v>
      </c>
      <c r="K803" s="5"/>
    </row>
    <row r="804" customFormat="false" ht="15" hidden="false" customHeight="false" outlineLevel="0" collapsed="false">
      <c r="A804" s="5" t="n">
        <f aca="false">IF(I804="","",J804)</f>
        <v>795</v>
      </c>
      <c r="B804" s="83" t="n">
        <f aca="false">IF(I804="","",INDEX(J_TGL,I804))</f>
        <v>46274</v>
      </c>
      <c r="C804" s="5" t="str">
        <f aca="false">IF(I804="","",INDEX(J_NO,I804))</f>
        <v>JU-1175</v>
      </c>
      <c r="D804" s="5" t="str">
        <f aca="false">IF(I804="","",INDEX(J_KET,I804))</f>
        <v>Pembayaran langganan musik spotify</v>
      </c>
      <c r="E804" s="5" t="str">
        <f aca="false">IF(I804="","",IF(INDEX(J_DEB,I804)=$C$3,INDEX(J_KRE,I804),INDEX(J_DEB,I804)))</f>
        <v>Biaya Tagihan Bulanan</v>
      </c>
      <c r="F804" s="44" t="n">
        <f aca="false">IF(I804="","",IF(INDEX(J_DEB,I804)=$C$3,INDEX(J_NOM,I804),0))</f>
        <v>0</v>
      </c>
      <c r="G804" s="44" t="n">
        <f aca="false">IF(I804="","",IF(INDEX(J_KRE,I804)=$C$3,INDEX(J_NOM,I804),0))</f>
        <v>119000</v>
      </c>
      <c r="H804" s="44" t="n">
        <f aca="false">IF(I804="","",N(H803)+IF($C$5="Debet",F804-G804,G804-F804))</f>
        <v>-10681516</v>
      </c>
      <c r="I804" s="66" t="n">
        <f aca="false">IF(J804&gt;$K$1,"",IFERROR(MATCH(J804,J_BB,0),""))</f>
        <v>1175</v>
      </c>
      <c r="J804" s="66" t="n">
        <v>795</v>
      </c>
      <c r="K804" s="5"/>
    </row>
    <row r="805" customFormat="false" ht="15" hidden="false" customHeight="false" outlineLevel="0" collapsed="false">
      <c r="A805" s="5" t="n">
        <f aca="false">IF(I805="","",J805)</f>
        <v>796</v>
      </c>
      <c r="B805" s="83" t="n">
        <f aca="false">IF(I805="","",INDEX(J_TGL,I805))</f>
        <v>46274</v>
      </c>
      <c r="C805" s="5" t="str">
        <f aca="false">IF(I805="","",INDEX(J_NO,I805))</f>
        <v>JU-1176</v>
      </c>
      <c r="D805" s="5" t="str">
        <f aca="false">IF(I805="","",INDEX(J_KET,I805))</f>
        <v>top up nomor gopay akun spotify</v>
      </c>
      <c r="E805" s="5" t="str">
        <f aca="false">IF(I805="","",IF(INDEX(J_DEB,I805)=$C$3,INDEX(J_KRE,I805),INDEX(J_DEB,I805)))</f>
        <v>Biaya Lainnya</v>
      </c>
      <c r="F805" s="44" t="n">
        <f aca="false">IF(I805="","",IF(INDEX(J_DEB,I805)=$C$3,INDEX(J_NOM,I805),0))</f>
        <v>0</v>
      </c>
      <c r="G805" s="44" t="n">
        <f aca="false">IF(I805="","",IF(INDEX(J_KRE,I805)=$C$3,INDEX(J_NOM,I805),0))</f>
        <v>1000</v>
      </c>
      <c r="H805" s="44" t="n">
        <f aca="false">IF(I805="","",N(H804)+IF($C$5="Debet",F805-G805,G805-F805))</f>
        <v>-10682516</v>
      </c>
      <c r="I805" s="66" t="n">
        <f aca="false">IF(J805&gt;$K$1,"",IFERROR(MATCH(J805,J_BB,0),""))</f>
        <v>1176</v>
      </c>
      <c r="J805" s="66" t="n">
        <v>796</v>
      </c>
      <c r="K805" s="5"/>
    </row>
    <row r="806" customFormat="false" ht="15" hidden="false" customHeight="false" outlineLevel="0" collapsed="false">
      <c r="A806" s="5" t="n">
        <f aca="false">IF(I806="","",J806)</f>
        <v>797</v>
      </c>
      <c r="B806" s="83" t="n">
        <f aca="false">IF(I806="","",INDEX(J_TGL,I806))</f>
        <v>46274</v>
      </c>
      <c r="C806" s="5" t="str">
        <f aca="false">IF(I806="","",INDEX(J_NO,I806))</f>
        <v>JU-1177</v>
      </c>
      <c r="D806" s="5" t="str">
        <f aca="false">IF(I806="","",INDEX(J_KET,I806))</f>
        <v>kembalian belanja</v>
      </c>
      <c r="E806" s="5" t="str">
        <f aca="false">IF(I806="","",IF(INDEX(J_DEB,I806)=$C$3,INDEX(J_KRE,I806),INDEX(J_DEB,I806)))</f>
        <v>Kas Warung</v>
      </c>
      <c r="F806" s="44" t="n">
        <f aca="false">IF(I806="","",IF(INDEX(J_DEB,I806)=$C$3,INDEX(J_NOM,I806),0))</f>
        <v>36000</v>
      </c>
      <c r="G806" s="44" t="n">
        <f aca="false">IF(I806="","",IF(INDEX(J_KRE,I806)=$C$3,INDEX(J_NOM,I806),0))</f>
        <v>0</v>
      </c>
      <c r="H806" s="44" t="n">
        <f aca="false">IF(I806="","",N(H805)+IF($C$5="Debet",F806-G806,G806-F806))</f>
        <v>-10646516</v>
      </c>
      <c r="I806" s="66" t="n">
        <f aca="false">IF(J806&gt;$K$1,"",IFERROR(MATCH(J806,J_BB,0),""))</f>
        <v>1177</v>
      </c>
      <c r="J806" s="66" t="n">
        <v>797</v>
      </c>
      <c r="K806" s="5"/>
    </row>
    <row r="807" customFormat="false" ht="15" hidden="false" customHeight="false" outlineLevel="0" collapsed="false">
      <c r="A807" s="5" t="n">
        <f aca="false">IF(I807="","",J807)</f>
        <v>798</v>
      </c>
      <c r="B807" s="83" t="n">
        <f aca="false">IF(I807="","",INDEX(J_TGL,I807))</f>
        <v>46275</v>
      </c>
      <c r="C807" s="5" t="str">
        <f aca="false">IF(I807="","",INDEX(J_NO,I807))</f>
        <v>JU-1179</v>
      </c>
      <c r="D807" s="5" t="str">
        <f aca="false">IF(I807="","",INDEX(J_KET,I807))</f>
        <v>Pindah dana bank ke kas warung (tambahan dana darurat untuk belanja)</v>
      </c>
      <c r="E807" s="5" t="str">
        <f aca="false">IF(I807="","",IF(INDEX(J_DEB,I807)=$C$3,INDEX(J_KRE,I807),INDEX(J_DEB,I807)))</f>
        <v>Kas Warung</v>
      </c>
      <c r="F807" s="44" t="n">
        <f aca="false">IF(I807="","",IF(INDEX(J_DEB,I807)=$C$3,INDEX(J_NOM,I807),0))</f>
        <v>0</v>
      </c>
      <c r="G807" s="44" t="n">
        <f aca="false">IF(I807="","",IF(INDEX(J_KRE,I807)=$C$3,INDEX(J_NOM,I807),0))</f>
        <v>500000</v>
      </c>
      <c r="H807" s="44" t="n">
        <f aca="false">IF(I807="","",N(H806)+IF($C$5="Debet",F807-G807,G807-F807))</f>
        <v>-11146516</v>
      </c>
      <c r="I807" s="66" t="n">
        <f aca="false">IF(J807&gt;$K$1,"",IFERROR(MATCH(J807,J_BB,0),""))</f>
        <v>1179</v>
      </c>
      <c r="J807" s="66" t="n">
        <v>798</v>
      </c>
      <c r="K807" s="5"/>
    </row>
    <row r="808" customFormat="false" ht="15" hidden="false" customHeight="false" outlineLevel="0" collapsed="false">
      <c r="A808" s="5" t="n">
        <f aca="false">IF(I808="","",J808)</f>
        <v>799</v>
      </c>
      <c r="B808" s="83" t="n">
        <f aca="false">IF(I808="","",INDEX(J_TGL,I808))</f>
        <v>46275</v>
      </c>
      <c r="C808" s="5" t="str">
        <f aca="false">IF(I808="","",INDEX(J_NO,I808))</f>
        <v>JU-1180</v>
      </c>
      <c r="D808" s="5" t="str">
        <f aca="false">IF(I808="","",INDEX(J_KET,I808))</f>
        <v>Biaya transfer flip</v>
      </c>
      <c r="E808" s="5" t="str">
        <f aca="false">IF(I808="","",IF(INDEX(J_DEB,I808)=$C$3,INDEX(J_KRE,I808),INDEX(J_DEB,I808)))</f>
        <v>Biaya Lainnya</v>
      </c>
      <c r="F808" s="44" t="n">
        <f aca="false">IF(I808="","",IF(INDEX(J_DEB,I808)=$C$3,INDEX(J_NOM,I808),0))</f>
        <v>0</v>
      </c>
      <c r="G808" s="44" t="n">
        <f aca="false">IF(I808="","",IF(INDEX(J_KRE,I808)=$C$3,INDEX(J_NOM,I808),0))</f>
        <v>348</v>
      </c>
      <c r="H808" s="44" t="n">
        <f aca="false">IF(I808="","",N(H807)+IF($C$5="Debet",F808-G808,G808-F808))</f>
        <v>-11146864</v>
      </c>
      <c r="I808" s="66" t="n">
        <f aca="false">IF(J808&gt;$K$1,"",IFERROR(MATCH(J808,J_BB,0),""))</f>
        <v>1180</v>
      </c>
      <c r="J808" s="66" t="n">
        <v>799</v>
      </c>
      <c r="K808" s="5"/>
    </row>
    <row r="809" customFormat="false" ht="15" hidden="false" customHeight="false" outlineLevel="0" collapsed="false">
      <c r="A809" s="5" t="n">
        <f aca="false">IF(I809="","",J809)</f>
        <v>800</v>
      </c>
      <c r="B809" s="83" t="n">
        <f aca="false">IF(I809="","",INDEX(J_TGL,I809))</f>
        <v>46275</v>
      </c>
      <c r="C809" s="5" t="str">
        <f aca="false">IF(I809="","",INDEX(J_NO,I809))</f>
        <v>JU-1181</v>
      </c>
      <c r="D809" s="5" t="str">
        <f aca="false">IF(I809="","",INDEX(J_KET,I809))</f>
        <v>Biaya transfer flip</v>
      </c>
      <c r="E809" s="5" t="str">
        <f aca="false">IF(I809="","",IF(INDEX(J_DEB,I809)=$C$3,INDEX(J_KRE,I809),INDEX(J_DEB,I809)))</f>
        <v>Biaya Lainnya</v>
      </c>
      <c r="F809" s="44" t="n">
        <f aca="false">IF(I809="","",IF(INDEX(J_DEB,I809)=$C$3,INDEX(J_NOM,I809),0))</f>
        <v>0</v>
      </c>
      <c r="G809" s="44" t="n">
        <f aca="false">IF(I809="","",IF(INDEX(J_KRE,I809)=$C$3,INDEX(J_NOM,I809),0))</f>
        <v>125</v>
      </c>
      <c r="H809" s="44" t="n">
        <f aca="false">IF(I809="","",N(H808)+IF($C$5="Debet",F809-G809,G809-F809))</f>
        <v>-11146989</v>
      </c>
      <c r="I809" s="66" t="n">
        <f aca="false">IF(J809&gt;$K$1,"",IFERROR(MATCH(J809,J_BB,0),""))</f>
        <v>1181</v>
      </c>
      <c r="J809" s="66" t="n">
        <v>800</v>
      </c>
      <c r="K809" s="5"/>
    </row>
    <row r="810" customFormat="false" ht="15" hidden="false" customHeight="false" outlineLevel="0" collapsed="false">
      <c r="A810" s="5" t="n">
        <f aca="false">IF(I810="","",J810)</f>
        <v>801</v>
      </c>
      <c r="B810" s="83" t="n">
        <f aca="false">IF(I810="","",INDEX(J_TGL,I810))</f>
        <v>46275</v>
      </c>
      <c r="C810" s="5" t="str">
        <f aca="false">IF(I810="","",INDEX(J_NO,I810))</f>
        <v>JU-1182</v>
      </c>
      <c r="D810" s="5" t="str">
        <f aca="false">IF(I810="","",INDEX(J_KET,I810))</f>
        <v>Biaya transfer flip</v>
      </c>
      <c r="E810" s="5" t="str">
        <f aca="false">IF(I810="","",IF(INDEX(J_DEB,I810)=$C$3,INDEX(J_KRE,I810),INDEX(J_DEB,I810)))</f>
        <v>Biaya Lainnya</v>
      </c>
      <c r="F810" s="44" t="n">
        <f aca="false">IF(I810="","",IF(INDEX(J_DEB,I810)=$C$3,INDEX(J_NOM,I810),0))</f>
        <v>0</v>
      </c>
      <c r="G810" s="44" t="n">
        <f aca="false">IF(I810="","",IF(INDEX(J_KRE,I810)=$C$3,INDEX(J_NOM,I810),0))</f>
        <v>419</v>
      </c>
      <c r="H810" s="44" t="n">
        <f aca="false">IF(I810="","",N(H809)+IF($C$5="Debet",F810-G810,G810-F810))</f>
        <v>-11147408</v>
      </c>
      <c r="I810" s="66" t="n">
        <f aca="false">IF(J810&gt;$K$1,"",IFERROR(MATCH(J810,J_BB,0),""))</f>
        <v>1182</v>
      </c>
      <c r="J810" s="66" t="n">
        <v>801</v>
      </c>
      <c r="K810" s="5"/>
    </row>
    <row r="811" customFormat="false" ht="15" hidden="false" customHeight="false" outlineLevel="0" collapsed="false">
      <c r="A811" s="5" t="n">
        <f aca="false">IF(I811="","",J811)</f>
        <v>802</v>
      </c>
      <c r="B811" s="83" t="n">
        <f aca="false">IF(I811="","",INDEX(J_TGL,I811))</f>
        <v>46276</v>
      </c>
      <c r="C811" s="5" t="str">
        <f aca="false">IF(I811="","",INDEX(J_NO,I811))</f>
        <v>JU-1183</v>
      </c>
      <c r="D811" s="5" t="str">
        <f aca="false">IF(I811="","",INDEX(J_KET,I811))</f>
        <v>Belanja oatside x 1 karton</v>
      </c>
      <c r="E811" s="5" t="str">
        <f aca="false">IF(I811="","",IF(INDEX(J_DEB,I811)=$C$3,INDEX(J_KRE,I811),INDEX(J_DEB,I811)))</f>
        <v>Biaya Bahan Baku</v>
      </c>
      <c r="F811" s="44" t="n">
        <f aca="false">IF(I811="","",IF(INDEX(J_DEB,I811)=$C$3,INDEX(J_NOM,I811),0))</f>
        <v>0</v>
      </c>
      <c r="G811" s="44" t="n">
        <f aca="false">IF(I811="","",IF(INDEX(J_KRE,I811)=$C$3,INDEX(J_NOM,I811),0))</f>
        <v>192000</v>
      </c>
      <c r="H811" s="44" t="n">
        <f aca="false">IF(I811="","",N(H810)+IF($C$5="Debet",F811-G811,G811-F811))</f>
        <v>-11339408</v>
      </c>
      <c r="I811" s="66" t="n">
        <f aca="false">IF(J811&gt;$K$1,"",IFERROR(MATCH(J811,J_BB,0),""))</f>
        <v>1183</v>
      </c>
      <c r="J811" s="66" t="n">
        <v>802</v>
      </c>
      <c r="K811" s="5"/>
    </row>
    <row r="812" customFormat="false" ht="15" hidden="false" customHeight="false" outlineLevel="0" collapsed="false">
      <c r="A812" s="5" t="n">
        <f aca="false">IF(I812="","",J812)</f>
        <v>803</v>
      </c>
      <c r="B812" s="83" t="n">
        <f aca="false">IF(I812="","",INDEX(J_TGL,I812))</f>
        <v>46277</v>
      </c>
      <c r="C812" s="5" t="str">
        <f aca="false">IF(I812="","",INDEX(J_NO,I812))</f>
        <v>JU-1184</v>
      </c>
      <c r="D812" s="5" t="str">
        <f aca="false">IF(I812="","",INDEX(J_KET,I812))</f>
        <v>Print poster menu event dan keperluan booth lainnya</v>
      </c>
      <c r="E812" s="5" t="str">
        <f aca="false">IF(I812="","",IF(INDEX(J_DEB,I812)=$C$3,INDEX(J_KRE,I812),INDEX(J_DEB,I812)))</f>
        <v>Biaya Marketing &amp; Promosi</v>
      </c>
      <c r="F812" s="44" t="n">
        <f aca="false">IF(I812="","",IF(INDEX(J_DEB,I812)=$C$3,INDEX(J_NOM,I812),0))</f>
        <v>0</v>
      </c>
      <c r="G812" s="44" t="n">
        <f aca="false">IF(I812="","",IF(INDEX(J_KRE,I812)=$C$3,INDEX(J_NOM,I812),0))</f>
        <v>28800</v>
      </c>
      <c r="H812" s="44" t="n">
        <f aca="false">IF(I812="","",N(H811)+IF($C$5="Debet",F812-G812,G812-F812))</f>
        <v>-11368208</v>
      </c>
      <c r="I812" s="66" t="n">
        <f aca="false">IF(J812&gt;$K$1,"",IFERROR(MATCH(J812,J_BB,0),""))</f>
        <v>1184</v>
      </c>
      <c r="J812" s="66" t="n">
        <v>803</v>
      </c>
      <c r="K812" s="5"/>
    </row>
    <row r="813" customFormat="false" ht="15" hidden="false" customHeight="false" outlineLevel="0" collapsed="false">
      <c r="A813" s="5" t="n">
        <f aca="false">IF(I813="","",J813)</f>
        <v>804</v>
      </c>
      <c r="B813" s="83" t="n">
        <f aca="false">IF(I813="","",INDEX(J_TGL,I813))</f>
        <v>46277</v>
      </c>
      <c r="C813" s="5" t="str">
        <f aca="false">IF(I813="","",INDEX(J_NO,I813))</f>
        <v>JU-1185</v>
      </c>
      <c r="D813" s="5" t="str">
        <f aca="false">IF(I813="","",INDEX(J_KET,I813))</f>
        <v>Unlock water</v>
      </c>
      <c r="E813" s="5" t="str">
        <f aca="false">IF(I813="","",IF(INDEX(J_DEB,I813)=$C$3,INDEX(J_KRE,I813),INDEX(J_DEB,I813)))</f>
        <v>Biaya Bahan Baku</v>
      </c>
      <c r="F813" s="44" t="n">
        <f aca="false">IF(I813="","",IF(INDEX(J_DEB,I813)=$C$3,INDEX(J_NOM,I813),0))</f>
        <v>0</v>
      </c>
      <c r="G813" s="44" t="n">
        <f aca="false">IF(I813="","",IF(INDEX(J_KRE,I813)=$C$3,INDEX(J_NOM,I813),0))</f>
        <v>266000</v>
      </c>
      <c r="H813" s="44" t="n">
        <f aca="false">IF(I813="","",N(H812)+IF($C$5="Debet",F813-G813,G813-F813))</f>
        <v>-11634208</v>
      </c>
      <c r="I813" s="66" t="n">
        <f aca="false">IF(J813&gt;$K$1,"",IFERROR(MATCH(J813,J_BB,0),""))</f>
        <v>1185</v>
      </c>
      <c r="J813" s="66" t="n">
        <v>804</v>
      </c>
      <c r="K813" s="5"/>
    </row>
    <row r="814" customFormat="false" ht="15" hidden="false" customHeight="false" outlineLevel="0" collapsed="false">
      <c r="A814" s="5" t="n">
        <f aca="false">IF(I814="","",J814)</f>
        <v>805</v>
      </c>
      <c r="B814" s="83" t="n">
        <f aca="false">IF(I814="","",INDEX(J_TGL,I814))</f>
        <v>46278</v>
      </c>
      <c r="C814" s="5" t="str">
        <f aca="false">IF(I814="","",INDEX(J_NO,I814))</f>
        <v>JU-1186</v>
      </c>
      <c r="D814" s="5" t="str">
        <f aca="false">IF(I814="","",INDEX(J_KET,I814))</f>
        <v>Pindah dana ke tunai dari BCA (Afa tukar)</v>
      </c>
      <c r="E814" s="5" t="str">
        <f aca="false">IF(I814="","",IF(INDEX(J_DEB,I814)=$C$3,INDEX(J_KRE,I814),INDEX(J_DEB,I814)))</f>
        <v>Kas Tunai</v>
      </c>
      <c r="F814" s="44" t="n">
        <f aca="false">IF(I814="","",IF(INDEX(J_DEB,I814)=$C$3,INDEX(J_NOM,I814),0))</f>
        <v>180000</v>
      </c>
      <c r="G814" s="44" t="n">
        <f aca="false">IF(I814="","",IF(INDEX(J_KRE,I814)=$C$3,INDEX(J_NOM,I814),0))</f>
        <v>0</v>
      </c>
      <c r="H814" s="44" t="n">
        <f aca="false">IF(I814="","",N(H813)+IF($C$5="Debet",F814-G814,G814-F814))</f>
        <v>-11454208</v>
      </c>
      <c r="I814" s="66" t="n">
        <f aca="false">IF(J814&gt;$K$1,"",IFERROR(MATCH(J814,J_BB,0),""))</f>
        <v>1186</v>
      </c>
      <c r="J814" s="66" t="n">
        <v>805</v>
      </c>
      <c r="K814" s="5"/>
    </row>
    <row r="815" customFormat="false" ht="15" hidden="false" customHeight="false" outlineLevel="0" collapsed="false">
      <c r="A815" s="5" t="n">
        <f aca="false">IF(I815="","",J815)</f>
        <v>806</v>
      </c>
      <c r="B815" s="83" t="n">
        <f aca="false">IF(I815="","",INDEX(J_TGL,I815))</f>
        <v>46278</v>
      </c>
      <c r="C815" s="5" t="str">
        <f aca="false">IF(I815="","",INDEX(J_NO,I815))</f>
        <v>JU-1187</v>
      </c>
      <c r="D815" s="5" t="str">
        <f aca="false">IF(I815="","",INDEX(J_KET,I815))</f>
        <v>Penjualan booth tgl 12 Sept.</v>
      </c>
      <c r="E815" s="5" t="str">
        <f aca="false">IF(I815="","",IF(INDEX(J_DEB,I815)=$C$3,INDEX(J_KRE,I815),INDEX(J_DEB,I815)))</f>
        <v>Pendapatan non Cafe</v>
      </c>
      <c r="F815" s="44" t="n">
        <f aca="false">IF(I815="","",IF(INDEX(J_DEB,I815)=$C$3,INDEX(J_NOM,I815),0))</f>
        <v>1134250</v>
      </c>
      <c r="G815" s="44" t="n">
        <f aca="false">IF(I815="","",IF(INDEX(J_KRE,I815)=$C$3,INDEX(J_NOM,I815),0))</f>
        <v>0</v>
      </c>
      <c r="H815" s="44" t="n">
        <f aca="false">IF(I815="","",N(H814)+IF($C$5="Debet",F815-G815,G815-F815))</f>
        <v>-10319958</v>
      </c>
      <c r="I815" s="66" t="n">
        <f aca="false">IF(J815&gt;$K$1,"",IFERROR(MATCH(J815,J_BB,0),""))</f>
        <v>1187</v>
      </c>
      <c r="J815" s="66" t="n">
        <v>806</v>
      </c>
      <c r="K815" s="5"/>
    </row>
    <row r="816" customFormat="false" ht="15" hidden="false" customHeight="false" outlineLevel="0" collapsed="false">
      <c r="A816" s="5" t="n">
        <f aca="false">IF(I816="","",J816)</f>
        <v>807</v>
      </c>
      <c r="B816" s="83" t="n">
        <f aca="false">IF(I816="","",INDEX(J_TGL,I816))</f>
        <v>46278</v>
      </c>
      <c r="C816" s="5" t="str">
        <f aca="false">IF(I816="","",INDEX(J_NO,I816))</f>
        <v>JU-1188</v>
      </c>
      <c r="D816" s="5" t="str">
        <f aca="false">IF(I816="","",INDEX(J_KET,I816))</f>
        <v>Biji kopi/beans Yantos</v>
      </c>
      <c r="E816" s="5" t="str">
        <f aca="false">IF(I816="","",IF(INDEX(J_DEB,I816)=$C$3,INDEX(J_KRE,I816),INDEX(J_DEB,I816)))</f>
        <v>Biaya Bahan Baku</v>
      </c>
      <c r="F816" s="44" t="n">
        <f aca="false">IF(I816="","",IF(INDEX(J_DEB,I816)=$C$3,INDEX(J_NOM,I816),0))</f>
        <v>0</v>
      </c>
      <c r="G816" s="44" t="n">
        <f aca="false">IF(I816="","",IF(INDEX(J_KRE,I816)=$C$3,INDEX(J_NOM,I816),0))</f>
        <v>2069700</v>
      </c>
      <c r="H816" s="44" t="n">
        <f aca="false">IF(I816="","",N(H815)+IF($C$5="Debet",F816-G816,G816-F816))</f>
        <v>-12389658</v>
      </c>
      <c r="I816" s="66" t="n">
        <f aca="false">IF(J816&gt;$K$1,"",IFERROR(MATCH(J816,J_BB,0),""))</f>
        <v>1188</v>
      </c>
      <c r="J816" s="66" t="n">
        <v>807</v>
      </c>
      <c r="K816" s="5"/>
    </row>
    <row r="817" customFormat="false" ht="15" hidden="false" customHeight="false" outlineLevel="0" collapsed="false">
      <c r="A817" s="5" t="n">
        <f aca="false">IF(I817="","",J817)</f>
        <v>808</v>
      </c>
      <c r="B817" s="83" t="n">
        <f aca="false">IF(I817="","",INDEX(J_TGL,I817))</f>
        <v>46278</v>
      </c>
      <c r="C817" s="5" t="str">
        <f aca="false">IF(I817="","",INDEX(J_NO,I817))</f>
        <v>JU-1189</v>
      </c>
      <c r="D817" s="5" t="str">
        <f aca="false">IF(I817="","",INDEX(J_KET,I817))</f>
        <v>Yantos pinjam</v>
      </c>
      <c r="E817" s="5" t="str">
        <f aca="false">IF(I817="","",IF(INDEX(J_DEB,I817)=$C$3,INDEX(J_KRE,I817),INDEX(J_DEB,I817)))</f>
        <v>Piutang Lainnya</v>
      </c>
      <c r="F817" s="44" t="n">
        <f aca="false">IF(I817="","",IF(INDEX(J_DEB,I817)=$C$3,INDEX(J_NOM,I817),0))</f>
        <v>0</v>
      </c>
      <c r="G817" s="44" t="n">
        <f aca="false">IF(I817="","",IF(INDEX(J_KRE,I817)=$C$3,INDEX(J_NOM,I817),0))</f>
        <v>5048000</v>
      </c>
      <c r="H817" s="44" t="n">
        <f aca="false">IF(I817="","",N(H816)+IF($C$5="Debet",F817-G817,G817-F817))</f>
        <v>-17437658</v>
      </c>
      <c r="I817" s="66" t="n">
        <f aca="false">IF(J817&gt;$K$1,"",IFERROR(MATCH(J817,J_BB,0),""))</f>
        <v>1189</v>
      </c>
      <c r="J817" s="66" t="n">
        <v>808</v>
      </c>
      <c r="K817" s="5"/>
    </row>
    <row r="818" customFormat="false" ht="15" hidden="false" customHeight="false" outlineLevel="0" collapsed="false">
      <c r="A818" s="5" t="n">
        <f aca="false">IF(I818="","",J818)</f>
        <v>809</v>
      </c>
      <c r="B818" s="83" t="n">
        <f aca="false">IF(I818="","",INDEX(J_TGL,I818))</f>
        <v>46279</v>
      </c>
      <c r="C818" s="5" t="str">
        <f aca="false">IF(I818="","",INDEX(J_NO,I818))</f>
        <v>JU-1191</v>
      </c>
      <c r="D818" s="5" t="str">
        <f aca="false">IF(I818="","",INDEX(J_KET,I818))</f>
        <v>Pindah dana bank ke kas warung (tambahan dana darurat untuk belanja / reimburse)</v>
      </c>
      <c r="E818" s="5" t="str">
        <f aca="false">IF(I818="","",IF(INDEX(J_DEB,I818)=$C$3,INDEX(J_KRE,I818),INDEX(J_DEB,I818)))</f>
        <v>Kas Warung</v>
      </c>
      <c r="F818" s="44" t="n">
        <f aca="false">IF(I818="","",IF(INDEX(J_DEB,I818)=$C$3,INDEX(J_NOM,I818),0))</f>
        <v>0</v>
      </c>
      <c r="G818" s="44" t="n">
        <f aca="false">IF(I818="","",IF(INDEX(J_KRE,I818)=$C$3,INDEX(J_NOM,I818),0))</f>
        <v>272780</v>
      </c>
      <c r="H818" s="44" t="n">
        <f aca="false">IF(I818="","",N(H817)+IF($C$5="Debet",F818-G818,G818-F818))</f>
        <v>-17710438</v>
      </c>
      <c r="I818" s="66" t="n">
        <f aca="false">IF(J818&gt;$K$1,"",IFERROR(MATCH(J818,J_BB,0),""))</f>
        <v>1191</v>
      </c>
      <c r="J818" s="66" t="n">
        <v>809</v>
      </c>
      <c r="K818" s="5"/>
    </row>
    <row r="819" customFormat="false" ht="15" hidden="false" customHeight="false" outlineLevel="0" collapsed="false">
      <c r="A819" s="5" t="n">
        <f aca="false">IF(I819="","",J819)</f>
        <v>810</v>
      </c>
      <c r="B819" s="83" t="n">
        <f aca="false">IF(I819="","",INDEX(J_TGL,I819))</f>
        <v>46279</v>
      </c>
      <c r="C819" s="5" t="str">
        <f aca="false">IF(I819="","",INDEX(J_NO,I819))</f>
        <v>JU-1193</v>
      </c>
      <c r="D819" s="5" t="str">
        <f aca="false">IF(I819="","",INDEX(J_KET,I819))</f>
        <v>pembulatan</v>
      </c>
      <c r="E819" s="5" t="str">
        <f aca="false">IF(I819="","",IF(INDEX(J_DEB,I819)=$C$3,INDEX(J_KRE,I819),INDEX(J_DEB,I819)))</f>
        <v>Biaya Lainnya</v>
      </c>
      <c r="F819" s="44" t="n">
        <f aca="false">IF(I819="","",IF(INDEX(J_DEB,I819)=$C$3,INDEX(J_NOM,I819),0))</f>
        <v>0</v>
      </c>
      <c r="G819" s="44" t="n">
        <f aca="false">IF(I819="","",IF(INDEX(J_KRE,I819)=$C$3,INDEX(J_NOM,I819),0))</f>
        <v>20</v>
      </c>
      <c r="H819" s="44" t="n">
        <f aca="false">IF(I819="","",N(H818)+IF($C$5="Debet",F819-G819,G819-F819))</f>
        <v>-17710458</v>
      </c>
      <c r="I819" s="66" t="n">
        <f aca="false">IF(J819&gt;$K$1,"",IFERROR(MATCH(J819,J_BB,0),""))</f>
        <v>1193</v>
      </c>
      <c r="J819" s="66" t="n">
        <v>810</v>
      </c>
      <c r="K819" s="5"/>
    </row>
    <row r="820" customFormat="false" ht="15" hidden="false" customHeight="false" outlineLevel="0" collapsed="false">
      <c r="A820" s="5" t="n">
        <f aca="false">IF(I820="","",J820)</f>
        <v>811</v>
      </c>
      <c r="B820" s="83" t="n">
        <f aca="false">IF(I820="","",INDEX(J_TGL,I820))</f>
        <v>46279</v>
      </c>
      <c r="C820" s="5" t="str">
        <f aca="false">IF(I820="","",INDEX(J_NO,I820))</f>
        <v>JU-1195</v>
      </c>
      <c r="D820" s="5" t="str">
        <f aca="false">IF(I820="","",INDEX(J_KET,I820))</f>
        <v>Pindah dana bank ke kas warung (tambahan dana darurat untuk belanja)</v>
      </c>
      <c r="E820" s="5" t="str">
        <f aca="false">IF(I820="","",IF(INDEX(J_DEB,I820)=$C$3,INDEX(J_KRE,I820),INDEX(J_DEB,I820)))</f>
        <v>Kas Warung</v>
      </c>
      <c r="F820" s="44" t="n">
        <f aca="false">IF(I820="","",IF(INDEX(J_DEB,I820)=$C$3,INDEX(J_NOM,I820),0))</f>
        <v>0</v>
      </c>
      <c r="G820" s="44" t="n">
        <f aca="false">IF(I820="","",IF(INDEX(J_KRE,I820)=$C$3,INDEX(J_NOM,I820),0))</f>
        <v>500000</v>
      </c>
      <c r="H820" s="44" t="n">
        <f aca="false">IF(I820="","",N(H819)+IF($C$5="Debet",F820-G820,G820-F820))</f>
        <v>-18210458</v>
      </c>
      <c r="I820" s="66" t="n">
        <f aca="false">IF(J820&gt;$K$1,"",IFERROR(MATCH(J820,J_BB,0),""))</f>
        <v>1195</v>
      </c>
      <c r="J820" s="66" t="n">
        <v>811</v>
      </c>
      <c r="K820" s="5"/>
    </row>
    <row r="821" customFormat="false" ht="15" hidden="false" customHeight="false" outlineLevel="0" collapsed="false">
      <c r="A821" s="5" t="n">
        <f aca="false">IF(I821="","",J821)</f>
        <v>812</v>
      </c>
      <c r="B821" s="83" t="n">
        <f aca="false">IF(I821="","",INDEX(J_TGL,I821))</f>
        <v>46279</v>
      </c>
      <c r="C821" s="5" t="str">
        <f aca="false">IF(I821="","",INDEX(J_NO,I821))</f>
        <v>JU-1197</v>
      </c>
      <c r="D821" s="5" t="str">
        <f aca="false">IF(I821="","",INDEX(J_KET,I821))</f>
        <v>Menukar biaya pasang spion. Spion motor pecah kena mangga pohon Kopi Parang</v>
      </c>
      <c r="E821" s="5" t="str">
        <f aca="false">IF(I821="","",IF(INDEX(J_DEB,I821)=$C$3,INDEX(J_KRE,I821),INDEX(J_DEB,I821)))</f>
        <v>Biaya Lainnya</v>
      </c>
      <c r="F821" s="44" t="n">
        <f aca="false">IF(I821="","",IF(INDEX(J_DEB,I821)=$C$3,INDEX(J_NOM,I821),0))</f>
        <v>0</v>
      </c>
      <c r="G821" s="44" t="n">
        <f aca="false">IF(I821="","",IF(INDEX(J_KRE,I821)=$C$3,INDEX(J_NOM,I821),0))</f>
        <v>40000</v>
      </c>
      <c r="H821" s="44" t="n">
        <f aca="false">IF(I821="","",N(H820)+IF($C$5="Debet",F821-G821,G821-F821))</f>
        <v>-18250458</v>
      </c>
      <c r="I821" s="66" t="n">
        <f aca="false">IF(J821&gt;$K$1,"",IFERROR(MATCH(J821,J_BB,0),""))</f>
        <v>1197</v>
      </c>
      <c r="J821" s="66" t="n">
        <v>812</v>
      </c>
      <c r="K821" s="5"/>
    </row>
    <row r="822" customFormat="false" ht="15" hidden="false" customHeight="false" outlineLevel="0" collapsed="false">
      <c r="A822" s="5" t="n">
        <f aca="false">IF(I822="","",J822)</f>
        <v>813</v>
      </c>
      <c r="B822" s="83" t="n">
        <f aca="false">IF(I822="","",INDEX(J_TGL,I822))</f>
        <v>46279</v>
      </c>
      <c r="C822" s="5" t="str">
        <f aca="false">IF(I822="","",INDEX(J_NO,I822))</f>
        <v>JU-1198</v>
      </c>
      <c r="D822" s="5" t="str">
        <f aca="false">IF(I822="","",INDEX(J_KET,I822))</f>
        <v>Payment sewa venue by Artefac</v>
      </c>
      <c r="E822" s="5" t="str">
        <f aca="false">IF(I822="","",IF(INDEX(J_DEB,I822)=$C$3,INDEX(J_KRE,I822),INDEX(J_DEB,I822)))</f>
        <v>Pendapatan non Cafe</v>
      </c>
      <c r="F822" s="44" t="n">
        <f aca="false">IF(I822="","",IF(INDEX(J_DEB,I822)=$C$3,INDEX(J_NOM,I822),0))</f>
        <v>1000000</v>
      </c>
      <c r="G822" s="44" t="n">
        <f aca="false">IF(I822="","",IF(INDEX(J_KRE,I822)=$C$3,INDEX(J_NOM,I822),0))</f>
        <v>0</v>
      </c>
      <c r="H822" s="44" t="n">
        <f aca="false">IF(I822="","",N(H821)+IF($C$5="Debet",F822-G822,G822-F822))</f>
        <v>-17250458</v>
      </c>
      <c r="I822" s="66" t="n">
        <f aca="false">IF(J822&gt;$K$1,"",IFERROR(MATCH(J822,J_BB,0),""))</f>
        <v>1198</v>
      </c>
      <c r="J822" s="66" t="n">
        <v>813</v>
      </c>
      <c r="K822" s="5"/>
    </row>
    <row r="823" customFormat="false" ht="15" hidden="false" customHeight="false" outlineLevel="0" collapsed="false">
      <c r="A823" s="5" t="n">
        <f aca="false">IF(I823="","",J823)</f>
        <v>814</v>
      </c>
      <c r="B823" s="83" t="n">
        <f aca="false">IF(I823="","",INDEX(J_TGL,I823))</f>
        <v>46280</v>
      </c>
      <c r="C823" s="5" t="str">
        <f aca="false">IF(I823="","",INDEX(J_NO,I823))</f>
        <v>JU-1199</v>
      </c>
      <c r="D823" s="5" t="str">
        <f aca="false">IF(I823="","",INDEX(J_KET,I823))</f>
        <v>Tiramisu 2 batch 20 &amp; 29 Agustus (return 10) terjual 8 pcs</v>
      </c>
      <c r="E823" s="5" t="str">
        <f aca="false">IF(I823="","",IF(INDEX(J_DEB,I823)=$C$3,INDEX(J_KRE,I823),INDEX(J_DEB,I823)))</f>
        <v>Biaya Bahan Baku</v>
      </c>
      <c r="F823" s="44" t="n">
        <f aca="false">IF(I823="","",IF(INDEX(J_DEB,I823)=$C$3,INDEX(J_NOM,I823),0))</f>
        <v>0</v>
      </c>
      <c r="G823" s="44" t="n">
        <f aca="false">IF(I823="","",IF(INDEX(J_KRE,I823)=$C$3,INDEX(J_NOM,I823),0))</f>
        <v>107000</v>
      </c>
      <c r="H823" s="44" t="n">
        <f aca="false">IF(I823="","",N(H822)+IF($C$5="Debet",F823-G823,G823-F823))</f>
        <v>-17357458</v>
      </c>
      <c r="I823" s="66" t="n">
        <f aca="false">IF(J823&gt;$K$1,"",IFERROR(MATCH(J823,J_BB,0),""))</f>
        <v>1199</v>
      </c>
      <c r="J823" s="66" t="n">
        <v>814</v>
      </c>
      <c r="K823" s="5"/>
    </row>
    <row r="824" customFormat="false" ht="15" hidden="false" customHeight="false" outlineLevel="0" collapsed="false">
      <c r="A824" s="5" t="n">
        <f aca="false">IF(I824="","",J824)</f>
        <v>815</v>
      </c>
      <c r="B824" s="83" t="n">
        <f aca="false">IF(I824="","",INDEX(J_TGL,I824))</f>
        <v>46280</v>
      </c>
      <c r="C824" s="5" t="str">
        <f aca="false">IF(I824="","",INDEX(J_NO,I824))</f>
        <v>JU-1205</v>
      </c>
      <c r="D824" s="5" t="str">
        <f aca="false">IF(I824="","",INDEX(J_KET,I824))</f>
        <v>Tambah daya 5400Watt untuk 3 hari di booth SCP</v>
      </c>
      <c r="E824" s="5" t="str">
        <f aca="false">IF(I824="","",IF(INDEX(J_DEB,I824)=$C$3,INDEX(J_KRE,I824),INDEX(J_DEB,I824)))</f>
        <v>Biaya Marketing &amp; Promosi</v>
      </c>
      <c r="F824" s="44" t="n">
        <f aca="false">IF(I824="","",IF(INDEX(J_DEB,I824)=$C$3,INDEX(J_NOM,I824),0))</f>
        <v>0</v>
      </c>
      <c r="G824" s="44" t="n">
        <f aca="false">IF(I824="","",IF(INDEX(J_KRE,I824)=$C$3,INDEX(J_NOM,I824),0))</f>
        <v>1750000</v>
      </c>
      <c r="H824" s="44" t="n">
        <f aca="false">IF(I824="","",N(H823)+IF($C$5="Debet",F824-G824,G824-F824))</f>
        <v>-19107458</v>
      </c>
      <c r="I824" s="66" t="n">
        <f aca="false">IF(J824&gt;$K$1,"",IFERROR(MATCH(J824,J_BB,0),""))</f>
        <v>1205</v>
      </c>
      <c r="J824" s="66" t="n">
        <v>815</v>
      </c>
      <c r="K824" s="5"/>
    </row>
    <row r="825" customFormat="false" ht="15" hidden="false" customHeight="false" outlineLevel="0" collapsed="false">
      <c r="A825" s="5" t="n">
        <f aca="false">IF(I825="","",J825)</f>
        <v>816</v>
      </c>
      <c r="B825" s="83" t="n">
        <f aca="false">IF(I825="","",INDEX(J_TGL,I825))</f>
        <v>46282</v>
      </c>
      <c r="C825" s="5" t="str">
        <f aca="false">IF(I825="","",INDEX(J_NO,I825))</f>
        <v>JU-1206</v>
      </c>
      <c r="D825" s="5" t="str">
        <f aca="false">IF(I825="","",INDEX(J_KET,I825))</f>
        <v>Takeaway cup+lid  12oz x 2000 INV 1/9/26</v>
      </c>
      <c r="E825" s="5" t="str">
        <f aca="false">IF(I825="","",IF(INDEX(J_DEB,I825)=$C$3,INDEX(J_KRE,I825),INDEX(J_DEB,I825)))</f>
        <v>Biaya Penyajian</v>
      </c>
      <c r="F825" s="44" t="n">
        <f aca="false">IF(I825="","",IF(INDEX(J_DEB,I825)=$C$3,INDEX(J_NOM,I825),0))</f>
        <v>0</v>
      </c>
      <c r="G825" s="44" t="n">
        <f aca="false">IF(I825="","",IF(INDEX(J_KRE,I825)=$C$3,INDEX(J_NOM,I825),0))</f>
        <v>1500000</v>
      </c>
      <c r="H825" s="44" t="n">
        <f aca="false">IF(I825="","",N(H824)+IF($C$5="Debet",F825-G825,G825-F825))</f>
        <v>-20607458</v>
      </c>
      <c r="I825" s="66" t="n">
        <f aca="false">IF(J825&gt;$K$1,"",IFERROR(MATCH(J825,J_BB,0),""))</f>
        <v>1206</v>
      </c>
      <c r="J825" s="66" t="n">
        <v>816</v>
      </c>
      <c r="K825" s="5"/>
    </row>
    <row r="826" customFormat="false" ht="15" hidden="false" customHeight="false" outlineLevel="0" collapsed="false">
      <c r="A826" s="5" t="n">
        <f aca="false">IF(I826="","",J826)</f>
        <v>817</v>
      </c>
      <c r="B826" s="83" t="n">
        <f aca="false">IF(I826="","",INDEX(J_TGL,I826))</f>
        <v>46282</v>
      </c>
      <c r="C826" s="5" t="str">
        <f aca="false">IF(I826="","",INDEX(J_NO,I826))</f>
        <v>JU-1207</v>
      </c>
      <c r="D826" s="5" t="str">
        <f aca="false">IF(I826="","",INDEX(J_KET,I826))</f>
        <v>Takeaway cup+lid  12oz x 2000 INV 10/9/26</v>
      </c>
      <c r="E826" s="5" t="str">
        <f aca="false">IF(I826="","",IF(INDEX(J_DEB,I826)=$C$3,INDEX(J_KRE,I826),INDEX(J_DEB,I826)))</f>
        <v>Biaya Penyajian</v>
      </c>
      <c r="F826" s="44" t="n">
        <f aca="false">IF(I826="","",IF(INDEX(J_DEB,I826)=$C$3,INDEX(J_NOM,I826),0))</f>
        <v>0</v>
      </c>
      <c r="G826" s="44" t="n">
        <f aca="false">IF(I826="","",IF(INDEX(J_KRE,I826)=$C$3,INDEX(J_NOM,I826),0))</f>
        <v>1500000</v>
      </c>
      <c r="H826" s="44" t="n">
        <f aca="false">IF(I826="","",N(H825)+IF($C$5="Debet",F826-G826,G826-F826))</f>
        <v>-22107458</v>
      </c>
      <c r="I826" s="66" t="n">
        <f aca="false">IF(J826&gt;$K$1,"",IFERROR(MATCH(J826,J_BB,0),""))</f>
        <v>1207</v>
      </c>
      <c r="J826" s="66" t="n">
        <v>817</v>
      </c>
      <c r="K826" s="5"/>
    </row>
    <row r="827" customFormat="false" ht="15" hidden="false" customHeight="false" outlineLevel="0" collapsed="false">
      <c r="A827" s="5" t="n">
        <f aca="false">IF(I827="","",J827)</f>
        <v>818</v>
      </c>
      <c r="B827" s="83" t="n">
        <f aca="false">IF(I827="","",INDEX(J_TGL,I827))</f>
        <v>46282</v>
      </c>
      <c r="C827" s="5" t="str">
        <f aca="false">IF(I827="","",INDEX(J_NO,I827))</f>
        <v>JU-1208</v>
      </c>
      <c r="D827" s="5" t="str">
        <f aca="false">IF(I827="","",INDEX(J_KET,I827))</f>
        <v>Gelas kopi server kaca dan lid 400ml x 2</v>
      </c>
      <c r="E827" s="5" t="str">
        <f aca="false">IF(I827="","",IF(INDEX(J_DEB,I827)=$C$3,INDEX(J_KRE,I827),INDEX(J_DEB,I827)))</f>
        <v>Biaya Penyajian</v>
      </c>
      <c r="F827" s="44" t="n">
        <f aca="false">IF(I827="","",IF(INDEX(J_DEB,I827)=$C$3,INDEX(J_NOM,I827),0))</f>
        <v>0</v>
      </c>
      <c r="G827" s="44" t="n">
        <f aca="false">IF(I827="","",IF(INDEX(J_KRE,I827)=$C$3,INDEX(J_NOM,I827),0))</f>
        <v>118200</v>
      </c>
      <c r="H827" s="44" t="n">
        <f aca="false">IF(I827="","",N(H826)+IF($C$5="Debet",F827-G827,G827-F827))</f>
        <v>-22225658</v>
      </c>
      <c r="I827" s="66" t="n">
        <f aca="false">IF(J827&gt;$K$1,"",IFERROR(MATCH(J827,J_BB,0),""))</f>
        <v>1208</v>
      </c>
      <c r="J827" s="66" t="n">
        <v>818</v>
      </c>
      <c r="K827" s="5"/>
    </row>
    <row r="828" customFormat="false" ht="15" hidden="false" customHeight="false" outlineLevel="0" collapsed="false">
      <c r="A828" s="5" t="n">
        <f aca="false">IF(I828="","",J828)</f>
        <v>819</v>
      </c>
      <c r="B828" s="83" t="n">
        <f aca="false">IF(I828="","",INDEX(J_TGL,I828))</f>
        <v>46283</v>
      </c>
      <c r="C828" s="5" t="str">
        <f aca="false">IF(I828="","",INDEX(J_NO,I828))</f>
        <v>JU-1209</v>
      </c>
      <c r="D828" s="5" t="str">
        <f aca="false">IF(I828="","",INDEX(J_KET,I828))</f>
        <v>Pindah dana bank ke kas warung (dana belanja bulanan)</v>
      </c>
      <c r="E828" s="5" t="str">
        <f aca="false">IF(I828="","",IF(INDEX(J_DEB,I828)=$C$3,INDEX(J_KRE,I828),INDEX(J_DEB,I828)))</f>
        <v>Kas Warung</v>
      </c>
      <c r="F828" s="44" t="n">
        <f aca="false">IF(I828="","",IF(INDEX(J_DEB,I828)=$C$3,INDEX(J_NOM,I828),0))</f>
        <v>0</v>
      </c>
      <c r="G828" s="44" t="n">
        <f aca="false">IF(I828="","",IF(INDEX(J_KRE,I828)=$C$3,INDEX(J_NOM,I828),0))</f>
        <v>5300000</v>
      </c>
      <c r="H828" s="44" t="n">
        <f aca="false">IF(I828="","",N(H827)+IF($C$5="Debet",F828-G828,G828-F828))</f>
        <v>-27525658</v>
      </c>
      <c r="I828" s="66" t="n">
        <f aca="false">IF(J828&gt;$K$1,"",IFERROR(MATCH(J828,J_BB,0),""))</f>
        <v>1209</v>
      </c>
      <c r="J828" s="66" t="n">
        <v>819</v>
      </c>
      <c r="K828" s="5"/>
    </row>
    <row r="829" customFormat="false" ht="15" hidden="false" customHeight="false" outlineLevel="0" collapsed="false">
      <c r="A829" s="5" t="n">
        <f aca="false">IF(I829="","",J829)</f>
        <v>820</v>
      </c>
      <c r="B829" s="83" t="n">
        <f aca="false">IF(I829="","",INDEX(J_TGL,I829))</f>
        <v>46283</v>
      </c>
      <c r="C829" s="5" t="str">
        <f aca="false">IF(I829="","",INDEX(J_NO,I829))</f>
        <v>JU-1210</v>
      </c>
      <c r="D829" s="5" t="str">
        <f aca="false">IF(I829="","",INDEX(J_KET,I829))</f>
        <v>Biaya transfer flip</v>
      </c>
      <c r="E829" s="5" t="str">
        <f aca="false">IF(I829="","",IF(INDEX(J_DEB,I829)=$C$3,INDEX(J_KRE,I829),INDEX(J_DEB,I829)))</f>
        <v>Biaya Lainnya</v>
      </c>
      <c r="F829" s="44" t="n">
        <f aca="false">IF(I829="","",IF(INDEX(J_DEB,I829)=$C$3,INDEX(J_NOM,I829),0))</f>
        <v>0</v>
      </c>
      <c r="G829" s="44" t="n">
        <f aca="false">IF(I829="","",IF(INDEX(J_KRE,I829)=$C$3,INDEX(J_NOM,I829),0))</f>
        <v>325</v>
      </c>
      <c r="H829" s="44" t="n">
        <f aca="false">IF(I829="","",N(H828)+IF($C$5="Debet",F829-G829,G829-F829))</f>
        <v>-27525983</v>
      </c>
      <c r="I829" s="66" t="n">
        <f aca="false">IF(J829&gt;$K$1,"",IFERROR(MATCH(J829,J_BB,0),""))</f>
        <v>1210</v>
      </c>
      <c r="J829" s="66" t="n">
        <v>820</v>
      </c>
      <c r="K829" s="5"/>
    </row>
    <row r="830" customFormat="false" ht="15" hidden="false" customHeight="false" outlineLevel="0" collapsed="false">
      <c r="A830" s="5" t="n">
        <f aca="false">IF(I830="","",J830)</f>
        <v>821</v>
      </c>
      <c r="B830" s="83" t="n">
        <f aca="false">IF(I830="","",INDEX(J_TGL,I830))</f>
        <v>46283</v>
      </c>
      <c r="C830" s="5" t="str">
        <f aca="false">IF(I830="","",INDEX(J_NO,I830))</f>
        <v>JU-1211</v>
      </c>
      <c r="D830" s="5" t="str">
        <f aca="false">IF(I830="","",INDEX(J_KET,I830))</f>
        <v>Unlock water</v>
      </c>
      <c r="E830" s="5" t="str">
        <f aca="false">IF(I830="","",IF(INDEX(J_DEB,I830)=$C$3,INDEX(J_KRE,I830),INDEX(J_DEB,I830)))</f>
        <v>Biaya Bahan Baku</v>
      </c>
      <c r="F830" s="44" t="n">
        <f aca="false">IF(I830="","",IF(INDEX(J_DEB,I830)=$C$3,INDEX(J_NOM,I830),0))</f>
        <v>0</v>
      </c>
      <c r="G830" s="44" t="n">
        <f aca="false">IF(I830="","",IF(INDEX(J_KRE,I830)=$C$3,INDEX(J_NOM,I830),0))</f>
        <v>266000</v>
      </c>
      <c r="H830" s="44" t="n">
        <f aca="false">IF(I830="","",N(H829)+IF($C$5="Debet",F830-G830,G830-F830))</f>
        <v>-27791983</v>
      </c>
      <c r="I830" s="66" t="n">
        <f aca="false">IF(J830&gt;$K$1,"",IFERROR(MATCH(J830,J_BB,0),""))</f>
        <v>1211</v>
      </c>
      <c r="J830" s="66" t="n">
        <v>821</v>
      </c>
      <c r="K830" s="5"/>
    </row>
    <row r="831" customFormat="false" ht="15" hidden="false" customHeight="false" outlineLevel="0" collapsed="false">
      <c r="A831" s="5" t="n">
        <f aca="false">IF(I831="","",J831)</f>
        <v>822</v>
      </c>
      <c r="B831" s="83" t="n">
        <f aca="false">IF(I831="","",INDEX(J_TGL,I831))</f>
        <v>46284</v>
      </c>
      <c r="C831" s="5" t="str">
        <f aca="false">IF(I831="","",INDEX(J_NO,I831))</f>
        <v>JU-1213</v>
      </c>
      <c r="D831" s="5" t="str">
        <f aca="false">IF(I831="","",INDEX(J_KET,I831))</f>
        <v>Biji kopi/beans Yantos</v>
      </c>
      <c r="E831" s="5" t="str">
        <f aca="false">IF(I831="","",IF(INDEX(J_DEB,I831)=$C$3,INDEX(J_KRE,I831),INDEX(J_DEB,I831)))</f>
        <v>Biaya Bahan Baku</v>
      </c>
      <c r="F831" s="44" t="n">
        <f aca="false">IF(I831="","",IF(INDEX(J_DEB,I831)=$C$3,INDEX(J_NOM,I831),0))</f>
        <v>0</v>
      </c>
      <c r="G831" s="44" t="n">
        <f aca="false">IF(I831="","",IF(INDEX(J_KRE,I831)=$C$3,INDEX(J_NOM,I831),0))</f>
        <v>1757000</v>
      </c>
      <c r="H831" s="44" t="n">
        <f aca="false">IF(I831="","",N(H830)+IF($C$5="Debet",F831-G831,G831-F831))</f>
        <v>-29548983</v>
      </c>
      <c r="I831" s="66" t="n">
        <f aca="false">IF(J831&gt;$K$1,"",IFERROR(MATCH(J831,J_BB,0),""))</f>
        <v>1213</v>
      </c>
      <c r="J831" s="66" t="n">
        <v>822</v>
      </c>
      <c r="K831" s="5"/>
    </row>
    <row r="832" customFormat="false" ht="15" hidden="false" customHeight="false" outlineLevel="0" collapsed="false">
      <c r="A832" s="5" t="n">
        <f aca="false">IF(I832="","",J832)</f>
        <v>823</v>
      </c>
      <c r="B832" s="83" t="n">
        <f aca="false">IF(I832="","",INDEX(J_TGL,I832))</f>
        <v>46284</v>
      </c>
      <c r="C832" s="5" t="str">
        <f aca="false">IF(I832="","",INDEX(J_NO,I832))</f>
        <v>JU-1214</v>
      </c>
      <c r="D832" s="5" t="str">
        <f aca="false">IF(I832="","",INDEX(J_KET,I832))</f>
        <v>Tofico : 2 greentea, 1 matcha pr, 1 blue curacao, oarside 1 karton</v>
      </c>
      <c r="E832" s="5" t="str">
        <f aca="false">IF(I832="","",IF(INDEX(J_DEB,I832)=$C$3,INDEX(J_KRE,I832),INDEX(J_DEB,I832)))</f>
        <v>Biaya Bahan Baku</v>
      </c>
      <c r="F832" s="44" t="n">
        <f aca="false">IF(I832="","",IF(INDEX(J_DEB,I832)=$C$3,INDEX(J_NOM,I832),0))</f>
        <v>0</v>
      </c>
      <c r="G832" s="44" t="n">
        <f aca="false">IF(I832="","",IF(INDEX(J_KRE,I832)=$C$3,INDEX(J_NOM,I832),0))</f>
        <v>897000</v>
      </c>
      <c r="H832" s="44" t="n">
        <f aca="false">IF(I832="","",N(H831)+IF($C$5="Debet",F832-G832,G832-F832))</f>
        <v>-30445983</v>
      </c>
      <c r="I832" s="66" t="n">
        <f aca="false">IF(J832&gt;$K$1,"",IFERROR(MATCH(J832,J_BB,0),""))</f>
        <v>1214</v>
      </c>
      <c r="J832" s="66" t="n">
        <v>823</v>
      </c>
      <c r="K832" s="5"/>
    </row>
    <row r="833" customFormat="false" ht="15" hidden="false" customHeight="false" outlineLevel="0" collapsed="false">
      <c r="A833" s="5" t="n">
        <f aca="false">IF(I833="","",J833)</f>
        <v>824</v>
      </c>
      <c r="B833" s="83" t="n">
        <f aca="false">IF(I833="","",INDEX(J_TGL,I833))</f>
        <v>46284</v>
      </c>
      <c r="C833" s="5" t="str">
        <f aca="false">IF(I833="","",INDEX(J_NO,I833))</f>
        <v>JU-1215</v>
      </c>
      <c r="D833" s="5" t="str">
        <f aca="false">IF(I833="","",INDEX(J_KET,I833))</f>
        <v>hario paper filter v60 x 4</v>
      </c>
      <c r="E833" s="5" t="str">
        <f aca="false">IF(I833="","",IF(INDEX(J_DEB,I833)=$C$3,INDEX(J_KRE,I833),INDEX(J_DEB,I833)))</f>
        <v>Biaya Penyajian</v>
      </c>
      <c r="F833" s="44" t="n">
        <f aca="false">IF(I833="","",IF(INDEX(J_DEB,I833)=$C$3,INDEX(J_NOM,I833),0))</f>
        <v>0</v>
      </c>
      <c r="G833" s="44" t="n">
        <f aca="false">IF(I833="","",IF(INDEX(J_KRE,I833)=$C$3,INDEX(J_NOM,I833),0))</f>
        <v>380000</v>
      </c>
      <c r="H833" s="44" t="n">
        <f aca="false">IF(I833="","",N(H832)+IF($C$5="Debet",F833-G833,G833-F833))</f>
        <v>-30825983</v>
      </c>
      <c r="I833" s="66" t="n">
        <f aca="false">IF(J833&gt;$K$1,"",IFERROR(MATCH(J833,J_BB,0),""))</f>
        <v>1215</v>
      </c>
      <c r="J833" s="66" t="n">
        <v>824</v>
      </c>
      <c r="K833" s="5"/>
    </row>
    <row r="834" customFormat="false" ht="15" hidden="false" customHeight="false" outlineLevel="0" collapsed="false">
      <c r="A834" s="5" t="n">
        <f aca="false">IF(I834="","",J834)</f>
        <v>825</v>
      </c>
      <c r="B834" s="83" t="n">
        <f aca="false">IF(I834="","",INDEX(J_TGL,I834))</f>
        <v>46285</v>
      </c>
      <c r="C834" s="5" t="str">
        <f aca="false">IF(I834="","",INDEX(J_NO,I834))</f>
        <v>JU-1216</v>
      </c>
      <c r="D834" s="5" t="str">
        <f aca="false">IF(I834="","",INDEX(J_KET,I834))</f>
        <v>baling-baling kipas panasonic 16" x 2 pcs</v>
      </c>
      <c r="E834" s="5" t="str">
        <f aca="false">IF(I834="","",IF(INDEX(J_DEB,I834)=$C$3,INDEX(J_KRE,I834),INDEX(J_DEB,I834)))</f>
        <v>Beban Perlengkapan</v>
      </c>
      <c r="F834" s="44" t="n">
        <f aca="false">IF(I834="","",IF(INDEX(J_DEB,I834)=$C$3,INDEX(J_NOM,I834),0))</f>
        <v>0</v>
      </c>
      <c r="G834" s="44" t="n">
        <f aca="false">IF(I834="","",IF(INDEX(J_KRE,I834)=$C$3,INDEX(J_NOM,I834),0))</f>
        <v>235600</v>
      </c>
      <c r="H834" s="44" t="n">
        <f aca="false">IF(I834="","",N(H833)+IF($C$5="Debet",F834-G834,G834-F834))</f>
        <v>-31061583</v>
      </c>
      <c r="I834" s="66" t="n">
        <f aca="false">IF(J834&gt;$K$1,"",IFERROR(MATCH(J834,J_BB,0),""))</f>
        <v>1216</v>
      </c>
      <c r="J834" s="66" t="n">
        <v>825</v>
      </c>
      <c r="K834" s="5"/>
    </row>
    <row r="835" customFormat="false" ht="15" hidden="false" customHeight="false" outlineLevel="0" collapsed="false">
      <c r="A835" s="5" t="n">
        <f aca="false">IF(I835="","",J835)</f>
        <v>826</v>
      </c>
      <c r="B835" s="83" t="n">
        <f aca="false">IF(I835="","",INDEX(J_TGL,I835))</f>
        <v>46285</v>
      </c>
      <c r="C835" s="5" t="str">
        <f aca="false">IF(I835="","",INDEX(J_NO,I835))</f>
        <v>JU-1217</v>
      </c>
      <c r="D835" s="5" t="str">
        <f aca="false">IF(I835="","",INDEX(J_KET,I835))</f>
        <v>biaya top up gopay bayar baling kipas</v>
      </c>
      <c r="E835" s="5" t="str">
        <f aca="false">IF(I835="","",IF(INDEX(J_DEB,I835)=$C$3,INDEX(J_KRE,I835),INDEX(J_DEB,I835)))</f>
        <v>Biaya Lainnya</v>
      </c>
      <c r="F835" s="44" t="n">
        <f aca="false">IF(I835="","",IF(INDEX(J_DEB,I835)=$C$3,INDEX(J_NOM,I835),0))</f>
        <v>0</v>
      </c>
      <c r="G835" s="44" t="n">
        <f aca="false">IF(I835="","",IF(INDEX(J_KRE,I835)=$C$3,INDEX(J_NOM,I835),0))</f>
        <v>2000</v>
      </c>
      <c r="H835" s="44" t="n">
        <f aca="false">IF(I835="","",N(H834)+IF($C$5="Debet",F835-G835,G835-F835))</f>
        <v>-31063583</v>
      </c>
      <c r="I835" s="66" t="n">
        <f aca="false">IF(J835&gt;$K$1,"",IFERROR(MATCH(J835,J_BB,0),""))</f>
        <v>1217</v>
      </c>
      <c r="J835" s="66" t="n">
        <v>826</v>
      </c>
      <c r="K835" s="5"/>
    </row>
    <row r="836" customFormat="false" ht="15" hidden="false" customHeight="false" outlineLevel="0" collapsed="false">
      <c r="A836" s="5" t="n">
        <f aca="false">IF(I836="","",J836)</f>
        <v>827</v>
      </c>
      <c r="B836" s="83" t="n">
        <f aca="false">IF(I836="","",INDEX(J_TGL,I836))</f>
        <v>46285</v>
      </c>
      <c r="C836" s="5" t="str">
        <f aca="false">IF(I836="","",INDEX(J_NO,I836))</f>
        <v>JU-1218</v>
      </c>
      <c r="D836" s="5" t="str">
        <f aca="false">IF(I836="","",INDEX(J_KET,I836))</f>
        <v>Pindah dana dari bank ke tunai</v>
      </c>
      <c r="E836" s="5" t="str">
        <f aca="false">IF(I836="","",IF(INDEX(J_DEB,I836)=$C$3,INDEX(J_KRE,I836),INDEX(J_DEB,I836)))</f>
        <v>Kas Tunai</v>
      </c>
      <c r="F836" s="44" t="n">
        <f aca="false">IF(I836="","",IF(INDEX(J_DEB,I836)=$C$3,INDEX(J_NOM,I836),0))</f>
        <v>0</v>
      </c>
      <c r="G836" s="44" t="n">
        <f aca="false">IF(I836="","",IF(INDEX(J_KRE,I836)=$C$3,INDEX(J_NOM,I836),0))</f>
        <v>68400</v>
      </c>
      <c r="H836" s="44" t="n">
        <f aca="false">IF(I836="","",N(H835)+IF($C$5="Debet",F836-G836,G836-F836))</f>
        <v>-31131983</v>
      </c>
      <c r="I836" s="66" t="n">
        <f aca="false">IF(J836&gt;$K$1,"",IFERROR(MATCH(J836,J_BB,0),""))</f>
        <v>1218</v>
      </c>
      <c r="J836" s="66" t="n">
        <v>827</v>
      </c>
      <c r="K836" s="5"/>
    </row>
    <row r="837" customFormat="false" ht="15" hidden="false" customHeight="false" outlineLevel="0" collapsed="false">
      <c r="A837" s="5" t="n">
        <f aca="false">IF(I837="","",J837)</f>
        <v>828</v>
      </c>
      <c r="B837" s="83" t="n">
        <f aca="false">IF(I837="","",INDEX(J_TGL,I837))</f>
        <v>46285</v>
      </c>
      <c r="C837" s="5" t="str">
        <f aca="false">IF(I837="","",INDEX(J_NO,I837))</f>
        <v>JU-1219</v>
      </c>
      <c r="D837" s="5" t="str">
        <f aca="false">IF(I837="","",INDEX(J_KET,I837))</f>
        <v>Pindah dana dari bank ke tunai</v>
      </c>
      <c r="E837" s="5" t="str">
        <f aca="false">IF(I837="","",IF(INDEX(J_DEB,I837)=$C$3,INDEX(J_KRE,I837),INDEX(J_DEB,I837)))</f>
        <v>Kas Tunai</v>
      </c>
      <c r="F837" s="44" t="n">
        <f aca="false">IF(I837="","",IF(INDEX(J_DEB,I837)=$C$3,INDEX(J_NOM,I837),0))</f>
        <v>0</v>
      </c>
      <c r="G837" s="44" t="n">
        <f aca="false">IF(I837="","",IF(INDEX(J_KRE,I837)=$C$3,INDEX(J_NOM,I837),0))</f>
        <v>122000</v>
      </c>
      <c r="H837" s="44" t="n">
        <f aca="false">IF(I837="","",N(H836)+IF($C$5="Debet",F837-G837,G837-F837))</f>
        <v>-31253983</v>
      </c>
      <c r="I837" s="66" t="n">
        <f aca="false">IF(J837&gt;$K$1,"",IFERROR(MATCH(J837,J_BB,0),""))</f>
        <v>1219</v>
      </c>
      <c r="J837" s="66" t="n">
        <v>828</v>
      </c>
      <c r="K837" s="5"/>
    </row>
    <row r="838" customFormat="false" ht="15" hidden="false" customHeight="false" outlineLevel="0" collapsed="false">
      <c r="A838" s="5" t="n">
        <f aca="false">IF(I838="","",J838)</f>
        <v>829</v>
      </c>
      <c r="B838" s="83" t="n">
        <f aca="false">IF(I838="","",INDEX(J_TGL,I838))</f>
        <v>46285</v>
      </c>
      <c r="C838" s="5" t="str">
        <f aca="false">IF(I838="","",INDEX(J_NO,I838))</f>
        <v>JU-1220</v>
      </c>
      <c r="D838" s="5" t="str">
        <f aca="false">IF(I838="","",INDEX(J_KET,I838))</f>
        <v>Pindah dana bank ke kas warung (tambahan dana untuk belanja)</v>
      </c>
      <c r="E838" s="5" t="str">
        <f aca="false">IF(I838="","",IF(INDEX(J_DEB,I838)=$C$3,INDEX(J_KRE,I838),INDEX(J_DEB,I838)))</f>
        <v>Kas Warung</v>
      </c>
      <c r="F838" s="44" t="n">
        <f aca="false">IF(I838="","",IF(INDEX(J_DEB,I838)=$C$3,INDEX(J_NOM,I838),0))</f>
        <v>0</v>
      </c>
      <c r="G838" s="44" t="n">
        <f aca="false">IF(I838="","",IF(INDEX(J_KRE,I838)=$C$3,INDEX(J_NOM,I838),0))</f>
        <v>500000</v>
      </c>
      <c r="H838" s="44" t="n">
        <f aca="false">IF(I838="","",N(H837)+IF($C$5="Debet",F838-G838,G838-F838))</f>
        <v>-31753983</v>
      </c>
      <c r="I838" s="66" t="n">
        <f aca="false">IF(J838&gt;$K$1,"",IFERROR(MATCH(J838,J_BB,0),""))</f>
        <v>1220</v>
      </c>
      <c r="J838" s="66" t="n">
        <v>829</v>
      </c>
      <c r="K838" s="5"/>
    </row>
    <row r="839" customFormat="false" ht="15" hidden="false" customHeight="false" outlineLevel="0" collapsed="false">
      <c r="A839" s="5" t="n">
        <f aca="false">IF(I839="","",J839)</f>
        <v>830</v>
      </c>
      <c r="B839" s="83" t="n">
        <f aca="false">IF(I839="","",INDEX(J_TGL,I839))</f>
        <v>46285</v>
      </c>
      <c r="C839" s="5" t="str">
        <f aca="false">IF(I839="","",INDEX(J_NO,I839))</f>
        <v>JU-1221</v>
      </c>
      <c r="D839" s="5" t="str">
        <f aca="false">IF(I839="","",INDEX(J_KET,I839))</f>
        <v>Biaya transfer flip</v>
      </c>
      <c r="E839" s="5" t="str">
        <f aca="false">IF(I839="","",IF(INDEX(J_DEB,I839)=$C$3,INDEX(J_KRE,I839),INDEX(J_DEB,I839)))</f>
        <v>Biaya Lainnya</v>
      </c>
      <c r="F839" s="44" t="n">
        <f aca="false">IF(I839="","",IF(INDEX(J_DEB,I839)=$C$3,INDEX(J_NOM,I839),0))</f>
        <v>0</v>
      </c>
      <c r="G839" s="44" t="n">
        <f aca="false">IF(I839="","",IF(INDEX(J_KRE,I839)=$C$3,INDEX(J_NOM,I839),0))</f>
        <v>316</v>
      </c>
      <c r="H839" s="44" t="n">
        <f aca="false">IF(I839="","",N(H838)+IF($C$5="Debet",F839-G839,G839-F839))</f>
        <v>-31754299</v>
      </c>
      <c r="I839" s="66" t="n">
        <f aca="false">IF(J839&gt;$K$1,"",IFERROR(MATCH(J839,J_BB,0),""))</f>
        <v>1221</v>
      </c>
      <c r="J839" s="66" t="n">
        <v>830</v>
      </c>
      <c r="K839" s="5"/>
    </row>
    <row r="840" customFormat="false" ht="15" hidden="false" customHeight="false" outlineLevel="0" collapsed="false">
      <c r="A840" s="5" t="n">
        <f aca="false">IF(I840="","",J840)</f>
        <v>831</v>
      </c>
      <c r="B840" s="83" t="n">
        <f aca="false">IF(I840="","",INDEX(J_TGL,I840))</f>
        <v>46285</v>
      </c>
      <c r="C840" s="5" t="str">
        <f aca="false">IF(I840="","",INDEX(J_NO,I840))</f>
        <v>JU-1222</v>
      </c>
      <c r="D840" s="5" t="str">
        <f aca="false">IF(I840="","",INDEX(J_KET,I840))</f>
        <v>Pembayaran langganan aplikasi Majoo</v>
      </c>
      <c r="E840" s="5" t="str">
        <f aca="false">IF(I840="","",IF(INDEX(J_DEB,I840)=$C$3,INDEX(J_KRE,I840),INDEX(J_DEB,I840)))</f>
        <v>Biaya Tagihan Bulanan</v>
      </c>
      <c r="F840" s="44" t="n">
        <f aca="false">IF(I840="","",IF(INDEX(J_DEB,I840)=$C$3,INDEX(J_NOM,I840),0))</f>
        <v>0</v>
      </c>
      <c r="G840" s="44" t="n">
        <f aca="false">IF(I840="","",IF(INDEX(J_KRE,I840)=$C$3,INDEX(J_NOM,I840),0))</f>
        <v>287490</v>
      </c>
      <c r="H840" s="44" t="n">
        <f aca="false">IF(I840="","",N(H839)+IF($C$5="Debet",F840-G840,G840-F840))</f>
        <v>-32041789</v>
      </c>
      <c r="I840" s="66" t="n">
        <f aca="false">IF(J840&gt;$K$1,"",IFERROR(MATCH(J840,J_BB,0),""))</f>
        <v>1222</v>
      </c>
      <c r="J840" s="66" t="n">
        <v>831</v>
      </c>
      <c r="K840" s="5"/>
    </row>
    <row r="841" customFormat="false" ht="15" hidden="false" customHeight="false" outlineLevel="0" collapsed="false">
      <c r="A841" s="5" t="n">
        <f aca="false">IF(I841="","",J841)</f>
        <v>832</v>
      </c>
      <c r="B841" s="83" t="n">
        <f aca="false">IF(I841="","",INDEX(J_TGL,I841))</f>
        <v>46286</v>
      </c>
      <c r="C841" s="5" t="str">
        <f aca="false">IF(I841="","",INDEX(J_NO,I841))</f>
        <v>JU-1228</v>
      </c>
      <c r="D841" s="5" t="str">
        <f aca="false">IF(I841="","",INDEX(J_KET,I841))</f>
        <v>Pindah dana ke bank dari kas warung (kembalian belanja)</v>
      </c>
      <c r="E841" s="5" t="str">
        <f aca="false">IF(I841="","",IF(INDEX(J_DEB,I841)=$C$3,INDEX(J_KRE,I841),INDEX(J_DEB,I841)))</f>
        <v>Kas Warung</v>
      </c>
      <c r="F841" s="44" t="n">
        <f aca="false">IF(I841="","",IF(INDEX(J_DEB,I841)=$C$3,INDEX(J_NOM,I841),0))</f>
        <v>10569</v>
      </c>
      <c r="G841" s="44" t="n">
        <f aca="false">IF(I841="","",IF(INDEX(J_KRE,I841)=$C$3,INDEX(J_NOM,I841),0))</f>
        <v>0</v>
      </c>
      <c r="H841" s="44" t="n">
        <f aca="false">IF(I841="","",N(H840)+IF($C$5="Debet",F841-G841,G841-F841))</f>
        <v>-32031220</v>
      </c>
      <c r="I841" s="66" t="n">
        <f aca="false">IF(J841&gt;$K$1,"",IFERROR(MATCH(J841,J_BB,0),""))</f>
        <v>1228</v>
      </c>
      <c r="J841" s="66" t="n">
        <v>832</v>
      </c>
      <c r="K841" s="5"/>
    </row>
    <row r="842" customFormat="false" ht="15" hidden="false" customHeight="false" outlineLevel="0" collapsed="false">
      <c r="A842" s="5" t="n">
        <f aca="false">IF(I842="","",J842)</f>
        <v>833</v>
      </c>
      <c r="B842" s="83" t="n">
        <f aca="false">IF(I842="","",INDEX(J_TGL,I842))</f>
        <v>46287</v>
      </c>
      <c r="C842" s="5" t="str">
        <f aca="false">IF(I842="","",INDEX(J_NO,I842))</f>
        <v>JU-1235</v>
      </c>
      <c r="D842" s="5" t="str">
        <f aca="false">IF(I842="","",INDEX(J_KET,I842))</f>
        <v>Facial tissue 1 dus isi 40 pack INV-20260919-0053</v>
      </c>
      <c r="E842" s="5" t="str">
        <f aca="false">IF(I842="","",IF(INDEX(J_DEB,I842)=$C$3,INDEX(J_KRE,I842),INDEX(J_DEB,I842)))</f>
        <v>Beban Perlengkapan</v>
      </c>
      <c r="F842" s="44" t="n">
        <f aca="false">IF(I842="","",IF(INDEX(J_DEB,I842)=$C$3,INDEX(J_NOM,I842),0))</f>
        <v>0</v>
      </c>
      <c r="G842" s="44" t="n">
        <f aca="false">IF(I842="","",IF(INDEX(J_KRE,I842)=$C$3,INDEX(J_NOM,I842),0))</f>
        <v>280000</v>
      </c>
      <c r="H842" s="44" t="n">
        <f aca="false">IF(I842="","",N(H841)+IF($C$5="Debet",F842-G842,G842-F842))</f>
        <v>-32311220</v>
      </c>
      <c r="I842" s="66" t="n">
        <f aca="false">IF(J842&gt;$K$1,"",IFERROR(MATCH(J842,J_BB,0),""))</f>
        <v>1235</v>
      </c>
      <c r="J842" s="66" t="n">
        <v>833</v>
      </c>
      <c r="K842" s="5"/>
    </row>
    <row r="843" customFormat="false" ht="15" hidden="false" customHeight="false" outlineLevel="0" collapsed="false">
      <c r="A843" s="5" t="n">
        <f aca="false">IF(I843="","",J843)</f>
        <v>834</v>
      </c>
      <c r="B843" s="83" t="n">
        <f aca="false">IF(I843="","",INDEX(J_TGL,I843))</f>
        <v>46287</v>
      </c>
      <c r="C843" s="5" t="str">
        <f aca="false">IF(I843="","",INDEX(J_NO,I843))</f>
        <v>JU-1236</v>
      </c>
      <c r="D843" s="5" t="str">
        <f aca="false">IF(I843="","",INDEX(J_KET,I843))</f>
        <v>Savis tea earl grey 500gr INV DFT 98223</v>
      </c>
      <c r="E843" s="5" t="str">
        <f aca="false">IF(I843="","",IF(INDEX(J_DEB,I843)=$C$3,INDEX(J_KRE,I843),INDEX(J_DEB,I843)))</f>
        <v>Biaya Bahan Baku</v>
      </c>
      <c r="F843" s="44" t="n">
        <f aca="false">IF(I843="","",IF(INDEX(J_DEB,I843)=$C$3,INDEX(J_NOM,I843),0))</f>
        <v>0</v>
      </c>
      <c r="G843" s="44" t="n">
        <f aca="false">IF(I843="","",IF(INDEX(J_KRE,I843)=$C$3,INDEX(J_NOM,I843),0))</f>
        <v>235000</v>
      </c>
      <c r="H843" s="44" t="n">
        <f aca="false">IF(I843="","",N(H842)+IF($C$5="Debet",F843-G843,G843-F843))</f>
        <v>-32546220</v>
      </c>
      <c r="I843" s="66" t="n">
        <f aca="false">IF(J843&gt;$K$1,"",IFERROR(MATCH(J843,J_BB,0),""))</f>
        <v>1236</v>
      </c>
      <c r="J843" s="66" t="n">
        <v>834</v>
      </c>
      <c r="K843" s="5"/>
    </row>
    <row r="844" customFormat="false" ht="15" hidden="false" customHeight="false" outlineLevel="0" collapsed="false">
      <c r="A844" s="5" t="n">
        <f aca="false">IF(I844="","",J844)</f>
        <v>835</v>
      </c>
      <c r="B844" s="83" t="n">
        <f aca="false">IF(I844="","",INDEX(J_TGL,I844))</f>
        <v>46287</v>
      </c>
      <c r="C844" s="5" t="str">
        <f aca="false">IF(I844="","",INDEX(J_NO,I844))</f>
        <v>JU-1237</v>
      </c>
      <c r="D844" s="5" t="str">
        <f aca="false">IF(I844="","",INDEX(J_KET,I844))</f>
        <v>freshmilk milklife x 5 karton</v>
      </c>
      <c r="E844" s="5" t="str">
        <f aca="false">IF(I844="","",IF(INDEX(J_DEB,I844)=$C$3,INDEX(J_KRE,I844),INDEX(J_DEB,I844)))</f>
        <v>Biaya Bahan Baku</v>
      </c>
      <c r="F844" s="44" t="n">
        <f aca="false">IF(I844="","",IF(INDEX(J_DEB,I844)=$C$3,INDEX(J_NOM,I844),0))</f>
        <v>0</v>
      </c>
      <c r="G844" s="44" t="n">
        <f aca="false">IF(I844="","",IF(INDEX(J_KRE,I844)=$C$3,INDEX(J_NOM,I844),0))</f>
        <v>1232000</v>
      </c>
      <c r="H844" s="44" t="n">
        <f aca="false">IF(I844="","",N(H843)+IF($C$5="Debet",F844-G844,G844-F844))</f>
        <v>-33778220</v>
      </c>
      <c r="I844" s="66" t="n">
        <f aca="false">IF(J844&gt;$K$1,"",IFERROR(MATCH(J844,J_BB,0),""))</f>
        <v>1237</v>
      </c>
      <c r="J844" s="66" t="n">
        <v>835</v>
      </c>
      <c r="K844" s="5"/>
    </row>
    <row r="845" customFormat="false" ht="15" hidden="false" customHeight="false" outlineLevel="0" collapsed="false">
      <c r="A845" s="5" t="n">
        <f aca="false">IF(I845="","",J845)</f>
        <v>836</v>
      </c>
      <c r="B845" s="83" t="n">
        <f aca="false">IF(I845="","",INDEX(J_TGL,I845))</f>
        <v>46287</v>
      </c>
      <c r="C845" s="5" t="str">
        <f aca="false">IF(I845="","",INDEX(J_NO,I845))</f>
        <v>JU-1238</v>
      </c>
      <c r="D845" s="5" t="str">
        <f aca="false">IF(I845="","",INDEX(J_KET,I845))</f>
        <v>koreksi</v>
      </c>
      <c r="E845" s="5" t="str">
        <f aca="false">IF(I845="","",IF(INDEX(J_DEB,I845)=$C$3,INDEX(J_KRE,I845),INDEX(J_DEB,I845)))</f>
        <v>Biaya Lainnya</v>
      </c>
      <c r="F845" s="44" t="n">
        <f aca="false">IF(I845="","",IF(INDEX(J_DEB,I845)=$C$3,INDEX(J_NOM,I845),0))</f>
        <v>0</v>
      </c>
      <c r="G845" s="44" t="n">
        <f aca="false">IF(I845="","",IF(INDEX(J_KRE,I845)=$C$3,INDEX(J_NOM,I845),0))</f>
        <v>243</v>
      </c>
      <c r="H845" s="44" t="n">
        <f aca="false">IF(I845="","",N(H844)+IF($C$5="Debet",F845-G845,G845-F845))</f>
        <v>-33778463</v>
      </c>
      <c r="I845" s="66" t="n">
        <f aca="false">IF(J845&gt;$K$1,"",IFERROR(MATCH(J845,J_BB,0),""))</f>
        <v>1238</v>
      </c>
      <c r="J845" s="66" t="n">
        <v>836</v>
      </c>
      <c r="K845" s="5"/>
    </row>
    <row r="846" customFormat="false" ht="15" hidden="false" customHeight="false" outlineLevel="0" collapsed="false">
      <c r="A846" s="5" t="n">
        <f aca="false">IF(I846="","",J846)</f>
        <v>837</v>
      </c>
      <c r="B846" s="83" t="n">
        <f aca="false">IF(I846="","",INDEX(J_TGL,I846))</f>
        <v>46287</v>
      </c>
      <c r="C846" s="5" t="str">
        <f aca="false">IF(I846="","",INDEX(J_NO,I846))</f>
        <v>JU-1240</v>
      </c>
      <c r="D846" s="5" t="str">
        <f aca="false">IF(I846="","",INDEX(J_KET,I846))</f>
        <v>cicilan 1-12 Mesin kopi grinder</v>
      </c>
      <c r="E846" s="5" t="str">
        <f aca="false">IF(I846="","",IF(INDEX(J_DEB,I846)=$C$3,INDEX(J_KRE,I846),INDEX(J_DEB,I846)))</f>
        <v>Utang Usaha Jangka Panjang</v>
      </c>
      <c r="F846" s="44" t="n">
        <f aca="false">IF(I846="","",IF(INDEX(J_DEB,I846)=$C$3,INDEX(J_NOM,I846),0))</f>
        <v>0</v>
      </c>
      <c r="G846" s="44" t="n">
        <f aca="false">IF(I846="","",IF(INDEX(J_KRE,I846)=$C$3,INDEX(J_NOM,I846),0))</f>
        <v>1066000</v>
      </c>
      <c r="H846" s="44" t="n">
        <f aca="false">IF(I846="","",N(H845)+IF($C$5="Debet",F846-G846,G846-F846))</f>
        <v>-34844463</v>
      </c>
      <c r="I846" s="66" t="n">
        <f aca="false">IF(J846&gt;$K$1,"",IFERROR(MATCH(J846,J_BB,0),""))</f>
        <v>1240</v>
      </c>
      <c r="J846" s="66" t="n">
        <v>837</v>
      </c>
      <c r="K846" s="5"/>
    </row>
    <row r="847" customFormat="false" ht="15" hidden="false" customHeight="false" outlineLevel="0" collapsed="false">
      <c r="A847" s="5" t="n">
        <f aca="false">IF(I847="","",J847)</f>
        <v>838</v>
      </c>
      <c r="B847" s="83" t="n">
        <f aca="false">IF(I847="","",INDEX(J_TGL,I847))</f>
        <v>46287</v>
      </c>
      <c r="C847" s="5" t="str">
        <f aca="false">IF(I847="","",INDEX(J_NO,I847))</f>
        <v>JU-1241</v>
      </c>
      <c r="D847" s="5" t="str">
        <f aca="false">IF(I847="","",INDEX(J_KET,I847))</f>
        <v>Yantos membayar hutang</v>
      </c>
      <c r="E847" s="5" t="str">
        <f aca="false">IF(I847="","",IF(INDEX(J_DEB,I847)=$C$3,INDEX(J_KRE,I847),INDEX(J_DEB,I847)))</f>
        <v>Piutang Lainnya</v>
      </c>
      <c r="F847" s="44" t="n">
        <f aca="false">IF(I847="","",IF(INDEX(J_DEB,I847)=$C$3,INDEX(J_NOM,I847),0))</f>
        <v>5048000</v>
      </c>
      <c r="G847" s="44" t="n">
        <f aca="false">IF(I847="","",IF(INDEX(J_KRE,I847)=$C$3,INDEX(J_NOM,I847),0))</f>
        <v>0</v>
      </c>
      <c r="H847" s="44" t="n">
        <f aca="false">IF(I847="","",N(H846)+IF($C$5="Debet",F847-G847,G847-F847))</f>
        <v>-29796463</v>
      </c>
      <c r="I847" s="66" t="n">
        <f aca="false">IF(J847&gt;$K$1,"",IFERROR(MATCH(J847,J_BB,0),""))</f>
        <v>1241</v>
      </c>
      <c r="J847" s="66" t="n">
        <v>838</v>
      </c>
      <c r="K847" s="5"/>
    </row>
    <row r="848" customFormat="false" ht="15" hidden="false" customHeight="false" outlineLevel="0" collapsed="false">
      <c r="A848" s="5" t="n">
        <f aca="false">IF(I848="","",J848)</f>
        <v>839</v>
      </c>
      <c r="B848" s="83" t="n">
        <f aca="false">IF(I848="","",INDEX(J_TGL,I848))</f>
        <v>46288</v>
      </c>
      <c r="C848" s="5" t="str">
        <f aca="false">IF(I848="","",INDEX(J_NO,I848))</f>
        <v>JU-1242</v>
      </c>
      <c r="D848" s="5" t="str">
        <f aca="false">IF(I848="","",INDEX(J_KET,I848))</f>
        <v>Bayar servis cuci AC x 3 unit</v>
      </c>
      <c r="E848" s="5" t="str">
        <f aca="false">IF(I848="","",IF(INDEX(J_DEB,I848)=$C$3,INDEX(J_KRE,I848),INDEX(J_DEB,I848)))</f>
        <v>Biaya Pemeliharaan</v>
      </c>
      <c r="F848" s="44" t="n">
        <f aca="false">IF(I848="","",IF(INDEX(J_DEB,I848)=$C$3,INDEX(J_NOM,I848),0))</f>
        <v>0</v>
      </c>
      <c r="G848" s="44" t="n">
        <f aca="false">IF(I848="","",IF(INDEX(J_KRE,I848)=$C$3,INDEX(J_NOM,I848),0))</f>
        <v>210000</v>
      </c>
      <c r="H848" s="44" t="n">
        <f aca="false">IF(I848="","",N(H847)+IF($C$5="Debet",F848-G848,G848-F848))</f>
        <v>-30006463</v>
      </c>
      <c r="I848" s="66" t="n">
        <f aca="false">IF(J848&gt;$K$1,"",IFERROR(MATCH(J848,J_BB,0),""))</f>
        <v>1242</v>
      </c>
      <c r="J848" s="66" t="n">
        <v>839</v>
      </c>
      <c r="K848" s="5"/>
    </row>
    <row r="849" customFormat="false" ht="15" hidden="false" customHeight="false" outlineLevel="0" collapsed="false">
      <c r="A849" s="5" t="n">
        <f aca="false">IF(I849="","",J849)</f>
        <v>840</v>
      </c>
      <c r="B849" s="83" t="n">
        <f aca="false">IF(I849="","",INDEX(J_TGL,I849))</f>
        <v>46288</v>
      </c>
      <c r="C849" s="5" t="str">
        <f aca="false">IF(I849="","",INDEX(J_NO,I849))</f>
        <v>JU-1243</v>
      </c>
      <c r="D849" s="5" t="str">
        <f aca="false">IF(I849="","",INDEX(J_KET,I849))</f>
        <v>INV-04.KP ubi mini ori 12 x 30, ubi mochi mozza 3 x 20, fried tape singkong cinnamon 6 x 20</v>
      </c>
      <c r="E849" s="5" t="str">
        <f aca="false">IF(I849="","",IF(INDEX(J_DEB,I849)=$C$3,INDEX(J_KRE,I849),INDEX(J_DEB,I849)))</f>
        <v>Biaya Bahan Baku</v>
      </c>
      <c r="F849" s="44" t="n">
        <f aca="false">IF(I849="","",IF(INDEX(J_DEB,I849)=$C$3,INDEX(J_NOM,I849),0))</f>
        <v>0</v>
      </c>
      <c r="G849" s="44" t="n">
        <f aca="false">IF(I849="","",IF(INDEX(J_KRE,I849)=$C$3,INDEX(J_NOM,I849),0))</f>
        <v>673900</v>
      </c>
      <c r="H849" s="44" t="n">
        <f aca="false">IF(I849="","",N(H848)+IF($C$5="Debet",F849-G849,G849-F849))</f>
        <v>-30680363</v>
      </c>
      <c r="I849" s="66" t="n">
        <f aca="false">IF(J849&gt;$K$1,"",IFERROR(MATCH(J849,J_BB,0),""))</f>
        <v>1243</v>
      </c>
      <c r="J849" s="66" t="n">
        <v>840</v>
      </c>
      <c r="K849" s="5"/>
    </row>
    <row r="850" customFormat="false" ht="15" hidden="false" customHeight="false" outlineLevel="0" collapsed="false">
      <c r="A850" s="5" t="n">
        <f aca="false">IF(I850="","",J850)</f>
        <v>841</v>
      </c>
      <c r="B850" s="83" t="n">
        <f aca="false">IF(I850="","",INDEX(J_TGL,I850))</f>
        <v>46289</v>
      </c>
      <c r="C850" s="5" t="str">
        <f aca="false">IF(I850="","",INDEX(J_NO,I850))</f>
        <v>JU-1244</v>
      </c>
      <c r="D850" s="5" t="str">
        <f aca="false">IF(I850="","",INDEX(J_KET,I850))</f>
        <v>lampu hias dinding warna putih dan bohlam x 2</v>
      </c>
      <c r="E850" s="5" t="str">
        <f aca="false">IF(I850="","",IF(INDEX(J_DEB,I850)=$C$3,INDEX(J_KRE,I850),INDEX(J_DEB,I850)))</f>
        <v>Perlengkapan</v>
      </c>
      <c r="F850" s="44" t="n">
        <f aca="false">IF(I850="","",IF(INDEX(J_DEB,I850)=$C$3,INDEX(J_NOM,I850),0))</f>
        <v>0</v>
      </c>
      <c r="G850" s="44" t="n">
        <f aca="false">IF(I850="","",IF(INDEX(J_KRE,I850)=$C$3,INDEX(J_NOM,I850),0))</f>
        <v>231600</v>
      </c>
      <c r="H850" s="44" t="n">
        <f aca="false">IF(I850="","",N(H849)+IF($C$5="Debet",F850-G850,G850-F850))</f>
        <v>-30911963</v>
      </c>
      <c r="I850" s="66" t="n">
        <f aca="false">IF(J850&gt;$K$1,"",IFERROR(MATCH(J850,J_BB,0),""))</f>
        <v>1244</v>
      </c>
      <c r="J850" s="66" t="n">
        <v>841</v>
      </c>
      <c r="K850" s="5"/>
    </row>
    <row r="851" customFormat="false" ht="15" hidden="false" customHeight="false" outlineLevel="0" collapsed="false">
      <c r="A851" s="5" t="n">
        <f aca="false">IF(I851="","",J851)</f>
        <v>842</v>
      </c>
      <c r="B851" s="83" t="n">
        <f aca="false">IF(I851="","",INDEX(J_TGL,I851))</f>
        <v>46289</v>
      </c>
      <c r="C851" s="5" t="str">
        <f aca="false">IF(I851="","",INDEX(J_NO,I851))</f>
        <v>JU-1245</v>
      </c>
      <c r="D851" s="5" t="str">
        <f aca="false">IF(I851="","",INDEX(J_KET,I851))</f>
        <v>StirUp syrup sirup pistachio x 2</v>
      </c>
      <c r="E851" s="5" t="str">
        <f aca="false">IF(I851="","",IF(INDEX(J_DEB,I851)=$C$3,INDEX(J_KRE,I851),INDEX(J_DEB,I851)))</f>
        <v>Biaya Bahan Baku</v>
      </c>
      <c r="F851" s="44" t="n">
        <f aca="false">IF(I851="","",IF(INDEX(J_DEB,I851)=$C$3,INDEX(J_NOM,I851),0))</f>
        <v>0</v>
      </c>
      <c r="G851" s="44" t="n">
        <f aca="false">IF(I851="","",IF(INDEX(J_KRE,I851)=$C$3,INDEX(J_NOM,I851),0))</f>
        <v>238500</v>
      </c>
      <c r="H851" s="44" t="n">
        <f aca="false">IF(I851="","",N(H850)+IF($C$5="Debet",F851-G851,G851-F851))</f>
        <v>-31150463</v>
      </c>
      <c r="I851" s="66" t="n">
        <f aca="false">IF(J851&gt;$K$1,"",IFERROR(MATCH(J851,J_BB,0),""))</f>
        <v>1245</v>
      </c>
      <c r="J851" s="66" t="n">
        <v>842</v>
      </c>
      <c r="K851" s="5"/>
    </row>
    <row r="852" customFormat="false" ht="15" hidden="false" customHeight="false" outlineLevel="0" collapsed="false">
      <c r="A852" s="5" t="n">
        <f aca="false">IF(I852="","",J852)</f>
        <v>843</v>
      </c>
      <c r="B852" s="83" t="n">
        <f aca="false">IF(I852="","",INDEX(J_TGL,I852))</f>
        <v>46289</v>
      </c>
      <c r="C852" s="5" t="str">
        <f aca="false">IF(I852="","",INDEX(J_NO,I852))</f>
        <v>JU-1246</v>
      </c>
      <c r="D852" s="5" t="str">
        <f aca="false">IF(I852="","",INDEX(J_KET,I852))</f>
        <v>Pindah dana ke tunai dari BCA (Afa tukar)</v>
      </c>
      <c r="E852" s="5" t="str">
        <f aca="false">IF(I852="","",IF(INDEX(J_DEB,I852)=$C$3,INDEX(J_KRE,I852),INDEX(J_DEB,I852)))</f>
        <v>Kas Tunai</v>
      </c>
      <c r="F852" s="44" t="n">
        <f aca="false">IF(I852="","",IF(INDEX(J_DEB,I852)=$C$3,INDEX(J_NOM,I852),0))</f>
        <v>0</v>
      </c>
      <c r="G852" s="44" t="n">
        <f aca="false">IF(I852="","",IF(INDEX(J_KRE,I852)=$C$3,INDEX(J_NOM,I852),0))</f>
        <v>125020</v>
      </c>
      <c r="H852" s="44" t="n">
        <f aca="false">IF(I852="","",N(H851)+IF($C$5="Debet",F852-G852,G852-F852))</f>
        <v>-31275483</v>
      </c>
      <c r="I852" s="66" t="n">
        <f aca="false">IF(J852&gt;$K$1,"",IFERROR(MATCH(J852,J_BB,0),""))</f>
        <v>1246</v>
      </c>
      <c r="J852" s="66" t="n">
        <v>843</v>
      </c>
      <c r="K852" s="5"/>
    </row>
    <row r="853" customFormat="false" ht="15" hidden="false" customHeight="false" outlineLevel="0" collapsed="false">
      <c r="A853" s="5" t="n">
        <f aca="false">IF(I853="","",J853)</f>
        <v>844</v>
      </c>
      <c r="B853" s="83" t="n">
        <f aca="false">IF(I853="","",INDEX(J_TGL,I853))</f>
        <v>46290</v>
      </c>
      <c r="C853" s="5" t="str">
        <f aca="false">IF(I853="","",INDEX(J_NO,I853))</f>
        <v>JU-1248</v>
      </c>
      <c r="D853" s="5" t="str">
        <f aca="false">IF(I853="","",INDEX(J_KET,I853))</f>
        <v>Unlock water</v>
      </c>
      <c r="E853" s="5" t="str">
        <f aca="false">IF(I853="","",IF(INDEX(J_DEB,I853)=$C$3,INDEX(J_KRE,I853),INDEX(J_DEB,I853)))</f>
        <v>Biaya Bahan Baku</v>
      </c>
      <c r="F853" s="44" t="n">
        <f aca="false">IF(I853="","",IF(INDEX(J_DEB,I853)=$C$3,INDEX(J_NOM,I853),0))</f>
        <v>0</v>
      </c>
      <c r="G853" s="44" t="n">
        <f aca="false">IF(I853="","",IF(INDEX(J_KRE,I853)=$C$3,INDEX(J_NOM,I853),0))</f>
        <v>266000</v>
      </c>
      <c r="H853" s="44" t="n">
        <f aca="false">IF(I853="","",N(H852)+IF($C$5="Debet",F853-G853,G853-F853))</f>
        <v>-31541483</v>
      </c>
      <c r="I853" s="66" t="n">
        <f aca="false">IF(J853&gt;$K$1,"",IFERROR(MATCH(J853,J_BB,0),""))</f>
        <v>1248</v>
      </c>
      <c r="J853" s="66" t="n">
        <v>844</v>
      </c>
      <c r="K853" s="5"/>
    </row>
    <row r="854" customFormat="false" ht="15" hidden="false" customHeight="false" outlineLevel="0" collapsed="false">
      <c r="A854" s="5" t="n">
        <f aca="false">IF(I854="","",J854)</f>
        <v>845</v>
      </c>
      <c r="B854" s="83" t="n">
        <f aca="false">IF(I854="","",INDEX(J_TGL,I854))</f>
        <v>46290</v>
      </c>
      <c r="C854" s="5" t="str">
        <f aca="false">IF(I854="","",INDEX(J_NO,I854))</f>
        <v>JU-1249</v>
      </c>
      <c r="D854" s="5" t="str">
        <f aca="false">IF(I854="","",INDEX(J_KET,I854))</f>
        <v>Rak besi susun adjustable </v>
      </c>
      <c r="E854" s="5" t="str">
        <f aca="false">IF(I854="","",IF(INDEX(J_DEB,I854)=$C$3,INDEX(J_KRE,I854),INDEX(J_DEB,I854)))</f>
        <v>Peralatan</v>
      </c>
      <c r="F854" s="44" t="n">
        <f aca="false">IF(I854="","",IF(INDEX(J_DEB,I854)=$C$3,INDEX(J_NOM,I854),0))</f>
        <v>0</v>
      </c>
      <c r="G854" s="44" t="n">
        <f aca="false">IF(I854="","",IF(INDEX(J_KRE,I854)=$C$3,INDEX(J_NOM,I854),0))</f>
        <v>710950</v>
      </c>
      <c r="H854" s="44" t="n">
        <f aca="false">IF(I854="","",N(H853)+IF($C$5="Debet",F854-G854,G854-F854))</f>
        <v>-32252433</v>
      </c>
      <c r="I854" s="66" t="n">
        <f aca="false">IF(J854&gt;$K$1,"",IFERROR(MATCH(J854,J_BB,0),""))</f>
        <v>1249</v>
      </c>
      <c r="J854" s="66" t="n">
        <v>845</v>
      </c>
      <c r="K854" s="5"/>
    </row>
    <row r="855" customFormat="false" ht="15" hidden="false" customHeight="false" outlineLevel="0" collapsed="false">
      <c r="A855" s="5" t="n">
        <f aca="false">IF(I855="","",J855)</f>
        <v>846</v>
      </c>
      <c r="B855" s="83" t="n">
        <f aca="false">IF(I855="","",INDEX(J_TGL,I855))</f>
        <v>46291</v>
      </c>
      <c r="C855" s="5" t="str">
        <f aca="false">IF(I855="","",INDEX(J_NO,I855))</f>
        <v>JU-1250</v>
      </c>
      <c r="D855" s="5" t="str">
        <f aca="false">IF(I855="","",INDEX(J_KET,I855))</f>
        <v>Unlock water</v>
      </c>
      <c r="E855" s="5" t="str">
        <f aca="false">IF(I855="","",IF(INDEX(J_DEB,I855)=$C$3,INDEX(J_KRE,I855),INDEX(J_DEB,I855)))</f>
        <v>Biaya Bahan Baku</v>
      </c>
      <c r="F855" s="44" t="n">
        <f aca="false">IF(I855="","",IF(INDEX(J_DEB,I855)=$C$3,INDEX(J_NOM,I855),0))</f>
        <v>0</v>
      </c>
      <c r="G855" s="44" t="n">
        <f aca="false">IF(I855="","",IF(INDEX(J_KRE,I855)=$C$3,INDEX(J_NOM,I855),0))</f>
        <v>266000</v>
      </c>
      <c r="H855" s="44" t="n">
        <f aca="false">IF(I855="","",N(H854)+IF($C$5="Debet",F855-G855,G855-F855))</f>
        <v>-32518433</v>
      </c>
      <c r="I855" s="66" t="n">
        <f aca="false">IF(J855&gt;$K$1,"",IFERROR(MATCH(J855,J_BB,0),""))</f>
        <v>1250</v>
      </c>
      <c r="J855" s="66" t="n">
        <v>846</v>
      </c>
      <c r="K855" s="5"/>
    </row>
    <row r="856" customFormat="false" ht="15" hidden="false" customHeight="false" outlineLevel="0" collapsed="false">
      <c r="A856" s="5" t="n">
        <f aca="false">IF(I856="","",J856)</f>
        <v>847</v>
      </c>
      <c r="B856" s="83" t="n">
        <f aca="false">IF(I856="","",INDEX(J_TGL,I856))</f>
        <v>46293</v>
      </c>
      <c r="C856" s="5" t="str">
        <f aca="false">IF(I856="","",INDEX(J_NO,I856))</f>
        <v>JU-1251</v>
      </c>
      <c r="D856" s="5" t="str">
        <f aca="false">IF(I856="","",INDEX(J_KET,I856))</f>
        <v>Alat &amp; bahan membuat apron untuk event tgl 1-3</v>
      </c>
      <c r="E856" s="5" t="str">
        <f aca="false">IF(I856="","",IF(INDEX(J_DEB,I856)=$C$3,INDEX(J_KRE,I856),INDEX(J_DEB,I856)))</f>
        <v>Perlengkapan</v>
      </c>
      <c r="F856" s="44" t="n">
        <f aca="false">IF(I856="","",IF(INDEX(J_DEB,I856)=$C$3,INDEX(J_NOM,I856),0))</f>
        <v>0</v>
      </c>
      <c r="G856" s="44" t="n">
        <f aca="false">IF(I856="","",IF(INDEX(J_KRE,I856)=$C$3,INDEX(J_NOM,I856),0))</f>
        <v>221200</v>
      </c>
      <c r="H856" s="44" t="n">
        <f aca="false">IF(I856="","",N(H855)+IF($C$5="Debet",F856-G856,G856-F856))</f>
        <v>-32739633</v>
      </c>
      <c r="I856" s="66" t="n">
        <f aca="false">IF(J856&gt;$K$1,"",IFERROR(MATCH(J856,J_BB,0),""))</f>
        <v>1251</v>
      </c>
      <c r="J856" s="66" t="n">
        <v>847</v>
      </c>
      <c r="K856" s="5"/>
    </row>
    <row r="857" customFormat="false" ht="15" hidden="false" customHeight="false" outlineLevel="0" collapsed="false">
      <c r="A857" s="5" t="n">
        <f aca="false">IF(I857="","",J857)</f>
        <v>848</v>
      </c>
      <c r="B857" s="83" t="n">
        <f aca="false">IF(I857="","",INDEX(J_TGL,I857))</f>
        <v>46293</v>
      </c>
      <c r="C857" s="5" t="str">
        <f aca="false">IF(I857="","",INDEX(J_NO,I857))</f>
        <v>JU-1252</v>
      </c>
      <c r="D857" s="5" t="str">
        <f aca="false">IF(I857="","",INDEX(J_KET,I857))</f>
        <v>Bayar Premium Claude AI</v>
      </c>
      <c r="E857" s="5" t="str">
        <f aca="false">IF(I857="","",IF(INDEX(J_DEB,I857)=$C$3,INDEX(J_KRE,I857),INDEX(J_DEB,I857)))</f>
        <v>Biaya Tagihan Bulanan</v>
      </c>
      <c r="F857" s="44" t="n">
        <f aca="false">IF(I857="","",IF(INDEX(J_DEB,I857)=$C$3,INDEX(J_NOM,I857),0))</f>
        <v>0</v>
      </c>
      <c r="G857" s="44" t="n">
        <f aca="false">IF(I857="","",IF(INDEX(J_KRE,I857)=$C$3,INDEX(J_NOM,I857),0))</f>
        <v>389000</v>
      </c>
      <c r="H857" s="44" t="n">
        <f aca="false">IF(I857="","",N(H856)+IF($C$5="Debet",F857-G857,G857-F857))</f>
        <v>-33128633</v>
      </c>
      <c r="I857" s="66" t="n">
        <f aca="false">IF(J857&gt;$K$1,"",IFERROR(MATCH(J857,J_BB,0),""))</f>
        <v>1252</v>
      </c>
      <c r="J857" s="66" t="n">
        <v>848</v>
      </c>
      <c r="K857" s="5"/>
    </row>
    <row r="858" customFormat="false" ht="15" hidden="false" customHeight="false" outlineLevel="0" collapsed="false">
      <c r="A858" s="5" t="n">
        <f aca="false">IF(I858="","",J858)</f>
        <v>849</v>
      </c>
      <c r="B858" s="83" t="n">
        <f aca="false">IF(I858="","",INDEX(J_TGL,I858))</f>
        <v>46293</v>
      </c>
      <c r="C858" s="5" t="str">
        <f aca="false">IF(I858="","",INDEX(J_NO,I858))</f>
        <v>JU-1253</v>
      </c>
      <c r="D858" s="5" t="str">
        <f aca="false">IF(I858="","",INDEX(J_KET,I858))</f>
        <v>lampu hias dinding warna putih dan bohlam x 2 (re-purchase ke 2)</v>
      </c>
      <c r="E858" s="5" t="str">
        <f aca="false">IF(I858="","",IF(INDEX(J_DEB,I858)=$C$3,INDEX(J_KRE,I858),INDEX(J_DEB,I858)))</f>
        <v>Perlengkapan</v>
      </c>
      <c r="F858" s="44" t="n">
        <f aca="false">IF(I858="","",IF(INDEX(J_DEB,I858)=$C$3,INDEX(J_NOM,I858),0))</f>
        <v>0</v>
      </c>
      <c r="G858" s="44" t="n">
        <f aca="false">IF(I858="","",IF(INDEX(J_KRE,I858)=$C$3,INDEX(J_NOM,I858),0))</f>
        <v>239730</v>
      </c>
      <c r="H858" s="44" t="n">
        <f aca="false">IF(I858="","",N(H857)+IF($C$5="Debet",F858-G858,G858-F858))</f>
        <v>-33368363</v>
      </c>
      <c r="I858" s="66" t="n">
        <f aca="false">IF(J858&gt;$K$1,"",IFERROR(MATCH(J858,J_BB,0),""))</f>
        <v>1253</v>
      </c>
      <c r="J858" s="66" t="n">
        <v>849</v>
      </c>
      <c r="K858" s="5"/>
    </row>
    <row r="859" customFormat="false" ht="15" hidden="false" customHeight="false" outlineLevel="0" collapsed="false">
      <c r="A859" s="5" t="n">
        <f aca="false">IF(I859="","",J859)</f>
        <v>850</v>
      </c>
      <c r="B859" s="83" t="n">
        <f aca="false">IF(I859="","",INDEX(J_TGL,I859))</f>
        <v>46293</v>
      </c>
      <c r="C859" s="5" t="str">
        <f aca="false">IF(I859="","",INDEX(J_NO,I859))</f>
        <v>JU-1254</v>
      </c>
      <c r="D859" s="5" t="str">
        <f aca="false">IF(I859="","",INDEX(J_KET,I859))</f>
        <v>silicone matt pad Rock</v>
      </c>
      <c r="E859" s="5" t="str">
        <f aca="false">IF(I859="","",IF(INDEX(J_DEB,I859)=$C$3,INDEX(J_KRE,I859),INDEX(J_DEB,I859)))</f>
        <v>Perlengkapan</v>
      </c>
      <c r="F859" s="44" t="n">
        <f aca="false">IF(I859="","",IF(INDEX(J_DEB,I859)=$C$3,INDEX(J_NOM,I859),0))</f>
        <v>0</v>
      </c>
      <c r="G859" s="44" t="n">
        <f aca="false">IF(I859="","",IF(INDEX(J_KRE,I859)=$C$3,INDEX(J_NOM,I859),0))</f>
        <v>172250</v>
      </c>
      <c r="H859" s="44" t="n">
        <f aca="false">IF(I859="","",N(H858)+IF($C$5="Debet",F859-G859,G859-F859))</f>
        <v>-33540613</v>
      </c>
      <c r="I859" s="66" t="n">
        <f aca="false">IF(J859&gt;$K$1,"",IFERROR(MATCH(J859,J_BB,0),""))</f>
        <v>1254</v>
      </c>
      <c r="J859" s="66" t="n">
        <v>850</v>
      </c>
      <c r="K859" s="5"/>
    </row>
    <row r="860" customFormat="false" ht="15" hidden="false" customHeight="false" outlineLevel="0" collapsed="false">
      <c r="A860" s="5" t="n">
        <f aca="false">IF(I860="","",J860)</f>
        <v>851</v>
      </c>
      <c r="B860" s="83" t="n">
        <f aca="false">IF(I860="","",INDEX(J_TGL,I860))</f>
        <v>46293</v>
      </c>
      <c r="C860" s="5" t="str">
        <f aca="false">IF(I860="","",INDEX(J_NO,I860))</f>
        <v>JU-1255</v>
      </c>
      <c r="D860" s="5" t="str">
        <f aca="false">IF(I860="","",INDEX(J_KET,I860))</f>
        <v>Belanja frozen food nota 28/9 : 3 zak straight, 2 zak crinkle, 2kg champ, 4kg beef breakfast</v>
      </c>
      <c r="E860" s="5" t="str">
        <f aca="false">IF(I860="","",IF(INDEX(J_DEB,I860)=$C$3,INDEX(J_KRE,I860),INDEX(J_DEB,I860)))</f>
        <v>Biaya Bahan Baku</v>
      </c>
      <c r="F860" s="44" t="n">
        <f aca="false">IF(I860="","",IF(INDEX(J_DEB,I860)=$C$3,INDEX(J_NOM,I860),0))</f>
        <v>0</v>
      </c>
      <c r="G860" s="44" t="n">
        <f aca="false">IF(I860="","",IF(INDEX(J_KRE,I860)=$C$3,INDEX(J_NOM,I860),0))</f>
        <v>678000</v>
      </c>
      <c r="H860" s="44" t="n">
        <f aca="false">IF(I860="","",N(H859)+IF($C$5="Debet",F860-G860,G860-F860))</f>
        <v>-34218613</v>
      </c>
      <c r="I860" s="66" t="n">
        <f aca="false">IF(J860&gt;$K$1,"",IFERROR(MATCH(J860,J_BB,0),""))</f>
        <v>1255</v>
      </c>
      <c r="J860" s="66" t="n">
        <v>851</v>
      </c>
      <c r="K860" s="5"/>
    </row>
    <row r="861" customFormat="false" ht="15" hidden="false" customHeight="false" outlineLevel="0" collapsed="false">
      <c r="A861" s="5" t="n">
        <f aca="false">IF(I861="","",J861)</f>
        <v>852</v>
      </c>
      <c r="B861" s="83" t="n">
        <f aca="false">IF(I861="","",INDEX(J_TGL,I861))</f>
        <v>46294</v>
      </c>
      <c r="C861" s="5" t="str">
        <f aca="false">IF(I861="","",INDEX(J_NO,I861))</f>
        <v>JU-1262</v>
      </c>
      <c r="D861" s="5" t="str">
        <f aca="false">IF(I861="","",INDEX(J_KET,I861))</f>
        <v>Biaya sewa tempat bulan September 2026</v>
      </c>
      <c r="E861" s="5" t="str">
        <f aca="false">IF(I861="","",IF(INDEX(J_DEB,I861)=$C$3,INDEX(J_KRE,I861),INDEX(J_DEB,I861)))</f>
        <v>Biaya Sewa Tempat</v>
      </c>
      <c r="F861" s="44" t="n">
        <f aca="false">IF(I861="","",IF(INDEX(J_DEB,I861)=$C$3,INDEX(J_NOM,I861),0))</f>
        <v>0</v>
      </c>
      <c r="G861" s="44" t="n">
        <f aca="false">IF(I861="","",IF(INDEX(J_KRE,I861)=$C$3,INDEX(J_NOM,I861),0))</f>
        <v>10000000</v>
      </c>
      <c r="H861" s="44" t="n">
        <f aca="false">IF(I861="","",N(H860)+IF($C$5="Debet",F861-G861,G861-F861))</f>
        <v>-44218613</v>
      </c>
      <c r="I861" s="66" t="n">
        <f aca="false">IF(J861&gt;$K$1,"",IFERROR(MATCH(J861,J_BB,0),""))</f>
        <v>1262</v>
      </c>
      <c r="J861" s="66" t="n">
        <v>852</v>
      </c>
      <c r="K861" s="5"/>
    </row>
    <row r="862" customFormat="false" ht="15" hidden="false" customHeight="false" outlineLevel="0" collapsed="false">
      <c r="A862" s="5" t="n">
        <f aca="false">IF(I862="","",J862)</f>
        <v>853</v>
      </c>
      <c r="B862" s="83" t="n">
        <f aca="false">IF(I862="","",INDEX(J_TGL,I862))</f>
        <v>46294</v>
      </c>
      <c r="C862" s="5" t="str">
        <f aca="false">IF(I862="","",INDEX(J_NO,I862))</f>
        <v>JU-1263</v>
      </c>
      <c r="D862" s="5" t="str">
        <f aca="false">IF(I862="","",INDEX(J_KET,I862))</f>
        <v>Tiramisu 2 batch 6 &amp; 15 September terjual 18 pcs</v>
      </c>
      <c r="E862" s="5" t="str">
        <f aca="false">IF(I862="","",IF(INDEX(J_DEB,I862)=$C$3,INDEX(J_KRE,I862),INDEX(J_DEB,I862)))</f>
        <v>Biaya Bahan Baku</v>
      </c>
      <c r="F862" s="44" t="n">
        <f aca="false">IF(I862="","",IF(INDEX(J_DEB,I862)=$C$3,INDEX(J_NOM,I862),0))</f>
        <v>0</v>
      </c>
      <c r="G862" s="44" t="n">
        <f aca="false">IF(I862="","",IF(INDEX(J_KRE,I862)=$C$3,INDEX(J_NOM,I862),0))</f>
        <v>240000</v>
      </c>
      <c r="H862" s="44" t="n">
        <f aca="false">IF(I862="","",N(H861)+IF($C$5="Debet",F862-G862,G862-F862))</f>
        <v>-44458613</v>
      </c>
      <c r="I862" s="66" t="n">
        <f aca="false">IF(J862&gt;$K$1,"",IFERROR(MATCH(J862,J_BB,0),""))</f>
        <v>1263</v>
      </c>
      <c r="J862" s="66" t="n">
        <v>853</v>
      </c>
      <c r="K862" s="5"/>
    </row>
    <row r="863" customFormat="false" ht="15" hidden="false" customHeight="false" outlineLevel="0" collapsed="false">
      <c r="A863" s="5" t="n">
        <f aca="false">IF(I863="","",J863)</f>
        <v>854</v>
      </c>
      <c r="B863" s="83" t="n">
        <f aca="false">IF(I863="","",INDEX(J_TGL,I863))</f>
        <v>46294</v>
      </c>
      <c r="C863" s="5" t="str">
        <f aca="false">IF(I863="","",INDEX(J_NO,I863))</f>
        <v>JU-1264</v>
      </c>
      <c r="D863" s="5" t="str">
        <f aca="false">IF(I863="","",INDEX(J_KET,I863))</f>
        <v>Membayar gaji pegawai</v>
      </c>
      <c r="E863" s="5" t="str">
        <f aca="false">IF(I863="","",IF(INDEX(J_DEB,I863)=$C$3,INDEX(J_KRE,I863),INDEX(J_DEB,I863)))</f>
        <v>Beban Gaji</v>
      </c>
      <c r="F863" s="44" t="n">
        <f aca="false">IF(I863="","",IF(INDEX(J_DEB,I863)=$C$3,INDEX(J_NOM,I863),0))</f>
        <v>0</v>
      </c>
      <c r="G863" s="44" t="n">
        <f aca="false">IF(I863="","",IF(INDEX(J_KRE,I863)=$C$3,INDEX(J_NOM,I863),0))</f>
        <v>23542333</v>
      </c>
      <c r="H863" s="44" t="n">
        <f aca="false">IF(I863="","",N(H862)+IF($C$5="Debet",F863-G863,G863-F863))</f>
        <v>-68000946</v>
      </c>
      <c r="I863" s="66" t="n">
        <f aca="false">IF(J863&gt;$K$1,"",IFERROR(MATCH(J863,J_BB,0),""))</f>
        <v>1264</v>
      </c>
      <c r="J863" s="66" t="n">
        <v>854</v>
      </c>
      <c r="K863" s="5"/>
    </row>
    <row r="864" customFormat="false" ht="15" hidden="false" customHeight="false" outlineLevel="0" collapsed="false">
      <c r="A864" s="5" t="n">
        <f aca="false">IF(I864="","",J864)</f>
        <v>855</v>
      </c>
      <c r="B864" s="83" t="n">
        <f aca="false">IF(I864="","",INDEX(J_TGL,I864))</f>
        <v>46294</v>
      </c>
      <c r="C864" s="5" t="str">
        <f aca="false">IF(I864="","",INDEX(J_NO,I864))</f>
        <v>JU-1265</v>
      </c>
      <c r="D864" s="5" t="str">
        <f aca="false">IF(I864="","",INDEX(J_KET,I864))</f>
        <v>Membayar bonus pegawai</v>
      </c>
      <c r="E864" s="5" t="str">
        <f aca="false">IF(I864="","",IF(INDEX(J_DEB,I864)=$C$3,INDEX(J_KRE,I864),INDEX(J_DEB,I864)))</f>
        <v>Beban Gaji</v>
      </c>
      <c r="F864" s="44" t="n">
        <f aca="false">IF(I864="","",IF(INDEX(J_DEB,I864)=$C$3,INDEX(J_NOM,I864),0))</f>
        <v>0</v>
      </c>
      <c r="G864" s="44" t="n">
        <f aca="false">IF(I864="","",IF(INDEX(J_KRE,I864)=$C$3,INDEX(J_NOM,I864),0))</f>
        <v>1000000</v>
      </c>
      <c r="H864" s="44" t="n">
        <f aca="false">IF(I864="","",N(H863)+IF($C$5="Debet",F864-G864,G864-F864))</f>
        <v>-69000946</v>
      </c>
      <c r="I864" s="66" t="n">
        <f aca="false">IF(J864&gt;$K$1,"",IFERROR(MATCH(J864,J_BB,0),""))</f>
        <v>1265</v>
      </c>
      <c r="J864" s="66" t="n">
        <v>855</v>
      </c>
      <c r="K864" s="5"/>
    </row>
    <row r="865" customFormat="false" ht="15" hidden="false" customHeight="false" outlineLevel="0" collapsed="false">
      <c r="A865" s="5" t="n">
        <f aca="false">IF(I865="","",J865)</f>
        <v>856</v>
      </c>
      <c r="B865" s="83" t="n">
        <f aca="false">IF(I865="","",INDEX(J_TGL,I865))</f>
        <v>46294</v>
      </c>
      <c r="C865" s="5" t="str">
        <f aca="false">IF(I865="","",INDEX(J_NO,I865))</f>
        <v>JU-1266</v>
      </c>
      <c r="D865" s="5" t="str">
        <f aca="false">IF(I865="","",INDEX(J_KET,I865))</f>
        <v>Biaya flip untuk transfer gaji</v>
      </c>
      <c r="E865" s="5" t="str">
        <f aca="false">IF(I865="","",IF(INDEX(J_DEB,I865)=$C$3,INDEX(J_KRE,I865),INDEX(J_DEB,I865)))</f>
        <v>Biaya Lainnya</v>
      </c>
      <c r="F865" s="44" t="n">
        <f aca="false">IF(I865="","",IF(INDEX(J_DEB,I865)=$C$3,INDEX(J_NOM,I865),0))</f>
        <v>0</v>
      </c>
      <c r="G865" s="44" t="n">
        <f aca="false">IF(I865="","",IF(INDEX(J_KRE,I865)=$C$3,INDEX(J_NOM,I865),0))</f>
        <v>12350</v>
      </c>
      <c r="H865" s="44" t="n">
        <f aca="false">IF(I865="","",N(H864)+IF($C$5="Debet",F865-G865,G865-F865))</f>
        <v>-69013296</v>
      </c>
      <c r="I865" s="66" t="n">
        <f aca="false">IF(J865&gt;$K$1,"",IFERROR(MATCH(J865,J_BB,0),""))</f>
        <v>1266</v>
      </c>
      <c r="J865" s="66" t="n">
        <v>856</v>
      </c>
      <c r="K865" s="5"/>
    </row>
    <row r="866" customFormat="false" ht="15" hidden="false" customHeight="false" outlineLevel="0" collapsed="false">
      <c r="A866" s="5" t="n">
        <f aca="false">IF(I866="","",J866)</f>
        <v>857</v>
      </c>
      <c r="B866" s="83" t="n">
        <f aca="false">IF(I866="","",INDEX(J_TGL,I866))</f>
        <v>46294</v>
      </c>
      <c r="C866" s="5" t="str">
        <f aca="false">IF(I866="","",INDEX(J_NO,I866))</f>
        <v>JU-1267</v>
      </c>
      <c r="D866" s="5" t="str">
        <f aca="false">IF(I866="","",INDEX(J_KET,I866))</f>
        <v>Fee event Tudju Yoga untuk Mas Haqi</v>
      </c>
      <c r="E866" s="5" t="str">
        <f aca="false">IF(I866="","",IF(INDEX(J_DEB,I866)=$C$3,INDEX(J_KRE,I866),INDEX(J_DEB,I866)))</f>
        <v>Biaya Marketing &amp; Promosi</v>
      </c>
      <c r="F866" s="44" t="n">
        <f aca="false">IF(I866="","",IF(INDEX(J_DEB,I866)=$C$3,INDEX(J_NOM,I866),0))</f>
        <v>0</v>
      </c>
      <c r="G866" s="44" t="n">
        <f aca="false">IF(I866="","",IF(INDEX(J_KRE,I866)=$C$3,INDEX(J_NOM,I866),0))</f>
        <v>250000</v>
      </c>
      <c r="H866" s="44" t="n">
        <f aca="false">IF(I866="","",N(H865)+IF($C$5="Debet",F866-G866,G866-F866))</f>
        <v>-69263296</v>
      </c>
      <c r="I866" s="66" t="n">
        <f aca="false">IF(J866&gt;$K$1,"",IFERROR(MATCH(J866,J_BB,0),""))</f>
        <v>1267</v>
      </c>
      <c r="J866" s="66" t="n">
        <v>857</v>
      </c>
      <c r="K866" s="5"/>
    </row>
    <row r="867" customFormat="false" ht="15" hidden="false" customHeight="false" outlineLevel="0" collapsed="false">
      <c r="A867" s="5" t="n">
        <f aca="false">IF(I867="","",J867)</f>
        <v>858</v>
      </c>
      <c r="B867" s="83" t="n">
        <f aca="false">IF(I867="","",INDEX(J_TGL,I867))</f>
        <v>46294</v>
      </c>
      <c r="C867" s="5" t="str">
        <f aca="false">IF(I867="","",INDEX(J_NO,I867))</f>
        <v>JU-1268</v>
      </c>
      <c r="D867" s="5" t="str">
        <f aca="false">IF(I867="","",INDEX(J_KET,I867))</f>
        <v>Fee event Arterun untuk Mas Haqi </v>
      </c>
      <c r="E867" s="5" t="str">
        <f aca="false">IF(I867="","",IF(INDEX(J_DEB,I867)=$C$3,INDEX(J_KRE,I867),INDEX(J_DEB,I867)))</f>
        <v>Biaya Marketing &amp; Promosi</v>
      </c>
      <c r="F867" s="44" t="n">
        <f aca="false">IF(I867="","",IF(INDEX(J_DEB,I867)=$C$3,INDEX(J_NOM,I867),0))</f>
        <v>0</v>
      </c>
      <c r="G867" s="44" t="n">
        <f aca="false">IF(I867="","",IF(INDEX(J_KRE,I867)=$C$3,INDEX(J_NOM,I867),0))</f>
        <v>150000</v>
      </c>
      <c r="H867" s="44" t="n">
        <f aca="false">IF(I867="","",N(H866)+IF($C$5="Debet",F867-G867,G867-F867))</f>
        <v>-69413296</v>
      </c>
      <c r="I867" s="66" t="n">
        <f aca="false">IF(J867&gt;$K$1,"",IFERROR(MATCH(J867,J_BB,0),""))</f>
        <v>1268</v>
      </c>
      <c r="J867" s="66" t="n">
        <v>858</v>
      </c>
      <c r="K867" s="5"/>
    </row>
    <row r="868" customFormat="false" ht="15" hidden="false" customHeight="false" outlineLevel="0" collapsed="false">
      <c r="A868" s="5" t="n">
        <f aca="false">IF(I868="","",J868)</f>
        <v>859</v>
      </c>
      <c r="B868" s="83" t="n">
        <f aca="false">IF(I868="","",INDEX(J_TGL,I868))</f>
        <v>46294</v>
      </c>
      <c r="C868" s="5" t="str">
        <f aca="false">IF(I868="","",INDEX(J_NO,I868))</f>
        <v>JU-1269</v>
      </c>
      <c r="D868" s="5" t="str">
        <f aca="false">IF(I868="","",INDEX(J_KET,I868))</f>
        <v>Cicilan kasbon rangga</v>
      </c>
      <c r="E868" s="5" t="str">
        <f aca="false">IF(I868="","",IF(INDEX(J_DEB,I868)=$C$3,INDEX(J_KRE,I868),INDEX(J_DEB,I868)))</f>
        <v>Piutang Lainnya</v>
      </c>
      <c r="F868" s="44" t="n">
        <f aca="false">IF(I868="","",IF(INDEX(J_DEB,I868)=$C$3,INDEX(J_NOM,I868),0))</f>
        <v>333333</v>
      </c>
      <c r="G868" s="44" t="n">
        <f aca="false">IF(I868="","",IF(INDEX(J_KRE,I868)=$C$3,INDEX(J_NOM,I868),0))</f>
        <v>0</v>
      </c>
      <c r="H868" s="44" t="n">
        <f aca="false">IF(I868="","",N(H867)+IF($C$5="Debet",F868-G868,G868-F868))</f>
        <v>-69079963</v>
      </c>
      <c r="I868" s="66" t="n">
        <f aca="false">IF(J868&gt;$K$1,"",IFERROR(MATCH(J868,J_BB,0),""))</f>
        <v>1269</v>
      </c>
      <c r="J868" s="66" t="n">
        <v>859</v>
      </c>
      <c r="K868" s="5"/>
    </row>
    <row r="869" customFormat="false" ht="15" hidden="false" customHeight="false" outlineLevel="0" collapsed="false">
      <c r="A869" s="5" t="n">
        <f aca="false">IF(I869="","",J869)</f>
        <v>860</v>
      </c>
      <c r="B869" s="83" t="n">
        <f aca="false">IF(I869="","",INDEX(J_TGL,I869))</f>
        <v>46294</v>
      </c>
      <c r="C869" s="5" t="str">
        <f aca="false">IF(I869="","",INDEX(J_NO,I869))</f>
        <v>JU-1270</v>
      </c>
      <c r="D869" s="5" t="str">
        <f aca="false">IF(I869="","",INDEX(J_KET,I869))</f>
        <v>Menerima pelunasan piutang Einstein tagihan nota Agustus 28 - September 27</v>
      </c>
      <c r="E869" s="5" t="str">
        <f aca="false">IF(I869="","",IF(INDEX(J_DEB,I869)=$C$3,INDEX(J_KRE,I869),INDEX(J_DEB,I869)))</f>
        <v>Piutang Lainnya</v>
      </c>
      <c r="F869" s="44" t="n">
        <f aca="false">IF(I869="","",IF(INDEX(J_DEB,I869)=$C$3,INDEX(J_NOM,I869),0))</f>
        <v>339300</v>
      </c>
      <c r="G869" s="44" t="n">
        <f aca="false">IF(I869="","",IF(INDEX(J_KRE,I869)=$C$3,INDEX(J_NOM,I869),0))</f>
        <v>0</v>
      </c>
      <c r="H869" s="44" t="n">
        <f aca="false">IF(I869="","",N(H868)+IF($C$5="Debet",F869-G869,G869-F869))</f>
        <v>-68740663</v>
      </c>
      <c r="I869" s="66" t="n">
        <f aca="false">IF(J869&gt;$K$1,"",IFERROR(MATCH(J869,J_BB,0),""))</f>
        <v>1270</v>
      </c>
      <c r="J869" s="66" t="n">
        <v>860</v>
      </c>
      <c r="K869" s="5"/>
    </row>
    <row r="870" customFormat="false" ht="15" hidden="false" customHeight="false" outlineLevel="0" collapsed="false">
      <c r="A870" s="5" t="n">
        <f aca="false">IF(I870="","",J870)</f>
        <v>861</v>
      </c>
      <c r="B870" s="83" t="n">
        <f aca="false">IF(I870="","",INDEX(J_TGL,I870))</f>
        <v>46294</v>
      </c>
      <c r="C870" s="5" t="str">
        <f aca="false">IF(I870="","",INDEX(J_NO,I870))</f>
        <v>JU-1271</v>
      </c>
      <c r="D870" s="5" t="str">
        <f aca="false">IF(I870="","",INDEX(J_KET,I870))</f>
        <v>Menerima pelunasan piutang Einstein pinjam uang tgl 30/8 &amp; bayar COD tgl 21/8</v>
      </c>
      <c r="E870" s="5" t="str">
        <f aca="false">IF(I870="","",IF(INDEX(J_DEB,I870)=$C$3,INDEX(J_KRE,I870),INDEX(J_DEB,I870)))</f>
        <v>Piutang Lainnya</v>
      </c>
      <c r="F870" s="44" t="n">
        <f aca="false">IF(I870="","",IF(INDEX(J_DEB,I870)=$C$3,INDEX(J_NOM,I870),0))</f>
        <v>335000</v>
      </c>
      <c r="G870" s="44" t="n">
        <f aca="false">IF(I870="","",IF(INDEX(J_KRE,I870)=$C$3,INDEX(J_NOM,I870),0))</f>
        <v>0</v>
      </c>
      <c r="H870" s="44" t="n">
        <f aca="false">IF(I870="","",N(H869)+IF($C$5="Debet",F870-G870,G870-F870))</f>
        <v>-68405663</v>
      </c>
      <c r="I870" s="66" t="n">
        <f aca="false">IF(J870&gt;$K$1,"",IFERROR(MATCH(J870,J_BB,0),""))</f>
        <v>1271</v>
      </c>
      <c r="J870" s="66" t="n">
        <v>861</v>
      </c>
      <c r="K870" s="5"/>
    </row>
    <row r="871" customFormat="false" ht="15" hidden="false" customHeight="false" outlineLevel="0" collapsed="false">
      <c r="A871" s="5" t="n">
        <f aca="false">IF(I871="","",J871)</f>
        <v>862</v>
      </c>
      <c r="B871" s="83" t="n">
        <f aca="false">IF(I871="","",INDEX(J_TGL,I871))</f>
        <v>46294</v>
      </c>
      <c r="C871" s="5" t="str">
        <f aca="false">IF(I871="","",INDEX(J_NO,I871))</f>
        <v>JU-1272</v>
      </c>
      <c r="D871" s="5" t="str">
        <f aca="false">IF(I871="","",INDEX(J_KET,I871))</f>
        <v>Menerima pelunasan piutang Yantos pinjam CSR 100 porsi &amp; bayar print stiker tgl 5/9 </v>
      </c>
      <c r="E871" s="5" t="str">
        <f aca="false">IF(I871="","",IF(INDEX(J_DEB,I871)=$C$3,INDEX(J_KRE,I871),INDEX(J_DEB,I871)))</f>
        <v>Piutang Lainnya</v>
      </c>
      <c r="F871" s="44" t="n">
        <f aca="false">IF(I871="","",IF(INDEX(J_DEB,I871)=$C$3,INDEX(J_NOM,I871),0))</f>
        <v>1804500</v>
      </c>
      <c r="G871" s="44" t="n">
        <f aca="false">IF(I871="","",IF(INDEX(J_KRE,I871)=$C$3,INDEX(J_NOM,I871),0))</f>
        <v>0</v>
      </c>
      <c r="H871" s="44" t="n">
        <f aca="false">IF(I871="","",N(H870)+IF($C$5="Debet",F871-G871,G871-F871))</f>
        <v>-66601163</v>
      </c>
      <c r="I871" s="66" t="n">
        <f aca="false">IF(J871&gt;$K$1,"",IFERROR(MATCH(J871,J_BB,0),""))</f>
        <v>1272</v>
      </c>
      <c r="J871" s="66" t="n">
        <v>862</v>
      </c>
      <c r="K871" s="5"/>
    </row>
    <row r="872" customFormat="false" ht="15" hidden="false" customHeight="false" outlineLevel="0" collapsed="false">
      <c r="A872" s="5" t="n">
        <f aca="false">IF(I872="","",J872)</f>
        <v>863</v>
      </c>
      <c r="B872" s="83" t="n">
        <f aca="false">IF(I872="","",INDEX(J_TGL,I872))</f>
        <v>46295</v>
      </c>
      <c r="C872" s="5" t="str">
        <f aca="false">IF(I872="","",INDEX(J_NO,I872))</f>
        <v>JU-1274</v>
      </c>
      <c r="D872" s="5" t="str">
        <f aca="false">IF(I872="","",INDEX(J_KET,I872))</f>
        <v>Pindah dana ke tunai dari BCA (salary Pak Dodo yg dibayar tunai)</v>
      </c>
      <c r="E872" s="5" t="str">
        <f aca="false">IF(I872="","",IF(INDEX(J_DEB,I872)=$C$3,INDEX(J_KRE,I872),INDEX(J_DEB,I872)))</f>
        <v>Kas Tunai</v>
      </c>
      <c r="F872" s="44" t="n">
        <f aca="false">IF(I872="","",IF(INDEX(J_DEB,I872)=$C$3,INDEX(J_NOM,I872),0))</f>
        <v>800000</v>
      </c>
      <c r="G872" s="44" t="n">
        <f aca="false">IF(I872="","",IF(INDEX(J_KRE,I872)=$C$3,INDEX(J_NOM,I872),0))</f>
        <v>0</v>
      </c>
      <c r="H872" s="44" t="n">
        <f aca="false">IF(I872="","",N(H871)+IF($C$5="Debet",F872-G872,G872-F872))</f>
        <v>-65801163</v>
      </c>
      <c r="I872" s="66" t="n">
        <f aca="false">IF(J872&gt;$K$1,"",IFERROR(MATCH(J872,J_BB,0),""))</f>
        <v>1274</v>
      </c>
      <c r="J872" s="66" t="n">
        <v>863</v>
      </c>
      <c r="K872" s="5"/>
    </row>
    <row r="873" customFormat="false" ht="15" hidden="false" customHeight="false" outlineLevel="0" collapsed="false">
      <c r="A873" s="5" t="n">
        <f aca="false">IF(I873="","",J873)</f>
        <v>864</v>
      </c>
      <c r="B873" s="83" t="n">
        <f aca="false">IF(I873="","",INDEX(J_TGL,I873))</f>
        <v>46295</v>
      </c>
      <c r="C873" s="5" t="str">
        <f aca="false">IF(I873="","",INDEX(J_NO,I873))</f>
        <v>JU-1275</v>
      </c>
      <c r="D873" s="5" t="str">
        <f aca="false">IF(I873="","",INDEX(J_KET,I873))</f>
        <v>Simple syrup 5L x 2</v>
      </c>
      <c r="E873" s="5" t="str">
        <f aca="false">IF(I873="","",IF(INDEX(J_DEB,I873)=$C$3,INDEX(J_KRE,I873),INDEX(J_DEB,I873)))</f>
        <v>Biaya Bahan Baku</v>
      </c>
      <c r="F873" s="44" t="n">
        <f aca="false">IF(I873="","",IF(INDEX(J_DEB,I873)=$C$3,INDEX(J_NOM,I873),0))</f>
        <v>0</v>
      </c>
      <c r="G873" s="44" t="n">
        <f aca="false">IF(I873="","",IF(INDEX(J_KRE,I873)=$C$3,INDEX(J_NOM,I873),0))</f>
        <v>220000</v>
      </c>
      <c r="H873" s="44" t="n">
        <f aca="false">IF(I873="","",N(H872)+IF($C$5="Debet",F873-G873,G873-F873))</f>
        <v>-66021163</v>
      </c>
      <c r="I873" s="66" t="n">
        <f aca="false">IF(J873&gt;$K$1,"",IFERROR(MATCH(J873,J_BB,0),""))</f>
        <v>1275</v>
      </c>
      <c r="J873" s="66" t="n">
        <v>864</v>
      </c>
      <c r="K873" s="5"/>
    </row>
    <row r="874" customFormat="false" ht="15" hidden="false" customHeight="false" outlineLevel="0" collapsed="false">
      <c r="A874" s="5" t="n">
        <f aca="false">IF(I874="","",J874)</f>
        <v>865</v>
      </c>
      <c r="B874" s="83" t="n">
        <f aca="false">IF(I874="","",INDEX(J_TGL,I874))</f>
        <v>46295</v>
      </c>
      <c r="C874" s="5" t="str">
        <f aca="false">IF(I874="","",INDEX(J_NO,I874))</f>
        <v>JU-1276</v>
      </c>
      <c r="D874" s="5" t="str">
        <f aca="false">IF(I874="","",INDEX(J_KET,I874))</f>
        <v>Cup holder x 1 untuk event tgl 1 Okt</v>
      </c>
      <c r="E874" s="5" t="str">
        <f aca="false">IF(I874="","",IF(INDEX(J_DEB,I874)=$C$3,INDEX(J_KRE,I874),INDEX(J_DEB,I874)))</f>
        <v>Peralatan</v>
      </c>
      <c r="F874" s="44" t="n">
        <f aca="false">IF(I874="","",IF(INDEX(J_DEB,I874)=$C$3,INDEX(J_NOM,I874),0))</f>
        <v>0</v>
      </c>
      <c r="G874" s="44" t="n">
        <f aca="false">IF(I874="","",IF(INDEX(J_KRE,I874)=$C$3,INDEX(J_NOM,I874),0))</f>
        <v>187000</v>
      </c>
      <c r="H874" s="44" t="n">
        <f aca="false">IF(I874="","",N(H873)+IF($C$5="Debet",F874-G874,G874-F874))</f>
        <v>-66208163</v>
      </c>
      <c r="I874" s="66" t="n">
        <f aca="false">IF(J874&gt;$K$1,"",IFERROR(MATCH(J874,J_BB,0),""))</f>
        <v>1276</v>
      </c>
      <c r="J874" s="66" t="n">
        <v>865</v>
      </c>
      <c r="K874" s="5"/>
    </row>
    <row r="875" customFormat="false" ht="15" hidden="false" customHeight="false" outlineLevel="0" collapsed="false">
      <c r="A875" s="5" t="n">
        <f aca="false">IF(I875="","",J875)</f>
        <v>866</v>
      </c>
      <c r="B875" s="83" t="n">
        <f aca="false">IF(I875="","",INDEX(J_TGL,I875))</f>
        <v>46295</v>
      </c>
      <c r="C875" s="5" t="str">
        <f aca="false">IF(I875="","",INDEX(J_NO,I875))</f>
        <v>JU-1277</v>
      </c>
      <c r="D875" s="5" t="str">
        <f aca="false">IF(I875="","",INDEX(J_KET,I875))</f>
        <v>Biaya transfer flip</v>
      </c>
      <c r="E875" s="5" t="str">
        <f aca="false">IF(I875="","",IF(INDEX(J_DEB,I875)=$C$3,INDEX(J_KRE,I875),INDEX(J_DEB,I875)))</f>
        <v>Biaya Lainnya</v>
      </c>
      <c r="F875" s="44" t="n">
        <f aca="false">IF(I875="","",IF(INDEX(J_DEB,I875)=$C$3,INDEX(J_NOM,I875),0))</f>
        <v>0</v>
      </c>
      <c r="G875" s="44" t="n">
        <f aca="false">IF(I875="","",IF(INDEX(J_KRE,I875)=$C$3,INDEX(J_NOM,I875),0))</f>
        <v>350</v>
      </c>
      <c r="H875" s="44" t="n">
        <f aca="false">IF(I875="","",N(H874)+IF($C$5="Debet",F875-G875,G875-F875))</f>
        <v>-66208513</v>
      </c>
      <c r="I875" s="66" t="n">
        <f aca="false">IF(J875&gt;$K$1,"",IFERROR(MATCH(J875,J_BB,0),""))</f>
        <v>1277</v>
      </c>
      <c r="J875" s="66" t="n">
        <v>866</v>
      </c>
      <c r="K875" s="5"/>
    </row>
    <row r="876" customFormat="false" ht="15" hidden="false" customHeight="false" outlineLevel="0" collapsed="false">
      <c r="A876" s="5" t="n">
        <f aca="false">IF(I876="","",J876)</f>
        <v>867</v>
      </c>
      <c r="B876" s="83" t="n">
        <f aca="false">IF(I876="","",INDEX(J_TGL,I876))</f>
        <v>46295</v>
      </c>
      <c r="C876" s="5" t="str">
        <f aca="false">IF(I876="","",INDEX(J_NO,I876))</f>
        <v>JU-1278</v>
      </c>
      <c r="D876" s="5" t="str">
        <f aca="false">IF(I876="","",INDEX(J_KET,I876))</f>
        <v>Pindah dana ke BCA dari tunai (Afa tukar)</v>
      </c>
      <c r="E876" s="5" t="str">
        <f aca="false">IF(I876="","",IF(INDEX(J_DEB,I876)=$C$3,INDEX(J_KRE,I876),INDEX(J_DEB,I876)))</f>
        <v>Kas Tunai</v>
      </c>
      <c r="F876" s="44" t="n">
        <f aca="false">IF(I876="","",IF(INDEX(J_DEB,I876)=$C$3,INDEX(J_NOM,I876),0))</f>
        <v>30000</v>
      </c>
      <c r="G876" s="44" t="n">
        <f aca="false">IF(I876="","",IF(INDEX(J_KRE,I876)=$C$3,INDEX(J_NOM,I876),0))</f>
        <v>0</v>
      </c>
      <c r="H876" s="44" t="n">
        <f aca="false">IF(I876="","",N(H875)+IF($C$5="Debet",F876-G876,G876-F876))</f>
        <v>-66178513</v>
      </c>
      <c r="I876" s="66" t="n">
        <f aca="false">IF(J876&gt;$K$1,"",IFERROR(MATCH(J876,J_BB,0),""))</f>
        <v>1278</v>
      </c>
      <c r="J876" s="66" t="n">
        <v>867</v>
      </c>
      <c r="K876" s="5"/>
    </row>
    <row r="877" customFormat="false" ht="15" hidden="false" customHeight="false" outlineLevel="0" collapsed="false">
      <c r="A877" s="5" t="n">
        <f aca="false">IF(I877="","",J877)</f>
        <v>868</v>
      </c>
      <c r="B877" s="83" t="n">
        <f aca="false">IF(I877="","",INDEX(J_TGL,I877))</f>
        <v>46295</v>
      </c>
      <c r="C877" s="5" t="str">
        <f aca="false">IF(I877="","",INDEX(J_NO,I877))</f>
        <v>JU-1279</v>
      </c>
      <c r="D877" s="5" t="str">
        <f aca="false">IF(I877="","",INDEX(J_KET,I877))</f>
        <v>Biaya transfer flip</v>
      </c>
      <c r="E877" s="5" t="str">
        <f aca="false">IF(I877="","",IF(INDEX(J_DEB,I877)=$C$3,INDEX(J_KRE,I877),INDEX(J_DEB,I877)))</f>
        <v>Biaya Lainnya</v>
      </c>
      <c r="F877" s="44" t="n">
        <f aca="false">IF(I877="","",IF(INDEX(J_DEB,I877)=$C$3,INDEX(J_NOM,I877),0))</f>
        <v>0</v>
      </c>
      <c r="G877" s="44" t="n">
        <f aca="false">IF(I877="","",IF(INDEX(J_KRE,I877)=$C$3,INDEX(J_NOM,I877),0))</f>
        <v>351</v>
      </c>
      <c r="H877" s="44" t="n">
        <f aca="false">IF(I877="","",N(H876)+IF($C$5="Debet",F877-G877,G877-F877))</f>
        <v>-66178864</v>
      </c>
      <c r="I877" s="66" t="n">
        <f aca="false">IF(J877&gt;$K$1,"",IFERROR(MATCH(J877,J_BB,0),""))</f>
        <v>1279</v>
      </c>
      <c r="J877" s="66" t="n">
        <v>868</v>
      </c>
      <c r="K877" s="5"/>
    </row>
    <row r="878" customFormat="false" ht="15" hidden="false" customHeight="false" outlineLevel="0" collapsed="false">
      <c r="A878" s="5" t="n">
        <f aca="false">IF(I878="","",J878)</f>
        <v>869</v>
      </c>
      <c r="B878" s="83" t="n">
        <f aca="false">IF(I878="","",INDEX(J_TGL,I878))</f>
        <v>46295</v>
      </c>
      <c r="C878" s="5" t="str">
        <f aca="false">IF(I878="","",INDEX(J_NO,I878))</f>
        <v>JU-1280</v>
      </c>
      <c r="D878" s="5" t="str">
        <f aca="false">IF(I878="","",INDEX(J_KET,I878))</f>
        <v>uang makan lembur tgl 29/9</v>
      </c>
      <c r="E878" s="5" t="str">
        <f aca="false">IF(I878="","",IF(INDEX(J_DEB,I878)=$C$3,INDEX(J_KRE,I878),INDEX(J_DEB,I878)))</f>
        <v>Biaya Operasional Harian</v>
      </c>
      <c r="F878" s="44" t="n">
        <f aca="false">IF(I878="","",IF(INDEX(J_DEB,I878)=$C$3,INDEX(J_NOM,I878),0))</f>
        <v>0</v>
      </c>
      <c r="G878" s="44" t="n">
        <f aca="false">IF(I878="","",IF(INDEX(J_KRE,I878)=$C$3,INDEX(J_NOM,I878),0))</f>
        <v>91000</v>
      </c>
      <c r="H878" s="44" t="n">
        <f aca="false">IF(I878="","",N(H877)+IF($C$5="Debet",F878-G878,G878-F878))</f>
        <v>-66269864</v>
      </c>
      <c r="I878" s="66" t="n">
        <f aca="false">IF(J878&gt;$K$1,"",IFERROR(MATCH(J878,J_BB,0),""))</f>
        <v>1280</v>
      </c>
      <c r="J878" s="66" t="n">
        <v>869</v>
      </c>
      <c r="K878" s="5"/>
    </row>
    <row r="879" customFormat="false" ht="15" hidden="false" customHeight="false" outlineLevel="0" collapsed="false">
      <c r="A879" s="5" t="n">
        <f aca="false">IF(I879="","",J879)</f>
        <v>870</v>
      </c>
      <c r="B879" s="83" t="n">
        <f aca="false">IF(I879="","",INDEX(J_TGL,I879))</f>
        <v>46295</v>
      </c>
      <c r="C879" s="5" t="str">
        <f aca="false">IF(I879="","",INDEX(J_NO,I879))</f>
        <v>JU-1281</v>
      </c>
      <c r="D879" s="5" t="str">
        <f aca="false">IF(I879="","",INDEX(J_KET,I879))</f>
        <v>Tagihan listrik September 2026</v>
      </c>
      <c r="E879" s="5" t="str">
        <f aca="false">IF(I879="","",IF(INDEX(J_DEB,I879)=$C$3,INDEX(J_KRE,I879),INDEX(J_DEB,I879)))</f>
        <v>Biaya Tagihan Bulanan</v>
      </c>
      <c r="F879" s="44" t="n">
        <f aca="false">IF(I879="","",IF(INDEX(J_DEB,I879)=$C$3,INDEX(J_NOM,I879),0))</f>
        <v>0</v>
      </c>
      <c r="G879" s="44" t="n">
        <f aca="false">IF(I879="","",IF(INDEX(J_KRE,I879)=$C$3,INDEX(J_NOM,I879),0))</f>
        <v>4096491</v>
      </c>
      <c r="H879" s="44" t="n">
        <f aca="false">IF(I879="","",N(H878)+IF($C$5="Debet",F879-G879,G879-F879))</f>
        <v>-70366355</v>
      </c>
      <c r="I879" s="66" t="n">
        <f aca="false">IF(J879&gt;$K$1,"",IFERROR(MATCH(J879,J_BB,0),""))</f>
        <v>1281</v>
      </c>
      <c r="J879" s="66" t="n">
        <v>870</v>
      </c>
      <c r="K879" s="5"/>
    </row>
    <row r="880" customFormat="false" ht="15" hidden="false" customHeight="false" outlineLevel="0" collapsed="false">
      <c r="A880" s="5" t="n">
        <f aca="false">IF(I880="","",J880)</f>
        <v>871</v>
      </c>
      <c r="B880" s="83" t="n">
        <f aca="false">IF(I880="","",INDEX(J_TGL,I880))</f>
        <v>46295</v>
      </c>
      <c r="C880" s="5" t="str">
        <f aca="false">IF(I880="","",INDEX(J_NO,I880))</f>
        <v>JU-1282</v>
      </c>
      <c r="D880" s="5" t="str">
        <f aca="false">IF(I880="","",INDEX(J_KET,I880))</f>
        <v>Tagihan internet September 2026</v>
      </c>
      <c r="E880" s="5" t="str">
        <f aca="false">IF(I880="","",IF(INDEX(J_DEB,I880)=$C$3,INDEX(J_KRE,I880),INDEX(J_DEB,I880)))</f>
        <v>Biaya Tagihan Bulanan</v>
      </c>
      <c r="F880" s="44" t="n">
        <f aca="false">IF(I880="","",IF(INDEX(J_DEB,I880)=$C$3,INDEX(J_NOM,I880),0))</f>
        <v>0</v>
      </c>
      <c r="G880" s="44" t="n">
        <f aca="false">IF(I880="","",IF(INDEX(J_KRE,I880)=$C$3,INDEX(J_NOM,I880),0))</f>
        <v>387225</v>
      </c>
      <c r="H880" s="44" t="n">
        <f aca="false">IF(I880="","",N(H879)+IF($C$5="Debet",F880-G880,G880-F880))</f>
        <v>-70753580</v>
      </c>
      <c r="I880" s="66" t="n">
        <f aca="false">IF(J880&gt;$K$1,"",IFERROR(MATCH(J880,J_BB,0),""))</f>
        <v>1282</v>
      </c>
      <c r="J880" s="66" t="n">
        <v>871</v>
      </c>
      <c r="K880" s="5"/>
    </row>
    <row r="881" customFormat="false" ht="15" hidden="false" customHeight="false" outlineLevel="0" collapsed="false">
      <c r="A881" s="5" t="n">
        <f aca="false">IF(I881="","",J881)</f>
        <v>872</v>
      </c>
      <c r="B881" s="83" t="n">
        <f aca="false">IF(I881="","",INDEX(J_TGL,I881))</f>
        <v>46295</v>
      </c>
      <c r="C881" s="5" t="str">
        <f aca="false">IF(I881="","",INDEX(J_NO,I881))</f>
        <v>JU-1283</v>
      </c>
      <c r="D881" s="5" t="str">
        <f aca="false">IF(I881="","",INDEX(J_KET,I881))</f>
        <v>Tagihan telepon September 2026</v>
      </c>
      <c r="E881" s="5" t="str">
        <f aca="false">IF(I881="","",IF(INDEX(J_DEB,I881)=$C$3,INDEX(J_KRE,I881),INDEX(J_DEB,I881)))</f>
        <v>Biaya Tagihan Bulanan</v>
      </c>
      <c r="F881" s="44" t="n">
        <f aca="false">IF(I881="","",IF(INDEX(J_DEB,I881)=$C$3,INDEX(J_NOM,I881),0))</f>
        <v>0</v>
      </c>
      <c r="G881" s="44" t="n">
        <f aca="false">IF(I881="","",IF(INDEX(J_KRE,I881)=$C$3,INDEX(J_NOM,I881),0))</f>
        <v>56891</v>
      </c>
      <c r="H881" s="44" t="n">
        <f aca="false">IF(I881="","",N(H880)+IF($C$5="Debet",F881-G881,G881-F881))</f>
        <v>-70810471</v>
      </c>
      <c r="I881" s="66" t="n">
        <f aca="false">IF(J881&gt;$K$1,"",IFERROR(MATCH(J881,J_BB,0),""))</f>
        <v>1283</v>
      </c>
      <c r="J881" s="66" t="n">
        <v>872</v>
      </c>
      <c r="K881" s="5"/>
    </row>
    <row r="882" customFormat="false" ht="15" hidden="false" customHeight="false" outlineLevel="0" collapsed="false">
      <c r="A882" s="5" t="n">
        <f aca="false">IF(I882="","",J882)</f>
        <v>873</v>
      </c>
      <c r="B882" s="83" t="n">
        <f aca="false">IF(I882="","",INDEX(J_TGL,I882))</f>
        <v>46295</v>
      </c>
      <c r="C882" s="5" t="str">
        <f aca="false">IF(I882="","",INDEX(J_NO,I882))</f>
        <v>JU-1284</v>
      </c>
      <c r="D882" s="5" t="str">
        <f aca="false">IF(I882="","",INDEX(J_KET,I882))</f>
        <v>Pengeluaran pajak bunga rekening bank BCA</v>
      </c>
      <c r="E882" s="5" t="str">
        <f aca="false">IF(I882="","",IF(INDEX(J_DEB,I882)=$C$3,INDEX(J_KRE,I882),INDEX(J_DEB,I882)))</f>
        <v>Biaya Lainnya</v>
      </c>
      <c r="F882" s="44" t="n">
        <f aca="false">IF(I882="","",IF(INDEX(J_DEB,I882)=$C$3,INDEX(J_NOM,I882),0))</f>
        <v>0</v>
      </c>
      <c r="G882" s="44" t="n">
        <f aca="false">IF(I882="","",IF(INDEX(J_KRE,I882)=$C$3,INDEX(J_NOM,I882),0))</f>
        <v>90</v>
      </c>
      <c r="H882" s="44" t="n">
        <f aca="false">IF(I882="","",N(H881)+IF($C$5="Debet",F882-G882,G882-F882))</f>
        <v>-70810561</v>
      </c>
      <c r="I882" s="66" t="n">
        <f aca="false">IF(J882&gt;$K$1,"",IFERROR(MATCH(J882,J_BB,0),""))</f>
        <v>1284</v>
      </c>
      <c r="J882" s="66" t="n">
        <v>873</v>
      </c>
      <c r="K882" s="5"/>
    </row>
    <row r="883" customFormat="false" ht="15" hidden="false" customHeight="false" outlineLevel="0" collapsed="false">
      <c r="A883" s="5" t="n">
        <f aca="false">IF(I883="","",J883)</f>
        <v>874</v>
      </c>
      <c r="B883" s="83" t="n">
        <f aca="false">IF(I883="","",INDEX(J_TGL,I883))</f>
        <v>46295</v>
      </c>
      <c r="C883" s="5" t="str">
        <f aca="false">IF(I883="","",INDEX(J_NO,I883))</f>
        <v>JU-1285</v>
      </c>
      <c r="D883" s="5" t="str">
        <f aca="false">IF(I883="","",INDEX(J_KET,I883))</f>
        <v>Pendapatan bunga rekening bank BCA</v>
      </c>
      <c r="E883" s="5" t="str">
        <f aca="false">IF(I883="","",IF(INDEX(J_DEB,I883)=$C$3,INDEX(J_KRE,I883),INDEX(J_DEB,I883)))</f>
        <v>Pendapatan Lainnya</v>
      </c>
      <c r="F883" s="44" t="n">
        <f aca="false">IF(I883="","",IF(INDEX(J_DEB,I883)=$C$3,INDEX(J_NOM,I883),0))</f>
        <v>449</v>
      </c>
      <c r="G883" s="44" t="n">
        <f aca="false">IF(I883="","",IF(INDEX(J_KRE,I883)=$C$3,INDEX(J_NOM,I883),0))</f>
        <v>0</v>
      </c>
      <c r="H883" s="44" t="n">
        <f aca="false">IF(I883="","",N(H882)+IF($C$5="Debet",F883-G883,G883-F883))</f>
        <v>-70810112</v>
      </c>
      <c r="I883" s="66" t="n">
        <f aca="false">IF(J883&gt;$K$1,"",IFERROR(MATCH(J883,J_BB,0),""))</f>
        <v>1285</v>
      </c>
      <c r="J883" s="66" t="n">
        <v>874</v>
      </c>
      <c r="K883" s="5"/>
    </row>
    <row r="884" customFormat="false" ht="15" hidden="false" customHeight="false" outlineLevel="0" collapsed="false">
      <c r="A884" s="5" t="n">
        <f aca="false">IF(I884="","",J884)</f>
        <v>875</v>
      </c>
      <c r="B884" s="83" t="n">
        <f aca="false">IF(I884="","",INDEX(J_TGL,I884))</f>
        <v>46295</v>
      </c>
      <c r="C884" s="5" t="str">
        <f aca="false">IF(I884="","",INDEX(J_NO,I884))</f>
        <v>JU-1286</v>
      </c>
      <c r="D884" s="5" t="str">
        <f aca="false">IF(I884="","",INDEX(J_KET,I884))</f>
        <v>Pembayaran pajak restoran bulan September</v>
      </c>
      <c r="E884" s="5" t="str">
        <f aca="false">IF(I884="","",IF(INDEX(J_DEB,I884)=$C$3,INDEX(J_KRE,I884),INDEX(J_DEB,I884)))</f>
        <v>Pajak Restoran</v>
      </c>
      <c r="F884" s="44" t="n">
        <f aca="false">IF(I884="","",IF(INDEX(J_DEB,I884)=$C$3,INDEX(J_NOM,I884),0))</f>
        <v>0</v>
      </c>
      <c r="G884" s="44" t="n">
        <f aca="false">IF(I884="","",IF(INDEX(J_KRE,I884)=$C$3,INDEX(J_NOM,I884),0))</f>
        <v>2096000</v>
      </c>
      <c r="H884" s="44" t="n">
        <f aca="false">IF(I884="","",N(H883)+IF($C$5="Debet",F884-G884,G884-F884))</f>
        <v>-72906112</v>
      </c>
      <c r="I884" s="66" t="n">
        <f aca="false">IF(J884&gt;$K$1,"",IFERROR(MATCH(J884,J_BB,0),""))</f>
        <v>1286</v>
      </c>
      <c r="J884" s="66" t="n">
        <v>875</v>
      </c>
      <c r="K884" s="5"/>
    </row>
    <row r="885" customFormat="false" ht="15" hidden="false" customHeight="false" outlineLevel="0" collapsed="false">
      <c r="A885" s="5" t="n">
        <f aca="false">IF(I885="","",J885)</f>
        <v>876</v>
      </c>
      <c r="B885" s="83" t="n">
        <f aca="false">IF(I885="","",INDEX(J_TGL,I885))</f>
        <v>46295</v>
      </c>
      <c r="C885" s="5" t="str">
        <f aca="false">IF(I885="","",INDEX(J_NO,I885))</f>
        <v>JU-1287</v>
      </c>
      <c r="D885" s="5" t="str">
        <f aca="false">IF(I885="","",INDEX(J_KET,I885))</f>
        <v>Tambahan biaya administrasi bank utk pembayaran pajak restoran</v>
      </c>
      <c r="E885" s="5" t="str">
        <f aca="false">IF(I885="","",IF(INDEX(J_DEB,I885)=$C$3,INDEX(J_KRE,I885),INDEX(J_DEB,I885)))</f>
        <v>Biaya Lainnya</v>
      </c>
      <c r="F885" s="44" t="n">
        <f aca="false">IF(I885="","",IF(INDEX(J_DEB,I885)=$C$3,INDEX(J_NOM,I885),0))</f>
        <v>0</v>
      </c>
      <c r="G885" s="44" t="n">
        <f aca="false">IF(I885="","",IF(INDEX(J_KRE,I885)=$C$3,INDEX(J_NOM,I885),0))</f>
        <v>5000</v>
      </c>
      <c r="H885" s="44" t="n">
        <f aca="false">IF(I885="","",N(H884)+IF($C$5="Debet",F885-G885,G885-F885))</f>
        <v>-72911112</v>
      </c>
      <c r="I885" s="66" t="n">
        <f aca="false">IF(J885&gt;$K$1,"",IFERROR(MATCH(J885,J_BB,0),""))</f>
        <v>1287</v>
      </c>
      <c r="J885" s="66" t="n">
        <v>876</v>
      </c>
      <c r="K885" s="5"/>
    </row>
    <row r="886" customFormat="false" ht="15" hidden="false" customHeight="false" outlineLevel="0" collapsed="false">
      <c r="A886" s="5" t="n">
        <f aca="false">IF(I886="","",J886)</f>
        <v>877</v>
      </c>
      <c r="B886" s="83" t="n">
        <f aca="false">IF(I886="","",INDEX(J_TGL,I886))</f>
        <v>46295</v>
      </c>
      <c r="C886" s="5" t="str">
        <f aca="false">IF(I886="","",INDEX(J_NO,I886))</f>
        <v>JU-1290</v>
      </c>
      <c r="D886" s="5" t="str">
        <f aca="false">IF(I886="","",INDEX(J_KET,I886))</f>
        <v>Realisasi EDC/QRIS omzet bulan September</v>
      </c>
      <c r="E886" s="5" t="str">
        <f aca="false">IF(I886="","",IF(INDEX(J_DEB,I886)=$C$3,INDEX(J_KRE,I886),INDEX(J_DEB,I886)))</f>
        <v>Piutang Usaha Cafe</v>
      </c>
      <c r="F886" s="44" t="n">
        <f aca="false">IF(I886="","",IF(INDEX(J_DEB,I886)=$C$3,INDEX(J_NOM,I886),0))</f>
        <v>70171320</v>
      </c>
      <c r="G886" s="44" t="n">
        <f aca="false">IF(I886="","",IF(INDEX(J_KRE,I886)=$C$3,INDEX(J_NOM,I886),0))</f>
        <v>0</v>
      </c>
      <c r="H886" s="44" t="n">
        <f aca="false">IF(I886="","",N(H885)+IF($C$5="Debet",F886-G886,G886-F886))</f>
        <v>-2739792</v>
      </c>
      <c r="I886" s="66" t="n">
        <f aca="false">IF(J886&gt;$K$1,"",IFERROR(MATCH(J886,J_BB,0),""))</f>
        <v>1290</v>
      </c>
      <c r="J886" s="66" t="n">
        <v>877</v>
      </c>
      <c r="K886" s="5"/>
    </row>
    <row r="887" customFormat="false" ht="15" hidden="false" customHeight="false" outlineLevel="0" collapsed="false">
      <c r="A887" s="5" t="str">
        <f aca="false">IF(I887="","",J887)</f>
        <v/>
      </c>
      <c r="B887" s="83" t="str">
        <f aca="false">IF(I887="","",INDEX(J_TGL,I887))</f>
        <v/>
      </c>
      <c r="C887" s="5" t="str">
        <f aca="false">IF(I887="","",INDEX(J_NO,I887))</f>
        <v/>
      </c>
      <c r="D887" s="5" t="str">
        <f aca="false">IF(I887="","",INDEX(J_KET,I887))</f>
        <v/>
      </c>
      <c r="E887" s="5" t="str">
        <f aca="false">IF(I887="","",IF(INDEX(J_DEB,I887)=$C$3,INDEX(J_KRE,I887),INDEX(J_DEB,I887)))</f>
        <v/>
      </c>
      <c r="F887" s="44" t="str">
        <f aca="false">IF(I887="","",IF(INDEX(J_DEB,I887)=$C$3,INDEX(J_NOM,I887),0))</f>
        <v/>
      </c>
      <c r="G887" s="44" t="str">
        <f aca="false">IF(I887="","",IF(INDEX(J_KRE,I887)=$C$3,INDEX(J_NOM,I887),0))</f>
        <v/>
      </c>
      <c r="H887" s="44" t="str">
        <f aca="false">IF(I887="","",N(H886)+IF($C$5="Debet",F887-G887,G887-F887))</f>
        <v/>
      </c>
      <c r="I887" s="66" t="str">
        <f aca="false">IF(J887&gt;$K$1,"",IFERROR(MATCH(J887,J_BB,0),""))</f>
        <v/>
      </c>
      <c r="J887" s="66" t="n">
        <v>878</v>
      </c>
      <c r="K887" s="5"/>
    </row>
    <row r="888" customFormat="false" ht="15" hidden="false" customHeight="false" outlineLevel="0" collapsed="false">
      <c r="A888" s="5" t="str">
        <f aca="false">IF(I888="","",J888)</f>
        <v/>
      </c>
      <c r="B888" s="83" t="str">
        <f aca="false">IF(I888="","",INDEX(J_TGL,I888))</f>
        <v/>
      </c>
      <c r="C888" s="5" t="str">
        <f aca="false">IF(I888="","",INDEX(J_NO,I888))</f>
        <v/>
      </c>
      <c r="D888" s="5" t="str">
        <f aca="false">IF(I888="","",INDEX(J_KET,I888))</f>
        <v/>
      </c>
      <c r="E888" s="5" t="str">
        <f aca="false">IF(I888="","",IF(INDEX(J_DEB,I888)=$C$3,INDEX(J_KRE,I888),INDEX(J_DEB,I888)))</f>
        <v/>
      </c>
      <c r="F888" s="44" t="str">
        <f aca="false">IF(I888="","",IF(INDEX(J_DEB,I888)=$C$3,INDEX(J_NOM,I888),0))</f>
        <v/>
      </c>
      <c r="G888" s="44" t="str">
        <f aca="false">IF(I888="","",IF(INDEX(J_KRE,I888)=$C$3,INDEX(J_NOM,I888),0))</f>
        <v/>
      </c>
      <c r="H888" s="44" t="str">
        <f aca="false">IF(I888="","",N(H887)+IF($C$5="Debet",F888-G888,G888-F888))</f>
        <v/>
      </c>
      <c r="I888" s="66" t="str">
        <f aca="false">IF(J888&gt;$K$1,"",IFERROR(MATCH(J888,J_BB,0),""))</f>
        <v/>
      </c>
      <c r="J888" s="66" t="n">
        <v>879</v>
      </c>
      <c r="K888" s="5"/>
    </row>
    <row r="889" customFormat="false" ht="15" hidden="false" customHeight="false" outlineLevel="0" collapsed="false">
      <c r="A889" s="5" t="str">
        <f aca="false">IF(I889="","",J889)</f>
        <v/>
      </c>
      <c r="B889" s="83" t="str">
        <f aca="false">IF(I889="","",INDEX(J_TGL,I889))</f>
        <v/>
      </c>
      <c r="C889" s="5" t="str">
        <f aca="false">IF(I889="","",INDEX(J_NO,I889))</f>
        <v/>
      </c>
      <c r="D889" s="5" t="str">
        <f aca="false">IF(I889="","",INDEX(J_KET,I889))</f>
        <v/>
      </c>
      <c r="E889" s="5" t="str">
        <f aca="false">IF(I889="","",IF(INDEX(J_DEB,I889)=$C$3,INDEX(J_KRE,I889),INDEX(J_DEB,I889)))</f>
        <v/>
      </c>
      <c r="F889" s="44" t="str">
        <f aca="false">IF(I889="","",IF(INDEX(J_DEB,I889)=$C$3,INDEX(J_NOM,I889),0))</f>
        <v/>
      </c>
      <c r="G889" s="44" t="str">
        <f aca="false">IF(I889="","",IF(INDEX(J_KRE,I889)=$C$3,INDEX(J_NOM,I889),0))</f>
        <v/>
      </c>
      <c r="H889" s="44" t="str">
        <f aca="false">IF(I889="","",N(H888)+IF($C$5="Debet",F889-G889,G889-F889))</f>
        <v/>
      </c>
      <c r="I889" s="66" t="str">
        <f aca="false">IF(J889&gt;$K$1,"",IFERROR(MATCH(J889,J_BB,0),""))</f>
        <v/>
      </c>
      <c r="J889" s="66" t="n">
        <v>880</v>
      </c>
      <c r="K889" s="5"/>
    </row>
    <row r="890" customFormat="false" ht="15" hidden="false" customHeight="false" outlineLevel="0" collapsed="false">
      <c r="A890" s="5" t="str">
        <f aca="false">IF(I890="","",J890)</f>
        <v/>
      </c>
      <c r="B890" s="83" t="str">
        <f aca="false">IF(I890="","",INDEX(J_TGL,I890))</f>
        <v/>
      </c>
      <c r="C890" s="5" t="str">
        <f aca="false">IF(I890="","",INDEX(J_NO,I890))</f>
        <v/>
      </c>
      <c r="D890" s="5" t="str">
        <f aca="false">IF(I890="","",INDEX(J_KET,I890))</f>
        <v/>
      </c>
      <c r="E890" s="5" t="str">
        <f aca="false">IF(I890="","",IF(INDEX(J_DEB,I890)=$C$3,INDEX(J_KRE,I890),INDEX(J_DEB,I890)))</f>
        <v/>
      </c>
      <c r="F890" s="44" t="str">
        <f aca="false">IF(I890="","",IF(INDEX(J_DEB,I890)=$C$3,INDEX(J_NOM,I890),0))</f>
        <v/>
      </c>
      <c r="G890" s="44" t="str">
        <f aca="false">IF(I890="","",IF(INDEX(J_KRE,I890)=$C$3,INDEX(J_NOM,I890),0))</f>
        <v/>
      </c>
      <c r="H890" s="44" t="str">
        <f aca="false">IF(I890="","",N(H889)+IF($C$5="Debet",F890-G890,G890-F890))</f>
        <v/>
      </c>
      <c r="I890" s="66" t="str">
        <f aca="false">IF(J890&gt;$K$1,"",IFERROR(MATCH(J890,J_BB,0),""))</f>
        <v/>
      </c>
      <c r="J890" s="66" t="n">
        <v>881</v>
      </c>
      <c r="K890" s="5"/>
    </row>
    <row r="891" customFormat="false" ht="15" hidden="false" customHeight="false" outlineLevel="0" collapsed="false">
      <c r="A891" s="5" t="str">
        <f aca="false">IF(I891="","",J891)</f>
        <v/>
      </c>
      <c r="B891" s="83" t="str">
        <f aca="false">IF(I891="","",INDEX(J_TGL,I891))</f>
        <v/>
      </c>
      <c r="C891" s="5" t="str">
        <f aca="false">IF(I891="","",INDEX(J_NO,I891))</f>
        <v/>
      </c>
      <c r="D891" s="5" t="str">
        <f aca="false">IF(I891="","",INDEX(J_KET,I891))</f>
        <v/>
      </c>
      <c r="E891" s="5" t="str">
        <f aca="false">IF(I891="","",IF(INDEX(J_DEB,I891)=$C$3,INDEX(J_KRE,I891),INDEX(J_DEB,I891)))</f>
        <v/>
      </c>
      <c r="F891" s="44" t="str">
        <f aca="false">IF(I891="","",IF(INDEX(J_DEB,I891)=$C$3,INDEX(J_NOM,I891),0))</f>
        <v/>
      </c>
      <c r="G891" s="44" t="str">
        <f aca="false">IF(I891="","",IF(INDEX(J_KRE,I891)=$C$3,INDEX(J_NOM,I891),0))</f>
        <v/>
      </c>
      <c r="H891" s="44" t="str">
        <f aca="false">IF(I891="","",N(H890)+IF($C$5="Debet",F891-G891,G891-F891))</f>
        <v/>
      </c>
      <c r="I891" s="66" t="str">
        <f aca="false">IF(J891&gt;$K$1,"",IFERROR(MATCH(J891,J_BB,0),""))</f>
        <v/>
      </c>
      <c r="J891" s="66" t="n">
        <v>882</v>
      </c>
      <c r="K891" s="5"/>
    </row>
    <row r="892" customFormat="false" ht="15" hidden="false" customHeight="false" outlineLevel="0" collapsed="false">
      <c r="A892" s="5" t="str">
        <f aca="false">IF(I892="","",J892)</f>
        <v/>
      </c>
      <c r="B892" s="83" t="str">
        <f aca="false">IF(I892="","",INDEX(J_TGL,I892))</f>
        <v/>
      </c>
      <c r="C892" s="5" t="str">
        <f aca="false">IF(I892="","",INDEX(J_NO,I892))</f>
        <v/>
      </c>
      <c r="D892" s="5" t="str">
        <f aca="false">IF(I892="","",INDEX(J_KET,I892))</f>
        <v/>
      </c>
      <c r="E892" s="5" t="str">
        <f aca="false">IF(I892="","",IF(INDEX(J_DEB,I892)=$C$3,INDEX(J_KRE,I892),INDEX(J_DEB,I892)))</f>
        <v/>
      </c>
      <c r="F892" s="44" t="str">
        <f aca="false">IF(I892="","",IF(INDEX(J_DEB,I892)=$C$3,INDEX(J_NOM,I892),0))</f>
        <v/>
      </c>
      <c r="G892" s="44" t="str">
        <f aca="false">IF(I892="","",IF(INDEX(J_KRE,I892)=$C$3,INDEX(J_NOM,I892),0))</f>
        <v/>
      </c>
      <c r="H892" s="44" t="str">
        <f aca="false">IF(I892="","",N(H891)+IF($C$5="Debet",F892-G892,G892-F892))</f>
        <v/>
      </c>
      <c r="I892" s="66" t="str">
        <f aca="false">IF(J892&gt;$K$1,"",IFERROR(MATCH(J892,J_BB,0),""))</f>
        <v/>
      </c>
      <c r="J892" s="66" t="n">
        <v>883</v>
      </c>
      <c r="K892" s="5"/>
    </row>
    <row r="893" customFormat="false" ht="15" hidden="false" customHeight="false" outlineLevel="0" collapsed="false">
      <c r="A893" s="5" t="str">
        <f aca="false">IF(I893="","",J893)</f>
        <v/>
      </c>
      <c r="B893" s="83" t="str">
        <f aca="false">IF(I893="","",INDEX(J_TGL,I893))</f>
        <v/>
      </c>
      <c r="C893" s="5" t="str">
        <f aca="false">IF(I893="","",INDEX(J_NO,I893))</f>
        <v/>
      </c>
      <c r="D893" s="5" t="str">
        <f aca="false">IF(I893="","",INDEX(J_KET,I893))</f>
        <v/>
      </c>
      <c r="E893" s="5" t="str">
        <f aca="false">IF(I893="","",IF(INDEX(J_DEB,I893)=$C$3,INDEX(J_KRE,I893),INDEX(J_DEB,I893)))</f>
        <v/>
      </c>
      <c r="F893" s="44" t="str">
        <f aca="false">IF(I893="","",IF(INDEX(J_DEB,I893)=$C$3,INDEX(J_NOM,I893),0))</f>
        <v/>
      </c>
      <c r="G893" s="44" t="str">
        <f aca="false">IF(I893="","",IF(INDEX(J_KRE,I893)=$C$3,INDEX(J_NOM,I893),0))</f>
        <v/>
      </c>
      <c r="H893" s="44" t="str">
        <f aca="false">IF(I893="","",N(H892)+IF($C$5="Debet",F893-G893,G893-F893))</f>
        <v/>
      </c>
      <c r="I893" s="66" t="str">
        <f aca="false">IF(J893&gt;$K$1,"",IFERROR(MATCH(J893,J_BB,0),""))</f>
        <v/>
      </c>
      <c r="J893" s="66" t="n">
        <v>884</v>
      </c>
      <c r="K893" s="5"/>
    </row>
    <row r="894" customFormat="false" ht="15" hidden="false" customHeight="false" outlineLevel="0" collapsed="false">
      <c r="A894" s="5" t="str">
        <f aca="false">IF(I894="","",J894)</f>
        <v/>
      </c>
      <c r="B894" s="83" t="str">
        <f aca="false">IF(I894="","",INDEX(J_TGL,I894))</f>
        <v/>
      </c>
      <c r="C894" s="5" t="str">
        <f aca="false">IF(I894="","",INDEX(J_NO,I894))</f>
        <v/>
      </c>
      <c r="D894" s="5" t="str">
        <f aca="false">IF(I894="","",INDEX(J_KET,I894))</f>
        <v/>
      </c>
      <c r="E894" s="5" t="str">
        <f aca="false">IF(I894="","",IF(INDEX(J_DEB,I894)=$C$3,INDEX(J_KRE,I894),INDEX(J_DEB,I894)))</f>
        <v/>
      </c>
      <c r="F894" s="44" t="str">
        <f aca="false">IF(I894="","",IF(INDEX(J_DEB,I894)=$C$3,INDEX(J_NOM,I894),0))</f>
        <v/>
      </c>
      <c r="G894" s="44" t="str">
        <f aca="false">IF(I894="","",IF(INDEX(J_KRE,I894)=$C$3,INDEX(J_NOM,I894),0))</f>
        <v/>
      </c>
      <c r="H894" s="44" t="str">
        <f aca="false">IF(I894="","",N(H893)+IF($C$5="Debet",F894-G894,G894-F894))</f>
        <v/>
      </c>
      <c r="I894" s="66" t="str">
        <f aca="false">IF(J894&gt;$K$1,"",IFERROR(MATCH(J894,J_BB,0),""))</f>
        <v/>
      </c>
      <c r="J894" s="66" t="n">
        <v>885</v>
      </c>
      <c r="K894" s="5"/>
    </row>
    <row r="895" customFormat="false" ht="15" hidden="false" customHeight="false" outlineLevel="0" collapsed="false">
      <c r="A895" s="5" t="str">
        <f aca="false">IF(I895="","",J895)</f>
        <v/>
      </c>
      <c r="B895" s="83" t="str">
        <f aca="false">IF(I895="","",INDEX(J_TGL,I895))</f>
        <v/>
      </c>
      <c r="C895" s="5" t="str">
        <f aca="false">IF(I895="","",INDEX(J_NO,I895))</f>
        <v/>
      </c>
      <c r="D895" s="5" t="str">
        <f aca="false">IF(I895="","",INDEX(J_KET,I895))</f>
        <v/>
      </c>
      <c r="E895" s="5" t="str">
        <f aca="false">IF(I895="","",IF(INDEX(J_DEB,I895)=$C$3,INDEX(J_KRE,I895),INDEX(J_DEB,I895)))</f>
        <v/>
      </c>
      <c r="F895" s="44" t="str">
        <f aca="false">IF(I895="","",IF(INDEX(J_DEB,I895)=$C$3,INDEX(J_NOM,I895),0))</f>
        <v/>
      </c>
      <c r="G895" s="44" t="str">
        <f aca="false">IF(I895="","",IF(INDEX(J_KRE,I895)=$C$3,INDEX(J_NOM,I895),0))</f>
        <v/>
      </c>
      <c r="H895" s="44" t="str">
        <f aca="false">IF(I895="","",N(H894)+IF($C$5="Debet",F895-G895,G895-F895))</f>
        <v/>
      </c>
      <c r="I895" s="66" t="str">
        <f aca="false">IF(J895&gt;$K$1,"",IFERROR(MATCH(J895,J_BB,0),""))</f>
        <v/>
      </c>
      <c r="J895" s="66" t="n">
        <v>886</v>
      </c>
      <c r="K895" s="5"/>
    </row>
    <row r="896" customFormat="false" ht="15" hidden="false" customHeight="false" outlineLevel="0" collapsed="false">
      <c r="A896" s="5" t="str">
        <f aca="false">IF(I896="","",J896)</f>
        <v/>
      </c>
      <c r="B896" s="83" t="str">
        <f aca="false">IF(I896="","",INDEX(J_TGL,I896))</f>
        <v/>
      </c>
      <c r="C896" s="5" t="str">
        <f aca="false">IF(I896="","",INDEX(J_NO,I896))</f>
        <v/>
      </c>
      <c r="D896" s="5" t="str">
        <f aca="false">IF(I896="","",INDEX(J_KET,I896))</f>
        <v/>
      </c>
      <c r="E896" s="5" t="str">
        <f aca="false">IF(I896="","",IF(INDEX(J_DEB,I896)=$C$3,INDEX(J_KRE,I896),INDEX(J_DEB,I896)))</f>
        <v/>
      </c>
      <c r="F896" s="44" t="str">
        <f aca="false">IF(I896="","",IF(INDEX(J_DEB,I896)=$C$3,INDEX(J_NOM,I896),0))</f>
        <v/>
      </c>
      <c r="G896" s="44" t="str">
        <f aca="false">IF(I896="","",IF(INDEX(J_KRE,I896)=$C$3,INDEX(J_NOM,I896),0))</f>
        <v/>
      </c>
      <c r="H896" s="44" t="str">
        <f aca="false">IF(I896="","",N(H895)+IF($C$5="Debet",F896-G896,G896-F896))</f>
        <v/>
      </c>
      <c r="I896" s="66" t="str">
        <f aca="false">IF(J896&gt;$K$1,"",IFERROR(MATCH(J896,J_BB,0),""))</f>
        <v/>
      </c>
      <c r="J896" s="66" t="n">
        <v>887</v>
      </c>
      <c r="K896" s="5"/>
    </row>
    <row r="897" customFormat="false" ht="15" hidden="false" customHeight="false" outlineLevel="0" collapsed="false">
      <c r="A897" s="5" t="str">
        <f aca="false">IF(I897="","",J897)</f>
        <v/>
      </c>
      <c r="B897" s="83" t="str">
        <f aca="false">IF(I897="","",INDEX(J_TGL,I897))</f>
        <v/>
      </c>
      <c r="C897" s="5" t="str">
        <f aca="false">IF(I897="","",INDEX(J_NO,I897))</f>
        <v/>
      </c>
      <c r="D897" s="5" t="str">
        <f aca="false">IF(I897="","",INDEX(J_KET,I897))</f>
        <v/>
      </c>
      <c r="E897" s="5" t="str">
        <f aca="false">IF(I897="","",IF(INDEX(J_DEB,I897)=$C$3,INDEX(J_KRE,I897),INDEX(J_DEB,I897)))</f>
        <v/>
      </c>
      <c r="F897" s="44" t="str">
        <f aca="false">IF(I897="","",IF(INDEX(J_DEB,I897)=$C$3,INDEX(J_NOM,I897),0))</f>
        <v/>
      </c>
      <c r="G897" s="44" t="str">
        <f aca="false">IF(I897="","",IF(INDEX(J_KRE,I897)=$C$3,INDEX(J_NOM,I897),0))</f>
        <v/>
      </c>
      <c r="H897" s="44" t="str">
        <f aca="false">IF(I897="","",N(H896)+IF($C$5="Debet",F897-G897,G897-F897))</f>
        <v/>
      </c>
      <c r="I897" s="66" t="str">
        <f aca="false">IF(J897&gt;$K$1,"",IFERROR(MATCH(J897,J_BB,0),""))</f>
        <v/>
      </c>
      <c r="J897" s="66" t="n">
        <v>888</v>
      </c>
      <c r="K897" s="5"/>
    </row>
    <row r="898" customFormat="false" ht="15" hidden="false" customHeight="false" outlineLevel="0" collapsed="false">
      <c r="A898" s="5" t="str">
        <f aca="false">IF(I898="","",J898)</f>
        <v/>
      </c>
      <c r="B898" s="83" t="str">
        <f aca="false">IF(I898="","",INDEX(J_TGL,I898))</f>
        <v/>
      </c>
      <c r="C898" s="5" t="str">
        <f aca="false">IF(I898="","",INDEX(J_NO,I898))</f>
        <v/>
      </c>
      <c r="D898" s="5" t="str">
        <f aca="false">IF(I898="","",INDEX(J_KET,I898))</f>
        <v/>
      </c>
      <c r="E898" s="5" t="str">
        <f aca="false">IF(I898="","",IF(INDEX(J_DEB,I898)=$C$3,INDEX(J_KRE,I898),INDEX(J_DEB,I898)))</f>
        <v/>
      </c>
      <c r="F898" s="44" t="str">
        <f aca="false">IF(I898="","",IF(INDEX(J_DEB,I898)=$C$3,INDEX(J_NOM,I898),0))</f>
        <v/>
      </c>
      <c r="G898" s="44" t="str">
        <f aca="false">IF(I898="","",IF(INDEX(J_KRE,I898)=$C$3,INDEX(J_NOM,I898),0))</f>
        <v/>
      </c>
      <c r="H898" s="44" t="str">
        <f aca="false">IF(I898="","",N(H897)+IF($C$5="Debet",F898-G898,G898-F898))</f>
        <v/>
      </c>
      <c r="I898" s="66" t="str">
        <f aca="false">IF(J898&gt;$K$1,"",IFERROR(MATCH(J898,J_BB,0),""))</f>
        <v/>
      </c>
      <c r="J898" s="66" t="n">
        <v>889</v>
      </c>
      <c r="K898" s="5"/>
    </row>
    <row r="899" customFormat="false" ht="15" hidden="false" customHeight="false" outlineLevel="0" collapsed="false">
      <c r="A899" s="5" t="str">
        <f aca="false">IF(I899="","",J899)</f>
        <v/>
      </c>
      <c r="B899" s="83" t="str">
        <f aca="false">IF(I899="","",INDEX(J_TGL,I899))</f>
        <v/>
      </c>
      <c r="C899" s="5" t="str">
        <f aca="false">IF(I899="","",INDEX(J_NO,I899))</f>
        <v/>
      </c>
      <c r="D899" s="5" t="str">
        <f aca="false">IF(I899="","",INDEX(J_KET,I899))</f>
        <v/>
      </c>
      <c r="E899" s="5" t="str">
        <f aca="false">IF(I899="","",IF(INDEX(J_DEB,I899)=$C$3,INDEX(J_KRE,I899),INDEX(J_DEB,I899)))</f>
        <v/>
      </c>
      <c r="F899" s="44" t="str">
        <f aca="false">IF(I899="","",IF(INDEX(J_DEB,I899)=$C$3,INDEX(J_NOM,I899),0))</f>
        <v/>
      </c>
      <c r="G899" s="44" t="str">
        <f aca="false">IF(I899="","",IF(INDEX(J_KRE,I899)=$C$3,INDEX(J_NOM,I899),0))</f>
        <v/>
      </c>
      <c r="H899" s="44" t="str">
        <f aca="false">IF(I899="","",N(H898)+IF($C$5="Debet",F899-G899,G899-F899))</f>
        <v/>
      </c>
      <c r="I899" s="66" t="str">
        <f aca="false">IF(J899&gt;$K$1,"",IFERROR(MATCH(J899,J_BB,0),""))</f>
        <v/>
      </c>
      <c r="J899" s="66" t="n">
        <v>890</v>
      </c>
      <c r="K899" s="5"/>
    </row>
    <row r="900" customFormat="false" ht="15" hidden="false" customHeight="false" outlineLevel="0" collapsed="false">
      <c r="A900" s="5" t="str">
        <f aca="false">IF(I900="","",J900)</f>
        <v/>
      </c>
      <c r="B900" s="83" t="str">
        <f aca="false">IF(I900="","",INDEX(J_TGL,I900))</f>
        <v/>
      </c>
      <c r="C900" s="5" t="str">
        <f aca="false">IF(I900="","",INDEX(J_NO,I900))</f>
        <v/>
      </c>
      <c r="D900" s="5" t="str">
        <f aca="false">IF(I900="","",INDEX(J_KET,I900))</f>
        <v/>
      </c>
      <c r="E900" s="5" t="str">
        <f aca="false">IF(I900="","",IF(INDEX(J_DEB,I900)=$C$3,INDEX(J_KRE,I900),INDEX(J_DEB,I900)))</f>
        <v/>
      </c>
      <c r="F900" s="44" t="str">
        <f aca="false">IF(I900="","",IF(INDEX(J_DEB,I900)=$C$3,INDEX(J_NOM,I900),0))</f>
        <v/>
      </c>
      <c r="G900" s="44" t="str">
        <f aca="false">IF(I900="","",IF(INDEX(J_KRE,I900)=$C$3,INDEX(J_NOM,I900),0))</f>
        <v/>
      </c>
      <c r="H900" s="44" t="str">
        <f aca="false">IF(I900="","",N(H899)+IF($C$5="Debet",F900-G900,G900-F900))</f>
        <v/>
      </c>
      <c r="I900" s="66" t="str">
        <f aca="false">IF(J900&gt;$K$1,"",IFERROR(MATCH(J900,J_BB,0),""))</f>
        <v/>
      </c>
      <c r="J900" s="66" t="n">
        <v>891</v>
      </c>
      <c r="K900" s="5"/>
    </row>
    <row r="901" customFormat="false" ht="15" hidden="false" customHeight="false" outlineLevel="0" collapsed="false">
      <c r="A901" s="5" t="str">
        <f aca="false">IF(I901="","",J901)</f>
        <v/>
      </c>
      <c r="B901" s="83" t="str">
        <f aca="false">IF(I901="","",INDEX(J_TGL,I901))</f>
        <v/>
      </c>
      <c r="C901" s="5" t="str">
        <f aca="false">IF(I901="","",INDEX(J_NO,I901))</f>
        <v/>
      </c>
      <c r="D901" s="5" t="str">
        <f aca="false">IF(I901="","",INDEX(J_KET,I901))</f>
        <v/>
      </c>
      <c r="E901" s="5" t="str">
        <f aca="false">IF(I901="","",IF(INDEX(J_DEB,I901)=$C$3,INDEX(J_KRE,I901),INDEX(J_DEB,I901)))</f>
        <v/>
      </c>
      <c r="F901" s="44" t="str">
        <f aca="false">IF(I901="","",IF(INDEX(J_DEB,I901)=$C$3,INDEX(J_NOM,I901),0))</f>
        <v/>
      </c>
      <c r="G901" s="44" t="str">
        <f aca="false">IF(I901="","",IF(INDEX(J_KRE,I901)=$C$3,INDEX(J_NOM,I901),0))</f>
        <v/>
      </c>
      <c r="H901" s="44" t="str">
        <f aca="false">IF(I901="","",N(H900)+IF($C$5="Debet",F901-G901,G901-F901))</f>
        <v/>
      </c>
      <c r="I901" s="66" t="str">
        <f aca="false">IF(J901&gt;$K$1,"",IFERROR(MATCH(J901,J_BB,0),""))</f>
        <v/>
      </c>
      <c r="J901" s="66" t="n">
        <v>892</v>
      </c>
      <c r="K901" s="5"/>
    </row>
    <row r="902" customFormat="false" ht="15" hidden="false" customHeight="false" outlineLevel="0" collapsed="false">
      <c r="A902" s="5" t="str">
        <f aca="false">IF(I902="","",J902)</f>
        <v/>
      </c>
      <c r="B902" s="83" t="str">
        <f aca="false">IF(I902="","",INDEX(J_TGL,I902))</f>
        <v/>
      </c>
      <c r="C902" s="5" t="str">
        <f aca="false">IF(I902="","",INDEX(J_NO,I902))</f>
        <v/>
      </c>
      <c r="D902" s="5" t="str">
        <f aca="false">IF(I902="","",INDEX(J_KET,I902))</f>
        <v/>
      </c>
      <c r="E902" s="5" t="str">
        <f aca="false">IF(I902="","",IF(INDEX(J_DEB,I902)=$C$3,INDEX(J_KRE,I902),INDEX(J_DEB,I902)))</f>
        <v/>
      </c>
      <c r="F902" s="44" t="str">
        <f aca="false">IF(I902="","",IF(INDEX(J_DEB,I902)=$C$3,INDEX(J_NOM,I902),0))</f>
        <v/>
      </c>
      <c r="G902" s="44" t="str">
        <f aca="false">IF(I902="","",IF(INDEX(J_KRE,I902)=$C$3,INDEX(J_NOM,I902),0))</f>
        <v/>
      </c>
      <c r="H902" s="44" t="str">
        <f aca="false">IF(I902="","",N(H901)+IF($C$5="Debet",F902-G902,G902-F902))</f>
        <v/>
      </c>
      <c r="I902" s="66" t="str">
        <f aca="false">IF(J902&gt;$K$1,"",IFERROR(MATCH(J902,J_BB,0),""))</f>
        <v/>
      </c>
      <c r="J902" s="66" t="n">
        <v>893</v>
      </c>
      <c r="K902" s="5"/>
    </row>
    <row r="903" customFormat="false" ht="15" hidden="false" customHeight="false" outlineLevel="0" collapsed="false">
      <c r="A903" s="5" t="str">
        <f aca="false">IF(I903="","",J903)</f>
        <v/>
      </c>
      <c r="B903" s="83" t="str">
        <f aca="false">IF(I903="","",INDEX(J_TGL,I903))</f>
        <v/>
      </c>
      <c r="C903" s="5" t="str">
        <f aca="false">IF(I903="","",INDEX(J_NO,I903))</f>
        <v/>
      </c>
      <c r="D903" s="5" t="str">
        <f aca="false">IF(I903="","",INDEX(J_KET,I903))</f>
        <v/>
      </c>
      <c r="E903" s="5" t="str">
        <f aca="false">IF(I903="","",IF(INDEX(J_DEB,I903)=$C$3,INDEX(J_KRE,I903),INDEX(J_DEB,I903)))</f>
        <v/>
      </c>
      <c r="F903" s="44" t="str">
        <f aca="false">IF(I903="","",IF(INDEX(J_DEB,I903)=$C$3,INDEX(J_NOM,I903),0))</f>
        <v/>
      </c>
      <c r="G903" s="44" t="str">
        <f aca="false">IF(I903="","",IF(INDEX(J_KRE,I903)=$C$3,INDEX(J_NOM,I903),0))</f>
        <v/>
      </c>
      <c r="H903" s="44" t="str">
        <f aca="false">IF(I903="","",N(H902)+IF($C$5="Debet",F903-G903,G903-F903))</f>
        <v/>
      </c>
      <c r="I903" s="66" t="str">
        <f aca="false">IF(J903&gt;$K$1,"",IFERROR(MATCH(J903,J_BB,0),""))</f>
        <v/>
      </c>
      <c r="J903" s="66" t="n">
        <v>894</v>
      </c>
      <c r="K903" s="5"/>
    </row>
    <row r="904" customFormat="false" ht="15" hidden="false" customHeight="false" outlineLevel="0" collapsed="false">
      <c r="A904" s="5" t="str">
        <f aca="false">IF(I904="","",J904)</f>
        <v/>
      </c>
      <c r="B904" s="83" t="str">
        <f aca="false">IF(I904="","",INDEX(J_TGL,I904))</f>
        <v/>
      </c>
      <c r="C904" s="5" t="str">
        <f aca="false">IF(I904="","",INDEX(J_NO,I904))</f>
        <v/>
      </c>
      <c r="D904" s="5" t="str">
        <f aca="false">IF(I904="","",INDEX(J_KET,I904))</f>
        <v/>
      </c>
      <c r="E904" s="5" t="str">
        <f aca="false">IF(I904="","",IF(INDEX(J_DEB,I904)=$C$3,INDEX(J_KRE,I904),INDEX(J_DEB,I904)))</f>
        <v/>
      </c>
      <c r="F904" s="44" t="str">
        <f aca="false">IF(I904="","",IF(INDEX(J_DEB,I904)=$C$3,INDEX(J_NOM,I904),0))</f>
        <v/>
      </c>
      <c r="G904" s="44" t="str">
        <f aca="false">IF(I904="","",IF(INDEX(J_KRE,I904)=$C$3,INDEX(J_NOM,I904),0))</f>
        <v/>
      </c>
      <c r="H904" s="44" t="str">
        <f aca="false">IF(I904="","",N(H903)+IF($C$5="Debet",F904-G904,G904-F904))</f>
        <v/>
      </c>
      <c r="I904" s="66" t="str">
        <f aca="false">IF(J904&gt;$K$1,"",IFERROR(MATCH(J904,J_BB,0),""))</f>
        <v/>
      </c>
      <c r="J904" s="66" t="n">
        <v>895</v>
      </c>
      <c r="K904" s="5"/>
    </row>
    <row r="905" customFormat="false" ht="15" hidden="false" customHeight="false" outlineLevel="0" collapsed="false">
      <c r="A905" s="5" t="str">
        <f aca="false">IF(I905="","",J905)</f>
        <v/>
      </c>
      <c r="B905" s="83" t="str">
        <f aca="false">IF(I905="","",INDEX(J_TGL,I905))</f>
        <v/>
      </c>
      <c r="C905" s="5" t="str">
        <f aca="false">IF(I905="","",INDEX(J_NO,I905))</f>
        <v/>
      </c>
      <c r="D905" s="5" t="str">
        <f aca="false">IF(I905="","",INDEX(J_KET,I905))</f>
        <v/>
      </c>
      <c r="E905" s="5" t="str">
        <f aca="false">IF(I905="","",IF(INDEX(J_DEB,I905)=$C$3,INDEX(J_KRE,I905),INDEX(J_DEB,I905)))</f>
        <v/>
      </c>
      <c r="F905" s="44" t="str">
        <f aca="false">IF(I905="","",IF(INDEX(J_DEB,I905)=$C$3,INDEX(J_NOM,I905),0))</f>
        <v/>
      </c>
      <c r="G905" s="44" t="str">
        <f aca="false">IF(I905="","",IF(INDEX(J_KRE,I905)=$C$3,INDEX(J_NOM,I905),0))</f>
        <v/>
      </c>
      <c r="H905" s="44" t="str">
        <f aca="false">IF(I905="","",N(H904)+IF($C$5="Debet",F905-G905,G905-F905))</f>
        <v/>
      </c>
      <c r="I905" s="66" t="str">
        <f aca="false">IF(J905&gt;$K$1,"",IFERROR(MATCH(J905,J_BB,0),""))</f>
        <v/>
      </c>
      <c r="J905" s="66" t="n">
        <v>896</v>
      </c>
      <c r="K905" s="5"/>
    </row>
    <row r="906" customFormat="false" ht="15" hidden="false" customHeight="false" outlineLevel="0" collapsed="false">
      <c r="A906" s="5" t="str">
        <f aca="false">IF(I906="","",J906)</f>
        <v/>
      </c>
      <c r="B906" s="83" t="str">
        <f aca="false">IF(I906="","",INDEX(J_TGL,I906))</f>
        <v/>
      </c>
      <c r="C906" s="5" t="str">
        <f aca="false">IF(I906="","",INDEX(J_NO,I906))</f>
        <v/>
      </c>
      <c r="D906" s="5" t="str">
        <f aca="false">IF(I906="","",INDEX(J_KET,I906))</f>
        <v/>
      </c>
      <c r="E906" s="5" t="str">
        <f aca="false">IF(I906="","",IF(INDEX(J_DEB,I906)=$C$3,INDEX(J_KRE,I906),INDEX(J_DEB,I906)))</f>
        <v/>
      </c>
      <c r="F906" s="44" t="str">
        <f aca="false">IF(I906="","",IF(INDEX(J_DEB,I906)=$C$3,INDEX(J_NOM,I906),0))</f>
        <v/>
      </c>
      <c r="G906" s="44" t="str">
        <f aca="false">IF(I906="","",IF(INDEX(J_KRE,I906)=$C$3,INDEX(J_NOM,I906),0))</f>
        <v/>
      </c>
      <c r="H906" s="44" t="str">
        <f aca="false">IF(I906="","",N(H905)+IF($C$5="Debet",F906-G906,G906-F906))</f>
        <v/>
      </c>
      <c r="I906" s="66" t="str">
        <f aca="false">IF(J906&gt;$K$1,"",IFERROR(MATCH(J906,J_BB,0),""))</f>
        <v/>
      </c>
      <c r="J906" s="66" t="n">
        <v>897</v>
      </c>
      <c r="K906" s="5"/>
    </row>
    <row r="907" customFormat="false" ht="15" hidden="false" customHeight="false" outlineLevel="0" collapsed="false">
      <c r="A907" s="5" t="str">
        <f aca="false">IF(I907="","",J907)</f>
        <v/>
      </c>
      <c r="B907" s="83" t="str">
        <f aca="false">IF(I907="","",INDEX(J_TGL,I907))</f>
        <v/>
      </c>
      <c r="C907" s="5" t="str">
        <f aca="false">IF(I907="","",INDEX(J_NO,I907))</f>
        <v/>
      </c>
      <c r="D907" s="5" t="str">
        <f aca="false">IF(I907="","",INDEX(J_KET,I907))</f>
        <v/>
      </c>
      <c r="E907" s="5" t="str">
        <f aca="false">IF(I907="","",IF(INDEX(J_DEB,I907)=$C$3,INDEX(J_KRE,I907),INDEX(J_DEB,I907)))</f>
        <v/>
      </c>
      <c r="F907" s="44" t="str">
        <f aca="false">IF(I907="","",IF(INDEX(J_DEB,I907)=$C$3,INDEX(J_NOM,I907),0))</f>
        <v/>
      </c>
      <c r="G907" s="44" t="str">
        <f aca="false">IF(I907="","",IF(INDEX(J_KRE,I907)=$C$3,INDEX(J_NOM,I907),0))</f>
        <v/>
      </c>
      <c r="H907" s="44" t="str">
        <f aca="false">IF(I907="","",N(H906)+IF($C$5="Debet",F907-G907,G907-F907))</f>
        <v/>
      </c>
      <c r="I907" s="66" t="str">
        <f aca="false">IF(J907&gt;$K$1,"",IFERROR(MATCH(J907,J_BB,0),""))</f>
        <v/>
      </c>
      <c r="J907" s="66" t="n">
        <v>898</v>
      </c>
      <c r="K907" s="5"/>
    </row>
    <row r="908" customFormat="false" ht="15" hidden="false" customHeight="false" outlineLevel="0" collapsed="false">
      <c r="A908" s="5" t="str">
        <f aca="false">IF(I908="","",J908)</f>
        <v/>
      </c>
      <c r="B908" s="83" t="str">
        <f aca="false">IF(I908="","",INDEX(J_TGL,I908))</f>
        <v/>
      </c>
      <c r="C908" s="5" t="str">
        <f aca="false">IF(I908="","",INDEX(J_NO,I908))</f>
        <v/>
      </c>
      <c r="D908" s="5" t="str">
        <f aca="false">IF(I908="","",INDEX(J_KET,I908))</f>
        <v/>
      </c>
      <c r="E908" s="5" t="str">
        <f aca="false">IF(I908="","",IF(INDEX(J_DEB,I908)=$C$3,INDEX(J_KRE,I908),INDEX(J_DEB,I908)))</f>
        <v/>
      </c>
      <c r="F908" s="44" t="str">
        <f aca="false">IF(I908="","",IF(INDEX(J_DEB,I908)=$C$3,INDEX(J_NOM,I908),0))</f>
        <v/>
      </c>
      <c r="G908" s="44" t="str">
        <f aca="false">IF(I908="","",IF(INDEX(J_KRE,I908)=$C$3,INDEX(J_NOM,I908),0))</f>
        <v/>
      </c>
      <c r="H908" s="44" t="str">
        <f aca="false">IF(I908="","",N(H907)+IF($C$5="Debet",F908-G908,G908-F908))</f>
        <v/>
      </c>
      <c r="I908" s="66" t="str">
        <f aca="false">IF(J908&gt;$K$1,"",IFERROR(MATCH(J908,J_BB,0),""))</f>
        <v/>
      </c>
      <c r="J908" s="66" t="n">
        <v>899</v>
      </c>
      <c r="K908" s="5"/>
    </row>
    <row r="909" customFormat="false" ht="15" hidden="false" customHeight="false" outlineLevel="0" collapsed="false">
      <c r="A909" s="5" t="str">
        <f aca="false">IF(I909="","",J909)</f>
        <v/>
      </c>
      <c r="B909" s="83" t="str">
        <f aca="false">IF(I909="","",INDEX(J_TGL,I909))</f>
        <v/>
      </c>
      <c r="C909" s="5" t="str">
        <f aca="false">IF(I909="","",INDEX(J_NO,I909))</f>
        <v/>
      </c>
      <c r="D909" s="5" t="str">
        <f aca="false">IF(I909="","",INDEX(J_KET,I909))</f>
        <v/>
      </c>
      <c r="E909" s="5" t="str">
        <f aca="false">IF(I909="","",IF(INDEX(J_DEB,I909)=$C$3,INDEX(J_KRE,I909),INDEX(J_DEB,I909)))</f>
        <v/>
      </c>
      <c r="F909" s="44" t="str">
        <f aca="false">IF(I909="","",IF(INDEX(J_DEB,I909)=$C$3,INDEX(J_NOM,I909),0))</f>
        <v/>
      </c>
      <c r="G909" s="44" t="str">
        <f aca="false">IF(I909="","",IF(INDEX(J_KRE,I909)=$C$3,INDEX(J_NOM,I909),0))</f>
        <v/>
      </c>
      <c r="H909" s="44" t="str">
        <f aca="false">IF(I909="","",N(H908)+IF($C$5="Debet",F909-G909,G909-F909))</f>
        <v/>
      </c>
      <c r="I909" s="66" t="str">
        <f aca="false">IF(J909&gt;$K$1,"",IFERROR(MATCH(J909,J_BB,0),""))</f>
        <v/>
      </c>
      <c r="J909" s="66" t="n">
        <v>900</v>
      </c>
      <c r="K909" s="5"/>
    </row>
    <row r="910" customFormat="false" ht="15" hidden="false" customHeight="false" outlineLevel="0" collapsed="false">
      <c r="A910" s="5" t="str">
        <f aca="false">IF(I910="","",J910)</f>
        <v/>
      </c>
      <c r="B910" s="83" t="str">
        <f aca="false">IF(I910="","",INDEX(J_TGL,I910))</f>
        <v/>
      </c>
      <c r="C910" s="5" t="str">
        <f aca="false">IF(I910="","",INDEX(J_NO,I910))</f>
        <v/>
      </c>
      <c r="D910" s="5" t="str">
        <f aca="false">IF(I910="","",INDEX(J_KET,I910))</f>
        <v/>
      </c>
      <c r="E910" s="5" t="str">
        <f aca="false">IF(I910="","",IF(INDEX(J_DEB,I910)=$C$3,INDEX(J_KRE,I910),INDEX(J_DEB,I910)))</f>
        <v/>
      </c>
      <c r="F910" s="44" t="str">
        <f aca="false">IF(I910="","",IF(INDEX(J_DEB,I910)=$C$3,INDEX(J_NOM,I910),0))</f>
        <v/>
      </c>
      <c r="G910" s="44" t="str">
        <f aca="false">IF(I910="","",IF(INDEX(J_KRE,I910)=$C$3,INDEX(J_NOM,I910),0))</f>
        <v/>
      </c>
      <c r="H910" s="44" t="str">
        <f aca="false">IF(I910="","",N(H909)+IF($C$5="Debet",F910-G910,G910-F910))</f>
        <v/>
      </c>
      <c r="I910" s="66" t="str">
        <f aca="false">IF(J910&gt;$K$1,"",IFERROR(MATCH(J910,J_BB,0),""))</f>
        <v/>
      </c>
      <c r="J910" s="66" t="n">
        <v>901</v>
      </c>
      <c r="K910" s="5"/>
    </row>
    <row r="911" customFormat="false" ht="15" hidden="false" customHeight="false" outlineLevel="0" collapsed="false">
      <c r="A911" s="5" t="str">
        <f aca="false">IF(I911="","",J911)</f>
        <v/>
      </c>
      <c r="B911" s="83" t="str">
        <f aca="false">IF(I911="","",INDEX(J_TGL,I911))</f>
        <v/>
      </c>
      <c r="C911" s="5" t="str">
        <f aca="false">IF(I911="","",INDEX(J_NO,I911))</f>
        <v/>
      </c>
      <c r="D911" s="5" t="str">
        <f aca="false">IF(I911="","",INDEX(J_KET,I911))</f>
        <v/>
      </c>
      <c r="E911" s="5" t="str">
        <f aca="false">IF(I911="","",IF(INDEX(J_DEB,I911)=$C$3,INDEX(J_KRE,I911),INDEX(J_DEB,I911)))</f>
        <v/>
      </c>
      <c r="F911" s="44" t="str">
        <f aca="false">IF(I911="","",IF(INDEX(J_DEB,I911)=$C$3,INDEX(J_NOM,I911),0))</f>
        <v/>
      </c>
      <c r="G911" s="44" t="str">
        <f aca="false">IF(I911="","",IF(INDEX(J_KRE,I911)=$C$3,INDEX(J_NOM,I911),0))</f>
        <v/>
      </c>
      <c r="H911" s="44" t="str">
        <f aca="false">IF(I911="","",N(H910)+IF($C$5="Debet",F911-G911,G911-F911))</f>
        <v/>
      </c>
      <c r="I911" s="66" t="str">
        <f aca="false">IF(J911&gt;$K$1,"",IFERROR(MATCH(J911,J_BB,0),""))</f>
        <v/>
      </c>
      <c r="J911" s="66" t="n">
        <v>902</v>
      </c>
      <c r="K911" s="5"/>
    </row>
    <row r="912" customFormat="false" ht="15" hidden="false" customHeight="false" outlineLevel="0" collapsed="false">
      <c r="A912" s="5" t="str">
        <f aca="false">IF(I912="","",J912)</f>
        <v/>
      </c>
      <c r="B912" s="83" t="str">
        <f aca="false">IF(I912="","",INDEX(J_TGL,I912))</f>
        <v/>
      </c>
      <c r="C912" s="5" t="str">
        <f aca="false">IF(I912="","",INDEX(J_NO,I912))</f>
        <v/>
      </c>
      <c r="D912" s="5" t="str">
        <f aca="false">IF(I912="","",INDEX(J_KET,I912))</f>
        <v/>
      </c>
      <c r="E912" s="5" t="str">
        <f aca="false">IF(I912="","",IF(INDEX(J_DEB,I912)=$C$3,INDEX(J_KRE,I912),INDEX(J_DEB,I912)))</f>
        <v/>
      </c>
      <c r="F912" s="44" t="str">
        <f aca="false">IF(I912="","",IF(INDEX(J_DEB,I912)=$C$3,INDEX(J_NOM,I912),0))</f>
        <v/>
      </c>
      <c r="G912" s="44" t="str">
        <f aca="false">IF(I912="","",IF(INDEX(J_KRE,I912)=$C$3,INDEX(J_NOM,I912),0))</f>
        <v/>
      </c>
      <c r="H912" s="44" t="str">
        <f aca="false">IF(I912="","",N(H911)+IF($C$5="Debet",F912-G912,G912-F912))</f>
        <v/>
      </c>
      <c r="I912" s="66" t="str">
        <f aca="false">IF(J912&gt;$K$1,"",IFERROR(MATCH(J912,J_BB,0),""))</f>
        <v/>
      </c>
      <c r="J912" s="66" t="n">
        <v>903</v>
      </c>
      <c r="K912" s="5"/>
    </row>
    <row r="913" customFormat="false" ht="15" hidden="false" customHeight="false" outlineLevel="0" collapsed="false">
      <c r="A913" s="5" t="str">
        <f aca="false">IF(I913="","",J913)</f>
        <v/>
      </c>
      <c r="B913" s="83" t="str">
        <f aca="false">IF(I913="","",INDEX(J_TGL,I913))</f>
        <v/>
      </c>
      <c r="C913" s="5" t="str">
        <f aca="false">IF(I913="","",INDEX(J_NO,I913))</f>
        <v/>
      </c>
      <c r="D913" s="5" t="str">
        <f aca="false">IF(I913="","",INDEX(J_KET,I913))</f>
        <v/>
      </c>
      <c r="E913" s="5" t="str">
        <f aca="false">IF(I913="","",IF(INDEX(J_DEB,I913)=$C$3,INDEX(J_KRE,I913),INDEX(J_DEB,I913)))</f>
        <v/>
      </c>
      <c r="F913" s="44" t="str">
        <f aca="false">IF(I913="","",IF(INDEX(J_DEB,I913)=$C$3,INDEX(J_NOM,I913),0))</f>
        <v/>
      </c>
      <c r="G913" s="44" t="str">
        <f aca="false">IF(I913="","",IF(INDEX(J_KRE,I913)=$C$3,INDEX(J_NOM,I913),0))</f>
        <v/>
      </c>
      <c r="H913" s="44" t="str">
        <f aca="false">IF(I913="","",N(H912)+IF($C$5="Debet",F913-G913,G913-F913))</f>
        <v/>
      </c>
      <c r="I913" s="66" t="str">
        <f aca="false">IF(J913&gt;$K$1,"",IFERROR(MATCH(J913,J_BB,0),""))</f>
        <v/>
      </c>
      <c r="J913" s="66" t="n">
        <v>904</v>
      </c>
      <c r="K913" s="5"/>
    </row>
    <row r="914" customFormat="false" ht="15" hidden="false" customHeight="false" outlineLevel="0" collapsed="false">
      <c r="A914" s="5" t="str">
        <f aca="false">IF(I914="","",J914)</f>
        <v/>
      </c>
      <c r="B914" s="83" t="str">
        <f aca="false">IF(I914="","",INDEX(J_TGL,I914))</f>
        <v/>
      </c>
      <c r="C914" s="5" t="str">
        <f aca="false">IF(I914="","",INDEX(J_NO,I914))</f>
        <v/>
      </c>
      <c r="D914" s="5" t="str">
        <f aca="false">IF(I914="","",INDEX(J_KET,I914))</f>
        <v/>
      </c>
      <c r="E914" s="5" t="str">
        <f aca="false">IF(I914="","",IF(INDEX(J_DEB,I914)=$C$3,INDEX(J_KRE,I914),INDEX(J_DEB,I914)))</f>
        <v/>
      </c>
      <c r="F914" s="44" t="str">
        <f aca="false">IF(I914="","",IF(INDEX(J_DEB,I914)=$C$3,INDEX(J_NOM,I914),0))</f>
        <v/>
      </c>
      <c r="G914" s="44" t="str">
        <f aca="false">IF(I914="","",IF(INDEX(J_KRE,I914)=$C$3,INDEX(J_NOM,I914),0))</f>
        <v/>
      </c>
      <c r="H914" s="44" t="str">
        <f aca="false">IF(I914="","",N(H913)+IF($C$5="Debet",F914-G914,G914-F914))</f>
        <v/>
      </c>
      <c r="I914" s="66" t="str">
        <f aca="false">IF(J914&gt;$K$1,"",IFERROR(MATCH(J914,J_BB,0),""))</f>
        <v/>
      </c>
      <c r="J914" s="66" t="n">
        <v>905</v>
      </c>
      <c r="K914" s="5"/>
    </row>
    <row r="915" customFormat="false" ht="15" hidden="false" customHeight="false" outlineLevel="0" collapsed="false">
      <c r="A915" s="5" t="str">
        <f aca="false">IF(I915="","",J915)</f>
        <v/>
      </c>
      <c r="B915" s="83" t="str">
        <f aca="false">IF(I915="","",INDEX(J_TGL,I915))</f>
        <v/>
      </c>
      <c r="C915" s="5" t="str">
        <f aca="false">IF(I915="","",INDEX(J_NO,I915))</f>
        <v/>
      </c>
      <c r="D915" s="5" t="str">
        <f aca="false">IF(I915="","",INDEX(J_KET,I915))</f>
        <v/>
      </c>
      <c r="E915" s="5" t="str">
        <f aca="false">IF(I915="","",IF(INDEX(J_DEB,I915)=$C$3,INDEX(J_KRE,I915),INDEX(J_DEB,I915)))</f>
        <v/>
      </c>
      <c r="F915" s="44" t="str">
        <f aca="false">IF(I915="","",IF(INDEX(J_DEB,I915)=$C$3,INDEX(J_NOM,I915),0))</f>
        <v/>
      </c>
      <c r="G915" s="44" t="str">
        <f aca="false">IF(I915="","",IF(INDEX(J_KRE,I915)=$C$3,INDEX(J_NOM,I915),0))</f>
        <v/>
      </c>
      <c r="H915" s="44" t="str">
        <f aca="false">IF(I915="","",N(H914)+IF($C$5="Debet",F915-G915,G915-F915))</f>
        <v/>
      </c>
      <c r="I915" s="66" t="str">
        <f aca="false">IF(J915&gt;$K$1,"",IFERROR(MATCH(J915,J_BB,0),""))</f>
        <v/>
      </c>
      <c r="J915" s="66" t="n">
        <v>906</v>
      </c>
      <c r="K915" s="5"/>
    </row>
    <row r="916" customFormat="false" ht="15" hidden="false" customHeight="false" outlineLevel="0" collapsed="false">
      <c r="A916" s="5" t="str">
        <f aca="false">IF(I916="","",J916)</f>
        <v/>
      </c>
      <c r="B916" s="83" t="str">
        <f aca="false">IF(I916="","",INDEX(J_TGL,I916))</f>
        <v/>
      </c>
      <c r="C916" s="5" t="str">
        <f aca="false">IF(I916="","",INDEX(J_NO,I916))</f>
        <v/>
      </c>
      <c r="D916" s="5" t="str">
        <f aca="false">IF(I916="","",INDEX(J_KET,I916))</f>
        <v/>
      </c>
      <c r="E916" s="5" t="str">
        <f aca="false">IF(I916="","",IF(INDEX(J_DEB,I916)=$C$3,INDEX(J_KRE,I916),INDEX(J_DEB,I916)))</f>
        <v/>
      </c>
      <c r="F916" s="44" t="str">
        <f aca="false">IF(I916="","",IF(INDEX(J_DEB,I916)=$C$3,INDEX(J_NOM,I916),0))</f>
        <v/>
      </c>
      <c r="G916" s="44" t="str">
        <f aca="false">IF(I916="","",IF(INDEX(J_KRE,I916)=$C$3,INDEX(J_NOM,I916),0))</f>
        <v/>
      </c>
      <c r="H916" s="44" t="str">
        <f aca="false">IF(I916="","",N(H915)+IF($C$5="Debet",F916-G916,G916-F916))</f>
        <v/>
      </c>
      <c r="I916" s="66" t="str">
        <f aca="false">IF(J916&gt;$K$1,"",IFERROR(MATCH(J916,J_BB,0),""))</f>
        <v/>
      </c>
      <c r="J916" s="66" t="n">
        <v>907</v>
      </c>
      <c r="K916" s="5"/>
    </row>
    <row r="917" customFormat="false" ht="15" hidden="false" customHeight="false" outlineLevel="0" collapsed="false">
      <c r="A917" s="5" t="str">
        <f aca="false">IF(I917="","",J917)</f>
        <v/>
      </c>
      <c r="B917" s="83" t="str">
        <f aca="false">IF(I917="","",INDEX(J_TGL,I917))</f>
        <v/>
      </c>
      <c r="C917" s="5" t="str">
        <f aca="false">IF(I917="","",INDEX(J_NO,I917))</f>
        <v/>
      </c>
      <c r="D917" s="5" t="str">
        <f aca="false">IF(I917="","",INDEX(J_KET,I917))</f>
        <v/>
      </c>
      <c r="E917" s="5" t="str">
        <f aca="false">IF(I917="","",IF(INDEX(J_DEB,I917)=$C$3,INDEX(J_KRE,I917),INDEX(J_DEB,I917)))</f>
        <v/>
      </c>
      <c r="F917" s="44" t="str">
        <f aca="false">IF(I917="","",IF(INDEX(J_DEB,I917)=$C$3,INDEX(J_NOM,I917),0))</f>
        <v/>
      </c>
      <c r="G917" s="44" t="str">
        <f aca="false">IF(I917="","",IF(INDEX(J_KRE,I917)=$C$3,INDEX(J_NOM,I917),0))</f>
        <v/>
      </c>
      <c r="H917" s="44" t="str">
        <f aca="false">IF(I917="","",N(H916)+IF($C$5="Debet",F917-G917,G917-F917))</f>
        <v/>
      </c>
      <c r="I917" s="66" t="str">
        <f aca="false">IF(J917&gt;$K$1,"",IFERROR(MATCH(J917,J_BB,0),""))</f>
        <v/>
      </c>
      <c r="J917" s="66" t="n">
        <v>908</v>
      </c>
      <c r="K917" s="5"/>
    </row>
    <row r="918" customFormat="false" ht="15" hidden="false" customHeight="false" outlineLevel="0" collapsed="false">
      <c r="A918" s="5" t="str">
        <f aca="false">IF(I918="","",J918)</f>
        <v/>
      </c>
      <c r="B918" s="83" t="str">
        <f aca="false">IF(I918="","",INDEX(J_TGL,I918))</f>
        <v/>
      </c>
      <c r="C918" s="5" t="str">
        <f aca="false">IF(I918="","",INDEX(J_NO,I918))</f>
        <v/>
      </c>
      <c r="D918" s="5" t="str">
        <f aca="false">IF(I918="","",INDEX(J_KET,I918))</f>
        <v/>
      </c>
      <c r="E918" s="5" t="str">
        <f aca="false">IF(I918="","",IF(INDEX(J_DEB,I918)=$C$3,INDEX(J_KRE,I918),INDEX(J_DEB,I918)))</f>
        <v/>
      </c>
      <c r="F918" s="44" t="str">
        <f aca="false">IF(I918="","",IF(INDEX(J_DEB,I918)=$C$3,INDEX(J_NOM,I918),0))</f>
        <v/>
      </c>
      <c r="G918" s="44" t="str">
        <f aca="false">IF(I918="","",IF(INDEX(J_KRE,I918)=$C$3,INDEX(J_NOM,I918),0))</f>
        <v/>
      </c>
      <c r="H918" s="44" t="str">
        <f aca="false">IF(I918="","",N(H917)+IF($C$5="Debet",F918-G918,G918-F918))</f>
        <v/>
      </c>
      <c r="I918" s="66" t="str">
        <f aca="false">IF(J918&gt;$K$1,"",IFERROR(MATCH(J918,J_BB,0),""))</f>
        <v/>
      </c>
      <c r="J918" s="66" t="n">
        <v>909</v>
      </c>
      <c r="K918" s="5"/>
    </row>
    <row r="919" customFormat="false" ht="15" hidden="false" customHeight="false" outlineLevel="0" collapsed="false">
      <c r="A919" s="5" t="str">
        <f aca="false">IF(I919="","",J919)</f>
        <v/>
      </c>
      <c r="B919" s="83" t="str">
        <f aca="false">IF(I919="","",INDEX(J_TGL,I919))</f>
        <v/>
      </c>
      <c r="C919" s="5" t="str">
        <f aca="false">IF(I919="","",INDEX(J_NO,I919))</f>
        <v/>
      </c>
      <c r="D919" s="5" t="str">
        <f aca="false">IF(I919="","",INDEX(J_KET,I919))</f>
        <v/>
      </c>
      <c r="E919" s="5" t="str">
        <f aca="false">IF(I919="","",IF(INDEX(J_DEB,I919)=$C$3,INDEX(J_KRE,I919),INDEX(J_DEB,I919)))</f>
        <v/>
      </c>
      <c r="F919" s="44" t="str">
        <f aca="false">IF(I919="","",IF(INDEX(J_DEB,I919)=$C$3,INDEX(J_NOM,I919),0))</f>
        <v/>
      </c>
      <c r="G919" s="44" t="str">
        <f aca="false">IF(I919="","",IF(INDEX(J_KRE,I919)=$C$3,INDEX(J_NOM,I919),0))</f>
        <v/>
      </c>
      <c r="H919" s="44" t="str">
        <f aca="false">IF(I919="","",N(H918)+IF($C$5="Debet",F919-G919,G919-F919))</f>
        <v/>
      </c>
      <c r="I919" s="66" t="str">
        <f aca="false">IF(J919&gt;$K$1,"",IFERROR(MATCH(J919,J_BB,0),""))</f>
        <v/>
      </c>
      <c r="J919" s="66" t="n">
        <v>910</v>
      </c>
      <c r="K919" s="5"/>
    </row>
    <row r="920" customFormat="false" ht="15" hidden="false" customHeight="false" outlineLevel="0" collapsed="false">
      <c r="A920" s="5" t="str">
        <f aca="false">IF(I920="","",J920)</f>
        <v/>
      </c>
      <c r="B920" s="83" t="str">
        <f aca="false">IF(I920="","",INDEX(J_TGL,I920))</f>
        <v/>
      </c>
      <c r="C920" s="5" t="str">
        <f aca="false">IF(I920="","",INDEX(J_NO,I920))</f>
        <v/>
      </c>
      <c r="D920" s="5" t="str">
        <f aca="false">IF(I920="","",INDEX(J_KET,I920))</f>
        <v/>
      </c>
      <c r="E920" s="5" t="str">
        <f aca="false">IF(I920="","",IF(INDEX(J_DEB,I920)=$C$3,INDEX(J_KRE,I920),INDEX(J_DEB,I920)))</f>
        <v/>
      </c>
      <c r="F920" s="44" t="str">
        <f aca="false">IF(I920="","",IF(INDEX(J_DEB,I920)=$C$3,INDEX(J_NOM,I920),0))</f>
        <v/>
      </c>
      <c r="G920" s="44" t="str">
        <f aca="false">IF(I920="","",IF(INDEX(J_KRE,I920)=$C$3,INDEX(J_NOM,I920),0))</f>
        <v/>
      </c>
      <c r="H920" s="44" t="str">
        <f aca="false">IF(I920="","",N(H919)+IF($C$5="Debet",F920-G920,G920-F920))</f>
        <v/>
      </c>
      <c r="I920" s="66" t="str">
        <f aca="false">IF(J920&gt;$K$1,"",IFERROR(MATCH(J920,J_BB,0),""))</f>
        <v/>
      </c>
      <c r="J920" s="66" t="n">
        <v>911</v>
      </c>
      <c r="K920" s="5"/>
    </row>
    <row r="921" customFormat="false" ht="15" hidden="false" customHeight="false" outlineLevel="0" collapsed="false">
      <c r="A921" s="5" t="str">
        <f aca="false">IF(I921="","",J921)</f>
        <v/>
      </c>
      <c r="B921" s="83" t="str">
        <f aca="false">IF(I921="","",INDEX(J_TGL,I921))</f>
        <v/>
      </c>
      <c r="C921" s="5" t="str">
        <f aca="false">IF(I921="","",INDEX(J_NO,I921))</f>
        <v/>
      </c>
      <c r="D921" s="5" t="str">
        <f aca="false">IF(I921="","",INDEX(J_KET,I921))</f>
        <v/>
      </c>
      <c r="E921" s="5" t="str">
        <f aca="false">IF(I921="","",IF(INDEX(J_DEB,I921)=$C$3,INDEX(J_KRE,I921),INDEX(J_DEB,I921)))</f>
        <v/>
      </c>
      <c r="F921" s="44" t="str">
        <f aca="false">IF(I921="","",IF(INDEX(J_DEB,I921)=$C$3,INDEX(J_NOM,I921),0))</f>
        <v/>
      </c>
      <c r="G921" s="44" t="str">
        <f aca="false">IF(I921="","",IF(INDEX(J_KRE,I921)=$C$3,INDEX(J_NOM,I921),0))</f>
        <v/>
      </c>
      <c r="H921" s="44" t="str">
        <f aca="false">IF(I921="","",N(H920)+IF($C$5="Debet",F921-G921,G921-F921))</f>
        <v/>
      </c>
      <c r="I921" s="66" t="str">
        <f aca="false">IF(J921&gt;$K$1,"",IFERROR(MATCH(J921,J_BB,0),""))</f>
        <v/>
      </c>
      <c r="J921" s="66" t="n">
        <v>912</v>
      </c>
      <c r="K921" s="5"/>
    </row>
    <row r="922" customFormat="false" ht="15" hidden="false" customHeight="false" outlineLevel="0" collapsed="false">
      <c r="A922" s="5" t="str">
        <f aca="false">IF(I922="","",J922)</f>
        <v/>
      </c>
      <c r="B922" s="83" t="str">
        <f aca="false">IF(I922="","",INDEX(J_TGL,I922))</f>
        <v/>
      </c>
      <c r="C922" s="5" t="str">
        <f aca="false">IF(I922="","",INDEX(J_NO,I922))</f>
        <v/>
      </c>
      <c r="D922" s="5" t="str">
        <f aca="false">IF(I922="","",INDEX(J_KET,I922))</f>
        <v/>
      </c>
      <c r="E922" s="5" t="str">
        <f aca="false">IF(I922="","",IF(INDEX(J_DEB,I922)=$C$3,INDEX(J_KRE,I922),INDEX(J_DEB,I922)))</f>
        <v/>
      </c>
      <c r="F922" s="44" t="str">
        <f aca="false">IF(I922="","",IF(INDEX(J_DEB,I922)=$C$3,INDEX(J_NOM,I922),0))</f>
        <v/>
      </c>
      <c r="G922" s="44" t="str">
        <f aca="false">IF(I922="","",IF(INDEX(J_KRE,I922)=$C$3,INDEX(J_NOM,I922),0))</f>
        <v/>
      </c>
      <c r="H922" s="44" t="str">
        <f aca="false">IF(I922="","",N(H921)+IF($C$5="Debet",F922-G922,G922-F922))</f>
        <v/>
      </c>
      <c r="I922" s="66" t="str">
        <f aca="false">IF(J922&gt;$K$1,"",IFERROR(MATCH(J922,J_BB,0),""))</f>
        <v/>
      </c>
      <c r="J922" s="66" t="n">
        <v>913</v>
      </c>
      <c r="K922" s="5"/>
    </row>
    <row r="923" customFormat="false" ht="15" hidden="false" customHeight="false" outlineLevel="0" collapsed="false">
      <c r="A923" s="5" t="str">
        <f aca="false">IF(I923="","",J923)</f>
        <v/>
      </c>
      <c r="B923" s="83" t="str">
        <f aca="false">IF(I923="","",INDEX(J_TGL,I923))</f>
        <v/>
      </c>
      <c r="C923" s="5" t="str">
        <f aca="false">IF(I923="","",INDEX(J_NO,I923))</f>
        <v/>
      </c>
      <c r="D923" s="5" t="str">
        <f aca="false">IF(I923="","",INDEX(J_KET,I923))</f>
        <v/>
      </c>
      <c r="E923" s="5" t="str">
        <f aca="false">IF(I923="","",IF(INDEX(J_DEB,I923)=$C$3,INDEX(J_KRE,I923),INDEX(J_DEB,I923)))</f>
        <v/>
      </c>
      <c r="F923" s="44" t="str">
        <f aca="false">IF(I923="","",IF(INDEX(J_DEB,I923)=$C$3,INDEX(J_NOM,I923),0))</f>
        <v/>
      </c>
      <c r="G923" s="44" t="str">
        <f aca="false">IF(I923="","",IF(INDEX(J_KRE,I923)=$C$3,INDEX(J_NOM,I923),0))</f>
        <v/>
      </c>
      <c r="H923" s="44" t="str">
        <f aca="false">IF(I923="","",N(H922)+IF($C$5="Debet",F923-G923,G923-F923))</f>
        <v/>
      </c>
      <c r="I923" s="66" t="str">
        <f aca="false">IF(J923&gt;$K$1,"",IFERROR(MATCH(J923,J_BB,0),""))</f>
        <v/>
      </c>
      <c r="J923" s="66" t="n">
        <v>914</v>
      </c>
      <c r="K923" s="5"/>
    </row>
    <row r="924" customFormat="false" ht="15" hidden="false" customHeight="false" outlineLevel="0" collapsed="false">
      <c r="A924" s="5" t="str">
        <f aca="false">IF(I924="","",J924)</f>
        <v/>
      </c>
      <c r="B924" s="83" t="str">
        <f aca="false">IF(I924="","",INDEX(J_TGL,I924))</f>
        <v/>
      </c>
      <c r="C924" s="5" t="str">
        <f aca="false">IF(I924="","",INDEX(J_NO,I924))</f>
        <v/>
      </c>
      <c r="D924" s="5" t="str">
        <f aca="false">IF(I924="","",INDEX(J_KET,I924))</f>
        <v/>
      </c>
      <c r="E924" s="5" t="str">
        <f aca="false">IF(I924="","",IF(INDEX(J_DEB,I924)=$C$3,INDEX(J_KRE,I924),INDEX(J_DEB,I924)))</f>
        <v/>
      </c>
      <c r="F924" s="44" t="str">
        <f aca="false">IF(I924="","",IF(INDEX(J_DEB,I924)=$C$3,INDEX(J_NOM,I924),0))</f>
        <v/>
      </c>
      <c r="G924" s="44" t="str">
        <f aca="false">IF(I924="","",IF(INDEX(J_KRE,I924)=$C$3,INDEX(J_NOM,I924),0))</f>
        <v/>
      </c>
      <c r="H924" s="44" t="str">
        <f aca="false">IF(I924="","",N(H923)+IF($C$5="Debet",F924-G924,G924-F924))</f>
        <v/>
      </c>
      <c r="I924" s="66" t="str">
        <f aca="false">IF(J924&gt;$K$1,"",IFERROR(MATCH(J924,J_BB,0),""))</f>
        <v/>
      </c>
      <c r="J924" s="66" t="n">
        <v>915</v>
      </c>
      <c r="K924" s="5"/>
    </row>
    <row r="925" customFormat="false" ht="15" hidden="false" customHeight="false" outlineLevel="0" collapsed="false">
      <c r="A925" s="5" t="str">
        <f aca="false">IF(I925="","",J925)</f>
        <v/>
      </c>
      <c r="B925" s="83" t="str">
        <f aca="false">IF(I925="","",INDEX(J_TGL,I925))</f>
        <v/>
      </c>
      <c r="C925" s="5" t="str">
        <f aca="false">IF(I925="","",INDEX(J_NO,I925))</f>
        <v/>
      </c>
      <c r="D925" s="5" t="str">
        <f aca="false">IF(I925="","",INDEX(J_KET,I925))</f>
        <v/>
      </c>
      <c r="E925" s="5" t="str">
        <f aca="false">IF(I925="","",IF(INDEX(J_DEB,I925)=$C$3,INDEX(J_KRE,I925),INDEX(J_DEB,I925)))</f>
        <v/>
      </c>
      <c r="F925" s="44" t="str">
        <f aca="false">IF(I925="","",IF(INDEX(J_DEB,I925)=$C$3,INDEX(J_NOM,I925),0))</f>
        <v/>
      </c>
      <c r="G925" s="44" t="str">
        <f aca="false">IF(I925="","",IF(INDEX(J_KRE,I925)=$C$3,INDEX(J_NOM,I925),0))</f>
        <v/>
      </c>
      <c r="H925" s="44" t="str">
        <f aca="false">IF(I925="","",N(H924)+IF($C$5="Debet",F925-G925,G925-F925))</f>
        <v/>
      </c>
      <c r="I925" s="66" t="str">
        <f aca="false">IF(J925&gt;$K$1,"",IFERROR(MATCH(J925,J_BB,0),""))</f>
        <v/>
      </c>
      <c r="J925" s="66" t="n">
        <v>916</v>
      </c>
      <c r="K925" s="5"/>
    </row>
    <row r="926" customFormat="false" ht="15" hidden="false" customHeight="false" outlineLevel="0" collapsed="false">
      <c r="A926" s="5" t="str">
        <f aca="false">IF(I926="","",J926)</f>
        <v/>
      </c>
      <c r="B926" s="83" t="str">
        <f aca="false">IF(I926="","",INDEX(J_TGL,I926))</f>
        <v/>
      </c>
      <c r="C926" s="5" t="str">
        <f aca="false">IF(I926="","",INDEX(J_NO,I926))</f>
        <v/>
      </c>
      <c r="D926" s="5" t="str">
        <f aca="false">IF(I926="","",INDEX(J_KET,I926))</f>
        <v/>
      </c>
      <c r="E926" s="5" t="str">
        <f aca="false">IF(I926="","",IF(INDEX(J_DEB,I926)=$C$3,INDEX(J_KRE,I926),INDEX(J_DEB,I926)))</f>
        <v/>
      </c>
      <c r="F926" s="44" t="str">
        <f aca="false">IF(I926="","",IF(INDEX(J_DEB,I926)=$C$3,INDEX(J_NOM,I926),0))</f>
        <v/>
      </c>
      <c r="G926" s="44" t="str">
        <f aca="false">IF(I926="","",IF(INDEX(J_KRE,I926)=$C$3,INDEX(J_NOM,I926),0))</f>
        <v/>
      </c>
      <c r="H926" s="44" t="str">
        <f aca="false">IF(I926="","",N(H925)+IF($C$5="Debet",F926-G926,G926-F926))</f>
        <v/>
      </c>
      <c r="I926" s="66" t="str">
        <f aca="false">IF(J926&gt;$K$1,"",IFERROR(MATCH(J926,J_BB,0),""))</f>
        <v/>
      </c>
      <c r="J926" s="66" t="n">
        <v>917</v>
      </c>
      <c r="K926" s="5"/>
    </row>
    <row r="927" customFormat="false" ht="15" hidden="false" customHeight="false" outlineLevel="0" collapsed="false">
      <c r="A927" s="5" t="str">
        <f aca="false">IF(I927="","",J927)</f>
        <v/>
      </c>
      <c r="B927" s="83" t="str">
        <f aca="false">IF(I927="","",INDEX(J_TGL,I927))</f>
        <v/>
      </c>
      <c r="C927" s="5" t="str">
        <f aca="false">IF(I927="","",INDEX(J_NO,I927))</f>
        <v/>
      </c>
      <c r="D927" s="5" t="str">
        <f aca="false">IF(I927="","",INDEX(J_KET,I927))</f>
        <v/>
      </c>
      <c r="E927" s="5" t="str">
        <f aca="false">IF(I927="","",IF(INDEX(J_DEB,I927)=$C$3,INDEX(J_KRE,I927),INDEX(J_DEB,I927)))</f>
        <v/>
      </c>
      <c r="F927" s="44" t="str">
        <f aca="false">IF(I927="","",IF(INDEX(J_DEB,I927)=$C$3,INDEX(J_NOM,I927),0))</f>
        <v/>
      </c>
      <c r="G927" s="44" t="str">
        <f aca="false">IF(I927="","",IF(INDEX(J_KRE,I927)=$C$3,INDEX(J_NOM,I927),0))</f>
        <v/>
      </c>
      <c r="H927" s="44" t="str">
        <f aca="false">IF(I927="","",N(H926)+IF($C$5="Debet",F927-G927,G927-F927))</f>
        <v/>
      </c>
      <c r="I927" s="66" t="str">
        <f aca="false">IF(J927&gt;$K$1,"",IFERROR(MATCH(J927,J_BB,0),""))</f>
        <v/>
      </c>
      <c r="J927" s="66" t="n">
        <v>918</v>
      </c>
      <c r="K927" s="5"/>
    </row>
    <row r="928" customFormat="false" ht="15" hidden="false" customHeight="false" outlineLevel="0" collapsed="false">
      <c r="A928" s="5" t="str">
        <f aca="false">IF(I928="","",J928)</f>
        <v/>
      </c>
      <c r="B928" s="83" t="str">
        <f aca="false">IF(I928="","",INDEX(J_TGL,I928))</f>
        <v/>
      </c>
      <c r="C928" s="5" t="str">
        <f aca="false">IF(I928="","",INDEX(J_NO,I928))</f>
        <v/>
      </c>
      <c r="D928" s="5" t="str">
        <f aca="false">IF(I928="","",INDEX(J_KET,I928))</f>
        <v/>
      </c>
      <c r="E928" s="5" t="str">
        <f aca="false">IF(I928="","",IF(INDEX(J_DEB,I928)=$C$3,INDEX(J_KRE,I928),INDEX(J_DEB,I928)))</f>
        <v/>
      </c>
      <c r="F928" s="44" t="str">
        <f aca="false">IF(I928="","",IF(INDEX(J_DEB,I928)=$C$3,INDEX(J_NOM,I928),0))</f>
        <v/>
      </c>
      <c r="G928" s="44" t="str">
        <f aca="false">IF(I928="","",IF(INDEX(J_KRE,I928)=$C$3,INDEX(J_NOM,I928),0))</f>
        <v/>
      </c>
      <c r="H928" s="44" t="str">
        <f aca="false">IF(I928="","",N(H927)+IF($C$5="Debet",F928-G928,G928-F928))</f>
        <v/>
      </c>
      <c r="I928" s="66" t="str">
        <f aca="false">IF(J928&gt;$K$1,"",IFERROR(MATCH(J928,J_BB,0),""))</f>
        <v/>
      </c>
      <c r="J928" s="66" t="n">
        <v>919</v>
      </c>
      <c r="K928" s="5"/>
    </row>
    <row r="929" customFormat="false" ht="15" hidden="false" customHeight="false" outlineLevel="0" collapsed="false">
      <c r="A929" s="5" t="str">
        <f aca="false">IF(I929="","",J929)</f>
        <v/>
      </c>
      <c r="B929" s="83" t="str">
        <f aca="false">IF(I929="","",INDEX(J_TGL,I929))</f>
        <v/>
      </c>
      <c r="C929" s="5" t="str">
        <f aca="false">IF(I929="","",INDEX(J_NO,I929))</f>
        <v/>
      </c>
      <c r="D929" s="5" t="str">
        <f aca="false">IF(I929="","",INDEX(J_KET,I929))</f>
        <v/>
      </c>
      <c r="E929" s="5" t="str">
        <f aca="false">IF(I929="","",IF(INDEX(J_DEB,I929)=$C$3,INDEX(J_KRE,I929),INDEX(J_DEB,I929)))</f>
        <v/>
      </c>
      <c r="F929" s="44" t="str">
        <f aca="false">IF(I929="","",IF(INDEX(J_DEB,I929)=$C$3,INDEX(J_NOM,I929),0))</f>
        <v/>
      </c>
      <c r="G929" s="44" t="str">
        <f aca="false">IF(I929="","",IF(INDEX(J_KRE,I929)=$C$3,INDEX(J_NOM,I929),0))</f>
        <v/>
      </c>
      <c r="H929" s="44" t="str">
        <f aca="false">IF(I929="","",N(H928)+IF($C$5="Debet",F929-G929,G929-F929))</f>
        <v/>
      </c>
      <c r="I929" s="66" t="str">
        <f aca="false">IF(J929&gt;$K$1,"",IFERROR(MATCH(J929,J_BB,0),""))</f>
        <v/>
      </c>
      <c r="J929" s="66" t="n">
        <v>920</v>
      </c>
      <c r="K929" s="5"/>
    </row>
    <row r="930" customFormat="false" ht="15" hidden="false" customHeight="false" outlineLevel="0" collapsed="false">
      <c r="A930" s="5" t="str">
        <f aca="false">IF(I930="","",J930)</f>
        <v/>
      </c>
      <c r="B930" s="83" t="str">
        <f aca="false">IF(I930="","",INDEX(J_TGL,I930))</f>
        <v/>
      </c>
      <c r="C930" s="5" t="str">
        <f aca="false">IF(I930="","",INDEX(J_NO,I930))</f>
        <v/>
      </c>
      <c r="D930" s="5" t="str">
        <f aca="false">IF(I930="","",INDEX(J_KET,I930))</f>
        <v/>
      </c>
      <c r="E930" s="5" t="str">
        <f aca="false">IF(I930="","",IF(INDEX(J_DEB,I930)=$C$3,INDEX(J_KRE,I930),INDEX(J_DEB,I930)))</f>
        <v/>
      </c>
      <c r="F930" s="44" t="str">
        <f aca="false">IF(I930="","",IF(INDEX(J_DEB,I930)=$C$3,INDEX(J_NOM,I930),0))</f>
        <v/>
      </c>
      <c r="G930" s="44" t="str">
        <f aca="false">IF(I930="","",IF(INDEX(J_KRE,I930)=$C$3,INDEX(J_NOM,I930),0))</f>
        <v/>
      </c>
      <c r="H930" s="44" t="str">
        <f aca="false">IF(I930="","",N(H929)+IF($C$5="Debet",F930-G930,G930-F930))</f>
        <v/>
      </c>
      <c r="I930" s="66" t="str">
        <f aca="false">IF(J930&gt;$K$1,"",IFERROR(MATCH(J930,J_BB,0),""))</f>
        <v/>
      </c>
      <c r="J930" s="66" t="n">
        <v>921</v>
      </c>
      <c r="K930" s="5"/>
    </row>
    <row r="931" customFormat="false" ht="15" hidden="false" customHeight="false" outlineLevel="0" collapsed="false">
      <c r="A931" s="5" t="str">
        <f aca="false">IF(I931="","",J931)</f>
        <v/>
      </c>
      <c r="B931" s="83" t="str">
        <f aca="false">IF(I931="","",INDEX(J_TGL,I931))</f>
        <v/>
      </c>
      <c r="C931" s="5" t="str">
        <f aca="false">IF(I931="","",INDEX(J_NO,I931))</f>
        <v/>
      </c>
      <c r="D931" s="5" t="str">
        <f aca="false">IF(I931="","",INDEX(J_KET,I931))</f>
        <v/>
      </c>
      <c r="E931" s="5" t="str">
        <f aca="false">IF(I931="","",IF(INDEX(J_DEB,I931)=$C$3,INDEX(J_KRE,I931),INDEX(J_DEB,I931)))</f>
        <v/>
      </c>
      <c r="F931" s="44" t="str">
        <f aca="false">IF(I931="","",IF(INDEX(J_DEB,I931)=$C$3,INDEX(J_NOM,I931),0))</f>
        <v/>
      </c>
      <c r="G931" s="44" t="str">
        <f aca="false">IF(I931="","",IF(INDEX(J_KRE,I931)=$C$3,INDEX(J_NOM,I931),0))</f>
        <v/>
      </c>
      <c r="H931" s="44" t="str">
        <f aca="false">IF(I931="","",N(H930)+IF($C$5="Debet",F931-G931,G931-F931))</f>
        <v/>
      </c>
      <c r="I931" s="66" t="str">
        <f aca="false">IF(J931&gt;$K$1,"",IFERROR(MATCH(J931,J_BB,0),""))</f>
        <v/>
      </c>
      <c r="J931" s="66" t="n">
        <v>922</v>
      </c>
      <c r="K931" s="5"/>
    </row>
    <row r="932" customFormat="false" ht="15" hidden="false" customHeight="false" outlineLevel="0" collapsed="false">
      <c r="A932" s="5" t="str">
        <f aca="false">IF(I932="","",J932)</f>
        <v/>
      </c>
      <c r="B932" s="83" t="str">
        <f aca="false">IF(I932="","",INDEX(J_TGL,I932))</f>
        <v/>
      </c>
      <c r="C932" s="5" t="str">
        <f aca="false">IF(I932="","",INDEX(J_NO,I932))</f>
        <v/>
      </c>
      <c r="D932" s="5" t="str">
        <f aca="false">IF(I932="","",INDEX(J_KET,I932))</f>
        <v/>
      </c>
      <c r="E932" s="5" t="str">
        <f aca="false">IF(I932="","",IF(INDEX(J_DEB,I932)=$C$3,INDEX(J_KRE,I932),INDEX(J_DEB,I932)))</f>
        <v/>
      </c>
      <c r="F932" s="44" t="str">
        <f aca="false">IF(I932="","",IF(INDEX(J_DEB,I932)=$C$3,INDEX(J_NOM,I932),0))</f>
        <v/>
      </c>
      <c r="G932" s="44" t="str">
        <f aca="false">IF(I932="","",IF(INDEX(J_KRE,I932)=$C$3,INDEX(J_NOM,I932),0))</f>
        <v/>
      </c>
      <c r="H932" s="44" t="str">
        <f aca="false">IF(I932="","",N(H931)+IF($C$5="Debet",F932-G932,G932-F932))</f>
        <v/>
      </c>
      <c r="I932" s="66" t="str">
        <f aca="false">IF(J932&gt;$K$1,"",IFERROR(MATCH(J932,J_BB,0),""))</f>
        <v/>
      </c>
      <c r="J932" s="66" t="n">
        <v>923</v>
      </c>
      <c r="K932" s="5"/>
    </row>
    <row r="933" customFormat="false" ht="15" hidden="false" customHeight="false" outlineLevel="0" collapsed="false">
      <c r="A933" s="5" t="str">
        <f aca="false">IF(I933="","",J933)</f>
        <v/>
      </c>
      <c r="B933" s="83" t="str">
        <f aca="false">IF(I933="","",INDEX(J_TGL,I933))</f>
        <v/>
      </c>
      <c r="C933" s="5" t="str">
        <f aca="false">IF(I933="","",INDEX(J_NO,I933))</f>
        <v/>
      </c>
      <c r="D933" s="5" t="str">
        <f aca="false">IF(I933="","",INDEX(J_KET,I933))</f>
        <v/>
      </c>
      <c r="E933" s="5" t="str">
        <f aca="false">IF(I933="","",IF(INDEX(J_DEB,I933)=$C$3,INDEX(J_KRE,I933),INDEX(J_DEB,I933)))</f>
        <v/>
      </c>
      <c r="F933" s="44" t="str">
        <f aca="false">IF(I933="","",IF(INDEX(J_DEB,I933)=$C$3,INDEX(J_NOM,I933),0))</f>
        <v/>
      </c>
      <c r="G933" s="44" t="str">
        <f aca="false">IF(I933="","",IF(INDEX(J_KRE,I933)=$C$3,INDEX(J_NOM,I933),0))</f>
        <v/>
      </c>
      <c r="H933" s="44" t="str">
        <f aca="false">IF(I933="","",N(H932)+IF($C$5="Debet",F933-G933,G933-F933))</f>
        <v/>
      </c>
      <c r="I933" s="66" t="str">
        <f aca="false">IF(J933&gt;$K$1,"",IFERROR(MATCH(J933,J_BB,0),""))</f>
        <v/>
      </c>
      <c r="J933" s="66" t="n">
        <v>924</v>
      </c>
      <c r="K933" s="5"/>
    </row>
    <row r="934" customFormat="false" ht="15" hidden="false" customHeight="false" outlineLevel="0" collapsed="false">
      <c r="A934" s="5" t="str">
        <f aca="false">IF(I934="","",J934)</f>
        <v/>
      </c>
      <c r="B934" s="83" t="str">
        <f aca="false">IF(I934="","",INDEX(J_TGL,I934))</f>
        <v/>
      </c>
      <c r="C934" s="5" t="str">
        <f aca="false">IF(I934="","",INDEX(J_NO,I934))</f>
        <v/>
      </c>
      <c r="D934" s="5" t="str">
        <f aca="false">IF(I934="","",INDEX(J_KET,I934))</f>
        <v/>
      </c>
      <c r="E934" s="5" t="str">
        <f aca="false">IF(I934="","",IF(INDEX(J_DEB,I934)=$C$3,INDEX(J_KRE,I934),INDEX(J_DEB,I934)))</f>
        <v/>
      </c>
      <c r="F934" s="44" t="str">
        <f aca="false">IF(I934="","",IF(INDEX(J_DEB,I934)=$C$3,INDEX(J_NOM,I934),0))</f>
        <v/>
      </c>
      <c r="G934" s="44" t="str">
        <f aca="false">IF(I934="","",IF(INDEX(J_KRE,I934)=$C$3,INDEX(J_NOM,I934),0))</f>
        <v/>
      </c>
      <c r="H934" s="44" t="str">
        <f aca="false">IF(I934="","",N(H933)+IF($C$5="Debet",F934-G934,G934-F934))</f>
        <v/>
      </c>
      <c r="I934" s="66" t="str">
        <f aca="false">IF(J934&gt;$K$1,"",IFERROR(MATCH(J934,J_BB,0),""))</f>
        <v/>
      </c>
      <c r="J934" s="66" t="n">
        <v>925</v>
      </c>
      <c r="K934" s="5"/>
    </row>
    <row r="935" customFormat="false" ht="15" hidden="false" customHeight="false" outlineLevel="0" collapsed="false">
      <c r="A935" s="5" t="str">
        <f aca="false">IF(I935="","",J935)</f>
        <v/>
      </c>
      <c r="B935" s="83" t="str">
        <f aca="false">IF(I935="","",INDEX(J_TGL,I935))</f>
        <v/>
      </c>
      <c r="C935" s="5" t="str">
        <f aca="false">IF(I935="","",INDEX(J_NO,I935))</f>
        <v/>
      </c>
      <c r="D935" s="5" t="str">
        <f aca="false">IF(I935="","",INDEX(J_KET,I935))</f>
        <v/>
      </c>
      <c r="E935" s="5" t="str">
        <f aca="false">IF(I935="","",IF(INDEX(J_DEB,I935)=$C$3,INDEX(J_KRE,I935),INDEX(J_DEB,I935)))</f>
        <v/>
      </c>
      <c r="F935" s="44" t="str">
        <f aca="false">IF(I935="","",IF(INDEX(J_DEB,I935)=$C$3,INDEX(J_NOM,I935),0))</f>
        <v/>
      </c>
      <c r="G935" s="44" t="str">
        <f aca="false">IF(I935="","",IF(INDEX(J_KRE,I935)=$C$3,INDEX(J_NOM,I935),0))</f>
        <v/>
      </c>
      <c r="H935" s="44" t="str">
        <f aca="false">IF(I935="","",N(H934)+IF($C$5="Debet",F935-G935,G935-F935))</f>
        <v/>
      </c>
      <c r="I935" s="66" t="str">
        <f aca="false">IF(J935&gt;$K$1,"",IFERROR(MATCH(J935,J_BB,0),""))</f>
        <v/>
      </c>
      <c r="J935" s="66" t="n">
        <v>926</v>
      </c>
      <c r="K935" s="5"/>
    </row>
    <row r="936" customFormat="false" ht="15" hidden="false" customHeight="false" outlineLevel="0" collapsed="false">
      <c r="A936" s="5" t="str">
        <f aca="false">IF(I936="","",J936)</f>
        <v/>
      </c>
      <c r="B936" s="83" t="str">
        <f aca="false">IF(I936="","",INDEX(J_TGL,I936))</f>
        <v/>
      </c>
      <c r="C936" s="5" t="str">
        <f aca="false">IF(I936="","",INDEX(J_NO,I936))</f>
        <v/>
      </c>
      <c r="D936" s="5" t="str">
        <f aca="false">IF(I936="","",INDEX(J_KET,I936))</f>
        <v/>
      </c>
      <c r="E936" s="5" t="str">
        <f aca="false">IF(I936="","",IF(INDEX(J_DEB,I936)=$C$3,INDEX(J_KRE,I936),INDEX(J_DEB,I936)))</f>
        <v/>
      </c>
      <c r="F936" s="44" t="str">
        <f aca="false">IF(I936="","",IF(INDEX(J_DEB,I936)=$C$3,INDEX(J_NOM,I936),0))</f>
        <v/>
      </c>
      <c r="G936" s="44" t="str">
        <f aca="false">IF(I936="","",IF(INDEX(J_KRE,I936)=$C$3,INDEX(J_NOM,I936),0))</f>
        <v/>
      </c>
      <c r="H936" s="44" t="str">
        <f aca="false">IF(I936="","",N(H935)+IF($C$5="Debet",F936-G936,G936-F936))</f>
        <v/>
      </c>
      <c r="I936" s="66" t="str">
        <f aca="false">IF(J936&gt;$K$1,"",IFERROR(MATCH(J936,J_BB,0),""))</f>
        <v/>
      </c>
      <c r="J936" s="66" t="n">
        <v>927</v>
      </c>
      <c r="K936" s="5"/>
    </row>
    <row r="937" customFormat="false" ht="15" hidden="false" customHeight="false" outlineLevel="0" collapsed="false">
      <c r="A937" s="5" t="str">
        <f aca="false">IF(I937="","",J937)</f>
        <v/>
      </c>
      <c r="B937" s="83" t="str">
        <f aca="false">IF(I937="","",INDEX(J_TGL,I937))</f>
        <v/>
      </c>
      <c r="C937" s="5" t="str">
        <f aca="false">IF(I937="","",INDEX(J_NO,I937))</f>
        <v/>
      </c>
      <c r="D937" s="5" t="str">
        <f aca="false">IF(I937="","",INDEX(J_KET,I937))</f>
        <v/>
      </c>
      <c r="E937" s="5" t="str">
        <f aca="false">IF(I937="","",IF(INDEX(J_DEB,I937)=$C$3,INDEX(J_KRE,I937),INDEX(J_DEB,I937)))</f>
        <v/>
      </c>
      <c r="F937" s="44" t="str">
        <f aca="false">IF(I937="","",IF(INDEX(J_DEB,I937)=$C$3,INDEX(J_NOM,I937),0))</f>
        <v/>
      </c>
      <c r="G937" s="44" t="str">
        <f aca="false">IF(I937="","",IF(INDEX(J_KRE,I937)=$C$3,INDEX(J_NOM,I937),0))</f>
        <v/>
      </c>
      <c r="H937" s="44" t="str">
        <f aca="false">IF(I937="","",N(H936)+IF($C$5="Debet",F937-G937,G937-F937))</f>
        <v/>
      </c>
      <c r="I937" s="66" t="str">
        <f aca="false">IF(J937&gt;$K$1,"",IFERROR(MATCH(J937,J_BB,0),""))</f>
        <v/>
      </c>
      <c r="J937" s="66" t="n">
        <v>928</v>
      </c>
      <c r="K937" s="5"/>
    </row>
    <row r="938" customFormat="false" ht="15" hidden="false" customHeight="false" outlineLevel="0" collapsed="false">
      <c r="A938" s="5" t="str">
        <f aca="false">IF(I938="","",J938)</f>
        <v/>
      </c>
      <c r="B938" s="83" t="str">
        <f aca="false">IF(I938="","",INDEX(J_TGL,I938))</f>
        <v/>
      </c>
      <c r="C938" s="5" t="str">
        <f aca="false">IF(I938="","",INDEX(J_NO,I938))</f>
        <v/>
      </c>
      <c r="D938" s="5" t="str">
        <f aca="false">IF(I938="","",INDEX(J_KET,I938))</f>
        <v/>
      </c>
      <c r="E938" s="5" t="str">
        <f aca="false">IF(I938="","",IF(INDEX(J_DEB,I938)=$C$3,INDEX(J_KRE,I938),INDEX(J_DEB,I938)))</f>
        <v/>
      </c>
      <c r="F938" s="44" t="str">
        <f aca="false">IF(I938="","",IF(INDEX(J_DEB,I938)=$C$3,INDEX(J_NOM,I938),0))</f>
        <v/>
      </c>
      <c r="G938" s="44" t="str">
        <f aca="false">IF(I938="","",IF(INDEX(J_KRE,I938)=$C$3,INDEX(J_NOM,I938),0))</f>
        <v/>
      </c>
      <c r="H938" s="44" t="str">
        <f aca="false">IF(I938="","",N(H937)+IF($C$5="Debet",F938-G938,G938-F938))</f>
        <v/>
      </c>
      <c r="I938" s="66" t="str">
        <f aca="false">IF(J938&gt;$K$1,"",IFERROR(MATCH(J938,J_BB,0),""))</f>
        <v/>
      </c>
      <c r="J938" s="66" t="n">
        <v>929</v>
      </c>
      <c r="K938" s="5"/>
    </row>
    <row r="939" customFormat="false" ht="15" hidden="false" customHeight="false" outlineLevel="0" collapsed="false">
      <c r="A939" s="5" t="str">
        <f aca="false">IF(I939="","",J939)</f>
        <v/>
      </c>
      <c r="B939" s="83" t="str">
        <f aca="false">IF(I939="","",INDEX(J_TGL,I939))</f>
        <v/>
      </c>
      <c r="C939" s="5" t="str">
        <f aca="false">IF(I939="","",INDEX(J_NO,I939))</f>
        <v/>
      </c>
      <c r="D939" s="5" t="str">
        <f aca="false">IF(I939="","",INDEX(J_KET,I939))</f>
        <v/>
      </c>
      <c r="E939" s="5" t="str">
        <f aca="false">IF(I939="","",IF(INDEX(J_DEB,I939)=$C$3,INDEX(J_KRE,I939),INDEX(J_DEB,I939)))</f>
        <v/>
      </c>
      <c r="F939" s="44" t="str">
        <f aca="false">IF(I939="","",IF(INDEX(J_DEB,I939)=$C$3,INDEX(J_NOM,I939),0))</f>
        <v/>
      </c>
      <c r="G939" s="44" t="str">
        <f aca="false">IF(I939="","",IF(INDEX(J_KRE,I939)=$C$3,INDEX(J_NOM,I939),0))</f>
        <v/>
      </c>
      <c r="H939" s="44" t="str">
        <f aca="false">IF(I939="","",N(H938)+IF($C$5="Debet",F939-G939,G939-F939))</f>
        <v/>
      </c>
      <c r="I939" s="66" t="str">
        <f aca="false">IF(J939&gt;$K$1,"",IFERROR(MATCH(J939,J_BB,0),""))</f>
        <v/>
      </c>
      <c r="J939" s="66" t="n">
        <v>930</v>
      </c>
      <c r="K939" s="5"/>
    </row>
    <row r="940" customFormat="false" ht="15" hidden="false" customHeight="false" outlineLevel="0" collapsed="false">
      <c r="A940" s="5" t="str">
        <f aca="false">IF(I940="","",J940)</f>
        <v/>
      </c>
      <c r="B940" s="83" t="str">
        <f aca="false">IF(I940="","",INDEX(J_TGL,I940))</f>
        <v/>
      </c>
      <c r="C940" s="5" t="str">
        <f aca="false">IF(I940="","",INDEX(J_NO,I940))</f>
        <v/>
      </c>
      <c r="D940" s="5" t="str">
        <f aca="false">IF(I940="","",INDEX(J_KET,I940))</f>
        <v/>
      </c>
      <c r="E940" s="5" t="str">
        <f aca="false">IF(I940="","",IF(INDEX(J_DEB,I940)=$C$3,INDEX(J_KRE,I940),INDEX(J_DEB,I940)))</f>
        <v/>
      </c>
      <c r="F940" s="44" t="str">
        <f aca="false">IF(I940="","",IF(INDEX(J_DEB,I940)=$C$3,INDEX(J_NOM,I940),0))</f>
        <v/>
      </c>
      <c r="G940" s="44" t="str">
        <f aca="false">IF(I940="","",IF(INDEX(J_KRE,I940)=$C$3,INDEX(J_NOM,I940),0))</f>
        <v/>
      </c>
      <c r="H940" s="44" t="str">
        <f aca="false">IF(I940="","",N(H939)+IF($C$5="Debet",F940-G940,G940-F940))</f>
        <v/>
      </c>
      <c r="I940" s="66" t="str">
        <f aca="false">IF(J940&gt;$K$1,"",IFERROR(MATCH(J940,J_BB,0),""))</f>
        <v/>
      </c>
      <c r="J940" s="66" t="n">
        <v>931</v>
      </c>
      <c r="K940" s="5"/>
    </row>
    <row r="941" customFormat="false" ht="15" hidden="false" customHeight="false" outlineLevel="0" collapsed="false">
      <c r="A941" s="5" t="str">
        <f aca="false">IF(I941="","",J941)</f>
        <v/>
      </c>
      <c r="B941" s="83" t="str">
        <f aca="false">IF(I941="","",INDEX(J_TGL,I941))</f>
        <v/>
      </c>
      <c r="C941" s="5" t="str">
        <f aca="false">IF(I941="","",INDEX(J_NO,I941))</f>
        <v/>
      </c>
      <c r="D941" s="5" t="str">
        <f aca="false">IF(I941="","",INDEX(J_KET,I941))</f>
        <v/>
      </c>
      <c r="E941" s="5" t="str">
        <f aca="false">IF(I941="","",IF(INDEX(J_DEB,I941)=$C$3,INDEX(J_KRE,I941),INDEX(J_DEB,I941)))</f>
        <v/>
      </c>
      <c r="F941" s="44" t="str">
        <f aca="false">IF(I941="","",IF(INDEX(J_DEB,I941)=$C$3,INDEX(J_NOM,I941),0))</f>
        <v/>
      </c>
      <c r="G941" s="44" t="str">
        <f aca="false">IF(I941="","",IF(INDEX(J_KRE,I941)=$C$3,INDEX(J_NOM,I941),0))</f>
        <v/>
      </c>
      <c r="H941" s="44" t="str">
        <f aca="false">IF(I941="","",N(H940)+IF($C$5="Debet",F941-G941,G941-F941))</f>
        <v/>
      </c>
      <c r="I941" s="66" t="str">
        <f aca="false">IF(J941&gt;$K$1,"",IFERROR(MATCH(J941,J_BB,0),""))</f>
        <v/>
      </c>
      <c r="J941" s="66" t="n">
        <v>932</v>
      </c>
      <c r="K941" s="5"/>
    </row>
    <row r="942" customFormat="false" ht="15" hidden="false" customHeight="false" outlineLevel="0" collapsed="false">
      <c r="A942" s="5" t="str">
        <f aca="false">IF(I942="","",J942)</f>
        <v/>
      </c>
      <c r="B942" s="83" t="str">
        <f aca="false">IF(I942="","",INDEX(J_TGL,I942))</f>
        <v/>
      </c>
      <c r="C942" s="5" t="str">
        <f aca="false">IF(I942="","",INDEX(J_NO,I942))</f>
        <v/>
      </c>
      <c r="D942" s="5" t="str">
        <f aca="false">IF(I942="","",INDEX(J_KET,I942))</f>
        <v/>
      </c>
      <c r="E942" s="5" t="str">
        <f aca="false">IF(I942="","",IF(INDEX(J_DEB,I942)=$C$3,INDEX(J_KRE,I942),INDEX(J_DEB,I942)))</f>
        <v/>
      </c>
      <c r="F942" s="44" t="str">
        <f aca="false">IF(I942="","",IF(INDEX(J_DEB,I942)=$C$3,INDEX(J_NOM,I942),0))</f>
        <v/>
      </c>
      <c r="G942" s="44" t="str">
        <f aca="false">IF(I942="","",IF(INDEX(J_KRE,I942)=$C$3,INDEX(J_NOM,I942),0))</f>
        <v/>
      </c>
      <c r="H942" s="44" t="str">
        <f aca="false">IF(I942="","",N(H941)+IF($C$5="Debet",F942-G942,G942-F942))</f>
        <v/>
      </c>
      <c r="I942" s="66" t="str">
        <f aca="false">IF(J942&gt;$K$1,"",IFERROR(MATCH(J942,J_BB,0),""))</f>
        <v/>
      </c>
      <c r="J942" s="66" t="n">
        <v>933</v>
      </c>
      <c r="K942" s="5"/>
    </row>
    <row r="943" customFormat="false" ht="15" hidden="false" customHeight="false" outlineLevel="0" collapsed="false">
      <c r="A943" s="5" t="str">
        <f aca="false">IF(I943="","",J943)</f>
        <v/>
      </c>
      <c r="B943" s="83" t="str">
        <f aca="false">IF(I943="","",INDEX(J_TGL,I943))</f>
        <v/>
      </c>
      <c r="C943" s="5" t="str">
        <f aca="false">IF(I943="","",INDEX(J_NO,I943))</f>
        <v/>
      </c>
      <c r="D943" s="5" t="str">
        <f aca="false">IF(I943="","",INDEX(J_KET,I943))</f>
        <v/>
      </c>
      <c r="E943" s="5" t="str">
        <f aca="false">IF(I943="","",IF(INDEX(J_DEB,I943)=$C$3,INDEX(J_KRE,I943),INDEX(J_DEB,I943)))</f>
        <v/>
      </c>
      <c r="F943" s="44" t="str">
        <f aca="false">IF(I943="","",IF(INDEX(J_DEB,I943)=$C$3,INDEX(J_NOM,I943),0))</f>
        <v/>
      </c>
      <c r="G943" s="44" t="str">
        <f aca="false">IF(I943="","",IF(INDEX(J_KRE,I943)=$C$3,INDEX(J_NOM,I943),0))</f>
        <v/>
      </c>
      <c r="H943" s="44" t="str">
        <f aca="false">IF(I943="","",N(H942)+IF($C$5="Debet",F943-G943,G943-F943))</f>
        <v/>
      </c>
      <c r="I943" s="66" t="str">
        <f aca="false">IF(J943&gt;$K$1,"",IFERROR(MATCH(J943,J_BB,0),""))</f>
        <v/>
      </c>
      <c r="J943" s="66" t="n">
        <v>934</v>
      </c>
      <c r="K943" s="5"/>
    </row>
    <row r="944" customFormat="false" ht="15" hidden="false" customHeight="false" outlineLevel="0" collapsed="false">
      <c r="A944" s="5" t="str">
        <f aca="false">IF(I944="","",J944)</f>
        <v/>
      </c>
      <c r="B944" s="83" t="str">
        <f aca="false">IF(I944="","",INDEX(J_TGL,I944))</f>
        <v/>
      </c>
      <c r="C944" s="5" t="str">
        <f aca="false">IF(I944="","",INDEX(J_NO,I944))</f>
        <v/>
      </c>
      <c r="D944" s="5" t="str">
        <f aca="false">IF(I944="","",INDEX(J_KET,I944))</f>
        <v/>
      </c>
      <c r="E944" s="5" t="str">
        <f aca="false">IF(I944="","",IF(INDEX(J_DEB,I944)=$C$3,INDEX(J_KRE,I944),INDEX(J_DEB,I944)))</f>
        <v/>
      </c>
      <c r="F944" s="44" t="str">
        <f aca="false">IF(I944="","",IF(INDEX(J_DEB,I944)=$C$3,INDEX(J_NOM,I944),0))</f>
        <v/>
      </c>
      <c r="G944" s="44" t="str">
        <f aca="false">IF(I944="","",IF(INDEX(J_KRE,I944)=$C$3,INDEX(J_NOM,I944),0))</f>
        <v/>
      </c>
      <c r="H944" s="44" t="str">
        <f aca="false">IF(I944="","",N(H943)+IF($C$5="Debet",F944-G944,G944-F944))</f>
        <v/>
      </c>
      <c r="I944" s="66" t="str">
        <f aca="false">IF(J944&gt;$K$1,"",IFERROR(MATCH(J944,J_BB,0),""))</f>
        <v/>
      </c>
      <c r="J944" s="66" t="n">
        <v>935</v>
      </c>
      <c r="K944" s="5"/>
    </row>
    <row r="945" customFormat="false" ht="15" hidden="false" customHeight="false" outlineLevel="0" collapsed="false">
      <c r="A945" s="5" t="str">
        <f aca="false">IF(I945="","",J945)</f>
        <v/>
      </c>
      <c r="B945" s="83" t="str">
        <f aca="false">IF(I945="","",INDEX(J_TGL,I945))</f>
        <v/>
      </c>
      <c r="C945" s="5" t="str">
        <f aca="false">IF(I945="","",INDEX(J_NO,I945))</f>
        <v/>
      </c>
      <c r="D945" s="5" t="str">
        <f aca="false">IF(I945="","",INDEX(J_KET,I945))</f>
        <v/>
      </c>
      <c r="E945" s="5" t="str">
        <f aca="false">IF(I945="","",IF(INDEX(J_DEB,I945)=$C$3,INDEX(J_KRE,I945),INDEX(J_DEB,I945)))</f>
        <v/>
      </c>
      <c r="F945" s="44" t="str">
        <f aca="false">IF(I945="","",IF(INDEX(J_DEB,I945)=$C$3,INDEX(J_NOM,I945),0))</f>
        <v/>
      </c>
      <c r="G945" s="44" t="str">
        <f aca="false">IF(I945="","",IF(INDEX(J_KRE,I945)=$C$3,INDEX(J_NOM,I945),0))</f>
        <v/>
      </c>
      <c r="H945" s="44" t="str">
        <f aca="false">IF(I945="","",N(H944)+IF($C$5="Debet",F945-G945,G945-F945))</f>
        <v/>
      </c>
      <c r="I945" s="66" t="str">
        <f aca="false">IF(J945&gt;$K$1,"",IFERROR(MATCH(J945,J_BB,0),""))</f>
        <v/>
      </c>
      <c r="J945" s="66" t="n">
        <v>936</v>
      </c>
      <c r="K945" s="5"/>
    </row>
    <row r="946" customFormat="false" ht="15" hidden="false" customHeight="false" outlineLevel="0" collapsed="false">
      <c r="A946" s="5" t="str">
        <f aca="false">IF(I946="","",J946)</f>
        <v/>
      </c>
      <c r="B946" s="83" t="str">
        <f aca="false">IF(I946="","",INDEX(J_TGL,I946))</f>
        <v/>
      </c>
      <c r="C946" s="5" t="str">
        <f aca="false">IF(I946="","",INDEX(J_NO,I946))</f>
        <v/>
      </c>
      <c r="D946" s="5" t="str">
        <f aca="false">IF(I946="","",INDEX(J_KET,I946))</f>
        <v/>
      </c>
      <c r="E946" s="5" t="str">
        <f aca="false">IF(I946="","",IF(INDEX(J_DEB,I946)=$C$3,INDEX(J_KRE,I946),INDEX(J_DEB,I946)))</f>
        <v/>
      </c>
      <c r="F946" s="44" t="str">
        <f aca="false">IF(I946="","",IF(INDEX(J_DEB,I946)=$C$3,INDEX(J_NOM,I946),0))</f>
        <v/>
      </c>
      <c r="G946" s="44" t="str">
        <f aca="false">IF(I946="","",IF(INDEX(J_KRE,I946)=$C$3,INDEX(J_NOM,I946),0))</f>
        <v/>
      </c>
      <c r="H946" s="44" t="str">
        <f aca="false">IF(I946="","",N(H945)+IF($C$5="Debet",F946-G946,G946-F946))</f>
        <v/>
      </c>
      <c r="I946" s="66" t="str">
        <f aca="false">IF(J946&gt;$K$1,"",IFERROR(MATCH(J946,J_BB,0),""))</f>
        <v/>
      </c>
      <c r="J946" s="66" t="n">
        <v>937</v>
      </c>
      <c r="K946" s="5"/>
    </row>
    <row r="947" customFormat="false" ht="15" hidden="false" customHeight="false" outlineLevel="0" collapsed="false">
      <c r="A947" s="5" t="str">
        <f aca="false">IF(I947="","",J947)</f>
        <v/>
      </c>
      <c r="B947" s="83" t="str">
        <f aca="false">IF(I947="","",INDEX(J_TGL,I947))</f>
        <v/>
      </c>
      <c r="C947" s="5" t="str">
        <f aca="false">IF(I947="","",INDEX(J_NO,I947))</f>
        <v/>
      </c>
      <c r="D947" s="5" t="str">
        <f aca="false">IF(I947="","",INDEX(J_KET,I947))</f>
        <v/>
      </c>
      <c r="E947" s="5" t="str">
        <f aca="false">IF(I947="","",IF(INDEX(J_DEB,I947)=$C$3,INDEX(J_KRE,I947),INDEX(J_DEB,I947)))</f>
        <v/>
      </c>
      <c r="F947" s="44" t="str">
        <f aca="false">IF(I947="","",IF(INDEX(J_DEB,I947)=$C$3,INDEX(J_NOM,I947),0))</f>
        <v/>
      </c>
      <c r="G947" s="44" t="str">
        <f aca="false">IF(I947="","",IF(INDEX(J_KRE,I947)=$C$3,INDEX(J_NOM,I947),0))</f>
        <v/>
      </c>
      <c r="H947" s="44" t="str">
        <f aca="false">IF(I947="","",N(H946)+IF($C$5="Debet",F947-G947,G947-F947))</f>
        <v/>
      </c>
      <c r="I947" s="66" t="str">
        <f aca="false">IF(J947&gt;$K$1,"",IFERROR(MATCH(J947,J_BB,0),""))</f>
        <v/>
      </c>
      <c r="J947" s="66" t="n">
        <v>938</v>
      </c>
      <c r="K947" s="5"/>
    </row>
    <row r="948" customFormat="false" ht="15" hidden="false" customHeight="false" outlineLevel="0" collapsed="false">
      <c r="A948" s="5" t="str">
        <f aca="false">IF(I948="","",J948)</f>
        <v/>
      </c>
      <c r="B948" s="83" t="str">
        <f aca="false">IF(I948="","",INDEX(J_TGL,I948))</f>
        <v/>
      </c>
      <c r="C948" s="5" t="str">
        <f aca="false">IF(I948="","",INDEX(J_NO,I948))</f>
        <v/>
      </c>
      <c r="D948" s="5" t="str">
        <f aca="false">IF(I948="","",INDEX(J_KET,I948))</f>
        <v/>
      </c>
      <c r="E948" s="5" t="str">
        <f aca="false">IF(I948="","",IF(INDEX(J_DEB,I948)=$C$3,INDEX(J_KRE,I948),INDEX(J_DEB,I948)))</f>
        <v/>
      </c>
      <c r="F948" s="44" t="str">
        <f aca="false">IF(I948="","",IF(INDEX(J_DEB,I948)=$C$3,INDEX(J_NOM,I948),0))</f>
        <v/>
      </c>
      <c r="G948" s="44" t="str">
        <f aca="false">IF(I948="","",IF(INDEX(J_KRE,I948)=$C$3,INDEX(J_NOM,I948),0))</f>
        <v/>
      </c>
      <c r="H948" s="44" t="str">
        <f aca="false">IF(I948="","",N(H947)+IF($C$5="Debet",F948-G948,G948-F948))</f>
        <v/>
      </c>
      <c r="I948" s="66" t="str">
        <f aca="false">IF(J948&gt;$K$1,"",IFERROR(MATCH(J948,J_BB,0),""))</f>
        <v/>
      </c>
      <c r="J948" s="66" t="n">
        <v>939</v>
      </c>
      <c r="K948" s="5"/>
    </row>
    <row r="949" customFormat="false" ht="15" hidden="false" customHeight="false" outlineLevel="0" collapsed="false">
      <c r="A949" s="5" t="str">
        <f aca="false">IF(I949="","",J949)</f>
        <v/>
      </c>
      <c r="B949" s="83" t="str">
        <f aca="false">IF(I949="","",INDEX(J_TGL,I949))</f>
        <v/>
      </c>
      <c r="C949" s="5" t="str">
        <f aca="false">IF(I949="","",INDEX(J_NO,I949))</f>
        <v/>
      </c>
      <c r="D949" s="5" t="str">
        <f aca="false">IF(I949="","",INDEX(J_KET,I949))</f>
        <v/>
      </c>
      <c r="E949" s="5" t="str">
        <f aca="false">IF(I949="","",IF(INDEX(J_DEB,I949)=$C$3,INDEX(J_KRE,I949),INDEX(J_DEB,I949)))</f>
        <v/>
      </c>
      <c r="F949" s="44" t="str">
        <f aca="false">IF(I949="","",IF(INDEX(J_DEB,I949)=$C$3,INDEX(J_NOM,I949),0))</f>
        <v/>
      </c>
      <c r="G949" s="44" t="str">
        <f aca="false">IF(I949="","",IF(INDEX(J_KRE,I949)=$C$3,INDEX(J_NOM,I949),0))</f>
        <v/>
      </c>
      <c r="H949" s="44" t="str">
        <f aca="false">IF(I949="","",N(H948)+IF($C$5="Debet",F949-G949,G949-F949))</f>
        <v/>
      </c>
      <c r="I949" s="66" t="str">
        <f aca="false">IF(J949&gt;$K$1,"",IFERROR(MATCH(J949,J_BB,0),""))</f>
        <v/>
      </c>
      <c r="J949" s="66" t="n">
        <v>940</v>
      </c>
      <c r="K949" s="5"/>
    </row>
    <row r="950" customFormat="false" ht="15" hidden="false" customHeight="false" outlineLevel="0" collapsed="false">
      <c r="A950" s="5" t="str">
        <f aca="false">IF(I950="","",J950)</f>
        <v/>
      </c>
      <c r="B950" s="83" t="str">
        <f aca="false">IF(I950="","",INDEX(J_TGL,I950))</f>
        <v/>
      </c>
      <c r="C950" s="5" t="str">
        <f aca="false">IF(I950="","",INDEX(J_NO,I950))</f>
        <v/>
      </c>
      <c r="D950" s="5" t="str">
        <f aca="false">IF(I950="","",INDEX(J_KET,I950))</f>
        <v/>
      </c>
      <c r="E950" s="5" t="str">
        <f aca="false">IF(I950="","",IF(INDEX(J_DEB,I950)=$C$3,INDEX(J_KRE,I950),INDEX(J_DEB,I950)))</f>
        <v/>
      </c>
      <c r="F950" s="44" t="str">
        <f aca="false">IF(I950="","",IF(INDEX(J_DEB,I950)=$C$3,INDEX(J_NOM,I950),0))</f>
        <v/>
      </c>
      <c r="G950" s="44" t="str">
        <f aca="false">IF(I950="","",IF(INDEX(J_KRE,I950)=$C$3,INDEX(J_NOM,I950),0))</f>
        <v/>
      </c>
      <c r="H950" s="44" t="str">
        <f aca="false">IF(I950="","",N(H949)+IF($C$5="Debet",F950-G950,G950-F950))</f>
        <v/>
      </c>
      <c r="I950" s="66" t="str">
        <f aca="false">IF(J950&gt;$K$1,"",IFERROR(MATCH(J950,J_BB,0),""))</f>
        <v/>
      </c>
      <c r="J950" s="66" t="n">
        <v>941</v>
      </c>
      <c r="K950" s="5"/>
    </row>
    <row r="951" customFormat="false" ht="15" hidden="false" customHeight="false" outlineLevel="0" collapsed="false">
      <c r="A951" s="5" t="str">
        <f aca="false">IF(I951="","",J951)</f>
        <v/>
      </c>
      <c r="B951" s="83" t="str">
        <f aca="false">IF(I951="","",INDEX(J_TGL,I951))</f>
        <v/>
      </c>
      <c r="C951" s="5" t="str">
        <f aca="false">IF(I951="","",INDEX(J_NO,I951))</f>
        <v/>
      </c>
      <c r="D951" s="5" t="str">
        <f aca="false">IF(I951="","",INDEX(J_KET,I951))</f>
        <v/>
      </c>
      <c r="E951" s="5" t="str">
        <f aca="false">IF(I951="","",IF(INDEX(J_DEB,I951)=$C$3,INDEX(J_KRE,I951),INDEX(J_DEB,I951)))</f>
        <v/>
      </c>
      <c r="F951" s="44" t="str">
        <f aca="false">IF(I951="","",IF(INDEX(J_DEB,I951)=$C$3,INDEX(J_NOM,I951),0))</f>
        <v/>
      </c>
      <c r="G951" s="44" t="str">
        <f aca="false">IF(I951="","",IF(INDEX(J_KRE,I951)=$C$3,INDEX(J_NOM,I951),0))</f>
        <v/>
      </c>
      <c r="H951" s="44" t="str">
        <f aca="false">IF(I951="","",N(H950)+IF($C$5="Debet",F951-G951,G951-F951))</f>
        <v/>
      </c>
      <c r="I951" s="66" t="str">
        <f aca="false">IF(J951&gt;$K$1,"",IFERROR(MATCH(J951,J_BB,0),""))</f>
        <v/>
      </c>
      <c r="J951" s="66" t="n">
        <v>942</v>
      </c>
      <c r="K951" s="5"/>
    </row>
    <row r="952" customFormat="false" ht="15" hidden="false" customHeight="false" outlineLevel="0" collapsed="false">
      <c r="A952" s="5" t="str">
        <f aca="false">IF(I952="","",J952)</f>
        <v/>
      </c>
      <c r="B952" s="83" t="str">
        <f aca="false">IF(I952="","",INDEX(J_TGL,I952))</f>
        <v/>
      </c>
      <c r="C952" s="5" t="str">
        <f aca="false">IF(I952="","",INDEX(J_NO,I952))</f>
        <v/>
      </c>
      <c r="D952" s="5" t="str">
        <f aca="false">IF(I952="","",INDEX(J_KET,I952))</f>
        <v/>
      </c>
      <c r="E952" s="5" t="str">
        <f aca="false">IF(I952="","",IF(INDEX(J_DEB,I952)=$C$3,INDEX(J_KRE,I952),INDEX(J_DEB,I952)))</f>
        <v/>
      </c>
      <c r="F952" s="44" t="str">
        <f aca="false">IF(I952="","",IF(INDEX(J_DEB,I952)=$C$3,INDEX(J_NOM,I952),0))</f>
        <v/>
      </c>
      <c r="G952" s="44" t="str">
        <f aca="false">IF(I952="","",IF(INDEX(J_KRE,I952)=$C$3,INDEX(J_NOM,I952),0))</f>
        <v/>
      </c>
      <c r="H952" s="44" t="str">
        <f aca="false">IF(I952="","",N(H951)+IF($C$5="Debet",F952-G952,G952-F952))</f>
        <v/>
      </c>
      <c r="I952" s="66" t="str">
        <f aca="false">IF(J952&gt;$K$1,"",IFERROR(MATCH(J952,J_BB,0),""))</f>
        <v/>
      </c>
      <c r="J952" s="66" t="n">
        <v>943</v>
      </c>
      <c r="K952" s="5"/>
    </row>
    <row r="953" customFormat="false" ht="15" hidden="false" customHeight="false" outlineLevel="0" collapsed="false">
      <c r="A953" s="5" t="str">
        <f aca="false">IF(I953="","",J953)</f>
        <v/>
      </c>
      <c r="B953" s="83" t="str">
        <f aca="false">IF(I953="","",INDEX(J_TGL,I953))</f>
        <v/>
      </c>
      <c r="C953" s="5" t="str">
        <f aca="false">IF(I953="","",INDEX(J_NO,I953))</f>
        <v/>
      </c>
      <c r="D953" s="5" t="str">
        <f aca="false">IF(I953="","",INDEX(J_KET,I953))</f>
        <v/>
      </c>
      <c r="E953" s="5" t="str">
        <f aca="false">IF(I953="","",IF(INDEX(J_DEB,I953)=$C$3,INDEX(J_KRE,I953),INDEX(J_DEB,I953)))</f>
        <v/>
      </c>
      <c r="F953" s="44" t="str">
        <f aca="false">IF(I953="","",IF(INDEX(J_DEB,I953)=$C$3,INDEX(J_NOM,I953),0))</f>
        <v/>
      </c>
      <c r="G953" s="44" t="str">
        <f aca="false">IF(I953="","",IF(INDEX(J_KRE,I953)=$C$3,INDEX(J_NOM,I953),0))</f>
        <v/>
      </c>
      <c r="H953" s="44" t="str">
        <f aca="false">IF(I953="","",N(H952)+IF($C$5="Debet",F953-G953,G953-F953))</f>
        <v/>
      </c>
      <c r="I953" s="66" t="str">
        <f aca="false">IF(J953&gt;$K$1,"",IFERROR(MATCH(J953,J_BB,0),""))</f>
        <v/>
      </c>
      <c r="J953" s="66" t="n">
        <v>944</v>
      </c>
      <c r="K953" s="5"/>
    </row>
    <row r="954" customFormat="false" ht="15" hidden="false" customHeight="false" outlineLevel="0" collapsed="false">
      <c r="A954" s="5" t="str">
        <f aca="false">IF(I954="","",J954)</f>
        <v/>
      </c>
      <c r="B954" s="83" t="str">
        <f aca="false">IF(I954="","",INDEX(J_TGL,I954))</f>
        <v/>
      </c>
      <c r="C954" s="5" t="str">
        <f aca="false">IF(I954="","",INDEX(J_NO,I954))</f>
        <v/>
      </c>
      <c r="D954" s="5" t="str">
        <f aca="false">IF(I954="","",INDEX(J_KET,I954))</f>
        <v/>
      </c>
      <c r="E954" s="5" t="str">
        <f aca="false">IF(I954="","",IF(INDEX(J_DEB,I954)=$C$3,INDEX(J_KRE,I954),INDEX(J_DEB,I954)))</f>
        <v/>
      </c>
      <c r="F954" s="44" t="str">
        <f aca="false">IF(I954="","",IF(INDEX(J_DEB,I954)=$C$3,INDEX(J_NOM,I954),0))</f>
        <v/>
      </c>
      <c r="G954" s="44" t="str">
        <f aca="false">IF(I954="","",IF(INDEX(J_KRE,I954)=$C$3,INDEX(J_NOM,I954),0))</f>
        <v/>
      </c>
      <c r="H954" s="44" t="str">
        <f aca="false">IF(I954="","",N(H953)+IF($C$5="Debet",F954-G954,G954-F954))</f>
        <v/>
      </c>
      <c r="I954" s="66" t="str">
        <f aca="false">IF(J954&gt;$K$1,"",IFERROR(MATCH(J954,J_BB,0),""))</f>
        <v/>
      </c>
      <c r="J954" s="66" t="n">
        <v>945</v>
      </c>
      <c r="K954" s="5"/>
    </row>
    <row r="955" customFormat="false" ht="15" hidden="false" customHeight="false" outlineLevel="0" collapsed="false">
      <c r="A955" s="5" t="str">
        <f aca="false">IF(I955="","",J955)</f>
        <v/>
      </c>
      <c r="B955" s="83" t="str">
        <f aca="false">IF(I955="","",INDEX(J_TGL,I955))</f>
        <v/>
      </c>
      <c r="C955" s="5" t="str">
        <f aca="false">IF(I955="","",INDEX(J_NO,I955))</f>
        <v/>
      </c>
      <c r="D955" s="5" t="str">
        <f aca="false">IF(I955="","",INDEX(J_KET,I955))</f>
        <v/>
      </c>
      <c r="E955" s="5" t="str">
        <f aca="false">IF(I955="","",IF(INDEX(J_DEB,I955)=$C$3,INDEX(J_KRE,I955),INDEX(J_DEB,I955)))</f>
        <v/>
      </c>
      <c r="F955" s="44" t="str">
        <f aca="false">IF(I955="","",IF(INDEX(J_DEB,I955)=$C$3,INDEX(J_NOM,I955),0))</f>
        <v/>
      </c>
      <c r="G955" s="44" t="str">
        <f aca="false">IF(I955="","",IF(INDEX(J_KRE,I955)=$C$3,INDEX(J_NOM,I955),0))</f>
        <v/>
      </c>
      <c r="H955" s="44" t="str">
        <f aca="false">IF(I955="","",N(H954)+IF($C$5="Debet",F955-G955,G955-F955))</f>
        <v/>
      </c>
      <c r="I955" s="66" t="str">
        <f aca="false">IF(J955&gt;$K$1,"",IFERROR(MATCH(J955,J_BB,0),""))</f>
        <v/>
      </c>
      <c r="J955" s="66" t="n">
        <v>946</v>
      </c>
      <c r="K955" s="5"/>
    </row>
    <row r="956" customFormat="false" ht="15" hidden="false" customHeight="false" outlineLevel="0" collapsed="false">
      <c r="A956" s="5" t="str">
        <f aca="false">IF(I956="","",J956)</f>
        <v/>
      </c>
      <c r="B956" s="83" t="str">
        <f aca="false">IF(I956="","",INDEX(J_TGL,I956))</f>
        <v/>
      </c>
      <c r="C956" s="5" t="str">
        <f aca="false">IF(I956="","",INDEX(J_NO,I956))</f>
        <v/>
      </c>
      <c r="D956" s="5" t="str">
        <f aca="false">IF(I956="","",INDEX(J_KET,I956))</f>
        <v/>
      </c>
      <c r="E956" s="5" t="str">
        <f aca="false">IF(I956="","",IF(INDEX(J_DEB,I956)=$C$3,INDEX(J_KRE,I956),INDEX(J_DEB,I956)))</f>
        <v/>
      </c>
      <c r="F956" s="44" t="str">
        <f aca="false">IF(I956="","",IF(INDEX(J_DEB,I956)=$C$3,INDEX(J_NOM,I956),0))</f>
        <v/>
      </c>
      <c r="G956" s="44" t="str">
        <f aca="false">IF(I956="","",IF(INDEX(J_KRE,I956)=$C$3,INDEX(J_NOM,I956),0))</f>
        <v/>
      </c>
      <c r="H956" s="44" t="str">
        <f aca="false">IF(I956="","",N(H955)+IF($C$5="Debet",F956-G956,G956-F956))</f>
        <v/>
      </c>
      <c r="I956" s="66" t="str">
        <f aca="false">IF(J956&gt;$K$1,"",IFERROR(MATCH(J956,J_BB,0),""))</f>
        <v/>
      </c>
      <c r="J956" s="66" t="n">
        <v>947</v>
      </c>
      <c r="K956" s="5"/>
    </row>
    <row r="957" customFormat="false" ht="15" hidden="false" customHeight="false" outlineLevel="0" collapsed="false">
      <c r="A957" s="5" t="str">
        <f aca="false">IF(I957="","",J957)</f>
        <v/>
      </c>
      <c r="B957" s="83" t="str">
        <f aca="false">IF(I957="","",INDEX(J_TGL,I957))</f>
        <v/>
      </c>
      <c r="C957" s="5" t="str">
        <f aca="false">IF(I957="","",INDEX(J_NO,I957))</f>
        <v/>
      </c>
      <c r="D957" s="5" t="str">
        <f aca="false">IF(I957="","",INDEX(J_KET,I957))</f>
        <v/>
      </c>
      <c r="E957" s="5" t="str">
        <f aca="false">IF(I957="","",IF(INDEX(J_DEB,I957)=$C$3,INDEX(J_KRE,I957),INDEX(J_DEB,I957)))</f>
        <v/>
      </c>
      <c r="F957" s="44" t="str">
        <f aca="false">IF(I957="","",IF(INDEX(J_DEB,I957)=$C$3,INDEX(J_NOM,I957),0))</f>
        <v/>
      </c>
      <c r="G957" s="44" t="str">
        <f aca="false">IF(I957="","",IF(INDEX(J_KRE,I957)=$C$3,INDEX(J_NOM,I957),0))</f>
        <v/>
      </c>
      <c r="H957" s="44" t="str">
        <f aca="false">IF(I957="","",N(H956)+IF($C$5="Debet",F957-G957,G957-F957))</f>
        <v/>
      </c>
      <c r="I957" s="66" t="str">
        <f aca="false">IF(J957&gt;$K$1,"",IFERROR(MATCH(J957,J_BB,0),""))</f>
        <v/>
      </c>
      <c r="J957" s="66" t="n">
        <v>948</v>
      </c>
      <c r="K957" s="5"/>
    </row>
    <row r="958" customFormat="false" ht="15" hidden="false" customHeight="false" outlineLevel="0" collapsed="false">
      <c r="A958" s="5" t="str">
        <f aca="false">IF(I958="","",J958)</f>
        <v/>
      </c>
      <c r="B958" s="83" t="str">
        <f aca="false">IF(I958="","",INDEX(J_TGL,I958))</f>
        <v/>
      </c>
      <c r="C958" s="5" t="str">
        <f aca="false">IF(I958="","",INDEX(J_NO,I958))</f>
        <v/>
      </c>
      <c r="D958" s="5" t="str">
        <f aca="false">IF(I958="","",INDEX(J_KET,I958))</f>
        <v/>
      </c>
      <c r="E958" s="5" t="str">
        <f aca="false">IF(I958="","",IF(INDEX(J_DEB,I958)=$C$3,INDEX(J_KRE,I958),INDEX(J_DEB,I958)))</f>
        <v/>
      </c>
      <c r="F958" s="44" t="str">
        <f aca="false">IF(I958="","",IF(INDEX(J_DEB,I958)=$C$3,INDEX(J_NOM,I958),0))</f>
        <v/>
      </c>
      <c r="G958" s="44" t="str">
        <f aca="false">IF(I958="","",IF(INDEX(J_KRE,I958)=$C$3,INDEX(J_NOM,I958),0))</f>
        <v/>
      </c>
      <c r="H958" s="44" t="str">
        <f aca="false">IF(I958="","",N(H957)+IF($C$5="Debet",F958-G958,G958-F958))</f>
        <v/>
      </c>
      <c r="I958" s="66" t="str">
        <f aca="false">IF(J958&gt;$K$1,"",IFERROR(MATCH(J958,J_BB,0),""))</f>
        <v/>
      </c>
      <c r="J958" s="66" t="n">
        <v>949</v>
      </c>
      <c r="K958" s="5"/>
    </row>
    <row r="959" customFormat="false" ht="15" hidden="false" customHeight="false" outlineLevel="0" collapsed="false">
      <c r="A959" s="5" t="str">
        <f aca="false">IF(I959="","",J959)</f>
        <v/>
      </c>
      <c r="B959" s="83" t="str">
        <f aca="false">IF(I959="","",INDEX(J_TGL,I959))</f>
        <v/>
      </c>
      <c r="C959" s="5" t="str">
        <f aca="false">IF(I959="","",INDEX(J_NO,I959))</f>
        <v/>
      </c>
      <c r="D959" s="5" t="str">
        <f aca="false">IF(I959="","",INDEX(J_KET,I959))</f>
        <v/>
      </c>
      <c r="E959" s="5" t="str">
        <f aca="false">IF(I959="","",IF(INDEX(J_DEB,I959)=$C$3,INDEX(J_KRE,I959),INDEX(J_DEB,I959)))</f>
        <v/>
      </c>
      <c r="F959" s="44" t="str">
        <f aca="false">IF(I959="","",IF(INDEX(J_DEB,I959)=$C$3,INDEX(J_NOM,I959),0))</f>
        <v/>
      </c>
      <c r="G959" s="44" t="str">
        <f aca="false">IF(I959="","",IF(INDEX(J_KRE,I959)=$C$3,INDEX(J_NOM,I959),0))</f>
        <v/>
      </c>
      <c r="H959" s="44" t="str">
        <f aca="false">IF(I959="","",N(H958)+IF($C$5="Debet",F959-G959,G959-F959))</f>
        <v/>
      </c>
      <c r="I959" s="66" t="str">
        <f aca="false">IF(J959&gt;$K$1,"",IFERROR(MATCH(J959,J_BB,0),""))</f>
        <v/>
      </c>
      <c r="J959" s="66" t="n">
        <v>950</v>
      </c>
      <c r="K959" s="5"/>
    </row>
    <row r="960" customFormat="false" ht="15" hidden="false" customHeight="false" outlineLevel="0" collapsed="false">
      <c r="A960" s="5" t="str">
        <f aca="false">IF(I960="","",J960)</f>
        <v/>
      </c>
      <c r="B960" s="83" t="str">
        <f aca="false">IF(I960="","",INDEX(J_TGL,I960))</f>
        <v/>
      </c>
      <c r="C960" s="5" t="str">
        <f aca="false">IF(I960="","",INDEX(J_NO,I960))</f>
        <v/>
      </c>
      <c r="D960" s="5" t="str">
        <f aca="false">IF(I960="","",INDEX(J_KET,I960))</f>
        <v/>
      </c>
      <c r="E960" s="5" t="str">
        <f aca="false">IF(I960="","",IF(INDEX(J_DEB,I960)=$C$3,INDEX(J_KRE,I960),INDEX(J_DEB,I960)))</f>
        <v/>
      </c>
      <c r="F960" s="44" t="str">
        <f aca="false">IF(I960="","",IF(INDEX(J_DEB,I960)=$C$3,INDEX(J_NOM,I960),0))</f>
        <v/>
      </c>
      <c r="G960" s="44" t="str">
        <f aca="false">IF(I960="","",IF(INDEX(J_KRE,I960)=$C$3,INDEX(J_NOM,I960),0))</f>
        <v/>
      </c>
      <c r="H960" s="44" t="str">
        <f aca="false">IF(I960="","",N(H959)+IF($C$5="Debet",F960-G960,G960-F960))</f>
        <v/>
      </c>
      <c r="I960" s="66" t="str">
        <f aca="false">IF(J960&gt;$K$1,"",IFERROR(MATCH(J960,J_BB,0),""))</f>
        <v/>
      </c>
      <c r="J960" s="66" t="n">
        <v>951</v>
      </c>
      <c r="K960" s="5"/>
    </row>
    <row r="961" customFormat="false" ht="15" hidden="false" customHeight="false" outlineLevel="0" collapsed="false">
      <c r="A961" s="5" t="str">
        <f aca="false">IF(I961="","",J961)</f>
        <v/>
      </c>
      <c r="B961" s="83" t="str">
        <f aca="false">IF(I961="","",INDEX(J_TGL,I961))</f>
        <v/>
      </c>
      <c r="C961" s="5" t="str">
        <f aca="false">IF(I961="","",INDEX(J_NO,I961))</f>
        <v/>
      </c>
      <c r="D961" s="5" t="str">
        <f aca="false">IF(I961="","",INDEX(J_KET,I961))</f>
        <v/>
      </c>
      <c r="E961" s="5" t="str">
        <f aca="false">IF(I961="","",IF(INDEX(J_DEB,I961)=$C$3,INDEX(J_KRE,I961),INDEX(J_DEB,I961)))</f>
        <v/>
      </c>
      <c r="F961" s="44" t="str">
        <f aca="false">IF(I961="","",IF(INDEX(J_DEB,I961)=$C$3,INDEX(J_NOM,I961),0))</f>
        <v/>
      </c>
      <c r="G961" s="44" t="str">
        <f aca="false">IF(I961="","",IF(INDEX(J_KRE,I961)=$C$3,INDEX(J_NOM,I961),0))</f>
        <v/>
      </c>
      <c r="H961" s="44" t="str">
        <f aca="false">IF(I961="","",N(H960)+IF($C$5="Debet",F961-G961,G961-F961))</f>
        <v/>
      </c>
      <c r="I961" s="66" t="str">
        <f aca="false">IF(J961&gt;$K$1,"",IFERROR(MATCH(J961,J_BB,0),""))</f>
        <v/>
      </c>
      <c r="J961" s="66" t="n">
        <v>952</v>
      </c>
      <c r="K961" s="5"/>
    </row>
    <row r="962" customFormat="false" ht="15" hidden="false" customHeight="false" outlineLevel="0" collapsed="false">
      <c r="A962" s="5" t="str">
        <f aca="false">IF(I962="","",J962)</f>
        <v/>
      </c>
      <c r="B962" s="83" t="str">
        <f aca="false">IF(I962="","",INDEX(J_TGL,I962))</f>
        <v/>
      </c>
      <c r="C962" s="5" t="str">
        <f aca="false">IF(I962="","",INDEX(J_NO,I962))</f>
        <v/>
      </c>
      <c r="D962" s="5" t="str">
        <f aca="false">IF(I962="","",INDEX(J_KET,I962))</f>
        <v/>
      </c>
      <c r="E962" s="5" t="str">
        <f aca="false">IF(I962="","",IF(INDEX(J_DEB,I962)=$C$3,INDEX(J_KRE,I962),INDEX(J_DEB,I962)))</f>
        <v/>
      </c>
      <c r="F962" s="44" t="str">
        <f aca="false">IF(I962="","",IF(INDEX(J_DEB,I962)=$C$3,INDEX(J_NOM,I962),0))</f>
        <v/>
      </c>
      <c r="G962" s="44" t="str">
        <f aca="false">IF(I962="","",IF(INDEX(J_KRE,I962)=$C$3,INDEX(J_NOM,I962),0))</f>
        <v/>
      </c>
      <c r="H962" s="44" t="str">
        <f aca="false">IF(I962="","",N(H961)+IF($C$5="Debet",F962-G962,G962-F962))</f>
        <v/>
      </c>
      <c r="I962" s="66" t="str">
        <f aca="false">IF(J962&gt;$K$1,"",IFERROR(MATCH(J962,J_BB,0),""))</f>
        <v/>
      </c>
      <c r="J962" s="66" t="n">
        <v>953</v>
      </c>
      <c r="K962" s="5"/>
    </row>
    <row r="963" customFormat="false" ht="15" hidden="false" customHeight="false" outlineLevel="0" collapsed="false">
      <c r="A963" s="5" t="str">
        <f aca="false">IF(I963="","",J963)</f>
        <v/>
      </c>
      <c r="B963" s="83" t="str">
        <f aca="false">IF(I963="","",INDEX(J_TGL,I963))</f>
        <v/>
      </c>
      <c r="C963" s="5" t="str">
        <f aca="false">IF(I963="","",INDEX(J_NO,I963))</f>
        <v/>
      </c>
      <c r="D963" s="5" t="str">
        <f aca="false">IF(I963="","",INDEX(J_KET,I963))</f>
        <v/>
      </c>
      <c r="E963" s="5" t="str">
        <f aca="false">IF(I963="","",IF(INDEX(J_DEB,I963)=$C$3,INDEX(J_KRE,I963),INDEX(J_DEB,I963)))</f>
        <v/>
      </c>
      <c r="F963" s="44" t="str">
        <f aca="false">IF(I963="","",IF(INDEX(J_DEB,I963)=$C$3,INDEX(J_NOM,I963),0))</f>
        <v/>
      </c>
      <c r="G963" s="44" t="str">
        <f aca="false">IF(I963="","",IF(INDEX(J_KRE,I963)=$C$3,INDEX(J_NOM,I963),0))</f>
        <v/>
      </c>
      <c r="H963" s="44" t="str">
        <f aca="false">IF(I963="","",N(H962)+IF($C$5="Debet",F963-G963,G963-F963))</f>
        <v/>
      </c>
      <c r="I963" s="66" t="str">
        <f aca="false">IF(J963&gt;$K$1,"",IFERROR(MATCH(J963,J_BB,0),""))</f>
        <v/>
      </c>
      <c r="J963" s="66" t="n">
        <v>954</v>
      </c>
      <c r="K963" s="5"/>
    </row>
    <row r="964" customFormat="false" ht="15" hidden="false" customHeight="false" outlineLevel="0" collapsed="false">
      <c r="A964" s="5" t="str">
        <f aca="false">IF(I964="","",J964)</f>
        <v/>
      </c>
      <c r="B964" s="83" t="str">
        <f aca="false">IF(I964="","",INDEX(J_TGL,I964))</f>
        <v/>
      </c>
      <c r="C964" s="5" t="str">
        <f aca="false">IF(I964="","",INDEX(J_NO,I964))</f>
        <v/>
      </c>
      <c r="D964" s="5" t="str">
        <f aca="false">IF(I964="","",INDEX(J_KET,I964))</f>
        <v/>
      </c>
      <c r="E964" s="5" t="str">
        <f aca="false">IF(I964="","",IF(INDEX(J_DEB,I964)=$C$3,INDEX(J_KRE,I964),INDEX(J_DEB,I964)))</f>
        <v/>
      </c>
      <c r="F964" s="44" t="str">
        <f aca="false">IF(I964="","",IF(INDEX(J_DEB,I964)=$C$3,INDEX(J_NOM,I964),0))</f>
        <v/>
      </c>
      <c r="G964" s="44" t="str">
        <f aca="false">IF(I964="","",IF(INDEX(J_KRE,I964)=$C$3,INDEX(J_NOM,I964),0))</f>
        <v/>
      </c>
      <c r="H964" s="44" t="str">
        <f aca="false">IF(I964="","",N(H963)+IF($C$5="Debet",F964-G964,G964-F964))</f>
        <v/>
      </c>
      <c r="I964" s="66" t="str">
        <f aca="false">IF(J964&gt;$K$1,"",IFERROR(MATCH(J964,J_BB,0),""))</f>
        <v/>
      </c>
      <c r="J964" s="66" t="n">
        <v>955</v>
      </c>
      <c r="K964" s="5"/>
    </row>
    <row r="965" customFormat="false" ht="15" hidden="false" customHeight="false" outlineLevel="0" collapsed="false">
      <c r="A965" s="5" t="str">
        <f aca="false">IF(I965="","",J965)</f>
        <v/>
      </c>
      <c r="B965" s="83" t="str">
        <f aca="false">IF(I965="","",INDEX(J_TGL,I965))</f>
        <v/>
      </c>
      <c r="C965" s="5" t="str">
        <f aca="false">IF(I965="","",INDEX(J_NO,I965))</f>
        <v/>
      </c>
      <c r="D965" s="5" t="str">
        <f aca="false">IF(I965="","",INDEX(J_KET,I965))</f>
        <v/>
      </c>
      <c r="E965" s="5" t="str">
        <f aca="false">IF(I965="","",IF(INDEX(J_DEB,I965)=$C$3,INDEX(J_KRE,I965),INDEX(J_DEB,I965)))</f>
        <v/>
      </c>
      <c r="F965" s="44" t="str">
        <f aca="false">IF(I965="","",IF(INDEX(J_DEB,I965)=$C$3,INDEX(J_NOM,I965),0))</f>
        <v/>
      </c>
      <c r="G965" s="44" t="str">
        <f aca="false">IF(I965="","",IF(INDEX(J_KRE,I965)=$C$3,INDEX(J_NOM,I965),0))</f>
        <v/>
      </c>
      <c r="H965" s="44" t="str">
        <f aca="false">IF(I965="","",N(H964)+IF($C$5="Debet",F965-G965,G965-F965))</f>
        <v/>
      </c>
      <c r="I965" s="66" t="str">
        <f aca="false">IF(J965&gt;$K$1,"",IFERROR(MATCH(J965,J_BB,0),""))</f>
        <v/>
      </c>
      <c r="J965" s="66" t="n">
        <v>956</v>
      </c>
      <c r="K965" s="5"/>
    </row>
    <row r="966" customFormat="false" ht="15" hidden="false" customHeight="false" outlineLevel="0" collapsed="false">
      <c r="A966" s="5" t="str">
        <f aca="false">IF(I966="","",J966)</f>
        <v/>
      </c>
      <c r="B966" s="83" t="str">
        <f aca="false">IF(I966="","",INDEX(J_TGL,I966))</f>
        <v/>
      </c>
      <c r="C966" s="5" t="str">
        <f aca="false">IF(I966="","",INDEX(J_NO,I966))</f>
        <v/>
      </c>
      <c r="D966" s="5" t="str">
        <f aca="false">IF(I966="","",INDEX(J_KET,I966))</f>
        <v/>
      </c>
      <c r="E966" s="5" t="str">
        <f aca="false">IF(I966="","",IF(INDEX(J_DEB,I966)=$C$3,INDEX(J_KRE,I966),INDEX(J_DEB,I966)))</f>
        <v/>
      </c>
      <c r="F966" s="44" t="str">
        <f aca="false">IF(I966="","",IF(INDEX(J_DEB,I966)=$C$3,INDEX(J_NOM,I966),0))</f>
        <v/>
      </c>
      <c r="G966" s="44" t="str">
        <f aca="false">IF(I966="","",IF(INDEX(J_KRE,I966)=$C$3,INDEX(J_NOM,I966),0))</f>
        <v/>
      </c>
      <c r="H966" s="44" t="str">
        <f aca="false">IF(I966="","",N(H965)+IF($C$5="Debet",F966-G966,G966-F966))</f>
        <v/>
      </c>
      <c r="I966" s="66" t="str">
        <f aca="false">IF(J966&gt;$K$1,"",IFERROR(MATCH(J966,J_BB,0),""))</f>
        <v/>
      </c>
      <c r="J966" s="66" t="n">
        <v>957</v>
      </c>
      <c r="K966" s="5"/>
    </row>
    <row r="967" customFormat="false" ht="15" hidden="false" customHeight="false" outlineLevel="0" collapsed="false">
      <c r="A967" s="5" t="str">
        <f aca="false">IF(I967="","",J967)</f>
        <v/>
      </c>
      <c r="B967" s="83" t="str">
        <f aca="false">IF(I967="","",INDEX(J_TGL,I967))</f>
        <v/>
      </c>
      <c r="C967" s="5" t="str">
        <f aca="false">IF(I967="","",INDEX(J_NO,I967))</f>
        <v/>
      </c>
      <c r="D967" s="5" t="str">
        <f aca="false">IF(I967="","",INDEX(J_KET,I967))</f>
        <v/>
      </c>
      <c r="E967" s="5" t="str">
        <f aca="false">IF(I967="","",IF(INDEX(J_DEB,I967)=$C$3,INDEX(J_KRE,I967),INDEX(J_DEB,I967)))</f>
        <v/>
      </c>
      <c r="F967" s="44" t="str">
        <f aca="false">IF(I967="","",IF(INDEX(J_DEB,I967)=$C$3,INDEX(J_NOM,I967),0))</f>
        <v/>
      </c>
      <c r="G967" s="44" t="str">
        <f aca="false">IF(I967="","",IF(INDEX(J_KRE,I967)=$C$3,INDEX(J_NOM,I967),0))</f>
        <v/>
      </c>
      <c r="H967" s="44" t="str">
        <f aca="false">IF(I967="","",N(H966)+IF($C$5="Debet",F967-G967,G967-F967))</f>
        <v/>
      </c>
      <c r="I967" s="66" t="str">
        <f aca="false">IF(J967&gt;$K$1,"",IFERROR(MATCH(J967,J_BB,0),""))</f>
        <v/>
      </c>
      <c r="J967" s="66" t="n">
        <v>958</v>
      </c>
      <c r="K967" s="5"/>
    </row>
    <row r="968" customFormat="false" ht="15" hidden="false" customHeight="false" outlineLevel="0" collapsed="false">
      <c r="A968" s="5" t="str">
        <f aca="false">IF(I968="","",J968)</f>
        <v/>
      </c>
      <c r="B968" s="83" t="str">
        <f aca="false">IF(I968="","",INDEX(J_TGL,I968))</f>
        <v/>
      </c>
      <c r="C968" s="5" t="str">
        <f aca="false">IF(I968="","",INDEX(J_NO,I968))</f>
        <v/>
      </c>
      <c r="D968" s="5" t="str">
        <f aca="false">IF(I968="","",INDEX(J_KET,I968))</f>
        <v/>
      </c>
      <c r="E968" s="5" t="str">
        <f aca="false">IF(I968="","",IF(INDEX(J_DEB,I968)=$C$3,INDEX(J_KRE,I968),INDEX(J_DEB,I968)))</f>
        <v/>
      </c>
      <c r="F968" s="44" t="str">
        <f aca="false">IF(I968="","",IF(INDEX(J_DEB,I968)=$C$3,INDEX(J_NOM,I968),0))</f>
        <v/>
      </c>
      <c r="G968" s="44" t="str">
        <f aca="false">IF(I968="","",IF(INDEX(J_KRE,I968)=$C$3,INDEX(J_NOM,I968),0))</f>
        <v/>
      </c>
      <c r="H968" s="44" t="str">
        <f aca="false">IF(I968="","",N(H967)+IF($C$5="Debet",F968-G968,G968-F968))</f>
        <v/>
      </c>
      <c r="I968" s="66" t="str">
        <f aca="false">IF(J968&gt;$K$1,"",IFERROR(MATCH(J968,J_BB,0),""))</f>
        <v/>
      </c>
      <c r="J968" s="66" t="n">
        <v>959</v>
      </c>
      <c r="K968" s="5"/>
    </row>
    <row r="969" customFormat="false" ht="15" hidden="false" customHeight="false" outlineLevel="0" collapsed="false">
      <c r="A969" s="5" t="str">
        <f aca="false">IF(I969="","",J969)</f>
        <v/>
      </c>
      <c r="B969" s="83" t="str">
        <f aca="false">IF(I969="","",INDEX(J_TGL,I969))</f>
        <v/>
      </c>
      <c r="C969" s="5" t="str">
        <f aca="false">IF(I969="","",INDEX(J_NO,I969))</f>
        <v/>
      </c>
      <c r="D969" s="5" t="str">
        <f aca="false">IF(I969="","",INDEX(J_KET,I969))</f>
        <v/>
      </c>
      <c r="E969" s="5" t="str">
        <f aca="false">IF(I969="","",IF(INDEX(J_DEB,I969)=$C$3,INDEX(J_KRE,I969),INDEX(J_DEB,I969)))</f>
        <v/>
      </c>
      <c r="F969" s="44" t="str">
        <f aca="false">IF(I969="","",IF(INDEX(J_DEB,I969)=$C$3,INDEX(J_NOM,I969),0))</f>
        <v/>
      </c>
      <c r="G969" s="44" t="str">
        <f aca="false">IF(I969="","",IF(INDEX(J_KRE,I969)=$C$3,INDEX(J_NOM,I969),0))</f>
        <v/>
      </c>
      <c r="H969" s="44" t="str">
        <f aca="false">IF(I969="","",N(H968)+IF($C$5="Debet",F969-G969,G969-F969))</f>
        <v/>
      </c>
      <c r="I969" s="66" t="str">
        <f aca="false">IF(J969&gt;$K$1,"",IFERROR(MATCH(J969,J_BB,0),""))</f>
        <v/>
      </c>
      <c r="J969" s="66" t="n">
        <v>960</v>
      </c>
      <c r="K969" s="5"/>
    </row>
    <row r="970" customFormat="false" ht="15" hidden="false" customHeight="false" outlineLevel="0" collapsed="false">
      <c r="A970" s="5" t="str">
        <f aca="false">IF(I970="","",J970)</f>
        <v/>
      </c>
      <c r="B970" s="83" t="str">
        <f aca="false">IF(I970="","",INDEX(J_TGL,I970))</f>
        <v/>
      </c>
      <c r="C970" s="5" t="str">
        <f aca="false">IF(I970="","",INDEX(J_NO,I970))</f>
        <v/>
      </c>
      <c r="D970" s="5" t="str">
        <f aca="false">IF(I970="","",INDEX(J_KET,I970))</f>
        <v/>
      </c>
      <c r="E970" s="5" t="str">
        <f aca="false">IF(I970="","",IF(INDEX(J_DEB,I970)=$C$3,INDEX(J_KRE,I970),INDEX(J_DEB,I970)))</f>
        <v/>
      </c>
      <c r="F970" s="44" t="str">
        <f aca="false">IF(I970="","",IF(INDEX(J_DEB,I970)=$C$3,INDEX(J_NOM,I970),0))</f>
        <v/>
      </c>
      <c r="G970" s="44" t="str">
        <f aca="false">IF(I970="","",IF(INDEX(J_KRE,I970)=$C$3,INDEX(J_NOM,I970),0))</f>
        <v/>
      </c>
      <c r="H970" s="44" t="str">
        <f aca="false">IF(I970="","",N(H969)+IF($C$5="Debet",F970-G970,G970-F970))</f>
        <v/>
      </c>
      <c r="I970" s="66" t="str">
        <f aca="false">IF(J970&gt;$K$1,"",IFERROR(MATCH(J970,J_BB,0),""))</f>
        <v/>
      </c>
      <c r="J970" s="66" t="n">
        <v>961</v>
      </c>
      <c r="K970" s="5"/>
    </row>
    <row r="971" customFormat="false" ht="15" hidden="false" customHeight="false" outlineLevel="0" collapsed="false">
      <c r="A971" s="5" t="str">
        <f aca="false">IF(I971="","",J971)</f>
        <v/>
      </c>
      <c r="B971" s="83" t="str">
        <f aca="false">IF(I971="","",INDEX(J_TGL,I971))</f>
        <v/>
      </c>
      <c r="C971" s="5" t="str">
        <f aca="false">IF(I971="","",INDEX(J_NO,I971))</f>
        <v/>
      </c>
      <c r="D971" s="5" t="str">
        <f aca="false">IF(I971="","",INDEX(J_KET,I971))</f>
        <v/>
      </c>
      <c r="E971" s="5" t="str">
        <f aca="false">IF(I971="","",IF(INDEX(J_DEB,I971)=$C$3,INDEX(J_KRE,I971),INDEX(J_DEB,I971)))</f>
        <v/>
      </c>
      <c r="F971" s="44" t="str">
        <f aca="false">IF(I971="","",IF(INDEX(J_DEB,I971)=$C$3,INDEX(J_NOM,I971),0))</f>
        <v/>
      </c>
      <c r="G971" s="44" t="str">
        <f aca="false">IF(I971="","",IF(INDEX(J_KRE,I971)=$C$3,INDEX(J_NOM,I971),0))</f>
        <v/>
      </c>
      <c r="H971" s="44" t="str">
        <f aca="false">IF(I971="","",N(H970)+IF($C$5="Debet",F971-G971,G971-F971))</f>
        <v/>
      </c>
      <c r="I971" s="66" t="str">
        <f aca="false">IF(J971&gt;$K$1,"",IFERROR(MATCH(J971,J_BB,0),""))</f>
        <v/>
      </c>
      <c r="J971" s="66" t="n">
        <v>962</v>
      </c>
      <c r="K971" s="5"/>
    </row>
    <row r="972" customFormat="false" ht="15" hidden="false" customHeight="false" outlineLevel="0" collapsed="false">
      <c r="A972" s="5" t="str">
        <f aca="false">IF(I972="","",J972)</f>
        <v/>
      </c>
      <c r="B972" s="83" t="str">
        <f aca="false">IF(I972="","",INDEX(J_TGL,I972))</f>
        <v/>
      </c>
      <c r="C972" s="5" t="str">
        <f aca="false">IF(I972="","",INDEX(J_NO,I972))</f>
        <v/>
      </c>
      <c r="D972" s="5" t="str">
        <f aca="false">IF(I972="","",INDEX(J_KET,I972))</f>
        <v/>
      </c>
      <c r="E972" s="5" t="str">
        <f aca="false">IF(I972="","",IF(INDEX(J_DEB,I972)=$C$3,INDEX(J_KRE,I972),INDEX(J_DEB,I972)))</f>
        <v/>
      </c>
      <c r="F972" s="44" t="str">
        <f aca="false">IF(I972="","",IF(INDEX(J_DEB,I972)=$C$3,INDEX(J_NOM,I972),0))</f>
        <v/>
      </c>
      <c r="G972" s="44" t="str">
        <f aca="false">IF(I972="","",IF(INDEX(J_KRE,I972)=$C$3,INDEX(J_NOM,I972),0))</f>
        <v/>
      </c>
      <c r="H972" s="44" t="str">
        <f aca="false">IF(I972="","",N(H971)+IF($C$5="Debet",F972-G972,G972-F972))</f>
        <v/>
      </c>
      <c r="I972" s="66" t="str">
        <f aca="false">IF(J972&gt;$K$1,"",IFERROR(MATCH(J972,J_BB,0),""))</f>
        <v/>
      </c>
      <c r="J972" s="66" t="n">
        <v>963</v>
      </c>
      <c r="K972" s="5"/>
    </row>
    <row r="973" customFormat="false" ht="15" hidden="false" customHeight="false" outlineLevel="0" collapsed="false">
      <c r="A973" s="5" t="str">
        <f aca="false">IF(I973="","",J973)</f>
        <v/>
      </c>
      <c r="B973" s="83" t="str">
        <f aca="false">IF(I973="","",INDEX(J_TGL,I973))</f>
        <v/>
      </c>
      <c r="C973" s="5" t="str">
        <f aca="false">IF(I973="","",INDEX(J_NO,I973))</f>
        <v/>
      </c>
      <c r="D973" s="5" t="str">
        <f aca="false">IF(I973="","",INDEX(J_KET,I973))</f>
        <v/>
      </c>
      <c r="E973" s="5" t="str">
        <f aca="false">IF(I973="","",IF(INDEX(J_DEB,I973)=$C$3,INDEX(J_KRE,I973),INDEX(J_DEB,I973)))</f>
        <v/>
      </c>
      <c r="F973" s="44" t="str">
        <f aca="false">IF(I973="","",IF(INDEX(J_DEB,I973)=$C$3,INDEX(J_NOM,I973),0))</f>
        <v/>
      </c>
      <c r="G973" s="44" t="str">
        <f aca="false">IF(I973="","",IF(INDEX(J_KRE,I973)=$C$3,INDEX(J_NOM,I973),0))</f>
        <v/>
      </c>
      <c r="H973" s="44" t="str">
        <f aca="false">IF(I973="","",N(H972)+IF($C$5="Debet",F973-G973,G973-F973))</f>
        <v/>
      </c>
      <c r="I973" s="66" t="str">
        <f aca="false">IF(J973&gt;$K$1,"",IFERROR(MATCH(J973,J_BB,0),""))</f>
        <v/>
      </c>
      <c r="J973" s="66" t="n">
        <v>964</v>
      </c>
      <c r="K973" s="5"/>
    </row>
    <row r="974" customFormat="false" ht="15" hidden="false" customHeight="false" outlineLevel="0" collapsed="false">
      <c r="A974" s="5" t="str">
        <f aca="false">IF(I974="","",J974)</f>
        <v/>
      </c>
      <c r="B974" s="83" t="str">
        <f aca="false">IF(I974="","",INDEX(J_TGL,I974))</f>
        <v/>
      </c>
      <c r="C974" s="5" t="str">
        <f aca="false">IF(I974="","",INDEX(J_NO,I974))</f>
        <v/>
      </c>
      <c r="D974" s="5" t="str">
        <f aca="false">IF(I974="","",INDEX(J_KET,I974))</f>
        <v/>
      </c>
      <c r="E974" s="5" t="str">
        <f aca="false">IF(I974="","",IF(INDEX(J_DEB,I974)=$C$3,INDEX(J_KRE,I974),INDEX(J_DEB,I974)))</f>
        <v/>
      </c>
      <c r="F974" s="44" t="str">
        <f aca="false">IF(I974="","",IF(INDEX(J_DEB,I974)=$C$3,INDEX(J_NOM,I974),0))</f>
        <v/>
      </c>
      <c r="G974" s="44" t="str">
        <f aca="false">IF(I974="","",IF(INDEX(J_KRE,I974)=$C$3,INDEX(J_NOM,I974),0))</f>
        <v/>
      </c>
      <c r="H974" s="44" t="str">
        <f aca="false">IF(I974="","",N(H973)+IF($C$5="Debet",F974-G974,G974-F974))</f>
        <v/>
      </c>
      <c r="I974" s="66" t="str">
        <f aca="false">IF(J974&gt;$K$1,"",IFERROR(MATCH(J974,J_BB,0),""))</f>
        <v/>
      </c>
      <c r="J974" s="66" t="n">
        <v>965</v>
      </c>
      <c r="K974" s="5"/>
    </row>
    <row r="975" customFormat="false" ht="15" hidden="false" customHeight="false" outlineLevel="0" collapsed="false">
      <c r="A975" s="5" t="str">
        <f aca="false">IF(I975="","",J975)</f>
        <v/>
      </c>
      <c r="B975" s="83" t="str">
        <f aca="false">IF(I975="","",INDEX(J_TGL,I975))</f>
        <v/>
      </c>
      <c r="C975" s="5" t="str">
        <f aca="false">IF(I975="","",INDEX(J_NO,I975))</f>
        <v/>
      </c>
      <c r="D975" s="5" t="str">
        <f aca="false">IF(I975="","",INDEX(J_KET,I975))</f>
        <v/>
      </c>
      <c r="E975" s="5" t="str">
        <f aca="false">IF(I975="","",IF(INDEX(J_DEB,I975)=$C$3,INDEX(J_KRE,I975),INDEX(J_DEB,I975)))</f>
        <v/>
      </c>
      <c r="F975" s="44" t="str">
        <f aca="false">IF(I975="","",IF(INDEX(J_DEB,I975)=$C$3,INDEX(J_NOM,I975),0))</f>
        <v/>
      </c>
      <c r="G975" s="44" t="str">
        <f aca="false">IF(I975="","",IF(INDEX(J_KRE,I975)=$C$3,INDEX(J_NOM,I975),0))</f>
        <v/>
      </c>
      <c r="H975" s="44" t="str">
        <f aca="false">IF(I975="","",N(H974)+IF($C$5="Debet",F975-G975,G975-F975))</f>
        <v/>
      </c>
      <c r="I975" s="66" t="str">
        <f aca="false">IF(J975&gt;$K$1,"",IFERROR(MATCH(J975,J_BB,0),""))</f>
        <v/>
      </c>
      <c r="J975" s="66" t="n">
        <v>966</v>
      </c>
      <c r="K975" s="5"/>
    </row>
    <row r="976" customFormat="false" ht="15" hidden="false" customHeight="false" outlineLevel="0" collapsed="false">
      <c r="A976" s="5" t="str">
        <f aca="false">IF(I976="","",J976)</f>
        <v/>
      </c>
      <c r="B976" s="83" t="str">
        <f aca="false">IF(I976="","",INDEX(J_TGL,I976))</f>
        <v/>
      </c>
      <c r="C976" s="5" t="str">
        <f aca="false">IF(I976="","",INDEX(J_NO,I976))</f>
        <v/>
      </c>
      <c r="D976" s="5" t="str">
        <f aca="false">IF(I976="","",INDEX(J_KET,I976))</f>
        <v/>
      </c>
      <c r="E976" s="5" t="str">
        <f aca="false">IF(I976="","",IF(INDEX(J_DEB,I976)=$C$3,INDEX(J_KRE,I976),INDEX(J_DEB,I976)))</f>
        <v/>
      </c>
      <c r="F976" s="44" t="str">
        <f aca="false">IF(I976="","",IF(INDEX(J_DEB,I976)=$C$3,INDEX(J_NOM,I976),0))</f>
        <v/>
      </c>
      <c r="G976" s="44" t="str">
        <f aca="false">IF(I976="","",IF(INDEX(J_KRE,I976)=$C$3,INDEX(J_NOM,I976),0))</f>
        <v/>
      </c>
      <c r="H976" s="44" t="str">
        <f aca="false">IF(I976="","",N(H975)+IF($C$5="Debet",F976-G976,G976-F976))</f>
        <v/>
      </c>
      <c r="I976" s="66" t="str">
        <f aca="false">IF(J976&gt;$K$1,"",IFERROR(MATCH(J976,J_BB,0),""))</f>
        <v/>
      </c>
      <c r="J976" s="66" t="n">
        <v>967</v>
      </c>
      <c r="K976" s="5"/>
    </row>
    <row r="977" customFormat="false" ht="15" hidden="false" customHeight="false" outlineLevel="0" collapsed="false">
      <c r="A977" s="5" t="str">
        <f aca="false">IF(I977="","",J977)</f>
        <v/>
      </c>
      <c r="B977" s="83" t="str">
        <f aca="false">IF(I977="","",INDEX(J_TGL,I977))</f>
        <v/>
      </c>
      <c r="C977" s="5" t="str">
        <f aca="false">IF(I977="","",INDEX(J_NO,I977))</f>
        <v/>
      </c>
      <c r="D977" s="5" t="str">
        <f aca="false">IF(I977="","",INDEX(J_KET,I977))</f>
        <v/>
      </c>
      <c r="E977" s="5" t="str">
        <f aca="false">IF(I977="","",IF(INDEX(J_DEB,I977)=$C$3,INDEX(J_KRE,I977),INDEX(J_DEB,I977)))</f>
        <v/>
      </c>
      <c r="F977" s="44" t="str">
        <f aca="false">IF(I977="","",IF(INDEX(J_DEB,I977)=$C$3,INDEX(J_NOM,I977),0))</f>
        <v/>
      </c>
      <c r="G977" s="44" t="str">
        <f aca="false">IF(I977="","",IF(INDEX(J_KRE,I977)=$C$3,INDEX(J_NOM,I977),0))</f>
        <v/>
      </c>
      <c r="H977" s="44" t="str">
        <f aca="false">IF(I977="","",N(H976)+IF($C$5="Debet",F977-G977,G977-F977))</f>
        <v/>
      </c>
      <c r="I977" s="66" t="str">
        <f aca="false">IF(J977&gt;$K$1,"",IFERROR(MATCH(J977,J_BB,0),""))</f>
        <v/>
      </c>
      <c r="J977" s="66" t="n">
        <v>968</v>
      </c>
      <c r="K977" s="5"/>
    </row>
    <row r="978" customFormat="false" ht="15" hidden="false" customHeight="false" outlineLevel="0" collapsed="false">
      <c r="A978" s="5" t="str">
        <f aca="false">IF(I978="","",J978)</f>
        <v/>
      </c>
      <c r="B978" s="83" t="str">
        <f aca="false">IF(I978="","",INDEX(J_TGL,I978))</f>
        <v/>
      </c>
      <c r="C978" s="5" t="str">
        <f aca="false">IF(I978="","",INDEX(J_NO,I978))</f>
        <v/>
      </c>
      <c r="D978" s="5" t="str">
        <f aca="false">IF(I978="","",INDEX(J_KET,I978))</f>
        <v/>
      </c>
      <c r="E978" s="5" t="str">
        <f aca="false">IF(I978="","",IF(INDEX(J_DEB,I978)=$C$3,INDEX(J_KRE,I978),INDEX(J_DEB,I978)))</f>
        <v/>
      </c>
      <c r="F978" s="44" t="str">
        <f aca="false">IF(I978="","",IF(INDEX(J_DEB,I978)=$C$3,INDEX(J_NOM,I978),0))</f>
        <v/>
      </c>
      <c r="G978" s="44" t="str">
        <f aca="false">IF(I978="","",IF(INDEX(J_KRE,I978)=$C$3,INDEX(J_NOM,I978),0))</f>
        <v/>
      </c>
      <c r="H978" s="44" t="str">
        <f aca="false">IF(I978="","",N(H977)+IF($C$5="Debet",F978-G978,G978-F978))</f>
        <v/>
      </c>
      <c r="I978" s="66" t="str">
        <f aca="false">IF(J978&gt;$K$1,"",IFERROR(MATCH(J978,J_BB,0),""))</f>
        <v/>
      </c>
      <c r="J978" s="66" t="n">
        <v>969</v>
      </c>
      <c r="K978" s="5"/>
    </row>
    <row r="979" customFormat="false" ht="15" hidden="false" customHeight="false" outlineLevel="0" collapsed="false">
      <c r="A979" s="5" t="str">
        <f aca="false">IF(I979="","",J979)</f>
        <v/>
      </c>
      <c r="B979" s="83" t="str">
        <f aca="false">IF(I979="","",INDEX(J_TGL,I979))</f>
        <v/>
      </c>
      <c r="C979" s="5" t="str">
        <f aca="false">IF(I979="","",INDEX(J_NO,I979))</f>
        <v/>
      </c>
      <c r="D979" s="5" t="str">
        <f aca="false">IF(I979="","",INDEX(J_KET,I979))</f>
        <v/>
      </c>
      <c r="E979" s="5" t="str">
        <f aca="false">IF(I979="","",IF(INDEX(J_DEB,I979)=$C$3,INDEX(J_KRE,I979),INDEX(J_DEB,I979)))</f>
        <v/>
      </c>
      <c r="F979" s="44" t="str">
        <f aca="false">IF(I979="","",IF(INDEX(J_DEB,I979)=$C$3,INDEX(J_NOM,I979),0))</f>
        <v/>
      </c>
      <c r="G979" s="44" t="str">
        <f aca="false">IF(I979="","",IF(INDEX(J_KRE,I979)=$C$3,INDEX(J_NOM,I979),0))</f>
        <v/>
      </c>
      <c r="H979" s="44" t="str">
        <f aca="false">IF(I979="","",N(H978)+IF($C$5="Debet",F979-G979,G979-F979))</f>
        <v/>
      </c>
      <c r="I979" s="66" t="str">
        <f aca="false">IF(J979&gt;$K$1,"",IFERROR(MATCH(J979,J_BB,0),""))</f>
        <v/>
      </c>
      <c r="J979" s="66" t="n">
        <v>970</v>
      </c>
      <c r="K979" s="5"/>
    </row>
    <row r="980" customFormat="false" ht="15" hidden="false" customHeight="false" outlineLevel="0" collapsed="false">
      <c r="A980" s="5" t="str">
        <f aca="false">IF(I980="","",J980)</f>
        <v/>
      </c>
      <c r="B980" s="83" t="str">
        <f aca="false">IF(I980="","",INDEX(J_TGL,I980))</f>
        <v/>
      </c>
      <c r="C980" s="5" t="str">
        <f aca="false">IF(I980="","",INDEX(J_NO,I980))</f>
        <v/>
      </c>
      <c r="D980" s="5" t="str">
        <f aca="false">IF(I980="","",INDEX(J_KET,I980))</f>
        <v/>
      </c>
      <c r="E980" s="5" t="str">
        <f aca="false">IF(I980="","",IF(INDEX(J_DEB,I980)=$C$3,INDEX(J_KRE,I980),INDEX(J_DEB,I980)))</f>
        <v/>
      </c>
      <c r="F980" s="44" t="str">
        <f aca="false">IF(I980="","",IF(INDEX(J_DEB,I980)=$C$3,INDEX(J_NOM,I980),0))</f>
        <v/>
      </c>
      <c r="G980" s="44" t="str">
        <f aca="false">IF(I980="","",IF(INDEX(J_KRE,I980)=$C$3,INDEX(J_NOM,I980),0))</f>
        <v/>
      </c>
      <c r="H980" s="44" t="str">
        <f aca="false">IF(I980="","",N(H979)+IF($C$5="Debet",F980-G980,G980-F980))</f>
        <v/>
      </c>
      <c r="I980" s="66" t="str">
        <f aca="false">IF(J980&gt;$K$1,"",IFERROR(MATCH(J980,J_BB,0),""))</f>
        <v/>
      </c>
      <c r="J980" s="66" t="n">
        <v>971</v>
      </c>
      <c r="K980" s="5"/>
    </row>
    <row r="981" customFormat="false" ht="15" hidden="false" customHeight="false" outlineLevel="0" collapsed="false">
      <c r="A981" s="5" t="str">
        <f aca="false">IF(I981="","",J981)</f>
        <v/>
      </c>
      <c r="B981" s="83" t="str">
        <f aca="false">IF(I981="","",INDEX(J_TGL,I981))</f>
        <v/>
      </c>
      <c r="C981" s="5" t="str">
        <f aca="false">IF(I981="","",INDEX(J_NO,I981))</f>
        <v/>
      </c>
      <c r="D981" s="5" t="str">
        <f aca="false">IF(I981="","",INDEX(J_KET,I981))</f>
        <v/>
      </c>
      <c r="E981" s="5" t="str">
        <f aca="false">IF(I981="","",IF(INDEX(J_DEB,I981)=$C$3,INDEX(J_KRE,I981),INDEX(J_DEB,I981)))</f>
        <v/>
      </c>
      <c r="F981" s="44" t="str">
        <f aca="false">IF(I981="","",IF(INDEX(J_DEB,I981)=$C$3,INDEX(J_NOM,I981),0))</f>
        <v/>
      </c>
      <c r="G981" s="44" t="str">
        <f aca="false">IF(I981="","",IF(INDEX(J_KRE,I981)=$C$3,INDEX(J_NOM,I981),0))</f>
        <v/>
      </c>
      <c r="H981" s="44" t="str">
        <f aca="false">IF(I981="","",N(H980)+IF($C$5="Debet",F981-G981,G981-F981))</f>
        <v/>
      </c>
      <c r="I981" s="66" t="str">
        <f aca="false">IF(J981&gt;$K$1,"",IFERROR(MATCH(J981,J_BB,0),""))</f>
        <v/>
      </c>
      <c r="J981" s="66" t="n">
        <v>972</v>
      </c>
      <c r="K981" s="5"/>
    </row>
    <row r="982" customFormat="false" ht="15" hidden="false" customHeight="false" outlineLevel="0" collapsed="false">
      <c r="A982" s="5" t="str">
        <f aca="false">IF(I982="","",J982)</f>
        <v/>
      </c>
      <c r="B982" s="83" t="str">
        <f aca="false">IF(I982="","",INDEX(J_TGL,I982))</f>
        <v/>
      </c>
      <c r="C982" s="5" t="str">
        <f aca="false">IF(I982="","",INDEX(J_NO,I982))</f>
        <v/>
      </c>
      <c r="D982" s="5" t="str">
        <f aca="false">IF(I982="","",INDEX(J_KET,I982))</f>
        <v/>
      </c>
      <c r="E982" s="5" t="str">
        <f aca="false">IF(I982="","",IF(INDEX(J_DEB,I982)=$C$3,INDEX(J_KRE,I982),INDEX(J_DEB,I982)))</f>
        <v/>
      </c>
      <c r="F982" s="44" t="str">
        <f aca="false">IF(I982="","",IF(INDEX(J_DEB,I982)=$C$3,INDEX(J_NOM,I982),0))</f>
        <v/>
      </c>
      <c r="G982" s="44" t="str">
        <f aca="false">IF(I982="","",IF(INDEX(J_KRE,I982)=$C$3,INDEX(J_NOM,I982),0))</f>
        <v/>
      </c>
      <c r="H982" s="44" t="str">
        <f aca="false">IF(I982="","",N(H981)+IF($C$5="Debet",F982-G982,G982-F982))</f>
        <v/>
      </c>
      <c r="I982" s="66" t="str">
        <f aca="false">IF(J982&gt;$K$1,"",IFERROR(MATCH(J982,J_BB,0),""))</f>
        <v/>
      </c>
      <c r="J982" s="66" t="n">
        <v>973</v>
      </c>
      <c r="K982" s="5"/>
    </row>
    <row r="983" customFormat="false" ht="15" hidden="false" customHeight="false" outlineLevel="0" collapsed="false">
      <c r="A983" s="5" t="str">
        <f aca="false">IF(I983="","",J983)</f>
        <v/>
      </c>
      <c r="B983" s="83" t="str">
        <f aca="false">IF(I983="","",INDEX(J_TGL,I983))</f>
        <v/>
      </c>
      <c r="C983" s="5" t="str">
        <f aca="false">IF(I983="","",INDEX(J_NO,I983))</f>
        <v/>
      </c>
      <c r="D983" s="5" t="str">
        <f aca="false">IF(I983="","",INDEX(J_KET,I983))</f>
        <v/>
      </c>
      <c r="E983" s="5" t="str">
        <f aca="false">IF(I983="","",IF(INDEX(J_DEB,I983)=$C$3,INDEX(J_KRE,I983),INDEX(J_DEB,I983)))</f>
        <v/>
      </c>
      <c r="F983" s="44" t="str">
        <f aca="false">IF(I983="","",IF(INDEX(J_DEB,I983)=$C$3,INDEX(J_NOM,I983),0))</f>
        <v/>
      </c>
      <c r="G983" s="44" t="str">
        <f aca="false">IF(I983="","",IF(INDEX(J_KRE,I983)=$C$3,INDEX(J_NOM,I983),0))</f>
        <v/>
      </c>
      <c r="H983" s="44" t="str">
        <f aca="false">IF(I983="","",N(H982)+IF($C$5="Debet",F983-G983,G983-F983))</f>
        <v/>
      </c>
      <c r="I983" s="66" t="str">
        <f aca="false">IF(J983&gt;$K$1,"",IFERROR(MATCH(J983,J_BB,0),""))</f>
        <v/>
      </c>
      <c r="J983" s="66" t="n">
        <v>974</v>
      </c>
      <c r="K983" s="5"/>
    </row>
    <row r="984" customFormat="false" ht="15" hidden="false" customHeight="false" outlineLevel="0" collapsed="false">
      <c r="A984" s="5" t="str">
        <f aca="false">IF(I984="","",J984)</f>
        <v/>
      </c>
      <c r="B984" s="83" t="str">
        <f aca="false">IF(I984="","",INDEX(J_TGL,I984))</f>
        <v/>
      </c>
      <c r="C984" s="5" t="str">
        <f aca="false">IF(I984="","",INDEX(J_NO,I984))</f>
        <v/>
      </c>
      <c r="D984" s="5" t="str">
        <f aca="false">IF(I984="","",INDEX(J_KET,I984))</f>
        <v/>
      </c>
      <c r="E984" s="5" t="str">
        <f aca="false">IF(I984="","",IF(INDEX(J_DEB,I984)=$C$3,INDEX(J_KRE,I984),INDEX(J_DEB,I984)))</f>
        <v/>
      </c>
      <c r="F984" s="44" t="str">
        <f aca="false">IF(I984="","",IF(INDEX(J_DEB,I984)=$C$3,INDEX(J_NOM,I984),0))</f>
        <v/>
      </c>
      <c r="G984" s="44" t="str">
        <f aca="false">IF(I984="","",IF(INDEX(J_KRE,I984)=$C$3,INDEX(J_NOM,I984),0))</f>
        <v/>
      </c>
      <c r="H984" s="44" t="str">
        <f aca="false">IF(I984="","",N(H983)+IF($C$5="Debet",F984-G984,G984-F984))</f>
        <v/>
      </c>
      <c r="I984" s="66" t="str">
        <f aca="false">IF(J984&gt;$K$1,"",IFERROR(MATCH(J984,J_BB,0),""))</f>
        <v/>
      </c>
      <c r="J984" s="66" t="n">
        <v>975</v>
      </c>
      <c r="K984" s="5"/>
    </row>
    <row r="985" customFormat="false" ht="15" hidden="false" customHeight="false" outlineLevel="0" collapsed="false">
      <c r="A985" s="5" t="str">
        <f aca="false">IF(I985="","",J985)</f>
        <v/>
      </c>
      <c r="B985" s="83" t="str">
        <f aca="false">IF(I985="","",INDEX(J_TGL,I985))</f>
        <v/>
      </c>
      <c r="C985" s="5" t="str">
        <f aca="false">IF(I985="","",INDEX(J_NO,I985))</f>
        <v/>
      </c>
      <c r="D985" s="5" t="str">
        <f aca="false">IF(I985="","",INDEX(J_KET,I985))</f>
        <v/>
      </c>
      <c r="E985" s="5" t="str">
        <f aca="false">IF(I985="","",IF(INDEX(J_DEB,I985)=$C$3,INDEX(J_KRE,I985),INDEX(J_DEB,I985)))</f>
        <v/>
      </c>
      <c r="F985" s="44" t="str">
        <f aca="false">IF(I985="","",IF(INDEX(J_DEB,I985)=$C$3,INDEX(J_NOM,I985),0))</f>
        <v/>
      </c>
      <c r="G985" s="44" t="str">
        <f aca="false">IF(I985="","",IF(INDEX(J_KRE,I985)=$C$3,INDEX(J_NOM,I985),0))</f>
        <v/>
      </c>
      <c r="H985" s="44" t="str">
        <f aca="false">IF(I985="","",N(H984)+IF($C$5="Debet",F985-G985,G985-F985))</f>
        <v/>
      </c>
      <c r="I985" s="66" t="str">
        <f aca="false">IF(J985&gt;$K$1,"",IFERROR(MATCH(J985,J_BB,0),""))</f>
        <v/>
      </c>
      <c r="J985" s="66" t="n">
        <v>976</v>
      </c>
      <c r="K985" s="5"/>
    </row>
    <row r="986" customFormat="false" ht="15" hidden="false" customHeight="false" outlineLevel="0" collapsed="false">
      <c r="A986" s="5" t="str">
        <f aca="false">IF(I986="","",J986)</f>
        <v/>
      </c>
      <c r="B986" s="83" t="str">
        <f aca="false">IF(I986="","",INDEX(J_TGL,I986))</f>
        <v/>
      </c>
      <c r="C986" s="5" t="str">
        <f aca="false">IF(I986="","",INDEX(J_NO,I986))</f>
        <v/>
      </c>
      <c r="D986" s="5" t="str">
        <f aca="false">IF(I986="","",INDEX(J_KET,I986))</f>
        <v/>
      </c>
      <c r="E986" s="5" t="str">
        <f aca="false">IF(I986="","",IF(INDEX(J_DEB,I986)=$C$3,INDEX(J_KRE,I986),INDEX(J_DEB,I986)))</f>
        <v/>
      </c>
      <c r="F986" s="44" t="str">
        <f aca="false">IF(I986="","",IF(INDEX(J_DEB,I986)=$C$3,INDEX(J_NOM,I986),0))</f>
        <v/>
      </c>
      <c r="G986" s="44" t="str">
        <f aca="false">IF(I986="","",IF(INDEX(J_KRE,I986)=$C$3,INDEX(J_NOM,I986),0))</f>
        <v/>
      </c>
      <c r="H986" s="44" t="str">
        <f aca="false">IF(I986="","",N(H985)+IF($C$5="Debet",F986-G986,G986-F986))</f>
        <v/>
      </c>
      <c r="I986" s="66" t="str">
        <f aca="false">IF(J986&gt;$K$1,"",IFERROR(MATCH(J986,J_BB,0),""))</f>
        <v/>
      </c>
      <c r="J986" s="66" t="n">
        <v>977</v>
      </c>
      <c r="K986" s="5"/>
    </row>
    <row r="987" customFormat="false" ht="15" hidden="false" customHeight="false" outlineLevel="0" collapsed="false">
      <c r="A987" s="5" t="str">
        <f aca="false">IF(I987="","",J987)</f>
        <v/>
      </c>
      <c r="B987" s="83" t="str">
        <f aca="false">IF(I987="","",INDEX(J_TGL,I987))</f>
        <v/>
      </c>
      <c r="C987" s="5" t="str">
        <f aca="false">IF(I987="","",INDEX(J_NO,I987))</f>
        <v/>
      </c>
      <c r="D987" s="5" t="str">
        <f aca="false">IF(I987="","",INDEX(J_KET,I987))</f>
        <v/>
      </c>
      <c r="E987" s="5" t="str">
        <f aca="false">IF(I987="","",IF(INDEX(J_DEB,I987)=$C$3,INDEX(J_KRE,I987),INDEX(J_DEB,I987)))</f>
        <v/>
      </c>
      <c r="F987" s="44" t="str">
        <f aca="false">IF(I987="","",IF(INDEX(J_DEB,I987)=$C$3,INDEX(J_NOM,I987),0))</f>
        <v/>
      </c>
      <c r="G987" s="44" t="str">
        <f aca="false">IF(I987="","",IF(INDEX(J_KRE,I987)=$C$3,INDEX(J_NOM,I987),0))</f>
        <v/>
      </c>
      <c r="H987" s="44" t="str">
        <f aca="false">IF(I987="","",N(H986)+IF($C$5="Debet",F987-G987,G987-F987))</f>
        <v/>
      </c>
      <c r="I987" s="66" t="str">
        <f aca="false">IF(J987&gt;$K$1,"",IFERROR(MATCH(J987,J_BB,0),""))</f>
        <v/>
      </c>
      <c r="J987" s="66" t="n">
        <v>978</v>
      </c>
      <c r="K987" s="5"/>
    </row>
    <row r="988" customFormat="false" ht="15" hidden="false" customHeight="false" outlineLevel="0" collapsed="false">
      <c r="A988" s="5" t="str">
        <f aca="false">IF(I988="","",J988)</f>
        <v/>
      </c>
      <c r="B988" s="83" t="str">
        <f aca="false">IF(I988="","",INDEX(J_TGL,I988))</f>
        <v/>
      </c>
      <c r="C988" s="5" t="str">
        <f aca="false">IF(I988="","",INDEX(J_NO,I988))</f>
        <v/>
      </c>
      <c r="D988" s="5" t="str">
        <f aca="false">IF(I988="","",INDEX(J_KET,I988))</f>
        <v/>
      </c>
      <c r="E988" s="5" t="str">
        <f aca="false">IF(I988="","",IF(INDEX(J_DEB,I988)=$C$3,INDEX(J_KRE,I988),INDEX(J_DEB,I988)))</f>
        <v/>
      </c>
      <c r="F988" s="44" t="str">
        <f aca="false">IF(I988="","",IF(INDEX(J_DEB,I988)=$C$3,INDEX(J_NOM,I988),0))</f>
        <v/>
      </c>
      <c r="G988" s="44" t="str">
        <f aca="false">IF(I988="","",IF(INDEX(J_KRE,I988)=$C$3,INDEX(J_NOM,I988),0))</f>
        <v/>
      </c>
      <c r="H988" s="44" t="str">
        <f aca="false">IF(I988="","",N(H987)+IF($C$5="Debet",F988-G988,G988-F988))</f>
        <v/>
      </c>
      <c r="I988" s="66" t="str">
        <f aca="false">IF(J988&gt;$K$1,"",IFERROR(MATCH(J988,J_BB,0),""))</f>
        <v/>
      </c>
      <c r="J988" s="66" t="n">
        <v>979</v>
      </c>
      <c r="K988" s="5"/>
    </row>
    <row r="989" customFormat="false" ht="15" hidden="false" customHeight="false" outlineLevel="0" collapsed="false">
      <c r="A989" s="5" t="str">
        <f aca="false">IF(I989="","",J989)</f>
        <v/>
      </c>
      <c r="B989" s="83" t="str">
        <f aca="false">IF(I989="","",INDEX(J_TGL,I989))</f>
        <v/>
      </c>
      <c r="C989" s="5" t="str">
        <f aca="false">IF(I989="","",INDEX(J_NO,I989))</f>
        <v/>
      </c>
      <c r="D989" s="5" t="str">
        <f aca="false">IF(I989="","",INDEX(J_KET,I989))</f>
        <v/>
      </c>
      <c r="E989" s="5" t="str">
        <f aca="false">IF(I989="","",IF(INDEX(J_DEB,I989)=$C$3,INDEX(J_KRE,I989),INDEX(J_DEB,I989)))</f>
        <v/>
      </c>
      <c r="F989" s="44" t="str">
        <f aca="false">IF(I989="","",IF(INDEX(J_DEB,I989)=$C$3,INDEX(J_NOM,I989),0))</f>
        <v/>
      </c>
      <c r="G989" s="44" t="str">
        <f aca="false">IF(I989="","",IF(INDEX(J_KRE,I989)=$C$3,INDEX(J_NOM,I989),0))</f>
        <v/>
      </c>
      <c r="H989" s="44" t="str">
        <f aca="false">IF(I989="","",N(H988)+IF($C$5="Debet",F989-G989,G989-F989))</f>
        <v/>
      </c>
      <c r="I989" s="66" t="str">
        <f aca="false">IF(J989&gt;$K$1,"",IFERROR(MATCH(J989,J_BB,0),""))</f>
        <v/>
      </c>
      <c r="J989" s="66" t="n">
        <v>980</v>
      </c>
      <c r="K989" s="5"/>
    </row>
    <row r="990" customFormat="false" ht="15" hidden="false" customHeight="false" outlineLevel="0" collapsed="false">
      <c r="A990" s="5" t="str">
        <f aca="false">IF(I990="","",J990)</f>
        <v/>
      </c>
      <c r="B990" s="83" t="str">
        <f aca="false">IF(I990="","",INDEX(J_TGL,I990))</f>
        <v/>
      </c>
      <c r="C990" s="5" t="str">
        <f aca="false">IF(I990="","",INDEX(J_NO,I990))</f>
        <v/>
      </c>
      <c r="D990" s="5" t="str">
        <f aca="false">IF(I990="","",INDEX(J_KET,I990))</f>
        <v/>
      </c>
      <c r="E990" s="5" t="str">
        <f aca="false">IF(I990="","",IF(INDEX(J_DEB,I990)=$C$3,INDEX(J_KRE,I990),INDEX(J_DEB,I990)))</f>
        <v/>
      </c>
      <c r="F990" s="44" t="str">
        <f aca="false">IF(I990="","",IF(INDEX(J_DEB,I990)=$C$3,INDEX(J_NOM,I990),0))</f>
        <v/>
      </c>
      <c r="G990" s="44" t="str">
        <f aca="false">IF(I990="","",IF(INDEX(J_KRE,I990)=$C$3,INDEX(J_NOM,I990),0))</f>
        <v/>
      </c>
      <c r="H990" s="44" t="str">
        <f aca="false">IF(I990="","",N(H989)+IF($C$5="Debet",F990-G990,G990-F990))</f>
        <v/>
      </c>
      <c r="I990" s="66" t="str">
        <f aca="false">IF(J990&gt;$K$1,"",IFERROR(MATCH(J990,J_BB,0),""))</f>
        <v/>
      </c>
      <c r="J990" s="66" t="n">
        <v>981</v>
      </c>
      <c r="K990" s="5"/>
    </row>
    <row r="991" customFormat="false" ht="15" hidden="false" customHeight="false" outlineLevel="0" collapsed="false">
      <c r="A991" s="5" t="str">
        <f aca="false">IF(I991="","",J991)</f>
        <v/>
      </c>
      <c r="B991" s="83" t="str">
        <f aca="false">IF(I991="","",INDEX(J_TGL,I991))</f>
        <v/>
      </c>
      <c r="C991" s="5" t="str">
        <f aca="false">IF(I991="","",INDEX(J_NO,I991))</f>
        <v/>
      </c>
      <c r="D991" s="5" t="str">
        <f aca="false">IF(I991="","",INDEX(J_KET,I991))</f>
        <v/>
      </c>
      <c r="E991" s="5" t="str">
        <f aca="false">IF(I991="","",IF(INDEX(J_DEB,I991)=$C$3,INDEX(J_KRE,I991),INDEX(J_DEB,I991)))</f>
        <v/>
      </c>
      <c r="F991" s="44" t="str">
        <f aca="false">IF(I991="","",IF(INDEX(J_DEB,I991)=$C$3,INDEX(J_NOM,I991),0))</f>
        <v/>
      </c>
      <c r="G991" s="44" t="str">
        <f aca="false">IF(I991="","",IF(INDEX(J_KRE,I991)=$C$3,INDEX(J_NOM,I991),0))</f>
        <v/>
      </c>
      <c r="H991" s="44" t="str">
        <f aca="false">IF(I991="","",N(H990)+IF($C$5="Debet",F991-G991,G991-F991))</f>
        <v/>
      </c>
      <c r="I991" s="66" t="str">
        <f aca="false">IF(J991&gt;$K$1,"",IFERROR(MATCH(J991,J_BB,0),""))</f>
        <v/>
      </c>
      <c r="J991" s="66" t="n">
        <v>982</v>
      </c>
      <c r="K991" s="5"/>
    </row>
    <row r="992" customFormat="false" ht="15" hidden="false" customHeight="false" outlineLevel="0" collapsed="false">
      <c r="A992" s="5" t="str">
        <f aca="false">IF(I992="","",J992)</f>
        <v/>
      </c>
      <c r="B992" s="83" t="str">
        <f aca="false">IF(I992="","",INDEX(J_TGL,I992))</f>
        <v/>
      </c>
      <c r="C992" s="5" t="str">
        <f aca="false">IF(I992="","",INDEX(J_NO,I992))</f>
        <v/>
      </c>
      <c r="D992" s="5" t="str">
        <f aca="false">IF(I992="","",INDEX(J_KET,I992))</f>
        <v/>
      </c>
      <c r="E992" s="5" t="str">
        <f aca="false">IF(I992="","",IF(INDEX(J_DEB,I992)=$C$3,INDEX(J_KRE,I992),INDEX(J_DEB,I992)))</f>
        <v/>
      </c>
      <c r="F992" s="44" t="str">
        <f aca="false">IF(I992="","",IF(INDEX(J_DEB,I992)=$C$3,INDEX(J_NOM,I992),0))</f>
        <v/>
      </c>
      <c r="G992" s="44" t="str">
        <f aca="false">IF(I992="","",IF(INDEX(J_KRE,I992)=$C$3,INDEX(J_NOM,I992),0))</f>
        <v/>
      </c>
      <c r="H992" s="44" t="str">
        <f aca="false">IF(I992="","",N(H991)+IF($C$5="Debet",F992-G992,G992-F992))</f>
        <v/>
      </c>
      <c r="I992" s="66" t="str">
        <f aca="false">IF(J992&gt;$K$1,"",IFERROR(MATCH(J992,J_BB,0),""))</f>
        <v/>
      </c>
      <c r="J992" s="66" t="n">
        <v>983</v>
      </c>
      <c r="K992" s="5"/>
    </row>
    <row r="993" customFormat="false" ht="15" hidden="false" customHeight="false" outlineLevel="0" collapsed="false">
      <c r="A993" s="5" t="str">
        <f aca="false">IF(I993="","",J993)</f>
        <v/>
      </c>
      <c r="B993" s="83" t="str">
        <f aca="false">IF(I993="","",INDEX(J_TGL,I993))</f>
        <v/>
      </c>
      <c r="C993" s="5" t="str">
        <f aca="false">IF(I993="","",INDEX(J_NO,I993))</f>
        <v/>
      </c>
      <c r="D993" s="5" t="str">
        <f aca="false">IF(I993="","",INDEX(J_KET,I993))</f>
        <v/>
      </c>
      <c r="E993" s="5" t="str">
        <f aca="false">IF(I993="","",IF(INDEX(J_DEB,I993)=$C$3,INDEX(J_KRE,I993),INDEX(J_DEB,I993)))</f>
        <v/>
      </c>
      <c r="F993" s="44" t="str">
        <f aca="false">IF(I993="","",IF(INDEX(J_DEB,I993)=$C$3,INDEX(J_NOM,I993),0))</f>
        <v/>
      </c>
      <c r="G993" s="44" t="str">
        <f aca="false">IF(I993="","",IF(INDEX(J_KRE,I993)=$C$3,INDEX(J_NOM,I993),0))</f>
        <v/>
      </c>
      <c r="H993" s="44" t="str">
        <f aca="false">IF(I993="","",N(H992)+IF($C$5="Debet",F993-G993,G993-F993))</f>
        <v/>
      </c>
      <c r="I993" s="66" t="str">
        <f aca="false">IF(J993&gt;$K$1,"",IFERROR(MATCH(J993,J_BB,0),""))</f>
        <v/>
      </c>
      <c r="J993" s="66" t="n">
        <v>984</v>
      </c>
      <c r="K993" s="5"/>
    </row>
    <row r="994" customFormat="false" ht="15" hidden="false" customHeight="false" outlineLevel="0" collapsed="false">
      <c r="A994" s="5" t="str">
        <f aca="false">IF(I994="","",J994)</f>
        <v/>
      </c>
      <c r="B994" s="83" t="str">
        <f aca="false">IF(I994="","",INDEX(J_TGL,I994))</f>
        <v/>
      </c>
      <c r="C994" s="5" t="str">
        <f aca="false">IF(I994="","",INDEX(J_NO,I994))</f>
        <v/>
      </c>
      <c r="D994" s="5" t="str">
        <f aca="false">IF(I994="","",INDEX(J_KET,I994))</f>
        <v/>
      </c>
      <c r="E994" s="5" t="str">
        <f aca="false">IF(I994="","",IF(INDEX(J_DEB,I994)=$C$3,INDEX(J_KRE,I994),INDEX(J_DEB,I994)))</f>
        <v/>
      </c>
      <c r="F994" s="44" t="str">
        <f aca="false">IF(I994="","",IF(INDEX(J_DEB,I994)=$C$3,INDEX(J_NOM,I994),0))</f>
        <v/>
      </c>
      <c r="G994" s="44" t="str">
        <f aca="false">IF(I994="","",IF(INDEX(J_KRE,I994)=$C$3,INDEX(J_NOM,I994),0))</f>
        <v/>
      </c>
      <c r="H994" s="44" t="str">
        <f aca="false">IF(I994="","",N(H993)+IF($C$5="Debet",F994-G994,G994-F994))</f>
        <v/>
      </c>
      <c r="I994" s="66" t="str">
        <f aca="false">IF(J994&gt;$K$1,"",IFERROR(MATCH(J994,J_BB,0),""))</f>
        <v/>
      </c>
      <c r="J994" s="66" t="n">
        <v>985</v>
      </c>
      <c r="K994" s="5"/>
    </row>
    <row r="995" customFormat="false" ht="15" hidden="false" customHeight="false" outlineLevel="0" collapsed="false">
      <c r="A995" s="5" t="str">
        <f aca="false">IF(I995="","",J995)</f>
        <v/>
      </c>
      <c r="B995" s="83" t="str">
        <f aca="false">IF(I995="","",INDEX(J_TGL,I995))</f>
        <v/>
      </c>
      <c r="C995" s="5" t="str">
        <f aca="false">IF(I995="","",INDEX(J_NO,I995))</f>
        <v/>
      </c>
      <c r="D995" s="5" t="str">
        <f aca="false">IF(I995="","",INDEX(J_KET,I995))</f>
        <v/>
      </c>
      <c r="E995" s="5" t="str">
        <f aca="false">IF(I995="","",IF(INDEX(J_DEB,I995)=$C$3,INDEX(J_KRE,I995),INDEX(J_DEB,I995)))</f>
        <v/>
      </c>
      <c r="F995" s="44" t="str">
        <f aca="false">IF(I995="","",IF(INDEX(J_DEB,I995)=$C$3,INDEX(J_NOM,I995),0))</f>
        <v/>
      </c>
      <c r="G995" s="44" t="str">
        <f aca="false">IF(I995="","",IF(INDEX(J_KRE,I995)=$C$3,INDEX(J_NOM,I995),0))</f>
        <v/>
      </c>
      <c r="H995" s="44" t="str">
        <f aca="false">IF(I995="","",N(H994)+IF($C$5="Debet",F995-G995,G995-F995))</f>
        <v/>
      </c>
      <c r="I995" s="66" t="str">
        <f aca="false">IF(J995&gt;$K$1,"",IFERROR(MATCH(J995,J_BB,0),""))</f>
        <v/>
      </c>
      <c r="J995" s="66" t="n">
        <v>986</v>
      </c>
      <c r="K995" s="5"/>
    </row>
    <row r="996" customFormat="false" ht="15" hidden="false" customHeight="false" outlineLevel="0" collapsed="false">
      <c r="A996" s="5" t="str">
        <f aca="false">IF(I996="","",J996)</f>
        <v/>
      </c>
      <c r="B996" s="83" t="str">
        <f aca="false">IF(I996="","",INDEX(J_TGL,I996))</f>
        <v/>
      </c>
      <c r="C996" s="5" t="str">
        <f aca="false">IF(I996="","",INDEX(J_NO,I996))</f>
        <v/>
      </c>
      <c r="D996" s="5" t="str">
        <f aca="false">IF(I996="","",INDEX(J_KET,I996))</f>
        <v/>
      </c>
      <c r="E996" s="5" t="str">
        <f aca="false">IF(I996="","",IF(INDEX(J_DEB,I996)=$C$3,INDEX(J_KRE,I996),INDEX(J_DEB,I996)))</f>
        <v/>
      </c>
      <c r="F996" s="44" t="str">
        <f aca="false">IF(I996="","",IF(INDEX(J_DEB,I996)=$C$3,INDEX(J_NOM,I996),0))</f>
        <v/>
      </c>
      <c r="G996" s="44" t="str">
        <f aca="false">IF(I996="","",IF(INDEX(J_KRE,I996)=$C$3,INDEX(J_NOM,I996),0))</f>
        <v/>
      </c>
      <c r="H996" s="44" t="str">
        <f aca="false">IF(I996="","",N(H995)+IF($C$5="Debet",F996-G996,G996-F996))</f>
        <v/>
      </c>
      <c r="I996" s="66" t="str">
        <f aca="false">IF(J996&gt;$K$1,"",IFERROR(MATCH(J996,J_BB,0),""))</f>
        <v/>
      </c>
      <c r="J996" s="66" t="n">
        <v>987</v>
      </c>
      <c r="K996" s="5"/>
    </row>
    <row r="997" customFormat="false" ht="15" hidden="false" customHeight="false" outlineLevel="0" collapsed="false">
      <c r="A997" s="5" t="str">
        <f aca="false">IF(I997="","",J997)</f>
        <v/>
      </c>
      <c r="B997" s="83" t="str">
        <f aca="false">IF(I997="","",INDEX(J_TGL,I997))</f>
        <v/>
      </c>
      <c r="C997" s="5" t="str">
        <f aca="false">IF(I997="","",INDEX(J_NO,I997))</f>
        <v/>
      </c>
      <c r="D997" s="5" t="str">
        <f aca="false">IF(I997="","",INDEX(J_KET,I997))</f>
        <v/>
      </c>
      <c r="E997" s="5" t="str">
        <f aca="false">IF(I997="","",IF(INDEX(J_DEB,I997)=$C$3,INDEX(J_KRE,I997),INDEX(J_DEB,I997)))</f>
        <v/>
      </c>
      <c r="F997" s="44" t="str">
        <f aca="false">IF(I997="","",IF(INDEX(J_DEB,I997)=$C$3,INDEX(J_NOM,I997),0))</f>
        <v/>
      </c>
      <c r="G997" s="44" t="str">
        <f aca="false">IF(I997="","",IF(INDEX(J_KRE,I997)=$C$3,INDEX(J_NOM,I997),0))</f>
        <v/>
      </c>
      <c r="H997" s="44" t="str">
        <f aca="false">IF(I997="","",N(H996)+IF($C$5="Debet",F997-G997,G997-F997))</f>
        <v/>
      </c>
      <c r="I997" s="66" t="str">
        <f aca="false">IF(J997&gt;$K$1,"",IFERROR(MATCH(J997,J_BB,0),""))</f>
        <v/>
      </c>
      <c r="J997" s="66" t="n">
        <v>988</v>
      </c>
      <c r="K997" s="5"/>
    </row>
    <row r="998" customFormat="false" ht="15" hidden="false" customHeight="false" outlineLevel="0" collapsed="false">
      <c r="A998" s="5" t="str">
        <f aca="false">IF(I998="","",J998)</f>
        <v/>
      </c>
      <c r="B998" s="83" t="str">
        <f aca="false">IF(I998="","",INDEX(J_TGL,I998))</f>
        <v/>
      </c>
      <c r="C998" s="5" t="str">
        <f aca="false">IF(I998="","",INDEX(J_NO,I998))</f>
        <v/>
      </c>
      <c r="D998" s="5" t="str">
        <f aca="false">IF(I998="","",INDEX(J_KET,I998))</f>
        <v/>
      </c>
      <c r="E998" s="5" t="str">
        <f aca="false">IF(I998="","",IF(INDEX(J_DEB,I998)=$C$3,INDEX(J_KRE,I998),INDEX(J_DEB,I998)))</f>
        <v/>
      </c>
      <c r="F998" s="44" t="str">
        <f aca="false">IF(I998="","",IF(INDEX(J_DEB,I998)=$C$3,INDEX(J_NOM,I998),0))</f>
        <v/>
      </c>
      <c r="G998" s="44" t="str">
        <f aca="false">IF(I998="","",IF(INDEX(J_KRE,I998)=$C$3,INDEX(J_NOM,I998),0))</f>
        <v/>
      </c>
      <c r="H998" s="44" t="str">
        <f aca="false">IF(I998="","",N(H997)+IF($C$5="Debet",F998-G998,G998-F998))</f>
        <v/>
      </c>
      <c r="I998" s="66" t="str">
        <f aca="false">IF(J998&gt;$K$1,"",IFERROR(MATCH(J998,J_BB,0),""))</f>
        <v/>
      </c>
      <c r="J998" s="66" t="n">
        <v>989</v>
      </c>
      <c r="K998" s="5"/>
    </row>
    <row r="999" customFormat="false" ht="15" hidden="false" customHeight="false" outlineLevel="0" collapsed="false">
      <c r="A999" s="5" t="str">
        <f aca="false">IF(I999="","",J999)</f>
        <v/>
      </c>
      <c r="B999" s="83" t="str">
        <f aca="false">IF(I999="","",INDEX(J_TGL,I999))</f>
        <v/>
      </c>
      <c r="C999" s="5" t="str">
        <f aca="false">IF(I999="","",INDEX(J_NO,I999))</f>
        <v/>
      </c>
      <c r="D999" s="5" t="str">
        <f aca="false">IF(I999="","",INDEX(J_KET,I999))</f>
        <v/>
      </c>
      <c r="E999" s="5" t="str">
        <f aca="false">IF(I999="","",IF(INDEX(J_DEB,I999)=$C$3,INDEX(J_KRE,I999),INDEX(J_DEB,I999)))</f>
        <v/>
      </c>
      <c r="F999" s="44" t="str">
        <f aca="false">IF(I999="","",IF(INDEX(J_DEB,I999)=$C$3,INDEX(J_NOM,I999),0))</f>
        <v/>
      </c>
      <c r="G999" s="44" t="str">
        <f aca="false">IF(I999="","",IF(INDEX(J_KRE,I999)=$C$3,INDEX(J_NOM,I999),0))</f>
        <v/>
      </c>
      <c r="H999" s="44" t="str">
        <f aca="false">IF(I999="","",N(H998)+IF($C$5="Debet",F999-G999,G999-F999))</f>
        <v/>
      </c>
      <c r="I999" s="66" t="str">
        <f aca="false">IF(J999&gt;$K$1,"",IFERROR(MATCH(J999,J_BB,0),""))</f>
        <v/>
      </c>
      <c r="J999" s="66" t="n">
        <v>990</v>
      </c>
      <c r="K999" s="5"/>
    </row>
    <row r="1000" customFormat="false" ht="15" hidden="false" customHeight="false" outlineLevel="0" collapsed="false">
      <c r="A1000" s="5" t="str">
        <f aca="false">IF(I1000="","",J1000)</f>
        <v/>
      </c>
      <c r="B1000" s="83" t="str">
        <f aca="false">IF(I1000="","",INDEX(J_TGL,I1000))</f>
        <v/>
      </c>
      <c r="C1000" s="5" t="str">
        <f aca="false">IF(I1000="","",INDEX(J_NO,I1000))</f>
        <v/>
      </c>
      <c r="D1000" s="5" t="str">
        <f aca="false">IF(I1000="","",INDEX(J_KET,I1000))</f>
        <v/>
      </c>
      <c r="E1000" s="5" t="str">
        <f aca="false">IF(I1000="","",IF(INDEX(J_DEB,I1000)=$C$3,INDEX(J_KRE,I1000),INDEX(J_DEB,I1000)))</f>
        <v/>
      </c>
      <c r="F1000" s="44" t="str">
        <f aca="false">IF(I1000="","",IF(INDEX(J_DEB,I1000)=$C$3,INDEX(J_NOM,I1000),0))</f>
        <v/>
      </c>
      <c r="G1000" s="44" t="str">
        <f aca="false">IF(I1000="","",IF(INDEX(J_KRE,I1000)=$C$3,INDEX(J_NOM,I1000),0))</f>
        <v/>
      </c>
      <c r="H1000" s="44" t="str">
        <f aca="false">IF(I1000="","",N(H999)+IF($C$5="Debet",F1000-G1000,G1000-F1000))</f>
        <v/>
      </c>
      <c r="I1000" s="66" t="str">
        <f aca="false">IF(J1000&gt;$K$1,"",IFERROR(MATCH(J1000,J_BB,0),""))</f>
        <v/>
      </c>
      <c r="J1000" s="66" t="n">
        <v>991</v>
      </c>
      <c r="K1000" s="5"/>
    </row>
    <row r="1001" customFormat="false" ht="15" hidden="false" customHeight="false" outlineLevel="0" collapsed="false">
      <c r="A1001" s="5" t="str">
        <f aca="false">IF(I1001="","",J1001)</f>
        <v/>
      </c>
      <c r="B1001" s="83" t="str">
        <f aca="false">IF(I1001="","",INDEX(J_TGL,I1001))</f>
        <v/>
      </c>
      <c r="C1001" s="5" t="str">
        <f aca="false">IF(I1001="","",INDEX(J_NO,I1001))</f>
        <v/>
      </c>
      <c r="D1001" s="5" t="str">
        <f aca="false">IF(I1001="","",INDEX(J_KET,I1001))</f>
        <v/>
      </c>
      <c r="E1001" s="5" t="str">
        <f aca="false">IF(I1001="","",IF(INDEX(J_DEB,I1001)=$C$3,INDEX(J_KRE,I1001),INDEX(J_DEB,I1001)))</f>
        <v/>
      </c>
      <c r="F1001" s="44" t="str">
        <f aca="false">IF(I1001="","",IF(INDEX(J_DEB,I1001)=$C$3,INDEX(J_NOM,I1001),0))</f>
        <v/>
      </c>
      <c r="G1001" s="44" t="str">
        <f aca="false">IF(I1001="","",IF(INDEX(J_KRE,I1001)=$C$3,INDEX(J_NOM,I1001),0))</f>
        <v/>
      </c>
      <c r="H1001" s="44" t="str">
        <f aca="false">IF(I1001="","",N(H1000)+IF($C$5="Debet",F1001-G1001,G1001-F1001))</f>
        <v/>
      </c>
      <c r="I1001" s="66" t="str">
        <f aca="false">IF(J1001&gt;$K$1,"",IFERROR(MATCH(J1001,J_BB,0),""))</f>
        <v/>
      </c>
      <c r="J1001" s="66" t="n">
        <v>992</v>
      </c>
      <c r="K1001" s="5"/>
    </row>
    <row r="1002" customFormat="false" ht="15" hidden="false" customHeight="false" outlineLevel="0" collapsed="false">
      <c r="A1002" s="5" t="str">
        <f aca="false">IF(I1002="","",J1002)</f>
        <v/>
      </c>
      <c r="B1002" s="83" t="str">
        <f aca="false">IF(I1002="","",INDEX(J_TGL,I1002))</f>
        <v/>
      </c>
      <c r="C1002" s="5" t="str">
        <f aca="false">IF(I1002="","",INDEX(J_NO,I1002))</f>
        <v/>
      </c>
      <c r="D1002" s="5" t="str">
        <f aca="false">IF(I1002="","",INDEX(J_KET,I1002))</f>
        <v/>
      </c>
      <c r="E1002" s="5" t="str">
        <f aca="false">IF(I1002="","",IF(INDEX(J_DEB,I1002)=$C$3,INDEX(J_KRE,I1002),INDEX(J_DEB,I1002)))</f>
        <v/>
      </c>
      <c r="F1002" s="44" t="str">
        <f aca="false">IF(I1002="","",IF(INDEX(J_DEB,I1002)=$C$3,INDEX(J_NOM,I1002),0))</f>
        <v/>
      </c>
      <c r="G1002" s="44" t="str">
        <f aca="false">IF(I1002="","",IF(INDEX(J_KRE,I1002)=$C$3,INDEX(J_NOM,I1002),0))</f>
        <v/>
      </c>
      <c r="H1002" s="44" t="str">
        <f aca="false">IF(I1002="","",N(H1001)+IF($C$5="Debet",F1002-G1002,G1002-F1002))</f>
        <v/>
      </c>
      <c r="I1002" s="66" t="str">
        <f aca="false">IF(J1002&gt;$K$1,"",IFERROR(MATCH(J1002,J_BB,0),""))</f>
        <v/>
      </c>
      <c r="J1002" s="66" t="n">
        <v>993</v>
      </c>
      <c r="K1002" s="5"/>
    </row>
    <row r="1003" customFormat="false" ht="15" hidden="false" customHeight="false" outlineLevel="0" collapsed="false">
      <c r="A1003" s="5" t="str">
        <f aca="false">IF(I1003="","",J1003)</f>
        <v/>
      </c>
      <c r="B1003" s="83" t="str">
        <f aca="false">IF(I1003="","",INDEX(J_TGL,I1003))</f>
        <v/>
      </c>
      <c r="C1003" s="5" t="str">
        <f aca="false">IF(I1003="","",INDEX(J_NO,I1003))</f>
        <v/>
      </c>
      <c r="D1003" s="5" t="str">
        <f aca="false">IF(I1003="","",INDEX(J_KET,I1003))</f>
        <v/>
      </c>
      <c r="E1003" s="5" t="str">
        <f aca="false">IF(I1003="","",IF(INDEX(J_DEB,I1003)=$C$3,INDEX(J_KRE,I1003),INDEX(J_DEB,I1003)))</f>
        <v/>
      </c>
      <c r="F1003" s="44" t="str">
        <f aca="false">IF(I1003="","",IF(INDEX(J_DEB,I1003)=$C$3,INDEX(J_NOM,I1003),0))</f>
        <v/>
      </c>
      <c r="G1003" s="44" t="str">
        <f aca="false">IF(I1003="","",IF(INDEX(J_KRE,I1003)=$C$3,INDEX(J_NOM,I1003),0))</f>
        <v/>
      </c>
      <c r="H1003" s="44" t="str">
        <f aca="false">IF(I1003="","",N(H1002)+IF($C$5="Debet",F1003-G1003,G1003-F1003))</f>
        <v/>
      </c>
      <c r="I1003" s="66" t="str">
        <f aca="false">IF(J1003&gt;$K$1,"",IFERROR(MATCH(J1003,J_BB,0),""))</f>
        <v/>
      </c>
      <c r="J1003" s="66" t="n">
        <v>994</v>
      </c>
      <c r="K1003" s="5"/>
    </row>
    <row r="1004" customFormat="false" ht="15" hidden="false" customHeight="false" outlineLevel="0" collapsed="false">
      <c r="A1004" s="5" t="str">
        <f aca="false">IF(I1004="","",J1004)</f>
        <v/>
      </c>
      <c r="B1004" s="83" t="str">
        <f aca="false">IF(I1004="","",INDEX(J_TGL,I1004))</f>
        <v/>
      </c>
      <c r="C1004" s="5" t="str">
        <f aca="false">IF(I1004="","",INDEX(J_NO,I1004))</f>
        <v/>
      </c>
      <c r="D1004" s="5" t="str">
        <f aca="false">IF(I1004="","",INDEX(J_KET,I1004))</f>
        <v/>
      </c>
      <c r="E1004" s="5" t="str">
        <f aca="false">IF(I1004="","",IF(INDEX(J_DEB,I1004)=$C$3,INDEX(J_KRE,I1004),INDEX(J_DEB,I1004)))</f>
        <v/>
      </c>
      <c r="F1004" s="44" t="str">
        <f aca="false">IF(I1004="","",IF(INDEX(J_DEB,I1004)=$C$3,INDEX(J_NOM,I1004),0))</f>
        <v/>
      </c>
      <c r="G1004" s="44" t="str">
        <f aca="false">IF(I1004="","",IF(INDEX(J_KRE,I1004)=$C$3,INDEX(J_NOM,I1004),0))</f>
        <v/>
      </c>
      <c r="H1004" s="44" t="str">
        <f aca="false">IF(I1004="","",N(H1003)+IF($C$5="Debet",F1004-G1004,G1004-F1004))</f>
        <v/>
      </c>
      <c r="I1004" s="66" t="str">
        <f aca="false">IF(J1004&gt;$K$1,"",IFERROR(MATCH(J1004,J_BB,0),""))</f>
        <v/>
      </c>
      <c r="J1004" s="66" t="n">
        <v>995</v>
      </c>
      <c r="K1004" s="5"/>
    </row>
    <row r="1005" customFormat="false" ht="15" hidden="false" customHeight="false" outlineLevel="0" collapsed="false">
      <c r="A1005" s="5" t="str">
        <f aca="false">IF(I1005="","",J1005)</f>
        <v/>
      </c>
      <c r="B1005" s="83" t="str">
        <f aca="false">IF(I1005="","",INDEX(J_TGL,I1005))</f>
        <v/>
      </c>
      <c r="C1005" s="5" t="str">
        <f aca="false">IF(I1005="","",INDEX(J_NO,I1005))</f>
        <v/>
      </c>
      <c r="D1005" s="5" t="str">
        <f aca="false">IF(I1005="","",INDEX(J_KET,I1005))</f>
        <v/>
      </c>
      <c r="E1005" s="5" t="str">
        <f aca="false">IF(I1005="","",IF(INDEX(J_DEB,I1005)=$C$3,INDEX(J_KRE,I1005),INDEX(J_DEB,I1005)))</f>
        <v/>
      </c>
      <c r="F1005" s="44" t="str">
        <f aca="false">IF(I1005="","",IF(INDEX(J_DEB,I1005)=$C$3,INDEX(J_NOM,I1005),0))</f>
        <v/>
      </c>
      <c r="G1005" s="44" t="str">
        <f aca="false">IF(I1005="","",IF(INDEX(J_KRE,I1005)=$C$3,INDEX(J_NOM,I1005),0))</f>
        <v/>
      </c>
      <c r="H1005" s="44" t="str">
        <f aca="false">IF(I1005="","",N(H1004)+IF($C$5="Debet",F1005-G1005,G1005-F1005))</f>
        <v/>
      </c>
      <c r="I1005" s="66" t="str">
        <f aca="false">IF(J1005&gt;$K$1,"",IFERROR(MATCH(J1005,J_BB,0),""))</f>
        <v/>
      </c>
      <c r="J1005" s="66" t="n">
        <v>996</v>
      </c>
      <c r="K1005" s="5"/>
    </row>
    <row r="1006" customFormat="false" ht="15" hidden="false" customHeight="false" outlineLevel="0" collapsed="false">
      <c r="A1006" s="5" t="str">
        <f aca="false">IF(I1006="","",J1006)</f>
        <v/>
      </c>
      <c r="B1006" s="83" t="str">
        <f aca="false">IF(I1006="","",INDEX(J_TGL,I1006))</f>
        <v/>
      </c>
      <c r="C1006" s="5" t="str">
        <f aca="false">IF(I1006="","",INDEX(J_NO,I1006))</f>
        <v/>
      </c>
      <c r="D1006" s="5" t="str">
        <f aca="false">IF(I1006="","",INDEX(J_KET,I1006))</f>
        <v/>
      </c>
      <c r="E1006" s="5" t="str">
        <f aca="false">IF(I1006="","",IF(INDEX(J_DEB,I1006)=$C$3,INDEX(J_KRE,I1006),INDEX(J_DEB,I1006)))</f>
        <v/>
      </c>
      <c r="F1006" s="44" t="str">
        <f aca="false">IF(I1006="","",IF(INDEX(J_DEB,I1006)=$C$3,INDEX(J_NOM,I1006),0))</f>
        <v/>
      </c>
      <c r="G1006" s="44" t="str">
        <f aca="false">IF(I1006="","",IF(INDEX(J_KRE,I1006)=$C$3,INDEX(J_NOM,I1006),0))</f>
        <v/>
      </c>
      <c r="H1006" s="44" t="str">
        <f aca="false">IF(I1006="","",N(H1005)+IF($C$5="Debet",F1006-G1006,G1006-F1006))</f>
        <v/>
      </c>
      <c r="I1006" s="66" t="str">
        <f aca="false">IF(J1006&gt;$K$1,"",IFERROR(MATCH(J1006,J_BB,0),""))</f>
        <v/>
      </c>
      <c r="J1006" s="66" t="n">
        <v>997</v>
      </c>
      <c r="K1006" s="5"/>
    </row>
    <row r="1007" customFormat="false" ht="15" hidden="false" customHeight="false" outlineLevel="0" collapsed="false">
      <c r="A1007" s="5" t="str">
        <f aca="false">IF(I1007="","",J1007)</f>
        <v/>
      </c>
      <c r="B1007" s="83" t="str">
        <f aca="false">IF(I1007="","",INDEX(J_TGL,I1007))</f>
        <v/>
      </c>
      <c r="C1007" s="5" t="str">
        <f aca="false">IF(I1007="","",INDEX(J_NO,I1007))</f>
        <v/>
      </c>
      <c r="D1007" s="5" t="str">
        <f aca="false">IF(I1007="","",INDEX(J_KET,I1007))</f>
        <v/>
      </c>
      <c r="E1007" s="5" t="str">
        <f aca="false">IF(I1007="","",IF(INDEX(J_DEB,I1007)=$C$3,INDEX(J_KRE,I1007),INDEX(J_DEB,I1007)))</f>
        <v/>
      </c>
      <c r="F1007" s="44" t="str">
        <f aca="false">IF(I1007="","",IF(INDEX(J_DEB,I1007)=$C$3,INDEX(J_NOM,I1007),0))</f>
        <v/>
      </c>
      <c r="G1007" s="44" t="str">
        <f aca="false">IF(I1007="","",IF(INDEX(J_KRE,I1007)=$C$3,INDEX(J_NOM,I1007),0))</f>
        <v/>
      </c>
      <c r="H1007" s="44" t="str">
        <f aca="false">IF(I1007="","",N(H1006)+IF($C$5="Debet",F1007-G1007,G1007-F1007))</f>
        <v/>
      </c>
      <c r="I1007" s="66" t="str">
        <f aca="false">IF(J1007&gt;$K$1,"",IFERROR(MATCH(J1007,J_BB,0),""))</f>
        <v/>
      </c>
      <c r="J1007" s="66" t="n">
        <v>998</v>
      </c>
      <c r="K1007" s="5"/>
    </row>
    <row r="1008" customFormat="false" ht="15" hidden="false" customHeight="false" outlineLevel="0" collapsed="false">
      <c r="A1008" s="5" t="str">
        <f aca="false">IF(I1008="","",J1008)</f>
        <v/>
      </c>
      <c r="B1008" s="83" t="str">
        <f aca="false">IF(I1008="","",INDEX(J_TGL,I1008))</f>
        <v/>
      </c>
      <c r="C1008" s="5" t="str">
        <f aca="false">IF(I1008="","",INDEX(J_NO,I1008))</f>
        <v/>
      </c>
      <c r="D1008" s="5" t="str">
        <f aca="false">IF(I1008="","",INDEX(J_KET,I1008))</f>
        <v/>
      </c>
      <c r="E1008" s="5" t="str">
        <f aca="false">IF(I1008="","",IF(INDEX(J_DEB,I1008)=$C$3,INDEX(J_KRE,I1008),INDEX(J_DEB,I1008)))</f>
        <v/>
      </c>
      <c r="F1008" s="44" t="str">
        <f aca="false">IF(I1008="","",IF(INDEX(J_DEB,I1008)=$C$3,INDEX(J_NOM,I1008),0))</f>
        <v/>
      </c>
      <c r="G1008" s="44" t="str">
        <f aca="false">IF(I1008="","",IF(INDEX(J_KRE,I1008)=$C$3,INDEX(J_NOM,I1008),0))</f>
        <v/>
      </c>
      <c r="H1008" s="44" t="str">
        <f aca="false">IF(I1008="","",N(H1007)+IF($C$5="Debet",F1008-G1008,G1008-F1008))</f>
        <v/>
      </c>
      <c r="I1008" s="66" t="str">
        <f aca="false">IF(J1008&gt;$K$1,"",IFERROR(MATCH(J1008,J_BB,0),""))</f>
        <v/>
      </c>
      <c r="J1008" s="66" t="n">
        <v>999</v>
      </c>
      <c r="K1008" s="5"/>
    </row>
    <row r="1009" customFormat="false" ht="15" hidden="false" customHeight="false" outlineLevel="0" collapsed="false">
      <c r="A1009" s="5" t="str">
        <f aca="false">IF(I1009="","",J1009)</f>
        <v/>
      </c>
      <c r="B1009" s="83" t="str">
        <f aca="false">IF(I1009="","",INDEX(J_TGL,I1009))</f>
        <v/>
      </c>
      <c r="C1009" s="5" t="str">
        <f aca="false">IF(I1009="","",INDEX(J_NO,I1009))</f>
        <v/>
      </c>
      <c r="D1009" s="5" t="str">
        <f aca="false">IF(I1009="","",INDEX(J_KET,I1009))</f>
        <v/>
      </c>
      <c r="E1009" s="5" t="str">
        <f aca="false">IF(I1009="","",IF(INDEX(J_DEB,I1009)=$C$3,INDEX(J_KRE,I1009),INDEX(J_DEB,I1009)))</f>
        <v/>
      </c>
      <c r="F1009" s="44" t="str">
        <f aca="false">IF(I1009="","",IF(INDEX(J_DEB,I1009)=$C$3,INDEX(J_NOM,I1009),0))</f>
        <v/>
      </c>
      <c r="G1009" s="44" t="str">
        <f aca="false">IF(I1009="","",IF(INDEX(J_KRE,I1009)=$C$3,INDEX(J_NOM,I1009),0))</f>
        <v/>
      </c>
      <c r="H1009" s="44" t="str">
        <f aca="false">IF(I1009="","",N(H1008)+IF($C$5="Debet",F1009-G1009,G1009-F1009))</f>
        <v/>
      </c>
      <c r="I1009" s="66" t="str">
        <f aca="false">IF(J1009&gt;$K$1,"",IFERROR(MATCH(J1009,J_BB,0),""))</f>
        <v/>
      </c>
      <c r="J1009" s="66" t="n">
        <v>1000</v>
      </c>
      <c r="K1009" s="5"/>
    </row>
    <row r="1010" customFormat="false" ht="15" hidden="false" customHeight="false" outlineLevel="0" collapsed="false">
      <c r="A1010" s="5" t="str">
        <f aca="false">IF(I1010="","",J1010)</f>
        <v/>
      </c>
      <c r="B1010" s="83" t="str">
        <f aca="false">IF(I1010="","",INDEX(J_TGL,I1010))</f>
        <v/>
      </c>
      <c r="C1010" s="5" t="str">
        <f aca="false">IF(I1010="","",INDEX(J_NO,I1010))</f>
        <v/>
      </c>
      <c r="D1010" s="5" t="str">
        <f aca="false">IF(I1010="","",INDEX(J_KET,I1010))</f>
        <v/>
      </c>
      <c r="E1010" s="5" t="str">
        <f aca="false">IF(I1010="","",IF(INDEX(J_DEB,I1010)=$C$3,INDEX(J_KRE,I1010),INDEX(J_DEB,I1010)))</f>
        <v/>
      </c>
      <c r="F1010" s="44" t="str">
        <f aca="false">IF(I1010="","",IF(INDEX(J_DEB,I1010)=$C$3,INDEX(J_NOM,I1010),0))</f>
        <v/>
      </c>
      <c r="G1010" s="44" t="str">
        <f aca="false">IF(I1010="","",IF(INDEX(J_KRE,I1010)=$C$3,INDEX(J_NOM,I1010),0))</f>
        <v/>
      </c>
      <c r="H1010" s="44" t="str">
        <f aca="false">IF(I1010="","",N(H1009)+IF($C$5="Debet",F1010-G1010,G1010-F1010))</f>
        <v/>
      </c>
      <c r="I1010" s="66" t="str">
        <f aca="false">IF(J1010&gt;$K$1,"",IFERROR(MATCH(J1010,J_BB,0),""))</f>
        <v/>
      </c>
      <c r="J1010" s="66" t="n">
        <v>1001</v>
      </c>
      <c r="K1010" s="5"/>
    </row>
    <row r="1011" customFormat="false" ht="15" hidden="false" customHeight="false" outlineLevel="0" collapsed="false">
      <c r="A1011" s="5" t="str">
        <f aca="false">IF(I1011="","",J1011)</f>
        <v/>
      </c>
      <c r="B1011" s="83" t="str">
        <f aca="false">IF(I1011="","",INDEX(J_TGL,I1011))</f>
        <v/>
      </c>
      <c r="C1011" s="5" t="str">
        <f aca="false">IF(I1011="","",INDEX(J_NO,I1011))</f>
        <v/>
      </c>
      <c r="D1011" s="5" t="str">
        <f aca="false">IF(I1011="","",INDEX(J_KET,I1011))</f>
        <v/>
      </c>
      <c r="E1011" s="5" t="str">
        <f aca="false">IF(I1011="","",IF(INDEX(J_DEB,I1011)=$C$3,INDEX(J_KRE,I1011),INDEX(J_DEB,I1011)))</f>
        <v/>
      </c>
      <c r="F1011" s="44" t="str">
        <f aca="false">IF(I1011="","",IF(INDEX(J_DEB,I1011)=$C$3,INDEX(J_NOM,I1011),0))</f>
        <v/>
      </c>
      <c r="G1011" s="44" t="str">
        <f aca="false">IF(I1011="","",IF(INDEX(J_KRE,I1011)=$C$3,INDEX(J_NOM,I1011),0))</f>
        <v/>
      </c>
      <c r="H1011" s="44" t="str">
        <f aca="false">IF(I1011="","",N(H1010)+IF($C$5="Debet",F1011-G1011,G1011-F1011))</f>
        <v/>
      </c>
      <c r="I1011" s="66" t="str">
        <f aca="false">IF(J1011&gt;$K$1,"",IFERROR(MATCH(J1011,J_BB,0),""))</f>
        <v/>
      </c>
      <c r="J1011" s="66" t="n">
        <v>1002</v>
      </c>
      <c r="K1011" s="5"/>
    </row>
    <row r="1012" customFormat="false" ht="15" hidden="false" customHeight="false" outlineLevel="0" collapsed="false">
      <c r="A1012" s="5" t="str">
        <f aca="false">IF(I1012="","",J1012)</f>
        <v/>
      </c>
      <c r="B1012" s="83" t="str">
        <f aca="false">IF(I1012="","",INDEX(J_TGL,I1012))</f>
        <v/>
      </c>
      <c r="C1012" s="5" t="str">
        <f aca="false">IF(I1012="","",INDEX(J_NO,I1012))</f>
        <v/>
      </c>
      <c r="D1012" s="5" t="str">
        <f aca="false">IF(I1012="","",INDEX(J_KET,I1012))</f>
        <v/>
      </c>
      <c r="E1012" s="5" t="str">
        <f aca="false">IF(I1012="","",IF(INDEX(J_DEB,I1012)=$C$3,INDEX(J_KRE,I1012),INDEX(J_DEB,I1012)))</f>
        <v/>
      </c>
      <c r="F1012" s="44" t="str">
        <f aca="false">IF(I1012="","",IF(INDEX(J_DEB,I1012)=$C$3,INDEX(J_NOM,I1012),0))</f>
        <v/>
      </c>
      <c r="G1012" s="44" t="str">
        <f aca="false">IF(I1012="","",IF(INDEX(J_KRE,I1012)=$C$3,INDEX(J_NOM,I1012),0))</f>
        <v/>
      </c>
      <c r="H1012" s="44" t="str">
        <f aca="false">IF(I1012="","",N(H1011)+IF($C$5="Debet",F1012-G1012,G1012-F1012))</f>
        <v/>
      </c>
      <c r="I1012" s="66" t="str">
        <f aca="false">IF(J1012&gt;$K$1,"",IFERROR(MATCH(J1012,J_BB,0),""))</f>
        <v/>
      </c>
      <c r="J1012" s="66" t="n">
        <v>1003</v>
      </c>
      <c r="K1012" s="5"/>
    </row>
    <row r="1013" customFormat="false" ht="15" hidden="false" customHeight="false" outlineLevel="0" collapsed="false">
      <c r="A1013" s="5" t="str">
        <f aca="false">IF(I1013="","",J1013)</f>
        <v/>
      </c>
      <c r="B1013" s="83" t="str">
        <f aca="false">IF(I1013="","",INDEX(J_TGL,I1013))</f>
        <v/>
      </c>
      <c r="C1013" s="5" t="str">
        <f aca="false">IF(I1013="","",INDEX(J_NO,I1013))</f>
        <v/>
      </c>
      <c r="D1013" s="5" t="str">
        <f aca="false">IF(I1013="","",INDEX(J_KET,I1013))</f>
        <v/>
      </c>
      <c r="E1013" s="5" t="str">
        <f aca="false">IF(I1013="","",IF(INDEX(J_DEB,I1013)=$C$3,INDEX(J_KRE,I1013),INDEX(J_DEB,I1013)))</f>
        <v/>
      </c>
      <c r="F1013" s="44" t="str">
        <f aca="false">IF(I1013="","",IF(INDEX(J_DEB,I1013)=$C$3,INDEX(J_NOM,I1013),0))</f>
        <v/>
      </c>
      <c r="G1013" s="44" t="str">
        <f aca="false">IF(I1013="","",IF(INDEX(J_KRE,I1013)=$C$3,INDEX(J_NOM,I1013),0))</f>
        <v/>
      </c>
      <c r="H1013" s="44" t="str">
        <f aca="false">IF(I1013="","",N(H1012)+IF($C$5="Debet",F1013-G1013,G1013-F1013))</f>
        <v/>
      </c>
      <c r="I1013" s="66" t="str">
        <f aca="false">IF(J1013&gt;$K$1,"",IFERROR(MATCH(J1013,J_BB,0),""))</f>
        <v/>
      </c>
      <c r="J1013" s="66" t="n">
        <v>1004</v>
      </c>
      <c r="K1013" s="5"/>
    </row>
    <row r="1014" customFormat="false" ht="15" hidden="false" customHeight="false" outlineLevel="0" collapsed="false">
      <c r="A1014" s="5" t="str">
        <f aca="false">IF(I1014="","",J1014)</f>
        <v/>
      </c>
      <c r="B1014" s="83" t="str">
        <f aca="false">IF(I1014="","",INDEX(J_TGL,I1014))</f>
        <v/>
      </c>
      <c r="C1014" s="5" t="str">
        <f aca="false">IF(I1014="","",INDEX(J_NO,I1014))</f>
        <v/>
      </c>
      <c r="D1014" s="5" t="str">
        <f aca="false">IF(I1014="","",INDEX(J_KET,I1014))</f>
        <v/>
      </c>
      <c r="E1014" s="5" t="str">
        <f aca="false">IF(I1014="","",IF(INDEX(J_DEB,I1014)=$C$3,INDEX(J_KRE,I1014),INDEX(J_DEB,I1014)))</f>
        <v/>
      </c>
      <c r="F1014" s="44" t="str">
        <f aca="false">IF(I1014="","",IF(INDEX(J_DEB,I1014)=$C$3,INDEX(J_NOM,I1014),0))</f>
        <v/>
      </c>
      <c r="G1014" s="44" t="str">
        <f aca="false">IF(I1014="","",IF(INDEX(J_KRE,I1014)=$C$3,INDEX(J_NOM,I1014),0))</f>
        <v/>
      </c>
      <c r="H1014" s="44" t="str">
        <f aca="false">IF(I1014="","",N(H1013)+IF($C$5="Debet",F1014-G1014,G1014-F1014))</f>
        <v/>
      </c>
      <c r="I1014" s="66" t="str">
        <f aca="false">IF(J1014&gt;$K$1,"",IFERROR(MATCH(J1014,J_BB,0),""))</f>
        <v/>
      </c>
      <c r="J1014" s="66" t="n">
        <v>1005</v>
      </c>
      <c r="K1014" s="5"/>
    </row>
    <row r="1015" customFormat="false" ht="15" hidden="false" customHeight="false" outlineLevel="0" collapsed="false">
      <c r="A1015" s="5" t="str">
        <f aca="false">IF(I1015="","",J1015)</f>
        <v/>
      </c>
      <c r="B1015" s="83" t="str">
        <f aca="false">IF(I1015="","",INDEX(J_TGL,I1015))</f>
        <v/>
      </c>
      <c r="C1015" s="5" t="str">
        <f aca="false">IF(I1015="","",INDEX(J_NO,I1015))</f>
        <v/>
      </c>
      <c r="D1015" s="5" t="str">
        <f aca="false">IF(I1015="","",INDEX(J_KET,I1015))</f>
        <v/>
      </c>
      <c r="E1015" s="5" t="str">
        <f aca="false">IF(I1015="","",IF(INDEX(J_DEB,I1015)=$C$3,INDEX(J_KRE,I1015),INDEX(J_DEB,I1015)))</f>
        <v/>
      </c>
      <c r="F1015" s="44" t="str">
        <f aca="false">IF(I1015="","",IF(INDEX(J_DEB,I1015)=$C$3,INDEX(J_NOM,I1015),0))</f>
        <v/>
      </c>
      <c r="G1015" s="44" t="str">
        <f aca="false">IF(I1015="","",IF(INDEX(J_KRE,I1015)=$C$3,INDEX(J_NOM,I1015),0))</f>
        <v/>
      </c>
      <c r="H1015" s="44" t="str">
        <f aca="false">IF(I1015="","",N(H1014)+IF($C$5="Debet",F1015-G1015,G1015-F1015))</f>
        <v/>
      </c>
      <c r="I1015" s="66" t="str">
        <f aca="false">IF(J1015&gt;$K$1,"",IFERROR(MATCH(J1015,J_BB,0),""))</f>
        <v/>
      </c>
      <c r="J1015" s="66" t="n">
        <v>1006</v>
      </c>
      <c r="K1015" s="5"/>
    </row>
    <row r="1016" customFormat="false" ht="15" hidden="false" customHeight="false" outlineLevel="0" collapsed="false">
      <c r="A1016" s="5" t="str">
        <f aca="false">IF(I1016="","",J1016)</f>
        <v/>
      </c>
      <c r="B1016" s="83" t="str">
        <f aca="false">IF(I1016="","",INDEX(J_TGL,I1016))</f>
        <v/>
      </c>
      <c r="C1016" s="5" t="str">
        <f aca="false">IF(I1016="","",INDEX(J_NO,I1016))</f>
        <v/>
      </c>
      <c r="D1016" s="5" t="str">
        <f aca="false">IF(I1016="","",INDEX(J_KET,I1016))</f>
        <v/>
      </c>
      <c r="E1016" s="5" t="str">
        <f aca="false">IF(I1016="","",IF(INDEX(J_DEB,I1016)=$C$3,INDEX(J_KRE,I1016),INDEX(J_DEB,I1016)))</f>
        <v/>
      </c>
      <c r="F1016" s="44" t="str">
        <f aca="false">IF(I1016="","",IF(INDEX(J_DEB,I1016)=$C$3,INDEX(J_NOM,I1016),0))</f>
        <v/>
      </c>
      <c r="G1016" s="44" t="str">
        <f aca="false">IF(I1016="","",IF(INDEX(J_KRE,I1016)=$C$3,INDEX(J_NOM,I1016),0))</f>
        <v/>
      </c>
      <c r="H1016" s="44" t="str">
        <f aca="false">IF(I1016="","",N(H1015)+IF($C$5="Debet",F1016-G1016,G1016-F1016))</f>
        <v/>
      </c>
      <c r="I1016" s="66" t="str">
        <f aca="false">IF(J1016&gt;$K$1,"",IFERROR(MATCH(J1016,J_BB,0),""))</f>
        <v/>
      </c>
      <c r="J1016" s="66" t="n">
        <v>1007</v>
      </c>
      <c r="K1016" s="5"/>
    </row>
    <row r="1017" customFormat="false" ht="15" hidden="false" customHeight="false" outlineLevel="0" collapsed="false">
      <c r="A1017" s="5" t="str">
        <f aca="false">IF(I1017="","",J1017)</f>
        <v/>
      </c>
      <c r="B1017" s="83" t="str">
        <f aca="false">IF(I1017="","",INDEX(J_TGL,I1017))</f>
        <v/>
      </c>
      <c r="C1017" s="5" t="str">
        <f aca="false">IF(I1017="","",INDEX(J_NO,I1017))</f>
        <v/>
      </c>
      <c r="D1017" s="5" t="str">
        <f aca="false">IF(I1017="","",INDEX(J_KET,I1017))</f>
        <v/>
      </c>
      <c r="E1017" s="5" t="str">
        <f aca="false">IF(I1017="","",IF(INDEX(J_DEB,I1017)=$C$3,INDEX(J_KRE,I1017),INDEX(J_DEB,I1017)))</f>
        <v/>
      </c>
      <c r="F1017" s="44" t="str">
        <f aca="false">IF(I1017="","",IF(INDEX(J_DEB,I1017)=$C$3,INDEX(J_NOM,I1017),0))</f>
        <v/>
      </c>
      <c r="G1017" s="44" t="str">
        <f aca="false">IF(I1017="","",IF(INDEX(J_KRE,I1017)=$C$3,INDEX(J_NOM,I1017),0))</f>
        <v/>
      </c>
      <c r="H1017" s="44" t="str">
        <f aca="false">IF(I1017="","",N(H1016)+IF($C$5="Debet",F1017-G1017,G1017-F1017))</f>
        <v/>
      </c>
      <c r="I1017" s="66" t="str">
        <f aca="false">IF(J1017&gt;$K$1,"",IFERROR(MATCH(J1017,J_BB,0),""))</f>
        <v/>
      </c>
      <c r="J1017" s="66" t="n">
        <v>1008</v>
      </c>
      <c r="K1017" s="5"/>
    </row>
    <row r="1018" customFormat="false" ht="15" hidden="false" customHeight="false" outlineLevel="0" collapsed="false">
      <c r="A1018" s="5" t="str">
        <f aca="false">IF(I1018="","",J1018)</f>
        <v/>
      </c>
      <c r="B1018" s="83" t="str">
        <f aca="false">IF(I1018="","",INDEX(J_TGL,I1018))</f>
        <v/>
      </c>
      <c r="C1018" s="5" t="str">
        <f aca="false">IF(I1018="","",INDEX(J_NO,I1018))</f>
        <v/>
      </c>
      <c r="D1018" s="5" t="str">
        <f aca="false">IF(I1018="","",INDEX(J_KET,I1018))</f>
        <v/>
      </c>
      <c r="E1018" s="5" t="str">
        <f aca="false">IF(I1018="","",IF(INDEX(J_DEB,I1018)=$C$3,INDEX(J_KRE,I1018),INDEX(J_DEB,I1018)))</f>
        <v/>
      </c>
      <c r="F1018" s="44" t="str">
        <f aca="false">IF(I1018="","",IF(INDEX(J_DEB,I1018)=$C$3,INDEX(J_NOM,I1018),0))</f>
        <v/>
      </c>
      <c r="G1018" s="44" t="str">
        <f aca="false">IF(I1018="","",IF(INDEX(J_KRE,I1018)=$C$3,INDEX(J_NOM,I1018),0))</f>
        <v/>
      </c>
      <c r="H1018" s="44" t="str">
        <f aca="false">IF(I1018="","",N(H1017)+IF($C$5="Debet",F1018-G1018,G1018-F1018))</f>
        <v/>
      </c>
      <c r="I1018" s="66" t="str">
        <f aca="false">IF(J1018&gt;$K$1,"",IFERROR(MATCH(J1018,J_BB,0),""))</f>
        <v/>
      </c>
      <c r="J1018" s="66" t="n">
        <v>1009</v>
      </c>
      <c r="K1018" s="5"/>
    </row>
    <row r="1019" customFormat="false" ht="15" hidden="false" customHeight="false" outlineLevel="0" collapsed="false">
      <c r="A1019" s="5" t="str">
        <f aca="false">IF(I1019="","",J1019)</f>
        <v/>
      </c>
      <c r="B1019" s="83" t="str">
        <f aca="false">IF(I1019="","",INDEX(J_TGL,I1019))</f>
        <v/>
      </c>
      <c r="C1019" s="5" t="str">
        <f aca="false">IF(I1019="","",INDEX(J_NO,I1019))</f>
        <v/>
      </c>
      <c r="D1019" s="5" t="str">
        <f aca="false">IF(I1019="","",INDEX(J_KET,I1019))</f>
        <v/>
      </c>
      <c r="E1019" s="5" t="str">
        <f aca="false">IF(I1019="","",IF(INDEX(J_DEB,I1019)=$C$3,INDEX(J_KRE,I1019),INDEX(J_DEB,I1019)))</f>
        <v/>
      </c>
      <c r="F1019" s="44" t="str">
        <f aca="false">IF(I1019="","",IF(INDEX(J_DEB,I1019)=$C$3,INDEX(J_NOM,I1019),0))</f>
        <v/>
      </c>
      <c r="G1019" s="44" t="str">
        <f aca="false">IF(I1019="","",IF(INDEX(J_KRE,I1019)=$C$3,INDEX(J_NOM,I1019),0))</f>
        <v/>
      </c>
      <c r="H1019" s="44" t="str">
        <f aca="false">IF(I1019="","",N(H1018)+IF($C$5="Debet",F1019-G1019,G1019-F1019))</f>
        <v/>
      </c>
      <c r="I1019" s="66" t="str">
        <f aca="false">IF(J1019&gt;$K$1,"",IFERROR(MATCH(J1019,J_BB,0),""))</f>
        <v/>
      </c>
      <c r="J1019" s="66" t="n">
        <v>1010</v>
      </c>
      <c r="K1019" s="5"/>
    </row>
    <row r="1020" customFormat="false" ht="15" hidden="false" customHeight="false" outlineLevel="0" collapsed="false">
      <c r="A1020" s="5" t="str">
        <f aca="false">IF(I1020="","",J1020)</f>
        <v/>
      </c>
      <c r="B1020" s="83" t="str">
        <f aca="false">IF(I1020="","",INDEX(J_TGL,I1020))</f>
        <v/>
      </c>
      <c r="C1020" s="5" t="str">
        <f aca="false">IF(I1020="","",INDEX(J_NO,I1020))</f>
        <v/>
      </c>
      <c r="D1020" s="5" t="str">
        <f aca="false">IF(I1020="","",INDEX(J_KET,I1020))</f>
        <v/>
      </c>
      <c r="E1020" s="5" t="str">
        <f aca="false">IF(I1020="","",IF(INDEX(J_DEB,I1020)=$C$3,INDEX(J_KRE,I1020),INDEX(J_DEB,I1020)))</f>
        <v/>
      </c>
      <c r="F1020" s="44" t="str">
        <f aca="false">IF(I1020="","",IF(INDEX(J_DEB,I1020)=$C$3,INDEX(J_NOM,I1020),0))</f>
        <v/>
      </c>
      <c r="G1020" s="44" t="str">
        <f aca="false">IF(I1020="","",IF(INDEX(J_KRE,I1020)=$C$3,INDEX(J_NOM,I1020),0))</f>
        <v/>
      </c>
      <c r="H1020" s="44" t="str">
        <f aca="false">IF(I1020="","",N(H1019)+IF($C$5="Debet",F1020-G1020,G1020-F1020))</f>
        <v/>
      </c>
      <c r="I1020" s="66" t="str">
        <f aca="false">IF(J1020&gt;$K$1,"",IFERROR(MATCH(J1020,J_BB,0),""))</f>
        <v/>
      </c>
      <c r="J1020" s="66" t="n">
        <v>1011</v>
      </c>
      <c r="K1020" s="5"/>
    </row>
    <row r="1021" customFormat="false" ht="15" hidden="false" customHeight="false" outlineLevel="0" collapsed="false">
      <c r="A1021" s="5" t="str">
        <f aca="false">IF(I1021="","",J1021)</f>
        <v/>
      </c>
      <c r="B1021" s="83" t="str">
        <f aca="false">IF(I1021="","",INDEX(J_TGL,I1021))</f>
        <v/>
      </c>
      <c r="C1021" s="5" t="str">
        <f aca="false">IF(I1021="","",INDEX(J_NO,I1021))</f>
        <v/>
      </c>
      <c r="D1021" s="5" t="str">
        <f aca="false">IF(I1021="","",INDEX(J_KET,I1021))</f>
        <v/>
      </c>
      <c r="E1021" s="5" t="str">
        <f aca="false">IF(I1021="","",IF(INDEX(J_DEB,I1021)=$C$3,INDEX(J_KRE,I1021),INDEX(J_DEB,I1021)))</f>
        <v/>
      </c>
      <c r="F1021" s="44" t="str">
        <f aca="false">IF(I1021="","",IF(INDEX(J_DEB,I1021)=$C$3,INDEX(J_NOM,I1021),0))</f>
        <v/>
      </c>
      <c r="G1021" s="44" t="str">
        <f aca="false">IF(I1021="","",IF(INDEX(J_KRE,I1021)=$C$3,INDEX(J_NOM,I1021),0))</f>
        <v/>
      </c>
      <c r="H1021" s="44" t="str">
        <f aca="false">IF(I1021="","",N(H1020)+IF($C$5="Debet",F1021-G1021,G1021-F1021))</f>
        <v/>
      </c>
      <c r="I1021" s="66" t="str">
        <f aca="false">IF(J1021&gt;$K$1,"",IFERROR(MATCH(J1021,J_BB,0),""))</f>
        <v/>
      </c>
      <c r="J1021" s="66" t="n">
        <v>1012</v>
      </c>
      <c r="K1021" s="5"/>
    </row>
    <row r="1022" customFormat="false" ht="15" hidden="false" customHeight="false" outlineLevel="0" collapsed="false">
      <c r="A1022" s="5" t="str">
        <f aca="false">IF(I1022="","",J1022)</f>
        <v/>
      </c>
      <c r="B1022" s="83" t="str">
        <f aca="false">IF(I1022="","",INDEX(J_TGL,I1022))</f>
        <v/>
      </c>
      <c r="C1022" s="5" t="str">
        <f aca="false">IF(I1022="","",INDEX(J_NO,I1022))</f>
        <v/>
      </c>
      <c r="D1022" s="5" t="str">
        <f aca="false">IF(I1022="","",INDEX(J_KET,I1022))</f>
        <v/>
      </c>
      <c r="E1022" s="5" t="str">
        <f aca="false">IF(I1022="","",IF(INDEX(J_DEB,I1022)=$C$3,INDEX(J_KRE,I1022),INDEX(J_DEB,I1022)))</f>
        <v/>
      </c>
      <c r="F1022" s="44" t="str">
        <f aca="false">IF(I1022="","",IF(INDEX(J_DEB,I1022)=$C$3,INDEX(J_NOM,I1022),0))</f>
        <v/>
      </c>
      <c r="G1022" s="44" t="str">
        <f aca="false">IF(I1022="","",IF(INDEX(J_KRE,I1022)=$C$3,INDEX(J_NOM,I1022),0))</f>
        <v/>
      </c>
      <c r="H1022" s="44" t="str">
        <f aca="false">IF(I1022="","",N(H1021)+IF($C$5="Debet",F1022-G1022,G1022-F1022))</f>
        <v/>
      </c>
      <c r="I1022" s="66" t="str">
        <f aca="false">IF(J1022&gt;$K$1,"",IFERROR(MATCH(J1022,J_BB,0),""))</f>
        <v/>
      </c>
      <c r="J1022" s="66" t="n">
        <v>1013</v>
      </c>
      <c r="K1022" s="5"/>
    </row>
    <row r="1023" customFormat="false" ht="15" hidden="false" customHeight="false" outlineLevel="0" collapsed="false">
      <c r="A1023" s="5" t="str">
        <f aca="false">IF(I1023="","",J1023)</f>
        <v/>
      </c>
      <c r="B1023" s="83" t="str">
        <f aca="false">IF(I1023="","",INDEX(J_TGL,I1023))</f>
        <v/>
      </c>
      <c r="C1023" s="5" t="str">
        <f aca="false">IF(I1023="","",INDEX(J_NO,I1023))</f>
        <v/>
      </c>
      <c r="D1023" s="5" t="str">
        <f aca="false">IF(I1023="","",INDEX(J_KET,I1023))</f>
        <v/>
      </c>
      <c r="E1023" s="5" t="str">
        <f aca="false">IF(I1023="","",IF(INDEX(J_DEB,I1023)=$C$3,INDEX(J_KRE,I1023),INDEX(J_DEB,I1023)))</f>
        <v/>
      </c>
      <c r="F1023" s="44" t="str">
        <f aca="false">IF(I1023="","",IF(INDEX(J_DEB,I1023)=$C$3,INDEX(J_NOM,I1023),0))</f>
        <v/>
      </c>
      <c r="G1023" s="44" t="str">
        <f aca="false">IF(I1023="","",IF(INDEX(J_KRE,I1023)=$C$3,INDEX(J_NOM,I1023),0))</f>
        <v/>
      </c>
      <c r="H1023" s="44" t="str">
        <f aca="false">IF(I1023="","",N(H1022)+IF($C$5="Debet",F1023-G1023,G1023-F1023))</f>
        <v/>
      </c>
      <c r="I1023" s="66" t="str">
        <f aca="false">IF(J1023&gt;$K$1,"",IFERROR(MATCH(J1023,J_BB,0),""))</f>
        <v/>
      </c>
      <c r="J1023" s="66" t="n">
        <v>1014</v>
      </c>
      <c r="K1023" s="5"/>
    </row>
    <row r="1024" customFormat="false" ht="15" hidden="false" customHeight="false" outlineLevel="0" collapsed="false">
      <c r="A1024" s="5" t="str">
        <f aca="false">IF(I1024="","",J1024)</f>
        <v/>
      </c>
      <c r="B1024" s="83" t="str">
        <f aca="false">IF(I1024="","",INDEX(J_TGL,I1024))</f>
        <v/>
      </c>
      <c r="C1024" s="5" t="str">
        <f aca="false">IF(I1024="","",INDEX(J_NO,I1024))</f>
        <v/>
      </c>
      <c r="D1024" s="5" t="str">
        <f aca="false">IF(I1024="","",INDEX(J_KET,I1024))</f>
        <v/>
      </c>
      <c r="E1024" s="5" t="str">
        <f aca="false">IF(I1024="","",IF(INDEX(J_DEB,I1024)=$C$3,INDEX(J_KRE,I1024),INDEX(J_DEB,I1024)))</f>
        <v/>
      </c>
      <c r="F1024" s="44" t="str">
        <f aca="false">IF(I1024="","",IF(INDEX(J_DEB,I1024)=$C$3,INDEX(J_NOM,I1024),0))</f>
        <v/>
      </c>
      <c r="G1024" s="44" t="str">
        <f aca="false">IF(I1024="","",IF(INDEX(J_KRE,I1024)=$C$3,INDEX(J_NOM,I1024),0))</f>
        <v/>
      </c>
      <c r="H1024" s="44" t="str">
        <f aca="false">IF(I1024="","",N(H1023)+IF($C$5="Debet",F1024-G1024,G1024-F1024))</f>
        <v/>
      </c>
      <c r="I1024" s="66" t="str">
        <f aca="false">IF(J1024&gt;$K$1,"",IFERROR(MATCH(J1024,J_BB,0),""))</f>
        <v/>
      </c>
      <c r="J1024" s="66" t="n">
        <v>1015</v>
      </c>
      <c r="K1024" s="5"/>
    </row>
    <row r="1025" customFormat="false" ht="15" hidden="false" customHeight="false" outlineLevel="0" collapsed="false">
      <c r="A1025" s="5" t="str">
        <f aca="false">IF(I1025="","",J1025)</f>
        <v/>
      </c>
      <c r="B1025" s="83" t="str">
        <f aca="false">IF(I1025="","",INDEX(J_TGL,I1025))</f>
        <v/>
      </c>
      <c r="C1025" s="5" t="str">
        <f aca="false">IF(I1025="","",INDEX(J_NO,I1025))</f>
        <v/>
      </c>
      <c r="D1025" s="5" t="str">
        <f aca="false">IF(I1025="","",INDEX(J_KET,I1025))</f>
        <v/>
      </c>
      <c r="E1025" s="5" t="str">
        <f aca="false">IF(I1025="","",IF(INDEX(J_DEB,I1025)=$C$3,INDEX(J_KRE,I1025),INDEX(J_DEB,I1025)))</f>
        <v/>
      </c>
      <c r="F1025" s="44" t="str">
        <f aca="false">IF(I1025="","",IF(INDEX(J_DEB,I1025)=$C$3,INDEX(J_NOM,I1025),0))</f>
        <v/>
      </c>
      <c r="G1025" s="44" t="str">
        <f aca="false">IF(I1025="","",IF(INDEX(J_KRE,I1025)=$C$3,INDEX(J_NOM,I1025),0))</f>
        <v/>
      </c>
      <c r="H1025" s="44" t="str">
        <f aca="false">IF(I1025="","",N(H1024)+IF($C$5="Debet",F1025-G1025,G1025-F1025))</f>
        <v/>
      </c>
      <c r="I1025" s="66" t="str">
        <f aca="false">IF(J1025&gt;$K$1,"",IFERROR(MATCH(J1025,J_BB,0),""))</f>
        <v/>
      </c>
      <c r="J1025" s="66" t="n">
        <v>1016</v>
      </c>
      <c r="K1025" s="5"/>
    </row>
    <row r="1026" customFormat="false" ht="15" hidden="false" customHeight="false" outlineLevel="0" collapsed="false">
      <c r="A1026" s="5" t="str">
        <f aca="false">IF(I1026="","",J1026)</f>
        <v/>
      </c>
      <c r="B1026" s="83" t="str">
        <f aca="false">IF(I1026="","",INDEX(J_TGL,I1026))</f>
        <v/>
      </c>
      <c r="C1026" s="5" t="str">
        <f aca="false">IF(I1026="","",INDEX(J_NO,I1026))</f>
        <v/>
      </c>
      <c r="D1026" s="5" t="str">
        <f aca="false">IF(I1026="","",INDEX(J_KET,I1026))</f>
        <v/>
      </c>
      <c r="E1026" s="5" t="str">
        <f aca="false">IF(I1026="","",IF(INDEX(J_DEB,I1026)=$C$3,INDEX(J_KRE,I1026),INDEX(J_DEB,I1026)))</f>
        <v/>
      </c>
      <c r="F1026" s="44" t="str">
        <f aca="false">IF(I1026="","",IF(INDEX(J_DEB,I1026)=$C$3,INDEX(J_NOM,I1026),0))</f>
        <v/>
      </c>
      <c r="G1026" s="44" t="str">
        <f aca="false">IF(I1026="","",IF(INDEX(J_KRE,I1026)=$C$3,INDEX(J_NOM,I1026),0))</f>
        <v/>
      </c>
      <c r="H1026" s="44" t="str">
        <f aca="false">IF(I1026="","",N(H1025)+IF($C$5="Debet",F1026-G1026,G1026-F1026))</f>
        <v/>
      </c>
      <c r="I1026" s="66" t="str">
        <f aca="false">IF(J1026&gt;$K$1,"",IFERROR(MATCH(J1026,J_BB,0),""))</f>
        <v/>
      </c>
      <c r="J1026" s="66" t="n">
        <v>1017</v>
      </c>
      <c r="K1026" s="5"/>
    </row>
    <row r="1027" customFormat="false" ht="15" hidden="false" customHeight="false" outlineLevel="0" collapsed="false">
      <c r="A1027" s="5" t="str">
        <f aca="false">IF(I1027="","",J1027)</f>
        <v/>
      </c>
      <c r="B1027" s="83" t="str">
        <f aca="false">IF(I1027="","",INDEX(J_TGL,I1027))</f>
        <v/>
      </c>
      <c r="C1027" s="5" t="str">
        <f aca="false">IF(I1027="","",INDEX(J_NO,I1027))</f>
        <v/>
      </c>
      <c r="D1027" s="5" t="str">
        <f aca="false">IF(I1027="","",INDEX(J_KET,I1027))</f>
        <v/>
      </c>
      <c r="E1027" s="5" t="str">
        <f aca="false">IF(I1027="","",IF(INDEX(J_DEB,I1027)=$C$3,INDEX(J_KRE,I1027),INDEX(J_DEB,I1027)))</f>
        <v/>
      </c>
      <c r="F1027" s="44" t="str">
        <f aca="false">IF(I1027="","",IF(INDEX(J_DEB,I1027)=$C$3,INDEX(J_NOM,I1027),0))</f>
        <v/>
      </c>
      <c r="G1027" s="44" t="str">
        <f aca="false">IF(I1027="","",IF(INDEX(J_KRE,I1027)=$C$3,INDEX(J_NOM,I1027),0))</f>
        <v/>
      </c>
      <c r="H1027" s="44" t="str">
        <f aca="false">IF(I1027="","",N(H1026)+IF($C$5="Debet",F1027-G1027,G1027-F1027))</f>
        <v/>
      </c>
      <c r="I1027" s="66" t="str">
        <f aca="false">IF(J1027&gt;$K$1,"",IFERROR(MATCH(J1027,J_BB,0),""))</f>
        <v/>
      </c>
      <c r="J1027" s="66" t="n">
        <v>1018</v>
      </c>
      <c r="K1027" s="5"/>
    </row>
    <row r="1028" customFormat="false" ht="15" hidden="false" customHeight="false" outlineLevel="0" collapsed="false">
      <c r="A1028" s="5" t="str">
        <f aca="false">IF(I1028="","",J1028)</f>
        <v/>
      </c>
      <c r="B1028" s="83" t="str">
        <f aca="false">IF(I1028="","",INDEX(J_TGL,I1028))</f>
        <v/>
      </c>
      <c r="C1028" s="5" t="str">
        <f aca="false">IF(I1028="","",INDEX(J_NO,I1028))</f>
        <v/>
      </c>
      <c r="D1028" s="5" t="str">
        <f aca="false">IF(I1028="","",INDEX(J_KET,I1028))</f>
        <v/>
      </c>
      <c r="E1028" s="5" t="str">
        <f aca="false">IF(I1028="","",IF(INDEX(J_DEB,I1028)=$C$3,INDEX(J_KRE,I1028),INDEX(J_DEB,I1028)))</f>
        <v/>
      </c>
      <c r="F1028" s="44" t="str">
        <f aca="false">IF(I1028="","",IF(INDEX(J_DEB,I1028)=$C$3,INDEX(J_NOM,I1028),0))</f>
        <v/>
      </c>
      <c r="G1028" s="44" t="str">
        <f aca="false">IF(I1028="","",IF(INDEX(J_KRE,I1028)=$C$3,INDEX(J_NOM,I1028),0))</f>
        <v/>
      </c>
      <c r="H1028" s="44" t="str">
        <f aca="false">IF(I1028="","",N(H1027)+IF($C$5="Debet",F1028-G1028,G1028-F1028))</f>
        <v/>
      </c>
      <c r="I1028" s="66" t="str">
        <f aca="false">IF(J1028&gt;$K$1,"",IFERROR(MATCH(J1028,J_BB,0),""))</f>
        <v/>
      </c>
      <c r="J1028" s="66" t="n">
        <v>1019</v>
      </c>
      <c r="K1028" s="5"/>
    </row>
    <row r="1029" customFormat="false" ht="15" hidden="false" customHeight="false" outlineLevel="0" collapsed="false">
      <c r="A1029" s="5" t="str">
        <f aca="false">IF(I1029="","",J1029)</f>
        <v/>
      </c>
      <c r="B1029" s="83" t="str">
        <f aca="false">IF(I1029="","",INDEX(J_TGL,I1029))</f>
        <v/>
      </c>
      <c r="C1029" s="5" t="str">
        <f aca="false">IF(I1029="","",INDEX(J_NO,I1029))</f>
        <v/>
      </c>
      <c r="D1029" s="5" t="str">
        <f aca="false">IF(I1029="","",INDEX(J_KET,I1029))</f>
        <v/>
      </c>
      <c r="E1029" s="5" t="str">
        <f aca="false">IF(I1029="","",IF(INDEX(J_DEB,I1029)=$C$3,INDEX(J_KRE,I1029),INDEX(J_DEB,I1029)))</f>
        <v/>
      </c>
      <c r="F1029" s="44" t="str">
        <f aca="false">IF(I1029="","",IF(INDEX(J_DEB,I1029)=$C$3,INDEX(J_NOM,I1029),0))</f>
        <v/>
      </c>
      <c r="G1029" s="44" t="str">
        <f aca="false">IF(I1029="","",IF(INDEX(J_KRE,I1029)=$C$3,INDEX(J_NOM,I1029),0))</f>
        <v/>
      </c>
      <c r="H1029" s="44" t="str">
        <f aca="false">IF(I1029="","",N(H1028)+IF($C$5="Debet",F1029-G1029,G1029-F1029))</f>
        <v/>
      </c>
      <c r="I1029" s="66" t="str">
        <f aca="false">IF(J1029&gt;$K$1,"",IFERROR(MATCH(J1029,J_BB,0),""))</f>
        <v/>
      </c>
      <c r="J1029" s="66" t="n">
        <v>1020</v>
      </c>
      <c r="K1029" s="5"/>
    </row>
    <row r="1030" customFormat="false" ht="15" hidden="false" customHeight="false" outlineLevel="0" collapsed="false">
      <c r="A1030" s="5" t="str">
        <f aca="false">IF(I1030="","",J1030)</f>
        <v/>
      </c>
      <c r="B1030" s="83" t="str">
        <f aca="false">IF(I1030="","",INDEX(J_TGL,I1030))</f>
        <v/>
      </c>
      <c r="C1030" s="5" t="str">
        <f aca="false">IF(I1030="","",INDEX(J_NO,I1030))</f>
        <v/>
      </c>
      <c r="D1030" s="5" t="str">
        <f aca="false">IF(I1030="","",INDEX(J_KET,I1030))</f>
        <v/>
      </c>
      <c r="E1030" s="5" t="str">
        <f aca="false">IF(I1030="","",IF(INDEX(J_DEB,I1030)=$C$3,INDEX(J_KRE,I1030),INDEX(J_DEB,I1030)))</f>
        <v/>
      </c>
      <c r="F1030" s="44" t="str">
        <f aca="false">IF(I1030="","",IF(INDEX(J_DEB,I1030)=$C$3,INDEX(J_NOM,I1030),0))</f>
        <v/>
      </c>
      <c r="G1030" s="44" t="str">
        <f aca="false">IF(I1030="","",IF(INDEX(J_KRE,I1030)=$C$3,INDEX(J_NOM,I1030),0))</f>
        <v/>
      </c>
      <c r="H1030" s="44" t="str">
        <f aca="false">IF(I1030="","",N(H1029)+IF($C$5="Debet",F1030-G1030,G1030-F1030))</f>
        <v/>
      </c>
      <c r="I1030" s="66" t="str">
        <f aca="false">IF(J1030&gt;$K$1,"",IFERROR(MATCH(J1030,J_BB,0),""))</f>
        <v/>
      </c>
      <c r="J1030" s="66" t="n">
        <v>1021</v>
      </c>
      <c r="K1030" s="5"/>
    </row>
    <row r="1031" customFormat="false" ht="15" hidden="false" customHeight="false" outlineLevel="0" collapsed="false">
      <c r="A1031" s="5" t="str">
        <f aca="false">IF(I1031="","",J1031)</f>
        <v/>
      </c>
      <c r="B1031" s="83" t="str">
        <f aca="false">IF(I1031="","",INDEX(J_TGL,I1031))</f>
        <v/>
      </c>
      <c r="C1031" s="5" t="str">
        <f aca="false">IF(I1031="","",INDEX(J_NO,I1031))</f>
        <v/>
      </c>
      <c r="D1031" s="5" t="str">
        <f aca="false">IF(I1031="","",INDEX(J_KET,I1031))</f>
        <v/>
      </c>
      <c r="E1031" s="5" t="str">
        <f aca="false">IF(I1031="","",IF(INDEX(J_DEB,I1031)=$C$3,INDEX(J_KRE,I1031),INDEX(J_DEB,I1031)))</f>
        <v/>
      </c>
      <c r="F1031" s="44" t="str">
        <f aca="false">IF(I1031="","",IF(INDEX(J_DEB,I1031)=$C$3,INDEX(J_NOM,I1031),0))</f>
        <v/>
      </c>
      <c r="G1031" s="44" t="str">
        <f aca="false">IF(I1031="","",IF(INDEX(J_KRE,I1031)=$C$3,INDEX(J_NOM,I1031),0))</f>
        <v/>
      </c>
      <c r="H1031" s="44" t="str">
        <f aca="false">IF(I1031="","",N(H1030)+IF($C$5="Debet",F1031-G1031,G1031-F1031))</f>
        <v/>
      </c>
      <c r="I1031" s="66" t="str">
        <f aca="false">IF(J1031&gt;$K$1,"",IFERROR(MATCH(J1031,J_BB,0),""))</f>
        <v/>
      </c>
      <c r="J1031" s="66" t="n">
        <v>1022</v>
      </c>
      <c r="K1031" s="5"/>
    </row>
    <row r="1032" customFormat="false" ht="15" hidden="false" customHeight="false" outlineLevel="0" collapsed="false">
      <c r="A1032" s="5" t="str">
        <f aca="false">IF(I1032="","",J1032)</f>
        <v/>
      </c>
      <c r="B1032" s="83" t="str">
        <f aca="false">IF(I1032="","",INDEX(J_TGL,I1032))</f>
        <v/>
      </c>
      <c r="C1032" s="5" t="str">
        <f aca="false">IF(I1032="","",INDEX(J_NO,I1032))</f>
        <v/>
      </c>
      <c r="D1032" s="5" t="str">
        <f aca="false">IF(I1032="","",INDEX(J_KET,I1032))</f>
        <v/>
      </c>
      <c r="E1032" s="5" t="str">
        <f aca="false">IF(I1032="","",IF(INDEX(J_DEB,I1032)=$C$3,INDEX(J_KRE,I1032),INDEX(J_DEB,I1032)))</f>
        <v/>
      </c>
      <c r="F1032" s="44" t="str">
        <f aca="false">IF(I1032="","",IF(INDEX(J_DEB,I1032)=$C$3,INDEX(J_NOM,I1032),0))</f>
        <v/>
      </c>
      <c r="G1032" s="44" t="str">
        <f aca="false">IF(I1032="","",IF(INDEX(J_KRE,I1032)=$C$3,INDEX(J_NOM,I1032),0))</f>
        <v/>
      </c>
      <c r="H1032" s="44" t="str">
        <f aca="false">IF(I1032="","",N(H1031)+IF($C$5="Debet",F1032-G1032,G1032-F1032))</f>
        <v/>
      </c>
      <c r="I1032" s="66" t="str">
        <f aca="false">IF(J1032&gt;$K$1,"",IFERROR(MATCH(J1032,J_BB,0),""))</f>
        <v/>
      </c>
      <c r="J1032" s="66" t="n">
        <v>1023</v>
      </c>
      <c r="K1032" s="5"/>
    </row>
    <row r="1033" customFormat="false" ht="15" hidden="false" customHeight="false" outlineLevel="0" collapsed="false">
      <c r="A1033" s="5" t="str">
        <f aca="false">IF(I1033="","",J1033)</f>
        <v/>
      </c>
      <c r="B1033" s="83" t="str">
        <f aca="false">IF(I1033="","",INDEX(J_TGL,I1033))</f>
        <v/>
      </c>
      <c r="C1033" s="5" t="str">
        <f aca="false">IF(I1033="","",INDEX(J_NO,I1033))</f>
        <v/>
      </c>
      <c r="D1033" s="5" t="str">
        <f aca="false">IF(I1033="","",INDEX(J_KET,I1033))</f>
        <v/>
      </c>
      <c r="E1033" s="5" t="str">
        <f aca="false">IF(I1033="","",IF(INDEX(J_DEB,I1033)=$C$3,INDEX(J_KRE,I1033),INDEX(J_DEB,I1033)))</f>
        <v/>
      </c>
      <c r="F1033" s="44" t="str">
        <f aca="false">IF(I1033="","",IF(INDEX(J_DEB,I1033)=$C$3,INDEX(J_NOM,I1033),0))</f>
        <v/>
      </c>
      <c r="G1033" s="44" t="str">
        <f aca="false">IF(I1033="","",IF(INDEX(J_KRE,I1033)=$C$3,INDEX(J_NOM,I1033),0))</f>
        <v/>
      </c>
      <c r="H1033" s="44" t="str">
        <f aca="false">IF(I1033="","",N(H1032)+IF($C$5="Debet",F1033-G1033,G1033-F1033))</f>
        <v/>
      </c>
      <c r="I1033" s="66" t="str">
        <f aca="false">IF(J1033&gt;$K$1,"",IFERROR(MATCH(J1033,J_BB,0),""))</f>
        <v/>
      </c>
      <c r="J1033" s="66" t="n">
        <v>1024</v>
      </c>
      <c r="K1033" s="5"/>
    </row>
    <row r="1034" customFormat="false" ht="15" hidden="false" customHeight="false" outlineLevel="0" collapsed="false">
      <c r="A1034" s="5" t="str">
        <f aca="false">IF(I1034="","",J1034)</f>
        <v/>
      </c>
      <c r="B1034" s="83" t="str">
        <f aca="false">IF(I1034="","",INDEX(J_TGL,I1034))</f>
        <v/>
      </c>
      <c r="C1034" s="5" t="str">
        <f aca="false">IF(I1034="","",INDEX(J_NO,I1034))</f>
        <v/>
      </c>
      <c r="D1034" s="5" t="str">
        <f aca="false">IF(I1034="","",INDEX(J_KET,I1034))</f>
        <v/>
      </c>
      <c r="E1034" s="5" t="str">
        <f aca="false">IF(I1034="","",IF(INDEX(J_DEB,I1034)=$C$3,INDEX(J_KRE,I1034),INDEX(J_DEB,I1034)))</f>
        <v/>
      </c>
      <c r="F1034" s="44" t="str">
        <f aca="false">IF(I1034="","",IF(INDEX(J_DEB,I1034)=$C$3,INDEX(J_NOM,I1034),0))</f>
        <v/>
      </c>
      <c r="G1034" s="44" t="str">
        <f aca="false">IF(I1034="","",IF(INDEX(J_KRE,I1034)=$C$3,INDEX(J_NOM,I1034),0))</f>
        <v/>
      </c>
      <c r="H1034" s="44" t="str">
        <f aca="false">IF(I1034="","",N(H1033)+IF($C$5="Debet",F1034-G1034,G1034-F1034))</f>
        <v/>
      </c>
      <c r="I1034" s="66" t="str">
        <f aca="false">IF(J1034&gt;$K$1,"",IFERROR(MATCH(J1034,J_BB,0),""))</f>
        <v/>
      </c>
      <c r="J1034" s="66" t="n">
        <v>1025</v>
      </c>
      <c r="K1034" s="5"/>
    </row>
    <row r="1035" customFormat="false" ht="15" hidden="false" customHeight="false" outlineLevel="0" collapsed="false">
      <c r="A1035" s="5" t="str">
        <f aca="false">IF(I1035="","",J1035)</f>
        <v/>
      </c>
      <c r="B1035" s="83" t="str">
        <f aca="false">IF(I1035="","",INDEX(J_TGL,I1035))</f>
        <v/>
      </c>
      <c r="C1035" s="5" t="str">
        <f aca="false">IF(I1035="","",INDEX(J_NO,I1035))</f>
        <v/>
      </c>
      <c r="D1035" s="5" t="str">
        <f aca="false">IF(I1035="","",INDEX(J_KET,I1035))</f>
        <v/>
      </c>
      <c r="E1035" s="5" t="str">
        <f aca="false">IF(I1035="","",IF(INDEX(J_DEB,I1035)=$C$3,INDEX(J_KRE,I1035),INDEX(J_DEB,I1035)))</f>
        <v/>
      </c>
      <c r="F1035" s="44" t="str">
        <f aca="false">IF(I1035="","",IF(INDEX(J_DEB,I1035)=$C$3,INDEX(J_NOM,I1035),0))</f>
        <v/>
      </c>
      <c r="G1035" s="44" t="str">
        <f aca="false">IF(I1035="","",IF(INDEX(J_KRE,I1035)=$C$3,INDEX(J_NOM,I1035),0))</f>
        <v/>
      </c>
      <c r="H1035" s="44" t="str">
        <f aca="false">IF(I1035="","",N(H1034)+IF($C$5="Debet",F1035-G1035,G1035-F1035))</f>
        <v/>
      </c>
      <c r="I1035" s="66" t="str">
        <f aca="false">IF(J1035&gt;$K$1,"",IFERROR(MATCH(J1035,J_BB,0),""))</f>
        <v/>
      </c>
      <c r="J1035" s="66" t="n">
        <v>1026</v>
      </c>
      <c r="K1035" s="5"/>
    </row>
    <row r="1036" customFormat="false" ht="15" hidden="false" customHeight="false" outlineLevel="0" collapsed="false">
      <c r="A1036" s="5" t="str">
        <f aca="false">IF(I1036="","",J1036)</f>
        <v/>
      </c>
      <c r="B1036" s="83" t="str">
        <f aca="false">IF(I1036="","",INDEX(J_TGL,I1036))</f>
        <v/>
      </c>
      <c r="C1036" s="5" t="str">
        <f aca="false">IF(I1036="","",INDEX(J_NO,I1036))</f>
        <v/>
      </c>
      <c r="D1036" s="5" t="str">
        <f aca="false">IF(I1036="","",INDEX(J_KET,I1036))</f>
        <v/>
      </c>
      <c r="E1036" s="5" t="str">
        <f aca="false">IF(I1036="","",IF(INDEX(J_DEB,I1036)=$C$3,INDEX(J_KRE,I1036),INDEX(J_DEB,I1036)))</f>
        <v/>
      </c>
      <c r="F1036" s="44" t="str">
        <f aca="false">IF(I1036="","",IF(INDEX(J_DEB,I1036)=$C$3,INDEX(J_NOM,I1036),0))</f>
        <v/>
      </c>
      <c r="G1036" s="44" t="str">
        <f aca="false">IF(I1036="","",IF(INDEX(J_KRE,I1036)=$C$3,INDEX(J_NOM,I1036),0))</f>
        <v/>
      </c>
      <c r="H1036" s="44" t="str">
        <f aca="false">IF(I1036="","",N(H1035)+IF($C$5="Debet",F1036-G1036,G1036-F1036))</f>
        <v/>
      </c>
      <c r="I1036" s="66" t="str">
        <f aca="false">IF(J1036&gt;$K$1,"",IFERROR(MATCH(J1036,J_BB,0),""))</f>
        <v/>
      </c>
      <c r="J1036" s="66" t="n">
        <v>1027</v>
      </c>
      <c r="K1036" s="5"/>
    </row>
    <row r="1037" customFormat="false" ht="15" hidden="false" customHeight="false" outlineLevel="0" collapsed="false">
      <c r="A1037" s="5" t="str">
        <f aca="false">IF(I1037="","",J1037)</f>
        <v/>
      </c>
      <c r="B1037" s="83" t="str">
        <f aca="false">IF(I1037="","",INDEX(J_TGL,I1037))</f>
        <v/>
      </c>
      <c r="C1037" s="5" t="str">
        <f aca="false">IF(I1037="","",INDEX(J_NO,I1037))</f>
        <v/>
      </c>
      <c r="D1037" s="5" t="str">
        <f aca="false">IF(I1037="","",INDEX(J_KET,I1037))</f>
        <v/>
      </c>
      <c r="E1037" s="5" t="str">
        <f aca="false">IF(I1037="","",IF(INDEX(J_DEB,I1037)=$C$3,INDEX(J_KRE,I1037),INDEX(J_DEB,I1037)))</f>
        <v/>
      </c>
      <c r="F1037" s="44" t="str">
        <f aca="false">IF(I1037="","",IF(INDEX(J_DEB,I1037)=$C$3,INDEX(J_NOM,I1037),0))</f>
        <v/>
      </c>
      <c r="G1037" s="44" t="str">
        <f aca="false">IF(I1037="","",IF(INDEX(J_KRE,I1037)=$C$3,INDEX(J_NOM,I1037),0))</f>
        <v/>
      </c>
      <c r="H1037" s="44" t="str">
        <f aca="false">IF(I1037="","",N(H1036)+IF($C$5="Debet",F1037-G1037,G1037-F1037))</f>
        <v/>
      </c>
      <c r="I1037" s="66" t="str">
        <f aca="false">IF(J1037&gt;$K$1,"",IFERROR(MATCH(J1037,J_BB,0),""))</f>
        <v/>
      </c>
      <c r="J1037" s="66" t="n">
        <v>1028</v>
      </c>
      <c r="K1037" s="5"/>
    </row>
    <row r="1038" customFormat="false" ht="15" hidden="false" customHeight="false" outlineLevel="0" collapsed="false">
      <c r="A1038" s="5" t="str">
        <f aca="false">IF(I1038="","",J1038)</f>
        <v/>
      </c>
      <c r="B1038" s="83" t="str">
        <f aca="false">IF(I1038="","",INDEX(J_TGL,I1038))</f>
        <v/>
      </c>
      <c r="C1038" s="5" t="str">
        <f aca="false">IF(I1038="","",INDEX(J_NO,I1038))</f>
        <v/>
      </c>
      <c r="D1038" s="5" t="str">
        <f aca="false">IF(I1038="","",INDEX(J_KET,I1038))</f>
        <v/>
      </c>
      <c r="E1038" s="5" t="str">
        <f aca="false">IF(I1038="","",IF(INDEX(J_DEB,I1038)=$C$3,INDEX(J_KRE,I1038),INDEX(J_DEB,I1038)))</f>
        <v/>
      </c>
      <c r="F1038" s="44" t="str">
        <f aca="false">IF(I1038="","",IF(INDEX(J_DEB,I1038)=$C$3,INDEX(J_NOM,I1038),0))</f>
        <v/>
      </c>
      <c r="G1038" s="44" t="str">
        <f aca="false">IF(I1038="","",IF(INDEX(J_KRE,I1038)=$C$3,INDEX(J_NOM,I1038),0))</f>
        <v/>
      </c>
      <c r="H1038" s="44" t="str">
        <f aca="false">IF(I1038="","",N(H1037)+IF($C$5="Debet",F1038-G1038,G1038-F1038))</f>
        <v/>
      </c>
      <c r="I1038" s="66" t="str">
        <f aca="false">IF(J1038&gt;$K$1,"",IFERROR(MATCH(J1038,J_BB,0),""))</f>
        <v/>
      </c>
      <c r="J1038" s="66" t="n">
        <v>1029</v>
      </c>
      <c r="K1038" s="5"/>
    </row>
    <row r="1039" customFormat="false" ht="15" hidden="false" customHeight="false" outlineLevel="0" collapsed="false">
      <c r="A1039" s="5" t="str">
        <f aca="false">IF(I1039="","",J1039)</f>
        <v/>
      </c>
      <c r="B1039" s="83" t="str">
        <f aca="false">IF(I1039="","",INDEX(J_TGL,I1039))</f>
        <v/>
      </c>
      <c r="C1039" s="5" t="str">
        <f aca="false">IF(I1039="","",INDEX(J_NO,I1039))</f>
        <v/>
      </c>
      <c r="D1039" s="5" t="str">
        <f aca="false">IF(I1039="","",INDEX(J_KET,I1039))</f>
        <v/>
      </c>
      <c r="E1039" s="5" t="str">
        <f aca="false">IF(I1039="","",IF(INDEX(J_DEB,I1039)=$C$3,INDEX(J_KRE,I1039),INDEX(J_DEB,I1039)))</f>
        <v/>
      </c>
      <c r="F1039" s="44" t="str">
        <f aca="false">IF(I1039="","",IF(INDEX(J_DEB,I1039)=$C$3,INDEX(J_NOM,I1039),0))</f>
        <v/>
      </c>
      <c r="G1039" s="44" t="str">
        <f aca="false">IF(I1039="","",IF(INDEX(J_KRE,I1039)=$C$3,INDEX(J_NOM,I1039),0))</f>
        <v/>
      </c>
      <c r="H1039" s="44" t="str">
        <f aca="false">IF(I1039="","",N(H1038)+IF($C$5="Debet",F1039-G1039,G1039-F1039))</f>
        <v/>
      </c>
      <c r="I1039" s="66" t="str">
        <f aca="false">IF(J1039&gt;$K$1,"",IFERROR(MATCH(J1039,J_BB,0),""))</f>
        <v/>
      </c>
      <c r="J1039" s="66" t="n">
        <v>1030</v>
      </c>
      <c r="K1039" s="5"/>
    </row>
    <row r="1040" customFormat="false" ht="15" hidden="false" customHeight="false" outlineLevel="0" collapsed="false">
      <c r="A1040" s="5" t="str">
        <f aca="false">IF(I1040="","",J1040)</f>
        <v/>
      </c>
      <c r="B1040" s="83" t="str">
        <f aca="false">IF(I1040="","",INDEX(J_TGL,I1040))</f>
        <v/>
      </c>
      <c r="C1040" s="5" t="str">
        <f aca="false">IF(I1040="","",INDEX(J_NO,I1040))</f>
        <v/>
      </c>
      <c r="D1040" s="5" t="str">
        <f aca="false">IF(I1040="","",INDEX(J_KET,I1040))</f>
        <v/>
      </c>
      <c r="E1040" s="5" t="str">
        <f aca="false">IF(I1040="","",IF(INDEX(J_DEB,I1040)=$C$3,INDEX(J_KRE,I1040),INDEX(J_DEB,I1040)))</f>
        <v/>
      </c>
      <c r="F1040" s="44" t="str">
        <f aca="false">IF(I1040="","",IF(INDEX(J_DEB,I1040)=$C$3,INDEX(J_NOM,I1040),0))</f>
        <v/>
      </c>
      <c r="G1040" s="44" t="str">
        <f aca="false">IF(I1040="","",IF(INDEX(J_KRE,I1040)=$C$3,INDEX(J_NOM,I1040),0))</f>
        <v/>
      </c>
      <c r="H1040" s="44" t="str">
        <f aca="false">IF(I1040="","",N(H1039)+IF($C$5="Debet",F1040-G1040,G1040-F1040))</f>
        <v/>
      </c>
      <c r="I1040" s="66" t="str">
        <f aca="false">IF(J1040&gt;$K$1,"",IFERROR(MATCH(J1040,J_BB,0),""))</f>
        <v/>
      </c>
      <c r="J1040" s="66" t="n">
        <v>1031</v>
      </c>
      <c r="K1040" s="5"/>
    </row>
    <row r="1041" customFormat="false" ht="15" hidden="false" customHeight="false" outlineLevel="0" collapsed="false">
      <c r="A1041" s="5" t="str">
        <f aca="false">IF(I1041="","",J1041)</f>
        <v/>
      </c>
      <c r="B1041" s="83" t="str">
        <f aca="false">IF(I1041="","",INDEX(J_TGL,I1041))</f>
        <v/>
      </c>
      <c r="C1041" s="5" t="str">
        <f aca="false">IF(I1041="","",INDEX(J_NO,I1041))</f>
        <v/>
      </c>
      <c r="D1041" s="5" t="str">
        <f aca="false">IF(I1041="","",INDEX(J_KET,I1041))</f>
        <v/>
      </c>
      <c r="E1041" s="5" t="str">
        <f aca="false">IF(I1041="","",IF(INDEX(J_DEB,I1041)=$C$3,INDEX(J_KRE,I1041),INDEX(J_DEB,I1041)))</f>
        <v/>
      </c>
      <c r="F1041" s="44" t="str">
        <f aca="false">IF(I1041="","",IF(INDEX(J_DEB,I1041)=$C$3,INDEX(J_NOM,I1041),0))</f>
        <v/>
      </c>
      <c r="G1041" s="44" t="str">
        <f aca="false">IF(I1041="","",IF(INDEX(J_KRE,I1041)=$C$3,INDEX(J_NOM,I1041),0))</f>
        <v/>
      </c>
      <c r="H1041" s="44" t="str">
        <f aca="false">IF(I1041="","",N(H1040)+IF($C$5="Debet",F1041-G1041,G1041-F1041))</f>
        <v/>
      </c>
      <c r="I1041" s="66" t="str">
        <f aca="false">IF(J1041&gt;$K$1,"",IFERROR(MATCH(J1041,J_BB,0),""))</f>
        <v/>
      </c>
      <c r="J1041" s="66" t="n">
        <v>1032</v>
      </c>
      <c r="K1041" s="5"/>
    </row>
    <row r="1042" customFormat="false" ht="15" hidden="false" customHeight="false" outlineLevel="0" collapsed="false">
      <c r="A1042" s="5" t="str">
        <f aca="false">IF(I1042="","",J1042)</f>
        <v/>
      </c>
      <c r="B1042" s="83" t="str">
        <f aca="false">IF(I1042="","",INDEX(J_TGL,I1042))</f>
        <v/>
      </c>
      <c r="C1042" s="5" t="str">
        <f aca="false">IF(I1042="","",INDEX(J_NO,I1042))</f>
        <v/>
      </c>
      <c r="D1042" s="5" t="str">
        <f aca="false">IF(I1042="","",INDEX(J_KET,I1042))</f>
        <v/>
      </c>
      <c r="E1042" s="5" t="str">
        <f aca="false">IF(I1042="","",IF(INDEX(J_DEB,I1042)=$C$3,INDEX(J_KRE,I1042),INDEX(J_DEB,I1042)))</f>
        <v/>
      </c>
      <c r="F1042" s="44" t="str">
        <f aca="false">IF(I1042="","",IF(INDEX(J_DEB,I1042)=$C$3,INDEX(J_NOM,I1042),0))</f>
        <v/>
      </c>
      <c r="G1042" s="44" t="str">
        <f aca="false">IF(I1042="","",IF(INDEX(J_KRE,I1042)=$C$3,INDEX(J_NOM,I1042),0))</f>
        <v/>
      </c>
      <c r="H1042" s="44" t="str">
        <f aca="false">IF(I1042="","",N(H1041)+IF($C$5="Debet",F1042-G1042,G1042-F1042))</f>
        <v/>
      </c>
      <c r="I1042" s="66" t="str">
        <f aca="false">IF(J1042&gt;$K$1,"",IFERROR(MATCH(J1042,J_BB,0),""))</f>
        <v/>
      </c>
      <c r="J1042" s="66" t="n">
        <v>1033</v>
      </c>
      <c r="K1042" s="5"/>
    </row>
    <row r="1043" customFormat="false" ht="15" hidden="false" customHeight="false" outlineLevel="0" collapsed="false">
      <c r="A1043" s="5" t="str">
        <f aca="false">IF(I1043="","",J1043)</f>
        <v/>
      </c>
      <c r="B1043" s="83" t="str">
        <f aca="false">IF(I1043="","",INDEX(J_TGL,I1043))</f>
        <v/>
      </c>
      <c r="C1043" s="5" t="str">
        <f aca="false">IF(I1043="","",INDEX(J_NO,I1043))</f>
        <v/>
      </c>
      <c r="D1043" s="5" t="str">
        <f aca="false">IF(I1043="","",INDEX(J_KET,I1043))</f>
        <v/>
      </c>
      <c r="E1043" s="5" t="str">
        <f aca="false">IF(I1043="","",IF(INDEX(J_DEB,I1043)=$C$3,INDEX(J_KRE,I1043),INDEX(J_DEB,I1043)))</f>
        <v/>
      </c>
      <c r="F1043" s="44" t="str">
        <f aca="false">IF(I1043="","",IF(INDEX(J_DEB,I1043)=$C$3,INDEX(J_NOM,I1043),0))</f>
        <v/>
      </c>
      <c r="G1043" s="44" t="str">
        <f aca="false">IF(I1043="","",IF(INDEX(J_KRE,I1043)=$C$3,INDEX(J_NOM,I1043),0))</f>
        <v/>
      </c>
      <c r="H1043" s="44" t="str">
        <f aca="false">IF(I1043="","",N(H1042)+IF($C$5="Debet",F1043-G1043,G1043-F1043))</f>
        <v/>
      </c>
      <c r="I1043" s="66" t="str">
        <f aca="false">IF(J1043&gt;$K$1,"",IFERROR(MATCH(J1043,J_BB,0),""))</f>
        <v/>
      </c>
      <c r="J1043" s="66" t="n">
        <v>1034</v>
      </c>
      <c r="K1043" s="5"/>
    </row>
    <row r="1044" customFormat="false" ht="15" hidden="false" customHeight="false" outlineLevel="0" collapsed="false">
      <c r="A1044" s="5" t="str">
        <f aca="false">IF(I1044="","",J1044)</f>
        <v/>
      </c>
      <c r="B1044" s="83" t="str">
        <f aca="false">IF(I1044="","",INDEX(J_TGL,I1044))</f>
        <v/>
      </c>
      <c r="C1044" s="5" t="str">
        <f aca="false">IF(I1044="","",INDEX(J_NO,I1044))</f>
        <v/>
      </c>
      <c r="D1044" s="5" t="str">
        <f aca="false">IF(I1044="","",INDEX(J_KET,I1044))</f>
        <v/>
      </c>
      <c r="E1044" s="5" t="str">
        <f aca="false">IF(I1044="","",IF(INDEX(J_DEB,I1044)=$C$3,INDEX(J_KRE,I1044),INDEX(J_DEB,I1044)))</f>
        <v/>
      </c>
      <c r="F1044" s="44" t="str">
        <f aca="false">IF(I1044="","",IF(INDEX(J_DEB,I1044)=$C$3,INDEX(J_NOM,I1044),0))</f>
        <v/>
      </c>
      <c r="G1044" s="44" t="str">
        <f aca="false">IF(I1044="","",IF(INDEX(J_KRE,I1044)=$C$3,INDEX(J_NOM,I1044),0))</f>
        <v/>
      </c>
      <c r="H1044" s="44" t="str">
        <f aca="false">IF(I1044="","",N(H1043)+IF($C$5="Debet",F1044-G1044,G1044-F1044))</f>
        <v/>
      </c>
      <c r="I1044" s="66" t="str">
        <f aca="false">IF(J1044&gt;$K$1,"",IFERROR(MATCH(J1044,J_BB,0),""))</f>
        <v/>
      </c>
      <c r="J1044" s="66" t="n">
        <v>1035</v>
      </c>
      <c r="K1044" s="5"/>
    </row>
    <row r="1045" customFormat="false" ht="15" hidden="false" customHeight="false" outlineLevel="0" collapsed="false">
      <c r="A1045" s="5" t="str">
        <f aca="false">IF(I1045="","",J1045)</f>
        <v/>
      </c>
      <c r="B1045" s="83" t="str">
        <f aca="false">IF(I1045="","",INDEX(J_TGL,I1045))</f>
        <v/>
      </c>
      <c r="C1045" s="5" t="str">
        <f aca="false">IF(I1045="","",INDEX(J_NO,I1045))</f>
        <v/>
      </c>
      <c r="D1045" s="5" t="str">
        <f aca="false">IF(I1045="","",INDEX(J_KET,I1045))</f>
        <v/>
      </c>
      <c r="E1045" s="5" t="str">
        <f aca="false">IF(I1045="","",IF(INDEX(J_DEB,I1045)=$C$3,INDEX(J_KRE,I1045),INDEX(J_DEB,I1045)))</f>
        <v/>
      </c>
      <c r="F1045" s="44" t="str">
        <f aca="false">IF(I1045="","",IF(INDEX(J_DEB,I1045)=$C$3,INDEX(J_NOM,I1045),0))</f>
        <v/>
      </c>
      <c r="G1045" s="44" t="str">
        <f aca="false">IF(I1045="","",IF(INDEX(J_KRE,I1045)=$C$3,INDEX(J_NOM,I1045),0))</f>
        <v/>
      </c>
      <c r="H1045" s="44" t="str">
        <f aca="false">IF(I1045="","",N(H1044)+IF($C$5="Debet",F1045-G1045,G1045-F1045))</f>
        <v/>
      </c>
      <c r="I1045" s="66" t="str">
        <f aca="false">IF(J1045&gt;$K$1,"",IFERROR(MATCH(J1045,J_BB,0),""))</f>
        <v/>
      </c>
      <c r="J1045" s="66" t="n">
        <v>1036</v>
      </c>
      <c r="K1045" s="5"/>
    </row>
    <row r="1046" customFormat="false" ht="15" hidden="false" customHeight="false" outlineLevel="0" collapsed="false">
      <c r="A1046" s="5" t="str">
        <f aca="false">IF(I1046="","",J1046)</f>
        <v/>
      </c>
      <c r="B1046" s="83" t="str">
        <f aca="false">IF(I1046="","",INDEX(J_TGL,I1046))</f>
        <v/>
      </c>
      <c r="C1046" s="5" t="str">
        <f aca="false">IF(I1046="","",INDEX(J_NO,I1046))</f>
        <v/>
      </c>
      <c r="D1046" s="5" t="str">
        <f aca="false">IF(I1046="","",INDEX(J_KET,I1046))</f>
        <v/>
      </c>
      <c r="E1046" s="5" t="str">
        <f aca="false">IF(I1046="","",IF(INDEX(J_DEB,I1046)=$C$3,INDEX(J_KRE,I1046),INDEX(J_DEB,I1046)))</f>
        <v/>
      </c>
      <c r="F1046" s="44" t="str">
        <f aca="false">IF(I1046="","",IF(INDEX(J_DEB,I1046)=$C$3,INDEX(J_NOM,I1046),0))</f>
        <v/>
      </c>
      <c r="G1046" s="44" t="str">
        <f aca="false">IF(I1046="","",IF(INDEX(J_KRE,I1046)=$C$3,INDEX(J_NOM,I1046),0))</f>
        <v/>
      </c>
      <c r="H1046" s="44" t="str">
        <f aca="false">IF(I1046="","",N(H1045)+IF($C$5="Debet",F1046-G1046,G1046-F1046))</f>
        <v/>
      </c>
      <c r="I1046" s="66" t="str">
        <f aca="false">IF(J1046&gt;$K$1,"",IFERROR(MATCH(J1046,J_BB,0),""))</f>
        <v/>
      </c>
      <c r="J1046" s="66" t="n">
        <v>1037</v>
      </c>
      <c r="K1046" s="5"/>
    </row>
    <row r="1047" customFormat="false" ht="15" hidden="false" customHeight="false" outlineLevel="0" collapsed="false">
      <c r="A1047" s="5" t="str">
        <f aca="false">IF(I1047="","",J1047)</f>
        <v/>
      </c>
      <c r="B1047" s="83" t="str">
        <f aca="false">IF(I1047="","",INDEX(J_TGL,I1047))</f>
        <v/>
      </c>
      <c r="C1047" s="5" t="str">
        <f aca="false">IF(I1047="","",INDEX(J_NO,I1047))</f>
        <v/>
      </c>
      <c r="D1047" s="5" t="str">
        <f aca="false">IF(I1047="","",INDEX(J_KET,I1047))</f>
        <v/>
      </c>
      <c r="E1047" s="5" t="str">
        <f aca="false">IF(I1047="","",IF(INDEX(J_DEB,I1047)=$C$3,INDEX(J_KRE,I1047),INDEX(J_DEB,I1047)))</f>
        <v/>
      </c>
      <c r="F1047" s="44" t="str">
        <f aca="false">IF(I1047="","",IF(INDEX(J_DEB,I1047)=$C$3,INDEX(J_NOM,I1047),0))</f>
        <v/>
      </c>
      <c r="G1047" s="44" t="str">
        <f aca="false">IF(I1047="","",IF(INDEX(J_KRE,I1047)=$C$3,INDEX(J_NOM,I1047),0))</f>
        <v/>
      </c>
      <c r="H1047" s="44" t="str">
        <f aca="false">IF(I1047="","",N(H1046)+IF($C$5="Debet",F1047-G1047,G1047-F1047))</f>
        <v/>
      </c>
      <c r="I1047" s="66" t="str">
        <f aca="false">IF(J1047&gt;$K$1,"",IFERROR(MATCH(J1047,J_BB,0),""))</f>
        <v/>
      </c>
      <c r="J1047" s="66" t="n">
        <v>1038</v>
      </c>
      <c r="K1047" s="5"/>
    </row>
    <row r="1048" customFormat="false" ht="15" hidden="false" customHeight="false" outlineLevel="0" collapsed="false">
      <c r="A1048" s="5" t="str">
        <f aca="false">IF(I1048="","",J1048)</f>
        <v/>
      </c>
      <c r="B1048" s="83" t="str">
        <f aca="false">IF(I1048="","",INDEX(J_TGL,I1048))</f>
        <v/>
      </c>
      <c r="C1048" s="5" t="str">
        <f aca="false">IF(I1048="","",INDEX(J_NO,I1048))</f>
        <v/>
      </c>
      <c r="D1048" s="5" t="str">
        <f aca="false">IF(I1048="","",INDEX(J_KET,I1048))</f>
        <v/>
      </c>
      <c r="E1048" s="5" t="str">
        <f aca="false">IF(I1048="","",IF(INDEX(J_DEB,I1048)=$C$3,INDEX(J_KRE,I1048),INDEX(J_DEB,I1048)))</f>
        <v/>
      </c>
      <c r="F1048" s="44" t="str">
        <f aca="false">IF(I1048="","",IF(INDEX(J_DEB,I1048)=$C$3,INDEX(J_NOM,I1048),0))</f>
        <v/>
      </c>
      <c r="G1048" s="44" t="str">
        <f aca="false">IF(I1048="","",IF(INDEX(J_KRE,I1048)=$C$3,INDEX(J_NOM,I1048),0))</f>
        <v/>
      </c>
      <c r="H1048" s="44" t="str">
        <f aca="false">IF(I1048="","",N(H1047)+IF($C$5="Debet",F1048-G1048,G1048-F1048))</f>
        <v/>
      </c>
      <c r="I1048" s="66" t="str">
        <f aca="false">IF(J1048&gt;$K$1,"",IFERROR(MATCH(J1048,J_BB,0),""))</f>
        <v/>
      </c>
      <c r="J1048" s="66" t="n">
        <v>1039</v>
      </c>
      <c r="K1048" s="5"/>
    </row>
    <row r="1049" customFormat="false" ht="15" hidden="false" customHeight="false" outlineLevel="0" collapsed="false">
      <c r="A1049" s="5" t="str">
        <f aca="false">IF(I1049="","",J1049)</f>
        <v/>
      </c>
      <c r="B1049" s="83" t="str">
        <f aca="false">IF(I1049="","",INDEX(J_TGL,I1049))</f>
        <v/>
      </c>
      <c r="C1049" s="5" t="str">
        <f aca="false">IF(I1049="","",INDEX(J_NO,I1049))</f>
        <v/>
      </c>
      <c r="D1049" s="5" t="str">
        <f aca="false">IF(I1049="","",INDEX(J_KET,I1049))</f>
        <v/>
      </c>
      <c r="E1049" s="5" t="str">
        <f aca="false">IF(I1049="","",IF(INDEX(J_DEB,I1049)=$C$3,INDEX(J_KRE,I1049),INDEX(J_DEB,I1049)))</f>
        <v/>
      </c>
      <c r="F1049" s="44" t="str">
        <f aca="false">IF(I1049="","",IF(INDEX(J_DEB,I1049)=$C$3,INDEX(J_NOM,I1049),0))</f>
        <v/>
      </c>
      <c r="G1049" s="44" t="str">
        <f aca="false">IF(I1049="","",IF(INDEX(J_KRE,I1049)=$C$3,INDEX(J_NOM,I1049),0))</f>
        <v/>
      </c>
      <c r="H1049" s="44" t="str">
        <f aca="false">IF(I1049="","",N(H1048)+IF($C$5="Debet",F1049-G1049,G1049-F1049))</f>
        <v/>
      </c>
      <c r="I1049" s="66" t="str">
        <f aca="false">IF(J1049&gt;$K$1,"",IFERROR(MATCH(J1049,J_BB,0),""))</f>
        <v/>
      </c>
      <c r="J1049" s="66" t="n">
        <v>1040</v>
      </c>
      <c r="K1049" s="5"/>
    </row>
    <row r="1050" customFormat="false" ht="15" hidden="false" customHeight="false" outlineLevel="0" collapsed="false">
      <c r="A1050" s="5" t="str">
        <f aca="false">IF(I1050="","",J1050)</f>
        <v/>
      </c>
      <c r="B1050" s="83" t="str">
        <f aca="false">IF(I1050="","",INDEX(J_TGL,I1050))</f>
        <v/>
      </c>
      <c r="C1050" s="5" t="str">
        <f aca="false">IF(I1050="","",INDEX(J_NO,I1050))</f>
        <v/>
      </c>
      <c r="D1050" s="5" t="str">
        <f aca="false">IF(I1050="","",INDEX(J_KET,I1050))</f>
        <v/>
      </c>
      <c r="E1050" s="5" t="str">
        <f aca="false">IF(I1050="","",IF(INDEX(J_DEB,I1050)=$C$3,INDEX(J_KRE,I1050),INDEX(J_DEB,I1050)))</f>
        <v/>
      </c>
      <c r="F1050" s="44" t="str">
        <f aca="false">IF(I1050="","",IF(INDEX(J_DEB,I1050)=$C$3,INDEX(J_NOM,I1050),0))</f>
        <v/>
      </c>
      <c r="G1050" s="44" t="str">
        <f aca="false">IF(I1050="","",IF(INDEX(J_KRE,I1050)=$C$3,INDEX(J_NOM,I1050),0))</f>
        <v/>
      </c>
      <c r="H1050" s="44" t="str">
        <f aca="false">IF(I1050="","",N(H1049)+IF($C$5="Debet",F1050-G1050,G1050-F1050))</f>
        <v/>
      </c>
      <c r="I1050" s="66" t="str">
        <f aca="false">IF(J1050&gt;$K$1,"",IFERROR(MATCH(J1050,J_BB,0),""))</f>
        <v/>
      </c>
      <c r="J1050" s="66" t="n">
        <v>1041</v>
      </c>
      <c r="K1050" s="5"/>
    </row>
    <row r="1051" customFormat="false" ht="15" hidden="false" customHeight="false" outlineLevel="0" collapsed="false">
      <c r="A1051" s="5" t="str">
        <f aca="false">IF(I1051="","",J1051)</f>
        <v/>
      </c>
      <c r="B1051" s="83" t="str">
        <f aca="false">IF(I1051="","",INDEX(J_TGL,I1051))</f>
        <v/>
      </c>
      <c r="C1051" s="5" t="str">
        <f aca="false">IF(I1051="","",INDEX(J_NO,I1051))</f>
        <v/>
      </c>
      <c r="D1051" s="5" t="str">
        <f aca="false">IF(I1051="","",INDEX(J_KET,I1051))</f>
        <v/>
      </c>
      <c r="E1051" s="5" t="str">
        <f aca="false">IF(I1051="","",IF(INDEX(J_DEB,I1051)=$C$3,INDEX(J_KRE,I1051),INDEX(J_DEB,I1051)))</f>
        <v/>
      </c>
      <c r="F1051" s="44" t="str">
        <f aca="false">IF(I1051="","",IF(INDEX(J_DEB,I1051)=$C$3,INDEX(J_NOM,I1051),0))</f>
        <v/>
      </c>
      <c r="G1051" s="44" t="str">
        <f aca="false">IF(I1051="","",IF(INDEX(J_KRE,I1051)=$C$3,INDEX(J_NOM,I1051),0))</f>
        <v/>
      </c>
      <c r="H1051" s="44" t="str">
        <f aca="false">IF(I1051="","",N(H1050)+IF($C$5="Debet",F1051-G1051,G1051-F1051))</f>
        <v/>
      </c>
      <c r="I1051" s="66" t="str">
        <f aca="false">IF(J1051&gt;$K$1,"",IFERROR(MATCH(J1051,J_BB,0),""))</f>
        <v/>
      </c>
      <c r="J1051" s="66" t="n">
        <v>1042</v>
      </c>
      <c r="K1051" s="5"/>
    </row>
    <row r="1052" customFormat="false" ht="15" hidden="false" customHeight="false" outlineLevel="0" collapsed="false">
      <c r="A1052" s="5" t="str">
        <f aca="false">IF(I1052="","",J1052)</f>
        <v/>
      </c>
      <c r="B1052" s="83" t="str">
        <f aca="false">IF(I1052="","",INDEX(J_TGL,I1052))</f>
        <v/>
      </c>
      <c r="C1052" s="5" t="str">
        <f aca="false">IF(I1052="","",INDEX(J_NO,I1052))</f>
        <v/>
      </c>
      <c r="D1052" s="5" t="str">
        <f aca="false">IF(I1052="","",INDEX(J_KET,I1052))</f>
        <v/>
      </c>
      <c r="E1052" s="5" t="str">
        <f aca="false">IF(I1052="","",IF(INDEX(J_DEB,I1052)=$C$3,INDEX(J_KRE,I1052),INDEX(J_DEB,I1052)))</f>
        <v/>
      </c>
      <c r="F1052" s="44" t="str">
        <f aca="false">IF(I1052="","",IF(INDEX(J_DEB,I1052)=$C$3,INDEX(J_NOM,I1052),0))</f>
        <v/>
      </c>
      <c r="G1052" s="44" t="str">
        <f aca="false">IF(I1052="","",IF(INDEX(J_KRE,I1052)=$C$3,INDEX(J_NOM,I1052),0))</f>
        <v/>
      </c>
      <c r="H1052" s="44" t="str">
        <f aca="false">IF(I1052="","",N(H1051)+IF($C$5="Debet",F1052-G1052,G1052-F1052))</f>
        <v/>
      </c>
      <c r="I1052" s="66" t="str">
        <f aca="false">IF(J1052&gt;$K$1,"",IFERROR(MATCH(J1052,J_BB,0),""))</f>
        <v/>
      </c>
      <c r="J1052" s="66" t="n">
        <v>1043</v>
      </c>
      <c r="K1052" s="5"/>
    </row>
    <row r="1053" customFormat="false" ht="15" hidden="false" customHeight="false" outlineLevel="0" collapsed="false">
      <c r="A1053" s="5" t="str">
        <f aca="false">IF(I1053="","",J1053)</f>
        <v/>
      </c>
      <c r="B1053" s="83" t="str">
        <f aca="false">IF(I1053="","",INDEX(J_TGL,I1053))</f>
        <v/>
      </c>
      <c r="C1053" s="5" t="str">
        <f aca="false">IF(I1053="","",INDEX(J_NO,I1053))</f>
        <v/>
      </c>
      <c r="D1053" s="5" t="str">
        <f aca="false">IF(I1053="","",INDEX(J_KET,I1053))</f>
        <v/>
      </c>
      <c r="E1053" s="5" t="str">
        <f aca="false">IF(I1053="","",IF(INDEX(J_DEB,I1053)=$C$3,INDEX(J_KRE,I1053),INDEX(J_DEB,I1053)))</f>
        <v/>
      </c>
      <c r="F1053" s="44" t="str">
        <f aca="false">IF(I1053="","",IF(INDEX(J_DEB,I1053)=$C$3,INDEX(J_NOM,I1053),0))</f>
        <v/>
      </c>
      <c r="G1053" s="44" t="str">
        <f aca="false">IF(I1053="","",IF(INDEX(J_KRE,I1053)=$C$3,INDEX(J_NOM,I1053),0))</f>
        <v/>
      </c>
      <c r="H1053" s="44" t="str">
        <f aca="false">IF(I1053="","",N(H1052)+IF($C$5="Debet",F1053-G1053,G1053-F1053))</f>
        <v/>
      </c>
      <c r="I1053" s="66" t="str">
        <f aca="false">IF(J1053&gt;$K$1,"",IFERROR(MATCH(J1053,J_BB,0),""))</f>
        <v/>
      </c>
      <c r="J1053" s="66" t="n">
        <v>1044</v>
      </c>
      <c r="K1053" s="5"/>
    </row>
    <row r="1054" customFormat="false" ht="15" hidden="false" customHeight="false" outlineLevel="0" collapsed="false">
      <c r="A1054" s="5" t="str">
        <f aca="false">IF(I1054="","",J1054)</f>
        <v/>
      </c>
      <c r="B1054" s="83" t="str">
        <f aca="false">IF(I1054="","",INDEX(J_TGL,I1054))</f>
        <v/>
      </c>
      <c r="C1054" s="5" t="str">
        <f aca="false">IF(I1054="","",INDEX(J_NO,I1054))</f>
        <v/>
      </c>
      <c r="D1054" s="5" t="str">
        <f aca="false">IF(I1054="","",INDEX(J_KET,I1054))</f>
        <v/>
      </c>
      <c r="E1054" s="5" t="str">
        <f aca="false">IF(I1054="","",IF(INDEX(J_DEB,I1054)=$C$3,INDEX(J_KRE,I1054),INDEX(J_DEB,I1054)))</f>
        <v/>
      </c>
      <c r="F1054" s="44" t="str">
        <f aca="false">IF(I1054="","",IF(INDEX(J_DEB,I1054)=$C$3,INDEX(J_NOM,I1054),0))</f>
        <v/>
      </c>
      <c r="G1054" s="44" t="str">
        <f aca="false">IF(I1054="","",IF(INDEX(J_KRE,I1054)=$C$3,INDEX(J_NOM,I1054),0))</f>
        <v/>
      </c>
      <c r="H1054" s="44" t="str">
        <f aca="false">IF(I1054="","",N(H1053)+IF($C$5="Debet",F1054-G1054,G1054-F1054))</f>
        <v/>
      </c>
      <c r="I1054" s="66" t="str">
        <f aca="false">IF(J1054&gt;$K$1,"",IFERROR(MATCH(J1054,J_BB,0),""))</f>
        <v/>
      </c>
      <c r="J1054" s="66" t="n">
        <v>1045</v>
      </c>
      <c r="K1054" s="5"/>
    </row>
    <row r="1055" customFormat="false" ht="15" hidden="false" customHeight="false" outlineLevel="0" collapsed="false">
      <c r="A1055" s="5" t="str">
        <f aca="false">IF(I1055="","",J1055)</f>
        <v/>
      </c>
      <c r="B1055" s="83" t="str">
        <f aca="false">IF(I1055="","",INDEX(J_TGL,I1055))</f>
        <v/>
      </c>
      <c r="C1055" s="5" t="str">
        <f aca="false">IF(I1055="","",INDEX(J_NO,I1055))</f>
        <v/>
      </c>
      <c r="D1055" s="5" t="str">
        <f aca="false">IF(I1055="","",INDEX(J_KET,I1055))</f>
        <v/>
      </c>
      <c r="E1055" s="5" t="str">
        <f aca="false">IF(I1055="","",IF(INDEX(J_DEB,I1055)=$C$3,INDEX(J_KRE,I1055),INDEX(J_DEB,I1055)))</f>
        <v/>
      </c>
      <c r="F1055" s="44" t="str">
        <f aca="false">IF(I1055="","",IF(INDEX(J_DEB,I1055)=$C$3,INDEX(J_NOM,I1055),0))</f>
        <v/>
      </c>
      <c r="G1055" s="44" t="str">
        <f aca="false">IF(I1055="","",IF(INDEX(J_KRE,I1055)=$C$3,INDEX(J_NOM,I1055),0))</f>
        <v/>
      </c>
      <c r="H1055" s="44" t="str">
        <f aca="false">IF(I1055="","",N(H1054)+IF($C$5="Debet",F1055-G1055,G1055-F1055))</f>
        <v/>
      </c>
      <c r="I1055" s="66" t="str">
        <f aca="false">IF(J1055&gt;$K$1,"",IFERROR(MATCH(J1055,J_BB,0),""))</f>
        <v/>
      </c>
      <c r="J1055" s="66" t="n">
        <v>1046</v>
      </c>
      <c r="K1055" s="5"/>
    </row>
    <row r="1056" customFormat="false" ht="15" hidden="false" customHeight="false" outlineLevel="0" collapsed="false">
      <c r="A1056" s="5" t="str">
        <f aca="false">IF(I1056="","",J1056)</f>
        <v/>
      </c>
      <c r="B1056" s="83" t="str">
        <f aca="false">IF(I1056="","",INDEX(J_TGL,I1056))</f>
        <v/>
      </c>
      <c r="C1056" s="5" t="str">
        <f aca="false">IF(I1056="","",INDEX(J_NO,I1056))</f>
        <v/>
      </c>
      <c r="D1056" s="5" t="str">
        <f aca="false">IF(I1056="","",INDEX(J_KET,I1056))</f>
        <v/>
      </c>
      <c r="E1056" s="5" t="str">
        <f aca="false">IF(I1056="","",IF(INDEX(J_DEB,I1056)=$C$3,INDEX(J_KRE,I1056),INDEX(J_DEB,I1056)))</f>
        <v/>
      </c>
      <c r="F1056" s="44" t="str">
        <f aca="false">IF(I1056="","",IF(INDEX(J_DEB,I1056)=$C$3,INDEX(J_NOM,I1056),0))</f>
        <v/>
      </c>
      <c r="G1056" s="44" t="str">
        <f aca="false">IF(I1056="","",IF(INDEX(J_KRE,I1056)=$C$3,INDEX(J_NOM,I1056),0))</f>
        <v/>
      </c>
      <c r="H1056" s="44" t="str">
        <f aca="false">IF(I1056="","",N(H1055)+IF($C$5="Debet",F1056-G1056,G1056-F1056))</f>
        <v/>
      </c>
      <c r="I1056" s="66" t="str">
        <f aca="false">IF(J1056&gt;$K$1,"",IFERROR(MATCH(J1056,J_BB,0),""))</f>
        <v/>
      </c>
      <c r="J1056" s="66" t="n">
        <v>1047</v>
      </c>
      <c r="K1056" s="5"/>
    </row>
    <row r="1057" customFormat="false" ht="15" hidden="false" customHeight="false" outlineLevel="0" collapsed="false">
      <c r="A1057" s="5" t="str">
        <f aca="false">IF(I1057="","",J1057)</f>
        <v/>
      </c>
      <c r="B1057" s="83" t="str">
        <f aca="false">IF(I1057="","",INDEX(J_TGL,I1057))</f>
        <v/>
      </c>
      <c r="C1057" s="5" t="str">
        <f aca="false">IF(I1057="","",INDEX(J_NO,I1057))</f>
        <v/>
      </c>
      <c r="D1057" s="5" t="str">
        <f aca="false">IF(I1057="","",INDEX(J_KET,I1057))</f>
        <v/>
      </c>
      <c r="E1057" s="5" t="str">
        <f aca="false">IF(I1057="","",IF(INDEX(J_DEB,I1057)=$C$3,INDEX(J_KRE,I1057),INDEX(J_DEB,I1057)))</f>
        <v/>
      </c>
      <c r="F1057" s="44" t="str">
        <f aca="false">IF(I1057="","",IF(INDEX(J_DEB,I1057)=$C$3,INDEX(J_NOM,I1057),0))</f>
        <v/>
      </c>
      <c r="G1057" s="44" t="str">
        <f aca="false">IF(I1057="","",IF(INDEX(J_KRE,I1057)=$C$3,INDEX(J_NOM,I1057),0))</f>
        <v/>
      </c>
      <c r="H1057" s="44" t="str">
        <f aca="false">IF(I1057="","",N(H1056)+IF($C$5="Debet",F1057-G1057,G1057-F1057))</f>
        <v/>
      </c>
      <c r="I1057" s="66" t="str">
        <f aca="false">IF(J1057&gt;$K$1,"",IFERROR(MATCH(J1057,J_BB,0),""))</f>
        <v/>
      </c>
      <c r="J1057" s="66" t="n">
        <v>1048</v>
      </c>
      <c r="K1057" s="5"/>
    </row>
    <row r="1058" customFormat="false" ht="15" hidden="false" customHeight="false" outlineLevel="0" collapsed="false">
      <c r="A1058" s="5" t="str">
        <f aca="false">IF(I1058="","",J1058)</f>
        <v/>
      </c>
      <c r="B1058" s="83" t="str">
        <f aca="false">IF(I1058="","",INDEX(J_TGL,I1058))</f>
        <v/>
      </c>
      <c r="C1058" s="5" t="str">
        <f aca="false">IF(I1058="","",INDEX(J_NO,I1058))</f>
        <v/>
      </c>
      <c r="D1058" s="5" t="str">
        <f aca="false">IF(I1058="","",INDEX(J_KET,I1058))</f>
        <v/>
      </c>
      <c r="E1058" s="5" t="str">
        <f aca="false">IF(I1058="","",IF(INDEX(J_DEB,I1058)=$C$3,INDEX(J_KRE,I1058),INDEX(J_DEB,I1058)))</f>
        <v/>
      </c>
      <c r="F1058" s="44" t="str">
        <f aca="false">IF(I1058="","",IF(INDEX(J_DEB,I1058)=$C$3,INDEX(J_NOM,I1058),0))</f>
        <v/>
      </c>
      <c r="G1058" s="44" t="str">
        <f aca="false">IF(I1058="","",IF(INDEX(J_KRE,I1058)=$C$3,INDEX(J_NOM,I1058),0))</f>
        <v/>
      </c>
      <c r="H1058" s="44" t="str">
        <f aca="false">IF(I1058="","",N(H1057)+IF($C$5="Debet",F1058-G1058,G1058-F1058))</f>
        <v/>
      </c>
      <c r="I1058" s="66" t="str">
        <f aca="false">IF(J1058&gt;$K$1,"",IFERROR(MATCH(J1058,J_BB,0),""))</f>
        <v/>
      </c>
      <c r="J1058" s="66" t="n">
        <v>1049</v>
      </c>
      <c r="K1058" s="5"/>
    </row>
    <row r="1059" customFormat="false" ht="15" hidden="false" customHeight="false" outlineLevel="0" collapsed="false">
      <c r="A1059" s="5" t="str">
        <f aca="false">IF(I1059="","",J1059)</f>
        <v/>
      </c>
      <c r="B1059" s="83" t="str">
        <f aca="false">IF(I1059="","",INDEX(J_TGL,I1059))</f>
        <v/>
      </c>
      <c r="C1059" s="5" t="str">
        <f aca="false">IF(I1059="","",INDEX(J_NO,I1059))</f>
        <v/>
      </c>
      <c r="D1059" s="5" t="str">
        <f aca="false">IF(I1059="","",INDEX(J_KET,I1059))</f>
        <v/>
      </c>
      <c r="E1059" s="5" t="str">
        <f aca="false">IF(I1059="","",IF(INDEX(J_DEB,I1059)=$C$3,INDEX(J_KRE,I1059),INDEX(J_DEB,I1059)))</f>
        <v/>
      </c>
      <c r="F1059" s="44" t="str">
        <f aca="false">IF(I1059="","",IF(INDEX(J_DEB,I1059)=$C$3,INDEX(J_NOM,I1059),0))</f>
        <v/>
      </c>
      <c r="G1059" s="44" t="str">
        <f aca="false">IF(I1059="","",IF(INDEX(J_KRE,I1059)=$C$3,INDEX(J_NOM,I1059),0))</f>
        <v/>
      </c>
      <c r="H1059" s="44" t="str">
        <f aca="false">IF(I1059="","",N(H1058)+IF($C$5="Debet",F1059-G1059,G1059-F1059))</f>
        <v/>
      </c>
      <c r="I1059" s="66" t="str">
        <f aca="false">IF(J1059&gt;$K$1,"",IFERROR(MATCH(J1059,J_BB,0),""))</f>
        <v/>
      </c>
      <c r="J1059" s="66" t="n">
        <v>1050</v>
      </c>
      <c r="K1059" s="5"/>
    </row>
    <row r="1060" customFormat="false" ht="15" hidden="false" customHeight="false" outlineLevel="0" collapsed="false">
      <c r="A1060" s="5" t="str">
        <f aca="false">IF(I1060="","",J1060)</f>
        <v/>
      </c>
      <c r="B1060" s="83" t="str">
        <f aca="false">IF(I1060="","",INDEX(J_TGL,I1060))</f>
        <v/>
      </c>
      <c r="C1060" s="5" t="str">
        <f aca="false">IF(I1060="","",INDEX(J_NO,I1060))</f>
        <v/>
      </c>
      <c r="D1060" s="5" t="str">
        <f aca="false">IF(I1060="","",INDEX(J_KET,I1060))</f>
        <v/>
      </c>
      <c r="E1060" s="5" t="str">
        <f aca="false">IF(I1060="","",IF(INDEX(J_DEB,I1060)=$C$3,INDEX(J_KRE,I1060),INDEX(J_DEB,I1060)))</f>
        <v/>
      </c>
      <c r="F1060" s="44" t="str">
        <f aca="false">IF(I1060="","",IF(INDEX(J_DEB,I1060)=$C$3,INDEX(J_NOM,I1060),0))</f>
        <v/>
      </c>
      <c r="G1060" s="44" t="str">
        <f aca="false">IF(I1060="","",IF(INDEX(J_KRE,I1060)=$C$3,INDEX(J_NOM,I1060),0))</f>
        <v/>
      </c>
      <c r="H1060" s="44" t="str">
        <f aca="false">IF(I1060="","",N(H1059)+IF($C$5="Debet",F1060-G1060,G1060-F1060))</f>
        <v/>
      </c>
      <c r="I1060" s="66" t="str">
        <f aca="false">IF(J1060&gt;$K$1,"",IFERROR(MATCH(J1060,J_BB,0),""))</f>
        <v/>
      </c>
      <c r="J1060" s="66" t="n">
        <v>1051</v>
      </c>
      <c r="K1060" s="5"/>
    </row>
    <row r="1061" customFormat="false" ht="15" hidden="false" customHeight="false" outlineLevel="0" collapsed="false">
      <c r="A1061" s="5" t="str">
        <f aca="false">IF(I1061="","",J1061)</f>
        <v/>
      </c>
      <c r="B1061" s="83" t="str">
        <f aca="false">IF(I1061="","",INDEX(J_TGL,I1061))</f>
        <v/>
      </c>
      <c r="C1061" s="5" t="str">
        <f aca="false">IF(I1061="","",INDEX(J_NO,I1061))</f>
        <v/>
      </c>
      <c r="D1061" s="5" t="str">
        <f aca="false">IF(I1061="","",INDEX(J_KET,I1061))</f>
        <v/>
      </c>
      <c r="E1061" s="5" t="str">
        <f aca="false">IF(I1061="","",IF(INDEX(J_DEB,I1061)=$C$3,INDEX(J_KRE,I1061),INDEX(J_DEB,I1061)))</f>
        <v/>
      </c>
      <c r="F1061" s="44" t="str">
        <f aca="false">IF(I1061="","",IF(INDEX(J_DEB,I1061)=$C$3,INDEX(J_NOM,I1061),0))</f>
        <v/>
      </c>
      <c r="G1061" s="44" t="str">
        <f aca="false">IF(I1061="","",IF(INDEX(J_KRE,I1061)=$C$3,INDEX(J_NOM,I1061),0))</f>
        <v/>
      </c>
      <c r="H1061" s="44" t="str">
        <f aca="false">IF(I1061="","",N(H1060)+IF($C$5="Debet",F1061-G1061,G1061-F1061))</f>
        <v/>
      </c>
      <c r="I1061" s="66" t="str">
        <f aca="false">IF(J1061&gt;$K$1,"",IFERROR(MATCH(J1061,J_BB,0),""))</f>
        <v/>
      </c>
      <c r="J1061" s="66" t="n">
        <v>1052</v>
      </c>
      <c r="K1061" s="5"/>
    </row>
    <row r="1062" customFormat="false" ht="15" hidden="false" customHeight="false" outlineLevel="0" collapsed="false">
      <c r="A1062" s="5" t="str">
        <f aca="false">IF(I1062="","",J1062)</f>
        <v/>
      </c>
      <c r="B1062" s="83" t="str">
        <f aca="false">IF(I1062="","",INDEX(J_TGL,I1062))</f>
        <v/>
      </c>
      <c r="C1062" s="5" t="str">
        <f aca="false">IF(I1062="","",INDEX(J_NO,I1062))</f>
        <v/>
      </c>
      <c r="D1062" s="5" t="str">
        <f aca="false">IF(I1062="","",INDEX(J_KET,I1062))</f>
        <v/>
      </c>
      <c r="E1062" s="5" t="str">
        <f aca="false">IF(I1062="","",IF(INDEX(J_DEB,I1062)=$C$3,INDEX(J_KRE,I1062),INDEX(J_DEB,I1062)))</f>
        <v/>
      </c>
      <c r="F1062" s="44" t="str">
        <f aca="false">IF(I1062="","",IF(INDEX(J_DEB,I1062)=$C$3,INDEX(J_NOM,I1062),0))</f>
        <v/>
      </c>
      <c r="G1062" s="44" t="str">
        <f aca="false">IF(I1062="","",IF(INDEX(J_KRE,I1062)=$C$3,INDEX(J_NOM,I1062),0))</f>
        <v/>
      </c>
      <c r="H1062" s="44" t="str">
        <f aca="false">IF(I1062="","",N(H1061)+IF($C$5="Debet",F1062-G1062,G1062-F1062))</f>
        <v/>
      </c>
      <c r="I1062" s="66" t="str">
        <f aca="false">IF(J1062&gt;$K$1,"",IFERROR(MATCH(J1062,J_BB,0),""))</f>
        <v/>
      </c>
      <c r="J1062" s="66" t="n">
        <v>1053</v>
      </c>
      <c r="K1062" s="5"/>
    </row>
    <row r="1063" customFormat="false" ht="15" hidden="false" customHeight="false" outlineLevel="0" collapsed="false">
      <c r="A1063" s="5" t="str">
        <f aca="false">IF(I1063="","",J1063)</f>
        <v/>
      </c>
      <c r="B1063" s="83" t="str">
        <f aca="false">IF(I1063="","",INDEX(J_TGL,I1063))</f>
        <v/>
      </c>
      <c r="C1063" s="5" t="str">
        <f aca="false">IF(I1063="","",INDEX(J_NO,I1063))</f>
        <v/>
      </c>
      <c r="D1063" s="5" t="str">
        <f aca="false">IF(I1063="","",INDEX(J_KET,I1063))</f>
        <v/>
      </c>
      <c r="E1063" s="5" t="str">
        <f aca="false">IF(I1063="","",IF(INDEX(J_DEB,I1063)=$C$3,INDEX(J_KRE,I1063),INDEX(J_DEB,I1063)))</f>
        <v/>
      </c>
      <c r="F1063" s="44" t="str">
        <f aca="false">IF(I1063="","",IF(INDEX(J_DEB,I1063)=$C$3,INDEX(J_NOM,I1063),0))</f>
        <v/>
      </c>
      <c r="G1063" s="44" t="str">
        <f aca="false">IF(I1063="","",IF(INDEX(J_KRE,I1063)=$C$3,INDEX(J_NOM,I1063),0))</f>
        <v/>
      </c>
      <c r="H1063" s="44" t="str">
        <f aca="false">IF(I1063="","",N(H1062)+IF($C$5="Debet",F1063-G1063,G1063-F1063))</f>
        <v/>
      </c>
      <c r="I1063" s="66" t="str">
        <f aca="false">IF(J1063&gt;$K$1,"",IFERROR(MATCH(J1063,J_BB,0),""))</f>
        <v/>
      </c>
      <c r="J1063" s="66" t="n">
        <v>1054</v>
      </c>
      <c r="K1063" s="5"/>
    </row>
    <row r="1064" customFormat="false" ht="15" hidden="false" customHeight="false" outlineLevel="0" collapsed="false">
      <c r="A1064" s="5" t="str">
        <f aca="false">IF(I1064="","",J1064)</f>
        <v/>
      </c>
      <c r="B1064" s="83" t="str">
        <f aca="false">IF(I1064="","",INDEX(J_TGL,I1064))</f>
        <v/>
      </c>
      <c r="C1064" s="5" t="str">
        <f aca="false">IF(I1064="","",INDEX(J_NO,I1064))</f>
        <v/>
      </c>
      <c r="D1064" s="5" t="str">
        <f aca="false">IF(I1064="","",INDEX(J_KET,I1064))</f>
        <v/>
      </c>
      <c r="E1064" s="5" t="str">
        <f aca="false">IF(I1064="","",IF(INDEX(J_DEB,I1064)=$C$3,INDEX(J_KRE,I1064),INDEX(J_DEB,I1064)))</f>
        <v/>
      </c>
      <c r="F1064" s="44" t="str">
        <f aca="false">IF(I1064="","",IF(INDEX(J_DEB,I1064)=$C$3,INDEX(J_NOM,I1064),0))</f>
        <v/>
      </c>
      <c r="G1064" s="44" t="str">
        <f aca="false">IF(I1064="","",IF(INDEX(J_KRE,I1064)=$C$3,INDEX(J_NOM,I1064),0))</f>
        <v/>
      </c>
      <c r="H1064" s="44" t="str">
        <f aca="false">IF(I1064="","",N(H1063)+IF($C$5="Debet",F1064-G1064,G1064-F1064))</f>
        <v/>
      </c>
      <c r="I1064" s="66" t="str">
        <f aca="false">IF(J1064&gt;$K$1,"",IFERROR(MATCH(J1064,J_BB,0),""))</f>
        <v/>
      </c>
      <c r="J1064" s="66" t="n">
        <v>1055</v>
      </c>
      <c r="K1064" s="5"/>
    </row>
    <row r="1065" customFormat="false" ht="15" hidden="false" customHeight="false" outlineLevel="0" collapsed="false">
      <c r="A1065" s="5" t="str">
        <f aca="false">IF(I1065="","",J1065)</f>
        <v/>
      </c>
      <c r="B1065" s="83" t="str">
        <f aca="false">IF(I1065="","",INDEX(J_TGL,I1065))</f>
        <v/>
      </c>
      <c r="C1065" s="5" t="str">
        <f aca="false">IF(I1065="","",INDEX(J_NO,I1065))</f>
        <v/>
      </c>
      <c r="D1065" s="5" t="str">
        <f aca="false">IF(I1065="","",INDEX(J_KET,I1065))</f>
        <v/>
      </c>
      <c r="E1065" s="5" t="str">
        <f aca="false">IF(I1065="","",IF(INDEX(J_DEB,I1065)=$C$3,INDEX(J_KRE,I1065),INDEX(J_DEB,I1065)))</f>
        <v/>
      </c>
      <c r="F1065" s="44" t="str">
        <f aca="false">IF(I1065="","",IF(INDEX(J_DEB,I1065)=$C$3,INDEX(J_NOM,I1065),0))</f>
        <v/>
      </c>
      <c r="G1065" s="44" t="str">
        <f aca="false">IF(I1065="","",IF(INDEX(J_KRE,I1065)=$C$3,INDEX(J_NOM,I1065),0))</f>
        <v/>
      </c>
      <c r="H1065" s="44" t="str">
        <f aca="false">IF(I1065="","",N(H1064)+IF($C$5="Debet",F1065-G1065,G1065-F1065))</f>
        <v/>
      </c>
      <c r="I1065" s="66" t="str">
        <f aca="false">IF(J1065&gt;$K$1,"",IFERROR(MATCH(J1065,J_BB,0),""))</f>
        <v/>
      </c>
      <c r="J1065" s="66" t="n">
        <v>1056</v>
      </c>
      <c r="K1065" s="5"/>
    </row>
    <row r="1066" customFormat="false" ht="15" hidden="false" customHeight="false" outlineLevel="0" collapsed="false">
      <c r="A1066" s="5" t="str">
        <f aca="false">IF(I1066="","",J1066)</f>
        <v/>
      </c>
      <c r="B1066" s="83" t="str">
        <f aca="false">IF(I1066="","",INDEX(J_TGL,I1066))</f>
        <v/>
      </c>
      <c r="C1066" s="5" t="str">
        <f aca="false">IF(I1066="","",INDEX(J_NO,I1066))</f>
        <v/>
      </c>
      <c r="D1066" s="5" t="str">
        <f aca="false">IF(I1066="","",INDEX(J_KET,I1066))</f>
        <v/>
      </c>
      <c r="E1066" s="5" t="str">
        <f aca="false">IF(I1066="","",IF(INDEX(J_DEB,I1066)=$C$3,INDEX(J_KRE,I1066),INDEX(J_DEB,I1066)))</f>
        <v/>
      </c>
      <c r="F1066" s="44" t="str">
        <f aca="false">IF(I1066="","",IF(INDEX(J_DEB,I1066)=$C$3,INDEX(J_NOM,I1066),0))</f>
        <v/>
      </c>
      <c r="G1066" s="44" t="str">
        <f aca="false">IF(I1066="","",IF(INDEX(J_KRE,I1066)=$C$3,INDEX(J_NOM,I1066),0))</f>
        <v/>
      </c>
      <c r="H1066" s="44" t="str">
        <f aca="false">IF(I1066="","",N(H1065)+IF($C$5="Debet",F1066-G1066,G1066-F1066))</f>
        <v/>
      </c>
      <c r="I1066" s="66" t="str">
        <f aca="false">IF(J1066&gt;$K$1,"",IFERROR(MATCH(J1066,J_BB,0),""))</f>
        <v/>
      </c>
      <c r="J1066" s="66" t="n">
        <v>1057</v>
      </c>
      <c r="K1066" s="5"/>
    </row>
    <row r="1067" customFormat="false" ht="15" hidden="false" customHeight="false" outlineLevel="0" collapsed="false">
      <c r="A1067" s="5" t="str">
        <f aca="false">IF(I1067="","",J1067)</f>
        <v/>
      </c>
      <c r="B1067" s="83" t="str">
        <f aca="false">IF(I1067="","",INDEX(J_TGL,I1067))</f>
        <v/>
      </c>
      <c r="C1067" s="5" t="str">
        <f aca="false">IF(I1067="","",INDEX(J_NO,I1067))</f>
        <v/>
      </c>
      <c r="D1067" s="5" t="str">
        <f aca="false">IF(I1067="","",INDEX(J_KET,I1067))</f>
        <v/>
      </c>
      <c r="E1067" s="5" t="str">
        <f aca="false">IF(I1067="","",IF(INDEX(J_DEB,I1067)=$C$3,INDEX(J_KRE,I1067),INDEX(J_DEB,I1067)))</f>
        <v/>
      </c>
      <c r="F1067" s="44" t="str">
        <f aca="false">IF(I1067="","",IF(INDEX(J_DEB,I1067)=$C$3,INDEX(J_NOM,I1067),0))</f>
        <v/>
      </c>
      <c r="G1067" s="44" t="str">
        <f aca="false">IF(I1067="","",IF(INDEX(J_KRE,I1067)=$C$3,INDEX(J_NOM,I1067),0))</f>
        <v/>
      </c>
      <c r="H1067" s="44" t="str">
        <f aca="false">IF(I1067="","",N(H1066)+IF($C$5="Debet",F1067-G1067,G1067-F1067))</f>
        <v/>
      </c>
      <c r="I1067" s="66" t="str">
        <f aca="false">IF(J1067&gt;$K$1,"",IFERROR(MATCH(J1067,J_BB,0),""))</f>
        <v/>
      </c>
      <c r="J1067" s="66" t="n">
        <v>1058</v>
      </c>
      <c r="K1067" s="5"/>
    </row>
    <row r="1068" customFormat="false" ht="15" hidden="false" customHeight="false" outlineLevel="0" collapsed="false">
      <c r="A1068" s="5" t="str">
        <f aca="false">IF(I1068="","",J1068)</f>
        <v/>
      </c>
      <c r="B1068" s="83" t="str">
        <f aca="false">IF(I1068="","",INDEX(J_TGL,I1068))</f>
        <v/>
      </c>
      <c r="C1068" s="5" t="str">
        <f aca="false">IF(I1068="","",INDEX(J_NO,I1068))</f>
        <v/>
      </c>
      <c r="D1068" s="5" t="str">
        <f aca="false">IF(I1068="","",INDEX(J_KET,I1068))</f>
        <v/>
      </c>
      <c r="E1068" s="5" t="str">
        <f aca="false">IF(I1068="","",IF(INDEX(J_DEB,I1068)=$C$3,INDEX(J_KRE,I1068),INDEX(J_DEB,I1068)))</f>
        <v/>
      </c>
      <c r="F1068" s="44" t="str">
        <f aca="false">IF(I1068="","",IF(INDEX(J_DEB,I1068)=$C$3,INDEX(J_NOM,I1068),0))</f>
        <v/>
      </c>
      <c r="G1068" s="44" t="str">
        <f aca="false">IF(I1068="","",IF(INDEX(J_KRE,I1068)=$C$3,INDEX(J_NOM,I1068),0))</f>
        <v/>
      </c>
      <c r="H1068" s="44" t="str">
        <f aca="false">IF(I1068="","",N(H1067)+IF($C$5="Debet",F1068-G1068,G1068-F1068))</f>
        <v/>
      </c>
      <c r="I1068" s="66" t="str">
        <f aca="false">IF(J1068&gt;$K$1,"",IFERROR(MATCH(J1068,J_BB,0),""))</f>
        <v/>
      </c>
      <c r="J1068" s="66" t="n">
        <v>1059</v>
      </c>
      <c r="K1068" s="5"/>
    </row>
    <row r="1069" customFormat="false" ht="15" hidden="false" customHeight="false" outlineLevel="0" collapsed="false">
      <c r="A1069" s="5" t="str">
        <f aca="false">IF(I1069="","",J1069)</f>
        <v/>
      </c>
      <c r="B1069" s="83" t="str">
        <f aca="false">IF(I1069="","",INDEX(J_TGL,I1069))</f>
        <v/>
      </c>
      <c r="C1069" s="5" t="str">
        <f aca="false">IF(I1069="","",INDEX(J_NO,I1069))</f>
        <v/>
      </c>
      <c r="D1069" s="5" t="str">
        <f aca="false">IF(I1069="","",INDEX(J_KET,I1069))</f>
        <v/>
      </c>
      <c r="E1069" s="5" t="str">
        <f aca="false">IF(I1069="","",IF(INDEX(J_DEB,I1069)=$C$3,INDEX(J_KRE,I1069),INDEX(J_DEB,I1069)))</f>
        <v/>
      </c>
      <c r="F1069" s="44" t="str">
        <f aca="false">IF(I1069="","",IF(INDEX(J_DEB,I1069)=$C$3,INDEX(J_NOM,I1069),0))</f>
        <v/>
      </c>
      <c r="G1069" s="44" t="str">
        <f aca="false">IF(I1069="","",IF(INDEX(J_KRE,I1069)=$C$3,INDEX(J_NOM,I1069),0))</f>
        <v/>
      </c>
      <c r="H1069" s="44" t="str">
        <f aca="false">IF(I1069="","",N(H1068)+IF($C$5="Debet",F1069-G1069,G1069-F1069))</f>
        <v/>
      </c>
      <c r="I1069" s="66" t="str">
        <f aca="false">IF(J1069&gt;$K$1,"",IFERROR(MATCH(J1069,J_BB,0),""))</f>
        <v/>
      </c>
      <c r="J1069" s="66" t="n">
        <v>1060</v>
      </c>
      <c r="K1069" s="5"/>
    </row>
    <row r="1070" customFormat="false" ht="15" hidden="false" customHeight="false" outlineLevel="0" collapsed="false">
      <c r="A1070" s="5" t="str">
        <f aca="false">IF(I1070="","",J1070)</f>
        <v/>
      </c>
      <c r="B1070" s="83" t="str">
        <f aca="false">IF(I1070="","",INDEX(J_TGL,I1070))</f>
        <v/>
      </c>
      <c r="C1070" s="5" t="str">
        <f aca="false">IF(I1070="","",INDEX(J_NO,I1070))</f>
        <v/>
      </c>
      <c r="D1070" s="5" t="str">
        <f aca="false">IF(I1070="","",INDEX(J_KET,I1070))</f>
        <v/>
      </c>
      <c r="E1070" s="5" t="str">
        <f aca="false">IF(I1070="","",IF(INDEX(J_DEB,I1070)=$C$3,INDEX(J_KRE,I1070),INDEX(J_DEB,I1070)))</f>
        <v/>
      </c>
      <c r="F1070" s="44" t="str">
        <f aca="false">IF(I1070="","",IF(INDEX(J_DEB,I1070)=$C$3,INDEX(J_NOM,I1070),0))</f>
        <v/>
      </c>
      <c r="G1070" s="44" t="str">
        <f aca="false">IF(I1070="","",IF(INDEX(J_KRE,I1070)=$C$3,INDEX(J_NOM,I1070),0))</f>
        <v/>
      </c>
      <c r="H1070" s="44" t="str">
        <f aca="false">IF(I1070="","",N(H1069)+IF($C$5="Debet",F1070-G1070,G1070-F1070))</f>
        <v/>
      </c>
      <c r="I1070" s="66" t="str">
        <f aca="false">IF(J1070&gt;$K$1,"",IFERROR(MATCH(J1070,J_BB,0),""))</f>
        <v/>
      </c>
      <c r="J1070" s="66" t="n">
        <v>1061</v>
      </c>
      <c r="K1070" s="5"/>
    </row>
    <row r="1071" customFormat="false" ht="15" hidden="false" customHeight="false" outlineLevel="0" collapsed="false">
      <c r="A1071" s="5" t="str">
        <f aca="false">IF(I1071="","",J1071)</f>
        <v/>
      </c>
      <c r="B1071" s="83" t="str">
        <f aca="false">IF(I1071="","",INDEX(J_TGL,I1071))</f>
        <v/>
      </c>
      <c r="C1071" s="5" t="str">
        <f aca="false">IF(I1071="","",INDEX(J_NO,I1071))</f>
        <v/>
      </c>
      <c r="D1071" s="5" t="str">
        <f aca="false">IF(I1071="","",INDEX(J_KET,I1071))</f>
        <v/>
      </c>
      <c r="E1071" s="5" t="str">
        <f aca="false">IF(I1071="","",IF(INDEX(J_DEB,I1071)=$C$3,INDEX(J_KRE,I1071),INDEX(J_DEB,I1071)))</f>
        <v/>
      </c>
      <c r="F1071" s="44" t="str">
        <f aca="false">IF(I1071="","",IF(INDEX(J_DEB,I1071)=$C$3,INDEX(J_NOM,I1071),0))</f>
        <v/>
      </c>
      <c r="G1071" s="44" t="str">
        <f aca="false">IF(I1071="","",IF(INDEX(J_KRE,I1071)=$C$3,INDEX(J_NOM,I1071),0))</f>
        <v/>
      </c>
      <c r="H1071" s="44" t="str">
        <f aca="false">IF(I1071="","",N(H1070)+IF($C$5="Debet",F1071-G1071,G1071-F1071))</f>
        <v/>
      </c>
      <c r="I1071" s="66" t="str">
        <f aca="false">IF(J1071&gt;$K$1,"",IFERROR(MATCH(J1071,J_BB,0),""))</f>
        <v/>
      </c>
      <c r="J1071" s="66" t="n">
        <v>1062</v>
      </c>
      <c r="K1071" s="5"/>
    </row>
    <row r="1072" customFormat="false" ht="15" hidden="false" customHeight="false" outlineLevel="0" collapsed="false">
      <c r="A1072" s="5" t="str">
        <f aca="false">IF(I1072="","",J1072)</f>
        <v/>
      </c>
      <c r="B1072" s="83" t="str">
        <f aca="false">IF(I1072="","",INDEX(J_TGL,I1072))</f>
        <v/>
      </c>
      <c r="C1072" s="5" t="str">
        <f aca="false">IF(I1072="","",INDEX(J_NO,I1072))</f>
        <v/>
      </c>
      <c r="D1072" s="5" t="str">
        <f aca="false">IF(I1072="","",INDEX(J_KET,I1072))</f>
        <v/>
      </c>
      <c r="E1072" s="5" t="str">
        <f aca="false">IF(I1072="","",IF(INDEX(J_DEB,I1072)=$C$3,INDEX(J_KRE,I1072),INDEX(J_DEB,I1072)))</f>
        <v/>
      </c>
      <c r="F1072" s="44" t="str">
        <f aca="false">IF(I1072="","",IF(INDEX(J_DEB,I1072)=$C$3,INDEX(J_NOM,I1072),0))</f>
        <v/>
      </c>
      <c r="G1072" s="44" t="str">
        <f aca="false">IF(I1072="","",IF(INDEX(J_KRE,I1072)=$C$3,INDEX(J_NOM,I1072),0))</f>
        <v/>
      </c>
      <c r="H1072" s="44" t="str">
        <f aca="false">IF(I1072="","",N(H1071)+IF($C$5="Debet",F1072-G1072,G1072-F1072))</f>
        <v/>
      </c>
      <c r="I1072" s="66" t="str">
        <f aca="false">IF(J1072&gt;$K$1,"",IFERROR(MATCH(J1072,J_BB,0),""))</f>
        <v/>
      </c>
      <c r="J1072" s="66" t="n">
        <v>1063</v>
      </c>
      <c r="K1072" s="5"/>
    </row>
    <row r="1073" customFormat="false" ht="15" hidden="false" customHeight="false" outlineLevel="0" collapsed="false">
      <c r="A1073" s="5" t="str">
        <f aca="false">IF(I1073="","",J1073)</f>
        <v/>
      </c>
      <c r="B1073" s="83" t="str">
        <f aca="false">IF(I1073="","",INDEX(J_TGL,I1073))</f>
        <v/>
      </c>
      <c r="C1073" s="5" t="str">
        <f aca="false">IF(I1073="","",INDEX(J_NO,I1073))</f>
        <v/>
      </c>
      <c r="D1073" s="5" t="str">
        <f aca="false">IF(I1073="","",INDEX(J_KET,I1073))</f>
        <v/>
      </c>
      <c r="E1073" s="5" t="str">
        <f aca="false">IF(I1073="","",IF(INDEX(J_DEB,I1073)=$C$3,INDEX(J_KRE,I1073),INDEX(J_DEB,I1073)))</f>
        <v/>
      </c>
      <c r="F1073" s="44" t="str">
        <f aca="false">IF(I1073="","",IF(INDEX(J_DEB,I1073)=$C$3,INDEX(J_NOM,I1073),0))</f>
        <v/>
      </c>
      <c r="G1073" s="44" t="str">
        <f aca="false">IF(I1073="","",IF(INDEX(J_KRE,I1073)=$C$3,INDEX(J_NOM,I1073),0))</f>
        <v/>
      </c>
      <c r="H1073" s="44" t="str">
        <f aca="false">IF(I1073="","",N(H1072)+IF($C$5="Debet",F1073-G1073,G1073-F1073))</f>
        <v/>
      </c>
      <c r="I1073" s="66" t="str">
        <f aca="false">IF(J1073&gt;$K$1,"",IFERROR(MATCH(J1073,J_BB,0),""))</f>
        <v/>
      </c>
      <c r="J1073" s="66" t="n">
        <v>1064</v>
      </c>
      <c r="K1073" s="5"/>
    </row>
    <row r="1074" customFormat="false" ht="15" hidden="false" customHeight="false" outlineLevel="0" collapsed="false">
      <c r="A1074" s="5" t="str">
        <f aca="false">IF(I1074="","",J1074)</f>
        <v/>
      </c>
      <c r="B1074" s="83" t="str">
        <f aca="false">IF(I1074="","",INDEX(J_TGL,I1074))</f>
        <v/>
      </c>
      <c r="C1074" s="5" t="str">
        <f aca="false">IF(I1074="","",INDEX(J_NO,I1074))</f>
        <v/>
      </c>
      <c r="D1074" s="5" t="str">
        <f aca="false">IF(I1074="","",INDEX(J_KET,I1074))</f>
        <v/>
      </c>
      <c r="E1074" s="5" t="str">
        <f aca="false">IF(I1074="","",IF(INDEX(J_DEB,I1074)=$C$3,INDEX(J_KRE,I1074),INDEX(J_DEB,I1074)))</f>
        <v/>
      </c>
      <c r="F1074" s="44" t="str">
        <f aca="false">IF(I1074="","",IF(INDEX(J_DEB,I1074)=$C$3,INDEX(J_NOM,I1074),0))</f>
        <v/>
      </c>
      <c r="G1074" s="44" t="str">
        <f aca="false">IF(I1074="","",IF(INDEX(J_KRE,I1074)=$C$3,INDEX(J_NOM,I1074),0))</f>
        <v/>
      </c>
      <c r="H1074" s="44" t="str">
        <f aca="false">IF(I1074="","",N(H1073)+IF($C$5="Debet",F1074-G1074,G1074-F1074))</f>
        <v/>
      </c>
      <c r="I1074" s="66" t="str">
        <f aca="false">IF(J1074&gt;$K$1,"",IFERROR(MATCH(J1074,J_BB,0),""))</f>
        <v/>
      </c>
      <c r="J1074" s="66" t="n">
        <v>1065</v>
      </c>
      <c r="K1074" s="5"/>
    </row>
    <row r="1075" customFormat="false" ht="15" hidden="false" customHeight="false" outlineLevel="0" collapsed="false">
      <c r="A1075" s="5" t="str">
        <f aca="false">IF(I1075="","",J1075)</f>
        <v/>
      </c>
      <c r="B1075" s="83" t="str">
        <f aca="false">IF(I1075="","",INDEX(J_TGL,I1075))</f>
        <v/>
      </c>
      <c r="C1075" s="5" t="str">
        <f aca="false">IF(I1075="","",INDEX(J_NO,I1075))</f>
        <v/>
      </c>
      <c r="D1075" s="5" t="str">
        <f aca="false">IF(I1075="","",INDEX(J_KET,I1075))</f>
        <v/>
      </c>
      <c r="E1075" s="5" t="str">
        <f aca="false">IF(I1075="","",IF(INDEX(J_DEB,I1075)=$C$3,INDEX(J_KRE,I1075),INDEX(J_DEB,I1075)))</f>
        <v/>
      </c>
      <c r="F1075" s="44" t="str">
        <f aca="false">IF(I1075="","",IF(INDEX(J_DEB,I1075)=$C$3,INDEX(J_NOM,I1075),0))</f>
        <v/>
      </c>
      <c r="G1075" s="44" t="str">
        <f aca="false">IF(I1075="","",IF(INDEX(J_KRE,I1075)=$C$3,INDEX(J_NOM,I1075),0))</f>
        <v/>
      </c>
      <c r="H1075" s="44" t="str">
        <f aca="false">IF(I1075="","",N(H1074)+IF($C$5="Debet",F1075-G1075,G1075-F1075))</f>
        <v/>
      </c>
      <c r="I1075" s="66" t="str">
        <f aca="false">IF(J1075&gt;$K$1,"",IFERROR(MATCH(J1075,J_BB,0),""))</f>
        <v/>
      </c>
      <c r="J1075" s="66" t="n">
        <v>1066</v>
      </c>
      <c r="K1075" s="5"/>
    </row>
    <row r="1076" customFormat="false" ht="15" hidden="false" customHeight="false" outlineLevel="0" collapsed="false">
      <c r="A1076" s="5" t="str">
        <f aca="false">IF(I1076="","",J1076)</f>
        <v/>
      </c>
      <c r="B1076" s="83" t="str">
        <f aca="false">IF(I1076="","",INDEX(J_TGL,I1076))</f>
        <v/>
      </c>
      <c r="C1076" s="5" t="str">
        <f aca="false">IF(I1076="","",INDEX(J_NO,I1076))</f>
        <v/>
      </c>
      <c r="D1076" s="5" t="str">
        <f aca="false">IF(I1076="","",INDEX(J_KET,I1076))</f>
        <v/>
      </c>
      <c r="E1076" s="5" t="str">
        <f aca="false">IF(I1076="","",IF(INDEX(J_DEB,I1076)=$C$3,INDEX(J_KRE,I1076),INDEX(J_DEB,I1076)))</f>
        <v/>
      </c>
      <c r="F1076" s="44" t="str">
        <f aca="false">IF(I1076="","",IF(INDEX(J_DEB,I1076)=$C$3,INDEX(J_NOM,I1076),0))</f>
        <v/>
      </c>
      <c r="G1076" s="44" t="str">
        <f aca="false">IF(I1076="","",IF(INDEX(J_KRE,I1076)=$C$3,INDEX(J_NOM,I1076),0))</f>
        <v/>
      </c>
      <c r="H1076" s="44" t="str">
        <f aca="false">IF(I1076="","",N(H1075)+IF($C$5="Debet",F1076-G1076,G1076-F1076))</f>
        <v/>
      </c>
      <c r="I1076" s="66" t="str">
        <f aca="false">IF(J1076&gt;$K$1,"",IFERROR(MATCH(J1076,J_BB,0),""))</f>
        <v/>
      </c>
      <c r="J1076" s="66" t="n">
        <v>1067</v>
      </c>
      <c r="K1076" s="5"/>
    </row>
    <row r="1077" customFormat="false" ht="15" hidden="false" customHeight="false" outlineLevel="0" collapsed="false">
      <c r="A1077" s="5" t="str">
        <f aca="false">IF(I1077="","",J1077)</f>
        <v/>
      </c>
      <c r="B1077" s="83" t="str">
        <f aca="false">IF(I1077="","",INDEX(J_TGL,I1077))</f>
        <v/>
      </c>
      <c r="C1077" s="5" t="str">
        <f aca="false">IF(I1077="","",INDEX(J_NO,I1077))</f>
        <v/>
      </c>
      <c r="D1077" s="5" t="str">
        <f aca="false">IF(I1077="","",INDEX(J_KET,I1077))</f>
        <v/>
      </c>
      <c r="E1077" s="5" t="str">
        <f aca="false">IF(I1077="","",IF(INDEX(J_DEB,I1077)=$C$3,INDEX(J_KRE,I1077),INDEX(J_DEB,I1077)))</f>
        <v/>
      </c>
      <c r="F1077" s="44" t="str">
        <f aca="false">IF(I1077="","",IF(INDEX(J_DEB,I1077)=$C$3,INDEX(J_NOM,I1077),0))</f>
        <v/>
      </c>
      <c r="G1077" s="44" t="str">
        <f aca="false">IF(I1077="","",IF(INDEX(J_KRE,I1077)=$C$3,INDEX(J_NOM,I1077),0))</f>
        <v/>
      </c>
      <c r="H1077" s="44" t="str">
        <f aca="false">IF(I1077="","",N(H1076)+IF($C$5="Debet",F1077-G1077,G1077-F1077))</f>
        <v/>
      </c>
      <c r="I1077" s="66" t="str">
        <f aca="false">IF(J1077&gt;$K$1,"",IFERROR(MATCH(J1077,J_BB,0),""))</f>
        <v/>
      </c>
      <c r="J1077" s="66" t="n">
        <v>1068</v>
      </c>
      <c r="K1077" s="5"/>
    </row>
    <row r="1078" customFormat="false" ht="15" hidden="false" customHeight="false" outlineLevel="0" collapsed="false">
      <c r="A1078" s="5" t="str">
        <f aca="false">IF(I1078="","",J1078)</f>
        <v/>
      </c>
      <c r="B1078" s="83" t="str">
        <f aca="false">IF(I1078="","",INDEX(J_TGL,I1078))</f>
        <v/>
      </c>
      <c r="C1078" s="5" t="str">
        <f aca="false">IF(I1078="","",INDEX(J_NO,I1078))</f>
        <v/>
      </c>
      <c r="D1078" s="5" t="str">
        <f aca="false">IF(I1078="","",INDEX(J_KET,I1078))</f>
        <v/>
      </c>
      <c r="E1078" s="5" t="str">
        <f aca="false">IF(I1078="","",IF(INDEX(J_DEB,I1078)=$C$3,INDEX(J_KRE,I1078),INDEX(J_DEB,I1078)))</f>
        <v/>
      </c>
      <c r="F1078" s="44" t="str">
        <f aca="false">IF(I1078="","",IF(INDEX(J_DEB,I1078)=$C$3,INDEX(J_NOM,I1078),0))</f>
        <v/>
      </c>
      <c r="G1078" s="44" t="str">
        <f aca="false">IF(I1078="","",IF(INDEX(J_KRE,I1078)=$C$3,INDEX(J_NOM,I1078),0))</f>
        <v/>
      </c>
      <c r="H1078" s="44" t="str">
        <f aca="false">IF(I1078="","",N(H1077)+IF($C$5="Debet",F1078-G1078,G1078-F1078))</f>
        <v/>
      </c>
      <c r="I1078" s="66" t="str">
        <f aca="false">IF(J1078&gt;$K$1,"",IFERROR(MATCH(J1078,J_BB,0),""))</f>
        <v/>
      </c>
      <c r="J1078" s="66" t="n">
        <v>1069</v>
      </c>
      <c r="K1078" s="5"/>
    </row>
    <row r="1079" customFormat="false" ht="15" hidden="false" customHeight="false" outlineLevel="0" collapsed="false">
      <c r="A1079" s="5" t="str">
        <f aca="false">IF(I1079="","",J1079)</f>
        <v/>
      </c>
      <c r="B1079" s="83" t="str">
        <f aca="false">IF(I1079="","",INDEX(J_TGL,I1079))</f>
        <v/>
      </c>
      <c r="C1079" s="5" t="str">
        <f aca="false">IF(I1079="","",INDEX(J_NO,I1079))</f>
        <v/>
      </c>
      <c r="D1079" s="5" t="str">
        <f aca="false">IF(I1079="","",INDEX(J_KET,I1079))</f>
        <v/>
      </c>
      <c r="E1079" s="5" t="str">
        <f aca="false">IF(I1079="","",IF(INDEX(J_DEB,I1079)=$C$3,INDEX(J_KRE,I1079),INDEX(J_DEB,I1079)))</f>
        <v/>
      </c>
      <c r="F1079" s="44" t="str">
        <f aca="false">IF(I1079="","",IF(INDEX(J_DEB,I1079)=$C$3,INDEX(J_NOM,I1079),0))</f>
        <v/>
      </c>
      <c r="G1079" s="44" t="str">
        <f aca="false">IF(I1079="","",IF(INDEX(J_KRE,I1079)=$C$3,INDEX(J_NOM,I1079),0))</f>
        <v/>
      </c>
      <c r="H1079" s="44" t="str">
        <f aca="false">IF(I1079="","",N(H1078)+IF($C$5="Debet",F1079-G1079,G1079-F1079))</f>
        <v/>
      </c>
      <c r="I1079" s="66" t="str">
        <f aca="false">IF(J1079&gt;$K$1,"",IFERROR(MATCH(J1079,J_BB,0),""))</f>
        <v/>
      </c>
      <c r="J1079" s="66" t="n">
        <v>1070</v>
      </c>
      <c r="K1079" s="5"/>
    </row>
    <row r="1080" customFormat="false" ht="15" hidden="false" customHeight="false" outlineLevel="0" collapsed="false">
      <c r="A1080" s="5" t="str">
        <f aca="false">IF(I1080="","",J1080)</f>
        <v/>
      </c>
      <c r="B1080" s="83" t="str">
        <f aca="false">IF(I1080="","",INDEX(J_TGL,I1080))</f>
        <v/>
      </c>
      <c r="C1080" s="5" t="str">
        <f aca="false">IF(I1080="","",INDEX(J_NO,I1080))</f>
        <v/>
      </c>
      <c r="D1080" s="5" t="str">
        <f aca="false">IF(I1080="","",INDEX(J_KET,I1080))</f>
        <v/>
      </c>
      <c r="E1080" s="5" t="str">
        <f aca="false">IF(I1080="","",IF(INDEX(J_DEB,I1080)=$C$3,INDEX(J_KRE,I1080),INDEX(J_DEB,I1080)))</f>
        <v/>
      </c>
      <c r="F1080" s="44" t="str">
        <f aca="false">IF(I1080="","",IF(INDEX(J_DEB,I1080)=$C$3,INDEX(J_NOM,I1080),0))</f>
        <v/>
      </c>
      <c r="G1080" s="44" t="str">
        <f aca="false">IF(I1080="","",IF(INDEX(J_KRE,I1080)=$C$3,INDEX(J_NOM,I1080),0))</f>
        <v/>
      </c>
      <c r="H1080" s="44" t="str">
        <f aca="false">IF(I1080="","",N(H1079)+IF($C$5="Debet",F1080-G1080,G1080-F1080))</f>
        <v/>
      </c>
      <c r="I1080" s="66" t="str">
        <f aca="false">IF(J1080&gt;$K$1,"",IFERROR(MATCH(J1080,J_BB,0),""))</f>
        <v/>
      </c>
      <c r="J1080" s="66" t="n">
        <v>1071</v>
      </c>
      <c r="K1080" s="5"/>
    </row>
    <row r="1081" customFormat="false" ht="15" hidden="false" customHeight="false" outlineLevel="0" collapsed="false">
      <c r="A1081" s="5" t="str">
        <f aca="false">IF(I1081="","",J1081)</f>
        <v/>
      </c>
      <c r="B1081" s="83" t="str">
        <f aca="false">IF(I1081="","",INDEX(J_TGL,I1081))</f>
        <v/>
      </c>
      <c r="C1081" s="5" t="str">
        <f aca="false">IF(I1081="","",INDEX(J_NO,I1081))</f>
        <v/>
      </c>
      <c r="D1081" s="5" t="str">
        <f aca="false">IF(I1081="","",INDEX(J_KET,I1081))</f>
        <v/>
      </c>
      <c r="E1081" s="5" t="str">
        <f aca="false">IF(I1081="","",IF(INDEX(J_DEB,I1081)=$C$3,INDEX(J_KRE,I1081),INDEX(J_DEB,I1081)))</f>
        <v/>
      </c>
      <c r="F1081" s="44" t="str">
        <f aca="false">IF(I1081="","",IF(INDEX(J_DEB,I1081)=$C$3,INDEX(J_NOM,I1081),0))</f>
        <v/>
      </c>
      <c r="G1081" s="44" t="str">
        <f aca="false">IF(I1081="","",IF(INDEX(J_KRE,I1081)=$C$3,INDEX(J_NOM,I1081),0))</f>
        <v/>
      </c>
      <c r="H1081" s="44" t="str">
        <f aca="false">IF(I1081="","",N(H1080)+IF($C$5="Debet",F1081-G1081,G1081-F1081))</f>
        <v/>
      </c>
      <c r="I1081" s="66" t="str">
        <f aca="false">IF(J1081&gt;$K$1,"",IFERROR(MATCH(J1081,J_BB,0),""))</f>
        <v/>
      </c>
      <c r="J1081" s="66" t="n">
        <v>1072</v>
      </c>
      <c r="K1081" s="5"/>
    </row>
    <row r="1082" customFormat="false" ht="15" hidden="false" customHeight="false" outlineLevel="0" collapsed="false">
      <c r="A1082" s="5" t="str">
        <f aca="false">IF(I1082="","",J1082)</f>
        <v/>
      </c>
      <c r="B1082" s="83" t="str">
        <f aca="false">IF(I1082="","",INDEX(J_TGL,I1082))</f>
        <v/>
      </c>
      <c r="C1082" s="5" t="str">
        <f aca="false">IF(I1082="","",INDEX(J_NO,I1082))</f>
        <v/>
      </c>
      <c r="D1082" s="5" t="str">
        <f aca="false">IF(I1082="","",INDEX(J_KET,I1082))</f>
        <v/>
      </c>
      <c r="E1082" s="5" t="str">
        <f aca="false">IF(I1082="","",IF(INDEX(J_DEB,I1082)=$C$3,INDEX(J_KRE,I1082),INDEX(J_DEB,I1082)))</f>
        <v/>
      </c>
      <c r="F1082" s="44" t="str">
        <f aca="false">IF(I1082="","",IF(INDEX(J_DEB,I1082)=$C$3,INDEX(J_NOM,I1082),0))</f>
        <v/>
      </c>
      <c r="G1082" s="44" t="str">
        <f aca="false">IF(I1082="","",IF(INDEX(J_KRE,I1082)=$C$3,INDEX(J_NOM,I1082),0))</f>
        <v/>
      </c>
      <c r="H1082" s="44" t="str">
        <f aca="false">IF(I1082="","",N(H1081)+IF($C$5="Debet",F1082-G1082,G1082-F1082))</f>
        <v/>
      </c>
      <c r="I1082" s="66" t="str">
        <f aca="false">IF(J1082&gt;$K$1,"",IFERROR(MATCH(J1082,J_BB,0),""))</f>
        <v/>
      </c>
      <c r="J1082" s="66" t="n">
        <v>1073</v>
      </c>
      <c r="K1082" s="5"/>
    </row>
    <row r="1083" customFormat="false" ht="15" hidden="false" customHeight="false" outlineLevel="0" collapsed="false">
      <c r="A1083" s="5" t="str">
        <f aca="false">IF(I1083="","",J1083)</f>
        <v/>
      </c>
      <c r="B1083" s="83" t="str">
        <f aca="false">IF(I1083="","",INDEX(J_TGL,I1083))</f>
        <v/>
      </c>
      <c r="C1083" s="5" t="str">
        <f aca="false">IF(I1083="","",INDEX(J_NO,I1083))</f>
        <v/>
      </c>
      <c r="D1083" s="5" t="str">
        <f aca="false">IF(I1083="","",INDEX(J_KET,I1083))</f>
        <v/>
      </c>
      <c r="E1083" s="5" t="str">
        <f aca="false">IF(I1083="","",IF(INDEX(J_DEB,I1083)=$C$3,INDEX(J_KRE,I1083),INDEX(J_DEB,I1083)))</f>
        <v/>
      </c>
      <c r="F1083" s="44" t="str">
        <f aca="false">IF(I1083="","",IF(INDEX(J_DEB,I1083)=$C$3,INDEX(J_NOM,I1083),0))</f>
        <v/>
      </c>
      <c r="G1083" s="44" t="str">
        <f aca="false">IF(I1083="","",IF(INDEX(J_KRE,I1083)=$C$3,INDEX(J_NOM,I1083),0))</f>
        <v/>
      </c>
      <c r="H1083" s="44" t="str">
        <f aca="false">IF(I1083="","",N(H1082)+IF($C$5="Debet",F1083-G1083,G1083-F1083))</f>
        <v/>
      </c>
      <c r="I1083" s="66" t="str">
        <f aca="false">IF(J1083&gt;$K$1,"",IFERROR(MATCH(J1083,J_BB,0),""))</f>
        <v/>
      </c>
      <c r="J1083" s="66" t="n">
        <v>1074</v>
      </c>
      <c r="K1083" s="5"/>
    </row>
    <row r="1084" customFormat="false" ht="15" hidden="false" customHeight="false" outlineLevel="0" collapsed="false">
      <c r="A1084" s="5" t="str">
        <f aca="false">IF(I1084="","",J1084)</f>
        <v/>
      </c>
      <c r="B1084" s="83" t="str">
        <f aca="false">IF(I1084="","",INDEX(J_TGL,I1084))</f>
        <v/>
      </c>
      <c r="C1084" s="5" t="str">
        <f aca="false">IF(I1084="","",INDEX(J_NO,I1084))</f>
        <v/>
      </c>
      <c r="D1084" s="5" t="str">
        <f aca="false">IF(I1084="","",INDEX(J_KET,I1084))</f>
        <v/>
      </c>
      <c r="E1084" s="5" t="str">
        <f aca="false">IF(I1084="","",IF(INDEX(J_DEB,I1084)=$C$3,INDEX(J_KRE,I1084),INDEX(J_DEB,I1084)))</f>
        <v/>
      </c>
      <c r="F1084" s="44" t="str">
        <f aca="false">IF(I1084="","",IF(INDEX(J_DEB,I1084)=$C$3,INDEX(J_NOM,I1084),0))</f>
        <v/>
      </c>
      <c r="G1084" s="44" t="str">
        <f aca="false">IF(I1084="","",IF(INDEX(J_KRE,I1084)=$C$3,INDEX(J_NOM,I1084),0))</f>
        <v/>
      </c>
      <c r="H1084" s="44" t="str">
        <f aca="false">IF(I1084="","",N(H1083)+IF($C$5="Debet",F1084-G1084,G1084-F1084))</f>
        <v/>
      </c>
      <c r="I1084" s="66" t="str">
        <f aca="false">IF(J1084&gt;$K$1,"",IFERROR(MATCH(J1084,J_BB,0),""))</f>
        <v/>
      </c>
      <c r="J1084" s="66" t="n">
        <v>1075</v>
      </c>
      <c r="K1084" s="5"/>
    </row>
    <row r="1085" customFormat="false" ht="15" hidden="false" customHeight="false" outlineLevel="0" collapsed="false">
      <c r="A1085" s="5" t="str">
        <f aca="false">IF(I1085="","",J1085)</f>
        <v/>
      </c>
      <c r="B1085" s="83" t="str">
        <f aca="false">IF(I1085="","",INDEX(J_TGL,I1085))</f>
        <v/>
      </c>
      <c r="C1085" s="5" t="str">
        <f aca="false">IF(I1085="","",INDEX(J_NO,I1085))</f>
        <v/>
      </c>
      <c r="D1085" s="5" t="str">
        <f aca="false">IF(I1085="","",INDEX(J_KET,I1085))</f>
        <v/>
      </c>
      <c r="E1085" s="5" t="str">
        <f aca="false">IF(I1085="","",IF(INDEX(J_DEB,I1085)=$C$3,INDEX(J_KRE,I1085),INDEX(J_DEB,I1085)))</f>
        <v/>
      </c>
      <c r="F1085" s="44" t="str">
        <f aca="false">IF(I1085="","",IF(INDEX(J_DEB,I1085)=$C$3,INDEX(J_NOM,I1085),0))</f>
        <v/>
      </c>
      <c r="G1085" s="44" t="str">
        <f aca="false">IF(I1085="","",IF(INDEX(J_KRE,I1085)=$C$3,INDEX(J_NOM,I1085),0))</f>
        <v/>
      </c>
      <c r="H1085" s="44" t="str">
        <f aca="false">IF(I1085="","",N(H1084)+IF($C$5="Debet",F1085-G1085,G1085-F1085))</f>
        <v/>
      </c>
      <c r="I1085" s="66" t="str">
        <f aca="false">IF(J1085&gt;$K$1,"",IFERROR(MATCH(J1085,J_BB,0),""))</f>
        <v/>
      </c>
      <c r="J1085" s="66" t="n">
        <v>1076</v>
      </c>
      <c r="K1085" s="5"/>
    </row>
    <row r="1086" customFormat="false" ht="15" hidden="false" customHeight="false" outlineLevel="0" collapsed="false">
      <c r="A1086" s="5" t="str">
        <f aca="false">IF(I1086="","",J1086)</f>
        <v/>
      </c>
      <c r="B1086" s="83" t="str">
        <f aca="false">IF(I1086="","",INDEX(J_TGL,I1086))</f>
        <v/>
      </c>
      <c r="C1086" s="5" t="str">
        <f aca="false">IF(I1086="","",INDEX(J_NO,I1086))</f>
        <v/>
      </c>
      <c r="D1086" s="5" t="str">
        <f aca="false">IF(I1086="","",INDEX(J_KET,I1086))</f>
        <v/>
      </c>
      <c r="E1086" s="5" t="str">
        <f aca="false">IF(I1086="","",IF(INDEX(J_DEB,I1086)=$C$3,INDEX(J_KRE,I1086),INDEX(J_DEB,I1086)))</f>
        <v/>
      </c>
      <c r="F1086" s="44" t="str">
        <f aca="false">IF(I1086="","",IF(INDEX(J_DEB,I1086)=$C$3,INDEX(J_NOM,I1086),0))</f>
        <v/>
      </c>
      <c r="G1086" s="44" t="str">
        <f aca="false">IF(I1086="","",IF(INDEX(J_KRE,I1086)=$C$3,INDEX(J_NOM,I1086),0))</f>
        <v/>
      </c>
      <c r="H1086" s="44" t="str">
        <f aca="false">IF(I1086="","",N(H1085)+IF($C$5="Debet",F1086-G1086,G1086-F1086))</f>
        <v/>
      </c>
      <c r="I1086" s="66" t="str">
        <f aca="false">IF(J1086&gt;$K$1,"",IFERROR(MATCH(J1086,J_BB,0),""))</f>
        <v/>
      </c>
      <c r="J1086" s="66" t="n">
        <v>1077</v>
      </c>
      <c r="K1086" s="5"/>
    </row>
    <row r="1087" customFormat="false" ht="15" hidden="false" customHeight="false" outlineLevel="0" collapsed="false">
      <c r="A1087" s="5" t="str">
        <f aca="false">IF(I1087="","",J1087)</f>
        <v/>
      </c>
      <c r="B1087" s="83" t="str">
        <f aca="false">IF(I1087="","",INDEX(J_TGL,I1087))</f>
        <v/>
      </c>
      <c r="C1087" s="5" t="str">
        <f aca="false">IF(I1087="","",INDEX(J_NO,I1087))</f>
        <v/>
      </c>
      <c r="D1087" s="5" t="str">
        <f aca="false">IF(I1087="","",INDEX(J_KET,I1087))</f>
        <v/>
      </c>
      <c r="E1087" s="5" t="str">
        <f aca="false">IF(I1087="","",IF(INDEX(J_DEB,I1087)=$C$3,INDEX(J_KRE,I1087),INDEX(J_DEB,I1087)))</f>
        <v/>
      </c>
      <c r="F1087" s="44" t="str">
        <f aca="false">IF(I1087="","",IF(INDEX(J_DEB,I1087)=$C$3,INDEX(J_NOM,I1087),0))</f>
        <v/>
      </c>
      <c r="G1087" s="44" t="str">
        <f aca="false">IF(I1087="","",IF(INDEX(J_KRE,I1087)=$C$3,INDEX(J_NOM,I1087),0))</f>
        <v/>
      </c>
      <c r="H1087" s="44" t="str">
        <f aca="false">IF(I1087="","",N(H1086)+IF($C$5="Debet",F1087-G1087,G1087-F1087))</f>
        <v/>
      </c>
      <c r="I1087" s="66" t="str">
        <f aca="false">IF(J1087&gt;$K$1,"",IFERROR(MATCH(J1087,J_BB,0),""))</f>
        <v/>
      </c>
      <c r="J1087" s="66" t="n">
        <v>1078</v>
      </c>
      <c r="K1087" s="5"/>
    </row>
    <row r="1088" customFormat="false" ht="15" hidden="false" customHeight="false" outlineLevel="0" collapsed="false">
      <c r="A1088" s="5" t="str">
        <f aca="false">IF(I1088="","",J1088)</f>
        <v/>
      </c>
      <c r="B1088" s="83" t="str">
        <f aca="false">IF(I1088="","",INDEX(J_TGL,I1088))</f>
        <v/>
      </c>
      <c r="C1088" s="5" t="str">
        <f aca="false">IF(I1088="","",INDEX(J_NO,I1088))</f>
        <v/>
      </c>
      <c r="D1088" s="5" t="str">
        <f aca="false">IF(I1088="","",INDEX(J_KET,I1088))</f>
        <v/>
      </c>
      <c r="E1088" s="5" t="str">
        <f aca="false">IF(I1088="","",IF(INDEX(J_DEB,I1088)=$C$3,INDEX(J_KRE,I1088),INDEX(J_DEB,I1088)))</f>
        <v/>
      </c>
      <c r="F1088" s="44" t="str">
        <f aca="false">IF(I1088="","",IF(INDEX(J_DEB,I1088)=$C$3,INDEX(J_NOM,I1088),0))</f>
        <v/>
      </c>
      <c r="G1088" s="44" t="str">
        <f aca="false">IF(I1088="","",IF(INDEX(J_KRE,I1088)=$C$3,INDEX(J_NOM,I1088),0))</f>
        <v/>
      </c>
      <c r="H1088" s="44" t="str">
        <f aca="false">IF(I1088="","",N(H1087)+IF($C$5="Debet",F1088-G1088,G1088-F1088))</f>
        <v/>
      </c>
      <c r="I1088" s="66" t="str">
        <f aca="false">IF(J1088&gt;$K$1,"",IFERROR(MATCH(J1088,J_BB,0),""))</f>
        <v/>
      </c>
      <c r="J1088" s="66" t="n">
        <v>1079</v>
      </c>
      <c r="K1088" s="5"/>
    </row>
    <row r="1089" customFormat="false" ht="15" hidden="false" customHeight="false" outlineLevel="0" collapsed="false">
      <c r="A1089" s="5" t="str">
        <f aca="false">IF(I1089="","",J1089)</f>
        <v/>
      </c>
      <c r="B1089" s="83" t="str">
        <f aca="false">IF(I1089="","",INDEX(J_TGL,I1089))</f>
        <v/>
      </c>
      <c r="C1089" s="5" t="str">
        <f aca="false">IF(I1089="","",INDEX(J_NO,I1089))</f>
        <v/>
      </c>
      <c r="D1089" s="5" t="str">
        <f aca="false">IF(I1089="","",INDEX(J_KET,I1089))</f>
        <v/>
      </c>
      <c r="E1089" s="5" t="str">
        <f aca="false">IF(I1089="","",IF(INDEX(J_DEB,I1089)=$C$3,INDEX(J_KRE,I1089),INDEX(J_DEB,I1089)))</f>
        <v/>
      </c>
      <c r="F1089" s="44" t="str">
        <f aca="false">IF(I1089="","",IF(INDEX(J_DEB,I1089)=$C$3,INDEX(J_NOM,I1089),0))</f>
        <v/>
      </c>
      <c r="G1089" s="44" t="str">
        <f aca="false">IF(I1089="","",IF(INDEX(J_KRE,I1089)=$C$3,INDEX(J_NOM,I1089),0))</f>
        <v/>
      </c>
      <c r="H1089" s="44" t="str">
        <f aca="false">IF(I1089="","",N(H1088)+IF($C$5="Debet",F1089-G1089,G1089-F1089))</f>
        <v/>
      </c>
      <c r="I1089" s="66" t="str">
        <f aca="false">IF(J1089&gt;$K$1,"",IFERROR(MATCH(J1089,J_BB,0),""))</f>
        <v/>
      </c>
      <c r="J1089" s="66" t="n">
        <v>1080</v>
      </c>
      <c r="K1089" s="5"/>
    </row>
    <row r="1090" customFormat="false" ht="15" hidden="false" customHeight="false" outlineLevel="0" collapsed="false">
      <c r="A1090" s="5" t="str">
        <f aca="false">IF(I1090="","",J1090)</f>
        <v/>
      </c>
      <c r="B1090" s="83" t="str">
        <f aca="false">IF(I1090="","",INDEX(J_TGL,I1090))</f>
        <v/>
      </c>
      <c r="C1090" s="5" t="str">
        <f aca="false">IF(I1090="","",INDEX(J_NO,I1090))</f>
        <v/>
      </c>
      <c r="D1090" s="5" t="str">
        <f aca="false">IF(I1090="","",INDEX(J_KET,I1090))</f>
        <v/>
      </c>
      <c r="E1090" s="5" t="str">
        <f aca="false">IF(I1090="","",IF(INDEX(J_DEB,I1090)=$C$3,INDEX(J_KRE,I1090),INDEX(J_DEB,I1090)))</f>
        <v/>
      </c>
      <c r="F1090" s="44" t="str">
        <f aca="false">IF(I1090="","",IF(INDEX(J_DEB,I1090)=$C$3,INDEX(J_NOM,I1090),0))</f>
        <v/>
      </c>
      <c r="G1090" s="44" t="str">
        <f aca="false">IF(I1090="","",IF(INDEX(J_KRE,I1090)=$C$3,INDEX(J_NOM,I1090),0))</f>
        <v/>
      </c>
      <c r="H1090" s="44" t="str">
        <f aca="false">IF(I1090="","",N(H1089)+IF($C$5="Debet",F1090-G1090,G1090-F1090))</f>
        <v/>
      </c>
      <c r="I1090" s="66" t="str">
        <f aca="false">IF(J1090&gt;$K$1,"",IFERROR(MATCH(J1090,J_BB,0),""))</f>
        <v/>
      </c>
      <c r="J1090" s="66" t="n">
        <v>1081</v>
      </c>
      <c r="K1090" s="5"/>
    </row>
    <row r="1091" customFormat="false" ht="15" hidden="false" customHeight="false" outlineLevel="0" collapsed="false">
      <c r="A1091" s="5" t="str">
        <f aca="false">IF(I1091="","",J1091)</f>
        <v/>
      </c>
      <c r="B1091" s="83" t="str">
        <f aca="false">IF(I1091="","",INDEX(J_TGL,I1091))</f>
        <v/>
      </c>
      <c r="C1091" s="5" t="str">
        <f aca="false">IF(I1091="","",INDEX(J_NO,I1091))</f>
        <v/>
      </c>
      <c r="D1091" s="5" t="str">
        <f aca="false">IF(I1091="","",INDEX(J_KET,I1091))</f>
        <v/>
      </c>
      <c r="E1091" s="5" t="str">
        <f aca="false">IF(I1091="","",IF(INDEX(J_DEB,I1091)=$C$3,INDEX(J_KRE,I1091),INDEX(J_DEB,I1091)))</f>
        <v/>
      </c>
      <c r="F1091" s="44" t="str">
        <f aca="false">IF(I1091="","",IF(INDEX(J_DEB,I1091)=$C$3,INDEX(J_NOM,I1091),0))</f>
        <v/>
      </c>
      <c r="G1091" s="44" t="str">
        <f aca="false">IF(I1091="","",IF(INDEX(J_KRE,I1091)=$C$3,INDEX(J_NOM,I1091),0))</f>
        <v/>
      </c>
      <c r="H1091" s="44" t="str">
        <f aca="false">IF(I1091="","",N(H1090)+IF($C$5="Debet",F1091-G1091,G1091-F1091))</f>
        <v/>
      </c>
      <c r="I1091" s="66" t="str">
        <f aca="false">IF(J1091&gt;$K$1,"",IFERROR(MATCH(J1091,J_BB,0),""))</f>
        <v/>
      </c>
      <c r="J1091" s="66" t="n">
        <v>1082</v>
      </c>
      <c r="K1091" s="5"/>
    </row>
    <row r="1092" customFormat="false" ht="15" hidden="false" customHeight="false" outlineLevel="0" collapsed="false">
      <c r="A1092" s="5" t="str">
        <f aca="false">IF(I1092="","",J1092)</f>
        <v/>
      </c>
      <c r="B1092" s="83" t="str">
        <f aca="false">IF(I1092="","",INDEX(J_TGL,I1092))</f>
        <v/>
      </c>
      <c r="C1092" s="5" t="str">
        <f aca="false">IF(I1092="","",INDEX(J_NO,I1092))</f>
        <v/>
      </c>
      <c r="D1092" s="5" t="str">
        <f aca="false">IF(I1092="","",INDEX(J_KET,I1092))</f>
        <v/>
      </c>
      <c r="E1092" s="5" t="str">
        <f aca="false">IF(I1092="","",IF(INDEX(J_DEB,I1092)=$C$3,INDEX(J_KRE,I1092),INDEX(J_DEB,I1092)))</f>
        <v/>
      </c>
      <c r="F1092" s="44" t="str">
        <f aca="false">IF(I1092="","",IF(INDEX(J_DEB,I1092)=$C$3,INDEX(J_NOM,I1092),0))</f>
        <v/>
      </c>
      <c r="G1092" s="44" t="str">
        <f aca="false">IF(I1092="","",IF(INDEX(J_KRE,I1092)=$C$3,INDEX(J_NOM,I1092),0))</f>
        <v/>
      </c>
      <c r="H1092" s="44" t="str">
        <f aca="false">IF(I1092="","",N(H1091)+IF($C$5="Debet",F1092-G1092,G1092-F1092))</f>
        <v/>
      </c>
      <c r="I1092" s="66" t="str">
        <f aca="false">IF(J1092&gt;$K$1,"",IFERROR(MATCH(J1092,J_BB,0),""))</f>
        <v/>
      </c>
      <c r="J1092" s="66" t="n">
        <v>1083</v>
      </c>
      <c r="K1092" s="5"/>
    </row>
    <row r="1093" customFormat="false" ht="15" hidden="false" customHeight="false" outlineLevel="0" collapsed="false">
      <c r="A1093" s="5" t="str">
        <f aca="false">IF(I1093="","",J1093)</f>
        <v/>
      </c>
      <c r="B1093" s="83" t="str">
        <f aca="false">IF(I1093="","",INDEX(J_TGL,I1093))</f>
        <v/>
      </c>
      <c r="C1093" s="5" t="str">
        <f aca="false">IF(I1093="","",INDEX(J_NO,I1093))</f>
        <v/>
      </c>
      <c r="D1093" s="5" t="str">
        <f aca="false">IF(I1093="","",INDEX(J_KET,I1093))</f>
        <v/>
      </c>
      <c r="E1093" s="5" t="str">
        <f aca="false">IF(I1093="","",IF(INDEX(J_DEB,I1093)=$C$3,INDEX(J_KRE,I1093),INDEX(J_DEB,I1093)))</f>
        <v/>
      </c>
      <c r="F1093" s="44" t="str">
        <f aca="false">IF(I1093="","",IF(INDEX(J_DEB,I1093)=$C$3,INDEX(J_NOM,I1093),0))</f>
        <v/>
      </c>
      <c r="G1093" s="44" t="str">
        <f aca="false">IF(I1093="","",IF(INDEX(J_KRE,I1093)=$C$3,INDEX(J_NOM,I1093),0))</f>
        <v/>
      </c>
      <c r="H1093" s="44" t="str">
        <f aca="false">IF(I1093="","",N(H1092)+IF($C$5="Debet",F1093-G1093,G1093-F1093))</f>
        <v/>
      </c>
      <c r="I1093" s="66" t="str">
        <f aca="false">IF(J1093&gt;$K$1,"",IFERROR(MATCH(J1093,J_BB,0),""))</f>
        <v/>
      </c>
      <c r="J1093" s="66" t="n">
        <v>1084</v>
      </c>
      <c r="K1093" s="5"/>
    </row>
    <row r="1094" customFormat="false" ht="15" hidden="false" customHeight="false" outlineLevel="0" collapsed="false">
      <c r="A1094" s="5" t="str">
        <f aca="false">IF(I1094="","",J1094)</f>
        <v/>
      </c>
      <c r="B1094" s="83" t="str">
        <f aca="false">IF(I1094="","",INDEX(J_TGL,I1094))</f>
        <v/>
      </c>
      <c r="C1094" s="5" t="str">
        <f aca="false">IF(I1094="","",INDEX(J_NO,I1094))</f>
        <v/>
      </c>
      <c r="D1094" s="5" t="str">
        <f aca="false">IF(I1094="","",INDEX(J_KET,I1094))</f>
        <v/>
      </c>
      <c r="E1094" s="5" t="str">
        <f aca="false">IF(I1094="","",IF(INDEX(J_DEB,I1094)=$C$3,INDEX(J_KRE,I1094),INDEX(J_DEB,I1094)))</f>
        <v/>
      </c>
      <c r="F1094" s="44" t="str">
        <f aca="false">IF(I1094="","",IF(INDEX(J_DEB,I1094)=$C$3,INDEX(J_NOM,I1094),0))</f>
        <v/>
      </c>
      <c r="G1094" s="44" t="str">
        <f aca="false">IF(I1094="","",IF(INDEX(J_KRE,I1094)=$C$3,INDEX(J_NOM,I1094),0))</f>
        <v/>
      </c>
      <c r="H1094" s="44" t="str">
        <f aca="false">IF(I1094="","",N(H1093)+IF($C$5="Debet",F1094-G1094,G1094-F1094))</f>
        <v/>
      </c>
      <c r="I1094" s="66" t="str">
        <f aca="false">IF(J1094&gt;$K$1,"",IFERROR(MATCH(J1094,J_BB,0),""))</f>
        <v/>
      </c>
      <c r="J1094" s="66" t="n">
        <v>1085</v>
      </c>
      <c r="K1094" s="5"/>
    </row>
    <row r="1095" customFormat="false" ht="15" hidden="false" customHeight="false" outlineLevel="0" collapsed="false">
      <c r="A1095" s="5" t="str">
        <f aca="false">IF(I1095="","",J1095)</f>
        <v/>
      </c>
      <c r="B1095" s="83" t="str">
        <f aca="false">IF(I1095="","",INDEX(J_TGL,I1095))</f>
        <v/>
      </c>
      <c r="C1095" s="5" t="str">
        <f aca="false">IF(I1095="","",INDEX(J_NO,I1095))</f>
        <v/>
      </c>
      <c r="D1095" s="5" t="str">
        <f aca="false">IF(I1095="","",INDEX(J_KET,I1095))</f>
        <v/>
      </c>
      <c r="E1095" s="5" t="str">
        <f aca="false">IF(I1095="","",IF(INDEX(J_DEB,I1095)=$C$3,INDEX(J_KRE,I1095),INDEX(J_DEB,I1095)))</f>
        <v/>
      </c>
      <c r="F1095" s="44" t="str">
        <f aca="false">IF(I1095="","",IF(INDEX(J_DEB,I1095)=$C$3,INDEX(J_NOM,I1095),0))</f>
        <v/>
      </c>
      <c r="G1095" s="44" t="str">
        <f aca="false">IF(I1095="","",IF(INDEX(J_KRE,I1095)=$C$3,INDEX(J_NOM,I1095),0))</f>
        <v/>
      </c>
      <c r="H1095" s="44" t="str">
        <f aca="false">IF(I1095="","",N(H1094)+IF($C$5="Debet",F1095-G1095,G1095-F1095))</f>
        <v/>
      </c>
      <c r="I1095" s="66" t="str">
        <f aca="false">IF(J1095&gt;$K$1,"",IFERROR(MATCH(J1095,J_BB,0),""))</f>
        <v/>
      </c>
      <c r="J1095" s="66" t="n">
        <v>1086</v>
      </c>
      <c r="K1095" s="5"/>
    </row>
    <row r="1096" customFormat="false" ht="15" hidden="false" customHeight="false" outlineLevel="0" collapsed="false">
      <c r="A1096" s="5" t="str">
        <f aca="false">IF(I1096="","",J1096)</f>
        <v/>
      </c>
      <c r="B1096" s="83" t="str">
        <f aca="false">IF(I1096="","",INDEX(J_TGL,I1096))</f>
        <v/>
      </c>
      <c r="C1096" s="5" t="str">
        <f aca="false">IF(I1096="","",INDEX(J_NO,I1096))</f>
        <v/>
      </c>
      <c r="D1096" s="5" t="str">
        <f aca="false">IF(I1096="","",INDEX(J_KET,I1096))</f>
        <v/>
      </c>
      <c r="E1096" s="5" t="str">
        <f aca="false">IF(I1096="","",IF(INDEX(J_DEB,I1096)=$C$3,INDEX(J_KRE,I1096),INDEX(J_DEB,I1096)))</f>
        <v/>
      </c>
      <c r="F1096" s="44" t="str">
        <f aca="false">IF(I1096="","",IF(INDEX(J_DEB,I1096)=$C$3,INDEX(J_NOM,I1096),0))</f>
        <v/>
      </c>
      <c r="G1096" s="44" t="str">
        <f aca="false">IF(I1096="","",IF(INDEX(J_KRE,I1096)=$C$3,INDEX(J_NOM,I1096),0))</f>
        <v/>
      </c>
      <c r="H1096" s="44" t="str">
        <f aca="false">IF(I1096="","",N(H1095)+IF($C$5="Debet",F1096-G1096,G1096-F1096))</f>
        <v/>
      </c>
      <c r="I1096" s="66" t="str">
        <f aca="false">IF(J1096&gt;$K$1,"",IFERROR(MATCH(J1096,J_BB,0),""))</f>
        <v/>
      </c>
      <c r="J1096" s="66" t="n">
        <v>1087</v>
      </c>
      <c r="K1096" s="5"/>
    </row>
    <row r="1097" customFormat="false" ht="15" hidden="false" customHeight="false" outlineLevel="0" collapsed="false">
      <c r="A1097" s="5" t="str">
        <f aca="false">IF(I1097="","",J1097)</f>
        <v/>
      </c>
      <c r="B1097" s="83" t="str">
        <f aca="false">IF(I1097="","",INDEX(J_TGL,I1097))</f>
        <v/>
      </c>
      <c r="C1097" s="5" t="str">
        <f aca="false">IF(I1097="","",INDEX(J_NO,I1097))</f>
        <v/>
      </c>
      <c r="D1097" s="5" t="str">
        <f aca="false">IF(I1097="","",INDEX(J_KET,I1097))</f>
        <v/>
      </c>
      <c r="E1097" s="5" t="str">
        <f aca="false">IF(I1097="","",IF(INDEX(J_DEB,I1097)=$C$3,INDEX(J_KRE,I1097),INDEX(J_DEB,I1097)))</f>
        <v/>
      </c>
      <c r="F1097" s="44" t="str">
        <f aca="false">IF(I1097="","",IF(INDEX(J_DEB,I1097)=$C$3,INDEX(J_NOM,I1097),0))</f>
        <v/>
      </c>
      <c r="G1097" s="44" t="str">
        <f aca="false">IF(I1097="","",IF(INDEX(J_KRE,I1097)=$C$3,INDEX(J_NOM,I1097),0))</f>
        <v/>
      </c>
      <c r="H1097" s="44" t="str">
        <f aca="false">IF(I1097="","",N(H1096)+IF($C$5="Debet",F1097-G1097,G1097-F1097))</f>
        <v/>
      </c>
      <c r="I1097" s="66" t="str">
        <f aca="false">IF(J1097&gt;$K$1,"",IFERROR(MATCH(J1097,J_BB,0),""))</f>
        <v/>
      </c>
      <c r="J1097" s="66" t="n">
        <v>1088</v>
      </c>
      <c r="K1097" s="5"/>
    </row>
    <row r="1098" customFormat="false" ht="15" hidden="false" customHeight="false" outlineLevel="0" collapsed="false">
      <c r="A1098" s="5" t="str">
        <f aca="false">IF(I1098="","",J1098)</f>
        <v/>
      </c>
      <c r="B1098" s="83" t="str">
        <f aca="false">IF(I1098="","",INDEX(J_TGL,I1098))</f>
        <v/>
      </c>
      <c r="C1098" s="5" t="str">
        <f aca="false">IF(I1098="","",INDEX(J_NO,I1098))</f>
        <v/>
      </c>
      <c r="D1098" s="5" t="str">
        <f aca="false">IF(I1098="","",INDEX(J_KET,I1098))</f>
        <v/>
      </c>
      <c r="E1098" s="5" t="str">
        <f aca="false">IF(I1098="","",IF(INDEX(J_DEB,I1098)=$C$3,INDEX(J_KRE,I1098),INDEX(J_DEB,I1098)))</f>
        <v/>
      </c>
      <c r="F1098" s="44" t="str">
        <f aca="false">IF(I1098="","",IF(INDEX(J_DEB,I1098)=$C$3,INDEX(J_NOM,I1098),0))</f>
        <v/>
      </c>
      <c r="G1098" s="44" t="str">
        <f aca="false">IF(I1098="","",IF(INDEX(J_KRE,I1098)=$C$3,INDEX(J_NOM,I1098),0))</f>
        <v/>
      </c>
      <c r="H1098" s="44" t="str">
        <f aca="false">IF(I1098="","",N(H1097)+IF($C$5="Debet",F1098-G1098,G1098-F1098))</f>
        <v/>
      </c>
      <c r="I1098" s="66" t="str">
        <f aca="false">IF(J1098&gt;$K$1,"",IFERROR(MATCH(J1098,J_BB,0),""))</f>
        <v/>
      </c>
      <c r="J1098" s="66" t="n">
        <v>1089</v>
      </c>
      <c r="K1098" s="5"/>
    </row>
    <row r="1099" customFormat="false" ht="15" hidden="false" customHeight="false" outlineLevel="0" collapsed="false">
      <c r="A1099" s="5" t="str">
        <f aca="false">IF(I1099="","",J1099)</f>
        <v/>
      </c>
      <c r="B1099" s="83" t="str">
        <f aca="false">IF(I1099="","",INDEX(J_TGL,I1099))</f>
        <v/>
      </c>
      <c r="C1099" s="5" t="str">
        <f aca="false">IF(I1099="","",INDEX(J_NO,I1099))</f>
        <v/>
      </c>
      <c r="D1099" s="5" t="str">
        <f aca="false">IF(I1099="","",INDEX(J_KET,I1099))</f>
        <v/>
      </c>
      <c r="E1099" s="5" t="str">
        <f aca="false">IF(I1099="","",IF(INDEX(J_DEB,I1099)=$C$3,INDEX(J_KRE,I1099),INDEX(J_DEB,I1099)))</f>
        <v/>
      </c>
      <c r="F1099" s="44" t="str">
        <f aca="false">IF(I1099="","",IF(INDEX(J_DEB,I1099)=$C$3,INDEX(J_NOM,I1099),0))</f>
        <v/>
      </c>
      <c r="G1099" s="44" t="str">
        <f aca="false">IF(I1099="","",IF(INDEX(J_KRE,I1099)=$C$3,INDEX(J_NOM,I1099),0))</f>
        <v/>
      </c>
      <c r="H1099" s="44" t="str">
        <f aca="false">IF(I1099="","",N(H1098)+IF($C$5="Debet",F1099-G1099,G1099-F1099))</f>
        <v/>
      </c>
      <c r="I1099" s="66" t="str">
        <f aca="false">IF(J1099&gt;$K$1,"",IFERROR(MATCH(J1099,J_BB,0),""))</f>
        <v/>
      </c>
      <c r="J1099" s="66" t="n">
        <v>1090</v>
      </c>
      <c r="K1099" s="5"/>
    </row>
    <row r="1100" customFormat="false" ht="15" hidden="false" customHeight="false" outlineLevel="0" collapsed="false">
      <c r="A1100" s="5" t="str">
        <f aca="false">IF(I1100="","",J1100)</f>
        <v/>
      </c>
      <c r="B1100" s="83" t="str">
        <f aca="false">IF(I1100="","",INDEX(J_TGL,I1100))</f>
        <v/>
      </c>
      <c r="C1100" s="5" t="str">
        <f aca="false">IF(I1100="","",INDEX(J_NO,I1100))</f>
        <v/>
      </c>
      <c r="D1100" s="5" t="str">
        <f aca="false">IF(I1100="","",INDEX(J_KET,I1100))</f>
        <v/>
      </c>
      <c r="E1100" s="5" t="str">
        <f aca="false">IF(I1100="","",IF(INDEX(J_DEB,I1100)=$C$3,INDEX(J_KRE,I1100),INDEX(J_DEB,I1100)))</f>
        <v/>
      </c>
      <c r="F1100" s="44" t="str">
        <f aca="false">IF(I1100="","",IF(INDEX(J_DEB,I1100)=$C$3,INDEX(J_NOM,I1100),0))</f>
        <v/>
      </c>
      <c r="G1100" s="44" t="str">
        <f aca="false">IF(I1100="","",IF(INDEX(J_KRE,I1100)=$C$3,INDEX(J_NOM,I1100),0))</f>
        <v/>
      </c>
      <c r="H1100" s="44" t="str">
        <f aca="false">IF(I1100="","",N(H1099)+IF($C$5="Debet",F1100-G1100,G1100-F1100))</f>
        <v/>
      </c>
      <c r="I1100" s="66" t="str">
        <f aca="false">IF(J1100&gt;$K$1,"",IFERROR(MATCH(J1100,J_BB,0),""))</f>
        <v/>
      </c>
      <c r="J1100" s="66" t="n">
        <v>1091</v>
      </c>
      <c r="K1100" s="5"/>
    </row>
    <row r="1101" customFormat="false" ht="15" hidden="false" customHeight="false" outlineLevel="0" collapsed="false">
      <c r="A1101" s="5" t="str">
        <f aca="false">IF(I1101="","",J1101)</f>
        <v/>
      </c>
      <c r="B1101" s="83" t="str">
        <f aca="false">IF(I1101="","",INDEX(J_TGL,I1101))</f>
        <v/>
      </c>
      <c r="C1101" s="5" t="str">
        <f aca="false">IF(I1101="","",INDEX(J_NO,I1101))</f>
        <v/>
      </c>
      <c r="D1101" s="5" t="str">
        <f aca="false">IF(I1101="","",INDEX(J_KET,I1101))</f>
        <v/>
      </c>
      <c r="E1101" s="5" t="str">
        <f aca="false">IF(I1101="","",IF(INDEX(J_DEB,I1101)=$C$3,INDEX(J_KRE,I1101),INDEX(J_DEB,I1101)))</f>
        <v/>
      </c>
      <c r="F1101" s="44" t="str">
        <f aca="false">IF(I1101="","",IF(INDEX(J_DEB,I1101)=$C$3,INDEX(J_NOM,I1101),0))</f>
        <v/>
      </c>
      <c r="G1101" s="44" t="str">
        <f aca="false">IF(I1101="","",IF(INDEX(J_KRE,I1101)=$C$3,INDEX(J_NOM,I1101),0))</f>
        <v/>
      </c>
      <c r="H1101" s="44" t="str">
        <f aca="false">IF(I1101="","",N(H1100)+IF($C$5="Debet",F1101-G1101,G1101-F1101))</f>
        <v/>
      </c>
      <c r="I1101" s="66" t="str">
        <f aca="false">IF(J1101&gt;$K$1,"",IFERROR(MATCH(J1101,J_BB,0),""))</f>
        <v/>
      </c>
      <c r="J1101" s="66" t="n">
        <v>1092</v>
      </c>
      <c r="K1101" s="5"/>
    </row>
    <row r="1102" customFormat="false" ht="15" hidden="false" customHeight="false" outlineLevel="0" collapsed="false">
      <c r="A1102" s="5" t="str">
        <f aca="false">IF(I1102="","",J1102)</f>
        <v/>
      </c>
      <c r="B1102" s="83" t="str">
        <f aca="false">IF(I1102="","",INDEX(J_TGL,I1102))</f>
        <v/>
      </c>
      <c r="C1102" s="5" t="str">
        <f aca="false">IF(I1102="","",INDEX(J_NO,I1102))</f>
        <v/>
      </c>
      <c r="D1102" s="5" t="str">
        <f aca="false">IF(I1102="","",INDEX(J_KET,I1102))</f>
        <v/>
      </c>
      <c r="E1102" s="5" t="str">
        <f aca="false">IF(I1102="","",IF(INDEX(J_DEB,I1102)=$C$3,INDEX(J_KRE,I1102),INDEX(J_DEB,I1102)))</f>
        <v/>
      </c>
      <c r="F1102" s="44" t="str">
        <f aca="false">IF(I1102="","",IF(INDEX(J_DEB,I1102)=$C$3,INDEX(J_NOM,I1102),0))</f>
        <v/>
      </c>
      <c r="G1102" s="44" t="str">
        <f aca="false">IF(I1102="","",IF(INDEX(J_KRE,I1102)=$C$3,INDEX(J_NOM,I1102),0))</f>
        <v/>
      </c>
      <c r="H1102" s="44" t="str">
        <f aca="false">IF(I1102="","",N(H1101)+IF($C$5="Debet",F1102-G1102,G1102-F1102))</f>
        <v/>
      </c>
      <c r="I1102" s="66" t="str">
        <f aca="false">IF(J1102&gt;$K$1,"",IFERROR(MATCH(J1102,J_BB,0),""))</f>
        <v/>
      </c>
      <c r="J1102" s="66" t="n">
        <v>1093</v>
      </c>
      <c r="K1102" s="5"/>
    </row>
    <row r="1103" customFormat="false" ht="15" hidden="false" customHeight="false" outlineLevel="0" collapsed="false">
      <c r="A1103" s="5" t="str">
        <f aca="false">IF(I1103="","",J1103)</f>
        <v/>
      </c>
      <c r="B1103" s="83" t="str">
        <f aca="false">IF(I1103="","",INDEX(J_TGL,I1103))</f>
        <v/>
      </c>
      <c r="C1103" s="5" t="str">
        <f aca="false">IF(I1103="","",INDEX(J_NO,I1103))</f>
        <v/>
      </c>
      <c r="D1103" s="5" t="str">
        <f aca="false">IF(I1103="","",INDEX(J_KET,I1103))</f>
        <v/>
      </c>
      <c r="E1103" s="5" t="str">
        <f aca="false">IF(I1103="","",IF(INDEX(J_DEB,I1103)=$C$3,INDEX(J_KRE,I1103),INDEX(J_DEB,I1103)))</f>
        <v/>
      </c>
      <c r="F1103" s="44" t="str">
        <f aca="false">IF(I1103="","",IF(INDEX(J_DEB,I1103)=$C$3,INDEX(J_NOM,I1103),0))</f>
        <v/>
      </c>
      <c r="G1103" s="44" t="str">
        <f aca="false">IF(I1103="","",IF(INDEX(J_KRE,I1103)=$C$3,INDEX(J_NOM,I1103),0))</f>
        <v/>
      </c>
      <c r="H1103" s="44" t="str">
        <f aca="false">IF(I1103="","",N(H1102)+IF($C$5="Debet",F1103-G1103,G1103-F1103))</f>
        <v/>
      </c>
      <c r="I1103" s="66" t="str">
        <f aca="false">IF(J1103&gt;$K$1,"",IFERROR(MATCH(J1103,J_BB,0),""))</f>
        <v/>
      </c>
      <c r="J1103" s="66" t="n">
        <v>1094</v>
      </c>
      <c r="K1103" s="5"/>
    </row>
    <row r="1104" customFormat="false" ht="15" hidden="false" customHeight="false" outlineLevel="0" collapsed="false">
      <c r="A1104" s="5" t="str">
        <f aca="false">IF(I1104="","",J1104)</f>
        <v/>
      </c>
      <c r="B1104" s="83" t="str">
        <f aca="false">IF(I1104="","",INDEX(J_TGL,I1104))</f>
        <v/>
      </c>
      <c r="C1104" s="5" t="str">
        <f aca="false">IF(I1104="","",INDEX(J_NO,I1104))</f>
        <v/>
      </c>
      <c r="D1104" s="5" t="str">
        <f aca="false">IF(I1104="","",INDEX(J_KET,I1104))</f>
        <v/>
      </c>
      <c r="E1104" s="5" t="str">
        <f aca="false">IF(I1104="","",IF(INDEX(J_DEB,I1104)=$C$3,INDEX(J_KRE,I1104),INDEX(J_DEB,I1104)))</f>
        <v/>
      </c>
      <c r="F1104" s="44" t="str">
        <f aca="false">IF(I1104="","",IF(INDEX(J_DEB,I1104)=$C$3,INDEX(J_NOM,I1104),0))</f>
        <v/>
      </c>
      <c r="G1104" s="44" t="str">
        <f aca="false">IF(I1104="","",IF(INDEX(J_KRE,I1104)=$C$3,INDEX(J_NOM,I1104),0))</f>
        <v/>
      </c>
      <c r="H1104" s="44" t="str">
        <f aca="false">IF(I1104="","",N(H1103)+IF($C$5="Debet",F1104-G1104,G1104-F1104))</f>
        <v/>
      </c>
      <c r="I1104" s="66" t="str">
        <f aca="false">IF(J1104&gt;$K$1,"",IFERROR(MATCH(J1104,J_BB,0),""))</f>
        <v/>
      </c>
      <c r="J1104" s="66" t="n">
        <v>1095</v>
      </c>
      <c r="K1104" s="5"/>
    </row>
    <row r="1105" customFormat="false" ht="15" hidden="false" customHeight="false" outlineLevel="0" collapsed="false">
      <c r="A1105" s="5" t="str">
        <f aca="false">IF(I1105="","",J1105)</f>
        <v/>
      </c>
      <c r="B1105" s="83" t="str">
        <f aca="false">IF(I1105="","",INDEX(J_TGL,I1105))</f>
        <v/>
      </c>
      <c r="C1105" s="5" t="str">
        <f aca="false">IF(I1105="","",INDEX(J_NO,I1105))</f>
        <v/>
      </c>
      <c r="D1105" s="5" t="str">
        <f aca="false">IF(I1105="","",INDEX(J_KET,I1105))</f>
        <v/>
      </c>
      <c r="E1105" s="5" t="str">
        <f aca="false">IF(I1105="","",IF(INDEX(J_DEB,I1105)=$C$3,INDEX(J_KRE,I1105),INDEX(J_DEB,I1105)))</f>
        <v/>
      </c>
      <c r="F1105" s="44" t="str">
        <f aca="false">IF(I1105="","",IF(INDEX(J_DEB,I1105)=$C$3,INDEX(J_NOM,I1105),0))</f>
        <v/>
      </c>
      <c r="G1105" s="44" t="str">
        <f aca="false">IF(I1105="","",IF(INDEX(J_KRE,I1105)=$C$3,INDEX(J_NOM,I1105),0))</f>
        <v/>
      </c>
      <c r="H1105" s="44" t="str">
        <f aca="false">IF(I1105="","",N(H1104)+IF($C$5="Debet",F1105-G1105,G1105-F1105))</f>
        <v/>
      </c>
      <c r="I1105" s="66" t="str">
        <f aca="false">IF(J1105&gt;$K$1,"",IFERROR(MATCH(J1105,J_BB,0),""))</f>
        <v/>
      </c>
      <c r="J1105" s="66" t="n">
        <v>1096</v>
      </c>
      <c r="K1105" s="5"/>
    </row>
    <row r="1106" customFormat="false" ht="15" hidden="false" customHeight="false" outlineLevel="0" collapsed="false">
      <c r="A1106" s="5" t="str">
        <f aca="false">IF(I1106="","",J1106)</f>
        <v/>
      </c>
      <c r="B1106" s="83" t="str">
        <f aca="false">IF(I1106="","",INDEX(J_TGL,I1106))</f>
        <v/>
      </c>
      <c r="C1106" s="5" t="str">
        <f aca="false">IF(I1106="","",INDEX(J_NO,I1106))</f>
        <v/>
      </c>
      <c r="D1106" s="5" t="str">
        <f aca="false">IF(I1106="","",INDEX(J_KET,I1106))</f>
        <v/>
      </c>
      <c r="E1106" s="5" t="str">
        <f aca="false">IF(I1106="","",IF(INDEX(J_DEB,I1106)=$C$3,INDEX(J_KRE,I1106),INDEX(J_DEB,I1106)))</f>
        <v/>
      </c>
      <c r="F1106" s="44" t="str">
        <f aca="false">IF(I1106="","",IF(INDEX(J_DEB,I1106)=$C$3,INDEX(J_NOM,I1106),0))</f>
        <v/>
      </c>
      <c r="G1106" s="44" t="str">
        <f aca="false">IF(I1106="","",IF(INDEX(J_KRE,I1106)=$C$3,INDEX(J_NOM,I1106),0))</f>
        <v/>
      </c>
      <c r="H1106" s="44" t="str">
        <f aca="false">IF(I1106="","",N(H1105)+IF($C$5="Debet",F1106-G1106,G1106-F1106))</f>
        <v/>
      </c>
      <c r="I1106" s="66" t="str">
        <f aca="false">IF(J1106&gt;$K$1,"",IFERROR(MATCH(J1106,J_BB,0),""))</f>
        <v/>
      </c>
      <c r="J1106" s="66" t="n">
        <v>1097</v>
      </c>
      <c r="K1106" s="5"/>
    </row>
    <row r="1107" customFormat="false" ht="15" hidden="false" customHeight="false" outlineLevel="0" collapsed="false">
      <c r="A1107" s="5" t="str">
        <f aca="false">IF(I1107="","",J1107)</f>
        <v/>
      </c>
      <c r="B1107" s="83" t="str">
        <f aca="false">IF(I1107="","",INDEX(J_TGL,I1107))</f>
        <v/>
      </c>
      <c r="C1107" s="5" t="str">
        <f aca="false">IF(I1107="","",INDEX(J_NO,I1107))</f>
        <v/>
      </c>
      <c r="D1107" s="5" t="str">
        <f aca="false">IF(I1107="","",INDEX(J_KET,I1107))</f>
        <v/>
      </c>
      <c r="E1107" s="5" t="str">
        <f aca="false">IF(I1107="","",IF(INDEX(J_DEB,I1107)=$C$3,INDEX(J_KRE,I1107),INDEX(J_DEB,I1107)))</f>
        <v/>
      </c>
      <c r="F1107" s="44" t="str">
        <f aca="false">IF(I1107="","",IF(INDEX(J_DEB,I1107)=$C$3,INDEX(J_NOM,I1107),0))</f>
        <v/>
      </c>
      <c r="G1107" s="44" t="str">
        <f aca="false">IF(I1107="","",IF(INDEX(J_KRE,I1107)=$C$3,INDEX(J_NOM,I1107),0))</f>
        <v/>
      </c>
      <c r="H1107" s="44" t="str">
        <f aca="false">IF(I1107="","",N(H1106)+IF($C$5="Debet",F1107-G1107,G1107-F1107))</f>
        <v/>
      </c>
      <c r="I1107" s="66" t="str">
        <f aca="false">IF(J1107&gt;$K$1,"",IFERROR(MATCH(J1107,J_BB,0),""))</f>
        <v/>
      </c>
      <c r="J1107" s="66" t="n">
        <v>1098</v>
      </c>
      <c r="K1107" s="5"/>
    </row>
    <row r="1108" customFormat="false" ht="15" hidden="false" customHeight="false" outlineLevel="0" collapsed="false">
      <c r="A1108" s="5" t="str">
        <f aca="false">IF(I1108="","",J1108)</f>
        <v/>
      </c>
      <c r="B1108" s="83" t="str">
        <f aca="false">IF(I1108="","",INDEX(J_TGL,I1108))</f>
        <v/>
      </c>
      <c r="C1108" s="5" t="str">
        <f aca="false">IF(I1108="","",INDEX(J_NO,I1108))</f>
        <v/>
      </c>
      <c r="D1108" s="5" t="str">
        <f aca="false">IF(I1108="","",INDEX(J_KET,I1108))</f>
        <v/>
      </c>
      <c r="E1108" s="5" t="str">
        <f aca="false">IF(I1108="","",IF(INDEX(J_DEB,I1108)=$C$3,INDEX(J_KRE,I1108),INDEX(J_DEB,I1108)))</f>
        <v/>
      </c>
      <c r="F1108" s="44" t="str">
        <f aca="false">IF(I1108="","",IF(INDEX(J_DEB,I1108)=$C$3,INDEX(J_NOM,I1108),0))</f>
        <v/>
      </c>
      <c r="G1108" s="44" t="str">
        <f aca="false">IF(I1108="","",IF(INDEX(J_KRE,I1108)=$C$3,INDEX(J_NOM,I1108),0))</f>
        <v/>
      </c>
      <c r="H1108" s="44" t="str">
        <f aca="false">IF(I1108="","",N(H1107)+IF($C$5="Debet",F1108-G1108,G1108-F1108))</f>
        <v/>
      </c>
      <c r="I1108" s="66" t="str">
        <f aca="false">IF(J1108&gt;$K$1,"",IFERROR(MATCH(J1108,J_BB,0),""))</f>
        <v/>
      </c>
      <c r="J1108" s="66" t="n">
        <v>1099</v>
      </c>
      <c r="K1108" s="5"/>
    </row>
    <row r="1109" customFormat="false" ht="15" hidden="false" customHeight="false" outlineLevel="0" collapsed="false">
      <c r="A1109" s="5" t="str">
        <f aca="false">IF(I1109="","",J1109)</f>
        <v/>
      </c>
      <c r="B1109" s="83" t="str">
        <f aca="false">IF(I1109="","",INDEX(J_TGL,I1109))</f>
        <v/>
      </c>
      <c r="C1109" s="5" t="str">
        <f aca="false">IF(I1109="","",INDEX(J_NO,I1109))</f>
        <v/>
      </c>
      <c r="D1109" s="5" t="str">
        <f aca="false">IF(I1109="","",INDEX(J_KET,I1109))</f>
        <v/>
      </c>
      <c r="E1109" s="5" t="str">
        <f aca="false">IF(I1109="","",IF(INDEX(J_DEB,I1109)=$C$3,INDEX(J_KRE,I1109),INDEX(J_DEB,I1109)))</f>
        <v/>
      </c>
      <c r="F1109" s="44" t="str">
        <f aca="false">IF(I1109="","",IF(INDEX(J_DEB,I1109)=$C$3,INDEX(J_NOM,I1109),0))</f>
        <v/>
      </c>
      <c r="G1109" s="44" t="str">
        <f aca="false">IF(I1109="","",IF(INDEX(J_KRE,I1109)=$C$3,INDEX(J_NOM,I1109),0))</f>
        <v/>
      </c>
      <c r="H1109" s="44" t="str">
        <f aca="false">IF(I1109="","",N(H1108)+IF($C$5="Debet",F1109-G1109,G1109-F1109))</f>
        <v/>
      </c>
      <c r="I1109" s="66" t="str">
        <f aca="false">IF(J1109&gt;$K$1,"",IFERROR(MATCH(J1109,J_BB,0),""))</f>
        <v/>
      </c>
      <c r="J1109" s="66" t="n">
        <v>1100</v>
      </c>
      <c r="K1109" s="5"/>
    </row>
    <row r="1110" customFormat="false" ht="15" hidden="false" customHeight="false" outlineLevel="0" collapsed="false">
      <c r="A1110" s="5" t="str">
        <f aca="false">IF(I1110="","",J1110)</f>
        <v/>
      </c>
      <c r="B1110" s="83" t="str">
        <f aca="false">IF(I1110="","",INDEX(J_TGL,I1110))</f>
        <v/>
      </c>
      <c r="C1110" s="5" t="str">
        <f aca="false">IF(I1110="","",INDEX(J_NO,I1110))</f>
        <v/>
      </c>
      <c r="D1110" s="5" t="str">
        <f aca="false">IF(I1110="","",INDEX(J_KET,I1110))</f>
        <v/>
      </c>
      <c r="E1110" s="5" t="str">
        <f aca="false">IF(I1110="","",IF(INDEX(J_DEB,I1110)=$C$3,INDEX(J_KRE,I1110),INDEX(J_DEB,I1110)))</f>
        <v/>
      </c>
      <c r="F1110" s="44" t="str">
        <f aca="false">IF(I1110="","",IF(INDEX(J_DEB,I1110)=$C$3,INDEX(J_NOM,I1110),0))</f>
        <v/>
      </c>
      <c r="G1110" s="44" t="str">
        <f aca="false">IF(I1110="","",IF(INDEX(J_KRE,I1110)=$C$3,INDEX(J_NOM,I1110),0))</f>
        <v/>
      </c>
      <c r="H1110" s="44" t="str">
        <f aca="false">IF(I1110="","",N(H1109)+IF($C$5="Debet",F1110-G1110,G1110-F1110))</f>
        <v/>
      </c>
      <c r="I1110" s="66" t="str">
        <f aca="false">IF(J1110&gt;$K$1,"",IFERROR(MATCH(J1110,J_BB,0),""))</f>
        <v/>
      </c>
      <c r="J1110" s="66" t="n">
        <v>1101</v>
      </c>
      <c r="K1110" s="5"/>
    </row>
    <row r="1111" customFormat="false" ht="15" hidden="false" customHeight="false" outlineLevel="0" collapsed="false">
      <c r="A1111" s="5" t="str">
        <f aca="false">IF(I1111="","",J1111)</f>
        <v/>
      </c>
      <c r="B1111" s="83" t="str">
        <f aca="false">IF(I1111="","",INDEX(J_TGL,I1111))</f>
        <v/>
      </c>
      <c r="C1111" s="5" t="str">
        <f aca="false">IF(I1111="","",INDEX(J_NO,I1111))</f>
        <v/>
      </c>
      <c r="D1111" s="5" t="str">
        <f aca="false">IF(I1111="","",INDEX(J_KET,I1111))</f>
        <v/>
      </c>
      <c r="E1111" s="5" t="str">
        <f aca="false">IF(I1111="","",IF(INDEX(J_DEB,I1111)=$C$3,INDEX(J_KRE,I1111),INDEX(J_DEB,I1111)))</f>
        <v/>
      </c>
      <c r="F1111" s="44" t="str">
        <f aca="false">IF(I1111="","",IF(INDEX(J_DEB,I1111)=$C$3,INDEX(J_NOM,I1111),0))</f>
        <v/>
      </c>
      <c r="G1111" s="44" t="str">
        <f aca="false">IF(I1111="","",IF(INDEX(J_KRE,I1111)=$C$3,INDEX(J_NOM,I1111),0))</f>
        <v/>
      </c>
      <c r="H1111" s="44" t="str">
        <f aca="false">IF(I1111="","",N(H1110)+IF($C$5="Debet",F1111-G1111,G1111-F1111))</f>
        <v/>
      </c>
      <c r="I1111" s="66" t="str">
        <f aca="false">IF(J1111&gt;$K$1,"",IFERROR(MATCH(J1111,J_BB,0),""))</f>
        <v/>
      </c>
      <c r="J1111" s="66" t="n">
        <v>1102</v>
      </c>
      <c r="K1111" s="5"/>
    </row>
    <row r="1112" customFormat="false" ht="15" hidden="false" customHeight="false" outlineLevel="0" collapsed="false">
      <c r="A1112" s="5" t="str">
        <f aca="false">IF(I1112="","",J1112)</f>
        <v/>
      </c>
      <c r="B1112" s="83" t="str">
        <f aca="false">IF(I1112="","",INDEX(J_TGL,I1112))</f>
        <v/>
      </c>
      <c r="C1112" s="5" t="str">
        <f aca="false">IF(I1112="","",INDEX(J_NO,I1112))</f>
        <v/>
      </c>
      <c r="D1112" s="5" t="str">
        <f aca="false">IF(I1112="","",INDEX(J_KET,I1112))</f>
        <v/>
      </c>
      <c r="E1112" s="5" t="str">
        <f aca="false">IF(I1112="","",IF(INDEX(J_DEB,I1112)=$C$3,INDEX(J_KRE,I1112),INDEX(J_DEB,I1112)))</f>
        <v/>
      </c>
      <c r="F1112" s="44" t="str">
        <f aca="false">IF(I1112="","",IF(INDEX(J_DEB,I1112)=$C$3,INDEX(J_NOM,I1112),0))</f>
        <v/>
      </c>
      <c r="G1112" s="44" t="str">
        <f aca="false">IF(I1112="","",IF(INDEX(J_KRE,I1112)=$C$3,INDEX(J_NOM,I1112),0))</f>
        <v/>
      </c>
      <c r="H1112" s="44" t="str">
        <f aca="false">IF(I1112="","",N(H1111)+IF($C$5="Debet",F1112-G1112,G1112-F1112))</f>
        <v/>
      </c>
      <c r="I1112" s="66" t="str">
        <f aca="false">IF(J1112&gt;$K$1,"",IFERROR(MATCH(J1112,J_BB,0),""))</f>
        <v/>
      </c>
      <c r="J1112" s="66" t="n">
        <v>1103</v>
      </c>
      <c r="K1112" s="5"/>
    </row>
    <row r="1113" customFormat="false" ht="15" hidden="false" customHeight="false" outlineLevel="0" collapsed="false">
      <c r="A1113" s="5" t="str">
        <f aca="false">IF(I1113="","",J1113)</f>
        <v/>
      </c>
      <c r="B1113" s="83" t="str">
        <f aca="false">IF(I1113="","",INDEX(J_TGL,I1113))</f>
        <v/>
      </c>
      <c r="C1113" s="5" t="str">
        <f aca="false">IF(I1113="","",INDEX(J_NO,I1113))</f>
        <v/>
      </c>
      <c r="D1113" s="5" t="str">
        <f aca="false">IF(I1113="","",INDEX(J_KET,I1113))</f>
        <v/>
      </c>
      <c r="E1113" s="5" t="str">
        <f aca="false">IF(I1113="","",IF(INDEX(J_DEB,I1113)=$C$3,INDEX(J_KRE,I1113),INDEX(J_DEB,I1113)))</f>
        <v/>
      </c>
      <c r="F1113" s="44" t="str">
        <f aca="false">IF(I1113="","",IF(INDEX(J_DEB,I1113)=$C$3,INDEX(J_NOM,I1113),0))</f>
        <v/>
      </c>
      <c r="G1113" s="44" t="str">
        <f aca="false">IF(I1113="","",IF(INDEX(J_KRE,I1113)=$C$3,INDEX(J_NOM,I1113),0))</f>
        <v/>
      </c>
      <c r="H1113" s="44" t="str">
        <f aca="false">IF(I1113="","",N(H1112)+IF($C$5="Debet",F1113-G1113,G1113-F1113))</f>
        <v/>
      </c>
      <c r="I1113" s="66" t="str">
        <f aca="false">IF(J1113&gt;$K$1,"",IFERROR(MATCH(J1113,J_BB,0),""))</f>
        <v/>
      </c>
      <c r="J1113" s="66" t="n">
        <v>1104</v>
      </c>
      <c r="K1113" s="5"/>
    </row>
    <row r="1114" customFormat="false" ht="15" hidden="false" customHeight="false" outlineLevel="0" collapsed="false">
      <c r="A1114" s="5" t="str">
        <f aca="false">IF(I1114="","",J1114)</f>
        <v/>
      </c>
      <c r="B1114" s="83" t="str">
        <f aca="false">IF(I1114="","",INDEX(J_TGL,I1114))</f>
        <v/>
      </c>
      <c r="C1114" s="5" t="str">
        <f aca="false">IF(I1114="","",INDEX(J_NO,I1114))</f>
        <v/>
      </c>
      <c r="D1114" s="5" t="str">
        <f aca="false">IF(I1114="","",INDEX(J_KET,I1114))</f>
        <v/>
      </c>
      <c r="E1114" s="5" t="str">
        <f aca="false">IF(I1114="","",IF(INDEX(J_DEB,I1114)=$C$3,INDEX(J_KRE,I1114),INDEX(J_DEB,I1114)))</f>
        <v/>
      </c>
      <c r="F1114" s="44" t="str">
        <f aca="false">IF(I1114="","",IF(INDEX(J_DEB,I1114)=$C$3,INDEX(J_NOM,I1114),0))</f>
        <v/>
      </c>
      <c r="G1114" s="44" t="str">
        <f aca="false">IF(I1114="","",IF(INDEX(J_KRE,I1114)=$C$3,INDEX(J_NOM,I1114),0))</f>
        <v/>
      </c>
      <c r="H1114" s="44" t="str">
        <f aca="false">IF(I1114="","",N(H1113)+IF($C$5="Debet",F1114-G1114,G1114-F1114))</f>
        <v/>
      </c>
      <c r="I1114" s="66" t="str">
        <f aca="false">IF(J1114&gt;$K$1,"",IFERROR(MATCH(J1114,J_BB,0),""))</f>
        <v/>
      </c>
      <c r="J1114" s="66" t="n">
        <v>1105</v>
      </c>
      <c r="K1114" s="5"/>
    </row>
    <row r="1115" customFormat="false" ht="15" hidden="false" customHeight="false" outlineLevel="0" collapsed="false">
      <c r="A1115" s="5" t="str">
        <f aca="false">IF(I1115="","",J1115)</f>
        <v/>
      </c>
      <c r="B1115" s="83" t="str">
        <f aca="false">IF(I1115="","",INDEX(J_TGL,I1115))</f>
        <v/>
      </c>
      <c r="C1115" s="5" t="str">
        <f aca="false">IF(I1115="","",INDEX(J_NO,I1115))</f>
        <v/>
      </c>
      <c r="D1115" s="5" t="str">
        <f aca="false">IF(I1115="","",INDEX(J_KET,I1115))</f>
        <v/>
      </c>
      <c r="E1115" s="5" t="str">
        <f aca="false">IF(I1115="","",IF(INDEX(J_DEB,I1115)=$C$3,INDEX(J_KRE,I1115),INDEX(J_DEB,I1115)))</f>
        <v/>
      </c>
      <c r="F1115" s="44" t="str">
        <f aca="false">IF(I1115="","",IF(INDEX(J_DEB,I1115)=$C$3,INDEX(J_NOM,I1115),0))</f>
        <v/>
      </c>
      <c r="G1115" s="44" t="str">
        <f aca="false">IF(I1115="","",IF(INDEX(J_KRE,I1115)=$C$3,INDEX(J_NOM,I1115),0))</f>
        <v/>
      </c>
      <c r="H1115" s="44" t="str">
        <f aca="false">IF(I1115="","",N(H1114)+IF($C$5="Debet",F1115-G1115,G1115-F1115))</f>
        <v/>
      </c>
      <c r="I1115" s="66" t="str">
        <f aca="false">IF(J1115&gt;$K$1,"",IFERROR(MATCH(J1115,J_BB,0),""))</f>
        <v/>
      </c>
      <c r="J1115" s="66" t="n">
        <v>1106</v>
      </c>
      <c r="K1115" s="5"/>
    </row>
    <row r="1116" customFormat="false" ht="15" hidden="false" customHeight="false" outlineLevel="0" collapsed="false">
      <c r="A1116" s="5" t="str">
        <f aca="false">IF(I1116="","",J1116)</f>
        <v/>
      </c>
      <c r="B1116" s="83" t="str">
        <f aca="false">IF(I1116="","",INDEX(J_TGL,I1116))</f>
        <v/>
      </c>
      <c r="C1116" s="5" t="str">
        <f aca="false">IF(I1116="","",INDEX(J_NO,I1116))</f>
        <v/>
      </c>
      <c r="D1116" s="5" t="str">
        <f aca="false">IF(I1116="","",INDEX(J_KET,I1116))</f>
        <v/>
      </c>
      <c r="E1116" s="5" t="str">
        <f aca="false">IF(I1116="","",IF(INDEX(J_DEB,I1116)=$C$3,INDEX(J_KRE,I1116),INDEX(J_DEB,I1116)))</f>
        <v/>
      </c>
      <c r="F1116" s="44" t="str">
        <f aca="false">IF(I1116="","",IF(INDEX(J_DEB,I1116)=$C$3,INDEX(J_NOM,I1116),0))</f>
        <v/>
      </c>
      <c r="G1116" s="44" t="str">
        <f aca="false">IF(I1116="","",IF(INDEX(J_KRE,I1116)=$C$3,INDEX(J_NOM,I1116),0))</f>
        <v/>
      </c>
      <c r="H1116" s="44" t="str">
        <f aca="false">IF(I1116="","",N(H1115)+IF($C$5="Debet",F1116-G1116,G1116-F1116))</f>
        <v/>
      </c>
      <c r="I1116" s="66" t="str">
        <f aca="false">IF(J1116&gt;$K$1,"",IFERROR(MATCH(J1116,J_BB,0),""))</f>
        <v/>
      </c>
      <c r="J1116" s="66" t="n">
        <v>1107</v>
      </c>
      <c r="K1116" s="5"/>
    </row>
    <row r="1117" customFormat="false" ht="15" hidden="false" customHeight="false" outlineLevel="0" collapsed="false">
      <c r="A1117" s="5" t="str">
        <f aca="false">IF(I1117="","",J1117)</f>
        <v/>
      </c>
      <c r="B1117" s="83" t="str">
        <f aca="false">IF(I1117="","",INDEX(J_TGL,I1117))</f>
        <v/>
      </c>
      <c r="C1117" s="5" t="str">
        <f aca="false">IF(I1117="","",INDEX(J_NO,I1117))</f>
        <v/>
      </c>
      <c r="D1117" s="5" t="str">
        <f aca="false">IF(I1117="","",INDEX(J_KET,I1117))</f>
        <v/>
      </c>
      <c r="E1117" s="5" t="str">
        <f aca="false">IF(I1117="","",IF(INDEX(J_DEB,I1117)=$C$3,INDEX(J_KRE,I1117),INDEX(J_DEB,I1117)))</f>
        <v/>
      </c>
      <c r="F1117" s="44" t="str">
        <f aca="false">IF(I1117="","",IF(INDEX(J_DEB,I1117)=$C$3,INDEX(J_NOM,I1117),0))</f>
        <v/>
      </c>
      <c r="G1117" s="44" t="str">
        <f aca="false">IF(I1117="","",IF(INDEX(J_KRE,I1117)=$C$3,INDEX(J_NOM,I1117),0))</f>
        <v/>
      </c>
      <c r="H1117" s="44" t="str">
        <f aca="false">IF(I1117="","",N(H1116)+IF($C$5="Debet",F1117-G1117,G1117-F1117))</f>
        <v/>
      </c>
      <c r="I1117" s="66" t="str">
        <f aca="false">IF(J1117&gt;$K$1,"",IFERROR(MATCH(J1117,J_BB,0),""))</f>
        <v/>
      </c>
      <c r="J1117" s="66" t="n">
        <v>1108</v>
      </c>
      <c r="K1117" s="5"/>
    </row>
    <row r="1118" customFormat="false" ht="15" hidden="false" customHeight="false" outlineLevel="0" collapsed="false">
      <c r="A1118" s="5" t="str">
        <f aca="false">IF(I1118="","",J1118)</f>
        <v/>
      </c>
      <c r="B1118" s="83" t="str">
        <f aca="false">IF(I1118="","",INDEX(J_TGL,I1118))</f>
        <v/>
      </c>
      <c r="C1118" s="5" t="str">
        <f aca="false">IF(I1118="","",INDEX(J_NO,I1118))</f>
        <v/>
      </c>
      <c r="D1118" s="5" t="str">
        <f aca="false">IF(I1118="","",INDEX(J_KET,I1118))</f>
        <v/>
      </c>
      <c r="E1118" s="5" t="str">
        <f aca="false">IF(I1118="","",IF(INDEX(J_DEB,I1118)=$C$3,INDEX(J_KRE,I1118),INDEX(J_DEB,I1118)))</f>
        <v/>
      </c>
      <c r="F1118" s="44" t="str">
        <f aca="false">IF(I1118="","",IF(INDEX(J_DEB,I1118)=$C$3,INDEX(J_NOM,I1118),0))</f>
        <v/>
      </c>
      <c r="G1118" s="44" t="str">
        <f aca="false">IF(I1118="","",IF(INDEX(J_KRE,I1118)=$C$3,INDEX(J_NOM,I1118),0))</f>
        <v/>
      </c>
      <c r="H1118" s="44" t="str">
        <f aca="false">IF(I1118="","",N(H1117)+IF($C$5="Debet",F1118-G1118,G1118-F1118))</f>
        <v/>
      </c>
      <c r="I1118" s="66" t="str">
        <f aca="false">IF(J1118&gt;$K$1,"",IFERROR(MATCH(J1118,J_BB,0),""))</f>
        <v/>
      </c>
      <c r="J1118" s="66" t="n">
        <v>1109</v>
      </c>
      <c r="K1118" s="5"/>
    </row>
    <row r="1119" customFormat="false" ht="15" hidden="false" customHeight="false" outlineLevel="0" collapsed="false">
      <c r="A1119" s="5" t="str">
        <f aca="false">IF(I1119="","",J1119)</f>
        <v/>
      </c>
      <c r="B1119" s="83" t="str">
        <f aca="false">IF(I1119="","",INDEX(J_TGL,I1119))</f>
        <v/>
      </c>
      <c r="C1119" s="5" t="str">
        <f aca="false">IF(I1119="","",INDEX(J_NO,I1119))</f>
        <v/>
      </c>
      <c r="D1119" s="5" t="str">
        <f aca="false">IF(I1119="","",INDEX(J_KET,I1119))</f>
        <v/>
      </c>
      <c r="E1119" s="5" t="str">
        <f aca="false">IF(I1119="","",IF(INDEX(J_DEB,I1119)=$C$3,INDEX(J_KRE,I1119),INDEX(J_DEB,I1119)))</f>
        <v/>
      </c>
      <c r="F1119" s="44" t="str">
        <f aca="false">IF(I1119="","",IF(INDEX(J_DEB,I1119)=$C$3,INDEX(J_NOM,I1119),0))</f>
        <v/>
      </c>
      <c r="G1119" s="44" t="str">
        <f aca="false">IF(I1119="","",IF(INDEX(J_KRE,I1119)=$C$3,INDEX(J_NOM,I1119),0))</f>
        <v/>
      </c>
      <c r="H1119" s="44" t="str">
        <f aca="false">IF(I1119="","",N(H1118)+IF($C$5="Debet",F1119-G1119,G1119-F1119))</f>
        <v/>
      </c>
      <c r="I1119" s="66" t="str">
        <f aca="false">IF(J1119&gt;$K$1,"",IFERROR(MATCH(J1119,J_BB,0),""))</f>
        <v/>
      </c>
      <c r="J1119" s="66" t="n">
        <v>1110</v>
      </c>
      <c r="K1119" s="5"/>
    </row>
    <row r="1120" customFormat="false" ht="15" hidden="false" customHeight="false" outlineLevel="0" collapsed="false">
      <c r="A1120" s="5" t="str">
        <f aca="false">IF(I1120="","",J1120)</f>
        <v/>
      </c>
      <c r="B1120" s="83" t="str">
        <f aca="false">IF(I1120="","",INDEX(J_TGL,I1120))</f>
        <v/>
      </c>
      <c r="C1120" s="5" t="str">
        <f aca="false">IF(I1120="","",INDEX(J_NO,I1120))</f>
        <v/>
      </c>
      <c r="D1120" s="5" t="str">
        <f aca="false">IF(I1120="","",INDEX(J_KET,I1120))</f>
        <v/>
      </c>
      <c r="E1120" s="5" t="str">
        <f aca="false">IF(I1120="","",IF(INDEX(J_DEB,I1120)=$C$3,INDEX(J_KRE,I1120),INDEX(J_DEB,I1120)))</f>
        <v/>
      </c>
      <c r="F1120" s="44" t="str">
        <f aca="false">IF(I1120="","",IF(INDEX(J_DEB,I1120)=$C$3,INDEX(J_NOM,I1120),0))</f>
        <v/>
      </c>
      <c r="G1120" s="44" t="str">
        <f aca="false">IF(I1120="","",IF(INDEX(J_KRE,I1120)=$C$3,INDEX(J_NOM,I1120),0))</f>
        <v/>
      </c>
      <c r="H1120" s="44" t="str">
        <f aca="false">IF(I1120="","",N(H1119)+IF($C$5="Debet",F1120-G1120,G1120-F1120))</f>
        <v/>
      </c>
      <c r="I1120" s="66" t="str">
        <f aca="false">IF(J1120&gt;$K$1,"",IFERROR(MATCH(J1120,J_BB,0),""))</f>
        <v/>
      </c>
      <c r="J1120" s="66" t="n">
        <v>1111</v>
      </c>
      <c r="K1120" s="5"/>
    </row>
    <row r="1121" customFormat="false" ht="15" hidden="false" customHeight="false" outlineLevel="0" collapsed="false">
      <c r="A1121" s="5" t="str">
        <f aca="false">IF(I1121="","",J1121)</f>
        <v/>
      </c>
      <c r="B1121" s="83" t="str">
        <f aca="false">IF(I1121="","",INDEX(J_TGL,I1121))</f>
        <v/>
      </c>
      <c r="C1121" s="5" t="str">
        <f aca="false">IF(I1121="","",INDEX(J_NO,I1121))</f>
        <v/>
      </c>
      <c r="D1121" s="5" t="str">
        <f aca="false">IF(I1121="","",INDEX(J_KET,I1121))</f>
        <v/>
      </c>
      <c r="E1121" s="5" t="str">
        <f aca="false">IF(I1121="","",IF(INDEX(J_DEB,I1121)=$C$3,INDEX(J_KRE,I1121),INDEX(J_DEB,I1121)))</f>
        <v/>
      </c>
      <c r="F1121" s="44" t="str">
        <f aca="false">IF(I1121="","",IF(INDEX(J_DEB,I1121)=$C$3,INDEX(J_NOM,I1121),0))</f>
        <v/>
      </c>
      <c r="G1121" s="44" t="str">
        <f aca="false">IF(I1121="","",IF(INDEX(J_KRE,I1121)=$C$3,INDEX(J_NOM,I1121),0))</f>
        <v/>
      </c>
      <c r="H1121" s="44" t="str">
        <f aca="false">IF(I1121="","",N(H1120)+IF($C$5="Debet",F1121-G1121,G1121-F1121))</f>
        <v/>
      </c>
      <c r="I1121" s="66" t="str">
        <f aca="false">IF(J1121&gt;$K$1,"",IFERROR(MATCH(J1121,J_BB,0),""))</f>
        <v/>
      </c>
      <c r="J1121" s="66" t="n">
        <v>1112</v>
      </c>
      <c r="K1121" s="5"/>
    </row>
    <row r="1122" customFormat="false" ht="15" hidden="false" customHeight="false" outlineLevel="0" collapsed="false">
      <c r="A1122" s="5" t="str">
        <f aca="false">IF(I1122="","",J1122)</f>
        <v/>
      </c>
      <c r="B1122" s="83" t="str">
        <f aca="false">IF(I1122="","",INDEX(J_TGL,I1122))</f>
        <v/>
      </c>
      <c r="C1122" s="5" t="str">
        <f aca="false">IF(I1122="","",INDEX(J_NO,I1122))</f>
        <v/>
      </c>
      <c r="D1122" s="5" t="str">
        <f aca="false">IF(I1122="","",INDEX(J_KET,I1122))</f>
        <v/>
      </c>
      <c r="E1122" s="5" t="str">
        <f aca="false">IF(I1122="","",IF(INDEX(J_DEB,I1122)=$C$3,INDEX(J_KRE,I1122),INDEX(J_DEB,I1122)))</f>
        <v/>
      </c>
      <c r="F1122" s="44" t="str">
        <f aca="false">IF(I1122="","",IF(INDEX(J_DEB,I1122)=$C$3,INDEX(J_NOM,I1122),0))</f>
        <v/>
      </c>
      <c r="G1122" s="44" t="str">
        <f aca="false">IF(I1122="","",IF(INDEX(J_KRE,I1122)=$C$3,INDEX(J_NOM,I1122),0))</f>
        <v/>
      </c>
      <c r="H1122" s="44" t="str">
        <f aca="false">IF(I1122="","",N(H1121)+IF($C$5="Debet",F1122-G1122,G1122-F1122))</f>
        <v/>
      </c>
      <c r="I1122" s="66" t="str">
        <f aca="false">IF(J1122&gt;$K$1,"",IFERROR(MATCH(J1122,J_BB,0),""))</f>
        <v/>
      </c>
      <c r="J1122" s="66" t="n">
        <v>1113</v>
      </c>
      <c r="K1122" s="5"/>
    </row>
    <row r="1123" customFormat="false" ht="15" hidden="false" customHeight="false" outlineLevel="0" collapsed="false">
      <c r="A1123" s="5" t="str">
        <f aca="false">IF(I1123="","",J1123)</f>
        <v/>
      </c>
      <c r="B1123" s="83" t="str">
        <f aca="false">IF(I1123="","",INDEX(J_TGL,I1123))</f>
        <v/>
      </c>
      <c r="C1123" s="5" t="str">
        <f aca="false">IF(I1123="","",INDEX(J_NO,I1123))</f>
        <v/>
      </c>
      <c r="D1123" s="5" t="str">
        <f aca="false">IF(I1123="","",INDEX(J_KET,I1123))</f>
        <v/>
      </c>
      <c r="E1123" s="5" t="str">
        <f aca="false">IF(I1123="","",IF(INDEX(J_DEB,I1123)=$C$3,INDEX(J_KRE,I1123),INDEX(J_DEB,I1123)))</f>
        <v/>
      </c>
      <c r="F1123" s="44" t="str">
        <f aca="false">IF(I1123="","",IF(INDEX(J_DEB,I1123)=$C$3,INDEX(J_NOM,I1123),0))</f>
        <v/>
      </c>
      <c r="G1123" s="44" t="str">
        <f aca="false">IF(I1123="","",IF(INDEX(J_KRE,I1123)=$C$3,INDEX(J_NOM,I1123),0))</f>
        <v/>
      </c>
      <c r="H1123" s="44" t="str">
        <f aca="false">IF(I1123="","",N(H1122)+IF($C$5="Debet",F1123-G1123,G1123-F1123))</f>
        <v/>
      </c>
      <c r="I1123" s="66" t="str">
        <f aca="false">IF(J1123&gt;$K$1,"",IFERROR(MATCH(J1123,J_BB,0),""))</f>
        <v/>
      </c>
      <c r="J1123" s="66" t="n">
        <v>1114</v>
      </c>
      <c r="K1123" s="5"/>
    </row>
    <row r="1124" customFormat="false" ht="15" hidden="false" customHeight="false" outlineLevel="0" collapsed="false">
      <c r="A1124" s="5" t="str">
        <f aca="false">IF(I1124="","",J1124)</f>
        <v/>
      </c>
      <c r="B1124" s="83" t="str">
        <f aca="false">IF(I1124="","",INDEX(J_TGL,I1124))</f>
        <v/>
      </c>
      <c r="C1124" s="5" t="str">
        <f aca="false">IF(I1124="","",INDEX(J_NO,I1124))</f>
        <v/>
      </c>
      <c r="D1124" s="5" t="str">
        <f aca="false">IF(I1124="","",INDEX(J_KET,I1124))</f>
        <v/>
      </c>
      <c r="E1124" s="5" t="str">
        <f aca="false">IF(I1124="","",IF(INDEX(J_DEB,I1124)=$C$3,INDEX(J_KRE,I1124),INDEX(J_DEB,I1124)))</f>
        <v/>
      </c>
      <c r="F1124" s="44" t="str">
        <f aca="false">IF(I1124="","",IF(INDEX(J_DEB,I1124)=$C$3,INDEX(J_NOM,I1124),0))</f>
        <v/>
      </c>
      <c r="G1124" s="44" t="str">
        <f aca="false">IF(I1124="","",IF(INDEX(J_KRE,I1124)=$C$3,INDEX(J_NOM,I1124),0))</f>
        <v/>
      </c>
      <c r="H1124" s="44" t="str">
        <f aca="false">IF(I1124="","",N(H1123)+IF($C$5="Debet",F1124-G1124,G1124-F1124))</f>
        <v/>
      </c>
      <c r="I1124" s="66" t="str">
        <f aca="false">IF(J1124&gt;$K$1,"",IFERROR(MATCH(J1124,J_BB,0),""))</f>
        <v/>
      </c>
      <c r="J1124" s="66" t="n">
        <v>1115</v>
      </c>
      <c r="K1124" s="5"/>
    </row>
    <row r="1125" customFormat="false" ht="15" hidden="false" customHeight="false" outlineLevel="0" collapsed="false">
      <c r="A1125" s="5" t="str">
        <f aca="false">IF(I1125="","",J1125)</f>
        <v/>
      </c>
      <c r="B1125" s="83" t="str">
        <f aca="false">IF(I1125="","",INDEX(J_TGL,I1125))</f>
        <v/>
      </c>
      <c r="C1125" s="5" t="str">
        <f aca="false">IF(I1125="","",INDEX(J_NO,I1125))</f>
        <v/>
      </c>
      <c r="D1125" s="5" t="str">
        <f aca="false">IF(I1125="","",INDEX(J_KET,I1125))</f>
        <v/>
      </c>
      <c r="E1125" s="5" t="str">
        <f aca="false">IF(I1125="","",IF(INDEX(J_DEB,I1125)=$C$3,INDEX(J_KRE,I1125),INDEX(J_DEB,I1125)))</f>
        <v/>
      </c>
      <c r="F1125" s="44" t="str">
        <f aca="false">IF(I1125="","",IF(INDEX(J_DEB,I1125)=$C$3,INDEX(J_NOM,I1125),0))</f>
        <v/>
      </c>
      <c r="G1125" s="44" t="str">
        <f aca="false">IF(I1125="","",IF(INDEX(J_KRE,I1125)=$C$3,INDEX(J_NOM,I1125),0))</f>
        <v/>
      </c>
      <c r="H1125" s="44" t="str">
        <f aca="false">IF(I1125="","",N(H1124)+IF($C$5="Debet",F1125-G1125,G1125-F1125))</f>
        <v/>
      </c>
      <c r="I1125" s="66" t="str">
        <f aca="false">IF(J1125&gt;$K$1,"",IFERROR(MATCH(J1125,J_BB,0),""))</f>
        <v/>
      </c>
      <c r="J1125" s="66" t="n">
        <v>1116</v>
      </c>
      <c r="K1125" s="5"/>
    </row>
    <row r="1126" customFormat="false" ht="15" hidden="false" customHeight="false" outlineLevel="0" collapsed="false">
      <c r="A1126" s="5" t="str">
        <f aca="false">IF(I1126="","",J1126)</f>
        <v/>
      </c>
      <c r="B1126" s="83" t="str">
        <f aca="false">IF(I1126="","",INDEX(J_TGL,I1126))</f>
        <v/>
      </c>
      <c r="C1126" s="5" t="str">
        <f aca="false">IF(I1126="","",INDEX(J_NO,I1126))</f>
        <v/>
      </c>
      <c r="D1126" s="5" t="str">
        <f aca="false">IF(I1126="","",INDEX(J_KET,I1126))</f>
        <v/>
      </c>
      <c r="E1126" s="5" t="str">
        <f aca="false">IF(I1126="","",IF(INDEX(J_DEB,I1126)=$C$3,INDEX(J_KRE,I1126),INDEX(J_DEB,I1126)))</f>
        <v/>
      </c>
      <c r="F1126" s="44" t="str">
        <f aca="false">IF(I1126="","",IF(INDEX(J_DEB,I1126)=$C$3,INDEX(J_NOM,I1126),0))</f>
        <v/>
      </c>
      <c r="G1126" s="44" t="str">
        <f aca="false">IF(I1126="","",IF(INDEX(J_KRE,I1126)=$C$3,INDEX(J_NOM,I1126),0))</f>
        <v/>
      </c>
      <c r="H1126" s="44" t="str">
        <f aca="false">IF(I1126="","",N(H1125)+IF($C$5="Debet",F1126-G1126,G1126-F1126))</f>
        <v/>
      </c>
      <c r="I1126" s="66" t="str">
        <f aca="false">IF(J1126&gt;$K$1,"",IFERROR(MATCH(J1126,J_BB,0),""))</f>
        <v/>
      </c>
      <c r="J1126" s="66" t="n">
        <v>1117</v>
      </c>
      <c r="K1126" s="5"/>
    </row>
    <row r="1127" customFormat="false" ht="15" hidden="false" customHeight="false" outlineLevel="0" collapsed="false">
      <c r="A1127" s="5" t="str">
        <f aca="false">IF(I1127="","",J1127)</f>
        <v/>
      </c>
      <c r="B1127" s="83" t="str">
        <f aca="false">IF(I1127="","",INDEX(J_TGL,I1127))</f>
        <v/>
      </c>
      <c r="C1127" s="5" t="str">
        <f aca="false">IF(I1127="","",INDEX(J_NO,I1127))</f>
        <v/>
      </c>
      <c r="D1127" s="5" t="str">
        <f aca="false">IF(I1127="","",INDEX(J_KET,I1127))</f>
        <v/>
      </c>
      <c r="E1127" s="5" t="str">
        <f aca="false">IF(I1127="","",IF(INDEX(J_DEB,I1127)=$C$3,INDEX(J_KRE,I1127),INDEX(J_DEB,I1127)))</f>
        <v/>
      </c>
      <c r="F1127" s="44" t="str">
        <f aca="false">IF(I1127="","",IF(INDEX(J_DEB,I1127)=$C$3,INDEX(J_NOM,I1127),0))</f>
        <v/>
      </c>
      <c r="G1127" s="44" t="str">
        <f aca="false">IF(I1127="","",IF(INDEX(J_KRE,I1127)=$C$3,INDEX(J_NOM,I1127),0))</f>
        <v/>
      </c>
      <c r="H1127" s="44" t="str">
        <f aca="false">IF(I1127="","",N(H1126)+IF($C$5="Debet",F1127-G1127,G1127-F1127))</f>
        <v/>
      </c>
      <c r="I1127" s="66" t="str">
        <f aca="false">IF(J1127&gt;$K$1,"",IFERROR(MATCH(J1127,J_BB,0),""))</f>
        <v/>
      </c>
      <c r="J1127" s="66" t="n">
        <v>1118</v>
      </c>
      <c r="K1127" s="5"/>
    </row>
    <row r="1128" customFormat="false" ht="15" hidden="false" customHeight="false" outlineLevel="0" collapsed="false">
      <c r="A1128" s="5" t="str">
        <f aca="false">IF(I1128="","",J1128)</f>
        <v/>
      </c>
      <c r="B1128" s="83" t="str">
        <f aca="false">IF(I1128="","",INDEX(J_TGL,I1128))</f>
        <v/>
      </c>
      <c r="C1128" s="5" t="str">
        <f aca="false">IF(I1128="","",INDEX(J_NO,I1128))</f>
        <v/>
      </c>
      <c r="D1128" s="5" t="str">
        <f aca="false">IF(I1128="","",INDEX(J_KET,I1128))</f>
        <v/>
      </c>
      <c r="E1128" s="5" t="str">
        <f aca="false">IF(I1128="","",IF(INDEX(J_DEB,I1128)=$C$3,INDEX(J_KRE,I1128),INDEX(J_DEB,I1128)))</f>
        <v/>
      </c>
      <c r="F1128" s="44" t="str">
        <f aca="false">IF(I1128="","",IF(INDEX(J_DEB,I1128)=$C$3,INDEX(J_NOM,I1128),0))</f>
        <v/>
      </c>
      <c r="G1128" s="44" t="str">
        <f aca="false">IF(I1128="","",IF(INDEX(J_KRE,I1128)=$C$3,INDEX(J_NOM,I1128),0))</f>
        <v/>
      </c>
      <c r="H1128" s="44" t="str">
        <f aca="false">IF(I1128="","",N(H1127)+IF($C$5="Debet",F1128-G1128,G1128-F1128))</f>
        <v/>
      </c>
      <c r="I1128" s="66" t="str">
        <f aca="false">IF(J1128&gt;$K$1,"",IFERROR(MATCH(J1128,J_BB,0),""))</f>
        <v/>
      </c>
      <c r="J1128" s="66" t="n">
        <v>1119</v>
      </c>
      <c r="K1128" s="5"/>
    </row>
    <row r="1129" customFormat="false" ht="15" hidden="false" customHeight="false" outlineLevel="0" collapsed="false">
      <c r="A1129" s="5" t="str">
        <f aca="false">IF(I1129="","",J1129)</f>
        <v/>
      </c>
      <c r="B1129" s="83" t="str">
        <f aca="false">IF(I1129="","",INDEX(J_TGL,I1129))</f>
        <v/>
      </c>
      <c r="C1129" s="5" t="str">
        <f aca="false">IF(I1129="","",INDEX(J_NO,I1129))</f>
        <v/>
      </c>
      <c r="D1129" s="5" t="str">
        <f aca="false">IF(I1129="","",INDEX(J_KET,I1129))</f>
        <v/>
      </c>
      <c r="E1129" s="5" t="str">
        <f aca="false">IF(I1129="","",IF(INDEX(J_DEB,I1129)=$C$3,INDEX(J_KRE,I1129),INDEX(J_DEB,I1129)))</f>
        <v/>
      </c>
      <c r="F1129" s="44" t="str">
        <f aca="false">IF(I1129="","",IF(INDEX(J_DEB,I1129)=$C$3,INDEX(J_NOM,I1129),0))</f>
        <v/>
      </c>
      <c r="G1129" s="44" t="str">
        <f aca="false">IF(I1129="","",IF(INDEX(J_KRE,I1129)=$C$3,INDEX(J_NOM,I1129),0))</f>
        <v/>
      </c>
      <c r="H1129" s="44" t="str">
        <f aca="false">IF(I1129="","",N(H1128)+IF($C$5="Debet",F1129-G1129,G1129-F1129))</f>
        <v/>
      </c>
      <c r="I1129" s="66" t="str">
        <f aca="false">IF(J1129&gt;$K$1,"",IFERROR(MATCH(J1129,J_BB,0),""))</f>
        <v/>
      </c>
      <c r="J1129" s="66" t="n">
        <v>1120</v>
      </c>
      <c r="K1129" s="5"/>
    </row>
    <row r="1130" customFormat="false" ht="15" hidden="false" customHeight="false" outlineLevel="0" collapsed="false">
      <c r="A1130" s="5" t="str">
        <f aca="false">IF(I1130="","",J1130)</f>
        <v/>
      </c>
      <c r="B1130" s="83" t="str">
        <f aca="false">IF(I1130="","",INDEX(J_TGL,I1130))</f>
        <v/>
      </c>
      <c r="C1130" s="5" t="str">
        <f aca="false">IF(I1130="","",INDEX(J_NO,I1130))</f>
        <v/>
      </c>
      <c r="D1130" s="5" t="str">
        <f aca="false">IF(I1130="","",INDEX(J_KET,I1130))</f>
        <v/>
      </c>
      <c r="E1130" s="5" t="str">
        <f aca="false">IF(I1130="","",IF(INDEX(J_DEB,I1130)=$C$3,INDEX(J_KRE,I1130),INDEX(J_DEB,I1130)))</f>
        <v/>
      </c>
      <c r="F1130" s="44" t="str">
        <f aca="false">IF(I1130="","",IF(INDEX(J_DEB,I1130)=$C$3,INDEX(J_NOM,I1130),0))</f>
        <v/>
      </c>
      <c r="G1130" s="44" t="str">
        <f aca="false">IF(I1130="","",IF(INDEX(J_KRE,I1130)=$C$3,INDEX(J_NOM,I1130),0))</f>
        <v/>
      </c>
      <c r="H1130" s="44" t="str">
        <f aca="false">IF(I1130="","",N(H1129)+IF($C$5="Debet",F1130-G1130,G1130-F1130))</f>
        <v/>
      </c>
      <c r="I1130" s="66" t="str">
        <f aca="false">IF(J1130&gt;$K$1,"",IFERROR(MATCH(J1130,J_BB,0),""))</f>
        <v/>
      </c>
      <c r="J1130" s="66" t="n">
        <v>1121</v>
      </c>
      <c r="K1130" s="5"/>
    </row>
    <row r="1131" customFormat="false" ht="15" hidden="false" customHeight="false" outlineLevel="0" collapsed="false">
      <c r="A1131" s="5" t="str">
        <f aca="false">IF(I1131="","",J1131)</f>
        <v/>
      </c>
      <c r="B1131" s="83" t="str">
        <f aca="false">IF(I1131="","",INDEX(J_TGL,I1131))</f>
        <v/>
      </c>
      <c r="C1131" s="5" t="str">
        <f aca="false">IF(I1131="","",INDEX(J_NO,I1131))</f>
        <v/>
      </c>
      <c r="D1131" s="5" t="str">
        <f aca="false">IF(I1131="","",INDEX(J_KET,I1131))</f>
        <v/>
      </c>
      <c r="E1131" s="5" t="str">
        <f aca="false">IF(I1131="","",IF(INDEX(J_DEB,I1131)=$C$3,INDEX(J_KRE,I1131),INDEX(J_DEB,I1131)))</f>
        <v/>
      </c>
      <c r="F1131" s="44" t="str">
        <f aca="false">IF(I1131="","",IF(INDEX(J_DEB,I1131)=$C$3,INDEX(J_NOM,I1131),0))</f>
        <v/>
      </c>
      <c r="G1131" s="44" t="str">
        <f aca="false">IF(I1131="","",IF(INDEX(J_KRE,I1131)=$C$3,INDEX(J_NOM,I1131),0))</f>
        <v/>
      </c>
      <c r="H1131" s="44" t="str">
        <f aca="false">IF(I1131="","",N(H1130)+IF($C$5="Debet",F1131-G1131,G1131-F1131))</f>
        <v/>
      </c>
      <c r="I1131" s="66" t="str">
        <f aca="false">IF(J1131&gt;$K$1,"",IFERROR(MATCH(J1131,J_BB,0),""))</f>
        <v/>
      </c>
      <c r="J1131" s="66" t="n">
        <v>1122</v>
      </c>
      <c r="K1131" s="5"/>
    </row>
    <row r="1132" customFormat="false" ht="15" hidden="false" customHeight="false" outlineLevel="0" collapsed="false">
      <c r="A1132" s="5" t="str">
        <f aca="false">IF(I1132="","",J1132)</f>
        <v/>
      </c>
      <c r="B1132" s="83" t="str">
        <f aca="false">IF(I1132="","",INDEX(J_TGL,I1132))</f>
        <v/>
      </c>
      <c r="C1132" s="5" t="str">
        <f aca="false">IF(I1132="","",INDEX(J_NO,I1132))</f>
        <v/>
      </c>
      <c r="D1132" s="5" t="str">
        <f aca="false">IF(I1132="","",INDEX(J_KET,I1132))</f>
        <v/>
      </c>
      <c r="E1132" s="5" t="str">
        <f aca="false">IF(I1132="","",IF(INDEX(J_DEB,I1132)=$C$3,INDEX(J_KRE,I1132),INDEX(J_DEB,I1132)))</f>
        <v/>
      </c>
      <c r="F1132" s="44" t="str">
        <f aca="false">IF(I1132="","",IF(INDEX(J_DEB,I1132)=$C$3,INDEX(J_NOM,I1132),0))</f>
        <v/>
      </c>
      <c r="G1132" s="44" t="str">
        <f aca="false">IF(I1132="","",IF(INDEX(J_KRE,I1132)=$C$3,INDEX(J_NOM,I1132),0))</f>
        <v/>
      </c>
      <c r="H1132" s="44" t="str">
        <f aca="false">IF(I1132="","",N(H1131)+IF($C$5="Debet",F1132-G1132,G1132-F1132))</f>
        <v/>
      </c>
      <c r="I1132" s="66" t="str">
        <f aca="false">IF(J1132&gt;$K$1,"",IFERROR(MATCH(J1132,J_BB,0),""))</f>
        <v/>
      </c>
      <c r="J1132" s="66" t="n">
        <v>1123</v>
      </c>
      <c r="K1132" s="5"/>
    </row>
    <row r="1133" customFormat="false" ht="15" hidden="false" customHeight="false" outlineLevel="0" collapsed="false">
      <c r="A1133" s="5" t="str">
        <f aca="false">IF(I1133="","",J1133)</f>
        <v/>
      </c>
      <c r="B1133" s="83" t="str">
        <f aca="false">IF(I1133="","",INDEX(J_TGL,I1133))</f>
        <v/>
      </c>
      <c r="C1133" s="5" t="str">
        <f aca="false">IF(I1133="","",INDEX(J_NO,I1133))</f>
        <v/>
      </c>
      <c r="D1133" s="5" t="str">
        <f aca="false">IF(I1133="","",INDEX(J_KET,I1133))</f>
        <v/>
      </c>
      <c r="E1133" s="5" t="str">
        <f aca="false">IF(I1133="","",IF(INDEX(J_DEB,I1133)=$C$3,INDEX(J_KRE,I1133),INDEX(J_DEB,I1133)))</f>
        <v/>
      </c>
      <c r="F1133" s="44" t="str">
        <f aca="false">IF(I1133="","",IF(INDEX(J_DEB,I1133)=$C$3,INDEX(J_NOM,I1133),0))</f>
        <v/>
      </c>
      <c r="G1133" s="44" t="str">
        <f aca="false">IF(I1133="","",IF(INDEX(J_KRE,I1133)=$C$3,INDEX(J_NOM,I1133),0))</f>
        <v/>
      </c>
      <c r="H1133" s="44" t="str">
        <f aca="false">IF(I1133="","",N(H1132)+IF($C$5="Debet",F1133-G1133,G1133-F1133))</f>
        <v/>
      </c>
      <c r="I1133" s="66" t="str">
        <f aca="false">IF(J1133&gt;$K$1,"",IFERROR(MATCH(J1133,J_BB,0),""))</f>
        <v/>
      </c>
      <c r="J1133" s="66" t="n">
        <v>1124</v>
      </c>
      <c r="K1133" s="5"/>
    </row>
    <row r="1134" customFormat="false" ht="15" hidden="false" customHeight="false" outlineLevel="0" collapsed="false">
      <c r="A1134" s="5" t="str">
        <f aca="false">IF(I1134="","",J1134)</f>
        <v/>
      </c>
      <c r="B1134" s="83" t="str">
        <f aca="false">IF(I1134="","",INDEX(J_TGL,I1134))</f>
        <v/>
      </c>
      <c r="C1134" s="5" t="str">
        <f aca="false">IF(I1134="","",INDEX(J_NO,I1134))</f>
        <v/>
      </c>
      <c r="D1134" s="5" t="str">
        <f aca="false">IF(I1134="","",INDEX(J_KET,I1134))</f>
        <v/>
      </c>
      <c r="E1134" s="5" t="str">
        <f aca="false">IF(I1134="","",IF(INDEX(J_DEB,I1134)=$C$3,INDEX(J_KRE,I1134),INDEX(J_DEB,I1134)))</f>
        <v/>
      </c>
      <c r="F1134" s="44" t="str">
        <f aca="false">IF(I1134="","",IF(INDEX(J_DEB,I1134)=$C$3,INDEX(J_NOM,I1134),0))</f>
        <v/>
      </c>
      <c r="G1134" s="44" t="str">
        <f aca="false">IF(I1134="","",IF(INDEX(J_KRE,I1134)=$C$3,INDEX(J_NOM,I1134),0))</f>
        <v/>
      </c>
      <c r="H1134" s="44" t="str">
        <f aca="false">IF(I1134="","",N(H1133)+IF($C$5="Debet",F1134-G1134,G1134-F1134))</f>
        <v/>
      </c>
      <c r="I1134" s="66" t="str">
        <f aca="false">IF(J1134&gt;$K$1,"",IFERROR(MATCH(J1134,J_BB,0),""))</f>
        <v/>
      </c>
      <c r="J1134" s="66" t="n">
        <v>1125</v>
      </c>
      <c r="K1134" s="5"/>
    </row>
    <row r="1135" customFormat="false" ht="15" hidden="false" customHeight="false" outlineLevel="0" collapsed="false">
      <c r="A1135" s="5" t="str">
        <f aca="false">IF(I1135="","",J1135)</f>
        <v/>
      </c>
      <c r="B1135" s="83" t="str">
        <f aca="false">IF(I1135="","",INDEX(J_TGL,I1135))</f>
        <v/>
      </c>
      <c r="C1135" s="5" t="str">
        <f aca="false">IF(I1135="","",INDEX(J_NO,I1135))</f>
        <v/>
      </c>
      <c r="D1135" s="5" t="str">
        <f aca="false">IF(I1135="","",INDEX(J_KET,I1135))</f>
        <v/>
      </c>
      <c r="E1135" s="5" t="str">
        <f aca="false">IF(I1135="","",IF(INDEX(J_DEB,I1135)=$C$3,INDEX(J_KRE,I1135),INDEX(J_DEB,I1135)))</f>
        <v/>
      </c>
      <c r="F1135" s="44" t="str">
        <f aca="false">IF(I1135="","",IF(INDEX(J_DEB,I1135)=$C$3,INDEX(J_NOM,I1135),0))</f>
        <v/>
      </c>
      <c r="G1135" s="44" t="str">
        <f aca="false">IF(I1135="","",IF(INDEX(J_KRE,I1135)=$C$3,INDEX(J_NOM,I1135),0))</f>
        <v/>
      </c>
      <c r="H1135" s="44" t="str">
        <f aca="false">IF(I1135="","",N(H1134)+IF($C$5="Debet",F1135-G1135,G1135-F1135))</f>
        <v/>
      </c>
      <c r="I1135" s="66" t="str">
        <f aca="false">IF(J1135&gt;$K$1,"",IFERROR(MATCH(J1135,J_BB,0),""))</f>
        <v/>
      </c>
      <c r="J1135" s="66" t="n">
        <v>1126</v>
      </c>
      <c r="K1135" s="5"/>
    </row>
    <row r="1136" customFormat="false" ht="15" hidden="false" customHeight="false" outlineLevel="0" collapsed="false">
      <c r="A1136" s="5" t="str">
        <f aca="false">IF(I1136="","",J1136)</f>
        <v/>
      </c>
      <c r="B1136" s="83" t="str">
        <f aca="false">IF(I1136="","",INDEX(J_TGL,I1136))</f>
        <v/>
      </c>
      <c r="C1136" s="5" t="str">
        <f aca="false">IF(I1136="","",INDEX(J_NO,I1136))</f>
        <v/>
      </c>
      <c r="D1136" s="5" t="str">
        <f aca="false">IF(I1136="","",INDEX(J_KET,I1136))</f>
        <v/>
      </c>
      <c r="E1136" s="5" t="str">
        <f aca="false">IF(I1136="","",IF(INDEX(J_DEB,I1136)=$C$3,INDEX(J_KRE,I1136),INDEX(J_DEB,I1136)))</f>
        <v/>
      </c>
      <c r="F1136" s="44" t="str">
        <f aca="false">IF(I1136="","",IF(INDEX(J_DEB,I1136)=$C$3,INDEX(J_NOM,I1136),0))</f>
        <v/>
      </c>
      <c r="G1136" s="44" t="str">
        <f aca="false">IF(I1136="","",IF(INDEX(J_KRE,I1136)=$C$3,INDEX(J_NOM,I1136),0))</f>
        <v/>
      </c>
      <c r="H1136" s="44" t="str">
        <f aca="false">IF(I1136="","",N(H1135)+IF($C$5="Debet",F1136-G1136,G1136-F1136))</f>
        <v/>
      </c>
      <c r="I1136" s="66" t="str">
        <f aca="false">IF(J1136&gt;$K$1,"",IFERROR(MATCH(J1136,J_BB,0),""))</f>
        <v/>
      </c>
      <c r="J1136" s="66" t="n">
        <v>1127</v>
      </c>
      <c r="K1136" s="5"/>
    </row>
    <row r="1137" customFormat="false" ht="15" hidden="false" customHeight="false" outlineLevel="0" collapsed="false">
      <c r="A1137" s="5" t="str">
        <f aca="false">IF(I1137="","",J1137)</f>
        <v/>
      </c>
      <c r="B1137" s="83" t="str">
        <f aca="false">IF(I1137="","",INDEX(J_TGL,I1137))</f>
        <v/>
      </c>
      <c r="C1137" s="5" t="str">
        <f aca="false">IF(I1137="","",INDEX(J_NO,I1137))</f>
        <v/>
      </c>
      <c r="D1137" s="5" t="str">
        <f aca="false">IF(I1137="","",INDEX(J_KET,I1137))</f>
        <v/>
      </c>
      <c r="E1137" s="5" t="str">
        <f aca="false">IF(I1137="","",IF(INDEX(J_DEB,I1137)=$C$3,INDEX(J_KRE,I1137),INDEX(J_DEB,I1137)))</f>
        <v/>
      </c>
      <c r="F1137" s="44" t="str">
        <f aca="false">IF(I1137="","",IF(INDEX(J_DEB,I1137)=$C$3,INDEX(J_NOM,I1137),0))</f>
        <v/>
      </c>
      <c r="G1137" s="44" t="str">
        <f aca="false">IF(I1137="","",IF(INDEX(J_KRE,I1137)=$C$3,INDEX(J_NOM,I1137),0))</f>
        <v/>
      </c>
      <c r="H1137" s="44" t="str">
        <f aca="false">IF(I1137="","",N(H1136)+IF($C$5="Debet",F1137-G1137,G1137-F1137))</f>
        <v/>
      </c>
      <c r="I1137" s="66" t="str">
        <f aca="false">IF(J1137&gt;$K$1,"",IFERROR(MATCH(J1137,J_BB,0),""))</f>
        <v/>
      </c>
      <c r="J1137" s="66" t="n">
        <v>1128</v>
      </c>
      <c r="K1137" s="5"/>
    </row>
    <row r="1138" customFormat="false" ht="15" hidden="false" customHeight="false" outlineLevel="0" collapsed="false">
      <c r="A1138" s="5" t="str">
        <f aca="false">IF(I1138="","",J1138)</f>
        <v/>
      </c>
      <c r="B1138" s="83" t="str">
        <f aca="false">IF(I1138="","",INDEX(J_TGL,I1138))</f>
        <v/>
      </c>
      <c r="C1138" s="5" t="str">
        <f aca="false">IF(I1138="","",INDEX(J_NO,I1138))</f>
        <v/>
      </c>
      <c r="D1138" s="5" t="str">
        <f aca="false">IF(I1138="","",INDEX(J_KET,I1138))</f>
        <v/>
      </c>
      <c r="E1138" s="5" t="str">
        <f aca="false">IF(I1138="","",IF(INDEX(J_DEB,I1138)=$C$3,INDEX(J_KRE,I1138),INDEX(J_DEB,I1138)))</f>
        <v/>
      </c>
      <c r="F1138" s="44" t="str">
        <f aca="false">IF(I1138="","",IF(INDEX(J_DEB,I1138)=$C$3,INDEX(J_NOM,I1138),0))</f>
        <v/>
      </c>
      <c r="G1138" s="44" t="str">
        <f aca="false">IF(I1138="","",IF(INDEX(J_KRE,I1138)=$C$3,INDEX(J_NOM,I1138),0))</f>
        <v/>
      </c>
      <c r="H1138" s="44" t="str">
        <f aca="false">IF(I1138="","",N(H1137)+IF($C$5="Debet",F1138-G1138,G1138-F1138))</f>
        <v/>
      </c>
      <c r="I1138" s="66" t="str">
        <f aca="false">IF(J1138&gt;$K$1,"",IFERROR(MATCH(J1138,J_BB,0),""))</f>
        <v/>
      </c>
      <c r="J1138" s="66" t="n">
        <v>1129</v>
      </c>
      <c r="K1138" s="5"/>
    </row>
    <row r="1139" customFormat="false" ht="15" hidden="false" customHeight="false" outlineLevel="0" collapsed="false">
      <c r="A1139" s="5" t="str">
        <f aca="false">IF(I1139="","",J1139)</f>
        <v/>
      </c>
      <c r="B1139" s="83" t="str">
        <f aca="false">IF(I1139="","",INDEX(J_TGL,I1139))</f>
        <v/>
      </c>
      <c r="C1139" s="5" t="str">
        <f aca="false">IF(I1139="","",INDEX(J_NO,I1139))</f>
        <v/>
      </c>
      <c r="D1139" s="5" t="str">
        <f aca="false">IF(I1139="","",INDEX(J_KET,I1139))</f>
        <v/>
      </c>
      <c r="E1139" s="5" t="str">
        <f aca="false">IF(I1139="","",IF(INDEX(J_DEB,I1139)=$C$3,INDEX(J_KRE,I1139),INDEX(J_DEB,I1139)))</f>
        <v/>
      </c>
      <c r="F1139" s="44" t="str">
        <f aca="false">IF(I1139="","",IF(INDEX(J_DEB,I1139)=$C$3,INDEX(J_NOM,I1139),0))</f>
        <v/>
      </c>
      <c r="G1139" s="44" t="str">
        <f aca="false">IF(I1139="","",IF(INDEX(J_KRE,I1139)=$C$3,INDEX(J_NOM,I1139),0))</f>
        <v/>
      </c>
      <c r="H1139" s="44" t="str">
        <f aca="false">IF(I1139="","",N(H1138)+IF($C$5="Debet",F1139-G1139,G1139-F1139))</f>
        <v/>
      </c>
      <c r="I1139" s="66" t="str">
        <f aca="false">IF(J1139&gt;$K$1,"",IFERROR(MATCH(J1139,J_BB,0),""))</f>
        <v/>
      </c>
      <c r="J1139" s="66" t="n">
        <v>1130</v>
      </c>
      <c r="K1139" s="5"/>
    </row>
    <row r="1140" customFormat="false" ht="15" hidden="false" customHeight="false" outlineLevel="0" collapsed="false">
      <c r="A1140" s="5" t="str">
        <f aca="false">IF(I1140="","",J1140)</f>
        <v/>
      </c>
      <c r="B1140" s="83" t="str">
        <f aca="false">IF(I1140="","",INDEX(J_TGL,I1140))</f>
        <v/>
      </c>
      <c r="C1140" s="5" t="str">
        <f aca="false">IF(I1140="","",INDEX(J_NO,I1140))</f>
        <v/>
      </c>
      <c r="D1140" s="5" t="str">
        <f aca="false">IF(I1140="","",INDEX(J_KET,I1140))</f>
        <v/>
      </c>
      <c r="E1140" s="5" t="str">
        <f aca="false">IF(I1140="","",IF(INDEX(J_DEB,I1140)=$C$3,INDEX(J_KRE,I1140),INDEX(J_DEB,I1140)))</f>
        <v/>
      </c>
      <c r="F1140" s="44" t="str">
        <f aca="false">IF(I1140="","",IF(INDEX(J_DEB,I1140)=$C$3,INDEX(J_NOM,I1140),0))</f>
        <v/>
      </c>
      <c r="G1140" s="44" t="str">
        <f aca="false">IF(I1140="","",IF(INDEX(J_KRE,I1140)=$C$3,INDEX(J_NOM,I1140),0))</f>
        <v/>
      </c>
      <c r="H1140" s="44" t="str">
        <f aca="false">IF(I1140="","",N(H1139)+IF($C$5="Debet",F1140-G1140,G1140-F1140))</f>
        <v/>
      </c>
      <c r="I1140" s="66" t="str">
        <f aca="false">IF(J1140&gt;$K$1,"",IFERROR(MATCH(J1140,J_BB,0),""))</f>
        <v/>
      </c>
      <c r="J1140" s="66" t="n">
        <v>1131</v>
      </c>
      <c r="K1140" s="5"/>
    </row>
    <row r="1141" customFormat="false" ht="15" hidden="false" customHeight="false" outlineLevel="0" collapsed="false">
      <c r="A1141" s="5" t="str">
        <f aca="false">IF(I1141="","",J1141)</f>
        <v/>
      </c>
      <c r="B1141" s="83" t="str">
        <f aca="false">IF(I1141="","",INDEX(J_TGL,I1141))</f>
        <v/>
      </c>
      <c r="C1141" s="5" t="str">
        <f aca="false">IF(I1141="","",INDEX(J_NO,I1141))</f>
        <v/>
      </c>
      <c r="D1141" s="5" t="str">
        <f aca="false">IF(I1141="","",INDEX(J_KET,I1141))</f>
        <v/>
      </c>
      <c r="E1141" s="5" t="str">
        <f aca="false">IF(I1141="","",IF(INDEX(J_DEB,I1141)=$C$3,INDEX(J_KRE,I1141),INDEX(J_DEB,I1141)))</f>
        <v/>
      </c>
      <c r="F1141" s="44" t="str">
        <f aca="false">IF(I1141="","",IF(INDEX(J_DEB,I1141)=$C$3,INDEX(J_NOM,I1141),0))</f>
        <v/>
      </c>
      <c r="G1141" s="44" t="str">
        <f aca="false">IF(I1141="","",IF(INDEX(J_KRE,I1141)=$C$3,INDEX(J_NOM,I1141),0))</f>
        <v/>
      </c>
      <c r="H1141" s="44" t="str">
        <f aca="false">IF(I1141="","",N(H1140)+IF($C$5="Debet",F1141-G1141,G1141-F1141))</f>
        <v/>
      </c>
      <c r="I1141" s="66" t="str">
        <f aca="false">IF(J1141&gt;$K$1,"",IFERROR(MATCH(J1141,J_BB,0),""))</f>
        <v/>
      </c>
      <c r="J1141" s="66" t="n">
        <v>1132</v>
      </c>
      <c r="K1141" s="5"/>
    </row>
    <row r="1142" customFormat="false" ht="15" hidden="false" customHeight="false" outlineLevel="0" collapsed="false">
      <c r="A1142" s="5" t="str">
        <f aca="false">IF(I1142="","",J1142)</f>
        <v/>
      </c>
      <c r="B1142" s="83" t="str">
        <f aca="false">IF(I1142="","",INDEX(J_TGL,I1142))</f>
        <v/>
      </c>
      <c r="C1142" s="5" t="str">
        <f aca="false">IF(I1142="","",INDEX(J_NO,I1142))</f>
        <v/>
      </c>
      <c r="D1142" s="5" t="str">
        <f aca="false">IF(I1142="","",INDEX(J_KET,I1142))</f>
        <v/>
      </c>
      <c r="E1142" s="5" t="str">
        <f aca="false">IF(I1142="","",IF(INDEX(J_DEB,I1142)=$C$3,INDEX(J_KRE,I1142),INDEX(J_DEB,I1142)))</f>
        <v/>
      </c>
      <c r="F1142" s="44" t="str">
        <f aca="false">IF(I1142="","",IF(INDEX(J_DEB,I1142)=$C$3,INDEX(J_NOM,I1142),0))</f>
        <v/>
      </c>
      <c r="G1142" s="44" t="str">
        <f aca="false">IF(I1142="","",IF(INDEX(J_KRE,I1142)=$C$3,INDEX(J_NOM,I1142),0))</f>
        <v/>
      </c>
      <c r="H1142" s="44" t="str">
        <f aca="false">IF(I1142="","",N(H1141)+IF($C$5="Debet",F1142-G1142,G1142-F1142))</f>
        <v/>
      </c>
      <c r="I1142" s="66" t="str">
        <f aca="false">IF(J1142&gt;$K$1,"",IFERROR(MATCH(J1142,J_BB,0),""))</f>
        <v/>
      </c>
      <c r="J1142" s="66" t="n">
        <v>1133</v>
      </c>
      <c r="K1142" s="5"/>
    </row>
    <row r="1143" customFormat="false" ht="15" hidden="false" customHeight="false" outlineLevel="0" collapsed="false">
      <c r="A1143" s="5" t="str">
        <f aca="false">IF(I1143="","",J1143)</f>
        <v/>
      </c>
      <c r="B1143" s="83" t="str">
        <f aca="false">IF(I1143="","",INDEX(J_TGL,I1143))</f>
        <v/>
      </c>
      <c r="C1143" s="5" t="str">
        <f aca="false">IF(I1143="","",INDEX(J_NO,I1143))</f>
        <v/>
      </c>
      <c r="D1143" s="5" t="str">
        <f aca="false">IF(I1143="","",INDEX(J_KET,I1143))</f>
        <v/>
      </c>
      <c r="E1143" s="5" t="str">
        <f aca="false">IF(I1143="","",IF(INDEX(J_DEB,I1143)=$C$3,INDEX(J_KRE,I1143),INDEX(J_DEB,I1143)))</f>
        <v/>
      </c>
      <c r="F1143" s="44" t="str">
        <f aca="false">IF(I1143="","",IF(INDEX(J_DEB,I1143)=$C$3,INDEX(J_NOM,I1143),0))</f>
        <v/>
      </c>
      <c r="G1143" s="44" t="str">
        <f aca="false">IF(I1143="","",IF(INDEX(J_KRE,I1143)=$C$3,INDEX(J_NOM,I1143),0))</f>
        <v/>
      </c>
      <c r="H1143" s="44" t="str">
        <f aca="false">IF(I1143="","",N(H1142)+IF($C$5="Debet",F1143-G1143,G1143-F1143))</f>
        <v/>
      </c>
      <c r="I1143" s="66" t="str">
        <f aca="false">IF(J1143&gt;$K$1,"",IFERROR(MATCH(J1143,J_BB,0),""))</f>
        <v/>
      </c>
      <c r="J1143" s="66" t="n">
        <v>1134</v>
      </c>
      <c r="K1143" s="5"/>
    </row>
    <row r="1144" customFormat="false" ht="15" hidden="false" customHeight="false" outlineLevel="0" collapsed="false">
      <c r="A1144" s="5" t="str">
        <f aca="false">IF(I1144="","",J1144)</f>
        <v/>
      </c>
      <c r="B1144" s="83" t="str">
        <f aca="false">IF(I1144="","",INDEX(J_TGL,I1144))</f>
        <v/>
      </c>
      <c r="C1144" s="5" t="str">
        <f aca="false">IF(I1144="","",INDEX(J_NO,I1144))</f>
        <v/>
      </c>
      <c r="D1144" s="5" t="str">
        <f aca="false">IF(I1144="","",INDEX(J_KET,I1144))</f>
        <v/>
      </c>
      <c r="E1144" s="5" t="str">
        <f aca="false">IF(I1144="","",IF(INDEX(J_DEB,I1144)=$C$3,INDEX(J_KRE,I1144),INDEX(J_DEB,I1144)))</f>
        <v/>
      </c>
      <c r="F1144" s="44" t="str">
        <f aca="false">IF(I1144="","",IF(INDEX(J_DEB,I1144)=$C$3,INDEX(J_NOM,I1144),0))</f>
        <v/>
      </c>
      <c r="G1144" s="44" t="str">
        <f aca="false">IF(I1144="","",IF(INDEX(J_KRE,I1144)=$C$3,INDEX(J_NOM,I1144),0))</f>
        <v/>
      </c>
      <c r="H1144" s="44" t="str">
        <f aca="false">IF(I1144="","",N(H1143)+IF($C$5="Debet",F1144-G1144,G1144-F1144))</f>
        <v/>
      </c>
      <c r="I1144" s="66" t="str">
        <f aca="false">IF(J1144&gt;$K$1,"",IFERROR(MATCH(J1144,J_BB,0),""))</f>
        <v/>
      </c>
      <c r="J1144" s="66" t="n">
        <v>1135</v>
      </c>
      <c r="K1144" s="5"/>
    </row>
    <row r="1145" customFormat="false" ht="15" hidden="false" customHeight="false" outlineLevel="0" collapsed="false">
      <c r="A1145" s="5" t="str">
        <f aca="false">IF(I1145="","",J1145)</f>
        <v/>
      </c>
      <c r="B1145" s="83" t="str">
        <f aca="false">IF(I1145="","",INDEX(J_TGL,I1145))</f>
        <v/>
      </c>
      <c r="C1145" s="5" t="str">
        <f aca="false">IF(I1145="","",INDEX(J_NO,I1145))</f>
        <v/>
      </c>
      <c r="D1145" s="5" t="str">
        <f aca="false">IF(I1145="","",INDEX(J_KET,I1145))</f>
        <v/>
      </c>
      <c r="E1145" s="5" t="str">
        <f aca="false">IF(I1145="","",IF(INDEX(J_DEB,I1145)=$C$3,INDEX(J_KRE,I1145),INDEX(J_DEB,I1145)))</f>
        <v/>
      </c>
      <c r="F1145" s="44" t="str">
        <f aca="false">IF(I1145="","",IF(INDEX(J_DEB,I1145)=$C$3,INDEX(J_NOM,I1145),0))</f>
        <v/>
      </c>
      <c r="G1145" s="44" t="str">
        <f aca="false">IF(I1145="","",IF(INDEX(J_KRE,I1145)=$C$3,INDEX(J_NOM,I1145),0))</f>
        <v/>
      </c>
      <c r="H1145" s="44" t="str">
        <f aca="false">IF(I1145="","",N(H1144)+IF($C$5="Debet",F1145-G1145,G1145-F1145))</f>
        <v/>
      </c>
      <c r="I1145" s="66" t="str">
        <f aca="false">IF(J1145&gt;$K$1,"",IFERROR(MATCH(J1145,J_BB,0),""))</f>
        <v/>
      </c>
      <c r="J1145" s="66" t="n">
        <v>1136</v>
      </c>
      <c r="K1145" s="5"/>
    </row>
    <row r="1146" customFormat="false" ht="15" hidden="false" customHeight="false" outlineLevel="0" collapsed="false">
      <c r="A1146" s="5" t="str">
        <f aca="false">IF(I1146="","",J1146)</f>
        <v/>
      </c>
      <c r="B1146" s="83" t="str">
        <f aca="false">IF(I1146="","",INDEX(J_TGL,I1146))</f>
        <v/>
      </c>
      <c r="C1146" s="5" t="str">
        <f aca="false">IF(I1146="","",INDEX(J_NO,I1146))</f>
        <v/>
      </c>
      <c r="D1146" s="5" t="str">
        <f aca="false">IF(I1146="","",INDEX(J_KET,I1146))</f>
        <v/>
      </c>
      <c r="E1146" s="5" t="str">
        <f aca="false">IF(I1146="","",IF(INDEX(J_DEB,I1146)=$C$3,INDEX(J_KRE,I1146),INDEX(J_DEB,I1146)))</f>
        <v/>
      </c>
      <c r="F1146" s="44" t="str">
        <f aca="false">IF(I1146="","",IF(INDEX(J_DEB,I1146)=$C$3,INDEX(J_NOM,I1146),0))</f>
        <v/>
      </c>
      <c r="G1146" s="44" t="str">
        <f aca="false">IF(I1146="","",IF(INDEX(J_KRE,I1146)=$C$3,INDEX(J_NOM,I1146),0))</f>
        <v/>
      </c>
      <c r="H1146" s="44" t="str">
        <f aca="false">IF(I1146="","",N(H1145)+IF($C$5="Debet",F1146-G1146,G1146-F1146))</f>
        <v/>
      </c>
      <c r="I1146" s="66" t="str">
        <f aca="false">IF(J1146&gt;$K$1,"",IFERROR(MATCH(J1146,J_BB,0),""))</f>
        <v/>
      </c>
      <c r="J1146" s="66" t="n">
        <v>1137</v>
      </c>
      <c r="K1146" s="5"/>
    </row>
    <row r="1147" customFormat="false" ht="15" hidden="false" customHeight="false" outlineLevel="0" collapsed="false">
      <c r="A1147" s="5" t="str">
        <f aca="false">IF(I1147="","",J1147)</f>
        <v/>
      </c>
      <c r="B1147" s="83" t="str">
        <f aca="false">IF(I1147="","",INDEX(J_TGL,I1147))</f>
        <v/>
      </c>
      <c r="C1147" s="5" t="str">
        <f aca="false">IF(I1147="","",INDEX(J_NO,I1147))</f>
        <v/>
      </c>
      <c r="D1147" s="5" t="str">
        <f aca="false">IF(I1147="","",INDEX(J_KET,I1147))</f>
        <v/>
      </c>
      <c r="E1147" s="5" t="str">
        <f aca="false">IF(I1147="","",IF(INDEX(J_DEB,I1147)=$C$3,INDEX(J_KRE,I1147),INDEX(J_DEB,I1147)))</f>
        <v/>
      </c>
      <c r="F1147" s="44" t="str">
        <f aca="false">IF(I1147="","",IF(INDEX(J_DEB,I1147)=$C$3,INDEX(J_NOM,I1147),0))</f>
        <v/>
      </c>
      <c r="G1147" s="44" t="str">
        <f aca="false">IF(I1147="","",IF(INDEX(J_KRE,I1147)=$C$3,INDEX(J_NOM,I1147),0))</f>
        <v/>
      </c>
      <c r="H1147" s="44" t="str">
        <f aca="false">IF(I1147="","",N(H1146)+IF($C$5="Debet",F1147-G1147,G1147-F1147))</f>
        <v/>
      </c>
      <c r="I1147" s="66" t="str">
        <f aca="false">IF(J1147&gt;$K$1,"",IFERROR(MATCH(J1147,J_BB,0),""))</f>
        <v/>
      </c>
      <c r="J1147" s="66" t="n">
        <v>1138</v>
      </c>
      <c r="K1147" s="5"/>
    </row>
    <row r="1148" customFormat="false" ht="15" hidden="false" customHeight="false" outlineLevel="0" collapsed="false">
      <c r="A1148" s="5" t="str">
        <f aca="false">IF(I1148="","",J1148)</f>
        <v/>
      </c>
      <c r="B1148" s="83" t="str">
        <f aca="false">IF(I1148="","",INDEX(J_TGL,I1148))</f>
        <v/>
      </c>
      <c r="C1148" s="5" t="str">
        <f aca="false">IF(I1148="","",INDEX(J_NO,I1148))</f>
        <v/>
      </c>
      <c r="D1148" s="5" t="str">
        <f aca="false">IF(I1148="","",INDEX(J_KET,I1148))</f>
        <v/>
      </c>
      <c r="E1148" s="5" t="str">
        <f aca="false">IF(I1148="","",IF(INDEX(J_DEB,I1148)=$C$3,INDEX(J_KRE,I1148),INDEX(J_DEB,I1148)))</f>
        <v/>
      </c>
      <c r="F1148" s="44" t="str">
        <f aca="false">IF(I1148="","",IF(INDEX(J_DEB,I1148)=$C$3,INDEX(J_NOM,I1148),0))</f>
        <v/>
      </c>
      <c r="G1148" s="44" t="str">
        <f aca="false">IF(I1148="","",IF(INDEX(J_KRE,I1148)=$C$3,INDEX(J_NOM,I1148),0))</f>
        <v/>
      </c>
      <c r="H1148" s="44" t="str">
        <f aca="false">IF(I1148="","",N(H1147)+IF($C$5="Debet",F1148-G1148,G1148-F1148))</f>
        <v/>
      </c>
      <c r="I1148" s="66" t="str">
        <f aca="false">IF(J1148&gt;$K$1,"",IFERROR(MATCH(J1148,J_BB,0),""))</f>
        <v/>
      </c>
      <c r="J1148" s="66" t="n">
        <v>1139</v>
      </c>
      <c r="K1148" s="5"/>
    </row>
    <row r="1149" customFormat="false" ht="15" hidden="false" customHeight="false" outlineLevel="0" collapsed="false">
      <c r="A1149" s="5" t="str">
        <f aca="false">IF(I1149="","",J1149)</f>
        <v/>
      </c>
      <c r="B1149" s="83" t="str">
        <f aca="false">IF(I1149="","",INDEX(J_TGL,I1149))</f>
        <v/>
      </c>
      <c r="C1149" s="5" t="str">
        <f aca="false">IF(I1149="","",INDEX(J_NO,I1149))</f>
        <v/>
      </c>
      <c r="D1149" s="5" t="str">
        <f aca="false">IF(I1149="","",INDEX(J_KET,I1149))</f>
        <v/>
      </c>
      <c r="E1149" s="5" t="str">
        <f aca="false">IF(I1149="","",IF(INDEX(J_DEB,I1149)=$C$3,INDEX(J_KRE,I1149),INDEX(J_DEB,I1149)))</f>
        <v/>
      </c>
      <c r="F1149" s="44" t="str">
        <f aca="false">IF(I1149="","",IF(INDEX(J_DEB,I1149)=$C$3,INDEX(J_NOM,I1149),0))</f>
        <v/>
      </c>
      <c r="G1149" s="44" t="str">
        <f aca="false">IF(I1149="","",IF(INDEX(J_KRE,I1149)=$C$3,INDEX(J_NOM,I1149),0))</f>
        <v/>
      </c>
      <c r="H1149" s="44" t="str">
        <f aca="false">IF(I1149="","",N(H1148)+IF($C$5="Debet",F1149-G1149,G1149-F1149))</f>
        <v/>
      </c>
      <c r="I1149" s="66" t="str">
        <f aca="false">IF(J1149&gt;$K$1,"",IFERROR(MATCH(J1149,J_BB,0),""))</f>
        <v/>
      </c>
      <c r="J1149" s="66" t="n">
        <v>1140</v>
      </c>
      <c r="K1149" s="5"/>
    </row>
    <row r="1150" customFormat="false" ht="15" hidden="false" customHeight="false" outlineLevel="0" collapsed="false">
      <c r="A1150" s="5" t="str">
        <f aca="false">IF(I1150="","",J1150)</f>
        <v/>
      </c>
      <c r="B1150" s="83" t="str">
        <f aca="false">IF(I1150="","",INDEX(J_TGL,I1150))</f>
        <v/>
      </c>
      <c r="C1150" s="5" t="str">
        <f aca="false">IF(I1150="","",INDEX(J_NO,I1150))</f>
        <v/>
      </c>
      <c r="D1150" s="5" t="str">
        <f aca="false">IF(I1150="","",INDEX(J_KET,I1150))</f>
        <v/>
      </c>
      <c r="E1150" s="5" t="str">
        <f aca="false">IF(I1150="","",IF(INDEX(J_DEB,I1150)=$C$3,INDEX(J_KRE,I1150),INDEX(J_DEB,I1150)))</f>
        <v/>
      </c>
      <c r="F1150" s="44" t="str">
        <f aca="false">IF(I1150="","",IF(INDEX(J_DEB,I1150)=$C$3,INDEX(J_NOM,I1150),0))</f>
        <v/>
      </c>
      <c r="G1150" s="44" t="str">
        <f aca="false">IF(I1150="","",IF(INDEX(J_KRE,I1150)=$C$3,INDEX(J_NOM,I1150),0))</f>
        <v/>
      </c>
      <c r="H1150" s="44" t="str">
        <f aca="false">IF(I1150="","",N(H1149)+IF($C$5="Debet",F1150-G1150,G1150-F1150))</f>
        <v/>
      </c>
      <c r="I1150" s="66" t="str">
        <f aca="false">IF(J1150&gt;$K$1,"",IFERROR(MATCH(J1150,J_BB,0),""))</f>
        <v/>
      </c>
      <c r="J1150" s="66" t="n">
        <v>1141</v>
      </c>
      <c r="K1150" s="5"/>
    </row>
    <row r="1151" customFormat="false" ht="15" hidden="false" customHeight="false" outlineLevel="0" collapsed="false">
      <c r="A1151" s="5" t="str">
        <f aca="false">IF(I1151="","",J1151)</f>
        <v/>
      </c>
      <c r="B1151" s="83" t="str">
        <f aca="false">IF(I1151="","",INDEX(J_TGL,I1151))</f>
        <v/>
      </c>
      <c r="C1151" s="5" t="str">
        <f aca="false">IF(I1151="","",INDEX(J_NO,I1151))</f>
        <v/>
      </c>
      <c r="D1151" s="5" t="str">
        <f aca="false">IF(I1151="","",INDEX(J_KET,I1151))</f>
        <v/>
      </c>
      <c r="E1151" s="5" t="str">
        <f aca="false">IF(I1151="","",IF(INDEX(J_DEB,I1151)=$C$3,INDEX(J_KRE,I1151),INDEX(J_DEB,I1151)))</f>
        <v/>
      </c>
      <c r="F1151" s="44" t="str">
        <f aca="false">IF(I1151="","",IF(INDEX(J_DEB,I1151)=$C$3,INDEX(J_NOM,I1151),0))</f>
        <v/>
      </c>
      <c r="G1151" s="44" t="str">
        <f aca="false">IF(I1151="","",IF(INDEX(J_KRE,I1151)=$C$3,INDEX(J_NOM,I1151),0))</f>
        <v/>
      </c>
      <c r="H1151" s="44" t="str">
        <f aca="false">IF(I1151="","",N(H1150)+IF($C$5="Debet",F1151-G1151,G1151-F1151))</f>
        <v/>
      </c>
      <c r="I1151" s="66" t="str">
        <f aca="false">IF(J1151&gt;$K$1,"",IFERROR(MATCH(J1151,J_BB,0),""))</f>
        <v/>
      </c>
      <c r="J1151" s="66" t="n">
        <v>1142</v>
      </c>
      <c r="K1151" s="5"/>
    </row>
    <row r="1152" customFormat="false" ht="15" hidden="false" customHeight="false" outlineLevel="0" collapsed="false">
      <c r="A1152" s="5" t="str">
        <f aca="false">IF(I1152="","",J1152)</f>
        <v/>
      </c>
      <c r="B1152" s="83" t="str">
        <f aca="false">IF(I1152="","",INDEX(J_TGL,I1152))</f>
        <v/>
      </c>
      <c r="C1152" s="5" t="str">
        <f aca="false">IF(I1152="","",INDEX(J_NO,I1152))</f>
        <v/>
      </c>
      <c r="D1152" s="5" t="str">
        <f aca="false">IF(I1152="","",INDEX(J_KET,I1152))</f>
        <v/>
      </c>
      <c r="E1152" s="5" t="str">
        <f aca="false">IF(I1152="","",IF(INDEX(J_DEB,I1152)=$C$3,INDEX(J_KRE,I1152),INDEX(J_DEB,I1152)))</f>
        <v/>
      </c>
      <c r="F1152" s="44" t="str">
        <f aca="false">IF(I1152="","",IF(INDEX(J_DEB,I1152)=$C$3,INDEX(J_NOM,I1152),0))</f>
        <v/>
      </c>
      <c r="G1152" s="44" t="str">
        <f aca="false">IF(I1152="","",IF(INDEX(J_KRE,I1152)=$C$3,INDEX(J_NOM,I1152),0))</f>
        <v/>
      </c>
      <c r="H1152" s="44" t="str">
        <f aca="false">IF(I1152="","",N(H1151)+IF($C$5="Debet",F1152-G1152,G1152-F1152))</f>
        <v/>
      </c>
      <c r="I1152" s="66" t="str">
        <f aca="false">IF(J1152&gt;$K$1,"",IFERROR(MATCH(J1152,J_BB,0),""))</f>
        <v/>
      </c>
      <c r="J1152" s="66" t="n">
        <v>1143</v>
      </c>
      <c r="K1152" s="5"/>
    </row>
    <row r="1153" customFormat="false" ht="15" hidden="false" customHeight="false" outlineLevel="0" collapsed="false">
      <c r="A1153" s="5" t="str">
        <f aca="false">IF(I1153="","",J1153)</f>
        <v/>
      </c>
      <c r="B1153" s="83" t="str">
        <f aca="false">IF(I1153="","",INDEX(J_TGL,I1153))</f>
        <v/>
      </c>
      <c r="C1153" s="5" t="str">
        <f aca="false">IF(I1153="","",INDEX(J_NO,I1153))</f>
        <v/>
      </c>
      <c r="D1153" s="5" t="str">
        <f aca="false">IF(I1153="","",INDEX(J_KET,I1153))</f>
        <v/>
      </c>
      <c r="E1153" s="5" t="str">
        <f aca="false">IF(I1153="","",IF(INDEX(J_DEB,I1153)=$C$3,INDEX(J_KRE,I1153),INDEX(J_DEB,I1153)))</f>
        <v/>
      </c>
      <c r="F1153" s="44" t="str">
        <f aca="false">IF(I1153="","",IF(INDEX(J_DEB,I1153)=$C$3,INDEX(J_NOM,I1153),0))</f>
        <v/>
      </c>
      <c r="G1153" s="44" t="str">
        <f aca="false">IF(I1153="","",IF(INDEX(J_KRE,I1153)=$C$3,INDEX(J_NOM,I1153),0))</f>
        <v/>
      </c>
      <c r="H1153" s="44" t="str">
        <f aca="false">IF(I1153="","",N(H1152)+IF($C$5="Debet",F1153-G1153,G1153-F1153))</f>
        <v/>
      </c>
      <c r="I1153" s="66" t="str">
        <f aca="false">IF(J1153&gt;$K$1,"",IFERROR(MATCH(J1153,J_BB,0),""))</f>
        <v/>
      </c>
      <c r="J1153" s="66" t="n">
        <v>1144</v>
      </c>
      <c r="K1153" s="5"/>
    </row>
    <row r="1154" customFormat="false" ht="15" hidden="false" customHeight="false" outlineLevel="0" collapsed="false">
      <c r="A1154" s="5" t="str">
        <f aca="false">IF(I1154="","",J1154)</f>
        <v/>
      </c>
      <c r="B1154" s="83" t="str">
        <f aca="false">IF(I1154="","",INDEX(J_TGL,I1154))</f>
        <v/>
      </c>
      <c r="C1154" s="5" t="str">
        <f aca="false">IF(I1154="","",INDEX(J_NO,I1154))</f>
        <v/>
      </c>
      <c r="D1154" s="5" t="str">
        <f aca="false">IF(I1154="","",INDEX(J_KET,I1154))</f>
        <v/>
      </c>
      <c r="E1154" s="5" t="str">
        <f aca="false">IF(I1154="","",IF(INDEX(J_DEB,I1154)=$C$3,INDEX(J_KRE,I1154),INDEX(J_DEB,I1154)))</f>
        <v/>
      </c>
      <c r="F1154" s="44" t="str">
        <f aca="false">IF(I1154="","",IF(INDEX(J_DEB,I1154)=$C$3,INDEX(J_NOM,I1154),0))</f>
        <v/>
      </c>
      <c r="G1154" s="44" t="str">
        <f aca="false">IF(I1154="","",IF(INDEX(J_KRE,I1154)=$C$3,INDEX(J_NOM,I1154),0))</f>
        <v/>
      </c>
      <c r="H1154" s="44" t="str">
        <f aca="false">IF(I1154="","",N(H1153)+IF($C$5="Debet",F1154-G1154,G1154-F1154))</f>
        <v/>
      </c>
      <c r="I1154" s="66" t="str">
        <f aca="false">IF(J1154&gt;$K$1,"",IFERROR(MATCH(J1154,J_BB,0),""))</f>
        <v/>
      </c>
      <c r="J1154" s="66" t="n">
        <v>1145</v>
      </c>
      <c r="K1154" s="5"/>
    </row>
    <row r="1155" customFormat="false" ht="15" hidden="false" customHeight="false" outlineLevel="0" collapsed="false">
      <c r="A1155" s="5" t="str">
        <f aca="false">IF(I1155="","",J1155)</f>
        <v/>
      </c>
      <c r="B1155" s="83" t="str">
        <f aca="false">IF(I1155="","",INDEX(J_TGL,I1155))</f>
        <v/>
      </c>
      <c r="C1155" s="5" t="str">
        <f aca="false">IF(I1155="","",INDEX(J_NO,I1155))</f>
        <v/>
      </c>
      <c r="D1155" s="5" t="str">
        <f aca="false">IF(I1155="","",INDEX(J_KET,I1155))</f>
        <v/>
      </c>
      <c r="E1155" s="5" t="str">
        <f aca="false">IF(I1155="","",IF(INDEX(J_DEB,I1155)=$C$3,INDEX(J_KRE,I1155),INDEX(J_DEB,I1155)))</f>
        <v/>
      </c>
      <c r="F1155" s="44" t="str">
        <f aca="false">IF(I1155="","",IF(INDEX(J_DEB,I1155)=$C$3,INDEX(J_NOM,I1155),0))</f>
        <v/>
      </c>
      <c r="G1155" s="44" t="str">
        <f aca="false">IF(I1155="","",IF(INDEX(J_KRE,I1155)=$C$3,INDEX(J_NOM,I1155),0))</f>
        <v/>
      </c>
      <c r="H1155" s="44" t="str">
        <f aca="false">IF(I1155="","",N(H1154)+IF($C$5="Debet",F1155-G1155,G1155-F1155))</f>
        <v/>
      </c>
      <c r="I1155" s="66" t="str">
        <f aca="false">IF(J1155&gt;$K$1,"",IFERROR(MATCH(J1155,J_BB,0),""))</f>
        <v/>
      </c>
      <c r="J1155" s="66" t="n">
        <v>1146</v>
      </c>
      <c r="K1155" s="5"/>
    </row>
    <row r="1156" customFormat="false" ht="15" hidden="false" customHeight="false" outlineLevel="0" collapsed="false">
      <c r="A1156" s="5" t="str">
        <f aca="false">IF(I1156="","",J1156)</f>
        <v/>
      </c>
      <c r="B1156" s="83" t="str">
        <f aca="false">IF(I1156="","",INDEX(J_TGL,I1156))</f>
        <v/>
      </c>
      <c r="C1156" s="5" t="str">
        <f aca="false">IF(I1156="","",INDEX(J_NO,I1156))</f>
        <v/>
      </c>
      <c r="D1156" s="5" t="str">
        <f aca="false">IF(I1156="","",INDEX(J_KET,I1156))</f>
        <v/>
      </c>
      <c r="E1156" s="5" t="str">
        <f aca="false">IF(I1156="","",IF(INDEX(J_DEB,I1156)=$C$3,INDEX(J_KRE,I1156),INDEX(J_DEB,I1156)))</f>
        <v/>
      </c>
      <c r="F1156" s="44" t="str">
        <f aca="false">IF(I1156="","",IF(INDEX(J_DEB,I1156)=$C$3,INDEX(J_NOM,I1156),0))</f>
        <v/>
      </c>
      <c r="G1156" s="44" t="str">
        <f aca="false">IF(I1156="","",IF(INDEX(J_KRE,I1156)=$C$3,INDEX(J_NOM,I1156),0))</f>
        <v/>
      </c>
      <c r="H1156" s="44" t="str">
        <f aca="false">IF(I1156="","",N(H1155)+IF($C$5="Debet",F1156-G1156,G1156-F1156))</f>
        <v/>
      </c>
      <c r="I1156" s="66" t="str">
        <f aca="false">IF(J1156&gt;$K$1,"",IFERROR(MATCH(J1156,J_BB,0),""))</f>
        <v/>
      </c>
      <c r="J1156" s="66" t="n">
        <v>1147</v>
      </c>
      <c r="K1156" s="5"/>
    </row>
    <row r="1157" customFormat="false" ht="15" hidden="false" customHeight="false" outlineLevel="0" collapsed="false">
      <c r="A1157" s="5" t="str">
        <f aca="false">IF(I1157="","",J1157)</f>
        <v/>
      </c>
      <c r="B1157" s="83" t="str">
        <f aca="false">IF(I1157="","",INDEX(J_TGL,I1157))</f>
        <v/>
      </c>
      <c r="C1157" s="5" t="str">
        <f aca="false">IF(I1157="","",INDEX(J_NO,I1157))</f>
        <v/>
      </c>
      <c r="D1157" s="5" t="str">
        <f aca="false">IF(I1157="","",INDEX(J_KET,I1157))</f>
        <v/>
      </c>
      <c r="E1157" s="5" t="str">
        <f aca="false">IF(I1157="","",IF(INDEX(J_DEB,I1157)=$C$3,INDEX(J_KRE,I1157),INDEX(J_DEB,I1157)))</f>
        <v/>
      </c>
      <c r="F1157" s="44" t="str">
        <f aca="false">IF(I1157="","",IF(INDEX(J_DEB,I1157)=$C$3,INDEX(J_NOM,I1157),0))</f>
        <v/>
      </c>
      <c r="G1157" s="44" t="str">
        <f aca="false">IF(I1157="","",IF(INDEX(J_KRE,I1157)=$C$3,INDEX(J_NOM,I1157),0))</f>
        <v/>
      </c>
      <c r="H1157" s="44" t="str">
        <f aca="false">IF(I1157="","",N(H1156)+IF($C$5="Debet",F1157-G1157,G1157-F1157))</f>
        <v/>
      </c>
      <c r="I1157" s="66" t="str">
        <f aca="false">IF(J1157&gt;$K$1,"",IFERROR(MATCH(J1157,J_BB,0),""))</f>
        <v/>
      </c>
      <c r="J1157" s="66" t="n">
        <v>1148</v>
      </c>
      <c r="K1157" s="5"/>
    </row>
    <row r="1158" customFormat="false" ht="15" hidden="false" customHeight="false" outlineLevel="0" collapsed="false">
      <c r="A1158" s="5" t="str">
        <f aca="false">IF(I1158="","",J1158)</f>
        <v/>
      </c>
      <c r="B1158" s="83" t="str">
        <f aca="false">IF(I1158="","",INDEX(J_TGL,I1158))</f>
        <v/>
      </c>
      <c r="C1158" s="5" t="str">
        <f aca="false">IF(I1158="","",INDEX(J_NO,I1158))</f>
        <v/>
      </c>
      <c r="D1158" s="5" t="str">
        <f aca="false">IF(I1158="","",INDEX(J_KET,I1158))</f>
        <v/>
      </c>
      <c r="E1158" s="5" t="str">
        <f aca="false">IF(I1158="","",IF(INDEX(J_DEB,I1158)=$C$3,INDEX(J_KRE,I1158),INDEX(J_DEB,I1158)))</f>
        <v/>
      </c>
      <c r="F1158" s="44" t="str">
        <f aca="false">IF(I1158="","",IF(INDEX(J_DEB,I1158)=$C$3,INDEX(J_NOM,I1158),0))</f>
        <v/>
      </c>
      <c r="G1158" s="44" t="str">
        <f aca="false">IF(I1158="","",IF(INDEX(J_KRE,I1158)=$C$3,INDEX(J_NOM,I1158),0))</f>
        <v/>
      </c>
      <c r="H1158" s="44" t="str">
        <f aca="false">IF(I1158="","",N(H1157)+IF($C$5="Debet",F1158-G1158,G1158-F1158))</f>
        <v/>
      </c>
      <c r="I1158" s="66" t="str">
        <f aca="false">IF(J1158&gt;$K$1,"",IFERROR(MATCH(J1158,J_BB,0),""))</f>
        <v/>
      </c>
      <c r="J1158" s="66" t="n">
        <v>1149</v>
      </c>
      <c r="K1158" s="5"/>
    </row>
    <row r="1159" customFormat="false" ht="15" hidden="false" customHeight="false" outlineLevel="0" collapsed="false">
      <c r="A1159" s="5" t="str">
        <f aca="false">IF(I1159="","",J1159)</f>
        <v/>
      </c>
      <c r="B1159" s="83" t="str">
        <f aca="false">IF(I1159="","",INDEX(J_TGL,I1159))</f>
        <v/>
      </c>
      <c r="C1159" s="5" t="str">
        <f aca="false">IF(I1159="","",INDEX(J_NO,I1159))</f>
        <v/>
      </c>
      <c r="D1159" s="5" t="str">
        <f aca="false">IF(I1159="","",INDEX(J_KET,I1159))</f>
        <v/>
      </c>
      <c r="E1159" s="5" t="str">
        <f aca="false">IF(I1159="","",IF(INDEX(J_DEB,I1159)=$C$3,INDEX(J_KRE,I1159),INDEX(J_DEB,I1159)))</f>
        <v/>
      </c>
      <c r="F1159" s="44" t="str">
        <f aca="false">IF(I1159="","",IF(INDEX(J_DEB,I1159)=$C$3,INDEX(J_NOM,I1159),0))</f>
        <v/>
      </c>
      <c r="G1159" s="44" t="str">
        <f aca="false">IF(I1159="","",IF(INDEX(J_KRE,I1159)=$C$3,INDEX(J_NOM,I1159),0))</f>
        <v/>
      </c>
      <c r="H1159" s="44" t="str">
        <f aca="false">IF(I1159="","",N(H1158)+IF($C$5="Debet",F1159-G1159,G1159-F1159))</f>
        <v/>
      </c>
      <c r="I1159" s="66" t="str">
        <f aca="false">IF(J1159&gt;$K$1,"",IFERROR(MATCH(J1159,J_BB,0),""))</f>
        <v/>
      </c>
      <c r="J1159" s="66" t="n">
        <v>1150</v>
      </c>
      <c r="K1159" s="5"/>
    </row>
    <row r="1160" customFormat="false" ht="15" hidden="false" customHeight="false" outlineLevel="0" collapsed="false">
      <c r="A1160" s="5" t="str">
        <f aca="false">IF(I1160="","",J1160)</f>
        <v/>
      </c>
      <c r="B1160" s="83" t="str">
        <f aca="false">IF(I1160="","",INDEX(J_TGL,I1160))</f>
        <v/>
      </c>
      <c r="C1160" s="5" t="str">
        <f aca="false">IF(I1160="","",INDEX(J_NO,I1160))</f>
        <v/>
      </c>
      <c r="D1160" s="5" t="str">
        <f aca="false">IF(I1160="","",INDEX(J_KET,I1160))</f>
        <v/>
      </c>
      <c r="E1160" s="5" t="str">
        <f aca="false">IF(I1160="","",IF(INDEX(J_DEB,I1160)=$C$3,INDEX(J_KRE,I1160),INDEX(J_DEB,I1160)))</f>
        <v/>
      </c>
      <c r="F1160" s="44" t="str">
        <f aca="false">IF(I1160="","",IF(INDEX(J_DEB,I1160)=$C$3,INDEX(J_NOM,I1160),0))</f>
        <v/>
      </c>
      <c r="G1160" s="44" t="str">
        <f aca="false">IF(I1160="","",IF(INDEX(J_KRE,I1160)=$C$3,INDEX(J_NOM,I1160),0))</f>
        <v/>
      </c>
      <c r="H1160" s="44" t="str">
        <f aca="false">IF(I1160="","",N(H1159)+IF($C$5="Debet",F1160-G1160,G1160-F1160))</f>
        <v/>
      </c>
      <c r="I1160" s="66" t="str">
        <f aca="false">IF(J1160&gt;$K$1,"",IFERROR(MATCH(J1160,J_BB,0),""))</f>
        <v/>
      </c>
      <c r="J1160" s="66" t="n">
        <v>1151</v>
      </c>
      <c r="K1160" s="5"/>
    </row>
    <row r="1161" customFormat="false" ht="15" hidden="false" customHeight="false" outlineLevel="0" collapsed="false">
      <c r="A1161" s="5" t="str">
        <f aca="false">IF(I1161="","",J1161)</f>
        <v/>
      </c>
      <c r="B1161" s="83" t="str">
        <f aca="false">IF(I1161="","",INDEX(J_TGL,I1161))</f>
        <v/>
      </c>
      <c r="C1161" s="5" t="str">
        <f aca="false">IF(I1161="","",INDEX(J_NO,I1161))</f>
        <v/>
      </c>
      <c r="D1161" s="5" t="str">
        <f aca="false">IF(I1161="","",INDEX(J_KET,I1161))</f>
        <v/>
      </c>
      <c r="E1161" s="5" t="str">
        <f aca="false">IF(I1161="","",IF(INDEX(J_DEB,I1161)=$C$3,INDEX(J_KRE,I1161),INDEX(J_DEB,I1161)))</f>
        <v/>
      </c>
      <c r="F1161" s="44" t="str">
        <f aca="false">IF(I1161="","",IF(INDEX(J_DEB,I1161)=$C$3,INDEX(J_NOM,I1161),0))</f>
        <v/>
      </c>
      <c r="G1161" s="44" t="str">
        <f aca="false">IF(I1161="","",IF(INDEX(J_KRE,I1161)=$C$3,INDEX(J_NOM,I1161),0))</f>
        <v/>
      </c>
      <c r="H1161" s="44" t="str">
        <f aca="false">IF(I1161="","",N(H1160)+IF($C$5="Debet",F1161-G1161,G1161-F1161))</f>
        <v/>
      </c>
      <c r="I1161" s="66" t="str">
        <f aca="false">IF(J1161&gt;$K$1,"",IFERROR(MATCH(J1161,J_BB,0),""))</f>
        <v/>
      </c>
      <c r="J1161" s="66" t="n">
        <v>1152</v>
      </c>
      <c r="K1161" s="5"/>
    </row>
    <row r="1162" customFormat="false" ht="15" hidden="false" customHeight="false" outlineLevel="0" collapsed="false">
      <c r="A1162" s="5" t="str">
        <f aca="false">IF(I1162="","",J1162)</f>
        <v/>
      </c>
      <c r="B1162" s="83" t="str">
        <f aca="false">IF(I1162="","",INDEX(J_TGL,I1162))</f>
        <v/>
      </c>
      <c r="C1162" s="5" t="str">
        <f aca="false">IF(I1162="","",INDEX(J_NO,I1162))</f>
        <v/>
      </c>
      <c r="D1162" s="5" t="str">
        <f aca="false">IF(I1162="","",INDEX(J_KET,I1162))</f>
        <v/>
      </c>
      <c r="E1162" s="5" t="str">
        <f aca="false">IF(I1162="","",IF(INDEX(J_DEB,I1162)=$C$3,INDEX(J_KRE,I1162),INDEX(J_DEB,I1162)))</f>
        <v/>
      </c>
      <c r="F1162" s="44" t="str">
        <f aca="false">IF(I1162="","",IF(INDEX(J_DEB,I1162)=$C$3,INDEX(J_NOM,I1162),0))</f>
        <v/>
      </c>
      <c r="G1162" s="44" t="str">
        <f aca="false">IF(I1162="","",IF(INDEX(J_KRE,I1162)=$C$3,INDEX(J_NOM,I1162),0))</f>
        <v/>
      </c>
      <c r="H1162" s="44" t="str">
        <f aca="false">IF(I1162="","",N(H1161)+IF($C$5="Debet",F1162-G1162,G1162-F1162))</f>
        <v/>
      </c>
      <c r="I1162" s="66" t="str">
        <f aca="false">IF(J1162&gt;$K$1,"",IFERROR(MATCH(J1162,J_BB,0),""))</f>
        <v/>
      </c>
      <c r="J1162" s="66" t="n">
        <v>1153</v>
      </c>
      <c r="K1162" s="5"/>
    </row>
    <row r="1163" customFormat="false" ht="15" hidden="false" customHeight="false" outlineLevel="0" collapsed="false">
      <c r="A1163" s="5" t="str">
        <f aca="false">IF(I1163="","",J1163)</f>
        <v/>
      </c>
      <c r="B1163" s="83" t="str">
        <f aca="false">IF(I1163="","",INDEX(J_TGL,I1163))</f>
        <v/>
      </c>
      <c r="C1163" s="5" t="str">
        <f aca="false">IF(I1163="","",INDEX(J_NO,I1163))</f>
        <v/>
      </c>
      <c r="D1163" s="5" t="str">
        <f aca="false">IF(I1163="","",INDEX(J_KET,I1163))</f>
        <v/>
      </c>
      <c r="E1163" s="5" t="str">
        <f aca="false">IF(I1163="","",IF(INDEX(J_DEB,I1163)=$C$3,INDEX(J_KRE,I1163),INDEX(J_DEB,I1163)))</f>
        <v/>
      </c>
      <c r="F1163" s="44" t="str">
        <f aca="false">IF(I1163="","",IF(INDEX(J_DEB,I1163)=$C$3,INDEX(J_NOM,I1163),0))</f>
        <v/>
      </c>
      <c r="G1163" s="44" t="str">
        <f aca="false">IF(I1163="","",IF(INDEX(J_KRE,I1163)=$C$3,INDEX(J_NOM,I1163),0))</f>
        <v/>
      </c>
      <c r="H1163" s="44" t="str">
        <f aca="false">IF(I1163="","",N(H1162)+IF($C$5="Debet",F1163-G1163,G1163-F1163))</f>
        <v/>
      </c>
      <c r="I1163" s="66" t="str">
        <f aca="false">IF(J1163&gt;$K$1,"",IFERROR(MATCH(J1163,J_BB,0),""))</f>
        <v/>
      </c>
      <c r="J1163" s="66" t="n">
        <v>1154</v>
      </c>
      <c r="K1163" s="5"/>
    </row>
    <row r="1164" customFormat="false" ht="15" hidden="false" customHeight="false" outlineLevel="0" collapsed="false">
      <c r="A1164" s="5" t="str">
        <f aca="false">IF(I1164="","",J1164)</f>
        <v/>
      </c>
      <c r="B1164" s="83" t="str">
        <f aca="false">IF(I1164="","",INDEX(J_TGL,I1164))</f>
        <v/>
      </c>
      <c r="C1164" s="5" t="str">
        <f aca="false">IF(I1164="","",INDEX(J_NO,I1164))</f>
        <v/>
      </c>
      <c r="D1164" s="5" t="str">
        <f aca="false">IF(I1164="","",INDEX(J_KET,I1164))</f>
        <v/>
      </c>
      <c r="E1164" s="5" t="str">
        <f aca="false">IF(I1164="","",IF(INDEX(J_DEB,I1164)=$C$3,INDEX(J_KRE,I1164),INDEX(J_DEB,I1164)))</f>
        <v/>
      </c>
      <c r="F1164" s="44" t="str">
        <f aca="false">IF(I1164="","",IF(INDEX(J_DEB,I1164)=$C$3,INDEX(J_NOM,I1164),0))</f>
        <v/>
      </c>
      <c r="G1164" s="44" t="str">
        <f aca="false">IF(I1164="","",IF(INDEX(J_KRE,I1164)=$C$3,INDEX(J_NOM,I1164),0))</f>
        <v/>
      </c>
      <c r="H1164" s="44" t="str">
        <f aca="false">IF(I1164="","",N(H1163)+IF($C$5="Debet",F1164-G1164,G1164-F1164))</f>
        <v/>
      </c>
      <c r="I1164" s="66" t="str">
        <f aca="false">IF(J1164&gt;$K$1,"",IFERROR(MATCH(J1164,J_BB,0),""))</f>
        <v/>
      </c>
      <c r="J1164" s="66" t="n">
        <v>1155</v>
      </c>
      <c r="K1164" s="5"/>
    </row>
    <row r="1165" customFormat="false" ht="15" hidden="false" customHeight="false" outlineLevel="0" collapsed="false">
      <c r="A1165" s="5" t="str">
        <f aca="false">IF(I1165="","",J1165)</f>
        <v/>
      </c>
      <c r="B1165" s="83" t="str">
        <f aca="false">IF(I1165="","",INDEX(J_TGL,I1165))</f>
        <v/>
      </c>
      <c r="C1165" s="5" t="str">
        <f aca="false">IF(I1165="","",INDEX(J_NO,I1165))</f>
        <v/>
      </c>
      <c r="D1165" s="5" t="str">
        <f aca="false">IF(I1165="","",INDEX(J_KET,I1165))</f>
        <v/>
      </c>
      <c r="E1165" s="5" t="str">
        <f aca="false">IF(I1165="","",IF(INDEX(J_DEB,I1165)=$C$3,INDEX(J_KRE,I1165),INDEX(J_DEB,I1165)))</f>
        <v/>
      </c>
      <c r="F1165" s="44" t="str">
        <f aca="false">IF(I1165="","",IF(INDEX(J_DEB,I1165)=$C$3,INDEX(J_NOM,I1165),0))</f>
        <v/>
      </c>
      <c r="G1165" s="44" t="str">
        <f aca="false">IF(I1165="","",IF(INDEX(J_KRE,I1165)=$C$3,INDEX(J_NOM,I1165),0))</f>
        <v/>
      </c>
      <c r="H1165" s="44" t="str">
        <f aca="false">IF(I1165="","",N(H1164)+IF($C$5="Debet",F1165-G1165,G1165-F1165))</f>
        <v/>
      </c>
      <c r="I1165" s="66" t="str">
        <f aca="false">IF(J1165&gt;$K$1,"",IFERROR(MATCH(J1165,J_BB,0),""))</f>
        <v/>
      </c>
      <c r="J1165" s="66" t="n">
        <v>1156</v>
      </c>
      <c r="K1165" s="5"/>
    </row>
    <row r="1166" customFormat="false" ht="15" hidden="false" customHeight="false" outlineLevel="0" collapsed="false">
      <c r="A1166" s="5" t="str">
        <f aca="false">IF(I1166="","",J1166)</f>
        <v/>
      </c>
      <c r="B1166" s="83" t="str">
        <f aca="false">IF(I1166="","",INDEX(J_TGL,I1166))</f>
        <v/>
      </c>
      <c r="C1166" s="5" t="str">
        <f aca="false">IF(I1166="","",INDEX(J_NO,I1166))</f>
        <v/>
      </c>
      <c r="D1166" s="5" t="str">
        <f aca="false">IF(I1166="","",INDEX(J_KET,I1166))</f>
        <v/>
      </c>
      <c r="E1166" s="5" t="str">
        <f aca="false">IF(I1166="","",IF(INDEX(J_DEB,I1166)=$C$3,INDEX(J_KRE,I1166),INDEX(J_DEB,I1166)))</f>
        <v/>
      </c>
      <c r="F1166" s="44" t="str">
        <f aca="false">IF(I1166="","",IF(INDEX(J_DEB,I1166)=$C$3,INDEX(J_NOM,I1166),0))</f>
        <v/>
      </c>
      <c r="G1166" s="44" t="str">
        <f aca="false">IF(I1166="","",IF(INDEX(J_KRE,I1166)=$C$3,INDEX(J_NOM,I1166),0))</f>
        <v/>
      </c>
      <c r="H1166" s="44" t="str">
        <f aca="false">IF(I1166="","",N(H1165)+IF($C$5="Debet",F1166-G1166,G1166-F1166))</f>
        <v/>
      </c>
      <c r="I1166" s="66" t="str">
        <f aca="false">IF(J1166&gt;$K$1,"",IFERROR(MATCH(J1166,J_BB,0),""))</f>
        <v/>
      </c>
      <c r="J1166" s="66" t="n">
        <v>1157</v>
      </c>
      <c r="K1166" s="5"/>
    </row>
    <row r="1167" customFormat="false" ht="15" hidden="false" customHeight="false" outlineLevel="0" collapsed="false">
      <c r="A1167" s="5" t="str">
        <f aca="false">IF(I1167="","",J1167)</f>
        <v/>
      </c>
      <c r="B1167" s="83" t="str">
        <f aca="false">IF(I1167="","",INDEX(J_TGL,I1167))</f>
        <v/>
      </c>
      <c r="C1167" s="5" t="str">
        <f aca="false">IF(I1167="","",INDEX(J_NO,I1167))</f>
        <v/>
      </c>
      <c r="D1167" s="5" t="str">
        <f aca="false">IF(I1167="","",INDEX(J_KET,I1167))</f>
        <v/>
      </c>
      <c r="E1167" s="5" t="str">
        <f aca="false">IF(I1167="","",IF(INDEX(J_DEB,I1167)=$C$3,INDEX(J_KRE,I1167),INDEX(J_DEB,I1167)))</f>
        <v/>
      </c>
      <c r="F1167" s="44" t="str">
        <f aca="false">IF(I1167="","",IF(INDEX(J_DEB,I1167)=$C$3,INDEX(J_NOM,I1167),0))</f>
        <v/>
      </c>
      <c r="G1167" s="44" t="str">
        <f aca="false">IF(I1167="","",IF(INDEX(J_KRE,I1167)=$C$3,INDEX(J_NOM,I1167),0))</f>
        <v/>
      </c>
      <c r="H1167" s="44" t="str">
        <f aca="false">IF(I1167="","",N(H1166)+IF($C$5="Debet",F1167-G1167,G1167-F1167))</f>
        <v/>
      </c>
      <c r="I1167" s="66" t="str">
        <f aca="false">IF(J1167&gt;$K$1,"",IFERROR(MATCH(J1167,J_BB,0),""))</f>
        <v/>
      </c>
      <c r="J1167" s="66" t="n">
        <v>1158</v>
      </c>
      <c r="K1167" s="5"/>
    </row>
    <row r="1168" customFormat="false" ht="15" hidden="false" customHeight="false" outlineLevel="0" collapsed="false">
      <c r="A1168" s="5" t="str">
        <f aca="false">IF(I1168="","",J1168)</f>
        <v/>
      </c>
      <c r="B1168" s="83" t="str">
        <f aca="false">IF(I1168="","",INDEX(J_TGL,I1168))</f>
        <v/>
      </c>
      <c r="C1168" s="5" t="str">
        <f aca="false">IF(I1168="","",INDEX(J_NO,I1168))</f>
        <v/>
      </c>
      <c r="D1168" s="5" t="str">
        <f aca="false">IF(I1168="","",INDEX(J_KET,I1168))</f>
        <v/>
      </c>
      <c r="E1168" s="5" t="str">
        <f aca="false">IF(I1168="","",IF(INDEX(J_DEB,I1168)=$C$3,INDEX(J_KRE,I1168),INDEX(J_DEB,I1168)))</f>
        <v/>
      </c>
      <c r="F1168" s="44" t="str">
        <f aca="false">IF(I1168="","",IF(INDEX(J_DEB,I1168)=$C$3,INDEX(J_NOM,I1168),0))</f>
        <v/>
      </c>
      <c r="G1168" s="44" t="str">
        <f aca="false">IF(I1168="","",IF(INDEX(J_KRE,I1168)=$C$3,INDEX(J_NOM,I1168),0))</f>
        <v/>
      </c>
      <c r="H1168" s="44" t="str">
        <f aca="false">IF(I1168="","",N(H1167)+IF($C$5="Debet",F1168-G1168,G1168-F1168))</f>
        <v/>
      </c>
      <c r="I1168" s="66" t="str">
        <f aca="false">IF(J1168&gt;$K$1,"",IFERROR(MATCH(J1168,J_BB,0),""))</f>
        <v/>
      </c>
      <c r="J1168" s="66" t="n">
        <v>1159</v>
      </c>
      <c r="K1168" s="5"/>
    </row>
    <row r="1169" customFormat="false" ht="15" hidden="false" customHeight="false" outlineLevel="0" collapsed="false">
      <c r="A1169" s="5" t="str">
        <f aca="false">IF(I1169="","",J1169)</f>
        <v/>
      </c>
      <c r="B1169" s="83" t="str">
        <f aca="false">IF(I1169="","",INDEX(J_TGL,I1169))</f>
        <v/>
      </c>
      <c r="C1169" s="5" t="str">
        <f aca="false">IF(I1169="","",INDEX(J_NO,I1169))</f>
        <v/>
      </c>
      <c r="D1169" s="5" t="str">
        <f aca="false">IF(I1169="","",INDEX(J_KET,I1169))</f>
        <v/>
      </c>
      <c r="E1169" s="5" t="str">
        <f aca="false">IF(I1169="","",IF(INDEX(J_DEB,I1169)=$C$3,INDEX(J_KRE,I1169),INDEX(J_DEB,I1169)))</f>
        <v/>
      </c>
      <c r="F1169" s="44" t="str">
        <f aca="false">IF(I1169="","",IF(INDEX(J_DEB,I1169)=$C$3,INDEX(J_NOM,I1169),0))</f>
        <v/>
      </c>
      <c r="G1169" s="44" t="str">
        <f aca="false">IF(I1169="","",IF(INDEX(J_KRE,I1169)=$C$3,INDEX(J_NOM,I1169),0))</f>
        <v/>
      </c>
      <c r="H1169" s="44" t="str">
        <f aca="false">IF(I1169="","",N(H1168)+IF($C$5="Debet",F1169-G1169,G1169-F1169))</f>
        <v/>
      </c>
      <c r="I1169" s="66" t="str">
        <f aca="false">IF(J1169&gt;$K$1,"",IFERROR(MATCH(J1169,J_BB,0),""))</f>
        <v/>
      </c>
      <c r="J1169" s="66" t="n">
        <v>1160</v>
      </c>
      <c r="K1169" s="5"/>
    </row>
    <row r="1170" customFormat="false" ht="15" hidden="false" customHeight="false" outlineLevel="0" collapsed="false">
      <c r="A1170" s="5" t="str">
        <f aca="false">IF(I1170="","",J1170)</f>
        <v/>
      </c>
      <c r="B1170" s="83" t="str">
        <f aca="false">IF(I1170="","",INDEX(J_TGL,I1170))</f>
        <v/>
      </c>
      <c r="C1170" s="5" t="str">
        <f aca="false">IF(I1170="","",INDEX(J_NO,I1170))</f>
        <v/>
      </c>
      <c r="D1170" s="5" t="str">
        <f aca="false">IF(I1170="","",INDEX(J_KET,I1170))</f>
        <v/>
      </c>
      <c r="E1170" s="5" t="str">
        <f aca="false">IF(I1170="","",IF(INDEX(J_DEB,I1170)=$C$3,INDEX(J_KRE,I1170),INDEX(J_DEB,I1170)))</f>
        <v/>
      </c>
      <c r="F1170" s="44" t="str">
        <f aca="false">IF(I1170="","",IF(INDEX(J_DEB,I1170)=$C$3,INDEX(J_NOM,I1170),0))</f>
        <v/>
      </c>
      <c r="G1170" s="44" t="str">
        <f aca="false">IF(I1170="","",IF(INDEX(J_KRE,I1170)=$C$3,INDEX(J_NOM,I1170),0))</f>
        <v/>
      </c>
      <c r="H1170" s="44" t="str">
        <f aca="false">IF(I1170="","",N(H1169)+IF($C$5="Debet",F1170-G1170,G1170-F1170))</f>
        <v/>
      </c>
      <c r="I1170" s="66" t="str">
        <f aca="false">IF(J1170&gt;$K$1,"",IFERROR(MATCH(J1170,J_BB,0),""))</f>
        <v/>
      </c>
      <c r="J1170" s="66" t="n">
        <v>1161</v>
      </c>
      <c r="K1170" s="5"/>
    </row>
    <row r="1171" customFormat="false" ht="15" hidden="false" customHeight="false" outlineLevel="0" collapsed="false">
      <c r="A1171" s="5" t="str">
        <f aca="false">IF(I1171="","",J1171)</f>
        <v/>
      </c>
      <c r="B1171" s="83" t="str">
        <f aca="false">IF(I1171="","",INDEX(J_TGL,I1171))</f>
        <v/>
      </c>
      <c r="C1171" s="5" t="str">
        <f aca="false">IF(I1171="","",INDEX(J_NO,I1171))</f>
        <v/>
      </c>
      <c r="D1171" s="5" t="str">
        <f aca="false">IF(I1171="","",INDEX(J_KET,I1171))</f>
        <v/>
      </c>
      <c r="E1171" s="5" t="str">
        <f aca="false">IF(I1171="","",IF(INDEX(J_DEB,I1171)=$C$3,INDEX(J_KRE,I1171),INDEX(J_DEB,I1171)))</f>
        <v/>
      </c>
      <c r="F1171" s="44" t="str">
        <f aca="false">IF(I1171="","",IF(INDEX(J_DEB,I1171)=$C$3,INDEX(J_NOM,I1171),0))</f>
        <v/>
      </c>
      <c r="G1171" s="44" t="str">
        <f aca="false">IF(I1171="","",IF(INDEX(J_KRE,I1171)=$C$3,INDEX(J_NOM,I1171),0))</f>
        <v/>
      </c>
      <c r="H1171" s="44" t="str">
        <f aca="false">IF(I1171="","",N(H1170)+IF($C$5="Debet",F1171-G1171,G1171-F1171))</f>
        <v/>
      </c>
      <c r="I1171" s="66" t="str">
        <f aca="false">IF(J1171&gt;$K$1,"",IFERROR(MATCH(J1171,J_BB,0),""))</f>
        <v/>
      </c>
      <c r="J1171" s="66" t="n">
        <v>1162</v>
      </c>
      <c r="K1171" s="5"/>
    </row>
    <row r="1172" customFormat="false" ht="15" hidden="false" customHeight="false" outlineLevel="0" collapsed="false">
      <c r="A1172" s="5" t="str">
        <f aca="false">IF(I1172="","",J1172)</f>
        <v/>
      </c>
      <c r="B1172" s="83" t="str">
        <f aca="false">IF(I1172="","",INDEX(J_TGL,I1172))</f>
        <v/>
      </c>
      <c r="C1172" s="5" t="str">
        <f aca="false">IF(I1172="","",INDEX(J_NO,I1172))</f>
        <v/>
      </c>
      <c r="D1172" s="5" t="str">
        <f aca="false">IF(I1172="","",INDEX(J_KET,I1172))</f>
        <v/>
      </c>
      <c r="E1172" s="5" t="str">
        <f aca="false">IF(I1172="","",IF(INDEX(J_DEB,I1172)=$C$3,INDEX(J_KRE,I1172),INDEX(J_DEB,I1172)))</f>
        <v/>
      </c>
      <c r="F1172" s="44" t="str">
        <f aca="false">IF(I1172="","",IF(INDEX(J_DEB,I1172)=$C$3,INDEX(J_NOM,I1172),0))</f>
        <v/>
      </c>
      <c r="G1172" s="44" t="str">
        <f aca="false">IF(I1172="","",IF(INDEX(J_KRE,I1172)=$C$3,INDEX(J_NOM,I1172),0))</f>
        <v/>
      </c>
      <c r="H1172" s="44" t="str">
        <f aca="false">IF(I1172="","",N(H1171)+IF($C$5="Debet",F1172-G1172,G1172-F1172))</f>
        <v/>
      </c>
      <c r="I1172" s="66" t="str">
        <f aca="false">IF(J1172&gt;$K$1,"",IFERROR(MATCH(J1172,J_BB,0),""))</f>
        <v/>
      </c>
      <c r="J1172" s="66" t="n">
        <v>1163</v>
      </c>
      <c r="K1172" s="5"/>
    </row>
    <row r="1173" customFormat="false" ht="15" hidden="false" customHeight="false" outlineLevel="0" collapsed="false">
      <c r="A1173" s="5" t="str">
        <f aca="false">IF(I1173="","",J1173)</f>
        <v/>
      </c>
      <c r="B1173" s="83" t="str">
        <f aca="false">IF(I1173="","",INDEX(J_TGL,I1173))</f>
        <v/>
      </c>
      <c r="C1173" s="5" t="str">
        <f aca="false">IF(I1173="","",INDEX(J_NO,I1173))</f>
        <v/>
      </c>
      <c r="D1173" s="5" t="str">
        <f aca="false">IF(I1173="","",INDEX(J_KET,I1173))</f>
        <v/>
      </c>
      <c r="E1173" s="5" t="str">
        <f aca="false">IF(I1173="","",IF(INDEX(J_DEB,I1173)=$C$3,INDEX(J_KRE,I1173),INDEX(J_DEB,I1173)))</f>
        <v/>
      </c>
      <c r="F1173" s="44" t="str">
        <f aca="false">IF(I1173="","",IF(INDEX(J_DEB,I1173)=$C$3,INDEX(J_NOM,I1173),0))</f>
        <v/>
      </c>
      <c r="G1173" s="44" t="str">
        <f aca="false">IF(I1173="","",IF(INDEX(J_KRE,I1173)=$C$3,INDEX(J_NOM,I1173),0))</f>
        <v/>
      </c>
      <c r="H1173" s="44" t="str">
        <f aca="false">IF(I1173="","",N(H1172)+IF($C$5="Debet",F1173-G1173,G1173-F1173))</f>
        <v/>
      </c>
      <c r="I1173" s="66" t="str">
        <f aca="false">IF(J1173&gt;$K$1,"",IFERROR(MATCH(J1173,J_BB,0),""))</f>
        <v/>
      </c>
      <c r="J1173" s="66" t="n">
        <v>1164</v>
      </c>
      <c r="K1173" s="5"/>
    </row>
    <row r="1174" customFormat="false" ht="15" hidden="false" customHeight="false" outlineLevel="0" collapsed="false">
      <c r="A1174" s="5" t="str">
        <f aca="false">IF(I1174="","",J1174)</f>
        <v/>
      </c>
      <c r="B1174" s="83" t="str">
        <f aca="false">IF(I1174="","",INDEX(J_TGL,I1174))</f>
        <v/>
      </c>
      <c r="C1174" s="5" t="str">
        <f aca="false">IF(I1174="","",INDEX(J_NO,I1174))</f>
        <v/>
      </c>
      <c r="D1174" s="5" t="str">
        <f aca="false">IF(I1174="","",INDEX(J_KET,I1174))</f>
        <v/>
      </c>
      <c r="E1174" s="5" t="str">
        <f aca="false">IF(I1174="","",IF(INDEX(J_DEB,I1174)=$C$3,INDEX(J_KRE,I1174),INDEX(J_DEB,I1174)))</f>
        <v/>
      </c>
      <c r="F1174" s="44" t="str">
        <f aca="false">IF(I1174="","",IF(INDEX(J_DEB,I1174)=$C$3,INDEX(J_NOM,I1174),0))</f>
        <v/>
      </c>
      <c r="G1174" s="44" t="str">
        <f aca="false">IF(I1174="","",IF(INDEX(J_KRE,I1174)=$C$3,INDEX(J_NOM,I1174),0))</f>
        <v/>
      </c>
      <c r="H1174" s="44" t="str">
        <f aca="false">IF(I1174="","",N(H1173)+IF($C$5="Debet",F1174-G1174,G1174-F1174))</f>
        <v/>
      </c>
      <c r="I1174" s="66" t="str">
        <f aca="false">IF(J1174&gt;$K$1,"",IFERROR(MATCH(J1174,J_BB,0),""))</f>
        <v/>
      </c>
      <c r="J1174" s="66" t="n">
        <v>1165</v>
      </c>
      <c r="K1174" s="5"/>
    </row>
    <row r="1175" customFormat="false" ht="15" hidden="false" customHeight="false" outlineLevel="0" collapsed="false">
      <c r="A1175" s="5" t="str">
        <f aca="false">IF(I1175="","",J1175)</f>
        <v/>
      </c>
      <c r="B1175" s="83" t="str">
        <f aca="false">IF(I1175="","",INDEX(J_TGL,I1175))</f>
        <v/>
      </c>
      <c r="C1175" s="5" t="str">
        <f aca="false">IF(I1175="","",INDEX(J_NO,I1175))</f>
        <v/>
      </c>
      <c r="D1175" s="5" t="str">
        <f aca="false">IF(I1175="","",INDEX(J_KET,I1175))</f>
        <v/>
      </c>
      <c r="E1175" s="5" t="str">
        <f aca="false">IF(I1175="","",IF(INDEX(J_DEB,I1175)=$C$3,INDEX(J_KRE,I1175),INDEX(J_DEB,I1175)))</f>
        <v/>
      </c>
      <c r="F1175" s="44" t="str">
        <f aca="false">IF(I1175="","",IF(INDEX(J_DEB,I1175)=$C$3,INDEX(J_NOM,I1175),0))</f>
        <v/>
      </c>
      <c r="G1175" s="44" t="str">
        <f aca="false">IF(I1175="","",IF(INDEX(J_KRE,I1175)=$C$3,INDEX(J_NOM,I1175),0))</f>
        <v/>
      </c>
      <c r="H1175" s="44" t="str">
        <f aca="false">IF(I1175="","",N(H1174)+IF($C$5="Debet",F1175-G1175,G1175-F1175))</f>
        <v/>
      </c>
      <c r="I1175" s="66" t="str">
        <f aca="false">IF(J1175&gt;$K$1,"",IFERROR(MATCH(J1175,J_BB,0),""))</f>
        <v/>
      </c>
      <c r="J1175" s="66" t="n">
        <v>1166</v>
      </c>
      <c r="K1175" s="5"/>
    </row>
    <row r="1176" customFormat="false" ht="15" hidden="false" customHeight="false" outlineLevel="0" collapsed="false">
      <c r="A1176" s="5" t="str">
        <f aca="false">IF(I1176="","",J1176)</f>
        <v/>
      </c>
      <c r="B1176" s="83" t="str">
        <f aca="false">IF(I1176="","",INDEX(J_TGL,I1176))</f>
        <v/>
      </c>
      <c r="C1176" s="5" t="str">
        <f aca="false">IF(I1176="","",INDEX(J_NO,I1176))</f>
        <v/>
      </c>
      <c r="D1176" s="5" t="str">
        <f aca="false">IF(I1176="","",INDEX(J_KET,I1176))</f>
        <v/>
      </c>
      <c r="E1176" s="5" t="str">
        <f aca="false">IF(I1176="","",IF(INDEX(J_DEB,I1176)=$C$3,INDEX(J_KRE,I1176),INDEX(J_DEB,I1176)))</f>
        <v/>
      </c>
      <c r="F1176" s="44" t="str">
        <f aca="false">IF(I1176="","",IF(INDEX(J_DEB,I1176)=$C$3,INDEX(J_NOM,I1176),0))</f>
        <v/>
      </c>
      <c r="G1176" s="44" t="str">
        <f aca="false">IF(I1176="","",IF(INDEX(J_KRE,I1176)=$C$3,INDEX(J_NOM,I1176),0))</f>
        <v/>
      </c>
      <c r="H1176" s="44" t="str">
        <f aca="false">IF(I1176="","",N(H1175)+IF($C$5="Debet",F1176-G1176,G1176-F1176))</f>
        <v/>
      </c>
      <c r="I1176" s="66" t="str">
        <f aca="false">IF(J1176&gt;$K$1,"",IFERROR(MATCH(J1176,J_BB,0),""))</f>
        <v/>
      </c>
      <c r="J1176" s="66" t="n">
        <v>1167</v>
      </c>
      <c r="K1176" s="5"/>
    </row>
    <row r="1177" customFormat="false" ht="15" hidden="false" customHeight="false" outlineLevel="0" collapsed="false">
      <c r="A1177" s="5" t="str">
        <f aca="false">IF(I1177="","",J1177)</f>
        <v/>
      </c>
      <c r="B1177" s="83" t="str">
        <f aca="false">IF(I1177="","",INDEX(J_TGL,I1177))</f>
        <v/>
      </c>
      <c r="C1177" s="5" t="str">
        <f aca="false">IF(I1177="","",INDEX(J_NO,I1177))</f>
        <v/>
      </c>
      <c r="D1177" s="5" t="str">
        <f aca="false">IF(I1177="","",INDEX(J_KET,I1177))</f>
        <v/>
      </c>
      <c r="E1177" s="5" t="str">
        <f aca="false">IF(I1177="","",IF(INDEX(J_DEB,I1177)=$C$3,INDEX(J_KRE,I1177),INDEX(J_DEB,I1177)))</f>
        <v/>
      </c>
      <c r="F1177" s="44" t="str">
        <f aca="false">IF(I1177="","",IF(INDEX(J_DEB,I1177)=$C$3,INDEX(J_NOM,I1177),0))</f>
        <v/>
      </c>
      <c r="G1177" s="44" t="str">
        <f aca="false">IF(I1177="","",IF(INDEX(J_KRE,I1177)=$C$3,INDEX(J_NOM,I1177),0))</f>
        <v/>
      </c>
      <c r="H1177" s="44" t="str">
        <f aca="false">IF(I1177="","",N(H1176)+IF($C$5="Debet",F1177-G1177,G1177-F1177))</f>
        <v/>
      </c>
      <c r="I1177" s="66" t="str">
        <f aca="false">IF(J1177&gt;$K$1,"",IFERROR(MATCH(J1177,J_BB,0),""))</f>
        <v/>
      </c>
      <c r="J1177" s="66" t="n">
        <v>1168</v>
      </c>
      <c r="K1177" s="5"/>
    </row>
    <row r="1178" customFormat="false" ht="15" hidden="false" customHeight="false" outlineLevel="0" collapsed="false">
      <c r="A1178" s="5" t="str">
        <f aca="false">IF(I1178="","",J1178)</f>
        <v/>
      </c>
      <c r="B1178" s="83" t="str">
        <f aca="false">IF(I1178="","",INDEX(J_TGL,I1178))</f>
        <v/>
      </c>
      <c r="C1178" s="5" t="str">
        <f aca="false">IF(I1178="","",INDEX(J_NO,I1178))</f>
        <v/>
      </c>
      <c r="D1178" s="5" t="str">
        <f aca="false">IF(I1178="","",INDEX(J_KET,I1178))</f>
        <v/>
      </c>
      <c r="E1178" s="5" t="str">
        <f aca="false">IF(I1178="","",IF(INDEX(J_DEB,I1178)=$C$3,INDEX(J_KRE,I1178),INDEX(J_DEB,I1178)))</f>
        <v/>
      </c>
      <c r="F1178" s="44" t="str">
        <f aca="false">IF(I1178="","",IF(INDEX(J_DEB,I1178)=$C$3,INDEX(J_NOM,I1178),0))</f>
        <v/>
      </c>
      <c r="G1178" s="44" t="str">
        <f aca="false">IF(I1178="","",IF(INDEX(J_KRE,I1178)=$C$3,INDEX(J_NOM,I1178),0))</f>
        <v/>
      </c>
      <c r="H1178" s="44" t="str">
        <f aca="false">IF(I1178="","",N(H1177)+IF($C$5="Debet",F1178-G1178,G1178-F1178))</f>
        <v/>
      </c>
      <c r="I1178" s="66" t="str">
        <f aca="false">IF(J1178&gt;$K$1,"",IFERROR(MATCH(J1178,J_BB,0),""))</f>
        <v/>
      </c>
      <c r="J1178" s="66" t="n">
        <v>1169</v>
      </c>
      <c r="K1178" s="5"/>
    </row>
    <row r="1179" customFormat="false" ht="15" hidden="false" customHeight="false" outlineLevel="0" collapsed="false">
      <c r="A1179" s="5" t="str">
        <f aca="false">IF(I1179="","",J1179)</f>
        <v/>
      </c>
      <c r="B1179" s="83" t="str">
        <f aca="false">IF(I1179="","",INDEX(J_TGL,I1179))</f>
        <v/>
      </c>
      <c r="C1179" s="5" t="str">
        <f aca="false">IF(I1179="","",INDEX(J_NO,I1179))</f>
        <v/>
      </c>
      <c r="D1179" s="5" t="str">
        <f aca="false">IF(I1179="","",INDEX(J_KET,I1179))</f>
        <v/>
      </c>
      <c r="E1179" s="5" t="str">
        <f aca="false">IF(I1179="","",IF(INDEX(J_DEB,I1179)=$C$3,INDEX(J_KRE,I1179),INDEX(J_DEB,I1179)))</f>
        <v/>
      </c>
      <c r="F1179" s="44" t="str">
        <f aca="false">IF(I1179="","",IF(INDEX(J_DEB,I1179)=$C$3,INDEX(J_NOM,I1179),0))</f>
        <v/>
      </c>
      <c r="G1179" s="44" t="str">
        <f aca="false">IF(I1179="","",IF(INDEX(J_KRE,I1179)=$C$3,INDEX(J_NOM,I1179),0))</f>
        <v/>
      </c>
      <c r="H1179" s="44" t="str">
        <f aca="false">IF(I1179="","",N(H1178)+IF($C$5="Debet",F1179-G1179,G1179-F1179))</f>
        <v/>
      </c>
      <c r="I1179" s="66" t="str">
        <f aca="false">IF(J1179&gt;$K$1,"",IFERROR(MATCH(J1179,J_BB,0),""))</f>
        <v/>
      </c>
      <c r="J1179" s="66" t="n">
        <v>1170</v>
      </c>
      <c r="K1179" s="5"/>
    </row>
    <row r="1180" customFormat="false" ht="15" hidden="false" customHeight="false" outlineLevel="0" collapsed="false">
      <c r="A1180" s="5" t="str">
        <f aca="false">IF(I1180="","",J1180)</f>
        <v/>
      </c>
      <c r="B1180" s="83" t="str">
        <f aca="false">IF(I1180="","",INDEX(J_TGL,I1180))</f>
        <v/>
      </c>
      <c r="C1180" s="5" t="str">
        <f aca="false">IF(I1180="","",INDEX(J_NO,I1180))</f>
        <v/>
      </c>
      <c r="D1180" s="5" t="str">
        <f aca="false">IF(I1180="","",INDEX(J_KET,I1180))</f>
        <v/>
      </c>
      <c r="E1180" s="5" t="str">
        <f aca="false">IF(I1180="","",IF(INDEX(J_DEB,I1180)=$C$3,INDEX(J_KRE,I1180),INDEX(J_DEB,I1180)))</f>
        <v/>
      </c>
      <c r="F1180" s="44" t="str">
        <f aca="false">IF(I1180="","",IF(INDEX(J_DEB,I1180)=$C$3,INDEX(J_NOM,I1180),0))</f>
        <v/>
      </c>
      <c r="G1180" s="44" t="str">
        <f aca="false">IF(I1180="","",IF(INDEX(J_KRE,I1180)=$C$3,INDEX(J_NOM,I1180),0))</f>
        <v/>
      </c>
      <c r="H1180" s="44" t="str">
        <f aca="false">IF(I1180="","",N(H1179)+IF($C$5="Debet",F1180-G1180,G1180-F1180))</f>
        <v/>
      </c>
      <c r="I1180" s="66" t="str">
        <f aca="false">IF(J1180&gt;$K$1,"",IFERROR(MATCH(J1180,J_BB,0),""))</f>
        <v/>
      </c>
      <c r="J1180" s="66" t="n">
        <v>1171</v>
      </c>
      <c r="K1180" s="5"/>
    </row>
    <row r="1181" customFormat="false" ht="15" hidden="false" customHeight="false" outlineLevel="0" collapsed="false">
      <c r="A1181" s="5" t="str">
        <f aca="false">IF(I1181="","",J1181)</f>
        <v/>
      </c>
      <c r="B1181" s="83" t="str">
        <f aca="false">IF(I1181="","",INDEX(J_TGL,I1181))</f>
        <v/>
      </c>
      <c r="C1181" s="5" t="str">
        <f aca="false">IF(I1181="","",INDEX(J_NO,I1181))</f>
        <v/>
      </c>
      <c r="D1181" s="5" t="str">
        <f aca="false">IF(I1181="","",INDEX(J_KET,I1181))</f>
        <v/>
      </c>
      <c r="E1181" s="5" t="str">
        <f aca="false">IF(I1181="","",IF(INDEX(J_DEB,I1181)=$C$3,INDEX(J_KRE,I1181),INDEX(J_DEB,I1181)))</f>
        <v/>
      </c>
      <c r="F1181" s="44" t="str">
        <f aca="false">IF(I1181="","",IF(INDEX(J_DEB,I1181)=$C$3,INDEX(J_NOM,I1181),0))</f>
        <v/>
      </c>
      <c r="G1181" s="44" t="str">
        <f aca="false">IF(I1181="","",IF(INDEX(J_KRE,I1181)=$C$3,INDEX(J_NOM,I1181),0))</f>
        <v/>
      </c>
      <c r="H1181" s="44" t="str">
        <f aca="false">IF(I1181="","",N(H1180)+IF($C$5="Debet",F1181-G1181,G1181-F1181))</f>
        <v/>
      </c>
      <c r="I1181" s="66" t="str">
        <f aca="false">IF(J1181&gt;$K$1,"",IFERROR(MATCH(J1181,J_BB,0),""))</f>
        <v/>
      </c>
      <c r="J1181" s="66" t="n">
        <v>1172</v>
      </c>
      <c r="K1181" s="5"/>
    </row>
    <row r="1182" customFormat="false" ht="15" hidden="false" customHeight="false" outlineLevel="0" collapsed="false">
      <c r="A1182" s="5" t="str">
        <f aca="false">IF(I1182="","",J1182)</f>
        <v/>
      </c>
      <c r="B1182" s="83" t="str">
        <f aca="false">IF(I1182="","",INDEX(J_TGL,I1182))</f>
        <v/>
      </c>
      <c r="C1182" s="5" t="str">
        <f aca="false">IF(I1182="","",INDEX(J_NO,I1182))</f>
        <v/>
      </c>
      <c r="D1182" s="5" t="str">
        <f aca="false">IF(I1182="","",INDEX(J_KET,I1182))</f>
        <v/>
      </c>
      <c r="E1182" s="5" t="str">
        <f aca="false">IF(I1182="","",IF(INDEX(J_DEB,I1182)=$C$3,INDEX(J_KRE,I1182),INDEX(J_DEB,I1182)))</f>
        <v/>
      </c>
      <c r="F1182" s="44" t="str">
        <f aca="false">IF(I1182="","",IF(INDEX(J_DEB,I1182)=$C$3,INDEX(J_NOM,I1182),0))</f>
        <v/>
      </c>
      <c r="G1182" s="44" t="str">
        <f aca="false">IF(I1182="","",IF(INDEX(J_KRE,I1182)=$C$3,INDEX(J_NOM,I1182),0))</f>
        <v/>
      </c>
      <c r="H1182" s="44" t="str">
        <f aca="false">IF(I1182="","",N(H1181)+IF($C$5="Debet",F1182-G1182,G1182-F1182))</f>
        <v/>
      </c>
      <c r="I1182" s="66" t="str">
        <f aca="false">IF(J1182&gt;$K$1,"",IFERROR(MATCH(J1182,J_BB,0),""))</f>
        <v/>
      </c>
      <c r="J1182" s="66" t="n">
        <v>1173</v>
      </c>
      <c r="K1182" s="5"/>
    </row>
    <row r="1183" customFormat="false" ht="15" hidden="false" customHeight="false" outlineLevel="0" collapsed="false">
      <c r="A1183" s="5" t="str">
        <f aca="false">IF(I1183="","",J1183)</f>
        <v/>
      </c>
      <c r="B1183" s="83" t="str">
        <f aca="false">IF(I1183="","",INDEX(J_TGL,I1183))</f>
        <v/>
      </c>
      <c r="C1183" s="5" t="str">
        <f aca="false">IF(I1183="","",INDEX(J_NO,I1183))</f>
        <v/>
      </c>
      <c r="D1183" s="5" t="str">
        <f aca="false">IF(I1183="","",INDEX(J_KET,I1183))</f>
        <v/>
      </c>
      <c r="E1183" s="5" t="str">
        <f aca="false">IF(I1183="","",IF(INDEX(J_DEB,I1183)=$C$3,INDEX(J_KRE,I1183),INDEX(J_DEB,I1183)))</f>
        <v/>
      </c>
      <c r="F1183" s="44" t="str">
        <f aca="false">IF(I1183="","",IF(INDEX(J_DEB,I1183)=$C$3,INDEX(J_NOM,I1183),0))</f>
        <v/>
      </c>
      <c r="G1183" s="44" t="str">
        <f aca="false">IF(I1183="","",IF(INDEX(J_KRE,I1183)=$C$3,INDEX(J_NOM,I1183),0))</f>
        <v/>
      </c>
      <c r="H1183" s="44" t="str">
        <f aca="false">IF(I1183="","",N(H1182)+IF($C$5="Debet",F1183-G1183,G1183-F1183))</f>
        <v/>
      </c>
      <c r="I1183" s="66" t="str">
        <f aca="false">IF(J1183&gt;$K$1,"",IFERROR(MATCH(J1183,J_BB,0),""))</f>
        <v/>
      </c>
      <c r="J1183" s="66" t="n">
        <v>1174</v>
      </c>
      <c r="K1183" s="5"/>
    </row>
    <row r="1184" customFormat="false" ht="15" hidden="false" customHeight="false" outlineLevel="0" collapsed="false">
      <c r="A1184" s="5" t="str">
        <f aca="false">IF(I1184="","",J1184)</f>
        <v/>
      </c>
      <c r="B1184" s="83" t="str">
        <f aca="false">IF(I1184="","",INDEX(J_TGL,I1184))</f>
        <v/>
      </c>
      <c r="C1184" s="5" t="str">
        <f aca="false">IF(I1184="","",INDEX(J_NO,I1184))</f>
        <v/>
      </c>
      <c r="D1184" s="5" t="str">
        <f aca="false">IF(I1184="","",INDEX(J_KET,I1184))</f>
        <v/>
      </c>
      <c r="E1184" s="5" t="str">
        <f aca="false">IF(I1184="","",IF(INDEX(J_DEB,I1184)=$C$3,INDEX(J_KRE,I1184),INDEX(J_DEB,I1184)))</f>
        <v/>
      </c>
      <c r="F1184" s="44" t="str">
        <f aca="false">IF(I1184="","",IF(INDEX(J_DEB,I1184)=$C$3,INDEX(J_NOM,I1184),0))</f>
        <v/>
      </c>
      <c r="G1184" s="44" t="str">
        <f aca="false">IF(I1184="","",IF(INDEX(J_KRE,I1184)=$C$3,INDEX(J_NOM,I1184),0))</f>
        <v/>
      </c>
      <c r="H1184" s="44" t="str">
        <f aca="false">IF(I1184="","",N(H1183)+IF($C$5="Debet",F1184-G1184,G1184-F1184))</f>
        <v/>
      </c>
      <c r="I1184" s="66" t="str">
        <f aca="false">IF(J1184&gt;$K$1,"",IFERROR(MATCH(J1184,J_BB,0),""))</f>
        <v/>
      </c>
      <c r="J1184" s="66" t="n">
        <v>1175</v>
      </c>
      <c r="K1184" s="5"/>
    </row>
    <row r="1185" customFormat="false" ht="15" hidden="false" customHeight="false" outlineLevel="0" collapsed="false">
      <c r="A1185" s="5" t="str">
        <f aca="false">IF(I1185="","",J1185)</f>
        <v/>
      </c>
      <c r="B1185" s="83" t="str">
        <f aca="false">IF(I1185="","",INDEX(J_TGL,I1185))</f>
        <v/>
      </c>
      <c r="C1185" s="5" t="str">
        <f aca="false">IF(I1185="","",INDEX(J_NO,I1185))</f>
        <v/>
      </c>
      <c r="D1185" s="5" t="str">
        <f aca="false">IF(I1185="","",INDEX(J_KET,I1185))</f>
        <v/>
      </c>
      <c r="E1185" s="5" t="str">
        <f aca="false">IF(I1185="","",IF(INDEX(J_DEB,I1185)=$C$3,INDEX(J_KRE,I1185),INDEX(J_DEB,I1185)))</f>
        <v/>
      </c>
      <c r="F1185" s="44" t="str">
        <f aca="false">IF(I1185="","",IF(INDEX(J_DEB,I1185)=$C$3,INDEX(J_NOM,I1185),0))</f>
        <v/>
      </c>
      <c r="G1185" s="44" t="str">
        <f aca="false">IF(I1185="","",IF(INDEX(J_KRE,I1185)=$C$3,INDEX(J_NOM,I1185),0))</f>
        <v/>
      </c>
      <c r="H1185" s="44" t="str">
        <f aca="false">IF(I1185="","",N(H1184)+IF($C$5="Debet",F1185-G1185,G1185-F1185))</f>
        <v/>
      </c>
      <c r="I1185" s="66" t="str">
        <f aca="false">IF(J1185&gt;$K$1,"",IFERROR(MATCH(J1185,J_BB,0),""))</f>
        <v/>
      </c>
      <c r="J1185" s="66" t="n">
        <v>1176</v>
      </c>
      <c r="K1185" s="5"/>
    </row>
    <row r="1186" customFormat="false" ht="15" hidden="false" customHeight="false" outlineLevel="0" collapsed="false">
      <c r="A1186" s="5" t="str">
        <f aca="false">IF(I1186="","",J1186)</f>
        <v/>
      </c>
      <c r="B1186" s="83" t="str">
        <f aca="false">IF(I1186="","",INDEX(J_TGL,I1186))</f>
        <v/>
      </c>
      <c r="C1186" s="5" t="str">
        <f aca="false">IF(I1186="","",INDEX(J_NO,I1186))</f>
        <v/>
      </c>
      <c r="D1186" s="5" t="str">
        <f aca="false">IF(I1186="","",INDEX(J_KET,I1186))</f>
        <v/>
      </c>
      <c r="E1186" s="5" t="str">
        <f aca="false">IF(I1186="","",IF(INDEX(J_DEB,I1186)=$C$3,INDEX(J_KRE,I1186),INDEX(J_DEB,I1186)))</f>
        <v/>
      </c>
      <c r="F1186" s="44" t="str">
        <f aca="false">IF(I1186="","",IF(INDEX(J_DEB,I1186)=$C$3,INDEX(J_NOM,I1186),0))</f>
        <v/>
      </c>
      <c r="G1186" s="44" t="str">
        <f aca="false">IF(I1186="","",IF(INDEX(J_KRE,I1186)=$C$3,INDEX(J_NOM,I1186),0))</f>
        <v/>
      </c>
      <c r="H1186" s="44" t="str">
        <f aca="false">IF(I1186="","",N(H1185)+IF($C$5="Debet",F1186-G1186,G1186-F1186))</f>
        <v/>
      </c>
      <c r="I1186" s="66" t="str">
        <f aca="false">IF(J1186&gt;$K$1,"",IFERROR(MATCH(J1186,J_BB,0),""))</f>
        <v/>
      </c>
      <c r="J1186" s="66" t="n">
        <v>1177</v>
      </c>
      <c r="K1186" s="5"/>
    </row>
    <row r="1187" customFormat="false" ht="15" hidden="false" customHeight="false" outlineLevel="0" collapsed="false">
      <c r="A1187" s="5" t="str">
        <f aca="false">IF(I1187="","",J1187)</f>
        <v/>
      </c>
      <c r="B1187" s="83" t="str">
        <f aca="false">IF(I1187="","",INDEX(J_TGL,I1187))</f>
        <v/>
      </c>
      <c r="C1187" s="5" t="str">
        <f aca="false">IF(I1187="","",INDEX(J_NO,I1187))</f>
        <v/>
      </c>
      <c r="D1187" s="5" t="str">
        <f aca="false">IF(I1187="","",INDEX(J_KET,I1187))</f>
        <v/>
      </c>
      <c r="E1187" s="5" t="str">
        <f aca="false">IF(I1187="","",IF(INDEX(J_DEB,I1187)=$C$3,INDEX(J_KRE,I1187),INDEX(J_DEB,I1187)))</f>
        <v/>
      </c>
      <c r="F1187" s="44" t="str">
        <f aca="false">IF(I1187="","",IF(INDEX(J_DEB,I1187)=$C$3,INDEX(J_NOM,I1187),0))</f>
        <v/>
      </c>
      <c r="G1187" s="44" t="str">
        <f aca="false">IF(I1187="","",IF(INDEX(J_KRE,I1187)=$C$3,INDEX(J_NOM,I1187),0))</f>
        <v/>
      </c>
      <c r="H1187" s="44" t="str">
        <f aca="false">IF(I1187="","",N(H1186)+IF($C$5="Debet",F1187-G1187,G1187-F1187))</f>
        <v/>
      </c>
      <c r="I1187" s="66" t="str">
        <f aca="false">IF(J1187&gt;$K$1,"",IFERROR(MATCH(J1187,J_BB,0),""))</f>
        <v/>
      </c>
      <c r="J1187" s="66" t="n">
        <v>1178</v>
      </c>
      <c r="K1187" s="5"/>
    </row>
    <row r="1188" customFormat="false" ht="15" hidden="false" customHeight="false" outlineLevel="0" collapsed="false">
      <c r="A1188" s="5" t="str">
        <f aca="false">IF(I1188="","",J1188)</f>
        <v/>
      </c>
      <c r="B1188" s="83" t="str">
        <f aca="false">IF(I1188="","",INDEX(J_TGL,I1188))</f>
        <v/>
      </c>
      <c r="C1188" s="5" t="str">
        <f aca="false">IF(I1188="","",INDEX(J_NO,I1188))</f>
        <v/>
      </c>
      <c r="D1188" s="5" t="str">
        <f aca="false">IF(I1188="","",INDEX(J_KET,I1188))</f>
        <v/>
      </c>
      <c r="E1188" s="5" t="str">
        <f aca="false">IF(I1188="","",IF(INDEX(J_DEB,I1188)=$C$3,INDEX(J_KRE,I1188),INDEX(J_DEB,I1188)))</f>
        <v/>
      </c>
      <c r="F1188" s="44" t="str">
        <f aca="false">IF(I1188="","",IF(INDEX(J_DEB,I1188)=$C$3,INDEX(J_NOM,I1188),0))</f>
        <v/>
      </c>
      <c r="G1188" s="44" t="str">
        <f aca="false">IF(I1188="","",IF(INDEX(J_KRE,I1188)=$C$3,INDEX(J_NOM,I1188),0))</f>
        <v/>
      </c>
      <c r="H1188" s="44" t="str">
        <f aca="false">IF(I1188="","",N(H1187)+IF($C$5="Debet",F1188-G1188,G1188-F1188))</f>
        <v/>
      </c>
      <c r="I1188" s="66" t="str">
        <f aca="false">IF(J1188&gt;$K$1,"",IFERROR(MATCH(J1188,J_BB,0),""))</f>
        <v/>
      </c>
      <c r="J1188" s="66" t="n">
        <v>1179</v>
      </c>
      <c r="K1188" s="5"/>
    </row>
    <row r="1189" customFormat="false" ht="15" hidden="false" customHeight="false" outlineLevel="0" collapsed="false">
      <c r="A1189" s="5" t="str">
        <f aca="false">IF(I1189="","",J1189)</f>
        <v/>
      </c>
      <c r="B1189" s="83" t="str">
        <f aca="false">IF(I1189="","",INDEX(J_TGL,I1189))</f>
        <v/>
      </c>
      <c r="C1189" s="5" t="str">
        <f aca="false">IF(I1189="","",INDEX(J_NO,I1189))</f>
        <v/>
      </c>
      <c r="D1189" s="5" t="str">
        <f aca="false">IF(I1189="","",INDEX(J_KET,I1189))</f>
        <v/>
      </c>
      <c r="E1189" s="5" t="str">
        <f aca="false">IF(I1189="","",IF(INDEX(J_DEB,I1189)=$C$3,INDEX(J_KRE,I1189),INDEX(J_DEB,I1189)))</f>
        <v/>
      </c>
      <c r="F1189" s="44" t="str">
        <f aca="false">IF(I1189="","",IF(INDEX(J_DEB,I1189)=$C$3,INDEX(J_NOM,I1189),0))</f>
        <v/>
      </c>
      <c r="G1189" s="44" t="str">
        <f aca="false">IF(I1189="","",IF(INDEX(J_KRE,I1189)=$C$3,INDEX(J_NOM,I1189),0))</f>
        <v/>
      </c>
      <c r="H1189" s="44" t="str">
        <f aca="false">IF(I1189="","",N(H1188)+IF($C$5="Debet",F1189-G1189,G1189-F1189))</f>
        <v/>
      </c>
      <c r="I1189" s="66" t="str">
        <f aca="false">IF(J1189&gt;$K$1,"",IFERROR(MATCH(J1189,J_BB,0),""))</f>
        <v/>
      </c>
      <c r="J1189" s="66" t="n">
        <v>1180</v>
      </c>
      <c r="K1189" s="5"/>
    </row>
    <row r="1190" customFormat="false" ht="15" hidden="false" customHeight="false" outlineLevel="0" collapsed="false">
      <c r="A1190" s="5" t="str">
        <f aca="false">IF(I1190="","",J1190)</f>
        <v/>
      </c>
      <c r="B1190" s="83" t="str">
        <f aca="false">IF(I1190="","",INDEX(J_TGL,I1190))</f>
        <v/>
      </c>
      <c r="C1190" s="5" t="str">
        <f aca="false">IF(I1190="","",INDEX(J_NO,I1190))</f>
        <v/>
      </c>
      <c r="D1190" s="5" t="str">
        <f aca="false">IF(I1190="","",INDEX(J_KET,I1190))</f>
        <v/>
      </c>
      <c r="E1190" s="5" t="str">
        <f aca="false">IF(I1190="","",IF(INDEX(J_DEB,I1190)=$C$3,INDEX(J_KRE,I1190),INDEX(J_DEB,I1190)))</f>
        <v/>
      </c>
      <c r="F1190" s="44" t="str">
        <f aca="false">IF(I1190="","",IF(INDEX(J_DEB,I1190)=$C$3,INDEX(J_NOM,I1190),0))</f>
        <v/>
      </c>
      <c r="G1190" s="44" t="str">
        <f aca="false">IF(I1190="","",IF(INDEX(J_KRE,I1190)=$C$3,INDEX(J_NOM,I1190),0))</f>
        <v/>
      </c>
      <c r="H1190" s="44" t="str">
        <f aca="false">IF(I1190="","",N(H1189)+IF($C$5="Debet",F1190-G1190,G1190-F1190))</f>
        <v/>
      </c>
      <c r="I1190" s="66" t="str">
        <f aca="false">IF(J1190&gt;$K$1,"",IFERROR(MATCH(J1190,J_BB,0),""))</f>
        <v/>
      </c>
      <c r="J1190" s="66" t="n">
        <v>1181</v>
      </c>
      <c r="K1190" s="5"/>
    </row>
    <row r="1191" customFormat="false" ht="15" hidden="false" customHeight="false" outlineLevel="0" collapsed="false">
      <c r="A1191" s="5" t="str">
        <f aca="false">IF(I1191="","",J1191)</f>
        <v/>
      </c>
      <c r="B1191" s="83" t="str">
        <f aca="false">IF(I1191="","",INDEX(J_TGL,I1191))</f>
        <v/>
      </c>
      <c r="C1191" s="5" t="str">
        <f aca="false">IF(I1191="","",INDEX(J_NO,I1191))</f>
        <v/>
      </c>
      <c r="D1191" s="5" t="str">
        <f aca="false">IF(I1191="","",INDEX(J_KET,I1191))</f>
        <v/>
      </c>
      <c r="E1191" s="5" t="str">
        <f aca="false">IF(I1191="","",IF(INDEX(J_DEB,I1191)=$C$3,INDEX(J_KRE,I1191),INDEX(J_DEB,I1191)))</f>
        <v/>
      </c>
      <c r="F1191" s="44" t="str">
        <f aca="false">IF(I1191="","",IF(INDEX(J_DEB,I1191)=$C$3,INDEX(J_NOM,I1191),0))</f>
        <v/>
      </c>
      <c r="G1191" s="44" t="str">
        <f aca="false">IF(I1191="","",IF(INDEX(J_KRE,I1191)=$C$3,INDEX(J_NOM,I1191),0))</f>
        <v/>
      </c>
      <c r="H1191" s="44" t="str">
        <f aca="false">IF(I1191="","",N(H1190)+IF($C$5="Debet",F1191-G1191,G1191-F1191))</f>
        <v/>
      </c>
      <c r="I1191" s="66" t="str">
        <f aca="false">IF(J1191&gt;$K$1,"",IFERROR(MATCH(J1191,J_BB,0),""))</f>
        <v/>
      </c>
      <c r="J1191" s="66" t="n">
        <v>1182</v>
      </c>
      <c r="K1191" s="5"/>
    </row>
    <row r="1192" customFormat="false" ht="15" hidden="false" customHeight="false" outlineLevel="0" collapsed="false">
      <c r="A1192" s="5" t="str">
        <f aca="false">IF(I1192="","",J1192)</f>
        <v/>
      </c>
      <c r="B1192" s="83" t="str">
        <f aca="false">IF(I1192="","",INDEX(J_TGL,I1192))</f>
        <v/>
      </c>
      <c r="C1192" s="5" t="str">
        <f aca="false">IF(I1192="","",INDEX(J_NO,I1192))</f>
        <v/>
      </c>
      <c r="D1192" s="5" t="str">
        <f aca="false">IF(I1192="","",INDEX(J_KET,I1192))</f>
        <v/>
      </c>
      <c r="E1192" s="5" t="str">
        <f aca="false">IF(I1192="","",IF(INDEX(J_DEB,I1192)=$C$3,INDEX(J_KRE,I1192),INDEX(J_DEB,I1192)))</f>
        <v/>
      </c>
      <c r="F1192" s="44" t="str">
        <f aca="false">IF(I1192="","",IF(INDEX(J_DEB,I1192)=$C$3,INDEX(J_NOM,I1192),0))</f>
        <v/>
      </c>
      <c r="G1192" s="44" t="str">
        <f aca="false">IF(I1192="","",IF(INDEX(J_KRE,I1192)=$C$3,INDEX(J_NOM,I1192),0))</f>
        <v/>
      </c>
      <c r="H1192" s="44" t="str">
        <f aca="false">IF(I1192="","",N(H1191)+IF($C$5="Debet",F1192-G1192,G1192-F1192))</f>
        <v/>
      </c>
      <c r="I1192" s="66" t="str">
        <f aca="false">IF(J1192&gt;$K$1,"",IFERROR(MATCH(J1192,J_BB,0),""))</f>
        <v/>
      </c>
      <c r="J1192" s="66" t="n">
        <v>1183</v>
      </c>
      <c r="K1192" s="5"/>
    </row>
    <row r="1193" customFormat="false" ht="15" hidden="false" customHeight="false" outlineLevel="0" collapsed="false">
      <c r="A1193" s="5" t="str">
        <f aca="false">IF(I1193="","",J1193)</f>
        <v/>
      </c>
      <c r="B1193" s="83" t="str">
        <f aca="false">IF(I1193="","",INDEX(J_TGL,I1193))</f>
        <v/>
      </c>
      <c r="C1193" s="5" t="str">
        <f aca="false">IF(I1193="","",INDEX(J_NO,I1193))</f>
        <v/>
      </c>
      <c r="D1193" s="5" t="str">
        <f aca="false">IF(I1193="","",INDEX(J_KET,I1193))</f>
        <v/>
      </c>
      <c r="E1193" s="5" t="str">
        <f aca="false">IF(I1193="","",IF(INDEX(J_DEB,I1193)=$C$3,INDEX(J_KRE,I1193),INDEX(J_DEB,I1193)))</f>
        <v/>
      </c>
      <c r="F1193" s="44" t="str">
        <f aca="false">IF(I1193="","",IF(INDEX(J_DEB,I1193)=$C$3,INDEX(J_NOM,I1193),0))</f>
        <v/>
      </c>
      <c r="G1193" s="44" t="str">
        <f aca="false">IF(I1193="","",IF(INDEX(J_KRE,I1193)=$C$3,INDEX(J_NOM,I1193),0))</f>
        <v/>
      </c>
      <c r="H1193" s="44" t="str">
        <f aca="false">IF(I1193="","",N(H1192)+IF($C$5="Debet",F1193-G1193,G1193-F1193))</f>
        <v/>
      </c>
      <c r="I1193" s="66" t="str">
        <f aca="false">IF(J1193&gt;$K$1,"",IFERROR(MATCH(J1193,J_BB,0),""))</f>
        <v/>
      </c>
      <c r="J1193" s="66" t="n">
        <v>1184</v>
      </c>
      <c r="K1193" s="5"/>
    </row>
    <row r="1194" customFormat="false" ht="15" hidden="false" customHeight="false" outlineLevel="0" collapsed="false">
      <c r="A1194" s="5" t="str">
        <f aca="false">IF(I1194="","",J1194)</f>
        <v/>
      </c>
      <c r="B1194" s="83" t="str">
        <f aca="false">IF(I1194="","",INDEX(J_TGL,I1194))</f>
        <v/>
      </c>
      <c r="C1194" s="5" t="str">
        <f aca="false">IF(I1194="","",INDEX(J_NO,I1194))</f>
        <v/>
      </c>
      <c r="D1194" s="5" t="str">
        <f aca="false">IF(I1194="","",INDEX(J_KET,I1194))</f>
        <v/>
      </c>
      <c r="E1194" s="5" t="str">
        <f aca="false">IF(I1194="","",IF(INDEX(J_DEB,I1194)=$C$3,INDEX(J_KRE,I1194),INDEX(J_DEB,I1194)))</f>
        <v/>
      </c>
      <c r="F1194" s="44" t="str">
        <f aca="false">IF(I1194="","",IF(INDEX(J_DEB,I1194)=$C$3,INDEX(J_NOM,I1194),0))</f>
        <v/>
      </c>
      <c r="G1194" s="44" t="str">
        <f aca="false">IF(I1194="","",IF(INDEX(J_KRE,I1194)=$C$3,INDEX(J_NOM,I1194),0))</f>
        <v/>
      </c>
      <c r="H1194" s="44" t="str">
        <f aca="false">IF(I1194="","",N(H1193)+IF($C$5="Debet",F1194-G1194,G1194-F1194))</f>
        <v/>
      </c>
      <c r="I1194" s="66" t="str">
        <f aca="false">IF(J1194&gt;$K$1,"",IFERROR(MATCH(J1194,J_BB,0),""))</f>
        <v/>
      </c>
      <c r="J1194" s="66" t="n">
        <v>1185</v>
      </c>
      <c r="K1194" s="5"/>
    </row>
    <row r="1195" customFormat="false" ht="15" hidden="false" customHeight="false" outlineLevel="0" collapsed="false">
      <c r="A1195" s="5" t="str">
        <f aca="false">IF(I1195="","",J1195)</f>
        <v/>
      </c>
      <c r="B1195" s="83" t="str">
        <f aca="false">IF(I1195="","",INDEX(J_TGL,I1195))</f>
        <v/>
      </c>
      <c r="C1195" s="5" t="str">
        <f aca="false">IF(I1195="","",INDEX(J_NO,I1195))</f>
        <v/>
      </c>
      <c r="D1195" s="5" t="str">
        <f aca="false">IF(I1195="","",INDEX(J_KET,I1195))</f>
        <v/>
      </c>
      <c r="E1195" s="5" t="str">
        <f aca="false">IF(I1195="","",IF(INDEX(J_DEB,I1195)=$C$3,INDEX(J_KRE,I1195),INDEX(J_DEB,I1195)))</f>
        <v/>
      </c>
      <c r="F1195" s="44" t="str">
        <f aca="false">IF(I1195="","",IF(INDEX(J_DEB,I1195)=$C$3,INDEX(J_NOM,I1195),0))</f>
        <v/>
      </c>
      <c r="G1195" s="44" t="str">
        <f aca="false">IF(I1195="","",IF(INDEX(J_KRE,I1195)=$C$3,INDEX(J_NOM,I1195),0))</f>
        <v/>
      </c>
      <c r="H1195" s="44" t="str">
        <f aca="false">IF(I1195="","",N(H1194)+IF($C$5="Debet",F1195-G1195,G1195-F1195))</f>
        <v/>
      </c>
      <c r="I1195" s="66" t="str">
        <f aca="false">IF(J1195&gt;$K$1,"",IFERROR(MATCH(J1195,J_BB,0),""))</f>
        <v/>
      </c>
      <c r="J1195" s="66" t="n">
        <v>1186</v>
      </c>
      <c r="K1195" s="5"/>
    </row>
    <row r="1196" customFormat="false" ht="15" hidden="false" customHeight="false" outlineLevel="0" collapsed="false">
      <c r="A1196" s="5" t="str">
        <f aca="false">IF(I1196="","",J1196)</f>
        <v/>
      </c>
      <c r="B1196" s="83" t="str">
        <f aca="false">IF(I1196="","",INDEX(J_TGL,I1196))</f>
        <v/>
      </c>
      <c r="C1196" s="5" t="str">
        <f aca="false">IF(I1196="","",INDEX(J_NO,I1196))</f>
        <v/>
      </c>
      <c r="D1196" s="5" t="str">
        <f aca="false">IF(I1196="","",INDEX(J_KET,I1196))</f>
        <v/>
      </c>
      <c r="E1196" s="5" t="str">
        <f aca="false">IF(I1196="","",IF(INDEX(J_DEB,I1196)=$C$3,INDEX(J_KRE,I1196),INDEX(J_DEB,I1196)))</f>
        <v/>
      </c>
      <c r="F1196" s="44" t="str">
        <f aca="false">IF(I1196="","",IF(INDEX(J_DEB,I1196)=$C$3,INDEX(J_NOM,I1196),0))</f>
        <v/>
      </c>
      <c r="G1196" s="44" t="str">
        <f aca="false">IF(I1196="","",IF(INDEX(J_KRE,I1196)=$C$3,INDEX(J_NOM,I1196),0))</f>
        <v/>
      </c>
      <c r="H1196" s="44" t="str">
        <f aca="false">IF(I1196="","",N(H1195)+IF($C$5="Debet",F1196-G1196,G1196-F1196))</f>
        <v/>
      </c>
      <c r="I1196" s="66" t="str">
        <f aca="false">IF(J1196&gt;$K$1,"",IFERROR(MATCH(J1196,J_BB,0),""))</f>
        <v/>
      </c>
      <c r="J1196" s="66" t="n">
        <v>1187</v>
      </c>
      <c r="K1196" s="5"/>
    </row>
    <row r="1197" customFormat="false" ht="15" hidden="false" customHeight="false" outlineLevel="0" collapsed="false">
      <c r="A1197" s="5" t="str">
        <f aca="false">IF(I1197="","",J1197)</f>
        <v/>
      </c>
      <c r="B1197" s="83" t="str">
        <f aca="false">IF(I1197="","",INDEX(J_TGL,I1197))</f>
        <v/>
      </c>
      <c r="C1197" s="5" t="str">
        <f aca="false">IF(I1197="","",INDEX(J_NO,I1197))</f>
        <v/>
      </c>
      <c r="D1197" s="5" t="str">
        <f aca="false">IF(I1197="","",INDEX(J_KET,I1197))</f>
        <v/>
      </c>
      <c r="E1197" s="5" t="str">
        <f aca="false">IF(I1197="","",IF(INDEX(J_DEB,I1197)=$C$3,INDEX(J_KRE,I1197),INDEX(J_DEB,I1197)))</f>
        <v/>
      </c>
      <c r="F1197" s="44" t="str">
        <f aca="false">IF(I1197="","",IF(INDEX(J_DEB,I1197)=$C$3,INDEX(J_NOM,I1197),0))</f>
        <v/>
      </c>
      <c r="G1197" s="44" t="str">
        <f aca="false">IF(I1197="","",IF(INDEX(J_KRE,I1197)=$C$3,INDEX(J_NOM,I1197),0))</f>
        <v/>
      </c>
      <c r="H1197" s="44" t="str">
        <f aca="false">IF(I1197="","",N(H1196)+IF($C$5="Debet",F1197-G1197,G1197-F1197))</f>
        <v/>
      </c>
      <c r="I1197" s="66" t="str">
        <f aca="false">IF(J1197&gt;$K$1,"",IFERROR(MATCH(J1197,J_BB,0),""))</f>
        <v/>
      </c>
      <c r="J1197" s="66" t="n">
        <v>1188</v>
      </c>
      <c r="K1197" s="5"/>
    </row>
    <row r="1198" customFormat="false" ht="15" hidden="false" customHeight="false" outlineLevel="0" collapsed="false">
      <c r="A1198" s="5" t="str">
        <f aca="false">IF(I1198="","",J1198)</f>
        <v/>
      </c>
      <c r="B1198" s="83" t="str">
        <f aca="false">IF(I1198="","",INDEX(J_TGL,I1198))</f>
        <v/>
      </c>
      <c r="C1198" s="5" t="str">
        <f aca="false">IF(I1198="","",INDEX(J_NO,I1198))</f>
        <v/>
      </c>
      <c r="D1198" s="5" t="str">
        <f aca="false">IF(I1198="","",INDEX(J_KET,I1198))</f>
        <v/>
      </c>
      <c r="E1198" s="5" t="str">
        <f aca="false">IF(I1198="","",IF(INDEX(J_DEB,I1198)=$C$3,INDEX(J_KRE,I1198),INDEX(J_DEB,I1198)))</f>
        <v/>
      </c>
      <c r="F1198" s="44" t="str">
        <f aca="false">IF(I1198="","",IF(INDEX(J_DEB,I1198)=$C$3,INDEX(J_NOM,I1198),0))</f>
        <v/>
      </c>
      <c r="G1198" s="44" t="str">
        <f aca="false">IF(I1198="","",IF(INDEX(J_KRE,I1198)=$C$3,INDEX(J_NOM,I1198),0))</f>
        <v/>
      </c>
      <c r="H1198" s="44" t="str">
        <f aca="false">IF(I1198="","",N(H1197)+IF($C$5="Debet",F1198-G1198,G1198-F1198))</f>
        <v/>
      </c>
      <c r="I1198" s="66" t="str">
        <f aca="false">IF(J1198&gt;$K$1,"",IFERROR(MATCH(J1198,J_BB,0),""))</f>
        <v/>
      </c>
      <c r="J1198" s="66" t="n">
        <v>1189</v>
      </c>
      <c r="K1198" s="5"/>
    </row>
    <row r="1199" customFormat="false" ht="15" hidden="false" customHeight="false" outlineLevel="0" collapsed="false">
      <c r="A1199" s="5" t="str">
        <f aca="false">IF(I1199="","",J1199)</f>
        <v/>
      </c>
      <c r="B1199" s="83" t="str">
        <f aca="false">IF(I1199="","",INDEX(J_TGL,I1199))</f>
        <v/>
      </c>
      <c r="C1199" s="5" t="str">
        <f aca="false">IF(I1199="","",INDEX(J_NO,I1199))</f>
        <v/>
      </c>
      <c r="D1199" s="5" t="str">
        <f aca="false">IF(I1199="","",INDEX(J_KET,I1199))</f>
        <v/>
      </c>
      <c r="E1199" s="5" t="str">
        <f aca="false">IF(I1199="","",IF(INDEX(J_DEB,I1199)=$C$3,INDEX(J_KRE,I1199),INDEX(J_DEB,I1199)))</f>
        <v/>
      </c>
      <c r="F1199" s="44" t="str">
        <f aca="false">IF(I1199="","",IF(INDEX(J_DEB,I1199)=$C$3,INDEX(J_NOM,I1199),0))</f>
        <v/>
      </c>
      <c r="G1199" s="44" t="str">
        <f aca="false">IF(I1199="","",IF(INDEX(J_KRE,I1199)=$C$3,INDEX(J_NOM,I1199),0))</f>
        <v/>
      </c>
      <c r="H1199" s="44" t="str">
        <f aca="false">IF(I1199="","",N(H1198)+IF($C$5="Debet",F1199-G1199,G1199-F1199))</f>
        <v/>
      </c>
      <c r="I1199" s="66" t="str">
        <f aca="false">IF(J1199&gt;$K$1,"",IFERROR(MATCH(J1199,J_BB,0),""))</f>
        <v/>
      </c>
      <c r="J1199" s="66" t="n">
        <v>1190</v>
      </c>
      <c r="K1199" s="5"/>
    </row>
    <row r="1200" customFormat="false" ht="15" hidden="false" customHeight="false" outlineLevel="0" collapsed="false">
      <c r="A1200" s="5" t="str">
        <f aca="false">IF(I1200="","",J1200)</f>
        <v/>
      </c>
      <c r="B1200" s="83" t="str">
        <f aca="false">IF(I1200="","",INDEX(J_TGL,I1200))</f>
        <v/>
      </c>
      <c r="C1200" s="5" t="str">
        <f aca="false">IF(I1200="","",INDEX(J_NO,I1200))</f>
        <v/>
      </c>
      <c r="D1200" s="5" t="str">
        <f aca="false">IF(I1200="","",INDEX(J_KET,I1200))</f>
        <v/>
      </c>
      <c r="E1200" s="5" t="str">
        <f aca="false">IF(I1200="","",IF(INDEX(J_DEB,I1200)=$C$3,INDEX(J_KRE,I1200),INDEX(J_DEB,I1200)))</f>
        <v/>
      </c>
      <c r="F1200" s="44" t="str">
        <f aca="false">IF(I1200="","",IF(INDEX(J_DEB,I1200)=$C$3,INDEX(J_NOM,I1200),0))</f>
        <v/>
      </c>
      <c r="G1200" s="44" t="str">
        <f aca="false">IF(I1200="","",IF(INDEX(J_KRE,I1200)=$C$3,INDEX(J_NOM,I1200),0))</f>
        <v/>
      </c>
      <c r="H1200" s="44" t="str">
        <f aca="false">IF(I1200="","",N(H1199)+IF($C$5="Debet",F1200-G1200,G1200-F1200))</f>
        <v/>
      </c>
      <c r="I1200" s="66" t="str">
        <f aca="false">IF(J1200&gt;$K$1,"",IFERROR(MATCH(J1200,J_BB,0),""))</f>
        <v/>
      </c>
      <c r="J1200" s="66" t="n">
        <v>1191</v>
      </c>
      <c r="K1200" s="5"/>
    </row>
    <row r="1201" customFormat="false" ht="15" hidden="false" customHeight="false" outlineLevel="0" collapsed="false">
      <c r="A1201" s="5" t="str">
        <f aca="false">IF(I1201="","",J1201)</f>
        <v/>
      </c>
      <c r="B1201" s="83" t="str">
        <f aca="false">IF(I1201="","",INDEX(J_TGL,I1201))</f>
        <v/>
      </c>
      <c r="C1201" s="5" t="str">
        <f aca="false">IF(I1201="","",INDEX(J_NO,I1201))</f>
        <v/>
      </c>
      <c r="D1201" s="5" t="str">
        <f aca="false">IF(I1201="","",INDEX(J_KET,I1201))</f>
        <v/>
      </c>
      <c r="E1201" s="5" t="str">
        <f aca="false">IF(I1201="","",IF(INDEX(J_DEB,I1201)=$C$3,INDEX(J_KRE,I1201),INDEX(J_DEB,I1201)))</f>
        <v/>
      </c>
      <c r="F1201" s="44" t="str">
        <f aca="false">IF(I1201="","",IF(INDEX(J_DEB,I1201)=$C$3,INDEX(J_NOM,I1201),0))</f>
        <v/>
      </c>
      <c r="G1201" s="44" t="str">
        <f aca="false">IF(I1201="","",IF(INDEX(J_KRE,I1201)=$C$3,INDEX(J_NOM,I1201),0))</f>
        <v/>
      </c>
      <c r="H1201" s="44" t="str">
        <f aca="false">IF(I1201="","",N(H1200)+IF($C$5="Debet",F1201-G1201,G1201-F1201))</f>
        <v/>
      </c>
      <c r="I1201" s="66" t="str">
        <f aca="false">IF(J1201&gt;$K$1,"",IFERROR(MATCH(J1201,J_BB,0),""))</f>
        <v/>
      </c>
      <c r="J1201" s="66" t="n">
        <v>1192</v>
      </c>
      <c r="K1201" s="5"/>
    </row>
    <row r="1202" customFormat="false" ht="15" hidden="false" customHeight="false" outlineLevel="0" collapsed="false">
      <c r="A1202" s="5" t="str">
        <f aca="false">IF(I1202="","",J1202)</f>
        <v/>
      </c>
      <c r="B1202" s="83" t="str">
        <f aca="false">IF(I1202="","",INDEX(J_TGL,I1202))</f>
        <v/>
      </c>
      <c r="C1202" s="5" t="str">
        <f aca="false">IF(I1202="","",INDEX(J_NO,I1202))</f>
        <v/>
      </c>
      <c r="D1202" s="5" t="str">
        <f aca="false">IF(I1202="","",INDEX(J_KET,I1202))</f>
        <v/>
      </c>
      <c r="E1202" s="5" t="str">
        <f aca="false">IF(I1202="","",IF(INDEX(J_DEB,I1202)=$C$3,INDEX(J_KRE,I1202),INDEX(J_DEB,I1202)))</f>
        <v/>
      </c>
      <c r="F1202" s="44" t="str">
        <f aca="false">IF(I1202="","",IF(INDEX(J_DEB,I1202)=$C$3,INDEX(J_NOM,I1202),0))</f>
        <v/>
      </c>
      <c r="G1202" s="44" t="str">
        <f aca="false">IF(I1202="","",IF(INDEX(J_KRE,I1202)=$C$3,INDEX(J_NOM,I1202),0))</f>
        <v/>
      </c>
      <c r="H1202" s="44" t="str">
        <f aca="false">IF(I1202="","",N(H1201)+IF($C$5="Debet",F1202-G1202,G1202-F1202))</f>
        <v/>
      </c>
      <c r="I1202" s="66" t="str">
        <f aca="false">IF(J1202&gt;$K$1,"",IFERROR(MATCH(J1202,J_BB,0),""))</f>
        <v/>
      </c>
      <c r="J1202" s="66" t="n">
        <v>1193</v>
      </c>
      <c r="K1202" s="5"/>
    </row>
    <row r="1203" customFormat="false" ht="15" hidden="false" customHeight="false" outlineLevel="0" collapsed="false">
      <c r="A1203" s="5" t="str">
        <f aca="false">IF(I1203="","",J1203)</f>
        <v/>
      </c>
      <c r="B1203" s="83" t="str">
        <f aca="false">IF(I1203="","",INDEX(J_TGL,I1203))</f>
        <v/>
      </c>
      <c r="C1203" s="5" t="str">
        <f aca="false">IF(I1203="","",INDEX(J_NO,I1203))</f>
        <v/>
      </c>
      <c r="D1203" s="5" t="str">
        <f aca="false">IF(I1203="","",INDEX(J_KET,I1203))</f>
        <v/>
      </c>
      <c r="E1203" s="5" t="str">
        <f aca="false">IF(I1203="","",IF(INDEX(J_DEB,I1203)=$C$3,INDEX(J_KRE,I1203),INDEX(J_DEB,I1203)))</f>
        <v/>
      </c>
      <c r="F1203" s="44" t="str">
        <f aca="false">IF(I1203="","",IF(INDEX(J_DEB,I1203)=$C$3,INDEX(J_NOM,I1203),0))</f>
        <v/>
      </c>
      <c r="G1203" s="44" t="str">
        <f aca="false">IF(I1203="","",IF(INDEX(J_KRE,I1203)=$C$3,INDEX(J_NOM,I1203),0))</f>
        <v/>
      </c>
      <c r="H1203" s="44" t="str">
        <f aca="false">IF(I1203="","",N(H1202)+IF($C$5="Debet",F1203-G1203,G1203-F1203))</f>
        <v/>
      </c>
      <c r="I1203" s="66" t="str">
        <f aca="false">IF(J1203&gt;$K$1,"",IFERROR(MATCH(J1203,J_BB,0),""))</f>
        <v/>
      </c>
      <c r="J1203" s="66" t="n">
        <v>1194</v>
      </c>
      <c r="K1203" s="5"/>
    </row>
    <row r="1204" customFormat="false" ht="15" hidden="false" customHeight="false" outlineLevel="0" collapsed="false">
      <c r="A1204" s="5" t="str">
        <f aca="false">IF(I1204="","",J1204)</f>
        <v/>
      </c>
      <c r="B1204" s="83" t="str">
        <f aca="false">IF(I1204="","",INDEX(J_TGL,I1204))</f>
        <v/>
      </c>
      <c r="C1204" s="5" t="str">
        <f aca="false">IF(I1204="","",INDEX(J_NO,I1204))</f>
        <v/>
      </c>
      <c r="D1204" s="5" t="str">
        <f aca="false">IF(I1204="","",INDEX(J_KET,I1204))</f>
        <v/>
      </c>
      <c r="E1204" s="5" t="str">
        <f aca="false">IF(I1204="","",IF(INDEX(J_DEB,I1204)=$C$3,INDEX(J_KRE,I1204),INDEX(J_DEB,I1204)))</f>
        <v/>
      </c>
      <c r="F1204" s="44" t="str">
        <f aca="false">IF(I1204="","",IF(INDEX(J_DEB,I1204)=$C$3,INDEX(J_NOM,I1204),0))</f>
        <v/>
      </c>
      <c r="G1204" s="44" t="str">
        <f aca="false">IF(I1204="","",IF(INDEX(J_KRE,I1204)=$C$3,INDEX(J_NOM,I1204),0))</f>
        <v/>
      </c>
      <c r="H1204" s="44" t="str">
        <f aca="false">IF(I1204="","",N(H1203)+IF($C$5="Debet",F1204-G1204,G1204-F1204))</f>
        <v/>
      </c>
      <c r="I1204" s="66" t="str">
        <f aca="false">IF(J1204&gt;$K$1,"",IFERROR(MATCH(J1204,J_BB,0),""))</f>
        <v/>
      </c>
      <c r="J1204" s="66" t="n">
        <v>1195</v>
      </c>
      <c r="K1204" s="5"/>
    </row>
    <row r="1205" customFormat="false" ht="15" hidden="false" customHeight="false" outlineLevel="0" collapsed="false">
      <c r="A1205" s="5" t="str">
        <f aca="false">IF(I1205="","",J1205)</f>
        <v/>
      </c>
      <c r="B1205" s="83" t="str">
        <f aca="false">IF(I1205="","",INDEX(J_TGL,I1205))</f>
        <v/>
      </c>
      <c r="C1205" s="5" t="str">
        <f aca="false">IF(I1205="","",INDEX(J_NO,I1205))</f>
        <v/>
      </c>
      <c r="D1205" s="5" t="str">
        <f aca="false">IF(I1205="","",INDEX(J_KET,I1205))</f>
        <v/>
      </c>
      <c r="E1205" s="5" t="str">
        <f aca="false">IF(I1205="","",IF(INDEX(J_DEB,I1205)=$C$3,INDEX(J_KRE,I1205),INDEX(J_DEB,I1205)))</f>
        <v/>
      </c>
      <c r="F1205" s="44" t="str">
        <f aca="false">IF(I1205="","",IF(INDEX(J_DEB,I1205)=$C$3,INDEX(J_NOM,I1205),0))</f>
        <v/>
      </c>
      <c r="G1205" s="44" t="str">
        <f aca="false">IF(I1205="","",IF(INDEX(J_KRE,I1205)=$C$3,INDEX(J_NOM,I1205),0))</f>
        <v/>
      </c>
      <c r="H1205" s="44" t="str">
        <f aca="false">IF(I1205="","",N(H1204)+IF($C$5="Debet",F1205-G1205,G1205-F1205))</f>
        <v/>
      </c>
      <c r="I1205" s="66" t="str">
        <f aca="false">IF(J1205&gt;$K$1,"",IFERROR(MATCH(J1205,J_BB,0),""))</f>
        <v/>
      </c>
      <c r="J1205" s="66" t="n">
        <v>1196</v>
      </c>
      <c r="K1205" s="5"/>
    </row>
    <row r="1206" customFormat="false" ht="15" hidden="false" customHeight="false" outlineLevel="0" collapsed="false">
      <c r="A1206" s="5" t="str">
        <f aca="false">IF(I1206="","",J1206)</f>
        <v/>
      </c>
      <c r="B1206" s="83" t="str">
        <f aca="false">IF(I1206="","",INDEX(J_TGL,I1206))</f>
        <v/>
      </c>
      <c r="C1206" s="5" t="str">
        <f aca="false">IF(I1206="","",INDEX(J_NO,I1206))</f>
        <v/>
      </c>
      <c r="D1206" s="5" t="str">
        <f aca="false">IF(I1206="","",INDEX(J_KET,I1206))</f>
        <v/>
      </c>
      <c r="E1206" s="5" t="str">
        <f aca="false">IF(I1206="","",IF(INDEX(J_DEB,I1206)=$C$3,INDEX(J_KRE,I1206),INDEX(J_DEB,I1206)))</f>
        <v/>
      </c>
      <c r="F1206" s="44" t="str">
        <f aca="false">IF(I1206="","",IF(INDEX(J_DEB,I1206)=$C$3,INDEX(J_NOM,I1206),0))</f>
        <v/>
      </c>
      <c r="G1206" s="44" t="str">
        <f aca="false">IF(I1206="","",IF(INDEX(J_KRE,I1206)=$C$3,INDEX(J_NOM,I1206),0))</f>
        <v/>
      </c>
      <c r="H1206" s="44" t="str">
        <f aca="false">IF(I1206="","",N(H1205)+IF($C$5="Debet",F1206-G1206,G1206-F1206))</f>
        <v/>
      </c>
      <c r="I1206" s="66" t="str">
        <f aca="false">IF(J1206&gt;$K$1,"",IFERROR(MATCH(J1206,J_BB,0),""))</f>
        <v/>
      </c>
      <c r="J1206" s="66" t="n">
        <v>1197</v>
      </c>
      <c r="K1206" s="5"/>
    </row>
    <row r="1207" customFormat="false" ht="15" hidden="false" customHeight="false" outlineLevel="0" collapsed="false">
      <c r="A1207" s="5" t="str">
        <f aca="false">IF(I1207="","",J1207)</f>
        <v/>
      </c>
      <c r="B1207" s="83" t="str">
        <f aca="false">IF(I1207="","",INDEX(J_TGL,I1207))</f>
        <v/>
      </c>
      <c r="C1207" s="5" t="str">
        <f aca="false">IF(I1207="","",INDEX(J_NO,I1207))</f>
        <v/>
      </c>
      <c r="D1207" s="5" t="str">
        <f aca="false">IF(I1207="","",INDEX(J_KET,I1207))</f>
        <v/>
      </c>
      <c r="E1207" s="5" t="str">
        <f aca="false">IF(I1207="","",IF(INDEX(J_DEB,I1207)=$C$3,INDEX(J_KRE,I1207),INDEX(J_DEB,I1207)))</f>
        <v/>
      </c>
      <c r="F1207" s="44" t="str">
        <f aca="false">IF(I1207="","",IF(INDEX(J_DEB,I1207)=$C$3,INDEX(J_NOM,I1207),0))</f>
        <v/>
      </c>
      <c r="G1207" s="44" t="str">
        <f aca="false">IF(I1207="","",IF(INDEX(J_KRE,I1207)=$C$3,INDEX(J_NOM,I1207),0))</f>
        <v/>
      </c>
      <c r="H1207" s="44" t="str">
        <f aca="false">IF(I1207="","",N(H1206)+IF($C$5="Debet",F1207-G1207,G1207-F1207))</f>
        <v/>
      </c>
      <c r="I1207" s="66" t="str">
        <f aca="false">IF(J1207&gt;$K$1,"",IFERROR(MATCH(J1207,J_BB,0),""))</f>
        <v/>
      </c>
      <c r="J1207" s="66" t="n">
        <v>1198</v>
      </c>
      <c r="K1207" s="5"/>
    </row>
    <row r="1208" customFormat="false" ht="15" hidden="false" customHeight="false" outlineLevel="0" collapsed="false">
      <c r="A1208" s="5" t="str">
        <f aca="false">IF(I1208="","",J1208)</f>
        <v/>
      </c>
      <c r="B1208" s="83" t="str">
        <f aca="false">IF(I1208="","",INDEX(J_TGL,I1208))</f>
        <v/>
      </c>
      <c r="C1208" s="5" t="str">
        <f aca="false">IF(I1208="","",INDEX(J_NO,I1208))</f>
        <v/>
      </c>
      <c r="D1208" s="5" t="str">
        <f aca="false">IF(I1208="","",INDEX(J_KET,I1208))</f>
        <v/>
      </c>
      <c r="E1208" s="5" t="str">
        <f aca="false">IF(I1208="","",IF(INDEX(J_DEB,I1208)=$C$3,INDEX(J_KRE,I1208),INDEX(J_DEB,I1208)))</f>
        <v/>
      </c>
      <c r="F1208" s="44" t="str">
        <f aca="false">IF(I1208="","",IF(INDEX(J_DEB,I1208)=$C$3,INDEX(J_NOM,I1208),0))</f>
        <v/>
      </c>
      <c r="G1208" s="44" t="str">
        <f aca="false">IF(I1208="","",IF(INDEX(J_KRE,I1208)=$C$3,INDEX(J_NOM,I1208),0))</f>
        <v/>
      </c>
      <c r="H1208" s="44" t="str">
        <f aca="false">IF(I1208="","",N(H1207)+IF($C$5="Debet",F1208-G1208,G1208-F1208))</f>
        <v/>
      </c>
      <c r="I1208" s="66" t="str">
        <f aca="false">IF(J1208&gt;$K$1,"",IFERROR(MATCH(J1208,J_BB,0),""))</f>
        <v/>
      </c>
      <c r="J1208" s="66" t="n">
        <v>1199</v>
      </c>
      <c r="K1208" s="5"/>
    </row>
    <row r="1209" customFormat="false" ht="15" hidden="false" customHeight="false" outlineLevel="0" collapsed="false">
      <c r="A1209" s="5" t="str">
        <f aca="false">IF(I1209="","",J1209)</f>
        <v/>
      </c>
      <c r="B1209" s="83" t="str">
        <f aca="false">IF(I1209="","",INDEX(J_TGL,I1209))</f>
        <v/>
      </c>
      <c r="C1209" s="5" t="str">
        <f aca="false">IF(I1209="","",INDEX(J_NO,I1209))</f>
        <v/>
      </c>
      <c r="D1209" s="5" t="str">
        <f aca="false">IF(I1209="","",INDEX(J_KET,I1209))</f>
        <v/>
      </c>
      <c r="E1209" s="5" t="str">
        <f aca="false">IF(I1209="","",IF(INDEX(J_DEB,I1209)=$C$3,INDEX(J_KRE,I1209),INDEX(J_DEB,I1209)))</f>
        <v/>
      </c>
      <c r="F1209" s="44" t="str">
        <f aca="false">IF(I1209="","",IF(INDEX(J_DEB,I1209)=$C$3,INDEX(J_NOM,I1209),0))</f>
        <v/>
      </c>
      <c r="G1209" s="44" t="str">
        <f aca="false">IF(I1209="","",IF(INDEX(J_KRE,I1209)=$C$3,INDEX(J_NOM,I1209),0))</f>
        <v/>
      </c>
      <c r="H1209" s="44" t="str">
        <f aca="false">IF(I1209="","",N(H1208)+IF($C$5="Debet",F1209-G1209,G1209-F1209))</f>
        <v/>
      </c>
      <c r="I1209" s="66" t="str">
        <f aca="false">IF(J1209&gt;$K$1,"",IFERROR(MATCH(J1209,J_BB,0),""))</f>
        <v/>
      </c>
      <c r="J1209" s="66" t="n">
        <v>1200</v>
      </c>
      <c r="K1209" s="5"/>
    </row>
    <row r="1210" customFormat="false" ht="15" hidden="false" customHeight="false" outlineLevel="0" collapsed="false">
      <c r="A1210" s="5" t="str">
        <f aca="false">IF(I1210="","",J1210)</f>
        <v/>
      </c>
      <c r="B1210" s="83" t="str">
        <f aca="false">IF(I1210="","",INDEX(J_TGL,I1210))</f>
        <v/>
      </c>
      <c r="C1210" s="5" t="str">
        <f aca="false">IF(I1210="","",INDEX(J_NO,I1210))</f>
        <v/>
      </c>
      <c r="D1210" s="5" t="str">
        <f aca="false">IF(I1210="","",INDEX(J_KET,I1210))</f>
        <v/>
      </c>
      <c r="E1210" s="5" t="str">
        <f aca="false">IF(I1210="","",IF(INDEX(J_DEB,I1210)=$C$3,INDEX(J_KRE,I1210),INDEX(J_DEB,I1210)))</f>
        <v/>
      </c>
      <c r="F1210" s="44" t="str">
        <f aca="false">IF(I1210="","",IF(INDEX(J_DEB,I1210)=$C$3,INDEX(J_NOM,I1210),0))</f>
        <v/>
      </c>
      <c r="G1210" s="44" t="str">
        <f aca="false">IF(I1210="","",IF(INDEX(J_KRE,I1210)=$C$3,INDEX(J_NOM,I1210),0))</f>
        <v/>
      </c>
      <c r="H1210" s="44" t="str">
        <f aca="false">IF(I1210="","",N(H1209)+IF($C$5="Debet",F1210-G1210,G1210-F1210))</f>
        <v/>
      </c>
      <c r="I1210" s="66" t="str">
        <f aca="false">IF(J1210&gt;$K$1,"",IFERROR(MATCH(J1210,J_BB,0),""))</f>
        <v/>
      </c>
      <c r="J1210" s="66" t="n">
        <v>1201</v>
      </c>
      <c r="K1210" s="5"/>
    </row>
    <row r="1211" customFormat="false" ht="15" hidden="false" customHeight="false" outlineLevel="0" collapsed="false">
      <c r="A1211" s="5" t="str">
        <f aca="false">IF(I1211="","",J1211)</f>
        <v/>
      </c>
      <c r="B1211" s="83" t="str">
        <f aca="false">IF(I1211="","",INDEX(J_TGL,I1211))</f>
        <v/>
      </c>
      <c r="C1211" s="5" t="str">
        <f aca="false">IF(I1211="","",INDEX(J_NO,I1211))</f>
        <v/>
      </c>
      <c r="D1211" s="5" t="str">
        <f aca="false">IF(I1211="","",INDEX(J_KET,I1211))</f>
        <v/>
      </c>
      <c r="E1211" s="5" t="str">
        <f aca="false">IF(I1211="","",IF(INDEX(J_DEB,I1211)=$C$3,INDEX(J_KRE,I1211),INDEX(J_DEB,I1211)))</f>
        <v/>
      </c>
      <c r="F1211" s="44" t="str">
        <f aca="false">IF(I1211="","",IF(INDEX(J_DEB,I1211)=$C$3,INDEX(J_NOM,I1211),0))</f>
        <v/>
      </c>
      <c r="G1211" s="44" t="str">
        <f aca="false">IF(I1211="","",IF(INDEX(J_KRE,I1211)=$C$3,INDEX(J_NOM,I1211),0))</f>
        <v/>
      </c>
      <c r="H1211" s="44" t="str">
        <f aca="false">IF(I1211="","",N(H1210)+IF($C$5="Debet",F1211-G1211,G1211-F1211))</f>
        <v/>
      </c>
      <c r="I1211" s="66" t="str">
        <f aca="false">IF(J1211&gt;$K$1,"",IFERROR(MATCH(J1211,J_BB,0),""))</f>
        <v/>
      </c>
      <c r="J1211" s="66" t="n">
        <v>1202</v>
      </c>
      <c r="K1211" s="5"/>
    </row>
    <row r="1212" customFormat="false" ht="15" hidden="false" customHeight="false" outlineLevel="0" collapsed="false">
      <c r="A1212" s="5" t="str">
        <f aca="false">IF(I1212="","",J1212)</f>
        <v/>
      </c>
      <c r="B1212" s="83" t="str">
        <f aca="false">IF(I1212="","",INDEX(J_TGL,I1212))</f>
        <v/>
      </c>
      <c r="C1212" s="5" t="str">
        <f aca="false">IF(I1212="","",INDEX(J_NO,I1212))</f>
        <v/>
      </c>
      <c r="D1212" s="5" t="str">
        <f aca="false">IF(I1212="","",INDEX(J_KET,I1212))</f>
        <v/>
      </c>
      <c r="E1212" s="5" t="str">
        <f aca="false">IF(I1212="","",IF(INDEX(J_DEB,I1212)=$C$3,INDEX(J_KRE,I1212),INDEX(J_DEB,I1212)))</f>
        <v/>
      </c>
      <c r="F1212" s="44" t="str">
        <f aca="false">IF(I1212="","",IF(INDEX(J_DEB,I1212)=$C$3,INDEX(J_NOM,I1212),0))</f>
        <v/>
      </c>
      <c r="G1212" s="44" t="str">
        <f aca="false">IF(I1212="","",IF(INDEX(J_KRE,I1212)=$C$3,INDEX(J_NOM,I1212),0))</f>
        <v/>
      </c>
      <c r="H1212" s="44" t="str">
        <f aca="false">IF(I1212="","",N(H1211)+IF($C$5="Debet",F1212-G1212,G1212-F1212))</f>
        <v/>
      </c>
      <c r="I1212" s="66" t="str">
        <f aca="false">IF(J1212&gt;$K$1,"",IFERROR(MATCH(J1212,J_BB,0),""))</f>
        <v/>
      </c>
      <c r="J1212" s="66" t="n">
        <v>1203</v>
      </c>
      <c r="K1212" s="5"/>
    </row>
    <row r="1213" customFormat="false" ht="15" hidden="false" customHeight="false" outlineLevel="0" collapsed="false">
      <c r="A1213" s="5" t="str">
        <f aca="false">IF(I1213="","",J1213)</f>
        <v/>
      </c>
      <c r="B1213" s="83" t="str">
        <f aca="false">IF(I1213="","",INDEX(J_TGL,I1213))</f>
        <v/>
      </c>
      <c r="C1213" s="5" t="str">
        <f aca="false">IF(I1213="","",INDEX(J_NO,I1213))</f>
        <v/>
      </c>
      <c r="D1213" s="5" t="str">
        <f aca="false">IF(I1213="","",INDEX(J_KET,I1213))</f>
        <v/>
      </c>
      <c r="E1213" s="5" t="str">
        <f aca="false">IF(I1213="","",IF(INDEX(J_DEB,I1213)=$C$3,INDEX(J_KRE,I1213),INDEX(J_DEB,I1213)))</f>
        <v/>
      </c>
      <c r="F1213" s="44" t="str">
        <f aca="false">IF(I1213="","",IF(INDEX(J_DEB,I1213)=$C$3,INDEX(J_NOM,I1213),0))</f>
        <v/>
      </c>
      <c r="G1213" s="44" t="str">
        <f aca="false">IF(I1213="","",IF(INDEX(J_KRE,I1213)=$C$3,INDEX(J_NOM,I1213),0))</f>
        <v/>
      </c>
      <c r="H1213" s="44" t="str">
        <f aca="false">IF(I1213="","",N(H1212)+IF($C$5="Debet",F1213-G1213,G1213-F1213))</f>
        <v/>
      </c>
      <c r="I1213" s="66" t="str">
        <f aca="false">IF(J1213&gt;$K$1,"",IFERROR(MATCH(J1213,J_BB,0),""))</f>
        <v/>
      </c>
      <c r="J1213" s="66" t="n">
        <v>1204</v>
      </c>
      <c r="K1213" s="5"/>
    </row>
    <row r="1214" customFormat="false" ht="15" hidden="false" customHeight="false" outlineLevel="0" collapsed="false">
      <c r="A1214" s="5" t="str">
        <f aca="false">IF(I1214="","",J1214)</f>
        <v/>
      </c>
      <c r="B1214" s="83" t="str">
        <f aca="false">IF(I1214="","",INDEX(J_TGL,I1214))</f>
        <v/>
      </c>
      <c r="C1214" s="5" t="str">
        <f aca="false">IF(I1214="","",INDEX(J_NO,I1214))</f>
        <v/>
      </c>
      <c r="D1214" s="5" t="str">
        <f aca="false">IF(I1214="","",INDEX(J_KET,I1214))</f>
        <v/>
      </c>
      <c r="E1214" s="5" t="str">
        <f aca="false">IF(I1214="","",IF(INDEX(J_DEB,I1214)=$C$3,INDEX(J_KRE,I1214),INDEX(J_DEB,I1214)))</f>
        <v/>
      </c>
      <c r="F1214" s="44" t="str">
        <f aca="false">IF(I1214="","",IF(INDEX(J_DEB,I1214)=$C$3,INDEX(J_NOM,I1214),0))</f>
        <v/>
      </c>
      <c r="G1214" s="44" t="str">
        <f aca="false">IF(I1214="","",IF(INDEX(J_KRE,I1214)=$C$3,INDEX(J_NOM,I1214),0))</f>
        <v/>
      </c>
      <c r="H1214" s="44" t="str">
        <f aca="false">IF(I1214="","",N(H1213)+IF($C$5="Debet",F1214-G1214,G1214-F1214))</f>
        <v/>
      </c>
      <c r="I1214" s="66" t="str">
        <f aca="false">IF(J1214&gt;$K$1,"",IFERROR(MATCH(J1214,J_BB,0),""))</f>
        <v/>
      </c>
      <c r="J1214" s="66" t="n">
        <v>1205</v>
      </c>
      <c r="K1214" s="5"/>
    </row>
    <row r="1215" customFormat="false" ht="15" hidden="false" customHeight="false" outlineLevel="0" collapsed="false">
      <c r="A1215" s="5" t="str">
        <f aca="false">IF(I1215="","",J1215)</f>
        <v/>
      </c>
      <c r="B1215" s="83" t="str">
        <f aca="false">IF(I1215="","",INDEX(J_TGL,I1215))</f>
        <v/>
      </c>
      <c r="C1215" s="5" t="str">
        <f aca="false">IF(I1215="","",INDEX(J_NO,I1215))</f>
        <v/>
      </c>
      <c r="D1215" s="5" t="str">
        <f aca="false">IF(I1215="","",INDEX(J_KET,I1215))</f>
        <v/>
      </c>
      <c r="E1215" s="5" t="str">
        <f aca="false">IF(I1215="","",IF(INDEX(J_DEB,I1215)=$C$3,INDEX(J_KRE,I1215),INDEX(J_DEB,I1215)))</f>
        <v/>
      </c>
      <c r="F1215" s="44" t="str">
        <f aca="false">IF(I1215="","",IF(INDEX(J_DEB,I1215)=$C$3,INDEX(J_NOM,I1215),0))</f>
        <v/>
      </c>
      <c r="G1215" s="44" t="str">
        <f aca="false">IF(I1215="","",IF(INDEX(J_KRE,I1215)=$C$3,INDEX(J_NOM,I1215),0))</f>
        <v/>
      </c>
      <c r="H1215" s="44" t="str">
        <f aca="false">IF(I1215="","",N(H1214)+IF($C$5="Debet",F1215-G1215,G1215-F1215))</f>
        <v/>
      </c>
      <c r="I1215" s="66" t="str">
        <f aca="false">IF(J1215&gt;$K$1,"",IFERROR(MATCH(J1215,J_BB,0),""))</f>
        <v/>
      </c>
      <c r="J1215" s="66" t="n">
        <v>1206</v>
      </c>
      <c r="K1215" s="5"/>
    </row>
    <row r="1216" customFormat="false" ht="15" hidden="false" customHeight="false" outlineLevel="0" collapsed="false">
      <c r="A1216" s="5" t="str">
        <f aca="false">IF(I1216="","",J1216)</f>
        <v/>
      </c>
      <c r="B1216" s="83" t="str">
        <f aca="false">IF(I1216="","",INDEX(J_TGL,I1216))</f>
        <v/>
      </c>
      <c r="C1216" s="5" t="str">
        <f aca="false">IF(I1216="","",INDEX(J_NO,I1216))</f>
        <v/>
      </c>
      <c r="D1216" s="5" t="str">
        <f aca="false">IF(I1216="","",INDEX(J_KET,I1216))</f>
        <v/>
      </c>
      <c r="E1216" s="5" t="str">
        <f aca="false">IF(I1216="","",IF(INDEX(J_DEB,I1216)=$C$3,INDEX(J_KRE,I1216),INDEX(J_DEB,I1216)))</f>
        <v/>
      </c>
      <c r="F1216" s="44" t="str">
        <f aca="false">IF(I1216="","",IF(INDEX(J_DEB,I1216)=$C$3,INDEX(J_NOM,I1216),0))</f>
        <v/>
      </c>
      <c r="G1216" s="44" t="str">
        <f aca="false">IF(I1216="","",IF(INDEX(J_KRE,I1216)=$C$3,INDEX(J_NOM,I1216),0))</f>
        <v/>
      </c>
      <c r="H1216" s="44" t="str">
        <f aca="false">IF(I1216="","",N(H1215)+IF($C$5="Debet",F1216-G1216,G1216-F1216))</f>
        <v/>
      </c>
      <c r="I1216" s="66" t="str">
        <f aca="false">IF(J1216&gt;$K$1,"",IFERROR(MATCH(J1216,J_BB,0),""))</f>
        <v/>
      </c>
      <c r="J1216" s="66" t="n">
        <v>1207</v>
      </c>
      <c r="K1216" s="5"/>
    </row>
    <row r="1217" customFormat="false" ht="15" hidden="false" customHeight="false" outlineLevel="0" collapsed="false">
      <c r="A1217" s="5" t="str">
        <f aca="false">IF(I1217="","",J1217)</f>
        <v/>
      </c>
      <c r="B1217" s="83" t="str">
        <f aca="false">IF(I1217="","",INDEX(J_TGL,I1217))</f>
        <v/>
      </c>
      <c r="C1217" s="5" t="str">
        <f aca="false">IF(I1217="","",INDEX(J_NO,I1217))</f>
        <v/>
      </c>
      <c r="D1217" s="5" t="str">
        <f aca="false">IF(I1217="","",INDEX(J_KET,I1217))</f>
        <v/>
      </c>
      <c r="E1217" s="5" t="str">
        <f aca="false">IF(I1217="","",IF(INDEX(J_DEB,I1217)=$C$3,INDEX(J_KRE,I1217),INDEX(J_DEB,I1217)))</f>
        <v/>
      </c>
      <c r="F1217" s="44" t="str">
        <f aca="false">IF(I1217="","",IF(INDEX(J_DEB,I1217)=$C$3,INDEX(J_NOM,I1217),0))</f>
        <v/>
      </c>
      <c r="G1217" s="44" t="str">
        <f aca="false">IF(I1217="","",IF(INDEX(J_KRE,I1217)=$C$3,INDEX(J_NOM,I1217),0))</f>
        <v/>
      </c>
      <c r="H1217" s="44" t="str">
        <f aca="false">IF(I1217="","",N(H1216)+IF($C$5="Debet",F1217-G1217,G1217-F1217))</f>
        <v/>
      </c>
      <c r="I1217" s="66" t="str">
        <f aca="false">IF(J1217&gt;$K$1,"",IFERROR(MATCH(J1217,J_BB,0),""))</f>
        <v/>
      </c>
      <c r="J1217" s="66" t="n">
        <v>1208</v>
      </c>
      <c r="K1217" s="5"/>
    </row>
    <row r="1218" customFormat="false" ht="15" hidden="false" customHeight="false" outlineLevel="0" collapsed="false">
      <c r="A1218" s="5" t="str">
        <f aca="false">IF(I1218="","",J1218)</f>
        <v/>
      </c>
      <c r="B1218" s="83" t="str">
        <f aca="false">IF(I1218="","",INDEX(J_TGL,I1218))</f>
        <v/>
      </c>
      <c r="C1218" s="5" t="str">
        <f aca="false">IF(I1218="","",INDEX(J_NO,I1218))</f>
        <v/>
      </c>
      <c r="D1218" s="5" t="str">
        <f aca="false">IF(I1218="","",INDEX(J_KET,I1218))</f>
        <v/>
      </c>
      <c r="E1218" s="5" t="str">
        <f aca="false">IF(I1218="","",IF(INDEX(J_DEB,I1218)=$C$3,INDEX(J_KRE,I1218),INDEX(J_DEB,I1218)))</f>
        <v/>
      </c>
      <c r="F1218" s="44" t="str">
        <f aca="false">IF(I1218="","",IF(INDEX(J_DEB,I1218)=$C$3,INDEX(J_NOM,I1218),0))</f>
        <v/>
      </c>
      <c r="G1218" s="44" t="str">
        <f aca="false">IF(I1218="","",IF(INDEX(J_KRE,I1218)=$C$3,INDEX(J_NOM,I1218),0))</f>
        <v/>
      </c>
      <c r="H1218" s="44" t="str">
        <f aca="false">IF(I1218="","",N(H1217)+IF($C$5="Debet",F1218-G1218,G1218-F1218))</f>
        <v/>
      </c>
      <c r="I1218" s="66" t="str">
        <f aca="false">IF(J1218&gt;$K$1,"",IFERROR(MATCH(J1218,J_BB,0),""))</f>
        <v/>
      </c>
      <c r="J1218" s="66" t="n">
        <v>1209</v>
      </c>
      <c r="K1218" s="5"/>
    </row>
    <row r="1219" customFormat="false" ht="15" hidden="false" customHeight="false" outlineLevel="0" collapsed="false">
      <c r="A1219" s="5" t="str">
        <f aca="false">IF(I1219="","",J1219)</f>
        <v/>
      </c>
      <c r="B1219" s="83" t="str">
        <f aca="false">IF(I1219="","",INDEX(J_TGL,I1219))</f>
        <v/>
      </c>
      <c r="C1219" s="5" t="str">
        <f aca="false">IF(I1219="","",INDEX(J_NO,I1219))</f>
        <v/>
      </c>
      <c r="D1219" s="5" t="str">
        <f aca="false">IF(I1219="","",INDEX(J_KET,I1219))</f>
        <v/>
      </c>
      <c r="E1219" s="5" t="str">
        <f aca="false">IF(I1219="","",IF(INDEX(J_DEB,I1219)=$C$3,INDEX(J_KRE,I1219),INDEX(J_DEB,I1219)))</f>
        <v/>
      </c>
      <c r="F1219" s="44" t="str">
        <f aca="false">IF(I1219="","",IF(INDEX(J_DEB,I1219)=$C$3,INDEX(J_NOM,I1219),0))</f>
        <v/>
      </c>
      <c r="G1219" s="44" t="str">
        <f aca="false">IF(I1219="","",IF(INDEX(J_KRE,I1219)=$C$3,INDEX(J_NOM,I1219),0))</f>
        <v/>
      </c>
      <c r="H1219" s="44" t="str">
        <f aca="false">IF(I1219="","",N(H1218)+IF($C$5="Debet",F1219-G1219,G1219-F1219))</f>
        <v/>
      </c>
      <c r="I1219" s="66" t="str">
        <f aca="false">IF(J1219&gt;$K$1,"",IFERROR(MATCH(J1219,J_BB,0),""))</f>
        <v/>
      </c>
      <c r="J1219" s="66" t="n">
        <v>1210</v>
      </c>
      <c r="K1219" s="5"/>
    </row>
    <row r="1220" customFormat="false" ht="15" hidden="false" customHeight="false" outlineLevel="0" collapsed="false">
      <c r="A1220" s="5" t="str">
        <f aca="false">IF(I1220="","",J1220)</f>
        <v/>
      </c>
      <c r="B1220" s="83" t="str">
        <f aca="false">IF(I1220="","",INDEX(J_TGL,I1220))</f>
        <v/>
      </c>
      <c r="C1220" s="5" t="str">
        <f aca="false">IF(I1220="","",INDEX(J_NO,I1220))</f>
        <v/>
      </c>
      <c r="D1220" s="5" t="str">
        <f aca="false">IF(I1220="","",INDEX(J_KET,I1220))</f>
        <v/>
      </c>
      <c r="E1220" s="5" t="str">
        <f aca="false">IF(I1220="","",IF(INDEX(J_DEB,I1220)=$C$3,INDEX(J_KRE,I1220),INDEX(J_DEB,I1220)))</f>
        <v/>
      </c>
      <c r="F1220" s="44" t="str">
        <f aca="false">IF(I1220="","",IF(INDEX(J_DEB,I1220)=$C$3,INDEX(J_NOM,I1220),0))</f>
        <v/>
      </c>
      <c r="G1220" s="44" t="str">
        <f aca="false">IF(I1220="","",IF(INDEX(J_KRE,I1220)=$C$3,INDEX(J_NOM,I1220),0))</f>
        <v/>
      </c>
      <c r="H1220" s="44" t="str">
        <f aca="false">IF(I1220="","",N(H1219)+IF($C$5="Debet",F1220-G1220,G1220-F1220))</f>
        <v/>
      </c>
      <c r="I1220" s="66" t="str">
        <f aca="false">IF(J1220&gt;$K$1,"",IFERROR(MATCH(J1220,J_BB,0),""))</f>
        <v/>
      </c>
      <c r="J1220" s="66" t="n">
        <v>1211</v>
      </c>
      <c r="K1220" s="5"/>
    </row>
    <row r="1221" customFormat="false" ht="15" hidden="false" customHeight="false" outlineLevel="0" collapsed="false">
      <c r="A1221" s="5" t="str">
        <f aca="false">IF(I1221="","",J1221)</f>
        <v/>
      </c>
      <c r="B1221" s="83" t="str">
        <f aca="false">IF(I1221="","",INDEX(J_TGL,I1221))</f>
        <v/>
      </c>
      <c r="C1221" s="5" t="str">
        <f aca="false">IF(I1221="","",INDEX(J_NO,I1221))</f>
        <v/>
      </c>
      <c r="D1221" s="5" t="str">
        <f aca="false">IF(I1221="","",INDEX(J_KET,I1221))</f>
        <v/>
      </c>
      <c r="E1221" s="5" t="str">
        <f aca="false">IF(I1221="","",IF(INDEX(J_DEB,I1221)=$C$3,INDEX(J_KRE,I1221),INDEX(J_DEB,I1221)))</f>
        <v/>
      </c>
      <c r="F1221" s="44" t="str">
        <f aca="false">IF(I1221="","",IF(INDEX(J_DEB,I1221)=$C$3,INDEX(J_NOM,I1221),0))</f>
        <v/>
      </c>
      <c r="G1221" s="44" t="str">
        <f aca="false">IF(I1221="","",IF(INDEX(J_KRE,I1221)=$C$3,INDEX(J_NOM,I1221),0))</f>
        <v/>
      </c>
      <c r="H1221" s="44" t="str">
        <f aca="false">IF(I1221="","",N(H1220)+IF($C$5="Debet",F1221-G1221,G1221-F1221))</f>
        <v/>
      </c>
      <c r="I1221" s="66" t="str">
        <f aca="false">IF(J1221&gt;$K$1,"",IFERROR(MATCH(J1221,J_BB,0),""))</f>
        <v/>
      </c>
      <c r="J1221" s="66" t="n">
        <v>1212</v>
      </c>
      <c r="K1221" s="5"/>
    </row>
    <row r="1222" customFormat="false" ht="15" hidden="false" customHeight="false" outlineLevel="0" collapsed="false">
      <c r="A1222" s="5" t="str">
        <f aca="false">IF(I1222="","",J1222)</f>
        <v/>
      </c>
      <c r="B1222" s="83" t="str">
        <f aca="false">IF(I1222="","",INDEX(J_TGL,I1222))</f>
        <v/>
      </c>
      <c r="C1222" s="5" t="str">
        <f aca="false">IF(I1222="","",INDEX(J_NO,I1222))</f>
        <v/>
      </c>
      <c r="D1222" s="5" t="str">
        <f aca="false">IF(I1222="","",INDEX(J_KET,I1222))</f>
        <v/>
      </c>
      <c r="E1222" s="5" t="str">
        <f aca="false">IF(I1222="","",IF(INDEX(J_DEB,I1222)=$C$3,INDEX(J_KRE,I1222),INDEX(J_DEB,I1222)))</f>
        <v/>
      </c>
      <c r="F1222" s="44" t="str">
        <f aca="false">IF(I1222="","",IF(INDEX(J_DEB,I1222)=$C$3,INDEX(J_NOM,I1222),0))</f>
        <v/>
      </c>
      <c r="G1222" s="44" t="str">
        <f aca="false">IF(I1222="","",IF(INDEX(J_KRE,I1222)=$C$3,INDEX(J_NOM,I1222),0))</f>
        <v/>
      </c>
      <c r="H1222" s="44" t="str">
        <f aca="false">IF(I1222="","",N(H1221)+IF($C$5="Debet",F1222-G1222,G1222-F1222))</f>
        <v/>
      </c>
      <c r="I1222" s="66" t="str">
        <f aca="false">IF(J1222&gt;$K$1,"",IFERROR(MATCH(J1222,J_BB,0),""))</f>
        <v/>
      </c>
      <c r="J1222" s="66" t="n">
        <v>1213</v>
      </c>
      <c r="K1222" s="5"/>
    </row>
    <row r="1223" customFormat="false" ht="15" hidden="false" customHeight="false" outlineLevel="0" collapsed="false">
      <c r="A1223" s="5" t="str">
        <f aca="false">IF(I1223="","",J1223)</f>
        <v/>
      </c>
      <c r="B1223" s="83" t="str">
        <f aca="false">IF(I1223="","",INDEX(J_TGL,I1223))</f>
        <v/>
      </c>
      <c r="C1223" s="5" t="str">
        <f aca="false">IF(I1223="","",INDEX(J_NO,I1223))</f>
        <v/>
      </c>
      <c r="D1223" s="5" t="str">
        <f aca="false">IF(I1223="","",INDEX(J_KET,I1223))</f>
        <v/>
      </c>
      <c r="E1223" s="5" t="str">
        <f aca="false">IF(I1223="","",IF(INDEX(J_DEB,I1223)=$C$3,INDEX(J_KRE,I1223),INDEX(J_DEB,I1223)))</f>
        <v/>
      </c>
      <c r="F1223" s="44" t="str">
        <f aca="false">IF(I1223="","",IF(INDEX(J_DEB,I1223)=$C$3,INDEX(J_NOM,I1223),0))</f>
        <v/>
      </c>
      <c r="G1223" s="44" t="str">
        <f aca="false">IF(I1223="","",IF(INDEX(J_KRE,I1223)=$C$3,INDEX(J_NOM,I1223),0))</f>
        <v/>
      </c>
      <c r="H1223" s="44" t="str">
        <f aca="false">IF(I1223="","",N(H1222)+IF($C$5="Debet",F1223-G1223,G1223-F1223))</f>
        <v/>
      </c>
      <c r="I1223" s="66" t="str">
        <f aca="false">IF(J1223&gt;$K$1,"",IFERROR(MATCH(J1223,J_BB,0),""))</f>
        <v/>
      </c>
      <c r="J1223" s="66" t="n">
        <v>1214</v>
      </c>
      <c r="K1223" s="5"/>
    </row>
    <row r="1224" customFormat="false" ht="15" hidden="false" customHeight="false" outlineLevel="0" collapsed="false">
      <c r="A1224" s="5" t="str">
        <f aca="false">IF(I1224="","",J1224)</f>
        <v/>
      </c>
      <c r="B1224" s="83" t="str">
        <f aca="false">IF(I1224="","",INDEX(J_TGL,I1224))</f>
        <v/>
      </c>
      <c r="C1224" s="5" t="str">
        <f aca="false">IF(I1224="","",INDEX(J_NO,I1224))</f>
        <v/>
      </c>
      <c r="D1224" s="5" t="str">
        <f aca="false">IF(I1224="","",INDEX(J_KET,I1224))</f>
        <v/>
      </c>
      <c r="E1224" s="5" t="str">
        <f aca="false">IF(I1224="","",IF(INDEX(J_DEB,I1224)=$C$3,INDEX(J_KRE,I1224),INDEX(J_DEB,I1224)))</f>
        <v/>
      </c>
      <c r="F1224" s="44" t="str">
        <f aca="false">IF(I1224="","",IF(INDEX(J_DEB,I1224)=$C$3,INDEX(J_NOM,I1224),0))</f>
        <v/>
      </c>
      <c r="G1224" s="44" t="str">
        <f aca="false">IF(I1224="","",IF(INDEX(J_KRE,I1224)=$C$3,INDEX(J_NOM,I1224),0))</f>
        <v/>
      </c>
      <c r="H1224" s="44" t="str">
        <f aca="false">IF(I1224="","",N(H1223)+IF($C$5="Debet",F1224-G1224,G1224-F1224))</f>
        <v/>
      </c>
      <c r="I1224" s="66" t="str">
        <f aca="false">IF(J1224&gt;$K$1,"",IFERROR(MATCH(J1224,J_BB,0),""))</f>
        <v/>
      </c>
      <c r="J1224" s="66" t="n">
        <v>1215</v>
      </c>
      <c r="K1224" s="5"/>
    </row>
    <row r="1225" customFormat="false" ht="15" hidden="false" customHeight="false" outlineLevel="0" collapsed="false">
      <c r="A1225" s="5" t="str">
        <f aca="false">IF(I1225="","",J1225)</f>
        <v/>
      </c>
      <c r="B1225" s="83" t="str">
        <f aca="false">IF(I1225="","",INDEX(J_TGL,I1225))</f>
        <v/>
      </c>
      <c r="C1225" s="5" t="str">
        <f aca="false">IF(I1225="","",INDEX(J_NO,I1225))</f>
        <v/>
      </c>
      <c r="D1225" s="5" t="str">
        <f aca="false">IF(I1225="","",INDEX(J_KET,I1225))</f>
        <v/>
      </c>
      <c r="E1225" s="5" t="str">
        <f aca="false">IF(I1225="","",IF(INDEX(J_DEB,I1225)=$C$3,INDEX(J_KRE,I1225),INDEX(J_DEB,I1225)))</f>
        <v/>
      </c>
      <c r="F1225" s="44" t="str">
        <f aca="false">IF(I1225="","",IF(INDEX(J_DEB,I1225)=$C$3,INDEX(J_NOM,I1225),0))</f>
        <v/>
      </c>
      <c r="G1225" s="44" t="str">
        <f aca="false">IF(I1225="","",IF(INDEX(J_KRE,I1225)=$C$3,INDEX(J_NOM,I1225),0))</f>
        <v/>
      </c>
      <c r="H1225" s="44" t="str">
        <f aca="false">IF(I1225="","",N(H1224)+IF($C$5="Debet",F1225-G1225,G1225-F1225))</f>
        <v/>
      </c>
      <c r="I1225" s="66" t="str">
        <f aca="false">IF(J1225&gt;$K$1,"",IFERROR(MATCH(J1225,J_BB,0),""))</f>
        <v/>
      </c>
      <c r="J1225" s="66" t="n">
        <v>1216</v>
      </c>
      <c r="K1225" s="5"/>
    </row>
    <row r="1226" customFormat="false" ht="15" hidden="false" customHeight="false" outlineLevel="0" collapsed="false">
      <c r="A1226" s="5" t="str">
        <f aca="false">IF(I1226="","",J1226)</f>
        <v/>
      </c>
      <c r="B1226" s="83" t="str">
        <f aca="false">IF(I1226="","",INDEX(J_TGL,I1226))</f>
        <v/>
      </c>
      <c r="C1226" s="5" t="str">
        <f aca="false">IF(I1226="","",INDEX(J_NO,I1226))</f>
        <v/>
      </c>
      <c r="D1226" s="5" t="str">
        <f aca="false">IF(I1226="","",INDEX(J_KET,I1226))</f>
        <v/>
      </c>
      <c r="E1226" s="5" t="str">
        <f aca="false">IF(I1226="","",IF(INDEX(J_DEB,I1226)=$C$3,INDEX(J_KRE,I1226),INDEX(J_DEB,I1226)))</f>
        <v/>
      </c>
      <c r="F1226" s="44" t="str">
        <f aca="false">IF(I1226="","",IF(INDEX(J_DEB,I1226)=$C$3,INDEX(J_NOM,I1226),0))</f>
        <v/>
      </c>
      <c r="G1226" s="44" t="str">
        <f aca="false">IF(I1226="","",IF(INDEX(J_KRE,I1226)=$C$3,INDEX(J_NOM,I1226),0))</f>
        <v/>
      </c>
      <c r="H1226" s="44" t="str">
        <f aca="false">IF(I1226="","",N(H1225)+IF($C$5="Debet",F1226-G1226,G1226-F1226))</f>
        <v/>
      </c>
      <c r="I1226" s="66" t="str">
        <f aca="false">IF(J1226&gt;$K$1,"",IFERROR(MATCH(J1226,J_BB,0),""))</f>
        <v/>
      </c>
      <c r="J1226" s="66" t="n">
        <v>1217</v>
      </c>
      <c r="K1226" s="5"/>
    </row>
    <row r="1227" customFormat="false" ht="15" hidden="false" customHeight="false" outlineLevel="0" collapsed="false">
      <c r="A1227" s="5" t="str">
        <f aca="false">IF(I1227="","",J1227)</f>
        <v/>
      </c>
      <c r="B1227" s="83" t="str">
        <f aca="false">IF(I1227="","",INDEX(J_TGL,I1227))</f>
        <v/>
      </c>
      <c r="C1227" s="5" t="str">
        <f aca="false">IF(I1227="","",INDEX(J_NO,I1227))</f>
        <v/>
      </c>
      <c r="D1227" s="5" t="str">
        <f aca="false">IF(I1227="","",INDEX(J_KET,I1227))</f>
        <v/>
      </c>
      <c r="E1227" s="5" t="str">
        <f aca="false">IF(I1227="","",IF(INDEX(J_DEB,I1227)=$C$3,INDEX(J_KRE,I1227),INDEX(J_DEB,I1227)))</f>
        <v/>
      </c>
      <c r="F1227" s="44" t="str">
        <f aca="false">IF(I1227="","",IF(INDEX(J_DEB,I1227)=$C$3,INDEX(J_NOM,I1227),0))</f>
        <v/>
      </c>
      <c r="G1227" s="44" t="str">
        <f aca="false">IF(I1227="","",IF(INDEX(J_KRE,I1227)=$C$3,INDEX(J_NOM,I1227),0))</f>
        <v/>
      </c>
      <c r="H1227" s="44" t="str">
        <f aca="false">IF(I1227="","",N(H1226)+IF($C$5="Debet",F1227-G1227,G1227-F1227))</f>
        <v/>
      </c>
      <c r="I1227" s="66" t="str">
        <f aca="false">IF(J1227&gt;$K$1,"",IFERROR(MATCH(J1227,J_BB,0),""))</f>
        <v/>
      </c>
      <c r="J1227" s="66" t="n">
        <v>1218</v>
      </c>
      <c r="K1227" s="5"/>
    </row>
    <row r="1228" customFormat="false" ht="15" hidden="false" customHeight="false" outlineLevel="0" collapsed="false">
      <c r="A1228" s="5" t="str">
        <f aca="false">IF(I1228="","",J1228)</f>
        <v/>
      </c>
      <c r="B1228" s="83" t="str">
        <f aca="false">IF(I1228="","",INDEX(J_TGL,I1228))</f>
        <v/>
      </c>
      <c r="C1228" s="5" t="str">
        <f aca="false">IF(I1228="","",INDEX(J_NO,I1228))</f>
        <v/>
      </c>
      <c r="D1228" s="5" t="str">
        <f aca="false">IF(I1228="","",INDEX(J_KET,I1228))</f>
        <v/>
      </c>
      <c r="E1228" s="5" t="str">
        <f aca="false">IF(I1228="","",IF(INDEX(J_DEB,I1228)=$C$3,INDEX(J_KRE,I1228),INDEX(J_DEB,I1228)))</f>
        <v/>
      </c>
      <c r="F1228" s="44" t="str">
        <f aca="false">IF(I1228="","",IF(INDEX(J_DEB,I1228)=$C$3,INDEX(J_NOM,I1228),0))</f>
        <v/>
      </c>
      <c r="G1228" s="44" t="str">
        <f aca="false">IF(I1228="","",IF(INDEX(J_KRE,I1228)=$C$3,INDEX(J_NOM,I1228),0))</f>
        <v/>
      </c>
      <c r="H1228" s="44" t="str">
        <f aca="false">IF(I1228="","",N(H1227)+IF($C$5="Debet",F1228-G1228,G1228-F1228))</f>
        <v/>
      </c>
      <c r="I1228" s="66" t="str">
        <f aca="false">IF(J1228&gt;$K$1,"",IFERROR(MATCH(J1228,J_BB,0),""))</f>
        <v/>
      </c>
      <c r="J1228" s="66" t="n">
        <v>1219</v>
      </c>
      <c r="K1228" s="5"/>
    </row>
    <row r="1229" customFormat="false" ht="15" hidden="false" customHeight="false" outlineLevel="0" collapsed="false">
      <c r="A1229" s="5" t="str">
        <f aca="false">IF(I1229="","",J1229)</f>
        <v/>
      </c>
      <c r="B1229" s="83" t="str">
        <f aca="false">IF(I1229="","",INDEX(J_TGL,I1229))</f>
        <v/>
      </c>
      <c r="C1229" s="5" t="str">
        <f aca="false">IF(I1229="","",INDEX(J_NO,I1229))</f>
        <v/>
      </c>
      <c r="D1229" s="5" t="str">
        <f aca="false">IF(I1229="","",INDEX(J_KET,I1229))</f>
        <v/>
      </c>
      <c r="E1229" s="5" t="str">
        <f aca="false">IF(I1229="","",IF(INDEX(J_DEB,I1229)=$C$3,INDEX(J_KRE,I1229),INDEX(J_DEB,I1229)))</f>
        <v/>
      </c>
      <c r="F1229" s="44" t="str">
        <f aca="false">IF(I1229="","",IF(INDEX(J_DEB,I1229)=$C$3,INDEX(J_NOM,I1229),0))</f>
        <v/>
      </c>
      <c r="G1229" s="44" t="str">
        <f aca="false">IF(I1229="","",IF(INDEX(J_KRE,I1229)=$C$3,INDEX(J_NOM,I1229),0))</f>
        <v/>
      </c>
      <c r="H1229" s="44" t="str">
        <f aca="false">IF(I1229="","",N(H1228)+IF($C$5="Debet",F1229-G1229,G1229-F1229))</f>
        <v/>
      </c>
      <c r="I1229" s="66" t="str">
        <f aca="false">IF(J1229&gt;$K$1,"",IFERROR(MATCH(J1229,J_BB,0),""))</f>
        <v/>
      </c>
      <c r="J1229" s="66" t="n">
        <v>1220</v>
      </c>
      <c r="K1229" s="5"/>
    </row>
    <row r="1230" customFormat="false" ht="15" hidden="false" customHeight="false" outlineLevel="0" collapsed="false">
      <c r="A1230" s="5" t="str">
        <f aca="false">IF(I1230="","",J1230)</f>
        <v/>
      </c>
      <c r="B1230" s="83" t="str">
        <f aca="false">IF(I1230="","",INDEX(J_TGL,I1230))</f>
        <v/>
      </c>
      <c r="C1230" s="5" t="str">
        <f aca="false">IF(I1230="","",INDEX(J_NO,I1230))</f>
        <v/>
      </c>
      <c r="D1230" s="5" t="str">
        <f aca="false">IF(I1230="","",INDEX(J_KET,I1230))</f>
        <v/>
      </c>
      <c r="E1230" s="5" t="str">
        <f aca="false">IF(I1230="","",IF(INDEX(J_DEB,I1230)=$C$3,INDEX(J_KRE,I1230),INDEX(J_DEB,I1230)))</f>
        <v/>
      </c>
      <c r="F1230" s="44" t="str">
        <f aca="false">IF(I1230="","",IF(INDEX(J_DEB,I1230)=$C$3,INDEX(J_NOM,I1230),0))</f>
        <v/>
      </c>
      <c r="G1230" s="44" t="str">
        <f aca="false">IF(I1230="","",IF(INDEX(J_KRE,I1230)=$C$3,INDEX(J_NOM,I1230),0))</f>
        <v/>
      </c>
      <c r="H1230" s="44" t="str">
        <f aca="false">IF(I1230="","",N(H1229)+IF($C$5="Debet",F1230-G1230,G1230-F1230))</f>
        <v/>
      </c>
      <c r="I1230" s="66" t="str">
        <f aca="false">IF(J1230&gt;$K$1,"",IFERROR(MATCH(J1230,J_BB,0),""))</f>
        <v/>
      </c>
      <c r="J1230" s="66" t="n">
        <v>1221</v>
      </c>
      <c r="K1230" s="5"/>
    </row>
    <row r="1231" customFormat="false" ht="15" hidden="false" customHeight="false" outlineLevel="0" collapsed="false">
      <c r="A1231" s="5" t="str">
        <f aca="false">IF(I1231="","",J1231)</f>
        <v/>
      </c>
      <c r="B1231" s="83" t="str">
        <f aca="false">IF(I1231="","",INDEX(J_TGL,I1231))</f>
        <v/>
      </c>
      <c r="C1231" s="5" t="str">
        <f aca="false">IF(I1231="","",INDEX(J_NO,I1231))</f>
        <v/>
      </c>
      <c r="D1231" s="5" t="str">
        <f aca="false">IF(I1231="","",INDEX(J_KET,I1231))</f>
        <v/>
      </c>
      <c r="E1231" s="5" t="str">
        <f aca="false">IF(I1231="","",IF(INDEX(J_DEB,I1231)=$C$3,INDEX(J_KRE,I1231),INDEX(J_DEB,I1231)))</f>
        <v/>
      </c>
      <c r="F1231" s="44" t="str">
        <f aca="false">IF(I1231="","",IF(INDEX(J_DEB,I1231)=$C$3,INDEX(J_NOM,I1231),0))</f>
        <v/>
      </c>
      <c r="G1231" s="44" t="str">
        <f aca="false">IF(I1231="","",IF(INDEX(J_KRE,I1231)=$C$3,INDEX(J_NOM,I1231),0))</f>
        <v/>
      </c>
      <c r="H1231" s="44" t="str">
        <f aca="false">IF(I1231="","",N(H1230)+IF($C$5="Debet",F1231-G1231,G1231-F1231))</f>
        <v/>
      </c>
      <c r="I1231" s="66" t="str">
        <f aca="false">IF(J1231&gt;$K$1,"",IFERROR(MATCH(J1231,J_BB,0),""))</f>
        <v/>
      </c>
      <c r="J1231" s="66" t="n">
        <v>1222</v>
      </c>
      <c r="K1231" s="5"/>
    </row>
    <row r="1232" customFormat="false" ht="15" hidden="false" customHeight="false" outlineLevel="0" collapsed="false">
      <c r="A1232" s="5" t="str">
        <f aca="false">IF(I1232="","",J1232)</f>
        <v/>
      </c>
      <c r="B1232" s="83" t="str">
        <f aca="false">IF(I1232="","",INDEX(J_TGL,I1232))</f>
        <v/>
      </c>
      <c r="C1232" s="5" t="str">
        <f aca="false">IF(I1232="","",INDEX(J_NO,I1232))</f>
        <v/>
      </c>
      <c r="D1232" s="5" t="str">
        <f aca="false">IF(I1232="","",INDEX(J_KET,I1232))</f>
        <v/>
      </c>
      <c r="E1232" s="5" t="str">
        <f aca="false">IF(I1232="","",IF(INDEX(J_DEB,I1232)=$C$3,INDEX(J_KRE,I1232),INDEX(J_DEB,I1232)))</f>
        <v/>
      </c>
      <c r="F1232" s="44" t="str">
        <f aca="false">IF(I1232="","",IF(INDEX(J_DEB,I1232)=$C$3,INDEX(J_NOM,I1232),0))</f>
        <v/>
      </c>
      <c r="G1232" s="44" t="str">
        <f aca="false">IF(I1232="","",IF(INDEX(J_KRE,I1232)=$C$3,INDEX(J_NOM,I1232),0))</f>
        <v/>
      </c>
      <c r="H1232" s="44" t="str">
        <f aca="false">IF(I1232="","",N(H1231)+IF($C$5="Debet",F1232-G1232,G1232-F1232))</f>
        <v/>
      </c>
      <c r="I1232" s="66" t="str">
        <f aca="false">IF(J1232&gt;$K$1,"",IFERROR(MATCH(J1232,J_BB,0),""))</f>
        <v/>
      </c>
      <c r="J1232" s="66" t="n">
        <v>1223</v>
      </c>
      <c r="K1232" s="5"/>
    </row>
    <row r="1233" customFormat="false" ht="15" hidden="false" customHeight="false" outlineLevel="0" collapsed="false">
      <c r="A1233" s="5" t="str">
        <f aca="false">IF(I1233="","",J1233)</f>
        <v/>
      </c>
      <c r="B1233" s="83" t="str">
        <f aca="false">IF(I1233="","",INDEX(J_TGL,I1233))</f>
        <v/>
      </c>
      <c r="C1233" s="5" t="str">
        <f aca="false">IF(I1233="","",INDEX(J_NO,I1233))</f>
        <v/>
      </c>
      <c r="D1233" s="5" t="str">
        <f aca="false">IF(I1233="","",INDEX(J_KET,I1233))</f>
        <v/>
      </c>
      <c r="E1233" s="5" t="str">
        <f aca="false">IF(I1233="","",IF(INDEX(J_DEB,I1233)=$C$3,INDEX(J_KRE,I1233),INDEX(J_DEB,I1233)))</f>
        <v/>
      </c>
      <c r="F1233" s="44" t="str">
        <f aca="false">IF(I1233="","",IF(INDEX(J_DEB,I1233)=$C$3,INDEX(J_NOM,I1233),0))</f>
        <v/>
      </c>
      <c r="G1233" s="44" t="str">
        <f aca="false">IF(I1233="","",IF(INDEX(J_KRE,I1233)=$C$3,INDEX(J_NOM,I1233),0))</f>
        <v/>
      </c>
      <c r="H1233" s="44" t="str">
        <f aca="false">IF(I1233="","",N(H1232)+IF($C$5="Debet",F1233-G1233,G1233-F1233))</f>
        <v/>
      </c>
      <c r="I1233" s="66" t="str">
        <f aca="false">IF(J1233&gt;$K$1,"",IFERROR(MATCH(J1233,J_BB,0),""))</f>
        <v/>
      </c>
      <c r="J1233" s="66" t="n">
        <v>1224</v>
      </c>
      <c r="K1233" s="5"/>
    </row>
    <row r="1234" customFormat="false" ht="15" hidden="false" customHeight="false" outlineLevel="0" collapsed="false">
      <c r="A1234" s="5" t="str">
        <f aca="false">IF(I1234="","",J1234)</f>
        <v/>
      </c>
      <c r="B1234" s="83" t="str">
        <f aca="false">IF(I1234="","",INDEX(J_TGL,I1234))</f>
        <v/>
      </c>
      <c r="C1234" s="5" t="str">
        <f aca="false">IF(I1234="","",INDEX(J_NO,I1234))</f>
        <v/>
      </c>
      <c r="D1234" s="5" t="str">
        <f aca="false">IF(I1234="","",INDEX(J_KET,I1234))</f>
        <v/>
      </c>
      <c r="E1234" s="5" t="str">
        <f aca="false">IF(I1234="","",IF(INDEX(J_DEB,I1234)=$C$3,INDEX(J_KRE,I1234),INDEX(J_DEB,I1234)))</f>
        <v/>
      </c>
      <c r="F1234" s="44" t="str">
        <f aca="false">IF(I1234="","",IF(INDEX(J_DEB,I1234)=$C$3,INDEX(J_NOM,I1234),0))</f>
        <v/>
      </c>
      <c r="G1234" s="44" t="str">
        <f aca="false">IF(I1234="","",IF(INDEX(J_KRE,I1234)=$C$3,INDEX(J_NOM,I1234),0))</f>
        <v/>
      </c>
      <c r="H1234" s="44" t="str">
        <f aca="false">IF(I1234="","",N(H1233)+IF($C$5="Debet",F1234-G1234,G1234-F1234))</f>
        <v/>
      </c>
      <c r="I1234" s="66" t="str">
        <f aca="false">IF(J1234&gt;$K$1,"",IFERROR(MATCH(J1234,J_BB,0),""))</f>
        <v/>
      </c>
      <c r="J1234" s="66" t="n">
        <v>1225</v>
      </c>
      <c r="K1234" s="5"/>
    </row>
    <row r="1235" customFormat="false" ht="15" hidden="false" customHeight="false" outlineLevel="0" collapsed="false">
      <c r="A1235" s="5" t="str">
        <f aca="false">IF(I1235="","",J1235)</f>
        <v/>
      </c>
      <c r="B1235" s="83" t="str">
        <f aca="false">IF(I1235="","",INDEX(J_TGL,I1235))</f>
        <v/>
      </c>
      <c r="C1235" s="5" t="str">
        <f aca="false">IF(I1235="","",INDEX(J_NO,I1235))</f>
        <v/>
      </c>
      <c r="D1235" s="5" t="str">
        <f aca="false">IF(I1235="","",INDEX(J_KET,I1235))</f>
        <v/>
      </c>
      <c r="E1235" s="5" t="str">
        <f aca="false">IF(I1235="","",IF(INDEX(J_DEB,I1235)=$C$3,INDEX(J_KRE,I1235),INDEX(J_DEB,I1235)))</f>
        <v/>
      </c>
      <c r="F1235" s="44" t="str">
        <f aca="false">IF(I1235="","",IF(INDEX(J_DEB,I1235)=$C$3,INDEX(J_NOM,I1235),0))</f>
        <v/>
      </c>
      <c r="G1235" s="44" t="str">
        <f aca="false">IF(I1235="","",IF(INDEX(J_KRE,I1235)=$C$3,INDEX(J_NOM,I1235),0))</f>
        <v/>
      </c>
      <c r="H1235" s="44" t="str">
        <f aca="false">IF(I1235="","",N(H1234)+IF($C$5="Debet",F1235-G1235,G1235-F1235))</f>
        <v/>
      </c>
      <c r="I1235" s="66" t="str">
        <f aca="false">IF(J1235&gt;$K$1,"",IFERROR(MATCH(J1235,J_BB,0),""))</f>
        <v/>
      </c>
      <c r="J1235" s="66" t="n">
        <v>1226</v>
      </c>
      <c r="K1235" s="5"/>
    </row>
    <row r="1236" customFormat="false" ht="15" hidden="false" customHeight="false" outlineLevel="0" collapsed="false">
      <c r="A1236" s="5" t="str">
        <f aca="false">IF(I1236="","",J1236)</f>
        <v/>
      </c>
      <c r="B1236" s="83" t="str">
        <f aca="false">IF(I1236="","",INDEX(J_TGL,I1236))</f>
        <v/>
      </c>
      <c r="C1236" s="5" t="str">
        <f aca="false">IF(I1236="","",INDEX(J_NO,I1236))</f>
        <v/>
      </c>
      <c r="D1236" s="5" t="str">
        <f aca="false">IF(I1236="","",INDEX(J_KET,I1236))</f>
        <v/>
      </c>
      <c r="E1236" s="5" t="str">
        <f aca="false">IF(I1236="","",IF(INDEX(J_DEB,I1236)=$C$3,INDEX(J_KRE,I1236),INDEX(J_DEB,I1236)))</f>
        <v/>
      </c>
      <c r="F1236" s="44" t="str">
        <f aca="false">IF(I1236="","",IF(INDEX(J_DEB,I1236)=$C$3,INDEX(J_NOM,I1236),0))</f>
        <v/>
      </c>
      <c r="G1236" s="44" t="str">
        <f aca="false">IF(I1236="","",IF(INDEX(J_KRE,I1236)=$C$3,INDEX(J_NOM,I1236),0))</f>
        <v/>
      </c>
      <c r="H1236" s="44" t="str">
        <f aca="false">IF(I1236="","",N(H1235)+IF($C$5="Debet",F1236-G1236,G1236-F1236))</f>
        <v/>
      </c>
      <c r="I1236" s="66" t="str">
        <f aca="false">IF(J1236&gt;$K$1,"",IFERROR(MATCH(J1236,J_BB,0),""))</f>
        <v/>
      </c>
      <c r="J1236" s="66" t="n">
        <v>1227</v>
      </c>
      <c r="K1236" s="5"/>
    </row>
    <row r="1237" customFormat="false" ht="15" hidden="false" customHeight="false" outlineLevel="0" collapsed="false">
      <c r="A1237" s="5" t="str">
        <f aca="false">IF(I1237="","",J1237)</f>
        <v/>
      </c>
      <c r="B1237" s="83" t="str">
        <f aca="false">IF(I1237="","",INDEX(J_TGL,I1237))</f>
        <v/>
      </c>
      <c r="C1237" s="5" t="str">
        <f aca="false">IF(I1237="","",INDEX(J_NO,I1237))</f>
        <v/>
      </c>
      <c r="D1237" s="5" t="str">
        <f aca="false">IF(I1237="","",INDEX(J_KET,I1237))</f>
        <v/>
      </c>
      <c r="E1237" s="5" t="str">
        <f aca="false">IF(I1237="","",IF(INDEX(J_DEB,I1237)=$C$3,INDEX(J_KRE,I1237),INDEX(J_DEB,I1237)))</f>
        <v/>
      </c>
      <c r="F1237" s="44" t="str">
        <f aca="false">IF(I1237="","",IF(INDEX(J_DEB,I1237)=$C$3,INDEX(J_NOM,I1237),0))</f>
        <v/>
      </c>
      <c r="G1237" s="44" t="str">
        <f aca="false">IF(I1237="","",IF(INDEX(J_KRE,I1237)=$C$3,INDEX(J_NOM,I1237),0))</f>
        <v/>
      </c>
      <c r="H1237" s="44" t="str">
        <f aca="false">IF(I1237="","",N(H1236)+IF($C$5="Debet",F1237-G1237,G1237-F1237))</f>
        <v/>
      </c>
      <c r="I1237" s="66" t="str">
        <f aca="false">IF(J1237&gt;$K$1,"",IFERROR(MATCH(J1237,J_BB,0),""))</f>
        <v/>
      </c>
      <c r="J1237" s="66" t="n">
        <v>1228</v>
      </c>
      <c r="K1237" s="5"/>
    </row>
    <row r="1238" customFormat="false" ht="15" hidden="false" customHeight="false" outlineLevel="0" collapsed="false">
      <c r="A1238" s="5" t="str">
        <f aca="false">IF(I1238="","",J1238)</f>
        <v/>
      </c>
      <c r="B1238" s="83" t="str">
        <f aca="false">IF(I1238="","",INDEX(J_TGL,I1238))</f>
        <v/>
      </c>
      <c r="C1238" s="5" t="str">
        <f aca="false">IF(I1238="","",INDEX(J_NO,I1238))</f>
        <v/>
      </c>
      <c r="D1238" s="5" t="str">
        <f aca="false">IF(I1238="","",INDEX(J_KET,I1238))</f>
        <v/>
      </c>
      <c r="E1238" s="5" t="str">
        <f aca="false">IF(I1238="","",IF(INDEX(J_DEB,I1238)=$C$3,INDEX(J_KRE,I1238),INDEX(J_DEB,I1238)))</f>
        <v/>
      </c>
      <c r="F1238" s="44" t="str">
        <f aca="false">IF(I1238="","",IF(INDEX(J_DEB,I1238)=$C$3,INDEX(J_NOM,I1238),0))</f>
        <v/>
      </c>
      <c r="G1238" s="44" t="str">
        <f aca="false">IF(I1238="","",IF(INDEX(J_KRE,I1238)=$C$3,INDEX(J_NOM,I1238),0))</f>
        <v/>
      </c>
      <c r="H1238" s="44" t="str">
        <f aca="false">IF(I1238="","",N(H1237)+IF($C$5="Debet",F1238-G1238,G1238-F1238))</f>
        <v/>
      </c>
      <c r="I1238" s="66" t="str">
        <f aca="false">IF(J1238&gt;$K$1,"",IFERROR(MATCH(J1238,J_BB,0),""))</f>
        <v/>
      </c>
      <c r="J1238" s="66" t="n">
        <v>1229</v>
      </c>
      <c r="K1238" s="5"/>
    </row>
    <row r="1239" customFormat="false" ht="15" hidden="false" customHeight="false" outlineLevel="0" collapsed="false">
      <c r="A1239" s="5" t="str">
        <f aca="false">IF(I1239="","",J1239)</f>
        <v/>
      </c>
      <c r="B1239" s="83" t="str">
        <f aca="false">IF(I1239="","",INDEX(J_TGL,I1239))</f>
        <v/>
      </c>
      <c r="C1239" s="5" t="str">
        <f aca="false">IF(I1239="","",INDEX(J_NO,I1239))</f>
        <v/>
      </c>
      <c r="D1239" s="5" t="str">
        <f aca="false">IF(I1239="","",INDEX(J_KET,I1239))</f>
        <v/>
      </c>
      <c r="E1239" s="5" t="str">
        <f aca="false">IF(I1239="","",IF(INDEX(J_DEB,I1239)=$C$3,INDEX(J_KRE,I1239),INDEX(J_DEB,I1239)))</f>
        <v/>
      </c>
      <c r="F1239" s="44" t="str">
        <f aca="false">IF(I1239="","",IF(INDEX(J_DEB,I1239)=$C$3,INDEX(J_NOM,I1239),0))</f>
        <v/>
      </c>
      <c r="G1239" s="44" t="str">
        <f aca="false">IF(I1239="","",IF(INDEX(J_KRE,I1239)=$C$3,INDEX(J_NOM,I1239),0))</f>
        <v/>
      </c>
      <c r="H1239" s="44" t="str">
        <f aca="false">IF(I1239="","",N(H1238)+IF($C$5="Debet",F1239-G1239,G1239-F1239))</f>
        <v/>
      </c>
      <c r="I1239" s="66" t="str">
        <f aca="false">IF(J1239&gt;$K$1,"",IFERROR(MATCH(J1239,J_BB,0),""))</f>
        <v/>
      </c>
      <c r="J1239" s="66" t="n">
        <v>1230</v>
      </c>
      <c r="K1239" s="5"/>
    </row>
    <row r="1240" customFormat="false" ht="15" hidden="false" customHeight="false" outlineLevel="0" collapsed="false">
      <c r="A1240" s="5" t="str">
        <f aca="false">IF(I1240="","",J1240)</f>
        <v/>
      </c>
      <c r="B1240" s="83" t="str">
        <f aca="false">IF(I1240="","",INDEX(J_TGL,I1240))</f>
        <v/>
      </c>
      <c r="C1240" s="5" t="str">
        <f aca="false">IF(I1240="","",INDEX(J_NO,I1240))</f>
        <v/>
      </c>
      <c r="D1240" s="5" t="str">
        <f aca="false">IF(I1240="","",INDEX(J_KET,I1240))</f>
        <v/>
      </c>
      <c r="E1240" s="5" t="str">
        <f aca="false">IF(I1240="","",IF(INDEX(J_DEB,I1240)=$C$3,INDEX(J_KRE,I1240),INDEX(J_DEB,I1240)))</f>
        <v/>
      </c>
      <c r="F1240" s="44" t="str">
        <f aca="false">IF(I1240="","",IF(INDEX(J_DEB,I1240)=$C$3,INDEX(J_NOM,I1240),0))</f>
        <v/>
      </c>
      <c r="G1240" s="44" t="str">
        <f aca="false">IF(I1240="","",IF(INDEX(J_KRE,I1240)=$C$3,INDEX(J_NOM,I1240),0))</f>
        <v/>
      </c>
      <c r="H1240" s="44" t="str">
        <f aca="false">IF(I1240="","",N(H1239)+IF($C$5="Debet",F1240-G1240,G1240-F1240))</f>
        <v/>
      </c>
      <c r="I1240" s="66" t="str">
        <f aca="false">IF(J1240&gt;$K$1,"",IFERROR(MATCH(J1240,J_BB,0),""))</f>
        <v/>
      </c>
      <c r="J1240" s="66" t="n">
        <v>1231</v>
      </c>
      <c r="K1240" s="5"/>
    </row>
    <row r="1241" customFormat="false" ht="15" hidden="false" customHeight="false" outlineLevel="0" collapsed="false">
      <c r="A1241" s="5" t="str">
        <f aca="false">IF(I1241="","",J1241)</f>
        <v/>
      </c>
      <c r="B1241" s="83" t="str">
        <f aca="false">IF(I1241="","",INDEX(J_TGL,I1241))</f>
        <v/>
      </c>
      <c r="C1241" s="5" t="str">
        <f aca="false">IF(I1241="","",INDEX(J_NO,I1241))</f>
        <v/>
      </c>
      <c r="D1241" s="5" t="str">
        <f aca="false">IF(I1241="","",INDEX(J_KET,I1241))</f>
        <v/>
      </c>
      <c r="E1241" s="5" t="str">
        <f aca="false">IF(I1241="","",IF(INDEX(J_DEB,I1241)=$C$3,INDEX(J_KRE,I1241),INDEX(J_DEB,I1241)))</f>
        <v/>
      </c>
      <c r="F1241" s="44" t="str">
        <f aca="false">IF(I1241="","",IF(INDEX(J_DEB,I1241)=$C$3,INDEX(J_NOM,I1241),0))</f>
        <v/>
      </c>
      <c r="G1241" s="44" t="str">
        <f aca="false">IF(I1241="","",IF(INDEX(J_KRE,I1241)=$C$3,INDEX(J_NOM,I1241),0))</f>
        <v/>
      </c>
      <c r="H1241" s="44" t="str">
        <f aca="false">IF(I1241="","",N(H1240)+IF($C$5="Debet",F1241-G1241,G1241-F1241))</f>
        <v/>
      </c>
      <c r="I1241" s="66" t="str">
        <f aca="false">IF(J1241&gt;$K$1,"",IFERROR(MATCH(J1241,J_BB,0),""))</f>
        <v/>
      </c>
      <c r="J1241" s="66" t="n">
        <v>1232</v>
      </c>
      <c r="K1241" s="5"/>
    </row>
    <row r="1242" customFormat="false" ht="15" hidden="false" customHeight="false" outlineLevel="0" collapsed="false">
      <c r="A1242" s="5" t="str">
        <f aca="false">IF(I1242="","",J1242)</f>
        <v/>
      </c>
      <c r="B1242" s="83" t="str">
        <f aca="false">IF(I1242="","",INDEX(J_TGL,I1242))</f>
        <v/>
      </c>
      <c r="C1242" s="5" t="str">
        <f aca="false">IF(I1242="","",INDEX(J_NO,I1242))</f>
        <v/>
      </c>
      <c r="D1242" s="5" t="str">
        <f aca="false">IF(I1242="","",INDEX(J_KET,I1242))</f>
        <v/>
      </c>
      <c r="E1242" s="5" t="str">
        <f aca="false">IF(I1242="","",IF(INDEX(J_DEB,I1242)=$C$3,INDEX(J_KRE,I1242),INDEX(J_DEB,I1242)))</f>
        <v/>
      </c>
      <c r="F1242" s="44" t="str">
        <f aca="false">IF(I1242="","",IF(INDEX(J_DEB,I1242)=$C$3,INDEX(J_NOM,I1242),0))</f>
        <v/>
      </c>
      <c r="G1242" s="44" t="str">
        <f aca="false">IF(I1242="","",IF(INDEX(J_KRE,I1242)=$C$3,INDEX(J_NOM,I1242),0))</f>
        <v/>
      </c>
      <c r="H1242" s="44" t="str">
        <f aca="false">IF(I1242="","",N(H1241)+IF($C$5="Debet",F1242-G1242,G1242-F1242))</f>
        <v/>
      </c>
      <c r="I1242" s="66" t="str">
        <f aca="false">IF(J1242&gt;$K$1,"",IFERROR(MATCH(J1242,J_BB,0),""))</f>
        <v/>
      </c>
      <c r="J1242" s="66" t="n">
        <v>1233</v>
      </c>
      <c r="K1242" s="5"/>
    </row>
    <row r="1243" customFormat="false" ht="15" hidden="false" customHeight="false" outlineLevel="0" collapsed="false">
      <c r="A1243" s="5" t="str">
        <f aca="false">IF(I1243="","",J1243)</f>
        <v/>
      </c>
      <c r="B1243" s="83" t="str">
        <f aca="false">IF(I1243="","",INDEX(J_TGL,I1243))</f>
        <v/>
      </c>
      <c r="C1243" s="5" t="str">
        <f aca="false">IF(I1243="","",INDEX(J_NO,I1243))</f>
        <v/>
      </c>
      <c r="D1243" s="5" t="str">
        <f aca="false">IF(I1243="","",INDEX(J_KET,I1243))</f>
        <v/>
      </c>
      <c r="E1243" s="5" t="str">
        <f aca="false">IF(I1243="","",IF(INDEX(J_DEB,I1243)=$C$3,INDEX(J_KRE,I1243),INDEX(J_DEB,I1243)))</f>
        <v/>
      </c>
      <c r="F1243" s="44" t="str">
        <f aca="false">IF(I1243="","",IF(INDEX(J_DEB,I1243)=$C$3,INDEX(J_NOM,I1243),0))</f>
        <v/>
      </c>
      <c r="G1243" s="44" t="str">
        <f aca="false">IF(I1243="","",IF(INDEX(J_KRE,I1243)=$C$3,INDEX(J_NOM,I1243),0))</f>
        <v/>
      </c>
      <c r="H1243" s="44" t="str">
        <f aca="false">IF(I1243="","",N(H1242)+IF($C$5="Debet",F1243-G1243,G1243-F1243))</f>
        <v/>
      </c>
      <c r="I1243" s="66" t="str">
        <f aca="false">IF(J1243&gt;$K$1,"",IFERROR(MATCH(J1243,J_BB,0),""))</f>
        <v/>
      </c>
      <c r="J1243" s="66" t="n">
        <v>1234</v>
      </c>
      <c r="K1243" s="5"/>
    </row>
    <row r="1244" customFormat="false" ht="15" hidden="false" customHeight="false" outlineLevel="0" collapsed="false">
      <c r="A1244" s="5" t="str">
        <f aca="false">IF(I1244="","",J1244)</f>
        <v/>
      </c>
      <c r="B1244" s="83" t="str">
        <f aca="false">IF(I1244="","",INDEX(J_TGL,I1244))</f>
        <v/>
      </c>
      <c r="C1244" s="5" t="str">
        <f aca="false">IF(I1244="","",INDEX(J_NO,I1244))</f>
        <v/>
      </c>
      <c r="D1244" s="5" t="str">
        <f aca="false">IF(I1244="","",INDEX(J_KET,I1244))</f>
        <v/>
      </c>
      <c r="E1244" s="5" t="str">
        <f aca="false">IF(I1244="","",IF(INDEX(J_DEB,I1244)=$C$3,INDEX(J_KRE,I1244),INDEX(J_DEB,I1244)))</f>
        <v/>
      </c>
      <c r="F1244" s="44" t="str">
        <f aca="false">IF(I1244="","",IF(INDEX(J_DEB,I1244)=$C$3,INDEX(J_NOM,I1244),0))</f>
        <v/>
      </c>
      <c r="G1244" s="44" t="str">
        <f aca="false">IF(I1244="","",IF(INDEX(J_KRE,I1244)=$C$3,INDEX(J_NOM,I1244),0))</f>
        <v/>
      </c>
      <c r="H1244" s="44" t="str">
        <f aca="false">IF(I1244="","",N(H1243)+IF($C$5="Debet",F1244-G1244,G1244-F1244))</f>
        <v/>
      </c>
      <c r="I1244" s="66" t="str">
        <f aca="false">IF(J1244&gt;$K$1,"",IFERROR(MATCH(J1244,J_BB,0),""))</f>
        <v/>
      </c>
      <c r="J1244" s="66" t="n">
        <v>1235</v>
      </c>
      <c r="K1244" s="5"/>
    </row>
    <row r="1245" customFormat="false" ht="15" hidden="false" customHeight="false" outlineLevel="0" collapsed="false">
      <c r="A1245" s="5" t="str">
        <f aca="false">IF(I1245="","",J1245)</f>
        <v/>
      </c>
      <c r="B1245" s="83" t="str">
        <f aca="false">IF(I1245="","",INDEX(J_TGL,I1245))</f>
        <v/>
      </c>
      <c r="C1245" s="5" t="str">
        <f aca="false">IF(I1245="","",INDEX(J_NO,I1245))</f>
        <v/>
      </c>
      <c r="D1245" s="5" t="str">
        <f aca="false">IF(I1245="","",INDEX(J_KET,I1245))</f>
        <v/>
      </c>
      <c r="E1245" s="5" t="str">
        <f aca="false">IF(I1245="","",IF(INDEX(J_DEB,I1245)=$C$3,INDEX(J_KRE,I1245),INDEX(J_DEB,I1245)))</f>
        <v/>
      </c>
      <c r="F1245" s="44" t="str">
        <f aca="false">IF(I1245="","",IF(INDEX(J_DEB,I1245)=$C$3,INDEX(J_NOM,I1245),0))</f>
        <v/>
      </c>
      <c r="G1245" s="44" t="str">
        <f aca="false">IF(I1245="","",IF(INDEX(J_KRE,I1245)=$C$3,INDEX(J_NOM,I1245),0))</f>
        <v/>
      </c>
      <c r="H1245" s="44" t="str">
        <f aca="false">IF(I1245="","",N(H1244)+IF($C$5="Debet",F1245-G1245,G1245-F1245))</f>
        <v/>
      </c>
      <c r="I1245" s="66" t="str">
        <f aca="false">IF(J1245&gt;$K$1,"",IFERROR(MATCH(J1245,J_BB,0),""))</f>
        <v/>
      </c>
      <c r="J1245" s="66" t="n">
        <v>1236</v>
      </c>
      <c r="K1245" s="5"/>
    </row>
    <row r="1246" customFormat="false" ht="15" hidden="false" customHeight="false" outlineLevel="0" collapsed="false">
      <c r="A1246" s="5" t="str">
        <f aca="false">IF(I1246="","",J1246)</f>
        <v/>
      </c>
      <c r="B1246" s="83" t="str">
        <f aca="false">IF(I1246="","",INDEX(J_TGL,I1246))</f>
        <v/>
      </c>
      <c r="C1246" s="5" t="str">
        <f aca="false">IF(I1246="","",INDEX(J_NO,I1246))</f>
        <v/>
      </c>
      <c r="D1246" s="5" t="str">
        <f aca="false">IF(I1246="","",INDEX(J_KET,I1246))</f>
        <v/>
      </c>
      <c r="E1246" s="5" t="str">
        <f aca="false">IF(I1246="","",IF(INDEX(J_DEB,I1246)=$C$3,INDEX(J_KRE,I1246),INDEX(J_DEB,I1246)))</f>
        <v/>
      </c>
      <c r="F1246" s="44" t="str">
        <f aca="false">IF(I1246="","",IF(INDEX(J_DEB,I1246)=$C$3,INDEX(J_NOM,I1246),0))</f>
        <v/>
      </c>
      <c r="G1246" s="44" t="str">
        <f aca="false">IF(I1246="","",IF(INDEX(J_KRE,I1246)=$C$3,INDEX(J_NOM,I1246),0))</f>
        <v/>
      </c>
      <c r="H1246" s="44" t="str">
        <f aca="false">IF(I1246="","",N(H1245)+IF($C$5="Debet",F1246-G1246,G1246-F1246))</f>
        <v/>
      </c>
      <c r="I1246" s="66" t="str">
        <f aca="false">IF(J1246&gt;$K$1,"",IFERROR(MATCH(J1246,J_BB,0),""))</f>
        <v/>
      </c>
      <c r="J1246" s="66" t="n">
        <v>1237</v>
      </c>
      <c r="K1246" s="5"/>
    </row>
    <row r="1247" customFormat="false" ht="15" hidden="false" customHeight="false" outlineLevel="0" collapsed="false">
      <c r="A1247" s="5" t="str">
        <f aca="false">IF(I1247="","",J1247)</f>
        <v/>
      </c>
      <c r="B1247" s="83" t="str">
        <f aca="false">IF(I1247="","",INDEX(J_TGL,I1247))</f>
        <v/>
      </c>
      <c r="C1247" s="5" t="str">
        <f aca="false">IF(I1247="","",INDEX(J_NO,I1247))</f>
        <v/>
      </c>
      <c r="D1247" s="5" t="str">
        <f aca="false">IF(I1247="","",INDEX(J_KET,I1247))</f>
        <v/>
      </c>
      <c r="E1247" s="5" t="str">
        <f aca="false">IF(I1247="","",IF(INDEX(J_DEB,I1247)=$C$3,INDEX(J_KRE,I1247),INDEX(J_DEB,I1247)))</f>
        <v/>
      </c>
      <c r="F1247" s="44" t="str">
        <f aca="false">IF(I1247="","",IF(INDEX(J_DEB,I1247)=$C$3,INDEX(J_NOM,I1247),0))</f>
        <v/>
      </c>
      <c r="G1247" s="44" t="str">
        <f aca="false">IF(I1247="","",IF(INDEX(J_KRE,I1247)=$C$3,INDEX(J_NOM,I1247),0))</f>
        <v/>
      </c>
      <c r="H1247" s="44" t="str">
        <f aca="false">IF(I1247="","",N(H1246)+IF($C$5="Debet",F1247-G1247,G1247-F1247))</f>
        <v/>
      </c>
      <c r="I1247" s="66" t="str">
        <f aca="false">IF(J1247&gt;$K$1,"",IFERROR(MATCH(J1247,J_BB,0),""))</f>
        <v/>
      </c>
      <c r="J1247" s="66" t="n">
        <v>1238</v>
      </c>
      <c r="K1247" s="5"/>
    </row>
    <row r="1248" customFormat="false" ht="15" hidden="false" customHeight="false" outlineLevel="0" collapsed="false">
      <c r="A1248" s="5" t="str">
        <f aca="false">IF(I1248="","",J1248)</f>
        <v/>
      </c>
      <c r="B1248" s="83" t="str">
        <f aca="false">IF(I1248="","",INDEX(J_TGL,I1248))</f>
        <v/>
      </c>
      <c r="C1248" s="5" t="str">
        <f aca="false">IF(I1248="","",INDEX(J_NO,I1248))</f>
        <v/>
      </c>
      <c r="D1248" s="5" t="str">
        <f aca="false">IF(I1248="","",INDEX(J_KET,I1248))</f>
        <v/>
      </c>
      <c r="E1248" s="5" t="str">
        <f aca="false">IF(I1248="","",IF(INDEX(J_DEB,I1248)=$C$3,INDEX(J_KRE,I1248),INDEX(J_DEB,I1248)))</f>
        <v/>
      </c>
      <c r="F1248" s="44" t="str">
        <f aca="false">IF(I1248="","",IF(INDEX(J_DEB,I1248)=$C$3,INDEX(J_NOM,I1248),0))</f>
        <v/>
      </c>
      <c r="G1248" s="44" t="str">
        <f aca="false">IF(I1248="","",IF(INDEX(J_KRE,I1248)=$C$3,INDEX(J_NOM,I1248),0))</f>
        <v/>
      </c>
      <c r="H1248" s="44" t="str">
        <f aca="false">IF(I1248="","",N(H1247)+IF($C$5="Debet",F1248-G1248,G1248-F1248))</f>
        <v/>
      </c>
      <c r="I1248" s="66" t="str">
        <f aca="false">IF(J1248&gt;$K$1,"",IFERROR(MATCH(J1248,J_BB,0),""))</f>
        <v/>
      </c>
      <c r="J1248" s="66" t="n">
        <v>1239</v>
      </c>
      <c r="K1248" s="5"/>
    </row>
    <row r="1249" customFormat="false" ht="15" hidden="false" customHeight="false" outlineLevel="0" collapsed="false">
      <c r="A1249" s="5" t="str">
        <f aca="false">IF(I1249="","",J1249)</f>
        <v/>
      </c>
      <c r="B1249" s="83" t="str">
        <f aca="false">IF(I1249="","",INDEX(J_TGL,I1249))</f>
        <v/>
      </c>
      <c r="C1249" s="5" t="str">
        <f aca="false">IF(I1249="","",INDEX(J_NO,I1249))</f>
        <v/>
      </c>
      <c r="D1249" s="5" t="str">
        <f aca="false">IF(I1249="","",INDEX(J_KET,I1249))</f>
        <v/>
      </c>
      <c r="E1249" s="5" t="str">
        <f aca="false">IF(I1249="","",IF(INDEX(J_DEB,I1249)=$C$3,INDEX(J_KRE,I1249),INDEX(J_DEB,I1249)))</f>
        <v/>
      </c>
      <c r="F1249" s="44" t="str">
        <f aca="false">IF(I1249="","",IF(INDEX(J_DEB,I1249)=$C$3,INDEX(J_NOM,I1249),0))</f>
        <v/>
      </c>
      <c r="G1249" s="44" t="str">
        <f aca="false">IF(I1249="","",IF(INDEX(J_KRE,I1249)=$C$3,INDEX(J_NOM,I1249),0))</f>
        <v/>
      </c>
      <c r="H1249" s="44" t="str">
        <f aca="false">IF(I1249="","",N(H1248)+IF($C$5="Debet",F1249-G1249,G1249-F1249))</f>
        <v/>
      </c>
      <c r="I1249" s="66" t="str">
        <f aca="false">IF(J1249&gt;$K$1,"",IFERROR(MATCH(J1249,J_BB,0),""))</f>
        <v/>
      </c>
      <c r="J1249" s="66" t="n">
        <v>1240</v>
      </c>
      <c r="K1249" s="5"/>
    </row>
    <row r="1250" customFormat="false" ht="15" hidden="false" customHeight="false" outlineLevel="0" collapsed="false">
      <c r="A1250" s="5" t="str">
        <f aca="false">IF(I1250="","",J1250)</f>
        <v/>
      </c>
      <c r="B1250" s="83" t="str">
        <f aca="false">IF(I1250="","",INDEX(J_TGL,I1250))</f>
        <v/>
      </c>
      <c r="C1250" s="5" t="str">
        <f aca="false">IF(I1250="","",INDEX(J_NO,I1250))</f>
        <v/>
      </c>
      <c r="D1250" s="5" t="str">
        <f aca="false">IF(I1250="","",INDEX(J_KET,I1250))</f>
        <v/>
      </c>
      <c r="E1250" s="5" t="str">
        <f aca="false">IF(I1250="","",IF(INDEX(J_DEB,I1250)=$C$3,INDEX(J_KRE,I1250),INDEX(J_DEB,I1250)))</f>
        <v/>
      </c>
      <c r="F1250" s="44" t="str">
        <f aca="false">IF(I1250="","",IF(INDEX(J_DEB,I1250)=$C$3,INDEX(J_NOM,I1250),0))</f>
        <v/>
      </c>
      <c r="G1250" s="44" t="str">
        <f aca="false">IF(I1250="","",IF(INDEX(J_KRE,I1250)=$C$3,INDEX(J_NOM,I1250),0))</f>
        <v/>
      </c>
      <c r="H1250" s="44" t="str">
        <f aca="false">IF(I1250="","",N(H1249)+IF($C$5="Debet",F1250-G1250,G1250-F1250))</f>
        <v/>
      </c>
      <c r="I1250" s="66" t="str">
        <f aca="false">IF(J1250&gt;$K$1,"",IFERROR(MATCH(J1250,J_BB,0),""))</f>
        <v/>
      </c>
      <c r="J1250" s="66" t="n">
        <v>1241</v>
      </c>
      <c r="K1250" s="5"/>
    </row>
    <row r="1251" customFormat="false" ht="15" hidden="false" customHeight="false" outlineLevel="0" collapsed="false">
      <c r="A1251" s="5" t="str">
        <f aca="false">IF(I1251="","",J1251)</f>
        <v/>
      </c>
      <c r="B1251" s="83" t="str">
        <f aca="false">IF(I1251="","",INDEX(J_TGL,I1251))</f>
        <v/>
      </c>
      <c r="C1251" s="5" t="str">
        <f aca="false">IF(I1251="","",INDEX(J_NO,I1251))</f>
        <v/>
      </c>
      <c r="D1251" s="5" t="str">
        <f aca="false">IF(I1251="","",INDEX(J_KET,I1251))</f>
        <v/>
      </c>
      <c r="E1251" s="5" t="str">
        <f aca="false">IF(I1251="","",IF(INDEX(J_DEB,I1251)=$C$3,INDEX(J_KRE,I1251),INDEX(J_DEB,I1251)))</f>
        <v/>
      </c>
      <c r="F1251" s="44" t="str">
        <f aca="false">IF(I1251="","",IF(INDEX(J_DEB,I1251)=$C$3,INDEX(J_NOM,I1251),0))</f>
        <v/>
      </c>
      <c r="G1251" s="44" t="str">
        <f aca="false">IF(I1251="","",IF(INDEX(J_KRE,I1251)=$C$3,INDEX(J_NOM,I1251),0))</f>
        <v/>
      </c>
      <c r="H1251" s="44" t="str">
        <f aca="false">IF(I1251="","",N(H1250)+IF($C$5="Debet",F1251-G1251,G1251-F1251))</f>
        <v/>
      </c>
      <c r="I1251" s="66" t="str">
        <f aca="false">IF(J1251&gt;$K$1,"",IFERROR(MATCH(J1251,J_BB,0),""))</f>
        <v/>
      </c>
      <c r="J1251" s="66" t="n">
        <v>1242</v>
      </c>
      <c r="K1251" s="5"/>
    </row>
    <row r="1252" customFormat="false" ht="15" hidden="false" customHeight="false" outlineLevel="0" collapsed="false">
      <c r="A1252" s="5" t="str">
        <f aca="false">IF(I1252="","",J1252)</f>
        <v/>
      </c>
      <c r="B1252" s="83" t="str">
        <f aca="false">IF(I1252="","",INDEX(J_TGL,I1252))</f>
        <v/>
      </c>
      <c r="C1252" s="5" t="str">
        <f aca="false">IF(I1252="","",INDEX(J_NO,I1252))</f>
        <v/>
      </c>
      <c r="D1252" s="5" t="str">
        <f aca="false">IF(I1252="","",INDEX(J_KET,I1252))</f>
        <v/>
      </c>
      <c r="E1252" s="5" t="str">
        <f aca="false">IF(I1252="","",IF(INDEX(J_DEB,I1252)=$C$3,INDEX(J_KRE,I1252),INDEX(J_DEB,I1252)))</f>
        <v/>
      </c>
      <c r="F1252" s="44" t="str">
        <f aca="false">IF(I1252="","",IF(INDEX(J_DEB,I1252)=$C$3,INDEX(J_NOM,I1252),0))</f>
        <v/>
      </c>
      <c r="G1252" s="44" t="str">
        <f aca="false">IF(I1252="","",IF(INDEX(J_KRE,I1252)=$C$3,INDEX(J_NOM,I1252),0))</f>
        <v/>
      </c>
      <c r="H1252" s="44" t="str">
        <f aca="false">IF(I1252="","",N(H1251)+IF($C$5="Debet",F1252-G1252,G1252-F1252))</f>
        <v/>
      </c>
      <c r="I1252" s="66" t="str">
        <f aca="false">IF(J1252&gt;$K$1,"",IFERROR(MATCH(J1252,J_BB,0),""))</f>
        <v/>
      </c>
      <c r="J1252" s="66" t="n">
        <v>1243</v>
      </c>
      <c r="K1252" s="5"/>
    </row>
    <row r="1253" customFormat="false" ht="15" hidden="false" customHeight="false" outlineLevel="0" collapsed="false">
      <c r="A1253" s="5" t="str">
        <f aca="false">IF(I1253="","",J1253)</f>
        <v/>
      </c>
      <c r="B1253" s="83" t="str">
        <f aca="false">IF(I1253="","",INDEX(J_TGL,I1253))</f>
        <v/>
      </c>
      <c r="C1253" s="5" t="str">
        <f aca="false">IF(I1253="","",INDEX(J_NO,I1253))</f>
        <v/>
      </c>
      <c r="D1253" s="5" t="str">
        <f aca="false">IF(I1253="","",INDEX(J_KET,I1253))</f>
        <v/>
      </c>
      <c r="E1253" s="5" t="str">
        <f aca="false">IF(I1253="","",IF(INDEX(J_DEB,I1253)=$C$3,INDEX(J_KRE,I1253),INDEX(J_DEB,I1253)))</f>
        <v/>
      </c>
      <c r="F1253" s="44" t="str">
        <f aca="false">IF(I1253="","",IF(INDEX(J_DEB,I1253)=$C$3,INDEX(J_NOM,I1253),0))</f>
        <v/>
      </c>
      <c r="G1253" s="44" t="str">
        <f aca="false">IF(I1253="","",IF(INDEX(J_KRE,I1253)=$C$3,INDEX(J_NOM,I1253),0))</f>
        <v/>
      </c>
      <c r="H1253" s="44" t="str">
        <f aca="false">IF(I1253="","",N(H1252)+IF($C$5="Debet",F1253-G1253,G1253-F1253))</f>
        <v/>
      </c>
      <c r="I1253" s="66" t="str">
        <f aca="false">IF(J1253&gt;$K$1,"",IFERROR(MATCH(J1253,J_BB,0),""))</f>
        <v/>
      </c>
      <c r="J1253" s="66" t="n">
        <v>1244</v>
      </c>
      <c r="K1253" s="5"/>
    </row>
    <row r="1254" customFormat="false" ht="15" hidden="false" customHeight="false" outlineLevel="0" collapsed="false">
      <c r="A1254" s="5" t="str">
        <f aca="false">IF(I1254="","",J1254)</f>
        <v/>
      </c>
      <c r="B1254" s="83" t="str">
        <f aca="false">IF(I1254="","",INDEX(J_TGL,I1254))</f>
        <v/>
      </c>
      <c r="C1254" s="5" t="str">
        <f aca="false">IF(I1254="","",INDEX(J_NO,I1254))</f>
        <v/>
      </c>
      <c r="D1254" s="5" t="str">
        <f aca="false">IF(I1254="","",INDEX(J_KET,I1254))</f>
        <v/>
      </c>
      <c r="E1254" s="5" t="str">
        <f aca="false">IF(I1254="","",IF(INDEX(J_DEB,I1254)=$C$3,INDEX(J_KRE,I1254),INDEX(J_DEB,I1254)))</f>
        <v/>
      </c>
      <c r="F1254" s="44" t="str">
        <f aca="false">IF(I1254="","",IF(INDEX(J_DEB,I1254)=$C$3,INDEX(J_NOM,I1254),0))</f>
        <v/>
      </c>
      <c r="G1254" s="44" t="str">
        <f aca="false">IF(I1254="","",IF(INDEX(J_KRE,I1254)=$C$3,INDEX(J_NOM,I1254),0))</f>
        <v/>
      </c>
      <c r="H1254" s="44" t="str">
        <f aca="false">IF(I1254="","",N(H1253)+IF($C$5="Debet",F1254-G1254,G1254-F1254))</f>
        <v/>
      </c>
      <c r="I1254" s="66" t="str">
        <f aca="false">IF(J1254&gt;$K$1,"",IFERROR(MATCH(J1254,J_BB,0),""))</f>
        <v/>
      </c>
      <c r="J1254" s="66" t="n">
        <v>1245</v>
      </c>
      <c r="K1254" s="5"/>
    </row>
    <row r="1255" customFormat="false" ht="15" hidden="false" customHeight="false" outlineLevel="0" collapsed="false">
      <c r="A1255" s="5" t="str">
        <f aca="false">IF(I1255="","",J1255)</f>
        <v/>
      </c>
      <c r="B1255" s="83" t="str">
        <f aca="false">IF(I1255="","",INDEX(J_TGL,I1255))</f>
        <v/>
      </c>
      <c r="C1255" s="5" t="str">
        <f aca="false">IF(I1255="","",INDEX(J_NO,I1255))</f>
        <v/>
      </c>
      <c r="D1255" s="5" t="str">
        <f aca="false">IF(I1255="","",INDEX(J_KET,I1255))</f>
        <v/>
      </c>
      <c r="E1255" s="5" t="str">
        <f aca="false">IF(I1255="","",IF(INDEX(J_DEB,I1255)=$C$3,INDEX(J_KRE,I1255),INDEX(J_DEB,I1255)))</f>
        <v/>
      </c>
      <c r="F1255" s="44" t="str">
        <f aca="false">IF(I1255="","",IF(INDEX(J_DEB,I1255)=$C$3,INDEX(J_NOM,I1255),0))</f>
        <v/>
      </c>
      <c r="G1255" s="44" t="str">
        <f aca="false">IF(I1255="","",IF(INDEX(J_KRE,I1255)=$C$3,INDEX(J_NOM,I1255),0))</f>
        <v/>
      </c>
      <c r="H1255" s="44" t="str">
        <f aca="false">IF(I1255="","",N(H1254)+IF($C$5="Debet",F1255-G1255,G1255-F1255))</f>
        <v/>
      </c>
      <c r="I1255" s="66" t="str">
        <f aca="false">IF(J1255&gt;$K$1,"",IFERROR(MATCH(J1255,J_BB,0),""))</f>
        <v/>
      </c>
      <c r="J1255" s="66" t="n">
        <v>1246</v>
      </c>
      <c r="K1255" s="5"/>
    </row>
    <row r="1256" customFormat="false" ht="15" hidden="false" customHeight="false" outlineLevel="0" collapsed="false">
      <c r="A1256" s="5" t="str">
        <f aca="false">IF(I1256="","",J1256)</f>
        <v/>
      </c>
      <c r="B1256" s="83" t="str">
        <f aca="false">IF(I1256="","",INDEX(J_TGL,I1256))</f>
        <v/>
      </c>
      <c r="C1256" s="5" t="str">
        <f aca="false">IF(I1256="","",INDEX(J_NO,I1256))</f>
        <v/>
      </c>
      <c r="D1256" s="5" t="str">
        <f aca="false">IF(I1256="","",INDEX(J_KET,I1256))</f>
        <v/>
      </c>
      <c r="E1256" s="5" t="str">
        <f aca="false">IF(I1256="","",IF(INDEX(J_DEB,I1256)=$C$3,INDEX(J_KRE,I1256),INDEX(J_DEB,I1256)))</f>
        <v/>
      </c>
      <c r="F1256" s="44" t="str">
        <f aca="false">IF(I1256="","",IF(INDEX(J_DEB,I1256)=$C$3,INDEX(J_NOM,I1256),0))</f>
        <v/>
      </c>
      <c r="G1256" s="44" t="str">
        <f aca="false">IF(I1256="","",IF(INDEX(J_KRE,I1256)=$C$3,INDEX(J_NOM,I1256),0))</f>
        <v/>
      </c>
      <c r="H1256" s="44" t="str">
        <f aca="false">IF(I1256="","",N(H1255)+IF($C$5="Debet",F1256-G1256,G1256-F1256))</f>
        <v/>
      </c>
      <c r="I1256" s="66" t="str">
        <f aca="false">IF(J1256&gt;$K$1,"",IFERROR(MATCH(J1256,J_BB,0),""))</f>
        <v/>
      </c>
      <c r="J1256" s="66" t="n">
        <v>1247</v>
      </c>
      <c r="K1256" s="5"/>
    </row>
    <row r="1257" customFormat="false" ht="15" hidden="false" customHeight="false" outlineLevel="0" collapsed="false">
      <c r="A1257" s="5" t="str">
        <f aca="false">IF(I1257="","",J1257)</f>
        <v/>
      </c>
      <c r="B1257" s="83" t="str">
        <f aca="false">IF(I1257="","",INDEX(J_TGL,I1257))</f>
        <v/>
      </c>
      <c r="C1257" s="5" t="str">
        <f aca="false">IF(I1257="","",INDEX(J_NO,I1257))</f>
        <v/>
      </c>
      <c r="D1257" s="5" t="str">
        <f aca="false">IF(I1257="","",INDEX(J_KET,I1257))</f>
        <v/>
      </c>
      <c r="E1257" s="5" t="str">
        <f aca="false">IF(I1257="","",IF(INDEX(J_DEB,I1257)=$C$3,INDEX(J_KRE,I1257),INDEX(J_DEB,I1257)))</f>
        <v/>
      </c>
      <c r="F1257" s="44" t="str">
        <f aca="false">IF(I1257="","",IF(INDEX(J_DEB,I1257)=$C$3,INDEX(J_NOM,I1257),0))</f>
        <v/>
      </c>
      <c r="G1257" s="44" t="str">
        <f aca="false">IF(I1257="","",IF(INDEX(J_KRE,I1257)=$C$3,INDEX(J_NOM,I1257),0))</f>
        <v/>
      </c>
      <c r="H1257" s="44" t="str">
        <f aca="false">IF(I1257="","",N(H1256)+IF($C$5="Debet",F1257-G1257,G1257-F1257))</f>
        <v/>
      </c>
      <c r="I1257" s="66" t="str">
        <f aca="false">IF(J1257&gt;$K$1,"",IFERROR(MATCH(J1257,J_BB,0),""))</f>
        <v/>
      </c>
      <c r="J1257" s="66" t="n">
        <v>1248</v>
      </c>
      <c r="K1257" s="5"/>
    </row>
    <row r="1258" customFormat="false" ht="15" hidden="false" customHeight="false" outlineLevel="0" collapsed="false">
      <c r="A1258" s="5" t="str">
        <f aca="false">IF(I1258="","",J1258)</f>
        <v/>
      </c>
      <c r="B1258" s="83" t="str">
        <f aca="false">IF(I1258="","",INDEX(J_TGL,I1258))</f>
        <v/>
      </c>
      <c r="C1258" s="5" t="str">
        <f aca="false">IF(I1258="","",INDEX(J_NO,I1258))</f>
        <v/>
      </c>
      <c r="D1258" s="5" t="str">
        <f aca="false">IF(I1258="","",INDEX(J_KET,I1258))</f>
        <v/>
      </c>
      <c r="E1258" s="5" t="str">
        <f aca="false">IF(I1258="","",IF(INDEX(J_DEB,I1258)=$C$3,INDEX(J_KRE,I1258),INDEX(J_DEB,I1258)))</f>
        <v/>
      </c>
      <c r="F1258" s="44" t="str">
        <f aca="false">IF(I1258="","",IF(INDEX(J_DEB,I1258)=$C$3,INDEX(J_NOM,I1258),0))</f>
        <v/>
      </c>
      <c r="G1258" s="44" t="str">
        <f aca="false">IF(I1258="","",IF(INDEX(J_KRE,I1258)=$C$3,INDEX(J_NOM,I1258),0))</f>
        <v/>
      </c>
      <c r="H1258" s="44" t="str">
        <f aca="false">IF(I1258="","",N(H1257)+IF($C$5="Debet",F1258-G1258,G1258-F1258))</f>
        <v/>
      </c>
      <c r="I1258" s="66" t="str">
        <f aca="false">IF(J1258&gt;$K$1,"",IFERROR(MATCH(J1258,J_BB,0),""))</f>
        <v/>
      </c>
      <c r="J1258" s="66" t="n">
        <v>1249</v>
      </c>
      <c r="K1258" s="5"/>
    </row>
    <row r="1259" customFormat="false" ht="15" hidden="false" customHeight="false" outlineLevel="0" collapsed="false">
      <c r="A1259" s="5" t="str">
        <f aca="false">IF(I1259="","",J1259)</f>
        <v/>
      </c>
      <c r="B1259" s="83" t="str">
        <f aca="false">IF(I1259="","",INDEX(J_TGL,I1259))</f>
        <v/>
      </c>
      <c r="C1259" s="5" t="str">
        <f aca="false">IF(I1259="","",INDEX(J_NO,I1259))</f>
        <v/>
      </c>
      <c r="D1259" s="5" t="str">
        <f aca="false">IF(I1259="","",INDEX(J_KET,I1259))</f>
        <v/>
      </c>
      <c r="E1259" s="5" t="str">
        <f aca="false">IF(I1259="","",IF(INDEX(J_DEB,I1259)=$C$3,INDEX(J_KRE,I1259),INDEX(J_DEB,I1259)))</f>
        <v/>
      </c>
      <c r="F1259" s="44" t="str">
        <f aca="false">IF(I1259="","",IF(INDEX(J_DEB,I1259)=$C$3,INDEX(J_NOM,I1259),0))</f>
        <v/>
      </c>
      <c r="G1259" s="44" t="str">
        <f aca="false">IF(I1259="","",IF(INDEX(J_KRE,I1259)=$C$3,INDEX(J_NOM,I1259),0))</f>
        <v/>
      </c>
      <c r="H1259" s="44" t="str">
        <f aca="false">IF(I1259="","",N(H1258)+IF($C$5="Debet",F1259-G1259,G1259-F1259))</f>
        <v/>
      </c>
      <c r="I1259" s="66" t="str">
        <f aca="false">IF(J1259&gt;$K$1,"",IFERROR(MATCH(J1259,J_BB,0),""))</f>
        <v/>
      </c>
      <c r="J1259" s="66" t="n">
        <v>1250</v>
      </c>
      <c r="K1259" s="5"/>
    </row>
    <row r="1260" customFormat="false" ht="15" hidden="false" customHeight="false" outlineLevel="0" collapsed="false">
      <c r="A1260" s="5" t="str">
        <f aca="false">IF(I1260="","",J1260)</f>
        <v/>
      </c>
      <c r="B1260" s="83" t="str">
        <f aca="false">IF(I1260="","",INDEX(J_TGL,I1260))</f>
        <v/>
      </c>
      <c r="C1260" s="5" t="str">
        <f aca="false">IF(I1260="","",INDEX(J_NO,I1260))</f>
        <v/>
      </c>
      <c r="D1260" s="5" t="str">
        <f aca="false">IF(I1260="","",INDEX(J_KET,I1260))</f>
        <v/>
      </c>
      <c r="E1260" s="5" t="str">
        <f aca="false">IF(I1260="","",IF(INDEX(J_DEB,I1260)=$C$3,INDEX(J_KRE,I1260),INDEX(J_DEB,I1260)))</f>
        <v/>
      </c>
      <c r="F1260" s="44" t="str">
        <f aca="false">IF(I1260="","",IF(INDEX(J_DEB,I1260)=$C$3,INDEX(J_NOM,I1260),0))</f>
        <v/>
      </c>
      <c r="G1260" s="44" t="str">
        <f aca="false">IF(I1260="","",IF(INDEX(J_KRE,I1260)=$C$3,INDEX(J_NOM,I1260),0))</f>
        <v/>
      </c>
      <c r="H1260" s="44" t="str">
        <f aca="false">IF(I1260="","",N(H1259)+IF($C$5="Debet",F1260-G1260,G1260-F1260))</f>
        <v/>
      </c>
      <c r="I1260" s="66" t="str">
        <f aca="false">IF(J1260&gt;$K$1,"",IFERROR(MATCH(J1260,J_BB,0),""))</f>
        <v/>
      </c>
      <c r="J1260" s="66" t="n">
        <v>1251</v>
      </c>
      <c r="K1260" s="5"/>
    </row>
    <row r="1261" customFormat="false" ht="15" hidden="false" customHeight="false" outlineLevel="0" collapsed="false">
      <c r="A1261" s="5" t="str">
        <f aca="false">IF(I1261="","",J1261)</f>
        <v/>
      </c>
      <c r="B1261" s="83" t="str">
        <f aca="false">IF(I1261="","",INDEX(J_TGL,I1261))</f>
        <v/>
      </c>
      <c r="C1261" s="5" t="str">
        <f aca="false">IF(I1261="","",INDEX(J_NO,I1261))</f>
        <v/>
      </c>
      <c r="D1261" s="5" t="str">
        <f aca="false">IF(I1261="","",INDEX(J_KET,I1261))</f>
        <v/>
      </c>
      <c r="E1261" s="5" t="str">
        <f aca="false">IF(I1261="","",IF(INDEX(J_DEB,I1261)=$C$3,INDEX(J_KRE,I1261),INDEX(J_DEB,I1261)))</f>
        <v/>
      </c>
      <c r="F1261" s="44" t="str">
        <f aca="false">IF(I1261="","",IF(INDEX(J_DEB,I1261)=$C$3,INDEX(J_NOM,I1261),0))</f>
        <v/>
      </c>
      <c r="G1261" s="44" t="str">
        <f aca="false">IF(I1261="","",IF(INDEX(J_KRE,I1261)=$C$3,INDEX(J_NOM,I1261),0))</f>
        <v/>
      </c>
      <c r="H1261" s="44" t="str">
        <f aca="false">IF(I1261="","",N(H1260)+IF($C$5="Debet",F1261-G1261,G1261-F1261))</f>
        <v/>
      </c>
      <c r="I1261" s="66" t="str">
        <f aca="false">IF(J1261&gt;$K$1,"",IFERROR(MATCH(J1261,J_BB,0),""))</f>
        <v/>
      </c>
      <c r="J1261" s="66" t="n">
        <v>1252</v>
      </c>
      <c r="K1261" s="5"/>
    </row>
    <row r="1262" customFormat="false" ht="15" hidden="false" customHeight="false" outlineLevel="0" collapsed="false">
      <c r="A1262" s="5" t="str">
        <f aca="false">IF(I1262="","",J1262)</f>
        <v/>
      </c>
      <c r="B1262" s="83" t="str">
        <f aca="false">IF(I1262="","",INDEX(J_TGL,I1262))</f>
        <v/>
      </c>
      <c r="C1262" s="5" t="str">
        <f aca="false">IF(I1262="","",INDEX(J_NO,I1262))</f>
        <v/>
      </c>
      <c r="D1262" s="5" t="str">
        <f aca="false">IF(I1262="","",INDEX(J_KET,I1262))</f>
        <v/>
      </c>
      <c r="E1262" s="5" t="str">
        <f aca="false">IF(I1262="","",IF(INDEX(J_DEB,I1262)=$C$3,INDEX(J_KRE,I1262),INDEX(J_DEB,I1262)))</f>
        <v/>
      </c>
      <c r="F1262" s="44" t="str">
        <f aca="false">IF(I1262="","",IF(INDEX(J_DEB,I1262)=$C$3,INDEX(J_NOM,I1262),0))</f>
        <v/>
      </c>
      <c r="G1262" s="44" t="str">
        <f aca="false">IF(I1262="","",IF(INDEX(J_KRE,I1262)=$C$3,INDEX(J_NOM,I1262),0))</f>
        <v/>
      </c>
      <c r="H1262" s="44" t="str">
        <f aca="false">IF(I1262="","",N(H1261)+IF($C$5="Debet",F1262-G1262,G1262-F1262))</f>
        <v/>
      </c>
      <c r="I1262" s="66" t="str">
        <f aca="false">IF(J1262&gt;$K$1,"",IFERROR(MATCH(J1262,J_BB,0),""))</f>
        <v/>
      </c>
      <c r="J1262" s="66" t="n">
        <v>1253</v>
      </c>
      <c r="K1262" s="5"/>
    </row>
    <row r="1263" customFormat="false" ht="15" hidden="false" customHeight="false" outlineLevel="0" collapsed="false">
      <c r="A1263" s="5" t="str">
        <f aca="false">IF(I1263="","",J1263)</f>
        <v/>
      </c>
      <c r="B1263" s="83" t="str">
        <f aca="false">IF(I1263="","",INDEX(J_TGL,I1263))</f>
        <v/>
      </c>
      <c r="C1263" s="5" t="str">
        <f aca="false">IF(I1263="","",INDEX(J_NO,I1263))</f>
        <v/>
      </c>
      <c r="D1263" s="5" t="str">
        <f aca="false">IF(I1263="","",INDEX(J_KET,I1263))</f>
        <v/>
      </c>
      <c r="E1263" s="5" t="str">
        <f aca="false">IF(I1263="","",IF(INDEX(J_DEB,I1263)=$C$3,INDEX(J_KRE,I1263),INDEX(J_DEB,I1263)))</f>
        <v/>
      </c>
      <c r="F1263" s="44" t="str">
        <f aca="false">IF(I1263="","",IF(INDEX(J_DEB,I1263)=$C$3,INDEX(J_NOM,I1263),0))</f>
        <v/>
      </c>
      <c r="G1263" s="44" t="str">
        <f aca="false">IF(I1263="","",IF(INDEX(J_KRE,I1263)=$C$3,INDEX(J_NOM,I1263),0))</f>
        <v/>
      </c>
      <c r="H1263" s="44" t="str">
        <f aca="false">IF(I1263="","",N(H1262)+IF($C$5="Debet",F1263-G1263,G1263-F1263))</f>
        <v/>
      </c>
      <c r="I1263" s="66" t="str">
        <f aca="false">IF(J1263&gt;$K$1,"",IFERROR(MATCH(J1263,J_BB,0),""))</f>
        <v/>
      </c>
      <c r="J1263" s="66" t="n">
        <v>1254</v>
      </c>
      <c r="K1263" s="5"/>
    </row>
    <row r="1264" customFormat="false" ht="15" hidden="false" customHeight="false" outlineLevel="0" collapsed="false">
      <c r="A1264" s="5" t="str">
        <f aca="false">IF(I1264="","",J1264)</f>
        <v/>
      </c>
      <c r="B1264" s="83" t="str">
        <f aca="false">IF(I1264="","",INDEX(J_TGL,I1264))</f>
        <v/>
      </c>
      <c r="C1264" s="5" t="str">
        <f aca="false">IF(I1264="","",INDEX(J_NO,I1264))</f>
        <v/>
      </c>
      <c r="D1264" s="5" t="str">
        <f aca="false">IF(I1264="","",INDEX(J_KET,I1264))</f>
        <v/>
      </c>
      <c r="E1264" s="5" t="str">
        <f aca="false">IF(I1264="","",IF(INDEX(J_DEB,I1264)=$C$3,INDEX(J_KRE,I1264),INDEX(J_DEB,I1264)))</f>
        <v/>
      </c>
      <c r="F1264" s="44" t="str">
        <f aca="false">IF(I1264="","",IF(INDEX(J_DEB,I1264)=$C$3,INDEX(J_NOM,I1264),0))</f>
        <v/>
      </c>
      <c r="G1264" s="44" t="str">
        <f aca="false">IF(I1264="","",IF(INDEX(J_KRE,I1264)=$C$3,INDEX(J_NOM,I1264),0))</f>
        <v/>
      </c>
      <c r="H1264" s="44" t="str">
        <f aca="false">IF(I1264="","",N(H1263)+IF($C$5="Debet",F1264-G1264,G1264-F1264))</f>
        <v/>
      </c>
      <c r="I1264" s="66" t="str">
        <f aca="false">IF(J1264&gt;$K$1,"",IFERROR(MATCH(J1264,J_BB,0),""))</f>
        <v/>
      </c>
      <c r="J1264" s="66" t="n">
        <v>1255</v>
      </c>
      <c r="K1264" s="5"/>
    </row>
    <row r="1265" customFormat="false" ht="15" hidden="false" customHeight="false" outlineLevel="0" collapsed="false">
      <c r="A1265" s="5" t="str">
        <f aca="false">IF(I1265="","",J1265)</f>
        <v/>
      </c>
      <c r="B1265" s="83" t="str">
        <f aca="false">IF(I1265="","",INDEX(J_TGL,I1265))</f>
        <v/>
      </c>
      <c r="C1265" s="5" t="str">
        <f aca="false">IF(I1265="","",INDEX(J_NO,I1265))</f>
        <v/>
      </c>
      <c r="D1265" s="5" t="str">
        <f aca="false">IF(I1265="","",INDEX(J_KET,I1265))</f>
        <v/>
      </c>
      <c r="E1265" s="5" t="str">
        <f aca="false">IF(I1265="","",IF(INDEX(J_DEB,I1265)=$C$3,INDEX(J_KRE,I1265),INDEX(J_DEB,I1265)))</f>
        <v/>
      </c>
      <c r="F1265" s="44" t="str">
        <f aca="false">IF(I1265="","",IF(INDEX(J_DEB,I1265)=$C$3,INDEX(J_NOM,I1265),0))</f>
        <v/>
      </c>
      <c r="G1265" s="44" t="str">
        <f aca="false">IF(I1265="","",IF(INDEX(J_KRE,I1265)=$C$3,INDEX(J_NOM,I1265),0))</f>
        <v/>
      </c>
      <c r="H1265" s="44" t="str">
        <f aca="false">IF(I1265="","",N(H1264)+IF($C$5="Debet",F1265-G1265,G1265-F1265))</f>
        <v/>
      </c>
      <c r="I1265" s="66" t="str">
        <f aca="false">IF(J1265&gt;$K$1,"",IFERROR(MATCH(J1265,J_BB,0),""))</f>
        <v/>
      </c>
      <c r="J1265" s="66" t="n">
        <v>1256</v>
      </c>
      <c r="K1265" s="5"/>
    </row>
    <row r="1266" customFormat="false" ht="15" hidden="false" customHeight="false" outlineLevel="0" collapsed="false">
      <c r="A1266" s="5" t="str">
        <f aca="false">IF(I1266="","",J1266)</f>
        <v/>
      </c>
      <c r="B1266" s="83" t="str">
        <f aca="false">IF(I1266="","",INDEX(J_TGL,I1266))</f>
        <v/>
      </c>
      <c r="C1266" s="5" t="str">
        <f aca="false">IF(I1266="","",INDEX(J_NO,I1266))</f>
        <v/>
      </c>
      <c r="D1266" s="5" t="str">
        <f aca="false">IF(I1266="","",INDEX(J_KET,I1266))</f>
        <v/>
      </c>
      <c r="E1266" s="5" t="str">
        <f aca="false">IF(I1266="","",IF(INDEX(J_DEB,I1266)=$C$3,INDEX(J_KRE,I1266),INDEX(J_DEB,I1266)))</f>
        <v/>
      </c>
      <c r="F1266" s="44" t="str">
        <f aca="false">IF(I1266="","",IF(INDEX(J_DEB,I1266)=$C$3,INDEX(J_NOM,I1266),0))</f>
        <v/>
      </c>
      <c r="G1266" s="44" t="str">
        <f aca="false">IF(I1266="","",IF(INDEX(J_KRE,I1266)=$C$3,INDEX(J_NOM,I1266),0))</f>
        <v/>
      </c>
      <c r="H1266" s="44" t="str">
        <f aca="false">IF(I1266="","",N(H1265)+IF($C$5="Debet",F1266-G1266,G1266-F1266))</f>
        <v/>
      </c>
      <c r="I1266" s="66" t="str">
        <f aca="false">IF(J1266&gt;$K$1,"",IFERROR(MATCH(J1266,J_BB,0),""))</f>
        <v/>
      </c>
      <c r="J1266" s="66" t="n">
        <v>1257</v>
      </c>
      <c r="K1266" s="5"/>
    </row>
    <row r="1267" customFormat="false" ht="15" hidden="false" customHeight="false" outlineLevel="0" collapsed="false">
      <c r="A1267" s="5" t="str">
        <f aca="false">IF(I1267="","",J1267)</f>
        <v/>
      </c>
      <c r="B1267" s="83" t="str">
        <f aca="false">IF(I1267="","",INDEX(J_TGL,I1267))</f>
        <v/>
      </c>
      <c r="C1267" s="5" t="str">
        <f aca="false">IF(I1267="","",INDEX(J_NO,I1267))</f>
        <v/>
      </c>
      <c r="D1267" s="5" t="str">
        <f aca="false">IF(I1267="","",INDEX(J_KET,I1267))</f>
        <v/>
      </c>
      <c r="E1267" s="5" t="str">
        <f aca="false">IF(I1267="","",IF(INDEX(J_DEB,I1267)=$C$3,INDEX(J_KRE,I1267),INDEX(J_DEB,I1267)))</f>
        <v/>
      </c>
      <c r="F1267" s="44" t="str">
        <f aca="false">IF(I1267="","",IF(INDEX(J_DEB,I1267)=$C$3,INDEX(J_NOM,I1267),0))</f>
        <v/>
      </c>
      <c r="G1267" s="44" t="str">
        <f aca="false">IF(I1267="","",IF(INDEX(J_KRE,I1267)=$C$3,INDEX(J_NOM,I1267),0))</f>
        <v/>
      </c>
      <c r="H1267" s="44" t="str">
        <f aca="false">IF(I1267="","",N(H1266)+IF($C$5="Debet",F1267-G1267,G1267-F1267))</f>
        <v/>
      </c>
      <c r="I1267" s="66" t="str">
        <f aca="false">IF(J1267&gt;$K$1,"",IFERROR(MATCH(J1267,J_BB,0),""))</f>
        <v/>
      </c>
      <c r="J1267" s="66" t="n">
        <v>1258</v>
      </c>
      <c r="K1267" s="5"/>
    </row>
    <row r="1268" customFormat="false" ht="15" hidden="false" customHeight="false" outlineLevel="0" collapsed="false">
      <c r="A1268" s="5" t="str">
        <f aca="false">IF(I1268="","",J1268)</f>
        <v/>
      </c>
      <c r="B1268" s="83" t="str">
        <f aca="false">IF(I1268="","",INDEX(J_TGL,I1268))</f>
        <v/>
      </c>
      <c r="C1268" s="5" t="str">
        <f aca="false">IF(I1268="","",INDEX(J_NO,I1268))</f>
        <v/>
      </c>
      <c r="D1268" s="5" t="str">
        <f aca="false">IF(I1268="","",INDEX(J_KET,I1268))</f>
        <v/>
      </c>
      <c r="E1268" s="5" t="str">
        <f aca="false">IF(I1268="","",IF(INDEX(J_DEB,I1268)=$C$3,INDEX(J_KRE,I1268),INDEX(J_DEB,I1268)))</f>
        <v/>
      </c>
      <c r="F1268" s="44" t="str">
        <f aca="false">IF(I1268="","",IF(INDEX(J_DEB,I1268)=$C$3,INDEX(J_NOM,I1268),0))</f>
        <v/>
      </c>
      <c r="G1268" s="44" t="str">
        <f aca="false">IF(I1268="","",IF(INDEX(J_KRE,I1268)=$C$3,INDEX(J_NOM,I1268),0))</f>
        <v/>
      </c>
      <c r="H1268" s="44" t="str">
        <f aca="false">IF(I1268="","",N(H1267)+IF($C$5="Debet",F1268-G1268,G1268-F1268))</f>
        <v/>
      </c>
      <c r="I1268" s="66" t="str">
        <f aca="false">IF(J1268&gt;$K$1,"",IFERROR(MATCH(J1268,J_BB,0),""))</f>
        <v/>
      </c>
      <c r="J1268" s="66" t="n">
        <v>1259</v>
      </c>
      <c r="K1268" s="5"/>
    </row>
    <row r="1269" customFormat="false" ht="15" hidden="false" customHeight="false" outlineLevel="0" collapsed="false">
      <c r="A1269" s="5" t="str">
        <f aca="false">IF(I1269="","",J1269)</f>
        <v/>
      </c>
      <c r="B1269" s="83" t="str">
        <f aca="false">IF(I1269="","",INDEX(J_TGL,I1269))</f>
        <v/>
      </c>
      <c r="C1269" s="5" t="str">
        <f aca="false">IF(I1269="","",INDEX(J_NO,I1269))</f>
        <v/>
      </c>
      <c r="D1269" s="5" t="str">
        <f aca="false">IF(I1269="","",INDEX(J_KET,I1269))</f>
        <v/>
      </c>
      <c r="E1269" s="5" t="str">
        <f aca="false">IF(I1269="","",IF(INDEX(J_DEB,I1269)=$C$3,INDEX(J_KRE,I1269),INDEX(J_DEB,I1269)))</f>
        <v/>
      </c>
      <c r="F1269" s="44" t="str">
        <f aca="false">IF(I1269="","",IF(INDEX(J_DEB,I1269)=$C$3,INDEX(J_NOM,I1269),0))</f>
        <v/>
      </c>
      <c r="G1269" s="44" t="str">
        <f aca="false">IF(I1269="","",IF(INDEX(J_KRE,I1269)=$C$3,INDEX(J_NOM,I1269),0))</f>
        <v/>
      </c>
      <c r="H1269" s="44" t="str">
        <f aca="false">IF(I1269="","",N(H1268)+IF($C$5="Debet",F1269-G1269,G1269-F1269))</f>
        <v/>
      </c>
      <c r="I1269" s="66" t="str">
        <f aca="false">IF(J1269&gt;$K$1,"",IFERROR(MATCH(J1269,J_BB,0),""))</f>
        <v/>
      </c>
      <c r="J1269" s="66" t="n">
        <v>1260</v>
      </c>
      <c r="K1269" s="5"/>
    </row>
    <row r="1270" customFormat="false" ht="15" hidden="false" customHeight="false" outlineLevel="0" collapsed="false">
      <c r="A1270" s="5" t="str">
        <f aca="false">IF(I1270="","",J1270)</f>
        <v/>
      </c>
      <c r="B1270" s="83" t="str">
        <f aca="false">IF(I1270="","",INDEX(J_TGL,I1270))</f>
        <v/>
      </c>
      <c r="C1270" s="5" t="str">
        <f aca="false">IF(I1270="","",INDEX(J_NO,I1270))</f>
        <v/>
      </c>
      <c r="D1270" s="5" t="str">
        <f aca="false">IF(I1270="","",INDEX(J_KET,I1270))</f>
        <v/>
      </c>
      <c r="E1270" s="5" t="str">
        <f aca="false">IF(I1270="","",IF(INDEX(J_DEB,I1270)=$C$3,INDEX(J_KRE,I1270),INDEX(J_DEB,I1270)))</f>
        <v/>
      </c>
      <c r="F1270" s="44" t="str">
        <f aca="false">IF(I1270="","",IF(INDEX(J_DEB,I1270)=$C$3,INDEX(J_NOM,I1270),0))</f>
        <v/>
      </c>
      <c r="G1270" s="44" t="str">
        <f aca="false">IF(I1270="","",IF(INDEX(J_KRE,I1270)=$C$3,INDEX(J_NOM,I1270),0))</f>
        <v/>
      </c>
      <c r="H1270" s="44" t="str">
        <f aca="false">IF(I1270="","",N(H1269)+IF($C$5="Debet",F1270-G1270,G1270-F1270))</f>
        <v/>
      </c>
      <c r="I1270" s="66" t="str">
        <f aca="false">IF(J1270&gt;$K$1,"",IFERROR(MATCH(J1270,J_BB,0),""))</f>
        <v/>
      </c>
      <c r="J1270" s="66" t="n">
        <v>1261</v>
      </c>
      <c r="K1270" s="5"/>
    </row>
    <row r="1271" customFormat="false" ht="15" hidden="false" customHeight="false" outlineLevel="0" collapsed="false">
      <c r="A1271" s="5" t="str">
        <f aca="false">IF(I1271="","",J1271)</f>
        <v/>
      </c>
      <c r="B1271" s="83" t="str">
        <f aca="false">IF(I1271="","",INDEX(J_TGL,I1271))</f>
        <v/>
      </c>
      <c r="C1271" s="5" t="str">
        <f aca="false">IF(I1271="","",INDEX(J_NO,I1271))</f>
        <v/>
      </c>
      <c r="D1271" s="5" t="str">
        <f aca="false">IF(I1271="","",INDEX(J_KET,I1271))</f>
        <v/>
      </c>
      <c r="E1271" s="5" t="str">
        <f aca="false">IF(I1271="","",IF(INDEX(J_DEB,I1271)=$C$3,INDEX(J_KRE,I1271),INDEX(J_DEB,I1271)))</f>
        <v/>
      </c>
      <c r="F1271" s="44" t="str">
        <f aca="false">IF(I1271="","",IF(INDEX(J_DEB,I1271)=$C$3,INDEX(J_NOM,I1271),0))</f>
        <v/>
      </c>
      <c r="G1271" s="44" t="str">
        <f aca="false">IF(I1271="","",IF(INDEX(J_KRE,I1271)=$C$3,INDEX(J_NOM,I1271),0))</f>
        <v/>
      </c>
      <c r="H1271" s="44" t="str">
        <f aca="false">IF(I1271="","",N(H1270)+IF($C$5="Debet",F1271-G1271,G1271-F1271))</f>
        <v/>
      </c>
      <c r="I1271" s="66" t="str">
        <f aca="false">IF(J1271&gt;$K$1,"",IFERROR(MATCH(J1271,J_BB,0),""))</f>
        <v/>
      </c>
      <c r="J1271" s="66" t="n">
        <v>1262</v>
      </c>
      <c r="K1271" s="5"/>
    </row>
    <row r="1272" customFormat="false" ht="15" hidden="false" customHeight="false" outlineLevel="0" collapsed="false">
      <c r="A1272" s="5" t="str">
        <f aca="false">IF(I1272="","",J1272)</f>
        <v/>
      </c>
      <c r="B1272" s="83" t="str">
        <f aca="false">IF(I1272="","",INDEX(J_TGL,I1272))</f>
        <v/>
      </c>
      <c r="C1272" s="5" t="str">
        <f aca="false">IF(I1272="","",INDEX(J_NO,I1272))</f>
        <v/>
      </c>
      <c r="D1272" s="5" t="str">
        <f aca="false">IF(I1272="","",INDEX(J_KET,I1272))</f>
        <v/>
      </c>
      <c r="E1272" s="5" t="str">
        <f aca="false">IF(I1272="","",IF(INDEX(J_DEB,I1272)=$C$3,INDEX(J_KRE,I1272),INDEX(J_DEB,I1272)))</f>
        <v/>
      </c>
      <c r="F1272" s="44" t="str">
        <f aca="false">IF(I1272="","",IF(INDEX(J_DEB,I1272)=$C$3,INDEX(J_NOM,I1272),0))</f>
        <v/>
      </c>
      <c r="G1272" s="44" t="str">
        <f aca="false">IF(I1272="","",IF(INDEX(J_KRE,I1272)=$C$3,INDEX(J_NOM,I1272),0))</f>
        <v/>
      </c>
      <c r="H1272" s="44" t="str">
        <f aca="false">IF(I1272="","",N(H1271)+IF($C$5="Debet",F1272-G1272,G1272-F1272))</f>
        <v/>
      </c>
      <c r="I1272" s="66" t="str">
        <f aca="false">IF(J1272&gt;$K$1,"",IFERROR(MATCH(J1272,J_BB,0),""))</f>
        <v/>
      </c>
      <c r="J1272" s="66" t="n">
        <v>1263</v>
      </c>
      <c r="K1272" s="5"/>
    </row>
    <row r="1273" customFormat="false" ht="15" hidden="false" customHeight="false" outlineLevel="0" collapsed="false">
      <c r="A1273" s="5" t="str">
        <f aca="false">IF(I1273="","",J1273)</f>
        <v/>
      </c>
      <c r="B1273" s="83" t="str">
        <f aca="false">IF(I1273="","",INDEX(J_TGL,I1273))</f>
        <v/>
      </c>
      <c r="C1273" s="5" t="str">
        <f aca="false">IF(I1273="","",INDEX(J_NO,I1273))</f>
        <v/>
      </c>
      <c r="D1273" s="5" t="str">
        <f aca="false">IF(I1273="","",INDEX(J_KET,I1273))</f>
        <v/>
      </c>
      <c r="E1273" s="5" t="str">
        <f aca="false">IF(I1273="","",IF(INDEX(J_DEB,I1273)=$C$3,INDEX(J_KRE,I1273),INDEX(J_DEB,I1273)))</f>
        <v/>
      </c>
      <c r="F1273" s="44" t="str">
        <f aca="false">IF(I1273="","",IF(INDEX(J_DEB,I1273)=$C$3,INDEX(J_NOM,I1273),0))</f>
        <v/>
      </c>
      <c r="G1273" s="44" t="str">
        <f aca="false">IF(I1273="","",IF(INDEX(J_KRE,I1273)=$C$3,INDEX(J_NOM,I1273),0))</f>
        <v/>
      </c>
      <c r="H1273" s="44" t="str">
        <f aca="false">IF(I1273="","",N(H1272)+IF($C$5="Debet",F1273-G1273,G1273-F1273))</f>
        <v/>
      </c>
      <c r="I1273" s="66" t="str">
        <f aca="false">IF(J1273&gt;$K$1,"",IFERROR(MATCH(J1273,J_BB,0),""))</f>
        <v/>
      </c>
      <c r="J1273" s="66" t="n">
        <v>1264</v>
      </c>
      <c r="K1273" s="5"/>
    </row>
    <row r="1274" customFormat="false" ht="15" hidden="false" customHeight="false" outlineLevel="0" collapsed="false">
      <c r="A1274" s="5" t="str">
        <f aca="false">IF(I1274="","",J1274)</f>
        <v/>
      </c>
      <c r="B1274" s="83" t="str">
        <f aca="false">IF(I1274="","",INDEX(J_TGL,I1274))</f>
        <v/>
      </c>
      <c r="C1274" s="5" t="str">
        <f aca="false">IF(I1274="","",INDEX(J_NO,I1274))</f>
        <v/>
      </c>
      <c r="D1274" s="5" t="str">
        <f aca="false">IF(I1274="","",INDEX(J_KET,I1274))</f>
        <v/>
      </c>
      <c r="E1274" s="5" t="str">
        <f aca="false">IF(I1274="","",IF(INDEX(J_DEB,I1274)=$C$3,INDEX(J_KRE,I1274),INDEX(J_DEB,I1274)))</f>
        <v/>
      </c>
      <c r="F1274" s="44" t="str">
        <f aca="false">IF(I1274="","",IF(INDEX(J_DEB,I1274)=$C$3,INDEX(J_NOM,I1274),0))</f>
        <v/>
      </c>
      <c r="G1274" s="44" t="str">
        <f aca="false">IF(I1274="","",IF(INDEX(J_KRE,I1274)=$C$3,INDEX(J_NOM,I1274),0))</f>
        <v/>
      </c>
      <c r="H1274" s="44" t="str">
        <f aca="false">IF(I1274="","",N(H1273)+IF($C$5="Debet",F1274-G1274,G1274-F1274))</f>
        <v/>
      </c>
      <c r="I1274" s="66" t="str">
        <f aca="false">IF(J1274&gt;$K$1,"",IFERROR(MATCH(J1274,J_BB,0),""))</f>
        <v/>
      </c>
      <c r="J1274" s="66" t="n">
        <v>1265</v>
      </c>
      <c r="K1274" s="5"/>
    </row>
    <row r="1275" customFormat="false" ht="15" hidden="false" customHeight="false" outlineLevel="0" collapsed="false">
      <c r="A1275" s="5" t="str">
        <f aca="false">IF(I1275="","",J1275)</f>
        <v/>
      </c>
      <c r="B1275" s="83" t="str">
        <f aca="false">IF(I1275="","",INDEX(J_TGL,I1275))</f>
        <v/>
      </c>
      <c r="C1275" s="5" t="str">
        <f aca="false">IF(I1275="","",INDEX(J_NO,I1275))</f>
        <v/>
      </c>
      <c r="D1275" s="5" t="str">
        <f aca="false">IF(I1275="","",INDEX(J_KET,I1275))</f>
        <v/>
      </c>
      <c r="E1275" s="5" t="str">
        <f aca="false">IF(I1275="","",IF(INDEX(J_DEB,I1275)=$C$3,INDEX(J_KRE,I1275),INDEX(J_DEB,I1275)))</f>
        <v/>
      </c>
      <c r="F1275" s="44" t="str">
        <f aca="false">IF(I1275="","",IF(INDEX(J_DEB,I1275)=$C$3,INDEX(J_NOM,I1275),0))</f>
        <v/>
      </c>
      <c r="G1275" s="44" t="str">
        <f aca="false">IF(I1275="","",IF(INDEX(J_KRE,I1275)=$C$3,INDEX(J_NOM,I1275),0))</f>
        <v/>
      </c>
      <c r="H1275" s="44" t="str">
        <f aca="false">IF(I1275="","",N(H1274)+IF($C$5="Debet",F1275-G1275,G1275-F1275))</f>
        <v/>
      </c>
      <c r="I1275" s="66" t="str">
        <f aca="false">IF(J1275&gt;$K$1,"",IFERROR(MATCH(J1275,J_BB,0),""))</f>
        <v/>
      </c>
      <c r="J1275" s="66" t="n">
        <v>1266</v>
      </c>
      <c r="K1275" s="5"/>
    </row>
    <row r="1276" customFormat="false" ht="15" hidden="false" customHeight="false" outlineLevel="0" collapsed="false">
      <c r="A1276" s="5" t="str">
        <f aca="false">IF(I1276="","",J1276)</f>
        <v/>
      </c>
      <c r="B1276" s="83" t="str">
        <f aca="false">IF(I1276="","",INDEX(J_TGL,I1276))</f>
        <v/>
      </c>
      <c r="C1276" s="5" t="str">
        <f aca="false">IF(I1276="","",INDEX(J_NO,I1276))</f>
        <v/>
      </c>
      <c r="D1276" s="5" t="str">
        <f aca="false">IF(I1276="","",INDEX(J_KET,I1276))</f>
        <v/>
      </c>
      <c r="E1276" s="5" t="str">
        <f aca="false">IF(I1276="","",IF(INDEX(J_DEB,I1276)=$C$3,INDEX(J_KRE,I1276),INDEX(J_DEB,I1276)))</f>
        <v/>
      </c>
      <c r="F1276" s="44" t="str">
        <f aca="false">IF(I1276="","",IF(INDEX(J_DEB,I1276)=$C$3,INDEX(J_NOM,I1276),0))</f>
        <v/>
      </c>
      <c r="G1276" s="44" t="str">
        <f aca="false">IF(I1276="","",IF(INDEX(J_KRE,I1276)=$C$3,INDEX(J_NOM,I1276),0))</f>
        <v/>
      </c>
      <c r="H1276" s="44" t="str">
        <f aca="false">IF(I1276="","",N(H1275)+IF($C$5="Debet",F1276-G1276,G1276-F1276))</f>
        <v/>
      </c>
      <c r="I1276" s="66" t="str">
        <f aca="false">IF(J1276&gt;$K$1,"",IFERROR(MATCH(J1276,J_BB,0),""))</f>
        <v/>
      </c>
      <c r="J1276" s="66" t="n">
        <v>1267</v>
      </c>
      <c r="K1276" s="5"/>
    </row>
    <row r="1277" customFormat="false" ht="15" hidden="false" customHeight="false" outlineLevel="0" collapsed="false">
      <c r="A1277" s="5" t="str">
        <f aca="false">IF(I1277="","",J1277)</f>
        <v/>
      </c>
      <c r="B1277" s="83" t="str">
        <f aca="false">IF(I1277="","",INDEX(J_TGL,I1277))</f>
        <v/>
      </c>
      <c r="C1277" s="5" t="str">
        <f aca="false">IF(I1277="","",INDEX(J_NO,I1277))</f>
        <v/>
      </c>
      <c r="D1277" s="5" t="str">
        <f aca="false">IF(I1277="","",INDEX(J_KET,I1277))</f>
        <v/>
      </c>
      <c r="E1277" s="5" t="str">
        <f aca="false">IF(I1277="","",IF(INDEX(J_DEB,I1277)=$C$3,INDEX(J_KRE,I1277),INDEX(J_DEB,I1277)))</f>
        <v/>
      </c>
      <c r="F1277" s="44" t="str">
        <f aca="false">IF(I1277="","",IF(INDEX(J_DEB,I1277)=$C$3,INDEX(J_NOM,I1277),0))</f>
        <v/>
      </c>
      <c r="G1277" s="44" t="str">
        <f aca="false">IF(I1277="","",IF(INDEX(J_KRE,I1277)=$C$3,INDEX(J_NOM,I1277),0))</f>
        <v/>
      </c>
      <c r="H1277" s="44" t="str">
        <f aca="false">IF(I1277="","",N(H1276)+IF($C$5="Debet",F1277-G1277,G1277-F1277))</f>
        <v/>
      </c>
      <c r="I1277" s="66" t="str">
        <f aca="false">IF(J1277&gt;$K$1,"",IFERROR(MATCH(J1277,J_BB,0),""))</f>
        <v/>
      </c>
      <c r="J1277" s="66" t="n">
        <v>1268</v>
      </c>
      <c r="K1277" s="5"/>
    </row>
    <row r="1278" customFormat="false" ht="15" hidden="false" customHeight="false" outlineLevel="0" collapsed="false">
      <c r="A1278" s="5" t="str">
        <f aca="false">IF(I1278="","",J1278)</f>
        <v/>
      </c>
      <c r="B1278" s="83" t="str">
        <f aca="false">IF(I1278="","",INDEX(J_TGL,I1278))</f>
        <v/>
      </c>
      <c r="C1278" s="5" t="str">
        <f aca="false">IF(I1278="","",INDEX(J_NO,I1278))</f>
        <v/>
      </c>
      <c r="D1278" s="5" t="str">
        <f aca="false">IF(I1278="","",INDEX(J_KET,I1278))</f>
        <v/>
      </c>
      <c r="E1278" s="5" t="str">
        <f aca="false">IF(I1278="","",IF(INDEX(J_DEB,I1278)=$C$3,INDEX(J_KRE,I1278),INDEX(J_DEB,I1278)))</f>
        <v/>
      </c>
      <c r="F1278" s="44" t="str">
        <f aca="false">IF(I1278="","",IF(INDEX(J_DEB,I1278)=$C$3,INDEX(J_NOM,I1278),0))</f>
        <v/>
      </c>
      <c r="G1278" s="44" t="str">
        <f aca="false">IF(I1278="","",IF(INDEX(J_KRE,I1278)=$C$3,INDEX(J_NOM,I1278),0))</f>
        <v/>
      </c>
      <c r="H1278" s="44" t="str">
        <f aca="false">IF(I1278="","",N(H1277)+IF($C$5="Debet",F1278-G1278,G1278-F1278))</f>
        <v/>
      </c>
      <c r="I1278" s="66" t="str">
        <f aca="false">IF(J1278&gt;$K$1,"",IFERROR(MATCH(J1278,J_BB,0),""))</f>
        <v/>
      </c>
      <c r="J1278" s="66" t="n">
        <v>1269</v>
      </c>
      <c r="K1278" s="5"/>
    </row>
    <row r="1279" customFormat="false" ht="15" hidden="false" customHeight="false" outlineLevel="0" collapsed="false">
      <c r="A1279" s="5" t="str">
        <f aca="false">IF(I1279="","",J1279)</f>
        <v/>
      </c>
      <c r="B1279" s="83" t="str">
        <f aca="false">IF(I1279="","",INDEX(J_TGL,I1279))</f>
        <v/>
      </c>
      <c r="C1279" s="5" t="str">
        <f aca="false">IF(I1279="","",INDEX(J_NO,I1279))</f>
        <v/>
      </c>
      <c r="D1279" s="5" t="str">
        <f aca="false">IF(I1279="","",INDEX(J_KET,I1279))</f>
        <v/>
      </c>
      <c r="E1279" s="5" t="str">
        <f aca="false">IF(I1279="","",IF(INDEX(J_DEB,I1279)=$C$3,INDEX(J_KRE,I1279),INDEX(J_DEB,I1279)))</f>
        <v/>
      </c>
      <c r="F1279" s="44" t="str">
        <f aca="false">IF(I1279="","",IF(INDEX(J_DEB,I1279)=$C$3,INDEX(J_NOM,I1279),0))</f>
        <v/>
      </c>
      <c r="G1279" s="44" t="str">
        <f aca="false">IF(I1279="","",IF(INDEX(J_KRE,I1279)=$C$3,INDEX(J_NOM,I1279),0))</f>
        <v/>
      </c>
      <c r="H1279" s="44" t="str">
        <f aca="false">IF(I1279="","",N(H1278)+IF($C$5="Debet",F1279-G1279,G1279-F1279))</f>
        <v/>
      </c>
      <c r="I1279" s="66" t="str">
        <f aca="false">IF(J1279&gt;$K$1,"",IFERROR(MATCH(J1279,J_BB,0),""))</f>
        <v/>
      </c>
      <c r="J1279" s="66" t="n">
        <v>1270</v>
      </c>
      <c r="K1279" s="5"/>
    </row>
    <row r="1280" customFormat="false" ht="15" hidden="false" customHeight="false" outlineLevel="0" collapsed="false">
      <c r="A1280" s="5" t="str">
        <f aca="false">IF(I1280="","",J1280)</f>
        <v/>
      </c>
      <c r="B1280" s="83" t="str">
        <f aca="false">IF(I1280="","",INDEX(J_TGL,I1280))</f>
        <v/>
      </c>
      <c r="C1280" s="5" t="str">
        <f aca="false">IF(I1280="","",INDEX(J_NO,I1280))</f>
        <v/>
      </c>
      <c r="D1280" s="5" t="str">
        <f aca="false">IF(I1280="","",INDEX(J_KET,I1280))</f>
        <v/>
      </c>
      <c r="E1280" s="5" t="str">
        <f aca="false">IF(I1280="","",IF(INDEX(J_DEB,I1280)=$C$3,INDEX(J_KRE,I1280),INDEX(J_DEB,I1280)))</f>
        <v/>
      </c>
      <c r="F1280" s="44" t="str">
        <f aca="false">IF(I1280="","",IF(INDEX(J_DEB,I1280)=$C$3,INDEX(J_NOM,I1280),0))</f>
        <v/>
      </c>
      <c r="G1280" s="44" t="str">
        <f aca="false">IF(I1280="","",IF(INDEX(J_KRE,I1280)=$C$3,INDEX(J_NOM,I1280),0))</f>
        <v/>
      </c>
      <c r="H1280" s="44" t="str">
        <f aca="false">IF(I1280="","",N(H1279)+IF($C$5="Debet",F1280-G1280,G1280-F1280))</f>
        <v/>
      </c>
      <c r="I1280" s="66" t="str">
        <f aca="false">IF(J1280&gt;$K$1,"",IFERROR(MATCH(J1280,J_BB,0),""))</f>
        <v/>
      </c>
      <c r="J1280" s="66" t="n">
        <v>1271</v>
      </c>
      <c r="K1280" s="5"/>
    </row>
    <row r="1281" customFormat="false" ht="15" hidden="false" customHeight="false" outlineLevel="0" collapsed="false">
      <c r="A1281" s="5" t="str">
        <f aca="false">IF(I1281="","",J1281)</f>
        <v/>
      </c>
      <c r="B1281" s="83" t="str">
        <f aca="false">IF(I1281="","",INDEX(J_TGL,I1281))</f>
        <v/>
      </c>
      <c r="C1281" s="5" t="str">
        <f aca="false">IF(I1281="","",INDEX(J_NO,I1281))</f>
        <v/>
      </c>
      <c r="D1281" s="5" t="str">
        <f aca="false">IF(I1281="","",INDEX(J_KET,I1281))</f>
        <v/>
      </c>
      <c r="E1281" s="5" t="str">
        <f aca="false">IF(I1281="","",IF(INDEX(J_DEB,I1281)=$C$3,INDEX(J_KRE,I1281),INDEX(J_DEB,I1281)))</f>
        <v/>
      </c>
      <c r="F1281" s="44" t="str">
        <f aca="false">IF(I1281="","",IF(INDEX(J_DEB,I1281)=$C$3,INDEX(J_NOM,I1281),0))</f>
        <v/>
      </c>
      <c r="G1281" s="44" t="str">
        <f aca="false">IF(I1281="","",IF(INDEX(J_KRE,I1281)=$C$3,INDEX(J_NOM,I1281),0))</f>
        <v/>
      </c>
      <c r="H1281" s="44" t="str">
        <f aca="false">IF(I1281="","",N(H1280)+IF($C$5="Debet",F1281-G1281,G1281-F1281))</f>
        <v/>
      </c>
      <c r="I1281" s="66" t="str">
        <f aca="false">IF(J1281&gt;$K$1,"",IFERROR(MATCH(J1281,J_BB,0),""))</f>
        <v/>
      </c>
      <c r="J1281" s="66" t="n">
        <v>1272</v>
      </c>
      <c r="K1281" s="5"/>
    </row>
    <row r="1282" customFormat="false" ht="15" hidden="false" customHeight="false" outlineLevel="0" collapsed="false">
      <c r="A1282" s="5" t="str">
        <f aca="false">IF(I1282="","",J1282)</f>
        <v/>
      </c>
      <c r="B1282" s="83" t="str">
        <f aca="false">IF(I1282="","",INDEX(J_TGL,I1282))</f>
        <v/>
      </c>
      <c r="C1282" s="5" t="str">
        <f aca="false">IF(I1282="","",INDEX(J_NO,I1282))</f>
        <v/>
      </c>
      <c r="D1282" s="5" t="str">
        <f aca="false">IF(I1282="","",INDEX(J_KET,I1282))</f>
        <v/>
      </c>
      <c r="E1282" s="5" t="str">
        <f aca="false">IF(I1282="","",IF(INDEX(J_DEB,I1282)=$C$3,INDEX(J_KRE,I1282),INDEX(J_DEB,I1282)))</f>
        <v/>
      </c>
      <c r="F1282" s="44" t="str">
        <f aca="false">IF(I1282="","",IF(INDEX(J_DEB,I1282)=$C$3,INDEX(J_NOM,I1282),0))</f>
        <v/>
      </c>
      <c r="G1282" s="44" t="str">
        <f aca="false">IF(I1282="","",IF(INDEX(J_KRE,I1282)=$C$3,INDEX(J_NOM,I1282),0))</f>
        <v/>
      </c>
      <c r="H1282" s="44" t="str">
        <f aca="false">IF(I1282="","",N(H1281)+IF($C$5="Debet",F1282-G1282,G1282-F1282))</f>
        <v/>
      </c>
      <c r="I1282" s="66" t="str">
        <f aca="false">IF(J1282&gt;$K$1,"",IFERROR(MATCH(J1282,J_BB,0),""))</f>
        <v/>
      </c>
      <c r="J1282" s="66" t="n">
        <v>1273</v>
      </c>
      <c r="K1282" s="5"/>
    </row>
    <row r="1283" customFormat="false" ht="15" hidden="false" customHeight="false" outlineLevel="0" collapsed="false">
      <c r="A1283" s="5" t="str">
        <f aca="false">IF(I1283="","",J1283)</f>
        <v/>
      </c>
      <c r="B1283" s="83" t="str">
        <f aca="false">IF(I1283="","",INDEX(J_TGL,I1283))</f>
        <v/>
      </c>
      <c r="C1283" s="5" t="str">
        <f aca="false">IF(I1283="","",INDEX(J_NO,I1283))</f>
        <v/>
      </c>
      <c r="D1283" s="5" t="str">
        <f aca="false">IF(I1283="","",INDEX(J_KET,I1283))</f>
        <v/>
      </c>
      <c r="E1283" s="5" t="str">
        <f aca="false">IF(I1283="","",IF(INDEX(J_DEB,I1283)=$C$3,INDEX(J_KRE,I1283),INDEX(J_DEB,I1283)))</f>
        <v/>
      </c>
      <c r="F1283" s="44" t="str">
        <f aca="false">IF(I1283="","",IF(INDEX(J_DEB,I1283)=$C$3,INDEX(J_NOM,I1283),0))</f>
        <v/>
      </c>
      <c r="G1283" s="44" t="str">
        <f aca="false">IF(I1283="","",IF(INDEX(J_KRE,I1283)=$C$3,INDEX(J_NOM,I1283),0))</f>
        <v/>
      </c>
      <c r="H1283" s="44" t="str">
        <f aca="false">IF(I1283="","",N(H1282)+IF($C$5="Debet",F1283-G1283,G1283-F1283))</f>
        <v/>
      </c>
      <c r="I1283" s="66" t="str">
        <f aca="false">IF(J1283&gt;$K$1,"",IFERROR(MATCH(J1283,J_BB,0),""))</f>
        <v/>
      </c>
      <c r="J1283" s="66" t="n">
        <v>1274</v>
      </c>
      <c r="K1283" s="5"/>
    </row>
    <row r="1284" customFormat="false" ht="15" hidden="false" customHeight="false" outlineLevel="0" collapsed="false">
      <c r="A1284" s="5" t="str">
        <f aca="false">IF(I1284="","",J1284)</f>
        <v/>
      </c>
      <c r="B1284" s="83" t="str">
        <f aca="false">IF(I1284="","",INDEX(J_TGL,I1284))</f>
        <v/>
      </c>
      <c r="C1284" s="5" t="str">
        <f aca="false">IF(I1284="","",INDEX(J_NO,I1284))</f>
        <v/>
      </c>
      <c r="D1284" s="5" t="str">
        <f aca="false">IF(I1284="","",INDEX(J_KET,I1284))</f>
        <v/>
      </c>
      <c r="E1284" s="5" t="str">
        <f aca="false">IF(I1284="","",IF(INDEX(J_DEB,I1284)=$C$3,INDEX(J_KRE,I1284),INDEX(J_DEB,I1284)))</f>
        <v/>
      </c>
      <c r="F1284" s="44" t="str">
        <f aca="false">IF(I1284="","",IF(INDEX(J_DEB,I1284)=$C$3,INDEX(J_NOM,I1284),0))</f>
        <v/>
      </c>
      <c r="G1284" s="44" t="str">
        <f aca="false">IF(I1284="","",IF(INDEX(J_KRE,I1284)=$C$3,INDEX(J_NOM,I1284),0))</f>
        <v/>
      </c>
      <c r="H1284" s="44" t="str">
        <f aca="false">IF(I1284="","",N(H1283)+IF($C$5="Debet",F1284-G1284,G1284-F1284))</f>
        <v/>
      </c>
      <c r="I1284" s="66" t="str">
        <f aca="false">IF(J1284&gt;$K$1,"",IFERROR(MATCH(J1284,J_BB,0),""))</f>
        <v/>
      </c>
      <c r="J1284" s="66" t="n">
        <v>1275</v>
      </c>
      <c r="K1284" s="5"/>
    </row>
    <row r="1285" customFormat="false" ht="15" hidden="false" customHeight="false" outlineLevel="0" collapsed="false">
      <c r="A1285" s="5" t="str">
        <f aca="false">IF(I1285="","",J1285)</f>
        <v/>
      </c>
      <c r="B1285" s="83" t="str">
        <f aca="false">IF(I1285="","",INDEX(J_TGL,I1285))</f>
        <v/>
      </c>
      <c r="C1285" s="5" t="str">
        <f aca="false">IF(I1285="","",INDEX(J_NO,I1285))</f>
        <v/>
      </c>
      <c r="D1285" s="5" t="str">
        <f aca="false">IF(I1285="","",INDEX(J_KET,I1285))</f>
        <v/>
      </c>
      <c r="E1285" s="5" t="str">
        <f aca="false">IF(I1285="","",IF(INDEX(J_DEB,I1285)=$C$3,INDEX(J_KRE,I1285),INDEX(J_DEB,I1285)))</f>
        <v/>
      </c>
      <c r="F1285" s="44" t="str">
        <f aca="false">IF(I1285="","",IF(INDEX(J_DEB,I1285)=$C$3,INDEX(J_NOM,I1285),0))</f>
        <v/>
      </c>
      <c r="G1285" s="44" t="str">
        <f aca="false">IF(I1285="","",IF(INDEX(J_KRE,I1285)=$C$3,INDEX(J_NOM,I1285),0))</f>
        <v/>
      </c>
      <c r="H1285" s="44" t="str">
        <f aca="false">IF(I1285="","",N(H1284)+IF($C$5="Debet",F1285-G1285,G1285-F1285))</f>
        <v/>
      </c>
      <c r="I1285" s="66" t="str">
        <f aca="false">IF(J1285&gt;$K$1,"",IFERROR(MATCH(J1285,J_BB,0),""))</f>
        <v/>
      </c>
      <c r="J1285" s="66" t="n">
        <v>1276</v>
      </c>
      <c r="K1285" s="5"/>
    </row>
    <row r="1286" customFormat="false" ht="15" hidden="false" customHeight="false" outlineLevel="0" collapsed="false">
      <c r="A1286" s="5" t="str">
        <f aca="false">IF(I1286="","",J1286)</f>
        <v/>
      </c>
      <c r="B1286" s="83" t="str">
        <f aca="false">IF(I1286="","",INDEX(J_TGL,I1286))</f>
        <v/>
      </c>
      <c r="C1286" s="5" t="str">
        <f aca="false">IF(I1286="","",INDEX(J_NO,I1286))</f>
        <v/>
      </c>
      <c r="D1286" s="5" t="str">
        <f aca="false">IF(I1286="","",INDEX(J_KET,I1286))</f>
        <v/>
      </c>
      <c r="E1286" s="5" t="str">
        <f aca="false">IF(I1286="","",IF(INDEX(J_DEB,I1286)=$C$3,INDEX(J_KRE,I1286),INDEX(J_DEB,I1286)))</f>
        <v/>
      </c>
      <c r="F1286" s="44" t="str">
        <f aca="false">IF(I1286="","",IF(INDEX(J_DEB,I1286)=$C$3,INDEX(J_NOM,I1286),0))</f>
        <v/>
      </c>
      <c r="G1286" s="44" t="str">
        <f aca="false">IF(I1286="","",IF(INDEX(J_KRE,I1286)=$C$3,INDEX(J_NOM,I1286),0))</f>
        <v/>
      </c>
      <c r="H1286" s="44" t="str">
        <f aca="false">IF(I1286="","",N(H1285)+IF($C$5="Debet",F1286-G1286,G1286-F1286))</f>
        <v/>
      </c>
      <c r="I1286" s="66" t="str">
        <f aca="false">IF(J1286&gt;$K$1,"",IFERROR(MATCH(J1286,J_BB,0),""))</f>
        <v/>
      </c>
      <c r="J1286" s="66" t="n">
        <v>1277</v>
      </c>
      <c r="K1286" s="5"/>
    </row>
    <row r="1287" customFormat="false" ht="15" hidden="false" customHeight="false" outlineLevel="0" collapsed="false">
      <c r="A1287" s="5" t="str">
        <f aca="false">IF(I1287="","",J1287)</f>
        <v/>
      </c>
      <c r="B1287" s="83" t="str">
        <f aca="false">IF(I1287="","",INDEX(J_TGL,I1287))</f>
        <v/>
      </c>
      <c r="C1287" s="5" t="str">
        <f aca="false">IF(I1287="","",INDEX(J_NO,I1287))</f>
        <v/>
      </c>
      <c r="D1287" s="5" t="str">
        <f aca="false">IF(I1287="","",INDEX(J_KET,I1287))</f>
        <v/>
      </c>
      <c r="E1287" s="5" t="str">
        <f aca="false">IF(I1287="","",IF(INDEX(J_DEB,I1287)=$C$3,INDEX(J_KRE,I1287),INDEX(J_DEB,I1287)))</f>
        <v/>
      </c>
      <c r="F1287" s="44" t="str">
        <f aca="false">IF(I1287="","",IF(INDEX(J_DEB,I1287)=$C$3,INDEX(J_NOM,I1287),0))</f>
        <v/>
      </c>
      <c r="G1287" s="44" t="str">
        <f aca="false">IF(I1287="","",IF(INDEX(J_KRE,I1287)=$C$3,INDEX(J_NOM,I1287),0))</f>
        <v/>
      </c>
      <c r="H1287" s="44" t="str">
        <f aca="false">IF(I1287="","",N(H1286)+IF($C$5="Debet",F1287-G1287,G1287-F1287))</f>
        <v/>
      </c>
      <c r="I1287" s="66" t="str">
        <f aca="false">IF(J1287&gt;$K$1,"",IFERROR(MATCH(J1287,J_BB,0),""))</f>
        <v/>
      </c>
      <c r="J1287" s="66" t="n">
        <v>1278</v>
      </c>
      <c r="K1287" s="5"/>
    </row>
    <row r="1288" customFormat="false" ht="15" hidden="false" customHeight="false" outlineLevel="0" collapsed="false">
      <c r="A1288" s="5" t="str">
        <f aca="false">IF(I1288="","",J1288)</f>
        <v/>
      </c>
      <c r="B1288" s="83" t="str">
        <f aca="false">IF(I1288="","",INDEX(J_TGL,I1288))</f>
        <v/>
      </c>
      <c r="C1288" s="5" t="str">
        <f aca="false">IF(I1288="","",INDEX(J_NO,I1288))</f>
        <v/>
      </c>
      <c r="D1288" s="5" t="str">
        <f aca="false">IF(I1288="","",INDEX(J_KET,I1288))</f>
        <v/>
      </c>
      <c r="E1288" s="5" t="str">
        <f aca="false">IF(I1288="","",IF(INDEX(J_DEB,I1288)=$C$3,INDEX(J_KRE,I1288),INDEX(J_DEB,I1288)))</f>
        <v/>
      </c>
      <c r="F1288" s="44" t="str">
        <f aca="false">IF(I1288="","",IF(INDEX(J_DEB,I1288)=$C$3,INDEX(J_NOM,I1288),0))</f>
        <v/>
      </c>
      <c r="G1288" s="44" t="str">
        <f aca="false">IF(I1288="","",IF(INDEX(J_KRE,I1288)=$C$3,INDEX(J_NOM,I1288),0))</f>
        <v/>
      </c>
      <c r="H1288" s="44" t="str">
        <f aca="false">IF(I1288="","",N(H1287)+IF($C$5="Debet",F1288-G1288,G1288-F1288))</f>
        <v/>
      </c>
      <c r="I1288" s="66" t="str">
        <f aca="false">IF(J1288&gt;$K$1,"",IFERROR(MATCH(J1288,J_BB,0),""))</f>
        <v/>
      </c>
      <c r="J1288" s="66" t="n">
        <v>1279</v>
      </c>
      <c r="K1288" s="5"/>
    </row>
    <row r="1289" customFormat="false" ht="15" hidden="false" customHeight="false" outlineLevel="0" collapsed="false">
      <c r="A1289" s="5" t="str">
        <f aca="false">IF(I1289="","",J1289)</f>
        <v/>
      </c>
      <c r="B1289" s="83" t="str">
        <f aca="false">IF(I1289="","",INDEX(J_TGL,I1289))</f>
        <v/>
      </c>
      <c r="C1289" s="5" t="str">
        <f aca="false">IF(I1289="","",INDEX(J_NO,I1289))</f>
        <v/>
      </c>
      <c r="D1289" s="5" t="str">
        <f aca="false">IF(I1289="","",INDEX(J_KET,I1289))</f>
        <v/>
      </c>
      <c r="E1289" s="5" t="str">
        <f aca="false">IF(I1289="","",IF(INDEX(J_DEB,I1289)=$C$3,INDEX(J_KRE,I1289),INDEX(J_DEB,I1289)))</f>
        <v/>
      </c>
      <c r="F1289" s="44" t="str">
        <f aca="false">IF(I1289="","",IF(INDEX(J_DEB,I1289)=$C$3,INDEX(J_NOM,I1289),0))</f>
        <v/>
      </c>
      <c r="G1289" s="44" t="str">
        <f aca="false">IF(I1289="","",IF(INDEX(J_KRE,I1289)=$C$3,INDEX(J_NOM,I1289),0))</f>
        <v/>
      </c>
      <c r="H1289" s="44" t="str">
        <f aca="false">IF(I1289="","",N(H1288)+IF($C$5="Debet",F1289-G1289,G1289-F1289))</f>
        <v/>
      </c>
      <c r="I1289" s="66" t="str">
        <f aca="false">IF(J1289&gt;$K$1,"",IFERROR(MATCH(J1289,J_BB,0),""))</f>
        <v/>
      </c>
      <c r="J1289" s="66" t="n">
        <v>1280</v>
      </c>
      <c r="K1289" s="5"/>
    </row>
    <row r="1290" customFormat="false" ht="15" hidden="false" customHeight="false" outlineLevel="0" collapsed="false">
      <c r="A1290" s="5" t="str">
        <f aca="false">IF(I1290="","",J1290)</f>
        <v/>
      </c>
      <c r="B1290" s="83" t="str">
        <f aca="false">IF(I1290="","",INDEX(J_TGL,I1290))</f>
        <v/>
      </c>
      <c r="C1290" s="5" t="str">
        <f aca="false">IF(I1290="","",INDEX(J_NO,I1290))</f>
        <v/>
      </c>
      <c r="D1290" s="5" t="str">
        <f aca="false">IF(I1290="","",INDEX(J_KET,I1290))</f>
        <v/>
      </c>
      <c r="E1290" s="5" t="str">
        <f aca="false">IF(I1290="","",IF(INDEX(J_DEB,I1290)=$C$3,INDEX(J_KRE,I1290),INDEX(J_DEB,I1290)))</f>
        <v/>
      </c>
      <c r="F1290" s="44" t="str">
        <f aca="false">IF(I1290="","",IF(INDEX(J_DEB,I1290)=$C$3,INDEX(J_NOM,I1290),0))</f>
        <v/>
      </c>
      <c r="G1290" s="44" t="str">
        <f aca="false">IF(I1290="","",IF(INDEX(J_KRE,I1290)=$C$3,INDEX(J_NOM,I1290),0))</f>
        <v/>
      </c>
      <c r="H1290" s="44" t="str">
        <f aca="false">IF(I1290="","",N(H1289)+IF($C$5="Debet",F1290-G1290,G1290-F1290))</f>
        <v/>
      </c>
      <c r="I1290" s="66" t="str">
        <f aca="false">IF(J1290&gt;$K$1,"",IFERROR(MATCH(J1290,J_BB,0),""))</f>
        <v/>
      </c>
      <c r="J1290" s="66" t="n">
        <v>1281</v>
      </c>
      <c r="K1290" s="5"/>
    </row>
    <row r="1291" customFormat="false" ht="15" hidden="false" customHeight="false" outlineLevel="0" collapsed="false">
      <c r="A1291" s="5" t="str">
        <f aca="false">IF(I1291="","",J1291)</f>
        <v/>
      </c>
      <c r="B1291" s="83" t="str">
        <f aca="false">IF(I1291="","",INDEX(J_TGL,I1291))</f>
        <v/>
      </c>
      <c r="C1291" s="5" t="str">
        <f aca="false">IF(I1291="","",INDEX(J_NO,I1291))</f>
        <v/>
      </c>
      <c r="D1291" s="5" t="str">
        <f aca="false">IF(I1291="","",INDEX(J_KET,I1291))</f>
        <v/>
      </c>
      <c r="E1291" s="5" t="str">
        <f aca="false">IF(I1291="","",IF(INDEX(J_DEB,I1291)=$C$3,INDEX(J_KRE,I1291),INDEX(J_DEB,I1291)))</f>
        <v/>
      </c>
      <c r="F1291" s="44" t="str">
        <f aca="false">IF(I1291="","",IF(INDEX(J_DEB,I1291)=$C$3,INDEX(J_NOM,I1291),0))</f>
        <v/>
      </c>
      <c r="G1291" s="44" t="str">
        <f aca="false">IF(I1291="","",IF(INDEX(J_KRE,I1291)=$C$3,INDEX(J_NOM,I1291),0))</f>
        <v/>
      </c>
      <c r="H1291" s="44" t="str">
        <f aca="false">IF(I1291="","",N(H1290)+IF($C$5="Debet",F1291-G1291,G1291-F1291))</f>
        <v/>
      </c>
      <c r="I1291" s="66" t="str">
        <f aca="false">IF(J1291&gt;$K$1,"",IFERROR(MATCH(J1291,J_BB,0),""))</f>
        <v/>
      </c>
      <c r="J1291" s="66" t="n">
        <v>1282</v>
      </c>
      <c r="K1291" s="5"/>
    </row>
    <row r="1292" customFormat="false" ht="15" hidden="false" customHeight="false" outlineLevel="0" collapsed="false">
      <c r="A1292" s="5" t="str">
        <f aca="false">IF(I1292="","",J1292)</f>
        <v/>
      </c>
      <c r="B1292" s="83" t="str">
        <f aca="false">IF(I1292="","",INDEX(J_TGL,I1292))</f>
        <v/>
      </c>
      <c r="C1292" s="5" t="str">
        <f aca="false">IF(I1292="","",INDEX(J_NO,I1292))</f>
        <v/>
      </c>
      <c r="D1292" s="5" t="str">
        <f aca="false">IF(I1292="","",INDEX(J_KET,I1292))</f>
        <v/>
      </c>
      <c r="E1292" s="5" t="str">
        <f aca="false">IF(I1292="","",IF(INDEX(J_DEB,I1292)=$C$3,INDEX(J_KRE,I1292),INDEX(J_DEB,I1292)))</f>
        <v/>
      </c>
      <c r="F1292" s="44" t="str">
        <f aca="false">IF(I1292="","",IF(INDEX(J_DEB,I1292)=$C$3,INDEX(J_NOM,I1292),0))</f>
        <v/>
      </c>
      <c r="G1292" s="44" t="str">
        <f aca="false">IF(I1292="","",IF(INDEX(J_KRE,I1292)=$C$3,INDEX(J_NOM,I1292),0))</f>
        <v/>
      </c>
      <c r="H1292" s="44" t="str">
        <f aca="false">IF(I1292="","",N(H1291)+IF($C$5="Debet",F1292-G1292,G1292-F1292))</f>
        <v/>
      </c>
      <c r="I1292" s="66" t="str">
        <f aca="false">IF(J1292&gt;$K$1,"",IFERROR(MATCH(J1292,J_BB,0),""))</f>
        <v/>
      </c>
      <c r="J1292" s="66" t="n">
        <v>1283</v>
      </c>
      <c r="K1292" s="5"/>
    </row>
    <row r="1293" customFormat="false" ht="15" hidden="false" customHeight="false" outlineLevel="0" collapsed="false">
      <c r="A1293" s="5" t="str">
        <f aca="false">IF(I1293="","",J1293)</f>
        <v/>
      </c>
      <c r="B1293" s="83" t="str">
        <f aca="false">IF(I1293="","",INDEX(J_TGL,I1293))</f>
        <v/>
      </c>
      <c r="C1293" s="5" t="str">
        <f aca="false">IF(I1293="","",INDEX(J_NO,I1293))</f>
        <v/>
      </c>
      <c r="D1293" s="5" t="str">
        <f aca="false">IF(I1293="","",INDEX(J_KET,I1293))</f>
        <v/>
      </c>
      <c r="E1293" s="5" t="str">
        <f aca="false">IF(I1293="","",IF(INDEX(J_DEB,I1293)=$C$3,INDEX(J_KRE,I1293),INDEX(J_DEB,I1293)))</f>
        <v/>
      </c>
      <c r="F1293" s="44" t="str">
        <f aca="false">IF(I1293="","",IF(INDEX(J_DEB,I1293)=$C$3,INDEX(J_NOM,I1293),0))</f>
        <v/>
      </c>
      <c r="G1293" s="44" t="str">
        <f aca="false">IF(I1293="","",IF(INDEX(J_KRE,I1293)=$C$3,INDEX(J_NOM,I1293),0))</f>
        <v/>
      </c>
      <c r="H1293" s="44" t="str">
        <f aca="false">IF(I1293="","",N(H1292)+IF($C$5="Debet",F1293-G1293,G1293-F1293))</f>
        <v/>
      </c>
      <c r="I1293" s="66" t="str">
        <f aca="false">IF(J1293&gt;$K$1,"",IFERROR(MATCH(J1293,J_BB,0),""))</f>
        <v/>
      </c>
      <c r="J1293" s="66" t="n">
        <v>1284</v>
      </c>
      <c r="K1293" s="5"/>
    </row>
    <row r="1294" customFormat="false" ht="15" hidden="false" customHeight="false" outlineLevel="0" collapsed="false">
      <c r="A1294" s="5" t="str">
        <f aca="false">IF(I1294="","",J1294)</f>
        <v/>
      </c>
      <c r="B1294" s="83" t="str">
        <f aca="false">IF(I1294="","",INDEX(J_TGL,I1294))</f>
        <v/>
      </c>
      <c r="C1294" s="5" t="str">
        <f aca="false">IF(I1294="","",INDEX(J_NO,I1294))</f>
        <v/>
      </c>
      <c r="D1294" s="5" t="str">
        <f aca="false">IF(I1294="","",INDEX(J_KET,I1294))</f>
        <v/>
      </c>
      <c r="E1294" s="5" t="str">
        <f aca="false">IF(I1294="","",IF(INDEX(J_DEB,I1294)=$C$3,INDEX(J_KRE,I1294),INDEX(J_DEB,I1294)))</f>
        <v/>
      </c>
      <c r="F1294" s="44" t="str">
        <f aca="false">IF(I1294="","",IF(INDEX(J_DEB,I1294)=$C$3,INDEX(J_NOM,I1294),0))</f>
        <v/>
      </c>
      <c r="G1294" s="44" t="str">
        <f aca="false">IF(I1294="","",IF(INDEX(J_KRE,I1294)=$C$3,INDEX(J_NOM,I1294),0))</f>
        <v/>
      </c>
      <c r="H1294" s="44" t="str">
        <f aca="false">IF(I1294="","",N(H1293)+IF($C$5="Debet",F1294-G1294,G1294-F1294))</f>
        <v/>
      </c>
      <c r="I1294" s="66" t="str">
        <f aca="false">IF(J1294&gt;$K$1,"",IFERROR(MATCH(J1294,J_BB,0),""))</f>
        <v/>
      </c>
      <c r="J1294" s="66" t="n">
        <v>1285</v>
      </c>
      <c r="K1294" s="5"/>
    </row>
    <row r="1295" customFormat="false" ht="15" hidden="false" customHeight="false" outlineLevel="0" collapsed="false">
      <c r="A1295" s="5" t="str">
        <f aca="false">IF(I1295="","",J1295)</f>
        <v/>
      </c>
      <c r="B1295" s="83" t="str">
        <f aca="false">IF(I1295="","",INDEX(J_TGL,I1295))</f>
        <v/>
      </c>
      <c r="C1295" s="5" t="str">
        <f aca="false">IF(I1295="","",INDEX(J_NO,I1295))</f>
        <v/>
      </c>
      <c r="D1295" s="5" t="str">
        <f aca="false">IF(I1295="","",INDEX(J_KET,I1295))</f>
        <v/>
      </c>
      <c r="E1295" s="5" t="str">
        <f aca="false">IF(I1295="","",IF(INDEX(J_DEB,I1295)=$C$3,INDEX(J_KRE,I1295),INDEX(J_DEB,I1295)))</f>
        <v/>
      </c>
      <c r="F1295" s="44" t="str">
        <f aca="false">IF(I1295="","",IF(INDEX(J_DEB,I1295)=$C$3,INDEX(J_NOM,I1295),0))</f>
        <v/>
      </c>
      <c r="G1295" s="44" t="str">
        <f aca="false">IF(I1295="","",IF(INDEX(J_KRE,I1295)=$C$3,INDEX(J_NOM,I1295),0))</f>
        <v/>
      </c>
      <c r="H1295" s="44" t="str">
        <f aca="false">IF(I1295="","",N(H1294)+IF($C$5="Debet",F1295-G1295,G1295-F1295))</f>
        <v/>
      </c>
      <c r="I1295" s="66" t="str">
        <f aca="false">IF(J1295&gt;$K$1,"",IFERROR(MATCH(J1295,J_BB,0),""))</f>
        <v/>
      </c>
      <c r="J1295" s="66" t="n">
        <v>1286</v>
      </c>
      <c r="K1295" s="5"/>
    </row>
    <row r="1296" customFormat="false" ht="15" hidden="false" customHeight="false" outlineLevel="0" collapsed="false">
      <c r="A1296" s="5" t="str">
        <f aca="false">IF(I1296="","",J1296)</f>
        <v/>
      </c>
      <c r="B1296" s="83" t="str">
        <f aca="false">IF(I1296="","",INDEX(J_TGL,I1296))</f>
        <v/>
      </c>
      <c r="C1296" s="5" t="str">
        <f aca="false">IF(I1296="","",INDEX(J_NO,I1296))</f>
        <v/>
      </c>
      <c r="D1296" s="5" t="str">
        <f aca="false">IF(I1296="","",INDEX(J_KET,I1296))</f>
        <v/>
      </c>
      <c r="E1296" s="5" t="str">
        <f aca="false">IF(I1296="","",IF(INDEX(J_DEB,I1296)=$C$3,INDEX(J_KRE,I1296),INDEX(J_DEB,I1296)))</f>
        <v/>
      </c>
      <c r="F1296" s="44" t="str">
        <f aca="false">IF(I1296="","",IF(INDEX(J_DEB,I1296)=$C$3,INDEX(J_NOM,I1296),0))</f>
        <v/>
      </c>
      <c r="G1296" s="44" t="str">
        <f aca="false">IF(I1296="","",IF(INDEX(J_KRE,I1296)=$C$3,INDEX(J_NOM,I1296),0))</f>
        <v/>
      </c>
      <c r="H1296" s="44" t="str">
        <f aca="false">IF(I1296="","",N(H1295)+IF($C$5="Debet",F1296-G1296,G1296-F1296))</f>
        <v/>
      </c>
      <c r="I1296" s="66" t="str">
        <f aca="false">IF(J1296&gt;$K$1,"",IFERROR(MATCH(J1296,J_BB,0),""))</f>
        <v/>
      </c>
      <c r="J1296" s="66" t="n">
        <v>1287</v>
      </c>
      <c r="K1296" s="5"/>
    </row>
    <row r="1297" customFormat="false" ht="15" hidden="false" customHeight="false" outlineLevel="0" collapsed="false">
      <c r="A1297" s="5" t="str">
        <f aca="false">IF(I1297="","",J1297)</f>
        <v/>
      </c>
      <c r="B1297" s="83" t="str">
        <f aca="false">IF(I1297="","",INDEX(J_TGL,I1297))</f>
        <v/>
      </c>
      <c r="C1297" s="5" t="str">
        <f aca="false">IF(I1297="","",INDEX(J_NO,I1297))</f>
        <v/>
      </c>
      <c r="D1297" s="5" t="str">
        <f aca="false">IF(I1297="","",INDEX(J_KET,I1297))</f>
        <v/>
      </c>
      <c r="E1297" s="5" t="str">
        <f aca="false">IF(I1297="","",IF(INDEX(J_DEB,I1297)=$C$3,INDEX(J_KRE,I1297),INDEX(J_DEB,I1297)))</f>
        <v/>
      </c>
      <c r="F1297" s="44" t="str">
        <f aca="false">IF(I1297="","",IF(INDEX(J_DEB,I1297)=$C$3,INDEX(J_NOM,I1297),0))</f>
        <v/>
      </c>
      <c r="G1297" s="44" t="str">
        <f aca="false">IF(I1297="","",IF(INDEX(J_KRE,I1297)=$C$3,INDEX(J_NOM,I1297),0))</f>
        <v/>
      </c>
      <c r="H1297" s="44" t="str">
        <f aca="false">IF(I1297="","",N(H1296)+IF($C$5="Debet",F1297-G1297,G1297-F1297))</f>
        <v/>
      </c>
      <c r="I1297" s="66" t="str">
        <f aca="false">IF(J1297&gt;$K$1,"",IFERROR(MATCH(J1297,J_BB,0),""))</f>
        <v/>
      </c>
      <c r="J1297" s="66" t="n">
        <v>1288</v>
      </c>
      <c r="K1297" s="5"/>
    </row>
    <row r="1298" customFormat="false" ht="15" hidden="false" customHeight="false" outlineLevel="0" collapsed="false">
      <c r="A1298" s="5" t="str">
        <f aca="false">IF(I1298="","",J1298)</f>
        <v/>
      </c>
      <c r="B1298" s="83" t="str">
        <f aca="false">IF(I1298="","",INDEX(J_TGL,I1298))</f>
        <v/>
      </c>
      <c r="C1298" s="5" t="str">
        <f aca="false">IF(I1298="","",INDEX(J_NO,I1298))</f>
        <v/>
      </c>
      <c r="D1298" s="5" t="str">
        <f aca="false">IF(I1298="","",INDEX(J_KET,I1298))</f>
        <v/>
      </c>
      <c r="E1298" s="5" t="str">
        <f aca="false">IF(I1298="","",IF(INDEX(J_DEB,I1298)=$C$3,INDEX(J_KRE,I1298),INDEX(J_DEB,I1298)))</f>
        <v/>
      </c>
      <c r="F1298" s="44" t="str">
        <f aca="false">IF(I1298="","",IF(INDEX(J_DEB,I1298)=$C$3,INDEX(J_NOM,I1298),0))</f>
        <v/>
      </c>
      <c r="G1298" s="44" t="str">
        <f aca="false">IF(I1298="","",IF(INDEX(J_KRE,I1298)=$C$3,INDEX(J_NOM,I1298),0))</f>
        <v/>
      </c>
      <c r="H1298" s="44" t="str">
        <f aca="false">IF(I1298="","",N(H1297)+IF($C$5="Debet",F1298-G1298,G1298-F1298))</f>
        <v/>
      </c>
      <c r="I1298" s="66" t="str">
        <f aca="false">IF(J1298&gt;$K$1,"",IFERROR(MATCH(J1298,J_BB,0),""))</f>
        <v/>
      </c>
      <c r="J1298" s="66" t="n">
        <v>1289</v>
      </c>
      <c r="K1298" s="5"/>
    </row>
    <row r="1299" customFormat="false" ht="15" hidden="false" customHeight="false" outlineLevel="0" collapsed="false">
      <c r="A1299" s="5" t="str">
        <f aca="false">IF(I1299="","",J1299)</f>
        <v/>
      </c>
      <c r="B1299" s="83" t="str">
        <f aca="false">IF(I1299="","",INDEX(J_TGL,I1299))</f>
        <v/>
      </c>
      <c r="C1299" s="5" t="str">
        <f aca="false">IF(I1299="","",INDEX(J_NO,I1299))</f>
        <v/>
      </c>
      <c r="D1299" s="5" t="str">
        <f aca="false">IF(I1299="","",INDEX(J_KET,I1299))</f>
        <v/>
      </c>
      <c r="E1299" s="5" t="str">
        <f aca="false">IF(I1299="","",IF(INDEX(J_DEB,I1299)=$C$3,INDEX(J_KRE,I1299),INDEX(J_DEB,I1299)))</f>
        <v/>
      </c>
      <c r="F1299" s="44" t="str">
        <f aca="false">IF(I1299="","",IF(INDEX(J_DEB,I1299)=$C$3,INDEX(J_NOM,I1299),0))</f>
        <v/>
      </c>
      <c r="G1299" s="44" t="str">
        <f aca="false">IF(I1299="","",IF(INDEX(J_KRE,I1299)=$C$3,INDEX(J_NOM,I1299),0))</f>
        <v/>
      </c>
      <c r="H1299" s="44" t="str">
        <f aca="false">IF(I1299="","",N(H1298)+IF($C$5="Debet",F1299-G1299,G1299-F1299))</f>
        <v/>
      </c>
      <c r="I1299" s="66" t="str">
        <f aca="false">IF(J1299&gt;$K$1,"",IFERROR(MATCH(J1299,J_BB,0),""))</f>
        <v/>
      </c>
      <c r="J1299" s="66" t="n">
        <v>1290</v>
      </c>
      <c r="K1299" s="5"/>
    </row>
    <row r="1300" customFormat="false" ht="15" hidden="false" customHeight="false" outlineLevel="0" collapsed="false">
      <c r="A1300" s="5" t="str">
        <f aca="false">IF(I1300="","",J1300)</f>
        <v/>
      </c>
      <c r="B1300" s="83" t="str">
        <f aca="false">IF(I1300="","",INDEX(J_TGL,I1300))</f>
        <v/>
      </c>
      <c r="C1300" s="5" t="str">
        <f aca="false">IF(I1300="","",INDEX(J_NO,I1300))</f>
        <v/>
      </c>
      <c r="D1300" s="5" t="str">
        <f aca="false">IF(I1300="","",INDEX(J_KET,I1300))</f>
        <v/>
      </c>
      <c r="E1300" s="5" t="str">
        <f aca="false">IF(I1300="","",IF(INDEX(J_DEB,I1300)=$C$3,INDEX(J_KRE,I1300),INDEX(J_DEB,I1300)))</f>
        <v/>
      </c>
      <c r="F1300" s="44" t="str">
        <f aca="false">IF(I1300="","",IF(INDEX(J_DEB,I1300)=$C$3,INDEX(J_NOM,I1300),0))</f>
        <v/>
      </c>
      <c r="G1300" s="44" t="str">
        <f aca="false">IF(I1300="","",IF(INDEX(J_KRE,I1300)=$C$3,INDEX(J_NOM,I1300),0))</f>
        <v/>
      </c>
      <c r="H1300" s="44" t="str">
        <f aca="false">IF(I1300="","",N(H1299)+IF($C$5="Debet",F1300-G1300,G1300-F1300))</f>
        <v/>
      </c>
      <c r="I1300" s="66" t="str">
        <f aca="false">IF(J1300&gt;$K$1,"",IFERROR(MATCH(J1300,J_BB,0),""))</f>
        <v/>
      </c>
      <c r="J1300" s="66" t="n">
        <v>1291</v>
      </c>
      <c r="K1300" s="5"/>
    </row>
    <row r="1301" customFormat="false" ht="15" hidden="false" customHeight="false" outlineLevel="0" collapsed="false">
      <c r="A1301" s="5" t="str">
        <f aca="false">IF(I1301="","",J1301)</f>
        <v/>
      </c>
      <c r="B1301" s="83" t="str">
        <f aca="false">IF(I1301="","",INDEX(J_TGL,I1301))</f>
        <v/>
      </c>
      <c r="C1301" s="5" t="str">
        <f aca="false">IF(I1301="","",INDEX(J_NO,I1301))</f>
        <v/>
      </c>
      <c r="D1301" s="5" t="str">
        <f aca="false">IF(I1301="","",INDEX(J_KET,I1301))</f>
        <v/>
      </c>
      <c r="E1301" s="5" t="str">
        <f aca="false">IF(I1301="","",IF(INDEX(J_DEB,I1301)=$C$3,INDEX(J_KRE,I1301),INDEX(J_DEB,I1301)))</f>
        <v/>
      </c>
      <c r="F1301" s="44" t="str">
        <f aca="false">IF(I1301="","",IF(INDEX(J_DEB,I1301)=$C$3,INDEX(J_NOM,I1301),0))</f>
        <v/>
      </c>
      <c r="G1301" s="44" t="str">
        <f aca="false">IF(I1301="","",IF(INDEX(J_KRE,I1301)=$C$3,INDEX(J_NOM,I1301),0))</f>
        <v/>
      </c>
      <c r="H1301" s="44" t="str">
        <f aca="false">IF(I1301="","",N(H1300)+IF($C$5="Debet",F1301-G1301,G1301-F1301))</f>
        <v/>
      </c>
      <c r="I1301" s="66" t="str">
        <f aca="false">IF(J1301&gt;$K$1,"",IFERROR(MATCH(J1301,J_BB,0),""))</f>
        <v/>
      </c>
      <c r="J1301" s="66" t="n">
        <v>1292</v>
      </c>
      <c r="K1301" s="5"/>
    </row>
    <row r="1302" customFormat="false" ht="15" hidden="false" customHeight="false" outlineLevel="0" collapsed="false">
      <c r="A1302" s="5" t="str">
        <f aca="false">IF(I1302="","",J1302)</f>
        <v/>
      </c>
      <c r="B1302" s="83" t="str">
        <f aca="false">IF(I1302="","",INDEX(J_TGL,I1302))</f>
        <v/>
      </c>
      <c r="C1302" s="5" t="str">
        <f aca="false">IF(I1302="","",INDEX(J_NO,I1302))</f>
        <v/>
      </c>
      <c r="D1302" s="5" t="str">
        <f aca="false">IF(I1302="","",INDEX(J_KET,I1302))</f>
        <v/>
      </c>
      <c r="E1302" s="5" t="str">
        <f aca="false">IF(I1302="","",IF(INDEX(J_DEB,I1302)=$C$3,INDEX(J_KRE,I1302),INDEX(J_DEB,I1302)))</f>
        <v/>
      </c>
      <c r="F1302" s="44" t="str">
        <f aca="false">IF(I1302="","",IF(INDEX(J_DEB,I1302)=$C$3,INDEX(J_NOM,I1302),0))</f>
        <v/>
      </c>
      <c r="G1302" s="44" t="str">
        <f aca="false">IF(I1302="","",IF(INDEX(J_KRE,I1302)=$C$3,INDEX(J_NOM,I1302),0))</f>
        <v/>
      </c>
      <c r="H1302" s="44" t="str">
        <f aca="false">IF(I1302="","",N(H1301)+IF($C$5="Debet",F1302-G1302,G1302-F1302))</f>
        <v/>
      </c>
      <c r="I1302" s="66" t="str">
        <f aca="false">IF(J1302&gt;$K$1,"",IFERROR(MATCH(J1302,J_BB,0),""))</f>
        <v/>
      </c>
      <c r="J1302" s="66" t="n">
        <v>1293</v>
      </c>
      <c r="K1302" s="5"/>
    </row>
    <row r="1303" customFormat="false" ht="15" hidden="false" customHeight="false" outlineLevel="0" collapsed="false">
      <c r="A1303" s="5" t="str">
        <f aca="false">IF(I1303="","",J1303)</f>
        <v/>
      </c>
      <c r="B1303" s="83" t="str">
        <f aca="false">IF(I1303="","",INDEX(J_TGL,I1303))</f>
        <v/>
      </c>
      <c r="C1303" s="5" t="str">
        <f aca="false">IF(I1303="","",INDEX(J_NO,I1303))</f>
        <v/>
      </c>
      <c r="D1303" s="5" t="str">
        <f aca="false">IF(I1303="","",INDEX(J_KET,I1303))</f>
        <v/>
      </c>
      <c r="E1303" s="5" t="str">
        <f aca="false">IF(I1303="","",IF(INDEX(J_DEB,I1303)=$C$3,INDEX(J_KRE,I1303),INDEX(J_DEB,I1303)))</f>
        <v/>
      </c>
      <c r="F1303" s="44" t="str">
        <f aca="false">IF(I1303="","",IF(INDEX(J_DEB,I1303)=$C$3,INDEX(J_NOM,I1303),0))</f>
        <v/>
      </c>
      <c r="G1303" s="44" t="str">
        <f aca="false">IF(I1303="","",IF(INDEX(J_KRE,I1303)=$C$3,INDEX(J_NOM,I1303),0))</f>
        <v/>
      </c>
      <c r="H1303" s="44" t="str">
        <f aca="false">IF(I1303="","",N(H1302)+IF($C$5="Debet",F1303-G1303,G1303-F1303))</f>
        <v/>
      </c>
      <c r="I1303" s="66" t="str">
        <f aca="false">IF(J1303&gt;$K$1,"",IFERROR(MATCH(J1303,J_BB,0),""))</f>
        <v/>
      </c>
      <c r="J1303" s="66" t="n">
        <v>1294</v>
      </c>
      <c r="K1303" s="5"/>
    </row>
    <row r="1304" customFormat="false" ht="15" hidden="false" customHeight="false" outlineLevel="0" collapsed="false">
      <c r="A1304" s="5" t="str">
        <f aca="false">IF(I1304="","",J1304)</f>
        <v/>
      </c>
      <c r="B1304" s="83" t="str">
        <f aca="false">IF(I1304="","",INDEX(J_TGL,I1304))</f>
        <v/>
      </c>
      <c r="C1304" s="5" t="str">
        <f aca="false">IF(I1304="","",INDEX(J_NO,I1304))</f>
        <v/>
      </c>
      <c r="D1304" s="5" t="str">
        <f aca="false">IF(I1304="","",INDEX(J_KET,I1304))</f>
        <v/>
      </c>
      <c r="E1304" s="5" t="str">
        <f aca="false">IF(I1304="","",IF(INDEX(J_DEB,I1304)=$C$3,INDEX(J_KRE,I1304),INDEX(J_DEB,I1304)))</f>
        <v/>
      </c>
      <c r="F1304" s="44" t="str">
        <f aca="false">IF(I1304="","",IF(INDEX(J_DEB,I1304)=$C$3,INDEX(J_NOM,I1304),0))</f>
        <v/>
      </c>
      <c r="G1304" s="44" t="str">
        <f aca="false">IF(I1304="","",IF(INDEX(J_KRE,I1304)=$C$3,INDEX(J_NOM,I1304),0))</f>
        <v/>
      </c>
      <c r="H1304" s="44" t="str">
        <f aca="false">IF(I1304="","",N(H1303)+IF($C$5="Debet",F1304-G1304,G1304-F1304))</f>
        <v/>
      </c>
      <c r="I1304" s="66" t="str">
        <f aca="false">IF(J1304&gt;$K$1,"",IFERROR(MATCH(J1304,J_BB,0),""))</f>
        <v/>
      </c>
      <c r="J1304" s="66" t="n">
        <v>1295</v>
      </c>
      <c r="K1304" s="5"/>
    </row>
    <row r="1305" customFormat="false" ht="15" hidden="false" customHeight="false" outlineLevel="0" collapsed="false">
      <c r="A1305" s="5" t="str">
        <f aca="false">IF(I1305="","",J1305)</f>
        <v/>
      </c>
      <c r="B1305" s="83" t="str">
        <f aca="false">IF(I1305="","",INDEX(J_TGL,I1305))</f>
        <v/>
      </c>
      <c r="C1305" s="5" t="str">
        <f aca="false">IF(I1305="","",INDEX(J_NO,I1305))</f>
        <v/>
      </c>
      <c r="D1305" s="5" t="str">
        <f aca="false">IF(I1305="","",INDEX(J_KET,I1305))</f>
        <v/>
      </c>
      <c r="E1305" s="5" t="str">
        <f aca="false">IF(I1305="","",IF(INDEX(J_DEB,I1305)=$C$3,INDEX(J_KRE,I1305),INDEX(J_DEB,I1305)))</f>
        <v/>
      </c>
      <c r="F1305" s="44" t="str">
        <f aca="false">IF(I1305="","",IF(INDEX(J_DEB,I1305)=$C$3,INDEX(J_NOM,I1305),0))</f>
        <v/>
      </c>
      <c r="G1305" s="44" t="str">
        <f aca="false">IF(I1305="","",IF(INDEX(J_KRE,I1305)=$C$3,INDEX(J_NOM,I1305),0))</f>
        <v/>
      </c>
      <c r="H1305" s="44" t="str">
        <f aca="false">IF(I1305="","",N(H1304)+IF($C$5="Debet",F1305-G1305,G1305-F1305))</f>
        <v/>
      </c>
      <c r="I1305" s="66" t="str">
        <f aca="false">IF(J1305&gt;$K$1,"",IFERROR(MATCH(J1305,J_BB,0),""))</f>
        <v/>
      </c>
      <c r="J1305" s="66" t="n">
        <v>1296</v>
      </c>
      <c r="K1305" s="5"/>
    </row>
    <row r="1306" customFormat="false" ht="15" hidden="false" customHeight="false" outlineLevel="0" collapsed="false">
      <c r="A1306" s="5" t="str">
        <f aca="false">IF(I1306="","",J1306)</f>
        <v/>
      </c>
      <c r="B1306" s="83" t="str">
        <f aca="false">IF(I1306="","",INDEX(J_TGL,I1306))</f>
        <v/>
      </c>
      <c r="C1306" s="5" t="str">
        <f aca="false">IF(I1306="","",INDEX(J_NO,I1306))</f>
        <v/>
      </c>
      <c r="D1306" s="5" t="str">
        <f aca="false">IF(I1306="","",INDEX(J_KET,I1306))</f>
        <v/>
      </c>
      <c r="E1306" s="5" t="str">
        <f aca="false">IF(I1306="","",IF(INDEX(J_DEB,I1306)=$C$3,INDEX(J_KRE,I1306),INDEX(J_DEB,I1306)))</f>
        <v/>
      </c>
      <c r="F1306" s="44" t="str">
        <f aca="false">IF(I1306="","",IF(INDEX(J_DEB,I1306)=$C$3,INDEX(J_NOM,I1306),0))</f>
        <v/>
      </c>
      <c r="G1306" s="44" t="str">
        <f aca="false">IF(I1306="","",IF(INDEX(J_KRE,I1306)=$C$3,INDEX(J_NOM,I1306),0))</f>
        <v/>
      </c>
      <c r="H1306" s="44" t="str">
        <f aca="false">IF(I1306="","",N(H1305)+IF($C$5="Debet",F1306-G1306,G1306-F1306))</f>
        <v/>
      </c>
      <c r="I1306" s="66" t="str">
        <f aca="false">IF(J1306&gt;$K$1,"",IFERROR(MATCH(J1306,J_BB,0),""))</f>
        <v/>
      </c>
      <c r="J1306" s="66" t="n">
        <v>1297</v>
      </c>
      <c r="K1306" s="5"/>
    </row>
    <row r="1307" customFormat="false" ht="15" hidden="false" customHeight="false" outlineLevel="0" collapsed="false">
      <c r="A1307" s="5" t="str">
        <f aca="false">IF(I1307="","",J1307)</f>
        <v/>
      </c>
      <c r="B1307" s="83" t="str">
        <f aca="false">IF(I1307="","",INDEX(J_TGL,I1307))</f>
        <v/>
      </c>
      <c r="C1307" s="5" t="str">
        <f aca="false">IF(I1307="","",INDEX(J_NO,I1307))</f>
        <v/>
      </c>
      <c r="D1307" s="5" t="str">
        <f aca="false">IF(I1307="","",INDEX(J_KET,I1307))</f>
        <v/>
      </c>
      <c r="E1307" s="5" t="str">
        <f aca="false">IF(I1307="","",IF(INDEX(J_DEB,I1307)=$C$3,INDEX(J_KRE,I1307),INDEX(J_DEB,I1307)))</f>
        <v/>
      </c>
      <c r="F1307" s="44" t="str">
        <f aca="false">IF(I1307="","",IF(INDEX(J_DEB,I1307)=$C$3,INDEX(J_NOM,I1307),0))</f>
        <v/>
      </c>
      <c r="G1307" s="44" t="str">
        <f aca="false">IF(I1307="","",IF(INDEX(J_KRE,I1307)=$C$3,INDEX(J_NOM,I1307),0))</f>
        <v/>
      </c>
      <c r="H1307" s="44" t="str">
        <f aca="false">IF(I1307="","",N(H1306)+IF($C$5="Debet",F1307-G1307,G1307-F1307))</f>
        <v/>
      </c>
      <c r="I1307" s="66" t="str">
        <f aca="false">IF(J1307&gt;$K$1,"",IFERROR(MATCH(J1307,J_BB,0),""))</f>
        <v/>
      </c>
      <c r="J1307" s="66" t="n">
        <v>1298</v>
      </c>
      <c r="K1307" s="5"/>
    </row>
    <row r="1308" customFormat="false" ht="15" hidden="false" customHeight="false" outlineLevel="0" collapsed="false">
      <c r="A1308" s="5" t="str">
        <f aca="false">IF(I1308="","",J1308)</f>
        <v/>
      </c>
      <c r="B1308" s="83" t="str">
        <f aca="false">IF(I1308="","",INDEX(J_TGL,I1308))</f>
        <v/>
      </c>
      <c r="C1308" s="5" t="str">
        <f aca="false">IF(I1308="","",INDEX(J_NO,I1308))</f>
        <v/>
      </c>
      <c r="D1308" s="5" t="str">
        <f aca="false">IF(I1308="","",INDEX(J_KET,I1308))</f>
        <v/>
      </c>
      <c r="E1308" s="5" t="str">
        <f aca="false">IF(I1308="","",IF(INDEX(J_DEB,I1308)=$C$3,INDEX(J_KRE,I1308),INDEX(J_DEB,I1308)))</f>
        <v/>
      </c>
      <c r="F1308" s="44" t="str">
        <f aca="false">IF(I1308="","",IF(INDEX(J_DEB,I1308)=$C$3,INDEX(J_NOM,I1308),0))</f>
        <v/>
      </c>
      <c r="G1308" s="44" t="str">
        <f aca="false">IF(I1308="","",IF(INDEX(J_KRE,I1308)=$C$3,INDEX(J_NOM,I1308),0))</f>
        <v/>
      </c>
      <c r="H1308" s="44" t="str">
        <f aca="false">IF(I1308="","",N(H1307)+IF($C$5="Debet",F1308-G1308,G1308-F1308))</f>
        <v/>
      </c>
      <c r="I1308" s="66" t="str">
        <f aca="false">IF(J1308&gt;$K$1,"",IFERROR(MATCH(J1308,J_BB,0),""))</f>
        <v/>
      </c>
      <c r="J1308" s="66" t="n">
        <v>1299</v>
      </c>
      <c r="K1308" s="5"/>
    </row>
    <row r="1309" customFormat="false" ht="15" hidden="false" customHeight="false" outlineLevel="0" collapsed="false">
      <c r="A1309" s="5" t="str">
        <f aca="false">IF(I1309="","",J1309)</f>
        <v/>
      </c>
      <c r="B1309" s="83" t="str">
        <f aca="false">IF(I1309="","",INDEX(J_TGL,I1309))</f>
        <v/>
      </c>
      <c r="C1309" s="5" t="str">
        <f aca="false">IF(I1309="","",INDEX(J_NO,I1309))</f>
        <v/>
      </c>
      <c r="D1309" s="5" t="str">
        <f aca="false">IF(I1309="","",INDEX(J_KET,I1309))</f>
        <v/>
      </c>
      <c r="E1309" s="5" t="str">
        <f aca="false">IF(I1309="","",IF(INDEX(J_DEB,I1309)=$C$3,INDEX(J_KRE,I1309),INDEX(J_DEB,I1309)))</f>
        <v/>
      </c>
      <c r="F1309" s="44" t="str">
        <f aca="false">IF(I1309="","",IF(INDEX(J_DEB,I1309)=$C$3,INDEX(J_NOM,I1309),0))</f>
        <v/>
      </c>
      <c r="G1309" s="44" t="str">
        <f aca="false">IF(I1309="","",IF(INDEX(J_KRE,I1309)=$C$3,INDEX(J_NOM,I1309),0))</f>
        <v/>
      </c>
      <c r="H1309" s="44" t="str">
        <f aca="false">IF(I1309="","",N(H1308)+IF($C$5="Debet",F1309-G1309,G1309-F1309))</f>
        <v/>
      </c>
      <c r="I1309" s="66" t="str">
        <f aca="false">IF(J1309&gt;$K$1,"",IFERROR(MATCH(J1309,J_BB,0),""))</f>
        <v/>
      </c>
      <c r="J1309" s="66" t="n">
        <v>1300</v>
      </c>
      <c r="K1309" s="5"/>
    </row>
    <row r="1310" customFormat="false" ht="15" hidden="false" customHeight="false" outlineLevel="0" collapsed="false">
      <c r="A1310" s="5" t="str">
        <f aca="false">IF(I1310="","",J1310)</f>
        <v/>
      </c>
      <c r="B1310" s="83" t="str">
        <f aca="false">IF(I1310="","",INDEX(J_TGL,I1310))</f>
        <v/>
      </c>
      <c r="C1310" s="5" t="str">
        <f aca="false">IF(I1310="","",INDEX(J_NO,I1310))</f>
        <v/>
      </c>
      <c r="D1310" s="5" t="str">
        <f aca="false">IF(I1310="","",INDEX(J_KET,I1310))</f>
        <v/>
      </c>
      <c r="E1310" s="5" t="str">
        <f aca="false">IF(I1310="","",IF(INDEX(J_DEB,I1310)=$C$3,INDEX(J_KRE,I1310),INDEX(J_DEB,I1310)))</f>
        <v/>
      </c>
      <c r="F1310" s="44" t="str">
        <f aca="false">IF(I1310="","",IF(INDEX(J_DEB,I1310)=$C$3,INDEX(J_NOM,I1310),0))</f>
        <v/>
      </c>
      <c r="G1310" s="44" t="str">
        <f aca="false">IF(I1310="","",IF(INDEX(J_KRE,I1310)=$C$3,INDEX(J_NOM,I1310),0))</f>
        <v/>
      </c>
      <c r="H1310" s="44" t="str">
        <f aca="false">IF(I1310="","",N(H1309)+IF($C$5="Debet",F1310-G1310,G1310-F1310))</f>
        <v/>
      </c>
      <c r="I1310" s="66" t="str">
        <f aca="false">IF(J1310&gt;$K$1,"",IFERROR(MATCH(J1310,J_BB,0),""))</f>
        <v/>
      </c>
      <c r="J1310" s="66" t="n">
        <v>1301</v>
      </c>
      <c r="K1310" s="5"/>
    </row>
    <row r="1311" customFormat="false" ht="15" hidden="false" customHeight="false" outlineLevel="0" collapsed="false">
      <c r="A1311" s="5" t="str">
        <f aca="false">IF(I1311="","",J1311)</f>
        <v/>
      </c>
      <c r="B1311" s="83" t="str">
        <f aca="false">IF(I1311="","",INDEX(J_TGL,I1311))</f>
        <v/>
      </c>
      <c r="C1311" s="5" t="str">
        <f aca="false">IF(I1311="","",INDEX(J_NO,I1311))</f>
        <v/>
      </c>
      <c r="D1311" s="5" t="str">
        <f aca="false">IF(I1311="","",INDEX(J_KET,I1311))</f>
        <v/>
      </c>
      <c r="E1311" s="5" t="str">
        <f aca="false">IF(I1311="","",IF(INDEX(J_DEB,I1311)=$C$3,INDEX(J_KRE,I1311),INDEX(J_DEB,I1311)))</f>
        <v/>
      </c>
      <c r="F1311" s="44" t="str">
        <f aca="false">IF(I1311="","",IF(INDEX(J_DEB,I1311)=$C$3,INDEX(J_NOM,I1311),0))</f>
        <v/>
      </c>
      <c r="G1311" s="44" t="str">
        <f aca="false">IF(I1311="","",IF(INDEX(J_KRE,I1311)=$C$3,INDEX(J_NOM,I1311),0))</f>
        <v/>
      </c>
      <c r="H1311" s="44" t="str">
        <f aca="false">IF(I1311="","",N(H1310)+IF($C$5="Debet",F1311-G1311,G1311-F1311))</f>
        <v/>
      </c>
      <c r="I1311" s="66" t="str">
        <f aca="false">IF(J1311&gt;$K$1,"",IFERROR(MATCH(J1311,J_BB,0),""))</f>
        <v/>
      </c>
      <c r="J1311" s="66" t="n">
        <v>1302</v>
      </c>
      <c r="K1311" s="5"/>
    </row>
    <row r="1312" customFormat="false" ht="15" hidden="false" customHeight="false" outlineLevel="0" collapsed="false">
      <c r="A1312" s="5" t="str">
        <f aca="false">IF(I1312="","",J1312)</f>
        <v/>
      </c>
      <c r="B1312" s="83" t="str">
        <f aca="false">IF(I1312="","",INDEX(J_TGL,I1312))</f>
        <v/>
      </c>
      <c r="C1312" s="5" t="str">
        <f aca="false">IF(I1312="","",INDEX(J_NO,I1312))</f>
        <v/>
      </c>
      <c r="D1312" s="5" t="str">
        <f aca="false">IF(I1312="","",INDEX(J_KET,I1312))</f>
        <v/>
      </c>
      <c r="E1312" s="5" t="str">
        <f aca="false">IF(I1312="","",IF(INDEX(J_DEB,I1312)=$C$3,INDEX(J_KRE,I1312),INDEX(J_DEB,I1312)))</f>
        <v/>
      </c>
      <c r="F1312" s="44" t="str">
        <f aca="false">IF(I1312="","",IF(INDEX(J_DEB,I1312)=$C$3,INDEX(J_NOM,I1312),0))</f>
        <v/>
      </c>
      <c r="G1312" s="44" t="str">
        <f aca="false">IF(I1312="","",IF(INDEX(J_KRE,I1312)=$C$3,INDEX(J_NOM,I1312),0))</f>
        <v/>
      </c>
      <c r="H1312" s="44" t="str">
        <f aca="false">IF(I1312="","",N(H1311)+IF($C$5="Debet",F1312-G1312,G1312-F1312))</f>
        <v/>
      </c>
      <c r="I1312" s="66" t="str">
        <f aca="false">IF(J1312&gt;$K$1,"",IFERROR(MATCH(J1312,J_BB,0),""))</f>
        <v/>
      </c>
      <c r="J1312" s="66" t="n">
        <v>1303</v>
      </c>
      <c r="K1312" s="5"/>
    </row>
    <row r="1313" customFormat="false" ht="15" hidden="false" customHeight="false" outlineLevel="0" collapsed="false">
      <c r="A1313" s="5" t="str">
        <f aca="false">IF(I1313="","",J1313)</f>
        <v/>
      </c>
      <c r="B1313" s="83" t="str">
        <f aca="false">IF(I1313="","",INDEX(J_TGL,I1313))</f>
        <v/>
      </c>
      <c r="C1313" s="5" t="str">
        <f aca="false">IF(I1313="","",INDEX(J_NO,I1313))</f>
        <v/>
      </c>
      <c r="D1313" s="5" t="str">
        <f aca="false">IF(I1313="","",INDEX(J_KET,I1313))</f>
        <v/>
      </c>
      <c r="E1313" s="5" t="str">
        <f aca="false">IF(I1313="","",IF(INDEX(J_DEB,I1313)=$C$3,INDEX(J_KRE,I1313),INDEX(J_DEB,I1313)))</f>
        <v/>
      </c>
      <c r="F1313" s="44" t="str">
        <f aca="false">IF(I1313="","",IF(INDEX(J_DEB,I1313)=$C$3,INDEX(J_NOM,I1313),0))</f>
        <v/>
      </c>
      <c r="G1313" s="44" t="str">
        <f aca="false">IF(I1313="","",IF(INDEX(J_KRE,I1313)=$C$3,INDEX(J_NOM,I1313),0))</f>
        <v/>
      </c>
      <c r="H1313" s="44" t="str">
        <f aca="false">IF(I1313="","",N(H1312)+IF($C$5="Debet",F1313-G1313,G1313-F1313))</f>
        <v/>
      </c>
      <c r="I1313" s="66" t="str">
        <f aca="false">IF(J1313&gt;$K$1,"",IFERROR(MATCH(J1313,J_BB,0),""))</f>
        <v/>
      </c>
      <c r="J1313" s="66" t="n">
        <v>1304</v>
      </c>
      <c r="K1313" s="5"/>
    </row>
    <row r="1314" customFormat="false" ht="15" hidden="false" customHeight="false" outlineLevel="0" collapsed="false">
      <c r="A1314" s="5" t="str">
        <f aca="false">IF(I1314="","",J1314)</f>
        <v/>
      </c>
      <c r="B1314" s="83" t="str">
        <f aca="false">IF(I1314="","",INDEX(J_TGL,I1314))</f>
        <v/>
      </c>
      <c r="C1314" s="5" t="str">
        <f aca="false">IF(I1314="","",INDEX(J_NO,I1314))</f>
        <v/>
      </c>
      <c r="D1314" s="5" t="str">
        <f aca="false">IF(I1314="","",INDEX(J_KET,I1314))</f>
        <v/>
      </c>
      <c r="E1314" s="5" t="str">
        <f aca="false">IF(I1314="","",IF(INDEX(J_DEB,I1314)=$C$3,INDEX(J_KRE,I1314),INDEX(J_DEB,I1314)))</f>
        <v/>
      </c>
      <c r="F1314" s="44" t="str">
        <f aca="false">IF(I1314="","",IF(INDEX(J_DEB,I1314)=$C$3,INDEX(J_NOM,I1314),0))</f>
        <v/>
      </c>
      <c r="G1314" s="44" t="str">
        <f aca="false">IF(I1314="","",IF(INDEX(J_KRE,I1314)=$C$3,INDEX(J_NOM,I1314),0))</f>
        <v/>
      </c>
      <c r="H1314" s="44" t="str">
        <f aca="false">IF(I1314="","",N(H1313)+IF($C$5="Debet",F1314-G1314,G1314-F1314))</f>
        <v/>
      </c>
      <c r="I1314" s="66" t="str">
        <f aca="false">IF(J1314&gt;$K$1,"",IFERROR(MATCH(J1314,J_BB,0),""))</f>
        <v/>
      </c>
      <c r="J1314" s="66" t="n">
        <v>1305</v>
      </c>
      <c r="K1314" s="5"/>
    </row>
    <row r="1315" customFormat="false" ht="15" hidden="false" customHeight="false" outlineLevel="0" collapsed="false">
      <c r="A1315" s="5" t="str">
        <f aca="false">IF(I1315="","",J1315)</f>
        <v/>
      </c>
      <c r="B1315" s="83" t="str">
        <f aca="false">IF(I1315="","",INDEX(J_TGL,I1315))</f>
        <v/>
      </c>
      <c r="C1315" s="5" t="str">
        <f aca="false">IF(I1315="","",INDEX(J_NO,I1315))</f>
        <v/>
      </c>
      <c r="D1315" s="5" t="str">
        <f aca="false">IF(I1315="","",INDEX(J_KET,I1315))</f>
        <v/>
      </c>
      <c r="E1315" s="5" t="str">
        <f aca="false">IF(I1315="","",IF(INDEX(J_DEB,I1315)=$C$3,INDEX(J_KRE,I1315),INDEX(J_DEB,I1315)))</f>
        <v/>
      </c>
      <c r="F1315" s="44" t="str">
        <f aca="false">IF(I1315="","",IF(INDEX(J_DEB,I1315)=$C$3,INDEX(J_NOM,I1315),0))</f>
        <v/>
      </c>
      <c r="G1315" s="44" t="str">
        <f aca="false">IF(I1315="","",IF(INDEX(J_KRE,I1315)=$C$3,INDEX(J_NOM,I1315),0))</f>
        <v/>
      </c>
      <c r="H1315" s="44" t="str">
        <f aca="false">IF(I1315="","",N(H1314)+IF($C$5="Debet",F1315-G1315,G1315-F1315))</f>
        <v/>
      </c>
      <c r="I1315" s="66" t="str">
        <f aca="false">IF(J1315&gt;$K$1,"",IFERROR(MATCH(J1315,J_BB,0),""))</f>
        <v/>
      </c>
      <c r="J1315" s="66" t="n">
        <v>1306</v>
      </c>
      <c r="K1315" s="5"/>
    </row>
    <row r="1316" customFormat="false" ht="15" hidden="false" customHeight="false" outlineLevel="0" collapsed="false">
      <c r="A1316" s="5" t="str">
        <f aca="false">IF(I1316="","",J1316)</f>
        <v/>
      </c>
      <c r="B1316" s="83" t="str">
        <f aca="false">IF(I1316="","",INDEX(J_TGL,I1316))</f>
        <v/>
      </c>
      <c r="C1316" s="5" t="str">
        <f aca="false">IF(I1316="","",INDEX(J_NO,I1316))</f>
        <v/>
      </c>
      <c r="D1316" s="5" t="str">
        <f aca="false">IF(I1316="","",INDEX(J_KET,I1316))</f>
        <v/>
      </c>
      <c r="E1316" s="5" t="str">
        <f aca="false">IF(I1316="","",IF(INDEX(J_DEB,I1316)=$C$3,INDEX(J_KRE,I1316),INDEX(J_DEB,I1316)))</f>
        <v/>
      </c>
      <c r="F1316" s="44" t="str">
        <f aca="false">IF(I1316="","",IF(INDEX(J_DEB,I1316)=$C$3,INDEX(J_NOM,I1316),0))</f>
        <v/>
      </c>
      <c r="G1316" s="44" t="str">
        <f aca="false">IF(I1316="","",IF(INDEX(J_KRE,I1316)=$C$3,INDEX(J_NOM,I1316),0))</f>
        <v/>
      </c>
      <c r="H1316" s="44" t="str">
        <f aca="false">IF(I1316="","",N(H1315)+IF($C$5="Debet",F1316-G1316,G1316-F1316))</f>
        <v/>
      </c>
      <c r="I1316" s="66" t="str">
        <f aca="false">IF(J1316&gt;$K$1,"",IFERROR(MATCH(J1316,J_BB,0),""))</f>
        <v/>
      </c>
      <c r="J1316" s="66" t="n">
        <v>1307</v>
      </c>
      <c r="K1316" s="5"/>
    </row>
    <row r="1317" customFormat="false" ht="15" hidden="false" customHeight="false" outlineLevel="0" collapsed="false">
      <c r="A1317" s="5" t="str">
        <f aca="false">IF(I1317="","",J1317)</f>
        <v/>
      </c>
      <c r="B1317" s="83" t="str">
        <f aca="false">IF(I1317="","",INDEX(J_TGL,I1317))</f>
        <v/>
      </c>
      <c r="C1317" s="5" t="str">
        <f aca="false">IF(I1317="","",INDEX(J_NO,I1317))</f>
        <v/>
      </c>
      <c r="D1317" s="5" t="str">
        <f aca="false">IF(I1317="","",INDEX(J_KET,I1317))</f>
        <v/>
      </c>
      <c r="E1317" s="5" t="str">
        <f aca="false">IF(I1317="","",IF(INDEX(J_DEB,I1317)=$C$3,INDEX(J_KRE,I1317),INDEX(J_DEB,I1317)))</f>
        <v/>
      </c>
      <c r="F1317" s="44" t="str">
        <f aca="false">IF(I1317="","",IF(INDEX(J_DEB,I1317)=$C$3,INDEX(J_NOM,I1317),0))</f>
        <v/>
      </c>
      <c r="G1317" s="44" t="str">
        <f aca="false">IF(I1317="","",IF(INDEX(J_KRE,I1317)=$C$3,INDEX(J_NOM,I1317),0))</f>
        <v/>
      </c>
      <c r="H1317" s="44" t="str">
        <f aca="false">IF(I1317="","",N(H1316)+IF($C$5="Debet",F1317-G1317,G1317-F1317))</f>
        <v/>
      </c>
      <c r="I1317" s="66" t="str">
        <f aca="false">IF(J1317&gt;$K$1,"",IFERROR(MATCH(J1317,J_BB,0),""))</f>
        <v/>
      </c>
      <c r="J1317" s="66" t="n">
        <v>1308</v>
      </c>
      <c r="K1317" s="5"/>
    </row>
    <row r="1318" customFormat="false" ht="15" hidden="false" customHeight="false" outlineLevel="0" collapsed="false">
      <c r="A1318" s="5" t="str">
        <f aca="false">IF(I1318="","",J1318)</f>
        <v/>
      </c>
      <c r="B1318" s="83" t="str">
        <f aca="false">IF(I1318="","",INDEX(J_TGL,I1318))</f>
        <v/>
      </c>
      <c r="C1318" s="5" t="str">
        <f aca="false">IF(I1318="","",INDEX(J_NO,I1318))</f>
        <v/>
      </c>
      <c r="D1318" s="5" t="str">
        <f aca="false">IF(I1318="","",INDEX(J_KET,I1318))</f>
        <v/>
      </c>
      <c r="E1318" s="5" t="str">
        <f aca="false">IF(I1318="","",IF(INDEX(J_DEB,I1318)=$C$3,INDEX(J_KRE,I1318),INDEX(J_DEB,I1318)))</f>
        <v/>
      </c>
      <c r="F1318" s="44" t="str">
        <f aca="false">IF(I1318="","",IF(INDEX(J_DEB,I1318)=$C$3,INDEX(J_NOM,I1318),0))</f>
        <v/>
      </c>
      <c r="G1318" s="44" t="str">
        <f aca="false">IF(I1318="","",IF(INDEX(J_KRE,I1318)=$C$3,INDEX(J_NOM,I1318),0))</f>
        <v/>
      </c>
      <c r="H1318" s="44" t="str">
        <f aca="false">IF(I1318="","",N(H1317)+IF($C$5="Debet",F1318-G1318,G1318-F1318))</f>
        <v/>
      </c>
      <c r="I1318" s="66" t="str">
        <f aca="false">IF(J1318&gt;$K$1,"",IFERROR(MATCH(J1318,J_BB,0),""))</f>
        <v/>
      </c>
      <c r="J1318" s="66" t="n">
        <v>1309</v>
      </c>
      <c r="K1318" s="5"/>
    </row>
    <row r="1319" customFormat="false" ht="15" hidden="false" customHeight="false" outlineLevel="0" collapsed="false">
      <c r="A1319" s="5" t="str">
        <f aca="false">IF(I1319="","",J1319)</f>
        <v/>
      </c>
      <c r="B1319" s="83" t="str">
        <f aca="false">IF(I1319="","",INDEX(J_TGL,I1319))</f>
        <v/>
      </c>
      <c r="C1319" s="5" t="str">
        <f aca="false">IF(I1319="","",INDEX(J_NO,I1319))</f>
        <v/>
      </c>
      <c r="D1319" s="5" t="str">
        <f aca="false">IF(I1319="","",INDEX(J_KET,I1319))</f>
        <v/>
      </c>
      <c r="E1319" s="5" t="str">
        <f aca="false">IF(I1319="","",IF(INDEX(J_DEB,I1319)=$C$3,INDEX(J_KRE,I1319),INDEX(J_DEB,I1319)))</f>
        <v/>
      </c>
      <c r="F1319" s="44" t="str">
        <f aca="false">IF(I1319="","",IF(INDEX(J_DEB,I1319)=$C$3,INDEX(J_NOM,I1319),0))</f>
        <v/>
      </c>
      <c r="G1319" s="44" t="str">
        <f aca="false">IF(I1319="","",IF(INDEX(J_KRE,I1319)=$C$3,INDEX(J_NOM,I1319),0))</f>
        <v/>
      </c>
      <c r="H1319" s="44" t="str">
        <f aca="false">IF(I1319="","",N(H1318)+IF($C$5="Debet",F1319-G1319,G1319-F1319))</f>
        <v/>
      </c>
      <c r="I1319" s="66" t="str">
        <f aca="false">IF(J1319&gt;$K$1,"",IFERROR(MATCH(J1319,J_BB,0),""))</f>
        <v/>
      </c>
      <c r="J1319" s="66" t="n">
        <v>1310</v>
      </c>
      <c r="K1319" s="5"/>
    </row>
    <row r="1320" customFormat="false" ht="15" hidden="false" customHeight="false" outlineLevel="0" collapsed="false">
      <c r="A1320" s="5" t="str">
        <f aca="false">IF(I1320="","",J1320)</f>
        <v/>
      </c>
      <c r="B1320" s="83" t="str">
        <f aca="false">IF(I1320="","",INDEX(J_TGL,I1320))</f>
        <v/>
      </c>
      <c r="C1320" s="5" t="str">
        <f aca="false">IF(I1320="","",INDEX(J_NO,I1320))</f>
        <v/>
      </c>
      <c r="D1320" s="5" t="str">
        <f aca="false">IF(I1320="","",INDEX(J_KET,I1320))</f>
        <v/>
      </c>
      <c r="E1320" s="5" t="str">
        <f aca="false">IF(I1320="","",IF(INDEX(J_DEB,I1320)=$C$3,INDEX(J_KRE,I1320),INDEX(J_DEB,I1320)))</f>
        <v/>
      </c>
      <c r="F1320" s="44" t="str">
        <f aca="false">IF(I1320="","",IF(INDEX(J_DEB,I1320)=$C$3,INDEX(J_NOM,I1320),0))</f>
        <v/>
      </c>
      <c r="G1320" s="44" t="str">
        <f aca="false">IF(I1320="","",IF(INDEX(J_KRE,I1320)=$C$3,INDEX(J_NOM,I1320),0))</f>
        <v/>
      </c>
      <c r="H1320" s="44" t="str">
        <f aca="false">IF(I1320="","",N(H1319)+IF($C$5="Debet",F1320-G1320,G1320-F1320))</f>
        <v/>
      </c>
      <c r="I1320" s="66" t="str">
        <f aca="false">IF(J1320&gt;$K$1,"",IFERROR(MATCH(J1320,J_BB,0),""))</f>
        <v/>
      </c>
      <c r="J1320" s="66" t="n">
        <v>1311</v>
      </c>
      <c r="K1320" s="5"/>
    </row>
    <row r="1321" customFormat="false" ht="15" hidden="false" customHeight="false" outlineLevel="0" collapsed="false">
      <c r="A1321" s="5" t="str">
        <f aca="false">IF(I1321="","",J1321)</f>
        <v/>
      </c>
      <c r="B1321" s="83" t="str">
        <f aca="false">IF(I1321="","",INDEX(J_TGL,I1321))</f>
        <v/>
      </c>
      <c r="C1321" s="5" t="str">
        <f aca="false">IF(I1321="","",INDEX(J_NO,I1321))</f>
        <v/>
      </c>
      <c r="D1321" s="5" t="str">
        <f aca="false">IF(I1321="","",INDEX(J_KET,I1321))</f>
        <v/>
      </c>
      <c r="E1321" s="5" t="str">
        <f aca="false">IF(I1321="","",IF(INDEX(J_DEB,I1321)=$C$3,INDEX(J_KRE,I1321),INDEX(J_DEB,I1321)))</f>
        <v/>
      </c>
      <c r="F1321" s="44" t="str">
        <f aca="false">IF(I1321="","",IF(INDEX(J_DEB,I1321)=$C$3,INDEX(J_NOM,I1321),0))</f>
        <v/>
      </c>
      <c r="G1321" s="44" t="str">
        <f aca="false">IF(I1321="","",IF(INDEX(J_KRE,I1321)=$C$3,INDEX(J_NOM,I1321),0))</f>
        <v/>
      </c>
      <c r="H1321" s="44" t="str">
        <f aca="false">IF(I1321="","",N(H1320)+IF($C$5="Debet",F1321-G1321,G1321-F1321))</f>
        <v/>
      </c>
      <c r="I1321" s="66" t="str">
        <f aca="false">IF(J1321&gt;$K$1,"",IFERROR(MATCH(J1321,J_BB,0),""))</f>
        <v/>
      </c>
      <c r="J1321" s="66" t="n">
        <v>1312</v>
      </c>
      <c r="K1321" s="5"/>
    </row>
    <row r="1322" customFormat="false" ht="15" hidden="false" customHeight="false" outlineLevel="0" collapsed="false">
      <c r="A1322" s="5" t="str">
        <f aca="false">IF(I1322="","",J1322)</f>
        <v/>
      </c>
      <c r="B1322" s="83" t="str">
        <f aca="false">IF(I1322="","",INDEX(J_TGL,I1322))</f>
        <v/>
      </c>
      <c r="C1322" s="5" t="str">
        <f aca="false">IF(I1322="","",INDEX(J_NO,I1322))</f>
        <v/>
      </c>
      <c r="D1322" s="5" t="str">
        <f aca="false">IF(I1322="","",INDEX(J_KET,I1322))</f>
        <v/>
      </c>
      <c r="E1322" s="5" t="str">
        <f aca="false">IF(I1322="","",IF(INDEX(J_DEB,I1322)=$C$3,INDEX(J_KRE,I1322),INDEX(J_DEB,I1322)))</f>
        <v/>
      </c>
      <c r="F1322" s="44" t="str">
        <f aca="false">IF(I1322="","",IF(INDEX(J_DEB,I1322)=$C$3,INDEX(J_NOM,I1322),0))</f>
        <v/>
      </c>
      <c r="G1322" s="44" t="str">
        <f aca="false">IF(I1322="","",IF(INDEX(J_KRE,I1322)=$C$3,INDEX(J_NOM,I1322),0))</f>
        <v/>
      </c>
      <c r="H1322" s="44" t="str">
        <f aca="false">IF(I1322="","",N(H1321)+IF($C$5="Debet",F1322-G1322,G1322-F1322))</f>
        <v/>
      </c>
      <c r="I1322" s="66" t="str">
        <f aca="false">IF(J1322&gt;$K$1,"",IFERROR(MATCH(J1322,J_BB,0),""))</f>
        <v/>
      </c>
      <c r="J1322" s="66" t="n">
        <v>1313</v>
      </c>
      <c r="K1322" s="5"/>
    </row>
    <row r="1323" customFormat="false" ht="15" hidden="false" customHeight="false" outlineLevel="0" collapsed="false">
      <c r="A1323" s="5" t="str">
        <f aca="false">IF(I1323="","",J1323)</f>
        <v/>
      </c>
      <c r="B1323" s="83" t="str">
        <f aca="false">IF(I1323="","",INDEX(J_TGL,I1323))</f>
        <v/>
      </c>
      <c r="C1323" s="5" t="str">
        <f aca="false">IF(I1323="","",INDEX(J_NO,I1323))</f>
        <v/>
      </c>
      <c r="D1323" s="5" t="str">
        <f aca="false">IF(I1323="","",INDEX(J_KET,I1323))</f>
        <v/>
      </c>
      <c r="E1323" s="5" t="str">
        <f aca="false">IF(I1323="","",IF(INDEX(J_DEB,I1323)=$C$3,INDEX(J_KRE,I1323),INDEX(J_DEB,I1323)))</f>
        <v/>
      </c>
      <c r="F1323" s="44" t="str">
        <f aca="false">IF(I1323="","",IF(INDEX(J_DEB,I1323)=$C$3,INDEX(J_NOM,I1323),0))</f>
        <v/>
      </c>
      <c r="G1323" s="44" t="str">
        <f aca="false">IF(I1323="","",IF(INDEX(J_KRE,I1323)=$C$3,INDEX(J_NOM,I1323),0))</f>
        <v/>
      </c>
      <c r="H1323" s="44" t="str">
        <f aca="false">IF(I1323="","",N(H1322)+IF($C$5="Debet",F1323-G1323,G1323-F1323))</f>
        <v/>
      </c>
      <c r="I1323" s="66" t="str">
        <f aca="false">IF(J1323&gt;$K$1,"",IFERROR(MATCH(J1323,J_BB,0),""))</f>
        <v/>
      </c>
      <c r="J1323" s="66" t="n">
        <v>1314</v>
      </c>
      <c r="K1323" s="5"/>
    </row>
    <row r="1324" customFormat="false" ht="15" hidden="false" customHeight="false" outlineLevel="0" collapsed="false">
      <c r="A1324" s="5" t="str">
        <f aca="false">IF(I1324="","",J1324)</f>
        <v/>
      </c>
      <c r="B1324" s="83" t="str">
        <f aca="false">IF(I1324="","",INDEX(J_TGL,I1324))</f>
        <v/>
      </c>
      <c r="C1324" s="5" t="str">
        <f aca="false">IF(I1324="","",INDEX(J_NO,I1324))</f>
        <v/>
      </c>
      <c r="D1324" s="5" t="str">
        <f aca="false">IF(I1324="","",INDEX(J_KET,I1324))</f>
        <v/>
      </c>
      <c r="E1324" s="5" t="str">
        <f aca="false">IF(I1324="","",IF(INDEX(J_DEB,I1324)=$C$3,INDEX(J_KRE,I1324),INDEX(J_DEB,I1324)))</f>
        <v/>
      </c>
      <c r="F1324" s="44" t="str">
        <f aca="false">IF(I1324="","",IF(INDEX(J_DEB,I1324)=$C$3,INDEX(J_NOM,I1324),0))</f>
        <v/>
      </c>
      <c r="G1324" s="44" t="str">
        <f aca="false">IF(I1324="","",IF(INDEX(J_KRE,I1324)=$C$3,INDEX(J_NOM,I1324),0))</f>
        <v/>
      </c>
      <c r="H1324" s="44" t="str">
        <f aca="false">IF(I1324="","",N(H1323)+IF($C$5="Debet",F1324-G1324,G1324-F1324))</f>
        <v/>
      </c>
      <c r="I1324" s="66" t="str">
        <f aca="false">IF(J1324&gt;$K$1,"",IFERROR(MATCH(J1324,J_BB,0),""))</f>
        <v/>
      </c>
      <c r="J1324" s="66" t="n">
        <v>1315</v>
      </c>
      <c r="K1324" s="5"/>
    </row>
    <row r="1325" customFormat="false" ht="15" hidden="false" customHeight="false" outlineLevel="0" collapsed="false">
      <c r="A1325" s="5" t="str">
        <f aca="false">IF(I1325="","",J1325)</f>
        <v/>
      </c>
      <c r="B1325" s="83" t="str">
        <f aca="false">IF(I1325="","",INDEX(J_TGL,I1325))</f>
        <v/>
      </c>
      <c r="C1325" s="5" t="str">
        <f aca="false">IF(I1325="","",INDEX(J_NO,I1325))</f>
        <v/>
      </c>
      <c r="D1325" s="5" t="str">
        <f aca="false">IF(I1325="","",INDEX(J_KET,I1325))</f>
        <v/>
      </c>
      <c r="E1325" s="5" t="str">
        <f aca="false">IF(I1325="","",IF(INDEX(J_DEB,I1325)=$C$3,INDEX(J_KRE,I1325),INDEX(J_DEB,I1325)))</f>
        <v/>
      </c>
      <c r="F1325" s="44" t="str">
        <f aca="false">IF(I1325="","",IF(INDEX(J_DEB,I1325)=$C$3,INDEX(J_NOM,I1325),0))</f>
        <v/>
      </c>
      <c r="G1325" s="44" t="str">
        <f aca="false">IF(I1325="","",IF(INDEX(J_KRE,I1325)=$C$3,INDEX(J_NOM,I1325),0))</f>
        <v/>
      </c>
      <c r="H1325" s="44" t="str">
        <f aca="false">IF(I1325="","",N(H1324)+IF($C$5="Debet",F1325-G1325,G1325-F1325))</f>
        <v/>
      </c>
      <c r="I1325" s="66" t="str">
        <f aca="false">IF(J1325&gt;$K$1,"",IFERROR(MATCH(J1325,J_BB,0),""))</f>
        <v/>
      </c>
      <c r="J1325" s="66" t="n">
        <v>1316</v>
      </c>
      <c r="K1325" s="5"/>
    </row>
    <row r="1326" customFormat="false" ht="15" hidden="false" customHeight="false" outlineLevel="0" collapsed="false">
      <c r="A1326" s="5" t="str">
        <f aca="false">IF(I1326="","",J1326)</f>
        <v/>
      </c>
      <c r="B1326" s="83" t="str">
        <f aca="false">IF(I1326="","",INDEX(J_TGL,I1326))</f>
        <v/>
      </c>
      <c r="C1326" s="5" t="str">
        <f aca="false">IF(I1326="","",INDEX(J_NO,I1326))</f>
        <v/>
      </c>
      <c r="D1326" s="5" t="str">
        <f aca="false">IF(I1326="","",INDEX(J_KET,I1326))</f>
        <v/>
      </c>
      <c r="E1326" s="5" t="str">
        <f aca="false">IF(I1326="","",IF(INDEX(J_DEB,I1326)=$C$3,INDEX(J_KRE,I1326),INDEX(J_DEB,I1326)))</f>
        <v/>
      </c>
      <c r="F1326" s="44" t="str">
        <f aca="false">IF(I1326="","",IF(INDEX(J_DEB,I1326)=$C$3,INDEX(J_NOM,I1326),0))</f>
        <v/>
      </c>
      <c r="G1326" s="44" t="str">
        <f aca="false">IF(I1326="","",IF(INDEX(J_KRE,I1326)=$C$3,INDEX(J_NOM,I1326),0))</f>
        <v/>
      </c>
      <c r="H1326" s="44" t="str">
        <f aca="false">IF(I1326="","",N(H1325)+IF($C$5="Debet",F1326-G1326,G1326-F1326))</f>
        <v/>
      </c>
      <c r="I1326" s="66" t="str">
        <f aca="false">IF(J1326&gt;$K$1,"",IFERROR(MATCH(J1326,J_BB,0),""))</f>
        <v/>
      </c>
      <c r="J1326" s="66" t="n">
        <v>1317</v>
      </c>
      <c r="K1326" s="5"/>
    </row>
    <row r="1327" customFormat="false" ht="15" hidden="false" customHeight="false" outlineLevel="0" collapsed="false">
      <c r="A1327" s="5" t="str">
        <f aca="false">IF(I1327="","",J1327)</f>
        <v/>
      </c>
      <c r="B1327" s="83" t="str">
        <f aca="false">IF(I1327="","",INDEX(J_TGL,I1327))</f>
        <v/>
      </c>
      <c r="C1327" s="5" t="str">
        <f aca="false">IF(I1327="","",INDEX(J_NO,I1327))</f>
        <v/>
      </c>
      <c r="D1327" s="5" t="str">
        <f aca="false">IF(I1327="","",INDEX(J_KET,I1327))</f>
        <v/>
      </c>
      <c r="E1327" s="5" t="str">
        <f aca="false">IF(I1327="","",IF(INDEX(J_DEB,I1327)=$C$3,INDEX(J_KRE,I1327),INDEX(J_DEB,I1327)))</f>
        <v/>
      </c>
      <c r="F1327" s="44" t="str">
        <f aca="false">IF(I1327="","",IF(INDEX(J_DEB,I1327)=$C$3,INDEX(J_NOM,I1327),0))</f>
        <v/>
      </c>
      <c r="G1327" s="44" t="str">
        <f aca="false">IF(I1327="","",IF(INDEX(J_KRE,I1327)=$C$3,INDEX(J_NOM,I1327),0))</f>
        <v/>
      </c>
      <c r="H1327" s="44" t="str">
        <f aca="false">IF(I1327="","",N(H1326)+IF($C$5="Debet",F1327-G1327,G1327-F1327))</f>
        <v/>
      </c>
      <c r="I1327" s="66" t="str">
        <f aca="false">IF(J1327&gt;$K$1,"",IFERROR(MATCH(J1327,J_BB,0),""))</f>
        <v/>
      </c>
      <c r="J1327" s="66" t="n">
        <v>1318</v>
      </c>
      <c r="K1327" s="5"/>
    </row>
    <row r="1328" customFormat="false" ht="15" hidden="false" customHeight="false" outlineLevel="0" collapsed="false">
      <c r="A1328" s="5" t="str">
        <f aca="false">IF(I1328="","",J1328)</f>
        <v/>
      </c>
      <c r="B1328" s="83" t="str">
        <f aca="false">IF(I1328="","",INDEX(J_TGL,I1328))</f>
        <v/>
      </c>
      <c r="C1328" s="5" t="str">
        <f aca="false">IF(I1328="","",INDEX(J_NO,I1328))</f>
        <v/>
      </c>
      <c r="D1328" s="5" t="str">
        <f aca="false">IF(I1328="","",INDEX(J_KET,I1328))</f>
        <v/>
      </c>
      <c r="E1328" s="5" t="str">
        <f aca="false">IF(I1328="","",IF(INDEX(J_DEB,I1328)=$C$3,INDEX(J_KRE,I1328),INDEX(J_DEB,I1328)))</f>
        <v/>
      </c>
      <c r="F1328" s="44" t="str">
        <f aca="false">IF(I1328="","",IF(INDEX(J_DEB,I1328)=$C$3,INDEX(J_NOM,I1328),0))</f>
        <v/>
      </c>
      <c r="G1328" s="44" t="str">
        <f aca="false">IF(I1328="","",IF(INDEX(J_KRE,I1328)=$C$3,INDEX(J_NOM,I1328),0))</f>
        <v/>
      </c>
      <c r="H1328" s="44" t="str">
        <f aca="false">IF(I1328="","",N(H1327)+IF($C$5="Debet",F1328-G1328,G1328-F1328))</f>
        <v/>
      </c>
      <c r="I1328" s="66" t="str">
        <f aca="false">IF(J1328&gt;$K$1,"",IFERROR(MATCH(J1328,J_BB,0),""))</f>
        <v/>
      </c>
      <c r="J1328" s="66" t="n">
        <v>1319</v>
      </c>
      <c r="K1328" s="5"/>
    </row>
    <row r="1329" customFormat="false" ht="15" hidden="false" customHeight="false" outlineLevel="0" collapsed="false">
      <c r="A1329" s="5" t="str">
        <f aca="false">IF(I1329="","",J1329)</f>
        <v/>
      </c>
      <c r="B1329" s="83" t="str">
        <f aca="false">IF(I1329="","",INDEX(J_TGL,I1329))</f>
        <v/>
      </c>
      <c r="C1329" s="5" t="str">
        <f aca="false">IF(I1329="","",INDEX(J_NO,I1329))</f>
        <v/>
      </c>
      <c r="D1329" s="5" t="str">
        <f aca="false">IF(I1329="","",INDEX(J_KET,I1329))</f>
        <v/>
      </c>
      <c r="E1329" s="5" t="str">
        <f aca="false">IF(I1329="","",IF(INDEX(J_DEB,I1329)=$C$3,INDEX(J_KRE,I1329),INDEX(J_DEB,I1329)))</f>
        <v/>
      </c>
      <c r="F1329" s="44" t="str">
        <f aca="false">IF(I1329="","",IF(INDEX(J_DEB,I1329)=$C$3,INDEX(J_NOM,I1329),0))</f>
        <v/>
      </c>
      <c r="G1329" s="44" t="str">
        <f aca="false">IF(I1329="","",IF(INDEX(J_KRE,I1329)=$C$3,INDEX(J_NOM,I1329),0))</f>
        <v/>
      </c>
      <c r="H1329" s="44" t="str">
        <f aca="false">IF(I1329="","",N(H1328)+IF($C$5="Debet",F1329-G1329,G1329-F1329))</f>
        <v/>
      </c>
      <c r="I1329" s="66" t="str">
        <f aca="false">IF(J1329&gt;$K$1,"",IFERROR(MATCH(J1329,J_BB,0),""))</f>
        <v/>
      </c>
      <c r="J1329" s="66" t="n">
        <v>1320</v>
      </c>
      <c r="K1329" s="5"/>
    </row>
    <row r="1330" customFormat="false" ht="15" hidden="false" customHeight="false" outlineLevel="0" collapsed="false">
      <c r="A1330" s="5" t="str">
        <f aca="false">IF(I1330="","",J1330)</f>
        <v/>
      </c>
      <c r="B1330" s="83" t="str">
        <f aca="false">IF(I1330="","",INDEX(J_TGL,I1330))</f>
        <v/>
      </c>
      <c r="C1330" s="5" t="str">
        <f aca="false">IF(I1330="","",INDEX(J_NO,I1330))</f>
        <v/>
      </c>
      <c r="D1330" s="5" t="str">
        <f aca="false">IF(I1330="","",INDEX(J_KET,I1330))</f>
        <v/>
      </c>
      <c r="E1330" s="5" t="str">
        <f aca="false">IF(I1330="","",IF(INDEX(J_DEB,I1330)=$C$3,INDEX(J_KRE,I1330),INDEX(J_DEB,I1330)))</f>
        <v/>
      </c>
      <c r="F1330" s="44" t="str">
        <f aca="false">IF(I1330="","",IF(INDEX(J_DEB,I1330)=$C$3,INDEX(J_NOM,I1330),0))</f>
        <v/>
      </c>
      <c r="G1330" s="44" t="str">
        <f aca="false">IF(I1330="","",IF(INDEX(J_KRE,I1330)=$C$3,INDEX(J_NOM,I1330),0))</f>
        <v/>
      </c>
      <c r="H1330" s="44" t="str">
        <f aca="false">IF(I1330="","",N(H1329)+IF($C$5="Debet",F1330-G1330,G1330-F1330))</f>
        <v/>
      </c>
      <c r="I1330" s="66" t="str">
        <f aca="false">IF(J1330&gt;$K$1,"",IFERROR(MATCH(J1330,J_BB,0),""))</f>
        <v/>
      </c>
      <c r="J1330" s="66" t="n">
        <v>1321</v>
      </c>
      <c r="K1330" s="5"/>
    </row>
    <row r="1331" customFormat="false" ht="15" hidden="false" customHeight="false" outlineLevel="0" collapsed="false">
      <c r="A1331" s="5" t="str">
        <f aca="false">IF(I1331="","",J1331)</f>
        <v/>
      </c>
      <c r="B1331" s="83" t="str">
        <f aca="false">IF(I1331="","",INDEX(J_TGL,I1331))</f>
        <v/>
      </c>
      <c r="C1331" s="5" t="str">
        <f aca="false">IF(I1331="","",INDEX(J_NO,I1331))</f>
        <v/>
      </c>
      <c r="D1331" s="5" t="str">
        <f aca="false">IF(I1331="","",INDEX(J_KET,I1331))</f>
        <v/>
      </c>
      <c r="E1331" s="5" t="str">
        <f aca="false">IF(I1331="","",IF(INDEX(J_DEB,I1331)=$C$3,INDEX(J_KRE,I1331),INDEX(J_DEB,I1331)))</f>
        <v/>
      </c>
      <c r="F1331" s="44" t="str">
        <f aca="false">IF(I1331="","",IF(INDEX(J_DEB,I1331)=$C$3,INDEX(J_NOM,I1331),0))</f>
        <v/>
      </c>
      <c r="G1331" s="44" t="str">
        <f aca="false">IF(I1331="","",IF(INDEX(J_KRE,I1331)=$C$3,INDEX(J_NOM,I1331),0))</f>
        <v/>
      </c>
      <c r="H1331" s="44" t="str">
        <f aca="false">IF(I1331="","",N(H1330)+IF($C$5="Debet",F1331-G1331,G1331-F1331))</f>
        <v/>
      </c>
      <c r="I1331" s="66" t="str">
        <f aca="false">IF(J1331&gt;$K$1,"",IFERROR(MATCH(J1331,J_BB,0),""))</f>
        <v/>
      </c>
      <c r="J1331" s="66" t="n">
        <v>1322</v>
      </c>
      <c r="K1331" s="5"/>
    </row>
    <row r="1332" customFormat="false" ht="15" hidden="false" customHeight="false" outlineLevel="0" collapsed="false">
      <c r="A1332" s="5" t="str">
        <f aca="false">IF(I1332="","",J1332)</f>
        <v/>
      </c>
      <c r="B1332" s="83" t="str">
        <f aca="false">IF(I1332="","",INDEX(J_TGL,I1332))</f>
        <v/>
      </c>
      <c r="C1332" s="5" t="str">
        <f aca="false">IF(I1332="","",INDEX(J_NO,I1332))</f>
        <v/>
      </c>
      <c r="D1332" s="5" t="str">
        <f aca="false">IF(I1332="","",INDEX(J_KET,I1332))</f>
        <v/>
      </c>
      <c r="E1332" s="5" t="str">
        <f aca="false">IF(I1332="","",IF(INDEX(J_DEB,I1332)=$C$3,INDEX(J_KRE,I1332),INDEX(J_DEB,I1332)))</f>
        <v/>
      </c>
      <c r="F1332" s="44" t="str">
        <f aca="false">IF(I1332="","",IF(INDEX(J_DEB,I1332)=$C$3,INDEX(J_NOM,I1332),0))</f>
        <v/>
      </c>
      <c r="G1332" s="44" t="str">
        <f aca="false">IF(I1332="","",IF(INDEX(J_KRE,I1332)=$C$3,INDEX(J_NOM,I1332),0))</f>
        <v/>
      </c>
      <c r="H1332" s="44" t="str">
        <f aca="false">IF(I1332="","",N(H1331)+IF($C$5="Debet",F1332-G1332,G1332-F1332))</f>
        <v/>
      </c>
      <c r="I1332" s="66" t="str">
        <f aca="false">IF(J1332&gt;$K$1,"",IFERROR(MATCH(J1332,J_BB,0),""))</f>
        <v/>
      </c>
      <c r="J1332" s="66" t="n">
        <v>1323</v>
      </c>
      <c r="K1332" s="5"/>
    </row>
    <row r="1333" customFormat="false" ht="15" hidden="false" customHeight="false" outlineLevel="0" collapsed="false">
      <c r="A1333" s="5" t="str">
        <f aca="false">IF(I1333="","",J1333)</f>
        <v/>
      </c>
      <c r="B1333" s="83" t="str">
        <f aca="false">IF(I1333="","",INDEX(J_TGL,I1333))</f>
        <v/>
      </c>
      <c r="C1333" s="5" t="str">
        <f aca="false">IF(I1333="","",INDEX(J_NO,I1333))</f>
        <v/>
      </c>
      <c r="D1333" s="5" t="str">
        <f aca="false">IF(I1333="","",INDEX(J_KET,I1333))</f>
        <v/>
      </c>
      <c r="E1333" s="5" t="str">
        <f aca="false">IF(I1333="","",IF(INDEX(J_DEB,I1333)=$C$3,INDEX(J_KRE,I1333),INDEX(J_DEB,I1333)))</f>
        <v/>
      </c>
      <c r="F1333" s="44" t="str">
        <f aca="false">IF(I1333="","",IF(INDEX(J_DEB,I1333)=$C$3,INDEX(J_NOM,I1333),0))</f>
        <v/>
      </c>
      <c r="G1333" s="44" t="str">
        <f aca="false">IF(I1333="","",IF(INDEX(J_KRE,I1333)=$C$3,INDEX(J_NOM,I1333),0))</f>
        <v/>
      </c>
      <c r="H1333" s="44" t="str">
        <f aca="false">IF(I1333="","",N(H1332)+IF($C$5="Debet",F1333-G1333,G1333-F1333))</f>
        <v/>
      </c>
      <c r="I1333" s="66" t="str">
        <f aca="false">IF(J1333&gt;$K$1,"",IFERROR(MATCH(J1333,J_BB,0),""))</f>
        <v/>
      </c>
      <c r="J1333" s="66" t="n">
        <v>1324</v>
      </c>
      <c r="K1333" s="5"/>
    </row>
    <row r="1334" customFormat="false" ht="15" hidden="false" customHeight="false" outlineLevel="0" collapsed="false">
      <c r="A1334" s="5" t="str">
        <f aca="false">IF(I1334="","",J1334)</f>
        <v/>
      </c>
      <c r="B1334" s="83" t="str">
        <f aca="false">IF(I1334="","",INDEX(J_TGL,I1334))</f>
        <v/>
      </c>
      <c r="C1334" s="5" t="str">
        <f aca="false">IF(I1334="","",INDEX(J_NO,I1334))</f>
        <v/>
      </c>
      <c r="D1334" s="5" t="str">
        <f aca="false">IF(I1334="","",INDEX(J_KET,I1334))</f>
        <v/>
      </c>
      <c r="E1334" s="5" t="str">
        <f aca="false">IF(I1334="","",IF(INDEX(J_DEB,I1334)=$C$3,INDEX(J_KRE,I1334),INDEX(J_DEB,I1334)))</f>
        <v/>
      </c>
      <c r="F1334" s="44" t="str">
        <f aca="false">IF(I1334="","",IF(INDEX(J_DEB,I1334)=$C$3,INDEX(J_NOM,I1334),0))</f>
        <v/>
      </c>
      <c r="G1334" s="44" t="str">
        <f aca="false">IF(I1334="","",IF(INDEX(J_KRE,I1334)=$C$3,INDEX(J_NOM,I1334),0))</f>
        <v/>
      </c>
      <c r="H1334" s="44" t="str">
        <f aca="false">IF(I1334="","",N(H1333)+IF($C$5="Debet",F1334-G1334,G1334-F1334))</f>
        <v/>
      </c>
      <c r="I1334" s="66" t="str">
        <f aca="false">IF(J1334&gt;$K$1,"",IFERROR(MATCH(J1334,J_BB,0),""))</f>
        <v/>
      </c>
      <c r="J1334" s="66" t="n">
        <v>1325</v>
      </c>
      <c r="K1334" s="5"/>
    </row>
    <row r="1335" customFormat="false" ht="15" hidden="false" customHeight="false" outlineLevel="0" collapsed="false">
      <c r="A1335" s="5" t="str">
        <f aca="false">IF(I1335="","",J1335)</f>
        <v/>
      </c>
      <c r="B1335" s="83" t="str">
        <f aca="false">IF(I1335="","",INDEX(J_TGL,I1335))</f>
        <v/>
      </c>
      <c r="C1335" s="5" t="str">
        <f aca="false">IF(I1335="","",INDEX(J_NO,I1335))</f>
        <v/>
      </c>
      <c r="D1335" s="5" t="str">
        <f aca="false">IF(I1335="","",INDEX(J_KET,I1335))</f>
        <v/>
      </c>
      <c r="E1335" s="5" t="str">
        <f aca="false">IF(I1335="","",IF(INDEX(J_DEB,I1335)=$C$3,INDEX(J_KRE,I1335),INDEX(J_DEB,I1335)))</f>
        <v/>
      </c>
      <c r="F1335" s="44" t="str">
        <f aca="false">IF(I1335="","",IF(INDEX(J_DEB,I1335)=$C$3,INDEX(J_NOM,I1335),0))</f>
        <v/>
      </c>
      <c r="G1335" s="44" t="str">
        <f aca="false">IF(I1335="","",IF(INDEX(J_KRE,I1335)=$C$3,INDEX(J_NOM,I1335),0))</f>
        <v/>
      </c>
      <c r="H1335" s="44" t="str">
        <f aca="false">IF(I1335="","",N(H1334)+IF($C$5="Debet",F1335-G1335,G1335-F1335))</f>
        <v/>
      </c>
      <c r="I1335" s="66" t="str">
        <f aca="false">IF(J1335&gt;$K$1,"",IFERROR(MATCH(J1335,J_BB,0),""))</f>
        <v/>
      </c>
      <c r="J1335" s="66" t="n">
        <v>1326</v>
      </c>
      <c r="K1335" s="5"/>
    </row>
    <row r="1336" customFormat="false" ht="15" hidden="false" customHeight="false" outlineLevel="0" collapsed="false">
      <c r="A1336" s="5" t="str">
        <f aca="false">IF(I1336="","",J1336)</f>
        <v/>
      </c>
      <c r="B1336" s="83" t="str">
        <f aca="false">IF(I1336="","",INDEX(J_TGL,I1336))</f>
        <v/>
      </c>
      <c r="C1336" s="5" t="str">
        <f aca="false">IF(I1336="","",INDEX(J_NO,I1336))</f>
        <v/>
      </c>
      <c r="D1336" s="5" t="str">
        <f aca="false">IF(I1336="","",INDEX(J_KET,I1336))</f>
        <v/>
      </c>
      <c r="E1336" s="5" t="str">
        <f aca="false">IF(I1336="","",IF(INDEX(J_DEB,I1336)=$C$3,INDEX(J_KRE,I1336),INDEX(J_DEB,I1336)))</f>
        <v/>
      </c>
      <c r="F1336" s="44" t="str">
        <f aca="false">IF(I1336="","",IF(INDEX(J_DEB,I1336)=$C$3,INDEX(J_NOM,I1336),0))</f>
        <v/>
      </c>
      <c r="G1336" s="44" t="str">
        <f aca="false">IF(I1336="","",IF(INDEX(J_KRE,I1336)=$C$3,INDEX(J_NOM,I1336),0))</f>
        <v/>
      </c>
      <c r="H1336" s="44" t="str">
        <f aca="false">IF(I1336="","",N(H1335)+IF($C$5="Debet",F1336-G1336,G1336-F1336))</f>
        <v/>
      </c>
      <c r="I1336" s="66" t="str">
        <f aca="false">IF(J1336&gt;$K$1,"",IFERROR(MATCH(J1336,J_BB,0),""))</f>
        <v/>
      </c>
      <c r="J1336" s="66" t="n">
        <v>1327</v>
      </c>
      <c r="K1336" s="5"/>
    </row>
    <row r="1337" customFormat="false" ht="15" hidden="false" customHeight="false" outlineLevel="0" collapsed="false">
      <c r="A1337" s="5" t="str">
        <f aca="false">IF(I1337="","",J1337)</f>
        <v/>
      </c>
      <c r="B1337" s="83" t="str">
        <f aca="false">IF(I1337="","",INDEX(J_TGL,I1337))</f>
        <v/>
      </c>
      <c r="C1337" s="5" t="str">
        <f aca="false">IF(I1337="","",INDEX(J_NO,I1337))</f>
        <v/>
      </c>
      <c r="D1337" s="5" t="str">
        <f aca="false">IF(I1337="","",INDEX(J_KET,I1337))</f>
        <v/>
      </c>
      <c r="E1337" s="5" t="str">
        <f aca="false">IF(I1337="","",IF(INDEX(J_DEB,I1337)=$C$3,INDEX(J_KRE,I1337),INDEX(J_DEB,I1337)))</f>
        <v/>
      </c>
      <c r="F1337" s="44" t="str">
        <f aca="false">IF(I1337="","",IF(INDEX(J_DEB,I1337)=$C$3,INDEX(J_NOM,I1337),0))</f>
        <v/>
      </c>
      <c r="G1337" s="44" t="str">
        <f aca="false">IF(I1337="","",IF(INDEX(J_KRE,I1337)=$C$3,INDEX(J_NOM,I1337),0))</f>
        <v/>
      </c>
      <c r="H1337" s="44" t="str">
        <f aca="false">IF(I1337="","",N(H1336)+IF($C$5="Debet",F1337-G1337,G1337-F1337))</f>
        <v/>
      </c>
      <c r="I1337" s="66" t="str">
        <f aca="false">IF(J1337&gt;$K$1,"",IFERROR(MATCH(J1337,J_BB,0),""))</f>
        <v/>
      </c>
      <c r="J1337" s="66" t="n">
        <v>1328</v>
      </c>
      <c r="K1337" s="5"/>
    </row>
    <row r="1338" customFormat="false" ht="15" hidden="false" customHeight="false" outlineLevel="0" collapsed="false">
      <c r="A1338" s="5" t="str">
        <f aca="false">IF(I1338="","",J1338)</f>
        <v/>
      </c>
      <c r="B1338" s="83" t="str">
        <f aca="false">IF(I1338="","",INDEX(J_TGL,I1338))</f>
        <v/>
      </c>
      <c r="C1338" s="5" t="str">
        <f aca="false">IF(I1338="","",INDEX(J_NO,I1338))</f>
        <v/>
      </c>
      <c r="D1338" s="5" t="str">
        <f aca="false">IF(I1338="","",INDEX(J_KET,I1338))</f>
        <v/>
      </c>
      <c r="E1338" s="5" t="str">
        <f aca="false">IF(I1338="","",IF(INDEX(J_DEB,I1338)=$C$3,INDEX(J_KRE,I1338),INDEX(J_DEB,I1338)))</f>
        <v/>
      </c>
      <c r="F1338" s="44" t="str">
        <f aca="false">IF(I1338="","",IF(INDEX(J_DEB,I1338)=$C$3,INDEX(J_NOM,I1338),0))</f>
        <v/>
      </c>
      <c r="G1338" s="44" t="str">
        <f aca="false">IF(I1338="","",IF(INDEX(J_KRE,I1338)=$C$3,INDEX(J_NOM,I1338),0))</f>
        <v/>
      </c>
      <c r="H1338" s="44" t="str">
        <f aca="false">IF(I1338="","",N(H1337)+IF($C$5="Debet",F1338-G1338,G1338-F1338))</f>
        <v/>
      </c>
      <c r="I1338" s="66" t="str">
        <f aca="false">IF(J1338&gt;$K$1,"",IFERROR(MATCH(J1338,J_BB,0),""))</f>
        <v/>
      </c>
      <c r="J1338" s="66" t="n">
        <v>1329</v>
      </c>
      <c r="K1338" s="5"/>
    </row>
    <row r="1339" customFormat="false" ht="15" hidden="false" customHeight="false" outlineLevel="0" collapsed="false">
      <c r="A1339" s="5" t="str">
        <f aca="false">IF(I1339="","",J1339)</f>
        <v/>
      </c>
      <c r="B1339" s="83" t="str">
        <f aca="false">IF(I1339="","",INDEX(J_TGL,I1339))</f>
        <v/>
      </c>
      <c r="C1339" s="5" t="str">
        <f aca="false">IF(I1339="","",INDEX(J_NO,I1339))</f>
        <v/>
      </c>
      <c r="D1339" s="5" t="str">
        <f aca="false">IF(I1339="","",INDEX(J_KET,I1339))</f>
        <v/>
      </c>
      <c r="E1339" s="5" t="str">
        <f aca="false">IF(I1339="","",IF(INDEX(J_DEB,I1339)=$C$3,INDEX(J_KRE,I1339),INDEX(J_DEB,I1339)))</f>
        <v/>
      </c>
      <c r="F1339" s="44" t="str">
        <f aca="false">IF(I1339="","",IF(INDEX(J_DEB,I1339)=$C$3,INDEX(J_NOM,I1339),0))</f>
        <v/>
      </c>
      <c r="G1339" s="44" t="str">
        <f aca="false">IF(I1339="","",IF(INDEX(J_KRE,I1339)=$C$3,INDEX(J_NOM,I1339),0))</f>
        <v/>
      </c>
      <c r="H1339" s="44" t="str">
        <f aca="false">IF(I1339="","",N(H1338)+IF($C$5="Debet",F1339-G1339,G1339-F1339))</f>
        <v/>
      </c>
      <c r="I1339" s="66" t="str">
        <f aca="false">IF(J1339&gt;$K$1,"",IFERROR(MATCH(J1339,J_BB,0),""))</f>
        <v/>
      </c>
      <c r="J1339" s="66" t="n">
        <v>1330</v>
      </c>
      <c r="K1339" s="5"/>
    </row>
    <row r="1340" customFormat="false" ht="15" hidden="false" customHeight="false" outlineLevel="0" collapsed="false">
      <c r="A1340" s="5" t="str">
        <f aca="false">IF(I1340="","",J1340)</f>
        <v/>
      </c>
      <c r="B1340" s="83" t="str">
        <f aca="false">IF(I1340="","",INDEX(J_TGL,I1340))</f>
        <v/>
      </c>
      <c r="C1340" s="5" t="str">
        <f aca="false">IF(I1340="","",INDEX(J_NO,I1340))</f>
        <v/>
      </c>
      <c r="D1340" s="5" t="str">
        <f aca="false">IF(I1340="","",INDEX(J_KET,I1340))</f>
        <v/>
      </c>
      <c r="E1340" s="5" t="str">
        <f aca="false">IF(I1340="","",IF(INDEX(J_DEB,I1340)=$C$3,INDEX(J_KRE,I1340),INDEX(J_DEB,I1340)))</f>
        <v/>
      </c>
      <c r="F1340" s="44" t="str">
        <f aca="false">IF(I1340="","",IF(INDEX(J_DEB,I1340)=$C$3,INDEX(J_NOM,I1340),0))</f>
        <v/>
      </c>
      <c r="G1340" s="44" t="str">
        <f aca="false">IF(I1340="","",IF(INDEX(J_KRE,I1340)=$C$3,INDEX(J_NOM,I1340),0))</f>
        <v/>
      </c>
      <c r="H1340" s="44" t="str">
        <f aca="false">IF(I1340="","",N(H1339)+IF($C$5="Debet",F1340-G1340,G1340-F1340))</f>
        <v/>
      </c>
      <c r="I1340" s="66" t="str">
        <f aca="false">IF(J1340&gt;$K$1,"",IFERROR(MATCH(J1340,J_BB,0),""))</f>
        <v/>
      </c>
      <c r="J1340" s="66" t="n">
        <v>1331</v>
      </c>
      <c r="K1340" s="5"/>
    </row>
    <row r="1341" customFormat="false" ht="15" hidden="false" customHeight="false" outlineLevel="0" collapsed="false">
      <c r="A1341" s="5" t="str">
        <f aca="false">IF(I1341="","",J1341)</f>
        <v/>
      </c>
      <c r="B1341" s="83" t="str">
        <f aca="false">IF(I1341="","",INDEX(J_TGL,I1341))</f>
        <v/>
      </c>
      <c r="C1341" s="5" t="str">
        <f aca="false">IF(I1341="","",INDEX(J_NO,I1341))</f>
        <v/>
      </c>
      <c r="D1341" s="5" t="str">
        <f aca="false">IF(I1341="","",INDEX(J_KET,I1341))</f>
        <v/>
      </c>
      <c r="E1341" s="5" t="str">
        <f aca="false">IF(I1341="","",IF(INDEX(J_DEB,I1341)=$C$3,INDEX(J_KRE,I1341),INDEX(J_DEB,I1341)))</f>
        <v/>
      </c>
      <c r="F1341" s="44" t="str">
        <f aca="false">IF(I1341="","",IF(INDEX(J_DEB,I1341)=$C$3,INDEX(J_NOM,I1341),0))</f>
        <v/>
      </c>
      <c r="G1341" s="44" t="str">
        <f aca="false">IF(I1341="","",IF(INDEX(J_KRE,I1341)=$C$3,INDEX(J_NOM,I1341),0))</f>
        <v/>
      </c>
      <c r="H1341" s="44" t="str">
        <f aca="false">IF(I1341="","",N(H1340)+IF($C$5="Debet",F1341-G1341,G1341-F1341))</f>
        <v/>
      </c>
      <c r="I1341" s="66" t="str">
        <f aca="false">IF(J1341&gt;$K$1,"",IFERROR(MATCH(J1341,J_BB,0),""))</f>
        <v/>
      </c>
      <c r="J1341" s="66" t="n">
        <v>1332</v>
      </c>
      <c r="K1341" s="5"/>
    </row>
    <row r="1342" customFormat="false" ht="15" hidden="false" customHeight="false" outlineLevel="0" collapsed="false">
      <c r="A1342" s="5" t="str">
        <f aca="false">IF(I1342="","",J1342)</f>
        <v/>
      </c>
      <c r="B1342" s="83" t="str">
        <f aca="false">IF(I1342="","",INDEX(J_TGL,I1342))</f>
        <v/>
      </c>
      <c r="C1342" s="5" t="str">
        <f aca="false">IF(I1342="","",INDEX(J_NO,I1342))</f>
        <v/>
      </c>
      <c r="D1342" s="5" t="str">
        <f aca="false">IF(I1342="","",INDEX(J_KET,I1342))</f>
        <v/>
      </c>
      <c r="E1342" s="5" t="str">
        <f aca="false">IF(I1342="","",IF(INDEX(J_DEB,I1342)=$C$3,INDEX(J_KRE,I1342),INDEX(J_DEB,I1342)))</f>
        <v/>
      </c>
      <c r="F1342" s="44" t="str">
        <f aca="false">IF(I1342="","",IF(INDEX(J_DEB,I1342)=$C$3,INDEX(J_NOM,I1342),0))</f>
        <v/>
      </c>
      <c r="G1342" s="44" t="str">
        <f aca="false">IF(I1342="","",IF(INDEX(J_KRE,I1342)=$C$3,INDEX(J_NOM,I1342),0))</f>
        <v/>
      </c>
      <c r="H1342" s="44" t="str">
        <f aca="false">IF(I1342="","",N(H1341)+IF($C$5="Debet",F1342-G1342,G1342-F1342))</f>
        <v/>
      </c>
      <c r="I1342" s="66" t="str">
        <f aca="false">IF(J1342&gt;$K$1,"",IFERROR(MATCH(J1342,J_BB,0),""))</f>
        <v/>
      </c>
      <c r="J1342" s="66" t="n">
        <v>1333</v>
      </c>
      <c r="K1342" s="5"/>
    </row>
    <row r="1343" customFormat="false" ht="15" hidden="false" customHeight="false" outlineLevel="0" collapsed="false">
      <c r="A1343" s="5" t="str">
        <f aca="false">IF(I1343="","",J1343)</f>
        <v/>
      </c>
      <c r="B1343" s="83" t="str">
        <f aca="false">IF(I1343="","",INDEX(J_TGL,I1343))</f>
        <v/>
      </c>
      <c r="C1343" s="5" t="str">
        <f aca="false">IF(I1343="","",INDEX(J_NO,I1343))</f>
        <v/>
      </c>
      <c r="D1343" s="5" t="str">
        <f aca="false">IF(I1343="","",INDEX(J_KET,I1343))</f>
        <v/>
      </c>
      <c r="E1343" s="5" t="str">
        <f aca="false">IF(I1343="","",IF(INDEX(J_DEB,I1343)=$C$3,INDEX(J_KRE,I1343),INDEX(J_DEB,I1343)))</f>
        <v/>
      </c>
      <c r="F1343" s="44" t="str">
        <f aca="false">IF(I1343="","",IF(INDEX(J_DEB,I1343)=$C$3,INDEX(J_NOM,I1343),0))</f>
        <v/>
      </c>
      <c r="G1343" s="44" t="str">
        <f aca="false">IF(I1343="","",IF(INDEX(J_KRE,I1343)=$C$3,INDEX(J_NOM,I1343),0))</f>
        <v/>
      </c>
      <c r="H1343" s="44" t="str">
        <f aca="false">IF(I1343="","",N(H1342)+IF($C$5="Debet",F1343-G1343,G1343-F1343))</f>
        <v/>
      </c>
      <c r="I1343" s="66" t="str">
        <f aca="false">IF(J1343&gt;$K$1,"",IFERROR(MATCH(J1343,J_BB,0),""))</f>
        <v/>
      </c>
      <c r="J1343" s="66" t="n">
        <v>1334</v>
      </c>
      <c r="K1343" s="5"/>
    </row>
    <row r="1344" customFormat="false" ht="15" hidden="false" customHeight="false" outlineLevel="0" collapsed="false">
      <c r="A1344" s="5" t="str">
        <f aca="false">IF(I1344="","",J1344)</f>
        <v/>
      </c>
      <c r="B1344" s="83" t="str">
        <f aca="false">IF(I1344="","",INDEX(J_TGL,I1344))</f>
        <v/>
      </c>
      <c r="C1344" s="5" t="str">
        <f aca="false">IF(I1344="","",INDEX(J_NO,I1344))</f>
        <v/>
      </c>
      <c r="D1344" s="5" t="str">
        <f aca="false">IF(I1344="","",INDEX(J_KET,I1344))</f>
        <v/>
      </c>
      <c r="E1344" s="5" t="str">
        <f aca="false">IF(I1344="","",IF(INDEX(J_DEB,I1344)=$C$3,INDEX(J_KRE,I1344),INDEX(J_DEB,I1344)))</f>
        <v/>
      </c>
      <c r="F1344" s="44" t="str">
        <f aca="false">IF(I1344="","",IF(INDEX(J_DEB,I1344)=$C$3,INDEX(J_NOM,I1344),0))</f>
        <v/>
      </c>
      <c r="G1344" s="44" t="str">
        <f aca="false">IF(I1344="","",IF(INDEX(J_KRE,I1344)=$C$3,INDEX(J_NOM,I1344),0))</f>
        <v/>
      </c>
      <c r="H1344" s="44" t="str">
        <f aca="false">IF(I1344="","",N(H1343)+IF($C$5="Debet",F1344-G1344,G1344-F1344))</f>
        <v/>
      </c>
      <c r="I1344" s="66" t="str">
        <f aca="false">IF(J1344&gt;$K$1,"",IFERROR(MATCH(J1344,J_BB,0),""))</f>
        <v/>
      </c>
      <c r="J1344" s="66" t="n">
        <v>1335</v>
      </c>
      <c r="K1344" s="5"/>
    </row>
    <row r="1345" customFormat="false" ht="15" hidden="false" customHeight="false" outlineLevel="0" collapsed="false">
      <c r="A1345" s="5" t="str">
        <f aca="false">IF(I1345="","",J1345)</f>
        <v/>
      </c>
      <c r="B1345" s="83" t="str">
        <f aca="false">IF(I1345="","",INDEX(J_TGL,I1345))</f>
        <v/>
      </c>
      <c r="C1345" s="5" t="str">
        <f aca="false">IF(I1345="","",INDEX(J_NO,I1345))</f>
        <v/>
      </c>
      <c r="D1345" s="5" t="str">
        <f aca="false">IF(I1345="","",INDEX(J_KET,I1345))</f>
        <v/>
      </c>
      <c r="E1345" s="5" t="str">
        <f aca="false">IF(I1345="","",IF(INDEX(J_DEB,I1345)=$C$3,INDEX(J_KRE,I1345),INDEX(J_DEB,I1345)))</f>
        <v/>
      </c>
      <c r="F1345" s="44" t="str">
        <f aca="false">IF(I1345="","",IF(INDEX(J_DEB,I1345)=$C$3,INDEX(J_NOM,I1345),0))</f>
        <v/>
      </c>
      <c r="G1345" s="44" t="str">
        <f aca="false">IF(I1345="","",IF(INDEX(J_KRE,I1345)=$C$3,INDEX(J_NOM,I1345),0))</f>
        <v/>
      </c>
      <c r="H1345" s="44" t="str">
        <f aca="false">IF(I1345="","",N(H1344)+IF($C$5="Debet",F1345-G1345,G1345-F1345))</f>
        <v/>
      </c>
      <c r="I1345" s="66" t="str">
        <f aca="false">IF(J1345&gt;$K$1,"",IFERROR(MATCH(J1345,J_BB,0),""))</f>
        <v/>
      </c>
      <c r="J1345" s="66" t="n">
        <v>1336</v>
      </c>
      <c r="K1345" s="5"/>
    </row>
    <row r="1346" customFormat="false" ht="15" hidden="false" customHeight="false" outlineLevel="0" collapsed="false">
      <c r="A1346" s="5" t="str">
        <f aca="false">IF(I1346="","",J1346)</f>
        <v/>
      </c>
      <c r="B1346" s="83" t="str">
        <f aca="false">IF(I1346="","",INDEX(J_TGL,I1346))</f>
        <v/>
      </c>
      <c r="C1346" s="5" t="str">
        <f aca="false">IF(I1346="","",INDEX(J_NO,I1346))</f>
        <v/>
      </c>
      <c r="D1346" s="5" t="str">
        <f aca="false">IF(I1346="","",INDEX(J_KET,I1346))</f>
        <v/>
      </c>
      <c r="E1346" s="5" t="str">
        <f aca="false">IF(I1346="","",IF(INDEX(J_DEB,I1346)=$C$3,INDEX(J_KRE,I1346),INDEX(J_DEB,I1346)))</f>
        <v/>
      </c>
      <c r="F1346" s="44" t="str">
        <f aca="false">IF(I1346="","",IF(INDEX(J_DEB,I1346)=$C$3,INDEX(J_NOM,I1346),0))</f>
        <v/>
      </c>
      <c r="G1346" s="44" t="str">
        <f aca="false">IF(I1346="","",IF(INDEX(J_KRE,I1346)=$C$3,INDEX(J_NOM,I1346),0))</f>
        <v/>
      </c>
      <c r="H1346" s="44" t="str">
        <f aca="false">IF(I1346="","",N(H1345)+IF($C$5="Debet",F1346-G1346,G1346-F1346))</f>
        <v/>
      </c>
      <c r="I1346" s="66" t="str">
        <f aca="false">IF(J1346&gt;$K$1,"",IFERROR(MATCH(J1346,J_BB,0),""))</f>
        <v/>
      </c>
      <c r="J1346" s="66" t="n">
        <v>1337</v>
      </c>
      <c r="K1346" s="5"/>
    </row>
    <row r="1347" customFormat="false" ht="15" hidden="false" customHeight="false" outlineLevel="0" collapsed="false">
      <c r="A1347" s="5" t="str">
        <f aca="false">IF(I1347="","",J1347)</f>
        <v/>
      </c>
      <c r="B1347" s="83" t="str">
        <f aca="false">IF(I1347="","",INDEX(J_TGL,I1347))</f>
        <v/>
      </c>
      <c r="C1347" s="5" t="str">
        <f aca="false">IF(I1347="","",INDEX(J_NO,I1347))</f>
        <v/>
      </c>
      <c r="D1347" s="5" t="str">
        <f aca="false">IF(I1347="","",INDEX(J_KET,I1347))</f>
        <v/>
      </c>
      <c r="E1347" s="5" t="str">
        <f aca="false">IF(I1347="","",IF(INDEX(J_DEB,I1347)=$C$3,INDEX(J_KRE,I1347),INDEX(J_DEB,I1347)))</f>
        <v/>
      </c>
      <c r="F1347" s="44" t="str">
        <f aca="false">IF(I1347="","",IF(INDEX(J_DEB,I1347)=$C$3,INDEX(J_NOM,I1347),0))</f>
        <v/>
      </c>
      <c r="G1347" s="44" t="str">
        <f aca="false">IF(I1347="","",IF(INDEX(J_KRE,I1347)=$C$3,INDEX(J_NOM,I1347),0))</f>
        <v/>
      </c>
      <c r="H1347" s="44" t="str">
        <f aca="false">IF(I1347="","",N(H1346)+IF($C$5="Debet",F1347-G1347,G1347-F1347))</f>
        <v/>
      </c>
      <c r="I1347" s="66" t="str">
        <f aca="false">IF(J1347&gt;$K$1,"",IFERROR(MATCH(J1347,J_BB,0),""))</f>
        <v/>
      </c>
      <c r="J1347" s="66" t="n">
        <v>1338</v>
      </c>
      <c r="K1347" s="5"/>
    </row>
    <row r="1348" customFormat="false" ht="15" hidden="false" customHeight="false" outlineLevel="0" collapsed="false">
      <c r="A1348" s="5" t="str">
        <f aca="false">IF(I1348="","",J1348)</f>
        <v/>
      </c>
      <c r="B1348" s="83" t="str">
        <f aca="false">IF(I1348="","",INDEX(J_TGL,I1348))</f>
        <v/>
      </c>
      <c r="C1348" s="5" t="str">
        <f aca="false">IF(I1348="","",INDEX(J_NO,I1348))</f>
        <v/>
      </c>
      <c r="D1348" s="5" t="str">
        <f aca="false">IF(I1348="","",INDEX(J_KET,I1348))</f>
        <v/>
      </c>
      <c r="E1348" s="5" t="str">
        <f aca="false">IF(I1348="","",IF(INDEX(J_DEB,I1348)=$C$3,INDEX(J_KRE,I1348),INDEX(J_DEB,I1348)))</f>
        <v/>
      </c>
      <c r="F1348" s="44" t="str">
        <f aca="false">IF(I1348="","",IF(INDEX(J_DEB,I1348)=$C$3,INDEX(J_NOM,I1348),0))</f>
        <v/>
      </c>
      <c r="G1348" s="44" t="str">
        <f aca="false">IF(I1348="","",IF(INDEX(J_KRE,I1348)=$C$3,INDEX(J_NOM,I1348),0))</f>
        <v/>
      </c>
      <c r="H1348" s="44" t="str">
        <f aca="false">IF(I1348="","",N(H1347)+IF($C$5="Debet",F1348-G1348,G1348-F1348))</f>
        <v/>
      </c>
      <c r="I1348" s="66" t="str">
        <f aca="false">IF(J1348&gt;$K$1,"",IFERROR(MATCH(J1348,J_BB,0),""))</f>
        <v/>
      </c>
      <c r="J1348" s="66" t="n">
        <v>1339</v>
      </c>
      <c r="K1348" s="5"/>
    </row>
    <row r="1349" customFormat="false" ht="15" hidden="false" customHeight="false" outlineLevel="0" collapsed="false">
      <c r="A1349" s="5" t="str">
        <f aca="false">IF(I1349="","",J1349)</f>
        <v/>
      </c>
      <c r="B1349" s="83" t="str">
        <f aca="false">IF(I1349="","",INDEX(J_TGL,I1349))</f>
        <v/>
      </c>
      <c r="C1349" s="5" t="str">
        <f aca="false">IF(I1349="","",INDEX(J_NO,I1349))</f>
        <v/>
      </c>
      <c r="D1349" s="5" t="str">
        <f aca="false">IF(I1349="","",INDEX(J_KET,I1349))</f>
        <v/>
      </c>
      <c r="E1349" s="5" t="str">
        <f aca="false">IF(I1349="","",IF(INDEX(J_DEB,I1349)=$C$3,INDEX(J_KRE,I1349),INDEX(J_DEB,I1349)))</f>
        <v/>
      </c>
      <c r="F1349" s="44" t="str">
        <f aca="false">IF(I1349="","",IF(INDEX(J_DEB,I1349)=$C$3,INDEX(J_NOM,I1349),0))</f>
        <v/>
      </c>
      <c r="G1349" s="44" t="str">
        <f aca="false">IF(I1349="","",IF(INDEX(J_KRE,I1349)=$C$3,INDEX(J_NOM,I1349),0))</f>
        <v/>
      </c>
      <c r="H1349" s="44" t="str">
        <f aca="false">IF(I1349="","",N(H1348)+IF($C$5="Debet",F1349-G1349,G1349-F1349))</f>
        <v/>
      </c>
      <c r="I1349" s="66" t="str">
        <f aca="false">IF(J1349&gt;$K$1,"",IFERROR(MATCH(J1349,J_BB,0),""))</f>
        <v/>
      </c>
      <c r="J1349" s="66" t="n">
        <v>1340</v>
      </c>
      <c r="K1349" s="5"/>
    </row>
    <row r="1350" customFormat="false" ht="15" hidden="false" customHeight="false" outlineLevel="0" collapsed="false">
      <c r="A1350" s="5" t="str">
        <f aca="false">IF(I1350="","",J1350)</f>
        <v/>
      </c>
      <c r="B1350" s="83" t="str">
        <f aca="false">IF(I1350="","",INDEX(J_TGL,I1350))</f>
        <v/>
      </c>
      <c r="C1350" s="5" t="str">
        <f aca="false">IF(I1350="","",INDEX(J_NO,I1350))</f>
        <v/>
      </c>
      <c r="D1350" s="5" t="str">
        <f aca="false">IF(I1350="","",INDEX(J_KET,I1350))</f>
        <v/>
      </c>
      <c r="E1350" s="5" t="str">
        <f aca="false">IF(I1350="","",IF(INDEX(J_DEB,I1350)=$C$3,INDEX(J_KRE,I1350),INDEX(J_DEB,I1350)))</f>
        <v/>
      </c>
      <c r="F1350" s="44" t="str">
        <f aca="false">IF(I1350="","",IF(INDEX(J_DEB,I1350)=$C$3,INDEX(J_NOM,I1350),0))</f>
        <v/>
      </c>
      <c r="G1350" s="44" t="str">
        <f aca="false">IF(I1350="","",IF(INDEX(J_KRE,I1350)=$C$3,INDEX(J_NOM,I1350),0))</f>
        <v/>
      </c>
      <c r="H1350" s="44" t="str">
        <f aca="false">IF(I1350="","",N(H1349)+IF($C$5="Debet",F1350-G1350,G1350-F1350))</f>
        <v/>
      </c>
      <c r="I1350" s="66" t="str">
        <f aca="false">IF(J1350&gt;$K$1,"",IFERROR(MATCH(J1350,J_BB,0),""))</f>
        <v/>
      </c>
      <c r="J1350" s="66" t="n">
        <v>1341</v>
      </c>
      <c r="K1350" s="5"/>
    </row>
    <row r="1351" customFormat="false" ht="15" hidden="false" customHeight="false" outlineLevel="0" collapsed="false">
      <c r="A1351" s="5" t="str">
        <f aca="false">IF(I1351="","",J1351)</f>
        <v/>
      </c>
      <c r="B1351" s="83" t="str">
        <f aca="false">IF(I1351="","",INDEX(J_TGL,I1351))</f>
        <v/>
      </c>
      <c r="C1351" s="5" t="str">
        <f aca="false">IF(I1351="","",INDEX(J_NO,I1351))</f>
        <v/>
      </c>
      <c r="D1351" s="5" t="str">
        <f aca="false">IF(I1351="","",INDEX(J_KET,I1351))</f>
        <v/>
      </c>
      <c r="E1351" s="5" t="str">
        <f aca="false">IF(I1351="","",IF(INDEX(J_DEB,I1351)=$C$3,INDEX(J_KRE,I1351),INDEX(J_DEB,I1351)))</f>
        <v/>
      </c>
      <c r="F1351" s="44" t="str">
        <f aca="false">IF(I1351="","",IF(INDEX(J_DEB,I1351)=$C$3,INDEX(J_NOM,I1351),0))</f>
        <v/>
      </c>
      <c r="G1351" s="44" t="str">
        <f aca="false">IF(I1351="","",IF(INDEX(J_KRE,I1351)=$C$3,INDEX(J_NOM,I1351),0))</f>
        <v/>
      </c>
      <c r="H1351" s="44" t="str">
        <f aca="false">IF(I1351="","",N(H1350)+IF($C$5="Debet",F1351-G1351,G1351-F1351))</f>
        <v/>
      </c>
      <c r="I1351" s="66" t="str">
        <f aca="false">IF(J1351&gt;$K$1,"",IFERROR(MATCH(J1351,J_BB,0),""))</f>
        <v/>
      </c>
      <c r="J1351" s="66" t="n">
        <v>1342</v>
      </c>
      <c r="K1351" s="5"/>
    </row>
    <row r="1352" customFormat="false" ht="15" hidden="false" customHeight="false" outlineLevel="0" collapsed="false">
      <c r="A1352" s="5" t="str">
        <f aca="false">IF(I1352="","",J1352)</f>
        <v/>
      </c>
      <c r="B1352" s="83" t="str">
        <f aca="false">IF(I1352="","",INDEX(J_TGL,I1352))</f>
        <v/>
      </c>
      <c r="C1352" s="5" t="str">
        <f aca="false">IF(I1352="","",INDEX(J_NO,I1352))</f>
        <v/>
      </c>
      <c r="D1352" s="5" t="str">
        <f aca="false">IF(I1352="","",INDEX(J_KET,I1352))</f>
        <v/>
      </c>
      <c r="E1352" s="5" t="str">
        <f aca="false">IF(I1352="","",IF(INDEX(J_DEB,I1352)=$C$3,INDEX(J_KRE,I1352),INDEX(J_DEB,I1352)))</f>
        <v/>
      </c>
      <c r="F1352" s="44" t="str">
        <f aca="false">IF(I1352="","",IF(INDEX(J_DEB,I1352)=$C$3,INDEX(J_NOM,I1352),0))</f>
        <v/>
      </c>
      <c r="G1352" s="44" t="str">
        <f aca="false">IF(I1352="","",IF(INDEX(J_KRE,I1352)=$C$3,INDEX(J_NOM,I1352),0))</f>
        <v/>
      </c>
      <c r="H1352" s="44" t="str">
        <f aca="false">IF(I1352="","",N(H1351)+IF($C$5="Debet",F1352-G1352,G1352-F1352))</f>
        <v/>
      </c>
      <c r="I1352" s="66" t="str">
        <f aca="false">IF(J1352&gt;$K$1,"",IFERROR(MATCH(J1352,J_BB,0),""))</f>
        <v/>
      </c>
      <c r="J1352" s="66" t="n">
        <v>1343</v>
      </c>
      <c r="K1352" s="5"/>
    </row>
    <row r="1353" customFormat="false" ht="15" hidden="false" customHeight="false" outlineLevel="0" collapsed="false">
      <c r="A1353" s="5" t="str">
        <f aca="false">IF(I1353="","",J1353)</f>
        <v/>
      </c>
      <c r="B1353" s="83" t="str">
        <f aca="false">IF(I1353="","",INDEX(J_TGL,I1353))</f>
        <v/>
      </c>
      <c r="C1353" s="5" t="str">
        <f aca="false">IF(I1353="","",INDEX(J_NO,I1353))</f>
        <v/>
      </c>
      <c r="D1353" s="5" t="str">
        <f aca="false">IF(I1353="","",INDEX(J_KET,I1353))</f>
        <v/>
      </c>
      <c r="E1353" s="5" t="str">
        <f aca="false">IF(I1353="","",IF(INDEX(J_DEB,I1353)=$C$3,INDEX(J_KRE,I1353),INDEX(J_DEB,I1353)))</f>
        <v/>
      </c>
      <c r="F1353" s="44" t="str">
        <f aca="false">IF(I1353="","",IF(INDEX(J_DEB,I1353)=$C$3,INDEX(J_NOM,I1353),0))</f>
        <v/>
      </c>
      <c r="G1353" s="44" t="str">
        <f aca="false">IF(I1353="","",IF(INDEX(J_KRE,I1353)=$C$3,INDEX(J_NOM,I1353),0))</f>
        <v/>
      </c>
      <c r="H1353" s="44" t="str">
        <f aca="false">IF(I1353="","",N(H1352)+IF($C$5="Debet",F1353-G1353,G1353-F1353))</f>
        <v/>
      </c>
      <c r="I1353" s="66" t="str">
        <f aca="false">IF(J1353&gt;$K$1,"",IFERROR(MATCH(J1353,J_BB,0),""))</f>
        <v/>
      </c>
      <c r="J1353" s="66" t="n">
        <v>1344</v>
      </c>
      <c r="K1353" s="5"/>
    </row>
    <row r="1354" customFormat="false" ht="15" hidden="false" customHeight="false" outlineLevel="0" collapsed="false">
      <c r="A1354" s="5" t="str">
        <f aca="false">IF(I1354="","",J1354)</f>
        <v/>
      </c>
      <c r="B1354" s="83" t="str">
        <f aca="false">IF(I1354="","",INDEX(J_TGL,I1354))</f>
        <v/>
      </c>
      <c r="C1354" s="5" t="str">
        <f aca="false">IF(I1354="","",INDEX(J_NO,I1354))</f>
        <v/>
      </c>
      <c r="D1354" s="5" t="str">
        <f aca="false">IF(I1354="","",INDEX(J_KET,I1354))</f>
        <v/>
      </c>
      <c r="E1354" s="5" t="str">
        <f aca="false">IF(I1354="","",IF(INDEX(J_DEB,I1354)=$C$3,INDEX(J_KRE,I1354),INDEX(J_DEB,I1354)))</f>
        <v/>
      </c>
      <c r="F1354" s="44" t="str">
        <f aca="false">IF(I1354="","",IF(INDEX(J_DEB,I1354)=$C$3,INDEX(J_NOM,I1354),0))</f>
        <v/>
      </c>
      <c r="G1354" s="44" t="str">
        <f aca="false">IF(I1354="","",IF(INDEX(J_KRE,I1354)=$C$3,INDEX(J_NOM,I1354),0))</f>
        <v/>
      </c>
      <c r="H1354" s="44" t="str">
        <f aca="false">IF(I1354="","",N(H1353)+IF($C$5="Debet",F1354-G1354,G1354-F1354))</f>
        <v/>
      </c>
      <c r="I1354" s="66" t="str">
        <f aca="false">IF(J1354&gt;$K$1,"",IFERROR(MATCH(J1354,J_BB,0),""))</f>
        <v/>
      </c>
      <c r="J1354" s="66" t="n">
        <v>1345</v>
      </c>
      <c r="K1354" s="5"/>
    </row>
    <row r="1355" customFormat="false" ht="15" hidden="false" customHeight="false" outlineLevel="0" collapsed="false">
      <c r="A1355" s="5" t="str">
        <f aca="false">IF(I1355="","",J1355)</f>
        <v/>
      </c>
      <c r="B1355" s="83" t="str">
        <f aca="false">IF(I1355="","",INDEX(J_TGL,I1355))</f>
        <v/>
      </c>
      <c r="C1355" s="5" t="str">
        <f aca="false">IF(I1355="","",INDEX(J_NO,I1355))</f>
        <v/>
      </c>
      <c r="D1355" s="5" t="str">
        <f aca="false">IF(I1355="","",INDEX(J_KET,I1355))</f>
        <v/>
      </c>
      <c r="E1355" s="5" t="str">
        <f aca="false">IF(I1355="","",IF(INDEX(J_DEB,I1355)=$C$3,INDEX(J_KRE,I1355),INDEX(J_DEB,I1355)))</f>
        <v/>
      </c>
      <c r="F1355" s="44" t="str">
        <f aca="false">IF(I1355="","",IF(INDEX(J_DEB,I1355)=$C$3,INDEX(J_NOM,I1355),0))</f>
        <v/>
      </c>
      <c r="G1355" s="44" t="str">
        <f aca="false">IF(I1355="","",IF(INDEX(J_KRE,I1355)=$C$3,INDEX(J_NOM,I1355),0))</f>
        <v/>
      </c>
      <c r="H1355" s="44" t="str">
        <f aca="false">IF(I1355="","",N(H1354)+IF($C$5="Debet",F1355-G1355,G1355-F1355))</f>
        <v/>
      </c>
      <c r="I1355" s="66" t="str">
        <f aca="false">IF(J1355&gt;$K$1,"",IFERROR(MATCH(J1355,J_BB,0),""))</f>
        <v/>
      </c>
      <c r="J1355" s="66" t="n">
        <v>1346</v>
      </c>
      <c r="K1355" s="5"/>
    </row>
    <row r="1356" customFormat="false" ht="15" hidden="false" customHeight="false" outlineLevel="0" collapsed="false">
      <c r="A1356" s="5" t="str">
        <f aca="false">IF(I1356="","",J1356)</f>
        <v/>
      </c>
      <c r="B1356" s="83" t="str">
        <f aca="false">IF(I1356="","",INDEX(J_TGL,I1356))</f>
        <v/>
      </c>
      <c r="C1356" s="5" t="str">
        <f aca="false">IF(I1356="","",INDEX(J_NO,I1356))</f>
        <v/>
      </c>
      <c r="D1356" s="5" t="str">
        <f aca="false">IF(I1356="","",INDEX(J_KET,I1356))</f>
        <v/>
      </c>
      <c r="E1356" s="5" t="str">
        <f aca="false">IF(I1356="","",IF(INDEX(J_DEB,I1356)=$C$3,INDEX(J_KRE,I1356),INDEX(J_DEB,I1356)))</f>
        <v/>
      </c>
      <c r="F1356" s="44" t="str">
        <f aca="false">IF(I1356="","",IF(INDEX(J_DEB,I1356)=$C$3,INDEX(J_NOM,I1356),0))</f>
        <v/>
      </c>
      <c r="G1356" s="44" t="str">
        <f aca="false">IF(I1356="","",IF(INDEX(J_KRE,I1356)=$C$3,INDEX(J_NOM,I1356),0))</f>
        <v/>
      </c>
      <c r="H1356" s="44" t="str">
        <f aca="false">IF(I1356="","",N(H1355)+IF($C$5="Debet",F1356-G1356,G1356-F1356))</f>
        <v/>
      </c>
      <c r="I1356" s="66" t="str">
        <f aca="false">IF(J1356&gt;$K$1,"",IFERROR(MATCH(J1356,J_BB,0),""))</f>
        <v/>
      </c>
      <c r="J1356" s="66" t="n">
        <v>1347</v>
      </c>
      <c r="K1356" s="5"/>
    </row>
    <row r="1357" customFormat="false" ht="15" hidden="false" customHeight="false" outlineLevel="0" collapsed="false">
      <c r="A1357" s="5" t="str">
        <f aca="false">IF(I1357="","",J1357)</f>
        <v/>
      </c>
      <c r="B1357" s="83" t="str">
        <f aca="false">IF(I1357="","",INDEX(J_TGL,I1357))</f>
        <v/>
      </c>
      <c r="C1357" s="5" t="str">
        <f aca="false">IF(I1357="","",INDEX(J_NO,I1357))</f>
        <v/>
      </c>
      <c r="D1357" s="5" t="str">
        <f aca="false">IF(I1357="","",INDEX(J_KET,I1357))</f>
        <v/>
      </c>
      <c r="E1357" s="5" t="str">
        <f aca="false">IF(I1357="","",IF(INDEX(J_DEB,I1357)=$C$3,INDEX(J_KRE,I1357),INDEX(J_DEB,I1357)))</f>
        <v/>
      </c>
      <c r="F1357" s="44" t="str">
        <f aca="false">IF(I1357="","",IF(INDEX(J_DEB,I1357)=$C$3,INDEX(J_NOM,I1357),0))</f>
        <v/>
      </c>
      <c r="G1357" s="44" t="str">
        <f aca="false">IF(I1357="","",IF(INDEX(J_KRE,I1357)=$C$3,INDEX(J_NOM,I1357),0))</f>
        <v/>
      </c>
      <c r="H1357" s="44" t="str">
        <f aca="false">IF(I1357="","",N(H1356)+IF($C$5="Debet",F1357-G1357,G1357-F1357))</f>
        <v/>
      </c>
      <c r="I1357" s="66" t="str">
        <f aca="false">IF(J1357&gt;$K$1,"",IFERROR(MATCH(J1357,J_BB,0),""))</f>
        <v/>
      </c>
      <c r="J1357" s="66" t="n">
        <v>1348</v>
      </c>
      <c r="K1357" s="5"/>
    </row>
    <row r="1358" customFormat="false" ht="15" hidden="false" customHeight="false" outlineLevel="0" collapsed="false">
      <c r="A1358" s="5" t="str">
        <f aca="false">IF(I1358="","",J1358)</f>
        <v/>
      </c>
      <c r="B1358" s="83" t="str">
        <f aca="false">IF(I1358="","",INDEX(J_TGL,I1358))</f>
        <v/>
      </c>
      <c r="C1358" s="5" t="str">
        <f aca="false">IF(I1358="","",INDEX(J_NO,I1358))</f>
        <v/>
      </c>
      <c r="D1358" s="5" t="str">
        <f aca="false">IF(I1358="","",INDEX(J_KET,I1358))</f>
        <v/>
      </c>
      <c r="E1358" s="5" t="str">
        <f aca="false">IF(I1358="","",IF(INDEX(J_DEB,I1358)=$C$3,INDEX(J_KRE,I1358),INDEX(J_DEB,I1358)))</f>
        <v/>
      </c>
      <c r="F1358" s="44" t="str">
        <f aca="false">IF(I1358="","",IF(INDEX(J_DEB,I1358)=$C$3,INDEX(J_NOM,I1358),0))</f>
        <v/>
      </c>
      <c r="G1358" s="44" t="str">
        <f aca="false">IF(I1358="","",IF(INDEX(J_KRE,I1358)=$C$3,INDEX(J_NOM,I1358),0))</f>
        <v/>
      </c>
      <c r="H1358" s="44" t="str">
        <f aca="false">IF(I1358="","",N(H1357)+IF($C$5="Debet",F1358-G1358,G1358-F1358))</f>
        <v/>
      </c>
      <c r="I1358" s="66" t="str">
        <f aca="false">IF(J1358&gt;$K$1,"",IFERROR(MATCH(J1358,J_BB,0),""))</f>
        <v/>
      </c>
      <c r="J1358" s="66" t="n">
        <v>1349</v>
      </c>
      <c r="K1358" s="5"/>
    </row>
    <row r="1359" customFormat="false" ht="15" hidden="false" customHeight="false" outlineLevel="0" collapsed="false">
      <c r="A1359" s="5" t="str">
        <f aca="false">IF(I1359="","",J1359)</f>
        <v/>
      </c>
      <c r="B1359" s="83" t="str">
        <f aca="false">IF(I1359="","",INDEX(J_TGL,I1359))</f>
        <v/>
      </c>
      <c r="C1359" s="5" t="str">
        <f aca="false">IF(I1359="","",INDEX(J_NO,I1359))</f>
        <v/>
      </c>
      <c r="D1359" s="5" t="str">
        <f aca="false">IF(I1359="","",INDEX(J_KET,I1359))</f>
        <v/>
      </c>
      <c r="E1359" s="5" t="str">
        <f aca="false">IF(I1359="","",IF(INDEX(J_DEB,I1359)=$C$3,INDEX(J_KRE,I1359),INDEX(J_DEB,I1359)))</f>
        <v/>
      </c>
      <c r="F1359" s="44" t="str">
        <f aca="false">IF(I1359="","",IF(INDEX(J_DEB,I1359)=$C$3,INDEX(J_NOM,I1359),0))</f>
        <v/>
      </c>
      <c r="G1359" s="44" t="str">
        <f aca="false">IF(I1359="","",IF(INDEX(J_KRE,I1359)=$C$3,INDEX(J_NOM,I1359),0))</f>
        <v/>
      </c>
      <c r="H1359" s="44" t="str">
        <f aca="false">IF(I1359="","",N(H1358)+IF($C$5="Debet",F1359-G1359,G1359-F1359))</f>
        <v/>
      </c>
      <c r="I1359" s="66" t="str">
        <f aca="false">IF(J1359&gt;$K$1,"",IFERROR(MATCH(J1359,J_BB,0),""))</f>
        <v/>
      </c>
      <c r="J1359" s="66" t="n">
        <v>1350</v>
      </c>
      <c r="K1359" s="5"/>
    </row>
    <row r="1360" customFormat="false" ht="15" hidden="false" customHeight="false" outlineLevel="0" collapsed="false">
      <c r="A1360" s="5" t="str">
        <f aca="false">IF(I1360="","",J1360)</f>
        <v/>
      </c>
      <c r="B1360" s="83" t="str">
        <f aca="false">IF(I1360="","",INDEX(J_TGL,I1360))</f>
        <v/>
      </c>
      <c r="C1360" s="5" t="str">
        <f aca="false">IF(I1360="","",INDEX(J_NO,I1360))</f>
        <v/>
      </c>
      <c r="D1360" s="5" t="str">
        <f aca="false">IF(I1360="","",INDEX(J_KET,I1360))</f>
        <v/>
      </c>
      <c r="E1360" s="5" t="str">
        <f aca="false">IF(I1360="","",IF(INDEX(J_DEB,I1360)=$C$3,INDEX(J_KRE,I1360),INDEX(J_DEB,I1360)))</f>
        <v/>
      </c>
      <c r="F1360" s="44" t="str">
        <f aca="false">IF(I1360="","",IF(INDEX(J_DEB,I1360)=$C$3,INDEX(J_NOM,I1360),0))</f>
        <v/>
      </c>
      <c r="G1360" s="44" t="str">
        <f aca="false">IF(I1360="","",IF(INDEX(J_KRE,I1360)=$C$3,INDEX(J_NOM,I1360),0))</f>
        <v/>
      </c>
      <c r="H1360" s="44" t="str">
        <f aca="false">IF(I1360="","",N(H1359)+IF($C$5="Debet",F1360-G1360,G1360-F1360))</f>
        <v/>
      </c>
      <c r="I1360" s="66" t="str">
        <f aca="false">IF(J1360&gt;$K$1,"",IFERROR(MATCH(J1360,J_BB,0),""))</f>
        <v/>
      </c>
      <c r="J1360" s="66" t="n">
        <v>1351</v>
      </c>
      <c r="K1360" s="5"/>
    </row>
    <row r="1361" customFormat="false" ht="15" hidden="false" customHeight="false" outlineLevel="0" collapsed="false">
      <c r="A1361" s="5" t="str">
        <f aca="false">IF(I1361="","",J1361)</f>
        <v/>
      </c>
      <c r="B1361" s="83" t="str">
        <f aca="false">IF(I1361="","",INDEX(J_TGL,I1361))</f>
        <v/>
      </c>
      <c r="C1361" s="5" t="str">
        <f aca="false">IF(I1361="","",INDEX(J_NO,I1361))</f>
        <v/>
      </c>
      <c r="D1361" s="5" t="str">
        <f aca="false">IF(I1361="","",INDEX(J_KET,I1361))</f>
        <v/>
      </c>
      <c r="E1361" s="5" t="str">
        <f aca="false">IF(I1361="","",IF(INDEX(J_DEB,I1361)=$C$3,INDEX(J_KRE,I1361),INDEX(J_DEB,I1361)))</f>
        <v/>
      </c>
      <c r="F1361" s="44" t="str">
        <f aca="false">IF(I1361="","",IF(INDEX(J_DEB,I1361)=$C$3,INDEX(J_NOM,I1361),0))</f>
        <v/>
      </c>
      <c r="G1361" s="44" t="str">
        <f aca="false">IF(I1361="","",IF(INDEX(J_KRE,I1361)=$C$3,INDEX(J_NOM,I1361),0))</f>
        <v/>
      </c>
      <c r="H1361" s="44" t="str">
        <f aca="false">IF(I1361="","",N(H1360)+IF($C$5="Debet",F1361-G1361,G1361-F1361))</f>
        <v/>
      </c>
      <c r="I1361" s="66" t="str">
        <f aca="false">IF(J1361&gt;$K$1,"",IFERROR(MATCH(J1361,J_BB,0),""))</f>
        <v/>
      </c>
      <c r="J1361" s="66" t="n">
        <v>1352</v>
      </c>
      <c r="K1361" s="5"/>
    </row>
    <row r="1362" customFormat="false" ht="15" hidden="false" customHeight="false" outlineLevel="0" collapsed="false">
      <c r="A1362" s="5" t="str">
        <f aca="false">IF(I1362="","",J1362)</f>
        <v/>
      </c>
      <c r="B1362" s="83" t="str">
        <f aca="false">IF(I1362="","",INDEX(J_TGL,I1362))</f>
        <v/>
      </c>
      <c r="C1362" s="5" t="str">
        <f aca="false">IF(I1362="","",INDEX(J_NO,I1362))</f>
        <v/>
      </c>
      <c r="D1362" s="5" t="str">
        <f aca="false">IF(I1362="","",INDEX(J_KET,I1362))</f>
        <v/>
      </c>
      <c r="E1362" s="5" t="str">
        <f aca="false">IF(I1362="","",IF(INDEX(J_DEB,I1362)=$C$3,INDEX(J_KRE,I1362),INDEX(J_DEB,I1362)))</f>
        <v/>
      </c>
      <c r="F1362" s="44" t="str">
        <f aca="false">IF(I1362="","",IF(INDEX(J_DEB,I1362)=$C$3,INDEX(J_NOM,I1362),0))</f>
        <v/>
      </c>
      <c r="G1362" s="44" t="str">
        <f aca="false">IF(I1362="","",IF(INDEX(J_KRE,I1362)=$C$3,INDEX(J_NOM,I1362),0))</f>
        <v/>
      </c>
      <c r="H1362" s="44" t="str">
        <f aca="false">IF(I1362="","",N(H1361)+IF($C$5="Debet",F1362-G1362,G1362-F1362))</f>
        <v/>
      </c>
      <c r="I1362" s="66" t="str">
        <f aca="false">IF(J1362&gt;$K$1,"",IFERROR(MATCH(J1362,J_BB,0),""))</f>
        <v/>
      </c>
      <c r="J1362" s="66" t="n">
        <v>1353</v>
      </c>
      <c r="K1362" s="5"/>
    </row>
    <row r="1363" customFormat="false" ht="15" hidden="false" customHeight="false" outlineLevel="0" collapsed="false">
      <c r="A1363" s="5" t="str">
        <f aca="false">IF(I1363="","",J1363)</f>
        <v/>
      </c>
      <c r="B1363" s="83" t="str">
        <f aca="false">IF(I1363="","",INDEX(J_TGL,I1363))</f>
        <v/>
      </c>
      <c r="C1363" s="5" t="str">
        <f aca="false">IF(I1363="","",INDEX(J_NO,I1363))</f>
        <v/>
      </c>
      <c r="D1363" s="5" t="str">
        <f aca="false">IF(I1363="","",INDEX(J_KET,I1363))</f>
        <v/>
      </c>
      <c r="E1363" s="5" t="str">
        <f aca="false">IF(I1363="","",IF(INDEX(J_DEB,I1363)=$C$3,INDEX(J_KRE,I1363),INDEX(J_DEB,I1363)))</f>
        <v/>
      </c>
      <c r="F1363" s="44" t="str">
        <f aca="false">IF(I1363="","",IF(INDEX(J_DEB,I1363)=$C$3,INDEX(J_NOM,I1363),0))</f>
        <v/>
      </c>
      <c r="G1363" s="44" t="str">
        <f aca="false">IF(I1363="","",IF(INDEX(J_KRE,I1363)=$C$3,INDEX(J_NOM,I1363),0))</f>
        <v/>
      </c>
      <c r="H1363" s="44" t="str">
        <f aca="false">IF(I1363="","",N(H1362)+IF($C$5="Debet",F1363-G1363,G1363-F1363))</f>
        <v/>
      </c>
      <c r="I1363" s="66" t="str">
        <f aca="false">IF(J1363&gt;$K$1,"",IFERROR(MATCH(J1363,J_BB,0),""))</f>
        <v/>
      </c>
      <c r="J1363" s="66" t="n">
        <v>1354</v>
      </c>
      <c r="K1363" s="5"/>
    </row>
    <row r="1364" customFormat="false" ht="15" hidden="false" customHeight="false" outlineLevel="0" collapsed="false">
      <c r="A1364" s="5" t="str">
        <f aca="false">IF(I1364="","",J1364)</f>
        <v/>
      </c>
      <c r="B1364" s="83" t="str">
        <f aca="false">IF(I1364="","",INDEX(J_TGL,I1364))</f>
        <v/>
      </c>
      <c r="C1364" s="5" t="str">
        <f aca="false">IF(I1364="","",INDEX(J_NO,I1364))</f>
        <v/>
      </c>
      <c r="D1364" s="5" t="str">
        <f aca="false">IF(I1364="","",INDEX(J_KET,I1364))</f>
        <v/>
      </c>
      <c r="E1364" s="5" t="str">
        <f aca="false">IF(I1364="","",IF(INDEX(J_DEB,I1364)=$C$3,INDEX(J_KRE,I1364),INDEX(J_DEB,I1364)))</f>
        <v/>
      </c>
      <c r="F1364" s="44" t="str">
        <f aca="false">IF(I1364="","",IF(INDEX(J_DEB,I1364)=$C$3,INDEX(J_NOM,I1364),0))</f>
        <v/>
      </c>
      <c r="G1364" s="44" t="str">
        <f aca="false">IF(I1364="","",IF(INDEX(J_KRE,I1364)=$C$3,INDEX(J_NOM,I1364),0))</f>
        <v/>
      </c>
      <c r="H1364" s="44" t="str">
        <f aca="false">IF(I1364="","",N(H1363)+IF($C$5="Debet",F1364-G1364,G1364-F1364))</f>
        <v/>
      </c>
      <c r="I1364" s="66" t="str">
        <f aca="false">IF(J1364&gt;$K$1,"",IFERROR(MATCH(J1364,J_BB,0),""))</f>
        <v/>
      </c>
      <c r="J1364" s="66" t="n">
        <v>1355</v>
      </c>
      <c r="K1364" s="5"/>
    </row>
    <row r="1365" customFormat="false" ht="15" hidden="false" customHeight="false" outlineLevel="0" collapsed="false">
      <c r="A1365" s="5" t="str">
        <f aca="false">IF(I1365="","",J1365)</f>
        <v/>
      </c>
      <c r="B1365" s="83" t="str">
        <f aca="false">IF(I1365="","",INDEX(J_TGL,I1365))</f>
        <v/>
      </c>
      <c r="C1365" s="5" t="str">
        <f aca="false">IF(I1365="","",INDEX(J_NO,I1365))</f>
        <v/>
      </c>
      <c r="D1365" s="5" t="str">
        <f aca="false">IF(I1365="","",INDEX(J_KET,I1365))</f>
        <v/>
      </c>
      <c r="E1365" s="5" t="str">
        <f aca="false">IF(I1365="","",IF(INDEX(J_DEB,I1365)=$C$3,INDEX(J_KRE,I1365),INDEX(J_DEB,I1365)))</f>
        <v/>
      </c>
      <c r="F1365" s="44" t="str">
        <f aca="false">IF(I1365="","",IF(INDEX(J_DEB,I1365)=$C$3,INDEX(J_NOM,I1365),0))</f>
        <v/>
      </c>
      <c r="G1365" s="44" t="str">
        <f aca="false">IF(I1365="","",IF(INDEX(J_KRE,I1365)=$C$3,INDEX(J_NOM,I1365),0))</f>
        <v/>
      </c>
      <c r="H1365" s="44" t="str">
        <f aca="false">IF(I1365="","",N(H1364)+IF($C$5="Debet",F1365-G1365,G1365-F1365))</f>
        <v/>
      </c>
      <c r="I1365" s="66" t="str">
        <f aca="false">IF(J1365&gt;$K$1,"",IFERROR(MATCH(J1365,J_BB,0),""))</f>
        <v/>
      </c>
      <c r="J1365" s="66" t="n">
        <v>1356</v>
      </c>
      <c r="K1365" s="5"/>
    </row>
    <row r="1366" customFormat="false" ht="15" hidden="false" customHeight="false" outlineLevel="0" collapsed="false">
      <c r="A1366" s="5" t="str">
        <f aca="false">IF(I1366="","",J1366)</f>
        <v/>
      </c>
      <c r="B1366" s="83" t="str">
        <f aca="false">IF(I1366="","",INDEX(J_TGL,I1366))</f>
        <v/>
      </c>
      <c r="C1366" s="5" t="str">
        <f aca="false">IF(I1366="","",INDEX(J_NO,I1366))</f>
        <v/>
      </c>
      <c r="D1366" s="5" t="str">
        <f aca="false">IF(I1366="","",INDEX(J_KET,I1366))</f>
        <v/>
      </c>
      <c r="E1366" s="5" t="str">
        <f aca="false">IF(I1366="","",IF(INDEX(J_DEB,I1366)=$C$3,INDEX(J_KRE,I1366),INDEX(J_DEB,I1366)))</f>
        <v/>
      </c>
      <c r="F1366" s="44" t="str">
        <f aca="false">IF(I1366="","",IF(INDEX(J_DEB,I1366)=$C$3,INDEX(J_NOM,I1366),0))</f>
        <v/>
      </c>
      <c r="G1366" s="44" t="str">
        <f aca="false">IF(I1366="","",IF(INDEX(J_KRE,I1366)=$C$3,INDEX(J_NOM,I1366),0))</f>
        <v/>
      </c>
      <c r="H1366" s="44" t="str">
        <f aca="false">IF(I1366="","",N(H1365)+IF($C$5="Debet",F1366-G1366,G1366-F1366))</f>
        <v/>
      </c>
      <c r="I1366" s="66" t="str">
        <f aca="false">IF(J1366&gt;$K$1,"",IFERROR(MATCH(J1366,J_BB,0),""))</f>
        <v/>
      </c>
      <c r="J1366" s="66" t="n">
        <v>1357</v>
      </c>
      <c r="K1366" s="5"/>
    </row>
    <row r="1367" customFormat="false" ht="15" hidden="false" customHeight="false" outlineLevel="0" collapsed="false">
      <c r="A1367" s="5" t="str">
        <f aca="false">IF(I1367="","",J1367)</f>
        <v/>
      </c>
      <c r="B1367" s="83" t="str">
        <f aca="false">IF(I1367="","",INDEX(J_TGL,I1367))</f>
        <v/>
      </c>
      <c r="C1367" s="5" t="str">
        <f aca="false">IF(I1367="","",INDEX(J_NO,I1367))</f>
        <v/>
      </c>
      <c r="D1367" s="5" t="str">
        <f aca="false">IF(I1367="","",INDEX(J_KET,I1367))</f>
        <v/>
      </c>
      <c r="E1367" s="5" t="str">
        <f aca="false">IF(I1367="","",IF(INDEX(J_DEB,I1367)=$C$3,INDEX(J_KRE,I1367),INDEX(J_DEB,I1367)))</f>
        <v/>
      </c>
      <c r="F1367" s="44" t="str">
        <f aca="false">IF(I1367="","",IF(INDEX(J_DEB,I1367)=$C$3,INDEX(J_NOM,I1367),0))</f>
        <v/>
      </c>
      <c r="G1367" s="44" t="str">
        <f aca="false">IF(I1367="","",IF(INDEX(J_KRE,I1367)=$C$3,INDEX(J_NOM,I1367),0))</f>
        <v/>
      </c>
      <c r="H1367" s="44" t="str">
        <f aca="false">IF(I1367="","",N(H1366)+IF($C$5="Debet",F1367-G1367,G1367-F1367))</f>
        <v/>
      </c>
      <c r="I1367" s="66" t="str">
        <f aca="false">IF(J1367&gt;$K$1,"",IFERROR(MATCH(J1367,J_BB,0),""))</f>
        <v/>
      </c>
      <c r="J1367" s="66" t="n">
        <v>1358</v>
      </c>
      <c r="K1367" s="5"/>
    </row>
    <row r="1368" customFormat="false" ht="15" hidden="false" customHeight="false" outlineLevel="0" collapsed="false">
      <c r="A1368" s="5" t="str">
        <f aca="false">IF(I1368="","",J1368)</f>
        <v/>
      </c>
      <c r="B1368" s="83" t="str">
        <f aca="false">IF(I1368="","",INDEX(J_TGL,I1368))</f>
        <v/>
      </c>
      <c r="C1368" s="5" t="str">
        <f aca="false">IF(I1368="","",INDEX(J_NO,I1368))</f>
        <v/>
      </c>
      <c r="D1368" s="5" t="str">
        <f aca="false">IF(I1368="","",INDEX(J_KET,I1368))</f>
        <v/>
      </c>
      <c r="E1368" s="5" t="str">
        <f aca="false">IF(I1368="","",IF(INDEX(J_DEB,I1368)=$C$3,INDEX(J_KRE,I1368),INDEX(J_DEB,I1368)))</f>
        <v/>
      </c>
      <c r="F1368" s="44" t="str">
        <f aca="false">IF(I1368="","",IF(INDEX(J_DEB,I1368)=$C$3,INDEX(J_NOM,I1368),0))</f>
        <v/>
      </c>
      <c r="G1368" s="44" t="str">
        <f aca="false">IF(I1368="","",IF(INDEX(J_KRE,I1368)=$C$3,INDEX(J_NOM,I1368),0))</f>
        <v/>
      </c>
      <c r="H1368" s="44" t="str">
        <f aca="false">IF(I1368="","",N(H1367)+IF($C$5="Debet",F1368-G1368,G1368-F1368))</f>
        <v/>
      </c>
      <c r="I1368" s="66" t="str">
        <f aca="false">IF(J1368&gt;$K$1,"",IFERROR(MATCH(J1368,J_BB,0),""))</f>
        <v/>
      </c>
      <c r="J1368" s="66" t="n">
        <v>1359</v>
      </c>
      <c r="K1368" s="5"/>
    </row>
    <row r="1369" customFormat="false" ht="15" hidden="false" customHeight="false" outlineLevel="0" collapsed="false">
      <c r="A1369" s="5" t="str">
        <f aca="false">IF(I1369="","",J1369)</f>
        <v/>
      </c>
      <c r="B1369" s="83" t="str">
        <f aca="false">IF(I1369="","",INDEX(J_TGL,I1369))</f>
        <v/>
      </c>
      <c r="C1369" s="5" t="str">
        <f aca="false">IF(I1369="","",INDEX(J_NO,I1369))</f>
        <v/>
      </c>
      <c r="D1369" s="5" t="str">
        <f aca="false">IF(I1369="","",INDEX(J_KET,I1369))</f>
        <v/>
      </c>
      <c r="E1369" s="5" t="str">
        <f aca="false">IF(I1369="","",IF(INDEX(J_DEB,I1369)=$C$3,INDEX(J_KRE,I1369),INDEX(J_DEB,I1369)))</f>
        <v/>
      </c>
      <c r="F1369" s="44" t="str">
        <f aca="false">IF(I1369="","",IF(INDEX(J_DEB,I1369)=$C$3,INDEX(J_NOM,I1369),0))</f>
        <v/>
      </c>
      <c r="G1369" s="44" t="str">
        <f aca="false">IF(I1369="","",IF(INDEX(J_KRE,I1369)=$C$3,INDEX(J_NOM,I1369),0))</f>
        <v/>
      </c>
      <c r="H1369" s="44" t="str">
        <f aca="false">IF(I1369="","",N(H1368)+IF($C$5="Debet",F1369-G1369,G1369-F1369))</f>
        <v/>
      </c>
      <c r="I1369" s="66" t="str">
        <f aca="false">IF(J1369&gt;$K$1,"",IFERROR(MATCH(J1369,J_BB,0),""))</f>
        <v/>
      </c>
      <c r="J1369" s="66" t="n">
        <v>1360</v>
      </c>
      <c r="K1369" s="5"/>
    </row>
    <row r="1370" customFormat="false" ht="15" hidden="false" customHeight="false" outlineLevel="0" collapsed="false">
      <c r="A1370" s="5" t="str">
        <f aca="false">IF(I1370="","",J1370)</f>
        <v/>
      </c>
      <c r="B1370" s="83" t="str">
        <f aca="false">IF(I1370="","",INDEX(J_TGL,I1370))</f>
        <v/>
      </c>
      <c r="C1370" s="5" t="str">
        <f aca="false">IF(I1370="","",INDEX(J_NO,I1370))</f>
        <v/>
      </c>
      <c r="D1370" s="5" t="str">
        <f aca="false">IF(I1370="","",INDEX(J_KET,I1370))</f>
        <v/>
      </c>
      <c r="E1370" s="5" t="str">
        <f aca="false">IF(I1370="","",IF(INDEX(J_DEB,I1370)=$C$3,INDEX(J_KRE,I1370),INDEX(J_DEB,I1370)))</f>
        <v/>
      </c>
      <c r="F1370" s="44" t="str">
        <f aca="false">IF(I1370="","",IF(INDEX(J_DEB,I1370)=$C$3,INDEX(J_NOM,I1370),0))</f>
        <v/>
      </c>
      <c r="G1370" s="44" t="str">
        <f aca="false">IF(I1370="","",IF(INDEX(J_KRE,I1370)=$C$3,INDEX(J_NOM,I1370),0))</f>
        <v/>
      </c>
      <c r="H1370" s="44" t="str">
        <f aca="false">IF(I1370="","",N(H1369)+IF($C$5="Debet",F1370-G1370,G1370-F1370))</f>
        <v/>
      </c>
      <c r="I1370" s="66" t="str">
        <f aca="false">IF(J1370&gt;$K$1,"",IFERROR(MATCH(J1370,J_BB,0),""))</f>
        <v/>
      </c>
      <c r="J1370" s="66" t="n">
        <v>1361</v>
      </c>
      <c r="K1370" s="5"/>
    </row>
    <row r="1371" customFormat="false" ht="15" hidden="false" customHeight="false" outlineLevel="0" collapsed="false">
      <c r="A1371" s="5" t="str">
        <f aca="false">IF(I1371="","",J1371)</f>
        <v/>
      </c>
      <c r="B1371" s="83" t="str">
        <f aca="false">IF(I1371="","",INDEX(J_TGL,I1371))</f>
        <v/>
      </c>
      <c r="C1371" s="5" t="str">
        <f aca="false">IF(I1371="","",INDEX(J_NO,I1371))</f>
        <v/>
      </c>
      <c r="D1371" s="5" t="str">
        <f aca="false">IF(I1371="","",INDEX(J_KET,I1371))</f>
        <v/>
      </c>
      <c r="E1371" s="5" t="str">
        <f aca="false">IF(I1371="","",IF(INDEX(J_DEB,I1371)=$C$3,INDEX(J_KRE,I1371),INDEX(J_DEB,I1371)))</f>
        <v/>
      </c>
      <c r="F1371" s="44" t="str">
        <f aca="false">IF(I1371="","",IF(INDEX(J_DEB,I1371)=$C$3,INDEX(J_NOM,I1371),0))</f>
        <v/>
      </c>
      <c r="G1371" s="44" t="str">
        <f aca="false">IF(I1371="","",IF(INDEX(J_KRE,I1371)=$C$3,INDEX(J_NOM,I1371),0))</f>
        <v/>
      </c>
      <c r="H1371" s="44" t="str">
        <f aca="false">IF(I1371="","",N(H1370)+IF($C$5="Debet",F1371-G1371,G1371-F1371))</f>
        <v/>
      </c>
      <c r="I1371" s="66" t="str">
        <f aca="false">IF(J1371&gt;$K$1,"",IFERROR(MATCH(J1371,J_BB,0),""))</f>
        <v/>
      </c>
      <c r="J1371" s="66" t="n">
        <v>1362</v>
      </c>
      <c r="K1371" s="5"/>
    </row>
    <row r="1372" customFormat="false" ht="15" hidden="false" customHeight="false" outlineLevel="0" collapsed="false">
      <c r="A1372" s="5" t="str">
        <f aca="false">IF(I1372="","",J1372)</f>
        <v/>
      </c>
      <c r="B1372" s="83" t="str">
        <f aca="false">IF(I1372="","",INDEX(J_TGL,I1372))</f>
        <v/>
      </c>
      <c r="C1372" s="5" t="str">
        <f aca="false">IF(I1372="","",INDEX(J_NO,I1372))</f>
        <v/>
      </c>
      <c r="D1372" s="5" t="str">
        <f aca="false">IF(I1372="","",INDEX(J_KET,I1372))</f>
        <v/>
      </c>
      <c r="E1372" s="5" t="str">
        <f aca="false">IF(I1372="","",IF(INDEX(J_DEB,I1372)=$C$3,INDEX(J_KRE,I1372),INDEX(J_DEB,I1372)))</f>
        <v/>
      </c>
      <c r="F1372" s="44" t="str">
        <f aca="false">IF(I1372="","",IF(INDEX(J_DEB,I1372)=$C$3,INDEX(J_NOM,I1372),0))</f>
        <v/>
      </c>
      <c r="G1372" s="44" t="str">
        <f aca="false">IF(I1372="","",IF(INDEX(J_KRE,I1372)=$C$3,INDEX(J_NOM,I1372),0))</f>
        <v/>
      </c>
      <c r="H1372" s="44" t="str">
        <f aca="false">IF(I1372="","",N(H1371)+IF($C$5="Debet",F1372-G1372,G1372-F1372))</f>
        <v/>
      </c>
      <c r="I1372" s="66" t="str">
        <f aca="false">IF(J1372&gt;$K$1,"",IFERROR(MATCH(J1372,J_BB,0),""))</f>
        <v/>
      </c>
      <c r="J1372" s="66" t="n">
        <v>1363</v>
      </c>
      <c r="K1372" s="5"/>
    </row>
    <row r="1373" customFormat="false" ht="15" hidden="false" customHeight="false" outlineLevel="0" collapsed="false">
      <c r="A1373" s="5" t="str">
        <f aca="false">IF(I1373="","",J1373)</f>
        <v/>
      </c>
      <c r="B1373" s="83" t="str">
        <f aca="false">IF(I1373="","",INDEX(J_TGL,I1373))</f>
        <v/>
      </c>
      <c r="C1373" s="5" t="str">
        <f aca="false">IF(I1373="","",INDEX(J_NO,I1373))</f>
        <v/>
      </c>
      <c r="D1373" s="5" t="str">
        <f aca="false">IF(I1373="","",INDEX(J_KET,I1373))</f>
        <v/>
      </c>
      <c r="E1373" s="5" t="str">
        <f aca="false">IF(I1373="","",IF(INDEX(J_DEB,I1373)=$C$3,INDEX(J_KRE,I1373),INDEX(J_DEB,I1373)))</f>
        <v/>
      </c>
      <c r="F1373" s="44" t="str">
        <f aca="false">IF(I1373="","",IF(INDEX(J_DEB,I1373)=$C$3,INDEX(J_NOM,I1373),0))</f>
        <v/>
      </c>
      <c r="G1373" s="44" t="str">
        <f aca="false">IF(I1373="","",IF(INDEX(J_KRE,I1373)=$C$3,INDEX(J_NOM,I1373),0))</f>
        <v/>
      </c>
      <c r="H1373" s="44" t="str">
        <f aca="false">IF(I1373="","",N(H1372)+IF($C$5="Debet",F1373-G1373,G1373-F1373))</f>
        <v/>
      </c>
      <c r="I1373" s="66" t="str">
        <f aca="false">IF(J1373&gt;$K$1,"",IFERROR(MATCH(J1373,J_BB,0),""))</f>
        <v/>
      </c>
      <c r="J1373" s="66" t="n">
        <v>1364</v>
      </c>
      <c r="K1373" s="5"/>
    </row>
    <row r="1374" customFormat="false" ht="15" hidden="false" customHeight="false" outlineLevel="0" collapsed="false">
      <c r="A1374" s="5" t="str">
        <f aca="false">IF(I1374="","",J1374)</f>
        <v/>
      </c>
      <c r="B1374" s="83" t="str">
        <f aca="false">IF(I1374="","",INDEX(J_TGL,I1374))</f>
        <v/>
      </c>
      <c r="C1374" s="5" t="str">
        <f aca="false">IF(I1374="","",INDEX(J_NO,I1374))</f>
        <v/>
      </c>
      <c r="D1374" s="5" t="str">
        <f aca="false">IF(I1374="","",INDEX(J_KET,I1374))</f>
        <v/>
      </c>
      <c r="E1374" s="5" t="str">
        <f aca="false">IF(I1374="","",IF(INDEX(J_DEB,I1374)=$C$3,INDEX(J_KRE,I1374),INDEX(J_DEB,I1374)))</f>
        <v/>
      </c>
      <c r="F1374" s="44" t="str">
        <f aca="false">IF(I1374="","",IF(INDEX(J_DEB,I1374)=$C$3,INDEX(J_NOM,I1374),0))</f>
        <v/>
      </c>
      <c r="G1374" s="44" t="str">
        <f aca="false">IF(I1374="","",IF(INDEX(J_KRE,I1374)=$C$3,INDEX(J_NOM,I1374),0))</f>
        <v/>
      </c>
      <c r="H1374" s="44" t="str">
        <f aca="false">IF(I1374="","",N(H1373)+IF($C$5="Debet",F1374-G1374,G1374-F1374))</f>
        <v/>
      </c>
      <c r="I1374" s="66" t="str">
        <f aca="false">IF(J1374&gt;$K$1,"",IFERROR(MATCH(J1374,J_BB,0),""))</f>
        <v/>
      </c>
      <c r="J1374" s="66" t="n">
        <v>1365</v>
      </c>
      <c r="K1374" s="5"/>
    </row>
    <row r="1375" customFormat="false" ht="15" hidden="false" customHeight="false" outlineLevel="0" collapsed="false">
      <c r="A1375" s="5" t="str">
        <f aca="false">IF(I1375="","",J1375)</f>
        <v/>
      </c>
      <c r="B1375" s="83" t="str">
        <f aca="false">IF(I1375="","",INDEX(J_TGL,I1375))</f>
        <v/>
      </c>
      <c r="C1375" s="5" t="str">
        <f aca="false">IF(I1375="","",INDEX(J_NO,I1375))</f>
        <v/>
      </c>
      <c r="D1375" s="5" t="str">
        <f aca="false">IF(I1375="","",INDEX(J_KET,I1375))</f>
        <v/>
      </c>
      <c r="E1375" s="5" t="str">
        <f aca="false">IF(I1375="","",IF(INDEX(J_DEB,I1375)=$C$3,INDEX(J_KRE,I1375),INDEX(J_DEB,I1375)))</f>
        <v/>
      </c>
      <c r="F1375" s="44" t="str">
        <f aca="false">IF(I1375="","",IF(INDEX(J_DEB,I1375)=$C$3,INDEX(J_NOM,I1375),0))</f>
        <v/>
      </c>
      <c r="G1375" s="44" t="str">
        <f aca="false">IF(I1375="","",IF(INDEX(J_KRE,I1375)=$C$3,INDEX(J_NOM,I1375),0))</f>
        <v/>
      </c>
      <c r="H1375" s="44" t="str">
        <f aca="false">IF(I1375="","",N(H1374)+IF($C$5="Debet",F1375-G1375,G1375-F1375))</f>
        <v/>
      </c>
      <c r="I1375" s="66" t="str">
        <f aca="false">IF(J1375&gt;$K$1,"",IFERROR(MATCH(J1375,J_BB,0),""))</f>
        <v/>
      </c>
      <c r="J1375" s="66" t="n">
        <v>1366</v>
      </c>
      <c r="K1375" s="5"/>
    </row>
    <row r="1376" customFormat="false" ht="15" hidden="false" customHeight="false" outlineLevel="0" collapsed="false">
      <c r="A1376" s="5" t="str">
        <f aca="false">IF(I1376="","",J1376)</f>
        <v/>
      </c>
      <c r="B1376" s="83" t="str">
        <f aca="false">IF(I1376="","",INDEX(J_TGL,I1376))</f>
        <v/>
      </c>
      <c r="C1376" s="5" t="str">
        <f aca="false">IF(I1376="","",INDEX(J_NO,I1376))</f>
        <v/>
      </c>
      <c r="D1376" s="5" t="str">
        <f aca="false">IF(I1376="","",INDEX(J_KET,I1376))</f>
        <v/>
      </c>
      <c r="E1376" s="5" t="str">
        <f aca="false">IF(I1376="","",IF(INDEX(J_DEB,I1376)=$C$3,INDEX(J_KRE,I1376),INDEX(J_DEB,I1376)))</f>
        <v/>
      </c>
      <c r="F1376" s="44" t="str">
        <f aca="false">IF(I1376="","",IF(INDEX(J_DEB,I1376)=$C$3,INDEX(J_NOM,I1376),0))</f>
        <v/>
      </c>
      <c r="G1376" s="44" t="str">
        <f aca="false">IF(I1376="","",IF(INDEX(J_KRE,I1376)=$C$3,INDEX(J_NOM,I1376),0))</f>
        <v/>
      </c>
      <c r="H1376" s="44" t="str">
        <f aca="false">IF(I1376="","",N(H1375)+IF($C$5="Debet",F1376-G1376,G1376-F1376))</f>
        <v/>
      </c>
      <c r="I1376" s="66" t="str">
        <f aca="false">IF(J1376&gt;$K$1,"",IFERROR(MATCH(J1376,J_BB,0),""))</f>
        <v/>
      </c>
      <c r="J1376" s="66" t="n">
        <v>1367</v>
      </c>
      <c r="K1376" s="5"/>
    </row>
    <row r="1377" customFormat="false" ht="15" hidden="false" customHeight="false" outlineLevel="0" collapsed="false">
      <c r="A1377" s="5" t="str">
        <f aca="false">IF(I1377="","",J1377)</f>
        <v/>
      </c>
      <c r="B1377" s="83" t="str">
        <f aca="false">IF(I1377="","",INDEX(J_TGL,I1377))</f>
        <v/>
      </c>
      <c r="C1377" s="5" t="str">
        <f aca="false">IF(I1377="","",INDEX(J_NO,I1377))</f>
        <v/>
      </c>
      <c r="D1377" s="5" t="str">
        <f aca="false">IF(I1377="","",INDEX(J_KET,I1377))</f>
        <v/>
      </c>
      <c r="E1377" s="5" t="str">
        <f aca="false">IF(I1377="","",IF(INDEX(J_DEB,I1377)=$C$3,INDEX(J_KRE,I1377),INDEX(J_DEB,I1377)))</f>
        <v/>
      </c>
      <c r="F1377" s="44" t="str">
        <f aca="false">IF(I1377="","",IF(INDEX(J_DEB,I1377)=$C$3,INDEX(J_NOM,I1377),0))</f>
        <v/>
      </c>
      <c r="G1377" s="44" t="str">
        <f aca="false">IF(I1377="","",IF(INDEX(J_KRE,I1377)=$C$3,INDEX(J_NOM,I1377),0))</f>
        <v/>
      </c>
      <c r="H1377" s="44" t="str">
        <f aca="false">IF(I1377="","",N(H1376)+IF($C$5="Debet",F1377-G1377,G1377-F1377))</f>
        <v/>
      </c>
      <c r="I1377" s="66" t="str">
        <f aca="false">IF(J1377&gt;$K$1,"",IFERROR(MATCH(J1377,J_BB,0),""))</f>
        <v/>
      </c>
      <c r="J1377" s="66" t="n">
        <v>1368</v>
      </c>
      <c r="K1377" s="5"/>
    </row>
    <row r="1378" customFormat="false" ht="15" hidden="false" customHeight="false" outlineLevel="0" collapsed="false">
      <c r="A1378" s="5" t="str">
        <f aca="false">IF(I1378="","",J1378)</f>
        <v/>
      </c>
      <c r="B1378" s="83" t="str">
        <f aca="false">IF(I1378="","",INDEX(J_TGL,I1378))</f>
        <v/>
      </c>
      <c r="C1378" s="5" t="str">
        <f aca="false">IF(I1378="","",INDEX(J_NO,I1378))</f>
        <v/>
      </c>
      <c r="D1378" s="5" t="str">
        <f aca="false">IF(I1378="","",INDEX(J_KET,I1378))</f>
        <v/>
      </c>
      <c r="E1378" s="5" t="str">
        <f aca="false">IF(I1378="","",IF(INDEX(J_DEB,I1378)=$C$3,INDEX(J_KRE,I1378),INDEX(J_DEB,I1378)))</f>
        <v/>
      </c>
      <c r="F1378" s="44" t="str">
        <f aca="false">IF(I1378="","",IF(INDEX(J_DEB,I1378)=$C$3,INDEX(J_NOM,I1378),0))</f>
        <v/>
      </c>
      <c r="G1378" s="44" t="str">
        <f aca="false">IF(I1378="","",IF(INDEX(J_KRE,I1378)=$C$3,INDEX(J_NOM,I1378),0))</f>
        <v/>
      </c>
      <c r="H1378" s="44" t="str">
        <f aca="false">IF(I1378="","",N(H1377)+IF($C$5="Debet",F1378-G1378,G1378-F1378))</f>
        <v/>
      </c>
      <c r="I1378" s="66" t="str">
        <f aca="false">IF(J1378&gt;$K$1,"",IFERROR(MATCH(J1378,J_BB,0),""))</f>
        <v/>
      </c>
      <c r="J1378" s="66" t="n">
        <v>1369</v>
      </c>
      <c r="K1378" s="5"/>
    </row>
    <row r="1379" customFormat="false" ht="15" hidden="false" customHeight="false" outlineLevel="0" collapsed="false">
      <c r="A1379" s="5" t="str">
        <f aca="false">IF(I1379="","",J1379)</f>
        <v/>
      </c>
      <c r="B1379" s="83" t="str">
        <f aca="false">IF(I1379="","",INDEX(J_TGL,I1379))</f>
        <v/>
      </c>
      <c r="C1379" s="5" t="str">
        <f aca="false">IF(I1379="","",INDEX(J_NO,I1379))</f>
        <v/>
      </c>
      <c r="D1379" s="5" t="str">
        <f aca="false">IF(I1379="","",INDEX(J_KET,I1379))</f>
        <v/>
      </c>
      <c r="E1379" s="5" t="str">
        <f aca="false">IF(I1379="","",IF(INDEX(J_DEB,I1379)=$C$3,INDEX(J_KRE,I1379),INDEX(J_DEB,I1379)))</f>
        <v/>
      </c>
      <c r="F1379" s="44" t="str">
        <f aca="false">IF(I1379="","",IF(INDEX(J_DEB,I1379)=$C$3,INDEX(J_NOM,I1379),0))</f>
        <v/>
      </c>
      <c r="G1379" s="44" t="str">
        <f aca="false">IF(I1379="","",IF(INDEX(J_KRE,I1379)=$C$3,INDEX(J_NOM,I1379),0))</f>
        <v/>
      </c>
      <c r="H1379" s="44" t="str">
        <f aca="false">IF(I1379="","",N(H1378)+IF($C$5="Debet",F1379-G1379,G1379-F1379))</f>
        <v/>
      </c>
      <c r="I1379" s="66" t="str">
        <f aca="false">IF(J1379&gt;$K$1,"",IFERROR(MATCH(J1379,J_BB,0),""))</f>
        <v/>
      </c>
      <c r="J1379" s="66" t="n">
        <v>1370</v>
      </c>
      <c r="K1379" s="5"/>
    </row>
    <row r="1380" customFormat="false" ht="15" hidden="false" customHeight="false" outlineLevel="0" collapsed="false">
      <c r="A1380" s="5" t="str">
        <f aca="false">IF(I1380="","",J1380)</f>
        <v/>
      </c>
      <c r="B1380" s="83" t="str">
        <f aca="false">IF(I1380="","",INDEX(J_TGL,I1380))</f>
        <v/>
      </c>
      <c r="C1380" s="5" t="str">
        <f aca="false">IF(I1380="","",INDEX(J_NO,I1380))</f>
        <v/>
      </c>
      <c r="D1380" s="5" t="str">
        <f aca="false">IF(I1380="","",INDEX(J_KET,I1380))</f>
        <v/>
      </c>
      <c r="E1380" s="5" t="str">
        <f aca="false">IF(I1380="","",IF(INDEX(J_DEB,I1380)=$C$3,INDEX(J_KRE,I1380),INDEX(J_DEB,I1380)))</f>
        <v/>
      </c>
      <c r="F1380" s="44" t="str">
        <f aca="false">IF(I1380="","",IF(INDEX(J_DEB,I1380)=$C$3,INDEX(J_NOM,I1380),0))</f>
        <v/>
      </c>
      <c r="G1380" s="44" t="str">
        <f aca="false">IF(I1380="","",IF(INDEX(J_KRE,I1380)=$C$3,INDEX(J_NOM,I1380),0))</f>
        <v/>
      </c>
      <c r="H1380" s="44" t="str">
        <f aca="false">IF(I1380="","",N(H1379)+IF($C$5="Debet",F1380-G1380,G1380-F1380))</f>
        <v/>
      </c>
      <c r="I1380" s="66" t="str">
        <f aca="false">IF(J1380&gt;$K$1,"",IFERROR(MATCH(J1380,J_BB,0),""))</f>
        <v/>
      </c>
      <c r="J1380" s="66" t="n">
        <v>1371</v>
      </c>
      <c r="K1380" s="5"/>
    </row>
    <row r="1381" customFormat="false" ht="15" hidden="false" customHeight="false" outlineLevel="0" collapsed="false">
      <c r="A1381" s="5" t="str">
        <f aca="false">IF(I1381="","",J1381)</f>
        <v/>
      </c>
      <c r="B1381" s="83" t="str">
        <f aca="false">IF(I1381="","",INDEX(J_TGL,I1381))</f>
        <v/>
      </c>
      <c r="C1381" s="5" t="str">
        <f aca="false">IF(I1381="","",INDEX(J_NO,I1381))</f>
        <v/>
      </c>
      <c r="D1381" s="5" t="str">
        <f aca="false">IF(I1381="","",INDEX(J_KET,I1381))</f>
        <v/>
      </c>
      <c r="E1381" s="5" t="str">
        <f aca="false">IF(I1381="","",IF(INDEX(J_DEB,I1381)=$C$3,INDEX(J_KRE,I1381),INDEX(J_DEB,I1381)))</f>
        <v/>
      </c>
      <c r="F1381" s="44" t="str">
        <f aca="false">IF(I1381="","",IF(INDEX(J_DEB,I1381)=$C$3,INDEX(J_NOM,I1381),0))</f>
        <v/>
      </c>
      <c r="G1381" s="44" t="str">
        <f aca="false">IF(I1381="","",IF(INDEX(J_KRE,I1381)=$C$3,INDEX(J_NOM,I1381),0))</f>
        <v/>
      </c>
      <c r="H1381" s="44" t="str">
        <f aca="false">IF(I1381="","",N(H1380)+IF($C$5="Debet",F1381-G1381,G1381-F1381))</f>
        <v/>
      </c>
      <c r="I1381" s="66" t="str">
        <f aca="false">IF(J1381&gt;$K$1,"",IFERROR(MATCH(J1381,J_BB,0),""))</f>
        <v/>
      </c>
      <c r="J1381" s="66" t="n">
        <v>1372</v>
      </c>
      <c r="K1381" s="5"/>
    </row>
    <row r="1382" customFormat="false" ht="15" hidden="false" customHeight="false" outlineLevel="0" collapsed="false">
      <c r="A1382" s="5" t="str">
        <f aca="false">IF(I1382="","",J1382)</f>
        <v/>
      </c>
      <c r="B1382" s="83" t="str">
        <f aca="false">IF(I1382="","",INDEX(J_TGL,I1382))</f>
        <v/>
      </c>
      <c r="C1382" s="5" t="str">
        <f aca="false">IF(I1382="","",INDEX(J_NO,I1382))</f>
        <v/>
      </c>
      <c r="D1382" s="5" t="str">
        <f aca="false">IF(I1382="","",INDEX(J_KET,I1382))</f>
        <v/>
      </c>
      <c r="E1382" s="5" t="str">
        <f aca="false">IF(I1382="","",IF(INDEX(J_DEB,I1382)=$C$3,INDEX(J_KRE,I1382),INDEX(J_DEB,I1382)))</f>
        <v/>
      </c>
      <c r="F1382" s="44" t="str">
        <f aca="false">IF(I1382="","",IF(INDEX(J_DEB,I1382)=$C$3,INDEX(J_NOM,I1382),0))</f>
        <v/>
      </c>
      <c r="G1382" s="44" t="str">
        <f aca="false">IF(I1382="","",IF(INDEX(J_KRE,I1382)=$C$3,INDEX(J_NOM,I1382),0))</f>
        <v/>
      </c>
      <c r="H1382" s="44" t="str">
        <f aca="false">IF(I1382="","",N(H1381)+IF($C$5="Debet",F1382-G1382,G1382-F1382))</f>
        <v/>
      </c>
      <c r="I1382" s="66" t="str">
        <f aca="false">IF(J1382&gt;$K$1,"",IFERROR(MATCH(J1382,J_BB,0),""))</f>
        <v/>
      </c>
      <c r="J1382" s="66" t="n">
        <v>1373</v>
      </c>
      <c r="K1382" s="5"/>
    </row>
    <row r="1383" customFormat="false" ht="15" hidden="false" customHeight="false" outlineLevel="0" collapsed="false">
      <c r="A1383" s="5" t="str">
        <f aca="false">IF(I1383="","",J1383)</f>
        <v/>
      </c>
      <c r="B1383" s="83" t="str">
        <f aca="false">IF(I1383="","",INDEX(J_TGL,I1383))</f>
        <v/>
      </c>
      <c r="C1383" s="5" t="str">
        <f aca="false">IF(I1383="","",INDEX(J_NO,I1383))</f>
        <v/>
      </c>
      <c r="D1383" s="5" t="str">
        <f aca="false">IF(I1383="","",INDEX(J_KET,I1383))</f>
        <v/>
      </c>
      <c r="E1383" s="5" t="str">
        <f aca="false">IF(I1383="","",IF(INDEX(J_DEB,I1383)=$C$3,INDEX(J_KRE,I1383),INDEX(J_DEB,I1383)))</f>
        <v/>
      </c>
      <c r="F1383" s="44" t="str">
        <f aca="false">IF(I1383="","",IF(INDEX(J_DEB,I1383)=$C$3,INDEX(J_NOM,I1383),0))</f>
        <v/>
      </c>
      <c r="G1383" s="44" t="str">
        <f aca="false">IF(I1383="","",IF(INDEX(J_KRE,I1383)=$C$3,INDEX(J_NOM,I1383),0))</f>
        <v/>
      </c>
      <c r="H1383" s="44" t="str">
        <f aca="false">IF(I1383="","",N(H1382)+IF($C$5="Debet",F1383-G1383,G1383-F1383))</f>
        <v/>
      </c>
      <c r="I1383" s="66" t="str">
        <f aca="false">IF(J1383&gt;$K$1,"",IFERROR(MATCH(J1383,J_BB,0),""))</f>
        <v/>
      </c>
      <c r="J1383" s="66" t="n">
        <v>1374</v>
      </c>
      <c r="K1383" s="5"/>
    </row>
    <row r="1384" customFormat="false" ht="15" hidden="false" customHeight="false" outlineLevel="0" collapsed="false">
      <c r="A1384" s="5" t="str">
        <f aca="false">IF(I1384="","",J1384)</f>
        <v/>
      </c>
      <c r="B1384" s="83" t="str">
        <f aca="false">IF(I1384="","",INDEX(J_TGL,I1384))</f>
        <v/>
      </c>
      <c r="C1384" s="5" t="str">
        <f aca="false">IF(I1384="","",INDEX(J_NO,I1384))</f>
        <v/>
      </c>
      <c r="D1384" s="5" t="str">
        <f aca="false">IF(I1384="","",INDEX(J_KET,I1384))</f>
        <v/>
      </c>
      <c r="E1384" s="5" t="str">
        <f aca="false">IF(I1384="","",IF(INDEX(J_DEB,I1384)=$C$3,INDEX(J_KRE,I1384),INDEX(J_DEB,I1384)))</f>
        <v/>
      </c>
      <c r="F1384" s="44" t="str">
        <f aca="false">IF(I1384="","",IF(INDEX(J_DEB,I1384)=$C$3,INDEX(J_NOM,I1384),0))</f>
        <v/>
      </c>
      <c r="G1384" s="44" t="str">
        <f aca="false">IF(I1384="","",IF(INDEX(J_KRE,I1384)=$C$3,INDEX(J_NOM,I1384),0))</f>
        <v/>
      </c>
      <c r="H1384" s="44" t="str">
        <f aca="false">IF(I1384="","",N(H1383)+IF($C$5="Debet",F1384-G1384,G1384-F1384))</f>
        <v/>
      </c>
      <c r="I1384" s="66" t="str">
        <f aca="false">IF(J1384&gt;$K$1,"",IFERROR(MATCH(J1384,J_BB,0),""))</f>
        <v/>
      </c>
      <c r="J1384" s="66" t="n">
        <v>1375</v>
      </c>
      <c r="K1384" s="5"/>
    </row>
    <row r="1385" customFormat="false" ht="15" hidden="false" customHeight="false" outlineLevel="0" collapsed="false">
      <c r="A1385" s="5" t="str">
        <f aca="false">IF(I1385="","",J1385)</f>
        <v/>
      </c>
      <c r="B1385" s="83" t="str">
        <f aca="false">IF(I1385="","",INDEX(J_TGL,I1385))</f>
        <v/>
      </c>
      <c r="C1385" s="5" t="str">
        <f aca="false">IF(I1385="","",INDEX(J_NO,I1385))</f>
        <v/>
      </c>
      <c r="D1385" s="5" t="str">
        <f aca="false">IF(I1385="","",INDEX(J_KET,I1385))</f>
        <v/>
      </c>
      <c r="E1385" s="5" t="str">
        <f aca="false">IF(I1385="","",IF(INDEX(J_DEB,I1385)=$C$3,INDEX(J_KRE,I1385),INDEX(J_DEB,I1385)))</f>
        <v/>
      </c>
      <c r="F1385" s="44" t="str">
        <f aca="false">IF(I1385="","",IF(INDEX(J_DEB,I1385)=$C$3,INDEX(J_NOM,I1385),0))</f>
        <v/>
      </c>
      <c r="G1385" s="44" t="str">
        <f aca="false">IF(I1385="","",IF(INDEX(J_KRE,I1385)=$C$3,INDEX(J_NOM,I1385),0))</f>
        <v/>
      </c>
      <c r="H1385" s="44" t="str">
        <f aca="false">IF(I1385="","",N(H1384)+IF($C$5="Debet",F1385-G1385,G1385-F1385))</f>
        <v/>
      </c>
      <c r="I1385" s="66" t="str">
        <f aca="false">IF(J1385&gt;$K$1,"",IFERROR(MATCH(J1385,J_BB,0),""))</f>
        <v/>
      </c>
      <c r="J1385" s="66" t="n">
        <v>1376</v>
      </c>
      <c r="K1385" s="5"/>
    </row>
    <row r="1386" customFormat="false" ht="15" hidden="false" customHeight="false" outlineLevel="0" collapsed="false">
      <c r="A1386" s="5" t="str">
        <f aca="false">IF(I1386="","",J1386)</f>
        <v/>
      </c>
      <c r="B1386" s="83" t="str">
        <f aca="false">IF(I1386="","",INDEX(J_TGL,I1386))</f>
        <v/>
      </c>
      <c r="C1386" s="5" t="str">
        <f aca="false">IF(I1386="","",INDEX(J_NO,I1386))</f>
        <v/>
      </c>
      <c r="D1386" s="5" t="str">
        <f aca="false">IF(I1386="","",INDEX(J_KET,I1386))</f>
        <v/>
      </c>
      <c r="E1386" s="5" t="str">
        <f aca="false">IF(I1386="","",IF(INDEX(J_DEB,I1386)=$C$3,INDEX(J_KRE,I1386),INDEX(J_DEB,I1386)))</f>
        <v/>
      </c>
      <c r="F1386" s="44" t="str">
        <f aca="false">IF(I1386="","",IF(INDEX(J_DEB,I1386)=$C$3,INDEX(J_NOM,I1386),0))</f>
        <v/>
      </c>
      <c r="G1386" s="44" t="str">
        <f aca="false">IF(I1386="","",IF(INDEX(J_KRE,I1386)=$C$3,INDEX(J_NOM,I1386),0))</f>
        <v/>
      </c>
      <c r="H1386" s="44" t="str">
        <f aca="false">IF(I1386="","",N(H1385)+IF($C$5="Debet",F1386-G1386,G1386-F1386))</f>
        <v/>
      </c>
      <c r="I1386" s="66" t="str">
        <f aca="false">IF(J1386&gt;$K$1,"",IFERROR(MATCH(J1386,J_BB,0),""))</f>
        <v/>
      </c>
      <c r="J1386" s="66" t="n">
        <v>1377</v>
      </c>
      <c r="K1386" s="5"/>
    </row>
    <row r="1387" customFormat="false" ht="15" hidden="false" customHeight="false" outlineLevel="0" collapsed="false">
      <c r="A1387" s="5" t="str">
        <f aca="false">IF(I1387="","",J1387)</f>
        <v/>
      </c>
      <c r="B1387" s="83" t="str">
        <f aca="false">IF(I1387="","",INDEX(J_TGL,I1387))</f>
        <v/>
      </c>
      <c r="C1387" s="5" t="str">
        <f aca="false">IF(I1387="","",INDEX(J_NO,I1387))</f>
        <v/>
      </c>
      <c r="D1387" s="5" t="str">
        <f aca="false">IF(I1387="","",INDEX(J_KET,I1387))</f>
        <v/>
      </c>
      <c r="E1387" s="5" t="str">
        <f aca="false">IF(I1387="","",IF(INDEX(J_DEB,I1387)=$C$3,INDEX(J_KRE,I1387),INDEX(J_DEB,I1387)))</f>
        <v/>
      </c>
      <c r="F1387" s="44" t="str">
        <f aca="false">IF(I1387="","",IF(INDEX(J_DEB,I1387)=$C$3,INDEX(J_NOM,I1387),0))</f>
        <v/>
      </c>
      <c r="G1387" s="44" t="str">
        <f aca="false">IF(I1387="","",IF(INDEX(J_KRE,I1387)=$C$3,INDEX(J_NOM,I1387),0))</f>
        <v/>
      </c>
      <c r="H1387" s="44" t="str">
        <f aca="false">IF(I1387="","",N(H1386)+IF($C$5="Debet",F1387-G1387,G1387-F1387))</f>
        <v/>
      </c>
      <c r="I1387" s="66" t="str">
        <f aca="false">IF(J1387&gt;$K$1,"",IFERROR(MATCH(J1387,J_BB,0),""))</f>
        <v/>
      </c>
      <c r="J1387" s="66" t="n">
        <v>1378</v>
      </c>
      <c r="K1387" s="5"/>
    </row>
    <row r="1388" customFormat="false" ht="15" hidden="false" customHeight="false" outlineLevel="0" collapsed="false">
      <c r="A1388" s="5" t="str">
        <f aca="false">IF(I1388="","",J1388)</f>
        <v/>
      </c>
      <c r="B1388" s="83" t="str">
        <f aca="false">IF(I1388="","",INDEX(J_TGL,I1388))</f>
        <v/>
      </c>
      <c r="C1388" s="5" t="str">
        <f aca="false">IF(I1388="","",INDEX(J_NO,I1388))</f>
        <v/>
      </c>
      <c r="D1388" s="5" t="str">
        <f aca="false">IF(I1388="","",INDEX(J_KET,I1388))</f>
        <v/>
      </c>
      <c r="E1388" s="5" t="str">
        <f aca="false">IF(I1388="","",IF(INDEX(J_DEB,I1388)=$C$3,INDEX(J_KRE,I1388),INDEX(J_DEB,I1388)))</f>
        <v/>
      </c>
      <c r="F1388" s="44" t="str">
        <f aca="false">IF(I1388="","",IF(INDEX(J_DEB,I1388)=$C$3,INDEX(J_NOM,I1388),0))</f>
        <v/>
      </c>
      <c r="G1388" s="44" t="str">
        <f aca="false">IF(I1388="","",IF(INDEX(J_KRE,I1388)=$C$3,INDEX(J_NOM,I1388),0))</f>
        <v/>
      </c>
      <c r="H1388" s="44" t="str">
        <f aca="false">IF(I1388="","",N(H1387)+IF($C$5="Debet",F1388-G1388,G1388-F1388))</f>
        <v/>
      </c>
      <c r="I1388" s="66" t="str">
        <f aca="false">IF(J1388&gt;$K$1,"",IFERROR(MATCH(J1388,J_BB,0),""))</f>
        <v/>
      </c>
      <c r="J1388" s="66" t="n">
        <v>1379</v>
      </c>
      <c r="K1388" s="5"/>
    </row>
    <row r="1389" customFormat="false" ht="15" hidden="false" customHeight="false" outlineLevel="0" collapsed="false">
      <c r="A1389" s="5" t="str">
        <f aca="false">IF(I1389="","",J1389)</f>
        <v/>
      </c>
      <c r="B1389" s="83" t="str">
        <f aca="false">IF(I1389="","",INDEX(J_TGL,I1389))</f>
        <v/>
      </c>
      <c r="C1389" s="5" t="str">
        <f aca="false">IF(I1389="","",INDEX(J_NO,I1389))</f>
        <v/>
      </c>
      <c r="D1389" s="5" t="str">
        <f aca="false">IF(I1389="","",INDEX(J_KET,I1389))</f>
        <v/>
      </c>
      <c r="E1389" s="5" t="str">
        <f aca="false">IF(I1389="","",IF(INDEX(J_DEB,I1389)=$C$3,INDEX(J_KRE,I1389),INDEX(J_DEB,I1389)))</f>
        <v/>
      </c>
      <c r="F1389" s="44" t="str">
        <f aca="false">IF(I1389="","",IF(INDEX(J_DEB,I1389)=$C$3,INDEX(J_NOM,I1389),0))</f>
        <v/>
      </c>
      <c r="G1389" s="44" t="str">
        <f aca="false">IF(I1389="","",IF(INDEX(J_KRE,I1389)=$C$3,INDEX(J_NOM,I1389),0))</f>
        <v/>
      </c>
      <c r="H1389" s="44" t="str">
        <f aca="false">IF(I1389="","",N(H1388)+IF($C$5="Debet",F1389-G1389,G1389-F1389))</f>
        <v/>
      </c>
      <c r="I1389" s="66" t="str">
        <f aca="false">IF(J1389&gt;$K$1,"",IFERROR(MATCH(J1389,J_BB,0),""))</f>
        <v/>
      </c>
      <c r="J1389" s="66" t="n">
        <v>1380</v>
      </c>
      <c r="K1389" s="5"/>
    </row>
    <row r="1390" customFormat="false" ht="15" hidden="false" customHeight="false" outlineLevel="0" collapsed="false">
      <c r="A1390" s="5" t="str">
        <f aca="false">IF(I1390="","",J1390)</f>
        <v/>
      </c>
      <c r="B1390" s="83" t="str">
        <f aca="false">IF(I1390="","",INDEX(J_TGL,I1390))</f>
        <v/>
      </c>
      <c r="C1390" s="5" t="str">
        <f aca="false">IF(I1390="","",INDEX(J_NO,I1390))</f>
        <v/>
      </c>
      <c r="D1390" s="5" t="str">
        <f aca="false">IF(I1390="","",INDEX(J_KET,I1390))</f>
        <v/>
      </c>
      <c r="E1390" s="5" t="str">
        <f aca="false">IF(I1390="","",IF(INDEX(J_DEB,I1390)=$C$3,INDEX(J_KRE,I1390),INDEX(J_DEB,I1390)))</f>
        <v/>
      </c>
      <c r="F1390" s="44" t="str">
        <f aca="false">IF(I1390="","",IF(INDEX(J_DEB,I1390)=$C$3,INDEX(J_NOM,I1390),0))</f>
        <v/>
      </c>
      <c r="G1390" s="44" t="str">
        <f aca="false">IF(I1390="","",IF(INDEX(J_KRE,I1390)=$C$3,INDEX(J_NOM,I1390),0))</f>
        <v/>
      </c>
      <c r="H1390" s="44" t="str">
        <f aca="false">IF(I1390="","",N(H1389)+IF($C$5="Debet",F1390-G1390,G1390-F1390))</f>
        <v/>
      </c>
      <c r="I1390" s="66" t="str">
        <f aca="false">IF(J1390&gt;$K$1,"",IFERROR(MATCH(J1390,J_BB,0),""))</f>
        <v/>
      </c>
      <c r="J1390" s="66" t="n">
        <v>1381</v>
      </c>
      <c r="K1390" s="5"/>
    </row>
    <row r="1391" customFormat="false" ht="15" hidden="false" customHeight="false" outlineLevel="0" collapsed="false">
      <c r="A1391" s="5" t="str">
        <f aca="false">IF(I1391="","",J1391)</f>
        <v/>
      </c>
      <c r="B1391" s="83" t="str">
        <f aca="false">IF(I1391="","",INDEX(J_TGL,I1391))</f>
        <v/>
      </c>
      <c r="C1391" s="5" t="str">
        <f aca="false">IF(I1391="","",INDEX(J_NO,I1391))</f>
        <v/>
      </c>
      <c r="D1391" s="5" t="str">
        <f aca="false">IF(I1391="","",INDEX(J_KET,I1391))</f>
        <v/>
      </c>
      <c r="E1391" s="5" t="str">
        <f aca="false">IF(I1391="","",IF(INDEX(J_DEB,I1391)=$C$3,INDEX(J_KRE,I1391),INDEX(J_DEB,I1391)))</f>
        <v/>
      </c>
      <c r="F1391" s="44" t="str">
        <f aca="false">IF(I1391="","",IF(INDEX(J_DEB,I1391)=$C$3,INDEX(J_NOM,I1391),0))</f>
        <v/>
      </c>
      <c r="G1391" s="44" t="str">
        <f aca="false">IF(I1391="","",IF(INDEX(J_KRE,I1391)=$C$3,INDEX(J_NOM,I1391),0))</f>
        <v/>
      </c>
      <c r="H1391" s="44" t="str">
        <f aca="false">IF(I1391="","",N(H1390)+IF($C$5="Debet",F1391-G1391,G1391-F1391))</f>
        <v/>
      </c>
      <c r="I1391" s="66" t="str">
        <f aca="false">IF(J1391&gt;$K$1,"",IFERROR(MATCH(J1391,J_BB,0),""))</f>
        <v/>
      </c>
      <c r="J1391" s="66" t="n">
        <v>1382</v>
      </c>
      <c r="K1391" s="5"/>
    </row>
    <row r="1392" customFormat="false" ht="15" hidden="false" customHeight="false" outlineLevel="0" collapsed="false">
      <c r="A1392" s="5" t="str">
        <f aca="false">IF(I1392="","",J1392)</f>
        <v/>
      </c>
      <c r="B1392" s="83" t="str">
        <f aca="false">IF(I1392="","",INDEX(J_TGL,I1392))</f>
        <v/>
      </c>
      <c r="C1392" s="5" t="str">
        <f aca="false">IF(I1392="","",INDEX(J_NO,I1392))</f>
        <v/>
      </c>
      <c r="D1392" s="5" t="str">
        <f aca="false">IF(I1392="","",INDEX(J_KET,I1392))</f>
        <v/>
      </c>
      <c r="E1392" s="5" t="str">
        <f aca="false">IF(I1392="","",IF(INDEX(J_DEB,I1392)=$C$3,INDEX(J_KRE,I1392),INDEX(J_DEB,I1392)))</f>
        <v/>
      </c>
      <c r="F1392" s="44" t="str">
        <f aca="false">IF(I1392="","",IF(INDEX(J_DEB,I1392)=$C$3,INDEX(J_NOM,I1392),0))</f>
        <v/>
      </c>
      <c r="G1392" s="44" t="str">
        <f aca="false">IF(I1392="","",IF(INDEX(J_KRE,I1392)=$C$3,INDEX(J_NOM,I1392),0))</f>
        <v/>
      </c>
      <c r="H1392" s="44" t="str">
        <f aca="false">IF(I1392="","",N(H1391)+IF($C$5="Debet",F1392-G1392,G1392-F1392))</f>
        <v/>
      </c>
      <c r="I1392" s="66" t="str">
        <f aca="false">IF(J1392&gt;$K$1,"",IFERROR(MATCH(J1392,J_BB,0),""))</f>
        <v/>
      </c>
      <c r="J1392" s="66" t="n">
        <v>1383</v>
      </c>
      <c r="K1392" s="5"/>
    </row>
    <row r="1393" customFormat="false" ht="15" hidden="false" customHeight="false" outlineLevel="0" collapsed="false">
      <c r="A1393" s="5" t="str">
        <f aca="false">IF(I1393="","",J1393)</f>
        <v/>
      </c>
      <c r="B1393" s="83" t="str">
        <f aca="false">IF(I1393="","",INDEX(J_TGL,I1393))</f>
        <v/>
      </c>
      <c r="C1393" s="5" t="str">
        <f aca="false">IF(I1393="","",INDEX(J_NO,I1393))</f>
        <v/>
      </c>
      <c r="D1393" s="5" t="str">
        <f aca="false">IF(I1393="","",INDEX(J_KET,I1393))</f>
        <v/>
      </c>
      <c r="E1393" s="5" t="str">
        <f aca="false">IF(I1393="","",IF(INDEX(J_DEB,I1393)=$C$3,INDEX(J_KRE,I1393),INDEX(J_DEB,I1393)))</f>
        <v/>
      </c>
      <c r="F1393" s="44" t="str">
        <f aca="false">IF(I1393="","",IF(INDEX(J_DEB,I1393)=$C$3,INDEX(J_NOM,I1393),0))</f>
        <v/>
      </c>
      <c r="G1393" s="44" t="str">
        <f aca="false">IF(I1393="","",IF(INDEX(J_KRE,I1393)=$C$3,INDEX(J_NOM,I1393),0))</f>
        <v/>
      </c>
      <c r="H1393" s="44" t="str">
        <f aca="false">IF(I1393="","",N(H1392)+IF($C$5="Debet",F1393-G1393,G1393-F1393))</f>
        <v/>
      </c>
      <c r="I1393" s="66" t="str">
        <f aca="false">IF(J1393&gt;$K$1,"",IFERROR(MATCH(J1393,J_BB,0),""))</f>
        <v/>
      </c>
      <c r="J1393" s="66" t="n">
        <v>1384</v>
      </c>
      <c r="K1393" s="5"/>
    </row>
    <row r="1394" customFormat="false" ht="15" hidden="false" customHeight="false" outlineLevel="0" collapsed="false">
      <c r="A1394" s="5" t="str">
        <f aca="false">IF(I1394="","",J1394)</f>
        <v/>
      </c>
      <c r="B1394" s="83" t="str">
        <f aca="false">IF(I1394="","",INDEX(J_TGL,I1394))</f>
        <v/>
      </c>
      <c r="C1394" s="5" t="str">
        <f aca="false">IF(I1394="","",INDEX(J_NO,I1394))</f>
        <v/>
      </c>
      <c r="D1394" s="5" t="str">
        <f aca="false">IF(I1394="","",INDEX(J_KET,I1394))</f>
        <v/>
      </c>
      <c r="E1394" s="5" t="str">
        <f aca="false">IF(I1394="","",IF(INDEX(J_DEB,I1394)=$C$3,INDEX(J_KRE,I1394),INDEX(J_DEB,I1394)))</f>
        <v/>
      </c>
      <c r="F1394" s="44" t="str">
        <f aca="false">IF(I1394="","",IF(INDEX(J_DEB,I1394)=$C$3,INDEX(J_NOM,I1394),0))</f>
        <v/>
      </c>
      <c r="G1394" s="44" t="str">
        <f aca="false">IF(I1394="","",IF(INDEX(J_KRE,I1394)=$C$3,INDEX(J_NOM,I1394),0))</f>
        <v/>
      </c>
      <c r="H1394" s="44" t="str">
        <f aca="false">IF(I1394="","",N(H1393)+IF($C$5="Debet",F1394-G1394,G1394-F1394))</f>
        <v/>
      </c>
      <c r="I1394" s="66" t="str">
        <f aca="false">IF(J1394&gt;$K$1,"",IFERROR(MATCH(J1394,J_BB,0),""))</f>
        <v/>
      </c>
      <c r="J1394" s="66" t="n">
        <v>1385</v>
      </c>
      <c r="K1394" s="5"/>
    </row>
    <row r="1395" customFormat="false" ht="15" hidden="false" customHeight="false" outlineLevel="0" collapsed="false">
      <c r="A1395" s="5" t="str">
        <f aca="false">IF(I1395="","",J1395)</f>
        <v/>
      </c>
      <c r="B1395" s="83" t="str">
        <f aca="false">IF(I1395="","",INDEX(J_TGL,I1395))</f>
        <v/>
      </c>
      <c r="C1395" s="5" t="str">
        <f aca="false">IF(I1395="","",INDEX(J_NO,I1395))</f>
        <v/>
      </c>
      <c r="D1395" s="5" t="str">
        <f aca="false">IF(I1395="","",INDEX(J_KET,I1395))</f>
        <v/>
      </c>
      <c r="E1395" s="5" t="str">
        <f aca="false">IF(I1395="","",IF(INDEX(J_DEB,I1395)=$C$3,INDEX(J_KRE,I1395),INDEX(J_DEB,I1395)))</f>
        <v/>
      </c>
      <c r="F1395" s="44" t="str">
        <f aca="false">IF(I1395="","",IF(INDEX(J_DEB,I1395)=$C$3,INDEX(J_NOM,I1395),0))</f>
        <v/>
      </c>
      <c r="G1395" s="44" t="str">
        <f aca="false">IF(I1395="","",IF(INDEX(J_KRE,I1395)=$C$3,INDEX(J_NOM,I1395),0))</f>
        <v/>
      </c>
      <c r="H1395" s="44" t="str">
        <f aca="false">IF(I1395="","",N(H1394)+IF($C$5="Debet",F1395-G1395,G1395-F1395))</f>
        <v/>
      </c>
      <c r="I1395" s="66" t="str">
        <f aca="false">IF(J1395&gt;$K$1,"",IFERROR(MATCH(J1395,J_BB,0),""))</f>
        <v/>
      </c>
      <c r="J1395" s="66" t="n">
        <v>1386</v>
      </c>
      <c r="K1395" s="5"/>
    </row>
    <row r="1396" customFormat="false" ht="15" hidden="false" customHeight="false" outlineLevel="0" collapsed="false">
      <c r="A1396" s="5" t="str">
        <f aca="false">IF(I1396="","",J1396)</f>
        <v/>
      </c>
      <c r="B1396" s="83" t="str">
        <f aca="false">IF(I1396="","",INDEX(J_TGL,I1396))</f>
        <v/>
      </c>
      <c r="C1396" s="5" t="str">
        <f aca="false">IF(I1396="","",INDEX(J_NO,I1396))</f>
        <v/>
      </c>
      <c r="D1396" s="5" t="str">
        <f aca="false">IF(I1396="","",INDEX(J_KET,I1396))</f>
        <v/>
      </c>
      <c r="E1396" s="5" t="str">
        <f aca="false">IF(I1396="","",IF(INDEX(J_DEB,I1396)=$C$3,INDEX(J_KRE,I1396),INDEX(J_DEB,I1396)))</f>
        <v/>
      </c>
      <c r="F1396" s="44" t="str">
        <f aca="false">IF(I1396="","",IF(INDEX(J_DEB,I1396)=$C$3,INDEX(J_NOM,I1396),0))</f>
        <v/>
      </c>
      <c r="G1396" s="44" t="str">
        <f aca="false">IF(I1396="","",IF(INDEX(J_KRE,I1396)=$C$3,INDEX(J_NOM,I1396),0))</f>
        <v/>
      </c>
      <c r="H1396" s="44" t="str">
        <f aca="false">IF(I1396="","",N(H1395)+IF($C$5="Debet",F1396-G1396,G1396-F1396))</f>
        <v/>
      </c>
      <c r="I1396" s="66" t="str">
        <f aca="false">IF(J1396&gt;$K$1,"",IFERROR(MATCH(J1396,J_BB,0),""))</f>
        <v/>
      </c>
      <c r="J1396" s="66" t="n">
        <v>1387</v>
      </c>
      <c r="K1396" s="5"/>
    </row>
    <row r="1397" customFormat="false" ht="15" hidden="false" customHeight="false" outlineLevel="0" collapsed="false">
      <c r="A1397" s="5" t="str">
        <f aca="false">IF(I1397="","",J1397)</f>
        <v/>
      </c>
      <c r="B1397" s="83" t="str">
        <f aca="false">IF(I1397="","",INDEX(J_TGL,I1397))</f>
        <v/>
      </c>
      <c r="C1397" s="5" t="str">
        <f aca="false">IF(I1397="","",INDEX(J_NO,I1397))</f>
        <v/>
      </c>
      <c r="D1397" s="5" t="str">
        <f aca="false">IF(I1397="","",INDEX(J_KET,I1397))</f>
        <v/>
      </c>
      <c r="E1397" s="5" t="str">
        <f aca="false">IF(I1397="","",IF(INDEX(J_DEB,I1397)=$C$3,INDEX(J_KRE,I1397),INDEX(J_DEB,I1397)))</f>
        <v/>
      </c>
      <c r="F1397" s="44" t="str">
        <f aca="false">IF(I1397="","",IF(INDEX(J_DEB,I1397)=$C$3,INDEX(J_NOM,I1397),0))</f>
        <v/>
      </c>
      <c r="G1397" s="44" t="str">
        <f aca="false">IF(I1397="","",IF(INDEX(J_KRE,I1397)=$C$3,INDEX(J_NOM,I1397),0))</f>
        <v/>
      </c>
      <c r="H1397" s="44" t="str">
        <f aca="false">IF(I1397="","",N(H1396)+IF($C$5="Debet",F1397-G1397,G1397-F1397))</f>
        <v/>
      </c>
      <c r="I1397" s="66" t="str">
        <f aca="false">IF(J1397&gt;$K$1,"",IFERROR(MATCH(J1397,J_BB,0),""))</f>
        <v/>
      </c>
      <c r="J1397" s="66" t="n">
        <v>1388</v>
      </c>
      <c r="K1397" s="5"/>
    </row>
    <row r="1398" customFormat="false" ht="15" hidden="false" customHeight="false" outlineLevel="0" collapsed="false">
      <c r="A1398" s="5" t="str">
        <f aca="false">IF(I1398="","",J1398)</f>
        <v/>
      </c>
      <c r="B1398" s="83" t="str">
        <f aca="false">IF(I1398="","",INDEX(J_TGL,I1398))</f>
        <v/>
      </c>
      <c r="C1398" s="5" t="str">
        <f aca="false">IF(I1398="","",INDEX(J_NO,I1398))</f>
        <v/>
      </c>
      <c r="D1398" s="5" t="str">
        <f aca="false">IF(I1398="","",INDEX(J_KET,I1398))</f>
        <v/>
      </c>
      <c r="E1398" s="5" t="str">
        <f aca="false">IF(I1398="","",IF(INDEX(J_DEB,I1398)=$C$3,INDEX(J_KRE,I1398),INDEX(J_DEB,I1398)))</f>
        <v/>
      </c>
      <c r="F1398" s="44" t="str">
        <f aca="false">IF(I1398="","",IF(INDEX(J_DEB,I1398)=$C$3,INDEX(J_NOM,I1398),0))</f>
        <v/>
      </c>
      <c r="G1398" s="44" t="str">
        <f aca="false">IF(I1398="","",IF(INDEX(J_KRE,I1398)=$C$3,INDEX(J_NOM,I1398),0))</f>
        <v/>
      </c>
      <c r="H1398" s="44" t="str">
        <f aca="false">IF(I1398="","",N(H1397)+IF($C$5="Debet",F1398-G1398,G1398-F1398))</f>
        <v/>
      </c>
      <c r="I1398" s="66" t="str">
        <f aca="false">IF(J1398&gt;$K$1,"",IFERROR(MATCH(J1398,J_BB,0),""))</f>
        <v/>
      </c>
      <c r="J1398" s="66" t="n">
        <v>1389</v>
      </c>
      <c r="K1398" s="5"/>
    </row>
    <row r="1399" customFormat="false" ht="15" hidden="false" customHeight="false" outlineLevel="0" collapsed="false">
      <c r="A1399" s="5" t="str">
        <f aca="false">IF(I1399="","",J1399)</f>
        <v/>
      </c>
      <c r="B1399" s="83" t="str">
        <f aca="false">IF(I1399="","",INDEX(J_TGL,I1399))</f>
        <v/>
      </c>
      <c r="C1399" s="5" t="str">
        <f aca="false">IF(I1399="","",INDEX(J_NO,I1399))</f>
        <v/>
      </c>
      <c r="D1399" s="5" t="str">
        <f aca="false">IF(I1399="","",INDEX(J_KET,I1399))</f>
        <v/>
      </c>
      <c r="E1399" s="5" t="str">
        <f aca="false">IF(I1399="","",IF(INDEX(J_DEB,I1399)=$C$3,INDEX(J_KRE,I1399),INDEX(J_DEB,I1399)))</f>
        <v/>
      </c>
      <c r="F1399" s="44" t="str">
        <f aca="false">IF(I1399="","",IF(INDEX(J_DEB,I1399)=$C$3,INDEX(J_NOM,I1399),0))</f>
        <v/>
      </c>
      <c r="G1399" s="44" t="str">
        <f aca="false">IF(I1399="","",IF(INDEX(J_KRE,I1399)=$C$3,INDEX(J_NOM,I1399),0))</f>
        <v/>
      </c>
      <c r="H1399" s="44" t="str">
        <f aca="false">IF(I1399="","",N(H1398)+IF($C$5="Debet",F1399-G1399,G1399-F1399))</f>
        <v/>
      </c>
      <c r="I1399" s="66" t="str">
        <f aca="false">IF(J1399&gt;$K$1,"",IFERROR(MATCH(J1399,J_BB,0),""))</f>
        <v/>
      </c>
      <c r="J1399" s="66" t="n">
        <v>1390</v>
      </c>
      <c r="K1399" s="5"/>
    </row>
    <row r="1400" customFormat="false" ht="15" hidden="false" customHeight="false" outlineLevel="0" collapsed="false">
      <c r="A1400" s="5" t="str">
        <f aca="false">IF(I1400="","",J1400)</f>
        <v/>
      </c>
      <c r="B1400" s="83" t="str">
        <f aca="false">IF(I1400="","",INDEX(J_TGL,I1400))</f>
        <v/>
      </c>
      <c r="C1400" s="5" t="str">
        <f aca="false">IF(I1400="","",INDEX(J_NO,I1400))</f>
        <v/>
      </c>
      <c r="D1400" s="5" t="str">
        <f aca="false">IF(I1400="","",INDEX(J_KET,I1400))</f>
        <v/>
      </c>
      <c r="E1400" s="5" t="str">
        <f aca="false">IF(I1400="","",IF(INDEX(J_DEB,I1400)=$C$3,INDEX(J_KRE,I1400),INDEX(J_DEB,I1400)))</f>
        <v/>
      </c>
      <c r="F1400" s="44" t="str">
        <f aca="false">IF(I1400="","",IF(INDEX(J_DEB,I1400)=$C$3,INDEX(J_NOM,I1400),0))</f>
        <v/>
      </c>
      <c r="G1400" s="44" t="str">
        <f aca="false">IF(I1400="","",IF(INDEX(J_KRE,I1400)=$C$3,INDEX(J_NOM,I1400),0))</f>
        <v/>
      </c>
      <c r="H1400" s="44" t="str">
        <f aca="false">IF(I1400="","",N(H1399)+IF($C$5="Debet",F1400-G1400,G1400-F1400))</f>
        <v/>
      </c>
      <c r="I1400" s="66" t="str">
        <f aca="false">IF(J1400&gt;$K$1,"",IFERROR(MATCH(J1400,J_BB,0),""))</f>
        <v/>
      </c>
      <c r="J1400" s="66" t="n">
        <v>1391</v>
      </c>
      <c r="K1400" s="5"/>
    </row>
    <row r="1401" customFormat="false" ht="15" hidden="false" customHeight="false" outlineLevel="0" collapsed="false">
      <c r="A1401" s="5" t="str">
        <f aca="false">IF(I1401="","",J1401)</f>
        <v/>
      </c>
      <c r="B1401" s="83" t="str">
        <f aca="false">IF(I1401="","",INDEX(J_TGL,I1401))</f>
        <v/>
      </c>
      <c r="C1401" s="5" t="str">
        <f aca="false">IF(I1401="","",INDEX(J_NO,I1401))</f>
        <v/>
      </c>
      <c r="D1401" s="5" t="str">
        <f aca="false">IF(I1401="","",INDEX(J_KET,I1401))</f>
        <v/>
      </c>
      <c r="E1401" s="5" t="str">
        <f aca="false">IF(I1401="","",IF(INDEX(J_DEB,I1401)=$C$3,INDEX(J_KRE,I1401),INDEX(J_DEB,I1401)))</f>
        <v/>
      </c>
      <c r="F1401" s="44" t="str">
        <f aca="false">IF(I1401="","",IF(INDEX(J_DEB,I1401)=$C$3,INDEX(J_NOM,I1401),0))</f>
        <v/>
      </c>
      <c r="G1401" s="44" t="str">
        <f aca="false">IF(I1401="","",IF(INDEX(J_KRE,I1401)=$C$3,INDEX(J_NOM,I1401),0))</f>
        <v/>
      </c>
      <c r="H1401" s="44" t="str">
        <f aca="false">IF(I1401="","",N(H1400)+IF($C$5="Debet",F1401-G1401,G1401-F1401))</f>
        <v/>
      </c>
      <c r="I1401" s="66" t="str">
        <f aca="false">IF(J1401&gt;$K$1,"",IFERROR(MATCH(J1401,J_BB,0),""))</f>
        <v/>
      </c>
      <c r="J1401" s="66" t="n">
        <v>1392</v>
      </c>
      <c r="K1401" s="5"/>
    </row>
    <row r="1402" customFormat="false" ht="15" hidden="false" customHeight="false" outlineLevel="0" collapsed="false">
      <c r="A1402" s="5" t="str">
        <f aca="false">IF(I1402="","",J1402)</f>
        <v/>
      </c>
      <c r="B1402" s="83" t="str">
        <f aca="false">IF(I1402="","",INDEX(J_TGL,I1402))</f>
        <v/>
      </c>
      <c r="C1402" s="5" t="str">
        <f aca="false">IF(I1402="","",INDEX(J_NO,I1402))</f>
        <v/>
      </c>
      <c r="D1402" s="5" t="str">
        <f aca="false">IF(I1402="","",INDEX(J_KET,I1402))</f>
        <v/>
      </c>
      <c r="E1402" s="5" t="str">
        <f aca="false">IF(I1402="","",IF(INDEX(J_DEB,I1402)=$C$3,INDEX(J_KRE,I1402),INDEX(J_DEB,I1402)))</f>
        <v/>
      </c>
      <c r="F1402" s="44" t="str">
        <f aca="false">IF(I1402="","",IF(INDEX(J_DEB,I1402)=$C$3,INDEX(J_NOM,I1402),0))</f>
        <v/>
      </c>
      <c r="G1402" s="44" t="str">
        <f aca="false">IF(I1402="","",IF(INDEX(J_KRE,I1402)=$C$3,INDEX(J_NOM,I1402),0))</f>
        <v/>
      </c>
      <c r="H1402" s="44" t="str">
        <f aca="false">IF(I1402="","",N(H1401)+IF($C$5="Debet",F1402-G1402,G1402-F1402))</f>
        <v/>
      </c>
      <c r="I1402" s="66" t="str">
        <f aca="false">IF(J1402&gt;$K$1,"",IFERROR(MATCH(J1402,J_BB,0),""))</f>
        <v/>
      </c>
      <c r="J1402" s="66" t="n">
        <v>1393</v>
      </c>
      <c r="K1402" s="5"/>
    </row>
    <row r="1403" customFormat="false" ht="15" hidden="false" customHeight="false" outlineLevel="0" collapsed="false">
      <c r="A1403" s="5" t="str">
        <f aca="false">IF(I1403="","",J1403)</f>
        <v/>
      </c>
      <c r="B1403" s="83" t="str">
        <f aca="false">IF(I1403="","",INDEX(J_TGL,I1403))</f>
        <v/>
      </c>
      <c r="C1403" s="5" t="str">
        <f aca="false">IF(I1403="","",INDEX(J_NO,I1403))</f>
        <v/>
      </c>
      <c r="D1403" s="5" t="str">
        <f aca="false">IF(I1403="","",INDEX(J_KET,I1403))</f>
        <v/>
      </c>
      <c r="E1403" s="5" t="str">
        <f aca="false">IF(I1403="","",IF(INDEX(J_DEB,I1403)=$C$3,INDEX(J_KRE,I1403),INDEX(J_DEB,I1403)))</f>
        <v/>
      </c>
      <c r="F1403" s="44" t="str">
        <f aca="false">IF(I1403="","",IF(INDEX(J_DEB,I1403)=$C$3,INDEX(J_NOM,I1403),0))</f>
        <v/>
      </c>
      <c r="G1403" s="44" t="str">
        <f aca="false">IF(I1403="","",IF(INDEX(J_KRE,I1403)=$C$3,INDEX(J_NOM,I1403),0))</f>
        <v/>
      </c>
      <c r="H1403" s="44" t="str">
        <f aca="false">IF(I1403="","",N(H1402)+IF($C$5="Debet",F1403-G1403,G1403-F1403))</f>
        <v/>
      </c>
      <c r="I1403" s="66" t="str">
        <f aca="false">IF(J1403&gt;$K$1,"",IFERROR(MATCH(J1403,J_BB,0),""))</f>
        <v/>
      </c>
      <c r="J1403" s="66" t="n">
        <v>1394</v>
      </c>
      <c r="K1403" s="5"/>
    </row>
    <row r="1404" customFormat="false" ht="15" hidden="false" customHeight="false" outlineLevel="0" collapsed="false">
      <c r="A1404" s="5" t="str">
        <f aca="false">IF(I1404="","",J1404)</f>
        <v/>
      </c>
      <c r="B1404" s="83" t="str">
        <f aca="false">IF(I1404="","",INDEX(J_TGL,I1404))</f>
        <v/>
      </c>
      <c r="C1404" s="5" t="str">
        <f aca="false">IF(I1404="","",INDEX(J_NO,I1404))</f>
        <v/>
      </c>
      <c r="D1404" s="5" t="str">
        <f aca="false">IF(I1404="","",INDEX(J_KET,I1404))</f>
        <v/>
      </c>
      <c r="E1404" s="5" t="str">
        <f aca="false">IF(I1404="","",IF(INDEX(J_DEB,I1404)=$C$3,INDEX(J_KRE,I1404),INDEX(J_DEB,I1404)))</f>
        <v/>
      </c>
      <c r="F1404" s="44" t="str">
        <f aca="false">IF(I1404="","",IF(INDEX(J_DEB,I1404)=$C$3,INDEX(J_NOM,I1404),0))</f>
        <v/>
      </c>
      <c r="G1404" s="44" t="str">
        <f aca="false">IF(I1404="","",IF(INDEX(J_KRE,I1404)=$C$3,INDEX(J_NOM,I1404),0))</f>
        <v/>
      </c>
      <c r="H1404" s="44" t="str">
        <f aca="false">IF(I1404="","",N(H1403)+IF($C$5="Debet",F1404-G1404,G1404-F1404))</f>
        <v/>
      </c>
      <c r="I1404" s="66" t="str">
        <f aca="false">IF(J1404&gt;$K$1,"",IFERROR(MATCH(J1404,J_BB,0),""))</f>
        <v/>
      </c>
      <c r="J1404" s="66" t="n">
        <v>1395</v>
      </c>
      <c r="K1404" s="5"/>
    </row>
    <row r="1405" customFormat="false" ht="15" hidden="false" customHeight="false" outlineLevel="0" collapsed="false">
      <c r="A1405" s="5" t="str">
        <f aca="false">IF(I1405="","",J1405)</f>
        <v/>
      </c>
      <c r="B1405" s="83" t="str">
        <f aca="false">IF(I1405="","",INDEX(J_TGL,I1405))</f>
        <v/>
      </c>
      <c r="C1405" s="5" t="str">
        <f aca="false">IF(I1405="","",INDEX(J_NO,I1405))</f>
        <v/>
      </c>
      <c r="D1405" s="5" t="str">
        <f aca="false">IF(I1405="","",INDEX(J_KET,I1405))</f>
        <v/>
      </c>
      <c r="E1405" s="5" t="str">
        <f aca="false">IF(I1405="","",IF(INDEX(J_DEB,I1405)=$C$3,INDEX(J_KRE,I1405),INDEX(J_DEB,I1405)))</f>
        <v/>
      </c>
      <c r="F1405" s="44" t="str">
        <f aca="false">IF(I1405="","",IF(INDEX(J_DEB,I1405)=$C$3,INDEX(J_NOM,I1405),0))</f>
        <v/>
      </c>
      <c r="G1405" s="44" t="str">
        <f aca="false">IF(I1405="","",IF(INDEX(J_KRE,I1405)=$C$3,INDEX(J_NOM,I1405),0))</f>
        <v/>
      </c>
      <c r="H1405" s="44" t="str">
        <f aca="false">IF(I1405="","",N(H1404)+IF($C$5="Debet",F1405-G1405,G1405-F1405))</f>
        <v/>
      </c>
      <c r="I1405" s="66" t="str">
        <f aca="false">IF(J1405&gt;$K$1,"",IFERROR(MATCH(J1405,J_BB,0),""))</f>
        <v/>
      </c>
      <c r="J1405" s="66" t="n">
        <v>1396</v>
      </c>
      <c r="K1405" s="5"/>
    </row>
    <row r="1406" customFormat="false" ht="15" hidden="false" customHeight="false" outlineLevel="0" collapsed="false">
      <c r="A1406" s="5" t="str">
        <f aca="false">IF(I1406="","",J1406)</f>
        <v/>
      </c>
      <c r="B1406" s="83" t="str">
        <f aca="false">IF(I1406="","",INDEX(J_TGL,I1406))</f>
        <v/>
      </c>
      <c r="C1406" s="5" t="str">
        <f aca="false">IF(I1406="","",INDEX(J_NO,I1406))</f>
        <v/>
      </c>
      <c r="D1406" s="5" t="str">
        <f aca="false">IF(I1406="","",INDEX(J_KET,I1406))</f>
        <v/>
      </c>
      <c r="E1406" s="5" t="str">
        <f aca="false">IF(I1406="","",IF(INDEX(J_DEB,I1406)=$C$3,INDEX(J_KRE,I1406),INDEX(J_DEB,I1406)))</f>
        <v/>
      </c>
      <c r="F1406" s="44" t="str">
        <f aca="false">IF(I1406="","",IF(INDEX(J_DEB,I1406)=$C$3,INDEX(J_NOM,I1406),0))</f>
        <v/>
      </c>
      <c r="G1406" s="44" t="str">
        <f aca="false">IF(I1406="","",IF(INDEX(J_KRE,I1406)=$C$3,INDEX(J_NOM,I1406),0))</f>
        <v/>
      </c>
      <c r="H1406" s="44" t="str">
        <f aca="false">IF(I1406="","",N(H1405)+IF($C$5="Debet",F1406-G1406,G1406-F1406))</f>
        <v/>
      </c>
      <c r="I1406" s="66" t="str">
        <f aca="false">IF(J1406&gt;$K$1,"",IFERROR(MATCH(J1406,J_BB,0),""))</f>
        <v/>
      </c>
      <c r="J1406" s="66" t="n">
        <v>1397</v>
      </c>
      <c r="K1406" s="5"/>
    </row>
    <row r="1407" customFormat="false" ht="15" hidden="false" customHeight="false" outlineLevel="0" collapsed="false">
      <c r="A1407" s="5" t="str">
        <f aca="false">IF(I1407="","",J1407)</f>
        <v/>
      </c>
      <c r="B1407" s="83" t="str">
        <f aca="false">IF(I1407="","",INDEX(J_TGL,I1407))</f>
        <v/>
      </c>
      <c r="C1407" s="5" t="str">
        <f aca="false">IF(I1407="","",INDEX(J_NO,I1407))</f>
        <v/>
      </c>
      <c r="D1407" s="5" t="str">
        <f aca="false">IF(I1407="","",INDEX(J_KET,I1407))</f>
        <v/>
      </c>
      <c r="E1407" s="5" t="str">
        <f aca="false">IF(I1407="","",IF(INDEX(J_DEB,I1407)=$C$3,INDEX(J_KRE,I1407),INDEX(J_DEB,I1407)))</f>
        <v/>
      </c>
      <c r="F1407" s="44" t="str">
        <f aca="false">IF(I1407="","",IF(INDEX(J_DEB,I1407)=$C$3,INDEX(J_NOM,I1407),0))</f>
        <v/>
      </c>
      <c r="G1407" s="44" t="str">
        <f aca="false">IF(I1407="","",IF(INDEX(J_KRE,I1407)=$C$3,INDEX(J_NOM,I1407),0))</f>
        <v/>
      </c>
      <c r="H1407" s="44" t="str">
        <f aca="false">IF(I1407="","",N(H1406)+IF($C$5="Debet",F1407-G1407,G1407-F1407))</f>
        <v/>
      </c>
      <c r="I1407" s="66" t="str">
        <f aca="false">IF(J1407&gt;$K$1,"",IFERROR(MATCH(J1407,J_BB,0),""))</f>
        <v/>
      </c>
      <c r="J1407" s="66" t="n">
        <v>1398</v>
      </c>
      <c r="K1407" s="5"/>
    </row>
    <row r="1408" customFormat="false" ht="15" hidden="false" customHeight="false" outlineLevel="0" collapsed="false">
      <c r="A1408" s="5" t="str">
        <f aca="false">IF(I1408="","",J1408)</f>
        <v/>
      </c>
      <c r="B1408" s="83" t="str">
        <f aca="false">IF(I1408="","",INDEX(J_TGL,I1408))</f>
        <v/>
      </c>
      <c r="C1408" s="5" t="str">
        <f aca="false">IF(I1408="","",INDEX(J_NO,I1408))</f>
        <v/>
      </c>
      <c r="D1408" s="5" t="str">
        <f aca="false">IF(I1408="","",INDEX(J_KET,I1408))</f>
        <v/>
      </c>
      <c r="E1408" s="5" t="str">
        <f aca="false">IF(I1408="","",IF(INDEX(J_DEB,I1408)=$C$3,INDEX(J_KRE,I1408),INDEX(J_DEB,I1408)))</f>
        <v/>
      </c>
      <c r="F1408" s="44" t="str">
        <f aca="false">IF(I1408="","",IF(INDEX(J_DEB,I1408)=$C$3,INDEX(J_NOM,I1408),0))</f>
        <v/>
      </c>
      <c r="G1408" s="44" t="str">
        <f aca="false">IF(I1408="","",IF(INDEX(J_KRE,I1408)=$C$3,INDEX(J_NOM,I1408),0))</f>
        <v/>
      </c>
      <c r="H1408" s="44" t="str">
        <f aca="false">IF(I1408="","",N(H1407)+IF($C$5="Debet",F1408-G1408,G1408-F1408))</f>
        <v/>
      </c>
      <c r="I1408" s="66" t="str">
        <f aca="false">IF(J1408&gt;$K$1,"",IFERROR(MATCH(J1408,J_BB,0),""))</f>
        <v/>
      </c>
      <c r="J1408" s="66" t="n">
        <v>1399</v>
      </c>
      <c r="K1408" s="5"/>
    </row>
    <row r="1409" customFormat="false" ht="15" hidden="false" customHeight="false" outlineLevel="0" collapsed="false">
      <c r="A1409" s="5" t="str">
        <f aca="false">IF(I1409="","",J1409)</f>
        <v/>
      </c>
      <c r="B1409" s="83" t="str">
        <f aca="false">IF(I1409="","",INDEX(J_TGL,I1409))</f>
        <v/>
      </c>
      <c r="C1409" s="5" t="str">
        <f aca="false">IF(I1409="","",INDEX(J_NO,I1409))</f>
        <v/>
      </c>
      <c r="D1409" s="5" t="str">
        <f aca="false">IF(I1409="","",INDEX(J_KET,I1409))</f>
        <v/>
      </c>
      <c r="E1409" s="5" t="str">
        <f aca="false">IF(I1409="","",IF(INDEX(J_DEB,I1409)=$C$3,INDEX(J_KRE,I1409),INDEX(J_DEB,I1409)))</f>
        <v/>
      </c>
      <c r="F1409" s="44" t="str">
        <f aca="false">IF(I1409="","",IF(INDEX(J_DEB,I1409)=$C$3,INDEX(J_NOM,I1409),0))</f>
        <v/>
      </c>
      <c r="G1409" s="44" t="str">
        <f aca="false">IF(I1409="","",IF(INDEX(J_KRE,I1409)=$C$3,INDEX(J_NOM,I1409),0))</f>
        <v/>
      </c>
      <c r="H1409" s="44" t="str">
        <f aca="false">IF(I1409="","",N(H1408)+IF($C$5="Debet",F1409-G1409,G1409-F1409))</f>
        <v/>
      </c>
      <c r="I1409" s="66" t="str">
        <f aca="false">IF(J1409&gt;$K$1,"",IFERROR(MATCH(J1409,J_BB,0),""))</f>
        <v/>
      </c>
      <c r="J1409" s="66" t="n">
        <v>1400</v>
      </c>
      <c r="K1409" s="5"/>
    </row>
    <row r="1410" customFormat="false" ht="15" hidden="false" customHeight="false" outlineLevel="0" collapsed="false">
      <c r="A1410" s="5" t="str">
        <f aca="false">IF(I1410="","",J1410)</f>
        <v/>
      </c>
      <c r="B1410" s="83" t="str">
        <f aca="false">IF(I1410="","",INDEX(J_TGL,I1410))</f>
        <v/>
      </c>
      <c r="C1410" s="5" t="str">
        <f aca="false">IF(I1410="","",INDEX(J_NO,I1410))</f>
        <v/>
      </c>
      <c r="D1410" s="5" t="str">
        <f aca="false">IF(I1410="","",INDEX(J_KET,I1410))</f>
        <v/>
      </c>
      <c r="E1410" s="5" t="str">
        <f aca="false">IF(I1410="","",IF(INDEX(J_DEB,I1410)=$C$3,INDEX(J_KRE,I1410),INDEX(J_DEB,I1410)))</f>
        <v/>
      </c>
      <c r="F1410" s="44" t="str">
        <f aca="false">IF(I1410="","",IF(INDEX(J_DEB,I1410)=$C$3,INDEX(J_NOM,I1410),0))</f>
        <v/>
      </c>
      <c r="G1410" s="44" t="str">
        <f aca="false">IF(I1410="","",IF(INDEX(J_KRE,I1410)=$C$3,INDEX(J_NOM,I1410),0))</f>
        <v/>
      </c>
      <c r="H1410" s="44" t="str">
        <f aca="false">IF(I1410="","",N(H1409)+IF($C$5="Debet",F1410-G1410,G1410-F1410))</f>
        <v/>
      </c>
      <c r="I1410" s="66" t="str">
        <f aca="false">IF(J1410&gt;$K$1,"",IFERROR(MATCH(J1410,J_BB,0),""))</f>
        <v/>
      </c>
      <c r="J1410" s="66" t="n">
        <v>1401</v>
      </c>
      <c r="K1410" s="5"/>
    </row>
    <row r="1411" customFormat="false" ht="15" hidden="false" customHeight="false" outlineLevel="0" collapsed="false">
      <c r="A1411" s="5" t="str">
        <f aca="false">IF(I1411="","",J1411)</f>
        <v/>
      </c>
      <c r="B1411" s="83" t="str">
        <f aca="false">IF(I1411="","",INDEX(J_TGL,I1411))</f>
        <v/>
      </c>
      <c r="C1411" s="5" t="str">
        <f aca="false">IF(I1411="","",INDEX(J_NO,I1411))</f>
        <v/>
      </c>
      <c r="D1411" s="5" t="str">
        <f aca="false">IF(I1411="","",INDEX(J_KET,I1411))</f>
        <v/>
      </c>
      <c r="E1411" s="5" t="str">
        <f aca="false">IF(I1411="","",IF(INDEX(J_DEB,I1411)=$C$3,INDEX(J_KRE,I1411),INDEX(J_DEB,I1411)))</f>
        <v/>
      </c>
      <c r="F1411" s="44" t="str">
        <f aca="false">IF(I1411="","",IF(INDEX(J_DEB,I1411)=$C$3,INDEX(J_NOM,I1411),0))</f>
        <v/>
      </c>
      <c r="G1411" s="44" t="str">
        <f aca="false">IF(I1411="","",IF(INDEX(J_KRE,I1411)=$C$3,INDEX(J_NOM,I1411),0))</f>
        <v/>
      </c>
      <c r="H1411" s="44" t="str">
        <f aca="false">IF(I1411="","",N(H1410)+IF($C$5="Debet",F1411-G1411,G1411-F1411))</f>
        <v/>
      </c>
      <c r="I1411" s="66" t="str">
        <f aca="false">IF(J1411&gt;$K$1,"",IFERROR(MATCH(J1411,J_BB,0),""))</f>
        <v/>
      </c>
      <c r="J1411" s="66" t="n">
        <v>1402</v>
      </c>
      <c r="K1411" s="5"/>
    </row>
    <row r="1412" customFormat="false" ht="15" hidden="false" customHeight="false" outlineLevel="0" collapsed="false">
      <c r="A1412" s="5" t="str">
        <f aca="false">IF(I1412="","",J1412)</f>
        <v/>
      </c>
      <c r="B1412" s="83" t="str">
        <f aca="false">IF(I1412="","",INDEX(J_TGL,I1412))</f>
        <v/>
      </c>
      <c r="C1412" s="5" t="str">
        <f aca="false">IF(I1412="","",INDEX(J_NO,I1412))</f>
        <v/>
      </c>
      <c r="D1412" s="5" t="str">
        <f aca="false">IF(I1412="","",INDEX(J_KET,I1412))</f>
        <v/>
      </c>
      <c r="E1412" s="5" t="str">
        <f aca="false">IF(I1412="","",IF(INDEX(J_DEB,I1412)=$C$3,INDEX(J_KRE,I1412),INDEX(J_DEB,I1412)))</f>
        <v/>
      </c>
      <c r="F1412" s="44" t="str">
        <f aca="false">IF(I1412="","",IF(INDEX(J_DEB,I1412)=$C$3,INDEX(J_NOM,I1412),0))</f>
        <v/>
      </c>
      <c r="G1412" s="44" t="str">
        <f aca="false">IF(I1412="","",IF(INDEX(J_KRE,I1412)=$C$3,INDEX(J_NOM,I1412),0))</f>
        <v/>
      </c>
      <c r="H1412" s="44" t="str">
        <f aca="false">IF(I1412="","",N(H1411)+IF($C$5="Debet",F1412-G1412,G1412-F1412))</f>
        <v/>
      </c>
      <c r="I1412" s="66" t="str">
        <f aca="false">IF(J1412&gt;$K$1,"",IFERROR(MATCH(J1412,J_BB,0),""))</f>
        <v/>
      </c>
      <c r="J1412" s="66" t="n">
        <v>1403</v>
      </c>
      <c r="K1412" s="5"/>
    </row>
    <row r="1413" customFormat="false" ht="15" hidden="false" customHeight="false" outlineLevel="0" collapsed="false">
      <c r="A1413" s="5" t="str">
        <f aca="false">IF(I1413="","",J1413)</f>
        <v/>
      </c>
      <c r="B1413" s="83" t="str">
        <f aca="false">IF(I1413="","",INDEX(J_TGL,I1413))</f>
        <v/>
      </c>
      <c r="C1413" s="5" t="str">
        <f aca="false">IF(I1413="","",INDEX(J_NO,I1413))</f>
        <v/>
      </c>
      <c r="D1413" s="5" t="str">
        <f aca="false">IF(I1413="","",INDEX(J_KET,I1413))</f>
        <v/>
      </c>
      <c r="E1413" s="5" t="str">
        <f aca="false">IF(I1413="","",IF(INDEX(J_DEB,I1413)=$C$3,INDEX(J_KRE,I1413),INDEX(J_DEB,I1413)))</f>
        <v/>
      </c>
      <c r="F1413" s="44" t="str">
        <f aca="false">IF(I1413="","",IF(INDEX(J_DEB,I1413)=$C$3,INDEX(J_NOM,I1413),0))</f>
        <v/>
      </c>
      <c r="G1413" s="44" t="str">
        <f aca="false">IF(I1413="","",IF(INDEX(J_KRE,I1413)=$C$3,INDEX(J_NOM,I1413),0))</f>
        <v/>
      </c>
      <c r="H1413" s="44" t="str">
        <f aca="false">IF(I1413="","",N(H1412)+IF($C$5="Debet",F1413-G1413,G1413-F1413))</f>
        <v/>
      </c>
      <c r="I1413" s="66" t="str">
        <f aca="false">IF(J1413&gt;$K$1,"",IFERROR(MATCH(J1413,J_BB,0),""))</f>
        <v/>
      </c>
      <c r="J1413" s="66" t="n">
        <v>1404</v>
      </c>
      <c r="K1413" s="5"/>
    </row>
    <row r="1414" customFormat="false" ht="15" hidden="false" customHeight="false" outlineLevel="0" collapsed="false">
      <c r="A1414" s="5" t="str">
        <f aca="false">IF(I1414="","",J1414)</f>
        <v/>
      </c>
      <c r="B1414" s="83" t="str">
        <f aca="false">IF(I1414="","",INDEX(J_TGL,I1414))</f>
        <v/>
      </c>
      <c r="C1414" s="5" t="str">
        <f aca="false">IF(I1414="","",INDEX(J_NO,I1414))</f>
        <v/>
      </c>
      <c r="D1414" s="5" t="str">
        <f aca="false">IF(I1414="","",INDEX(J_KET,I1414))</f>
        <v/>
      </c>
      <c r="E1414" s="5" t="str">
        <f aca="false">IF(I1414="","",IF(INDEX(J_DEB,I1414)=$C$3,INDEX(J_KRE,I1414),INDEX(J_DEB,I1414)))</f>
        <v/>
      </c>
      <c r="F1414" s="44" t="str">
        <f aca="false">IF(I1414="","",IF(INDEX(J_DEB,I1414)=$C$3,INDEX(J_NOM,I1414),0))</f>
        <v/>
      </c>
      <c r="G1414" s="44" t="str">
        <f aca="false">IF(I1414="","",IF(INDEX(J_KRE,I1414)=$C$3,INDEX(J_NOM,I1414),0))</f>
        <v/>
      </c>
      <c r="H1414" s="44" t="str">
        <f aca="false">IF(I1414="","",N(H1413)+IF($C$5="Debet",F1414-G1414,G1414-F1414))</f>
        <v/>
      </c>
      <c r="I1414" s="66" t="str">
        <f aca="false">IF(J1414&gt;$K$1,"",IFERROR(MATCH(J1414,J_BB,0),""))</f>
        <v/>
      </c>
      <c r="J1414" s="66" t="n">
        <v>1405</v>
      </c>
      <c r="K1414" s="5"/>
    </row>
    <row r="1415" customFormat="false" ht="15" hidden="false" customHeight="false" outlineLevel="0" collapsed="false">
      <c r="A1415" s="5" t="str">
        <f aca="false">IF(I1415="","",J1415)</f>
        <v/>
      </c>
      <c r="B1415" s="83" t="str">
        <f aca="false">IF(I1415="","",INDEX(J_TGL,I1415))</f>
        <v/>
      </c>
      <c r="C1415" s="5" t="str">
        <f aca="false">IF(I1415="","",INDEX(J_NO,I1415))</f>
        <v/>
      </c>
      <c r="D1415" s="5" t="str">
        <f aca="false">IF(I1415="","",INDEX(J_KET,I1415))</f>
        <v/>
      </c>
      <c r="E1415" s="5" t="str">
        <f aca="false">IF(I1415="","",IF(INDEX(J_DEB,I1415)=$C$3,INDEX(J_KRE,I1415),INDEX(J_DEB,I1415)))</f>
        <v/>
      </c>
      <c r="F1415" s="44" t="str">
        <f aca="false">IF(I1415="","",IF(INDEX(J_DEB,I1415)=$C$3,INDEX(J_NOM,I1415),0))</f>
        <v/>
      </c>
      <c r="G1415" s="44" t="str">
        <f aca="false">IF(I1415="","",IF(INDEX(J_KRE,I1415)=$C$3,INDEX(J_NOM,I1415),0))</f>
        <v/>
      </c>
      <c r="H1415" s="44" t="str">
        <f aca="false">IF(I1415="","",N(H1414)+IF($C$5="Debet",F1415-G1415,G1415-F1415))</f>
        <v/>
      </c>
      <c r="I1415" s="66" t="str">
        <f aca="false">IF(J1415&gt;$K$1,"",IFERROR(MATCH(J1415,J_BB,0),""))</f>
        <v/>
      </c>
      <c r="J1415" s="66" t="n">
        <v>1406</v>
      </c>
      <c r="K1415" s="5"/>
    </row>
    <row r="1416" customFormat="false" ht="15" hidden="false" customHeight="false" outlineLevel="0" collapsed="false">
      <c r="A1416" s="5" t="str">
        <f aca="false">IF(I1416="","",J1416)</f>
        <v/>
      </c>
      <c r="B1416" s="83" t="str">
        <f aca="false">IF(I1416="","",INDEX(J_TGL,I1416))</f>
        <v/>
      </c>
      <c r="C1416" s="5" t="str">
        <f aca="false">IF(I1416="","",INDEX(J_NO,I1416))</f>
        <v/>
      </c>
      <c r="D1416" s="5" t="str">
        <f aca="false">IF(I1416="","",INDEX(J_KET,I1416))</f>
        <v/>
      </c>
      <c r="E1416" s="5" t="str">
        <f aca="false">IF(I1416="","",IF(INDEX(J_DEB,I1416)=$C$3,INDEX(J_KRE,I1416),INDEX(J_DEB,I1416)))</f>
        <v/>
      </c>
      <c r="F1416" s="44" t="str">
        <f aca="false">IF(I1416="","",IF(INDEX(J_DEB,I1416)=$C$3,INDEX(J_NOM,I1416),0))</f>
        <v/>
      </c>
      <c r="G1416" s="44" t="str">
        <f aca="false">IF(I1416="","",IF(INDEX(J_KRE,I1416)=$C$3,INDEX(J_NOM,I1416),0))</f>
        <v/>
      </c>
      <c r="H1416" s="44" t="str">
        <f aca="false">IF(I1416="","",N(H1415)+IF($C$5="Debet",F1416-G1416,G1416-F1416))</f>
        <v/>
      </c>
      <c r="I1416" s="66" t="str">
        <f aca="false">IF(J1416&gt;$K$1,"",IFERROR(MATCH(J1416,J_BB,0),""))</f>
        <v/>
      </c>
      <c r="J1416" s="66" t="n">
        <v>1407</v>
      </c>
      <c r="K1416" s="5"/>
    </row>
    <row r="1417" customFormat="false" ht="15" hidden="false" customHeight="false" outlineLevel="0" collapsed="false">
      <c r="A1417" s="5" t="str">
        <f aca="false">IF(I1417="","",J1417)</f>
        <v/>
      </c>
      <c r="B1417" s="83" t="str">
        <f aca="false">IF(I1417="","",INDEX(J_TGL,I1417))</f>
        <v/>
      </c>
      <c r="C1417" s="5" t="str">
        <f aca="false">IF(I1417="","",INDEX(J_NO,I1417))</f>
        <v/>
      </c>
      <c r="D1417" s="5" t="str">
        <f aca="false">IF(I1417="","",INDEX(J_KET,I1417))</f>
        <v/>
      </c>
      <c r="E1417" s="5" t="str">
        <f aca="false">IF(I1417="","",IF(INDEX(J_DEB,I1417)=$C$3,INDEX(J_KRE,I1417),INDEX(J_DEB,I1417)))</f>
        <v/>
      </c>
      <c r="F1417" s="44" t="str">
        <f aca="false">IF(I1417="","",IF(INDEX(J_DEB,I1417)=$C$3,INDEX(J_NOM,I1417),0))</f>
        <v/>
      </c>
      <c r="G1417" s="44" t="str">
        <f aca="false">IF(I1417="","",IF(INDEX(J_KRE,I1417)=$C$3,INDEX(J_NOM,I1417),0))</f>
        <v/>
      </c>
      <c r="H1417" s="44" t="str">
        <f aca="false">IF(I1417="","",N(H1416)+IF($C$5="Debet",F1417-G1417,G1417-F1417))</f>
        <v/>
      </c>
      <c r="I1417" s="66" t="str">
        <f aca="false">IF(J1417&gt;$K$1,"",IFERROR(MATCH(J1417,J_BB,0),""))</f>
        <v/>
      </c>
      <c r="J1417" s="66" t="n">
        <v>1408</v>
      </c>
      <c r="K1417" s="5"/>
    </row>
    <row r="1418" customFormat="false" ht="15" hidden="false" customHeight="false" outlineLevel="0" collapsed="false">
      <c r="A1418" s="5" t="str">
        <f aca="false">IF(I1418="","",J1418)</f>
        <v/>
      </c>
      <c r="B1418" s="83" t="str">
        <f aca="false">IF(I1418="","",INDEX(J_TGL,I1418))</f>
        <v/>
      </c>
      <c r="C1418" s="5" t="str">
        <f aca="false">IF(I1418="","",INDEX(J_NO,I1418))</f>
        <v/>
      </c>
      <c r="D1418" s="5" t="str">
        <f aca="false">IF(I1418="","",INDEX(J_KET,I1418))</f>
        <v/>
      </c>
      <c r="E1418" s="5" t="str">
        <f aca="false">IF(I1418="","",IF(INDEX(J_DEB,I1418)=$C$3,INDEX(J_KRE,I1418),INDEX(J_DEB,I1418)))</f>
        <v/>
      </c>
      <c r="F1418" s="44" t="str">
        <f aca="false">IF(I1418="","",IF(INDEX(J_DEB,I1418)=$C$3,INDEX(J_NOM,I1418),0))</f>
        <v/>
      </c>
      <c r="G1418" s="44" t="str">
        <f aca="false">IF(I1418="","",IF(INDEX(J_KRE,I1418)=$C$3,INDEX(J_NOM,I1418),0))</f>
        <v/>
      </c>
      <c r="H1418" s="44" t="str">
        <f aca="false">IF(I1418="","",N(H1417)+IF($C$5="Debet",F1418-G1418,G1418-F1418))</f>
        <v/>
      </c>
      <c r="I1418" s="66" t="str">
        <f aca="false">IF(J1418&gt;$K$1,"",IFERROR(MATCH(J1418,J_BB,0),""))</f>
        <v/>
      </c>
      <c r="J1418" s="66" t="n">
        <v>1409</v>
      </c>
      <c r="K1418" s="5"/>
    </row>
    <row r="1419" customFormat="false" ht="15" hidden="false" customHeight="false" outlineLevel="0" collapsed="false">
      <c r="A1419" s="5" t="str">
        <f aca="false">IF(I1419="","",J1419)</f>
        <v/>
      </c>
      <c r="B1419" s="83" t="str">
        <f aca="false">IF(I1419="","",INDEX(J_TGL,I1419))</f>
        <v/>
      </c>
      <c r="C1419" s="5" t="str">
        <f aca="false">IF(I1419="","",INDEX(J_NO,I1419))</f>
        <v/>
      </c>
      <c r="D1419" s="5" t="str">
        <f aca="false">IF(I1419="","",INDEX(J_KET,I1419))</f>
        <v/>
      </c>
      <c r="E1419" s="5" t="str">
        <f aca="false">IF(I1419="","",IF(INDEX(J_DEB,I1419)=$C$3,INDEX(J_KRE,I1419),INDEX(J_DEB,I1419)))</f>
        <v/>
      </c>
      <c r="F1419" s="44" t="str">
        <f aca="false">IF(I1419="","",IF(INDEX(J_DEB,I1419)=$C$3,INDEX(J_NOM,I1419),0))</f>
        <v/>
      </c>
      <c r="G1419" s="44" t="str">
        <f aca="false">IF(I1419="","",IF(INDEX(J_KRE,I1419)=$C$3,INDEX(J_NOM,I1419),0))</f>
        <v/>
      </c>
      <c r="H1419" s="44" t="str">
        <f aca="false">IF(I1419="","",N(H1418)+IF($C$5="Debet",F1419-G1419,G1419-F1419))</f>
        <v/>
      </c>
      <c r="I1419" s="66" t="str">
        <f aca="false">IF(J1419&gt;$K$1,"",IFERROR(MATCH(J1419,J_BB,0),""))</f>
        <v/>
      </c>
      <c r="J1419" s="66" t="n">
        <v>1410</v>
      </c>
      <c r="K1419" s="5"/>
    </row>
    <row r="1420" customFormat="false" ht="15" hidden="false" customHeight="false" outlineLevel="0" collapsed="false">
      <c r="A1420" s="5" t="str">
        <f aca="false">IF(I1420="","",J1420)</f>
        <v/>
      </c>
      <c r="B1420" s="83" t="str">
        <f aca="false">IF(I1420="","",INDEX(J_TGL,I1420))</f>
        <v/>
      </c>
      <c r="C1420" s="5" t="str">
        <f aca="false">IF(I1420="","",INDEX(J_NO,I1420))</f>
        <v/>
      </c>
      <c r="D1420" s="5" t="str">
        <f aca="false">IF(I1420="","",INDEX(J_KET,I1420))</f>
        <v/>
      </c>
      <c r="E1420" s="5" t="str">
        <f aca="false">IF(I1420="","",IF(INDEX(J_DEB,I1420)=$C$3,INDEX(J_KRE,I1420),INDEX(J_DEB,I1420)))</f>
        <v/>
      </c>
      <c r="F1420" s="44" t="str">
        <f aca="false">IF(I1420="","",IF(INDEX(J_DEB,I1420)=$C$3,INDEX(J_NOM,I1420),0))</f>
        <v/>
      </c>
      <c r="G1420" s="44" t="str">
        <f aca="false">IF(I1420="","",IF(INDEX(J_KRE,I1420)=$C$3,INDEX(J_NOM,I1420),0))</f>
        <v/>
      </c>
      <c r="H1420" s="44" t="str">
        <f aca="false">IF(I1420="","",N(H1419)+IF($C$5="Debet",F1420-G1420,G1420-F1420))</f>
        <v/>
      </c>
      <c r="I1420" s="66" t="str">
        <f aca="false">IF(J1420&gt;$K$1,"",IFERROR(MATCH(J1420,J_BB,0),""))</f>
        <v/>
      </c>
      <c r="J1420" s="66" t="n">
        <v>1411</v>
      </c>
      <c r="K1420" s="5"/>
    </row>
    <row r="1421" customFormat="false" ht="15" hidden="false" customHeight="false" outlineLevel="0" collapsed="false">
      <c r="A1421" s="5" t="str">
        <f aca="false">IF(I1421="","",J1421)</f>
        <v/>
      </c>
      <c r="B1421" s="83" t="str">
        <f aca="false">IF(I1421="","",INDEX(J_TGL,I1421))</f>
        <v/>
      </c>
      <c r="C1421" s="5" t="str">
        <f aca="false">IF(I1421="","",INDEX(J_NO,I1421))</f>
        <v/>
      </c>
      <c r="D1421" s="5" t="str">
        <f aca="false">IF(I1421="","",INDEX(J_KET,I1421))</f>
        <v/>
      </c>
      <c r="E1421" s="5" t="str">
        <f aca="false">IF(I1421="","",IF(INDEX(J_DEB,I1421)=$C$3,INDEX(J_KRE,I1421),INDEX(J_DEB,I1421)))</f>
        <v/>
      </c>
      <c r="F1421" s="44" t="str">
        <f aca="false">IF(I1421="","",IF(INDEX(J_DEB,I1421)=$C$3,INDEX(J_NOM,I1421),0))</f>
        <v/>
      </c>
      <c r="G1421" s="44" t="str">
        <f aca="false">IF(I1421="","",IF(INDEX(J_KRE,I1421)=$C$3,INDEX(J_NOM,I1421),0))</f>
        <v/>
      </c>
      <c r="H1421" s="44" t="str">
        <f aca="false">IF(I1421="","",N(H1420)+IF($C$5="Debet",F1421-G1421,G1421-F1421))</f>
        <v/>
      </c>
      <c r="I1421" s="66" t="str">
        <f aca="false">IF(J1421&gt;$K$1,"",IFERROR(MATCH(J1421,J_BB,0),""))</f>
        <v/>
      </c>
      <c r="J1421" s="66" t="n">
        <v>1412</v>
      </c>
      <c r="K1421" s="5"/>
    </row>
    <row r="1422" customFormat="false" ht="15" hidden="false" customHeight="false" outlineLevel="0" collapsed="false">
      <c r="A1422" s="5" t="str">
        <f aca="false">IF(I1422="","",J1422)</f>
        <v/>
      </c>
      <c r="B1422" s="83" t="str">
        <f aca="false">IF(I1422="","",INDEX(J_TGL,I1422))</f>
        <v/>
      </c>
      <c r="C1422" s="5" t="str">
        <f aca="false">IF(I1422="","",INDEX(J_NO,I1422))</f>
        <v/>
      </c>
      <c r="D1422" s="5" t="str">
        <f aca="false">IF(I1422="","",INDEX(J_KET,I1422))</f>
        <v/>
      </c>
      <c r="E1422" s="5" t="str">
        <f aca="false">IF(I1422="","",IF(INDEX(J_DEB,I1422)=$C$3,INDEX(J_KRE,I1422),INDEX(J_DEB,I1422)))</f>
        <v/>
      </c>
      <c r="F1422" s="44" t="str">
        <f aca="false">IF(I1422="","",IF(INDEX(J_DEB,I1422)=$C$3,INDEX(J_NOM,I1422),0))</f>
        <v/>
      </c>
      <c r="G1422" s="44" t="str">
        <f aca="false">IF(I1422="","",IF(INDEX(J_KRE,I1422)=$C$3,INDEX(J_NOM,I1422),0))</f>
        <v/>
      </c>
      <c r="H1422" s="44" t="str">
        <f aca="false">IF(I1422="","",N(H1421)+IF($C$5="Debet",F1422-G1422,G1422-F1422))</f>
        <v/>
      </c>
      <c r="I1422" s="66" t="str">
        <f aca="false">IF(J1422&gt;$K$1,"",IFERROR(MATCH(J1422,J_BB,0),""))</f>
        <v/>
      </c>
      <c r="J1422" s="66" t="n">
        <v>1413</v>
      </c>
      <c r="K1422" s="5"/>
    </row>
    <row r="1423" customFormat="false" ht="15" hidden="false" customHeight="false" outlineLevel="0" collapsed="false">
      <c r="A1423" s="5" t="str">
        <f aca="false">IF(I1423="","",J1423)</f>
        <v/>
      </c>
      <c r="B1423" s="83" t="str">
        <f aca="false">IF(I1423="","",INDEX(J_TGL,I1423))</f>
        <v/>
      </c>
      <c r="C1423" s="5" t="str">
        <f aca="false">IF(I1423="","",INDEX(J_NO,I1423))</f>
        <v/>
      </c>
      <c r="D1423" s="5" t="str">
        <f aca="false">IF(I1423="","",INDEX(J_KET,I1423))</f>
        <v/>
      </c>
      <c r="E1423" s="5" t="str">
        <f aca="false">IF(I1423="","",IF(INDEX(J_DEB,I1423)=$C$3,INDEX(J_KRE,I1423),INDEX(J_DEB,I1423)))</f>
        <v/>
      </c>
      <c r="F1423" s="44" t="str">
        <f aca="false">IF(I1423="","",IF(INDEX(J_DEB,I1423)=$C$3,INDEX(J_NOM,I1423),0))</f>
        <v/>
      </c>
      <c r="G1423" s="44" t="str">
        <f aca="false">IF(I1423="","",IF(INDEX(J_KRE,I1423)=$C$3,INDEX(J_NOM,I1423),0))</f>
        <v/>
      </c>
      <c r="H1423" s="44" t="str">
        <f aca="false">IF(I1423="","",N(H1422)+IF($C$5="Debet",F1423-G1423,G1423-F1423))</f>
        <v/>
      </c>
      <c r="I1423" s="66" t="str">
        <f aca="false">IF(J1423&gt;$K$1,"",IFERROR(MATCH(J1423,J_BB,0),""))</f>
        <v/>
      </c>
      <c r="J1423" s="66" t="n">
        <v>1414</v>
      </c>
      <c r="K1423" s="5"/>
    </row>
    <row r="1424" customFormat="false" ht="15" hidden="false" customHeight="false" outlineLevel="0" collapsed="false">
      <c r="A1424" s="5" t="str">
        <f aca="false">IF(I1424="","",J1424)</f>
        <v/>
      </c>
      <c r="B1424" s="83" t="str">
        <f aca="false">IF(I1424="","",INDEX(J_TGL,I1424))</f>
        <v/>
      </c>
      <c r="C1424" s="5" t="str">
        <f aca="false">IF(I1424="","",INDEX(J_NO,I1424))</f>
        <v/>
      </c>
      <c r="D1424" s="5" t="str">
        <f aca="false">IF(I1424="","",INDEX(J_KET,I1424))</f>
        <v/>
      </c>
      <c r="E1424" s="5" t="str">
        <f aca="false">IF(I1424="","",IF(INDEX(J_DEB,I1424)=$C$3,INDEX(J_KRE,I1424),INDEX(J_DEB,I1424)))</f>
        <v/>
      </c>
      <c r="F1424" s="44" t="str">
        <f aca="false">IF(I1424="","",IF(INDEX(J_DEB,I1424)=$C$3,INDEX(J_NOM,I1424),0))</f>
        <v/>
      </c>
      <c r="G1424" s="44" t="str">
        <f aca="false">IF(I1424="","",IF(INDEX(J_KRE,I1424)=$C$3,INDEX(J_NOM,I1424),0))</f>
        <v/>
      </c>
      <c r="H1424" s="44" t="str">
        <f aca="false">IF(I1424="","",N(H1423)+IF($C$5="Debet",F1424-G1424,G1424-F1424))</f>
        <v/>
      </c>
      <c r="I1424" s="66" t="str">
        <f aca="false">IF(J1424&gt;$K$1,"",IFERROR(MATCH(J1424,J_BB,0),""))</f>
        <v/>
      </c>
      <c r="J1424" s="66" t="n">
        <v>1415</v>
      </c>
      <c r="K1424" s="5"/>
    </row>
    <row r="1425" customFormat="false" ht="15" hidden="false" customHeight="false" outlineLevel="0" collapsed="false">
      <c r="A1425" s="5" t="str">
        <f aca="false">IF(I1425="","",J1425)</f>
        <v/>
      </c>
      <c r="B1425" s="83" t="str">
        <f aca="false">IF(I1425="","",INDEX(J_TGL,I1425))</f>
        <v/>
      </c>
      <c r="C1425" s="5" t="str">
        <f aca="false">IF(I1425="","",INDEX(J_NO,I1425))</f>
        <v/>
      </c>
      <c r="D1425" s="5" t="str">
        <f aca="false">IF(I1425="","",INDEX(J_KET,I1425))</f>
        <v/>
      </c>
      <c r="E1425" s="5" t="str">
        <f aca="false">IF(I1425="","",IF(INDEX(J_DEB,I1425)=$C$3,INDEX(J_KRE,I1425),INDEX(J_DEB,I1425)))</f>
        <v/>
      </c>
      <c r="F1425" s="44" t="str">
        <f aca="false">IF(I1425="","",IF(INDEX(J_DEB,I1425)=$C$3,INDEX(J_NOM,I1425),0))</f>
        <v/>
      </c>
      <c r="G1425" s="44" t="str">
        <f aca="false">IF(I1425="","",IF(INDEX(J_KRE,I1425)=$C$3,INDEX(J_NOM,I1425),0))</f>
        <v/>
      </c>
      <c r="H1425" s="44" t="str">
        <f aca="false">IF(I1425="","",N(H1424)+IF($C$5="Debet",F1425-G1425,G1425-F1425))</f>
        <v/>
      </c>
      <c r="I1425" s="66" t="str">
        <f aca="false">IF(J1425&gt;$K$1,"",IFERROR(MATCH(J1425,J_BB,0),""))</f>
        <v/>
      </c>
      <c r="J1425" s="66" t="n">
        <v>1416</v>
      </c>
      <c r="K1425" s="5"/>
    </row>
    <row r="1426" customFormat="false" ht="15" hidden="false" customHeight="false" outlineLevel="0" collapsed="false">
      <c r="A1426" s="5" t="str">
        <f aca="false">IF(I1426="","",J1426)</f>
        <v/>
      </c>
      <c r="B1426" s="83" t="str">
        <f aca="false">IF(I1426="","",INDEX(J_TGL,I1426))</f>
        <v/>
      </c>
      <c r="C1426" s="5" t="str">
        <f aca="false">IF(I1426="","",INDEX(J_NO,I1426))</f>
        <v/>
      </c>
      <c r="D1426" s="5" t="str">
        <f aca="false">IF(I1426="","",INDEX(J_KET,I1426))</f>
        <v/>
      </c>
      <c r="E1426" s="5" t="str">
        <f aca="false">IF(I1426="","",IF(INDEX(J_DEB,I1426)=$C$3,INDEX(J_KRE,I1426),INDEX(J_DEB,I1426)))</f>
        <v/>
      </c>
      <c r="F1426" s="44" t="str">
        <f aca="false">IF(I1426="","",IF(INDEX(J_DEB,I1426)=$C$3,INDEX(J_NOM,I1426),0))</f>
        <v/>
      </c>
      <c r="G1426" s="44" t="str">
        <f aca="false">IF(I1426="","",IF(INDEX(J_KRE,I1426)=$C$3,INDEX(J_NOM,I1426),0))</f>
        <v/>
      </c>
      <c r="H1426" s="44" t="str">
        <f aca="false">IF(I1426="","",N(H1425)+IF($C$5="Debet",F1426-G1426,G1426-F1426))</f>
        <v/>
      </c>
      <c r="I1426" s="66" t="str">
        <f aca="false">IF(J1426&gt;$K$1,"",IFERROR(MATCH(J1426,J_BB,0),""))</f>
        <v/>
      </c>
      <c r="J1426" s="66" t="n">
        <v>1417</v>
      </c>
      <c r="K1426" s="5"/>
    </row>
    <row r="1427" customFormat="false" ht="15" hidden="false" customHeight="false" outlineLevel="0" collapsed="false">
      <c r="A1427" s="5" t="str">
        <f aca="false">IF(I1427="","",J1427)</f>
        <v/>
      </c>
      <c r="B1427" s="83" t="str">
        <f aca="false">IF(I1427="","",INDEX(J_TGL,I1427))</f>
        <v/>
      </c>
      <c r="C1427" s="5" t="str">
        <f aca="false">IF(I1427="","",INDEX(J_NO,I1427))</f>
        <v/>
      </c>
      <c r="D1427" s="5" t="str">
        <f aca="false">IF(I1427="","",INDEX(J_KET,I1427))</f>
        <v/>
      </c>
      <c r="E1427" s="5" t="str">
        <f aca="false">IF(I1427="","",IF(INDEX(J_DEB,I1427)=$C$3,INDEX(J_KRE,I1427),INDEX(J_DEB,I1427)))</f>
        <v/>
      </c>
      <c r="F1427" s="44" t="str">
        <f aca="false">IF(I1427="","",IF(INDEX(J_DEB,I1427)=$C$3,INDEX(J_NOM,I1427),0))</f>
        <v/>
      </c>
      <c r="G1427" s="44" t="str">
        <f aca="false">IF(I1427="","",IF(INDEX(J_KRE,I1427)=$C$3,INDEX(J_NOM,I1427),0))</f>
        <v/>
      </c>
      <c r="H1427" s="44" t="str">
        <f aca="false">IF(I1427="","",N(H1426)+IF($C$5="Debet",F1427-G1427,G1427-F1427))</f>
        <v/>
      </c>
      <c r="I1427" s="66" t="str">
        <f aca="false">IF(J1427&gt;$K$1,"",IFERROR(MATCH(J1427,J_BB,0),""))</f>
        <v/>
      </c>
      <c r="J1427" s="66" t="n">
        <v>1418</v>
      </c>
      <c r="K1427" s="5"/>
    </row>
    <row r="1428" customFormat="false" ht="15" hidden="false" customHeight="false" outlineLevel="0" collapsed="false">
      <c r="A1428" s="5" t="str">
        <f aca="false">IF(I1428="","",J1428)</f>
        <v/>
      </c>
      <c r="B1428" s="83" t="str">
        <f aca="false">IF(I1428="","",INDEX(J_TGL,I1428))</f>
        <v/>
      </c>
      <c r="C1428" s="5" t="str">
        <f aca="false">IF(I1428="","",INDEX(J_NO,I1428))</f>
        <v/>
      </c>
      <c r="D1428" s="5" t="str">
        <f aca="false">IF(I1428="","",INDEX(J_KET,I1428))</f>
        <v/>
      </c>
      <c r="E1428" s="5" t="str">
        <f aca="false">IF(I1428="","",IF(INDEX(J_DEB,I1428)=$C$3,INDEX(J_KRE,I1428),INDEX(J_DEB,I1428)))</f>
        <v/>
      </c>
      <c r="F1428" s="44" t="str">
        <f aca="false">IF(I1428="","",IF(INDEX(J_DEB,I1428)=$C$3,INDEX(J_NOM,I1428),0))</f>
        <v/>
      </c>
      <c r="G1428" s="44" t="str">
        <f aca="false">IF(I1428="","",IF(INDEX(J_KRE,I1428)=$C$3,INDEX(J_NOM,I1428),0))</f>
        <v/>
      </c>
      <c r="H1428" s="44" t="str">
        <f aca="false">IF(I1428="","",N(H1427)+IF($C$5="Debet",F1428-G1428,G1428-F1428))</f>
        <v/>
      </c>
      <c r="I1428" s="66" t="str">
        <f aca="false">IF(J1428&gt;$K$1,"",IFERROR(MATCH(J1428,J_BB,0),""))</f>
        <v/>
      </c>
      <c r="J1428" s="66" t="n">
        <v>1419</v>
      </c>
      <c r="K1428" s="5"/>
    </row>
    <row r="1429" customFormat="false" ht="15" hidden="false" customHeight="false" outlineLevel="0" collapsed="false">
      <c r="A1429" s="5" t="str">
        <f aca="false">IF(I1429="","",J1429)</f>
        <v/>
      </c>
      <c r="B1429" s="83" t="str">
        <f aca="false">IF(I1429="","",INDEX(J_TGL,I1429))</f>
        <v/>
      </c>
      <c r="C1429" s="5" t="str">
        <f aca="false">IF(I1429="","",INDEX(J_NO,I1429))</f>
        <v/>
      </c>
      <c r="D1429" s="5" t="str">
        <f aca="false">IF(I1429="","",INDEX(J_KET,I1429))</f>
        <v/>
      </c>
      <c r="E1429" s="5" t="str">
        <f aca="false">IF(I1429="","",IF(INDEX(J_DEB,I1429)=$C$3,INDEX(J_KRE,I1429),INDEX(J_DEB,I1429)))</f>
        <v/>
      </c>
      <c r="F1429" s="44" t="str">
        <f aca="false">IF(I1429="","",IF(INDEX(J_DEB,I1429)=$C$3,INDEX(J_NOM,I1429),0))</f>
        <v/>
      </c>
      <c r="G1429" s="44" t="str">
        <f aca="false">IF(I1429="","",IF(INDEX(J_KRE,I1429)=$C$3,INDEX(J_NOM,I1429),0))</f>
        <v/>
      </c>
      <c r="H1429" s="44" t="str">
        <f aca="false">IF(I1429="","",N(H1428)+IF($C$5="Debet",F1429-G1429,G1429-F1429))</f>
        <v/>
      </c>
      <c r="I1429" s="66" t="str">
        <f aca="false">IF(J1429&gt;$K$1,"",IFERROR(MATCH(J1429,J_BB,0),""))</f>
        <v/>
      </c>
      <c r="J1429" s="66" t="n">
        <v>1420</v>
      </c>
      <c r="K1429" s="5"/>
    </row>
    <row r="1430" customFormat="false" ht="15" hidden="false" customHeight="false" outlineLevel="0" collapsed="false">
      <c r="A1430" s="5" t="str">
        <f aca="false">IF(I1430="","",J1430)</f>
        <v/>
      </c>
      <c r="B1430" s="83" t="str">
        <f aca="false">IF(I1430="","",INDEX(J_TGL,I1430))</f>
        <v/>
      </c>
      <c r="C1430" s="5" t="str">
        <f aca="false">IF(I1430="","",INDEX(J_NO,I1430))</f>
        <v/>
      </c>
      <c r="D1430" s="5" t="str">
        <f aca="false">IF(I1430="","",INDEX(J_KET,I1430))</f>
        <v/>
      </c>
      <c r="E1430" s="5" t="str">
        <f aca="false">IF(I1430="","",IF(INDEX(J_DEB,I1430)=$C$3,INDEX(J_KRE,I1430),INDEX(J_DEB,I1430)))</f>
        <v/>
      </c>
      <c r="F1430" s="44" t="str">
        <f aca="false">IF(I1430="","",IF(INDEX(J_DEB,I1430)=$C$3,INDEX(J_NOM,I1430),0))</f>
        <v/>
      </c>
      <c r="G1430" s="44" t="str">
        <f aca="false">IF(I1430="","",IF(INDEX(J_KRE,I1430)=$C$3,INDEX(J_NOM,I1430),0))</f>
        <v/>
      </c>
      <c r="H1430" s="44" t="str">
        <f aca="false">IF(I1430="","",N(H1429)+IF($C$5="Debet",F1430-G1430,G1430-F1430))</f>
        <v/>
      </c>
      <c r="I1430" s="66" t="str">
        <f aca="false">IF(J1430&gt;$K$1,"",IFERROR(MATCH(J1430,J_BB,0),""))</f>
        <v/>
      </c>
      <c r="J1430" s="66" t="n">
        <v>1421</v>
      </c>
      <c r="K1430" s="5"/>
    </row>
    <row r="1431" customFormat="false" ht="15" hidden="false" customHeight="false" outlineLevel="0" collapsed="false">
      <c r="A1431" s="5" t="str">
        <f aca="false">IF(I1431="","",J1431)</f>
        <v/>
      </c>
      <c r="B1431" s="83" t="str">
        <f aca="false">IF(I1431="","",INDEX(J_TGL,I1431))</f>
        <v/>
      </c>
      <c r="C1431" s="5" t="str">
        <f aca="false">IF(I1431="","",INDEX(J_NO,I1431))</f>
        <v/>
      </c>
      <c r="D1431" s="5" t="str">
        <f aca="false">IF(I1431="","",INDEX(J_KET,I1431))</f>
        <v/>
      </c>
      <c r="E1431" s="5" t="str">
        <f aca="false">IF(I1431="","",IF(INDEX(J_DEB,I1431)=$C$3,INDEX(J_KRE,I1431),INDEX(J_DEB,I1431)))</f>
        <v/>
      </c>
      <c r="F1431" s="44" t="str">
        <f aca="false">IF(I1431="","",IF(INDEX(J_DEB,I1431)=$C$3,INDEX(J_NOM,I1431),0))</f>
        <v/>
      </c>
      <c r="G1431" s="44" t="str">
        <f aca="false">IF(I1431="","",IF(INDEX(J_KRE,I1431)=$C$3,INDEX(J_NOM,I1431),0))</f>
        <v/>
      </c>
      <c r="H1431" s="44" t="str">
        <f aca="false">IF(I1431="","",N(H1430)+IF($C$5="Debet",F1431-G1431,G1431-F1431))</f>
        <v/>
      </c>
      <c r="I1431" s="66" t="str">
        <f aca="false">IF(J1431&gt;$K$1,"",IFERROR(MATCH(J1431,J_BB,0),""))</f>
        <v/>
      </c>
      <c r="J1431" s="66" t="n">
        <v>1422</v>
      </c>
      <c r="K1431" s="5"/>
    </row>
    <row r="1432" customFormat="false" ht="15" hidden="false" customHeight="false" outlineLevel="0" collapsed="false">
      <c r="A1432" s="5" t="str">
        <f aca="false">IF(I1432="","",J1432)</f>
        <v/>
      </c>
      <c r="B1432" s="83" t="str">
        <f aca="false">IF(I1432="","",INDEX(J_TGL,I1432))</f>
        <v/>
      </c>
      <c r="C1432" s="5" t="str">
        <f aca="false">IF(I1432="","",INDEX(J_NO,I1432))</f>
        <v/>
      </c>
      <c r="D1432" s="5" t="str">
        <f aca="false">IF(I1432="","",INDEX(J_KET,I1432))</f>
        <v/>
      </c>
      <c r="E1432" s="5" t="str">
        <f aca="false">IF(I1432="","",IF(INDEX(J_DEB,I1432)=$C$3,INDEX(J_KRE,I1432),INDEX(J_DEB,I1432)))</f>
        <v/>
      </c>
      <c r="F1432" s="44" t="str">
        <f aca="false">IF(I1432="","",IF(INDEX(J_DEB,I1432)=$C$3,INDEX(J_NOM,I1432),0))</f>
        <v/>
      </c>
      <c r="G1432" s="44" t="str">
        <f aca="false">IF(I1432="","",IF(INDEX(J_KRE,I1432)=$C$3,INDEX(J_NOM,I1432),0))</f>
        <v/>
      </c>
      <c r="H1432" s="44" t="str">
        <f aca="false">IF(I1432="","",N(H1431)+IF($C$5="Debet",F1432-G1432,G1432-F1432))</f>
        <v/>
      </c>
      <c r="I1432" s="66" t="str">
        <f aca="false">IF(J1432&gt;$K$1,"",IFERROR(MATCH(J1432,J_BB,0),""))</f>
        <v/>
      </c>
      <c r="J1432" s="66" t="n">
        <v>1423</v>
      </c>
      <c r="K1432" s="5"/>
    </row>
    <row r="1433" customFormat="false" ht="15" hidden="false" customHeight="false" outlineLevel="0" collapsed="false">
      <c r="A1433" s="5" t="str">
        <f aca="false">IF(I1433="","",J1433)</f>
        <v/>
      </c>
      <c r="B1433" s="83" t="str">
        <f aca="false">IF(I1433="","",INDEX(J_TGL,I1433))</f>
        <v/>
      </c>
      <c r="C1433" s="5" t="str">
        <f aca="false">IF(I1433="","",INDEX(J_NO,I1433))</f>
        <v/>
      </c>
      <c r="D1433" s="5" t="str">
        <f aca="false">IF(I1433="","",INDEX(J_KET,I1433))</f>
        <v/>
      </c>
      <c r="E1433" s="5" t="str">
        <f aca="false">IF(I1433="","",IF(INDEX(J_DEB,I1433)=$C$3,INDEX(J_KRE,I1433),INDEX(J_DEB,I1433)))</f>
        <v/>
      </c>
      <c r="F1433" s="44" t="str">
        <f aca="false">IF(I1433="","",IF(INDEX(J_DEB,I1433)=$C$3,INDEX(J_NOM,I1433),0))</f>
        <v/>
      </c>
      <c r="G1433" s="44" t="str">
        <f aca="false">IF(I1433="","",IF(INDEX(J_KRE,I1433)=$C$3,INDEX(J_NOM,I1433),0))</f>
        <v/>
      </c>
      <c r="H1433" s="44" t="str">
        <f aca="false">IF(I1433="","",N(H1432)+IF($C$5="Debet",F1433-G1433,G1433-F1433))</f>
        <v/>
      </c>
      <c r="I1433" s="66" t="str">
        <f aca="false">IF(J1433&gt;$K$1,"",IFERROR(MATCH(J1433,J_BB,0),""))</f>
        <v/>
      </c>
      <c r="J1433" s="66" t="n">
        <v>1424</v>
      </c>
      <c r="K1433" s="5"/>
    </row>
    <row r="1434" customFormat="false" ht="15" hidden="false" customHeight="false" outlineLevel="0" collapsed="false">
      <c r="A1434" s="5" t="str">
        <f aca="false">IF(I1434="","",J1434)</f>
        <v/>
      </c>
      <c r="B1434" s="83" t="str">
        <f aca="false">IF(I1434="","",INDEX(J_TGL,I1434))</f>
        <v/>
      </c>
      <c r="C1434" s="5" t="str">
        <f aca="false">IF(I1434="","",INDEX(J_NO,I1434))</f>
        <v/>
      </c>
      <c r="D1434" s="5" t="str">
        <f aca="false">IF(I1434="","",INDEX(J_KET,I1434))</f>
        <v/>
      </c>
      <c r="E1434" s="5" t="str">
        <f aca="false">IF(I1434="","",IF(INDEX(J_DEB,I1434)=$C$3,INDEX(J_KRE,I1434),INDEX(J_DEB,I1434)))</f>
        <v/>
      </c>
      <c r="F1434" s="44" t="str">
        <f aca="false">IF(I1434="","",IF(INDEX(J_DEB,I1434)=$C$3,INDEX(J_NOM,I1434),0))</f>
        <v/>
      </c>
      <c r="G1434" s="44" t="str">
        <f aca="false">IF(I1434="","",IF(INDEX(J_KRE,I1434)=$C$3,INDEX(J_NOM,I1434),0))</f>
        <v/>
      </c>
      <c r="H1434" s="44" t="str">
        <f aca="false">IF(I1434="","",N(H1433)+IF($C$5="Debet",F1434-G1434,G1434-F1434))</f>
        <v/>
      </c>
      <c r="I1434" s="66" t="str">
        <f aca="false">IF(J1434&gt;$K$1,"",IFERROR(MATCH(J1434,J_BB,0),""))</f>
        <v/>
      </c>
      <c r="J1434" s="66" t="n">
        <v>1425</v>
      </c>
      <c r="K1434" s="5"/>
    </row>
    <row r="1435" customFormat="false" ht="15" hidden="false" customHeight="false" outlineLevel="0" collapsed="false">
      <c r="A1435" s="5" t="str">
        <f aca="false">IF(I1435="","",J1435)</f>
        <v/>
      </c>
      <c r="B1435" s="83" t="str">
        <f aca="false">IF(I1435="","",INDEX(J_TGL,I1435))</f>
        <v/>
      </c>
      <c r="C1435" s="5" t="str">
        <f aca="false">IF(I1435="","",INDEX(J_NO,I1435))</f>
        <v/>
      </c>
      <c r="D1435" s="5" t="str">
        <f aca="false">IF(I1435="","",INDEX(J_KET,I1435))</f>
        <v/>
      </c>
      <c r="E1435" s="5" t="str">
        <f aca="false">IF(I1435="","",IF(INDEX(J_DEB,I1435)=$C$3,INDEX(J_KRE,I1435),INDEX(J_DEB,I1435)))</f>
        <v/>
      </c>
      <c r="F1435" s="44" t="str">
        <f aca="false">IF(I1435="","",IF(INDEX(J_DEB,I1435)=$C$3,INDEX(J_NOM,I1435),0))</f>
        <v/>
      </c>
      <c r="G1435" s="44" t="str">
        <f aca="false">IF(I1435="","",IF(INDEX(J_KRE,I1435)=$C$3,INDEX(J_NOM,I1435),0))</f>
        <v/>
      </c>
      <c r="H1435" s="44" t="str">
        <f aca="false">IF(I1435="","",N(H1434)+IF($C$5="Debet",F1435-G1435,G1435-F1435))</f>
        <v/>
      </c>
      <c r="I1435" s="66" t="str">
        <f aca="false">IF(J1435&gt;$K$1,"",IFERROR(MATCH(J1435,J_BB,0),""))</f>
        <v/>
      </c>
      <c r="J1435" s="66" t="n">
        <v>1426</v>
      </c>
      <c r="K1435" s="5"/>
    </row>
    <row r="1436" customFormat="false" ht="15" hidden="false" customHeight="false" outlineLevel="0" collapsed="false">
      <c r="A1436" s="5" t="str">
        <f aca="false">IF(I1436="","",J1436)</f>
        <v/>
      </c>
      <c r="B1436" s="83" t="str">
        <f aca="false">IF(I1436="","",INDEX(J_TGL,I1436))</f>
        <v/>
      </c>
      <c r="C1436" s="5" t="str">
        <f aca="false">IF(I1436="","",INDEX(J_NO,I1436))</f>
        <v/>
      </c>
      <c r="D1436" s="5" t="str">
        <f aca="false">IF(I1436="","",INDEX(J_KET,I1436))</f>
        <v/>
      </c>
      <c r="E1436" s="5" t="str">
        <f aca="false">IF(I1436="","",IF(INDEX(J_DEB,I1436)=$C$3,INDEX(J_KRE,I1436),INDEX(J_DEB,I1436)))</f>
        <v/>
      </c>
      <c r="F1436" s="44" t="str">
        <f aca="false">IF(I1436="","",IF(INDEX(J_DEB,I1436)=$C$3,INDEX(J_NOM,I1436),0))</f>
        <v/>
      </c>
      <c r="G1436" s="44" t="str">
        <f aca="false">IF(I1436="","",IF(INDEX(J_KRE,I1436)=$C$3,INDEX(J_NOM,I1436),0))</f>
        <v/>
      </c>
      <c r="H1436" s="44" t="str">
        <f aca="false">IF(I1436="","",N(H1435)+IF($C$5="Debet",F1436-G1436,G1436-F1436))</f>
        <v/>
      </c>
      <c r="I1436" s="66" t="str">
        <f aca="false">IF(J1436&gt;$K$1,"",IFERROR(MATCH(J1436,J_BB,0),""))</f>
        <v/>
      </c>
      <c r="J1436" s="66" t="n">
        <v>1427</v>
      </c>
      <c r="K1436" s="5"/>
    </row>
    <row r="1437" customFormat="false" ht="15" hidden="false" customHeight="false" outlineLevel="0" collapsed="false">
      <c r="A1437" s="5" t="str">
        <f aca="false">IF(I1437="","",J1437)</f>
        <v/>
      </c>
      <c r="B1437" s="83" t="str">
        <f aca="false">IF(I1437="","",INDEX(J_TGL,I1437))</f>
        <v/>
      </c>
      <c r="C1437" s="5" t="str">
        <f aca="false">IF(I1437="","",INDEX(J_NO,I1437))</f>
        <v/>
      </c>
      <c r="D1437" s="5" t="str">
        <f aca="false">IF(I1437="","",INDEX(J_KET,I1437))</f>
        <v/>
      </c>
      <c r="E1437" s="5" t="str">
        <f aca="false">IF(I1437="","",IF(INDEX(J_DEB,I1437)=$C$3,INDEX(J_KRE,I1437),INDEX(J_DEB,I1437)))</f>
        <v/>
      </c>
      <c r="F1437" s="44" t="str">
        <f aca="false">IF(I1437="","",IF(INDEX(J_DEB,I1437)=$C$3,INDEX(J_NOM,I1437),0))</f>
        <v/>
      </c>
      <c r="G1437" s="44" t="str">
        <f aca="false">IF(I1437="","",IF(INDEX(J_KRE,I1437)=$C$3,INDEX(J_NOM,I1437),0))</f>
        <v/>
      </c>
      <c r="H1437" s="44" t="str">
        <f aca="false">IF(I1437="","",N(H1436)+IF($C$5="Debet",F1437-G1437,G1437-F1437))</f>
        <v/>
      </c>
      <c r="I1437" s="66" t="str">
        <f aca="false">IF(J1437&gt;$K$1,"",IFERROR(MATCH(J1437,J_BB,0),""))</f>
        <v/>
      </c>
      <c r="J1437" s="66" t="n">
        <v>1428</v>
      </c>
      <c r="K1437" s="5"/>
    </row>
    <row r="1438" customFormat="false" ht="15" hidden="false" customHeight="false" outlineLevel="0" collapsed="false">
      <c r="A1438" s="5" t="str">
        <f aca="false">IF(I1438="","",J1438)</f>
        <v/>
      </c>
      <c r="B1438" s="83" t="str">
        <f aca="false">IF(I1438="","",INDEX(J_TGL,I1438))</f>
        <v/>
      </c>
      <c r="C1438" s="5" t="str">
        <f aca="false">IF(I1438="","",INDEX(J_NO,I1438))</f>
        <v/>
      </c>
      <c r="D1438" s="5" t="str">
        <f aca="false">IF(I1438="","",INDEX(J_KET,I1438))</f>
        <v/>
      </c>
      <c r="E1438" s="5" t="str">
        <f aca="false">IF(I1438="","",IF(INDEX(J_DEB,I1438)=$C$3,INDEX(J_KRE,I1438),INDEX(J_DEB,I1438)))</f>
        <v/>
      </c>
      <c r="F1438" s="44" t="str">
        <f aca="false">IF(I1438="","",IF(INDEX(J_DEB,I1438)=$C$3,INDEX(J_NOM,I1438),0))</f>
        <v/>
      </c>
      <c r="G1438" s="44" t="str">
        <f aca="false">IF(I1438="","",IF(INDEX(J_KRE,I1438)=$C$3,INDEX(J_NOM,I1438),0))</f>
        <v/>
      </c>
      <c r="H1438" s="44" t="str">
        <f aca="false">IF(I1438="","",N(H1437)+IF($C$5="Debet",F1438-G1438,G1438-F1438))</f>
        <v/>
      </c>
      <c r="I1438" s="66" t="str">
        <f aca="false">IF(J1438&gt;$K$1,"",IFERROR(MATCH(J1438,J_BB,0),""))</f>
        <v/>
      </c>
      <c r="J1438" s="66" t="n">
        <v>1429</v>
      </c>
      <c r="K1438" s="5"/>
    </row>
    <row r="1439" customFormat="false" ht="15" hidden="false" customHeight="false" outlineLevel="0" collapsed="false">
      <c r="A1439" s="5" t="str">
        <f aca="false">IF(I1439="","",J1439)</f>
        <v/>
      </c>
      <c r="B1439" s="83" t="str">
        <f aca="false">IF(I1439="","",INDEX(J_TGL,I1439))</f>
        <v/>
      </c>
      <c r="C1439" s="5" t="str">
        <f aca="false">IF(I1439="","",INDEX(J_NO,I1439))</f>
        <v/>
      </c>
      <c r="D1439" s="5" t="str">
        <f aca="false">IF(I1439="","",INDEX(J_KET,I1439))</f>
        <v/>
      </c>
      <c r="E1439" s="5" t="str">
        <f aca="false">IF(I1439="","",IF(INDEX(J_DEB,I1439)=$C$3,INDEX(J_KRE,I1439),INDEX(J_DEB,I1439)))</f>
        <v/>
      </c>
      <c r="F1439" s="44" t="str">
        <f aca="false">IF(I1439="","",IF(INDEX(J_DEB,I1439)=$C$3,INDEX(J_NOM,I1439),0))</f>
        <v/>
      </c>
      <c r="G1439" s="44" t="str">
        <f aca="false">IF(I1439="","",IF(INDEX(J_KRE,I1439)=$C$3,INDEX(J_NOM,I1439),0))</f>
        <v/>
      </c>
      <c r="H1439" s="44" t="str">
        <f aca="false">IF(I1439="","",N(H1438)+IF($C$5="Debet",F1439-G1439,G1439-F1439))</f>
        <v/>
      </c>
      <c r="I1439" s="66" t="str">
        <f aca="false">IF(J1439&gt;$K$1,"",IFERROR(MATCH(J1439,J_BB,0),""))</f>
        <v/>
      </c>
      <c r="J1439" s="66" t="n">
        <v>1430</v>
      </c>
      <c r="K1439" s="5"/>
    </row>
    <row r="1440" customFormat="false" ht="15" hidden="false" customHeight="false" outlineLevel="0" collapsed="false">
      <c r="A1440" s="5" t="str">
        <f aca="false">IF(I1440="","",J1440)</f>
        <v/>
      </c>
      <c r="B1440" s="83" t="str">
        <f aca="false">IF(I1440="","",INDEX(J_TGL,I1440))</f>
        <v/>
      </c>
      <c r="C1440" s="5" t="str">
        <f aca="false">IF(I1440="","",INDEX(J_NO,I1440))</f>
        <v/>
      </c>
      <c r="D1440" s="5" t="str">
        <f aca="false">IF(I1440="","",INDEX(J_KET,I1440))</f>
        <v/>
      </c>
      <c r="E1440" s="5" t="str">
        <f aca="false">IF(I1440="","",IF(INDEX(J_DEB,I1440)=$C$3,INDEX(J_KRE,I1440),INDEX(J_DEB,I1440)))</f>
        <v/>
      </c>
      <c r="F1440" s="44" t="str">
        <f aca="false">IF(I1440="","",IF(INDEX(J_DEB,I1440)=$C$3,INDEX(J_NOM,I1440),0))</f>
        <v/>
      </c>
      <c r="G1440" s="44" t="str">
        <f aca="false">IF(I1440="","",IF(INDEX(J_KRE,I1440)=$C$3,INDEX(J_NOM,I1440),0))</f>
        <v/>
      </c>
      <c r="H1440" s="44" t="str">
        <f aca="false">IF(I1440="","",N(H1439)+IF($C$5="Debet",F1440-G1440,G1440-F1440))</f>
        <v/>
      </c>
      <c r="I1440" s="66" t="str">
        <f aca="false">IF(J1440&gt;$K$1,"",IFERROR(MATCH(J1440,J_BB,0),""))</f>
        <v/>
      </c>
      <c r="J1440" s="66" t="n">
        <v>1431</v>
      </c>
      <c r="K1440" s="5"/>
    </row>
    <row r="1441" customFormat="false" ht="15" hidden="false" customHeight="false" outlineLevel="0" collapsed="false">
      <c r="A1441" s="5" t="str">
        <f aca="false">IF(I1441="","",J1441)</f>
        <v/>
      </c>
      <c r="B1441" s="83" t="str">
        <f aca="false">IF(I1441="","",INDEX(J_TGL,I1441))</f>
        <v/>
      </c>
      <c r="C1441" s="5" t="str">
        <f aca="false">IF(I1441="","",INDEX(J_NO,I1441))</f>
        <v/>
      </c>
      <c r="D1441" s="5" t="str">
        <f aca="false">IF(I1441="","",INDEX(J_KET,I1441))</f>
        <v/>
      </c>
      <c r="E1441" s="5" t="str">
        <f aca="false">IF(I1441="","",IF(INDEX(J_DEB,I1441)=$C$3,INDEX(J_KRE,I1441),INDEX(J_DEB,I1441)))</f>
        <v/>
      </c>
      <c r="F1441" s="44" t="str">
        <f aca="false">IF(I1441="","",IF(INDEX(J_DEB,I1441)=$C$3,INDEX(J_NOM,I1441),0))</f>
        <v/>
      </c>
      <c r="G1441" s="44" t="str">
        <f aca="false">IF(I1441="","",IF(INDEX(J_KRE,I1441)=$C$3,INDEX(J_NOM,I1441),0))</f>
        <v/>
      </c>
      <c r="H1441" s="44" t="str">
        <f aca="false">IF(I1441="","",N(H1440)+IF($C$5="Debet",F1441-G1441,G1441-F1441))</f>
        <v/>
      </c>
      <c r="I1441" s="66" t="str">
        <f aca="false">IF(J1441&gt;$K$1,"",IFERROR(MATCH(J1441,J_BB,0),""))</f>
        <v/>
      </c>
      <c r="J1441" s="66" t="n">
        <v>1432</v>
      </c>
      <c r="K1441" s="5"/>
    </row>
    <row r="1442" customFormat="false" ht="15" hidden="false" customHeight="false" outlineLevel="0" collapsed="false">
      <c r="A1442" s="5" t="str">
        <f aca="false">IF(I1442="","",J1442)</f>
        <v/>
      </c>
      <c r="B1442" s="83" t="str">
        <f aca="false">IF(I1442="","",INDEX(J_TGL,I1442))</f>
        <v/>
      </c>
      <c r="C1442" s="5" t="str">
        <f aca="false">IF(I1442="","",INDEX(J_NO,I1442))</f>
        <v/>
      </c>
      <c r="D1442" s="5" t="str">
        <f aca="false">IF(I1442="","",INDEX(J_KET,I1442))</f>
        <v/>
      </c>
      <c r="E1442" s="5" t="str">
        <f aca="false">IF(I1442="","",IF(INDEX(J_DEB,I1442)=$C$3,INDEX(J_KRE,I1442),INDEX(J_DEB,I1442)))</f>
        <v/>
      </c>
      <c r="F1442" s="44" t="str">
        <f aca="false">IF(I1442="","",IF(INDEX(J_DEB,I1442)=$C$3,INDEX(J_NOM,I1442),0))</f>
        <v/>
      </c>
      <c r="G1442" s="44" t="str">
        <f aca="false">IF(I1442="","",IF(INDEX(J_KRE,I1442)=$C$3,INDEX(J_NOM,I1442),0))</f>
        <v/>
      </c>
      <c r="H1442" s="44" t="str">
        <f aca="false">IF(I1442="","",N(H1441)+IF($C$5="Debet",F1442-G1442,G1442-F1442))</f>
        <v/>
      </c>
      <c r="I1442" s="66" t="str">
        <f aca="false">IF(J1442&gt;$K$1,"",IFERROR(MATCH(J1442,J_BB,0),""))</f>
        <v/>
      </c>
      <c r="J1442" s="66" t="n">
        <v>1433</v>
      </c>
      <c r="K1442" s="5"/>
    </row>
    <row r="1443" customFormat="false" ht="15" hidden="false" customHeight="false" outlineLevel="0" collapsed="false">
      <c r="A1443" s="5" t="str">
        <f aca="false">IF(I1443="","",J1443)</f>
        <v/>
      </c>
      <c r="B1443" s="83" t="str">
        <f aca="false">IF(I1443="","",INDEX(J_TGL,I1443))</f>
        <v/>
      </c>
      <c r="C1443" s="5" t="str">
        <f aca="false">IF(I1443="","",INDEX(J_NO,I1443))</f>
        <v/>
      </c>
      <c r="D1443" s="5" t="str">
        <f aca="false">IF(I1443="","",INDEX(J_KET,I1443))</f>
        <v/>
      </c>
      <c r="E1443" s="5" t="str">
        <f aca="false">IF(I1443="","",IF(INDEX(J_DEB,I1443)=$C$3,INDEX(J_KRE,I1443),INDEX(J_DEB,I1443)))</f>
        <v/>
      </c>
      <c r="F1443" s="44" t="str">
        <f aca="false">IF(I1443="","",IF(INDEX(J_DEB,I1443)=$C$3,INDEX(J_NOM,I1443),0))</f>
        <v/>
      </c>
      <c r="G1443" s="44" t="str">
        <f aca="false">IF(I1443="","",IF(INDEX(J_KRE,I1443)=$C$3,INDEX(J_NOM,I1443),0))</f>
        <v/>
      </c>
      <c r="H1443" s="44" t="str">
        <f aca="false">IF(I1443="","",N(H1442)+IF($C$5="Debet",F1443-G1443,G1443-F1443))</f>
        <v/>
      </c>
      <c r="I1443" s="66" t="str">
        <f aca="false">IF(J1443&gt;$K$1,"",IFERROR(MATCH(J1443,J_BB,0),""))</f>
        <v/>
      </c>
      <c r="J1443" s="66" t="n">
        <v>1434</v>
      </c>
      <c r="K1443" s="5"/>
    </row>
    <row r="1444" customFormat="false" ht="15" hidden="false" customHeight="false" outlineLevel="0" collapsed="false">
      <c r="A1444" s="5" t="str">
        <f aca="false">IF(I1444="","",J1444)</f>
        <v/>
      </c>
      <c r="B1444" s="83" t="str">
        <f aca="false">IF(I1444="","",INDEX(J_TGL,I1444))</f>
        <v/>
      </c>
      <c r="C1444" s="5" t="str">
        <f aca="false">IF(I1444="","",INDEX(J_NO,I1444))</f>
        <v/>
      </c>
      <c r="D1444" s="5" t="str">
        <f aca="false">IF(I1444="","",INDEX(J_KET,I1444))</f>
        <v/>
      </c>
      <c r="E1444" s="5" t="str">
        <f aca="false">IF(I1444="","",IF(INDEX(J_DEB,I1444)=$C$3,INDEX(J_KRE,I1444),INDEX(J_DEB,I1444)))</f>
        <v/>
      </c>
      <c r="F1444" s="44" t="str">
        <f aca="false">IF(I1444="","",IF(INDEX(J_DEB,I1444)=$C$3,INDEX(J_NOM,I1444),0))</f>
        <v/>
      </c>
      <c r="G1444" s="44" t="str">
        <f aca="false">IF(I1444="","",IF(INDEX(J_KRE,I1444)=$C$3,INDEX(J_NOM,I1444),0))</f>
        <v/>
      </c>
      <c r="H1444" s="44" t="str">
        <f aca="false">IF(I1444="","",N(H1443)+IF($C$5="Debet",F1444-G1444,G1444-F1444))</f>
        <v/>
      </c>
      <c r="I1444" s="66" t="str">
        <f aca="false">IF(J1444&gt;$K$1,"",IFERROR(MATCH(J1444,J_BB,0),""))</f>
        <v/>
      </c>
      <c r="J1444" s="66" t="n">
        <v>1435</v>
      </c>
      <c r="K1444" s="5"/>
    </row>
    <row r="1445" customFormat="false" ht="15" hidden="false" customHeight="false" outlineLevel="0" collapsed="false">
      <c r="A1445" s="5" t="str">
        <f aca="false">IF(I1445="","",J1445)</f>
        <v/>
      </c>
      <c r="B1445" s="83" t="str">
        <f aca="false">IF(I1445="","",INDEX(J_TGL,I1445))</f>
        <v/>
      </c>
      <c r="C1445" s="5" t="str">
        <f aca="false">IF(I1445="","",INDEX(J_NO,I1445))</f>
        <v/>
      </c>
      <c r="D1445" s="5" t="str">
        <f aca="false">IF(I1445="","",INDEX(J_KET,I1445))</f>
        <v/>
      </c>
      <c r="E1445" s="5" t="str">
        <f aca="false">IF(I1445="","",IF(INDEX(J_DEB,I1445)=$C$3,INDEX(J_KRE,I1445),INDEX(J_DEB,I1445)))</f>
        <v/>
      </c>
      <c r="F1445" s="44" t="str">
        <f aca="false">IF(I1445="","",IF(INDEX(J_DEB,I1445)=$C$3,INDEX(J_NOM,I1445),0))</f>
        <v/>
      </c>
      <c r="G1445" s="44" t="str">
        <f aca="false">IF(I1445="","",IF(INDEX(J_KRE,I1445)=$C$3,INDEX(J_NOM,I1445),0))</f>
        <v/>
      </c>
      <c r="H1445" s="44" t="str">
        <f aca="false">IF(I1445="","",N(H1444)+IF($C$5="Debet",F1445-G1445,G1445-F1445))</f>
        <v/>
      </c>
      <c r="I1445" s="66" t="str">
        <f aca="false">IF(J1445&gt;$K$1,"",IFERROR(MATCH(J1445,J_BB,0),""))</f>
        <v/>
      </c>
      <c r="J1445" s="66" t="n">
        <v>1436</v>
      </c>
      <c r="K1445" s="5"/>
    </row>
    <row r="1446" customFormat="false" ht="15" hidden="false" customHeight="false" outlineLevel="0" collapsed="false">
      <c r="A1446" s="5" t="str">
        <f aca="false">IF(I1446="","",J1446)</f>
        <v/>
      </c>
      <c r="B1446" s="83" t="str">
        <f aca="false">IF(I1446="","",INDEX(J_TGL,I1446))</f>
        <v/>
      </c>
      <c r="C1446" s="5" t="str">
        <f aca="false">IF(I1446="","",INDEX(J_NO,I1446))</f>
        <v/>
      </c>
      <c r="D1446" s="5" t="str">
        <f aca="false">IF(I1446="","",INDEX(J_KET,I1446))</f>
        <v/>
      </c>
      <c r="E1446" s="5" t="str">
        <f aca="false">IF(I1446="","",IF(INDEX(J_DEB,I1446)=$C$3,INDEX(J_KRE,I1446),INDEX(J_DEB,I1446)))</f>
        <v/>
      </c>
      <c r="F1446" s="44" t="str">
        <f aca="false">IF(I1446="","",IF(INDEX(J_DEB,I1446)=$C$3,INDEX(J_NOM,I1446),0))</f>
        <v/>
      </c>
      <c r="G1446" s="44" t="str">
        <f aca="false">IF(I1446="","",IF(INDEX(J_KRE,I1446)=$C$3,INDEX(J_NOM,I1446),0))</f>
        <v/>
      </c>
      <c r="H1446" s="44" t="str">
        <f aca="false">IF(I1446="","",N(H1445)+IF($C$5="Debet",F1446-G1446,G1446-F1446))</f>
        <v/>
      </c>
      <c r="I1446" s="66" t="str">
        <f aca="false">IF(J1446&gt;$K$1,"",IFERROR(MATCH(J1446,J_BB,0),""))</f>
        <v/>
      </c>
      <c r="J1446" s="66" t="n">
        <v>1437</v>
      </c>
      <c r="K1446" s="5"/>
    </row>
    <row r="1447" customFormat="false" ht="15" hidden="false" customHeight="false" outlineLevel="0" collapsed="false">
      <c r="A1447" s="5" t="str">
        <f aca="false">IF(I1447="","",J1447)</f>
        <v/>
      </c>
      <c r="B1447" s="83" t="str">
        <f aca="false">IF(I1447="","",INDEX(J_TGL,I1447))</f>
        <v/>
      </c>
      <c r="C1447" s="5" t="str">
        <f aca="false">IF(I1447="","",INDEX(J_NO,I1447))</f>
        <v/>
      </c>
      <c r="D1447" s="5" t="str">
        <f aca="false">IF(I1447="","",INDEX(J_KET,I1447))</f>
        <v/>
      </c>
      <c r="E1447" s="5" t="str">
        <f aca="false">IF(I1447="","",IF(INDEX(J_DEB,I1447)=$C$3,INDEX(J_KRE,I1447),INDEX(J_DEB,I1447)))</f>
        <v/>
      </c>
      <c r="F1447" s="44" t="str">
        <f aca="false">IF(I1447="","",IF(INDEX(J_DEB,I1447)=$C$3,INDEX(J_NOM,I1447),0))</f>
        <v/>
      </c>
      <c r="G1447" s="44" t="str">
        <f aca="false">IF(I1447="","",IF(INDEX(J_KRE,I1447)=$C$3,INDEX(J_NOM,I1447),0))</f>
        <v/>
      </c>
      <c r="H1447" s="44" t="str">
        <f aca="false">IF(I1447="","",N(H1446)+IF($C$5="Debet",F1447-G1447,G1447-F1447))</f>
        <v/>
      </c>
      <c r="I1447" s="66" t="str">
        <f aca="false">IF(J1447&gt;$K$1,"",IFERROR(MATCH(J1447,J_BB,0),""))</f>
        <v/>
      </c>
      <c r="J1447" s="66" t="n">
        <v>1438</v>
      </c>
      <c r="K1447" s="5"/>
    </row>
    <row r="1448" customFormat="false" ht="15" hidden="false" customHeight="false" outlineLevel="0" collapsed="false">
      <c r="A1448" s="5" t="str">
        <f aca="false">IF(I1448="","",J1448)</f>
        <v/>
      </c>
      <c r="B1448" s="83" t="str">
        <f aca="false">IF(I1448="","",INDEX(J_TGL,I1448))</f>
        <v/>
      </c>
      <c r="C1448" s="5" t="str">
        <f aca="false">IF(I1448="","",INDEX(J_NO,I1448))</f>
        <v/>
      </c>
      <c r="D1448" s="5" t="str">
        <f aca="false">IF(I1448="","",INDEX(J_KET,I1448))</f>
        <v/>
      </c>
      <c r="E1448" s="5" t="str">
        <f aca="false">IF(I1448="","",IF(INDEX(J_DEB,I1448)=$C$3,INDEX(J_KRE,I1448),INDEX(J_DEB,I1448)))</f>
        <v/>
      </c>
      <c r="F1448" s="44" t="str">
        <f aca="false">IF(I1448="","",IF(INDEX(J_DEB,I1448)=$C$3,INDEX(J_NOM,I1448),0))</f>
        <v/>
      </c>
      <c r="G1448" s="44" t="str">
        <f aca="false">IF(I1448="","",IF(INDEX(J_KRE,I1448)=$C$3,INDEX(J_NOM,I1448),0))</f>
        <v/>
      </c>
      <c r="H1448" s="44" t="str">
        <f aca="false">IF(I1448="","",N(H1447)+IF($C$5="Debet",F1448-G1448,G1448-F1448))</f>
        <v/>
      </c>
      <c r="I1448" s="66" t="str">
        <f aca="false">IF(J1448&gt;$K$1,"",IFERROR(MATCH(J1448,J_BB,0),""))</f>
        <v/>
      </c>
      <c r="J1448" s="66" t="n">
        <v>1439</v>
      </c>
      <c r="K1448" s="5"/>
    </row>
    <row r="1449" customFormat="false" ht="15" hidden="false" customHeight="false" outlineLevel="0" collapsed="false">
      <c r="A1449" s="5" t="str">
        <f aca="false">IF(I1449="","",J1449)</f>
        <v/>
      </c>
      <c r="B1449" s="83" t="str">
        <f aca="false">IF(I1449="","",INDEX(J_TGL,I1449))</f>
        <v/>
      </c>
      <c r="C1449" s="5" t="str">
        <f aca="false">IF(I1449="","",INDEX(J_NO,I1449))</f>
        <v/>
      </c>
      <c r="D1449" s="5" t="str">
        <f aca="false">IF(I1449="","",INDEX(J_KET,I1449))</f>
        <v/>
      </c>
      <c r="E1449" s="5" t="str">
        <f aca="false">IF(I1449="","",IF(INDEX(J_DEB,I1449)=$C$3,INDEX(J_KRE,I1449),INDEX(J_DEB,I1449)))</f>
        <v/>
      </c>
      <c r="F1449" s="44" t="str">
        <f aca="false">IF(I1449="","",IF(INDEX(J_DEB,I1449)=$C$3,INDEX(J_NOM,I1449),0))</f>
        <v/>
      </c>
      <c r="G1449" s="44" t="str">
        <f aca="false">IF(I1449="","",IF(INDEX(J_KRE,I1449)=$C$3,INDEX(J_NOM,I1449),0))</f>
        <v/>
      </c>
      <c r="H1449" s="44" t="str">
        <f aca="false">IF(I1449="","",N(H1448)+IF($C$5="Debet",F1449-G1449,G1449-F1449))</f>
        <v/>
      </c>
      <c r="I1449" s="66" t="str">
        <f aca="false">IF(J1449&gt;$K$1,"",IFERROR(MATCH(J1449,J_BB,0),""))</f>
        <v/>
      </c>
      <c r="J1449" s="66" t="n">
        <v>1440</v>
      </c>
      <c r="K1449" s="5"/>
    </row>
    <row r="1450" customFormat="false" ht="15" hidden="false" customHeight="false" outlineLevel="0" collapsed="false">
      <c r="A1450" s="5" t="str">
        <f aca="false">IF(I1450="","",J1450)</f>
        <v/>
      </c>
      <c r="B1450" s="83" t="str">
        <f aca="false">IF(I1450="","",INDEX(J_TGL,I1450))</f>
        <v/>
      </c>
      <c r="C1450" s="5" t="str">
        <f aca="false">IF(I1450="","",INDEX(J_NO,I1450))</f>
        <v/>
      </c>
      <c r="D1450" s="5" t="str">
        <f aca="false">IF(I1450="","",INDEX(J_KET,I1450))</f>
        <v/>
      </c>
      <c r="E1450" s="5" t="str">
        <f aca="false">IF(I1450="","",IF(INDEX(J_DEB,I1450)=$C$3,INDEX(J_KRE,I1450),INDEX(J_DEB,I1450)))</f>
        <v/>
      </c>
      <c r="F1450" s="44" t="str">
        <f aca="false">IF(I1450="","",IF(INDEX(J_DEB,I1450)=$C$3,INDEX(J_NOM,I1450),0))</f>
        <v/>
      </c>
      <c r="G1450" s="44" t="str">
        <f aca="false">IF(I1450="","",IF(INDEX(J_KRE,I1450)=$C$3,INDEX(J_NOM,I1450),0))</f>
        <v/>
      </c>
      <c r="H1450" s="44" t="str">
        <f aca="false">IF(I1450="","",N(H1449)+IF($C$5="Debet",F1450-G1450,G1450-F1450))</f>
        <v/>
      </c>
      <c r="I1450" s="66" t="str">
        <f aca="false">IF(J1450&gt;$K$1,"",IFERROR(MATCH(J1450,J_BB,0),""))</f>
        <v/>
      </c>
      <c r="J1450" s="66" t="n">
        <v>1441</v>
      </c>
      <c r="K1450" s="5"/>
    </row>
    <row r="1451" customFormat="false" ht="15" hidden="false" customHeight="false" outlineLevel="0" collapsed="false">
      <c r="A1451" s="5" t="str">
        <f aca="false">IF(I1451="","",J1451)</f>
        <v/>
      </c>
      <c r="B1451" s="83" t="str">
        <f aca="false">IF(I1451="","",INDEX(J_TGL,I1451))</f>
        <v/>
      </c>
      <c r="C1451" s="5" t="str">
        <f aca="false">IF(I1451="","",INDEX(J_NO,I1451))</f>
        <v/>
      </c>
      <c r="D1451" s="5" t="str">
        <f aca="false">IF(I1451="","",INDEX(J_KET,I1451))</f>
        <v/>
      </c>
      <c r="E1451" s="5" t="str">
        <f aca="false">IF(I1451="","",IF(INDEX(J_DEB,I1451)=$C$3,INDEX(J_KRE,I1451),INDEX(J_DEB,I1451)))</f>
        <v/>
      </c>
      <c r="F1451" s="44" t="str">
        <f aca="false">IF(I1451="","",IF(INDEX(J_DEB,I1451)=$C$3,INDEX(J_NOM,I1451),0))</f>
        <v/>
      </c>
      <c r="G1451" s="44" t="str">
        <f aca="false">IF(I1451="","",IF(INDEX(J_KRE,I1451)=$C$3,INDEX(J_NOM,I1451),0))</f>
        <v/>
      </c>
      <c r="H1451" s="44" t="str">
        <f aca="false">IF(I1451="","",N(H1450)+IF($C$5="Debet",F1451-G1451,G1451-F1451))</f>
        <v/>
      </c>
      <c r="I1451" s="66" t="str">
        <f aca="false">IF(J1451&gt;$K$1,"",IFERROR(MATCH(J1451,J_BB,0),""))</f>
        <v/>
      </c>
      <c r="J1451" s="66" t="n">
        <v>1442</v>
      </c>
      <c r="K1451" s="5"/>
    </row>
    <row r="1452" customFormat="false" ht="15" hidden="false" customHeight="false" outlineLevel="0" collapsed="false">
      <c r="A1452" s="5" t="str">
        <f aca="false">IF(I1452="","",J1452)</f>
        <v/>
      </c>
      <c r="B1452" s="83" t="str">
        <f aca="false">IF(I1452="","",INDEX(J_TGL,I1452))</f>
        <v/>
      </c>
      <c r="C1452" s="5" t="str">
        <f aca="false">IF(I1452="","",INDEX(J_NO,I1452))</f>
        <v/>
      </c>
      <c r="D1452" s="5" t="str">
        <f aca="false">IF(I1452="","",INDEX(J_KET,I1452))</f>
        <v/>
      </c>
      <c r="E1452" s="5" t="str">
        <f aca="false">IF(I1452="","",IF(INDEX(J_DEB,I1452)=$C$3,INDEX(J_KRE,I1452),INDEX(J_DEB,I1452)))</f>
        <v/>
      </c>
      <c r="F1452" s="44" t="str">
        <f aca="false">IF(I1452="","",IF(INDEX(J_DEB,I1452)=$C$3,INDEX(J_NOM,I1452),0))</f>
        <v/>
      </c>
      <c r="G1452" s="44" t="str">
        <f aca="false">IF(I1452="","",IF(INDEX(J_KRE,I1452)=$C$3,INDEX(J_NOM,I1452),0))</f>
        <v/>
      </c>
      <c r="H1452" s="44" t="str">
        <f aca="false">IF(I1452="","",N(H1451)+IF($C$5="Debet",F1452-G1452,G1452-F1452))</f>
        <v/>
      </c>
      <c r="I1452" s="66" t="str">
        <f aca="false">IF(J1452&gt;$K$1,"",IFERROR(MATCH(J1452,J_BB,0),""))</f>
        <v/>
      </c>
      <c r="J1452" s="66" t="n">
        <v>1443</v>
      </c>
      <c r="K1452" s="5"/>
    </row>
    <row r="1453" customFormat="false" ht="15" hidden="false" customHeight="false" outlineLevel="0" collapsed="false">
      <c r="A1453" s="5" t="str">
        <f aca="false">IF(I1453="","",J1453)</f>
        <v/>
      </c>
      <c r="B1453" s="83" t="str">
        <f aca="false">IF(I1453="","",INDEX(J_TGL,I1453))</f>
        <v/>
      </c>
      <c r="C1453" s="5" t="str">
        <f aca="false">IF(I1453="","",INDEX(J_NO,I1453))</f>
        <v/>
      </c>
      <c r="D1453" s="5" t="str">
        <f aca="false">IF(I1453="","",INDEX(J_KET,I1453))</f>
        <v/>
      </c>
      <c r="E1453" s="5" t="str">
        <f aca="false">IF(I1453="","",IF(INDEX(J_DEB,I1453)=$C$3,INDEX(J_KRE,I1453),INDEX(J_DEB,I1453)))</f>
        <v/>
      </c>
      <c r="F1453" s="44" t="str">
        <f aca="false">IF(I1453="","",IF(INDEX(J_DEB,I1453)=$C$3,INDEX(J_NOM,I1453),0))</f>
        <v/>
      </c>
      <c r="G1453" s="44" t="str">
        <f aca="false">IF(I1453="","",IF(INDEX(J_KRE,I1453)=$C$3,INDEX(J_NOM,I1453),0))</f>
        <v/>
      </c>
      <c r="H1453" s="44" t="str">
        <f aca="false">IF(I1453="","",N(H1452)+IF($C$5="Debet",F1453-G1453,G1453-F1453))</f>
        <v/>
      </c>
      <c r="I1453" s="66" t="str">
        <f aca="false">IF(J1453&gt;$K$1,"",IFERROR(MATCH(J1453,J_BB,0),""))</f>
        <v/>
      </c>
      <c r="J1453" s="66" t="n">
        <v>1444</v>
      </c>
      <c r="K1453" s="5"/>
    </row>
    <row r="1454" customFormat="false" ht="15" hidden="false" customHeight="false" outlineLevel="0" collapsed="false">
      <c r="A1454" s="5" t="str">
        <f aca="false">IF(I1454="","",J1454)</f>
        <v/>
      </c>
      <c r="B1454" s="83" t="str">
        <f aca="false">IF(I1454="","",INDEX(J_TGL,I1454))</f>
        <v/>
      </c>
      <c r="C1454" s="5" t="str">
        <f aca="false">IF(I1454="","",INDEX(J_NO,I1454))</f>
        <v/>
      </c>
      <c r="D1454" s="5" t="str">
        <f aca="false">IF(I1454="","",INDEX(J_KET,I1454))</f>
        <v/>
      </c>
      <c r="E1454" s="5" t="str">
        <f aca="false">IF(I1454="","",IF(INDEX(J_DEB,I1454)=$C$3,INDEX(J_KRE,I1454),INDEX(J_DEB,I1454)))</f>
        <v/>
      </c>
      <c r="F1454" s="44" t="str">
        <f aca="false">IF(I1454="","",IF(INDEX(J_DEB,I1454)=$C$3,INDEX(J_NOM,I1454),0))</f>
        <v/>
      </c>
      <c r="G1454" s="44" t="str">
        <f aca="false">IF(I1454="","",IF(INDEX(J_KRE,I1454)=$C$3,INDEX(J_NOM,I1454),0))</f>
        <v/>
      </c>
      <c r="H1454" s="44" t="str">
        <f aca="false">IF(I1454="","",N(H1453)+IF($C$5="Debet",F1454-G1454,G1454-F1454))</f>
        <v/>
      </c>
      <c r="I1454" s="66" t="str">
        <f aca="false">IF(J1454&gt;$K$1,"",IFERROR(MATCH(J1454,J_BB,0),""))</f>
        <v/>
      </c>
      <c r="J1454" s="66" t="n">
        <v>1445</v>
      </c>
      <c r="K1454" s="5"/>
    </row>
    <row r="1455" customFormat="false" ht="15" hidden="false" customHeight="false" outlineLevel="0" collapsed="false">
      <c r="A1455" s="5" t="str">
        <f aca="false">IF(I1455="","",J1455)</f>
        <v/>
      </c>
      <c r="B1455" s="83" t="str">
        <f aca="false">IF(I1455="","",INDEX(J_TGL,I1455))</f>
        <v/>
      </c>
      <c r="C1455" s="5" t="str">
        <f aca="false">IF(I1455="","",INDEX(J_NO,I1455))</f>
        <v/>
      </c>
      <c r="D1455" s="5" t="str">
        <f aca="false">IF(I1455="","",INDEX(J_KET,I1455))</f>
        <v/>
      </c>
      <c r="E1455" s="5" t="str">
        <f aca="false">IF(I1455="","",IF(INDEX(J_DEB,I1455)=$C$3,INDEX(J_KRE,I1455),INDEX(J_DEB,I1455)))</f>
        <v/>
      </c>
      <c r="F1455" s="44" t="str">
        <f aca="false">IF(I1455="","",IF(INDEX(J_DEB,I1455)=$C$3,INDEX(J_NOM,I1455),0))</f>
        <v/>
      </c>
      <c r="G1455" s="44" t="str">
        <f aca="false">IF(I1455="","",IF(INDEX(J_KRE,I1455)=$C$3,INDEX(J_NOM,I1455),0))</f>
        <v/>
      </c>
      <c r="H1455" s="44" t="str">
        <f aca="false">IF(I1455="","",N(H1454)+IF($C$5="Debet",F1455-G1455,G1455-F1455))</f>
        <v/>
      </c>
      <c r="I1455" s="66" t="str">
        <f aca="false">IF(J1455&gt;$K$1,"",IFERROR(MATCH(J1455,J_BB,0),""))</f>
        <v/>
      </c>
      <c r="J1455" s="66" t="n">
        <v>1446</v>
      </c>
      <c r="K1455" s="5"/>
    </row>
    <row r="1456" customFormat="false" ht="15" hidden="false" customHeight="false" outlineLevel="0" collapsed="false">
      <c r="A1456" s="5" t="str">
        <f aca="false">IF(I1456="","",J1456)</f>
        <v/>
      </c>
      <c r="B1456" s="83" t="str">
        <f aca="false">IF(I1456="","",INDEX(J_TGL,I1456))</f>
        <v/>
      </c>
      <c r="C1456" s="5" t="str">
        <f aca="false">IF(I1456="","",INDEX(J_NO,I1456))</f>
        <v/>
      </c>
      <c r="D1456" s="5" t="str">
        <f aca="false">IF(I1456="","",INDEX(J_KET,I1456))</f>
        <v/>
      </c>
      <c r="E1456" s="5" t="str">
        <f aca="false">IF(I1456="","",IF(INDEX(J_DEB,I1456)=$C$3,INDEX(J_KRE,I1456),INDEX(J_DEB,I1456)))</f>
        <v/>
      </c>
      <c r="F1456" s="44" t="str">
        <f aca="false">IF(I1456="","",IF(INDEX(J_DEB,I1456)=$C$3,INDEX(J_NOM,I1456),0))</f>
        <v/>
      </c>
      <c r="G1456" s="44" t="str">
        <f aca="false">IF(I1456="","",IF(INDEX(J_KRE,I1456)=$C$3,INDEX(J_NOM,I1456),0))</f>
        <v/>
      </c>
      <c r="H1456" s="44" t="str">
        <f aca="false">IF(I1456="","",N(H1455)+IF($C$5="Debet",F1456-G1456,G1456-F1456))</f>
        <v/>
      </c>
      <c r="I1456" s="66" t="str">
        <f aca="false">IF(J1456&gt;$K$1,"",IFERROR(MATCH(J1456,J_BB,0),""))</f>
        <v/>
      </c>
      <c r="J1456" s="66" t="n">
        <v>1447</v>
      </c>
      <c r="K1456" s="5"/>
    </row>
    <row r="1457" customFormat="false" ht="15" hidden="false" customHeight="false" outlineLevel="0" collapsed="false">
      <c r="A1457" s="5" t="str">
        <f aca="false">IF(I1457="","",J1457)</f>
        <v/>
      </c>
      <c r="B1457" s="83" t="str">
        <f aca="false">IF(I1457="","",INDEX(J_TGL,I1457))</f>
        <v/>
      </c>
      <c r="C1457" s="5" t="str">
        <f aca="false">IF(I1457="","",INDEX(J_NO,I1457))</f>
        <v/>
      </c>
      <c r="D1457" s="5" t="str">
        <f aca="false">IF(I1457="","",INDEX(J_KET,I1457))</f>
        <v/>
      </c>
      <c r="E1457" s="5" t="str">
        <f aca="false">IF(I1457="","",IF(INDEX(J_DEB,I1457)=$C$3,INDEX(J_KRE,I1457),INDEX(J_DEB,I1457)))</f>
        <v/>
      </c>
      <c r="F1457" s="44" t="str">
        <f aca="false">IF(I1457="","",IF(INDEX(J_DEB,I1457)=$C$3,INDEX(J_NOM,I1457),0))</f>
        <v/>
      </c>
      <c r="G1457" s="44" t="str">
        <f aca="false">IF(I1457="","",IF(INDEX(J_KRE,I1457)=$C$3,INDEX(J_NOM,I1457),0))</f>
        <v/>
      </c>
      <c r="H1457" s="44" t="str">
        <f aca="false">IF(I1457="","",N(H1456)+IF($C$5="Debet",F1457-G1457,G1457-F1457))</f>
        <v/>
      </c>
      <c r="I1457" s="66" t="str">
        <f aca="false">IF(J1457&gt;$K$1,"",IFERROR(MATCH(J1457,J_BB,0),""))</f>
        <v/>
      </c>
      <c r="J1457" s="66" t="n">
        <v>1448</v>
      </c>
      <c r="K1457" s="5"/>
    </row>
    <row r="1458" customFormat="false" ht="15" hidden="false" customHeight="false" outlineLevel="0" collapsed="false">
      <c r="A1458" s="5" t="str">
        <f aca="false">IF(I1458="","",J1458)</f>
        <v/>
      </c>
      <c r="B1458" s="83" t="str">
        <f aca="false">IF(I1458="","",INDEX(J_TGL,I1458))</f>
        <v/>
      </c>
      <c r="C1458" s="5" t="str">
        <f aca="false">IF(I1458="","",INDEX(J_NO,I1458))</f>
        <v/>
      </c>
      <c r="D1458" s="5" t="str">
        <f aca="false">IF(I1458="","",INDEX(J_KET,I1458))</f>
        <v/>
      </c>
      <c r="E1458" s="5" t="str">
        <f aca="false">IF(I1458="","",IF(INDEX(J_DEB,I1458)=$C$3,INDEX(J_KRE,I1458),INDEX(J_DEB,I1458)))</f>
        <v/>
      </c>
      <c r="F1458" s="44" t="str">
        <f aca="false">IF(I1458="","",IF(INDEX(J_DEB,I1458)=$C$3,INDEX(J_NOM,I1458),0))</f>
        <v/>
      </c>
      <c r="G1458" s="44" t="str">
        <f aca="false">IF(I1458="","",IF(INDEX(J_KRE,I1458)=$C$3,INDEX(J_NOM,I1458),0))</f>
        <v/>
      </c>
      <c r="H1458" s="44" t="str">
        <f aca="false">IF(I1458="","",N(H1457)+IF($C$5="Debet",F1458-G1458,G1458-F1458))</f>
        <v/>
      </c>
      <c r="I1458" s="66" t="str">
        <f aca="false">IF(J1458&gt;$K$1,"",IFERROR(MATCH(J1458,J_BB,0),""))</f>
        <v/>
      </c>
      <c r="J1458" s="66" t="n">
        <v>1449</v>
      </c>
      <c r="K1458" s="5"/>
    </row>
    <row r="1459" customFormat="false" ht="15" hidden="false" customHeight="false" outlineLevel="0" collapsed="false">
      <c r="A1459" s="5" t="str">
        <f aca="false">IF(I1459="","",J1459)</f>
        <v/>
      </c>
      <c r="B1459" s="83" t="str">
        <f aca="false">IF(I1459="","",INDEX(J_TGL,I1459))</f>
        <v/>
      </c>
      <c r="C1459" s="5" t="str">
        <f aca="false">IF(I1459="","",INDEX(J_NO,I1459))</f>
        <v/>
      </c>
      <c r="D1459" s="5" t="str">
        <f aca="false">IF(I1459="","",INDEX(J_KET,I1459))</f>
        <v/>
      </c>
      <c r="E1459" s="5" t="str">
        <f aca="false">IF(I1459="","",IF(INDEX(J_DEB,I1459)=$C$3,INDEX(J_KRE,I1459),INDEX(J_DEB,I1459)))</f>
        <v/>
      </c>
      <c r="F1459" s="44" t="str">
        <f aca="false">IF(I1459="","",IF(INDEX(J_DEB,I1459)=$C$3,INDEX(J_NOM,I1459),0))</f>
        <v/>
      </c>
      <c r="G1459" s="44" t="str">
        <f aca="false">IF(I1459="","",IF(INDEX(J_KRE,I1459)=$C$3,INDEX(J_NOM,I1459),0))</f>
        <v/>
      </c>
      <c r="H1459" s="44" t="str">
        <f aca="false">IF(I1459="","",N(H1458)+IF($C$5="Debet",F1459-G1459,G1459-F1459))</f>
        <v/>
      </c>
      <c r="I1459" s="66" t="str">
        <f aca="false">IF(J1459&gt;$K$1,"",IFERROR(MATCH(J1459,J_BB,0),""))</f>
        <v/>
      </c>
      <c r="J1459" s="66" t="n">
        <v>1450</v>
      </c>
      <c r="K1459" s="5"/>
    </row>
    <row r="1460" customFormat="false" ht="15" hidden="false" customHeight="false" outlineLevel="0" collapsed="false">
      <c r="A1460" s="5" t="str">
        <f aca="false">IF(I1460="","",J1460)</f>
        <v/>
      </c>
      <c r="B1460" s="83" t="str">
        <f aca="false">IF(I1460="","",INDEX(J_TGL,I1460))</f>
        <v/>
      </c>
      <c r="C1460" s="5" t="str">
        <f aca="false">IF(I1460="","",INDEX(J_NO,I1460))</f>
        <v/>
      </c>
      <c r="D1460" s="5" t="str">
        <f aca="false">IF(I1460="","",INDEX(J_KET,I1460))</f>
        <v/>
      </c>
      <c r="E1460" s="5" t="str">
        <f aca="false">IF(I1460="","",IF(INDEX(J_DEB,I1460)=$C$3,INDEX(J_KRE,I1460),INDEX(J_DEB,I1460)))</f>
        <v/>
      </c>
      <c r="F1460" s="44" t="str">
        <f aca="false">IF(I1460="","",IF(INDEX(J_DEB,I1460)=$C$3,INDEX(J_NOM,I1460),0))</f>
        <v/>
      </c>
      <c r="G1460" s="44" t="str">
        <f aca="false">IF(I1460="","",IF(INDEX(J_KRE,I1460)=$C$3,INDEX(J_NOM,I1460),0))</f>
        <v/>
      </c>
      <c r="H1460" s="44" t="str">
        <f aca="false">IF(I1460="","",N(H1459)+IF($C$5="Debet",F1460-G1460,G1460-F1460))</f>
        <v/>
      </c>
      <c r="I1460" s="66" t="str">
        <f aca="false">IF(J1460&gt;$K$1,"",IFERROR(MATCH(J1460,J_BB,0),""))</f>
        <v/>
      </c>
      <c r="J1460" s="66" t="n">
        <v>1451</v>
      </c>
      <c r="K1460" s="5"/>
    </row>
    <row r="1461" customFormat="false" ht="15" hidden="false" customHeight="false" outlineLevel="0" collapsed="false">
      <c r="A1461" s="5" t="str">
        <f aca="false">IF(I1461="","",J1461)</f>
        <v/>
      </c>
      <c r="B1461" s="83" t="str">
        <f aca="false">IF(I1461="","",INDEX(J_TGL,I1461))</f>
        <v/>
      </c>
      <c r="C1461" s="5" t="str">
        <f aca="false">IF(I1461="","",INDEX(J_NO,I1461))</f>
        <v/>
      </c>
      <c r="D1461" s="5" t="str">
        <f aca="false">IF(I1461="","",INDEX(J_KET,I1461))</f>
        <v/>
      </c>
      <c r="E1461" s="5" t="str">
        <f aca="false">IF(I1461="","",IF(INDEX(J_DEB,I1461)=$C$3,INDEX(J_KRE,I1461),INDEX(J_DEB,I1461)))</f>
        <v/>
      </c>
      <c r="F1461" s="44" t="str">
        <f aca="false">IF(I1461="","",IF(INDEX(J_DEB,I1461)=$C$3,INDEX(J_NOM,I1461),0))</f>
        <v/>
      </c>
      <c r="G1461" s="44" t="str">
        <f aca="false">IF(I1461="","",IF(INDEX(J_KRE,I1461)=$C$3,INDEX(J_NOM,I1461),0))</f>
        <v/>
      </c>
      <c r="H1461" s="44" t="str">
        <f aca="false">IF(I1461="","",N(H1460)+IF($C$5="Debet",F1461-G1461,G1461-F1461))</f>
        <v/>
      </c>
      <c r="I1461" s="66" t="str">
        <f aca="false">IF(J1461&gt;$K$1,"",IFERROR(MATCH(J1461,J_BB,0),""))</f>
        <v/>
      </c>
      <c r="J1461" s="66" t="n">
        <v>1452</v>
      </c>
      <c r="K1461" s="5"/>
    </row>
    <row r="1462" customFormat="false" ht="15" hidden="false" customHeight="false" outlineLevel="0" collapsed="false">
      <c r="A1462" s="5" t="str">
        <f aca="false">IF(I1462="","",J1462)</f>
        <v/>
      </c>
      <c r="B1462" s="83" t="str">
        <f aca="false">IF(I1462="","",INDEX(J_TGL,I1462))</f>
        <v/>
      </c>
      <c r="C1462" s="5" t="str">
        <f aca="false">IF(I1462="","",INDEX(J_NO,I1462))</f>
        <v/>
      </c>
      <c r="D1462" s="5" t="str">
        <f aca="false">IF(I1462="","",INDEX(J_KET,I1462))</f>
        <v/>
      </c>
      <c r="E1462" s="5" t="str">
        <f aca="false">IF(I1462="","",IF(INDEX(J_DEB,I1462)=$C$3,INDEX(J_KRE,I1462),INDEX(J_DEB,I1462)))</f>
        <v/>
      </c>
      <c r="F1462" s="44" t="str">
        <f aca="false">IF(I1462="","",IF(INDEX(J_DEB,I1462)=$C$3,INDEX(J_NOM,I1462),0))</f>
        <v/>
      </c>
      <c r="G1462" s="44" t="str">
        <f aca="false">IF(I1462="","",IF(INDEX(J_KRE,I1462)=$C$3,INDEX(J_NOM,I1462),0))</f>
        <v/>
      </c>
      <c r="H1462" s="44" t="str">
        <f aca="false">IF(I1462="","",N(H1461)+IF($C$5="Debet",F1462-G1462,G1462-F1462))</f>
        <v/>
      </c>
      <c r="I1462" s="66" t="str">
        <f aca="false">IF(J1462&gt;$K$1,"",IFERROR(MATCH(J1462,J_BB,0),""))</f>
        <v/>
      </c>
      <c r="J1462" s="66" t="n">
        <v>1453</v>
      </c>
      <c r="K1462" s="5"/>
    </row>
    <row r="1463" customFormat="false" ht="15" hidden="false" customHeight="false" outlineLevel="0" collapsed="false">
      <c r="A1463" s="5" t="str">
        <f aca="false">IF(I1463="","",J1463)</f>
        <v/>
      </c>
      <c r="B1463" s="83" t="str">
        <f aca="false">IF(I1463="","",INDEX(J_TGL,I1463))</f>
        <v/>
      </c>
      <c r="C1463" s="5" t="str">
        <f aca="false">IF(I1463="","",INDEX(J_NO,I1463))</f>
        <v/>
      </c>
      <c r="D1463" s="5" t="str">
        <f aca="false">IF(I1463="","",INDEX(J_KET,I1463))</f>
        <v/>
      </c>
      <c r="E1463" s="5" t="str">
        <f aca="false">IF(I1463="","",IF(INDEX(J_DEB,I1463)=$C$3,INDEX(J_KRE,I1463),INDEX(J_DEB,I1463)))</f>
        <v/>
      </c>
      <c r="F1463" s="44" t="str">
        <f aca="false">IF(I1463="","",IF(INDEX(J_DEB,I1463)=$C$3,INDEX(J_NOM,I1463),0))</f>
        <v/>
      </c>
      <c r="G1463" s="44" t="str">
        <f aca="false">IF(I1463="","",IF(INDEX(J_KRE,I1463)=$C$3,INDEX(J_NOM,I1463),0))</f>
        <v/>
      </c>
      <c r="H1463" s="44" t="str">
        <f aca="false">IF(I1463="","",N(H1462)+IF($C$5="Debet",F1463-G1463,G1463-F1463))</f>
        <v/>
      </c>
      <c r="I1463" s="66" t="str">
        <f aca="false">IF(J1463&gt;$K$1,"",IFERROR(MATCH(J1463,J_BB,0),""))</f>
        <v/>
      </c>
      <c r="J1463" s="66" t="n">
        <v>1454</v>
      </c>
      <c r="K1463" s="5"/>
    </row>
    <row r="1464" customFormat="false" ht="15" hidden="false" customHeight="false" outlineLevel="0" collapsed="false">
      <c r="A1464" s="5" t="str">
        <f aca="false">IF(I1464="","",J1464)</f>
        <v/>
      </c>
      <c r="B1464" s="83" t="str">
        <f aca="false">IF(I1464="","",INDEX(J_TGL,I1464))</f>
        <v/>
      </c>
      <c r="C1464" s="5" t="str">
        <f aca="false">IF(I1464="","",INDEX(J_NO,I1464))</f>
        <v/>
      </c>
      <c r="D1464" s="5" t="str">
        <f aca="false">IF(I1464="","",INDEX(J_KET,I1464))</f>
        <v/>
      </c>
      <c r="E1464" s="5" t="str">
        <f aca="false">IF(I1464="","",IF(INDEX(J_DEB,I1464)=$C$3,INDEX(J_KRE,I1464),INDEX(J_DEB,I1464)))</f>
        <v/>
      </c>
      <c r="F1464" s="44" t="str">
        <f aca="false">IF(I1464="","",IF(INDEX(J_DEB,I1464)=$C$3,INDEX(J_NOM,I1464),0))</f>
        <v/>
      </c>
      <c r="G1464" s="44" t="str">
        <f aca="false">IF(I1464="","",IF(INDEX(J_KRE,I1464)=$C$3,INDEX(J_NOM,I1464),0))</f>
        <v/>
      </c>
      <c r="H1464" s="44" t="str">
        <f aca="false">IF(I1464="","",N(H1463)+IF($C$5="Debet",F1464-G1464,G1464-F1464))</f>
        <v/>
      </c>
      <c r="I1464" s="66" t="str">
        <f aca="false">IF(J1464&gt;$K$1,"",IFERROR(MATCH(J1464,J_BB,0),""))</f>
        <v/>
      </c>
      <c r="J1464" s="66" t="n">
        <v>1455</v>
      </c>
      <c r="K1464" s="5"/>
    </row>
    <row r="1465" customFormat="false" ht="15" hidden="false" customHeight="false" outlineLevel="0" collapsed="false">
      <c r="A1465" s="5" t="str">
        <f aca="false">IF(I1465="","",J1465)</f>
        <v/>
      </c>
      <c r="B1465" s="83" t="str">
        <f aca="false">IF(I1465="","",INDEX(J_TGL,I1465))</f>
        <v/>
      </c>
      <c r="C1465" s="5" t="str">
        <f aca="false">IF(I1465="","",INDEX(J_NO,I1465))</f>
        <v/>
      </c>
      <c r="D1465" s="5" t="str">
        <f aca="false">IF(I1465="","",INDEX(J_KET,I1465))</f>
        <v/>
      </c>
      <c r="E1465" s="5" t="str">
        <f aca="false">IF(I1465="","",IF(INDEX(J_DEB,I1465)=$C$3,INDEX(J_KRE,I1465),INDEX(J_DEB,I1465)))</f>
        <v/>
      </c>
      <c r="F1465" s="44" t="str">
        <f aca="false">IF(I1465="","",IF(INDEX(J_DEB,I1465)=$C$3,INDEX(J_NOM,I1465),0))</f>
        <v/>
      </c>
      <c r="G1465" s="44" t="str">
        <f aca="false">IF(I1465="","",IF(INDEX(J_KRE,I1465)=$C$3,INDEX(J_NOM,I1465),0))</f>
        <v/>
      </c>
      <c r="H1465" s="44" t="str">
        <f aca="false">IF(I1465="","",N(H1464)+IF($C$5="Debet",F1465-G1465,G1465-F1465))</f>
        <v/>
      </c>
      <c r="I1465" s="66" t="str">
        <f aca="false">IF(J1465&gt;$K$1,"",IFERROR(MATCH(J1465,J_BB,0),""))</f>
        <v/>
      </c>
      <c r="J1465" s="66" t="n">
        <v>1456</v>
      </c>
      <c r="K1465" s="5"/>
    </row>
    <row r="1466" customFormat="false" ht="15" hidden="false" customHeight="false" outlineLevel="0" collapsed="false">
      <c r="A1466" s="5" t="str">
        <f aca="false">IF(I1466="","",J1466)</f>
        <v/>
      </c>
      <c r="B1466" s="83" t="str">
        <f aca="false">IF(I1466="","",INDEX(J_TGL,I1466))</f>
        <v/>
      </c>
      <c r="C1466" s="5" t="str">
        <f aca="false">IF(I1466="","",INDEX(J_NO,I1466))</f>
        <v/>
      </c>
      <c r="D1466" s="5" t="str">
        <f aca="false">IF(I1466="","",INDEX(J_KET,I1466))</f>
        <v/>
      </c>
      <c r="E1466" s="5" t="str">
        <f aca="false">IF(I1466="","",IF(INDEX(J_DEB,I1466)=$C$3,INDEX(J_KRE,I1466),INDEX(J_DEB,I1466)))</f>
        <v/>
      </c>
      <c r="F1466" s="44" t="str">
        <f aca="false">IF(I1466="","",IF(INDEX(J_DEB,I1466)=$C$3,INDEX(J_NOM,I1466),0))</f>
        <v/>
      </c>
      <c r="G1466" s="44" t="str">
        <f aca="false">IF(I1466="","",IF(INDEX(J_KRE,I1466)=$C$3,INDEX(J_NOM,I1466),0))</f>
        <v/>
      </c>
      <c r="H1466" s="44" t="str">
        <f aca="false">IF(I1466="","",N(H1465)+IF($C$5="Debet",F1466-G1466,G1466-F1466))</f>
        <v/>
      </c>
      <c r="I1466" s="66" t="str">
        <f aca="false">IF(J1466&gt;$K$1,"",IFERROR(MATCH(J1466,J_BB,0),""))</f>
        <v/>
      </c>
      <c r="J1466" s="66" t="n">
        <v>1457</v>
      </c>
      <c r="K1466" s="5"/>
    </row>
    <row r="1467" customFormat="false" ht="15" hidden="false" customHeight="false" outlineLevel="0" collapsed="false">
      <c r="A1467" s="5" t="str">
        <f aca="false">IF(I1467="","",J1467)</f>
        <v/>
      </c>
      <c r="B1467" s="83" t="str">
        <f aca="false">IF(I1467="","",INDEX(J_TGL,I1467))</f>
        <v/>
      </c>
      <c r="C1467" s="5" t="str">
        <f aca="false">IF(I1467="","",INDEX(J_NO,I1467))</f>
        <v/>
      </c>
      <c r="D1467" s="5" t="str">
        <f aca="false">IF(I1467="","",INDEX(J_KET,I1467))</f>
        <v/>
      </c>
      <c r="E1467" s="5" t="str">
        <f aca="false">IF(I1467="","",IF(INDEX(J_DEB,I1467)=$C$3,INDEX(J_KRE,I1467),INDEX(J_DEB,I1467)))</f>
        <v/>
      </c>
      <c r="F1467" s="44" t="str">
        <f aca="false">IF(I1467="","",IF(INDEX(J_DEB,I1467)=$C$3,INDEX(J_NOM,I1467),0))</f>
        <v/>
      </c>
      <c r="G1467" s="44" t="str">
        <f aca="false">IF(I1467="","",IF(INDEX(J_KRE,I1467)=$C$3,INDEX(J_NOM,I1467),0))</f>
        <v/>
      </c>
      <c r="H1467" s="44" t="str">
        <f aca="false">IF(I1467="","",N(H1466)+IF($C$5="Debet",F1467-G1467,G1467-F1467))</f>
        <v/>
      </c>
      <c r="I1467" s="66" t="str">
        <f aca="false">IF(J1467&gt;$K$1,"",IFERROR(MATCH(J1467,J_BB,0),""))</f>
        <v/>
      </c>
      <c r="J1467" s="66" t="n">
        <v>1458</v>
      </c>
      <c r="K1467" s="5"/>
    </row>
    <row r="1468" customFormat="false" ht="15" hidden="false" customHeight="false" outlineLevel="0" collapsed="false">
      <c r="A1468" s="5" t="str">
        <f aca="false">IF(I1468="","",J1468)</f>
        <v/>
      </c>
      <c r="B1468" s="83" t="str">
        <f aca="false">IF(I1468="","",INDEX(J_TGL,I1468))</f>
        <v/>
      </c>
      <c r="C1468" s="5" t="str">
        <f aca="false">IF(I1468="","",INDEX(J_NO,I1468))</f>
        <v/>
      </c>
      <c r="D1468" s="5" t="str">
        <f aca="false">IF(I1468="","",INDEX(J_KET,I1468))</f>
        <v/>
      </c>
      <c r="E1468" s="5" t="str">
        <f aca="false">IF(I1468="","",IF(INDEX(J_DEB,I1468)=$C$3,INDEX(J_KRE,I1468),INDEX(J_DEB,I1468)))</f>
        <v/>
      </c>
      <c r="F1468" s="44" t="str">
        <f aca="false">IF(I1468="","",IF(INDEX(J_DEB,I1468)=$C$3,INDEX(J_NOM,I1468),0))</f>
        <v/>
      </c>
      <c r="G1468" s="44" t="str">
        <f aca="false">IF(I1468="","",IF(INDEX(J_KRE,I1468)=$C$3,INDEX(J_NOM,I1468),0))</f>
        <v/>
      </c>
      <c r="H1468" s="44" t="str">
        <f aca="false">IF(I1468="","",N(H1467)+IF($C$5="Debet",F1468-G1468,G1468-F1468))</f>
        <v/>
      </c>
      <c r="I1468" s="66" t="str">
        <f aca="false">IF(J1468&gt;$K$1,"",IFERROR(MATCH(J1468,J_BB,0),""))</f>
        <v/>
      </c>
      <c r="J1468" s="66" t="n">
        <v>1459</v>
      </c>
      <c r="K1468" s="5"/>
    </row>
    <row r="1469" customFormat="false" ht="15" hidden="false" customHeight="false" outlineLevel="0" collapsed="false">
      <c r="A1469" s="5" t="str">
        <f aca="false">IF(I1469="","",J1469)</f>
        <v/>
      </c>
      <c r="B1469" s="83" t="str">
        <f aca="false">IF(I1469="","",INDEX(J_TGL,I1469))</f>
        <v/>
      </c>
      <c r="C1469" s="5" t="str">
        <f aca="false">IF(I1469="","",INDEX(J_NO,I1469))</f>
        <v/>
      </c>
      <c r="D1469" s="5" t="str">
        <f aca="false">IF(I1469="","",INDEX(J_KET,I1469))</f>
        <v/>
      </c>
      <c r="E1469" s="5" t="str">
        <f aca="false">IF(I1469="","",IF(INDEX(J_DEB,I1469)=$C$3,INDEX(J_KRE,I1469),INDEX(J_DEB,I1469)))</f>
        <v/>
      </c>
      <c r="F1469" s="44" t="str">
        <f aca="false">IF(I1469="","",IF(INDEX(J_DEB,I1469)=$C$3,INDEX(J_NOM,I1469),0))</f>
        <v/>
      </c>
      <c r="G1469" s="44" t="str">
        <f aca="false">IF(I1469="","",IF(INDEX(J_KRE,I1469)=$C$3,INDEX(J_NOM,I1469),0))</f>
        <v/>
      </c>
      <c r="H1469" s="44" t="str">
        <f aca="false">IF(I1469="","",N(H1468)+IF($C$5="Debet",F1469-G1469,G1469-F1469))</f>
        <v/>
      </c>
      <c r="I1469" s="66" t="str">
        <f aca="false">IF(J1469&gt;$K$1,"",IFERROR(MATCH(J1469,J_BB,0),""))</f>
        <v/>
      </c>
      <c r="J1469" s="66" t="n">
        <v>1460</v>
      </c>
      <c r="K1469" s="5"/>
    </row>
    <row r="1470" customFormat="false" ht="15" hidden="false" customHeight="false" outlineLevel="0" collapsed="false">
      <c r="A1470" s="5" t="str">
        <f aca="false">IF(I1470="","",J1470)</f>
        <v/>
      </c>
      <c r="B1470" s="83" t="str">
        <f aca="false">IF(I1470="","",INDEX(J_TGL,I1470))</f>
        <v/>
      </c>
      <c r="C1470" s="5" t="str">
        <f aca="false">IF(I1470="","",INDEX(J_NO,I1470))</f>
        <v/>
      </c>
      <c r="D1470" s="5" t="str">
        <f aca="false">IF(I1470="","",INDEX(J_KET,I1470))</f>
        <v/>
      </c>
      <c r="E1470" s="5" t="str">
        <f aca="false">IF(I1470="","",IF(INDEX(J_DEB,I1470)=$C$3,INDEX(J_KRE,I1470),INDEX(J_DEB,I1470)))</f>
        <v/>
      </c>
      <c r="F1470" s="44" t="str">
        <f aca="false">IF(I1470="","",IF(INDEX(J_DEB,I1470)=$C$3,INDEX(J_NOM,I1470),0))</f>
        <v/>
      </c>
      <c r="G1470" s="44" t="str">
        <f aca="false">IF(I1470="","",IF(INDEX(J_KRE,I1470)=$C$3,INDEX(J_NOM,I1470),0))</f>
        <v/>
      </c>
      <c r="H1470" s="44" t="str">
        <f aca="false">IF(I1470="","",N(H1469)+IF($C$5="Debet",F1470-G1470,G1470-F1470))</f>
        <v/>
      </c>
      <c r="I1470" s="66" t="str">
        <f aca="false">IF(J1470&gt;$K$1,"",IFERROR(MATCH(J1470,J_BB,0),""))</f>
        <v/>
      </c>
      <c r="J1470" s="66" t="n">
        <v>1461</v>
      </c>
      <c r="K1470" s="5"/>
    </row>
    <row r="1471" customFormat="false" ht="15" hidden="false" customHeight="false" outlineLevel="0" collapsed="false">
      <c r="A1471" s="5" t="str">
        <f aca="false">IF(I1471="","",J1471)</f>
        <v/>
      </c>
      <c r="B1471" s="83" t="str">
        <f aca="false">IF(I1471="","",INDEX(J_TGL,I1471))</f>
        <v/>
      </c>
      <c r="C1471" s="5" t="str">
        <f aca="false">IF(I1471="","",INDEX(J_NO,I1471))</f>
        <v/>
      </c>
      <c r="D1471" s="5" t="str">
        <f aca="false">IF(I1471="","",INDEX(J_KET,I1471))</f>
        <v/>
      </c>
      <c r="E1471" s="5" t="str">
        <f aca="false">IF(I1471="","",IF(INDEX(J_DEB,I1471)=$C$3,INDEX(J_KRE,I1471),INDEX(J_DEB,I1471)))</f>
        <v/>
      </c>
      <c r="F1471" s="44" t="str">
        <f aca="false">IF(I1471="","",IF(INDEX(J_DEB,I1471)=$C$3,INDEX(J_NOM,I1471),0))</f>
        <v/>
      </c>
      <c r="G1471" s="44" t="str">
        <f aca="false">IF(I1471="","",IF(INDEX(J_KRE,I1471)=$C$3,INDEX(J_NOM,I1471),0))</f>
        <v/>
      </c>
      <c r="H1471" s="44" t="str">
        <f aca="false">IF(I1471="","",N(H1470)+IF($C$5="Debet",F1471-G1471,G1471-F1471))</f>
        <v/>
      </c>
      <c r="I1471" s="66" t="str">
        <f aca="false">IF(J1471&gt;$K$1,"",IFERROR(MATCH(J1471,J_BB,0),""))</f>
        <v/>
      </c>
      <c r="J1471" s="66" t="n">
        <v>1462</v>
      </c>
      <c r="K1471" s="5"/>
    </row>
    <row r="1472" customFormat="false" ht="15" hidden="false" customHeight="false" outlineLevel="0" collapsed="false">
      <c r="A1472" s="5" t="str">
        <f aca="false">IF(I1472="","",J1472)</f>
        <v/>
      </c>
      <c r="B1472" s="83" t="str">
        <f aca="false">IF(I1472="","",INDEX(J_TGL,I1472))</f>
        <v/>
      </c>
      <c r="C1472" s="5" t="str">
        <f aca="false">IF(I1472="","",INDEX(J_NO,I1472))</f>
        <v/>
      </c>
      <c r="D1472" s="5" t="str">
        <f aca="false">IF(I1472="","",INDEX(J_KET,I1472))</f>
        <v/>
      </c>
      <c r="E1472" s="5" t="str">
        <f aca="false">IF(I1472="","",IF(INDEX(J_DEB,I1472)=$C$3,INDEX(J_KRE,I1472),INDEX(J_DEB,I1472)))</f>
        <v/>
      </c>
      <c r="F1472" s="44" t="str">
        <f aca="false">IF(I1472="","",IF(INDEX(J_DEB,I1472)=$C$3,INDEX(J_NOM,I1472),0))</f>
        <v/>
      </c>
      <c r="G1472" s="44" t="str">
        <f aca="false">IF(I1472="","",IF(INDEX(J_KRE,I1472)=$C$3,INDEX(J_NOM,I1472),0))</f>
        <v/>
      </c>
      <c r="H1472" s="44" t="str">
        <f aca="false">IF(I1472="","",N(H1471)+IF($C$5="Debet",F1472-G1472,G1472-F1472))</f>
        <v/>
      </c>
      <c r="I1472" s="66" t="str">
        <f aca="false">IF(J1472&gt;$K$1,"",IFERROR(MATCH(J1472,J_BB,0),""))</f>
        <v/>
      </c>
      <c r="J1472" s="66" t="n">
        <v>1463</v>
      </c>
      <c r="K1472" s="5"/>
    </row>
    <row r="1473" customFormat="false" ht="15" hidden="false" customHeight="false" outlineLevel="0" collapsed="false">
      <c r="A1473" s="5" t="str">
        <f aca="false">IF(I1473="","",J1473)</f>
        <v/>
      </c>
      <c r="B1473" s="83" t="str">
        <f aca="false">IF(I1473="","",INDEX(J_TGL,I1473))</f>
        <v/>
      </c>
      <c r="C1473" s="5" t="str">
        <f aca="false">IF(I1473="","",INDEX(J_NO,I1473))</f>
        <v/>
      </c>
      <c r="D1473" s="5" t="str">
        <f aca="false">IF(I1473="","",INDEX(J_KET,I1473))</f>
        <v/>
      </c>
      <c r="E1473" s="5" t="str">
        <f aca="false">IF(I1473="","",IF(INDEX(J_DEB,I1473)=$C$3,INDEX(J_KRE,I1473),INDEX(J_DEB,I1473)))</f>
        <v/>
      </c>
      <c r="F1473" s="44" t="str">
        <f aca="false">IF(I1473="","",IF(INDEX(J_DEB,I1473)=$C$3,INDEX(J_NOM,I1473),0))</f>
        <v/>
      </c>
      <c r="G1473" s="44" t="str">
        <f aca="false">IF(I1473="","",IF(INDEX(J_KRE,I1473)=$C$3,INDEX(J_NOM,I1473),0))</f>
        <v/>
      </c>
      <c r="H1473" s="44" t="str">
        <f aca="false">IF(I1473="","",N(H1472)+IF($C$5="Debet",F1473-G1473,G1473-F1473))</f>
        <v/>
      </c>
      <c r="I1473" s="66" t="str">
        <f aca="false">IF(J1473&gt;$K$1,"",IFERROR(MATCH(J1473,J_BB,0),""))</f>
        <v/>
      </c>
      <c r="J1473" s="66" t="n">
        <v>1464</v>
      </c>
      <c r="K1473" s="5"/>
    </row>
    <row r="1474" customFormat="false" ht="15" hidden="false" customHeight="false" outlineLevel="0" collapsed="false">
      <c r="A1474" s="5" t="str">
        <f aca="false">IF(I1474="","",J1474)</f>
        <v/>
      </c>
      <c r="B1474" s="83" t="str">
        <f aca="false">IF(I1474="","",INDEX(J_TGL,I1474))</f>
        <v/>
      </c>
      <c r="C1474" s="5" t="str">
        <f aca="false">IF(I1474="","",INDEX(J_NO,I1474))</f>
        <v/>
      </c>
      <c r="D1474" s="5" t="str">
        <f aca="false">IF(I1474="","",INDEX(J_KET,I1474))</f>
        <v/>
      </c>
      <c r="E1474" s="5" t="str">
        <f aca="false">IF(I1474="","",IF(INDEX(J_DEB,I1474)=$C$3,INDEX(J_KRE,I1474),INDEX(J_DEB,I1474)))</f>
        <v/>
      </c>
      <c r="F1474" s="44" t="str">
        <f aca="false">IF(I1474="","",IF(INDEX(J_DEB,I1474)=$C$3,INDEX(J_NOM,I1474),0))</f>
        <v/>
      </c>
      <c r="G1474" s="44" t="str">
        <f aca="false">IF(I1474="","",IF(INDEX(J_KRE,I1474)=$C$3,INDEX(J_NOM,I1474),0))</f>
        <v/>
      </c>
      <c r="H1474" s="44" t="str">
        <f aca="false">IF(I1474="","",N(H1473)+IF($C$5="Debet",F1474-G1474,G1474-F1474))</f>
        <v/>
      </c>
      <c r="I1474" s="66" t="str">
        <f aca="false">IF(J1474&gt;$K$1,"",IFERROR(MATCH(J1474,J_BB,0),""))</f>
        <v/>
      </c>
      <c r="J1474" s="66" t="n">
        <v>1465</v>
      </c>
      <c r="K1474" s="5"/>
    </row>
    <row r="1475" customFormat="false" ht="15" hidden="false" customHeight="false" outlineLevel="0" collapsed="false">
      <c r="A1475" s="5" t="str">
        <f aca="false">IF(I1475="","",J1475)</f>
        <v/>
      </c>
      <c r="B1475" s="83" t="str">
        <f aca="false">IF(I1475="","",INDEX(J_TGL,I1475))</f>
        <v/>
      </c>
      <c r="C1475" s="5" t="str">
        <f aca="false">IF(I1475="","",INDEX(J_NO,I1475))</f>
        <v/>
      </c>
      <c r="D1475" s="5" t="str">
        <f aca="false">IF(I1475="","",INDEX(J_KET,I1475))</f>
        <v/>
      </c>
      <c r="E1475" s="5" t="str">
        <f aca="false">IF(I1475="","",IF(INDEX(J_DEB,I1475)=$C$3,INDEX(J_KRE,I1475),INDEX(J_DEB,I1475)))</f>
        <v/>
      </c>
      <c r="F1475" s="44" t="str">
        <f aca="false">IF(I1475="","",IF(INDEX(J_DEB,I1475)=$C$3,INDEX(J_NOM,I1475),0))</f>
        <v/>
      </c>
      <c r="G1475" s="44" t="str">
        <f aca="false">IF(I1475="","",IF(INDEX(J_KRE,I1475)=$C$3,INDEX(J_NOM,I1475),0))</f>
        <v/>
      </c>
      <c r="H1475" s="44" t="str">
        <f aca="false">IF(I1475="","",N(H1474)+IF($C$5="Debet",F1475-G1475,G1475-F1475))</f>
        <v/>
      </c>
      <c r="I1475" s="66" t="str">
        <f aca="false">IF(J1475&gt;$K$1,"",IFERROR(MATCH(J1475,J_BB,0),""))</f>
        <v/>
      </c>
      <c r="J1475" s="66" t="n">
        <v>1466</v>
      </c>
      <c r="K1475" s="5"/>
    </row>
    <row r="1476" customFormat="false" ht="15" hidden="false" customHeight="false" outlineLevel="0" collapsed="false">
      <c r="A1476" s="5" t="str">
        <f aca="false">IF(I1476="","",J1476)</f>
        <v/>
      </c>
      <c r="B1476" s="83" t="str">
        <f aca="false">IF(I1476="","",INDEX(J_TGL,I1476))</f>
        <v/>
      </c>
      <c r="C1476" s="5" t="str">
        <f aca="false">IF(I1476="","",INDEX(J_NO,I1476))</f>
        <v/>
      </c>
      <c r="D1476" s="5" t="str">
        <f aca="false">IF(I1476="","",INDEX(J_KET,I1476))</f>
        <v/>
      </c>
      <c r="E1476" s="5" t="str">
        <f aca="false">IF(I1476="","",IF(INDEX(J_DEB,I1476)=$C$3,INDEX(J_KRE,I1476),INDEX(J_DEB,I1476)))</f>
        <v/>
      </c>
      <c r="F1476" s="44" t="str">
        <f aca="false">IF(I1476="","",IF(INDEX(J_DEB,I1476)=$C$3,INDEX(J_NOM,I1476),0))</f>
        <v/>
      </c>
      <c r="G1476" s="44" t="str">
        <f aca="false">IF(I1476="","",IF(INDEX(J_KRE,I1476)=$C$3,INDEX(J_NOM,I1476),0))</f>
        <v/>
      </c>
      <c r="H1476" s="44" t="str">
        <f aca="false">IF(I1476="","",N(H1475)+IF($C$5="Debet",F1476-G1476,G1476-F1476))</f>
        <v/>
      </c>
      <c r="I1476" s="66" t="str">
        <f aca="false">IF(J1476&gt;$K$1,"",IFERROR(MATCH(J1476,J_BB,0),""))</f>
        <v/>
      </c>
      <c r="J1476" s="66" t="n">
        <v>1467</v>
      </c>
      <c r="K1476" s="5"/>
    </row>
    <row r="1477" customFormat="false" ht="15" hidden="false" customHeight="false" outlineLevel="0" collapsed="false">
      <c r="A1477" s="5" t="str">
        <f aca="false">IF(I1477="","",J1477)</f>
        <v/>
      </c>
      <c r="B1477" s="83" t="str">
        <f aca="false">IF(I1477="","",INDEX(J_TGL,I1477))</f>
        <v/>
      </c>
      <c r="C1477" s="5" t="str">
        <f aca="false">IF(I1477="","",INDEX(J_NO,I1477))</f>
        <v/>
      </c>
      <c r="D1477" s="5" t="str">
        <f aca="false">IF(I1477="","",INDEX(J_KET,I1477))</f>
        <v/>
      </c>
      <c r="E1477" s="5" t="str">
        <f aca="false">IF(I1477="","",IF(INDEX(J_DEB,I1477)=$C$3,INDEX(J_KRE,I1477),INDEX(J_DEB,I1477)))</f>
        <v/>
      </c>
      <c r="F1477" s="44" t="str">
        <f aca="false">IF(I1477="","",IF(INDEX(J_DEB,I1477)=$C$3,INDEX(J_NOM,I1477),0))</f>
        <v/>
      </c>
      <c r="G1477" s="44" t="str">
        <f aca="false">IF(I1477="","",IF(INDEX(J_KRE,I1477)=$C$3,INDEX(J_NOM,I1477),0))</f>
        <v/>
      </c>
      <c r="H1477" s="44" t="str">
        <f aca="false">IF(I1477="","",N(H1476)+IF($C$5="Debet",F1477-G1477,G1477-F1477))</f>
        <v/>
      </c>
      <c r="I1477" s="66" t="str">
        <f aca="false">IF(J1477&gt;$K$1,"",IFERROR(MATCH(J1477,J_BB,0),""))</f>
        <v/>
      </c>
      <c r="J1477" s="66" t="n">
        <v>1468</v>
      </c>
      <c r="K1477" s="5"/>
    </row>
    <row r="1478" customFormat="false" ht="15" hidden="false" customHeight="false" outlineLevel="0" collapsed="false">
      <c r="A1478" s="5" t="str">
        <f aca="false">IF(I1478="","",J1478)</f>
        <v/>
      </c>
      <c r="B1478" s="83" t="str">
        <f aca="false">IF(I1478="","",INDEX(J_TGL,I1478))</f>
        <v/>
      </c>
      <c r="C1478" s="5" t="str">
        <f aca="false">IF(I1478="","",INDEX(J_NO,I1478))</f>
        <v/>
      </c>
      <c r="D1478" s="5" t="str">
        <f aca="false">IF(I1478="","",INDEX(J_KET,I1478))</f>
        <v/>
      </c>
      <c r="E1478" s="5" t="str">
        <f aca="false">IF(I1478="","",IF(INDEX(J_DEB,I1478)=$C$3,INDEX(J_KRE,I1478),INDEX(J_DEB,I1478)))</f>
        <v/>
      </c>
      <c r="F1478" s="44" t="str">
        <f aca="false">IF(I1478="","",IF(INDEX(J_DEB,I1478)=$C$3,INDEX(J_NOM,I1478),0))</f>
        <v/>
      </c>
      <c r="G1478" s="44" t="str">
        <f aca="false">IF(I1478="","",IF(INDEX(J_KRE,I1478)=$C$3,INDEX(J_NOM,I1478),0))</f>
        <v/>
      </c>
      <c r="H1478" s="44" t="str">
        <f aca="false">IF(I1478="","",N(H1477)+IF($C$5="Debet",F1478-G1478,G1478-F1478))</f>
        <v/>
      </c>
      <c r="I1478" s="66" t="str">
        <f aca="false">IF(J1478&gt;$K$1,"",IFERROR(MATCH(J1478,J_BB,0),""))</f>
        <v/>
      </c>
      <c r="J1478" s="66" t="n">
        <v>1469</v>
      </c>
      <c r="K1478" s="5"/>
    </row>
    <row r="1479" customFormat="false" ht="15" hidden="false" customHeight="false" outlineLevel="0" collapsed="false">
      <c r="A1479" s="5" t="str">
        <f aca="false">IF(I1479="","",J1479)</f>
        <v/>
      </c>
      <c r="B1479" s="83" t="str">
        <f aca="false">IF(I1479="","",INDEX(J_TGL,I1479))</f>
        <v/>
      </c>
      <c r="C1479" s="5" t="str">
        <f aca="false">IF(I1479="","",INDEX(J_NO,I1479))</f>
        <v/>
      </c>
      <c r="D1479" s="5" t="str">
        <f aca="false">IF(I1479="","",INDEX(J_KET,I1479))</f>
        <v/>
      </c>
      <c r="E1479" s="5" t="str">
        <f aca="false">IF(I1479="","",IF(INDEX(J_DEB,I1479)=$C$3,INDEX(J_KRE,I1479),INDEX(J_DEB,I1479)))</f>
        <v/>
      </c>
      <c r="F1479" s="44" t="str">
        <f aca="false">IF(I1479="","",IF(INDEX(J_DEB,I1479)=$C$3,INDEX(J_NOM,I1479),0))</f>
        <v/>
      </c>
      <c r="G1479" s="44" t="str">
        <f aca="false">IF(I1479="","",IF(INDEX(J_KRE,I1479)=$C$3,INDEX(J_NOM,I1479),0))</f>
        <v/>
      </c>
      <c r="H1479" s="44" t="str">
        <f aca="false">IF(I1479="","",N(H1478)+IF($C$5="Debet",F1479-G1479,G1479-F1479))</f>
        <v/>
      </c>
      <c r="I1479" s="66" t="str">
        <f aca="false">IF(J1479&gt;$K$1,"",IFERROR(MATCH(J1479,J_BB,0),""))</f>
        <v/>
      </c>
      <c r="J1479" s="66" t="n">
        <v>1470</v>
      </c>
      <c r="K1479" s="5"/>
    </row>
    <row r="1480" customFormat="false" ht="15" hidden="false" customHeight="false" outlineLevel="0" collapsed="false">
      <c r="A1480" s="5" t="str">
        <f aca="false">IF(I1480="","",J1480)</f>
        <v/>
      </c>
      <c r="B1480" s="83" t="str">
        <f aca="false">IF(I1480="","",INDEX(J_TGL,I1480))</f>
        <v/>
      </c>
      <c r="C1480" s="5" t="str">
        <f aca="false">IF(I1480="","",INDEX(J_NO,I1480))</f>
        <v/>
      </c>
      <c r="D1480" s="5" t="str">
        <f aca="false">IF(I1480="","",INDEX(J_KET,I1480))</f>
        <v/>
      </c>
      <c r="E1480" s="5" t="str">
        <f aca="false">IF(I1480="","",IF(INDEX(J_DEB,I1480)=$C$3,INDEX(J_KRE,I1480),INDEX(J_DEB,I1480)))</f>
        <v/>
      </c>
      <c r="F1480" s="44" t="str">
        <f aca="false">IF(I1480="","",IF(INDEX(J_DEB,I1480)=$C$3,INDEX(J_NOM,I1480),0))</f>
        <v/>
      </c>
      <c r="G1480" s="44" t="str">
        <f aca="false">IF(I1480="","",IF(INDEX(J_KRE,I1480)=$C$3,INDEX(J_NOM,I1480),0))</f>
        <v/>
      </c>
      <c r="H1480" s="44" t="str">
        <f aca="false">IF(I1480="","",N(H1479)+IF($C$5="Debet",F1480-G1480,G1480-F1480))</f>
        <v/>
      </c>
      <c r="I1480" s="66" t="str">
        <f aca="false">IF(J1480&gt;$K$1,"",IFERROR(MATCH(J1480,J_BB,0),""))</f>
        <v/>
      </c>
      <c r="J1480" s="66" t="n">
        <v>1471</v>
      </c>
      <c r="K1480" s="5"/>
    </row>
    <row r="1481" customFormat="false" ht="15" hidden="false" customHeight="false" outlineLevel="0" collapsed="false">
      <c r="A1481" s="5" t="str">
        <f aca="false">IF(I1481="","",J1481)</f>
        <v/>
      </c>
      <c r="B1481" s="83" t="str">
        <f aca="false">IF(I1481="","",INDEX(J_TGL,I1481))</f>
        <v/>
      </c>
      <c r="C1481" s="5" t="str">
        <f aca="false">IF(I1481="","",INDEX(J_NO,I1481))</f>
        <v/>
      </c>
      <c r="D1481" s="5" t="str">
        <f aca="false">IF(I1481="","",INDEX(J_KET,I1481))</f>
        <v/>
      </c>
      <c r="E1481" s="5" t="str">
        <f aca="false">IF(I1481="","",IF(INDEX(J_DEB,I1481)=$C$3,INDEX(J_KRE,I1481),INDEX(J_DEB,I1481)))</f>
        <v/>
      </c>
      <c r="F1481" s="44" t="str">
        <f aca="false">IF(I1481="","",IF(INDEX(J_DEB,I1481)=$C$3,INDEX(J_NOM,I1481),0))</f>
        <v/>
      </c>
      <c r="G1481" s="44" t="str">
        <f aca="false">IF(I1481="","",IF(INDEX(J_KRE,I1481)=$C$3,INDEX(J_NOM,I1481),0))</f>
        <v/>
      </c>
      <c r="H1481" s="44" t="str">
        <f aca="false">IF(I1481="","",N(H1480)+IF($C$5="Debet",F1481-G1481,G1481-F1481))</f>
        <v/>
      </c>
      <c r="I1481" s="66" t="str">
        <f aca="false">IF(J1481&gt;$K$1,"",IFERROR(MATCH(J1481,J_BB,0),""))</f>
        <v/>
      </c>
      <c r="J1481" s="66" t="n">
        <v>1472</v>
      </c>
      <c r="K1481" s="5"/>
    </row>
    <row r="1482" customFormat="false" ht="15" hidden="false" customHeight="false" outlineLevel="0" collapsed="false">
      <c r="A1482" s="5" t="str">
        <f aca="false">IF(I1482="","",J1482)</f>
        <v/>
      </c>
      <c r="B1482" s="83" t="str">
        <f aca="false">IF(I1482="","",INDEX(J_TGL,I1482))</f>
        <v/>
      </c>
      <c r="C1482" s="5" t="str">
        <f aca="false">IF(I1482="","",INDEX(J_NO,I1482))</f>
        <v/>
      </c>
      <c r="D1482" s="5" t="str">
        <f aca="false">IF(I1482="","",INDEX(J_KET,I1482))</f>
        <v/>
      </c>
      <c r="E1482" s="5" t="str">
        <f aca="false">IF(I1482="","",IF(INDEX(J_DEB,I1482)=$C$3,INDEX(J_KRE,I1482),INDEX(J_DEB,I1482)))</f>
        <v/>
      </c>
      <c r="F1482" s="44" t="str">
        <f aca="false">IF(I1482="","",IF(INDEX(J_DEB,I1482)=$C$3,INDEX(J_NOM,I1482),0))</f>
        <v/>
      </c>
      <c r="G1482" s="44" t="str">
        <f aca="false">IF(I1482="","",IF(INDEX(J_KRE,I1482)=$C$3,INDEX(J_NOM,I1482),0))</f>
        <v/>
      </c>
      <c r="H1482" s="44" t="str">
        <f aca="false">IF(I1482="","",N(H1481)+IF($C$5="Debet",F1482-G1482,G1482-F1482))</f>
        <v/>
      </c>
      <c r="I1482" s="66" t="str">
        <f aca="false">IF(J1482&gt;$K$1,"",IFERROR(MATCH(J1482,J_BB,0),""))</f>
        <v/>
      </c>
      <c r="J1482" s="66" t="n">
        <v>1473</v>
      </c>
      <c r="K1482" s="5"/>
    </row>
    <row r="1483" customFormat="false" ht="15" hidden="false" customHeight="false" outlineLevel="0" collapsed="false">
      <c r="A1483" s="5" t="str">
        <f aca="false">IF(I1483="","",J1483)</f>
        <v/>
      </c>
      <c r="B1483" s="83" t="str">
        <f aca="false">IF(I1483="","",INDEX(J_TGL,I1483))</f>
        <v/>
      </c>
      <c r="C1483" s="5" t="str">
        <f aca="false">IF(I1483="","",INDEX(J_NO,I1483))</f>
        <v/>
      </c>
      <c r="D1483" s="5" t="str">
        <f aca="false">IF(I1483="","",INDEX(J_KET,I1483))</f>
        <v/>
      </c>
      <c r="E1483" s="5" t="str">
        <f aca="false">IF(I1483="","",IF(INDEX(J_DEB,I1483)=$C$3,INDEX(J_KRE,I1483),INDEX(J_DEB,I1483)))</f>
        <v/>
      </c>
      <c r="F1483" s="44" t="str">
        <f aca="false">IF(I1483="","",IF(INDEX(J_DEB,I1483)=$C$3,INDEX(J_NOM,I1483),0))</f>
        <v/>
      </c>
      <c r="G1483" s="44" t="str">
        <f aca="false">IF(I1483="","",IF(INDEX(J_KRE,I1483)=$C$3,INDEX(J_NOM,I1483),0))</f>
        <v/>
      </c>
      <c r="H1483" s="44" t="str">
        <f aca="false">IF(I1483="","",N(H1482)+IF($C$5="Debet",F1483-G1483,G1483-F1483))</f>
        <v/>
      </c>
      <c r="I1483" s="66" t="str">
        <f aca="false">IF(J1483&gt;$K$1,"",IFERROR(MATCH(J1483,J_BB,0),""))</f>
        <v/>
      </c>
      <c r="J1483" s="66" t="n">
        <v>1474</v>
      </c>
      <c r="K1483" s="5"/>
    </row>
    <row r="1484" customFormat="false" ht="15" hidden="false" customHeight="false" outlineLevel="0" collapsed="false">
      <c r="A1484" s="5" t="str">
        <f aca="false">IF(I1484="","",J1484)</f>
        <v/>
      </c>
      <c r="B1484" s="83" t="str">
        <f aca="false">IF(I1484="","",INDEX(J_TGL,I1484))</f>
        <v/>
      </c>
      <c r="C1484" s="5" t="str">
        <f aca="false">IF(I1484="","",INDEX(J_NO,I1484))</f>
        <v/>
      </c>
      <c r="D1484" s="5" t="str">
        <f aca="false">IF(I1484="","",INDEX(J_KET,I1484))</f>
        <v/>
      </c>
      <c r="E1484" s="5" t="str">
        <f aca="false">IF(I1484="","",IF(INDEX(J_DEB,I1484)=$C$3,INDEX(J_KRE,I1484),INDEX(J_DEB,I1484)))</f>
        <v/>
      </c>
      <c r="F1484" s="44" t="str">
        <f aca="false">IF(I1484="","",IF(INDEX(J_DEB,I1484)=$C$3,INDEX(J_NOM,I1484),0))</f>
        <v/>
      </c>
      <c r="G1484" s="44" t="str">
        <f aca="false">IF(I1484="","",IF(INDEX(J_KRE,I1484)=$C$3,INDEX(J_NOM,I1484),0))</f>
        <v/>
      </c>
      <c r="H1484" s="44" t="str">
        <f aca="false">IF(I1484="","",N(H1483)+IF($C$5="Debet",F1484-G1484,G1484-F1484))</f>
        <v/>
      </c>
      <c r="I1484" s="66" t="str">
        <f aca="false">IF(J1484&gt;$K$1,"",IFERROR(MATCH(J1484,J_BB,0),""))</f>
        <v/>
      </c>
      <c r="J1484" s="66" t="n">
        <v>1475</v>
      </c>
      <c r="K1484" s="5"/>
    </row>
    <row r="1485" customFormat="false" ht="15" hidden="false" customHeight="false" outlineLevel="0" collapsed="false">
      <c r="A1485" s="5" t="str">
        <f aca="false">IF(I1485="","",J1485)</f>
        <v/>
      </c>
      <c r="B1485" s="83" t="str">
        <f aca="false">IF(I1485="","",INDEX(J_TGL,I1485))</f>
        <v/>
      </c>
      <c r="C1485" s="5" t="str">
        <f aca="false">IF(I1485="","",INDEX(J_NO,I1485))</f>
        <v/>
      </c>
      <c r="D1485" s="5" t="str">
        <f aca="false">IF(I1485="","",INDEX(J_KET,I1485))</f>
        <v/>
      </c>
      <c r="E1485" s="5" t="str">
        <f aca="false">IF(I1485="","",IF(INDEX(J_DEB,I1485)=$C$3,INDEX(J_KRE,I1485),INDEX(J_DEB,I1485)))</f>
        <v/>
      </c>
      <c r="F1485" s="44" t="str">
        <f aca="false">IF(I1485="","",IF(INDEX(J_DEB,I1485)=$C$3,INDEX(J_NOM,I1485),0))</f>
        <v/>
      </c>
      <c r="G1485" s="44" t="str">
        <f aca="false">IF(I1485="","",IF(INDEX(J_KRE,I1485)=$C$3,INDEX(J_NOM,I1485),0))</f>
        <v/>
      </c>
      <c r="H1485" s="44" t="str">
        <f aca="false">IF(I1485="","",N(H1484)+IF($C$5="Debet",F1485-G1485,G1485-F1485))</f>
        <v/>
      </c>
      <c r="I1485" s="66" t="str">
        <f aca="false">IF(J1485&gt;$K$1,"",IFERROR(MATCH(J1485,J_BB,0),""))</f>
        <v/>
      </c>
      <c r="J1485" s="66" t="n">
        <v>1476</v>
      </c>
      <c r="K1485" s="5"/>
    </row>
    <row r="1486" customFormat="false" ht="15" hidden="false" customHeight="false" outlineLevel="0" collapsed="false">
      <c r="A1486" s="5" t="str">
        <f aca="false">IF(I1486="","",J1486)</f>
        <v/>
      </c>
      <c r="B1486" s="83" t="str">
        <f aca="false">IF(I1486="","",INDEX(J_TGL,I1486))</f>
        <v/>
      </c>
      <c r="C1486" s="5" t="str">
        <f aca="false">IF(I1486="","",INDEX(J_NO,I1486))</f>
        <v/>
      </c>
      <c r="D1486" s="5" t="str">
        <f aca="false">IF(I1486="","",INDEX(J_KET,I1486))</f>
        <v/>
      </c>
      <c r="E1486" s="5" t="str">
        <f aca="false">IF(I1486="","",IF(INDEX(J_DEB,I1486)=$C$3,INDEX(J_KRE,I1486),INDEX(J_DEB,I1486)))</f>
        <v/>
      </c>
      <c r="F1486" s="44" t="str">
        <f aca="false">IF(I1486="","",IF(INDEX(J_DEB,I1486)=$C$3,INDEX(J_NOM,I1486),0))</f>
        <v/>
      </c>
      <c r="G1486" s="44" t="str">
        <f aca="false">IF(I1486="","",IF(INDEX(J_KRE,I1486)=$C$3,INDEX(J_NOM,I1486),0))</f>
        <v/>
      </c>
      <c r="H1486" s="44" t="str">
        <f aca="false">IF(I1486="","",N(H1485)+IF($C$5="Debet",F1486-G1486,G1486-F1486))</f>
        <v/>
      </c>
      <c r="I1486" s="66" t="str">
        <f aca="false">IF(J1486&gt;$K$1,"",IFERROR(MATCH(J1486,J_BB,0),""))</f>
        <v/>
      </c>
      <c r="J1486" s="66" t="n">
        <v>1477</v>
      </c>
      <c r="K1486" s="5"/>
    </row>
    <row r="1487" customFormat="false" ht="15" hidden="false" customHeight="false" outlineLevel="0" collapsed="false">
      <c r="A1487" s="5" t="str">
        <f aca="false">IF(I1487="","",J1487)</f>
        <v/>
      </c>
      <c r="B1487" s="83" t="str">
        <f aca="false">IF(I1487="","",INDEX(J_TGL,I1487))</f>
        <v/>
      </c>
      <c r="C1487" s="5" t="str">
        <f aca="false">IF(I1487="","",INDEX(J_NO,I1487))</f>
        <v/>
      </c>
      <c r="D1487" s="5" t="str">
        <f aca="false">IF(I1487="","",INDEX(J_KET,I1487))</f>
        <v/>
      </c>
      <c r="E1487" s="5" t="str">
        <f aca="false">IF(I1487="","",IF(INDEX(J_DEB,I1487)=$C$3,INDEX(J_KRE,I1487),INDEX(J_DEB,I1487)))</f>
        <v/>
      </c>
      <c r="F1487" s="44" t="str">
        <f aca="false">IF(I1487="","",IF(INDEX(J_DEB,I1487)=$C$3,INDEX(J_NOM,I1487),0))</f>
        <v/>
      </c>
      <c r="G1487" s="44" t="str">
        <f aca="false">IF(I1487="","",IF(INDEX(J_KRE,I1487)=$C$3,INDEX(J_NOM,I1487),0))</f>
        <v/>
      </c>
      <c r="H1487" s="44" t="str">
        <f aca="false">IF(I1487="","",N(H1486)+IF($C$5="Debet",F1487-G1487,G1487-F1487))</f>
        <v/>
      </c>
      <c r="I1487" s="66" t="str">
        <f aca="false">IF(J1487&gt;$K$1,"",IFERROR(MATCH(J1487,J_BB,0),""))</f>
        <v/>
      </c>
      <c r="J1487" s="66" t="n">
        <v>1478</v>
      </c>
      <c r="K1487" s="5"/>
    </row>
    <row r="1488" customFormat="false" ht="15" hidden="false" customHeight="false" outlineLevel="0" collapsed="false">
      <c r="A1488" s="5" t="str">
        <f aca="false">IF(I1488="","",J1488)</f>
        <v/>
      </c>
      <c r="B1488" s="83" t="str">
        <f aca="false">IF(I1488="","",INDEX(J_TGL,I1488))</f>
        <v/>
      </c>
      <c r="C1488" s="5" t="str">
        <f aca="false">IF(I1488="","",INDEX(J_NO,I1488))</f>
        <v/>
      </c>
      <c r="D1488" s="5" t="str">
        <f aca="false">IF(I1488="","",INDEX(J_KET,I1488))</f>
        <v/>
      </c>
      <c r="E1488" s="5" t="str">
        <f aca="false">IF(I1488="","",IF(INDEX(J_DEB,I1488)=$C$3,INDEX(J_KRE,I1488),INDEX(J_DEB,I1488)))</f>
        <v/>
      </c>
      <c r="F1488" s="44" t="str">
        <f aca="false">IF(I1488="","",IF(INDEX(J_DEB,I1488)=$C$3,INDEX(J_NOM,I1488),0))</f>
        <v/>
      </c>
      <c r="G1488" s="44" t="str">
        <f aca="false">IF(I1488="","",IF(INDEX(J_KRE,I1488)=$C$3,INDEX(J_NOM,I1488),0))</f>
        <v/>
      </c>
      <c r="H1488" s="44" t="str">
        <f aca="false">IF(I1488="","",N(H1487)+IF($C$5="Debet",F1488-G1488,G1488-F1488))</f>
        <v/>
      </c>
      <c r="I1488" s="66" t="str">
        <f aca="false">IF(J1488&gt;$K$1,"",IFERROR(MATCH(J1488,J_BB,0),""))</f>
        <v/>
      </c>
      <c r="J1488" s="66" t="n">
        <v>1479</v>
      </c>
      <c r="K1488" s="5"/>
    </row>
    <row r="1489" customFormat="false" ht="15" hidden="false" customHeight="false" outlineLevel="0" collapsed="false">
      <c r="A1489" s="5" t="str">
        <f aca="false">IF(I1489="","",J1489)</f>
        <v/>
      </c>
      <c r="B1489" s="83" t="str">
        <f aca="false">IF(I1489="","",INDEX(J_TGL,I1489))</f>
        <v/>
      </c>
      <c r="C1489" s="5" t="str">
        <f aca="false">IF(I1489="","",INDEX(J_NO,I1489))</f>
        <v/>
      </c>
      <c r="D1489" s="5" t="str">
        <f aca="false">IF(I1489="","",INDEX(J_KET,I1489))</f>
        <v/>
      </c>
      <c r="E1489" s="5" t="str">
        <f aca="false">IF(I1489="","",IF(INDEX(J_DEB,I1489)=$C$3,INDEX(J_KRE,I1489),INDEX(J_DEB,I1489)))</f>
        <v/>
      </c>
      <c r="F1489" s="44" t="str">
        <f aca="false">IF(I1489="","",IF(INDEX(J_DEB,I1489)=$C$3,INDEX(J_NOM,I1489),0))</f>
        <v/>
      </c>
      <c r="G1489" s="44" t="str">
        <f aca="false">IF(I1489="","",IF(INDEX(J_KRE,I1489)=$C$3,INDEX(J_NOM,I1489),0))</f>
        <v/>
      </c>
      <c r="H1489" s="44" t="str">
        <f aca="false">IF(I1489="","",N(H1488)+IF($C$5="Debet",F1489-G1489,G1489-F1489))</f>
        <v/>
      </c>
      <c r="I1489" s="66" t="str">
        <f aca="false">IF(J1489&gt;$K$1,"",IFERROR(MATCH(J1489,J_BB,0),""))</f>
        <v/>
      </c>
      <c r="J1489" s="66" t="n">
        <v>1480</v>
      </c>
      <c r="K1489" s="5"/>
    </row>
    <row r="1490" customFormat="false" ht="15" hidden="false" customHeight="false" outlineLevel="0" collapsed="false">
      <c r="A1490" s="5" t="str">
        <f aca="false">IF(I1490="","",J1490)</f>
        <v/>
      </c>
      <c r="B1490" s="83" t="str">
        <f aca="false">IF(I1490="","",INDEX(J_TGL,I1490))</f>
        <v/>
      </c>
      <c r="C1490" s="5" t="str">
        <f aca="false">IF(I1490="","",INDEX(J_NO,I1490))</f>
        <v/>
      </c>
      <c r="D1490" s="5" t="str">
        <f aca="false">IF(I1490="","",INDEX(J_KET,I1490))</f>
        <v/>
      </c>
      <c r="E1490" s="5" t="str">
        <f aca="false">IF(I1490="","",IF(INDEX(J_DEB,I1490)=$C$3,INDEX(J_KRE,I1490),INDEX(J_DEB,I1490)))</f>
        <v/>
      </c>
      <c r="F1490" s="44" t="str">
        <f aca="false">IF(I1490="","",IF(INDEX(J_DEB,I1490)=$C$3,INDEX(J_NOM,I1490),0))</f>
        <v/>
      </c>
      <c r="G1490" s="44" t="str">
        <f aca="false">IF(I1490="","",IF(INDEX(J_KRE,I1490)=$C$3,INDEX(J_NOM,I1490),0))</f>
        <v/>
      </c>
      <c r="H1490" s="44" t="str">
        <f aca="false">IF(I1490="","",N(H1489)+IF($C$5="Debet",F1490-G1490,G1490-F1490))</f>
        <v/>
      </c>
      <c r="I1490" s="66" t="str">
        <f aca="false">IF(J1490&gt;$K$1,"",IFERROR(MATCH(J1490,J_BB,0),""))</f>
        <v/>
      </c>
      <c r="J1490" s="66" t="n">
        <v>1481</v>
      </c>
      <c r="K1490" s="5"/>
    </row>
    <row r="1491" customFormat="false" ht="15" hidden="false" customHeight="false" outlineLevel="0" collapsed="false">
      <c r="A1491" s="5" t="str">
        <f aca="false">IF(I1491="","",J1491)</f>
        <v/>
      </c>
      <c r="B1491" s="83" t="str">
        <f aca="false">IF(I1491="","",INDEX(J_TGL,I1491))</f>
        <v/>
      </c>
      <c r="C1491" s="5" t="str">
        <f aca="false">IF(I1491="","",INDEX(J_NO,I1491))</f>
        <v/>
      </c>
      <c r="D1491" s="5" t="str">
        <f aca="false">IF(I1491="","",INDEX(J_KET,I1491))</f>
        <v/>
      </c>
      <c r="E1491" s="5" t="str">
        <f aca="false">IF(I1491="","",IF(INDEX(J_DEB,I1491)=$C$3,INDEX(J_KRE,I1491),INDEX(J_DEB,I1491)))</f>
        <v/>
      </c>
      <c r="F1491" s="44" t="str">
        <f aca="false">IF(I1491="","",IF(INDEX(J_DEB,I1491)=$C$3,INDEX(J_NOM,I1491),0))</f>
        <v/>
      </c>
      <c r="G1491" s="44" t="str">
        <f aca="false">IF(I1491="","",IF(INDEX(J_KRE,I1491)=$C$3,INDEX(J_NOM,I1491),0))</f>
        <v/>
      </c>
      <c r="H1491" s="44" t="str">
        <f aca="false">IF(I1491="","",N(H1490)+IF($C$5="Debet",F1491-G1491,G1491-F1491))</f>
        <v/>
      </c>
      <c r="I1491" s="66" t="str">
        <f aca="false">IF(J1491&gt;$K$1,"",IFERROR(MATCH(J1491,J_BB,0),""))</f>
        <v/>
      </c>
      <c r="J1491" s="66" t="n">
        <v>1482</v>
      </c>
      <c r="K1491" s="5"/>
    </row>
    <row r="1492" customFormat="false" ht="15" hidden="false" customHeight="false" outlineLevel="0" collapsed="false">
      <c r="A1492" s="5" t="str">
        <f aca="false">IF(I1492="","",J1492)</f>
        <v/>
      </c>
      <c r="B1492" s="83" t="str">
        <f aca="false">IF(I1492="","",INDEX(J_TGL,I1492))</f>
        <v/>
      </c>
      <c r="C1492" s="5" t="str">
        <f aca="false">IF(I1492="","",INDEX(J_NO,I1492))</f>
        <v/>
      </c>
      <c r="D1492" s="5" t="str">
        <f aca="false">IF(I1492="","",INDEX(J_KET,I1492))</f>
        <v/>
      </c>
      <c r="E1492" s="5" t="str">
        <f aca="false">IF(I1492="","",IF(INDEX(J_DEB,I1492)=$C$3,INDEX(J_KRE,I1492),INDEX(J_DEB,I1492)))</f>
        <v/>
      </c>
      <c r="F1492" s="44" t="str">
        <f aca="false">IF(I1492="","",IF(INDEX(J_DEB,I1492)=$C$3,INDEX(J_NOM,I1492),0))</f>
        <v/>
      </c>
      <c r="G1492" s="44" t="str">
        <f aca="false">IF(I1492="","",IF(INDEX(J_KRE,I1492)=$C$3,INDEX(J_NOM,I1492),0))</f>
        <v/>
      </c>
      <c r="H1492" s="44" t="str">
        <f aca="false">IF(I1492="","",N(H1491)+IF($C$5="Debet",F1492-G1492,G1492-F1492))</f>
        <v/>
      </c>
      <c r="I1492" s="66" t="str">
        <f aca="false">IF(J1492&gt;$K$1,"",IFERROR(MATCH(J1492,J_BB,0),""))</f>
        <v/>
      </c>
      <c r="J1492" s="66" t="n">
        <v>1483</v>
      </c>
      <c r="K1492" s="5"/>
    </row>
    <row r="1493" customFormat="false" ht="15" hidden="false" customHeight="false" outlineLevel="0" collapsed="false">
      <c r="A1493" s="5" t="str">
        <f aca="false">IF(I1493="","",J1493)</f>
        <v/>
      </c>
      <c r="B1493" s="83" t="str">
        <f aca="false">IF(I1493="","",INDEX(J_TGL,I1493))</f>
        <v/>
      </c>
      <c r="C1493" s="5" t="str">
        <f aca="false">IF(I1493="","",INDEX(J_NO,I1493))</f>
        <v/>
      </c>
      <c r="D1493" s="5" t="str">
        <f aca="false">IF(I1493="","",INDEX(J_KET,I1493))</f>
        <v/>
      </c>
      <c r="E1493" s="5" t="str">
        <f aca="false">IF(I1493="","",IF(INDEX(J_DEB,I1493)=$C$3,INDEX(J_KRE,I1493),INDEX(J_DEB,I1493)))</f>
        <v/>
      </c>
      <c r="F1493" s="44" t="str">
        <f aca="false">IF(I1493="","",IF(INDEX(J_DEB,I1493)=$C$3,INDEX(J_NOM,I1493),0))</f>
        <v/>
      </c>
      <c r="G1493" s="44" t="str">
        <f aca="false">IF(I1493="","",IF(INDEX(J_KRE,I1493)=$C$3,INDEX(J_NOM,I1493),0))</f>
        <v/>
      </c>
      <c r="H1493" s="44" t="str">
        <f aca="false">IF(I1493="","",N(H1492)+IF($C$5="Debet",F1493-G1493,G1493-F1493))</f>
        <v/>
      </c>
      <c r="I1493" s="66" t="str">
        <f aca="false">IF(J1493&gt;$K$1,"",IFERROR(MATCH(J1493,J_BB,0),""))</f>
        <v/>
      </c>
      <c r="J1493" s="66" t="n">
        <v>1484</v>
      </c>
      <c r="K1493" s="5"/>
    </row>
    <row r="1494" customFormat="false" ht="15" hidden="false" customHeight="false" outlineLevel="0" collapsed="false">
      <c r="A1494" s="5" t="str">
        <f aca="false">IF(I1494="","",J1494)</f>
        <v/>
      </c>
      <c r="B1494" s="83" t="str">
        <f aca="false">IF(I1494="","",INDEX(J_TGL,I1494))</f>
        <v/>
      </c>
      <c r="C1494" s="5" t="str">
        <f aca="false">IF(I1494="","",INDEX(J_NO,I1494))</f>
        <v/>
      </c>
      <c r="D1494" s="5" t="str">
        <f aca="false">IF(I1494="","",INDEX(J_KET,I1494))</f>
        <v/>
      </c>
      <c r="E1494" s="5" t="str">
        <f aca="false">IF(I1494="","",IF(INDEX(J_DEB,I1494)=$C$3,INDEX(J_KRE,I1494),INDEX(J_DEB,I1494)))</f>
        <v/>
      </c>
      <c r="F1494" s="44" t="str">
        <f aca="false">IF(I1494="","",IF(INDEX(J_DEB,I1494)=$C$3,INDEX(J_NOM,I1494),0))</f>
        <v/>
      </c>
      <c r="G1494" s="44" t="str">
        <f aca="false">IF(I1494="","",IF(INDEX(J_KRE,I1494)=$C$3,INDEX(J_NOM,I1494),0))</f>
        <v/>
      </c>
      <c r="H1494" s="44" t="str">
        <f aca="false">IF(I1494="","",N(H1493)+IF($C$5="Debet",F1494-G1494,G1494-F1494))</f>
        <v/>
      </c>
      <c r="I1494" s="66" t="str">
        <f aca="false">IF(J1494&gt;$K$1,"",IFERROR(MATCH(J1494,J_BB,0),""))</f>
        <v/>
      </c>
      <c r="J1494" s="66" t="n">
        <v>1485</v>
      </c>
      <c r="K1494" s="5"/>
    </row>
    <row r="1495" customFormat="false" ht="15" hidden="false" customHeight="false" outlineLevel="0" collapsed="false">
      <c r="A1495" s="5" t="str">
        <f aca="false">IF(I1495="","",J1495)</f>
        <v/>
      </c>
      <c r="B1495" s="83" t="str">
        <f aca="false">IF(I1495="","",INDEX(J_TGL,I1495))</f>
        <v/>
      </c>
      <c r="C1495" s="5" t="str">
        <f aca="false">IF(I1495="","",INDEX(J_NO,I1495))</f>
        <v/>
      </c>
      <c r="D1495" s="5" t="str">
        <f aca="false">IF(I1495="","",INDEX(J_KET,I1495))</f>
        <v/>
      </c>
      <c r="E1495" s="5" t="str">
        <f aca="false">IF(I1495="","",IF(INDEX(J_DEB,I1495)=$C$3,INDEX(J_KRE,I1495),INDEX(J_DEB,I1495)))</f>
        <v/>
      </c>
      <c r="F1495" s="44" t="str">
        <f aca="false">IF(I1495="","",IF(INDEX(J_DEB,I1495)=$C$3,INDEX(J_NOM,I1495),0))</f>
        <v/>
      </c>
      <c r="G1495" s="44" t="str">
        <f aca="false">IF(I1495="","",IF(INDEX(J_KRE,I1495)=$C$3,INDEX(J_NOM,I1495),0))</f>
        <v/>
      </c>
      <c r="H1495" s="44" t="str">
        <f aca="false">IF(I1495="","",N(H1494)+IF($C$5="Debet",F1495-G1495,G1495-F1495))</f>
        <v/>
      </c>
      <c r="I1495" s="66" t="str">
        <f aca="false">IF(J1495&gt;$K$1,"",IFERROR(MATCH(J1495,J_BB,0),""))</f>
        <v/>
      </c>
      <c r="J1495" s="66" t="n">
        <v>1486</v>
      </c>
      <c r="K1495" s="5"/>
    </row>
    <row r="1496" customFormat="false" ht="15" hidden="false" customHeight="false" outlineLevel="0" collapsed="false">
      <c r="A1496" s="5" t="str">
        <f aca="false">IF(I1496="","",J1496)</f>
        <v/>
      </c>
      <c r="B1496" s="83" t="str">
        <f aca="false">IF(I1496="","",INDEX(J_TGL,I1496))</f>
        <v/>
      </c>
      <c r="C1496" s="5" t="str">
        <f aca="false">IF(I1496="","",INDEX(J_NO,I1496))</f>
        <v/>
      </c>
      <c r="D1496" s="5" t="str">
        <f aca="false">IF(I1496="","",INDEX(J_KET,I1496))</f>
        <v/>
      </c>
      <c r="E1496" s="5" t="str">
        <f aca="false">IF(I1496="","",IF(INDEX(J_DEB,I1496)=$C$3,INDEX(J_KRE,I1496),INDEX(J_DEB,I1496)))</f>
        <v/>
      </c>
      <c r="F1496" s="44" t="str">
        <f aca="false">IF(I1496="","",IF(INDEX(J_DEB,I1496)=$C$3,INDEX(J_NOM,I1496),0))</f>
        <v/>
      </c>
      <c r="G1496" s="44" t="str">
        <f aca="false">IF(I1496="","",IF(INDEX(J_KRE,I1496)=$C$3,INDEX(J_NOM,I1496),0))</f>
        <v/>
      </c>
      <c r="H1496" s="44" t="str">
        <f aca="false">IF(I1496="","",N(H1495)+IF($C$5="Debet",F1496-G1496,G1496-F1496))</f>
        <v/>
      </c>
      <c r="I1496" s="66" t="str">
        <f aca="false">IF(J1496&gt;$K$1,"",IFERROR(MATCH(J1496,J_BB,0),""))</f>
        <v/>
      </c>
      <c r="J1496" s="66" t="n">
        <v>1487</v>
      </c>
      <c r="K1496" s="5"/>
    </row>
    <row r="1497" customFormat="false" ht="15" hidden="false" customHeight="false" outlineLevel="0" collapsed="false">
      <c r="A1497" s="5" t="str">
        <f aca="false">IF(I1497="","",J1497)</f>
        <v/>
      </c>
      <c r="B1497" s="83" t="str">
        <f aca="false">IF(I1497="","",INDEX(J_TGL,I1497))</f>
        <v/>
      </c>
      <c r="C1497" s="5" t="str">
        <f aca="false">IF(I1497="","",INDEX(J_NO,I1497))</f>
        <v/>
      </c>
      <c r="D1497" s="5" t="str">
        <f aca="false">IF(I1497="","",INDEX(J_KET,I1497))</f>
        <v/>
      </c>
      <c r="E1497" s="5" t="str">
        <f aca="false">IF(I1497="","",IF(INDEX(J_DEB,I1497)=$C$3,INDEX(J_KRE,I1497),INDEX(J_DEB,I1497)))</f>
        <v/>
      </c>
      <c r="F1497" s="44" t="str">
        <f aca="false">IF(I1497="","",IF(INDEX(J_DEB,I1497)=$C$3,INDEX(J_NOM,I1497),0))</f>
        <v/>
      </c>
      <c r="G1497" s="44" t="str">
        <f aca="false">IF(I1497="","",IF(INDEX(J_KRE,I1497)=$C$3,INDEX(J_NOM,I1497),0))</f>
        <v/>
      </c>
      <c r="H1497" s="44" t="str">
        <f aca="false">IF(I1497="","",N(H1496)+IF($C$5="Debet",F1497-G1497,G1497-F1497))</f>
        <v/>
      </c>
      <c r="I1497" s="66" t="str">
        <f aca="false">IF(J1497&gt;$K$1,"",IFERROR(MATCH(J1497,J_BB,0),""))</f>
        <v/>
      </c>
      <c r="J1497" s="66" t="n">
        <v>1488</v>
      </c>
      <c r="K1497" s="5"/>
    </row>
    <row r="1498" customFormat="false" ht="15" hidden="false" customHeight="false" outlineLevel="0" collapsed="false">
      <c r="A1498" s="5" t="str">
        <f aca="false">IF(I1498="","",J1498)</f>
        <v/>
      </c>
      <c r="B1498" s="83" t="str">
        <f aca="false">IF(I1498="","",INDEX(J_TGL,I1498))</f>
        <v/>
      </c>
      <c r="C1498" s="5" t="str">
        <f aca="false">IF(I1498="","",INDEX(J_NO,I1498))</f>
        <v/>
      </c>
      <c r="D1498" s="5" t="str">
        <f aca="false">IF(I1498="","",INDEX(J_KET,I1498))</f>
        <v/>
      </c>
      <c r="E1498" s="5" t="str">
        <f aca="false">IF(I1498="","",IF(INDEX(J_DEB,I1498)=$C$3,INDEX(J_KRE,I1498),INDEX(J_DEB,I1498)))</f>
        <v/>
      </c>
      <c r="F1498" s="44" t="str">
        <f aca="false">IF(I1498="","",IF(INDEX(J_DEB,I1498)=$C$3,INDEX(J_NOM,I1498),0))</f>
        <v/>
      </c>
      <c r="G1498" s="44" t="str">
        <f aca="false">IF(I1498="","",IF(INDEX(J_KRE,I1498)=$C$3,INDEX(J_NOM,I1498),0))</f>
        <v/>
      </c>
      <c r="H1498" s="44" t="str">
        <f aca="false">IF(I1498="","",N(H1497)+IF($C$5="Debet",F1498-G1498,G1498-F1498))</f>
        <v/>
      </c>
      <c r="I1498" s="66" t="str">
        <f aca="false">IF(J1498&gt;$K$1,"",IFERROR(MATCH(J1498,J_BB,0),""))</f>
        <v/>
      </c>
      <c r="J1498" s="66" t="n">
        <v>1489</v>
      </c>
      <c r="K1498" s="5"/>
    </row>
    <row r="1499" customFormat="false" ht="15" hidden="false" customHeight="false" outlineLevel="0" collapsed="false">
      <c r="A1499" s="5" t="str">
        <f aca="false">IF(I1499="","",J1499)</f>
        <v/>
      </c>
      <c r="B1499" s="83" t="str">
        <f aca="false">IF(I1499="","",INDEX(J_TGL,I1499))</f>
        <v/>
      </c>
      <c r="C1499" s="5" t="str">
        <f aca="false">IF(I1499="","",INDEX(J_NO,I1499))</f>
        <v/>
      </c>
      <c r="D1499" s="5" t="str">
        <f aca="false">IF(I1499="","",INDEX(J_KET,I1499))</f>
        <v/>
      </c>
      <c r="E1499" s="5" t="str">
        <f aca="false">IF(I1499="","",IF(INDEX(J_DEB,I1499)=$C$3,INDEX(J_KRE,I1499),INDEX(J_DEB,I1499)))</f>
        <v/>
      </c>
      <c r="F1499" s="44" t="str">
        <f aca="false">IF(I1499="","",IF(INDEX(J_DEB,I1499)=$C$3,INDEX(J_NOM,I1499),0))</f>
        <v/>
      </c>
      <c r="G1499" s="44" t="str">
        <f aca="false">IF(I1499="","",IF(INDEX(J_KRE,I1499)=$C$3,INDEX(J_NOM,I1499),0))</f>
        <v/>
      </c>
      <c r="H1499" s="44" t="str">
        <f aca="false">IF(I1499="","",N(H1498)+IF($C$5="Debet",F1499-G1499,G1499-F1499))</f>
        <v/>
      </c>
      <c r="I1499" s="66" t="str">
        <f aca="false">IF(J1499&gt;$K$1,"",IFERROR(MATCH(J1499,J_BB,0),""))</f>
        <v/>
      </c>
      <c r="J1499" s="66" t="n">
        <v>1490</v>
      </c>
      <c r="K1499" s="5"/>
    </row>
    <row r="1500" customFormat="false" ht="15" hidden="false" customHeight="false" outlineLevel="0" collapsed="false">
      <c r="A1500" s="5" t="str">
        <f aca="false">IF(I1500="","",J1500)</f>
        <v/>
      </c>
      <c r="B1500" s="83" t="str">
        <f aca="false">IF(I1500="","",INDEX(J_TGL,I1500))</f>
        <v/>
      </c>
      <c r="C1500" s="5" t="str">
        <f aca="false">IF(I1500="","",INDEX(J_NO,I1500))</f>
        <v/>
      </c>
      <c r="D1500" s="5" t="str">
        <f aca="false">IF(I1500="","",INDEX(J_KET,I1500))</f>
        <v/>
      </c>
      <c r="E1500" s="5" t="str">
        <f aca="false">IF(I1500="","",IF(INDEX(J_DEB,I1500)=$C$3,INDEX(J_KRE,I1500),INDEX(J_DEB,I1500)))</f>
        <v/>
      </c>
      <c r="F1500" s="44" t="str">
        <f aca="false">IF(I1500="","",IF(INDEX(J_DEB,I1500)=$C$3,INDEX(J_NOM,I1500),0))</f>
        <v/>
      </c>
      <c r="G1500" s="44" t="str">
        <f aca="false">IF(I1500="","",IF(INDEX(J_KRE,I1500)=$C$3,INDEX(J_NOM,I1500),0))</f>
        <v/>
      </c>
      <c r="H1500" s="44" t="str">
        <f aca="false">IF(I1500="","",N(H1499)+IF($C$5="Debet",F1500-G1500,G1500-F1500))</f>
        <v/>
      </c>
      <c r="I1500" s="66" t="str">
        <f aca="false">IF(J1500&gt;$K$1,"",IFERROR(MATCH(J1500,J_BB,0),""))</f>
        <v/>
      </c>
      <c r="J1500" s="66" t="n">
        <v>1491</v>
      </c>
      <c r="K1500" s="5"/>
    </row>
    <row r="1501" customFormat="false" ht="15" hidden="false" customHeight="false" outlineLevel="0" collapsed="false">
      <c r="A1501" s="5" t="str">
        <f aca="false">IF(I1501="","",J1501)</f>
        <v/>
      </c>
      <c r="B1501" s="83" t="str">
        <f aca="false">IF(I1501="","",INDEX(J_TGL,I1501))</f>
        <v/>
      </c>
      <c r="C1501" s="5" t="str">
        <f aca="false">IF(I1501="","",INDEX(J_NO,I1501))</f>
        <v/>
      </c>
      <c r="D1501" s="5" t="str">
        <f aca="false">IF(I1501="","",INDEX(J_KET,I1501))</f>
        <v/>
      </c>
      <c r="E1501" s="5" t="str">
        <f aca="false">IF(I1501="","",IF(INDEX(J_DEB,I1501)=$C$3,INDEX(J_KRE,I1501),INDEX(J_DEB,I1501)))</f>
        <v/>
      </c>
      <c r="F1501" s="44" t="str">
        <f aca="false">IF(I1501="","",IF(INDEX(J_DEB,I1501)=$C$3,INDEX(J_NOM,I1501),0))</f>
        <v/>
      </c>
      <c r="G1501" s="44" t="str">
        <f aca="false">IF(I1501="","",IF(INDEX(J_KRE,I1501)=$C$3,INDEX(J_NOM,I1501),0))</f>
        <v/>
      </c>
      <c r="H1501" s="44" t="str">
        <f aca="false">IF(I1501="","",N(H1500)+IF($C$5="Debet",F1501-G1501,G1501-F1501))</f>
        <v/>
      </c>
      <c r="I1501" s="66" t="str">
        <f aca="false">IF(J1501&gt;$K$1,"",IFERROR(MATCH(J1501,J_BB,0),""))</f>
        <v/>
      </c>
      <c r="J1501" s="66" t="n">
        <v>1492</v>
      </c>
      <c r="K1501" s="5"/>
    </row>
    <row r="1502" customFormat="false" ht="15" hidden="false" customHeight="false" outlineLevel="0" collapsed="false">
      <c r="A1502" s="5" t="str">
        <f aca="false">IF(I1502="","",J1502)</f>
        <v/>
      </c>
      <c r="B1502" s="83" t="str">
        <f aca="false">IF(I1502="","",INDEX(J_TGL,I1502))</f>
        <v/>
      </c>
      <c r="C1502" s="5" t="str">
        <f aca="false">IF(I1502="","",INDEX(J_NO,I1502))</f>
        <v/>
      </c>
      <c r="D1502" s="5" t="str">
        <f aca="false">IF(I1502="","",INDEX(J_KET,I1502))</f>
        <v/>
      </c>
      <c r="E1502" s="5" t="str">
        <f aca="false">IF(I1502="","",IF(INDEX(J_DEB,I1502)=$C$3,INDEX(J_KRE,I1502),INDEX(J_DEB,I1502)))</f>
        <v/>
      </c>
      <c r="F1502" s="44" t="str">
        <f aca="false">IF(I1502="","",IF(INDEX(J_DEB,I1502)=$C$3,INDEX(J_NOM,I1502),0))</f>
        <v/>
      </c>
      <c r="G1502" s="44" t="str">
        <f aca="false">IF(I1502="","",IF(INDEX(J_KRE,I1502)=$C$3,INDEX(J_NOM,I1502),0))</f>
        <v/>
      </c>
      <c r="H1502" s="44" t="str">
        <f aca="false">IF(I1502="","",N(H1501)+IF($C$5="Debet",F1502-G1502,G1502-F1502))</f>
        <v/>
      </c>
      <c r="I1502" s="66" t="str">
        <f aca="false">IF(J1502&gt;$K$1,"",IFERROR(MATCH(J1502,J_BB,0),""))</f>
        <v/>
      </c>
      <c r="J1502" s="66" t="n">
        <v>1493</v>
      </c>
      <c r="K1502" s="5"/>
    </row>
    <row r="1503" customFormat="false" ht="15" hidden="false" customHeight="false" outlineLevel="0" collapsed="false">
      <c r="A1503" s="5" t="str">
        <f aca="false">IF(I1503="","",J1503)</f>
        <v/>
      </c>
      <c r="B1503" s="83" t="str">
        <f aca="false">IF(I1503="","",INDEX(J_TGL,I1503))</f>
        <v/>
      </c>
      <c r="C1503" s="5" t="str">
        <f aca="false">IF(I1503="","",INDEX(J_NO,I1503))</f>
        <v/>
      </c>
      <c r="D1503" s="5" t="str">
        <f aca="false">IF(I1503="","",INDEX(J_KET,I1503))</f>
        <v/>
      </c>
      <c r="E1503" s="5" t="str">
        <f aca="false">IF(I1503="","",IF(INDEX(J_DEB,I1503)=$C$3,INDEX(J_KRE,I1503),INDEX(J_DEB,I1503)))</f>
        <v/>
      </c>
      <c r="F1503" s="44" t="str">
        <f aca="false">IF(I1503="","",IF(INDEX(J_DEB,I1503)=$C$3,INDEX(J_NOM,I1503),0))</f>
        <v/>
      </c>
      <c r="G1503" s="44" t="str">
        <f aca="false">IF(I1503="","",IF(INDEX(J_KRE,I1503)=$C$3,INDEX(J_NOM,I1503),0))</f>
        <v/>
      </c>
      <c r="H1503" s="44" t="str">
        <f aca="false">IF(I1503="","",N(H1502)+IF($C$5="Debet",F1503-G1503,G1503-F1503))</f>
        <v/>
      </c>
      <c r="I1503" s="66" t="str">
        <f aca="false">IF(J1503&gt;$K$1,"",IFERROR(MATCH(J1503,J_BB,0),""))</f>
        <v/>
      </c>
      <c r="J1503" s="66" t="n">
        <v>1494</v>
      </c>
      <c r="K1503" s="5"/>
    </row>
    <row r="1504" customFormat="false" ht="15" hidden="false" customHeight="false" outlineLevel="0" collapsed="false">
      <c r="A1504" s="5" t="str">
        <f aca="false">IF(I1504="","",J1504)</f>
        <v/>
      </c>
      <c r="B1504" s="83" t="str">
        <f aca="false">IF(I1504="","",INDEX(J_TGL,I1504))</f>
        <v/>
      </c>
      <c r="C1504" s="5" t="str">
        <f aca="false">IF(I1504="","",INDEX(J_NO,I1504))</f>
        <v/>
      </c>
      <c r="D1504" s="5" t="str">
        <f aca="false">IF(I1504="","",INDEX(J_KET,I1504))</f>
        <v/>
      </c>
      <c r="E1504" s="5" t="str">
        <f aca="false">IF(I1504="","",IF(INDEX(J_DEB,I1504)=$C$3,INDEX(J_KRE,I1504),INDEX(J_DEB,I1504)))</f>
        <v/>
      </c>
      <c r="F1504" s="44" t="str">
        <f aca="false">IF(I1504="","",IF(INDEX(J_DEB,I1504)=$C$3,INDEX(J_NOM,I1504),0))</f>
        <v/>
      </c>
      <c r="G1504" s="44" t="str">
        <f aca="false">IF(I1504="","",IF(INDEX(J_KRE,I1504)=$C$3,INDEX(J_NOM,I1504),0))</f>
        <v/>
      </c>
      <c r="H1504" s="44" t="str">
        <f aca="false">IF(I1504="","",N(H1503)+IF($C$5="Debet",F1504-G1504,G1504-F1504))</f>
        <v/>
      </c>
      <c r="I1504" s="66" t="str">
        <f aca="false">IF(J1504&gt;$K$1,"",IFERROR(MATCH(J1504,J_BB,0),""))</f>
        <v/>
      </c>
      <c r="J1504" s="66" t="n">
        <v>1495</v>
      </c>
      <c r="K1504" s="5"/>
    </row>
    <row r="1505" customFormat="false" ht="15" hidden="false" customHeight="false" outlineLevel="0" collapsed="false">
      <c r="A1505" s="5" t="str">
        <f aca="false">IF(I1505="","",J1505)</f>
        <v/>
      </c>
      <c r="B1505" s="83" t="str">
        <f aca="false">IF(I1505="","",INDEX(J_TGL,I1505))</f>
        <v/>
      </c>
      <c r="C1505" s="5" t="str">
        <f aca="false">IF(I1505="","",INDEX(J_NO,I1505))</f>
        <v/>
      </c>
      <c r="D1505" s="5" t="str">
        <f aca="false">IF(I1505="","",INDEX(J_KET,I1505))</f>
        <v/>
      </c>
      <c r="E1505" s="5" t="str">
        <f aca="false">IF(I1505="","",IF(INDEX(J_DEB,I1505)=$C$3,INDEX(J_KRE,I1505),INDEX(J_DEB,I1505)))</f>
        <v/>
      </c>
      <c r="F1505" s="44" t="str">
        <f aca="false">IF(I1505="","",IF(INDEX(J_DEB,I1505)=$C$3,INDEX(J_NOM,I1505),0))</f>
        <v/>
      </c>
      <c r="G1505" s="44" t="str">
        <f aca="false">IF(I1505="","",IF(INDEX(J_KRE,I1505)=$C$3,INDEX(J_NOM,I1505),0))</f>
        <v/>
      </c>
      <c r="H1505" s="44" t="str">
        <f aca="false">IF(I1505="","",N(H1504)+IF($C$5="Debet",F1505-G1505,G1505-F1505))</f>
        <v/>
      </c>
      <c r="I1505" s="66" t="str">
        <f aca="false">IF(J1505&gt;$K$1,"",IFERROR(MATCH(J1505,J_BB,0),""))</f>
        <v/>
      </c>
      <c r="J1505" s="66" t="n">
        <v>1496</v>
      </c>
      <c r="K1505" s="5"/>
    </row>
    <row r="1506" customFormat="false" ht="15" hidden="false" customHeight="false" outlineLevel="0" collapsed="false">
      <c r="A1506" s="5" t="str">
        <f aca="false">IF(I1506="","",J1506)</f>
        <v/>
      </c>
      <c r="B1506" s="83" t="str">
        <f aca="false">IF(I1506="","",INDEX(J_TGL,I1506))</f>
        <v/>
      </c>
      <c r="C1506" s="5" t="str">
        <f aca="false">IF(I1506="","",INDEX(J_NO,I1506))</f>
        <v/>
      </c>
      <c r="D1506" s="5" t="str">
        <f aca="false">IF(I1506="","",INDEX(J_KET,I1506))</f>
        <v/>
      </c>
      <c r="E1506" s="5" t="str">
        <f aca="false">IF(I1506="","",IF(INDEX(J_DEB,I1506)=$C$3,INDEX(J_KRE,I1506),INDEX(J_DEB,I1506)))</f>
        <v/>
      </c>
      <c r="F1506" s="44" t="str">
        <f aca="false">IF(I1506="","",IF(INDEX(J_DEB,I1506)=$C$3,INDEX(J_NOM,I1506),0))</f>
        <v/>
      </c>
      <c r="G1506" s="44" t="str">
        <f aca="false">IF(I1506="","",IF(INDEX(J_KRE,I1506)=$C$3,INDEX(J_NOM,I1506),0))</f>
        <v/>
      </c>
      <c r="H1506" s="44" t="str">
        <f aca="false">IF(I1506="","",N(H1505)+IF($C$5="Debet",F1506-G1506,G1506-F1506))</f>
        <v/>
      </c>
      <c r="I1506" s="66" t="str">
        <f aca="false">IF(J1506&gt;$K$1,"",IFERROR(MATCH(J1506,J_BB,0),""))</f>
        <v/>
      </c>
      <c r="J1506" s="66" t="n">
        <v>1497</v>
      </c>
      <c r="K1506" s="5"/>
    </row>
    <row r="1507" customFormat="false" ht="15" hidden="false" customHeight="false" outlineLevel="0" collapsed="false">
      <c r="A1507" s="5" t="str">
        <f aca="false">IF(I1507="","",J1507)</f>
        <v/>
      </c>
      <c r="B1507" s="83" t="str">
        <f aca="false">IF(I1507="","",INDEX(J_TGL,I1507))</f>
        <v/>
      </c>
      <c r="C1507" s="5" t="str">
        <f aca="false">IF(I1507="","",INDEX(J_NO,I1507))</f>
        <v/>
      </c>
      <c r="D1507" s="5" t="str">
        <f aca="false">IF(I1507="","",INDEX(J_KET,I1507))</f>
        <v/>
      </c>
      <c r="E1507" s="5" t="str">
        <f aca="false">IF(I1507="","",IF(INDEX(J_DEB,I1507)=$C$3,INDEX(J_KRE,I1507),INDEX(J_DEB,I1507)))</f>
        <v/>
      </c>
      <c r="F1507" s="44" t="str">
        <f aca="false">IF(I1507="","",IF(INDEX(J_DEB,I1507)=$C$3,INDEX(J_NOM,I1507),0))</f>
        <v/>
      </c>
      <c r="G1507" s="44" t="str">
        <f aca="false">IF(I1507="","",IF(INDEX(J_KRE,I1507)=$C$3,INDEX(J_NOM,I1507),0))</f>
        <v/>
      </c>
      <c r="H1507" s="44" t="str">
        <f aca="false">IF(I1507="","",N(H1506)+IF($C$5="Debet",F1507-G1507,G1507-F1507))</f>
        <v/>
      </c>
      <c r="I1507" s="66" t="str">
        <f aca="false">IF(J1507&gt;$K$1,"",IFERROR(MATCH(J1507,J_BB,0),""))</f>
        <v/>
      </c>
      <c r="J1507" s="66" t="n">
        <v>1498</v>
      </c>
      <c r="K1507" s="5"/>
    </row>
    <row r="1508" customFormat="false" ht="15" hidden="false" customHeight="false" outlineLevel="0" collapsed="false">
      <c r="A1508" s="5" t="str">
        <f aca="false">IF(I1508="","",J1508)</f>
        <v/>
      </c>
      <c r="B1508" s="83" t="str">
        <f aca="false">IF(I1508="","",INDEX(J_TGL,I1508))</f>
        <v/>
      </c>
      <c r="C1508" s="5" t="str">
        <f aca="false">IF(I1508="","",INDEX(J_NO,I1508))</f>
        <v/>
      </c>
      <c r="D1508" s="5" t="str">
        <f aca="false">IF(I1508="","",INDEX(J_KET,I1508))</f>
        <v/>
      </c>
      <c r="E1508" s="5" t="str">
        <f aca="false">IF(I1508="","",IF(INDEX(J_DEB,I1508)=$C$3,INDEX(J_KRE,I1508),INDEX(J_DEB,I1508)))</f>
        <v/>
      </c>
      <c r="F1508" s="44" t="str">
        <f aca="false">IF(I1508="","",IF(INDEX(J_DEB,I1508)=$C$3,INDEX(J_NOM,I1508),0))</f>
        <v/>
      </c>
      <c r="G1508" s="44" t="str">
        <f aca="false">IF(I1508="","",IF(INDEX(J_KRE,I1508)=$C$3,INDEX(J_NOM,I1508),0))</f>
        <v/>
      </c>
      <c r="H1508" s="44" t="str">
        <f aca="false">IF(I1508="","",N(H1507)+IF($C$5="Debet",F1508-G1508,G1508-F1508))</f>
        <v/>
      </c>
      <c r="I1508" s="66" t="str">
        <f aca="false">IF(J1508&gt;$K$1,"",IFERROR(MATCH(J1508,J_BB,0),""))</f>
        <v/>
      </c>
      <c r="J1508" s="66" t="n">
        <v>1499</v>
      </c>
      <c r="K1508" s="5"/>
    </row>
    <row r="1509" customFormat="false" ht="15" hidden="false" customHeight="false" outlineLevel="0" collapsed="false">
      <c r="A1509" s="5" t="str">
        <f aca="false">IF(I1509="","",J1509)</f>
        <v/>
      </c>
      <c r="B1509" s="83" t="str">
        <f aca="false">IF(I1509="","",INDEX(J_TGL,I1509))</f>
        <v/>
      </c>
      <c r="C1509" s="5" t="str">
        <f aca="false">IF(I1509="","",INDEX(J_NO,I1509))</f>
        <v/>
      </c>
      <c r="D1509" s="5" t="str">
        <f aca="false">IF(I1509="","",INDEX(J_KET,I1509))</f>
        <v/>
      </c>
      <c r="E1509" s="5" t="str">
        <f aca="false">IF(I1509="","",IF(INDEX(J_DEB,I1509)=$C$3,INDEX(J_KRE,I1509),INDEX(J_DEB,I1509)))</f>
        <v/>
      </c>
      <c r="F1509" s="44" t="str">
        <f aca="false">IF(I1509="","",IF(INDEX(J_DEB,I1509)=$C$3,INDEX(J_NOM,I1509),0))</f>
        <v/>
      </c>
      <c r="G1509" s="44" t="str">
        <f aca="false">IF(I1509="","",IF(INDEX(J_KRE,I1509)=$C$3,INDEX(J_NOM,I1509),0))</f>
        <v/>
      </c>
      <c r="H1509" s="44" t="str">
        <f aca="false">IF(I1509="","",N(H1508)+IF($C$5="Debet",F1509-G1509,G1509-F1509))</f>
        <v/>
      </c>
      <c r="I1509" s="66" t="str">
        <f aca="false">IF(J1509&gt;$K$1,"",IFERROR(MATCH(J1509,J_BB,0),""))</f>
        <v/>
      </c>
      <c r="J1509" s="66" t="n">
        <v>1500</v>
      </c>
      <c r="K1509" s="5"/>
    </row>
  </sheetData>
  <mergeCells count="1">
    <mergeCell ref="C3:E3"/>
  </mergeCells>
  <dataValidations count="1">
    <dataValidation allowBlank="false" errorStyle="stop" operator="between" showDropDown="false" showErrorMessage="false" showInputMessage="false" sqref="C3" type="list">
      <formula1>AK_NAMA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887F"/>
    <pageSetUpPr fitToPage="tru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4" min="3" style="0" width="15"/>
    <col collapsed="false" customWidth="true" hidden="false" outlineLevel="0" max="8" min="5" style="0" width="16"/>
  </cols>
  <sheetData>
    <row r="1" customFormat="false" ht="19.7" hidden="false" customHeight="false" outlineLevel="0" collapsed="false">
      <c r="A1" s="17" t="s">
        <v>2711</v>
      </c>
      <c r="B1" s="5"/>
      <c r="C1" s="5"/>
      <c r="D1" s="5"/>
      <c r="E1" s="5"/>
      <c r="F1" s="5"/>
      <c r="G1" s="5"/>
      <c r="H1" s="5"/>
    </row>
    <row r="2" customFormat="false" ht="15" hidden="false" customHeight="false" outlineLevel="0" collapsed="false">
      <c r="A2" s="18" t="str">
        <f aca="false">"Periode 1 Januari – "&amp;TEXT(DATE(TAHUN,BLN+1,0),"d")&amp;" "&amp;NAMA_BLN&amp;" "&amp;TAHUN</f>
        <v>Periode 1 Januari – 30 September 2026</v>
      </c>
      <c r="B2" s="5"/>
      <c r="C2" s="5"/>
      <c r="D2" s="5"/>
      <c r="E2" s="5"/>
      <c r="F2" s="5"/>
      <c r="G2" s="5"/>
      <c r="H2" s="5"/>
    </row>
    <row r="3" customFormat="false" ht="15" hidden="false" customHeight="false" outlineLevel="0" collapsed="false">
      <c r="A3" s="5"/>
      <c r="B3" s="5"/>
      <c r="C3" s="5"/>
      <c r="D3" s="5"/>
      <c r="E3" s="5"/>
      <c r="F3" s="5"/>
      <c r="G3" s="5"/>
      <c r="H3" s="5"/>
    </row>
    <row r="4" customFormat="false" ht="23.85" hidden="false" customHeight="false" outlineLevel="0" collapsed="false">
      <c r="A4" s="20" t="s">
        <v>2699</v>
      </c>
      <c r="B4" s="20" t="s">
        <v>2712</v>
      </c>
      <c r="C4" s="20" t="s">
        <v>2713</v>
      </c>
      <c r="D4" s="20" t="s">
        <v>2714</v>
      </c>
      <c r="E4" s="20" t="s">
        <v>2715</v>
      </c>
      <c r="F4" s="20" t="s">
        <v>2716</v>
      </c>
      <c r="G4" s="20" t="s">
        <v>2717</v>
      </c>
      <c r="H4" s="20" t="s">
        <v>2718</v>
      </c>
    </row>
    <row r="5" customFormat="false" ht="15" hidden="false" customHeight="false" outlineLevel="0" collapsed="false">
      <c r="A5" s="5" t="str">
        <f aca="false">AKUN!A6</f>
        <v>1101</v>
      </c>
      <c r="B5" s="5" t="str">
        <f aca="false">AKUN!B6</f>
        <v>Kas Tunai</v>
      </c>
      <c r="C5" s="44" t="n">
        <f aca="false">MAX(MUTASI!Q6,0)</f>
        <v>26605500</v>
      </c>
      <c r="D5" s="44" t="n">
        <f aca="false">MAX(-MUTASI!Q6,0)</f>
        <v>0</v>
      </c>
      <c r="E5" s="44" t="n">
        <f aca="false">SUMIFS(J_NOM,J_DEB,B5,J_THN,TAHUN,J_BLN,"&lt;="&amp;BLN)</f>
        <v>271216420</v>
      </c>
      <c r="F5" s="44" t="n">
        <f aca="false">SUMIFS(J_NOM,J_KRE,B5,J_THN,TAHUN,J_BLN,"&lt;="&amp;BLN)</f>
        <v>245908520</v>
      </c>
      <c r="G5" s="44" t="n">
        <f aca="false">MAX(C5-D5+E5-F5,0)</f>
        <v>51913400</v>
      </c>
      <c r="H5" s="44" t="n">
        <f aca="false">MAX(-(C5-D5+E5-F5),0)</f>
        <v>0</v>
      </c>
    </row>
    <row r="6" customFormat="false" ht="15" hidden="false" customHeight="false" outlineLevel="0" collapsed="false">
      <c r="A6" s="112" t="str">
        <f aca="false">AKUN!A7</f>
        <v>1102</v>
      </c>
      <c r="B6" s="112" t="str">
        <f aca="false">AKUN!B7</f>
        <v>Kas Bank</v>
      </c>
      <c r="C6" s="113" t="n">
        <f aca="false">MAX(MUTASI!Q7,0)</f>
        <v>81982785</v>
      </c>
      <c r="D6" s="113" t="n">
        <f aca="false">MAX(-MUTASI!Q7,0)</f>
        <v>0</v>
      </c>
      <c r="E6" s="113" t="n">
        <f aca="false">SUMIFS(J_NOM,J_DEB,B6,J_THN,TAHUN,J_BLN,"&lt;="&amp;BLN)</f>
        <v>857394507</v>
      </c>
      <c r="F6" s="113" t="n">
        <f aca="false">SUMIFS(J_NOM,J_KRE,B6,J_THN,TAHUN,J_BLN,"&lt;="&amp;BLN)</f>
        <v>942117084</v>
      </c>
      <c r="G6" s="113" t="n">
        <f aca="false">MAX(C6-D6+E6-F6,0)</f>
        <v>0</v>
      </c>
      <c r="H6" s="113" t="n">
        <f aca="false">MAX(-(C6-D6+E6-F6),0)</f>
        <v>2739792</v>
      </c>
    </row>
    <row r="7" customFormat="false" ht="15" hidden="false" customHeight="false" outlineLevel="0" collapsed="false">
      <c r="A7" s="5" t="str">
        <f aca="false">AKUN!A8</f>
        <v>1103</v>
      </c>
      <c r="B7" s="5" t="str">
        <f aca="false">AKUN!B8</f>
        <v>Kas Warung</v>
      </c>
      <c r="C7" s="44" t="n">
        <f aca="false">MAX(MUTASI!Q8,0)</f>
        <v>3000000</v>
      </c>
      <c r="D7" s="44" t="n">
        <f aca="false">MAX(-MUTASI!Q8,0)</f>
        <v>0</v>
      </c>
      <c r="E7" s="44" t="n">
        <f aca="false">SUMIFS(J_NOM,J_DEB,B7,J_THN,TAHUN,J_BLN,"&lt;="&amp;BLN)</f>
        <v>74441780</v>
      </c>
      <c r="F7" s="44" t="n">
        <f aca="false">SUMIFS(J_NOM,J_KRE,B7,J_THN,TAHUN,J_BLN,"&lt;="&amp;BLN)</f>
        <v>73333780</v>
      </c>
      <c r="G7" s="44" t="n">
        <f aca="false">MAX(C7-D7+E7-F7,0)</f>
        <v>4108000</v>
      </c>
      <c r="H7" s="44" t="n">
        <f aca="false">MAX(-(C7-D7+E7-F7),0)</f>
        <v>0</v>
      </c>
    </row>
    <row r="8" customFormat="false" ht="15" hidden="false" customHeight="false" outlineLevel="0" collapsed="false">
      <c r="A8" s="112" t="str">
        <f aca="false">AKUN!A9</f>
        <v>1201</v>
      </c>
      <c r="B8" s="112" t="str">
        <f aca="false">AKUN!B9</f>
        <v>Piutang Usaha Cafe</v>
      </c>
      <c r="C8" s="113" t="n">
        <f aca="false">MAX(MUTASI!Q9,0)</f>
        <v>4500000</v>
      </c>
      <c r="D8" s="113" t="n">
        <f aca="false">MAX(-MUTASI!Q9,0)</f>
        <v>0</v>
      </c>
      <c r="E8" s="113" t="n">
        <f aca="false">SUMIFS(J_NOM,J_DEB,B8,J_THN,TAHUN,J_BLN,"&lt;="&amp;BLN)</f>
        <v>865479355</v>
      </c>
      <c r="F8" s="113" t="n">
        <f aca="false">SUMIFS(J_NOM,J_KRE,B8,J_THN,TAHUN,J_BLN,"&lt;="&amp;BLN)</f>
        <v>869979355</v>
      </c>
      <c r="G8" s="113" t="n">
        <f aca="false">MAX(C8-D8+E8-F8,0)</f>
        <v>0</v>
      </c>
      <c r="H8" s="113" t="n">
        <f aca="false">MAX(-(C8-D8+E8-F8),0)</f>
        <v>0</v>
      </c>
    </row>
    <row r="9" customFormat="false" ht="15" hidden="false" customHeight="false" outlineLevel="0" collapsed="false">
      <c r="A9" s="5" t="str">
        <f aca="false">AKUN!A10</f>
        <v>1202</v>
      </c>
      <c r="B9" s="5" t="str">
        <f aca="false">AKUN!B10</f>
        <v>Piutang Usaha non Cafe</v>
      </c>
      <c r="C9" s="44" t="n">
        <f aca="false">MAX(MUTASI!Q10,0)</f>
        <v>0</v>
      </c>
      <c r="D9" s="44" t="n">
        <f aca="false">MAX(-MUTASI!Q10,0)</f>
        <v>0</v>
      </c>
      <c r="E9" s="44" t="n">
        <f aca="false">SUMIFS(J_NOM,J_DEB,B9,J_THN,TAHUN,J_BLN,"&lt;="&amp;BLN)</f>
        <v>0</v>
      </c>
      <c r="F9" s="44" t="n">
        <f aca="false">SUMIFS(J_NOM,J_KRE,B9,J_THN,TAHUN,J_BLN,"&lt;="&amp;BLN)</f>
        <v>0</v>
      </c>
      <c r="G9" s="44" t="n">
        <f aca="false">MAX(C9-D9+E9-F9,0)</f>
        <v>0</v>
      </c>
      <c r="H9" s="44" t="n">
        <f aca="false">MAX(-(C9-D9+E9-F9),0)</f>
        <v>0</v>
      </c>
    </row>
    <row r="10" customFormat="false" ht="15" hidden="false" customHeight="false" outlineLevel="0" collapsed="false">
      <c r="A10" s="112" t="str">
        <f aca="false">AKUN!A11</f>
        <v>1203</v>
      </c>
      <c r="B10" s="112" t="str">
        <f aca="false">AKUN!B11</f>
        <v>Piutang Lainnya</v>
      </c>
      <c r="C10" s="113" t="n">
        <f aca="false">MAX(MUTASI!Q11,0)</f>
        <v>3000000</v>
      </c>
      <c r="D10" s="113" t="n">
        <f aca="false">MAX(-MUTASI!Q11,0)</f>
        <v>0</v>
      </c>
      <c r="E10" s="113" t="n">
        <f aca="false">SUMIFS(J_NOM,J_DEB,B10,J_THN,TAHUN,J_BLN,"&lt;="&amp;BLN)</f>
        <v>18811600</v>
      </c>
      <c r="F10" s="113" t="n">
        <f aca="false">SUMIFS(J_NOM,J_KRE,B10,J_THN,TAHUN,J_BLN,"&lt;="&amp;BLN)</f>
        <v>13678265</v>
      </c>
      <c r="G10" s="113" t="n">
        <f aca="false">MAX(C10-D10+E10-F10,0)</f>
        <v>8133335</v>
      </c>
      <c r="H10" s="113" t="n">
        <f aca="false">MAX(-(C10-D10+E10-F10),0)</f>
        <v>0</v>
      </c>
    </row>
    <row r="11" customFormat="false" ht="15" hidden="false" customHeight="false" outlineLevel="0" collapsed="false">
      <c r="A11" s="5" t="str">
        <f aca="false">AKUN!A12</f>
        <v>1301</v>
      </c>
      <c r="B11" s="5" t="str">
        <f aca="false">AKUN!B12</f>
        <v>Inventori</v>
      </c>
      <c r="C11" s="44" t="n">
        <f aca="false">MAX(MUTASI!Q12,0)</f>
        <v>0</v>
      </c>
      <c r="D11" s="44" t="n">
        <f aca="false">MAX(-MUTASI!Q12,0)</f>
        <v>0</v>
      </c>
      <c r="E11" s="44" t="n">
        <f aca="false">SUMIFS(J_NOM,J_DEB,B11,J_THN,TAHUN,J_BLN,"&lt;="&amp;BLN)</f>
        <v>0</v>
      </c>
      <c r="F11" s="44" t="n">
        <f aca="false">SUMIFS(J_NOM,J_KRE,B11,J_THN,TAHUN,J_BLN,"&lt;="&amp;BLN)</f>
        <v>0</v>
      </c>
      <c r="G11" s="44" t="n">
        <f aca="false">MAX(C11-D11+E11-F11,0)</f>
        <v>0</v>
      </c>
      <c r="H11" s="44" t="n">
        <f aca="false">MAX(-(C11-D11+E11-F11),0)</f>
        <v>0</v>
      </c>
    </row>
    <row r="12" customFormat="false" ht="15" hidden="false" customHeight="false" outlineLevel="0" collapsed="false">
      <c r="A12" s="112" t="str">
        <f aca="false">AKUN!A13</f>
        <v>1302</v>
      </c>
      <c r="B12" s="112" t="str">
        <f aca="false">AKUN!B13</f>
        <v>Perlengkapan</v>
      </c>
      <c r="C12" s="113" t="n">
        <f aca="false">MAX(MUTASI!Q13,0)</f>
        <v>0</v>
      </c>
      <c r="D12" s="113" t="n">
        <f aca="false">MAX(-MUTASI!Q13,0)</f>
        <v>0</v>
      </c>
      <c r="E12" s="113" t="n">
        <f aca="false">SUMIFS(J_NOM,J_DEB,B12,J_THN,TAHUN,J_BLN,"&lt;="&amp;BLN)</f>
        <v>864780</v>
      </c>
      <c r="F12" s="113" t="n">
        <f aca="false">SUMIFS(J_NOM,J_KRE,B12,J_THN,TAHUN,J_BLN,"&lt;="&amp;BLN)</f>
        <v>0</v>
      </c>
      <c r="G12" s="113" t="n">
        <f aca="false">MAX(C12-D12+E12-F12,0)</f>
        <v>864780</v>
      </c>
      <c r="H12" s="113" t="n">
        <f aca="false">MAX(-(C12-D12+E12-F12),0)</f>
        <v>0</v>
      </c>
    </row>
    <row r="13" customFormat="false" ht="15" hidden="false" customHeight="false" outlineLevel="0" collapsed="false">
      <c r="A13" s="5" t="str">
        <f aca="false">AKUN!A14</f>
        <v>1303</v>
      </c>
      <c r="B13" s="5" t="str">
        <f aca="false">AKUN!B14</f>
        <v>Beban Dibayar di Muka</v>
      </c>
      <c r="C13" s="44" t="n">
        <f aca="false">MAX(MUTASI!Q14,0)</f>
        <v>0</v>
      </c>
      <c r="D13" s="44" t="n">
        <f aca="false">MAX(-MUTASI!Q14,0)</f>
        <v>0</v>
      </c>
      <c r="E13" s="44" t="n">
        <f aca="false">SUMIFS(J_NOM,J_DEB,B13,J_THN,TAHUN,J_BLN,"&lt;="&amp;BLN)</f>
        <v>0</v>
      </c>
      <c r="F13" s="44" t="n">
        <f aca="false">SUMIFS(J_NOM,J_KRE,B13,J_THN,TAHUN,J_BLN,"&lt;="&amp;BLN)</f>
        <v>0</v>
      </c>
      <c r="G13" s="44" t="n">
        <f aca="false">MAX(C13-D13+E13-F13,0)</f>
        <v>0</v>
      </c>
      <c r="H13" s="44" t="n">
        <f aca="false">MAX(-(C13-D13+E13-F13),0)</f>
        <v>0</v>
      </c>
    </row>
    <row r="14" customFormat="false" ht="15" hidden="false" customHeight="false" outlineLevel="0" collapsed="false">
      <c r="A14" s="112" t="str">
        <f aca="false">AKUN!A15</f>
        <v>1501</v>
      </c>
      <c r="B14" s="112" t="str">
        <f aca="false">AKUN!B15</f>
        <v>Peralatan</v>
      </c>
      <c r="C14" s="113" t="n">
        <f aca="false">MAX(MUTASI!Q15,0)</f>
        <v>0</v>
      </c>
      <c r="D14" s="113" t="n">
        <f aca="false">MAX(-MUTASI!Q15,0)</f>
        <v>0</v>
      </c>
      <c r="E14" s="113" t="n">
        <f aca="false">SUMIFS(J_NOM,J_DEB,B14,J_THN,TAHUN,J_BLN,"&lt;="&amp;BLN)</f>
        <v>42023410</v>
      </c>
      <c r="F14" s="113" t="n">
        <f aca="false">SUMIFS(J_NOM,J_KRE,B14,J_THN,TAHUN,J_BLN,"&lt;="&amp;BLN)</f>
        <v>0</v>
      </c>
      <c r="G14" s="113" t="n">
        <f aca="false">MAX(C14-D14+E14-F14,0)</f>
        <v>42023410</v>
      </c>
      <c r="H14" s="113" t="n">
        <f aca="false">MAX(-(C14-D14+E14-F14),0)</f>
        <v>0</v>
      </c>
    </row>
    <row r="15" customFormat="false" ht="15" hidden="false" customHeight="false" outlineLevel="0" collapsed="false">
      <c r="A15" s="5" t="str">
        <f aca="false">AKUN!A16</f>
        <v>1502</v>
      </c>
      <c r="B15" s="5" t="str">
        <f aca="false">AKUN!B16</f>
        <v>Akumulasi Penyusutan Peralatan</v>
      </c>
      <c r="C15" s="44" t="n">
        <f aca="false">MAX(MUTASI!Q16,0)</f>
        <v>0</v>
      </c>
      <c r="D15" s="44" t="n">
        <f aca="false">MAX(-MUTASI!Q16,0)</f>
        <v>0</v>
      </c>
      <c r="E15" s="44" t="n">
        <f aca="false">SUMIFS(J_NOM,J_DEB,B15,J_THN,TAHUN,J_BLN,"&lt;="&amp;BLN)</f>
        <v>0</v>
      </c>
      <c r="F15" s="44" t="n">
        <f aca="false">SUMIFS(J_NOM,J_KRE,B15,J_THN,TAHUN,J_BLN,"&lt;="&amp;BLN)</f>
        <v>2564119</v>
      </c>
      <c r="G15" s="44" t="n">
        <f aca="false">MAX(C15-D15+E15-F15,0)</f>
        <v>0</v>
      </c>
      <c r="H15" s="44" t="n">
        <f aca="false">MAX(-(C15-D15+E15-F15),0)</f>
        <v>2564119</v>
      </c>
    </row>
    <row r="16" customFormat="false" ht="15" hidden="false" customHeight="false" outlineLevel="0" collapsed="false">
      <c r="A16" s="112" t="str">
        <f aca="false">AKUN!A17</f>
        <v>2101</v>
      </c>
      <c r="B16" s="112" t="str">
        <f aca="false">AKUN!B17</f>
        <v>Utang Usaha Lancar</v>
      </c>
      <c r="C16" s="113" t="n">
        <f aca="false">MAX(MUTASI!Q17,0)</f>
        <v>0</v>
      </c>
      <c r="D16" s="113" t="n">
        <f aca="false">MAX(-MUTASI!Q17,0)</f>
        <v>0</v>
      </c>
      <c r="E16" s="113" t="n">
        <f aca="false">SUMIFS(J_NOM,J_DEB,B16,J_THN,TAHUN,J_BLN,"&lt;="&amp;BLN)</f>
        <v>8687800</v>
      </c>
      <c r="F16" s="113" t="n">
        <f aca="false">SUMIFS(J_NOM,J_KRE,B16,J_THN,TAHUN,J_BLN,"&lt;="&amp;BLN)</f>
        <v>8687800</v>
      </c>
      <c r="G16" s="113" t="n">
        <f aca="false">MAX(C16-D16+E16-F16,0)</f>
        <v>0</v>
      </c>
      <c r="H16" s="113" t="n">
        <f aca="false">MAX(-(C16-D16+E16-F16),0)</f>
        <v>0</v>
      </c>
    </row>
    <row r="17" customFormat="false" ht="15" hidden="false" customHeight="false" outlineLevel="0" collapsed="false">
      <c r="A17" s="5" t="str">
        <f aca="false">AKUN!A18</f>
        <v>2102</v>
      </c>
      <c r="B17" s="5" t="str">
        <f aca="false">AKUN!B18</f>
        <v>Utang Pajak Daerah (PBJT)</v>
      </c>
      <c r="C17" s="44" t="n">
        <f aca="false">MAX(MUTASI!Q18,0)</f>
        <v>0</v>
      </c>
      <c r="D17" s="44" t="n">
        <f aca="false">MAX(-MUTASI!Q18,0)</f>
        <v>0</v>
      </c>
      <c r="E17" s="44" t="n">
        <f aca="false">SUMIFS(J_NOM,J_DEB,B17,J_THN,TAHUN,J_BLN,"&lt;="&amp;BLN)</f>
        <v>0</v>
      </c>
      <c r="F17" s="44" t="n">
        <f aca="false">SUMIFS(J_NOM,J_KRE,B17,J_THN,TAHUN,J_BLN,"&lt;="&amp;BLN)</f>
        <v>59326181</v>
      </c>
      <c r="G17" s="44" t="n">
        <f aca="false">MAX(C17-D17+E17-F17,0)</f>
        <v>0</v>
      </c>
      <c r="H17" s="44" t="n">
        <f aca="false">MAX(-(C17-D17+E17-F17),0)</f>
        <v>59326181</v>
      </c>
    </row>
    <row r="18" customFormat="false" ht="15" hidden="false" customHeight="false" outlineLevel="0" collapsed="false">
      <c r="A18" s="112" t="str">
        <f aca="false">AKUN!A19</f>
        <v>2103</v>
      </c>
      <c r="B18" s="112" t="str">
        <f aca="false">AKUN!B19</f>
        <v>Utang Lainnya</v>
      </c>
      <c r="C18" s="113" t="n">
        <f aca="false">MAX(MUTASI!Q19,0)</f>
        <v>0</v>
      </c>
      <c r="D18" s="113" t="n">
        <f aca="false">MAX(-MUTASI!Q19,0)</f>
        <v>3567600</v>
      </c>
      <c r="E18" s="113" t="n">
        <f aca="false">SUMIFS(J_NOM,J_DEB,B18,J_THN,TAHUN,J_BLN,"&lt;="&amp;BLN)</f>
        <v>0</v>
      </c>
      <c r="F18" s="113" t="n">
        <f aca="false">SUMIFS(J_NOM,J_KRE,B18,J_THN,TAHUN,J_BLN,"&lt;="&amp;BLN)</f>
        <v>0</v>
      </c>
      <c r="G18" s="113" t="n">
        <f aca="false">MAX(C18-D18+E18-F18,0)</f>
        <v>0</v>
      </c>
      <c r="H18" s="113" t="n">
        <f aca="false">MAX(-(C18-D18+E18-F18),0)</f>
        <v>3567600</v>
      </c>
    </row>
    <row r="19" customFormat="false" ht="15" hidden="false" customHeight="false" outlineLevel="0" collapsed="false">
      <c r="A19" s="5" t="str">
        <f aca="false">AKUN!A20</f>
        <v>2201</v>
      </c>
      <c r="B19" s="5" t="str">
        <f aca="false">AKUN!B20</f>
        <v>Utang Usaha Jangka Panjang</v>
      </c>
      <c r="C19" s="44" t="n">
        <f aca="false">MAX(MUTASI!Q20,0)</f>
        <v>0</v>
      </c>
      <c r="D19" s="44" t="n">
        <f aca="false">MAX(-MUTASI!Q20,0)</f>
        <v>2420000</v>
      </c>
      <c r="E19" s="44" t="n">
        <f aca="false">SUMIFS(J_NOM,J_DEB,B19,J_THN,TAHUN,J_BLN,"&lt;="&amp;BLN)</f>
        <v>4886500</v>
      </c>
      <c r="F19" s="44" t="n">
        <f aca="false">SUMIFS(J_NOM,J_KRE,B19,J_THN,TAHUN,J_BLN,"&lt;="&amp;BLN)</f>
        <v>14192500</v>
      </c>
      <c r="G19" s="44" t="n">
        <f aca="false">MAX(C19-D19+E19-F19,0)</f>
        <v>0</v>
      </c>
      <c r="H19" s="44" t="n">
        <f aca="false">MAX(-(C19-D19+E19-F19),0)</f>
        <v>11726000</v>
      </c>
    </row>
    <row r="20" customFormat="false" ht="15" hidden="false" customHeight="false" outlineLevel="0" collapsed="false">
      <c r="A20" s="112" t="str">
        <f aca="false">AKUN!A21</f>
        <v>3101</v>
      </c>
      <c r="B20" s="112" t="str">
        <f aca="false">AKUN!B21</f>
        <v>Ekuitas Kopi Parang</v>
      </c>
      <c r="C20" s="113" t="n">
        <f aca="false">MAX(MUTASI!Q21,0)</f>
        <v>0</v>
      </c>
      <c r="D20" s="113" t="n">
        <f aca="false">MAX(-MUTASI!Q21,0)</f>
        <v>113100685</v>
      </c>
      <c r="E20" s="113" t="n">
        <f aca="false">SUMIFS(J_NOM,J_DEB,B20,J_THN,TAHUN,J_BLN,"&lt;="&amp;BLN)</f>
        <v>0</v>
      </c>
      <c r="F20" s="113" t="n">
        <f aca="false">SUMIFS(J_NOM,J_KRE,B20,J_THN,TAHUN,J_BLN,"&lt;="&amp;BLN)</f>
        <v>0</v>
      </c>
      <c r="G20" s="113" t="n">
        <f aca="false">MAX(C20-D20+E20-F20,0)</f>
        <v>0</v>
      </c>
      <c r="H20" s="113" t="n">
        <f aca="false">MAX(-(C20-D20+E20-F20),0)</f>
        <v>113100685</v>
      </c>
    </row>
    <row r="21" customFormat="false" ht="15" hidden="false" customHeight="false" outlineLevel="0" collapsed="false">
      <c r="A21" s="5" t="str">
        <f aca="false">AKUN!A22</f>
        <v>3102</v>
      </c>
      <c r="B21" s="5" t="str">
        <f aca="false">AKUN!B22</f>
        <v>Prive</v>
      </c>
      <c r="C21" s="44" t="n">
        <f aca="false">MAX(MUTASI!Q22,0)</f>
        <v>0</v>
      </c>
      <c r="D21" s="44" t="n">
        <f aca="false">MAX(-MUTASI!Q22,0)</f>
        <v>0</v>
      </c>
      <c r="E21" s="44" t="n">
        <f aca="false">SUMIFS(J_NOM,J_DEB,B21,J_THN,TAHUN,J_BLN,"&lt;="&amp;BLN)</f>
        <v>30984750</v>
      </c>
      <c r="F21" s="44" t="n">
        <f aca="false">SUMIFS(J_NOM,J_KRE,B21,J_THN,TAHUN,J_BLN,"&lt;="&amp;BLN)</f>
        <v>0</v>
      </c>
      <c r="G21" s="44" t="n">
        <f aca="false">MAX(C21-D21+E21-F21,0)</f>
        <v>30984750</v>
      </c>
      <c r="H21" s="44" t="n">
        <f aca="false">MAX(-(C21-D21+E21-F21),0)</f>
        <v>0</v>
      </c>
    </row>
    <row r="22" customFormat="false" ht="15" hidden="false" customHeight="false" outlineLevel="0" collapsed="false">
      <c r="A22" s="112" t="str">
        <f aca="false">AKUN!A23</f>
        <v>4101</v>
      </c>
      <c r="B22" s="112" t="str">
        <f aca="false">AKUN!B23</f>
        <v>Pendapatan Cafe</v>
      </c>
      <c r="C22" s="113" t="n">
        <f aca="false">MAX(MUTASI!Q23,0)</f>
        <v>0</v>
      </c>
      <c r="D22" s="113" t="n">
        <f aca="false">MAX(-MUTASI!Q23,0)</f>
        <v>0</v>
      </c>
      <c r="E22" s="113" t="n">
        <f aca="false">SUMIFS(J_NOM,J_DEB,B22,J_THN,TAHUN,J_BLN,"&lt;="&amp;BLN)</f>
        <v>0</v>
      </c>
      <c r="F22" s="113" t="n">
        <f aca="false">SUMIFS(J_NOM,J_KRE,B22,J_THN,TAHUN,J_BLN,"&lt;="&amp;BLN)</f>
        <v>858491333</v>
      </c>
      <c r="G22" s="113" t="n">
        <f aca="false">MAX(C22-D22+E22-F22,0)</f>
        <v>0</v>
      </c>
      <c r="H22" s="113" t="n">
        <f aca="false">MAX(-(C22-D22+E22-F22),0)</f>
        <v>858491333</v>
      </c>
    </row>
    <row r="23" customFormat="false" ht="15" hidden="false" customHeight="false" outlineLevel="0" collapsed="false">
      <c r="A23" s="5" t="str">
        <f aca="false">AKUN!A24</f>
        <v>4102</v>
      </c>
      <c r="B23" s="5" t="str">
        <f aca="false">AKUN!B24</f>
        <v>Pendapatan non Cafe</v>
      </c>
      <c r="C23" s="44" t="n">
        <f aca="false">MAX(MUTASI!Q24,0)</f>
        <v>0</v>
      </c>
      <c r="D23" s="44" t="n">
        <f aca="false">MAX(-MUTASI!Q24,0)</f>
        <v>0</v>
      </c>
      <c r="E23" s="44" t="n">
        <f aca="false">SUMIFS(J_NOM,J_DEB,B23,J_THN,TAHUN,J_BLN,"&lt;="&amp;BLN)</f>
        <v>0</v>
      </c>
      <c r="F23" s="44" t="n">
        <f aca="false">SUMIFS(J_NOM,J_KRE,B23,J_THN,TAHUN,J_BLN,"&lt;="&amp;BLN)</f>
        <v>15103050</v>
      </c>
      <c r="G23" s="44" t="n">
        <f aca="false">MAX(C23-D23+E23-F23,0)</f>
        <v>0</v>
      </c>
      <c r="H23" s="44" t="n">
        <f aca="false">MAX(-(C23-D23+E23-F23),0)</f>
        <v>15103050</v>
      </c>
    </row>
    <row r="24" customFormat="false" ht="15" hidden="false" customHeight="false" outlineLevel="0" collapsed="false">
      <c r="A24" s="112" t="str">
        <f aca="false">AKUN!A25</f>
        <v>4901</v>
      </c>
      <c r="B24" s="112" t="str">
        <f aca="false">AKUN!B25</f>
        <v>Pajak Restoran</v>
      </c>
      <c r="C24" s="113" t="n">
        <f aca="false">MAX(MUTASI!Q25,0)</f>
        <v>0</v>
      </c>
      <c r="D24" s="113" t="n">
        <f aca="false">MAX(-MUTASI!Q25,0)</f>
        <v>0</v>
      </c>
      <c r="E24" s="113" t="n">
        <f aca="false">SUMIFS(J_NOM,J_DEB,B24,J_THN,TAHUN,J_BLN,"&lt;="&amp;BLN)</f>
        <v>78088481</v>
      </c>
      <c r="F24" s="113" t="n">
        <f aca="false">SUMIFS(J_NOM,J_KRE,B24,J_THN,TAHUN,J_BLN,"&lt;="&amp;BLN)</f>
        <v>0</v>
      </c>
      <c r="G24" s="113" t="n">
        <f aca="false">MAX(C24-D24+E24-F24,0)</f>
        <v>78088481</v>
      </c>
      <c r="H24" s="113" t="n">
        <f aca="false">MAX(-(C24-D24+E24-F24),0)</f>
        <v>0</v>
      </c>
    </row>
    <row r="25" customFormat="false" ht="15" hidden="false" customHeight="false" outlineLevel="0" collapsed="false">
      <c r="A25" s="5" t="str">
        <f aca="false">AKUN!A26</f>
        <v>5101</v>
      </c>
      <c r="B25" s="5" t="str">
        <f aca="false">AKUN!B26</f>
        <v>Biaya Bahan Baku</v>
      </c>
      <c r="C25" s="44" t="n">
        <f aca="false">MAX(MUTASI!Q26,0)</f>
        <v>0</v>
      </c>
      <c r="D25" s="44" t="n">
        <f aca="false">MAX(-MUTASI!Q26,0)</f>
        <v>0</v>
      </c>
      <c r="E25" s="44" t="n">
        <f aca="false">SUMIFS(J_NOM,J_DEB,B25,J_THN,TAHUN,J_BLN,"&lt;="&amp;BLN)</f>
        <v>302587714</v>
      </c>
      <c r="F25" s="44" t="n">
        <f aca="false">SUMIFS(J_NOM,J_KRE,B25,J_THN,TAHUN,J_BLN,"&lt;="&amp;BLN)</f>
        <v>0</v>
      </c>
      <c r="G25" s="44" t="n">
        <f aca="false">MAX(C25-D25+E25-F25,0)</f>
        <v>302587714</v>
      </c>
      <c r="H25" s="44" t="n">
        <f aca="false">MAX(-(C25-D25+E25-F25),0)</f>
        <v>0</v>
      </c>
    </row>
    <row r="26" customFormat="false" ht="15" hidden="false" customHeight="false" outlineLevel="0" collapsed="false">
      <c r="A26" s="112" t="str">
        <f aca="false">AKUN!A27</f>
        <v>5102</v>
      </c>
      <c r="B26" s="112" t="str">
        <f aca="false">AKUN!B27</f>
        <v>Biaya Penyajian</v>
      </c>
      <c r="C26" s="113" t="n">
        <f aca="false">MAX(MUTASI!Q27,0)</f>
        <v>0</v>
      </c>
      <c r="D26" s="113" t="n">
        <f aca="false">MAX(-MUTASI!Q27,0)</f>
        <v>0</v>
      </c>
      <c r="E26" s="113" t="n">
        <f aca="false">SUMIFS(J_NOM,J_DEB,B26,J_THN,TAHUN,J_BLN,"&lt;="&amp;BLN)</f>
        <v>35991820</v>
      </c>
      <c r="F26" s="113" t="n">
        <f aca="false">SUMIFS(J_NOM,J_KRE,B26,J_THN,TAHUN,J_BLN,"&lt;="&amp;BLN)</f>
        <v>0</v>
      </c>
      <c r="G26" s="113" t="n">
        <f aca="false">MAX(C26-D26+E26-F26,0)</f>
        <v>35991820</v>
      </c>
      <c r="H26" s="113" t="n">
        <f aca="false">MAX(-(C26-D26+E26-F26),0)</f>
        <v>0</v>
      </c>
    </row>
    <row r="27" customFormat="false" ht="15" hidden="false" customHeight="false" outlineLevel="0" collapsed="false">
      <c r="A27" s="5" t="str">
        <f aca="false">AKUN!A28</f>
        <v>6101</v>
      </c>
      <c r="B27" s="5" t="str">
        <f aca="false">AKUN!B28</f>
        <v>Beban Gaji</v>
      </c>
      <c r="C27" s="44" t="n">
        <f aca="false">MAX(MUTASI!Q28,0)</f>
        <v>0</v>
      </c>
      <c r="D27" s="44" t="n">
        <f aca="false">MAX(-MUTASI!Q28,0)</f>
        <v>0</v>
      </c>
      <c r="E27" s="44" t="n">
        <f aca="false">SUMIFS(J_NOM,J_DEB,B27,J_THN,TAHUN,J_BLN,"&lt;="&amp;BLN)</f>
        <v>253914165</v>
      </c>
      <c r="F27" s="44" t="n">
        <f aca="false">SUMIFS(J_NOM,J_KRE,B27,J_THN,TAHUN,J_BLN,"&lt;="&amp;BLN)</f>
        <v>0</v>
      </c>
      <c r="G27" s="44" t="n">
        <f aca="false">MAX(C27-D27+E27-F27,0)</f>
        <v>253914165</v>
      </c>
      <c r="H27" s="44" t="n">
        <f aca="false">MAX(-(C27-D27+E27-F27),0)</f>
        <v>0</v>
      </c>
    </row>
    <row r="28" customFormat="false" ht="15" hidden="false" customHeight="false" outlineLevel="0" collapsed="false">
      <c r="A28" s="112" t="str">
        <f aca="false">AKUN!A29</f>
        <v>6102</v>
      </c>
      <c r="B28" s="112" t="str">
        <f aca="false">AKUN!B29</f>
        <v>Biaya Sewa Tempat</v>
      </c>
      <c r="C28" s="113" t="n">
        <f aca="false">MAX(MUTASI!Q29,0)</f>
        <v>0</v>
      </c>
      <c r="D28" s="113" t="n">
        <f aca="false">MAX(-MUTASI!Q29,0)</f>
        <v>0</v>
      </c>
      <c r="E28" s="113" t="n">
        <f aca="false">SUMIFS(J_NOM,J_DEB,B28,J_THN,TAHUN,J_BLN,"&lt;="&amp;BLN)</f>
        <v>80000000</v>
      </c>
      <c r="F28" s="113" t="n">
        <f aca="false">SUMIFS(J_NOM,J_KRE,B28,J_THN,TAHUN,J_BLN,"&lt;="&amp;BLN)</f>
        <v>0</v>
      </c>
      <c r="G28" s="113" t="n">
        <f aca="false">MAX(C28-D28+E28-F28,0)</f>
        <v>80000000</v>
      </c>
      <c r="H28" s="113" t="n">
        <f aca="false">MAX(-(C28-D28+E28-F28),0)</f>
        <v>0</v>
      </c>
    </row>
    <row r="29" customFormat="false" ht="15" hidden="false" customHeight="false" outlineLevel="0" collapsed="false">
      <c r="A29" s="5" t="str">
        <f aca="false">AKUN!A30</f>
        <v>6103</v>
      </c>
      <c r="B29" s="5" t="str">
        <f aca="false">AKUN!B30</f>
        <v>Biaya Tagihan Bulanan</v>
      </c>
      <c r="C29" s="44" t="n">
        <f aca="false">MAX(MUTASI!Q30,0)</f>
        <v>0</v>
      </c>
      <c r="D29" s="44" t="n">
        <f aca="false">MAX(-MUTASI!Q30,0)</f>
        <v>0</v>
      </c>
      <c r="E29" s="44" t="n">
        <f aca="false">SUMIFS(J_NOM,J_DEB,B29,J_THN,TAHUN,J_BLN,"&lt;="&amp;BLN)</f>
        <v>45436921</v>
      </c>
      <c r="F29" s="44" t="n">
        <f aca="false">SUMIFS(J_NOM,J_KRE,B29,J_THN,TAHUN,J_BLN,"&lt;="&amp;BLN)</f>
        <v>0</v>
      </c>
      <c r="G29" s="44" t="n">
        <f aca="false">MAX(C29-D29+E29-F29,0)</f>
        <v>45436921</v>
      </c>
      <c r="H29" s="44" t="n">
        <f aca="false">MAX(-(C29-D29+E29-F29),0)</f>
        <v>0</v>
      </c>
    </row>
    <row r="30" customFormat="false" ht="15" hidden="false" customHeight="false" outlineLevel="0" collapsed="false">
      <c r="A30" s="112" t="str">
        <f aca="false">AKUN!A31</f>
        <v>6104</v>
      </c>
      <c r="B30" s="112" t="str">
        <f aca="false">AKUN!B31</f>
        <v>Biaya Marketing &amp; Promosi</v>
      </c>
      <c r="C30" s="113" t="n">
        <f aca="false">MAX(MUTASI!Q31,0)</f>
        <v>0</v>
      </c>
      <c r="D30" s="113" t="n">
        <f aca="false">MAX(-MUTASI!Q31,0)</f>
        <v>0</v>
      </c>
      <c r="E30" s="113" t="n">
        <f aca="false">SUMIFS(J_NOM,J_DEB,B30,J_THN,TAHUN,J_BLN,"&lt;="&amp;BLN)</f>
        <v>79193298</v>
      </c>
      <c r="F30" s="113" t="n">
        <f aca="false">SUMIFS(J_NOM,J_KRE,B30,J_THN,TAHUN,J_BLN,"&lt;="&amp;BLN)</f>
        <v>0</v>
      </c>
      <c r="G30" s="113" t="n">
        <f aca="false">MAX(C30-D30+E30-F30,0)</f>
        <v>79193298</v>
      </c>
      <c r="H30" s="113" t="n">
        <f aca="false">MAX(-(C30-D30+E30-F30),0)</f>
        <v>0</v>
      </c>
    </row>
    <row r="31" customFormat="false" ht="15" hidden="false" customHeight="false" outlineLevel="0" collapsed="false">
      <c r="A31" s="5" t="str">
        <f aca="false">AKUN!A32</f>
        <v>6105</v>
      </c>
      <c r="B31" s="5" t="str">
        <f aca="false">AKUN!B32</f>
        <v>Beban Perlengkapan</v>
      </c>
      <c r="C31" s="44" t="n">
        <f aca="false">MAX(MUTASI!Q32,0)</f>
        <v>0</v>
      </c>
      <c r="D31" s="44" t="n">
        <f aca="false">MAX(-MUTASI!Q32,0)</f>
        <v>0</v>
      </c>
      <c r="E31" s="44" t="n">
        <f aca="false">SUMIFS(J_NOM,J_DEB,B31,J_THN,TAHUN,J_BLN,"&lt;="&amp;BLN)</f>
        <v>13433013</v>
      </c>
      <c r="F31" s="44" t="n">
        <f aca="false">SUMIFS(J_NOM,J_KRE,B31,J_THN,TAHUN,J_BLN,"&lt;="&amp;BLN)</f>
        <v>0</v>
      </c>
      <c r="G31" s="44" t="n">
        <f aca="false">MAX(C31-D31+E31-F31,0)</f>
        <v>13433013</v>
      </c>
      <c r="H31" s="44" t="n">
        <f aca="false">MAX(-(C31-D31+E31-F31),0)</f>
        <v>0</v>
      </c>
    </row>
    <row r="32" customFormat="false" ht="15" hidden="false" customHeight="false" outlineLevel="0" collapsed="false">
      <c r="A32" s="112" t="str">
        <f aca="false">AKUN!A33</f>
        <v>6106</v>
      </c>
      <c r="B32" s="112" t="str">
        <f aca="false">AKUN!B33</f>
        <v>Biaya Operasional Harian</v>
      </c>
      <c r="C32" s="113" t="n">
        <f aca="false">MAX(MUTASI!Q33,0)</f>
        <v>0</v>
      </c>
      <c r="D32" s="113" t="n">
        <f aca="false">MAX(-MUTASI!Q33,0)</f>
        <v>0</v>
      </c>
      <c r="E32" s="113" t="n">
        <f aca="false">SUMIFS(J_NOM,J_DEB,B32,J_THN,TAHUN,J_BLN,"&lt;="&amp;BLN)</f>
        <v>4896080</v>
      </c>
      <c r="F32" s="113" t="n">
        <f aca="false">SUMIFS(J_NOM,J_KRE,B32,J_THN,TAHUN,J_BLN,"&lt;="&amp;BLN)</f>
        <v>0</v>
      </c>
      <c r="G32" s="113" t="n">
        <f aca="false">MAX(C32-D32+E32-F32,0)</f>
        <v>4896080</v>
      </c>
      <c r="H32" s="113" t="n">
        <f aca="false">MAX(-(C32-D32+E32-F32),0)</f>
        <v>0</v>
      </c>
    </row>
    <row r="33" customFormat="false" ht="15" hidden="false" customHeight="false" outlineLevel="0" collapsed="false">
      <c r="A33" s="5" t="str">
        <f aca="false">AKUN!A34</f>
        <v>6107</v>
      </c>
      <c r="B33" s="5" t="str">
        <f aca="false">AKUN!B34</f>
        <v>Biaya Pemeliharaan</v>
      </c>
      <c r="C33" s="44" t="n">
        <f aca="false">MAX(MUTASI!Q34,0)</f>
        <v>0</v>
      </c>
      <c r="D33" s="44" t="n">
        <f aca="false">MAX(-MUTASI!Q34,0)</f>
        <v>0</v>
      </c>
      <c r="E33" s="44" t="n">
        <f aca="false">SUMIFS(J_NOM,J_DEB,B33,J_THN,TAHUN,J_BLN,"&lt;="&amp;BLN)</f>
        <v>13558095</v>
      </c>
      <c r="F33" s="44" t="n">
        <f aca="false">SUMIFS(J_NOM,J_KRE,B33,J_THN,TAHUN,J_BLN,"&lt;="&amp;BLN)</f>
        <v>0</v>
      </c>
      <c r="G33" s="44" t="n">
        <f aca="false">MAX(C33-D33+E33-F33,0)</f>
        <v>13558095</v>
      </c>
      <c r="H33" s="44" t="n">
        <f aca="false">MAX(-(C33-D33+E33-F33),0)</f>
        <v>0</v>
      </c>
    </row>
    <row r="34" customFormat="false" ht="15" hidden="false" customHeight="false" outlineLevel="0" collapsed="false">
      <c r="A34" s="112" t="str">
        <f aca="false">AKUN!A35</f>
        <v>6108</v>
      </c>
      <c r="B34" s="112" t="str">
        <f aca="false">AKUN!B35</f>
        <v>Biaya Compliment</v>
      </c>
      <c r="C34" s="113" t="n">
        <f aca="false">MAX(MUTASI!Q35,0)</f>
        <v>0</v>
      </c>
      <c r="D34" s="113" t="n">
        <f aca="false">MAX(-MUTASI!Q35,0)</f>
        <v>0</v>
      </c>
      <c r="E34" s="113" t="n">
        <f aca="false">SUMIFS(J_NOM,J_DEB,B34,J_THN,TAHUN,J_BLN,"&lt;="&amp;BLN)</f>
        <v>4480000</v>
      </c>
      <c r="F34" s="113" t="n">
        <f aca="false">SUMIFS(J_NOM,J_KRE,B34,J_THN,TAHUN,J_BLN,"&lt;="&amp;BLN)</f>
        <v>0</v>
      </c>
      <c r="G34" s="113" t="n">
        <f aca="false">MAX(C34-D34+E34-F34,0)</f>
        <v>4480000</v>
      </c>
      <c r="H34" s="113" t="n">
        <f aca="false">MAX(-(C34-D34+E34-F34),0)</f>
        <v>0</v>
      </c>
    </row>
    <row r="35" customFormat="false" ht="15" hidden="false" customHeight="false" outlineLevel="0" collapsed="false">
      <c r="A35" s="5" t="str">
        <f aca="false">AKUN!A36</f>
        <v>6109</v>
      </c>
      <c r="B35" s="5" t="str">
        <f aca="false">AKUN!B36</f>
        <v>Biaya R&amp;D</v>
      </c>
      <c r="C35" s="44" t="n">
        <f aca="false">MAX(MUTASI!Q36,0)</f>
        <v>0</v>
      </c>
      <c r="D35" s="44" t="n">
        <f aca="false">MAX(-MUTASI!Q36,0)</f>
        <v>0</v>
      </c>
      <c r="E35" s="44" t="n">
        <f aca="false">SUMIFS(J_NOM,J_DEB,B35,J_THN,TAHUN,J_BLN,"&lt;="&amp;BLN)</f>
        <v>0</v>
      </c>
      <c r="F35" s="44" t="n">
        <f aca="false">SUMIFS(J_NOM,J_KRE,B35,J_THN,TAHUN,J_BLN,"&lt;="&amp;BLN)</f>
        <v>0</v>
      </c>
      <c r="G35" s="44" t="n">
        <f aca="false">MAX(C35-D35+E35-F35,0)</f>
        <v>0</v>
      </c>
      <c r="H35" s="44" t="n">
        <f aca="false">MAX(-(C35-D35+E35-F35),0)</f>
        <v>0</v>
      </c>
    </row>
    <row r="36" customFormat="false" ht="15" hidden="false" customHeight="false" outlineLevel="0" collapsed="false">
      <c r="A36" s="112" t="str">
        <f aca="false">AKUN!A37</f>
        <v>6110</v>
      </c>
      <c r="B36" s="112" t="str">
        <f aca="false">AKUN!B37</f>
        <v>Dana Sosial &amp; CSR</v>
      </c>
      <c r="C36" s="113" t="n">
        <f aca="false">MAX(MUTASI!Q37,0)</f>
        <v>0</v>
      </c>
      <c r="D36" s="113" t="n">
        <f aca="false">MAX(-MUTASI!Q37,0)</f>
        <v>0</v>
      </c>
      <c r="E36" s="113" t="n">
        <f aca="false">SUMIFS(J_NOM,J_DEB,B36,J_THN,TAHUN,J_BLN,"&lt;="&amp;BLN)</f>
        <v>11834000</v>
      </c>
      <c r="F36" s="113" t="n">
        <f aca="false">SUMIFS(J_NOM,J_KRE,B36,J_THN,TAHUN,J_BLN,"&lt;="&amp;BLN)</f>
        <v>0</v>
      </c>
      <c r="G36" s="113" t="n">
        <f aca="false">MAX(C36-D36+E36-F36,0)</f>
        <v>11834000</v>
      </c>
      <c r="H36" s="113" t="n">
        <f aca="false">MAX(-(C36-D36+E36-F36),0)</f>
        <v>0</v>
      </c>
    </row>
    <row r="37" customFormat="false" ht="15" hidden="false" customHeight="false" outlineLevel="0" collapsed="false">
      <c r="A37" s="5" t="str">
        <f aca="false">AKUN!A38</f>
        <v>6111</v>
      </c>
      <c r="B37" s="5" t="str">
        <f aca="false">AKUN!B38</f>
        <v>Beban Penyusutan Peralatan</v>
      </c>
      <c r="C37" s="44" t="n">
        <f aca="false">MAX(MUTASI!Q38,0)</f>
        <v>0</v>
      </c>
      <c r="D37" s="44" t="n">
        <f aca="false">MAX(-MUTASI!Q38,0)</f>
        <v>0</v>
      </c>
      <c r="E37" s="44" t="n">
        <f aca="false">SUMIFS(J_NOM,J_DEB,B37,J_THN,TAHUN,J_BLN,"&lt;="&amp;BLN)</f>
        <v>2564119</v>
      </c>
      <c r="F37" s="44" t="n">
        <f aca="false">SUMIFS(J_NOM,J_KRE,B37,J_THN,TAHUN,J_BLN,"&lt;="&amp;BLN)</f>
        <v>0</v>
      </c>
      <c r="G37" s="44" t="n">
        <f aca="false">MAX(C37-D37+E37-F37,0)</f>
        <v>2564119</v>
      </c>
      <c r="H37" s="44" t="n">
        <f aca="false">MAX(-(C37-D37+E37-F37),0)</f>
        <v>0</v>
      </c>
    </row>
    <row r="38" customFormat="false" ht="15" hidden="false" customHeight="false" outlineLevel="0" collapsed="false">
      <c r="A38" s="112" t="str">
        <f aca="false">AKUN!A39</f>
        <v>7101</v>
      </c>
      <c r="B38" s="112" t="str">
        <f aca="false">AKUN!B39</f>
        <v>Pendapatan Lainnya</v>
      </c>
      <c r="C38" s="113" t="n">
        <f aca="false">MAX(MUTASI!Q39,0)</f>
        <v>0</v>
      </c>
      <c r="D38" s="113" t="n">
        <f aca="false">MAX(-MUTASI!Q39,0)</f>
        <v>0</v>
      </c>
      <c r="E38" s="113" t="n">
        <f aca="false">SUMIFS(J_NOM,J_DEB,B38,J_THN,TAHUN,J_BLN,"&lt;="&amp;BLN)</f>
        <v>0</v>
      </c>
      <c r="F38" s="113" t="n">
        <f aca="false">SUMIFS(J_NOM,J_KRE,B38,J_THN,TAHUN,J_BLN,"&lt;="&amp;BLN)</f>
        <v>1216740</v>
      </c>
      <c r="G38" s="113" t="n">
        <f aca="false">MAX(C38-D38+E38-F38,0)</f>
        <v>0</v>
      </c>
      <c r="H38" s="113" t="n">
        <f aca="false">MAX(-(C38-D38+E38-F38),0)</f>
        <v>1216740</v>
      </c>
    </row>
    <row r="39" customFormat="false" ht="15" hidden="false" customHeight="false" outlineLevel="0" collapsed="false">
      <c r="A39" s="5" t="str">
        <f aca="false">AKUN!A40</f>
        <v>7201</v>
      </c>
      <c r="B39" s="5" t="str">
        <f aca="false">AKUN!B40</f>
        <v>Biaya Lainnya</v>
      </c>
      <c r="C39" s="44" t="n">
        <f aca="false">MAX(MUTASI!Q40,0)</f>
        <v>0</v>
      </c>
      <c r="D39" s="44" t="n">
        <f aca="false">MAX(-MUTASI!Q40,0)</f>
        <v>0</v>
      </c>
      <c r="E39" s="44" t="n">
        <f aca="false">SUMIFS(J_NOM,J_DEB,B39,J_THN,TAHUN,J_BLN,"&lt;="&amp;BLN)</f>
        <v>3830119</v>
      </c>
      <c r="F39" s="44" t="n">
        <f aca="false">SUMIFS(J_NOM,J_KRE,B39,J_THN,TAHUN,J_BLN,"&lt;="&amp;BLN)</f>
        <v>0</v>
      </c>
      <c r="G39" s="44" t="n">
        <f aca="false">MAX(C39-D39+E39-F39,0)</f>
        <v>3830119</v>
      </c>
      <c r="H39" s="44" t="n">
        <f aca="false">MAX(-(C39-D39+E39-F39),0)</f>
        <v>0</v>
      </c>
    </row>
    <row r="40" customFormat="false" ht="15" hidden="false" customHeight="false" outlineLevel="0" collapsed="false">
      <c r="A40" s="5"/>
      <c r="B40" s="13" t="s">
        <v>371</v>
      </c>
      <c r="C40" s="78" t="n">
        <f aca="false">SUM(C5:C39)</f>
        <v>119088285</v>
      </c>
      <c r="D40" s="78" t="n">
        <f aca="false">SUM(D5:D39)</f>
        <v>119088285</v>
      </c>
      <c r="E40" s="78" t="n">
        <f aca="false">SUM(E5:E39)</f>
        <v>3104598727</v>
      </c>
      <c r="F40" s="78" t="n">
        <f aca="false">SUM(F5:F39)</f>
        <v>3104598727</v>
      </c>
      <c r="G40" s="78" t="n">
        <f aca="false">SUM(G5:G39)</f>
        <v>1067835500</v>
      </c>
      <c r="H40" s="78" t="n">
        <f aca="false">SUM(H5:H39)</f>
        <v>1067835500</v>
      </c>
    </row>
    <row r="41" customFormat="false" ht="15" hidden="false" customHeight="false" outlineLevel="0" collapsed="false">
      <c r="A41" s="5"/>
      <c r="B41" s="111" t="s">
        <v>2719</v>
      </c>
      <c r="C41" s="44" t="n">
        <f aca="false">ROUND(C40-D40,0)</f>
        <v>0</v>
      </c>
      <c r="D41" s="5"/>
      <c r="E41" s="44" t="n">
        <f aca="false">ROUND(E40-F40,0)</f>
        <v>0</v>
      </c>
      <c r="F41" s="5"/>
      <c r="G41" s="44" t="n">
        <f aca="false">ROUND(G40-H40,0)</f>
        <v>0</v>
      </c>
      <c r="H41" s="5"/>
    </row>
  </sheetData>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887F"/>
    <pageSetUpPr fitToPage="true"/>
  </sheetPr>
  <dimension ref="A1:V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12"/>
    <col collapsed="false" customWidth="true" hidden="false" outlineLevel="0" max="4" min="4" style="0" width="14"/>
    <col collapsed="false" customWidth="true" hidden="false" outlineLevel="0" max="5" min="5" style="0" width="10"/>
    <col collapsed="false" customWidth="true" hidden="false" outlineLevel="0" max="6" min="6" style="0" width="11"/>
    <col collapsed="false" customWidth="true" hidden="false" outlineLevel="0" max="7" min="7" style="0" width="12"/>
    <col collapsed="false" customWidth="true" hidden="false" outlineLevel="0" max="19" min="8" style="0" width="10"/>
    <col collapsed="false" customWidth="true" hidden="false" outlineLevel="0" max="20" min="20" style="0" width="12"/>
    <col collapsed="false" customWidth="true" hidden="false" outlineLevel="0" max="22" min="21" style="0" width="14"/>
  </cols>
  <sheetData>
    <row r="1" customFormat="false" ht="19.7" hidden="false" customHeight="false" outlineLevel="0" collapsed="false">
      <c r="A1" s="17" t="s">
        <v>2720</v>
      </c>
      <c r="B1" s="5"/>
      <c r="C1" s="5"/>
      <c r="D1" s="5"/>
      <c r="E1" s="5"/>
      <c r="F1" s="5"/>
      <c r="G1" s="5"/>
      <c r="H1" s="5"/>
      <c r="I1" s="5"/>
      <c r="J1" s="5"/>
      <c r="K1" s="5"/>
      <c r="L1" s="5"/>
      <c r="M1" s="5"/>
      <c r="N1" s="5"/>
      <c r="O1" s="5"/>
      <c r="P1" s="5"/>
      <c r="Q1" s="5"/>
      <c r="R1" s="5"/>
      <c r="S1" s="5"/>
      <c r="T1" s="5"/>
      <c r="U1" s="5"/>
      <c r="V1" s="5"/>
    </row>
    <row r="2" customFormat="false" ht="15" hidden="false" customHeight="false" outlineLevel="0" collapsed="false">
      <c r="A2" s="18" t="s">
        <v>2721</v>
      </c>
      <c r="B2" s="5"/>
      <c r="C2" s="5"/>
      <c r="D2" s="5"/>
      <c r="E2" s="5"/>
      <c r="F2" s="5"/>
      <c r="G2" s="5"/>
      <c r="H2" s="5"/>
      <c r="I2" s="5"/>
      <c r="J2" s="5"/>
      <c r="K2" s="5"/>
      <c r="L2" s="5"/>
      <c r="M2" s="5"/>
      <c r="N2" s="5"/>
      <c r="O2" s="5"/>
      <c r="P2" s="5"/>
      <c r="Q2" s="5"/>
      <c r="R2" s="5"/>
      <c r="S2" s="5"/>
      <c r="T2" s="5"/>
      <c r="U2" s="5"/>
      <c r="V2" s="5"/>
    </row>
    <row r="3" customFormat="false" ht="15" hidden="false" customHeight="false" outlineLevel="0" collapsed="false">
      <c r="A3" s="5"/>
      <c r="B3" s="5"/>
      <c r="C3" s="5"/>
      <c r="D3" s="5"/>
      <c r="E3" s="5"/>
      <c r="F3" s="5"/>
      <c r="G3" s="5"/>
      <c r="H3" s="5"/>
      <c r="I3" s="5"/>
      <c r="J3" s="5"/>
      <c r="K3" s="5"/>
      <c r="L3" s="5"/>
      <c r="M3" s="5"/>
      <c r="N3" s="5"/>
      <c r="O3" s="5"/>
      <c r="P3" s="5"/>
      <c r="Q3" s="5"/>
      <c r="R3" s="5"/>
      <c r="S3" s="5"/>
      <c r="T3" s="5"/>
      <c r="U3" s="5"/>
      <c r="V3" s="5"/>
    </row>
    <row r="4" customFormat="false" ht="15" hidden="false" customHeight="false" outlineLevel="0" collapsed="false">
      <c r="A4" s="5"/>
      <c r="B4" s="5"/>
      <c r="C4" s="5"/>
      <c r="D4" s="5"/>
      <c r="E4" s="5"/>
      <c r="F4" s="5"/>
      <c r="G4" s="5"/>
      <c r="H4" s="114" t="n">
        <v>1</v>
      </c>
      <c r="I4" s="114" t="n">
        <v>2</v>
      </c>
      <c r="J4" s="114" t="n">
        <v>3</v>
      </c>
      <c r="K4" s="114" t="n">
        <v>4</v>
      </c>
      <c r="L4" s="114" t="n">
        <v>5</v>
      </c>
      <c r="M4" s="114" t="n">
        <v>6</v>
      </c>
      <c r="N4" s="114" t="n">
        <v>7</v>
      </c>
      <c r="O4" s="114" t="n">
        <v>8</v>
      </c>
      <c r="P4" s="114" t="n">
        <v>9</v>
      </c>
      <c r="Q4" s="114" t="n">
        <v>10</v>
      </c>
      <c r="R4" s="114" t="n">
        <v>11</v>
      </c>
      <c r="S4" s="114" t="n">
        <v>12</v>
      </c>
      <c r="T4" s="5"/>
      <c r="U4" s="5"/>
      <c r="V4" s="5"/>
    </row>
    <row r="5" customFormat="false" ht="30" hidden="false" customHeight="true" outlineLevel="0" collapsed="false">
      <c r="A5" s="20" t="s">
        <v>62</v>
      </c>
      <c r="B5" s="20" t="s">
        <v>2722</v>
      </c>
      <c r="C5" s="20" t="s">
        <v>2723</v>
      </c>
      <c r="D5" s="20" t="s">
        <v>2724</v>
      </c>
      <c r="E5" s="20" t="s">
        <v>2725</v>
      </c>
      <c r="F5" s="20" t="s">
        <v>2726</v>
      </c>
      <c r="G5" s="20" t="s">
        <v>2727</v>
      </c>
      <c r="H5" s="20" t="s">
        <v>113</v>
      </c>
      <c r="I5" s="20" t="s">
        <v>114</v>
      </c>
      <c r="J5" s="20" t="s">
        <v>115</v>
      </c>
      <c r="K5" s="20" t="s">
        <v>116</v>
      </c>
      <c r="L5" s="20" t="s">
        <v>79</v>
      </c>
      <c r="M5" s="20" t="s">
        <v>117</v>
      </c>
      <c r="N5" s="20" t="s">
        <v>118</v>
      </c>
      <c r="O5" s="20" t="s">
        <v>119</v>
      </c>
      <c r="P5" s="20" t="s">
        <v>120</v>
      </c>
      <c r="Q5" s="20" t="s">
        <v>121</v>
      </c>
      <c r="R5" s="20" t="s">
        <v>122</v>
      </c>
      <c r="S5" s="20" t="s">
        <v>123</v>
      </c>
      <c r="T5" s="20" t="s">
        <v>2728</v>
      </c>
      <c r="U5" s="20" t="s">
        <v>2729</v>
      </c>
      <c r="V5" s="20" t="s">
        <v>2730</v>
      </c>
    </row>
    <row r="6" customFormat="false" ht="15" hidden="false" customHeight="false" outlineLevel="0" collapsed="false">
      <c r="A6" s="10" t="n">
        <v>1</v>
      </c>
      <c r="B6" s="82" t="s">
        <v>2731</v>
      </c>
      <c r="C6" s="101" t="n">
        <v>46044</v>
      </c>
      <c r="D6" s="91" t="n">
        <v>13000000</v>
      </c>
      <c r="E6" s="115" t="n">
        <v>5</v>
      </c>
      <c r="F6" s="116" t="n">
        <f aca="false">IF(C6="","",EOMONTH(C6,0)+1)</f>
        <v>46054</v>
      </c>
      <c r="G6" s="44" t="n">
        <f aca="false">IF(N(E6)=0,0,ROUND(D6/(E6*12),0))</f>
        <v>216667</v>
      </c>
      <c r="H6" s="117" t="n">
        <f aca="false">IF(OR($C6="",H$4&gt;BLN),0,IF(AND(DATE(TAHUN,H$4,1)&gt;=$F6,DATE(TAHUN,H$4,1)&lt;EDATE($F6,$E6*12)),$G6,0))</f>
        <v>0</v>
      </c>
      <c r="I6" s="117" t="n">
        <f aca="false">IF(OR($C6="",I$4&gt;BLN),0,IF(AND(DATE(TAHUN,I$4,1)&gt;=$F6,DATE(TAHUN,I$4,1)&lt;EDATE($F6,$E6*12)),$G6,0))</f>
        <v>216667</v>
      </c>
      <c r="J6" s="117" t="n">
        <f aca="false">IF(OR($C6="",J$4&gt;BLN),0,IF(AND(DATE(TAHUN,J$4,1)&gt;=$F6,DATE(TAHUN,J$4,1)&lt;EDATE($F6,$E6*12)),$G6,0))</f>
        <v>216667</v>
      </c>
      <c r="K6" s="117" t="n">
        <f aca="false">IF(OR($C6="",K$4&gt;BLN),0,IF(AND(DATE(TAHUN,K$4,1)&gt;=$F6,DATE(TAHUN,K$4,1)&lt;EDATE($F6,$E6*12)),$G6,0))</f>
        <v>216667</v>
      </c>
      <c r="L6" s="117" t="n">
        <f aca="false">IF(OR($C6="",L$4&gt;BLN),0,IF(AND(DATE(TAHUN,L$4,1)&gt;=$F6,DATE(TAHUN,L$4,1)&lt;EDATE($F6,$E6*12)),$G6,0))</f>
        <v>216667</v>
      </c>
      <c r="M6" s="117" t="n">
        <f aca="false">IF(OR($C6="",M$4&gt;BLN),0,IF(AND(DATE(TAHUN,M$4,1)&gt;=$F6,DATE(TAHUN,M$4,1)&lt;EDATE($F6,$E6*12)),$G6,0))</f>
        <v>216667</v>
      </c>
      <c r="N6" s="117" t="n">
        <f aca="false">IF(OR($C6="",N$4&gt;BLN),0,IF(AND(DATE(TAHUN,N$4,1)&gt;=$F6,DATE(TAHUN,N$4,1)&lt;EDATE($F6,$E6*12)),$G6,0))</f>
        <v>216667</v>
      </c>
      <c r="O6" s="117" t="n">
        <f aca="false">IF(OR($C6="",O$4&gt;BLN),0,IF(AND(DATE(TAHUN,O$4,1)&gt;=$F6,DATE(TAHUN,O$4,1)&lt;EDATE($F6,$E6*12)),$G6,0))</f>
        <v>216667</v>
      </c>
      <c r="P6" s="117" t="n">
        <f aca="false">IF(OR($C6="",P$4&gt;BLN),0,IF(AND(DATE(TAHUN,P$4,1)&gt;=$F6,DATE(TAHUN,P$4,1)&lt;EDATE($F6,$E6*12)),$G6,0))</f>
        <v>216667</v>
      </c>
      <c r="Q6" s="117" t="n">
        <f aca="false">IF(OR($C6="",Q$4&gt;BLN),0,IF(AND(DATE(TAHUN,Q$4,1)&gt;=$F6,DATE(TAHUN,Q$4,1)&lt;EDATE($F6,$E6*12)),$G6,0))</f>
        <v>0</v>
      </c>
      <c r="R6" s="117" t="n">
        <f aca="false">IF(OR($C6="",R$4&gt;BLN),0,IF(AND(DATE(TAHUN,R$4,1)&gt;=$F6,DATE(TAHUN,R$4,1)&lt;EDATE($F6,$E6*12)),$G6,0))</f>
        <v>0</v>
      </c>
      <c r="S6" s="117" t="n">
        <f aca="false">IF(OR($C6="",S$4&gt;BLN),0,IF(AND(DATE(TAHUN,S$4,1)&gt;=$F6,DATE(TAHUN,S$4,1)&lt;EDATE($F6,$E6*12)),$G6,0))</f>
        <v>0</v>
      </c>
      <c r="T6" s="91" t="n">
        <v>0</v>
      </c>
      <c r="U6" s="44" t="n">
        <f aca="false">T6+SUM(H6:S6)</f>
        <v>1733336</v>
      </c>
      <c r="V6" s="44" t="n">
        <f aca="false">D6-U6</f>
        <v>11266664</v>
      </c>
    </row>
    <row r="7" customFormat="false" ht="15" hidden="false" customHeight="false" outlineLevel="0" collapsed="false">
      <c r="A7" s="10" t="n">
        <v>2</v>
      </c>
      <c r="B7" s="82" t="s">
        <v>2732</v>
      </c>
      <c r="C7" s="101" t="n">
        <v>46109</v>
      </c>
      <c r="D7" s="91" t="n">
        <v>1742240</v>
      </c>
      <c r="E7" s="115" t="n">
        <v>4</v>
      </c>
      <c r="F7" s="116" t="n">
        <f aca="false">IF(C7="","",EOMONTH(C7,0)+1)</f>
        <v>46113</v>
      </c>
      <c r="G7" s="44" t="n">
        <f aca="false">IF(N(E7)=0,0,ROUND(D7/(E7*12),0))</f>
        <v>36297</v>
      </c>
      <c r="H7" s="117" t="n">
        <f aca="false">IF(OR($C7="",H$4&gt;BLN),0,IF(AND(DATE(TAHUN,H$4,1)&gt;=$F7,DATE(TAHUN,H$4,1)&lt;EDATE($F7,$E7*12)),$G7,0))</f>
        <v>0</v>
      </c>
      <c r="I7" s="117" t="n">
        <f aca="false">IF(OR($C7="",I$4&gt;BLN),0,IF(AND(DATE(TAHUN,I$4,1)&gt;=$F7,DATE(TAHUN,I$4,1)&lt;EDATE($F7,$E7*12)),$G7,0))</f>
        <v>0</v>
      </c>
      <c r="J7" s="117" t="n">
        <f aca="false">IF(OR($C7="",J$4&gt;BLN),0,IF(AND(DATE(TAHUN,J$4,1)&gt;=$F7,DATE(TAHUN,J$4,1)&lt;EDATE($F7,$E7*12)),$G7,0))</f>
        <v>0</v>
      </c>
      <c r="K7" s="117" t="n">
        <f aca="false">IF(OR($C7="",K$4&gt;BLN),0,IF(AND(DATE(TAHUN,K$4,1)&gt;=$F7,DATE(TAHUN,K$4,1)&lt;EDATE($F7,$E7*12)),$G7,0))</f>
        <v>36297</v>
      </c>
      <c r="L7" s="117" t="n">
        <f aca="false">IF(OR($C7="",L$4&gt;BLN),0,IF(AND(DATE(TAHUN,L$4,1)&gt;=$F7,DATE(TAHUN,L$4,1)&lt;EDATE($F7,$E7*12)),$G7,0))</f>
        <v>36297</v>
      </c>
      <c r="M7" s="117" t="n">
        <f aca="false">IF(OR($C7="",M$4&gt;BLN),0,IF(AND(DATE(TAHUN,M$4,1)&gt;=$F7,DATE(TAHUN,M$4,1)&lt;EDATE($F7,$E7*12)),$G7,0))</f>
        <v>36297</v>
      </c>
      <c r="N7" s="117" t="n">
        <f aca="false">IF(OR($C7="",N$4&gt;BLN),0,IF(AND(DATE(TAHUN,N$4,1)&gt;=$F7,DATE(TAHUN,N$4,1)&lt;EDATE($F7,$E7*12)),$G7,0))</f>
        <v>36297</v>
      </c>
      <c r="O7" s="117" t="n">
        <f aca="false">IF(OR($C7="",O$4&gt;BLN),0,IF(AND(DATE(TAHUN,O$4,1)&gt;=$F7,DATE(TAHUN,O$4,1)&lt;EDATE($F7,$E7*12)),$G7,0))</f>
        <v>36297</v>
      </c>
      <c r="P7" s="117" t="n">
        <f aca="false">IF(OR($C7="",P$4&gt;BLN),0,IF(AND(DATE(TAHUN,P$4,1)&gt;=$F7,DATE(TAHUN,P$4,1)&lt;EDATE($F7,$E7*12)),$G7,0))</f>
        <v>36297</v>
      </c>
      <c r="Q7" s="117" t="n">
        <f aca="false">IF(OR($C7="",Q$4&gt;BLN),0,IF(AND(DATE(TAHUN,Q$4,1)&gt;=$F7,DATE(TAHUN,Q$4,1)&lt;EDATE($F7,$E7*12)),$G7,0))</f>
        <v>0</v>
      </c>
      <c r="R7" s="117" t="n">
        <f aca="false">IF(OR($C7="",R$4&gt;BLN),0,IF(AND(DATE(TAHUN,R$4,1)&gt;=$F7,DATE(TAHUN,R$4,1)&lt;EDATE($F7,$E7*12)),$G7,0))</f>
        <v>0</v>
      </c>
      <c r="S7" s="117" t="n">
        <f aca="false">IF(OR($C7="",S$4&gt;BLN),0,IF(AND(DATE(TAHUN,S$4,1)&gt;=$F7,DATE(TAHUN,S$4,1)&lt;EDATE($F7,$E7*12)),$G7,0))</f>
        <v>0</v>
      </c>
      <c r="T7" s="91" t="n">
        <v>0</v>
      </c>
      <c r="U7" s="44" t="n">
        <f aca="false">T7+SUM(H7:S7)</f>
        <v>217782</v>
      </c>
      <c r="V7" s="44" t="n">
        <f aca="false">D7-U7</f>
        <v>1524458</v>
      </c>
    </row>
    <row r="8" customFormat="false" ht="15" hidden="false" customHeight="false" outlineLevel="0" collapsed="false">
      <c r="A8" s="10" t="n">
        <v>3</v>
      </c>
      <c r="B8" s="82" t="s">
        <v>2733</v>
      </c>
      <c r="C8" s="101" t="n">
        <v>46123</v>
      </c>
      <c r="D8" s="91" t="n">
        <v>265895</v>
      </c>
      <c r="E8" s="115" t="n">
        <v>4</v>
      </c>
      <c r="F8" s="116" t="n">
        <f aca="false">IF(C8="","",EOMONTH(C8,0)+1)</f>
        <v>46143</v>
      </c>
      <c r="G8" s="44" t="n">
        <f aca="false">IF(N(E8)=0,0,ROUND(D8/(E8*12),0))</f>
        <v>5539</v>
      </c>
      <c r="H8" s="117" t="n">
        <f aca="false">IF(OR($C8="",H$4&gt;BLN),0,IF(AND(DATE(TAHUN,H$4,1)&gt;=$F8,DATE(TAHUN,H$4,1)&lt;EDATE($F8,$E8*12)),$G8,0))</f>
        <v>0</v>
      </c>
      <c r="I8" s="117" t="n">
        <f aca="false">IF(OR($C8="",I$4&gt;BLN),0,IF(AND(DATE(TAHUN,I$4,1)&gt;=$F8,DATE(TAHUN,I$4,1)&lt;EDATE($F8,$E8*12)),$G8,0))</f>
        <v>0</v>
      </c>
      <c r="J8" s="117" t="n">
        <f aca="false">IF(OR($C8="",J$4&gt;BLN),0,IF(AND(DATE(TAHUN,J$4,1)&gt;=$F8,DATE(TAHUN,J$4,1)&lt;EDATE($F8,$E8*12)),$G8,0))</f>
        <v>0</v>
      </c>
      <c r="K8" s="117" t="n">
        <f aca="false">IF(OR($C8="",K$4&gt;BLN),0,IF(AND(DATE(TAHUN,K$4,1)&gt;=$F8,DATE(TAHUN,K$4,1)&lt;EDATE($F8,$E8*12)),$G8,0))</f>
        <v>0</v>
      </c>
      <c r="L8" s="117" t="n">
        <f aca="false">IF(OR($C8="",L$4&gt;BLN),0,IF(AND(DATE(TAHUN,L$4,1)&gt;=$F8,DATE(TAHUN,L$4,1)&lt;EDATE($F8,$E8*12)),$G8,0))</f>
        <v>5539</v>
      </c>
      <c r="M8" s="117" t="n">
        <f aca="false">IF(OR($C8="",M$4&gt;BLN),0,IF(AND(DATE(TAHUN,M$4,1)&gt;=$F8,DATE(TAHUN,M$4,1)&lt;EDATE($F8,$E8*12)),$G8,0))</f>
        <v>5539</v>
      </c>
      <c r="N8" s="117" t="n">
        <f aca="false">IF(OR($C8="",N$4&gt;BLN),0,IF(AND(DATE(TAHUN,N$4,1)&gt;=$F8,DATE(TAHUN,N$4,1)&lt;EDATE($F8,$E8*12)),$G8,0))</f>
        <v>5539</v>
      </c>
      <c r="O8" s="117" t="n">
        <f aca="false">IF(OR($C8="",O$4&gt;BLN),0,IF(AND(DATE(TAHUN,O$4,1)&gt;=$F8,DATE(TAHUN,O$4,1)&lt;EDATE($F8,$E8*12)),$G8,0))</f>
        <v>5539</v>
      </c>
      <c r="P8" s="117" t="n">
        <f aca="false">IF(OR($C8="",P$4&gt;BLN),0,IF(AND(DATE(TAHUN,P$4,1)&gt;=$F8,DATE(TAHUN,P$4,1)&lt;EDATE($F8,$E8*12)),$G8,0))</f>
        <v>5539</v>
      </c>
      <c r="Q8" s="117" t="n">
        <f aca="false">IF(OR($C8="",Q$4&gt;BLN),0,IF(AND(DATE(TAHUN,Q$4,1)&gt;=$F8,DATE(TAHUN,Q$4,1)&lt;EDATE($F8,$E8*12)),$G8,0))</f>
        <v>0</v>
      </c>
      <c r="R8" s="117" t="n">
        <f aca="false">IF(OR($C8="",R$4&gt;BLN),0,IF(AND(DATE(TAHUN,R$4,1)&gt;=$F8,DATE(TAHUN,R$4,1)&lt;EDATE($F8,$E8*12)),$G8,0))</f>
        <v>0</v>
      </c>
      <c r="S8" s="117" t="n">
        <f aca="false">IF(OR($C8="",S$4&gt;BLN),0,IF(AND(DATE(TAHUN,S$4,1)&gt;=$F8,DATE(TAHUN,S$4,1)&lt;EDATE($F8,$E8*12)),$G8,0))</f>
        <v>0</v>
      </c>
      <c r="T8" s="91" t="n">
        <v>0</v>
      </c>
      <c r="U8" s="44" t="n">
        <f aca="false">T8+SUM(H8:S8)</f>
        <v>27695</v>
      </c>
      <c r="V8" s="44" t="n">
        <f aca="false">D8-U8</f>
        <v>238200</v>
      </c>
    </row>
    <row r="9" customFormat="false" ht="15" hidden="false" customHeight="false" outlineLevel="0" collapsed="false">
      <c r="A9" s="10" t="n">
        <v>4</v>
      </c>
      <c r="B9" s="82" t="s">
        <v>2734</v>
      </c>
      <c r="C9" s="101" t="n">
        <v>46131</v>
      </c>
      <c r="D9" s="91" t="n">
        <v>93553</v>
      </c>
      <c r="E9" s="115" t="n">
        <v>4</v>
      </c>
      <c r="F9" s="116" t="n">
        <f aca="false">IF(C9="","",EOMONTH(C9,0)+1)</f>
        <v>46143</v>
      </c>
      <c r="G9" s="44" t="n">
        <f aca="false">IF(N(E9)=0,0,ROUND(D9/(E9*12),0))</f>
        <v>1949</v>
      </c>
      <c r="H9" s="117" t="n">
        <f aca="false">IF(OR($C9="",H$4&gt;BLN),0,IF(AND(DATE(TAHUN,H$4,1)&gt;=$F9,DATE(TAHUN,H$4,1)&lt;EDATE($F9,$E9*12)),$G9,0))</f>
        <v>0</v>
      </c>
      <c r="I9" s="117" t="n">
        <f aca="false">IF(OR($C9="",I$4&gt;BLN),0,IF(AND(DATE(TAHUN,I$4,1)&gt;=$F9,DATE(TAHUN,I$4,1)&lt;EDATE($F9,$E9*12)),$G9,0))</f>
        <v>0</v>
      </c>
      <c r="J9" s="117" t="n">
        <f aca="false">IF(OR($C9="",J$4&gt;BLN),0,IF(AND(DATE(TAHUN,J$4,1)&gt;=$F9,DATE(TAHUN,J$4,1)&lt;EDATE($F9,$E9*12)),$G9,0))</f>
        <v>0</v>
      </c>
      <c r="K9" s="117" t="n">
        <f aca="false">IF(OR($C9="",K$4&gt;BLN),0,IF(AND(DATE(TAHUN,K$4,1)&gt;=$F9,DATE(TAHUN,K$4,1)&lt;EDATE($F9,$E9*12)),$G9,0))</f>
        <v>0</v>
      </c>
      <c r="L9" s="117" t="n">
        <f aca="false">IF(OR($C9="",L$4&gt;BLN),0,IF(AND(DATE(TAHUN,L$4,1)&gt;=$F9,DATE(TAHUN,L$4,1)&lt;EDATE($F9,$E9*12)),$G9,0))</f>
        <v>1949</v>
      </c>
      <c r="M9" s="117" t="n">
        <f aca="false">IF(OR($C9="",M$4&gt;BLN),0,IF(AND(DATE(TAHUN,M$4,1)&gt;=$F9,DATE(TAHUN,M$4,1)&lt;EDATE($F9,$E9*12)),$G9,0))</f>
        <v>1949</v>
      </c>
      <c r="N9" s="117" t="n">
        <f aca="false">IF(OR($C9="",N$4&gt;BLN),0,IF(AND(DATE(TAHUN,N$4,1)&gt;=$F9,DATE(TAHUN,N$4,1)&lt;EDATE($F9,$E9*12)),$G9,0))</f>
        <v>1949</v>
      </c>
      <c r="O9" s="117" t="n">
        <f aca="false">IF(OR($C9="",O$4&gt;BLN),0,IF(AND(DATE(TAHUN,O$4,1)&gt;=$F9,DATE(TAHUN,O$4,1)&lt;EDATE($F9,$E9*12)),$G9,0))</f>
        <v>1949</v>
      </c>
      <c r="P9" s="117" t="n">
        <f aca="false">IF(OR($C9="",P$4&gt;BLN),0,IF(AND(DATE(TAHUN,P$4,1)&gt;=$F9,DATE(TAHUN,P$4,1)&lt;EDATE($F9,$E9*12)),$G9,0))</f>
        <v>1949</v>
      </c>
      <c r="Q9" s="117" t="n">
        <f aca="false">IF(OR($C9="",Q$4&gt;BLN),0,IF(AND(DATE(TAHUN,Q$4,1)&gt;=$F9,DATE(TAHUN,Q$4,1)&lt;EDATE($F9,$E9*12)),$G9,0))</f>
        <v>0</v>
      </c>
      <c r="R9" s="117" t="n">
        <f aca="false">IF(OR($C9="",R$4&gt;BLN),0,IF(AND(DATE(TAHUN,R$4,1)&gt;=$F9,DATE(TAHUN,R$4,1)&lt;EDATE($F9,$E9*12)),$G9,0))</f>
        <v>0</v>
      </c>
      <c r="S9" s="117" t="n">
        <f aca="false">IF(OR($C9="",S$4&gt;BLN),0,IF(AND(DATE(TAHUN,S$4,1)&gt;=$F9,DATE(TAHUN,S$4,1)&lt;EDATE($F9,$E9*12)),$G9,0))</f>
        <v>0</v>
      </c>
      <c r="T9" s="91" t="n">
        <v>0</v>
      </c>
      <c r="U9" s="44" t="n">
        <f aca="false">T9+SUM(H9:S9)</f>
        <v>9745</v>
      </c>
      <c r="V9" s="44" t="n">
        <f aca="false">D9-U9</f>
        <v>83808</v>
      </c>
    </row>
    <row r="10" customFormat="false" ht="15" hidden="false" customHeight="false" outlineLevel="0" collapsed="false">
      <c r="A10" s="10" t="n">
        <v>5</v>
      </c>
      <c r="B10" s="82" t="s">
        <v>2735</v>
      </c>
      <c r="C10" s="101" t="n">
        <v>46155</v>
      </c>
      <c r="D10" s="91" t="n">
        <v>1792100</v>
      </c>
      <c r="E10" s="115" t="n">
        <v>4</v>
      </c>
      <c r="F10" s="116" t="n">
        <f aca="false">IF(C10="","",EOMONTH(C10,0)+1)</f>
        <v>46174</v>
      </c>
      <c r="G10" s="44" t="n">
        <f aca="false">IF(N(E10)=0,0,ROUND(D10/(E10*12),0))</f>
        <v>37335</v>
      </c>
      <c r="H10" s="117" t="n">
        <f aca="false">IF(OR($C10="",H$4&gt;BLN),0,IF(AND(DATE(TAHUN,H$4,1)&gt;=$F10,DATE(TAHUN,H$4,1)&lt;EDATE($F10,$E10*12)),$G10,0))</f>
        <v>0</v>
      </c>
      <c r="I10" s="117" t="n">
        <f aca="false">IF(OR($C10="",I$4&gt;BLN),0,IF(AND(DATE(TAHUN,I$4,1)&gt;=$F10,DATE(TAHUN,I$4,1)&lt;EDATE($F10,$E10*12)),$G10,0))</f>
        <v>0</v>
      </c>
      <c r="J10" s="117" t="n">
        <f aca="false">IF(OR($C10="",J$4&gt;BLN),0,IF(AND(DATE(TAHUN,J$4,1)&gt;=$F10,DATE(TAHUN,J$4,1)&lt;EDATE($F10,$E10*12)),$G10,0))</f>
        <v>0</v>
      </c>
      <c r="K10" s="117" t="n">
        <f aca="false">IF(OR($C10="",K$4&gt;BLN),0,IF(AND(DATE(TAHUN,K$4,1)&gt;=$F10,DATE(TAHUN,K$4,1)&lt;EDATE($F10,$E10*12)),$G10,0))</f>
        <v>0</v>
      </c>
      <c r="L10" s="117" t="n">
        <f aca="false">IF(OR($C10="",L$4&gt;BLN),0,IF(AND(DATE(TAHUN,L$4,1)&gt;=$F10,DATE(TAHUN,L$4,1)&lt;EDATE($F10,$E10*12)),$G10,0))</f>
        <v>0</v>
      </c>
      <c r="M10" s="117" t="n">
        <f aca="false">IF(OR($C10="",M$4&gt;BLN),0,IF(AND(DATE(TAHUN,M$4,1)&gt;=$F10,DATE(TAHUN,M$4,1)&lt;EDATE($F10,$E10*12)),$G10,0))</f>
        <v>37335</v>
      </c>
      <c r="N10" s="117" t="n">
        <f aca="false">IF(OR($C10="",N$4&gt;BLN),0,IF(AND(DATE(TAHUN,N$4,1)&gt;=$F10,DATE(TAHUN,N$4,1)&lt;EDATE($F10,$E10*12)),$G10,0))</f>
        <v>37335</v>
      </c>
      <c r="O10" s="117" t="n">
        <f aca="false">IF(OR($C10="",O$4&gt;BLN),0,IF(AND(DATE(TAHUN,O$4,1)&gt;=$F10,DATE(TAHUN,O$4,1)&lt;EDATE($F10,$E10*12)),$G10,0))</f>
        <v>37335</v>
      </c>
      <c r="P10" s="117" t="n">
        <f aca="false">IF(OR($C10="",P$4&gt;BLN),0,IF(AND(DATE(TAHUN,P$4,1)&gt;=$F10,DATE(TAHUN,P$4,1)&lt;EDATE($F10,$E10*12)),$G10,0))</f>
        <v>37335</v>
      </c>
      <c r="Q10" s="117" t="n">
        <f aca="false">IF(OR($C10="",Q$4&gt;BLN),0,IF(AND(DATE(TAHUN,Q$4,1)&gt;=$F10,DATE(TAHUN,Q$4,1)&lt;EDATE($F10,$E10*12)),$G10,0))</f>
        <v>0</v>
      </c>
      <c r="R10" s="117" t="n">
        <f aca="false">IF(OR($C10="",R$4&gt;BLN),0,IF(AND(DATE(TAHUN,R$4,1)&gt;=$F10,DATE(TAHUN,R$4,1)&lt;EDATE($F10,$E10*12)),$G10,0))</f>
        <v>0</v>
      </c>
      <c r="S10" s="117" t="n">
        <f aca="false">IF(OR($C10="",S$4&gt;BLN),0,IF(AND(DATE(TAHUN,S$4,1)&gt;=$F10,DATE(TAHUN,S$4,1)&lt;EDATE($F10,$E10*12)),$G10,0))</f>
        <v>0</v>
      </c>
      <c r="T10" s="91" t="n">
        <v>0</v>
      </c>
      <c r="U10" s="44" t="n">
        <f aca="false">T10+SUM(H10:S10)</f>
        <v>149340</v>
      </c>
      <c r="V10" s="44" t="n">
        <f aca="false">D10-U10</f>
        <v>1642760</v>
      </c>
    </row>
    <row r="11" customFormat="false" ht="15" hidden="false" customHeight="false" outlineLevel="0" collapsed="false">
      <c r="A11" s="10" t="n">
        <v>6</v>
      </c>
      <c r="B11" s="82" t="s">
        <v>2736</v>
      </c>
      <c r="C11" s="101" t="n">
        <v>46183</v>
      </c>
      <c r="D11" s="91" t="n">
        <v>3759000</v>
      </c>
      <c r="E11" s="115" t="n">
        <v>5</v>
      </c>
      <c r="F11" s="116" t="n">
        <f aca="false">IF(C11="","",EOMONTH(C11,0)+1)</f>
        <v>46204</v>
      </c>
      <c r="G11" s="44" t="n">
        <f aca="false">IF(N(E11)=0,0,ROUND(D11/(E11*12),0))</f>
        <v>62650</v>
      </c>
      <c r="H11" s="117" t="n">
        <f aca="false">IF(OR($C11="",H$4&gt;BLN),0,IF(AND(DATE(TAHUN,H$4,1)&gt;=$F11,DATE(TAHUN,H$4,1)&lt;EDATE($F11,$E11*12)),$G11,0))</f>
        <v>0</v>
      </c>
      <c r="I11" s="117" t="n">
        <f aca="false">IF(OR($C11="",I$4&gt;BLN),0,IF(AND(DATE(TAHUN,I$4,1)&gt;=$F11,DATE(TAHUN,I$4,1)&lt;EDATE($F11,$E11*12)),$G11,0))</f>
        <v>0</v>
      </c>
      <c r="J11" s="117" t="n">
        <f aca="false">IF(OR($C11="",J$4&gt;BLN),0,IF(AND(DATE(TAHUN,J$4,1)&gt;=$F11,DATE(TAHUN,J$4,1)&lt;EDATE($F11,$E11*12)),$G11,0))</f>
        <v>0</v>
      </c>
      <c r="K11" s="117" t="n">
        <f aca="false">IF(OR($C11="",K$4&gt;BLN),0,IF(AND(DATE(TAHUN,K$4,1)&gt;=$F11,DATE(TAHUN,K$4,1)&lt;EDATE($F11,$E11*12)),$G11,0))</f>
        <v>0</v>
      </c>
      <c r="L11" s="117" t="n">
        <f aca="false">IF(OR($C11="",L$4&gt;BLN),0,IF(AND(DATE(TAHUN,L$4,1)&gt;=$F11,DATE(TAHUN,L$4,1)&lt;EDATE($F11,$E11*12)),$G11,0))</f>
        <v>0</v>
      </c>
      <c r="M11" s="117" t="n">
        <f aca="false">IF(OR($C11="",M$4&gt;BLN),0,IF(AND(DATE(TAHUN,M$4,1)&gt;=$F11,DATE(TAHUN,M$4,1)&lt;EDATE($F11,$E11*12)),$G11,0))</f>
        <v>0</v>
      </c>
      <c r="N11" s="117" t="n">
        <f aca="false">IF(OR($C11="",N$4&gt;BLN),0,IF(AND(DATE(TAHUN,N$4,1)&gt;=$F11,DATE(TAHUN,N$4,1)&lt;EDATE($F11,$E11*12)),$G11,0))</f>
        <v>62650</v>
      </c>
      <c r="O11" s="117" t="n">
        <f aca="false">IF(OR($C11="",O$4&gt;BLN),0,IF(AND(DATE(TAHUN,O$4,1)&gt;=$F11,DATE(TAHUN,O$4,1)&lt;EDATE($F11,$E11*12)),$G11,0))</f>
        <v>62650</v>
      </c>
      <c r="P11" s="117" t="n">
        <f aca="false">IF(OR($C11="",P$4&gt;BLN),0,IF(AND(DATE(TAHUN,P$4,1)&gt;=$F11,DATE(TAHUN,P$4,1)&lt;EDATE($F11,$E11*12)),$G11,0))</f>
        <v>62650</v>
      </c>
      <c r="Q11" s="117" t="n">
        <f aca="false">IF(OR($C11="",Q$4&gt;BLN),0,IF(AND(DATE(TAHUN,Q$4,1)&gt;=$F11,DATE(TAHUN,Q$4,1)&lt;EDATE($F11,$E11*12)),$G11,0))</f>
        <v>0</v>
      </c>
      <c r="R11" s="117" t="n">
        <f aca="false">IF(OR($C11="",R$4&gt;BLN),0,IF(AND(DATE(TAHUN,R$4,1)&gt;=$F11,DATE(TAHUN,R$4,1)&lt;EDATE($F11,$E11*12)),$G11,0))</f>
        <v>0</v>
      </c>
      <c r="S11" s="117" t="n">
        <f aca="false">IF(OR($C11="",S$4&gt;BLN),0,IF(AND(DATE(TAHUN,S$4,1)&gt;=$F11,DATE(TAHUN,S$4,1)&lt;EDATE($F11,$E11*12)),$G11,0))</f>
        <v>0</v>
      </c>
      <c r="T11" s="91" t="n">
        <v>0</v>
      </c>
      <c r="U11" s="44" t="n">
        <f aca="false">T11+SUM(H11:S11)</f>
        <v>187950</v>
      </c>
      <c r="V11" s="44" t="n">
        <f aca="false">D11-U11</f>
        <v>3571050</v>
      </c>
    </row>
    <row r="12" customFormat="false" ht="15" hidden="false" customHeight="false" outlineLevel="0" collapsed="false">
      <c r="A12" s="10" t="n">
        <v>7</v>
      </c>
      <c r="B12" s="82" t="s">
        <v>2732</v>
      </c>
      <c r="C12" s="101" t="n">
        <v>46196</v>
      </c>
      <c r="D12" s="91" t="n">
        <v>1891980</v>
      </c>
      <c r="E12" s="115" t="n">
        <v>4</v>
      </c>
      <c r="F12" s="116" t="n">
        <f aca="false">IF(C12="","",EOMONTH(C12,0)+1)</f>
        <v>46204</v>
      </c>
      <c r="G12" s="44" t="n">
        <f aca="false">IF(N(E12)=0,0,ROUND(D12/(E12*12),0))</f>
        <v>39416</v>
      </c>
      <c r="H12" s="117" t="n">
        <f aca="false">IF(OR($C12="",H$4&gt;BLN),0,IF(AND(DATE(TAHUN,H$4,1)&gt;=$F12,DATE(TAHUN,H$4,1)&lt;EDATE($F12,$E12*12)),$G12,0))</f>
        <v>0</v>
      </c>
      <c r="I12" s="117" t="n">
        <f aca="false">IF(OR($C12="",I$4&gt;BLN),0,IF(AND(DATE(TAHUN,I$4,1)&gt;=$F12,DATE(TAHUN,I$4,1)&lt;EDATE($F12,$E12*12)),$G12,0))</f>
        <v>0</v>
      </c>
      <c r="J12" s="117" t="n">
        <f aca="false">IF(OR($C12="",J$4&gt;BLN),0,IF(AND(DATE(TAHUN,J$4,1)&gt;=$F12,DATE(TAHUN,J$4,1)&lt;EDATE($F12,$E12*12)),$G12,0))</f>
        <v>0</v>
      </c>
      <c r="K12" s="117" t="n">
        <f aca="false">IF(OR($C12="",K$4&gt;BLN),0,IF(AND(DATE(TAHUN,K$4,1)&gt;=$F12,DATE(TAHUN,K$4,1)&lt;EDATE($F12,$E12*12)),$G12,0))</f>
        <v>0</v>
      </c>
      <c r="L12" s="117" t="n">
        <f aca="false">IF(OR($C12="",L$4&gt;BLN),0,IF(AND(DATE(TAHUN,L$4,1)&gt;=$F12,DATE(TAHUN,L$4,1)&lt;EDATE($F12,$E12*12)),$G12,0))</f>
        <v>0</v>
      </c>
      <c r="M12" s="117" t="n">
        <f aca="false">IF(OR($C12="",M$4&gt;BLN),0,IF(AND(DATE(TAHUN,M$4,1)&gt;=$F12,DATE(TAHUN,M$4,1)&lt;EDATE($F12,$E12*12)),$G12,0))</f>
        <v>0</v>
      </c>
      <c r="N12" s="117" t="n">
        <f aca="false">IF(OR($C12="",N$4&gt;BLN),0,IF(AND(DATE(TAHUN,N$4,1)&gt;=$F12,DATE(TAHUN,N$4,1)&lt;EDATE($F12,$E12*12)),$G12,0))</f>
        <v>39416</v>
      </c>
      <c r="O12" s="117" t="n">
        <f aca="false">IF(OR($C12="",O$4&gt;BLN),0,IF(AND(DATE(TAHUN,O$4,1)&gt;=$F12,DATE(TAHUN,O$4,1)&lt;EDATE($F12,$E12*12)),$G12,0))</f>
        <v>39416</v>
      </c>
      <c r="P12" s="117" t="n">
        <f aca="false">IF(OR($C12="",P$4&gt;BLN),0,IF(AND(DATE(TAHUN,P$4,1)&gt;=$F12,DATE(TAHUN,P$4,1)&lt;EDATE($F12,$E12*12)),$G12,0))</f>
        <v>39416</v>
      </c>
      <c r="Q12" s="117" t="n">
        <f aca="false">IF(OR($C12="",Q$4&gt;BLN),0,IF(AND(DATE(TAHUN,Q$4,1)&gt;=$F12,DATE(TAHUN,Q$4,1)&lt;EDATE($F12,$E12*12)),$G12,0))</f>
        <v>0</v>
      </c>
      <c r="R12" s="117" t="n">
        <f aca="false">IF(OR($C12="",R$4&gt;BLN),0,IF(AND(DATE(TAHUN,R$4,1)&gt;=$F12,DATE(TAHUN,R$4,1)&lt;EDATE($F12,$E12*12)),$G12,0))</f>
        <v>0</v>
      </c>
      <c r="S12" s="117" t="n">
        <f aca="false">IF(OR($C12="",S$4&gt;BLN),0,IF(AND(DATE(TAHUN,S$4,1)&gt;=$F12,DATE(TAHUN,S$4,1)&lt;EDATE($F12,$E12*12)),$G12,0))</f>
        <v>0</v>
      </c>
      <c r="T12" s="91" t="n">
        <v>0</v>
      </c>
      <c r="U12" s="44" t="n">
        <f aca="false">T12+SUM(H12:S12)</f>
        <v>118248</v>
      </c>
      <c r="V12" s="44" t="n">
        <f aca="false">D12-U12</f>
        <v>1773732</v>
      </c>
    </row>
    <row r="13" customFormat="false" ht="15" hidden="false" customHeight="false" outlineLevel="0" collapsed="false">
      <c r="A13" s="10" t="n">
        <v>8</v>
      </c>
      <c r="B13" s="82" t="s">
        <v>2737</v>
      </c>
      <c r="C13" s="101" t="n">
        <v>46218</v>
      </c>
      <c r="D13" s="91" t="n">
        <v>586500</v>
      </c>
      <c r="E13" s="115" t="n">
        <v>4</v>
      </c>
      <c r="F13" s="116" t="n">
        <f aca="false">IF(C13="","",EOMONTH(C13,0)+1)</f>
        <v>46235</v>
      </c>
      <c r="G13" s="44" t="n">
        <f aca="false">IF(N(E13)=0,0,ROUND(D13/(E13*12),0))</f>
        <v>12219</v>
      </c>
      <c r="H13" s="117" t="n">
        <f aca="false">IF(OR($C13="",H$4&gt;BLN),0,IF(AND(DATE(TAHUN,H$4,1)&gt;=$F13,DATE(TAHUN,H$4,1)&lt;EDATE($F13,$E13*12)),$G13,0))</f>
        <v>0</v>
      </c>
      <c r="I13" s="117" t="n">
        <f aca="false">IF(OR($C13="",I$4&gt;BLN),0,IF(AND(DATE(TAHUN,I$4,1)&gt;=$F13,DATE(TAHUN,I$4,1)&lt;EDATE($F13,$E13*12)),$G13,0))</f>
        <v>0</v>
      </c>
      <c r="J13" s="117" t="n">
        <f aca="false">IF(OR($C13="",J$4&gt;BLN),0,IF(AND(DATE(TAHUN,J$4,1)&gt;=$F13,DATE(TAHUN,J$4,1)&lt;EDATE($F13,$E13*12)),$G13,0))</f>
        <v>0</v>
      </c>
      <c r="K13" s="117" t="n">
        <f aca="false">IF(OR($C13="",K$4&gt;BLN),0,IF(AND(DATE(TAHUN,K$4,1)&gt;=$F13,DATE(TAHUN,K$4,1)&lt;EDATE($F13,$E13*12)),$G13,0))</f>
        <v>0</v>
      </c>
      <c r="L13" s="117" t="n">
        <f aca="false">IF(OR($C13="",L$4&gt;BLN),0,IF(AND(DATE(TAHUN,L$4,1)&gt;=$F13,DATE(TAHUN,L$4,1)&lt;EDATE($F13,$E13*12)),$G13,0))</f>
        <v>0</v>
      </c>
      <c r="M13" s="117" t="n">
        <f aca="false">IF(OR($C13="",M$4&gt;BLN),0,IF(AND(DATE(TAHUN,M$4,1)&gt;=$F13,DATE(TAHUN,M$4,1)&lt;EDATE($F13,$E13*12)),$G13,0))</f>
        <v>0</v>
      </c>
      <c r="N13" s="117" t="n">
        <f aca="false">IF(OR($C13="",N$4&gt;BLN),0,IF(AND(DATE(TAHUN,N$4,1)&gt;=$F13,DATE(TAHUN,N$4,1)&lt;EDATE($F13,$E13*12)),$G13,0))</f>
        <v>0</v>
      </c>
      <c r="O13" s="117" t="n">
        <f aca="false">IF(OR($C13="",O$4&gt;BLN),0,IF(AND(DATE(TAHUN,O$4,1)&gt;=$F13,DATE(TAHUN,O$4,1)&lt;EDATE($F13,$E13*12)),$G13,0))</f>
        <v>12219</v>
      </c>
      <c r="P13" s="117" t="n">
        <f aca="false">IF(OR($C13="",P$4&gt;BLN),0,IF(AND(DATE(TAHUN,P$4,1)&gt;=$F13,DATE(TAHUN,P$4,1)&lt;EDATE($F13,$E13*12)),$G13,0))</f>
        <v>12219</v>
      </c>
      <c r="Q13" s="117" t="n">
        <f aca="false">IF(OR($C13="",Q$4&gt;BLN),0,IF(AND(DATE(TAHUN,Q$4,1)&gt;=$F13,DATE(TAHUN,Q$4,1)&lt;EDATE($F13,$E13*12)),$G13,0))</f>
        <v>0</v>
      </c>
      <c r="R13" s="117" t="n">
        <f aca="false">IF(OR($C13="",R$4&gt;BLN),0,IF(AND(DATE(TAHUN,R$4,1)&gt;=$F13,DATE(TAHUN,R$4,1)&lt;EDATE($F13,$E13*12)),$G13,0))</f>
        <v>0</v>
      </c>
      <c r="S13" s="117" t="n">
        <f aca="false">IF(OR($C13="",S$4&gt;BLN),0,IF(AND(DATE(TAHUN,S$4,1)&gt;=$F13,DATE(TAHUN,S$4,1)&lt;EDATE($F13,$E13*12)),$G13,0))</f>
        <v>0</v>
      </c>
      <c r="T13" s="91" t="n">
        <v>0</v>
      </c>
      <c r="U13" s="44" t="n">
        <f aca="false">T13+SUM(H13:S13)</f>
        <v>24438</v>
      </c>
      <c r="V13" s="44" t="n">
        <f aca="false">D13-U13</f>
        <v>562062</v>
      </c>
    </row>
    <row r="14" customFormat="false" ht="15" hidden="false" customHeight="false" outlineLevel="0" collapsed="false">
      <c r="A14" s="10" t="n">
        <v>9</v>
      </c>
      <c r="B14" s="82" t="s">
        <v>2738</v>
      </c>
      <c r="C14" s="101" t="n">
        <v>46218</v>
      </c>
      <c r="D14" s="91" t="n">
        <v>482820</v>
      </c>
      <c r="E14" s="115" t="n">
        <v>4</v>
      </c>
      <c r="F14" s="116" t="n">
        <f aca="false">IF(C14="","",EOMONTH(C14,0)+1)</f>
        <v>46235</v>
      </c>
      <c r="G14" s="44" t="n">
        <f aca="false">IF(N(E14)=0,0,ROUND(D14/(E14*12),0))</f>
        <v>10059</v>
      </c>
      <c r="H14" s="117" t="n">
        <f aca="false">IF(OR($C14="",H$4&gt;BLN),0,IF(AND(DATE(TAHUN,H$4,1)&gt;=$F14,DATE(TAHUN,H$4,1)&lt;EDATE($F14,$E14*12)),$G14,0))</f>
        <v>0</v>
      </c>
      <c r="I14" s="117" t="n">
        <f aca="false">IF(OR($C14="",I$4&gt;BLN),0,IF(AND(DATE(TAHUN,I$4,1)&gt;=$F14,DATE(TAHUN,I$4,1)&lt;EDATE($F14,$E14*12)),$G14,0))</f>
        <v>0</v>
      </c>
      <c r="J14" s="117" t="n">
        <f aca="false">IF(OR($C14="",J$4&gt;BLN),0,IF(AND(DATE(TAHUN,J$4,1)&gt;=$F14,DATE(TAHUN,J$4,1)&lt;EDATE($F14,$E14*12)),$G14,0))</f>
        <v>0</v>
      </c>
      <c r="K14" s="117" t="n">
        <f aca="false">IF(OR($C14="",K$4&gt;BLN),0,IF(AND(DATE(TAHUN,K$4,1)&gt;=$F14,DATE(TAHUN,K$4,1)&lt;EDATE($F14,$E14*12)),$G14,0))</f>
        <v>0</v>
      </c>
      <c r="L14" s="117" t="n">
        <f aca="false">IF(OR($C14="",L$4&gt;BLN),0,IF(AND(DATE(TAHUN,L$4,1)&gt;=$F14,DATE(TAHUN,L$4,1)&lt;EDATE($F14,$E14*12)),$G14,0))</f>
        <v>0</v>
      </c>
      <c r="M14" s="117" t="n">
        <f aca="false">IF(OR($C14="",M$4&gt;BLN),0,IF(AND(DATE(TAHUN,M$4,1)&gt;=$F14,DATE(TAHUN,M$4,1)&lt;EDATE($F14,$E14*12)),$G14,0))</f>
        <v>0</v>
      </c>
      <c r="N14" s="117" t="n">
        <f aca="false">IF(OR($C14="",N$4&gt;BLN),0,IF(AND(DATE(TAHUN,N$4,1)&gt;=$F14,DATE(TAHUN,N$4,1)&lt;EDATE($F14,$E14*12)),$G14,0))</f>
        <v>0</v>
      </c>
      <c r="O14" s="117" t="n">
        <f aca="false">IF(OR($C14="",O$4&gt;BLN),0,IF(AND(DATE(TAHUN,O$4,1)&gt;=$F14,DATE(TAHUN,O$4,1)&lt;EDATE($F14,$E14*12)),$G14,0))</f>
        <v>10059</v>
      </c>
      <c r="P14" s="117" t="n">
        <f aca="false">IF(OR($C14="",P$4&gt;BLN),0,IF(AND(DATE(TAHUN,P$4,1)&gt;=$F14,DATE(TAHUN,P$4,1)&lt;EDATE($F14,$E14*12)),$G14,0))</f>
        <v>10059</v>
      </c>
      <c r="Q14" s="117" t="n">
        <f aca="false">IF(OR($C14="",Q$4&gt;BLN),0,IF(AND(DATE(TAHUN,Q$4,1)&gt;=$F14,DATE(TAHUN,Q$4,1)&lt;EDATE($F14,$E14*12)),$G14,0))</f>
        <v>0</v>
      </c>
      <c r="R14" s="117" t="n">
        <f aca="false">IF(OR($C14="",R$4&gt;BLN),0,IF(AND(DATE(TAHUN,R$4,1)&gt;=$F14,DATE(TAHUN,R$4,1)&lt;EDATE($F14,$E14*12)),$G14,0))</f>
        <v>0</v>
      </c>
      <c r="S14" s="117" t="n">
        <f aca="false">IF(OR($C14="",S$4&gt;BLN),0,IF(AND(DATE(TAHUN,S$4,1)&gt;=$F14,DATE(TAHUN,S$4,1)&lt;EDATE($F14,$E14*12)),$G14,0))</f>
        <v>0</v>
      </c>
      <c r="T14" s="91" t="n">
        <v>0</v>
      </c>
      <c r="U14" s="44" t="n">
        <f aca="false">T14+SUM(H14:S14)</f>
        <v>20118</v>
      </c>
      <c r="V14" s="44" t="n">
        <f aca="false">D14-U14</f>
        <v>462702</v>
      </c>
    </row>
    <row r="15" customFormat="false" ht="15" hidden="false" customHeight="false" outlineLevel="0" collapsed="false">
      <c r="A15" s="10" t="n">
        <v>10</v>
      </c>
      <c r="B15" s="82" t="s">
        <v>2739</v>
      </c>
      <c r="C15" s="101" t="n">
        <v>46222</v>
      </c>
      <c r="D15" s="91" t="n">
        <v>204900</v>
      </c>
      <c r="E15" s="115" t="n">
        <v>4</v>
      </c>
      <c r="F15" s="116" t="n">
        <f aca="false">IF(C15="","",EOMONTH(C15,0)+1)</f>
        <v>46235</v>
      </c>
      <c r="G15" s="44" t="n">
        <f aca="false">IF(N(E15)=0,0,ROUND(D15/(E15*12),0))</f>
        <v>4269</v>
      </c>
      <c r="H15" s="117" t="n">
        <f aca="false">IF(OR($C15="",H$4&gt;BLN),0,IF(AND(DATE(TAHUN,H$4,1)&gt;=$F15,DATE(TAHUN,H$4,1)&lt;EDATE($F15,$E15*12)),$G15,0))</f>
        <v>0</v>
      </c>
      <c r="I15" s="117" t="n">
        <f aca="false">IF(OR($C15="",I$4&gt;BLN),0,IF(AND(DATE(TAHUN,I$4,1)&gt;=$F15,DATE(TAHUN,I$4,1)&lt;EDATE($F15,$E15*12)),$G15,0))</f>
        <v>0</v>
      </c>
      <c r="J15" s="117" t="n">
        <f aca="false">IF(OR($C15="",J$4&gt;BLN),0,IF(AND(DATE(TAHUN,J$4,1)&gt;=$F15,DATE(TAHUN,J$4,1)&lt;EDATE($F15,$E15*12)),$G15,0))</f>
        <v>0</v>
      </c>
      <c r="K15" s="117" t="n">
        <f aca="false">IF(OR($C15="",K$4&gt;BLN),0,IF(AND(DATE(TAHUN,K$4,1)&gt;=$F15,DATE(TAHUN,K$4,1)&lt;EDATE($F15,$E15*12)),$G15,0))</f>
        <v>0</v>
      </c>
      <c r="L15" s="117" t="n">
        <f aca="false">IF(OR($C15="",L$4&gt;BLN),0,IF(AND(DATE(TAHUN,L$4,1)&gt;=$F15,DATE(TAHUN,L$4,1)&lt;EDATE($F15,$E15*12)),$G15,0))</f>
        <v>0</v>
      </c>
      <c r="M15" s="117" t="n">
        <f aca="false">IF(OR($C15="",M$4&gt;BLN),0,IF(AND(DATE(TAHUN,M$4,1)&gt;=$F15,DATE(TAHUN,M$4,1)&lt;EDATE($F15,$E15*12)),$G15,0))</f>
        <v>0</v>
      </c>
      <c r="N15" s="117" t="n">
        <f aca="false">IF(OR($C15="",N$4&gt;BLN),0,IF(AND(DATE(TAHUN,N$4,1)&gt;=$F15,DATE(TAHUN,N$4,1)&lt;EDATE($F15,$E15*12)),$G15,0))</f>
        <v>0</v>
      </c>
      <c r="O15" s="117" t="n">
        <f aca="false">IF(OR($C15="",O$4&gt;BLN),0,IF(AND(DATE(TAHUN,O$4,1)&gt;=$F15,DATE(TAHUN,O$4,1)&lt;EDATE($F15,$E15*12)),$G15,0))</f>
        <v>4269</v>
      </c>
      <c r="P15" s="117" t="n">
        <f aca="false">IF(OR($C15="",P$4&gt;BLN),0,IF(AND(DATE(TAHUN,P$4,1)&gt;=$F15,DATE(TAHUN,P$4,1)&lt;EDATE($F15,$E15*12)),$G15,0))</f>
        <v>4269</v>
      </c>
      <c r="Q15" s="117" t="n">
        <f aca="false">IF(OR($C15="",Q$4&gt;BLN),0,IF(AND(DATE(TAHUN,Q$4,1)&gt;=$F15,DATE(TAHUN,Q$4,1)&lt;EDATE($F15,$E15*12)),$G15,0))</f>
        <v>0</v>
      </c>
      <c r="R15" s="117" t="n">
        <f aca="false">IF(OR($C15="",R$4&gt;BLN),0,IF(AND(DATE(TAHUN,R$4,1)&gt;=$F15,DATE(TAHUN,R$4,1)&lt;EDATE($F15,$E15*12)),$G15,0))</f>
        <v>0</v>
      </c>
      <c r="S15" s="117" t="n">
        <f aca="false">IF(OR($C15="",S$4&gt;BLN),0,IF(AND(DATE(TAHUN,S$4,1)&gt;=$F15,DATE(TAHUN,S$4,1)&lt;EDATE($F15,$E15*12)),$G15,0))</f>
        <v>0</v>
      </c>
      <c r="T15" s="91" t="n">
        <v>0</v>
      </c>
      <c r="U15" s="44" t="n">
        <f aca="false">T15+SUM(H15:S15)</f>
        <v>8538</v>
      </c>
      <c r="V15" s="44" t="n">
        <f aca="false">D15-U15</f>
        <v>196362</v>
      </c>
    </row>
    <row r="16" customFormat="false" ht="15" hidden="false" customHeight="false" outlineLevel="0" collapsed="false">
      <c r="A16" s="10" t="n">
        <v>11</v>
      </c>
      <c r="B16" s="82" t="s">
        <v>2115</v>
      </c>
      <c r="C16" s="101" t="n">
        <v>46237</v>
      </c>
      <c r="D16" s="91" t="n">
        <v>1071787</v>
      </c>
      <c r="E16" s="115" t="n">
        <v>4</v>
      </c>
      <c r="F16" s="116" t="n">
        <f aca="false">IF(C16="","",EOMONTH(C16,0)+1)</f>
        <v>46266</v>
      </c>
      <c r="G16" s="44" t="n">
        <f aca="false">IF(N(E16)=0,0,ROUND(D16/(E16*12),0))</f>
        <v>22329</v>
      </c>
      <c r="H16" s="117" t="n">
        <f aca="false">IF(OR($C16="",H$4&gt;BLN),0,IF(AND(DATE(TAHUN,H$4,1)&gt;=$F16,DATE(TAHUN,H$4,1)&lt;EDATE($F16,$E16*12)),$G16,0))</f>
        <v>0</v>
      </c>
      <c r="I16" s="117" t="n">
        <f aca="false">IF(OR($C16="",I$4&gt;BLN),0,IF(AND(DATE(TAHUN,I$4,1)&gt;=$F16,DATE(TAHUN,I$4,1)&lt;EDATE($F16,$E16*12)),$G16,0))</f>
        <v>0</v>
      </c>
      <c r="J16" s="117" t="n">
        <f aca="false">IF(OR($C16="",J$4&gt;BLN),0,IF(AND(DATE(TAHUN,J$4,1)&gt;=$F16,DATE(TAHUN,J$4,1)&lt;EDATE($F16,$E16*12)),$G16,0))</f>
        <v>0</v>
      </c>
      <c r="K16" s="117" t="n">
        <f aca="false">IF(OR($C16="",K$4&gt;BLN),0,IF(AND(DATE(TAHUN,K$4,1)&gt;=$F16,DATE(TAHUN,K$4,1)&lt;EDATE($F16,$E16*12)),$G16,0))</f>
        <v>0</v>
      </c>
      <c r="L16" s="117" t="n">
        <f aca="false">IF(OR($C16="",L$4&gt;BLN),0,IF(AND(DATE(TAHUN,L$4,1)&gt;=$F16,DATE(TAHUN,L$4,1)&lt;EDATE($F16,$E16*12)),$G16,0))</f>
        <v>0</v>
      </c>
      <c r="M16" s="117" t="n">
        <f aca="false">IF(OR($C16="",M$4&gt;BLN),0,IF(AND(DATE(TAHUN,M$4,1)&gt;=$F16,DATE(TAHUN,M$4,1)&lt;EDATE($F16,$E16*12)),$G16,0))</f>
        <v>0</v>
      </c>
      <c r="N16" s="117" t="n">
        <f aca="false">IF(OR($C16="",N$4&gt;BLN),0,IF(AND(DATE(TAHUN,N$4,1)&gt;=$F16,DATE(TAHUN,N$4,1)&lt;EDATE($F16,$E16*12)),$G16,0))</f>
        <v>0</v>
      </c>
      <c r="O16" s="117" t="n">
        <f aca="false">IF(OR($C16="",O$4&gt;BLN),0,IF(AND(DATE(TAHUN,O$4,1)&gt;=$F16,DATE(TAHUN,O$4,1)&lt;EDATE($F16,$E16*12)),$G16,0))</f>
        <v>0</v>
      </c>
      <c r="P16" s="117" t="n">
        <f aca="false">IF(OR($C16="",P$4&gt;BLN),0,IF(AND(DATE(TAHUN,P$4,1)&gt;=$F16,DATE(TAHUN,P$4,1)&lt;EDATE($F16,$E16*12)),$G16,0))</f>
        <v>22329</v>
      </c>
      <c r="Q16" s="117" t="n">
        <f aca="false">IF(OR($C16="",Q$4&gt;BLN),0,IF(AND(DATE(TAHUN,Q$4,1)&gt;=$F16,DATE(TAHUN,Q$4,1)&lt;EDATE($F16,$E16*12)),$G16,0))</f>
        <v>0</v>
      </c>
      <c r="R16" s="117" t="n">
        <f aca="false">IF(OR($C16="",R$4&gt;BLN),0,IF(AND(DATE(TAHUN,R$4,1)&gt;=$F16,DATE(TAHUN,R$4,1)&lt;EDATE($F16,$E16*12)),$G16,0))</f>
        <v>0</v>
      </c>
      <c r="S16" s="117" t="n">
        <f aca="false">IF(OR($C16="",S$4&gt;BLN),0,IF(AND(DATE(TAHUN,S$4,1)&gt;=$F16,DATE(TAHUN,S$4,1)&lt;EDATE($F16,$E16*12)),$G16,0))</f>
        <v>0</v>
      </c>
      <c r="T16" s="91" t="n">
        <v>0</v>
      </c>
      <c r="U16" s="44" t="n">
        <f aca="false">T16+SUM(H16:S16)</f>
        <v>22329</v>
      </c>
      <c r="V16" s="44" t="n">
        <f aca="false">D16-U16</f>
        <v>1049458</v>
      </c>
    </row>
    <row r="17" customFormat="false" ht="15" hidden="false" customHeight="false" outlineLevel="0" collapsed="false">
      <c r="A17" s="10" t="n">
        <v>12</v>
      </c>
      <c r="B17" s="82" t="s">
        <v>2162</v>
      </c>
      <c r="C17" s="101" t="n">
        <v>46244</v>
      </c>
      <c r="D17" s="91" t="n">
        <v>2140800</v>
      </c>
      <c r="E17" s="115" t="n">
        <v>4</v>
      </c>
      <c r="F17" s="116" t="n">
        <f aca="false">IF(C17="","",EOMONTH(C17,0)+1)</f>
        <v>46266</v>
      </c>
      <c r="G17" s="44" t="n">
        <f aca="false">IF(N(E17)=0,0,ROUND(D17/(E17*12),0))</f>
        <v>44600</v>
      </c>
      <c r="H17" s="117" t="n">
        <f aca="false">IF(OR($C17="",H$4&gt;BLN),0,IF(AND(DATE(TAHUN,H$4,1)&gt;=$F17,DATE(TAHUN,H$4,1)&lt;EDATE($F17,$E17*12)),$G17,0))</f>
        <v>0</v>
      </c>
      <c r="I17" s="117" t="n">
        <f aca="false">IF(OR($C17="",I$4&gt;BLN),0,IF(AND(DATE(TAHUN,I$4,1)&gt;=$F17,DATE(TAHUN,I$4,1)&lt;EDATE($F17,$E17*12)),$G17,0))</f>
        <v>0</v>
      </c>
      <c r="J17" s="117" t="n">
        <f aca="false">IF(OR($C17="",J$4&gt;BLN),0,IF(AND(DATE(TAHUN,J$4,1)&gt;=$F17,DATE(TAHUN,J$4,1)&lt;EDATE($F17,$E17*12)),$G17,0))</f>
        <v>0</v>
      </c>
      <c r="K17" s="117" t="n">
        <f aca="false">IF(OR($C17="",K$4&gt;BLN),0,IF(AND(DATE(TAHUN,K$4,1)&gt;=$F17,DATE(TAHUN,K$4,1)&lt;EDATE($F17,$E17*12)),$G17,0))</f>
        <v>0</v>
      </c>
      <c r="L17" s="117" t="n">
        <f aca="false">IF(OR($C17="",L$4&gt;BLN),0,IF(AND(DATE(TAHUN,L$4,1)&gt;=$F17,DATE(TAHUN,L$4,1)&lt;EDATE($F17,$E17*12)),$G17,0))</f>
        <v>0</v>
      </c>
      <c r="M17" s="117" t="n">
        <f aca="false">IF(OR($C17="",M$4&gt;BLN),0,IF(AND(DATE(TAHUN,M$4,1)&gt;=$F17,DATE(TAHUN,M$4,1)&lt;EDATE($F17,$E17*12)),$G17,0))</f>
        <v>0</v>
      </c>
      <c r="N17" s="117" t="n">
        <f aca="false">IF(OR($C17="",N$4&gt;BLN),0,IF(AND(DATE(TAHUN,N$4,1)&gt;=$F17,DATE(TAHUN,N$4,1)&lt;EDATE($F17,$E17*12)),$G17,0))</f>
        <v>0</v>
      </c>
      <c r="O17" s="117" t="n">
        <f aca="false">IF(OR($C17="",O$4&gt;BLN),0,IF(AND(DATE(TAHUN,O$4,1)&gt;=$F17,DATE(TAHUN,O$4,1)&lt;EDATE($F17,$E17*12)),$G17,0))</f>
        <v>0</v>
      </c>
      <c r="P17" s="117" t="n">
        <f aca="false">IF(OR($C17="",P$4&gt;BLN),0,IF(AND(DATE(TAHUN,P$4,1)&gt;=$F17,DATE(TAHUN,P$4,1)&lt;EDATE($F17,$E17*12)),$G17,0))</f>
        <v>44600</v>
      </c>
      <c r="Q17" s="117" t="n">
        <f aca="false">IF(OR($C17="",Q$4&gt;BLN),0,IF(AND(DATE(TAHUN,Q$4,1)&gt;=$F17,DATE(TAHUN,Q$4,1)&lt;EDATE($F17,$E17*12)),$G17,0))</f>
        <v>0</v>
      </c>
      <c r="R17" s="117" t="n">
        <f aca="false">IF(OR($C17="",R$4&gt;BLN),0,IF(AND(DATE(TAHUN,R$4,1)&gt;=$F17,DATE(TAHUN,R$4,1)&lt;EDATE($F17,$E17*12)),$G17,0))</f>
        <v>0</v>
      </c>
      <c r="S17" s="117" t="n">
        <f aca="false">IF(OR($C17="",S$4&gt;BLN),0,IF(AND(DATE(TAHUN,S$4,1)&gt;=$F17,DATE(TAHUN,S$4,1)&lt;EDATE($F17,$E17*12)),$G17,0))</f>
        <v>0</v>
      </c>
      <c r="T17" s="91" t="n">
        <v>0</v>
      </c>
      <c r="U17" s="44" t="n">
        <f aca="false">T17+SUM(H17:S17)</f>
        <v>44600</v>
      </c>
      <c r="V17" s="44" t="n">
        <f aca="false">D17-U17</f>
        <v>2096200</v>
      </c>
    </row>
    <row r="18" customFormat="false" ht="15" hidden="false" customHeight="false" outlineLevel="0" collapsed="false">
      <c r="A18" s="10" t="n">
        <v>13</v>
      </c>
      <c r="B18" s="82" t="s">
        <v>2323</v>
      </c>
      <c r="C18" s="101" t="n">
        <v>46267</v>
      </c>
      <c r="D18" s="91" t="n">
        <v>42575</v>
      </c>
      <c r="E18" s="115" t="n">
        <v>4</v>
      </c>
      <c r="F18" s="116" t="n">
        <f aca="false">IF(C18="","",EOMONTH(C18,0)+1)</f>
        <v>46296</v>
      </c>
      <c r="G18" s="44" t="n">
        <f aca="false">IF(N(E18)=0,0,ROUND(D18/(E18*12),0))</f>
        <v>887</v>
      </c>
      <c r="H18" s="117" t="n">
        <f aca="false">IF(OR($C18="",H$4&gt;BLN),0,IF(AND(DATE(TAHUN,H$4,1)&gt;=$F18,DATE(TAHUN,H$4,1)&lt;EDATE($F18,$E18*12)),$G18,0))</f>
        <v>0</v>
      </c>
      <c r="I18" s="117" t="n">
        <f aca="false">IF(OR($C18="",I$4&gt;BLN),0,IF(AND(DATE(TAHUN,I$4,1)&gt;=$F18,DATE(TAHUN,I$4,1)&lt;EDATE($F18,$E18*12)),$G18,0))</f>
        <v>0</v>
      </c>
      <c r="J18" s="117" t="n">
        <f aca="false">IF(OR($C18="",J$4&gt;BLN),0,IF(AND(DATE(TAHUN,J$4,1)&gt;=$F18,DATE(TAHUN,J$4,1)&lt;EDATE($F18,$E18*12)),$G18,0))</f>
        <v>0</v>
      </c>
      <c r="K18" s="117" t="n">
        <f aca="false">IF(OR($C18="",K$4&gt;BLN),0,IF(AND(DATE(TAHUN,K$4,1)&gt;=$F18,DATE(TAHUN,K$4,1)&lt;EDATE($F18,$E18*12)),$G18,0))</f>
        <v>0</v>
      </c>
      <c r="L18" s="117" t="n">
        <f aca="false">IF(OR($C18="",L$4&gt;BLN),0,IF(AND(DATE(TAHUN,L$4,1)&gt;=$F18,DATE(TAHUN,L$4,1)&lt;EDATE($F18,$E18*12)),$G18,0))</f>
        <v>0</v>
      </c>
      <c r="M18" s="117" t="n">
        <f aca="false">IF(OR($C18="",M$4&gt;BLN),0,IF(AND(DATE(TAHUN,M$4,1)&gt;=$F18,DATE(TAHUN,M$4,1)&lt;EDATE($F18,$E18*12)),$G18,0))</f>
        <v>0</v>
      </c>
      <c r="N18" s="117" t="n">
        <f aca="false">IF(OR($C18="",N$4&gt;BLN),0,IF(AND(DATE(TAHUN,N$4,1)&gt;=$F18,DATE(TAHUN,N$4,1)&lt;EDATE($F18,$E18*12)),$G18,0))</f>
        <v>0</v>
      </c>
      <c r="O18" s="117" t="n">
        <f aca="false">IF(OR($C18="",O$4&gt;BLN),0,IF(AND(DATE(TAHUN,O$4,1)&gt;=$F18,DATE(TAHUN,O$4,1)&lt;EDATE($F18,$E18*12)),$G18,0))</f>
        <v>0</v>
      </c>
      <c r="P18" s="117" t="n">
        <f aca="false">IF(OR($C18="",P$4&gt;BLN),0,IF(AND(DATE(TAHUN,P$4,1)&gt;=$F18,DATE(TAHUN,P$4,1)&lt;EDATE($F18,$E18*12)),$G18,0))</f>
        <v>0</v>
      </c>
      <c r="Q18" s="117" t="n">
        <f aca="false">IF(OR($C18="",Q$4&gt;BLN),0,IF(AND(DATE(TAHUN,Q$4,1)&gt;=$F18,DATE(TAHUN,Q$4,1)&lt;EDATE($F18,$E18*12)),$G18,0))</f>
        <v>0</v>
      </c>
      <c r="R18" s="117" t="n">
        <f aca="false">IF(OR($C18="",R$4&gt;BLN),0,IF(AND(DATE(TAHUN,R$4,1)&gt;=$F18,DATE(TAHUN,R$4,1)&lt;EDATE($F18,$E18*12)),$G18,0))</f>
        <v>0</v>
      </c>
      <c r="S18" s="117" t="n">
        <f aca="false">IF(OR($C18="",S$4&gt;BLN),0,IF(AND(DATE(TAHUN,S$4,1)&gt;=$F18,DATE(TAHUN,S$4,1)&lt;EDATE($F18,$E18*12)),$G18,0))</f>
        <v>0</v>
      </c>
      <c r="T18" s="91" t="n">
        <v>0</v>
      </c>
      <c r="U18" s="44" t="n">
        <f aca="false">T18+SUM(H18:S18)</f>
        <v>0</v>
      </c>
      <c r="V18" s="44" t="n">
        <f aca="false">D18-U18</f>
        <v>42575</v>
      </c>
    </row>
    <row r="19" customFormat="false" ht="15" hidden="false" customHeight="false" outlineLevel="0" collapsed="false">
      <c r="A19" s="10" t="n">
        <v>14</v>
      </c>
      <c r="B19" s="82" t="s">
        <v>2333</v>
      </c>
      <c r="C19" s="101" t="n">
        <v>46267</v>
      </c>
      <c r="D19" s="91" t="n">
        <v>592030</v>
      </c>
      <c r="E19" s="115" t="n">
        <v>4</v>
      </c>
      <c r="F19" s="116" t="n">
        <f aca="false">IF(C19="","",EOMONTH(C19,0)+1)</f>
        <v>46296</v>
      </c>
      <c r="G19" s="44" t="n">
        <f aca="false">IF(N(E19)=0,0,ROUND(D19/(E19*12),0))</f>
        <v>12334</v>
      </c>
      <c r="H19" s="117" t="n">
        <f aca="false">IF(OR($C19="",H$4&gt;BLN),0,IF(AND(DATE(TAHUN,H$4,1)&gt;=$F19,DATE(TAHUN,H$4,1)&lt;EDATE($F19,$E19*12)),$G19,0))</f>
        <v>0</v>
      </c>
      <c r="I19" s="117" t="n">
        <f aca="false">IF(OR($C19="",I$4&gt;BLN),0,IF(AND(DATE(TAHUN,I$4,1)&gt;=$F19,DATE(TAHUN,I$4,1)&lt;EDATE($F19,$E19*12)),$G19,0))</f>
        <v>0</v>
      </c>
      <c r="J19" s="117" t="n">
        <f aca="false">IF(OR($C19="",J$4&gt;BLN),0,IF(AND(DATE(TAHUN,J$4,1)&gt;=$F19,DATE(TAHUN,J$4,1)&lt;EDATE($F19,$E19*12)),$G19,0))</f>
        <v>0</v>
      </c>
      <c r="K19" s="117" t="n">
        <f aca="false">IF(OR($C19="",K$4&gt;BLN),0,IF(AND(DATE(TAHUN,K$4,1)&gt;=$F19,DATE(TAHUN,K$4,1)&lt;EDATE($F19,$E19*12)),$G19,0))</f>
        <v>0</v>
      </c>
      <c r="L19" s="117" t="n">
        <f aca="false">IF(OR($C19="",L$4&gt;BLN),0,IF(AND(DATE(TAHUN,L$4,1)&gt;=$F19,DATE(TAHUN,L$4,1)&lt;EDATE($F19,$E19*12)),$G19,0))</f>
        <v>0</v>
      </c>
      <c r="M19" s="117" t="n">
        <f aca="false">IF(OR($C19="",M$4&gt;BLN),0,IF(AND(DATE(TAHUN,M$4,1)&gt;=$F19,DATE(TAHUN,M$4,1)&lt;EDATE($F19,$E19*12)),$G19,0))</f>
        <v>0</v>
      </c>
      <c r="N19" s="117" t="n">
        <f aca="false">IF(OR($C19="",N$4&gt;BLN),0,IF(AND(DATE(TAHUN,N$4,1)&gt;=$F19,DATE(TAHUN,N$4,1)&lt;EDATE($F19,$E19*12)),$G19,0))</f>
        <v>0</v>
      </c>
      <c r="O19" s="117" t="n">
        <f aca="false">IF(OR($C19="",O$4&gt;BLN),0,IF(AND(DATE(TAHUN,O$4,1)&gt;=$F19,DATE(TAHUN,O$4,1)&lt;EDATE($F19,$E19*12)),$G19,0))</f>
        <v>0</v>
      </c>
      <c r="P19" s="117" t="n">
        <f aca="false">IF(OR($C19="",P$4&gt;BLN),0,IF(AND(DATE(TAHUN,P$4,1)&gt;=$F19,DATE(TAHUN,P$4,1)&lt;EDATE($F19,$E19*12)),$G19,0))</f>
        <v>0</v>
      </c>
      <c r="Q19" s="117" t="n">
        <f aca="false">IF(OR($C19="",Q$4&gt;BLN),0,IF(AND(DATE(TAHUN,Q$4,1)&gt;=$F19,DATE(TAHUN,Q$4,1)&lt;EDATE($F19,$E19*12)),$G19,0))</f>
        <v>0</v>
      </c>
      <c r="R19" s="117" t="n">
        <f aca="false">IF(OR($C19="",R$4&gt;BLN),0,IF(AND(DATE(TAHUN,R$4,1)&gt;=$F19,DATE(TAHUN,R$4,1)&lt;EDATE($F19,$E19*12)),$G19,0))</f>
        <v>0</v>
      </c>
      <c r="S19" s="117" t="n">
        <f aca="false">IF(OR($C19="",S$4&gt;BLN),0,IF(AND(DATE(TAHUN,S$4,1)&gt;=$F19,DATE(TAHUN,S$4,1)&lt;EDATE($F19,$E19*12)),$G19,0))</f>
        <v>0</v>
      </c>
      <c r="T19" s="91" t="n">
        <v>0</v>
      </c>
      <c r="U19" s="44" t="n">
        <f aca="false">T19+SUM(H19:S19)</f>
        <v>0</v>
      </c>
      <c r="V19" s="44" t="n">
        <f aca="false">D19-U19</f>
        <v>592030</v>
      </c>
    </row>
    <row r="20" customFormat="false" ht="15" hidden="false" customHeight="false" outlineLevel="0" collapsed="false">
      <c r="A20" s="10" t="n">
        <v>15</v>
      </c>
      <c r="B20" s="82" t="s">
        <v>2335</v>
      </c>
      <c r="C20" s="101" t="n">
        <v>46267</v>
      </c>
      <c r="D20" s="91" t="n">
        <v>667280</v>
      </c>
      <c r="E20" s="115" t="n">
        <v>4</v>
      </c>
      <c r="F20" s="116" t="n">
        <f aca="false">IF(C20="","",EOMONTH(C20,0)+1)</f>
        <v>46296</v>
      </c>
      <c r="G20" s="44" t="n">
        <f aca="false">IF(N(E20)=0,0,ROUND(D20/(E20*12),0))</f>
        <v>13902</v>
      </c>
      <c r="H20" s="117" t="n">
        <f aca="false">IF(OR($C20="",H$4&gt;BLN),0,IF(AND(DATE(TAHUN,H$4,1)&gt;=$F20,DATE(TAHUN,H$4,1)&lt;EDATE($F20,$E20*12)),$G20,0))</f>
        <v>0</v>
      </c>
      <c r="I20" s="117" t="n">
        <f aca="false">IF(OR($C20="",I$4&gt;BLN),0,IF(AND(DATE(TAHUN,I$4,1)&gt;=$F20,DATE(TAHUN,I$4,1)&lt;EDATE($F20,$E20*12)),$G20,0))</f>
        <v>0</v>
      </c>
      <c r="J20" s="117" t="n">
        <f aca="false">IF(OR($C20="",J$4&gt;BLN),0,IF(AND(DATE(TAHUN,J$4,1)&gt;=$F20,DATE(TAHUN,J$4,1)&lt;EDATE($F20,$E20*12)),$G20,0))</f>
        <v>0</v>
      </c>
      <c r="K20" s="117" t="n">
        <f aca="false">IF(OR($C20="",K$4&gt;BLN),0,IF(AND(DATE(TAHUN,K$4,1)&gt;=$F20,DATE(TAHUN,K$4,1)&lt;EDATE($F20,$E20*12)),$G20,0))</f>
        <v>0</v>
      </c>
      <c r="L20" s="117" t="n">
        <f aca="false">IF(OR($C20="",L$4&gt;BLN),0,IF(AND(DATE(TAHUN,L$4,1)&gt;=$F20,DATE(TAHUN,L$4,1)&lt;EDATE($F20,$E20*12)),$G20,0))</f>
        <v>0</v>
      </c>
      <c r="M20" s="117" t="n">
        <f aca="false">IF(OR($C20="",M$4&gt;BLN),0,IF(AND(DATE(TAHUN,M$4,1)&gt;=$F20,DATE(TAHUN,M$4,1)&lt;EDATE($F20,$E20*12)),$G20,0))</f>
        <v>0</v>
      </c>
      <c r="N20" s="117" t="n">
        <f aca="false">IF(OR($C20="",N$4&gt;BLN),0,IF(AND(DATE(TAHUN,N$4,1)&gt;=$F20,DATE(TAHUN,N$4,1)&lt;EDATE($F20,$E20*12)),$G20,0))</f>
        <v>0</v>
      </c>
      <c r="O20" s="117" t="n">
        <f aca="false">IF(OR($C20="",O$4&gt;BLN),0,IF(AND(DATE(TAHUN,O$4,1)&gt;=$F20,DATE(TAHUN,O$4,1)&lt;EDATE($F20,$E20*12)),$G20,0))</f>
        <v>0</v>
      </c>
      <c r="P20" s="117" t="n">
        <f aca="false">IF(OR($C20="",P$4&gt;BLN),0,IF(AND(DATE(TAHUN,P$4,1)&gt;=$F20,DATE(TAHUN,P$4,1)&lt;EDATE($F20,$E20*12)),$G20,0))</f>
        <v>0</v>
      </c>
      <c r="Q20" s="117" t="n">
        <f aca="false">IF(OR($C20="",Q$4&gt;BLN),0,IF(AND(DATE(TAHUN,Q$4,1)&gt;=$F20,DATE(TAHUN,Q$4,1)&lt;EDATE($F20,$E20*12)),$G20,0))</f>
        <v>0</v>
      </c>
      <c r="R20" s="117" t="n">
        <f aca="false">IF(OR($C20="",R$4&gt;BLN),0,IF(AND(DATE(TAHUN,R$4,1)&gt;=$F20,DATE(TAHUN,R$4,1)&lt;EDATE($F20,$E20*12)),$G20,0))</f>
        <v>0</v>
      </c>
      <c r="S20" s="117" t="n">
        <f aca="false">IF(OR($C20="",S$4&gt;BLN),0,IF(AND(DATE(TAHUN,S$4,1)&gt;=$F20,DATE(TAHUN,S$4,1)&lt;EDATE($F20,$E20*12)),$G20,0))</f>
        <v>0</v>
      </c>
      <c r="T20" s="91" t="n">
        <v>0</v>
      </c>
      <c r="U20" s="44" t="n">
        <f aca="false">T20+SUM(H20:S20)</f>
        <v>0</v>
      </c>
      <c r="V20" s="44" t="n">
        <f aca="false">D20-U20</f>
        <v>667280</v>
      </c>
    </row>
    <row r="21" customFormat="false" ht="15" hidden="false" customHeight="false" outlineLevel="0" collapsed="false">
      <c r="A21" s="10" t="n">
        <v>16</v>
      </c>
      <c r="B21" s="82" t="s">
        <v>2491</v>
      </c>
      <c r="C21" s="101" t="n">
        <v>46287</v>
      </c>
      <c r="D21" s="91" t="n">
        <v>12792000</v>
      </c>
      <c r="E21" s="115" t="n">
        <v>4</v>
      </c>
      <c r="F21" s="116" t="n">
        <f aca="false">IF(C21="","",EOMONTH(C21,0)+1)</f>
        <v>46296</v>
      </c>
      <c r="G21" s="44" t="n">
        <f aca="false">IF(N(E21)=0,0,ROUND(D21/(E21*12),0))</f>
        <v>266500</v>
      </c>
      <c r="H21" s="117" t="n">
        <f aca="false">IF(OR($C21="",H$4&gt;BLN),0,IF(AND(DATE(TAHUN,H$4,1)&gt;=$F21,DATE(TAHUN,H$4,1)&lt;EDATE($F21,$E21*12)),$G21,0))</f>
        <v>0</v>
      </c>
      <c r="I21" s="117" t="n">
        <f aca="false">IF(OR($C21="",I$4&gt;BLN),0,IF(AND(DATE(TAHUN,I$4,1)&gt;=$F21,DATE(TAHUN,I$4,1)&lt;EDATE($F21,$E21*12)),$G21,0))</f>
        <v>0</v>
      </c>
      <c r="J21" s="117" t="n">
        <f aca="false">IF(OR($C21="",J$4&gt;BLN),0,IF(AND(DATE(TAHUN,J$4,1)&gt;=$F21,DATE(TAHUN,J$4,1)&lt;EDATE($F21,$E21*12)),$G21,0))</f>
        <v>0</v>
      </c>
      <c r="K21" s="117" t="n">
        <f aca="false">IF(OR($C21="",K$4&gt;BLN),0,IF(AND(DATE(TAHUN,K$4,1)&gt;=$F21,DATE(TAHUN,K$4,1)&lt;EDATE($F21,$E21*12)),$G21,0))</f>
        <v>0</v>
      </c>
      <c r="L21" s="117" t="n">
        <f aca="false">IF(OR($C21="",L$4&gt;BLN),0,IF(AND(DATE(TAHUN,L$4,1)&gt;=$F21,DATE(TAHUN,L$4,1)&lt;EDATE($F21,$E21*12)),$G21,0))</f>
        <v>0</v>
      </c>
      <c r="M21" s="117" t="n">
        <f aca="false">IF(OR($C21="",M$4&gt;BLN),0,IF(AND(DATE(TAHUN,M$4,1)&gt;=$F21,DATE(TAHUN,M$4,1)&lt;EDATE($F21,$E21*12)),$G21,0))</f>
        <v>0</v>
      </c>
      <c r="N21" s="117" t="n">
        <f aca="false">IF(OR($C21="",N$4&gt;BLN),0,IF(AND(DATE(TAHUN,N$4,1)&gt;=$F21,DATE(TAHUN,N$4,1)&lt;EDATE($F21,$E21*12)),$G21,0))</f>
        <v>0</v>
      </c>
      <c r="O21" s="117" t="n">
        <f aca="false">IF(OR($C21="",O$4&gt;BLN),0,IF(AND(DATE(TAHUN,O$4,1)&gt;=$F21,DATE(TAHUN,O$4,1)&lt;EDATE($F21,$E21*12)),$G21,0))</f>
        <v>0</v>
      </c>
      <c r="P21" s="117" t="n">
        <f aca="false">IF(OR($C21="",P$4&gt;BLN),0,IF(AND(DATE(TAHUN,P$4,1)&gt;=$F21,DATE(TAHUN,P$4,1)&lt;EDATE($F21,$E21*12)),$G21,0))</f>
        <v>0</v>
      </c>
      <c r="Q21" s="117" t="n">
        <f aca="false">IF(OR($C21="",Q$4&gt;BLN),0,IF(AND(DATE(TAHUN,Q$4,1)&gt;=$F21,DATE(TAHUN,Q$4,1)&lt;EDATE($F21,$E21*12)),$G21,0))</f>
        <v>0</v>
      </c>
      <c r="R21" s="117" t="n">
        <f aca="false">IF(OR($C21="",R$4&gt;BLN),0,IF(AND(DATE(TAHUN,R$4,1)&gt;=$F21,DATE(TAHUN,R$4,1)&lt;EDATE($F21,$E21*12)),$G21,0))</f>
        <v>0</v>
      </c>
      <c r="S21" s="117" t="n">
        <f aca="false">IF(OR($C21="",S$4&gt;BLN),0,IF(AND(DATE(TAHUN,S$4,1)&gt;=$F21,DATE(TAHUN,S$4,1)&lt;EDATE($F21,$E21*12)),$G21,0))</f>
        <v>0</v>
      </c>
      <c r="T21" s="91" t="n">
        <v>0</v>
      </c>
      <c r="U21" s="44" t="n">
        <f aca="false">T21+SUM(H21:S21)</f>
        <v>0</v>
      </c>
      <c r="V21" s="44" t="n">
        <f aca="false">D21-U21</f>
        <v>12792000</v>
      </c>
    </row>
    <row r="22" customFormat="false" ht="15" hidden="false" customHeight="false" outlineLevel="0" collapsed="false">
      <c r="A22" s="10" t="n">
        <v>17</v>
      </c>
      <c r="B22" s="82" t="s">
        <v>2740</v>
      </c>
      <c r="C22" s="101" t="n">
        <v>46290</v>
      </c>
      <c r="D22" s="91" t="n">
        <v>710950</v>
      </c>
      <c r="E22" s="115" t="n">
        <v>4</v>
      </c>
      <c r="F22" s="116" t="n">
        <f aca="false">IF(C22="","",EOMONTH(C22,0)+1)</f>
        <v>46296</v>
      </c>
      <c r="G22" s="44" t="n">
        <f aca="false">IF(N(E22)=0,0,ROUND(D22/(E22*12),0))</f>
        <v>14811</v>
      </c>
      <c r="H22" s="117" t="n">
        <f aca="false">IF(OR($C22="",H$4&gt;BLN),0,IF(AND(DATE(TAHUN,H$4,1)&gt;=$F22,DATE(TAHUN,H$4,1)&lt;EDATE($F22,$E22*12)),$G22,0))</f>
        <v>0</v>
      </c>
      <c r="I22" s="117" t="n">
        <f aca="false">IF(OR($C22="",I$4&gt;BLN),0,IF(AND(DATE(TAHUN,I$4,1)&gt;=$F22,DATE(TAHUN,I$4,1)&lt;EDATE($F22,$E22*12)),$G22,0))</f>
        <v>0</v>
      </c>
      <c r="J22" s="117" t="n">
        <f aca="false">IF(OR($C22="",J$4&gt;BLN),0,IF(AND(DATE(TAHUN,J$4,1)&gt;=$F22,DATE(TAHUN,J$4,1)&lt;EDATE($F22,$E22*12)),$G22,0))</f>
        <v>0</v>
      </c>
      <c r="K22" s="117" t="n">
        <f aca="false">IF(OR($C22="",K$4&gt;BLN),0,IF(AND(DATE(TAHUN,K$4,1)&gt;=$F22,DATE(TAHUN,K$4,1)&lt;EDATE($F22,$E22*12)),$G22,0))</f>
        <v>0</v>
      </c>
      <c r="L22" s="117" t="n">
        <f aca="false">IF(OR($C22="",L$4&gt;BLN),0,IF(AND(DATE(TAHUN,L$4,1)&gt;=$F22,DATE(TAHUN,L$4,1)&lt;EDATE($F22,$E22*12)),$G22,0))</f>
        <v>0</v>
      </c>
      <c r="M22" s="117" t="n">
        <f aca="false">IF(OR($C22="",M$4&gt;BLN),0,IF(AND(DATE(TAHUN,M$4,1)&gt;=$F22,DATE(TAHUN,M$4,1)&lt;EDATE($F22,$E22*12)),$G22,0))</f>
        <v>0</v>
      </c>
      <c r="N22" s="117" t="n">
        <f aca="false">IF(OR($C22="",N$4&gt;BLN),0,IF(AND(DATE(TAHUN,N$4,1)&gt;=$F22,DATE(TAHUN,N$4,1)&lt;EDATE($F22,$E22*12)),$G22,0))</f>
        <v>0</v>
      </c>
      <c r="O22" s="117" t="n">
        <f aca="false">IF(OR($C22="",O$4&gt;BLN),0,IF(AND(DATE(TAHUN,O$4,1)&gt;=$F22,DATE(TAHUN,O$4,1)&lt;EDATE($F22,$E22*12)),$G22,0))</f>
        <v>0</v>
      </c>
      <c r="P22" s="117" t="n">
        <f aca="false">IF(OR($C22="",P$4&gt;BLN),0,IF(AND(DATE(TAHUN,P$4,1)&gt;=$F22,DATE(TAHUN,P$4,1)&lt;EDATE($F22,$E22*12)),$G22,0))</f>
        <v>0</v>
      </c>
      <c r="Q22" s="117" t="n">
        <f aca="false">IF(OR($C22="",Q$4&gt;BLN),0,IF(AND(DATE(TAHUN,Q$4,1)&gt;=$F22,DATE(TAHUN,Q$4,1)&lt;EDATE($F22,$E22*12)),$G22,0))</f>
        <v>0</v>
      </c>
      <c r="R22" s="117" t="n">
        <f aca="false">IF(OR($C22="",R$4&gt;BLN),0,IF(AND(DATE(TAHUN,R$4,1)&gt;=$F22,DATE(TAHUN,R$4,1)&lt;EDATE($F22,$E22*12)),$G22,0))</f>
        <v>0</v>
      </c>
      <c r="S22" s="117" t="n">
        <f aca="false">IF(OR($C22="",S$4&gt;BLN),0,IF(AND(DATE(TAHUN,S$4,1)&gt;=$F22,DATE(TAHUN,S$4,1)&lt;EDATE($F22,$E22*12)),$G22,0))</f>
        <v>0</v>
      </c>
      <c r="T22" s="91" t="n">
        <v>0</v>
      </c>
      <c r="U22" s="44" t="n">
        <f aca="false">T22+SUM(H22:S22)</f>
        <v>0</v>
      </c>
      <c r="V22" s="44" t="n">
        <f aca="false">D22-U22</f>
        <v>710950</v>
      </c>
    </row>
    <row r="23" customFormat="false" ht="15" hidden="false" customHeight="false" outlineLevel="0" collapsed="false">
      <c r="A23" s="10" t="n">
        <v>18</v>
      </c>
      <c r="B23" s="82" t="s">
        <v>2553</v>
      </c>
      <c r="C23" s="101" t="n">
        <v>46295</v>
      </c>
      <c r="D23" s="91" t="n">
        <v>187000</v>
      </c>
      <c r="E23" s="115" t="n">
        <v>4</v>
      </c>
      <c r="F23" s="116" t="n">
        <f aca="false">IF(C23="","",EOMONTH(C23,0)+1)</f>
        <v>46296</v>
      </c>
      <c r="G23" s="44" t="n">
        <f aca="false">IF(N(E23)=0,0,ROUND(D23/(E23*12),0))</f>
        <v>3896</v>
      </c>
      <c r="H23" s="117" t="n">
        <f aca="false">IF(OR($C23="",H$4&gt;BLN),0,IF(AND(DATE(TAHUN,H$4,1)&gt;=$F23,DATE(TAHUN,H$4,1)&lt;EDATE($F23,$E23*12)),$G23,0))</f>
        <v>0</v>
      </c>
      <c r="I23" s="117" t="n">
        <f aca="false">IF(OR($C23="",I$4&gt;BLN),0,IF(AND(DATE(TAHUN,I$4,1)&gt;=$F23,DATE(TAHUN,I$4,1)&lt;EDATE($F23,$E23*12)),$G23,0))</f>
        <v>0</v>
      </c>
      <c r="J23" s="117" t="n">
        <f aca="false">IF(OR($C23="",J$4&gt;BLN),0,IF(AND(DATE(TAHUN,J$4,1)&gt;=$F23,DATE(TAHUN,J$4,1)&lt;EDATE($F23,$E23*12)),$G23,0))</f>
        <v>0</v>
      </c>
      <c r="K23" s="117" t="n">
        <f aca="false">IF(OR($C23="",K$4&gt;BLN),0,IF(AND(DATE(TAHUN,K$4,1)&gt;=$F23,DATE(TAHUN,K$4,1)&lt;EDATE($F23,$E23*12)),$G23,0))</f>
        <v>0</v>
      </c>
      <c r="L23" s="117" t="n">
        <f aca="false">IF(OR($C23="",L$4&gt;BLN),0,IF(AND(DATE(TAHUN,L$4,1)&gt;=$F23,DATE(TAHUN,L$4,1)&lt;EDATE($F23,$E23*12)),$G23,0))</f>
        <v>0</v>
      </c>
      <c r="M23" s="117" t="n">
        <f aca="false">IF(OR($C23="",M$4&gt;BLN),0,IF(AND(DATE(TAHUN,M$4,1)&gt;=$F23,DATE(TAHUN,M$4,1)&lt;EDATE($F23,$E23*12)),$G23,0))</f>
        <v>0</v>
      </c>
      <c r="N23" s="117" t="n">
        <f aca="false">IF(OR($C23="",N$4&gt;BLN),0,IF(AND(DATE(TAHUN,N$4,1)&gt;=$F23,DATE(TAHUN,N$4,1)&lt;EDATE($F23,$E23*12)),$G23,0))</f>
        <v>0</v>
      </c>
      <c r="O23" s="117" t="n">
        <f aca="false">IF(OR($C23="",O$4&gt;BLN),0,IF(AND(DATE(TAHUN,O$4,1)&gt;=$F23,DATE(TAHUN,O$4,1)&lt;EDATE($F23,$E23*12)),$G23,0))</f>
        <v>0</v>
      </c>
      <c r="P23" s="117" t="n">
        <f aca="false">IF(OR($C23="",P$4&gt;BLN),0,IF(AND(DATE(TAHUN,P$4,1)&gt;=$F23,DATE(TAHUN,P$4,1)&lt;EDATE($F23,$E23*12)),$G23,0))</f>
        <v>0</v>
      </c>
      <c r="Q23" s="117" t="n">
        <f aca="false">IF(OR($C23="",Q$4&gt;BLN),0,IF(AND(DATE(TAHUN,Q$4,1)&gt;=$F23,DATE(TAHUN,Q$4,1)&lt;EDATE($F23,$E23*12)),$G23,0))</f>
        <v>0</v>
      </c>
      <c r="R23" s="117" t="n">
        <f aca="false">IF(OR($C23="",R$4&gt;BLN),0,IF(AND(DATE(TAHUN,R$4,1)&gt;=$F23,DATE(TAHUN,R$4,1)&lt;EDATE($F23,$E23*12)),$G23,0))</f>
        <v>0</v>
      </c>
      <c r="S23" s="117" t="n">
        <f aca="false">IF(OR($C23="",S$4&gt;BLN),0,IF(AND(DATE(TAHUN,S$4,1)&gt;=$F23,DATE(TAHUN,S$4,1)&lt;EDATE($F23,$E23*12)),$G23,0))</f>
        <v>0</v>
      </c>
      <c r="T23" s="91" t="n">
        <v>0</v>
      </c>
      <c r="U23" s="44" t="n">
        <f aca="false">T23+SUM(H23:S23)</f>
        <v>0</v>
      </c>
      <c r="V23" s="44" t="n">
        <f aca="false">D23-U23</f>
        <v>187000</v>
      </c>
    </row>
    <row r="24" customFormat="false" ht="15" hidden="false" customHeight="false" outlineLevel="0" collapsed="false">
      <c r="A24" s="118" t="n">
        <v>19</v>
      </c>
      <c r="B24" s="118" t="s">
        <v>2741</v>
      </c>
      <c r="C24" s="118"/>
      <c r="D24" s="119" t="n">
        <v>0</v>
      </c>
      <c r="E24" s="120" t="n">
        <v>4</v>
      </c>
      <c r="F24" s="5" t="str">
        <f aca="false">IF(C24="","",EOMONTH(C24,0)+1)</f>
        <v/>
      </c>
      <c r="G24" s="44" t="n">
        <f aca="false">IF(N(E24)=0,0,ROUND(D24/(E24*12),0))</f>
        <v>0</v>
      </c>
      <c r="H24" s="44" t="n">
        <f aca="false">IF(OR($C24="",H$4&gt;BLN),0,IF(AND(DATE(TAHUN,H$4,1)&gt;=$F24,DATE(TAHUN,H$4,1)&lt;EDATE($F24,$E24*12)),$G24,0))</f>
        <v>0</v>
      </c>
      <c r="I24" s="44" t="n">
        <f aca="false">IF(OR($C24="",I$4&gt;BLN),0,IF(AND(DATE(TAHUN,I$4,1)&gt;=$F24,DATE(TAHUN,I$4,1)&lt;EDATE($F24,$E24*12)),$G24,0))</f>
        <v>0</v>
      </c>
      <c r="J24" s="44" t="n">
        <f aca="false">IF(OR($C24="",J$4&gt;BLN),0,IF(AND(DATE(TAHUN,J$4,1)&gt;=$F24,DATE(TAHUN,J$4,1)&lt;EDATE($F24,$E24*12)),$G24,0))</f>
        <v>0</v>
      </c>
      <c r="K24" s="44" t="n">
        <f aca="false">IF(OR($C24="",K$4&gt;BLN),0,IF(AND(DATE(TAHUN,K$4,1)&gt;=$F24,DATE(TAHUN,K$4,1)&lt;EDATE($F24,$E24*12)),$G24,0))</f>
        <v>0</v>
      </c>
      <c r="L24" s="44" t="n">
        <f aca="false">IF(OR($C24="",L$4&gt;BLN),0,IF(AND(DATE(TAHUN,L$4,1)&gt;=$F24,DATE(TAHUN,L$4,1)&lt;EDATE($F24,$E24*12)),$G24,0))</f>
        <v>0</v>
      </c>
      <c r="M24" s="44" t="n">
        <f aca="false">IF(OR($C24="",M$4&gt;BLN),0,IF(AND(DATE(TAHUN,M$4,1)&gt;=$F24,DATE(TAHUN,M$4,1)&lt;EDATE($F24,$E24*12)),$G24,0))</f>
        <v>0</v>
      </c>
      <c r="N24" s="44" t="n">
        <f aca="false">IF(OR($C24="",N$4&gt;BLN),0,IF(AND(DATE(TAHUN,N$4,1)&gt;=$F24,DATE(TAHUN,N$4,1)&lt;EDATE($F24,$E24*12)),$G24,0))</f>
        <v>0</v>
      </c>
      <c r="O24" s="44" t="n">
        <f aca="false">IF(OR($C24="",O$4&gt;BLN),0,IF(AND(DATE(TAHUN,O$4,1)&gt;=$F24,DATE(TAHUN,O$4,1)&lt;EDATE($F24,$E24*12)),$G24,0))</f>
        <v>0</v>
      </c>
      <c r="P24" s="44" t="n">
        <f aca="false">IF(OR($C24="",P$4&gt;BLN),0,IF(AND(DATE(TAHUN,P$4,1)&gt;=$F24,DATE(TAHUN,P$4,1)&lt;EDATE($F24,$E24*12)),$G24,0))</f>
        <v>0</v>
      </c>
      <c r="Q24" s="44" t="n">
        <f aca="false">IF(OR($C24="",Q$4&gt;BLN),0,IF(AND(DATE(TAHUN,Q$4,1)&gt;=$F24,DATE(TAHUN,Q$4,1)&lt;EDATE($F24,$E24*12)),$G24,0))</f>
        <v>0</v>
      </c>
      <c r="R24" s="44" t="n">
        <f aca="false">IF(OR($C24="",R$4&gt;BLN),0,IF(AND(DATE(TAHUN,R$4,1)&gt;=$F24,DATE(TAHUN,R$4,1)&lt;EDATE($F24,$E24*12)),$G24,0))</f>
        <v>0</v>
      </c>
      <c r="S24" s="44" t="n">
        <f aca="false">IF(OR($C24="",S$4&gt;BLN),0,IF(AND(DATE(TAHUN,S$4,1)&gt;=$F24,DATE(TAHUN,S$4,1)&lt;EDATE($F24,$E24*12)),$G24,0))</f>
        <v>0</v>
      </c>
      <c r="T24" s="44" t="n">
        <v>0</v>
      </c>
      <c r="U24" s="44" t="n">
        <f aca="false">T24+SUM(H24:S24)</f>
        <v>0</v>
      </c>
      <c r="V24" s="44" t="n">
        <f aca="false">D24-U24</f>
        <v>0</v>
      </c>
    </row>
    <row r="25" customFormat="false" ht="15" hidden="false" customHeight="false" outlineLevel="0" collapsed="false">
      <c r="A25" s="5"/>
      <c r="B25" s="13" t="s">
        <v>371</v>
      </c>
      <c r="C25" s="5"/>
      <c r="D25" s="78" t="n">
        <f aca="false">SUM(D6:D24)</f>
        <v>42023410</v>
      </c>
      <c r="E25" s="5"/>
      <c r="F25" s="5"/>
      <c r="G25" s="78" t="n">
        <f aca="false">SUM(G6:G24)</f>
        <v>805659</v>
      </c>
      <c r="H25" s="78" t="n">
        <f aca="false">SUM(H6:H24)</f>
        <v>0</v>
      </c>
      <c r="I25" s="78" t="n">
        <f aca="false">SUM(I6:I24)</f>
        <v>216667</v>
      </c>
      <c r="J25" s="78" t="n">
        <f aca="false">SUM(J6:J24)</f>
        <v>216667</v>
      </c>
      <c r="K25" s="78" t="n">
        <f aca="false">SUM(K6:K24)</f>
        <v>252964</v>
      </c>
      <c r="L25" s="78" t="n">
        <f aca="false">SUM(L6:L24)</f>
        <v>260452</v>
      </c>
      <c r="M25" s="78" t="n">
        <f aca="false">SUM(M6:M24)</f>
        <v>297787</v>
      </c>
      <c r="N25" s="78" t="n">
        <f aca="false">SUM(N6:N24)</f>
        <v>399853</v>
      </c>
      <c r="O25" s="78" t="n">
        <f aca="false">SUM(O6:O24)</f>
        <v>426400</v>
      </c>
      <c r="P25" s="78" t="n">
        <f aca="false">SUM(P6:P24)</f>
        <v>493329</v>
      </c>
      <c r="Q25" s="78" t="n">
        <f aca="false">SUM(Q6:Q24)</f>
        <v>0</v>
      </c>
      <c r="R25" s="78" t="n">
        <f aca="false">SUM(R6:R24)</f>
        <v>0</v>
      </c>
      <c r="S25" s="78" t="n">
        <f aca="false">SUM(S6:S24)</f>
        <v>0</v>
      </c>
      <c r="T25" s="78" t="n">
        <f aca="false">SUM(T6:T24)</f>
        <v>0</v>
      </c>
      <c r="U25" s="78" t="n">
        <f aca="false">SUM(U6:U24)</f>
        <v>2564119</v>
      </c>
      <c r="V25" s="78" t="n">
        <f aca="false">SUM(V6:V24)</f>
        <v>39459291</v>
      </c>
    </row>
    <row r="26" customFormat="false" ht="15" hidden="false" customHeight="false" outlineLevel="0" collapsed="false">
      <c r="A26" s="5"/>
      <c r="B26" s="5"/>
      <c r="C26" s="5"/>
      <c r="D26" s="5"/>
      <c r="E26" s="5"/>
      <c r="F26" s="5"/>
      <c r="G26" s="5"/>
      <c r="H26" s="5"/>
      <c r="I26" s="5"/>
      <c r="J26" s="5"/>
      <c r="K26" s="5"/>
      <c r="L26" s="5"/>
      <c r="M26" s="5"/>
      <c r="N26" s="5"/>
      <c r="O26" s="5"/>
      <c r="P26" s="5"/>
      <c r="Q26" s="5"/>
      <c r="R26" s="5"/>
      <c r="S26" s="5"/>
      <c r="T26" s="5"/>
      <c r="U26" s="5"/>
      <c r="V26" s="5"/>
    </row>
    <row r="27" customFormat="false" ht="15" hidden="false" customHeight="false" outlineLevel="0" collapsed="false">
      <c r="A27" s="5"/>
      <c r="B27" s="13" t="s">
        <v>2742</v>
      </c>
      <c r="C27" s="5"/>
      <c r="D27" s="44" t="n">
        <f aca="false">D25-SUMIF(MUTASI!$B$6:$B$45,"Peralatan",MUTASI!$S$6:$S$45)</f>
        <v>0</v>
      </c>
      <c r="E27" s="5"/>
      <c r="F27" s="5"/>
      <c r="G27" s="5"/>
      <c r="H27" s="5"/>
      <c r="I27" s="5"/>
      <c r="J27" s="5"/>
      <c r="K27" s="5"/>
      <c r="L27" s="5"/>
      <c r="M27" s="5"/>
      <c r="N27" s="5"/>
      <c r="O27" s="5"/>
      <c r="P27" s="5"/>
      <c r="Q27" s="5"/>
      <c r="R27" s="5"/>
      <c r="S27" s="5"/>
      <c r="T27" s="5"/>
      <c r="U27" s="5"/>
      <c r="V27" s="5"/>
    </row>
    <row r="28" customFormat="false" ht="15" hidden="false" customHeight="false" outlineLevel="0" collapsed="false">
      <c r="A28" s="5"/>
      <c r="B28" s="13" t="s">
        <v>2743</v>
      </c>
      <c r="C28" s="5"/>
      <c r="D28" s="44" t="n">
        <f aca="false">U25+SUMIF(MUTASI!$B$6:$B$45,"Akumulasi Penyusutan Peralatan",MUTASI!$S$6:$S$45)</f>
        <v>0</v>
      </c>
      <c r="E28" s="5"/>
      <c r="F28" s="5"/>
      <c r="G28" s="5"/>
      <c r="H28" s="5"/>
      <c r="I28" s="5"/>
      <c r="J28" s="5"/>
      <c r="K28" s="5"/>
      <c r="L28" s="5"/>
      <c r="M28" s="5"/>
      <c r="N28" s="5"/>
      <c r="O28" s="5"/>
      <c r="P28" s="5"/>
      <c r="Q28" s="5"/>
      <c r="R28" s="5"/>
      <c r="S28" s="5"/>
      <c r="T28" s="5"/>
      <c r="U28" s="5"/>
      <c r="V28" s="5"/>
    </row>
    <row r="29" customFormat="false" ht="15" hidden="false" customHeight="false" outlineLevel="0" collapsed="false">
      <c r="A29" s="5"/>
      <c r="B29" s="5"/>
      <c r="C29" s="5"/>
      <c r="D29" s="5"/>
      <c r="E29" s="5"/>
      <c r="F29" s="5"/>
      <c r="G29" s="5"/>
      <c r="H29" s="5"/>
      <c r="I29" s="5"/>
      <c r="J29" s="5"/>
      <c r="K29" s="5"/>
      <c r="L29" s="5"/>
      <c r="M29" s="5"/>
      <c r="N29" s="5"/>
      <c r="O29" s="5"/>
      <c r="P29" s="5"/>
      <c r="Q29" s="5"/>
      <c r="R29" s="5"/>
      <c r="S29" s="5"/>
      <c r="T29" s="5"/>
      <c r="U29" s="5"/>
      <c r="V29" s="5"/>
    </row>
    <row r="30" customFormat="false" ht="15" hidden="false" customHeight="false" outlineLevel="0" collapsed="false">
      <c r="A30" s="5"/>
      <c r="B30" s="22" t="s">
        <v>2744</v>
      </c>
      <c r="C30" s="5"/>
      <c r="D30" s="5"/>
      <c r="E30" s="5"/>
      <c r="F30" s="5"/>
      <c r="G30" s="5"/>
      <c r="H30" s="5"/>
      <c r="I30" s="5"/>
      <c r="J30" s="5"/>
      <c r="K30" s="5"/>
      <c r="L30" s="5"/>
      <c r="M30" s="5"/>
      <c r="N30" s="5"/>
      <c r="O30" s="5"/>
      <c r="P30" s="5"/>
      <c r="Q30" s="5"/>
      <c r="R30" s="5"/>
      <c r="S30" s="5"/>
      <c r="T30" s="5"/>
      <c r="U30" s="5"/>
      <c r="V30" s="5"/>
    </row>
  </sheetData>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887F"/>
    <pageSetUpPr fitToPage="true"/>
  </sheetPr>
  <dimension ref="A1:I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13"/>
    <col collapsed="false" customWidth="true" hidden="false" outlineLevel="0" max="4" min="4" style="0" width="26"/>
    <col collapsed="false" customWidth="true" hidden="false" outlineLevel="0" max="5" min="5" style="0" width="9"/>
    <col collapsed="false" customWidth="true" hidden="false" outlineLevel="0" max="6" min="6" style="0" width="13"/>
    <col collapsed="false" customWidth="true" hidden="false" outlineLevel="0" max="7" min="7" style="0" width="9"/>
    <col collapsed="false" customWidth="true" hidden="false" outlineLevel="0" max="8" min="8" style="0" width="17"/>
    <col collapsed="false" customWidth="true" hidden="false" outlineLevel="0" max="9" min="9" style="0" width="60"/>
  </cols>
  <sheetData>
    <row r="1" customFormat="false" ht="19.7" hidden="false" customHeight="false" outlineLevel="0" collapsed="false">
      <c r="A1" s="17" t="s">
        <v>2745</v>
      </c>
      <c r="B1" s="5"/>
      <c r="C1" s="5"/>
      <c r="D1" s="5"/>
      <c r="E1" s="5"/>
      <c r="F1" s="5"/>
      <c r="G1" s="5"/>
      <c r="H1" s="5"/>
      <c r="I1" s="5"/>
    </row>
    <row r="2" customFormat="false" ht="15" hidden="false" customHeight="false" outlineLevel="0" collapsed="false">
      <c r="A2" s="18" t="s">
        <v>2746</v>
      </c>
      <c r="B2" s="5"/>
      <c r="C2" s="5"/>
      <c r="D2" s="5"/>
      <c r="E2" s="5"/>
      <c r="F2" s="5"/>
      <c r="G2" s="5"/>
      <c r="H2" s="5"/>
      <c r="I2" s="5"/>
    </row>
    <row r="3" customFormat="false" ht="15" hidden="false" customHeight="false" outlineLevel="0" collapsed="false">
      <c r="A3" s="5"/>
      <c r="B3" s="5"/>
      <c r="C3" s="5"/>
      <c r="D3" s="5"/>
      <c r="E3" s="5"/>
      <c r="F3" s="5"/>
      <c r="G3" s="5"/>
      <c r="H3" s="5"/>
      <c r="I3" s="5"/>
    </row>
    <row r="4" customFormat="false" ht="15" hidden="false" customHeight="false" outlineLevel="0" collapsed="false">
      <c r="A4" s="5"/>
      <c r="B4" s="5"/>
      <c r="C4" s="5"/>
      <c r="D4" s="5"/>
      <c r="E4" s="5"/>
      <c r="F4" s="5"/>
      <c r="G4" s="5"/>
      <c r="H4" s="5"/>
      <c r="I4" s="5"/>
    </row>
    <row r="5" customFormat="false" ht="23.85" hidden="false" customHeight="false" outlineLevel="0" collapsed="false">
      <c r="A5" s="20" t="s">
        <v>2699</v>
      </c>
      <c r="B5" s="20" t="s">
        <v>2712</v>
      </c>
      <c r="C5" s="20" t="s">
        <v>2747</v>
      </c>
      <c r="D5" s="20" t="s">
        <v>2748</v>
      </c>
      <c r="E5" s="20" t="s">
        <v>2749</v>
      </c>
      <c r="F5" s="20" t="s">
        <v>2750</v>
      </c>
      <c r="G5" s="20" t="s">
        <v>449</v>
      </c>
      <c r="H5" s="20" t="s">
        <v>2751</v>
      </c>
      <c r="I5" s="20" t="s">
        <v>58</v>
      </c>
    </row>
    <row r="6" customFormat="false" ht="15" hidden="false" customHeight="false" outlineLevel="0" collapsed="false">
      <c r="A6" s="121" t="s">
        <v>2752</v>
      </c>
      <c r="B6" s="38" t="s">
        <v>475</v>
      </c>
      <c r="C6" s="38" t="s">
        <v>187</v>
      </c>
      <c r="D6" s="38" t="s">
        <v>2753</v>
      </c>
      <c r="E6" s="121" t="s">
        <v>2754</v>
      </c>
      <c r="F6" s="121" t="s">
        <v>2755</v>
      </c>
      <c r="G6" s="121"/>
      <c r="H6" s="122" t="n">
        <v>26605500</v>
      </c>
      <c r="I6" s="123" t="s">
        <v>2756</v>
      </c>
    </row>
    <row r="7" customFormat="false" ht="15" hidden="false" customHeight="false" outlineLevel="0" collapsed="false">
      <c r="A7" s="124" t="s">
        <v>2757</v>
      </c>
      <c r="B7" s="41" t="s">
        <v>461</v>
      </c>
      <c r="C7" s="41" t="s">
        <v>187</v>
      </c>
      <c r="D7" s="41" t="s">
        <v>2753</v>
      </c>
      <c r="E7" s="124" t="s">
        <v>2754</v>
      </c>
      <c r="F7" s="124" t="s">
        <v>2755</v>
      </c>
      <c r="G7" s="124"/>
      <c r="H7" s="122" t="n">
        <v>81982785</v>
      </c>
      <c r="I7" s="125" t="s">
        <v>2758</v>
      </c>
    </row>
    <row r="8" customFormat="false" ht="15" hidden="false" customHeight="false" outlineLevel="0" collapsed="false">
      <c r="A8" s="121" t="s">
        <v>2759</v>
      </c>
      <c r="B8" s="38" t="s">
        <v>486</v>
      </c>
      <c r="C8" s="38" t="s">
        <v>187</v>
      </c>
      <c r="D8" s="38" t="s">
        <v>2753</v>
      </c>
      <c r="E8" s="121" t="s">
        <v>2754</v>
      </c>
      <c r="F8" s="121" t="s">
        <v>2755</v>
      </c>
      <c r="G8" s="121"/>
      <c r="H8" s="122" t="n">
        <v>3000000</v>
      </c>
      <c r="I8" s="123" t="s">
        <v>2760</v>
      </c>
    </row>
    <row r="9" customFormat="false" ht="15" hidden="false" customHeight="false" outlineLevel="0" collapsed="false">
      <c r="A9" s="124" t="s">
        <v>2761</v>
      </c>
      <c r="B9" s="41" t="s">
        <v>765</v>
      </c>
      <c r="C9" s="41" t="s">
        <v>187</v>
      </c>
      <c r="D9" s="41" t="s">
        <v>192</v>
      </c>
      <c r="E9" s="124" t="s">
        <v>2754</v>
      </c>
      <c r="F9" s="124" t="s">
        <v>2762</v>
      </c>
      <c r="G9" s="124" t="s">
        <v>2763</v>
      </c>
      <c r="H9" s="122" t="n">
        <v>4500000</v>
      </c>
      <c r="I9" s="125" t="s">
        <v>2764</v>
      </c>
    </row>
    <row r="10" customFormat="false" ht="15" hidden="false" customHeight="false" outlineLevel="0" collapsed="false">
      <c r="A10" s="121" t="s">
        <v>2765</v>
      </c>
      <c r="B10" s="38" t="s">
        <v>2766</v>
      </c>
      <c r="C10" s="38" t="s">
        <v>187</v>
      </c>
      <c r="D10" s="38" t="s">
        <v>192</v>
      </c>
      <c r="E10" s="121" t="s">
        <v>2754</v>
      </c>
      <c r="F10" s="121" t="s">
        <v>2762</v>
      </c>
      <c r="G10" s="121" t="s">
        <v>2763</v>
      </c>
      <c r="H10" s="122" t="n">
        <v>0</v>
      </c>
      <c r="I10" s="123" t="s">
        <v>2767</v>
      </c>
    </row>
    <row r="11" customFormat="false" ht="15" hidden="false" customHeight="false" outlineLevel="0" collapsed="false">
      <c r="A11" s="124" t="s">
        <v>2768</v>
      </c>
      <c r="B11" s="41" t="s">
        <v>718</v>
      </c>
      <c r="C11" s="41" t="s">
        <v>187</v>
      </c>
      <c r="D11" s="41" t="s">
        <v>193</v>
      </c>
      <c r="E11" s="124" t="s">
        <v>2754</v>
      </c>
      <c r="F11" s="124" t="s">
        <v>2762</v>
      </c>
      <c r="G11" s="124" t="s">
        <v>2769</v>
      </c>
      <c r="H11" s="122" t="n">
        <v>3000000</v>
      </c>
      <c r="I11" s="125" t="s">
        <v>2770</v>
      </c>
    </row>
    <row r="12" customFormat="false" ht="15" hidden="false" customHeight="false" outlineLevel="0" collapsed="false">
      <c r="A12" s="121" t="s">
        <v>2771</v>
      </c>
      <c r="B12" s="38" t="s">
        <v>2772</v>
      </c>
      <c r="C12" s="38" t="s">
        <v>187</v>
      </c>
      <c r="D12" s="38" t="s">
        <v>2773</v>
      </c>
      <c r="E12" s="121" t="s">
        <v>2754</v>
      </c>
      <c r="F12" s="121" t="s">
        <v>2762</v>
      </c>
      <c r="G12" s="121" t="s">
        <v>2774</v>
      </c>
      <c r="H12" s="122" t="n">
        <v>0</v>
      </c>
      <c r="I12" s="123" t="s">
        <v>2775</v>
      </c>
    </row>
    <row r="13" customFormat="false" ht="15" hidden="false" customHeight="false" outlineLevel="0" collapsed="false">
      <c r="A13" s="124" t="s">
        <v>2776</v>
      </c>
      <c r="B13" s="41" t="s">
        <v>164</v>
      </c>
      <c r="C13" s="41" t="s">
        <v>187</v>
      </c>
      <c r="D13" s="41" t="s">
        <v>164</v>
      </c>
      <c r="E13" s="124" t="s">
        <v>2754</v>
      </c>
      <c r="F13" s="124" t="s">
        <v>2762</v>
      </c>
      <c r="G13" s="124" t="s">
        <v>2777</v>
      </c>
      <c r="H13" s="122" t="n">
        <v>0</v>
      </c>
      <c r="I13" s="125" t="s">
        <v>2778</v>
      </c>
    </row>
    <row r="14" customFormat="false" ht="15" hidden="false" customHeight="false" outlineLevel="0" collapsed="false">
      <c r="A14" s="121" t="s">
        <v>2779</v>
      </c>
      <c r="B14" s="38" t="s">
        <v>2780</v>
      </c>
      <c r="C14" s="38" t="s">
        <v>187</v>
      </c>
      <c r="D14" s="38" t="s">
        <v>195</v>
      </c>
      <c r="E14" s="121" t="s">
        <v>2754</v>
      </c>
      <c r="F14" s="121" t="s">
        <v>2762</v>
      </c>
      <c r="G14" s="121" t="s">
        <v>2777</v>
      </c>
      <c r="H14" s="122" t="n">
        <v>0</v>
      </c>
      <c r="I14" s="123" t="s">
        <v>2781</v>
      </c>
    </row>
    <row r="15" customFormat="false" ht="15" hidden="false" customHeight="false" outlineLevel="0" collapsed="false">
      <c r="A15" s="124" t="s">
        <v>2782</v>
      </c>
      <c r="B15" s="41" t="s">
        <v>672</v>
      </c>
      <c r="C15" s="41" t="s">
        <v>187</v>
      </c>
      <c r="D15" s="41" t="s">
        <v>198</v>
      </c>
      <c r="E15" s="124" t="s">
        <v>2754</v>
      </c>
      <c r="F15" s="124" t="s">
        <v>2783</v>
      </c>
      <c r="G15" s="124" t="s">
        <v>2784</v>
      </c>
      <c r="H15" s="122" t="n">
        <v>0</v>
      </c>
      <c r="I15" s="125" t="s">
        <v>2785</v>
      </c>
    </row>
    <row r="16" customFormat="false" ht="15" hidden="false" customHeight="false" outlineLevel="0" collapsed="false">
      <c r="A16" s="121" t="s">
        <v>2786</v>
      </c>
      <c r="B16" s="38" t="s">
        <v>808</v>
      </c>
      <c r="C16" s="38" t="s">
        <v>187</v>
      </c>
      <c r="D16" s="38" t="s">
        <v>199</v>
      </c>
      <c r="E16" s="121" t="s">
        <v>2787</v>
      </c>
      <c r="F16" s="121" t="s">
        <v>2788</v>
      </c>
      <c r="G16" s="121"/>
      <c r="H16" s="122" t="n">
        <v>0</v>
      </c>
      <c r="I16" s="123" t="s">
        <v>2789</v>
      </c>
    </row>
    <row r="17" customFormat="false" ht="15" hidden="false" customHeight="false" outlineLevel="0" collapsed="false">
      <c r="A17" s="124" t="s">
        <v>2790</v>
      </c>
      <c r="B17" s="41" t="s">
        <v>769</v>
      </c>
      <c r="C17" s="41" t="s">
        <v>2791</v>
      </c>
      <c r="D17" s="41" t="s">
        <v>204</v>
      </c>
      <c r="E17" s="124" t="s">
        <v>2787</v>
      </c>
      <c r="F17" s="124" t="s">
        <v>2762</v>
      </c>
      <c r="G17" s="124" t="s">
        <v>2777</v>
      </c>
      <c r="H17" s="122" t="n">
        <v>0</v>
      </c>
      <c r="I17" s="125" t="s">
        <v>2792</v>
      </c>
    </row>
    <row r="18" customFormat="false" ht="15" hidden="false" customHeight="false" outlineLevel="0" collapsed="false">
      <c r="A18" s="121" t="s">
        <v>2793</v>
      </c>
      <c r="B18" s="38" t="s">
        <v>811</v>
      </c>
      <c r="C18" s="38" t="s">
        <v>2791</v>
      </c>
      <c r="D18" s="38" t="s">
        <v>2794</v>
      </c>
      <c r="E18" s="121" t="s">
        <v>2787</v>
      </c>
      <c r="F18" s="121" t="s">
        <v>2762</v>
      </c>
      <c r="G18" s="121" t="s">
        <v>2795</v>
      </c>
      <c r="H18" s="122" t="n">
        <v>0</v>
      </c>
      <c r="I18" s="123" t="s">
        <v>2796</v>
      </c>
    </row>
    <row r="19" customFormat="false" ht="15" hidden="false" customHeight="false" outlineLevel="0" collapsed="false">
      <c r="A19" s="124" t="s">
        <v>2797</v>
      </c>
      <c r="B19" s="41" t="s">
        <v>2798</v>
      </c>
      <c r="C19" s="41" t="s">
        <v>2791</v>
      </c>
      <c r="D19" s="41" t="s">
        <v>206</v>
      </c>
      <c r="E19" s="124" t="s">
        <v>2787</v>
      </c>
      <c r="F19" s="124" t="s">
        <v>2799</v>
      </c>
      <c r="G19" s="124" t="s">
        <v>2800</v>
      </c>
      <c r="H19" s="122" t="n">
        <v>3567600</v>
      </c>
      <c r="I19" s="125" t="s">
        <v>2801</v>
      </c>
    </row>
    <row r="20" customFormat="false" ht="15" hidden="false" customHeight="false" outlineLevel="0" collapsed="false">
      <c r="A20" s="121" t="s">
        <v>2802</v>
      </c>
      <c r="B20" s="38" t="s">
        <v>456</v>
      </c>
      <c r="C20" s="38" t="s">
        <v>2791</v>
      </c>
      <c r="D20" s="38" t="s">
        <v>2803</v>
      </c>
      <c r="E20" s="121" t="s">
        <v>2787</v>
      </c>
      <c r="F20" s="121" t="s">
        <v>2799</v>
      </c>
      <c r="G20" s="121" t="s">
        <v>2800</v>
      </c>
      <c r="H20" s="122" t="n">
        <v>2420000</v>
      </c>
      <c r="I20" s="123" t="s">
        <v>2804</v>
      </c>
    </row>
    <row r="21" customFormat="false" ht="15" hidden="false" customHeight="false" outlineLevel="0" collapsed="false">
      <c r="A21" s="124" t="s">
        <v>2805</v>
      </c>
      <c r="B21" s="41" t="s">
        <v>2806</v>
      </c>
      <c r="C21" s="41" t="s">
        <v>270</v>
      </c>
      <c r="D21" s="41" t="s">
        <v>212</v>
      </c>
      <c r="E21" s="124" t="s">
        <v>2787</v>
      </c>
      <c r="F21" s="124" t="s">
        <v>2799</v>
      </c>
      <c r="G21" s="124" t="s">
        <v>2807</v>
      </c>
      <c r="H21" s="42" t="n">
        <f aca="false">SUMIFS($H$6:$H$45,$C$6:$C$45,"ASET",$E$6:$E$45,"D")-SUMIFS($H$6:$H$45,$C$6:$C$45,"ASET",$E$6:$E$45,"K")-SUMIFS($H$6:$H$45,$C$6:$C$45,"LIABILITAS")</f>
        <v>113100685</v>
      </c>
      <c r="I21" s="125" t="s">
        <v>2808</v>
      </c>
    </row>
    <row r="22" customFormat="false" ht="15" hidden="false" customHeight="false" outlineLevel="0" collapsed="false">
      <c r="A22" s="121" t="s">
        <v>2809</v>
      </c>
      <c r="B22" s="38" t="s">
        <v>464</v>
      </c>
      <c r="C22" s="38" t="s">
        <v>270</v>
      </c>
      <c r="D22" s="38" t="s">
        <v>464</v>
      </c>
      <c r="E22" s="121" t="s">
        <v>2754</v>
      </c>
      <c r="F22" s="121" t="s">
        <v>2799</v>
      </c>
      <c r="G22" s="121" t="s">
        <v>2810</v>
      </c>
      <c r="H22" s="122" t="n">
        <v>0</v>
      </c>
      <c r="I22" s="123" t="s">
        <v>2811</v>
      </c>
    </row>
    <row r="23" customFormat="false" ht="15" hidden="false" customHeight="false" outlineLevel="0" collapsed="false">
      <c r="A23" s="124" t="s">
        <v>2812</v>
      </c>
      <c r="B23" s="41" t="s">
        <v>792</v>
      </c>
      <c r="C23" s="41" t="s">
        <v>2813</v>
      </c>
      <c r="D23" s="41" t="s">
        <v>2814</v>
      </c>
      <c r="E23" s="124" t="s">
        <v>2787</v>
      </c>
      <c r="F23" s="124" t="s">
        <v>2762</v>
      </c>
      <c r="G23" s="124" t="s">
        <v>2763</v>
      </c>
      <c r="H23" s="122" t="n">
        <v>0</v>
      </c>
      <c r="I23" s="125" t="s">
        <v>2815</v>
      </c>
    </row>
    <row r="24" customFormat="false" ht="15" hidden="false" customHeight="false" outlineLevel="0" collapsed="false">
      <c r="A24" s="121" t="s">
        <v>2816</v>
      </c>
      <c r="B24" s="38" t="s">
        <v>509</v>
      </c>
      <c r="C24" s="38" t="s">
        <v>2813</v>
      </c>
      <c r="D24" s="38" t="s">
        <v>2814</v>
      </c>
      <c r="E24" s="121" t="s">
        <v>2787</v>
      </c>
      <c r="F24" s="121" t="s">
        <v>2762</v>
      </c>
      <c r="G24" s="121" t="s">
        <v>2763</v>
      </c>
      <c r="H24" s="122" t="n">
        <v>0</v>
      </c>
      <c r="I24" s="123" t="s">
        <v>2817</v>
      </c>
    </row>
    <row r="25" customFormat="false" ht="15" hidden="false" customHeight="false" outlineLevel="0" collapsed="false">
      <c r="A25" s="124" t="s">
        <v>2818</v>
      </c>
      <c r="B25" s="41" t="s">
        <v>787</v>
      </c>
      <c r="C25" s="41" t="s">
        <v>2813</v>
      </c>
      <c r="D25" s="41" t="s">
        <v>2819</v>
      </c>
      <c r="E25" s="124" t="s">
        <v>2754</v>
      </c>
      <c r="F25" s="124" t="s">
        <v>2762</v>
      </c>
      <c r="G25" s="124" t="s">
        <v>2795</v>
      </c>
      <c r="H25" s="122" t="n">
        <v>0</v>
      </c>
      <c r="I25" s="125" t="s">
        <v>2820</v>
      </c>
    </row>
    <row r="26" customFormat="false" ht="15" hidden="false" customHeight="false" outlineLevel="0" collapsed="false">
      <c r="A26" s="121" t="s">
        <v>2821</v>
      </c>
      <c r="B26" s="38" t="s">
        <v>470</v>
      </c>
      <c r="C26" s="38" t="s">
        <v>2822</v>
      </c>
      <c r="D26" s="38" t="s">
        <v>2823</v>
      </c>
      <c r="E26" s="121" t="s">
        <v>2754</v>
      </c>
      <c r="F26" s="121" t="s">
        <v>2762</v>
      </c>
      <c r="G26" s="121" t="s">
        <v>2774</v>
      </c>
      <c r="H26" s="122" t="n">
        <v>0</v>
      </c>
      <c r="I26" s="123"/>
    </row>
    <row r="27" customFormat="false" ht="15" hidden="false" customHeight="false" outlineLevel="0" collapsed="false">
      <c r="A27" s="124" t="s">
        <v>2824</v>
      </c>
      <c r="B27" s="41" t="s">
        <v>478</v>
      </c>
      <c r="C27" s="41" t="s">
        <v>2822</v>
      </c>
      <c r="D27" s="41" t="s">
        <v>2823</v>
      </c>
      <c r="E27" s="124" t="s">
        <v>2754</v>
      </c>
      <c r="F27" s="124" t="s">
        <v>2762</v>
      </c>
      <c r="G27" s="124" t="s">
        <v>2774</v>
      </c>
      <c r="H27" s="122" t="n">
        <v>0</v>
      </c>
      <c r="I27" s="125" t="s">
        <v>2825</v>
      </c>
    </row>
    <row r="28" customFormat="false" ht="15" hidden="false" customHeight="false" outlineLevel="0" collapsed="false">
      <c r="A28" s="121" t="s">
        <v>2826</v>
      </c>
      <c r="B28" s="38" t="s">
        <v>576</v>
      </c>
      <c r="C28" s="38" t="s">
        <v>2822</v>
      </c>
      <c r="D28" s="38" t="s">
        <v>2827</v>
      </c>
      <c r="E28" s="121" t="s">
        <v>2754</v>
      </c>
      <c r="F28" s="121" t="s">
        <v>2762</v>
      </c>
      <c r="G28" s="121" t="s">
        <v>2828</v>
      </c>
      <c r="H28" s="122" t="n">
        <v>0</v>
      </c>
      <c r="I28" s="123"/>
    </row>
    <row r="29" customFormat="false" ht="15" hidden="false" customHeight="false" outlineLevel="0" collapsed="false">
      <c r="A29" s="124" t="s">
        <v>2829</v>
      </c>
      <c r="B29" s="41" t="s">
        <v>730</v>
      </c>
      <c r="C29" s="41" t="s">
        <v>2822</v>
      </c>
      <c r="D29" s="41" t="s">
        <v>2827</v>
      </c>
      <c r="E29" s="124" t="s">
        <v>2754</v>
      </c>
      <c r="F29" s="124" t="s">
        <v>2762</v>
      </c>
      <c r="G29" s="124" t="s">
        <v>2830</v>
      </c>
      <c r="H29" s="122" t="n">
        <v>0</v>
      </c>
      <c r="I29" s="125"/>
    </row>
    <row r="30" customFormat="false" ht="15" hidden="false" customHeight="false" outlineLevel="0" collapsed="false">
      <c r="A30" s="121" t="s">
        <v>2831</v>
      </c>
      <c r="B30" s="38" t="s">
        <v>669</v>
      </c>
      <c r="C30" s="38" t="s">
        <v>2822</v>
      </c>
      <c r="D30" s="38" t="s">
        <v>2827</v>
      </c>
      <c r="E30" s="121" t="s">
        <v>2754</v>
      </c>
      <c r="F30" s="121" t="s">
        <v>2762</v>
      </c>
      <c r="G30" s="121" t="s">
        <v>2777</v>
      </c>
      <c r="H30" s="122" t="n">
        <v>0</v>
      </c>
      <c r="I30" s="123" t="s">
        <v>2832</v>
      </c>
    </row>
    <row r="31" customFormat="false" ht="15" hidden="false" customHeight="false" outlineLevel="0" collapsed="false">
      <c r="A31" s="124" t="s">
        <v>2833</v>
      </c>
      <c r="B31" s="41" t="s">
        <v>460</v>
      </c>
      <c r="C31" s="41" t="s">
        <v>2822</v>
      </c>
      <c r="D31" s="41" t="s">
        <v>2827</v>
      </c>
      <c r="E31" s="124" t="s">
        <v>2754</v>
      </c>
      <c r="F31" s="124" t="s">
        <v>2762</v>
      </c>
      <c r="G31" s="124" t="s">
        <v>2777</v>
      </c>
      <c r="H31" s="122" t="n">
        <v>0</v>
      </c>
      <c r="I31" s="125" t="s">
        <v>2834</v>
      </c>
    </row>
    <row r="32" customFormat="false" ht="15" hidden="false" customHeight="false" outlineLevel="0" collapsed="false">
      <c r="A32" s="121" t="s">
        <v>2835</v>
      </c>
      <c r="B32" s="38" t="s">
        <v>548</v>
      </c>
      <c r="C32" s="38" t="s">
        <v>2822</v>
      </c>
      <c r="D32" s="38" t="s">
        <v>2827</v>
      </c>
      <c r="E32" s="121" t="s">
        <v>2754</v>
      </c>
      <c r="F32" s="121" t="s">
        <v>2762</v>
      </c>
      <c r="G32" s="121" t="s">
        <v>2777</v>
      </c>
      <c r="H32" s="122" t="n">
        <v>0</v>
      </c>
      <c r="I32" s="123"/>
    </row>
    <row r="33" customFormat="false" ht="15" hidden="false" customHeight="false" outlineLevel="0" collapsed="false">
      <c r="A33" s="124" t="s">
        <v>2836</v>
      </c>
      <c r="B33" s="41" t="s">
        <v>485</v>
      </c>
      <c r="C33" s="41" t="s">
        <v>2822</v>
      </c>
      <c r="D33" s="41" t="s">
        <v>2827</v>
      </c>
      <c r="E33" s="124" t="s">
        <v>2754</v>
      </c>
      <c r="F33" s="124" t="s">
        <v>2762</v>
      </c>
      <c r="G33" s="124" t="s">
        <v>2777</v>
      </c>
      <c r="H33" s="122" t="n">
        <v>0</v>
      </c>
      <c r="I33" s="125"/>
    </row>
    <row r="34" customFormat="false" ht="15" hidden="false" customHeight="false" outlineLevel="0" collapsed="false">
      <c r="A34" s="121" t="s">
        <v>2837</v>
      </c>
      <c r="B34" s="38" t="s">
        <v>455</v>
      </c>
      <c r="C34" s="38" t="s">
        <v>2822</v>
      </c>
      <c r="D34" s="38" t="s">
        <v>2827</v>
      </c>
      <c r="E34" s="121" t="s">
        <v>2754</v>
      </c>
      <c r="F34" s="121" t="s">
        <v>2762</v>
      </c>
      <c r="G34" s="121" t="s">
        <v>2777</v>
      </c>
      <c r="H34" s="122" t="n">
        <v>0</v>
      </c>
      <c r="I34" s="123"/>
    </row>
    <row r="35" customFormat="false" ht="15" hidden="false" customHeight="false" outlineLevel="0" collapsed="false">
      <c r="A35" s="124" t="s">
        <v>2838</v>
      </c>
      <c r="B35" s="41" t="s">
        <v>802</v>
      </c>
      <c r="C35" s="41" t="s">
        <v>2822</v>
      </c>
      <c r="D35" s="41" t="s">
        <v>2827</v>
      </c>
      <c r="E35" s="124" t="s">
        <v>2754</v>
      </c>
      <c r="F35" s="124" t="s">
        <v>2762</v>
      </c>
      <c r="G35" s="124" t="s">
        <v>2777</v>
      </c>
      <c r="H35" s="122" t="n">
        <v>0</v>
      </c>
      <c r="I35" s="125"/>
    </row>
    <row r="36" customFormat="false" ht="15" hidden="false" customHeight="false" outlineLevel="0" collapsed="false">
      <c r="A36" s="121" t="s">
        <v>2839</v>
      </c>
      <c r="B36" s="38" t="s">
        <v>2840</v>
      </c>
      <c r="C36" s="38" t="s">
        <v>2822</v>
      </c>
      <c r="D36" s="38" t="s">
        <v>2827</v>
      </c>
      <c r="E36" s="121" t="s">
        <v>2754</v>
      </c>
      <c r="F36" s="121" t="s">
        <v>2762</v>
      </c>
      <c r="G36" s="121" t="s">
        <v>2777</v>
      </c>
      <c r="H36" s="122" t="n">
        <v>0</v>
      </c>
      <c r="I36" s="123"/>
    </row>
    <row r="37" customFormat="false" ht="15" hidden="false" customHeight="false" outlineLevel="0" collapsed="false">
      <c r="A37" s="124" t="s">
        <v>2841</v>
      </c>
      <c r="B37" s="41" t="s">
        <v>467</v>
      </c>
      <c r="C37" s="41" t="s">
        <v>2822</v>
      </c>
      <c r="D37" s="41" t="s">
        <v>2827</v>
      </c>
      <c r="E37" s="124" t="s">
        <v>2754</v>
      </c>
      <c r="F37" s="124" t="s">
        <v>2762</v>
      </c>
      <c r="G37" s="124" t="s">
        <v>2777</v>
      </c>
      <c r="H37" s="122" t="n">
        <v>0</v>
      </c>
      <c r="I37" s="125"/>
    </row>
    <row r="38" customFormat="false" ht="15" hidden="false" customHeight="false" outlineLevel="0" collapsed="false">
      <c r="A38" s="121" t="s">
        <v>2842</v>
      </c>
      <c r="B38" s="38" t="s">
        <v>807</v>
      </c>
      <c r="C38" s="38" t="s">
        <v>2822</v>
      </c>
      <c r="D38" s="38" t="s">
        <v>2827</v>
      </c>
      <c r="E38" s="121" t="s">
        <v>2754</v>
      </c>
      <c r="F38" s="121" t="s">
        <v>2788</v>
      </c>
      <c r="G38" s="121"/>
      <c r="H38" s="122" t="n">
        <v>0</v>
      </c>
      <c r="I38" s="123" t="s">
        <v>2843</v>
      </c>
    </row>
    <row r="39" customFormat="false" ht="15" hidden="false" customHeight="false" outlineLevel="0" collapsed="false">
      <c r="A39" s="124" t="s">
        <v>2844</v>
      </c>
      <c r="B39" s="41" t="s">
        <v>557</v>
      </c>
      <c r="C39" s="41" t="s">
        <v>2813</v>
      </c>
      <c r="D39" s="41" t="s">
        <v>175</v>
      </c>
      <c r="E39" s="124" t="s">
        <v>2787</v>
      </c>
      <c r="F39" s="124" t="s">
        <v>2762</v>
      </c>
      <c r="G39" s="124" t="s">
        <v>2769</v>
      </c>
      <c r="H39" s="122" t="n">
        <v>0</v>
      </c>
      <c r="I39" s="125" t="s">
        <v>2845</v>
      </c>
    </row>
    <row r="40" customFormat="false" ht="15" hidden="false" customHeight="false" outlineLevel="0" collapsed="false">
      <c r="A40" s="121" t="s">
        <v>2846</v>
      </c>
      <c r="B40" s="38" t="s">
        <v>524</v>
      </c>
      <c r="C40" s="38" t="s">
        <v>2822</v>
      </c>
      <c r="D40" s="38" t="s">
        <v>2847</v>
      </c>
      <c r="E40" s="121" t="s">
        <v>2754</v>
      </c>
      <c r="F40" s="121" t="s">
        <v>2762</v>
      </c>
      <c r="G40" s="121" t="s">
        <v>2769</v>
      </c>
      <c r="H40" s="122" t="n">
        <v>0</v>
      </c>
      <c r="I40" s="123" t="s">
        <v>2848</v>
      </c>
    </row>
    <row r="41" customFormat="false" ht="15" hidden="false" customHeight="false" outlineLevel="0" collapsed="false">
      <c r="A41" s="5"/>
      <c r="B41" s="5"/>
      <c r="C41" s="5"/>
      <c r="D41" s="5"/>
      <c r="E41" s="5"/>
      <c r="F41" s="5"/>
      <c r="G41" s="5"/>
      <c r="H41" s="5"/>
      <c r="I41" s="5"/>
    </row>
    <row r="42" customFormat="false" ht="15" hidden="false" customHeight="false" outlineLevel="0" collapsed="false">
      <c r="A42" s="5"/>
      <c r="B42" s="5"/>
      <c r="C42" s="5"/>
      <c r="D42" s="5"/>
      <c r="E42" s="5"/>
      <c r="F42" s="5"/>
      <c r="G42" s="5"/>
      <c r="H42" s="5"/>
      <c r="I42" s="5"/>
    </row>
    <row r="43" customFormat="false" ht="15" hidden="false" customHeight="false" outlineLevel="0" collapsed="false">
      <c r="A43" s="5"/>
      <c r="B43" s="5"/>
      <c r="C43" s="5"/>
      <c r="D43" s="5"/>
      <c r="E43" s="5"/>
      <c r="F43" s="5"/>
      <c r="G43" s="5"/>
      <c r="H43" s="5"/>
      <c r="I43" s="5"/>
    </row>
    <row r="44" customFormat="false" ht="15" hidden="false" customHeight="false" outlineLevel="0" collapsed="false">
      <c r="A44" s="5"/>
      <c r="B44" s="5"/>
      <c r="C44" s="5"/>
      <c r="D44" s="5"/>
      <c r="E44" s="5"/>
      <c r="F44" s="5"/>
      <c r="G44" s="5"/>
      <c r="H44" s="5"/>
      <c r="I44" s="5"/>
    </row>
    <row r="45" customFormat="false" ht="15" hidden="false" customHeight="false" outlineLevel="0" collapsed="false">
      <c r="A45" s="5"/>
      <c r="B45" s="5"/>
      <c r="C45" s="5"/>
      <c r="D45" s="5"/>
      <c r="E45" s="5"/>
      <c r="F45" s="5"/>
      <c r="G45" s="5"/>
      <c r="H45" s="5"/>
      <c r="I45" s="5"/>
    </row>
    <row r="46" customFormat="false" ht="15" hidden="false" customHeight="false" outlineLevel="0" collapsed="false">
      <c r="A46" s="5"/>
      <c r="B46" s="5"/>
      <c r="C46" s="5"/>
      <c r="D46" s="5"/>
      <c r="E46" s="5"/>
      <c r="F46" s="5"/>
      <c r="G46" s="5"/>
      <c r="H46" s="5"/>
      <c r="I46" s="5"/>
    </row>
    <row r="47" customFormat="false" ht="15" hidden="false" customHeight="false" outlineLevel="0" collapsed="false">
      <c r="A47" s="5"/>
      <c r="B47" s="13" t="s">
        <v>2849</v>
      </c>
      <c r="C47" s="5"/>
      <c r="D47" s="5"/>
      <c r="E47" s="5"/>
      <c r="F47" s="5"/>
      <c r="G47" s="5"/>
      <c r="H47" s="85" t="n">
        <f aca="false">SUMIFS(H6:H45,E6:E45,"D")-SUMIFS(H6:H45,E6:E45,"K")</f>
        <v>0</v>
      </c>
      <c r="I47" s="5"/>
    </row>
    <row r="48" customFormat="false" ht="15" hidden="false" customHeight="false" outlineLevel="0" collapsed="false">
      <c r="A48" s="5"/>
      <c r="B48" s="5"/>
      <c r="C48" s="5"/>
      <c r="D48" s="5"/>
      <c r="E48" s="5"/>
      <c r="F48" s="5"/>
      <c r="G48" s="5"/>
      <c r="H48" s="5"/>
      <c r="I48" s="5"/>
    </row>
    <row r="49" customFormat="false" ht="15" hidden="false" customHeight="false" outlineLevel="0" collapsed="false">
      <c r="A49" s="5"/>
      <c r="B49" s="13" t="s">
        <v>2850</v>
      </c>
      <c r="C49" s="5"/>
      <c r="D49" s="5"/>
      <c r="E49" s="5"/>
      <c r="F49" s="5"/>
      <c r="G49" s="5"/>
      <c r="H49" s="5"/>
      <c r="I49" s="5"/>
    </row>
    <row r="50" customFormat="false" ht="15" hidden="false" customHeight="false" outlineLevel="0" collapsed="false">
      <c r="A50" s="5"/>
      <c r="B50" s="10" t="s">
        <v>765</v>
      </c>
      <c r="C50" s="5"/>
      <c r="D50" s="10" t="s">
        <v>767</v>
      </c>
      <c r="E50" s="5"/>
      <c r="F50" s="5"/>
      <c r="G50" s="5"/>
      <c r="H50" s="92" t="n">
        <v>4000000</v>
      </c>
      <c r="I50" s="5"/>
    </row>
    <row r="51" customFormat="false" ht="15" hidden="false" customHeight="false" outlineLevel="0" collapsed="false">
      <c r="A51" s="5"/>
      <c r="B51" s="10" t="s">
        <v>765</v>
      </c>
      <c r="C51" s="5"/>
      <c r="D51" s="10" t="s">
        <v>820</v>
      </c>
      <c r="E51" s="5"/>
      <c r="F51" s="5"/>
      <c r="G51" s="5"/>
      <c r="H51" s="92" t="n">
        <v>500000</v>
      </c>
      <c r="I51" s="5"/>
    </row>
    <row r="52" customFormat="false" ht="15" hidden="false" customHeight="false" outlineLevel="0" collapsed="false">
      <c r="A52" s="5"/>
      <c r="B52" s="10" t="s">
        <v>718</v>
      </c>
      <c r="C52" s="5"/>
      <c r="D52" s="10" t="s">
        <v>720</v>
      </c>
      <c r="E52" s="5"/>
      <c r="F52" s="5"/>
      <c r="G52" s="5"/>
      <c r="H52" s="92" t="n">
        <v>3000000</v>
      </c>
      <c r="I52" s="5"/>
    </row>
    <row r="53" customFormat="false" ht="15" hidden="false" customHeight="false" outlineLevel="0" collapsed="false">
      <c r="A53" s="5"/>
      <c r="B53" s="10" t="s">
        <v>456</v>
      </c>
      <c r="C53" s="5"/>
      <c r="D53" s="10" t="s">
        <v>631</v>
      </c>
      <c r="E53" s="5"/>
      <c r="F53" s="5"/>
      <c r="G53" s="5"/>
      <c r="H53" s="92" t="n">
        <v>1420000</v>
      </c>
      <c r="I53" s="5"/>
    </row>
    <row r="54" customFormat="false" ht="15" hidden="false" customHeight="false" outlineLevel="0" collapsed="false">
      <c r="A54" s="5"/>
      <c r="B54" s="10" t="s">
        <v>456</v>
      </c>
      <c r="C54" s="5"/>
      <c r="D54" s="10" t="s">
        <v>458</v>
      </c>
      <c r="E54" s="5"/>
      <c r="F54" s="5"/>
      <c r="G54" s="5"/>
      <c r="H54" s="92" t="n">
        <v>1000000</v>
      </c>
      <c r="I54" s="5"/>
    </row>
    <row r="55" customFormat="false" ht="15" hidden="false" customHeight="false" outlineLevel="0" collapsed="false">
      <c r="A55" s="5"/>
      <c r="B55" s="10" t="s">
        <v>2798</v>
      </c>
      <c r="C55" s="5"/>
      <c r="D55" s="10" t="s">
        <v>2851</v>
      </c>
      <c r="E55" s="5"/>
      <c r="F55" s="5"/>
      <c r="G55" s="5"/>
      <c r="H55" s="92" t="n">
        <v>3567600</v>
      </c>
      <c r="I55" s="5"/>
    </row>
    <row r="56" customFormat="false" ht="15" hidden="false" customHeight="false" outlineLevel="0" collapsed="false">
      <c r="A56" s="5"/>
      <c r="B56" s="5"/>
      <c r="C56" s="5"/>
      <c r="D56" s="5"/>
      <c r="E56" s="5"/>
      <c r="F56" s="5"/>
      <c r="G56" s="5"/>
      <c r="H56" s="5"/>
      <c r="I56" s="5"/>
    </row>
    <row r="57" customFormat="false" ht="15" hidden="false" customHeight="false" outlineLevel="0" collapsed="false">
      <c r="A57" s="5"/>
      <c r="B57" s="22" t="s">
        <v>2852</v>
      </c>
      <c r="C57" s="5"/>
      <c r="D57" s="5"/>
      <c r="E57" s="5"/>
      <c r="F57" s="5"/>
      <c r="G57" s="5"/>
      <c r="H57" s="5"/>
      <c r="I57" s="5"/>
    </row>
  </sheetData>
  <printOptions headings="false" gridLines="false" gridLinesSet="true" horizontalCentered="tru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887F"/>
    <pageSetUpPr fitToPage="false"/>
  </sheetPr>
  <dimension ref="A1:T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12"/>
    <col collapsed="false" customWidth="true" hidden="false" outlineLevel="0" max="4" min="4" style="0" width="7"/>
    <col collapsed="false" customWidth="true" hidden="false" outlineLevel="0" max="16" min="5" style="0" width="12"/>
    <col collapsed="false" customWidth="true" hidden="false" outlineLevel="0" max="17" min="17" style="0" width="14"/>
    <col collapsed="false" customWidth="true" hidden="false" outlineLevel="0" max="18" min="18" style="0" width="15"/>
    <col collapsed="false" customWidth="true" hidden="false" outlineLevel="0" max="19" min="19" style="0" width="14"/>
    <col collapsed="false" customWidth="true" hidden="false" outlineLevel="0" max="20" min="20" style="0" width="9"/>
  </cols>
  <sheetData>
    <row r="1" customFormat="false" ht="19.7" hidden="false" customHeight="false" outlineLevel="0" collapsed="false">
      <c r="A1" s="17" t="s">
        <v>2853</v>
      </c>
      <c r="B1" s="5"/>
      <c r="C1" s="5"/>
      <c r="D1" s="5"/>
      <c r="E1" s="5"/>
      <c r="F1" s="5"/>
      <c r="G1" s="5"/>
      <c r="H1" s="5"/>
      <c r="I1" s="5"/>
      <c r="J1" s="5"/>
      <c r="K1" s="5"/>
      <c r="L1" s="5"/>
      <c r="M1" s="5"/>
      <c r="N1" s="5"/>
      <c r="O1" s="5"/>
      <c r="P1" s="5"/>
      <c r="Q1" s="5"/>
      <c r="R1" s="5"/>
      <c r="S1" s="5"/>
      <c r="T1" s="5"/>
    </row>
    <row r="2" customFormat="false" ht="15" hidden="false" customHeight="false" outlineLevel="0" collapsed="false">
      <c r="A2" s="18" t="s">
        <v>2854</v>
      </c>
      <c r="B2" s="5"/>
      <c r="C2" s="5"/>
      <c r="D2" s="5"/>
      <c r="E2" s="5"/>
      <c r="F2" s="5"/>
      <c r="G2" s="5"/>
      <c r="H2" s="5"/>
      <c r="I2" s="5"/>
      <c r="J2" s="5"/>
      <c r="K2" s="5"/>
      <c r="L2" s="5"/>
      <c r="M2" s="5"/>
      <c r="N2" s="5"/>
      <c r="O2" s="5"/>
      <c r="P2" s="5"/>
      <c r="Q2" s="5"/>
      <c r="R2" s="5"/>
      <c r="S2" s="5"/>
      <c r="T2" s="5"/>
    </row>
    <row r="3" customFormat="false" ht="15" hidden="false" customHeight="false" outlineLevel="0" collapsed="false">
      <c r="A3" s="5"/>
      <c r="B3" s="5"/>
      <c r="C3" s="5"/>
      <c r="D3" s="5"/>
      <c r="E3" s="5"/>
      <c r="F3" s="5"/>
      <c r="G3" s="5"/>
      <c r="H3" s="5"/>
      <c r="I3" s="5"/>
      <c r="J3" s="5"/>
      <c r="K3" s="5"/>
      <c r="L3" s="5"/>
      <c r="M3" s="5"/>
      <c r="N3" s="5"/>
      <c r="O3" s="5"/>
      <c r="P3" s="5"/>
      <c r="Q3" s="5"/>
      <c r="R3" s="5"/>
      <c r="S3" s="5"/>
      <c r="T3" s="5"/>
    </row>
    <row r="4" customFormat="false" ht="15" hidden="false" customHeight="false" outlineLevel="0" collapsed="false">
      <c r="A4" s="5"/>
      <c r="B4" s="5"/>
      <c r="C4" s="5"/>
      <c r="D4" s="5"/>
      <c r="E4" s="114" t="n">
        <v>1</v>
      </c>
      <c r="F4" s="114" t="n">
        <v>2</v>
      </c>
      <c r="G4" s="114" t="n">
        <v>3</v>
      </c>
      <c r="H4" s="114" t="n">
        <v>4</v>
      </c>
      <c r="I4" s="114" t="n">
        <v>5</v>
      </c>
      <c r="J4" s="114" t="n">
        <v>6</v>
      </c>
      <c r="K4" s="114" t="n">
        <v>7</v>
      </c>
      <c r="L4" s="114" t="n">
        <v>8</v>
      </c>
      <c r="M4" s="114" t="n">
        <v>9</v>
      </c>
      <c r="N4" s="114" t="n">
        <v>10</v>
      </c>
      <c r="O4" s="114" t="n">
        <v>11</v>
      </c>
      <c r="P4" s="114" t="n">
        <v>12</v>
      </c>
      <c r="Q4" s="5"/>
      <c r="R4" s="5"/>
      <c r="S4" s="5"/>
      <c r="T4" s="5"/>
    </row>
    <row r="5" customFormat="false" ht="23.85" hidden="false" customHeight="false" outlineLevel="0" collapsed="false">
      <c r="A5" s="20" t="s">
        <v>2699</v>
      </c>
      <c r="B5" s="20" t="s">
        <v>2712</v>
      </c>
      <c r="C5" s="20" t="s">
        <v>2747</v>
      </c>
      <c r="D5" s="20" t="s">
        <v>2855</v>
      </c>
      <c r="E5" s="20" t="s">
        <v>113</v>
      </c>
      <c r="F5" s="20" t="s">
        <v>114</v>
      </c>
      <c r="G5" s="20" t="s">
        <v>115</v>
      </c>
      <c r="H5" s="20" t="s">
        <v>116</v>
      </c>
      <c r="I5" s="20" t="s">
        <v>79</v>
      </c>
      <c r="J5" s="20" t="s">
        <v>117</v>
      </c>
      <c r="K5" s="20" t="s">
        <v>118</v>
      </c>
      <c r="L5" s="20" t="s">
        <v>119</v>
      </c>
      <c r="M5" s="20" t="s">
        <v>120</v>
      </c>
      <c r="N5" s="20" t="s">
        <v>121</v>
      </c>
      <c r="O5" s="20" t="s">
        <v>122</v>
      </c>
      <c r="P5" s="20" t="s">
        <v>123</v>
      </c>
      <c r="Q5" s="20" t="s">
        <v>2856</v>
      </c>
      <c r="R5" s="20" t="s">
        <v>2857</v>
      </c>
      <c r="S5" s="20" t="s">
        <v>2702</v>
      </c>
      <c r="T5" s="20" t="s">
        <v>2858</v>
      </c>
    </row>
    <row r="6" customFormat="false" ht="15" hidden="false" customHeight="false" outlineLevel="0" collapsed="false">
      <c r="A6" s="93" t="str">
        <f aca="false">IF(AKUN!A6="","",AKUN!A6)</f>
        <v>1101</v>
      </c>
      <c r="B6" s="93" t="str">
        <f aca="false">IF(AKUN!B6="","",AKUN!B6)</f>
        <v>Kas Tunai</v>
      </c>
      <c r="C6" s="93" t="str">
        <f aca="false">IF(AKUN!C6="","",AKUN!C6)</f>
        <v>ASET</v>
      </c>
      <c r="D6" s="93" t="str">
        <f aca="false">IF(AKUN!E6="","",AKUN!E6)</f>
        <v>D</v>
      </c>
      <c r="E6" s="117" t="n">
        <f aca="false">IF($B6="",0,SUMIFS(J_NOM,J_DEB,$B6,J_BLN,E$4,J_THN,TAHUN)-SUMIFS(J_NOM,J_KRE,$B6,J_BLN,E$4,J_THN,TAHUN))</f>
        <v>-13710400</v>
      </c>
      <c r="F6" s="117" t="n">
        <f aca="false">IF($B6="",0,SUMIFS(J_NOM,J_DEB,$B6,J_BLN,F$4,J_THN,TAHUN)-SUMIFS(J_NOM,J_KRE,$B6,J_BLN,F$4,J_THN,TAHUN))</f>
        <v>-517200</v>
      </c>
      <c r="G6" s="117" t="n">
        <f aca="false">IF($B6="",0,SUMIFS(J_NOM,J_DEB,$B6,J_BLN,G$4,J_THN,TAHUN)-SUMIFS(J_NOM,J_KRE,$B6,J_BLN,G$4,J_THN,TAHUN))</f>
        <v>7237500</v>
      </c>
      <c r="H6" s="117" t="n">
        <f aca="false">IF($B6="",0,SUMIFS(J_NOM,J_DEB,$B6,J_BLN,H$4,J_THN,TAHUN)-SUMIFS(J_NOM,J_KRE,$B6,J_BLN,H$4,J_THN,TAHUN))</f>
        <v>-1650500</v>
      </c>
      <c r="I6" s="117" t="n">
        <f aca="false">IF($B6="",0,SUMIFS(J_NOM,J_DEB,$B6,J_BLN,I$4,J_THN,TAHUN)-SUMIFS(J_NOM,J_KRE,$B6,J_BLN,I$4,J_THN,TAHUN))</f>
        <v>9961300</v>
      </c>
      <c r="J6" s="117" t="n">
        <f aca="false">IF($B6="",0,SUMIFS(J_NOM,J_DEB,$B6,J_BLN,J$4,J_THN,TAHUN)-SUMIFS(J_NOM,J_KRE,$B6,J_BLN,J$4,J_THN,TAHUN))</f>
        <v>-3850000</v>
      </c>
      <c r="K6" s="117" t="n">
        <f aca="false">IF($B6="",0,SUMIFS(J_NOM,J_DEB,$B6,J_BLN,K$4,J_THN,TAHUN)-SUMIFS(J_NOM,J_KRE,$B6,J_BLN,K$4,J_THN,TAHUN))</f>
        <v>6715700</v>
      </c>
      <c r="L6" s="117" t="n">
        <f aca="false">IF($B6="",0,SUMIFS(J_NOM,J_DEB,$B6,J_BLN,L$4,J_THN,TAHUN)-SUMIFS(J_NOM,J_KRE,$B6,J_BLN,L$4,J_THN,TAHUN))</f>
        <v>13482000</v>
      </c>
      <c r="M6" s="117" t="n">
        <f aca="false">IF($B6="",0,SUMIFS(J_NOM,J_DEB,$B6,J_BLN,M$4,J_THN,TAHUN)-SUMIFS(J_NOM,J_KRE,$B6,J_BLN,M$4,J_THN,TAHUN))</f>
        <v>7639500</v>
      </c>
      <c r="N6" s="117" t="n">
        <f aca="false">IF($B6="",0,SUMIFS(J_NOM,J_DEB,$B6,J_BLN,N$4,J_THN,TAHUN)-SUMIFS(J_NOM,J_KRE,$B6,J_BLN,N$4,J_THN,TAHUN))</f>
        <v>-6638000</v>
      </c>
      <c r="O6" s="117" t="n">
        <f aca="false">IF($B6="",0,SUMIFS(J_NOM,J_DEB,$B6,J_BLN,O$4,J_THN,TAHUN)-SUMIFS(J_NOM,J_KRE,$B6,J_BLN,O$4,J_THN,TAHUN))</f>
        <v>0</v>
      </c>
      <c r="P6" s="117" t="n">
        <f aca="false">IF($B6="",0,SUMIFS(J_NOM,J_DEB,$B6,J_BLN,P$4,J_THN,TAHUN)-SUMIFS(J_NOM,J_KRE,$B6,J_BLN,P$4,J_THN,TAHUN))</f>
        <v>0</v>
      </c>
      <c r="Q6" s="117" t="n">
        <f aca="false">IF($B6="",0,IF(D6="D",N(AKUN!H6),-N(AKUN!H6)))</f>
        <v>26605500</v>
      </c>
      <c r="R6" s="117" t="n">
        <f aca="false">SUMIFS(E6:P6,$E$4:$P$4,"&lt;="&amp;BLN)</f>
        <v>25307900</v>
      </c>
      <c r="S6" s="117" t="n">
        <f aca="false">Q6+R6</f>
        <v>51913400</v>
      </c>
      <c r="T6" s="93" t="str">
        <f aca="false">IF(AKUN!F6="","",AKUN!F6)</f>
        <v>KAS</v>
      </c>
    </row>
    <row r="7" customFormat="false" ht="15" hidden="false" customHeight="false" outlineLevel="0" collapsed="false">
      <c r="A7" s="93" t="str">
        <f aca="false">IF(AKUN!A7="","",AKUN!A7)</f>
        <v>1102</v>
      </c>
      <c r="B7" s="93" t="str">
        <f aca="false">IF(AKUN!B7="","",AKUN!B7)</f>
        <v>Kas Bank</v>
      </c>
      <c r="C7" s="93" t="str">
        <f aca="false">IF(AKUN!C7="","",AKUN!C7)</f>
        <v>ASET</v>
      </c>
      <c r="D7" s="93" t="str">
        <f aca="false">IF(AKUN!E7="","",AKUN!E7)</f>
        <v>D</v>
      </c>
      <c r="E7" s="117" t="n">
        <f aca="false">IF($B7="",0,SUMIFS(J_NOM,J_DEB,$B7,J_BLN,E$4,J_THN,TAHUN)-SUMIFS(J_NOM,J_KRE,$B7,J_BLN,E$4,J_THN,TAHUN))</f>
        <v>-47542846</v>
      </c>
      <c r="F7" s="117" t="n">
        <f aca="false">IF($B7="",0,SUMIFS(J_NOM,J_DEB,$B7,J_BLN,F$4,J_THN,TAHUN)-SUMIFS(J_NOM,J_KRE,$B7,J_BLN,F$4,J_THN,TAHUN))</f>
        <v>-5194506</v>
      </c>
      <c r="G7" s="117" t="n">
        <f aca="false">IF($B7="",0,SUMIFS(J_NOM,J_DEB,$B7,J_BLN,G$4,J_THN,TAHUN)-SUMIFS(J_NOM,J_KRE,$B7,J_BLN,G$4,J_THN,TAHUN))</f>
        <v>-7636347</v>
      </c>
      <c r="H7" s="117" t="n">
        <f aca="false">IF($B7="",0,SUMIFS(J_NOM,J_DEB,$B7,J_BLN,H$4,J_THN,TAHUN)-SUMIFS(J_NOM,J_KRE,$B7,J_BLN,H$4,J_THN,TAHUN))</f>
        <v>-16315430</v>
      </c>
      <c r="I7" s="117" t="n">
        <f aca="false">IF($B7="",0,SUMIFS(J_NOM,J_DEB,$B7,J_BLN,I$4,J_THN,TAHUN)-SUMIFS(J_NOM,J_KRE,$B7,J_BLN,I$4,J_THN,TAHUN))</f>
        <v>8542166</v>
      </c>
      <c r="J7" s="117" t="n">
        <f aca="false">IF($B7="",0,SUMIFS(J_NOM,J_DEB,$B7,J_BLN,J$4,J_THN,TAHUN)-SUMIFS(J_NOM,J_KRE,$B7,J_BLN,J$4,J_THN,TAHUN))</f>
        <v>8650510</v>
      </c>
      <c r="K7" s="117" t="n">
        <f aca="false">IF($B7="",0,SUMIFS(J_NOM,J_DEB,$B7,J_BLN,K$4,J_THN,TAHUN)-SUMIFS(J_NOM,J_KRE,$B7,J_BLN,K$4,J_THN,TAHUN))</f>
        <v>-10096639</v>
      </c>
      <c r="L7" s="117" t="n">
        <f aca="false">IF($B7="",0,SUMIFS(J_NOM,J_DEB,$B7,J_BLN,L$4,J_THN,TAHUN)-SUMIFS(J_NOM,J_KRE,$B7,J_BLN,L$4,J_THN,TAHUN))</f>
        <v>1890920</v>
      </c>
      <c r="M7" s="117" t="n">
        <f aca="false">IF($B7="",0,SUMIFS(J_NOM,J_DEB,$B7,J_BLN,M$4,J_THN,TAHUN)-SUMIFS(J_NOM,J_KRE,$B7,J_BLN,M$4,J_THN,TAHUN))</f>
        <v>-17020405</v>
      </c>
      <c r="N7" s="117" t="n">
        <f aca="false">IF($B7="",0,SUMIFS(J_NOM,J_DEB,$B7,J_BLN,N$4,J_THN,TAHUN)-SUMIFS(J_NOM,J_KRE,$B7,J_BLN,N$4,J_THN,TAHUN))</f>
        <v>17173119</v>
      </c>
      <c r="O7" s="117" t="n">
        <f aca="false">IF($B7="",0,SUMIFS(J_NOM,J_DEB,$B7,J_BLN,O$4,J_THN,TAHUN)-SUMIFS(J_NOM,J_KRE,$B7,J_BLN,O$4,J_THN,TAHUN))</f>
        <v>0</v>
      </c>
      <c r="P7" s="117" t="n">
        <f aca="false">IF($B7="",0,SUMIFS(J_NOM,J_DEB,$B7,J_BLN,P$4,J_THN,TAHUN)-SUMIFS(J_NOM,J_KRE,$B7,J_BLN,P$4,J_THN,TAHUN))</f>
        <v>0</v>
      </c>
      <c r="Q7" s="117" t="n">
        <f aca="false">IF($B7="",0,IF(D7="D",N(AKUN!H7),-N(AKUN!H7)))</f>
        <v>81982785</v>
      </c>
      <c r="R7" s="117" t="n">
        <f aca="false">SUMIFS(E7:P7,$E$4:$P$4,"&lt;="&amp;BLN)</f>
        <v>-84722577</v>
      </c>
      <c r="S7" s="117" t="n">
        <f aca="false">Q7+R7</f>
        <v>-2739792</v>
      </c>
      <c r="T7" s="93" t="str">
        <f aca="false">IF(AKUN!F7="","",AKUN!F7)</f>
        <v>KAS</v>
      </c>
    </row>
    <row r="8" customFormat="false" ht="15" hidden="false" customHeight="false" outlineLevel="0" collapsed="false">
      <c r="A8" s="93" t="str">
        <f aca="false">IF(AKUN!A8="","",AKUN!A8)</f>
        <v>1103</v>
      </c>
      <c r="B8" s="93" t="str">
        <f aca="false">IF(AKUN!B8="","",AKUN!B8)</f>
        <v>Kas Warung</v>
      </c>
      <c r="C8" s="93" t="str">
        <f aca="false">IF(AKUN!C8="","",AKUN!C8)</f>
        <v>ASET</v>
      </c>
      <c r="D8" s="93" t="str">
        <f aca="false">IF(AKUN!E8="","",AKUN!E8)</f>
        <v>D</v>
      </c>
      <c r="E8" s="117" t="n">
        <f aca="false">IF($B8="",0,SUMIFS(J_NOM,J_DEB,$B8,J_BLN,E$4,J_THN,TAHUN)-SUMIFS(J_NOM,J_KRE,$B8,J_BLN,E$4,J_THN,TAHUN))</f>
        <v>0</v>
      </c>
      <c r="F8" s="117" t="n">
        <f aca="false">IF($B8="",0,SUMIFS(J_NOM,J_DEB,$B8,J_BLN,F$4,J_THN,TAHUN)-SUMIFS(J_NOM,J_KRE,$B8,J_BLN,F$4,J_THN,TAHUN))</f>
        <v>500000</v>
      </c>
      <c r="G8" s="117" t="n">
        <f aca="false">IF($B8="",0,SUMIFS(J_NOM,J_DEB,$B8,J_BLN,G$4,J_THN,TAHUN)-SUMIFS(J_NOM,J_KRE,$B8,J_BLN,G$4,J_THN,TAHUN))</f>
        <v>-1000000</v>
      </c>
      <c r="H8" s="117" t="n">
        <f aca="false">IF($B8="",0,SUMIFS(J_NOM,J_DEB,$B8,J_BLN,H$4,J_THN,TAHUN)-SUMIFS(J_NOM,J_KRE,$B8,J_BLN,H$4,J_THN,TAHUN))</f>
        <v>1600000</v>
      </c>
      <c r="I8" s="117" t="n">
        <f aca="false">IF($B8="",0,SUMIFS(J_NOM,J_DEB,$B8,J_BLN,I$4,J_THN,TAHUN)-SUMIFS(J_NOM,J_KRE,$B8,J_BLN,I$4,J_THN,TAHUN))</f>
        <v>-600000</v>
      </c>
      <c r="J8" s="117" t="n">
        <f aca="false">IF($B8="",0,SUMIFS(J_NOM,J_DEB,$B8,J_BLN,J$4,J_THN,TAHUN)-SUMIFS(J_NOM,J_KRE,$B8,J_BLN,J$4,J_THN,TAHUN))</f>
        <v>500000</v>
      </c>
      <c r="K8" s="117" t="n">
        <f aca="false">IF($B8="",0,SUMIFS(J_NOM,J_DEB,$B8,J_BLN,K$4,J_THN,TAHUN)-SUMIFS(J_NOM,J_KRE,$B8,J_BLN,K$4,J_THN,TAHUN))</f>
        <v>900300</v>
      </c>
      <c r="L8" s="117" t="n">
        <f aca="false">IF($B8="",0,SUMIFS(J_NOM,J_DEB,$B8,J_BLN,L$4,J_THN,TAHUN)-SUMIFS(J_NOM,J_KRE,$B8,J_BLN,L$4,J_THN,TAHUN))</f>
        <v>4599700</v>
      </c>
      <c r="M8" s="117" t="n">
        <f aca="false">IF($B8="",0,SUMIFS(J_NOM,J_DEB,$B8,J_BLN,M$4,J_THN,TAHUN)-SUMIFS(J_NOM,J_KRE,$B8,J_BLN,M$4,J_THN,TAHUN))</f>
        <v>-5392000</v>
      </c>
      <c r="N8" s="117" t="n">
        <f aca="false">IF($B8="",0,SUMIFS(J_NOM,J_DEB,$B8,J_BLN,N$4,J_THN,TAHUN)-SUMIFS(J_NOM,J_KRE,$B8,J_BLN,N$4,J_THN,TAHUN))</f>
        <v>-8000</v>
      </c>
      <c r="O8" s="117" t="n">
        <f aca="false">IF($B8="",0,SUMIFS(J_NOM,J_DEB,$B8,J_BLN,O$4,J_THN,TAHUN)-SUMIFS(J_NOM,J_KRE,$B8,J_BLN,O$4,J_THN,TAHUN))</f>
        <v>0</v>
      </c>
      <c r="P8" s="117" t="n">
        <f aca="false">IF($B8="",0,SUMIFS(J_NOM,J_DEB,$B8,J_BLN,P$4,J_THN,TAHUN)-SUMIFS(J_NOM,J_KRE,$B8,J_BLN,P$4,J_THN,TAHUN))</f>
        <v>0</v>
      </c>
      <c r="Q8" s="117" t="n">
        <f aca="false">IF($B8="",0,IF(D8="D",N(AKUN!H8),-N(AKUN!H8)))</f>
        <v>3000000</v>
      </c>
      <c r="R8" s="117" t="n">
        <f aca="false">SUMIFS(E8:P8,$E$4:$P$4,"&lt;="&amp;BLN)</f>
        <v>1108000</v>
      </c>
      <c r="S8" s="117" t="n">
        <f aca="false">Q8+R8</f>
        <v>4108000</v>
      </c>
      <c r="T8" s="93" t="str">
        <f aca="false">IF(AKUN!F8="","",AKUN!F8)</f>
        <v>KAS</v>
      </c>
    </row>
    <row r="9" customFormat="false" ht="15" hidden="false" customHeight="false" outlineLevel="0" collapsed="false">
      <c r="A9" s="93" t="str">
        <f aca="false">IF(AKUN!A9="","",AKUN!A9)</f>
        <v>1201</v>
      </c>
      <c r="B9" s="93" t="str">
        <f aca="false">IF(AKUN!B9="","",AKUN!B9)</f>
        <v>Piutang Usaha Cafe</v>
      </c>
      <c r="C9" s="93" t="str">
        <f aca="false">IF(AKUN!C9="","",AKUN!C9)</f>
        <v>ASET</v>
      </c>
      <c r="D9" s="93" t="str">
        <f aca="false">IF(AKUN!E9="","",AKUN!E9)</f>
        <v>D</v>
      </c>
      <c r="E9" s="117" t="n">
        <f aca="false">IF($B9="",0,SUMIFS(J_NOM,J_DEB,$B9,J_BLN,E$4,J_THN,TAHUN)-SUMIFS(J_NOM,J_KRE,$B9,J_BLN,E$4,J_THN,TAHUN))</f>
        <v>-1000000</v>
      </c>
      <c r="F9" s="117" t="n">
        <f aca="false">IF($B9="",0,SUMIFS(J_NOM,J_DEB,$B9,J_BLN,F$4,J_THN,TAHUN)-SUMIFS(J_NOM,J_KRE,$B9,J_BLN,F$4,J_THN,TAHUN))</f>
        <v>-1500000</v>
      </c>
      <c r="G9" s="117" t="n">
        <f aca="false">IF($B9="",0,SUMIFS(J_NOM,J_DEB,$B9,J_BLN,G$4,J_THN,TAHUN)-SUMIFS(J_NOM,J_KRE,$B9,J_BLN,G$4,J_THN,TAHUN))</f>
        <v>-1000000</v>
      </c>
      <c r="H9" s="117" t="n">
        <f aca="false">IF($B9="",0,SUMIFS(J_NOM,J_DEB,$B9,J_BLN,H$4,J_THN,TAHUN)-SUMIFS(J_NOM,J_KRE,$B9,J_BLN,H$4,J_THN,TAHUN))</f>
        <v>-1000000</v>
      </c>
      <c r="I9" s="117" t="n">
        <f aca="false">IF($B9="",0,SUMIFS(J_NOM,J_DEB,$B9,J_BLN,I$4,J_THN,TAHUN)-SUMIFS(J_NOM,J_KRE,$B9,J_BLN,I$4,J_THN,TAHUN))</f>
        <v>0</v>
      </c>
      <c r="J9" s="117" t="n">
        <f aca="false">IF($B9="",0,SUMIFS(J_NOM,J_DEB,$B9,J_BLN,J$4,J_THN,TAHUN)-SUMIFS(J_NOM,J_KRE,$B9,J_BLN,J$4,J_THN,TAHUN))</f>
        <v>0</v>
      </c>
      <c r="K9" s="117" t="n">
        <f aca="false">IF($B9="",0,SUMIFS(J_NOM,J_DEB,$B9,J_BLN,K$4,J_THN,TAHUN)-SUMIFS(J_NOM,J_KRE,$B9,J_BLN,K$4,J_THN,TAHUN))</f>
        <v>0</v>
      </c>
      <c r="L9" s="117" t="n">
        <f aca="false">IF($B9="",0,SUMIFS(J_NOM,J_DEB,$B9,J_BLN,L$4,J_THN,TAHUN)-SUMIFS(J_NOM,J_KRE,$B9,J_BLN,L$4,J_THN,TAHUN))</f>
        <v>0</v>
      </c>
      <c r="M9" s="117" t="n">
        <f aca="false">IF($B9="",0,SUMIFS(J_NOM,J_DEB,$B9,J_BLN,M$4,J_THN,TAHUN)-SUMIFS(J_NOM,J_KRE,$B9,J_BLN,M$4,J_THN,TAHUN))</f>
        <v>0</v>
      </c>
      <c r="N9" s="117" t="n">
        <f aca="false">IF($B9="",0,SUMIFS(J_NOM,J_DEB,$B9,J_BLN,N$4,J_THN,TAHUN)-SUMIFS(J_NOM,J_KRE,$B9,J_BLN,N$4,J_THN,TAHUN))</f>
        <v>2096700</v>
      </c>
      <c r="O9" s="117" t="n">
        <f aca="false">IF($B9="",0,SUMIFS(J_NOM,J_DEB,$B9,J_BLN,O$4,J_THN,TAHUN)-SUMIFS(J_NOM,J_KRE,$B9,J_BLN,O$4,J_THN,TAHUN))</f>
        <v>0</v>
      </c>
      <c r="P9" s="117" t="n">
        <f aca="false">IF($B9="",0,SUMIFS(J_NOM,J_DEB,$B9,J_BLN,P$4,J_THN,TAHUN)-SUMIFS(J_NOM,J_KRE,$B9,J_BLN,P$4,J_THN,TAHUN))</f>
        <v>0</v>
      </c>
      <c r="Q9" s="117" t="n">
        <f aca="false">IF($B9="",0,IF(D9="D",N(AKUN!H9),-N(AKUN!H9)))</f>
        <v>4500000</v>
      </c>
      <c r="R9" s="117" t="n">
        <f aca="false">SUMIFS(E9:P9,$E$4:$P$4,"&lt;="&amp;BLN)</f>
        <v>-4500000</v>
      </c>
      <c r="S9" s="117" t="n">
        <f aca="false">Q9+R9</f>
        <v>0</v>
      </c>
      <c r="T9" s="93" t="str">
        <f aca="false">IF(AKUN!F9="","",AKUN!F9)</f>
        <v>OPERASI</v>
      </c>
    </row>
    <row r="10" customFormat="false" ht="15" hidden="false" customHeight="false" outlineLevel="0" collapsed="false">
      <c r="A10" s="93" t="str">
        <f aca="false">IF(AKUN!A10="","",AKUN!A10)</f>
        <v>1202</v>
      </c>
      <c r="B10" s="93" t="str">
        <f aca="false">IF(AKUN!B10="","",AKUN!B10)</f>
        <v>Piutang Usaha non Cafe</v>
      </c>
      <c r="C10" s="93" t="str">
        <f aca="false">IF(AKUN!C10="","",AKUN!C10)</f>
        <v>ASET</v>
      </c>
      <c r="D10" s="93" t="str">
        <f aca="false">IF(AKUN!E10="","",AKUN!E10)</f>
        <v>D</v>
      </c>
      <c r="E10" s="117" t="n">
        <f aca="false">IF($B10="",0,SUMIFS(J_NOM,J_DEB,$B10,J_BLN,E$4,J_THN,TAHUN)-SUMIFS(J_NOM,J_KRE,$B10,J_BLN,E$4,J_THN,TAHUN))</f>
        <v>0</v>
      </c>
      <c r="F10" s="117" t="n">
        <f aca="false">IF($B10="",0,SUMIFS(J_NOM,J_DEB,$B10,J_BLN,F$4,J_THN,TAHUN)-SUMIFS(J_NOM,J_KRE,$B10,J_BLN,F$4,J_THN,TAHUN))</f>
        <v>0</v>
      </c>
      <c r="G10" s="117" t="n">
        <f aca="false">IF($B10="",0,SUMIFS(J_NOM,J_DEB,$B10,J_BLN,G$4,J_THN,TAHUN)-SUMIFS(J_NOM,J_KRE,$B10,J_BLN,G$4,J_THN,TAHUN))</f>
        <v>0</v>
      </c>
      <c r="H10" s="117" t="n">
        <f aca="false">IF($B10="",0,SUMIFS(J_NOM,J_DEB,$B10,J_BLN,H$4,J_THN,TAHUN)-SUMIFS(J_NOM,J_KRE,$B10,J_BLN,H$4,J_THN,TAHUN))</f>
        <v>0</v>
      </c>
      <c r="I10" s="117" t="n">
        <f aca="false">IF($B10="",0,SUMIFS(J_NOM,J_DEB,$B10,J_BLN,I$4,J_THN,TAHUN)-SUMIFS(J_NOM,J_KRE,$B10,J_BLN,I$4,J_THN,TAHUN))</f>
        <v>0</v>
      </c>
      <c r="J10" s="117" t="n">
        <f aca="false">IF($B10="",0,SUMIFS(J_NOM,J_DEB,$B10,J_BLN,J$4,J_THN,TAHUN)-SUMIFS(J_NOM,J_KRE,$B10,J_BLN,J$4,J_THN,TAHUN))</f>
        <v>0</v>
      </c>
      <c r="K10" s="117" t="n">
        <f aca="false">IF($B10="",0,SUMIFS(J_NOM,J_DEB,$B10,J_BLN,K$4,J_THN,TAHUN)-SUMIFS(J_NOM,J_KRE,$B10,J_BLN,K$4,J_THN,TAHUN))</f>
        <v>0</v>
      </c>
      <c r="L10" s="117" t="n">
        <f aca="false">IF($B10="",0,SUMIFS(J_NOM,J_DEB,$B10,J_BLN,L$4,J_THN,TAHUN)-SUMIFS(J_NOM,J_KRE,$B10,J_BLN,L$4,J_THN,TAHUN))</f>
        <v>0</v>
      </c>
      <c r="M10" s="117" t="n">
        <f aca="false">IF($B10="",0,SUMIFS(J_NOM,J_DEB,$B10,J_BLN,M$4,J_THN,TAHUN)-SUMIFS(J_NOM,J_KRE,$B10,J_BLN,M$4,J_THN,TAHUN))</f>
        <v>0</v>
      </c>
      <c r="N10" s="117" t="n">
        <f aca="false">IF($B10="",0,SUMIFS(J_NOM,J_DEB,$B10,J_BLN,N$4,J_THN,TAHUN)-SUMIFS(J_NOM,J_KRE,$B10,J_BLN,N$4,J_THN,TAHUN))</f>
        <v>0</v>
      </c>
      <c r="O10" s="117" t="n">
        <f aca="false">IF($B10="",0,SUMIFS(J_NOM,J_DEB,$B10,J_BLN,O$4,J_THN,TAHUN)-SUMIFS(J_NOM,J_KRE,$B10,J_BLN,O$4,J_THN,TAHUN))</f>
        <v>0</v>
      </c>
      <c r="P10" s="117" t="n">
        <f aca="false">IF($B10="",0,SUMIFS(J_NOM,J_DEB,$B10,J_BLN,P$4,J_THN,TAHUN)-SUMIFS(J_NOM,J_KRE,$B10,J_BLN,P$4,J_THN,TAHUN))</f>
        <v>0</v>
      </c>
      <c r="Q10" s="117" t="n">
        <f aca="false">IF($B10="",0,IF(D10="D",N(AKUN!H10),-N(AKUN!H10)))</f>
        <v>0</v>
      </c>
      <c r="R10" s="117" t="n">
        <f aca="false">SUMIFS(E10:P10,$E$4:$P$4,"&lt;="&amp;BLN)</f>
        <v>0</v>
      </c>
      <c r="S10" s="117" t="n">
        <f aca="false">Q10+R10</f>
        <v>0</v>
      </c>
      <c r="T10" s="93" t="str">
        <f aca="false">IF(AKUN!F10="","",AKUN!F10)</f>
        <v>OPERASI</v>
      </c>
    </row>
    <row r="11" customFormat="false" ht="15" hidden="false" customHeight="false" outlineLevel="0" collapsed="false">
      <c r="A11" s="93" t="str">
        <f aca="false">IF(AKUN!A11="","",AKUN!A11)</f>
        <v>1203</v>
      </c>
      <c r="B11" s="93" t="str">
        <f aca="false">IF(AKUN!B11="","",AKUN!B11)</f>
        <v>Piutang Lainnya</v>
      </c>
      <c r="C11" s="93" t="str">
        <f aca="false">IF(AKUN!C11="","",AKUN!C11)</f>
        <v>ASET</v>
      </c>
      <c r="D11" s="93" t="str">
        <f aca="false">IF(AKUN!E11="","",AKUN!E11)</f>
        <v>D</v>
      </c>
      <c r="E11" s="117" t="n">
        <f aca="false">IF($B11="",0,SUMIFS(J_NOM,J_DEB,$B11,J_BLN,E$4,J_THN,TAHUN)-SUMIFS(J_NOM,J_KRE,$B11,J_BLN,E$4,J_THN,TAHUN))</f>
        <v>4000000</v>
      </c>
      <c r="F11" s="117" t="n">
        <f aca="false">IF($B11="",0,SUMIFS(J_NOM,J_DEB,$B11,J_BLN,F$4,J_THN,TAHUN)-SUMIFS(J_NOM,J_KRE,$B11,J_BLN,F$4,J_THN,TAHUN))</f>
        <v>0</v>
      </c>
      <c r="G11" s="117" t="n">
        <f aca="false">IF($B11="",0,SUMIFS(J_NOM,J_DEB,$B11,J_BLN,G$4,J_THN,TAHUN)-SUMIFS(J_NOM,J_KRE,$B11,J_BLN,G$4,J_THN,TAHUN))</f>
        <v>0</v>
      </c>
      <c r="H11" s="117" t="n">
        <f aca="false">IF($B11="",0,SUMIFS(J_NOM,J_DEB,$B11,J_BLN,H$4,J_THN,TAHUN)-SUMIFS(J_NOM,J_KRE,$B11,J_BLN,H$4,J_THN,TAHUN))</f>
        <v>1120000</v>
      </c>
      <c r="I11" s="117" t="n">
        <f aca="false">IF($B11="",0,SUMIFS(J_NOM,J_DEB,$B11,J_BLN,I$4,J_THN,TAHUN)-SUMIFS(J_NOM,J_KRE,$B11,J_BLN,I$4,J_THN,TAHUN))</f>
        <v>1346667</v>
      </c>
      <c r="J11" s="117" t="n">
        <f aca="false">IF($B11="",0,SUMIFS(J_NOM,J_DEB,$B11,J_BLN,J$4,J_THN,TAHUN)-SUMIFS(J_NOM,J_KRE,$B11,J_BLN,J$4,J_THN,TAHUN))</f>
        <v>-333333</v>
      </c>
      <c r="K11" s="117" t="n">
        <f aca="false">IF($B11="",0,SUMIFS(J_NOM,J_DEB,$B11,J_BLN,K$4,J_THN,TAHUN)-SUMIFS(J_NOM,J_KRE,$B11,J_BLN,K$4,J_THN,TAHUN))</f>
        <v>1193667</v>
      </c>
      <c r="L11" s="117" t="n">
        <f aca="false">IF($B11="",0,SUMIFS(J_NOM,J_DEB,$B11,J_BLN,L$4,J_THN,TAHUN)-SUMIFS(J_NOM,J_KRE,$B11,J_BLN,L$4,J_THN,TAHUN))</f>
        <v>-180633</v>
      </c>
      <c r="M11" s="117" t="n">
        <f aca="false">IF($B11="",0,SUMIFS(J_NOM,J_DEB,$B11,J_BLN,M$4,J_THN,TAHUN)-SUMIFS(J_NOM,J_KRE,$B11,J_BLN,M$4,J_THN,TAHUN))</f>
        <v>-2013033</v>
      </c>
      <c r="N11" s="117" t="n">
        <f aca="false">IF($B11="",0,SUMIFS(J_NOM,J_DEB,$B11,J_BLN,N$4,J_THN,TAHUN)-SUMIFS(J_NOM,J_KRE,$B11,J_BLN,N$4,J_THN,TAHUN))</f>
        <v>133500</v>
      </c>
      <c r="O11" s="117" t="n">
        <f aca="false">IF($B11="",0,SUMIFS(J_NOM,J_DEB,$B11,J_BLN,O$4,J_THN,TAHUN)-SUMIFS(J_NOM,J_KRE,$B11,J_BLN,O$4,J_THN,TAHUN))</f>
        <v>0</v>
      </c>
      <c r="P11" s="117" t="n">
        <f aca="false">IF($B11="",0,SUMIFS(J_NOM,J_DEB,$B11,J_BLN,P$4,J_THN,TAHUN)-SUMIFS(J_NOM,J_KRE,$B11,J_BLN,P$4,J_THN,TAHUN))</f>
        <v>0</v>
      </c>
      <c r="Q11" s="117" t="n">
        <f aca="false">IF($B11="",0,IF(D11="D",N(AKUN!H11),-N(AKUN!H11)))</f>
        <v>3000000</v>
      </c>
      <c r="R11" s="117" t="n">
        <f aca="false">SUMIFS(E11:P11,$E$4:$P$4,"&lt;="&amp;BLN)</f>
        <v>5133335</v>
      </c>
      <c r="S11" s="117" t="n">
        <f aca="false">Q11+R11</f>
        <v>8133335</v>
      </c>
      <c r="T11" s="93" t="str">
        <f aca="false">IF(AKUN!F11="","",AKUN!F11)</f>
        <v>OPERASI</v>
      </c>
    </row>
    <row r="12" customFormat="false" ht="15" hidden="false" customHeight="false" outlineLevel="0" collapsed="false">
      <c r="A12" s="93" t="str">
        <f aca="false">IF(AKUN!A12="","",AKUN!A12)</f>
        <v>1301</v>
      </c>
      <c r="B12" s="93" t="str">
        <f aca="false">IF(AKUN!B12="","",AKUN!B12)</f>
        <v>Inventori</v>
      </c>
      <c r="C12" s="93" t="str">
        <f aca="false">IF(AKUN!C12="","",AKUN!C12)</f>
        <v>ASET</v>
      </c>
      <c r="D12" s="93" t="str">
        <f aca="false">IF(AKUN!E12="","",AKUN!E12)</f>
        <v>D</v>
      </c>
      <c r="E12" s="117" t="n">
        <f aca="false">IF($B12="",0,SUMIFS(J_NOM,J_DEB,$B12,J_BLN,E$4,J_THN,TAHUN)-SUMIFS(J_NOM,J_KRE,$B12,J_BLN,E$4,J_THN,TAHUN))</f>
        <v>0</v>
      </c>
      <c r="F12" s="117" t="n">
        <f aca="false">IF($B12="",0,SUMIFS(J_NOM,J_DEB,$B12,J_BLN,F$4,J_THN,TAHUN)-SUMIFS(J_NOM,J_KRE,$B12,J_BLN,F$4,J_THN,TAHUN))</f>
        <v>0</v>
      </c>
      <c r="G12" s="117" t="n">
        <f aca="false">IF($B12="",0,SUMIFS(J_NOM,J_DEB,$B12,J_BLN,G$4,J_THN,TAHUN)-SUMIFS(J_NOM,J_KRE,$B12,J_BLN,G$4,J_THN,TAHUN))</f>
        <v>0</v>
      </c>
      <c r="H12" s="117" t="n">
        <f aca="false">IF($B12="",0,SUMIFS(J_NOM,J_DEB,$B12,J_BLN,H$4,J_THN,TAHUN)-SUMIFS(J_NOM,J_KRE,$B12,J_BLN,H$4,J_THN,TAHUN))</f>
        <v>0</v>
      </c>
      <c r="I12" s="117" t="n">
        <f aca="false">IF($B12="",0,SUMIFS(J_NOM,J_DEB,$B12,J_BLN,I$4,J_THN,TAHUN)-SUMIFS(J_NOM,J_KRE,$B12,J_BLN,I$4,J_THN,TAHUN))</f>
        <v>0</v>
      </c>
      <c r="J12" s="117" t="n">
        <f aca="false">IF($B12="",0,SUMIFS(J_NOM,J_DEB,$B12,J_BLN,J$4,J_THN,TAHUN)-SUMIFS(J_NOM,J_KRE,$B12,J_BLN,J$4,J_THN,TAHUN))</f>
        <v>0</v>
      </c>
      <c r="K12" s="117" t="n">
        <f aca="false">IF($B12="",0,SUMIFS(J_NOM,J_DEB,$B12,J_BLN,K$4,J_THN,TAHUN)-SUMIFS(J_NOM,J_KRE,$B12,J_BLN,K$4,J_THN,TAHUN))</f>
        <v>0</v>
      </c>
      <c r="L12" s="117" t="n">
        <f aca="false">IF($B12="",0,SUMIFS(J_NOM,J_DEB,$B12,J_BLN,L$4,J_THN,TAHUN)-SUMIFS(J_NOM,J_KRE,$B12,J_BLN,L$4,J_THN,TAHUN))</f>
        <v>0</v>
      </c>
      <c r="M12" s="117" t="n">
        <f aca="false">IF($B12="",0,SUMIFS(J_NOM,J_DEB,$B12,J_BLN,M$4,J_THN,TAHUN)-SUMIFS(J_NOM,J_KRE,$B12,J_BLN,M$4,J_THN,TAHUN))</f>
        <v>0</v>
      </c>
      <c r="N12" s="117" t="n">
        <f aca="false">IF($B12="",0,SUMIFS(J_NOM,J_DEB,$B12,J_BLN,N$4,J_THN,TAHUN)-SUMIFS(J_NOM,J_KRE,$B12,J_BLN,N$4,J_THN,TAHUN))</f>
        <v>0</v>
      </c>
      <c r="O12" s="117" t="n">
        <f aca="false">IF($B12="",0,SUMIFS(J_NOM,J_DEB,$B12,J_BLN,O$4,J_THN,TAHUN)-SUMIFS(J_NOM,J_KRE,$B12,J_BLN,O$4,J_THN,TAHUN))</f>
        <v>0</v>
      </c>
      <c r="P12" s="117" t="n">
        <f aca="false">IF($B12="",0,SUMIFS(J_NOM,J_DEB,$B12,J_BLN,P$4,J_THN,TAHUN)-SUMIFS(J_NOM,J_KRE,$B12,J_BLN,P$4,J_THN,TAHUN))</f>
        <v>0</v>
      </c>
      <c r="Q12" s="117" t="n">
        <f aca="false">IF($B12="",0,IF(D12="D",N(AKUN!H12),-N(AKUN!H12)))</f>
        <v>0</v>
      </c>
      <c r="R12" s="117" t="n">
        <f aca="false">SUMIFS(E12:P12,$E$4:$P$4,"&lt;="&amp;BLN)</f>
        <v>0</v>
      </c>
      <c r="S12" s="117" t="n">
        <f aca="false">Q12+R12</f>
        <v>0</v>
      </c>
      <c r="T12" s="93" t="str">
        <f aca="false">IF(AKUN!F12="","",AKUN!F12)</f>
        <v>OPERASI</v>
      </c>
    </row>
    <row r="13" customFormat="false" ht="15" hidden="false" customHeight="false" outlineLevel="0" collapsed="false">
      <c r="A13" s="93" t="str">
        <f aca="false">IF(AKUN!A13="","",AKUN!A13)</f>
        <v>1302</v>
      </c>
      <c r="B13" s="93" t="str">
        <f aca="false">IF(AKUN!B13="","",AKUN!B13)</f>
        <v>Perlengkapan</v>
      </c>
      <c r="C13" s="93" t="str">
        <f aca="false">IF(AKUN!C13="","",AKUN!C13)</f>
        <v>ASET</v>
      </c>
      <c r="D13" s="93" t="str">
        <f aca="false">IF(AKUN!E13="","",AKUN!E13)</f>
        <v>D</v>
      </c>
      <c r="E13" s="117" t="n">
        <f aca="false">IF($B13="",0,SUMIFS(J_NOM,J_DEB,$B13,J_BLN,E$4,J_THN,TAHUN)-SUMIFS(J_NOM,J_KRE,$B13,J_BLN,E$4,J_THN,TAHUN))</f>
        <v>0</v>
      </c>
      <c r="F13" s="117" t="n">
        <f aca="false">IF($B13="",0,SUMIFS(J_NOM,J_DEB,$B13,J_BLN,F$4,J_THN,TAHUN)-SUMIFS(J_NOM,J_KRE,$B13,J_BLN,F$4,J_THN,TAHUN))</f>
        <v>0</v>
      </c>
      <c r="G13" s="117" t="n">
        <f aca="false">IF($B13="",0,SUMIFS(J_NOM,J_DEB,$B13,J_BLN,G$4,J_THN,TAHUN)-SUMIFS(J_NOM,J_KRE,$B13,J_BLN,G$4,J_THN,TAHUN))</f>
        <v>0</v>
      </c>
      <c r="H13" s="117" t="n">
        <f aca="false">IF($B13="",0,SUMIFS(J_NOM,J_DEB,$B13,J_BLN,H$4,J_THN,TAHUN)-SUMIFS(J_NOM,J_KRE,$B13,J_BLN,H$4,J_THN,TAHUN))</f>
        <v>0</v>
      </c>
      <c r="I13" s="117" t="n">
        <f aca="false">IF($B13="",0,SUMIFS(J_NOM,J_DEB,$B13,J_BLN,I$4,J_THN,TAHUN)-SUMIFS(J_NOM,J_KRE,$B13,J_BLN,I$4,J_THN,TAHUN))</f>
        <v>0</v>
      </c>
      <c r="J13" s="117" t="n">
        <f aca="false">IF($B13="",0,SUMIFS(J_NOM,J_DEB,$B13,J_BLN,J$4,J_THN,TAHUN)-SUMIFS(J_NOM,J_KRE,$B13,J_BLN,J$4,J_THN,TAHUN))</f>
        <v>0</v>
      </c>
      <c r="K13" s="117" t="n">
        <f aca="false">IF($B13="",0,SUMIFS(J_NOM,J_DEB,$B13,J_BLN,K$4,J_THN,TAHUN)-SUMIFS(J_NOM,J_KRE,$B13,J_BLN,K$4,J_THN,TAHUN))</f>
        <v>0</v>
      </c>
      <c r="L13" s="117" t="n">
        <f aca="false">IF($B13="",0,SUMIFS(J_NOM,J_DEB,$B13,J_BLN,L$4,J_THN,TAHUN)-SUMIFS(J_NOM,J_KRE,$B13,J_BLN,L$4,J_THN,TAHUN))</f>
        <v>0</v>
      </c>
      <c r="M13" s="117" t="n">
        <f aca="false">IF($B13="",0,SUMIFS(J_NOM,J_DEB,$B13,J_BLN,M$4,J_THN,TAHUN)-SUMIFS(J_NOM,J_KRE,$B13,J_BLN,M$4,J_THN,TAHUN))</f>
        <v>864780</v>
      </c>
      <c r="N13" s="117" t="n">
        <f aca="false">IF($B13="",0,SUMIFS(J_NOM,J_DEB,$B13,J_BLN,N$4,J_THN,TAHUN)-SUMIFS(J_NOM,J_KRE,$B13,J_BLN,N$4,J_THN,TAHUN))</f>
        <v>50000</v>
      </c>
      <c r="O13" s="117" t="n">
        <f aca="false">IF($B13="",0,SUMIFS(J_NOM,J_DEB,$B13,J_BLN,O$4,J_THN,TAHUN)-SUMIFS(J_NOM,J_KRE,$B13,J_BLN,O$4,J_THN,TAHUN))</f>
        <v>0</v>
      </c>
      <c r="P13" s="117" t="n">
        <f aca="false">IF($B13="",0,SUMIFS(J_NOM,J_DEB,$B13,J_BLN,P$4,J_THN,TAHUN)-SUMIFS(J_NOM,J_KRE,$B13,J_BLN,P$4,J_THN,TAHUN))</f>
        <v>0</v>
      </c>
      <c r="Q13" s="117" t="n">
        <f aca="false">IF($B13="",0,IF(D13="D",N(AKUN!H13),-N(AKUN!H13)))</f>
        <v>0</v>
      </c>
      <c r="R13" s="117" t="n">
        <f aca="false">SUMIFS(E13:P13,$E$4:$P$4,"&lt;="&amp;BLN)</f>
        <v>864780</v>
      </c>
      <c r="S13" s="117" t="n">
        <f aca="false">Q13+R13</f>
        <v>864780</v>
      </c>
      <c r="T13" s="93" t="str">
        <f aca="false">IF(AKUN!F13="","",AKUN!F13)</f>
        <v>OPERASI</v>
      </c>
    </row>
    <row r="14" customFormat="false" ht="15" hidden="false" customHeight="false" outlineLevel="0" collapsed="false">
      <c r="A14" s="93" t="str">
        <f aca="false">IF(AKUN!A14="","",AKUN!A14)</f>
        <v>1303</v>
      </c>
      <c r="B14" s="93" t="str">
        <f aca="false">IF(AKUN!B14="","",AKUN!B14)</f>
        <v>Beban Dibayar di Muka</v>
      </c>
      <c r="C14" s="93" t="str">
        <f aca="false">IF(AKUN!C14="","",AKUN!C14)</f>
        <v>ASET</v>
      </c>
      <c r="D14" s="93" t="str">
        <f aca="false">IF(AKUN!E14="","",AKUN!E14)</f>
        <v>D</v>
      </c>
      <c r="E14" s="117" t="n">
        <f aca="false">IF($B14="",0,SUMIFS(J_NOM,J_DEB,$B14,J_BLN,E$4,J_THN,TAHUN)-SUMIFS(J_NOM,J_KRE,$B14,J_BLN,E$4,J_THN,TAHUN))</f>
        <v>0</v>
      </c>
      <c r="F14" s="117" t="n">
        <f aca="false">IF($B14="",0,SUMIFS(J_NOM,J_DEB,$B14,J_BLN,F$4,J_THN,TAHUN)-SUMIFS(J_NOM,J_KRE,$B14,J_BLN,F$4,J_THN,TAHUN))</f>
        <v>0</v>
      </c>
      <c r="G14" s="117" t="n">
        <f aca="false">IF($B14="",0,SUMIFS(J_NOM,J_DEB,$B14,J_BLN,G$4,J_THN,TAHUN)-SUMIFS(J_NOM,J_KRE,$B14,J_BLN,G$4,J_THN,TAHUN))</f>
        <v>0</v>
      </c>
      <c r="H14" s="117" t="n">
        <f aca="false">IF($B14="",0,SUMIFS(J_NOM,J_DEB,$B14,J_BLN,H$4,J_THN,TAHUN)-SUMIFS(J_NOM,J_KRE,$B14,J_BLN,H$4,J_THN,TAHUN))</f>
        <v>0</v>
      </c>
      <c r="I14" s="117" t="n">
        <f aca="false">IF($B14="",0,SUMIFS(J_NOM,J_DEB,$B14,J_BLN,I$4,J_THN,TAHUN)-SUMIFS(J_NOM,J_KRE,$B14,J_BLN,I$4,J_THN,TAHUN))</f>
        <v>0</v>
      </c>
      <c r="J14" s="117" t="n">
        <f aca="false">IF($B14="",0,SUMIFS(J_NOM,J_DEB,$B14,J_BLN,J$4,J_THN,TAHUN)-SUMIFS(J_NOM,J_KRE,$B14,J_BLN,J$4,J_THN,TAHUN))</f>
        <v>0</v>
      </c>
      <c r="K14" s="117" t="n">
        <f aca="false">IF($B14="",0,SUMIFS(J_NOM,J_DEB,$B14,J_BLN,K$4,J_THN,TAHUN)-SUMIFS(J_NOM,J_KRE,$B14,J_BLN,K$4,J_THN,TAHUN))</f>
        <v>0</v>
      </c>
      <c r="L14" s="117" t="n">
        <f aca="false">IF($B14="",0,SUMIFS(J_NOM,J_DEB,$B14,J_BLN,L$4,J_THN,TAHUN)-SUMIFS(J_NOM,J_KRE,$B14,J_BLN,L$4,J_THN,TAHUN))</f>
        <v>0</v>
      </c>
      <c r="M14" s="117" t="n">
        <f aca="false">IF($B14="",0,SUMIFS(J_NOM,J_DEB,$B14,J_BLN,M$4,J_THN,TAHUN)-SUMIFS(J_NOM,J_KRE,$B14,J_BLN,M$4,J_THN,TAHUN))</f>
        <v>0</v>
      </c>
      <c r="N14" s="117" t="n">
        <f aca="false">IF($B14="",0,SUMIFS(J_NOM,J_DEB,$B14,J_BLN,N$4,J_THN,TAHUN)-SUMIFS(J_NOM,J_KRE,$B14,J_BLN,N$4,J_THN,TAHUN))</f>
        <v>0</v>
      </c>
      <c r="O14" s="117" t="n">
        <f aca="false">IF($B14="",0,SUMIFS(J_NOM,J_DEB,$B14,J_BLN,O$4,J_THN,TAHUN)-SUMIFS(J_NOM,J_KRE,$B14,J_BLN,O$4,J_THN,TAHUN))</f>
        <v>0</v>
      </c>
      <c r="P14" s="117" t="n">
        <f aca="false">IF($B14="",0,SUMIFS(J_NOM,J_DEB,$B14,J_BLN,P$4,J_THN,TAHUN)-SUMIFS(J_NOM,J_KRE,$B14,J_BLN,P$4,J_THN,TAHUN))</f>
        <v>0</v>
      </c>
      <c r="Q14" s="117" t="n">
        <f aca="false">IF($B14="",0,IF(D14="D",N(AKUN!H14),-N(AKUN!H14)))</f>
        <v>0</v>
      </c>
      <c r="R14" s="117" t="n">
        <f aca="false">SUMIFS(E14:P14,$E$4:$P$4,"&lt;="&amp;BLN)</f>
        <v>0</v>
      </c>
      <c r="S14" s="117" t="n">
        <f aca="false">Q14+R14</f>
        <v>0</v>
      </c>
      <c r="T14" s="93" t="str">
        <f aca="false">IF(AKUN!F14="","",AKUN!F14)</f>
        <v>OPERASI</v>
      </c>
    </row>
    <row r="15" customFormat="false" ht="15" hidden="false" customHeight="false" outlineLevel="0" collapsed="false">
      <c r="A15" s="93" t="str">
        <f aca="false">IF(AKUN!A15="","",AKUN!A15)</f>
        <v>1501</v>
      </c>
      <c r="B15" s="93" t="str">
        <f aca="false">IF(AKUN!B15="","",AKUN!B15)</f>
        <v>Peralatan</v>
      </c>
      <c r="C15" s="93" t="str">
        <f aca="false">IF(AKUN!C15="","",AKUN!C15)</f>
        <v>ASET</v>
      </c>
      <c r="D15" s="93" t="str">
        <f aca="false">IF(AKUN!E15="","",AKUN!E15)</f>
        <v>D</v>
      </c>
      <c r="E15" s="117" t="n">
        <f aca="false">IF($B15="",0,SUMIFS(J_NOM,J_DEB,$B15,J_BLN,E$4,J_THN,TAHUN)-SUMIFS(J_NOM,J_KRE,$B15,J_BLN,E$4,J_THN,TAHUN))</f>
        <v>13000000</v>
      </c>
      <c r="F15" s="117" t="n">
        <f aca="false">IF($B15="",0,SUMIFS(J_NOM,J_DEB,$B15,J_BLN,F$4,J_THN,TAHUN)-SUMIFS(J_NOM,J_KRE,$B15,J_BLN,F$4,J_THN,TAHUN))</f>
        <v>0</v>
      </c>
      <c r="G15" s="117" t="n">
        <f aca="false">IF($B15="",0,SUMIFS(J_NOM,J_DEB,$B15,J_BLN,G$4,J_THN,TAHUN)-SUMIFS(J_NOM,J_KRE,$B15,J_BLN,G$4,J_THN,TAHUN))</f>
        <v>1742240</v>
      </c>
      <c r="H15" s="117" t="n">
        <f aca="false">IF($B15="",0,SUMIFS(J_NOM,J_DEB,$B15,J_BLN,H$4,J_THN,TAHUN)-SUMIFS(J_NOM,J_KRE,$B15,J_BLN,H$4,J_THN,TAHUN))</f>
        <v>359448</v>
      </c>
      <c r="I15" s="117" t="n">
        <f aca="false">IF($B15="",0,SUMIFS(J_NOM,J_DEB,$B15,J_BLN,I$4,J_THN,TAHUN)-SUMIFS(J_NOM,J_KRE,$B15,J_BLN,I$4,J_THN,TAHUN))</f>
        <v>1792100</v>
      </c>
      <c r="J15" s="117" t="n">
        <f aca="false">IF($B15="",0,SUMIFS(J_NOM,J_DEB,$B15,J_BLN,J$4,J_THN,TAHUN)-SUMIFS(J_NOM,J_KRE,$B15,J_BLN,J$4,J_THN,TAHUN))</f>
        <v>5650980</v>
      </c>
      <c r="K15" s="117" t="n">
        <f aca="false">IF($B15="",0,SUMIFS(J_NOM,J_DEB,$B15,J_BLN,K$4,J_THN,TAHUN)-SUMIFS(J_NOM,J_KRE,$B15,J_BLN,K$4,J_THN,TAHUN))</f>
        <v>1274220</v>
      </c>
      <c r="L15" s="117" t="n">
        <f aca="false">IF($B15="",0,SUMIFS(J_NOM,J_DEB,$B15,J_BLN,L$4,J_THN,TAHUN)-SUMIFS(J_NOM,J_KRE,$B15,J_BLN,L$4,J_THN,TAHUN))</f>
        <v>3212587</v>
      </c>
      <c r="M15" s="117" t="n">
        <f aca="false">IF($B15="",0,SUMIFS(J_NOM,J_DEB,$B15,J_BLN,M$4,J_THN,TAHUN)-SUMIFS(J_NOM,J_KRE,$B15,J_BLN,M$4,J_THN,TAHUN))</f>
        <v>14991835</v>
      </c>
      <c r="N15" s="117" t="n">
        <f aca="false">IF($B15="",0,SUMIFS(J_NOM,J_DEB,$B15,J_BLN,N$4,J_THN,TAHUN)-SUMIFS(J_NOM,J_KRE,$B15,J_BLN,N$4,J_THN,TAHUN))</f>
        <v>0</v>
      </c>
      <c r="O15" s="117" t="n">
        <f aca="false">IF($B15="",0,SUMIFS(J_NOM,J_DEB,$B15,J_BLN,O$4,J_THN,TAHUN)-SUMIFS(J_NOM,J_KRE,$B15,J_BLN,O$4,J_THN,TAHUN))</f>
        <v>0</v>
      </c>
      <c r="P15" s="117" t="n">
        <f aca="false">IF($B15="",0,SUMIFS(J_NOM,J_DEB,$B15,J_BLN,P$4,J_THN,TAHUN)-SUMIFS(J_NOM,J_KRE,$B15,J_BLN,P$4,J_THN,TAHUN))</f>
        <v>0</v>
      </c>
      <c r="Q15" s="117" t="n">
        <f aca="false">IF($B15="",0,IF(D15="D",N(AKUN!H15),-N(AKUN!H15)))</f>
        <v>0</v>
      </c>
      <c r="R15" s="117" t="n">
        <f aca="false">SUMIFS(E15:P15,$E$4:$P$4,"&lt;="&amp;BLN)</f>
        <v>42023410</v>
      </c>
      <c r="S15" s="117" t="n">
        <f aca="false">Q15+R15</f>
        <v>42023410</v>
      </c>
      <c r="T15" s="93" t="str">
        <f aca="false">IF(AKUN!F15="","",AKUN!F15)</f>
        <v>INVESTASI</v>
      </c>
    </row>
    <row r="16" customFormat="false" ht="15" hidden="false" customHeight="false" outlineLevel="0" collapsed="false">
      <c r="A16" s="93" t="str">
        <f aca="false">IF(AKUN!A16="","",AKUN!A16)</f>
        <v>1502</v>
      </c>
      <c r="B16" s="93" t="str">
        <f aca="false">IF(AKUN!B16="","",AKUN!B16)</f>
        <v>Akumulasi Penyusutan Peralatan</v>
      </c>
      <c r="C16" s="93" t="str">
        <f aca="false">IF(AKUN!C16="","",AKUN!C16)</f>
        <v>ASET</v>
      </c>
      <c r="D16" s="93" t="str">
        <f aca="false">IF(AKUN!E16="","",AKUN!E16)</f>
        <v>K</v>
      </c>
      <c r="E16" s="117" t="n">
        <f aca="false">IF($B16="",0,SUMIFS(J_NOM,J_DEB,$B16,J_BLN,E$4,J_THN,TAHUN)-SUMIFS(J_NOM,J_KRE,$B16,J_BLN,E$4,J_THN,TAHUN))</f>
        <v>0</v>
      </c>
      <c r="F16" s="117" t="n">
        <f aca="false">IF($B16="",0,SUMIFS(J_NOM,J_DEB,$B16,J_BLN,F$4,J_THN,TAHUN)-SUMIFS(J_NOM,J_KRE,$B16,J_BLN,F$4,J_THN,TAHUN))</f>
        <v>-216667</v>
      </c>
      <c r="G16" s="117" t="n">
        <f aca="false">IF($B16="",0,SUMIFS(J_NOM,J_DEB,$B16,J_BLN,G$4,J_THN,TAHUN)-SUMIFS(J_NOM,J_KRE,$B16,J_BLN,G$4,J_THN,TAHUN))</f>
        <v>-216667</v>
      </c>
      <c r="H16" s="117" t="n">
        <f aca="false">IF($B16="",0,SUMIFS(J_NOM,J_DEB,$B16,J_BLN,H$4,J_THN,TAHUN)-SUMIFS(J_NOM,J_KRE,$B16,J_BLN,H$4,J_THN,TAHUN))</f>
        <v>-252964</v>
      </c>
      <c r="I16" s="117" t="n">
        <f aca="false">IF($B16="",0,SUMIFS(J_NOM,J_DEB,$B16,J_BLN,I$4,J_THN,TAHUN)-SUMIFS(J_NOM,J_KRE,$B16,J_BLN,I$4,J_THN,TAHUN))</f>
        <v>-260452</v>
      </c>
      <c r="J16" s="117" t="n">
        <f aca="false">IF($B16="",0,SUMIFS(J_NOM,J_DEB,$B16,J_BLN,J$4,J_THN,TAHUN)-SUMIFS(J_NOM,J_KRE,$B16,J_BLN,J$4,J_THN,TAHUN))</f>
        <v>-297787</v>
      </c>
      <c r="K16" s="117" t="n">
        <f aca="false">IF($B16="",0,SUMIFS(J_NOM,J_DEB,$B16,J_BLN,K$4,J_THN,TAHUN)-SUMIFS(J_NOM,J_KRE,$B16,J_BLN,K$4,J_THN,TAHUN))</f>
        <v>-399853</v>
      </c>
      <c r="L16" s="117" t="n">
        <f aca="false">IF($B16="",0,SUMIFS(J_NOM,J_DEB,$B16,J_BLN,L$4,J_THN,TAHUN)-SUMIFS(J_NOM,J_KRE,$B16,J_BLN,L$4,J_THN,TAHUN))</f>
        <v>-426400</v>
      </c>
      <c r="M16" s="117" t="n">
        <f aca="false">IF($B16="",0,SUMIFS(J_NOM,J_DEB,$B16,J_BLN,M$4,J_THN,TAHUN)-SUMIFS(J_NOM,J_KRE,$B16,J_BLN,M$4,J_THN,TAHUN))</f>
        <v>-493329</v>
      </c>
      <c r="N16" s="117" t="n">
        <f aca="false">IF($B16="",0,SUMIFS(J_NOM,J_DEB,$B16,J_BLN,N$4,J_THN,TAHUN)-SUMIFS(J_NOM,J_KRE,$B16,J_BLN,N$4,J_THN,TAHUN))</f>
        <v>0</v>
      </c>
      <c r="O16" s="117" t="n">
        <f aca="false">IF($B16="",0,SUMIFS(J_NOM,J_DEB,$B16,J_BLN,O$4,J_THN,TAHUN)-SUMIFS(J_NOM,J_KRE,$B16,J_BLN,O$4,J_THN,TAHUN))</f>
        <v>0</v>
      </c>
      <c r="P16" s="117" t="n">
        <f aca="false">IF($B16="",0,SUMIFS(J_NOM,J_DEB,$B16,J_BLN,P$4,J_THN,TAHUN)-SUMIFS(J_NOM,J_KRE,$B16,J_BLN,P$4,J_THN,TAHUN))</f>
        <v>0</v>
      </c>
      <c r="Q16" s="117" t="n">
        <f aca="false">IF($B16="",0,IF(D16="D",N(AKUN!H16),-N(AKUN!H16)))</f>
        <v>-0</v>
      </c>
      <c r="R16" s="117" t="n">
        <f aca="false">SUMIFS(E16:P16,$E$4:$P$4,"&lt;="&amp;BLN)</f>
        <v>-2564119</v>
      </c>
      <c r="S16" s="117" t="n">
        <f aca="false">Q16+R16</f>
        <v>-2564119</v>
      </c>
      <c r="T16" s="93" t="str">
        <f aca="false">IF(AKUN!F16="","",AKUN!F16)</f>
        <v>NONKAS</v>
      </c>
    </row>
    <row r="17" customFormat="false" ht="15" hidden="false" customHeight="false" outlineLevel="0" collapsed="false">
      <c r="A17" s="93" t="str">
        <f aca="false">IF(AKUN!A17="","",AKUN!A17)</f>
        <v>2101</v>
      </c>
      <c r="B17" s="93" t="str">
        <f aca="false">IF(AKUN!B17="","",AKUN!B17)</f>
        <v>Utang Usaha Lancar</v>
      </c>
      <c r="C17" s="93" t="str">
        <f aca="false">IF(AKUN!C17="","",AKUN!C17)</f>
        <v>LIABILITAS</v>
      </c>
      <c r="D17" s="93" t="str">
        <f aca="false">IF(AKUN!E17="","",AKUN!E17)</f>
        <v>K</v>
      </c>
      <c r="E17" s="117" t="n">
        <f aca="false">IF($B17="",0,SUMIFS(J_NOM,J_DEB,$B17,J_BLN,E$4,J_THN,TAHUN)-SUMIFS(J_NOM,J_KRE,$B17,J_BLN,E$4,J_THN,TAHUN))</f>
        <v>-3687800</v>
      </c>
      <c r="F17" s="117" t="n">
        <f aca="false">IF($B17="",0,SUMIFS(J_NOM,J_DEB,$B17,J_BLN,F$4,J_THN,TAHUN)-SUMIFS(J_NOM,J_KRE,$B17,J_BLN,F$4,J_THN,TAHUN))</f>
        <v>1687800</v>
      </c>
      <c r="G17" s="117" t="n">
        <f aca="false">IF($B17="",0,SUMIFS(J_NOM,J_DEB,$B17,J_BLN,G$4,J_THN,TAHUN)-SUMIFS(J_NOM,J_KRE,$B17,J_BLN,G$4,J_THN,TAHUN))</f>
        <v>-1000000</v>
      </c>
      <c r="H17" s="117" t="n">
        <f aca="false">IF($B17="",0,SUMIFS(J_NOM,J_DEB,$B17,J_BLN,H$4,J_THN,TAHUN)-SUMIFS(J_NOM,J_KRE,$B17,J_BLN,H$4,J_THN,TAHUN))</f>
        <v>-1000000</v>
      </c>
      <c r="I17" s="117" t="n">
        <f aca="false">IF($B17="",0,SUMIFS(J_NOM,J_DEB,$B17,J_BLN,I$4,J_THN,TAHUN)-SUMIFS(J_NOM,J_KRE,$B17,J_BLN,I$4,J_THN,TAHUN))</f>
        <v>-1000000</v>
      </c>
      <c r="J17" s="117" t="n">
        <f aca="false">IF($B17="",0,SUMIFS(J_NOM,J_DEB,$B17,J_BLN,J$4,J_THN,TAHUN)-SUMIFS(J_NOM,J_KRE,$B17,J_BLN,J$4,J_THN,TAHUN))</f>
        <v>-1000000</v>
      </c>
      <c r="K17" s="117" t="n">
        <f aca="false">IF($B17="",0,SUMIFS(J_NOM,J_DEB,$B17,J_BLN,K$4,J_THN,TAHUN)-SUMIFS(J_NOM,J_KRE,$B17,J_BLN,K$4,J_THN,TAHUN))</f>
        <v>6000000</v>
      </c>
      <c r="L17" s="117" t="n">
        <f aca="false">IF($B17="",0,SUMIFS(J_NOM,J_DEB,$B17,J_BLN,L$4,J_THN,TAHUN)-SUMIFS(J_NOM,J_KRE,$B17,J_BLN,L$4,J_THN,TAHUN))</f>
        <v>0</v>
      </c>
      <c r="M17" s="117" t="n">
        <f aca="false">IF($B17="",0,SUMIFS(J_NOM,J_DEB,$B17,J_BLN,M$4,J_THN,TAHUN)-SUMIFS(J_NOM,J_KRE,$B17,J_BLN,M$4,J_THN,TAHUN))</f>
        <v>0</v>
      </c>
      <c r="N17" s="117" t="n">
        <f aca="false">IF($B17="",0,SUMIFS(J_NOM,J_DEB,$B17,J_BLN,N$4,J_THN,TAHUN)-SUMIFS(J_NOM,J_KRE,$B17,J_BLN,N$4,J_THN,TAHUN))</f>
        <v>0</v>
      </c>
      <c r="O17" s="117" t="n">
        <f aca="false">IF($B17="",0,SUMIFS(J_NOM,J_DEB,$B17,J_BLN,O$4,J_THN,TAHUN)-SUMIFS(J_NOM,J_KRE,$B17,J_BLN,O$4,J_THN,TAHUN))</f>
        <v>0</v>
      </c>
      <c r="P17" s="117" t="n">
        <f aca="false">IF($B17="",0,SUMIFS(J_NOM,J_DEB,$B17,J_BLN,P$4,J_THN,TAHUN)-SUMIFS(J_NOM,J_KRE,$B17,J_BLN,P$4,J_THN,TAHUN))</f>
        <v>0</v>
      </c>
      <c r="Q17" s="117" t="n">
        <f aca="false">IF($B17="",0,IF(D17="D",N(AKUN!H17),-N(AKUN!H17)))</f>
        <v>-0</v>
      </c>
      <c r="R17" s="117" t="n">
        <f aca="false">SUMIFS(E17:P17,$E$4:$P$4,"&lt;="&amp;BLN)</f>
        <v>0</v>
      </c>
      <c r="S17" s="117" t="n">
        <f aca="false">Q17+R17</f>
        <v>0</v>
      </c>
      <c r="T17" s="93" t="str">
        <f aca="false">IF(AKUN!F17="","",AKUN!F17)</f>
        <v>OPERASI</v>
      </c>
    </row>
    <row r="18" customFormat="false" ht="15" hidden="false" customHeight="false" outlineLevel="0" collapsed="false">
      <c r="A18" s="93" t="str">
        <f aca="false">IF(AKUN!A18="","",AKUN!A18)</f>
        <v>2102</v>
      </c>
      <c r="B18" s="93" t="str">
        <f aca="false">IF(AKUN!B18="","",AKUN!B18)</f>
        <v>Utang Pajak Daerah (PBJT)</v>
      </c>
      <c r="C18" s="93" t="str">
        <f aca="false">IF(AKUN!C18="","",AKUN!C18)</f>
        <v>LIABILITAS</v>
      </c>
      <c r="D18" s="93" t="str">
        <f aca="false">IF(AKUN!E18="","",AKUN!E18)</f>
        <v>K</v>
      </c>
      <c r="E18" s="117" t="n">
        <f aca="false">IF($B18="",0,SUMIFS(J_NOM,J_DEB,$B18,J_BLN,E$4,J_THN,TAHUN)-SUMIFS(J_NOM,J_KRE,$B18,J_BLN,E$4,J_THN,TAHUN))</f>
        <v>-6215995</v>
      </c>
      <c r="F18" s="117" t="n">
        <f aca="false">IF($B18="",0,SUMIFS(J_NOM,J_DEB,$B18,J_BLN,F$4,J_THN,TAHUN)-SUMIFS(J_NOM,J_KRE,$B18,J_BLN,F$4,J_THN,TAHUN))</f>
        <v>-4991045</v>
      </c>
      <c r="G18" s="117" t="n">
        <f aca="false">IF($B18="",0,SUMIFS(J_NOM,J_DEB,$B18,J_BLN,G$4,J_THN,TAHUN)-SUMIFS(J_NOM,J_KRE,$B18,J_BLN,G$4,J_THN,TAHUN))</f>
        <v>-6995823</v>
      </c>
      <c r="H18" s="117" t="n">
        <f aca="false">IF($B18="",0,SUMIFS(J_NOM,J_DEB,$B18,J_BLN,H$4,J_THN,TAHUN)-SUMIFS(J_NOM,J_KRE,$B18,J_BLN,H$4,J_THN,TAHUN))</f>
        <v>-6539164</v>
      </c>
      <c r="I18" s="117" t="n">
        <f aca="false">IF($B18="",0,SUMIFS(J_NOM,J_DEB,$B18,J_BLN,I$4,J_THN,TAHUN)-SUMIFS(J_NOM,J_KRE,$B18,J_BLN,I$4,J_THN,TAHUN))</f>
        <v>-7860905</v>
      </c>
      <c r="J18" s="117" t="n">
        <f aca="false">IF($B18="",0,SUMIFS(J_NOM,J_DEB,$B18,J_BLN,J$4,J_THN,TAHUN)-SUMIFS(J_NOM,J_KRE,$B18,J_BLN,J$4,J_THN,TAHUN))</f>
        <v>-7349136</v>
      </c>
      <c r="K18" s="117" t="n">
        <f aca="false">IF($B18="",0,SUMIFS(J_NOM,J_DEB,$B18,J_BLN,K$4,J_THN,TAHUN)-SUMIFS(J_NOM,J_KRE,$B18,J_BLN,K$4,J_THN,TAHUN))</f>
        <v>-6447786</v>
      </c>
      <c r="L18" s="117" t="n">
        <f aca="false">IF($B18="",0,SUMIFS(J_NOM,J_DEB,$B18,J_BLN,L$4,J_THN,TAHUN)-SUMIFS(J_NOM,J_KRE,$B18,J_BLN,L$4,J_THN,TAHUN))</f>
        <v>-6632877</v>
      </c>
      <c r="M18" s="117" t="n">
        <f aca="false">IF($B18="",0,SUMIFS(J_NOM,J_DEB,$B18,J_BLN,M$4,J_THN,TAHUN)-SUMIFS(J_NOM,J_KRE,$B18,J_BLN,M$4,J_THN,TAHUN))</f>
        <v>-6293450</v>
      </c>
      <c r="N18" s="117" t="n">
        <f aca="false">IF($B18="",0,SUMIFS(J_NOM,J_DEB,$B18,J_BLN,N$4,J_THN,TAHUN)-SUMIFS(J_NOM,J_KRE,$B18,J_BLN,N$4,J_THN,TAHUN))</f>
        <v>0</v>
      </c>
      <c r="O18" s="117" t="n">
        <f aca="false">IF($B18="",0,SUMIFS(J_NOM,J_DEB,$B18,J_BLN,O$4,J_THN,TAHUN)-SUMIFS(J_NOM,J_KRE,$B18,J_BLN,O$4,J_THN,TAHUN))</f>
        <v>0</v>
      </c>
      <c r="P18" s="117" t="n">
        <f aca="false">IF($B18="",0,SUMIFS(J_NOM,J_DEB,$B18,J_BLN,P$4,J_THN,TAHUN)-SUMIFS(J_NOM,J_KRE,$B18,J_BLN,P$4,J_THN,TAHUN))</f>
        <v>0</v>
      </c>
      <c r="Q18" s="117" t="n">
        <f aca="false">IF($B18="",0,IF(D18="D",N(AKUN!H18),-N(AKUN!H18)))</f>
        <v>-0</v>
      </c>
      <c r="R18" s="117" t="n">
        <f aca="false">SUMIFS(E18:P18,$E$4:$P$4,"&lt;="&amp;BLN)</f>
        <v>-59326181</v>
      </c>
      <c r="S18" s="117" t="n">
        <f aca="false">Q18+R18</f>
        <v>-59326181</v>
      </c>
      <c r="T18" s="93" t="str">
        <f aca="false">IF(AKUN!F18="","",AKUN!F18)</f>
        <v>OPERASI</v>
      </c>
    </row>
    <row r="19" customFormat="false" ht="15" hidden="false" customHeight="false" outlineLevel="0" collapsed="false">
      <c r="A19" s="93" t="str">
        <f aca="false">IF(AKUN!A19="","",AKUN!A19)</f>
        <v>2103</v>
      </c>
      <c r="B19" s="93" t="str">
        <f aca="false">IF(AKUN!B19="","",AKUN!B19)</f>
        <v>Utang Lainnya</v>
      </c>
      <c r="C19" s="93" t="str">
        <f aca="false">IF(AKUN!C19="","",AKUN!C19)</f>
        <v>LIABILITAS</v>
      </c>
      <c r="D19" s="93" t="str">
        <f aca="false">IF(AKUN!E19="","",AKUN!E19)</f>
        <v>K</v>
      </c>
      <c r="E19" s="117" t="n">
        <f aca="false">IF($B19="",0,SUMIFS(J_NOM,J_DEB,$B19,J_BLN,E$4,J_THN,TAHUN)-SUMIFS(J_NOM,J_KRE,$B19,J_BLN,E$4,J_THN,TAHUN))</f>
        <v>0</v>
      </c>
      <c r="F19" s="117" t="n">
        <f aca="false">IF($B19="",0,SUMIFS(J_NOM,J_DEB,$B19,J_BLN,F$4,J_THN,TAHUN)-SUMIFS(J_NOM,J_KRE,$B19,J_BLN,F$4,J_THN,TAHUN))</f>
        <v>0</v>
      </c>
      <c r="G19" s="117" t="n">
        <f aca="false">IF($B19="",0,SUMIFS(J_NOM,J_DEB,$B19,J_BLN,G$4,J_THN,TAHUN)-SUMIFS(J_NOM,J_KRE,$B19,J_BLN,G$4,J_THN,TAHUN))</f>
        <v>0</v>
      </c>
      <c r="H19" s="117" t="n">
        <f aca="false">IF($B19="",0,SUMIFS(J_NOM,J_DEB,$B19,J_BLN,H$4,J_THN,TAHUN)-SUMIFS(J_NOM,J_KRE,$B19,J_BLN,H$4,J_THN,TAHUN))</f>
        <v>0</v>
      </c>
      <c r="I19" s="117" t="n">
        <f aca="false">IF($B19="",0,SUMIFS(J_NOM,J_DEB,$B19,J_BLN,I$4,J_THN,TAHUN)-SUMIFS(J_NOM,J_KRE,$B19,J_BLN,I$4,J_THN,TAHUN))</f>
        <v>0</v>
      </c>
      <c r="J19" s="117" t="n">
        <f aca="false">IF($B19="",0,SUMIFS(J_NOM,J_DEB,$B19,J_BLN,J$4,J_THN,TAHUN)-SUMIFS(J_NOM,J_KRE,$B19,J_BLN,J$4,J_THN,TAHUN))</f>
        <v>0</v>
      </c>
      <c r="K19" s="117" t="n">
        <f aca="false">IF($B19="",0,SUMIFS(J_NOM,J_DEB,$B19,J_BLN,K$4,J_THN,TAHUN)-SUMIFS(J_NOM,J_KRE,$B19,J_BLN,K$4,J_THN,TAHUN))</f>
        <v>0</v>
      </c>
      <c r="L19" s="117" t="n">
        <f aca="false">IF($B19="",0,SUMIFS(J_NOM,J_DEB,$B19,J_BLN,L$4,J_THN,TAHUN)-SUMIFS(J_NOM,J_KRE,$B19,J_BLN,L$4,J_THN,TAHUN))</f>
        <v>0</v>
      </c>
      <c r="M19" s="117" t="n">
        <f aca="false">IF($B19="",0,SUMIFS(J_NOM,J_DEB,$B19,J_BLN,M$4,J_THN,TAHUN)-SUMIFS(J_NOM,J_KRE,$B19,J_BLN,M$4,J_THN,TAHUN))</f>
        <v>0</v>
      </c>
      <c r="N19" s="117" t="n">
        <f aca="false">IF($B19="",0,SUMIFS(J_NOM,J_DEB,$B19,J_BLN,N$4,J_THN,TAHUN)-SUMIFS(J_NOM,J_KRE,$B19,J_BLN,N$4,J_THN,TAHUN))</f>
        <v>0</v>
      </c>
      <c r="O19" s="117" t="n">
        <f aca="false">IF($B19="",0,SUMIFS(J_NOM,J_DEB,$B19,J_BLN,O$4,J_THN,TAHUN)-SUMIFS(J_NOM,J_KRE,$B19,J_BLN,O$4,J_THN,TAHUN))</f>
        <v>0</v>
      </c>
      <c r="P19" s="117" t="n">
        <f aca="false">IF($B19="",0,SUMIFS(J_NOM,J_DEB,$B19,J_BLN,P$4,J_THN,TAHUN)-SUMIFS(J_NOM,J_KRE,$B19,J_BLN,P$4,J_THN,TAHUN))</f>
        <v>0</v>
      </c>
      <c r="Q19" s="117" t="n">
        <f aca="false">IF($B19="",0,IF(D19="D",N(AKUN!H19),-N(AKUN!H19)))</f>
        <v>-3567600</v>
      </c>
      <c r="R19" s="117" t="n">
        <f aca="false">SUMIFS(E19:P19,$E$4:$P$4,"&lt;="&amp;BLN)</f>
        <v>0</v>
      </c>
      <c r="S19" s="117" t="n">
        <f aca="false">Q19+R19</f>
        <v>-3567600</v>
      </c>
      <c r="T19" s="93" t="str">
        <f aca="false">IF(AKUN!F19="","",AKUN!F19)</f>
        <v>PENDANAAN</v>
      </c>
    </row>
    <row r="20" customFormat="false" ht="15" hidden="false" customHeight="false" outlineLevel="0" collapsed="false">
      <c r="A20" s="93" t="str">
        <f aca="false">IF(AKUN!A20="","",AKUN!A20)</f>
        <v>2201</v>
      </c>
      <c r="B20" s="93" t="str">
        <f aca="false">IF(AKUN!B20="","",AKUN!B20)</f>
        <v>Utang Usaha Jangka Panjang</v>
      </c>
      <c r="C20" s="93" t="str">
        <f aca="false">IF(AKUN!C20="","",AKUN!C20)</f>
        <v>LIABILITAS</v>
      </c>
      <c r="D20" s="93" t="str">
        <f aca="false">IF(AKUN!E20="","",AKUN!E20)</f>
        <v>K</v>
      </c>
      <c r="E20" s="117" t="n">
        <f aca="false">IF($B20="",0,SUMIFS(J_NOM,J_DEB,$B20,J_BLN,E$4,J_THN,TAHUN)-SUMIFS(J_NOM,J_KRE,$B20,J_BLN,E$4,J_THN,TAHUN))</f>
        <v>598000</v>
      </c>
      <c r="F20" s="117" t="n">
        <f aca="false">IF($B20="",0,SUMIFS(J_NOM,J_DEB,$B20,J_BLN,F$4,J_THN,TAHUN)-SUMIFS(J_NOM,J_KRE,$B20,J_BLN,F$4,J_THN,TAHUN))</f>
        <v>443500</v>
      </c>
      <c r="G20" s="117" t="n">
        <f aca="false">IF($B20="",0,SUMIFS(J_NOM,J_DEB,$B20,J_BLN,G$4,J_THN,TAHUN)-SUMIFS(J_NOM,J_KRE,$B20,J_BLN,G$4,J_THN,TAHUN))</f>
        <v>1378500</v>
      </c>
      <c r="H20" s="117" t="n">
        <f aca="false">IF($B20="",0,SUMIFS(J_NOM,J_DEB,$B20,J_BLN,H$4,J_THN,TAHUN)-SUMIFS(J_NOM,J_KRE,$B20,J_BLN,H$4,J_THN,TAHUN))</f>
        <v>0</v>
      </c>
      <c r="I20" s="117" t="n">
        <f aca="false">IF($B20="",0,SUMIFS(J_NOM,J_DEB,$B20,J_BLN,I$4,J_THN,TAHUN)-SUMIFS(J_NOM,J_KRE,$B20,J_BLN,I$4,J_THN,TAHUN))</f>
        <v>0</v>
      </c>
      <c r="J20" s="117" t="n">
        <f aca="false">IF($B20="",0,SUMIFS(J_NOM,J_DEB,$B20,J_BLN,J$4,J_THN,TAHUN)-SUMIFS(J_NOM,J_KRE,$B20,J_BLN,J$4,J_THN,TAHUN))</f>
        <v>0</v>
      </c>
      <c r="K20" s="117" t="n">
        <f aca="false">IF($B20="",0,SUMIFS(J_NOM,J_DEB,$B20,J_BLN,K$4,J_THN,TAHUN)-SUMIFS(J_NOM,J_KRE,$B20,J_BLN,K$4,J_THN,TAHUN))</f>
        <v>0</v>
      </c>
      <c r="L20" s="117" t="n">
        <f aca="false">IF($B20="",0,SUMIFS(J_NOM,J_DEB,$B20,J_BLN,L$4,J_THN,TAHUN)-SUMIFS(J_NOM,J_KRE,$B20,J_BLN,L$4,J_THN,TAHUN))</f>
        <v>0</v>
      </c>
      <c r="M20" s="117" t="n">
        <f aca="false">IF($B20="",0,SUMIFS(J_NOM,J_DEB,$B20,J_BLN,M$4,J_THN,TAHUN)-SUMIFS(J_NOM,J_KRE,$B20,J_BLN,M$4,J_THN,TAHUN))</f>
        <v>-11726000</v>
      </c>
      <c r="N20" s="117" t="n">
        <f aca="false">IF($B20="",0,SUMIFS(J_NOM,J_DEB,$B20,J_BLN,N$4,J_THN,TAHUN)-SUMIFS(J_NOM,J_KRE,$B20,J_BLN,N$4,J_THN,TAHUN))</f>
        <v>0</v>
      </c>
      <c r="O20" s="117" t="n">
        <f aca="false">IF($B20="",0,SUMIFS(J_NOM,J_DEB,$B20,J_BLN,O$4,J_THN,TAHUN)-SUMIFS(J_NOM,J_KRE,$B20,J_BLN,O$4,J_THN,TAHUN))</f>
        <v>0</v>
      </c>
      <c r="P20" s="117" t="n">
        <f aca="false">IF($B20="",0,SUMIFS(J_NOM,J_DEB,$B20,J_BLN,P$4,J_THN,TAHUN)-SUMIFS(J_NOM,J_KRE,$B20,J_BLN,P$4,J_THN,TAHUN))</f>
        <v>0</v>
      </c>
      <c r="Q20" s="117" t="n">
        <f aca="false">IF($B20="",0,IF(D20="D",N(AKUN!H20),-N(AKUN!H20)))</f>
        <v>-2420000</v>
      </c>
      <c r="R20" s="117" t="n">
        <f aca="false">SUMIFS(E20:P20,$E$4:$P$4,"&lt;="&amp;BLN)</f>
        <v>-9306000</v>
      </c>
      <c r="S20" s="117" t="n">
        <f aca="false">Q20+R20</f>
        <v>-11726000</v>
      </c>
      <c r="T20" s="93" t="str">
        <f aca="false">IF(AKUN!F20="","",AKUN!F20)</f>
        <v>PENDANAAN</v>
      </c>
    </row>
    <row r="21" customFormat="false" ht="15" hidden="false" customHeight="false" outlineLevel="0" collapsed="false">
      <c r="A21" s="93" t="str">
        <f aca="false">IF(AKUN!A21="","",AKUN!A21)</f>
        <v>3101</v>
      </c>
      <c r="B21" s="93" t="str">
        <f aca="false">IF(AKUN!B21="","",AKUN!B21)</f>
        <v>Ekuitas Kopi Parang</v>
      </c>
      <c r="C21" s="93" t="str">
        <f aca="false">IF(AKUN!C21="","",AKUN!C21)</f>
        <v>EKUITAS</v>
      </c>
      <c r="D21" s="93" t="str">
        <f aca="false">IF(AKUN!E21="","",AKUN!E21)</f>
        <v>K</v>
      </c>
      <c r="E21" s="117" t="n">
        <f aca="false">IF($B21="",0,SUMIFS(J_NOM,J_DEB,$B21,J_BLN,E$4,J_THN,TAHUN)-SUMIFS(J_NOM,J_KRE,$B21,J_BLN,E$4,J_THN,TAHUN))</f>
        <v>0</v>
      </c>
      <c r="F21" s="117" t="n">
        <f aca="false">IF($B21="",0,SUMIFS(J_NOM,J_DEB,$B21,J_BLN,F$4,J_THN,TAHUN)-SUMIFS(J_NOM,J_KRE,$B21,J_BLN,F$4,J_THN,TAHUN))</f>
        <v>0</v>
      </c>
      <c r="G21" s="117" t="n">
        <f aca="false">IF($B21="",0,SUMIFS(J_NOM,J_DEB,$B21,J_BLN,G$4,J_THN,TAHUN)-SUMIFS(J_NOM,J_KRE,$B21,J_BLN,G$4,J_THN,TAHUN))</f>
        <v>0</v>
      </c>
      <c r="H21" s="117" t="n">
        <f aca="false">IF($B21="",0,SUMIFS(J_NOM,J_DEB,$B21,J_BLN,H$4,J_THN,TAHUN)-SUMIFS(J_NOM,J_KRE,$B21,J_BLN,H$4,J_THN,TAHUN))</f>
        <v>0</v>
      </c>
      <c r="I21" s="117" t="n">
        <f aca="false">IF($B21="",0,SUMIFS(J_NOM,J_DEB,$B21,J_BLN,I$4,J_THN,TAHUN)-SUMIFS(J_NOM,J_KRE,$B21,J_BLN,I$4,J_THN,TAHUN))</f>
        <v>0</v>
      </c>
      <c r="J21" s="117" t="n">
        <f aca="false">IF($B21="",0,SUMIFS(J_NOM,J_DEB,$B21,J_BLN,J$4,J_THN,TAHUN)-SUMIFS(J_NOM,J_KRE,$B21,J_BLN,J$4,J_THN,TAHUN))</f>
        <v>0</v>
      </c>
      <c r="K21" s="117" t="n">
        <f aca="false">IF($B21="",0,SUMIFS(J_NOM,J_DEB,$B21,J_BLN,K$4,J_THN,TAHUN)-SUMIFS(J_NOM,J_KRE,$B21,J_BLN,K$4,J_THN,TAHUN))</f>
        <v>0</v>
      </c>
      <c r="L21" s="117" t="n">
        <f aca="false">IF($B21="",0,SUMIFS(J_NOM,J_DEB,$B21,J_BLN,L$4,J_THN,TAHUN)-SUMIFS(J_NOM,J_KRE,$B21,J_BLN,L$4,J_THN,TAHUN))</f>
        <v>0</v>
      </c>
      <c r="M21" s="117" t="n">
        <f aca="false">IF($B21="",0,SUMIFS(J_NOM,J_DEB,$B21,J_BLN,M$4,J_THN,TAHUN)-SUMIFS(J_NOM,J_KRE,$B21,J_BLN,M$4,J_THN,TAHUN))</f>
        <v>0</v>
      </c>
      <c r="N21" s="117" t="n">
        <f aca="false">IF($B21="",0,SUMIFS(J_NOM,J_DEB,$B21,J_BLN,N$4,J_THN,TAHUN)-SUMIFS(J_NOM,J_KRE,$B21,J_BLN,N$4,J_THN,TAHUN))</f>
        <v>0</v>
      </c>
      <c r="O21" s="117" t="n">
        <f aca="false">IF($B21="",0,SUMIFS(J_NOM,J_DEB,$B21,J_BLN,O$4,J_THN,TAHUN)-SUMIFS(J_NOM,J_KRE,$B21,J_BLN,O$4,J_THN,TAHUN))</f>
        <v>0</v>
      </c>
      <c r="P21" s="117" t="n">
        <f aca="false">IF($B21="",0,SUMIFS(J_NOM,J_DEB,$B21,J_BLN,P$4,J_THN,TAHUN)-SUMIFS(J_NOM,J_KRE,$B21,J_BLN,P$4,J_THN,TAHUN))</f>
        <v>0</v>
      </c>
      <c r="Q21" s="117" t="n">
        <f aca="false">IF($B21="",0,IF(D21="D",N(AKUN!H21),-N(AKUN!H21)))</f>
        <v>-113100685</v>
      </c>
      <c r="R21" s="117" t="n">
        <f aca="false">SUMIFS(E21:P21,$E$4:$P$4,"&lt;="&amp;BLN)</f>
        <v>0</v>
      </c>
      <c r="S21" s="117" t="n">
        <f aca="false">Q21+R21</f>
        <v>-113100685</v>
      </c>
      <c r="T21" s="93" t="str">
        <f aca="false">IF(AKUN!F21="","",AKUN!F21)</f>
        <v>PENDANAAN</v>
      </c>
    </row>
    <row r="22" customFormat="false" ht="15" hidden="false" customHeight="false" outlineLevel="0" collapsed="false">
      <c r="A22" s="93" t="str">
        <f aca="false">IF(AKUN!A22="","",AKUN!A22)</f>
        <v>3102</v>
      </c>
      <c r="B22" s="93" t="str">
        <f aca="false">IF(AKUN!B22="","",AKUN!B22)</f>
        <v>Prive</v>
      </c>
      <c r="C22" s="93" t="str">
        <f aca="false">IF(AKUN!C22="","",AKUN!C22)</f>
        <v>EKUITAS</v>
      </c>
      <c r="D22" s="93" t="str">
        <f aca="false">IF(AKUN!E22="","",AKUN!E22)</f>
        <v>D</v>
      </c>
      <c r="E22" s="117" t="n">
        <f aca="false">IF($B22="",0,SUMIFS(J_NOM,J_DEB,$B22,J_BLN,E$4,J_THN,TAHUN)-SUMIFS(J_NOM,J_KRE,$B22,J_BLN,E$4,J_THN,TAHUN))</f>
        <v>3411000</v>
      </c>
      <c r="F22" s="117" t="n">
        <f aca="false">IF($B22="",0,SUMIFS(J_NOM,J_DEB,$B22,J_BLN,F$4,J_THN,TAHUN)-SUMIFS(J_NOM,J_KRE,$B22,J_BLN,F$4,J_THN,TAHUN))</f>
        <v>3576000</v>
      </c>
      <c r="G22" s="117" t="n">
        <f aca="false">IF($B22="",0,SUMIFS(J_NOM,J_DEB,$B22,J_BLN,G$4,J_THN,TAHUN)-SUMIFS(J_NOM,J_KRE,$B22,J_BLN,G$4,J_THN,TAHUN))</f>
        <v>4087300</v>
      </c>
      <c r="H22" s="117" t="n">
        <f aca="false">IF($B22="",0,SUMIFS(J_NOM,J_DEB,$B22,J_BLN,H$4,J_THN,TAHUN)-SUMIFS(J_NOM,J_KRE,$B22,J_BLN,H$4,J_THN,TAHUN))</f>
        <v>3271100</v>
      </c>
      <c r="I22" s="117" t="n">
        <f aca="false">IF($B22="",0,SUMIFS(J_NOM,J_DEB,$B22,J_BLN,I$4,J_THN,TAHUN)-SUMIFS(J_NOM,J_KRE,$B22,J_BLN,I$4,J_THN,TAHUN))</f>
        <v>4159500</v>
      </c>
      <c r="J22" s="117" t="n">
        <f aca="false">IF($B22="",0,SUMIFS(J_NOM,J_DEB,$B22,J_BLN,J$4,J_THN,TAHUN)-SUMIFS(J_NOM,J_KRE,$B22,J_BLN,J$4,J_THN,TAHUN))</f>
        <v>3410800</v>
      </c>
      <c r="K22" s="117" t="n">
        <f aca="false">IF($B22="",0,SUMIFS(J_NOM,J_DEB,$B22,J_BLN,K$4,J_THN,TAHUN)-SUMIFS(J_NOM,J_KRE,$B22,J_BLN,K$4,J_THN,TAHUN))</f>
        <v>5656400</v>
      </c>
      <c r="L22" s="117" t="n">
        <f aca="false">IF($B22="",0,SUMIFS(J_NOM,J_DEB,$B22,J_BLN,L$4,J_THN,TAHUN)-SUMIFS(J_NOM,J_KRE,$B22,J_BLN,L$4,J_THN,TAHUN))</f>
        <v>1780650</v>
      </c>
      <c r="M22" s="117" t="n">
        <f aca="false">IF($B22="",0,SUMIFS(J_NOM,J_DEB,$B22,J_BLN,M$4,J_THN,TAHUN)-SUMIFS(J_NOM,J_KRE,$B22,J_BLN,M$4,J_THN,TAHUN))</f>
        <v>1632000</v>
      </c>
      <c r="N22" s="117" t="n">
        <f aca="false">IF($B22="",0,SUMIFS(J_NOM,J_DEB,$B22,J_BLN,N$4,J_THN,TAHUN)-SUMIFS(J_NOM,J_KRE,$B22,J_BLN,N$4,J_THN,TAHUN))</f>
        <v>424200</v>
      </c>
      <c r="O22" s="117" t="n">
        <f aca="false">IF($B22="",0,SUMIFS(J_NOM,J_DEB,$B22,J_BLN,O$4,J_THN,TAHUN)-SUMIFS(J_NOM,J_KRE,$B22,J_BLN,O$4,J_THN,TAHUN))</f>
        <v>0</v>
      </c>
      <c r="P22" s="117" t="n">
        <f aca="false">IF($B22="",0,SUMIFS(J_NOM,J_DEB,$B22,J_BLN,P$4,J_THN,TAHUN)-SUMIFS(J_NOM,J_KRE,$B22,J_BLN,P$4,J_THN,TAHUN))</f>
        <v>0</v>
      </c>
      <c r="Q22" s="117" t="n">
        <f aca="false">IF($B22="",0,IF(D22="D",N(AKUN!H22),-N(AKUN!H22)))</f>
        <v>0</v>
      </c>
      <c r="R22" s="117" t="n">
        <f aca="false">SUMIFS(E22:P22,$E$4:$P$4,"&lt;="&amp;BLN)</f>
        <v>30984750</v>
      </c>
      <c r="S22" s="117" t="n">
        <f aca="false">Q22+R22</f>
        <v>30984750</v>
      </c>
      <c r="T22" s="93" t="str">
        <f aca="false">IF(AKUN!F22="","",AKUN!F22)</f>
        <v>PENDANAAN</v>
      </c>
    </row>
    <row r="23" customFormat="false" ht="15" hidden="false" customHeight="false" outlineLevel="0" collapsed="false">
      <c r="A23" s="93" t="str">
        <f aca="false">IF(AKUN!A23="","",AKUN!A23)</f>
        <v>4101</v>
      </c>
      <c r="B23" s="93" t="str">
        <f aca="false">IF(AKUN!B23="","",AKUN!B23)</f>
        <v>Pendapatan Cafe</v>
      </c>
      <c r="C23" s="93" t="str">
        <f aca="false">IF(AKUN!C23="","",AKUN!C23)</f>
        <v>PENDAPATAN</v>
      </c>
      <c r="D23" s="93" t="str">
        <f aca="false">IF(AKUN!E23="","",AKUN!E23)</f>
        <v>K</v>
      </c>
      <c r="E23" s="117" t="n">
        <f aca="false">IF($B23="",0,SUMIFS(J_NOM,J_DEB,$B23,J_BLN,E$4,J_THN,TAHUN)-SUMIFS(J_NOM,J_KRE,$B23,J_BLN,E$4,J_THN,TAHUN))</f>
        <v>-90683177</v>
      </c>
      <c r="F23" s="117" t="n">
        <f aca="false">IF($B23="",0,SUMIFS(J_NOM,J_DEB,$B23,J_BLN,F$4,J_THN,TAHUN)-SUMIFS(J_NOM,J_KRE,$B23,J_BLN,F$4,J_THN,TAHUN))</f>
        <v>-73106388</v>
      </c>
      <c r="G23" s="117" t="n">
        <f aca="false">IF($B23="",0,SUMIFS(J_NOM,J_DEB,$B23,J_BLN,G$4,J_THN,TAHUN)-SUMIFS(J_NOM,J_KRE,$B23,J_BLN,G$4,J_THN,TAHUN))</f>
        <v>-102509844</v>
      </c>
      <c r="H23" s="117" t="n">
        <f aca="false">IF($B23="",0,SUMIFS(J_NOM,J_DEB,$B23,J_BLN,H$4,J_THN,TAHUN)-SUMIFS(J_NOM,J_KRE,$B23,J_BLN,H$4,J_THN,TAHUN))</f>
        <v>-94551888</v>
      </c>
      <c r="I23" s="117" t="n">
        <f aca="false">IF($B23="",0,SUMIFS(J_NOM,J_DEB,$B23,J_BLN,I$4,J_THN,TAHUN)-SUMIFS(J_NOM,J_KRE,$B23,J_BLN,I$4,J_THN,TAHUN))</f>
        <v>-111312774</v>
      </c>
      <c r="J23" s="117" t="n">
        <f aca="false">IF($B23="",0,SUMIFS(J_NOM,J_DEB,$B23,J_BLN,J$4,J_THN,TAHUN)-SUMIFS(J_NOM,J_KRE,$B23,J_BLN,J$4,J_THN,TAHUN))</f>
        <v>-105398227</v>
      </c>
      <c r="K23" s="117" t="n">
        <f aca="false">IF($B23="",0,SUMIFS(J_NOM,J_DEB,$B23,J_BLN,K$4,J_THN,TAHUN)-SUMIFS(J_NOM,J_KRE,$B23,J_BLN,K$4,J_THN,TAHUN))</f>
        <v>-93923281</v>
      </c>
      <c r="L23" s="117" t="n">
        <f aca="false">IF($B23="",0,SUMIFS(J_NOM,J_DEB,$B23,J_BLN,L$4,J_THN,TAHUN)-SUMIFS(J_NOM,J_KRE,$B23,J_BLN,L$4,J_THN,TAHUN))</f>
        <v>-94790934</v>
      </c>
      <c r="M23" s="117" t="n">
        <f aca="false">IF($B23="",0,SUMIFS(J_NOM,J_DEB,$B23,J_BLN,M$4,J_THN,TAHUN)-SUMIFS(J_NOM,J_KRE,$B23,J_BLN,M$4,J_THN,TAHUN))</f>
        <v>-92214820</v>
      </c>
      <c r="N23" s="117" t="n">
        <f aca="false">IF($B23="",0,SUMIFS(J_NOM,J_DEB,$B23,J_BLN,N$4,J_THN,TAHUN)-SUMIFS(J_NOM,J_KRE,$B23,J_BLN,N$4,J_THN,TAHUN))</f>
        <v>-32835456</v>
      </c>
      <c r="O23" s="117" t="n">
        <f aca="false">IF($B23="",0,SUMIFS(J_NOM,J_DEB,$B23,J_BLN,O$4,J_THN,TAHUN)-SUMIFS(J_NOM,J_KRE,$B23,J_BLN,O$4,J_THN,TAHUN))</f>
        <v>0</v>
      </c>
      <c r="P23" s="117" t="n">
        <f aca="false">IF($B23="",0,SUMIFS(J_NOM,J_DEB,$B23,J_BLN,P$4,J_THN,TAHUN)-SUMIFS(J_NOM,J_KRE,$B23,J_BLN,P$4,J_THN,TAHUN))</f>
        <v>0</v>
      </c>
      <c r="Q23" s="117" t="n">
        <f aca="false">IF($B23="",0,IF(D23="D",N(AKUN!H23),-N(AKUN!H23)))</f>
        <v>-0</v>
      </c>
      <c r="R23" s="117" t="n">
        <f aca="false">SUMIFS(E23:P23,$E$4:$P$4,"&lt;="&amp;BLN)</f>
        <v>-858491333</v>
      </c>
      <c r="S23" s="117" t="n">
        <f aca="false">Q23+R23</f>
        <v>-858491333</v>
      </c>
      <c r="T23" s="93" t="str">
        <f aca="false">IF(AKUN!F23="","",AKUN!F23)</f>
        <v>OPERASI</v>
      </c>
    </row>
    <row r="24" customFormat="false" ht="15" hidden="false" customHeight="false" outlineLevel="0" collapsed="false">
      <c r="A24" s="93" t="str">
        <f aca="false">IF(AKUN!A24="","",AKUN!A24)</f>
        <v>4102</v>
      </c>
      <c r="B24" s="93" t="str">
        <f aca="false">IF(AKUN!B24="","",AKUN!B24)</f>
        <v>Pendapatan non Cafe</v>
      </c>
      <c r="C24" s="93" t="str">
        <f aca="false">IF(AKUN!C24="","",AKUN!C24)</f>
        <v>PENDAPATAN</v>
      </c>
      <c r="D24" s="93" t="str">
        <f aca="false">IF(AKUN!E24="","",AKUN!E24)</f>
        <v>K</v>
      </c>
      <c r="E24" s="117" t="n">
        <f aca="false">IF($B24="",0,SUMIFS(J_NOM,J_DEB,$B24,J_BLN,E$4,J_THN,TAHUN)-SUMIFS(J_NOM,J_KRE,$B24,J_BLN,E$4,J_THN,TAHUN))</f>
        <v>-7870000</v>
      </c>
      <c r="F24" s="117" t="n">
        <f aca="false">IF($B24="",0,SUMIFS(J_NOM,J_DEB,$B24,J_BLN,F$4,J_THN,TAHUN)-SUMIFS(J_NOM,J_KRE,$B24,J_BLN,F$4,J_THN,TAHUN))</f>
        <v>-1860000</v>
      </c>
      <c r="G24" s="117" t="n">
        <f aca="false">IF($B24="",0,SUMIFS(J_NOM,J_DEB,$B24,J_BLN,G$4,J_THN,TAHUN)-SUMIFS(J_NOM,J_KRE,$B24,J_BLN,G$4,J_THN,TAHUN))</f>
        <v>0</v>
      </c>
      <c r="H24" s="117" t="n">
        <f aca="false">IF($B24="",0,SUMIFS(J_NOM,J_DEB,$B24,J_BLN,H$4,J_THN,TAHUN)-SUMIFS(J_NOM,J_KRE,$B24,J_BLN,H$4,J_THN,TAHUN))</f>
        <v>0</v>
      </c>
      <c r="I24" s="117" t="n">
        <f aca="false">IF($B24="",0,SUMIFS(J_NOM,J_DEB,$B24,J_BLN,I$4,J_THN,TAHUN)-SUMIFS(J_NOM,J_KRE,$B24,J_BLN,I$4,J_THN,TAHUN))</f>
        <v>-1300000</v>
      </c>
      <c r="J24" s="117" t="n">
        <f aca="false">IF($B24="",0,SUMIFS(J_NOM,J_DEB,$B24,J_BLN,J$4,J_THN,TAHUN)-SUMIFS(J_NOM,J_KRE,$B24,J_BLN,J$4,J_THN,TAHUN))</f>
        <v>0</v>
      </c>
      <c r="K24" s="117" t="n">
        <f aca="false">IF($B24="",0,SUMIFS(J_NOM,J_DEB,$B24,J_BLN,K$4,J_THN,TAHUN)-SUMIFS(J_NOM,J_KRE,$B24,J_BLN,K$4,J_THN,TAHUN))</f>
        <v>0</v>
      </c>
      <c r="L24" s="117" t="n">
        <f aca="false">IF($B24="",0,SUMIFS(J_NOM,J_DEB,$B24,J_BLN,L$4,J_THN,TAHUN)-SUMIFS(J_NOM,J_KRE,$B24,J_BLN,L$4,J_THN,TAHUN))</f>
        <v>-1678800</v>
      </c>
      <c r="M24" s="117" t="n">
        <f aca="false">IF($B24="",0,SUMIFS(J_NOM,J_DEB,$B24,J_BLN,M$4,J_THN,TAHUN)-SUMIFS(J_NOM,J_KRE,$B24,J_BLN,M$4,J_THN,TAHUN))</f>
        <v>-2394250</v>
      </c>
      <c r="N24" s="117" t="n">
        <f aca="false">IF($B24="",0,SUMIFS(J_NOM,J_DEB,$B24,J_BLN,N$4,J_THN,TAHUN)-SUMIFS(J_NOM,J_KRE,$B24,J_BLN,N$4,J_THN,TAHUN))</f>
        <v>-1994000</v>
      </c>
      <c r="O24" s="117" t="n">
        <f aca="false">IF($B24="",0,SUMIFS(J_NOM,J_DEB,$B24,J_BLN,O$4,J_THN,TAHUN)-SUMIFS(J_NOM,J_KRE,$B24,J_BLN,O$4,J_THN,TAHUN))</f>
        <v>0</v>
      </c>
      <c r="P24" s="117" t="n">
        <f aca="false">IF($B24="",0,SUMIFS(J_NOM,J_DEB,$B24,J_BLN,P$4,J_THN,TAHUN)-SUMIFS(J_NOM,J_KRE,$B24,J_BLN,P$4,J_THN,TAHUN))</f>
        <v>0</v>
      </c>
      <c r="Q24" s="117" t="n">
        <f aca="false">IF($B24="",0,IF(D24="D",N(AKUN!H24),-N(AKUN!H24)))</f>
        <v>-0</v>
      </c>
      <c r="R24" s="117" t="n">
        <f aca="false">SUMIFS(E24:P24,$E$4:$P$4,"&lt;="&amp;BLN)</f>
        <v>-15103050</v>
      </c>
      <c r="S24" s="117" t="n">
        <f aca="false">Q24+R24</f>
        <v>-15103050</v>
      </c>
      <c r="T24" s="93" t="str">
        <f aca="false">IF(AKUN!F24="","",AKUN!F24)</f>
        <v>OPERASI</v>
      </c>
    </row>
    <row r="25" customFormat="false" ht="15" hidden="false" customHeight="false" outlineLevel="0" collapsed="false">
      <c r="A25" s="93" t="str">
        <f aca="false">IF(AKUN!A25="","",AKUN!A25)</f>
        <v>4901</v>
      </c>
      <c r="B25" s="93" t="str">
        <f aca="false">IF(AKUN!B25="","",AKUN!B25)</f>
        <v>Pajak Restoran</v>
      </c>
      <c r="C25" s="93" t="str">
        <f aca="false">IF(AKUN!C25="","",AKUN!C25)</f>
        <v>PENDAPATAN</v>
      </c>
      <c r="D25" s="93" t="str">
        <f aca="false">IF(AKUN!E25="","",AKUN!E25)</f>
        <v>D</v>
      </c>
      <c r="E25" s="117" t="n">
        <f aca="false">IF($B25="",0,SUMIFS(J_NOM,J_DEB,$B25,J_BLN,E$4,J_THN,TAHUN)-SUMIFS(J_NOM,J_KRE,$B25,J_BLN,E$4,J_THN,TAHUN))</f>
        <v>8272195</v>
      </c>
      <c r="F25" s="117" t="n">
        <f aca="false">IF($B25="",0,SUMIFS(J_NOM,J_DEB,$B25,J_BLN,F$4,J_THN,TAHUN)-SUMIFS(J_NOM,J_KRE,$B25,J_BLN,F$4,J_THN,TAHUN))</f>
        <v>6655045</v>
      </c>
      <c r="G25" s="117" t="n">
        <f aca="false">IF($B25="",0,SUMIFS(J_NOM,J_DEB,$B25,J_BLN,G$4,J_THN,TAHUN)-SUMIFS(J_NOM,J_KRE,$B25,J_BLN,G$4,J_THN,TAHUN))</f>
        <v>9305823</v>
      </c>
      <c r="H25" s="117" t="n">
        <f aca="false">IF($B25="",0,SUMIFS(J_NOM,J_DEB,$B25,J_BLN,H$4,J_THN,TAHUN)-SUMIFS(J_NOM,J_KRE,$B25,J_BLN,H$4,J_THN,TAHUN))</f>
        <v>8597164</v>
      </c>
      <c r="I25" s="117" t="n">
        <f aca="false">IF($B25="",0,SUMIFS(J_NOM,J_DEB,$B25,J_BLN,I$4,J_THN,TAHUN)-SUMIFS(J_NOM,J_KRE,$B25,J_BLN,I$4,J_THN,TAHUN))</f>
        <v>10117905</v>
      </c>
      <c r="J25" s="117" t="n">
        <f aca="false">IF($B25="",0,SUMIFS(J_NOM,J_DEB,$B25,J_BLN,J$4,J_THN,TAHUN)-SUMIFS(J_NOM,J_KRE,$B25,J_BLN,J$4,J_THN,TAHUN))</f>
        <v>9581136</v>
      </c>
      <c r="K25" s="117" t="n">
        <f aca="false">IF($B25="",0,SUMIFS(J_NOM,J_DEB,$B25,J_BLN,K$4,J_THN,TAHUN)-SUMIFS(J_NOM,J_KRE,$B25,J_BLN,K$4,J_THN,TAHUN))</f>
        <v>8541786</v>
      </c>
      <c r="L25" s="117" t="n">
        <f aca="false">IF($B25="",0,SUMIFS(J_NOM,J_DEB,$B25,J_BLN,L$4,J_THN,TAHUN)-SUMIFS(J_NOM,J_KRE,$B25,J_BLN,L$4,J_THN,TAHUN))</f>
        <v>8627977</v>
      </c>
      <c r="M25" s="117" t="n">
        <f aca="false">IF($B25="",0,SUMIFS(J_NOM,J_DEB,$B25,J_BLN,M$4,J_THN,TAHUN)-SUMIFS(J_NOM,J_KRE,$B25,J_BLN,M$4,J_THN,TAHUN))</f>
        <v>8389450</v>
      </c>
      <c r="N25" s="117" t="n">
        <f aca="false">IF($B25="",0,SUMIFS(J_NOM,J_DEB,$B25,J_BLN,N$4,J_THN,TAHUN)-SUMIFS(J_NOM,J_KRE,$B25,J_BLN,N$4,J_THN,TAHUN))</f>
        <v>0</v>
      </c>
      <c r="O25" s="117" t="n">
        <f aca="false">IF($B25="",0,SUMIFS(J_NOM,J_DEB,$B25,J_BLN,O$4,J_THN,TAHUN)-SUMIFS(J_NOM,J_KRE,$B25,J_BLN,O$4,J_THN,TAHUN))</f>
        <v>0</v>
      </c>
      <c r="P25" s="117" t="n">
        <f aca="false">IF($B25="",0,SUMIFS(J_NOM,J_DEB,$B25,J_BLN,P$4,J_THN,TAHUN)-SUMIFS(J_NOM,J_KRE,$B25,J_BLN,P$4,J_THN,TAHUN))</f>
        <v>0</v>
      </c>
      <c r="Q25" s="117" t="n">
        <f aca="false">IF($B25="",0,IF(D25="D",N(AKUN!H25),-N(AKUN!H25)))</f>
        <v>0</v>
      </c>
      <c r="R25" s="117" t="n">
        <f aca="false">SUMIFS(E25:P25,$E$4:$P$4,"&lt;="&amp;BLN)</f>
        <v>78088481</v>
      </c>
      <c r="S25" s="117" t="n">
        <f aca="false">Q25+R25</f>
        <v>78088481</v>
      </c>
      <c r="T25" s="93" t="str">
        <f aca="false">IF(AKUN!F25="","",AKUN!F25)</f>
        <v>OPERASI</v>
      </c>
    </row>
    <row r="26" customFormat="false" ht="15" hidden="false" customHeight="false" outlineLevel="0" collapsed="false">
      <c r="A26" s="93" t="str">
        <f aca="false">IF(AKUN!A26="","",AKUN!A26)</f>
        <v>5101</v>
      </c>
      <c r="B26" s="93" t="str">
        <f aca="false">IF(AKUN!B26="","",AKUN!B26)</f>
        <v>Biaya Bahan Baku</v>
      </c>
      <c r="C26" s="93" t="str">
        <f aca="false">IF(AKUN!C26="","",AKUN!C26)</f>
        <v>BEBAN</v>
      </c>
      <c r="D26" s="93" t="str">
        <f aca="false">IF(AKUN!E26="","",AKUN!E26)</f>
        <v>D</v>
      </c>
      <c r="E26" s="117" t="n">
        <f aca="false">IF($B26="",0,SUMIFS(J_NOM,J_DEB,$B26,J_BLN,E$4,J_THN,TAHUN)-SUMIFS(J_NOM,J_KRE,$B26,J_BLN,E$4,J_THN,TAHUN))</f>
        <v>25310200</v>
      </c>
      <c r="F26" s="117" t="n">
        <f aca="false">IF($B26="",0,SUMIFS(J_NOM,J_DEB,$B26,J_BLN,F$4,J_THN,TAHUN)-SUMIFS(J_NOM,J_KRE,$B26,J_BLN,F$4,J_THN,TAHUN))</f>
        <v>26953700</v>
      </c>
      <c r="G26" s="117" t="n">
        <f aca="false">IF($B26="",0,SUMIFS(J_NOM,J_DEB,$B26,J_BLN,G$4,J_THN,TAHUN)-SUMIFS(J_NOM,J_KRE,$B26,J_BLN,G$4,J_THN,TAHUN))</f>
        <v>28284387</v>
      </c>
      <c r="H26" s="117" t="n">
        <f aca="false">IF($B26="",0,SUMIFS(J_NOM,J_DEB,$B26,J_BLN,H$4,J_THN,TAHUN)-SUMIFS(J_NOM,J_KRE,$B26,J_BLN,H$4,J_THN,TAHUN))</f>
        <v>50730535</v>
      </c>
      <c r="I26" s="117" t="n">
        <f aca="false">IF($B26="",0,SUMIFS(J_NOM,J_DEB,$B26,J_BLN,I$4,J_THN,TAHUN)-SUMIFS(J_NOM,J_KRE,$B26,J_BLN,I$4,J_THN,TAHUN))</f>
        <v>31404673</v>
      </c>
      <c r="J26" s="117" t="n">
        <f aca="false">IF($B26="",0,SUMIFS(J_NOM,J_DEB,$B26,J_BLN,J$4,J_THN,TAHUN)-SUMIFS(J_NOM,J_KRE,$B26,J_BLN,J$4,J_THN,TAHUN))</f>
        <v>38670406</v>
      </c>
      <c r="K26" s="117" t="n">
        <f aca="false">IF($B26="",0,SUMIFS(J_NOM,J_DEB,$B26,J_BLN,K$4,J_THN,TAHUN)-SUMIFS(J_NOM,J_KRE,$B26,J_BLN,K$4,J_THN,TAHUN))</f>
        <v>31812694</v>
      </c>
      <c r="L26" s="117" t="n">
        <f aca="false">IF($B26="",0,SUMIFS(J_NOM,J_DEB,$B26,J_BLN,L$4,J_THN,TAHUN)-SUMIFS(J_NOM,J_KRE,$B26,J_BLN,L$4,J_THN,TAHUN))</f>
        <v>20123020</v>
      </c>
      <c r="M26" s="117" t="n">
        <f aca="false">IF($B26="",0,SUMIFS(J_NOM,J_DEB,$B26,J_BLN,M$4,J_THN,TAHUN)-SUMIFS(J_NOM,J_KRE,$B26,J_BLN,M$4,J_THN,TAHUN))</f>
        <v>49298099</v>
      </c>
      <c r="N26" s="117" t="n">
        <f aca="false">IF($B26="",0,SUMIFS(J_NOM,J_DEB,$B26,J_BLN,N$4,J_THN,TAHUN)-SUMIFS(J_NOM,J_KRE,$B26,J_BLN,N$4,J_THN,TAHUN))</f>
        <v>16798420</v>
      </c>
      <c r="O26" s="117" t="n">
        <f aca="false">IF($B26="",0,SUMIFS(J_NOM,J_DEB,$B26,J_BLN,O$4,J_THN,TAHUN)-SUMIFS(J_NOM,J_KRE,$B26,J_BLN,O$4,J_THN,TAHUN))</f>
        <v>0</v>
      </c>
      <c r="P26" s="117" t="n">
        <f aca="false">IF($B26="",0,SUMIFS(J_NOM,J_DEB,$B26,J_BLN,P$4,J_THN,TAHUN)-SUMIFS(J_NOM,J_KRE,$B26,J_BLN,P$4,J_THN,TAHUN))</f>
        <v>0</v>
      </c>
      <c r="Q26" s="117" t="n">
        <f aca="false">IF($B26="",0,IF(D26="D",N(AKUN!H26),-N(AKUN!H26)))</f>
        <v>0</v>
      </c>
      <c r="R26" s="117" t="n">
        <f aca="false">SUMIFS(E26:P26,$E$4:$P$4,"&lt;="&amp;BLN)</f>
        <v>302587714</v>
      </c>
      <c r="S26" s="117" t="n">
        <f aca="false">Q26+R26</f>
        <v>302587714</v>
      </c>
      <c r="T26" s="93" t="str">
        <f aca="false">IF(AKUN!F26="","",AKUN!F26)</f>
        <v>OPERASI</v>
      </c>
    </row>
    <row r="27" customFormat="false" ht="15" hidden="false" customHeight="false" outlineLevel="0" collapsed="false">
      <c r="A27" s="93" t="str">
        <f aca="false">IF(AKUN!A27="","",AKUN!A27)</f>
        <v>5102</v>
      </c>
      <c r="B27" s="93" t="str">
        <f aca="false">IF(AKUN!B27="","",AKUN!B27)</f>
        <v>Biaya Penyajian</v>
      </c>
      <c r="C27" s="93" t="str">
        <f aca="false">IF(AKUN!C27="","",AKUN!C27)</f>
        <v>BEBAN</v>
      </c>
      <c r="D27" s="93" t="str">
        <f aca="false">IF(AKUN!E27="","",AKUN!E27)</f>
        <v>D</v>
      </c>
      <c r="E27" s="117" t="n">
        <f aca="false">IF($B27="",0,SUMIFS(J_NOM,J_DEB,$B27,J_BLN,E$4,J_THN,TAHUN)-SUMIFS(J_NOM,J_KRE,$B27,J_BLN,E$4,J_THN,TAHUN))</f>
        <v>2858100</v>
      </c>
      <c r="F27" s="117" t="n">
        <f aca="false">IF($B27="",0,SUMIFS(J_NOM,J_DEB,$B27,J_BLN,F$4,J_THN,TAHUN)-SUMIFS(J_NOM,J_KRE,$B27,J_BLN,F$4,J_THN,TAHUN))</f>
        <v>4280010</v>
      </c>
      <c r="G27" s="117" t="n">
        <f aca="false">IF($B27="",0,SUMIFS(J_NOM,J_DEB,$B27,J_BLN,G$4,J_THN,TAHUN)-SUMIFS(J_NOM,J_KRE,$B27,J_BLN,G$4,J_THN,TAHUN))</f>
        <v>4752800</v>
      </c>
      <c r="H27" s="117" t="n">
        <f aca="false">IF($B27="",0,SUMIFS(J_NOM,J_DEB,$B27,J_BLN,H$4,J_THN,TAHUN)-SUMIFS(J_NOM,J_KRE,$B27,J_BLN,H$4,J_THN,TAHUN))</f>
        <v>5438259</v>
      </c>
      <c r="I27" s="117" t="n">
        <f aca="false">IF($B27="",0,SUMIFS(J_NOM,J_DEB,$B27,J_BLN,I$4,J_THN,TAHUN)-SUMIFS(J_NOM,J_KRE,$B27,J_BLN,I$4,J_THN,TAHUN))</f>
        <v>3320500</v>
      </c>
      <c r="J27" s="117" t="n">
        <f aca="false">IF($B27="",0,SUMIFS(J_NOM,J_DEB,$B27,J_BLN,J$4,J_THN,TAHUN)-SUMIFS(J_NOM,J_KRE,$B27,J_BLN,J$4,J_THN,TAHUN))</f>
        <v>6466101</v>
      </c>
      <c r="K27" s="117" t="n">
        <f aca="false">IF($B27="",0,SUMIFS(J_NOM,J_DEB,$B27,J_BLN,K$4,J_THN,TAHUN)-SUMIFS(J_NOM,J_KRE,$B27,J_BLN,K$4,J_THN,TAHUN))</f>
        <v>2105350</v>
      </c>
      <c r="L27" s="117" t="n">
        <f aca="false">IF($B27="",0,SUMIFS(J_NOM,J_DEB,$B27,J_BLN,L$4,J_THN,TAHUN)-SUMIFS(J_NOM,J_KRE,$B27,J_BLN,L$4,J_THN,TAHUN))</f>
        <v>2970000</v>
      </c>
      <c r="M27" s="117" t="n">
        <f aca="false">IF($B27="",0,SUMIFS(J_NOM,J_DEB,$B27,J_BLN,M$4,J_THN,TAHUN)-SUMIFS(J_NOM,J_KRE,$B27,J_BLN,M$4,J_THN,TAHUN))</f>
        <v>3800700</v>
      </c>
      <c r="N27" s="117" t="n">
        <f aca="false">IF($B27="",0,SUMIFS(J_NOM,J_DEB,$B27,J_BLN,N$4,J_THN,TAHUN)-SUMIFS(J_NOM,J_KRE,$B27,J_BLN,N$4,J_THN,TAHUN))</f>
        <v>0</v>
      </c>
      <c r="O27" s="117" t="n">
        <f aca="false">IF($B27="",0,SUMIFS(J_NOM,J_DEB,$B27,J_BLN,O$4,J_THN,TAHUN)-SUMIFS(J_NOM,J_KRE,$B27,J_BLN,O$4,J_THN,TAHUN))</f>
        <v>0</v>
      </c>
      <c r="P27" s="117" t="n">
        <f aca="false">IF($B27="",0,SUMIFS(J_NOM,J_DEB,$B27,J_BLN,P$4,J_THN,TAHUN)-SUMIFS(J_NOM,J_KRE,$B27,J_BLN,P$4,J_THN,TAHUN))</f>
        <v>0</v>
      </c>
      <c r="Q27" s="117" t="n">
        <f aca="false">IF($B27="",0,IF(D27="D",N(AKUN!H27),-N(AKUN!H27)))</f>
        <v>0</v>
      </c>
      <c r="R27" s="117" t="n">
        <f aca="false">SUMIFS(E27:P27,$E$4:$P$4,"&lt;="&amp;BLN)</f>
        <v>35991820</v>
      </c>
      <c r="S27" s="117" t="n">
        <f aca="false">Q27+R27</f>
        <v>35991820</v>
      </c>
      <c r="T27" s="93" t="str">
        <f aca="false">IF(AKUN!F27="","",AKUN!F27)</f>
        <v>OPERASI</v>
      </c>
    </row>
    <row r="28" customFormat="false" ht="15" hidden="false" customHeight="false" outlineLevel="0" collapsed="false">
      <c r="A28" s="93" t="str">
        <f aca="false">IF(AKUN!A28="","",AKUN!A28)</f>
        <v>6101</v>
      </c>
      <c r="B28" s="93" t="str">
        <f aca="false">IF(AKUN!B28="","",AKUN!B28)</f>
        <v>Beban Gaji</v>
      </c>
      <c r="C28" s="93" t="str">
        <f aca="false">IF(AKUN!C28="","",AKUN!C28)</f>
        <v>BEBAN</v>
      </c>
      <c r="D28" s="93" t="str">
        <f aca="false">IF(AKUN!E28="","",AKUN!E28)</f>
        <v>D</v>
      </c>
      <c r="E28" s="117" t="n">
        <f aca="false">IF($B28="",0,SUMIFS(J_NOM,J_DEB,$B28,J_BLN,E$4,J_THN,TAHUN)-SUMIFS(J_NOM,J_KRE,$B28,J_BLN,E$4,J_THN,TAHUN))</f>
        <v>25630000</v>
      </c>
      <c r="F28" s="117" t="n">
        <f aca="false">IF($B28="",0,SUMIFS(J_NOM,J_DEB,$B28,J_BLN,F$4,J_THN,TAHUN)-SUMIFS(J_NOM,J_KRE,$B28,J_BLN,F$4,J_THN,TAHUN))</f>
        <v>26694500</v>
      </c>
      <c r="G28" s="117" t="n">
        <f aca="false">IF($B28="",0,SUMIFS(J_NOM,J_DEB,$B28,J_BLN,G$4,J_THN,TAHUN)-SUMIFS(J_NOM,J_KRE,$B28,J_BLN,G$4,J_THN,TAHUN))</f>
        <v>42902000</v>
      </c>
      <c r="H28" s="117" t="n">
        <f aca="false">IF($B28="",0,SUMIFS(J_NOM,J_DEB,$B28,J_BLN,H$4,J_THN,TAHUN)-SUMIFS(J_NOM,J_KRE,$B28,J_BLN,H$4,J_THN,TAHUN))</f>
        <v>27266000</v>
      </c>
      <c r="I28" s="117" t="n">
        <f aca="false">IF($B28="",0,SUMIFS(J_NOM,J_DEB,$B28,J_BLN,I$4,J_THN,TAHUN)-SUMIFS(J_NOM,J_KRE,$B28,J_BLN,I$4,J_THN,TAHUN))</f>
        <v>29405333</v>
      </c>
      <c r="J28" s="117" t="n">
        <f aca="false">IF($B28="",0,SUMIFS(J_NOM,J_DEB,$B28,J_BLN,J$4,J_THN,TAHUN)-SUMIFS(J_NOM,J_KRE,$B28,J_BLN,J$4,J_THN,TAHUN))</f>
        <v>30293333</v>
      </c>
      <c r="K28" s="117" t="n">
        <f aca="false">IF($B28="",0,SUMIFS(J_NOM,J_DEB,$B28,J_BLN,K$4,J_THN,TAHUN)-SUMIFS(J_NOM,J_KRE,$B28,J_BLN,K$4,J_THN,TAHUN))</f>
        <v>22761333</v>
      </c>
      <c r="L28" s="117" t="n">
        <f aca="false">IF($B28="",0,SUMIFS(J_NOM,J_DEB,$B28,J_BLN,L$4,J_THN,TAHUN)-SUMIFS(J_NOM,J_KRE,$B28,J_BLN,L$4,J_THN,TAHUN))</f>
        <v>24169333</v>
      </c>
      <c r="M28" s="117" t="n">
        <f aca="false">IF($B28="",0,SUMIFS(J_NOM,J_DEB,$B28,J_BLN,M$4,J_THN,TAHUN)-SUMIFS(J_NOM,J_KRE,$B28,J_BLN,M$4,J_THN,TAHUN))</f>
        <v>24792333</v>
      </c>
      <c r="N28" s="117" t="n">
        <f aca="false">IF($B28="",0,SUMIFS(J_NOM,J_DEB,$B28,J_BLN,N$4,J_THN,TAHUN)-SUMIFS(J_NOM,J_KRE,$B28,J_BLN,N$4,J_THN,TAHUN))</f>
        <v>0</v>
      </c>
      <c r="O28" s="117" t="n">
        <f aca="false">IF($B28="",0,SUMIFS(J_NOM,J_DEB,$B28,J_BLN,O$4,J_THN,TAHUN)-SUMIFS(J_NOM,J_KRE,$B28,J_BLN,O$4,J_THN,TAHUN))</f>
        <v>0</v>
      </c>
      <c r="P28" s="117" t="n">
        <f aca="false">IF($B28="",0,SUMIFS(J_NOM,J_DEB,$B28,J_BLN,P$4,J_THN,TAHUN)-SUMIFS(J_NOM,J_KRE,$B28,J_BLN,P$4,J_THN,TAHUN))</f>
        <v>0</v>
      </c>
      <c r="Q28" s="117" t="n">
        <f aca="false">IF($B28="",0,IF(D28="D",N(AKUN!H28),-N(AKUN!H28)))</f>
        <v>0</v>
      </c>
      <c r="R28" s="117" t="n">
        <f aca="false">SUMIFS(E28:P28,$E$4:$P$4,"&lt;="&amp;BLN)</f>
        <v>253914165</v>
      </c>
      <c r="S28" s="117" t="n">
        <f aca="false">Q28+R28</f>
        <v>253914165</v>
      </c>
      <c r="T28" s="93" t="str">
        <f aca="false">IF(AKUN!F28="","",AKUN!F28)</f>
        <v>OPERASI</v>
      </c>
    </row>
    <row r="29" customFormat="false" ht="15" hidden="false" customHeight="false" outlineLevel="0" collapsed="false">
      <c r="A29" s="93" t="str">
        <f aca="false">IF(AKUN!A29="","",AKUN!A29)</f>
        <v>6102</v>
      </c>
      <c r="B29" s="93" t="str">
        <f aca="false">IF(AKUN!B29="","",AKUN!B29)</f>
        <v>Biaya Sewa Tempat</v>
      </c>
      <c r="C29" s="93" t="str">
        <f aca="false">IF(AKUN!C29="","",AKUN!C29)</f>
        <v>BEBAN</v>
      </c>
      <c r="D29" s="93" t="str">
        <f aca="false">IF(AKUN!E29="","",AKUN!E29)</f>
        <v>D</v>
      </c>
      <c r="E29" s="117" t="n">
        <f aca="false">IF($B29="",0,SUMIFS(J_NOM,J_DEB,$B29,J_BLN,E$4,J_THN,TAHUN)-SUMIFS(J_NOM,J_KRE,$B29,J_BLN,E$4,J_THN,TAHUN))</f>
        <v>10000000</v>
      </c>
      <c r="F29" s="117" t="n">
        <f aca="false">IF($B29="",0,SUMIFS(J_NOM,J_DEB,$B29,J_BLN,F$4,J_THN,TAHUN)-SUMIFS(J_NOM,J_KRE,$B29,J_BLN,F$4,J_THN,TAHUN))</f>
        <v>10000000</v>
      </c>
      <c r="G29" s="117" t="n">
        <f aca="false">IF($B29="",0,SUMIFS(J_NOM,J_DEB,$B29,J_BLN,G$4,J_THN,TAHUN)-SUMIFS(J_NOM,J_KRE,$B29,J_BLN,G$4,J_THN,TAHUN))</f>
        <v>10000000</v>
      </c>
      <c r="H29" s="117" t="n">
        <f aca="false">IF($B29="",0,SUMIFS(J_NOM,J_DEB,$B29,J_BLN,H$4,J_THN,TAHUN)-SUMIFS(J_NOM,J_KRE,$B29,J_BLN,H$4,J_THN,TAHUN))</f>
        <v>10000000</v>
      </c>
      <c r="I29" s="117" t="n">
        <f aca="false">IF($B29="",0,SUMIFS(J_NOM,J_DEB,$B29,J_BLN,I$4,J_THN,TAHUN)-SUMIFS(J_NOM,J_KRE,$B29,J_BLN,I$4,J_THN,TAHUN))</f>
        <v>10000000</v>
      </c>
      <c r="J29" s="117" t="n">
        <f aca="false">IF($B29="",0,SUMIFS(J_NOM,J_DEB,$B29,J_BLN,J$4,J_THN,TAHUN)-SUMIFS(J_NOM,J_KRE,$B29,J_BLN,J$4,J_THN,TAHUN))</f>
        <v>0</v>
      </c>
      <c r="K29" s="117" t="n">
        <f aca="false">IF($B29="",0,SUMIFS(J_NOM,J_DEB,$B29,J_BLN,K$4,J_THN,TAHUN)-SUMIFS(J_NOM,J_KRE,$B29,J_BLN,K$4,J_THN,TAHUN))</f>
        <v>10000000</v>
      </c>
      <c r="L29" s="117" t="n">
        <f aca="false">IF($B29="",0,SUMIFS(J_NOM,J_DEB,$B29,J_BLN,L$4,J_THN,TAHUN)-SUMIFS(J_NOM,J_KRE,$B29,J_BLN,L$4,J_THN,TAHUN))</f>
        <v>10000000</v>
      </c>
      <c r="M29" s="117" t="n">
        <f aca="false">IF($B29="",0,SUMIFS(J_NOM,J_DEB,$B29,J_BLN,M$4,J_THN,TAHUN)-SUMIFS(J_NOM,J_KRE,$B29,J_BLN,M$4,J_THN,TAHUN))</f>
        <v>10000000</v>
      </c>
      <c r="N29" s="117" t="n">
        <f aca="false">IF($B29="",0,SUMIFS(J_NOM,J_DEB,$B29,J_BLN,N$4,J_THN,TAHUN)-SUMIFS(J_NOM,J_KRE,$B29,J_BLN,N$4,J_THN,TAHUN))</f>
        <v>0</v>
      </c>
      <c r="O29" s="117" t="n">
        <f aca="false">IF($B29="",0,SUMIFS(J_NOM,J_DEB,$B29,J_BLN,O$4,J_THN,TAHUN)-SUMIFS(J_NOM,J_KRE,$B29,J_BLN,O$4,J_THN,TAHUN))</f>
        <v>0</v>
      </c>
      <c r="P29" s="117" t="n">
        <f aca="false">IF($B29="",0,SUMIFS(J_NOM,J_DEB,$B29,J_BLN,P$4,J_THN,TAHUN)-SUMIFS(J_NOM,J_KRE,$B29,J_BLN,P$4,J_THN,TAHUN))</f>
        <v>0</v>
      </c>
      <c r="Q29" s="117" t="n">
        <f aca="false">IF($B29="",0,IF(D29="D",N(AKUN!H29),-N(AKUN!H29)))</f>
        <v>0</v>
      </c>
      <c r="R29" s="117" t="n">
        <f aca="false">SUMIFS(E29:P29,$E$4:$P$4,"&lt;="&amp;BLN)</f>
        <v>80000000</v>
      </c>
      <c r="S29" s="117" t="n">
        <f aca="false">Q29+R29</f>
        <v>80000000</v>
      </c>
      <c r="T29" s="93" t="str">
        <f aca="false">IF(AKUN!F29="","",AKUN!F29)</f>
        <v>OPERASI</v>
      </c>
    </row>
    <row r="30" customFormat="false" ht="15" hidden="false" customHeight="false" outlineLevel="0" collapsed="false">
      <c r="A30" s="93" t="str">
        <f aca="false">IF(AKUN!A30="","",AKUN!A30)</f>
        <v>6103</v>
      </c>
      <c r="B30" s="93" t="str">
        <f aca="false">IF(AKUN!B30="","",AKUN!B30)</f>
        <v>Biaya Tagihan Bulanan</v>
      </c>
      <c r="C30" s="93" t="str">
        <f aca="false">IF(AKUN!C30="","",AKUN!C30)</f>
        <v>BEBAN</v>
      </c>
      <c r="D30" s="93" t="str">
        <f aca="false">IF(AKUN!E30="","",AKUN!E30)</f>
        <v>D</v>
      </c>
      <c r="E30" s="117" t="n">
        <f aca="false">IF($B30="",0,SUMIFS(J_NOM,J_DEB,$B30,J_BLN,E$4,J_THN,TAHUN)-SUMIFS(J_NOM,J_KRE,$B30,J_BLN,E$4,J_THN,TAHUN))</f>
        <v>4619448</v>
      </c>
      <c r="F30" s="117" t="n">
        <f aca="false">IF($B30="",0,SUMIFS(J_NOM,J_DEB,$B30,J_BLN,F$4,J_THN,TAHUN)-SUMIFS(J_NOM,J_KRE,$B30,J_BLN,F$4,J_THN,TAHUN))</f>
        <v>4511384</v>
      </c>
      <c r="G30" s="117" t="n">
        <f aca="false">IF($B30="",0,SUMIFS(J_NOM,J_DEB,$B30,J_BLN,G$4,J_THN,TAHUN)-SUMIFS(J_NOM,J_KRE,$B30,J_BLN,G$4,J_THN,TAHUN))</f>
        <v>4663782</v>
      </c>
      <c r="H30" s="117" t="n">
        <f aca="false">IF($B30="",0,SUMIFS(J_NOM,J_DEB,$B30,J_BLN,H$4,J_THN,TAHUN)-SUMIFS(J_NOM,J_KRE,$B30,J_BLN,H$4,J_THN,TAHUN))</f>
        <v>4957412</v>
      </c>
      <c r="I30" s="117" t="n">
        <f aca="false">IF($B30="",0,SUMIFS(J_NOM,J_DEB,$B30,J_BLN,I$4,J_THN,TAHUN)-SUMIFS(J_NOM,J_KRE,$B30,J_BLN,I$4,J_THN,TAHUN))</f>
        <v>5262141</v>
      </c>
      <c r="J30" s="117" t="n">
        <f aca="false">IF($B30="",0,SUMIFS(J_NOM,J_DEB,$B30,J_BLN,J$4,J_THN,TAHUN)-SUMIFS(J_NOM,J_KRE,$B30,J_BLN,J$4,J_THN,TAHUN))</f>
        <v>5146765</v>
      </c>
      <c r="K30" s="117" t="n">
        <f aca="false">IF($B30="",0,SUMIFS(J_NOM,J_DEB,$B30,J_BLN,K$4,J_THN,TAHUN)-SUMIFS(J_NOM,J_KRE,$B30,J_BLN,K$4,J_THN,TAHUN))</f>
        <v>5525230</v>
      </c>
      <c r="L30" s="117" t="n">
        <f aca="false">IF($B30="",0,SUMIFS(J_NOM,J_DEB,$B30,J_BLN,L$4,J_THN,TAHUN)-SUMIFS(J_NOM,J_KRE,$B30,J_BLN,L$4,J_THN,TAHUN))</f>
        <v>5414662</v>
      </c>
      <c r="M30" s="117" t="n">
        <f aca="false">IF($B30="",0,SUMIFS(J_NOM,J_DEB,$B30,J_BLN,M$4,J_THN,TAHUN)-SUMIFS(J_NOM,J_KRE,$B30,J_BLN,M$4,J_THN,TAHUN))</f>
        <v>5336097</v>
      </c>
      <c r="N30" s="117" t="n">
        <f aca="false">IF($B30="",0,SUMIFS(J_NOM,J_DEB,$B30,J_BLN,N$4,J_THN,TAHUN)-SUMIFS(J_NOM,J_KRE,$B30,J_BLN,N$4,J_THN,TAHUN))</f>
        <v>119000</v>
      </c>
      <c r="O30" s="117" t="n">
        <f aca="false">IF($B30="",0,SUMIFS(J_NOM,J_DEB,$B30,J_BLN,O$4,J_THN,TAHUN)-SUMIFS(J_NOM,J_KRE,$B30,J_BLN,O$4,J_THN,TAHUN))</f>
        <v>0</v>
      </c>
      <c r="P30" s="117" t="n">
        <f aca="false">IF($B30="",0,SUMIFS(J_NOM,J_DEB,$B30,J_BLN,P$4,J_THN,TAHUN)-SUMIFS(J_NOM,J_KRE,$B30,J_BLN,P$4,J_THN,TAHUN))</f>
        <v>0</v>
      </c>
      <c r="Q30" s="117" t="n">
        <f aca="false">IF($B30="",0,IF(D30="D",N(AKUN!H30),-N(AKUN!H30)))</f>
        <v>0</v>
      </c>
      <c r="R30" s="117" t="n">
        <f aca="false">SUMIFS(E30:P30,$E$4:$P$4,"&lt;="&amp;BLN)</f>
        <v>45436921</v>
      </c>
      <c r="S30" s="117" t="n">
        <f aca="false">Q30+R30</f>
        <v>45436921</v>
      </c>
      <c r="T30" s="93" t="str">
        <f aca="false">IF(AKUN!F30="","",AKUN!F30)</f>
        <v>OPERASI</v>
      </c>
    </row>
    <row r="31" customFormat="false" ht="15" hidden="false" customHeight="false" outlineLevel="0" collapsed="false">
      <c r="A31" s="93" t="str">
        <f aca="false">IF(AKUN!A31="","",AKUN!A31)</f>
        <v>6104</v>
      </c>
      <c r="B31" s="93" t="str">
        <f aca="false">IF(AKUN!B31="","",AKUN!B31)</f>
        <v>Biaya Marketing &amp; Promosi</v>
      </c>
      <c r="C31" s="93" t="str">
        <f aca="false">IF(AKUN!C31="","",AKUN!C31)</f>
        <v>BEBAN</v>
      </c>
      <c r="D31" s="93" t="str">
        <f aca="false">IF(AKUN!E31="","",AKUN!E31)</f>
        <v>D</v>
      </c>
      <c r="E31" s="117" t="n">
        <f aca="false">IF($B31="",0,SUMIFS(J_NOM,J_DEB,$B31,J_BLN,E$4,J_THN,TAHUN)-SUMIFS(J_NOM,J_KRE,$B31,J_BLN,E$4,J_THN,TAHUN))</f>
        <v>64039154</v>
      </c>
      <c r="F31" s="117" t="n">
        <f aca="false">IF($B31="",0,SUMIFS(J_NOM,J_DEB,$B31,J_BLN,F$4,J_THN,TAHUN)-SUMIFS(J_NOM,J_KRE,$B31,J_BLN,F$4,J_THN,TAHUN))</f>
        <v>41301</v>
      </c>
      <c r="G31" s="117" t="n">
        <f aca="false">IF($B31="",0,SUMIFS(J_NOM,J_DEB,$B31,J_BLN,G$4,J_THN,TAHUN)-SUMIFS(J_NOM,J_KRE,$B31,J_BLN,G$4,J_THN,TAHUN))</f>
        <v>0</v>
      </c>
      <c r="H31" s="117" t="n">
        <f aca="false">IF($B31="",0,SUMIFS(J_NOM,J_DEB,$B31,J_BLN,H$4,J_THN,TAHUN)-SUMIFS(J_NOM,J_KRE,$B31,J_BLN,H$4,J_THN,TAHUN))</f>
        <v>2369540</v>
      </c>
      <c r="I31" s="117" t="n">
        <f aca="false">IF($B31="",0,SUMIFS(J_NOM,J_DEB,$B31,J_BLN,I$4,J_THN,TAHUN)-SUMIFS(J_NOM,J_KRE,$B31,J_BLN,I$4,J_THN,TAHUN))</f>
        <v>1047000</v>
      </c>
      <c r="J31" s="117" t="n">
        <f aca="false">IF($B31="",0,SUMIFS(J_NOM,J_DEB,$B31,J_BLN,J$4,J_THN,TAHUN)-SUMIFS(J_NOM,J_KRE,$B31,J_BLN,J$4,J_THN,TAHUN))</f>
        <v>2470003</v>
      </c>
      <c r="K31" s="117" t="n">
        <f aca="false">IF($B31="",0,SUMIFS(J_NOM,J_DEB,$B31,J_BLN,K$4,J_THN,TAHUN)-SUMIFS(J_NOM,J_KRE,$B31,J_BLN,K$4,J_THN,TAHUN))</f>
        <v>2546500</v>
      </c>
      <c r="L31" s="117" t="n">
        <f aca="false">IF($B31="",0,SUMIFS(J_NOM,J_DEB,$B31,J_BLN,L$4,J_THN,TAHUN)-SUMIFS(J_NOM,J_KRE,$B31,J_BLN,L$4,J_THN,TAHUN))</f>
        <v>1705000</v>
      </c>
      <c r="M31" s="117" t="n">
        <f aca="false">IF($B31="",0,SUMIFS(J_NOM,J_DEB,$B31,J_BLN,M$4,J_THN,TAHUN)-SUMIFS(J_NOM,J_KRE,$B31,J_BLN,M$4,J_THN,TAHUN))</f>
        <v>4974800</v>
      </c>
      <c r="N31" s="117" t="n">
        <f aca="false">IF($B31="",0,SUMIFS(J_NOM,J_DEB,$B31,J_BLN,N$4,J_THN,TAHUN)-SUMIFS(J_NOM,J_KRE,$B31,J_BLN,N$4,J_THN,TAHUN))</f>
        <v>2850000</v>
      </c>
      <c r="O31" s="117" t="n">
        <f aca="false">IF($B31="",0,SUMIFS(J_NOM,J_DEB,$B31,J_BLN,O$4,J_THN,TAHUN)-SUMIFS(J_NOM,J_KRE,$B31,J_BLN,O$4,J_THN,TAHUN))</f>
        <v>0</v>
      </c>
      <c r="P31" s="117" t="n">
        <f aca="false">IF($B31="",0,SUMIFS(J_NOM,J_DEB,$B31,J_BLN,P$4,J_THN,TAHUN)-SUMIFS(J_NOM,J_KRE,$B31,J_BLN,P$4,J_THN,TAHUN))</f>
        <v>0</v>
      </c>
      <c r="Q31" s="117" t="n">
        <f aca="false">IF($B31="",0,IF(D31="D",N(AKUN!H31),-N(AKUN!H31)))</f>
        <v>0</v>
      </c>
      <c r="R31" s="117" t="n">
        <f aca="false">SUMIFS(E31:P31,$E$4:$P$4,"&lt;="&amp;BLN)</f>
        <v>79193298</v>
      </c>
      <c r="S31" s="117" t="n">
        <f aca="false">Q31+R31</f>
        <v>79193298</v>
      </c>
      <c r="T31" s="93" t="str">
        <f aca="false">IF(AKUN!F31="","",AKUN!F31)</f>
        <v>OPERASI</v>
      </c>
    </row>
    <row r="32" customFormat="false" ht="15" hidden="false" customHeight="false" outlineLevel="0" collapsed="false">
      <c r="A32" s="93" t="str">
        <f aca="false">IF(AKUN!A32="","",AKUN!A32)</f>
        <v>6105</v>
      </c>
      <c r="B32" s="93" t="str">
        <f aca="false">IF(AKUN!B32="","",AKUN!B32)</f>
        <v>Beban Perlengkapan</v>
      </c>
      <c r="C32" s="93" t="str">
        <f aca="false">IF(AKUN!C32="","",AKUN!C32)</f>
        <v>BEBAN</v>
      </c>
      <c r="D32" s="93" t="str">
        <f aca="false">IF(AKUN!E32="","",AKUN!E32)</f>
        <v>D</v>
      </c>
      <c r="E32" s="117" t="n">
        <f aca="false">IF($B32="",0,SUMIFS(J_NOM,J_DEB,$B32,J_BLN,E$4,J_THN,TAHUN)-SUMIFS(J_NOM,J_KRE,$B32,J_BLN,E$4,J_THN,TAHUN))</f>
        <v>755900</v>
      </c>
      <c r="F32" s="117" t="n">
        <f aca="false">IF($B32="",0,SUMIFS(J_NOM,J_DEB,$B32,J_BLN,F$4,J_THN,TAHUN)-SUMIFS(J_NOM,J_KRE,$B32,J_BLN,F$4,J_THN,TAHUN))</f>
        <v>328832</v>
      </c>
      <c r="G32" s="117" t="n">
        <f aca="false">IF($B32="",0,SUMIFS(J_NOM,J_DEB,$B32,J_BLN,G$4,J_THN,TAHUN)-SUMIFS(J_NOM,J_KRE,$B32,J_BLN,G$4,J_THN,TAHUN))</f>
        <v>1468366</v>
      </c>
      <c r="H32" s="117" t="n">
        <f aca="false">IF($B32="",0,SUMIFS(J_NOM,J_DEB,$B32,J_BLN,H$4,J_THN,TAHUN)-SUMIFS(J_NOM,J_KRE,$B32,J_BLN,H$4,J_THN,TAHUN))</f>
        <v>2041399</v>
      </c>
      <c r="I32" s="117" t="n">
        <f aca="false">IF($B32="",0,SUMIFS(J_NOM,J_DEB,$B32,J_BLN,I$4,J_THN,TAHUN)-SUMIFS(J_NOM,J_KRE,$B32,J_BLN,I$4,J_THN,TAHUN))</f>
        <v>369584</v>
      </c>
      <c r="J32" s="117" t="n">
        <f aca="false">IF($B32="",0,SUMIFS(J_NOM,J_DEB,$B32,J_BLN,J$4,J_THN,TAHUN)-SUMIFS(J_NOM,J_KRE,$B32,J_BLN,J$4,J_THN,TAHUN))</f>
        <v>1179010</v>
      </c>
      <c r="K32" s="117" t="n">
        <f aca="false">IF($B32="",0,SUMIFS(J_NOM,J_DEB,$B32,J_BLN,K$4,J_THN,TAHUN)-SUMIFS(J_NOM,J_KRE,$B32,J_BLN,K$4,J_THN,TAHUN))</f>
        <v>1465476</v>
      </c>
      <c r="L32" s="117" t="n">
        <f aca="false">IF($B32="",0,SUMIFS(J_NOM,J_DEB,$B32,J_BLN,L$4,J_THN,TAHUN)-SUMIFS(J_NOM,J_KRE,$B32,J_BLN,L$4,J_THN,TAHUN))</f>
        <v>2645674</v>
      </c>
      <c r="M32" s="117" t="n">
        <f aca="false">IF($B32="",0,SUMIFS(J_NOM,J_DEB,$B32,J_BLN,M$4,J_THN,TAHUN)-SUMIFS(J_NOM,J_KRE,$B32,J_BLN,M$4,J_THN,TAHUN))</f>
        <v>3178772</v>
      </c>
      <c r="N32" s="117" t="n">
        <f aca="false">IF($B32="",0,SUMIFS(J_NOM,J_DEB,$B32,J_BLN,N$4,J_THN,TAHUN)-SUMIFS(J_NOM,J_KRE,$B32,J_BLN,N$4,J_THN,TAHUN))</f>
        <v>0</v>
      </c>
      <c r="O32" s="117" t="n">
        <f aca="false">IF($B32="",0,SUMIFS(J_NOM,J_DEB,$B32,J_BLN,O$4,J_THN,TAHUN)-SUMIFS(J_NOM,J_KRE,$B32,J_BLN,O$4,J_THN,TAHUN))</f>
        <v>0</v>
      </c>
      <c r="P32" s="117" t="n">
        <f aca="false">IF($B32="",0,SUMIFS(J_NOM,J_DEB,$B32,J_BLN,P$4,J_THN,TAHUN)-SUMIFS(J_NOM,J_KRE,$B32,J_BLN,P$4,J_THN,TAHUN))</f>
        <v>0</v>
      </c>
      <c r="Q32" s="117" t="n">
        <f aca="false">IF($B32="",0,IF(D32="D",N(AKUN!H32),-N(AKUN!H32)))</f>
        <v>0</v>
      </c>
      <c r="R32" s="117" t="n">
        <f aca="false">SUMIFS(E32:P32,$E$4:$P$4,"&lt;="&amp;BLN)</f>
        <v>13433013</v>
      </c>
      <c r="S32" s="117" t="n">
        <f aca="false">Q32+R32</f>
        <v>13433013</v>
      </c>
      <c r="T32" s="93" t="str">
        <f aca="false">IF(AKUN!F32="","",AKUN!F32)</f>
        <v>OPERASI</v>
      </c>
    </row>
    <row r="33" customFormat="false" ht="15" hidden="false" customHeight="false" outlineLevel="0" collapsed="false">
      <c r="A33" s="93" t="str">
        <f aca="false">IF(AKUN!A33="","",AKUN!A33)</f>
        <v>6106</v>
      </c>
      <c r="B33" s="93" t="str">
        <f aca="false">IF(AKUN!B33="","",AKUN!B33)</f>
        <v>Biaya Operasional Harian</v>
      </c>
      <c r="C33" s="93" t="str">
        <f aca="false">IF(AKUN!C33="","",AKUN!C33)</f>
        <v>BEBAN</v>
      </c>
      <c r="D33" s="93" t="str">
        <f aca="false">IF(AKUN!E33="","",AKUN!E33)</f>
        <v>D</v>
      </c>
      <c r="E33" s="117" t="n">
        <f aca="false">IF($B33="",0,SUMIFS(J_NOM,J_DEB,$B33,J_BLN,E$4,J_THN,TAHUN)-SUMIFS(J_NOM,J_KRE,$B33,J_BLN,E$4,J_THN,TAHUN))</f>
        <v>549900</v>
      </c>
      <c r="F33" s="117" t="n">
        <f aca="false">IF($B33="",0,SUMIFS(J_NOM,J_DEB,$B33,J_BLN,F$4,J_THN,TAHUN)-SUMIFS(J_NOM,J_KRE,$B33,J_BLN,F$4,J_THN,TAHUN))</f>
        <v>75000</v>
      </c>
      <c r="G33" s="117" t="n">
        <f aca="false">IF($B33="",0,SUMIFS(J_NOM,J_DEB,$B33,J_BLN,G$4,J_THN,TAHUN)-SUMIFS(J_NOM,J_KRE,$B33,J_BLN,G$4,J_THN,TAHUN))</f>
        <v>1282180</v>
      </c>
      <c r="H33" s="117" t="n">
        <f aca="false">IF($B33="",0,SUMIFS(J_NOM,J_DEB,$B33,J_BLN,H$4,J_THN,TAHUN)-SUMIFS(J_NOM,J_KRE,$B33,J_BLN,H$4,J_THN,TAHUN))</f>
        <v>452500</v>
      </c>
      <c r="I33" s="117" t="n">
        <f aca="false">IF($B33="",0,SUMIFS(J_NOM,J_DEB,$B33,J_BLN,I$4,J_THN,TAHUN)-SUMIFS(J_NOM,J_KRE,$B33,J_BLN,I$4,J_THN,TAHUN))</f>
        <v>634500</v>
      </c>
      <c r="J33" s="117" t="n">
        <f aca="false">IF($B33="",0,SUMIFS(J_NOM,J_DEB,$B33,J_BLN,J$4,J_THN,TAHUN)-SUMIFS(J_NOM,J_KRE,$B33,J_BLN,J$4,J_THN,TAHUN))</f>
        <v>521500</v>
      </c>
      <c r="K33" s="117" t="n">
        <f aca="false">IF($B33="",0,SUMIFS(J_NOM,J_DEB,$B33,J_BLN,K$4,J_THN,TAHUN)-SUMIFS(J_NOM,J_KRE,$B33,J_BLN,K$4,J_THN,TAHUN))</f>
        <v>450000</v>
      </c>
      <c r="L33" s="117" t="n">
        <f aca="false">IF($B33="",0,SUMIFS(J_NOM,J_DEB,$B33,J_BLN,L$4,J_THN,TAHUN)-SUMIFS(J_NOM,J_KRE,$B33,J_BLN,L$4,J_THN,TAHUN))</f>
        <v>310000</v>
      </c>
      <c r="M33" s="117" t="n">
        <f aca="false">IF($B33="",0,SUMIFS(J_NOM,J_DEB,$B33,J_BLN,M$4,J_THN,TAHUN)-SUMIFS(J_NOM,J_KRE,$B33,J_BLN,M$4,J_THN,TAHUN))</f>
        <v>620500</v>
      </c>
      <c r="N33" s="117" t="n">
        <f aca="false">IF($B33="",0,SUMIFS(J_NOM,J_DEB,$B33,J_BLN,N$4,J_THN,TAHUN)-SUMIFS(J_NOM,J_KRE,$B33,J_BLN,N$4,J_THN,TAHUN))</f>
        <v>32500</v>
      </c>
      <c r="O33" s="117" t="n">
        <f aca="false">IF($B33="",0,SUMIFS(J_NOM,J_DEB,$B33,J_BLN,O$4,J_THN,TAHUN)-SUMIFS(J_NOM,J_KRE,$B33,J_BLN,O$4,J_THN,TAHUN))</f>
        <v>0</v>
      </c>
      <c r="P33" s="117" t="n">
        <f aca="false">IF($B33="",0,SUMIFS(J_NOM,J_DEB,$B33,J_BLN,P$4,J_THN,TAHUN)-SUMIFS(J_NOM,J_KRE,$B33,J_BLN,P$4,J_THN,TAHUN))</f>
        <v>0</v>
      </c>
      <c r="Q33" s="117" t="n">
        <f aca="false">IF($B33="",0,IF(D33="D",N(AKUN!H33),-N(AKUN!H33)))</f>
        <v>0</v>
      </c>
      <c r="R33" s="117" t="n">
        <f aca="false">SUMIFS(E33:P33,$E$4:$P$4,"&lt;="&amp;BLN)</f>
        <v>4896080</v>
      </c>
      <c r="S33" s="117" t="n">
        <f aca="false">Q33+R33</f>
        <v>4896080</v>
      </c>
      <c r="T33" s="93" t="str">
        <f aca="false">IF(AKUN!F33="","",AKUN!F33)</f>
        <v>OPERASI</v>
      </c>
    </row>
    <row r="34" customFormat="false" ht="15" hidden="false" customHeight="false" outlineLevel="0" collapsed="false">
      <c r="A34" s="93" t="str">
        <f aca="false">IF(AKUN!A34="","",AKUN!A34)</f>
        <v>6107</v>
      </c>
      <c r="B34" s="93" t="str">
        <f aca="false">IF(AKUN!B34="","",AKUN!B34)</f>
        <v>Biaya Pemeliharaan</v>
      </c>
      <c r="C34" s="93" t="str">
        <f aca="false">IF(AKUN!C34="","",AKUN!C34)</f>
        <v>BEBAN</v>
      </c>
      <c r="D34" s="93" t="str">
        <f aca="false">IF(AKUN!E34="","",AKUN!E34)</f>
        <v>D</v>
      </c>
      <c r="E34" s="117" t="n">
        <f aca="false">IF($B34="",0,SUMIFS(J_NOM,J_DEB,$B34,J_BLN,E$4,J_THN,TAHUN)-SUMIFS(J_NOM,J_KRE,$B34,J_BLN,E$4,J_THN,TAHUN))</f>
        <v>3059350</v>
      </c>
      <c r="F34" s="117" t="n">
        <f aca="false">IF($B34="",0,SUMIFS(J_NOM,J_DEB,$B34,J_BLN,F$4,J_THN,TAHUN)-SUMIFS(J_NOM,J_KRE,$B34,J_BLN,F$4,J_THN,TAHUN))</f>
        <v>78500</v>
      </c>
      <c r="G34" s="117" t="n">
        <f aca="false">IF($B34="",0,SUMIFS(J_NOM,J_DEB,$B34,J_BLN,G$4,J_THN,TAHUN)-SUMIFS(J_NOM,J_KRE,$B34,J_BLN,G$4,J_THN,TAHUN))</f>
        <v>446000</v>
      </c>
      <c r="H34" s="117" t="n">
        <f aca="false">IF($B34="",0,SUMIFS(J_NOM,J_DEB,$B34,J_BLN,H$4,J_THN,TAHUN)-SUMIFS(J_NOM,J_KRE,$B34,J_BLN,H$4,J_THN,TAHUN))</f>
        <v>536010</v>
      </c>
      <c r="I34" s="117" t="n">
        <f aca="false">IF($B34="",0,SUMIFS(J_NOM,J_DEB,$B34,J_BLN,I$4,J_THN,TAHUN)-SUMIFS(J_NOM,J_KRE,$B34,J_BLN,I$4,J_THN,TAHUN))</f>
        <v>3680848</v>
      </c>
      <c r="J34" s="117" t="n">
        <f aca="false">IF($B34="",0,SUMIFS(J_NOM,J_DEB,$B34,J_BLN,J$4,J_THN,TAHUN)-SUMIFS(J_NOM,J_KRE,$B34,J_BLN,J$4,J_THN,TAHUN))</f>
        <v>4333387</v>
      </c>
      <c r="K34" s="117" t="n">
        <f aca="false">IF($B34="",0,SUMIFS(J_NOM,J_DEB,$B34,J_BLN,K$4,J_THN,TAHUN)-SUMIFS(J_NOM,J_KRE,$B34,J_BLN,K$4,J_THN,TAHUN))</f>
        <v>1214000</v>
      </c>
      <c r="L34" s="117" t="n">
        <f aca="false">IF($B34="",0,SUMIFS(J_NOM,J_DEB,$B34,J_BLN,L$4,J_THN,TAHUN)-SUMIFS(J_NOM,J_KRE,$B34,J_BLN,L$4,J_THN,TAHUN))</f>
        <v>0</v>
      </c>
      <c r="M34" s="117" t="n">
        <f aca="false">IF($B34="",0,SUMIFS(J_NOM,J_DEB,$B34,J_BLN,M$4,J_THN,TAHUN)-SUMIFS(J_NOM,J_KRE,$B34,J_BLN,M$4,J_THN,TAHUN))</f>
        <v>210000</v>
      </c>
      <c r="N34" s="117" t="n">
        <f aca="false">IF($B34="",0,SUMIFS(J_NOM,J_DEB,$B34,J_BLN,N$4,J_THN,TAHUN)-SUMIFS(J_NOM,J_KRE,$B34,J_BLN,N$4,J_THN,TAHUN))</f>
        <v>780000</v>
      </c>
      <c r="O34" s="117" t="n">
        <f aca="false">IF($B34="",0,SUMIFS(J_NOM,J_DEB,$B34,J_BLN,O$4,J_THN,TAHUN)-SUMIFS(J_NOM,J_KRE,$B34,J_BLN,O$4,J_THN,TAHUN))</f>
        <v>0</v>
      </c>
      <c r="P34" s="117" t="n">
        <f aca="false">IF($B34="",0,SUMIFS(J_NOM,J_DEB,$B34,J_BLN,P$4,J_THN,TAHUN)-SUMIFS(J_NOM,J_KRE,$B34,J_BLN,P$4,J_THN,TAHUN))</f>
        <v>0</v>
      </c>
      <c r="Q34" s="117" t="n">
        <f aca="false">IF($B34="",0,IF(D34="D",N(AKUN!H34),-N(AKUN!H34)))</f>
        <v>0</v>
      </c>
      <c r="R34" s="117" t="n">
        <f aca="false">SUMIFS(E34:P34,$E$4:$P$4,"&lt;="&amp;BLN)</f>
        <v>13558095</v>
      </c>
      <c r="S34" s="117" t="n">
        <f aca="false">Q34+R34</f>
        <v>13558095</v>
      </c>
      <c r="T34" s="93" t="str">
        <f aca="false">IF(AKUN!F34="","",AKUN!F34)</f>
        <v>OPERASI</v>
      </c>
    </row>
    <row r="35" customFormat="false" ht="15" hidden="false" customHeight="false" outlineLevel="0" collapsed="false">
      <c r="A35" s="93" t="str">
        <f aca="false">IF(AKUN!A35="","",AKUN!A35)</f>
        <v>6108</v>
      </c>
      <c r="B35" s="93" t="str">
        <f aca="false">IF(AKUN!B35="","",AKUN!B35)</f>
        <v>Biaya Compliment</v>
      </c>
      <c r="C35" s="93" t="str">
        <f aca="false">IF(AKUN!C35="","",AKUN!C35)</f>
        <v>BEBAN</v>
      </c>
      <c r="D35" s="93" t="str">
        <f aca="false">IF(AKUN!E35="","",AKUN!E35)</f>
        <v>D</v>
      </c>
      <c r="E35" s="117" t="n">
        <f aca="false">IF($B35="",0,SUMIFS(J_NOM,J_DEB,$B35,J_BLN,E$4,J_THN,TAHUN)-SUMIFS(J_NOM,J_KRE,$B35,J_BLN,E$4,J_THN,TAHUN))</f>
        <v>1220000</v>
      </c>
      <c r="F35" s="117" t="n">
        <f aca="false">IF($B35="",0,SUMIFS(J_NOM,J_DEB,$B35,J_BLN,F$4,J_THN,TAHUN)-SUMIFS(J_NOM,J_KRE,$B35,J_BLN,F$4,J_THN,TAHUN))</f>
        <v>339300</v>
      </c>
      <c r="G35" s="117" t="n">
        <f aca="false">IF($B35="",0,SUMIFS(J_NOM,J_DEB,$B35,J_BLN,G$4,J_THN,TAHUN)-SUMIFS(J_NOM,J_KRE,$B35,J_BLN,G$4,J_THN,TAHUN))</f>
        <v>282300</v>
      </c>
      <c r="H35" s="117" t="n">
        <f aca="false">IF($B35="",0,SUMIFS(J_NOM,J_DEB,$B35,J_BLN,H$4,J_THN,TAHUN)-SUMIFS(J_NOM,J_KRE,$B35,J_BLN,H$4,J_THN,TAHUN))</f>
        <v>986000</v>
      </c>
      <c r="I35" s="117" t="n">
        <f aca="false">IF($B35="",0,SUMIFS(J_NOM,J_DEB,$B35,J_BLN,I$4,J_THN,TAHUN)-SUMIFS(J_NOM,J_KRE,$B35,J_BLN,I$4,J_THN,TAHUN))</f>
        <v>96000</v>
      </c>
      <c r="J35" s="117" t="n">
        <f aca="false">IF($B35="",0,SUMIFS(J_NOM,J_DEB,$B35,J_BLN,J$4,J_THN,TAHUN)-SUMIFS(J_NOM,J_KRE,$B35,J_BLN,J$4,J_THN,TAHUN))</f>
        <v>166300</v>
      </c>
      <c r="K35" s="117" t="n">
        <f aca="false">IF($B35="",0,SUMIFS(J_NOM,J_DEB,$B35,J_BLN,K$4,J_THN,TAHUN)-SUMIFS(J_NOM,J_KRE,$B35,J_BLN,K$4,J_THN,TAHUN))</f>
        <v>432900</v>
      </c>
      <c r="L35" s="117" t="n">
        <f aca="false">IF($B35="",0,SUMIFS(J_NOM,J_DEB,$B35,J_BLN,L$4,J_THN,TAHUN)-SUMIFS(J_NOM,J_KRE,$B35,J_BLN,L$4,J_THN,TAHUN))</f>
        <v>642600</v>
      </c>
      <c r="M35" s="117" t="n">
        <f aca="false">IF($B35="",0,SUMIFS(J_NOM,J_DEB,$B35,J_BLN,M$4,J_THN,TAHUN)-SUMIFS(J_NOM,J_KRE,$B35,J_BLN,M$4,J_THN,TAHUN))</f>
        <v>314600</v>
      </c>
      <c r="N35" s="117" t="n">
        <f aca="false">IF($B35="",0,SUMIFS(J_NOM,J_DEB,$B35,J_BLN,N$4,J_THN,TAHUN)-SUMIFS(J_NOM,J_KRE,$B35,J_BLN,N$4,J_THN,TAHUN))</f>
        <v>0</v>
      </c>
      <c r="O35" s="117" t="n">
        <f aca="false">IF($B35="",0,SUMIFS(J_NOM,J_DEB,$B35,J_BLN,O$4,J_THN,TAHUN)-SUMIFS(J_NOM,J_KRE,$B35,J_BLN,O$4,J_THN,TAHUN))</f>
        <v>0</v>
      </c>
      <c r="P35" s="117" t="n">
        <f aca="false">IF($B35="",0,SUMIFS(J_NOM,J_DEB,$B35,J_BLN,P$4,J_THN,TAHUN)-SUMIFS(J_NOM,J_KRE,$B35,J_BLN,P$4,J_THN,TAHUN))</f>
        <v>0</v>
      </c>
      <c r="Q35" s="117" t="n">
        <f aca="false">IF($B35="",0,IF(D35="D",N(AKUN!H35),-N(AKUN!H35)))</f>
        <v>0</v>
      </c>
      <c r="R35" s="117" t="n">
        <f aca="false">SUMIFS(E35:P35,$E$4:$P$4,"&lt;="&amp;BLN)</f>
        <v>4480000</v>
      </c>
      <c r="S35" s="117" t="n">
        <f aca="false">Q35+R35</f>
        <v>4480000</v>
      </c>
      <c r="T35" s="93" t="str">
        <f aca="false">IF(AKUN!F35="","",AKUN!F35)</f>
        <v>OPERASI</v>
      </c>
    </row>
    <row r="36" customFormat="false" ht="15" hidden="false" customHeight="false" outlineLevel="0" collapsed="false">
      <c r="A36" s="93" t="str">
        <f aca="false">IF(AKUN!A36="","",AKUN!A36)</f>
        <v>6109</v>
      </c>
      <c r="B36" s="93" t="str">
        <f aca="false">IF(AKUN!B36="","",AKUN!B36)</f>
        <v>Biaya R&amp;D</v>
      </c>
      <c r="C36" s="93" t="str">
        <f aca="false">IF(AKUN!C36="","",AKUN!C36)</f>
        <v>BEBAN</v>
      </c>
      <c r="D36" s="93" t="str">
        <f aca="false">IF(AKUN!E36="","",AKUN!E36)</f>
        <v>D</v>
      </c>
      <c r="E36" s="117" t="n">
        <f aca="false">IF($B36="",0,SUMIFS(J_NOM,J_DEB,$B36,J_BLN,E$4,J_THN,TAHUN)-SUMIFS(J_NOM,J_KRE,$B36,J_BLN,E$4,J_THN,TAHUN))</f>
        <v>0</v>
      </c>
      <c r="F36" s="117" t="n">
        <f aca="false">IF($B36="",0,SUMIFS(J_NOM,J_DEB,$B36,J_BLN,F$4,J_THN,TAHUN)-SUMIFS(J_NOM,J_KRE,$B36,J_BLN,F$4,J_THN,TAHUN))</f>
        <v>0</v>
      </c>
      <c r="G36" s="117" t="n">
        <f aca="false">IF($B36="",0,SUMIFS(J_NOM,J_DEB,$B36,J_BLN,G$4,J_THN,TAHUN)-SUMIFS(J_NOM,J_KRE,$B36,J_BLN,G$4,J_THN,TAHUN))</f>
        <v>0</v>
      </c>
      <c r="H36" s="117" t="n">
        <f aca="false">IF($B36="",0,SUMIFS(J_NOM,J_DEB,$B36,J_BLN,H$4,J_THN,TAHUN)-SUMIFS(J_NOM,J_KRE,$B36,J_BLN,H$4,J_THN,TAHUN))</f>
        <v>0</v>
      </c>
      <c r="I36" s="117" t="n">
        <f aca="false">IF($B36="",0,SUMIFS(J_NOM,J_DEB,$B36,J_BLN,I$4,J_THN,TAHUN)-SUMIFS(J_NOM,J_KRE,$B36,J_BLN,I$4,J_THN,TAHUN))</f>
        <v>0</v>
      </c>
      <c r="J36" s="117" t="n">
        <f aca="false">IF($B36="",0,SUMIFS(J_NOM,J_DEB,$B36,J_BLN,J$4,J_THN,TAHUN)-SUMIFS(J_NOM,J_KRE,$B36,J_BLN,J$4,J_THN,TAHUN))</f>
        <v>0</v>
      </c>
      <c r="K36" s="117" t="n">
        <f aca="false">IF($B36="",0,SUMIFS(J_NOM,J_DEB,$B36,J_BLN,K$4,J_THN,TAHUN)-SUMIFS(J_NOM,J_KRE,$B36,J_BLN,K$4,J_THN,TAHUN))</f>
        <v>0</v>
      </c>
      <c r="L36" s="117" t="n">
        <f aca="false">IF($B36="",0,SUMIFS(J_NOM,J_DEB,$B36,J_BLN,L$4,J_THN,TAHUN)-SUMIFS(J_NOM,J_KRE,$B36,J_BLN,L$4,J_THN,TAHUN))</f>
        <v>0</v>
      </c>
      <c r="M36" s="117" t="n">
        <f aca="false">IF($B36="",0,SUMIFS(J_NOM,J_DEB,$B36,J_BLN,M$4,J_THN,TAHUN)-SUMIFS(J_NOM,J_KRE,$B36,J_BLN,M$4,J_THN,TAHUN))</f>
        <v>0</v>
      </c>
      <c r="N36" s="117" t="n">
        <f aca="false">IF($B36="",0,SUMIFS(J_NOM,J_DEB,$B36,J_BLN,N$4,J_THN,TAHUN)-SUMIFS(J_NOM,J_KRE,$B36,J_BLN,N$4,J_THN,TAHUN))</f>
        <v>0</v>
      </c>
      <c r="O36" s="117" t="n">
        <f aca="false">IF($B36="",0,SUMIFS(J_NOM,J_DEB,$B36,J_BLN,O$4,J_THN,TAHUN)-SUMIFS(J_NOM,J_KRE,$B36,J_BLN,O$4,J_THN,TAHUN))</f>
        <v>0</v>
      </c>
      <c r="P36" s="117" t="n">
        <f aca="false">IF($B36="",0,SUMIFS(J_NOM,J_DEB,$B36,J_BLN,P$4,J_THN,TAHUN)-SUMIFS(J_NOM,J_KRE,$B36,J_BLN,P$4,J_THN,TAHUN))</f>
        <v>0</v>
      </c>
      <c r="Q36" s="117" t="n">
        <f aca="false">IF($B36="",0,IF(D36="D",N(AKUN!H36),-N(AKUN!H36)))</f>
        <v>0</v>
      </c>
      <c r="R36" s="117" t="n">
        <f aca="false">SUMIFS(E36:P36,$E$4:$P$4,"&lt;="&amp;BLN)</f>
        <v>0</v>
      </c>
      <c r="S36" s="117" t="n">
        <f aca="false">Q36+R36</f>
        <v>0</v>
      </c>
      <c r="T36" s="93" t="str">
        <f aca="false">IF(AKUN!F36="","",AKUN!F36)</f>
        <v>OPERASI</v>
      </c>
    </row>
    <row r="37" customFormat="false" ht="15" hidden="false" customHeight="false" outlineLevel="0" collapsed="false">
      <c r="A37" s="93" t="str">
        <f aca="false">IF(AKUN!A37="","",AKUN!A37)</f>
        <v>6110</v>
      </c>
      <c r="B37" s="93" t="str">
        <f aca="false">IF(AKUN!B37="","",AKUN!B37)</f>
        <v>Dana Sosial &amp; CSR</v>
      </c>
      <c r="C37" s="93" t="str">
        <f aca="false">IF(AKUN!C37="","",AKUN!C37)</f>
        <v>BEBAN</v>
      </c>
      <c r="D37" s="93" t="str">
        <f aca="false">IF(AKUN!E37="","",AKUN!E37)</f>
        <v>D</v>
      </c>
      <c r="E37" s="117" t="n">
        <f aca="false">IF($B37="",0,SUMIFS(J_NOM,J_DEB,$B37,J_BLN,E$4,J_THN,TAHUN)-SUMIFS(J_NOM,J_KRE,$B37,J_BLN,E$4,J_THN,TAHUN))</f>
        <v>2800000</v>
      </c>
      <c r="F37" s="117" t="n">
        <f aca="false">IF($B37="",0,SUMIFS(J_NOM,J_DEB,$B37,J_BLN,F$4,J_THN,TAHUN)-SUMIFS(J_NOM,J_KRE,$B37,J_BLN,F$4,J_THN,TAHUN))</f>
        <v>980000</v>
      </c>
      <c r="G37" s="117" t="n">
        <f aca="false">IF($B37="",0,SUMIFS(J_NOM,J_DEB,$B37,J_BLN,G$4,J_THN,TAHUN)-SUMIFS(J_NOM,J_KRE,$B37,J_BLN,G$4,J_THN,TAHUN))</f>
        <v>1440000</v>
      </c>
      <c r="H37" s="117" t="n">
        <f aca="false">IF($B37="",0,SUMIFS(J_NOM,J_DEB,$B37,J_BLN,H$4,J_THN,TAHUN)-SUMIFS(J_NOM,J_KRE,$B37,J_BLN,H$4,J_THN,TAHUN))</f>
        <v>800000</v>
      </c>
      <c r="I37" s="117" t="n">
        <f aca="false">IF($B37="",0,SUMIFS(J_NOM,J_DEB,$B37,J_BLN,I$4,J_THN,TAHUN)-SUMIFS(J_NOM,J_KRE,$B37,J_BLN,I$4,J_THN,TAHUN))</f>
        <v>1030000</v>
      </c>
      <c r="J37" s="117" t="n">
        <f aca="false">IF($B37="",0,SUMIFS(J_NOM,J_DEB,$B37,J_BLN,J$4,J_THN,TAHUN)-SUMIFS(J_NOM,J_KRE,$B37,J_BLN,J$4,J_THN,TAHUN))</f>
        <v>850000</v>
      </c>
      <c r="K37" s="117" t="n">
        <f aca="false">IF($B37="",0,SUMIFS(J_NOM,J_DEB,$B37,J_BLN,K$4,J_THN,TAHUN)-SUMIFS(J_NOM,J_KRE,$B37,J_BLN,K$4,J_THN,TAHUN))</f>
        <v>1860000</v>
      </c>
      <c r="L37" s="117" t="n">
        <f aca="false">IF($B37="",0,SUMIFS(J_NOM,J_DEB,$B37,J_BLN,L$4,J_THN,TAHUN)-SUMIFS(J_NOM,J_KRE,$B37,J_BLN,L$4,J_THN,TAHUN))</f>
        <v>1235000</v>
      </c>
      <c r="M37" s="117" t="n">
        <f aca="false">IF($B37="",0,SUMIFS(J_NOM,J_DEB,$B37,J_BLN,M$4,J_THN,TAHUN)-SUMIFS(J_NOM,J_KRE,$B37,J_BLN,M$4,J_THN,TAHUN))</f>
        <v>839000</v>
      </c>
      <c r="N37" s="117" t="n">
        <f aca="false">IF($B37="",0,SUMIFS(J_NOM,J_DEB,$B37,J_BLN,N$4,J_THN,TAHUN)-SUMIFS(J_NOM,J_KRE,$B37,J_BLN,N$4,J_THN,TAHUN))</f>
        <v>1000000</v>
      </c>
      <c r="O37" s="117" t="n">
        <f aca="false">IF($B37="",0,SUMIFS(J_NOM,J_DEB,$B37,J_BLN,O$4,J_THN,TAHUN)-SUMIFS(J_NOM,J_KRE,$B37,J_BLN,O$4,J_THN,TAHUN))</f>
        <v>0</v>
      </c>
      <c r="P37" s="117" t="n">
        <f aca="false">IF($B37="",0,SUMIFS(J_NOM,J_DEB,$B37,J_BLN,P$4,J_THN,TAHUN)-SUMIFS(J_NOM,J_KRE,$B37,J_BLN,P$4,J_THN,TAHUN))</f>
        <v>0</v>
      </c>
      <c r="Q37" s="117" t="n">
        <f aca="false">IF($B37="",0,IF(D37="D",N(AKUN!H37),-N(AKUN!H37)))</f>
        <v>0</v>
      </c>
      <c r="R37" s="117" t="n">
        <f aca="false">SUMIFS(E37:P37,$E$4:$P$4,"&lt;="&amp;BLN)</f>
        <v>11834000</v>
      </c>
      <c r="S37" s="117" t="n">
        <f aca="false">Q37+R37</f>
        <v>11834000</v>
      </c>
      <c r="T37" s="93" t="str">
        <f aca="false">IF(AKUN!F37="","",AKUN!F37)</f>
        <v>OPERASI</v>
      </c>
    </row>
    <row r="38" customFormat="false" ht="15" hidden="false" customHeight="false" outlineLevel="0" collapsed="false">
      <c r="A38" s="93" t="str">
        <f aca="false">IF(AKUN!A38="","",AKUN!A38)</f>
        <v>6111</v>
      </c>
      <c r="B38" s="93" t="str">
        <f aca="false">IF(AKUN!B38="","",AKUN!B38)</f>
        <v>Beban Penyusutan Peralatan</v>
      </c>
      <c r="C38" s="93" t="str">
        <f aca="false">IF(AKUN!C38="","",AKUN!C38)</f>
        <v>BEBAN</v>
      </c>
      <c r="D38" s="93" t="str">
        <f aca="false">IF(AKUN!E38="","",AKUN!E38)</f>
        <v>D</v>
      </c>
      <c r="E38" s="117" t="n">
        <f aca="false">IF($B38="",0,SUMIFS(J_NOM,J_DEB,$B38,J_BLN,E$4,J_THN,TAHUN)-SUMIFS(J_NOM,J_KRE,$B38,J_BLN,E$4,J_THN,TAHUN))</f>
        <v>0</v>
      </c>
      <c r="F38" s="117" t="n">
        <f aca="false">IF($B38="",0,SUMIFS(J_NOM,J_DEB,$B38,J_BLN,F$4,J_THN,TAHUN)-SUMIFS(J_NOM,J_KRE,$B38,J_BLN,F$4,J_THN,TAHUN))</f>
        <v>216667</v>
      </c>
      <c r="G38" s="117" t="n">
        <f aca="false">IF($B38="",0,SUMIFS(J_NOM,J_DEB,$B38,J_BLN,G$4,J_THN,TAHUN)-SUMIFS(J_NOM,J_KRE,$B38,J_BLN,G$4,J_THN,TAHUN))</f>
        <v>216667</v>
      </c>
      <c r="H38" s="117" t="n">
        <f aca="false">IF($B38="",0,SUMIFS(J_NOM,J_DEB,$B38,J_BLN,H$4,J_THN,TAHUN)-SUMIFS(J_NOM,J_KRE,$B38,J_BLN,H$4,J_THN,TAHUN))</f>
        <v>252964</v>
      </c>
      <c r="I38" s="117" t="n">
        <f aca="false">IF($B38="",0,SUMIFS(J_NOM,J_DEB,$B38,J_BLN,I$4,J_THN,TAHUN)-SUMIFS(J_NOM,J_KRE,$B38,J_BLN,I$4,J_THN,TAHUN))</f>
        <v>260452</v>
      </c>
      <c r="J38" s="117" t="n">
        <f aca="false">IF($B38="",0,SUMIFS(J_NOM,J_DEB,$B38,J_BLN,J$4,J_THN,TAHUN)-SUMIFS(J_NOM,J_KRE,$B38,J_BLN,J$4,J_THN,TAHUN))</f>
        <v>297787</v>
      </c>
      <c r="K38" s="117" t="n">
        <f aca="false">IF($B38="",0,SUMIFS(J_NOM,J_DEB,$B38,J_BLN,K$4,J_THN,TAHUN)-SUMIFS(J_NOM,J_KRE,$B38,J_BLN,K$4,J_THN,TAHUN))</f>
        <v>399853</v>
      </c>
      <c r="L38" s="117" t="n">
        <f aca="false">IF($B38="",0,SUMIFS(J_NOM,J_DEB,$B38,J_BLN,L$4,J_THN,TAHUN)-SUMIFS(J_NOM,J_KRE,$B38,J_BLN,L$4,J_THN,TAHUN))</f>
        <v>426400</v>
      </c>
      <c r="M38" s="117" t="n">
        <f aca="false">IF($B38="",0,SUMIFS(J_NOM,J_DEB,$B38,J_BLN,M$4,J_THN,TAHUN)-SUMIFS(J_NOM,J_KRE,$B38,J_BLN,M$4,J_THN,TAHUN))</f>
        <v>493329</v>
      </c>
      <c r="N38" s="117" t="n">
        <f aca="false">IF($B38="",0,SUMIFS(J_NOM,J_DEB,$B38,J_BLN,N$4,J_THN,TAHUN)-SUMIFS(J_NOM,J_KRE,$B38,J_BLN,N$4,J_THN,TAHUN))</f>
        <v>0</v>
      </c>
      <c r="O38" s="117" t="n">
        <f aca="false">IF($B38="",0,SUMIFS(J_NOM,J_DEB,$B38,J_BLN,O$4,J_THN,TAHUN)-SUMIFS(J_NOM,J_KRE,$B38,J_BLN,O$4,J_THN,TAHUN))</f>
        <v>0</v>
      </c>
      <c r="P38" s="117" t="n">
        <f aca="false">IF($B38="",0,SUMIFS(J_NOM,J_DEB,$B38,J_BLN,P$4,J_THN,TAHUN)-SUMIFS(J_NOM,J_KRE,$B38,J_BLN,P$4,J_THN,TAHUN))</f>
        <v>0</v>
      </c>
      <c r="Q38" s="117" t="n">
        <f aca="false">IF($B38="",0,IF(D38="D",N(AKUN!H38),-N(AKUN!H38)))</f>
        <v>0</v>
      </c>
      <c r="R38" s="117" t="n">
        <f aca="false">SUMIFS(E38:P38,$E$4:$P$4,"&lt;="&amp;BLN)</f>
        <v>2564119</v>
      </c>
      <c r="S38" s="117" t="n">
        <f aca="false">Q38+R38</f>
        <v>2564119</v>
      </c>
      <c r="T38" s="93" t="str">
        <f aca="false">IF(AKUN!F38="","",AKUN!F38)</f>
        <v>NONKAS</v>
      </c>
    </row>
    <row r="39" customFormat="false" ht="15" hidden="false" customHeight="false" outlineLevel="0" collapsed="false">
      <c r="A39" s="93" t="str">
        <f aca="false">IF(AKUN!A39="","",AKUN!A39)</f>
        <v>7101</v>
      </c>
      <c r="B39" s="93" t="str">
        <f aca="false">IF(AKUN!B39="","",AKUN!B39)</f>
        <v>Pendapatan Lainnya</v>
      </c>
      <c r="C39" s="93" t="str">
        <f aca="false">IF(AKUN!C39="","",AKUN!C39)</f>
        <v>PENDAPATAN</v>
      </c>
      <c r="D39" s="93" t="str">
        <f aca="false">IF(AKUN!E39="","",AKUN!E39)</f>
        <v>K</v>
      </c>
      <c r="E39" s="117" t="n">
        <f aca="false">IF($B39="",0,SUMIFS(J_NOM,J_DEB,$B39,J_BLN,E$4,J_THN,TAHUN)-SUMIFS(J_NOM,J_KRE,$B39,J_BLN,E$4,J_THN,TAHUN))</f>
        <v>-104748</v>
      </c>
      <c r="F39" s="117" t="n">
        <f aca="false">IF($B39="",0,SUMIFS(J_NOM,J_DEB,$B39,J_BLN,F$4,J_THN,TAHUN)-SUMIFS(J_NOM,J_KRE,$B39,J_BLN,F$4,J_THN,TAHUN))</f>
        <v>-165632</v>
      </c>
      <c r="G39" s="117" t="n">
        <f aca="false">IF($B39="",0,SUMIFS(J_NOM,J_DEB,$B39,J_BLN,G$4,J_THN,TAHUN)-SUMIFS(J_NOM,J_KRE,$B39,J_BLN,G$4,J_THN,TAHUN))</f>
        <v>-219302</v>
      </c>
      <c r="H39" s="117" t="n">
        <f aca="false">IF($B39="",0,SUMIFS(J_NOM,J_DEB,$B39,J_BLN,H$4,J_THN,TAHUN)-SUMIFS(J_NOM,J_KRE,$B39,J_BLN,H$4,J_THN,TAHUN))</f>
        <v>-447496</v>
      </c>
      <c r="I39" s="117" t="n">
        <f aca="false">IF($B39="",0,SUMIFS(J_NOM,J_DEB,$B39,J_BLN,I$4,J_THN,TAHUN)-SUMIFS(J_NOM,J_KRE,$B39,J_BLN,I$4,J_THN,TAHUN))</f>
        <v>-133847</v>
      </c>
      <c r="J39" s="117" t="n">
        <f aca="false">IF($B39="",0,SUMIFS(J_NOM,J_DEB,$B39,J_BLN,J$4,J_THN,TAHUN)-SUMIFS(J_NOM,J_KRE,$B39,J_BLN,J$4,J_THN,TAHUN))</f>
        <v>-1016</v>
      </c>
      <c r="K39" s="117" t="n">
        <f aca="false">IF($B39="",0,SUMIFS(J_NOM,J_DEB,$B39,J_BLN,K$4,J_THN,TAHUN)-SUMIFS(J_NOM,J_KRE,$B39,J_BLN,K$4,J_THN,TAHUN))</f>
        <v>-26330</v>
      </c>
      <c r="L39" s="117" t="n">
        <f aca="false">IF($B39="",0,SUMIFS(J_NOM,J_DEB,$B39,J_BLN,L$4,J_THN,TAHUN)-SUMIFS(J_NOM,J_KRE,$B39,J_BLN,L$4,J_THN,TAHUN))</f>
        <v>-104920</v>
      </c>
      <c r="M39" s="117" t="n">
        <f aca="false">IF($B39="",0,SUMIFS(J_NOM,J_DEB,$B39,J_BLN,M$4,J_THN,TAHUN)-SUMIFS(J_NOM,J_KRE,$B39,J_BLN,M$4,J_THN,TAHUN))</f>
        <v>-13449</v>
      </c>
      <c r="N39" s="117" t="n">
        <f aca="false">IF($B39="",0,SUMIFS(J_NOM,J_DEB,$B39,J_BLN,N$4,J_THN,TAHUN)-SUMIFS(J_NOM,J_KRE,$B39,J_BLN,N$4,J_THN,TAHUN))</f>
        <v>0</v>
      </c>
      <c r="O39" s="117" t="n">
        <f aca="false">IF($B39="",0,SUMIFS(J_NOM,J_DEB,$B39,J_BLN,O$4,J_THN,TAHUN)-SUMIFS(J_NOM,J_KRE,$B39,J_BLN,O$4,J_THN,TAHUN))</f>
        <v>0</v>
      </c>
      <c r="P39" s="117" t="n">
        <f aca="false">IF($B39="",0,SUMIFS(J_NOM,J_DEB,$B39,J_BLN,P$4,J_THN,TAHUN)-SUMIFS(J_NOM,J_KRE,$B39,J_BLN,P$4,J_THN,TAHUN))</f>
        <v>0</v>
      </c>
      <c r="Q39" s="117" t="n">
        <f aca="false">IF($B39="",0,IF(D39="D",N(AKUN!H39),-N(AKUN!H39)))</f>
        <v>-0</v>
      </c>
      <c r="R39" s="117" t="n">
        <f aca="false">SUMIFS(E39:P39,$E$4:$P$4,"&lt;="&amp;BLN)</f>
        <v>-1216740</v>
      </c>
      <c r="S39" s="117" t="n">
        <f aca="false">Q39+R39</f>
        <v>-1216740</v>
      </c>
      <c r="T39" s="93" t="str">
        <f aca="false">IF(AKUN!F39="","",AKUN!F39)</f>
        <v>OPERASI</v>
      </c>
    </row>
    <row r="40" customFormat="false" ht="15" hidden="false" customHeight="false" outlineLevel="0" collapsed="false">
      <c r="A40" s="93" t="str">
        <f aca="false">IF(AKUN!A40="","",AKUN!A40)</f>
        <v>7201</v>
      </c>
      <c r="B40" s="93" t="str">
        <f aca="false">IF(AKUN!B40="","",AKUN!B40)</f>
        <v>Biaya Lainnya</v>
      </c>
      <c r="C40" s="93" t="str">
        <f aca="false">IF(AKUN!C40="","",AKUN!C40)</f>
        <v>BEBAN</v>
      </c>
      <c r="D40" s="93" t="str">
        <f aca="false">IF(AKUN!E40="","",AKUN!E40)</f>
        <v>D</v>
      </c>
      <c r="E40" s="117" t="n">
        <f aca="false">IF($B40="",0,SUMIFS(J_NOM,J_DEB,$B40,J_BLN,E$4,J_THN,TAHUN)-SUMIFS(J_NOM,J_KRE,$B40,J_BLN,E$4,J_THN,TAHUN))</f>
        <v>691719</v>
      </c>
      <c r="F40" s="117" t="n">
        <f aca="false">IF($B40="",0,SUMIFS(J_NOM,J_DEB,$B40,J_BLN,F$4,J_THN,TAHUN)-SUMIFS(J_NOM,J_KRE,$B40,J_BLN,F$4,J_THN,TAHUN))</f>
        <v>189899</v>
      </c>
      <c r="G40" s="117" t="n">
        <f aca="false">IF($B40="",0,SUMIFS(J_NOM,J_DEB,$B40,J_BLN,G$4,J_THN,TAHUN)-SUMIFS(J_NOM,J_KRE,$B40,J_BLN,G$4,J_THN,TAHUN))</f>
        <v>1088138</v>
      </c>
      <c r="H40" s="117" t="n">
        <f aca="false">IF($B40="",0,SUMIFS(J_NOM,J_DEB,$B40,J_BLN,H$4,J_THN,TAHUN)-SUMIFS(J_NOM,J_KRE,$B40,J_BLN,H$4,J_THN,TAHUN))</f>
        <v>979111</v>
      </c>
      <c r="I40" s="117" t="n">
        <f aca="false">IF($B40="",0,SUMIFS(J_NOM,J_DEB,$B40,J_BLN,I$4,J_THN,TAHUN)-SUMIFS(J_NOM,J_KRE,$B40,J_BLN,I$4,J_THN,TAHUN))</f>
        <v>37309</v>
      </c>
      <c r="J40" s="117" t="n">
        <f aca="false">IF($B40="",0,SUMIFS(J_NOM,J_DEB,$B40,J_BLN,J$4,J_THN,TAHUN)-SUMIFS(J_NOM,J_KRE,$B40,J_BLN,J$4,J_THN,TAHUN))</f>
        <v>41481</v>
      </c>
      <c r="K40" s="117" t="n">
        <f aca="false">IF($B40="",0,SUMIFS(J_NOM,J_DEB,$B40,J_BLN,K$4,J_THN,TAHUN)-SUMIFS(J_NOM,J_KRE,$B40,J_BLN,K$4,J_THN,TAHUN))</f>
        <v>38480</v>
      </c>
      <c r="L40" s="117" t="n">
        <f aca="false">IF($B40="",0,SUMIFS(J_NOM,J_DEB,$B40,J_BLN,L$4,J_THN,TAHUN)-SUMIFS(J_NOM,J_KRE,$B40,J_BLN,L$4,J_THN,TAHUN))</f>
        <v>579041</v>
      </c>
      <c r="M40" s="117" t="n">
        <f aca="false">IF($B40="",0,SUMIFS(J_NOM,J_DEB,$B40,J_BLN,M$4,J_THN,TAHUN)-SUMIFS(J_NOM,J_KRE,$B40,J_BLN,M$4,J_THN,TAHUN))</f>
        <v>184941</v>
      </c>
      <c r="N40" s="117" t="n">
        <f aca="false">IF($B40="",0,SUMIFS(J_NOM,J_DEB,$B40,J_BLN,N$4,J_THN,TAHUN)-SUMIFS(J_NOM,J_KRE,$B40,J_BLN,N$4,J_THN,TAHUN))</f>
        <v>18017</v>
      </c>
      <c r="O40" s="117" t="n">
        <f aca="false">IF($B40="",0,SUMIFS(J_NOM,J_DEB,$B40,J_BLN,O$4,J_THN,TAHUN)-SUMIFS(J_NOM,J_KRE,$B40,J_BLN,O$4,J_THN,TAHUN))</f>
        <v>0</v>
      </c>
      <c r="P40" s="117" t="n">
        <f aca="false">IF($B40="",0,SUMIFS(J_NOM,J_DEB,$B40,J_BLN,P$4,J_THN,TAHUN)-SUMIFS(J_NOM,J_KRE,$B40,J_BLN,P$4,J_THN,TAHUN))</f>
        <v>0</v>
      </c>
      <c r="Q40" s="117" t="n">
        <f aca="false">IF($B40="",0,IF(D40="D",N(AKUN!H40),-N(AKUN!H40)))</f>
        <v>0</v>
      </c>
      <c r="R40" s="117" t="n">
        <f aca="false">SUMIFS(E40:P40,$E$4:$P$4,"&lt;="&amp;BLN)</f>
        <v>3830119</v>
      </c>
      <c r="S40" s="117" t="n">
        <f aca="false">Q40+R40</f>
        <v>3830119</v>
      </c>
      <c r="T40" s="93" t="str">
        <f aca="false">IF(AKUN!F40="","",AKUN!F40)</f>
        <v>OPERASI</v>
      </c>
    </row>
    <row r="41" customFormat="false" ht="15" hidden="false" customHeight="false" outlineLevel="0" collapsed="false">
      <c r="A41" s="93" t="str">
        <f aca="false">IF(AKUN!A41="","",AKUN!A41)</f>
        <v/>
      </c>
      <c r="B41" s="93" t="str">
        <f aca="false">IF(AKUN!B41="","",AKUN!B41)</f>
        <v/>
      </c>
      <c r="C41" s="93" t="str">
        <f aca="false">IF(AKUN!C41="","",AKUN!C41)</f>
        <v/>
      </c>
      <c r="D41" s="93" t="str">
        <f aca="false">IF(AKUN!E41="","",AKUN!E41)</f>
        <v/>
      </c>
      <c r="E41" s="117" t="n">
        <f aca="false">IF($B41="",0,SUMIFS(J_NOM,J_DEB,$B41,J_BLN,E$4,J_THN,TAHUN)-SUMIFS(J_NOM,J_KRE,$B41,J_BLN,E$4,J_THN,TAHUN))</f>
        <v>0</v>
      </c>
      <c r="F41" s="117" t="n">
        <f aca="false">IF($B41="",0,SUMIFS(J_NOM,J_DEB,$B41,J_BLN,F$4,J_THN,TAHUN)-SUMIFS(J_NOM,J_KRE,$B41,J_BLN,F$4,J_THN,TAHUN))</f>
        <v>0</v>
      </c>
      <c r="G41" s="117" t="n">
        <f aca="false">IF($B41="",0,SUMIFS(J_NOM,J_DEB,$B41,J_BLN,G$4,J_THN,TAHUN)-SUMIFS(J_NOM,J_KRE,$B41,J_BLN,G$4,J_THN,TAHUN))</f>
        <v>0</v>
      </c>
      <c r="H41" s="117" t="n">
        <f aca="false">IF($B41="",0,SUMIFS(J_NOM,J_DEB,$B41,J_BLN,H$4,J_THN,TAHUN)-SUMIFS(J_NOM,J_KRE,$B41,J_BLN,H$4,J_THN,TAHUN))</f>
        <v>0</v>
      </c>
      <c r="I41" s="117" t="n">
        <f aca="false">IF($B41="",0,SUMIFS(J_NOM,J_DEB,$B41,J_BLN,I$4,J_THN,TAHUN)-SUMIFS(J_NOM,J_KRE,$B41,J_BLN,I$4,J_THN,TAHUN))</f>
        <v>0</v>
      </c>
      <c r="J41" s="117" t="n">
        <f aca="false">IF($B41="",0,SUMIFS(J_NOM,J_DEB,$B41,J_BLN,J$4,J_THN,TAHUN)-SUMIFS(J_NOM,J_KRE,$B41,J_BLN,J$4,J_THN,TAHUN))</f>
        <v>0</v>
      </c>
      <c r="K41" s="117" t="n">
        <f aca="false">IF($B41="",0,SUMIFS(J_NOM,J_DEB,$B41,J_BLN,K$4,J_THN,TAHUN)-SUMIFS(J_NOM,J_KRE,$B41,J_BLN,K$4,J_THN,TAHUN))</f>
        <v>0</v>
      </c>
      <c r="L41" s="117" t="n">
        <f aca="false">IF($B41="",0,SUMIFS(J_NOM,J_DEB,$B41,J_BLN,L$4,J_THN,TAHUN)-SUMIFS(J_NOM,J_KRE,$B41,J_BLN,L$4,J_THN,TAHUN))</f>
        <v>0</v>
      </c>
      <c r="M41" s="117" t="n">
        <f aca="false">IF($B41="",0,SUMIFS(J_NOM,J_DEB,$B41,J_BLN,M$4,J_THN,TAHUN)-SUMIFS(J_NOM,J_KRE,$B41,J_BLN,M$4,J_THN,TAHUN))</f>
        <v>0</v>
      </c>
      <c r="N41" s="117" t="n">
        <f aca="false">IF($B41="",0,SUMIFS(J_NOM,J_DEB,$B41,J_BLN,N$4,J_THN,TAHUN)-SUMIFS(J_NOM,J_KRE,$B41,J_BLN,N$4,J_THN,TAHUN))</f>
        <v>0</v>
      </c>
      <c r="O41" s="117" t="n">
        <f aca="false">IF($B41="",0,SUMIFS(J_NOM,J_DEB,$B41,J_BLN,O$4,J_THN,TAHUN)-SUMIFS(J_NOM,J_KRE,$B41,J_BLN,O$4,J_THN,TAHUN))</f>
        <v>0</v>
      </c>
      <c r="P41" s="117" t="n">
        <f aca="false">IF($B41="",0,SUMIFS(J_NOM,J_DEB,$B41,J_BLN,P$4,J_THN,TAHUN)-SUMIFS(J_NOM,J_KRE,$B41,J_BLN,P$4,J_THN,TAHUN))</f>
        <v>0</v>
      </c>
      <c r="Q41" s="117" t="n">
        <f aca="false">IF($B41="",0,IF(D41="D",N(AKUN!H41),-N(AKUN!H41)))</f>
        <v>0</v>
      </c>
      <c r="R41" s="117" t="n">
        <f aca="false">SUMIFS(E41:P41,$E$4:$P$4,"&lt;="&amp;BLN)</f>
        <v>0</v>
      </c>
      <c r="S41" s="117" t="n">
        <f aca="false">Q41+R41</f>
        <v>0</v>
      </c>
      <c r="T41" s="93" t="str">
        <f aca="false">IF(AKUN!F41="","",AKUN!F41)</f>
        <v/>
      </c>
    </row>
    <row r="42" customFormat="false" ht="15" hidden="false" customHeight="false" outlineLevel="0" collapsed="false">
      <c r="A42" s="93" t="str">
        <f aca="false">IF(AKUN!A42="","",AKUN!A42)</f>
        <v/>
      </c>
      <c r="B42" s="93" t="str">
        <f aca="false">IF(AKUN!B42="","",AKUN!B42)</f>
        <v/>
      </c>
      <c r="C42" s="93" t="str">
        <f aca="false">IF(AKUN!C42="","",AKUN!C42)</f>
        <v/>
      </c>
      <c r="D42" s="93" t="str">
        <f aca="false">IF(AKUN!E42="","",AKUN!E42)</f>
        <v/>
      </c>
      <c r="E42" s="117" t="n">
        <f aca="false">IF($B42="",0,SUMIFS(J_NOM,J_DEB,$B42,J_BLN,E$4,J_THN,TAHUN)-SUMIFS(J_NOM,J_KRE,$B42,J_BLN,E$4,J_THN,TAHUN))</f>
        <v>0</v>
      </c>
      <c r="F42" s="117" t="n">
        <f aca="false">IF($B42="",0,SUMIFS(J_NOM,J_DEB,$B42,J_BLN,F$4,J_THN,TAHUN)-SUMIFS(J_NOM,J_KRE,$B42,J_BLN,F$4,J_THN,TAHUN))</f>
        <v>0</v>
      </c>
      <c r="G42" s="117" t="n">
        <f aca="false">IF($B42="",0,SUMIFS(J_NOM,J_DEB,$B42,J_BLN,G$4,J_THN,TAHUN)-SUMIFS(J_NOM,J_KRE,$B42,J_BLN,G$4,J_THN,TAHUN))</f>
        <v>0</v>
      </c>
      <c r="H42" s="117" t="n">
        <f aca="false">IF($B42="",0,SUMIFS(J_NOM,J_DEB,$B42,J_BLN,H$4,J_THN,TAHUN)-SUMIFS(J_NOM,J_KRE,$B42,J_BLN,H$4,J_THN,TAHUN))</f>
        <v>0</v>
      </c>
      <c r="I42" s="117" t="n">
        <f aca="false">IF($B42="",0,SUMIFS(J_NOM,J_DEB,$B42,J_BLN,I$4,J_THN,TAHUN)-SUMIFS(J_NOM,J_KRE,$B42,J_BLN,I$4,J_THN,TAHUN))</f>
        <v>0</v>
      </c>
      <c r="J42" s="117" t="n">
        <f aca="false">IF($B42="",0,SUMIFS(J_NOM,J_DEB,$B42,J_BLN,J$4,J_THN,TAHUN)-SUMIFS(J_NOM,J_KRE,$B42,J_BLN,J$4,J_THN,TAHUN))</f>
        <v>0</v>
      </c>
      <c r="K42" s="117" t="n">
        <f aca="false">IF($B42="",0,SUMIFS(J_NOM,J_DEB,$B42,J_BLN,K$4,J_THN,TAHUN)-SUMIFS(J_NOM,J_KRE,$B42,J_BLN,K$4,J_THN,TAHUN))</f>
        <v>0</v>
      </c>
      <c r="L42" s="117" t="n">
        <f aca="false">IF($B42="",0,SUMIFS(J_NOM,J_DEB,$B42,J_BLN,L$4,J_THN,TAHUN)-SUMIFS(J_NOM,J_KRE,$B42,J_BLN,L$4,J_THN,TAHUN))</f>
        <v>0</v>
      </c>
      <c r="M42" s="117" t="n">
        <f aca="false">IF($B42="",0,SUMIFS(J_NOM,J_DEB,$B42,J_BLN,M$4,J_THN,TAHUN)-SUMIFS(J_NOM,J_KRE,$B42,J_BLN,M$4,J_THN,TAHUN))</f>
        <v>0</v>
      </c>
      <c r="N42" s="117" t="n">
        <f aca="false">IF($B42="",0,SUMIFS(J_NOM,J_DEB,$B42,J_BLN,N$4,J_THN,TAHUN)-SUMIFS(J_NOM,J_KRE,$B42,J_BLN,N$4,J_THN,TAHUN))</f>
        <v>0</v>
      </c>
      <c r="O42" s="117" t="n">
        <f aca="false">IF($B42="",0,SUMIFS(J_NOM,J_DEB,$B42,J_BLN,O$4,J_THN,TAHUN)-SUMIFS(J_NOM,J_KRE,$B42,J_BLN,O$4,J_THN,TAHUN))</f>
        <v>0</v>
      </c>
      <c r="P42" s="117" t="n">
        <f aca="false">IF($B42="",0,SUMIFS(J_NOM,J_DEB,$B42,J_BLN,P$4,J_THN,TAHUN)-SUMIFS(J_NOM,J_KRE,$B42,J_BLN,P$4,J_THN,TAHUN))</f>
        <v>0</v>
      </c>
      <c r="Q42" s="117" t="n">
        <f aca="false">IF($B42="",0,IF(D42="D",N(AKUN!H42),-N(AKUN!H42)))</f>
        <v>0</v>
      </c>
      <c r="R42" s="117" t="n">
        <f aca="false">SUMIFS(E42:P42,$E$4:$P$4,"&lt;="&amp;BLN)</f>
        <v>0</v>
      </c>
      <c r="S42" s="117" t="n">
        <f aca="false">Q42+R42</f>
        <v>0</v>
      </c>
      <c r="T42" s="93" t="str">
        <f aca="false">IF(AKUN!F42="","",AKUN!F42)</f>
        <v/>
      </c>
    </row>
    <row r="43" customFormat="false" ht="15" hidden="false" customHeight="false" outlineLevel="0" collapsed="false">
      <c r="A43" s="93" t="str">
        <f aca="false">IF(AKUN!A43="","",AKUN!A43)</f>
        <v/>
      </c>
      <c r="B43" s="93" t="str">
        <f aca="false">IF(AKUN!B43="","",AKUN!B43)</f>
        <v/>
      </c>
      <c r="C43" s="93" t="str">
        <f aca="false">IF(AKUN!C43="","",AKUN!C43)</f>
        <v/>
      </c>
      <c r="D43" s="93" t="str">
        <f aca="false">IF(AKUN!E43="","",AKUN!E43)</f>
        <v/>
      </c>
      <c r="E43" s="117" t="n">
        <f aca="false">IF($B43="",0,SUMIFS(J_NOM,J_DEB,$B43,J_BLN,E$4,J_THN,TAHUN)-SUMIFS(J_NOM,J_KRE,$B43,J_BLN,E$4,J_THN,TAHUN))</f>
        <v>0</v>
      </c>
      <c r="F43" s="117" t="n">
        <f aca="false">IF($B43="",0,SUMIFS(J_NOM,J_DEB,$B43,J_BLN,F$4,J_THN,TAHUN)-SUMIFS(J_NOM,J_KRE,$B43,J_BLN,F$4,J_THN,TAHUN))</f>
        <v>0</v>
      </c>
      <c r="G43" s="117" t="n">
        <f aca="false">IF($B43="",0,SUMIFS(J_NOM,J_DEB,$B43,J_BLN,G$4,J_THN,TAHUN)-SUMIFS(J_NOM,J_KRE,$B43,J_BLN,G$4,J_THN,TAHUN))</f>
        <v>0</v>
      </c>
      <c r="H43" s="117" t="n">
        <f aca="false">IF($B43="",0,SUMIFS(J_NOM,J_DEB,$B43,J_BLN,H$4,J_THN,TAHUN)-SUMIFS(J_NOM,J_KRE,$B43,J_BLN,H$4,J_THN,TAHUN))</f>
        <v>0</v>
      </c>
      <c r="I43" s="117" t="n">
        <f aca="false">IF($B43="",0,SUMIFS(J_NOM,J_DEB,$B43,J_BLN,I$4,J_THN,TAHUN)-SUMIFS(J_NOM,J_KRE,$B43,J_BLN,I$4,J_THN,TAHUN))</f>
        <v>0</v>
      </c>
      <c r="J43" s="117" t="n">
        <f aca="false">IF($B43="",0,SUMIFS(J_NOM,J_DEB,$B43,J_BLN,J$4,J_THN,TAHUN)-SUMIFS(J_NOM,J_KRE,$B43,J_BLN,J$4,J_THN,TAHUN))</f>
        <v>0</v>
      </c>
      <c r="K43" s="117" t="n">
        <f aca="false">IF($B43="",0,SUMIFS(J_NOM,J_DEB,$B43,J_BLN,K$4,J_THN,TAHUN)-SUMIFS(J_NOM,J_KRE,$B43,J_BLN,K$4,J_THN,TAHUN))</f>
        <v>0</v>
      </c>
      <c r="L43" s="117" t="n">
        <f aca="false">IF($B43="",0,SUMIFS(J_NOM,J_DEB,$B43,J_BLN,L$4,J_THN,TAHUN)-SUMIFS(J_NOM,J_KRE,$B43,J_BLN,L$4,J_THN,TAHUN))</f>
        <v>0</v>
      </c>
      <c r="M43" s="117" t="n">
        <f aca="false">IF($B43="",0,SUMIFS(J_NOM,J_DEB,$B43,J_BLN,M$4,J_THN,TAHUN)-SUMIFS(J_NOM,J_KRE,$B43,J_BLN,M$4,J_THN,TAHUN))</f>
        <v>0</v>
      </c>
      <c r="N43" s="117" t="n">
        <f aca="false">IF($B43="",0,SUMIFS(J_NOM,J_DEB,$B43,J_BLN,N$4,J_THN,TAHUN)-SUMIFS(J_NOM,J_KRE,$B43,J_BLN,N$4,J_THN,TAHUN))</f>
        <v>0</v>
      </c>
      <c r="O43" s="117" t="n">
        <f aca="false">IF($B43="",0,SUMIFS(J_NOM,J_DEB,$B43,J_BLN,O$4,J_THN,TAHUN)-SUMIFS(J_NOM,J_KRE,$B43,J_BLN,O$4,J_THN,TAHUN))</f>
        <v>0</v>
      </c>
      <c r="P43" s="117" t="n">
        <f aca="false">IF($B43="",0,SUMIFS(J_NOM,J_DEB,$B43,J_BLN,P$4,J_THN,TAHUN)-SUMIFS(J_NOM,J_KRE,$B43,J_BLN,P$4,J_THN,TAHUN))</f>
        <v>0</v>
      </c>
      <c r="Q43" s="117" t="n">
        <f aca="false">IF($B43="",0,IF(D43="D",N(AKUN!H43),-N(AKUN!H43)))</f>
        <v>0</v>
      </c>
      <c r="R43" s="117" t="n">
        <f aca="false">SUMIFS(E43:P43,$E$4:$P$4,"&lt;="&amp;BLN)</f>
        <v>0</v>
      </c>
      <c r="S43" s="117" t="n">
        <f aca="false">Q43+R43</f>
        <v>0</v>
      </c>
      <c r="T43" s="93" t="str">
        <f aca="false">IF(AKUN!F43="","",AKUN!F43)</f>
        <v/>
      </c>
    </row>
    <row r="44" customFormat="false" ht="15" hidden="false" customHeight="false" outlineLevel="0" collapsed="false">
      <c r="A44" s="93" t="str">
        <f aca="false">IF(AKUN!A44="","",AKUN!A44)</f>
        <v/>
      </c>
      <c r="B44" s="93" t="str">
        <f aca="false">IF(AKUN!B44="","",AKUN!B44)</f>
        <v/>
      </c>
      <c r="C44" s="93" t="str">
        <f aca="false">IF(AKUN!C44="","",AKUN!C44)</f>
        <v/>
      </c>
      <c r="D44" s="93" t="str">
        <f aca="false">IF(AKUN!E44="","",AKUN!E44)</f>
        <v/>
      </c>
      <c r="E44" s="117" t="n">
        <f aca="false">IF($B44="",0,SUMIFS(J_NOM,J_DEB,$B44,J_BLN,E$4,J_THN,TAHUN)-SUMIFS(J_NOM,J_KRE,$B44,J_BLN,E$4,J_THN,TAHUN))</f>
        <v>0</v>
      </c>
      <c r="F44" s="117" t="n">
        <f aca="false">IF($B44="",0,SUMIFS(J_NOM,J_DEB,$B44,J_BLN,F$4,J_THN,TAHUN)-SUMIFS(J_NOM,J_KRE,$B44,J_BLN,F$4,J_THN,TAHUN))</f>
        <v>0</v>
      </c>
      <c r="G44" s="117" t="n">
        <f aca="false">IF($B44="",0,SUMIFS(J_NOM,J_DEB,$B44,J_BLN,G$4,J_THN,TAHUN)-SUMIFS(J_NOM,J_KRE,$B44,J_BLN,G$4,J_THN,TAHUN))</f>
        <v>0</v>
      </c>
      <c r="H44" s="117" t="n">
        <f aca="false">IF($B44="",0,SUMIFS(J_NOM,J_DEB,$B44,J_BLN,H$4,J_THN,TAHUN)-SUMIFS(J_NOM,J_KRE,$B44,J_BLN,H$4,J_THN,TAHUN))</f>
        <v>0</v>
      </c>
      <c r="I44" s="117" t="n">
        <f aca="false">IF($B44="",0,SUMIFS(J_NOM,J_DEB,$B44,J_BLN,I$4,J_THN,TAHUN)-SUMIFS(J_NOM,J_KRE,$B44,J_BLN,I$4,J_THN,TAHUN))</f>
        <v>0</v>
      </c>
      <c r="J44" s="117" t="n">
        <f aca="false">IF($B44="",0,SUMIFS(J_NOM,J_DEB,$B44,J_BLN,J$4,J_THN,TAHUN)-SUMIFS(J_NOM,J_KRE,$B44,J_BLN,J$4,J_THN,TAHUN))</f>
        <v>0</v>
      </c>
      <c r="K44" s="117" t="n">
        <f aca="false">IF($B44="",0,SUMIFS(J_NOM,J_DEB,$B44,J_BLN,K$4,J_THN,TAHUN)-SUMIFS(J_NOM,J_KRE,$B44,J_BLN,K$4,J_THN,TAHUN))</f>
        <v>0</v>
      </c>
      <c r="L44" s="117" t="n">
        <f aca="false">IF($B44="",0,SUMIFS(J_NOM,J_DEB,$B44,J_BLN,L$4,J_THN,TAHUN)-SUMIFS(J_NOM,J_KRE,$B44,J_BLN,L$4,J_THN,TAHUN))</f>
        <v>0</v>
      </c>
      <c r="M44" s="117" t="n">
        <f aca="false">IF($B44="",0,SUMIFS(J_NOM,J_DEB,$B44,J_BLN,M$4,J_THN,TAHUN)-SUMIFS(J_NOM,J_KRE,$B44,J_BLN,M$4,J_THN,TAHUN))</f>
        <v>0</v>
      </c>
      <c r="N44" s="117" t="n">
        <f aca="false">IF($B44="",0,SUMIFS(J_NOM,J_DEB,$B44,J_BLN,N$4,J_THN,TAHUN)-SUMIFS(J_NOM,J_KRE,$B44,J_BLN,N$4,J_THN,TAHUN))</f>
        <v>0</v>
      </c>
      <c r="O44" s="117" t="n">
        <f aca="false">IF($B44="",0,SUMIFS(J_NOM,J_DEB,$B44,J_BLN,O$4,J_THN,TAHUN)-SUMIFS(J_NOM,J_KRE,$B44,J_BLN,O$4,J_THN,TAHUN))</f>
        <v>0</v>
      </c>
      <c r="P44" s="117" t="n">
        <f aca="false">IF($B44="",0,SUMIFS(J_NOM,J_DEB,$B44,J_BLN,P$4,J_THN,TAHUN)-SUMIFS(J_NOM,J_KRE,$B44,J_BLN,P$4,J_THN,TAHUN))</f>
        <v>0</v>
      </c>
      <c r="Q44" s="117" t="n">
        <f aca="false">IF($B44="",0,IF(D44="D",N(AKUN!H44),-N(AKUN!H44)))</f>
        <v>0</v>
      </c>
      <c r="R44" s="117" t="n">
        <f aca="false">SUMIFS(E44:P44,$E$4:$P$4,"&lt;="&amp;BLN)</f>
        <v>0</v>
      </c>
      <c r="S44" s="117" t="n">
        <f aca="false">Q44+R44</f>
        <v>0</v>
      </c>
      <c r="T44" s="93" t="str">
        <f aca="false">IF(AKUN!F44="","",AKUN!F44)</f>
        <v/>
      </c>
    </row>
    <row r="45" customFormat="false" ht="15" hidden="false" customHeight="false" outlineLevel="0" collapsed="false">
      <c r="A45" s="93" t="str">
        <f aca="false">IF(AKUN!A45="","",AKUN!A45)</f>
        <v/>
      </c>
      <c r="B45" s="93" t="str">
        <f aca="false">IF(AKUN!B45="","",AKUN!B45)</f>
        <v/>
      </c>
      <c r="C45" s="93" t="str">
        <f aca="false">IF(AKUN!C45="","",AKUN!C45)</f>
        <v/>
      </c>
      <c r="D45" s="93" t="str">
        <f aca="false">IF(AKUN!E45="","",AKUN!E45)</f>
        <v/>
      </c>
      <c r="E45" s="117" t="n">
        <f aca="false">IF($B45="",0,SUMIFS(J_NOM,J_DEB,$B45,J_BLN,E$4,J_THN,TAHUN)-SUMIFS(J_NOM,J_KRE,$B45,J_BLN,E$4,J_THN,TAHUN))</f>
        <v>0</v>
      </c>
      <c r="F45" s="117" t="n">
        <f aca="false">IF($B45="",0,SUMIFS(J_NOM,J_DEB,$B45,J_BLN,F$4,J_THN,TAHUN)-SUMIFS(J_NOM,J_KRE,$B45,J_BLN,F$4,J_THN,TAHUN))</f>
        <v>0</v>
      </c>
      <c r="G45" s="117" t="n">
        <f aca="false">IF($B45="",0,SUMIFS(J_NOM,J_DEB,$B45,J_BLN,G$4,J_THN,TAHUN)-SUMIFS(J_NOM,J_KRE,$B45,J_BLN,G$4,J_THN,TAHUN))</f>
        <v>0</v>
      </c>
      <c r="H45" s="117" t="n">
        <f aca="false">IF($B45="",0,SUMIFS(J_NOM,J_DEB,$B45,J_BLN,H$4,J_THN,TAHUN)-SUMIFS(J_NOM,J_KRE,$B45,J_BLN,H$4,J_THN,TAHUN))</f>
        <v>0</v>
      </c>
      <c r="I45" s="117" t="n">
        <f aca="false">IF($B45="",0,SUMIFS(J_NOM,J_DEB,$B45,J_BLN,I$4,J_THN,TAHUN)-SUMIFS(J_NOM,J_KRE,$B45,J_BLN,I$4,J_THN,TAHUN))</f>
        <v>0</v>
      </c>
      <c r="J45" s="117" t="n">
        <f aca="false">IF($B45="",0,SUMIFS(J_NOM,J_DEB,$B45,J_BLN,J$4,J_THN,TAHUN)-SUMIFS(J_NOM,J_KRE,$B45,J_BLN,J$4,J_THN,TAHUN))</f>
        <v>0</v>
      </c>
      <c r="K45" s="117" t="n">
        <f aca="false">IF($B45="",0,SUMIFS(J_NOM,J_DEB,$B45,J_BLN,K$4,J_THN,TAHUN)-SUMIFS(J_NOM,J_KRE,$B45,J_BLN,K$4,J_THN,TAHUN))</f>
        <v>0</v>
      </c>
      <c r="L45" s="117" t="n">
        <f aca="false">IF($B45="",0,SUMIFS(J_NOM,J_DEB,$B45,J_BLN,L$4,J_THN,TAHUN)-SUMIFS(J_NOM,J_KRE,$B45,J_BLN,L$4,J_THN,TAHUN))</f>
        <v>0</v>
      </c>
      <c r="M45" s="117" t="n">
        <f aca="false">IF($B45="",0,SUMIFS(J_NOM,J_DEB,$B45,J_BLN,M$4,J_THN,TAHUN)-SUMIFS(J_NOM,J_KRE,$B45,J_BLN,M$4,J_THN,TAHUN))</f>
        <v>0</v>
      </c>
      <c r="N45" s="117" t="n">
        <f aca="false">IF($B45="",0,SUMIFS(J_NOM,J_DEB,$B45,J_BLN,N$4,J_THN,TAHUN)-SUMIFS(J_NOM,J_KRE,$B45,J_BLN,N$4,J_THN,TAHUN))</f>
        <v>0</v>
      </c>
      <c r="O45" s="117" t="n">
        <f aca="false">IF($B45="",0,SUMIFS(J_NOM,J_DEB,$B45,J_BLN,O$4,J_THN,TAHUN)-SUMIFS(J_NOM,J_KRE,$B45,J_BLN,O$4,J_THN,TAHUN))</f>
        <v>0</v>
      </c>
      <c r="P45" s="117" t="n">
        <f aca="false">IF($B45="",0,SUMIFS(J_NOM,J_DEB,$B45,J_BLN,P$4,J_THN,TAHUN)-SUMIFS(J_NOM,J_KRE,$B45,J_BLN,P$4,J_THN,TAHUN))</f>
        <v>0</v>
      </c>
      <c r="Q45" s="117" t="n">
        <f aca="false">IF($B45="",0,IF(D45="D",N(AKUN!H45),-N(AKUN!H45)))</f>
        <v>0</v>
      </c>
      <c r="R45" s="117" t="n">
        <f aca="false">SUMIFS(E45:P45,$E$4:$P$4,"&lt;="&amp;BLN)</f>
        <v>0</v>
      </c>
      <c r="S45" s="117" t="n">
        <f aca="false">Q45+R45</f>
        <v>0</v>
      </c>
      <c r="T45" s="93" t="str">
        <f aca="false">IF(AKUN!F45="","",AKUN!F45)</f>
        <v/>
      </c>
    </row>
    <row r="46" customFormat="false" ht="15" hidden="false" customHeight="false" outlineLevel="0" collapsed="false">
      <c r="A46" s="5"/>
      <c r="B46" s="13" t="s">
        <v>2859</v>
      </c>
      <c r="C46" s="5"/>
      <c r="D46" s="5"/>
      <c r="E46" s="85" t="n">
        <f aca="false">ROUND(SUM(E6:E45),0)</f>
        <v>0</v>
      </c>
      <c r="F46" s="85" t="n">
        <f aca="false">ROUND(SUM(F6:F45),0)</f>
        <v>0</v>
      </c>
      <c r="G46" s="85" t="n">
        <f aca="false">ROUND(SUM(G6:G45),0)</f>
        <v>0</v>
      </c>
      <c r="H46" s="85" t="n">
        <f aca="false">ROUND(SUM(H6:H45),0)</f>
        <v>0</v>
      </c>
      <c r="I46" s="85" t="n">
        <f aca="false">ROUND(SUM(I6:I45),0)</f>
        <v>0</v>
      </c>
      <c r="J46" s="85" t="n">
        <f aca="false">ROUND(SUM(J6:J45),0)</f>
        <v>0</v>
      </c>
      <c r="K46" s="85" t="n">
        <f aca="false">ROUND(SUM(K6:K45),0)</f>
        <v>0</v>
      </c>
      <c r="L46" s="85" t="n">
        <f aca="false">ROUND(SUM(L6:L45),0)</f>
        <v>0</v>
      </c>
      <c r="M46" s="85" t="n">
        <f aca="false">ROUND(SUM(M6:M45),0)</f>
        <v>0</v>
      </c>
      <c r="N46" s="85" t="n">
        <f aca="false">ROUND(SUM(N6:N45),0)</f>
        <v>0</v>
      </c>
      <c r="O46" s="85" t="n">
        <f aca="false">ROUND(SUM(O6:O45),0)</f>
        <v>0</v>
      </c>
      <c r="P46" s="85" t="n">
        <f aca="false">ROUND(SUM(P6:P45),0)</f>
        <v>0</v>
      </c>
      <c r="Q46" s="85" t="n">
        <f aca="false">ROUND(SUM(Q6:Q45),0)</f>
        <v>0</v>
      </c>
      <c r="R46" s="85" t="n">
        <f aca="false">ROUND(SUM(R6:R45),0)</f>
        <v>0</v>
      </c>
      <c r="S46" s="85" t="n">
        <f aca="false">ROUND(SUM(S6:S45),0)</f>
        <v>0</v>
      </c>
      <c r="T46"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2026-10-12T09:16:36Z</dcterms:created>
  <dc:creator>openpyxl</dc:creator>
  <dc:description/>
  <dc:language>en-US</dc:language>
  <cp:lastModifiedBy/>
  <dcterms:modified xsi:type="dcterms:W3CDTF">2026-10-12T16:16:48Z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